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C:\Users\fujis\Desktop\数理・DS・AI関係\【申請書類一式】数理・データサイエンス・AI教育プログラム認定制度（リテラシーレベル）\申請様式等\【申請書類一式】数理・データサイエンス・AI教育プログラム認定制度（リテラシーレベル）\【申請書類一式】数理・データサイエンス・AI教育プログラム認定制度（リテラシーレベル）\"/>
    </mc:Choice>
  </mc:AlternateContent>
  <xr:revisionPtr revIDLastSave="0" documentId="13_ncr:1_{276FFC06-965D-4109-9253-1C1615C16927}" xr6:coauthVersionLast="47" xr6:coauthVersionMax="47" xr10:uidLastSave="{00000000-0000-0000-0000-000000000000}"/>
  <bookViews>
    <workbookView xWindow="0" yWindow="0" windowWidth="32400" windowHeight="51690" tabRatio="885" firstSheet="3" activeTab="3"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R8" i="31" s="1"/>
  <c r="Q28" i="31" l="1"/>
  <c r="R28" i="31" s="1"/>
</calcChain>
</file>

<file path=xl/sharedStrings.xml><?xml version="1.0" encoding="utf-8"?>
<sst xmlns="http://schemas.openxmlformats.org/spreadsheetml/2006/main" count="372" uniqueCount="238">
  <si>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</si>
  <si>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</si>
  <si>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</si>
  <si>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</si>
  <si>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香川大学</t>
    <rPh sb="0" eb="4">
      <t>カガワダイガク</t>
    </rPh>
    <phoneticPr fontId="1"/>
  </si>
  <si>
    <t>②</t>
    <phoneticPr fontId="1"/>
  </si>
  <si>
    <t>大学等の設置者</t>
  </si>
  <si>
    <t>国立大学法人香川大学</t>
    <phoneticPr fontId="1"/>
  </si>
  <si>
    <t>③</t>
    <phoneticPr fontId="1"/>
  </si>
  <si>
    <t>設置形態</t>
  </si>
  <si>
    <t>国立大学</t>
  </si>
  <si>
    <t>④</t>
    <phoneticPr fontId="1"/>
  </si>
  <si>
    <t>所在地</t>
    <phoneticPr fontId="1"/>
  </si>
  <si>
    <t>香川県高松市幸町１番１号</t>
    <rPh sb="0" eb="3">
      <t>カガワケン</t>
    </rPh>
    <rPh sb="3" eb="6">
      <t>タカマツシ</t>
    </rPh>
    <rPh sb="6" eb="7">
      <t>サイワ</t>
    </rPh>
    <rPh sb="7" eb="8">
      <t>マチ</t>
    </rPh>
    <rPh sb="9" eb="10">
      <t>バン</t>
    </rPh>
    <rPh sb="11" eb="12">
      <t>ゴウ</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</si>
  <si>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</si>
  <si>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</si>
  <si>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数理・データサイエンス・AIリテラシープログラム</t>
    <phoneticPr fontId="1"/>
  </si>
  <si>
    <t>⑥</t>
    <phoneticPr fontId="1"/>
  </si>
  <si>
    <t>プログラムの開設年度</t>
    <rPh sb="6" eb="8">
      <t>カイセツ</t>
    </rPh>
    <rPh sb="8" eb="10">
      <t>ネンド</t>
    </rPh>
    <phoneticPr fontId="1"/>
  </si>
  <si>
    <t>令和２年度</t>
    <rPh sb="0" eb="2">
      <t>レイワ</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</si>
  <si>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</si>
  <si>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</si>
  <si>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</si>
  <si>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</si>
  <si>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</si>
  <si>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</si>
  <si>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</si>
  <si>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</si>
  <si>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</si>
  <si>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</si>
  <si>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</si>
  <si>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</si>
  <si>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</si>
  <si>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</si>
  <si>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</si>
  <si>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</si>
  <si>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</si>
  <si>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</si>
  <si>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</si>
  <si>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</si>
  <si>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</si>
  <si>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</si>
  <si>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今井田　克己</t>
    <phoneticPr fontId="1"/>
  </si>
  <si>
    <t>（役職名）</t>
    <rPh sb="1" eb="4">
      <t>ヤクショクメイ</t>
    </rPh>
    <phoneticPr fontId="1"/>
  </si>
  <si>
    <t>理事・副学長（教育担当）</t>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</si>
  <si>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</si>
  <si>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</si>
  <si>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大学教育基盤センター</t>
    <rPh sb="0" eb="2">
      <t>ダイガク</t>
    </rPh>
    <rPh sb="2" eb="4">
      <t>キョウイク</t>
    </rPh>
    <rPh sb="4" eb="6">
      <t>キバン</t>
    </rPh>
    <phoneticPr fontId="1"/>
  </si>
  <si>
    <t>高橋尚志</t>
    <rPh sb="0" eb="2">
      <t>タカハシ</t>
    </rPh>
    <rPh sb="2" eb="4">
      <t>ナオシ</t>
    </rPh>
    <phoneticPr fontId="1"/>
  </si>
  <si>
    <t>センター長</t>
    <rPh sb="4" eb="5">
      <t>チョウ</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</si>
  <si>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</si>
  <si>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</si>
  <si>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大学教育基盤センター　数理情報・遠隔教育部</t>
    <phoneticPr fontId="1"/>
  </si>
  <si>
    <t>宮﨑　英一</t>
    <phoneticPr fontId="1"/>
  </si>
  <si>
    <t>部会長</t>
    <rPh sb="0" eb="3">
      <t>ブカイチョウ</t>
    </rPh>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</si>
  <si>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</si>
  <si>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</si>
  <si>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</si>
  <si>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</si>
  <si>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</si>
  <si>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学務グループ</t>
    <rPh sb="0" eb="2">
      <t>ガクム</t>
    </rPh>
    <phoneticPr fontId="1"/>
  </si>
  <si>
    <t>担当者名</t>
    <rPh sb="0" eb="2">
      <t>タントウ</t>
    </rPh>
    <rPh sb="2" eb="3">
      <t>シャ</t>
    </rPh>
    <rPh sb="3" eb="4">
      <t>メイ</t>
    </rPh>
    <phoneticPr fontId="1"/>
  </si>
  <si>
    <t>橘　信孝</t>
    <phoneticPr fontId="1"/>
  </si>
  <si>
    <t>E-mail</t>
  </si>
  <si>
    <t>gakusomut@kagawa-u.ac.jp</t>
    <phoneticPr fontId="1"/>
  </si>
  <si>
    <t>電話番号</t>
  </si>
  <si>
    <t>087-832-1145</t>
    <phoneticPr fontId="1"/>
  </si>
  <si>
    <t>様式２</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</si>
  <si>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</si>
  <si>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</si>
  <si>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</si>
  <si>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学部・学科によって、修了要件は相違しない</t>
  </si>
  <si>
    <t>具体的な修了要件</t>
    <rPh sb="0" eb="3">
      <t>グタイテキ</t>
    </rPh>
    <rPh sb="4" eb="6">
      <t>シュウリョウ</t>
    </rPh>
    <rPh sb="6" eb="8">
      <t>ヨウケン</t>
    </rPh>
    <phoneticPr fontId="1"/>
  </si>
  <si>
    <t>全学共通科目（全学必修科目）の情報リテラシーA（１単位）と情報リテラシーB（１単位）の計２単位を取得すること。</t>
    <rPh sb="0" eb="2">
      <t>ゼンガク</t>
    </rPh>
    <rPh sb="2" eb="4">
      <t>キョウツウ</t>
    </rPh>
    <rPh sb="4" eb="6">
      <t>カモク</t>
    </rPh>
    <rPh sb="7" eb="9">
      <t>ゼンガク</t>
    </rPh>
    <rPh sb="9" eb="11">
      <t>ヒッシュウ</t>
    </rPh>
    <rPh sb="11" eb="13">
      <t>カモク</t>
    </rPh>
    <rPh sb="15" eb="17">
      <t>ジョウホウ</t>
    </rPh>
    <rPh sb="25" eb="27">
      <t>タンイ</t>
    </rPh>
    <rPh sb="29" eb="31">
      <t>ジョウホウ</t>
    </rPh>
    <rPh sb="43" eb="44">
      <t>ケイ</t>
    </rPh>
    <rPh sb="45" eb="47">
      <t>タンイ</t>
    </rPh>
    <rPh sb="48" eb="50">
      <t>シュトク</t>
    </rPh>
    <phoneticPr fontId="1"/>
  </si>
  <si>
    <t>授業科目名称</t>
    <rPh sb="0" eb="2">
      <t>ジュギョウ</t>
    </rPh>
    <rPh sb="2" eb="4">
      <t>カモク</t>
    </rPh>
    <rPh sb="4" eb="6">
      <t>メイショウ</t>
    </rPh>
    <phoneticPr fontId="1"/>
  </si>
  <si>
    <t>情報リテラシーA</t>
    <rPh sb="0" eb="2">
      <t>ジョウホウ</t>
    </rPh>
    <phoneticPr fontId="1"/>
  </si>
  <si>
    <t>情報リテラシーB</t>
    <rPh sb="0" eb="2">
      <t>ジョウホウ</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</si>
  <si>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</si>
  <si>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</si>
  <si>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</si>
  <si>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</si>
  <si>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</si>
  <si>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</si>
  <si>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</si>
  <si>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</si>
  <si>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</si>
  <si>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</si>
  <si>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</si>
  <si>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</si>
  <si>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</si>
  <si>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</si>
  <si>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</si>
  <si>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教育学部（教育）</t>
    <rPh sb="0" eb="2">
      <t>キョウイク</t>
    </rPh>
    <rPh sb="2" eb="4">
      <t>ガクブ</t>
    </rPh>
    <phoneticPr fontId="1"/>
  </si>
  <si>
    <t>法学部（社会科学）</t>
    <rPh sb="0" eb="3">
      <t>ホウガクブ</t>
    </rPh>
    <phoneticPr fontId="1"/>
  </si>
  <si>
    <t>経済学部（社会科学）</t>
    <rPh sb="0" eb="2">
      <t>ケイザイ</t>
    </rPh>
    <rPh sb="2" eb="4">
      <t>ガクブ</t>
    </rPh>
    <phoneticPr fontId="1"/>
  </si>
  <si>
    <t>医学部（保健）</t>
    <rPh sb="0" eb="3">
      <t>イガクブ</t>
    </rPh>
    <phoneticPr fontId="1"/>
  </si>
  <si>
    <t>農学部（農学）</t>
    <rPh sb="0" eb="3">
      <t>ノウガクブ</t>
    </rPh>
    <phoneticPr fontId="1"/>
  </si>
  <si>
    <t>創造工学部（工学）</t>
    <rPh sb="0" eb="2">
      <t>ソウゾウ</t>
    </rPh>
    <rPh sb="2" eb="5">
      <t>コウガクブ</t>
    </rPh>
    <rPh sb="6" eb="8">
      <t>コウガク</t>
    </rPh>
    <phoneticPr fontId="1"/>
  </si>
  <si>
    <t>工学部（工学）</t>
    <rPh sb="0" eb="3">
      <t>コウガクブ</t>
    </rPh>
    <rPh sb="4" eb="6">
      <t>コウガク</t>
    </rPh>
    <phoneticPr fontId="1"/>
  </si>
  <si>
    <t>合　計</t>
    <phoneticPr fontId="1"/>
  </si>
  <si>
    <t>様式４</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</si>
  <si>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</si>
  <si>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</si>
  <si>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</si>
  <si>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</si>
  <si>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</si>
  <si>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Society 5.0で実現する社会において、データ・AIによって、社会および日常生活が大きく変化していることをキーワードとなる知識を踏まえながら理解する。また、データ・AI活用領域の広がりを理解し、データ・AIを活用する価値を説明できる。さらに、AIを活用した新しいビジネス/サービスがどのように社会に浸透しているか理解する。</t>
    <phoneticPr fontId="1"/>
  </si>
  <si>
    <t>授業科目名称</t>
    <rPh sb="0" eb="2">
      <t>ジュギョウ</t>
    </rPh>
    <rPh sb="2" eb="6">
      <t>カモクメイショウ</t>
    </rPh>
    <phoneticPr fontId="1"/>
  </si>
  <si>
    <t>講義テーマ</t>
    <rPh sb="0" eb="2">
      <t>コウギ</t>
    </rPh>
    <phoneticPr fontId="1"/>
  </si>
  <si>
    <t>情報リテラシーA L(1)</t>
    <rPh sb="0" eb="2">
      <t>ジョウホウ</t>
    </rPh>
    <phoneticPr fontId="1"/>
  </si>
  <si>
    <t>情報化社会に向けての著作権の注意点(2)</t>
    <phoneticPr fontId="1"/>
  </si>
  <si>
    <t>情報リテラシーA L(2)</t>
    <rPh sb="0" eb="2">
      <t>ジョウホウ</t>
    </rPh>
    <phoneticPr fontId="1"/>
  </si>
  <si>
    <t>PC教室の使用方法、注意事項の解説、Webブラウジングソフトの使用法(1)</t>
    <rPh sb="2" eb="4">
      <t>キョウシツ</t>
    </rPh>
    <rPh sb="5" eb="7">
      <t>シヨウ</t>
    </rPh>
    <rPh sb="7" eb="9">
      <t>ホウホウ</t>
    </rPh>
    <rPh sb="10" eb="12">
      <t>チュウイ</t>
    </rPh>
    <rPh sb="12" eb="14">
      <t>ジコウ</t>
    </rPh>
    <rPh sb="31" eb="34">
      <t>シヨウホウ</t>
    </rPh>
    <phoneticPr fontId="1"/>
  </si>
  <si>
    <t>情報リテラシーA L(3)</t>
    <phoneticPr fontId="1"/>
  </si>
  <si>
    <t>情報セキュリティ、情報モラル(2)</t>
    <phoneticPr fontId="1"/>
  </si>
  <si>
    <t>情報リテラシーA J(1)</t>
    <rPh sb="0" eb="2">
      <t>ジョウホウ</t>
    </rPh>
    <phoneticPr fontId="1"/>
  </si>
  <si>
    <t>ネットワークに関する基礎知識(6)</t>
    <phoneticPr fontId="1"/>
  </si>
  <si>
    <t>情報リテラシーA J(2)</t>
    <rPh sb="0" eb="2">
      <t>ジョウホウ</t>
    </rPh>
    <phoneticPr fontId="1"/>
  </si>
  <si>
    <t>情報リテラシーA E(1)</t>
    <phoneticPr fontId="1"/>
  </si>
  <si>
    <t>情報セキュリティ、情報モラル(7)</t>
    <phoneticPr fontId="1"/>
  </si>
  <si>
    <t>情報リテラシーA E(2)</t>
    <phoneticPr fontId="1"/>
  </si>
  <si>
    <t>情報リテラシーA E(3)</t>
    <phoneticPr fontId="1"/>
  </si>
  <si>
    <t>情報リテラシーA E(4)</t>
    <phoneticPr fontId="1"/>
  </si>
  <si>
    <t>情報リテラシーA M(1)</t>
    <phoneticPr fontId="1"/>
  </si>
  <si>
    <t>インターネットの活用、ネットワークの脅威(2～3)</t>
    <phoneticPr fontId="1"/>
  </si>
  <si>
    <t>情報リテラシーA M(2)</t>
    <phoneticPr fontId="1"/>
  </si>
  <si>
    <t>情報機器操作時の基本的、また倫理的な注意点。香川大学のコンピュータ・ネットワークサービスの概要。(1)</t>
    <phoneticPr fontId="1"/>
  </si>
  <si>
    <t>情報リテラシーA T(1)</t>
    <phoneticPr fontId="1"/>
  </si>
  <si>
    <t>情報セキュリティ、情報モラル(8)</t>
    <phoneticPr fontId="1"/>
  </si>
  <si>
    <t>情報リテラシーA T(2)</t>
    <phoneticPr fontId="1"/>
  </si>
  <si>
    <t>情報リテラシーA T(3)</t>
    <phoneticPr fontId="1"/>
  </si>
  <si>
    <t>香川大学のインターネット環境および情報セキュリティポリシーを理解した上で、電子メールや各種サーバの基本的な利用方法について学習する。(2)</t>
    <phoneticPr fontId="1"/>
  </si>
  <si>
    <t>情報リテラシーA T(4)</t>
    <phoneticPr fontId="1"/>
  </si>
  <si>
    <t>情報セキュリティと情報モラル(8)</t>
    <phoneticPr fontId="1"/>
  </si>
  <si>
    <t>情報リテラシーA T(5)</t>
    <phoneticPr fontId="1"/>
  </si>
  <si>
    <t>インターネットとメールのセットアップ(2)</t>
    <phoneticPr fontId="1"/>
  </si>
  <si>
    <t>情報リテラシーA A</t>
    <phoneticPr fontId="1"/>
  </si>
  <si>
    <t>ガイダンス、Moodleの説明、情報セキュリティーとモラル及び図書館の利用法・情報検索・文献検索(1)</t>
    <phoneticPr fontId="1"/>
  </si>
  <si>
    <t>履修ガイダンス／データ・AIにおける心得、データサイエンスを活用した地域活性、データサイエンスと社会への応用、実社会のデータサイエンスの事例(1～4)</t>
    <rPh sb="0" eb="2">
      <t>リシュウ</t>
    </rPh>
    <rPh sb="18" eb="20">
      <t>ココロエ</t>
    </rPh>
    <rPh sb="30" eb="32">
      <t>カツヨウ</t>
    </rPh>
    <rPh sb="34" eb="36">
      <t>チイキ</t>
    </rPh>
    <rPh sb="36" eb="38">
      <t>カッセイ</t>
    </rPh>
    <rPh sb="48" eb="50">
      <t>シャカイ</t>
    </rPh>
    <rPh sb="52" eb="54">
      <t>オウヨウ</t>
    </rPh>
    <rPh sb="55" eb="58">
      <t>ジッシャカイ</t>
    </rPh>
    <rPh sb="68" eb="70">
      <t>ジレイ</t>
    </rPh>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</si>
  <si>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</si>
  <si>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Society 5.0で実現する社会において、どんなデータが集められ、どう活用されているかを理解する。また、さまざまな領域でデータ・AIが活用されていることを理解する。これらを理解するために、地域（香川県域）における取り組みと、社会全般における取り組みの２つの観点から学習する。</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</si>
  <si>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</si>
  <si>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Society 5.0で実現する社会において、データ・AIを活用するために使われている技術の概要を理解する。また、データ・AI利活用の現場データ・AIを活用することによって、どのような価値が生まれているかを理解する。これらを理解するために、地域（香川県域）における取り組みと、社会全般における取り組みの２つの観点から学習する。</t>
    <phoneticPr fontId="1"/>
  </si>
  <si>
    <t>データサイエンスを活用した地域活性、データサイエンスと社会への応用、実社会のデータサイエンスの事例(2～4)</t>
    <rPh sb="9" eb="11">
      <t>カツヨウ</t>
    </rPh>
    <rPh sb="13" eb="15">
      <t>チイキ</t>
    </rPh>
    <rPh sb="15" eb="17">
      <t>カッセイ</t>
    </rPh>
    <rPh sb="27" eb="29">
      <t>シャカイ</t>
    </rPh>
    <rPh sb="31" eb="33">
      <t>オウヨウ</t>
    </rPh>
    <rPh sb="34" eb="37">
      <t>ジッシャカイ</t>
    </rPh>
    <rPh sb="47" eb="49">
      <t>ジレイ</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</si>
  <si>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</si>
  <si>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Society 5.0で実現する社会に生きる我々が、データ・AIを利活用する上で知っておくべきことやデータを守る上で知っておくべきことを理解する。個人情報保護法などの動向を理解し、データ・AIを利活用する際に求められるモラルや倫理について理解する。さらに、個人のデータを守るために留意すべき事項を理解する。</t>
    <phoneticPr fontId="1"/>
  </si>
  <si>
    <t>PC教室の使用方法、注意事項の解説、Webブラウジングソフトの使用法(1)</t>
    <phoneticPr fontId="1"/>
  </si>
  <si>
    <t>ネットワークに関する基礎知識、情報セキュリティに関する基礎知識(6～7)</t>
    <phoneticPr fontId="1"/>
  </si>
  <si>
    <t>ネットワークの脅威、情報セキュリティ(3～4)</t>
    <rPh sb="7" eb="9">
      <t>キョウイ</t>
    </rPh>
    <phoneticPr fontId="1"/>
  </si>
  <si>
    <t>履修ガイダンス／データ・AIにおける心得(1)</t>
    <rPh sb="0" eb="2">
      <t>リシュウ</t>
    </rPh>
    <rPh sb="18" eb="20">
      <t>ココロエ</t>
    </rPh>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</si>
  <si>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</si>
  <si>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数理・データサイエンス・AIの基本的な活用法について、データの特徴を読み解き、起きている事象の背景や意味合いを理解できる。また、適切な可視化手法を選択し、他者にデータを説明できるようになる。さらに、Microsoft Excelを用いた小規模データを集計・加工できるようになる。加えて、実際のAIサービスを利用して表形式のデータをどのように処理できるか理解する。</t>
    <rPh sb="139" eb="140">
      <t>クワ</t>
    </rPh>
    <rPh sb="157" eb="160">
      <t>ヒョウケイシキ</t>
    </rPh>
    <phoneticPr fontId="1"/>
  </si>
  <si>
    <t>表計算ソフト　成績処理への応用　グラフの作成(6)</t>
    <phoneticPr fontId="1"/>
  </si>
  <si>
    <t>表計算ソフト１　表計算ソフトの使用目的、表計算ソフト２　成績処理への応用、グラフの作成(5～6)</t>
    <phoneticPr fontId="1"/>
  </si>
  <si>
    <t>表計算(1)（Excelの概要、セル操作、関数）、表計算(2)（グラフの作成）(5～6)</t>
    <phoneticPr fontId="1"/>
  </si>
  <si>
    <t>表計算(Excelの基本操作と応用操作)(4)</t>
    <phoneticPr fontId="1"/>
  </si>
  <si>
    <t>表計算(1)（Excelの基本、数式の入力、式のコピー、表の作成）、表計算(2)（Excelの関数、グラフの作成、表の印刷）(4～5)</t>
    <phoneticPr fontId="1"/>
  </si>
  <si>
    <t>実験データ分析Ⅰ(5)</t>
    <phoneticPr fontId="1"/>
  </si>
  <si>
    <t>Excelの概要、データの打ち込み方、グラフの作成。(8)</t>
    <phoneticPr fontId="1"/>
  </si>
  <si>
    <t>表計算(1)（Excelの概要、セル操作、ファイルの保存と読込）、表計算(2)（Excelの関数、図の作成、データベース機能）(4～5)</t>
    <phoneticPr fontId="1"/>
  </si>
  <si>
    <t>表計算ソフトウェアの基本的な使用方法を理解する。(6)</t>
    <phoneticPr fontId="1"/>
  </si>
  <si>
    <t>Excel(1)　基本操作，関数の利用，データの集計、Excel(2)　図表作成の基礎、Excel(3)　図表作成の応用、WordとExcelを使ったレポートの作成(3～6)</t>
    <phoneticPr fontId="1"/>
  </si>
  <si>
    <t>表計算(1) Excelの基礎、関数の利用、オートフィル、相対参照と絶対参照、表計算(2) 関数のグラフ化、散布図、数値計算(5～6)</t>
    <phoneticPr fontId="1"/>
  </si>
  <si>
    <t>Excelを使った表計算とグラフ作成1、Excelを使った表計算とグラフ作成2(7～8)</t>
    <phoneticPr fontId="1"/>
  </si>
  <si>
    <t>データサイエンス入門１、データサイエンス入門２、機械学習の実装１、機械学習の実装２(5～8)</t>
    <rPh sb="8" eb="10">
      <t>ニュウモン</t>
    </rPh>
    <rPh sb="20" eb="22">
      <t>ニュウモン</t>
    </rPh>
    <rPh sb="24" eb="26">
      <t>キカイ</t>
    </rPh>
    <rPh sb="26" eb="28">
      <t>ガクシュウ</t>
    </rPh>
    <rPh sb="29" eb="31">
      <t>ジッソウ</t>
    </rPh>
    <rPh sb="33" eb="37">
      <t>キカイガクシュウ</t>
    </rPh>
    <rPh sb="38" eb="40">
      <t>ジッソウ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</si>
  <si>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</si>
  <si>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</si>
  <si>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情報リテラシーB、情報リテラシーA</t>
    <rPh sb="0" eb="2">
      <t>ジョウホウ</t>
    </rPh>
    <rPh sb="9" eb="11">
      <t>ジョウホウ</t>
    </rPh>
    <phoneticPr fontId="1"/>
  </si>
  <si>
    <t>アルゴリズム基礎</t>
    <rPh sb="6" eb="8">
      <t>キソ</t>
    </rPh>
    <phoneticPr fontId="1"/>
  </si>
  <si>
    <t>情報リテラシーA</t>
    <phoneticPr fontId="1"/>
  </si>
  <si>
    <t>データ構造とプログラミング基礎</t>
    <rPh sb="3" eb="5">
      <t>コウゾウ</t>
    </rPh>
    <rPh sb="13" eb="15">
      <t>キソ</t>
    </rPh>
    <phoneticPr fontId="1"/>
  </si>
  <si>
    <t>時系列データ解析</t>
    <rPh sb="0" eb="3">
      <t>ジケイレツ</t>
    </rPh>
    <rPh sb="6" eb="8">
      <t>カイセキ</t>
    </rPh>
    <phoneticPr fontId="1"/>
  </si>
  <si>
    <t>情報リテラシーB</t>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</si>
  <si>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</si>
  <si>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</si>
  <si>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</si>
  <si>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</si>
  <si>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</si>
  <si>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情報リテラシーB（データ活用実践（教師なし学習））</t>
    <rPh sb="0" eb="2">
      <t>ジョウホウ</t>
    </rPh>
    <phoneticPr fontId="1"/>
  </si>
  <si>
    <t>プログラムの授業内容等を公表しているアドレス</t>
    <rPh sb="6" eb="8">
      <t>ジュギョウ</t>
    </rPh>
    <rPh sb="8" eb="10">
      <t>ナイヨウ</t>
    </rPh>
    <rPh sb="10" eb="11">
      <t>トウ</t>
    </rPh>
    <rPh sb="12" eb="14">
      <t>コウヒョウ</t>
    </rPh>
    <phoneticPr fontId="1"/>
  </si>
  <si>
    <t>https://www.kagawa-u.ac.jp/research/education/27230/</t>
    <phoneticPr fontId="1"/>
  </si>
  <si>
    <t>プログラムの学修成果（学生等が身に付けられる能力等）</t>
  </si>
  <si>
    <t>1. 数理・データサイエンスの必要性を説明できる。
2. 地域を含む実社会での数理・データサイエンスの事例を例示できる。
3. どのような思考方法で数理・データサイエンスを扱うか、利用するアプリケーションも含めて説明できる。
4. 代表的な数理・データサイエンスの技術とその利点・欠点を概説できる。
5. 情報セキュリティ、情報モラルについて説明できる。</t>
    <rPh sb="90" eb="92">
      <t>リヨウ</t>
    </rPh>
    <rPh sb="103" eb="104">
      <t>フク</t>
    </rPh>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</si>
  <si>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</si>
  <si>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</si>
  <si>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</si>
  <si>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</si>
  <si>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</si>
  <si>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香川大学大学教育基盤センター規程</t>
    <phoneticPr fontId="1"/>
  </si>
  <si>
    <t>体制の目的</t>
    <rPh sb="0" eb="2">
      <t>タイセイ</t>
    </rPh>
    <rPh sb="3" eb="5">
      <t>モクテキ</t>
    </rPh>
    <phoneticPr fontId="1"/>
  </si>
  <si>
    <t>香川大学大学教育基盤センターは、教養教育の充実及び教養教育と専門教育の有機的連携を図り、香川大学の教育目標を達成するため、全学共通科目に係る企画、運営等を行う組織である。
同センターは、本学の全学共通科目の授業実施を円滑に行うとともに、全学共通教育について自己点検・評価し、その改革・改善の方策について調査研究を行うことや大学教育の開発を行うことで、大学教育の質的充実に資することを目的とする。その中でも特に、ICTを活用した教育を対象として、同センターの数理情報・遠隔教育部が情報リテラシーB、情報リテラシー実施部会が情報リテラシーAの運用の責任母体となる。</t>
    <phoneticPr fontId="1"/>
  </si>
  <si>
    <t>具体的な構成員</t>
    <rPh sb="0" eb="3">
      <t>グタイテキ</t>
    </rPh>
    <rPh sb="4" eb="7">
      <t>コウセイイン</t>
    </rPh>
    <phoneticPr fontId="1"/>
  </si>
  <si>
    <t>【数理情報・遠隔教育部】
教育学部　教授　宮崎　英一（数理情報・遠隔教育部長）
教育学部　教授　寺尾　徹
法学部　教授　山本　慎一
経済学部　教授　久松　博之
医学部　教授　横平　政直
創造工学部　教授　井面　仁志
創造工学部　教授　林　敏浩
創造工学部　准教授　後藤田　中
創造工学部　准教授　藤本　憲市
農学部　准教授　吉原　明秀
大学教育基盤センター　教授　長井　克己
大学教育基盤センター　准教授　佐藤　慶太
大学教育基盤センター　准教授　西本　佳代
大学教育基盤センター　特命講師　小坂　有資
大学教育基盤センター　特命助教　藤澤　修平
学術・地域連携推進室（情報グループ）　部門員　末廣　紀史
【情報リテラシー実施部会】
創造工学部　教授　林　敏浩（情報リテラシー実施部会長）
教育学部　教授　山田　貴志
教育学部　教授　宮﨑　英一
法学部　教授　山本　慎一
経済学部　教授　久松　博之
医学部　教授　横井　英人
創造工学部　講師　荒木　裕行
農学部　教授　田中　直孝
大学教育基盤センター　教授　最上　英明
大学教育基盤センター　グループ員　小橋　美幸</t>
    <rPh sb="13" eb="15">
      <t>キョウイク</t>
    </rPh>
    <rPh sb="15" eb="17">
      <t>ガクブ</t>
    </rPh>
    <rPh sb="18" eb="20">
      <t>キョウジュ</t>
    </rPh>
    <rPh sb="21" eb="23">
      <t>ミヤザキ</t>
    </rPh>
    <rPh sb="24" eb="26">
      <t>エイイチ</t>
    </rPh>
    <rPh sb="84" eb="86">
      <t>キョウジュ</t>
    </rPh>
    <rPh sb="117" eb="122">
      <t>ソウゾウコウガクブ</t>
    </rPh>
    <rPh sb="123" eb="126">
      <t>ジュンキョウジュ</t>
    </rPh>
    <rPh sb="236" eb="238">
      <t>トクメイ</t>
    </rPh>
    <rPh sb="238" eb="240">
      <t>コウシ</t>
    </rPh>
    <rPh sb="258" eb="260">
      <t>トクメイ</t>
    </rPh>
    <rPh sb="260" eb="262">
      <t>ジョキョウ</t>
    </rPh>
    <rPh sb="318" eb="320">
      <t>ソウゾウ</t>
    </rPh>
    <rPh sb="320" eb="323">
      <t>コウガクブ</t>
    </rPh>
    <rPh sb="324" eb="326">
      <t>キョウジュ</t>
    </rPh>
    <rPh sb="346" eb="348">
      <t>キョウイク</t>
    </rPh>
    <rPh sb="348" eb="350">
      <t>ガクブ</t>
    </rPh>
    <rPh sb="351" eb="353">
      <t>キョウジュ</t>
    </rPh>
    <rPh sb="360" eb="362">
      <t>キョウイク</t>
    </rPh>
    <rPh sb="362" eb="364">
      <t>ガクブ</t>
    </rPh>
    <rPh sb="365" eb="367">
      <t>キョウジュ</t>
    </rPh>
    <rPh sb="374" eb="377">
      <t>ホウガクブ</t>
    </rPh>
    <rPh sb="378" eb="380">
      <t>キョウジュ</t>
    </rPh>
    <rPh sb="387" eb="389">
      <t>ケイザイ</t>
    </rPh>
    <rPh sb="389" eb="391">
      <t>ガクブ</t>
    </rPh>
    <rPh sb="392" eb="394">
      <t>キョウジュ</t>
    </rPh>
    <rPh sb="401" eb="403">
      <t>イガク</t>
    </rPh>
    <rPh sb="403" eb="404">
      <t>ブ</t>
    </rPh>
    <rPh sb="405" eb="407">
      <t>キョウジュ</t>
    </rPh>
    <rPh sb="414" eb="416">
      <t>ソウゾウ</t>
    </rPh>
    <rPh sb="416" eb="419">
      <t>コウガクブ</t>
    </rPh>
    <rPh sb="420" eb="422">
      <t>コウシ</t>
    </rPh>
    <rPh sb="429" eb="432">
      <t>ノウガクブ</t>
    </rPh>
    <rPh sb="433" eb="435">
      <t>キョウジュ</t>
    </rPh>
    <rPh sb="442" eb="448">
      <t>ダイガクキョウイクキバン</t>
    </rPh>
    <rPh sb="453" eb="455">
      <t>キョウジュ</t>
    </rPh>
    <rPh sb="462" eb="468">
      <t>ダイガクキョウイクキバン</t>
    </rPh>
    <rPh sb="477" eb="478">
      <t>イン</t>
    </rPh>
    <phoneticPr fontId="1"/>
  </si>
  <si>
    <t>履修者数・履修率の向上に向けた計画</t>
    <rPh sb="5" eb="7">
      <t>リシュウ</t>
    </rPh>
    <rPh sb="7" eb="8">
      <t>リツ</t>
    </rPh>
    <phoneticPr fontId="1"/>
  </si>
  <si>
    <t>本プログラムを構成する科目は全学必修科目であり、全学生が履修する。</t>
    <rPh sb="0" eb="1">
      <t>ホン</t>
    </rPh>
    <rPh sb="7" eb="9">
      <t>コウセイ</t>
    </rPh>
    <rPh sb="11" eb="13">
      <t>カモク</t>
    </rPh>
    <rPh sb="14" eb="16">
      <t>ゼンガク</t>
    </rPh>
    <rPh sb="16" eb="20">
      <t>ヒッシュウカモク</t>
    </rPh>
    <rPh sb="24" eb="27">
      <t>ゼンガクセイ</t>
    </rPh>
    <rPh sb="28" eb="30">
      <t>リシュウ</t>
    </rPh>
    <phoneticPr fontId="1"/>
  </si>
  <si>
    <t>学部・学科に関係なく希望する学生全員が受講可能となるような必要な体制・取組等</t>
    <rPh sb="2" eb="4">
      <t>ヒツヨウ</t>
    </rPh>
    <rPh sb="5" eb="7">
      <t>タイセイ</t>
    </rPh>
    <rPh sb="8" eb="10">
      <t>トリクミ</t>
    </rPh>
    <rPh sb="10" eb="11">
      <t>トウ</t>
    </rPh>
    <phoneticPr fontId="1"/>
  </si>
  <si>
    <t>学部・学科に関係なく全学生が受講可能になるように、本プログラムを構成する科目は全学必修科目としている。</t>
    <rPh sb="0" eb="2">
      <t>ガクブ</t>
    </rPh>
    <rPh sb="3" eb="5">
      <t>ガッカ</t>
    </rPh>
    <rPh sb="6" eb="8">
      <t>カンケイ</t>
    </rPh>
    <rPh sb="10" eb="13">
      <t>ゼンガクセイ</t>
    </rPh>
    <rPh sb="14" eb="16">
      <t>ジュコウ</t>
    </rPh>
    <rPh sb="16" eb="18">
      <t>カノウ</t>
    </rPh>
    <rPh sb="25" eb="26">
      <t>ホン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</si>
  <si>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</si>
  <si>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学部・学科に関係なく全学生が受講可能になるように、本プログラムを構成する科目は全学必修科目としている。なお、履修漏れをふせぐため、１年次には教務システムに当該科目が自動登録される仕組みになっている。</t>
    <rPh sb="54" eb="56">
      <t>リシュウ</t>
    </rPh>
    <rPh sb="56" eb="57">
      <t>モ</t>
    </rPh>
    <rPh sb="66" eb="68">
      <t>ネンジ</t>
    </rPh>
    <rPh sb="70" eb="72">
      <t>キョウム</t>
    </rPh>
    <rPh sb="77" eb="79">
      <t>トウガイ</t>
    </rPh>
    <rPh sb="79" eb="81">
      <t>カモク</t>
    </rPh>
    <rPh sb="82" eb="84">
      <t>ジドウ</t>
    </rPh>
    <rPh sb="84" eb="86">
      <t>トウロク</t>
    </rPh>
    <rPh sb="89" eb="91">
      <t>シク</t>
    </rPh>
    <phoneticPr fontId="1"/>
  </si>
  <si>
    <t>できる限り多くの学生が履修・修得できるようなサポート体制</t>
    <rPh sb="26" eb="28">
      <t>タイセイ</t>
    </rPh>
    <phoneticPr fontId="1"/>
  </si>
  <si>
    <t>学部・学科に関係なく全学生が受講可能になるように、本プログラムを構成する科目は全学必修科目としている。なお、情報リテラシーBはe-Learning科目で運用されており、LMS上でいつでもどこからでも講義の閲覧が可能な環境を構築している。また、学習意欲の高い学生には情報リテラシーBの内容を超えた内容のe-Learningコンテンツも閲覧できるようにしている。一方、情報リテラシーAは対面授業を基本とするが、本学のLMS上に講義コースとして設定されており、履修者は講義資料などをいつでもどこからでも閲覧・取得が可能な環境を構築している。</t>
    <rPh sb="54" eb="56">
      <t>ジョウホウ</t>
    </rPh>
    <rPh sb="73" eb="75">
      <t>カモク</t>
    </rPh>
    <rPh sb="76" eb="78">
      <t>ウンヨウ</t>
    </rPh>
    <rPh sb="87" eb="88">
      <t>ジョウ</t>
    </rPh>
    <rPh sb="99" eb="101">
      <t>コウギ</t>
    </rPh>
    <rPh sb="102" eb="104">
      <t>エツラン</t>
    </rPh>
    <rPh sb="105" eb="107">
      <t>カノウ</t>
    </rPh>
    <rPh sb="108" eb="110">
      <t>カンキョウ</t>
    </rPh>
    <rPh sb="111" eb="113">
      <t>コウチク</t>
    </rPh>
    <rPh sb="121" eb="123">
      <t>ガクシュウ</t>
    </rPh>
    <rPh sb="123" eb="125">
      <t>イヨク</t>
    </rPh>
    <rPh sb="126" eb="127">
      <t>タカ</t>
    </rPh>
    <rPh sb="128" eb="130">
      <t>ガクセイ</t>
    </rPh>
    <rPh sb="141" eb="143">
      <t>ナイヨウ</t>
    </rPh>
    <rPh sb="144" eb="145">
      <t>コ</t>
    </rPh>
    <rPh sb="147" eb="149">
      <t>ナイヨウ</t>
    </rPh>
    <rPh sb="166" eb="168">
      <t>エツラン</t>
    </rPh>
    <phoneticPr fontId="1"/>
  </si>
  <si>
    <t>授業時間内外で学習指導、質問を受け付ける具体的な仕組み</t>
    <rPh sb="20" eb="23">
      <t>グタイテキ</t>
    </rPh>
    <phoneticPr fontId="1"/>
  </si>
  <si>
    <t>毎週、１コマ（90分）の対面によるオフィスアワーの時間を設けており、履修者は時間外に質問や問い合わせをすることができる。また、Web会議システムを利用してオンラインでもオフィスアワーの利用を可能としている。また、LMSを活用することにより履修指導や案内に関する情報を閲覧できる掲示版を運用している。さらに、教員のメールアドレスが開示されており、学生は電子メールにより質問や問い合わせをすることができる。</t>
    <rPh sb="0" eb="2">
      <t>マイシュウ</t>
    </rPh>
    <rPh sb="9" eb="10">
      <t>フン</t>
    </rPh>
    <rPh sb="12" eb="14">
      <t>タイメン</t>
    </rPh>
    <rPh sb="25" eb="27">
      <t>ジカン</t>
    </rPh>
    <rPh sb="28" eb="29">
      <t>モウ</t>
    </rPh>
    <rPh sb="34" eb="36">
      <t>リシュウ</t>
    </rPh>
    <rPh sb="36" eb="37">
      <t>シャ</t>
    </rPh>
    <rPh sb="38" eb="41">
      <t>ジカンガイ</t>
    </rPh>
    <rPh sb="42" eb="44">
      <t>シツモン</t>
    </rPh>
    <rPh sb="45" eb="46">
      <t>ト</t>
    </rPh>
    <rPh sb="47" eb="48">
      <t>ア</t>
    </rPh>
    <rPh sb="66" eb="68">
      <t>カイギ</t>
    </rPh>
    <rPh sb="73" eb="75">
      <t>リヨウ</t>
    </rPh>
    <rPh sb="92" eb="94">
      <t>リヨウ</t>
    </rPh>
    <rPh sb="95" eb="97">
      <t>カノウ</t>
    </rPh>
    <rPh sb="110" eb="112">
      <t>カツヨウ</t>
    </rPh>
    <rPh sb="119" eb="121">
      <t>リシュウ</t>
    </rPh>
    <rPh sb="121" eb="123">
      <t>シドウ</t>
    </rPh>
    <rPh sb="124" eb="126">
      <t>アンナイ</t>
    </rPh>
    <rPh sb="127" eb="128">
      <t>カン</t>
    </rPh>
    <rPh sb="130" eb="132">
      <t>ジョウホウ</t>
    </rPh>
    <rPh sb="133" eb="135">
      <t>エツラン</t>
    </rPh>
    <rPh sb="138" eb="141">
      <t>ケイジバン</t>
    </rPh>
    <rPh sb="142" eb="144">
      <t>ウンヨウ</t>
    </rPh>
    <rPh sb="153" eb="155">
      <t>キョウイン</t>
    </rPh>
    <rPh sb="164" eb="166">
      <t>カイジ</t>
    </rPh>
    <rPh sb="172" eb="174">
      <t>ガクセイ</t>
    </rPh>
    <rPh sb="175" eb="177">
      <t>デンシ</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</si>
  <si>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</si>
  <si>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</si>
  <si>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</si>
  <si>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</si>
  <si>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</si>
  <si>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</si>
  <si>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</si>
  <si>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</si>
  <si>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情報リテラシーAは情報リテラシー実施部会において履修・修得状況を把握する。また、情報リテラシー実施部会では担当教員の陪席により実際の運用状況を部会で共有して、問題点や改善点の洗い出しを行う。e-Learning科目として運用する情報リテラシーBはLMSの学習ログデータから履修・取得状況の分析を実施し、履修データ分析システムの活用により、受講者毎の講義演習進捗状況や課題への回答状況を把握することができる。これらの情報は大学教育基盤センター共通教育委員会で報告義務があり、上位委員でチェックを受ける体制となっている。</t>
    <rPh sb="0" eb="2">
      <t>ジョウホウ</t>
    </rPh>
    <rPh sb="9" eb="11">
      <t>ジョウホウ</t>
    </rPh>
    <rPh sb="16" eb="18">
      <t>ジッシ</t>
    </rPh>
    <rPh sb="18" eb="20">
      <t>ブカイ</t>
    </rPh>
    <rPh sb="32" eb="34">
      <t>ハアク</t>
    </rPh>
    <rPh sb="53" eb="55">
      <t>タントウ</t>
    </rPh>
    <rPh sb="55" eb="57">
      <t>キョウイン</t>
    </rPh>
    <rPh sb="58" eb="60">
      <t>バイセキ</t>
    </rPh>
    <rPh sb="63" eb="65">
      <t>ジッサイ</t>
    </rPh>
    <rPh sb="66" eb="68">
      <t>ウンヨウ</t>
    </rPh>
    <rPh sb="68" eb="70">
      <t>ジョウキョウ</t>
    </rPh>
    <rPh sb="71" eb="73">
      <t>ブカイ</t>
    </rPh>
    <rPh sb="74" eb="76">
      <t>キョウユウ</t>
    </rPh>
    <rPh sb="79" eb="81">
      <t>モンダイ</t>
    </rPh>
    <rPh sb="81" eb="82">
      <t>テン</t>
    </rPh>
    <rPh sb="83" eb="85">
      <t>カイゼン</t>
    </rPh>
    <rPh sb="85" eb="86">
      <t>テン</t>
    </rPh>
    <rPh sb="87" eb="88">
      <t>アラ</t>
    </rPh>
    <rPh sb="89" eb="90">
      <t>ダ</t>
    </rPh>
    <rPh sb="92" eb="93">
      <t>オコナ</t>
    </rPh>
    <rPh sb="105" eb="107">
      <t>カモク</t>
    </rPh>
    <rPh sb="110" eb="112">
      <t>ウンヨウ</t>
    </rPh>
    <rPh sb="127" eb="129">
      <t>ガクシュウ</t>
    </rPh>
    <rPh sb="207" eb="209">
      <t>ジョウホウ</t>
    </rPh>
    <rPh sb="210" eb="212">
      <t>ダイガク</t>
    </rPh>
    <rPh sb="212" eb="214">
      <t>キョウイク</t>
    </rPh>
    <rPh sb="214" eb="216">
      <t>キバン</t>
    </rPh>
    <rPh sb="220" eb="222">
      <t>キョウツウ</t>
    </rPh>
    <rPh sb="222" eb="224">
      <t>キョウイク</t>
    </rPh>
    <rPh sb="224" eb="227">
      <t>イインカイ</t>
    </rPh>
    <rPh sb="228" eb="230">
      <t>ホウコク</t>
    </rPh>
    <rPh sb="230" eb="232">
      <t>ギム</t>
    </rPh>
    <rPh sb="236" eb="238">
      <t>ジョウイ</t>
    </rPh>
    <rPh sb="246" eb="247">
      <t>ウ</t>
    </rPh>
    <rPh sb="249" eb="251">
      <t>タイセイ</t>
    </rPh>
    <phoneticPr fontId="1"/>
  </si>
  <si>
    <t>学修成果</t>
    <rPh sb="0" eb="2">
      <t>ガクシュウ</t>
    </rPh>
    <rPh sb="2" eb="4">
      <t>セイカ</t>
    </rPh>
    <phoneticPr fontId="1"/>
  </si>
  <si>
    <t>e-Learning科目として運用する情報リテラシーBはLMSの学習ログデータから履修・取得状況の分析を実施して、授業内容の学生の理解度などの学習成果情報を把握できる。これら情報を数理情報・遠隔教育部（主幹）と情報リテラシー実施部会が連携して、教育プログラムの評価・改善に活用している。</t>
    <rPh sb="71" eb="73">
      <t>ガクシュウ</t>
    </rPh>
    <rPh sb="73" eb="75">
      <t>セイカ</t>
    </rPh>
    <rPh sb="75" eb="77">
      <t>ジョウホウ</t>
    </rPh>
    <rPh sb="78" eb="80">
      <t>ハアク</t>
    </rPh>
    <rPh sb="87" eb="89">
      <t>ジョウホウ</t>
    </rPh>
    <rPh sb="101" eb="103">
      <t>シュカン</t>
    </rPh>
    <rPh sb="105" eb="107">
      <t>ジョウホウ</t>
    </rPh>
    <rPh sb="112" eb="114">
      <t>ジッシ</t>
    </rPh>
    <rPh sb="114" eb="116">
      <t>ブカイ</t>
    </rPh>
    <rPh sb="117" eb="119">
      <t>レンケイ</t>
    </rPh>
    <rPh sb="122" eb="124">
      <t>キョウイク</t>
    </rPh>
    <rPh sb="130" eb="132">
      <t>ヒョウカ</t>
    </rPh>
    <rPh sb="133" eb="135">
      <t>カイゼン</t>
    </rPh>
    <rPh sb="136" eb="138">
      <t>カツヨウ</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</si>
  <si>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</si>
  <si>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プログラムの２科目を含む香川大学全学共通科目は学生による授業評価アンケートを実施しており、科目ごとに理解度等を分析できる仕組みになっている。また、情報リテラシーBは学生による授業評価アンケート以外の独自アンケートを実施しており、学生の内容の理解度をより深く調査できる。</t>
    <rPh sb="0" eb="1">
      <t>ホン</t>
    </rPh>
    <rPh sb="8" eb="10">
      <t>カモク</t>
    </rPh>
    <rPh sb="11" eb="12">
      <t>フク</t>
    </rPh>
    <rPh sb="13" eb="17">
      <t>カガワダイガク</t>
    </rPh>
    <rPh sb="17" eb="19">
      <t>ゼンガク</t>
    </rPh>
    <rPh sb="19" eb="21">
      <t>キョウツウ</t>
    </rPh>
    <rPh sb="21" eb="23">
      <t>カモク</t>
    </rPh>
    <rPh sb="24" eb="26">
      <t>ガクセイ</t>
    </rPh>
    <rPh sb="29" eb="31">
      <t>ジュギョウ</t>
    </rPh>
    <rPh sb="31" eb="33">
      <t>ヒョウカ</t>
    </rPh>
    <rPh sb="39" eb="41">
      <t>ジッシ</t>
    </rPh>
    <rPh sb="46" eb="48">
      <t>カモク</t>
    </rPh>
    <rPh sb="51" eb="54">
      <t>リカイド</t>
    </rPh>
    <rPh sb="54" eb="55">
      <t>ナド</t>
    </rPh>
    <rPh sb="56" eb="58">
      <t>ブンセキ</t>
    </rPh>
    <rPh sb="61" eb="63">
      <t>シク</t>
    </rPh>
    <rPh sb="74" eb="76">
      <t>ジョウホウ</t>
    </rPh>
    <rPh sb="97" eb="99">
      <t>イガイ</t>
    </rPh>
    <rPh sb="100" eb="102">
      <t>ドクジ</t>
    </rPh>
    <rPh sb="108" eb="110">
      <t>ジッシ</t>
    </rPh>
    <rPh sb="127" eb="128">
      <t>フカ</t>
    </rPh>
    <rPh sb="129" eb="131">
      <t>チョウサ</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</si>
  <si>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</si>
  <si>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プログラムの２科目は全学必修科目なので、学生アンケートなどを用いた後輩等他の学生への推奨に関する明示的な取り組みは実施していない。なお、本プログラムの取り組みは教育工学系学会で成果報告をしている。さらに、本プログラムの取り組みが他機関によってWebなどで紹介されている。このような情報で学生への履修のモチベーションを高めるものは学生向けに周知する予定である。</t>
    <rPh sb="11" eb="13">
      <t>ゼンガク</t>
    </rPh>
    <rPh sb="13" eb="15">
      <t>ヒッシュウ</t>
    </rPh>
    <rPh sb="15" eb="17">
      <t>カモク</t>
    </rPh>
    <rPh sb="21" eb="23">
      <t>ガクセイ</t>
    </rPh>
    <rPh sb="31" eb="32">
      <t>モチ</t>
    </rPh>
    <rPh sb="46" eb="47">
      <t>カン</t>
    </rPh>
    <rPh sb="49" eb="51">
      <t>メイジ</t>
    </rPh>
    <rPh sb="51" eb="52">
      <t>テキ</t>
    </rPh>
    <rPh sb="53" eb="54">
      <t>ト</t>
    </rPh>
    <rPh sb="55" eb="56">
      <t>ク</t>
    </rPh>
    <rPh sb="58" eb="60">
      <t>ジッシ</t>
    </rPh>
    <rPh sb="69" eb="70">
      <t>ホン</t>
    </rPh>
    <rPh sb="76" eb="77">
      <t>ト</t>
    </rPh>
    <rPh sb="78" eb="79">
      <t>ク</t>
    </rPh>
    <rPh sb="81" eb="83">
      <t>キョウイク</t>
    </rPh>
    <rPh sb="83" eb="85">
      <t>コウガク</t>
    </rPh>
    <rPh sb="85" eb="86">
      <t>ケイ</t>
    </rPh>
    <rPh sb="86" eb="88">
      <t>ガッカイ</t>
    </rPh>
    <rPh sb="89" eb="91">
      <t>セイカ</t>
    </rPh>
    <rPh sb="91" eb="93">
      <t>ホウコク</t>
    </rPh>
    <rPh sb="103" eb="104">
      <t>ホン</t>
    </rPh>
    <rPh sb="110" eb="111">
      <t>ト</t>
    </rPh>
    <rPh sb="112" eb="113">
      <t>ク</t>
    </rPh>
    <rPh sb="115" eb="118">
      <t>タキカン</t>
    </rPh>
    <rPh sb="128" eb="130">
      <t>ショウカイ</t>
    </rPh>
    <rPh sb="141" eb="143">
      <t>ジョウホウ</t>
    </rPh>
    <rPh sb="144" eb="146">
      <t>ガクセイ</t>
    </rPh>
    <rPh sb="148" eb="150">
      <t>リシュウ</t>
    </rPh>
    <rPh sb="159" eb="160">
      <t>タカ</t>
    </rPh>
    <rPh sb="165" eb="167">
      <t>ガクセイ</t>
    </rPh>
    <rPh sb="167" eb="168">
      <t>ム</t>
    </rPh>
    <rPh sb="170" eb="172">
      <t>シュウチ</t>
    </rPh>
    <rPh sb="174" eb="176">
      <t>ヨテイ</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</si>
  <si>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</si>
  <si>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を構成する２科目（情報リテラシーA、情報リテラシーB）は令和２年度から全学必修であり、香川大学の全ての学生が履修する。また、数理情報・遠隔教育部会（主幹）と情報リテラシー実施部会を定期的に実施し、全学における数理・データサイエンス・AI教育の内容について教育工学、情報工学、人工知能などの専門分野からの観点も取り入れ見直し等を検討し、より学生の履修を推進している。</t>
    <rPh sb="140" eb="142">
      <t>ジョウホウ</t>
    </rPh>
    <rPh sb="142" eb="144">
      <t>コウガク</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</si>
  <si>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</si>
  <si>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</si>
  <si>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６年度以降の卒業生調査において、本教育プログラムを修了した卒業生の進路先や活躍状況の把握が可能である。また、就職先を中心とした企業調査の仕組みを活用して、本教育プログラムを修了した卒業生における採用状況や企業評価を把握する仕組みを構築していく。</t>
    <rPh sb="0" eb="2">
      <t>レイワ</t>
    </rPh>
    <rPh sb="3" eb="4">
      <t>ネン</t>
    </rPh>
    <rPh sb="4" eb="5">
      <t>ド</t>
    </rPh>
    <rPh sb="5" eb="7">
      <t>イコウ</t>
    </rPh>
    <rPh sb="56" eb="58">
      <t>シュウショク</t>
    </rPh>
    <rPh sb="58" eb="59">
      <t>サキ</t>
    </rPh>
    <rPh sb="60" eb="62">
      <t>チュウシン</t>
    </rPh>
    <rPh sb="70" eb="72">
      <t>シク</t>
    </rPh>
    <rPh sb="74" eb="76">
      <t>カツヨウ</t>
    </rPh>
    <rPh sb="117" eb="119">
      <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</si>
  <si>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</si>
  <si>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情報リテラシーBで閲覧・学習できるe-Learningコンテンツは香川大学と株式会社ベネッセコーポレーションの数理・データサイエンス教育に関する共同研究の成果として提供されている（e-Learningコンテンツは香川大学、ベネッセコーポレーション、および株式会社キカガクによる共同開発である）。株式会社ベネッセコーポレーションは多様な業態の企業を顧客としているので、このような共同研究を踏まえ、本教育プログラム内容・手法には産業界の視点が十分反映されていると言える。</t>
    <rPh sb="38" eb="42">
      <t>カブシキガイシャ</t>
    </rPh>
    <rPh sb="106" eb="110">
      <t>カガワダイガク</t>
    </rPh>
    <rPh sb="127" eb="131">
      <t>カブシキガイシャ</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</si>
  <si>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</si>
  <si>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スモールステップの原則に基づき、１年次第１クオーター、情報リテラシーAによりコンピュータ利用の基礎・基本を学び、それを踏まえ、第２クオーターで情報リテラシーBにより数理・データサイエンス・AIの基礎を学ぶ。情報リテラシーBでは時事やトレンドなど社会での実例として、地域の取り組み（香川県域における香川大学教員の実践事例）も交え、好奇心を促す講義内容と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</si>
  <si>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</si>
  <si>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生による授業評価アンケート（全学共通の評価アンケートと情報リテラシーB独自のアンケート）及び共同研究企業（ベネッセ・コーポレーション）からの意見を参考に、情報リテラシーBについて、学生の「分かりやすさ」の観点から講義の内容・実施方法の継続的な改善を検討する。また、情報リテラシーAでは情報リテラシーBを支える基礎科目と何を事前に学習すべきか、情報リテラシー実施部会で検討を進める。</t>
    <rPh sb="0" eb="2">
      <t>ガクセイ</t>
    </rPh>
    <rPh sb="5" eb="7">
      <t>ジュギョウ</t>
    </rPh>
    <rPh sb="7" eb="9">
      <t>ヒョウカ</t>
    </rPh>
    <rPh sb="15" eb="17">
      <t>ゼンガク</t>
    </rPh>
    <rPh sb="17" eb="19">
      <t>キョウツウ</t>
    </rPh>
    <rPh sb="20" eb="22">
      <t>ヒョウカ</t>
    </rPh>
    <rPh sb="28" eb="30">
      <t>ジョウホウ</t>
    </rPh>
    <rPh sb="36" eb="38">
      <t>ドクジ</t>
    </rPh>
    <rPh sb="47" eb="49">
      <t>キョウドウ</t>
    </rPh>
    <rPh sb="49" eb="51">
      <t>ケンキュウ</t>
    </rPh>
    <rPh sb="78" eb="80">
      <t>ジョウホウ</t>
    </rPh>
    <rPh sb="118" eb="120">
      <t>ケイゾク</t>
    </rPh>
    <rPh sb="120" eb="121">
      <t>テキ</t>
    </rPh>
    <rPh sb="122" eb="124">
      <t>カイゼン</t>
    </rPh>
    <rPh sb="133" eb="135">
      <t>ジョウホウ</t>
    </rPh>
    <rPh sb="143" eb="145">
      <t>ジョウホウ</t>
    </rPh>
    <rPh sb="152" eb="153">
      <t>ササ</t>
    </rPh>
    <rPh sb="155" eb="157">
      <t>キソ</t>
    </rPh>
    <rPh sb="157" eb="159">
      <t>カモク</t>
    </rPh>
    <rPh sb="160" eb="161">
      <t>ナニ</t>
    </rPh>
    <rPh sb="162" eb="164">
      <t>ジゼン</t>
    </rPh>
    <rPh sb="165" eb="167">
      <t>ガクシュウ</t>
    </rPh>
    <rPh sb="172" eb="174">
      <t>ジョウホウ</t>
    </rPh>
    <rPh sb="179" eb="181">
      <t>ジッシ</t>
    </rPh>
    <rPh sb="181" eb="183">
      <t>ブカイ</t>
    </rPh>
    <rPh sb="184" eb="186">
      <t>ケントウ</t>
    </rPh>
    <rPh sb="187" eb="188">
      <t>スス</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</si>
  <si>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</si>
  <si>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</si>
  <si>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</si>
  <si>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https://www.kagawa-u.ac.jp/high-edu/teachers/news/fd-3-2-2-2/</t>
    <phoneticPr fontId="1"/>
  </si>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</sst>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11"/>
      <name val="ＭＳ Ｐゴシック"/>
      <family val="3"/>
      <charset val="128"/>
      <scheme val="minor"/>
    </font>
    <font>
      <u/>
      <sz val="1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4" fillId="0" borderId="21" xfId="0" applyFont="1" applyBorder="1" applyAlignment="1">
      <alignment vertical="top" wrapText="1"/>
    </xf>
    <xf numFmtId="0" fontId="3" fillId="0" borderId="0" xfId="0" applyFont="1" applyAlignment="1">
      <alignment vertical="center" wrapText="1"/>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2" fillId="0" borderId="0" xfId="0" applyFont="1" applyAlignment="1">
      <alignment horizontal="center" vertical="center"/>
    </xf>
    <xf numFmtId="0" fontId="12" fillId="0" borderId="0" xfId="0" applyFont="1">
      <alignment vertical="center"/>
    </xf>
    <xf numFmtId="0" fontId="15" fillId="0" borderId="0" xfId="0" applyFont="1" applyBorder="1" applyAlignment="1">
      <alignment vertical="center" shrinkToFit="1"/>
    </xf>
    <xf numFmtId="0" fontId="15"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6" fillId="0" borderId="0" xfId="2" applyNumberFormat="1" applyFont="1" applyBorder="1" applyAlignment="1">
      <alignment vertical="center" shrinkToFit="1"/>
    </xf>
    <xf numFmtId="0" fontId="3" fillId="0" borderId="0" xfId="0" applyFont="1" applyAlignment="1">
      <alignment vertical="center" shrinkToFit="1"/>
    </xf>
    <xf numFmtId="0" fontId="17"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176" fontId="2" fillId="0" borderId="0" xfId="0" applyNumberFormat="1" applyFont="1">
      <alignment vertical="center"/>
    </xf>
    <xf numFmtId="176" fontId="3" fillId="0" borderId="20"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0" fontId="15" fillId="0" borderId="21" xfId="0" applyFont="1" applyFill="1" applyBorder="1" applyAlignment="1">
      <alignment vertical="top" shrinkToFit="1"/>
    </xf>
    <xf numFmtId="0" fontId="15" fillId="0" borderId="19" xfId="0" applyFont="1" applyFill="1" applyBorder="1" applyAlignment="1">
      <alignment vertical="top" shrinkToFit="1"/>
    </xf>
    <xf numFmtId="0" fontId="9" fillId="0" borderId="0" xfId="0" applyFont="1" applyFill="1">
      <alignment vertical="center"/>
    </xf>
    <xf numFmtId="0" fontId="9" fillId="0" borderId="0" xfId="0" applyFont="1" applyFill="1" applyAlignment="1">
      <alignment horizontal="right" vertical="center"/>
    </xf>
    <xf numFmtId="0" fontId="9" fillId="0" borderId="11" xfId="0" applyFont="1" applyFill="1" applyBorder="1" applyAlignment="1">
      <alignment horizontal="center" vertical="center"/>
    </xf>
    <xf numFmtId="0" fontId="9" fillId="0" borderId="10" xfId="0" applyFont="1" applyBorder="1" applyAlignment="1">
      <alignment vertical="center" shrinkToFit="1"/>
    </xf>
    <xf numFmtId="176" fontId="3" fillId="0" borderId="5"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0" fontId="2" fillId="0" borderId="0" xfId="0" applyFont="1" applyAlignment="1">
      <alignment horizontal="center" vertical="center"/>
    </xf>
    <xf numFmtId="0" fontId="9" fillId="0" borderId="0" xfId="0" applyFont="1" applyBorder="1" applyAlignment="1">
      <alignment horizontal="center" vertical="center"/>
    </xf>
    <xf numFmtId="0" fontId="9" fillId="0" borderId="2" xfId="0" applyFont="1" applyFill="1" applyBorder="1" applyAlignment="1">
      <alignment horizontal="center" vertical="center" shrinkToFit="1"/>
    </xf>
    <xf numFmtId="0" fontId="9" fillId="0" borderId="2" xfId="0" applyFont="1" applyFill="1" applyBorder="1" applyAlignment="1">
      <alignment vertical="center" shrinkToFit="1"/>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0" fontId="3" fillId="0" borderId="0" xfId="0" applyFont="1" applyBorder="1" applyAlignment="1">
      <alignment vertical="top" wrapText="1"/>
    </xf>
    <xf numFmtId="0" fontId="2" fillId="0" borderId="0" xfId="0" applyFont="1" applyAlignment="1">
      <alignment horizontal="right" vertical="center"/>
    </xf>
    <xf numFmtId="0" fontId="3" fillId="0" borderId="0" xfId="0" applyFont="1" applyAlignment="1">
      <alignment horizontal="center" vertical="center"/>
    </xf>
    <xf numFmtId="0" fontId="3" fillId="0" borderId="20" xfId="0" applyFont="1" applyBorder="1" applyAlignment="1">
      <alignment vertical="center" shrinkToFit="1"/>
    </xf>
    <xf numFmtId="0" fontId="2"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9" fillId="0" borderId="0" xfId="0" applyFont="1" applyBorder="1" applyAlignment="1">
      <alignment vertical="center" shrinkToFit="1"/>
    </xf>
    <xf numFmtId="176" fontId="9" fillId="0" borderId="2" xfId="0" applyNumberFormat="1" applyFont="1" applyFill="1" applyBorder="1" applyAlignment="1">
      <alignment horizontal="center" vertical="center" shrinkToFit="1"/>
    </xf>
    <xf numFmtId="176" fontId="9" fillId="0" borderId="4" xfId="0" applyNumberFormat="1" applyFont="1" applyFill="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0" xfId="0" applyFont="1" applyBorder="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9" fillId="0" borderId="3" xfId="0" applyNumberFormat="1" applyFont="1" applyFill="1" applyBorder="1" applyAlignment="1">
      <alignment horizontal="center" vertical="center" shrinkToFit="1"/>
    </xf>
    <xf numFmtId="0" fontId="9" fillId="0" borderId="0" xfId="0" applyFont="1" applyBorder="1" applyAlignment="1">
      <alignment horizontal="center" vertical="center" shrinkToFi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49" fontId="19" fillId="0" borderId="2" xfId="2" applyNumberFormat="1" applyFont="1" applyFill="1" applyBorder="1" applyAlignment="1">
      <alignment vertical="center" shrinkToFit="1"/>
    </xf>
    <xf numFmtId="49" fontId="9" fillId="0" borderId="3" xfId="0" applyNumberFormat="1" applyFont="1" applyFill="1" applyBorder="1" applyAlignment="1">
      <alignment vertical="center" shrinkToFit="1"/>
    </xf>
    <xf numFmtId="49" fontId="9" fillId="0" borderId="4" xfId="0" applyNumberFormat="1" applyFont="1" applyFill="1" applyBorder="1" applyAlignment="1">
      <alignment vertical="center" shrinkToFit="1"/>
    </xf>
    <xf numFmtId="49" fontId="9" fillId="0" borderId="2" xfId="1" applyNumberFormat="1" applyFont="1" applyFill="1" applyBorder="1" applyAlignment="1">
      <alignment horizontal="center" vertical="center" shrinkToFit="1"/>
    </xf>
    <xf numFmtId="49" fontId="9" fillId="0" borderId="3" xfId="1" applyNumberFormat="1" applyFont="1" applyFill="1" applyBorder="1" applyAlignment="1">
      <alignment horizontal="center" vertical="center" shrinkToFit="1"/>
    </xf>
    <xf numFmtId="49" fontId="9" fillId="0" borderId="4" xfId="1" applyNumberFormat="1" applyFont="1" applyFill="1" applyBorder="1" applyAlignment="1">
      <alignment horizontal="center" vertical="center" shrinkToFit="1"/>
    </xf>
    <xf numFmtId="0" fontId="9" fillId="0" borderId="2" xfId="0" applyFont="1" applyFill="1" applyBorder="1" applyAlignment="1">
      <alignment vertical="center" shrinkToFit="1"/>
    </xf>
    <xf numFmtId="0" fontId="9" fillId="0" borderId="3" xfId="0" applyFont="1" applyFill="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shrinkToFit="1"/>
    </xf>
    <xf numFmtId="0" fontId="3" fillId="0" borderId="16" xfId="0" applyFont="1" applyBorder="1" applyAlignment="1">
      <alignment vertical="center" wrapText="1"/>
    </xf>
    <xf numFmtId="0" fontId="3" fillId="0" borderId="42" xfId="0" applyFont="1" applyBorder="1" applyAlignment="1">
      <alignment vertical="center" wrapText="1"/>
    </xf>
    <xf numFmtId="0" fontId="9" fillId="0" borderId="7" xfId="0" applyFont="1" applyFill="1" applyBorder="1" applyAlignment="1">
      <alignment horizontal="left" vertical="top" wrapText="1" shrinkToFit="1"/>
    </xf>
    <xf numFmtId="0" fontId="9" fillId="0" borderId="8" xfId="0" applyFont="1" applyFill="1" applyBorder="1" applyAlignment="1">
      <alignment horizontal="left" vertical="top" wrapText="1" shrinkToFit="1"/>
    </xf>
    <xf numFmtId="0" fontId="9" fillId="0" borderId="9" xfId="0" applyFont="1" applyFill="1" applyBorder="1" applyAlignment="1">
      <alignment horizontal="left" vertical="top" wrapText="1" shrinkToFit="1"/>
    </xf>
    <xf numFmtId="0" fontId="9" fillId="0" borderId="5" xfId="0" applyFont="1" applyFill="1" applyBorder="1" applyAlignment="1">
      <alignment horizontal="left" vertical="top" wrapText="1" shrinkToFit="1"/>
    </xf>
    <xf numFmtId="0" fontId="9" fillId="0" borderId="0" xfId="0" applyFont="1" applyFill="1" applyBorder="1" applyAlignment="1">
      <alignment horizontal="left" vertical="top" wrapText="1" shrinkToFit="1"/>
    </xf>
    <xf numFmtId="0" fontId="9" fillId="0" borderId="10" xfId="0" applyFont="1" applyFill="1" applyBorder="1" applyAlignment="1">
      <alignment horizontal="left" vertical="top" wrapText="1" shrinkToFit="1"/>
    </xf>
    <xf numFmtId="0" fontId="9" fillId="0" borderId="11" xfId="0" applyFont="1" applyFill="1" applyBorder="1" applyAlignment="1">
      <alignment horizontal="left" vertical="top" wrapText="1" shrinkToFit="1"/>
    </xf>
    <xf numFmtId="0" fontId="9" fillId="0" borderId="6" xfId="0" applyFont="1" applyFill="1" applyBorder="1" applyAlignment="1">
      <alignment horizontal="left" vertical="top" wrapText="1" shrinkToFit="1"/>
    </xf>
    <xf numFmtId="0" fontId="9" fillId="0" borderId="12" xfId="0" applyFont="1" applyFill="1" applyBorder="1" applyAlignment="1">
      <alignment horizontal="left" vertical="top" wrapText="1" shrinkToFit="1"/>
    </xf>
    <xf numFmtId="0" fontId="3" fillId="0" borderId="13" xfId="0" applyFont="1" applyBorder="1" applyAlignment="1">
      <alignment vertical="center" wrapText="1"/>
    </xf>
    <xf numFmtId="0" fontId="2" fillId="0" borderId="0" xfId="0" applyFont="1" applyAlignment="1">
      <alignment horizontal="center" vertical="center"/>
    </xf>
    <xf numFmtId="0" fontId="9" fillId="0" borderId="7" xfId="0" applyFont="1" applyFill="1" applyBorder="1" applyAlignment="1">
      <alignment horizontal="left" vertical="top" wrapText="1"/>
    </xf>
    <xf numFmtId="0" fontId="9" fillId="0" borderId="8" xfId="0" applyFont="1" applyFill="1" applyBorder="1" applyAlignment="1">
      <alignment horizontal="left" vertical="top" wrapText="1"/>
    </xf>
    <xf numFmtId="0" fontId="9" fillId="0" borderId="9" xfId="0" applyFont="1" applyFill="1" applyBorder="1" applyAlignment="1">
      <alignment horizontal="left" vertical="top" wrapText="1"/>
    </xf>
    <xf numFmtId="0" fontId="9" fillId="0" borderId="5" xfId="0" applyFont="1" applyFill="1" applyBorder="1" applyAlignment="1">
      <alignment horizontal="left" vertical="top" wrapText="1"/>
    </xf>
    <xf numFmtId="0" fontId="9" fillId="0" borderId="0" xfId="0" applyFont="1" applyFill="1" applyBorder="1" applyAlignment="1">
      <alignment horizontal="left" vertical="top" wrapText="1"/>
    </xf>
    <xf numFmtId="0" fontId="9" fillId="0" borderId="10" xfId="0" applyFont="1" applyFill="1" applyBorder="1" applyAlignment="1">
      <alignment horizontal="left" vertical="top" wrapText="1"/>
    </xf>
    <xf numFmtId="0" fontId="9" fillId="0" borderId="11" xfId="0" applyFont="1" applyFill="1" applyBorder="1" applyAlignment="1">
      <alignment horizontal="left" vertical="top" wrapText="1"/>
    </xf>
    <xf numFmtId="0" fontId="9" fillId="0" borderId="6" xfId="0" applyFont="1" applyFill="1" applyBorder="1" applyAlignment="1">
      <alignment horizontal="left" vertical="top" wrapText="1"/>
    </xf>
    <xf numFmtId="0" fontId="9" fillId="0" borderId="12" xfId="0" applyFont="1" applyFill="1" applyBorder="1" applyAlignment="1">
      <alignment horizontal="left" vertical="top" wrapTex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8" fillId="0" borderId="0" xfId="0" applyFont="1" applyFill="1" applyAlignment="1">
      <alignment vertical="center"/>
    </xf>
    <xf numFmtId="0" fontId="9" fillId="0" borderId="4" xfId="0" applyFont="1" applyFill="1" applyBorder="1" applyAlignment="1">
      <alignment vertical="center" shrinkToFit="1"/>
    </xf>
    <xf numFmtId="0" fontId="9" fillId="0" borderId="2" xfId="0" applyFont="1" applyFill="1" applyBorder="1" applyAlignment="1">
      <alignment horizontal="center" vertical="center" wrapText="1" shrinkToFit="1"/>
    </xf>
    <xf numFmtId="0" fontId="9" fillId="0" borderId="3" xfId="0" applyFont="1" applyFill="1" applyBorder="1" applyAlignment="1">
      <alignment horizontal="center" vertical="center" wrapText="1" shrinkToFit="1"/>
    </xf>
    <xf numFmtId="0" fontId="9" fillId="0" borderId="4" xfId="0" applyFont="1" applyFill="1" applyBorder="1" applyAlignment="1">
      <alignment horizontal="center" vertical="center" wrapText="1" shrinkToFit="1"/>
    </xf>
    <xf numFmtId="0" fontId="2" fillId="0" borderId="6" xfId="0" applyFont="1" applyBorder="1" applyAlignment="1">
      <alignment vertical="center"/>
    </xf>
    <xf numFmtId="0" fontId="2" fillId="0" borderId="0" xfId="0" applyFont="1" applyAlignment="1">
      <alignment vertical="center" shrinkToFit="1"/>
    </xf>
    <xf numFmtId="0" fontId="3" fillId="0" borderId="7" xfId="0" applyFont="1" applyFill="1" applyBorder="1" applyAlignment="1">
      <alignment vertical="top" wrapText="1" shrinkToFit="1"/>
    </xf>
    <xf numFmtId="0" fontId="13" fillId="0" borderId="8" xfId="0" applyFont="1" applyFill="1" applyBorder="1" applyAlignment="1">
      <alignment vertical="top"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Border="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Border="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2" xfId="0" applyFont="1"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18" xfId="0" applyFont="1" applyBorder="1" applyAlignment="1">
      <alignment vertical="center" wrapText="1"/>
    </xf>
    <xf numFmtId="0" fontId="2" fillId="0" borderId="19" xfId="0" applyFont="1" applyBorder="1" applyAlignment="1">
      <alignment vertical="center" wrapText="1"/>
    </xf>
    <xf numFmtId="0" fontId="3" fillId="0" borderId="21" xfId="0" applyFont="1" applyFill="1" applyBorder="1" applyAlignment="1">
      <alignment vertical="top" wrapText="1" shrinkToFit="1"/>
    </xf>
    <xf numFmtId="0" fontId="3" fillId="0" borderId="19" xfId="0" applyFont="1" applyFill="1" applyBorder="1" applyAlignment="1">
      <alignment vertical="top" wrapText="1" shrinkToFit="1"/>
    </xf>
    <xf numFmtId="0" fontId="2" fillId="0" borderId="22" xfId="0" applyFont="1" applyBorder="1" applyAlignment="1">
      <alignment vertical="center" wrapText="1"/>
    </xf>
    <xf numFmtId="0" fontId="2" fillId="0" borderId="23" xfId="0" applyFont="1" applyBorder="1" applyAlignment="1">
      <alignment vertical="center" wrapText="1"/>
    </xf>
    <xf numFmtId="0" fontId="9" fillId="0" borderId="24" xfId="0" applyFont="1" applyFill="1" applyBorder="1" applyAlignment="1">
      <alignment vertical="top" wrapText="1" shrinkToFit="1"/>
    </xf>
    <xf numFmtId="0" fontId="9" fillId="0" borderId="23"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14" fillId="0" borderId="2" xfId="2" applyFont="1" applyBorder="1" applyAlignment="1">
      <alignment horizontal="left" vertical="center" shrinkToFit="1"/>
    </xf>
    <xf numFmtId="0" fontId="15" fillId="0" borderId="3" xfId="0" applyFont="1" applyBorder="1" applyAlignment="1">
      <alignment horizontal="left" vertical="center" shrinkToFit="1"/>
    </xf>
    <xf numFmtId="0" fontId="15" fillId="0" borderId="4" xfId="0" applyFont="1" applyBorder="1" applyAlignment="1">
      <alignment horizontal="left" vertical="center" shrinkToFit="1"/>
    </xf>
    <xf numFmtId="0" fontId="3" fillId="0" borderId="20" xfId="0" applyFont="1" applyFill="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6" xfId="0" applyFont="1" applyFill="1" applyBorder="1" applyAlignment="1">
      <alignment vertical="top" wrapText="1" shrinkToFit="1"/>
    </xf>
    <xf numFmtId="0" fontId="3" fillId="0" borderId="12" xfId="0" applyFont="1" applyFill="1" applyBorder="1" applyAlignment="1">
      <alignment vertical="top" wrapText="1" shrinkToFit="1"/>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zoomScaleNormal="100" workbookViewId="0">
      <selection activeCell="H32" sqref="H32"/>
    </sheetView>
  </sheetViews>
  <sheetFormatPr defaultColWidth="9" defaultRowHeight="18.75" customHeight="1"/>
  <cols>
    <col min="1" max="1" width="2.5" style="23" customWidth="1"/>
    <col min="2" max="2" width="12.5" style="23" customWidth="1"/>
    <col min="3" max="8" width="6.25" style="23" customWidth="1"/>
    <col min="9" max="9" width="2.5" style="23" customWidth="1"/>
    <col min="10" max="10" width="10" style="23" customWidth="1"/>
    <col min="11" max="11" width="2.5" style="23" customWidth="1"/>
    <col min="12" max="12" width="7.5" style="23" customWidth="1"/>
    <col min="13" max="13" width="2.5" style="23" customWidth="1"/>
    <col min="14" max="14" width="7.5" style="23" customWidth="1"/>
    <col min="15" max="16384" width="9" style="23"/>
  </cols>
  <sheetData>
    <row r="1" spans="1:14" ht="22.5" customHeight="1">
      <c r="M1" s="123" t="s">
        <v>0</v>
      </c>
      <c r="N1" s="123"/>
    </row>
    <row r="2" spans="1:14" ht="22.5" customHeight="1">
      <c r="A2" s="131" t="s">
        <v>1</v>
      </c>
      <c r="B2" s="131"/>
      <c r="C2" s="131"/>
      <c r="D2" s="131"/>
      <c r="E2" s="131"/>
      <c r="F2" s="131"/>
      <c r="G2" s="131"/>
      <c r="H2" s="131"/>
      <c r="I2" s="131"/>
      <c r="J2" s="131"/>
      <c r="K2" s="131"/>
      <c r="L2" s="131"/>
      <c r="M2" s="131"/>
      <c r="N2" s="131"/>
    </row>
    <row r="3" spans="1:14" ht="22.5" customHeight="1"/>
    <row r="4" spans="1:14" ht="22.5" customHeight="1">
      <c r="A4" s="23" t="s">
        <v>2</v>
      </c>
      <c r="B4" s="25" t="s">
        <v>3</v>
      </c>
      <c r="C4" s="113" t="s">
        <v>4</v>
      </c>
      <c r="D4" s="114"/>
      <c r="E4" s="114"/>
      <c r="F4" s="114"/>
      <c r="G4" s="114"/>
      <c r="H4" s="114"/>
      <c r="I4" s="114"/>
      <c r="J4" s="114"/>
      <c r="K4" s="114"/>
      <c r="L4" s="114"/>
      <c r="M4" s="114"/>
      <c r="N4" s="115"/>
    </row>
    <row r="5" spans="1:14" ht="7.5" customHeight="1">
      <c r="B5" s="25"/>
      <c r="C5" s="25"/>
      <c r="D5" s="25"/>
      <c r="E5" s="26"/>
      <c r="F5" s="102"/>
      <c r="G5" s="102"/>
      <c r="H5" s="102"/>
      <c r="I5" s="102"/>
      <c r="J5" s="102"/>
      <c r="K5" s="102"/>
      <c r="L5" s="102"/>
      <c r="M5" s="102"/>
      <c r="N5" s="102"/>
    </row>
    <row r="6" spans="1:14" ht="22.5" customHeight="1">
      <c r="A6" s="23" t="s">
        <v>5</v>
      </c>
      <c r="B6" s="25" t="s">
        <v>6</v>
      </c>
      <c r="C6" s="25"/>
      <c r="D6" s="113" t="s">
        <v>7</v>
      </c>
      <c r="E6" s="114"/>
      <c r="F6" s="114"/>
      <c r="G6" s="114"/>
      <c r="H6" s="114"/>
      <c r="I6" s="114"/>
      <c r="J6" s="114"/>
      <c r="K6" s="114"/>
      <c r="L6" s="114"/>
      <c r="M6" s="114"/>
      <c r="N6" s="115"/>
    </row>
    <row r="7" spans="1:14" ht="7.5" customHeight="1">
      <c r="B7" s="25"/>
      <c r="C7" s="25"/>
      <c r="D7" s="25"/>
      <c r="E7" s="26"/>
      <c r="F7" s="102"/>
      <c r="G7" s="102"/>
      <c r="H7" s="102"/>
      <c r="I7" s="102"/>
      <c r="J7" s="102"/>
      <c r="K7" s="102"/>
      <c r="L7" s="102"/>
      <c r="M7" s="102"/>
      <c r="N7" s="102"/>
    </row>
    <row r="8" spans="1:14" ht="22.5" customHeight="1">
      <c r="A8" s="27" t="s">
        <v>8</v>
      </c>
      <c r="B8" s="28" t="s">
        <v>9</v>
      </c>
      <c r="C8" s="113" t="s">
        <v>10</v>
      </c>
      <c r="D8" s="114"/>
      <c r="E8" s="115"/>
      <c r="F8" s="102"/>
      <c r="G8" s="127"/>
      <c r="H8" s="127"/>
      <c r="I8" s="127"/>
      <c r="J8" s="102"/>
      <c r="K8" s="102"/>
      <c r="L8" s="102"/>
      <c r="M8" s="102"/>
      <c r="N8" s="102"/>
    </row>
    <row r="9" spans="1:14" ht="7.5" customHeight="1">
      <c r="B9" s="25"/>
      <c r="C9" s="25"/>
      <c r="D9" s="25"/>
      <c r="E9" s="26"/>
      <c r="F9" s="102"/>
      <c r="G9" s="102"/>
      <c r="H9" s="102"/>
      <c r="I9" s="102"/>
      <c r="J9" s="102"/>
      <c r="K9" s="102"/>
      <c r="L9" s="102"/>
      <c r="M9" s="102"/>
      <c r="N9" s="102"/>
    </row>
    <row r="10" spans="1:14" ht="22.5" customHeight="1">
      <c r="A10" s="23" t="s">
        <v>11</v>
      </c>
      <c r="B10" s="25" t="s">
        <v>12</v>
      </c>
      <c r="C10" s="113" t="s">
        <v>13</v>
      </c>
      <c r="D10" s="114"/>
      <c r="E10" s="114"/>
      <c r="F10" s="114"/>
      <c r="G10" s="114"/>
      <c r="H10" s="114"/>
      <c r="I10" s="114"/>
      <c r="J10" s="114"/>
      <c r="K10" s="114"/>
      <c r="L10" s="114"/>
      <c r="M10" s="114"/>
      <c r="N10" s="115"/>
    </row>
    <row r="11" spans="1:14" ht="7.5" customHeight="1">
      <c r="B11" s="25"/>
      <c r="C11" s="25"/>
      <c r="D11" s="25"/>
      <c r="E11" s="26"/>
      <c r="F11" s="102"/>
      <c r="G11" s="102"/>
      <c r="H11" s="102"/>
      <c r="I11" s="102"/>
      <c r="J11" s="102"/>
      <c r="K11" s="102"/>
      <c r="L11" s="102"/>
      <c r="M11" s="102"/>
      <c r="N11" s="102"/>
    </row>
    <row r="12" spans="1:14" ht="22.5" customHeight="1">
      <c r="A12" s="23" t="s">
        <v>14</v>
      </c>
      <c r="B12" s="25" t="s">
        <v>15</v>
      </c>
      <c r="C12" s="25"/>
      <c r="D12" s="25"/>
      <c r="E12" s="102"/>
      <c r="F12" s="92"/>
      <c r="G12" s="132" t="s">
        <v>16</v>
      </c>
      <c r="H12" s="133"/>
      <c r="I12" s="133"/>
      <c r="J12" s="133"/>
      <c r="K12" s="133"/>
      <c r="L12" s="133"/>
      <c r="M12" s="133"/>
      <c r="N12" s="134"/>
    </row>
    <row r="13" spans="1:14" ht="7.5" customHeight="1">
      <c r="B13" s="26"/>
      <c r="C13" s="26"/>
      <c r="D13" s="26"/>
      <c r="E13" s="26"/>
      <c r="F13" s="102"/>
      <c r="G13" s="102"/>
      <c r="H13" s="102"/>
      <c r="I13" s="102"/>
      <c r="J13" s="102"/>
      <c r="K13" s="102"/>
      <c r="L13" s="102"/>
      <c r="M13" s="102"/>
      <c r="N13" s="102"/>
    </row>
    <row r="14" spans="1:14" ht="22.5" customHeight="1">
      <c r="A14" s="23" t="s">
        <v>17</v>
      </c>
      <c r="B14" s="26" t="s">
        <v>18</v>
      </c>
      <c r="C14" s="26"/>
      <c r="D14" s="26"/>
      <c r="E14" s="26"/>
      <c r="F14" s="128" t="s">
        <v>19</v>
      </c>
      <c r="G14" s="129"/>
      <c r="H14" s="130"/>
      <c r="I14" s="102"/>
      <c r="J14" s="102"/>
      <c r="K14" s="102"/>
      <c r="L14" s="102"/>
      <c r="M14" s="102"/>
      <c r="N14" s="102"/>
    </row>
    <row r="15" spans="1:14" ht="7.5" customHeight="1">
      <c r="B15" s="26"/>
      <c r="C15" s="26"/>
      <c r="D15" s="26"/>
      <c r="E15" s="26"/>
      <c r="F15" s="102"/>
      <c r="G15" s="102"/>
      <c r="H15" s="102"/>
      <c r="I15" s="102"/>
      <c r="J15" s="102"/>
      <c r="K15" s="102"/>
      <c r="L15" s="102"/>
      <c r="M15" s="102"/>
      <c r="N15" s="102"/>
    </row>
    <row r="16" spans="1:14" ht="22.5" customHeight="1">
      <c r="A16" s="23" t="s">
        <v>20</v>
      </c>
      <c r="B16" s="24" t="s">
        <v>21</v>
      </c>
      <c r="C16" s="124" t="s">
        <v>22</v>
      </c>
      <c r="D16" s="125"/>
      <c r="E16" s="111">
        <v>596</v>
      </c>
      <c r="F16" s="112"/>
      <c r="G16" s="29" t="s">
        <v>23</v>
      </c>
      <c r="H16" s="24"/>
      <c r="I16" s="124" t="s">
        <v>24</v>
      </c>
      <c r="J16" s="125"/>
      <c r="K16" s="111">
        <v>80</v>
      </c>
      <c r="L16" s="126"/>
      <c r="M16" s="112"/>
      <c r="N16" s="30" t="s">
        <v>23</v>
      </c>
    </row>
    <row r="17" spans="1:15" ht="7.5" customHeight="1">
      <c r="B17" s="24"/>
      <c r="C17" s="24"/>
      <c r="D17" s="24"/>
      <c r="E17" s="24"/>
      <c r="F17" s="31"/>
      <c r="G17" s="31"/>
      <c r="H17" s="31"/>
      <c r="I17" s="31"/>
      <c r="J17" s="31"/>
      <c r="K17" s="31"/>
      <c r="L17" s="31"/>
      <c r="M17" s="30"/>
      <c r="N17" s="30"/>
    </row>
    <row r="18" spans="1:15" ht="22.5" customHeight="1">
      <c r="A18" s="23" t="s">
        <v>25</v>
      </c>
      <c r="B18" s="24" t="s">
        <v>26</v>
      </c>
      <c r="C18" s="24"/>
      <c r="D18" s="24"/>
      <c r="E18" s="24"/>
      <c r="F18" s="31"/>
      <c r="G18" s="31"/>
      <c r="H18" s="31"/>
      <c r="I18" s="31"/>
      <c r="J18" s="31"/>
      <c r="K18" s="117">
        <v>21</v>
      </c>
      <c r="L18" s="118"/>
      <c r="M18" s="119"/>
      <c r="N18" s="30" t="s">
        <v>23</v>
      </c>
    </row>
    <row r="19" spans="1:15" ht="7.5" customHeight="1">
      <c r="B19" s="24"/>
      <c r="C19" s="24"/>
      <c r="D19" s="24"/>
      <c r="E19" s="24"/>
      <c r="F19" s="31"/>
      <c r="G19" s="31"/>
      <c r="H19" s="31"/>
      <c r="I19" s="31"/>
      <c r="J19" s="31"/>
      <c r="K19" s="31"/>
      <c r="L19" s="31"/>
      <c r="M19" s="30"/>
      <c r="N19" s="30"/>
    </row>
    <row r="20" spans="1:15" ht="22.5" customHeight="1">
      <c r="A20" s="23" t="s">
        <v>27</v>
      </c>
      <c r="B20" s="24" t="s">
        <v>28</v>
      </c>
      <c r="C20" s="24"/>
      <c r="D20" s="24"/>
      <c r="E20" s="111">
        <v>1239</v>
      </c>
      <c r="F20" s="112"/>
      <c r="G20" s="32" t="s">
        <v>29</v>
      </c>
      <c r="H20" s="31"/>
      <c r="I20" s="24"/>
      <c r="J20" s="24"/>
      <c r="K20" s="110"/>
      <c r="L20" s="110"/>
      <c r="M20" s="110"/>
      <c r="N20" s="110"/>
    </row>
    <row r="21" spans="1:15" ht="7.5" customHeight="1">
      <c r="B21" s="24"/>
      <c r="C21" s="24"/>
      <c r="D21" s="24"/>
      <c r="E21" s="21"/>
      <c r="F21" s="31"/>
      <c r="G21" s="31"/>
      <c r="H21" s="24"/>
      <c r="I21" s="24"/>
      <c r="J21" s="24"/>
      <c r="K21" s="24"/>
      <c r="L21" s="96"/>
      <c r="M21" s="96"/>
      <c r="N21" s="33"/>
    </row>
    <row r="22" spans="1:15" ht="22.5" customHeight="1">
      <c r="A22" s="23" t="s">
        <v>30</v>
      </c>
      <c r="B22" s="24" t="s">
        <v>31</v>
      </c>
      <c r="C22" s="24"/>
      <c r="D22" s="24"/>
      <c r="E22" s="21"/>
      <c r="F22" s="31"/>
      <c r="G22" s="31"/>
      <c r="H22" s="24" t="s">
        <v>32</v>
      </c>
      <c r="I22" s="24"/>
      <c r="J22" s="117">
        <v>5609</v>
      </c>
      <c r="K22" s="118"/>
      <c r="L22" s="119"/>
      <c r="M22" s="96" t="s">
        <v>23</v>
      </c>
      <c r="N22" s="33"/>
    </row>
    <row r="23" spans="1:15" ht="7.5" customHeight="1">
      <c r="B23" s="24"/>
      <c r="C23" s="24"/>
      <c r="D23" s="24"/>
      <c r="E23" s="21"/>
      <c r="F23" s="31"/>
      <c r="G23" s="31"/>
      <c r="H23" s="24"/>
      <c r="I23" s="24"/>
      <c r="J23" s="24"/>
      <c r="K23" s="24"/>
      <c r="L23" s="96"/>
      <c r="M23" s="96"/>
      <c r="N23" s="33"/>
    </row>
    <row r="24" spans="1:15" ht="22.5" customHeight="1">
      <c r="B24" s="101" t="s">
        <v>33</v>
      </c>
      <c r="C24" s="111">
        <v>1266</v>
      </c>
      <c r="D24" s="112"/>
      <c r="E24" s="21" t="s">
        <v>23</v>
      </c>
      <c r="F24" s="31"/>
      <c r="G24" s="116" t="s">
        <v>34</v>
      </c>
      <c r="H24" s="116"/>
      <c r="I24" s="111">
        <v>1296</v>
      </c>
      <c r="J24" s="112"/>
      <c r="K24" s="27" t="s">
        <v>23</v>
      </c>
      <c r="L24" s="24"/>
      <c r="M24" s="96"/>
      <c r="N24" s="33"/>
      <c r="O24" s="24"/>
    </row>
    <row r="25" spans="1:15" ht="7.5" customHeight="1">
      <c r="B25" s="101"/>
      <c r="C25" s="22"/>
      <c r="D25" s="22"/>
      <c r="E25" s="21"/>
      <c r="F25" s="31"/>
      <c r="G25" s="96"/>
      <c r="H25" s="96"/>
      <c r="I25" s="22"/>
      <c r="J25" s="22"/>
      <c r="K25" s="27"/>
      <c r="L25" s="24"/>
      <c r="M25" s="96"/>
      <c r="N25" s="33"/>
      <c r="O25" s="24"/>
    </row>
    <row r="26" spans="1:15" ht="22.5" customHeight="1">
      <c r="B26" s="101" t="s">
        <v>35</v>
      </c>
      <c r="C26" s="111">
        <v>1328</v>
      </c>
      <c r="D26" s="112"/>
      <c r="E26" s="21" t="s">
        <v>23</v>
      </c>
      <c r="F26" s="31"/>
      <c r="G26" s="116" t="s">
        <v>36</v>
      </c>
      <c r="H26" s="116"/>
      <c r="I26" s="111">
        <v>1500</v>
      </c>
      <c r="J26" s="112"/>
      <c r="K26" s="27" t="s">
        <v>23</v>
      </c>
      <c r="L26" s="24"/>
      <c r="M26" s="96"/>
      <c r="N26" s="33"/>
    </row>
    <row r="27" spans="1:15" ht="7.5" customHeight="1">
      <c r="B27" s="101"/>
      <c r="C27" s="22"/>
      <c r="D27" s="22"/>
      <c r="E27" s="21"/>
      <c r="F27" s="31"/>
      <c r="G27" s="96"/>
      <c r="H27" s="96"/>
      <c r="I27" s="22"/>
      <c r="J27" s="22"/>
      <c r="K27" s="27"/>
      <c r="L27" s="24"/>
      <c r="M27" s="96"/>
      <c r="N27" s="33"/>
    </row>
    <row r="28" spans="1:15" ht="22.5" customHeight="1">
      <c r="B28" s="101" t="s">
        <v>37</v>
      </c>
      <c r="C28" s="111">
        <v>117</v>
      </c>
      <c r="D28" s="112"/>
      <c r="E28" s="21" t="s">
        <v>23</v>
      </c>
      <c r="F28" s="31"/>
      <c r="G28" s="116" t="s">
        <v>38</v>
      </c>
      <c r="H28" s="116"/>
      <c r="I28" s="111">
        <v>102</v>
      </c>
      <c r="J28" s="112"/>
      <c r="K28" s="27" t="s">
        <v>23</v>
      </c>
      <c r="L28" s="24"/>
      <c r="M28" s="96"/>
      <c r="N28" s="33"/>
    </row>
    <row r="29" spans="1:15" ht="7.5" customHeight="1">
      <c r="B29" s="24"/>
      <c r="C29" s="24"/>
      <c r="D29" s="24"/>
      <c r="E29" s="24"/>
      <c r="F29" s="31"/>
      <c r="G29" s="31"/>
      <c r="H29" s="24"/>
      <c r="I29" s="24"/>
      <c r="J29" s="24"/>
      <c r="K29" s="24"/>
      <c r="L29" s="24"/>
      <c r="M29" s="34"/>
      <c r="N29" s="34"/>
    </row>
    <row r="30" spans="1:15" ht="22.5" customHeight="1">
      <c r="A30" s="23" t="s">
        <v>39</v>
      </c>
      <c r="B30" s="25" t="s">
        <v>40</v>
      </c>
      <c r="C30" s="25"/>
      <c r="D30" s="25"/>
      <c r="E30" s="25"/>
      <c r="F30" s="27"/>
      <c r="G30" s="102"/>
      <c r="H30" s="102"/>
      <c r="I30" s="102"/>
      <c r="J30" s="36"/>
      <c r="K30" s="36"/>
      <c r="L30" s="36"/>
      <c r="M30" s="36"/>
      <c r="N30" s="36"/>
    </row>
    <row r="31" spans="1:15" s="24" customFormat="1" ht="22.5" customHeight="1">
      <c r="B31" s="120" t="s">
        <v>41</v>
      </c>
      <c r="C31" s="120"/>
      <c r="D31" s="113" t="s">
        <v>42</v>
      </c>
      <c r="E31" s="114"/>
      <c r="F31" s="114"/>
      <c r="G31" s="121" t="s">
        <v>43</v>
      </c>
      <c r="H31" s="120"/>
      <c r="I31" s="122"/>
      <c r="J31" s="113" t="s">
        <v>44</v>
      </c>
      <c r="K31" s="114"/>
      <c r="L31" s="114"/>
      <c r="M31" s="114"/>
      <c r="N31" s="115"/>
    </row>
    <row r="32" spans="1:15" ht="7.5" customHeight="1">
      <c r="B32" s="24"/>
      <c r="C32" s="24"/>
      <c r="D32" s="24"/>
      <c r="E32" s="24"/>
      <c r="F32" s="31"/>
      <c r="G32" s="31"/>
      <c r="H32" s="24"/>
      <c r="I32" s="24"/>
      <c r="J32" s="24"/>
      <c r="K32" s="24"/>
      <c r="L32" s="24"/>
      <c r="M32" s="34"/>
      <c r="N32" s="34"/>
    </row>
    <row r="33" spans="1:14" ht="22.5" customHeight="1">
      <c r="A33" s="23" t="s">
        <v>45</v>
      </c>
      <c r="B33" s="25" t="s">
        <v>46</v>
      </c>
      <c r="C33" s="25"/>
      <c r="D33" s="25"/>
      <c r="E33" s="25"/>
      <c r="F33" s="27"/>
      <c r="G33" s="36"/>
      <c r="H33" s="36"/>
      <c r="I33" s="36"/>
      <c r="J33" s="36"/>
      <c r="K33" s="36"/>
      <c r="L33" s="36"/>
      <c r="M33" s="36"/>
      <c r="N33" s="36"/>
    </row>
    <row r="34" spans="1:14" ht="22.5" customHeight="1">
      <c r="B34" s="113" t="s">
        <v>47</v>
      </c>
      <c r="C34" s="114"/>
      <c r="D34" s="114"/>
      <c r="E34" s="114"/>
      <c r="F34" s="114"/>
      <c r="G34" s="114"/>
      <c r="H34" s="114"/>
      <c r="I34" s="114"/>
      <c r="J34" s="114"/>
      <c r="K34" s="114"/>
      <c r="L34" s="114"/>
      <c r="M34" s="114"/>
      <c r="N34" s="115"/>
    </row>
    <row r="35" spans="1:14" ht="7.5" customHeight="1">
      <c r="B35" s="100"/>
      <c r="C35" s="100"/>
      <c r="D35" s="100"/>
      <c r="E35" s="100"/>
      <c r="F35" s="100"/>
      <c r="G35" s="100"/>
      <c r="H35" s="100"/>
      <c r="I35" s="100"/>
      <c r="J35" s="100"/>
      <c r="K35" s="100"/>
      <c r="L35" s="100"/>
      <c r="M35" s="100"/>
      <c r="N35" s="100"/>
    </row>
    <row r="36" spans="1:14" s="24" customFormat="1" ht="22.5" customHeight="1">
      <c r="B36" s="120" t="s">
        <v>41</v>
      </c>
      <c r="C36" s="120"/>
      <c r="D36" s="113" t="s">
        <v>48</v>
      </c>
      <c r="E36" s="114"/>
      <c r="F36" s="114"/>
      <c r="G36" s="121" t="s">
        <v>43</v>
      </c>
      <c r="H36" s="120"/>
      <c r="I36" s="122"/>
      <c r="J36" s="113" t="s">
        <v>49</v>
      </c>
      <c r="K36" s="114"/>
      <c r="L36" s="114"/>
      <c r="M36" s="114"/>
      <c r="N36" s="115"/>
    </row>
    <row r="37" spans="1:14" ht="7.5" customHeight="1">
      <c r="B37" s="24"/>
      <c r="C37" s="24"/>
      <c r="D37" s="24"/>
      <c r="E37" s="24"/>
      <c r="F37" s="102"/>
      <c r="G37" s="102"/>
      <c r="H37" s="102"/>
      <c r="I37" s="102"/>
      <c r="J37" s="102"/>
      <c r="K37" s="102"/>
      <c r="L37" s="102"/>
      <c r="M37" s="102"/>
      <c r="N37" s="102"/>
    </row>
    <row r="38" spans="1:14" ht="22.5" customHeight="1">
      <c r="A38" s="23" t="s">
        <v>50</v>
      </c>
      <c r="B38" s="24" t="s">
        <v>51</v>
      </c>
      <c r="C38" s="24"/>
      <c r="D38" s="24"/>
      <c r="E38" s="24"/>
      <c r="F38" s="24"/>
      <c r="G38" s="24"/>
      <c r="H38" s="24"/>
      <c r="I38" s="24"/>
      <c r="J38" s="24"/>
      <c r="K38" s="24"/>
      <c r="L38" s="24"/>
      <c r="M38" s="34"/>
      <c r="N38" s="34"/>
    </row>
    <row r="39" spans="1:14" ht="22.5" customHeight="1">
      <c r="B39" s="113" t="s">
        <v>52</v>
      </c>
      <c r="C39" s="114"/>
      <c r="D39" s="114"/>
      <c r="E39" s="114"/>
      <c r="F39" s="114"/>
      <c r="G39" s="114"/>
      <c r="H39" s="114"/>
      <c r="I39" s="114"/>
      <c r="J39" s="114"/>
      <c r="K39" s="114"/>
      <c r="L39" s="114"/>
      <c r="M39" s="114"/>
      <c r="N39" s="115"/>
    </row>
    <row r="40" spans="1:14" ht="7.5" customHeight="1">
      <c r="B40" s="24"/>
      <c r="C40" s="24"/>
      <c r="D40" s="24"/>
      <c r="E40" s="24"/>
      <c r="F40" s="102"/>
      <c r="G40" s="102"/>
      <c r="H40" s="102"/>
      <c r="I40" s="102"/>
      <c r="J40" s="102"/>
      <c r="K40" s="102"/>
      <c r="L40" s="102"/>
      <c r="M40" s="102"/>
      <c r="N40" s="102"/>
    </row>
    <row r="41" spans="1:14" s="24" customFormat="1" ht="22.5" customHeight="1">
      <c r="B41" s="120" t="s">
        <v>41</v>
      </c>
      <c r="C41" s="120"/>
      <c r="D41" s="113" t="s">
        <v>53</v>
      </c>
      <c r="E41" s="114"/>
      <c r="F41" s="114"/>
      <c r="G41" s="121" t="s">
        <v>43</v>
      </c>
      <c r="H41" s="120"/>
      <c r="I41" s="122"/>
      <c r="J41" s="113" t="s">
        <v>54</v>
      </c>
      <c r="K41" s="114"/>
      <c r="L41" s="114"/>
      <c r="M41" s="114"/>
      <c r="N41" s="115"/>
    </row>
    <row r="42" spans="1:14" ht="7.5" customHeight="1">
      <c r="B42" s="24"/>
      <c r="C42" s="24"/>
      <c r="D42" s="24"/>
      <c r="E42" s="24"/>
      <c r="F42" s="102"/>
      <c r="G42" s="102"/>
      <c r="H42" s="102"/>
      <c r="I42" s="102"/>
      <c r="J42" s="102"/>
      <c r="K42" s="102"/>
      <c r="L42" s="102"/>
      <c r="M42" s="102"/>
      <c r="N42" s="102"/>
    </row>
    <row r="43" spans="1:14" ht="22.5" customHeight="1">
      <c r="A43" s="23" t="s">
        <v>55</v>
      </c>
      <c r="B43" s="89" t="s">
        <v>56</v>
      </c>
      <c r="C43" s="24"/>
      <c r="D43" s="24"/>
      <c r="E43" s="92"/>
      <c r="F43" s="113" t="s">
        <v>57</v>
      </c>
      <c r="G43" s="114"/>
      <c r="H43" s="114"/>
      <c r="I43" s="114"/>
      <c r="J43" s="114"/>
      <c r="K43" s="114"/>
      <c r="L43" s="114"/>
      <c r="M43" s="114"/>
      <c r="N43" s="115"/>
    </row>
    <row r="44" spans="1:14" ht="7.5" customHeight="1">
      <c r="B44" s="24"/>
      <c r="C44" s="24"/>
      <c r="D44" s="24"/>
      <c r="E44" s="24"/>
      <c r="F44" s="102"/>
      <c r="G44" s="102"/>
      <c r="H44" s="102"/>
      <c r="I44" s="102"/>
      <c r="J44" s="102"/>
      <c r="K44" s="102"/>
      <c r="L44" s="102"/>
      <c r="M44" s="102"/>
      <c r="N44" s="102"/>
    </row>
    <row r="45" spans="1:14" ht="22.5" customHeight="1">
      <c r="A45" s="23" t="s">
        <v>58</v>
      </c>
      <c r="B45" s="24"/>
      <c r="C45" s="24"/>
      <c r="D45" s="24"/>
      <c r="E45" s="24"/>
      <c r="F45" s="24"/>
      <c r="G45" s="24"/>
      <c r="H45" s="24"/>
      <c r="I45" s="24"/>
      <c r="J45" s="24"/>
      <c r="K45" s="24"/>
      <c r="L45" s="24"/>
      <c r="M45" s="24"/>
      <c r="N45" s="24"/>
    </row>
    <row r="46" spans="1:14" ht="22.5" customHeight="1">
      <c r="B46" s="37" t="s">
        <v>59</v>
      </c>
      <c r="C46" s="141" t="s">
        <v>60</v>
      </c>
      <c r="D46" s="142"/>
      <c r="E46" s="142"/>
      <c r="F46" s="142"/>
      <c r="G46" s="142"/>
      <c r="H46" s="142"/>
      <c r="I46" s="38" t="s">
        <v>61</v>
      </c>
      <c r="J46" s="39"/>
      <c r="K46" s="128" t="s">
        <v>62</v>
      </c>
      <c r="L46" s="129"/>
      <c r="M46" s="129"/>
      <c r="N46" s="130"/>
    </row>
    <row r="47" spans="1:14" ht="22.5" customHeight="1">
      <c r="B47" s="37" t="s">
        <v>63</v>
      </c>
      <c r="C47" s="135" t="s">
        <v>64</v>
      </c>
      <c r="D47" s="136"/>
      <c r="E47" s="136"/>
      <c r="F47" s="136"/>
      <c r="G47" s="136"/>
      <c r="H47" s="137"/>
      <c r="I47" s="38" t="s">
        <v>65</v>
      </c>
      <c r="J47" s="39"/>
      <c r="K47" s="138" t="s">
        <v>66</v>
      </c>
      <c r="L47" s="139"/>
      <c r="M47" s="139"/>
      <c r="N47" s="14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B20" sqref="B20:E21"/>
    </sheetView>
  </sheetViews>
  <sheetFormatPr defaultColWidth="9" defaultRowHeight="18.75" customHeight="1"/>
  <cols>
    <col min="1" max="2" width="2.5" style="23" customWidth="1"/>
    <col min="3" max="3" width="20" style="23" customWidth="1"/>
    <col min="4" max="4" width="8.75" style="23" customWidth="1"/>
    <col min="5" max="5" width="7.5" style="23" customWidth="1"/>
    <col min="6" max="6" width="2.5" style="23" customWidth="1"/>
    <col min="7" max="7" width="15" style="23" customWidth="1"/>
    <col min="8" max="8" width="12.5" style="23" customWidth="1"/>
    <col min="9" max="9" width="11.25" style="23" customWidth="1"/>
    <col min="10" max="16384" width="9" style="23"/>
  </cols>
  <sheetData>
    <row r="1" spans="1:9" ht="18.75" customHeight="1">
      <c r="I1" s="99" t="s">
        <v>67</v>
      </c>
    </row>
    <row r="2" spans="1:9" ht="18.75" customHeight="1">
      <c r="G2" s="35" t="s">
        <v>68</v>
      </c>
      <c r="H2" s="161" t="s">
        <v>4</v>
      </c>
      <c r="I2" s="161"/>
    </row>
    <row r="3" spans="1:9" ht="7.5" customHeight="1"/>
    <row r="4" spans="1:9" ht="18.75" customHeight="1">
      <c r="A4" s="131" t="s">
        <v>69</v>
      </c>
      <c r="B4" s="131"/>
      <c r="C4" s="131"/>
      <c r="D4" s="131"/>
      <c r="E4" s="131"/>
      <c r="F4" s="131"/>
      <c r="G4" s="131"/>
      <c r="H4" s="131"/>
      <c r="I4" s="131"/>
    </row>
    <row r="5" spans="1:9" ht="7.5" customHeight="1">
      <c r="C5" s="101"/>
      <c r="D5" s="101"/>
      <c r="E5" s="101"/>
      <c r="F5" s="101"/>
      <c r="G5" s="101"/>
      <c r="H5" s="101"/>
      <c r="I5" s="101"/>
    </row>
    <row r="6" spans="1:9" ht="18.75" customHeight="1">
      <c r="A6" s="23" t="s">
        <v>2</v>
      </c>
      <c r="B6" s="23" t="s">
        <v>70</v>
      </c>
      <c r="C6" s="101"/>
      <c r="D6" s="101"/>
      <c r="E6" s="158" t="s">
        <v>71</v>
      </c>
      <c r="F6" s="159"/>
      <c r="G6" s="159"/>
      <c r="H6" s="159"/>
      <c r="I6" s="160"/>
    </row>
    <row r="7" spans="1:9" ht="7.5" customHeight="1">
      <c r="C7" s="101"/>
      <c r="D7" s="101"/>
      <c r="F7" s="96"/>
      <c r="G7" s="96"/>
      <c r="H7" s="96"/>
      <c r="I7" s="96"/>
    </row>
    <row r="8" spans="1:9" ht="18.75" customHeight="1">
      <c r="A8" s="23" t="s">
        <v>5</v>
      </c>
      <c r="B8" s="23" t="s">
        <v>72</v>
      </c>
      <c r="C8" s="101"/>
      <c r="D8" s="101"/>
      <c r="E8" s="101"/>
      <c r="F8" s="101"/>
      <c r="G8" s="101"/>
      <c r="H8" s="101"/>
      <c r="I8" s="101"/>
    </row>
    <row r="9" spans="1:9" ht="18.75" customHeight="1">
      <c r="B9" s="146" t="s">
        <v>73</v>
      </c>
      <c r="C9" s="147"/>
      <c r="D9" s="147"/>
      <c r="E9" s="147"/>
      <c r="F9" s="147"/>
      <c r="G9" s="147"/>
      <c r="H9" s="147"/>
      <c r="I9" s="148"/>
    </row>
    <row r="10" spans="1:9" ht="18.75" customHeight="1">
      <c r="B10" s="149"/>
      <c r="C10" s="150"/>
      <c r="D10" s="150"/>
      <c r="E10" s="150"/>
      <c r="F10" s="150"/>
      <c r="G10" s="150"/>
      <c r="H10" s="150"/>
      <c r="I10" s="151"/>
    </row>
    <row r="11" spans="1:9" ht="18.75" customHeight="1">
      <c r="B11" s="149"/>
      <c r="C11" s="150"/>
      <c r="D11" s="150"/>
      <c r="E11" s="150"/>
      <c r="F11" s="150"/>
      <c r="G11" s="150"/>
      <c r="H11" s="150"/>
      <c r="I11" s="151"/>
    </row>
    <row r="12" spans="1:9" ht="18.75" customHeight="1">
      <c r="B12" s="149"/>
      <c r="C12" s="150"/>
      <c r="D12" s="150"/>
      <c r="E12" s="150"/>
      <c r="F12" s="150"/>
      <c r="G12" s="150"/>
      <c r="H12" s="150"/>
      <c r="I12" s="151"/>
    </row>
    <row r="13" spans="1:9" ht="18.75" customHeight="1">
      <c r="B13" s="149"/>
      <c r="C13" s="150"/>
      <c r="D13" s="150"/>
      <c r="E13" s="150"/>
      <c r="F13" s="150"/>
      <c r="G13" s="150"/>
      <c r="H13" s="150"/>
      <c r="I13" s="151"/>
    </row>
    <row r="14" spans="1:9" ht="18.75" customHeight="1">
      <c r="B14" s="149"/>
      <c r="C14" s="150"/>
      <c r="D14" s="150"/>
      <c r="E14" s="150"/>
      <c r="F14" s="150"/>
      <c r="G14" s="150"/>
      <c r="H14" s="150"/>
      <c r="I14" s="151"/>
    </row>
    <row r="15" spans="1:9" ht="18.75" customHeight="1">
      <c r="B15" s="149"/>
      <c r="C15" s="150"/>
      <c r="D15" s="150"/>
      <c r="E15" s="150"/>
      <c r="F15" s="150"/>
      <c r="G15" s="150"/>
      <c r="H15" s="150"/>
      <c r="I15" s="151"/>
    </row>
    <row r="16" spans="1:9" ht="18.75" customHeight="1">
      <c r="B16" s="152"/>
      <c r="C16" s="153"/>
      <c r="D16" s="153"/>
      <c r="E16" s="153"/>
      <c r="F16" s="153"/>
      <c r="G16" s="153"/>
      <c r="H16" s="153"/>
      <c r="I16" s="154"/>
    </row>
    <row r="17" spans="1:10" ht="7.5" customHeight="1">
      <c r="C17" s="101"/>
      <c r="D17" s="101"/>
      <c r="E17" s="101"/>
      <c r="F17" s="101"/>
      <c r="G17" s="101"/>
      <c r="H17" s="101"/>
      <c r="I17" s="101"/>
    </row>
    <row r="18" spans="1:10" ht="18.75" customHeight="1">
      <c r="A18" s="101" t="s">
        <v>8</v>
      </c>
      <c r="B18" s="25" t="s">
        <v>74</v>
      </c>
      <c r="C18" s="25"/>
      <c r="D18" s="25"/>
      <c r="E18" s="25"/>
      <c r="F18" s="101"/>
      <c r="G18" s="101"/>
      <c r="H18" s="101"/>
      <c r="I18" s="101"/>
      <c r="J18" s="101"/>
    </row>
    <row r="19" spans="1:10" ht="18.75" customHeight="1">
      <c r="A19" s="162" t="s">
        <v>74</v>
      </c>
      <c r="B19" s="162"/>
      <c r="C19" s="162"/>
      <c r="D19" s="162"/>
      <c r="E19" s="162"/>
      <c r="F19" s="163" t="s">
        <v>74</v>
      </c>
      <c r="G19" s="163"/>
      <c r="H19" s="163"/>
      <c r="I19" s="163"/>
    </row>
    <row r="20" spans="1:10" ht="18.75" customHeight="1">
      <c r="A20" s="47">
        <v>1</v>
      </c>
      <c r="B20" s="132" t="s">
        <v>75</v>
      </c>
      <c r="C20" s="133"/>
      <c r="D20" s="133"/>
      <c r="E20" s="134"/>
      <c r="F20" s="47">
        <v>26</v>
      </c>
      <c r="G20" s="132"/>
      <c r="H20" s="133"/>
      <c r="I20" s="134"/>
    </row>
    <row r="21" spans="1:10" ht="18.75" customHeight="1">
      <c r="A21" s="47">
        <v>2</v>
      </c>
      <c r="B21" s="155" t="s">
        <v>76</v>
      </c>
      <c r="C21" s="156"/>
      <c r="D21" s="156"/>
      <c r="E21" s="157"/>
      <c r="F21" s="47">
        <v>27</v>
      </c>
      <c r="G21" s="132"/>
      <c r="H21" s="133"/>
      <c r="I21" s="134"/>
    </row>
    <row r="22" spans="1:10" ht="18.75" customHeight="1">
      <c r="A22" s="47">
        <v>3</v>
      </c>
      <c r="B22" s="143"/>
      <c r="C22" s="144"/>
      <c r="D22" s="144"/>
      <c r="E22" s="145"/>
      <c r="F22" s="47">
        <v>28</v>
      </c>
      <c r="G22" s="132"/>
      <c r="H22" s="133"/>
      <c r="I22" s="134"/>
    </row>
    <row r="23" spans="1:10" ht="18.75" customHeight="1">
      <c r="A23" s="47">
        <v>4</v>
      </c>
      <c r="B23" s="143"/>
      <c r="C23" s="144"/>
      <c r="D23" s="144"/>
      <c r="E23" s="145"/>
      <c r="F23" s="47">
        <v>29</v>
      </c>
      <c r="G23" s="132"/>
      <c r="H23" s="133"/>
      <c r="I23" s="134"/>
    </row>
    <row r="24" spans="1:10" ht="18.75" customHeight="1">
      <c r="A24" s="47">
        <v>5</v>
      </c>
      <c r="B24" s="143"/>
      <c r="C24" s="144"/>
      <c r="D24" s="144"/>
      <c r="E24" s="145"/>
      <c r="F24" s="47">
        <v>30</v>
      </c>
      <c r="G24" s="132"/>
      <c r="H24" s="133"/>
      <c r="I24" s="134"/>
    </row>
    <row r="25" spans="1:10" ht="18.75" customHeight="1">
      <c r="A25" s="47">
        <v>6</v>
      </c>
      <c r="B25" s="143"/>
      <c r="C25" s="144"/>
      <c r="D25" s="144"/>
      <c r="E25" s="145"/>
      <c r="F25" s="47">
        <v>31</v>
      </c>
      <c r="G25" s="132"/>
      <c r="H25" s="133"/>
      <c r="I25" s="134"/>
    </row>
    <row r="26" spans="1:10" ht="18.75" customHeight="1">
      <c r="A26" s="47">
        <v>7</v>
      </c>
      <c r="B26" s="143"/>
      <c r="C26" s="144"/>
      <c r="D26" s="144"/>
      <c r="E26" s="145"/>
      <c r="F26" s="47">
        <v>32</v>
      </c>
      <c r="G26" s="132"/>
      <c r="H26" s="133"/>
      <c r="I26" s="134"/>
    </row>
    <row r="27" spans="1:10" ht="18.75" customHeight="1">
      <c r="A27" s="47">
        <v>8</v>
      </c>
      <c r="B27" s="143"/>
      <c r="C27" s="144"/>
      <c r="D27" s="144"/>
      <c r="E27" s="145"/>
      <c r="F27" s="47">
        <v>33</v>
      </c>
      <c r="G27" s="132"/>
      <c r="H27" s="133"/>
      <c r="I27" s="134"/>
    </row>
    <row r="28" spans="1:10" ht="18.75" customHeight="1">
      <c r="A28" s="47">
        <v>9</v>
      </c>
      <c r="B28" s="143"/>
      <c r="C28" s="144"/>
      <c r="D28" s="144"/>
      <c r="E28" s="145"/>
      <c r="F28" s="47">
        <v>34</v>
      </c>
      <c r="G28" s="132"/>
      <c r="H28" s="133"/>
      <c r="I28" s="134"/>
    </row>
    <row r="29" spans="1:10" ht="18.75" customHeight="1">
      <c r="A29" s="47">
        <v>10</v>
      </c>
      <c r="B29" s="143"/>
      <c r="C29" s="144"/>
      <c r="D29" s="144"/>
      <c r="E29" s="145"/>
      <c r="F29" s="47">
        <v>35</v>
      </c>
      <c r="G29" s="132"/>
      <c r="H29" s="133"/>
      <c r="I29" s="134"/>
    </row>
    <row r="30" spans="1:10" ht="18.75" customHeight="1">
      <c r="A30" s="47">
        <v>11</v>
      </c>
      <c r="B30" s="143"/>
      <c r="C30" s="144"/>
      <c r="D30" s="144"/>
      <c r="E30" s="145"/>
      <c r="F30" s="47">
        <v>36</v>
      </c>
      <c r="G30" s="132"/>
      <c r="H30" s="133"/>
      <c r="I30" s="134"/>
    </row>
    <row r="31" spans="1:10" ht="18.75" customHeight="1">
      <c r="A31" s="47">
        <v>12</v>
      </c>
      <c r="B31" s="143"/>
      <c r="C31" s="144"/>
      <c r="D31" s="144"/>
      <c r="E31" s="145"/>
      <c r="F31" s="47">
        <v>37</v>
      </c>
      <c r="G31" s="132"/>
      <c r="H31" s="133"/>
      <c r="I31" s="134"/>
    </row>
    <row r="32" spans="1:10" ht="18.75" customHeight="1">
      <c r="A32" s="47">
        <v>13</v>
      </c>
      <c r="B32" s="143"/>
      <c r="C32" s="144"/>
      <c r="D32" s="144"/>
      <c r="E32" s="145"/>
      <c r="F32" s="47">
        <v>38</v>
      </c>
      <c r="G32" s="132"/>
      <c r="H32" s="133"/>
      <c r="I32" s="134"/>
    </row>
    <row r="33" spans="1:9" ht="18.75" customHeight="1">
      <c r="A33" s="47">
        <v>14</v>
      </c>
      <c r="B33" s="143"/>
      <c r="C33" s="144"/>
      <c r="D33" s="144"/>
      <c r="E33" s="145"/>
      <c r="F33" s="47">
        <v>39</v>
      </c>
      <c r="G33" s="132"/>
      <c r="H33" s="133"/>
      <c r="I33" s="134"/>
    </row>
    <row r="34" spans="1:9" ht="18.75" customHeight="1">
      <c r="A34" s="47">
        <v>15</v>
      </c>
      <c r="B34" s="143"/>
      <c r="C34" s="144"/>
      <c r="D34" s="144"/>
      <c r="E34" s="145"/>
      <c r="F34" s="47">
        <v>40</v>
      </c>
      <c r="G34" s="132"/>
      <c r="H34" s="133"/>
      <c r="I34" s="134"/>
    </row>
    <row r="35" spans="1:9" ht="18.75" customHeight="1">
      <c r="A35" s="47">
        <v>16</v>
      </c>
      <c r="B35" s="143"/>
      <c r="C35" s="144"/>
      <c r="D35" s="144"/>
      <c r="E35" s="145"/>
      <c r="F35" s="47">
        <v>41</v>
      </c>
      <c r="G35" s="132"/>
      <c r="H35" s="133"/>
      <c r="I35" s="134"/>
    </row>
    <row r="36" spans="1:9" ht="18.75" customHeight="1">
      <c r="A36" s="47">
        <v>17</v>
      </c>
      <c r="B36" s="143"/>
      <c r="C36" s="144"/>
      <c r="D36" s="144"/>
      <c r="E36" s="145"/>
      <c r="F36" s="47">
        <v>42</v>
      </c>
      <c r="G36" s="132"/>
      <c r="H36" s="133"/>
      <c r="I36" s="134"/>
    </row>
    <row r="37" spans="1:9" ht="18.75" customHeight="1">
      <c r="A37" s="47">
        <v>18</v>
      </c>
      <c r="B37" s="155"/>
      <c r="C37" s="156"/>
      <c r="D37" s="156"/>
      <c r="E37" s="157"/>
      <c r="F37" s="47">
        <v>43</v>
      </c>
      <c r="G37" s="132"/>
      <c r="H37" s="133"/>
      <c r="I37" s="134"/>
    </row>
    <row r="38" spans="1:9" ht="18.75" customHeight="1">
      <c r="A38" s="47">
        <v>19</v>
      </c>
      <c r="B38" s="132"/>
      <c r="C38" s="133"/>
      <c r="D38" s="133"/>
      <c r="E38" s="134"/>
      <c r="F38" s="47">
        <v>44</v>
      </c>
      <c r="G38" s="132"/>
      <c r="H38" s="133"/>
      <c r="I38" s="134"/>
    </row>
    <row r="39" spans="1:9" ht="18.75" customHeight="1">
      <c r="A39" s="47">
        <v>20</v>
      </c>
      <c r="B39" s="132"/>
      <c r="C39" s="133"/>
      <c r="D39" s="133"/>
      <c r="E39" s="134"/>
      <c r="F39" s="47">
        <v>45</v>
      </c>
      <c r="G39" s="132"/>
      <c r="H39" s="133"/>
      <c r="I39" s="134"/>
    </row>
    <row r="40" spans="1:9" ht="18.75" customHeight="1">
      <c r="A40" s="47">
        <v>21</v>
      </c>
      <c r="B40" s="132"/>
      <c r="C40" s="133"/>
      <c r="D40" s="133"/>
      <c r="E40" s="134"/>
      <c r="F40" s="47">
        <v>46</v>
      </c>
      <c r="G40" s="132"/>
      <c r="H40" s="133"/>
      <c r="I40" s="134"/>
    </row>
    <row r="41" spans="1:9" ht="18.75" customHeight="1">
      <c r="A41" s="47">
        <v>22</v>
      </c>
      <c r="B41" s="132"/>
      <c r="C41" s="133"/>
      <c r="D41" s="133"/>
      <c r="E41" s="134"/>
      <c r="F41" s="47">
        <v>47</v>
      </c>
      <c r="G41" s="132"/>
      <c r="H41" s="133"/>
      <c r="I41" s="134"/>
    </row>
    <row r="42" spans="1:9" ht="18.75" customHeight="1">
      <c r="A42" s="47">
        <v>23</v>
      </c>
      <c r="B42" s="132"/>
      <c r="C42" s="133"/>
      <c r="D42" s="133"/>
      <c r="E42" s="134"/>
      <c r="F42" s="47">
        <v>48</v>
      </c>
      <c r="G42" s="132"/>
      <c r="H42" s="133"/>
      <c r="I42" s="134"/>
    </row>
    <row r="43" spans="1:9" ht="18.75" customHeight="1">
      <c r="A43" s="47">
        <v>24</v>
      </c>
      <c r="B43" s="132"/>
      <c r="C43" s="133"/>
      <c r="D43" s="133"/>
      <c r="E43" s="134"/>
      <c r="F43" s="47">
        <v>49</v>
      </c>
      <c r="G43" s="132"/>
      <c r="H43" s="133"/>
      <c r="I43" s="134"/>
    </row>
    <row r="44" spans="1:9" ht="18.75" customHeight="1">
      <c r="A44" s="47">
        <v>25</v>
      </c>
      <c r="B44" s="132"/>
      <c r="C44" s="133"/>
      <c r="D44" s="133"/>
      <c r="E44" s="134"/>
      <c r="F44" s="47">
        <v>50</v>
      </c>
      <c r="G44" s="132"/>
      <c r="H44" s="133"/>
      <c r="I44" s="134"/>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8"/>
  <sheetViews>
    <sheetView workbookViewId="0">
      <selection activeCell="J16" sqref="J16"/>
    </sheetView>
  </sheetViews>
  <sheetFormatPr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F1" s="178" t="s">
        <v>77</v>
      </c>
      <c r="G1" s="178"/>
      <c r="H1" s="178"/>
      <c r="I1" s="178"/>
      <c r="J1" s="178"/>
      <c r="K1" s="178"/>
      <c r="L1" s="178"/>
      <c r="M1" s="178"/>
      <c r="N1" s="178"/>
      <c r="O1" s="178"/>
      <c r="P1" s="178"/>
      <c r="Q1" s="178"/>
      <c r="R1" s="178"/>
    </row>
    <row r="2" spans="1:20" ht="18.75" customHeight="1">
      <c r="D2" s="60"/>
      <c r="E2" s="60"/>
      <c r="F2" s="60"/>
      <c r="G2" s="60"/>
      <c r="H2" s="60"/>
      <c r="I2" s="60"/>
      <c r="J2" s="60"/>
      <c r="K2" s="178" t="s">
        <v>78</v>
      </c>
      <c r="L2" s="178"/>
      <c r="M2" s="189" t="s">
        <v>4</v>
      </c>
      <c r="N2" s="189"/>
      <c r="O2" s="60"/>
      <c r="P2" s="60"/>
      <c r="Q2" s="60"/>
      <c r="R2" s="60"/>
    </row>
    <row r="3" spans="1:20" ht="7.5" customHeight="1"/>
    <row r="4" spans="1:20" ht="18.75" customHeight="1">
      <c r="A4" s="188" t="s">
        <v>79</v>
      </c>
      <c r="B4" s="188"/>
      <c r="C4" s="188"/>
      <c r="D4" s="188"/>
      <c r="E4" s="188"/>
      <c r="F4" s="188"/>
      <c r="G4" s="188"/>
      <c r="H4" s="188"/>
      <c r="I4" s="188"/>
      <c r="J4" s="188"/>
      <c r="K4" s="188"/>
      <c r="L4" s="188"/>
      <c r="M4" s="188"/>
      <c r="N4" s="188"/>
      <c r="O4" s="188"/>
      <c r="P4" s="188"/>
      <c r="Q4" s="188"/>
      <c r="R4" s="188"/>
      <c r="S4" s="5"/>
    </row>
    <row r="5" spans="1:20" ht="7.5" customHeight="1">
      <c r="A5" s="105"/>
      <c r="B5" s="105"/>
      <c r="C5" s="105"/>
      <c r="D5" s="105"/>
      <c r="E5" s="105"/>
      <c r="F5" s="105"/>
      <c r="G5" s="105"/>
      <c r="H5" s="105"/>
      <c r="I5" s="105"/>
      <c r="J5" s="105"/>
      <c r="K5" s="105"/>
      <c r="L5" s="105"/>
      <c r="M5" s="105"/>
      <c r="N5" s="105"/>
      <c r="O5" s="105"/>
      <c r="P5" s="105"/>
      <c r="Q5" s="105"/>
      <c r="R5" s="105"/>
    </row>
    <row r="6" spans="1:20" ht="18.75" customHeight="1">
      <c r="B6" s="170" t="s">
        <v>80</v>
      </c>
      <c r="C6" s="171"/>
      <c r="D6" s="179" t="s">
        <v>81</v>
      </c>
      <c r="E6" s="181" t="s">
        <v>82</v>
      </c>
      <c r="F6" s="181"/>
      <c r="G6" s="181" t="s">
        <v>83</v>
      </c>
      <c r="H6" s="181"/>
      <c r="I6" s="182" t="s">
        <v>84</v>
      </c>
      <c r="J6" s="183"/>
      <c r="K6" s="182" t="s">
        <v>85</v>
      </c>
      <c r="L6" s="183"/>
      <c r="M6" s="182" t="s">
        <v>86</v>
      </c>
      <c r="N6" s="183"/>
      <c r="O6" s="182" t="s">
        <v>87</v>
      </c>
      <c r="P6" s="183"/>
      <c r="Q6" s="184" t="s">
        <v>88</v>
      </c>
      <c r="R6" s="186" t="s">
        <v>89</v>
      </c>
      <c r="T6" s="61"/>
    </row>
    <row r="7" spans="1:20" ht="18.75" customHeight="1">
      <c r="B7" s="172"/>
      <c r="C7" s="173"/>
      <c r="D7" s="180"/>
      <c r="E7" s="40" t="s">
        <v>90</v>
      </c>
      <c r="F7" s="42" t="s">
        <v>91</v>
      </c>
      <c r="G7" s="43" t="s">
        <v>90</v>
      </c>
      <c r="H7" s="41" t="s">
        <v>91</v>
      </c>
      <c r="I7" s="40" t="s">
        <v>90</v>
      </c>
      <c r="J7" s="42" t="s">
        <v>91</v>
      </c>
      <c r="K7" s="43" t="s">
        <v>90</v>
      </c>
      <c r="L7" s="41" t="s">
        <v>91</v>
      </c>
      <c r="M7" s="40" t="s">
        <v>90</v>
      </c>
      <c r="N7" s="42" t="s">
        <v>91</v>
      </c>
      <c r="O7" s="43" t="s">
        <v>90</v>
      </c>
      <c r="P7" s="41" t="s">
        <v>91</v>
      </c>
      <c r="Q7" s="185"/>
      <c r="R7" s="187"/>
      <c r="T7" s="61"/>
    </row>
    <row r="8" spans="1:20" ht="18.75" customHeight="1">
      <c r="A8" s="62"/>
      <c r="B8" s="166" t="s">
        <v>92</v>
      </c>
      <c r="C8" s="167"/>
      <c r="D8" s="93">
        <v>680</v>
      </c>
      <c r="E8" s="93">
        <v>165</v>
      </c>
      <c r="F8" s="94">
        <v>131</v>
      </c>
      <c r="G8" s="66">
        <v>0</v>
      </c>
      <c r="H8" s="67">
        <v>0</v>
      </c>
      <c r="I8" s="64">
        <v>0</v>
      </c>
      <c r="J8" s="65">
        <v>0</v>
      </c>
      <c r="K8" s="66">
        <v>0</v>
      </c>
      <c r="L8" s="67">
        <v>0</v>
      </c>
      <c r="M8" s="64">
        <v>0</v>
      </c>
      <c r="N8" s="65">
        <v>0</v>
      </c>
      <c r="O8" s="66">
        <v>0</v>
      </c>
      <c r="P8" s="67">
        <v>0</v>
      </c>
      <c r="Q8" s="68">
        <f>E8+G8+I8+K8+M8+O8</f>
        <v>165</v>
      </c>
      <c r="R8" s="69">
        <f t="shared" ref="R8:R13" si="0">IFERROR(Q8/D8, "")</f>
        <v>0.24264705882352941</v>
      </c>
    </row>
    <row r="9" spans="1:20" ht="18.75" customHeight="1">
      <c r="A9" s="62"/>
      <c r="B9" s="164" t="s">
        <v>93</v>
      </c>
      <c r="C9" s="165"/>
      <c r="D9" s="85">
        <v>640</v>
      </c>
      <c r="E9" s="85">
        <v>154</v>
      </c>
      <c r="F9" s="86">
        <v>127</v>
      </c>
      <c r="G9" s="72">
        <v>0</v>
      </c>
      <c r="H9" s="73">
        <v>0</v>
      </c>
      <c r="I9" s="70">
        <v>0</v>
      </c>
      <c r="J9" s="71">
        <v>0</v>
      </c>
      <c r="K9" s="72">
        <v>0</v>
      </c>
      <c r="L9" s="73">
        <v>0</v>
      </c>
      <c r="M9" s="70">
        <v>0</v>
      </c>
      <c r="N9" s="71">
        <v>0</v>
      </c>
      <c r="O9" s="72">
        <v>0</v>
      </c>
      <c r="P9" s="73">
        <v>0</v>
      </c>
      <c r="Q9" s="74">
        <f t="shared" ref="Q9:Q27" si="1">E9+G9+I9+K9+M9+O9</f>
        <v>154</v>
      </c>
      <c r="R9" s="69">
        <f t="shared" si="0"/>
        <v>0.24062500000000001</v>
      </c>
    </row>
    <row r="10" spans="1:20" ht="18.75" customHeight="1">
      <c r="A10" s="62"/>
      <c r="B10" s="164" t="s">
        <v>94</v>
      </c>
      <c r="C10" s="165"/>
      <c r="D10" s="85">
        <v>1050</v>
      </c>
      <c r="E10" s="85">
        <v>260</v>
      </c>
      <c r="F10" s="86">
        <v>211</v>
      </c>
      <c r="G10" s="72">
        <v>0</v>
      </c>
      <c r="H10" s="73">
        <v>0</v>
      </c>
      <c r="I10" s="70">
        <v>0</v>
      </c>
      <c r="J10" s="71">
        <v>0</v>
      </c>
      <c r="K10" s="72">
        <v>0</v>
      </c>
      <c r="L10" s="73">
        <v>0</v>
      </c>
      <c r="M10" s="70">
        <v>0</v>
      </c>
      <c r="N10" s="71">
        <v>0</v>
      </c>
      <c r="O10" s="72">
        <v>0</v>
      </c>
      <c r="P10" s="73">
        <v>0</v>
      </c>
      <c r="Q10" s="74">
        <f t="shared" si="1"/>
        <v>260</v>
      </c>
      <c r="R10" s="69">
        <f t="shared" si="0"/>
        <v>0.24761904761904763</v>
      </c>
    </row>
    <row r="11" spans="1:20" ht="18.75" customHeight="1">
      <c r="A11" s="62"/>
      <c r="B11" s="164" t="s">
        <v>95</v>
      </c>
      <c r="C11" s="165"/>
      <c r="D11" s="85">
        <v>954</v>
      </c>
      <c r="E11" s="85">
        <v>190</v>
      </c>
      <c r="F11" s="86">
        <v>165</v>
      </c>
      <c r="G11" s="72">
        <v>0</v>
      </c>
      <c r="H11" s="73">
        <v>0</v>
      </c>
      <c r="I11" s="70">
        <v>0</v>
      </c>
      <c r="J11" s="71">
        <v>0</v>
      </c>
      <c r="K11" s="72">
        <v>0</v>
      </c>
      <c r="L11" s="73">
        <v>0</v>
      </c>
      <c r="M11" s="70">
        <v>0</v>
      </c>
      <c r="N11" s="71">
        <v>0</v>
      </c>
      <c r="O11" s="72">
        <v>0</v>
      </c>
      <c r="P11" s="73">
        <v>0</v>
      </c>
      <c r="Q11" s="74">
        <f t="shared" si="1"/>
        <v>190</v>
      </c>
      <c r="R11" s="69">
        <f t="shared" si="0"/>
        <v>0.19916142557651992</v>
      </c>
    </row>
    <row r="12" spans="1:20" ht="18.75" customHeight="1">
      <c r="A12" s="62"/>
      <c r="B12" s="164" t="s">
        <v>96</v>
      </c>
      <c r="C12" s="165"/>
      <c r="D12" s="85">
        <v>600</v>
      </c>
      <c r="E12" s="85">
        <v>149</v>
      </c>
      <c r="F12" s="86">
        <v>122</v>
      </c>
      <c r="G12" s="72">
        <v>0</v>
      </c>
      <c r="H12" s="73">
        <v>0</v>
      </c>
      <c r="I12" s="70">
        <v>0</v>
      </c>
      <c r="J12" s="71">
        <v>0</v>
      </c>
      <c r="K12" s="72">
        <v>0</v>
      </c>
      <c r="L12" s="73">
        <v>0</v>
      </c>
      <c r="M12" s="70">
        <v>0</v>
      </c>
      <c r="N12" s="71">
        <v>0</v>
      </c>
      <c r="O12" s="72">
        <v>0</v>
      </c>
      <c r="P12" s="73">
        <v>0</v>
      </c>
      <c r="Q12" s="74">
        <f t="shared" si="1"/>
        <v>149</v>
      </c>
      <c r="R12" s="69">
        <f t="shared" si="0"/>
        <v>0.24833333333333332</v>
      </c>
    </row>
    <row r="13" spans="1:20" ht="18.75" customHeight="1">
      <c r="A13" s="62"/>
      <c r="B13" s="164" t="s">
        <v>97</v>
      </c>
      <c r="C13" s="165"/>
      <c r="D13" s="85">
        <v>990</v>
      </c>
      <c r="E13" s="85">
        <v>329</v>
      </c>
      <c r="F13" s="86">
        <v>247</v>
      </c>
      <c r="G13" s="72">
        <v>0</v>
      </c>
      <c r="H13" s="73">
        <v>0</v>
      </c>
      <c r="I13" s="70">
        <v>0</v>
      </c>
      <c r="J13" s="71">
        <v>0</v>
      </c>
      <c r="K13" s="72">
        <v>0</v>
      </c>
      <c r="L13" s="73">
        <v>0</v>
      </c>
      <c r="M13" s="70">
        <v>0</v>
      </c>
      <c r="N13" s="71">
        <v>0</v>
      </c>
      <c r="O13" s="72">
        <v>0</v>
      </c>
      <c r="P13" s="73">
        <v>0</v>
      </c>
      <c r="Q13" s="74">
        <f t="shared" si="1"/>
        <v>329</v>
      </c>
      <c r="R13" s="69">
        <f t="shared" si="0"/>
        <v>0.3323232323232323</v>
      </c>
    </row>
    <row r="14" spans="1:20" ht="18.75" customHeight="1">
      <c r="A14" s="62"/>
      <c r="B14" s="176" t="s">
        <v>98</v>
      </c>
      <c r="C14" s="177"/>
      <c r="D14" s="85">
        <v>260</v>
      </c>
      <c r="E14" s="85">
        <v>0</v>
      </c>
      <c r="F14" s="86">
        <v>0</v>
      </c>
      <c r="G14" s="72">
        <v>0</v>
      </c>
      <c r="H14" s="73">
        <v>0</v>
      </c>
      <c r="I14" s="70">
        <v>0</v>
      </c>
      <c r="J14" s="71">
        <v>0</v>
      </c>
      <c r="K14" s="72">
        <v>0</v>
      </c>
      <c r="L14" s="73">
        <v>0</v>
      </c>
      <c r="M14" s="70">
        <v>0</v>
      </c>
      <c r="N14" s="71">
        <v>0</v>
      </c>
      <c r="O14" s="72">
        <v>0</v>
      </c>
      <c r="P14" s="73">
        <v>0</v>
      </c>
      <c r="Q14" s="74">
        <f t="shared" si="1"/>
        <v>0</v>
      </c>
      <c r="R14" s="69">
        <f>IFERROR(Q14/D14, "")</f>
        <v>0</v>
      </c>
    </row>
    <row r="15" spans="1:20" ht="18.75" customHeight="1">
      <c r="A15" s="62"/>
      <c r="B15" s="164"/>
      <c r="C15" s="165"/>
      <c r="D15" s="85"/>
      <c r="E15" s="85"/>
      <c r="F15" s="86"/>
      <c r="G15" s="72"/>
      <c r="H15" s="73"/>
      <c r="I15" s="70"/>
      <c r="J15" s="71"/>
      <c r="K15" s="72"/>
      <c r="L15" s="73"/>
      <c r="M15" s="70"/>
      <c r="N15" s="71"/>
      <c r="O15" s="72"/>
      <c r="P15" s="73"/>
      <c r="Q15" s="74">
        <f t="shared" si="1"/>
        <v>0</v>
      </c>
      <c r="R15" s="69" t="str">
        <f t="shared" ref="R15:R27" si="2">IFERROR(Q15/D15, "")</f>
        <v/>
      </c>
    </row>
    <row r="16" spans="1:20" ht="18.75" customHeight="1">
      <c r="A16" s="62"/>
      <c r="B16" s="164"/>
      <c r="C16" s="165"/>
      <c r="D16" s="106"/>
      <c r="E16" s="70"/>
      <c r="F16" s="71"/>
      <c r="G16" s="72"/>
      <c r="H16" s="73"/>
      <c r="I16" s="70"/>
      <c r="J16" s="71"/>
      <c r="K16" s="72"/>
      <c r="L16" s="73"/>
      <c r="M16" s="70"/>
      <c r="N16" s="71"/>
      <c r="O16" s="72"/>
      <c r="P16" s="73"/>
      <c r="Q16" s="74">
        <f>E16+G16+I16+K16+M16+O16</f>
        <v>0</v>
      </c>
      <c r="R16" s="69" t="str">
        <f t="shared" si="2"/>
        <v/>
      </c>
    </row>
    <row r="17" spans="1:18" ht="18.75" customHeight="1">
      <c r="A17" s="62"/>
      <c r="B17" s="164"/>
      <c r="C17" s="165"/>
      <c r="D17" s="106"/>
      <c r="E17" s="70"/>
      <c r="F17" s="71"/>
      <c r="G17" s="72"/>
      <c r="H17" s="73"/>
      <c r="I17" s="70"/>
      <c r="J17" s="71"/>
      <c r="K17" s="72"/>
      <c r="L17" s="73"/>
      <c r="M17" s="70"/>
      <c r="N17" s="71"/>
      <c r="O17" s="72"/>
      <c r="P17" s="73"/>
      <c r="Q17" s="74">
        <f t="shared" si="1"/>
        <v>0</v>
      </c>
      <c r="R17" s="69" t="str">
        <f t="shared" si="2"/>
        <v/>
      </c>
    </row>
    <row r="18" spans="1:18" ht="18.75" customHeight="1">
      <c r="A18" s="62"/>
      <c r="B18" s="164"/>
      <c r="C18" s="165"/>
      <c r="D18" s="106"/>
      <c r="E18" s="70"/>
      <c r="F18" s="71"/>
      <c r="G18" s="72"/>
      <c r="H18" s="73"/>
      <c r="I18" s="70"/>
      <c r="J18" s="71"/>
      <c r="K18" s="72"/>
      <c r="L18" s="73"/>
      <c r="M18" s="70"/>
      <c r="N18" s="71"/>
      <c r="O18" s="72"/>
      <c r="P18" s="73"/>
      <c r="Q18" s="74">
        <f t="shared" si="1"/>
        <v>0</v>
      </c>
      <c r="R18" s="69" t="str">
        <f t="shared" si="2"/>
        <v/>
      </c>
    </row>
    <row r="19" spans="1:18" ht="18.75" customHeight="1">
      <c r="A19" s="62"/>
      <c r="B19" s="164"/>
      <c r="C19" s="165"/>
      <c r="D19" s="106"/>
      <c r="E19" s="70"/>
      <c r="F19" s="71"/>
      <c r="G19" s="72"/>
      <c r="H19" s="73"/>
      <c r="I19" s="70"/>
      <c r="J19" s="71"/>
      <c r="K19" s="72"/>
      <c r="L19" s="73"/>
      <c r="M19" s="70"/>
      <c r="N19" s="71"/>
      <c r="O19" s="72"/>
      <c r="P19" s="73"/>
      <c r="Q19" s="74">
        <f t="shared" si="1"/>
        <v>0</v>
      </c>
      <c r="R19" s="69" t="str">
        <f t="shared" si="2"/>
        <v/>
      </c>
    </row>
    <row r="20" spans="1:18" ht="18.75" customHeight="1">
      <c r="A20" s="62"/>
      <c r="B20" s="164"/>
      <c r="C20" s="165"/>
      <c r="D20" s="106"/>
      <c r="E20" s="70"/>
      <c r="F20" s="71"/>
      <c r="G20" s="72"/>
      <c r="H20" s="73"/>
      <c r="I20" s="70"/>
      <c r="J20" s="71"/>
      <c r="K20" s="72"/>
      <c r="L20" s="73"/>
      <c r="M20" s="70"/>
      <c r="N20" s="71"/>
      <c r="O20" s="72"/>
      <c r="P20" s="73"/>
      <c r="Q20" s="74">
        <f t="shared" si="1"/>
        <v>0</v>
      </c>
      <c r="R20" s="69" t="str">
        <f t="shared" si="2"/>
        <v/>
      </c>
    </row>
    <row r="21" spans="1:18" ht="18.75" customHeight="1">
      <c r="A21" s="62"/>
      <c r="B21" s="164"/>
      <c r="C21" s="165"/>
      <c r="D21" s="106"/>
      <c r="E21" s="70"/>
      <c r="F21" s="71"/>
      <c r="G21" s="72"/>
      <c r="H21" s="73"/>
      <c r="I21" s="70"/>
      <c r="J21" s="71"/>
      <c r="K21" s="72"/>
      <c r="L21" s="73"/>
      <c r="M21" s="70"/>
      <c r="N21" s="71"/>
      <c r="O21" s="72"/>
      <c r="P21" s="73"/>
      <c r="Q21" s="74">
        <f t="shared" si="1"/>
        <v>0</v>
      </c>
      <c r="R21" s="69" t="str">
        <f t="shared" si="2"/>
        <v/>
      </c>
    </row>
    <row r="22" spans="1:18" ht="18.75" customHeight="1">
      <c r="A22" s="62"/>
      <c r="B22" s="164"/>
      <c r="C22" s="165"/>
      <c r="D22" s="106"/>
      <c r="E22" s="70"/>
      <c r="F22" s="71"/>
      <c r="G22" s="72"/>
      <c r="H22" s="73"/>
      <c r="I22" s="70"/>
      <c r="J22" s="71"/>
      <c r="K22" s="72"/>
      <c r="L22" s="73"/>
      <c r="M22" s="70"/>
      <c r="N22" s="71"/>
      <c r="O22" s="72"/>
      <c r="P22" s="73"/>
      <c r="Q22" s="74">
        <f t="shared" si="1"/>
        <v>0</v>
      </c>
      <c r="R22" s="69" t="str">
        <f t="shared" si="2"/>
        <v/>
      </c>
    </row>
    <row r="23" spans="1:18" ht="18.75" customHeight="1">
      <c r="A23" s="62"/>
      <c r="B23" s="164"/>
      <c r="C23" s="165"/>
      <c r="D23" s="106"/>
      <c r="E23" s="70"/>
      <c r="F23" s="71"/>
      <c r="G23" s="72"/>
      <c r="H23" s="73"/>
      <c r="I23" s="70"/>
      <c r="J23" s="71"/>
      <c r="K23" s="72"/>
      <c r="L23" s="73"/>
      <c r="M23" s="70"/>
      <c r="N23" s="71"/>
      <c r="O23" s="72"/>
      <c r="P23" s="73"/>
      <c r="Q23" s="74">
        <f t="shared" si="1"/>
        <v>0</v>
      </c>
      <c r="R23" s="69" t="str">
        <f t="shared" si="2"/>
        <v/>
      </c>
    </row>
    <row r="24" spans="1:18" ht="18.75" customHeight="1">
      <c r="A24" s="62"/>
      <c r="B24" s="164"/>
      <c r="C24" s="165"/>
      <c r="D24" s="106"/>
      <c r="E24" s="70"/>
      <c r="F24" s="71"/>
      <c r="G24" s="72"/>
      <c r="H24" s="73"/>
      <c r="I24" s="70"/>
      <c r="J24" s="71"/>
      <c r="K24" s="72"/>
      <c r="L24" s="73"/>
      <c r="M24" s="70"/>
      <c r="N24" s="71"/>
      <c r="O24" s="72"/>
      <c r="P24" s="73"/>
      <c r="Q24" s="74">
        <f t="shared" si="1"/>
        <v>0</v>
      </c>
      <c r="R24" s="69" t="str">
        <f t="shared" si="2"/>
        <v/>
      </c>
    </row>
    <row r="25" spans="1:18" ht="18.75" customHeight="1">
      <c r="A25" s="62"/>
      <c r="B25" s="164"/>
      <c r="C25" s="165"/>
      <c r="D25" s="106"/>
      <c r="E25" s="70"/>
      <c r="F25" s="71"/>
      <c r="G25" s="72"/>
      <c r="H25" s="73"/>
      <c r="I25" s="70"/>
      <c r="J25" s="71"/>
      <c r="K25" s="72"/>
      <c r="L25" s="73"/>
      <c r="M25" s="70"/>
      <c r="N25" s="71"/>
      <c r="O25" s="72"/>
      <c r="P25" s="73"/>
      <c r="Q25" s="74">
        <f t="shared" si="1"/>
        <v>0</v>
      </c>
      <c r="R25" s="69" t="str">
        <f t="shared" si="2"/>
        <v/>
      </c>
    </row>
    <row r="26" spans="1:18" ht="18.75" customHeight="1">
      <c r="A26" s="62"/>
      <c r="B26" s="164"/>
      <c r="C26" s="165"/>
      <c r="D26" s="106"/>
      <c r="E26" s="70"/>
      <c r="F26" s="71"/>
      <c r="G26" s="72"/>
      <c r="H26" s="73"/>
      <c r="I26" s="70"/>
      <c r="J26" s="71"/>
      <c r="K26" s="72"/>
      <c r="L26" s="73"/>
      <c r="M26" s="70"/>
      <c r="N26" s="71"/>
      <c r="O26" s="72"/>
      <c r="P26" s="73"/>
      <c r="Q26" s="74">
        <f t="shared" si="1"/>
        <v>0</v>
      </c>
      <c r="R26" s="69" t="str">
        <f t="shared" si="2"/>
        <v/>
      </c>
    </row>
    <row r="27" spans="1:18" ht="18.75" customHeight="1" thickBot="1">
      <c r="A27" s="62"/>
      <c r="B27" s="174"/>
      <c r="C27" s="175"/>
      <c r="D27" s="63"/>
      <c r="E27" s="64"/>
      <c r="F27" s="65"/>
      <c r="G27" s="66"/>
      <c r="H27" s="67"/>
      <c r="I27" s="64"/>
      <c r="J27" s="65"/>
      <c r="K27" s="66"/>
      <c r="L27" s="67"/>
      <c r="M27" s="64"/>
      <c r="N27" s="65"/>
      <c r="O27" s="66"/>
      <c r="P27" s="67"/>
      <c r="Q27" s="75">
        <f t="shared" si="1"/>
        <v>0</v>
      </c>
      <c r="R27" s="69" t="str">
        <f t="shared" si="2"/>
        <v/>
      </c>
    </row>
    <row r="28" spans="1:18" ht="18.75" customHeight="1" thickTop="1">
      <c r="A28" s="62"/>
      <c r="B28" s="168" t="s">
        <v>99</v>
      </c>
      <c r="C28" s="169"/>
      <c r="D28" s="76">
        <f t="shared" ref="D28:Q28" si="3">SUM(D8:D27)</f>
        <v>5174</v>
      </c>
      <c r="E28" s="77">
        <f t="shared" si="3"/>
        <v>1247</v>
      </c>
      <c r="F28" s="78">
        <f t="shared" si="3"/>
        <v>1003</v>
      </c>
      <c r="G28" s="79">
        <f t="shared" si="3"/>
        <v>0</v>
      </c>
      <c r="H28" s="80">
        <f t="shared" si="3"/>
        <v>0</v>
      </c>
      <c r="I28" s="77">
        <f t="shared" si="3"/>
        <v>0</v>
      </c>
      <c r="J28" s="78">
        <f t="shared" si="3"/>
        <v>0</v>
      </c>
      <c r="K28" s="79">
        <f t="shared" si="3"/>
        <v>0</v>
      </c>
      <c r="L28" s="80">
        <f t="shared" si="3"/>
        <v>0</v>
      </c>
      <c r="M28" s="77">
        <f t="shared" si="3"/>
        <v>0</v>
      </c>
      <c r="N28" s="78">
        <f t="shared" si="3"/>
        <v>0</v>
      </c>
      <c r="O28" s="79">
        <f t="shared" si="3"/>
        <v>0</v>
      </c>
      <c r="P28" s="80">
        <f t="shared" si="3"/>
        <v>0</v>
      </c>
      <c r="Q28" s="81">
        <f t="shared" si="3"/>
        <v>1247</v>
      </c>
      <c r="R28" s="82">
        <f>IFERROR(Q28/D28,"")</f>
        <v>0.24101275608813297</v>
      </c>
    </row>
    <row r="29" spans="1:18" ht="6.75" customHeight="1">
      <c r="A29" s="62"/>
      <c r="B29" s="62"/>
      <c r="C29" s="62"/>
      <c r="D29" s="83"/>
      <c r="E29" s="83"/>
      <c r="F29" s="83"/>
      <c r="G29" s="83"/>
      <c r="H29" s="83"/>
      <c r="I29" s="83"/>
      <c r="J29" s="83"/>
      <c r="K29" s="83"/>
      <c r="L29" s="83"/>
      <c r="M29" s="83"/>
      <c r="N29" s="83"/>
      <c r="O29" s="83"/>
      <c r="P29" s="83"/>
      <c r="Q29" s="83"/>
      <c r="R29" s="83"/>
    </row>
    <row r="38" spans="4:6" ht="18.75" customHeight="1">
      <c r="D38" s="84"/>
      <c r="E38" s="84"/>
      <c r="F38" s="84"/>
    </row>
  </sheetData>
  <mergeCells count="35">
    <mergeCell ref="F1:R1"/>
    <mergeCell ref="K2:L2"/>
    <mergeCell ref="D6:D7"/>
    <mergeCell ref="E6:F6"/>
    <mergeCell ref="G6:H6"/>
    <mergeCell ref="I6:J6"/>
    <mergeCell ref="K6:L6"/>
    <mergeCell ref="M6:N6"/>
    <mergeCell ref="O6:P6"/>
    <mergeCell ref="Q6:Q7"/>
    <mergeCell ref="R6:R7"/>
    <mergeCell ref="A4:R4"/>
    <mergeCell ref="M2:N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3"/>
  <sheetViews>
    <sheetView tabSelected="1" zoomScaleNormal="100" workbookViewId="0">
      <selection activeCell="H2" sqref="H2"/>
    </sheetView>
  </sheetViews>
  <sheetFormatPr defaultRowHeight="14.25"/>
  <cols>
    <col min="1" max="1" width="2.5" style="1" customWidth="1"/>
    <col min="2" max="2" width="19" style="1" customWidth="1"/>
    <col min="3" max="3" width="25" style="89" customWidth="1"/>
    <col min="4" max="4" width="10" style="89" customWidth="1"/>
    <col min="5" max="7" width="25" style="89" customWidth="1"/>
    <col min="8" max="16384" width="9" style="1"/>
  </cols>
  <sheetData>
    <row r="1" spans="1:7" ht="18.75" customHeight="1">
      <c r="G1" s="90" t="s">
        <v>100</v>
      </c>
    </row>
    <row r="2" spans="1:7" ht="18.75" customHeight="1">
      <c r="F2" s="90" t="s">
        <v>68</v>
      </c>
      <c r="G2" s="89" t="s">
        <v>4</v>
      </c>
    </row>
    <row r="3" spans="1:7" ht="18.75" customHeight="1">
      <c r="A3" s="202" t="s">
        <v>101</v>
      </c>
      <c r="B3" s="202"/>
      <c r="C3" s="202"/>
      <c r="D3" s="202"/>
      <c r="E3" s="202"/>
      <c r="F3" s="202"/>
      <c r="G3" s="202"/>
    </row>
    <row r="4" spans="1:7" ht="18.75" customHeight="1">
      <c r="A4" s="1" t="s">
        <v>2</v>
      </c>
      <c r="B4" s="1" t="s">
        <v>102</v>
      </c>
    </row>
    <row r="5" spans="1:7" s="44" customFormat="1" ht="18.75" customHeight="1">
      <c r="A5" s="107"/>
      <c r="B5" s="50" t="s">
        <v>103</v>
      </c>
      <c r="C5" s="117" t="s">
        <v>104</v>
      </c>
      <c r="D5" s="118"/>
      <c r="E5" s="118"/>
      <c r="F5" s="118"/>
      <c r="G5" s="119"/>
    </row>
    <row r="6" spans="1:7" s="48" customFormat="1" ht="30.75" customHeight="1">
      <c r="A6" s="107"/>
      <c r="B6" s="190" t="s">
        <v>105</v>
      </c>
      <c r="C6" s="203" t="s">
        <v>106</v>
      </c>
      <c r="D6" s="204"/>
      <c r="E6" s="204"/>
      <c r="F6" s="204"/>
      <c r="G6" s="205"/>
    </row>
    <row r="7" spans="1:7" s="48" customFormat="1" ht="30.75" customHeight="1">
      <c r="A7" s="107"/>
      <c r="B7" s="191"/>
      <c r="C7" s="206"/>
      <c r="D7" s="207"/>
      <c r="E7" s="207"/>
      <c r="F7" s="207"/>
      <c r="G7" s="208"/>
    </row>
    <row r="8" spans="1:7" s="48" customFormat="1" ht="30.75" customHeight="1">
      <c r="A8" s="107"/>
      <c r="B8" s="191"/>
      <c r="C8" s="206"/>
      <c r="D8" s="207"/>
      <c r="E8" s="207"/>
      <c r="F8" s="207"/>
      <c r="G8" s="208"/>
    </row>
    <row r="9" spans="1:7" s="48" customFormat="1" ht="30.75" customHeight="1">
      <c r="A9" s="107"/>
      <c r="B9" s="191"/>
      <c r="C9" s="209"/>
      <c r="D9" s="210"/>
      <c r="E9" s="210"/>
      <c r="F9" s="210"/>
      <c r="G9" s="211"/>
    </row>
    <row r="10" spans="1:7" s="49" customFormat="1" ht="18.75" customHeight="1">
      <c r="A10" s="107"/>
      <c r="B10" s="191"/>
      <c r="C10" s="91" t="s">
        <v>107</v>
      </c>
      <c r="D10" s="128" t="s">
        <v>108</v>
      </c>
      <c r="E10" s="129"/>
      <c r="F10" s="129"/>
      <c r="G10" s="130"/>
    </row>
    <row r="11" spans="1:7" s="48" customFormat="1" ht="18.75" customHeight="1">
      <c r="A11" s="107"/>
      <c r="B11" s="191"/>
      <c r="C11" s="97" t="s">
        <v>109</v>
      </c>
      <c r="D11" s="128" t="s">
        <v>110</v>
      </c>
      <c r="E11" s="129"/>
      <c r="F11" s="129"/>
      <c r="G11" s="130"/>
    </row>
    <row r="12" spans="1:7" s="49" customFormat="1" ht="18.75" customHeight="1">
      <c r="A12" s="107"/>
      <c r="B12" s="191"/>
      <c r="C12" s="97" t="s">
        <v>111</v>
      </c>
      <c r="D12" s="128" t="s">
        <v>112</v>
      </c>
      <c r="E12" s="129"/>
      <c r="F12" s="129"/>
      <c r="G12" s="130"/>
    </row>
    <row r="13" spans="1:7" s="49" customFormat="1" ht="18.75" customHeight="1">
      <c r="A13" s="107"/>
      <c r="B13" s="191"/>
      <c r="C13" s="97" t="s">
        <v>113</v>
      </c>
      <c r="D13" s="128" t="s">
        <v>114</v>
      </c>
      <c r="E13" s="129"/>
      <c r="F13" s="129"/>
      <c r="G13" s="130"/>
    </row>
    <row r="14" spans="1:7" s="49" customFormat="1" ht="18.75" customHeight="1">
      <c r="A14" s="107"/>
      <c r="B14" s="191"/>
      <c r="C14" s="97" t="s">
        <v>115</v>
      </c>
      <c r="D14" s="128" t="s">
        <v>116</v>
      </c>
      <c r="E14" s="129"/>
      <c r="F14" s="129"/>
      <c r="G14" s="130"/>
    </row>
    <row r="15" spans="1:7" s="52" customFormat="1" ht="18.75" customHeight="1">
      <c r="A15" s="107"/>
      <c r="B15" s="191"/>
      <c r="C15" s="97" t="s">
        <v>117</v>
      </c>
      <c r="D15" s="128" t="s">
        <v>116</v>
      </c>
      <c r="E15" s="129"/>
      <c r="F15" s="129"/>
      <c r="G15" s="130"/>
    </row>
    <row r="16" spans="1:7" s="52" customFormat="1" ht="18.75" customHeight="1">
      <c r="A16" s="107"/>
      <c r="B16" s="191"/>
      <c r="C16" s="97" t="s">
        <v>118</v>
      </c>
      <c r="D16" s="128" t="s">
        <v>119</v>
      </c>
      <c r="E16" s="129"/>
      <c r="F16" s="129"/>
      <c r="G16" s="130"/>
    </row>
    <row r="17" spans="2:7" s="52" customFormat="1" ht="18.75" customHeight="1">
      <c r="B17" s="191"/>
      <c r="C17" s="97" t="s">
        <v>120</v>
      </c>
      <c r="D17" s="128" t="s">
        <v>119</v>
      </c>
      <c r="E17" s="129"/>
      <c r="F17" s="129"/>
      <c r="G17" s="130"/>
    </row>
    <row r="18" spans="2:7" s="52" customFormat="1" ht="18.75" customHeight="1">
      <c r="B18" s="191"/>
      <c r="C18" s="97" t="s">
        <v>121</v>
      </c>
      <c r="D18" s="128" t="s">
        <v>119</v>
      </c>
      <c r="E18" s="129"/>
      <c r="F18" s="129"/>
      <c r="G18" s="130"/>
    </row>
    <row r="19" spans="2:7" s="52" customFormat="1" ht="18.75" customHeight="1">
      <c r="B19" s="191"/>
      <c r="C19" s="97" t="s">
        <v>122</v>
      </c>
      <c r="D19" s="128" t="s">
        <v>119</v>
      </c>
      <c r="E19" s="129"/>
      <c r="F19" s="129"/>
      <c r="G19" s="130"/>
    </row>
    <row r="20" spans="2:7" s="52" customFormat="1" ht="18.75" customHeight="1">
      <c r="B20" s="191"/>
      <c r="C20" s="97" t="s">
        <v>123</v>
      </c>
      <c r="D20" s="128" t="s">
        <v>124</v>
      </c>
      <c r="E20" s="129"/>
      <c r="F20" s="129"/>
      <c r="G20" s="130"/>
    </row>
    <row r="21" spans="2:7" s="52" customFormat="1" ht="18.75" customHeight="1">
      <c r="B21" s="191"/>
      <c r="C21" s="97" t="s">
        <v>125</v>
      </c>
      <c r="D21" s="128" t="s">
        <v>126</v>
      </c>
      <c r="E21" s="129"/>
      <c r="F21" s="129"/>
      <c r="G21" s="130"/>
    </row>
    <row r="22" spans="2:7" s="52" customFormat="1" ht="18.75" customHeight="1">
      <c r="B22" s="191"/>
      <c r="C22" s="97" t="s">
        <v>127</v>
      </c>
      <c r="D22" s="128" t="s">
        <v>128</v>
      </c>
      <c r="E22" s="129"/>
      <c r="F22" s="129"/>
      <c r="G22" s="130"/>
    </row>
    <row r="23" spans="2:7" s="52" customFormat="1" ht="18.75" customHeight="1">
      <c r="B23" s="191"/>
      <c r="C23" s="97" t="s">
        <v>129</v>
      </c>
      <c r="D23" s="128" t="s">
        <v>128</v>
      </c>
      <c r="E23" s="129"/>
      <c r="F23" s="129"/>
      <c r="G23" s="130"/>
    </row>
    <row r="24" spans="2:7" s="95" customFormat="1" ht="18.75" customHeight="1">
      <c r="B24" s="191"/>
      <c r="C24" s="97" t="s">
        <v>130</v>
      </c>
      <c r="D24" s="128" t="s">
        <v>131</v>
      </c>
      <c r="E24" s="129"/>
      <c r="F24" s="129"/>
      <c r="G24" s="130"/>
    </row>
    <row r="25" spans="2:7" s="95" customFormat="1" ht="18.75" customHeight="1">
      <c r="B25" s="191"/>
      <c r="C25" s="97" t="s">
        <v>132</v>
      </c>
      <c r="D25" s="128" t="s">
        <v>133</v>
      </c>
      <c r="E25" s="129"/>
      <c r="F25" s="129"/>
      <c r="G25" s="130"/>
    </row>
    <row r="26" spans="2:7" s="95" customFormat="1" ht="18.75" customHeight="1">
      <c r="B26" s="191"/>
      <c r="C26" s="97" t="s">
        <v>134</v>
      </c>
      <c r="D26" s="128" t="s">
        <v>135</v>
      </c>
      <c r="E26" s="129"/>
      <c r="F26" s="129"/>
      <c r="G26" s="130"/>
    </row>
    <row r="27" spans="2:7" s="52" customFormat="1" ht="18.75" customHeight="1">
      <c r="B27" s="191"/>
      <c r="C27" s="97" t="s">
        <v>136</v>
      </c>
      <c r="D27" s="128" t="s">
        <v>137</v>
      </c>
      <c r="E27" s="129"/>
      <c r="F27" s="129"/>
      <c r="G27" s="130"/>
    </row>
    <row r="28" spans="2:7" s="49" customFormat="1" ht="18.75" customHeight="1">
      <c r="B28" s="191"/>
      <c r="C28" s="97" t="s">
        <v>76</v>
      </c>
      <c r="D28" s="128" t="s">
        <v>138</v>
      </c>
      <c r="E28" s="129"/>
      <c r="F28" s="129"/>
      <c r="G28" s="130"/>
    </row>
    <row r="29" spans="2:7" ht="18.75" customHeight="1">
      <c r="B29" s="190" t="s">
        <v>139</v>
      </c>
      <c r="C29" s="117" t="s">
        <v>104</v>
      </c>
      <c r="D29" s="118"/>
      <c r="E29" s="118"/>
      <c r="F29" s="118"/>
      <c r="G29" s="119"/>
    </row>
    <row r="30" spans="2:7" ht="38.25" customHeight="1">
      <c r="B30" s="191"/>
      <c r="C30" s="192" t="s">
        <v>140</v>
      </c>
      <c r="D30" s="193"/>
      <c r="E30" s="193"/>
      <c r="F30" s="193"/>
      <c r="G30" s="194"/>
    </row>
    <row r="31" spans="2:7" ht="38.25" customHeight="1">
      <c r="B31" s="191"/>
      <c r="C31" s="195"/>
      <c r="D31" s="196"/>
      <c r="E31" s="196"/>
      <c r="F31" s="196"/>
      <c r="G31" s="197"/>
    </row>
    <row r="32" spans="2:7" ht="38.25" customHeight="1">
      <c r="B32" s="191"/>
      <c r="C32" s="195"/>
      <c r="D32" s="196"/>
      <c r="E32" s="196"/>
      <c r="F32" s="196"/>
      <c r="G32" s="197"/>
    </row>
    <row r="33" spans="2:7" ht="38.25" customHeight="1">
      <c r="B33" s="191"/>
      <c r="C33" s="195"/>
      <c r="D33" s="196"/>
      <c r="E33" s="196"/>
      <c r="F33" s="196"/>
      <c r="G33" s="197"/>
    </row>
    <row r="34" spans="2:7" ht="38.25" customHeight="1">
      <c r="B34" s="191"/>
      <c r="C34" s="198"/>
      <c r="D34" s="199"/>
      <c r="E34" s="199"/>
      <c r="F34" s="199"/>
      <c r="G34" s="200"/>
    </row>
    <row r="35" spans="2:7" ht="18.75" customHeight="1">
      <c r="B35" s="191"/>
      <c r="C35" s="91" t="s">
        <v>107</v>
      </c>
      <c r="D35" s="117" t="s">
        <v>108</v>
      </c>
      <c r="E35" s="118"/>
      <c r="F35" s="118"/>
      <c r="G35" s="119"/>
    </row>
    <row r="36" spans="2:7" ht="18.75" customHeight="1">
      <c r="B36" s="191"/>
      <c r="C36" s="97" t="s">
        <v>76</v>
      </c>
      <c r="D36" s="128" t="s">
        <v>138</v>
      </c>
      <c r="E36" s="129"/>
      <c r="F36" s="129"/>
      <c r="G36" s="130"/>
    </row>
    <row r="37" spans="2:7" ht="18.75" customHeight="1">
      <c r="B37" s="191"/>
      <c r="C37" s="98"/>
      <c r="D37" s="128"/>
      <c r="E37" s="129"/>
      <c r="F37" s="129"/>
      <c r="G37" s="130"/>
    </row>
    <row r="38" spans="2:7" ht="18.75" customHeight="1">
      <c r="B38" s="191"/>
      <c r="C38" s="98"/>
      <c r="D38" s="128"/>
      <c r="E38" s="129"/>
      <c r="F38" s="129"/>
      <c r="G38" s="130"/>
    </row>
    <row r="39" spans="2:7" ht="18.75" customHeight="1">
      <c r="B39" s="191"/>
      <c r="C39" s="98"/>
      <c r="D39" s="128"/>
      <c r="E39" s="129"/>
      <c r="F39" s="129"/>
      <c r="G39" s="130"/>
    </row>
    <row r="40" spans="2:7" ht="18.75" customHeight="1">
      <c r="B40" s="191"/>
      <c r="C40" s="98"/>
      <c r="D40" s="128"/>
      <c r="E40" s="129"/>
      <c r="F40" s="129"/>
      <c r="G40" s="130"/>
    </row>
    <row r="41" spans="2:7" ht="18.75" customHeight="1">
      <c r="B41" s="191"/>
      <c r="C41" s="98"/>
      <c r="D41" s="128"/>
      <c r="E41" s="129"/>
      <c r="F41" s="129"/>
      <c r="G41" s="130"/>
    </row>
    <row r="42" spans="2:7" ht="18.75" customHeight="1">
      <c r="B42" s="191"/>
      <c r="C42" s="98"/>
      <c r="D42" s="128"/>
      <c r="E42" s="129"/>
      <c r="F42" s="129"/>
      <c r="G42" s="130"/>
    </row>
    <row r="43" spans="2:7" ht="18.75" customHeight="1">
      <c r="B43" s="191"/>
      <c r="C43" s="98"/>
      <c r="D43" s="128"/>
      <c r="E43" s="129"/>
      <c r="F43" s="129"/>
      <c r="G43" s="130"/>
    </row>
    <row r="44" spans="2:7" ht="18.75" customHeight="1">
      <c r="B44" s="191"/>
      <c r="C44" s="98"/>
      <c r="D44" s="128"/>
      <c r="E44" s="129"/>
      <c r="F44" s="129"/>
      <c r="G44" s="130"/>
    </row>
    <row r="45" spans="2:7" ht="18.75" customHeight="1">
      <c r="B45" s="191"/>
      <c r="C45" s="98"/>
      <c r="D45" s="128"/>
      <c r="E45" s="129"/>
      <c r="F45" s="129"/>
      <c r="G45" s="130"/>
    </row>
    <row r="46" spans="2:7" ht="18.75" customHeight="1">
      <c r="B46" s="191"/>
      <c r="C46" s="98"/>
      <c r="D46" s="128"/>
      <c r="E46" s="129"/>
      <c r="F46" s="129"/>
      <c r="G46" s="130"/>
    </row>
    <row r="47" spans="2:7" ht="18.75" customHeight="1">
      <c r="B47" s="191"/>
      <c r="C47" s="98"/>
      <c r="D47" s="128"/>
      <c r="E47" s="129"/>
      <c r="F47" s="129"/>
      <c r="G47" s="130"/>
    </row>
    <row r="48" spans="2:7" ht="18.75" customHeight="1">
      <c r="B48" s="191"/>
      <c r="C48" s="98"/>
      <c r="D48" s="128"/>
      <c r="E48" s="129"/>
      <c r="F48" s="129"/>
      <c r="G48" s="130"/>
    </row>
    <row r="49" spans="2:7" ht="18.75" customHeight="1">
      <c r="B49" s="191"/>
      <c r="C49" s="98"/>
      <c r="D49" s="128"/>
      <c r="E49" s="129"/>
      <c r="F49" s="129"/>
      <c r="G49" s="130"/>
    </row>
    <row r="50" spans="2:7" ht="18.75" customHeight="1">
      <c r="B50" s="191"/>
      <c r="C50" s="98"/>
      <c r="D50" s="128"/>
      <c r="E50" s="129"/>
      <c r="F50" s="129"/>
      <c r="G50" s="130"/>
    </row>
    <row r="51" spans="2:7" ht="18.75" customHeight="1">
      <c r="B51" s="191"/>
      <c r="C51" s="98"/>
      <c r="D51" s="128"/>
      <c r="E51" s="129"/>
      <c r="F51" s="129"/>
      <c r="G51" s="130"/>
    </row>
    <row r="52" spans="2:7" ht="18.75" customHeight="1">
      <c r="B52" s="191"/>
      <c r="C52" s="98"/>
      <c r="D52" s="128"/>
      <c r="E52" s="129"/>
      <c r="F52" s="129"/>
      <c r="G52" s="130"/>
    </row>
    <row r="53" spans="2:7" ht="18.75" customHeight="1">
      <c r="B53" s="201"/>
      <c r="C53" s="98"/>
      <c r="D53" s="128"/>
      <c r="E53" s="129"/>
      <c r="F53" s="129"/>
      <c r="G53" s="130"/>
    </row>
    <row r="54" spans="2:7" ht="18.75" customHeight="1">
      <c r="B54" s="190" t="s">
        <v>141</v>
      </c>
      <c r="C54" s="117" t="s">
        <v>104</v>
      </c>
      <c r="D54" s="118"/>
      <c r="E54" s="118"/>
      <c r="F54" s="118"/>
      <c r="G54" s="119"/>
    </row>
    <row r="55" spans="2:7" ht="37.5" customHeight="1">
      <c r="B55" s="191"/>
      <c r="C55" s="192" t="s">
        <v>142</v>
      </c>
      <c r="D55" s="193"/>
      <c r="E55" s="193"/>
      <c r="F55" s="193"/>
      <c r="G55" s="194"/>
    </row>
    <row r="56" spans="2:7" ht="37.5" customHeight="1">
      <c r="B56" s="191"/>
      <c r="C56" s="195"/>
      <c r="D56" s="196"/>
      <c r="E56" s="196"/>
      <c r="F56" s="196"/>
      <c r="G56" s="197"/>
    </row>
    <row r="57" spans="2:7" ht="37.5" customHeight="1">
      <c r="B57" s="191"/>
      <c r="C57" s="195"/>
      <c r="D57" s="196"/>
      <c r="E57" s="196"/>
      <c r="F57" s="196"/>
      <c r="G57" s="197"/>
    </row>
    <row r="58" spans="2:7" ht="37.5" customHeight="1">
      <c r="B58" s="191"/>
      <c r="C58" s="195"/>
      <c r="D58" s="196"/>
      <c r="E58" s="196"/>
      <c r="F58" s="196"/>
      <c r="G58" s="197"/>
    </row>
    <row r="59" spans="2:7" ht="37.5" customHeight="1">
      <c r="B59" s="191"/>
      <c r="C59" s="198"/>
      <c r="D59" s="199"/>
      <c r="E59" s="199"/>
      <c r="F59" s="199"/>
      <c r="G59" s="200"/>
    </row>
    <row r="60" spans="2:7" ht="18.75" customHeight="1">
      <c r="B60" s="191"/>
      <c r="C60" s="91" t="s">
        <v>107</v>
      </c>
      <c r="D60" s="117" t="s">
        <v>108</v>
      </c>
      <c r="E60" s="118"/>
      <c r="F60" s="118"/>
      <c r="G60" s="119"/>
    </row>
    <row r="61" spans="2:7" ht="18.75" customHeight="1">
      <c r="B61" s="191"/>
      <c r="C61" s="97" t="s">
        <v>76</v>
      </c>
      <c r="D61" s="128" t="s">
        <v>143</v>
      </c>
      <c r="E61" s="129"/>
      <c r="F61" s="129"/>
      <c r="G61" s="130"/>
    </row>
    <row r="62" spans="2:7" ht="18.75" customHeight="1">
      <c r="B62" s="191"/>
      <c r="C62" s="98"/>
      <c r="D62" s="128"/>
      <c r="E62" s="129"/>
      <c r="F62" s="129"/>
      <c r="G62" s="130"/>
    </row>
    <row r="63" spans="2:7" ht="18.75" customHeight="1">
      <c r="B63" s="191"/>
      <c r="C63" s="98"/>
      <c r="D63" s="223"/>
      <c r="E63" s="129"/>
      <c r="F63" s="129"/>
      <c r="G63" s="130"/>
    </row>
    <row r="64" spans="2:7" ht="18.75" customHeight="1">
      <c r="B64" s="191"/>
      <c r="C64" s="98"/>
      <c r="D64" s="128"/>
      <c r="E64" s="129"/>
      <c r="F64" s="129"/>
      <c r="G64" s="130"/>
    </row>
    <row r="65" spans="2:7" ht="18.75" customHeight="1">
      <c r="B65" s="191"/>
      <c r="C65" s="98"/>
      <c r="D65" s="223"/>
      <c r="E65" s="129"/>
      <c r="F65" s="129"/>
      <c r="G65" s="130"/>
    </row>
    <row r="66" spans="2:7" ht="18.75" customHeight="1">
      <c r="B66" s="191"/>
      <c r="C66" s="98"/>
      <c r="D66" s="128"/>
      <c r="E66" s="129"/>
      <c r="F66" s="129"/>
      <c r="G66" s="130"/>
    </row>
    <row r="67" spans="2:7" ht="18.75" customHeight="1">
      <c r="B67" s="191"/>
      <c r="C67" s="98"/>
      <c r="D67" s="128"/>
      <c r="E67" s="129"/>
      <c r="F67" s="129"/>
      <c r="G67" s="130"/>
    </row>
    <row r="68" spans="2:7" ht="18.75" customHeight="1">
      <c r="B68" s="191"/>
      <c r="C68" s="98"/>
      <c r="D68" s="128"/>
      <c r="E68" s="129"/>
      <c r="F68" s="129"/>
      <c r="G68" s="130"/>
    </row>
    <row r="69" spans="2:7" ht="18.75" customHeight="1">
      <c r="B69" s="191"/>
      <c r="C69" s="98"/>
      <c r="D69" s="128"/>
      <c r="E69" s="129"/>
      <c r="F69" s="129"/>
      <c r="G69" s="130"/>
    </row>
    <row r="70" spans="2:7" ht="18.75" customHeight="1">
      <c r="B70" s="191"/>
      <c r="C70" s="98"/>
      <c r="D70" s="128"/>
      <c r="E70" s="129"/>
      <c r="F70" s="129"/>
      <c r="G70" s="130"/>
    </row>
    <row r="71" spans="2:7" ht="18.75" customHeight="1">
      <c r="B71" s="191"/>
      <c r="C71" s="98"/>
      <c r="D71" s="128"/>
      <c r="E71" s="129"/>
      <c r="F71" s="129"/>
      <c r="G71" s="130"/>
    </row>
    <row r="72" spans="2:7" ht="18.75" customHeight="1">
      <c r="B72" s="191"/>
      <c r="C72" s="98"/>
      <c r="D72" s="128"/>
      <c r="E72" s="129"/>
      <c r="F72" s="129"/>
      <c r="G72" s="130"/>
    </row>
    <row r="73" spans="2:7" ht="18.75" customHeight="1">
      <c r="B73" s="191"/>
      <c r="C73" s="98"/>
      <c r="D73" s="128"/>
      <c r="E73" s="129"/>
      <c r="F73" s="129"/>
      <c r="G73" s="130"/>
    </row>
    <row r="74" spans="2:7" ht="18.75" customHeight="1">
      <c r="B74" s="191"/>
      <c r="C74" s="98"/>
      <c r="D74" s="128"/>
      <c r="E74" s="129"/>
      <c r="F74" s="129"/>
      <c r="G74" s="130"/>
    </row>
    <row r="75" spans="2:7" ht="18.75" customHeight="1">
      <c r="B75" s="191"/>
      <c r="C75" s="98"/>
      <c r="D75" s="128"/>
      <c r="E75" s="129"/>
      <c r="F75" s="129"/>
      <c r="G75" s="130"/>
    </row>
    <row r="76" spans="2:7" ht="18.75" customHeight="1">
      <c r="B76" s="191"/>
      <c r="C76" s="98"/>
      <c r="D76" s="128"/>
      <c r="E76" s="129"/>
      <c r="F76" s="129"/>
      <c r="G76" s="130"/>
    </row>
    <row r="77" spans="2:7" ht="18.75" customHeight="1">
      <c r="B77" s="191"/>
      <c r="C77" s="98"/>
      <c r="D77" s="128"/>
      <c r="E77" s="129"/>
      <c r="F77" s="129"/>
      <c r="G77" s="130"/>
    </row>
    <row r="78" spans="2:7" ht="18.75" customHeight="1">
      <c r="B78" s="191"/>
      <c r="C78" s="98"/>
      <c r="D78" s="128"/>
      <c r="E78" s="129"/>
      <c r="F78" s="129"/>
      <c r="G78" s="130"/>
    </row>
    <row r="79" spans="2:7" ht="18.75" customHeight="1">
      <c r="B79" s="190" t="s">
        <v>144</v>
      </c>
      <c r="C79" s="117" t="s">
        <v>104</v>
      </c>
      <c r="D79" s="118"/>
      <c r="E79" s="118"/>
      <c r="F79" s="118"/>
      <c r="G79" s="119"/>
    </row>
    <row r="80" spans="2:7" ht="37.5" customHeight="1">
      <c r="B80" s="191"/>
      <c r="C80" s="192" t="s">
        <v>145</v>
      </c>
      <c r="D80" s="193"/>
      <c r="E80" s="193"/>
      <c r="F80" s="193"/>
      <c r="G80" s="194"/>
    </row>
    <row r="81" spans="2:7" ht="37.5" customHeight="1">
      <c r="B81" s="191"/>
      <c r="C81" s="195"/>
      <c r="D81" s="196"/>
      <c r="E81" s="196"/>
      <c r="F81" s="196"/>
      <c r="G81" s="197"/>
    </row>
    <row r="82" spans="2:7" ht="37.5" customHeight="1">
      <c r="B82" s="191"/>
      <c r="C82" s="195"/>
      <c r="D82" s="196"/>
      <c r="E82" s="196"/>
      <c r="F82" s="196"/>
      <c r="G82" s="197"/>
    </row>
    <row r="83" spans="2:7" ht="37.5" customHeight="1">
      <c r="B83" s="191"/>
      <c r="C83" s="195"/>
      <c r="D83" s="196"/>
      <c r="E83" s="196"/>
      <c r="F83" s="196"/>
      <c r="G83" s="197"/>
    </row>
    <row r="84" spans="2:7" ht="37.5" customHeight="1">
      <c r="B84" s="191"/>
      <c r="C84" s="198"/>
      <c r="D84" s="199"/>
      <c r="E84" s="199"/>
      <c r="F84" s="199"/>
      <c r="G84" s="200"/>
    </row>
    <row r="85" spans="2:7" ht="18.75" customHeight="1">
      <c r="B85" s="191"/>
      <c r="C85" s="91" t="s">
        <v>107</v>
      </c>
      <c r="D85" s="117" t="s">
        <v>108</v>
      </c>
      <c r="E85" s="118"/>
      <c r="F85" s="118"/>
      <c r="G85" s="119"/>
    </row>
    <row r="86" spans="2:7" ht="18.75" customHeight="1">
      <c r="B86" s="191"/>
      <c r="C86" s="97" t="s">
        <v>109</v>
      </c>
      <c r="D86" s="128" t="s">
        <v>110</v>
      </c>
      <c r="E86" s="129"/>
      <c r="F86" s="129"/>
      <c r="G86" s="130"/>
    </row>
    <row r="87" spans="2:7" ht="18.75" customHeight="1">
      <c r="B87" s="191"/>
      <c r="C87" s="97" t="s">
        <v>111</v>
      </c>
      <c r="D87" s="128" t="s">
        <v>146</v>
      </c>
      <c r="E87" s="129"/>
      <c r="F87" s="129"/>
      <c r="G87" s="130"/>
    </row>
    <row r="88" spans="2:7" ht="18.75" customHeight="1">
      <c r="B88" s="191"/>
      <c r="C88" s="97" t="s">
        <v>113</v>
      </c>
      <c r="D88" s="128" t="s">
        <v>114</v>
      </c>
      <c r="E88" s="129"/>
      <c r="F88" s="129"/>
      <c r="G88" s="130"/>
    </row>
    <row r="89" spans="2:7" ht="18.75" customHeight="1">
      <c r="B89" s="191"/>
      <c r="C89" s="97" t="s">
        <v>115</v>
      </c>
      <c r="D89" s="128" t="s">
        <v>147</v>
      </c>
      <c r="E89" s="129"/>
      <c r="F89" s="129"/>
      <c r="G89" s="130"/>
    </row>
    <row r="90" spans="2:7" ht="18.75" customHeight="1">
      <c r="B90" s="191"/>
      <c r="C90" s="97" t="s">
        <v>117</v>
      </c>
      <c r="D90" s="128" t="s">
        <v>147</v>
      </c>
      <c r="E90" s="129"/>
      <c r="F90" s="129"/>
      <c r="G90" s="130"/>
    </row>
    <row r="91" spans="2:7" ht="18.75" customHeight="1">
      <c r="B91" s="191"/>
      <c r="C91" s="97" t="s">
        <v>118</v>
      </c>
      <c r="D91" s="128" t="s">
        <v>119</v>
      </c>
      <c r="E91" s="129"/>
      <c r="F91" s="129"/>
      <c r="G91" s="130"/>
    </row>
    <row r="92" spans="2:7" ht="18.75" customHeight="1">
      <c r="B92" s="191"/>
      <c r="C92" s="97" t="s">
        <v>120</v>
      </c>
      <c r="D92" s="128" t="s">
        <v>119</v>
      </c>
      <c r="E92" s="129"/>
      <c r="F92" s="129"/>
      <c r="G92" s="130"/>
    </row>
    <row r="93" spans="2:7" ht="18.75" customHeight="1">
      <c r="B93" s="191"/>
      <c r="C93" s="97" t="s">
        <v>121</v>
      </c>
      <c r="D93" s="128" t="s">
        <v>119</v>
      </c>
      <c r="E93" s="129"/>
      <c r="F93" s="129"/>
      <c r="G93" s="130"/>
    </row>
    <row r="94" spans="2:7" ht="18.75" customHeight="1">
      <c r="B94" s="191"/>
      <c r="C94" s="97" t="s">
        <v>122</v>
      </c>
      <c r="D94" s="128" t="s">
        <v>119</v>
      </c>
      <c r="E94" s="129"/>
      <c r="F94" s="129"/>
      <c r="G94" s="130"/>
    </row>
    <row r="95" spans="2:7" ht="18.75" customHeight="1">
      <c r="B95" s="191"/>
      <c r="C95" s="97" t="s">
        <v>123</v>
      </c>
      <c r="D95" s="128" t="s">
        <v>148</v>
      </c>
      <c r="E95" s="129"/>
      <c r="F95" s="129"/>
      <c r="G95" s="130"/>
    </row>
    <row r="96" spans="2:7" ht="18.75" customHeight="1">
      <c r="B96" s="191"/>
      <c r="C96" s="97" t="s">
        <v>125</v>
      </c>
      <c r="D96" s="128" t="s">
        <v>126</v>
      </c>
      <c r="E96" s="129"/>
      <c r="F96" s="129"/>
      <c r="G96" s="130"/>
    </row>
    <row r="97" spans="2:7" ht="18.75" customHeight="1">
      <c r="B97" s="191"/>
      <c r="C97" s="97" t="s">
        <v>127</v>
      </c>
      <c r="D97" s="128" t="s">
        <v>128</v>
      </c>
      <c r="E97" s="129"/>
      <c r="F97" s="129"/>
      <c r="G97" s="130"/>
    </row>
    <row r="98" spans="2:7" ht="18.75" customHeight="1">
      <c r="B98" s="191"/>
      <c r="C98" s="97" t="s">
        <v>129</v>
      </c>
      <c r="D98" s="128" t="s">
        <v>128</v>
      </c>
      <c r="E98" s="129"/>
      <c r="F98" s="129"/>
      <c r="G98" s="130"/>
    </row>
    <row r="99" spans="2:7" ht="18.75" customHeight="1">
      <c r="B99" s="191"/>
      <c r="C99" s="97" t="s">
        <v>130</v>
      </c>
      <c r="D99" s="128" t="s">
        <v>131</v>
      </c>
      <c r="E99" s="129"/>
      <c r="F99" s="129"/>
      <c r="G99" s="130"/>
    </row>
    <row r="100" spans="2:7" ht="18.75" customHeight="1">
      <c r="B100" s="191"/>
      <c r="C100" s="97" t="s">
        <v>132</v>
      </c>
      <c r="D100" s="128" t="s">
        <v>133</v>
      </c>
      <c r="E100" s="129"/>
      <c r="F100" s="129"/>
      <c r="G100" s="130"/>
    </row>
    <row r="101" spans="2:7" ht="18.75" customHeight="1">
      <c r="B101" s="191"/>
      <c r="C101" s="97" t="s">
        <v>134</v>
      </c>
      <c r="D101" s="128" t="s">
        <v>135</v>
      </c>
      <c r="E101" s="129"/>
      <c r="F101" s="129"/>
      <c r="G101" s="130"/>
    </row>
    <row r="102" spans="2:7" ht="18.75" customHeight="1">
      <c r="B102" s="191"/>
      <c r="C102" s="97" t="s">
        <v>136</v>
      </c>
      <c r="D102" s="128" t="s">
        <v>137</v>
      </c>
      <c r="E102" s="129"/>
      <c r="F102" s="129"/>
      <c r="G102" s="130"/>
    </row>
    <row r="103" spans="2:7" ht="18.75" customHeight="1">
      <c r="B103" s="191"/>
      <c r="C103" s="97" t="s">
        <v>76</v>
      </c>
      <c r="D103" s="128" t="s">
        <v>149</v>
      </c>
      <c r="E103" s="129"/>
      <c r="F103" s="129"/>
      <c r="G103" s="130"/>
    </row>
    <row r="104" spans="2:7" ht="18.75" customHeight="1">
      <c r="B104" s="190" t="s">
        <v>150</v>
      </c>
      <c r="C104" s="117" t="s">
        <v>104</v>
      </c>
      <c r="D104" s="118"/>
      <c r="E104" s="118"/>
      <c r="F104" s="118"/>
      <c r="G104" s="119"/>
    </row>
    <row r="105" spans="2:7" ht="37.5" customHeight="1">
      <c r="B105" s="191"/>
      <c r="C105" s="192" t="s">
        <v>151</v>
      </c>
      <c r="D105" s="193"/>
      <c r="E105" s="193"/>
      <c r="F105" s="193"/>
      <c r="G105" s="194"/>
    </row>
    <row r="106" spans="2:7" ht="37.5" customHeight="1">
      <c r="B106" s="191"/>
      <c r="C106" s="195"/>
      <c r="D106" s="196"/>
      <c r="E106" s="196"/>
      <c r="F106" s="196"/>
      <c r="G106" s="197"/>
    </row>
    <row r="107" spans="2:7" ht="37.5" customHeight="1">
      <c r="B107" s="191"/>
      <c r="C107" s="195"/>
      <c r="D107" s="196"/>
      <c r="E107" s="196"/>
      <c r="F107" s="196"/>
      <c r="G107" s="197"/>
    </row>
    <row r="108" spans="2:7" ht="37.5" customHeight="1">
      <c r="B108" s="191"/>
      <c r="C108" s="195"/>
      <c r="D108" s="196"/>
      <c r="E108" s="196"/>
      <c r="F108" s="196"/>
      <c r="G108" s="197"/>
    </row>
    <row r="109" spans="2:7" ht="37.5" customHeight="1">
      <c r="B109" s="191"/>
      <c r="C109" s="198"/>
      <c r="D109" s="199"/>
      <c r="E109" s="199"/>
      <c r="F109" s="199"/>
      <c r="G109" s="200"/>
    </row>
    <row r="110" spans="2:7" ht="18.75" customHeight="1">
      <c r="B110" s="191"/>
      <c r="C110" s="91" t="s">
        <v>107</v>
      </c>
      <c r="D110" s="117" t="s">
        <v>108</v>
      </c>
      <c r="E110" s="118"/>
      <c r="F110" s="118"/>
      <c r="G110" s="119"/>
    </row>
    <row r="111" spans="2:7" ht="18.75" customHeight="1">
      <c r="B111" s="191"/>
      <c r="C111" s="97" t="s">
        <v>109</v>
      </c>
      <c r="D111" s="128" t="s">
        <v>152</v>
      </c>
      <c r="E111" s="129"/>
      <c r="F111" s="129"/>
      <c r="G111" s="130"/>
    </row>
    <row r="112" spans="2:7" ht="18.75" customHeight="1">
      <c r="B112" s="191"/>
      <c r="C112" s="97" t="s">
        <v>111</v>
      </c>
      <c r="D112" s="128" t="s">
        <v>153</v>
      </c>
      <c r="E112" s="129"/>
      <c r="F112" s="129"/>
      <c r="G112" s="130"/>
    </row>
    <row r="113" spans="2:7" ht="18.75" customHeight="1">
      <c r="B113" s="191"/>
      <c r="C113" s="97" t="s">
        <v>113</v>
      </c>
      <c r="D113" s="128" t="s">
        <v>154</v>
      </c>
      <c r="E113" s="129"/>
      <c r="F113" s="129"/>
      <c r="G113" s="130"/>
    </row>
    <row r="114" spans="2:7" ht="18.75" customHeight="1">
      <c r="B114" s="191"/>
      <c r="C114" s="97" t="s">
        <v>115</v>
      </c>
      <c r="D114" s="128" t="s">
        <v>155</v>
      </c>
      <c r="E114" s="129"/>
      <c r="F114" s="129"/>
      <c r="G114" s="130"/>
    </row>
    <row r="115" spans="2:7" ht="18.75" customHeight="1">
      <c r="B115" s="191"/>
      <c r="C115" s="97" t="s">
        <v>117</v>
      </c>
      <c r="D115" s="128" t="s">
        <v>155</v>
      </c>
      <c r="E115" s="129"/>
      <c r="F115" s="129"/>
      <c r="G115" s="130"/>
    </row>
    <row r="116" spans="2:7" ht="18.75" customHeight="1">
      <c r="B116" s="191"/>
      <c r="C116" s="97" t="s">
        <v>118</v>
      </c>
      <c r="D116" s="128" t="s">
        <v>156</v>
      </c>
      <c r="E116" s="129"/>
      <c r="F116" s="129"/>
      <c r="G116" s="130"/>
    </row>
    <row r="117" spans="2:7" ht="18.75" customHeight="1">
      <c r="B117" s="191"/>
      <c r="C117" s="97" t="s">
        <v>120</v>
      </c>
      <c r="D117" s="128" t="s">
        <v>156</v>
      </c>
      <c r="E117" s="129"/>
      <c r="F117" s="129"/>
      <c r="G117" s="130"/>
    </row>
    <row r="118" spans="2:7" ht="18.75" customHeight="1">
      <c r="B118" s="191"/>
      <c r="C118" s="97" t="s">
        <v>121</v>
      </c>
      <c r="D118" s="128" t="s">
        <v>156</v>
      </c>
      <c r="E118" s="129"/>
      <c r="F118" s="129"/>
      <c r="G118" s="130"/>
    </row>
    <row r="119" spans="2:7" ht="18.75" customHeight="1">
      <c r="B119" s="191"/>
      <c r="C119" s="97" t="s">
        <v>122</v>
      </c>
      <c r="D119" s="128" t="s">
        <v>156</v>
      </c>
      <c r="E119" s="129"/>
      <c r="F119" s="129"/>
      <c r="G119" s="130"/>
    </row>
    <row r="120" spans="2:7" ht="18.75" customHeight="1">
      <c r="B120" s="191"/>
      <c r="C120" s="97" t="s">
        <v>123</v>
      </c>
      <c r="D120" s="128" t="s">
        <v>157</v>
      </c>
      <c r="E120" s="129"/>
      <c r="F120" s="129"/>
      <c r="G120" s="130"/>
    </row>
    <row r="121" spans="2:7" ht="18.75" customHeight="1">
      <c r="B121" s="191"/>
      <c r="C121" s="97" t="s">
        <v>125</v>
      </c>
      <c r="D121" s="223" t="s">
        <v>158</v>
      </c>
      <c r="E121" s="224"/>
      <c r="F121" s="224"/>
      <c r="G121" s="225"/>
    </row>
    <row r="122" spans="2:7" ht="18.75" customHeight="1">
      <c r="B122" s="191"/>
      <c r="C122" s="97" t="s">
        <v>127</v>
      </c>
      <c r="D122" s="128" t="s">
        <v>159</v>
      </c>
      <c r="E122" s="129"/>
      <c r="F122" s="129"/>
      <c r="G122" s="130"/>
    </row>
    <row r="123" spans="2:7" ht="18.75" customHeight="1">
      <c r="B123" s="191"/>
      <c r="C123" s="97" t="s">
        <v>129</v>
      </c>
      <c r="D123" s="128" t="s">
        <v>159</v>
      </c>
      <c r="E123" s="129"/>
      <c r="F123" s="129"/>
      <c r="G123" s="130"/>
    </row>
    <row r="124" spans="2:7" ht="18.75" customHeight="1">
      <c r="B124" s="191"/>
      <c r="C124" s="97" t="s">
        <v>130</v>
      </c>
      <c r="D124" s="128" t="s">
        <v>160</v>
      </c>
      <c r="E124" s="129"/>
      <c r="F124" s="129"/>
      <c r="G124" s="130"/>
    </row>
    <row r="125" spans="2:7" ht="18.75" customHeight="1">
      <c r="B125" s="191"/>
      <c r="C125" s="97" t="s">
        <v>132</v>
      </c>
      <c r="D125" s="128" t="s">
        <v>161</v>
      </c>
      <c r="E125" s="129"/>
      <c r="F125" s="129"/>
      <c r="G125" s="130"/>
    </row>
    <row r="126" spans="2:7" ht="18.75" customHeight="1">
      <c r="B126" s="191"/>
      <c r="C126" s="97" t="s">
        <v>134</v>
      </c>
      <c r="D126" s="128" t="s">
        <v>162</v>
      </c>
      <c r="E126" s="129"/>
      <c r="F126" s="129"/>
      <c r="G126" s="130"/>
    </row>
    <row r="127" spans="2:7" ht="18.75" customHeight="1">
      <c r="B127" s="191"/>
      <c r="C127" s="97" t="s">
        <v>136</v>
      </c>
      <c r="D127" s="128" t="s">
        <v>163</v>
      </c>
      <c r="E127" s="129"/>
      <c r="F127" s="129"/>
      <c r="G127" s="130"/>
    </row>
    <row r="128" spans="2:7" ht="18.75" customHeight="1">
      <c r="B128" s="191"/>
      <c r="C128" s="97" t="s">
        <v>76</v>
      </c>
      <c r="D128" s="128" t="s">
        <v>164</v>
      </c>
      <c r="E128" s="129"/>
      <c r="F128" s="129"/>
      <c r="G128" s="130"/>
    </row>
    <row r="129" spans="1:7" ht="18.75" customHeight="1">
      <c r="A129" s="1" t="s">
        <v>5</v>
      </c>
      <c r="B129" s="1" t="s">
        <v>165</v>
      </c>
    </row>
    <row r="130" spans="1:7" ht="22.5" customHeight="1">
      <c r="B130" s="50" t="s">
        <v>103</v>
      </c>
      <c r="C130" s="117" t="s">
        <v>74</v>
      </c>
      <c r="D130" s="118"/>
      <c r="E130" s="118"/>
      <c r="F130" s="118"/>
      <c r="G130" s="119"/>
    </row>
    <row r="131" spans="1:7" ht="45" customHeight="1">
      <c r="B131" s="51" t="s">
        <v>166</v>
      </c>
      <c r="C131" s="141" t="s">
        <v>167</v>
      </c>
      <c r="D131" s="142"/>
      <c r="E131" s="142"/>
      <c r="F131" s="142"/>
      <c r="G131" s="222"/>
    </row>
    <row r="132" spans="1:7" ht="45" customHeight="1">
      <c r="B132" s="51" t="s">
        <v>168</v>
      </c>
      <c r="C132" s="141" t="s">
        <v>169</v>
      </c>
      <c r="D132" s="142"/>
      <c r="E132" s="142"/>
      <c r="F132" s="142"/>
      <c r="G132" s="222"/>
    </row>
    <row r="133" spans="1:7" ht="45" customHeight="1">
      <c r="B133" s="51" t="s">
        <v>170</v>
      </c>
      <c r="C133" s="141"/>
      <c r="D133" s="142"/>
      <c r="E133" s="142"/>
      <c r="F133" s="142"/>
      <c r="G133" s="222"/>
    </row>
    <row r="134" spans="1:7" ht="45" customHeight="1">
      <c r="B134" s="51" t="s">
        <v>171</v>
      </c>
      <c r="C134" s="141" t="s">
        <v>172</v>
      </c>
      <c r="D134" s="142"/>
      <c r="E134" s="142"/>
      <c r="F134" s="142"/>
      <c r="G134" s="222"/>
    </row>
    <row r="135" spans="1:7" ht="45" customHeight="1">
      <c r="B135" s="51" t="s">
        <v>173</v>
      </c>
      <c r="C135" s="141"/>
      <c r="D135" s="142"/>
      <c r="E135" s="142"/>
      <c r="F135" s="142"/>
      <c r="G135" s="222"/>
    </row>
    <row r="136" spans="1:7" ht="45" customHeight="1">
      <c r="B136" s="51" t="s">
        <v>174</v>
      </c>
      <c r="C136" s="141" t="s">
        <v>172</v>
      </c>
      <c r="D136" s="142"/>
      <c r="E136" s="142"/>
      <c r="F136" s="142"/>
      <c r="G136" s="222"/>
    </row>
    <row r="137" spans="1:7" ht="45" customHeight="1">
      <c r="B137" s="51" t="s">
        <v>175</v>
      </c>
      <c r="C137" s="141" t="s">
        <v>172</v>
      </c>
      <c r="D137" s="142"/>
      <c r="E137" s="142"/>
      <c r="F137" s="142"/>
      <c r="G137" s="222"/>
    </row>
    <row r="138" spans="1:7" ht="45" customHeight="1">
      <c r="B138" s="51" t="s">
        <v>176</v>
      </c>
      <c r="C138" s="141" t="s">
        <v>172</v>
      </c>
      <c r="D138" s="142"/>
      <c r="E138" s="142"/>
      <c r="F138" s="142"/>
      <c r="G138" s="222"/>
    </row>
    <row r="139" spans="1:7" ht="45" customHeight="1">
      <c r="B139" s="51" t="s">
        <v>177</v>
      </c>
      <c r="C139" s="141" t="s">
        <v>178</v>
      </c>
      <c r="D139" s="142"/>
      <c r="E139" s="142"/>
      <c r="F139" s="142"/>
      <c r="G139" s="222"/>
    </row>
    <row r="140" spans="1:7" ht="7.5" customHeight="1"/>
    <row r="141" spans="1:7" ht="18.75" customHeight="1">
      <c r="A141" s="1" t="s">
        <v>8</v>
      </c>
      <c r="B141" s="1" t="s">
        <v>179</v>
      </c>
      <c r="E141" s="221" t="s">
        <v>180</v>
      </c>
      <c r="F141" s="221"/>
      <c r="G141" s="221"/>
    </row>
    <row r="142" spans="1:7" ht="7.5" customHeight="1"/>
    <row r="143" spans="1:7" ht="18.75" customHeight="1">
      <c r="A143" s="1" t="s">
        <v>11</v>
      </c>
      <c r="B143" s="1" t="s">
        <v>181</v>
      </c>
    </row>
    <row r="144" spans="1:7" ht="18.75" customHeight="1">
      <c r="B144" s="212" t="s">
        <v>182</v>
      </c>
      <c r="C144" s="213"/>
      <c r="D144" s="213"/>
      <c r="E144" s="213"/>
      <c r="F144" s="213"/>
      <c r="G144" s="214"/>
    </row>
    <row r="145" spans="2:7" ht="18.75" customHeight="1">
      <c r="B145" s="215"/>
      <c r="C145" s="216"/>
      <c r="D145" s="216"/>
      <c r="E145" s="216"/>
      <c r="F145" s="216"/>
      <c r="G145" s="217"/>
    </row>
    <row r="146" spans="2:7" ht="18.75" customHeight="1">
      <c r="B146" s="215"/>
      <c r="C146" s="216"/>
      <c r="D146" s="216"/>
      <c r="E146" s="216"/>
      <c r="F146" s="216"/>
      <c r="G146" s="217"/>
    </row>
    <row r="147" spans="2:7" ht="18.75" customHeight="1">
      <c r="B147" s="218"/>
      <c r="C147" s="219"/>
      <c r="D147" s="219"/>
      <c r="E147" s="219"/>
      <c r="F147" s="219"/>
      <c r="G147" s="220"/>
    </row>
    <row r="148" spans="2:7" ht="18.75" customHeight="1"/>
    <row r="149" spans="2:7" ht="18.75" customHeight="1"/>
    <row r="150" spans="2:7" ht="18.75" customHeight="1"/>
    <row r="151" spans="2:7" ht="18.75" customHeight="1"/>
    <row r="152" spans="2:7" ht="18.75" customHeight="1"/>
    <row r="153" spans="2:7" ht="18.75" customHeight="1"/>
  </sheetData>
  <mergeCells count="123">
    <mergeCell ref="D100:G100"/>
    <mergeCell ref="D127:G127"/>
    <mergeCell ref="D123:G123"/>
    <mergeCell ref="D126:G126"/>
    <mergeCell ref="D119:G119"/>
    <mergeCell ref="D120:G120"/>
    <mergeCell ref="D121:G121"/>
    <mergeCell ref="D122:G122"/>
    <mergeCell ref="D111:G111"/>
    <mergeCell ref="D112:G112"/>
    <mergeCell ref="D113:G113"/>
    <mergeCell ref="D114:G114"/>
    <mergeCell ref="D115:G115"/>
    <mergeCell ref="D116:G116"/>
    <mergeCell ref="D117:G117"/>
    <mergeCell ref="D118:G118"/>
    <mergeCell ref="D124:G124"/>
    <mergeCell ref="D125:G125"/>
    <mergeCell ref="D63:G63"/>
    <mergeCell ref="D64:G64"/>
    <mergeCell ref="D65:G65"/>
    <mergeCell ref="D66:G66"/>
    <mergeCell ref="D67:G67"/>
    <mergeCell ref="D68:G68"/>
    <mergeCell ref="D76:G76"/>
    <mergeCell ref="D75:G75"/>
    <mergeCell ref="D102:G102"/>
    <mergeCell ref="D99:G99"/>
    <mergeCell ref="D94:G94"/>
    <mergeCell ref="D96:G96"/>
    <mergeCell ref="D97:G97"/>
    <mergeCell ref="D98:G98"/>
    <mergeCell ref="D86:G86"/>
    <mergeCell ref="D87:G87"/>
    <mergeCell ref="D88:G88"/>
    <mergeCell ref="D89:G89"/>
    <mergeCell ref="D90:G90"/>
    <mergeCell ref="D91:G91"/>
    <mergeCell ref="D92:G92"/>
    <mergeCell ref="D93:G93"/>
    <mergeCell ref="D101:G101"/>
    <mergeCell ref="D95:G95"/>
    <mergeCell ref="A3:G3"/>
    <mergeCell ref="C5:G5"/>
    <mergeCell ref="C6:G9"/>
    <mergeCell ref="B144:G147"/>
    <mergeCell ref="E141:G141"/>
    <mergeCell ref="C130:G130"/>
    <mergeCell ref="C136:G136"/>
    <mergeCell ref="C137:G137"/>
    <mergeCell ref="C138:G138"/>
    <mergeCell ref="C139:G139"/>
    <mergeCell ref="C131:G131"/>
    <mergeCell ref="B6:B28"/>
    <mergeCell ref="C132:G132"/>
    <mergeCell ref="C133:G133"/>
    <mergeCell ref="C134:G134"/>
    <mergeCell ref="C135:G135"/>
    <mergeCell ref="D37:G37"/>
    <mergeCell ref="D38:G38"/>
    <mergeCell ref="D39:G39"/>
    <mergeCell ref="D40:G40"/>
    <mergeCell ref="D41:G41"/>
    <mergeCell ref="D42:G42"/>
    <mergeCell ref="D43:G43"/>
    <mergeCell ref="D44:G44"/>
    <mergeCell ref="B29:B53"/>
    <mergeCell ref="C29:G29"/>
    <mergeCell ref="C30:G34"/>
    <mergeCell ref="D35:G35"/>
    <mergeCell ref="D36:G36"/>
    <mergeCell ref="D45:G45"/>
    <mergeCell ref="D46:G46"/>
    <mergeCell ref="D47:G47"/>
    <mergeCell ref="D48:G48"/>
    <mergeCell ref="D49:G49"/>
    <mergeCell ref="D50:G50"/>
    <mergeCell ref="D51:G51"/>
    <mergeCell ref="D52:G52"/>
    <mergeCell ref="D53:G53"/>
    <mergeCell ref="B54:B78"/>
    <mergeCell ref="C54:G54"/>
    <mergeCell ref="C55:G59"/>
    <mergeCell ref="B79:B103"/>
    <mergeCell ref="C79:G79"/>
    <mergeCell ref="C80:G84"/>
    <mergeCell ref="D85:G85"/>
    <mergeCell ref="D103:G103"/>
    <mergeCell ref="B104:B128"/>
    <mergeCell ref="C104:G104"/>
    <mergeCell ref="C105:G109"/>
    <mergeCell ref="D110:G110"/>
    <mergeCell ref="D128:G128"/>
    <mergeCell ref="D60:G60"/>
    <mergeCell ref="D77:G77"/>
    <mergeCell ref="D78:G78"/>
    <mergeCell ref="D73:G73"/>
    <mergeCell ref="D74:G74"/>
    <mergeCell ref="D69:G69"/>
    <mergeCell ref="D70:G70"/>
    <mergeCell ref="D71:G71"/>
    <mergeCell ref="D72:G72"/>
    <mergeCell ref="D61:G61"/>
    <mergeCell ref="D62:G62"/>
    <mergeCell ref="D10:G10"/>
    <mergeCell ref="D11:G11"/>
    <mergeCell ref="D12:G12"/>
    <mergeCell ref="D13:G13"/>
    <mergeCell ref="D14:G14"/>
    <mergeCell ref="D28:G28"/>
    <mergeCell ref="D27:G27"/>
    <mergeCell ref="D17:G17"/>
    <mergeCell ref="D18:G18"/>
    <mergeCell ref="D15:G15"/>
    <mergeCell ref="D16:G16"/>
    <mergeCell ref="D22:G22"/>
    <mergeCell ref="D23:G23"/>
    <mergeCell ref="D19:G19"/>
    <mergeCell ref="D20:G20"/>
    <mergeCell ref="D21:G21"/>
    <mergeCell ref="D26:G26"/>
    <mergeCell ref="D24:G24"/>
    <mergeCell ref="D25:G25"/>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zoomScaleNormal="100" workbookViewId="0">
      <selection activeCell="B92" sqref="B92:E111"/>
    </sheetView>
  </sheetViews>
  <sheetFormatPr defaultColWidth="11.375" defaultRowHeight="18.75" customHeight="1"/>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c r="E1" s="104" t="s">
        <v>183</v>
      </c>
    </row>
    <row r="2" spans="1:5" ht="18.75" customHeight="1">
      <c r="B2" s="104" t="s">
        <v>184</v>
      </c>
      <c r="C2" s="104" t="s">
        <v>185</v>
      </c>
      <c r="D2" s="227" t="s">
        <v>4</v>
      </c>
      <c r="E2" s="227"/>
    </row>
    <row r="3" spans="1:5" ht="7.5" customHeight="1">
      <c r="B3" s="104"/>
      <c r="C3" s="104"/>
      <c r="D3" s="107"/>
      <c r="E3" s="107"/>
    </row>
    <row r="4" spans="1:5" ht="18.75" customHeight="1">
      <c r="B4" s="188" t="s">
        <v>186</v>
      </c>
      <c r="C4" s="188"/>
      <c r="D4" s="188"/>
      <c r="E4" s="188"/>
    </row>
    <row r="5" spans="1:5" ht="7.5" customHeight="1">
      <c r="B5" s="105"/>
      <c r="C5" s="105"/>
      <c r="D5" s="105"/>
      <c r="E5" s="105"/>
    </row>
    <row r="6" spans="1:5" ht="18.75" customHeight="1">
      <c r="A6" s="14" t="s">
        <v>2</v>
      </c>
      <c r="B6" s="5" t="s">
        <v>187</v>
      </c>
      <c r="C6" s="105"/>
      <c r="D6" s="105"/>
      <c r="E6" s="105"/>
    </row>
    <row r="7" spans="1:5" ht="18.75" customHeight="1">
      <c r="A7" s="14"/>
      <c r="B7" s="253" t="s">
        <v>188</v>
      </c>
      <c r="C7" s="254"/>
      <c r="D7" s="254"/>
      <c r="E7" s="255"/>
    </row>
    <row r="8" spans="1:5" ht="7.5" customHeight="1">
      <c r="B8" s="105"/>
      <c r="C8" s="105"/>
      <c r="D8" s="105"/>
      <c r="E8" s="105"/>
    </row>
    <row r="9" spans="1:5" s="5" customFormat="1" ht="18.75" customHeight="1">
      <c r="A9" s="14" t="s">
        <v>5</v>
      </c>
      <c r="B9" s="14" t="s">
        <v>189</v>
      </c>
      <c r="C9" s="14"/>
      <c r="D9" s="14"/>
      <c r="E9" s="14"/>
    </row>
    <row r="10" spans="1:5" s="9" customFormat="1" ht="27" customHeight="1">
      <c r="A10" s="103"/>
      <c r="B10" s="228" t="s">
        <v>190</v>
      </c>
      <c r="C10" s="229"/>
      <c r="D10" s="229"/>
      <c r="E10" s="230"/>
    </row>
    <row r="11" spans="1:5" s="9" customFormat="1" ht="27" customHeight="1">
      <c r="A11" s="103"/>
      <c r="B11" s="231"/>
      <c r="C11" s="232"/>
      <c r="D11" s="232"/>
      <c r="E11" s="233"/>
    </row>
    <row r="12" spans="1:5" s="9" customFormat="1" ht="27" customHeight="1">
      <c r="A12" s="103"/>
      <c r="B12" s="231"/>
      <c r="C12" s="232"/>
      <c r="D12" s="232"/>
      <c r="E12" s="233"/>
    </row>
    <row r="13" spans="1:5" s="9" customFormat="1" ht="27" customHeight="1">
      <c r="A13" s="103"/>
      <c r="B13" s="231"/>
      <c r="C13" s="232"/>
      <c r="D13" s="232"/>
      <c r="E13" s="233"/>
    </row>
    <row r="14" spans="1:5" s="9" customFormat="1" ht="27" customHeight="1">
      <c r="A14" s="103"/>
      <c r="B14" s="234"/>
      <c r="C14" s="235"/>
      <c r="D14" s="235"/>
      <c r="E14" s="236"/>
    </row>
    <row r="15" spans="1:5" s="9" customFormat="1" ht="7.5" customHeight="1">
      <c r="A15" s="103"/>
      <c r="B15" s="103"/>
      <c r="C15" s="103"/>
      <c r="D15" s="103"/>
      <c r="E15" s="103"/>
    </row>
    <row r="16" spans="1:5" s="5" customFormat="1" ht="18.75" customHeight="1">
      <c r="A16" s="10" t="s">
        <v>8</v>
      </c>
      <c r="B16" s="10" t="s">
        <v>191</v>
      </c>
      <c r="C16" s="10"/>
      <c r="D16" s="10"/>
      <c r="E16" s="10"/>
    </row>
    <row r="17" spans="1:5" s="9" customFormat="1" ht="35.25" customHeight="1">
      <c r="A17" s="103"/>
      <c r="B17" s="228" t="s">
        <v>192</v>
      </c>
      <c r="C17" s="237"/>
      <c r="D17" s="237"/>
      <c r="E17" s="238"/>
    </row>
    <row r="18" spans="1:5" s="9" customFormat="1" ht="35.25" customHeight="1">
      <c r="A18" s="103"/>
      <c r="B18" s="239"/>
      <c r="C18" s="240"/>
      <c r="D18" s="240"/>
      <c r="E18" s="241"/>
    </row>
    <row r="19" spans="1:5" s="9" customFormat="1" ht="35.25" customHeight="1">
      <c r="A19" s="103"/>
      <c r="B19" s="239"/>
      <c r="C19" s="240"/>
      <c r="D19" s="240"/>
      <c r="E19" s="241"/>
    </row>
    <row r="20" spans="1:5" s="9" customFormat="1" ht="35.25" customHeight="1">
      <c r="A20" s="103"/>
      <c r="B20" s="239"/>
      <c r="C20" s="240"/>
      <c r="D20" s="240"/>
      <c r="E20" s="241"/>
    </row>
    <row r="21" spans="1:5" s="9" customFormat="1" ht="35.25" customHeight="1">
      <c r="A21" s="103"/>
      <c r="B21" s="239"/>
      <c r="C21" s="240"/>
      <c r="D21" s="240"/>
      <c r="E21" s="241"/>
    </row>
    <row r="22" spans="1:5" s="9" customFormat="1" ht="35.25" customHeight="1">
      <c r="A22" s="103"/>
      <c r="B22" s="239"/>
      <c r="C22" s="240"/>
      <c r="D22" s="240"/>
      <c r="E22" s="241"/>
    </row>
    <row r="23" spans="1:5" s="9" customFormat="1" ht="35.25" customHeight="1">
      <c r="A23" s="103"/>
      <c r="B23" s="239"/>
      <c r="C23" s="240"/>
      <c r="D23" s="240"/>
      <c r="E23" s="241"/>
    </row>
    <row r="24" spans="1:5" s="9" customFormat="1" ht="35.25" customHeight="1">
      <c r="A24" s="103"/>
      <c r="B24" s="239"/>
      <c r="C24" s="240"/>
      <c r="D24" s="240"/>
      <c r="E24" s="241"/>
    </row>
    <row r="25" spans="1:5" s="9" customFormat="1" ht="35.25" customHeight="1">
      <c r="A25" s="103"/>
      <c r="B25" s="239"/>
      <c r="C25" s="240"/>
      <c r="D25" s="240"/>
      <c r="E25" s="241"/>
    </row>
    <row r="26" spans="1:5" s="9" customFormat="1" ht="35.25" customHeight="1">
      <c r="A26" s="103"/>
      <c r="B26" s="239"/>
      <c r="C26" s="240"/>
      <c r="D26" s="240"/>
      <c r="E26" s="241"/>
    </row>
    <row r="27" spans="1:5" s="9" customFormat="1" ht="35.25" customHeight="1">
      <c r="A27" s="103"/>
      <c r="B27" s="239"/>
      <c r="C27" s="240"/>
      <c r="D27" s="240"/>
      <c r="E27" s="241"/>
    </row>
    <row r="28" spans="1:5" s="9" customFormat="1" ht="35.25" customHeight="1">
      <c r="A28" s="103"/>
      <c r="B28" s="242"/>
      <c r="C28" s="243"/>
      <c r="D28" s="243"/>
      <c r="E28" s="244"/>
    </row>
    <row r="29" spans="1:5" ht="7.5" customHeight="1">
      <c r="A29" s="8"/>
      <c r="B29" s="8"/>
      <c r="C29" s="8"/>
      <c r="D29" s="8"/>
      <c r="E29" s="8"/>
    </row>
    <row r="30" spans="1:5" s="5" customFormat="1" ht="18.75" customHeight="1">
      <c r="A30" s="14" t="s">
        <v>11</v>
      </c>
      <c r="B30" s="14" t="s">
        <v>193</v>
      </c>
      <c r="C30" s="14"/>
      <c r="D30" s="14"/>
      <c r="E30" s="14"/>
    </row>
    <row r="31" spans="1:5" s="5" customFormat="1" ht="18.75" customHeight="1">
      <c r="A31" s="14"/>
      <c r="B31" s="212" t="s">
        <v>194</v>
      </c>
      <c r="C31" s="213"/>
      <c r="D31" s="213"/>
      <c r="E31" s="214"/>
    </row>
    <row r="32" spans="1:5" s="5" customFormat="1" ht="18.75" customHeight="1">
      <c r="A32" s="14"/>
      <c r="B32" s="215"/>
      <c r="C32" s="216"/>
      <c r="D32" s="216"/>
      <c r="E32" s="217"/>
    </row>
    <row r="33" spans="1:5" s="5" customFormat="1" ht="18.75" customHeight="1">
      <c r="A33" s="14"/>
      <c r="B33" s="215"/>
      <c r="C33" s="216"/>
      <c r="D33" s="216"/>
      <c r="E33" s="217"/>
    </row>
    <row r="34" spans="1:5" s="5" customFormat="1" ht="18.75" customHeight="1">
      <c r="A34" s="14"/>
      <c r="B34" s="215"/>
      <c r="C34" s="216"/>
      <c r="D34" s="216"/>
      <c r="E34" s="217"/>
    </row>
    <row r="35" spans="1:5" s="5" customFormat="1" ht="18.75" customHeight="1">
      <c r="A35" s="14"/>
      <c r="B35" s="215"/>
      <c r="C35" s="216"/>
      <c r="D35" s="216"/>
      <c r="E35" s="217"/>
    </row>
    <row r="36" spans="1:5" s="5" customFormat="1" ht="18.75" customHeight="1">
      <c r="A36" s="14"/>
      <c r="B36" s="215"/>
      <c r="C36" s="216"/>
      <c r="D36" s="216"/>
      <c r="E36" s="217"/>
    </row>
    <row r="37" spans="1:5" s="5" customFormat="1" ht="18.75" customHeight="1">
      <c r="A37" s="14"/>
      <c r="B37" s="215"/>
      <c r="C37" s="216"/>
      <c r="D37" s="216"/>
      <c r="E37" s="217"/>
    </row>
    <row r="38" spans="1:5" s="5" customFormat="1" ht="18.75" customHeight="1">
      <c r="A38" s="14"/>
      <c r="B38" s="215"/>
      <c r="C38" s="216"/>
      <c r="D38" s="216"/>
      <c r="E38" s="217"/>
    </row>
    <row r="39" spans="1:5" s="5" customFormat="1" ht="18.75" customHeight="1">
      <c r="A39" s="14"/>
      <c r="B39" s="215"/>
      <c r="C39" s="216"/>
      <c r="D39" s="216"/>
      <c r="E39" s="217"/>
    </row>
    <row r="40" spans="1:5" s="5" customFormat="1" ht="18.75" customHeight="1">
      <c r="A40" s="14"/>
      <c r="B40" s="215"/>
      <c r="C40" s="216"/>
      <c r="D40" s="216"/>
      <c r="E40" s="217"/>
    </row>
    <row r="41" spans="1:5" s="5" customFormat="1" ht="18.75" customHeight="1">
      <c r="A41" s="14"/>
      <c r="B41" s="215"/>
      <c r="C41" s="216"/>
      <c r="D41" s="216"/>
      <c r="E41" s="217"/>
    </row>
    <row r="42" spans="1:5" s="5" customFormat="1" ht="18.75" customHeight="1">
      <c r="A42" s="14"/>
      <c r="B42" s="215"/>
      <c r="C42" s="216"/>
      <c r="D42" s="216"/>
      <c r="E42" s="217"/>
    </row>
    <row r="43" spans="1:5" s="5" customFormat="1" ht="18.75" customHeight="1">
      <c r="A43" s="14"/>
      <c r="B43" s="215"/>
      <c r="C43" s="216"/>
      <c r="D43" s="216"/>
      <c r="E43" s="217"/>
    </row>
    <row r="44" spans="1:5" s="5" customFormat="1" ht="18.75" customHeight="1">
      <c r="A44" s="14"/>
      <c r="B44" s="215"/>
      <c r="C44" s="216"/>
      <c r="D44" s="216"/>
      <c r="E44" s="217"/>
    </row>
    <row r="45" spans="1:5" ht="18.75" customHeight="1">
      <c r="A45" s="8"/>
      <c r="B45" s="215"/>
      <c r="C45" s="216"/>
      <c r="D45" s="216"/>
      <c r="E45" s="217"/>
    </row>
    <row r="46" spans="1:5" ht="18.75" customHeight="1">
      <c r="A46" s="8"/>
      <c r="B46" s="218"/>
      <c r="C46" s="219"/>
      <c r="D46" s="219"/>
      <c r="E46" s="220"/>
    </row>
    <row r="47" spans="1:5" s="5" customFormat="1" ht="18.75" customHeight="1">
      <c r="A47" s="7" t="s">
        <v>14</v>
      </c>
      <c r="B47" s="14" t="s">
        <v>195</v>
      </c>
      <c r="C47" s="7"/>
      <c r="D47" s="7"/>
      <c r="E47" s="7"/>
    </row>
    <row r="48" spans="1:5" ht="18.75" customHeight="1">
      <c r="A48" s="8"/>
      <c r="B48" s="212" t="s">
        <v>196</v>
      </c>
      <c r="C48" s="245"/>
      <c r="D48" s="245"/>
      <c r="E48" s="246"/>
    </row>
    <row r="49" spans="1:5" ht="18.75" customHeight="1">
      <c r="A49" s="8"/>
      <c r="B49" s="247"/>
      <c r="C49" s="248"/>
      <c r="D49" s="248"/>
      <c r="E49" s="249"/>
    </row>
    <row r="50" spans="1:5" ht="18.75" customHeight="1">
      <c r="A50" s="8"/>
      <c r="B50" s="247"/>
      <c r="C50" s="248"/>
      <c r="D50" s="248"/>
      <c r="E50" s="249"/>
    </row>
    <row r="51" spans="1:5" ht="18.75" customHeight="1">
      <c r="A51" s="8"/>
      <c r="B51" s="247"/>
      <c r="C51" s="248"/>
      <c r="D51" s="248"/>
      <c r="E51" s="249"/>
    </row>
    <row r="52" spans="1:5" ht="18.75" customHeight="1">
      <c r="A52" s="8"/>
      <c r="B52" s="247"/>
      <c r="C52" s="248"/>
      <c r="D52" s="248"/>
      <c r="E52" s="249"/>
    </row>
    <row r="53" spans="1:5" ht="18.75" customHeight="1">
      <c r="A53" s="8"/>
      <c r="B53" s="247"/>
      <c r="C53" s="248"/>
      <c r="D53" s="248"/>
      <c r="E53" s="249"/>
    </row>
    <row r="54" spans="1:5" ht="18.75" customHeight="1">
      <c r="A54" s="8"/>
      <c r="B54" s="247"/>
      <c r="C54" s="248"/>
      <c r="D54" s="248"/>
      <c r="E54" s="249"/>
    </row>
    <row r="55" spans="1:5" ht="18.75" customHeight="1">
      <c r="A55" s="8"/>
      <c r="B55" s="247"/>
      <c r="C55" s="248"/>
      <c r="D55" s="248"/>
      <c r="E55" s="249"/>
    </row>
    <row r="56" spans="1:5" ht="18.75" customHeight="1">
      <c r="A56" s="8"/>
      <c r="B56" s="247"/>
      <c r="C56" s="248"/>
      <c r="D56" s="248"/>
      <c r="E56" s="249"/>
    </row>
    <row r="57" spans="1:5" ht="18.75" customHeight="1">
      <c r="A57" s="8"/>
      <c r="B57" s="247"/>
      <c r="C57" s="248"/>
      <c r="D57" s="248"/>
      <c r="E57" s="249"/>
    </row>
    <row r="58" spans="1:5" ht="18.75" customHeight="1">
      <c r="A58" s="8"/>
      <c r="B58" s="247"/>
      <c r="C58" s="248"/>
      <c r="D58" s="248"/>
      <c r="E58" s="249"/>
    </row>
    <row r="59" spans="1:5" ht="18.75" customHeight="1">
      <c r="A59" s="8"/>
      <c r="B59" s="247"/>
      <c r="C59" s="248"/>
      <c r="D59" s="248"/>
      <c r="E59" s="249"/>
    </row>
    <row r="60" spans="1:5" ht="18.75" customHeight="1">
      <c r="A60" s="8"/>
      <c r="B60" s="247"/>
      <c r="C60" s="248"/>
      <c r="D60" s="248"/>
      <c r="E60" s="249"/>
    </row>
    <row r="61" spans="1:5" ht="18.75" customHeight="1">
      <c r="A61" s="8"/>
      <c r="B61" s="247"/>
      <c r="C61" s="248"/>
      <c r="D61" s="248"/>
      <c r="E61" s="249"/>
    </row>
    <row r="62" spans="1:5" ht="18.75" customHeight="1">
      <c r="A62" s="8"/>
      <c r="B62" s="247"/>
      <c r="C62" s="248"/>
      <c r="D62" s="248"/>
      <c r="E62" s="249"/>
    </row>
    <row r="63" spans="1:5" ht="18.75" customHeight="1">
      <c r="A63" s="8"/>
      <c r="B63" s="247"/>
      <c r="C63" s="248"/>
      <c r="D63" s="248"/>
      <c r="E63" s="249"/>
    </row>
    <row r="64" spans="1:5" ht="18.75" customHeight="1">
      <c r="A64" s="8"/>
      <c r="B64" s="247"/>
      <c r="C64" s="248"/>
      <c r="D64" s="248"/>
      <c r="E64" s="249"/>
    </row>
    <row r="65" spans="1:5" ht="18.75" customHeight="1">
      <c r="A65" s="8"/>
      <c r="B65" s="247"/>
      <c r="C65" s="248"/>
      <c r="D65" s="248"/>
      <c r="E65" s="249"/>
    </row>
    <row r="66" spans="1:5" ht="18.75" customHeight="1">
      <c r="A66" s="8"/>
      <c r="B66" s="247"/>
      <c r="C66" s="248"/>
      <c r="D66" s="248"/>
      <c r="E66" s="249"/>
    </row>
    <row r="67" spans="1:5" ht="18.75" customHeight="1">
      <c r="A67" s="8"/>
      <c r="B67" s="247"/>
      <c r="C67" s="248"/>
      <c r="D67" s="248"/>
      <c r="E67" s="249"/>
    </row>
    <row r="68" spans="1:5" ht="18.75" customHeight="1">
      <c r="A68" s="8"/>
      <c r="B68" s="250"/>
      <c r="C68" s="251"/>
      <c r="D68" s="251"/>
      <c r="E68" s="252"/>
    </row>
    <row r="69" spans="1:5" ht="7.5" customHeight="1">
      <c r="A69" s="8"/>
      <c r="B69" s="8"/>
      <c r="C69" s="8"/>
      <c r="D69" s="8"/>
      <c r="E69" s="8"/>
    </row>
    <row r="70" spans="1:5" s="5" customFormat="1" ht="18.75" customHeight="1">
      <c r="A70" s="14" t="s">
        <v>17</v>
      </c>
      <c r="B70" s="14" t="s">
        <v>197</v>
      </c>
      <c r="C70" s="14"/>
      <c r="D70" s="14"/>
      <c r="E70" s="14"/>
    </row>
    <row r="71" spans="1:5" s="5" customFormat="1" ht="18.75" customHeight="1">
      <c r="A71" s="14"/>
      <c r="B71" s="212" t="s">
        <v>198</v>
      </c>
      <c r="C71" s="213"/>
      <c r="D71" s="213"/>
      <c r="E71" s="214"/>
    </row>
    <row r="72" spans="1:5" s="5" customFormat="1" ht="18.75" customHeight="1">
      <c r="A72" s="14"/>
      <c r="B72" s="215"/>
      <c r="C72" s="216"/>
      <c r="D72" s="216"/>
      <c r="E72" s="217"/>
    </row>
    <row r="73" spans="1:5" s="5" customFormat="1" ht="18.75" customHeight="1">
      <c r="A73" s="14"/>
      <c r="B73" s="215"/>
      <c r="C73" s="216"/>
      <c r="D73" s="216"/>
      <c r="E73" s="217"/>
    </row>
    <row r="74" spans="1:5" s="5" customFormat="1" ht="18.75" customHeight="1">
      <c r="A74" s="14"/>
      <c r="B74" s="215"/>
      <c r="C74" s="216"/>
      <c r="D74" s="216"/>
      <c r="E74" s="217"/>
    </row>
    <row r="75" spans="1:5" s="5" customFormat="1" ht="18.75" customHeight="1">
      <c r="A75" s="14"/>
      <c r="B75" s="215"/>
      <c r="C75" s="216"/>
      <c r="D75" s="216"/>
      <c r="E75" s="217"/>
    </row>
    <row r="76" spans="1:5" s="5" customFormat="1" ht="18.75" customHeight="1">
      <c r="A76" s="14"/>
      <c r="B76" s="215"/>
      <c r="C76" s="216"/>
      <c r="D76" s="216"/>
      <c r="E76" s="217"/>
    </row>
    <row r="77" spans="1:5" s="5" customFormat="1" ht="18.75" customHeight="1">
      <c r="A77" s="14"/>
      <c r="B77" s="215"/>
      <c r="C77" s="216"/>
      <c r="D77" s="216"/>
      <c r="E77" s="217"/>
    </row>
    <row r="78" spans="1:5" s="5" customFormat="1" ht="18.75" customHeight="1">
      <c r="A78" s="14"/>
      <c r="B78" s="215"/>
      <c r="C78" s="216"/>
      <c r="D78" s="216"/>
      <c r="E78" s="217"/>
    </row>
    <row r="79" spans="1:5" s="5" customFormat="1" ht="18.75" customHeight="1">
      <c r="A79" s="14"/>
      <c r="B79" s="215"/>
      <c r="C79" s="216"/>
      <c r="D79" s="216"/>
      <c r="E79" s="217"/>
    </row>
    <row r="80" spans="1:5" s="5" customFormat="1" ht="18.75" customHeight="1">
      <c r="A80" s="14"/>
      <c r="B80" s="215"/>
      <c r="C80" s="216"/>
      <c r="D80" s="216"/>
      <c r="E80" s="217"/>
    </row>
    <row r="81" spans="1:5" s="5" customFormat="1" ht="18.75" customHeight="1">
      <c r="A81" s="14"/>
      <c r="B81" s="215"/>
      <c r="C81" s="216"/>
      <c r="D81" s="216"/>
      <c r="E81" s="217"/>
    </row>
    <row r="82" spans="1:5" s="5" customFormat="1" ht="18.75" customHeight="1">
      <c r="A82" s="14"/>
      <c r="B82" s="215"/>
      <c r="C82" s="216"/>
      <c r="D82" s="216"/>
      <c r="E82" s="217"/>
    </row>
    <row r="83" spans="1:5" s="5" customFormat="1" ht="18.75" customHeight="1">
      <c r="A83" s="14"/>
      <c r="B83" s="215"/>
      <c r="C83" s="216"/>
      <c r="D83" s="216"/>
      <c r="E83" s="217"/>
    </row>
    <row r="84" spans="1:5" s="5" customFormat="1" ht="18.75" customHeight="1">
      <c r="A84" s="14"/>
      <c r="B84" s="215"/>
      <c r="C84" s="216"/>
      <c r="D84" s="216"/>
      <c r="E84" s="217"/>
    </row>
    <row r="85" spans="1:5" s="5" customFormat="1" ht="18.75" customHeight="1">
      <c r="A85" s="14"/>
      <c r="B85" s="215"/>
      <c r="C85" s="216"/>
      <c r="D85" s="216"/>
      <c r="E85" s="217"/>
    </row>
    <row r="86" spans="1:5" s="5" customFormat="1" ht="18.75" customHeight="1">
      <c r="A86" s="14"/>
      <c r="B86" s="215"/>
      <c r="C86" s="216"/>
      <c r="D86" s="216"/>
      <c r="E86" s="217"/>
    </row>
    <row r="87" spans="1:5" s="5" customFormat="1" ht="18.75" customHeight="1">
      <c r="A87" s="14"/>
      <c r="B87" s="215"/>
      <c r="C87" s="216"/>
      <c r="D87" s="216"/>
      <c r="E87" s="217"/>
    </row>
    <row r="88" spans="1:5" ht="18.75" customHeight="1">
      <c r="A88" s="8"/>
      <c r="B88" s="215"/>
      <c r="C88" s="216"/>
      <c r="D88" s="216"/>
      <c r="E88" s="217"/>
    </row>
    <row r="89" spans="1:5" ht="18.75" customHeight="1">
      <c r="A89" s="8"/>
      <c r="B89" s="218"/>
      <c r="C89" s="219"/>
      <c r="D89" s="219"/>
      <c r="E89" s="220"/>
    </row>
    <row r="90" spans="1:5" ht="7.5" customHeight="1">
      <c r="A90" s="8"/>
      <c r="B90" s="8"/>
      <c r="C90" s="8"/>
      <c r="D90" s="8"/>
      <c r="E90" s="8"/>
    </row>
    <row r="91" spans="1:5" s="5" customFormat="1" ht="18.75" customHeight="1">
      <c r="A91" s="14" t="s">
        <v>20</v>
      </c>
      <c r="B91" s="14" t="s">
        <v>199</v>
      </c>
      <c r="C91" s="14"/>
      <c r="D91" s="14"/>
      <c r="E91" s="14"/>
    </row>
    <row r="92" spans="1:5" s="5" customFormat="1" ht="18.75" customHeight="1">
      <c r="A92" s="14"/>
      <c r="B92" s="212" t="s">
        <v>200</v>
      </c>
      <c r="C92" s="213"/>
      <c r="D92" s="213"/>
      <c r="E92" s="214"/>
    </row>
    <row r="93" spans="1:5" s="5" customFormat="1" ht="18.75" customHeight="1">
      <c r="A93" s="14"/>
      <c r="B93" s="215"/>
      <c r="C93" s="216"/>
      <c r="D93" s="216"/>
      <c r="E93" s="217"/>
    </row>
    <row r="94" spans="1:5" s="5" customFormat="1" ht="18.75" customHeight="1">
      <c r="A94" s="14"/>
      <c r="B94" s="215"/>
      <c r="C94" s="216"/>
      <c r="D94" s="216"/>
      <c r="E94" s="217"/>
    </row>
    <row r="95" spans="1:5" s="5" customFormat="1" ht="18.75" customHeight="1">
      <c r="A95" s="14"/>
      <c r="B95" s="215"/>
      <c r="C95" s="216"/>
      <c r="D95" s="216"/>
      <c r="E95" s="217"/>
    </row>
    <row r="96" spans="1:5" s="5" customFormat="1" ht="18.75" customHeight="1">
      <c r="A96" s="14"/>
      <c r="B96" s="215"/>
      <c r="C96" s="216"/>
      <c r="D96" s="216"/>
      <c r="E96" s="217"/>
    </row>
    <row r="97" spans="1:5" s="5" customFormat="1" ht="18.75" customHeight="1">
      <c r="A97" s="14"/>
      <c r="B97" s="215"/>
      <c r="C97" s="216"/>
      <c r="D97" s="216"/>
      <c r="E97" s="217"/>
    </row>
    <row r="98" spans="1:5" s="5" customFormat="1" ht="18.75" customHeight="1">
      <c r="A98" s="14"/>
      <c r="B98" s="215"/>
      <c r="C98" s="216"/>
      <c r="D98" s="216"/>
      <c r="E98" s="217"/>
    </row>
    <row r="99" spans="1:5" s="5" customFormat="1" ht="18.75" customHeight="1">
      <c r="A99" s="14"/>
      <c r="B99" s="215"/>
      <c r="C99" s="216"/>
      <c r="D99" s="216"/>
      <c r="E99" s="217"/>
    </row>
    <row r="100" spans="1:5" s="5" customFormat="1" ht="18.75" customHeight="1">
      <c r="A100" s="14"/>
      <c r="B100" s="215"/>
      <c r="C100" s="216"/>
      <c r="D100" s="216"/>
      <c r="E100" s="217"/>
    </row>
    <row r="101" spans="1:5" s="5" customFormat="1" ht="18.75" customHeight="1">
      <c r="A101" s="14"/>
      <c r="B101" s="215"/>
      <c r="C101" s="216"/>
      <c r="D101" s="216"/>
      <c r="E101" s="217"/>
    </row>
    <row r="102" spans="1:5" s="5" customFormat="1" ht="18.75" customHeight="1">
      <c r="A102" s="14"/>
      <c r="B102" s="215"/>
      <c r="C102" s="216"/>
      <c r="D102" s="216"/>
      <c r="E102" s="217"/>
    </row>
    <row r="103" spans="1:5" s="5" customFormat="1" ht="18.75" customHeight="1">
      <c r="A103" s="14"/>
      <c r="B103" s="215"/>
      <c r="C103" s="216"/>
      <c r="D103" s="216"/>
      <c r="E103" s="217"/>
    </row>
    <row r="104" spans="1:5" s="5" customFormat="1" ht="18.75" customHeight="1">
      <c r="A104" s="14"/>
      <c r="B104" s="215"/>
      <c r="C104" s="216"/>
      <c r="D104" s="216"/>
      <c r="E104" s="217"/>
    </row>
    <row r="105" spans="1:5" s="5" customFormat="1" ht="18.75" customHeight="1">
      <c r="A105" s="14"/>
      <c r="B105" s="215"/>
      <c r="C105" s="216"/>
      <c r="D105" s="216"/>
      <c r="E105" s="217"/>
    </row>
    <row r="106" spans="1:5" s="5" customFormat="1" ht="18.75" customHeight="1">
      <c r="A106" s="14"/>
      <c r="B106" s="215"/>
      <c r="C106" s="216"/>
      <c r="D106" s="216"/>
      <c r="E106" s="217"/>
    </row>
    <row r="107" spans="1:5" s="5" customFormat="1" ht="18.75" customHeight="1">
      <c r="A107" s="14"/>
      <c r="B107" s="215"/>
      <c r="C107" s="216"/>
      <c r="D107" s="216"/>
      <c r="E107" s="217"/>
    </row>
    <row r="108" spans="1:5" s="5" customFormat="1" ht="18.75" customHeight="1">
      <c r="A108" s="14"/>
      <c r="B108" s="215"/>
      <c r="C108" s="216"/>
      <c r="D108" s="216"/>
      <c r="E108" s="217"/>
    </row>
    <row r="109" spans="1:5" s="5" customFormat="1" ht="18.75" customHeight="1">
      <c r="A109" s="14"/>
      <c r="B109" s="215"/>
      <c r="C109" s="216"/>
      <c r="D109" s="216"/>
      <c r="E109" s="217"/>
    </row>
    <row r="110" spans="1:5" ht="18.75" customHeight="1">
      <c r="A110" s="8"/>
      <c r="B110" s="215"/>
      <c r="C110" s="216"/>
      <c r="D110" s="216"/>
      <c r="E110" s="217"/>
    </row>
    <row r="111" spans="1:5" ht="18.75" customHeight="1">
      <c r="A111" s="8"/>
      <c r="B111" s="218"/>
      <c r="C111" s="219"/>
      <c r="D111" s="219"/>
      <c r="E111" s="220"/>
    </row>
    <row r="112" spans="1:5" ht="7.5" customHeight="1">
      <c r="A112" s="8"/>
      <c r="B112" s="8"/>
      <c r="C112" s="8"/>
      <c r="D112" s="8"/>
      <c r="E112" s="8"/>
    </row>
    <row r="113" spans="1:5" s="5" customFormat="1" ht="18.75" customHeight="1">
      <c r="A113" s="14" t="s">
        <v>25</v>
      </c>
      <c r="B113" s="226" t="s">
        <v>201</v>
      </c>
      <c r="C113" s="226"/>
      <c r="D113" s="226"/>
      <c r="E113" s="226"/>
    </row>
    <row r="114" spans="1:5" ht="18.75" customHeight="1">
      <c r="A114" s="8"/>
      <c r="B114" s="212" t="s">
        <v>202</v>
      </c>
      <c r="C114" s="213"/>
      <c r="D114" s="213"/>
      <c r="E114" s="214"/>
    </row>
    <row r="115" spans="1:5" ht="18.75" customHeight="1">
      <c r="A115" s="8"/>
      <c r="B115" s="215"/>
      <c r="C115" s="216"/>
      <c r="D115" s="216"/>
      <c r="E115" s="217"/>
    </row>
    <row r="116" spans="1:5" ht="18.75" customHeight="1">
      <c r="A116" s="8"/>
      <c r="B116" s="215"/>
      <c r="C116" s="216"/>
      <c r="D116" s="216"/>
      <c r="E116" s="217"/>
    </row>
    <row r="117" spans="1:5" ht="18.75" customHeight="1">
      <c r="A117" s="8"/>
      <c r="B117" s="215"/>
      <c r="C117" s="216"/>
      <c r="D117" s="216"/>
      <c r="E117" s="217"/>
    </row>
    <row r="118" spans="1:5" ht="18.75" customHeight="1">
      <c r="A118" s="8"/>
      <c r="B118" s="215"/>
      <c r="C118" s="216"/>
      <c r="D118" s="216"/>
      <c r="E118" s="217"/>
    </row>
    <row r="119" spans="1:5" ht="18.75" customHeight="1">
      <c r="A119" s="8"/>
      <c r="B119" s="215"/>
      <c r="C119" s="216"/>
      <c r="D119" s="216"/>
      <c r="E119" s="217"/>
    </row>
    <row r="120" spans="1:5" ht="18.75" customHeight="1">
      <c r="A120" s="8"/>
      <c r="B120" s="215"/>
      <c r="C120" s="216"/>
      <c r="D120" s="216"/>
      <c r="E120" s="217"/>
    </row>
    <row r="121" spans="1:5" ht="18.75" customHeight="1">
      <c r="A121" s="8"/>
      <c r="B121" s="215"/>
      <c r="C121" s="216"/>
      <c r="D121" s="216"/>
      <c r="E121" s="217"/>
    </row>
    <row r="122" spans="1:5" ht="18.75" customHeight="1">
      <c r="A122" s="8"/>
      <c r="B122" s="215"/>
      <c r="C122" s="216"/>
      <c r="D122" s="216"/>
      <c r="E122" s="217"/>
    </row>
    <row r="123" spans="1:5" ht="18.75" customHeight="1">
      <c r="A123" s="8"/>
      <c r="B123" s="215"/>
      <c r="C123" s="216"/>
      <c r="D123" s="216"/>
      <c r="E123" s="217"/>
    </row>
    <row r="124" spans="1:5" ht="18.75" customHeight="1">
      <c r="A124" s="8"/>
      <c r="B124" s="215"/>
      <c r="C124" s="216"/>
      <c r="D124" s="216"/>
      <c r="E124" s="217"/>
    </row>
    <row r="125" spans="1:5" ht="18.75" customHeight="1">
      <c r="A125" s="8"/>
      <c r="B125" s="215"/>
      <c r="C125" s="216"/>
      <c r="D125" s="216"/>
      <c r="E125" s="217"/>
    </row>
    <row r="126" spans="1:5" ht="18.75" customHeight="1">
      <c r="A126" s="8"/>
      <c r="B126" s="215"/>
      <c r="C126" s="216"/>
      <c r="D126" s="216"/>
      <c r="E126" s="217"/>
    </row>
    <row r="127" spans="1:5" ht="18.75" customHeight="1">
      <c r="A127" s="8"/>
      <c r="B127" s="215"/>
      <c r="C127" s="216"/>
      <c r="D127" s="216"/>
      <c r="E127" s="217"/>
    </row>
    <row r="128" spans="1:5" ht="18.75" customHeight="1">
      <c r="A128" s="8"/>
      <c r="B128" s="215"/>
      <c r="C128" s="216"/>
      <c r="D128" s="216"/>
      <c r="E128" s="217"/>
    </row>
    <row r="129" spans="1:5" ht="18.75" customHeight="1">
      <c r="A129" s="8"/>
      <c r="B129" s="215"/>
      <c r="C129" s="216"/>
      <c r="D129" s="216"/>
      <c r="E129" s="217"/>
    </row>
    <row r="130" spans="1:5" ht="18.75" customHeight="1">
      <c r="A130" s="8"/>
      <c r="B130" s="215"/>
      <c r="C130" s="216"/>
      <c r="D130" s="216"/>
      <c r="E130" s="217"/>
    </row>
    <row r="131" spans="1:5" ht="18.75" customHeight="1">
      <c r="A131" s="8"/>
      <c r="B131" s="215"/>
      <c r="C131" s="216"/>
      <c r="D131" s="216"/>
      <c r="E131" s="217"/>
    </row>
    <row r="132" spans="1:5" ht="18.75" customHeight="1">
      <c r="A132" s="8"/>
      <c r="B132" s="215"/>
      <c r="C132" s="216"/>
      <c r="D132" s="216"/>
      <c r="E132" s="217"/>
    </row>
    <row r="133" spans="1:5" ht="18.75" customHeight="1">
      <c r="A133" s="8"/>
      <c r="B133" s="218"/>
      <c r="C133" s="219"/>
      <c r="D133" s="219"/>
      <c r="E133" s="220"/>
    </row>
    <row r="134" spans="1:5" ht="7.5" customHeight="1">
      <c r="A134" s="8"/>
      <c r="B134" s="11"/>
      <c r="C134" s="11"/>
      <c r="D134" s="11"/>
      <c r="E134" s="11"/>
    </row>
    <row r="135" spans="1:5" ht="18.75" customHeight="1">
      <c r="A135" s="8"/>
      <c r="B135" s="8"/>
      <c r="C135" s="8"/>
      <c r="D135" s="8"/>
      <c r="E135" s="8"/>
    </row>
    <row r="136" spans="1:5" ht="18.75" customHeight="1">
      <c r="A136" s="8"/>
      <c r="B136" s="8"/>
      <c r="C136" s="8"/>
      <c r="D136" s="8"/>
      <c r="E136" s="8"/>
    </row>
    <row r="137" spans="1:5" ht="18.75" customHeight="1">
      <c r="A137" s="8"/>
      <c r="B137" s="8"/>
      <c r="C137" s="8"/>
      <c r="D137" s="8"/>
      <c r="E137" s="8"/>
    </row>
    <row r="138" spans="1:5" ht="18.75" customHeight="1">
      <c r="A138" s="8"/>
      <c r="B138" s="8"/>
      <c r="C138" s="8"/>
      <c r="D138" s="8"/>
      <c r="E138" s="8"/>
    </row>
    <row r="139" spans="1:5" ht="18.75" customHeight="1">
      <c r="A139" s="8"/>
      <c r="B139" s="8"/>
      <c r="C139" s="8"/>
      <c r="D139" s="8"/>
      <c r="E139" s="8"/>
    </row>
    <row r="140" spans="1:5" ht="18.75" customHeight="1">
      <c r="A140" s="8"/>
      <c r="B140" s="8"/>
      <c r="C140" s="8"/>
      <c r="D140" s="8"/>
      <c r="E140" s="8"/>
    </row>
    <row r="141" spans="1:5" ht="18.75" customHeight="1">
      <c r="A141" s="8"/>
      <c r="B141" s="8"/>
      <c r="C141" s="8"/>
      <c r="D141" s="8"/>
      <c r="E141" s="8"/>
    </row>
    <row r="142" spans="1:5" ht="18.75" customHeight="1">
      <c r="A142" s="8"/>
      <c r="B142" s="8"/>
      <c r="C142" s="8"/>
      <c r="D142" s="8"/>
      <c r="E142" s="8"/>
    </row>
    <row r="143" spans="1:5" ht="18.75" customHeight="1">
      <c r="A143" s="8"/>
      <c r="B143" s="8"/>
      <c r="C143" s="8"/>
      <c r="D143" s="8"/>
      <c r="E143" s="8"/>
    </row>
    <row r="144" spans="1:5" ht="18.75" customHeight="1">
      <c r="A144" s="8"/>
      <c r="B144" s="8"/>
      <c r="C144" s="8"/>
      <c r="D144" s="8"/>
      <c r="E144" s="8"/>
    </row>
    <row r="145" spans="1:5" ht="18.75" customHeight="1">
      <c r="A145" s="8"/>
      <c r="B145" s="8"/>
      <c r="C145" s="8"/>
      <c r="D145" s="8"/>
      <c r="E145" s="8"/>
    </row>
    <row r="146" spans="1:5" ht="18.75" customHeight="1">
      <c r="A146" s="8"/>
      <c r="B146" s="8"/>
      <c r="C146" s="8"/>
      <c r="D146" s="8"/>
      <c r="E146" s="8"/>
    </row>
    <row r="147" spans="1:5" ht="14.25">
      <c r="A147" s="8"/>
      <c r="B147" s="8"/>
      <c r="C147" s="8"/>
      <c r="D147" s="8"/>
      <c r="E147" s="8"/>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opLeftCell="A13" zoomScaleNormal="100" workbookViewId="0">
      <selection activeCell="E8" sqref="E8:J8"/>
    </sheetView>
  </sheetViews>
  <sheetFormatPr defaultColWidth="11.375" defaultRowHeight="22.5" customHeight="1"/>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c r="J1" s="104" t="s">
        <v>203</v>
      </c>
    </row>
    <row r="2" spans="1:10" ht="18.75" customHeight="1">
      <c r="D2" s="104"/>
      <c r="H2" s="104" t="s">
        <v>204</v>
      </c>
      <c r="I2" s="227" t="s">
        <v>4</v>
      </c>
      <c r="J2" s="227"/>
    </row>
    <row r="3" spans="1:10" ht="18.75" customHeight="1">
      <c r="A3" s="188" t="s">
        <v>205</v>
      </c>
      <c r="B3" s="188"/>
      <c r="C3" s="188"/>
      <c r="D3" s="188"/>
      <c r="E3" s="188"/>
      <c r="F3" s="188"/>
      <c r="G3" s="188"/>
      <c r="H3" s="188"/>
      <c r="I3" s="188"/>
      <c r="J3" s="188"/>
    </row>
    <row r="4" spans="1:10" ht="7.5" customHeight="1">
      <c r="B4" s="108"/>
      <c r="C4" s="108"/>
      <c r="D4" s="275"/>
      <c r="E4" s="276"/>
      <c r="F4" s="276"/>
      <c r="G4" s="276"/>
      <c r="H4" s="276"/>
      <c r="I4" s="276"/>
      <c r="J4" s="276"/>
    </row>
    <row r="5" spans="1:10" ht="18.75" customHeight="1">
      <c r="A5" s="1" t="s">
        <v>2</v>
      </c>
      <c r="B5" s="5" t="s">
        <v>206</v>
      </c>
      <c r="C5" s="108"/>
      <c r="D5" s="108"/>
      <c r="E5" s="109"/>
      <c r="F5" s="109"/>
      <c r="G5" s="109"/>
      <c r="H5" s="109"/>
      <c r="I5" s="109"/>
      <c r="J5" s="109"/>
    </row>
    <row r="6" spans="1:10" ht="18.75" customHeight="1">
      <c r="B6" s="277" t="s">
        <v>207</v>
      </c>
      <c r="C6" s="278"/>
      <c r="D6" s="279"/>
      <c r="E6" s="159" t="s">
        <v>208</v>
      </c>
      <c r="F6" s="159"/>
      <c r="G6" s="159"/>
      <c r="H6" s="159"/>
      <c r="I6" s="159"/>
      <c r="J6" s="160"/>
    </row>
    <row r="7" spans="1:10" ht="18.75" customHeight="1">
      <c r="B7" s="6" t="s">
        <v>209</v>
      </c>
      <c r="C7" s="8"/>
      <c r="D7" s="18"/>
      <c r="E7" s="3"/>
      <c r="F7" s="3"/>
      <c r="G7" s="3"/>
      <c r="H7" s="3"/>
      <c r="I7" s="15"/>
      <c r="J7" s="16"/>
    </row>
    <row r="8" spans="1:10" ht="202.5" customHeight="1">
      <c r="B8" s="17"/>
      <c r="C8" s="261" t="s">
        <v>210</v>
      </c>
      <c r="D8" s="262"/>
      <c r="E8" s="274" t="s">
        <v>211</v>
      </c>
      <c r="F8" s="263"/>
      <c r="G8" s="263"/>
      <c r="H8" s="263"/>
      <c r="I8" s="263"/>
      <c r="J8" s="264"/>
    </row>
    <row r="9" spans="1:10" ht="202.5" customHeight="1">
      <c r="B9" s="17"/>
      <c r="C9" s="259" t="s">
        <v>212</v>
      </c>
      <c r="D9" s="260"/>
      <c r="E9" s="274" t="s">
        <v>213</v>
      </c>
      <c r="F9" s="263"/>
      <c r="G9" s="263"/>
      <c r="H9" s="263"/>
      <c r="I9" s="263"/>
      <c r="J9" s="264"/>
    </row>
    <row r="10" spans="1:10" ht="172.5" customHeight="1">
      <c r="B10" s="17"/>
      <c r="C10" s="261" t="s">
        <v>214</v>
      </c>
      <c r="D10" s="262"/>
      <c r="E10" s="274" t="s">
        <v>215</v>
      </c>
      <c r="F10" s="263"/>
      <c r="G10" s="263"/>
      <c r="H10" s="263"/>
      <c r="I10" s="263"/>
      <c r="J10" s="264"/>
    </row>
    <row r="11" spans="1:10" ht="172.5" customHeight="1">
      <c r="B11" s="17"/>
      <c r="C11" s="261" t="s">
        <v>216</v>
      </c>
      <c r="D11" s="262"/>
      <c r="E11" s="274" t="s">
        <v>217</v>
      </c>
      <c r="F11" s="263"/>
      <c r="G11" s="263"/>
      <c r="H11" s="263"/>
      <c r="I11" s="263"/>
      <c r="J11" s="264"/>
    </row>
    <row r="12" spans="1:10" ht="172.5" customHeight="1">
      <c r="B12" s="17"/>
      <c r="C12" s="261" t="s">
        <v>218</v>
      </c>
      <c r="D12" s="262"/>
      <c r="E12" s="274" t="s">
        <v>219</v>
      </c>
      <c r="F12" s="263"/>
      <c r="G12" s="263"/>
      <c r="H12" s="263"/>
      <c r="I12" s="263"/>
      <c r="J12" s="264"/>
    </row>
    <row r="13" spans="1:10" ht="18.75" customHeight="1">
      <c r="B13" s="20" t="s">
        <v>220</v>
      </c>
      <c r="C13" s="45"/>
      <c r="D13" s="19"/>
      <c r="E13" s="87"/>
      <c r="F13" s="87"/>
      <c r="G13" s="87"/>
      <c r="H13" s="87"/>
      <c r="I13" s="87"/>
      <c r="J13" s="88"/>
    </row>
    <row r="14" spans="1:10" ht="255" customHeight="1">
      <c r="B14" s="17"/>
      <c r="C14" s="261" t="s">
        <v>221</v>
      </c>
      <c r="D14" s="262"/>
      <c r="E14" s="263" t="s">
        <v>222</v>
      </c>
      <c r="F14" s="263"/>
      <c r="G14" s="263"/>
      <c r="H14" s="263"/>
      <c r="I14" s="263"/>
      <c r="J14" s="264"/>
    </row>
    <row r="15" spans="1:10" ht="255" customHeight="1">
      <c r="B15" s="17"/>
      <c r="C15" s="265" t="s">
        <v>223</v>
      </c>
      <c r="D15" s="266"/>
      <c r="E15" s="267" t="s">
        <v>224</v>
      </c>
      <c r="F15" s="267"/>
      <c r="G15" s="267"/>
      <c r="H15" s="267"/>
      <c r="I15" s="267"/>
      <c r="J15" s="268"/>
    </row>
    <row r="16" spans="1:10" ht="232.5" customHeight="1">
      <c r="B16" s="269" t="s">
        <v>225</v>
      </c>
      <c r="C16" s="270"/>
      <c r="D16" s="262"/>
      <c r="E16" s="263" t="s">
        <v>226</v>
      </c>
      <c r="F16" s="263"/>
      <c r="G16" s="263"/>
      <c r="H16" s="263"/>
      <c r="I16" s="263"/>
      <c r="J16" s="264"/>
    </row>
    <row r="17" spans="1:10" ht="232.5" customHeight="1">
      <c r="A17" s="53"/>
      <c r="B17" s="256" t="s">
        <v>227</v>
      </c>
      <c r="C17" s="257"/>
      <c r="D17" s="258"/>
      <c r="E17" s="280" t="s">
        <v>228</v>
      </c>
      <c r="F17" s="280"/>
      <c r="G17" s="280"/>
      <c r="H17" s="280"/>
      <c r="I17" s="280"/>
      <c r="J17" s="281"/>
    </row>
    <row r="18" spans="1:10" ht="7.5" customHeight="1">
      <c r="B18" s="108"/>
      <c r="C18" s="108"/>
      <c r="D18" s="108"/>
      <c r="E18" s="109"/>
      <c r="F18" s="109"/>
      <c r="G18" s="109"/>
      <c r="H18" s="109"/>
      <c r="I18" s="109"/>
      <c r="J18" s="109"/>
    </row>
    <row r="19" spans="1:10" ht="18.75" customHeight="1">
      <c r="B19" s="5"/>
      <c r="C19" s="108"/>
      <c r="D19" s="108"/>
      <c r="E19" s="109"/>
      <c r="F19" s="46"/>
      <c r="G19" s="46"/>
      <c r="H19" s="59" t="s">
        <v>229</v>
      </c>
      <c r="I19" s="54"/>
      <c r="J19" s="55"/>
    </row>
    <row r="20" spans="1:10" ht="18.75" customHeight="1">
      <c r="A20" s="3" t="s">
        <v>5</v>
      </c>
      <c r="B20" s="56" t="s">
        <v>230</v>
      </c>
      <c r="C20" s="57"/>
      <c r="D20" s="57"/>
      <c r="E20" s="58"/>
      <c r="F20" s="51" t="s">
        <v>231</v>
      </c>
      <c r="G20" s="46"/>
      <c r="H20" s="271" t="s">
        <v>232</v>
      </c>
      <c r="I20" s="272"/>
      <c r="J20" s="273"/>
    </row>
    <row r="21" spans="1:10" ht="22.5" customHeight="1">
      <c r="B21" s="108"/>
      <c r="C21" s="108"/>
      <c r="D21" s="108"/>
      <c r="E21" s="109"/>
      <c r="F21" s="109"/>
      <c r="G21" s="109"/>
      <c r="H21" s="109"/>
      <c r="I21" s="109"/>
      <c r="J21" s="109"/>
    </row>
    <row r="22" spans="1:10" ht="22.5" customHeight="1">
      <c r="B22" s="108"/>
      <c r="C22" s="108"/>
      <c r="D22" s="108"/>
      <c r="E22" s="109"/>
      <c r="F22" s="109"/>
      <c r="G22" s="109"/>
      <c r="H22" s="109"/>
      <c r="I22" s="109"/>
      <c r="J22" s="109"/>
    </row>
    <row r="23" spans="1:10" ht="22.5" customHeight="1">
      <c r="B23" s="108"/>
      <c r="C23" s="108"/>
      <c r="D23" s="108"/>
      <c r="E23" s="109"/>
      <c r="F23" s="109"/>
      <c r="G23" s="109"/>
      <c r="H23" s="109"/>
      <c r="I23" s="109"/>
      <c r="J23" s="109"/>
    </row>
    <row r="24" spans="1:10" ht="22.5" customHeight="1">
      <c r="B24" s="108"/>
      <c r="C24" s="108"/>
      <c r="D24" s="108"/>
      <c r="E24" s="109"/>
      <c r="F24" s="109"/>
      <c r="G24" s="109"/>
      <c r="H24" s="109"/>
      <c r="I24" s="109"/>
      <c r="J24" s="109"/>
    </row>
    <row r="25" spans="1:10" ht="22.5" customHeight="1">
      <c r="B25" s="108"/>
      <c r="C25" s="108"/>
      <c r="D25" s="108"/>
      <c r="E25" s="109"/>
      <c r="F25" s="109"/>
      <c r="G25" s="109"/>
      <c r="H25" s="109"/>
      <c r="I25" s="109"/>
      <c r="J25" s="109"/>
    </row>
    <row r="26" spans="1:10" ht="22.5" customHeight="1">
      <c r="B26" s="13"/>
      <c r="C26" s="13"/>
      <c r="D26" s="13"/>
      <c r="E26" s="13"/>
      <c r="F26" s="13"/>
      <c r="G26" s="13"/>
      <c r="H26" s="13"/>
      <c r="I26" s="13"/>
      <c r="J26" s="13"/>
    </row>
    <row r="27" spans="1:10" ht="22.5" customHeight="1">
      <c r="B27" s="13"/>
      <c r="C27" s="13"/>
      <c r="D27" s="13"/>
      <c r="E27" s="13"/>
      <c r="F27" s="13"/>
      <c r="G27" s="13"/>
      <c r="H27" s="13"/>
      <c r="I27" s="13"/>
      <c r="J27" s="13"/>
    </row>
    <row r="28" spans="1:10" ht="22.5" customHeight="1">
      <c r="B28" s="13"/>
      <c r="C28" s="13"/>
      <c r="D28" s="13"/>
      <c r="E28" s="13"/>
      <c r="F28" s="13"/>
      <c r="G28" s="13"/>
      <c r="H28" s="13"/>
      <c r="I28" s="13"/>
      <c r="J28" s="13"/>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printOptions horizontalCentered="1"/>
  <pageMargins left="0.78740157480314965" right="0.78740157480314965" top="0.78740157480314965" bottom="0.78740157480314965"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workbookViewId="0">
      <selection activeCell="L40" sqref="L40"/>
    </sheetView>
  </sheetViews>
  <sheetFormatPr defaultColWidth="11.375" defaultRowHeight="18.75" customHeight="1"/>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c r="E1" s="178" t="s">
        <v>233</v>
      </c>
      <c r="F1" s="178"/>
    </row>
    <row r="2" spans="1:6" ht="18.75" customHeight="1">
      <c r="C2" s="104" t="s">
        <v>184</v>
      </c>
      <c r="D2" s="104" t="s">
        <v>185</v>
      </c>
      <c r="E2" s="202"/>
      <c r="F2" s="202"/>
    </row>
    <row r="3" spans="1:6" ht="7.5" customHeight="1">
      <c r="C3" s="104"/>
      <c r="D3" s="104"/>
      <c r="E3" s="107"/>
      <c r="F3" s="107"/>
    </row>
    <row r="4" spans="1:6" ht="18.75" customHeight="1">
      <c r="A4" s="188" t="s">
        <v>234</v>
      </c>
      <c r="B4" s="188"/>
      <c r="C4" s="188"/>
      <c r="D4" s="188"/>
      <c r="E4" s="188"/>
      <c r="F4" s="188"/>
    </row>
    <row r="5" spans="1:6" ht="7.5" customHeight="1">
      <c r="A5" s="105"/>
      <c r="B5" s="105"/>
      <c r="C5" s="105"/>
      <c r="D5" s="105"/>
      <c r="E5" s="105"/>
      <c r="F5" s="105"/>
    </row>
    <row r="6" spans="1:6" ht="18.75" customHeight="1">
      <c r="A6" s="105" t="s">
        <v>2</v>
      </c>
      <c r="B6" s="5" t="s">
        <v>235</v>
      </c>
      <c r="C6" s="105"/>
      <c r="D6" s="105"/>
      <c r="E6" s="105"/>
      <c r="F6" s="105"/>
    </row>
    <row r="7" spans="1:6" ht="18.75" customHeight="1">
      <c r="A7" s="105"/>
      <c r="B7" s="282"/>
      <c r="C7" s="213"/>
      <c r="D7" s="213"/>
      <c r="E7" s="213"/>
      <c r="F7" s="214"/>
    </row>
    <row r="8" spans="1:6" ht="18.75" customHeight="1">
      <c r="A8" s="105"/>
      <c r="B8" s="215"/>
      <c r="C8" s="216"/>
      <c r="D8" s="216"/>
      <c r="E8" s="216"/>
      <c r="F8" s="217"/>
    </row>
    <row r="9" spans="1:6" ht="18.75" customHeight="1">
      <c r="A9" s="105"/>
      <c r="B9" s="215"/>
      <c r="C9" s="216"/>
      <c r="D9" s="216"/>
      <c r="E9" s="216"/>
      <c r="F9" s="217"/>
    </row>
    <row r="10" spans="1:6" ht="18.75" customHeight="1">
      <c r="A10" s="105"/>
      <c r="B10" s="215"/>
      <c r="C10" s="216"/>
      <c r="D10" s="216"/>
      <c r="E10" s="216"/>
      <c r="F10" s="217"/>
    </row>
    <row r="11" spans="1:6" ht="18.75" customHeight="1">
      <c r="A11" s="105"/>
      <c r="B11" s="215"/>
      <c r="C11" s="216"/>
      <c r="D11" s="216"/>
      <c r="E11" s="216"/>
      <c r="F11" s="217"/>
    </row>
    <row r="12" spans="1:6" ht="18.75" customHeight="1">
      <c r="A12" s="105"/>
      <c r="B12" s="215"/>
      <c r="C12" s="216"/>
      <c r="D12" s="216"/>
      <c r="E12" s="216"/>
      <c r="F12" s="217"/>
    </row>
    <row r="13" spans="1:6" ht="18.75" customHeight="1">
      <c r="A13" s="105"/>
      <c r="B13" s="215"/>
      <c r="C13" s="216"/>
      <c r="D13" s="216"/>
      <c r="E13" s="216"/>
      <c r="F13" s="217"/>
    </row>
    <row r="14" spans="1:6" ht="18.75" customHeight="1">
      <c r="A14" s="105"/>
      <c r="B14" s="215"/>
      <c r="C14" s="216"/>
      <c r="D14" s="216"/>
      <c r="E14" s="216"/>
      <c r="F14" s="217"/>
    </row>
    <row r="15" spans="1:6" ht="18.75" customHeight="1">
      <c r="A15" s="105"/>
      <c r="B15" s="215"/>
      <c r="C15" s="216"/>
      <c r="D15" s="216"/>
      <c r="E15" s="216"/>
      <c r="F15" s="217"/>
    </row>
    <row r="16" spans="1:6" ht="18.75" customHeight="1">
      <c r="A16" s="105"/>
      <c r="B16" s="215"/>
      <c r="C16" s="216"/>
      <c r="D16" s="216"/>
      <c r="E16" s="216"/>
      <c r="F16" s="217"/>
    </row>
    <row r="17" spans="1:6" ht="18.75" customHeight="1">
      <c r="A17" s="105"/>
      <c r="B17" s="215"/>
      <c r="C17" s="216"/>
      <c r="D17" s="216"/>
      <c r="E17" s="216"/>
      <c r="F17" s="217"/>
    </row>
    <row r="18" spans="1:6" ht="18.75" customHeight="1">
      <c r="A18" s="105"/>
      <c r="B18" s="215"/>
      <c r="C18" s="216"/>
      <c r="D18" s="216"/>
      <c r="E18" s="216"/>
      <c r="F18" s="217"/>
    </row>
    <row r="19" spans="1:6" ht="18.75" customHeight="1">
      <c r="A19" s="105"/>
      <c r="B19" s="215"/>
      <c r="C19" s="216"/>
      <c r="D19" s="216"/>
      <c r="E19" s="216"/>
      <c r="F19" s="217"/>
    </row>
    <row r="20" spans="1:6" ht="18.75" customHeight="1">
      <c r="A20" s="105"/>
      <c r="B20" s="215"/>
      <c r="C20" s="216"/>
      <c r="D20" s="216"/>
      <c r="E20" s="216"/>
      <c r="F20" s="217"/>
    </row>
    <row r="21" spans="1:6" ht="18.75" customHeight="1">
      <c r="A21" s="105"/>
      <c r="B21" s="215"/>
      <c r="C21" s="216"/>
      <c r="D21" s="216"/>
      <c r="E21" s="216"/>
      <c r="F21" s="217"/>
    </row>
    <row r="22" spans="1:6" ht="18.75" customHeight="1">
      <c r="A22" s="105"/>
      <c r="B22" s="215"/>
      <c r="C22" s="216"/>
      <c r="D22" s="216"/>
      <c r="E22" s="216"/>
      <c r="F22" s="217"/>
    </row>
    <row r="23" spans="1:6" ht="18.75" customHeight="1">
      <c r="A23" s="105"/>
      <c r="B23" s="215"/>
      <c r="C23" s="216"/>
      <c r="D23" s="216"/>
      <c r="E23" s="216"/>
      <c r="F23" s="217"/>
    </row>
    <row r="24" spans="1:6" ht="18.75" customHeight="1">
      <c r="A24" s="105"/>
      <c r="B24" s="215"/>
      <c r="C24" s="216"/>
      <c r="D24" s="216"/>
      <c r="E24" s="216"/>
      <c r="F24" s="217"/>
    </row>
    <row r="25" spans="1:6" ht="18.75" customHeight="1">
      <c r="A25" s="105"/>
      <c r="B25" s="215"/>
      <c r="C25" s="216"/>
      <c r="D25" s="216"/>
      <c r="E25" s="216"/>
      <c r="F25" s="217"/>
    </row>
    <row r="26" spans="1:6" ht="18.75" customHeight="1">
      <c r="A26" s="105"/>
      <c r="B26" s="215"/>
      <c r="C26" s="216"/>
      <c r="D26" s="216"/>
      <c r="E26" s="216"/>
      <c r="F26" s="217"/>
    </row>
    <row r="27" spans="1:6" ht="18.75" customHeight="1">
      <c r="A27" s="105"/>
      <c r="B27" s="215"/>
      <c r="C27" s="216"/>
      <c r="D27" s="216"/>
      <c r="E27" s="216"/>
      <c r="F27" s="217"/>
    </row>
    <row r="28" spans="1:6" ht="18.75" customHeight="1">
      <c r="A28" s="105"/>
      <c r="B28" s="215"/>
      <c r="C28" s="216"/>
      <c r="D28" s="216"/>
      <c r="E28" s="216"/>
      <c r="F28" s="217"/>
    </row>
    <row r="29" spans="1:6" ht="18.75" customHeight="1">
      <c r="A29" s="105"/>
      <c r="B29" s="215"/>
      <c r="C29" s="216"/>
      <c r="D29" s="216"/>
      <c r="E29" s="216"/>
      <c r="F29" s="217"/>
    </row>
    <row r="30" spans="1:6" ht="18.75" customHeight="1">
      <c r="A30" s="105"/>
      <c r="B30" s="215"/>
      <c r="C30" s="216"/>
      <c r="D30" s="216"/>
      <c r="E30" s="216"/>
      <c r="F30" s="217"/>
    </row>
    <row r="31" spans="1:6" ht="18.75" customHeight="1">
      <c r="A31" s="105"/>
      <c r="B31" s="215"/>
      <c r="C31" s="216"/>
      <c r="D31" s="216"/>
      <c r="E31" s="216"/>
      <c r="F31" s="217"/>
    </row>
    <row r="32" spans="1:6" ht="18.75" customHeight="1">
      <c r="A32" s="105"/>
      <c r="B32" s="215"/>
      <c r="C32" s="216"/>
      <c r="D32" s="216"/>
      <c r="E32" s="216"/>
      <c r="F32" s="217"/>
    </row>
    <row r="33" spans="1:6" ht="18.75" customHeight="1">
      <c r="A33" s="105"/>
      <c r="B33" s="215"/>
      <c r="C33" s="216"/>
      <c r="D33" s="216"/>
      <c r="E33" s="216"/>
      <c r="F33" s="217"/>
    </row>
    <row r="34" spans="1:6" ht="18.75" customHeight="1">
      <c r="A34" s="105"/>
      <c r="B34" s="215"/>
      <c r="C34" s="216"/>
      <c r="D34" s="216"/>
      <c r="E34" s="216"/>
      <c r="F34" s="217"/>
    </row>
    <row r="35" spans="1:6" ht="18.75" customHeight="1">
      <c r="A35" s="105"/>
      <c r="B35" s="215"/>
      <c r="C35" s="216"/>
      <c r="D35" s="216"/>
      <c r="E35" s="216"/>
      <c r="F35" s="217"/>
    </row>
    <row r="36" spans="1:6" ht="18.75" customHeight="1">
      <c r="A36" s="105"/>
      <c r="B36" s="215"/>
      <c r="C36" s="216"/>
      <c r="D36" s="216"/>
      <c r="E36" s="216"/>
      <c r="F36" s="217"/>
    </row>
    <row r="37" spans="1:6" ht="18.75" customHeight="1">
      <c r="A37" s="105"/>
      <c r="B37" s="215"/>
      <c r="C37" s="216"/>
      <c r="D37" s="216"/>
      <c r="E37" s="216"/>
      <c r="F37" s="217"/>
    </row>
    <row r="38" spans="1:6" ht="18.75" customHeight="1">
      <c r="A38" s="105"/>
      <c r="B38" s="215"/>
      <c r="C38" s="216"/>
      <c r="D38" s="216"/>
      <c r="E38" s="216"/>
      <c r="F38" s="217"/>
    </row>
    <row r="39" spans="1:6" ht="18.75" customHeight="1">
      <c r="A39" s="105"/>
      <c r="B39" s="215"/>
      <c r="C39" s="216"/>
      <c r="D39" s="216"/>
      <c r="E39" s="216"/>
      <c r="F39" s="217"/>
    </row>
    <row r="40" spans="1:6" ht="18.75" customHeight="1">
      <c r="A40" s="105"/>
      <c r="B40" s="215"/>
      <c r="C40" s="216"/>
      <c r="D40" s="216"/>
      <c r="E40" s="216"/>
      <c r="F40" s="217"/>
    </row>
    <row r="41" spans="1:6" ht="18.75" customHeight="1">
      <c r="A41" s="105"/>
      <c r="B41" s="215"/>
      <c r="C41" s="216"/>
      <c r="D41" s="216"/>
      <c r="E41" s="216"/>
      <c r="F41" s="217"/>
    </row>
    <row r="42" spans="1:6" ht="18.75" customHeight="1">
      <c r="A42" s="105"/>
      <c r="B42" s="215"/>
      <c r="C42" s="216"/>
      <c r="D42" s="216"/>
      <c r="E42" s="216"/>
      <c r="F42" s="217"/>
    </row>
    <row r="43" spans="1:6" ht="18.75" customHeight="1">
      <c r="A43" s="105"/>
      <c r="B43" s="215"/>
      <c r="C43" s="216"/>
      <c r="D43" s="216"/>
      <c r="E43" s="216"/>
      <c r="F43" s="217"/>
    </row>
    <row r="44" spans="1:6" ht="18.75" customHeight="1">
      <c r="A44" s="105"/>
      <c r="B44" s="218"/>
      <c r="C44" s="219"/>
      <c r="D44" s="219"/>
      <c r="E44" s="219"/>
      <c r="F44" s="220"/>
    </row>
    <row r="45" spans="1:6" ht="18.75" customHeight="1">
      <c r="A45" s="105" t="s">
        <v>5</v>
      </c>
      <c r="B45" s="5" t="s">
        <v>236</v>
      </c>
      <c r="C45" s="105"/>
      <c r="D45" s="105"/>
      <c r="E45" s="105"/>
      <c r="F45" s="105"/>
    </row>
    <row r="46" spans="1:6" ht="18.75" customHeight="1">
      <c r="A46" s="105"/>
      <c r="B46" s="282"/>
      <c r="C46" s="213"/>
      <c r="D46" s="213"/>
      <c r="E46" s="213"/>
      <c r="F46" s="214"/>
    </row>
    <row r="47" spans="1:6" ht="18.75" customHeight="1">
      <c r="A47" s="105"/>
      <c r="B47" s="215"/>
      <c r="C47" s="216"/>
      <c r="D47" s="216"/>
      <c r="E47" s="216"/>
      <c r="F47" s="217"/>
    </row>
    <row r="48" spans="1:6" ht="18.75" customHeight="1">
      <c r="A48" s="105"/>
      <c r="B48" s="215"/>
      <c r="C48" s="216"/>
      <c r="D48" s="216"/>
      <c r="E48" s="216"/>
      <c r="F48" s="217"/>
    </row>
    <row r="49" spans="1:6" ht="18.75" customHeight="1">
      <c r="A49" s="105"/>
      <c r="B49" s="215"/>
      <c r="C49" s="216"/>
      <c r="D49" s="216"/>
      <c r="E49" s="216"/>
      <c r="F49" s="217"/>
    </row>
    <row r="50" spans="1:6" ht="18.75" customHeight="1">
      <c r="A50" s="105"/>
      <c r="B50" s="215"/>
      <c r="C50" s="216"/>
      <c r="D50" s="216"/>
      <c r="E50" s="216"/>
      <c r="F50" s="217"/>
    </row>
    <row r="51" spans="1:6" ht="18.75" customHeight="1">
      <c r="A51" s="105"/>
      <c r="B51" s="215"/>
      <c r="C51" s="216"/>
      <c r="D51" s="216"/>
      <c r="E51" s="216"/>
      <c r="F51" s="217"/>
    </row>
    <row r="52" spans="1:6" ht="18.75" customHeight="1">
      <c r="A52" s="105"/>
      <c r="B52" s="215"/>
      <c r="C52" s="216"/>
      <c r="D52" s="216"/>
      <c r="E52" s="216"/>
      <c r="F52" s="217"/>
    </row>
    <row r="53" spans="1:6" ht="18.75" customHeight="1">
      <c r="A53" s="105"/>
      <c r="B53" s="215"/>
      <c r="C53" s="216"/>
      <c r="D53" s="216"/>
      <c r="E53" s="216"/>
      <c r="F53" s="217"/>
    </row>
    <row r="54" spans="1:6" ht="18.75" customHeight="1">
      <c r="A54" s="105"/>
      <c r="B54" s="215"/>
      <c r="C54" s="216"/>
      <c r="D54" s="216"/>
      <c r="E54" s="216"/>
      <c r="F54" s="217"/>
    </row>
    <row r="55" spans="1:6" ht="18.75" customHeight="1">
      <c r="A55" s="105"/>
      <c r="B55" s="215"/>
      <c r="C55" s="216"/>
      <c r="D55" s="216"/>
      <c r="E55" s="216"/>
      <c r="F55" s="217"/>
    </row>
    <row r="56" spans="1:6" ht="18.75" customHeight="1">
      <c r="A56" s="105"/>
      <c r="B56" s="215"/>
      <c r="C56" s="216"/>
      <c r="D56" s="216"/>
      <c r="E56" s="216"/>
      <c r="F56" s="217"/>
    </row>
    <row r="57" spans="1:6" ht="18.75" customHeight="1">
      <c r="A57" s="105"/>
      <c r="B57" s="215"/>
      <c r="C57" s="216"/>
      <c r="D57" s="216"/>
      <c r="E57" s="216"/>
      <c r="F57" s="217"/>
    </row>
    <row r="58" spans="1:6" ht="18.75" customHeight="1">
      <c r="A58" s="105"/>
      <c r="B58" s="215"/>
      <c r="C58" s="216"/>
      <c r="D58" s="216"/>
      <c r="E58" s="216"/>
      <c r="F58" s="217"/>
    </row>
    <row r="59" spans="1:6" ht="18.75" customHeight="1">
      <c r="A59" s="105"/>
      <c r="B59" s="215"/>
      <c r="C59" s="216"/>
      <c r="D59" s="216"/>
      <c r="E59" s="216"/>
      <c r="F59" s="217"/>
    </row>
    <row r="60" spans="1:6" ht="18.75" customHeight="1">
      <c r="A60" s="105"/>
      <c r="B60" s="215"/>
      <c r="C60" s="216"/>
      <c r="D60" s="216"/>
      <c r="E60" s="216"/>
      <c r="F60" s="217"/>
    </row>
    <row r="61" spans="1:6" ht="18.75" customHeight="1">
      <c r="A61" s="105"/>
      <c r="B61" s="215"/>
      <c r="C61" s="216"/>
      <c r="D61" s="216"/>
      <c r="E61" s="216"/>
      <c r="F61" s="217"/>
    </row>
    <row r="62" spans="1:6" ht="18.75" customHeight="1">
      <c r="A62" s="105"/>
      <c r="B62" s="215"/>
      <c r="C62" s="216"/>
      <c r="D62" s="216"/>
      <c r="E62" s="216"/>
      <c r="F62" s="217"/>
    </row>
    <row r="63" spans="1:6" ht="18.75" customHeight="1">
      <c r="A63" s="105"/>
      <c r="B63" s="215"/>
      <c r="C63" s="216"/>
      <c r="D63" s="216"/>
      <c r="E63" s="216"/>
      <c r="F63" s="217"/>
    </row>
    <row r="64" spans="1:6" ht="18.75" customHeight="1">
      <c r="A64" s="105"/>
      <c r="B64" s="215"/>
      <c r="C64" s="216"/>
      <c r="D64" s="216"/>
      <c r="E64" s="216"/>
      <c r="F64" s="217"/>
    </row>
    <row r="65" spans="1:6" ht="18.75" customHeight="1">
      <c r="A65" s="105"/>
      <c r="B65" s="215"/>
      <c r="C65" s="216"/>
      <c r="D65" s="216"/>
      <c r="E65" s="216"/>
      <c r="F65" s="217"/>
    </row>
    <row r="66" spans="1:6" ht="18.75" customHeight="1">
      <c r="A66" s="105"/>
      <c r="B66" s="215"/>
      <c r="C66" s="216"/>
      <c r="D66" s="216"/>
      <c r="E66" s="216"/>
      <c r="F66" s="217"/>
    </row>
    <row r="67" spans="1:6" ht="18.75" customHeight="1">
      <c r="A67" s="105"/>
      <c r="B67" s="215"/>
      <c r="C67" s="216"/>
      <c r="D67" s="216"/>
      <c r="E67" s="216"/>
      <c r="F67" s="217"/>
    </row>
    <row r="68" spans="1:6" ht="18.75" customHeight="1">
      <c r="A68" s="105"/>
      <c r="B68" s="215"/>
      <c r="C68" s="216"/>
      <c r="D68" s="216"/>
      <c r="E68" s="216"/>
      <c r="F68" s="217"/>
    </row>
    <row r="69" spans="1:6" ht="18.75" customHeight="1">
      <c r="A69" s="105"/>
      <c r="B69" s="215"/>
      <c r="C69" s="216"/>
      <c r="D69" s="216"/>
      <c r="E69" s="216"/>
      <c r="F69" s="217"/>
    </row>
    <row r="70" spans="1:6" ht="18.75" customHeight="1">
      <c r="A70" s="105"/>
      <c r="B70" s="215"/>
      <c r="C70" s="216"/>
      <c r="D70" s="216"/>
      <c r="E70" s="216"/>
      <c r="F70" s="217"/>
    </row>
    <row r="71" spans="1:6" ht="18.75" customHeight="1">
      <c r="A71" s="105"/>
      <c r="B71" s="215"/>
      <c r="C71" s="216"/>
      <c r="D71" s="216"/>
      <c r="E71" s="216"/>
      <c r="F71" s="217"/>
    </row>
    <row r="72" spans="1:6" ht="18.75" customHeight="1">
      <c r="A72" s="105"/>
      <c r="B72" s="215"/>
      <c r="C72" s="216"/>
      <c r="D72" s="216"/>
      <c r="E72" s="216"/>
      <c r="F72" s="217"/>
    </row>
    <row r="73" spans="1:6" ht="18.75" customHeight="1">
      <c r="A73" s="105"/>
      <c r="B73" s="215"/>
      <c r="C73" s="216"/>
      <c r="D73" s="216"/>
      <c r="E73" s="216"/>
      <c r="F73" s="217"/>
    </row>
    <row r="74" spans="1:6" ht="18.75" customHeight="1">
      <c r="A74" s="105"/>
      <c r="B74" s="215"/>
      <c r="C74" s="216"/>
      <c r="D74" s="216"/>
      <c r="E74" s="216"/>
      <c r="F74" s="217"/>
    </row>
    <row r="75" spans="1:6" ht="18.75" customHeight="1">
      <c r="A75" s="105"/>
      <c r="B75" s="215"/>
      <c r="C75" s="216"/>
      <c r="D75" s="216"/>
      <c r="E75" s="216"/>
      <c r="F75" s="217"/>
    </row>
    <row r="76" spans="1:6" ht="18.75" customHeight="1">
      <c r="A76" s="105"/>
      <c r="B76" s="215"/>
      <c r="C76" s="216"/>
      <c r="D76" s="216"/>
      <c r="E76" s="216"/>
      <c r="F76" s="217"/>
    </row>
    <row r="77" spans="1:6" ht="18.75" customHeight="1">
      <c r="A77" s="105"/>
      <c r="B77" s="215"/>
      <c r="C77" s="216"/>
      <c r="D77" s="216"/>
      <c r="E77" s="216"/>
      <c r="F77" s="217"/>
    </row>
    <row r="78" spans="1:6" ht="18.75" customHeight="1">
      <c r="A78" s="105"/>
      <c r="B78" s="215"/>
      <c r="C78" s="216"/>
      <c r="D78" s="216"/>
      <c r="E78" s="216"/>
      <c r="F78" s="217"/>
    </row>
    <row r="79" spans="1:6" ht="18.75" customHeight="1">
      <c r="A79" s="105"/>
      <c r="B79" s="215"/>
      <c r="C79" s="216"/>
      <c r="D79" s="216"/>
      <c r="E79" s="216"/>
      <c r="F79" s="217"/>
    </row>
    <row r="80" spans="1:6" ht="18.75" customHeight="1">
      <c r="A80" s="105"/>
      <c r="B80" s="215"/>
      <c r="C80" s="216"/>
      <c r="D80" s="216"/>
      <c r="E80" s="216"/>
      <c r="F80" s="217"/>
    </row>
    <row r="81" spans="1:6" ht="18.75" customHeight="1">
      <c r="A81" s="105"/>
      <c r="B81" s="215"/>
      <c r="C81" s="216"/>
      <c r="D81" s="216"/>
      <c r="E81" s="216"/>
      <c r="F81" s="217"/>
    </row>
    <row r="82" spans="1:6" ht="18.75" customHeight="1">
      <c r="A82" s="105"/>
      <c r="B82" s="215"/>
      <c r="C82" s="216"/>
      <c r="D82" s="216"/>
      <c r="E82" s="216"/>
      <c r="F82" s="217"/>
    </row>
    <row r="83" spans="1:6" ht="18.75" customHeight="1">
      <c r="A83" s="105"/>
      <c r="B83" s="215"/>
      <c r="C83" s="216"/>
      <c r="D83" s="216"/>
      <c r="E83" s="216"/>
      <c r="F83" s="217"/>
    </row>
    <row r="84" spans="1:6" ht="18.75" customHeight="1">
      <c r="A84" s="105"/>
      <c r="B84" s="215"/>
      <c r="C84" s="216"/>
      <c r="D84" s="216"/>
      <c r="E84" s="216"/>
      <c r="F84" s="217"/>
    </row>
    <row r="85" spans="1:6" ht="18.75" customHeight="1">
      <c r="A85" s="105"/>
      <c r="B85" s="215"/>
      <c r="C85" s="216"/>
      <c r="D85" s="216"/>
      <c r="E85" s="216"/>
      <c r="F85" s="217"/>
    </row>
    <row r="86" spans="1:6" ht="18.75" customHeight="1">
      <c r="A86" s="105"/>
      <c r="B86" s="215"/>
      <c r="C86" s="216"/>
      <c r="D86" s="216"/>
      <c r="E86" s="216"/>
      <c r="F86" s="217"/>
    </row>
    <row r="87" spans="1:6" ht="18.75" customHeight="1">
      <c r="A87" s="105"/>
      <c r="B87" s="218"/>
      <c r="C87" s="219"/>
      <c r="D87" s="219"/>
      <c r="E87" s="219"/>
      <c r="F87" s="220"/>
    </row>
    <row r="88" spans="1:6" s="12" customFormat="1" ht="18.75" customHeight="1">
      <c r="A88" s="5" t="s">
        <v>8</v>
      </c>
      <c r="B88" s="5" t="s">
        <v>237</v>
      </c>
      <c r="C88" s="5"/>
      <c r="D88" s="5"/>
      <c r="E88" s="5"/>
      <c r="F88" s="5"/>
    </row>
    <row r="89" spans="1:6" ht="18.75" customHeight="1">
      <c r="A89" s="105"/>
      <c r="B89" s="282"/>
      <c r="C89" s="213"/>
      <c r="D89" s="213"/>
      <c r="E89" s="213"/>
      <c r="F89" s="214"/>
    </row>
    <row r="90" spans="1:6" ht="18.75" customHeight="1">
      <c r="A90" s="105"/>
      <c r="B90" s="215"/>
      <c r="C90" s="216"/>
      <c r="D90" s="216"/>
      <c r="E90" s="216"/>
      <c r="F90" s="217"/>
    </row>
    <row r="91" spans="1:6" ht="18.75" customHeight="1">
      <c r="A91" s="105"/>
      <c r="B91" s="215"/>
      <c r="C91" s="216"/>
      <c r="D91" s="216"/>
      <c r="E91" s="216"/>
      <c r="F91" s="217"/>
    </row>
    <row r="92" spans="1:6" ht="18.75" customHeight="1">
      <c r="A92" s="105"/>
      <c r="B92" s="215"/>
      <c r="C92" s="216"/>
      <c r="D92" s="216"/>
      <c r="E92" s="216"/>
      <c r="F92" s="217"/>
    </row>
    <row r="93" spans="1:6" ht="18.75" customHeight="1">
      <c r="A93" s="105"/>
      <c r="B93" s="215"/>
      <c r="C93" s="216"/>
      <c r="D93" s="216"/>
      <c r="E93" s="216"/>
      <c r="F93" s="217"/>
    </row>
    <row r="94" spans="1:6" ht="18.75" customHeight="1">
      <c r="A94" s="105"/>
      <c r="B94" s="215"/>
      <c r="C94" s="216"/>
      <c r="D94" s="216"/>
      <c r="E94" s="216"/>
      <c r="F94" s="217"/>
    </row>
    <row r="95" spans="1:6" ht="18.75" customHeight="1">
      <c r="A95" s="105"/>
      <c r="B95" s="215"/>
      <c r="C95" s="216"/>
      <c r="D95" s="216"/>
      <c r="E95" s="216"/>
      <c r="F95" s="217"/>
    </row>
    <row r="96" spans="1:6" ht="18.75" customHeight="1">
      <c r="A96" s="105"/>
      <c r="B96" s="215"/>
      <c r="C96" s="216"/>
      <c r="D96" s="216"/>
      <c r="E96" s="216"/>
      <c r="F96" s="217"/>
    </row>
    <row r="97" spans="1:6" ht="18.75" customHeight="1">
      <c r="A97" s="105"/>
      <c r="B97" s="215"/>
      <c r="C97" s="216"/>
      <c r="D97" s="216"/>
      <c r="E97" s="216"/>
      <c r="F97" s="217"/>
    </row>
    <row r="98" spans="1:6" ht="18.75" customHeight="1">
      <c r="A98" s="105"/>
      <c r="B98" s="215"/>
      <c r="C98" s="216"/>
      <c r="D98" s="216"/>
      <c r="E98" s="216"/>
      <c r="F98" s="217"/>
    </row>
    <row r="99" spans="1:6" ht="18.75" customHeight="1">
      <c r="A99" s="105"/>
      <c r="B99" s="215"/>
      <c r="C99" s="216"/>
      <c r="D99" s="216"/>
      <c r="E99" s="216"/>
      <c r="F99" s="217"/>
    </row>
    <row r="100" spans="1:6" ht="18.75" customHeight="1">
      <c r="A100" s="105"/>
      <c r="B100" s="215"/>
      <c r="C100" s="216"/>
      <c r="D100" s="216"/>
      <c r="E100" s="216"/>
      <c r="F100" s="217"/>
    </row>
    <row r="101" spans="1:6" ht="18.75" customHeight="1">
      <c r="A101" s="105"/>
      <c r="B101" s="215"/>
      <c r="C101" s="216"/>
      <c r="D101" s="216"/>
      <c r="E101" s="216"/>
      <c r="F101" s="217"/>
    </row>
    <row r="102" spans="1:6" ht="18.75" customHeight="1">
      <c r="A102" s="105"/>
      <c r="B102" s="215"/>
      <c r="C102" s="216"/>
      <c r="D102" s="216"/>
      <c r="E102" s="216"/>
      <c r="F102" s="217"/>
    </row>
    <row r="103" spans="1:6" ht="18.75" customHeight="1">
      <c r="A103" s="105"/>
      <c r="B103" s="215"/>
      <c r="C103" s="216"/>
      <c r="D103" s="216"/>
      <c r="E103" s="216"/>
      <c r="F103" s="217"/>
    </row>
    <row r="104" spans="1:6" ht="18.75" customHeight="1">
      <c r="A104" s="105"/>
      <c r="B104" s="215"/>
      <c r="C104" s="216"/>
      <c r="D104" s="216"/>
      <c r="E104" s="216"/>
      <c r="F104" s="217"/>
    </row>
    <row r="105" spans="1:6" ht="18.75" customHeight="1">
      <c r="A105" s="105"/>
      <c r="B105" s="215"/>
      <c r="C105" s="216"/>
      <c r="D105" s="216"/>
      <c r="E105" s="216"/>
      <c r="F105" s="217"/>
    </row>
    <row r="106" spans="1:6" ht="18.75" customHeight="1">
      <c r="A106" s="105"/>
      <c r="B106" s="215"/>
      <c r="C106" s="216"/>
      <c r="D106" s="216"/>
      <c r="E106" s="216"/>
      <c r="F106" s="217"/>
    </row>
    <row r="107" spans="1:6" ht="18.75" customHeight="1">
      <c r="A107" s="105"/>
      <c r="B107" s="215"/>
      <c r="C107" s="216"/>
      <c r="D107" s="216"/>
      <c r="E107" s="216"/>
      <c r="F107" s="217"/>
    </row>
    <row r="108" spans="1:6" ht="18.75" customHeight="1">
      <c r="A108" s="105"/>
      <c r="B108" s="215"/>
      <c r="C108" s="216"/>
      <c r="D108" s="216"/>
      <c r="E108" s="216"/>
      <c r="F108" s="217"/>
    </row>
    <row r="109" spans="1:6" ht="18.75" customHeight="1">
      <c r="A109" s="105"/>
      <c r="B109" s="215"/>
      <c r="C109" s="216"/>
      <c r="D109" s="216"/>
      <c r="E109" s="216"/>
      <c r="F109" s="217"/>
    </row>
    <row r="110" spans="1:6" ht="18.75" customHeight="1">
      <c r="A110" s="105"/>
      <c r="B110" s="215"/>
      <c r="C110" s="216"/>
      <c r="D110" s="216"/>
      <c r="E110" s="216"/>
      <c r="F110" s="217"/>
    </row>
    <row r="111" spans="1:6" ht="18.75" customHeight="1">
      <c r="A111" s="105"/>
      <c r="B111" s="215"/>
      <c r="C111" s="216"/>
      <c r="D111" s="216"/>
      <c r="E111" s="216"/>
      <c r="F111" s="217"/>
    </row>
    <row r="112" spans="1:6" ht="18.75" customHeight="1">
      <c r="A112" s="105"/>
      <c r="B112" s="215"/>
      <c r="C112" s="216"/>
      <c r="D112" s="216"/>
      <c r="E112" s="216"/>
      <c r="F112" s="217"/>
    </row>
    <row r="113" spans="1:6" ht="18.75" customHeight="1">
      <c r="A113" s="105"/>
      <c r="B113" s="215"/>
      <c r="C113" s="216"/>
      <c r="D113" s="216"/>
      <c r="E113" s="216"/>
      <c r="F113" s="217"/>
    </row>
    <row r="114" spans="1:6" ht="18.75" customHeight="1">
      <c r="A114" s="105"/>
      <c r="B114" s="215"/>
      <c r="C114" s="216"/>
      <c r="D114" s="216"/>
      <c r="E114" s="216"/>
      <c r="F114" s="217"/>
    </row>
    <row r="115" spans="1:6" ht="18.75" customHeight="1">
      <c r="A115" s="105"/>
      <c r="B115" s="215"/>
      <c r="C115" s="216"/>
      <c r="D115" s="216"/>
      <c r="E115" s="216"/>
      <c r="F115" s="217"/>
    </row>
    <row r="116" spans="1:6" ht="18.75" customHeight="1">
      <c r="A116" s="105"/>
      <c r="B116" s="215"/>
      <c r="C116" s="216"/>
      <c r="D116" s="216"/>
      <c r="E116" s="216"/>
      <c r="F116" s="217"/>
    </row>
    <row r="117" spans="1:6" ht="18.75" customHeight="1">
      <c r="A117" s="105"/>
      <c r="B117" s="215"/>
      <c r="C117" s="216"/>
      <c r="D117" s="216"/>
      <c r="E117" s="216"/>
      <c r="F117" s="217"/>
    </row>
    <row r="118" spans="1:6" ht="18.75" customHeight="1">
      <c r="A118" s="105"/>
      <c r="B118" s="215"/>
      <c r="C118" s="216"/>
      <c r="D118" s="216"/>
      <c r="E118" s="216"/>
      <c r="F118" s="217"/>
    </row>
    <row r="119" spans="1:6" ht="18.75" customHeight="1">
      <c r="A119" s="105"/>
      <c r="B119" s="215"/>
      <c r="C119" s="216"/>
      <c r="D119" s="216"/>
      <c r="E119" s="216"/>
      <c r="F119" s="217"/>
    </row>
    <row r="120" spans="1:6" ht="18.75" customHeight="1">
      <c r="A120" s="105"/>
      <c r="B120" s="215"/>
      <c r="C120" s="216"/>
      <c r="D120" s="216"/>
      <c r="E120" s="216"/>
      <c r="F120" s="217"/>
    </row>
    <row r="121" spans="1:6" ht="18.75" customHeight="1">
      <c r="A121" s="105"/>
      <c r="B121" s="215"/>
      <c r="C121" s="216"/>
      <c r="D121" s="216"/>
      <c r="E121" s="216"/>
      <c r="F121" s="217"/>
    </row>
    <row r="122" spans="1:6" ht="18.75" customHeight="1">
      <c r="A122" s="105"/>
      <c r="B122" s="215"/>
      <c r="C122" s="216"/>
      <c r="D122" s="216"/>
      <c r="E122" s="216"/>
      <c r="F122" s="217"/>
    </row>
    <row r="123" spans="1:6" ht="18.75" customHeight="1">
      <c r="A123" s="105"/>
      <c r="B123" s="215"/>
      <c r="C123" s="216"/>
      <c r="D123" s="216"/>
      <c r="E123" s="216"/>
      <c r="F123" s="217"/>
    </row>
    <row r="124" spans="1:6" ht="18.75" customHeight="1">
      <c r="A124" s="105"/>
      <c r="B124" s="215"/>
      <c r="C124" s="216"/>
      <c r="D124" s="216"/>
      <c r="E124" s="216"/>
      <c r="F124" s="217"/>
    </row>
    <row r="125" spans="1:6" ht="18.75" customHeight="1">
      <c r="A125" s="105"/>
      <c r="B125" s="215"/>
      <c r="C125" s="216"/>
      <c r="D125" s="216"/>
      <c r="E125" s="216"/>
      <c r="F125" s="217"/>
    </row>
    <row r="126" spans="1:6" ht="18.75" customHeight="1">
      <c r="A126" s="105"/>
      <c r="B126" s="215"/>
      <c r="C126" s="216"/>
      <c r="D126" s="216"/>
      <c r="E126" s="216"/>
      <c r="F126" s="217"/>
    </row>
    <row r="127" spans="1:6" ht="18.75" customHeight="1">
      <c r="A127" s="105"/>
      <c r="B127" s="215"/>
      <c r="C127" s="216"/>
      <c r="D127" s="216"/>
      <c r="E127" s="216"/>
      <c r="F127" s="217"/>
    </row>
    <row r="128" spans="1:6" ht="18.75" customHeight="1">
      <c r="A128" s="105"/>
      <c r="B128" s="215"/>
      <c r="C128" s="216"/>
      <c r="D128" s="216"/>
      <c r="E128" s="216"/>
      <c r="F128" s="217"/>
    </row>
    <row r="129" spans="1:6" ht="18.75" customHeight="1">
      <c r="A129" s="105"/>
      <c r="B129" s="215"/>
      <c r="C129" s="216"/>
      <c r="D129" s="216"/>
      <c r="E129" s="216"/>
      <c r="F129" s="217"/>
    </row>
    <row r="130" spans="1:6" ht="18.75" customHeight="1">
      <c r="A130" s="105"/>
      <c r="B130" s="218"/>
      <c r="C130" s="219"/>
      <c r="D130" s="219"/>
      <c r="E130" s="219"/>
      <c r="F130" s="220"/>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0ED943485DDAB46A37472247ED41786" ma:contentTypeVersion="2" ma:contentTypeDescription="新しいドキュメントを作成します。" ma:contentTypeScope="" ma:versionID="4f9edcd3edd6b2078987ca75b8c9e4eb">
  <xsd:schema xmlns:xsd="http://www.w3.org/2001/XMLSchema" xmlns:xs="http://www.w3.org/2001/XMLSchema" xmlns:p="http://schemas.microsoft.com/office/2006/metadata/properties" xmlns:ns2="86a21e90-36e1-44bf-91b4-ee8eb815992b" targetNamespace="http://schemas.microsoft.com/office/2006/metadata/properties" ma:root="true" ma:fieldsID="0b06b0669ea242755a5eaaff837c92ad" ns2:_="">
    <xsd:import namespace="86a21e90-36e1-44bf-91b4-ee8eb815992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a21e90-36e1-44bf-91b4-ee8eb81599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F43638E-75D4-4E27-8F81-001D880E0D36}"/>
</file>

<file path=customXml/itemProps2.xml><?xml version="1.0" encoding="utf-8"?>
<ds:datastoreItem xmlns:ds="http://schemas.openxmlformats.org/officeDocument/2006/customXml" ds:itemID="{10572247-D47E-412C-8310-21E604D7C93C}"/>
</file>

<file path=customXml/itemProps3.xml><?xml version="1.0" encoding="utf-8"?>
<ds:datastoreItem xmlns:ds="http://schemas.openxmlformats.org/officeDocument/2006/customXml" ds:itemID="{FA3A2FE5-A855-4F55-875C-847A11959D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2022-02-22T10:49:36Z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0x01010060ED943485DDAB46A37472247ED41786</vt:lpwstr>
  </property>
</Properties>
</file>