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24226"/>
  <mc:AlternateContent xmlns:mc="http://schemas.openxmlformats.org/markup-compatibility/2006">
    <mc:Choice Requires="x15">
      <x15ac:absPath xmlns:x15ac="http://schemas.microsoft.com/office/spreadsheetml/2010/11/ac" url="D:\（再）【公立千歳科学技術大学】数理・データサイエンス・AI教育プログラム認定制度申請確認事項\"/>
    </mc:Choice>
  </mc:AlternateContent>
  <xr:revisionPtr revIDLastSave="0" documentId="13_ncr:1_{FD9A66DF-671A-44C3-A5AA-DD1FB32A97AF}" xr6:coauthVersionLast="47" xr6:coauthVersionMax="47" xr10:uidLastSave="{00000000-0000-0000-0000-000000000000}"/>
  <bookViews>
    <workbookView xWindow="-120" yWindow="480" windowWidth="29040" windowHeight="15840" tabRatio="885" activeTab="3" xr2:uid="{00000000-000D-0000-FFFF-FFFF00000000}"/>
  </bookViews>
  <sheets>
    <sheet name="様式１_大学等概要" sheetId="8" r:id="rId1"/>
    <sheet name="様式２_プログラムを構成する授業科目" sheetId="9" r:id="rId2"/>
    <sheet name="様式３_履修者等数の実績" sheetId="31" r:id="rId3"/>
    <sheet name="様式4_プログラムの授業内容・概要" sheetId="34" r:id="rId4"/>
    <sheet name="様式５_教育の質・履修者数を向上させるための体制・計画" sheetId="35" r:id="rId5"/>
    <sheet name="様式６_自己点検・評価" sheetId="36" r:id="rId6"/>
    <sheet name="様式７_特色ある取組" sheetId="29" r:id="rId7"/>
  </sheets>
  <definedNames>
    <definedName name="_xlnm._FilterDatabase" localSheetId="1" hidden="1">様式２_プログラムを構成する授業科目!#REF!</definedName>
    <definedName name="_xlnm._FilterDatabase" localSheetId="2" hidden="1">様式３_履修者等数の実績!#REF!</definedName>
    <definedName name="_xlnm.Print_Area" localSheetId="0">様式１_大学等概要!$A$1:$N$47</definedName>
    <definedName name="_xlnm.Print_Area" localSheetId="1">様式２_プログラムを構成する授業科目!$A$1:$I$44</definedName>
    <definedName name="_xlnm.Print_Area" localSheetId="2">様式３_履修者等数の実績!$A$1:$R$29</definedName>
    <definedName name="_xlnm.Print_Area" localSheetId="3">様式4_プログラムの授業内容・概要!$A$1:$G$144</definedName>
    <definedName name="_xlnm.Print_Area" localSheetId="4">様式５_教育の質・履修者数を向上させるための体制・計画!$A$1:$E$134</definedName>
    <definedName name="_xlnm.Print_Area" localSheetId="5">様式６_自己点検・評価!$A$1:$J$20</definedName>
    <definedName name="_xlnm.Print_Area" localSheetId="6">様式７_特色ある取組!$A$1:$F$130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<sst xmlns="http://schemas.openxmlformats.org/spreadsheetml/2006/main" count="282" uniqueCount="207">
  <si>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</si>
  <si>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</si>
  <si>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</si>
  <si>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</si>
  <si>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</si>
  <si>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</si>
  <si>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</si>
  <si>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</si>
  <si>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</si>
  <si>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</si>
  <si>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</si>
  <si>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</si>
  <si>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</si>
  <si>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</si>
  <si>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</si>
  <si>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</si>
  <si>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</si>
  <si>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</si>
  <si>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</si>
  <si>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</si>
  <si>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</si>
  <si>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</si>
  <si>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</si>
  <si>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</si>
  <si>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</si>
  <si>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</si>
  <si>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</si>
  <si>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</si>
  <si>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</si>
  <si>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</si>
  <si>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</si>
  <si>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</si>
  <si>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</si>
  <si>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</si>
  <si>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</si>
  <si>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</si>
  <si>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</si>
  <si>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</si>
  <si>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</si>
  <si>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</si>
  <si>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</si>
  <si>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</si>
  <si>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</si>
  <si>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</si>
  <si>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</si>
  <si>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</si>
  <si>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</si>
  <si>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</si>
  <si>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</si>
  <si>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</si>
  <si>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</si>
  <si>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</si>
  <si>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</si>
  <si>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</si>
  <si>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</si>
  <si>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</si>
  <si>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</si>
  <si>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</si>
  <si>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</si>
  <si>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</si>
  <si>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</si>
  <si>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</si>
  <si>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</si>
  <si>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</si>
  <si>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</si>
  <si>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</si>
  <si>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</si>
  <si>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</si>
  <si>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</si>
  <si>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</si>
  <si>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</si>
  <si>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</si>
  <si>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</si>
  <si>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</si>
  <si>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</si>
  <si>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</si>
  <si>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</si>
  <si>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</si>
  <si>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</si>
  <si>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</si>
  <si>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</si>
  <si>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</si>
  <si>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</si>
  <si>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</si>
  <si>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</si>
  <si>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</si>
  <si>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</si>
  <si>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</si>
  <si>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</si>
  <si>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</si>
  <si>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</si>
  <si>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</si>
  <si>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</si>
  <si>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</si>
  <si>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</si>
  <si>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</si>
  <si>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</si>
  <si>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</si>
  <si>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</si>
  <si>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</si>
  <si>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</si>
  <si>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</si>
  <si>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</si>
  <si>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</si>
  <si>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</si>
  <si>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</si>
  <si>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</si>
  <si>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</si>
  <si>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</si>
  <si>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</si>
  <si>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</si>
  <si>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</si>
  <si>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</si>
  <si>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</si>
  <si>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</si>
  <si>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</si>
  <si>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</si>
  <si>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</si>
  <si>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</si>
  <si>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</si>
  <si>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</si>
  <si>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</si>
  <si>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</si>
  <si>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</si>
  <si>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1" eb="3">
      <t>ガクブ</t>
    </rPh>
    <rPh sb="4" eb="6">
      <t>ガッカ</t>
    </rPh>
    <rPh sb="7" eb="9">
      <t>ニュウガク</t>
    </rPh>
    <rPh sb="9" eb="11">
      <t>テイイン</t>
    </rPh>
    <phoneticPr fontId="1"/>
  </si>
  <si>
    <t>全学部・学科の学生数（学年別）</t>
    <rPh sb="0" eb="1">
      <t>ゼン</t>
    </rPh>
    <rPh sb="1" eb="3">
      <t>ガクブ</t>
    </rPh>
    <rPh sb="4" eb="6">
      <t>ガッカ</t>
    </rPh>
    <rPh sb="7" eb="10">
      <t>ガクセイスウ</t>
    </rPh>
    <rPh sb="11" eb="13">
      <t>ガクネン</t>
    </rPh>
    <rPh sb="13" eb="14">
      <t>ベツ</t>
    </rPh>
    <phoneticPr fontId="1"/>
  </si>
  <si>
    <t>申請するプログラム又は授業科目名称</t>
    <rPh sb="0" eb="2">
      <t>シンセイ</t>
    </rPh>
    <rPh sb="9" eb="10">
      <t>マタ</t>
    </rPh>
    <rPh sb="11" eb="13">
      <t>ジュギョウ</t>
    </rPh>
    <rPh sb="13" eb="15">
      <t>カモク</t>
    </rPh>
    <rPh sb="15" eb="17">
      <t>メイショウ</t>
    </rPh>
    <phoneticPr fontId="1"/>
  </si>
  <si>
    <t>⑮連絡先</t>
    <rPh sb="1" eb="4">
      <t>レンラクサキ</t>
    </rPh>
    <phoneticPr fontId="1"/>
  </si>
  <si>
    <t>学部・学科等名称</t>
    <rPh sb="0" eb="2">
      <t>ガクブ</t>
    </rPh>
    <rPh sb="3" eb="5">
      <t>ガッカ</t>
    </rPh>
    <rPh sb="5" eb="6">
      <t>トウ</t>
    </rPh>
    <rPh sb="6" eb="8">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</si>
  <si>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</si>
  <si>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</si>
  <si>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</si>
  <si>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</si>
  <si>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公立千歳科学技術大学</t>
    <rPh sb="0" eb="2">
      <t>コウリツ</t>
    </rPh>
    <rPh sb="2" eb="4">
      <t>チトセ</t>
    </rPh>
    <rPh sb="4" eb="6">
      <t>カガク</t>
    </rPh>
    <rPh sb="6" eb="8">
      <t>ギジュツ</t>
    </rPh>
    <rPh sb="8" eb="10">
      <t>ダイガク</t>
    </rPh>
    <phoneticPr fontId="1"/>
  </si>
  <si>
    <t>公立大学法人公立千歳科学技術大学</t>
    <rPh sb="0" eb="2">
      <t>コウリツ</t>
    </rPh>
    <rPh sb="2" eb="4">
      <t>ダイガク</t>
    </rPh>
    <rPh sb="4" eb="6">
      <t>ホウジン</t>
    </rPh>
    <rPh sb="6" eb="8">
      <t>コウリツ</t>
    </rPh>
    <rPh sb="8" eb="10">
      <t>チトセ</t>
    </rPh>
    <rPh sb="10" eb="12">
      <t>カガク</t>
    </rPh>
    <rPh sb="12" eb="14">
      <t>ギジュツ</t>
    </rPh>
    <rPh sb="14" eb="16">
      <t>ダイガク</t>
    </rPh>
    <phoneticPr fontId="1"/>
  </si>
  <si>
    <t>公立大学</t>
  </si>
  <si>
    <t>北海道千歳市美々７５８番地６５</t>
    <rPh sb="0" eb="3">
      <t>ホッカイドウ</t>
    </rPh>
    <rPh sb="3" eb="6">
      <t>チトセシ</t>
    </rPh>
    <rPh sb="6" eb="8">
      <t>ビビ</t>
    </rPh>
    <rPh sb="11" eb="13">
      <t>バンチ</t>
    </rPh>
    <phoneticPr fontId="1"/>
  </si>
  <si>
    <t>公立千歳科学技術大学数理・データサイエンス・ＡＩ教育プログラム推進委員会</t>
    <phoneticPr fontId="1"/>
  </si>
  <si>
    <t>副学長</t>
    <rPh sb="0" eb="3">
      <t>フクガクチョウ</t>
    </rPh>
    <phoneticPr fontId="1"/>
  </si>
  <si>
    <t>情報メディアセンター長</t>
    <rPh sb="0" eb="2">
      <t>ジョウホウ</t>
    </rPh>
    <rPh sb="10" eb="11">
      <t>チョウ</t>
    </rPh>
    <phoneticPr fontId="1"/>
  </si>
  <si>
    <t>公立千歳科学技術大学IR委員会</t>
    <phoneticPr fontId="1"/>
  </si>
  <si>
    <t>学長</t>
    <rPh sb="0" eb="2">
      <t>ガクチョウ</t>
    </rPh>
    <phoneticPr fontId="1"/>
  </si>
  <si>
    <t>認定教育プログラムと認定教育プログラム+（プラス）</t>
  </si>
  <si>
    <t>学生支援課</t>
    <rPh sb="0" eb="2">
      <t>ガクセイ</t>
    </rPh>
    <rPh sb="2" eb="4">
      <t>シエン</t>
    </rPh>
    <rPh sb="4" eb="5">
      <t>カ</t>
    </rPh>
    <phoneticPr fontId="1"/>
  </si>
  <si>
    <t>kyougaku@photon.chitose.ac.jp</t>
    <phoneticPr fontId="1"/>
  </si>
  <si>
    <t>0123-27-6065</t>
    <phoneticPr fontId="1"/>
  </si>
  <si>
    <t>情報学基礎演習</t>
    <rPh sb="0" eb="7">
      <t>ジョウホウガクキソエンシュウ</t>
    </rPh>
    <phoneticPr fontId="1"/>
  </si>
  <si>
    <t>情報化社会とＩＣＴ（１５）</t>
    <rPh sb="0" eb="3">
      <t>ジョウホウカ</t>
    </rPh>
    <rPh sb="3" eb="5">
      <t>シャカイ</t>
    </rPh>
    <phoneticPr fontId="1"/>
  </si>
  <si>
    <t>情報技術概論</t>
    <rPh sb="0" eb="4">
      <t>ジョウホウギジュツ</t>
    </rPh>
    <rPh sb="4" eb="6">
      <t>ガイロン</t>
    </rPh>
    <phoneticPr fontId="1"/>
  </si>
  <si>
    <t>最新の情報科学入門（１１）</t>
    <rPh sb="0" eb="2">
      <t>サイシン</t>
    </rPh>
    <rPh sb="3" eb="7">
      <t>ジョウホウカガク</t>
    </rPh>
    <rPh sb="7" eb="9">
      <t>ニュウモン</t>
    </rPh>
    <phoneticPr fontId="1"/>
  </si>
  <si>
    <t>現代社会におけるデータサイエンス（１）</t>
    <rPh sb="0" eb="4">
      <t>ゲンダイシャカイ</t>
    </rPh>
    <phoneticPr fontId="1"/>
  </si>
  <si>
    <t>情報学基礎演習</t>
    <rPh sb="0" eb="3">
      <t>ジョウホウガク</t>
    </rPh>
    <rPh sb="3" eb="7">
      <t>キソエンシュウ</t>
    </rPh>
    <phoneticPr fontId="1"/>
  </si>
  <si>
    <t>情報検索とデータ収集（３）</t>
    <rPh sb="0" eb="2">
      <t>ジョウホウ</t>
    </rPh>
    <rPh sb="2" eb="4">
      <t>ケンサク</t>
    </rPh>
    <rPh sb="8" eb="10">
      <t>シュウシュウ</t>
    </rPh>
    <phoneticPr fontId="1"/>
  </si>
  <si>
    <t>情報モラル（４）、情報セキュリティと情報モラル（１２）</t>
    <rPh sb="0" eb="2">
      <t>ジョウホウ</t>
    </rPh>
    <rPh sb="9" eb="11">
      <t>ジョウホウ</t>
    </rPh>
    <rPh sb="18" eb="20">
      <t>ジョウホウ</t>
    </rPh>
    <phoneticPr fontId="1"/>
  </si>
  <si>
    <t>表計算ソフトによるデータ分析（２～１５）</t>
    <rPh sb="0" eb="3">
      <t>ヒョウケイサン</t>
    </rPh>
    <rPh sb="12" eb="14">
      <t>ブンセキ</t>
    </rPh>
    <phoneticPr fontId="1"/>
  </si>
  <si>
    <t>公立千歳科学技術大学</t>
    <rPh sb="0" eb="10">
      <t>コウリツチトセカガクギジュツダイガク</t>
    </rPh>
    <phoneticPr fontId="1"/>
  </si>
  <si>
    <t>学部・学科によって、修了要件は相違しない</t>
  </si>
  <si>
    <t>数理・データサイエンス・AI教育プログラム（リテラシーレベル）</t>
    <rPh sb="14" eb="16">
      <t>キョウイク</t>
    </rPh>
    <phoneticPr fontId="1"/>
  </si>
  <si>
    <t>人</t>
    <phoneticPr fontId="1"/>
  </si>
  <si>
    <t>山中明生</t>
    <rPh sb="0" eb="2">
      <t>ヤマナカ</t>
    </rPh>
    <rPh sb="2" eb="3">
      <t>ア</t>
    </rPh>
    <rPh sb="3" eb="4">
      <t>セイ</t>
    </rPh>
    <phoneticPr fontId="1"/>
  </si>
  <si>
    <t>小松川浩</t>
    <rPh sb="0" eb="3">
      <t>コマツガワ</t>
    </rPh>
    <rPh sb="3" eb="4">
      <t>ヒロシ</t>
    </rPh>
    <phoneticPr fontId="1"/>
  </si>
  <si>
    <t>宮永喜一</t>
    <rPh sb="0" eb="2">
      <t>ミヤナガ</t>
    </rPh>
    <rPh sb="2" eb="4">
      <t>ヨシカズ</t>
    </rPh>
    <phoneticPr fontId="1"/>
  </si>
  <si>
    <t>高杉雅史</t>
    <rPh sb="0" eb="2">
      <t>タカスギ</t>
    </rPh>
    <rPh sb="2" eb="4">
      <t>マサシ</t>
    </rPh>
    <phoneticPr fontId="1"/>
  </si>
  <si>
    <t>様式２</t>
    <rPh sb="0" eb="2">
      <t>ヨウシキ</t>
    </rPh>
    <phoneticPr fontId="1"/>
  </si>
  <si>
    <t>データサイエンス</t>
    <phoneticPr fontId="1"/>
  </si>
  <si>
    <t>様式４</t>
    <rPh sb="0" eb="2">
      <t>ヨウシキ</t>
    </rPh>
    <phoneticPr fontId="1"/>
  </si>
  <si>
    <t>表の概念・数式入力・関数・グラフ（７）、データ分析の実践（８）、データベース処理（９）</t>
    <rPh sb="0" eb="1">
      <t>ヒョウ</t>
    </rPh>
    <rPh sb="2" eb="4">
      <t>ガイネン</t>
    </rPh>
    <rPh sb="5" eb="7">
      <t>スウシキ</t>
    </rPh>
    <rPh sb="7" eb="9">
      <t>ニュウリョク</t>
    </rPh>
    <rPh sb="10" eb="12">
      <t>カンスウ</t>
    </rPh>
    <rPh sb="23" eb="25">
      <t>ブンセキ</t>
    </rPh>
    <rPh sb="26" eb="28">
      <t>ジッセン</t>
    </rPh>
    <rPh sb="38" eb="40">
      <t>ショリ</t>
    </rPh>
    <phoneticPr fontId="1"/>
  </si>
  <si>
    <t>」</t>
    <phoneticPr fontId="1"/>
  </si>
  <si>
    <t>公立千歳科学技術大学数理・データサイエンス・ＡＩ教育プログラム推進委員会要綱</t>
    <rPh sb="36" eb="38">
      <t>ヨウコウ</t>
    </rPh>
    <phoneticPr fontId="1"/>
  </si>
  <si>
    <t xml:space="preserve">
学部長　教授　山中明生
研究科長　教授　大越研人
学生支援・教育センター長　教授　谷尾宣久
情報システム工学科　教授　今井順一
情報メディアセンター長　教授　小松川浩
応用化学生物学科　准教授　梅村信弘
電子光工学科　准教授　青木広宙
情報システム工学科　准教授　萩原茂樹
共通教育科　助教　本多俊一</t>
    <rPh sb="1" eb="4">
      <t>ガクブチョウ</t>
    </rPh>
    <rPh sb="5" eb="7">
      <t>キョウジュ</t>
    </rPh>
    <rPh sb="18" eb="20">
      <t>キョウジュ</t>
    </rPh>
    <rPh sb="26" eb="28">
      <t>ガクセイ</t>
    </rPh>
    <rPh sb="28" eb="30">
      <t>シエン</t>
    </rPh>
    <rPh sb="31" eb="33">
      <t>キョウイク</t>
    </rPh>
    <rPh sb="37" eb="38">
      <t>チョウ</t>
    </rPh>
    <rPh sb="39" eb="41">
      <t>キョウジュ</t>
    </rPh>
    <rPh sb="65" eb="67">
      <t>ジョウホウ</t>
    </rPh>
    <rPh sb="75" eb="76">
      <t>チョウ</t>
    </rPh>
    <rPh sb="77" eb="79">
      <t>キョウジュ</t>
    </rPh>
    <phoneticPr fontId="1"/>
  </si>
  <si>
    <t xml:space="preserve">
数理・データサイエンス・ＡＩによって、社会および日常生活が大きく変化している事を知り、新たなサービスおよびビジネスについて学ぶ。最新のＡＩ技術の活用例を知ることにより、現在のＡＩで出来ること、出来ないことを理解する。上記の学修を通して、現代社会以降（Society4.0，Society5.0～）の理工学系人材にとって、数理・データサイエンス・ＡＩ技術が必須スキルである事を理解し、その価値を説明出来るようになる。</t>
    <phoneticPr fontId="1"/>
  </si>
  <si>
    <t xml:space="preserve">
データを読み解く上で、ドメイン知識が重要であることを理解し、理工学分野におけるデータの集計・加工・分析をする方法を学ぶ。データの種類と表計算ソフトの利用方法を理解し、代表値の適切な解釈と可視化が出来るようになる。
２０２０年度開講の情報学基礎演習では、北海道胆振東部地震のブラックアウト前後における人流データの分析などを行った。２０２０年度開講のデータサイエンスでは、統計基礎と表計算ソフトでの実装を１４回の授業で実施した。</t>
    <rPh sb="27" eb="29">
      <t>リカイ</t>
    </rPh>
    <rPh sb="31" eb="36">
      <t>リコウガクブンヤ</t>
    </rPh>
    <rPh sb="55" eb="57">
      <t>ホウホウ</t>
    </rPh>
    <rPh sb="58" eb="59">
      <t>マナ</t>
    </rPh>
    <rPh sb="65" eb="67">
      <t>シュルイ</t>
    </rPh>
    <rPh sb="68" eb="71">
      <t>ヒョウケイサン</t>
    </rPh>
    <rPh sb="75" eb="79">
      <t>リヨウホウホウ</t>
    </rPh>
    <rPh sb="80" eb="82">
      <t>リカイ</t>
    </rPh>
    <rPh sb="88" eb="90">
      <t>テキセツ</t>
    </rPh>
    <rPh sb="94" eb="97">
      <t>カシカ</t>
    </rPh>
    <rPh sb="98" eb="100">
      <t>デキ</t>
    </rPh>
    <rPh sb="113" eb="115">
      <t>ネンド</t>
    </rPh>
    <rPh sb="115" eb="117">
      <t>カイコウ</t>
    </rPh>
    <rPh sb="118" eb="120">
      <t>ジョウホウ</t>
    </rPh>
    <rPh sb="120" eb="121">
      <t>ガク</t>
    </rPh>
    <rPh sb="121" eb="125">
      <t>キソエンシュウ</t>
    </rPh>
    <rPh sb="145" eb="147">
      <t>ゼンゴ</t>
    </rPh>
    <rPh sb="151" eb="153">
      <t>ジンリュウ</t>
    </rPh>
    <rPh sb="157" eb="159">
      <t>ブンセキ</t>
    </rPh>
    <rPh sb="162" eb="163">
      <t>オコナ</t>
    </rPh>
    <phoneticPr fontId="1"/>
  </si>
  <si>
    <t xml:space="preserve">
理工系人材の教養として、社会における数理・データサイエンス・ＡＩの役割を理解し、実践的なデータ活用技術を身に付けられる。具体的には、技術者倫理やデータ倫理に基づき、ドメイン分野（応用化学生物学、電子光工学、情報システム工学）において、データの集計・加工・分析が出来るようになる。これらの基礎として、統計および数理基礎・アルゴリズム基礎・プログラミング基礎のスキルを身に付けられる。</t>
    <rPh sb="1" eb="3">
      <t>リコウ</t>
    </rPh>
    <rPh sb="3" eb="4">
      <t>ケイ</t>
    </rPh>
    <rPh sb="4" eb="6">
      <t>ジンザイ</t>
    </rPh>
    <rPh sb="7" eb="9">
      <t>キョウヨウ</t>
    </rPh>
    <rPh sb="13" eb="15">
      <t>シャカイ</t>
    </rPh>
    <rPh sb="19" eb="21">
      <t>スウリ</t>
    </rPh>
    <rPh sb="34" eb="36">
      <t>ヤクワリ</t>
    </rPh>
    <rPh sb="37" eb="39">
      <t>リカイ</t>
    </rPh>
    <rPh sb="41" eb="44">
      <t>ジッセンテキ</t>
    </rPh>
    <rPh sb="48" eb="50">
      <t>カツヨウ</t>
    </rPh>
    <rPh sb="50" eb="52">
      <t>ギジュツ</t>
    </rPh>
    <rPh sb="53" eb="54">
      <t>ミ</t>
    </rPh>
    <rPh sb="55" eb="56">
      <t>ツ</t>
    </rPh>
    <rPh sb="61" eb="64">
      <t>グタイテキ</t>
    </rPh>
    <rPh sb="67" eb="72">
      <t>ギジュツシャリンリ</t>
    </rPh>
    <rPh sb="76" eb="78">
      <t>リンリ</t>
    </rPh>
    <rPh sb="87" eb="89">
      <t>ブンヤ</t>
    </rPh>
    <rPh sb="122" eb="124">
      <t>シュウケイ</t>
    </rPh>
    <rPh sb="125" eb="127">
      <t>カコウ</t>
    </rPh>
    <rPh sb="128" eb="130">
      <t>ブンセキ</t>
    </rPh>
    <rPh sb="131" eb="133">
      <t>デキ</t>
    </rPh>
    <rPh sb="144" eb="146">
      <t>キソ</t>
    </rPh>
    <rPh sb="150" eb="152">
      <t>トウケイ</t>
    </rPh>
    <rPh sb="155" eb="159">
      <t>スウリキソ</t>
    </rPh>
    <rPh sb="166" eb="168">
      <t>キソ</t>
    </rPh>
    <rPh sb="176" eb="178">
      <t>キソ</t>
    </rPh>
    <rPh sb="183" eb="184">
      <t>ミ</t>
    </rPh>
    <rPh sb="185" eb="186">
      <t>ツ</t>
    </rPh>
    <phoneticPr fontId="1"/>
  </si>
  <si>
    <t xml:space="preserve">
プログラムを構成する「コア科目群（下記１～３）」から６単位、「選択科目群（下記４～８）」から４単位以上を取得すること。</t>
    <rPh sb="7" eb="9">
      <t>コウセイ</t>
    </rPh>
    <rPh sb="14" eb="16">
      <t>カモク</t>
    </rPh>
    <rPh sb="16" eb="17">
      <t>グン</t>
    </rPh>
    <rPh sb="18" eb="20">
      <t>カキ</t>
    </rPh>
    <rPh sb="28" eb="30">
      <t>タンイ</t>
    </rPh>
    <rPh sb="32" eb="34">
      <t>センタク</t>
    </rPh>
    <rPh sb="36" eb="37">
      <t>グン</t>
    </rPh>
    <rPh sb="48" eb="50">
      <t>タンイ</t>
    </rPh>
    <rPh sb="50" eb="52">
      <t>イジョウ</t>
    </rPh>
    <rPh sb="53" eb="55">
      <t>シュトク</t>
    </rPh>
    <phoneticPr fontId="1"/>
  </si>
  <si>
    <t xml:space="preserve">
委員会は、公立千歳科学技術大学の数理・データサイエンス・ＡＩ教育プログラムの教育内容の改善、進化を図ることを目的とする。</t>
    <rPh sb="1" eb="4">
      <t>イインカイ</t>
    </rPh>
    <rPh sb="17" eb="19">
      <t>スウリ</t>
    </rPh>
    <rPh sb="31" eb="33">
      <t>キョウイク</t>
    </rPh>
    <rPh sb="39" eb="41">
      <t>キョウイク</t>
    </rPh>
    <rPh sb="41" eb="43">
      <t>ナイヨウ</t>
    </rPh>
    <rPh sb="44" eb="46">
      <t>カイゼン</t>
    </rPh>
    <rPh sb="47" eb="49">
      <t>シンカ</t>
    </rPh>
    <rPh sb="50" eb="51">
      <t>ハカ</t>
    </rPh>
    <rPh sb="55" eb="57">
      <t>モクテキ</t>
    </rPh>
    <phoneticPr fontId="1"/>
  </si>
  <si>
    <t xml:space="preserve">
学生支援・教育センターが設置する修学支援室に数理系の専任教員を配置し、数学系科目及びデータ解析系科目での学修支援を実施している。上記専任教員は、本プログラムを構成する授業科目を担当しており、授業と授業外での学修を繋ぐ学修支援を実現している。また、内製のＬＭＳを利用した質問対応も実施している。</t>
    <rPh sb="80" eb="82">
      <t>コウセイ</t>
    </rPh>
    <rPh sb="84" eb="86">
      <t>ジュギョウ</t>
    </rPh>
    <rPh sb="114" eb="116">
      <t>ジツゲン</t>
    </rPh>
    <rPh sb="124" eb="126">
      <t>ナイセイ</t>
    </rPh>
    <rPh sb="131" eb="133">
      <t>リヨウ</t>
    </rPh>
    <rPh sb="135" eb="139">
      <t>シツモンタイオウ</t>
    </rPh>
    <rPh sb="140" eb="142">
      <t>ジッシカモクタントウジュギョウケイケンキュウシツレンケイスウガクカンベツEラーニングキョウザイセイビタイオウネンジキョウイクEラーニングキョウザイジッシシュウトクデキ</t>
    </rPh>
    <phoneticPr fontId="1"/>
  </si>
  <si>
    <t xml:space="preserve">
全学生が履修・修得出来るようなサポート体制として、学生支援・教育センターが設置する修学支援室に数理系の専任教員を配置し、数学系科目及びデータ解析系科目での学修支援を実施している。また、情報メディアセンターでは、ＡＩ系の研究室と連携し、数学、プログラミングに関するレベル別のｅラーニング教材を整備している。高校での履修状況の多様化に対応し、入学前教育及び１年次教育での補習授業、自習をｅラーニング教材を活用して実施しており、全学生が安心して履修・修得出来る体制を整えている。</t>
    <rPh sb="1" eb="2">
      <t>スベ</t>
    </rPh>
    <rPh sb="2" eb="4">
      <t>ガクセイ</t>
    </rPh>
    <rPh sb="5" eb="7">
      <t>リシュウ</t>
    </rPh>
    <rPh sb="8" eb="10">
      <t>シュウトク</t>
    </rPh>
    <rPh sb="10" eb="12">
      <t>デキ</t>
    </rPh>
    <rPh sb="20" eb="22">
      <t>タイセイ</t>
    </rPh>
    <rPh sb="38" eb="40">
      <t>セッチ</t>
    </rPh>
    <rPh sb="78" eb="80">
      <t>ガクシュウ</t>
    </rPh>
    <rPh sb="83" eb="85">
      <t>ジッシ</t>
    </rPh>
    <rPh sb="108" eb="109">
      <t>ケイ</t>
    </rPh>
    <rPh sb="110" eb="113">
      <t>ケンキュウシツ</t>
    </rPh>
    <rPh sb="114" eb="116">
      <t>レンケイ</t>
    </rPh>
    <rPh sb="118" eb="120">
      <t>スウガク</t>
    </rPh>
    <rPh sb="129" eb="130">
      <t>カン</t>
    </rPh>
    <rPh sb="135" eb="136">
      <t>ベツ</t>
    </rPh>
    <rPh sb="137" eb="145">
      <t>Eラーニングキョウザイ</t>
    </rPh>
    <rPh sb="146" eb="148">
      <t>セイビ</t>
    </rPh>
    <rPh sb="166" eb="168">
      <t>タイオウ</t>
    </rPh>
    <rPh sb="178" eb="180">
      <t>ネンジ</t>
    </rPh>
    <rPh sb="180" eb="182">
      <t>キョウイク</t>
    </rPh>
    <rPh sb="192" eb="200">
      <t>Eラーニングキョウザイ</t>
    </rPh>
    <rPh sb="205" eb="207">
      <t>ジッシ</t>
    </rPh>
    <rPh sb="223" eb="225">
      <t>シュウトク</t>
    </rPh>
    <rPh sb="225" eb="227">
      <t>デキ</t>
    </rPh>
    <phoneticPr fontId="1"/>
  </si>
  <si>
    <t xml:space="preserve">
本学では、IR委員会を中心に様々なデータ（全科目の出席状況、成績分布（取得状況）、到達目標の設定と振り返り、授業評価アンケート等）を収集及び分析し、企画連絡会議（各部局長以上が参会する会議）において最終評価を行う。本プログラムを構成する授業科目の評価ついては、企画連絡会議を経由して数理・データサイエンス・AI教育プログラム推進委員会にフィードバックされ、本プログラムの改善を実施する。また、本プログラムを構成する授業科目は共通教育で実施される為、共通教育科とも密な連携を図る。</t>
    <rPh sb="1" eb="3">
      <t>ホンガク</t>
    </rPh>
    <rPh sb="8" eb="11">
      <t>イインカイ</t>
    </rPh>
    <rPh sb="12" eb="14">
      <t>チュウシン</t>
    </rPh>
    <rPh sb="15" eb="17">
      <t>サマザマ</t>
    </rPh>
    <rPh sb="26" eb="28">
      <t>シュッセキ</t>
    </rPh>
    <rPh sb="28" eb="30">
      <t>ジョウキョウ</t>
    </rPh>
    <rPh sb="31" eb="33">
      <t>セイセキ</t>
    </rPh>
    <rPh sb="33" eb="35">
      <t>ブンプ</t>
    </rPh>
    <rPh sb="36" eb="38">
      <t>シュトク</t>
    </rPh>
    <rPh sb="38" eb="40">
      <t>ジョウキョウ</t>
    </rPh>
    <rPh sb="55" eb="57">
      <t>ジュギョウ</t>
    </rPh>
    <rPh sb="57" eb="59">
      <t>ヒョウカ</t>
    </rPh>
    <rPh sb="64" eb="65">
      <t>ナド</t>
    </rPh>
    <rPh sb="67" eb="69">
      <t>シュウシュウ</t>
    </rPh>
    <rPh sb="69" eb="70">
      <t>オヨ</t>
    </rPh>
    <rPh sb="71" eb="73">
      <t>ブンセキ</t>
    </rPh>
    <rPh sb="75" eb="77">
      <t>キカク</t>
    </rPh>
    <rPh sb="77" eb="79">
      <t>レンラク</t>
    </rPh>
    <rPh sb="79" eb="81">
      <t>カイギ</t>
    </rPh>
    <rPh sb="100" eb="102">
      <t>サイシュウ</t>
    </rPh>
    <rPh sb="102" eb="104">
      <t>ヒョウカ</t>
    </rPh>
    <rPh sb="105" eb="106">
      <t>オコナ</t>
    </rPh>
    <rPh sb="108" eb="109">
      <t>ホン</t>
    </rPh>
    <rPh sb="124" eb="126">
      <t>ヒョウカ</t>
    </rPh>
    <rPh sb="129" eb="131">
      <t>キカク</t>
    </rPh>
    <rPh sb="131" eb="133">
      <t>カイギ</t>
    </rPh>
    <rPh sb="133" eb="135">
      <t>レンラク</t>
    </rPh>
    <rPh sb="135" eb="137">
      <t>ケイユ</t>
    </rPh>
    <rPh sb="154" eb="156">
      <t>キョウイク</t>
    </rPh>
    <rPh sb="156" eb="158">
      <t>スイシン</t>
    </rPh>
    <rPh sb="163" eb="166">
      <t>イインカイ</t>
    </rPh>
    <rPh sb="167" eb="168">
      <t>ワタ</t>
    </rPh>
    <rPh sb="187" eb="188">
      <t>ハカ</t>
    </rPh>
    <rPh sb="189" eb="191">
      <t>ジッシ</t>
    </rPh>
    <rPh sb="197" eb="198">
      <t>ホン</t>
    </rPh>
    <rPh sb="204" eb="206">
      <t>コウセイ</t>
    </rPh>
    <rPh sb="208" eb="210">
      <t>ジュギョウ</t>
    </rPh>
    <rPh sb="210" eb="212">
      <t>カモク</t>
    </rPh>
    <rPh sb="213" eb="215">
      <t>キバン</t>
    </rPh>
    <rPh sb="216" eb="217">
      <t>フク</t>
    </rPh>
    <rPh sb="225" eb="226">
      <t>カ</t>
    </rPh>
    <rPh sb="227" eb="229">
      <t>キョウイク</t>
    </rPh>
    <rPh sb="232" eb="233">
      <t>ミツ</t>
    </rPh>
    <rPh sb="234" eb="236">
      <t>レンケイ</t>
    </rPh>
    <rPh sb="237" eb="238">
      <t>ハカ</t>
    </rPh>
    <phoneticPr fontId="1"/>
  </si>
  <si>
    <t xml:space="preserve">
本プログラム導入に際して、数理・データサイエンス教育検討WG（数理・データサイエンス・ＡＩ教育プログラム推進委員会の前身）と企画連絡会議（各部局長以上が参会する会議）での検討を経て、全学的なカリキュラム改訂を行った。共通教育の期間を１年から１年半へと拡充し、数理・データサイエンス・ＡＩ系の必修科目として「プログラミングとアルゴリズム基礎（２年前期）」と「データサイエンス入門（２年前期）」を新設した。これにより、２年次以降の学科配属に関係なく全ての学生がリテラシーレベルの数理・データサイエンス・ＡＩ技術を習得する体制とした。上記体制での実施により、各学科（応用化学生物学科、電子光工学科、情報システム工学科）における応用基礎レベルの数理・データサイエンス・ＡＩ教育への接続も実現している。</t>
    <rPh sb="1" eb="2">
      <t>ホン</t>
    </rPh>
    <rPh sb="7" eb="9">
      <t>ドウニュウ</t>
    </rPh>
    <rPh sb="10" eb="11">
      <t>サイ</t>
    </rPh>
    <rPh sb="14" eb="16">
      <t>スウリ</t>
    </rPh>
    <rPh sb="25" eb="27">
      <t>キョウイク</t>
    </rPh>
    <rPh sb="27" eb="29">
      <t>ケントウ</t>
    </rPh>
    <rPh sb="32" eb="34">
      <t>スウリ</t>
    </rPh>
    <rPh sb="46" eb="48">
      <t>キョウイク</t>
    </rPh>
    <rPh sb="53" eb="58">
      <t>スイシンイインカイ</t>
    </rPh>
    <rPh sb="59" eb="61">
      <t>ゼンシン</t>
    </rPh>
    <rPh sb="63" eb="65">
      <t>キカク</t>
    </rPh>
    <rPh sb="65" eb="67">
      <t>レンラク</t>
    </rPh>
    <rPh sb="67" eb="69">
      <t>カイギ</t>
    </rPh>
    <rPh sb="70" eb="71">
      <t>カク</t>
    </rPh>
    <rPh sb="71" eb="74">
      <t>ブキョクチョウ</t>
    </rPh>
    <rPh sb="74" eb="76">
      <t>イジョウ</t>
    </rPh>
    <rPh sb="77" eb="79">
      <t>サンカイ</t>
    </rPh>
    <rPh sb="81" eb="83">
      <t>カイギ</t>
    </rPh>
    <rPh sb="86" eb="88">
      <t>ケントウ</t>
    </rPh>
    <rPh sb="89" eb="90">
      <t>ヘ</t>
    </rPh>
    <rPh sb="92" eb="95">
      <t>ゼンガクテキ</t>
    </rPh>
    <rPh sb="102" eb="104">
      <t>カイテイ</t>
    </rPh>
    <rPh sb="105" eb="106">
      <t>オコナ</t>
    </rPh>
    <rPh sb="109" eb="113">
      <t>キョウツウキョウイク</t>
    </rPh>
    <rPh sb="114" eb="116">
      <t>キカン</t>
    </rPh>
    <rPh sb="126" eb="128">
      <t>カクジュウ</t>
    </rPh>
    <rPh sb="130" eb="132">
      <t>スウリ</t>
    </rPh>
    <rPh sb="144" eb="145">
      <t>ケイ</t>
    </rPh>
    <rPh sb="146" eb="150">
      <t>ヒッシュウカモク</t>
    </rPh>
    <rPh sb="172" eb="173">
      <t>ネン</t>
    </rPh>
    <rPh sb="173" eb="175">
      <t>ゼンキ</t>
    </rPh>
    <rPh sb="197" eb="199">
      <t>シンセツ</t>
    </rPh>
    <rPh sb="209" eb="213">
      <t>ネンジイコウ</t>
    </rPh>
    <rPh sb="214" eb="216">
      <t>ガッカ</t>
    </rPh>
    <rPh sb="216" eb="218">
      <t>ハイゾク</t>
    </rPh>
    <rPh sb="219" eb="221">
      <t>カンケイ</t>
    </rPh>
    <rPh sb="223" eb="224">
      <t>スベ</t>
    </rPh>
    <rPh sb="226" eb="228">
      <t>ガクセイ</t>
    </rPh>
    <rPh sb="238" eb="240">
      <t>スウリ</t>
    </rPh>
    <rPh sb="252" eb="254">
      <t>ギジュツ</t>
    </rPh>
    <rPh sb="255" eb="257">
      <t>シュウトク</t>
    </rPh>
    <rPh sb="259" eb="261">
      <t>タイセイ</t>
    </rPh>
    <rPh sb="265" eb="267">
      <t>ジョウキ</t>
    </rPh>
    <rPh sb="267" eb="269">
      <t>タイセイ</t>
    </rPh>
    <rPh sb="271" eb="273">
      <t>ジッシ</t>
    </rPh>
    <rPh sb="277" eb="278">
      <t>カク</t>
    </rPh>
    <rPh sb="278" eb="280">
      <t>ガッカ</t>
    </rPh>
    <rPh sb="281" eb="285">
      <t>オウヨウカガク</t>
    </rPh>
    <rPh sb="285" eb="287">
      <t>セイブツ</t>
    </rPh>
    <rPh sb="287" eb="289">
      <t>ガッカ</t>
    </rPh>
    <rPh sb="290" eb="292">
      <t>デンシ</t>
    </rPh>
    <rPh sb="292" eb="293">
      <t>ヒカリ</t>
    </rPh>
    <rPh sb="297" eb="299">
      <t>ジョウホウ</t>
    </rPh>
    <rPh sb="303" eb="306">
      <t>コウガクカ</t>
    </rPh>
    <rPh sb="319" eb="321">
      <t>スウリ</t>
    </rPh>
    <rPh sb="333" eb="335">
      <t>キョウイク</t>
    </rPh>
    <rPh sb="337" eb="339">
      <t>セツゾク</t>
    </rPh>
    <rPh sb="340" eb="342">
      <t>ジツゲン</t>
    </rPh>
    <phoneticPr fontId="1"/>
  </si>
  <si>
    <t xml:space="preserve">
本プログラムを構成する授業科目の学修成果は、数理・データサイエンス・AI教育プログラム推進委員会にフィードバックされ、同委員会において自己点検、評価を行う。これにより、次年度以降の改善を図る。本プログラムは、各学科（応用化学生物学科、電子光工学科、情報システム工学科）教育との接続を重視している為、数理・データサイエンス・AI教育プログラム推進委員会には各学科の代表が参画している。学科教育との接続も含めて学修成果の評価を行い、評価結果をIR委員会に提出する。その後、企画連絡会議において最終評価を行い、改善及び予算化を含めた措置を図る。</t>
    <rPh sb="1" eb="2">
      <t>ホン</t>
    </rPh>
    <rPh sb="8" eb="10">
      <t>コウセイ</t>
    </rPh>
    <rPh sb="12" eb="14">
      <t>ジュギョウ</t>
    </rPh>
    <rPh sb="14" eb="16">
      <t>カモク</t>
    </rPh>
    <rPh sb="17" eb="19">
      <t>ガクシュウ</t>
    </rPh>
    <rPh sb="19" eb="21">
      <t>セイカ</t>
    </rPh>
    <rPh sb="23" eb="25">
      <t>スウリ</t>
    </rPh>
    <rPh sb="37" eb="39">
      <t>キョウイク</t>
    </rPh>
    <rPh sb="60" eb="61">
      <t>ドウ</t>
    </rPh>
    <rPh sb="61" eb="63">
      <t>ガクシュウ</t>
    </rPh>
    <rPh sb="68" eb="70">
      <t>ヒョウカ</t>
    </rPh>
    <rPh sb="71" eb="72">
      <t>オコナ</t>
    </rPh>
    <rPh sb="87" eb="89">
      <t>カモク</t>
    </rPh>
    <rPh sb="90" eb="91">
      <t>オコナ</t>
    </rPh>
    <rPh sb="94" eb="95">
      <t>ハカ</t>
    </rPh>
    <rPh sb="135" eb="137">
      <t>セツゾク</t>
    </rPh>
    <rPh sb="138" eb="140">
      <t>イシキ</t>
    </rPh>
    <rPh sb="142" eb="144">
      <t>ジュウシ</t>
    </rPh>
    <rPh sb="148" eb="149">
      <t>タメ</t>
    </rPh>
    <rPh sb="159" eb="161">
      <t>キョウイク</t>
    </rPh>
    <rPh sb="162" eb="165">
      <t>イインカイ</t>
    </rPh>
    <rPh sb="171" eb="173">
      <t>スイシン</t>
    </rPh>
    <rPh sb="175" eb="176">
      <t>カク</t>
    </rPh>
    <rPh sb="178" eb="180">
      <t>ダイヒョウ</t>
    </rPh>
    <rPh sb="182" eb="184">
      <t>サンカク</t>
    </rPh>
    <rPh sb="192" eb="194">
      <t>ガッカ</t>
    </rPh>
    <rPh sb="194" eb="196">
      <t>セツゾク</t>
    </rPh>
    <rPh sb="197" eb="199">
      <t>カンテン</t>
    </rPh>
    <rPh sb="201" eb="202">
      <t>フク</t>
    </rPh>
    <rPh sb="205" eb="207">
      <t>ヒョウカ</t>
    </rPh>
    <rPh sb="208" eb="209">
      <t>オコナ</t>
    </rPh>
    <rPh sb="215" eb="217">
      <t>ヒョウカ</t>
    </rPh>
    <rPh sb="218" eb="221">
      <t>イインカイ</t>
    </rPh>
    <rPh sb="222" eb="224">
      <t>テイシュツ</t>
    </rPh>
    <rPh sb="233" eb="234">
      <t>ゴ</t>
    </rPh>
    <rPh sb="245" eb="247">
      <t>サイシュウ</t>
    </rPh>
    <rPh sb="248" eb="249">
      <t>オコナ</t>
    </rPh>
    <rPh sb="253" eb="255">
      <t>カイゼン</t>
    </rPh>
    <rPh sb="255" eb="256">
      <t>オヨゼンガク</t>
    </rPh>
    <phoneticPr fontId="1"/>
  </si>
  <si>
    <t xml:space="preserve">
本学ではIR委員会を中心に授業評価アンケートの収集、分析、評価を行う。また、学生授業評価アンケートに加えて、すべての科目で「到達目標の設定と振り返り」を実施している。本プログラムを構成する授業科目においては、毎回の授業で「授業の振り返り」を行い、学生の理解度の把握に努める。一連のデータは、内製のＬＭＳで取得する為、速やかな分析が可能である。IR委員会を通じて企画連絡会議で評価し、本プログラムの改善を行う。</t>
    <rPh sb="1" eb="3">
      <t>ホンガク</t>
    </rPh>
    <rPh sb="14" eb="18">
      <t>ジュギョウヒョウカ</t>
    </rPh>
    <rPh sb="33" eb="34">
      <t>オコナ</t>
    </rPh>
    <rPh sb="39" eb="41">
      <t>ガクセイ</t>
    </rPh>
    <rPh sb="41" eb="43">
      <t>ジュギョウ</t>
    </rPh>
    <rPh sb="43" eb="45">
      <t>ヒョウカ</t>
    </rPh>
    <rPh sb="51" eb="52">
      <t>クワ</t>
    </rPh>
    <rPh sb="59" eb="61">
      <t>カモク</t>
    </rPh>
    <rPh sb="84" eb="85">
      <t>ホン</t>
    </rPh>
    <rPh sb="105" eb="107">
      <t>マイカイ</t>
    </rPh>
    <rPh sb="121" eb="122">
      <t>オコナ</t>
    </rPh>
    <rPh sb="124" eb="126">
      <t>ガクセイ</t>
    </rPh>
    <rPh sb="127" eb="130">
      <t>リカイド</t>
    </rPh>
    <rPh sb="131" eb="133">
      <t>ハアク</t>
    </rPh>
    <rPh sb="134" eb="135">
      <t>ツト</t>
    </rPh>
    <rPh sb="138" eb="140">
      <t>イチレン</t>
    </rPh>
    <rPh sb="153" eb="155">
      <t>シュトク</t>
    </rPh>
    <rPh sb="157" eb="158">
      <t>タメ</t>
    </rPh>
    <rPh sb="163" eb="165">
      <t>ブンセキ</t>
    </rPh>
    <rPh sb="166" eb="168">
      <t>カノウ</t>
    </rPh>
    <rPh sb="174" eb="177">
      <t>イインカイ</t>
    </rPh>
    <rPh sb="178" eb="179">
      <t>ツウ</t>
    </rPh>
    <rPh sb="181" eb="183">
      <t>キカク</t>
    </rPh>
    <rPh sb="183" eb="185">
      <t>レンラク</t>
    </rPh>
    <rPh sb="185" eb="187">
      <t>カイギ</t>
    </rPh>
    <rPh sb="188" eb="190">
      <t>ヒョウカ</t>
    </rPh>
    <rPh sb="199" eb="201">
      <t>カイゼン</t>
    </rPh>
    <rPh sb="202" eb="203">
      <t>オコナ</t>
    </rPh>
    <phoneticPr fontId="1"/>
  </si>
  <si>
    <t xml:space="preserve">
本プログラムを構成する授業科目は全て必修科目の為、参加に向けた推奨は必要は無い。学生の意識向上に向けた取組を実施する。令和元年度の１年生に対し、ＡＩや情報システムに関する学生プロジェクト（2、3年生を中心とする取組）の活動実績紹介を通して、本プログラムの履修によって身に付けた技術を活かせる事を周知し、出来る限り多くの学生の意識を高める工夫を行った。結果、令和２年の上記学生プロジェクトの参加者は、前年２０名に対して４０名まで増加した。</t>
    <rPh sb="17" eb="18">
      <t>スベ</t>
    </rPh>
    <rPh sb="19" eb="21">
      <t>ヒッシュウ</t>
    </rPh>
    <rPh sb="21" eb="23">
      <t>カモク</t>
    </rPh>
    <rPh sb="24" eb="25">
      <t>タメ</t>
    </rPh>
    <rPh sb="26" eb="28">
      <t>サンカ</t>
    </rPh>
    <rPh sb="29" eb="30">
      <t>ム</t>
    </rPh>
    <rPh sb="32" eb="34">
      <t>スイショウ</t>
    </rPh>
    <rPh sb="35" eb="37">
      <t>ヒツヨウ</t>
    </rPh>
    <rPh sb="38" eb="39">
      <t>ナ</t>
    </rPh>
    <rPh sb="41" eb="43">
      <t>ガクセイ</t>
    </rPh>
    <rPh sb="44" eb="46">
      <t>イシキ</t>
    </rPh>
    <rPh sb="46" eb="48">
      <t>コウジョウ</t>
    </rPh>
    <rPh sb="49" eb="50">
      <t>ム</t>
    </rPh>
    <rPh sb="52" eb="54">
      <t>トリクミ</t>
    </rPh>
    <rPh sb="55" eb="57">
      <t>ジッシ</t>
    </rPh>
    <rPh sb="60" eb="62">
      <t>レイワ</t>
    </rPh>
    <rPh sb="62" eb="64">
      <t>ガンネン</t>
    </rPh>
    <rPh sb="64" eb="65">
      <t>ド</t>
    </rPh>
    <rPh sb="70" eb="71">
      <t>タイ</t>
    </rPh>
    <rPh sb="177" eb="178">
      <t>ハカ</t>
    </rPh>
    <rPh sb="190" eb="192">
      <t>レイワ</t>
    </rPh>
    <rPh sb="193" eb="194">
      <t>ネン</t>
    </rPh>
    <rPh sb="207" eb="209">
      <t>ゼンネン</t>
    </rPh>
    <rPh sb="211" eb="212">
      <t>メイ</t>
    </rPh>
    <rPh sb="213" eb="214">
      <t>タイ</t>
    </rPh>
    <rPh sb="218" eb="219">
      <t>メイ</t>
    </rPh>
    <phoneticPr fontId="1"/>
  </si>
  <si>
    <t xml:space="preserve">
新カリキュラム（令和３年度から）において、本プログラムを構成する授業科目は全て必修科目である。したがって、履修者数、履修率向上に関する問題は無い。本プログラムを構成する授業の質向上に注力する。毎月開催している企画連絡会議（各部局長以上が参会する会議）において、全体的な計画の進捗、管理を行う。同会議の幹事役が学長補佐である為、授業（学生支援・教育センター）とｅラーニング教材（情報メディアセンター）との密な連携が可能である。</t>
    <rPh sb="1" eb="2">
      <t>シン</t>
    </rPh>
    <rPh sb="9" eb="11">
      <t>レイワ</t>
    </rPh>
    <rPh sb="12" eb="14">
      <t>ネンド</t>
    </rPh>
    <rPh sb="22" eb="23">
      <t>ホン</t>
    </rPh>
    <rPh sb="29" eb="31">
      <t>コウセイ</t>
    </rPh>
    <rPh sb="33" eb="37">
      <t>ジュギョウカモク</t>
    </rPh>
    <rPh sb="38" eb="39">
      <t>スベ</t>
    </rPh>
    <rPh sb="40" eb="42">
      <t>ヒッシュウ</t>
    </rPh>
    <rPh sb="42" eb="44">
      <t>カモク</t>
    </rPh>
    <rPh sb="54" eb="57">
      <t>リシュウシャ</t>
    </rPh>
    <rPh sb="57" eb="58">
      <t>スウ</t>
    </rPh>
    <rPh sb="59" eb="62">
      <t>リシュウリツ</t>
    </rPh>
    <rPh sb="62" eb="64">
      <t>コウジョウ</t>
    </rPh>
    <rPh sb="65" eb="66">
      <t>カン</t>
    </rPh>
    <rPh sb="68" eb="70">
      <t>モンダイ</t>
    </rPh>
    <rPh sb="92" eb="94">
      <t>チュウリョク</t>
    </rPh>
    <rPh sb="131" eb="134">
      <t>ゼンタイテキ</t>
    </rPh>
    <rPh sb="135" eb="137">
      <t>ケイカク</t>
    </rPh>
    <rPh sb="138" eb="140">
      <t>シンチョク</t>
    </rPh>
    <rPh sb="141" eb="143">
      <t>カンリ</t>
    </rPh>
    <rPh sb="144" eb="145">
      <t>オコナ</t>
    </rPh>
    <rPh sb="147" eb="150">
      <t>ドウカイギ</t>
    </rPh>
    <rPh sb="151" eb="154">
      <t>カンジヤク</t>
    </rPh>
    <rPh sb="162" eb="163">
      <t>タメ</t>
    </rPh>
    <rPh sb="180" eb="188">
      <t>Eラーニングキョウザイ</t>
    </rPh>
    <rPh sb="189" eb="191">
      <t>ジョウホウ</t>
    </rPh>
    <rPh sb="202" eb="203">
      <t>ミツ</t>
    </rPh>
    <rPh sb="204" eb="206">
      <t>レンケイ</t>
    </rPh>
    <rPh sb="207" eb="209">
      <t>カノウ</t>
    </rPh>
    <phoneticPr fontId="1"/>
  </si>
  <si>
    <t>本学は、平成15年度から継続的に北海道内の高校と連携して、理数系教育内容のeラーニング化に努め、高大接続で利活用可能な教材とシステムの公開を図り，令和3年度現在50校と連携している。こうした連携を活かして、本学で実施している全学必修の数理データサイエンスリテラシー教育内容を積極的に高校に公開している。そこで得られた高校側の意見を年一度開催している高大連携研究会を通じて集約して、本学の初年次の多様化する学生教育に適用できる形でする取組を継続的に実施してる。今後は、Python等の情報教育に関する内容に関する高校側の要請が高いことから、大学での数理データサイエンス・AI教育に関わる内容で、高校のプログラミング教育に資する内容を高校にフィードバックしていく。さらに、一連の教材は大学の入学前教育等で他大学からの問い合せも多い。現在本学は数理・データサイエンス教育強化拠点コンソーシアムの北海道・東北ブロックの代表校となっていることから、地域の大学との連携も強化して、本学で開発した教材の他大学への提供を図っていく。
さらに、専門課程との接続に関しては、先導学科となる情報システム工学科で，人工知能系の授業及び実習と連動した学生プロジェクト活動（2年生及び3年生合同）を令和元年度より試行している。令和2年度は，AI基礎の必修を受講した88名中約40名がプロジェクトに参加し、夏休み明けに本学採用の企業10社に参加頂き、成果発表会を行った。令和3年度は、こうした企業を中心に、数理データサイエンス・AI教育内容自体に関するフィードバック（外部評価）を頂く予定である。このように高大接続から社大連続の流れの中で、リテラシーからAI基礎応用に至る教育課程の充実化を図っている。</t>
    <phoneticPr fontId="1"/>
  </si>
  <si>
    <t>理工学部</t>
    <rPh sb="0" eb="2">
      <t>リコウ</t>
    </rPh>
    <rPh sb="2" eb="4">
      <t>ガクブ</t>
    </rPh>
    <phoneticPr fontId="1"/>
  </si>
  <si>
    <t>　応用化学生物学科（理学）</t>
    <rPh sb="1" eb="3">
      <t>オウヨウ</t>
    </rPh>
    <rPh sb="3" eb="5">
      <t>カガク</t>
    </rPh>
    <rPh sb="5" eb="7">
      <t>セイブツ</t>
    </rPh>
    <rPh sb="7" eb="9">
      <t>ガッカ</t>
    </rPh>
    <rPh sb="10" eb="12">
      <t>リガク</t>
    </rPh>
    <phoneticPr fontId="1"/>
  </si>
  <si>
    <t>　電子光工学科（工学）</t>
    <rPh sb="1" eb="3">
      <t>デンシ</t>
    </rPh>
    <rPh sb="3" eb="4">
      <t>ヒカリ</t>
    </rPh>
    <rPh sb="4" eb="7">
      <t>コウガッカ</t>
    </rPh>
    <rPh sb="8" eb="10">
      <t>コウガク</t>
    </rPh>
    <phoneticPr fontId="1"/>
  </si>
  <si>
    <t>　情報システム工学科（その他）</t>
    <rPh sb="1" eb="3">
      <t>ジョウホウ</t>
    </rPh>
    <rPh sb="7" eb="10">
      <t>コウガッカ</t>
    </rPh>
    <rPh sb="13" eb="14">
      <t>タ</t>
    </rPh>
    <phoneticPr fontId="1"/>
  </si>
  <si>
    <r>
      <t xml:space="preserve">
</t>
    </r>
    <r>
      <rPr>
        <sz val="12"/>
        <rFont val="ＭＳ Ｐゴシック"/>
        <family val="3"/>
        <charset val="128"/>
        <scheme val="minor"/>
      </rPr>
      <t>各年度の履修者数の目標を以下のとおりとする。（（　）内は履修率。）
令和３年度　２４０名　（１００％）
令和４年度　２４０名　（１００％）
令和５年度　２４０名　（１００％）
令和６年度　２４０名　（１００％）
令和７年度　２４０名　（１００％）
本学では、全ての学生がリテラシーレベルの数理・データサイエンス・ＡＩ技術を習得する事を目標としている。したがって、令和３年度から適用される新カリキュラムでは、本プログラムを構成する全ての科目を必修科目（卒業要件）としている。その為、目標履修率は１００％である。なお、新設科目である「プログラミングとアルゴリズム基礎」及び「データサイエンス入門」は、旧カリキュラム対応の学生が履修を出来るように、オンライン型での実施とする。これにより、時間割上の履修制限の撤廃などを図り、柔軟な受講を支援する。</t>
    </r>
    <rPh sb="1" eb="4">
      <t>カクネンド</t>
    </rPh>
    <rPh sb="5" eb="7">
      <t>リシュウ</t>
    </rPh>
    <rPh sb="7" eb="8">
      <t>シャ</t>
    </rPh>
    <rPh sb="8" eb="9">
      <t>スウ</t>
    </rPh>
    <rPh sb="10" eb="12">
      <t>モクヒョウ</t>
    </rPh>
    <rPh sb="13" eb="15">
      <t>イカ</t>
    </rPh>
    <rPh sb="27" eb="28">
      <t>ナイ</t>
    </rPh>
    <rPh sb="29" eb="31">
      <t>リシュウ</t>
    </rPh>
    <rPh sb="31" eb="32">
      <t>リツ</t>
    </rPh>
    <rPh sb="35" eb="37">
      <t>レイワ</t>
    </rPh>
    <rPh sb="38" eb="40">
      <t>ネンド</t>
    </rPh>
    <rPh sb="44" eb="45">
      <t>メイ</t>
    </rPh>
    <rPh sb="131" eb="132">
      <t>スベ</t>
    </rPh>
    <rPh sb="134" eb="136">
      <t>ガクセイ</t>
    </rPh>
    <rPh sb="146" eb="148">
      <t>スウリ</t>
    </rPh>
    <rPh sb="160" eb="162">
      <t>ギジュツ</t>
    </rPh>
    <rPh sb="163" eb="165">
      <t>シュウトク</t>
    </rPh>
    <rPh sb="167" eb="168">
      <t>コト</t>
    </rPh>
    <rPh sb="169" eb="171">
      <t>モクヒョウ</t>
    </rPh>
    <rPh sb="205" eb="206">
      <t>ホン</t>
    </rPh>
    <rPh sb="216" eb="217">
      <t>スベ</t>
    </rPh>
    <rPh sb="219" eb="221">
      <t>カモク</t>
    </rPh>
    <rPh sb="227" eb="231">
      <t>ソツギョウヨウケン</t>
    </rPh>
    <rPh sb="240" eb="241">
      <t>タメ</t>
    </rPh>
    <rPh sb="242" eb="244">
      <t>モクヒョウ</t>
    </rPh>
    <rPh sb="244" eb="246">
      <t>リシュウ</t>
    </rPh>
    <rPh sb="246" eb="247">
      <t>リツ</t>
    </rPh>
    <rPh sb="259" eb="261">
      <t>シンセツ</t>
    </rPh>
    <rPh sb="261" eb="263">
      <t>カモク</t>
    </rPh>
    <rPh sb="284" eb="285">
      <t>オヨ</t>
    </rPh>
    <rPh sb="307" eb="309">
      <t>タイオウ</t>
    </rPh>
    <rPh sb="310" eb="312">
      <t>ガクセイ</t>
    </rPh>
    <rPh sb="313" eb="315">
      <t>リシュウ</t>
    </rPh>
    <rPh sb="328" eb="329">
      <t>ガタ</t>
    </rPh>
    <rPh sb="331" eb="333">
      <t>ジッシ</t>
    </rPh>
    <rPh sb="343" eb="346">
      <t>ジカンワリ</t>
    </rPh>
    <rPh sb="346" eb="347">
      <t>ジョウ</t>
    </rPh>
    <rPh sb="348" eb="350">
      <t>リシュウ</t>
    </rPh>
    <rPh sb="350" eb="352">
      <t>セイゲン</t>
    </rPh>
    <rPh sb="353" eb="355">
      <t>テッパイ</t>
    </rPh>
    <rPh sb="358" eb="359">
      <t>ハカ</t>
    </rPh>
    <rPh sb="361" eb="363">
      <t>ジュウナン</t>
    </rPh>
    <rPh sb="364" eb="366">
      <t>ジュコウ</t>
    </rPh>
    <rPh sb="367" eb="369">
      <t>シエン</t>
    </rPh>
    <phoneticPr fontId="1"/>
  </si>
  <si>
    <t xml:space="preserve">
新入生ガイダンスにおいて、本プログラムのガイダンスを数理・データサイエンス・AI教育プログラム推進委員会の委員を中心に実施している。本学ウェブページで、本取組に関連する数理・データサイエンス教育強化拠点コンソーシアムでの活動を周知し、大学間連携による将来的な可能性を紹介している。
ＡＩや情報システムに関する学生プロジェクト（2、3年生を中心とする取組）の活動実績紹介を通して、本プログラムの履修によって身に付けた技術を活かせる事を周知し、出来る限り多くの学生の興味関心を高める工夫を行っている。</t>
    <rPh sb="1" eb="4">
      <t>シンニュウセイ</t>
    </rPh>
    <rPh sb="27" eb="29">
      <t>スウリ</t>
    </rPh>
    <rPh sb="41" eb="43">
      <t>キョウイク</t>
    </rPh>
    <rPh sb="48" eb="50">
      <t>スイシン</t>
    </rPh>
    <rPh sb="50" eb="53">
      <t>イインカイ</t>
    </rPh>
    <rPh sb="54" eb="56">
      <t>イイン</t>
    </rPh>
    <rPh sb="57" eb="59">
      <t>チュウシン</t>
    </rPh>
    <rPh sb="60" eb="62">
      <t>ジッシ</t>
    </rPh>
    <rPh sb="77" eb="78">
      <t>ホン</t>
    </rPh>
    <rPh sb="78" eb="80">
      <t>トリクミ</t>
    </rPh>
    <rPh sb="81" eb="83">
      <t>カンレン</t>
    </rPh>
    <rPh sb="111" eb="113">
      <t>カツドウ</t>
    </rPh>
    <rPh sb="114" eb="116">
      <t>シュウチ</t>
    </rPh>
    <rPh sb="116" eb="118">
      <t>レンケイ</t>
    </rPh>
    <rPh sb="120" eb="121">
      <t>カン</t>
    </rPh>
    <rPh sb="122" eb="125">
      <t>ショウライテキ</t>
    </rPh>
    <rPh sb="126" eb="128">
      <t>ガクセイ</t>
    </rPh>
    <rPh sb="130" eb="132">
      <t>ショウカイ</t>
    </rPh>
    <rPh sb="148" eb="150">
      <t>カンレン</t>
    </rPh>
    <rPh sb="162" eb="163">
      <t>ネン</t>
    </rPh>
    <rPh sb="165" eb="166">
      <t>ネン</t>
    </rPh>
    <rPh sb="169" eb="170">
      <t>セイ</t>
    </rPh>
    <rPh sb="171" eb="173">
      <t>チュウシン</t>
    </rPh>
    <rPh sb="176" eb="178">
      <t>カツドウ</t>
    </rPh>
    <rPh sb="178" eb="180">
      <t>ジッセキ</t>
    </rPh>
    <rPh sb="180" eb="182">
      <t>カツドウ</t>
    </rPh>
    <rPh sb="185" eb="186">
      <t>ハカ</t>
    </rPh>
    <rPh sb="187" eb="188">
      <t>トオ</t>
    </rPh>
    <rPh sb="191" eb="192">
      <t>ホン</t>
    </rPh>
    <rPh sb="198" eb="200">
      <t>リシュウ</t>
    </rPh>
    <rPh sb="204" eb="205">
      <t>ミ</t>
    </rPh>
    <rPh sb="206" eb="207">
      <t>ツ</t>
    </rPh>
    <rPh sb="209" eb="211">
      <t>ギジュツ</t>
    </rPh>
    <rPh sb="212" eb="213">
      <t>イ</t>
    </rPh>
    <rPh sb="216" eb="217">
      <t>コト</t>
    </rPh>
    <rPh sb="218" eb="220">
      <t>シュウチ</t>
    </rPh>
    <rPh sb="220" eb="222">
      <t>カンシン</t>
    </rPh>
    <rPh sb="234" eb="235">
      <t>タカ</t>
    </rPh>
    <rPh sb="237" eb="239">
      <t>クフウ</t>
    </rPh>
    <rPh sb="240" eb="241">
      <t>オコナ</t>
    </rPh>
    <phoneticPr fontId="1"/>
  </si>
  <si>
    <t xml:space="preserve">
本学では、情報メディアセンターを中心に学習支援用のeラーニング教材の整備を行っている。特に、情報系のAI系の研究室と連携して、数学及びプログラミング・アルゴリズムに関するレベル別の演習問題を整備している。特に数学は、高大接続研究会を通じて高校現場の教員の協力の下、高校全範囲のeラーニング教材（教科書と演習問題　約5000問）を整備している。こうした教材を活用して、高校段階での履修状況の多様化に呼応する形で入学前教育及び初年次数学系科目での補習授業でeラーニングを活用した学習支援を行っている。
また，教育センターでは、修学支援室に数理系の専任教員を配置して、数学系科目及びデータ解析系科目での学習支援を図っている。当該専任教員は、本申請プログラムの数学も担当していることから、授業と授業外の学習を繋ぐ学習支援の実施が可能になっている。
プログラミングやアルゴリズムの情報系科目については、情報センターを中心に学生コンサルタントを自習室に配置して、修学支援にあたっている。2021年度は、BYOD化を全学的に推進したが、オンラインヘルプデスクも開設して、特に1年生は全員ノートパソコンの必携化と自宅でのプログラミング環境の整備を図った。その結果、本申請プログラムの情報技術概論では、履修者全員がC言語での基本的なアルゴリズム課題を在宅でプログラミングを行った上で提出することができた。
さらに、年次進行でのAI応用教育を意識して、先導学科である情報システム工学科を中心に2年生のAIに関連するプロジェクト活動を研究室協力の下でコーディネートして実施している。また、AIに関して，企業で実務経験のある教員を本申請プログラムに合せて令和3年度より専任教員採用して、プロジェクト学習の支援準備に入っている。</t>
    <phoneticPr fontId="1"/>
  </si>
  <si>
    <r>
      <t xml:space="preserve">
本学では、学部１年及び２年の数学系と情報系に関わる全学必修科目で、数理・データサイエンス・ＡＩに関するリテラシー教育を実施し，学生の個別最適化された学びに対する支援措置(ICT活用）を伴う授業運営（反転型授業）において特色ある授業展開を図っている</t>
    </r>
    <r>
      <rPr>
        <i/>
        <sz val="12"/>
        <rFont val="ＭＳ Ｐゴシック"/>
        <family val="3"/>
        <charset val="128"/>
        <scheme val="minor"/>
      </rPr>
      <t>。</t>
    </r>
    <r>
      <rPr>
        <sz val="12"/>
        <rFont val="ＭＳ Ｐゴシック"/>
        <family val="3"/>
        <charset val="128"/>
        <scheme val="minor"/>
      </rPr>
      <t xml:space="preserve">
数学系では、ＡＩの数理モデルまでを全学的に展開できるカリキュラム体系を意識して、１年の必修科目で微分積分学、線形代数学、統計学を課している。こうした数学系の科目群では、高校までの履修状況の多様性が課題となる。これに対して本学では、高校範囲を体系的に網羅した数学のｅラーニング教材を平成１５年から継続的に整備し、授業で積極的に活用している。
一方、情報系の科目群では、情報系以外の専門の学生であってもスキルを意識して主体的に学び続ける姿勢が重要となる。そこで一年の全学必修で基本的なアルゴリズムとプログラミングを主体的に学ぶための授業設計を図っている。具体的には、一年次の間にBYOD環境でプログラミングを行える素養の定着を図った上で、CやPython及びアルゴリズム系の7段階のレベル別のeラーニング教材を活用して、反転型のアクティブ・ラーニングを実現している。
特に2021年度はコロナ禍の下、予習や個別課題をeラーニングで主体的に学習させ、自らの学習レベルを常に確認させながら、学習者自身が自分のレベルに合ったグループワーク（Zoomで実施）に参加しながら、学習を進める形式とした。システムを活用して、一人一人の予習状況やグループワークでの活動状況を詳細に把握し、授業の成果の評価・分析も合せて行った。IR委員会を中心に、トピック的に扱った学習成果調査の結果、前年度と比較して、学生の満足度と学習達成度（課題に対するルーブリック評価）が大きく向上することが示され、教育方法の有用性が学内的にも共有された。数理データサイエンス教育WGでこうした評価結果の検討を図り、オンラインを活用した個別最適型の反転授業方式は、教員のスキルにも依存せず、多くの学生を対象にきめ細かい学習把握と支援が可能との判断の下、次年度以降のAI基礎応用を想定した全学必修系科目への拡充・導入を決めた。</t>
    </r>
    <rPh sb="10" eb="11">
      <t>オヨ</t>
    </rPh>
    <rPh sb="13" eb="14">
      <t>ネン</t>
    </rPh>
    <rPh sb="17" eb="18">
      <t>ケイ</t>
    </rPh>
    <rPh sb="21" eb="22">
      <t>ケイ</t>
    </rPh>
    <rPh sb="64" eb="66">
      <t>ガクセイ</t>
    </rPh>
    <rPh sb="67" eb="69">
      <t>コベツ</t>
    </rPh>
    <rPh sb="69" eb="72">
      <t>サイテキカ</t>
    </rPh>
    <rPh sb="75" eb="76">
      <t>マナ</t>
    </rPh>
    <rPh sb="78" eb="79">
      <t>タイ</t>
    </rPh>
    <rPh sb="81" eb="83">
      <t>シエン</t>
    </rPh>
    <rPh sb="83" eb="85">
      <t>ソチ</t>
    </rPh>
    <rPh sb="89" eb="91">
      <t>カツヨウ</t>
    </rPh>
    <rPh sb="93" eb="94">
      <t>トモナ</t>
    </rPh>
    <rPh sb="95" eb="97">
      <t>ジュギョウ</t>
    </rPh>
    <rPh sb="97" eb="99">
      <t>ウンエイ</t>
    </rPh>
    <rPh sb="100" eb="103">
      <t>ハンテンガタ</t>
    </rPh>
    <rPh sb="103" eb="105">
      <t>ジュギョウ</t>
    </rPh>
    <rPh sb="110" eb="112">
      <t>トクショク</t>
    </rPh>
    <rPh sb="114" eb="116">
      <t>ジュギョウ</t>
    </rPh>
    <rPh sb="116" eb="118">
      <t>テンカイ</t>
    </rPh>
    <rPh sb="119" eb="120">
      <t>ハカ</t>
    </rPh>
    <rPh sb="137" eb="139">
      <t>スウリ</t>
    </rPh>
    <rPh sb="172" eb="174">
      <t>カモク</t>
    </rPh>
    <rPh sb="175" eb="180">
      <t>ビブンセキブンガク</t>
    </rPh>
    <rPh sb="185" eb="186">
      <t>ガク</t>
    </rPh>
    <rPh sb="189" eb="190">
      <t>ガク</t>
    </rPh>
    <rPh sb="258" eb="266">
      <t>Eラーニングキョウザイ</t>
    </rPh>
    <rPh sb="464" eb="466">
      <t>ダンカイ</t>
    </rPh>
    <phoneticPr fontId="1"/>
  </si>
  <si>
    <t>平成28年度</t>
    <rPh sb="0" eb="2">
      <t>ヘイセイ</t>
    </rPh>
    <rPh sb="4" eb="5">
      <t>ネン</t>
    </rPh>
    <rPh sb="5" eb="6">
      <t>ド</t>
    </rPh>
    <phoneticPr fontId="1"/>
  </si>
  <si>
    <t xml:space="preserve">
平成２８年度に採択された大学教育再生加速プログラム（AP）（文部科学省）を通じて、学修成果の可視化とディプロマサプリメントの産業界による事業評価を行ってきた。情報系の企業からは学科に関係なく採用されており、卒業生が活躍する企業から直接的な評価を受けている。特に、カリキュラム体系および教育プログラムについて、高い評価を得ている。キャリアセンターと連携しながら、本プログラムも同様の枠組みで企業からの評価を継続的に受ける予定である。また、ＡＩと情報に関する学生プロジェクトの成果発表会に参加頂き、本プログラムの評価も受ける予定である。</t>
    <rPh sb="38" eb="39">
      <t>ツウ</t>
    </rPh>
    <rPh sb="42" eb="44">
      <t>ガクシュウ</t>
    </rPh>
    <rPh sb="44" eb="46">
      <t>セイカ</t>
    </rPh>
    <rPh sb="47" eb="50">
      <t>カシカ</t>
    </rPh>
    <rPh sb="63" eb="66">
      <t>サンギョウカイ</t>
    </rPh>
    <rPh sb="69" eb="71">
      <t>ジギョウ</t>
    </rPh>
    <rPh sb="71" eb="73">
      <t>ヒョウカ</t>
    </rPh>
    <rPh sb="74" eb="75">
      <t>オコナ</t>
    </rPh>
    <rPh sb="80" eb="83">
      <t>ジョウホウケイ</t>
    </rPh>
    <rPh sb="84" eb="86">
      <t>キギョウ</t>
    </rPh>
    <rPh sb="89" eb="91">
      <t>ガッカ</t>
    </rPh>
    <rPh sb="92" eb="94">
      <t>カンケイ</t>
    </rPh>
    <rPh sb="96" eb="98">
      <t>サイヨウ</t>
    </rPh>
    <rPh sb="104" eb="107">
      <t>ソツギョウセイ</t>
    </rPh>
    <rPh sb="108" eb="110">
      <t>カツヤク</t>
    </rPh>
    <rPh sb="112" eb="114">
      <t>キギョウ</t>
    </rPh>
    <rPh sb="116" eb="119">
      <t>チョクセツテキ</t>
    </rPh>
    <rPh sb="120" eb="122">
      <t>ヒョウカ</t>
    </rPh>
    <rPh sb="123" eb="124">
      <t>ウ</t>
    </rPh>
    <rPh sb="129" eb="130">
      <t>トク</t>
    </rPh>
    <rPh sb="138" eb="140">
      <t>タイケイ</t>
    </rPh>
    <rPh sb="143" eb="145">
      <t>キョウイク</t>
    </rPh>
    <rPh sb="155" eb="156">
      <t>タカ</t>
    </rPh>
    <rPh sb="157" eb="159">
      <t>ヒョウカ</t>
    </rPh>
    <rPh sb="160" eb="161">
      <t>エ</t>
    </rPh>
    <rPh sb="195" eb="197">
      <t>キギョウ</t>
    </rPh>
    <rPh sb="202" eb="204">
      <t>ドウヨウ</t>
    </rPh>
    <rPh sb="205" eb="207">
      <t>ワクグ</t>
    </rPh>
    <rPh sb="210" eb="213">
      <t>サンギョウカイ</t>
    </rPh>
    <rPh sb="222" eb="224">
      <t>ジョウホウ</t>
    </rPh>
    <rPh sb="225" eb="226">
      <t>カン</t>
    </rPh>
    <rPh sb="228" eb="230">
      <t>ヨテイ</t>
    </rPh>
    <rPh sb="234" eb="237">
      <t>ジョウホウケイ</t>
    </rPh>
    <rPh sb="242" eb="243">
      <t>ケイ</t>
    </rPh>
    <rPh sb="250" eb="253">
      <t>セッキョクテキ</t>
    </rPh>
    <rPh sb="258" eb="259">
      <t>ウ</t>
    </rPh>
    <rPh sb="261" eb="263">
      <t>ヨテイ</t>
    </rPh>
    <phoneticPr fontId="1"/>
  </si>
  <si>
    <t xml:space="preserve">
情報システム工学科が先導し、本プログラム「数理・データサイエンス・ＡＩ教育プログラム（リテラシーレベル）」の上位となる「数理・データサイエンス・ＡＩ教育プログラム（応用基礎レベル）」への接続を実施している。具体的には、授業科目および学生プロジェクト活動において、AI技術等を含む情報システムの設計、開発やデータ分析に基づく課題解決提案の活動を実施している。特に、学生プロジェクト活動の成果発表会には複数企業が参加（令和２年度は１０社が参加）し、コメントおよび評価を受けている。このような活動を継続し、企業からの視点も含めた本教育プログラム内容、手法等への意見を募る。</t>
    <rPh sb="15" eb="16">
      <t>ホン</t>
    </rPh>
    <rPh sb="22" eb="24">
      <t>スウリ</t>
    </rPh>
    <rPh sb="36" eb="38">
      <t>キョウイク</t>
    </rPh>
    <rPh sb="55" eb="57">
      <t>ジョウイ</t>
    </rPh>
    <rPh sb="94" eb="96">
      <t>セツゾク</t>
    </rPh>
    <rPh sb="97" eb="99">
      <t>ジッシ</t>
    </rPh>
    <rPh sb="104" eb="107">
      <t>グタイテキ</t>
    </rPh>
    <rPh sb="110" eb="112">
      <t>ジュギョウ</t>
    </rPh>
    <rPh sb="112" eb="114">
      <t>カモク</t>
    </rPh>
    <rPh sb="117" eb="119">
      <t>ガクセイ</t>
    </rPh>
    <rPh sb="125" eb="127">
      <t>カツドウ</t>
    </rPh>
    <rPh sb="134" eb="136">
      <t>ギジュツ</t>
    </rPh>
    <rPh sb="136" eb="137">
      <t>ナド</t>
    </rPh>
    <rPh sb="138" eb="139">
      <t>フク</t>
    </rPh>
    <rPh sb="140" eb="142">
      <t>ジョウホウ</t>
    </rPh>
    <rPh sb="147" eb="149">
      <t>セッケイ</t>
    </rPh>
    <rPh sb="150" eb="152">
      <t>カイハツ</t>
    </rPh>
    <rPh sb="156" eb="158">
      <t>ブンセキ</t>
    </rPh>
    <rPh sb="159" eb="160">
      <t>モト</t>
    </rPh>
    <rPh sb="162" eb="164">
      <t>カダイ</t>
    </rPh>
    <rPh sb="164" eb="166">
      <t>カイケツ</t>
    </rPh>
    <rPh sb="166" eb="168">
      <t>テイアン</t>
    </rPh>
    <rPh sb="169" eb="171">
      <t>カツドウ</t>
    </rPh>
    <rPh sb="172" eb="174">
      <t>ジッシ</t>
    </rPh>
    <rPh sb="179" eb="180">
      <t>トク</t>
    </rPh>
    <rPh sb="182" eb="184">
      <t>ガクセイ</t>
    </rPh>
    <rPh sb="190" eb="192">
      <t>カツドウ</t>
    </rPh>
    <rPh sb="193" eb="195">
      <t>セイカ</t>
    </rPh>
    <rPh sb="195" eb="198">
      <t>ハッピョウカイ</t>
    </rPh>
    <rPh sb="200" eb="202">
      <t>フクスウ</t>
    </rPh>
    <rPh sb="202" eb="204">
      <t>キギョウ</t>
    </rPh>
    <rPh sb="205" eb="207">
      <t>サンカ</t>
    </rPh>
    <rPh sb="218" eb="220">
      <t>サンカ</t>
    </rPh>
    <rPh sb="241" eb="243">
      <t>ヒョウカ</t>
    </rPh>
    <rPh sb="244" eb="245">
      <t>ウ</t>
    </rPh>
    <rPh sb="255" eb="257">
      <t>カツドウ</t>
    </rPh>
    <rPh sb="258" eb="260">
      <t>ケイゾク</t>
    </rPh>
    <rPh sb="262" eb="264">
      <t>キギョウ</t>
    </rPh>
    <rPh sb="267" eb="269">
      <t>シテン</t>
    </rPh>
    <rPh sb="270" eb="271">
      <t>フク</t>
    </rPh>
    <rPh sb="273" eb="276">
      <t>ホンキョウイク</t>
    </rPh>
    <rPh sb="281" eb="283">
      <t>ナイヨウシュホウトウイケンツノ</t>
    </rPh>
    <phoneticPr fontId="1"/>
  </si>
  <si>
    <t xml:space="preserve">
キャリアセンター及び産業界との連携の下、卒業生のロールモデルを活用し、数理・データサイエンス・ＡＩを学ぶことの意義を理解させる。本プログラム及び付随した学生プロジェクトの参加者の就職および内定状況として、数理・データサイエンス・ＡＩ系エンジニアの採用が散見されるようになった。これら学生の多くは、逆求人的に自らのポートフォリオを企業にＰＲし、採用に繫がっている。このような状況を全学生に紹介し、４年間を通した連続的な学びの重要性や社会で活躍できる可能性を理解させる。</t>
    <rPh sb="9" eb="10">
      <t>オヨ</t>
    </rPh>
    <rPh sb="11" eb="14">
      <t>サンギョウカイ</t>
    </rPh>
    <rPh sb="16" eb="18">
      <t>レンケイ</t>
    </rPh>
    <rPh sb="19" eb="20">
      <t>モト</t>
    </rPh>
    <rPh sb="21" eb="24">
      <t>ソツギョウセイ</t>
    </rPh>
    <rPh sb="32" eb="34">
      <t>カツヨウ</t>
    </rPh>
    <rPh sb="36" eb="38">
      <t>スウリ</t>
    </rPh>
    <rPh sb="51" eb="52">
      <t>マナ</t>
    </rPh>
    <rPh sb="56" eb="58">
      <t>イギ</t>
    </rPh>
    <rPh sb="65" eb="66">
      <t>ホン</t>
    </rPh>
    <rPh sb="71" eb="72">
      <t>オヨ</t>
    </rPh>
    <rPh sb="73" eb="75">
      <t>フズイ</t>
    </rPh>
    <rPh sb="77" eb="79">
      <t>ガクセイ</t>
    </rPh>
    <rPh sb="86" eb="88">
      <t>サンカ</t>
    </rPh>
    <rPh sb="88" eb="89">
      <t>シャ</t>
    </rPh>
    <rPh sb="90" eb="92">
      <t>シュウショク</t>
    </rPh>
    <rPh sb="95" eb="97">
      <t>ナイテイ</t>
    </rPh>
    <rPh sb="97" eb="99">
      <t>ジョウキョウ</t>
    </rPh>
    <rPh sb="124" eb="126">
      <t>サイヨウ</t>
    </rPh>
    <rPh sb="142" eb="144">
      <t>ガクセイ</t>
    </rPh>
    <rPh sb="145" eb="146">
      <t>オオ</t>
    </rPh>
    <rPh sb="149" eb="152">
      <t>ギャクキュウジン</t>
    </rPh>
    <rPh sb="152" eb="153">
      <t>テキ</t>
    </rPh>
    <rPh sb="154" eb="155">
      <t>ミズカ</t>
    </rPh>
    <rPh sb="165" eb="167">
      <t>キギョウ</t>
    </rPh>
    <rPh sb="172" eb="174">
      <t>サイヨウ</t>
    </rPh>
    <rPh sb="175" eb="176">
      <t>ツナ</t>
    </rPh>
    <rPh sb="187" eb="189">
      <t>ジョウキョウ</t>
    </rPh>
    <rPh sb="190" eb="193">
      <t>ゼンガクセイ</t>
    </rPh>
    <rPh sb="194" eb="196">
      <t>ショウカイ</t>
    </rPh>
    <rPh sb="199" eb="201">
      <t>ネンカン</t>
    </rPh>
    <rPh sb="202" eb="203">
      <t>トオ</t>
    </rPh>
    <rPh sb="205" eb="208">
      <t>レンゾクテキ</t>
    </rPh>
    <rPh sb="209" eb="210">
      <t>マナ</t>
    </rPh>
    <rPh sb="212" eb="215">
      <t>ジュウヨウセイ</t>
    </rPh>
    <rPh sb="216" eb="218">
      <t>シャカイ</t>
    </rPh>
    <rPh sb="219" eb="221">
      <t>カツヤク</t>
    </rPh>
    <rPh sb="224" eb="227">
      <t>カノウセイ</t>
    </rPh>
    <rPh sb="228" eb="230">
      <t>リカイ</t>
    </rPh>
    <phoneticPr fontId="1"/>
  </si>
  <si>
    <t xml:space="preserve">
授業評価アンケートおよび企業等からの意見を参考に、数理・データサイエンス・AI教育プログラム推進委員会において、学生の「分かりやすさ」の観点から講義内容、実施方法の改善を検討する。同委員会には、本プログラムを構成する授業科目の担当者が参画しており、情報共有や相互授業参観等の活動を実施する。新設科目（「プログラミングとアルゴリズム基礎」と「データサイエンス入門」）を含むいつくかの科目では、ＩＣＴを活用した反転型授業を部分的に実施する。上記教材の共有等を含めたＦＤ活動を実施し、本教育プログラムの内容・水準を維持・向上していく。</t>
    <rPh sb="1" eb="3">
      <t>ジュギョウ</t>
    </rPh>
    <rPh sb="15" eb="16">
      <t>トウ</t>
    </rPh>
    <rPh sb="26" eb="28">
      <t>スウリ</t>
    </rPh>
    <rPh sb="61" eb="62">
      <t>ワ</t>
    </rPh>
    <rPh sb="69" eb="71">
      <t>カンテン</t>
    </rPh>
    <rPh sb="73" eb="75">
      <t>コウギ</t>
    </rPh>
    <rPh sb="75" eb="77">
      <t>ナイヨウ</t>
    </rPh>
    <rPh sb="78" eb="80">
      <t>ジッシ</t>
    </rPh>
    <rPh sb="80" eb="82">
      <t>ホウホウ</t>
    </rPh>
    <rPh sb="83" eb="85">
      <t>カイゼン</t>
    </rPh>
    <rPh sb="86" eb="88">
      <t>ケントウ</t>
    </rPh>
    <rPh sb="91" eb="92">
      <t>ドウ</t>
    </rPh>
    <rPh sb="92" eb="95">
      <t>イインカイ</t>
    </rPh>
    <rPh sb="98" eb="99">
      <t>ホン</t>
    </rPh>
    <rPh sb="105" eb="107">
      <t>コウセイ</t>
    </rPh>
    <rPh sb="109" eb="113">
      <t>ジュギョウカモク</t>
    </rPh>
    <rPh sb="114" eb="116">
      <t>タントウ</t>
    </rPh>
    <rPh sb="116" eb="117">
      <t>シャ</t>
    </rPh>
    <rPh sb="118" eb="120">
      <t>サンカク</t>
    </rPh>
    <rPh sb="125" eb="127">
      <t>ジョウホウ</t>
    </rPh>
    <rPh sb="127" eb="129">
      <t>キョウユウ</t>
    </rPh>
    <rPh sb="130" eb="132">
      <t>ソウゴ</t>
    </rPh>
    <rPh sb="132" eb="134">
      <t>ジュギョウ</t>
    </rPh>
    <rPh sb="134" eb="136">
      <t>サンカン</t>
    </rPh>
    <rPh sb="136" eb="137">
      <t>ナド</t>
    </rPh>
    <rPh sb="138" eb="140">
      <t>カツドウ</t>
    </rPh>
    <rPh sb="146" eb="148">
      <t>シンセツ</t>
    </rPh>
    <rPh sb="148" eb="150">
      <t>カモク</t>
    </rPh>
    <rPh sb="179" eb="181">
      <t>ニュウモン</t>
    </rPh>
    <rPh sb="184" eb="185">
      <t>フク</t>
    </rPh>
    <rPh sb="191" eb="193">
      <t>カモク</t>
    </rPh>
    <rPh sb="200" eb="202">
      <t>カツヨウ</t>
    </rPh>
    <rPh sb="204" eb="207">
      <t>ハンテンガタ</t>
    </rPh>
    <rPh sb="207" eb="209">
      <t>ジュギョウ</t>
    </rPh>
    <rPh sb="210" eb="213">
      <t>ブブンテキ</t>
    </rPh>
    <rPh sb="214" eb="216">
      <t>ジッシ</t>
    </rPh>
    <rPh sb="219" eb="221">
      <t>ジョウキ</t>
    </rPh>
    <rPh sb="221" eb="223">
      <t>キョウザイ</t>
    </rPh>
    <rPh sb="224" eb="226">
      <t>キョウユウ</t>
    </rPh>
    <rPh sb="226" eb="227">
      <t>ナド</t>
    </rPh>
    <rPh sb="228" eb="229">
      <t>フク</t>
    </rPh>
    <rPh sb="233" eb="235">
      <t>カツドウ</t>
    </rPh>
    <rPh sb="236" eb="238">
      <t>ジッシ</t>
    </rPh>
    <rPh sb="240" eb="241">
      <t>ホン</t>
    </rPh>
    <rPh sb="241" eb="243">
      <t>キョウイク</t>
    </rPh>
    <rPh sb="249" eb="251">
      <t>ナイヨウ</t>
    </rPh>
    <rPh sb="252" eb="254">
      <t>スイジュン</t>
    </rPh>
    <rPh sb="255" eb="257">
      <t>イジ</t>
    </rPh>
    <rPh sb="258" eb="260">
      <t>コウジョウ</t>
    </rPh>
    <phoneticPr fontId="1"/>
  </si>
  <si>
    <t xml:space="preserve">
数理・データサイエンス・ＡＩは様々な分野に活用領域を広げており、大量かつ多様なデータを取り扱うことを知る。実際の調査デー
タや実験データを取り扱う事で、社会で活用されているデータを体験的に理解する。取り扱うデータは構造化データに限らず、非構造化データ（文章、画像／動画、音声／音楽など）を含む。</t>
    <rPh sb="1" eb="3">
      <t>スウリ</t>
    </rPh>
    <rPh sb="16" eb="18">
      <t>サマザマ</t>
    </rPh>
    <rPh sb="19" eb="21">
      <t>ブンヤ</t>
    </rPh>
    <rPh sb="22" eb="26">
      <t>カツヨウリョウイキ</t>
    </rPh>
    <rPh sb="27" eb="28">
      <t>ヒロ</t>
    </rPh>
    <rPh sb="33" eb="35">
      <t>タイリョウ</t>
    </rPh>
    <rPh sb="37" eb="39">
      <t>タヨウ</t>
    </rPh>
    <rPh sb="44" eb="45">
      <t>ト</t>
    </rPh>
    <rPh sb="46" eb="47">
      <t>アツカ</t>
    </rPh>
    <rPh sb="51" eb="52">
      <t>シ</t>
    </rPh>
    <rPh sb="54" eb="56">
      <t>ジッサイ</t>
    </rPh>
    <rPh sb="57" eb="59">
      <t>チョウサ</t>
    </rPh>
    <rPh sb="64" eb="66">
      <t>ジッケン</t>
    </rPh>
    <rPh sb="70" eb="71">
      <t>ト</t>
    </rPh>
    <rPh sb="72" eb="73">
      <t>アツカ</t>
    </rPh>
    <rPh sb="74" eb="75">
      <t>コト</t>
    </rPh>
    <rPh sb="91" eb="94">
      <t>タイケンテキ</t>
    </rPh>
    <rPh sb="95" eb="97">
      <t>リカイ</t>
    </rPh>
    <rPh sb="100" eb="101">
      <t>ト</t>
    </rPh>
    <rPh sb="102" eb="103">
      <t>アツカ</t>
    </rPh>
    <rPh sb="108" eb="111">
      <t>コウゾウカ</t>
    </rPh>
    <rPh sb="115" eb="116">
      <t>カギ</t>
    </rPh>
    <rPh sb="119" eb="120">
      <t>ヒ</t>
    </rPh>
    <rPh sb="120" eb="123">
      <t>コウゾウカ</t>
    </rPh>
    <rPh sb="127" eb="129">
      <t>ブンショウ</t>
    </rPh>
    <rPh sb="130" eb="132">
      <t>ガゾウ</t>
    </rPh>
    <rPh sb="133" eb="135">
      <t>ドウガ</t>
    </rPh>
    <rPh sb="136" eb="138">
      <t>オンセイ</t>
    </rPh>
    <rPh sb="139" eb="141">
      <t>オンガク</t>
    </rPh>
    <rPh sb="145" eb="146">
      <t>フク</t>
    </rPh>
    <phoneticPr fontId="1"/>
  </si>
  <si>
    <t xml:space="preserve">
様々なデータ利活用の現場において、数理・データサイエンス・ＡＩを活用するために使われている技術の概要および新たに得られる知見・価値を知る。理工学分野における数理・データサイエンス・ＡＩの活用を中心的に学び、流通、製造、金融、サービス、インフラ、公共、ヘルスケア等における活用は概論的に学ぶ。</t>
    <rPh sb="1" eb="3">
      <t>サマザマ</t>
    </rPh>
    <rPh sb="7" eb="10">
      <t>リカツヨウ</t>
    </rPh>
    <rPh sb="11" eb="13">
      <t>ゲンバ</t>
    </rPh>
    <rPh sb="18" eb="20">
      <t>スウリ</t>
    </rPh>
    <rPh sb="33" eb="35">
      <t>カツヨウ</t>
    </rPh>
    <rPh sb="40" eb="41">
      <t>ツカ</t>
    </rPh>
    <rPh sb="46" eb="48">
      <t>ギジュツ</t>
    </rPh>
    <rPh sb="49" eb="51">
      <t>ガイヨウ</t>
    </rPh>
    <rPh sb="54" eb="55">
      <t>アラ</t>
    </rPh>
    <rPh sb="57" eb="58">
      <t>エ</t>
    </rPh>
    <rPh sb="61" eb="63">
      <t>チケン</t>
    </rPh>
    <rPh sb="64" eb="66">
      <t>カチ</t>
    </rPh>
    <rPh sb="67" eb="68">
      <t>シ</t>
    </rPh>
    <rPh sb="70" eb="73">
      <t>リコウガク</t>
    </rPh>
    <rPh sb="73" eb="75">
      <t>ブンヤ</t>
    </rPh>
    <rPh sb="94" eb="96">
      <t>カツヨウ</t>
    </rPh>
    <rPh sb="97" eb="100">
      <t>チュウシンテキ</t>
    </rPh>
    <rPh sb="101" eb="102">
      <t>マナ</t>
    </rPh>
    <rPh sb="136" eb="138">
      <t>カツヨウ</t>
    </rPh>
    <rPh sb="139" eb="142">
      <t>ガイロンテキ</t>
    </rPh>
    <rPh sb="143" eb="144">
      <t>マナ</t>
    </rPh>
    <phoneticPr fontId="1"/>
  </si>
  <si>
    <t xml:space="preserve">
数理・データダイエンス・AI活用に当たっての様々な留意事項を理解する。個人情報保護法やＧＤＰＲなど、データを取り巻く国際的な動向を理解し、ドメイン分野に数理・データサイエンス・ＡＩを利用する際に求められるモラルや倫理を身に着ける。データ駆動型社会における様々な脅威を理解し、適切に数理・データダイエンス・AIを活用出来るようになる。</t>
    <rPh sb="1" eb="3">
      <t>スウリ</t>
    </rPh>
    <rPh sb="15" eb="17">
      <t>カツヨウ</t>
    </rPh>
    <rPh sb="18" eb="19">
      <t>ア</t>
    </rPh>
    <rPh sb="23" eb="25">
      <t>サマザマ</t>
    </rPh>
    <rPh sb="26" eb="30">
      <t>リュウイジコウ</t>
    </rPh>
    <rPh sb="31" eb="33">
      <t>リカイ</t>
    </rPh>
    <rPh sb="36" eb="40">
      <t>コジンジョウホウ</t>
    </rPh>
    <rPh sb="74" eb="76">
      <t>ブンヤ</t>
    </rPh>
    <rPh sb="77" eb="79">
      <t>スウリ</t>
    </rPh>
    <rPh sb="92" eb="94">
      <t>リヨウ</t>
    </rPh>
    <rPh sb="96" eb="97">
      <t>サイ</t>
    </rPh>
    <rPh sb="98" eb="99">
      <t>モト</t>
    </rPh>
    <rPh sb="107" eb="109">
      <t>リンリ</t>
    </rPh>
    <rPh sb="110" eb="111">
      <t>ミ</t>
    </rPh>
    <rPh sb="112" eb="113">
      <t>ツ</t>
    </rPh>
    <rPh sb="119" eb="122">
      <t>クドウガタ</t>
    </rPh>
    <rPh sb="122" eb="124">
      <t>シャカイ</t>
    </rPh>
    <rPh sb="128" eb="130">
      <t>サマザマ</t>
    </rPh>
    <rPh sb="131" eb="133">
      <t>キョウイ</t>
    </rPh>
    <rPh sb="134" eb="136">
      <t>リカイ</t>
    </rPh>
    <rPh sb="138" eb="140">
      <t>テキセツ</t>
    </rPh>
    <rPh sb="156" eb="158">
      <t>カツヨウ</t>
    </rPh>
    <rPh sb="158" eb="160">
      <t>デキ</t>
    </rPh>
    <phoneticPr fontId="1"/>
  </si>
  <si>
    <t>https://www.chitose.ac.jp/course/535</t>
    <phoneticPr fontId="1"/>
  </si>
  <si>
    <t>有</t>
  </si>
  <si>
    <t>情報技術概論</t>
    <rPh sb="0" eb="2">
      <t>ジョウホウ</t>
    </rPh>
    <rPh sb="2" eb="4">
      <t>ギジュツ</t>
    </rPh>
    <rPh sb="4" eb="6">
      <t>ガイロン</t>
    </rPh>
    <phoneticPr fontId="1"/>
  </si>
  <si>
    <t>数学Ａ</t>
    <phoneticPr fontId="1"/>
  </si>
  <si>
    <t>数学Ｂ</t>
    <phoneticPr fontId="1"/>
  </si>
  <si>
    <t>数学Ｃ</t>
    <phoneticPr fontId="1"/>
  </si>
  <si>
    <t>データサイエンス、数学Ａ、数学Ｂ、数学Ｃ</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</si>
</sst>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7"/>
      <color theme="1"/>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9"/>
      <name val="ＭＳ Ｐゴシック"/>
      <family val="3"/>
      <charset val="128"/>
      <scheme val="minor"/>
    </font>
    <font>
      <i/>
      <sz val="12"/>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10" fillId="0" borderId="0" xfId="0" applyNumberFormat="1" applyFont="1" applyBorder="1">
      <alignment vertical="center"/>
    </xf>
    <xf numFmtId="176" fontId="10" fillId="0" borderId="3" xfId="0" applyNumberFormat="1" applyFont="1" applyBorder="1" applyAlignment="1">
      <alignment vertical="center" shrinkToFit="1"/>
    </xf>
    <xf numFmtId="0" fontId="10" fillId="0" borderId="0" xfId="0" applyFont="1" applyBorder="1" applyAlignment="1">
      <alignment horizontal="center" vertical="center" shrinkToFit="1"/>
    </xf>
    <xf numFmtId="0" fontId="2" fillId="0" borderId="0" xfId="0" applyFont="1" applyAlignment="1">
      <alignment horizontal="center" vertical="center"/>
    </xf>
    <xf numFmtId="0" fontId="11" fillId="0" borderId="0" xfId="0" applyFont="1">
      <alignment vertical="center"/>
    </xf>
    <xf numFmtId="0" fontId="10" fillId="0" borderId="0" xfId="0" applyFont="1" applyBorder="1" applyAlignment="1">
      <alignment vertical="center" shrinkToFit="1"/>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10" xfId="0" applyFont="1" applyBorder="1" applyAlignment="1">
      <alignment vertical="center"/>
    </xf>
    <xf numFmtId="0" fontId="10" fillId="0" borderId="5" xfId="0" applyFont="1" applyBorder="1">
      <alignment vertical="center"/>
    </xf>
    <xf numFmtId="176" fontId="10" fillId="0" borderId="0" xfId="0" applyNumberFormat="1" applyFont="1" applyBorder="1" applyAlignment="1">
      <alignment vertical="center" wrapText="1"/>
    </xf>
    <xf numFmtId="0" fontId="10" fillId="0" borderId="0" xfId="0" applyFont="1" applyBorder="1">
      <alignment vertical="center"/>
    </xf>
    <xf numFmtId="176" fontId="10" fillId="0" borderId="5" xfId="0" applyNumberFormat="1" applyFont="1" applyBorder="1" applyAlignment="1">
      <alignment vertical="center"/>
    </xf>
    <xf numFmtId="0" fontId="10" fillId="0" borderId="0" xfId="0" applyFont="1" applyBorder="1" applyAlignment="1">
      <alignment horizontal="center" vertical="center"/>
    </xf>
    <xf numFmtId="176" fontId="10" fillId="0" borderId="0" xfId="0" applyNumberFormat="1" applyFont="1" applyAlignment="1">
      <alignment vertical="center" wrapText="1"/>
    </xf>
    <xf numFmtId="0" fontId="10" fillId="0" borderId="0" xfId="0" applyFont="1" applyAlignment="1">
      <alignment horizontal="center" vertical="center"/>
    </xf>
    <xf numFmtId="176" fontId="10" fillId="0" borderId="0" xfId="0" applyNumberFormat="1" applyFont="1" applyAlignment="1">
      <alignment horizontal="left" vertical="center" wrapText="1"/>
    </xf>
    <xf numFmtId="0" fontId="10" fillId="0" borderId="0" xfId="0" applyFont="1" applyAlignment="1">
      <alignment horizontal="right" vertical="center"/>
    </xf>
    <xf numFmtId="0" fontId="10" fillId="0" borderId="6" xfId="0" applyFont="1" applyBorder="1" applyAlignment="1">
      <alignment vertical="center" shrinkToFit="1"/>
    </xf>
    <xf numFmtId="0" fontId="10" fillId="0" borderId="1" xfId="0" applyFont="1" applyBorder="1">
      <alignment vertical="center"/>
    </xf>
    <xf numFmtId="0" fontId="10" fillId="0" borderId="2" xfId="0" applyFont="1" applyBorder="1">
      <alignment vertical="center"/>
    </xf>
    <xf numFmtId="0" fontId="10" fillId="0" borderId="4" xfId="0" applyFont="1" applyBorder="1">
      <alignment vertical="center"/>
    </xf>
    <xf numFmtId="0" fontId="10" fillId="0" borderId="0" xfId="0" applyFont="1" applyBorder="1" applyAlignment="1">
      <alignment vertical="center" shrinkToFit="1"/>
    </xf>
    <xf numFmtId="0" fontId="2" fillId="0" borderId="0" xfId="0" applyFont="1" applyAlignment="1">
      <alignment horizontal="center" vertical="center"/>
    </xf>
    <xf numFmtId="0" fontId="2" fillId="0" borderId="0" xfId="0" applyFont="1" applyAlignment="1">
      <alignment vertical="center" shrinkToFit="1"/>
    </xf>
    <xf numFmtId="0" fontId="2" fillId="0" borderId="0" xfId="0" applyFont="1" applyBorder="1" applyAlignment="1">
      <alignment vertical="center" shrinkToFit="1"/>
    </xf>
    <xf numFmtId="176" fontId="4" fillId="0" borderId="0" xfId="0" applyNumberFormat="1" applyFont="1" applyBorder="1" applyAlignment="1">
      <alignment vertical="center" shrinkToFit="1"/>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10" fillId="0" borderId="0" xfId="0" applyFont="1" applyBorder="1" applyAlignment="1">
      <alignment vertical="center" shrinkToFit="1"/>
    </xf>
    <xf numFmtId="0" fontId="5" fillId="0" borderId="0" xfId="0" applyFont="1" applyAlignment="1">
      <alignment vertical="top" wrapText="1"/>
    </xf>
    <xf numFmtId="0" fontId="11"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10" fillId="0" borderId="1" xfId="0" applyFont="1" applyBorder="1" applyAlignment="1">
      <alignment vertical="center" shrinkToFit="1"/>
    </xf>
    <xf numFmtId="0" fontId="2" fillId="0" borderId="1" xfId="0" applyFont="1" applyBorder="1" applyAlignment="1">
      <alignment vertical="center" wrapText="1"/>
    </xf>
    <xf numFmtId="0" fontId="11" fillId="0" borderId="0" xfId="0" applyFont="1" applyFill="1">
      <alignment vertical="center"/>
    </xf>
    <xf numFmtId="0" fontId="4" fillId="0" borderId="0" xfId="0" applyFont="1" applyAlignment="1">
      <alignment vertical="top" wrapText="1"/>
    </xf>
    <xf numFmtId="0" fontId="5" fillId="0" borderId="0" xfId="0" applyFont="1" applyAlignment="1">
      <alignment vertical="top" wrapText="1"/>
    </xf>
    <xf numFmtId="0" fontId="14" fillId="0" borderId="0" xfId="0" applyFont="1">
      <alignment vertical="center"/>
    </xf>
    <xf numFmtId="0" fontId="16" fillId="0" borderId="21" xfId="0" applyFont="1" applyBorder="1" applyAlignment="1">
      <alignment vertical="top" shrinkToFit="1"/>
    </xf>
    <xf numFmtId="0" fontId="16" fillId="0" borderId="19" xfId="0" applyFont="1" applyBorder="1" applyAlignment="1">
      <alignment vertical="top" shrinkToFit="1"/>
    </xf>
    <xf numFmtId="0" fontId="16" fillId="0" borderId="0" xfId="0" applyFont="1" applyBorder="1" applyAlignment="1">
      <alignment vertical="center" shrinkToFit="1"/>
    </xf>
    <xf numFmtId="0" fontId="16"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7" fillId="0" borderId="0" xfId="2" applyNumberFormat="1" applyFont="1" applyBorder="1" applyAlignment="1">
      <alignment vertical="center" shrinkToFit="1"/>
    </xf>
    <xf numFmtId="0" fontId="10" fillId="0" borderId="0" xfId="0" applyFont="1" applyBorder="1" applyAlignment="1">
      <alignment vertical="center" shrinkToFit="1"/>
    </xf>
    <xf numFmtId="0" fontId="15" fillId="0" borderId="0" xfId="0" applyFont="1" applyBorder="1" applyAlignment="1">
      <alignment vertical="center" shrinkToFit="1"/>
    </xf>
    <xf numFmtId="0" fontId="10" fillId="0" borderId="0" xfId="0" applyFont="1" applyBorder="1" applyAlignment="1">
      <alignment horizontal="center" vertical="center"/>
    </xf>
    <xf numFmtId="0" fontId="11" fillId="0" borderId="0" xfId="0" applyFont="1" applyAlignment="1">
      <alignment horizontal="right" vertical="center"/>
    </xf>
    <xf numFmtId="0" fontId="10"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2" xfId="0" applyFont="1" applyBorder="1" applyAlignment="1">
      <alignment horizontal="center" vertical="center" shrinkToFit="1"/>
    </xf>
    <xf numFmtId="0" fontId="2" fillId="0" borderId="2" xfId="0" applyFont="1" applyBorder="1" applyAlignment="1">
      <alignment vertical="center" shrinkToFit="1"/>
    </xf>
    <xf numFmtId="0" fontId="10" fillId="0" borderId="2" xfId="0" applyFont="1" applyBorder="1" applyAlignment="1">
      <alignment horizontal="center" vertical="center" shrinkToFit="1"/>
    </xf>
    <xf numFmtId="0" fontId="2" fillId="0" borderId="0" xfId="0" applyFont="1" applyAlignment="1">
      <alignment horizontal="left" vertical="top"/>
    </xf>
    <xf numFmtId="0" fontId="10" fillId="0" borderId="0" xfId="0" applyFont="1" applyAlignment="1">
      <alignment vertical="center" shrinkToFit="1"/>
    </xf>
    <xf numFmtId="0" fontId="10" fillId="0" borderId="2" xfId="0" applyFont="1" applyBorder="1" applyAlignment="1">
      <alignment horizontal="center" vertical="center" shrinkToFit="1"/>
    </xf>
    <xf numFmtId="0" fontId="10" fillId="0" borderId="0" xfId="0" applyFont="1" applyAlignment="1">
      <alignment horizontal="center" vertical="center" shrinkToFit="1"/>
    </xf>
    <xf numFmtId="0" fontId="11" fillId="0" borderId="1" xfId="0" applyFont="1" applyFill="1" applyBorder="1" applyAlignment="1">
      <alignment vertical="center" wrapText="1"/>
    </xf>
    <xf numFmtId="0" fontId="10" fillId="0" borderId="0" xfId="0" applyFont="1" applyFill="1" applyAlignment="1">
      <alignment vertical="center" wrapText="1"/>
    </xf>
    <xf numFmtId="0" fontId="10" fillId="0" borderId="5" xfId="0" applyFont="1" applyBorder="1" applyAlignment="1">
      <alignment vertical="center" shrinkToFit="1"/>
    </xf>
    <xf numFmtId="176" fontId="10" fillId="0" borderId="5" xfId="0" applyNumberFormat="1" applyFont="1" applyBorder="1" applyAlignment="1">
      <alignment vertical="center" shrinkToFit="1"/>
    </xf>
    <xf numFmtId="176" fontId="10" fillId="0" borderId="33" xfId="0" applyNumberFormat="1" applyFont="1" applyBorder="1" applyAlignment="1">
      <alignment vertical="center" shrinkToFit="1"/>
    </xf>
    <xf numFmtId="176" fontId="10" fillId="0" borderId="34" xfId="0" applyNumberFormat="1" applyFont="1" applyBorder="1" applyAlignment="1">
      <alignment vertical="center" shrinkToFit="1"/>
    </xf>
    <xf numFmtId="176" fontId="10" fillId="0" borderId="10" xfId="0" applyNumberFormat="1" applyFont="1" applyBorder="1" applyAlignment="1">
      <alignment vertical="center" shrinkToFit="1"/>
    </xf>
    <xf numFmtId="176" fontId="10" fillId="0" borderId="14" xfId="0" applyNumberFormat="1" applyFont="1" applyBorder="1" applyAlignment="1">
      <alignment vertical="center" shrinkToFit="1"/>
    </xf>
    <xf numFmtId="9" fontId="10" fillId="0" borderId="10" xfId="0" applyNumberFormat="1" applyFont="1" applyBorder="1" applyAlignment="1">
      <alignment vertical="center" shrinkToFit="1"/>
    </xf>
    <xf numFmtId="0" fontId="10" fillId="0" borderId="20" xfId="0" applyFont="1" applyBorder="1" applyAlignment="1">
      <alignment vertical="center" shrinkToFit="1"/>
    </xf>
    <xf numFmtId="176" fontId="10" fillId="0" borderId="20" xfId="0" applyNumberFormat="1" applyFont="1" applyBorder="1" applyAlignment="1">
      <alignment vertical="center" shrinkToFit="1"/>
    </xf>
    <xf numFmtId="176" fontId="10" fillId="0" borderId="35" xfId="0" applyNumberFormat="1" applyFont="1" applyBorder="1" applyAlignment="1">
      <alignment vertical="center" shrinkToFit="1"/>
    </xf>
    <xf numFmtId="176" fontId="10" fillId="0" borderId="36" xfId="0" applyNumberFormat="1" applyFont="1" applyBorder="1" applyAlignment="1">
      <alignment vertical="center" shrinkToFit="1"/>
    </xf>
    <xf numFmtId="176" fontId="10" fillId="0" borderId="19" xfId="0" applyNumberFormat="1" applyFont="1" applyBorder="1" applyAlignment="1">
      <alignment vertical="center" shrinkToFit="1"/>
    </xf>
    <xf numFmtId="176" fontId="10" fillId="0" borderId="25" xfId="0" applyNumberFormat="1" applyFont="1" applyBorder="1" applyAlignment="1">
      <alignment vertical="center" shrinkToFit="1"/>
    </xf>
    <xf numFmtId="176" fontId="10" fillId="0" borderId="26" xfId="0" applyNumberFormat="1" applyFont="1" applyBorder="1" applyAlignment="1">
      <alignment vertical="center" shrinkToFit="1"/>
    </xf>
    <xf numFmtId="0" fontId="10" fillId="0" borderId="27" xfId="0" applyFont="1" applyBorder="1" applyAlignment="1">
      <alignment vertical="center" shrinkToFit="1"/>
    </xf>
    <xf numFmtId="176" fontId="10" fillId="0" borderId="27" xfId="0" applyNumberFormat="1" applyFont="1" applyBorder="1" applyAlignment="1">
      <alignment vertical="center" shrinkToFit="1"/>
    </xf>
    <xf numFmtId="176" fontId="10" fillId="0" borderId="37" xfId="0" applyNumberFormat="1" applyFont="1" applyBorder="1" applyAlignment="1">
      <alignment vertical="center" shrinkToFit="1"/>
    </xf>
    <xf numFmtId="176" fontId="10" fillId="0" borderId="38" xfId="0" applyNumberFormat="1" applyFont="1" applyBorder="1" applyAlignment="1">
      <alignment vertical="center" shrinkToFit="1"/>
    </xf>
    <xf numFmtId="176" fontId="10" fillId="0" borderId="29" xfId="0" applyNumberFormat="1" applyFont="1" applyBorder="1" applyAlignment="1">
      <alignment vertical="center" shrinkToFit="1"/>
    </xf>
    <xf numFmtId="176" fontId="10" fillId="0" borderId="30" xfId="0" applyNumberFormat="1" applyFont="1" applyBorder="1" applyAlignment="1">
      <alignment vertical="center" shrinkToFit="1"/>
    </xf>
    <xf numFmtId="9" fontId="10" fillId="0" borderId="29" xfId="0" applyNumberFormat="1" applyFont="1" applyBorder="1" applyAlignment="1">
      <alignment vertical="center" shrinkToFit="1"/>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10" fillId="0" borderId="2" xfId="0" applyFont="1" applyBorder="1" applyAlignment="1">
      <alignment horizontal="center" vertical="center" shrinkToFit="1"/>
    </xf>
    <xf numFmtId="0" fontId="10" fillId="0" borderId="0" xfId="0" applyFont="1" applyBorder="1" applyAlignment="1">
      <alignment vertical="center" shrinkToFit="1"/>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4" xfId="0" applyFont="1" applyFill="1" applyBorder="1" applyAlignment="1">
      <alignment horizontal="center" vertical="center"/>
    </xf>
    <xf numFmtId="176" fontId="3" fillId="0" borderId="2" xfId="0" applyNumberFormat="1" applyFont="1" applyBorder="1" applyAlignment="1">
      <alignment horizontal="center" vertical="center" shrinkToFit="1"/>
    </xf>
    <xf numFmtId="176" fontId="3" fillId="0" borderId="4" xfId="0" applyNumberFormat="1" applyFont="1" applyBorder="1" applyAlignment="1">
      <alignment horizontal="center" vertical="center" shrinkToFit="1"/>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0" fontId="10" fillId="0" borderId="0" xfId="0" applyFont="1" applyBorder="1" applyAlignment="1">
      <alignment horizontal="center" vertical="center"/>
    </xf>
    <xf numFmtId="176" fontId="15" fillId="0" borderId="2" xfId="0" applyNumberFormat="1" applyFont="1" applyBorder="1" applyAlignment="1">
      <alignment horizontal="center" vertical="center" shrinkToFit="1"/>
    </xf>
    <xf numFmtId="176" fontId="15" fillId="0" borderId="4" xfId="0" applyNumberFormat="1" applyFont="1" applyBorder="1" applyAlignment="1">
      <alignment horizontal="center"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0" fillId="0" borderId="0" xfId="0" applyFont="1" applyBorder="1" applyAlignment="1">
      <alignment horizontal="right" vertical="center" shrinkToFit="1"/>
    </xf>
    <xf numFmtId="0" fontId="10" fillId="0" borderId="5" xfId="0" applyFont="1" applyBorder="1" applyAlignment="1">
      <alignment horizontal="right" vertical="center" shrinkToFit="1"/>
    </xf>
    <xf numFmtId="0" fontId="10" fillId="0" borderId="10" xfId="0" applyFont="1" applyBorder="1" applyAlignment="1">
      <alignment horizontal="right" vertical="center" shrinkToFit="1"/>
    </xf>
    <xf numFmtId="0" fontId="11" fillId="0" borderId="0" xfId="0" applyFont="1" applyAlignment="1">
      <alignment horizontal="right" vertical="center"/>
    </xf>
    <xf numFmtId="0" fontId="10" fillId="0" borderId="0" xfId="0" applyFont="1" applyBorder="1" applyAlignment="1">
      <alignment horizontal="right" vertical="center"/>
    </xf>
    <xf numFmtId="0" fontId="10" fillId="0" borderId="10" xfId="0" applyFont="1" applyBorder="1" applyAlignment="1">
      <alignment horizontal="right" vertical="center"/>
    </xf>
    <xf numFmtId="176" fontId="3" fillId="0" borderId="3" xfId="0" applyNumberFormat="1" applyFont="1" applyBorder="1" applyAlignment="1">
      <alignment horizontal="center" vertical="center" shrinkToFit="1"/>
    </xf>
    <xf numFmtId="0" fontId="10" fillId="0" borderId="0" xfId="0" applyFont="1" applyBorder="1" applyAlignment="1">
      <alignment horizontal="center" vertical="center" shrinkToFit="1"/>
    </xf>
    <xf numFmtId="0" fontId="10" fillId="0" borderId="2" xfId="0" applyFont="1" applyFill="1" applyBorder="1" applyAlignment="1">
      <alignment horizontal="center" vertical="center" shrinkToFit="1"/>
    </xf>
    <xf numFmtId="0" fontId="10" fillId="0" borderId="3" xfId="0" applyFont="1" applyFill="1" applyBorder="1" applyAlignment="1">
      <alignment horizontal="center" vertical="center" shrinkToFit="1"/>
    </xf>
    <xf numFmtId="0" fontId="10" fillId="0" borderId="4" xfId="0" applyFont="1" applyFill="1" applyBorder="1" applyAlignment="1">
      <alignment horizontal="center" vertical="center" shrinkToFit="1"/>
    </xf>
    <xf numFmtId="0" fontId="10" fillId="0" borderId="0" xfId="0" applyFont="1" applyAlignment="1">
      <alignment horizontal="center" vertical="center"/>
    </xf>
    <xf numFmtId="49" fontId="7" fillId="0" borderId="2" xfId="2" applyNumberFormat="1" applyBorder="1" applyAlignment="1">
      <alignment vertical="center" shrinkToFit="1"/>
    </xf>
    <xf numFmtId="49" fontId="15" fillId="0" borderId="3" xfId="0" applyNumberFormat="1" applyFont="1" applyBorder="1" applyAlignment="1">
      <alignment vertical="center" shrinkToFit="1"/>
    </xf>
    <xf numFmtId="49" fontId="15"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3" fillId="0" borderId="4" xfId="0" applyFont="1" applyBorder="1" applyAlignment="1">
      <alignment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10" fillId="0" borderId="0" xfId="0" applyFont="1" applyAlignment="1">
      <alignment horizontal="center" vertical="center" shrinkToFit="1"/>
    </xf>
    <xf numFmtId="0" fontId="10" fillId="0" borderId="1" xfId="0" applyFont="1" applyBorder="1" applyAlignment="1">
      <alignment horizontal="center" vertical="center"/>
    </xf>
    <xf numFmtId="0" fontId="10" fillId="0" borderId="1" xfId="0" applyFont="1" applyBorder="1" applyAlignment="1">
      <alignment horizontal="center" vertical="center" shrinkToFit="1"/>
    </xf>
    <xf numFmtId="0" fontId="15" fillId="0" borderId="2" xfId="0" applyFont="1" applyBorder="1" applyAlignment="1">
      <alignment vertical="center" shrinkToFit="1"/>
    </xf>
    <xf numFmtId="0" fontId="15" fillId="0" borderId="3" xfId="0" applyFont="1" applyBorder="1" applyAlignment="1">
      <alignment vertical="center" shrinkToFit="1"/>
    </xf>
    <xf numFmtId="0" fontId="15" fillId="0" borderId="4" xfId="0" applyFont="1" applyBorder="1" applyAlignment="1">
      <alignment vertical="center" shrinkToFit="1"/>
    </xf>
    <xf numFmtId="0" fontId="10" fillId="0" borderId="20" xfId="0" applyFont="1" applyBorder="1" applyAlignment="1">
      <alignment vertical="center" shrinkToFit="1"/>
    </xf>
    <xf numFmtId="0" fontId="10" fillId="0" borderId="19" xfId="0" applyFont="1" applyBorder="1" applyAlignment="1">
      <alignment vertical="center" shrinkToFit="1"/>
    </xf>
    <xf numFmtId="0" fontId="11" fillId="0" borderId="15" xfId="0" applyFont="1" applyBorder="1" applyAlignment="1">
      <alignment vertical="center" shrinkToFit="1"/>
    </xf>
    <xf numFmtId="0" fontId="10" fillId="0" borderId="39" xfId="0" applyFont="1" applyBorder="1" applyAlignment="1">
      <alignment vertical="center" shrinkToFit="1"/>
    </xf>
    <xf numFmtId="0" fontId="10" fillId="0" borderId="27" xfId="0" applyFont="1" applyBorder="1" applyAlignment="1">
      <alignment horizontal="center" vertical="center" shrinkToFit="1"/>
    </xf>
    <xf numFmtId="0" fontId="10" fillId="0" borderId="2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6" xfId="0" applyFont="1" applyBorder="1" applyAlignment="1">
      <alignment horizontal="center" vertical="center"/>
    </xf>
    <xf numFmtId="0" fontId="10" fillId="0" borderId="40" xfId="0" applyFont="1" applyBorder="1" applyAlignment="1">
      <alignment vertical="center" shrinkToFit="1"/>
    </xf>
    <xf numFmtId="0" fontId="10" fillId="0" borderId="41"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9" fillId="0" borderId="11"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39" xfId="0" applyFont="1" applyBorder="1" applyAlignment="1">
      <alignment horizontal="center" vertical="center"/>
    </xf>
    <xf numFmtId="0" fontId="13" fillId="0" borderId="16" xfId="0" applyFont="1" applyBorder="1" applyAlignment="1">
      <alignment horizontal="center" vertical="center" wrapText="1"/>
    </xf>
    <xf numFmtId="0" fontId="12"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2" fillId="0" borderId="0" xfId="0" applyFont="1" applyAlignment="1">
      <alignment horizontal="center" vertical="center"/>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3" fillId="0" borderId="13" xfId="0" applyFont="1" applyBorder="1" applyAlignment="1">
      <alignment vertical="center" wrapTex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7" fillId="0" borderId="2" xfId="2" applyFill="1" applyBorder="1" applyAlignment="1">
      <alignment vertical="center" shrinkToFit="1"/>
    </xf>
    <xf numFmtId="0" fontId="15" fillId="0" borderId="3" xfId="0" applyFont="1" applyFill="1" applyBorder="1" applyAlignment="1">
      <alignment vertical="center" shrinkToFit="1"/>
    </xf>
    <xf numFmtId="0" fontId="15" fillId="0" borderId="4" xfId="0" applyFont="1" applyFill="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horizontal="center" vertical="center" shrinkToFit="1"/>
    </xf>
    <xf numFmtId="0" fontId="3" fillId="0" borderId="0" xfId="0" applyFont="1" applyAlignment="1">
      <alignment horizontal="center" vertical="center"/>
    </xf>
    <xf numFmtId="0" fontId="11" fillId="0" borderId="7" xfId="0" applyFont="1" applyFill="1" applyBorder="1" applyAlignment="1">
      <alignment vertical="top" wrapText="1" shrinkToFit="1"/>
    </xf>
    <xf numFmtId="0" fontId="10" fillId="0" borderId="8" xfId="0" applyFont="1" applyFill="1" applyBorder="1" applyAlignment="1">
      <alignment vertical="top" shrinkToFit="1"/>
    </xf>
    <xf numFmtId="0" fontId="10" fillId="0" borderId="9" xfId="0" applyFont="1" applyFill="1" applyBorder="1" applyAlignment="1">
      <alignment vertical="top" shrinkToFit="1"/>
    </xf>
    <xf numFmtId="0" fontId="10" fillId="0" borderId="5" xfId="0" applyFont="1" applyFill="1" applyBorder="1" applyAlignment="1">
      <alignment vertical="top" shrinkToFit="1"/>
    </xf>
    <xf numFmtId="0" fontId="10" fillId="0" borderId="0" xfId="0" applyFont="1" applyFill="1" applyBorder="1" applyAlignment="1">
      <alignment vertical="top" shrinkToFit="1"/>
    </xf>
    <xf numFmtId="0" fontId="10" fillId="0" borderId="10" xfId="0" applyFont="1" applyFill="1" applyBorder="1" applyAlignment="1">
      <alignment vertical="top" shrinkToFit="1"/>
    </xf>
    <xf numFmtId="0" fontId="10" fillId="0" borderId="11" xfId="0" applyFont="1" applyFill="1" applyBorder="1" applyAlignment="1">
      <alignment vertical="top" shrinkToFit="1"/>
    </xf>
    <xf numFmtId="0" fontId="10" fillId="0" borderId="6" xfId="0" applyFont="1" applyFill="1" applyBorder="1" applyAlignment="1">
      <alignment vertical="top" shrinkToFit="1"/>
    </xf>
    <xf numFmtId="0" fontId="10" fillId="0" borderId="12" xfId="0" applyFont="1" applyFill="1" applyBorder="1" applyAlignment="1">
      <alignment vertical="top"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10" fillId="0" borderId="21" xfId="0" applyFont="1" applyFill="1" applyBorder="1" applyAlignment="1">
      <alignment vertical="top" wrapText="1" shrinkToFit="1"/>
    </xf>
    <xf numFmtId="0" fontId="10" fillId="0" borderId="19" xfId="0" applyFont="1" applyFill="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10" fillId="0" borderId="24" xfId="0" applyFont="1" applyFill="1" applyBorder="1" applyAlignment="1">
      <alignment vertical="top" wrapText="1" shrinkToFit="1"/>
    </xf>
    <xf numFmtId="0" fontId="10" fillId="0" borderId="23" xfId="0" applyFont="1" applyFill="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3" fillId="0" borderId="21" xfId="0" applyFont="1" applyFill="1" applyBorder="1" applyAlignment="1">
      <alignment vertical="top" wrapText="1" shrinkToFit="1"/>
    </xf>
    <xf numFmtId="0" fontId="3" fillId="0" borderId="19" xfId="0" applyFont="1" applyFill="1" applyBorder="1" applyAlignment="1">
      <alignment vertical="top" wrapText="1" shrinkToFit="1"/>
    </xf>
    <xf numFmtId="0" fontId="7" fillId="0" borderId="2" xfId="2" applyFill="1" applyBorder="1" applyAlignment="1">
      <alignment horizontal="left" vertical="center" shrinkToFit="1"/>
    </xf>
    <xf numFmtId="0" fontId="18" fillId="0" borderId="3" xfId="0" applyFont="1" applyFill="1" applyBorder="1" applyAlignment="1">
      <alignment horizontal="left" vertical="center" shrinkToFit="1"/>
    </xf>
    <xf numFmtId="0" fontId="18" fillId="0" borderId="4" xfId="0" applyFont="1" applyFill="1" applyBorder="1" applyAlignment="1">
      <alignment horizontal="left" vertical="center" shrinkToFit="1"/>
    </xf>
    <xf numFmtId="0" fontId="3" fillId="0" borderId="20" xfId="0" applyFont="1" applyBorder="1" applyAlignment="1">
      <alignment vertical="top" wrapText="1" shrinkToFit="1"/>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6" xfId="0" applyFont="1" applyFill="1" applyBorder="1" applyAlignment="1">
      <alignment vertical="top" wrapText="1" shrinkToFit="1"/>
    </xf>
    <xf numFmtId="0" fontId="3" fillId="0" borderId="12" xfId="0" applyFont="1" applyFill="1" applyBorder="1" applyAlignment="1">
      <alignment vertical="top" wrapText="1" shrinkToFi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Border="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20</xdr:col>
      <xdr:colOff>266701</xdr:colOff>
      <xdr:row>10</xdr:row>
      <xdr:rowOff>171450</xdr:rowOff>
    </xdr:from>
    <xdr:to>
      <xdr:col>28</xdr:col>
      <xdr:colOff>57151</xdr:colOff>
      <xdr:row>18</xdr:row>
      <xdr:rowOff>142875</xdr:rowOff>
    </xdr:to>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11525251" y="2266950"/>
          <a:ext cx="5276850"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・学部・学科等別に各年度における履修者数、修了者数を入力してください。（</a:t>
          </a:r>
          <a:r>
            <a:rPr lang="ja-JP" altLang="en-US" sz="1100" u="sng">
              <a:solidFill>
                <a:srgbClr val="FF0000"/>
              </a:solidFill>
              <a:effectLst/>
              <a:latin typeface="游ゴシック" panose="020B0400000000000000" pitchFamily="50" charset="-128"/>
              <a:ea typeface="游ゴシック" panose="020B0400000000000000" pitchFamily="50" charset="-128"/>
              <a:cs typeface="+mn-cs"/>
            </a:rPr>
            <a:t>直近の修業年限に相当する期間における当該教育プログラムの履修者数及び修了者数</a:t>
          </a:r>
          <a:r>
            <a:rPr lang="ja-JP" altLang="en-US" sz="1100">
              <a:solidFill>
                <a:srgbClr val="FF0000"/>
              </a:solidFill>
              <a:effectLst/>
              <a:latin typeface="游ゴシック" panose="020B0400000000000000" pitchFamily="50" charset="-128"/>
              <a:ea typeface="游ゴシック" panose="020B0400000000000000" pitchFamily="50" charset="-128"/>
              <a:cs typeface="+mn-cs"/>
            </a:rPr>
            <a:t>を入力してください。）</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・令和２年５月１日現在、大学等に所属する学生のうち、過去も含めて年度ごとに履修者数、修了者数を入力してください。</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・履修者及び修了者がいない学部・学科等は「０」と入力してください。</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20</xdr:col>
      <xdr:colOff>257176</xdr:colOff>
      <xdr:row>18</xdr:row>
      <xdr:rowOff>200024</xdr:rowOff>
    </xdr:from>
    <xdr:to>
      <xdr:col>24</xdr:col>
      <xdr:colOff>28575</xdr:colOff>
      <xdr:row>31</xdr:row>
      <xdr:rowOff>28574</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11515726" y="4200524"/>
          <a:ext cx="2514599" cy="2771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・学部・学科名称の後に括弧書きで学校基本調査「学科系統分類表」の大分類の名称を記載してください。</a:t>
          </a:r>
        </a:p>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・単科大学等の場合（１学部・学科の場合）、学科等別に記載してください。学科等名称の後に括弧書きで学校基本調査「学科系統分類表」の小分類の名称を記載してください。</a:t>
          </a:r>
          <a:endParaRPr lang="en-US" altLang="ja-JP" sz="1100">
            <a:solidFill>
              <a:srgbClr val="FF0000"/>
            </a:solidFill>
            <a:effectLst/>
            <a:latin typeface="游ゴシック" panose="020B0400000000000000" pitchFamily="50" charset="-128"/>
            <a:ea typeface="游ゴシック" panose="020B0400000000000000" pitchFamily="50" charset="-128"/>
            <a:cs typeface="+mn-cs"/>
          </a:endParaRPr>
        </a:p>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・収容定員欄は令和２年５月１日現在の収容定員を入力してください。</a:t>
          </a:r>
        </a:p>
      </xdr:txBody>
    </xdr:sp>
    <xdr:clientData/>
  </xdr:twoCellAnchor>
  <xdr:twoCellAnchor>
    <xdr:from>
      <xdr:col>1</xdr:col>
      <xdr:colOff>133350</xdr:colOff>
      <xdr:row>12</xdr:row>
      <xdr:rowOff>104775</xdr:rowOff>
    </xdr:from>
    <xdr:to>
      <xdr:col>2</xdr:col>
      <xdr:colOff>1343025</xdr:colOff>
      <xdr:row>17</xdr:row>
      <xdr:rowOff>123825</xdr:rowOff>
    </xdr:to>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323850" y="2676525"/>
          <a:ext cx="216217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本学は学科配属が</a:t>
          </a:r>
          <a:r>
            <a:rPr kumimoji="1" lang="en-US" altLang="ja-JP" sz="1100"/>
            <a:t>2</a:t>
          </a:r>
          <a:r>
            <a:rPr kumimoji="1" lang="ja-JP" altLang="en-US" sz="1100"/>
            <a:t>年次です。本プログラムは</a:t>
          </a:r>
          <a:r>
            <a:rPr kumimoji="1" lang="en-US" altLang="ja-JP" sz="1100"/>
            <a:t>1</a:t>
          </a:r>
          <a:r>
            <a:rPr kumimoji="1" lang="ja-JP" altLang="en-US" sz="1100"/>
            <a:t>年次に履修するため、学科別に履修者数を記載することができません。</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gaku@photon.chitose.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hitose.ac.jp/course/535"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hitose.ac.jp/course/535"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view="pageBreakPreview" zoomScaleNormal="100" zoomScaleSheetLayoutView="100" workbookViewId="0"/>
  </sheetViews>
  <sheetFormatPr defaultColWidth="9" defaultRowHeight="18.75" customHeight="1" x14ac:dyDescent="0.15"/>
  <cols>
    <col min="1" max="1" width="2.5" style="26" customWidth="1"/>
    <col min="2" max="2" width="12.5" style="26" customWidth="1"/>
    <col min="3" max="8" width="6.25" style="26" customWidth="1"/>
    <col min="9" max="9" width="2.5" style="26" customWidth="1"/>
    <col min="10" max="10" width="10" style="26" customWidth="1"/>
    <col min="11" max="11" width="2.5" style="26" customWidth="1"/>
    <col min="12" max="12" width="7.5" style="26" customWidth="1"/>
    <col min="13" max="13" width="2.5" style="26" customWidth="1"/>
    <col min="14" max="14" width="7.5" style="26" customWidth="1"/>
    <col min="15" max="16384" width="9" style="26"/>
  </cols>
  <sheetData>
    <row r="1" spans="1:14" ht="22.5" customHeight="1" x14ac:dyDescent="0.15">
      <c r="M1" s="141" t="s">
        <v>28</v>
      </c>
      <c r="N1" s="141"/>
    </row>
    <row r="2" spans="1:14" ht="22.5" customHeight="1" x14ac:dyDescent="0.15">
      <c r="A2" s="149" t="s">
        <v>132</v>
      </c>
      <c r="B2" s="149"/>
      <c r="C2" s="149"/>
      <c r="D2" s="149"/>
      <c r="E2" s="149"/>
      <c r="F2" s="149"/>
      <c r="G2" s="149"/>
      <c r="H2" s="149"/>
      <c r="I2" s="149"/>
      <c r="J2" s="149"/>
      <c r="K2" s="149"/>
      <c r="L2" s="149"/>
      <c r="M2" s="149"/>
      <c r="N2" s="149"/>
    </row>
    <row r="3" spans="1:14" ht="22.5" customHeight="1" x14ac:dyDescent="0.15"/>
    <row r="4" spans="1:14" ht="22.5" customHeight="1" x14ac:dyDescent="0.15">
      <c r="A4" s="26" t="s">
        <v>6</v>
      </c>
      <c r="B4" s="29" t="s">
        <v>19</v>
      </c>
      <c r="C4" s="129" t="s">
        <v>133</v>
      </c>
      <c r="D4" s="130"/>
      <c r="E4" s="130"/>
      <c r="F4" s="130"/>
      <c r="G4" s="130"/>
      <c r="H4" s="130"/>
      <c r="I4" s="130"/>
      <c r="J4" s="130"/>
      <c r="K4" s="130"/>
      <c r="L4" s="130"/>
      <c r="M4" s="130"/>
      <c r="N4" s="131"/>
    </row>
    <row r="5" spans="1:14" ht="7.5" customHeight="1" x14ac:dyDescent="0.15">
      <c r="B5" s="29"/>
      <c r="C5" s="29"/>
      <c r="D5" s="29"/>
      <c r="E5" s="30"/>
      <c r="F5" s="27"/>
      <c r="G5" s="27"/>
      <c r="H5" s="27"/>
      <c r="I5" s="27"/>
      <c r="J5" s="27"/>
      <c r="K5" s="27"/>
      <c r="L5" s="27"/>
      <c r="M5" s="27"/>
      <c r="N5" s="27"/>
    </row>
    <row r="6" spans="1:14" ht="22.5" customHeight="1" x14ac:dyDescent="0.15">
      <c r="A6" s="26" t="s">
        <v>55</v>
      </c>
      <c r="B6" s="29" t="s">
        <v>56</v>
      </c>
      <c r="C6" s="29"/>
      <c r="D6" s="129" t="s">
        <v>134</v>
      </c>
      <c r="E6" s="130"/>
      <c r="F6" s="130"/>
      <c r="G6" s="130"/>
      <c r="H6" s="130"/>
      <c r="I6" s="130"/>
      <c r="J6" s="130"/>
      <c r="K6" s="130"/>
      <c r="L6" s="130"/>
      <c r="M6" s="130"/>
      <c r="N6" s="131"/>
    </row>
    <row r="7" spans="1:14" ht="7.5" customHeight="1" x14ac:dyDescent="0.15">
      <c r="B7" s="29"/>
      <c r="C7" s="29"/>
      <c r="D7" s="29"/>
      <c r="E7" s="30"/>
      <c r="F7" s="27"/>
      <c r="G7" s="27"/>
      <c r="H7" s="27"/>
      <c r="I7" s="27"/>
      <c r="J7" s="27"/>
      <c r="K7" s="27"/>
      <c r="L7" s="27"/>
      <c r="M7" s="27"/>
      <c r="N7" s="27"/>
    </row>
    <row r="8" spans="1:14" ht="22.5" customHeight="1" x14ac:dyDescent="0.15">
      <c r="A8" s="31" t="s">
        <v>12</v>
      </c>
      <c r="B8" s="32" t="s">
        <v>57</v>
      </c>
      <c r="C8" s="129" t="s">
        <v>135</v>
      </c>
      <c r="D8" s="130"/>
      <c r="E8" s="131"/>
      <c r="F8" s="27"/>
      <c r="G8" s="145"/>
      <c r="H8" s="145"/>
      <c r="I8" s="145"/>
      <c r="J8" s="27"/>
      <c r="K8" s="27"/>
      <c r="L8" s="27"/>
      <c r="M8" s="27"/>
      <c r="N8" s="27"/>
    </row>
    <row r="9" spans="1:14" ht="7.5" customHeight="1" x14ac:dyDescent="0.15">
      <c r="B9" s="29"/>
      <c r="C9" s="29"/>
      <c r="D9" s="29"/>
      <c r="E9" s="30"/>
      <c r="F9" s="27"/>
      <c r="G9" s="27"/>
      <c r="H9" s="27"/>
      <c r="I9" s="27"/>
      <c r="J9" s="27"/>
      <c r="K9" s="27"/>
      <c r="L9" s="27"/>
      <c r="M9" s="27"/>
      <c r="N9" s="27"/>
    </row>
    <row r="10" spans="1:14" ht="22.5" customHeight="1" x14ac:dyDescent="0.15">
      <c r="A10" s="26" t="s">
        <v>16</v>
      </c>
      <c r="B10" s="29" t="s">
        <v>52</v>
      </c>
      <c r="C10" s="129" t="s">
        <v>136</v>
      </c>
      <c r="D10" s="130"/>
      <c r="E10" s="130"/>
      <c r="F10" s="130"/>
      <c r="G10" s="130"/>
      <c r="H10" s="130"/>
      <c r="I10" s="130"/>
      <c r="J10" s="130"/>
      <c r="K10" s="130"/>
      <c r="L10" s="130"/>
      <c r="M10" s="130"/>
      <c r="N10" s="131"/>
    </row>
    <row r="11" spans="1:14" ht="7.5" customHeight="1" x14ac:dyDescent="0.15">
      <c r="B11" s="29"/>
      <c r="C11" s="29"/>
      <c r="D11" s="29"/>
      <c r="E11" s="30"/>
      <c r="F11" s="27"/>
      <c r="G11" s="27"/>
      <c r="H11" s="27"/>
      <c r="I11" s="27"/>
      <c r="J11" s="27"/>
      <c r="K11" s="27"/>
      <c r="L11" s="27"/>
      <c r="M11" s="27"/>
      <c r="N11" s="27"/>
    </row>
    <row r="12" spans="1:14" ht="22.5" customHeight="1" x14ac:dyDescent="0.15">
      <c r="A12" s="26" t="s">
        <v>13</v>
      </c>
      <c r="B12" s="29" t="s">
        <v>126</v>
      </c>
      <c r="C12" s="29"/>
      <c r="D12" s="29"/>
      <c r="E12" s="82"/>
      <c r="F12" s="82"/>
      <c r="G12" s="129" t="s">
        <v>157</v>
      </c>
      <c r="H12" s="130"/>
      <c r="I12" s="130"/>
      <c r="J12" s="130"/>
      <c r="K12" s="130"/>
      <c r="L12" s="130"/>
      <c r="M12" s="130"/>
      <c r="N12" s="131"/>
    </row>
    <row r="13" spans="1:14" ht="7.5" customHeight="1" x14ac:dyDescent="0.15">
      <c r="B13" s="30"/>
      <c r="C13" s="30"/>
      <c r="D13" s="30"/>
      <c r="E13" s="30"/>
      <c r="F13" s="27"/>
      <c r="G13" s="27"/>
      <c r="H13" s="27"/>
      <c r="I13" s="27"/>
      <c r="J13" s="27"/>
      <c r="K13" s="27"/>
      <c r="L13" s="27"/>
      <c r="M13" s="27"/>
      <c r="N13" s="27"/>
    </row>
    <row r="14" spans="1:14" ht="22.5" customHeight="1" x14ac:dyDescent="0.15">
      <c r="A14" s="26" t="s">
        <v>67</v>
      </c>
      <c r="B14" s="30" t="s">
        <v>68</v>
      </c>
      <c r="C14" s="30"/>
      <c r="D14" s="30"/>
      <c r="E14" s="30"/>
      <c r="F14" s="146" t="s">
        <v>192</v>
      </c>
      <c r="G14" s="147"/>
      <c r="H14" s="148"/>
      <c r="I14" s="46"/>
      <c r="J14" s="46"/>
      <c r="K14" s="46"/>
      <c r="L14" s="46"/>
      <c r="M14" s="46"/>
      <c r="N14" s="46"/>
    </row>
    <row r="15" spans="1:14" ht="7.5" customHeight="1" x14ac:dyDescent="0.15">
      <c r="B15" s="30"/>
      <c r="C15" s="30"/>
      <c r="D15" s="30"/>
      <c r="E15" s="30"/>
      <c r="F15" s="46"/>
      <c r="G15" s="46"/>
      <c r="H15" s="46"/>
      <c r="I15" s="46"/>
      <c r="J15" s="46"/>
      <c r="K15" s="46"/>
      <c r="L15" s="46"/>
      <c r="M15" s="46"/>
      <c r="N15" s="46"/>
    </row>
    <row r="16" spans="1:14" ht="22.5" customHeight="1" x14ac:dyDescent="0.15">
      <c r="A16" s="26" t="s">
        <v>14</v>
      </c>
      <c r="B16" s="26" t="s">
        <v>0</v>
      </c>
      <c r="C16" s="142" t="s">
        <v>5</v>
      </c>
      <c r="D16" s="143"/>
      <c r="E16" s="127">
        <v>45</v>
      </c>
      <c r="F16" s="128"/>
      <c r="G16" s="33" t="s">
        <v>9</v>
      </c>
      <c r="I16" s="142" t="s">
        <v>10</v>
      </c>
      <c r="J16" s="143"/>
      <c r="K16" s="127">
        <v>47</v>
      </c>
      <c r="L16" s="144"/>
      <c r="M16" s="128"/>
      <c r="N16" s="34" t="s">
        <v>9</v>
      </c>
    </row>
    <row r="17" spans="1:15" ht="7.5" customHeight="1" x14ac:dyDescent="0.15">
      <c r="F17" s="35"/>
      <c r="G17" s="35"/>
      <c r="H17" s="35"/>
      <c r="I17" s="35"/>
      <c r="J17" s="35"/>
      <c r="K17" s="35"/>
      <c r="L17" s="35"/>
      <c r="M17" s="34"/>
      <c r="N17" s="34"/>
    </row>
    <row r="18" spans="1:15" ht="22.5" customHeight="1" x14ac:dyDescent="0.15">
      <c r="A18" s="26" t="s">
        <v>61</v>
      </c>
      <c r="B18" s="26" t="s">
        <v>90</v>
      </c>
      <c r="F18" s="35"/>
      <c r="G18" s="35"/>
      <c r="H18" s="35"/>
      <c r="I18" s="35"/>
      <c r="J18" s="35"/>
      <c r="K18" s="124">
        <v>11</v>
      </c>
      <c r="L18" s="125"/>
      <c r="M18" s="126"/>
      <c r="N18" s="34" t="s">
        <v>59</v>
      </c>
    </row>
    <row r="19" spans="1:15" ht="7.5" customHeight="1" x14ac:dyDescent="0.15">
      <c r="F19" s="35"/>
      <c r="G19" s="35"/>
      <c r="H19" s="35"/>
      <c r="I19" s="35"/>
      <c r="J19" s="35"/>
      <c r="K19" s="35"/>
      <c r="L19" s="35"/>
      <c r="M19" s="34"/>
      <c r="N19" s="34"/>
    </row>
    <row r="20" spans="1:15" ht="22.5" customHeight="1" x14ac:dyDescent="0.15">
      <c r="A20" s="26" t="s">
        <v>69</v>
      </c>
      <c r="B20" s="26" t="s">
        <v>124</v>
      </c>
      <c r="E20" s="127">
        <v>240</v>
      </c>
      <c r="F20" s="128"/>
      <c r="G20" s="36" t="s">
        <v>24</v>
      </c>
      <c r="H20" s="35"/>
      <c r="K20" s="123"/>
      <c r="L20" s="123"/>
      <c r="M20" s="123"/>
      <c r="N20" s="123"/>
    </row>
    <row r="21" spans="1:15" ht="7.5" customHeight="1" x14ac:dyDescent="0.15">
      <c r="E21" s="22"/>
      <c r="F21" s="35"/>
      <c r="G21" s="35"/>
      <c r="L21" s="37"/>
      <c r="M21" s="37"/>
      <c r="N21" s="38"/>
    </row>
    <row r="22" spans="1:15" ht="22.5" customHeight="1" x14ac:dyDescent="0.15">
      <c r="A22" s="26" t="s">
        <v>27</v>
      </c>
      <c r="B22" s="26" t="s">
        <v>125</v>
      </c>
      <c r="E22" s="22"/>
      <c r="F22" s="35"/>
      <c r="G22" s="35"/>
      <c r="H22" s="26" t="s">
        <v>60</v>
      </c>
      <c r="J22" s="135">
        <v>960</v>
      </c>
      <c r="K22" s="136"/>
      <c r="L22" s="137"/>
      <c r="M22" s="37" t="s">
        <v>59</v>
      </c>
      <c r="N22" s="38"/>
    </row>
    <row r="23" spans="1:15" ht="7.5" customHeight="1" x14ac:dyDescent="0.15">
      <c r="E23" s="22"/>
      <c r="F23" s="35"/>
      <c r="G23" s="35"/>
      <c r="L23" s="37"/>
      <c r="M23" s="37"/>
      <c r="N23" s="38"/>
    </row>
    <row r="24" spans="1:15" ht="22.5" customHeight="1" x14ac:dyDescent="0.15">
      <c r="B24" s="39" t="s">
        <v>20</v>
      </c>
      <c r="C24" s="127">
        <v>272</v>
      </c>
      <c r="D24" s="128"/>
      <c r="E24" s="22" t="s">
        <v>25</v>
      </c>
      <c r="F24" s="35"/>
      <c r="G24" s="132" t="s">
        <v>21</v>
      </c>
      <c r="H24" s="132"/>
      <c r="I24" s="127">
        <v>269</v>
      </c>
      <c r="J24" s="128"/>
      <c r="K24" s="31" t="s">
        <v>25</v>
      </c>
      <c r="M24" s="37"/>
      <c r="N24" s="38"/>
      <c r="O24" s="28"/>
    </row>
    <row r="25" spans="1:15" ht="7.5" customHeight="1" x14ac:dyDescent="0.15">
      <c r="B25" s="39"/>
      <c r="C25" s="23"/>
      <c r="D25" s="23"/>
      <c r="E25" s="22"/>
      <c r="F25" s="35"/>
      <c r="G25" s="37"/>
      <c r="H25" s="37"/>
      <c r="I25" s="23"/>
      <c r="J25" s="23"/>
      <c r="K25" s="31"/>
      <c r="M25" s="37"/>
      <c r="N25" s="38"/>
      <c r="O25" s="28"/>
    </row>
    <row r="26" spans="1:15" ht="22.5" customHeight="1" x14ac:dyDescent="0.15">
      <c r="B26" s="39" t="s">
        <v>22</v>
      </c>
      <c r="C26" s="127">
        <v>269</v>
      </c>
      <c r="D26" s="128"/>
      <c r="E26" s="22" t="s">
        <v>25</v>
      </c>
      <c r="F26" s="35"/>
      <c r="G26" s="132" t="s">
        <v>23</v>
      </c>
      <c r="H26" s="132"/>
      <c r="I26" s="127">
        <v>201</v>
      </c>
      <c r="J26" s="128"/>
      <c r="K26" s="31" t="s">
        <v>25</v>
      </c>
      <c r="M26" s="37"/>
      <c r="N26" s="38"/>
    </row>
    <row r="27" spans="1:15" ht="7.5" customHeight="1" x14ac:dyDescent="0.15">
      <c r="B27" s="39"/>
      <c r="C27" s="23"/>
      <c r="D27" s="23"/>
      <c r="E27" s="22"/>
      <c r="F27" s="35"/>
      <c r="G27" s="37"/>
      <c r="H27" s="37"/>
      <c r="I27" s="23"/>
      <c r="J27" s="23"/>
      <c r="K27" s="31"/>
      <c r="M27" s="37"/>
      <c r="N27" s="38"/>
    </row>
    <row r="28" spans="1:15" ht="22.5" customHeight="1" x14ac:dyDescent="0.15">
      <c r="B28" s="39" t="s">
        <v>53</v>
      </c>
      <c r="C28" s="133"/>
      <c r="D28" s="134"/>
      <c r="E28" s="22" t="s">
        <v>9</v>
      </c>
      <c r="F28" s="35"/>
      <c r="G28" s="132" t="s">
        <v>54</v>
      </c>
      <c r="H28" s="132"/>
      <c r="I28" s="133"/>
      <c r="J28" s="134"/>
      <c r="K28" s="31" t="s">
        <v>158</v>
      </c>
      <c r="M28" s="37"/>
      <c r="N28" s="38"/>
    </row>
    <row r="29" spans="1:15" ht="7.5" customHeight="1" x14ac:dyDescent="0.15">
      <c r="F29" s="35"/>
      <c r="G29" s="35"/>
      <c r="M29" s="40"/>
      <c r="N29" s="40"/>
    </row>
    <row r="30" spans="1:15" ht="22.5" customHeight="1" x14ac:dyDescent="0.15">
      <c r="A30" s="26" t="s">
        <v>123</v>
      </c>
      <c r="B30" s="29" t="s">
        <v>114</v>
      </c>
      <c r="C30" s="29"/>
      <c r="D30" s="29"/>
      <c r="E30" s="29"/>
      <c r="F30" s="31"/>
      <c r="G30" s="81"/>
      <c r="H30" s="81"/>
      <c r="I30" s="81"/>
      <c r="J30" s="42"/>
      <c r="K30" s="42"/>
      <c r="L30" s="42"/>
      <c r="M30" s="42"/>
      <c r="N30" s="42"/>
    </row>
    <row r="31" spans="1:15" s="28" customFormat="1" ht="22.5" customHeight="1" x14ac:dyDescent="0.15">
      <c r="B31" s="138" t="s">
        <v>113</v>
      </c>
      <c r="C31" s="138"/>
      <c r="D31" s="129" t="s">
        <v>159</v>
      </c>
      <c r="E31" s="130"/>
      <c r="F31" s="130"/>
      <c r="G31" s="139" t="s">
        <v>26</v>
      </c>
      <c r="H31" s="138"/>
      <c r="I31" s="140"/>
      <c r="J31" s="129" t="s">
        <v>138</v>
      </c>
      <c r="K31" s="130"/>
      <c r="L31" s="130"/>
      <c r="M31" s="130"/>
      <c r="N31" s="131"/>
    </row>
    <row r="32" spans="1:15" ht="7.5" customHeight="1" x14ac:dyDescent="0.15">
      <c r="F32" s="35"/>
      <c r="G32" s="35"/>
      <c r="M32" s="40"/>
      <c r="N32" s="40"/>
    </row>
    <row r="33" spans="1:14" ht="22.5" customHeight="1" x14ac:dyDescent="0.15">
      <c r="A33" s="26" t="s">
        <v>58</v>
      </c>
      <c r="B33" s="29" t="s">
        <v>129</v>
      </c>
      <c r="C33" s="29"/>
      <c r="D33" s="29"/>
      <c r="E33" s="29"/>
      <c r="F33" s="31"/>
      <c r="G33" s="42"/>
      <c r="H33" s="42"/>
      <c r="I33" s="42"/>
      <c r="J33" s="42"/>
      <c r="K33" s="42"/>
      <c r="L33" s="42"/>
      <c r="M33" s="42"/>
      <c r="N33" s="42"/>
    </row>
    <row r="34" spans="1:14" ht="22.5" customHeight="1" x14ac:dyDescent="0.15">
      <c r="B34" s="129" t="s">
        <v>137</v>
      </c>
      <c r="C34" s="130"/>
      <c r="D34" s="130"/>
      <c r="E34" s="130"/>
      <c r="F34" s="130"/>
      <c r="G34" s="130"/>
      <c r="H34" s="130"/>
      <c r="I34" s="130"/>
      <c r="J34" s="130"/>
      <c r="K34" s="130"/>
      <c r="L34" s="130"/>
      <c r="M34" s="130"/>
      <c r="N34" s="131"/>
    </row>
    <row r="35" spans="1:14" ht="7.5" customHeight="1" x14ac:dyDescent="0.15">
      <c r="B35" s="24"/>
      <c r="C35" s="24"/>
      <c r="D35" s="24"/>
      <c r="E35" s="24"/>
      <c r="F35" s="24"/>
      <c r="G35" s="24"/>
      <c r="H35" s="24"/>
      <c r="I35" s="24"/>
      <c r="J35" s="24"/>
      <c r="K35" s="24"/>
      <c r="L35" s="24"/>
      <c r="M35" s="24"/>
      <c r="N35" s="24"/>
    </row>
    <row r="36" spans="1:14" s="28" customFormat="1" ht="22.5" customHeight="1" x14ac:dyDescent="0.15">
      <c r="B36" s="138" t="s">
        <v>113</v>
      </c>
      <c r="C36" s="138"/>
      <c r="D36" s="129" t="s">
        <v>160</v>
      </c>
      <c r="E36" s="130"/>
      <c r="F36" s="130"/>
      <c r="G36" s="139" t="s">
        <v>63</v>
      </c>
      <c r="H36" s="138"/>
      <c r="I36" s="140"/>
      <c r="J36" s="129" t="s">
        <v>139</v>
      </c>
      <c r="K36" s="130"/>
      <c r="L36" s="130"/>
      <c r="M36" s="130"/>
      <c r="N36" s="131"/>
    </row>
    <row r="37" spans="1:14" ht="7.5" customHeight="1" x14ac:dyDescent="0.15">
      <c r="F37" s="27"/>
      <c r="G37" s="27"/>
      <c r="H37" s="27"/>
      <c r="I37" s="27"/>
      <c r="J37" s="27"/>
      <c r="K37" s="27"/>
      <c r="L37" s="27"/>
      <c r="M37" s="27"/>
      <c r="N37" s="27"/>
    </row>
    <row r="38" spans="1:14" ht="22.5" customHeight="1" x14ac:dyDescent="0.15">
      <c r="A38" s="26" t="s">
        <v>62</v>
      </c>
      <c r="B38" s="26" t="s">
        <v>130</v>
      </c>
      <c r="M38" s="40"/>
      <c r="N38" s="40"/>
    </row>
    <row r="39" spans="1:14" ht="22.5" customHeight="1" x14ac:dyDescent="0.15">
      <c r="B39" s="129" t="s">
        <v>140</v>
      </c>
      <c r="C39" s="130"/>
      <c r="D39" s="130"/>
      <c r="E39" s="130"/>
      <c r="F39" s="130"/>
      <c r="G39" s="130"/>
      <c r="H39" s="130"/>
      <c r="I39" s="130"/>
      <c r="J39" s="130"/>
      <c r="K39" s="130"/>
      <c r="L39" s="130"/>
      <c r="M39" s="130"/>
      <c r="N39" s="131"/>
    </row>
    <row r="40" spans="1:14" ht="7.5" customHeight="1" x14ac:dyDescent="0.15">
      <c r="F40" s="27"/>
      <c r="G40" s="27"/>
      <c r="H40" s="27"/>
      <c r="I40" s="27"/>
      <c r="J40" s="27"/>
      <c r="K40" s="27"/>
      <c r="L40" s="27"/>
      <c r="M40" s="27"/>
      <c r="N40" s="27"/>
    </row>
    <row r="41" spans="1:14" s="28" customFormat="1" ht="22.5" customHeight="1" x14ac:dyDescent="0.15">
      <c r="B41" s="138" t="s">
        <v>113</v>
      </c>
      <c r="C41" s="138"/>
      <c r="D41" s="129" t="s">
        <v>161</v>
      </c>
      <c r="E41" s="130"/>
      <c r="F41" s="130"/>
      <c r="G41" s="139" t="s">
        <v>63</v>
      </c>
      <c r="H41" s="138"/>
      <c r="I41" s="140"/>
      <c r="J41" s="129" t="s">
        <v>141</v>
      </c>
      <c r="K41" s="130"/>
      <c r="L41" s="130"/>
      <c r="M41" s="130"/>
      <c r="N41" s="131"/>
    </row>
    <row r="42" spans="1:14" ht="7.5" customHeight="1" x14ac:dyDescent="0.15">
      <c r="F42" s="27"/>
      <c r="G42" s="27"/>
      <c r="H42" s="27"/>
      <c r="I42" s="27"/>
      <c r="J42" s="27"/>
      <c r="K42" s="27"/>
      <c r="L42" s="27"/>
      <c r="M42" s="27"/>
      <c r="N42" s="27"/>
    </row>
    <row r="43" spans="1:14" ht="22.5" customHeight="1" x14ac:dyDescent="0.15">
      <c r="A43" s="26" t="s">
        <v>70</v>
      </c>
      <c r="B43" s="69" t="s">
        <v>89</v>
      </c>
      <c r="E43" s="63"/>
      <c r="F43" s="129" t="s">
        <v>142</v>
      </c>
      <c r="G43" s="130"/>
      <c r="H43" s="130"/>
      <c r="I43" s="130"/>
      <c r="J43" s="130"/>
      <c r="K43" s="130"/>
      <c r="L43" s="130"/>
      <c r="M43" s="130"/>
      <c r="N43" s="131"/>
    </row>
    <row r="44" spans="1:14" ht="7.5" customHeight="1" x14ac:dyDescent="0.15">
      <c r="F44" s="61"/>
      <c r="G44" s="61"/>
      <c r="H44" s="61"/>
      <c r="I44" s="61"/>
      <c r="J44" s="61"/>
      <c r="K44" s="61"/>
      <c r="L44" s="61"/>
      <c r="M44" s="61"/>
      <c r="N44" s="61"/>
    </row>
    <row r="45" spans="1:14" ht="22.5" customHeight="1" x14ac:dyDescent="0.15">
      <c r="A45" s="26" t="s">
        <v>127</v>
      </c>
    </row>
    <row r="46" spans="1:14" ht="22.5" customHeight="1" x14ac:dyDescent="0.15">
      <c r="B46" s="43" t="s">
        <v>1</v>
      </c>
      <c r="C46" s="156" t="s">
        <v>143</v>
      </c>
      <c r="D46" s="157"/>
      <c r="E46" s="157"/>
      <c r="F46" s="157"/>
      <c r="G46" s="157"/>
      <c r="H46" s="157"/>
      <c r="I46" s="44" t="s">
        <v>2</v>
      </c>
      <c r="J46" s="45"/>
      <c r="K46" s="129" t="s">
        <v>162</v>
      </c>
      <c r="L46" s="130"/>
      <c r="M46" s="130"/>
      <c r="N46" s="131"/>
    </row>
    <row r="47" spans="1:14" ht="22.5" customHeight="1" x14ac:dyDescent="0.15">
      <c r="B47" s="43" t="s">
        <v>4</v>
      </c>
      <c r="C47" s="150" t="s">
        <v>144</v>
      </c>
      <c r="D47" s="151"/>
      <c r="E47" s="151"/>
      <c r="F47" s="151"/>
      <c r="G47" s="151"/>
      <c r="H47" s="152"/>
      <c r="I47" s="44" t="s">
        <v>3</v>
      </c>
      <c r="J47" s="45"/>
      <c r="K47" s="153" t="s">
        <v>145</v>
      </c>
      <c r="L47" s="154"/>
      <c r="M47" s="154"/>
      <c r="N47" s="155"/>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M1:N1"/>
    <mergeCell ref="C16:D16"/>
    <mergeCell ref="C8:E8"/>
    <mergeCell ref="C10:N10"/>
    <mergeCell ref="K16:M16"/>
    <mergeCell ref="G8:I8"/>
    <mergeCell ref="C4:N4"/>
    <mergeCell ref="D6:N6"/>
    <mergeCell ref="F14:H14"/>
    <mergeCell ref="A2:N2"/>
    <mergeCell ref="E16:F16"/>
    <mergeCell ref="I16:J16"/>
    <mergeCell ref="G12:N12"/>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view="pageBreakPreview" zoomScaleNormal="100" zoomScaleSheetLayoutView="100" workbookViewId="0">
      <selection activeCell="A4" sqref="A4:I4"/>
    </sheetView>
  </sheetViews>
  <sheetFormatPr defaultColWidth="9" defaultRowHeight="18.75" customHeight="1" x14ac:dyDescent="0.15"/>
  <cols>
    <col min="1" max="2" width="2.5" style="26" customWidth="1"/>
    <col min="3" max="3" width="20" style="26" customWidth="1"/>
    <col min="4" max="4" width="8.75" style="26" customWidth="1"/>
    <col min="5" max="5" width="7.5" style="26" customWidth="1"/>
    <col min="6" max="6" width="2.5" style="26" customWidth="1"/>
    <col min="7" max="7" width="15" style="26" customWidth="1"/>
    <col min="8" max="8" width="12.5" style="26" customWidth="1"/>
    <col min="9" max="9" width="11.25" style="26" customWidth="1"/>
    <col min="10" max="16384" width="9" style="26"/>
  </cols>
  <sheetData>
    <row r="1" spans="1:9" ht="18.75" customHeight="1" x14ac:dyDescent="0.15">
      <c r="I1" s="84" t="s">
        <v>163</v>
      </c>
    </row>
    <row r="2" spans="1:9" ht="18.75" customHeight="1" x14ac:dyDescent="0.15">
      <c r="G2" s="41" t="s">
        <v>31</v>
      </c>
      <c r="H2" s="171" t="s">
        <v>155</v>
      </c>
      <c r="I2" s="171"/>
    </row>
    <row r="3" spans="1:9" ht="7.5" customHeight="1" x14ac:dyDescent="0.15"/>
    <row r="4" spans="1:9" ht="18.75" customHeight="1" x14ac:dyDescent="0.15">
      <c r="A4" s="149" t="s">
        <v>87</v>
      </c>
      <c r="B4" s="149"/>
      <c r="C4" s="149"/>
      <c r="D4" s="149"/>
      <c r="E4" s="149"/>
      <c r="F4" s="149"/>
      <c r="G4" s="149"/>
      <c r="H4" s="149"/>
      <c r="I4" s="149"/>
    </row>
    <row r="5" spans="1:9" ht="7.5" customHeight="1" x14ac:dyDescent="0.15">
      <c r="C5" s="85"/>
      <c r="D5" s="85"/>
      <c r="E5" s="85"/>
      <c r="F5" s="85"/>
      <c r="G5" s="85"/>
      <c r="H5" s="85"/>
      <c r="I5" s="85"/>
    </row>
    <row r="6" spans="1:9" ht="18.75" customHeight="1" x14ac:dyDescent="0.15">
      <c r="A6" s="26" t="s">
        <v>6</v>
      </c>
      <c r="B6" s="26" t="s">
        <v>99</v>
      </c>
      <c r="C6" s="85"/>
      <c r="D6" s="85"/>
      <c r="E6" s="135" t="s">
        <v>156</v>
      </c>
      <c r="F6" s="136"/>
      <c r="G6" s="136"/>
      <c r="H6" s="136"/>
      <c r="I6" s="137"/>
    </row>
    <row r="7" spans="1:9" ht="7.5" customHeight="1" x14ac:dyDescent="0.15">
      <c r="C7" s="85"/>
      <c r="D7" s="85"/>
      <c r="F7" s="83"/>
      <c r="G7" s="83"/>
      <c r="H7" s="83"/>
      <c r="I7" s="83"/>
    </row>
    <row r="8" spans="1:9" ht="18.75" customHeight="1" x14ac:dyDescent="0.15">
      <c r="A8" s="26" t="s">
        <v>11</v>
      </c>
      <c r="B8" s="26" t="s">
        <v>100</v>
      </c>
      <c r="C8" s="85"/>
      <c r="D8" s="85"/>
      <c r="E8" s="85"/>
      <c r="F8" s="85"/>
      <c r="G8" s="85"/>
      <c r="H8" s="85"/>
      <c r="I8" s="85"/>
    </row>
    <row r="9" spans="1:9" ht="18.75" customHeight="1" x14ac:dyDescent="0.15">
      <c r="B9" s="162" t="s">
        <v>173</v>
      </c>
      <c r="C9" s="163"/>
      <c r="D9" s="163"/>
      <c r="E9" s="163"/>
      <c r="F9" s="163"/>
      <c r="G9" s="163"/>
      <c r="H9" s="163"/>
      <c r="I9" s="164"/>
    </row>
    <row r="10" spans="1:9" ht="18.75" customHeight="1" x14ac:dyDescent="0.15">
      <c r="B10" s="165"/>
      <c r="C10" s="166"/>
      <c r="D10" s="166"/>
      <c r="E10" s="166"/>
      <c r="F10" s="166"/>
      <c r="G10" s="166"/>
      <c r="H10" s="166"/>
      <c r="I10" s="167"/>
    </row>
    <row r="11" spans="1:9" ht="18.75" customHeight="1" x14ac:dyDescent="0.15">
      <c r="B11" s="165"/>
      <c r="C11" s="166"/>
      <c r="D11" s="166"/>
      <c r="E11" s="166"/>
      <c r="F11" s="166"/>
      <c r="G11" s="166"/>
      <c r="H11" s="166"/>
      <c r="I11" s="167"/>
    </row>
    <row r="12" spans="1:9" ht="18.75" customHeight="1" x14ac:dyDescent="0.15">
      <c r="B12" s="165"/>
      <c r="C12" s="166"/>
      <c r="D12" s="166"/>
      <c r="E12" s="166"/>
      <c r="F12" s="166"/>
      <c r="G12" s="166"/>
      <c r="H12" s="166"/>
      <c r="I12" s="167"/>
    </row>
    <row r="13" spans="1:9" ht="18.75" customHeight="1" x14ac:dyDescent="0.15">
      <c r="B13" s="165"/>
      <c r="C13" s="166"/>
      <c r="D13" s="166"/>
      <c r="E13" s="166"/>
      <c r="F13" s="166"/>
      <c r="G13" s="166"/>
      <c r="H13" s="166"/>
      <c r="I13" s="167"/>
    </row>
    <row r="14" spans="1:9" ht="18.75" customHeight="1" x14ac:dyDescent="0.15">
      <c r="B14" s="165"/>
      <c r="C14" s="166"/>
      <c r="D14" s="166"/>
      <c r="E14" s="166"/>
      <c r="F14" s="166"/>
      <c r="G14" s="166"/>
      <c r="H14" s="166"/>
      <c r="I14" s="167"/>
    </row>
    <row r="15" spans="1:9" ht="18.75" customHeight="1" x14ac:dyDescent="0.15">
      <c r="B15" s="165"/>
      <c r="C15" s="166"/>
      <c r="D15" s="166"/>
      <c r="E15" s="166"/>
      <c r="F15" s="166"/>
      <c r="G15" s="166"/>
      <c r="H15" s="166"/>
      <c r="I15" s="167"/>
    </row>
    <row r="16" spans="1:9" ht="18.75" customHeight="1" x14ac:dyDescent="0.15">
      <c r="B16" s="168"/>
      <c r="C16" s="169"/>
      <c r="D16" s="169"/>
      <c r="E16" s="169"/>
      <c r="F16" s="169"/>
      <c r="G16" s="169"/>
      <c r="H16" s="169"/>
      <c r="I16" s="170"/>
    </row>
    <row r="17" spans="1:10" ht="7.5" customHeight="1" x14ac:dyDescent="0.15">
      <c r="C17" s="85"/>
      <c r="D17" s="85"/>
      <c r="E17" s="85"/>
      <c r="F17" s="85"/>
      <c r="G17" s="85"/>
      <c r="H17" s="85"/>
      <c r="I17" s="85"/>
    </row>
    <row r="18" spans="1:10" ht="18.75" customHeight="1" x14ac:dyDescent="0.15">
      <c r="A18" s="85" t="s">
        <v>12</v>
      </c>
      <c r="B18" s="29" t="s">
        <v>101</v>
      </c>
      <c r="C18" s="29"/>
      <c r="D18" s="29"/>
      <c r="E18" s="29"/>
      <c r="F18" s="85"/>
      <c r="G18" s="85"/>
      <c r="H18" s="85"/>
      <c r="I18" s="85"/>
      <c r="J18" s="85"/>
    </row>
    <row r="19" spans="1:10" ht="18.75" customHeight="1" x14ac:dyDescent="0.15">
      <c r="A19" s="172" t="s">
        <v>101</v>
      </c>
      <c r="B19" s="172"/>
      <c r="C19" s="172"/>
      <c r="D19" s="172"/>
      <c r="E19" s="172"/>
      <c r="F19" s="173" t="s">
        <v>101</v>
      </c>
      <c r="G19" s="173"/>
      <c r="H19" s="173"/>
      <c r="I19" s="173"/>
    </row>
    <row r="20" spans="1:10" ht="18.75" customHeight="1" x14ac:dyDescent="0.15">
      <c r="A20" s="67">
        <v>1</v>
      </c>
      <c r="B20" s="156" t="s">
        <v>146</v>
      </c>
      <c r="C20" s="157"/>
      <c r="D20" s="157"/>
      <c r="E20" s="161"/>
      <c r="F20" s="67">
        <v>26</v>
      </c>
      <c r="G20" s="158"/>
      <c r="H20" s="159"/>
      <c r="I20" s="160"/>
    </row>
    <row r="21" spans="1:10" ht="18.75" customHeight="1" x14ac:dyDescent="0.15">
      <c r="A21" s="67">
        <v>2</v>
      </c>
      <c r="B21" s="156" t="s">
        <v>202</v>
      </c>
      <c r="C21" s="157"/>
      <c r="D21" s="157"/>
      <c r="E21" s="161"/>
      <c r="F21" s="67">
        <v>27</v>
      </c>
      <c r="G21" s="158"/>
      <c r="H21" s="159"/>
      <c r="I21" s="160"/>
    </row>
    <row r="22" spans="1:10" ht="18.75" customHeight="1" x14ac:dyDescent="0.15">
      <c r="A22" s="67">
        <v>3</v>
      </c>
      <c r="B22" s="156" t="s">
        <v>164</v>
      </c>
      <c r="C22" s="157"/>
      <c r="D22" s="157"/>
      <c r="E22" s="161"/>
      <c r="F22" s="67">
        <v>28</v>
      </c>
      <c r="G22" s="158"/>
      <c r="H22" s="159"/>
      <c r="I22" s="160"/>
    </row>
    <row r="23" spans="1:10" ht="18.75" customHeight="1" x14ac:dyDescent="0.15">
      <c r="A23" s="67">
        <v>4</v>
      </c>
      <c r="B23" s="156" t="s">
        <v>203</v>
      </c>
      <c r="C23" s="157"/>
      <c r="D23" s="157"/>
      <c r="E23" s="161"/>
      <c r="F23" s="67">
        <v>29</v>
      </c>
      <c r="G23" s="158"/>
      <c r="H23" s="159"/>
      <c r="I23" s="160"/>
    </row>
    <row r="24" spans="1:10" ht="18.75" customHeight="1" x14ac:dyDescent="0.15">
      <c r="A24" s="67">
        <v>5</v>
      </c>
      <c r="B24" s="156" t="s">
        <v>204</v>
      </c>
      <c r="C24" s="157"/>
      <c r="D24" s="157"/>
      <c r="E24" s="161"/>
      <c r="F24" s="67">
        <v>30</v>
      </c>
      <c r="G24" s="158"/>
      <c r="H24" s="159"/>
      <c r="I24" s="160"/>
    </row>
    <row r="25" spans="1:10" ht="18.75" customHeight="1" x14ac:dyDescent="0.15">
      <c r="A25" s="67">
        <v>6</v>
      </c>
      <c r="B25" s="156" t="s">
        <v>205</v>
      </c>
      <c r="C25" s="157"/>
      <c r="D25" s="157"/>
      <c r="E25" s="161"/>
      <c r="F25" s="67">
        <v>31</v>
      </c>
      <c r="G25" s="158"/>
      <c r="H25" s="159"/>
      <c r="I25" s="160"/>
    </row>
    <row r="26" spans="1:10" ht="18.75" customHeight="1" x14ac:dyDescent="0.15">
      <c r="A26" s="67">
        <v>7</v>
      </c>
      <c r="B26" s="156"/>
      <c r="C26" s="157"/>
      <c r="D26" s="157"/>
      <c r="E26" s="161"/>
      <c r="F26" s="67">
        <v>32</v>
      </c>
      <c r="G26" s="158"/>
      <c r="H26" s="159"/>
      <c r="I26" s="160"/>
    </row>
    <row r="27" spans="1:10" ht="18.75" customHeight="1" x14ac:dyDescent="0.15">
      <c r="A27" s="67">
        <v>8</v>
      </c>
      <c r="B27" s="156"/>
      <c r="C27" s="157"/>
      <c r="D27" s="157"/>
      <c r="E27" s="161"/>
      <c r="F27" s="67">
        <v>33</v>
      </c>
      <c r="G27" s="158"/>
      <c r="H27" s="159"/>
      <c r="I27" s="160"/>
    </row>
    <row r="28" spans="1:10" ht="18.75" customHeight="1" x14ac:dyDescent="0.15">
      <c r="A28" s="67">
        <v>9</v>
      </c>
      <c r="B28" s="174"/>
      <c r="C28" s="175"/>
      <c r="D28" s="175"/>
      <c r="E28" s="176"/>
      <c r="F28" s="67">
        <v>34</v>
      </c>
      <c r="G28" s="158"/>
      <c r="H28" s="159"/>
      <c r="I28" s="160"/>
    </row>
    <row r="29" spans="1:10" ht="18.75" customHeight="1" x14ac:dyDescent="0.15">
      <c r="A29" s="67">
        <v>10</v>
      </c>
      <c r="B29" s="174"/>
      <c r="C29" s="175"/>
      <c r="D29" s="175"/>
      <c r="E29" s="176"/>
      <c r="F29" s="67">
        <v>35</v>
      </c>
      <c r="G29" s="158"/>
      <c r="H29" s="159"/>
      <c r="I29" s="160"/>
    </row>
    <row r="30" spans="1:10" ht="18.75" customHeight="1" x14ac:dyDescent="0.15">
      <c r="A30" s="67">
        <v>11</v>
      </c>
      <c r="B30" s="174"/>
      <c r="C30" s="175"/>
      <c r="D30" s="175"/>
      <c r="E30" s="176"/>
      <c r="F30" s="67">
        <v>36</v>
      </c>
      <c r="G30" s="158"/>
      <c r="H30" s="159"/>
      <c r="I30" s="160"/>
    </row>
    <row r="31" spans="1:10" ht="18.75" customHeight="1" x14ac:dyDescent="0.15">
      <c r="A31" s="67">
        <v>12</v>
      </c>
      <c r="B31" s="174"/>
      <c r="C31" s="175"/>
      <c r="D31" s="175"/>
      <c r="E31" s="176"/>
      <c r="F31" s="67">
        <v>37</v>
      </c>
      <c r="G31" s="158"/>
      <c r="H31" s="159"/>
      <c r="I31" s="160"/>
    </row>
    <row r="32" spans="1:10" ht="18.75" customHeight="1" x14ac:dyDescent="0.15">
      <c r="A32" s="67">
        <v>13</v>
      </c>
      <c r="B32" s="174"/>
      <c r="C32" s="175"/>
      <c r="D32" s="175"/>
      <c r="E32" s="176"/>
      <c r="F32" s="67">
        <v>38</v>
      </c>
      <c r="G32" s="158"/>
      <c r="H32" s="159"/>
      <c r="I32" s="160"/>
    </row>
    <row r="33" spans="1:9" ht="18.75" customHeight="1" x14ac:dyDescent="0.15">
      <c r="A33" s="67">
        <v>14</v>
      </c>
      <c r="B33" s="174"/>
      <c r="C33" s="175"/>
      <c r="D33" s="175"/>
      <c r="E33" s="176"/>
      <c r="F33" s="67">
        <v>39</v>
      </c>
      <c r="G33" s="158"/>
      <c r="H33" s="159"/>
      <c r="I33" s="160"/>
    </row>
    <row r="34" spans="1:9" ht="18.75" customHeight="1" x14ac:dyDescent="0.15">
      <c r="A34" s="67">
        <v>15</v>
      </c>
      <c r="B34" s="174"/>
      <c r="C34" s="175"/>
      <c r="D34" s="175"/>
      <c r="E34" s="176"/>
      <c r="F34" s="67">
        <v>40</v>
      </c>
      <c r="G34" s="158"/>
      <c r="H34" s="159"/>
      <c r="I34" s="160"/>
    </row>
    <row r="35" spans="1:9" ht="18.75" customHeight="1" x14ac:dyDescent="0.15">
      <c r="A35" s="67">
        <v>16</v>
      </c>
      <c r="B35" s="174"/>
      <c r="C35" s="175"/>
      <c r="D35" s="175"/>
      <c r="E35" s="176"/>
      <c r="F35" s="67">
        <v>41</v>
      </c>
      <c r="G35" s="158"/>
      <c r="H35" s="159"/>
      <c r="I35" s="160"/>
    </row>
    <row r="36" spans="1:9" ht="18.75" customHeight="1" x14ac:dyDescent="0.15">
      <c r="A36" s="67">
        <v>17</v>
      </c>
      <c r="B36" s="174"/>
      <c r="C36" s="175"/>
      <c r="D36" s="175"/>
      <c r="E36" s="176"/>
      <c r="F36" s="67">
        <v>42</v>
      </c>
      <c r="G36" s="158"/>
      <c r="H36" s="159"/>
      <c r="I36" s="160"/>
    </row>
    <row r="37" spans="1:9" ht="18.75" customHeight="1" x14ac:dyDescent="0.15">
      <c r="A37" s="67">
        <v>18</v>
      </c>
      <c r="B37" s="174"/>
      <c r="C37" s="175"/>
      <c r="D37" s="175"/>
      <c r="E37" s="176"/>
      <c r="F37" s="67">
        <v>43</v>
      </c>
      <c r="G37" s="158"/>
      <c r="H37" s="159"/>
      <c r="I37" s="160"/>
    </row>
    <row r="38" spans="1:9" ht="18.75" customHeight="1" x14ac:dyDescent="0.15">
      <c r="A38" s="67">
        <v>19</v>
      </c>
      <c r="B38" s="158"/>
      <c r="C38" s="159"/>
      <c r="D38" s="159"/>
      <c r="E38" s="160"/>
      <c r="F38" s="67">
        <v>44</v>
      </c>
      <c r="G38" s="158"/>
      <c r="H38" s="159"/>
      <c r="I38" s="160"/>
    </row>
    <row r="39" spans="1:9" ht="18.75" customHeight="1" x14ac:dyDescent="0.15">
      <c r="A39" s="67">
        <v>20</v>
      </c>
      <c r="B39" s="158"/>
      <c r="C39" s="159"/>
      <c r="D39" s="159"/>
      <c r="E39" s="160"/>
      <c r="F39" s="67">
        <v>45</v>
      </c>
      <c r="G39" s="158"/>
      <c r="H39" s="159"/>
      <c r="I39" s="160"/>
    </row>
    <row r="40" spans="1:9" ht="18.75" customHeight="1" x14ac:dyDescent="0.15">
      <c r="A40" s="67">
        <v>21</v>
      </c>
      <c r="B40" s="158"/>
      <c r="C40" s="159"/>
      <c r="D40" s="159"/>
      <c r="E40" s="160"/>
      <c r="F40" s="67">
        <v>46</v>
      </c>
      <c r="G40" s="158"/>
      <c r="H40" s="159"/>
      <c r="I40" s="160"/>
    </row>
    <row r="41" spans="1:9" ht="18.75" customHeight="1" x14ac:dyDescent="0.15">
      <c r="A41" s="67">
        <v>22</v>
      </c>
      <c r="B41" s="158"/>
      <c r="C41" s="159"/>
      <c r="D41" s="159"/>
      <c r="E41" s="160"/>
      <c r="F41" s="67">
        <v>47</v>
      </c>
      <c r="G41" s="158"/>
      <c r="H41" s="159"/>
      <c r="I41" s="160"/>
    </row>
    <row r="42" spans="1:9" ht="18.75" customHeight="1" x14ac:dyDescent="0.15">
      <c r="A42" s="67">
        <v>23</v>
      </c>
      <c r="B42" s="158"/>
      <c r="C42" s="159"/>
      <c r="D42" s="159"/>
      <c r="E42" s="160"/>
      <c r="F42" s="67">
        <v>48</v>
      </c>
      <c r="G42" s="158"/>
      <c r="H42" s="159"/>
      <c r="I42" s="160"/>
    </row>
    <row r="43" spans="1:9" ht="18.75" customHeight="1" x14ac:dyDescent="0.15">
      <c r="A43" s="67">
        <v>24</v>
      </c>
      <c r="B43" s="158"/>
      <c r="C43" s="159"/>
      <c r="D43" s="159"/>
      <c r="E43" s="160"/>
      <c r="F43" s="67">
        <v>49</v>
      </c>
      <c r="G43" s="158"/>
      <c r="H43" s="159"/>
      <c r="I43" s="160"/>
    </row>
    <row r="44" spans="1:9" ht="18.75" customHeight="1" x14ac:dyDescent="0.15">
      <c r="A44" s="67">
        <v>25</v>
      </c>
      <c r="B44" s="158"/>
      <c r="C44" s="159"/>
      <c r="D44" s="159"/>
      <c r="E44" s="160"/>
      <c r="F44" s="67">
        <v>50</v>
      </c>
      <c r="G44" s="158"/>
      <c r="H44" s="159"/>
      <c r="I44" s="160"/>
    </row>
  </sheetData>
  <mergeCells count="56">
    <mergeCell ref="B32:E32"/>
    <mergeCell ref="G29:I29"/>
    <mergeCell ref="G44:I44"/>
    <mergeCell ref="G39:I39"/>
    <mergeCell ref="G40:I40"/>
    <mergeCell ref="G41:I41"/>
    <mergeCell ref="G42:I42"/>
    <mergeCell ref="G43:I43"/>
    <mergeCell ref="G34:I34"/>
    <mergeCell ref="G35:I35"/>
    <mergeCell ref="G36:I36"/>
    <mergeCell ref="G37:I37"/>
    <mergeCell ref="G38:I38"/>
    <mergeCell ref="B44:E44"/>
    <mergeCell ref="G30:I30"/>
    <mergeCell ref="G31:I31"/>
    <mergeCell ref="G33:I33"/>
    <mergeCell ref="B39:E39"/>
    <mergeCell ref="B40:E40"/>
    <mergeCell ref="B41:E41"/>
    <mergeCell ref="B28:E28"/>
    <mergeCell ref="B29:E29"/>
    <mergeCell ref="G32:I32"/>
    <mergeCell ref="B33:E33"/>
    <mergeCell ref="B34:E34"/>
    <mergeCell ref="B35:E35"/>
    <mergeCell ref="B42:E42"/>
    <mergeCell ref="B43:E43"/>
    <mergeCell ref="B30:E30"/>
    <mergeCell ref="B31:E31"/>
    <mergeCell ref="B36:E36"/>
    <mergeCell ref="B37:E37"/>
    <mergeCell ref="B38:E38"/>
    <mergeCell ref="E6:I6"/>
    <mergeCell ref="H2:I2"/>
    <mergeCell ref="A4:I4"/>
    <mergeCell ref="A19:E19"/>
    <mergeCell ref="F19:I19"/>
    <mergeCell ref="B25:E25"/>
    <mergeCell ref="B26:E26"/>
    <mergeCell ref="B27:E27"/>
    <mergeCell ref="B9:I16"/>
    <mergeCell ref="B20:E20"/>
    <mergeCell ref="B21:E21"/>
    <mergeCell ref="B22:E22"/>
    <mergeCell ref="B23:E23"/>
    <mergeCell ref="B24:E24"/>
    <mergeCell ref="G20:I20"/>
    <mergeCell ref="G25:I25"/>
    <mergeCell ref="G26:I26"/>
    <mergeCell ref="G27:I27"/>
    <mergeCell ref="G28:I28"/>
    <mergeCell ref="G21:I21"/>
    <mergeCell ref="G22:I22"/>
    <mergeCell ref="G23:I23"/>
    <mergeCell ref="G24:I24"/>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view="pageBreakPreview" zoomScaleNormal="100" zoomScaleSheetLayoutView="100" workbookViewId="0"/>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89" t="s">
        <v>72</v>
      </c>
      <c r="G1" s="189"/>
      <c r="H1" s="189"/>
      <c r="I1" s="189"/>
      <c r="J1" s="189"/>
      <c r="K1" s="189"/>
      <c r="L1" s="189"/>
      <c r="M1" s="189"/>
      <c r="N1" s="189"/>
      <c r="O1" s="189"/>
      <c r="P1" s="189"/>
      <c r="Q1" s="189"/>
      <c r="R1" s="189"/>
    </row>
    <row r="2" spans="1:20" ht="18.75" customHeight="1" x14ac:dyDescent="0.15">
      <c r="D2" s="48"/>
      <c r="E2" s="48"/>
      <c r="F2" s="48"/>
      <c r="G2" s="48"/>
      <c r="H2" s="48"/>
      <c r="I2" s="48"/>
      <c r="J2" s="48"/>
      <c r="K2" s="189" t="s">
        <v>64</v>
      </c>
      <c r="L2" s="189"/>
      <c r="M2" s="171" t="s">
        <v>155</v>
      </c>
      <c r="N2" s="171"/>
      <c r="O2" s="171"/>
      <c r="P2" s="171"/>
      <c r="Q2" s="171"/>
      <c r="R2" s="171"/>
    </row>
    <row r="3" spans="1:20" ht="7.5" customHeight="1" x14ac:dyDescent="0.15"/>
    <row r="4" spans="1:20" ht="18.75" customHeight="1" x14ac:dyDescent="0.15">
      <c r="A4" s="199" t="s">
        <v>121</v>
      </c>
      <c r="B4" s="199"/>
      <c r="C4" s="199"/>
      <c r="D4" s="199"/>
      <c r="E4" s="199"/>
      <c r="F4" s="199"/>
      <c r="G4" s="199"/>
      <c r="H4" s="199"/>
      <c r="I4" s="199"/>
      <c r="J4" s="199"/>
      <c r="K4" s="199"/>
      <c r="L4" s="199"/>
      <c r="M4" s="199"/>
      <c r="N4" s="199"/>
      <c r="O4" s="199"/>
      <c r="P4" s="199"/>
      <c r="Q4" s="199"/>
      <c r="R4" s="199"/>
      <c r="S4" s="13"/>
    </row>
    <row r="5" spans="1:20" ht="7.5" customHeight="1" x14ac:dyDescent="0.15">
      <c r="A5" s="25"/>
      <c r="B5" s="25"/>
      <c r="C5" s="25"/>
      <c r="D5" s="25"/>
      <c r="E5" s="25"/>
      <c r="F5" s="25"/>
      <c r="G5" s="47"/>
      <c r="H5" s="47"/>
      <c r="I5" s="47"/>
      <c r="J5" s="47"/>
      <c r="K5" s="47"/>
      <c r="L5" s="47"/>
      <c r="M5" s="47"/>
      <c r="N5" s="47"/>
      <c r="O5" s="47"/>
      <c r="P5" s="47"/>
      <c r="Q5" s="47"/>
      <c r="R5" s="25"/>
    </row>
    <row r="6" spans="1:20" ht="18.75" customHeight="1" x14ac:dyDescent="0.15">
      <c r="B6" s="183" t="s">
        <v>128</v>
      </c>
      <c r="C6" s="184"/>
      <c r="D6" s="190" t="s">
        <v>88</v>
      </c>
      <c r="E6" s="192" t="s">
        <v>115</v>
      </c>
      <c r="F6" s="192"/>
      <c r="G6" s="192" t="s">
        <v>116</v>
      </c>
      <c r="H6" s="192"/>
      <c r="I6" s="193" t="s">
        <v>117</v>
      </c>
      <c r="J6" s="194"/>
      <c r="K6" s="193" t="s">
        <v>118</v>
      </c>
      <c r="L6" s="194"/>
      <c r="M6" s="193" t="s">
        <v>119</v>
      </c>
      <c r="N6" s="194"/>
      <c r="O6" s="193" t="s">
        <v>120</v>
      </c>
      <c r="P6" s="194"/>
      <c r="Q6" s="195" t="s">
        <v>71</v>
      </c>
      <c r="R6" s="197" t="s">
        <v>65</v>
      </c>
      <c r="T6"/>
    </row>
    <row r="7" spans="1:20" ht="18.75" customHeight="1" x14ac:dyDescent="0.15">
      <c r="B7" s="185"/>
      <c r="C7" s="186"/>
      <c r="D7" s="191"/>
      <c r="E7" s="51" t="s">
        <v>51</v>
      </c>
      <c r="F7" s="53" t="s">
        <v>50</v>
      </c>
      <c r="G7" s="54" t="s">
        <v>51</v>
      </c>
      <c r="H7" s="52" t="s">
        <v>50</v>
      </c>
      <c r="I7" s="51" t="s">
        <v>51</v>
      </c>
      <c r="J7" s="53" t="s">
        <v>50</v>
      </c>
      <c r="K7" s="54" t="s">
        <v>51</v>
      </c>
      <c r="L7" s="52" t="s">
        <v>50</v>
      </c>
      <c r="M7" s="51" t="s">
        <v>51</v>
      </c>
      <c r="N7" s="53" t="s">
        <v>50</v>
      </c>
      <c r="O7" s="54" t="s">
        <v>51</v>
      </c>
      <c r="P7" s="52" t="s">
        <v>50</v>
      </c>
      <c r="Q7" s="196"/>
      <c r="R7" s="198"/>
      <c r="T7"/>
    </row>
    <row r="8" spans="1:20" ht="18.75" customHeight="1" x14ac:dyDescent="0.15">
      <c r="A8" s="49"/>
      <c r="B8" s="179" t="s">
        <v>184</v>
      </c>
      <c r="C8" s="180"/>
      <c r="D8" s="98">
        <v>960</v>
      </c>
      <c r="E8" s="99">
        <v>110</v>
      </c>
      <c r="F8" s="100">
        <v>80</v>
      </c>
      <c r="G8" s="101">
        <v>157</v>
      </c>
      <c r="H8" s="102">
        <v>111</v>
      </c>
      <c r="I8" s="99">
        <v>159</v>
      </c>
      <c r="J8" s="100">
        <v>121</v>
      </c>
      <c r="K8" s="101">
        <v>129</v>
      </c>
      <c r="L8" s="102">
        <v>96</v>
      </c>
      <c r="M8" s="99">
        <v>84</v>
      </c>
      <c r="N8" s="100">
        <v>76</v>
      </c>
      <c r="O8" s="101">
        <v>0</v>
      </c>
      <c r="P8" s="102">
        <v>0</v>
      </c>
      <c r="Q8" s="103">
        <f>E8+G8+I8+K8+M8+O8</f>
        <v>639</v>
      </c>
      <c r="R8" s="104">
        <f>Q8/D8</f>
        <v>0.66562500000000002</v>
      </c>
    </row>
    <row r="9" spans="1:20" ht="18.75" customHeight="1" x14ac:dyDescent="0.15">
      <c r="A9" s="49"/>
      <c r="B9" s="177" t="s">
        <v>185</v>
      </c>
      <c r="C9" s="178"/>
      <c r="D9" s="105"/>
      <c r="E9" s="106"/>
      <c r="F9" s="107"/>
      <c r="G9" s="108"/>
      <c r="H9" s="109"/>
      <c r="I9" s="106"/>
      <c r="J9" s="107"/>
      <c r="K9" s="108"/>
      <c r="L9" s="109"/>
      <c r="M9" s="106"/>
      <c r="N9" s="107"/>
      <c r="O9" s="108"/>
      <c r="P9" s="109"/>
      <c r="Q9" s="110">
        <f t="shared" ref="Q9:Q27" si="0">E9+G9+I9+K9+M9+O9</f>
        <v>0</v>
      </c>
      <c r="R9" s="104" t="e">
        <f t="shared" ref="R9:R27" si="1">Q9/D9</f>
        <v>#DIV/0!</v>
      </c>
    </row>
    <row r="10" spans="1:20" ht="18.75" customHeight="1" x14ac:dyDescent="0.15">
      <c r="A10" s="49"/>
      <c r="B10" s="177" t="s">
        <v>186</v>
      </c>
      <c r="C10" s="178"/>
      <c r="D10" s="105"/>
      <c r="E10" s="106"/>
      <c r="F10" s="107"/>
      <c r="G10" s="108"/>
      <c r="H10" s="109"/>
      <c r="I10" s="106"/>
      <c r="J10" s="107"/>
      <c r="K10" s="108"/>
      <c r="L10" s="109"/>
      <c r="M10" s="106"/>
      <c r="N10" s="107"/>
      <c r="O10" s="108"/>
      <c r="P10" s="109"/>
      <c r="Q10" s="110">
        <f t="shared" si="0"/>
        <v>0</v>
      </c>
      <c r="R10" s="104" t="e">
        <f t="shared" si="1"/>
        <v>#DIV/0!</v>
      </c>
    </row>
    <row r="11" spans="1:20" ht="18.75" customHeight="1" x14ac:dyDescent="0.15">
      <c r="A11" s="49"/>
      <c r="B11" s="177" t="s">
        <v>187</v>
      </c>
      <c r="C11" s="178"/>
      <c r="D11" s="105"/>
      <c r="E11" s="106"/>
      <c r="F11" s="107"/>
      <c r="G11" s="108"/>
      <c r="H11" s="109"/>
      <c r="I11" s="106"/>
      <c r="J11" s="107"/>
      <c r="K11" s="108"/>
      <c r="L11" s="109"/>
      <c r="M11" s="106"/>
      <c r="N11" s="107"/>
      <c r="O11" s="108"/>
      <c r="P11" s="109"/>
      <c r="Q11" s="110">
        <f t="shared" si="0"/>
        <v>0</v>
      </c>
      <c r="R11" s="104" t="e">
        <f t="shared" si="1"/>
        <v>#DIV/0!</v>
      </c>
    </row>
    <row r="12" spans="1:20" ht="18.75" customHeight="1" x14ac:dyDescent="0.15">
      <c r="A12" s="49"/>
      <c r="B12" s="177"/>
      <c r="C12" s="178"/>
      <c r="D12" s="105"/>
      <c r="E12" s="106"/>
      <c r="F12" s="107"/>
      <c r="G12" s="108"/>
      <c r="H12" s="109"/>
      <c r="I12" s="106"/>
      <c r="J12" s="107"/>
      <c r="K12" s="108"/>
      <c r="L12" s="109"/>
      <c r="M12" s="106"/>
      <c r="N12" s="107"/>
      <c r="O12" s="108"/>
      <c r="P12" s="109"/>
      <c r="Q12" s="110">
        <f t="shared" si="0"/>
        <v>0</v>
      </c>
      <c r="R12" s="104" t="e">
        <f t="shared" si="1"/>
        <v>#DIV/0!</v>
      </c>
    </row>
    <row r="13" spans="1:20" ht="18.75" customHeight="1" x14ac:dyDescent="0.15">
      <c r="A13" s="49"/>
      <c r="B13" s="177"/>
      <c r="C13" s="178"/>
      <c r="D13" s="105"/>
      <c r="E13" s="106"/>
      <c r="F13" s="107"/>
      <c r="G13" s="108"/>
      <c r="H13" s="109"/>
      <c r="I13" s="106"/>
      <c r="J13" s="107"/>
      <c r="K13" s="108"/>
      <c r="L13" s="109"/>
      <c r="M13" s="106"/>
      <c r="N13" s="107"/>
      <c r="O13" s="108"/>
      <c r="P13" s="109"/>
      <c r="Q13" s="110">
        <f t="shared" si="0"/>
        <v>0</v>
      </c>
      <c r="R13" s="104" t="e">
        <f t="shared" si="1"/>
        <v>#DIV/0!</v>
      </c>
    </row>
    <row r="14" spans="1:20" ht="18.75" customHeight="1" x14ac:dyDescent="0.15">
      <c r="A14" s="49"/>
      <c r="B14" s="177"/>
      <c r="C14" s="178"/>
      <c r="D14" s="105"/>
      <c r="E14" s="106"/>
      <c r="F14" s="107"/>
      <c r="G14" s="108"/>
      <c r="H14" s="109"/>
      <c r="I14" s="106"/>
      <c r="J14" s="107"/>
      <c r="K14" s="108"/>
      <c r="L14" s="109"/>
      <c r="M14" s="106"/>
      <c r="N14" s="107"/>
      <c r="O14" s="108"/>
      <c r="P14" s="109"/>
      <c r="Q14" s="110">
        <f t="shared" si="0"/>
        <v>0</v>
      </c>
      <c r="R14" s="104" t="e">
        <f t="shared" si="1"/>
        <v>#DIV/0!</v>
      </c>
    </row>
    <row r="15" spans="1:20" ht="18.75" customHeight="1" x14ac:dyDescent="0.15">
      <c r="A15" s="49"/>
      <c r="B15" s="177"/>
      <c r="C15" s="178"/>
      <c r="D15" s="105"/>
      <c r="E15" s="106"/>
      <c r="F15" s="107"/>
      <c r="G15" s="108"/>
      <c r="H15" s="109"/>
      <c r="I15" s="106"/>
      <c r="J15" s="107"/>
      <c r="K15" s="108"/>
      <c r="L15" s="109"/>
      <c r="M15" s="106"/>
      <c r="N15" s="107"/>
      <c r="O15" s="108"/>
      <c r="P15" s="109"/>
      <c r="Q15" s="110">
        <f t="shared" si="0"/>
        <v>0</v>
      </c>
      <c r="R15" s="104" t="e">
        <f t="shared" si="1"/>
        <v>#DIV/0!</v>
      </c>
    </row>
    <row r="16" spans="1:20" ht="18.75" customHeight="1" x14ac:dyDescent="0.15">
      <c r="A16" s="49"/>
      <c r="B16" s="177"/>
      <c r="C16" s="178"/>
      <c r="D16" s="105"/>
      <c r="E16" s="106"/>
      <c r="F16" s="107"/>
      <c r="G16" s="108"/>
      <c r="H16" s="109"/>
      <c r="I16" s="106"/>
      <c r="J16" s="107"/>
      <c r="K16" s="108"/>
      <c r="L16" s="109"/>
      <c r="M16" s="106"/>
      <c r="N16" s="107"/>
      <c r="O16" s="108"/>
      <c r="P16" s="109"/>
      <c r="Q16" s="110">
        <f>E16+G16+I16+K16+M16+O16</f>
        <v>0</v>
      </c>
      <c r="R16" s="104" t="e">
        <f t="shared" si="1"/>
        <v>#DIV/0!</v>
      </c>
    </row>
    <row r="17" spans="1:18" ht="18.75" customHeight="1" x14ac:dyDescent="0.15">
      <c r="A17" s="49"/>
      <c r="B17" s="177"/>
      <c r="C17" s="178"/>
      <c r="D17" s="105"/>
      <c r="E17" s="106"/>
      <c r="F17" s="107"/>
      <c r="G17" s="108"/>
      <c r="H17" s="109"/>
      <c r="I17" s="106"/>
      <c r="J17" s="107"/>
      <c r="K17" s="108"/>
      <c r="L17" s="109"/>
      <c r="M17" s="106"/>
      <c r="N17" s="107"/>
      <c r="O17" s="108"/>
      <c r="P17" s="109"/>
      <c r="Q17" s="110">
        <f t="shared" si="0"/>
        <v>0</v>
      </c>
      <c r="R17" s="104" t="e">
        <f t="shared" si="1"/>
        <v>#DIV/0!</v>
      </c>
    </row>
    <row r="18" spans="1:18" ht="18.75" customHeight="1" x14ac:dyDescent="0.15">
      <c r="A18" s="49"/>
      <c r="B18" s="177"/>
      <c r="C18" s="178"/>
      <c r="D18" s="105"/>
      <c r="E18" s="106"/>
      <c r="F18" s="107"/>
      <c r="G18" s="108"/>
      <c r="H18" s="109"/>
      <c r="I18" s="106"/>
      <c r="J18" s="107"/>
      <c r="K18" s="108"/>
      <c r="L18" s="109"/>
      <c r="M18" s="106"/>
      <c r="N18" s="107"/>
      <c r="O18" s="108"/>
      <c r="P18" s="109"/>
      <c r="Q18" s="110">
        <f t="shared" si="0"/>
        <v>0</v>
      </c>
      <c r="R18" s="104" t="e">
        <f t="shared" si="1"/>
        <v>#DIV/0!</v>
      </c>
    </row>
    <row r="19" spans="1:18" ht="18.75" customHeight="1" x14ac:dyDescent="0.15">
      <c r="A19" s="49"/>
      <c r="B19" s="177"/>
      <c r="C19" s="178"/>
      <c r="D19" s="105"/>
      <c r="E19" s="106"/>
      <c r="F19" s="107"/>
      <c r="G19" s="108"/>
      <c r="H19" s="109"/>
      <c r="I19" s="106"/>
      <c r="J19" s="107"/>
      <c r="K19" s="108"/>
      <c r="L19" s="109"/>
      <c r="M19" s="106"/>
      <c r="N19" s="107"/>
      <c r="O19" s="108"/>
      <c r="P19" s="109"/>
      <c r="Q19" s="110">
        <f t="shared" si="0"/>
        <v>0</v>
      </c>
      <c r="R19" s="104" t="e">
        <f t="shared" si="1"/>
        <v>#DIV/0!</v>
      </c>
    </row>
    <row r="20" spans="1:18" ht="18.75" customHeight="1" x14ac:dyDescent="0.15">
      <c r="A20" s="49"/>
      <c r="B20" s="177"/>
      <c r="C20" s="178"/>
      <c r="D20" s="105"/>
      <c r="E20" s="106"/>
      <c r="F20" s="107"/>
      <c r="G20" s="108"/>
      <c r="H20" s="109"/>
      <c r="I20" s="106"/>
      <c r="J20" s="107"/>
      <c r="K20" s="108"/>
      <c r="L20" s="109"/>
      <c r="M20" s="106"/>
      <c r="N20" s="107"/>
      <c r="O20" s="108"/>
      <c r="P20" s="109"/>
      <c r="Q20" s="110">
        <f t="shared" si="0"/>
        <v>0</v>
      </c>
      <c r="R20" s="104" t="e">
        <f t="shared" si="1"/>
        <v>#DIV/0!</v>
      </c>
    </row>
    <row r="21" spans="1:18" ht="18.75" customHeight="1" x14ac:dyDescent="0.15">
      <c r="A21" s="49"/>
      <c r="B21" s="177"/>
      <c r="C21" s="178"/>
      <c r="D21" s="105"/>
      <c r="E21" s="106"/>
      <c r="F21" s="107"/>
      <c r="G21" s="108"/>
      <c r="H21" s="109"/>
      <c r="I21" s="106"/>
      <c r="J21" s="107"/>
      <c r="K21" s="108"/>
      <c r="L21" s="109"/>
      <c r="M21" s="106"/>
      <c r="N21" s="107"/>
      <c r="O21" s="108"/>
      <c r="P21" s="109"/>
      <c r="Q21" s="110">
        <f t="shared" si="0"/>
        <v>0</v>
      </c>
      <c r="R21" s="104" t="e">
        <f t="shared" si="1"/>
        <v>#DIV/0!</v>
      </c>
    </row>
    <row r="22" spans="1:18" ht="18.75" customHeight="1" x14ac:dyDescent="0.15">
      <c r="A22" s="49"/>
      <c r="B22" s="177"/>
      <c r="C22" s="178"/>
      <c r="D22" s="105"/>
      <c r="E22" s="106"/>
      <c r="F22" s="107"/>
      <c r="G22" s="108"/>
      <c r="H22" s="109"/>
      <c r="I22" s="106"/>
      <c r="J22" s="107"/>
      <c r="K22" s="108"/>
      <c r="L22" s="109"/>
      <c r="M22" s="106"/>
      <c r="N22" s="107"/>
      <c r="O22" s="108"/>
      <c r="P22" s="109"/>
      <c r="Q22" s="110">
        <f t="shared" si="0"/>
        <v>0</v>
      </c>
      <c r="R22" s="104" t="e">
        <f t="shared" si="1"/>
        <v>#DIV/0!</v>
      </c>
    </row>
    <row r="23" spans="1:18" ht="18.75" customHeight="1" x14ac:dyDescent="0.15">
      <c r="A23" s="49"/>
      <c r="B23" s="177"/>
      <c r="C23" s="178"/>
      <c r="D23" s="105"/>
      <c r="E23" s="106"/>
      <c r="F23" s="107"/>
      <c r="G23" s="108"/>
      <c r="H23" s="109"/>
      <c r="I23" s="106"/>
      <c r="J23" s="107"/>
      <c r="K23" s="108"/>
      <c r="L23" s="109"/>
      <c r="M23" s="106"/>
      <c r="N23" s="107"/>
      <c r="O23" s="108"/>
      <c r="P23" s="109"/>
      <c r="Q23" s="110">
        <f t="shared" si="0"/>
        <v>0</v>
      </c>
      <c r="R23" s="104" t="e">
        <f t="shared" si="1"/>
        <v>#DIV/0!</v>
      </c>
    </row>
    <row r="24" spans="1:18" ht="18.75" customHeight="1" x14ac:dyDescent="0.15">
      <c r="A24" s="49"/>
      <c r="B24" s="177"/>
      <c r="C24" s="178"/>
      <c r="D24" s="105"/>
      <c r="E24" s="106"/>
      <c r="F24" s="107"/>
      <c r="G24" s="108"/>
      <c r="H24" s="109"/>
      <c r="I24" s="106"/>
      <c r="J24" s="107"/>
      <c r="K24" s="108"/>
      <c r="L24" s="109"/>
      <c r="M24" s="106"/>
      <c r="N24" s="107"/>
      <c r="O24" s="108"/>
      <c r="P24" s="109"/>
      <c r="Q24" s="110">
        <f t="shared" si="0"/>
        <v>0</v>
      </c>
      <c r="R24" s="104" t="e">
        <f t="shared" si="1"/>
        <v>#DIV/0!</v>
      </c>
    </row>
    <row r="25" spans="1:18" ht="18.75" customHeight="1" x14ac:dyDescent="0.15">
      <c r="A25" s="49"/>
      <c r="B25" s="177"/>
      <c r="C25" s="178"/>
      <c r="D25" s="105"/>
      <c r="E25" s="106"/>
      <c r="F25" s="107"/>
      <c r="G25" s="108"/>
      <c r="H25" s="109"/>
      <c r="I25" s="106"/>
      <c r="J25" s="107"/>
      <c r="K25" s="108"/>
      <c r="L25" s="109"/>
      <c r="M25" s="106"/>
      <c r="N25" s="107"/>
      <c r="O25" s="108"/>
      <c r="P25" s="109"/>
      <c r="Q25" s="110">
        <f t="shared" si="0"/>
        <v>0</v>
      </c>
      <c r="R25" s="104" t="e">
        <f t="shared" si="1"/>
        <v>#DIV/0!</v>
      </c>
    </row>
    <row r="26" spans="1:18" ht="18.75" customHeight="1" x14ac:dyDescent="0.15">
      <c r="A26" s="49"/>
      <c r="B26" s="177"/>
      <c r="C26" s="178"/>
      <c r="D26" s="105"/>
      <c r="E26" s="106"/>
      <c r="F26" s="107"/>
      <c r="G26" s="108"/>
      <c r="H26" s="109"/>
      <c r="I26" s="106"/>
      <c r="J26" s="107"/>
      <c r="K26" s="108"/>
      <c r="L26" s="109"/>
      <c r="M26" s="106"/>
      <c r="N26" s="107"/>
      <c r="O26" s="108"/>
      <c r="P26" s="109"/>
      <c r="Q26" s="110">
        <f t="shared" si="0"/>
        <v>0</v>
      </c>
      <c r="R26" s="104" t="e">
        <f t="shared" si="1"/>
        <v>#DIV/0!</v>
      </c>
    </row>
    <row r="27" spans="1:18" ht="18.75" customHeight="1" thickBot="1" x14ac:dyDescent="0.2">
      <c r="A27" s="49"/>
      <c r="B27" s="187"/>
      <c r="C27" s="188"/>
      <c r="D27" s="98"/>
      <c r="E27" s="99"/>
      <c r="F27" s="100"/>
      <c r="G27" s="101"/>
      <c r="H27" s="102"/>
      <c r="I27" s="99"/>
      <c r="J27" s="100"/>
      <c r="K27" s="101"/>
      <c r="L27" s="102"/>
      <c r="M27" s="99"/>
      <c r="N27" s="100"/>
      <c r="O27" s="101"/>
      <c r="P27" s="102"/>
      <c r="Q27" s="111">
        <f t="shared" si="0"/>
        <v>0</v>
      </c>
      <c r="R27" s="104" t="e">
        <f t="shared" si="1"/>
        <v>#DIV/0!</v>
      </c>
    </row>
    <row r="28" spans="1:18" ht="18.75" customHeight="1" thickTop="1" x14ac:dyDescent="0.15">
      <c r="A28" s="49"/>
      <c r="B28" s="181" t="s">
        <v>66</v>
      </c>
      <c r="C28" s="182"/>
      <c r="D28" s="112">
        <f t="shared" ref="D28:Q28" si="2">SUM(D8:D27)</f>
        <v>960</v>
      </c>
      <c r="E28" s="113">
        <f t="shared" si="2"/>
        <v>110</v>
      </c>
      <c r="F28" s="114">
        <f t="shared" si="2"/>
        <v>80</v>
      </c>
      <c r="G28" s="115">
        <f t="shared" si="2"/>
        <v>157</v>
      </c>
      <c r="H28" s="116">
        <f t="shared" si="2"/>
        <v>111</v>
      </c>
      <c r="I28" s="113">
        <f t="shared" si="2"/>
        <v>159</v>
      </c>
      <c r="J28" s="114">
        <f t="shared" si="2"/>
        <v>121</v>
      </c>
      <c r="K28" s="115">
        <f t="shared" si="2"/>
        <v>129</v>
      </c>
      <c r="L28" s="116">
        <f t="shared" si="2"/>
        <v>96</v>
      </c>
      <c r="M28" s="113">
        <f t="shared" si="2"/>
        <v>84</v>
      </c>
      <c r="N28" s="114">
        <f t="shared" si="2"/>
        <v>76</v>
      </c>
      <c r="O28" s="115">
        <f t="shared" si="2"/>
        <v>0</v>
      </c>
      <c r="P28" s="116">
        <f t="shared" si="2"/>
        <v>0</v>
      </c>
      <c r="Q28" s="117">
        <f t="shared" si="2"/>
        <v>639</v>
      </c>
      <c r="R28" s="118">
        <f>Q28/D28</f>
        <v>0.66562500000000002</v>
      </c>
    </row>
    <row r="29" spans="1:18" ht="6.75" customHeight="1" x14ac:dyDescent="0.15">
      <c r="A29" s="49"/>
      <c r="B29" s="49"/>
      <c r="C29" s="49"/>
      <c r="D29" s="50"/>
      <c r="E29" s="50"/>
      <c r="F29" s="50"/>
      <c r="G29" s="50"/>
      <c r="H29" s="50"/>
      <c r="I29" s="50"/>
      <c r="J29" s="50"/>
      <c r="K29" s="50"/>
      <c r="L29" s="50"/>
      <c r="M29" s="50"/>
      <c r="N29" s="50"/>
      <c r="O29" s="50"/>
      <c r="P29" s="50"/>
      <c r="Q29" s="50"/>
      <c r="R29" s="50"/>
    </row>
  </sheetData>
  <mergeCells count="35">
    <mergeCell ref="F1:R1"/>
    <mergeCell ref="K2:L2"/>
    <mergeCell ref="D6:D7"/>
    <mergeCell ref="E6:F6"/>
    <mergeCell ref="G6:H6"/>
    <mergeCell ref="I6:J6"/>
    <mergeCell ref="K6:L6"/>
    <mergeCell ref="M6:N6"/>
    <mergeCell ref="O6:P6"/>
    <mergeCell ref="Q6:Q7"/>
    <mergeCell ref="R6:R7"/>
    <mergeCell ref="A4:R4"/>
    <mergeCell ref="M2:R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0"/>
  <sheetViews>
    <sheetView tabSelected="1" view="pageBreakPreview" zoomScaleNormal="100" zoomScaleSheetLayoutView="100" workbookViewId="0"/>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12" ht="18.75" customHeight="1" x14ac:dyDescent="0.15">
      <c r="G1" s="86" t="s">
        <v>165</v>
      </c>
    </row>
    <row r="2" spans="1:12" ht="18.75" customHeight="1" x14ac:dyDescent="0.15">
      <c r="F2" s="86" t="s">
        <v>31</v>
      </c>
      <c r="G2" s="95" t="s">
        <v>155</v>
      </c>
      <c r="H2" s="93"/>
      <c r="I2" s="93"/>
      <c r="J2" s="93"/>
      <c r="K2" s="93"/>
      <c r="L2" s="93"/>
    </row>
    <row r="3" spans="1:12" ht="18.75" customHeight="1" x14ac:dyDescent="0.15">
      <c r="A3" s="199" t="s">
        <v>94</v>
      </c>
      <c r="B3" s="199"/>
      <c r="C3" s="199"/>
      <c r="D3" s="199"/>
      <c r="E3" s="199"/>
      <c r="F3" s="199"/>
      <c r="G3" s="199"/>
    </row>
    <row r="4" spans="1:12" ht="18.75" customHeight="1" x14ac:dyDescent="0.15">
      <c r="A4" s="1" t="s">
        <v>6</v>
      </c>
      <c r="B4" s="1" t="s">
        <v>93</v>
      </c>
    </row>
    <row r="5" spans="1:12" s="87" customFormat="1" ht="18.75" customHeight="1" x14ac:dyDescent="0.15">
      <c r="B5" s="90" t="s">
        <v>73</v>
      </c>
      <c r="C5" s="206" t="s">
        <v>104</v>
      </c>
      <c r="D5" s="207"/>
      <c r="E5" s="207"/>
      <c r="F5" s="207"/>
      <c r="G5" s="208"/>
    </row>
    <row r="6" spans="1:12" s="87" customFormat="1" ht="45" customHeight="1" x14ac:dyDescent="0.15">
      <c r="B6" s="209" t="s">
        <v>107</v>
      </c>
      <c r="C6" s="224" t="s">
        <v>170</v>
      </c>
      <c r="D6" s="225"/>
      <c r="E6" s="225"/>
      <c r="F6" s="225"/>
      <c r="G6" s="226"/>
    </row>
    <row r="7" spans="1:12" s="87" customFormat="1" ht="45" customHeight="1" x14ac:dyDescent="0.15">
      <c r="B7" s="210"/>
      <c r="C7" s="227"/>
      <c r="D7" s="228"/>
      <c r="E7" s="228"/>
      <c r="F7" s="228"/>
      <c r="G7" s="229"/>
    </row>
    <row r="8" spans="1:12" s="87" customFormat="1" ht="45" customHeight="1" x14ac:dyDescent="0.15">
      <c r="B8" s="210"/>
      <c r="C8" s="227"/>
      <c r="D8" s="228"/>
      <c r="E8" s="228"/>
      <c r="F8" s="228"/>
      <c r="G8" s="229"/>
    </row>
    <row r="9" spans="1:12" s="87" customFormat="1" ht="45" customHeight="1" x14ac:dyDescent="0.15">
      <c r="B9" s="210"/>
      <c r="C9" s="230"/>
      <c r="D9" s="231"/>
      <c r="E9" s="231"/>
      <c r="F9" s="231"/>
      <c r="G9" s="232"/>
    </row>
    <row r="10" spans="1:12" s="87" customFormat="1" ht="18.75" customHeight="1" x14ac:dyDescent="0.15">
      <c r="B10" s="210"/>
      <c r="C10" s="88" t="s">
        <v>105</v>
      </c>
      <c r="D10" s="200" t="s">
        <v>106</v>
      </c>
      <c r="E10" s="201"/>
      <c r="F10" s="201"/>
      <c r="G10" s="202"/>
    </row>
    <row r="11" spans="1:12" s="87" customFormat="1" ht="18.75" customHeight="1" x14ac:dyDescent="0.15">
      <c r="B11" s="210"/>
      <c r="C11" s="91" t="s">
        <v>146</v>
      </c>
      <c r="D11" s="203" t="s">
        <v>147</v>
      </c>
      <c r="E11" s="204"/>
      <c r="F11" s="204"/>
      <c r="G11" s="205"/>
    </row>
    <row r="12" spans="1:12" s="87" customFormat="1" ht="18.75" customHeight="1" x14ac:dyDescent="0.15">
      <c r="B12" s="210"/>
      <c r="C12" s="122" t="s">
        <v>148</v>
      </c>
      <c r="D12" s="203" t="s">
        <v>149</v>
      </c>
      <c r="E12" s="204"/>
      <c r="F12" s="204"/>
      <c r="G12" s="205"/>
    </row>
    <row r="13" spans="1:12" s="87" customFormat="1" ht="18.75" customHeight="1" x14ac:dyDescent="0.15">
      <c r="B13" s="210"/>
      <c r="C13" s="122" t="s">
        <v>164</v>
      </c>
      <c r="D13" s="203" t="s">
        <v>150</v>
      </c>
      <c r="E13" s="204"/>
      <c r="F13" s="204"/>
      <c r="G13" s="205"/>
    </row>
    <row r="14" spans="1:12" s="87" customFormat="1" ht="18.75" customHeight="1" x14ac:dyDescent="0.15">
      <c r="B14" s="210"/>
      <c r="C14" s="91"/>
      <c r="D14" s="203"/>
      <c r="E14" s="204"/>
      <c r="F14" s="204"/>
      <c r="G14" s="205"/>
    </row>
    <row r="15" spans="1:12" s="87" customFormat="1" ht="18.75" customHeight="1" x14ac:dyDescent="0.15">
      <c r="B15" s="210"/>
      <c r="C15" s="91"/>
      <c r="D15" s="203"/>
      <c r="E15" s="204"/>
      <c r="F15" s="204"/>
      <c r="G15" s="205"/>
    </row>
    <row r="16" spans="1:12" s="87" customFormat="1" ht="18.75" customHeight="1" x14ac:dyDescent="0.15">
      <c r="B16" s="210"/>
      <c r="C16" s="91"/>
      <c r="D16" s="203"/>
      <c r="E16" s="204"/>
      <c r="F16" s="204"/>
      <c r="G16" s="205"/>
    </row>
    <row r="17" spans="2:7" s="87" customFormat="1" ht="18.75" customHeight="1" x14ac:dyDescent="0.15">
      <c r="B17" s="210"/>
      <c r="C17" s="90"/>
      <c r="D17" s="206"/>
      <c r="E17" s="207"/>
      <c r="F17" s="207"/>
      <c r="G17" s="208"/>
    </row>
    <row r="18" spans="2:7" s="87" customFormat="1" ht="18.75" customHeight="1" x14ac:dyDescent="0.15">
      <c r="B18" s="210"/>
      <c r="C18" s="91"/>
      <c r="D18" s="203"/>
      <c r="E18" s="204"/>
      <c r="F18" s="204"/>
      <c r="G18" s="205"/>
    </row>
    <row r="19" spans="2:7" s="87" customFormat="1" ht="18.75" customHeight="1" x14ac:dyDescent="0.15">
      <c r="B19" s="210"/>
      <c r="C19" s="90"/>
      <c r="D19" s="206"/>
      <c r="E19" s="207"/>
      <c r="F19" s="207"/>
      <c r="G19" s="208"/>
    </row>
    <row r="20" spans="2:7" s="87" customFormat="1" ht="18.75" customHeight="1" x14ac:dyDescent="0.15">
      <c r="B20" s="210"/>
      <c r="C20" s="90"/>
      <c r="D20" s="206"/>
      <c r="E20" s="207"/>
      <c r="F20" s="207"/>
      <c r="G20" s="208"/>
    </row>
    <row r="21" spans="2:7" s="87" customFormat="1" ht="18.75" customHeight="1" x14ac:dyDescent="0.15">
      <c r="B21" s="210"/>
      <c r="C21" s="90"/>
      <c r="D21" s="206"/>
      <c r="E21" s="207"/>
      <c r="F21" s="207"/>
      <c r="G21" s="208"/>
    </row>
    <row r="22" spans="2:7" s="87" customFormat="1" ht="18.75" customHeight="1" x14ac:dyDescent="0.15">
      <c r="B22" s="210"/>
      <c r="C22" s="90"/>
      <c r="D22" s="206"/>
      <c r="E22" s="207"/>
      <c r="F22" s="207"/>
      <c r="G22" s="208"/>
    </row>
    <row r="23" spans="2:7" s="87" customFormat="1" ht="18.75" customHeight="1" x14ac:dyDescent="0.15">
      <c r="B23" s="210"/>
      <c r="C23" s="90"/>
      <c r="D23" s="206"/>
      <c r="E23" s="207"/>
      <c r="F23" s="207"/>
      <c r="G23" s="208"/>
    </row>
    <row r="24" spans="2:7" s="87" customFormat="1" ht="18.75" customHeight="1" x14ac:dyDescent="0.15">
      <c r="B24" s="210"/>
      <c r="C24" s="90"/>
      <c r="D24" s="206"/>
      <c r="E24" s="207"/>
      <c r="F24" s="207"/>
      <c r="G24" s="208"/>
    </row>
    <row r="25" spans="2:7" s="87" customFormat="1" ht="18.75" customHeight="1" x14ac:dyDescent="0.15">
      <c r="B25" s="210"/>
      <c r="C25" s="90"/>
      <c r="D25" s="206"/>
      <c r="E25" s="207"/>
      <c r="F25" s="207"/>
      <c r="G25" s="208"/>
    </row>
    <row r="26" spans="2:7" ht="18.75" customHeight="1" x14ac:dyDescent="0.15">
      <c r="B26" s="209" t="s">
        <v>108</v>
      </c>
      <c r="C26" s="206" t="s">
        <v>104</v>
      </c>
      <c r="D26" s="207"/>
      <c r="E26" s="207"/>
      <c r="F26" s="207"/>
      <c r="G26" s="208"/>
    </row>
    <row r="27" spans="2:7" ht="37.5" customHeight="1" x14ac:dyDescent="0.15">
      <c r="B27" s="210"/>
      <c r="C27" s="211" t="s">
        <v>197</v>
      </c>
      <c r="D27" s="212"/>
      <c r="E27" s="212"/>
      <c r="F27" s="212"/>
      <c r="G27" s="213"/>
    </row>
    <row r="28" spans="2:7" ht="37.5" customHeight="1" x14ac:dyDescent="0.15">
      <c r="B28" s="210"/>
      <c r="C28" s="214"/>
      <c r="D28" s="215"/>
      <c r="E28" s="215"/>
      <c r="F28" s="215"/>
      <c r="G28" s="216"/>
    </row>
    <row r="29" spans="2:7" ht="37.5" customHeight="1" x14ac:dyDescent="0.15">
      <c r="B29" s="210"/>
      <c r="C29" s="214"/>
      <c r="D29" s="215"/>
      <c r="E29" s="215"/>
      <c r="F29" s="215"/>
      <c r="G29" s="216"/>
    </row>
    <row r="30" spans="2:7" ht="37.5" customHeight="1" x14ac:dyDescent="0.15">
      <c r="B30" s="210"/>
      <c r="C30" s="214"/>
      <c r="D30" s="215"/>
      <c r="E30" s="215"/>
      <c r="F30" s="215"/>
      <c r="G30" s="216"/>
    </row>
    <row r="31" spans="2:7" ht="37.5" customHeight="1" x14ac:dyDescent="0.15">
      <c r="B31" s="210"/>
      <c r="C31" s="217"/>
      <c r="D31" s="218"/>
      <c r="E31" s="218"/>
      <c r="F31" s="218"/>
      <c r="G31" s="219"/>
    </row>
    <row r="32" spans="2:7" ht="18.75" customHeight="1" x14ac:dyDescent="0.15">
      <c r="B32" s="210"/>
      <c r="C32" s="88" t="s">
        <v>105</v>
      </c>
      <c r="D32" s="206" t="s">
        <v>106</v>
      </c>
      <c r="E32" s="207"/>
      <c r="F32" s="207"/>
      <c r="G32" s="208"/>
    </row>
    <row r="33" spans="2:7" ht="18.75" customHeight="1" x14ac:dyDescent="0.15">
      <c r="B33" s="210"/>
      <c r="C33" s="89" t="s">
        <v>151</v>
      </c>
      <c r="D33" s="220" t="s">
        <v>152</v>
      </c>
      <c r="E33" s="221"/>
      <c r="F33" s="221"/>
      <c r="G33" s="222"/>
    </row>
    <row r="34" spans="2:7" ht="18.75" customHeight="1" x14ac:dyDescent="0.15">
      <c r="B34" s="210"/>
      <c r="C34" s="122" t="s">
        <v>164</v>
      </c>
      <c r="D34" s="220" t="s">
        <v>150</v>
      </c>
      <c r="E34" s="221"/>
      <c r="F34" s="221"/>
      <c r="G34" s="222"/>
    </row>
    <row r="35" spans="2:7" ht="18.75" customHeight="1" x14ac:dyDescent="0.15">
      <c r="B35" s="210"/>
      <c r="C35" s="94"/>
      <c r="D35" s="220"/>
      <c r="E35" s="221"/>
      <c r="F35" s="221"/>
      <c r="G35" s="222"/>
    </row>
    <row r="36" spans="2:7" ht="18.75" customHeight="1" x14ac:dyDescent="0.15">
      <c r="B36" s="210"/>
      <c r="C36" s="94"/>
      <c r="D36" s="220"/>
      <c r="E36" s="221"/>
      <c r="F36" s="221"/>
      <c r="G36" s="222"/>
    </row>
    <row r="37" spans="2:7" ht="18.75" customHeight="1" x14ac:dyDescent="0.15">
      <c r="B37" s="210"/>
      <c r="C37" s="90"/>
      <c r="D37" s="220"/>
      <c r="E37" s="221"/>
      <c r="F37" s="221"/>
      <c r="G37" s="222"/>
    </row>
    <row r="38" spans="2:7" ht="18.75" customHeight="1" x14ac:dyDescent="0.15">
      <c r="B38" s="210"/>
      <c r="C38" s="90"/>
      <c r="D38" s="220"/>
      <c r="E38" s="221"/>
      <c r="F38" s="221"/>
      <c r="G38" s="222"/>
    </row>
    <row r="39" spans="2:7" ht="18.75" customHeight="1" x14ac:dyDescent="0.15">
      <c r="B39" s="210"/>
      <c r="C39" s="90"/>
      <c r="D39" s="220"/>
      <c r="E39" s="221"/>
      <c r="F39" s="221"/>
      <c r="G39" s="222"/>
    </row>
    <row r="40" spans="2:7" ht="18.75" customHeight="1" x14ac:dyDescent="0.15">
      <c r="B40" s="210"/>
      <c r="C40" s="90"/>
      <c r="D40" s="220"/>
      <c r="E40" s="221"/>
      <c r="F40" s="221"/>
      <c r="G40" s="222"/>
    </row>
    <row r="41" spans="2:7" ht="18.75" customHeight="1" x14ac:dyDescent="0.15">
      <c r="B41" s="210"/>
      <c r="C41" s="90"/>
      <c r="D41" s="220"/>
      <c r="E41" s="221"/>
      <c r="F41" s="221"/>
      <c r="G41" s="222"/>
    </row>
    <row r="42" spans="2:7" ht="18.75" customHeight="1" x14ac:dyDescent="0.15">
      <c r="B42" s="210"/>
      <c r="C42" s="90"/>
      <c r="D42" s="220"/>
      <c r="E42" s="221"/>
      <c r="F42" s="221"/>
      <c r="G42" s="222"/>
    </row>
    <row r="43" spans="2:7" ht="18.75" customHeight="1" x14ac:dyDescent="0.15">
      <c r="B43" s="210"/>
      <c r="C43" s="90"/>
      <c r="D43" s="220"/>
      <c r="E43" s="221"/>
      <c r="F43" s="221"/>
      <c r="G43" s="222"/>
    </row>
    <row r="44" spans="2:7" ht="18.75" customHeight="1" x14ac:dyDescent="0.15">
      <c r="B44" s="210"/>
      <c r="C44" s="90"/>
      <c r="D44" s="220"/>
      <c r="E44" s="221"/>
      <c r="F44" s="221"/>
      <c r="G44" s="222"/>
    </row>
    <row r="45" spans="2:7" ht="18.75" customHeight="1" x14ac:dyDescent="0.15">
      <c r="B45" s="210"/>
      <c r="C45" s="90"/>
      <c r="D45" s="220"/>
      <c r="E45" s="221"/>
      <c r="F45" s="221"/>
      <c r="G45" s="222"/>
    </row>
    <row r="46" spans="2:7" ht="18.75" customHeight="1" x14ac:dyDescent="0.15">
      <c r="B46" s="210"/>
      <c r="C46" s="90"/>
      <c r="D46" s="220"/>
      <c r="E46" s="221"/>
      <c r="F46" s="221"/>
      <c r="G46" s="222"/>
    </row>
    <row r="47" spans="2:7" ht="18.75" customHeight="1" x14ac:dyDescent="0.15">
      <c r="B47" s="210"/>
      <c r="C47" s="90"/>
      <c r="D47" s="220"/>
      <c r="E47" s="221"/>
      <c r="F47" s="221"/>
      <c r="G47" s="222"/>
    </row>
    <row r="48" spans="2:7" ht="18.75" customHeight="1" x14ac:dyDescent="0.15">
      <c r="B48" s="210"/>
      <c r="C48" s="90"/>
      <c r="D48" s="220"/>
      <c r="E48" s="221"/>
      <c r="F48" s="221"/>
      <c r="G48" s="222"/>
    </row>
    <row r="49" spans="2:7" ht="18.75" customHeight="1" x14ac:dyDescent="0.15">
      <c r="B49" s="210"/>
      <c r="C49" s="90"/>
      <c r="D49" s="220"/>
      <c r="E49" s="221"/>
      <c r="F49" s="221"/>
      <c r="G49" s="222"/>
    </row>
    <row r="50" spans="2:7" ht="18.75" customHeight="1" x14ac:dyDescent="0.15">
      <c r="B50" s="223"/>
      <c r="C50" s="90"/>
      <c r="D50" s="220"/>
      <c r="E50" s="221"/>
      <c r="F50" s="221"/>
      <c r="G50" s="222"/>
    </row>
    <row r="51" spans="2:7" ht="18.75" customHeight="1" x14ac:dyDescent="0.15">
      <c r="B51" s="209" t="s">
        <v>110</v>
      </c>
      <c r="C51" s="206" t="s">
        <v>104</v>
      </c>
      <c r="D51" s="207"/>
      <c r="E51" s="207"/>
      <c r="F51" s="207"/>
      <c r="G51" s="208"/>
    </row>
    <row r="52" spans="2:7" ht="37.5" customHeight="1" x14ac:dyDescent="0.15">
      <c r="B52" s="210"/>
      <c r="C52" s="211" t="s">
        <v>198</v>
      </c>
      <c r="D52" s="212"/>
      <c r="E52" s="212"/>
      <c r="F52" s="212"/>
      <c r="G52" s="213"/>
    </row>
    <row r="53" spans="2:7" ht="37.5" customHeight="1" x14ac:dyDescent="0.15">
      <c r="B53" s="210"/>
      <c r="C53" s="214"/>
      <c r="D53" s="215"/>
      <c r="E53" s="215"/>
      <c r="F53" s="215"/>
      <c r="G53" s="216"/>
    </row>
    <row r="54" spans="2:7" ht="37.5" customHeight="1" x14ac:dyDescent="0.15">
      <c r="B54" s="210"/>
      <c r="C54" s="214"/>
      <c r="D54" s="215"/>
      <c r="E54" s="215"/>
      <c r="F54" s="215"/>
      <c r="G54" s="216"/>
    </row>
    <row r="55" spans="2:7" ht="37.5" customHeight="1" x14ac:dyDescent="0.15">
      <c r="B55" s="210"/>
      <c r="C55" s="214"/>
      <c r="D55" s="215"/>
      <c r="E55" s="215"/>
      <c r="F55" s="215"/>
      <c r="G55" s="216"/>
    </row>
    <row r="56" spans="2:7" ht="37.5" customHeight="1" x14ac:dyDescent="0.15">
      <c r="B56" s="210"/>
      <c r="C56" s="217"/>
      <c r="D56" s="218"/>
      <c r="E56" s="218"/>
      <c r="F56" s="218"/>
      <c r="G56" s="219"/>
    </row>
    <row r="57" spans="2:7" ht="18.75" customHeight="1" x14ac:dyDescent="0.15">
      <c r="B57" s="210"/>
      <c r="C57" s="88" t="s">
        <v>105</v>
      </c>
      <c r="D57" s="206" t="s">
        <v>106</v>
      </c>
      <c r="E57" s="207"/>
      <c r="F57" s="207"/>
      <c r="G57" s="208"/>
    </row>
    <row r="58" spans="2:7" ht="18.75" customHeight="1" x14ac:dyDescent="0.15">
      <c r="B58" s="210"/>
      <c r="C58" s="94" t="s">
        <v>164</v>
      </c>
      <c r="D58" s="220" t="s">
        <v>150</v>
      </c>
      <c r="E58" s="221"/>
      <c r="F58" s="221"/>
      <c r="G58" s="222"/>
    </row>
    <row r="59" spans="2:7" ht="18.75" customHeight="1" x14ac:dyDescent="0.15">
      <c r="B59" s="210"/>
      <c r="C59" s="94"/>
      <c r="D59" s="220"/>
      <c r="E59" s="221"/>
      <c r="F59" s="221"/>
      <c r="G59" s="222"/>
    </row>
    <row r="60" spans="2:7" ht="18.75" customHeight="1" x14ac:dyDescent="0.15">
      <c r="B60" s="210"/>
      <c r="C60" s="90"/>
      <c r="D60" s="220"/>
      <c r="E60" s="221"/>
      <c r="F60" s="221"/>
      <c r="G60" s="222"/>
    </row>
    <row r="61" spans="2:7" ht="18.75" customHeight="1" x14ac:dyDescent="0.15">
      <c r="B61" s="210"/>
      <c r="C61" s="90"/>
      <c r="D61" s="220"/>
      <c r="E61" s="221"/>
      <c r="F61" s="221"/>
      <c r="G61" s="222"/>
    </row>
    <row r="62" spans="2:7" ht="18.75" customHeight="1" x14ac:dyDescent="0.15">
      <c r="B62" s="210"/>
      <c r="C62" s="90"/>
      <c r="D62" s="220"/>
      <c r="E62" s="221"/>
      <c r="F62" s="221"/>
      <c r="G62" s="222"/>
    </row>
    <row r="63" spans="2:7" ht="18.75" customHeight="1" x14ac:dyDescent="0.15">
      <c r="B63" s="210"/>
      <c r="C63" s="90"/>
      <c r="D63" s="220"/>
      <c r="E63" s="221"/>
      <c r="F63" s="221"/>
      <c r="G63" s="222"/>
    </row>
    <row r="64" spans="2:7" ht="18.75" customHeight="1" x14ac:dyDescent="0.15">
      <c r="B64" s="210"/>
      <c r="C64" s="90"/>
      <c r="D64" s="220"/>
      <c r="E64" s="221"/>
      <c r="F64" s="221"/>
      <c r="G64" s="222"/>
    </row>
    <row r="65" spans="2:7" ht="18.75" customHeight="1" x14ac:dyDescent="0.15">
      <c r="B65" s="210"/>
      <c r="C65" s="90"/>
      <c r="D65" s="220"/>
      <c r="E65" s="221"/>
      <c r="F65" s="221"/>
      <c r="G65" s="222"/>
    </row>
    <row r="66" spans="2:7" ht="18.75" customHeight="1" x14ac:dyDescent="0.15">
      <c r="B66" s="210"/>
      <c r="C66" s="90"/>
      <c r="D66" s="220"/>
      <c r="E66" s="221"/>
      <c r="F66" s="221"/>
      <c r="G66" s="222"/>
    </row>
    <row r="67" spans="2:7" ht="18.75" customHeight="1" x14ac:dyDescent="0.15">
      <c r="B67" s="210"/>
      <c r="C67" s="90"/>
      <c r="D67" s="220"/>
      <c r="E67" s="221"/>
      <c r="F67" s="221"/>
      <c r="G67" s="222"/>
    </row>
    <row r="68" spans="2:7" ht="18.75" customHeight="1" x14ac:dyDescent="0.15">
      <c r="B68" s="210"/>
      <c r="C68" s="90"/>
      <c r="D68" s="220"/>
      <c r="E68" s="221"/>
      <c r="F68" s="221"/>
      <c r="G68" s="222"/>
    </row>
    <row r="69" spans="2:7" ht="18.75" customHeight="1" x14ac:dyDescent="0.15">
      <c r="B69" s="210"/>
      <c r="C69" s="90"/>
      <c r="D69" s="220"/>
      <c r="E69" s="221"/>
      <c r="F69" s="221"/>
      <c r="G69" s="222"/>
    </row>
    <row r="70" spans="2:7" ht="18.75" customHeight="1" x14ac:dyDescent="0.15">
      <c r="B70" s="210"/>
      <c r="C70" s="90"/>
      <c r="D70" s="220"/>
      <c r="E70" s="221"/>
      <c r="F70" s="221"/>
      <c r="G70" s="222"/>
    </row>
    <row r="71" spans="2:7" ht="18.75" customHeight="1" x14ac:dyDescent="0.15">
      <c r="B71" s="210"/>
      <c r="C71" s="90"/>
      <c r="D71" s="220"/>
      <c r="E71" s="221"/>
      <c r="F71" s="221"/>
      <c r="G71" s="222"/>
    </row>
    <row r="72" spans="2:7" ht="18.75" customHeight="1" x14ac:dyDescent="0.15">
      <c r="B72" s="210"/>
      <c r="C72" s="90"/>
      <c r="D72" s="220"/>
      <c r="E72" s="221"/>
      <c r="F72" s="221"/>
      <c r="G72" s="222"/>
    </row>
    <row r="73" spans="2:7" ht="18.75" customHeight="1" x14ac:dyDescent="0.15">
      <c r="B73" s="210"/>
      <c r="C73" s="90"/>
      <c r="D73" s="220"/>
      <c r="E73" s="221"/>
      <c r="F73" s="221"/>
      <c r="G73" s="222"/>
    </row>
    <row r="74" spans="2:7" ht="18.75" customHeight="1" x14ac:dyDescent="0.15">
      <c r="B74" s="210"/>
      <c r="C74" s="90"/>
      <c r="D74" s="220"/>
      <c r="E74" s="221"/>
      <c r="F74" s="221"/>
      <c r="G74" s="222"/>
    </row>
    <row r="75" spans="2:7" ht="18.75" customHeight="1" x14ac:dyDescent="0.15">
      <c r="B75" s="210"/>
      <c r="C75" s="90"/>
      <c r="D75" s="220"/>
      <c r="E75" s="221"/>
      <c r="F75" s="221"/>
      <c r="G75" s="222"/>
    </row>
    <row r="76" spans="2:7" ht="18.75" customHeight="1" x14ac:dyDescent="0.15">
      <c r="B76" s="209" t="s">
        <v>109</v>
      </c>
      <c r="C76" s="206" t="s">
        <v>104</v>
      </c>
      <c r="D76" s="207"/>
      <c r="E76" s="207"/>
      <c r="F76" s="207"/>
      <c r="G76" s="208"/>
    </row>
    <row r="77" spans="2:7" ht="37.5" customHeight="1" x14ac:dyDescent="0.15">
      <c r="B77" s="210"/>
      <c r="C77" s="211" t="s">
        <v>199</v>
      </c>
      <c r="D77" s="212"/>
      <c r="E77" s="212"/>
      <c r="F77" s="212"/>
      <c r="G77" s="213"/>
    </row>
    <row r="78" spans="2:7" ht="37.5" customHeight="1" x14ac:dyDescent="0.15">
      <c r="B78" s="210"/>
      <c r="C78" s="214"/>
      <c r="D78" s="215"/>
      <c r="E78" s="215"/>
      <c r="F78" s="215"/>
      <c r="G78" s="216"/>
    </row>
    <row r="79" spans="2:7" ht="37.5" customHeight="1" x14ac:dyDescent="0.15">
      <c r="B79" s="210"/>
      <c r="C79" s="214"/>
      <c r="D79" s="215"/>
      <c r="E79" s="215"/>
      <c r="F79" s="215"/>
      <c r="G79" s="216"/>
    </row>
    <row r="80" spans="2:7" ht="37.5" customHeight="1" x14ac:dyDescent="0.15">
      <c r="B80" s="210"/>
      <c r="C80" s="214"/>
      <c r="D80" s="215"/>
      <c r="E80" s="215"/>
      <c r="F80" s="215"/>
      <c r="G80" s="216"/>
    </row>
    <row r="81" spans="2:7" ht="37.5" customHeight="1" x14ac:dyDescent="0.15">
      <c r="B81" s="210"/>
      <c r="C81" s="217"/>
      <c r="D81" s="218"/>
      <c r="E81" s="218"/>
      <c r="F81" s="218"/>
      <c r="G81" s="219"/>
    </row>
    <row r="82" spans="2:7" ht="18.75" customHeight="1" x14ac:dyDescent="0.15">
      <c r="B82" s="210"/>
      <c r="C82" s="88" t="s">
        <v>105</v>
      </c>
      <c r="D82" s="206" t="s">
        <v>106</v>
      </c>
      <c r="E82" s="207"/>
      <c r="F82" s="207"/>
      <c r="G82" s="208"/>
    </row>
    <row r="83" spans="2:7" ht="18.75" customHeight="1" x14ac:dyDescent="0.15">
      <c r="B83" s="210"/>
      <c r="C83" s="89" t="s">
        <v>151</v>
      </c>
      <c r="D83" s="220" t="s">
        <v>153</v>
      </c>
      <c r="E83" s="221"/>
      <c r="F83" s="221"/>
      <c r="G83" s="222"/>
    </row>
    <row r="84" spans="2:7" ht="18.75" customHeight="1" x14ac:dyDescent="0.15">
      <c r="B84" s="210"/>
      <c r="C84" s="122" t="s">
        <v>164</v>
      </c>
      <c r="D84" s="220" t="s">
        <v>150</v>
      </c>
      <c r="E84" s="221"/>
      <c r="F84" s="221"/>
      <c r="G84" s="222"/>
    </row>
    <row r="85" spans="2:7" ht="18.75" customHeight="1" x14ac:dyDescent="0.15">
      <c r="B85" s="210"/>
      <c r="C85" s="94"/>
      <c r="D85" s="220"/>
      <c r="E85" s="221"/>
      <c r="F85" s="221"/>
      <c r="G85" s="222"/>
    </row>
    <row r="86" spans="2:7" ht="18.75" customHeight="1" x14ac:dyDescent="0.15">
      <c r="B86" s="210"/>
      <c r="C86" s="94"/>
      <c r="D86" s="220"/>
      <c r="E86" s="221"/>
      <c r="F86" s="221"/>
      <c r="G86" s="222"/>
    </row>
    <row r="87" spans="2:7" ht="18.75" customHeight="1" x14ac:dyDescent="0.15">
      <c r="B87" s="210"/>
      <c r="C87" s="89"/>
      <c r="D87" s="220"/>
      <c r="E87" s="221"/>
      <c r="F87" s="221"/>
      <c r="G87" s="222"/>
    </row>
    <row r="88" spans="2:7" ht="18.75" customHeight="1" x14ac:dyDescent="0.15">
      <c r="B88" s="210"/>
      <c r="C88" s="90"/>
      <c r="D88" s="220"/>
      <c r="E88" s="221"/>
      <c r="F88" s="221"/>
      <c r="G88" s="222"/>
    </row>
    <row r="89" spans="2:7" ht="18.75" customHeight="1" x14ac:dyDescent="0.15">
      <c r="B89" s="210"/>
      <c r="C89" s="90"/>
      <c r="D89" s="220"/>
      <c r="E89" s="221"/>
      <c r="F89" s="221"/>
      <c r="G89" s="222"/>
    </row>
    <row r="90" spans="2:7" ht="18.75" customHeight="1" x14ac:dyDescent="0.15">
      <c r="B90" s="210"/>
      <c r="C90" s="90"/>
      <c r="D90" s="220"/>
      <c r="E90" s="221"/>
      <c r="F90" s="221"/>
      <c r="G90" s="222"/>
    </row>
    <row r="91" spans="2:7" ht="18.75" customHeight="1" x14ac:dyDescent="0.15">
      <c r="B91" s="210"/>
      <c r="C91" s="90"/>
      <c r="D91" s="220"/>
      <c r="E91" s="221"/>
      <c r="F91" s="221"/>
      <c r="G91" s="222"/>
    </row>
    <row r="92" spans="2:7" ht="18.75" customHeight="1" x14ac:dyDescent="0.15">
      <c r="B92" s="210"/>
      <c r="C92" s="90"/>
      <c r="D92" s="220"/>
      <c r="E92" s="221"/>
      <c r="F92" s="221"/>
      <c r="G92" s="222"/>
    </row>
    <row r="93" spans="2:7" ht="18.75" customHeight="1" x14ac:dyDescent="0.15">
      <c r="B93" s="210"/>
      <c r="C93" s="90"/>
      <c r="D93" s="220"/>
      <c r="E93" s="221"/>
      <c r="F93" s="221"/>
      <c r="G93" s="222"/>
    </row>
    <row r="94" spans="2:7" ht="18.75" customHeight="1" x14ac:dyDescent="0.15">
      <c r="B94" s="210"/>
      <c r="C94" s="90"/>
      <c r="D94" s="220"/>
      <c r="E94" s="221"/>
      <c r="F94" s="221"/>
      <c r="G94" s="222"/>
    </row>
    <row r="95" spans="2:7" ht="18.75" customHeight="1" x14ac:dyDescent="0.15">
      <c r="B95" s="210"/>
      <c r="C95" s="90"/>
      <c r="D95" s="220"/>
      <c r="E95" s="221"/>
      <c r="F95" s="221"/>
      <c r="G95" s="222"/>
    </row>
    <row r="96" spans="2:7" ht="18.75" customHeight="1" x14ac:dyDescent="0.15">
      <c r="B96" s="210"/>
      <c r="C96" s="90"/>
      <c r="D96" s="220"/>
      <c r="E96" s="221"/>
      <c r="F96" s="221"/>
      <c r="G96" s="222"/>
    </row>
    <row r="97" spans="2:8" ht="18.75" customHeight="1" x14ac:dyDescent="0.15">
      <c r="B97" s="210"/>
      <c r="C97" s="90"/>
      <c r="D97" s="220"/>
      <c r="E97" s="221"/>
      <c r="F97" s="221"/>
      <c r="G97" s="222"/>
    </row>
    <row r="98" spans="2:8" ht="18.75" customHeight="1" x14ac:dyDescent="0.15">
      <c r="B98" s="210"/>
      <c r="C98" s="90"/>
      <c r="D98" s="220"/>
      <c r="E98" s="221"/>
      <c r="F98" s="221"/>
      <c r="G98" s="222"/>
    </row>
    <row r="99" spans="2:8" ht="18.75" customHeight="1" x14ac:dyDescent="0.15">
      <c r="B99" s="210"/>
      <c r="C99" s="90"/>
      <c r="D99" s="220"/>
      <c r="E99" s="221"/>
      <c r="F99" s="221"/>
      <c r="G99" s="222"/>
    </row>
    <row r="100" spans="2:8" ht="18.75" customHeight="1" x14ac:dyDescent="0.15">
      <c r="B100" s="210"/>
      <c r="C100" s="90"/>
      <c r="D100" s="220"/>
      <c r="E100" s="221"/>
      <c r="F100" s="221"/>
      <c r="G100" s="222"/>
    </row>
    <row r="101" spans="2:8" ht="18.75" customHeight="1" x14ac:dyDescent="0.15">
      <c r="B101" s="209" t="s">
        <v>111</v>
      </c>
      <c r="C101" s="206" t="s">
        <v>104</v>
      </c>
      <c r="D101" s="207"/>
      <c r="E101" s="207"/>
      <c r="F101" s="207"/>
      <c r="G101" s="208"/>
    </row>
    <row r="102" spans="2:8" ht="37.5" customHeight="1" x14ac:dyDescent="0.15">
      <c r="B102" s="210"/>
      <c r="C102" s="211" t="s">
        <v>171</v>
      </c>
      <c r="D102" s="212"/>
      <c r="E102" s="212"/>
      <c r="F102" s="212"/>
      <c r="G102" s="213"/>
      <c r="H102" s="92"/>
    </row>
    <row r="103" spans="2:8" ht="37.5" customHeight="1" x14ac:dyDescent="0.15">
      <c r="B103" s="210"/>
      <c r="C103" s="214"/>
      <c r="D103" s="215"/>
      <c r="E103" s="215"/>
      <c r="F103" s="215"/>
      <c r="G103" s="216"/>
    </row>
    <row r="104" spans="2:8" ht="37.5" customHeight="1" x14ac:dyDescent="0.15">
      <c r="B104" s="210"/>
      <c r="C104" s="214"/>
      <c r="D104" s="215"/>
      <c r="E104" s="215"/>
      <c r="F104" s="215"/>
      <c r="G104" s="216"/>
    </row>
    <row r="105" spans="2:8" ht="37.5" customHeight="1" x14ac:dyDescent="0.15">
      <c r="B105" s="210"/>
      <c r="C105" s="214"/>
      <c r="D105" s="215"/>
      <c r="E105" s="215"/>
      <c r="F105" s="215"/>
      <c r="G105" s="216"/>
    </row>
    <row r="106" spans="2:8" ht="37.5" customHeight="1" x14ac:dyDescent="0.15">
      <c r="B106" s="210"/>
      <c r="C106" s="217"/>
      <c r="D106" s="218"/>
      <c r="E106" s="218"/>
      <c r="F106" s="218"/>
      <c r="G106" s="219"/>
    </row>
    <row r="107" spans="2:8" ht="18.75" customHeight="1" x14ac:dyDescent="0.15">
      <c r="B107" s="210"/>
      <c r="C107" s="88" t="s">
        <v>105</v>
      </c>
      <c r="D107" s="206" t="s">
        <v>106</v>
      </c>
      <c r="E107" s="207"/>
      <c r="F107" s="207"/>
      <c r="G107" s="208"/>
    </row>
    <row r="108" spans="2:8" ht="18.75" customHeight="1" x14ac:dyDescent="0.15">
      <c r="B108" s="210"/>
      <c r="C108" s="89" t="s">
        <v>151</v>
      </c>
      <c r="D108" s="220" t="s">
        <v>166</v>
      </c>
      <c r="E108" s="221"/>
      <c r="F108" s="221"/>
      <c r="G108" s="222"/>
    </row>
    <row r="109" spans="2:8" ht="18.75" customHeight="1" x14ac:dyDescent="0.15">
      <c r="B109" s="210"/>
      <c r="C109" s="122" t="s">
        <v>164</v>
      </c>
      <c r="D109" s="220" t="s">
        <v>154</v>
      </c>
      <c r="E109" s="221"/>
      <c r="F109" s="221"/>
      <c r="G109" s="222"/>
    </row>
    <row r="110" spans="2:8" ht="18.75" customHeight="1" x14ac:dyDescent="0.15">
      <c r="B110" s="210"/>
      <c r="C110" s="94"/>
      <c r="D110" s="220"/>
      <c r="E110" s="221"/>
      <c r="F110" s="221"/>
      <c r="G110" s="222"/>
    </row>
    <row r="111" spans="2:8" ht="18.75" customHeight="1" x14ac:dyDescent="0.15">
      <c r="B111" s="210"/>
      <c r="C111" s="94"/>
      <c r="D111" s="220"/>
      <c r="E111" s="221"/>
      <c r="F111" s="221"/>
      <c r="G111" s="222"/>
    </row>
    <row r="112" spans="2:8" ht="18.75" customHeight="1" x14ac:dyDescent="0.15">
      <c r="B112" s="210"/>
      <c r="C112" s="90"/>
      <c r="D112" s="220"/>
      <c r="E112" s="221"/>
      <c r="F112" s="221"/>
      <c r="G112" s="222"/>
    </row>
    <row r="113" spans="1:7" ht="18.75" customHeight="1" x14ac:dyDescent="0.15">
      <c r="B113" s="210"/>
      <c r="C113" s="90"/>
      <c r="D113" s="220"/>
      <c r="E113" s="221"/>
      <c r="F113" s="221"/>
      <c r="G113" s="222"/>
    </row>
    <row r="114" spans="1:7" ht="18.75" customHeight="1" x14ac:dyDescent="0.15">
      <c r="B114" s="210"/>
      <c r="C114" s="90"/>
      <c r="D114" s="220"/>
      <c r="E114" s="221"/>
      <c r="F114" s="221"/>
      <c r="G114" s="222"/>
    </row>
    <row r="115" spans="1:7" ht="18.75" customHeight="1" x14ac:dyDescent="0.15">
      <c r="B115" s="210"/>
      <c r="C115" s="90"/>
      <c r="D115" s="220"/>
      <c r="E115" s="221"/>
      <c r="F115" s="221"/>
      <c r="G115" s="222"/>
    </row>
    <row r="116" spans="1:7" ht="18.75" customHeight="1" x14ac:dyDescent="0.15">
      <c r="B116" s="210"/>
      <c r="C116" s="90"/>
      <c r="D116" s="220"/>
      <c r="E116" s="221"/>
      <c r="F116" s="221"/>
      <c r="G116" s="222"/>
    </row>
    <row r="117" spans="1:7" ht="18.75" customHeight="1" x14ac:dyDescent="0.15">
      <c r="B117" s="210"/>
      <c r="C117" s="90"/>
      <c r="D117" s="220"/>
      <c r="E117" s="221"/>
      <c r="F117" s="221"/>
      <c r="G117" s="222"/>
    </row>
    <row r="118" spans="1:7" ht="18.75" customHeight="1" x14ac:dyDescent="0.15">
      <c r="B118" s="210"/>
      <c r="C118" s="90"/>
      <c r="D118" s="220"/>
      <c r="E118" s="221"/>
      <c r="F118" s="221"/>
      <c r="G118" s="222"/>
    </row>
    <row r="119" spans="1:7" ht="18.75" customHeight="1" x14ac:dyDescent="0.15">
      <c r="B119" s="210"/>
      <c r="C119" s="90"/>
      <c r="D119" s="220"/>
      <c r="E119" s="221"/>
      <c r="F119" s="221"/>
      <c r="G119" s="222"/>
    </row>
    <row r="120" spans="1:7" ht="18.75" customHeight="1" x14ac:dyDescent="0.15">
      <c r="B120" s="210"/>
      <c r="C120" s="90"/>
      <c r="D120" s="220"/>
      <c r="E120" s="221"/>
      <c r="F120" s="221"/>
      <c r="G120" s="222"/>
    </row>
    <row r="121" spans="1:7" ht="18.75" customHeight="1" x14ac:dyDescent="0.15">
      <c r="B121" s="210"/>
      <c r="C121" s="90"/>
      <c r="D121" s="220"/>
      <c r="E121" s="221"/>
      <c r="F121" s="221"/>
      <c r="G121" s="222"/>
    </row>
    <row r="122" spans="1:7" ht="18.75" customHeight="1" x14ac:dyDescent="0.15">
      <c r="B122" s="210"/>
      <c r="C122" s="90"/>
      <c r="D122" s="220"/>
      <c r="E122" s="221"/>
      <c r="F122" s="221"/>
      <c r="G122" s="222"/>
    </row>
    <row r="123" spans="1:7" ht="18.75" customHeight="1" x14ac:dyDescent="0.15">
      <c r="B123" s="210"/>
      <c r="C123" s="90"/>
      <c r="D123" s="220"/>
      <c r="E123" s="221"/>
      <c r="F123" s="221"/>
      <c r="G123" s="222"/>
    </row>
    <row r="124" spans="1:7" ht="18.75" customHeight="1" x14ac:dyDescent="0.15">
      <c r="B124" s="210"/>
      <c r="C124" s="90"/>
      <c r="D124" s="220"/>
      <c r="E124" s="221"/>
      <c r="F124" s="221"/>
      <c r="G124" s="222"/>
    </row>
    <row r="125" spans="1:7" ht="18.75" customHeight="1" x14ac:dyDescent="0.15">
      <c r="B125" s="210"/>
      <c r="C125" s="90"/>
      <c r="D125" s="220"/>
      <c r="E125" s="221"/>
      <c r="F125" s="221"/>
      <c r="G125" s="222"/>
    </row>
    <row r="126" spans="1:7" ht="18.75" customHeight="1" x14ac:dyDescent="0.15">
      <c r="A126" s="1" t="s">
        <v>11</v>
      </c>
      <c r="B126" s="1" t="s">
        <v>102</v>
      </c>
    </row>
    <row r="127" spans="1:7" ht="22.5" customHeight="1" x14ac:dyDescent="0.15">
      <c r="B127" s="90" t="s">
        <v>73</v>
      </c>
      <c r="C127" s="206" t="s">
        <v>101</v>
      </c>
      <c r="D127" s="207"/>
      <c r="E127" s="207"/>
      <c r="F127" s="207"/>
      <c r="G127" s="208"/>
    </row>
    <row r="128" spans="1:7" ht="45" customHeight="1" x14ac:dyDescent="0.15">
      <c r="B128" s="68" t="s">
        <v>74</v>
      </c>
      <c r="C128" s="236" t="s">
        <v>206</v>
      </c>
      <c r="D128" s="237"/>
      <c r="E128" s="237"/>
      <c r="F128" s="237"/>
      <c r="G128" s="238"/>
    </row>
    <row r="129" spans="1:8" ht="45" customHeight="1" x14ac:dyDescent="0.15">
      <c r="B129" s="68" t="s">
        <v>75</v>
      </c>
      <c r="C129" s="236"/>
      <c r="D129" s="237"/>
      <c r="E129" s="237"/>
      <c r="F129" s="237"/>
      <c r="G129" s="238"/>
      <c r="H129" s="1" t="s">
        <v>167</v>
      </c>
    </row>
    <row r="130" spans="1:8" ht="45" customHeight="1" x14ac:dyDescent="0.15">
      <c r="B130" s="68" t="s">
        <v>76</v>
      </c>
      <c r="C130" s="236" t="s">
        <v>148</v>
      </c>
      <c r="D130" s="237"/>
      <c r="E130" s="237"/>
      <c r="F130" s="237"/>
      <c r="G130" s="238"/>
    </row>
    <row r="131" spans="1:8" ht="45" customHeight="1" x14ac:dyDescent="0.15">
      <c r="B131" s="68" t="s">
        <v>77</v>
      </c>
      <c r="C131" s="236"/>
      <c r="D131" s="237"/>
      <c r="E131" s="237"/>
      <c r="F131" s="237"/>
      <c r="G131" s="238"/>
    </row>
    <row r="132" spans="1:8" ht="45" customHeight="1" x14ac:dyDescent="0.15">
      <c r="B132" s="68" t="s">
        <v>78</v>
      </c>
      <c r="C132" s="236"/>
      <c r="D132" s="237"/>
      <c r="E132" s="237"/>
      <c r="F132" s="237"/>
      <c r="G132" s="238"/>
    </row>
    <row r="133" spans="1:8" ht="45" customHeight="1" x14ac:dyDescent="0.15">
      <c r="B133" s="68" t="s">
        <v>79</v>
      </c>
      <c r="C133" s="236"/>
      <c r="D133" s="237"/>
      <c r="E133" s="237"/>
      <c r="F133" s="237"/>
      <c r="G133" s="238"/>
    </row>
    <row r="134" spans="1:8" ht="45" customHeight="1" x14ac:dyDescent="0.15">
      <c r="B134" s="68" t="s">
        <v>80</v>
      </c>
      <c r="C134" s="236" t="s">
        <v>164</v>
      </c>
      <c r="D134" s="237"/>
      <c r="E134" s="237"/>
      <c r="F134" s="237"/>
      <c r="G134" s="238"/>
    </row>
    <row r="135" spans="1:8" ht="45" customHeight="1" x14ac:dyDescent="0.15">
      <c r="B135" s="68" t="s">
        <v>81</v>
      </c>
      <c r="C135" s="236"/>
      <c r="D135" s="237"/>
      <c r="E135" s="237"/>
      <c r="F135" s="237"/>
      <c r="G135" s="238"/>
    </row>
    <row r="136" spans="1:8" ht="45" customHeight="1" x14ac:dyDescent="0.15">
      <c r="B136" s="68" t="s">
        <v>82</v>
      </c>
      <c r="C136" s="236"/>
      <c r="D136" s="237"/>
      <c r="E136" s="237"/>
      <c r="F136" s="237"/>
      <c r="G136" s="238"/>
    </row>
    <row r="137" spans="1:8" ht="7.5" customHeight="1" x14ac:dyDescent="0.15"/>
    <row r="138" spans="1:8" ht="18.75" customHeight="1" x14ac:dyDescent="0.15">
      <c r="A138" s="1" t="s">
        <v>12</v>
      </c>
      <c r="B138" s="1" t="s">
        <v>97</v>
      </c>
      <c r="E138" s="233" t="s">
        <v>200</v>
      </c>
      <c r="F138" s="234"/>
      <c r="G138" s="235"/>
    </row>
    <row r="139" spans="1:8" ht="7.5" customHeight="1" x14ac:dyDescent="0.15"/>
    <row r="140" spans="1:8" ht="18.75" customHeight="1" x14ac:dyDescent="0.15">
      <c r="A140" s="1" t="s">
        <v>16</v>
      </c>
      <c r="B140" s="1" t="s">
        <v>98</v>
      </c>
    </row>
    <row r="141" spans="1:8" ht="18.75" customHeight="1" x14ac:dyDescent="0.15">
      <c r="B141" s="224" t="s">
        <v>172</v>
      </c>
      <c r="C141" s="225"/>
      <c r="D141" s="225"/>
      <c r="E141" s="225"/>
      <c r="F141" s="225"/>
      <c r="G141" s="226"/>
    </row>
    <row r="142" spans="1:8" ht="18.75" customHeight="1" x14ac:dyDescent="0.15">
      <c r="B142" s="227"/>
      <c r="C142" s="228"/>
      <c r="D142" s="228"/>
      <c r="E142" s="228"/>
      <c r="F142" s="228"/>
      <c r="G142" s="229"/>
    </row>
    <row r="143" spans="1:8" ht="18.75" customHeight="1" x14ac:dyDescent="0.15">
      <c r="B143" s="227"/>
      <c r="C143" s="228"/>
      <c r="D143" s="228"/>
      <c r="E143" s="228"/>
      <c r="F143" s="228"/>
      <c r="G143" s="229"/>
    </row>
    <row r="144" spans="1:8" ht="18.75" customHeight="1" x14ac:dyDescent="0.15">
      <c r="B144" s="230"/>
      <c r="C144" s="231"/>
      <c r="D144" s="231"/>
      <c r="E144" s="231"/>
      <c r="F144" s="231"/>
      <c r="G144" s="23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8" r:id="rId1" xr:uid="{00000000-0004-0000-0300-000000000000}"/>
  </hyperlinks>
  <printOptions horizontalCentered="1"/>
  <pageMargins left="0.78740157480314965" right="0.78740157480314965" top="0.59055118110236227" bottom="0.39370078740157483" header="0.31496062992125984" footer="0.31496062992125984"/>
  <pageSetup paperSize="9" scale="94" orientation="landscape" r:id="rId2"/>
  <rowBreaks count="5" manualBreakCount="5">
    <brk id="25" max="6" man="1"/>
    <brk id="50" max="6" man="1"/>
    <brk id="75" max="6" man="1"/>
    <brk id="100" max="6" man="1"/>
    <brk id="12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view="pageBreakPreview" zoomScaleNormal="100" zoomScaleSheetLayoutView="100" workbookViewId="0"/>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55" t="s">
        <v>103</v>
      </c>
    </row>
    <row r="2" spans="1:5" ht="18.75" customHeight="1" x14ac:dyDescent="0.15">
      <c r="B2" s="55" t="s">
        <v>86</v>
      </c>
      <c r="C2" s="55" t="s">
        <v>7</v>
      </c>
      <c r="D2" s="249" t="s">
        <v>155</v>
      </c>
      <c r="E2" s="249"/>
    </row>
    <row r="3" spans="1:5" ht="7.5" customHeight="1" x14ac:dyDescent="0.15">
      <c r="B3" s="55"/>
      <c r="C3" s="55"/>
      <c r="D3" s="56"/>
      <c r="E3" s="56"/>
    </row>
    <row r="4" spans="1:5" ht="18.75" customHeight="1" x14ac:dyDescent="0.15">
      <c r="B4" s="250" t="s">
        <v>83</v>
      </c>
      <c r="C4" s="250"/>
      <c r="D4" s="250"/>
      <c r="E4" s="250"/>
    </row>
    <row r="5" spans="1:5" ht="7.5" customHeight="1" x14ac:dyDescent="0.15">
      <c r="B5" s="57"/>
      <c r="C5" s="57"/>
      <c r="D5" s="57"/>
      <c r="E5" s="57"/>
    </row>
    <row r="6" spans="1:5" ht="18.75" customHeight="1" x14ac:dyDescent="0.15">
      <c r="A6" s="15" t="s">
        <v>6</v>
      </c>
      <c r="B6" s="5" t="s">
        <v>96</v>
      </c>
      <c r="C6" s="64"/>
      <c r="D6" s="64"/>
      <c r="E6" s="64"/>
    </row>
    <row r="7" spans="1:5" ht="18.75" customHeight="1" x14ac:dyDescent="0.15">
      <c r="A7" s="15"/>
      <c r="B7" s="129" t="s">
        <v>168</v>
      </c>
      <c r="C7" s="130"/>
      <c r="D7" s="130"/>
      <c r="E7" s="131"/>
    </row>
    <row r="8" spans="1:5" ht="7.5" customHeight="1" x14ac:dyDescent="0.15">
      <c r="B8" s="64"/>
      <c r="C8" s="64"/>
      <c r="D8" s="64"/>
      <c r="E8" s="64"/>
    </row>
    <row r="9" spans="1:5" s="5" customFormat="1" ht="18.75" customHeight="1" x14ac:dyDescent="0.15">
      <c r="A9" s="15" t="s">
        <v>11</v>
      </c>
      <c r="B9" s="15" t="s">
        <v>45</v>
      </c>
      <c r="C9" s="15"/>
      <c r="D9" s="15"/>
      <c r="E9" s="15"/>
    </row>
    <row r="10" spans="1:5" s="10" customFormat="1" ht="18.75" customHeight="1" x14ac:dyDescent="0.15">
      <c r="A10" s="9"/>
      <c r="B10" s="239" t="s">
        <v>174</v>
      </c>
      <c r="C10" s="240"/>
      <c r="D10" s="240"/>
      <c r="E10" s="241"/>
    </row>
    <row r="11" spans="1:5" s="10" customFormat="1" ht="18.75" customHeight="1" x14ac:dyDescent="0.15">
      <c r="A11" s="9"/>
      <c r="B11" s="242"/>
      <c r="C11" s="243"/>
      <c r="D11" s="243"/>
      <c r="E11" s="244"/>
    </row>
    <row r="12" spans="1:5" s="10" customFormat="1" ht="18.75" customHeight="1" x14ac:dyDescent="0.15">
      <c r="A12" s="9"/>
      <c r="B12" s="242"/>
      <c r="C12" s="243"/>
      <c r="D12" s="243"/>
      <c r="E12" s="244"/>
    </row>
    <row r="13" spans="1:5" s="10" customFormat="1" ht="18.75" customHeight="1" x14ac:dyDescent="0.15">
      <c r="A13" s="9"/>
      <c r="B13" s="242"/>
      <c r="C13" s="243"/>
      <c r="D13" s="243"/>
      <c r="E13" s="244"/>
    </row>
    <row r="14" spans="1:5" s="10" customFormat="1" ht="18.75" customHeight="1" x14ac:dyDescent="0.15">
      <c r="A14" s="9"/>
      <c r="B14" s="245"/>
      <c r="C14" s="246"/>
      <c r="D14" s="246"/>
      <c r="E14" s="247"/>
    </row>
    <row r="15" spans="1:5" s="10" customFormat="1" ht="7.5" customHeight="1" x14ac:dyDescent="0.15">
      <c r="A15" s="9"/>
      <c r="B15" s="9"/>
      <c r="C15" s="9"/>
      <c r="D15" s="9"/>
      <c r="E15" s="9"/>
    </row>
    <row r="16" spans="1:5" s="5" customFormat="1" ht="18.75" customHeight="1" x14ac:dyDescent="0.15">
      <c r="A16" s="11" t="s">
        <v>12</v>
      </c>
      <c r="B16" s="11" t="s">
        <v>18</v>
      </c>
      <c r="C16" s="11"/>
      <c r="D16" s="11"/>
      <c r="E16" s="11"/>
    </row>
    <row r="17" spans="1:5" s="10" customFormat="1" ht="18.75" customHeight="1" x14ac:dyDescent="0.15">
      <c r="A17" s="9"/>
      <c r="B17" s="239" t="s">
        <v>169</v>
      </c>
      <c r="C17" s="240"/>
      <c r="D17" s="240"/>
      <c r="E17" s="241"/>
    </row>
    <row r="18" spans="1:5" s="10" customFormat="1" ht="18.75" customHeight="1" x14ac:dyDescent="0.15">
      <c r="A18" s="9"/>
      <c r="B18" s="242"/>
      <c r="C18" s="243"/>
      <c r="D18" s="243"/>
      <c r="E18" s="244"/>
    </row>
    <row r="19" spans="1:5" s="10" customFormat="1" ht="18.75" customHeight="1" x14ac:dyDescent="0.15">
      <c r="A19" s="9"/>
      <c r="B19" s="242"/>
      <c r="C19" s="243"/>
      <c r="D19" s="243"/>
      <c r="E19" s="244"/>
    </row>
    <row r="20" spans="1:5" s="10" customFormat="1" ht="18.75" customHeight="1" x14ac:dyDescent="0.15">
      <c r="A20" s="9"/>
      <c r="B20" s="242"/>
      <c r="C20" s="243"/>
      <c r="D20" s="243"/>
      <c r="E20" s="244"/>
    </row>
    <row r="21" spans="1:5" s="10" customFormat="1" ht="18.75" customHeight="1" x14ac:dyDescent="0.15">
      <c r="A21" s="9"/>
      <c r="B21" s="242"/>
      <c r="C21" s="243"/>
      <c r="D21" s="243"/>
      <c r="E21" s="244"/>
    </row>
    <row r="22" spans="1:5" s="10" customFormat="1" ht="18.75" customHeight="1" x14ac:dyDescent="0.15">
      <c r="A22" s="9"/>
      <c r="B22" s="242"/>
      <c r="C22" s="243"/>
      <c r="D22" s="243"/>
      <c r="E22" s="244"/>
    </row>
    <row r="23" spans="1:5" s="10" customFormat="1" ht="18.75" customHeight="1" x14ac:dyDescent="0.15">
      <c r="A23" s="9"/>
      <c r="B23" s="242"/>
      <c r="C23" s="243"/>
      <c r="D23" s="243"/>
      <c r="E23" s="244"/>
    </row>
    <row r="24" spans="1:5" s="10" customFormat="1" ht="18.75" customHeight="1" x14ac:dyDescent="0.15">
      <c r="A24" s="9"/>
      <c r="B24" s="242"/>
      <c r="C24" s="243"/>
      <c r="D24" s="243"/>
      <c r="E24" s="244"/>
    </row>
    <row r="25" spans="1:5" s="10" customFormat="1" ht="18.75" customHeight="1" x14ac:dyDescent="0.15">
      <c r="A25" s="9"/>
      <c r="B25" s="242"/>
      <c r="C25" s="243"/>
      <c r="D25" s="243"/>
      <c r="E25" s="244"/>
    </row>
    <row r="26" spans="1:5" s="10" customFormat="1" ht="18.75" customHeight="1" x14ac:dyDescent="0.15">
      <c r="A26" s="9"/>
      <c r="B26" s="242"/>
      <c r="C26" s="243"/>
      <c r="D26" s="243"/>
      <c r="E26" s="244"/>
    </row>
    <row r="27" spans="1:5" s="10" customFormat="1" ht="18.75" customHeight="1" x14ac:dyDescent="0.15">
      <c r="A27" s="9"/>
      <c r="B27" s="242"/>
      <c r="C27" s="243"/>
      <c r="D27" s="243"/>
      <c r="E27" s="244"/>
    </row>
    <row r="28" spans="1:5" s="10" customFormat="1" ht="18.75" customHeight="1" x14ac:dyDescent="0.15">
      <c r="A28" s="9"/>
      <c r="B28" s="245"/>
      <c r="C28" s="246"/>
      <c r="D28" s="246"/>
      <c r="E28" s="247"/>
    </row>
    <row r="29" spans="1:5" ht="7.5" customHeight="1" x14ac:dyDescent="0.15">
      <c r="A29" s="8"/>
      <c r="B29" s="8"/>
      <c r="C29" s="8"/>
      <c r="D29" s="8"/>
      <c r="E29" s="8"/>
    </row>
    <row r="30" spans="1:5" s="5" customFormat="1" ht="18.75" customHeight="1" x14ac:dyDescent="0.15">
      <c r="A30" s="15" t="s">
        <v>16</v>
      </c>
      <c r="B30" s="15" t="s">
        <v>29</v>
      </c>
      <c r="C30" s="15"/>
      <c r="D30" s="15"/>
      <c r="E30" s="15"/>
    </row>
    <row r="31" spans="1:5" s="5" customFormat="1" ht="18.75" customHeight="1" x14ac:dyDescent="0.15">
      <c r="A31" s="15"/>
      <c r="B31" s="251" t="s">
        <v>188</v>
      </c>
      <c r="C31" s="252"/>
      <c r="D31" s="252"/>
      <c r="E31" s="253"/>
    </row>
    <row r="32" spans="1:5" s="5" customFormat="1" ht="18.75" customHeight="1" x14ac:dyDescent="0.15">
      <c r="A32" s="15"/>
      <c r="B32" s="254"/>
      <c r="C32" s="255"/>
      <c r="D32" s="255"/>
      <c r="E32" s="256"/>
    </row>
    <row r="33" spans="1:5" s="5" customFormat="1" ht="18.75" customHeight="1" x14ac:dyDescent="0.15">
      <c r="A33" s="15"/>
      <c r="B33" s="254"/>
      <c r="C33" s="255"/>
      <c r="D33" s="255"/>
      <c r="E33" s="256"/>
    </row>
    <row r="34" spans="1:5" s="5" customFormat="1" ht="18.75" customHeight="1" x14ac:dyDescent="0.15">
      <c r="A34" s="15"/>
      <c r="B34" s="254"/>
      <c r="C34" s="255"/>
      <c r="D34" s="255"/>
      <c r="E34" s="256"/>
    </row>
    <row r="35" spans="1:5" s="5" customFormat="1" ht="18.75" customHeight="1" x14ac:dyDescent="0.15">
      <c r="A35" s="15"/>
      <c r="B35" s="254"/>
      <c r="C35" s="255"/>
      <c r="D35" s="255"/>
      <c r="E35" s="256"/>
    </row>
    <row r="36" spans="1:5" s="5" customFormat="1" ht="18.75" customHeight="1" x14ac:dyDescent="0.15">
      <c r="A36" s="15"/>
      <c r="B36" s="254"/>
      <c r="C36" s="255"/>
      <c r="D36" s="255"/>
      <c r="E36" s="256"/>
    </row>
    <row r="37" spans="1:5" s="5" customFormat="1" ht="18.75" customHeight="1" x14ac:dyDescent="0.15">
      <c r="A37" s="15"/>
      <c r="B37" s="254"/>
      <c r="C37" s="255"/>
      <c r="D37" s="255"/>
      <c r="E37" s="256"/>
    </row>
    <row r="38" spans="1:5" s="5" customFormat="1" ht="18.75" customHeight="1" x14ac:dyDescent="0.15">
      <c r="A38" s="15"/>
      <c r="B38" s="254"/>
      <c r="C38" s="255"/>
      <c r="D38" s="255"/>
      <c r="E38" s="256"/>
    </row>
    <row r="39" spans="1:5" s="5" customFormat="1" ht="18.75" customHeight="1" x14ac:dyDescent="0.15">
      <c r="A39" s="15"/>
      <c r="B39" s="254"/>
      <c r="C39" s="255"/>
      <c r="D39" s="255"/>
      <c r="E39" s="256"/>
    </row>
    <row r="40" spans="1:5" s="5" customFormat="1" ht="18.75" customHeight="1" x14ac:dyDescent="0.15">
      <c r="A40" s="15"/>
      <c r="B40" s="254"/>
      <c r="C40" s="255"/>
      <c r="D40" s="255"/>
      <c r="E40" s="256"/>
    </row>
    <row r="41" spans="1:5" s="5" customFormat="1" ht="18.75" customHeight="1" x14ac:dyDescent="0.15">
      <c r="A41" s="15"/>
      <c r="B41" s="254"/>
      <c r="C41" s="255"/>
      <c r="D41" s="255"/>
      <c r="E41" s="256"/>
    </row>
    <row r="42" spans="1:5" s="5" customFormat="1" ht="18.75" customHeight="1" x14ac:dyDescent="0.15">
      <c r="A42" s="15"/>
      <c r="B42" s="254"/>
      <c r="C42" s="255"/>
      <c r="D42" s="255"/>
      <c r="E42" s="256"/>
    </row>
    <row r="43" spans="1:5" s="5" customFormat="1" ht="18.75" customHeight="1" x14ac:dyDescent="0.15">
      <c r="A43" s="15"/>
      <c r="B43" s="254"/>
      <c r="C43" s="255"/>
      <c r="D43" s="255"/>
      <c r="E43" s="256"/>
    </row>
    <row r="44" spans="1:5" s="5" customFormat="1" ht="18.75" customHeight="1" x14ac:dyDescent="0.15">
      <c r="A44" s="15"/>
      <c r="B44" s="254"/>
      <c r="C44" s="255"/>
      <c r="D44" s="255"/>
      <c r="E44" s="256"/>
    </row>
    <row r="45" spans="1:5" ht="18.75" customHeight="1" x14ac:dyDescent="0.15">
      <c r="A45" s="8"/>
      <c r="B45" s="254"/>
      <c r="C45" s="255"/>
      <c r="D45" s="255"/>
      <c r="E45" s="256"/>
    </row>
    <row r="46" spans="1:5" ht="18.75" customHeight="1" x14ac:dyDescent="0.15">
      <c r="A46" s="8"/>
      <c r="B46" s="257"/>
      <c r="C46" s="258"/>
      <c r="D46" s="258"/>
      <c r="E46" s="259"/>
    </row>
    <row r="47" spans="1:5" s="5" customFormat="1" ht="18.75" customHeight="1" x14ac:dyDescent="0.15">
      <c r="A47" s="7" t="s">
        <v>13</v>
      </c>
      <c r="B47" s="15" t="s">
        <v>84</v>
      </c>
      <c r="C47" s="7"/>
      <c r="D47" s="7"/>
      <c r="E47" s="7"/>
    </row>
    <row r="48" spans="1:5" ht="18.75" customHeight="1" x14ac:dyDescent="0.15">
      <c r="A48" s="8"/>
      <c r="B48" s="239" t="s">
        <v>178</v>
      </c>
      <c r="C48" s="260"/>
      <c r="D48" s="260"/>
      <c r="E48" s="261"/>
    </row>
    <row r="49" spans="1:5" ht="18.75" customHeight="1" x14ac:dyDescent="0.15">
      <c r="A49" s="8"/>
      <c r="B49" s="262"/>
      <c r="C49" s="263"/>
      <c r="D49" s="263"/>
      <c r="E49" s="264"/>
    </row>
    <row r="50" spans="1:5" ht="18.75" customHeight="1" x14ac:dyDescent="0.15">
      <c r="A50" s="8"/>
      <c r="B50" s="262"/>
      <c r="C50" s="263"/>
      <c r="D50" s="263"/>
      <c r="E50" s="264"/>
    </row>
    <row r="51" spans="1:5" ht="18.75" customHeight="1" x14ac:dyDescent="0.15">
      <c r="A51" s="8"/>
      <c r="B51" s="262"/>
      <c r="C51" s="263"/>
      <c r="D51" s="263"/>
      <c r="E51" s="264"/>
    </row>
    <row r="52" spans="1:5" ht="18.75" customHeight="1" x14ac:dyDescent="0.15">
      <c r="A52" s="8"/>
      <c r="B52" s="262"/>
      <c r="C52" s="263"/>
      <c r="D52" s="263"/>
      <c r="E52" s="264"/>
    </row>
    <row r="53" spans="1:5" ht="18.75" customHeight="1" x14ac:dyDescent="0.15">
      <c r="A53" s="8"/>
      <c r="B53" s="262"/>
      <c r="C53" s="263"/>
      <c r="D53" s="263"/>
      <c r="E53" s="264"/>
    </row>
    <row r="54" spans="1:5" ht="18.75" customHeight="1" x14ac:dyDescent="0.15">
      <c r="A54" s="8"/>
      <c r="B54" s="262"/>
      <c r="C54" s="263"/>
      <c r="D54" s="263"/>
      <c r="E54" s="264"/>
    </row>
    <row r="55" spans="1:5" ht="18.75" customHeight="1" x14ac:dyDescent="0.15">
      <c r="A55" s="8"/>
      <c r="B55" s="262"/>
      <c r="C55" s="263"/>
      <c r="D55" s="263"/>
      <c r="E55" s="264"/>
    </row>
    <row r="56" spans="1:5" ht="18.75" customHeight="1" x14ac:dyDescent="0.15">
      <c r="A56" s="8"/>
      <c r="B56" s="262"/>
      <c r="C56" s="263"/>
      <c r="D56" s="263"/>
      <c r="E56" s="264"/>
    </row>
    <row r="57" spans="1:5" ht="18.75" customHeight="1" x14ac:dyDescent="0.15">
      <c r="A57" s="8"/>
      <c r="B57" s="262"/>
      <c r="C57" s="263"/>
      <c r="D57" s="263"/>
      <c r="E57" s="264"/>
    </row>
    <row r="58" spans="1:5" ht="18.75" customHeight="1" x14ac:dyDescent="0.15">
      <c r="A58" s="8"/>
      <c r="B58" s="262"/>
      <c r="C58" s="263"/>
      <c r="D58" s="263"/>
      <c r="E58" s="264"/>
    </row>
    <row r="59" spans="1:5" ht="18.75" customHeight="1" x14ac:dyDescent="0.15">
      <c r="A59" s="8"/>
      <c r="B59" s="262"/>
      <c r="C59" s="263"/>
      <c r="D59" s="263"/>
      <c r="E59" s="264"/>
    </row>
    <row r="60" spans="1:5" ht="18.75" customHeight="1" x14ac:dyDescent="0.15">
      <c r="A60" s="8"/>
      <c r="B60" s="262"/>
      <c r="C60" s="263"/>
      <c r="D60" s="263"/>
      <c r="E60" s="264"/>
    </row>
    <row r="61" spans="1:5" ht="18.75" customHeight="1" x14ac:dyDescent="0.15">
      <c r="A61" s="8"/>
      <c r="B61" s="262"/>
      <c r="C61" s="263"/>
      <c r="D61" s="263"/>
      <c r="E61" s="264"/>
    </row>
    <row r="62" spans="1:5" ht="18.75" customHeight="1" x14ac:dyDescent="0.15">
      <c r="A62" s="8"/>
      <c r="B62" s="262"/>
      <c r="C62" s="263"/>
      <c r="D62" s="263"/>
      <c r="E62" s="264"/>
    </row>
    <row r="63" spans="1:5" ht="18.75" customHeight="1" x14ac:dyDescent="0.15">
      <c r="A63" s="8"/>
      <c r="B63" s="262"/>
      <c r="C63" s="263"/>
      <c r="D63" s="263"/>
      <c r="E63" s="264"/>
    </row>
    <row r="64" spans="1:5" ht="18.75" customHeight="1" x14ac:dyDescent="0.15">
      <c r="A64" s="8"/>
      <c r="B64" s="262"/>
      <c r="C64" s="263"/>
      <c r="D64" s="263"/>
      <c r="E64" s="264"/>
    </row>
    <row r="65" spans="1:5" ht="18.75" customHeight="1" x14ac:dyDescent="0.15">
      <c r="A65" s="8"/>
      <c r="B65" s="262"/>
      <c r="C65" s="263"/>
      <c r="D65" s="263"/>
      <c r="E65" s="264"/>
    </row>
    <row r="66" spans="1:5" ht="18.75" customHeight="1" x14ac:dyDescent="0.15">
      <c r="A66" s="8"/>
      <c r="B66" s="262"/>
      <c r="C66" s="263"/>
      <c r="D66" s="263"/>
      <c r="E66" s="264"/>
    </row>
    <row r="67" spans="1:5" ht="18.75" customHeight="1" x14ac:dyDescent="0.15">
      <c r="A67" s="8"/>
      <c r="B67" s="262"/>
      <c r="C67" s="263"/>
      <c r="D67" s="263"/>
      <c r="E67" s="264"/>
    </row>
    <row r="68" spans="1:5" ht="18.75" customHeight="1" x14ac:dyDescent="0.15">
      <c r="A68" s="8"/>
      <c r="B68" s="265"/>
      <c r="C68" s="266"/>
      <c r="D68" s="266"/>
      <c r="E68" s="267"/>
    </row>
    <row r="69" spans="1:5" ht="7.5" customHeight="1" x14ac:dyDescent="0.15">
      <c r="A69" s="8"/>
      <c r="B69" s="8"/>
      <c r="C69" s="8"/>
      <c r="D69" s="8"/>
      <c r="E69" s="8"/>
    </row>
    <row r="70" spans="1:5" s="5" customFormat="1" ht="18.75" customHeight="1" x14ac:dyDescent="0.15">
      <c r="A70" s="15" t="s">
        <v>17</v>
      </c>
      <c r="B70" s="15" t="s">
        <v>95</v>
      </c>
      <c r="C70" s="15"/>
      <c r="D70" s="15"/>
      <c r="E70" s="15"/>
    </row>
    <row r="71" spans="1:5" s="5" customFormat="1" ht="18.75" customHeight="1" x14ac:dyDescent="0.15">
      <c r="A71" s="15"/>
      <c r="B71" s="239" t="s">
        <v>189</v>
      </c>
      <c r="C71" s="240"/>
      <c r="D71" s="240"/>
      <c r="E71" s="241"/>
    </row>
    <row r="72" spans="1:5" s="5" customFormat="1" ht="18.75" customHeight="1" x14ac:dyDescent="0.15">
      <c r="A72" s="15"/>
      <c r="B72" s="242"/>
      <c r="C72" s="243"/>
      <c r="D72" s="243"/>
      <c r="E72" s="244"/>
    </row>
    <row r="73" spans="1:5" s="5" customFormat="1" ht="18.75" customHeight="1" x14ac:dyDescent="0.15">
      <c r="A73" s="15"/>
      <c r="B73" s="242"/>
      <c r="C73" s="243"/>
      <c r="D73" s="243"/>
      <c r="E73" s="244"/>
    </row>
    <row r="74" spans="1:5" s="5" customFormat="1" ht="18.75" customHeight="1" x14ac:dyDescent="0.15">
      <c r="A74" s="15"/>
      <c r="B74" s="242"/>
      <c r="C74" s="243"/>
      <c r="D74" s="243"/>
      <c r="E74" s="244"/>
    </row>
    <row r="75" spans="1:5" s="5" customFormat="1" ht="18.75" customHeight="1" x14ac:dyDescent="0.15">
      <c r="A75" s="15"/>
      <c r="B75" s="242"/>
      <c r="C75" s="243"/>
      <c r="D75" s="243"/>
      <c r="E75" s="244"/>
    </row>
    <row r="76" spans="1:5" s="5" customFormat="1" ht="18.75" customHeight="1" x14ac:dyDescent="0.15">
      <c r="A76" s="15"/>
      <c r="B76" s="242"/>
      <c r="C76" s="243"/>
      <c r="D76" s="243"/>
      <c r="E76" s="244"/>
    </row>
    <row r="77" spans="1:5" s="5" customFormat="1" ht="18.75" customHeight="1" x14ac:dyDescent="0.15">
      <c r="A77" s="15"/>
      <c r="B77" s="242"/>
      <c r="C77" s="243"/>
      <c r="D77" s="243"/>
      <c r="E77" s="244"/>
    </row>
    <row r="78" spans="1:5" s="5" customFormat="1" ht="18.75" customHeight="1" x14ac:dyDescent="0.15">
      <c r="A78" s="15"/>
      <c r="B78" s="242"/>
      <c r="C78" s="243"/>
      <c r="D78" s="243"/>
      <c r="E78" s="244"/>
    </row>
    <row r="79" spans="1:5" s="5" customFormat="1" ht="18.75" customHeight="1" x14ac:dyDescent="0.15">
      <c r="A79" s="15"/>
      <c r="B79" s="242"/>
      <c r="C79" s="243"/>
      <c r="D79" s="243"/>
      <c r="E79" s="244"/>
    </row>
    <row r="80" spans="1:5" s="5" customFormat="1" ht="18.75" customHeight="1" x14ac:dyDescent="0.15">
      <c r="A80" s="15"/>
      <c r="B80" s="242"/>
      <c r="C80" s="243"/>
      <c r="D80" s="243"/>
      <c r="E80" s="244"/>
    </row>
    <row r="81" spans="1:5" s="5" customFormat="1" ht="18.75" customHeight="1" x14ac:dyDescent="0.15">
      <c r="A81" s="15"/>
      <c r="B81" s="242"/>
      <c r="C81" s="243"/>
      <c r="D81" s="243"/>
      <c r="E81" s="244"/>
    </row>
    <row r="82" spans="1:5" s="5" customFormat="1" ht="18.75" customHeight="1" x14ac:dyDescent="0.15">
      <c r="A82" s="15"/>
      <c r="B82" s="242"/>
      <c r="C82" s="243"/>
      <c r="D82" s="243"/>
      <c r="E82" s="244"/>
    </row>
    <row r="83" spans="1:5" s="5" customFormat="1" ht="18.75" customHeight="1" x14ac:dyDescent="0.15">
      <c r="A83" s="15"/>
      <c r="B83" s="242"/>
      <c r="C83" s="243"/>
      <c r="D83" s="243"/>
      <c r="E83" s="244"/>
    </row>
    <row r="84" spans="1:5" s="5" customFormat="1" ht="18.75" customHeight="1" x14ac:dyDescent="0.15">
      <c r="A84" s="15"/>
      <c r="B84" s="242"/>
      <c r="C84" s="243"/>
      <c r="D84" s="243"/>
      <c r="E84" s="244"/>
    </row>
    <row r="85" spans="1:5" s="5" customFormat="1" ht="18.75" customHeight="1" x14ac:dyDescent="0.15">
      <c r="A85" s="15"/>
      <c r="B85" s="242"/>
      <c r="C85" s="243"/>
      <c r="D85" s="243"/>
      <c r="E85" s="244"/>
    </row>
    <row r="86" spans="1:5" s="5" customFormat="1" ht="18.75" customHeight="1" x14ac:dyDescent="0.15">
      <c r="A86" s="15"/>
      <c r="B86" s="242"/>
      <c r="C86" s="243"/>
      <c r="D86" s="243"/>
      <c r="E86" s="244"/>
    </row>
    <row r="87" spans="1:5" s="5" customFormat="1" ht="18.75" customHeight="1" x14ac:dyDescent="0.15">
      <c r="A87" s="15"/>
      <c r="B87" s="242"/>
      <c r="C87" s="243"/>
      <c r="D87" s="243"/>
      <c r="E87" s="244"/>
    </row>
    <row r="88" spans="1:5" ht="18.75" customHeight="1" x14ac:dyDescent="0.15">
      <c r="A88" s="8"/>
      <c r="B88" s="242"/>
      <c r="C88" s="243"/>
      <c r="D88" s="243"/>
      <c r="E88" s="244"/>
    </row>
    <row r="89" spans="1:5" ht="18.75" customHeight="1" x14ac:dyDescent="0.15">
      <c r="A89" s="8"/>
      <c r="B89" s="245"/>
      <c r="C89" s="246"/>
      <c r="D89" s="246"/>
      <c r="E89" s="247"/>
    </row>
    <row r="90" spans="1:5" ht="7.5" customHeight="1" x14ac:dyDescent="0.15">
      <c r="A90" s="8"/>
      <c r="B90" s="8"/>
      <c r="C90" s="8"/>
      <c r="D90" s="8"/>
      <c r="E90" s="8"/>
    </row>
    <row r="91" spans="1:5" s="5" customFormat="1" ht="18.75" customHeight="1" x14ac:dyDescent="0.15">
      <c r="A91" s="15" t="s">
        <v>14</v>
      </c>
      <c r="B91" s="15" t="s">
        <v>33</v>
      </c>
      <c r="C91" s="15"/>
      <c r="D91" s="15"/>
      <c r="E91" s="15"/>
    </row>
    <row r="92" spans="1:5" s="5" customFormat="1" ht="18.75" customHeight="1" x14ac:dyDescent="0.15">
      <c r="A92" s="15"/>
      <c r="B92" s="239" t="s">
        <v>176</v>
      </c>
      <c r="C92" s="240"/>
      <c r="D92" s="240"/>
      <c r="E92" s="241"/>
    </row>
    <row r="93" spans="1:5" s="5" customFormat="1" ht="18.75" customHeight="1" x14ac:dyDescent="0.15">
      <c r="A93" s="15"/>
      <c r="B93" s="242"/>
      <c r="C93" s="243"/>
      <c r="D93" s="243"/>
      <c r="E93" s="244"/>
    </row>
    <row r="94" spans="1:5" s="5" customFormat="1" ht="18.75" customHeight="1" x14ac:dyDescent="0.15">
      <c r="A94" s="15"/>
      <c r="B94" s="242"/>
      <c r="C94" s="243"/>
      <c r="D94" s="243"/>
      <c r="E94" s="244"/>
    </row>
    <row r="95" spans="1:5" s="5" customFormat="1" ht="18.75" customHeight="1" x14ac:dyDescent="0.15">
      <c r="A95" s="15"/>
      <c r="B95" s="242"/>
      <c r="C95" s="243"/>
      <c r="D95" s="243"/>
      <c r="E95" s="244"/>
    </row>
    <row r="96" spans="1:5" s="5" customFormat="1" ht="18.75" customHeight="1" x14ac:dyDescent="0.15">
      <c r="A96" s="15"/>
      <c r="B96" s="242"/>
      <c r="C96" s="243"/>
      <c r="D96" s="243"/>
      <c r="E96" s="244"/>
    </row>
    <row r="97" spans="1:5" s="5" customFormat="1" ht="18.75" customHeight="1" x14ac:dyDescent="0.15">
      <c r="A97" s="15"/>
      <c r="B97" s="242"/>
      <c r="C97" s="243"/>
      <c r="D97" s="243"/>
      <c r="E97" s="244"/>
    </row>
    <row r="98" spans="1:5" s="5" customFormat="1" ht="18.75" customHeight="1" x14ac:dyDescent="0.15">
      <c r="A98" s="15"/>
      <c r="B98" s="242"/>
      <c r="C98" s="243"/>
      <c r="D98" s="243"/>
      <c r="E98" s="244"/>
    </row>
    <row r="99" spans="1:5" s="5" customFormat="1" ht="18.75" customHeight="1" x14ac:dyDescent="0.15">
      <c r="A99" s="15"/>
      <c r="B99" s="242"/>
      <c r="C99" s="243"/>
      <c r="D99" s="243"/>
      <c r="E99" s="244"/>
    </row>
    <row r="100" spans="1:5" s="5" customFormat="1" ht="18.75" customHeight="1" x14ac:dyDescent="0.15">
      <c r="A100" s="15"/>
      <c r="B100" s="242"/>
      <c r="C100" s="243"/>
      <c r="D100" s="243"/>
      <c r="E100" s="244"/>
    </row>
    <row r="101" spans="1:5" s="5" customFormat="1" ht="18.75" customHeight="1" x14ac:dyDescent="0.15">
      <c r="A101" s="15"/>
      <c r="B101" s="242"/>
      <c r="C101" s="243"/>
      <c r="D101" s="243"/>
      <c r="E101" s="244"/>
    </row>
    <row r="102" spans="1:5" s="5" customFormat="1" ht="18.75" customHeight="1" x14ac:dyDescent="0.15">
      <c r="A102" s="15"/>
      <c r="B102" s="242"/>
      <c r="C102" s="243"/>
      <c r="D102" s="243"/>
      <c r="E102" s="244"/>
    </row>
    <row r="103" spans="1:5" s="5" customFormat="1" ht="18.75" customHeight="1" x14ac:dyDescent="0.15">
      <c r="A103" s="15"/>
      <c r="B103" s="242"/>
      <c r="C103" s="243"/>
      <c r="D103" s="243"/>
      <c r="E103" s="244"/>
    </row>
    <row r="104" spans="1:5" s="5" customFormat="1" ht="18.75" customHeight="1" x14ac:dyDescent="0.15">
      <c r="A104" s="15"/>
      <c r="B104" s="242"/>
      <c r="C104" s="243"/>
      <c r="D104" s="243"/>
      <c r="E104" s="244"/>
    </row>
    <row r="105" spans="1:5" s="5" customFormat="1" ht="18.75" customHeight="1" x14ac:dyDescent="0.15">
      <c r="A105" s="15"/>
      <c r="B105" s="242"/>
      <c r="C105" s="243"/>
      <c r="D105" s="243"/>
      <c r="E105" s="244"/>
    </row>
    <row r="106" spans="1:5" s="5" customFormat="1" ht="18.75" customHeight="1" x14ac:dyDescent="0.15">
      <c r="A106" s="15"/>
      <c r="B106" s="242"/>
      <c r="C106" s="243"/>
      <c r="D106" s="243"/>
      <c r="E106" s="244"/>
    </row>
    <row r="107" spans="1:5" s="5" customFormat="1" ht="18.75" customHeight="1" x14ac:dyDescent="0.15">
      <c r="A107" s="15"/>
      <c r="B107" s="242"/>
      <c r="C107" s="243"/>
      <c r="D107" s="243"/>
      <c r="E107" s="244"/>
    </row>
    <row r="108" spans="1:5" s="5" customFormat="1" ht="18.75" customHeight="1" x14ac:dyDescent="0.15">
      <c r="A108" s="15"/>
      <c r="B108" s="242"/>
      <c r="C108" s="243"/>
      <c r="D108" s="243"/>
      <c r="E108" s="244"/>
    </row>
    <row r="109" spans="1:5" s="5" customFormat="1" ht="18.75" customHeight="1" x14ac:dyDescent="0.15">
      <c r="A109" s="15"/>
      <c r="B109" s="242"/>
      <c r="C109" s="243"/>
      <c r="D109" s="243"/>
      <c r="E109" s="244"/>
    </row>
    <row r="110" spans="1:5" ht="18.75" customHeight="1" x14ac:dyDescent="0.15">
      <c r="A110" s="8"/>
      <c r="B110" s="242"/>
      <c r="C110" s="243"/>
      <c r="D110" s="243"/>
      <c r="E110" s="244"/>
    </row>
    <row r="111" spans="1:5" ht="18.75" customHeight="1" x14ac:dyDescent="0.15">
      <c r="A111" s="8"/>
      <c r="B111" s="245"/>
      <c r="C111" s="246"/>
      <c r="D111" s="246"/>
      <c r="E111" s="247"/>
    </row>
    <row r="112" spans="1:5" ht="7.5" customHeight="1" x14ac:dyDescent="0.15">
      <c r="A112" s="8"/>
      <c r="B112" s="8"/>
      <c r="C112" s="8"/>
      <c r="D112" s="8"/>
      <c r="E112" s="8"/>
    </row>
    <row r="113" spans="1:5" s="5" customFormat="1" ht="18.75" customHeight="1" x14ac:dyDescent="0.15">
      <c r="A113" s="15" t="s">
        <v>61</v>
      </c>
      <c r="B113" s="248" t="s">
        <v>131</v>
      </c>
      <c r="C113" s="248"/>
      <c r="D113" s="248"/>
      <c r="E113" s="248"/>
    </row>
    <row r="114" spans="1:5" ht="18.75" customHeight="1" x14ac:dyDescent="0.15">
      <c r="A114" s="8"/>
      <c r="B114" s="239" t="s">
        <v>175</v>
      </c>
      <c r="C114" s="240"/>
      <c r="D114" s="240"/>
      <c r="E114" s="241"/>
    </row>
    <row r="115" spans="1:5" ht="18.75" customHeight="1" x14ac:dyDescent="0.15">
      <c r="A115" s="8"/>
      <c r="B115" s="242"/>
      <c r="C115" s="243"/>
      <c r="D115" s="243"/>
      <c r="E115" s="244"/>
    </row>
    <row r="116" spans="1:5" ht="18.75" customHeight="1" x14ac:dyDescent="0.15">
      <c r="A116" s="8"/>
      <c r="B116" s="242"/>
      <c r="C116" s="243"/>
      <c r="D116" s="243"/>
      <c r="E116" s="244"/>
    </row>
    <row r="117" spans="1:5" ht="18.75" customHeight="1" x14ac:dyDescent="0.15">
      <c r="A117" s="8"/>
      <c r="B117" s="242"/>
      <c r="C117" s="243"/>
      <c r="D117" s="243"/>
      <c r="E117" s="244"/>
    </row>
    <row r="118" spans="1:5" ht="18.75" customHeight="1" x14ac:dyDescent="0.15">
      <c r="A118" s="8"/>
      <c r="B118" s="242"/>
      <c r="C118" s="243"/>
      <c r="D118" s="243"/>
      <c r="E118" s="244"/>
    </row>
    <row r="119" spans="1:5" ht="18.75" customHeight="1" x14ac:dyDescent="0.15">
      <c r="A119" s="8"/>
      <c r="B119" s="242"/>
      <c r="C119" s="243"/>
      <c r="D119" s="243"/>
      <c r="E119" s="244"/>
    </row>
    <row r="120" spans="1:5" ht="18.75" customHeight="1" x14ac:dyDescent="0.15">
      <c r="A120" s="8"/>
      <c r="B120" s="242"/>
      <c r="C120" s="243"/>
      <c r="D120" s="243"/>
      <c r="E120" s="244"/>
    </row>
    <row r="121" spans="1:5" ht="18.75" customHeight="1" x14ac:dyDescent="0.15">
      <c r="A121" s="8"/>
      <c r="B121" s="242"/>
      <c r="C121" s="243"/>
      <c r="D121" s="243"/>
      <c r="E121" s="244"/>
    </row>
    <row r="122" spans="1:5" ht="18.75" customHeight="1" x14ac:dyDescent="0.15">
      <c r="A122" s="8"/>
      <c r="B122" s="242"/>
      <c r="C122" s="243"/>
      <c r="D122" s="243"/>
      <c r="E122" s="244"/>
    </row>
    <row r="123" spans="1:5" ht="18.75" customHeight="1" x14ac:dyDescent="0.15">
      <c r="A123" s="8"/>
      <c r="B123" s="242"/>
      <c r="C123" s="243"/>
      <c r="D123" s="243"/>
      <c r="E123" s="244"/>
    </row>
    <row r="124" spans="1:5" ht="18.75" customHeight="1" x14ac:dyDescent="0.15">
      <c r="A124" s="8"/>
      <c r="B124" s="242"/>
      <c r="C124" s="243"/>
      <c r="D124" s="243"/>
      <c r="E124" s="244"/>
    </row>
    <row r="125" spans="1:5" ht="18.75" customHeight="1" x14ac:dyDescent="0.15">
      <c r="A125" s="8"/>
      <c r="B125" s="242"/>
      <c r="C125" s="243"/>
      <c r="D125" s="243"/>
      <c r="E125" s="244"/>
    </row>
    <row r="126" spans="1:5" ht="18.75" customHeight="1" x14ac:dyDescent="0.15">
      <c r="A126" s="8"/>
      <c r="B126" s="242"/>
      <c r="C126" s="243"/>
      <c r="D126" s="243"/>
      <c r="E126" s="244"/>
    </row>
    <row r="127" spans="1:5" ht="18.75" customHeight="1" x14ac:dyDescent="0.15">
      <c r="A127" s="8"/>
      <c r="B127" s="242"/>
      <c r="C127" s="243"/>
      <c r="D127" s="243"/>
      <c r="E127" s="244"/>
    </row>
    <row r="128" spans="1:5" ht="18.75" customHeight="1" x14ac:dyDescent="0.15">
      <c r="A128" s="8"/>
      <c r="B128" s="242"/>
      <c r="C128" s="243"/>
      <c r="D128" s="243"/>
      <c r="E128" s="244"/>
    </row>
    <row r="129" spans="1:5" ht="18.75" customHeight="1" x14ac:dyDescent="0.15">
      <c r="A129" s="8"/>
      <c r="B129" s="242"/>
      <c r="C129" s="243"/>
      <c r="D129" s="243"/>
      <c r="E129" s="244"/>
    </row>
    <row r="130" spans="1:5" ht="18.75" customHeight="1" x14ac:dyDescent="0.15">
      <c r="A130" s="8"/>
      <c r="B130" s="242"/>
      <c r="C130" s="243"/>
      <c r="D130" s="243"/>
      <c r="E130" s="244"/>
    </row>
    <row r="131" spans="1:5" ht="18.75" customHeight="1" x14ac:dyDescent="0.15">
      <c r="A131" s="8"/>
      <c r="B131" s="242"/>
      <c r="C131" s="243"/>
      <c r="D131" s="243"/>
      <c r="E131" s="244"/>
    </row>
    <row r="132" spans="1:5" ht="18.75" customHeight="1" x14ac:dyDescent="0.15">
      <c r="A132" s="8"/>
      <c r="B132" s="242"/>
      <c r="C132" s="243"/>
      <c r="D132" s="243"/>
      <c r="E132" s="244"/>
    </row>
    <row r="133" spans="1:5" ht="18.75" customHeight="1" x14ac:dyDescent="0.15">
      <c r="A133" s="8"/>
      <c r="B133" s="245"/>
      <c r="C133" s="246"/>
      <c r="D133" s="246"/>
      <c r="E133" s="247"/>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view="pageBreakPreview" zoomScaleNormal="100" zoomScaleSheetLayoutView="100" workbookViewId="0"/>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55" t="s">
        <v>8</v>
      </c>
    </row>
    <row r="2" spans="1:10" ht="18.75" customHeight="1" x14ac:dyDescent="0.15">
      <c r="D2" s="55"/>
      <c r="H2" s="55" t="s">
        <v>30</v>
      </c>
      <c r="I2" s="249" t="s">
        <v>155</v>
      </c>
      <c r="J2" s="249"/>
    </row>
    <row r="3" spans="1:10" ht="18.75" customHeight="1" x14ac:dyDescent="0.15">
      <c r="A3" s="250" t="s">
        <v>49</v>
      </c>
      <c r="B3" s="250"/>
      <c r="C3" s="250"/>
      <c r="D3" s="250"/>
      <c r="E3" s="250"/>
      <c r="F3" s="250"/>
      <c r="G3" s="250"/>
      <c r="H3" s="250"/>
      <c r="I3" s="250"/>
      <c r="J3" s="250"/>
    </row>
    <row r="4" spans="1:10" ht="7.5" customHeight="1" x14ac:dyDescent="0.15">
      <c r="B4" s="58"/>
      <c r="C4" s="58"/>
      <c r="D4" s="291"/>
      <c r="E4" s="292"/>
      <c r="F4" s="292"/>
      <c r="G4" s="292"/>
      <c r="H4" s="292"/>
      <c r="I4" s="292"/>
      <c r="J4" s="292"/>
    </row>
    <row r="5" spans="1:10" ht="18.75" customHeight="1" x14ac:dyDescent="0.15">
      <c r="A5" s="1" t="s">
        <v>6</v>
      </c>
      <c r="B5" s="5" t="s">
        <v>47</v>
      </c>
      <c r="C5" s="58"/>
      <c r="D5" s="58"/>
      <c r="E5" s="59"/>
      <c r="F5" s="62"/>
      <c r="G5" s="65"/>
      <c r="H5" s="62"/>
      <c r="I5" s="59"/>
      <c r="J5" s="59"/>
    </row>
    <row r="6" spans="1:10" ht="18.75" customHeight="1" x14ac:dyDescent="0.15">
      <c r="B6" s="206" t="s">
        <v>44</v>
      </c>
      <c r="C6" s="207"/>
      <c r="D6" s="208"/>
      <c r="E6" s="136" t="s">
        <v>46</v>
      </c>
      <c r="F6" s="136"/>
      <c r="G6" s="136"/>
      <c r="H6" s="136"/>
      <c r="I6" s="136"/>
      <c r="J6" s="137"/>
    </row>
    <row r="7" spans="1:10" ht="18.75" customHeight="1" x14ac:dyDescent="0.15">
      <c r="B7" s="6" t="s">
        <v>34</v>
      </c>
      <c r="C7" s="8"/>
      <c r="D7" s="19"/>
      <c r="E7" s="3"/>
      <c r="F7" s="3"/>
      <c r="G7" s="3"/>
      <c r="H7" s="3"/>
      <c r="I7" s="16"/>
      <c r="J7" s="17"/>
    </row>
    <row r="8" spans="1:10" ht="202.5" customHeight="1" x14ac:dyDescent="0.15">
      <c r="B8" s="18"/>
      <c r="C8" s="273" t="s">
        <v>35</v>
      </c>
      <c r="D8" s="274"/>
      <c r="E8" s="288" t="s">
        <v>177</v>
      </c>
      <c r="F8" s="289"/>
      <c r="G8" s="289"/>
      <c r="H8" s="289"/>
      <c r="I8" s="289"/>
      <c r="J8" s="290"/>
    </row>
    <row r="9" spans="1:10" ht="202.5" customHeight="1" x14ac:dyDescent="0.15">
      <c r="B9" s="18"/>
      <c r="C9" s="271" t="s">
        <v>36</v>
      </c>
      <c r="D9" s="272"/>
      <c r="E9" s="288" t="s">
        <v>179</v>
      </c>
      <c r="F9" s="289"/>
      <c r="G9" s="289"/>
      <c r="H9" s="289"/>
      <c r="I9" s="289"/>
      <c r="J9" s="290"/>
    </row>
    <row r="10" spans="1:10" ht="172.5" customHeight="1" x14ac:dyDescent="0.15">
      <c r="B10" s="18"/>
      <c r="C10" s="273" t="s">
        <v>37</v>
      </c>
      <c r="D10" s="274"/>
      <c r="E10" s="288" t="s">
        <v>180</v>
      </c>
      <c r="F10" s="289"/>
      <c r="G10" s="289"/>
      <c r="H10" s="289"/>
      <c r="I10" s="289"/>
      <c r="J10" s="290"/>
    </row>
    <row r="11" spans="1:10" ht="172.5" customHeight="1" x14ac:dyDescent="0.15">
      <c r="B11" s="18"/>
      <c r="C11" s="273" t="s">
        <v>38</v>
      </c>
      <c r="D11" s="274"/>
      <c r="E11" s="288" t="s">
        <v>181</v>
      </c>
      <c r="F11" s="289"/>
      <c r="G11" s="289"/>
      <c r="H11" s="289"/>
      <c r="I11" s="289"/>
      <c r="J11" s="290"/>
    </row>
    <row r="12" spans="1:10" ht="172.5" customHeight="1" x14ac:dyDescent="0.15">
      <c r="B12" s="18"/>
      <c r="C12" s="273" t="s">
        <v>39</v>
      </c>
      <c r="D12" s="274"/>
      <c r="E12" s="288" t="s">
        <v>182</v>
      </c>
      <c r="F12" s="289"/>
      <c r="G12" s="289"/>
      <c r="H12" s="289"/>
      <c r="I12" s="289"/>
      <c r="J12" s="290"/>
    </row>
    <row r="13" spans="1:10" ht="18.75" customHeight="1" x14ac:dyDescent="0.15">
      <c r="B13" s="21" t="s">
        <v>40</v>
      </c>
      <c r="C13" s="60"/>
      <c r="D13" s="20"/>
      <c r="E13" s="73"/>
      <c r="F13" s="73"/>
      <c r="G13" s="73"/>
      <c r="H13" s="73"/>
      <c r="I13" s="73"/>
      <c r="J13" s="74"/>
    </row>
    <row r="14" spans="1:10" ht="255" customHeight="1" x14ac:dyDescent="0.15">
      <c r="B14" s="18"/>
      <c r="C14" s="273" t="s">
        <v>41</v>
      </c>
      <c r="D14" s="274"/>
      <c r="E14" s="275" t="s">
        <v>193</v>
      </c>
      <c r="F14" s="275"/>
      <c r="G14" s="275"/>
      <c r="H14" s="275"/>
      <c r="I14" s="275"/>
      <c r="J14" s="276"/>
    </row>
    <row r="15" spans="1:10" ht="255" customHeight="1" x14ac:dyDescent="0.15">
      <c r="B15" s="18"/>
      <c r="C15" s="277" t="s">
        <v>42</v>
      </c>
      <c r="D15" s="278"/>
      <c r="E15" s="279" t="s">
        <v>194</v>
      </c>
      <c r="F15" s="279"/>
      <c r="G15" s="279"/>
      <c r="H15" s="279"/>
      <c r="I15" s="279"/>
      <c r="J15" s="280"/>
    </row>
    <row r="16" spans="1:10" ht="232.5" customHeight="1" x14ac:dyDescent="0.15">
      <c r="B16" s="281" t="s">
        <v>43</v>
      </c>
      <c r="C16" s="282"/>
      <c r="D16" s="274"/>
      <c r="E16" s="283" t="s">
        <v>195</v>
      </c>
      <c r="F16" s="283"/>
      <c r="G16" s="283"/>
      <c r="H16" s="283"/>
      <c r="I16" s="283"/>
      <c r="J16" s="284"/>
    </row>
    <row r="17" spans="1:10" ht="232.5" customHeight="1" x14ac:dyDescent="0.15">
      <c r="A17" s="72"/>
      <c r="B17" s="268" t="s">
        <v>85</v>
      </c>
      <c r="C17" s="269"/>
      <c r="D17" s="270"/>
      <c r="E17" s="293" t="s">
        <v>196</v>
      </c>
      <c r="F17" s="293"/>
      <c r="G17" s="293"/>
      <c r="H17" s="293"/>
      <c r="I17" s="293"/>
      <c r="J17" s="294"/>
    </row>
    <row r="18" spans="1:10" ht="7.5" customHeight="1" x14ac:dyDescent="0.15">
      <c r="B18" s="58"/>
      <c r="C18" s="58"/>
      <c r="D18" s="58"/>
      <c r="E18" s="59"/>
      <c r="F18" s="62"/>
      <c r="G18" s="65"/>
      <c r="H18" s="62"/>
      <c r="I18" s="59"/>
      <c r="J18" s="59"/>
    </row>
    <row r="19" spans="1:10" ht="18.75" customHeight="1" x14ac:dyDescent="0.15">
      <c r="B19" s="5"/>
      <c r="C19" s="70"/>
      <c r="D19" s="70"/>
      <c r="E19" s="71"/>
      <c r="F19" s="66"/>
      <c r="G19" s="66"/>
      <c r="H19" s="80" t="s">
        <v>112</v>
      </c>
      <c r="I19" s="75"/>
      <c r="J19" s="76"/>
    </row>
    <row r="20" spans="1:10" ht="18.75" customHeight="1" x14ac:dyDescent="0.15">
      <c r="A20" s="3" t="s">
        <v>11</v>
      </c>
      <c r="B20" s="77" t="s">
        <v>48</v>
      </c>
      <c r="C20" s="78"/>
      <c r="D20" s="78"/>
      <c r="E20" s="79"/>
      <c r="F20" s="96" t="s">
        <v>201</v>
      </c>
      <c r="G20" s="97"/>
      <c r="H20" s="285" t="s">
        <v>200</v>
      </c>
      <c r="I20" s="286"/>
      <c r="J20" s="287"/>
    </row>
    <row r="21" spans="1:10" ht="22.5" customHeight="1" x14ac:dyDescent="0.15">
      <c r="B21" s="58"/>
      <c r="C21" s="58"/>
      <c r="D21" s="58"/>
      <c r="E21" s="59"/>
      <c r="F21" s="62"/>
      <c r="G21" s="65"/>
      <c r="H21" s="62"/>
      <c r="I21" s="59"/>
      <c r="J21" s="59"/>
    </row>
    <row r="22" spans="1:10" ht="22.5" customHeight="1" x14ac:dyDescent="0.15">
      <c r="B22" s="58"/>
      <c r="C22" s="58"/>
      <c r="D22" s="58"/>
      <c r="E22" s="59"/>
      <c r="F22" s="62"/>
      <c r="G22" s="65"/>
      <c r="H22" s="62"/>
      <c r="I22" s="59"/>
      <c r="J22" s="59"/>
    </row>
    <row r="23" spans="1:10" ht="22.5" customHeight="1" x14ac:dyDescent="0.15">
      <c r="B23" s="58"/>
      <c r="C23" s="58"/>
      <c r="D23" s="58"/>
      <c r="E23" s="59"/>
      <c r="F23" s="62"/>
      <c r="G23" s="65"/>
      <c r="H23" s="62"/>
      <c r="I23" s="59"/>
      <c r="J23" s="59"/>
    </row>
    <row r="24" spans="1:10" ht="22.5" customHeight="1" x14ac:dyDescent="0.15">
      <c r="B24" s="58"/>
      <c r="C24" s="58"/>
      <c r="D24" s="58"/>
      <c r="E24" s="59"/>
      <c r="F24" s="62"/>
      <c r="G24" s="65"/>
      <c r="H24" s="62"/>
      <c r="I24" s="59"/>
      <c r="J24" s="59"/>
    </row>
    <row r="25" spans="1:10" ht="22.5" customHeight="1" x14ac:dyDescent="0.15">
      <c r="B25" s="58"/>
      <c r="C25" s="58"/>
      <c r="D25" s="58"/>
      <c r="E25" s="59"/>
      <c r="F25" s="62"/>
      <c r="G25" s="65"/>
      <c r="H25" s="62"/>
      <c r="I25" s="59"/>
      <c r="J25" s="59"/>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00000000-0004-0000-05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Zeros="0" zoomScaleNormal="100" workbookViewId="0"/>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89" t="s">
        <v>15</v>
      </c>
      <c r="F1" s="189"/>
    </row>
    <row r="2" spans="1:6" ht="18.75" customHeight="1" x14ac:dyDescent="0.15">
      <c r="C2" s="119" t="s">
        <v>86</v>
      </c>
      <c r="D2" s="119" t="s">
        <v>7</v>
      </c>
      <c r="E2" s="199" t="s">
        <v>155</v>
      </c>
      <c r="F2" s="199"/>
    </row>
    <row r="3" spans="1:6" ht="7.5" customHeight="1" x14ac:dyDescent="0.15">
      <c r="C3" s="119"/>
      <c r="D3" s="119"/>
      <c r="E3" s="120"/>
      <c r="F3" s="120"/>
    </row>
    <row r="4" spans="1:6" ht="18.75" customHeight="1" x14ac:dyDescent="0.15">
      <c r="A4" s="250" t="s">
        <v>122</v>
      </c>
      <c r="B4" s="250"/>
      <c r="C4" s="250"/>
      <c r="D4" s="250"/>
      <c r="E4" s="250"/>
      <c r="F4" s="250"/>
    </row>
    <row r="5" spans="1:6" ht="7.5" customHeight="1" x14ac:dyDescent="0.15">
      <c r="A5" s="121"/>
      <c r="B5" s="121"/>
      <c r="C5" s="121"/>
      <c r="D5" s="121"/>
      <c r="E5" s="121"/>
      <c r="F5" s="121"/>
    </row>
    <row r="6" spans="1:6" ht="18.75" customHeight="1" x14ac:dyDescent="0.15">
      <c r="A6" s="121" t="s">
        <v>6</v>
      </c>
      <c r="B6" s="5" t="s">
        <v>32</v>
      </c>
      <c r="C6" s="121"/>
      <c r="D6" s="121"/>
      <c r="E6" s="121"/>
      <c r="F6" s="121"/>
    </row>
    <row r="7" spans="1:6" ht="18.75" customHeight="1" x14ac:dyDescent="0.15">
      <c r="A7" s="121"/>
      <c r="B7" s="295" t="s">
        <v>191</v>
      </c>
      <c r="C7" s="296"/>
      <c r="D7" s="296"/>
      <c r="E7" s="296"/>
      <c r="F7" s="297"/>
    </row>
    <row r="8" spans="1:6" ht="18.75" customHeight="1" x14ac:dyDescent="0.15">
      <c r="A8" s="121"/>
      <c r="B8" s="298"/>
      <c r="C8" s="299"/>
      <c r="D8" s="299"/>
      <c r="E8" s="299"/>
      <c r="F8" s="300"/>
    </row>
    <row r="9" spans="1:6" ht="18.75" customHeight="1" x14ac:dyDescent="0.15">
      <c r="A9" s="121"/>
      <c r="B9" s="298"/>
      <c r="C9" s="299"/>
      <c r="D9" s="299"/>
      <c r="E9" s="299"/>
      <c r="F9" s="300"/>
    </row>
    <row r="10" spans="1:6" ht="18.75" customHeight="1" x14ac:dyDescent="0.15">
      <c r="A10" s="121"/>
      <c r="B10" s="298"/>
      <c r="C10" s="299"/>
      <c r="D10" s="299"/>
      <c r="E10" s="299"/>
      <c r="F10" s="300"/>
    </row>
    <row r="11" spans="1:6" ht="18.75" customHeight="1" x14ac:dyDescent="0.15">
      <c r="A11" s="121"/>
      <c r="B11" s="298"/>
      <c r="C11" s="299"/>
      <c r="D11" s="299"/>
      <c r="E11" s="299"/>
      <c r="F11" s="300"/>
    </row>
    <row r="12" spans="1:6" ht="18.75" customHeight="1" x14ac:dyDescent="0.15">
      <c r="A12" s="121"/>
      <c r="B12" s="298"/>
      <c r="C12" s="299"/>
      <c r="D12" s="299"/>
      <c r="E12" s="299"/>
      <c r="F12" s="300"/>
    </row>
    <row r="13" spans="1:6" ht="18.75" customHeight="1" x14ac:dyDescent="0.15">
      <c r="A13" s="121"/>
      <c r="B13" s="298"/>
      <c r="C13" s="299"/>
      <c r="D13" s="299"/>
      <c r="E13" s="299"/>
      <c r="F13" s="300"/>
    </row>
    <row r="14" spans="1:6" ht="18.75" customHeight="1" x14ac:dyDescent="0.15">
      <c r="A14" s="121"/>
      <c r="B14" s="298"/>
      <c r="C14" s="299"/>
      <c r="D14" s="299"/>
      <c r="E14" s="299"/>
      <c r="F14" s="300"/>
    </row>
    <row r="15" spans="1:6" ht="18.75" customHeight="1" x14ac:dyDescent="0.15">
      <c r="A15" s="121"/>
      <c r="B15" s="298"/>
      <c r="C15" s="299"/>
      <c r="D15" s="299"/>
      <c r="E15" s="299"/>
      <c r="F15" s="300"/>
    </row>
    <row r="16" spans="1:6" ht="18.75" customHeight="1" x14ac:dyDescent="0.15">
      <c r="A16" s="121"/>
      <c r="B16" s="298"/>
      <c r="C16" s="299"/>
      <c r="D16" s="299"/>
      <c r="E16" s="299"/>
      <c r="F16" s="300"/>
    </row>
    <row r="17" spans="1:6" ht="18.75" customHeight="1" x14ac:dyDescent="0.15">
      <c r="A17" s="121"/>
      <c r="B17" s="298"/>
      <c r="C17" s="299"/>
      <c r="D17" s="299"/>
      <c r="E17" s="299"/>
      <c r="F17" s="300"/>
    </row>
    <row r="18" spans="1:6" ht="18.75" customHeight="1" x14ac:dyDescent="0.15">
      <c r="A18" s="121"/>
      <c r="B18" s="298"/>
      <c r="C18" s="299"/>
      <c r="D18" s="299"/>
      <c r="E18" s="299"/>
      <c r="F18" s="300"/>
    </row>
    <row r="19" spans="1:6" ht="18.75" customHeight="1" x14ac:dyDescent="0.15">
      <c r="A19" s="121"/>
      <c r="B19" s="298"/>
      <c r="C19" s="299"/>
      <c r="D19" s="299"/>
      <c r="E19" s="299"/>
      <c r="F19" s="300"/>
    </row>
    <row r="20" spans="1:6" ht="18.75" customHeight="1" x14ac:dyDescent="0.15">
      <c r="A20" s="121"/>
      <c r="B20" s="298"/>
      <c r="C20" s="299"/>
      <c r="D20" s="299"/>
      <c r="E20" s="299"/>
      <c r="F20" s="300"/>
    </row>
    <row r="21" spans="1:6" ht="18.75" customHeight="1" x14ac:dyDescent="0.15">
      <c r="A21" s="121"/>
      <c r="B21" s="298"/>
      <c r="C21" s="299"/>
      <c r="D21" s="299"/>
      <c r="E21" s="299"/>
      <c r="F21" s="300"/>
    </row>
    <row r="22" spans="1:6" ht="18.75" customHeight="1" x14ac:dyDescent="0.15">
      <c r="A22" s="121"/>
      <c r="B22" s="298"/>
      <c r="C22" s="299"/>
      <c r="D22" s="299"/>
      <c r="E22" s="299"/>
      <c r="F22" s="300"/>
    </row>
    <row r="23" spans="1:6" ht="18.75" customHeight="1" x14ac:dyDescent="0.15">
      <c r="A23" s="121"/>
      <c r="B23" s="298"/>
      <c r="C23" s="299"/>
      <c r="D23" s="299"/>
      <c r="E23" s="299"/>
      <c r="F23" s="300"/>
    </row>
    <row r="24" spans="1:6" ht="18.75" customHeight="1" x14ac:dyDescent="0.15">
      <c r="A24" s="121"/>
      <c r="B24" s="298"/>
      <c r="C24" s="299"/>
      <c r="D24" s="299"/>
      <c r="E24" s="299"/>
      <c r="F24" s="300"/>
    </row>
    <row r="25" spans="1:6" ht="18.75" customHeight="1" x14ac:dyDescent="0.15">
      <c r="A25" s="121"/>
      <c r="B25" s="298"/>
      <c r="C25" s="299"/>
      <c r="D25" s="299"/>
      <c r="E25" s="299"/>
      <c r="F25" s="300"/>
    </row>
    <row r="26" spans="1:6" ht="18.75" customHeight="1" x14ac:dyDescent="0.15">
      <c r="A26" s="121"/>
      <c r="B26" s="298"/>
      <c r="C26" s="299"/>
      <c r="D26" s="299"/>
      <c r="E26" s="299"/>
      <c r="F26" s="300"/>
    </row>
    <row r="27" spans="1:6" ht="18.75" customHeight="1" x14ac:dyDescent="0.15">
      <c r="A27" s="121"/>
      <c r="B27" s="298"/>
      <c r="C27" s="299"/>
      <c r="D27" s="299"/>
      <c r="E27" s="299"/>
      <c r="F27" s="300"/>
    </row>
    <row r="28" spans="1:6" ht="18.75" customHeight="1" x14ac:dyDescent="0.15">
      <c r="A28" s="121"/>
      <c r="B28" s="298"/>
      <c r="C28" s="299"/>
      <c r="D28" s="299"/>
      <c r="E28" s="299"/>
      <c r="F28" s="300"/>
    </row>
    <row r="29" spans="1:6" ht="18.75" customHeight="1" x14ac:dyDescent="0.15">
      <c r="A29" s="121"/>
      <c r="B29" s="298"/>
      <c r="C29" s="299"/>
      <c r="D29" s="299"/>
      <c r="E29" s="299"/>
      <c r="F29" s="300"/>
    </row>
    <row r="30" spans="1:6" ht="18.75" customHeight="1" x14ac:dyDescent="0.15">
      <c r="A30" s="121"/>
      <c r="B30" s="298"/>
      <c r="C30" s="299"/>
      <c r="D30" s="299"/>
      <c r="E30" s="299"/>
      <c r="F30" s="300"/>
    </row>
    <row r="31" spans="1:6" ht="18.75" customHeight="1" x14ac:dyDescent="0.15">
      <c r="A31" s="121"/>
      <c r="B31" s="298"/>
      <c r="C31" s="299"/>
      <c r="D31" s="299"/>
      <c r="E31" s="299"/>
      <c r="F31" s="300"/>
    </row>
    <row r="32" spans="1:6" ht="18.75" customHeight="1" x14ac:dyDescent="0.15">
      <c r="A32" s="121"/>
      <c r="B32" s="298"/>
      <c r="C32" s="299"/>
      <c r="D32" s="299"/>
      <c r="E32" s="299"/>
      <c r="F32" s="300"/>
    </row>
    <row r="33" spans="1:6" ht="18.75" customHeight="1" x14ac:dyDescent="0.15">
      <c r="A33" s="121"/>
      <c r="B33" s="298"/>
      <c r="C33" s="299"/>
      <c r="D33" s="299"/>
      <c r="E33" s="299"/>
      <c r="F33" s="300"/>
    </row>
    <row r="34" spans="1:6" ht="18.75" customHeight="1" x14ac:dyDescent="0.15">
      <c r="A34" s="121"/>
      <c r="B34" s="298"/>
      <c r="C34" s="299"/>
      <c r="D34" s="299"/>
      <c r="E34" s="299"/>
      <c r="F34" s="300"/>
    </row>
    <row r="35" spans="1:6" ht="18.75" customHeight="1" x14ac:dyDescent="0.15">
      <c r="A35" s="121"/>
      <c r="B35" s="298"/>
      <c r="C35" s="299"/>
      <c r="D35" s="299"/>
      <c r="E35" s="299"/>
      <c r="F35" s="300"/>
    </row>
    <row r="36" spans="1:6" ht="18.75" customHeight="1" x14ac:dyDescent="0.15">
      <c r="A36" s="121"/>
      <c r="B36" s="298"/>
      <c r="C36" s="299"/>
      <c r="D36" s="299"/>
      <c r="E36" s="299"/>
      <c r="F36" s="300"/>
    </row>
    <row r="37" spans="1:6" ht="18.75" customHeight="1" x14ac:dyDescent="0.15">
      <c r="A37" s="121"/>
      <c r="B37" s="298"/>
      <c r="C37" s="299"/>
      <c r="D37" s="299"/>
      <c r="E37" s="299"/>
      <c r="F37" s="300"/>
    </row>
    <row r="38" spans="1:6" ht="18.75" customHeight="1" x14ac:dyDescent="0.15">
      <c r="A38" s="121"/>
      <c r="B38" s="298"/>
      <c r="C38" s="299"/>
      <c r="D38" s="299"/>
      <c r="E38" s="299"/>
      <c r="F38" s="300"/>
    </row>
    <row r="39" spans="1:6" ht="18.75" customHeight="1" x14ac:dyDescent="0.15">
      <c r="A39" s="121"/>
      <c r="B39" s="298"/>
      <c r="C39" s="299"/>
      <c r="D39" s="299"/>
      <c r="E39" s="299"/>
      <c r="F39" s="300"/>
    </row>
    <row r="40" spans="1:6" ht="18.75" customHeight="1" x14ac:dyDescent="0.15">
      <c r="A40" s="121"/>
      <c r="B40" s="298"/>
      <c r="C40" s="299"/>
      <c r="D40" s="299"/>
      <c r="E40" s="299"/>
      <c r="F40" s="300"/>
    </row>
    <row r="41" spans="1:6" ht="18.75" customHeight="1" x14ac:dyDescent="0.15">
      <c r="A41" s="121"/>
      <c r="B41" s="298"/>
      <c r="C41" s="299"/>
      <c r="D41" s="299"/>
      <c r="E41" s="299"/>
      <c r="F41" s="300"/>
    </row>
    <row r="42" spans="1:6" ht="18.75" customHeight="1" x14ac:dyDescent="0.15">
      <c r="A42" s="121"/>
      <c r="B42" s="298"/>
      <c r="C42" s="299"/>
      <c r="D42" s="299"/>
      <c r="E42" s="299"/>
      <c r="F42" s="300"/>
    </row>
    <row r="43" spans="1:6" ht="18.75" customHeight="1" x14ac:dyDescent="0.15">
      <c r="A43" s="121"/>
      <c r="B43" s="298"/>
      <c r="C43" s="299"/>
      <c r="D43" s="299"/>
      <c r="E43" s="299"/>
      <c r="F43" s="300"/>
    </row>
    <row r="44" spans="1:6" ht="18.75" customHeight="1" x14ac:dyDescent="0.15">
      <c r="A44" s="121"/>
      <c r="B44" s="301"/>
      <c r="C44" s="302"/>
      <c r="D44" s="302"/>
      <c r="E44" s="302"/>
      <c r="F44" s="303"/>
    </row>
    <row r="45" spans="1:6" ht="18.75" customHeight="1" x14ac:dyDescent="0.15">
      <c r="A45" s="121" t="s">
        <v>11</v>
      </c>
      <c r="B45" s="5" t="s">
        <v>91</v>
      </c>
      <c r="C45" s="121"/>
      <c r="D45" s="121"/>
      <c r="E45" s="121"/>
      <c r="F45" s="121"/>
    </row>
    <row r="46" spans="1:6" ht="18.75" customHeight="1" x14ac:dyDescent="0.15">
      <c r="A46" s="121"/>
      <c r="B46" s="162" t="s">
        <v>190</v>
      </c>
      <c r="C46" s="163"/>
      <c r="D46" s="163"/>
      <c r="E46" s="163"/>
      <c r="F46" s="164"/>
    </row>
    <row r="47" spans="1:6" ht="18.75" customHeight="1" x14ac:dyDescent="0.15">
      <c r="A47" s="121"/>
      <c r="B47" s="165"/>
      <c r="C47" s="166"/>
      <c r="D47" s="166"/>
      <c r="E47" s="166"/>
      <c r="F47" s="167"/>
    </row>
    <row r="48" spans="1:6" ht="18.75" customHeight="1" x14ac:dyDescent="0.15">
      <c r="A48" s="121"/>
      <c r="B48" s="165"/>
      <c r="C48" s="166"/>
      <c r="D48" s="166"/>
      <c r="E48" s="166"/>
      <c r="F48" s="167"/>
    </row>
    <row r="49" spans="1:6" ht="18.75" customHeight="1" x14ac:dyDescent="0.15">
      <c r="A49" s="121"/>
      <c r="B49" s="165"/>
      <c r="C49" s="166"/>
      <c r="D49" s="166"/>
      <c r="E49" s="166"/>
      <c r="F49" s="167"/>
    </row>
    <row r="50" spans="1:6" ht="18.75" customHeight="1" x14ac:dyDescent="0.15">
      <c r="A50" s="121"/>
      <c r="B50" s="165"/>
      <c r="C50" s="166"/>
      <c r="D50" s="166"/>
      <c r="E50" s="166"/>
      <c r="F50" s="167"/>
    </row>
    <row r="51" spans="1:6" ht="18.75" customHeight="1" x14ac:dyDescent="0.15">
      <c r="A51" s="121"/>
      <c r="B51" s="165"/>
      <c r="C51" s="166"/>
      <c r="D51" s="166"/>
      <c r="E51" s="166"/>
      <c r="F51" s="167"/>
    </row>
    <row r="52" spans="1:6" ht="18.75" customHeight="1" x14ac:dyDescent="0.15">
      <c r="A52" s="121"/>
      <c r="B52" s="165"/>
      <c r="C52" s="166"/>
      <c r="D52" s="166"/>
      <c r="E52" s="166"/>
      <c r="F52" s="167"/>
    </row>
    <row r="53" spans="1:6" ht="18.75" customHeight="1" x14ac:dyDescent="0.15">
      <c r="A53" s="121"/>
      <c r="B53" s="165"/>
      <c r="C53" s="166"/>
      <c r="D53" s="166"/>
      <c r="E53" s="166"/>
      <c r="F53" s="167"/>
    </row>
    <row r="54" spans="1:6" ht="18.75" customHeight="1" x14ac:dyDescent="0.15">
      <c r="A54" s="121"/>
      <c r="B54" s="165"/>
      <c r="C54" s="166"/>
      <c r="D54" s="166"/>
      <c r="E54" s="166"/>
      <c r="F54" s="167"/>
    </row>
    <row r="55" spans="1:6" ht="18.75" customHeight="1" x14ac:dyDescent="0.15">
      <c r="A55" s="121"/>
      <c r="B55" s="165"/>
      <c r="C55" s="166"/>
      <c r="D55" s="166"/>
      <c r="E55" s="166"/>
      <c r="F55" s="167"/>
    </row>
    <row r="56" spans="1:6" ht="18.75" customHeight="1" x14ac:dyDescent="0.15">
      <c r="A56" s="121"/>
      <c r="B56" s="165"/>
      <c r="C56" s="166"/>
      <c r="D56" s="166"/>
      <c r="E56" s="166"/>
      <c r="F56" s="167"/>
    </row>
    <row r="57" spans="1:6" ht="18.75" customHeight="1" x14ac:dyDescent="0.15">
      <c r="A57" s="121"/>
      <c r="B57" s="165"/>
      <c r="C57" s="166"/>
      <c r="D57" s="166"/>
      <c r="E57" s="166"/>
      <c r="F57" s="167"/>
    </row>
    <row r="58" spans="1:6" ht="18.75" customHeight="1" x14ac:dyDescent="0.15">
      <c r="A58" s="121"/>
      <c r="B58" s="165"/>
      <c r="C58" s="166"/>
      <c r="D58" s="166"/>
      <c r="E58" s="166"/>
      <c r="F58" s="167"/>
    </row>
    <row r="59" spans="1:6" ht="18.75" customHeight="1" x14ac:dyDescent="0.15">
      <c r="A59" s="121"/>
      <c r="B59" s="165"/>
      <c r="C59" s="166"/>
      <c r="D59" s="166"/>
      <c r="E59" s="166"/>
      <c r="F59" s="167"/>
    </row>
    <row r="60" spans="1:6" ht="18.75" customHeight="1" x14ac:dyDescent="0.15">
      <c r="A60" s="121"/>
      <c r="B60" s="165"/>
      <c r="C60" s="166"/>
      <c r="D60" s="166"/>
      <c r="E60" s="166"/>
      <c r="F60" s="167"/>
    </row>
    <row r="61" spans="1:6" ht="18.75" customHeight="1" x14ac:dyDescent="0.15">
      <c r="A61" s="121"/>
      <c r="B61" s="165"/>
      <c r="C61" s="166"/>
      <c r="D61" s="166"/>
      <c r="E61" s="166"/>
      <c r="F61" s="167"/>
    </row>
    <row r="62" spans="1:6" ht="18.75" customHeight="1" x14ac:dyDescent="0.15">
      <c r="A62" s="121"/>
      <c r="B62" s="165"/>
      <c r="C62" s="166"/>
      <c r="D62" s="166"/>
      <c r="E62" s="166"/>
      <c r="F62" s="167"/>
    </row>
    <row r="63" spans="1:6" ht="18.75" customHeight="1" x14ac:dyDescent="0.15">
      <c r="A63" s="121"/>
      <c r="B63" s="165"/>
      <c r="C63" s="166"/>
      <c r="D63" s="166"/>
      <c r="E63" s="166"/>
      <c r="F63" s="167"/>
    </row>
    <row r="64" spans="1:6" ht="18.75" customHeight="1" x14ac:dyDescent="0.15">
      <c r="A64" s="121"/>
      <c r="B64" s="165"/>
      <c r="C64" s="166"/>
      <c r="D64" s="166"/>
      <c r="E64" s="166"/>
      <c r="F64" s="167"/>
    </row>
    <row r="65" spans="1:6" ht="18.75" customHeight="1" x14ac:dyDescent="0.15">
      <c r="A65" s="121"/>
      <c r="B65" s="165"/>
      <c r="C65" s="166"/>
      <c r="D65" s="166"/>
      <c r="E65" s="166"/>
      <c r="F65" s="167"/>
    </row>
    <row r="66" spans="1:6" ht="18.75" customHeight="1" x14ac:dyDescent="0.15">
      <c r="A66" s="121"/>
      <c r="B66" s="165"/>
      <c r="C66" s="166"/>
      <c r="D66" s="166"/>
      <c r="E66" s="166"/>
      <c r="F66" s="167"/>
    </row>
    <row r="67" spans="1:6" ht="18.75" customHeight="1" x14ac:dyDescent="0.15">
      <c r="A67" s="121"/>
      <c r="B67" s="165"/>
      <c r="C67" s="166"/>
      <c r="D67" s="166"/>
      <c r="E67" s="166"/>
      <c r="F67" s="167"/>
    </row>
    <row r="68" spans="1:6" ht="18.75" customHeight="1" x14ac:dyDescent="0.15">
      <c r="A68" s="121"/>
      <c r="B68" s="165"/>
      <c r="C68" s="166"/>
      <c r="D68" s="166"/>
      <c r="E68" s="166"/>
      <c r="F68" s="167"/>
    </row>
    <row r="69" spans="1:6" ht="18.75" customHeight="1" x14ac:dyDescent="0.15">
      <c r="A69" s="121"/>
      <c r="B69" s="165"/>
      <c r="C69" s="166"/>
      <c r="D69" s="166"/>
      <c r="E69" s="166"/>
      <c r="F69" s="167"/>
    </row>
    <row r="70" spans="1:6" ht="18.75" customHeight="1" x14ac:dyDescent="0.15">
      <c r="A70" s="121"/>
      <c r="B70" s="165"/>
      <c r="C70" s="166"/>
      <c r="D70" s="166"/>
      <c r="E70" s="166"/>
      <c r="F70" s="167"/>
    </row>
    <row r="71" spans="1:6" ht="18.75" customHeight="1" x14ac:dyDescent="0.15">
      <c r="A71" s="121"/>
      <c r="B71" s="165"/>
      <c r="C71" s="166"/>
      <c r="D71" s="166"/>
      <c r="E71" s="166"/>
      <c r="F71" s="167"/>
    </row>
    <row r="72" spans="1:6" ht="18.75" customHeight="1" x14ac:dyDescent="0.15">
      <c r="A72" s="121"/>
      <c r="B72" s="165"/>
      <c r="C72" s="166"/>
      <c r="D72" s="166"/>
      <c r="E72" s="166"/>
      <c r="F72" s="167"/>
    </row>
    <row r="73" spans="1:6" ht="18.75" customHeight="1" x14ac:dyDescent="0.15">
      <c r="A73" s="121"/>
      <c r="B73" s="165"/>
      <c r="C73" s="166"/>
      <c r="D73" s="166"/>
      <c r="E73" s="166"/>
      <c r="F73" s="167"/>
    </row>
    <row r="74" spans="1:6" ht="18.75" customHeight="1" x14ac:dyDescent="0.15">
      <c r="A74" s="121"/>
      <c r="B74" s="165"/>
      <c r="C74" s="166"/>
      <c r="D74" s="166"/>
      <c r="E74" s="166"/>
      <c r="F74" s="167"/>
    </row>
    <row r="75" spans="1:6" ht="18.75" customHeight="1" x14ac:dyDescent="0.15">
      <c r="A75" s="121"/>
      <c r="B75" s="165"/>
      <c r="C75" s="166"/>
      <c r="D75" s="166"/>
      <c r="E75" s="166"/>
      <c r="F75" s="167"/>
    </row>
    <row r="76" spans="1:6" ht="18.75" customHeight="1" x14ac:dyDescent="0.15">
      <c r="A76" s="121"/>
      <c r="B76" s="165"/>
      <c r="C76" s="166"/>
      <c r="D76" s="166"/>
      <c r="E76" s="166"/>
      <c r="F76" s="167"/>
    </row>
    <row r="77" spans="1:6" ht="18.75" customHeight="1" x14ac:dyDescent="0.15">
      <c r="A77" s="121"/>
      <c r="B77" s="165"/>
      <c r="C77" s="166"/>
      <c r="D77" s="166"/>
      <c r="E77" s="166"/>
      <c r="F77" s="167"/>
    </row>
    <row r="78" spans="1:6" ht="18.75" customHeight="1" x14ac:dyDescent="0.15">
      <c r="A78" s="121"/>
      <c r="B78" s="165"/>
      <c r="C78" s="166"/>
      <c r="D78" s="166"/>
      <c r="E78" s="166"/>
      <c r="F78" s="167"/>
    </row>
    <row r="79" spans="1:6" ht="18.75" customHeight="1" x14ac:dyDescent="0.15">
      <c r="A79" s="121"/>
      <c r="B79" s="165"/>
      <c r="C79" s="166"/>
      <c r="D79" s="166"/>
      <c r="E79" s="166"/>
      <c r="F79" s="167"/>
    </row>
    <row r="80" spans="1:6" ht="18.75" customHeight="1" x14ac:dyDescent="0.15">
      <c r="A80" s="121"/>
      <c r="B80" s="165"/>
      <c r="C80" s="166"/>
      <c r="D80" s="166"/>
      <c r="E80" s="166"/>
      <c r="F80" s="167"/>
    </row>
    <row r="81" spans="1:6" ht="18.75" customHeight="1" x14ac:dyDescent="0.15">
      <c r="A81" s="121"/>
      <c r="B81" s="165"/>
      <c r="C81" s="166"/>
      <c r="D81" s="166"/>
      <c r="E81" s="166"/>
      <c r="F81" s="167"/>
    </row>
    <row r="82" spans="1:6" ht="18.75" customHeight="1" x14ac:dyDescent="0.15">
      <c r="A82" s="121"/>
      <c r="B82" s="165"/>
      <c r="C82" s="166"/>
      <c r="D82" s="166"/>
      <c r="E82" s="166"/>
      <c r="F82" s="167"/>
    </row>
    <row r="83" spans="1:6" ht="18.75" customHeight="1" x14ac:dyDescent="0.15">
      <c r="A83" s="121"/>
      <c r="B83" s="165"/>
      <c r="C83" s="166"/>
      <c r="D83" s="166"/>
      <c r="E83" s="166"/>
      <c r="F83" s="167"/>
    </row>
    <row r="84" spans="1:6" ht="18.75" customHeight="1" x14ac:dyDescent="0.15">
      <c r="A84" s="121"/>
      <c r="B84" s="165"/>
      <c r="C84" s="166"/>
      <c r="D84" s="166"/>
      <c r="E84" s="166"/>
      <c r="F84" s="167"/>
    </row>
    <row r="85" spans="1:6" ht="18.75" customHeight="1" x14ac:dyDescent="0.15">
      <c r="A85" s="121"/>
      <c r="B85" s="165"/>
      <c r="C85" s="166"/>
      <c r="D85" s="166"/>
      <c r="E85" s="166"/>
      <c r="F85" s="167"/>
    </row>
    <row r="86" spans="1:6" ht="18.75" customHeight="1" x14ac:dyDescent="0.15">
      <c r="A86" s="121"/>
      <c r="B86" s="165"/>
      <c r="C86" s="166"/>
      <c r="D86" s="166"/>
      <c r="E86" s="166"/>
      <c r="F86" s="167"/>
    </row>
    <row r="87" spans="1:6" ht="18.75" customHeight="1" x14ac:dyDescent="0.15">
      <c r="A87" s="121"/>
      <c r="B87" s="168"/>
      <c r="C87" s="169"/>
      <c r="D87" s="169"/>
      <c r="E87" s="169"/>
      <c r="F87" s="170"/>
    </row>
    <row r="88" spans="1:6" s="13" customFormat="1" ht="18.75" customHeight="1" x14ac:dyDescent="0.15">
      <c r="A88" s="5" t="s">
        <v>12</v>
      </c>
      <c r="B88" s="5" t="s">
        <v>92</v>
      </c>
      <c r="C88" s="5"/>
      <c r="D88" s="5"/>
      <c r="E88" s="5"/>
      <c r="F88" s="5"/>
    </row>
    <row r="89" spans="1:6" ht="18.75" customHeight="1" x14ac:dyDescent="0.15">
      <c r="A89" s="121"/>
      <c r="B89" s="162" t="s">
        <v>183</v>
      </c>
      <c r="C89" s="163"/>
      <c r="D89" s="163"/>
      <c r="E89" s="163"/>
      <c r="F89" s="164"/>
    </row>
    <row r="90" spans="1:6" ht="18.75" customHeight="1" x14ac:dyDescent="0.15">
      <c r="A90" s="121"/>
      <c r="B90" s="165"/>
      <c r="C90" s="166"/>
      <c r="D90" s="166"/>
      <c r="E90" s="166"/>
      <c r="F90" s="167"/>
    </row>
    <row r="91" spans="1:6" ht="18.75" customHeight="1" x14ac:dyDescent="0.15">
      <c r="A91" s="121"/>
      <c r="B91" s="165"/>
      <c r="C91" s="166"/>
      <c r="D91" s="166"/>
      <c r="E91" s="166"/>
      <c r="F91" s="167"/>
    </row>
    <row r="92" spans="1:6" ht="18.75" customHeight="1" x14ac:dyDescent="0.15">
      <c r="A92" s="121"/>
      <c r="B92" s="165"/>
      <c r="C92" s="166"/>
      <c r="D92" s="166"/>
      <c r="E92" s="166"/>
      <c r="F92" s="167"/>
    </row>
    <row r="93" spans="1:6" ht="18.75" customHeight="1" x14ac:dyDescent="0.15">
      <c r="A93" s="121"/>
      <c r="B93" s="165"/>
      <c r="C93" s="166"/>
      <c r="D93" s="166"/>
      <c r="E93" s="166"/>
      <c r="F93" s="167"/>
    </row>
    <row r="94" spans="1:6" ht="18.75" customHeight="1" x14ac:dyDescent="0.15">
      <c r="A94" s="121"/>
      <c r="B94" s="165"/>
      <c r="C94" s="166"/>
      <c r="D94" s="166"/>
      <c r="E94" s="166"/>
      <c r="F94" s="167"/>
    </row>
    <row r="95" spans="1:6" ht="18.75" customHeight="1" x14ac:dyDescent="0.15">
      <c r="A95" s="121"/>
      <c r="B95" s="165"/>
      <c r="C95" s="166"/>
      <c r="D95" s="166"/>
      <c r="E95" s="166"/>
      <c r="F95" s="167"/>
    </row>
    <row r="96" spans="1:6" ht="18.75" customHeight="1" x14ac:dyDescent="0.15">
      <c r="A96" s="121"/>
      <c r="B96" s="165"/>
      <c r="C96" s="166"/>
      <c r="D96" s="166"/>
      <c r="E96" s="166"/>
      <c r="F96" s="167"/>
    </row>
    <row r="97" spans="1:6" ht="18.75" customHeight="1" x14ac:dyDescent="0.15">
      <c r="A97" s="121"/>
      <c r="B97" s="165"/>
      <c r="C97" s="166"/>
      <c r="D97" s="166"/>
      <c r="E97" s="166"/>
      <c r="F97" s="167"/>
    </row>
    <row r="98" spans="1:6" ht="18.75" customHeight="1" x14ac:dyDescent="0.15">
      <c r="A98" s="121"/>
      <c r="B98" s="165"/>
      <c r="C98" s="166"/>
      <c r="D98" s="166"/>
      <c r="E98" s="166"/>
      <c r="F98" s="167"/>
    </row>
    <row r="99" spans="1:6" ht="18.75" customHeight="1" x14ac:dyDescent="0.15">
      <c r="A99" s="121"/>
      <c r="B99" s="165"/>
      <c r="C99" s="166"/>
      <c r="D99" s="166"/>
      <c r="E99" s="166"/>
      <c r="F99" s="167"/>
    </row>
    <row r="100" spans="1:6" ht="18.75" customHeight="1" x14ac:dyDescent="0.15">
      <c r="A100" s="121"/>
      <c r="B100" s="165"/>
      <c r="C100" s="166"/>
      <c r="D100" s="166"/>
      <c r="E100" s="166"/>
      <c r="F100" s="167"/>
    </row>
    <row r="101" spans="1:6" ht="18.75" customHeight="1" x14ac:dyDescent="0.15">
      <c r="A101" s="121"/>
      <c r="B101" s="165"/>
      <c r="C101" s="166"/>
      <c r="D101" s="166"/>
      <c r="E101" s="166"/>
      <c r="F101" s="167"/>
    </row>
    <row r="102" spans="1:6" ht="18.75" customHeight="1" x14ac:dyDescent="0.15">
      <c r="A102" s="121"/>
      <c r="B102" s="165"/>
      <c r="C102" s="166"/>
      <c r="D102" s="166"/>
      <c r="E102" s="166"/>
      <c r="F102" s="167"/>
    </row>
    <row r="103" spans="1:6" ht="18.75" customHeight="1" x14ac:dyDescent="0.15">
      <c r="A103" s="121"/>
      <c r="B103" s="165"/>
      <c r="C103" s="166"/>
      <c r="D103" s="166"/>
      <c r="E103" s="166"/>
      <c r="F103" s="167"/>
    </row>
    <row r="104" spans="1:6" ht="18.75" customHeight="1" x14ac:dyDescent="0.15">
      <c r="A104" s="121"/>
      <c r="B104" s="165"/>
      <c r="C104" s="166"/>
      <c r="D104" s="166"/>
      <c r="E104" s="166"/>
      <c r="F104" s="167"/>
    </row>
    <row r="105" spans="1:6" ht="18.75" customHeight="1" x14ac:dyDescent="0.15">
      <c r="A105" s="121"/>
      <c r="B105" s="165"/>
      <c r="C105" s="166"/>
      <c r="D105" s="166"/>
      <c r="E105" s="166"/>
      <c r="F105" s="167"/>
    </row>
    <row r="106" spans="1:6" ht="18.75" customHeight="1" x14ac:dyDescent="0.15">
      <c r="A106" s="121"/>
      <c r="B106" s="165"/>
      <c r="C106" s="166"/>
      <c r="D106" s="166"/>
      <c r="E106" s="166"/>
      <c r="F106" s="167"/>
    </row>
    <row r="107" spans="1:6" ht="18.75" customHeight="1" x14ac:dyDescent="0.15">
      <c r="A107" s="121"/>
      <c r="B107" s="165"/>
      <c r="C107" s="166"/>
      <c r="D107" s="166"/>
      <c r="E107" s="166"/>
      <c r="F107" s="167"/>
    </row>
    <row r="108" spans="1:6" ht="18.75" customHeight="1" x14ac:dyDescent="0.15">
      <c r="A108" s="121"/>
      <c r="B108" s="165"/>
      <c r="C108" s="166"/>
      <c r="D108" s="166"/>
      <c r="E108" s="166"/>
      <c r="F108" s="167"/>
    </row>
    <row r="109" spans="1:6" ht="18.75" customHeight="1" x14ac:dyDescent="0.15">
      <c r="A109" s="121"/>
      <c r="B109" s="165"/>
      <c r="C109" s="166"/>
      <c r="D109" s="166"/>
      <c r="E109" s="166"/>
      <c r="F109" s="167"/>
    </row>
    <row r="110" spans="1:6" ht="18.75" customHeight="1" x14ac:dyDescent="0.15">
      <c r="A110" s="121"/>
      <c r="B110" s="165"/>
      <c r="C110" s="166"/>
      <c r="D110" s="166"/>
      <c r="E110" s="166"/>
      <c r="F110" s="167"/>
    </row>
    <row r="111" spans="1:6" ht="18.75" customHeight="1" x14ac:dyDescent="0.15">
      <c r="A111" s="121"/>
      <c r="B111" s="165"/>
      <c r="C111" s="166"/>
      <c r="D111" s="166"/>
      <c r="E111" s="166"/>
      <c r="F111" s="167"/>
    </row>
    <row r="112" spans="1:6" ht="18.75" customHeight="1" x14ac:dyDescent="0.15">
      <c r="A112" s="121"/>
      <c r="B112" s="165"/>
      <c r="C112" s="166"/>
      <c r="D112" s="166"/>
      <c r="E112" s="166"/>
      <c r="F112" s="167"/>
    </row>
    <row r="113" spans="1:6" ht="18.75" customHeight="1" x14ac:dyDescent="0.15">
      <c r="A113" s="121"/>
      <c r="B113" s="165"/>
      <c r="C113" s="166"/>
      <c r="D113" s="166"/>
      <c r="E113" s="166"/>
      <c r="F113" s="167"/>
    </row>
    <row r="114" spans="1:6" ht="18.75" customHeight="1" x14ac:dyDescent="0.15">
      <c r="A114" s="121"/>
      <c r="B114" s="165"/>
      <c r="C114" s="166"/>
      <c r="D114" s="166"/>
      <c r="E114" s="166"/>
      <c r="F114" s="167"/>
    </row>
    <row r="115" spans="1:6" ht="18.75" customHeight="1" x14ac:dyDescent="0.15">
      <c r="A115" s="121"/>
      <c r="B115" s="165"/>
      <c r="C115" s="166"/>
      <c r="D115" s="166"/>
      <c r="E115" s="166"/>
      <c r="F115" s="167"/>
    </row>
    <row r="116" spans="1:6" ht="18.75" customHeight="1" x14ac:dyDescent="0.15">
      <c r="A116" s="121"/>
      <c r="B116" s="165"/>
      <c r="C116" s="166"/>
      <c r="D116" s="166"/>
      <c r="E116" s="166"/>
      <c r="F116" s="167"/>
    </row>
    <row r="117" spans="1:6" ht="18.75" customHeight="1" x14ac:dyDescent="0.15">
      <c r="A117" s="121"/>
      <c r="B117" s="165"/>
      <c r="C117" s="166"/>
      <c r="D117" s="166"/>
      <c r="E117" s="166"/>
      <c r="F117" s="167"/>
    </row>
    <row r="118" spans="1:6" ht="18.75" customHeight="1" x14ac:dyDescent="0.15">
      <c r="A118" s="121"/>
      <c r="B118" s="165"/>
      <c r="C118" s="166"/>
      <c r="D118" s="166"/>
      <c r="E118" s="166"/>
      <c r="F118" s="167"/>
    </row>
    <row r="119" spans="1:6" ht="18.75" customHeight="1" x14ac:dyDescent="0.15">
      <c r="A119" s="121"/>
      <c r="B119" s="165"/>
      <c r="C119" s="166"/>
      <c r="D119" s="166"/>
      <c r="E119" s="166"/>
      <c r="F119" s="167"/>
    </row>
    <row r="120" spans="1:6" ht="18.75" customHeight="1" x14ac:dyDescent="0.15">
      <c r="A120" s="121"/>
      <c r="B120" s="165"/>
      <c r="C120" s="166"/>
      <c r="D120" s="166"/>
      <c r="E120" s="166"/>
      <c r="F120" s="167"/>
    </row>
    <row r="121" spans="1:6" ht="18.75" customHeight="1" x14ac:dyDescent="0.15">
      <c r="A121" s="121"/>
      <c r="B121" s="165"/>
      <c r="C121" s="166"/>
      <c r="D121" s="166"/>
      <c r="E121" s="166"/>
      <c r="F121" s="167"/>
    </row>
    <row r="122" spans="1:6" ht="18.75" customHeight="1" x14ac:dyDescent="0.15">
      <c r="A122" s="121"/>
      <c r="B122" s="165"/>
      <c r="C122" s="166"/>
      <c r="D122" s="166"/>
      <c r="E122" s="166"/>
      <c r="F122" s="167"/>
    </row>
    <row r="123" spans="1:6" ht="18.75" customHeight="1" x14ac:dyDescent="0.15">
      <c r="A123" s="121"/>
      <c r="B123" s="165"/>
      <c r="C123" s="166"/>
      <c r="D123" s="166"/>
      <c r="E123" s="166"/>
      <c r="F123" s="167"/>
    </row>
    <row r="124" spans="1:6" ht="18.75" customHeight="1" x14ac:dyDescent="0.15">
      <c r="A124" s="121"/>
      <c r="B124" s="165"/>
      <c r="C124" s="166"/>
      <c r="D124" s="166"/>
      <c r="E124" s="166"/>
      <c r="F124" s="167"/>
    </row>
    <row r="125" spans="1:6" ht="18.75" customHeight="1" x14ac:dyDescent="0.15">
      <c r="A125" s="121"/>
      <c r="B125" s="165"/>
      <c r="C125" s="166"/>
      <c r="D125" s="166"/>
      <c r="E125" s="166"/>
      <c r="F125" s="167"/>
    </row>
    <row r="126" spans="1:6" ht="18.75" customHeight="1" x14ac:dyDescent="0.15">
      <c r="A126" s="121"/>
      <c r="B126" s="165"/>
      <c r="C126" s="166"/>
      <c r="D126" s="166"/>
      <c r="E126" s="166"/>
      <c r="F126" s="167"/>
    </row>
    <row r="127" spans="1:6" ht="18.75" customHeight="1" x14ac:dyDescent="0.15">
      <c r="A127" s="121"/>
      <c r="B127" s="165"/>
      <c r="C127" s="166"/>
      <c r="D127" s="166"/>
      <c r="E127" s="166"/>
      <c r="F127" s="167"/>
    </row>
    <row r="128" spans="1:6" ht="18.75" customHeight="1" x14ac:dyDescent="0.15">
      <c r="A128" s="121"/>
      <c r="B128" s="165"/>
      <c r="C128" s="166"/>
      <c r="D128" s="166"/>
      <c r="E128" s="166"/>
      <c r="F128" s="167"/>
    </row>
    <row r="129" spans="1:6" ht="18.75" customHeight="1" x14ac:dyDescent="0.15">
      <c r="A129" s="121"/>
      <c r="B129" s="165"/>
      <c r="C129" s="166"/>
      <c r="D129" s="166"/>
      <c r="E129" s="166"/>
      <c r="F129" s="167"/>
    </row>
    <row r="130" spans="1:6" ht="18.75" customHeight="1" x14ac:dyDescent="0.15">
      <c r="A130" s="121"/>
      <c r="B130" s="168"/>
      <c r="C130" s="169"/>
      <c r="D130" s="169"/>
      <c r="E130" s="169"/>
      <c r="F130" s="170"/>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様式１_大学等概要</vt:lpstr>
      <vt:lpstr>様式２_プログラムを構成する授業科目</vt:lpstr>
      <vt:lpstr>様式３_履修者等数の実績</vt:lpstr>
      <vt:lpstr>様式4_プログラムの授業内容・概要</vt:lpstr>
      <vt:lpstr>様式５_教育の質・履修者数を向上させるための体制・計画</vt:lpstr>
      <vt:lpstr>様式６_自己点検・評価</vt:lpstr>
      <vt:lpstr>様式７_特色ある取組</vt:lpstr>
      <vt:lpstr>様式１_大学等概要!Print_Area</vt:lpstr>
      <vt:lpstr>様式２_プログラムを構成する授業科目!Print_Area</vt:lpstr>
      <vt:lpstr>様式３_履修者等数の実績!Print_Area</vt:lpstr>
      <vt:lpstr>様式4_プログラムの授業内容・概要!Print_Area</vt:lpstr>
      <vt:lpstr>様式５_教育の質・履修者数を向上させるための体制・計画!Print_Area</vt:lpstr>
      <vt:lpstr>様式６_自己点検・評価!Print_Area</vt:lpstr>
      <vt:lpstr>様式７_特色ある取組!Print_Area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本多俊一</cp:lastModifiedBy>
  <cp:lastPrinted>2021-07-15T14:48:29Z</cp:lastPrinted>
  <dcterms:created xsi:type="dcterms:W3CDTF">2011-06-14T05:32:50Z</dcterms:created>
  <dcterms:modified xsi:type="dcterms:W3CDTF">2021-07-15T14:52:31Z</dcterms:modified>
</cp:coreProperties>
</file>