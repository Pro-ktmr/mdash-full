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defaultThemeVersion="124226"/>
  <mc:AlternateContent xmlns:mc="http://schemas.openxmlformats.org/markup-compatibility/2006">
    <mc:Choice Requires="x15">
      <x15ac:absPath xmlns:x15ac="http://schemas.microsoft.com/office/spreadsheetml/2010/11/ac" url="D:\Users\inouet\Desktop\【成城大学】数理・データサイエンス・AI教育プログラム認定制度申請確認事項\"/>
    </mc:Choice>
  </mc:AlternateContent>
  <xr:revisionPtr revIDLastSave="0" documentId="13_ncr:1_{159D9509-170F-4267-89E1-6D75B9DE0DD2}" xr6:coauthVersionLast="45" xr6:coauthVersionMax="45" xr10:uidLastSave="{00000000-0000-0000-0000-000000000000}"/>
  <bookViews>
    <workbookView xWindow="-120" yWindow="-120" windowWidth="20730" windowHeight="11160" tabRatio="885" firstSheet="2" activeTab="5" xr2:uid="{00000000-000D-0000-FFFF-FFFF00000000}"/>
  </bookViews>
  <sheets>
    <sheet name="様式１　大学等概要" sheetId="8" r:id="rId1"/>
    <sheet name="様式２　プログラムを構成する授業科目" sheetId="9" r:id="rId2"/>
    <sheet name="様式３　履修者等数の実績" sheetId="37" r:id="rId3"/>
    <sheet name="様式4　プログラムの授業内容・概要" sheetId="34" r:id="rId4"/>
    <sheet name="様式５　教育の質・履修者数を向上させるための体制・計画" sheetId="35" r:id="rId5"/>
    <sheet name="様式６　自己点検・評価" sheetId="36"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4">'様式５　教育の質・履修者数を向上させるための体制・計画'!$A$1:$E$134</definedName>
    <definedName name="_xlnm.Print_Area" localSheetId="5">'様式６　自己点検・評価'!$A$1:$J$20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8" i="37" l="1"/>
  <c r="R8" i="37" s="1"/>
  <c r="Q9" i="37"/>
  <c r="R9" i="37"/>
  <c r="Q10" i="37"/>
  <c r="R10" i="37" s="1"/>
  <c r="Q11" i="37"/>
  <c r="R11" i="37"/>
  <c r="Q12" i="37"/>
  <c r="R12" i="37" s="1"/>
  <c r="Q13" i="37"/>
  <c r="R13" i="37"/>
  <c r="Q14" i="37"/>
  <c r="R14" i="37" s="1"/>
  <c r="Q15" i="37"/>
  <c r="R15" i="37"/>
  <c r="Q16" i="37"/>
  <c r="R16" i="37" s="1"/>
  <c r="Q17" i="37"/>
  <c r="R17" i="37"/>
  <c r="Q18" i="37"/>
  <c r="R18" i="37" s="1"/>
  <c r="Q19" i="37"/>
  <c r="R19" i="37"/>
  <c r="Q20" i="37"/>
  <c r="R20" i="37" s="1"/>
  <c r="Q21" i="37"/>
  <c r="R21" i="37"/>
  <c r="Q22" i="37"/>
  <c r="R22" i="37" s="1"/>
  <c r="Q23" i="37"/>
  <c r="R23" i="37"/>
  <c r="Q24" i="37"/>
  <c r="R24" i="37" s="1"/>
  <c r="Q25" i="37"/>
  <c r="R25" i="37"/>
  <c r="Q26" i="37"/>
  <c r="R26" i="37" s="1"/>
  <c r="Q27" i="37"/>
  <c r="R27" i="37"/>
  <c r="D28" i="37"/>
  <c r="E28" i="37"/>
  <c r="F28" i="37"/>
  <c r="G28" i="37"/>
  <c r="H28" i="37"/>
  <c r="I28" i="37"/>
  <c r="J28" i="37"/>
  <c r="K28" i="37"/>
  <c r="L28" i="37"/>
  <c r="M28" i="37"/>
  <c r="N28" i="37"/>
  <c r="O28" i="37"/>
  <c r="P28" i="37"/>
  <c r="Q28" i="37" l="1"/>
  <c r="R28" i="37" s="1"/>
  <c r="I26" i="8" l="1"/>
  <c r="C26" i="8"/>
  <c r="I24" i="8"/>
  <c r="C24" i="8"/>
  <c r="J22" i="8"/>
</calcChain>
</file>

<file path=xl/sharedStrings.xml><?xml version="1.0" encoding="utf-8"?>
<sst xmlns="http://schemas.openxmlformats.org/spreadsheetml/2006/main" count="292" uniqueCount="213">
  <si>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</si>
  <si>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</si>
  <si>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</si>
  <si>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</si>
  <si>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</si>
  <si>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</si>
  <si>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</si>
  <si>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</si>
  <si>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</si>
  <si>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</si>
  <si>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</si>
  <si>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</si>
  <si>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</si>
  <si>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</si>
  <si>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</si>
  <si>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</si>
  <si>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</si>
  <si>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</si>
  <si>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</si>
  <si>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</si>
  <si>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</si>
  <si>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</si>
  <si>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</si>
  <si>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</si>
  <si>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</si>
  <si>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</si>
  <si>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</si>
  <si>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</si>
  <si>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</si>
  <si>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</si>
  <si>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</si>
  <si>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</si>
  <si>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</si>
  <si>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</si>
  <si>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</si>
  <si>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</si>
  <si>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</si>
  <si>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</si>
  <si>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</si>
  <si>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</si>
  <si>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</si>
  <si>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</si>
  <si>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</si>
  <si>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</si>
  <si>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</si>
  <si>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</si>
  <si>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</si>
  <si>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</si>
  <si>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</si>
  <si>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</si>
  <si>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</si>
  <si>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</si>
  <si>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</si>
  <si>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</si>
  <si>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</si>
  <si>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</si>
  <si>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</si>
  <si>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</si>
  <si>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</si>
  <si>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</si>
  <si>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</si>
  <si>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</si>
  <si>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</si>
  <si>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</si>
  <si>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</si>
  <si>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</si>
  <si>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</si>
  <si>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</si>
  <si>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</si>
  <si>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</si>
  <si>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</si>
  <si>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</si>
  <si>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</si>
  <si>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</si>
  <si>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</si>
  <si>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</si>
  <si>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</si>
  <si>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</si>
  <si>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</si>
  <si>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</si>
  <si>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</si>
  <si>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</si>
  <si>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</si>
  <si>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</si>
  <si>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</si>
  <si>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</si>
  <si>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</si>
  <si>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</si>
  <si>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</si>
  <si>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</si>
  <si>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</si>
  <si>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</si>
  <si>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</si>
  <si>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</si>
  <si>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</si>
  <si>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</si>
  <si>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</si>
  <si>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</si>
  <si>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</si>
  <si>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</si>
  <si>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</si>
  <si>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</si>
  <si>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</si>
  <si>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</si>
  <si>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</si>
  <si>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</si>
  <si>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</si>
  <si>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</si>
  <si>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</si>
  <si>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</si>
  <si>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</si>
  <si>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</si>
  <si>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</si>
  <si>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</si>
  <si>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</si>
  <si>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</si>
  <si>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</si>
  <si>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</si>
  <si>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</si>
  <si>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</si>
  <si>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</si>
  <si>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</si>
  <si>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</si>
  <si>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</si>
  <si>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</si>
  <si>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</si>
  <si>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</si>
  <si>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</si>
  <si>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</si>
  <si>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</si>
  <si>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</si>
  <si>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成城大学</t>
    <phoneticPr fontId="1"/>
  </si>
  <si>
    <t>私立大学</t>
  </si>
  <si>
    <t>東京都世田谷区成城６－１－２０</t>
    <phoneticPr fontId="1"/>
  </si>
  <si>
    <t>データサイエンス基礎力育成・認定プログラム</t>
    <phoneticPr fontId="1"/>
  </si>
  <si>
    <t>小宮路　雅博</t>
    <phoneticPr fontId="1"/>
  </si>
  <si>
    <t>データサイエンス教育研究センター長</t>
    <phoneticPr fontId="1"/>
  </si>
  <si>
    <t>データサイエンス教育研究センター委員会</t>
    <phoneticPr fontId="1"/>
  </si>
  <si>
    <t>03-3482-9421</t>
    <phoneticPr fontId="1"/>
  </si>
  <si>
    <t>ercds3-jimu_s@seijo.jp</t>
    <phoneticPr fontId="1"/>
  </si>
  <si>
    <t>成城大学</t>
    <phoneticPr fontId="1"/>
  </si>
  <si>
    <t>学部・学科によって、修了要件は相違しない</t>
  </si>
  <si>
    <t>データサイエンス概論</t>
    <phoneticPr fontId="1"/>
  </si>
  <si>
    <t>データサイエンス入門Ⅰ</t>
    <phoneticPr fontId="1"/>
  </si>
  <si>
    <t>データサイエンス入門Ⅱ</t>
    <phoneticPr fontId="1"/>
  </si>
  <si>
    <t>データサイエンス・スキルアップ・プログラム</t>
    <phoneticPr fontId="1"/>
  </si>
  <si>
    <t>成城大学</t>
    <phoneticPr fontId="1"/>
  </si>
  <si>
    <t>成城大学データサイエンス教育研究センター規則</t>
    <phoneticPr fontId="1"/>
  </si>
  <si>
    <t>成城大学データサイエンス教育研究センター自己点検・評価委員会</t>
    <phoneticPr fontId="1"/>
  </si>
  <si>
    <t>データサイエンス教育研究センター自己点検・評価委員会委員長</t>
    <rPh sb="26" eb="28">
      <t>イイン</t>
    </rPh>
    <phoneticPr fontId="1"/>
  </si>
  <si>
    <t>総務課長　中村　裕</t>
    <rPh sb="0" eb="3">
      <t>ソウムカ</t>
    </rPh>
    <rPh sb="3" eb="4">
      <t>チョウ</t>
    </rPh>
    <rPh sb="5" eb="7">
      <t>ナカムラ</t>
    </rPh>
    <rPh sb="8" eb="9">
      <t>ユタカ</t>
    </rPh>
    <phoneticPr fontId="1"/>
  </si>
  <si>
    <t>事務局総務課（データサイエンス教育研究センター）</t>
    <rPh sb="0" eb="3">
      <t>ジムキョク</t>
    </rPh>
    <rPh sb="3" eb="6">
      <t>ソウムカ</t>
    </rPh>
    <phoneticPr fontId="1"/>
  </si>
  <si>
    <t>https://www.seijo.ac.jp/education/support/cds3/</t>
    <phoneticPr fontId="1"/>
  </si>
  <si>
    <t>データサイエンス概論</t>
    <rPh sb="8" eb="10">
      <t>ガイロン</t>
    </rPh>
    <phoneticPr fontId="1"/>
  </si>
  <si>
    <t xml:space="preserve">データサイエンス・スキルアップ・プログラム	</t>
    <phoneticPr fontId="1"/>
  </si>
  <si>
    <t>AI ブームの再燃： IBM Watson の誕生（２）</t>
    <phoneticPr fontId="1"/>
  </si>
  <si>
    <t>社会やビジネスを大きく変える第３世代のコンピューティング（３）</t>
    <phoneticPr fontId="1"/>
  </si>
  <si>
    <t>本コース全体ガイドおよびデータサイエンスを取り巻く環境（１）</t>
    <phoneticPr fontId="1"/>
  </si>
  <si>
    <t>第３世代のコンピューティング Watson の応用 (マーケティング，金融，教育)（４）</t>
    <phoneticPr fontId="1"/>
  </si>
  <si>
    <t>第３世代のコンピューティング Watson の応用 (医療・ヘルスケア，エネルギー，セキュリティー)（５）</t>
    <phoneticPr fontId="1"/>
  </si>
  <si>
    <t>さらに拡がる Watson と AI の世界 (スポーツ，ファッション，映画，ゲーム，etc.)（６）</t>
    <phoneticPr fontId="1"/>
  </si>
  <si>
    <t>日々進化するサイバー・セキュリティーの世界（７）</t>
    <phoneticPr fontId="1"/>
  </si>
  <si>
    <t>コグニティブ時代のソーシャルとの向き合い方（８）</t>
    <phoneticPr fontId="1"/>
  </si>
  <si>
    <t>様式２</t>
    <rPh sb="0" eb="2">
      <t>ヨウシキ</t>
    </rPh>
    <phoneticPr fontId="1"/>
  </si>
  <si>
    <t>様式４</t>
    <rPh sb="0" eb="2">
      <t>ヨウシキ</t>
    </rPh>
    <phoneticPr fontId="1"/>
  </si>
  <si>
    <t>地域活性化に向けたビッグデータの利活用－RESAS 地域経済分析システム (10)</t>
    <phoneticPr fontId="1"/>
  </si>
  <si>
    <t>震災時におけるビッグデータの活用－レジリエントな都市を目指して (９)</t>
    <phoneticPr fontId="1"/>
  </si>
  <si>
    <t>データについての基礎、図表やグラフによるデータの可視化(２)</t>
    <phoneticPr fontId="1"/>
  </si>
  <si>
    <t>時系列データの分析(３)　</t>
    <phoneticPr fontId="1"/>
  </si>
  <si>
    <t>データサイエンス入門Ⅰ、データサイエンス入門Ⅱ</t>
    <rPh sb="8" eb="11">
      <t>ニュウモンイチ</t>
    </rPh>
    <rPh sb="20" eb="22">
      <t>ニュウモン</t>
    </rPh>
    <phoneticPr fontId="1"/>
  </si>
  <si>
    <t>データサイエンス概論、データサイエンス入門Ⅰ、データサイエンス入門Ⅱ</t>
    <rPh sb="8" eb="10">
      <t>ガイロン</t>
    </rPh>
    <phoneticPr fontId="1"/>
  </si>
  <si>
    <t>データサイエンス概論、データサイエンス入門Ⅰ、データサイエンス入門Ⅱ</t>
    <phoneticPr fontId="1"/>
  </si>
  <si>
    <t>データサイエンス概論、データサイエンス・スキルアップ・プログラム</t>
    <rPh sb="8" eb="10">
      <t>ガイロン</t>
    </rPh>
    <phoneticPr fontId="1"/>
  </si>
  <si>
    <t>データサイエンス概論、データサイエンス・スキルアップ・プログラム</t>
    <phoneticPr fontId="1"/>
  </si>
  <si>
    <t>データサイエンス入門Ⅰ、データサイエンス入門Ⅱ、データサイエンス・スキルアップ・プログラム</t>
    <phoneticPr fontId="1"/>
  </si>
  <si>
    <t>データサイエンス入門Ⅱ、データサイエンス・スキルアップ・プログラム</t>
    <rPh sb="8" eb="11">
      <t>ニュウモンニ</t>
    </rPh>
    <phoneticPr fontId="1"/>
  </si>
  <si>
    <t>社会に浸透するロボットの利活用 (12)</t>
    <phoneticPr fontId="1"/>
  </si>
  <si>
    <t>医療技術支援のためのビッグデータの活用 (11)</t>
    <phoneticPr fontId="1"/>
  </si>
  <si>
    <t>オープンデータの利活用(12)</t>
    <phoneticPr fontId="1"/>
  </si>
  <si>
    <t>データのクレンジングと加工(13)　</t>
    <phoneticPr fontId="1"/>
  </si>
  <si>
    <t>-</t>
    <phoneticPr fontId="1"/>
  </si>
  <si>
    <t xml:space="preserve">	Python によるプログラミング体験（13）</t>
    <phoneticPr fontId="1"/>
  </si>
  <si>
    <t>ビッグデータ時代の新しいクラウド (実際に登録してみよう)（14）</t>
    <phoneticPr fontId="1"/>
  </si>
  <si>
    <t>新しいクラウドによるアプリケーション作成体験 Cloud Hands-On（15）</t>
    <phoneticPr fontId="1"/>
  </si>
  <si>
    <t>「データサイエンス入門Ⅰ」はデータサイエンスの入門講義であり、データサイエンスに関わる基礎的な知識を得るもので、本プログラム全体の基礎をなす講義です。データに関する基礎知識と共に、データの所在・発生源、データ取得、データの活用領域などを学びます。
実際のビジネスの現場において，データを活用した変革が急務となった今，データサイエンスやそれに準じるスキルを有する人材の重要性が高まっています。かつては，データの取得には多くの時間とコストがかかることを覚悟しなければならず，その効率を考えると取得データの種類や容量を必要最小限度に留めることが必要でした。最近ではデジタル機器の低価格化とコンピュータ・ネットワークの進化が複合することで，ビッグデータを短時間で容易に取得することが可能となっています。本授業では，こうして取得したデータの有効活用を目的として，それらのデータが示す傾向や性質を知る記述統計の基盤となる考え方やその技法を理解するとともに，実際に記述統計分析を体験することを目標とします。
「データサイエンス概論」の授業概要は上述の通りです。</t>
    <rPh sb="456" eb="458">
      <t>ガイロン</t>
    </rPh>
    <rPh sb="460" eb="464">
      <t>ジュギョウガイヨウ</t>
    </rPh>
    <rPh sb="465" eb="467">
      <t>ジョウジュツ</t>
    </rPh>
    <rPh sb="468" eb="469">
      <t>トオ</t>
    </rPh>
    <phoneticPr fontId="1"/>
  </si>
  <si>
    <t>補足：本学はプログラム修了条件を４科目と厳しくしているため、履修者数と比べると修了者数が少ない状況である。なお、過年度を含めた単位修得率は87％であり、入門科目の人気は極めて高い。</t>
    <phoneticPr fontId="1"/>
  </si>
  <si>
    <t>先述の「授業改善アンケート」は大学ホームページに掲載されており、全学生が確認することが出来る。
講義内でも担当教員がアンケート内容をアナウンスすることにより、講義受講の推奨に活用している。
他にも、学部デーを利用して、学生有志（学友会厚生部）によるデータサイエンス授業を語る場があり、先輩から後輩へと大切なことが受け継がれている。
また、ディプロマ修了者が大学案内等の各種パンフレットにロールモデルとして登場して、データサイエンス科目群について率直な感想を述べていることも、在学生の講義受講に繋がっている。</t>
    <rPh sb="0" eb="2">
      <t>センジュツ</t>
    </rPh>
    <phoneticPr fontId="1"/>
  </si>
  <si>
    <t>認定教育プログラム</t>
  </si>
  <si>
    <t>「データサイエンス概論」はデータサイエンスへの興味を促す導入講義であり、ビッグデータの分析技術や実際の適用事例を先に学びます。ビッグデータには、数値データだけでなく、テキストや映像、写真、音声といった、従来はデータ分析の対象になっていなかったものも含まれます。IBM WatsonなどのAIを使ってアプリケーションの作成も体験します。データサイエンスを学ぶモチベーションが沸く授業です。
ビッグデータがその存在感を強め始めてから数年が経ちます。ソーシャル・ネットワークやスマートフォンの急激な普及によって，一般消費者が情報システムに気軽にアクセスし，生活の一部として大量のデータを利用・生成するようになりました。こうしたデータには人の言葉で書かれた「テキスト」の他，画像，映像，音声といった，従来集計の対象になっていなかったものが大量に含まれています。そして人々は，そのビッグデータからいかに多くの価値ある知見が得られるかということに興味を持ち始めました。また，コンピューターが思考しているように見え，人と自然に対話するシーンは，これまで多くの映画や小説の中に登場してきましたが，それらは今ビッグデータを活用しながら次第に現実のものとなってきています。本データサイエンス概論では，ビッグデータに関する様々な技術や適用事例をトピック毎に紹介して理解するとともに，実際にアプリケーションの作成を体験することを目標とします。</t>
    <phoneticPr fontId="1"/>
  </si>
  <si>
    <t xml:space="preserve">本プログラムは、データサイエンスの視点を持った文系人材を育成することを目的とし、プログラムの学修成果として、受講学生たちはデータドリブンな思考（データを起点とした論理的・科学的な思考）を身につけることができる。
具体的には、①ビッグデータ等の多種多様な情報を効果的に活用するための知識と技能を習得することができる。②代表的な統計学の解析手法や、数値化されていないデータを加工する手法等、データサイエンスを支える統計について、実践的な知識を習得することができる。③卒業後どのような分野に進んでも活かせるデータ分析力を身につけることができる。④問題を発見し、データサイエンスを通じて解決する能力を高めることができる。
</t>
    <rPh sb="0" eb="1">
      <t>ホン</t>
    </rPh>
    <rPh sb="17" eb="19">
      <t>シテン</t>
    </rPh>
    <rPh sb="20" eb="21">
      <t>モ</t>
    </rPh>
    <rPh sb="23" eb="27">
      <t>ブンケイジンザイ</t>
    </rPh>
    <rPh sb="28" eb="30">
      <t>イクセイ</t>
    </rPh>
    <rPh sb="35" eb="37">
      <t>モクテキ</t>
    </rPh>
    <rPh sb="54" eb="56">
      <t>ジュコウ</t>
    </rPh>
    <rPh sb="56" eb="58">
      <t>ガクセイ</t>
    </rPh>
    <rPh sb="69" eb="71">
      <t>シコウ</t>
    </rPh>
    <rPh sb="76" eb="78">
      <t>キテン</t>
    </rPh>
    <rPh sb="81" eb="84">
      <t>ロンリテキ</t>
    </rPh>
    <rPh sb="85" eb="88">
      <t>カガクテキ</t>
    </rPh>
    <rPh sb="89" eb="91">
      <t>シコウ</t>
    </rPh>
    <rPh sb="93" eb="94">
      <t>ミ</t>
    </rPh>
    <rPh sb="106" eb="109">
      <t>グタイテキ</t>
    </rPh>
    <rPh sb="119" eb="120">
      <t>ナド</t>
    </rPh>
    <rPh sb="121" eb="125">
      <t>タシュタヨウ</t>
    </rPh>
    <rPh sb="126" eb="128">
      <t>ジョウホウ</t>
    </rPh>
    <rPh sb="129" eb="132">
      <t>コウカテキ</t>
    </rPh>
    <rPh sb="133" eb="135">
      <t>カツヨウ</t>
    </rPh>
    <rPh sb="140" eb="142">
      <t>チシキ</t>
    </rPh>
    <rPh sb="143" eb="145">
      <t>ギノウ</t>
    </rPh>
    <rPh sb="146" eb="148">
      <t>シュウトク</t>
    </rPh>
    <rPh sb="158" eb="161">
      <t>ダイヒョウテキ</t>
    </rPh>
    <rPh sb="162" eb="165">
      <t>トウケイガク</t>
    </rPh>
    <rPh sb="166" eb="170">
      <t>カイセキシュホウ</t>
    </rPh>
    <rPh sb="172" eb="175">
      <t>スウチカ</t>
    </rPh>
    <rPh sb="185" eb="187">
      <t>カコウ</t>
    </rPh>
    <rPh sb="189" eb="191">
      <t>シュホウ</t>
    </rPh>
    <rPh sb="191" eb="192">
      <t>ナド</t>
    </rPh>
    <rPh sb="202" eb="203">
      <t>ササ</t>
    </rPh>
    <rPh sb="205" eb="207">
      <t>トウケイ</t>
    </rPh>
    <rPh sb="212" eb="215">
      <t>ジッセンテキ</t>
    </rPh>
    <rPh sb="216" eb="218">
      <t>チシキ</t>
    </rPh>
    <rPh sb="219" eb="221">
      <t>シュウトク</t>
    </rPh>
    <rPh sb="231" eb="233">
      <t>ソツギョウ</t>
    </rPh>
    <rPh sb="233" eb="234">
      <t>ゴ</t>
    </rPh>
    <rPh sb="239" eb="241">
      <t>ブンヤ</t>
    </rPh>
    <rPh sb="242" eb="243">
      <t>スス</t>
    </rPh>
    <rPh sb="246" eb="247">
      <t>イ</t>
    </rPh>
    <rPh sb="253" eb="256">
      <t>ブンセキチカラ</t>
    </rPh>
    <rPh sb="257" eb="258">
      <t>ミ</t>
    </rPh>
    <rPh sb="270" eb="272">
      <t>モンダイ</t>
    </rPh>
    <rPh sb="273" eb="275">
      <t>ハッケン</t>
    </rPh>
    <rPh sb="286" eb="287">
      <t>ツウ</t>
    </rPh>
    <rPh sb="289" eb="291">
      <t>カイケツ</t>
    </rPh>
    <rPh sb="293" eb="295">
      <t>ノウリョク</t>
    </rPh>
    <rPh sb="296" eb="297">
      <t>タカ</t>
    </rPh>
    <phoneticPr fontId="1"/>
  </si>
  <si>
    <t>データサイエンス教育研究センター内に、「データサイエンス教育研究センター委員会」を設置し、次の委員をもって構成・運営にあたる。
（１）データサイエンス教育研究センター長（経済学部教授）
（２）センター員（特別任用教授１名）
（３）経済学部長が推薦する経済学部専任教員１名
（４）文芸学部長が推薦する文芸学部専任教員１名
（５）法学部長が推薦する法学部専任教員１名
（６）社会イノベーション学部長が推薦する社会イノベーション学部専任教員１名
なお、委員長は会議運営のため、教務部長、図書館長、メディアネットワークセンター長、事務局長、その他委員以外の者の出席を求め、意見を聞くことができる。
また、委員会の事務は事務局総務課（データサイエンス教育研究センター事務室）が担当し、委員会には総務課長およびセンター担当の総務課長補佐が出席する。
その他、外部アドバイザリー委員を委嘱している（５名）。</t>
    <rPh sb="56" eb="58">
      <t>ウンエイ</t>
    </rPh>
    <rPh sb="371" eb="372">
      <t>タ</t>
    </rPh>
    <rPh sb="373" eb="375">
      <t>ガイブ</t>
    </rPh>
    <phoneticPr fontId="1"/>
  </si>
  <si>
    <t>データサイエンスに関して専門的識見を有する、学外の企業、行政機関若しくは各種団体の関係者、又は他の研究教育機関の研究者等から成る外部アドバイザリー委員から、定期的にセンターの活動及び運営に助言を受ける機会を設けている。
日本IBM東京基礎研究所との包括的な連携協定に基づき、本学のデータサイエンス科目群は平成27（2015）年度に開講された。この時の日本IBMの中心人物をセンター所属の特別任用教授として迎え、一例として、数式はなるべく使わない方針で、文系学生に苦手意識を持たせない工夫をして授業を展開している。
なお、学生の反応は、上述の「授業改善アンケート」の高評価からも伺うことが出来る。</t>
    <rPh sb="267" eb="268">
      <t>ウエ</t>
    </rPh>
    <phoneticPr fontId="1"/>
  </si>
  <si>
    <t>外部アドバイザリー委員から、定期的にセンターの活動及び運営に助言を受ける機会を設けており、「統計学に偏らず、データサイエンスの構成要素として重要な AI、画像処理、テキストマイニング等にもバランスよく取り組まれていることが評価出来る。」との意見をいただいた。
委員の構成は以下の通りである。
１）一般社団法人ピープルアナリティクス＆HRテクノロジー協会ピープルアナリスト
２）大阪大学社会技術共創研究センター准教授
３）株式会社野村総合研究所金融ITイノベーション事業本部NRI認定データサイエンティスト
４）楽天株式会社グローバルデータ統括部データサイエンス部・リサーチサイエンティスト
５）琉球大学国際地域創造学部准教授</t>
    <rPh sb="91" eb="92">
      <t>ナド</t>
    </rPh>
    <rPh sb="113" eb="115">
      <t>デキ</t>
    </rPh>
    <rPh sb="130" eb="132">
      <t>イイン</t>
    </rPh>
    <rPh sb="133" eb="135">
      <t>コウセイ</t>
    </rPh>
    <rPh sb="136" eb="138">
      <t>イカ</t>
    </rPh>
    <rPh sb="139" eb="140">
      <t>トオ</t>
    </rPh>
    <phoneticPr fontId="1"/>
  </si>
  <si>
    <t xml:space="preserve">本学では、日本IBM東京基礎研究所との包括的な連携協定に基づき、平成27年度より全学共通教育科目の中にデータサイエンス科目群を設置し、理数系教育の推進、および、学部・学科の教育課程をサポートすることを目的として、データサイエンス教育に取り組んできた。
データサイエンス科目群は「基礎」から「応用」までに対応する６科目で構成され、以下４科目の修得者には、学長名で「データサイエンス基礎力ディプロマ」を授与している。
①データサイエンス概論
②データサイエンス入門Ⅰ
③データサイエンス入門Ⅱ
④データサイエンス・スキルアップ・プログラム
</t>
    <phoneticPr fontId="1"/>
  </si>
  <si>
    <t>本学の運営母体である学校法人成城学園が創立100周年を機に「国際教育」「理数系教育」「情操・教養教育」を教育改革の「３つの柱」として推進することになった。
これを受けて、本学でも数学的教養を通じて論理的な思考力を強化することを目的とした「理数系教育」を推進するにあたり、文系大学においても数理科学のリテラシーを持ち、各学部・学科の専門知識に加えて、データサイエンスの視点を兼ね備えた、次世代の社会を担う人材を育成すべく、平成27年度に日本IBM東京基礎研究所の協力を得て、データサイエンス科目群を全学共通教育科目に設置した。
その後、本学における当該分野の教育及び研究を強化し、データサイエンス人材育成という社会的要請にも応えるべく、学生が数学的及び科学的教養を踏まえてデータに基づき思考し行動する能力を培うことを目的とした「データサイエンス教育研究センター」を設置し、専任教員を配置した。</t>
    <phoneticPr fontId="1"/>
  </si>
  <si>
    <t>本学では、毎年４月に教務部による「履修相談会」が開催され、学生と教務部職員がマンツーマンで履修相談を行ってきた。
センターとしても、４月に新入生向け、在学生向けにデータサイエンス科目ガイダンスを開催している。
ガイダンス後も、新たに作成した動画を本学LMS（WebClass）に継続的に掲載し、情報発信している。
加えて、大学ウェブサイトやセンターで運営しているフェイスブックで情報発信している。
さらに、データサイエンス科目群をさらに発展させるため、令和元年4月に「データサイエンス教育研究センター」を設置し、専任教員（特別任用教授）を採用し、学生指導等の中心を担っている。
令和３年１月には大学新校舎にセンターが移転した。新校舎にはデータサイエンス科目群専用教室を作り、学生同士が共創出来る場を設けた。また、教室に隣接してデータサイエンス担当教員研究室があり、綿密な学生指導等を行う環境が整った。</t>
    <rPh sb="334" eb="335">
      <t>ツク</t>
    </rPh>
    <phoneticPr fontId="1"/>
  </si>
  <si>
    <t>毎回の授業終了時にリアクションペーパーを提出させており、そこでの質疑応答や、メール等での質疑応答により、授業時間外での学習指導や質問を受け付けている。
授業終了後も、資料を WebClass (LMS) に掲載し続け、いつでも見直せるようにしてあり、メールで予約のうえ時間と場所にとらわれずに学生を指導している。一例として、Zoomを活用して、土曜・日曜でも学生の個別相談に対応している。
令和３年４月から稼働を開始した新校舎では、データサイエンス科目群専用教室に隣接してデータサイエンス担当教員研究室があり、そちらに教員が待機して学生指導等を行える環境が整った。
また、正課外教育に係る指導の一例として、企業が行う各種ビジネスコンテストやデータ解析コンテスト、特定技術に興味をもつプログラマーが集まり、短期間で集中的にソフトウエアの共同開発等を競うイベントであるハッカソン参加者への個別サポートも適宜行っている。</t>
    <phoneticPr fontId="1"/>
  </si>
  <si>
    <t>先述の「授業改善アンケート」の中に、「この授業を通じて、下記の各資質・能力のうち、どの項目が身につきましたか。身についた資質・能力をすべてマークしてください。」という設問があり、データサイエンス科目群履修学生は、本アンケートの大学全体の平均値よりも、以下の項目で「身についた」と回答した割合が高かった。
①この分野の知識、学力、②数理的能力、③構想力、④柔軟な発想力、⑤俯瞰力、⑥課題発見力、⑦課題解決力、⑧協働力。
中でも、②数理的能力（大学全体平均値6.5％に対して27.4％）、⑤俯瞰力（大学全体平均値8.9％に対して17.7％）、⑥課題発見力（大学全体平均値9.8％に対して17.7％）の割合が特に高かった。</t>
    <phoneticPr fontId="1"/>
  </si>
  <si>
    <t>データサイエンス教育研究センター委員会にて、毎年度のデータサイエンス科目群の履修状況を調査し、適切な開講コマ数等を検討し、本プログラムの運営に係る検証を行っている。
なお、平成27年度開始時から令和３年度までの７年間で、履修者数は約４倍に増えている。なお、単位修得率は87％と高い状況である。
ディプロマ授与数も、31件（基礎力ディプロマ26件、EMSディプロマ５件）となった。
なお、ディプロマへの門戸を広げるため、令和３年度より、学部開講科目の一部を修得することで、「データサイエンス入門Ⅰ・Ⅱ」を修得したものとして繰り入れる制度を導入した。これにより、ディプロマ授与数増加が期待出来る。</t>
    <rPh sb="13" eb="15">
      <t>モジ</t>
    </rPh>
    <rPh sb="284" eb="287">
      <t>ジュヨスウ</t>
    </rPh>
    <phoneticPr fontId="1"/>
  </si>
  <si>
    <t>本学では、より優れた教育の実現を追及するための手段の一つとして、授業と関連する状況の可視化を行っており、その一環として、毎年２回にかけて履修する学生全員を対象にする「授業改善アンケート」を実施している。
令和２年度前期のアンケート結果では、データサイエンス科目群は、本学ホームページに公開している12項目すべてで大学全体の平均値（５点満点）を上回っている。中でも「この授業は総合的に判断して自分にとって有意義だった」という設問で、大学全体の平均値が3.98に対して、データサイエンス科目群は4.58であり、データサイエンス科目群の受講学生の満足度と理解度の高さを伺い知ることが出来る。</t>
    <phoneticPr fontId="1"/>
  </si>
  <si>
    <t>一例として、キャリアセンターと連携して、ディプロマ修了者の就職先を確認し、数年後に就職先に対して活躍状況や評価等を照会する仕組みを検討している。
本プログラム履修者を含んだ学生５名が、株式会社マクロミル主催の学生向け「マーケティング戦略立案コンテスト 『EDGE』 2019」に参加し、優勝した。
当該５名は「大規模な社会・経済データ（ビッグデータ）の分析」をテーマとするゼミ生で、経済学部経営学科の授業で学んだマーケティングの専門知識とともに、データサイエンスの学びも活かした成果だった。
当該５名の内２名は、このコンテストの参加企業から高い評価を受け、結果として当該企業への就職を果たした。</t>
    <rPh sb="191" eb="193">
      <t>ケイザイ</t>
    </rPh>
    <rPh sb="193" eb="195">
      <t>ガクブ</t>
    </rPh>
    <phoneticPr fontId="1"/>
  </si>
  <si>
    <t>特に本プログラムの導入科目でもある「データサイエンス概論」では、文系学生の理数系科目に対する苦手意識に留意し、毎授業、なるべく多くの事例を映像として YouTube などから厳選し、授業で紹介している。このことにより、「学ぶ楽しさ」や「学ぶことの意義」が体感的に進むように工夫している。また、ロボットや便利なアブリ等も紹介し、学生が実際に使ってみて、使い勝手などを評論する、といったことも行っている。
授業以外では、現役データサイエンティストによるシンポジウムやワークショップを開催し、学生が数理・データサイエンス・AIに触れる機会を積極的に設けている。
また、今年度からは「学内DSコンテスト」を開始する。</t>
    <phoneticPr fontId="1"/>
  </si>
  <si>
    <t>各年度の履修者数（履修率）の目標を以下の通りとする。
令和３年度　1,350名（28％）４月登録者数（学部開講科目繰り入れ済み。以下同じ）
令和４年度　1,500名（31％）計画値（以下同じ）
令和５年度　1,600名（33％）
令和６年度　1,700名（35％）
令和７年度　1,800名（37％）
令和３年１月にデータサイエンス教育研究センターが大学新校舎に移動し、４月から本格稼働となった。アクティブラーニングも可能なデータサイエンス科目群専用教室を作り、高性能コンピュータ等も導入した。さらに、シンボルとなる立体ロゴマークの制作・展示等、学生の関心を引く取り組みを行っており、さらなる履修者増加が期待出来る。
また、ディプロマへの門戸を広げるため、令和３年度より、学部開講科目の一部（例：経済学部・法学部開講科目の「経営統計学Ⅰ・Ⅱ」等）を修得することで、「データサイエンス入門Ⅰ・Ⅱ」を修得したものとして繰り入れる制度を導入した。これにより、ディプロマ修得希望者が増え、さらなる履修者増加が期待出来る。
なお、データサイエンス科目群はオンデマンドを含む遠隔授業を実施しているが、学生が教材を反復学習するため理解度が高いという利点もあり、今後も継続する方向で検討する。</t>
    <phoneticPr fontId="1"/>
  </si>
  <si>
    <t>データサイエンス科目群は、全学共通教育科目として平成27年度から開講しており、全学部・全学年が履修出来る。希望する学生全員が受講可能となるように、「前提条件がないのが前提」との方針を設け、受講生のレベルを揃えるような事前のテスト等は実施していない。
各学部・学科の授業を優先させる形で、曜日・時限の調整を可能な限り行っており、５時限も積極的に活用している。さらに、通年授業は行わず、前期・後期で同じ授業を展開し、なるべく多くの学生が受講しやすいように工夫している。１年次に履修出来なくても、２年次以降からも履修することが出来、所定の要件を充たした学生にはディプロマ修了証を授与している。
また、データサイエンス科目群はオンデマンドを含む遠隔授業を実施しており、学生が教材を繰り返し視聴することが出来、学生・教員間の個別コミュニケーションが促進されるという利点があり、今後も継続する方向で検討する。</t>
    <phoneticPr fontId="1"/>
  </si>
  <si>
    <t>４月に新入生及び在学生向けにデータサイエンス科目ガイダンスを開催している。
ガイダンス後も、新たに作成した動画を本学LMS（WebClass）に継続的に掲載し、情報発信している。
また、大学ウェブサイトやセンターで運営するフェイスブックで情報発信している。
令和３年４月から本格稼働となった新校舎には、アクティブラーニングも可能なデータサイエンス科目群専用教室、高性能コンピュータがあり、シンボルとなる立体ロゴマークの制作・展示等、学生の関心を引く取り組みを行っており、さらなる履修者増加が期待出来る。
この他、学部デーを利用して、学生有志（学友会厚生部）によるデータサイエンス授業を語る場があり、先輩から後輩へと受け継がれている。
また、今年度からデータサイエンスを活用した企画力、データ分析力、問題解決能力、発信力等のスキルを育成することを目的として「学内DSコンテスト」を開催するので、ここでも学生への周知が期待できる。</t>
    <phoneticPr fontId="1"/>
  </si>
  <si>
    <t>データサイエンス科目群（６科目）について、開講以降、履修者（当年度延べ人数）は以下の様に順調に増えている。
平成27年度　175名
平成28年度　138名
平成29年度　190名
平成30年度　292名
令和元年度　359名
令和2年度  558名
令和3年度  693名
令和３年度より、ディプロマへの門戸を広げるため、学部開講科目の一部を修得することで、「データサイエンス入門Ⅰ・Ⅱ」を修得したものとして繰り入れる制度を導入したので、ディプロマ授与希望者及び履修者増加が期待出来る。
データサイエンス科目群はオンデマンドを含む遠隔授業を実施しており、学生が教材を繰り返し視聴出来、学生・教員間の個別コミュニケーションが促進される等の利点があり、今後も継続したい。</t>
    <phoneticPr fontId="1"/>
  </si>
  <si>
    <t>有</t>
  </si>
  <si>
    <t>社会イノベーション学部（社会科学）</t>
    <rPh sb="0" eb="2">
      <t>シャカイ</t>
    </rPh>
    <rPh sb="9" eb="11">
      <t>ガクブ</t>
    </rPh>
    <rPh sb="12" eb="14">
      <t>シャカイ</t>
    </rPh>
    <rPh sb="14" eb="16">
      <t>カガク</t>
    </rPh>
    <phoneticPr fontId="1"/>
  </si>
  <si>
    <t>法学部（社会科学）</t>
    <rPh sb="4" eb="8">
      <t>シャカイカガク</t>
    </rPh>
    <phoneticPr fontId="1"/>
  </si>
  <si>
    <t>文芸学部（人文科学）</t>
    <rPh sb="0" eb="4">
      <t>ブンゲイガクブ</t>
    </rPh>
    <rPh sb="5" eb="9">
      <t>ジンブンカガク</t>
    </rPh>
    <phoneticPr fontId="1"/>
  </si>
  <si>
    <t>経済学部（社会科学）</t>
    <rPh sb="5" eb="9">
      <t>シャカイカガク</t>
    </rPh>
    <phoneticPr fontId="1"/>
  </si>
  <si>
    <t>学校法人成城学園</t>
    <rPh sb="0" eb="2">
      <t>ガッコウ</t>
    </rPh>
    <rPh sb="2" eb="4">
      <t>ホウジン</t>
    </rPh>
    <rPh sb="4" eb="6">
      <t>セイジョウ</t>
    </rPh>
    <rPh sb="6" eb="8">
      <t>ガクエン</t>
    </rPh>
    <phoneticPr fontId="1"/>
  </si>
  <si>
    <t>https://www.seijo.ac.jp/education/support/cds3/link/jtmo4200000107q8-att/jtmo4200000107sg.pdf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</si>
</sst>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1"/>
      <name val="ＭＳ Ｐゴシック"/>
      <family val="3"/>
      <charset val="128"/>
      <scheme val="minor"/>
    </font>
    <font>
      <u/>
      <sz val="11"/>
      <name val="ＭＳ Ｐゴシック"/>
      <family val="3"/>
      <charset val="128"/>
      <scheme val="minor"/>
    </font>
    <font>
      <sz val="9"/>
      <name val="ＭＳ Ｐゴシック"/>
      <family val="3"/>
      <charset val="128"/>
      <scheme val="minor"/>
    </font>
    <font>
      <sz val="8"/>
      <name val="ＭＳ Ｐゴシック"/>
      <family val="3"/>
      <charset val="128"/>
      <scheme val="minor"/>
    </font>
    <font>
      <sz val="10"/>
      <name val="ＭＳ Ｐゴシック"/>
      <family val="3"/>
      <charset val="128"/>
      <scheme val="minor"/>
    </font>
    <font>
      <sz val="7"/>
      <name val="ＭＳ Ｐゴシック"/>
      <family val="3"/>
      <charset val="128"/>
      <scheme val="minor"/>
    </font>
  </fonts>
  <fills count="2">
    <fill>
      <patternFill patternType="none"/>
    </fill>
    <fill>
      <patternFill patternType="gray125"/>
    </fill>
  </fills>
  <borders count="4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style="thin">
        <color auto="1"/>
      </left>
      <right/>
      <top style="hair">
        <color auto="1"/>
      </top>
      <bottom style="thin">
        <color indexed="64"/>
      </bottom>
      <diagonal/>
    </border>
    <border>
      <left/>
      <right/>
      <top style="hair">
        <color auto="1"/>
      </top>
      <bottom style="thin">
        <color indexed="64"/>
      </bottom>
      <diagonal/>
    </border>
    <border>
      <left/>
      <right style="thin">
        <color auto="1"/>
      </right>
      <top style="hair">
        <color auto="1"/>
      </top>
      <bottom style="thin">
        <color indexed="64"/>
      </bottom>
      <diagonal/>
    </border>
  </borders>
  <cellStyleXfs count="3">
    <xf numFmtId="0" fontId="0" fillId="0" borderId="0">
      <alignment vertical="center"/>
    </xf>
    <xf numFmtId="38" fontId="2" fillId="0" borderId="0" applyFont="0" applyFill="0" applyBorder="0" applyAlignment="0" applyProtection="0">
      <alignment vertical="center"/>
    </xf>
    <xf numFmtId="0" fontId="3" fillId="0" borderId="0" applyNumberFormat="0" applyFill="0" applyBorder="0" applyAlignment="0" applyProtection="0">
      <alignment vertical="center"/>
    </xf>
  </cellStyleXfs>
  <cellXfs count="226">
    <xf numFmtId="0" fontId="0" fillId="0" borderId="0" xfId="0">
      <alignment vertical="center"/>
    </xf>
    <xf numFmtId="176" fontId="4" fillId="0" borderId="0" xfId="0" applyNumberFormat="1" applyFont="1" applyBorder="1">
      <alignment vertical="center"/>
    </xf>
    <xf numFmtId="176" fontId="4" fillId="0" borderId="3" xfId="0" applyNumberFormat="1" applyFont="1" applyBorder="1" applyAlignment="1">
      <alignment vertical="center" shrinkToFit="1"/>
    </xf>
    <xf numFmtId="0" fontId="4" fillId="0" borderId="0" xfId="0" applyFont="1">
      <alignment vertical="center"/>
    </xf>
    <xf numFmtId="0" fontId="4" fillId="0" borderId="0" xfId="0" applyFont="1" applyAlignment="1">
      <alignment vertical="center"/>
    </xf>
    <xf numFmtId="0" fontId="4" fillId="0" borderId="0" xfId="0" applyFont="1" applyAlignment="1">
      <alignment horizontal="left" vertical="center"/>
    </xf>
    <xf numFmtId="0" fontId="4" fillId="0" borderId="0" xfId="0" applyFont="1" applyBorder="1" applyAlignment="1">
      <alignment vertical="center"/>
    </xf>
    <xf numFmtId="0" fontId="4" fillId="0" borderId="10" xfId="0" applyFont="1" applyBorder="1" applyAlignment="1">
      <alignment vertical="center"/>
    </xf>
    <xf numFmtId="0" fontId="4" fillId="0" borderId="5" xfId="0" applyFont="1" applyBorder="1">
      <alignment vertical="center"/>
    </xf>
    <xf numFmtId="176" fontId="4" fillId="0" borderId="0" xfId="0" applyNumberFormat="1" applyFont="1" applyBorder="1" applyAlignment="1">
      <alignment vertical="center" wrapText="1"/>
    </xf>
    <xf numFmtId="0" fontId="4" fillId="0" borderId="0" xfId="0" applyFont="1" applyBorder="1">
      <alignment vertical="center"/>
    </xf>
    <xf numFmtId="176" fontId="4" fillId="0" borderId="5" xfId="0" applyNumberFormat="1" applyFont="1" applyBorder="1" applyAlignment="1">
      <alignment vertical="center"/>
    </xf>
    <xf numFmtId="176" fontId="4" fillId="0" borderId="0" xfId="0" applyNumberFormat="1" applyFont="1" applyAlignment="1">
      <alignment vertical="center" wrapText="1"/>
    </xf>
    <xf numFmtId="176" fontId="4" fillId="0" borderId="0" xfId="0" applyNumberFormat="1" applyFont="1" applyAlignment="1">
      <alignment horizontal="left" vertical="center" wrapText="1"/>
    </xf>
    <xf numFmtId="0" fontId="4" fillId="0" borderId="6" xfId="0" applyFont="1" applyBorder="1" applyAlignment="1">
      <alignment vertical="center" shrinkToFit="1"/>
    </xf>
    <xf numFmtId="0" fontId="4" fillId="0" borderId="1" xfId="0" applyFont="1" applyBorder="1">
      <alignment vertical="center"/>
    </xf>
    <xf numFmtId="0" fontId="4" fillId="0" borderId="2" xfId="0" applyFont="1" applyBorder="1">
      <alignment vertical="center"/>
    </xf>
    <xf numFmtId="0" fontId="4" fillId="0" borderId="4" xfId="0" applyFont="1" applyBorder="1">
      <alignment vertical="center"/>
    </xf>
    <xf numFmtId="0" fontId="4" fillId="0" borderId="1" xfId="0" applyFont="1" applyBorder="1" applyAlignment="1">
      <alignment vertical="center" shrinkToFit="1"/>
    </xf>
    <xf numFmtId="0" fontId="4" fillId="0" borderId="10" xfId="0" applyFont="1" applyBorder="1" applyAlignment="1">
      <alignment vertical="center" shrinkToFit="1"/>
    </xf>
    <xf numFmtId="0" fontId="4" fillId="0" borderId="0" xfId="0" applyFont="1" applyFill="1">
      <alignment vertical="center"/>
    </xf>
    <xf numFmtId="0" fontId="4" fillId="0" borderId="2" xfId="0" applyFont="1" applyBorder="1" applyAlignment="1">
      <alignment horizontal="left" vertical="center" wrapText="1" shrinkToFit="1"/>
    </xf>
    <xf numFmtId="0" fontId="4" fillId="0" borderId="1" xfId="0" applyFont="1" applyBorder="1" applyAlignment="1">
      <alignment vertical="center" wrapText="1"/>
    </xf>
    <xf numFmtId="0" fontId="4" fillId="0" borderId="0" xfId="0" applyFont="1" applyBorder="1" applyAlignment="1">
      <alignment vertical="center" wrapText="1"/>
    </xf>
    <xf numFmtId="0" fontId="7" fillId="0" borderId="0" xfId="0" applyFont="1" applyBorder="1" applyAlignment="1">
      <alignment vertical="top" wrapText="1"/>
    </xf>
    <xf numFmtId="0" fontId="7" fillId="0" borderId="0" xfId="0" applyFont="1" applyBorder="1" applyAlignment="1">
      <alignment vertical="top" shrinkToFit="1"/>
    </xf>
    <xf numFmtId="0" fontId="7" fillId="0" borderId="0" xfId="0" applyFont="1" applyBorder="1" applyAlignment="1">
      <alignment vertical="center" wrapText="1"/>
    </xf>
    <xf numFmtId="0" fontId="7" fillId="0" borderId="10" xfId="0" applyFont="1" applyBorder="1" applyAlignment="1">
      <alignment vertical="top" wrapText="1"/>
    </xf>
    <xf numFmtId="0" fontId="7" fillId="0" borderId="5" xfId="0" applyFont="1" applyBorder="1" applyAlignment="1">
      <alignment vertical="top" wrapText="1"/>
    </xf>
    <xf numFmtId="0" fontId="4" fillId="0" borderId="17" xfId="0" applyFont="1" applyBorder="1">
      <alignment vertical="center"/>
    </xf>
    <xf numFmtId="0" fontId="7" fillId="0" borderId="21" xfId="0" applyFont="1" applyBorder="1" applyAlignment="1">
      <alignment vertical="top" wrapText="1"/>
    </xf>
    <xf numFmtId="0" fontId="7" fillId="0" borderId="19" xfId="0" applyFont="1" applyBorder="1" applyAlignment="1">
      <alignment vertical="top" wrapText="1"/>
    </xf>
    <xf numFmtId="0" fontId="7" fillId="0" borderId="21" xfId="0" applyFont="1" applyBorder="1" applyAlignment="1">
      <alignment vertical="top" shrinkToFit="1"/>
    </xf>
    <xf numFmtId="0" fontId="7" fillId="0" borderId="19" xfId="0" applyFont="1" applyBorder="1" applyAlignment="1">
      <alignment vertical="top" shrinkToFit="1"/>
    </xf>
    <xf numFmtId="0" fontId="4" fillId="0" borderId="0" xfId="0" applyFont="1" applyAlignment="1">
      <alignment vertical="center" wrapText="1"/>
    </xf>
    <xf numFmtId="0" fontId="5" fillId="0" borderId="0" xfId="2" applyNumberFormat="1" applyFont="1" applyBorder="1" applyAlignment="1">
      <alignment vertical="center" shrinkToFit="1"/>
    </xf>
    <xf numFmtId="0" fontId="7" fillId="0" borderId="0" xfId="0" applyFont="1" applyBorder="1" applyAlignment="1">
      <alignment vertical="center" shrinkToFit="1"/>
    </xf>
    <xf numFmtId="0" fontId="7" fillId="0" borderId="10" xfId="0" applyFont="1" applyBorder="1" applyAlignment="1">
      <alignment vertical="center" shrinkToFit="1"/>
    </xf>
    <xf numFmtId="0" fontId="4" fillId="0" borderId="0" xfId="0" applyFont="1" applyFill="1" applyBorder="1" applyAlignment="1">
      <alignment vertical="center"/>
    </xf>
    <xf numFmtId="0" fontId="7" fillId="0" borderId="0" xfId="0" applyFont="1" applyFill="1" applyBorder="1" applyAlignment="1">
      <alignment vertical="top" wrapText="1"/>
    </xf>
    <xf numFmtId="0" fontId="7" fillId="0" borderId="0" xfId="0" applyFont="1">
      <alignment vertical="center"/>
    </xf>
    <xf numFmtId="0" fontId="5" fillId="0" borderId="0" xfId="0" applyFont="1">
      <alignment vertical="center"/>
    </xf>
    <xf numFmtId="0" fontId="10" fillId="0" borderId="11" xfId="0" applyFont="1" applyBorder="1" applyAlignment="1">
      <alignment horizontal="center" vertical="center"/>
    </xf>
    <xf numFmtId="0" fontId="10" fillId="0" borderId="31" xfId="0" applyFont="1" applyBorder="1" applyAlignment="1">
      <alignment horizontal="center" vertical="center" wrapText="1"/>
    </xf>
    <xf numFmtId="0" fontId="10" fillId="0" borderId="32" xfId="0" applyFont="1" applyBorder="1" applyAlignment="1">
      <alignment horizontal="center" vertical="center"/>
    </xf>
    <xf numFmtId="0" fontId="10" fillId="0" borderId="12" xfId="0" applyFont="1" applyBorder="1" applyAlignment="1">
      <alignment horizontal="center" vertical="center" wrapText="1"/>
    </xf>
    <xf numFmtId="0" fontId="4" fillId="0" borderId="5" xfId="0" applyFont="1" applyBorder="1" applyAlignment="1">
      <alignment vertical="center" shrinkToFit="1"/>
    </xf>
    <xf numFmtId="176" fontId="4" fillId="0" borderId="14" xfId="0" applyNumberFormat="1" applyFont="1" applyBorder="1" applyAlignment="1">
      <alignment vertical="center" shrinkToFit="1"/>
    </xf>
    <xf numFmtId="9" fontId="4" fillId="0" borderId="14" xfId="0" applyNumberFormat="1" applyFont="1" applyBorder="1" applyAlignment="1">
      <alignment vertical="center" shrinkToFit="1"/>
    </xf>
    <xf numFmtId="176" fontId="4" fillId="0" borderId="25" xfId="0" applyNumberFormat="1" applyFont="1" applyBorder="1" applyAlignment="1">
      <alignment vertical="center" shrinkToFit="1"/>
    </xf>
    <xf numFmtId="9" fontId="4" fillId="0" borderId="25" xfId="0" applyNumberFormat="1" applyFont="1" applyBorder="1" applyAlignment="1">
      <alignment vertical="center" shrinkToFit="1"/>
    </xf>
    <xf numFmtId="176" fontId="4" fillId="0" borderId="20"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36" xfId="0" applyNumberFormat="1" applyFont="1" applyBorder="1" applyAlignment="1">
      <alignment vertical="center" shrinkToFit="1"/>
    </xf>
    <xf numFmtId="176" fontId="4" fillId="0" borderId="19" xfId="0" applyNumberFormat="1" applyFont="1" applyBorder="1" applyAlignment="1">
      <alignment vertical="center" shrinkToFit="1"/>
    </xf>
    <xf numFmtId="176" fontId="4" fillId="0" borderId="5"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26" xfId="0" applyNumberFormat="1" applyFont="1" applyBorder="1" applyAlignment="1">
      <alignment vertical="center" shrinkToFit="1"/>
    </xf>
    <xf numFmtId="9" fontId="4" fillId="0" borderId="10" xfId="0" applyNumberFormat="1" applyFont="1" applyBorder="1" applyAlignment="1">
      <alignment vertical="center" shrinkToFit="1"/>
    </xf>
    <xf numFmtId="38" fontId="4" fillId="0" borderId="27" xfId="1" applyFont="1" applyBorder="1" applyAlignment="1">
      <alignment vertical="center" shrinkToFit="1"/>
    </xf>
    <xf numFmtId="176" fontId="4" fillId="0" borderId="27" xfId="0" applyNumberFormat="1" applyFont="1" applyBorder="1" applyAlignment="1">
      <alignment vertical="center" shrinkToFit="1"/>
    </xf>
    <xf numFmtId="176" fontId="4" fillId="0" borderId="37" xfId="0" applyNumberFormat="1" applyFont="1" applyBorder="1" applyAlignment="1">
      <alignment vertical="center" shrinkToFit="1"/>
    </xf>
    <xf numFmtId="176" fontId="4" fillId="0" borderId="38" xfId="0" applyNumberFormat="1" applyFont="1" applyBorder="1" applyAlignment="1">
      <alignment vertical="center" shrinkToFit="1"/>
    </xf>
    <xf numFmtId="176" fontId="4" fillId="0" borderId="29" xfId="0" applyNumberFormat="1" applyFont="1" applyBorder="1" applyAlignment="1">
      <alignment vertical="center" shrinkToFit="1"/>
    </xf>
    <xf numFmtId="176" fontId="4" fillId="0" borderId="30" xfId="0" applyNumberFormat="1" applyFont="1" applyBorder="1" applyAlignment="1">
      <alignment vertical="center" shrinkToFit="1"/>
    </xf>
    <xf numFmtId="9" fontId="4" fillId="0" borderId="29" xfId="0" applyNumberFormat="1" applyFont="1" applyBorder="1" applyAlignment="1">
      <alignment vertical="center" shrinkToFit="1"/>
    </xf>
    <xf numFmtId="0" fontId="4" fillId="0" borderId="0" xfId="0" applyFont="1" applyBorder="1" applyAlignment="1">
      <alignment horizontal="center" vertical="center"/>
    </xf>
    <xf numFmtId="0" fontId="4" fillId="0" borderId="2" xfId="0" applyFont="1" applyBorder="1" applyAlignment="1">
      <alignment horizontal="center" vertical="center" shrinkToFit="1"/>
    </xf>
    <xf numFmtId="0" fontId="4" fillId="0" borderId="2" xfId="0" applyFont="1" applyBorder="1" applyAlignment="1">
      <alignment vertical="center" shrinkToFit="1"/>
    </xf>
    <xf numFmtId="0" fontId="4" fillId="0" borderId="0" xfId="0" applyFont="1" applyAlignment="1">
      <alignment horizontal="right" vertical="center"/>
    </xf>
    <xf numFmtId="0" fontId="4" fillId="0" borderId="0" xfId="0" applyFont="1" applyBorder="1" applyAlignment="1">
      <alignment horizontal="center" vertical="center" shrinkToFit="1"/>
    </xf>
    <xf numFmtId="0" fontId="4" fillId="0" borderId="0" xfId="0" applyFont="1" applyAlignment="1">
      <alignment horizontal="center" vertical="center"/>
    </xf>
    <xf numFmtId="0" fontId="4" fillId="0" borderId="0" xfId="0" applyFont="1" applyBorder="1" applyAlignment="1">
      <alignment vertical="center" shrinkToFit="1"/>
    </xf>
    <xf numFmtId="0" fontId="4" fillId="0" borderId="0" xfId="0" applyFont="1" applyBorder="1" applyAlignment="1">
      <alignment vertical="top" wrapText="1"/>
    </xf>
    <xf numFmtId="0" fontId="4" fillId="0" borderId="11" xfId="0" applyFont="1" applyBorder="1" applyAlignment="1">
      <alignment horizontal="center" vertical="center"/>
    </xf>
    <xf numFmtId="0" fontId="4" fillId="0" borderId="2" xfId="0" applyFont="1" applyBorder="1" applyAlignment="1">
      <alignment horizontal="left" vertical="center" shrinkToFit="1"/>
    </xf>
    <xf numFmtId="0" fontId="4" fillId="0" borderId="0" xfId="0" applyFont="1" applyAlignment="1">
      <alignment horizontal="right" vertical="center"/>
    </xf>
    <xf numFmtId="0" fontId="4" fillId="0" borderId="0" xfId="0" applyFont="1" applyBorder="1" applyAlignment="1">
      <alignment vertical="top" wrapText="1"/>
    </xf>
    <xf numFmtId="0" fontId="7" fillId="0" borderId="0" xfId="0" applyFont="1" applyAlignment="1">
      <alignment vertical="top" wrapText="1"/>
    </xf>
    <xf numFmtId="0" fontId="4" fillId="0" borderId="0" xfId="0" applyFont="1" applyAlignment="1">
      <alignment horizontal="center" vertical="center"/>
    </xf>
    <xf numFmtId="0" fontId="4" fillId="0" borderId="0" xfId="0" applyFont="1" applyAlignment="1">
      <alignment vertical="center" shrinkToFit="1"/>
    </xf>
    <xf numFmtId="0" fontId="4" fillId="0" borderId="20" xfId="0" applyFont="1" applyBorder="1" applyAlignment="1">
      <alignment vertical="center" shrinkToFit="1"/>
    </xf>
    <xf numFmtId="176" fontId="7" fillId="0" borderId="0" xfId="0" applyNumberFormat="1" applyFont="1" applyAlignment="1">
      <alignment vertical="center" shrinkToFit="1"/>
    </xf>
    <xf numFmtId="38" fontId="4" fillId="0" borderId="20" xfId="1" applyFont="1" applyBorder="1" applyAlignment="1">
      <alignment vertical="center" shrinkToFit="1"/>
    </xf>
    <xf numFmtId="38" fontId="4" fillId="0" borderId="5" xfId="1" applyFont="1" applyBorder="1" applyAlignment="1">
      <alignment vertical="center" shrinkToFit="1"/>
    </xf>
    <xf numFmtId="0" fontId="4" fillId="0" borderId="0" xfId="0" applyFont="1" applyBorder="1" applyAlignment="1">
      <alignment vertical="center" shrinkToFit="1"/>
    </xf>
    <xf numFmtId="176" fontId="4" fillId="0" borderId="2" xfId="0" applyNumberFormat="1" applyFont="1" applyBorder="1" applyAlignment="1">
      <alignment horizontal="center" vertical="center" shrinkToFit="1"/>
    </xf>
    <xf numFmtId="176" fontId="4" fillId="0" borderId="4" xfId="0" applyNumberFormat="1"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4" fillId="0" borderId="0" xfId="0" applyFont="1" applyBorder="1" applyAlignment="1">
      <alignment horizontal="center" vertical="center"/>
    </xf>
    <xf numFmtId="38" fontId="4" fillId="0" borderId="2" xfId="1" applyFont="1" applyBorder="1" applyAlignment="1">
      <alignment horizontal="center" vertical="center"/>
    </xf>
    <xf numFmtId="38" fontId="4" fillId="0" borderId="3" xfId="1" applyFont="1" applyBorder="1" applyAlignment="1">
      <alignment horizontal="center" vertical="center"/>
    </xf>
    <xf numFmtId="38" fontId="4" fillId="0" borderId="4" xfId="1" applyFont="1" applyBorder="1" applyAlignment="1">
      <alignment horizontal="center" vertical="center"/>
    </xf>
    <xf numFmtId="0" fontId="4" fillId="0" borderId="0" xfId="0" applyFont="1" applyBorder="1" applyAlignment="1">
      <alignment horizontal="right" vertical="center" shrinkToFit="1"/>
    </xf>
    <xf numFmtId="0" fontId="4" fillId="0" borderId="5" xfId="0" applyFont="1" applyBorder="1" applyAlignment="1">
      <alignment horizontal="right" vertical="center" shrinkToFit="1"/>
    </xf>
    <xf numFmtId="0" fontId="4" fillId="0" borderId="10" xfId="0" applyFont="1" applyBorder="1" applyAlignment="1">
      <alignment horizontal="right" vertical="center" shrinkToFi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Alignment="1">
      <alignment horizontal="right" vertical="center"/>
    </xf>
    <xf numFmtId="0" fontId="4" fillId="0" borderId="0" xfId="0" applyFont="1" applyBorder="1" applyAlignment="1">
      <alignment horizontal="right" vertical="center"/>
    </xf>
    <xf numFmtId="0" fontId="4" fillId="0" borderId="10" xfId="0" applyFont="1" applyBorder="1" applyAlignment="1">
      <alignment horizontal="right" vertical="center"/>
    </xf>
    <xf numFmtId="176" fontId="4" fillId="0" borderId="3" xfId="0" applyNumberFormat="1" applyFont="1" applyBorder="1" applyAlignment="1">
      <alignment horizontal="center" vertical="center" shrinkToFit="1"/>
    </xf>
    <xf numFmtId="0" fontId="4" fillId="0" borderId="0" xfId="0" applyFont="1" applyBorder="1" applyAlignment="1">
      <alignment horizontal="center" vertical="center" shrinkToFit="1"/>
    </xf>
    <xf numFmtId="0" fontId="4" fillId="0" borderId="2" xfId="0" applyFont="1" applyFill="1" applyBorder="1" applyAlignment="1">
      <alignment horizontal="center" vertical="center" shrinkToFit="1"/>
    </xf>
    <xf numFmtId="0" fontId="4" fillId="0" borderId="3" xfId="0" applyFont="1" applyFill="1" applyBorder="1" applyAlignment="1">
      <alignment horizontal="center" vertical="center" shrinkToFit="1"/>
    </xf>
    <xf numFmtId="0" fontId="4" fillId="0" borderId="4" xfId="0" applyFont="1" applyFill="1" applyBorder="1" applyAlignment="1">
      <alignment horizontal="center" vertical="center" shrinkToFit="1"/>
    </xf>
    <xf numFmtId="0" fontId="4" fillId="0" borderId="0" xfId="0" applyFont="1" applyAlignment="1">
      <alignment horizontal="center" vertical="center"/>
    </xf>
    <xf numFmtId="0" fontId="4" fillId="0" borderId="2" xfId="0" applyFont="1" applyBorder="1" applyAlignment="1">
      <alignment vertical="center" shrinkToFit="1"/>
    </xf>
    <xf numFmtId="0" fontId="4" fillId="0" borderId="3" xfId="0" applyFont="1" applyBorder="1" applyAlignment="1">
      <alignment vertical="center" shrinkToFit="1"/>
    </xf>
    <xf numFmtId="0" fontId="4" fillId="0" borderId="4" xfId="0" applyFont="1" applyBorder="1" applyAlignment="1">
      <alignment vertical="center" shrinkToFit="1"/>
    </xf>
    <xf numFmtId="0" fontId="5" fillId="0" borderId="2" xfId="0" applyFont="1" applyBorder="1">
      <alignment vertical="center"/>
    </xf>
    <xf numFmtId="0" fontId="5" fillId="0" borderId="3" xfId="0" applyFont="1" applyBorder="1">
      <alignment vertical="center"/>
    </xf>
    <xf numFmtId="0" fontId="5" fillId="0" borderId="4" xfId="0" applyFont="1" applyBorder="1">
      <alignment vertical="center"/>
    </xf>
    <xf numFmtId="49" fontId="4" fillId="0" borderId="2" xfId="1" applyNumberFormat="1" applyFont="1" applyBorder="1" applyAlignment="1">
      <alignment horizontal="center" vertical="center" shrinkToFit="1"/>
    </xf>
    <xf numFmtId="49" fontId="4" fillId="0" borderId="3" xfId="1" applyNumberFormat="1" applyFont="1" applyBorder="1" applyAlignment="1">
      <alignment horizontal="center" vertical="center" shrinkToFit="1"/>
    </xf>
    <xf numFmtId="49" fontId="4" fillId="0" borderId="4" xfId="1" applyNumberFormat="1" applyFont="1" applyBorder="1" applyAlignment="1">
      <alignment horizontal="center" vertical="center" shrinkToFi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0" fontId="4" fillId="0" borderId="5" xfId="0" applyFont="1" applyBorder="1" applyAlignment="1">
      <alignment vertical="top" wrapText="1"/>
    </xf>
    <xf numFmtId="0" fontId="4" fillId="0" borderId="0" xfId="0" applyFont="1" applyBorder="1" applyAlignment="1">
      <alignmen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6" xfId="0" applyFont="1" applyBorder="1" applyAlignment="1">
      <alignment vertical="top" wrapText="1"/>
    </xf>
    <xf numFmtId="0" fontId="4" fillId="0" borderId="12" xfId="0" applyFont="1" applyBorder="1" applyAlignment="1">
      <alignment vertical="top" wrapText="1"/>
    </xf>
    <xf numFmtId="0" fontId="4" fillId="0" borderId="0" xfId="0" applyFont="1" applyAlignment="1">
      <alignment vertical="center" shrinkToFit="1"/>
    </xf>
    <xf numFmtId="0" fontId="4" fillId="0" borderId="1" xfId="0" applyFont="1" applyBorder="1" applyAlignment="1">
      <alignment horizontal="center" vertical="center"/>
    </xf>
    <xf numFmtId="0" fontId="4" fillId="0" borderId="1" xfId="0" applyFont="1" applyBorder="1" applyAlignment="1">
      <alignment horizontal="center" vertical="center" shrinkToFit="1"/>
    </xf>
    <xf numFmtId="0" fontId="4" fillId="0" borderId="0" xfId="0" applyFont="1" applyAlignment="1">
      <alignment horizontal="center" vertical="center" shrinkToFit="1"/>
    </xf>
    <xf numFmtId="0" fontId="4" fillId="0" borderId="27" xfId="0" applyFont="1" applyBorder="1" applyAlignment="1">
      <alignment horizontal="center" vertical="center" shrinkToFit="1"/>
    </xf>
    <xf numFmtId="0" fontId="4" fillId="0" borderId="28" xfId="0" applyFont="1" applyBorder="1" applyAlignment="1">
      <alignment horizontal="center" vertical="center" shrinkToFi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1" xfId="0" applyFont="1" applyBorder="1" applyAlignment="1">
      <alignment horizontal="center" vertical="center"/>
    </xf>
    <xf numFmtId="0" fontId="4" fillId="0" borderId="6" xfId="0" applyFont="1" applyBorder="1" applyAlignment="1">
      <alignment horizontal="center" vertical="center"/>
    </xf>
    <xf numFmtId="0" fontId="4" fillId="0" borderId="15" xfId="0" applyFont="1" applyBorder="1" applyAlignment="1">
      <alignment horizontal="center" vertical="center"/>
    </xf>
    <xf numFmtId="0" fontId="4" fillId="0" borderId="39" xfId="0" applyFont="1" applyBorder="1" applyAlignment="1">
      <alignment horizontal="center" vertical="center"/>
    </xf>
    <xf numFmtId="0" fontId="10" fillId="0" borderId="16" xfId="0" applyFont="1" applyBorder="1" applyAlignment="1">
      <alignment horizontal="center" vertical="center" wrapText="1"/>
    </xf>
    <xf numFmtId="0" fontId="10" fillId="0" borderId="13" xfId="0" applyFont="1" applyBorder="1" applyAlignment="1">
      <alignment horizontal="center" vertical="center"/>
    </xf>
    <xf numFmtId="0" fontId="9" fillId="0" borderId="9" xfId="0" applyFont="1" applyBorder="1" applyAlignment="1">
      <alignment horizontal="center" vertical="center"/>
    </xf>
    <xf numFmtId="0" fontId="9" fillId="0" borderId="12" xfId="0" applyFont="1" applyBorder="1" applyAlignment="1">
      <alignment horizontal="center" vertical="center"/>
    </xf>
    <xf numFmtId="0" fontId="4" fillId="0" borderId="20" xfId="0" applyFont="1" applyBorder="1" applyAlignment="1">
      <alignment vertical="center" shrinkToFit="1"/>
    </xf>
    <xf numFmtId="0" fontId="4" fillId="0" borderId="19" xfId="0" applyFont="1" applyBorder="1" applyAlignment="1">
      <alignment vertical="center" shrinkToFit="1"/>
    </xf>
    <xf numFmtId="0" fontId="8" fillId="0" borderId="0" xfId="0" applyFont="1" applyAlignment="1">
      <alignment horizontal="left" vertical="center"/>
    </xf>
    <xf numFmtId="0" fontId="9" fillId="0" borderId="7" xfId="0" applyFont="1" applyBorder="1" applyAlignment="1">
      <alignment horizontal="center" vertical="center" wrapText="1"/>
    </xf>
    <xf numFmtId="0" fontId="9" fillId="0" borderId="11"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vertical="center" shrinkToFit="1"/>
    </xf>
    <xf numFmtId="0" fontId="4" fillId="0" borderId="39" xfId="0" applyFont="1" applyBorder="1" applyAlignment="1">
      <alignment vertical="center" shrinkToFit="1"/>
    </xf>
    <xf numFmtId="0" fontId="4" fillId="0" borderId="40" xfId="0" applyFont="1" applyBorder="1" applyAlignment="1">
      <alignment vertical="center" shrinkToFit="1"/>
    </xf>
    <xf numFmtId="0" fontId="4" fillId="0" borderId="41" xfId="0" applyFont="1" applyBorder="1" applyAlignment="1">
      <alignment vertical="center" shrinkToFit="1"/>
    </xf>
    <xf numFmtId="0" fontId="4" fillId="0" borderId="2" xfId="0" applyFont="1" applyBorder="1" applyAlignment="1">
      <alignment vertical="center" wrapText="1" shrinkToFit="1"/>
    </xf>
    <xf numFmtId="0" fontId="4" fillId="0" borderId="16" xfId="0" applyFont="1" applyBorder="1" applyAlignment="1">
      <alignment vertical="center" wrapText="1"/>
    </xf>
    <xf numFmtId="0" fontId="4" fillId="0" borderId="42" xfId="0" applyFont="1" applyBorder="1" applyAlignment="1">
      <alignment vertical="center" wrapText="1"/>
    </xf>
    <xf numFmtId="0" fontId="5" fillId="0" borderId="7" xfId="0" applyFont="1" applyBorder="1" applyAlignment="1">
      <alignment vertical="top" wrapText="1"/>
    </xf>
    <xf numFmtId="0" fontId="5" fillId="0" borderId="8" xfId="0" applyFont="1" applyBorder="1" applyAlignment="1">
      <alignment vertical="top" wrapText="1"/>
    </xf>
    <xf numFmtId="0" fontId="5" fillId="0" borderId="9" xfId="0" applyFont="1" applyBorder="1" applyAlignment="1">
      <alignment vertical="top" wrapText="1"/>
    </xf>
    <xf numFmtId="0" fontId="5" fillId="0" borderId="5" xfId="0" applyFont="1" applyBorder="1" applyAlignment="1">
      <alignment vertical="top" wrapText="1"/>
    </xf>
    <xf numFmtId="0" fontId="5" fillId="0" borderId="0" xfId="0" applyFont="1" applyBorder="1" applyAlignment="1">
      <alignment vertical="top" wrapText="1"/>
    </xf>
    <xf numFmtId="0" fontId="5" fillId="0" borderId="10" xfId="0" applyFont="1" applyBorder="1" applyAlignment="1">
      <alignment vertical="top" wrapText="1"/>
    </xf>
    <xf numFmtId="0" fontId="5" fillId="0" borderId="11" xfId="0" applyFont="1" applyBorder="1" applyAlignment="1">
      <alignment vertical="top" wrapText="1"/>
    </xf>
    <xf numFmtId="0" fontId="5" fillId="0" borderId="6" xfId="0" applyFont="1" applyBorder="1" applyAlignment="1">
      <alignment vertical="top" wrapText="1"/>
    </xf>
    <xf numFmtId="0" fontId="5" fillId="0" borderId="12" xfId="0" applyFont="1" applyBorder="1" applyAlignment="1">
      <alignment vertical="top" wrapText="1"/>
    </xf>
    <xf numFmtId="0" fontId="4" fillId="0" borderId="2"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13" xfId="0" applyFont="1" applyBorder="1" applyAlignment="1">
      <alignment vertical="center"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5" fillId="0" borderId="5" xfId="0" applyFont="1" applyBorder="1" applyAlignment="1">
      <alignment horizontal="left" vertical="top" wrapText="1"/>
    </xf>
    <xf numFmtId="0" fontId="5" fillId="0" borderId="0" xfId="0" applyFont="1" applyBorder="1" applyAlignment="1">
      <alignment horizontal="left" vertical="top" wrapText="1"/>
    </xf>
    <xf numFmtId="0" fontId="5" fillId="0" borderId="10"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2" xfId="0" applyFont="1" applyBorder="1" applyAlignment="1">
      <alignment horizontal="left" vertical="top" wrapText="1"/>
    </xf>
    <xf numFmtId="0" fontId="6" fillId="0" borderId="2" xfId="2" applyFont="1" applyBorder="1" applyAlignment="1">
      <alignment vertical="center" shrinkToFit="1"/>
    </xf>
    <xf numFmtId="0" fontId="4"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4" fillId="0" borderId="7" xfId="0" applyFont="1" applyBorder="1" applyAlignment="1">
      <alignment vertical="top" wrapText="1" shrinkToFit="1"/>
    </xf>
    <xf numFmtId="0" fontId="4" fillId="0" borderId="8" xfId="0" applyFont="1" applyBorder="1" applyAlignment="1">
      <alignment vertical="top" shrinkToFit="1"/>
    </xf>
    <xf numFmtId="0" fontId="4" fillId="0" borderId="9" xfId="0" applyFont="1" applyBorder="1" applyAlignment="1">
      <alignment vertical="top" shrinkToFit="1"/>
    </xf>
    <xf numFmtId="0" fontId="4" fillId="0" borderId="5" xfId="0" applyFont="1" applyBorder="1" applyAlignment="1">
      <alignment vertical="top" shrinkToFit="1"/>
    </xf>
    <xf numFmtId="0" fontId="4" fillId="0" borderId="0" xfId="0" applyFont="1" applyBorder="1" applyAlignment="1">
      <alignment vertical="top" shrinkToFit="1"/>
    </xf>
    <xf numFmtId="0" fontId="4" fillId="0" borderId="10" xfId="0" applyFont="1" applyBorder="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4" fillId="0" borderId="6" xfId="0" applyFont="1" applyBorder="1" applyAlignment="1">
      <alignment vertical="center"/>
    </xf>
    <xf numFmtId="0" fontId="4" fillId="0" borderId="8" xfId="0" applyFont="1" applyBorder="1" applyAlignment="1">
      <alignment vertical="top" wrapText="1" shrinkToFit="1"/>
    </xf>
    <xf numFmtId="0" fontId="4" fillId="0" borderId="9" xfId="0" applyFont="1" applyBorder="1" applyAlignment="1">
      <alignment vertical="top" wrapText="1" shrinkToFit="1"/>
    </xf>
    <xf numFmtId="0" fontId="4" fillId="0" borderId="5" xfId="0" applyFont="1" applyBorder="1" applyAlignment="1">
      <alignment vertical="top" wrapText="1" shrinkToFit="1"/>
    </xf>
    <xf numFmtId="0" fontId="4" fillId="0" borderId="0" xfId="0" applyFont="1" applyBorder="1" applyAlignment="1">
      <alignment vertical="top" wrapText="1" shrinkToFit="1"/>
    </xf>
    <xf numFmtId="0" fontId="4" fillId="0" borderId="10" xfId="0" applyFont="1" applyBorder="1" applyAlignment="1">
      <alignment vertical="top" wrapText="1" shrinkToFit="1"/>
    </xf>
    <xf numFmtId="0" fontId="4" fillId="0" borderId="11" xfId="0" applyFont="1" applyBorder="1" applyAlignment="1">
      <alignment vertical="top" wrapText="1" shrinkToFit="1"/>
    </xf>
    <xf numFmtId="0" fontId="4" fillId="0" borderId="6" xfId="0" applyFont="1" applyBorder="1" applyAlignment="1">
      <alignment vertical="top" wrapText="1" shrinkToFit="1"/>
    </xf>
    <xf numFmtId="0" fontId="4" fillId="0" borderId="12" xfId="0" applyFont="1" applyBorder="1" applyAlignment="1">
      <alignment vertical="top" wrapText="1" shrinkToFit="1"/>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vertical="center" wrapText="1"/>
    </xf>
    <xf numFmtId="0" fontId="4" fillId="0" borderId="18" xfId="0" applyFont="1" applyBorder="1" applyAlignment="1">
      <alignment vertical="center"/>
    </xf>
    <xf numFmtId="0" fontId="5" fillId="0" borderId="19" xfId="0" applyFont="1" applyBorder="1" applyAlignment="1">
      <alignment vertical="center"/>
    </xf>
    <xf numFmtId="0" fontId="4" fillId="0" borderId="18" xfId="0" applyFont="1" applyBorder="1" applyAlignment="1">
      <alignment vertical="center" wrapText="1"/>
    </xf>
    <xf numFmtId="0" fontId="4" fillId="0" borderId="19" xfId="0" applyFont="1" applyBorder="1" applyAlignment="1">
      <alignment vertical="center" wrapText="1"/>
    </xf>
    <xf numFmtId="0" fontId="4" fillId="0" borderId="21" xfId="0" applyFont="1" applyBorder="1" applyAlignment="1">
      <alignment vertical="top" wrapText="1" shrinkToFit="1"/>
    </xf>
    <xf numFmtId="0" fontId="4" fillId="0" borderId="19" xfId="0" applyFont="1" applyBorder="1" applyAlignment="1">
      <alignment vertical="top" wrapText="1" shrinkToFit="1"/>
    </xf>
    <xf numFmtId="0" fontId="4" fillId="0" borderId="22" xfId="0" applyFont="1" applyBorder="1" applyAlignment="1">
      <alignment vertical="center" wrapText="1"/>
    </xf>
    <xf numFmtId="0" fontId="4" fillId="0" borderId="23" xfId="0" applyFont="1" applyBorder="1" applyAlignment="1">
      <alignment vertical="center" wrapText="1"/>
    </xf>
    <xf numFmtId="0" fontId="4" fillId="0" borderId="24" xfId="0" applyFont="1" applyBorder="1" applyAlignment="1">
      <alignment vertical="top" wrapText="1" shrinkToFit="1"/>
    </xf>
    <xf numFmtId="0" fontId="4" fillId="0" borderId="23" xfId="0" applyFont="1" applyBorder="1" applyAlignment="1">
      <alignment vertical="top" wrapText="1" shrinkToFit="1"/>
    </xf>
    <xf numFmtId="0" fontId="4" fillId="0" borderId="20" xfId="0" applyFont="1" applyBorder="1" applyAlignment="1">
      <alignment vertical="center" wrapText="1"/>
    </xf>
    <xf numFmtId="0" fontId="4" fillId="0" borderId="21" xfId="0" applyFont="1" applyBorder="1" applyAlignment="1">
      <alignment vertical="center" wrapText="1"/>
    </xf>
    <xf numFmtId="0" fontId="3" fillId="0" borderId="2" xfId="2" applyBorder="1" applyAlignment="1">
      <alignment horizontal="left" vertical="center" shrinkToFit="1"/>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4" fillId="0" borderId="20" xfId="0" applyFont="1" applyBorder="1" applyAlignment="1">
      <alignment vertical="top" wrapText="1" shrinkToFit="1"/>
    </xf>
    <xf numFmtId="0" fontId="7" fillId="0" borderId="0" xfId="0" applyFont="1" applyAlignment="1">
      <alignment vertical="top" wrapText="1"/>
    </xf>
    <xf numFmtId="0" fontId="4" fillId="0" borderId="43" xfId="0" applyFont="1" applyBorder="1" applyAlignment="1">
      <alignment vertical="top" wrapText="1" shrinkToFit="1"/>
    </xf>
    <xf numFmtId="0" fontId="4" fillId="0" borderId="44" xfId="0" applyFont="1" applyBorder="1" applyAlignment="1">
      <alignment vertical="top" wrapText="1" shrinkToFit="1"/>
    </xf>
    <xf numFmtId="0" fontId="4" fillId="0" borderId="45" xfId="0" applyFont="1" applyBorder="1" applyAlignment="1">
      <alignment vertical="top"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seijo.ac.jp/education/support/cds3/"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seijo.ac.jp/education/support/cds3/link/jtmo4200000107q8-att/jtmo4200000107sg.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47"/>
  <sheetViews>
    <sheetView zoomScaleNormal="100" workbookViewId="0">
      <selection activeCell="R5" sqref="R5"/>
    </sheetView>
  </sheetViews>
  <sheetFormatPr defaultColWidth="9" defaultRowHeight="18.75" customHeight="1" x14ac:dyDescent="0.15"/>
  <cols>
    <col min="1" max="1" width="2.5" style="3" customWidth="1"/>
    <col min="2" max="2" width="12.5" style="3" customWidth="1"/>
    <col min="3" max="8" width="6.25" style="3" customWidth="1"/>
    <col min="9" max="9" width="2.5" style="3" customWidth="1"/>
    <col min="10" max="10" width="10" style="3" customWidth="1"/>
    <col min="11" max="11" width="2.5" style="3" customWidth="1"/>
    <col min="12" max="12" width="7.5" style="3" customWidth="1"/>
    <col min="13" max="13" width="2.5" style="3" customWidth="1"/>
    <col min="14" max="14" width="7.5" style="3" customWidth="1"/>
    <col min="15" max="16384" width="9" style="3"/>
  </cols>
  <sheetData>
    <row r="1" spans="1:14" ht="22.5" customHeight="1" x14ac:dyDescent="0.15">
      <c r="M1" s="103" t="s">
        <v>28</v>
      </c>
      <c r="N1" s="103"/>
    </row>
    <row r="2" spans="1:14" ht="22.5" customHeight="1" x14ac:dyDescent="0.15">
      <c r="A2" s="111" t="s">
        <v>130</v>
      </c>
      <c r="B2" s="111"/>
      <c r="C2" s="111"/>
      <c r="D2" s="111"/>
      <c r="E2" s="111"/>
      <c r="F2" s="111"/>
      <c r="G2" s="111"/>
      <c r="H2" s="111"/>
      <c r="I2" s="111"/>
      <c r="J2" s="111"/>
      <c r="K2" s="111"/>
      <c r="L2" s="111"/>
      <c r="M2" s="111"/>
      <c r="N2" s="111"/>
    </row>
    <row r="3" spans="1:14" ht="22.5" customHeight="1" x14ac:dyDescent="0.15"/>
    <row r="4" spans="1:14" ht="22.5" customHeight="1" x14ac:dyDescent="0.15">
      <c r="A4" s="3" t="s">
        <v>7</v>
      </c>
      <c r="B4" s="4" t="s">
        <v>19</v>
      </c>
      <c r="C4" s="90" t="s">
        <v>131</v>
      </c>
      <c r="D4" s="91"/>
      <c r="E4" s="91"/>
      <c r="F4" s="91"/>
      <c r="G4" s="91"/>
      <c r="H4" s="91"/>
      <c r="I4" s="91"/>
      <c r="J4" s="91"/>
      <c r="K4" s="91"/>
      <c r="L4" s="91"/>
      <c r="M4" s="91"/>
      <c r="N4" s="92"/>
    </row>
    <row r="5" spans="1:14" ht="7.5" customHeight="1" x14ac:dyDescent="0.15">
      <c r="B5" s="4"/>
      <c r="C5" s="4"/>
      <c r="D5" s="4"/>
      <c r="E5" s="5"/>
      <c r="F5" s="74"/>
      <c r="G5" s="74"/>
      <c r="H5" s="74"/>
      <c r="I5" s="74"/>
      <c r="J5" s="74"/>
      <c r="K5" s="74"/>
      <c r="L5" s="74"/>
      <c r="M5" s="74"/>
      <c r="N5" s="74"/>
    </row>
    <row r="6" spans="1:14" ht="22.5" customHeight="1" x14ac:dyDescent="0.15">
      <c r="A6" s="3" t="s">
        <v>54</v>
      </c>
      <c r="B6" s="4" t="s">
        <v>55</v>
      </c>
      <c r="C6" s="4"/>
      <c r="D6" s="90" t="s">
        <v>211</v>
      </c>
      <c r="E6" s="91"/>
      <c r="F6" s="91"/>
      <c r="G6" s="91"/>
      <c r="H6" s="91"/>
      <c r="I6" s="91"/>
      <c r="J6" s="91"/>
      <c r="K6" s="91"/>
      <c r="L6" s="91"/>
      <c r="M6" s="91"/>
      <c r="N6" s="92"/>
    </row>
    <row r="7" spans="1:14" ht="7.5" customHeight="1" x14ac:dyDescent="0.15">
      <c r="B7" s="4"/>
      <c r="C7" s="4"/>
      <c r="D7" s="4"/>
      <c r="E7" s="5"/>
      <c r="F7" s="74"/>
      <c r="G7" s="74"/>
      <c r="H7" s="74"/>
      <c r="I7" s="74"/>
      <c r="J7" s="74"/>
      <c r="K7" s="74"/>
      <c r="L7" s="74"/>
      <c r="M7" s="74"/>
      <c r="N7" s="74"/>
    </row>
    <row r="8" spans="1:14" ht="22.5" customHeight="1" x14ac:dyDescent="0.15">
      <c r="A8" s="6" t="s">
        <v>13</v>
      </c>
      <c r="B8" s="7" t="s">
        <v>56</v>
      </c>
      <c r="C8" s="90" t="s">
        <v>132</v>
      </c>
      <c r="D8" s="91"/>
      <c r="E8" s="92"/>
      <c r="F8" s="74"/>
      <c r="G8" s="107"/>
      <c r="H8" s="107"/>
      <c r="I8" s="107"/>
      <c r="J8" s="74"/>
      <c r="K8" s="74"/>
      <c r="L8" s="74"/>
      <c r="M8" s="74"/>
      <c r="N8" s="74"/>
    </row>
    <row r="9" spans="1:14" ht="7.5" customHeight="1" x14ac:dyDescent="0.15">
      <c r="B9" s="4"/>
      <c r="C9" s="4"/>
      <c r="D9" s="4"/>
      <c r="E9" s="5"/>
      <c r="F9" s="74"/>
      <c r="G9" s="74"/>
      <c r="H9" s="74"/>
      <c r="I9" s="74"/>
      <c r="J9" s="74"/>
      <c r="K9" s="74"/>
      <c r="L9" s="74"/>
      <c r="M9" s="74"/>
      <c r="N9" s="74"/>
    </row>
    <row r="10" spans="1:14" ht="22.5" customHeight="1" x14ac:dyDescent="0.15">
      <c r="A10" s="3" t="s">
        <v>16</v>
      </c>
      <c r="B10" s="4" t="s">
        <v>51</v>
      </c>
      <c r="C10" s="90" t="s">
        <v>133</v>
      </c>
      <c r="D10" s="91"/>
      <c r="E10" s="91"/>
      <c r="F10" s="91"/>
      <c r="G10" s="91"/>
      <c r="H10" s="91"/>
      <c r="I10" s="91"/>
      <c r="J10" s="91"/>
      <c r="K10" s="91"/>
      <c r="L10" s="91"/>
      <c r="M10" s="91"/>
      <c r="N10" s="92"/>
    </row>
    <row r="11" spans="1:14" ht="7.5" customHeight="1" x14ac:dyDescent="0.15">
      <c r="B11" s="4"/>
      <c r="C11" s="4"/>
      <c r="D11" s="4"/>
      <c r="E11" s="5"/>
      <c r="F11" s="74"/>
      <c r="G11" s="74"/>
      <c r="H11" s="74"/>
      <c r="I11" s="74"/>
      <c r="J11" s="74"/>
      <c r="K11" s="74"/>
      <c r="L11" s="74"/>
      <c r="M11" s="74"/>
      <c r="N11" s="74"/>
    </row>
    <row r="12" spans="1:14" ht="22.5" customHeight="1" x14ac:dyDescent="0.15">
      <c r="A12" s="3" t="s">
        <v>14</v>
      </c>
      <c r="B12" s="4" t="s">
        <v>126</v>
      </c>
      <c r="C12" s="4"/>
      <c r="D12" s="4"/>
      <c r="E12" s="74"/>
      <c r="F12" s="19"/>
      <c r="G12" s="112" t="s">
        <v>134</v>
      </c>
      <c r="H12" s="113"/>
      <c r="I12" s="113"/>
      <c r="J12" s="113"/>
      <c r="K12" s="113"/>
      <c r="L12" s="113"/>
      <c r="M12" s="113"/>
      <c r="N12" s="114"/>
    </row>
    <row r="13" spans="1:14" ht="7.5" customHeight="1" x14ac:dyDescent="0.15">
      <c r="B13" s="5"/>
      <c r="C13" s="5"/>
      <c r="D13" s="5"/>
      <c r="E13" s="5"/>
      <c r="F13" s="74"/>
      <c r="G13" s="74"/>
      <c r="H13" s="74"/>
      <c r="I13" s="74"/>
      <c r="J13" s="74"/>
      <c r="K13" s="74"/>
      <c r="L13" s="74"/>
      <c r="M13" s="74"/>
      <c r="N13" s="74"/>
    </row>
    <row r="14" spans="1:14" ht="22.5" customHeight="1" x14ac:dyDescent="0.15">
      <c r="A14" s="3" t="s">
        <v>66</v>
      </c>
      <c r="B14" s="5" t="s">
        <v>67</v>
      </c>
      <c r="C14" s="5"/>
      <c r="D14" s="5"/>
      <c r="E14" s="5"/>
      <c r="F14" s="108" t="s">
        <v>120</v>
      </c>
      <c r="G14" s="109"/>
      <c r="H14" s="110"/>
      <c r="I14" s="74"/>
      <c r="J14" s="74"/>
      <c r="K14" s="74"/>
      <c r="L14" s="74"/>
      <c r="M14" s="74"/>
      <c r="N14" s="74"/>
    </row>
    <row r="15" spans="1:14" ht="7.5" customHeight="1" x14ac:dyDescent="0.15">
      <c r="B15" s="5"/>
      <c r="C15" s="5"/>
      <c r="D15" s="5"/>
      <c r="E15" s="5"/>
      <c r="F15" s="74"/>
      <c r="G15" s="74"/>
      <c r="H15" s="74"/>
      <c r="I15" s="74"/>
      <c r="J15" s="74"/>
      <c r="K15" s="74"/>
      <c r="L15" s="74"/>
      <c r="M15" s="74"/>
      <c r="N15" s="74"/>
    </row>
    <row r="16" spans="1:14" ht="22.5" customHeight="1" x14ac:dyDescent="0.15">
      <c r="A16" s="3" t="s">
        <v>15</v>
      </c>
      <c r="B16" s="3" t="s">
        <v>0</v>
      </c>
      <c r="C16" s="104" t="s">
        <v>6</v>
      </c>
      <c r="D16" s="105"/>
      <c r="E16" s="88">
        <v>148</v>
      </c>
      <c r="F16" s="89"/>
      <c r="G16" s="8" t="s">
        <v>10</v>
      </c>
      <c r="I16" s="104" t="s">
        <v>11</v>
      </c>
      <c r="J16" s="105"/>
      <c r="K16" s="88">
        <v>414</v>
      </c>
      <c r="L16" s="106"/>
      <c r="M16" s="89"/>
      <c r="N16" s="9" t="s">
        <v>10</v>
      </c>
    </row>
    <row r="17" spans="1:14" ht="7.5" customHeight="1" x14ac:dyDescent="0.15">
      <c r="F17" s="10"/>
      <c r="G17" s="10"/>
      <c r="H17" s="10"/>
      <c r="I17" s="10"/>
      <c r="J17" s="10"/>
      <c r="K17" s="10"/>
      <c r="L17" s="10"/>
      <c r="M17" s="9"/>
      <c r="N17" s="9"/>
    </row>
    <row r="18" spans="1:14" ht="22.5" customHeight="1" x14ac:dyDescent="0.15">
      <c r="A18" s="3" t="s">
        <v>60</v>
      </c>
      <c r="B18" s="3" t="s">
        <v>90</v>
      </c>
      <c r="F18" s="10"/>
      <c r="G18" s="10"/>
      <c r="H18" s="10"/>
      <c r="I18" s="10"/>
      <c r="J18" s="10"/>
      <c r="K18" s="100">
        <v>2</v>
      </c>
      <c r="L18" s="101"/>
      <c r="M18" s="102"/>
      <c r="N18" s="9" t="s">
        <v>58</v>
      </c>
    </row>
    <row r="19" spans="1:14" ht="7.5" customHeight="1" x14ac:dyDescent="0.15">
      <c r="F19" s="10"/>
      <c r="G19" s="10"/>
      <c r="H19" s="10"/>
      <c r="I19" s="10"/>
      <c r="J19" s="10"/>
      <c r="K19" s="10"/>
      <c r="L19" s="10"/>
      <c r="M19" s="9"/>
      <c r="N19" s="9"/>
    </row>
    <row r="20" spans="1:14" ht="22.5" customHeight="1" x14ac:dyDescent="0.15">
      <c r="A20" s="3" t="s">
        <v>68</v>
      </c>
      <c r="B20" s="3" t="s">
        <v>123</v>
      </c>
      <c r="E20" s="88">
        <v>1215</v>
      </c>
      <c r="F20" s="89"/>
      <c r="G20" s="11" t="s">
        <v>24</v>
      </c>
      <c r="H20" s="10"/>
      <c r="K20" s="87"/>
      <c r="L20" s="87"/>
      <c r="M20" s="87"/>
      <c r="N20" s="87"/>
    </row>
    <row r="21" spans="1:14" ht="7.5" customHeight="1" x14ac:dyDescent="0.15">
      <c r="E21" s="1"/>
      <c r="F21" s="10"/>
      <c r="G21" s="10"/>
      <c r="L21" s="68"/>
      <c r="M21" s="68"/>
      <c r="N21" s="12"/>
    </row>
    <row r="22" spans="1:14" ht="22.5" customHeight="1" x14ac:dyDescent="0.15">
      <c r="A22" s="3" t="s">
        <v>27</v>
      </c>
      <c r="B22" s="3" t="s">
        <v>124</v>
      </c>
      <c r="E22" s="1"/>
      <c r="F22" s="10"/>
      <c r="G22" s="10"/>
      <c r="H22" s="3" t="s">
        <v>59</v>
      </c>
      <c r="J22" s="94">
        <f>2513+3068</f>
        <v>5581</v>
      </c>
      <c r="K22" s="95"/>
      <c r="L22" s="96"/>
      <c r="M22" s="68" t="s">
        <v>58</v>
      </c>
      <c r="N22" s="12"/>
    </row>
    <row r="23" spans="1:14" ht="7.5" customHeight="1" x14ac:dyDescent="0.15">
      <c r="E23" s="1"/>
      <c r="F23" s="10"/>
      <c r="G23" s="10"/>
      <c r="L23" s="68"/>
      <c r="M23" s="68"/>
      <c r="N23" s="12"/>
    </row>
    <row r="24" spans="1:14" ht="22.5" customHeight="1" x14ac:dyDescent="0.15">
      <c r="B24" s="73" t="s">
        <v>20</v>
      </c>
      <c r="C24" s="88">
        <f>559+753</f>
        <v>1312</v>
      </c>
      <c r="D24" s="89"/>
      <c r="E24" s="1" t="s">
        <v>25</v>
      </c>
      <c r="F24" s="10"/>
      <c r="G24" s="93" t="s">
        <v>21</v>
      </c>
      <c r="H24" s="93"/>
      <c r="I24" s="88">
        <f>619+712</f>
        <v>1331</v>
      </c>
      <c r="J24" s="89"/>
      <c r="K24" s="6" t="s">
        <v>25</v>
      </c>
      <c r="M24" s="68"/>
      <c r="N24" s="12"/>
    </row>
    <row r="25" spans="1:14" ht="7.5" customHeight="1" x14ac:dyDescent="0.15">
      <c r="B25" s="73"/>
      <c r="C25" s="2"/>
      <c r="D25" s="2"/>
      <c r="E25" s="1"/>
      <c r="F25" s="10"/>
      <c r="G25" s="68"/>
      <c r="H25" s="68"/>
      <c r="I25" s="2"/>
      <c r="J25" s="2"/>
      <c r="K25" s="6"/>
      <c r="M25" s="68"/>
      <c r="N25" s="12"/>
    </row>
    <row r="26" spans="1:14" ht="22.5" customHeight="1" x14ac:dyDescent="0.15">
      <c r="B26" s="73" t="s">
        <v>22</v>
      </c>
      <c r="C26" s="88">
        <f>627+691</f>
        <v>1318</v>
      </c>
      <c r="D26" s="89"/>
      <c r="E26" s="1" t="s">
        <v>25</v>
      </c>
      <c r="F26" s="10"/>
      <c r="G26" s="93" t="s">
        <v>23</v>
      </c>
      <c r="H26" s="93"/>
      <c r="I26" s="88">
        <f>708+912</f>
        <v>1620</v>
      </c>
      <c r="J26" s="89"/>
      <c r="K26" s="6" t="s">
        <v>25</v>
      </c>
      <c r="M26" s="68"/>
      <c r="N26" s="12"/>
    </row>
    <row r="27" spans="1:14" ht="7.5" customHeight="1" x14ac:dyDescent="0.15">
      <c r="B27" s="73"/>
      <c r="C27" s="2"/>
      <c r="D27" s="2"/>
      <c r="E27" s="1"/>
      <c r="F27" s="10"/>
      <c r="G27" s="68"/>
      <c r="H27" s="68"/>
      <c r="I27" s="2"/>
      <c r="J27" s="2"/>
      <c r="K27" s="6"/>
      <c r="M27" s="68"/>
      <c r="N27" s="12"/>
    </row>
    <row r="28" spans="1:14" ht="22.5" customHeight="1" x14ac:dyDescent="0.15">
      <c r="B28" s="73" t="s">
        <v>52</v>
      </c>
      <c r="C28" s="88" t="s">
        <v>180</v>
      </c>
      <c r="D28" s="89"/>
      <c r="E28" s="1" t="s">
        <v>10</v>
      </c>
      <c r="F28" s="10"/>
      <c r="G28" s="93" t="s">
        <v>53</v>
      </c>
      <c r="H28" s="93"/>
      <c r="I28" s="88" t="s">
        <v>180</v>
      </c>
      <c r="J28" s="89"/>
      <c r="K28" s="6" t="s">
        <v>10</v>
      </c>
      <c r="M28" s="68"/>
      <c r="N28" s="12"/>
    </row>
    <row r="29" spans="1:14" ht="7.5" customHeight="1" x14ac:dyDescent="0.15">
      <c r="F29" s="10"/>
      <c r="G29" s="10"/>
      <c r="M29" s="13"/>
      <c r="N29" s="13"/>
    </row>
    <row r="30" spans="1:14" ht="22.5" customHeight="1" x14ac:dyDescent="0.15">
      <c r="A30" s="3" t="s">
        <v>122</v>
      </c>
      <c r="B30" s="4" t="s">
        <v>114</v>
      </c>
      <c r="C30" s="4"/>
      <c r="D30" s="4"/>
      <c r="E30" s="4"/>
      <c r="F30" s="6"/>
      <c r="G30" s="74"/>
      <c r="H30" s="74"/>
      <c r="I30" s="74"/>
      <c r="J30" s="14"/>
      <c r="K30" s="14"/>
      <c r="L30" s="14"/>
      <c r="M30" s="14"/>
      <c r="N30" s="14"/>
    </row>
    <row r="31" spans="1:14" ht="22.5" customHeight="1" x14ac:dyDescent="0.15">
      <c r="B31" s="97" t="s">
        <v>113</v>
      </c>
      <c r="C31" s="97"/>
      <c r="D31" s="90" t="s">
        <v>135</v>
      </c>
      <c r="E31" s="91"/>
      <c r="F31" s="91"/>
      <c r="G31" s="98" t="s">
        <v>26</v>
      </c>
      <c r="H31" s="97"/>
      <c r="I31" s="99"/>
      <c r="J31" s="90" t="s">
        <v>136</v>
      </c>
      <c r="K31" s="91"/>
      <c r="L31" s="91"/>
      <c r="M31" s="91"/>
      <c r="N31" s="92"/>
    </row>
    <row r="32" spans="1:14" ht="7.5" customHeight="1" x14ac:dyDescent="0.15">
      <c r="F32" s="10"/>
      <c r="G32" s="10"/>
      <c r="M32" s="13"/>
      <c r="N32" s="13"/>
    </row>
    <row r="33" spans="1:14" ht="22.5" customHeight="1" x14ac:dyDescent="0.15">
      <c r="A33" s="3" t="s">
        <v>57</v>
      </c>
      <c r="B33" s="4" t="s">
        <v>127</v>
      </c>
      <c r="C33" s="4"/>
      <c r="D33" s="4"/>
      <c r="E33" s="4"/>
      <c r="F33" s="6"/>
      <c r="G33" s="14"/>
      <c r="H33" s="14"/>
      <c r="I33" s="14"/>
      <c r="J33" s="14"/>
      <c r="K33" s="14"/>
      <c r="L33" s="14"/>
      <c r="M33" s="14"/>
      <c r="N33" s="14"/>
    </row>
    <row r="34" spans="1:14" ht="22.5" customHeight="1" x14ac:dyDescent="0.15">
      <c r="B34" s="90" t="s">
        <v>137</v>
      </c>
      <c r="C34" s="91"/>
      <c r="D34" s="91"/>
      <c r="E34" s="91"/>
      <c r="F34" s="91"/>
      <c r="G34" s="91"/>
      <c r="H34" s="91"/>
      <c r="I34" s="91"/>
      <c r="J34" s="91"/>
      <c r="K34" s="91"/>
      <c r="L34" s="91"/>
      <c r="M34" s="91"/>
      <c r="N34" s="92"/>
    </row>
    <row r="35" spans="1:14" ht="7.5" customHeight="1" x14ac:dyDescent="0.15">
      <c r="B35" s="72"/>
      <c r="C35" s="72"/>
      <c r="D35" s="72"/>
      <c r="E35" s="72"/>
      <c r="F35" s="72"/>
      <c r="G35" s="72"/>
      <c r="H35" s="72"/>
      <c r="I35" s="72"/>
      <c r="J35" s="72"/>
      <c r="K35" s="72"/>
      <c r="L35" s="72"/>
      <c r="M35" s="72"/>
      <c r="N35" s="72"/>
    </row>
    <row r="36" spans="1:14" ht="22.5" customHeight="1" x14ac:dyDescent="0.15">
      <c r="B36" s="97" t="s">
        <v>113</v>
      </c>
      <c r="C36" s="97"/>
      <c r="D36" s="90" t="s">
        <v>135</v>
      </c>
      <c r="E36" s="91"/>
      <c r="F36" s="91"/>
      <c r="G36" s="98" t="s">
        <v>62</v>
      </c>
      <c r="H36" s="97"/>
      <c r="I36" s="99"/>
      <c r="J36" s="90" t="s">
        <v>136</v>
      </c>
      <c r="K36" s="91"/>
      <c r="L36" s="91"/>
      <c r="M36" s="91"/>
      <c r="N36" s="92"/>
    </row>
    <row r="37" spans="1:14" ht="7.5" customHeight="1" x14ac:dyDescent="0.15">
      <c r="F37" s="74"/>
      <c r="G37" s="74"/>
      <c r="H37" s="74"/>
      <c r="I37" s="74"/>
      <c r="J37" s="74"/>
      <c r="K37" s="74"/>
      <c r="L37" s="74"/>
      <c r="M37" s="74"/>
      <c r="N37" s="74"/>
    </row>
    <row r="38" spans="1:14" ht="22.5" customHeight="1" x14ac:dyDescent="0.15">
      <c r="A38" s="3" t="s">
        <v>61</v>
      </c>
      <c r="B38" s="3" t="s">
        <v>128</v>
      </c>
      <c r="M38" s="13"/>
      <c r="N38" s="13"/>
    </row>
    <row r="39" spans="1:14" ht="22.5" customHeight="1" x14ac:dyDescent="0.15">
      <c r="B39" s="90" t="s">
        <v>148</v>
      </c>
      <c r="C39" s="91"/>
      <c r="D39" s="91"/>
      <c r="E39" s="91"/>
      <c r="F39" s="91"/>
      <c r="G39" s="91"/>
      <c r="H39" s="91"/>
      <c r="I39" s="91"/>
      <c r="J39" s="91"/>
      <c r="K39" s="91"/>
      <c r="L39" s="91"/>
      <c r="M39" s="91"/>
      <c r="N39" s="92"/>
    </row>
    <row r="40" spans="1:14" ht="7.5" customHeight="1" x14ac:dyDescent="0.15">
      <c r="F40" s="74"/>
      <c r="G40" s="74"/>
      <c r="H40" s="74"/>
      <c r="I40" s="74"/>
      <c r="J40" s="74"/>
      <c r="K40" s="74"/>
      <c r="L40" s="74"/>
      <c r="M40" s="74"/>
      <c r="N40" s="74"/>
    </row>
    <row r="41" spans="1:14" ht="22.5" customHeight="1" x14ac:dyDescent="0.15">
      <c r="B41" s="97" t="s">
        <v>113</v>
      </c>
      <c r="C41" s="97"/>
      <c r="D41" s="90" t="s">
        <v>135</v>
      </c>
      <c r="E41" s="91"/>
      <c r="F41" s="91"/>
      <c r="G41" s="98" t="s">
        <v>62</v>
      </c>
      <c r="H41" s="97"/>
      <c r="I41" s="99"/>
      <c r="J41" s="90" t="s">
        <v>149</v>
      </c>
      <c r="K41" s="91"/>
      <c r="L41" s="91"/>
      <c r="M41" s="91"/>
      <c r="N41" s="92"/>
    </row>
    <row r="42" spans="1:14" ht="7.5" customHeight="1" x14ac:dyDescent="0.15">
      <c r="F42" s="74"/>
      <c r="G42" s="74"/>
      <c r="H42" s="74"/>
      <c r="I42" s="74"/>
      <c r="J42" s="74"/>
      <c r="K42" s="74"/>
      <c r="L42" s="74"/>
      <c r="M42" s="74"/>
      <c r="N42" s="74"/>
    </row>
    <row r="43" spans="1:14" ht="22.5" customHeight="1" x14ac:dyDescent="0.15">
      <c r="A43" s="3" t="s">
        <v>69</v>
      </c>
      <c r="B43" s="20" t="s">
        <v>89</v>
      </c>
      <c r="E43" s="19"/>
      <c r="F43" s="90" t="s">
        <v>187</v>
      </c>
      <c r="G43" s="91"/>
      <c r="H43" s="91"/>
      <c r="I43" s="91"/>
      <c r="J43" s="91"/>
      <c r="K43" s="91"/>
      <c r="L43" s="91"/>
      <c r="M43" s="91"/>
      <c r="N43" s="92"/>
    </row>
    <row r="44" spans="1:14" ht="7.5" customHeight="1" x14ac:dyDescent="0.15">
      <c r="F44" s="74"/>
      <c r="G44" s="74"/>
      <c r="H44" s="74"/>
      <c r="I44" s="74"/>
      <c r="J44" s="74"/>
      <c r="K44" s="74"/>
      <c r="L44" s="74"/>
      <c r="M44" s="74"/>
      <c r="N44" s="74"/>
    </row>
    <row r="45" spans="1:14" ht="22.5" customHeight="1" x14ac:dyDescent="0.15">
      <c r="A45" s="3" t="s">
        <v>3</v>
      </c>
    </row>
    <row r="46" spans="1:14" ht="22.5" customHeight="1" x14ac:dyDescent="0.15">
      <c r="B46" s="15" t="s">
        <v>1</v>
      </c>
      <c r="C46" s="112" t="s">
        <v>151</v>
      </c>
      <c r="D46" s="113"/>
      <c r="E46" s="113"/>
      <c r="F46" s="113"/>
      <c r="G46" s="113"/>
      <c r="H46" s="113"/>
      <c r="I46" s="16" t="s">
        <v>2</v>
      </c>
      <c r="J46" s="17"/>
      <c r="K46" s="90" t="s">
        <v>150</v>
      </c>
      <c r="L46" s="91"/>
      <c r="M46" s="91"/>
      <c r="N46" s="92"/>
    </row>
    <row r="47" spans="1:14" ht="22.5" customHeight="1" x14ac:dyDescent="0.15">
      <c r="B47" s="15" t="s">
        <v>5</v>
      </c>
      <c r="C47" s="115" t="s">
        <v>139</v>
      </c>
      <c r="D47" s="116"/>
      <c r="E47" s="116"/>
      <c r="F47" s="116"/>
      <c r="G47" s="116"/>
      <c r="H47" s="117"/>
      <c r="I47" s="16" t="s">
        <v>4</v>
      </c>
      <c r="J47" s="17"/>
      <c r="K47" s="118" t="s">
        <v>138</v>
      </c>
      <c r="L47" s="119"/>
      <c r="M47" s="119"/>
      <c r="N47" s="120"/>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topLeftCell="A34" zoomScaleNormal="100" workbookViewId="0">
      <selection activeCell="I23" sqref="I23"/>
    </sheetView>
  </sheetViews>
  <sheetFormatPr defaultColWidth="9" defaultRowHeight="18.75" customHeight="1" x14ac:dyDescent="0.15"/>
  <cols>
    <col min="1" max="2" width="2.5" style="3" customWidth="1"/>
    <col min="3" max="3" width="20" style="3" customWidth="1"/>
    <col min="4" max="4" width="8.75" style="3" customWidth="1"/>
    <col min="5" max="5" width="7.5" style="3" customWidth="1"/>
    <col min="6" max="6" width="2.5" style="3" customWidth="1"/>
    <col min="7" max="7" width="15" style="3" customWidth="1"/>
    <col min="8" max="8" width="12.5" style="3" customWidth="1"/>
    <col min="9" max="9" width="11.25" style="3" customWidth="1"/>
    <col min="10" max="16384" width="9" style="3"/>
  </cols>
  <sheetData>
    <row r="1" spans="1:9" ht="18.75" customHeight="1" x14ac:dyDescent="0.15">
      <c r="I1" s="71" t="s">
        <v>163</v>
      </c>
    </row>
    <row r="2" spans="1:9" ht="18.75" customHeight="1" x14ac:dyDescent="0.15">
      <c r="G2" s="71" t="s">
        <v>31</v>
      </c>
      <c r="H2" s="130" t="s">
        <v>140</v>
      </c>
      <c r="I2" s="130"/>
    </row>
    <row r="3" spans="1:9" ht="7.5" customHeight="1" x14ac:dyDescent="0.15"/>
    <row r="4" spans="1:9" ht="18.75" customHeight="1" x14ac:dyDescent="0.15">
      <c r="A4" s="111" t="s">
        <v>87</v>
      </c>
      <c r="B4" s="111"/>
      <c r="C4" s="111"/>
      <c r="D4" s="111"/>
      <c r="E4" s="111"/>
      <c r="F4" s="111"/>
      <c r="G4" s="111"/>
      <c r="H4" s="111"/>
      <c r="I4" s="111"/>
    </row>
    <row r="5" spans="1:9" ht="7.5" customHeight="1" x14ac:dyDescent="0.15">
      <c r="C5" s="73"/>
      <c r="D5" s="73"/>
      <c r="E5" s="73"/>
      <c r="F5" s="73"/>
      <c r="G5" s="73"/>
      <c r="H5" s="73"/>
      <c r="I5" s="73"/>
    </row>
    <row r="6" spans="1:9" ht="18.75" customHeight="1" x14ac:dyDescent="0.15">
      <c r="A6" s="3" t="s">
        <v>7</v>
      </c>
      <c r="B6" s="3" t="s">
        <v>99</v>
      </c>
      <c r="C6" s="73"/>
      <c r="D6" s="73"/>
      <c r="E6" s="100" t="s">
        <v>141</v>
      </c>
      <c r="F6" s="101"/>
      <c r="G6" s="101"/>
      <c r="H6" s="101"/>
      <c r="I6" s="102"/>
    </row>
    <row r="7" spans="1:9" ht="7.5" customHeight="1" x14ac:dyDescent="0.15">
      <c r="C7" s="73"/>
      <c r="D7" s="73"/>
      <c r="F7" s="68"/>
      <c r="G7" s="68"/>
      <c r="H7" s="68"/>
      <c r="I7" s="68"/>
    </row>
    <row r="8" spans="1:9" ht="18.75" customHeight="1" x14ac:dyDescent="0.15">
      <c r="A8" s="3" t="s">
        <v>12</v>
      </c>
      <c r="B8" s="3" t="s">
        <v>100</v>
      </c>
      <c r="C8" s="73"/>
      <c r="D8" s="73"/>
      <c r="E8" s="73"/>
      <c r="F8" s="73"/>
      <c r="G8" s="73"/>
      <c r="H8" s="73"/>
      <c r="I8" s="73"/>
    </row>
    <row r="9" spans="1:9" ht="18.75" customHeight="1" x14ac:dyDescent="0.15">
      <c r="B9" s="121" t="s">
        <v>193</v>
      </c>
      <c r="C9" s="122"/>
      <c r="D9" s="122"/>
      <c r="E9" s="122"/>
      <c r="F9" s="122"/>
      <c r="G9" s="122"/>
      <c r="H9" s="122"/>
      <c r="I9" s="123"/>
    </row>
    <row r="10" spans="1:9" ht="18.75" customHeight="1" x14ac:dyDescent="0.15">
      <c r="B10" s="124"/>
      <c r="C10" s="125"/>
      <c r="D10" s="125"/>
      <c r="E10" s="125"/>
      <c r="F10" s="125"/>
      <c r="G10" s="125"/>
      <c r="H10" s="125"/>
      <c r="I10" s="126"/>
    </row>
    <row r="11" spans="1:9" ht="18.75" customHeight="1" x14ac:dyDescent="0.15">
      <c r="B11" s="124"/>
      <c r="C11" s="125"/>
      <c r="D11" s="125"/>
      <c r="E11" s="125"/>
      <c r="F11" s="125"/>
      <c r="G11" s="125"/>
      <c r="H11" s="125"/>
      <c r="I11" s="126"/>
    </row>
    <row r="12" spans="1:9" ht="18.75" customHeight="1" x14ac:dyDescent="0.15">
      <c r="B12" s="124"/>
      <c r="C12" s="125"/>
      <c r="D12" s="125"/>
      <c r="E12" s="125"/>
      <c r="F12" s="125"/>
      <c r="G12" s="125"/>
      <c r="H12" s="125"/>
      <c r="I12" s="126"/>
    </row>
    <row r="13" spans="1:9" ht="18.75" customHeight="1" x14ac:dyDescent="0.15">
      <c r="B13" s="124"/>
      <c r="C13" s="125"/>
      <c r="D13" s="125"/>
      <c r="E13" s="125"/>
      <c r="F13" s="125"/>
      <c r="G13" s="125"/>
      <c r="H13" s="125"/>
      <c r="I13" s="126"/>
    </row>
    <row r="14" spans="1:9" ht="18.75" customHeight="1" x14ac:dyDescent="0.15">
      <c r="B14" s="124"/>
      <c r="C14" s="125"/>
      <c r="D14" s="125"/>
      <c r="E14" s="125"/>
      <c r="F14" s="125"/>
      <c r="G14" s="125"/>
      <c r="H14" s="125"/>
      <c r="I14" s="126"/>
    </row>
    <row r="15" spans="1:9" ht="18.75" customHeight="1" x14ac:dyDescent="0.15">
      <c r="B15" s="124"/>
      <c r="C15" s="125"/>
      <c r="D15" s="125"/>
      <c r="E15" s="125"/>
      <c r="F15" s="125"/>
      <c r="G15" s="125"/>
      <c r="H15" s="125"/>
      <c r="I15" s="126"/>
    </row>
    <row r="16" spans="1:9" ht="18.75" customHeight="1" x14ac:dyDescent="0.15">
      <c r="B16" s="127"/>
      <c r="C16" s="128"/>
      <c r="D16" s="128"/>
      <c r="E16" s="128"/>
      <c r="F16" s="128"/>
      <c r="G16" s="128"/>
      <c r="H16" s="128"/>
      <c r="I16" s="129"/>
    </row>
    <row r="17" spans="1:10" ht="7.5" customHeight="1" x14ac:dyDescent="0.15">
      <c r="C17" s="73"/>
      <c r="D17" s="73"/>
      <c r="E17" s="73"/>
      <c r="F17" s="73"/>
      <c r="G17" s="73"/>
      <c r="H17" s="73"/>
      <c r="I17" s="73"/>
    </row>
    <row r="18" spans="1:10" ht="18.75" customHeight="1" x14ac:dyDescent="0.15">
      <c r="A18" s="73" t="s">
        <v>13</v>
      </c>
      <c r="B18" s="4" t="s">
        <v>101</v>
      </c>
      <c r="C18" s="4"/>
      <c r="D18" s="4"/>
      <c r="E18" s="4"/>
      <c r="F18" s="73"/>
      <c r="G18" s="73"/>
      <c r="H18" s="73"/>
      <c r="I18" s="73"/>
      <c r="J18" s="73"/>
    </row>
    <row r="19" spans="1:10" ht="18.75" customHeight="1" x14ac:dyDescent="0.15">
      <c r="A19" s="131" t="s">
        <v>101</v>
      </c>
      <c r="B19" s="131"/>
      <c r="C19" s="131"/>
      <c r="D19" s="131"/>
      <c r="E19" s="131"/>
      <c r="F19" s="132" t="s">
        <v>101</v>
      </c>
      <c r="G19" s="132"/>
      <c r="H19" s="132"/>
      <c r="I19" s="132"/>
    </row>
    <row r="20" spans="1:10" ht="18.75" customHeight="1" x14ac:dyDescent="0.15">
      <c r="A20" s="18">
        <v>1</v>
      </c>
      <c r="B20" s="112" t="s">
        <v>142</v>
      </c>
      <c r="C20" s="113"/>
      <c r="D20" s="113"/>
      <c r="E20" s="114"/>
      <c r="F20" s="18">
        <v>26</v>
      </c>
      <c r="G20" s="112"/>
      <c r="H20" s="113"/>
      <c r="I20" s="114"/>
    </row>
    <row r="21" spans="1:10" ht="18.75" customHeight="1" x14ac:dyDescent="0.15">
      <c r="A21" s="18">
        <v>2</v>
      </c>
      <c r="B21" s="112" t="s">
        <v>143</v>
      </c>
      <c r="C21" s="113"/>
      <c r="D21" s="113"/>
      <c r="E21" s="114"/>
      <c r="F21" s="18">
        <v>27</v>
      </c>
      <c r="G21" s="112"/>
      <c r="H21" s="113"/>
      <c r="I21" s="114"/>
    </row>
    <row r="22" spans="1:10" ht="18.75" customHeight="1" x14ac:dyDescent="0.15">
      <c r="A22" s="18">
        <v>3</v>
      </c>
      <c r="B22" s="112" t="s">
        <v>144</v>
      </c>
      <c r="C22" s="113"/>
      <c r="D22" s="113"/>
      <c r="E22" s="114"/>
      <c r="F22" s="18">
        <v>28</v>
      </c>
      <c r="G22" s="112"/>
      <c r="H22" s="113"/>
      <c r="I22" s="114"/>
    </row>
    <row r="23" spans="1:10" ht="18.75" customHeight="1" x14ac:dyDescent="0.15">
      <c r="A23" s="18">
        <v>4</v>
      </c>
      <c r="B23" s="112" t="s">
        <v>145</v>
      </c>
      <c r="C23" s="113"/>
      <c r="D23" s="113"/>
      <c r="E23" s="114"/>
      <c r="F23" s="18">
        <v>29</v>
      </c>
      <c r="G23" s="112"/>
      <c r="H23" s="113"/>
      <c r="I23" s="114"/>
    </row>
    <row r="24" spans="1:10" ht="18.75" customHeight="1" x14ac:dyDescent="0.15">
      <c r="A24" s="18">
        <v>5</v>
      </c>
      <c r="B24" s="112"/>
      <c r="C24" s="113"/>
      <c r="D24" s="113"/>
      <c r="E24" s="114"/>
      <c r="F24" s="18">
        <v>30</v>
      </c>
      <c r="G24" s="112"/>
      <c r="H24" s="113"/>
      <c r="I24" s="114"/>
    </row>
    <row r="25" spans="1:10" ht="18.75" customHeight="1" x14ac:dyDescent="0.15">
      <c r="A25" s="18">
        <v>6</v>
      </c>
      <c r="B25" s="112"/>
      <c r="C25" s="113"/>
      <c r="D25" s="113"/>
      <c r="E25" s="114"/>
      <c r="F25" s="18">
        <v>31</v>
      </c>
      <c r="G25" s="112"/>
      <c r="H25" s="113"/>
      <c r="I25" s="114"/>
    </row>
    <row r="26" spans="1:10" ht="18.75" customHeight="1" x14ac:dyDescent="0.15">
      <c r="A26" s="18">
        <v>7</v>
      </c>
      <c r="B26" s="112"/>
      <c r="C26" s="113"/>
      <c r="D26" s="113"/>
      <c r="E26" s="114"/>
      <c r="F26" s="18">
        <v>32</v>
      </c>
      <c r="G26" s="112"/>
      <c r="H26" s="113"/>
      <c r="I26" s="114"/>
    </row>
    <row r="27" spans="1:10" ht="18.75" customHeight="1" x14ac:dyDescent="0.15">
      <c r="A27" s="18">
        <v>8</v>
      </c>
      <c r="B27" s="112"/>
      <c r="C27" s="113"/>
      <c r="D27" s="113"/>
      <c r="E27" s="114"/>
      <c r="F27" s="18">
        <v>33</v>
      </c>
      <c r="G27" s="112"/>
      <c r="H27" s="113"/>
      <c r="I27" s="114"/>
    </row>
    <row r="28" spans="1:10" ht="18.75" customHeight="1" x14ac:dyDescent="0.15">
      <c r="A28" s="18">
        <v>9</v>
      </c>
      <c r="B28" s="112"/>
      <c r="C28" s="113"/>
      <c r="D28" s="113"/>
      <c r="E28" s="114"/>
      <c r="F28" s="18">
        <v>34</v>
      </c>
      <c r="G28" s="112"/>
      <c r="H28" s="113"/>
      <c r="I28" s="114"/>
    </row>
    <row r="29" spans="1:10" ht="18.75" customHeight="1" x14ac:dyDescent="0.15">
      <c r="A29" s="18">
        <v>10</v>
      </c>
      <c r="B29" s="112"/>
      <c r="C29" s="113"/>
      <c r="D29" s="113"/>
      <c r="E29" s="114"/>
      <c r="F29" s="18">
        <v>35</v>
      </c>
      <c r="G29" s="112"/>
      <c r="H29" s="113"/>
      <c r="I29" s="114"/>
    </row>
    <row r="30" spans="1:10" ht="18.75" customHeight="1" x14ac:dyDescent="0.15">
      <c r="A30" s="18">
        <v>11</v>
      </c>
      <c r="B30" s="112"/>
      <c r="C30" s="113"/>
      <c r="D30" s="113"/>
      <c r="E30" s="114"/>
      <c r="F30" s="18">
        <v>36</v>
      </c>
      <c r="G30" s="112"/>
      <c r="H30" s="113"/>
      <c r="I30" s="114"/>
    </row>
    <row r="31" spans="1:10" ht="18.75" customHeight="1" x14ac:dyDescent="0.15">
      <c r="A31" s="18">
        <v>12</v>
      </c>
      <c r="B31" s="112"/>
      <c r="C31" s="113"/>
      <c r="D31" s="113"/>
      <c r="E31" s="114"/>
      <c r="F31" s="18">
        <v>37</v>
      </c>
      <c r="G31" s="112"/>
      <c r="H31" s="113"/>
      <c r="I31" s="114"/>
    </row>
    <row r="32" spans="1:10" ht="18.75" customHeight="1" x14ac:dyDescent="0.15">
      <c r="A32" s="18">
        <v>13</v>
      </c>
      <c r="B32" s="112"/>
      <c r="C32" s="113"/>
      <c r="D32" s="113"/>
      <c r="E32" s="114"/>
      <c r="F32" s="18">
        <v>38</v>
      </c>
      <c r="G32" s="112"/>
      <c r="H32" s="113"/>
      <c r="I32" s="114"/>
    </row>
    <row r="33" spans="1:9" ht="18.75" customHeight="1" x14ac:dyDescent="0.15">
      <c r="A33" s="18">
        <v>14</v>
      </c>
      <c r="B33" s="112"/>
      <c r="C33" s="113"/>
      <c r="D33" s="113"/>
      <c r="E33" s="114"/>
      <c r="F33" s="18">
        <v>39</v>
      </c>
      <c r="G33" s="112"/>
      <c r="H33" s="113"/>
      <c r="I33" s="114"/>
    </row>
    <row r="34" spans="1:9" ht="18.75" customHeight="1" x14ac:dyDescent="0.15">
      <c r="A34" s="18">
        <v>15</v>
      </c>
      <c r="B34" s="112"/>
      <c r="C34" s="113"/>
      <c r="D34" s="113"/>
      <c r="E34" s="114"/>
      <c r="F34" s="18">
        <v>40</v>
      </c>
      <c r="G34" s="112"/>
      <c r="H34" s="113"/>
      <c r="I34" s="114"/>
    </row>
    <row r="35" spans="1:9" ht="18.75" customHeight="1" x14ac:dyDescent="0.15">
      <c r="A35" s="18">
        <v>16</v>
      </c>
      <c r="B35" s="112"/>
      <c r="C35" s="113"/>
      <c r="D35" s="113"/>
      <c r="E35" s="114"/>
      <c r="F35" s="18">
        <v>41</v>
      </c>
      <c r="G35" s="112"/>
      <c r="H35" s="113"/>
      <c r="I35" s="114"/>
    </row>
    <row r="36" spans="1:9" ht="18.75" customHeight="1" x14ac:dyDescent="0.15">
      <c r="A36" s="18">
        <v>17</v>
      </c>
      <c r="B36" s="112"/>
      <c r="C36" s="113"/>
      <c r="D36" s="113"/>
      <c r="E36" s="114"/>
      <c r="F36" s="18">
        <v>42</v>
      </c>
      <c r="G36" s="112"/>
      <c r="H36" s="113"/>
      <c r="I36" s="114"/>
    </row>
    <row r="37" spans="1:9" ht="18.75" customHeight="1" x14ac:dyDescent="0.15">
      <c r="A37" s="18">
        <v>18</v>
      </c>
      <c r="B37" s="112"/>
      <c r="C37" s="113"/>
      <c r="D37" s="113"/>
      <c r="E37" s="114"/>
      <c r="F37" s="18">
        <v>43</v>
      </c>
      <c r="G37" s="112"/>
      <c r="H37" s="113"/>
      <c r="I37" s="114"/>
    </row>
    <row r="38" spans="1:9" ht="18.75" customHeight="1" x14ac:dyDescent="0.15">
      <c r="A38" s="18">
        <v>19</v>
      </c>
      <c r="B38" s="112"/>
      <c r="C38" s="113"/>
      <c r="D38" s="113"/>
      <c r="E38" s="114"/>
      <c r="F38" s="18">
        <v>44</v>
      </c>
      <c r="G38" s="112"/>
      <c r="H38" s="113"/>
      <c r="I38" s="114"/>
    </row>
    <row r="39" spans="1:9" ht="18.75" customHeight="1" x14ac:dyDescent="0.15">
      <c r="A39" s="18">
        <v>20</v>
      </c>
      <c r="B39" s="112"/>
      <c r="C39" s="113"/>
      <c r="D39" s="113"/>
      <c r="E39" s="114"/>
      <c r="F39" s="18">
        <v>45</v>
      </c>
      <c r="G39" s="112"/>
      <c r="H39" s="113"/>
      <c r="I39" s="114"/>
    </row>
    <row r="40" spans="1:9" ht="18.75" customHeight="1" x14ac:dyDescent="0.15">
      <c r="A40" s="18">
        <v>21</v>
      </c>
      <c r="B40" s="112"/>
      <c r="C40" s="113"/>
      <c r="D40" s="113"/>
      <c r="E40" s="114"/>
      <c r="F40" s="18">
        <v>46</v>
      </c>
      <c r="G40" s="112"/>
      <c r="H40" s="113"/>
      <c r="I40" s="114"/>
    </row>
    <row r="41" spans="1:9" ht="18.75" customHeight="1" x14ac:dyDescent="0.15">
      <c r="A41" s="18">
        <v>22</v>
      </c>
      <c r="B41" s="112"/>
      <c r="C41" s="113"/>
      <c r="D41" s="113"/>
      <c r="E41" s="114"/>
      <c r="F41" s="18">
        <v>47</v>
      </c>
      <c r="G41" s="112"/>
      <c r="H41" s="113"/>
      <c r="I41" s="114"/>
    </row>
    <row r="42" spans="1:9" ht="18.75" customHeight="1" x14ac:dyDescent="0.15">
      <c r="A42" s="18">
        <v>23</v>
      </c>
      <c r="B42" s="112"/>
      <c r="C42" s="113"/>
      <c r="D42" s="113"/>
      <c r="E42" s="114"/>
      <c r="F42" s="18">
        <v>48</v>
      </c>
      <c r="G42" s="112"/>
      <c r="H42" s="113"/>
      <c r="I42" s="114"/>
    </row>
    <row r="43" spans="1:9" ht="18.75" customHeight="1" x14ac:dyDescent="0.15">
      <c r="A43" s="18">
        <v>24</v>
      </c>
      <c r="B43" s="112"/>
      <c r="C43" s="113"/>
      <c r="D43" s="113"/>
      <c r="E43" s="114"/>
      <c r="F43" s="18">
        <v>49</v>
      </c>
      <c r="G43" s="112"/>
      <c r="H43" s="113"/>
      <c r="I43" s="114"/>
    </row>
    <row r="44" spans="1:9" ht="18.75" customHeight="1" x14ac:dyDescent="0.15">
      <c r="A44" s="18">
        <v>25</v>
      </c>
      <c r="B44" s="112"/>
      <c r="C44" s="113"/>
      <c r="D44" s="113"/>
      <c r="E44" s="114"/>
      <c r="F44" s="18">
        <v>50</v>
      </c>
      <c r="G44" s="112"/>
      <c r="H44" s="113"/>
      <c r="I44" s="114"/>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F85A9-F021-4438-88DA-929835B58BE5}">
  <dimension ref="A1:T30"/>
  <sheetViews>
    <sheetView workbookViewId="0">
      <selection activeCell="T13" sqref="T13"/>
    </sheetView>
  </sheetViews>
  <sheetFormatPr defaultRowHeight="18.75" customHeight="1" x14ac:dyDescent="0.15"/>
  <cols>
    <col min="1" max="1" width="2.5" style="3" customWidth="1"/>
    <col min="2" max="2" width="12.5" style="3" customWidth="1"/>
    <col min="3" max="3" width="21" style="3" customWidth="1"/>
    <col min="4" max="18" width="6.25" style="3" customWidth="1"/>
    <col min="19" max="16384" width="9" style="3"/>
  </cols>
  <sheetData>
    <row r="1" spans="1:20" ht="18.75" customHeight="1" x14ac:dyDescent="0.15">
      <c r="F1" s="103" t="s">
        <v>71</v>
      </c>
      <c r="G1" s="103"/>
      <c r="H1" s="103"/>
      <c r="I1" s="103"/>
      <c r="J1" s="103"/>
      <c r="K1" s="103"/>
      <c r="L1" s="103"/>
      <c r="M1" s="103"/>
      <c r="N1" s="103"/>
      <c r="O1" s="103"/>
      <c r="P1" s="103"/>
      <c r="Q1" s="103"/>
      <c r="R1" s="103"/>
    </row>
    <row r="2" spans="1:20" ht="18.75" customHeight="1" x14ac:dyDescent="0.15">
      <c r="D2" s="82"/>
      <c r="E2" s="82"/>
      <c r="F2" s="82"/>
      <c r="G2" s="82"/>
      <c r="H2" s="82"/>
      <c r="I2" s="82"/>
      <c r="J2" s="82"/>
      <c r="K2" s="103" t="s">
        <v>63</v>
      </c>
      <c r="L2" s="103"/>
      <c r="M2" s="133" t="s">
        <v>131</v>
      </c>
      <c r="N2" s="133"/>
      <c r="O2" s="82"/>
      <c r="P2" s="82"/>
      <c r="Q2" s="82"/>
      <c r="R2" s="82"/>
    </row>
    <row r="3" spans="1:20" ht="7.5" customHeight="1" x14ac:dyDescent="0.15"/>
    <row r="4" spans="1:20" ht="18.75" customHeight="1" x14ac:dyDescent="0.15">
      <c r="A4" s="111" t="s">
        <v>121</v>
      </c>
      <c r="B4" s="111"/>
      <c r="C4" s="111"/>
      <c r="D4" s="111"/>
      <c r="E4" s="111"/>
      <c r="F4" s="111"/>
      <c r="G4" s="111"/>
      <c r="H4" s="111"/>
      <c r="I4" s="111"/>
      <c r="J4" s="111"/>
      <c r="K4" s="111"/>
      <c r="L4" s="111"/>
      <c r="M4" s="111"/>
      <c r="N4" s="111"/>
      <c r="O4" s="111"/>
      <c r="P4" s="111"/>
      <c r="Q4" s="111"/>
      <c r="R4" s="111"/>
    </row>
    <row r="5" spans="1:20" ht="7.5" customHeight="1" x14ac:dyDescent="0.15">
      <c r="A5" s="81"/>
      <c r="B5" s="81"/>
      <c r="C5" s="81"/>
      <c r="D5" s="81"/>
      <c r="E5" s="81"/>
      <c r="F5" s="81"/>
      <c r="G5" s="81"/>
      <c r="H5" s="81"/>
      <c r="I5" s="81"/>
      <c r="J5" s="81"/>
      <c r="K5" s="81"/>
      <c r="L5" s="81"/>
      <c r="M5" s="81"/>
      <c r="N5" s="81"/>
      <c r="O5" s="81"/>
      <c r="P5" s="81"/>
      <c r="Q5" s="81"/>
      <c r="R5" s="81"/>
    </row>
    <row r="6" spans="1:20" ht="18.75" customHeight="1" x14ac:dyDescent="0.15">
      <c r="B6" s="136" t="s">
        <v>125</v>
      </c>
      <c r="C6" s="137"/>
      <c r="D6" s="149" t="s">
        <v>88</v>
      </c>
      <c r="E6" s="151" t="s">
        <v>115</v>
      </c>
      <c r="F6" s="151"/>
      <c r="G6" s="151" t="s">
        <v>116</v>
      </c>
      <c r="H6" s="151"/>
      <c r="I6" s="140" t="s">
        <v>117</v>
      </c>
      <c r="J6" s="141"/>
      <c r="K6" s="140" t="s">
        <v>118</v>
      </c>
      <c r="L6" s="141"/>
      <c r="M6" s="140" t="s">
        <v>119</v>
      </c>
      <c r="N6" s="141"/>
      <c r="O6" s="140" t="s">
        <v>120</v>
      </c>
      <c r="P6" s="141"/>
      <c r="Q6" s="142" t="s">
        <v>70</v>
      </c>
      <c r="R6" s="144" t="s">
        <v>64</v>
      </c>
      <c r="T6" s="41"/>
    </row>
    <row r="7" spans="1:20" ht="18.75" customHeight="1" x14ac:dyDescent="0.15">
      <c r="B7" s="138"/>
      <c r="C7" s="139"/>
      <c r="D7" s="150"/>
      <c r="E7" s="42" t="s">
        <v>50</v>
      </c>
      <c r="F7" s="43" t="s">
        <v>49</v>
      </c>
      <c r="G7" s="44" t="s">
        <v>50</v>
      </c>
      <c r="H7" s="45" t="s">
        <v>49</v>
      </c>
      <c r="I7" s="42" t="s">
        <v>50</v>
      </c>
      <c r="J7" s="43" t="s">
        <v>49</v>
      </c>
      <c r="K7" s="44" t="s">
        <v>50</v>
      </c>
      <c r="L7" s="45" t="s">
        <v>49</v>
      </c>
      <c r="M7" s="42" t="s">
        <v>50</v>
      </c>
      <c r="N7" s="43" t="s">
        <v>49</v>
      </c>
      <c r="O7" s="44" t="s">
        <v>50</v>
      </c>
      <c r="P7" s="45" t="s">
        <v>49</v>
      </c>
      <c r="Q7" s="143"/>
      <c r="R7" s="145"/>
      <c r="T7" s="41"/>
    </row>
    <row r="8" spans="1:20" ht="18.75" customHeight="1" x14ac:dyDescent="0.15">
      <c r="A8" s="82"/>
      <c r="B8" s="152" t="s">
        <v>210</v>
      </c>
      <c r="C8" s="153"/>
      <c r="D8" s="86">
        <v>1440</v>
      </c>
      <c r="E8" s="55">
        <v>214</v>
      </c>
      <c r="F8" s="56">
        <v>14</v>
      </c>
      <c r="G8" s="57">
        <v>113</v>
      </c>
      <c r="H8" s="58">
        <v>1</v>
      </c>
      <c r="I8" s="55">
        <v>62</v>
      </c>
      <c r="J8" s="56">
        <v>0</v>
      </c>
      <c r="K8" s="57">
        <v>34</v>
      </c>
      <c r="L8" s="58">
        <v>0</v>
      </c>
      <c r="M8" s="55">
        <v>2</v>
      </c>
      <c r="N8" s="56">
        <v>0</v>
      </c>
      <c r="O8" s="57">
        <v>1</v>
      </c>
      <c r="P8" s="58">
        <v>0</v>
      </c>
      <c r="Q8" s="47">
        <f t="shared" ref="Q8:Q27" si="0">E8+G8+I8+K8+M8+O8</f>
        <v>426</v>
      </c>
      <c r="R8" s="48">
        <f t="shared" ref="R8:R28" si="1">Q8/D8</f>
        <v>0.29583333333333334</v>
      </c>
    </row>
    <row r="9" spans="1:20" ht="18.75" customHeight="1" x14ac:dyDescent="0.15">
      <c r="A9" s="82"/>
      <c r="B9" s="146" t="s">
        <v>209</v>
      </c>
      <c r="C9" s="147"/>
      <c r="D9" s="85">
        <v>1500</v>
      </c>
      <c r="E9" s="51">
        <v>83</v>
      </c>
      <c r="F9" s="52">
        <v>1</v>
      </c>
      <c r="G9" s="53">
        <v>45</v>
      </c>
      <c r="H9" s="54">
        <v>0</v>
      </c>
      <c r="I9" s="51">
        <v>20</v>
      </c>
      <c r="J9" s="52">
        <v>0</v>
      </c>
      <c r="K9" s="53">
        <v>12</v>
      </c>
      <c r="L9" s="54">
        <v>0</v>
      </c>
      <c r="M9" s="51">
        <v>1</v>
      </c>
      <c r="N9" s="52">
        <v>0</v>
      </c>
      <c r="O9" s="53">
        <v>0</v>
      </c>
      <c r="P9" s="54">
        <v>0</v>
      </c>
      <c r="Q9" s="49">
        <f t="shared" si="0"/>
        <v>161</v>
      </c>
      <c r="R9" s="50">
        <f t="shared" si="1"/>
        <v>0.10733333333333334</v>
      </c>
    </row>
    <row r="10" spans="1:20" ht="18.75" customHeight="1" x14ac:dyDescent="0.15">
      <c r="A10" s="82"/>
      <c r="B10" s="146" t="s">
        <v>208</v>
      </c>
      <c r="C10" s="147"/>
      <c r="D10" s="85">
        <v>960</v>
      </c>
      <c r="E10" s="51">
        <v>13</v>
      </c>
      <c r="F10" s="52">
        <v>1</v>
      </c>
      <c r="G10" s="53">
        <v>6</v>
      </c>
      <c r="H10" s="54">
        <v>0</v>
      </c>
      <c r="I10" s="51">
        <v>3</v>
      </c>
      <c r="J10" s="52">
        <v>0</v>
      </c>
      <c r="K10" s="53">
        <v>0</v>
      </c>
      <c r="L10" s="54">
        <v>0</v>
      </c>
      <c r="M10" s="51">
        <v>0</v>
      </c>
      <c r="N10" s="52">
        <v>0</v>
      </c>
      <c r="O10" s="53">
        <v>1</v>
      </c>
      <c r="P10" s="54">
        <v>0</v>
      </c>
      <c r="Q10" s="49">
        <f t="shared" si="0"/>
        <v>23</v>
      </c>
      <c r="R10" s="50">
        <f t="shared" si="1"/>
        <v>2.3958333333333335E-2</v>
      </c>
    </row>
    <row r="11" spans="1:20" ht="18.75" customHeight="1" x14ac:dyDescent="0.15">
      <c r="A11" s="82"/>
      <c r="B11" s="146" t="s">
        <v>207</v>
      </c>
      <c r="C11" s="147"/>
      <c r="D11" s="85">
        <v>960</v>
      </c>
      <c r="E11" s="51">
        <v>71</v>
      </c>
      <c r="F11" s="52">
        <v>2</v>
      </c>
      <c r="G11" s="53">
        <v>25</v>
      </c>
      <c r="H11" s="54">
        <v>2</v>
      </c>
      <c r="I11" s="51">
        <v>25</v>
      </c>
      <c r="J11" s="52">
        <v>0</v>
      </c>
      <c r="K11" s="53">
        <v>12</v>
      </c>
      <c r="L11" s="54">
        <v>0</v>
      </c>
      <c r="M11" s="51">
        <v>1</v>
      </c>
      <c r="N11" s="52">
        <v>0</v>
      </c>
      <c r="O11" s="53">
        <v>0</v>
      </c>
      <c r="P11" s="54">
        <v>0</v>
      </c>
      <c r="Q11" s="49">
        <f t="shared" si="0"/>
        <v>134</v>
      </c>
      <c r="R11" s="50">
        <f t="shared" si="1"/>
        <v>0.13958333333333334</v>
      </c>
    </row>
    <row r="12" spans="1:20" ht="18.75" customHeight="1" x14ac:dyDescent="0.15">
      <c r="A12" s="82"/>
      <c r="B12" s="146"/>
      <c r="C12" s="147"/>
      <c r="D12" s="83"/>
      <c r="E12" s="51"/>
      <c r="F12" s="52"/>
      <c r="G12" s="53"/>
      <c r="H12" s="54"/>
      <c r="I12" s="51"/>
      <c r="J12" s="52"/>
      <c r="K12" s="53"/>
      <c r="L12" s="54"/>
      <c r="M12" s="51"/>
      <c r="N12" s="52"/>
      <c r="O12" s="53"/>
      <c r="P12" s="54"/>
      <c r="Q12" s="49">
        <f t="shared" si="0"/>
        <v>0</v>
      </c>
      <c r="R12" s="50" t="e">
        <f t="shared" si="1"/>
        <v>#DIV/0!</v>
      </c>
    </row>
    <row r="13" spans="1:20" ht="18.75" customHeight="1" x14ac:dyDescent="0.15">
      <c r="A13" s="82"/>
      <c r="B13" s="146"/>
      <c r="C13" s="147"/>
      <c r="D13" s="83"/>
      <c r="E13" s="51"/>
      <c r="F13" s="52"/>
      <c r="G13" s="53"/>
      <c r="H13" s="54"/>
      <c r="I13" s="51"/>
      <c r="J13" s="52"/>
      <c r="K13" s="53"/>
      <c r="L13" s="54"/>
      <c r="M13" s="51"/>
      <c r="N13" s="52"/>
      <c r="O13" s="53"/>
      <c r="P13" s="54"/>
      <c r="Q13" s="49">
        <f t="shared" si="0"/>
        <v>0</v>
      </c>
      <c r="R13" s="50" t="e">
        <f t="shared" si="1"/>
        <v>#DIV/0!</v>
      </c>
    </row>
    <row r="14" spans="1:20" ht="18.75" customHeight="1" x14ac:dyDescent="0.15">
      <c r="A14" s="82"/>
      <c r="B14" s="146"/>
      <c r="C14" s="147"/>
      <c r="D14" s="83"/>
      <c r="E14" s="51"/>
      <c r="F14" s="52"/>
      <c r="G14" s="53"/>
      <c r="H14" s="54"/>
      <c r="I14" s="51"/>
      <c r="J14" s="52"/>
      <c r="K14" s="53"/>
      <c r="L14" s="54"/>
      <c r="M14" s="51"/>
      <c r="N14" s="52"/>
      <c r="O14" s="53"/>
      <c r="P14" s="54"/>
      <c r="Q14" s="49">
        <f t="shared" si="0"/>
        <v>0</v>
      </c>
      <c r="R14" s="50" t="e">
        <f t="shared" si="1"/>
        <v>#DIV/0!</v>
      </c>
    </row>
    <row r="15" spans="1:20" ht="18.75" customHeight="1" x14ac:dyDescent="0.15">
      <c r="A15" s="82"/>
      <c r="B15" s="146"/>
      <c r="C15" s="147"/>
      <c r="D15" s="83"/>
      <c r="E15" s="51"/>
      <c r="F15" s="52"/>
      <c r="G15" s="53"/>
      <c r="H15" s="54"/>
      <c r="I15" s="51"/>
      <c r="J15" s="52"/>
      <c r="K15" s="53"/>
      <c r="L15" s="54"/>
      <c r="M15" s="51"/>
      <c r="N15" s="52"/>
      <c r="O15" s="53"/>
      <c r="P15" s="54"/>
      <c r="Q15" s="49">
        <f t="shared" si="0"/>
        <v>0</v>
      </c>
      <c r="R15" s="50" t="e">
        <f t="shared" si="1"/>
        <v>#DIV/0!</v>
      </c>
    </row>
    <row r="16" spans="1:20" ht="18.75" customHeight="1" x14ac:dyDescent="0.15">
      <c r="A16" s="82"/>
      <c r="B16" s="146"/>
      <c r="C16" s="147"/>
      <c r="D16" s="83"/>
      <c r="E16" s="51"/>
      <c r="F16" s="52"/>
      <c r="G16" s="53"/>
      <c r="H16" s="54"/>
      <c r="I16" s="51"/>
      <c r="J16" s="52"/>
      <c r="K16" s="53"/>
      <c r="L16" s="54"/>
      <c r="M16" s="51"/>
      <c r="N16" s="52"/>
      <c r="O16" s="53"/>
      <c r="P16" s="54"/>
      <c r="Q16" s="49">
        <f t="shared" si="0"/>
        <v>0</v>
      </c>
      <c r="R16" s="50" t="e">
        <f t="shared" si="1"/>
        <v>#DIV/0!</v>
      </c>
    </row>
    <row r="17" spans="1:18" ht="18.75" customHeight="1" x14ac:dyDescent="0.15">
      <c r="A17" s="82"/>
      <c r="B17" s="146"/>
      <c r="C17" s="147"/>
      <c r="D17" s="83"/>
      <c r="E17" s="51"/>
      <c r="F17" s="52"/>
      <c r="G17" s="53"/>
      <c r="H17" s="54"/>
      <c r="I17" s="51"/>
      <c r="J17" s="52"/>
      <c r="K17" s="53"/>
      <c r="L17" s="54"/>
      <c r="M17" s="51"/>
      <c r="N17" s="52"/>
      <c r="O17" s="53"/>
      <c r="P17" s="54"/>
      <c r="Q17" s="49">
        <f t="shared" si="0"/>
        <v>0</v>
      </c>
      <c r="R17" s="50" t="e">
        <f t="shared" si="1"/>
        <v>#DIV/0!</v>
      </c>
    </row>
    <row r="18" spans="1:18" ht="18.75" customHeight="1" x14ac:dyDescent="0.15">
      <c r="A18" s="82"/>
      <c r="B18" s="146"/>
      <c r="C18" s="147"/>
      <c r="D18" s="83"/>
      <c r="E18" s="51"/>
      <c r="F18" s="52"/>
      <c r="G18" s="53"/>
      <c r="H18" s="54"/>
      <c r="I18" s="51"/>
      <c r="J18" s="52"/>
      <c r="K18" s="53"/>
      <c r="L18" s="54"/>
      <c r="M18" s="51"/>
      <c r="N18" s="52"/>
      <c r="O18" s="53"/>
      <c r="P18" s="54"/>
      <c r="Q18" s="49">
        <f t="shared" si="0"/>
        <v>0</v>
      </c>
      <c r="R18" s="50" t="e">
        <f t="shared" si="1"/>
        <v>#DIV/0!</v>
      </c>
    </row>
    <row r="19" spans="1:18" ht="18.75" customHeight="1" x14ac:dyDescent="0.15">
      <c r="A19" s="82"/>
      <c r="B19" s="146"/>
      <c r="C19" s="147"/>
      <c r="D19" s="83"/>
      <c r="E19" s="51"/>
      <c r="F19" s="52"/>
      <c r="G19" s="53"/>
      <c r="H19" s="54"/>
      <c r="I19" s="51"/>
      <c r="J19" s="52"/>
      <c r="K19" s="53"/>
      <c r="L19" s="54"/>
      <c r="M19" s="51"/>
      <c r="N19" s="52"/>
      <c r="O19" s="53"/>
      <c r="P19" s="54"/>
      <c r="Q19" s="49">
        <f t="shared" si="0"/>
        <v>0</v>
      </c>
      <c r="R19" s="50" t="e">
        <f t="shared" si="1"/>
        <v>#DIV/0!</v>
      </c>
    </row>
    <row r="20" spans="1:18" ht="18.75" customHeight="1" x14ac:dyDescent="0.15">
      <c r="A20" s="82"/>
      <c r="B20" s="146"/>
      <c r="C20" s="147"/>
      <c r="D20" s="83"/>
      <c r="E20" s="51"/>
      <c r="F20" s="52"/>
      <c r="G20" s="53"/>
      <c r="H20" s="54"/>
      <c r="I20" s="51"/>
      <c r="J20" s="52"/>
      <c r="K20" s="53"/>
      <c r="L20" s="54"/>
      <c r="M20" s="51"/>
      <c r="N20" s="52"/>
      <c r="O20" s="53"/>
      <c r="P20" s="54"/>
      <c r="Q20" s="49">
        <f t="shared" si="0"/>
        <v>0</v>
      </c>
      <c r="R20" s="50" t="e">
        <f t="shared" si="1"/>
        <v>#DIV/0!</v>
      </c>
    </row>
    <row r="21" spans="1:18" ht="18.75" customHeight="1" x14ac:dyDescent="0.15">
      <c r="A21" s="82"/>
      <c r="B21" s="146"/>
      <c r="C21" s="147"/>
      <c r="D21" s="83"/>
      <c r="E21" s="51"/>
      <c r="F21" s="52"/>
      <c r="G21" s="53"/>
      <c r="H21" s="54"/>
      <c r="I21" s="51"/>
      <c r="J21" s="52"/>
      <c r="K21" s="53"/>
      <c r="L21" s="54"/>
      <c r="M21" s="51"/>
      <c r="N21" s="52"/>
      <c r="O21" s="53"/>
      <c r="P21" s="54"/>
      <c r="Q21" s="49">
        <f t="shared" si="0"/>
        <v>0</v>
      </c>
      <c r="R21" s="50" t="e">
        <f t="shared" si="1"/>
        <v>#DIV/0!</v>
      </c>
    </row>
    <row r="22" spans="1:18" ht="18.75" customHeight="1" x14ac:dyDescent="0.15">
      <c r="A22" s="82"/>
      <c r="B22" s="146"/>
      <c r="C22" s="147"/>
      <c r="D22" s="83"/>
      <c r="E22" s="51"/>
      <c r="F22" s="52"/>
      <c r="G22" s="53"/>
      <c r="H22" s="54"/>
      <c r="I22" s="51"/>
      <c r="J22" s="52"/>
      <c r="K22" s="53"/>
      <c r="L22" s="54"/>
      <c r="M22" s="51"/>
      <c r="N22" s="52"/>
      <c r="O22" s="53"/>
      <c r="P22" s="54"/>
      <c r="Q22" s="49">
        <f t="shared" si="0"/>
        <v>0</v>
      </c>
      <c r="R22" s="50" t="e">
        <f t="shared" si="1"/>
        <v>#DIV/0!</v>
      </c>
    </row>
    <row r="23" spans="1:18" ht="18.75" customHeight="1" x14ac:dyDescent="0.15">
      <c r="A23" s="82"/>
      <c r="B23" s="146"/>
      <c r="C23" s="147"/>
      <c r="D23" s="83"/>
      <c r="E23" s="51"/>
      <c r="F23" s="52"/>
      <c r="G23" s="53"/>
      <c r="H23" s="54"/>
      <c r="I23" s="51"/>
      <c r="J23" s="52"/>
      <c r="K23" s="53"/>
      <c r="L23" s="54"/>
      <c r="M23" s="51"/>
      <c r="N23" s="52"/>
      <c r="O23" s="53"/>
      <c r="P23" s="54"/>
      <c r="Q23" s="49">
        <f t="shared" si="0"/>
        <v>0</v>
      </c>
      <c r="R23" s="50" t="e">
        <f t="shared" si="1"/>
        <v>#DIV/0!</v>
      </c>
    </row>
    <row r="24" spans="1:18" ht="18.75" customHeight="1" x14ac:dyDescent="0.15">
      <c r="A24" s="82"/>
      <c r="B24" s="146"/>
      <c r="C24" s="147"/>
      <c r="D24" s="83"/>
      <c r="E24" s="51"/>
      <c r="F24" s="52"/>
      <c r="G24" s="53"/>
      <c r="H24" s="54"/>
      <c r="I24" s="51"/>
      <c r="J24" s="52"/>
      <c r="K24" s="53"/>
      <c r="L24" s="54"/>
      <c r="M24" s="51"/>
      <c r="N24" s="52"/>
      <c r="O24" s="53"/>
      <c r="P24" s="54"/>
      <c r="Q24" s="49">
        <f t="shared" si="0"/>
        <v>0</v>
      </c>
      <c r="R24" s="50" t="e">
        <f t="shared" si="1"/>
        <v>#DIV/0!</v>
      </c>
    </row>
    <row r="25" spans="1:18" ht="18.75" customHeight="1" x14ac:dyDescent="0.15">
      <c r="A25" s="82"/>
      <c r="B25" s="146"/>
      <c r="C25" s="147"/>
      <c r="D25" s="83"/>
      <c r="E25" s="51"/>
      <c r="F25" s="52"/>
      <c r="G25" s="53"/>
      <c r="H25" s="54"/>
      <c r="I25" s="51"/>
      <c r="J25" s="52"/>
      <c r="K25" s="53"/>
      <c r="L25" s="54"/>
      <c r="M25" s="51"/>
      <c r="N25" s="52"/>
      <c r="O25" s="53"/>
      <c r="P25" s="54"/>
      <c r="Q25" s="49">
        <f t="shared" si="0"/>
        <v>0</v>
      </c>
      <c r="R25" s="50" t="e">
        <f t="shared" si="1"/>
        <v>#DIV/0!</v>
      </c>
    </row>
    <row r="26" spans="1:18" ht="18.75" hidden="1" customHeight="1" x14ac:dyDescent="0.15">
      <c r="A26" s="82"/>
      <c r="B26" s="146"/>
      <c r="C26" s="147"/>
      <c r="D26" s="83"/>
      <c r="E26" s="51"/>
      <c r="F26" s="52"/>
      <c r="G26" s="53"/>
      <c r="H26" s="54"/>
      <c r="I26" s="51"/>
      <c r="J26" s="52"/>
      <c r="K26" s="53"/>
      <c r="L26" s="54"/>
      <c r="M26" s="51"/>
      <c r="N26" s="52"/>
      <c r="O26" s="53"/>
      <c r="P26" s="54"/>
      <c r="Q26" s="49">
        <f t="shared" si="0"/>
        <v>0</v>
      </c>
      <c r="R26" s="50" t="e">
        <f t="shared" si="1"/>
        <v>#DIV/0!</v>
      </c>
    </row>
    <row r="27" spans="1:18" ht="18.75" customHeight="1" thickBot="1" x14ac:dyDescent="0.2">
      <c r="A27" s="82"/>
      <c r="B27" s="154"/>
      <c r="C27" s="155"/>
      <c r="D27" s="46"/>
      <c r="E27" s="55"/>
      <c r="F27" s="56"/>
      <c r="G27" s="57"/>
      <c r="H27" s="58"/>
      <c r="I27" s="55"/>
      <c r="J27" s="56"/>
      <c r="K27" s="57"/>
      <c r="L27" s="58"/>
      <c r="M27" s="55"/>
      <c r="N27" s="56"/>
      <c r="O27" s="57"/>
      <c r="P27" s="58"/>
      <c r="Q27" s="59">
        <f t="shared" si="0"/>
        <v>0</v>
      </c>
      <c r="R27" s="60" t="e">
        <f t="shared" si="1"/>
        <v>#DIV/0!</v>
      </c>
    </row>
    <row r="28" spans="1:18" ht="18.75" customHeight="1" thickTop="1" x14ac:dyDescent="0.15">
      <c r="A28" s="82"/>
      <c r="B28" s="134" t="s">
        <v>65</v>
      </c>
      <c r="C28" s="135"/>
      <c r="D28" s="61">
        <f t="shared" ref="D28:Q28" si="2">SUM(D8:D27)</f>
        <v>4860</v>
      </c>
      <c r="E28" s="62">
        <f t="shared" si="2"/>
        <v>381</v>
      </c>
      <c r="F28" s="63">
        <f t="shared" si="2"/>
        <v>18</v>
      </c>
      <c r="G28" s="64">
        <f t="shared" si="2"/>
        <v>189</v>
      </c>
      <c r="H28" s="65">
        <f t="shared" si="2"/>
        <v>3</v>
      </c>
      <c r="I28" s="62">
        <f t="shared" si="2"/>
        <v>110</v>
      </c>
      <c r="J28" s="63">
        <f t="shared" si="2"/>
        <v>0</v>
      </c>
      <c r="K28" s="64">
        <f t="shared" si="2"/>
        <v>58</v>
      </c>
      <c r="L28" s="65">
        <f t="shared" si="2"/>
        <v>0</v>
      </c>
      <c r="M28" s="62">
        <f t="shared" si="2"/>
        <v>4</v>
      </c>
      <c r="N28" s="63">
        <f t="shared" si="2"/>
        <v>0</v>
      </c>
      <c r="O28" s="64">
        <f t="shared" si="2"/>
        <v>2</v>
      </c>
      <c r="P28" s="65">
        <f t="shared" si="2"/>
        <v>0</v>
      </c>
      <c r="Q28" s="66">
        <f t="shared" si="2"/>
        <v>744</v>
      </c>
      <c r="R28" s="67">
        <f t="shared" si="1"/>
        <v>0.15308641975308643</v>
      </c>
    </row>
    <row r="29" spans="1:18" ht="6.75" customHeight="1" x14ac:dyDescent="0.15">
      <c r="A29" s="82"/>
      <c r="B29" s="82"/>
      <c r="C29" s="82"/>
      <c r="D29" s="84"/>
      <c r="E29" s="84"/>
      <c r="F29" s="84"/>
      <c r="G29" s="84"/>
      <c r="H29" s="84"/>
      <c r="I29" s="84"/>
      <c r="J29" s="84"/>
      <c r="K29" s="84"/>
      <c r="L29" s="84"/>
      <c r="M29" s="84"/>
      <c r="N29" s="84"/>
      <c r="O29" s="84"/>
      <c r="P29" s="84"/>
      <c r="Q29" s="84"/>
      <c r="R29" s="84"/>
    </row>
    <row r="30" spans="1:18" ht="18.75" customHeight="1" x14ac:dyDescent="0.15">
      <c r="B30" s="148" t="s">
        <v>185</v>
      </c>
      <c r="C30" s="148"/>
      <c r="D30" s="148"/>
      <c r="E30" s="148"/>
      <c r="F30" s="148"/>
      <c r="G30" s="148"/>
      <c r="H30" s="148"/>
      <c r="I30" s="148"/>
      <c r="J30" s="148"/>
      <c r="K30" s="148"/>
      <c r="L30" s="148"/>
      <c r="M30" s="148"/>
      <c r="N30" s="148"/>
      <c r="O30" s="148"/>
      <c r="P30" s="148"/>
      <c r="Q30" s="148"/>
      <c r="R30" s="148"/>
    </row>
  </sheetData>
  <mergeCells count="36">
    <mergeCell ref="B22:C22"/>
    <mergeCell ref="B13:C13"/>
    <mergeCell ref="B14:C14"/>
    <mergeCell ref="B15:C15"/>
    <mergeCell ref="B30:R30"/>
    <mergeCell ref="F1:R1"/>
    <mergeCell ref="K2:L2"/>
    <mergeCell ref="D6:D7"/>
    <mergeCell ref="E6:F6"/>
    <mergeCell ref="G6:H6"/>
    <mergeCell ref="B17:C17"/>
    <mergeCell ref="B18:C18"/>
    <mergeCell ref="B23:C23"/>
    <mergeCell ref="B24:C24"/>
    <mergeCell ref="B25:C25"/>
    <mergeCell ref="B26:C26"/>
    <mergeCell ref="B8:C8"/>
    <mergeCell ref="B9:C9"/>
    <mergeCell ref="B10:C10"/>
    <mergeCell ref="B11:C11"/>
    <mergeCell ref="A4:R4"/>
    <mergeCell ref="M2:N2"/>
    <mergeCell ref="B28:C28"/>
    <mergeCell ref="B6:C7"/>
    <mergeCell ref="I6:J6"/>
    <mergeCell ref="K6:L6"/>
    <mergeCell ref="M6:N6"/>
    <mergeCell ref="O6:P6"/>
    <mergeCell ref="Q6:Q7"/>
    <mergeCell ref="R6:R7"/>
    <mergeCell ref="B16:C16"/>
    <mergeCell ref="B19:C19"/>
    <mergeCell ref="B20:C20"/>
    <mergeCell ref="B21:C21"/>
    <mergeCell ref="B12:C12"/>
    <mergeCell ref="B27:C27"/>
  </mergeCells>
  <phoneticPr fontId="1"/>
  <printOptions horizontalCentered="1"/>
  <pageMargins left="0.59055118110236227" right="0.59055118110236227" top="0.78740157480314965" bottom="0.59055118110236227" header="0.31496062992125984" footer="0.31496062992125984"/>
  <pageSetup paperSize="9" scale="10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0"/>
  <sheetViews>
    <sheetView topLeftCell="A124" workbookViewId="0">
      <selection activeCell="I23" sqref="I23"/>
    </sheetView>
  </sheetViews>
  <sheetFormatPr defaultRowHeight="14.25" x14ac:dyDescent="0.15"/>
  <cols>
    <col min="1" max="1" width="2.5" style="3" customWidth="1"/>
    <col min="2" max="2" width="19" style="3" customWidth="1"/>
    <col min="3" max="3" width="25" style="3" customWidth="1"/>
    <col min="4" max="4" width="10" style="3" customWidth="1"/>
    <col min="5" max="7" width="25" style="3" customWidth="1"/>
    <col min="8" max="16384" width="9" style="3"/>
  </cols>
  <sheetData>
    <row r="1" spans="1:7" ht="18.75" customHeight="1" x14ac:dyDescent="0.15">
      <c r="G1" s="71" t="s">
        <v>164</v>
      </c>
    </row>
    <row r="2" spans="1:7" ht="18.75" customHeight="1" x14ac:dyDescent="0.15">
      <c r="F2" s="71" t="s">
        <v>73</v>
      </c>
      <c r="G2" s="3" t="s">
        <v>146</v>
      </c>
    </row>
    <row r="3" spans="1:7" ht="18.75" customHeight="1" x14ac:dyDescent="0.15">
      <c r="A3" s="111" t="s">
        <v>92</v>
      </c>
      <c r="B3" s="111"/>
      <c r="C3" s="111"/>
      <c r="D3" s="111"/>
      <c r="E3" s="111"/>
      <c r="F3" s="111"/>
      <c r="G3" s="111"/>
    </row>
    <row r="4" spans="1:7" ht="18.75" customHeight="1" x14ac:dyDescent="0.15">
      <c r="A4" s="3" t="s">
        <v>7</v>
      </c>
      <c r="B4" s="3" t="s">
        <v>91</v>
      </c>
    </row>
    <row r="5" spans="1:7" s="73" customFormat="1" ht="18.75" customHeight="1" x14ac:dyDescent="0.15">
      <c r="B5" s="70" t="s">
        <v>72</v>
      </c>
      <c r="C5" s="100" t="s">
        <v>104</v>
      </c>
      <c r="D5" s="101"/>
      <c r="E5" s="101"/>
      <c r="F5" s="101"/>
      <c r="G5" s="102"/>
    </row>
    <row r="6" spans="1:7" s="73" customFormat="1" ht="38.25" customHeight="1" x14ac:dyDescent="0.15">
      <c r="B6" s="157" t="s">
        <v>107</v>
      </c>
      <c r="C6" s="172" t="s">
        <v>188</v>
      </c>
      <c r="D6" s="173"/>
      <c r="E6" s="173"/>
      <c r="F6" s="173"/>
      <c r="G6" s="174"/>
    </row>
    <row r="7" spans="1:7" s="73" customFormat="1" ht="39.75" customHeight="1" x14ac:dyDescent="0.15">
      <c r="B7" s="158"/>
      <c r="C7" s="175"/>
      <c r="D7" s="176"/>
      <c r="E7" s="176"/>
      <c r="F7" s="176"/>
      <c r="G7" s="177"/>
    </row>
    <row r="8" spans="1:7" s="73" customFormat="1" ht="41.25" customHeight="1" x14ac:dyDescent="0.15">
      <c r="B8" s="158"/>
      <c r="C8" s="175"/>
      <c r="D8" s="176"/>
      <c r="E8" s="176"/>
      <c r="F8" s="176"/>
      <c r="G8" s="177"/>
    </row>
    <row r="9" spans="1:7" s="73" customFormat="1" ht="45" customHeight="1" x14ac:dyDescent="0.15">
      <c r="B9" s="158"/>
      <c r="C9" s="178"/>
      <c r="D9" s="179"/>
      <c r="E9" s="179"/>
      <c r="F9" s="179"/>
      <c r="G9" s="180"/>
    </row>
    <row r="10" spans="1:7" s="73" customFormat="1" ht="18.75" customHeight="1" x14ac:dyDescent="0.15">
      <c r="B10" s="158"/>
      <c r="C10" s="76" t="s">
        <v>105</v>
      </c>
      <c r="D10" s="108" t="s">
        <v>106</v>
      </c>
      <c r="E10" s="109"/>
      <c r="F10" s="109"/>
      <c r="G10" s="110"/>
    </row>
    <row r="11" spans="1:7" s="73" customFormat="1" ht="18.75" customHeight="1" x14ac:dyDescent="0.15">
      <c r="B11" s="158"/>
      <c r="C11" s="70" t="s">
        <v>153</v>
      </c>
      <c r="D11" s="112" t="s">
        <v>157</v>
      </c>
      <c r="E11" s="113"/>
      <c r="F11" s="113"/>
      <c r="G11" s="114"/>
    </row>
    <row r="12" spans="1:7" s="73" customFormat="1" ht="18.75" customHeight="1" x14ac:dyDescent="0.15">
      <c r="B12" s="158"/>
      <c r="C12" s="70" t="s">
        <v>153</v>
      </c>
      <c r="D12" s="112" t="s">
        <v>155</v>
      </c>
      <c r="E12" s="113"/>
      <c r="F12" s="113"/>
      <c r="G12" s="114"/>
    </row>
    <row r="13" spans="1:7" s="73" customFormat="1" ht="18.75" customHeight="1" x14ac:dyDescent="0.15">
      <c r="B13" s="158"/>
      <c r="C13" s="70"/>
      <c r="D13" s="156"/>
      <c r="E13" s="113"/>
      <c r="F13" s="113"/>
      <c r="G13" s="114"/>
    </row>
    <row r="14" spans="1:7" s="73" customFormat="1" ht="18.75" customHeight="1" x14ac:dyDescent="0.15">
      <c r="B14" s="158"/>
      <c r="C14" s="69"/>
      <c r="D14" s="112"/>
      <c r="E14" s="113"/>
      <c r="F14" s="113"/>
      <c r="G14" s="114"/>
    </row>
    <row r="15" spans="1:7" s="73" customFormat="1" ht="18.75" customHeight="1" x14ac:dyDescent="0.15">
      <c r="B15" s="158"/>
      <c r="C15" s="70"/>
      <c r="D15" s="156"/>
      <c r="E15" s="113"/>
      <c r="F15" s="113"/>
      <c r="G15" s="114"/>
    </row>
    <row r="16" spans="1:7" s="73" customFormat="1" ht="18.75" customHeight="1" x14ac:dyDescent="0.15">
      <c r="B16" s="158"/>
      <c r="C16" s="70"/>
      <c r="D16" s="100"/>
      <c r="E16" s="101"/>
      <c r="F16" s="101"/>
      <c r="G16" s="102"/>
    </row>
    <row r="17" spans="2:7" s="73" customFormat="1" ht="18.75" customHeight="1" x14ac:dyDescent="0.15">
      <c r="B17" s="158"/>
      <c r="C17" s="70"/>
      <c r="D17" s="100"/>
      <c r="E17" s="101"/>
      <c r="F17" s="101"/>
      <c r="G17" s="102"/>
    </row>
    <row r="18" spans="2:7" s="73" customFormat="1" ht="18.75" customHeight="1" x14ac:dyDescent="0.15">
      <c r="B18" s="158"/>
      <c r="C18" s="70"/>
      <c r="D18" s="100"/>
      <c r="E18" s="101"/>
      <c r="F18" s="101"/>
      <c r="G18" s="102"/>
    </row>
    <row r="19" spans="2:7" s="73" customFormat="1" ht="18.75" customHeight="1" x14ac:dyDescent="0.15">
      <c r="B19" s="158"/>
      <c r="C19" s="70"/>
      <c r="D19" s="100"/>
      <c r="E19" s="101"/>
      <c r="F19" s="101"/>
      <c r="G19" s="102"/>
    </row>
    <row r="20" spans="2:7" s="73" customFormat="1" ht="18.75" customHeight="1" x14ac:dyDescent="0.15">
      <c r="B20" s="158"/>
      <c r="C20" s="70"/>
      <c r="D20" s="100"/>
      <c r="E20" s="101"/>
      <c r="F20" s="101"/>
      <c r="G20" s="102"/>
    </row>
    <row r="21" spans="2:7" s="73" customFormat="1" ht="18.75" customHeight="1" x14ac:dyDescent="0.15">
      <c r="B21" s="158"/>
      <c r="C21" s="70"/>
      <c r="D21" s="100"/>
      <c r="E21" s="101"/>
      <c r="F21" s="101"/>
      <c r="G21" s="102"/>
    </row>
    <row r="22" spans="2:7" s="73" customFormat="1" ht="18.75" customHeight="1" x14ac:dyDescent="0.15">
      <c r="B22" s="158"/>
      <c r="C22" s="70"/>
      <c r="D22" s="100"/>
      <c r="E22" s="101"/>
      <c r="F22" s="101"/>
      <c r="G22" s="102"/>
    </row>
    <row r="23" spans="2:7" s="73" customFormat="1" ht="18.75" customHeight="1" x14ac:dyDescent="0.15">
      <c r="B23" s="158"/>
      <c r="C23" s="70"/>
      <c r="D23" s="100"/>
      <c r="E23" s="101"/>
      <c r="F23" s="101"/>
      <c r="G23" s="102"/>
    </row>
    <row r="24" spans="2:7" s="73" customFormat="1" ht="18.75" customHeight="1" x14ac:dyDescent="0.15">
      <c r="B24" s="158"/>
      <c r="C24" s="70"/>
      <c r="D24" s="100"/>
      <c r="E24" s="101"/>
      <c r="F24" s="101"/>
      <c r="G24" s="102"/>
    </row>
    <row r="25" spans="2:7" s="73" customFormat="1" ht="18.75" customHeight="1" x14ac:dyDescent="0.15">
      <c r="B25" s="158"/>
      <c r="C25" s="70"/>
      <c r="D25" s="100"/>
      <c r="E25" s="101"/>
      <c r="F25" s="101"/>
      <c r="G25" s="102"/>
    </row>
    <row r="26" spans="2:7" ht="18.75" customHeight="1" x14ac:dyDescent="0.15">
      <c r="B26" s="157" t="s">
        <v>108</v>
      </c>
      <c r="C26" s="100" t="s">
        <v>104</v>
      </c>
      <c r="D26" s="101"/>
      <c r="E26" s="101"/>
      <c r="F26" s="101"/>
      <c r="G26" s="102"/>
    </row>
    <row r="27" spans="2:7" ht="45" customHeight="1" x14ac:dyDescent="0.15">
      <c r="B27" s="158"/>
      <c r="C27" s="172" t="s">
        <v>188</v>
      </c>
      <c r="D27" s="173"/>
      <c r="E27" s="173"/>
      <c r="F27" s="173"/>
      <c r="G27" s="174"/>
    </row>
    <row r="28" spans="2:7" ht="44.25" customHeight="1" x14ac:dyDescent="0.15">
      <c r="B28" s="158"/>
      <c r="C28" s="175"/>
      <c r="D28" s="176"/>
      <c r="E28" s="176"/>
      <c r="F28" s="176"/>
      <c r="G28" s="177"/>
    </row>
    <row r="29" spans="2:7" ht="37.5" customHeight="1" x14ac:dyDescent="0.15">
      <c r="B29" s="158"/>
      <c r="C29" s="175"/>
      <c r="D29" s="176"/>
      <c r="E29" s="176"/>
      <c r="F29" s="176"/>
      <c r="G29" s="177"/>
    </row>
    <row r="30" spans="2:7" ht="37.5" customHeight="1" x14ac:dyDescent="0.15">
      <c r="B30" s="158"/>
      <c r="C30" s="178"/>
      <c r="D30" s="179"/>
      <c r="E30" s="179"/>
      <c r="F30" s="179"/>
      <c r="G30" s="180"/>
    </row>
    <row r="31" spans="2:7" ht="37.5" customHeight="1" x14ac:dyDescent="0.15">
      <c r="B31" s="158"/>
      <c r="C31" s="76" t="s">
        <v>105</v>
      </c>
      <c r="D31" s="108" t="s">
        <v>106</v>
      </c>
      <c r="E31" s="109"/>
      <c r="F31" s="109"/>
      <c r="G31" s="110"/>
    </row>
    <row r="32" spans="2:7" ht="18.75" customHeight="1" x14ac:dyDescent="0.15">
      <c r="B32" s="158"/>
      <c r="C32" s="70" t="s">
        <v>153</v>
      </c>
      <c r="D32" s="156" t="s">
        <v>156</v>
      </c>
      <c r="E32" s="113"/>
      <c r="F32" s="113"/>
      <c r="G32" s="114"/>
    </row>
    <row r="33" spans="2:7" ht="18.75" customHeight="1" x14ac:dyDescent="0.15">
      <c r="B33" s="158"/>
      <c r="C33" s="70" t="s">
        <v>153</v>
      </c>
      <c r="D33" s="168" t="s">
        <v>165</v>
      </c>
      <c r="E33" s="169"/>
      <c r="F33" s="169"/>
      <c r="G33" s="170"/>
    </row>
    <row r="34" spans="2:7" ht="18.75" customHeight="1" x14ac:dyDescent="0.15">
      <c r="B34" s="158"/>
      <c r="C34" s="70" t="s">
        <v>153</v>
      </c>
      <c r="D34" s="168" t="s">
        <v>176</v>
      </c>
      <c r="E34" s="169"/>
      <c r="F34" s="169"/>
      <c r="G34" s="170"/>
    </row>
    <row r="35" spans="2:7" ht="18.75" customHeight="1" x14ac:dyDescent="0.15">
      <c r="B35" s="158"/>
      <c r="C35" s="70"/>
      <c r="D35" s="90"/>
      <c r="E35" s="91"/>
      <c r="F35" s="91"/>
      <c r="G35" s="92"/>
    </row>
    <row r="36" spans="2:7" ht="18.75" customHeight="1" x14ac:dyDescent="0.15">
      <c r="B36" s="158"/>
      <c r="C36" s="70"/>
      <c r="D36" s="90"/>
      <c r="E36" s="91"/>
      <c r="F36" s="91"/>
      <c r="G36" s="92"/>
    </row>
    <row r="37" spans="2:7" ht="18.75" customHeight="1" x14ac:dyDescent="0.15">
      <c r="B37" s="158"/>
      <c r="C37" s="70"/>
      <c r="D37" s="90"/>
      <c r="E37" s="91"/>
      <c r="F37" s="91"/>
      <c r="G37" s="92"/>
    </row>
    <row r="38" spans="2:7" ht="18.75" customHeight="1" x14ac:dyDescent="0.15">
      <c r="B38" s="158"/>
      <c r="C38" s="70"/>
      <c r="D38" s="90"/>
      <c r="E38" s="91"/>
      <c r="F38" s="91"/>
      <c r="G38" s="92"/>
    </row>
    <row r="39" spans="2:7" ht="18.75" customHeight="1" x14ac:dyDescent="0.15">
      <c r="B39" s="158"/>
      <c r="C39" s="70"/>
      <c r="D39" s="90"/>
      <c r="E39" s="91"/>
      <c r="F39" s="91"/>
      <c r="G39" s="92"/>
    </row>
    <row r="40" spans="2:7" ht="18.75" customHeight="1" x14ac:dyDescent="0.15">
      <c r="B40" s="158"/>
      <c r="C40" s="70"/>
      <c r="D40" s="90"/>
      <c r="E40" s="91"/>
      <c r="F40" s="91"/>
      <c r="G40" s="92"/>
    </row>
    <row r="41" spans="2:7" ht="18.75" customHeight="1" x14ac:dyDescent="0.15">
      <c r="B41" s="158"/>
      <c r="C41" s="70"/>
      <c r="D41" s="90"/>
      <c r="E41" s="91"/>
      <c r="F41" s="91"/>
      <c r="G41" s="92"/>
    </row>
    <row r="42" spans="2:7" ht="18.75" customHeight="1" x14ac:dyDescent="0.15">
      <c r="B42" s="158"/>
      <c r="C42" s="70"/>
      <c r="D42" s="90"/>
      <c r="E42" s="91"/>
      <c r="F42" s="91"/>
      <c r="G42" s="92"/>
    </row>
    <row r="43" spans="2:7" ht="18.75" customHeight="1" x14ac:dyDescent="0.15">
      <c r="B43" s="158"/>
      <c r="C43" s="70"/>
      <c r="D43" s="90"/>
      <c r="E43" s="91"/>
      <c r="F43" s="91"/>
      <c r="G43" s="92"/>
    </row>
    <row r="44" spans="2:7" ht="18.75" customHeight="1" x14ac:dyDescent="0.15">
      <c r="B44" s="158"/>
      <c r="C44" s="70"/>
      <c r="D44" s="90"/>
      <c r="E44" s="91"/>
      <c r="F44" s="91"/>
      <c r="G44" s="92"/>
    </row>
    <row r="45" spans="2:7" ht="18.75" customHeight="1" x14ac:dyDescent="0.15">
      <c r="B45" s="158"/>
      <c r="C45" s="70"/>
      <c r="D45" s="90"/>
      <c r="E45" s="91"/>
      <c r="F45" s="91"/>
      <c r="G45" s="92"/>
    </row>
    <row r="46" spans="2:7" ht="18.75" customHeight="1" x14ac:dyDescent="0.15">
      <c r="B46" s="158"/>
      <c r="C46" s="70"/>
      <c r="D46" s="90"/>
      <c r="E46" s="91"/>
      <c r="F46" s="91"/>
      <c r="G46" s="92"/>
    </row>
    <row r="47" spans="2:7" ht="18.75" customHeight="1" x14ac:dyDescent="0.15">
      <c r="B47" s="158"/>
      <c r="C47" s="70"/>
      <c r="D47" s="90"/>
      <c r="E47" s="91"/>
      <c r="F47" s="91"/>
      <c r="G47" s="92"/>
    </row>
    <row r="48" spans="2:7" ht="18.75" customHeight="1" x14ac:dyDescent="0.15">
      <c r="B48" s="158"/>
      <c r="C48" s="70"/>
      <c r="D48" s="90"/>
      <c r="E48" s="91"/>
      <c r="F48" s="91"/>
      <c r="G48" s="92"/>
    </row>
    <row r="49" spans="2:7" ht="18.75" customHeight="1" x14ac:dyDescent="0.15">
      <c r="B49" s="158"/>
      <c r="C49" s="70"/>
      <c r="D49" s="90"/>
      <c r="E49" s="91"/>
      <c r="F49" s="91"/>
      <c r="G49" s="92"/>
    </row>
    <row r="50" spans="2:7" ht="18.75" customHeight="1" x14ac:dyDescent="0.15">
      <c r="B50" s="171"/>
      <c r="C50" s="70"/>
      <c r="D50" s="90"/>
      <c r="E50" s="91"/>
      <c r="F50" s="91"/>
      <c r="G50" s="92"/>
    </row>
    <row r="51" spans="2:7" ht="18.75" customHeight="1" x14ac:dyDescent="0.15">
      <c r="B51" s="157" t="s">
        <v>110</v>
      </c>
      <c r="C51" s="100" t="s">
        <v>104</v>
      </c>
      <c r="D51" s="101"/>
      <c r="E51" s="101"/>
      <c r="F51" s="101"/>
      <c r="G51" s="102"/>
    </row>
    <row r="52" spans="2:7" ht="45" customHeight="1" x14ac:dyDescent="0.15">
      <c r="B52" s="158"/>
      <c r="C52" s="172" t="s">
        <v>188</v>
      </c>
      <c r="D52" s="173"/>
      <c r="E52" s="173"/>
      <c r="F52" s="173"/>
      <c r="G52" s="174"/>
    </row>
    <row r="53" spans="2:7" ht="44.25" customHeight="1" x14ac:dyDescent="0.15">
      <c r="B53" s="158"/>
      <c r="C53" s="175"/>
      <c r="D53" s="176"/>
      <c r="E53" s="176"/>
      <c r="F53" s="176"/>
      <c r="G53" s="177"/>
    </row>
    <row r="54" spans="2:7" ht="37.5" customHeight="1" x14ac:dyDescent="0.15">
      <c r="B54" s="158"/>
      <c r="C54" s="175"/>
      <c r="D54" s="176"/>
      <c r="E54" s="176"/>
      <c r="F54" s="176"/>
      <c r="G54" s="177"/>
    </row>
    <row r="55" spans="2:7" ht="37.5" customHeight="1" x14ac:dyDescent="0.15">
      <c r="B55" s="158"/>
      <c r="C55" s="178"/>
      <c r="D55" s="179"/>
      <c r="E55" s="179"/>
      <c r="F55" s="179"/>
      <c r="G55" s="180"/>
    </row>
    <row r="56" spans="2:7" ht="37.5" customHeight="1" x14ac:dyDescent="0.15">
      <c r="B56" s="158"/>
      <c r="C56" s="76" t="s">
        <v>105</v>
      </c>
      <c r="D56" s="108" t="s">
        <v>106</v>
      </c>
      <c r="E56" s="109"/>
      <c r="F56" s="109"/>
      <c r="G56" s="110"/>
    </row>
    <row r="57" spans="2:7" ht="18.75" customHeight="1" x14ac:dyDescent="0.15">
      <c r="B57" s="158"/>
      <c r="C57" s="70" t="s">
        <v>153</v>
      </c>
      <c r="D57" s="112" t="s">
        <v>158</v>
      </c>
      <c r="E57" s="113"/>
      <c r="F57" s="113"/>
      <c r="G57" s="114"/>
    </row>
    <row r="58" spans="2:7" ht="18.75" customHeight="1" x14ac:dyDescent="0.15">
      <c r="B58" s="158"/>
      <c r="C58" s="70" t="s">
        <v>153</v>
      </c>
      <c r="D58" s="112" t="s">
        <v>159</v>
      </c>
      <c r="E58" s="113"/>
      <c r="F58" s="113"/>
      <c r="G58" s="114"/>
    </row>
    <row r="59" spans="2:7" ht="18.75" customHeight="1" x14ac:dyDescent="0.15">
      <c r="B59" s="158"/>
      <c r="C59" s="70" t="s">
        <v>153</v>
      </c>
      <c r="D59" s="112" t="s">
        <v>160</v>
      </c>
      <c r="E59" s="113"/>
      <c r="F59" s="113"/>
      <c r="G59" s="114"/>
    </row>
    <row r="60" spans="2:7" ht="18.75" customHeight="1" x14ac:dyDescent="0.15">
      <c r="B60" s="158"/>
      <c r="C60" s="70" t="s">
        <v>153</v>
      </c>
      <c r="D60" s="168" t="s">
        <v>166</v>
      </c>
      <c r="E60" s="169"/>
      <c r="F60" s="169"/>
      <c r="G60" s="170"/>
    </row>
    <row r="61" spans="2:7" ht="18.75" customHeight="1" x14ac:dyDescent="0.15">
      <c r="B61" s="158"/>
      <c r="C61" s="70" t="s">
        <v>153</v>
      </c>
      <c r="D61" s="168" t="s">
        <v>177</v>
      </c>
      <c r="E61" s="169"/>
      <c r="F61" s="169"/>
      <c r="G61" s="170"/>
    </row>
    <row r="62" spans="2:7" ht="18.75" customHeight="1" x14ac:dyDescent="0.15">
      <c r="B62" s="158"/>
      <c r="C62" s="70"/>
      <c r="D62" s="90"/>
      <c r="E62" s="91"/>
      <c r="F62" s="91"/>
      <c r="G62" s="92"/>
    </row>
    <row r="63" spans="2:7" ht="18.75" customHeight="1" x14ac:dyDescent="0.15">
      <c r="B63" s="158"/>
      <c r="C63" s="70"/>
      <c r="D63" s="90"/>
      <c r="E63" s="91"/>
      <c r="F63" s="91"/>
      <c r="G63" s="92"/>
    </row>
    <row r="64" spans="2:7" ht="18.75" customHeight="1" x14ac:dyDescent="0.15">
      <c r="B64" s="158"/>
      <c r="C64" s="70"/>
      <c r="D64" s="90"/>
      <c r="E64" s="91"/>
      <c r="F64" s="91"/>
      <c r="G64" s="92"/>
    </row>
    <row r="65" spans="2:7" ht="18.75" customHeight="1" x14ac:dyDescent="0.15">
      <c r="B65" s="158"/>
      <c r="C65" s="70"/>
      <c r="D65" s="90"/>
      <c r="E65" s="91"/>
      <c r="F65" s="91"/>
      <c r="G65" s="92"/>
    </row>
    <row r="66" spans="2:7" ht="18.75" customHeight="1" x14ac:dyDescent="0.15">
      <c r="B66" s="158"/>
      <c r="C66" s="70"/>
      <c r="D66" s="90"/>
      <c r="E66" s="91"/>
      <c r="F66" s="91"/>
      <c r="G66" s="92"/>
    </row>
    <row r="67" spans="2:7" ht="18.75" customHeight="1" x14ac:dyDescent="0.15">
      <c r="B67" s="158"/>
      <c r="C67" s="70"/>
      <c r="D67" s="90"/>
      <c r="E67" s="91"/>
      <c r="F67" s="91"/>
      <c r="G67" s="92"/>
    </row>
    <row r="68" spans="2:7" ht="18.75" customHeight="1" x14ac:dyDescent="0.15">
      <c r="B68" s="158"/>
      <c r="C68" s="70"/>
      <c r="D68" s="90"/>
      <c r="E68" s="91"/>
      <c r="F68" s="91"/>
      <c r="G68" s="92"/>
    </row>
    <row r="69" spans="2:7" ht="18.75" customHeight="1" x14ac:dyDescent="0.15">
      <c r="B69" s="158"/>
      <c r="C69" s="70"/>
      <c r="D69" s="90"/>
      <c r="E69" s="91"/>
      <c r="F69" s="91"/>
      <c r="G69" s="92"/>
    </row>
    <row r="70" spans="2:7" ht="18.75" customHeight="1" x14ac:dyDescent="0.15">
      <c r="B70" s="158"/>
      <c r="C70" s="70"/>
      <c r="D70" s="90"/>
      <c r="E70" s="91"/>
      <c r="F70" s="91"/>
      <c r="G70" s="92"/>
    </row>
    <row r="71" spans="2:7" ht="18.75" customHeight="1" x14ac:dyDescent="0.15">
      <c r="B71" s="158"/>
      <c r="C71" s="70"/>
      <c r="D71" s="90"/>
      <c r="E71" s="91"/>
      <c r="F71" s="91"/>
      <c r="G71" s="92"/>
    </row>
    <row r="72" spans="2:7" ht="18.75" customHeight="1" x14ac:dyDescent="0.15">
      <c r="B72" s="158"/>
      <c r="C72" s="70"/>
      <c r="D72" s="90"/>
      <c r="E72" s="91"/>
      <c r="F72" s="91"/>
      <c r="G72" s="92"/>
    </row>
    <row r="73" spans="2:7" ht="18.75" customHeight="1" x14ac:dyDescent="0.15">
      <c r="B73" s="158"/>
      <c r="C73" s="70"/>
      <c r="D73" s="90"/>
      <c r="E73" s="91"/>
      <c r="F73" s="91"/>
      <c r="G73" s="92"/>
    </row>
    <row r="74" spans="2:7" ht="18.75" customHeight="1" x14ac:dyDescent="0.15">
      <c r="B74" s="158"/>
      <c r="C74" s="70"/>
      <c r="D74" s="90"/>
      <c r="E74" s="91"/>
      <c r="F74" s="91"/>
      <c r="G74" s="92"/>
    </row>
    <row r="75" spans="2:7" ht="18.75" customHeight="1" x14ac:dyDescent="0.15">
      <c r="B75" s="158"/>
      <c r="C75" s="70"/>
      <c r="D75" s="90"/>
      <c r="E75" s="91"/>
      <c r="F75" s="91"/>
      <c r="G75" s="92"/>
    </row>
    <row r="76" spans="2:7" ht="18.75" customHeight="1" x14ac:dyDescent="0.15">
      <c r="B76" s="157" t="s">
        <v>109</v>
      </c>
      <c r="C76" s="100" t="s">
        <v>104</v>
      </c>
      <c r="D76" s="101"/>
      <c r="E76" s="101"/>
      <c r="F76" s="101"/>
      <c r="G76" s="102"/>
    </row>
    <row r="77" spans="2:7" ht="37.5" customHeight="1" x14ac:dyDescent="0.15">
      <c r="B77" s="158"/>
      <c r="C77" s="172" t="s">
        <v>188</v>
      </c>
      <c r="D77" s="173"/>
      <c r="E77" s="173"/>
      <c r="F77" s="173"/>
      <c r="G77" s="174"/>
    </row>
    <row r="78" spans="2:7" ht="37.5" customHeight="1" x14ac:dyDescent="0.15">
      <c r="B78" s="158"/>
      <c r="C78" s="175"/>
      <c r="D78" s="176"/>
      <c r="E78" s="176"/>
      <c r="F78" s="176"/>
      <c r="G78" s="177"/>
    </row>
    <row r="79" spans="2:7" ht="50.25" customHeight="1" x14ac:dyDescent="0.15">
      <c r="B79" s="158"/>
      <c r="C79" s="175"/>
      <c r="D79" s="176"/>
      <c r="E79" s="176"/>
      <c r="F79" s="176"/>
      <c r="G79" s="177"/>
    </row>
    <row r="80" spans="2:7" ht="37.5" customHeight="1" x14ac:dyDescent="0.15">
      <c r="B80" s="158"/>
      <c r="C80" s="178"/>
      <c r="D80" s="179"/>
      <c r="E80" s="179"/>
      <c r="F80" s="179"/>
      <c r="G80" s="180"/>
    </row>
    <row r="81" spans="2:7" ht="37.5" customHeight="1" x14ac:dyDescent="0.15">
      <c r="B81" s="158"/>
      <c r="C81" s="76" t="s">
        <v>105</v>
      </c>
      <c r="D81" s="108" t="s">
        <v>106</v>
      </c>
      <c r="E81" s="109"/>
      <c r="F81" s="109"/>
      <c r="G81" s="110"/>
    </row>
    <row r="82" spans="2:7" ht="18.75" customHeight="1" x14ac:dyDescent="0.15">
      <c r="B82" s="158"/>
      <c r="C82" s="70" t="s">
        <v>153</v>
      </c>
      <c r="D82" s="112" t="s">
        <v>161</v>
      </c>
      <c r="E82" s="113"/>
      <c r="F82" s="113"/>
      <c r="G82" s="114"/>
    </row>
    <row r="83" spans="2:7" ht="18.75" customHeight="1" x14ac:dyDescent="0.15">
      <c r="B83" s="158"/>
      <c r="C83" s="70" t="s">
        <v>153</v>
      </c>
      <c r="D83" s="112" t="s">
        <v>162</v>
      </c>
      <c r="E83" s="113"/>
      <c r="F83" s="113"/>
      <c r="G83" s="114"/>
    </row>
    <row r="84" spans="2:7" ht="18.75" customHeight="1" x14ac:dyDescent="0.15">
      <c r="B84" s="158"/>
      <c r="C84" s="70"/>
      <c r="D84" s="168"/>
      <c r="E84" s="169"/>
      <c r="F84" s="169"/>
      <c r="G84" s="170"/>
    </row>
    <row r="85" spans="2:7" ht="18.75" customHeight="1" x14ac:dyDescent="0.15">
      <c r="B85" s="158"/>
      <c r="C85" s="70"/>
      <c r="D85" s="168"/>
      <c r="E85" s="169"/>
      <c r="F85" s="169"/>
      <c r="G85" s="170"/>
    </row>
    <row r="86" spans="2:7" ht="18.75" customHeight="1" x14ac:dyDescent="0.15">
      <c r="B86" s="158"/>
      <c r="C86" s="70"/>
      <c r="D86" s="90"/>
      <c r="E86" s="91"/>
      <c r="F86" s="91"/>
      <c r="G86" s="92"/>
    </row>
    <row r="87" spans="2:7" ht="18.75" customHeight="1" x14ac:dyDescent="0.15">
      <c r="B87" s="158"/>
      <c r="C87" s="70"/>
      <c r="D87" s="90"/>
      <c r="E87" s="91"/>
      <c r="F87" s="91"/>
      <c r="G87" s="92"/>
    </row>
    <row r="88" spans="2:7" ht="18.75" customHeight="1" x14ac:dyDescent="0.15">
      <c r="B88" s="158"/>
      <c r="C88" s="70"/>
      <c r="D88" s="90"/>
      <c r="E88" s="91"/>
      <c r="F88" s="91"/>
      <c r="G88" s="92"/>
    </row>
    <row r="89" spans="2:7" ht="18.75" customHeight="1" x14ac:dyDescent="0.15">
      <c r="B89" s="158"/>
      <c r="C89" s="70"/>
      <c r="D89" s="90"/>
      <c r="E89" s="91"/>
      <c r="F89" s="91"/>
      <c r="G89" s="92"/>
    </row>
    <row r="90" spans="2:7" ht="18.75" customHeight="1" x14ac:dyDescent="0.15">
      <c r="B90" s="158"/>
      <c r="C90" s="70"/>
      <c r="D90" s="90"/>
      <c r="E90" s="91"/>
      <c r="F90" s="91"/>
      <c r="G90" s="92"/>
    </row>
    <row r="91" spans="2:7" ht="18.75" customHeight="1" x14ac:dyDescent="0.15">
      <c r="B91" s="158"/>
      <c r="C91" s="70"/>
      <c r="D91" s="90"/>
      <c r="E91" s="91"/>
      <c r="F91" s="91"/>
      <c r="G91" s="92"/>
    </row>
    <row r="92" spans="2:7" ht="18.75" customHeight="1" x14ac:dyDescent="0.15">
      <c r="B92" s="158"/>
      <c r="C92" s="70"/>
      <c r="D92" s="90"/>
      <c r="E92" s="91"/>
      <c r="F92" s="91"/>
      <c r="G92" s="92"/>
    </row>
    <row r="93" spans="2:7" ht="18.75" customHeight="1" x14ac:dyDescent="0.15">
      <c r="B93" s="158"/>
      <c r="C93" s="70"/>
      <c r="D93" s="90"/>
      <c r="E93" s="91"/>
      <c r="F93" s="91"/>
      <c r="G93" s="92"/>
    </row>
    <row r="94" spans="2:7" ht="18.75" customHeight="1" x14ac:dyDescent="0.15">
      <c r="B94" s="158"/>
      <c r="C94" s="70"/>
      <c r="D94" s="90"/>
      <c r="E94" s="91"/>
      <c r="F94" s="91"/>
      <c r="G94" s="92"/>
    </row>
    <row r="95" spans="2:7" ht="18.75" customHeight="1" x14ac:dyDescent="0.15">
      <c r="B95" s="158"/>
      <c r="C95" s="70"/>
      <c r="D95" s="90"/>
      <c r="E95" s="91"/>
      <c r="F95" s="91"/>
      <c r="G95" s="92"/>
    </row>
    <row r="96" spans="2:7" ht="18.75" customHeight="1" x14ac:dyDescent="0.15">
      <c r="B96" s="158"/>
      <c r="C96" s="70"/>
      <c r="D96" s="90"/>
      <c r="E96" s="91"/>
      <c r="F96" s="91"/>
      <c r="G96" s="92"/>
    </row>
    <row r="97" spans="2:7" ht="18.75" customHeight="1" x14ac:dyDescent="0.15">
      <c r="B97" s="158"/>
      <c r="C97" s="70"/>
      <c r="D97" s="90"/>
      <c r="E97" s="91"/>
      <c r="F97" s="91"/>
      <c r="G97" s="92"/>
    </row>
    <row r="98" spans="2:7" ht="18.75" customHeight="1" x14ac:dyDescent="0.15">
      <c r="B98" s="158"/>
      <c r="C98" s="70"/>
      <c r="D98" s="90"/>
      <c r="E98" s="91"/>
      <c r="F98" s="91"/>
      <c r="G98" s="92"/>
    </row>
    <row r="99" spans="2:7" ht="18.75" customHeight="1" x14ac:dyDescent="0.15">
      <c r="B99" s="158"/>
      <c r="C99" s="70"/>
      <c r="D99" s="90"/>
      <c r="E99" s="91"/>
      <c r="F99" s="91"/>
      <c r="G99" s="92"/>
    </row>
    <row r="100" spans="2:7" ht="18.75" customHeight="1" x14ac:dyDescent="0.15">
      <c r="B100" s="158"/>
      <c r="C100" s="70"/>
      <c r="D100" s="90"/>
      <c r="E100" s="91"/>
      <c r="F100" s="91"/>
      <c r="G100" s="92"/>
    </row>
    <row r="101" spans="2:7" ht="18.75" customHeight="1" x14ac:dyDescent="0.15">
      <c r="B101" s="157" t="s">
        <v>111</v>
      </c>
      <c r="C101" s="100" t="s">
        <v>104</v>
      </c>
      <c r="D101" s="101"/>
      <c r="E101" s="101"/>
      <c r="F101" s="101"/>
      <c r="G101" s="102"/>
    </row>
    <row r="102" spans="2:7" ht="37.5" customHeight="1" x14ac:dyDescent="0.15">
      <c r="B102" s="158"/>
      <c r="C102" s="159" t="s">
        <v>184</v>
      </c>
      <c r="D102" s="160"/>
      <c r="E102" s="160"/>
      <c r="F102" s="160"/>
      <c r="G102" s="161"/>
    </row>
    <row r="103" spans="2:7" ht="37.5" customHeight="1" x14ac:dyDescent="0.15">
      <c r="B103" s="158"/>
      <c r="C103" s="162"/>
      <c r="D103" s="163"/>
      <c r="E103" s="163"/>
      <c r="F103" s="163"/>
      <c r="G103" s="164"/>
    </row>
    <row r="104" spans="2:7" ht="23.25" customHeight="1" x14ac:dyDescent="0.15">
      <c r="B104" s="158"/>
      <c r="C104" s="162"/>
      <c r="D104" s="163"/>
      <c r="E104" s="163"/>
      <c r="F104" s="163"/>
      <c r="G104" s="164"/>
    </row>
    <row r="105" spans="2:7" ht="21" customHeight="1" x14ac:dyDescent="0.15">
      <c r="B105" s="158"/>
      <c r="C105" s="162"/>
      <c r="D105" s="163"/>
      <c r="E105" s="163"/>
      <c r="F105" s="163"/>
      <c r="G105" s="164"/>
    </row>
    <row r="106" spans="2:7" ht="17.25" customHeight="1" x14ac:dyDescent="0.15">
      <c r="B106" s="158"/>
      <c r="C106" s="165"/>
      <c r="D106" s="166"/>
      <c r="E106" s="166"/>
      <c r="F106" s="166"/>
      <c r="G106" s="167"/>
    </row>
    <row r="107" spans="2:7" ht="18.75" customHeight="1" x14ac:dyDescent="0.15">
      <c r="B107" s="158"/>
      <c r="C107" s="76" t="s">
        <v>105</v>
      </c>
      <c r="D107" s="100" t="s">
        <v>106</v>
      </c>
      <c r="E107" s="101"/>
      <c r="F107" s="101"/>
      <c r="G107" s="102"/>
    </row>
    <row r="108" spans="2:7" ht="18.75" customHeight="1" x14ac:dyDescent="0.15">
      <c r="B108" s="158"/>
      <c r="C108" s="21" t="s">
        <v>143</v>
      </c>
      <c r="D108" s="182" t="s">
        <v>167</v>
      </c>
      <c r="E108" s="183"/>
      <c r="F108" s="183"/>
      <c r="G108" s="184"/>
    </row>
    <row r="109" spans="2:7" ht="18.75" customHeight="1" x14ac:dyDescent="0.15">
      <c r="B109" s="158"/>
      <c r="C109" s="21" t="s">
        <v>143</v>
      </c>
      <c r="D109" s="168" t="s">
        <v>168</v>
      </c>
      <c r="E109" s="169"/>
      <c r="F109" s="169"/>
      <c r="G109" s="170"/>
    </row>
    <row r="110" spans="2:7" ht="18.75" customHeight="1" x14ac:dyDescent="0.15">
      <c r="B110" s="158"/>
      <c r="C110" s="21" t="s">
        <v>143</v>
      </c>
      <c r="D110" s="168" t="s">
        <v>178</v>
      </c>
      <c r="E110" s="169"/>
      <c r="F110" s="169"/>
      <c r="G110" s="170"/>
    </row>
    <row r="111" spans="2:7" ht="18.75" customHeight="1" x14ac:dyDescent="0.15">
      <c r="B111" s="158"/>
      <c r="C111" s="21" t="s">
        <v>143</v>
      </c>
      <c r="D111" s="168" t="s">
        <v>179</v>
      </c>
      <c r="E111" s="169"/>
      <c r="F111" s="169"/>
      <c r="G111" s="170"/>
    </row>
    <row r="112" spans="2:7" ht="18.75" customHeight="1" x14ac:dyDescent="0.15">
      <c r="B112" s="158"/>
      <c r="C112" s="21" t="s">
        <v>153</v>
      </c>
      <c r="D112" s="168" t="s">
        <v>181</v>
      </c>
      <c r="E112" s="169"/>
      <c r="F112" s="169"/>
      <c r="G112" s="170"/>
    </row>
    <row r="113" spans="1:7" ht="18.75" customHeight="1" x14ac:dyDescent="0.15">
      <c r="B113" s="158"/>
      <c r="C113" s="21" t="s">
        <v>153</v>
      </c>
      <c r="D113" s="168" t="s">
        <v>182</v>
      </c>
      <c r="E113" s="169"/>
      <c r="F113" s="169"/>
      <c r="G113" s="170"/>
    </row>
    <row r="114" spans="1:7" ht="18.75" customHeight="1" x14ac:dyDescent="0.15">
      <c r="B114" s="158"/>
      <c r="C114" s="21" t="s">
        <v>153</v>
      </c>
      <c r="D114" s="168" t="s">
        <v>183</v>
      </c>
      <c r="E114" s="169"/>
      <c r="F114" s="169"/>
      <c r="G114" s="170"/>
    </row>
    <row r="115" spans="1:7" ht="18.75" customHeight="1" x14ac:dyDescent="0.15">
      <c r="B115" s="158"/>
      <c r="C115" s="21"/>
      <c r="D115" s="168"/>
      <c r="E115" s="169"/>
      <c r="F115" s="169"/>
      <c r="G115" s="170"/>
    </row>
    <row r="116" spans="1:7" ht="18.75" customHeight="1" x14ac:dyDescent="0.15">
      <c r="B116" s="158"/>
      <c r="C116" s="21"/>
      <c r="D116" s="168"/>
      <c r="E116" s="169"/>
      <c r="F116" s="169"/>
      <c r="G116" s="170"/>
    </row>
    <row r="117" spans="1:7" ht="18.75" customHeight="1" x14ac:dyDescent="0.15">
      <c r="B117" s="158"/>
      <c r="C117" s="21"/>
      <c r="D117" s="168"/>
      <c r="E117" s="169"/>
      <c r="F117" s="169"/>
      <c r="G117" s="170"/>
    </row>
    <row r="118" spans="1:7" ht="18.75" customHeight="1" x14ac:dyDescent="0.15">
      <c r="B118" s="158"/>
      <c r="C118" s="21"/>
      <c r="D118" s="168"/>
      <c r="E118" s="169"/>
      <c r="F118" s="169"/>
      <c r="G118" s="170"/>
    </row>
    <row r="119" spans="1:7" ht="18.75" customHeight="1" x14ac:dyDescent="0.15">
      <c r="B119" s="158"/>
      <c r="C119" s="77"/>
      <c r="D119" s="168"/>
      <c r="E119" s="169"/>
      <c r="F119" s="169"/>
      <c r="G119" s="170"/>
    </row>
    <row r="120" spans="1:7" ht="18.75" customHeight="1" x14ac:dyDescent="0.15">
      <c r="B120" s="158"/>
      <c r="C120" s="77"/>
      <c r="D120" s="168"/>
      <c r="E120" s="169"/>
      <c r="F120" s="169"/>
      <c r="G120" s="170"/>
    </row>
    <row r="121" spans="1:7" ht="18.75" customHeight="1" x14ac:dyDescent="0.15">
      <c r="B121" s="158"/>
      <c r="C121" s="77"/>
      <c r="D121" s="168"/>
      <c r="E121" s="169"/>
      <c r="F121" s="169"/>
      <c r="G121" s="170"/>
    </row>
    <row r="122" spans="1:7" ht="18.75" customHeight="1" x14ac:dyDescent="0.15">
      <c r="B122" s="158"/>
      <c r="C122" s="77"/>
      <c r="D122" s="168"/>
      <c r="E122" s="169"/>
      <c r="F122" s="169"/>
      <c r="G122" s="170"/>
    </row>
    <row r="123" spans="1:7" ht="18.75" customHeight="1" x14ac:dyDescent="0.15">
      <c r="B123" s="158"/>
      <c r="C123" s="77"/>
      <c r="D123" s="168"/>
      <c r="E123" s="169"/>
      <c r="F123" s="169"/>
      <c r="G123" s="170"/>
    </row>
    <row r="124" spans="1:7" ht="18.75" customHeight="1" x14ac:dyDescent="0.15">
      <c r="B124" s="158"/>
      <c r="C124" s="77"/>
      <c r="D124" s="168"/>
      <c r="E124" s="169"/>
      <c r="F124" s="169"/>
      <c r="G124" s="170"/>
    </row>
    <row r="125" spans="1:7" ht="18.75" customHeight="1" x14ac:dyDescent="0.15">
      <c r="B125" s="158"/>
      <c r="C125" s="77"/>
      <c r="D125" s="168"/>
      <c r="E125" s="169"/>
      <c r="F125" s="169"/>
      <c r="G125" s="170"/>
    </row>
    <row r="126" spans="1:7" ht="18.75" customHeight="1" x14ac:dyDescent="0.15">
      <c r="A126" s="3" t="s">
        <v>12</v>
      </c>
      <c r="B126" s="3" t="s">
        <v>102</v>
      </c>
    </row>
    <row r="127" spans="1:7" ht="22.5" customHeight="1" x14ac:dyDescent="0.15">
      <c r="B127" s="70" t="s">
        <v>72</v>
      </c>
      <c r="C127" s="100" t="s">
        <v>101</v>
      </c>
      <c r="D127" s="101"/>
      <c r="E127" s="101"/>
      <c r="F127" s="101"/>
      <c r="G127" s="102"/>
    </row>
    <row r="128" spans="1:7" ht="45" customHeight="1" x14ac:dyDescent="0.15">
      <c r="B128" s="22" t="s">
        <v>74</v>
      </c>
      <c r="C128" s="112" t="s">
        <v>169</v>
      </c>
      <c r="D128" s="113"/>
      <c r="E128" s="113"/>
      <c r="F128" s="113"/>
      <c r="G128" s="114"/>
    </row>
    <row r="129" spans="1:7" ht="45" customHeight="1" x14ac:dyDescent="0.15">
      <c r="B129" s="22" t="s">
        <v>75</v>
      </c>
      <c r="C129" s="112" t="s">
        <v>170</v>
      </c>
      <c r="D129" s="113"/>
      <c r="E129" s="113"/>
      <c r="F129" s="113"/>
      <c r="G129" s="114"/>
    </row>
    <row r="130" spans="1:7" ht="45" customHeight="1" x14ac:dyDescent="0.15">
      <c r="B130" s="22" t="s">
        <v>76</v>
      </c>
      <c r="C130" s="156" t="s">
        <v>171</v>
      </c>
      <c r="D130" s="113"/>
      <c r="E130" s="113"/>
      <c r="F130" s="113"/>
      <c r="G130" s="114"/>
    </row>
    <row r="131" spans="1:7" ht="45" customHeight="1" x14ac:dyDescent="0.15">
      <c r="B131" s="22" t="s">
        <v>77</v>
      </c>
      <c r="C131" s="112" t="s">
        <v>169</v>
      </c>
      <c r="D131" s="113"/>
      <c r="E131" s="113"/>
      <c r="F131" s="113"/>
      <c r="G131" s="114"/>
    </row>
    <row r="132" spans="1:7" ht="45" customHeight="1" x14ac:dyDescent="0.15">
      <c r="B132" s="22" t="s">
        <v>78</v>
      </c>
      <c r="C132" s="156" t="s">
        <v>172</v>
      </c>
      <c r="D132" s="113"/>
      <c r="E132" s="113"/>
      <c r="F132" s="113"/>
      <c r="G132" s="114"/>
    </row>
    <row r="133" spans="1:7" ht="45" customHeight="1" x14ac:dyDescent="0.15">
      <c r="B133" s="22" t="s">
        <v>79</v>
      </c>
      <c r="C133" s="156" t="s">
        <v>173</v>
      </c>
      <c r="D133" s="113"/>
      <c r="E133" s="113"/>
      <c r="F133" s="113"/>
      <c r="G133" s="114"/>
    </row>
    <row r="134" spans="1:7" ht="45" customHeight="1" x14ac:dyDescent="0.15">
      <c r="B134" s="22" t="s">
        <v>80</v>
      </c>
      <c r="C134" s="112" t="s">
        <v>174</v>
      </c>
      <c r="D134" s="113"/>
      <c r="E134" s="113"/>
      <c r="F134" s="113"/>
      <c r="G134" s="114"/>
    </row>
    <row r="135" spans="1:7" ht="45" customHeight="1" x14ac:dyDescent="0.15">
      <c r="B135" s="22" t="s">
        <v>81</v>
      </c>
      <c r="C135" s="156" t="s">
        <v>175</v>
      </c>
      <c r="D135" s="113"/>
      <c r="E135" s="113"/>
      <c r="F135" s="113"/>
      <c r="G135" s="114"/>
    </row>
    <row r="136" spans="1:7" ht="45" customHeight="1" x14ac:dyDescent="0.15">
      <c r="B136" s="22" t="s">
        <v>82</v>
      </c>
      <c r="C136" s="156" t="s">
        <v>154</v>
      </c>
      <c r="D136" s="113"/>
      <c r="E136" s="113"/>
      <c r="F136" s="113"/>
      <c r="G136" s="114"/>
    </row>
    <row r="137" spans="1:7" ht="7.5" customHeight="1" x14ac:dyDescent="0.15"/>
    <row r="138" spans="1:7" ht="18.75" customHeight="1" x14ac:dyDescent="0.15">
      <c r="A138" s="3" t="s">
        <v>95</v>
      </c>
      <c r="B138" s="3" t="s">
        <v>96</v>
      </c>
      <c r="E138" s="181" t="s">
        <v>152</v>
      </c>
      <c r="F138" s="113"/>
      <c r="G138" s="114"/>
    </row>
    <row r="139" spans="1:7" ht="7.5" customHeight="1" x14ac:dyDescent="0.15"/>
    <row r="140" spans="1:7" ht="18.75" customHeight="1" x14ac:dyDescent="0.15">
      <c r="A140" s="3" t="s">
        <v>97</v>
      </c>
      <c r="B140" s="3" t="s">
        <v>98</v>
      </c>
    </row>
    <row r="141" spans="1:7" ht="18.75" customHeight="1" x14ac:dyDescent="0.15">
      <c r="B141" s="159" t="s">
        <v>189</v>
      </c>
      <c r="C141" s="160"/>
      <c r="D141" s="160"/>
      <c r="E141" s="160"/>
      <c r="F141" s="160"/>
      <c r="G141" s="161"/>
    </row>
    <row r="142" spans="1:7" ht="18.75" customHeight="1" x14ac:dyDescent="0.15">
      <c r="B142" s="162"/>
      <c r="C142" s="163"/>
      <c r="D142" s="163"/>
      <c r="E142" s="163"/>
      <c r="F142" s="163"/>
      <c r="G142" s="164"/>
    </row>
    <row r="143" spans="1:7" ht="18.75" customHeight="1" x14ac:dyDescent="0.15">
      <c r="B143" s="162"/>
      <c r="C143" s="163"/>
      <c r="D143" s="163"/>
      <c r="E143" s="163"/>
      <c r="F143" s="163"/>
      <c r="G143" s="164"/>
    </row>
    <row r="144" spans="1:7" ht="18.75" customHeight="1" x14ac:dyDescent="0.15">
      <c r="B144" s="165"/>
      <c r="C144" s="166"/>
      <c r="D144" s="166"/>
      <c r="E144" s="166"/>
      <c r="F144" s="166"/>
      <c r="G144" s="167"/>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3">
    <mergeCell ref="C52:G55"/>
    <mergeCell ref="D56:G56"/>
    <mergeCell ref="C77:G80"/>
    <mergeCell ref="D81:G81"/>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60:G60"/>
    <mergeCell ref="D61:G61"/>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B26:B50"/>
    <mergeCell ref="C26:G26"/>
    <mergeCell ref="D32:G32"/>
    <mergeCell ref="D33:G33"/>
    <mergeCell ref="D42:G42"/>
    <mergeCell ref="D43:G43"/>
    <mergeCell ref="D44:G44"/>
    <mergeCell ref="D45:G45"/>
    <mergeCell ref="D46:G46"/>
    <mergeCell ref="D47:G47"/>
    <mergeCell ref="D48:G48"/>
    <mergeCell ref="D49:G49"/>
    <mergeCell ref="D50:G50"/>
    <mergeCell ref="D31:G31"/>
    <mergeCell ref="C27:G30"/>
    <mergeCell ref="B51:B75"/>
    <mergeCell ref="C51:G51"/>
    <mergeCell ref="B76:B100"/>
    <mergeCell ref="C76:G76"/>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62:G62"/>
    <mergeCell ref="D63:G63"/>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s>
  <phoneticPr fontId="1"/>
  <hyperlinks>
    <hyperlink ref="E138" r:id="rId1" xr:uid="{00000000-0004-0000-0300-000000000000}"/>
  </hyperlinks>
  <printOptions horizontalCentered="1"/>
  <pageMargins left="0.78740157480314965" right="0.78740157480314965" top="0.59055118110236227" bottom="0.39370078740157483" header="0.31496062992125984" footer="0.31496062992125984"/>
  <pageSetup paperSize="9" orientation="landscape" r:id="rId2"/>
  <rowBreaks count="5" manualBreakCount="5">
    <brk id="25" max="16383" man="1"/>
    <brk id="50" max="16383" man="1"/>
    <brk id="75" max="16383" man="1"/>
    <brk id="100" max="16383" man="1"/>
    <brk id="125"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8"/>
  <sheetViews>
    <sheetView showZeros="0" topLeftCell="A94" zoomScaleNormal="100" workbookViewId="0">
      <selection activeCell="B71" sqref="B71:E89"/>
    </sheetView>
  </sheetViews>
  <sheetFormatPr defaultColWidth="11.375" defaultRowHeight="18.75" customHeight="1" x14ac:dyDescent="0.15"/>
  <cols>
    <col min="1" max="1" width="2.75" style="40" customWidth="1"/>
    <col min="2" max="2" width="54.25" style="3" customWidth="1"/>
    <col min="3" max="3" width="1.25" style="3" customWidth="1"/>
    <col min="4" max="4" width="22.5" style="3" customWidth="1"/>
    <col min="5" max="5" width="6.25" style="3" customWidth="1"/>
    <col min="6" max="16384" width="11.375" style="3"/>
  </cols>
  <sheetData>
    <row r="1" spans="1:5" ht="18.75" customHeight="1" x14ac:dyDescent="0.15">
      <c r="E1" s="71" t="s">
        <v>103</v>
      </c>
    </row>
    <row r="2" spans="1:5" ht="18.75" customHeight="1" x14ac:dyDescent="0.15">
      <c r="B2" s="71" t="s">
        <v>86</v>
      </c>
      <c r="C2" s="71" t="s">
        <v>8</v>
      </c>
      <c r="D2" s="130" t="s">
        <v>140</v>
      </c>
      <c r="E2" s="130"/>
    </row>
    <row r="3" spans="1:5" ht="7.5" customHeight="1" x14ac:dyDescent="0.15">
      <c r="B3" s="71"/>
      <c r="C3" s="71"/>
      <c r="D3" s="73"/>
      <c r="E3" s="73"/>
    </row>
    <row r="4" spans="1:5" ht="18.75" customHeight="1" x14ac:dyDescent="0.15">
      <c r="B4" s="111" t="s">
        <v>83</v>
      </c>
      <c r="C4" s="111"/>
      <c r="D4" s="111"/>
      <c r="E4" s="111"/>
    </row>
    <row r="5" spans="1:5" ht="7.5" customHeight="1" x14ac:dyDescent="0.15">
      <c r="B5" s="73"/>
      <c r="C5" s="73"/>
      <c r="D5" s="73"/>
      <c r="E5" s="73"/>
    </row>
    <row r="6" spans="1:5" ht="18.75" customHeight="1" x14ac:dyDescent="0.15">
      <c r="A6" s="6" t="s">
        <v>7</v>
      </c>
      <c r="B6" s="4" t="s">
        <v>94</v>
      </c>
      <c r="C6" s="73"/>
      <c r="D6" s="73"/>
      <c r="E6" s="73"/>
    </row>
    <row r="7" spans="1:5" ht="18.75" customHeight="1" x14ac:dyDescent="0.15">
      <c r="A7" s="6"/>
      <c r="B7" s="112" t="s">
        <v>147</v>
      </c>
      <c r="C7" s="113"/>
      <c r="D7" s="113"/>
      <c r="E7" s="114"/>
    </row>
    <row r="8" spans="1:5" ht="7.5" customHeight="1" x14ac:dyDescent="0.15">
      <c r="B8" s="73"/>
      <c r="C8" s="73"/>
      <c r="D8" s="73"/>
      <c r="E8" s="73"/>
    </row>
    <row r="9" spans="1:5" s="4" customFormat="1" ht="18.75" customHeight="1" x14ac:dyDescent="0.15">
      <c r="A9" s="6" t="s">
        <v>12</v>
      </c>
      <c r="B9" s="6" t="s">
        <v>44</v>
      </c>
      <c r="C9" s="6"/>
      <c r="D9" s="6"/>
      <c r="E9" s="6"/>
    </row>
    <row r="10" spans="1:5" ht="18.75" customHeight="1" x14ac:dyDescent="0.15">
      <c r="A10" s="75"/>
      <c r="B10" s="185" t="s">
        <v>194</v>
      </c>
      <c r="C10" s="186"/>
      <c r="D10" s="186"/>
      <c r="E10" s="187"/>
    </row>
    <row r="11" spans="1:5" ht="42.75" customHeight="1" x14ac:dyDescent="0.15">
      <c r="A11" s="75"/>
      <c r="B11" s="188"/>
      <c r="C11" s="189"/>
      <c r="D11" s="189"/>
      <c r="E11" s="190"/>
    </row>
    <row r="12" spans="1:5" ht="42.75" customHeight="1" x14ac:dyDescent="0.15">
      <c r="A12" s="75"/>
      <c r="B12" s="188"/>
      <c r="C12" s="189"/>
      <c r="D12" s="189"/>
      <c r="E12" s="190"/>
    </row>
    <row r="13" spans="1:5" ht="36.75" customHeight="1" x14ac:dyDescent="0.15">
      <c r="A13" s="75"/>
      <c r="B13" s="188"/>
      <c r="C13" s="189"/>
      <c r="D13" s="189"/>
      <c r="E13" s="190"/>
    </row>
    <row r="14" spans="1:5" ht="18.75" customHeight="1" x14ac:dyDescent="0.15">
      <c r="A14" s="75"/>
      <c r="B14" s="191"/>
      <c r="C14" s="192"/>
      <c r="D14" s="192"/>
      <c r="E14" s="193"/>
    </row>
    <row r="15" spans="1:5" ht="7.5" customHeight="1" x14ac:dyDescent="0.15">
      <c r="A15" s="75"/>
      <c r="B15" s="75"/>
      <c r="C15" s="75"/>
      <c r="D15" s="75"/>
      <c r="E15" s="75"/>
    </row>
    <row r="16" spans="1:5" s="4" customFormat="1" ht="18.75" customHeight="1" x14ac:dyDescent="0.15">
      <c r="A16" s="23" t="s">
        <v>13</v>
      </c>
      <c r="B16" s="23" t="s">
        <v>18</v>
      </c>
      <c r="C16" s="23"/>
      <c r="D16" s="23"/>
      <c r="E16" s="23"/>
    </row>
    <row r="17" spans="1:5" ht="18.75" customHeight="1" x14ac:dyDescent="0.15">
      <c r="A17" s="75"/>
      <c r="B17" s="185" t="s">
        <v>190</v>
      </c>
      <c r="C17" s="186"/>
      <c r="D17" s="186"/>
      <c r="E17" s="187"/>
    </row>
    <row r="18" spans="1:5" ht="18.75" customHeight="1" x14ac:dyDescent="0.15">
      <c r="A18" s="75"/>
      <c r="B18" s="188"/>
      <c r="C18" s="189"/>
      <c r="D18" s="189"/>
      <c r="E18" s="190"/>
    </row>
    <row r="19" spans="1:5" ht="18.75" customHeight="1" x14ac:dyDescent="0.15">
      <c r="A19" s="75"/>
      <c r="B19" s="188"/>
      <c r="C19" s="189"/>
      <c r="D19" s="189"/>
      <c r="E19" s="190"/>
    </row>
    <row r="20" spans="1:5" ht="18.75" customHeight="1" x14ac:dyDescent="0.15">
      <c r="A20" s="75"/>
      <c r="B20" s="188"/>
      <c r="C20" s="189"/>
      <c r="D20" s="189"/>
      <c r="E20" s="190"/>
    </row>
    <row r="21" spans="1:5" ht="18.75" customHeight="1" x14ac:dyDescent="0.15">
      <c r="A21" s="75"/>
      <c r="B21" s="188"/>
      <c r="C21" s="189"/>
      <c r="D21" s="189"/>
      <c r="E21" s="190"/>
    </row>
    <row r="22" spans="1:5" ht="18.75" customHeight="1" x14ac:dyDescent="0.15">
      <c r="A22" s="75"/>
      <c r="B22" s="188"/>
      <c r="C22" s="189"/>
      <c r="D22" s="189"/>
      <c r="E22" s="190"/>
    </row>
    <row r="23" spans="1:5" ht="18.75" customHeight="1" x14ac:dyDescent="0.15">
      <c r="A23" s="75"/>
      <c r="B23" s="188"/>
      <c r="C23" s="189"/>
      <c r="D23" s="189"/>
      <c r="E23" s="190"/>
    </row>
    <row r="24" spans="1:5" ht="9" customHeight="1" x14ac:dyDescent="0.15">
      <c r="A24" s="75"/>
      <c r="B24" s="188"/>
      <c r="C24" s="189"/>
      <c r="D24" s="189"/>
      <c r="E24" s="190"/>
    </row>
    <row r="25" spans="1:5" ht="9" customHeight="1" x14ac:dyDescent="0.15">
      <c r="A25" s="75"/>
      <c r="B25" s="188"/>
      <c r="C25" s="189"/>
      <c r="D25" s="189"/>
      <c r="E25" s="190"/>
    </row>
    <row r="26" spans="1:5" ht="22.5" customHeight="1" x14ac:dyDescent="0.15">
      <c r="A26" s="75"/>
      <c r="B26" s="188"/>
      <c r="C26" s="189"/>
      <c r="D26" s="189"/>
      <c r="E26" s="190"/>
    </row>
    <row r="27" spans="1:5" ht="9" customHeight="1" x14ac:dyDescent="0.15">
      <c r="A27" s="75"/>
      <c r="B27" s="188"/>
      <c r="C27" s="189"/>
      <c r="D27" s="189"/>
      <c r="E27" s="190"/>
    </row>
    <row r="28" spans="1:5" ht="9" customHeight="1" x14ac:dyDescent="0.15">
      <c r="A28" s="75"/>
      <c r="B28" s="191"/>
      <c r="C28" s="192"/>
      <c r="D28" s="192"/>
      <c r="E28" s="193"/>
    </row>
    <row r="29" spans="1:5" ht="7.5" customHeight="1" x14ac:dyDescent="0.15">
      <c r="A29" s="24"/>
      <c r="B29" s="24"/>
      <c r="C29" s="24"/>
      <c r="D29" s="24"/>
      <c r="E29" s="24"/>
    </row>
    <row r="30" spans="1:5" s="4" customFormat="1" ht="18.75" customHeight="1" x14ac:dyDescent="0.15">
      <c r="A30" s="6" t="s">
        <v>16</v>
      </c>
      <c r="B30" s="6" t="s">
        <v>29</v>
      </c>
      <c r="C30" s="6"/>
      <c r="D30" s="6"/>
      <c r="E30" s="6"/>
    </row>
    <row r="31" spans="1:5" s="4" customFormat="1" ht="18.75" customHeight="1" x14ac:dyDescent="0.15">
      <c r="A31" s="6"/>
      <c r="B31" s="185" t="s">
        <v>202</v>
      </c>
      <c r="C31" s="186"/>
      <c r="D31" s="186"/>
      <c r="E31" s="187"/>
    </row>
    <row r="32" spans="1:5" s="4" customFormat="1" ht="18.75" customHeight="1" x14ac:dyDescent="0.15">
      <c r="A32" s="6"/>
      <c r="B32" s="188"/>
      <c r="C32" s="189"/>
      <c r="D32" s="189"/>
      <c r="E32" s="190"/>
    </row>
    <row r="33" spans="1:5" s="4" customFormat="1" ht="18.75" customHeight="1" x14ac:dyDescent="0.15">
      <c r="A33" s="6"/>
      <c r="B33" s="188"/>
      <c r="C33" s="189"/>
      <c r="D33" s="189"/>
      <c r="E33" s="190"/>
    </row>
    <row r="34" spans="1:5" s="4" customFormat="1" ht="18.75" customHeight="1" x14ac:dyDescent="0.15">
      <c r="A34" s="6"/>
      <c r="B34" s="188"/>
      <c r="C34" s="189"/>
      <c r="D34" s="189"/>
      <c r="E34" s="190"/>
    </row>
    <row r="35" spans="1:5" s="4" customFormat="1" ht="15" customHeight="1" x14ac:dyDescent="0.15">
      <c r="A35" s="6"/>
      <c r="B35" s="188"/>
      <c r="C35" s="189"/>
      <c r="D35" s="189"/>
      <c r="E35" s="190"/>
    </row>
    <row r="36" spans="1:5" s="4" customFormat="1" ht="18.75" customHeight="1" x14ac:dyDescent="0.15">
      <c r="A36" s="6"/>
      <c r="B36" s="188"/>
      <c r="C36" s="189"/>
      <c r="D36" s="189"/>
      <c r="E36" s="190"/>
    </row>
    <row r="37" spans="1:5" s="4" customFormat="1" ht="18.75" customHeight="1" x14ac:dyDescent="0.15">
      <c r="A37" s="6"/>
      <c r="B37" s="188"/>
      <c r="C37" s="189"/>
      <c r="D37" s="189"/>
      <c r="E37" s="190"/>
    </row>
    <row r="38" spans="1:5" s="4" customFormat="1" ht="18.75" customHeight="1" x14ac:dyDescent="0.15">
      <c r="A38" s="6"/>
      <c r="B38" s="188"/>
      <c r="C38" s="189"/>
      <c r="D38" s="189"/>
      <c r="E38" s="190"/>
    </row>
    <row r="39" spans="1:5" s="4" customFormat="1" ht="18.75" customHeight="1" x14ac:dyDescent="0.15">
      <c r="A39" s="6"/>
      <c r="B39" s="188"/>
      <c r="C39" s="189"/>
      <c r="D39" s="189"/>
      <c r="E39" s="190"/>
    </row>
    <row r="40" spans="1:5" s="4" customFormat="1" ht="18.75" customHeight="1" x14ac:dyDescent="0.15">
      <c r="A40" s="6"/>
      <c r="B40" s="188"/>
      <c r="C40" s="189"/>
      <c r="D40" s="189"/>
      <c r="E40" s="190"/>
    </row>
    <row r="41" spans="1:5" s="4" customFormat="1" ht="18.75" customHeight="1" x14ac:dyDescent="0.15">
      <c r="A41" s="6"/>
      <c r="B41" s="188"/>
      <c r="C41" s="189"/>
      <c r="D41" s="189"/>
      <c r="E41" s="190"/>
    </row>
    <row r="42" spans="1:5" s="4" customFormat="1" ht="18.75" customHeight="1" x14ac:dyDescent="0.15">
      <c r="A42" s="6"/>
      <c r="B42" s="188"/>
      <c r="C42" s="189"/>
      <c r="D42" s="189"/>
      <c r="E42" s="190"/>
    </row>
    <row r="43" spans="1:5" s="4" customFormat="1" ht="18.75" customHeight="1" x14ac:dyDescent="0.15">
      <c r="A43" s="6"/>
      <c r="B43" s="188"/>
      <c r="C43" s="189"/>
      <c r="D43" s="189"/>
      <c r="E43" s="190"/>
    </row>
    <row r="44" spans="1:5" s="4" customFormat="1" ht="9" customHeight="1" x14ac:dyDescent="0.15">
      <c r="A44" s="6"/>
      <c r="B44" s="188"/>
      <c r="C44" s="189"/>
      <c r="D44" s="189"/>
      <c r="E44" s="190"/>
    </row>
    <row r="45" spans="1:5" ht="9" customHeight="1" x14ac:dyDescent="0.15">
      <c r="A45" s="24"/>
      <c r="B45" s="188"/>
      <c r="C45" s="189"/>
      <c r="D45" s="189"/>
      <c r="E45" s="190"/>
    </row>
    <row r="46" spans="1:5" ht="9" customHeight="1" x14ac:dyDescent="0.15">
      <c r="A46" s="24"/>
      <c r="B46" s="191"/>
      <c r="C46" s="192"/>
      <c r="D46" s="192"/>
      <c r="E46" s="193"/>
    </row>
    <row r="47" spans="1:5" s="4" customFormat="1" ht="18.75" customHeight="1" x14ac:dyDescent="0.15">
      <c r="A47" s="23" t="s">
        <v>14</v>
      </c>
      <c r="B47" s="6" t="s">
        <v>84</v>
      </c>
      <c r="C47" s="23"/>
      <c r="D47" s="23"/>
      <c r="E47" s="23"/>
    </row>
    <row r="48" spans="1:5" ht="18.75" customHeight="1" x14ac:dyDescent="0.15">
      <c r="A48" s="24"/>
      <c r="B48" s="185" t="s">
        <v>203</v>
      </c>
      <c r="C48" s="195"/>
      <c r="D48" s="195"/>
      <c r="E48" s="196"/>
    </row>
    <row r="49" spans="1:5" ht="18.75" customHeight="1" x14ac:dyDescent="0.15">
      <c r="A49" s="24"/>
      <c r="B49" s="197"/>
      <c r="C49" s="198"/>
      <c r="D49" s="198"/>
      <c r="E49" s="199"/>
    </row>
    <row r="50" spans="1:5" ht="18.75" customHeight="1" x14ac:dyDescent="0.15">
      <c r="A50" s="24"/>
      <c r="B50" s="197"/>
      <c r="C50" s="198"/>
      <c r="D50" s="198"/>
      <c r="E50" s="199"/>
    </row>
    <row r="51" spans="1:5" ht="18.75" customHeight="1" x14ac:dyDescent="0.15">
      <c r="A51" s="24"/>
      <c r="B51" s="197"/>
      <c r="C51" s="198"/>
      <c r="D51" s="198"/>
      <c r="E51" s="199"/>
    </row>
    <row r="52" spans="1:5" ht="18.75" customHeight="1" x14ac:dyDescent="0.15">
      <c r="A52" s="24"/>
      <c r="B52" s="197"/>
      <c r="C52" s="198"/>
      <c r="D52" s="198"/>
      <c r="E52" s="199"/>
    </row>
    <row r="53" spans="1:5" ht="18.75" customHeight="1" x14ac:dyDescent="0.15">
      <c r="A53" s="24"/>
      <c r="B53" s="197"/>
      <c r="C53" s="198"/>
      <c r="D53" s="198"/>
      <c r="E53" s="199"/>
    </row>
    <row r="54" spans="1:5" ht="18.75" customHeight="1" x14ac:dyDescent="0.15">
      <c r="A54" s="24"/>
      <c r="B54" s="197"/>
      <c r="C54" s="198"/>
      <c r="D54" s="198"/>
      <c r="E54" s="199"/>
    </row>
    <row r="55" spans="1:5" ht="18.75" customHeight="1" x14ac:dyDescent="0.15">
      <c r="A55" s="24"/>
      <c r="B55" s="197"/>
      <c r="C55" s="198"/>
      <c r="D55" s="198"/>
      <c r="E55" s="199"/>
    </row>
    <row r="56" spans="1:5" ht="18.75" customHeight="1" x14ac:dyDescent="0.15">
      <c r="A56" s="24"/>
      <c r="B56" s="197"/>
      <c r="C56" s="198"/>
      <c r="D56" s="198"/>
      <c r="E56" s="199"/>
    </row>
    <row r="57" spans="1:5" ht="18.75" customHeight="1" x14ac:dyDescent="0.15">
      <c r="A57" s="24"/>
      <c r="B57" s="197"/>
      <c r="C57" s="198"/>
      <c r="D57" s="198"/>
      <c r="E57" s="199"/>
    </row>
    <row r="58" spans="1:5" ht="18.75" customHeight="1" x14ac:dyDescent="0.15">
      <c r="A58" s="24"/>
      <c r="B58" s="197"/>
      <c r="C58" s="198"/>
      <c r="D58" s="198"/>
      <c r="E58" s="199"/>
    </row>
    <row r="59" spans="1:5" ht="18.75" customHeight="1" x14ac:dyDescent="0.15">
      <c r="A59" s="24"/>
      <c r="B59" s="197"/>
      <c r="C59" s="198"/>
      <c r="D59" s="198"/>
      <c r="E59" s="199"/>
    </row>
    <row r="60" spans="1:5" ht="18.75" customHeight="1" x14ac:dyDescent="0.15">
      <c r="A60" s="24"/>
      <c r="B60" s="197"/>
      <c r="C60" s="198"/>
      <c r="D60" s="198"/>
      <c r="E60" s="199"/>
    </row>
    <row r="61" spans="1:5" ht="18.75" customHeight="1" x14ac:dyDescent="0.15">
      <c r="A61" s="24"/>
      <c r="B61" s="197"/>
      <c r="C61" s="198"/>
      <c r="D61" s="198"/>
      <c r="E61" s="199"/>
    </row>
    <row r="62" spans="1:5" ht="18.75" customHeight="1" x14ac:dyDescent="0.15">
      <c r="A62" s="24"/>
      <c r="B62" s="197"/>
      <c r="C62" s="198"/>
      <c r="D62" s="198"/>
      <c r="E62" s="199"/>
    </row>
    <row r="63" spans="1:5" ht="18.75" customHeight="1" x14ac:dyDescent="0.15">
      <c r="A63" s="24"/>
      <c r="B63" s="197"/>
      <c r="C63" s="198"/>
      <c r="D63" s="198"/>
      <c r="E63" s="199"/>
    </row>
    <row r="64" spans="1:5" ht="18.75" customHeight="1" x14ac:dyDescent="0.15">
      <c r="A64" s="24"/>
      <c r="B64" s="197"/>
      <c r="C64" s="198"/>
      <c r="D64" s="198"/>
      <c r="E64" s="199"/>
    </row>
    <row r="65" spans="1:5" ht="18.75" customHeight="1" x14ac:dyDescent="0.15">
      <c r="A65" s="24"/>
      <c r="B65" s="197"/>
      <c r="C65" s="198"/>
      <c r="D65" s="198"/>
      <c r="E65" s="199"/>
    </row>
    <row r="66" spans="1:5" ht="18.75" customHeight="1" x14ac:dyDescent="0.15">
      <c r="A66" s="24"/>
      <c r="B66" s="197"/>
      <c r="C66" s="198"/>
      <c r="D66" s="198"/>
      <c r="E66" s="199"/>
    </row>
    <row r="67" spans="1:5" ht="18.75" customHeight="1" x14ac:dyDescent="0.15">
      <c r="A67" s="24"/>
      <c r="B67" s="197"/>
      <c r="C67" s="198"/>
      <c r="D67" s="198"/>
      <c r="E67" s="199"/>
    </row>
    <row r="68" spans="1:5" ht="18.75" customHeight="1" x14ac:dyDescent="0.15">
      <c r="A68" s="24"/>
      <c r="B68" s="200"/>
      <c r="C68" s="201"/>
      <c r="D68" s="201"/>
      <c r="E68" s="202"/>
    </row>
    <row r="69" spans="1:5" ht="7.5" customHeight="1" x14ac:dyDescent="0.15">
      <c r="A69" s="24"/>
      <c r="B69" s="24"/>
      <c r="C69" s="24"/>
      <c r="D69" s="24"/>
      <c r="E69" s="24"/>
    </row>
    <row r="70" spans="1:5" s="4" customFormat="1" ht="18.75" customHeight="1" x14ac:dyDescent="0.15">
      <c r="A70" s="6" t="s">
        <v>17</v>
      </c>
      <c r="B70" s="6" t="s">
        <v>93</v>
      </c>
      <c r="C70" s="6"/>
      <c r="D70" s="6"/>
      <c r="E70" s="6"/>
    </row>
    <row r="71" spans="1:5" s="4" customFormat="1" ht="18.75" customHeight="1" x14ac:dyDescent="0.15">
      <c r="A71" s="6"/>
      <c r="B71" s="185" t="s">
        <v>204</v>
      </c>
      <c r="C71" s="186"/>
      <c r="D71" s="186"/>
      <c r="E71" s="187"/>
    </row>
    <row r="72" spans="1:5" s="4" customFormat="1" ht="18.75" customHeight="1" x14ac:dyDescent="0.15">
      <c r="A72" s="6"/>
      <c r="B72" s="188"/>
      <c r="C72" s="189"/>
      <c r="D72" s="189"/>
      <c r="E72" s="190"/>
    </row>
    <row r="73" spans="1:5" s="4" customFormat="1" ht="18.75" customHeight="1" x14ac:dyDescent="0.15">
      <c r="A73" s="6"/>
      <c r="B73" s="188"/>
      <c r="C73" s="189"/>
      <c r="D73" s="189"/>
      <c r="E73" s="190"/>
    </row>
    <row r="74" spans="1:5" s="4" customFormat="1" ht="18.75" customHeight="1" x14ac:dyDescent="0.15">
      <c r="A74" s="6"/>
      <c r="B74" s="188"/>
      <c r="C74" s="189"/>
      <c r="D74" s="189"/>
      <c r="E74" s="190"/>
    </row>
    <row r="75" spans="1:5" s="4" customFormat="1" ht="18.75" customHeight="1" x14ac:dyDescent="0.15">
      <c r="A75" s="6"/>
      <c r="B75" s="188"/>
      <c r="C75" s="189"/>
      <c r="D75" s="189"/>
      <c r="E75" s="190"/>
    </row>
    <row r="76" spans="1:5" s="4" customFormat="1" ht="18.75" customHeight="1" x14ac:dyDescent="0.15">
      <c r="A76" s="6"/>
      <c r="B76" s="188"/>
      <c r="C76" s="189"/>
      <c r="D76" s="189"/>
      <c r="E76" s="190"/>
    </row>
    <row r="77" spans="1:5" s="4" customFormat="1" ht="18.75" customHeight="1" x14ac:dyDescent="0.15">
      <c r="A77" s="6"/>
      <c r="B77" s="188"/>
      <c r="C77" s="189"/>
      <c r="D77" s="189"/>
      <c r="E77" s="190"/>
    </row>
    <row r="78" spans="1:5" s="4" customFormat="1" ht="18.75" customHeight="1" x14ac:dyDescent="0.15">
      <c r="A78" s="6"/>
      <c r="B78" s="188"/>
      <c r="C78" s="189"/>
      <c r="D78" s="189"/>
      <c r="E78" s="190"/>
    </row>
    <row r="79" spans="1:5" s="4" customFormat="1" ht="18.75" customHeight="1" x14ac:dyDescent="0.15">
      <c r="A79" s="6"/>
      <c r="B79" s="188"/>
      <c r="C79" s="189"/>
      <c r="D79" s="189"/>
      <c r="E79" s="190"/>
    </row>
    <row r="80" spans="1:5" s="4" customFormat="1" ht="18.75" customHeight="1" x14ac:dyDescent="0.15">
      <c r="A80" s="6"/>
      <c r="B80" s="188"/>
      <c r="C80" s="189"/>
      <c r="D80" s="189"/>
      <c r="E80" s="190"/>
    </row>
    <row r="81" spans="1:5" s="4" customFormat="1" ht="18.75" customHeight="1" x14ac:dyDescent="0.15">
      <c r="A81" s="6"/>
      <c r="B81" s="188"/>
      <c r="C81" s="189"/>
      <c r="D81" s="189"/>
      <c r="E81" s="190"/>
    </row>
    <row r="82" spans="1:5" s="4" customFormat="1" ht="18.75" customHeight="1" x14ac:dyDescent="0.15">
      <c r="A82" s="6"/>
      <c r="B82" s="188"/>
      <c r="C82" s="189"/>
      <c r="D82" s="189"/>
      <c r="E82" s="190"/>
    </row>
    <row r="83" spans="1:5" s="4" customFormat="1" ht="18.75" customHeight="1" x14ac:dyDescent="0.15">
      <c r="A83" s="6"/>
      <c r="B83" s="188"/>
      <c r="C83" s="189"/>
      <c r="D83" s="189"/>
      <c r="E83" s="190"/>
    </row>
    <row r="84" spans="1:5" s="4" customFormat="1" ht="18.75" customHeight="1" x14ac:dyDescent="0.15">
      <c r="A84" s="6"/>
      <c r="B84" s="188"/>
      <c r="C84" s="189"/>
      <c r="D84" s="189"/>
      <c r="E84" s="190"/>
    </row>
    <row r="85" spans="1:5" s="4" customFormat="1" ht="18.75" customHeight="1" x14ac:dyDescent="0.15">
      <c r="A85" s="6"/>
      <c r="B85" s="188"/>
      <c r="C85" s="189"/>
      <c r="D85" s="189"/>
      <c r="E85" s="190"/>
    </row>
    <row r="86" spans="1:5" s="4" customFormat="1" ht="18.75" customHeight="1" x14ac:dyDescent="0.15">
      <c r="A86" s="6"/>
      <c r="B86" s="188"/>
      <c r="C86" s="189"/>
      <c r="D86" s="189"/>
      <c r="E86" s="190"/>
    </row>
    <row r="87" spans="1:5" s="4" customFormat="1" ht="18.75" customHeight="1" x14ac:dyDescent="0.15">
      <c r="A87" s="6"/>
      <c r="B87" s="188"/>
      <c r="C87" s="189"/>
      <c r="D87" s="189"/>
      <c r="E87" s="190"/>
    </row>
    <row r="88" spans="1:5" ht="18.75" customHeight="1" x14ac:dyDescent="0.15">
      <c r="A88" s="24"/>
      <c r="B88" s="188"/>
      <c r="C88" s="189"/>
      <c r="D88" s="189"/>
      <c r="E88" s="190"/>
    </row>
    <row r="89" spans="1:5" ht="18.75" customHeight="1" x14ac:dyDescent="0.15">
      <c r="A89" s="24"/>
      <c r="B89" s="191"/>
      <c r="C89" s="192"/>
      <c r="D89" s="192"/>
      <c r="E89" s="193"/>
    </row>
    <row r="90" spans="1:5" ht="7.5" customHeight="1" x14ac:dyDescent="0.15">
      <c r="A90" s="24"/>
      <c r="B90" s="24"/>
      <c r="C90" s="24"/>
      <c r="D90" s="24"/>
      <c r="E90" s="24"/>
    </row>
    <row r="91" spans="1:5" s="4" customFormat="1" ht="18.75" customHeight="1" x14ac:dyDescent="0.15">
      <c r="A91" s="6" t="s">
        <v>15</v>
      </c>
      <c r="B91" s="6" t="s">
        <v>32</v>
      </c>
      <c r="C91" s="6"/>
      <c r="D91" s="6"/>
      <c r="E91" s="6"/>
    </row>
    <row r="92" spans="1:5" s="4" customFormat="1" ht="18.75" customHeight="1" x14ac:dyDescent="0.15">
      <c r="A92" s="6"/>
      <c r="B92" s="185" t="s">
        <v>195</v>
      </c>
      <c r="C92" s="186"/>
      <c r="D92" s="186"/>
      <c r="E92" s="187"/>
    </row>
    <row r="93" spans="1:5" s="4" customFormat="1" ht="18.75" customHeight="1" x14ac:dyDescent="0.15">
      <c r="A93" s="6"/>
      <c r="B93" s="188"/>
      <c r="C93" s="189"/>
      <c r="D93" s="189"/>
      <c r="E93" s="190"/>
    </row>
    <row r="94" spans="1:5" s="4" customFormat="1" ht="18.75" customHeight="1" x14ac:dyDescent="0.15">
      <c r="A94" s="6"/>
      <c r="B94" s="188"/>
      <c r="C94" s="189"/>
      <c r="D94" s="189"/>
      <c r="E94" s="190"/>
    </row>
    <row r="95" spans="1:5" s="4" customFormat="1" ht="18.75" customHeight="1" x14ac:dyDescent="0.15">
      <c r="A95" s="6"/>
      <c r="B95" s="188"/>
      <c r="C95" s="189"/>
      <c r="D95" s="189"/>
      <c r="E95" s="190"/>
    </row>
    <row r="96" spans="1:5" s="4" customFormat="1" ht="18.75" customHeight="1" x14ac:dyDescent="0.15">
      <c r="A96" s="6"/>
      <c r="B96" s="188"/>
      <c r="C96" s="189"/>
      <c r="D96" s="189"/>
      <c r="E96" s="190"/>
    </row>
    <row r="97" spans="1:5" s="4" customFormat="1" ht="18.75" customHeight="1" x14ac:dyDescent="0.15">
      <c r="A97" s="6"/>
      <c r="B97" s="188"/>
      <c r="C97" s="189"/>
      <c r="D97" s="189"/>
      <c r="E97" s="190"/>
    </row>
    <row r="98" spans="1:5" s="4" customFormat="1" ht="18.75" customHeight="1" x14ac:dyDescent="0.15">
      <c r="A98" s="6"/>
      <c r="B98" s="188"/>
      <c r="C98" s="189"/>
      <c r="D98" s="189"/>
      <c r="E98" s="190"/>
    </row>
    <row r="99" spans="1:5" s="4" customFormat="1" ht="18.75" customHeight="1" x14ac:dyDescent="0.15">
      <c r="A99" s="6"/>
      <c r="B99" s="188"/>
      <c r="C99" s="189"/>
      <c r="D99" s="189"/>
      <c r="E99" s="190"/>
    </row>
    <row r="100" spans="1:5" s="4" customFormat="1" ht="18.75" customHeight="1" x14ac:dyDescent="0.15">
      <c r="A100" s="6"/>
      <c r="B100" s="188"/>
      <c r="C100" s="189"/>
      <c r="D100" s="189"/>
      <c r="E100" s="190"/>
    </row>
    <row r="101" spans="1:5" s="4" customFormat="1" ht="18.75" customHeight="1" x14ac:dyDescent="0.15">
      <c r="A101" s="6"/>
      <c r="B101" s="188"/>
      <c r="C101" s="189"/>
      <c r="D101" s="189"/>
      <c r="E101" s="190"/>
    </row>
    <row r="102" spans="1:5" s="4" customFormat="1" ht="18.75" customHeight="1" x14ac:dyDescent="0.15">
      <c r="A102" s="6"/>
      <c r="B102" s="188"/>
      <c r="C102" s="189"/>
      <c r="D102" s="189"/>
      <c r="E102" s="190"/>
    </row>
    <row r="103" spans="1:5" s="4" customFormat="1" ht="18.75" customHeight="1" x14ac:dyDescent="0.15">
      <c r="A103" s="6"/>
      <c r="B103" s="188"/>
      <c r="C103" s="189"/>
      <c r="D103" s="189"/>
      <c r="E103" s="190"/>
    </row>
    <row r="104" spans="1:5" s="4" customFormat="1" ht="18.75" customHeight="1" x14ac:dyDescent="0.15">
      <c r="A104" s="6"/>
      <c r="B104" s="188"/>
      <c r="C104" s="189"/>
      <c r="D104" s="189"/>
      <c r="E104" s="190"/>
    </row>
    <row r="105" spans="1:5" s="4" customFormat="1" ht="18.75" customHeight="1" x14ac:dyDescent="0.15">
      <c r="A105" s="6"/>
      <c r="B105" s="188"/>
      <c r="C105" s="189"/>
      <c r="D105" s="189"/>
      <c r="E105" s="190"/>
    </row>
    <row r="106" spans="1:5" s="4" customFormat="1" ht="18.75" customHeight="1" x14ac:dyDescent="0.15">
      <c r="A106" s="6"/>
      <c r="B106" s="188"/>
      <c r="C106" s="189"/>
      <c r="D106" s="189"/>
      <c r="E106" s="190"/>
    </row>
    <row r="107" spans="1:5" s="4" customFormat="1" ht="18.75" customHeight="1" x14ac:dyDescent="0.15">
      <c r="A107" s="6"/>
      <c r="B107" s="188"/>
      <c r="C107" s="189"/>
      <c r="D107" s="189"/>
      <c r="E107" s="190"/>
    </row>
    <row r="108" spans="1:5" s="4" customFormat="1" ht="18.75" customHeight="1" x14ac:dyDescent="0.15">
      <c r="A108" s="6"/>
      <c r="B108" s="188"/>
      <c r="C108" s="189"/>
      <c r="D108" s="189"/>
      <c r="E108" s="190"/>
    </row>
    <row r="109" spans="1:5" s="4" customFormat="1" ht="18.75" customHeight="1" x14ac:dyDescent="0.15">
      <c r="A109" s="6"/>
      <c r="B109" s="188"/>
      <c r="C109" s="189"/>
      <c r="D109" s="189"/>
      <c r="E109" s="190"/>
    </row>
    <row r="110" spans="1:5" ht="18.75" customHeight="1" x14ac:dyDescent="0.15">
      <c r="A110" s="24"/>
      <c r="B110" s="188"/>
      <c r="C110" s="189"/>
      <c r="D110" s="189"/>
      <c r="E110" s="190"/>
    </row>
    <row r="111" spans="1:5" ht="18.75" customHeight="1" x14ac:dyDescent="0.15">
      <c r="A111" s="24"/>
      <c r="B111" s="191"/>
      <c r="C111" s="192"/>
      <c r="D111" s="192"/>
      <c r="E111" s="193"/>
    </row>
    <row r="112" spans="1:5" ht="7.5" customHeight="1" x14ac:dyDescent="0.15">
      <c r="A112" s="24"/>
      <c r="B112" s="24"/>
      <c r="C112" s="24"/>
      <c r="D112" s="24"/>
      <c r="E112" s="24"/>
    </row>
    <row r="113" spans="1:5" s="4" customFormat="1" ht="18.75" customHeight="1" x14ac:dyDescent="0.15">
      <c r="A113" s="6" t="s">
        <v>60</v>
      </c>
      <c r="B113" s="194" t="s">
        <v>129</v>
      </c>
      <c r="C113" s="194"/>
      <c r="D113" s="194"/>
      <c r="E113" s="194"/>
    </row>
    <row r="114" spans="1:5" ht="18.75" customHeight="1" x14ac:dyDescent="0.15">
      <c r="A114" s="24"/>
      <c r="B114" s="185" t="s">
        <v>196</v>
      </c>
      <c r="C114" s="186"/>
      <c r="D114" s="186"/>
      <c r="E114" s="187"/>
    </row>
    <row r="115" spans="1:5" ht="18.75" customHeight="1" x14ac:dyDescent="0.15">
      <c r="A115" s="24"/>
      <c r="B115" s="188"/>
      <c r="C115" s="189"/>
      <c r="D115" s="189"/>
      <c r="E115" s="190"/>
    </row>
    <row r="116" spans="1:5" ht="18.75" customHeight="1" x14ac:dyDescent="0.15">
      <c r="A116" s="24"/>
      <c r="B116" s="188"/>
      <c r="C116" s="189"/>
      <c r="D116" s="189"/>
      <c r="E116" s="190"/>
    </row>
    <row r="117" spans="1:5" ht="18.75" customHeight="1" x14ac:dyDescent="0.15">
      <c r="A117" s="24"/>
      <c r="B117" s="188"/>
      <c r="C117" s="189"/>
      <c r="D117" s="189"/>
      <c r="E117" s="190"/>
    </row>
    <row r="118" spans="1:5" ht="18.75" customHeight="1" x14ac:dyDescent="0.15">
      <c r="A118" s="24"/>
      <c r="B118" s="188"/>
      <c r="C118" s="189"/>
      <c r="D118" s="189"/>
      <c r="E118" s="190"/>
    </row>
    <row r="119" spans="1:5" ht="18.75" customHeight="1" x14ac:dyDescent="0.15">
      <c r="A119" s="24"/>
      <c r="B119" s="188"/>
      <c r="C119" s="189"/>
      <c r="D119" s="189"/>
      <c r="E119" s="190"/>
    </row>
    <row r="120" spans="1:5" ht="18.75" customHeight="1" x14ac:dyDescent="0.15">
      <c r="A120" s="24"/>
      <c r="B120" s="188"/>
      <c r="C120" s="189"/>
      <c r="D120" s="189"/>
      <c r="E120" s="190"/>
    </row>
    <row r="121" spans="1:5" ht="18.75" customHeight="1" x14ac:dyDescent="0.15">
      <c r="A121" s="24"/>
      <c r="B121" s="188"/>
      <c r="C121" s="189"/>
      <c r="D121" s="189"/>
      <c r="E121" s="190"/>
    </row>
    <row r="122" spans="1:5" ht="18.75" customHeight="1" x14ac:dyDescent="0.15">
      <c r="A122" s="24"/>
      <c r="B122" s="188"/>
      <c r="C122" s="189"/>
      <c r="D122" s="189"/>
      <c r="E122" s="190"/>
    </row>
    <row r="123" spans="1:5" ht="18.75" customHeight="1" x14ac:dyDescent="0.15">
      <c r="A123" s="24"/>
      <c r="B123" s="188"/>
      <c r="C123" s="189"/>
      <c r="D123" s="189"/>
      <c r="E123" s="190"/>
    </row>
    <row r="124" spans="1:5" ht="18.75" customHeight="1" x14ac:dyDescent="0.15">
      <c r="A124" s="24"/>
      <c r="B124" s="188"/>
      <c r="C124" s="189"/>
      <c r="D124" s="189"/>
      <c r="E124" s="190"/>
    </row>
    <row r="125" spans="1:5" ht="18.75" customHeight="1" x14ac:dyDescent="0.15">
      <c r="A125" s="24"/>
      <c r="B125" s="188"/>
      <c r="C125" s="189"/>
      <c r="D125" s="189"/>
      <c r="E125" s="190"/>
    </row>
    <row r="126" spans="1:5" ht="18.75" customHeight="1" x14ac:dyDescent="0.15">
      <c r="A126" s="24"/>
      <c r="B126" s="188"/>
      <c r="C126" s="189"/>
      <c r="D126" s="189"/>
      <c r="E126" s="190"/>
    </row>
    <row r="127" spans="1:5" ht="18.75" customHeight="1" x14ac:dyDescent="0.15">
      <c r="A127" s="24"/>
      <c r="B127" s="188"/>
      <c r="C127" s="189"/>
      <c r="D127" s="189"/>
      <c r="E127" s="190"/>
    </row>
    <row r="128" spans="1:5" ht="18.75" customHeight="1" x14ac:dyDescent="0.15">
      <c r="A128" s="24"/>
      <c r="B128" s="188"/>
      <c r="C128" s="189"/>
      <c r="D128" s="189"/>
      <c r="E128" s="190"/>
    </row>
    <row r="129" spans="1:5" ht="18.75" customHeight="1" x14ac:dyDescent="0.15">
      <c r="A129" s="24"/>
      <c r="B129" s="188"/>
      <c r="C129" s="189"/>
      <c r="D129" s="189"/>
      <c r="E129" s="190"/>
    </row>
    <row r="130" spans="1:5" ht="18.75" customHeight="1" x14ac:dyDescent="0.15">
      <c r="A130" s="24"/>
      <c r="B130" s="188"/>
      <c r="C130" s="189"/>
      <c r="D130" s="189"/>
      <c r="E130" s="190"/>
    </row>
    <row r="131" spans="1:5" ht="18.75" customHeight="1" x14ac:dyDescent="0.15">
      <c r="A131" s="24"/>
      <c r="B131" s="188"/>
      <c r="C131" s="189"/>
      <c r="D131" s="189"/>
      <c r="E131" s="190"/>
    </row>
    <row r="132" spans="1:5" ht="18.75" customHeight="1" x14ac:dyDescent="0.15">
      <c r="A132" s="24"/>
      <c r="B132" s="188"/>
      <c r="C132" s="189"/>
      <c r="D132" s="189"/>
      <c r="E132" s="190"/>
    </row>
    <row r="133" spans="1:5" ht="18.75" customHeight="1" x14ac:dyDescent="0.15">
      <c r="A133" s="24"/>
      <c r="B133" s="191"/>
      <c r="C133" s="192"/>
      <c r="D133" s="192"/>
      <c r="E133" s="193"/>
    </row>
    <row r="134" spans="1:5" ht="7.5" customHeight="1" x14ac:dyDescent="0.15">
      <c r="A134" s="24"/>
      <c r="B134" s="25"/>
      <c r="C134" s="25"/>
      <c r="D134" s="25"/>
      <c r="E134" s="25"/>
    </row>
    <row r="135" spans="1:5" ht="18.75" customHeight="1" x14ac:dyDescent="0.15">
      <c r="A135" s="24"/>
      <c r="B135" s="24"/>
      <c r="C135" s="24"/>
      <c r="D135" s="24"/>
      <c r="E135" s="24"/>
    </row>
    <row r="136" spans="1:5" ht="18.75" customHeight="1" x14ac:dyDescent="0.15">
      <c r="A136" s="24"/>
      <c r="B136" s="24"/>
      <c r="C136" s="24"/>
      <c r="D136" s="24"/>
      <c r="E136" s="24"/>
    </row>
    <row r="137" spans="1:5" ht="18.75" customHeight="1" x14ac:dyDescent="0.15">
      <c r="A137" s="24"/>
      <c r="B137" s="24"/>
      <c r="C137" s="24"/>
      <c r="D137" s="24"/>
      <c r="E137" s="24"/>
    </row>
    <row r="138" spans="1:5" ht="18.75" customHeight="1" x14ac:dyDescent="0.15">
      <c r="A138" s="24"/>
      <c r="B138" s="24"/>
      <c r="C138" s="24"/>
      <c r="D138" s="24"/>
      <c r="E138" s="24"/>
    </row>
    <row r="139" spans="1:5" ht="18.75" customHeight="1" x14ac:dyDescent="0.15">
      <c r="A139" s="24"/>
      <c r="B139" s="24"/>
      <c r="C139" s="24"/>
      <c r="D139" s="24"/>
      <c r="E139" s="24"/>
    </row>
    <row r="140" spans="1:5" ht="18.75" customHeight="1" x14ac:dyDescent="0.15">
      <c r="A140" s="24"/>
      <c r="B140" s="24"/>
      <c r="C140" s="24"/>
      <c r="D140" s="24"/>
      <c r="E140" s="24"/>
    </row>
    <row r="141" spans="1:5" ht="18.75" customHeight="1" x14ac:dyDescent="0.15">
      <c r="A141" s="24"/>
      <c r="B141" s="24"/>
      <c r="C141" s="24"/>
      <c r="D141" s="24"/>
      <c r="E141" s="24"/>
    </row>
    <row r="142" spans="1:5" ht="18.75" customHeight="1" x14ac:dyDescent="0.15">
      <c r="A142" s="24"/>
      <c r="B142" s="24"/>
      <c r="C142" s="24"/>
      <c r="D142" s="24"/>
      <c r="E142" s="24"/>
    </row>
    <row r="143" spans="1:5" ht="18.75" customHeight="1" x14ac:dyDescent="0.15">
      <c r="A143" s="24"/>
      <c r="B143" s="24"/>
      <c r="C143" s="24"/>
      <c r="D143" s="24"/>
      <c r="E143" s="24"/>
    </row>
    <row r="144" spans="1:5" ht="18.75" customHeight="1" x14ac:dyDescent="0.15">
      <c r="A144" s="24"/>
      <c r="B144" s="24"/>
      <c r="C144" s="24"/>
      <c r="D144" s="24"/>
      <c r="E144" s="24"/>
    </row>
    <row r="145" spans="1:5" ht="18.75" customHeight="1" x14ac:dyDescent="0.15">
      <c r="A145" s="24"/>
      <c r="B145" s="24"/>
      <c r="C145" s="24"/>
      <c r="D145" s="24"/>
      <c r="E145" s="24"/>
    </row>
    <row r="146" spans="1:5" ht="18.75" customHeight="1" x14ac:dyDescent="0.15">
      <c r="A146" s="24"/>
      <c r="B146" s="24"/>
      <c r="C146" s="24"/>
      <c r="D146" s="24"/>
      <c r="E146" s="24"/>
    </row>
    <row r="147" spans="1:5" ht="14.25" x14ac:dyDescent="0.15">
      <c r="A147" s="24"/>
      <c r="B147" s="24"/>
      <c r="C147" s="24"/>
      <c r="D147" s="24"/>
      <c r="E147" s="24"/>
    </row>
    <row r="148" spans="1:5" ht="7.5" customHeight="1" x14ac:dyDescent="0.15">
      <c r="A148" s="26"/>
      <c r="B148" s="26"/>
      <c r="C148" s="26"/>
      <c r="D148" s="26"/>
      <c r="E148" s="26"/>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Zeros="0" tabSelected="1" topLeftCell="A9" zoomScaleNormal="100" workbookViewId="0">
      <selection activeCell="H22" sqref="H22"/>
    </sheetView>
  </sheetViews>
  <sheetFormatPr defaultColWidth="11.375" defaultRowHeight="22.5" customHeight="1" x14ac:dyDescent="0.15"/>
  <cols>
    <col min="1" max="3" width="2.5" style="3" customWidth="1"/>
    <col min="4" max="4" width="22.5" style="3" customWidth="1"/>
    <col min="5" max="5" width="21.25" style="3" customWidth="1"/>
    <col min="6" max="7" width="7.5" style="3" customWidth="1"/>
    <col min="8" max="8" width="32.5" style="3" customWidth="1"/>
    <col min="9" max="9" width="24.875" style="3" customWidth="1"/>
    <col min="10" max="10" width="6.25" style="3" customWidth="1"/>
    <col min="11" max="11" width="4.125" style="3" customWidth="1"/>
    <col min="12" max="16384" width="11.375" style="3"/>
  </cols>
  <sheetData>
    <row r="1" spans="1:10" ht="18.75" customHeight="1" x14ac:dyDescent="0.15">
      <c r="J1" s="78" t="s">
        <v>9</v>
      </c>
    </row>
    <row r="2" spans="1:10" ht="18.75" customHeight="1" x14ac:dyDescent="0.15">
      <c r="D2" s="78"/>
      <c r="H2" s="78" t="s">
        <v>30</v>
      </c>
      <c r="I2" s="130" t="s">
        <v>140</v>
      </c>
      <c r="J2" s="130"/>
    </row>
    <row r="3" spans="1:10" ht="18.75" customHeight="1" x14ac:dyDescent="0.15">
      <c r="A3" s="111" t="s">
        <v>48</v>
      </c>
      <c r="B3" s="111"/>
      <c r="C3" s="111"/>
      <c r="D3" s="111"/>
      <c r="E3" s="111"/>
      <c r="F3" s="111"/>
      <c r="G3" s="111"/>
      <c r="H3" s="111"/>
      <c r="I3" s="111"/>
      <c r="J3" s="111"/>
    </row>
    <row r="4" spans="1:10" ht="7.5" customHeight="1" x14ac:dyDescent="0.15">
      <c r="B4" s="80"/>
      <c r="C4" s="80"/>
      <c r="D4" s="222"/>
      <c r="E4" s="222"/>
      <c r="F4" s="222"/>
      <c r="G4" s="222"/>
      <c r="H4" s="222"/>
      <c r="I4" s="222"/>
      <c r="J4" s="222"/>
    </row>
    <row r="5" spans="1:10" ht="18.75" customHeight="1" x14ac:dyDescent="0.15">
      <c r="A5" s="3" t="s">
        <v>7</v>
      </c>
      <c r="B5" s="4" t="s">
        <v>46</v>
      </c>
      <c r="C5" s="80"/>
      <c r="D5" s="80"/>
      <c r="E5" s="80"/>
      <c r="F5" s="80"/>
      <c r="G5" s="80"/>
      <c r="H5" s="80"/>
      <c r="I5" s="80"/>
      <c r="J5" s="80"/>
    </row>
    <row r="6" spans="1:10" ht="18.75" customHeight="1" x14ac:dyDescent="0.15">
      <c r="B6" s="100" t="s">
        <v>43</v>
      </c>
      <c r="C6" s="101"/>
      <c r="D6" s="102"/>
      <c r="E6" s="101" t="s">
        <v>45</v>
      </c>
      <c r="F6" s="101"/>
      <c r="G6" s="101"/>
      <c r="H6" s="101"/>
      <c r="I6" s="101"/>
      <c r="J6" s="102"/>
    </row>
    <row r="7" spans="1:10" ht="18.75" customHeight="1" x14ac:dyDescent="0.15">
      <c r="B7" s="8" t="s">
        <v>33</v>
      </c>
      <c r="C7" s="24"/>
      <c r="D7" s="27"/>
      <c r="E7" s="10"/>
      <c r="F7" s="10"/>
      <c r="G7" s="10"/>
      <c r="H7" s="10"/>
      <c r="I7" s="24"/>
      <c r="J7" s="27"/>
    </row>
    <row r="8" spans="1:10" ht="135" customHeight="1" x14ac:dyDescent="0.15">
      <c r="B8" s="28"/>
      <c r="C8" s="208" t="s">
        <v>34</v>
      </c>
      <c r="D8" s="209"/>
      <c r="E8" s="221" t="s">
        <v>198</v>
      </c>
      <c r="F8" s="210"/>
      <c r="G8" s="210"/>
      <c r="H8" s="210"/>
      <c r="I8" s="210"/>
      <c r="J8" s="211"/>
    </row>
    <row r="9" spans="1:10" ht="135.75" customHeight="1" x14ac:dyDescent="0.15">
      <c r="B9" s="28"/>
      <c r="C9" s="206" t="s">
        <v>35</v>
      </c>
      <c r="D9" s="207"/>
      <c r="E9" s="221" t="s">
        <v>199</v>
      </c>
      <c r="F9" s="210"/>
      <c r="G9" s="210"/>
      <c r="H9" s="210"/>
      <c r="I9" s="210"/>
      <c r="J9" s="211"/>
    </row>
    <row r="10" spans="1:10" ht="120.75" customHeight="1" x14ac:dyDescent="0.15">
      <c r="B10" s="28"/>
      <c r="C10" s="208" t="s">
        <v>36</v>
      </c>
      <c r="D10" s="209"/>
      <c r="E10" s="221" t="s">
        <v>197</v>
      </c>
      <c r="F10" s="210"/>
      <c r="G10" s="210"/>
      <c r="H10" s="210"/>
      <c r="I10" s="210"/>
      <c r="J10" s="211"/>
    </row>
    <row r="11" spans="1:10" ht="117.75" customHeight="1" x14ac:dyDescent="0.15">
      <c r="B11" s="28"/>
      <c r="C11" s="208" t="s">
        <v>37</v>
      </c>
      <c r="D11" s="209"/>
      <c r="E11" s="221" t="s">
        <v>186</v>
      </c>
      <c r="F11" s="210"/>
      <c r="G11" s="210"/>
      <c r="H11" s="210"/>
      <c r="I11" s="210"/>
      <c r="J11" s="211"/>
    </row>
    <row r="12" spans="1:10" ht="217.5" customHeight="1" x14ac:dyDescent="0.15">
      <c r="B12" s="28"/>
      <c r="C12" s="208" t="s">
        <v>38</v>
      </c>
      <c r="D12" s="209"/>
      <c r="E12" s="221" t="s">
        <v>205</v>
      </c>
      <c r="F12" s="210"/>
      <c r="G12" s="210"/>
      <c r="H12" s="210"/>
      <c r="I12" s="210"/>
      <c r="J12" s="211"/>
    </row>
    <row r="13" spans="1:10" ht="18.75" customHeight="1" x14ac:dyDescent="0.15">
      <c r="B13" s="29" t="s">
        <v>39</v>
      </c>
      <c r="C13" s="30"/>
      <c r="D13" s="31"/>
      <c r="E13" s="32"/>
      <c r="F13" s="32"/>
      <c r="G13" s="32"/>
      <c r="H13" s="32"/>
      <c r="I13" s="32"/>
      <c r="J13" s="33"/>
    </row>
    <row r="14" spans="1:10" ht="158.25" customHeight="1" x14ac:dyDescent="0.15">
      <c r="B14" s="28"/>
      <c r="C14" s="208" t="s">
        <v>40</v>
      </c>
      <c r="D14" s="209"/>
      <c r="E14" s="210" t="s">
        <v>200</v>
      </c>
      <c r="F14" s="210"/>
      <c r="G14" s="210"/>
      <c r="H14" s="210"/>
      <c r="I14" s="210"/>
      <c r="J14" s="211"/>
    </row>
    <row r="15" spans="1:10" ht="178.5" customHeight="1" x14ac:dyDescent="0.15">
      <c r="B15" s="28"/>
      <c r="C15" s="212" t="s">
        <v>41</v>
      </c>
      <c r="D15" s="213"/>
      <c r="E15" s="214" t="s">
        <v>192</v>
      </c>
      <c r="F15" s="214"/>
      <c r="G15" s="214"/>
      <c r="H15" s="214"/>
      <c r="I15" s="214"/>
      <c r="J15" s="215"/>
    </row>
    <row r="16" spans="1:10" ht="153" customHeight="1" x14ac:dyDescent="0.15">
      <c r="B16" s="216" t="s">
        <v>42</v>
      </c>
      <c r="C16" s="217"/>
      <c r="D16" s="209"/>
      <c r="E16" s="210" t="s">
        <v>201</v>
      </c>
      <c r="F16" s="210"/>
      <c r="G16" s="210"/>
      <c r="H16" s="210"/>
      <c r="I16" s="210"/>
      <c r="J16" s="211"/>
    </row>
    <row r="17" spans="1:10" ht="148.5" customHeight="1" x14ac:dyDescent="0.15">
      <c r="B17" s="203" t="s">
        <v>85</v>
      </c>
      <c r="C17" s="204"/>
      <c r="D17" s="205"/>
      <c r="E17" s="223" t="s">
        <v>191</v>
      </c>
      <c r="F17" s="224"/>
      <c r="G17" s="224"/>
      <c r="H17" s="224"/>
      <c r="I17" s="224"/>
      <c r="J17" s="225"/>
    </row>
    <row r="18" spans="1:10" ht="7.5" customHeight="1" x14ac:dyDescent="0.15">
      <c r="B18" s="80"/>
      <c r="C18" s="80"/>
      <c r="D18" s="80"/>
      <c r="E18" s="80"/>
      <c r="F18" s="80"/>
      <c r="G18" s="80"/>
      <c r="H18" s="80"/>
      <c r="I18" s="80"/>
      <c r="J18" s="80"/>
    </row>
    <row r="19" spans="1:10" ht="18.75" customHeight="1" x14ac:dyDescent="0.15">
      <c r="B19" s="4"/>
      <c r="C19" s="80"/>
      <c r="D19" s="80"/>
      <c r="E19" s="80"/>
      <c r="F19" s="34"/>
      <c r="G19" s="34"/>
      <c r="H19" s="35" t="s">
        <v>112</v>
      </c>
      <c r="I19" s="36"/>
      <c r="J19" s="37"/>
    </row>
    <row r="20" spans="1:10" ht="18.75" customHeight="1" x14ac:dyDescent="0.15">
      <c r="A20" s="10" t="s">
        <v>12</v>
      </c>
      <c r="B20" s="38" t="s">
        <v>47</v>
      </c>
      <c r="C20" s="39"/>
      <c r="D20" s="39"/>
      <c r="E20" s="39"/>
      <c r="F20" s="22" t="s">
        <v>206</v>
      </c>
      <c r="G20" s="34"/>
      <c r="H20" s="218" t="s">
        <v>212</v>
      </c>
      <c r="I20" s="219"/>
      <c r="J20" s="220"/>
    </row>
    <row r="21" spans="1:10" ht="22.5" customHeight="1" x14ac:dyDescent="0.15">
      <c r="B21" s="80"/>
      <c r="C21" s="80"/>
      <c r="D21" s="80"/>
      <c r="E21" s="80"/>
      <c r="F21" s="80"/>
      <c r="G21" s="80"/>
      <c r="H21" s="80"/>
      <c r="I21" s="80"/>
      <c r="J21" s="80"/>
    </row>
    <row r="22" spans="1:10" ht="22.5" customHeight="1" x14ac:dyDescent="0.15">
      <c r="B22" s="80"/>
      <c r="C22" s="80"/>
      <c r="D22" s="80"/>
      <c r="E22" s="80"/>
      <c r="F22" s="80"/>
      <c r="G22" s="80"/>
      <c r="H22" s="80"/>
      <c r="I22" s="80"/>
      <c r="J22" s="80"/>
    </row>
    <row r="23" spans="1:10" ht="22.5" customHeight="1" x14ac:dyDescent="0.15">
      <c r="B23" s="80"/>
      <c r="C23" s="80"/>
      <c r="D23" s="80"/>
      <c r="E23" s="80"/>
      <c r="F23" s="80"/>
      <c r="G23" s="80"/>
      <c r="H23" s="80"/>
      <c r="I23" s="80"/>
      <c r="J23" s="80"/>
    </row>
    <row r="24" spans="1:10" ht="22.5" customHeight="1" x14ac:dyDescent="0.15">
      <c r="B24" s="80"/>
      <c r="C24" s="80"/>
      <c r="D24" s="80"/>
      <c r="E24" s="80"/>
      <c r="F24" s="80"/>
      <c r="G24" s="80"/>
      <c r="H24" s="80"/>
      <c r="I24" s="80"/>
      <c r="J24" s="80"/>
    </row>
    <row r="25" spans="1:10" ht="22.5" customHeight="1" x14ac:dyDescent="0.15">
      <c r="B25" s="80"/>
      <c r="C25" s="80"/>
      <c r="D25" s="80"/>
      <c r="E25" s="80"/>
      <c r="F25" s="80"/>
      <c r="G25" s="80"/>
      <c r="H25" s="80"/>
      <c r="I25" s="80"/>
      <c r="J25" s="80"/>
    </row>
    <row r="26" spans="1:10" ht="22.5" customHeight="1" x14ac:dyDescent="0.15">
      <c r="B26" s="79"/>
      <c r="C26" s="79"/>
      <c r="D26" s="79"/>
      <c r="E26" s="79"/>
      <c r="F26" s="79"/>
      <c r="G26" s="79"/>
      <c r="H26" s="79"/>
      <c r="I26" s="79"/>
      <c r="J26" s="79"/>
    </row>
    <row r="27" spans="1:10" ht="22.5" customHeight="1" x14ac:dyDescent="0.15">
      <c r="B27" s="79"/>
      <c r="C27" s="79"/>
      <c r="D27" s="79"/>
      <c r="E27" s="79"/>
      <c r="F27" s="79"/>
      <c r="G27" s="79"/>
      <c r="H27" s="79"/>
      <c r="I27" s="79"/>
      <c r="J27" s="79"/>
    </row>
    <row r="28" spans="1:10" ht="22.5" customHeight="1" x14ac:dyDescent="0.15">
      <c r="B28" s="79"/>
      <c r="C28" s="79"/>
      <c r="D28" s="79"/>
      <c r="E28" s="79"/>
      <c r="F28" s="79"/>
      <c r="G28" s="79"/>
      <c r="H28" s="79"/>
      <c r="I28" s="79"/>
      <c r="J28" s="79"/>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hyperlinks>
    <hyperlink ref="H20" r:id="rId1" xr:uid="{96AB9A0D-A0F1-40AA-AF54-672554F559D5}"/>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4</vt:i4>
      </vt:variant>
    </vt:vector>
  </HeadingPairs>
  <TitlesOfParts>
    <vt:vector size="10"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'様式１　大学等概要'!Print_Area</vt:lpstr>
      <vt:lpstr>'様式２　プログラムを構成する授業科目'!Print_Area</vt:lpstr>
      <vt:lpstr>'様式５　教育の質・履修者数を向上させるための体制・計画'!Print_Area</vt:lpstr>
      <vt:lpstr>'様式６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井上 貴博</cp:lastModifiedBy>
  <cp:lastPrinted>2021-07-12T07:42:41Z</cp:lastPrinted>
  <dcterms:created xsi:type="dcterms:W3CDTF">2011-06-14T05:32:50Z</dcterms:created>
  <dcterms:modified xsi:type="dcterms:W3CDTF">2021-07-12T07:42:43Z</dcterms:modified>
</cp:coreProperties>
</file>