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defaultThemeVersion="124226"/>
  <mc:AlternateContent xmlns:mc="http://schemas.openxmlformats.org/markup-compatibility/2006">
    <mc:Choice Requires="x15">
      <x15ac:absPath xmlns:x15ac="http://schemas.microsoft.com/office/spreadsheetml/2010/11/ac" url="N:\004 情報教育推進係\☆数理データサイエンス\R3（2021）年度\★認定制度\●申請書\210501～申請\86_大阪府立大学工業高等専門学校\"/>
    </mc:Choice>
  </mc:AlternateContent>
  <bookViews>
    <workbookView xWindow="0" yWindow="0" windowWidth="28800" windowHeight="12435" tabRatio="885"/>
  </bookViews>
  <sheets>
    <sheet name="様式１　大学等概要" sheetId="8" r:id="rId1"/>
    <sheet name="様式２　プログラムを構成する授業科目" sheetId="9" r:id="rId2"/>
    <sheet name="様式３　履修者等数の実績0713修正" sheetId="31" r:id="rId3"/>
    <sheet name="様式4　プログラムの授業内容・概要0713修正" sheetId="37" r:id="rId4"/>
    <sheet name="様式５　教育の質・履修者数を向上させるための体制・計画" sheetId="35" r:id="rId5"/>
    <sheet name="様式６　自己点検・評価0713修正" sheetId="39" r:id="rId6"/>
  </sheets>
  <definedNames>
    <definedName name="_xlnm._FilterDatabase" localSheetId="1" hidden="1">'様式２　プログラムを構成する授業科目'!#REF!</definedName>
    <definedName name="_xlnm._FilterDatabase" localSheetId="2" hidden="1">'様式３　履修者等数の実績0713修正'!#REF!</definedName>
    <definedName name="_xlnm.Print_Area" localSheetId="0">'様式１　大学等概要'!$A$1:$N$47</definedName>
    <definedName name="_xlnm.Print_Area" localSheetId="1">'様式２　プログラムを構成する授業科目'!$A$1:$I$45</definedName>
    <definedName name="_xlnm.Print_Area" localSheetId="2">'様式３　履修者等数の実績0713修正'!$A$1:$R$30</definedName>
    <definedName name="_xlnm.Print_Area" localSheetId="4">'様式５　教育の質・履修者数を向上させるための体制・計画'!$A$1:$E$135</definedName>
    <definedName name="_xlnm.Print_Area" localSheetId="5">'様式６　自己点検・評価0713修正'!$A$1:$J$20</definedName>
  </definedNames>
  <calcPr calcId="162913"/>
</workbook>
</file>

<file path=xl/calcChain.xml><?xml version="1.0" encoding="utf-8"?>
<calcChain xmlns="http://schemas.openxmlformats.org/spreadsheetml/2006/main">
  <c r="Q15" i="31" l="1"/>
  <c r="R15" i="31" s="1"/>
  <c r="Q14" i="31"/>
  <c r="R14" i="31" s="1"/>
  <c r="Q13" i="31"/>
  <c r="R13" i="31" s="1"/>
  <c r="Q12" i="31"/>
  <c r="R12" i="31" s="1"/>
  <c r="Q11" i="31"/>
  <c r="R11" i="31" s="1"/>
  <c r="Q10" i="31"/>
  <c r="R10" i="31" s="1"/>
  <c r="Q9" i="31"/>
  <c r="R9" i="31" s="1"/>
  <c r="Q8" i="31"/>
  <c r="R8" i="31" s="1"/>
  <c r="P30" i="31" l="1"/>
  <c r="O30" i="31"/>
  <c r="N30" i="31"/>
  <c r="M30" i="31"/>
  <c r="L30" i="31"/>
  <c r="K30" i="31"/>
  <c r="J30" i="31"/>
  <c r="I30" i="31"/>
  <c r="H30" i="31"/>
  <c r="G30" i="31"/>
  <c r="F30" i="31"/>
  <c r="E30" i="31"/>
  <c r="D30" i="31"/>
  <c r="Q30" i="31"/>
  <c r="R30" i="31" l="1"/>
</calcChain>
</file>

<file path=xl/sharedStrings.xml><?xml version="1.0" encoding="utf-8"?>
<sst xmlns="http://schemas.openxmlformats.org/spreadsheetml/2006/main" count="334" uniqueCount="262">
  <si>
    <t>教員数</t>
    <rPh sb="0" eb="2">
      <t>キョウイン</t>
    </rPh>
    <rPh sb="2" eb="3">
      <t>スウ</t>
    </rPh>
    <phoneticPr fontId="4"/>
  </si>
  <si>
    <t>所属部署名</t>
    <rPh sb="0" eb="2">
      <t>ショゾク</t>
    </rPh>
    <rPh sb="2" eb="4">
      <t>ブショ</t>
    </rPh>
    <rPh sb="4" eb="5">
      <t>メイ</t>
    </rPh>
    <phoneticPr fontId="4"/>
  </si>
  <si>
    <t>担当者名</t>
    <rPh sb="0" eb="2">
      <t>タントウ</t>
    </rPh>
    <rPh sb="2" eb="3">
      <t>シャ</t>
    </rPh>
    <rPh sb="3" eb="4">
      <t>メイ</t>
    </rPh>
    <phoneticPr fontId="4"/>
  </si>
  <si>
    <t>連絡先</t>
    <rPh sb="0" eb="3">
      <t>レンラクサキ</t>
    </rPh>
    <phoneticPr fontId="4"/>
  </si>
  <si>
    <t>電話番号</t>
  </si>
  <si>
    <t>E-mail</t>
  </si>
  <si>
    <t>（常勤）</t>
    <rPh sb="1" eb="3">
      <t>ジョウキン</t>
    </rPh>
    <phoneticPr fontId="4"/>
  </si>
  <si>
    <t>①</t>
    <phoneticPr fontId="4"/>
  </si>
  <si>
    <t>：</t>
    <phoneticPr fontId="4"/>
  </si>
  <si>
    <t>様式６</t>
    <rPh sb="0" eb="2">
      <t>ヨウシキ</t>
    </rPh>
    <phoneticPr fontId="4"/>
  </si>
  <si>
    <t>人</t>
    <rPh sb="0" eb="1">
      <t>ニン</t>
    </rPh>
    <phoneticPr fontId="4"/>
  </si>
  <si>
    <t>（非常勤）</t>
    <rPh sb="1" eb="4">
      <t>ヒジョウキン</t>
    </rPh>
    <phoneticPr fontId="4"/>
  </si>
  <si>
    <t>②</t>
    <phoneticPr fontId="4"/>
  </si>
  <si>
    <t>③</t>
    <phoneticPr fontId="4"/>
  </si>
  <si>
    <t>⑤</t>
    <phoneticPr fontId="4"/>
  </si>
  <si>
    <t>⑦</t>
    <phoneticPr fontId="4"/>
  </si>
  <si>
    <t>④</t>
    <phoneticPr fontId="4"/>
  </si>
  <si>
    <t>⑥</t>
    <phoneticPr fontId="4"/>
  </si>
  <si>
    <t>具体的な構成員</t>
    <rPh sb="0" eb="3">
      <t>グタイテキ</t>
    </rPh>
    <rPh sb="4" eb="7">
      <t>コウセイイン</t>
    </rPh>
    <phoneticPr fontId="4"/>
  </si>
  <si>
    <t>学校名</t>
    <rPh sb="0" eb="2">
      <t>ガッコウ</t>
    </rPh>
    <rPh sb="2" eb="3">
      <t>メイ</t>
    </rPh>
    <phoneticPr fontId="4"/>
  </si>
  <si>
    <t>１年次</t>
    <rPh sb="1" eb="2">
      <t>ネン</t>
    </rPh>
    <rPh sb="2" eb="3">
      <t>ツギ</t>
    </rPh>
    <phoneticPr fontId="4"/>
  </si>
  <si>
    <t>２年次</t>
    <rPh sb="1" eb="2">
      <t>ネン</t>
    </rPh>
    <rPh sb="2" eb="3">
      <t>ツギ</t>
    </rPh>
    <phoneticPr fontId="4"/>
  </si>
  <si>
    <t>３年次</t>
    <rPh sb="1" eb="2">
      <t>ネン</t>
    </rPh>
    <rPh sb="2" eb="3">
      <t>ツギ</t>
    </rPh>
    <phoneticPr fontId="4"/>
  </si>
  <si>
    <t>４年次</t>
    <rPh sb="1" eb="2">
      <t>ネン</t>
    </rPh>
    <rPh sb="2" eb="3">
      <t>ツギ</t>
    </rPh>
    <phoneticPr fontId="4"/>
  </si>
  <si>
    <t>人</t>
  </si>
  <si>
    <t>人</t>
    <rPh sb="0" eb="1">
      <t>ニン</t>
    </rPh>
    <phoneticPr fontId="4"/>
  </si>
  <si>
    <t>（役職名）</t>
    <rPh sb="1" eb="4">
      <t>ヤクショクメイ</t>
    </rPh>
    <phoneticPr fontId="4"/>
  </si>
  <si>
    <t>⑩</t>
    <phoneticPr fontId="4"/>
  </si>
  <si>
    <t>様式１</t>
    <rPh sb="0" eb="2">
      <t>ヨウシキ</t>
    </rPh>
    <phoneticPr fontId="4"/>
  </si>
  <si>
    <t>履修者数・履修率の向上に向けた計画</t>
    <rPh sb="5" eb="7">
      <t>リシュウ</t>
    </rPh>
    <rPh sb="7" eb="8">
      <t>リツ</t>
    </rPh>
    <phoneticPr fontId="4"/>
  </si>
  <si>
    <t>学校名：</t>
    <rPh sb="0" eb="3">
      <t>ガッコウメイ</t>
    </rPh>
    <phoneticPr fontId="4"/>
  </si>
  <si>
    <t>学校名：</t>
    <rPh sb="0" eb="2">
      <t>ガッコウ</t>
    </rPh>
    <rPh sb="2" eb="3">
      <t>メイ</t>
    </rPh>
    <phoneticPr fontId="4"/>
  </si>
  <si>
    <t>できる限り多くの学生が履修・修得できるようなサポート体制</t>
    <rPh sb="26" eb="28">
      <t>タイセイ</t>
    </rPh>
    <phoneticPr fontId="4"/>
  </si>
  <si>
    <t>学内からの視点</t>
    <rPh sb="0" eb="2">
      <t>ガクナイ</t>
    </rPh>
    <rPh sb="5" eb="7">
      <t>シテン</t>
    </rPh>
    <phoneticPr fontId="4"/>
  </si>
  <si>
    <t>プログラムの履修・修得状況</t>
    <rPh sb="6" eb="8">
      <t>リシュウ</t>
    </rPh>
    <rPh sb="9" eb="11">
      <t>シュウトク</t>
    </rPh>
    <rPh sb="11" eb="13">
      <t>ジョウキョウ</t>
    </rPh>
    <phoneticPr fontId="4"/>
  </si>
  <si>
    <t>学修成果</t>
    <rPh sb="0" eb="2">
      <t>ガクシュウ</t>
    </rPh>
    <rPh sb="2" eb="4">
      <t>セイカ</t>
    </rPh>
    <phoneticPr fontId="4"/>
  </si>
  <si>
    <t>学生アンケート等を通じた学生の内容の理解度</t>
    <rPh sb="0" eb="2">
      <t>ガクセイ</t>
    </rPh>
    <rPh sb="7" eb="8">
      <t>トウ</t>
    </rPh>
    <rPh sb="9" eb="10">
      <t>ツウ</t>
    </rPh>
    <rPh sb="12" eb="14">
      <t>ガクセイ</t>
    </rPh>
    <rPh sb="15" eb="17">
      <t>ナイヨウ</t>
    </rPh>
    <rPh sb="18" eb="21">
      <t>リカイド</t>
    </rPh>
    <phoneticPr fontId="4"/>
  </si>
  <si>
    <t>学生アンケート等を通じた後輩等他の学生への推奨度</t>
    <rPh sb="0" eb="2">
      <t>ガクセイ</t>
    </rPh>
    <rPh sb="7" eb="8">
      <t>トウ</t>
    </rPh>
    <rPh sb="9" eb="10">
      <t>ツウ</t>
    </rPh>
    <rPh sb="12" eb="14">
      <t>コウハイ</t>
    </rPh>
    <rPh sb="14" eb="15">
      <t>トウ</t>
    </rPh>
    <rPh sb="15" eb="16">
      <t>タ</t>
    </rPh>
    <rPh sb="17" eb="19">
      <t>ガクセイ</t>
    </rPh>
    <rPh sb="21" eb="23">
      <t>スイショウ</t>
    </rPh>
    <rPh sb="23" eb="24">
      <t>ド</t>
    </rPh>
    <phoneticPr fontId="4"/>
  </si>
  <si>
    <t>全学的な履修者数、履修率向上に向けた計画の達成・進捗状況</t>
    <rPh sb="0" eb="3">
      <t>ゼンガクテキ</t>
    </rPh>
    <rPh sb="4" eb="6">
      <t>リシュウ</t>
    </rPh>
    <rPh sb="6" eb="7">
      <t>シャ</t>
    </rPh>
    <rPh sb="7" eb="8">
      <t>スウ</t>
    </rPh>
    <rPh sb="9" eb="11">
      <t>リシュウ</t>
    </rPh>
    <rPh sb="11" eb="12">
      <t>リツ</t>
    </rPh>
    <rPh sb="12" eb="14">
      <t>コウジョウ</t>
    </rPh>
    <rPh sb="15" eb="16">
      <t>ム</t>
    </rPh>
    <rPh sb="18" eb="20">
      <t>ケイカク</t>
    </rPh>
    <rPh sb="21" eb="23">
      <t>タッセイ</t>
    </rPh>
    <rPh sb="24" eb="26">
      <t>シンチョク</t>
    </rPh>
    <rPh sb="26" eb="28">
      <t>ジョウキョウ</t>
    </rPh>
    <phoneticPr fontId="4"/>
  </si>
  <si>
    <t>学外からの視点</t>
    <rPh sb="0" eb="2">
      <t>ガクガイ</t>
    </rPh>
    <rPh sb="5" eb="7">
      <t>シテン</t>
    </rPh>
    <phoneticPr fontId="4"/>
  </si>
  <si>
    <t>教育プログラム修了者の進路、活躍状況、企業等の評価</t>
    <rPh sb="0" eb="2">
      <t>キョウイク</t>
    </rPh>
    <rPh sb="7" eb="10">
      <t>シュウリョウシャ</t>
    </rPh>
    <rPh sb="11" eb="13">
      <t>シンロ</t>
    </rPh>
    <rPh sb="14" eb="16">
      <t>カツヤク</t>
    </rPh>
    <rPh sb="16" eb="18">
      <t>ジョウキョウ</t>
    </rPh>
    <rPh sb="19" eb="21">
      <t>キギョウ</t>
    </rPh>
    <rPh sb="21" eb="22">
      <t>トウ</t>
    </rPh>
    <rPh sb="23" eb="25">
      <t>ヒョウカ</t>
    </rPh>
    <phoneticPr fontId="4"/>
  </si>
  <si>
    <t>産業界からの視点を含めた教育プログラム内容・手法等への意見</t>
    <rPh sb="0" eb="3">
      <t>サンギョウカイ</t>
    </rPh>
    <rPh sb="6" eb="8">
      <t>シテン</t>
    </rPh>
    <rPh sb="9" eb="10">
      <t>フク</t>
    </rPh>
    <rPh sb="12" eb="14">
      <t>キョウイク</t>
    </rPh>
    <rPh sb="19" eb="21">
      <t>ナイヨウ</t>
    </rPh>
    <rPh sb="22" eb="24">
      <t>シュホウ</t>
    </rPh>
    <rPh sb="24" eb="25">
      <t>トウ</t>
    </rPh>
    <rPh sb="27" eb="29">
      <t>イケン</t>
    </rPh>
    <phoneticPr fontId="4"/>
  </si>
  <si>
    <t>数理・データサイエンス・ＡＩを「学ぶ楽しさ」「学ぶことの意義」を理解させること</t>
    <rPh sb="0" eb="2">
      <t>スウリ</t>
    </rPh>
    <rPh sb="16" eb="17">
      <t>マナ</t>
    </rPh>
    <rPh sb="18" eb="19">
      <t>タノ</t>
    </rPh>
    <rPh sb="23" eb="24">
      <t>マナ</t>
    </rPh>
    <rPh sb="28" eb="30">
      <t>イギ</t>
    </rPh>
    <rPh sb="32" eb="34">
      <t>リカイ</t>
    </rPh>
    <phoneticPr fontId="4"/>
  </si>
  <si>
    <t>自己点検・評価の視点</t>
    <rPh sb="0" eb="2">
      <t>ジコ</t>
    </rPh>
    <rPh sb="2" eb="4">
      <t>テンケン</t>
    </rPh>
    <rPh sb="5" eb="7">
      <t>ヒョウカ</t>
    </rPh>
    <rPh sb="8" eb="10">
      <t>シテン</t>
    </rPh>
    <phoneticPr fontId="4"/>
  </si>
  <si>
    <t>体制の目的</t>
    <rPh sb="0" eb="2">
      <t>タイセイ</t>
    </rPh>
    <rPh sb="3" eb="5">
      <t>モクテキ</t>
    </rPh>
    <phoneticPr fontId="4"/>
  </si>
  <si>
    <t>自己点検・評価体制における意見・結果・改善に向けた取組等</t>
    <rPh sb="7" eb="9">
      <t>タイセイ</t>
    </rPh>
    <rPh sb="13" eb="15">
      <t>イケン</t>
    </rPh>
    <rPh sb="16" eb="18">
      <t>ケッカ</t>
    </rPh>
    <rPh sb="19" eb="21">
      <t>カイゼン</t>
    </rPh>
    <rPh sb="22" eb="23">
      <t>ム</t>
    </rPh>
    <rPh sb="25" eb="27">
      <t>トリクミ</t>
    </rPh>
    <rPh sb="27" eb="28">
      <t>トウ</t>
    </rPh>
    <phoneticPr fontId="4"/>
  </si>
  <si>
    <t>自己点検・評価体制における意見等</t>
    <rPh sb="15" eb="16">
      <t>トウ</t>
    </rPh>
    <phoneticPr fontId="4"/>
  </si>
  <si>
    <t>自己点検・評価体制における意見等の公表の有無</t>
    <rPh sb="17" eb="19">
      <t>コウヒョウ</t>
    </rPh>
    <rPh sb="20" eb="22">
      <t>ウム</t>
    </rPh>
    <phoneticPr fontId="4"/>
  </si>
  <si>
    <t>自己点検・評価について</t>
    <rPh sb="0" eb="2">
      <t>ジコ</t>
    </rPh>
    <rPh sb="2" eb="4">
      <t>テンケン</t>
    </rPh>
    <rPh sb="5" eb="7">
      <t>ヒョウカ</t>
    </rPh>
    <phoneticPr fontId="4"/>
  </si>
  <si>
    <t>修了者数</t>
    <rPh sb="0" eb="3">
      <t>シュウリョウシャ</t>
    </rPh>
    <rPh sb="3" eb="4">
      <t>スウ</t>
    </rPh>
    <phoneticPr fontId="4"/>
  </si>
  <si>
    <t>履修者数</t>
    <rPh sb="0" eb="2">
      <t>リシュウ</t>
    </rPh>
    <rPh sb="2" eb="3">
      <t>シャ</t>
    </rPh>
    <rPh sb="3" eb="4">
      <t>スウ</t>
    </rPh>
    <phoneticPr fontId="4"/>
  </si>
  <si>
    <t>所在地</t>
    <phoneticPr fontId="4"/>
  </si>
  <si>
    <t>５年次</t>
    <rPh sb="1" eb="2">
      <t>ネン</t>
    </rPh>
    <rPh sb="2" eb="3">
      <t>ツギ</t>
    </rPh>
    <phoneticPr fontId="4"/>
  </si>
  <si>
    <t>６年次</t>
    <rPh sb="1" eb="2">
      <t>ネン</t>
    </rPh>
    <rPh sb="2" eb="3">
      <t>ツギ</t>
    </rPh>
    <phoneticPr fontId="4"/>
  </si>
  <si>
    <t>②</t>
    <phoneticPr fontId="4"/>
  </si>
  <si>
    <t>大学等の設置者</t>
  </si>
  <si>
    <t>設置形態</t>
  </si>
  <si>
    <t>⑫</t>
    <phoneticPr fontId="4"/>
  </si>
  <si>
    <t>人</t>
    <rPh sb="0" eb="1">
      <t>ニン</t>
    </rPh>
    <phoneticPr fontId="4"/>
  </si>
  <si>
    <t>総数</t>
    <rPh sb="0" eb="2">
      <t>ソウスウ</t>
    </rPh>
    <phoneticPr fontId="4"/>
  </si>
  <si>
    <t>⑧</t>
    <phoneticPr fontId="4"/>
  </si>
  <si>
    <t>⑬</t>
    <phoneticPr fontId="4"/>
  </si>
  <si>
    <t>（役職名）</t>
    <rPh sb="1" eb="4">
      <t>ヤクショクメイ</t>
    </rPh>
    <phoneticPr fontId="4"/>
  </si>
  <si>
    <t>学校名：</t>
    <rPh sb="0" eb="2">
      <t>ガッコウ</t>
    </rPh>
    <phoneticPr fontId="4"/>
  </si>
  <si>
    <t>履修率</t>
    <rPh sb="0" eb="2">
      <t>リシュウ</t>
    </rPh>
    <rPh sb="2" eb="3">
      <t>リツ</t>
    </rPh>
    <phoneticPr fontId="4"/>
  </si>
  <si>
    <t>合　計</t>
    <phoneticPr fontId="4"/>
  </si>
  <si>
    <t>⑥</t>
    <phoneticPr fontId="4"/>
  </si>
  <si>
    <t>プログラムの開設年度</t>
    <rPh sb="6" eb="8">
      <t>カイセツ</t>
    </rPh>
    <rPh sb="8" eb="10">
      <t>ネンド</t>
    </rPh>
    <phoneticPr fontId="4"/>
  </si>
  <si>
    <t>⑨</t>
    <phoneticPr fontId="4"/>
  </si>
  <si>
    <t>⑭</t>
    <phoneticPr fontId="4"/>
  </si>
  <si>
    <t>履修者数
合計</t>
    <rPh sb="0" eb="2">
      <t>リシュウ</t>
    </rPh>
    <rPh sb="2" eb="3">
      <t>シャ</t>
    </rPh>
    <rPh sb="3" eb="4">
      <t>スウ</t>
    </rPh>
    <rPh sb="5" eb="7">
      <t>ゴウケイ</t>
    </rPh>
    <phoneticPr fontId="4"/>
  </si>
  <si>
    <t>様式３</t>
    <rPh sb="0" eb="2">
      <t>ヨウシキ</t>
    </rPh>
    <phoneticPr fontId="4"/>
  </si>
  <si>
    <t>授業に含まれている内容・要素</t>
    <rPh sb="0" eb="2">
      <t>ジュギョウ</t>
    </rPh>
    <rPh sb="3" eb="4">
      <t>フク</t>
    </rPh>
    <rPh sb="9" eb="11">
      <t>ナイヨウ</t>
    </rPh>
    <rPh sb="12" eb="14">
      <t>ヨウソ</t>
    </rPh>
    <phoneticPr fontId="4"/>
  </si>
  <si>
    <t>統計及び数理基礎</t>
    <rPh sb="0" eb="2">
      <t>トウケイ</t>
    </rPh>
    <rPh sb="2" eb="3">
      <t>オヨ</t>
    </rPh>
    <rPh sb="4" eb="6">
      <t>スウリ</t>
    </rPh>
    <rPh sb="6" eb="8">
      <t>キソ</t>
    </rPh>
    <phoneticPr fontId="4"/>
  </si>
  <si>
    <t>アルゴリズム基礎</t>
    <rPh sb="6" eb="8">
      <t>キソ</t>
    </rPh>
    <phoneticPr fontId="4"/>
  </si>
  <si>
    <t>データ構造とプログラミング基礎</t>
    <rPh sb="3" eb="5">
      <t>コウゾウ</t>
    </rPh>
    <rPh sb="13" eb="15">
      <t>キソ</t>
    </rPh>
    <phoneticPr fontId="4"/>
  </si>
  <si>
    <t>時系列データ解析</t>
    <rPh sb="0" eb="3">
      <t>ジケイレツ</t>
    </rPh>
    <rPh sb="6" eb="8">
      <t>カイセキ</t>
    </rPh>
    <phoneticPr fontId="4"/>
  </si>
  <si>
    <t>テキスト解析</t>
    <rPh sb="4" eb="6">
      <t>カイセキ</t>
    </rPh>
    <phoneticPr fontId="4"/>
  </si>
  <si>
    <t>画像解析</t>
    <rPh sb="0" eb="2">
      <t>ガゾウ</t>
    </rPh>
    <rPh sb="2" eb="4">
      <t>カイセキ</t>
    </rPh>
    <phoneticPr fontId="4"/>
  </si>
  <si>
    <t>データハンドリング</t>
    <phoneticPr fontId="4"/>
  </si>
  <si>
    <t>データ活用実践（教師あり学習）</t>
    <rPh sb="3" eb="5">
      <t>カツヨウ</t>
    </rPh>
    <rPh sb="5" eb="7">
      <t>ジッセン</t>
    </rPh>
    <rPh sb="8" eb="10">
      <t>キョウシ</t>
    </rPh>
    <rPh sb="12" eb="14">
      <t>ガクシュウ</t>
    </rPh>
    <phoneticPr fontId="4"/>
  </si>
  <si>
    <t>その他</t>
    <rPh sb="2" eb="3">
      <t>タ</t>
    </rPh>
    <phoneticPr fontId="4"/>
  </si>
  <si>
    <t>教育の質・履修者数を向上させるための体制・計画について</t>
    <rPh sb="0" eb="2">
      <t>キョウイク</t>
    </rPh>
    <rPh sb="3" eb="4">
      <t>シツ</t>
    </rPh>
    <rPh sb="5" eb="7">
      <t>リシュウ</t>
    </rPh>
    <rPh sb="7" eb="8">
      <t>シャ</t>
    </rPh>
    <rPh sb="8" eb="9">
      <t>スウ</t>
    </rPh>
    <rPh sb="10" eb="12">
      <t>コウジョウ</t>
    </rPh>
    <rPh sb="18" eb="20">
      <t>タイセイ</t>
    </rPh>
    <rPh sb="21" eb="23">
      <t>ケイカク</t>
    </rPh>
    <phoneticPr fontId="4"/>
  </si>
  <si>
    <t>学部・学科に関係なく希望する学生全員が受講可能となるような必要な体制・取組等</t>
    <rPh sb="29" eb="31">
      <t>ヒツヨウ</t>
    </rPh>
    <rPh sb="32" eb="34">
      <t>タイセイ</t>
    </rPh>
    <rPh sb="35" eb="37">
      <t>トリクミ</t>
    </rPh>
    <rPh sb="37" eb="38">
      <t>トウ</t>
    </rPh>
    <phoneticPr fontId="4"/>
  </si>
  <si>
    <t>内容・水準を維持・向上しつつ、より「分かりやすい」授業とすること</t>
    <rPh sb="0" eb="2">
      <t>ナイヨウ</t>
    </rPh>
    <rPh sb="3" eb="5">
      <t>スイジュン</t>
    </rPh>
    <rPh sb="6" eb="8">
      <t>イジ</t>
    </rPh>
    <rPh sb="9" eb="11">
      <t>コウジョウ</t>
    </rPh>
    <rPh sb="18" eb="19">
      <t>ワ</t>
    </rPh>
    <rPh sb="25" eb="27">
      <t>ジュギョウ</t>
    </rPh>
    <phoneticPr fontId="4"/>
  </si>
  <si>
    <t>学校名</t>
    <rPh sb="0" eb="3">
      <t>ガッコウメイ</t>
    </rPh>
    <phoneticPr fontId="4"/>
  </si>
  <si>
    <t>プログラムを構成する授業科目について</t>
    <phoneticPr fontId="4"/>
  </si>
  <si>
    <t>申請する認定プログラム</t>
    <rPh sb="0" eb="2">
      <t>シンセイ</t>
    </rPh>
    <rPh sb="4" eb="6">
      <t>ニンテイ</t>
    </rPh>
    <phoneticPr fontId="4"/>
  </si>
  <si>
    <t>プログラムの授業を教えている教員数</t>
    <rPh sb="6" eb="8">
      <t>ジュギョウ</t>
    </rPh>
    <rPh sb="9" eb="10">
      <t>オシ</t>
    </rPh>
    <rPh sb="14" eb="16">
      <t>キョウイン</t>
    </rPh>
    <rPh sb="16" eb="17">
      <t>スウ</t>
    </rPh>
    <phoneticPr fontId="4"/>
  </si>
  <si>
    <t>プログラムを構成する授業の内容・概要（数理・データサイエンス・AI（リテラシーレベル）モデルカリキュラムの「導入」、「基礎」、「心得」に相当）</t>
    <rPh sb="6" eb="8">
      <t>コウセイ</t>
    </rPh>
    <rPh sb="10" eb="12">
      <t>ジュギョウ</t>
    </rPh>
    <rPh sb="13" eb="15">
      <t>ナイヨウ</t>
    </rPh>
    <rPh sb="16" eb="18">
      <t>ガイヨウ</t>
    </rPh>
    <rPh sb="54" eb="56">
      <t>ドウニュウ</t>
    </rPh>
    <rPh sb="59" eb="61">
      <t>キソ</t>
    </rPh>
    <rPh sb="64" eb="66">
      <t>ココロエ</t>
    </rPh>
    <phoneticPr fontId="4"/>
  </si>
  <si>
    <t>プログラムの授業内容・概要</t>
    <rPh sb="6" eb="8">
      <t>ジュギョウ</t>
    </rPh>
    <rPh sb="8" eb="10">
      <t>ナイヨウ</t>
    </rPh>
    <rPh sb="11" eb="13">
      <t>ガイヨウ</t>
    </rPh>
    <phoneticPr fontId="4"/>
  </si>
  <si>
    <t>できる限り多くの学生が履修できるような具体的な周知方法・取組</t>
    <rPh sb="3" eb="4">
      <t>カギ</t>
    </rPh>
    <rPh sb="5" eb="6">
      <t>オオ</t>
    </rPh>
    <rPh sb="8" eb="10">
      <t>ガクセイ</t>
    </rPh>
    <rPh sb="11" eb="13">
      <t>リシュウ</t>
    </rPh>
    <rPh sb="19" eb="22">
      <t>グタイテキ</t>
    </rPh>
    <rPh sb="23" eb="25">
      <t>シュウチ</t>
    </rPh>
    <rPh sb="25" eb="27">
      <t>ホウホウ</t>
    </rPh>
    <rPh sb="28" eb="30">
      <t>トリクミ</t>
    </rPh>
    <phoneticPr fontId="4"/>
  </si>
  <si>
    <t>プログラムを改善・進化させるための体制を定める規則名称</t>
    <phoneticPr fontId="4"/>
  </si>
  <si>
    <t>プログラムの授業内容等を公表しているアドレス</t>
    <rPh sb="6" eb="8">
      <t>ジュギョウ</t>
    </rPh>
    <rPh sb="8" eb="10">
      <t>ナイヨウ</t>
    </rPh>
    <rPh sb="10" eb="11">
      <t>トウ</t>
    </rPh>
    <rPh sb="12" eb="14">
      <t>コウヒョウ</t>
    </rPh>
    <phoneticPr fontId="4"/>
  </si>
  <si>
    <t>プログラムの学修成果（学生等が身に付けられる能力等）</t>
  </si>
  <si>
    <t>教育プログラムの修了要件</t>
    <rPh sb="8" eb="10">
      <t>シュウリョウ</t>
    </rPh>
    <phoneticPr fontId="4"/>
  </si>
  <si>
    <t>具体的な修了要件</t>
    <rPh sb="0" eb="3">
      <t>グタイテキ</t>
    </rPh>
    <rPh sb="4" eb="6">
      <t>シュウリョウ</t>
    </rPh>
    <rPh sb="6" eb="8">
      <t>ヨウケン</t>
    </rPh>
    <phoneticPr fontId="4"/>
  </si>
  <si>
    <t>授業科目名称</t>
    <rPh sb="0" eb="2">
      <t>ジュギョウ</t>
    </rPh>
    <rPh sb="2" eb="4">
      <t>カモク</t>
    </rPh>
    <rPh sb="4" eb="6">
      <t>メイショウ</t>
    </rPh>
    <phoneticPr fontId="4"/>
  </si>
  <si>
    <t>プログラムを構成する授業の内容・概要（数理・データサイエンス・AI（リテラシーレベル）モデルカリキュラムの「選択」に相当）</t>
    <rPh sb="6" eb="8">
      <t>コウセイ</t>
    </rPh>
    <rPh sb="10" eb="12">
      <t>ジュギョウ</t>
    </rPh>
    <rPh sb="13" eb="15">
      <t>ナイヨウ</t>
    </rPh>
    <rPh sb="16" eb="18">
      <t>ガイヨウ</t>
    </rPh>
    <rPh sb="19" eb="21">
      <t>スウリ</t>
    </rPh>
    <rPh sb="54" eb="56">
      <t>センタク</t>
    </rPh>
    <rPh sb="58" eb="60">
      <t>ソウトウ</t>
    </rPh>
    <phoneticPr fontId="4"/>
  </si>
  <si>
    <t>様式５</t>
    <rPh sb="0" eb="2">
      <t>ヨウシキ</t>
    </rPh>
    <phoneticPr fontId="4"/>
  </si>
  <si>
    <t>授業概要</t>
    <rPh sb="0" eb="2">
      <t>ジュギョウ</t>
    </rPh>
    <rPh sb="2" eb="4">
      <t>ガイヨウ</t>
    </rPh>
    <phoneticPr fontId="4"/>
  </si>
  <si>
    <t>授業科目名称</t>
    <rPh sb="0" eb="2">
      <t>ジュギョウ</t>
    </rPh>
    <rPh sb="2" eb="6">
      <t>カモクメイショウ</t>
    </rPh>
    <phoneticPr fontId="4"/>
  </si>
  <si>
    <t>講義テーマ</t>
    <rPh sb="0" eb="2">
      <t>コウギ</t>
    </rPh>
    <phoneticPr fontId="4"/>
  </si>
  <si>
    <t>（１）現在進行中の社会変化（第４次産業革命、Society 5.0、データ駆動型社会等）に深く寄与しているものであり、それが自らの生活と密接に結びついている
※モデルカリキュラム導入１－１、導入１－６が該当</t>
    <phoneticPr fontId="4"/>
  </si>
  <si>
    <t>（２）「社会で活用されているデータ」や「データの活用領域」は非常に広範囲であって、日常生活や社会の課題を解決する有用なツールになり得るもの
※モデルカリキュラム導入１－２、導入１－３が該当</t>
    <phoneticPr fontId="4"/>
  </si>
  <si>
    <t>（４）活用に当たっての様々な留意事項（ELSI、個人情報、データ倫理、ＡＩ社会原則等）を考慮し、情報セキュリティや情報漏洩等、データを守る上での留意事項への理解をする
※モデルカリキュラム心得３－１、心得３－２が該当</t>
    <phoneticPr fontId="4"/>
  </si>
  <si>
    <t>（３）様々なデータ利活用の現場におけるデータ利活用事例が示され、様々な適用領域（流通、製造、金融、サービス、インフラ、公共、ヘルスケア等）の知見と組み合わせることで価値を創出するもの
※モデルカリキュラム導入１－４、導入１－５が該当</t>
    <phoneticPr fontId="4"/>
  </si>
  <si>
    <t>※公表している場合のアドレス</t>
    <rPh sb="1" eb="3">
      <t>コウヒョウ</t>
    </rPh>
    <rPh sb="7" eb="9">
      <t>バアイ</t>
    </rPh>
    <phoneticPr fontId="4"/>
  </si>
  <si>
    <t>（責任者名）</t>
    <rPh sb="1" eb="4">
      <t>セキニンシャ</t>
    </rPh>
    <rPh sb="4" eb="5">
      <t>メイ</t>
    </rPh>
    <phoneticPr fontId="4"/>
  </si>
  <si>
    <t>プログラムの運営責任者</t>
    <phoneticPr fontId="4"/>
  </si>
  <si>
    <t>令和2年度</t>
    <rPh sb="0" eb="2">
      <t>レイワ</t>
    </rPh>
    <rPh sb="3" eb="5">
      <t>ネンド</t>
    </rPh>
    <phoneticPr fontId="4"/>
  </si>
  <si>
    <t>令和元年度</t>
    <rPh sb="0" eb="2">
      <t>レイワ</t>
    </rPh>
    <rPh sb="2" eb="3">
      <t>ゲン</t>
    </rPh>
    <rPh sb="3" eb="5">
      <t>ネンド</t>
    </rPh>
    <phoneticPr fontId="4"/>
  </si>
  <si>
    <t>平成30年度</t>
    <rPh sb="0" eb="2">
      <t>ヘイセイ</t>
    </rPh>
    <rPh sb="4" eb="6">
      <t>ネンド</t>
    </rPh>
    <phoneticPr fontId="4"/>
  </si>
  <si>
    <t>平成29年度</t>
    <rPh sb="0" eb="2">
      <t>ヘイセイ</t>
    </rPh>
    <rPh sb="4" eb="6">
      <t>ネンド</t>
    </rPh>
    <phoneticPr fontId="4"/>
  </si>
  <si>
    <t>平成28年度</t>
    <rPh sb="0" eb="2">
      <t>ヘイセイ</t>
    </rPh>
    <rPh sb="4" eb="6">
      <t>ネンド</t>
    </rPh>
    <phoneticPr fontId="4"/>
  </si>
  <si>
    <t>平成27年度</t>
    <rPh sb="0" eb="2">
      <t>ヘイセイ</t>
    </rPh>
    <rPh sb="4" eb="6">
      <t>ネンド</t>
    </rPh>
    <phoneticPr fontId="4"/>
  </si>
  <si>
    <t>プログラムの履修者数等の実績について</t>
    <phoneticPr fontId="4"/>
  </si>
  <si>
    <t>⑪</t>
    <phoneticPr fontId="4"/>
  </si>
  <si>
    <t>全学部・学科の入学定員</t>
    <rPh sb="0" eb="1">
      <t>ゼン</t>
    </rPh>
    <rPh sb="4" eb="6">
      <t>ガッカ</t>
    </rPh>
    <rPh sb="7" eb="9">
      <t>ニュウガク</t>
    </rPh>
    <rPh sb="9" eb="11">
      <t>テイイン</t>
    </rPh>
    <phoneticPr fontId="4"/>
  </si>
  <si>
    <t>全学部・学科の学生数（学年別）</t>
    <rPh sb="0" eb="1">
      <t>ゼン</t>
    </rPh>
    <rPh sb="4" eb="6">
      <t>ガッカ</t>
    </rPh>
    <rPh sb="7" eb="10">
      <t>ガクセイスウ</t>
    </rPh>
    <rPh sb="11" eb="13">
      <t>ガクネン</t>
    </rPh>
    <rPh sb="13" eb="14">
      <t>ベツ</t>
    </rPh>
    <phoneticPr fontId="4"/>
  </si>
  <si>
    <t>学部・学科名称</t>
    <rPh sb="0" eb="2">
      <t>ガクブ</t>
    </rPh>
    <rPh sb="3" eb="5">
      <t>ガッカ</t>
    </rPh>
    <rPh sb="5" eb="7">
      <t>メイショウ</t>
    </rPh>
    <phoneticPr fontId="4"/>
  </si>
  <si>
    <t>申請するプログラム又は授業科目名称</t>
    <rPh sb="0" eb="2">
      <t>シンセイ</t>
    </rPh>
    <rPh sb="9" eb="10">
      <t>マタ</t>
    </rPh>
    <rPh sb="11" eb="13">
      <t>ジュギョウ</t>
    </rPh>
    <rPh sb="13" eb="15">
      <t>カモク</t>
    </rPh>
    <rPh sb="15" eb="17">
      <t>メイショウ</t>
    </rPh>
    <phoneticPr fontId="4"/>
  </si>
  <si>
    <t>プログラムを改善・進化させるための体制（委員会・組織等）</t>
    <rPh sb="6" eb="8">
      <t>カイゼン</t>
    </rPh>
    <rPh sb="9" eb="11">
      <t>シンカ</t>
    </rPh>
    <rPh sb="17" eb="19">
      <t>タイセイ</t>
    </rPh>
    <rPh sb="20" eb="23">
      <t>イインカイ</t>
    </rPh>
    <rPh sb="24" eb="26">
      <t>ソシキ</t>
    </rPh>
    <rPh sb="26" eb="27">
      <t>トウ</t>
    </rPh>
    <phoneticPr fontId="4"/>
  </si>
  <si>
    <t>プログラムの自己点検・評価を行う体制（委員会・組織等）</t>
    <rPh sb="6" eb="8">
      <t>ジコ</t>
    </rPh>
    <rPh sb="8" eb="10">
      <t>テンケン</t>
    </rPh>
    <rPh sb="11" eb="13">
      <t>ヒョウカ</t>
    </rPh>
    <rPh sb="14" eb="15">
      <t>オコナ</t>
    </rPh>
    <rPh sb="16" eb="18">
      <t>タイセイ</t>
    </rPh>
    <rPh sb="19" eb="22">
      <t>イインカイ</t>
    </rPh>
    <rPh sb="23" eb="25">
      <t>ソシキ</t>
    </rPh>
    <rPh sb="25" eb="26">
      <t>トウ</t>
    </rPh>
    <phoneticPr fontId="4"/>
  </si>
  <si>
    <t>授業時間内外で学習指導、質問を受け付ける具体的な仕組み</t>
    <rPh sb="20" eb="23">
      <t>グタイテキ</t>
    </rPh>
    <phoneticPr fontId="4"/>
  </si>
  <si>
    <t>数理・データサイエンス・AI教育プログラム認定制度（リテラシーレベル）　申請様式</t>
    <rPh sb="14" eb="16">
      <t>キョウイク</t>
    </rPh>
    <rPh sb="21" eb="23">
      <t>ニンテイ</t>
    </rPh>
    <rPh sb="23" eb="25">
      <t>セイド</t>
    </rPh>
    <rPh sb="36" eb="38">
      <t>シンセイ</t>
    </rPh>
    <rPh sb="38" eb="40">
      <t>ヨウシキ</t>
    </rPh>
    <phoneticPr fontId="4"/>
  </si>
  <si>
    <t>現代社会</t>
  </si>
  <si>
    <t>企業経営</t>
  </si>
  <si>
    <t>インターンシップ</t>
  </si>
  <si>
    <t>環境科学概論I</t>
  </si>
  <si>
    <t>環境科学概論II</t>
  </si>
  <si>
    <t>情報</t>
  </si>
  <si>
    <t>情報処理I</t>
  </si>
  <si>
    <t>微分積分b</t>
  </si>
  <si>
    <t>解析b</t>
  </si>
  <si>
    <t>応用数学II</t>
  </si>
  <si>
    <t>地球環境問題への取り組み(1)</t>
    <phoneticPr fontId="4"/>
  </si>
  <si>
    <t>科学技術の発達と生命倫理(3)、高度情報化社会と情報倫理(4)</t>
    <phoneticPr fontId="4"/>
  </si>
  <si>
    <t>経済社会の変容、市場のしくみ、現代の企業（16～18）</t>
    <phoneticPr fontId="4"/>
  </si>
  <si>
    <t>かぎりある資源とエネルギー(2)、少子高齢化社会（19）</t>
    <phoneticPr fontId="4"/>
  </si>
  <si>
    <t>技術経営の目的（4）</t>
    <phoneticPr fontId="4"/>
  </si>
  <si>
    <t>企業の社会的責任とコーポレートガバナンス（5）</t>
    <phoneticPr fontId="4"/>
  </si>
  <si>
    <t>インターンシップ</t>
    <phoneticPr fontId="4"/>
  </si>
  <si>
    <t>総合工学システム概論</t>
    <phoneticPr fontId="4"/>
  </si>
  <si>
    <t>働くこと（6）</t>
    <phoneticPr fontId="4"/>
  </si>
  <si>
    <t>電子情報系分野の講義（10）</t>
    <phoneticPr fontId="4"/>
  </si>
  <si>
    <t>大気汚染と対策、水質汚濁と対策、脱炭素社会（11～13）</t>
    <phoneticPr fontId="4"/>
  </si>
  <si>
    <t>情報伝達と恒常性（10）</t>
    <phoneticPr fontId="4"/>
  </si>
  <si>
    <t>物質科学</t>
    <phoneticPr fontId="4"/>
  </si>
  <si>
    <t>環境と物質、物質と生命（13～14）</t>
    <phoneticPr fontId="4"/>
  </si>
  <si>
    <t>技術倫理</t>
    <phoneticPr fontId="4"/>
  </si>
  <si>
    <t>技術と倫理、事例研究（4～14）</t>
    <phoneticPr fontId="4"/>
  </si>
  <si>
    <t>法と経済</t>
    <phoneticPr fontId="4"/>
  </si>
  <si>
    <t>ゲーム理論（22）</t>
    <phoneticPr fontId="4"/>
  </si>
  <si>
    <t>情報</t>
    <phoneticPr fontId="4"/>
  </si>
  <si>
    <t>情報セキュリティ（4～7）</t>
    <phoneticPr fontId="4"/>
  </si>
  <si>
    <t>情報基礎（20～23）、表計算ソフトウェアの利用（24～30）</t>
    <phoneticPr fontId="4"/>
  </si>
  <si>
    <t>微分積分a</t>
    <phoneticPr fontId="4"/>
  </si>
  <si>
    <t>微分法、微分法の応用（19～29）</t>
    <phoneticPr fontId="4"/>
  </si>
  <si>
    <t>いろいろな関数の微分法、微分法の応用（1～12）</t>
    <phoneticPr fontId="4"/>
  </si>
  <si>
    <t>ベクトル･行列</t>
    <phoneticPr fontId="4"/>
  </si>
  <si>
    <t>行列、行列式の性質（13～28）</t>
    <phoneticPr fontId="4"/>
  </si>
  <si>
    <t>解析a</t>
    <phoneticPr fontId="4"/>
  </si>
  <si>
    <t>関数の展開（19～28）</t>
    <phoneticPr fontId="4"/>
  </si>
  <si>
    <t>偏導関数、偏導関数の応用（5～19）</t>
    <phoneticPr fontId="4"/>
  </si>
  <si>
    <t>線形代数･微分方程式</t>
    <phoneticPr fontId="4"/>
  </si>
  <si>
    <t>正方行列の固有値と対角化（12～17）</t>
    <phoneticPr fontId="4"/>
  </si>
  <si>
    <t>応用数学I</t>
    <phoneticPr fontId="4"/>
  </si>
  <si>
    <t>ベクトル解析（9～12）</t>
    <phoneticPr fontId="4"/>
  </si>
  <si>
    <t>確率変数と確率分布（6～10）</t>
    <phoneticPr fontId="4"/>
  </si>
  <si>
    <t>総合工学実験実習I</t>
    <phoneticPr fontId="4"/>
  </si>
  <si>
    <t>細胞からのDNA抽出（39～40）</t>
    <phoneticPr fontId="4"/>
  </si>
  <si>
    <t>総合工学実験実習II</t>
    <phoneticPr fontId="4"/>
  </si>
  <si>
    <t>データ処理とグラフへの整理（25～26）</t>
    <phoneticPr fontId="4"/>
  </si>
  <si>
    <t>大阪府立大学工業高等専門学校</t>
    <rPh sb="0" eb="6">
      <t>オオサカ</t>
    </rPh>
    <rPh sb="6" eb="14">
      <t>コウギョウ</t>
    </rPh>
    <phoneticPr fontId="4"/>
  </si>
  <si>
    <t>公立大学法人 大阪</t>
    <rPh sb="0" eb="6">
      <t>コウリツダイ</t>
    </rPh>
    <rPh sb="7" eb="9">
      <t xml:space="preserve">オオサカ </t>
    </rPh>
    <phoneticPr fontId="4"/>
  </si>
  <si>
    <t>高等専門学校</t>
  </si>
  <si>
    <t>大阪府寝屋川市幸町26-12</t>
    <rPh sb="0" eb="9">
      <t>５７２−８５７２</t>
    </rPh>
    <phoneticPr fontId="4"/>
  </si>
  <si>
    <t>難波邦彦</t>
    <rPh sb="0" eb="2">
      <t xml:space="preserve">ナンバ </t>
    </rPh>
    <rPh sb="2" eb="4">
      <t xml:space="preserve">クニヒコ </t>
    </rPh>
    <phoneticPr fontId="4"/>
  </si>
  <si>
    <t>教務担当副校長</t>
    <rPh sb="0" eb="2">
      <t xml:space="preserve">キョウム </t>
    </rPh>
    <rPh sb="2" eb="4">
      <t xml:space="preserve">タントウ </t>
    </rPh>
    <rPh sb="4" eb="7">
      <t xml:space="preserve">フクコウチョウ </t>
    </rPh>
    <phoneticPr fontId="4"/>
  </si>
  <si>
    <t>認定教育プログラム</t>
  </si>
  <si>
    <t>学部・学科によって、修了要件は相違しない</t>
  </si>
  <si>
    <t>総合工学システム概論</t>
  </si>
  <si>
    <t>物質科学</t>
  </si>
  <si>
    <t>技術倫理</t>
  </si>
  <si>
    <t>法と経済</t>
  </si>
  <si>
    <t>総合工学実験実習I</t>
  </si>
  <si>
    <t>微分積分a</t>
  </si>
  <si>
    <t>ベクトル･行列</t>
  </si>
  <si>
    <t>解析a</t>
  </si>
  <si>
    <t>線形代数･微分方程式</t>
  </si>
  <si>
    <t>応用数学I</t>
  </si>
  <si>
    <t>総合工学実験実習II</t>
  </si>
  <si>
    <t>大阪府立大学工業高等専門学校</t>
  </si>
  <si>
    <t>大阪府立大学工業高等専門学校</t>
    <phoneticPr fontId="4"/>
  </si>
  <si>
    <t>東　健司</t>
    <rPh sb="0" eb="1">
      <t xml:space="preserve">ヒガシ </t>
    </rPh>
    <rPh sb="2" eb="4">
      <t xml:space="preserve">ケンジ </t>
    </rPh>
    <phoneticPr fontId="4"/>
  </si>
  <si>
    <t>校長</t>
    <rPh sb="0" eb="2">
      <t xml:space="preserve">コウチョウ </t>
    </rPh>
    <phoneticPr fontId="4"/>
  </si>
  <si>
    <t>公立大学法人大阪理事（高専担当）</t>
    <rPh sb="0" eb="6">
      <t xml:space="preserve">コウリツダイガクホウジン </t>
    </rPh>
    <rPh sb="6" eb="8">
      <t xml:space="preserve">オオサカ </t>
    </rPh>
    <rPh sb="8" eb="10">
      <t xml:space="preserve">リジ </t>
    </rPh>
    <rPh sb="11" eb="15">
      <t xml:space="preserve">コウセンタントウ </t>
    </rPh>
    <phoneticPr fontId="4"/>
  </si>
  <si>
    <t>数値計算</t>
    <rPh sb="0" eb="1">
      <t xml:space="preserve">スウチケイサン </t>
    </rPh>
    <phoneticPr fontId="4"/>
  </si>
  <si>
    <t>情報処理Ⅱ、数値計算</t>
    <rPh sb="0" eb="4">
      <t xml:space="preserve">ジョウホウショリ </t>
    </rPh>
    <rPh sb="6" eb="10">
      <t xml:space="preserve">スウチケイサン </t>
    </rPh>
    <phoneticPr fontId="4"/>
  </si>
  <si>
    <t>情報処理Ⅰ</t>
    <rPh sb="0" eb="4">
      <t xml:space="preserve">ジョウホウショリ </t>
    </rPh>
    <phoneticPr fontId="4"/>
  </si>
  <si>
    <t>情報処理Ⅱ</t>
    <rPh sb="0" eb="1">
      <t>ジョ</t>
    </rPh>
    <phoneticPr fontId="4"/>
  </si>
  <si>
    <t>数値計算</t>
    <rPh sb="0" eb="4">
      <t xml:space="preserve">スウチケイサン </t>
    </rPh>
    <phoneticPr fontId="4"/>
  </si>
  <si>
    <t>事務局学務課</t>
    <rPh sb="0" eb="3">
      <t xml:space="preserve">ジムキョク </t>
    </rPh>
    <rPh sb="3" eb="6">
      <t xml:space="preserve">ガクムカ </t>
    </rPh>
    <phoneticPr fontId="4"/>
  </si>
  <si>
    <t>古城 厚穂</t>
    <rPh sb="0" eb="2">
      <t xml:space="preserve">コジョウ </t>
    </rPh>
    <rPh sb="3" eb="4">
      <t xml:space="preserve">アツイ </t>
    </rPh>
    <rPh sb="4" eb="5">
      <t xml:space="preserve">イナホ </t>
    </rPh>
    <phoneticPr fontId="4"/>
  </si>
  <si>
    <t>072-820-8545</t>
    <phoneticPr fontId="4"/>
  </si>
  <si>
    <t>令和２年度</t>
    <rPh sb="0" eb="2">
      <t xml:space="preserve">レイワ </t>
    </rPh>
    <rPh sb="3" eb="5">
      <t xml:space="preserve">ネンド </t>
    </rPh>
    <phoneticPr fontId="4"/>
  </si>
  <si>
    <t>情報処理Ⅱ</t>
    <rPh sb="0" eb="4">
      <t xml:space="preserve">ジョウホウショリ スウチケイサン </t>
    </rPh>
    <phoneticPr fontId="4"/>
  </si>
  <si>
    <t>情報処理Ⅱ、数値計算</t>
    <rPh sb="0" eb="4">
      <t>ジョウ</t>
    </rPh>
    <rPh sb="6" eb="7">
      <t xml:space="preserve">スウチケイサン </t>
    </rPh>
    <phoneticPr fontId="4"/>
  </si>
  <si>
    <t>Cプログラム（1～15）</t>
    <phoneticPr fontId="4"/>
  </si>
  <si>
    <t>ガイダンスと事前教育（1〜2）</t>
    <phoneticPr fontId="4"/>
  </si>
  <si>
    <t>研修先における実務体験（3～27）</t>
    <phoneticPr fontId="4"/>
  </si>
  <si>
    <t>※リテラシーレベルとして概念は基礎科目群のなかで扱うが、専門科目群としてのスキル教育は行わない</t>
    <rPh sb="12" eb="14">
      <t xml:space="preserve">ガイネンハ </t>
    </rPh>
    <rPh sb="15" eb="19">
      <t xml:space="preserve">キソカモクグンデ </t>
    </rPh>
    <rPh sb="19" eb="20">
      <t xml:space="preserve">グンデ </t>
    </rPh>
    <rPh sb="24" eb="25">
      <t xml:space="preserve">アツカウガ </t>
    </rPh>
    <rPh sb="28" eb="32">
      <t xml:space="preserve">センモンカモクグントシテ </t>
    </rPh>
    <rPh sb="32" eb="33">
      <t xml:space="preserve">グントシテノ </t>
    </rPh>
    <rPh sb="40" eb="42">
      <t xml:space="preserve">キョウイクハ </t>
    </rPh>
    <rPh sb="43" eb="44">
      <t xml:space="preserve">オコナワナイ </t>
    </rPh>
    <phoneticPr fontId="4"/>
  </si>
  <si>
    <t>情報処理Ⅱ</t>
    <rPh sb="0" eb="1">
      <t xml:space="preserve">ジョウホウショリ </t>
    </rPh>
    <phoneticPr fontId="4"/>
  </si>
  <si>
    <t>有</t>
  </si>
  <si>
    <t>総合的な工学教育システムを背景にしたデータ思考力の涵養</t>
    <rPh sb="0" eb="2">
      <t xml:space="preserve">ソウゴウ </t>
    </rPh>
    <rPh sb="2" eb="3">
      <t xml:space="preserve">テキニ </t>
    </rPh>
    <rPh sb="4" eb="6">
      <t xml:space="preserve">コウガクテキ </t>
    </rPh>
    <rPh sb="6" eb="8">
      <t xml:space="preserve">キョウイク </t>
    </rPh>
    <rPh sb="13" eb="15">
      <t xml:space="preserve">ハイケイニ </t>
    </rPh>
    <rPh sb="23" eb="24">
      <t xml:space="preserve">リョク </t>
    </rPh>
    <rPh sb="25" eb="27">
      <t xml:space="preserve">カンヨウ </t>
    </rPh>
    <phoneticPr fontId="4"/>
  </si>
  <si>
    <t>様式２</t>
    <rPh sb="0" eb="2">
      <t>ヨウシキ</t>
    </rPh>
    <phoneticPr fontId="4"/>
  </si>
  <si>
    <t>大阪府立大学工業高等専門学校 総合工学システム学科では、プログラムを構成する
「基礎科目群（下記1～21）」の全21科目39単位および「専門教育科目群（下記22～23）」の全2科目3単位の合計23科目42単位をすべて履修し、修得すること。</t>
    <rPh sb="0" eb="6">
      <t>オオサカフリｔ</t>
    </rPh>
    <rPh sb="6" eb="14">
      <t>コウギョウ</t>
    </rPh>
    <rPh sb="15" eb="19">
      <t xml:space="preserve">ソウゴウコウガクシステムガッカ </t>
    </rPh>
    <rPh sb="31" eb="33">
      <t xml:space="preserve">ガクネンニオイテ </t>
    </rPh>
    <rPh sb="37" eb="38">
      <t xml:space="preserve">ジッシサレル </t>
    </rPh>
    <rPh sb="41" eb="45">
      <t xml:space="preserve">トクベツカツドウ </t>
    </rPh>
    <rPh sb="46" eb="47">
      <t xml:space="preserve">カキ </t>
    </rPh>
    <rPh sb="62" eb="63">
      <t>コウセイ</t>
    </rPh>
    <rPh sb="66" eb="67">
      <t>キソ</t>
    </rPh>
    <rPh sb="67" eb="69">
      <t>カモク</t>
    </rPh>
    <rPh sb="69" eb="70">
      <t>グン</t>
    </rPh>
    <rPh sb="71" eb="73">
      <t>カキ</t>
    </rPh>
    <rPh sb="81" eb="82">
      <t xml:space="preserve">ゼンカモク </t>
    </rPh>
    <rPh sb="84" eb="85">
      <t xml:space="preserve">ゼン </t>
    </rPh>
    <rPh sb="86" eb="88">
      <t xml:space="preserve">カモク </t>
    </rPh>
    <rPh sb="89" eb="90">
      <t xml:space="preserve">タンイ </t>
    </rPh>
    <rPh sb="92" eb="94">
      <t>センモン</t>
    </rPh>
    <rPh sb="95" eb="97">
      <t xml:space="preserve">カモク </t>
    </rPh>
    <rPh sb="99" eb="101">
      <t>カモク</t>
    </rPh>
    <rPh sb="105" eb="107">
      <t xml:space="preserve">シュウトク </t>
    </rPh>
    <rPh sb="108" eb="110">
      <t xml:space="preserve">リシュウシ </t>
    </rPh>
    <phoneticPr fontId="4"/>
  </si>
  <si>
    <t xml:space="preserve">somu@osaka-pct.ac.jp </t>
    <phoneticPr fontId="4"/>
  </si>
  <si>
    <t>大阪府立大学工業高等専門学校運営会議</t>
    <rPh sb="0" eb="4">
      <t xml:space="preserve">ウンエイカイギ </t>
    </rPh>
    <phoneticPr fontId="4"/>
  </si>
  <si>
    <t>公立大学法人大阪大阪府立大学工業高等専門学校運営審議会</t>
    <rPh sb="0" eb="6">
      <t>コウリツダイガクホウジン</t>
    </rPh>
    <rPh sb="6" eb="8">
      <t>オオサカ</t>
    </rPh>
    <rPh sb="8" eb="20">
      <t>オオサカフリツダイガクコウギョウコウトウセンモン</t>
    </rPh>
    <rPh sb="20" eb="22">
      <t>ガッコウ</t>
    </rPh>
    <rPh sb="22" eb="24">
      <t>ウンエイ</t>
    </rPh>
    <rPh sb="24" eb="27">
      <t>シンギカイ</t>
    </rPh>
    <phoneticPr fontId="4"/>
  </si>
  <si>
    <t>辻󠄀　洋</t>
    <rPh sb="0" eb="3">
      <t>ツジ</t>
    </rPh>
    <rPh sb="4" eb="5">
      <t xml:space="preserve">ヨウ </t>
    </rPh>
    <phoneticPr fontId="4"/>
  </si>
  <si>
    <t>大阪府立大学工業高等専門学校運営会議規程</t>
    <rPh sb="0" eb="2">
      <t xml:space="preserve">コウセン </t>
    </rPh>
    <rPh sb="2" eb="6">
      <t xml:space="preserve">ウンエイカイギ </t>
    </rPh>
    <rPh sb="14" eb="16">
      <t>ウンエイ</t>
    </rPh>
    <rPh sb="16" eb="18">
      <t>カイギ</t>
    </rPh>
    <rPh sb="18" eb="20">
      <t>キテイ</t>
    </rPh>
    <phoneticPr fontId="4"/>
  </si>
  <si>
    <t>大阪府立大学工業高等専門学校運営会議は、本校の学校運営の重要事項に関する校内意見の集約及び聴取と組織間の連絡・調整を行う組織である。本会議に設置する大阪府立大学工業高等専門学校計画・評価部会は、(1)認証評価機関による評価に関すること、(2)自己点検・評価に関すること、(3)教員の業績評価に関すること、(4)評価結果の活用方策その他評価に関することについて、企画及び実施する組織であり、その結果を運営会議で審議している。本校が申請するプログラムについても、同体制で改善・進化させていく。</t>
    <rPh sb="66" eb="67">
      <t>ホン</t>
    </rPh>
    <rPh sb="70" eb="72">
      <t>セッチ</t>
    </rPh>
    <rPh sb="188" eb="190">
      <t>ソシキ</t>
    </rPh>
    <phoneticPr fontId="4"/>
  </si>
  <si>
    <t>⑤⑥で組織とその周知方法・取組を述べた。本校の申請するプログラムでは、学生のインターンシップ履修率の向上がポイントとなる。そのため、４年生の担任団によるきめ細かな学生への受け入れ企業取次業務が非常に大きなサポート体制となっている。
具体的には、４年次担任は、４〜５月に担任する全学生（およそ３０名前後）に対して個人面談を行い、インターンシップ取得の意向調査と希望する場合の職種や業務などを聞き取りを行っている。５〜６月にはその面談結果を踏まえ、受入企業を学生に提示や具体的な企業を提案して、マッチングするように尽力している。さらに、学生が希望する企業が決まれば、必要な資料（志望動機書、推薦書等）の作成や添削業務を担い、学生へのサポートにあたっている。
なお、⑤⑥⑦の取組が組織的に円滑に実施できている源泉となっている体制が、大阪府立大学工業高等専門学校運営会議である。</t>
    <rPh sb="3" eb="5">
      <t xml:space="preserve">ソシキト </t>
    </rPh>
    <rPh sb="8" eb="12">
      <t xml:space="preserve">シュウチホウホウ </t>
    </rPh>
    <rPh sb="13" eb="15">
      <t xml:space="preserve">トリクミヲ </t>
    </rPh>
    <rPh sb="16" eb="17">
      <t xml:space="preserve">ノベタ </t>
    </rPh>
    <rPh sb="20" eb="22">
      <t xml:space="preserve">ホンコウデハ </t>
    </rPh>
    <rPh sb="23" eb="25">
      <t xml:space="preserve">シンセイスル </t>
    </rPh>
    <rPh sb="35" eb="37">
      <t xml:space="preserve">ガクセイノ </t>
    </rPh>
    <rPh sb="46" eb="49">
      <t xml:space="preserve">リシュウリツノ </t>
    </rPh>
    <rPh sb="50" eb="52">
      <t xml:space="preserve">コウジョウガ </t>
    </rPh>
    <rPh sb="67" eb="68">
      <t xml:space="preserve">ネンジ </t>
    </rPh>
    <rPh sb="68" eb="69">
      <t xml:space="preserve">セイノ </t>
    </rPh>
    <rPh sb="70" eb="73">
      <t xml:space="preserve">タンニンダンノ </t>
    </rPh>
    <rPh sb="81" eb="83">
      <t xml:space="preserve">ガクセイヘノ </t>
    </rPh>
    <rPh sb="85" eb="86">
      <t xml:space="preserve">ウケイレ </t>
    </rPh>
    <rPh sb="89" eb="95">
      <t xml:space="preserve">キギョウトリツギギョウムガ </t>
    </rPh>
    <rPh sb="96" eb="98">
      <t xml:space="preserve">ヒジョウニ </t>
    </rPh>
    <rPh sb="99" eb="100">
      <t xml:space="preserve">オオキナ </t>
    </rPh>
    <rPh sb="116" eb="119">
      <t xml:space="preserve">グタイテキニハ </t>
    </rPh>
    <rPh sb="123" eb="125">
      <t xml:space="preserve">ネンジ </t>
    </rPh>
    <rPh sb="125" eb="127">
      <t xml:space="preserve">タンニンハ </t>
    </rPh>
    <rPh sb="132" eb="133">
      <t xml:space="preserve">ガツジニ </t>
    </rPh>
    <rPh sb="134" eb="136">
      <t xml:space="preserve">タンニンスル </t>
    </rPh>
    <rPh sb="138" eb="141">
      <t xml:space="preserve">ゼンガクセイ </t>
    </rPh>
    <rPh sb="147" eb="150">
      <t xml:space="preserve">メイゼンゴ </t>
    </rPh>
    <rPh sb="152" eb="153">
      <t xml:space="preserve">タイシテ </t>
    </rPh>
    <rPh sb="155" eb="159">
      <t xml:space="preserve">コジンメンダンヲ </t>
    </rPh>
    <rPh sb="160" eb="161">
      <t xml:space="preserve">オコナイ </t>
    </rPh>
    <rPh sb="171" eb="173">
      <t xml:space="preserve">シュトク </t>
    </rPh>
    <rPh sb="174" eb="178">
      <t xml:space="preserve">イコウチョウサト </t>
    </rPh>
    <rPh sb="179" eb="181">
      <t xml:space="preserve">キボウスルバアイノ </t>
    </rPh>
    <rPh sb="186" eb="188">
      <t xml:space="preserve">ショクシュヤ </t>
    </rPh>
    <rPh sb="189" eb="191">
      <t xml:space="preserve">ギョウムナドヲ </t>
    </rPh>
    <rPh sb="194" eb="195">
      <t xml:space="preserve">キキトリ </t>
    </rPh>
    <rPh sb="199" eb="200">
      <t xml:space="preserve">オコナッテイル </t>
    </rPh>
    <rPh sb="208" eb="209">
      <t xml:space="preserve">ガツニハ </t>
    </rPh>
    <rPh sb="213" eb="217">
      <t xml:space="preserve">メンダンケッカヲ </t>
    </rPh>
    <rPh sb="218" eb="219">
      <t xml:space="preserve">フマエ </t>
    </rPh>
    <rPh sb="222" eb="226">
      <t xml:space="preserve">ウケイレキギョウヲ </t>
    </rPh>
    <rPh sb="227" eb="229">
      <t xml:space="preserve">ガクセイニテイジヤ </t>
    </rPh>
    <rPh sb="233" eb="236">
      <t xml:space="preserve">グタイテキナ </t>
    </rPh>
    <rPh sb="237" eb="239">
      <t xml:space="preserve">キギョウヲテイアンシテ </t>
    </rPh>
    <rPh sb="255" eb="257">
      <t xml:space="preserve">ジンリョクシテイル </t>
    </rPh>
    <rPh sb="266" eb="268">
      <t xml:space="preserve">ガクセイガ </t>
    </rPh>
    <rPh sb="269" eb="271">
      <t xml:space="preserve">キボウスル </t>
    </rPh>
    <rPh sb="273" eb="275">
      <t xml:space="preserve">キギョウガ </t>
    </rPh>
    <rPh sb="276" eb="277">
      <t xml:space="preserve">キマレバ </t>
    </rPh>
    <rPh sb="281" eb="283">
      <t xml:space="preserve">ヒツヨウナ </t>
    </rPh>
    <rPh sb="284" eb="286">
      <t xml:space="preserve">シリョウノ </t>
    </rPh>
    <rPh sb="287" eb="291">
      <t xml:space="preserve">シボウドウキ </t>
    </rPh>
    <rPh sb="291" eb="292">
      <t>ショ4</t>
    </rPh>
    <rPh sb="293" eb="296">
      <t xml:space="preserve">スイセンショノ </t>
    </rPh>
    <rPh sb="296" eb="297">
      <t xml:space="preserve">トウ </t>
    </rPh>
    <rPh sb="299" eb="301">
      <t xml:space="preserve">サクセイ </t>
    </rPh>
    <rPh sb="302" eb="306">
      <t xml:space="preserve">テンサクギョウムヲ </t>
    </rPh>
    <rPh sb="307" eb="308">
      <t xml:space="preserve">ニナイ </t>
    </rPh>
    <rPh sb="310" eb="312">
      <t xml:space="preserve">ガクセイヘノ </t>
    </rPh>
    <rPh sb="334" eb="336">
      <t xml:space="preserve">トリクミｇｓ </t>
    </rPh>
    <rPh sb="337" eb="340">
      <t xml:space="preserve">ソシキテキニ </t>
    </rPh>
    <rPh sb="341" eb="343">
      <t xml:space="preserve">エンカツニ </t>
    </rPh>
    <rPh sb="344" eb="346">
      <t xml:space="preserve">ジッシデキテイル </t>
    </rPh>
    <rPh sb="351" eb="353">
      <t xml:space="preserve">ゲンセントナッテイル </t>
    </rPh>
    <rPh sb="359" eb="361">
      <t xml:space="preserve">タイセイ </t>
    </rPh>
    <phoneticPr fontId="4"/>
  </si>
  <si>
    <t xml:space="preserve">◆授業時間内
・Google ClassroomやMoodleを導入し、授業や教材提示を行う科目があり、対面のみでなく、遠隔地やインターネットを通じて、教材取得や課題提出ができるようにしている。
◆授業時間外
・単位取得が難しい等、学習理解が進んでいない学生に対しては、担当教員が学力補充指導を行える体制を整備している。
・学生には昼休みや放課後等に教科内容等を教職員に質問するよう奨励しているので、教員は放課後等にオフィスアワーを設定している。
・本校では、Google社のG-suiteを全学生が使用できる状態になっており、学生への連絡や問合せについては、Gmailを用いて24時間行える体制になっている。また、クラス単位・学年単位のメーリングリストも利用できる。
・教員は、本校に在籍する学生や教員を指定したメーリングリストを容易に作成できる権限を持っており、卒業研究室単位やクラブ単位といったきめ細かなメーリングリストを構築して、双方向の連絡手段として活用している。
</t>
    <phoneticPr fontId="4"/>
  </si>
  <si>
    <t>様式４</t>
    <rPh sb="0" eb="2">
      <t>ヨウシキ</t>
    </rPh>
    <phoneticPr fontId="4"/>
  </si>
  <si>
    <t>大阪府立大学工業高等専門学校</t>
    <rPh sb="0" eb="12">
      <t>オオサカフリツダイガクコウギョウコウトウセンモン</t>
    </rPh>
    <rPh sb="12" eb="14">
      <t>ガッコウ</t>
    </rPh>
    <phoneticPr fontId="4"/>
  </si>
  <si>
    <t xml:space="preserve">（５）実データ・実課題（学術データ等を含む）を用いた演習など、社会での実例を題材として、「データを読む、説明する、扱う」といった数理・データサイエンス・ＡＩの基本的な活用法に関するもの
※モデルカリキュラム基礎２－１、基礎２－２、基礎２－３が該当
</t>
    <phoneticPr fontId="4"/>
  </si>
  <si>
    <t>本プログラムを学修することにより、人間の社会活動において多様な形でデータが利活用されていることを理解し、それらの利活用が産業界の生産現場等でも求められており、その現場の生産性を高めるDX（デジタル・トランスフォーメーション）化の推進に協働できるDX人材に必要な情報スキルやコミュニケーションスキルおよびICT能力に対するリテラシーレベルの素養を身につけることができる。</t>
    <phoneticPr fontId="4"/>
  </si>
  <si>
    <t xml:space="preserve">数理・データサイエンス・ＡＩを「学ぶ楽しさ」「学ぶことの意義」を理解させることについては、初年次教育に相当する総合工学システム概論、総合工学実験実習Ⅰ、情報リテラシーを通して、現状行っている。
また、３年次には、企業経営者から、現状の社会変革や技術進化の現状を直接訴えていただき、それを基に４年次の夏季休暇にインターンシップを実施することで体験的にも理解を深める仕組みを構築している。
</t>
    <phoneticPr fontId="4"/>
  </si>
  <si>
    <t xml:space="preserve">履修科目が多いため本プログラムに強く関与する、現代社会、情報、情報処理Ⅰ・Ⅱの「Q4 授業の説明はわかりやすく、進み具合は適切でしたか」、「Q8 総合的にみてこの授業は良い授業でしたか」のアンケート結果（5点満点で評価。その最高点と最低点の範囲）を示す。
・２年　４クラス　現代社会　Q4：4.54〜3.26、Q8：4.62〜3.56 ＞概ねよく理解されている。
・１年　４クラス　情報：Q4：3.26〜2.38、Q8：3.73〜3.14　＞概ね理解されている。
・２年　４クラス　情報処理Ⅰ：Q4：4.66〜4.49、Q8：4.71〜4.49　＞よく理解されている。
・３年　５コース　情報処理Ⅱ：Q4：4.74〜2.55、Q8：4.89〜2.50　＞コース別に情報処理言語等が異なるため、ばらつきが大きいが、概ね理解されていると考えている。
</t>
    <phoneticPr fontId="4"/>
  </si>
  <si>
    <t>令和２年度第３回府大高専運営審議会資料（令和３年３月１８日）の資料３−２「企業ヒアリング結果・高専に求める要望や意見」より２点を次に抜粋する。
・製造現場でも、DXを進めていこうとしている。（略）外注しようとしてもコストが非常に高い。それだけ、システムエンジニアやデータ解析技術を持つエンジニアは、これから益々必要になってくる。ニーズはかなりある。
・2年ほど前からのIoT化、コロナの影響や5Gもあって、半導体事業の需要が高まっており、ITに関する技術は必要である。
このような意見があり、本プログラムでは、インターンシップを通じた企業経営者の声を通してDX化を推進できるリテラシーレベルの素養の育成に反映している。</t>
    <phoneticPr fontId="4"/>
  </si>
  <si>
    <t>技術者あるいは科学者として働くことを前提として、総合的に工学システムを概観できる素養を身につけることを基本とする。また、Society5.0の実現を目指す企業では、ものづくり技術のみでなく、社会経済構造の変容や、市場の仕組みの変化に対応することが求められるので、総合工学システム概論、現代社会の講義科目を通じて、IoT/AI/データサイエンスをベースにしたDX化の必要性を理解させる。
これら科目群（下表３科目）の授業を通して、IoT／AI／データサイエンス技術が、社会を変革する基盤技術であり、次世代技術者として必要不可欠の知識・技術であることを、体感的に理解させることを目指す。
これにより、主として数理・データサイエンス・AIを活用することの「楽しさ」や「学ぶことへの意義」を重点的に教育する。</t>
    <phoneticPr fontId="4"/>
  </si>
  <si>
    <t>データ戦略への意識付け、データ活用を主眼として、数理的に社会システムを概観できる素養を身に付けさせる。総合工学システム概論の電子情報系分野の講義と現代社会において、人口動態の変容やその影響の仕組みや変化に対応する方策を、DX化することで、課題解決へと導く素養・能力を取得させる。インターンシップの事前教育で、企業経営者から企業活動の実情を拝聴し、技術を活用した経営を学ぶことで、Society5.0やデータ駆動型社会を実現できる技術的能力と人間的素養を涵養する。さらに、インターンシップを通じて、データ戦略への意識付けおよびデータ活用を体感的に経験させる。
科目群（下表3科目）を通して、社会情勢とそれらに関わるデータが、日常生活や社会課題を解決する有用なツールになることを体感的に理解させ、主として「人間中心の適切な判断ができ、自らの意識でAI等の恩恵を受け、これらを利活用できるツール活用力」を重点的に教育する。</t>
    <phoneticPr fontId="4"/>
  </si>
  <si>
    <t>データが利活用される現場において、個人情報の扱いなどが、倫理的、法的、社会的課題を伴うことを考慮できる素養を技術倫理、法と経済および現代社会という講義科目で学び、さらに、情報セキュリティや情報漏洩等のデータを守ることができる素養を、環境科学概論Ⅱ、情報、企業経営という講義科目で育成する。
このように、これら科目群（下表6科目）の授業を通して、データ駆動型社会のリスク、およびデータ・AIを活用する際に発生する問題点を、主体的に考えることができるリスク予見能力の涵養を育成する。
これにより、主として「数理・データサイエンス・AIを活用したデータ駆動型社会が内包するリスクを自主的に予見できる能力の育成」を重点的、かつ自主的に学ばせる。</t>
    <phoneticPr fontId="4"/>
  </si>
  <si>
    <t>データを利活用するために不可欠な数理的思考能力を、演習を伴う数学系科目（微積分a・b、ベクトル・行列、解析a・b、線形代数・微分方程式、応用数学Ⅰ・Ⅱ）で学ばせる。また、データを正しく取り扱う技能を取得させるため、プログラミング演習を伴う情報、情報処理Ⅰ の講義科目で学ばせる。さらに、総合工学実験実習Ⅱでは、自らの科学実験により得られる実データを使って、そのデータ処理とグラフ等による可視化を、体験的学習形式として実践させる。
このように、これら科目群（下表11科目）の講義および実験実習科目を通して、データ駆動型社会に不可欠なプログラミング的思考およびプログラミングスキルの獲得と習熟を目指す。
これにより、主として「数理・データサイエンス・AIを日常の生活、仕事等の場所で使いこなすことができる基礎的情報処理能力の素養の獲得」を重点的に教育する。</t>
    <phoneticPr fontId="4"/>
  </si>
  <si>
    <t>令和２年度科研費基盤研究（C)「カレッジ級数学におけるAI・データサイエンスリテラシー習得のための教材開発」（研究代表者：数学科教員）が採択され、３年間の計画で、「数学の応用例として、ディープラーニング理論の基本事項を大学や高等専門学校の数学カリキュラムの中に効果的に取り入れた新しい数学カリキュラムおよび教材を作成する」研究を行うことになっている。
また、数理・データサイエンス・ＡＩについては、計画的に知識情報工学分野から新任教員を採用する努力を継続している。また、常勤教員の採用に頼るだけでは限界があるため、非常勤講師、企業経営者等の外部講師を講義等に協力頂ける枠組みの構築も検討している。</t>
    <phoneticPr fontId="4"/>
  </si>
  <si>
    <t>本校の申請プログラムは、１〜５年生の科目が含まれるためプログラムの修了は、卒業生のみになる。そのため、履修率を向上するには、履修率を下げている科目の改善を行う必要がある。ひとつは、４年次のインターンシップであり、履修選択が自由な科目である（２０２０年度の履修率は70%程度）。もうひとつは、５年次の技術倫理であり、卒業必要単位数取得済み学生が未履修とする傾向がある（２０２０年度の未履修率は30%程度）。
向上計画1）インターンシップは、その他補足資料にあるようにインターンシップの意義を訴え、履修率の向上を継続的に推進する。
向上計画2）技術倫理は、SDGｓ取組とリンクさせ、卒業要件とすることを議論している。これらの改善計画に基づき次年度以降の履修率は以下を目標とする。
令和３年度６５０名（７９％）
令和４年度７０５名（８６％）
令和５年度７５４名（９２％）
令和６年度７９５名（９７％）
令和７年度８２０名（１００％）</t>
    <rPh sb="15" eb="17">
      <t xml:space="preserve">ネンセイノ </t>
    </rPh>
    <rPh sb="18" eb="20">
      <t xml:space="preserve">カモクガ </t>
    </rPh>
    <rPh sb="21" eb="22">
      <t xml:space="preserve">フクマレルタメ </t>
    </rPh>
    <rPh sb="33" eb="35">
      <t xml:space="preserve">シュウリョウ </t>
    </rPh>
    <rPh sb="37" eb="39">
      <t xml:space="preserve">ソツギョウ </t>
    </rPh>
    <rPh sb="39" eb="40">
      <t xml:space="preserve">ネンセイ </t>
    </rPh>
    <rPh sb="51" eb="54">
      <t xml:space="preserve">リシュウリツノ </t>
    </rPh>
    <rPh sb="55" eb="57">
      <t xml:space="preserve">コウジョウヲ </t>
    </rPh>
    <rPh sb="62" eb="65">
      <t xml:space="preserve">リシュウリツヲ </t>
    </rPh>
    <rPh sb="71" eb="73">
      <t xml:space="preserve">カモクニ </t>
    </rPh>
    <rPh sb="74" eb="76">
      <t xml:space="preserve">カイゼンニ </t>
    </rPh>
    <rPh sb="77" eb="78">
      <t xml:space="preserve">オコナウ </t>
    </rPh>
    <rPh sb="91" eb="93">
      <t xml:space="preserve">ネンジノ </t>
    </rPh>
    <rPh sb="106" eb="108">
      <t xml:space="preserve">リシュウノ </t>
    </rPh>
    <rPh sb="108" eb="110">
      <t xml:space="preserve">センタクガ </t>
    </rPh>
    <rPh sb="111" eb="113">
      <t xml:space="preserve">ジユウ </t>
    </rPh>
    <rPh sb="114" eb="116">
      <t xml:space="preserve">カモクデアル </t>
    </rPh>
    <rPh sb="124" eb="126">
      <t xml:space="preserve">ネンドノ </t>
    </rPh>
    <rPh sb="127" eb="130">
      <t xml:space="preserve">リシュウリツハ </t>
    </rPh>
    <rPh sb="134" eb="136">
      <t xml:space="preserve">テイド </t>
    </rPh>
    <rPh sb="146" eb="148">
      <t xml:space="preserve">ネンジニ </t>
    </rPh>
    <rPh sb="157" eb="159">
      <t xml:space="preserve">ソツギョウ </t>
    </rPh>
    <rPh sb="159" eb="161">
      <t xml:space="preserve">ヒツヨウナ </t>
    </rPh>
    <rPh sb="161" eb="163">
      <t xml:space="preserve">タンイヲ </t>
    </rPh>
    <rPh sb="163" eb="164">
      <t xml:space="preserve">スウ </t>
    </rPh>
    <rPh sb="164" eb="166">
      <t xml:space="preserve">シュトクシテイルガクセイガ </t>
    </rPh>
    <rPh sb="166" eb="167">
      <t xml:space="preserve">ズミ </t>
    </rPh>
    <rPh sb="177" eb="179">
      <t xml:space="preserve">ケイコウガ </t>
    </rPh>
    <rPh sb="185" eb="187">
      <t xml:space="preserve">イカニ </t>
    </rPh>
    <rPh sb="190" eb="191">
      <t xml:space="preserve">ミ </t>
    </rPh>
    <rPh sb="192" eb="194">
      <t xml:space="preserve">カモクノ </t>
    </rPh>
    <rPh sb="196" eb="197">
      <t xml:space="preserve">カダイヲ </t>
    </rPh>
    <rPh sb="203" eb="207">
      <t xml:space="preserve">コウジョウケイカク </t>
    </rPh>
    <rPh sb="218" eb="219">
      <t xml:space="preserve">ミタシタ </t>
    </rPh>
    <rPh sb="222" eb="226">
      <t xml:space="preserve">サイシュウガクネンノ </t>
    </rPh>
    <rPh sb="232" eb="233">
      <t xml:space="preserve">カンガエ </t>
    </rPh>
    <rPh sb="238" eb="241">
      <t xml:space="preserve">ホンシンセイニヨリ </t>
    </rPh>
    <rPh sb="246" eb="247">
      <t xml:space="preserve">エラレルコトデ </t>
    </rPh>
    <rPh sb="256" eb="257">
      <t xml:space="preserve">タンイシュトク </t>
    </rPh>
    <rPh sb="257" eb="258">
      <t xml:space="preserve">イヨクニ </t>
    </rPh>
    <rPh sb="259" eb="260">
      <t xml:space="preserve">ツナガリ </t>
    </rPh>
    <rPh sb="264" eb="268">
      <t xml:space="preserve">コウジョウケイカク </t>
    </rPh>
    <rPh sb="280" eb="282">
      <t xml:space="preserve">トリクミノ </t>
    </rPh>
    <rPh sb="289" eb="291">
      <t xml:space="preserve">ソツギョウ </t>
    </rPh>
    <rPh sb="291" eb="293">
      <t xml:space="preserve">ヨウケンニ </t>
    </rPh>
    <rPh sb="299" eb="301">
      <t xml:space="preserve">ギロンシテイル </t>
    </rPh>
    <rPh sb="311" eb="314">
      <t xml:space="preserve">リシュウリツハ </t>
    </rPh>
    <rPh sb="315" eb="317">
      <t xml:space="preserve">イカノヨウニ </t>
    </rPh>
    <rPh sb="321" eb="323">
      <t xml:space="preserve">イコウ </t>
    </rPh>
    <rPh sb="326" eb="327">
      <t xml:space="preserve">カンガエテイル </t>
    </rPh>
    <rPh sb="331" eb="333">
      <t xml:space="preserve">モクヒョウ </t>
    </rPh>
    <phoneticPr fontId="4"/>
  </si>
  <si>
    <t>データが実活用されている現場を俯瞰し応用への目利き力を養成することを主眼として、人文・社会システムを構成する様々な適用分野の現状を把握させる。現代社会、環境科学概論Ⅰ、物質科学においては、地球環境問題と生命科学をベースにして、個々の適用分野における知見を組み合わせることで、新たな価値を生み出す能力を身に付けさせる。インターンシップを通して、企業、技術と社会問題との関わりを職業体験を経ることで、体感的に経験させる。
科目群（下表5科目）を通して社会全体が関わる地球規模での環境問題とDNAレベルでの生命についての利活用と知見との組合せが、新たな価値を生み出すことを体感的に理解させる。
これにより、「多様化する社会課題を、数理・データサイエンス・AIを活用することで、流動的に解決できる能力を持つ学生を育成し、自他を含めて、生涯学習への動機づけ、学びの相乗効果を生み出す持続発展的学習力」を重点的に教育する。</t>
    <phoneticPr fontId="4"/>
  </si>
  <si>
    <t>校長　　東　健司
教務担当副校長　難波　邦彦
学生担当副校長兼地域連携テクノセンター長兼女性ライフ・キャリア支援センター長　中田　裕一
情報基盤センター長　窪田　哲也
生産技術センター長　石川　寿敏
一般科目系主任　稗田　吉成
機械システムコース主任兼機械工学専攻主任　杉浦　公彦
メカトロニクスコース主任兼機械工学専攻主任　藪　厚生
電子情報コース主任兼電気電子工学専攻主任　前田　篤志
環境物質化学コース主任兼応用化学専攻主任　東田　卓
都市環境コース主任兼土木工学専攻主任　北村　幸定
高専事務局長兼高専事務局学務課長　　古城　厚穂
高専事務局総務課長　河﨑　好希
その他校長が必要と認める者</t>
    <rPh sb="4" eb="5">
      <t>ヒガシ</t>
    </rPh>
    <rPh sb="6" eb="8">
      <t>ケンジ</t>
    </rPh>
    <rPh sb="17" eb="19">
      <t>ナンバ</t>
    </rPh>
    <rPh sb="20" eb="22">
      <t>クニヒコ</t>
    </rPh>
    <rPh sb="30" eb="31">
      <t>ケン</t>
    </rPh>
    <rPh sb="31" eb="35">
      <t>チイキレンケイ</t>
    </rPh>
    <rPh sb="42" eb="43">
      <t>チョウ</t>
    </rPh>
    <rPh sb="43" eb="44">
      <t>ケン</t>
    </rPh>
    <rPh sb="44" eb="46">
      <t>ジョセイ</t>
    </rPh>
    <rPh sb="54" eb="56">
      <t>シエン</t>
    </rPh>
    <rPh sb="60" eb="61">
      <t>チョウ</t>
    </rPh>
    <rPh sb="62" eb="64">
      <t>ナカタ</t>
    </rPh>
    <rPh sb="65" eb="67">
      <t>ユウイチ</t>
    </rPh>
    <rPh sb="68" eb="70">
      <t>ジョウホウ</t>
    </rPh>
    <rPh sb="70" eb="72">
      <t>キバン</t>
    </rPh>
    <rPh sb="76" eb="77">
      <t>チョウ</t>
    </rPh>
    <rPh sb="78" eb="80">
      <t>クボタ</t>
    </rPh>
    <rPh sb="81" eb="82">
      <t>テツ</t>
    </rPh>
    <rPh sb="82" eb="83">
      <t>ヤ</t>
    </rPh>
    <rPh sb="84" eb="86">
      <t>セイサン</t>
    </rPh>
    <rPh sb="86" eb="88">
      <t>ギジュツ</t>
    </rPh>
    <rPh sb="92" eb="93">
      <t>チョウ</t>
    </rPh>
    <rPh sb="94" eb="96">
      <t>イシカワ</t>
    </rPh>
    <rPh sb="97" eb="99">
      <t>ヒサトシ</t>
    </rPh>
    <rPh sb="100" eb="104">
      <t>イッパンカモク</t>
    </rPh>
    <rPh sb="104" eb="105">
      <t>ケイ</t>
    </rPh>
    <rPh sb="105" eb="107">
      <t>シュニン</t>
    </rPh>
    <rPh sb="108" eb="110">
      <t>ヒエダ</t>
    </rPh>
    <rPh sb="111" eb="112">
      <t>ヨシ</t>
    </rPh>
    <rPh sb="112" eb="113">
      <t>ナリ</t>
    </rPh>
    <rPh sb="114" eb="116">
      <t>キカイ</t>
    </rPh>
    <rPh sb="123" eb="125">
      <t>シュニン</t>
    </rPh>
    <rPh sb="125" eb="126">
      <t>ケン</t>
    </rPh>
    <rPh sb="126" eb="128">
      <t>キカイ</t>
    </rPh>
    <rPh sb="128" eb="130">
      <t>コウガク</t>
    </rPh>
    <rPh sb="130" eb="132">
      <t>センコウ</t>
    </rPh>
    <rPh sb="132" eb="134">
      <t>シュニン</t>
    </rPh>
    <rPh sb="135" eb="137">
      <t>スギウラ</t>
    </rPh>
    <rPh sb="138" eb="140">
      <t>キミヒコ</t>
    </rPh>
    <rPh sb="151" eb="153">
      <t>シュニン</t>
    </rPh>
    <rPh sb="153" eb="154">
      <t>ケン</t>
    </rPh>
    <rPh sb="154" eb="156">
      <t>キカイ</t>
    </rPh>
    <rPh sb="156" eb="158">
      <t>コウガク</t>
    </rPh>
    <rPh sb="158" eb="160">
      <t>センコウ</t>
    </rPh>
    <rPh sb="160" eb="162">
      <t>シュニン</t>
    </rPh>
    <rPh sb="163" eb="164">
      <t>ヤブ</t>
    </rPh>
    <rPh sb="165" eb="167">
      <t>コウセイ</t>
    </rPh>
    <rPh sb="168" eb="172">
      <t>デンシジョウホウ</t>
    </rPh>
    <rPh sb="175" eb="177">
      <t>シュニン</t>
    </rPh>
    <rPh sb="177" eb="178">
      <t>ケン</t>
    </rPh>
    <rPh sb="178" eb="182">
      <t>デンキデンシ</t>
    </rPh>
    <rPh sb="182" eb="184">
      <t>コウガク</t>
    </rPh>
    <rPh sb="184" eb="186">
      <t>センコウ</t>
    </rPh>
    <rPh sb="186" eb="188">
      <t>シュニン</t>
    </rPh>
    <rPh sb="189" eb="191">
      <t>マエダ</t>
    </rPh>
    <rPh sb="192" eb="193">
      <t>アツシ</t>
    </rPh>
    <rPh sb="193" eb="194">
      <t>シ</t>
    </rPh>
    <rPh sb="195" eb="197">
      <t>カンキョウ</t>
    </rPh>
    <rPh sb="197" eb="199">
      <t>ブッシツ</t>
    </rPh>
    <rPh sb="199" eb="201">
      <t>カガク</t>
    </rPh>
    <rPh sb="204" eb="206">
      <t>シュニン</t>
    </rPh>
    <rPh sb="206" eb="207">
      <t>ケン</t>
    </rPh>
    <rPh sb="207" eb="209">
      <t>オウヨウ</t>
    </rPh>
    <rPh sb="209" eb="211">
      <t>カガク</t>
    </rPh>
    <rPh sb="211" eb="213">
      <t>センコウ</t>
    </rPh>
    <rPh sb="213" eb="215">
      <t>シュニン</t>
    </rPh>
    <rPh sb="216" eb="218">
      <t>ヒガシダ</t>
    </rPh>
    <rPh sb="219" eb="220">
      <t>スグル</t>
    </rPh>
    <rPh sb="221" eb="223">
      <t>トシ</t>
    </rPh>
    <rPh sb="223" eb="225">
      <t>カンキョウ</t>
    </rPh>
    <rPh sb="228" eb="230">
      <t>シュニン</t>
    </rPh>
    <rPh sb="230" eb="231">
      <t>ケン</t>
    </rPh>
    <rPh sb="231" eb="233">
      <t>ドボク</t>
    </rPh>
    <rPh sb="233" eb="235">
      <t>コウガク</t>
    </rPh>
    <rPh sb="235" eb="237">
      <t>センコウ</t>
    </rPh>
    <rPh sb="237" eb="239">
      <t>シュニン</t>
    </rPh>
    <rPh sb="240" eb="242">
      <t>キタムラ</t>
    </rPh>
    <rPh sb="243" eb="245">
      <t>ユキサダ</t>
    </rPh>
    <rPh sb="246" eb="248">
      <t>コウセン</t>
    </rPh>
    <rPh sb="248" eb="251">
      <t>ジムキョク</t>
    </rPh>
    <rPh sb="251" eb="252">
      <t>チョウ</t>
    </rPh>
    <rPh sb="252" eb="253">
      <t>ケン</t>
    </rPh>
    <rPh sb="253" eb="255">
      <t>コウセン</t>
    </rPh>
    <rPh sb="255" eb="258">
      <t>ジムキョク</t>
    </rPh>
    <rPh sb="258" eb="261">
      <t>ガクムカ</t>
    </rPh>
    <rPh sb="261" eb="262">
      <t>ナガ</t>
    </rPh>
    <rPh sb="264" eb="266">
      <t>コジョウ</t>
    </rPh>
    <rPh sb="267" eb="268">
      <t>アツ</t>
    </rPh>
    <rPh sb="268" eb="269">
      <t>ホ</t>
    </rPh>
    <rPh sb="280" eb="282">
      <t>カワサキ</t>
    </rPh>
    <rPh sb="283" eb="284">
      <t>ヨシ</t>
    </rPh>
    <rPh sb="284" eb="285">
      <t>キ</t>
    </rPh>
    <rPh sb="288" eb="289">
      <t>ホカ</t>
    </rPh>
    <rPh sb="289" eb="291">
      <t>コウチョウ</t>
    </rPh>
    <rPh sb="292" eb="294">
      <t>ヒツヨウ</t>
    </rPh>
    <rPh sb="295" eb="296">
      <t>ミト</t>
    </rPh>
    <rPh sb="298" eb="299">
      <t>モノ</t>
    </rPh>
    <phoneticPr fontId="4"/>
  </si>
  <si>
    <t xml:space="preserve">本校の申請プログラムは本校５年間のカリキュラムを普通に受講すれば履修されるように設計されているが、本校の申請プログラムを全学生が履修し、かつ単位取得できるように注力している点は、４年：インターンシップと５年：技術倫理である。
◆インターンシップ
４年定員の１６０名が全員履修希望をした場合でも受入企業等が確保できるよう、学務課およびキャリア教育支援室が２００名分の受入機関の確保を目標とし組織的に尽力している。さらに、希望学生が受入企業等に平易に手続きできるよう４年担任団が連携して、学生・学務課・受け入れ企業との調整業務等にあたっている。
◆技術倫理
現在検討している新カリキュラムでSDGｓ科目を積極的に学生に単位取得を促すことを議論している。このSDGｓ科目の取得を卒業要件の一部とすることを目標に検討しており、５年：技術倫理もSDGｓ科目とし、その履修率の向上に直接的に寄与すると考えている。
</t>
    <phoneticPr fontId="4"/>
  </si>
  <si>
    <t>大阪府立大学工業高等専門学校</t>
    <rPh sb="0" eb="14">
      <t>オオサカフリツダイガクコウギョウコウトウセンモンガッコウ</t>
    </rPh>
    <phoneticPr fontId="4"/>
  </si>
  <si>
    <t xml:space="preserve">⑤でも述べたが、本校の申請プログラムを学生全員に履修させるためにはインターンシップの実施体制が非常に重要である。コロナ感染拡大でインターンシップ実施が困難であった2020年度もインターンシップの実施については、キャリア教育支援室が精力的に実施に向けた取り組み行った。
その具体的な周知方法と取組は、Google　ClassroomというICT クラウド環境を用いて４年生学生が受入企業情報を閲覧したり、事前教育等に関する動画情報などを準備して、学生に周知したことである。これによりコロナ禍であってもインターンシップを実施できた。また、この取組の成果は、事前教育のためのデジタルコンテンツと学生への周知情報も蓄積し、２０２１年度の実施にも再活用可能なデジタルコンテンツ資産となっている。			
			</t>
    <rPh sb="3" eb="4">
      <t xml:space="preserve">ノベタガ </t>
    </rPh>
    <rPh sb="8" eb="10">
      <t xml:space="preserve">ホンコウノ </t>
    </rPh>
    <rPh sb="11" eb="13">
      <t xml:space="preserve">シンセイプログラムヲ </t>
    </rPh>
    <rPh sb="19" eb="23">
      <t xml:space="preserve">ガクセイゼンインニ </t>
    </rPh>
    <rPh sb="24" eb="26">
      <t xml:space="preserve">リシュウサセルタメニハ </t>
    </rPh>
    <rPh sb="42" eb="44">
      <t xml:space="preserve">ジッシ </t>
    </rPh>
    <rPh sb="44" eb="46">
      <t xml:space="preserve">タイセイガ </t>
    </rPh>
    <rPh sb="47" eb="49">
      <t xml:space="preserve">ヒジョウニジュウヨウデアル </t>
    </rPh>
    <rPh sb="75" eb="77">
      <t xml:space="preserve">コンナンデアッタ </t>
    </rPh>
    <rPh sb="85" eb="87">
      <t xml:space="preserve">ネンドモ </t>
    </rPh>
    <rPh sb="97" eb="99">
      <t xml:space="preserve">ジッシニツイテハ </t>
    </rPh>
    <rPh sb="109" eb="111">
      <t xml:space="preserve">キョウイク </t>
    </rPh>
    <rPh sb="111" eb="114">
      <t xml:space="preserve">シエンシツガ </t>
    </rPh>
    <rPh sb="115" eb="118">
      <t xml:space="preserve">セイリョクテキニ </t>
    </rPh>
    <rPh sb="119" eb="121">
      <t xml:space="preserve">ジッシニムケタ </t>
    </rPh>
    <rPh sb="125" eb="126">
      <t xml:space="preserve">トリクミオコナッタ </t>
    </rPh>
    <rPh sb="133" eb="191">
      <t xml:space="preserve">ウケイレキギョウ </t>
    </rPh>
    <rPh sb="192" eb="194">
      <t xml:space="preserve">ジョウホウヲ </t>
    </rPh>
    <rPh sb="195" eb="197">
      <t xml:space="preserve">エツランシタリ </t>
    </rPh>
    <rPh sb="201" eb="206">
      <t xml:space="preserve">ジゼンキョウイクトウニカンスル </t>
    </rPh>
    <rPh sb="210" eb="212">
      <t xml:space="preserve">ドウガ </t>
    </rPh>
    <rPh sb="212" eb="214">
      <t xml:space="preserve">ジョウホウナドヲ </t>
    </rPh>
    <rPh sb="217" eb="219">
      <t xml:space="preserve">ジュンビシテ </t>
    </rPh>
    <rPh sb="222" eb="224">
      <t xml:space="preserve">ガクセイニシュウシチタ </t>
    </rPh>
    <rPh sb="225" eb="227">
      <t xml:space="preserve">シュウチシタテンデアル </t>
    </rPh>
    <rPh sb="243" eb="244">
      <t xml:space="preserve">センカ </t>
    </rPh>
    <rPh sb="258" eb="260">
      <t xml:space="preserve">ジッシスウガ </t>
    </rPh>
    <rPh sb="272" eb="274">
      <t xml:space="preserve">セイカハ </t>
    </rPh>
    <rPh sb="280" eb="282">
      <t xml:space="preserve">ネンドモ </t>
    </rPh>
    <rPh sb="283" eb="285">
      <t xml:space="preserve">ジッシニモ </t>
    </rPh>
    <rPh sb="287" eb="291">
      <t xml:space="preserve">リヨウカノウナ </t>
    </rPh>
    <rPh sb="292" eb="296">
      <t xml:space="preserve">ジゼンキョウイク </t>
    </rPh>
    <rPh sb="310" eb="312">
      <t xml:space="preserve">ガクセイヘノ </t>
    </rPh>
    <rPh sb="314" eb="316">
      <t xml:space="preserve">シュウチ </t>
    </rPh>
    <rPh sb="316" eb="318">
      <t xml:space="preserve">ジョウホウモ </t>
    </rPh>
    <rPh sb="318" eb="319">
      <t xml:space="preserve">サイ </t>
    </rPh>
    <rPh sb="319" eb="321">
      <t>カツヨウ</t>
    </rPh>
    <rPh sb="333" eb="335">
      <t xml:space="preserve">シサント </t>
    </rPh>
    <phoneticPr fontId="4"/>
  </si>
  <si>
    <t>本プログラムを完了した学生は、2020年３月に初めて卒業している。そのため、学修成果としては、以下のような、卒業研究が本プログラムの学修成果と考えている。
2020年度のICT技術やAI技術に関連する卒業研究タイトル
１）路面距離画像を用いた欠損検出のための実用的アルゴリズム
２）IoT 機器に適用可能な軽量暗号に関する研究
３）Deep Learning を用いた作業員判別
４）複合現実感を用いた力学情報の可視化 
５）モバイル端末で操作可能なドアロック開閉装置の製作
６）立体マーカを用いたロボットの自己位置推定システムの開発
７）画像認識モジュールを用いた物体の把持
８）自転車とスマートフォンを用いた振動加速度の測定と路面性状に関する分析</t>
    <rPh sb="0" eb="1">
      <t xml:space="preserve">ホンプログラムヲ </t>
    </rPh>
    <rPh sb="7" eb="9">
      <t xml:space="preserve">カンリョウシタ </t>
    </rPh>
    <rPh sb="11" eb="13">
      <t xml:space="preserve">ガクセイハ </t>
    </rPh>
    <rPh sb="19" eb="20">
      <t xml:space="preserve">ネｎ </t>
    </rPh>
    <rPh sb="21" eb="22">
      <t xml:space="preserve">ガツニ </t>
    </rPh>
    <rPh sb="23" eb="24">
      <t xml:space="preserve">ハジメテ </t>
    </rPh>
    <rPh sb="26" eb="28">
      <t xml:space="preserve">ソツギョウシテイル </t>
    </rPh>
    <rPh sb="38" eb="40">
      <t xml:space="preserve">ガクシュウ </t>
    </rPh>
    <rPh sb="40" eb="42">
      <t xml:space="preserve">ガクシュウセイカトシテハ </t>
    </rPh>
    <rPh sb="47" eb="49">
      <t xml:space="preserve">イカノヨウナ </t>
    </rPh>
    <rPh sb="54" eb="58">
      <t xml:space="preserve">ソツギョウケンキュウガ </t>
    </rPh>
    <rPh sb="59" eb="60">
      <t xml:space="preserve">ホンプログラムノ </t>
    </rPh>
    <rPh sb="66" eb="68">
      <t xml:space="preserve">ガクシュウ </t>
    </rPh>
    <rPh sb="68" eb="70">
      <t xml:space="preserve">セイカト </t>
    </rPh>
    <rPh sb="71" eb="72">
      <t xml:space="preserve">カンガエテイル </t>
    </rPh>
    <rPh sb="82" eb="84">
      <t xml:space="preserve">ネンドノ </t>
    </rPh>
    <rPh sb="88" eb="90">
      <t xml:space="preserve">ギジュツヤ </t>
    </rPh>
    <rPh sb="93" eb="95">
      <t xml:space="preserve">ギジュツニ </t>
    </rPh>
    <rPh sb="96" eb="98">
      <t xml:space="preserve">カンレンスル </t>
    </rPh>
    <rPh sb="100" eb="104">
      <t xml:space="preserve">ソツギョウケンキュウタイトル </t>
    </rPh>
    <phoneticPr fontId="4"/>
  </si>
  <si>
    <t>府大高専運営審議会からの助言や指摘に基づき、学内に２１個のワーキングチームを発足させ、現在検討を行っている新カリキュラムの導入検討が進めば、さらに効果的効率的に数理・データサイエンス・AIを活用した教育実践が行えるようになる。その新カリキュラムにおいて、当該プログラムに準じた内容を在学中に修了することが可能になる予定であり、そのときには、MDASH＋を申請したい。</t>
    <phoneticPr fontId="4"/>
  </si>
  <si>
    <t>本申請プログラムは本校の必履修科目が多く含まれているため、現状でも学生たちは自主的に単位取得が行われている。また、多くの学生が、ICT技術やAI技術の必要性を理解しており、プログラムに係る単位取得率（修了者数／履修者数）は71.0％と非常に高い。
また、新カリキュラム導入の検討に対する「大阪府立大学工業高等専門学校改革案にかかわる学生アンケート」では、「(6) ICT及びSDGｓ教育の専門共通科目を1年次より開講しますが、あなたはどう思いますか。」に対して、良いと思う回答が50%あり、DX化を支えるICT技術および現代社会の解決課題であるSDGsについて早期に学習することは好意的に受け止められていることがわかっている。</t>
    <rPh sb="0" eb="3">
      <t xml:space="preserve">ホンシンセイヨル </t>
    </rPh>
    <rPh sb="9" eb="11">
      <t xml:space="preserve">ホンコウノ </t>
    </rPh>
    <rPh sb="12" eb="17">
      <t xml:space="preserve">ヒツリシュウカモクガ </t>
    </rPh>
    <rPh sb="18" eb="19">
      <t xml:space="preserve">オオクフクマレテイルノエ </t>
    </rPh>
    <rPh sb="29" eb="31">
      <t xml:space="preserve">ゲンジョウデモ </t>
    </rPh>
    <rPh sb="33" eb="35">
      <t xml:space="preserve">ガクセイタチハ </t>
    </rPh>
    <rPh sb="38" eb="41">
      <t xml:space="preserve">ジシュテキニ </t>
    </rPh>
    <rPh sb="42" eb="46">
      <t xml:space="preserve">タンイシュトクガ </t>
    </rPh>
    <rPh sb="47" eb="48">
      <t xml:space="preserve">オコナワレテイル </t>
    </rPh>
    <rPh sb="57" eb="58">
      <t xml:space="preserve">オオクノガクセイガ </t>
    </rPh>
    <rPh sb="67" eb="69">
      <t xml:space="preserve">ギジュツヤ </t>
    </rPh>
    <rPh sb="72" eb="74">
      <t xml:space="preserve">ギジュツノ </t>
    </rPh>
    <rPh sb="75" eb="78">
      <t xml:space="preserve">ヒツヨウセイヲ </t>
    </rPh>
    <rPh sb="79" eb="81">
      <t xml:space="preserve">リカイシテオリ </t>
    </rPh>
    <rPh sb="92" eb="93">
      <t xml:space="preserve">カカワル </t>
    </rPh>
    <rPh sb="94" eb="99">
      <t xml:space="preserve">タンイシュトクリツハ </t>
    </rPh>
    <rPh sb="100" eb="103">
      <t xml:space="preserve">シュウリョウシャ </t>
    </rPh>
    <rPh sb="105" eb="109">
      <t xml:space="preserve">リシュウシャスウ </t>
    </rPh>
    <rPh sb="117" eb="119">
      <t xml:space="preserve">ヒジョウニ </t>
    </rPh>
    <rPh sb="120" eb="121">
      <t xml:space="preserve">タカイ </t>
    </rPh>
    <phoneticPr fontId="4"/>
  </si>
  <si>
    <t xml:space="preserve">本校は、工業高専であり、数理科目については、創立当時から数学・物理科目で継続的に教育している。また、データサイエンス・AI・ICTに関しては、地域連携テクノセンターへの技術相談等を通じて、産業界から要望も多かったため、平成28年度から各科目で分散して、社会情勢の変化に応じた、デジタル技術教育を現代社会科目等の一般科目とも連携して展開してきた。
そのため、履修対象も全学生として開講しており、その履修状況も様式３で示すように75％となっている。
この数字の現状は、４年次のインターンシップが選択性の科目となっていること、最終学年の技術倫理について未履修とする学生がいるためであると考えている。この点については、運営部会の下部組織の計画・評価部会によって継続的に改善活動を行っている。
</t>
    <rPh sb="265" eb="267">
      <t>ギジュツ</t>
    </rPh>
    <phoneticPr fontId="4"/>
  </si>
  <si>
    <t>本プログラムを完了した学生は、2020年３月に初めて卒業しているため、就職先等からの評価はまだ得られていない。
現時点では、履修中の学生のなかで、以下の対外的成果を修めた学生がいる。
・第20回日本情報オリンピック本選において、1年学生が銀賞受賞。
・2020年11月開催のパソコン甲子園の本選出場権獲得（3年電子情報学生と1年学生）</t>
    <rPh sb="116" eb="118">
      <t>ガクセイ</t>
    </rPh>
    <phoneticPr fontId="4"/>
  </si>
  <si>
    <r>
      <t xml:space="preserve">  収容</t>
    </r>
    <r>
      <rPr>
        <vertAlign val="superscript"/>
        <sz val="10"/>
        <color theme="1"/>
        <rFont val="ＭＳ Ｐゴシック"/>
        <family val="3"/>
        <charset val="128"/>
        <scheme val="minor"/>
      </rPr>
      <t>※</t>
    </r>
    <r>
      <rPr>
        <sz val="10"/>
        <color theme="1"/>
        <rFont val="ＭＳ Ｐゴシック"/>
        <family val="3"/>
        <charset val="128"/>
        <scheme val="minor"/>
      </rPr>
      <t xml:space="preserve">
定員</t>
    </r>
    <rPh sb="2" eb="4">
      <t>シュウヨウ</t>
    </rPh>
    <rPh sb="6" eb="8">
      <t>テイイン</t>
    </rPh>
    <phoneticPr fontId="4"/>
  </si>
  <si>
    <t>総合工学システム学科　（高等専門学校　工業）</t>
    <rPh sb="0" eb="4">
      <t>ソウゴウ</t>
    </rPh>
    <rPh sb="12" eb="18">
      <t>コウトウセンモンガッコウ</t>
    </rPh>
    <rPh sb="19" eb="21">
      <t>コウギョウ</t>
    </rPh>
    <phoneticPr fontId="4"/>
  </si>
  <si>
    <t>　1年次（学科内の内訳）</t>
    <rPh sb="2" eb="4">
      <t>ネンジ</t>
    </rPh>
    <rPh sb="5" eb="8">
      <t>ガッカナイ</t>
    </rPh>
    <rPh sb="9" eb="11">
      <t>ウチワケ</t>
    </rPh>
    <phoneticPr fontId="4"/>
  </si>
  <si>
    <t>　2年次（学科内の内訳）</t>
    <rPh sb="2" eb="4">
      <t>ネンジ</t>
    </rPh>
    <rPh sb="5" eb="8">
      <t>ガッカナイ</t>
    </rPh>
    <rPh sb="9" eb="11">
      <t>ウチワケ</t>
    </rPh>
    <phoneticPr fontId="4"/>
  </si>
  <si>
    <t>　機械システムコース 3～5年（学科内の内訳）</t>
    <rPh sb="16" eb="19">
      <t>ガッカナイ</t>
    </rPh>
    <rPh sb="20" eb="22">
      <t>ウチワケ</t>
    </rPh>
    <phoneticPr fontId="4"/>
  </si>
  <si>
    <t>　メカトロニクスコース 3～5年（学科内の内訳）</t>
    <rPh sb="17" eb="20">
      <t>ガッカナイ</t>
    </rPh>
    <rPh sb="21" eb="23">
      <t>ウチワケ</t>
    </rPh>
    <phoneticPr fontId="4"/>
  </si>
  <si>
    <t>　電子情報コース 3～5年（学科内の内訳）</t>
    <rPh sb="1" eb="5">
      <t>デンシジョウホウ</t>
    </rPh>
    <rPh sb="14" eb="17">
      <t>ガッカナイ</t>
    </rPh>
    <rPh sb="18" eb="20">
      <t>ウチワケ</t>
    </rPh>
    <phoneticPr fontId="4"/>
  </si>
  <si>
    <t>　環境物質化学コース 3～5年（学科内の内訳）</t>
    <rPh sb="1" eb="7">
      <t>カンキョウブッシツカガク</t>
    </rPh>
    <rPh sb="16" eb="19">
      <t>ガッカナイ</t>
    </rPh>
    <rPh sb="20" eb="22">
      <t>ウチワケ</t>
    </rPh>
    <phoneticPr fontId="4"/>
  </si>
  <si>
    <t>　都市環境コース 3～5年（学科内の内訳）</t>
    <rPh sb="1" eb="5">
      <t>トシカンキョウ</t>
    </rPh>
    <rPh sb="14" eb="17">
      <t>ガッカナイ</t>
    </rPh>
    <rPh sb="18" eb="20">
      <t>ウチワケ</t>
    </rPh>
    <phoneticPr fontId="4"/>
  </si>
  <si>
    <t xml:space="preserve"> 　       ※(学科内の内訳)の収容定員は実数</t>
    <rPh sb="11" eb="13">
      <t>ガッカ</t>
    </rPh>
    <rPh sb="13" eb="14">
      <t>ナイ</t>
    </rPh>
    <rPh sb="15" eb="17">
      <t>ウチワケ</t>
    </rPh>
    <rPh sb="19" eb="21">
      <t>シュウヨウ</t>
    </rPh>
    <rPh sb="21" eb="23">
      <t>テイイン</t>
    </rPh>
    <rPh sb="24" eb="26">
      <t>ジッスウ</t>
    </rPh>
    <phoneticPr fontId="4"/>
  </si>
  <si>
    <t xml:space="preserve"> </t>
    <phoneticPr fontId="4"/>
  </si>
  <si>
    <t>　</t>
    <phoneticPr fontId="4"/>
  </si>
  <si>
    <t>http://www2.ct.osakafu-u.ac.jp/edu-res-info/datascience/</t>
    <phoneticPr fontId="4"/>
  </si>
</sst>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1">
    <numFmt numFmtId="176" formatCode="#,##0_ "/>
  </numFmts>
  <fonts count="20" x14ac:knownFonts="1">
    <font>
      <sz val="11"/>
      <color theme="1"/>
      <name val="ＭＳ Ｐゴシック"/>
      <family val="2"/>
      <charset val="128"/>
      <scheme val="minor"/>
    </font>
    <font>
      <sz val="12"/>
      <color theme="1"/>
      <name val="ＭＳ Ｐゴシック"/>
      <family val="2"/>
      <charset val="128"/>
      <scheme val="minor"/>
    </font>
    <font>
      <sz val="12"/>
      <color theme="1"/>
      <name val="ＭＳ Ｐゴシック"/>
      <family val="2"/>
      <charset val="128"/>
      <scheme val="minor"/>
    </font>
    <font>
      <sz val="12"/>
      <color theme="1"/>
      <name val="ＭＳ Ｐゴシック"/>
      <family val="2"/>
      <charset val="128"/>
      <scheme val="minor"/>
    </font>
    <font>
      <sz val="6"/>
      <name val="ＭＳ Ｐゴシック"/>
      <family val="2"/>
      <charset val="128"/>
      <scheme val="minor"/>
    </font>
    <font>
      <sz val="12"/>
      <color theme="1"/>
      <name val="ＭＳ Ｐゴシック"/>
      <family val="2"/>
      <charset val="128"/>
      <scheme val="minor"/>
    </font>
    <font>
      <sz val="12"/>
      <color theme="1"/>
      <name val="ＭＳ Ｐゴシック"/>
      <family val="3"/>
      <charset val="128"/>
      <scheme val="minor"/>
    </font>
    <font>
      <sz val="9"/>
      <color theme="1"/>
      <name val="ＭＳ Ｐゴシック"/>
      <family val="2"/>
      <charset val="128"/>
      <scheme val="minor"/>
    </font>
    <font>
      <sz val="9"/>
      <color theme="1"/>
      <name val="ＭＳ Ｐゴシック"/>
      <family val="3"/>
      <charset val="128"/>
      <scheme val="minor"/>
    </font>
    <font>
      <sz val="11"/>
      <color theme="1"/>
      <name val="ＭＳ Ｐゴシック"/>
      <family val="2"/>
      <charset val="128"/>
      <scheme val="minor"/>
    </font>
    <font>
      <u/>
      <sz val="11"/>
      <color theme="10"/>
      <name val="ＭＳ Ｐゴシック"/>
      <family val="2"/>
      <charset val="128"/>
      <scheme val="minor"/>
    </font>
    <font>
      <sz val="10"/>
      <color theme="1"/>
      <name val="ＭＳ Ｐゴシック"/>
      <family val="3"/>
      <charset val="128"/>
      <scheme val="minor"/>
    </font>
    <font>
      <sz val="7"/>
      <color theme="1"/>
      <name val="ＭＳ Ｐゴシック"/>
      <family val="3"/>
      <charset val="128"/>
      <scheme val="minor"/>
    </font>
    <font>
      <sz val="12"/>
      <color rgb="FFFF0000"/>
      <name val="ＭＳ Ｐゴシック"/>
      <family val="2"/>
      <charset val="128"/>
      <scheme val="minor"/>
    </font>
    <font>
      <sz val="11"/>
      <color theme="1"/>
      <name val="ＭＳ Ｐゴシック"/>
      <family val="3"/>
      <charset val="128"/>
      <scheme val="minor"/>
    </font>
    <font>
      <vertAlign val="superscript"/>
      <sz val="10"/>
      <color theme="1"/>
      <name val="ＭＳ Ｐゴシック"/>
      <family val="3"/>
      <charset val="128"/>
      <scheme val="minor"/>
    </font>
    <font>
      <sz val="12"/>
      <name val="ＭＳ Ｐゴシック"/>
      <family val="2"/>
      <charset val="128"/>
      <scheme val="minor"/>
    </font>
    <font>
      <sz val="11"/>
      <name val="ＭＳ Ｐゴシック"/>
      <family val="3"/>
      <charset val="128"/>
      <scheme val="minor"/>
    </font>
    <font>
      <sz val="12"/>
      <name val="ＭＳ Ｐゴシック"/>
      <family val="3"/>
      <charset val="128"/>
      <scheme val="minor"/>
    </font>
    <font>
      <sz val="10"/>
      <name val="ＭＳ Ｐゴシック"/>
      <family val="3"/>
      <charset val="128"/>
      <scheme val="minor"/>
    </font>
  </fonts>
  <fills count="2">
    <fill>
      <patternFill patternType="none"/>
    </fill>
    <fill>
      <patternFill patternType="gray125"/>
    </fill>
  </fills>
  <borders count="60">
    <border>
      <left/>
      <right/>
      <top/>
      <bottom/>
      <diagonal/>
    </border>
    <border>
      <left style="thin">
        <color auto="1"/>
      </left>
      <right style="thin">
        <color auto="1"/>
      </right>
      <top style="thin">
        <color auto="1"/>
      </top>
      <bottom style="thin">
        <color auto="1"/>
      </bottom>
      <diagonal/>
    </border>
    <border>
      <left style="thin">
        <color auto="1"/>
      </left>
      <right/>
      <top style="thin">
        <color auto="1"/>
      </top>
      <bottom style="thin">
        <color auto="1"/>
      </bottom>
      <diagonal/>
    </border>
    <border>
      <left/>
      <right/>
      <top style="thin">
        <color auto="1"/>
      </top>
      <bottom style="thin">
        <color auto="1"/>
      </bottom>
      <diagonal/>
    </border>
    <border>
      <left/>
      <right style="thin">
        <color auto="1"/>
      </right>
      <top style="thin">
        <color auto="1"/>
      </top>
      <bottom style="thin">
        <color auto="1"/>
      </bottom>
      <diagonal/>
    </border>
    <border>
      <left style="thin">
        <color auto="1"/>
      </left>
      <right/>
      <top/>
      <bottom/>
      <diagonal/>
    </border>
    <border>
      <left/>
      <right/>
      <top/>
      <bottom style="thin">
        <color auto="1"/>
      </bottom>
      <diagonal/>
    </border>
    <border>
      <left style="thin">
        <color auto="1"/>
      </left>
      <right/>
      <top style="thin">
        <color auto="1"/>
      </top>
      <bottom/>
      <diagonal/>
    </border>
    <border>
      <left/>
      <right/>
      <top style="thin">
        <color auto="1"/>
      </top>
      <bottom/>
      <diagonal/>
    </border>
    <border>
      <left/>
      <right style="thin">
        <color auto="1"/>
      </right>
      <top style="thin">
        <color auto="1"/>
      </top>
      <bottom/>
      <diagonal/>
    </border>
    <border>
      <left/>
      <right style="thin">
        <color auto="1"/>
      </right>
      <top/>
      <bottom/>
      <diagonal/>
    </border>
    <border>
      <left style="thin">
        <color auto="1"/>
      </left>
      <right/>
      <top/>
      <bottom style="thin">
        <color auto="1"/>
      </bottom>
      <diagonal/>
    </border>
    <border>
      <left/>
      <right style="thin">
        <color auto="1"/>
      </right>
      <top/>
      <bottom style="thin">
        <color auto="1"/>
      </bottom>
      <diagonal/>
    </border>
    <border>
      <left style="thin">
        <color auto="1"/>
      </left>
      <right style="thin">
        <color auto="1"/>
      </right>
      <top/>
      <bottom style="thin">
        <color auto="1"/>
      </bottom>
      <diagonal/>
    </border>
    <border>
      <left style="thin">
        <color auto="1"/>
      </left>
      <right style="thin">
        <color auto="1"/>
      </right>
      <top style="thin">
        <color auto="1"/>
      </top>
      <bottom style="hair">
        <color auto="1"/>
      </bottom>
      <diagonal/>
    </border>
    <border>
      <left style="thin">
        <color auto="1"/>
      </left>
      <right/>
      <top style="thin">
        <color auto="1"/>
      </top>
      <bottom style="hair">
        <color auto="1"/>
      </bottom>
      <diagonal/>
    </border>
    <border>
      <left style="thin">
        <color auto="1"/>
      </left>
      <right style="thin">
        <color auto="1"/>
      </right>
      <top style="thin">
        <color auto="1"/>
      </top>
      <bottom/>
      <diagonal/>
    </border>
    <border>
      <left style="thin">
        <color auto="1"/>
      </left>
      <right/>
      <top style="hair">
        <color auto="1"/>
      </top>
      <bottom/>
      <diagonal/>
    </border>
    <border>
      <left style="hair">
        <color auto="1"/>
      </left>
      <right/>
      <top style="hair">
        <color auto="1"/>
      </top>
      <bottom style="hair">
        <color auto="1"/>
      </bottom>
      <diagonal/>
    </border>
    <border>
      <left/>
      <right style="thin">
        <color auto="1"/>
      </right>
      <top style="hair">
        <color auto="1"/>
      </top>
      <bottom style="hair">
        <color auto="1"/>
      </bottom>
      <diagonal/>
    </border>
    <border>
      <left style="thin">
        <color auto="1"/>
      </left>
      <right/>
      <top style="hair">
        <color auto="1"/>
      </top>
      <bottom style="hair">
        <color auto="1"/>
      </bottom>
      <diagonal/>
    </border>
    <border>
      <left/>
      <right/>
      <top style="hair">
        <color auto="1"/>
      </top>
      <bottom style="hair">
        <color auto="1"/>
      </bottom>
      <diagonal/>
    </border>
    <border>
      <left style="hair">
        <color auto="1"/>
      </left>
      <right/>
      <top style="hair">
        <color auto="1"/>
      </top>
      <bottom/>
      <diagonal/>
    </border>
    <border>
      <left/>
      <right style="thin">
        <color auto="1"/>
      </right>
      <top style="hair">
        <color auto="1"/>
      </top>
      <bottom/>
      <diagonal/>
    </border>
    <border>
      <left/>
      <right/>
      <top style="hair">
        <color auto="1"/>
      </top>
      <bottom/>
      <diagonal/>
    </border>
    <border>
      <left style="thin">
        <color auto="1"/>
      </left>
      <right style="thin">
        <color auto="1"/>
      </right>
      <top style="hair">
        <color auto="1"/>
      </top>
      <bottom style="hair">
        <color auto="1"/>
      </bottom>
      <diagonal/>
    </border>
    <border>
      <left style="thin">
        <color auto="1"/>
      </left>
      <right style="thin">
        <color auto="1"/>
      </right>
      <top style="hair">
        <color auto="1"/>
      </top>
      <bottom style="double">
        <color auto="1"/>
      </bottom>
      <diagonal/>
    </border>
    <border>
      <left style="thin">
        <color auto="1"/>
      </left>
      <right/>
      <top style="double">
        <color auto="1"/>
      </top>
      <bottom style="thin">
        <color auto="1"/>
      </bottom>
      <diagonal/>
    </border>
    <border>
      <left/>
      <right/>
      <top style="double">
        <color auto="1"/>
      </top>
      <bottom style="thin">
        <color auto="1"/>
      </bottom>
      <diagonal/>
    </border>
    <border>
      <left/>
      <right style="thin">
        <color auto="1"/>
      </right>
      <top style="double">
        <color auto="1"/>
      </top>
      <bottom style="thin">
        <color auto="1"/>
      </bottom>
      <diagonal/>
    </border>
    <border>
      <left style="thin">
        <color auto="1"/>
      </left>
      <right style="thin">
        <color auto="1"/>
      </right>
      <top style="double">
        <color auto="1"/>
      </top>
      <bottom style="thin">
        <color auto="1"/>
      </bottom>
      <diagonal/>
    </border>
    <border>
      <left style="hair">
        <color auto="1"/>
      </left>
      <right style="thin">
        <color auto="1"/>
      </right>
      <top style="hair">
        <color auto="1"/>
      </top>
      <bottom style="thin">
        <color auto="1"/>
      </bottom>
      <diagonal/>
    </border>
    <border>
      <left style="thin">
        <color auto="1"/>
      </left>
      <right style="hair">
        <color auto="1"/>
      </right>
      <top style="hair">
        <color auto="1"/>
      </top>
      <bottom style="thin">
        <color auto="1"/>
      </bottom>
      <diagonal/>
    </border>
    <border>
      <left style="hair">
        <color auto="1"/>
      </left>
      <right style="thin">
        <color auto="1"/>
      </right>
      <top/>
      <bottom/>
      <diagonal/>
    </border>
    <border>
      <left style="thin">
        <color auto="1"/>
      </left>
      <right style="hair">
        <color auto="1"/>
      </right>
      <top/>
      <bottom/>
      <diagonal/>
    </border>
    <border>
      <left style="hair">
        <color auto="1"/>
      </left>
      <right style="thin">
        <color auto="1"/>
      </right>
      <top style="hair">
        <color auto="1"/>
      </top>
      <bottom style="hair">
        <color auto="1"/>
      </bottom>
      <diagonal/>
    </border>
    <border>
      <left style="thin">
        <color auto="1"/>
      </left>
      <right style="hair">
        <color auto="1"/>
      </right>
      <top style="hair">
        <color auto="1"/>
      </top>
      <bottom style="hair">
        <color auto="1"/>
      </bottom>
      <diagonal/>
    </border>
    <border>
      <left style="hair">
        <color auto="1"/>
      </left>
      <right style="thin">
        <color auto="1"/>
      </right>
      <top style="double">
        <color auto="1"/>
      </top>
      <bottom style="thin">
        <color auto="1"/>
      </bottom>
      <diagonal/>
    </border>
    <border>
      <left style="thin">
        <color auto="1"/>
      </left>
      <right style="hair">
        <color auto="1"/>
      </right>
      <top style="double">
        <color auto="1"/>
      </top>
      <bottom style="thin">
        <color auto="1"/>
      </bottom>
      <diagonal/>
    </border>
    <border>
      <left/>
      <right style="thin">
        <color auto="1"/>
      </right>
      <top style="thin">
        <color auto="1"/>
      </top>
      <bottom style="hair">
        <color auto="1"/>
      </bottom>
      <diagonal/>
    </border>
    <border>
      <left style="thin">
        <color auto="1"/>
      </left>
      <right style="thin">
        <color auto="1"/>
      </right>
      <top/>
      <bottom/>
      <diagonal/>
    </border>
    <border>
      <left style="thin">
        <color auto="1"/>
      </left>
      <right/>
      <top/>
      <bottom style="double">
        <color auto="1"/>
      </bottom>
      <diagonal/>
    </border>
    <border>
      <left/>
      <right style="thin">
        <color auto="1"/>
      </right>
      <top/>
      <bottom style="double">
        <color auto="1"/>
      </bottom>
      <diagonal/>
    </border>
    <border>
      <left/>
      <right style="thin">
        <color auto="1"/>
      </right>
      <top/>
      <bottom style="hair">
        <color auto="1"/>
      </bottom>
      <diagonal/>
    </border>
    <border>
      <left style="hair">
        <color auto="1"/>
      </left>
      <right style="thin">
        <color auto="1"/>
      </right>
      <top style="thin">
        <color auto="1"/>
      </top>
      <bottom style="thin">
        <color indexed="64"/>
      </bottom>
      <diagonal/>
    </border>
    <border diagonalUp="1">
      <left style="thin">
        <color auto="1"/>
      </left>
      <right style="hair">
        <color auto="1"/>
      </right>
      <top style="thin">
        <color auto="1"/>
      </top>
      <bottom style="thin">
        <color indexed="64"/>
      </bottom>
      <diagonal style="thin">
        <color auto="1"/>
      </diagonal>
    </border>
    <border diagonalUp="1">
      <left/>
      <right style="thin">
        <color auto="1"/>
      </right>
      <top style="thin">
        <color auto="1"/>
      </top>
      <bottom style="thin">
        <color indexed="64"/>
      </bottom>
      <diagonal style="thin">
        <color auto="1"/>
      </diagonal>
    </border>
    <border diagonalUp="1">
      <left style="thin">
        <color auto="1"/>
      </left>
      <right/>
      <top style="thin">
        <color auto="1"/>
      </top>
      <bottom style="thin">
        <color indexed="64"/>
      </bottom>
      <diagonal style="thin">
        <color auto="1"/>
      </diagonal>
    </border>
    <border diagonalUp="1">
      <left style="hair">
        <color auto="1"/>
      </left>
      <right style="thin">
        <color auto="1"/>
      </right>
      <top style="thin">
        <color auto="1"/>
      </top>
      <bottom style="thin">
        <color indexed="64"/>
      </bottom>
      <diagonal style="thin">
        <color auto="1"/>
      </diagonal>
    </border>
    <border>
      <left style="thin">
        <color auto="1"/>
      </left>
      <right/>
      <top/>
      <bottom style="hair">
        <color auto="1"/>
      </bottom>
      <diagonal/>
    </border>
    <border>
      <left style="hair">
        <color auto="1"/>
      </left>
      <right style="thin">
        <color auto="1"/>
      </right>
      <top/>
      <bottom style="hair">
        <color auto="1"/>
      </bottom>
      <diagonal/>
    </border>
    <border diagonalUp="1">
      <left style="thin">
        <color auto="1"/>
      </left>
      <right style="hair">
        <color auto="1"/>
      </right>
      <top/>
      <bottom style="hair">
        <color auto="1"/>
      </bottom>
      <diagonal style="thin">
        <color auto="1"/>
      </diagonal>
    </border>
    <border diagonalUp="1">
      <left/>
      <right style="thin">
        <color auto="1"/>
      </right>
      <top/>
      <bottom style="hair">
        <color auto="1"/>
      </bottom>
      <diagonal style="thin">
        <color auto="1"/>
      </diagonal>
    </border>
    <border diagonalUp="1">
      <left style="thin">
        <color auto="1"/>
      </left>
      <right/>
      <top/>
      <bottom style="hair">
        <color auto="1"/>
      </bottom>
      <diagonal style="thin">
        <color auto="1"/>
      </diagonal>
    </border>
    <border diagonalUp="1">
      <left style="hair">
        <color auto="1"/>
      </left>
      <right style="thin">
        <color auto="1"/>
      </right>
      <top/>
      <bottom style="hair">
        <color auto="1"/>
      </bottom>
      <diagonal style="thin">
        <color auto="1"/>
      </diagonal>
    </border>
    <border>
      <left style="thin">
        <color auto="1"/>
      </left>
      <right style="thin">
        <color auto="1"/>
      </right>
      <top/>
      <bottom style="hair">
        <color auto="1"/>
      </bottom>
      <diagonal/>
    </border>
    <border diagonalUp="1">
      <left style="thin">
        <color auto="1"/>
      </left>
      <right style="hair">
        <color auto="1"/>
      </right>
      <top style="hair">
        <color auto="1"/>
      </top>
      <bottom style="hair">
        <color indexed="64"/>
      </bottom>
      <diagonal style="thin">
        <color auto="1"/>
      </diagonal>
    </border>
    <border diagonalUp="1">
      <left/>
      <right style="thin">
        <color auto="1"/>
      </right>
      <top style="hair">
        <color auto="1"/>
      </top>
      <bottom style="hair">
        <color indexed="64"/>
      </bottom>
      <diagonal style="thin">
        <color auto="1"/>
      </diagonal>
    </border>
    <border diagonalUp="1">
      <left style="thin">
        <color auto="1"/>
      </left>
      <right/>
      <top style="hair">
        <color auto="1"/>
      </top>
      <bottom style="hair">
        <color indexed="64"/>
      </bottom>
      <diagonal style="thin">
        <color auto="1"/>
      </diagonal>
    </border>
    <border diagonalUp="1">
      <left style="hair">
        <color auto="1"/>
      </left>
      <right style="thin">
        <color auto="1"/>
      </right>
      <top style="hair">
        <color auto="1"/>
      </top>
      <bottom style="hair">
        <color indexed="64"/>
      </bottom>
      <diagonal style="thin">
        <color auto="1"/>
      </diagonal>
    </border>
  </borders>
  <cellStyleXfs count="3">
    <xf numFmtId="0" fontId="0" fillId="0" borderId="0">
      <alignment vertical="center"/>
    </xf>
    <xf numFmtId="38" fontId="9" fillId="0" borderId="0" applyFont="0" applyFill="0" applyBorder="0" applyAlignment="0" applyProtection="0">
      <alignment vertical="center"/>
    </xf>
    <xf numFmtId="0" fontId="10" fillId="0" borderId="0" applyNumberFormat="0" applyFill="0" applyBorder="0" applyAlignment="0" applyProtection="0">
      <alignment vertical="center"/>
    </xf>
  </cellStyleXfs>
  <cellXfs count="311">
    <xf numFmtId="0" fontId="0" fillId="0" borderId="0" xfId="0">
      <alignment vertical="center"/>
    </xf>
    <xf numFmtId="0" fontId="5" fillId="0" borderId="0" xfId="0" applyFont="1">
      <alignment vertical="center"/>
    </xf>
    <xf numFmtId="0" fontId="7" fillId="0" borderId="0" xfId="0" applyFont="1">
      <alignment vertical="center"/>
    </xf>
    <xf numFmtId="0" fontId="6" fillId="0" borderId="0" xfId="0" applyFont="1" applyAlignment="1">
      <alignment vertical="center"/>
    </xf>
    <xf numFmtId="0" fontId="12" fillId="0" borderId="11" xfId="0" applyFont="1" applyBorder="1" applyAlignment="1">
      <alignment horizontal="center" vertical="center"/>
    </xf>
    <xf numFmtId="0" fontId="12" fillId="0" borderId="12" xfId="0" applyFont="1" applyBorder="1" applyAlignment="1">
      <alignment horizontal="center" vertical="center" wrapText="1"/>
    </xf>
    <xf numFmtId="0" fontId="12" fillId="0" borderId="31" xfId="0" applyFont="1" applyBorder="1" applyAlignment="1">
      <alignment horizontal="center" vertical="center" wrapText="1"/>
    </xf>
    <xf numFmtId="0" fontId="12" fillId="0" borderId="32" xfId="0" applyFont="1" applyBorder="1" applyAlignment="1">
      <alignment horizontal="center" vertical="center"/>
    </xf>
    <xf numFmtId="0" fontId="6" fillId="0" borderId="0" xfId="0" applyFont="1" applyAlignment="1">
      <alignment horizontal="center" vertical="center"/>
    </xf>
    <xf numFmtId="0" fontId="6" fillId="0" borderId="0" xfId="0" applyFont="1" applyAlignment="1">
      <alignment vertical="center" shrinkToFit="1"/>
    </xf>
    <xf numFmtId="0" fontId="14" fillId="0" borderId="0" xfId="0" applyFont="1">
      <alignment vertical="center"/>
    </xf>
    <xf numFmtId="0" fontId="6" fillId="0" borderId="0" xfId="0" applyFont="1" applyBorder="1" applyAlignment="1">
      <alignment vertical="center" shrinkToFit="1"/>
    </xf>
    <xf numFmtId="0" fontId="6" fillId="0" borderId="5" xfId="0" applyFont="1" applyBorder="1" applyAlignment="1">
      <alignment vertical="center" shrinkToFit="1"/>
    </xf>
    <xf numFmtId="176" fontId="6" fillId="0" borderId="5" xfId="0" applyNumberFormat="1" applyFont="1" applyBorder="1" applyAlignment="1">
      <alignment vertical="center" shrinkToFit="1"/>
    </xf>
    <xf numFmtId="176" fontId="6" fillId="0" borderId="33" xfId="0" applyNumberFormat="1" applyFont="1" applyBorder="1" applyAlignment="1">
      <alignment vertical="center" shrinkToFit="1"/>
    </xf>
    <xf numFmtId="176" fontId="6" fillId="0" borderId="34" xfId="0" applyNumberFormat="1" applyFont="1" applyBorder="1" applyAlignment="1">
      <alignment vertical="center" shrinkToFit="1"/>
    </xf>
    <xf numFmtId="176" fontId="6" fillId="0" borderId="10" xfId="0" applyNumberFormat="1" applyFont="1" applyBorder="1" applyAlignment="1">
      <alignment vertical="center" shrinkToFit="1"/>
    </xf>
    <xf numFmtId="9" fontId="6" fillId="0" borderId="10" xfId="0" applyNumberFormat="1" applyFont="1" applyBorder="1" applyAlignment="1">
      <alignment vertical="center" shrinkToFit="1"/>
    </xf>
    <xf numFmtId="0" fontId="6" fillId="0" borderId="20" xfId="0" applyFont="1" applyBorder="1" applyAlignment="1">
      <alignment vertical="center" shrinkToFit="1"/>
    </xf>
    <xf numFmtId="176" fontId="6" fillId="0" borderId="20" xfId="0" applyNumberFormat="1" applyFont="1" applyBorder="1" applyAlignment="1">
      <alignment vertical="center" shrinkToFit="1"/>
    </xf>
    <xf numFmtId="176" fontId="6" fillId="0" borderId="35" xfId="0" applyNumberFormat="1" applyFont="1" applyBorder="1" applyAlignment="1">
      <alignment vertical="center" shrinkToFit="1"/>
    </xf>
    <xf numFmtId="176" fontId="6" fillId="0" borderId="36" xfId="0" applyNumberFormat="1" applyFont="1" applyBorder="1" applyAlignment="1">
      <alignment vertical="center" shrinkToFit="1"/>
    </xf>
    <xf numFmtId="176" fontId="6" fillId="0" borderId="19" xfId="0" applyNumberFormat="1" applyFont="1" applyBorder="1" applyAlignment="1">
      <alignment vertical="center" shrinkToFit="1"/>
    </xf>
    <xf numFmtId="176" fontId="6" fillId="0" borderId="25" xfId="0" applyNumberFormat="1" applyFont="1" applyBorder="1" applyAlignment="1">
      <alignment vertical="center" shrinkToFit="1"/>
    </xf>
    <xf numFmtId="176" fontId="6" fillId="0" borderId="26" xfId="0" applyNumberFormat="1" applyFont="1" applyBorder="1" applyAlignment="1">
      <alignment vertical="center" shrinkToFit="1"/>
    </xf>
    <xf numFmtId="0" fontId="6" fillId="0" borderId="27" xfId="0" applyFont="1" applyBorder="1" applyAlignment="1">
      <alignment vertical="center" shrinkToFit="1"/>
    </xf>
    <xf numFmtId="176" fontId="6" fillId="0" borderId="27" xfId="0" applyNumberFormat="1" applyFont="1" applyBorder="1" applyAlignment="1">
      <alignment vertical="center" shrinkToFit="1"/>
    </xf>
    <xf numFmtId="176" fontId="6" fillId="0" borderId="37" xfId="0" applyNumberFormat="1" applyFont="1" applyBorder="1" applyAlignment="1">
      <alignment vertical="center" shrinkToFit="1"/>
    </xf>
    <xf numFmtId="176" fontId="6" fillId="0" borderId="38" xfId="0" applyNumberFormat="1" applyFont="1" applyBorder="1" applyAlignment="1">
      <alignment vertical="center" shrinkToFit="1"/>
    </xf>
    <xf numFmtId="176" fontId="6" fillId="0" borderId="29" xfId="0" applyNumberFormat="1" applyFont="1" applyBorder="1" applyAlignment="1">
      <alignment vertical="center" shrinkToFit="1"/>
    </xf>
    <xf numFmtId="176" fontId="6" fillId="0" borderId="30" xfId="0" applyNumberFormat="1" applyFont="1" applyBorder="1" applyAlignment="1">
      <alignment vertical="center" shrinkToFit="1"/>
    </xf>
    <xf numFmtId="9" fontId="6" fillId="0" borderId="29" xfId="0" applyNumberFormat="1" applyFont="1" applyBorder="1" applyAlignment="1">
      <alignment vertical="center" shrinkToFit="1"/>
    </xf>
    <xf numFmtId="0" fontId="13" fillId="0" borderId="5" xfId="0" applyFont="1" applyFill="1" applyBorder="1" applyAlignment="1">
      <alignment vertical="center" shrinkToFit="1"/>
    </xf>
    <xf numFmtId="0" fontId="13" fillId="0" borderId="10" xfId="0" applyFont="1" applyFill="1" applyBorder="1" applyAlignment="1">
      <alignment vertical="center" shrinkToFit="1"/>
    </xf>
    <xf numFmtId="0" fontId="13" fillId="0" borderId="41" xfId="0" applyFont="1" applyFill="1" applyBorder="1" applyAlignment="1">
      <alignment vertical="center" shrinkToFit="1"/>
    </xf>
    <xf numFmtId="0" fontId="13" fillId="0" borderId="42" xfId="0" applyFont="1" applyFill="1" applyBorder="1" applyAlignment="1">
      <alignment vertical="center" shrinkToFit="1"/>
    </xf>
    <xf numFmtId="0" fontId="3" fillId="0" borderId="0" xfId="0" applyFont="1">
      <alignment vertical="center"/>
    </xf>
    <xf numFmtId="0" fontId="3" fillId="0" borderId="0" xfId="0" applyFont="1" applyAlignment="1">
      <alignment horizontal="right" vertical="center"/>
    </xf>
    <xf numFmtId="0" fontId="3" fillId="0" borderId="0" xfId="0" applyFont="1" applyAlignment="1">
      <alignment horizontal="center" vertical="center"/>
    </xf>
    <xf numFmtId="0" fontId="3" fillId="0" borderId="0" xfId="0" applyFont="1" applyBorder="1" applyAlignment="1">
      <alignment horizontal="center" vertical="center"/>
    </xf>
    <xf numFmtId="0" fontId="3" fillId="0" borderId="0" xfId="0" applyFont="1" applyAlignment="1">
      <alignment vertical="center"/>
    </xf>
    <xf numFmtId="0" fontId="3" fillId="0" borderId="1" xfId="0" applyFont="1" applyBorder="1" applyAlignment="1">
      <alignment vertical="center" shrinkToFit="1"/>
    </xf>
    <xf numFmtId="0" fontId="5" fillId="0" borderId="0" xfId="0" applyFont="1" applyFill="1">
      <alignment vertical="center"/>
    </xf>
    <xf numFmtId="0" fontId="1" fillId="0" borderId="0" xfId="0" applyFont="1" applyAlignment="1">
      <alignment horizontal="right" vertical="center"/>
    </xf>
    <xf numFmtId="0" fontId="1" fillId="0" borderId="0" xfId="0" applyFont="1">
      <alignment vertical="center"/>
    </xf>
    <xf numFmtId="0" fontId="6" fillId="0" borderId="11" xfId="0" applyFont="1" applyBorder="1" applyAlignment="1">
      <alignment horizontal="center" vertical="center"/>
    </xf>
    <xf numFmtId="0" fontId="6" fillId="0" borderId="0" xfId="0" applyFont="1" applyAlignment="1">
      <alignment horizontal="center" vertical="center"/>
    </xf>
    <xf numFmtId="0" fontId="8" fillId="0" borderId="0" xfId="0" applyFont="1" applyAlignment="1">
      <alignment vertical="top" wrapText="1"/>
    </xf>
    <xf numFmtId="0" fontId="6" fillId="0" borderId="0" xfId="0" applyFont="1" applyAlignment="1">
      <alignment horizontal="left" vertical="center"/>
    </xf>
    <xf numFmtId="0" fontId="6" fillId="0" borderId="0" xfId="0" applyFont="1" applyBorder="1" applyAlignment="1">
      <alignment vertical="center"/>
    </xf>
    <xf numFmtId="0" fontId="6" fillId="0" borderId="10" xfId="0" applyFont="1" applyBorder="1" applyAlignment="1">
      <alignment vertical="center"/>
    </xf>
    <xf numFmtId="0" fontId="6" fillId="0" borderId="10" xfId="0" applyFont="1" applyBorder="1" applyAlignment="1">
      <alignment vertical="center" shrinkToFit="1"/>
    </xf>
    <xf numFmtId="0" fontId="6" fillId="0" borderId="0" xfId="0" applyFont="1" applyFill="1">
      <alignment vertical="center"/>
    </xf>
    <xf numFmtId="0" fontId="6" fillId="0" borderId="5" xfId="0" applyFont="1" applyFill="1" applyBorder="1">
      <alignment vertical="center"/>
    </xf>
    <xf numFmtId="176" fontId="6" fillId="0" borderId="0" xfId="0" applyNumberFormat="1" applyFont="1" applyFill="1" applyBorder="1" applyAlignment="1">
      <alignment vertical="center" wrapText="1"/>
    </xf>
    <xf numFmtId="0" fontId="6" fillId="0" borderId="0" xfId="0" applyFont="1" applyFill="1" applyBorder="1">
      <alignment vertical="center"/>
    </xf>
    <xf numFmtId="176" fontId="6" fillId="0" borderId="5" xfId="0" applyNumberFormat="1" applyFont="1" applyFill="1" applyBorder="1" applyAlignment="1">
      <alignment vertical="center"/>
    </xf>
    <xf numFmtId="176" fontId="6" fillId="0" borderId="0" xfId="0" applyNumberFormat="1" applyFont="1" applyFill="1" applyBorder="1">
      <alignment vertical="center"/>
    </xf>
    <xf numFmtId="0" fontId="6" fillId="0" borderId="0" xfId="0" applyFont="1" applyFill="1" applyBorder="1" applyAlignment="1">
      <alignment horizontal="center" vertical="center"/>
    </xf>
    <xf numFmtId="176" fontId="6" fillId="0" borderId="0" xfId="0" applyNumberFormat="1" applyFont="1" applyFill="1" applyAlignment="1">
      <alignment vertical="center" wrapText="1"/>
    </xf>
    <xf numFmtId="0" fontId="6" fillId="0" borderId="0" xfId="0" applyFont="1" applyFill="1" applyAlignment="1">
      <alignment horizontal="center" vertical="center"/>
    </xf>
    <xf numFmtId="0" fontId="6" fillId="0" borderId="0" xfId="0" applyFont="1" applyFill="1" applyBorder="1" applyAlignment="1">
      <alignment vertical="center"/>
    </xf>
    <xf numFmtId="176" fontId="6" fillId="0" borderId="3" xfId="0" applyNumberFormat="1" applyFont="1" applyFill="1" applyBorder="1" applyAlignment="1">
      <alignment vertical="center" shrinkToFit="1"/>
    </xf>
    <xf numFmtId="176" fontId="6" fillId="0" borderId="0" xfId="0" applyNumberFormat="1" applyFont="1" applyFill="1" applyAlignment="1">
      <alignment horizontal="left" vertical="center" wrapText="1"/>
    </xf>
    <xf numFmtId="0" fontId="6" fillId="0" borderId="0" xfId="0" applyFont="1" applyFill="1" applyAlignment="1">
      <alignment vertical="center"/>
    </xf>
    <xf numFmtId="0" fontId="6" fillId="0" borderId="0" xfId="0" applyFont="1" applyFill="1" applyBorder="1" applyAlignment="1">
      <alignment vertical="center" shrinkToFit="1"/>
    </xf>
    <xf numFmtId="0" fontId="6" fillId="0" borderId="6" xfId="0" applyFont="1" applyFill="1" applyBorder="1" applyAlignment="1">
      <alignment vertical="center" shrinkToFit="1"/>
    </xf>
    <xf numFmtId="0" fontId="6" fillId="0" borderId="0" xfId="0" applyFont="1" applyFill="1" applyBorder="1" applyAlignment="1">
      <alignment horizontal="center" vertical="center" shrinkToFit="1"/>
    </xf>
    <xf numFmtId="0" fontId="6" fillId="0" borderId="10" xfId="0" applyFont="1" applyFill="1" applyBorder="1" applyAlignment="1">
      <alignment vertical="center" shrinkToFit="1"/>
    </xf>
    <xf numFmtId="0" fontId="6" fillId="0" borderId="1" xfId="0" applyFont="1" applyFill="1" applyBorder="1">
      <alignment vertical="center"/>
    </xf>
    <xf numFmtId="0" fontId="6" fillId="0" borderId="2" xfId="0" applyFont="1" applyFill="1" applyBorder="1">
      <alignment vertical="center"/>
    </xf>
    <xf numFmtId="0" fontId="6" fillId="0" borderId="4" xfId="0" applyFont="1" applyFill="1" applyBorder="1">
      <alignment vertical="center"/>
    </xf>
    <xf numFmtId="0" fontId="6" fillId="0" borderId="2" xfId="0" applyFont="1" applyBorder="1" applyAlignment="1">
      <alignment vertical="center" shrinkToFit="1"/>
    </xf>
    <xf numFmtId="0" fontId="6" fillId="0" borderId="2" xfId="0" applyFont="1" applyBorder="1" applyAlignment="1">
      <alignment horizontal="center" vertical="center" shrinkToFit="1"/>
    </xf>
    <xf numFmtId="0" fontId="6" fillId="0" borderId="3" xfId="0" applyFont="1" applyBorder="1" applyAlignment="1">
      <alignment horizontal="center" vertical="center" shrinkToFit="1"/>
    </xf>
    <xf numFmtId="0" fontId="6" fillId="0" borderId="4" xfId="0" applyFont="1" applyBorder="1" applyAlignment="1">
      <alignment horizontal="center" vertical="center" shrinkToFit="1"/>
    </xf>
    <xf numFmtId="0" fontId="6" fillId="0" borderId="1" xfId="0" applyFont="1" applyBorder="1" applyAlignment="1">
      <alignment vertical="center" wrapText="1"/>
    </xf>
    <xf numFmtId="0" fontId="6" fillId="0" borderId="0" xfId="0" applyFont="1" applyBorder="1" applyAlignment="1">
      <alignment vertical="top" wrapText="1"/>
    </xf>
    <xf numFmtId="0" fontId="6" fillId="0" borderId="0" xfId="0" applyFont="1" applyBorder="1" applyAlignment="1">
      <alignment vertical="center" wrapText="1"/>
    </xf>
    <xf numFmtId="0" fontId="8" fillId="0" borderId="0" xfId="0" applyFont="1" applyBorder="1" applyAlignment="1">
      <alignment vertical="top" wrapText="1"/>
    </xf>
    <xf numFmtId="0" fontId="8" fillId="0" borderId="0" xfId="0" applyFont="1" applyBorder="1" applyAlignment="1">
      <alignment vertical="top" shrinkToFit="1"/>
    </xf>
    <xf numFmtId="0" fontId="8" fillId="0" borderId="0" xfId="0" applyFont="1" applyBorder="1" applyAlignment="1">
      <alignment vertical="center" wrapText="1"/>
    </xf>
    <xf numFmtId="0" fontId="6" fillId="0" borderId="5" xfId="0" applyFont="1" applyBorder="1">
      <alignment vertical="center"/>
    </xf>
    <xf numFmtId="0" fontId="8" fillId="0" borderId="10" xfId="0" applyFont="1" applyBorder="1" applyAlignment="1">
      <alignment vertical="top" wrapText="1"/>
    </xf>
    <xf numFmtId="0" fontId="6" fillId="0" borderId="0" xfId="0" applyFont="1" applyBorder="1">
      <alignment vertical="center"/>
    </xf>
    <xf numFmtId="0" fontId="8" fillId="0" borderId="5" xfId="0" applyFont="1" applyBorder="1" applyAlignment="1">
      <alignment vertical="top" wrapText="1"/>
    </xf>
    <xf numFmtId="0" fontId="6" fillId="0" borderId="17" xfId="0" applyFont="1" applyBorder="1">
      <alignment vertical="center"/>
    </xf>
    <xf numFmtId="0" fontId="8" fillId="0" borderId="21" xfId="0" applyFont="1" applyBorder="1" applyAlignment="1">
      <alignment vertical="top" wrapText="1"/>
    </xf>
    <xf numFmtId="0" fontId="8" fillId="0" borderId="19" xfId="0" applyFont="1" applyBorder="1" applyAlignment="1">
      <alignment vertical="top" wrapText="1"/>
    </xf>
    <xf numFmtId="0" fontId="8" fillId="0" borderId="21" xfId="0" applyFont="1" applyBorder="1" applyAlignment="1">
      <alignment vertical="top" shrinkToFit="1"/>
    </xf>
    <xf numFmtId="0" fontId="8" fillId="0" borderId="19" xfId="0" applyFont="1" applyBorder="1" applyAlignment="1">
      <alignment vertical="top" shrinkToFit="1"/>
    </xf>
    <xf numFmtId="0" fontId="6" fillId="0" borderId="0" xfId="0" applyFont="1" applyAlignment="1">
      <alignment vertical="center" wrapText="1"/>
    </xf>
    <xf numFmtId="0" fontId="14" fillId="0" borderId="0" xfId="2" applyNumberFormat="1" applyFont="1" applyBorder="1" applyAlignment="1">
      <alignment vertical="center" shrinkToFit="1"/>
    </xf>
    <xf numFmtId="0" fontId="8" fillId="0" borderId="0" xfId="0" applyFont="1" applyBorder="1" applyAlignment="1">
      <alignment vertical="center" shrinkToFit="1"/>
    </xf>
    <xf numFmtId="0" fontId="8" fillId="0" borderId="10" xfId="0" applyFont="1" applyBorder="1" applyAlignment="1">
      <alignment vertical="center" shrinkToFit="1"/>
    </xf>
    <xf numFmtId="0" fontId="8" fillId="0" borderId="0" xfId="0" applyFont="1" applyFill="1" applyBorder="1" applyAlignment="1">
      <alignment vertical="top" wrapText="1"/>
    </xf>
    <xf numFmtId="0" fontId="10" fillId="0" borderId="0" xfId="2">
      <alignment vertical="center"/>
    </xf>
    <xf numFmtId="0" fontId="18" fillId="0" borderId="2" xfId="0" applyFont="1" applyBorder="1" applyAlignment="1">
      <alignment horizontal="right" vertical="center"/>
    </xf>
    <xf numFmtId="176" fontId="18" fillId="0" borderId="2" xfId="0" applyNumberFormat="1" applyFont="1" applyFill="1" applyBorder="1" applyAlignment="1">
      <alignment vertical="center" shrinkToFit="1"/>
    </xf>
    <xf numFmtId="0" fontId="18" fillId="0" borderId="44" xfId="0" applyFont="1" applyBorder="1" applyAlignment="1">
      <alignment horizontal="right" vertical="center" wrapText="1"/>
    </xf>
    <xf numFmtId="176" fontId="18" fillId="0" borderId="45" xfId="0" applyNumberFormat="1" applyFont="1" applyFill="1" applyBorder="1" applyAlignment="1">
      <alignment vertical="center" shrinkToFit="1"/>
    </xf>
    <xf numFmtId="176" fontId="18" fillId="0" borderId="46" xfId="0" applyNumberFormat="1" applyFont="1" applyFill="1" applyBorder="1" applyAlignment="1">
      <alignment vertical="center" shrinkToFit="1"/>
    </xf>
    <xf numFmtId="176" fontId="18" fillId="0" borderId="47" xfId="0" applyNumberFormat="1" applyFont="1" applyFill="1" applyBorder="1" applyAlignment="1">
      <alignment vertical="center" shrinkToFit="1"/>
    </xf>
    <xf numFmtId="176" fontId="18" fillId="0" borderId="48" xfId="0" applyNumberFormat="1" applyFont="1" applyFill="1" applyBorder="1" applyAlignment="1">
      <alignment vertical="center" shrinkToFit="1"/>
    </xf>
    <xf numFmtId="176" fontId="18" fillId="0" borderId="1" xfId="0" applyNumberFormat="1" applyFont="1" applyFill="1" applyBorder="1" applyAlignment="1">
      <alignment vertical="center" shrinkToFit="1"/>
    </xf>
    <xf numFmtId="9" fontId="18" fillId="0" borderId="4" xfId="0" applyNumberFormat="1" applyFont="1" applyFill="1" applyBorder="1" applyAlignment="1">
      <alignment vertical="center" shrinkToFit="1"/>
    </xf>
    <xf numFmtId="0" fontId="18" fillId="0" borderId="49" xfId="0" applyFont="1" applyFill="1" applyBorder="1" applyAlignment="1">
      <alignment horizontal="right" vertical="center" shrinkToFit="1"/>
    </xf>
    <xf numFmtId="176" fontId="18" fillId="0" borderId="49" xfId="0" applyNumberFormat="1" applyFont="1" applyFill="1" applyBorder="1" applyAlignment="1">
      <alignment vertical="center" shrinkToFit="1"/>
    </xf>
    <xf numFmtId="176" fontId="18" fillId="0" borderId="50" xfId="0" applyNumberFormat="1" applyFont="1" applyFill="1" applyBorder="1" applyAlignment="1">
      <alignment vertical="center" shrinkToFit="1"/>
    </xf>
    <xf numFmtId="176" fontId="18" fillId="0" borderId="51" xfId="0" applyNumberFormat="1" applyFont="1" applyFill="1" applyBorder="1" applyAlignment="1">
      <alignment vertical="center" shrinkToFit="1"/>
    </xf>
    <xf numFmtId="176" fontId="18" fillId="0" borderId="52" xfId="0" applyNumberFormat="1" applyFont="1" applyFill="1" applyBorder="1" applyAlignment="1">
      <alignment vertical="center" shrinkToFit="1"/>
    </xf>
    <xf numFmtId="176" fontId="18" fillId="0" borderId="53" xfId="0" applyNumberFormat="1" applyFont="1" applyFill="1" applyBorder="1" applyAlignment="1">
      <alignment vertical="center" shrinkToFit="1"/>
    </xf>
    <xf numFmtId="176" fontId="18" fillId="0" borderId="54" xfId="0" applyNumberFormat="1" applyFont="1" applyFill="1" applyBorder="1" applyAlignment="1">
      <alignment vertical="center" shrinkToFit="1"/>
    </xf>
    <xf numFmtId="176" fontId="18" fillId="0" borderId="55" xfId="0" applyNumberFormat="1" applyFont="1" applyFill="1" applyBorder="1" applyAlignment="1">
      <alignment vertical="center" shrinkToFit="1"/>
    </xf>
    <xf numFmtId="9" fontId="18" fillId="0" borderId="43" xfId="0" applyNumberFormat="1" applyFont="1" applyFill="1" applyBorder="1" applyAlignment="1">
      <alignment vertical="center" shrinkToFit="1"/>
    </xf>
    <xf numFmtId="0" fontId="18" fillId="0" borderId="20" xfId="0" applyFont="1" applyFill="1" applyBorder="1" applyAlignment="1">
      <alignment horizontal="right" vertical="center" shrinkToFit="1"/>
    </xf>
    <xf numFmtId="176" fontId="18" fillId="0" borderId="20" xfId="0" applyNumberFormat="1" applyFont="1" applyFill="1" applyBorder="1" applyAlignment="1">
      <alignment vertical="center" shrinkToFit="1"/>
    </xf>
    <xf numFmtId="176" fontId="18" fillId="0" borderId="35" xfId="0" applyNumberFormat="1" applyFont="1" applyFill="1" applyBorder="1" applyAlignment="1">
      <alignment vertical="center" shrinkToFit="1"/>
    </xf>
    <xf numFmtId="176" fontId="18" fillId="0" borderId="56" xfId="0" applyNumberFormat="1" applyFont="1" applyFill="1" applyBorder="1" applyAlignment="1">
      <alignment vertical="center" shrinkToFit="1"/>
    </xf>
    <xf numFmtId="176" fontId="18" fillId="0" borderId="57" xfId="0" applyNumberFormat="1" applyFont="1" applyFill="1" applyBorder="1" applyAlignment="1">
      <alignment vertical="center" shrinkToFit="1"/>
    </xf>
    <xf numFmtId="176" fontId="18" fillId="0" borderId="58" xfId="0" applyNumberFormat="1" applyFont="1" applyFill="1" applyBorder="1" applyAlignment="1">
      <alignment vertical="center" shrinkToFit="1"/>
    </xf>
    <xf numFmtId="176" fontId="18" fillId="0" borderId="59" xfId="0" applyNumberFormat="1" applyFont="1" applyFill="1" applyBorder="1" applyAlignment="1">
      <alignment vertical="center" shrinkToFit="1"/>
    </xf>
    <xf numFmtId="176" fontId="18" fillId="0" borderId="25" xfId="0" applyNumberFormat="1" applyFont="1" applyFill="1" applyBorder="1" applyAlignment="1">
      <alignment vertical="center" shrinkToFit="1"/>
    </xf>
    <xf numFmtId="9" fontId="18" fillId="0" borderId="19" xfId="0" applyNumberFormat="1" applyFont="1" applyFill="1" applyBorder="1" applyAlignment="1">
      <alignment vertical="center" shrinkToFit="1"/>
    </xf>
    <xf numFmtId="0" fontId="18" fillId="0" borderId="20" xfId="0" applyFont="1" applyBorder="1" applyAlignment="1">
      <alignment horizontal="right" vertical="center" shrinkToFit="1"/>
    </xf>
    <xf numFmtId="176" fontId="18" fillId="0" borderId="20" xfId="0" applyNumberFormat="1" applyFont="1" applyBorder="1" applyAlignment="1">
      <alignment vertical="center" shrinkToFit="1"/>
    </xf>
    <xf numFmtId="176" fontId="18" fillId="0" borderId="35" xfId="0" applyNumberFormat="1" applyFont="1" applyBorder="1" applyAlignment="1">
      <alignment vertical="center" shrinkToFit="1"/>
    </xf>
    <xf numFmtId="176" fontId="18" fillId="0" borderId="36" xfId="0" applyNumberFormat="1" applyFont="1" applyFill="1" applyBorder="1" applyAlignment="1">
      <alignment vertical="center" shrinkToFit="1"/>
    </xf>
    <xf numFmtId="176" fontId="18" fillId="0" borderId="19" xfId="0" applyNumberFormat="1" applyFont="1" applyFill="1" applyBorder="1" applyAlignment="1">
      <alignment vertical="center" shrinkToFit="1"/>
    </xf>
    <xf numFmtId="9" fontId="18" fillId="0" borderId="10" xfId="0" applyNumberFormat="1" applyFont="1" applyFill="1" applyBorder="1" applyAlignment="1">
      <alignment vertical="center" shrinkToFit="1"/>
    </xf>
    <xf numFmtId="0" fontId="0" fillId="0" borderId="10" xfId="0" applyBorder="1" applyAlignment="1">
      <alignment vertical="center" shrinkToFit="1"/>
    </xf>
    <xf numFmtId="0" fontId="18" fillId="0" borderId="20" xfId="0" applyFont="1" applyFill="1" applyBorder="1" applyAlignment="1">
      <alignment vertical="center" shrinkToFit="1"/>
    </xf>
    <xf numFmtId="0" fontId="6" fillId="0" borderId="0" xfId="0" applyFont="1" applyFill="1" applyBorder="1" applyAlignment="1">
      <alignment vertical="center" shrinkToFit="1"/>
    </xf>
    <xf numFmtId="176" fontId="6" fillId="0" borderId="2" xfId="0" applyNumberFormat="1" applyFont="1" applyFill="1" applyBorder="1" applyAlignment="1">
      <alignment horizontal="center" vertical="center" shrinkToFit="1"/>
    </xf>
    <xf numFmtId="176" fontId="6" fillId="0" borderId="4" xfId="0" applyNumberFormat="1" applyFont="1" applyFill="1" applyBorder="1" applyAlignment="1">
      <alignment horizontal="center" vertical="center" shrinkToFit="1"/>
    </xf>
    <xf numFmtId="0" fontId="6" fillId="0" borderId="2" xfId="0" applyFont="1" applyFill="1" applyBorder="1" applyAlignment="1">
      <alignment horizontal="center" vertical="center" shrinkToFit="1"/>
    </xf>
    <xf numFmtId="0" fontId="6" fillId="0" borderId="3" xfId="0" applyFont="1" applyFill="1" applyBorder="1" applyAlignment="1">
      <alignment horizontal="center" vertical="center" shrinkToFit="1"/>
    </xf>
    <xf numFmtId="0" fontId="6" fillId="0" borderId="4" xfId="0" applyFont="1" applyFill="1" applyBorder="1" applyAlignment="1">
      <alignment horizontal="center" vertical="center" shrinkToFit="1"/>
    </xf>
    <xf numFmtId="0" fontId="6" fillId="0" borderId="0" xfId="0" applyFont="1" applyFill="1" applyBorder="1" applyAlignment="1">
      <alignment horizontal="center" vertical="center"/>
    </xf>
    <xf numFmtId="0" fontId="6" fillId="0" borderId="2" xfId="0" applyFont="1" applyFill="1" applyBorder="1" applyAlignment="1">
      <alignment horizontal="center" vertical="center"/>
    </xf>
    <xf numFmtId="0" fontId="6" fillId="0" borderId="3" xfId="0" applyFont="1" applyFill="1" applyBorder="1" applyAlignment="1">
      <alignment horizontal="center" vertical="center"/>
    </xf>
    <xf numFmtId="0" fontId="6" fillId="0" borderId="4" xfId="0" applyFont="1" applyFill="1" applyBorder="1" applyAlignment="1">
      <alignment horizontal="center" vertical="center"/>
    </xf>
    <xf numFmtId="0" fontId="6" fillId="0" borderId="0" xfId="0" applyFont="1" applyFill="1" applyBorder="1" applyAlignment="1">
      <alignment horizontal="right" vertical="center" shrinkToFit="1"/>
    </xf>
    <xf numFmtId="0" fontId="6" fillId="0" borderId="5" xfId="0" applyFont="1" applyFill="1" applyBorder="1" applyAlignment="1">
      <alignment horizontal="right" vertical="center" shrinkToFit="1"/>
    </xf>
    <xf numFmtId="0" fontId="6" fillId="0" borderId="10" xfId="0" applyFont="1" applyFill="1" applyBorder="1" applyAlignment="1">
      <alignment horizontal="right" vertical="center" shrinkToFit="1"/>
    </xf>
    <xf numFmtId="0" fontId="1" fillId="0" borderId="0" xfId="0" applyFont="1" applyAlignment="1">
      <alignment horizontal="right" vertical="center"/>
    </xf>
    <xf numFmtId="0" fontId="6" fillId="0" borderId="0" xfId="0" applyFont="1" applyFill="1" applyBorder="1" applyAlignment="1">
      <alignment horizontal="right" vertical="center"/>
    </xf>
    <xf numFmtId="0" fontId="6" fillId="0" borderId="10" xfId="0" applyFont="1" applyFill="1" applyBorder="1" applyAlignment="1">
      <alignment horizontal="right" vertical="center"/>
    </xf>
    <xf numFmtId="0" fontId="6" fillId="0" borderId="2" xfId="0" applyFont="1" applyBorder="1" applyAlignment="1">
      <alignment horizontal="center" vertical="center" shrinkToFit="1"/>
    </xf>
    <xf numFmtId="0" fontId="6" fillId="0" borderId="3" xfId="0" applyFont="1" applyBorder="1" applyAlignment="1">
      <alignment horizontal="center" vertical="center" shrinkToFit="1"/>
    </xf>
    <xf numFmtId="0" fontId="6" fillId="0" borderId="4" xfId="0" applyFont="1" applyBorder="1" applyAlignment="1">
      <alignment horizontal="center" vertical="center" shrinkToFit="1"/>
    </xf>
    <xf numFmtId="176" fontId="6" fillId="0" borderId="3" xfId="0" applyNumberFormat="1" applyFont="1" applyFill="1" applyBorder="1" applyAlignment="1">
      <alignment horizontal="center" vertical="center" shrinkToFit="1"/>
    </xf>
    <xf numFmtId="0" fontId="6" fillId="0" borderId="0" xfId="0" applyFont="1" applyBorder="1" applyAlignment="1">
      <alignment horizontal="center" vertical="center" shrinkToFit="1"/>
    </xf>
    <xf numFmtId="0" fontId="6" fillId="0" borderId="0" xfId="0" applyFont="1" applyAlignment="1">
      <alignment horizontal="center" vertical="center"/>
    </xf>
    <xf numFmtId="0" fontId="6" fillId="0" borderId="2" xfId="0" applyFont="1" applyBorder="1" applyAlignment="1">
      <alignment vertical="center" shrinkToFit="1"/>
    </xf>
    <xf numFmtId="0" fontId="6" fillId="0" borderId="3" xfId="0" applyFont="1" applyBorder="1" applyAlignment="1">
      <alignment vertical="center" shrinkToFit="1"/>
    </xf>
    <xf numFmtId="0" fontId="6" fillId="0" borderId="4" xfId="0" applyFont="1" applyBorder="1" applyAlignment="1">
      <alignment vertical="center" shrinkToFit="1"/>
    </xf>
    <xf numFmtId="0" fontId="14" fillId="0" borderId="2" xfId="0" applyFont="1" applyFill="1" applyBorder="1">
      <alignment vertical="center"/>
    </xf>
    <xf numFmtId="0" fontId="14" fillId="0" borderId="3" xfId="0" applyFont="1" applyFill="1" applyBorder="1">
      <alignment vertical="center"/>
    </xf>
    <xf numFmtId="0" fontId="14" fillId="0" borderId="4" xfId="0" applyFont="1" applyFill="1" applyBorder="1">
      <alignment vertical="center"/>
    </xf>
    <xf numFmtId="49" fontId="6" fillId="0" borderId="2" xfId="1" applyNumberFormat="1" applyFont="1" applyFill="1" applyBorder="1" applyAlignment="1">
      <alignment horizontal="center" vertical="center" shrinkToFit="1"/>
    </xf>
    <xf numFmtId="49" fontId="6" fillId="0" borderId="3" xfId="1" applyNumberFormat="1" applyFont="1" applyFill="1" applyBorder="1" applyAlignment="1">
      <alignment horizontal="center" vertical="center" shrinkToFit="1"/>
    </xf>
    <xf numFmtId="49" fontId="6" fillId="0" borderId="4" xfId="1" applyNumberFormat="1" applyFont="1" applyFill="1" applyBorder="1" applyAlignment="1">
      <alignment horizontal="center" vertical="center" shrinkToFit="1"/>
    </xf>
    <xf numFmtId="0" fontId="6" fillId="0" borderId="2" xfId="0" applyFont="1" applyFill="1" applyBorder="1" applyAlignment="1">
      <alignment vertical="center" shrinkToFit="1"/>
    </xf>
    <xf numFmtId="0" fontId="6" fillId="0" borderId="3" xfId="0" applyFont="1" applyFill="1" applyBorder="1" applyAlignment="1">
      <alignment vertical="center" shrinkToFit="1"/>
    </xf>
    <xf numFmtId="0" fontId="3" fillId="0" borderId="2" xfId="0" applyFont="1" applyBorder="1" applyAlignment="1">
      <alignment vertical="center" shrinkToFit="1"/>
    </xf>
    <xf numFmtId="0" fontId="3" fillId="0" borderId="3" xfId="0" applyFont="1" applyBorder="1" applyAlignment="1">
      <alignment vertical="center" shrinkToFit="1"/>
    </xf>
    <xf numFmtId="0" fontId="3" fillId="0" borderId="4" xfId="0" applyFont="1" applyBorder="1" applyAlignment="1">
      <alignment vertical="center" shrinkToFit="1"/>
    </xf>
    <xf numFmtId="0" fontId="2" fillId="0" borderId="7" xfId="0" applyFont="1" applyBorder="1" applyAlignment="1">
      <alignment vertical="top" wrapText="1"/>
    </xf>
    <xf numFmtId="0" fontId="3" fillId="0" borderId="8" xfId="0" applyFont="1" applyBorder="1" applyAlignment="1">
      <alignment vertical="top" wrapText="1"/>
    </xf>
    <xf numFmtId="0" fontId="3" fillId="0" borderId="9" xfId="0" applyFont="1" applyBorder="1" applyAlignment="1">
      <alignment vertical="top" wrapText="1"/>
    </xf>
    <xf numFmtId="0" fontId="3" fillId="0" borderId="5" xfId="0" applyFont="1" applyBorder="1" applyAlignment="1">
      <alignment vertical="top" wrapText="1"/>
    </xf>
    <xf numFmtId="0" fontId="3" fillId="0" borderId="0" xfId="0" applyFont="1" applyAlignment="1">
      <alignment vertical="top" wrapText="1"/>
    </xf>
    <xf numFmtId="0" fontId="3" fillId="0" borderId="10" xfId="0" applyFont="1" applyBorder="1" applyAlignment="1">
      <alignment vertical="top" wrapText="1"/>
    </xf>
    <xf numFmtId="0" fontId="3" fillId="0" borderId="11" xfId="0" applyFont="1" applyBorder="1" applyAlignment="1">
      <alignment vertical="top" wrapText="1"/>
    </xf>
    <xf numFmtId="0" fontId="3" fillId="0" borderId="6" xfId="0" applyFont="1" applyBorder="1" applyAlignment="1">
      <alignment vertical="top" wrapText="1"/>
    </xf>
    <xf numFmtId="0" fontId="3" fillId="0" borderId="12" xfId="0" applyFont="1" applyBorder="1" applyAlignment="1">
      <alignment vertical="top" wrapText="1"/>
    </xf>
    <xf numFmtId="0" fontId="3" fillId="0" borderId="2" xfId="0" applyFont="1" applyBorder="1" applyAlignment="1">
      <alignment horizontal="center" vertical="center"/>
    </xf>
    <xf numFmtId="0" fontId="3" fillId="0" borderId="3" xfId="0" applyFont="1" applyBorder="1" applyAlignment="1">
      <alignment horizontal="center" vertical="center"/>
    </xf>
    <xf numFmtId="0" fontId="3" fillId="0" borderId="4" xfId="0" applyFont="1" applyBorder="1" applyAlignment="1">
      <alignment horizontal="center" vertical="center"/>
    </xf>
    <xf numFmtId="0" fontId="3" fillId="0" borderId="0" xfId="0" applyFont="1" applyAlignment="1">
      <alignment vertical="center" shrinkToFit="1"/>
    </xf>
    <xf numFmtId="0" fontId="3" fillId="0" borderId="0" xfId="0" applyFont="1" applyAlignment="1">
      <alignment horizontal="center" vertical="center"/>
    </xf>
    <xf numFmtId="0" fontId="3" fillId="0" borderId="1" xfId="0" applyFont="1" applyBorder="1" applyAlignment="1">
      <alignment horizontal="center" vertical="center"/>
    </xf>
    <xf numFmtId="0" fontId="3" fillId="0" borderId="1" xfId="0" applyFont="1" applyBorder="1" applyAlignment="1">
      <alignment horizontal="center" vertical="center" shrinkToFit="1"/>
    </xf>
    <xf numFmtId="0" fontId="3" fillId="0" borderId="2" xfId="0" applyFont="1" applyFill="1" applyBorder="1" applyAlignment="1">
      <alignment vertical="center" shrinkToFit="1"/>
    </xf>
    <xf numFmtId="0" fontId="3" fillId="0" borderId="3" xfId="0" applyFont="1" applyFill="1" applyBorder="1" applyAlignment="1">
      <alignment vertical="center" shrinkToFit="1"/>
    </xf>
    <xf numFmtId="0" fontId="3" fillId="0" borderId="4" xfId="0" applyFont="1" applyFill="1" applyBorder="1" applyAlignment="1">
      <alignment vertical="center" shrinkToFit="1"/>
    </xf>
    <xf numFmtId="0" fontId="16" fillId="0" borderId="2" xfId="0" applyFont="1" applyFill="1" applyBorder="1" applyAlignment="1">
      <alignment vertical="center" shrinkToFit="1"/>
    </xf>
    <xf numFmtId="0" fontId="17" fillId="0" borderId="4" xfId="0" applyFont="1" applyBorder="1" applyAlignment="1">
      <alignment vertical="center"/>
    </xf>
    <xf numFmtId="0" fontId="6" fillId="0" borderId="7" xfId="0" applyFont="1" applyBorder="1" applyAlignment="1">
      <alignment horizontal="center" vertical="center"/>
    </xf>
    <xf numFmtId="0" fontId="6" fillId="0" borderId="8" xfId="0" applyFont="1" applyBorder="1" applyAlignment="1">
      <alignment horizontal="center" vertical="center"/>
    </xf>
    <xf numFmtId="0" fontId="6" fillId="0" borderId="11" xfId="0" applyFont="1" applyBorder="1" applyAlignment="1">
      <alignment horizontal="center" vertical="center"/>
    </xf>
    <xf numFmtId="0" fontId="6" fillId="0" borderId="6" xfId="0" applyFont="1" applyBorder="1" applyAlignment="1">
      <alignment horizontal="center" vertical="center"/>
    </xf>
    <xf numFmtId="0" fontId="5" fillId="0" borderId="0" xfId="0" applyFont="1" applyAlignment="1">
      <alignment horizontal="right" vertical="center"/>
    </xf>
    <xf numFmtId="0" fontId="11" fillId="0" borderId="7" xfId="0" applyFont="1" applyBorder="1" applyAlignment="1">
      <alignment horizontal="center" vertical="center" wrapText="1"/>
    </xf>
    <xf numFmtId="0" fontId="11" fillId="0" borderId="11" xfId="0" applyFont="1" applyBorder="1" applyAlignment="1">
      <alignment horizontal="center" vertical="center"/>
    </xf>
    <xf numFmtId="0" fontId="6" fillId="0" borderId="14" xfId="0" applyFont="1" applyBorder="1" applyAlignment="1">
      <alignment horizontal="center" vertical="center"/>
    </xf>
    <xf numFmtId="0" fontId="6" fillId="0" borderId="15" xfId="0" applyFont="1" applyBorder="1" applyAlignment="1">
      <alignment horizontal="center" vertical="center"/>
    </xf>
    <xf numFmtId="0" fontId="6" fillId="0" borderId="39" xfId="0" applyFont="1" applyBorder="1" applyAlignment="1">
      <alignment horizontal="center" vertical="center"/>
    </xf>
    <xf numFmtId="0" fontId="12" fillId="0" borderId="16" xfId="0" applyFont="1" applyBorder="1" applyAlignment="1">
      <alignment horizontal="center" vertical="center" wrapText="1"/>
    </xf>
    <xf numFmtId="0" fontId="12" fillId="0" borderId="13" xfId="0" applyFont="1" applyBorder="1" applyAlignment="1">
      <alignment horizontal="center" vertical="center"/>
    </xf>
    <xf numFmtId="0" fontId="11" fillId="0" borderId="9" xfId="0" applyFont="1" applyBorder="1" applyAlignment="1">
      <alignment horizontal="center" vertical="center"/>
    </xf>
    <xf numFmtId="0" fontId="11" fillId="0" borderId="12" xfId="0" applyFont="1" applyBorder="1" applyAlignment="1">
      <alignment horizontal="center" vertical="center"/>
    </xf>
    <xf numFmtId="0" fontId="6" fillId="0" borderId="0" xfId="0" applyFont="1" applyAlignment="1">
      <alignment horizontal="center" vertical="center" shrinkToFit="1"/>
    </xf>
    <xf numFmtId="0" fontId="18" fillId="0" borderId="20" xfId="0" applyFont="1" applyFill="1" applyBorder="1" applyAlignment="1">
      <alignment vertical="center" shrinkToFit="1"/>
    </xf>
    <xf numFmtId="0" fontId="17" fillId="0" borderId="19" xfId="0" applyFont="1" applyBorder="1" applyAlignment="1">
      <alignment vertical="center" shrinkToFit="1"/>
    </xf>
    <xf numFmtId="0" fontId="19" fillId="0" borderId="17" xfId="0" applyFont="1" applyFill="1" applyBorder="1" applyAlignment="1">
      <alignment vertical="center" shrinkToFit="1"/>
    </xf>
    <xf numFmtId="0" fontId="19" fillId="0" borderId="23" xfId="0" applyFont="1" applyBorder="1" applyAlignment="1">
      <alignment vertical="center" shrinkToFit="1"/>
    </xf>
    <xf numFmtId="0" fontId="6" fillId="0" borderId="27" xfId="0" applyFont="1" applyBorder="1" applyAlignment="1">
      <alignment horizontal="center" vertical="center" shrinkToFit="1"/>
    </xf>
    <xf numFmtId="0" fontId="6" fillId="0" borderId="28" xfId="0" applyFont="1" applyBorder="1" applyAlignment="1">
      <alignment horizontal="center" vertical="center" shrinkToFit="1"/>
    </xf>
    <xf numFmtId="0" fontId="17" fillId="0" borderId="49" xfId="0" applyFont="1" applyFill="1" applyBorder="1" applyAlignment="1">
      <alignment vertical="center" shrinkToFit="1"/>
    </xf>
    <xf numFmtId="0" fontId="17" fillId="0" borderId="43" xfId="0" applyFont="1" applyBorder="1" applyAlignment="1">
      <alignment vertical="center" shrinkToFit="1"/>
    </xf>
    <xf numFmtId="0" fontId="17" fillId="0" borderId="20" xfId="0" applyFont="1" applyFill="1" applyBorder="1" applyAlignment="1">
      <alignment vertical="center" shrinkToFit="1"/>
    </xf>
    <xf numFmtId="0" fontId="18" fillId="0" borderId="5" xfId="0" applyFont="1" applyFill="1" applyBorder="1" applyAlignment="1">
      <alignment vertical="center" shrinkToFit="1"/>
    </xf>
    <xf numFmtId="0" fontId="17" fillId="0" borderId="10" xfId="0" applyFont="1" applyBorder="1" applyAlignment="1">
      <alignment vertical="center" shrinkToFit="1"/>
    </xf>
    <xf numFmtId="0" fontId="6" fillId="0" borderId="2" xfId="0" applyFont="1" applyBorder="1" applyAlignment="1">
      <alignment horizontal="center" vertical="center"/>
    </xf>
    <xf numFmtId="0" fontId="6" fillId="0" borderId="3" xfId="0" applyFont="1" applyBorder="1" applyAlignment="1">
      <alignment horizontal="center" vertical="center"/>
    </xf>
    <xf numFmtId="0" fontId="6" fillId="0" borderId="4" xfId="0" applyFont="1" applyBorder="1" applyAlignment="1">
      <alignment horizontal="center" vertical="center"/>
    </xf>
    <xf numFmtId="0" fontId="6" fillId="0" borderId="16" xfId="0" applyFont="1" applyBorder="1" applyAlignment="1">
      <alignment vertical="center" wrapText="1"/>
    </xf>
    <xf numFmtId="0" fontId="6" fillId="0" borderId="40" xfId="0" applyFont="1" applyBorder="1" applyAlignment="1">
      <alignment vertical="center" wrapText="1"/>
    </xf>
    <xf numFmtId="0" fontId="6" fillId="0" borderId="7" xfId="0" applyFont="1" applyBorder="1" applyAlignment="1">
      <alignment horizontal="left" vertical="top" wrapText="1"/>
    </xf>
    <xf numFmtId="0" fontId="6" fillId="0" borderId="8" xfId="0" applyFont="1" applyBorder="1" applyAlignment="1">
      <alignment horizontal="left" vertical="top" wrapText="1"/>
    </xf>
    <xf numFmtId="0" fontId="6" fillId="0" borderId="9" xfId="0" applyFont="1" applyBorder="1" applyAlignment="1">
      <alignment horizontal="left" vertical="top" wrapText="1"/>
    </xf>
    <xf numFmtId="0" fontId="6" fillId="0" borderId="5" xfId="0" applyFont="1" applyBorder="1" applyAlignment="1">
      <alignment horizontal="left" vertical="top" wrapText="1"/>
    </xf>
    <xf numFmtId="0" fontId="6" fillId="0" borderId="0" xfId="0" applyFont="1" applyBorder="1" applyAlignment="1">
      <alignment horizontal="left" vertical="top" wrapText="1"/>
    </xf>
    <xf numFmtId="0" fontId="6" fillId="0" borderId="10" xfId="0" applyFont="1" applyBorder="1" applyAlignment="1">
      <alignment horizontal="left" vertical="top" wrapText="1"/>
    </xf>
    <xf numFmtId="0" fontId="6" fillId="0" borderId="11" xfId="0" applyFont="1" applyBorder="1" applyAlignment="1">
      <alignment horizontal="left" vertical="top" wrapText="1"/>
    </xf>
    <xf numFmtId="0" fontId="6" fillId="0" borderId="6" xfId="0" applyFont="1" applyBorder="1" applyAlignment="1">
      <alignment horizontal="left" vertical="top" wrapText="1"/>
    </xf>
    <xf numFmtId="0" fontId="6" fillId="0" borderId="12" xfId="0" applyFont="1" applyBorder="1" applyAlignment="1">
      <alignment horizontal="left" vertical="top" wrapText="1"/>
    </xf>
    <xf numFmtId="0" fontId="6" fillId="0" borderId="13" xfId="0" applyFont="1" applyBorder="1" applyAlignment="1">
      <alignment vertical="center" wrapText="1"/>
    </xf>
    <xf numFmtId="0" fontId="6" fillId="0" borderId="7" xfId="0" applyFont="1" applyBorder="1" applyAlignment="1">
      <alignment horizontal="left" vertical="top" wrapText="1" shrinkToFit="1"/>
    </xf>
    <xf numFmtId="0" fontId="6" fillId="0" borderId="8" xfId="0" applyFont="1" applyBorder="1" applyAlignment="1">
      <alignment horizontal="left" vertical="top" wrapText="1" shrinkToFit="1"/>
    </xf>
    <xf numFmtId="0" fontId="6" fillId="0" borderId="9" xfId="0" applyFont="1" applyBorder="1" applyAlignment="1">
      <alignment horizontal="left" vertical="top" wrapText="1" shrinkToFit="1"/>
    </xf>
    <xf numFmtId="0" fontId="6" fillId="0" borderId="5" xfId="0" applyFont="1" applyBorder="1" applyAlignment="1">
      <alignment horizontal="left" vertical="top" wrapText="1" shrinkToFit="1"/>
    </xf>
    <xf numFmtId="0" fontId="6" fillId="0" borderId="0" xfId="0" applyFont="1" applyBorder="1" applyAlignment="1">
      <alignment horizontal="left" vertical="top" wrapText="1" shrinkToFit="1"/>
    </xf>
    <xf numFmtId="0" fontId="6" fillId="0" borderId="10" xfId="0" applyFont="1" applyBorder="1" applyAlignment="1">
      <alignment horizontal="left" vertical="top" wrapText="1" shrinkToFit="1"/>
    </xf>
    <xf numFmtId="0" fontId="6" fillId="0" borderId="11" xfId="0" applyFont="1" applyBorder="1" applyAlignment="1">
      <alignment horizontal="left" vertical="top" wrapText="1" shrinkToFit="1"/>
    </xf>
    <xf numFmtId="0" fontId="6" fillId="0" borderId="6" xfId="0" applyFont="1" applyBorder="1" applyAlignment="1">
      <alignment horizontal="left" vertical="top" wrapText="1" shrinkToFit="1"/>
    </xf>
    <xf numFmtId="0" fontId="6" fillId="0" borderId="12" xfId="0" applyFont="1" applyBorder="1" applyAlignment="1">
      <alignment horizontal="left" vertical="top" wrapText="1" shrinkToFit="1"/>
    </xf>
    <xf numFmtId="0" fontId="6" fillId="0" borderId="8" xfId="0" applyFont="1" applyBorder="1" applyAlignment="1">
      <alignment horizontal="left" vertical="top" shrinkToFit="1"/>
    </xf>
    <xf numFmtId="0" fontId="6" fillId="0" borderId="9" xfId="0" applyFont="1" applyBorder="1" applyAlignment="1">
      <alignment horizontal="left" vertical="top" shrinkToFit="1"/>
    </xf>
    <xf numFmtId="0" fontId="6" fillId="0" borderId="5" xfId="0" applyFont="1" applyBorder="1" applyAlignment="1">
      <alignment horizontal="left" vertical="top" shrinkToFit="1"/>
    </xf>
    <xf numFmtId="0" fontId="6" fillId="0" borderId="0" xfId="0" applyFont="1" applyBorder="1" applyAlignment="1">
      <alignment horizontal="left" vertical="top" shrinkToFit="1"/>
    </xf>
    <xf numFmtId="0" fontId="6" fillId="0" borderId="10" xfId="0" applyFont="1" applyBorder="1" applyAlignment="1">
      <alignment horizontal="left" vertical="top" shrinkToFit="1"/>
    </xf>
    <xf numFmtId="0" fontId="6" fillId="0" borderId="11" xfId="0" applyFont="1" applyBorder="1" applyAlignment="1">
      <alignment horizontal="left" vertical="top" shrinkToFit="1"/>
    </xf>
    <xf numFmtId="0" fontId="6" fillId="0" borderId="6" xfId="0" applyFont="1" applyBorder="1" applyAlignment="1">
      <alignment horizontal="left" vertical="top" shrinkToFit="1"/>
    </xf>
    <xf numFmtId="0" fontId="6" fillId="0" borderId="12" xfId="0" applyFont="1" applyBorder="1" applyAlignment="1">
      <alignment horizontal="left" vertical="top" shrinkToFit="1"/>
    </xf>
    <xf numFmtId="0" fontId="6" fillId="0" borderId="1" xfId="0" applyFont="1" applyBorder="1" applyAlignment="1">
      <alignment horizontal="left" vertical="center" shrinkToFit="1"/>
    </xf>
    <xf numFmtId="0" fontId="10" fillId="0" borderId="0" xfId="2">
      <alignment vertical="center"/>
    </xf>
    <xf numFmtId="0" fontId="0" fillId="0" borderId="0" xfId="0">
      <alignment vertical="center"/>
    </xf>
    <xf numFmtId="0" fontId="6" fillId="0" borderId="7" xfId="0" applyFont="1" applyBorder="1" applyAlignment="1">
      <alignment vertical="top" wrapText="1" shrinkToFit="1"/>
    </xf>
    <xf numFmtId="0" fontId="6" fillId="0" borderId="8" xfId="0" applyFont="1" applyBorder="1" applyAlignment="1">
      <alignment vertical="top" wrapText="1" shrinkToFit="1"/>
    </xf>
    <xf numFmtId="0" fontId="6" fillId="0" borderId="9" xfId="0" applyFont="1" applyBorder="1" applyAlignment="1">
      <alignment vertical="top" wrapText="1" shrinkToFit="1"/>
    </xf>
    <xf numFmtId="0" fontId="6" fillId="0" borderId="5" xfId="0" applyFont="1" applyBorder="1" applyAlignment="1">
      <alignment vertical="top" wrapText="1" shrinkToFit="1"/>
    </xf>
    <xf numFmtId="0" fontId="6" fillId="0" borderId="0" xfId="0" applyFont="1" applyBorder="1" applyAlignment="1">
      <alignment vertical="top" wrapText="1" shrinkToFit="1"/>
    </xf>
    <xf numFmtId="0" fontId="6" fillId="0" borderId="10" xfId="0" applyFont="1" applyBorder="1" applyAlignment="1">
      <alignment vertical="top" wrapText="1" shrinkToFit="1"/>
    </xf>
    <xf numFmtId="0" fontId="6" fillId="0" borderId="11" xfId="0" applyFont="1" applyBorder="1" applyAlignment="1">
      <alignment vertical="top" wrapText="1" shrinkToFit="1"/>
    </xf>
    <xf numFmtId="0" fontId="6" fillId="0" borderId="6" xfId="0" applyFont="1" applyBorder="1" applyAlignment="1">
      <alignment vertical="top" wrapText="1" shrinkToFit="1"/>
    </xf>
    <xf numFmtId="0" fontId="6" fillId="0" borderId="12" xfId="0" applyFont="1" applyBorder="1" applyAlignment="1">
      <alignment vertical="top" wrapText="1" shrinkToFit="1"/>
    </xf>
    <xf numFmtId="0" fontId="6" fillId="0" borderId="1" xfId="0" applyFont="1" applyBorder="1" applyAlignment="1">
      <alignment vertical="center" shrinkToFit="1"/>
    </xf>
    <xf numFmtId="0" fontId="6" fillId="0" borderId="7" xfId="0" applyFont="1" applyFill="1" applyBorder="1" applyAlignment="1">
      <alignment vertical="top" wrapText="1" shrinkToFit="1"/>
    </xf>
    <xf numFmtId="0" fontId="6" fillId="0" borderId="8" xfId="0" applyFont="1" applyFill="1" applyBorder="1" applyAlignment="1">
      <alignment vertical="top" shrinkToFit="1"/>
    </xf>
    <xf numFmtId="0" fontId="6" fillId="0" borderId="9" xfId="0" applyFont="1" applyFill="1" applyBorder="1" applyAlignment="1">
      <alignment vertical="top" shrinkToFit="1"/>
    </xf>
    <xf numFmtId="0" fontId="6" fillId="0" borderId="5" xfId="0" applyFont="1" applyFill="1" applyBorder="1" applyAlignment="1">
      <alignment vertical="top" shrinkToFit="1"/>
    </xf>
    <xf numFmtId="0" fontId="6" fillId="0" borderId="0" xfId="0" applyFont="1" applyFill="1" applyBorder="1" applyAlignment="1">
      <alignment vertical="top" shrinkToFit="1"/>
    </xf>
    <xf numFmtId="0" fontId="6" fillId="0" borderId="10" xfId="0" applyFont="1" applyFill="1" applyBorder="1" applyAlignment="1">
      <alignment vertical="top" shrinkToFit="1"/>
    </xf>
    <xf numFmtId="0" fontId="6" fillId="0" borderId="11" xfId="0" applyFont="1" applyFill="1" applyBorder="1" applyAlignment="1">
      <alignment vertical="top" shrinkToFit="1"/>
    </xf>
    <xf numFmtId="0" fontId="6" fillId="0" borderId="6" xfId="0" applyFont="1" applyFill="1" applyBorder="1" applyAlignment="1">
      <alignment vertical="top" shrinkToFit="1"/>
    </xf>
    <xf numFmtId="0" fontId="6" fillId="0" borderId="12" xfId="0" applyFont="1" applyFill="1" applyBorder="1" applyAlignment="1">
      <alignment vertical="top" shrinkToFit="1"/>
    </xf>
    <xf numFmtId="0" fontId="6" fillId="0" borderId="6" xfId="0" applyFont="1" applyBorder="1" applyAlignment="1">
      <alignment vertical="center"/>
    </xf>
    <xf numFmtId="0" fontId="6" fillId="0" borderId="8" xfId="0" applyFont="1" applyBorder="1" applyAlignment="1">
      <alignment vertical="top" shrinkToFit="1"/>
    </xf>
    <xf numFmtId="0" fontId="6" fillId="0" borderId="9" xfId="0" applyFont="1" applyBorder="1" applyAlignment="1">
      <alignment vertical="top" shrinkToFit="1"/>
    </xf>
    <xf numFmtId="0" fontId="6" fillId="0" borderId="5" xfId="0" applyFont="1" applyBorder="1" applyAlignment="1">
      <alignment vertical="top" shrinkToFit="1"/>
    </xf>
    <xf numFmtId="0" fontId="6" fillId="0" borderId="0" xfId="0" applyFont="1" applyBorder="1" applyAlignment="1">
      <alignment vertical="top" shrinkToFit="1"/>
    </xf>
    <xf numFmtId="0" fontId="6" fillId="0" borderId="10" xfId="0" applyFont="1" applyBorder="1" applyAlignment="1">
      <alignment vertical="top" shrinkToFit="1"/>
    </xf>
    <xf numFmtId="0" fontId="6" fillId="0" borderId="11" xfId="0" applyFont="1" applyBorder="1" applyAlignment="1">
      <alignment vertical="top" shrinkToFit="1"/>
    </xf>
    <xf numFmtId="0" fontId="6" fillId="0" borderId="6" xfId="0" applyFont="1" applyBorder="1" applyAlignment="1">
      <alignment vertical="top" shrinkToFit="1"/>
    </xf>
    <xf numFmtId="0" fontId="6" fillId="0" borderId="12" xfId="0" applyFont="1" applyBorder="1" applyAlignment="1">
      <alignment vertical="top" shrinkToFit="1"/>
    </xf>
    <xf numFmtId="0" fontId="6" fillId="0" borderId="0" xfId="0" applyFont="1" applyAlignment="1">
      <alignment vertical="center" shrinkToFit="1"/>
    </xf>
    <xf numFmtId="0" fontId="6" fillId="0" borderId="8" xfId="0" applyFont="1" applyFill="1" applyBorder="1" applyAlignment="1">
      <alignment vertical="top" wrapText="1" shrinkToFit="1"/>
    </xf>
    <xf numFmtId="0" fontId="6" fillId="0" borderId="9" xfId="0" applyFont="1" applyFill="1" applyBorder="1" applyAlignment="1">
      <alignment vertical="top" wrapText="1" shrinkToFit="1"/>
    </xf>
    <xf numFmtId="0" fontId="6" fillId="0" borderId="5" xfId="0" applyFont="1" applyFill="1" applyBorder="1" applyAlignment="1">
      <alignment vertical="top" wrapText="1" shrinkToFit="1"/>
    </xf>
    <xf numFmtId="0" fontId="6" fillId="0" borderId="0" xfId="0" applyFont="1" applyFill="1" applyBorder="1" applyAlignment="1">
      <alignment vertical="top" wrapText="1" shrinkToFit="1"/>
    </xf>
    <xf numFmtId="0" fontId="6" fillId="0" borderId="10" xfId="0" applyFont="1" applyFill="1" applyBorder="1" applyAlignment="1">
      <alignment vertical="top" wrapText="1" shrinkToFit="1"/>
    </xf>
    <xf numFmtId="0" fontId="6" fillId="0" borderId="11" xfId="0" applyFont="1" applyFill="1" applyBorder="1" applyAlignment="1">
      <alignment vertical="top" wrapText="1" shrinkToFit="1"/>
    </xf>
    <xf numFmtId="0" fontId="6" fillId="0" borderId="6" xfId="0" applyFont="1" applyFill="1" applyBorder="1" applyAlignment="1">
      <alignment vertical="top" wrapText="1" shrinkToFit="1"/>
    </xf>
    <xf numFmtId="0" fontId="6" fillId="0" borderId="12" xfId="0" applyFont="1" applyFill="1" applyBorder="1" applyAlignment="1">
      <alignment vertical="top" wrapText="1" shrinkToFit="1"/>
    </xf>
    <xf numFmtId="0" fontId="6" fillId="0" borderId="4" xfId="0" applyFont="1" applyFill="1" applyBorder="1" applyAlignment="1">
      <alignment vertical="center" shrinkToFit="1"/>
    </xf>
    <xf numFmtId="0" fontId="6" fillId="0" borderId="20" xfId="0" applyFont="1" applyBorder="1" applyAlignment="1">
      <alignment vertical="center" wrapText="1"/>
    </xf>
    <xf numFmtId="0" fontId="6" fillId="0" borderId="21" xfId="0" applyFont="1" applyBorder="1" applyAlignment="1">
      <alignment vertical="center" wrapText="1"/>
    </xf>
    <xf numFmtId="0" fontId="6" fillId="0" borderId="19" xfId="0" applyFont="1" applyBorder="1" applyAlignment="1">
      <alignment vertical="center" wrapText="1"/>
    </xf>
    <xf numFmtId="0" fontId="6" fillId="0" borderId="21" xfId="0" applyFont="1" applyBorder="1" applyAlignment="1">
      <alignment vertical="top" wrapText="1" shrinkToFit="1"/>
    </xf>
    <xf numFmtId="0" fontId="6" fillId="0" borderId="19" xfId="0" applyFont="1" applyBorder="1" applyAlignment="1">
      <alignment vertical="top" wrapText="1" shrinkToFit="1"/>
    </xf>
    <xf numFmtId="0" fontId="6" fillId="0" borderId="11" xfId="0" applyFont="1" applyBorder="1" applyAlignment="1">
      <alignment vertical="center" wrapText="1"/>
    </xf>
    <xf numFmtId="0" fontId="6" fillId="0" borderId="6" xfId="0" applyFont="1" applyBorder="1" applyAlignment="1">
      <alignment vertical="center" wrapText="1"/>
    </xf>
    <xf numFmtId="0" fontId="6" fillId="0" borderId="12" xfId="0" applyFont="1" applyBorder="1" applyAlignment="1">
      <alignment vertical="center" wrapText="1"/>
    </xf>
    <xf numFmtId="0" fontId="10" fillId="0" borderId="2" xfId="2" applyBorder="1" applyAlignment="1">
      <alignment horizontal="left" vertical="center" shrinkToFit="1"/>
    </xf>
    <xf numFmtId="0" fontId="8" fillId="0" borderId="3" xfId="0" applyFont="1" applyBorder="1" applyAlignment="1">
      <alignment horizontal="left" vertical="center" shrinkToFit="1"/>
    </xf>
    <xf numFmtId="0" fontId="8" fillId="0" borderId="4" xfId="0" applyFont="1" applyBorder="1" applyAlignment="1">
      <alignment horizontal="left" vertical="center" shrinkToFit="1"/>
    </xf>
    <xf numFmtId="0" fontId="6" fillId="0" borderId="18" xfId="0" applyFont="1" applyBorder="1" applyAlignment="1">
      <alignment vertical="center" wrapText="1"/>
    </xf>
    <xf numFmtId="0" fontId="6" fillId="0" borderId="20" xfId="0" applyFont="1" applyBorder="1" applyAlignment="1">
      <alignment vertical="top" wrapText="1" shrinkToFit="1"/>
    </xf>
    <xf numFmtId="0" fontId="6" fillId="0" borderId="22" xfId="0" applyFont="1" applyBorder="1" applyAlignment="1">
      <alignment vertical="center" wrapText="1"/>
    </xf>
    <xf numFmtId="0" fontId="6" fillId="0" borderId="23" xfId="0" applyFont="1" applyBorder="1" applyAlignment="1">
      <alignment vertical="center" wrapText="1"/>
    </xf>
    <xf numFmtId="0" fontId="6" fillId="0" borderId="24" xfId="0" applyFont="1" applyBorder="1" applyAlignment="1">
      <alignment vertical="top" wrapText="1" shrinkToFit="1"/>
    </xf>
    <xf numFmtId="0" fontId="6" fillId="0" borderId="23" xfId="0" applyFont="1" applyBorder="1" applyAlignment="1">
      <alignment vertical="top" wrapText="1" shrinkToFit="1"/>
    </xf>
    <xf numFmtId="0" fontId="6" fillId="0" borderId="18" xfId="0" applyFont="1" applyBorder="1" applyAlignment="1">
      <alignment vertical="center"/>
    </xf>
    <xf numFmtId="0" fontId="14" fillId="0" borderId="19" xfId="0" applyFont="1" applyBorder="1" applyAlignment="1">
      <alignment vertical="center"/>
    </xf>
    <xf numFmtId="0" fontId="6" fillId="0" borderId="20" xfId="0" applyFont="1" applyFill="1" applyBorder="1" applyAlignment="1">
      <alignment vertical="top" wrapText="1" shrinkToFit="1"/>
    </xf>
    <xf numFmtId="0" fontId="6" fillId="0" borderId="21" xfId="0" applyFont="1" applyFill="1" applyBorder="1" applyAlignment="1">
      <alignment vertical="top" wrapText="1" shrinkToFit="1"/>
    </xf>
    <xf numFmtId="0" fontId="6" fillId="0" borderId="19" xfId="0" applyFont="1" applyFill="1" applyBorder="1" applyAlignment="1">
      <alignment vertical="top" wrapText="1" shrinkToFit="1"/>
    </xf>
    <xf numFmtId="0" fontId="8" fillId="0" borderId="0" xfId="0" applyFont="1" applyAlignment="1">
      <alignment vertical="top" wrapText="1"/>
    </xf>
  </cellXfs>
  <cellStyles count="3">
    <cellStyle name="ハイパーリンク" xfId="2" builtinId="8"/>
    <cellStyle name="桁区切り" xfId="1" builtinId="6"/>
    <cellStyle name="標準"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5" Type="http://schemas.openxmlformats.org/officeDocument/2006/relationships/worksheet" Target="worksheets/sheet5.xml"/><Relationship Id="rId10"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sharedStrings" Target="sharedStrings.xml"/></Relationships>
</file>

<file path=xl/theme/theme1.xml><?xml version="1.0" encoding="utf-8"?>
<a:theme xmlns:a="http://schemas.openxmlformats.org/drawingml/2006/main" name="Office テーマ">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2" Type="http://schemas.openxmlformats.org/officeDocument/2006/relationships/printerSettings" Target="../printerSettings/printerSettings4.bin"/><Relationship Id="rId1" Type="http://schemas.openxmlformats.org/officeDocument/2006/relationships/hyperlink" Target="http://www2.ct.osakafu-u.ac.jp/edu-res-info/datascience/" TargetMode="External"/></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2" Type="http://schemas.openxmlformats.org/officeDocument/2006/relationships/printerSettings" Target="../printerSettings/printerSettings6.bin"/><Relationship Id="rId1" Type="http://schemas.openxmlformats.org/officeDocument/2006/relationships/hyperlink" Target="http://www2.ct.osakafu-u.ac.jp/edu-res-info/datascience/"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N50"/>
  <sheetViews>
    <sheetView tabSelected="1" zoomScaleNormal="100" workbookViewId="0">
      <selection activeCell="X31" sqref="X31"/>
    </sheetView>
  </sheetViews>
  <sheetFormatPr defaultColWidth="9" defaultRowHeight="18.75" customHeight="1" x14ac:dyDescent="0.15"/>
  <cols>
    <col min="1" max="1" width="2.5" style="44" customWidth="1"/>
    <col min="2" max="2" width="12.5" style="44" customWidth="1"/>
    <col min="3" max="8" width="6.125" style="44" customWidth="1"/>
    <col min="9" max="9" width="2.5" style="44" customWidth="1"/>
    <col min="10" max="10" width="10" style="44" customWidth="1"/>
    <col min="11" max="11" width="2.5" style="44" customWidth="1"/>
    <col min="12" max="12" width="7.5" style="44" customWidth="1"/>
    <col min="13" max="13" width="2.5" style="44" customWidth="1"/>
    <col min="14" max="14" width="7.5" style="44" customWidth="1"/>
    <col min="15" max="16384" width="9" style="44"/>
  </cols>
  <sheetData>
    <row r="1" spans="1:14" ht="22.5" customHeight="1" x14ac:dyDescent="0.15">
      <c r="M1" s="145" t="s">
        <v>28</v>
      </c>
      <c r="N1" s="145"/>
    </row>
    <row r="2" spans="1:14" ht="22.5" customHeight="1" x14ac:dyDescent="0.15">
      <c r="A2" s="153" t="s">
        <v>125</v>
      </c>
      <c r="B2" s="153"/>
      <c r="C2" s="153"/>
      <c r="D2" s="153"/>
      <c r="E2" s="153"/>
      <c r="F2" s="153"/>
      <c r="G2" s="153"/>
      <c r="H2" s="153"/>
      <c r="I2" s="153"/>
      <c r="J2" s="153"/>
      <c r="K2" s="153"/>
      <c r="L2" s="153"/>
      <c r="M2" s="153"/>
      <c r="N2" s="153"/>
    </row>
    <row r="3" spans="1:14" ht="22.5" customHeight="1" x14ac:dyDescent="0.15"/>
    <row r="4" spans="1:14" ht="22.5" customHeight="1" x14ac:dyDescent="0.15">
      <c r="A4" s="44" t="s">
        <v>7</v>
      </c>
      <c r="B4" s="3" t="s">
        <v>19</v>
      </c>
      <c r="C4" s="148" t="s">
        <v>174</v>
      </c>
      <c r="D4" s="149"/>
      <c r="E4" s="149"/>
      <c r="F4" s="149"/>
      <c r="G4" s="149"/>
      <c r="H4" s="149"/>
      <c r="I4" s="149"/>
      <c r="J4" s="149"/>
      <c r="K4" s="149"/>
      <c r="L4" s="149"/>
      <c r="M4" s="149"/>
      <c r="N4" s="150"/>
    </row>
    <row r="5" spans="1:14" ht="7.5" customHeight="1" x14ac:dyDescent="0.15">
      <c r="B5" s="3"/>
      <c r="C5" s="3"/>
      <c r="D5" s="3"/>
      <c r="E5" s="48"/>
      <c r="F5" s="11"/>
      <c r="G5" s="11"/>
      <c r="H5" s="11"/>
      <c r="I5" s="11"/>
      <c r="J5" s="11"/>
      <c r="K5" s="11"/>
      <c r="L5" s="11"/>
      <c r="M5" s="11"/>
      <c r="N5" s="11"/>
    </row>
    <row r="6" spans="1:14" ht="22.5" customHeight="1" x14ac:dyDescent="0.15">
      <c r="A6" s="44" t="s">
        <v>54</v>
      </c>
      <c r="B6" s="3" t="s">
        <v>55</v>
      </c>
      <c r="C6" s="3"/>
      <c r="D6" s="148" t="s">
        <v>175</v>
      </c>
      <c r="E6" s="149"/>
      <c r="F6" s="149"/>
      <c r="G6" s="149"/>
      <c r="H6" s="149"/>
      <c r="I6" s="149"/>
      <c r="J6" s="149"/>
      <c r="K6" s="149"/>
      <c r="L6" s="149"/>
      <c r="M6" s="149"/>
      <c r="N6" s="150"/>
    </row>
    <row r="7" spans="1:14" ht="7.5" customHeight="1" x14ac:dyDescent="0.15">
      <c r="B7" s="3"/>
      <c r="C7" s="3"/>
      <c r="D7" s="3"/>
      <c r="E7" s="48"/>
      <c r="F7" s="11"/>
      <c r="G7" s="11"/>
      <c r="H7" s="11"/>
      <c r="I7" s="11"/>
      <c r="J7" s="11"/>
      <c r="K7" s="11"/>
      <c r="L7" s="11"/>
      <c r="M7" s="11"/>
      <c r="N7" s="11"/>
    </row>
    <row r="8" spans="1:14" ht="22.5" customHeight="1" x14ac:dyDescent="0.15">
      <c r="A8" s="49" t="s">
        <v>13</v>
      </c>
      <c r="B8" s="50" t="s">
        <v>56</v>
      </c>
      <c r="C8" s="148" t="s">
        <v>176</v>
      </c>
      <c r="D8" s="149"/>
      <c r="E8" s="150"/>
      <c r="F8" s="11"/>
      <c r="G8" s="152"/>
      <c r="H8" s="152"/>
      <c r="I8" s="152"/>
      <c r="J8" s="11"/>
      <c r="K8" s="11"/>
      <c r="L8" s="11"/>
      <c r="M8" s="11"/>
      <c r="N8" s="11"/>
    </row>
    <row r="9" spans="1:14" ht="7.5" customHeight="1" x14ac:dyDescent="0.15">
      <c r="B9" s="3"/>
      <c r="C9" s="3"/>
      <c r="D9" s="3"/>
      <c r="E9" s="48"/>
      <c r="F9" s="11"/>
      <c r="G9" s="11"/>
      <c r="H9" s="11"/>
      <c r="I9" s="11"/>
      <c r="J9" s="11"/>
      <c r="K9" s="11"/>
      <c r="L9" s="11"/>
      <c r="M9" s="11"/>
      <c r="N9" s="11"/>
    </row>
    <row r="10" spans="1:14" ht="22.5" customHeight="1" x14ac:dyDescent="0.15">
      <c r="A10" s="44" t="s">
        <v>16</v>
      </c>
      <c r="B10" s="3" t="s">
        <v>51</v>
      </c>
      <c r="C10" s="148" t="s">
        <v>177</v>
      </c>
      <c r="D10" s="149"/>
      <c r="E10" s="149"/>
      <c r="F10" s="149"/>
      <c r="G10" s="149"/>
      <c r="H10" s="149"/>
      <c r="I10" s="149"/>
      <c r="J10" s="149"/>
      <c r="K10" s="149"/>
      <c r="L10" s="149"/>
      <c r="M10" s="149"/>
      <c r="N10" s="150"/>
    </row>
    <row r="11" spans="1:14" ht="7.5" customHeight="1" x14ac:dyDescent="0.15">
      <c r="B11" s="3"/>
      <c r="C11" s="3"/>
      <c r="D11" s="3"/>
      <c r="E11" s="48"/>
      <c r="F11" s="11"/>
      <c r="G11" s="11"/>
      <c r="H11" s="11"/>
      <c r="I11" s="11"/>
      <c r="J11" s="11"/>
      <c r="K11" s="11"/>
      <c r="L11" s="11"/>
      <c r="M11" s="11"/>
      <c r="N11" s="11"/>
    </row>
    <row r="12" spans="1:14" ht="22.5" customHeight="1" x14ac:dyDescent="0.15">
      <c r="A12" s="44" t="s">
        <v>14</v>
      </c>
      <c r="B12" s="3" t="s">
        <v>121</v>
      </c>
      <c r="C12" s="3"/>
      <c r="D12" s="3"/>
      <c r="E12" s="11"/>
      <c r="F12" s="51"/>
      <c r="G12" s="154" t="s">
        <v>215</v>
      </c>
      <c r="H12" s="155"/>
      <c r="I12" s="155"/>
      <c r="J12" s="155"/>
      <c r="K12" s="155"/>
      <c r="L12" s="155"/>
      <c r="M12" s="155"/>
      <c r="N12" s="156"/>
    </row>
    <row r="13" spans="1:14" ht="7.5" customHeight="1" x14ac:dyDescent="0.15">
      <c r="B13" s="48"/>
      <c r="C13" s="48"/>
      <c r="D13" s="48"/>
      <c r="E13" s="48"/>
      <c r="F13" s="11"/>
      <c r="G13" s="11"/>
      <c r="H13" s="11"/>
      <c r="I13" s="11"/>
      <c r="J13" s="11"/>
      <c r="K13" s="11"/>
      <c r="L13" s="11"/>
      <c r="M13" s="11"/>
      <c r="N13" s="11"/>
    </row>
    <row r="14" spans="1:14" ht="22.5" customHeight="1" x14ac:dyDescent="0.15">
      <c r="A14" s="44" t="s">
        <v>66</v>
      </c>
      <c r="B14" s="48" t="s">
        <v>67</v>
      </c>
      <c r="C14" s="48"/>
      <c r="D14" s="48"/>
      <c r="E14" s="48"/>
      <c r="F14" s="148" t="s">
        <v>206</v>
      </c>
      <c r="G14" s="149"/>
      <c r="H14" s="150"/>
      <c r="I14" s="11"/>
      <c r="J14" s="11"/>
      <c r="K14" s="11"/>
      <c r="L14" s="11"/>
      <c r="M14" s="11"/>
      <c r="N14" s="11"/>
    </row>
    <row r="15" spans="1:14" ht="7.5" customHeight="1" x14ac:dyDescent="0.15">
      <c r="B15" s="48"/>
      <c r="C15" s="48"/>
      <c r="D15" s="48"/>
      <c r="E15" s="48"/>
      <c r="F15" s="11"/>
      <c r="G15" s="11"/>
      <c r="H15" s="11"/>
      <c r="I15" s="11"/>
      <c r="J15" s="11"/>
      <c r="K15" s="11"/>
      <c r="L15" s="11"/>
      <c r="M15" s="11"/>
      <c r="N15" s="11"/>
    </row>
    <row r="16" spans="1:14" ht="22.5" customHeight="1" x14ac:dyDescent="0.15">
      <c r="A16" s="44" t="s">
        <v>15</v>
      </c>
      <c r="B16" s="52" t="s">
        <v>0</v>
      </c>
      <c r="C16" s="146" t="s">
        <v>6</v>
      </c>
      <c r="D16" s="147"/>
      <c r="E16" s="133">
        <v>67</v>
      </c>
      <c r="F16" s="134"/>
      <c r="G16" s="53" t="s">
        <v>10</v>
      </c>
      <c r="H16" s="52"/>
      <c r="I16" s="146" t="s">
        <v>11</v>
      </c>
      <c r="J16" s="147"/>
      <c r="K16" s="133">
        <v>51</v>
      </c>
      <c r="L16" s="151"/>
      <c r="M16" s="134"/>
      <c r="N16" s="54" t="s">
        <v>10</v>
      </c>
    </row>
    <row r="17" spans="1:14" ht="7.5" customHeight="1" x14ac:dyDescent="0.15">
      <c r="B17" s="52"/>
      <c r="C17" s="52"/>
      <c r="D17" s="52"/>
      <c r="E17" s="52"/>
      <c r="F17" s="55"/>
      <c r="G17" s="55"/>
      <c r="H17" s="55"/>
      <c r="I17" s="55"/>
      <c r="J17" s="55"/>
      <c r="K17" s="55"/>
      <c r="L17" s="55"/>
      <c r="M17" s="54"/>
      <c r="N17" s="54"/>
    </row>
    <row r="18" spans="1:14" ht="22.5" customHeight="1" x14ac:dyDescent="0.15">
      <c r="A18" s="44" t="s">
        <v>60</v>
      </c>
      <c r="B18" s="52" t="s">
        <v>88</v>
      </c>
      <c r="C18" s="52"/>
      <c r="D18" s="52"/>
      <c r="E18" s="52"/>
      <c r="F18" s="55"/>
      <c r="G18" s="55"/>
      <c r="H18" s="55"/>
      <c r="I18" s="55"/>
      <c r="J18" s="55"/>
      <c r="K18" s="139">
        <v>83</v>
      </c>
      <c r="L18" s="140"/>
      <c r="M18" s="141"/>
      <c r="N18" s="54" t="s">
        <v>58</v>
      </c>
    </row>
    <row r="19" spans="1:14" ht="7.5" customHeight="1" x14ac:dyDescent="0.15">
      <c r="B19" s="52"/>
      <c r="C19" s="52"/>
      <c r="D19" s="52"/>
      <c r="E19" s="52"/>
      <c r="F19" s="55"/>
      <c r="G19" s="55"/>
      <c r="H19" s="55"/>
      <c r="I19" s="55"/>
      <c r="J19" s="55"/>
      <c r="K19" s="55"/>
      <c r="L19" s="55"/>
      <c r="M19" s="54"/>
      <c r="N19" s="54"/>
    </row>
    <row r="20" spans="1:14" ht="22.5" customHeight="1" x14ac:dyDescent="0.15">
      <c r="A20" s="44" t="s">
        <v>68</v>
      </c>
      <c r="B20" s="52" t="s">
        <v>118</v>
      </c>
      <c r="C20" s="52"/>
      <c r="D20" s="52"/>
      <c r="E20" s="133">
        <v>160</v>
      </c>
      <c r="F20" s="134"/>
      <c r="G20" s="56" t="s">
        <v>24</v>
      </c>
      <c r="H20" s="55"/>
      <c r="I20" s="52"/>
      <c r="J20" s="52"/>
      <c r="K20" s="132"/>
      <c r="L20" s="132"/>
      <c r="M20" s="132"/>
      <c r="N20" s="132"/>
    </row>
    <row r="21" spans="1:14" ht="7.5" customHeight="1" x14ac:dyDescent="0.15">
      <c r="B21" s="52"/>
      <c r="C21" s="52"/>
      <c r="D21" s="52"/>
      <c r="E21" s="57"/>
      <c r="F21" s="55"/>
      <c r="G21" s="55"/>
      <c r="H21" s="52"/>
      <c r="I21" s="52"/>
      <c r="J21" s="52"/>
      <c r="K21" s="52"/>
      <c r="L21" s="58"/>
      <c r="M21" s="58"/>
      <c r="N21" s="59"/>
    </row>
    <row r="22" spans="1:14" ht="22.5" customHeight="1" x14ac:dyDescent="0.15">
      <c r="A22" s="44" t="s">
        <v>27</v>
      </c>
      <c r="B22" s="52" t="s">
        <v>119</v>
      </c>
      <c r="C22" s="52"/>
      <c r="D22" s="52"/>
      <c r="E22" s="57"/>
      <c r="F22" s="55"/>
      <c r="G22" s="55"/>
      <c r="H22" s="52" t="s">
        <v>59</v>
      </c>
      <c r="I22" s="52"/>
      <c r="J22" s="139">
        <v>820</v>
      </c>
      <c r="K22" s="140"/>
      <c r="L22" s="141"/>
      <c r="M22" s="58" t="s">
        <v>58</v>
      </c>
      <c r="N22" s="59"/>
    </row>
    <row r="23" spans="1:14" ht="7.5" customHeight="1" x14ac:dyDescent="0.15">
      <c r="B23" s="52"/>
      <c r="C23" s="52"/>
      <c r="D23" s="52"/>
      <c r="E23" s="57"/>
      <c r="F23" s="55"/>
      <c r="G23" s="55"/>
      <c r="H23" s="52"/>
      <c r="I23" s="52"/>
      <c r="J23" s="52"/>
      <c r="K23" s="52"/>
      <c r="L23" s="58"/>
      <c r="M23" s="58"/>
      <c r="N23" s="59"/>
    </row>
    <row r="24" spans="1:14" ht="22.5" customHeight="1" x14ac:dyDescent="0.15">
      <c r="B24" s="60" t="s">
        <v>20</v>
      </c>
      <c r="C24" s="133">
        <v>161</v>
      </c>
      <c r="D24" s="134"/>
      <c r="E24" s="57" t="s">
        <v>25</v>
      </c>
      <c r="F24" s="55"/>
      <c r="G24" s="138" t="s">
        <v>21</v>
      </c>
      <c r="H24" s="138"/>
      <c r="I24" s="133">
        <v>166</v>
      </c>
      <c r="J24" s="134"/>
      <c r="K24" s="61" t="s">
        <v>25</v>
      </c>
      <c r="L24" s="52"/>
      <c r="M24" s="58"/>
      <c r="N24" s="59"/>
    </row>
    <row r="25" spans="1:14" ht="7.5" customHeight="1" x14ac:dyDescent="0.15">
      <c r="B25" s="60"/>
      <c r="C25" s="62"/>
      <c r="D25" s="62"/>
      <c r="E25" s="57"/>
      <c r="F25" s="55"/>
      <c r="G25" s="58"/>
      <c r="H25" s="58"/>
      <c r="I25" s="62"/>
      <c r="J25" s="62"/>
      <c r="K25" s="61"/>
      <c r="L25" s="52"/>
      <c r="M25" s="58"/>
      <c r="N25" s="59"/>
    </row>
    <row r="26" spans="1:14" ht="22.5" customHeight="1" x14ac:dyDescent="0.15">
      <c r="B26" s="60" t="s">
        <v>22</v>
      </c>
      <c r="C26" s="133">
        <v>162</v>
      </c>
      <c r="D26" s="134"/>
      <c r="E26" s="57" t="s">
        <v>25</v>
      </c>
      <c r="F26" s="55"/>
      <c r="G26" s="138" t="s">
        <v>23</v>
      </c>
      <c r="H26" s="138"/>
      <c r="I26" s="133">
        <v>172</v>
      </c>
      <c r="J26" s="134"/>
      <c r="K26" s="61" t="s">
        <v>25</v>
      </c>
      <c r="L26" s="52"/>
      <c r="M26" s="58"/>
      <c r="N26" s="59"/>
    </row>
    <row r="27" spans="1:14" ht="7.5" customHeight="1" x14ac:dyDescent="0.15">
      <c r="B27" s="60"/>
      <c r="C27" s="62"/>
      <c r="D27" s="62"/>
      <c r="E27" s="57"/>
      <c r="F27" s="55"/>
      <c r="G27" s="58"/>
      <c r="H27" s="58"/>
      <c r="I27" s="62"/>
      <c r="J27" s="62"/>
      <c r="K27" s="61"/>
      <c r="L27" s="52"/>
      <c r="M27" s="58"/>
      <c r="N27" s="59"/>
    </row>
    <row r="28" spans="1:14" ht="22.5" customHeight="1" x14ac:dyDescent="0.15">
      <c r="B28" s="60" t="s">
        <v>52</v>
      </c>
      <c r="C28" s="133">
        <v>159</v>
      </c>
      <c r="D28" s="134"/>
      <c r="E28" s="57" t="s">
        <v>10</v>
      </c>
      <c r="F28" s="55"/>
      <c r="G28" s="138" t="s">
        <v>53</v>
      </c>
      <c r="H28" s="138"/>
      <c r="I28" s="133">
        <v>0</v>
      </c>
      <c r="J28" s="134"/>
      <c r="K28" s="61" t="s">
        <v>10</v>
      </c>
      <c r="L28" s="52"/>
      <c r="M28" s="58"/>
      <c r="N28" s="59"/>
    </row>
    <row r="29" spans="1:14" ht="7.5" customHeight="1" x14ac:dyDescent="0.15">
      <c r="B29" s="52"/>
      <c r="C29" s="52"/>
      <c r="D29" s="52"/>
      <c r="E29" s="52"/>
      <c r="F29" s="55"/>
      <c r="G29" s="55"/>
      <c r="H29" s="52"/>
      <c r="I29" s="52"/>
      <c r="J29" s="52"/>
      <c r="K29" s="52"/>
      <c r="L29" s="52"/>
      <c r="M29" s="63"/>
      <c r="N29" s="63"/>
    </row>
    <row r="30" spans="1:14" ht="22.5" customHeight="1" x14ac:dyDescent="0.15">
      <c r="A30" s="44" t="s">
        <v>117</v>
      </c>
      <c r="B30" s="64" t="s">
        <v>109</v>
      </c>
      <c r="C30" s="64"/>
      <c r="D30" s="64"/>
      <c r="E30" s="64"/>
      <c r="F30" s="61"/>
      <c r="G30" s="65"/>
      <c r="H30" s="65"/>
      <c r="I30" s="65"/>
      <c r="J30" s="66"/>
      <c r="K30" s="66"/>
      <c r="L30" s="66"/>
      <c r="M30" s="66"/>
      <c r="N30" s="66"/>
    </row>
    <row r="31" spans="1:14" ht="22.5" customHeight="1" x14ac:dyDescent="0.15">
      <c r="B31" s="142" t="s">
        <v>108</v>
      </c>
      <c r="C31" s="142"/>
      <c r="D31" s="135" t="s">
        <v>178</v>
      </c>
      <c r="E31" s="136"/>
      <c r="F31" s="136"/>
      <c r="G31" s="143" t="s">
        <v>26</v>
      </c>
      <c r="H31" s="142"/>
      <c r="I31" s="144"/>
      <c r="J31" s="135" t="s">
        <v>179</v>
      </c>
      <c r="K31" s="136"/>
      <c r="L31" s="136"/>
      <c r="M31" s="136"/>
      <c r="N31" s="137"/>
    </row>
    <row r="32" spans="1:14" ht="7.5" customHeight="1" x14ac:dyDescent="0.15">
      <c r="B32" s="52"/>
      <c r="C32" s="52"/>
      <c r="D32" s="52"/>
      <c r="E32" s="52"/>
      <c r="F32" s="55"/>
      <c r="G32" s="55"/>
      <c r="H32" s="52"/>
      <c r="I32" s="52"/>
      <c r="J32" s="52"/>
      <c r="K32" s="52"/>
      <c r="L32" s="52"/>
      <c r="M32" s="63"/>
      <c r="N32" s="63"/>
    </row>
    <row r="33" spans="1:14" ht="22.5" customHeight="1" x14ac:dyDescent="0.15">
      <c r="A33" s="44" t="s">
        <v>57</v>
      </c>
      <c r="B33" s="64" t="s">
        <v>122</v>
      </c>
      <c r="C33" s="64"/>
      <c r="D33" s="64"/>
      <c r="E33" s="64"/>
      <c r="F33" s="61"/>
      <c r="G33" s="66"/>
      <c r="H33" s="66"/>
      <c r="I33" s="66"/>
      <c r="J33" s="66"/>
      <c r="K33" s="66"/>
      <c r="L33" s="66"/>
      <c r="M33" s="66"/>
      <c r="N33" s="66"/>
    </row>
    <row r="34" spans="1:14" ht="22.5" customHeight="1" x14ac:dyDescent="0.15">
      <c r="B34" s="135" t="s">
        <v>219</v>
      </c>
      <c r="C34" s="136"/>
      <c r="D34" s="136"/>
      <c r="E34" s="136"/>
      <c r="F34" s="136"/>
      <c r="G34" s="136"/>
      <c r="H34" s="136"/>
      <c r="I34" s="136"/>
      <c r="J34" s="136"/>
      <c r="K34" s="136"/>
      <c r="L34" s="136"/>
      <c r="M34" s="136"/>
      <c r="N34" s="137"/>
    </row>
    <row r="35" spans="1:14" ht="7.5" customHeight="1" x14ac:dyDescent="0.15">
      <c r="B35" s="67"/>
      <c r="C35" s="67"/>
      <c r="D35" s="67"/>
      <c r="E35" s="67"/>
      <c r="F35" s="67"/>
      <c r="G35" s="67"/>
      <c r="H35" s="67"/>
      <c r="I35" s="67"/>
      <c r="J35" s="67"/>
      <c r="K35" s="67"/>
      <c r="L35" s="67"/>
      <c r="M35" s="67"/>
      <c r="N35" s="67"/>
    </row>
    <row r="36" spans="1:14" ht="22.5" customHeight="1" x14ac:dyDescent="0.15">
      <c r="B36" s="142" t="s">
        <v>108</v>
      </c>
      <c r="C36" s="142"/>
      <c r="D36" s="135" t="s">
        <v>195</v>
      </c>
      <c r="E36" s="136"/>
      <c r="F36" s="136"/>
      <c r="G36" s="143" t="s">
        <v>62</v>
      </c>
      <c r="H36" s="142"/>
      <c r="I36" s="144"/>
      <c r="J36" s="135" t="s">
        <v>196</v>
      </c>
      <c r="K36" s="136"/>
      <c r="L36" s="136"/>
      <c r="M36" s="136"/>
      <c r="N36" s="137"/>
    </row>
    <row r="37" spans="1:14" ht="7.5" customHeight="1" x14ac:dyDescent="0.15">
      <c r="B37" s="52"/>
      <c r="C37" s="52"/>
      <c r="D37" s="52"/>
      <c r="E37" s="52"/>
      <c r="F37" s="65"/>
      <c r="G37" s="65"/>
      <c r="H37" s="65"/>
      <c r="I37" s="65"/>
      <c r="J37" s="65"/>
      <c r="K37" s="65"/>
      <c r="L37" s="65"/>
      <c r="M37" s="65"/>
      <c r="N37" s="65"/>
    </row>
    <row r="38" spans="1:14" ht="22.5" customHeight="1" x14ac:dyDescent="0.15">
      <c r="A38" s="44" t="s">
        <v>61</v>
      </c>
      <c r="B38" s="52" t="s">
        <v>123</v>
      </c>
      <c r="C38" s="52"/>
      <c r="D38" s="52"/>
      <c r="E38" s="52"/>
      <c r="F38" s="52"/>
      <c r="G38" s="52"/>
      <c r="H38" s="52"/>
      <c r="I38" s="52"/>
      <c r="J38" s="52"/>
      <c r="K38" s="52"/>
      <c r="L38" s="52"/>
      <c r="M38" s="63"/>
      <c r="N38" s="63"/>
    </row>
    <row r="39" spans="1:14" ht="22.5" customHeight="1" x14ac:dyDescent="0.15">
      <c r="B39" s="135" t="s">
        <v>220</v>
      </c>
      <c r="C39" s="136"/>
      <c r="D39" s="136"/>
      <c r="E39" s="136"/>
      <c r="F39" s="136"/>
      <c r="G39" s="136"/>
      <c r="H39" s="136"/>
      <c r="I39" s="136"/>
      <c r="J39" s="136"/>
      <c r="K39" s="136"/>
      <c r="L39" s="136"/>
      <c r="M39" s="136"/>
      <c r="N39" s="137"/>
    </row>
    <row r="40" spans="1:14" ht="7.5" customHeight="1" x14ac:dyDescent="0.15">
      <c r="B40" s="52"/>
      <c r="C40" s="52"/>
      <c r="D40" s="52"/>
      <c r="E40" s="52"/>
      <c r="F40" s="65"/>
      <c r="G40" s="65"/>
      <c r="H40" s="65"/>
      <c r="I40" s="65"/>
      <c r="J40" s="65"/>
      <c r="K40" s="65"/>
      <c r="L40" s="65"/>
      <c r="M40" s="65"/>
      <c r="N40" s="65"/>
    </row>
    <row r="41" spans="1:14" ht="22.5" customHeight="1" x14ac:dyDescent="0.15">
      <c r="B41" s="142" t="s">
        <v>108</v>
      </c>
      <c r="C41" s="142"/>
      <c r="D41" s="135" t="s">
        <v>221</v>
      </c>
      <c r="E41" s="136"/>
      <c r="F41" s="136"/>
      <c r="G41" s="143" t="s">
        <v>62</v>
      </c>
      <c r="H41" s="142"/>
      <c r="I41" s="144"/>
      <c r="J41" s="135" t="s">
        <v>197</v>
      </c>
      <c r="K41" s="136"/>
      <c r="L41" s="136"/>
      <c r="M41" s="136"/>
      <c r="N41" s="137"/>
    </row>
    <row r="42" spans="1:14" ht="7.5" customHeight="1" x14ac:dyDescent="0.15">
      <c r="B42" s="52"/>
      <c r="C42" s="52"/>
      <c r="D42" s="52"/>
      <c r="E42" s="52"/>
      <c r="F42" s="65"/>
      <c r="G42" s="65"/>
      <c r="H42" s="65"/>
      <c r="I42" s="65"/>
      <c r="J42" s="65"/>
      <c r="K42" s="65"/>
      <c r="L42" s="65"/>
      <c r="M42" s="65"/>
      <c r="N42" s="65"/>
    </row>
    <row r="43" spans="1:14" ht="22.5" customHeight="1" x14ac:dyDescent="0.15">
      <c r="A43" s="44" t="s">
        <v>69</v>
      </c>
      <c r="B43" s="52" t="s">
        <v>87</v>
      </c>
      <c r="C43" s="52"/>
      <c r="D43" s="52"/>
      <c r="E43" s="68"/>
      <c r="F43" s="135" t="s">
        <v>180</v>
      </c>
      <c r="G43" s="136"/>
      <c r="H43" s="136"/>
      <c r="I43" s="136"/>
      <c r="J43" s="136"/>
      <c r="K43" s="136"/>
      <c r="L43" s="136"/>
      <c r="M43" s="136"/>
      <c r="N43" s="137"/>
    </row>
    <row r="44" spans="1:14" ht="7.5" customHeight="1" x14ac:dyDescent="0.15">
      <c r="B44" s="52"/>
      <c r="C44" s="52"/>
      <c r="D44" s="52"/>
      <c r="E44" s="52"/>
      <c r="F44" s="65"/>
      <c r="G44" s="65"/>
      <c r="H44" s="65"/>
      <c r="I44" s="65"/>
      <c r="J44" s="65"/>
      <c r="K44" s="65"/>
      <c r="L44" s="65"/>
      <c r="M44" s="65"/>
      <c r="N44" s="65"/>
    </row>
    <row r="45" spans="1:14" ht="22.5" customHeight="1" x14ac:dyDescent="0.15">
      <c r="A45" s="44" t="s">
        <v>3</v>
      </c>
      <c r="B45" s="52"/>
      <c r="C45" s="52"/>
      <c r="D45" s="52"/>
      <c r="E45" s="52"/>
      <c r="F45" s="52"/>
      <c r="G45" s="52"/>
      <c r="H45" s="52"/>
      <c r="I45" s="52"/>
      <c r="J45" s="52"/>
      <c r="K45" s="52"/>
      <c r="L45" s="52"/>
      <c r="M45" s="52"/>
      <c r="N45" s="52"/>
    </row>
    <row r="46" spans="1:14" ht="22.5" customHeight="1" x14ac:dyDescent="0.15">
      <c r="B46" s="69" t="s">
        <v>1</v>
      </c>
      <c r="C46" s="163" t="s">
        <v>203</v>
      </c>
      <c r="D46" s="164"/>
      <c r="E46" s="164"/>
      <c r="F46" s="164"/>
      <c r="G46" s="164"/>
      <c r="H46" s="164"/>
      <c r="I46" s="70" t="s">
        <v>2</v>
      </c>
      <c r="J46" s="71"/>
      <c r="K46" s="135" t="s">
        <v>204</v>
      </c>
      <c r="L46" s="136"/>
      <c r="M46" s="136"/>
      <c r="N46" s="137"/>
    </row>
    <row r="47" spans="1:14" ht="22.5" customHeight="1" x14ac:dyDescent="0.15">
      <c r="B47" s="69" t="s">
        <v>5</v>
      </c>
      <c r="C47" s="157" t="s">
        <v>218</v>
      </c>
      <c r="D47" s="158"/>
      <c r="E47" s="158"/>
      <c r="F47" s="158"/>
      <c r="G47" s="158"/>
      <c r="H47" s="159"/>
      <c r="I47" s="70" t="s">
        <v>4</v>
      </c>
      <c r="J47" s="71"/>
      <c r="K47" s="160" t="s">
        <v>205</v>
      </c>
      <c r="L47" s="161"/>
      <c r="M47" s="161"/>
      <c r="N47" s="162"/>
    </row>
    <row r="48" spans="1:14" ht="18.75" customHeight="1" x14ac:dyDescent="0.15">
      <c r="B48" s="52"/>
      <c r="C48" s="52"/>
      <c r="D48" s="52"/>
      <c r="E48" s="52"/>
      <c r="F48" s="52"/>
      <c r="G48" s="52"/>
      <c r="H48" s="52"/>
      <c r="I48" s="52"/>
      <c r="J48" s="52"/>
      <c r="K48" s="52"/>
      <c r="L48" s="52"/>
      <c r="M48" s="52"/>
      <c r="N48" s="52"/>
    </row>
    <row r="49" spans="2:14" ht="18.75" customHeight="1" x14ac:dyDescent="0.15">
      <c r="B49" s="52"/>
      <c r="C49" s="52"/>
      <c r="D49" s="52"/>
      <c r="E49" s="52"/>
      <c r="F49" s="52"/>
      <c r="G49" s="52"/>
      <c r="H49" s="52"/>
      <c r="I49" s="52"/>
      <c r="J49" s="52"/>
      <c r="K49" s="52"/>
      <c r="L49" s="52"/>
      <c r="M49" s="52"/>
      <c r="N49" s="52"/>
    </row>
    <row r="50" spans="2:14" ht="18.75" customHeight="1" x14ac:dyDescent="0.15">
      <c r="B50" s="52"/>
      <c r="C50" s="52"/>
      <c r="D50" s="52"/>
      <c r="E50" s="52"/>
      <c r="F50" s="52"/>
      <c r="G50" s="52"/>
      <c r="H50" s="52"/>
      <c r="I50" s="52"/>
      <c r="J50" s="52"/>
      <c r="K50" s="52"/>
      <c r="L50" s="52"/>
      <c r="M50" s="52"/>
      <c r="N50" s="52"/>
    </row>
  </sheetData>
  <mergeCells count="45">
    <mergeCell ref="C47:H47"/>
    <mergeCell ref="K47:N47"/>
    <mergeCell ref="G26:H26"/>
    <mergeCell ref="K46:N46"/>
    <mergeCell ref="I26:J26"/>
    <mergeCell ref="C46:H46"/>
    <mergeCell ref="B36:C36"/>
    <mergeCell ref="J36:N36"/>
    <mergeCell ref="D36:F36"/>
    <mergeCell ref="G36:I36"/>
    <mergeCell ref="B41:C41"/>
    <mergeCell ref="D41:F41"/>
    <mergeCell ref="C26:D26"/>
    <mergeCell ref="G41:I41"/>
    <mergeCell ref="F43:N43"/>
    <mergeCell ref="J31:N31"/>
    <mergeCell ref="K18:M18"/>
    <mergeCell ref="I24:J24"/>
    <mergeCell ref="M1:N1"/>
    <mergeCell ref="C16:D16"/>
    <mergeCell ref="C8:E8"/>
    <mergeCell ref="C10:N10"/>
    <mergeCell ref="K16:M16"/>
    <mergeCell ref="G8:I8"/>
    <mergeCell ref="C4:N4"/>
    <mergeCell ref="D6:N6"/>
    <mergeCell ref="F14:H14"/>
    <mergeCell ref="A2:N2"/>
    <mergeCell ref="E16:F16"/>
    <mergeCell ref="I16:J16"/>
    <mergeCell ref="C24:D24"/>
    <mergeCell ref="G12:N12"/>
    <mergeCell ref="K20:N20"/>
    <mergeCell ref="E20:F20"/>
    <mergeCell ref="J41:N41"/>
    <mergeCell ref="B34:N34"/>
    <mergeCell ref="B39:N39"/>
    <mergeCell ref="G28:H28"/>
    <mergeCell ref="I28:J28"/>
    <mergeCell ref="J22:L22"/>
    <mergeCell ref="G24:H24"/>
    <mergeCell ref="B31:C31"/>
    <mergeCell ref="D31:F31"/>
    <mergeCell ref="G31:I31"/>
    <mergeCell ref="C28:D28"/>
  </mergeCells>
  <phoneticPr fontId="4"/>
  <dataValidations count="2">
    <dataValidation type="list" allowBlank="1" showInputMessage="1" showErrorMessage="1" sqref="C8">
      <formula1>"国立大学, 公立大学, 私立大学, 短期大学, 高等専門学校, その他"</formula1>
    </dataValidation>
    <dataValidation type="list" allowBlank="1" showInputMessage="1" showErrorMessage="1" sqref="F43">
      <formula1>"認定教育プログラム,認定教育プログラムと認定教育プログラム+（プラス）"</formula1>
    </dataValidation>
  </dataValidations>
  <printOptions horizontalCentered="1"/>
  <pageMargins left="0.78740157480314965" right="0.78740157480314965" top="0.78740157480314965" bottom="0.39370078740157483" header="0.31496062992125984" footer="0.31496062992125984"/>
  <pageSetup paperSize="9" orientation="portrait" copies="3"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J44"/>
  <sheetViews>
    <sheetView showZeros="0" zoomScaleNormal="100" workbookViewId="0">
      <selection activeCell="W30" sqref="W30"/>
    </sheetView>
  </sheetViews>
  <sheetFormatPr defaultColWidth="9" defaultRowHeight="18.75" customHeight="1" x14ac:dyDescent="0.15"/>
  <cols>
    <col min="1" max="2" width="2.5" style="36" customWidth="1"/>
    <col min="3" max="3" width="20" style="36" customWidth="1"/>
    <col min="4" max="4" width="8.625" style="36" customWidth="1"/>
    <col min="5" max="5" width="7.5" style="36" customWidth="1"/>
    <col min="6" max="6" width="2.5" style="36" customWidth="1"/>
    <col min="7" max="7" width="15" style="36" customWidth="1"/>
    <col min="8" max="8" width="12.5" style="36" customWidth="1"/>
    <col min="9" max="9" width="11.125" style="36" customWidth="1"/>
    <col min="10" max="16384" width="9" style="36"/>
  </cols>
  <sheetData>
    <row r="1" spans="1:9" ht="18.75" customHeight="1" x14ac:dyDescent="0.15">
      <c r="I1" s="37" t="s">
        <v>216</v>
      </c>
    </row>
    <row r="2" spans="1:9" ht="18.75" customHeight="1" x14ac:dyDescent="0.15">
      <c r="G2" s="37" t="s">
        <v>31</v>
      </c>
      <c r="H2" s="180" t="s">
        <v>194</v>
      </c>
      <c r="I2" s="180"/>
    </row>
    <row r="3" spans="1:9" ht="7.5" customHeight="1" x14ac:dyDescent="0.15"/>
    <row r="4" spans="1:9" ht="18.75" customHeight="1" x14ac:dyDescent="0.15">
      <c r="A4" s="181" t="s">
        <v>86</v>
      </c>
      <c r="B4" s="181"/>
      <c r="C4" s="181"/>
      <c r="D4" s="181"/>
      <c r="E4" s="181"/>
      <c r="F4" s="181"/>
      <c r="G4" s="181"/>
      <c r="H4" s="181"/>
      <c r="I4" s="181"/>
    </row>
    <row r="5" spans="1:9" ht="7.5" customHeight="1" x14ac:dyDescent="0.15">
      <c r="C5" s="38"/>
      <c r="D5" s="38"/>
      <c r="E5" s="38"/>
      <c r="F5" s="38"/>
      <c r="G5" s="38"/>
      <c r="H5" s="38"/>
      <c r="I5" s="38"/>
    </row>
    <row r="6" spans="1:9" ht="18.75" customHeight="1" x14ac:dyDescent="0.15">
      <c r="A6" s="36" t="s">
        <v>7</v>
      </c>
      <c r="B6" s="36" t="s">
        <v>95</v>
      </c>
      <c r="C6" s="38"/>
      <c r="D6" s="38"/>
      <c r="E6" s="177" t="s">
        <v>181</v>
      </c>
      <c r="F6" s="178"/>
      <c r="G6" s="178"/>
      <c r="H6" s="178"/>
      <c r="I6" s="179"/>
    </row>
    <row r="7" spans="1:9" ht="7.5" customHeight="1" x14ac:dyDescent="0.15">
      <c r="C7" s="38"/>
      <c r="D7" s="38"/>
      <c r="F7" s="39"/>
      <c r="G7" s="39"/>
      <c r="H7" s="39"/>
      <c r="I7" s="39"/>
    </row>
    <row r="8" spans="1:9" ht="18.75" customHeight="1" x14ac:dyDescent="0.15">
      <c r="A8" s="36" t="s">
        <v>12</v>
      </c>
      <c r="B8" s="36" t="s">
        <v>96</v>
      </c>
      <c r="C8" s="38"/>
      <c r="D8" s="38"/>
      <c r="E8" s="38"/>
      <c r="F8" s="38"/>
      <c r="G8" s="38"/>
      <c r="H8" s="38"/>
      <c r="I8" s="38"/>
    </row>
    <row r="9" spans="1:9" ht="18.75" customHeight="1" x14ac:dyDescent="0.15">
      <c r="B9" s="168" t="s">
        <v>217</v>
      </c>
      <c r="C9" s="169"/>
      <c r="D9" s="169"/>
      <c r="E9" s="169"/>
      <c r="F9" s="169"/>
      <c r="G9" s="169"/>
      <c r="H9" s="169"/>
      <c r="I9" s="170"/>
    </row>
    <row r="10" spans="1:9" ht="18.75" customHeight="1" x14ac:dyDescent="0.15">
      <c r="B10" s="171"/>
      <c r="C10" s="172"/>
      <c r="D10" s="172"/>
      <c r="E10" s="172"/>
      <c r="F10" s="172"/>
      <c r="G10" s="172"/>
      <c r="H10" s="172"/>
      <c r="I10" s="173"/>
    </row>
    <row r="11" spans="1:9" ht="18.75" customHeight="1" x14ac:dyDescent="0.15">
      <c r="B11" s="171"/>
      <c r="C11" s="172"/>
      <c r="D11" s="172"/>
      <c r="E11" s="172"/>
      <c r="F11" s="172"/>
      <c r="G11" s="172"/>
      <c r="H11" s="172"/>
      <c r="I11" s="173"/>
    </row>
    <row r="12" spans="1:9" ht="18.75" customHeight="1" x14ac:dyDescent="0.15">
      <c r="B12" s="171"/>
      <c r="C12" s="172"/>
      <c r="D12" s="172"/>
      <c r="E12" s="172"/>
      <c r="F12" s="172"/>
      <c r="G12" s="172"/>
      <c r="H12" s="172"/>
      <c r="I12" s="173"/>
    </row>
    <row r="13" spans="1:9" ht="18.75" customHeight="1" x14ac:dyDescent="0.15">
      <c r="B13" s="171"/>
      <c r="C13" s="172"/>
      <c r="D13" s="172"/>
      <c r="E13" s="172"/>
      <c r="F13" s="172"/>
      <c r="G13" s="172"/>
      <c r="H13" s="172"/>
      <c r="I13" s="173"/>
    </row>
    <row r="14" spans="1:9" ht="18.75" customHeight="1" x14ac:dyDescent="0.15">
      <c r="B14" s="171"/>
      <c r="C14" s="172"/>
      <c r="D14" s="172"/>
      <c r="E14" s="172"/>
      <c r="F14" s="172"/>
      <c r="G14" s="172"/>
      <c r="H14" s="172"/>
      <c r="I14" s="173"/>
    </row>
    <row r="15" spans="1:9" ht="18.75" customHeight="1" x14ac:dyDescent="0.15">
      <c r="B15" s="171"/>
      <c r="C15" s="172"/>
      <c r="D15" s="172"/>
      <c r="E15" s="172"/>
      <c r="F15" s="172"/>
      <c r="G15" s="172"/>
      <c r="H15" s="172"/>
      <c r="I15" s="173"/>
    </row>
    <row r="16" spans="1:9" ht="18.75" customHeight="1" x14ac:dyDescent="0.15">
      <c r="B16" s="174"/>
      <c r="C16" s="175"/>
      <c r="D16" s="175"/>
      <c r="E16" s="175"/>
      <c r="F16" s="175"/>
      <c r="G16" s="175"/>
      <c r="H16" s="175"/>
      <c r="I16" s="176"/>
    </row>
    <row r="17" spans="1:10" ht="7.5" customHeight="1" x14ac:dyDescent="0.15">
      <c r="C17" s="38"/>
      <c r="D17" s="38"/>
      <c r="E17" s="38"/>
      <c r="F17" s="38"/>
      <c r="G17" s="38"/>
      <c r="H17" s="38"/>
      <c r="I17" s="38"/>
    </row>
    <row r="18" spans="1:10" ht="18.75" customHeight="1" x14ac:dyDescent="0.15">
      <c r="A18" s="38" t="s">
        <v>13</v>
      </c>
      <c r="B18" s="40" t="s">
        <v>97</v>
      </c>
      <c r="C18" s="40"/>
      <c r="D18" s="40"/>
      <c r="E18" s="40"/>
      <c r="F18" s="38"/>
      <c r="G18" s="38"/>
      <c r="H18" s="38"/>
      <c r="I18" s="38"/>
      <c r="J18" s="38"/>
    </row>
    <row r="19" spans="1:10" ht="18.75" customHeight="1" x14ac:dyDescent="0.15">
      <c r="A19" s="182" t="s">
        <v>97</v>
      </c>
      <c r="B19" s="182"/>
      <c r="C19" s="182"/>
      <c r="D19" s="182"/>
      <c r="E19" s="182"/>
      <c r="F19" s="183" t="s">
        <v>97</v>
      </c>
      <c r="G19" s="183"/>
      <c r="H19" s="183"/>
      <c r="I19" s="183"/>
    </row>
    <row r="20" spans="1:10" ht="18.75" customHeight="1" x14ac:dyDescent="0.15">
      <c r="A20" s="41">
        <v>1</v>
      </c>
      <c r="B20" s="165" t="s">
        <v>126</v>
      </c>
      <c r="C20" s="166"/>
      <c r="D20" s="166"/>
      <c r="E20" s="167"/>
      <c r="F20" s="41">
        <v>26</v>
      </c>
      <c r="G20" s="165"/>
      <c r="H20" s="166"/>
      <c r="I20" s="167"/>
    </row>
    <row r="21" spans="1:10" ht="18.75" customHeight="1" x14ac:dyDescent="0.15">
      <c r="A21" s="41">
        <v>2</v>
      </c>
      <c r="B21" s="165" t="s">
        <v>127</v>
      </c>
      <c r="C21" s="166"/>
      <c r="D21" s="166"/>
      <c r="E21" s="167"/>
      <c r="F21" s="41">
        <v>27</v>
      </c>
      <c r="G21" s="165"/>
      <c r="H21" s="166"/>
      <c r="I21" s="167"/>
    </row>
    <row r="22" spans="1:10" ht="18.75" customHeight="1" x14ac:dyDescent="0.15">
      <c r="A22" s="41">
        <v>3</v>
      </c>
      <c r="B22" s="165" t="s">
        <v>128</v>
      </c>
      <c r="C22" s="166"/>
      <c r="D22" s="166"/>
      <c r="E22" s="167"/>
      <c r="F22" s="41">
        <v>28</v>
      </c>
      <c r="G22" s="165"/>
      <c r="H22" s="166"/>
      <c r="I22" s="167"/>
    </row>
    <row r="23" spans="1:10" ht="18.75" customHeight="1" x14ac:dyDescent="0.15">
      <c r="A23" s="41">
        <v>4</v>
      </c>
      <c r="B23" s="165" t="s">
        <v>182</v>
      </c>
      <c r="C23" s="166"/>
      <c r="D23" s="166"/>
      <c r="E23" s="167"/>
      <c r="F23" s="41">
        <v>29</v>
      </c>
      <c r="G23" s="165"/>
      <c r="H23" s="166"/>
      <c r="I23" s="167"/>
    </row>
    <row r="24" spans="1:10" ht="18.75" customHeight="1" x14ac:dyDescent="0.15">
      <c r="A24" s="41">
        <v>5</v>
      </c>
      <c r="B24" s="165" t="s">
        <v>129</v>
      </c>
      <c r="C24" s="166"/>
      <c r="D24" s="166"/>
      <c r="E24" s="167"/>
      <c r="F24" s="41">
        <v>30</v>
      </c>
      <c r="G24" s="165"/>
      <c r="H24" s="166"/>
      <c r="I24" s="167"/>
    </row>
    <row r="25" spans="1:10" ht="18.75" customHeight="1" x14ac:dyDescent="0.15">
      <c r="A25" s="41">
        <v>6</v>
      </c>
      <c r="B25" s="165" t="s">
        <v>183</v>
      </c>
      <c r="C25" s="166"/>
      <c r="D25" s="166"/>
      <c r="E25" s="167"/>
      <c r="F25" s="41">
        <v>31</v>
      </c>
      <c r="G25" s="165"/>
      <c r="H25" s="166"/>
      <c r="I25" s="167"/>
    </row>
    <row r="26" spans="1:10" ht="18.75" customHeight="1" x14ac:dyDescent="0.15">
      <c r="A26" s="41">
        <v>7</v>
      </c>
      <c r="B26" s="165" t="s">
        <v>184</v>
      </c>
      <c r="C26" s="166"/>
      <c r="D26" s="166"/>
      <c r="E26" s="167"/>
      <c r="F26" s="41">
        <v>32</v>
      </c>
      <c r="G26" s="165"/>
      <c r="H26" s="166"/>
      <c r="I26" s="167"/>
    </row>
    <row r="27" spans="1:10" ht="18.75" customHeight="1" x14ac:dyDescent="0.15">
      <c r="A27" s="41">
        <v>8</v>
      </c>
      <c r="B27" s="165" t="s">
        <v>185</v>
      </c>
      <c r="C27" s="166"/>
      <c r="D27" s="166"/>
      <c r="E27" s="167"/>
      <c r="F27" s="41">
        <v>33</v>
      </c>
      <c r="G27" s="165"/>
      <c r="H27" s="166"/>
      <c r="I27" s="167"/>
    </row>
    <row r="28" spans="1:10" ht="18.75" customHeight="1" x14ac:dyDescent="0.15">
      <c r="A28" s="41">
        <v>9</v>
      </c>
      <c r="B28" s="165" t="s">
        <v>187</v>
      </c>
      <c r="C28" s="166"/>
      <c r="D28" s="166"/>
      <c r="E28" s="167"/>
      <c r="F28" s="41">
        <v>34</v>
      </c>
      <c r="G28" s="165"/>
      <c r="H28" s="166"/>
      <c r="I28" s="167"/>
    </row>
    <row r="29" spans="1:10" ht="18.75" customHeight="1" x14ac:dyDescent="0.15">
      <c r="A29" s="41">
        <v>10</v>
      </c>
      <c r="B29" s="165" t="s">
        <v>133</v>
      </c>
      <c r="C29" s="166"/>
      <c r="D29" s="166"/>
      <c r="E29" s="167"/>
      <c r="F29" s="41">
        <v>35</v>
      </c>
      <c r="G29" s="165"/>
      <c r="H29" s="166"/>
      <c r="I29" s="167"/>
    </row>
    <row r="30" spans="1:10" ht="18.75" customHeight="1" x14ac:dyDescent="0.15">
      <c r="A30" s="41">
        <v>11</v>
      </c>
      <c r="B30" s="165" t="s">
        <v>188</v>
      </c>
      <c r="C30" s="166"/>
      <c r="D30" s="166"/>
      <c r="E30" s="167"/>
      <c r="F30" s="41">
        <v>36</v>
      </c>
      <c r="G30" s="165"/>
      <c r="H30" s="166"/>
      <c r="I30" s="167"/>
    </row>
    <row r="31" spans="1:10" ht="18.75" customHeight="1" x14ac:dyDescent="0.15">
      <c r="A31" s="41">
        <v>12</v>
      </c>
      <c r="B31" s="165" t="s">
        <v>189</v>
      </c>
      <c r="C31" s="166"/>
      <c r="D31" s="166"/>
      <c r="E31" s="167"/>
      <c r="F31" s="41">
        <v>37</v>
      </c>
      <c r="G31" s="165"/>
      <c r="H31" s="166"/>
      <c r="I31" s="167"/>
    </row>
    <row r="32" spans="1:10" ht="18.75" customHeight="1" x14ac:dyDescent="0.15">
      <c r="A32" s="41">
        <v>13</v>
      </c>
      <c r="B32" s="165" t="s">
        <v>134</v>
      </c>
      <c r="C32" s="166"/>
      <c r="D32" s="166"/>
      <c r="E32" s="167"/>
      <c r="F32" s="41">
        <v>38</v>
      </c>
      <c r="G32" s="165"/>
      <c r="H32" s="166"/>
      <c r="I32" s="167"/>
    </row>
    <row r="33" spans="1:9" ht="18.75" customHeight="1" x14ac:dyDescent="0.15">
      <c r="A33" s="41">
        <v>14</v>
      </c>
      <c r="B33" s="165" t="s">
        <v>190</v>
      </c>
      <c r="C33" s="166"/>
      <c r="D33" s="166"/>
      <c r="E33" s="167"/>
      <c r="F33" s="41">
        <v>39</v>
      </c>
      <c r="G33" s="165"/>
      <c r="H33" s="166"/>
      <c r="I33" s="167"/>
    </row>
    <row r="34" spans="1:9" ht="18.75" customHeight="1" x14ac:dyDescent="0.15">
      <c r="A34" s="41">
        <v>15</v>
      </c>
      <c r="B34" s="165" t="s">
        <v>131</v>
      </c>
      <c r="C34" s="166"/>
      <c r="D34" s="166"/>
      <c r="E34" s="167"/>
      <c r="F34" s="41">
        <v>40</v>
      </c>
      <c r="G34" s="165"/>
      <c r="H34" s="166"/>
      <c r="I34" s="167"/>
    </row>
    <row r="35" spans="1:9" ht="18.75" customHeight="1" x14ac:dyDescent="0.15">
      <c r="A35" s="41">
        <v>16</v>
      </c>
      <c r="B35" s="165" t="s">
        <v>191</v>
      </c>
      <c r="C35" s="166"/>
      <c r="D35" s="166"/>
      <c r="E35" s="167"/>
      <c r="F35" s="41">
        <v>41</v>
      </c>
      <c r="G35" s="165"/>
      <c r="H35" s="166"/>
      <c r="I35" s="167"/>
    </row>
    <row r="36" spans="1:9" ht="18.75" customHeight="1" x14ac:dyDescent="0.15">
      <c r="A36" s="41">
        <v>17</v>
      </c>
      <c r="B36" s="165" t="s">
        <v>135</v>
      </c>
      <c r="C36" s="166"/>
      <c r="D36" s="166"/>
      <c r="E36" s="167"/>
      <c r="F36" s="41">
        <v>42</v>
      </c>
      <c r="G36" s="165"/>
      <c r="H36" s="166"/>
      <c r="I36" s="167"/>
    </row>
    <row r="37" spans="1:9" ht="18.75" customHeight="1" x14ac:dyDescent="0.15">
      <c r="A37" s="41">
        <v>18</v>
      </c>
      <c r="B37" s="165" t="s">
        <v>130</v>
      </c>
      <c r="C37" s="166"/>
      <c r="D37" s="166"/>
      <c r="E37" s="167"/>
      <c r="F37" s="41">
        <v>43</v>
      </c>
      <c r="G37" s="165"/>
      <c r="H37" s="166"/>
      <c r="I37" s="167"/>
    </row>
    <row r="38" spans="1:9" ht="18.75" customHeight="1" x14ac:dyDescent="0.15">
      <c r="A38" s="41">
        <v>19</v>
      </c>
      <c r="B38" s="165" t="s">
        <v>186</v>
      </c>
      <c r="C38" s="166"/>
      <c r="D38" s="166"/>
      <c r="E38" s="167"/>
      <c r="F38" s="41">
        <v>44</v>
      </c>
      <c r="G38" s="165"/>
      <c r="H38" s="166"/>
      <c r="I38" s="167"/>
    </row>
    <row r="39" spans="1:9" ht="18.75" customHeight="1" x14ac:dyDescent="0.15">
      <c r="A39" s="41">
        <v>20</v>
      </c>
      <c r="B39" s="165" t="s">
        <v>192</v>
      </c>
      <c r="C39" s="166"/>
      <c r="D39" s="166"/>
      <c r="E39" s="167"/>
      <c r="F39" s="41">
        <v>45</v>
      </c>
      <c r="G39" s="165"/>
      <c r="H39" s="166"/>
      <c r="I39" s="167"/>
    </row>
    <row r="40" spans="1:9" ht="18.75" customHeight="1" x14ac:dyDescent="0.15">
      <c r="A40" s="41">
        <v>21</v>
      </c>
      <c r="B40" s="165" t="s">
        <v>200</v>
      </c>
      <c r="C40" s="166"/>
      <c r="D40" s="166"/>
      <c r="E40" s="167"/>
      <c r="F40" s="41">
        <v>46</v>
      </c>
      <c r="G40" s="165"/>
      <c r="H40" s="166"/>
      <c r="I40" s="167"/>
    </row>
    <row r="41" spans="1:9" ht="18.75" customHeight="1" x14ac:dyDescent="0.15">
      <c r="A41" s="41">
        <v>22</v>
      </c>
      <c r="B41" s="165" t="s">
        <v>201</v>
      </c>
      <c r="C41" s="166"/>
      <c r="D41" s="166"/>
      <c r="E41" s="167"/>
      <c r="F41" s="41">
        <v>47</v>
      </c>
      <c r="G41" s="165"/>
      <c r="H41" s="166"/>
      <c r="I41" s="167"/>
    </row>
    <row r="42" spans="1:9" ht="18.75" customHeight="1" x14ac:dyDescent="0.15">
      <c r="A42" s="41">
        <v>23</v>
      </c>
      <c r="B42" s="165" t="s">
        <v>202</v>
      </c>
      <c r="C42" s="166"/>
      <c r="D42" s="166"/>
      <c r="E42" s="167"/>
      <c r="F42" s="41">
        <v>48</v>
      </c>
      <c r="G42" s="165"/>
      <c r="H42" s="166"/>
      <c r="I42" s="167"/>
    </row>
    <row r="43" spans="1:9" ht="18.75" customHeight="1" x14ac:dyDescent="0.15">
      <c r="A43" s="41">
        <v>24</v>
      </c>
      <c r="B43" s="184"/>
      <c r="C43" s="185"/>
      <c r="D43" s="185"/>
      <c r="E43" s="186"/>
      <c r="F43" s="41">
        <v>49</v>
      </c>
      <c r="G43" s="165"/>
      <c r="H43" s="166"/>
      <c r="I43" s="167"/>
    </row>
    <row r="44" spans="1:9" ht="18.75" customHeight="1" x14ac:dyDescent="0.15">
      <c r="A44" s="41">
        <v>25</v>
      </c>
      <c r="B44" s="184"/>
      <c r="C44" s="185"/>
      <c r="D44" s="185"/>
      <c r="E44" s="186"/>
      <c r="F44" s="41">
        <v>50</v>
      </c>
      <c r="G44" s="165"/>
      <c r="H44" s="166"/>
      <c r="I44" s="167"/>
    </row>
  </sheetData>
  <mergeCells count="56">
    <mergeCell ref="G44:I44"/>
    <mergeCell ref="G39:I39"/>
    <mergeCell ref="G40:I40"/>
    <mergeCell ref="G41:I41"/>
    <mergeCell ref="G42:I42"/>
    <mergeCell ref="G43:I43"/>
    <mergeCell ref="G34:I34"/>
    <mergeCell ref="G35:I35"/>
    <mergeCell ref="G36:I36"/>
    <mergeCell ref="G37:I37"/>
    <mergeCell ref="G38:I38"/>
    <mergeCell ref="B44:E44"/>
    <mergeCell ref="G22:I22"/>
    <mergeCell ref="G23:I23"/>
    <mergeCell ref="G24:I24"/>
    <mergeCell ref="G29:I29"/>
    <mergeCell ref="G30:I30"/>
    <mergeCell ref="G31:I31"/>
    <mergeCell ref="G32:I32"/>
    <mergeCell ref="G33:I33"/>
    <mergeCell ref="B39:E39"/>
    <mergeCell ref="B40:E40"/>
    <mergeCell ref="B41:E41"/>
    <mergeCell ref="B42:E42"/>
    <mergeCell ref="B43:E43"/>
    <mergeCell ref="B34:E34"/>
    <mergeCell ref="B35:E35"/>
    <mergeCell ref="B36:E36"/>
    <mergeCell ref="B37:E37"/>
    <mergeCell ref="B38:E38"/>
    <mergeCell ref="B29:E29"/>
    <mergeCell ref="B30:E30"/>
    <mergeCell ref="B31:E31"/>
    <mergeCell ref="B32:E32"/>
    <mergeCell ref="B33:E33"/>
    <mergeCell ref="E6:I6"/>
    <mergeCell ref="H2:I2"/>
    <mergeCell ref="A4:I4"/>
    <mergeCell ref="A19:E19"/>
    <mergeCell ref="F19:I19"/>
    <mergeCell ref="B25:E25"/>
    <mergeCell ref="B26:E26"/>
    <mergeCell ref="B27:E27"/>
    <mergeCell ref="B28:E28"/>
    <mergeCell ref="B9:I16"/>
    <mergeCell ref="B20:E20"/>
    <mergeCell ref="B21:E21"/>
    <mergeCell ref="B22:E22"/>
    <mergeCell ref="B23:E23"/>
    <mergeCell ref="B24:E24"/>
    <mergeCell ref="G20:I20"/>
    <mergeCell ref="G25:I25"/>
    <mergeCell ref="G26:I26"/>
    <mergeCell ref="G27:I27"/>
    <mergeCell ref="G28:I28"/>
    <mergeCell ref="G21:I21"/>
  </mergeCells>
  <phoneticPr fontId="4"/>
  <dataValidations count="2">
    <dataValidation type="list" allowBlank="1" showInputMessage="1" showErrorMessage="1" sqref="F7:I7">
      <formula1>"学部等によって、認定要件は相違する,学部等によって、認定要件は相違しない"</formula1>
    </dataValidation>
    <dataValidation type="list" allowBlank="1" showInputMessage="1" showErrorMessage="1" sqref="E6:I6">
      <formula1>"学部・学科によって、修了要件は相違する,学部・学科によって、修了要件は相違しない"</formula1>
    </dataValidation>
  </dataValidations>
  <printOptions horizontalCentered="1"/>
  <pageMargins left="0.78740157480314965" right="0.78740157480314965" top="0.78740157480314965" bottom="0.39370078740157483" header="0.31496062992125984" footer="0.31496062992125984"/>
  <pageSetup paperSize="9" orientation="portrait"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T30"/>
  <sheetViews>
    <sheetView topLeftCell="A4" zoomScaleNormal="100" workbookViewId="0">
      <selection activeCell="V10" sqref="V10"/>
    </sheetView>
  </sheetViews>
  <sheetFormatPr defaultColWidth="9" defaultRowHeight="18.75" customHeight="1" x14ac:dyDescent="0.15"/>
  <cols>
    <col min="1" max="1" width="2.5" style="1" customWidth="1"/>
    <col min="2" max="2" width="12.5" style="1" customWidth="1"/>
    <col min="3" max="3" width="21" style="1" customWidth="1"/>
    <col min="4" max="18" width="6.125" style="1" customWidth="1"/>
    <col min="19" max="16384" width="9" style="1"/>
  </cols>
  <sheetData>
    <row r="1" spans="1:20" ht="18.75" customHeight="1" x14ac:dyDescent="0.15">
      <c r="F1" s="193" t="s">
        <v>71</v>
      </c>
      <c r="G1" s="193"/>
      <c r="H1" s="193"/>
      <c r="I1" s="193"/>
      <c r="J1" s="193"/>
      <c r="K1" s="193"/>
      <c r="L1" s="193"/>
      <c r="M1" s="193"/>
      <c r="N1" s="193"/>
      <c r="O1" s="193"/>
      <c r="P1" s="193"/>
      <c r="Q1" s="193"/>
      <c r="R1" s="193"/>
    </row>
    <row r="2" spans="1:20" ht="18.75" customHeight="1" x14ac:dyDescent="0.15">
      <c r="D2" s="9"/>
      <c r="E2" s="9"/>
      <c r="F2" s="9"/>
      <c r="G2" s="9"/>
      <c r="H2" s="9"/>
      <c r="I2" s="9"/>
      <c r="J2" s="9"/>
      <c r="K2" s="193" t="s">
        <v>63</v>
      </c>
      <c r="L2" s="193"/>
      <c r="M2" s="203" t="s">
        <v>193</v>
      </c>
      <c r="N2" s="203"/>
      <c r="O2" s="203"/>
      <c r="P2" s="203"/>
      <c r="Q2" s="203"/>
      <c r="R2" s="203"/>
    </row>
    <row r="3" spans="1:20" ht="7.5" customHeight="1" x14ac:dyDescent="0.15"/>
    <row r="4" spans="1:20" ht="18.75" customHeight="1" x14ac:dyDescent="0.15">
      <c r="A4" s="153" t="s">
        <v>116</v>
      </c>
      <c r="B4" s="153"/>
      <c r="C4" s="153"/>
      <c r="D4" s="153"/>
      <c r="E4" s="153"/>
      <c r="F4" s="153"/>
      <c r="G4" s="153"/>
      <c r="H4" s="153"/>
      <c r="I4" s="153"/>
      <c r="J4" s="153"/>
      <c r="K4" s="153"/>
      <c r="L4" s="153"/>
      <c r="M4" s="153"/>
      <c r="N4" s="153"/>
      <c r="O4" s="153"/>
      <c r="P4" s="153"/>
      <c r="Q4" s="153"/>
      <c r="R4" s="153"/>
      <c r="S4" s="3"/>
    </row>
    <row r="5" spans="1:20" ht="7.5" customHeight="1" x14ac:dyDescent="0.15">
      <c r="A5" s="8"/>
      <c r="B5" s="8"/>
      <c r="C5" s="8"/>
      <c r="D5" s="8"/>
      <c r="E5" s="8"/>
      <c r="F5" s="8"/>
      <c r="G5" s="8"/>
      <c r="H5" s="8"/>
      <c r="I5" s="8"/>
      <c r="J5" s="8"/>
      <c r="K5" s="8"/>
      <c r="L5" s="8"/>
      <c r="M5" s="8"/>
      <c r="N5" s="8"/>
      <c r="O5" s="8"/>
      <c r="P5" s="8"/>
      <c r="Q5" s="8"/>
      <c r="R5" s="8"/>
    </row>
    <row r="6" spans="1:20" ht="18.75" customHeight="1" x14ac:dyDescent="0.15">
      <c r="B6" s="189" t="s">
        <v>120</v>
      </c>
      <c r="C6" s="190"/>
      <c r="D6" s="194" t="s">
        <v>249</v>
      </c>
      <c r="E6" s="196" t="s">
        <v>110</v>
      </c>
      <c r="F6" s="196"/>
      <c r="G6" s="196" t="s">
        <v>111</v>
      </c>
      <c r="H6" s="196"/>
      <c r="I6" s="197" t="s">
        <v>112</v>
      </c>
      <c r="J6" s="198"/>
      <c r="K6" s="197" t="s">
        <v>113</v>
      </c>
      <c r="L6" s="198"/>
      <c r="M6" s="197" t="s">
        <v>114</v>
      </c>
      <c r="N6" s="198"/>
      <c r="O6" s="197" t="s">
        <v>115</v>
      </c>
      <c r="P6" s="198"/>
      <c r="Q6" s="199" t="s">
        <v>70</v>
      </c>
      <c r="R6" s="201" t="s">
        <v>64</v>
      </c>
      <c r="T6" s="10"/>
    </row>
    <row r="7" spans="1:20" ht="18.75" customHeight="1" x14ac:dyDescent="0.15">
      <c r="B7" s="191"/>
      <c r="C7" s="192"/>
      <c r="D7" s="195"/>
      <c r="E7" s="4" t="s">
        <v>50</v>
      </c>
      <c r="F7" s="6" t="s">
        <v>49</v>
      </c>
      <c r="G7" s="7" t="s">
        <v>50</v>
      </c>
      <c r="H7" s="5" t="s">
        <v>49</v>
      </c>
      <c r="I7" s="4" t="s">
        <v>50</v>
      </c>
      <c r="J7" s="6" t="s">
        <v>49</v>
      </c>
      <c r="K7" s="7" t="s">
        <v>50</v>
      </c>
      <c r="L7" s="5" t="s">
        <v>49</v>
      </c>
      <c r="M7" s="4" t="s">
        <v>50</v>
      </c>
      <c r="N7" s="6" t="s">
        <v>49</v>
      </c>
      <c r="O7" s="7" t="s">
        <v>50</v>
      </c>
      <c r="P7" s="5" t="s">
        <v>49</v>
      </c>
      <c r="Q7" s="200"/>
      <c r="R7" s="202"/>
      <c r="T7" s="10"/>
    </row>
    <row r="8" spans="1:20" ht="18.75" customHeight="1" x14ac:dyDescent="0.15">
      <c r="A8" s="11"/>
      <c r="B8" s="187" t="s">
        <v>250</v>
      </c>
      <c r="C8" s="188"/>
      <c r="D8" s="97">
        <v>820</v>
      </c>
      <c r="E8" s="98">
        <v>616</v>
      </c>
      <c r="F8" s="99">
        <v>110</v>
      </c>
      <c r="G8" s="100"/>
      <c r="H8" s="101"/>
      <c r="I8" s="102"/>
      <c r="J8" s="103"/>
      <c r="K8" s="100"/>
      <c r="L8" s="101"/>
      <c r="M8" s="102"/>
      <c r="N8" s="103"/>
      <c r="O8" s="100"/>
      <c r="P8" s="103"/>
      <c r="Q8" s="104">
        <f>E8+G8+I8+K8+M8+O8</f>
        <v>616</v>
      </c>
      <c r="R8" s="105">
        <f>Q8/D8</f>
        <v>0.75121951219512195</v>
      </c>
    </row>
    <row r="9" spans="1:20" ht="18.75" customHeight="1" x14ac:dyDescent="0.15">
      <c r="A9" s="11"/>
      <c r="B9" s="210" t="s">
        <v>251</v>
      </c>
      <c r="C9" s="211"/>
      <c r="D9" s="106">
        <v>161</v>
      </c>
      <c r="E9" s="107">
        <v>149</v>
      </c>
      <c r="F9" s="108">
        <v>0</v>
      </c>
      <c r="G9" s="109"/>
      <c r="H9" s="110"/>
      <c r="I9" s="111"/>
      <c r="J9" s="112"/>
      <c r="K9" s="109"/>
      <c r="L9" s="110"/>
      <c r="M9" s="111"/>
      <c r="N9" s="112"/>
      <c r="O9" s="109"/>
      <c r="P9" s="112"/>
      <c r="Q9" s="113">
        <f>E9+G9+I9+K9+M9+O9</f>
        <v>149</v>
      </c>
      <c r="R9" s="114">
        <f>Q9/D9</f>
        <v>0.92546583850931674</v>
      </c>
    </row>
    <row r="10" spans="1:20" ht="18.75" customHeight="1" x14ac:dyDescent="0.15">
      <c r="A10" s="11"/>
      <c r="B10" s="212" t="s">
        <v>252</v>
      </c>
      <c r="C10" s="205"/>
      <c r="D10" s="115">
        <v>166</v>
      </c>
      <c r="E10" s="116">
        <v>116</v>
      </c>
      <c r="F10" s="117">
        <v>0</v>
      </c>
      <c r="G10" s="118"/>
      <c r="H10" s="119"/>
      <c r="I10" s="120"/>
      <c r="J10" s="121"/>
      <c r="K10" s="118"/>
      <c r="L10" s="119"/>
      <c r="M10" s="120"/>
      <c r="N10" s="121"/>
      <c r="O10" s="118"/>
      <c r="P10" s="121"/>
      <c r="Q10" s="122">
        <f t="shared" ref="Q10:Q15" si="0">E10+G10+I10+K10+M10+O10</f>
        <v>116</v>
      </c>
      <c r="R10" s="123">
        <f t="shared" ref="R10:R15" si="1">Q10/D10</f>
        <v>0.6987951807228916</v>
      </c>
      <c r="S10" s="42"/>
    </row>
    <row r="11" spans="1:20" ht="18.75" customHeight="1" x14ac:dyDescent="0.15">
      <c r="A11" s="11"/>
      <c r="B11" s="204" t="s">
        <v>253</v>
      </c>
      <c r="C11" s="205"/>
      <c r="D11" s="115">
        <v>106</v>
      </c>
      <c r="E11" s="116">
        <v>83</v>
      </c>
      <c r="F11" s="117">
        <v>24</v>
      </c>
      <c r="G11" s="118"/>
      <c r="H11" s="119"/>
      <c r="I11" s="120"/>
      <c r="J11" s="121"/>
      <c r="K11" s="118"/>
      <c r="L11" s="119"/>
      <c r="M11" s="118"/>
      <c r="N11" s="121"/>
      <c r="O11" s="118"/>
      <c r="P11" s="121"/>
      <c r="Q11" s="122">
        <f t="shared" si="0"/>
        <v>83</v>
      </c>
      <c r="R11" s="123">
        <f t="shared" si="1"/>
        <v>0.78301886792452835</v>
      </c>
      <c r="S11" s="42"/>
    </row>
    <row r="12" spans="1:20" ht="18.75" customHeight="1" x14ac:dyDescent="0.15">
      <c r="A12" s="11"/>
      <c r="B12" s="204" t="s">
        <v>254</v>
      </c>
      <c r="C12" s="205"/>
      <c r="D12" s="115">
        <v>94</v>
      </c>
      <c r="E12" s="116">
        <v>68</v>
      </c>
      <c r="F12" s="117">
        <v>13</v>
      </c>
      <c r="G12" s="118"/>
      <c r="H12" s="119"/>
      <c r="I12" s="120"/>
      <c r="J12" s="121"/>
      <c r="K12" s="118"/>
      <c r="L12" s="119"/>
      <c r="M12" s="120"/>
      <c r="N12" s="121"/>
      <c r="O12" s="118"/>
      <c r="P12" s="121"/>
      <c r="Q12" s="122">
        <f t="shared" si="0"/>
        <v>68</v>
      </c>
      <c r="R12" s="123">
        <f t="shared" si="1"/>
        <v>0.72340425531914898</v>
      </c>
      <c r="S12" s="42"/>
    </row>
    <row r="13" spans="1:20" ht="18.75" customHeight="1" x14ac:dyDescent="0.15">
      <c r="A13" s="11"/>
      <c r="B13" s="213" t="s">
        <v>255</v>
      </c>
      <c r="C13" s="214"/>
      <c r="D13" s="115">
        <v>96</v>
      </c>
      <c r="E13" s="116">
        <v>51</v>
      </c>
      <c r="F13" s="117">
        <v>21</v>
      </c>
      <c r="G13" s="118"/>
      <c r="H13" s="119"/>
      <c r="I13" s="120"/>
      <c r="J13" s="121"/>
      <c r="K13" s="118"/>
      <c r="L13" s="119"/>
      <c r="M13" s="120"/>
      <c r="N13" s="121"/>
      <c r="O13" s="118"/>
      <c r="P13" s="121"/>
      <c r="Q13" s="122">
        <f t="shared" si="0"/>
        <v>51</v>
      </c>
      <c r="R13" s="123">
        <f t="shared" si="1"/>
        <v>0.53125</v>
      </c>
      <c r="S13" s="42"/>
    </row>
    <row r="14" spans="1:20" ht="18.75" customHeight="1" x14ac:dyDescent="0.15">
      <c r="A14" s="11"/>
      <c r="B14" s="204" t="s">
        <v>256</v>
      </c>
      <c r="C14" s="205"/>
      <c r="D14" s="115">
        <v>86</v>
      </c>
      <c r="E14" s="116">
        <v>64</v>
      </c>
      <c r="F14" s="117">
        <v>18</v>
      </c>
      <c r="G14" s="118"/>
      <c r="H14" s="119"/>
      <c r="I14" s="120"/>
      <c r="J14" s="121"/>
      <c r="K14" s="118"/>
      <c r="L14" s="119"/>
      <c r="M14" s="120"/>
      <c r="N14" s="121"/>
      <c r="O14" s="118"/>
      <c r="P14" s="121"/>
      <c r="Q14" s="122">
        <f t="shared" si="0"/>
        <v>64</v>
      </c>
      <c r="R14" s="123">
        <f t="shared" si="1"/>
        <v>0.7441860465116279</v>
      </c>
      <c r="S14" s="42"/>
    </row>
    <row r="15" spans="1:20" ht="18.75" customHeight="1" x14ac:dyDescent="0.15">
      <c r="A15" s="11"/>
      <c r="B15" s="204" t="s">
        <v>257</v>
      </c>
      <c r="C15" s="205"/>
      <c r="D15" s="124">
        <v>111</v>
      </c>
      <c r="E15" s="125">
        <v>85</v>
      </c>
      <c r="F15" s="126">
        <v>34</v>
      </c>
      <c r="G15" s="109"/>
      <c r="H15" s="110"/>
      <c r="I15" s="111"/>
      <c r="J15" s="112"/>
      <c r="K15" s="109"/>
      <c r="L15" s="110"/>
      <c r="M15" s="111"/>
      <c r="N15" s="112"/>
      <c r="O15" s="109"/>
      <c r="P15" s="112"/>
      <c r="Q15" s="122">
        <f t="shared" si="0"/>
        <v>85</v>
      </c>
      <c r="R15" s="123">
        <f t="shared" si="1"/>
        <v>0.76576576576576572</v>
      </c>
      <c r="S15" s="42"/>
    </row>
    <row r="16" spans="1:20" ht="18.75" customHeight="1" x14ac:dyDescent="0.15">
      <c r="A16" s="11"/>
      <c r="B16" s="206" t="s">
        <v>258</v>
      </c>
      <c r="C16" s="207"/>
      <c r="D16" s="131" t="s">
        <v>259</v>
      </c>
      <c r="E16" s="116" t="s">
        <v>259</v>
      </c>
      <c r="F16" s="117" t="s">
        <v>259</v>
      </c>
      <c r="G16" s="127"/>
      <c r="H16" s="128"/>
      <c r="I16" s="116"/>
      <c r="J16" s="117"/>
      <c r="K16" s="127"/>
      <c r="L16" s="128"/>
      <c r="M16" s="116"/>
      <c r="N16" s="117"/>
      <c r="O16" s="127"/>
      <c r="P16" s="128"/>
      <c r="Q16" s="122"/>
      <c r="R16" s="129"/>
    </row>
    <row r="17" spans="1:18" ht="18.75" customHeight="1" x14ac:dyDescent="0.15">
      <c r="A17" s="11"/>
      <c r="B17" s="32" t="s">
        <v>260</v>
      </c>
      <c r="C17" s="130"/>
      <c r="D17" s="18"/>
      <c r="E17" s="19"/>
      <c r="F17" s="20"/>
      <c r="G17" s="21"/>
      <c r="H17" s="22"/>
      <c r="I17" s="19"/>
      <c r="J17" s="20"/>
      <c r="K17" s="21"/>
      <c r="L17" s="22"/>
      <c r="M17" s="19"/>
      <c r="N17" s="20"/>
      <c r="O17" s="21"/>
      <c r="P17" s="22"/>
      <c r="Q17" s="23"/>
      <c r="R17" s="17"/>
    </row>
    <row r="18" spans="1:18" ht="18.75" customHeight="1" x14ac:dyDescent="0.15">
      <c r="A18" s="11"/>
      <c r="B18" s="32"/>
      <c r="C18" s="33"/>
      <c r="D18" s="18"/>
      <c r="E18" s="19"/>
      <c r="F18" s="20"/>
      <c r="G18" s="21"/>
      <c r="H18" s="22"/>
      <c r="I18" s="19"/>
      <c r="J18" s="20"/>
      <c r="K18" s="21"/>
      <c r="L18" s="22"/>
      <c r="M18" s="19"/>
      <c r="N18" s="20"/>
      <c r="O18" s="21"/>
      <c r="P18" s="22"/>
      <c r="Q18" s="23"/>
      <c r="R18" s="17"/>
    </row>
    <row r="19" spans="1:18" ht="18.75" customHeight="1" x14ac:dyDescent="0.15">
      <c r="A19" s="11"/>
      <c r="B19" s="32"/>
      <c r="C19" s="33"/>
      <c r="D19" s="18"/>
      <c r="E19" s="19"/>
      <c r="F19" s="20"/>
      <c r="G19" s="21"/>
      <c r="H19" s="22"/>
      <c r="I19" s="19"/>
      <c r="J19" s="20"/>
      <c r="K19" s="21"/>
      <c r="L19" s="22"/>
      <c r="M19" s="19"/>
      <c r="N19" s="20"/>
      <c r="O19" s="21"/>
      <c r="P19" s="22"/>
      <c r="Q19" s="23"/>
      <c r="R19" s="17"/>
    </row>
    <row r="20" spans="1:18" ht="18.75" customHeight="1" x14ac:dyDescent="0.15">
      <c r="A20" s="11"/>
      <c r="B20" s="32"/>
      <c r="C20" s="33"/>
      <c r="D20" s="18"/>
      <c r="E20" s="19"/>
      <c r="F20" s="20"/>
      <c r="G20" s="21"/>
      <c r="H20" s="22"/>
      <c r="I20" s="19"/>
      <c r="J20" s="20"/>
      <c r="K20" s="21"/>
      <c r="L20" s="22"/>
      <c r="M20" s="19"/>
      <c r="N20" s="20"/>
      <c r="O20" s="21"/>
      <c r="P20" s="22"/>
      <c r="Q20" s="23"/>
      <c r="R20" s="17"/>
    </row>
    <row r="21" spans="1:18" ht="18.75" customHeight="1" x14ac:dyDescent="0.15">
      <c r="A21" s="11"/>
      <c r="B21" s="32"/>
      <c r="C21" s="33"/>
      <c r="D21" s="18"/>
      <c r="E21" s="19"/>
      <c r="F21" s="20"/>
      <c r="G21" s="21"/>
      <c r="H21" s="22"/>
      <c r="I21" s="19"/>
      <c r="J21" s="20"/>
      <c r="K21" s="21"/>
      <c r="L21" s="22"/>
      <c r="M21" s="19"/>
      <c r="N21" s="20"/>
      <c r="O21" s="21"/>
      <c r="P21" s="22"/>
      <c r="Q21" s="23"/>
      <c r="R21" s="17"/>
    </row>
    <row r="22" spans="1:18" ht="18.75" customHeight="1" x14ac:dyDescent="0.15">
      <c r="A22" s="11"/>
      <c r="B22" s="32"/>
      <c r="C22" s="33"/>
      <c r="D22" s="18"/>
      <c r="E22" s="19"/>
      <c r="F22" s="20"/>
      <c r="G22" s="21"/>
      <c r="H22" s="22"/>
      <c r="I22" s="19"/>
      <c r="J22" s="20"/>
      <c r="K22" s="21"/>
      <c r="L22" s="22"/>
      <c r="M22" s="19"/>
      <c r="N22" s="20"/>
      <c r="O22" s="21"/>
      <c r="P22" s="22"/>
      <c r="Q22" s="23"/>
      <c r="R22" s="17"/>
    </row>
    <row r="23" spans="1:18" ht="18.75" customHeight="1" x14ac:dyDescent="0.15">
      <c r="A23" s="11"/>
      <c r="B23" s="32"/>
      <c r="C23" s="33"/>
      <c r="D23" s="18"/>
      <c r="E23" s="19"/>
      <c r="F23" s="20"/>
      <c r="G23" s="21"/>
      <c r="H23" s="22"/>
      <c r="I23" s="19"/>
      <c r="J23" s="20"/>
      <c r="K23" s="21"/>
      <c r="L23" s="22"/>
      <c r="M23" s="19"/>
      <c r="N23" s="20"/>
      <c r="O23" s="21"/>
      <c r="P23" s="22"/>
      <c r="Q23" s="23"/>
      <c r="R23" s="17"/>
    </row>
    <row r="24" spans="1:18" ht="18.75" customHeight="1" x14ac:dyDescent="0.15">
      <c r="A24" s="11"/>
      <c r="B24" s="32"/>
      <c r="C24" s="33"/>
      <c r="D24" s="18"/>
      <c r="E24" s="19"/>
      <c r="F24" s="20"/>
      <c r="G24" s="21"/>
      <c r="H24" s="22"/>
      <c r="I24" s="19"/>
      <c r="J24" s="20"/>
      <c r="K24" s="21"/>
      <c r="L24" s="22"/>
      <c r="M24" s="19"/>
      <c r="N24" s="20"/>
      <c r="O24" s="21"/>
      <c r="P24" s="22"/>
      <c r="Q24" s="23"/>
      <c r="R24" s="17"/>
    </row>
    <row r="25" spans="1:18" ht="18.75" customHeight="1" x14ac:dyDescent="0.15">
      <c r="A25" s="11"/>
      <c r="B25" s="32"/>
      <c r="C25" s="33"/>
      <c r="D25" s="18"/>
      <c r="E25" s="19"/>
      <c r="F25" s="20"/>
      <c r="G25" s="21"/>
      <c r="H25" s="22"/>
      <c r="I25" s="19"/>
      <c r="J25" s="20"/>
      <c r="K25" s="21"/>
      <c r="L25" s="22"/>
      <c r="M25" s="19"/>
      <c r="N25" s="20"/>
      <c r="O25" s="21"/>
      <c r="P25" s="22"/>
      <c r="Q25" s="23"/>
      <c r="R25" s="17"/>
    </row>
    <row r="26" spans="1:18" ht="18.75" customHeight="1" x14ac:dyDescent="0.15">
      <c r="A26" s="11"/>
      <c r="B26" s="32"/>
      <c r="C26" s="33"/>
      <c r="D26" s="18"/>
      <c r="E26" s="19"/>
      <c r="F26" s="20"/>
      <c r="G26" s="21"/>
      <c r="H26" s="22"/>
      <c r="I26" s="19"/>
      <c r="J26" s="20"/>
      <c r="K26" s="21"/>
      <c r="L26" s="22"/>
      <c r="M26" s="19"/>
      <c r="N26" s="20"/>
      <c r="O26" s="21"/>
      <c r="P26" s="22"/>
      <c r="Q26" s="23"/>
      <c r="R26" s="17"/>
    </row>
    <row r="27" spans="1:18" ht="18.75" customHeight="1" x14ac:dyDescent="0.15">
      <c r="A27" s="11"/>
      <c r="B27" s="32"/>
      <c r="C27" s="33"/>
      <c r="D27" s="18"/>
      <c r="E27" s="19"/>
      <c r="F27" s="20"/>
      <c r="G27" s="21"/>
      <c r="H27" s="22"/>
      <c r="I27" s="19"/>
      <c r="J27" s="20"/>
      <c r="K27" s="21"/>
      <c r="L27" s="22"/>
      <c r="M27" s="19"/>
      <c r="N27" s="20"/>
      <c r="O27" s="21"/>
      <c r="P27" s="22"/>
      <c r="Q27" s="23"/>
      <c r="R27" s="17"/>
    </row>
    <row r="28" spans="1:18" ht="18.75" customHeight="1" x14ac:dyDescent="0.15">
      <c r="A28" s="11"/>
      <c r="B28" s="32"/>
      <c r="C28" s="33"/>
      <c r="D28" s="18"/>
      <c r="E28" s="19"/>
      <c r="F28" s="20"/>
      <c r="G28" s="21"/>
      <c r="H28" s="22"/>
      <c r="I28" s="19"/>
      <c r="J28" s="20"/>
      <c r="K28" s="21"/>
      <c r="L28" s="22"/>
      <c r="M28" s="19"/>
      <c r="N28" s="20"/>
      <c r="O28" s="21"/>
      <c r="P28" s="22"/>
      <c r="Q28" s="23"/>
      <c r="R28" s="17"/>
    </row>
    <row r="29" spans="1:18" ht="6.75" customHeight="1" thickBot="1" x14ac:dyDescent="0.2">
      <c r="A29" s="11"/>
      <c r="B29" s="34"/>
      <c r="C29" s="35"/>
      <c r="D29" s="12"/>
      <c r="E29" s="13"/>
      <c r="F29" s="14"/>
      <c r="G29" s="15"/>
      <c r="H29" s="16"/>
      <c r="I29" s="13"/>
      <c r="J29" s="14"/>
      <c r="K29" s="15"/>
      <c r="L29" s="16"/>
      <c r="M29" s="13"/>
      <c r="N29" s="14"/>
      <c r="O29" s="15"/>
      <c r="P29" s="16"/>
      <c r="Q29" s="24"/>
      <c r="R29" s="17"/>
    </row>
    <row r="30" spans="1:18" ht="18.75" customHeight="1" thickTop="1" x14ac:dyDescent="0.15">
      <c r="B30" s="208" t="s">
        <v>65</v>
      </c>
      <c r="C30" s="209"/>
      <c r="D30" s="25">
        <f t="shared" ref="D30:Q30" si="2">SUM(D9:D29)</f>
        <v>820</v>
      </c>
      <c r="E30" s="26">
        <f t="shared" si="2"/>
        <v>616</v>
      </c>
      <c r="F30" s="27">
        <f t="shared" si="2"/>
        <v>110</v>
      </c>
      <c r="G30" s="28">
        <f t="shared" si="2"/>
        <v>0</v>
      </c>
      <c r="H30" s="29">
        <f t="shared" si="2"/>
        <v>0</v>
      </c>
      <c r="I30" s="26">
        <f t="shared" si="2"/>
        <v>0</v>
      </c>
      <c r="J30" s="27">
        <f t="shared" si="2"/>
        <v>0</v>
      </c>
      <c r="K30" s="28">
        <f t="shared" si="2"/>
        <v>0</v>
      </c>
      <c r="L30" s="29">
        <f t="shared" si="2"/>
        <v>0</v>
      </c>
      <c r="M30" s="26">
        <f t="shared" si="2"/>
        <v>0</v>
      </c>
      <c r="N30" s="27">
        <f t="shared" si="2"/>
        <v>0</v>
      </c>
      <c r="O30" s="28">
        <f t="shared" si="2"/>
        <v>0</v>
      </c>
      <c r="P30" s="29">
        <f t="shared" si="2"/>
        <v>0</v>
      </c>
      <c r="Q30" s="30">
        <f t="shared" si="2"/>
        <v>616</v>
      </c>
      <c r="R30" s="31">
        <f>Q30/D30</f>
        <v>0.75121951219512195</v>
      </c>
    </row>
  </sheetData>
  <mergeCells count="24">
    <mergeCell ref="B14:C14"/>
    <mergeCell ref="B15:C15"/>
    <mergeCell ref="B16:C16"/>
    <mergeCell ref="B30:C30"/>
    <mergeCell ref="B9:C9"/>
    <mergeCell ref="B10:C10"/>
    <mergeCell ref="B11:C11"/>
    <mergeCell ref="B12:C12"/>
    <mergeCell ref="B13:C13"/>
    <mergeCell ref="B8:C8"/>
    <mergeCell ref="B6:C7"/>
    <mergeCell ref="F1:R1"/>
    <mergeCell ref="K2:L2"/>
    <mergeCell ref="D6:D7"/>
    <mergeCell ref="E6:F6"/>
    <mergeCell ref="G6:H6"/>
    <mergeCell ref="I6:J6"/>
    <mergeCell ref="K6:L6"/>
    <mergeCell ref="M6:N6"/>
    <mergeCell ref="O6:P6"/>
    <mergeCell ref="Q6:Q7"/>
    <mergeCell ref="R6:R7"/>
    <mergeCell ref="A4:R4"/>
    <mergeCell ref="M2:R2"/>
  </mergeCells>
  <phoneticPr fontId="4"/>
  <printOptions horizontalCentered="1"/>
  <pageMargins left="0.78740157480314965" right="0.78740157480314965" top="0.78740157480314965" bottom="0.59055118110236227" header="0.31496062992125984" footer="0.31496062992125984"/>
  <pageSetup paperSize="9" orientation="landscape" copies="3"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G150"/>
  <sheetViews>
    <sheetView zoomScaleNormal="100" workbookViewId="0">
      <selection activeCell="E139" sqref="E139"/>
    </sheetView>
  </sheetViews>
  <sheetFormatPr defaultColWidth="9" defaultRowHeight="14.25" x14ac:dyDescent="0.15"/>
  <cols>
    <col min="1" max="1" width="2.5" style="44" customWidth="1"/>
    <col min="2" max="2" width="19" style="44" customWidth="1"/>
    <col min="3" max="3" width="25" style="44" customWidth="1"/>
    <col min="4" max="4" width="10" style="44" customWidth="1"/>
    <col min="5" max="7" width="25" style="44" customWidth="1"/>
    <col min="8" max="16384" width="9" style="44"/>
  </cols>
  <sheetData>
    <row r="1" spans="1:7" ht="18.75" customHeight="1" x14ac:dyDescent="0.15">
      <c r="G1" s="43" t="s">
        <v>226</v>
      </c>
    </row>
    <row r="2" spans="1:7" ht="18.75" customHeight="1" x14ac:dyDescent="0.15">
      <c r="F2" s="43" t="s">
        <v>31</v>
      </c>
      <c r="G2" s="9" t="s">
        <v>227</v>
      </c>
    </row>
    <row r="3" spans="1:7" ht="18.75" customHeight="1" x14ac:dyDescent="0.15">
      <c r="A3" s="153" t="s">
        <v>90</v>
      </c>
      <c r="B3" s="153"/>
      <c r="C3" s="153"/>
      <c r="D3" s="153"/>
      <c r="E3" s="153"/>
      <c r="F3" s="153"/>
      <c r="G3" s="153"/>
    </row>
    <row r="4" spans="1:7" ht="18.75" customHeight="1" x14ac:dyDescent="0.15">
      <c r="A4" s="44" t="s">
        <v>7</v>
      </c>
      <c r="B4" s="44" t="s">
        <v>89</v>
      </c>
    </row>
    <row r="5" spans="1:7" s="46" customFormat="1" ht="18.75" customHeight="1" x14ac:dyDescent="0.15">
      <c r="B5" s="72" t="s">
        <v>72</v>
      </c>
      <c r="C5" s="215" t="s">
        <v>100</v>
      </c>
      <c r="D5" s="216"/>
      <c r="E5" s="216"/>
      <c r="F5" s="216"/>
      <c r="G5" s="217"/>
    </row>
    <row r="6" spans="1:7" s="46" customFormat="1" ht="45" customHeight="1" x14ac:dyDescent="0.15">
      <c r="B6" s="218" t="s">
        <v>103</v>
      </c>
      <c r="C6" s="220" t="s">
        <v>233</v>
      </c>
      <c r="D6" s="221"/>
      <c r="E6" s="221"/>
      <c r="F6" s="221"/>
      <c r="G6" s="222"/>
    </row>
    <row r="7" spans="1:7" s="46" customFormat="1" ht="45" customHeight="1" x14ac:dyDescent="0.15">
      <c r="B7" s="219"/>
      <c r="C7" s="223"/>
      <c r="D7" s="224"/>
      <c r="E7" s="224"/>
      <c r="F7" s="224"/>
      <c r="G7" s="225"/>
    </row>
    <row r="8" spans="1:7" s="46" customFormat="1" ht="45" customHeight="1" x14ac:dyDescent="0.15">
      <c r="B8" s="219"/>
      <c r="C8" s="223"/>
      <c r="D8" s="224"/>
      <c r="E8" s="224"/>
      <c r="F8" s="224"/>
      <c r="G8" s="225"/>
    </row>
    <row r="9" spans="1:7" s="46" customFormat="1" ht="45" customHeight="1" x14ac:dyDescent="0.15">
      <c r="B9" s="219"/>
      <c r="C9" s="226"/>
      <c r="D9" s="227"/>
      <c r="E9" s="227"/>
      <c r="F9" s="227"/>
      <c r="G9" s="228"/>
    </row>
    <row r="10" spans="1:7" s="46" customFormat="1" ht="18.75" customHeight="1" x14ac:dyDescent="0.15">
      <c r="B10" s="219"/>
      <c r="C10" s="45" t="s">
        <v>101</v>
      </c>
      <c r="D10" s="135" t="s">
        <v>102</v>
      </c>
      <c r="E10" s="136"/>
      <c r="F10" s="136"/>
      <c r="G10" s="137"/>
    </row>
    <row r="11" spans="1:7" s="46" customFormat="1" ht="18.75" customHeight="1" x14ac:dyDescent="0.15">
      <c r="B11" s="219"/>
      <c r="C11" s="73" t="s">
        <v>126</v>
      </c>
      <c r="D11" s="148" t="s">
        <v>138</v>
      </c>
      <c r="E11" s="149"/>
      <c r="F11" s="149"/>
      <c r="G11" s="150"/>
    </row>
    <row r="12" spans="1:7" s="46" customFormat="1" ht="18.75" customHeight="1" x14ac:dyDescent="0.15">
      <c r="B12" s="219"/>
      <c r="C12" s="73" t="s">
        <v>127</v>
      </c>
      <c r="D12" s="148" t="s">
        <v>140</v>
      </c>
      <c r="E12" s="149"/>
      <c r="F12" s="149"/>
      <c r="G12" s="150"/>
    </row>
    <row r="13" spans="1:7" s="46" customFormat="1" ht="18.75" customHeight="1" x14ac:dyDescent="0.15">
      <c r="B13" s="219"/>
      <c r="C13" s="73" t="s">
        <v>143</v>
      </c>
      <c r="D13" s="148" t="s">
        <v>144</v>
      </c>
      <c r="E13" s="149"/>
      <c r="F13" s="149"/>
      <c r="G13" s="150"/>
    </row>
    <row r="14" spans="1:7" s="46" customFormat="1" ht="18.75" customHeight="1" x14ac:dyDescent="0.15">
      <c r="B14" s="219"/>
      <c r="C14" s="73"/>
      <c r="D14" s="148"/>
      <c r="E14" s="149"/>
      <c r="F14" s="149"/>
      <c r="G14" s="150"/>
    </row>
    <row r="15" spans="1:7" s="46" customFormat="1" ht="18.75" customHeight="1" x14ac:dyDescent="0.15">
      <c r="B15" s="219"/>
      <c r="C15" s="73"/>
      <c r="D15" s="215"/>
      <c r="E15" s="216"/>
      <c r="F15" s="216"/>
      <c r="G15" s="217"/>
    </row>
    <row r="16" spans="1:7" s="46" customFormat="1" ht="18.75" customHeight="1" x14ac:dyDescent="0.15">
      <c r="B16" s="219"/>
      <c r="C16" s="72"/>
      <c r="D16" s="215"/>
      <c r="E16" s="216"/>
      <c r="F16" s="216"/>
      <c r="G16" s="217"/>
    </row>
    <row r="17" spans="2:7" s="46" customFormat="1" ht="18.75" customHeight="1" x14ac:dyDescent="0.15">
      <c r="B17" s="219"/>
      <c r="C17" s="72"/>
      <c r="D17" s="215"/>
      <c r="E17" s="216"/>
      <c r="F17" s="216"/>
      <c r="G17" s="217"/>
    </row>
    <row r="18" spans="2:7" s="46" customFormat="1" ht="18.75" customHeight="1" x14ac:dyDescent="0.15">
      <c r="B18" s="219"/>
      <c r="C18" s="72"/>
      <c r="D18" s="215"/>
      <c r="E18" s="216"/>
      <c r="F18" s="216"/>
      <c r="G18" s="217"/>
    </row>
    <row r="19" spans="2:7" s="46" customFormat="1" ht="18.75" customHeight="1" x14ac:dyDescent="0.15">
      <c r="B19" s="219"/>
      <c r="C19" s="72"/>
      <c r="D19" s="215"/>
      <c r="E19" s="216"/>
      <c r="F19" s="216"/>
      <c r="G19" s="217"/>
    </row>
    <row r="20" spans="2:7" s="46" customFormat="1" ht="18.75" customHeight="1" x14ac:dyDescent="0.15">
      <c r="B20" s="219"/>
      <c r="C20" s="72"/>
      <c r="D20" s="215"/>
      <c r="E20" s="216"/>
      <c r="F20" s="216"/>
      <c r="G20" s="217"/>
    </row>
    <row r="21" spans="2:7" s="46" customFormat="1" ht="18.75" customHeight="1" x14ac:dyDescent="0.15">
      <c r="B21" s="219"/>
      <c r="C21" s="72"/>
      <c r="D21" s="215"/>
      <c r="E21" s="216"/>
      <c r="F21" s="216"/>
      <c r="G21" s="217"/>
    </row>
    <row r="22" spans="2:7" s="46" customFormat="1" ht="18.75" customHeight="1" x14ac:dyDescent="0.15">
      <c r="B22" s="219"/>
      <c r="C22" s="72"/>
      <c r="D22" s="215"/>
      <c r="E22" s="216"/>
      <c r="F22" s="216"/>
      <c r="G22" s="217"/>
    </row>
    <row r="23" spans="2:7" s="46" customFormat="1" ht="18.75" customHeight="1" x14ac:dyDescent="0.15">
      <c r="B23" s="219"/>
      <c r="C23" s="72"/>
      <c r="D23" s="215"/>
      <c r="E23" s="216"/>
      <c r="F23" s="216"/>
      <c r="G23" s="217"/>
    </row>
    <row r="24" spans="2:7" s="46" customFormat="1" ht="18.75" customHeight="1" x14ac:dyDescent="0.15">
      <c r="B24" s="219"/>
      <c r="C24" s="72"/>
      <c r="D24" s="215"/>
      <c r="E24" s="216"/>
      <c r="F24" s="216"/>
      <c r="G24" s="217"/>
    </row>
    <row r="25" spans="2:7" s="46" customFormat="1" ht="18.75" customHeight="1" x14ac:dyDescent="0.15">
      <c r="B25" s="219"/>
      <c r="C25" s="72"/>
      <c r="D25" s="215"/>
      <c r="E25" s="216"/>
      <c r="F25" s="216"/>
      <c r="G25" s="217"/>
    </row>
    <row r="26" spans="2:7" ht="18.75" customHeight="1" x14ac:dyDescent="0.15">
      <c r="B26" s="218" t="s">
        <v>104</v>
      </c>
      <c r="C26" s="215" t="s">
        <v>100</v>
      </c>
      <c r="D26" s="216"/>
      <c r="E26" s="216"/>
      <c r="F26" s="216"/>
      <c r="G26" s="217"/>
    </row>
    <row r="27" spans="2:7" ht="37.5" customHeight="1" x14ac:dyDescent="0.15">
      <c r="B27" s="219"/>
      <c r="C27" s="230" t="s">
        <v>234</v>
      </c>
      <c r="D27" s="231"/>
      <c r="E27" s="231"/>
      <c r="F27" s="231"/>
      <c r="G27" s="232"/>
    </row>
    <row r="28" spans="2:7" ht="37.5" customHeight="1" x14ac:dyDescent="0.15">
      <c r="B28" s="219"/>
      <c r="C28" s="233"/>
      <c r="D28" s="234"/>
      <c r="E28" s="234"/>
      <c r="F28" s="234"/>
      <c r="G28" s="235"/>
    </row>
    <row r="29" spans="2:7" ht="37.5" customHeight="1" x14ac:dyDescent="0.15">
      <c r="B29" s="219"/>
      <c r="C29" s="233"/>
      <c r="D29" s="234"/>
      <c r="E29" s="234"/>
      <c r="F29" s="234"/>
      <c r="G29" s="235"/>
    </row>
    <row r="30" spans="2:7" ht="37.5" customHeight="1" x14ac:dyDescent="0.15">
      <c r="B30" s="219"/>
      <c r="C30" s="233"/>
      <c r="D30" s="234"/>
      <c r="E30" s="234"/>
      <c r="F30" s="234"/>
      <c r="G30" s="235"/>
    </row>
    <row r="31" spans="2:7" ht="37.5" customHeight="1" x14ac:dyDescent="0.15">
      <c r="B31" s="219"/>
      <c r="C31" s="236"/>
      <c r="D31" s="237"/>
      <c r="E31" s="237"/>
      <c r="F31" s="237"/>
      <c r="G31" s="238"/>
    </row>
    <row r="32" spans="2:7" ht="18.75" customHeight="1" x14ac:dyDescent="0.15">
      <c r="B32" s="219"/>
      <c r="C32" s="45" t="s">
        <v>101</v>
      </c>
      <c r="D32" s="215" t="s">
        <v>102</v>
      </c>
      <c r="E32" s="216"/>
      <c r="F32" s="216"/>
      <c r="G32" s="217"/>
    </row>
    <row r="33" spans="2:7" ht="18.75" customHeight="1" x14ac:dyDescent="0.15">
      <c r="B33" s="219"/>
      <c r="C33" s="73" t="s">
        <v>143</v>
      </c>
      <c r="D33" s="148" t="s">
        <v>145</v>
      </c>
      <c r="E33" s="149"/>
      <c r="F33" s="149"/>
      <c r="G33" s="150"/>
    </row>
    <row r="34" spans="2:7" ht="18.75" customHeight="1" x14ac:dyDescent="0.15">
      <c r="B34" s="219"/>
      <c r="C34" s="73" t="s">
        <v>126</v>
      </c>
      <c r="D34" s="148" t="s">
        <v>139</v>
      </c>
      <c r="E34" s="149"/>
      <c r="F34" s="149"/>
      <c r="G34" s="150"/>
    </row>
    <row r="35" spans="2:7" ht="18.75" customHeight="1" x14ac:dyDescent="0.15">
      <c r="B35" s="219"/>
      <c r="C35" s="73" t="s">
        <v>142</v>
      </c>
      <c r="D35" s="148" t="s">
        <v>210</v>
      </c>
      <c r="E35" s="149"/>
      <c r="F35" s="149"/>
      <c r="G35" s="150"/>
    </row>
    <row r="36" spans="2:7" ht="18.75" customHeight="1" x14ac:dyDescent="0.15">
      <c r="B36" s="219"/>
      <c r="C36" s="73"/>
      <c r="D36" s="148"/>
      <c r="E36" s="149"/>
      <c r="F36" s="149"/>
      <c r="G36" s="150"/>
    </row>
    <row r="37" spans="2:7" ht="18.75" customHeight="1" x14ac:dyDescent="0.15">
      <c r="B37" s="219"/>
      <c r="C37" s="73"/>
      <c r="D37" s="148"/>
      <c r="E37" s="149"/>
      <c r="F37" s="149"/>
      <c r="G37" s="150"/>
    </row>
    <row r="38" spans="2:7" ht="18.75" customHeight="1" x14ac:dyDescent="0.15">
      <c r="B38" s="219"/>
      <c r="C38" s="72"/>
      <c r="D38" s="148"/>
      <c r="E38" s="149"/>
      <c r="F38" s="149"/>
      <c r="G38" s="150"/>
    </row>
    <row r="39" spans="2:7" ht="18.75" customHeight="1" x14ac:dyDescent="0.15">
      <c r="B39" s="219"/>
      <c r="C39" s="72"/>
      <c r="D39" s="148"/>
      <c r="E39" s="149"/>
      <c r="F39" s="149"/>
      <c r="G39" s="150"/>
    </row>
    <row r="40" spans="2:7" ht="18.75" customHeight="1" x14ac:dyDescent="0.15">
      <c r="B40" s="219"/>
      <c r="C40" s="72"/>
      <c r="D40" s="148"/>
      <c r="E40" s="149"/>
      <c r="F40" s="149"/>
      <c r="G40" s="150"/>
    </row>
    <row r="41" spans="2:7" ht="18.75" customHeight="1" x14ac:dyDescent="0.15">
      <c r="B41" s="219"/>
      <c r="C41" s="72"/>
      <c r="D41" s="148"/>
      <c r="E41" s="149"/>
      <c r="F41" s="149"/>
      <c r="G41" s="150"/>
    </row>
    <row r="42" spans="2:7" ht="18.75" customHeight="1" x14ac:dyDescent="0.15">
      <c r="B42" s="219"/>
      <c r="C42" s="72"/>
      <c r="D42" s="148"/>
      <c r="E42" s="149"/>
      <c r="F42" s="149"/>
      <c r="G42" s="150"/>
    </row>
    <row r="43" spans="2:7" ht="18.75" customHeight="1" x14ac:dyDescent="0.15">
      <c r="B43" s="219"/>
      <c r="C43" s="72"/>
      <c r="D43" s="148"/>
      <c r="E43" s="149"/>
      <c r="F43" s="149"/>
      <c r="G43" s="150"/>
    </row>
    <row r="44" spans="2:7" ht="18.75" customHeight="1" x14ac:dyDescent="0.15">
      <c r="B44" s="219"/>
      <c r="C44" s="72"/>
      <c r="D44" s="148"/>
      <c r="E44" s="149"/>
      <c r="F44" s="149"/>
      <c r="G44" s="150"/>
    </row>
    <row r="45" spans="2:7" ht="18.75" customHeight="1" x14ac:dyDescent="0.15">
      <c r="B45" s="219"/>
      <c r="C45" s="72"/>
      <c r="D45" s="148"/>
      <c r="E45" s="149"/>
      <c r="F45" s="149"/>
      <c r="G45" s="150"/>
    </row>
    <row r="46" spans="2:7" ht="18.75" customHeight="1" x14ac:dyDescent="0.15">
      <c r="B46" s="219"/>
      <c r="C46" s="72"/>
      <c r="D46" s="148"/>
      <c r="E46" s="149"/>
      <c r="F46" s="149"/>
      <c r="G46" s="150"/>
    </row>
    <row r="47" spans="2:7" ht="18.75" customHeight="1" x14ac:dyDescent="0.15">
      <c r="B47" s="219"/>
      <c r="C47" s="72"/>
      <c r="D47" s="148"/>
      <c r="E47" s="149"/>
      <c r="F47" s="149"/>
      <c r="G47" s="150"/>
    </row>
    <row r="48" spans="2:7" ht="18.75" customHeight="1" x14ac:dyDescent="0.15">
      <c r="B48" s="219"/>
      <c r="C48" s="72"/>
      <c r="D48" s="148"/>
      <c r="E48" s="149"/>
      <c r="F48" s="149"/>
      <c r="G48" s="150"/>
    </row>
    <row r="49" spans="2:7" ht="18.75" customHeight="1" x14ac:dyDescent="0.15">
      <c r="B49" s="219"/>
      <c r="C49" s="72"/>
      <c r="D49" s="148"/>
      <c r="E49" s="149"/>
      <c r="F49" s="149"/>
      <c r="G49" s="150"/>
    </row>
    <row r="50" spans="2:7" ht="18.75" customHeight="1" x14ac:dyDescent="0.15">
      <c r="B50" s="229"/>
      <c r="C50" s="72"/>
      <c r="D50" s="148"/>
      <c r="E50" s="149"/>
      <c r="F50" s="149"/>
      <c r="G50" s="150"/>
    </row>
    <row r="51" spans="2:7" ht="18.75" customHeight="1" x14ac:dyDescent="0.15">
      <c r="B51" s="218" t="s">
        <v>106</v>
      </c>
      <c r="C51" s="215" t="s">
        <v>100</v>
      </c>
      <c r="D51" s="216"/>
      <c r="E51" s="216"/>
      <c r="F51" s="216"/>
      <c r="G51" s="217"/>
    </row>
    <row r="52" spans="2:7" ht="37.5" customHeight="1" x14ac:dyDescent="0.15">
      <c r="B52" s="219"/>
      <c r="C52" s="230" t="s">
        <v>239</v>
      </c>
      <c r="D52" s="231"/>
      <c r="E52" s="231"/>
      <c r="F52" s="231"/>
      <c r="G52" s="232"/>
    </row>
    <row r="53" spans="2:7" ht="37.5" customHeight="1" x14ac:dyDescent="0.15">
      <c r="B53" s="219"/>
      <c r="C53" s="233"/>
      <c r="D53" s="234"/>
      <c r="E53" s="234"/>
      <c r="F53" s="234"/>
      <c r="G53" s="235"/>
    </row>
    <row r="54" spans="2:7" ht="37.5" customHeight="1" x14ac:dyDescent="0.15">
      <c r="B54" s="219"/>
      <c r="C54" s="233"/>
      <c r="D54" s="234"/>
      <c r="E54" s="234"/>
      <c r="F54" s="234"/>
      <c r="G54" s="235"/>
    </row>
    <row r="55" spans="2:7" ht="37.5" customHeight="1" x14ac:dyDescent="0.15">
      <c r="B55" s="219"/>
      <c r="C55" s="233"/>
      <c r="D55" s="234"/>
      <c r="E55" s="234"/>
      <c r="F55" s="234"/>
      <c r="G55" s="235"/>
    </row>
    <row r="56" spans="2:7" ht="37.5" customHeight="1" x14ac:dyDescent="0.15">
      <c r="B56" s="219"/>
      <c r="C56" s="236"/>
      <c r="D56" s="237"/>
      <c r="E56" s="237"/>
      <c r="F56" s="237"/>
      <c r="G56" s="238"/>
    </row>
    <row r="57" spans="2:7" ht="18.75" customHeight="1" x14ac:dyDescent="0.15">
      <c r="B57" s="219"/>
      <c r="C57" s="45" t="s">
        <v>101</v>
      </c>
      <c r="D57" s="215" t="s">
        <v>102</v>
      </c>
      <c r="E57" s="216"/>
      <c r="F57" s="216"/>
      <c r="G57" s="217"/>
    </row>
    <row r="58" spans="2:7" ht="18.75" customHeight="1" x14ac:dyDescent="0.15">
      <c r="B58" s="219"/>
      <c r="C58" s="73" t="s">
        <v>129</v>
      </c>
      <c r="D58" s="148" t="s">
        <v>146</v>
      </c>
      <c r="E58" s="149"/>
      <c r="F58" s="149"/>
      <c r="G58" s="150"/>
    </row>
    <row r="59" spans="2:7" ht="18.75" customHeight="1" x14ac:dyDescent="0.15">
      <c r="B59" s="219"/>
      <c r="C59" s="73" t="s">
        <v>148</v>
      </c>
      <c r="D59" s="148" t="s">
        <v>149</v>
      </c>
      <c r="E59" s="149"/>
      <c r="F59" s="149"/>
      <c r="G59" s="150"/>
    </row>
    <row r="60" spans="2:7" ht="18.75" customHeight="1" x14ac:dyDescent="0.15">
      <c r="B60" s="219"/>
      <c r="C60" s="73" t="s">
        <v>128</v>
      </c>
      <c r="D60" s="148" t="s">
        <v>211</v>
      </c>
      <c r="E60" s="149"/>
      <c r="F60" s="149"/>
      <c r="G60" s="150"/>
    </row>
    <row r="61" spans="2:7" ht="18.75" customHeight="1" x14ac:dyDescent="0.15">
      <c r="B61" s="219"/>
      <c r="C61" s="73" t="s">
        <v>126</v>
      </c>
      <c r="D61" s="148" t="s">
        <v>136</v>
      </c>
      <c r="E61" s="149"/>
      <c r="F61" s="149"/>
      <c r="G61" s="150"/>
    </row>
    <row r="62" spans="2:7" ht="18.75" customHeight="1" x14ac:dyDescent="0.15">
      <c r="B62" s="219"/>
      <c r="C62" s="73" t="s">
        <v>170</v>
      </c>
      <c r="D62" s="148" t="s">
        <v>171</v>
      </c>
      <c r="E62" s="149"/>
      <c r="F62" s="149"/>
      <c r="G62" s="150"/>
    </row>
    <row r="63" spans="2:7" ht="18.75" customHeight="1" x14ac:dyDescent="0.15">
      <c r="B63" s="219"/>
      <c r="C63" s="73"/>
      <c r="D63" s="148"/>
      <c r="E63" s="149"/>
      <c r="F63" s="149"/>
      <c r="G63" s="150"/>
    </row>
    <row r="64" spans="2:7" ht="18.75" customHeight="1" x14ac:dyDescent="0.15">
      <c r="B64" s="219"/>
      <c r="C64" s="73"/>
      <c r="D64" s="148"/>
      <c r="E64" s="149"/>
      <c r="F64" s="149"/>
      <c r="G64" s="150"/>
    </row>
    <row r="65" spans="2:7" ht="18.75" customHeight="1" x14ac:dyDescent="0.15">
      <c r="B65" s="219"/>
      <c r="C65" s="72"/>
      <c r="D65" s="148"/>
      <c r="E65" s="149"/>
      <c r="F65" s="149"/>
      <c r="G65" s="150"/>
    </row>
    <row r="66" spans="2:7" ht="18.75" customHeight="1" x14ac:dyDescent="0.15">
      <c r="B66" s="219"/>
      <c r="C66" s="72"/>
      <c r="D66" s="148"/>
      <c r="E66" s="149"/>
      <c r="F66" s="149"/>
      <c r="G66" s="150"/>
    </row>
    <row r="67" spans="2:7" ht="18.75" customHeight="1" x14ac:dyDescent="0.15">
      <c r="B67" s="219"/>
      <c r="C67" s="72"/>
      <c r="D67" s="148"/>
      <c r="E67" s="149"/>
      <c r="F67" s="149"/>
      <c r="G67" s="150"/>
    </row>
    <row r="68" spans="2:7" ht="18.75" customHeight="1" x14ac:dyDescent="0.15">
      <c r="B68" s="219"/>
      <c r="C68" s="72"/>
      <c r="D68" s="148"/>
      <c r="E68" s="149"/>
      <c r="F68" s="149"/>
      <c r="G68" s="150"/>
    </row>
    <row r="69" spans="2:7" ht="18.75" customHeight="1" x14ac:dyDescent="0.15">
      <c r="B69" s="219"/>
      <c r="C69" s="72"/>
      <c r="D69" s="148"/>
      <c r="E69" s="149"/>
      <c r="F69" s="149"/>
      <c r="G69" s="150"/>
    </row>
    <row r="70" spans="2:7" ht="18.75" customHeight="1" x14ac:dyDescent="0.15">
      <c r="B70" s="219"/>
      <c r="C70" s="72"/>
      <c r="D70" s="148"/>
      <c r="E70" s="149"/>
      <c r="F70" s="149"/>
      <c r="G70" s="150"/>
    </row>
    <row r="71" spans="2:7" ht="18.75" customHeight="1" x14ac:dyDescent="0.15">
      <c r="B71" s="219"/>
      <c r="C71" s="72"/>
      <c r="D71" s="148"/>
      <c r="E71" s="149"/>
      <c r="F71" s="149"/>
      <c r="G71" s="150"/>
    </row>
    <row r="72" spans="2:7" ht="18.75" customHeight="1" x14ac:dyDescent="0.15">
      <c r="B72" s="219"/>
      <c r="C72" s="72"/>
      <c r="D72" s="148"/>
      <c r="E72" s="149"/>
      <c r="F72" s="149"/>
      <c r="G72" s="150"/>
    </row>
    <row r="73" spans="2:7" ht="18.75" customHeight="1" x14ac:dyDescent="0.15">
      <c r="B73" s="219"/>
      <c r="C73" s="72"/>
      <c r="D73" s="148"/>
      <c r="E73" s="149"/>
      <c r="F73" s="149"/>
      <c r="G73" s="150"/>
    </row>
    <row r="74" spans="2:7" ht="18.75" customHeight="1" x14ac:dyDescent="0.15">
      <c r="B74" s="219"/>
      <c r="C74" s="72"/>
      <c r="D74" s="148"/>
      <c r="E74" s="149"/>
      <c r="F74" s="149"/>
      <c r="G74" s="150"/>
    </row>
    <row r="75" spans="2:7" ht="18.75" customHeight="1" x14ac:dyDescent="0.15">
      <c r="B75" s="219"/>
      <c r="C75" s="72"/>
      <c r="D75" s="148"/>
      <c r="E75" s="149"/>
      <c r="F75" s="149"/>
      <c r="G75" s="150"/>
    </row>
    <row r="76" spans="2:7" ht="18.75" customHeight="1" x14ac:dyDescent="0.15">
      <c r="B76" s="218" t="s">
        <v>105</v>
      </c>
      <c r="C76" s="215" t="s">
        <v>100</v>
      </c>
      <c r="D76" s="216"/>
      <c r="E76" s="216"/>
      <c r="F76" s="216"/>
      <c r="G76" s="217"/>
    </row>
    <row r="77" spans="2:7" ht="37.5" customHeight="1" x14ac:dyDescent="0.15">
      <c r="B77" s="219"/>
      <c r="C77" s="230" t="s">
        <v>235</v>
      </c>
      <c r="D77" s="231"/>
      <c r="E77" s="231"/>
      <c r="F77" s="231"/>
      <c r="G77" s="232"/>
    </row>
    <row r="78" spans="2:7" ht="37.5" customHeight="1" x14ac:dyDescent="0.15">
      <c r="B78" s="219"/>
      <c r="C78" s="233"/>
      <c r="D78" s="234"/>
      <c r="E78" s="234"/>
      <c r="F78" s="234"/>
      <c r="G78" s="235"/>
    </row>
    <row r="79" spans="2:7" ht="37.5" customHeight="1" x14ac:dyDescent="0.15">
      <c r="B79" s="219"/>
      <c r="C79" s="233"/>
      <c r="D79" s="234"/>
      <c r="E79" s="234"/>
      <c r="F79" s="234"/>
      <c r="G79" s="235"/>
    </row>
    <row r="80" spans="2:7" ht="37.5" customHeight="1" x14ac:dyDescent="0.15">
      <c r="B80" s="219"/>
      <c r="C80" s="233"/>
      <c r="D80" s="234"/>
      <c r="E80" s="234"/>
      <c r="F80" s="234"/>
      <c r="G80" s="235"/>
    </row>
    <row r="81" spans="2:7" ht="37.5" customHeight="1" x14ac:dyDescent="0.15">
      <c r="B81" s="219"/>
      <c r="C81" s="236"/>
      <c r="D81" s="237"/>
      <c r="E81" s="237"/>
      <c r="F81" s="237"/>
      <c r="G81" s="238"/>
    </row>
    <row r="82" spans="2:7" ht="18.75" customHeight="1" x14ac:dyDescent="0.15">
      <c r="B82" s="219"/>
      <c r="C82" s="45" t="s">
        <v>101</v>
      </c>
      <c r="D82" s="215" t="s">
        <v>102</v>
      </c>
      <c r="E82" s="216"/>
      <c r="F82" s="216"/>
      <c r="G82" s="217"/>
    </row>
    <row r="83" spans="2:7" ht="18.75" customHeight="1" x14ac:dyDescent="0.15">
      <c r="B83" s="219"/>
      <c r="C83" s="73" t="s">
        <v>150</v>
      </c>
      <c r="D83" s="148" t="s">
        <v>151</v>
      </c>
      <c r="E83" s="149"/>
      <c r="F83" s="149"/>
      <c r="G83" s="150"/>
    </row>
    <row r="84" spans="2:7" ht="18.75" customHeight="1" x14ac:dyDescent="0.15">
      <c r="B84" s="219"/>
      <c r="C84" s="73" t="s">
        <v>152</v>
      </c>
      <c r="D84" s="148" t="s">
        <v>153</v>
      </c>
      <c r="E84" s="149"/>
      <c r="F84" s="149"/>
      <c r="G84" s="150"/>
    </row>
    <row r="85" spans="2:7" ht="18.75" customHeight="1" x14ac:dyDescent="0.15">
      <c r="B85" s="219"/>
      <c r="C85" s="73" t="s">
        <v>130</v>
      </c>
      <c r="D85" s="148" t="s">
        <v>147</v>
      </c>
      <c r="E85" s="149"/>
      <c r="F85" s="149"/>
      <c r="G85" s="150"/>
    </row>
    <row r="86" spans="2:7" ht="18.75" customHeight="1" x14ac:dyDescent="0.15">
      <c r="B86" s="219"/>
      <c r="C86" s="73" t="s">
        <v>154</v>
      </c>
      <c r="D86" s="148" t="s">
        <v>155</v>
      </c>
      <c r="E86" s="149"/>
      <c r="F86" s="149"/>
      <c r="G86" s="150"/>
    </row>
    <row r="87" spans="2:7" ht="18.75" customHeight="1" x14ac:dyDescent="0.15">
      <c r="B87" s="219"/>
      <c r="C87" s="73" t="s">
        <v>126</v>
      </c>
      <c r="D87" s="148" t="s">
        <v>137</v>
      </c>
      <c r="E87" s="149"/>
      <c r="F87" s="149"/>
      <c r="G87" s="150"/>
    </row>
    <row r="88" spans="2:7" ht="18.75" customHeight="1" x14ac:dyDescent="0.15">
      <c r="B88" s="219"/>
      <c r="C88" s="73" t="s">
        <v>127</v>
      </c>
      <c r="D88" s="148" t="s">
        <v>141</v>
      </c>
      <c r="E88" s="149"/>
      <c r="F88" s="149"/>
      <c r="G88" s="150"/>
    </row>
    <row r="89" spans="2:7" ht="18.75" customHeight="1" x14ac:dyDescent="0.15">
      <c r="B89" s="219"/>
      <c r="C89" s="73"/>
      <c r="D89" s="148"/>
      <c r="E89" s="149"/>
      <c r="F89" s="149"/>
      <c r="G89" s="150"/>
    </row>
    <row r="90" spans="2:7" ht="18.75" customHeight="1" x14ac:dyDescent="0.15">
      <c r="B90" s="219"/>
      <c r="C90" s="73"/>
      <c r="D90" s="148"/>
      <c r="E90" s="149"/>
      <c r="F90" s="149"/>
      <c r="G90" s="150"/>
    </row>
    <row r="91" spans="2:7" ht="18.75" customHeight="1" x14ac:dyDescent="0.15">
      <c r="B91" s="219"/>
      <c r="C91" s="73"/>
      <c r="D91" s="148"/>
      <c r="E91" s="149"/>
      <c r="F91" s="149"/>
      <c r="G91" s="150"/>
    </row>
    <row r="92" spans="2:7" ht="18.75" customHeight="1" x14ac:dyDescent="0.15">
      <c r="B92" s="219"/>
      <c r="C92" s="73"/>
      <c r="D92" s="148"/>
      <c r="E92" s="149"/>
      <c r="F92" s="149"/>
      <c r="G92" s="150"/>
    </row>
    <row r="93" spans="2:7" ht="18.75" customHeight="1" x14ac:dyDescent="0.15">
      <c r="B93" s="219"/>
      <c r="C93" s="72"/>
      <c r="D93" s="148"/>
      <c r="E93" s="149"/>
      <c r="F93" s="149"/>
      <c r="G93" s="150"/>
    </row>
    <row r="94" spans="2:7" ht="18.75" customHeight="1" x14ac:dyDescent="0.15">
      <c r="B94" s="219"/>
      <c r="C94" s="72"/>
      <c r="D94" s="148"/>
      <c r="E94" s="149"/>
      <c r="F94" s="149"/>
      <c r="G94" s="150"/>
    </row>
    <row r="95" spans="2:7" ht="18.75" customHeight="1" x14ac:dyDescent="0.15">
      <c r="B95" s="219"/>
      <c r="C95" s="72"/>
      <c r="D95" s="148"/>
      <c r="E95" s="149"/>
      <c r="F95" s="149"/>
      <c r="G95" s="150"/>
    </row>
    <row r="96" spans="2:7" ht="18.75" customHeight="1" x14ac:dyDescent="0.15">
      <c r="B96" s="219"/>
      <c r="C96" s="72"/>
      <c r="D96" s="148"/>
      <c r="E96" s="149"/>
      <c r="F96" s="149"/>
      <c r="G96" s="150"/>
    </row>
    <row r="97" spans="2:7" ht="18.75" customHeight="1" x14ac:dyDescent="0.15">
      <c r="B97" s="219"/>
      <c r="C97" s="72"/>
      <c r="D97" s="148"/>
      <c r="E97" s="149"/>
      <c r="F97" s="149"/>
      <c r="G97" s="150"/>
    </row>
    <row r="98" spans="2:7" ht="18.75" customHeight="1" x14ac:dyDescent="0.15">
      <c r="B98" s="219"/>
      <c r="C98" s="72"/>
      <c r="D98" s="148"/>
      <c r="E98" s="149"/>
      <c r="F98" s="149"/>
      <c r="G98" s="150"/>
    </row>
    <row r="99" spans="2:7" ht="18.75" customHeight="1" x14ac:dyDescent="0.15">
      <c r="B99" s="219"/>
      <c r="C99" s="72"/>
      <c r="D99" s="148"/>
      <c r="E99" s="149"/>
      <c r="F99" s="149"/>
      <c r="G99" s="150"/>
    </row>
    <row r="100" spans="2:7" ht="18.75" customHeight="1" x14ac:dyDescent="0.15">
      <c r="B100" s="219"/>
      <c r="C100" s="72"/>
      <c r="D100" s="148"/>
      <c r="E100" s="149"/>
      <c r="F100" s="149"/>
      <c r="G100" s="150"/>
    </row>
    <row r="101" spans="2:7" ht="18.75" customHeight="1" x14ac:dyDescent="0.15">
      <c r="B101" s="218" t="s">
        <v>228</v>
      </c>
      <c r="C101" s="215" t="s">
        <v>100</v>
      </c>
      <c r="D101" s="216"/>
      <c r="E101" s="216"/>
      <c r="F101" s="216"/>
      <c r="G101" s="217"/>
    </row>
    <row r="102" spans="2:7" ht="37.5" customHeight="1" x14ac:dyDescent="0.15">
      <c r="B102" s="219"/>
      <c r="C102" s="230" t="s">
        <v>236</v>
      </c>
      <c r="D102" s="239"/>
      <c r="E102" s="239"/>
      <c r="F102" s="239"/>
      <c r="G102" s="240"/>
    </row>
    <row r="103" spans="2:7" ht="37.5" customHeight="1" x14ac:dyDescent="0.15">
      <c r="B103" s="219"/>
      <c r="C103" s="241"/>
      <c r="D103" s="242"/>
      <c r="E103" s="242"/>
      <c r="F103" s="242"/>
      <c r="G103" s="243"/>
    </row>
    <row r="104" spans="2:7" ht="37.5" customHeight="1" x14ac:dyDescent="0.15">
      <c r="B104" s="219"/>
      <c r="C104" s="241"/>
      <c r="D104" s="242"/>
      <c r="E104" s="242"/>
      <c r="F104" s="242"/>
      <c r="G104" s="243"/>
    </row>
    <row r="105" spans="2:7" ht="37.5" customHeight="1" x14ac:dyDescent="0.15">
      <c r="B105" s="219"/>
      <c r="C105" s="241"/>
      <c r="D105" s="242"/>
      <c r="E105" s="242"/>
      <c r="F105" s="242"/>
      <c r="G105" s="243"/>
    </row>
    <row r="106" spans="2:7" ht="37.5" customHeight="1" x14ac:dyDescent="0.15">
      <c r="B106" s="219"/>
      <c r="C106" s="244"/>
      <c r="D106" s="245"/>
      <c r="E106" s="245"/>
      <c r="F106" s="245"/>
      <c r="G106" s="246"/>
    </row>
    <row r="107" spans="2:7" ht="18.75" customHeight="1" x14ac:dyDescent="0.15">
      <c r="B107" s="219"/>
      <c r="C107" s="45" t="s">
        <v>101</v>
      </c>
      <c r="D107" s="215" t="s">
        <v>102</v>
      </c>
      <c r="E107" s="216"/>
      <c r="F107" s="216"/>
      <c r="G107" s="217"/>
    </row>
    <row r="108" spans="2:7" ht="18.75" customHeight="1" x14ac:dyDescent="0.15">
      <c r="B108" s="219"/>
      <c r="C108" s="73" t="s">
        <v>131</v>
      </c>
      <c r="D108" s="148" t="s">
        <v>156</v>
      </c>
      <c r="E108" s="149"/>
      <c r="F108" s="149"/>
      <c r="G108" s="150"/>
    </row>
    <row r="109" spans="2:7" ht="18.75" customHeight="1" x14ac:dyDescent="0.15">
      <c r="B109" s="219"/>
      <c r="C109" s="73" t="s">
        <v>132</v>
      </c>
      <c r="D109" s="148" t="s">
        <v>209</v>
      </c>
      <c r="E109" s="149"/>
      <c r="F109" s="149"/>
      <c r="G109" s="150"/>
    </row>
    <row r="110" spans="2:7" ht="18.75" customHeight="1" x14ac:dyDescent="0.15">
      <c r="B110" s="219"/>
      <c r="C110" s="73" t="s">
        <v>157</v>
      </c>
      <c r="D110" s="148" t="s">
        <v>158</v>
      </c>
      <c r="E110" s="149"/>
      <c r="F110" s="149"/>
      <c r="G110" s="150"/>
    </row>
    <row r="111" spans="2:7" ht="18.75" customHeight="1" x14ac:dyDescent="0.15">
      <c r="B111" s="219"/>
      <c r="C111" s="73" t="s">
        <v>133</v>
      </c>
      <c r="D111" s="148" t="s">
        <v>159</v>
      </c>
      <c r="E111" s="149"/>
      <c r="F111" s="149"/>
      <c r="G111" s="150"/>
    </row>
    <row r="112" spans="2:7" ht="18.75" customHeight="1" x14ac:dyDescent="0.15">
      <c r="B112" s="219"/>
      <c r="C112" s="73" t="s">
        <v>160</v>
      </c>
      <c r="D112" s="148" t="s">
        <v>161</v>
      </c>
      <c r="E112" s="149"/>
      <c r="F112" s="149"/>
      <c r="G112" s="150"/>
    </row>
    <row r="113" spans="1:7" ht="18.75" customHeight="1" x14ac:dyDescent="0.15">
      <c r="B113" s="219"/>
      <c r="C113" s="73" t="s">
        <v>162</v>
      </c>
      <c r="D113" s="148" t="s">
        <v>163</v>
      </c>
      <c r="E113" s="149"/>
      <c r="F113" s="149"/>
      <c r="G113" s="150"/>
    </row>
    <row r="114" spans="1:7" ht="18.75" customHeight="1" x14ac:dyDescent="0.15">
      <c r="B114" s="219"/>
      <c r="C114" s="73" t="s">
        <v>134</v>
      </c>
      <c r="D114" s="148" t="s">
        <v>164</v>
      </c>
      <c r="E114" s="149"/>
      <c r="F114" s="149"/>
      <c r="G114" s="150"/>
    </row>
    <row r="115" spans="1:7" ht="18.75" customHeight="1" x14ac:dyDescent="0.15">
      <c r="B115" s="219"/>
      <c r="C115" s="73" t="s">
        <v>165</v>
      </c>
      <c r="D115" s="148" t="s">
        <v>166</v>
      </c>
      <c r="E115" s="149"/>
      <c r="F115" s="149"/>
      <c r="G115" s="150"/>
    </row>
    <row r="116" spans="1:7" ht="18.75" customHeight="1" x14ac:dyDescent="0.15">
      <c r="B116" s="219"/>
      <c r="C116" s="73" t="s">
        <v>167</v>
      </c>
      <c r="D116" s="148" t="s">
        <v>168</v>
      </c>
      <c r="E116" s="149"/>
      <c r="F116" s="149"/>
      <c r="G116" s="150"/>
    </row>
    <row r="117" spans="1:7" ht="18.75" customHeight="1" x14ac:dyDescent="0.15">
      <c r="B117" s="219"/>
      <c r="C117" s="73" t="s">
        <v>135</v>
      </c>
      <c r="D117" s="148" t="s">
        <v>169</v>
      </c>
      <c r="E117" s="149"/>
      <c r="F117" s="149"/>
      <c r="G117" s="150"/>
    </row>
    <row r="118" spans="1:7" ht="18.75" customHeight="1" x14ac:dyDescent="0.15">
      <c r="B118" s="219"/>
      <c r="C118" s="73" t="s">
        <v>172</v>
      </c>
      <c r="D118" s="148" t="s">
        <v>173</v>
      </c>
      <c r="E118" s="149"/>
      <c r="F118" s="149"/>
      <c r="G118" s="150"/>
    </row>
    <row r="119" spans="1:7" ht="18.75" customHeight="1" x14ac:dyDescent="0.15">
      <c r="B119" s="219"/>
      <c r="C119" s="73"/>
      <c r="D119" s="148"/>
      <c r="E119" s="149"/>
      <c r="F119" s="149"/>
      <c r="G119" s="150"/>
    </row>
    <row r="120" spans="1:7" ht="18.75" customHeight="1" x14ac:dyDescent="0.15">
      <c r="B120" s="219"/>
      <c r="C120" s="73"/>
      <c r="D120" s="73"/>
      <c r="E120" s="74"/>
      <c r="F120" s="74"/>
      <c r="G120" s="75"/>
    </row>
    <row r="121" spans="1:7" ht="18.75" customHeight="1" x14ac:dyDescent="0.15">
      <c r="B121" s="219"/>
      <c r="C121" s="73"/>
      <c r="D121" s="148"/>
      <c r="E121" s="149"/>
      <c r="F121" s="149"/>
      <c r="G121" s="150"/>
    </row>
    <row r="122" spans="1:7" ht="18.75" customHeight="1" x14ac:dyDescent="0.15">
      <c r="B122" s="219"/>
      <c r="C122" s="73"/>
      <c r="D122" s="148"/>
      <c r="E122" s="149"/>
      <c r="F122" s="149"/>
      <c r="G122" s="150"/>
    </row>
    <row r="123" spans="1:7" ht="18.75" customHeight="1" x14ac:dyDescent="0.15">
      <c r="B123" s="219"/>
      <c r="C123" s="73"/>
      <c r="D123" s="148"/>
      <c r="E123" s="149"/>
      <c r="F123" s="149"/>
      <c r="G123" s="150"/>
    </row>
    <row r="124" spans="1:7" ht="18.75" customHeight="1" x14ac:dyDescent="0.15">
      <c r="B124" s="219"/>
      <c r="C124" s="73"/>
      <c r="D124" s="148"/>
      <c r="E124" s="149"/>
      <c r="F124" s="149"/>
      <c r="G124" s="150"/>
    </row>
    <row r="125" spans="1:7" ht="18.75" customHeight="1" x14ac:dyDescent="0.15">
      <c r="B125" s="229"/>
      <c r="C125" s="73"/>
      <c r="D125" s="148"/>
      <c r="E125" s="149"/>
      <c r="F125" s="149"/>
      <c r="G125" s="150"/>
    </row>
    <row r="126" spans="1:7" ht="18.75" customHeight="1" x14ac:dyDescent="0.15">
      <c r="A126" s="44" t="s">
        <v>12</v>
      </c>
      <c r="B126" s="44" t="s">
        <v>98</v>
      </c>
    </row>
    <row r="127" spans="1:7" ht="22.5" customHeight="1" x14ac:dyDescent="0.15">
      <c r="B127" s="72" t="s">
        <v>72</v>
      </c>
      <c r="C127" s="215" t="s">
        <v>97</v>
      </c>
      <c r="D127" s="216"/>
      <c r="E127" s="216"/>
      <c r="F127" s="216"/>
      <c r="G127" s="217"/>
    </row>
    <row r="128" spans="1:7" ht="45" customHeight="1" x14ac:dyDescent="0.15">
      <c r="B128" s="76" t="s">
        <v>73</v>
      </c>
      <c r="C128" s="247" t="s">
        <v>198</v>
      </c>
      <c r="D128" s="247"/>
      <c r="E128" s="247"/>
      <c r="F128" s="247"/>
      <c r="G128" s="247"/>
    </row>
    <row r="129" spans="1:7" ht="45" customHeight="1" x14ac:dyDescent="0.15">
      <c r="B129" s="76" t="s">
        <v>74</v>
      </c>
      <c r="C129" s="247" t="s">
        <v>207</v>
      </c>
      <c r="D129" s="247"/>
      <c r="E129" s="247"/>
      <c r="F129" s="247"/>
      <c r="G129" s="247"/>
    </row>
    <row r="130" spans="1:7" ht="45" customHeight="1" x14ac:dyDescent="0.15">
      <c r="B130" s="76" t="s">
        <v>75</v>
      </c>
      <c r="C130" s="247" t="s">
        <v>199</v>
      </c>
      <c r="D130" s="247"/>
      <c r="E130" s="247"/>
      <c r="F130" s="247"/>
      <c r="G130" s="247"/>
    </row>
    <row r="131" spans="1:7" ht="45" customHeight="1" x14ac:dyDescent="0.15">
      <c r="B131" s="76" t="s">
        <v>76</v>
      </c>
      <c r="C131" s="259" t="s">
        <v>202</v>
      </c>
      <c r="D131" s="259"/>
      <c r="E131" s="259"/>
      <c r="F131" s="259"/>
      <c r="G131" s="259"/>
    </row>
    <row r="132" spans="1:7" ht="45" customHeight="1" x14ac:dyDescent="0.15">
      <c r="B132" s="76" t="s">
        <v>77</v>
      </c>
      <c r="C132" s="247" t="s">
        <v>212</v>
      </c>
      <c r="D132" s="247"/>
      <c r="E132" s="247"/>
      <c r="F132" s="247"/>
      <c r="G132" s="247"/>
    </row>
    <row r="133" spans="1:7" ht="45" customHeight="1" x14ac:dyDescent="0.15">
      <c r="B133" s="76" t="s">
        <v>78</v>
      </c>
      <c r="C133" s="247" t="s">
        <v>212</v>
      </c>
      <c r="D133" s="247"/>
      <c r="E133" s="247"/>
      <c r="F133" s="247"/>
      <c r="G133" s="247"/>
    </row>
    <row r="134" spans="1:7" ht="45" customHeight="1" x14ac:dyDescent="0.15">
      <c r="B134" s="76" t="s">
        <v>79</v>
      </c>
      <c r="C134" s="247" t="s">
        <v>213</v>
      </c>
      <c r="D134" s="247"/>
      <c r="E134" s="247"/>
      <c r="F134" s="247"/>
      <c r="G134" s="247"/>
    </row>
    <row r="135" spans="1:7" ht="45" customHeight="1" x14ac:dyDescent="0.15">
      <c r="B135" s="76" t="s">
        <v>80</v>
      </c>
      <c r="C135" s="247" t="s">
        <v>208</v>
      </c>
      <c r="D135" s="247"/>
      <c r="E135" s="247"/>
      <c r="F135" s="247"/>
      <c r="G135" s="247"/>
    </row>
    <row r="136" spans="1:7" ht="45" customHeight="1" x14ac:dyDescent="0.15">
      <c r="B136" s="76" t="s">
        <v>81</v>
      </c>
      <c r="C136" s="247"/>
      <c r="D136" s="247"/>
      <c r="E136" s="247"/>
      <c r="F136" s="247"/>
      <c r="G136" s="247"/>
    </row>
    <row r="137" spans="1:7" ht="7.5" customHeight="1" x14ac:dyDescent="0.15"/>
    <row r="138" spans="1:7" ht="18.75" customHeight="1" x14ac:dyDescent="0.15">
      <c r="A138" s="44" t="s">
        <v>13</v>
      </c>
      <c r="B138" s="44" t="s">
        <v>93</v>
      </c>
      <c r="E138" s="248" t="s">
        <v>261</v>
      </c>
      <c r="F138" s="249"/>
      <c r="G138" s="249"/>
    </row>
    <row r="139" spans="1:7" ht="7.5" customHeight="1" x14ac:dyDescent="0.15"/>
    <row r="140" spans="1:7" ht="18.75" customHeight="1" x14ac:dyDescent="0.15">
      <c r="A140" s="44" t="s">
        <v>16</v>
      </c>
      <c r="B140" s="44" t="s">
        <v>94</v>
      </c>
    </row>
    <row r="141" spans="1:7" ht="18.75" customHeight="1" x14ac:dyDescent="0.15">
      <c r="B141" s="250" t="s">
        <v>229</v>
      </c>
      <c r="C141" s="251"/>
      <c r="D141" s="251"/>
      <c r="E141" s="251"/>
      <c r="F141" s="251"/>
      <c r="G141" s="252"/>
    </row>
    <row r="142" spans="1:7" ht="18.75" customHeight="1" x14ac:dyDescent="0.15">
      <c r="B142" s="253"/>
      <c r="C142" s="254"/>
      <c r="D142" s="254"/>
      <c r="E142" s="254"/>
      <c r="F142" s="254"/>
      <c r="G142" s="255"/>
    </row>
    <row r="143" spans="1:7" ht="18.75" customHeight="1" x14ac:dyDescent="0.15">
      <c r="B143" s="253"/>
      <c r="C143" s="254"/>
      <c r="D143" s="254"/>
      <c r="E143" s="254"/>
      <c r="F143" s="254"/>
      <c r="G143" s="255"/>
    </row>
    <row r="144" spans="1:7" ht="18.75" customHeight="1" x14ac:dyDescent="0.15">
      <c r="B144" s="256"/>
      <c r="C144" s="257"/>
      <c r="D144" s="257"/>
      <c r="E144" s="257"/>
      <c r="F144" s="257"/>
      <c r="G144" s="258"/>
    </row>
    <row r="145" spans="5:5" ht="18.75" customHeight="1" x14ac:dyDescent="0.15"/>
    <row r="146" spans="5:5" ht="18.75" customHeight="1" x14ac:dyDescent="0.15">
      <c r="E146" s="96"/>
    </row>
    <row r="147" spans="5:5" ht="18.75" customHeight="1" x14ac:dyDescent="0.15"/>
    <row r="148" spans="5:5" ht="18.75" customHeight="1" x14ac:dyDescent="0.15"/>
    <row r="149" spans="5:5" ht="18.75" customHeight="1" x14ac:dyDescent="0.15"/>
    <row r="150" spans="5:5" ht="18.75" customHeight="1" x14ac:dyDescent="0.15"/>
  </sheetData>
  <mergeCells count="119">
    <mergeCell ref="C136:G136"/>
    <mergeCell ref="E138:G138"/>
    <mergeCell ref="B141:G144"/>
    <mergeCell ref="C130:G130"/>
    <mergeCell ref="C131:G131"/>
    <mergeCell ref="C132:G132"/>
    <mergeCell ref="C133:G133"/>
    <mergeCell ref="C134:G134"/>
    <mergeCell ref="C135:G135"/>
    <mergeCell ref="D124:G124"/>
    <mergeCell ref="D125:G125"/>
    <mergeCell ref="C127:G127"/>
    <mergeCell ref="C128:G128"/>
    <mergeCell ref="C129:G129"/>
    <mergeCell ref="D116:G116"/>
    <mergeCell ref="D117:G117"/>
    <mergeCell ref="D118:G118"/>
    <mergeCell ref="D119:G119"/>
    <mergeCell ref="D121:G121"/>
    <mergeCell ref="D122:G122"/>
    <mergeCell ref="B101:B125"/>
    <mergeCell ref="C101:G101"/>
    <mergeCell ref="C102:G106"/>
    <mergeCell ref="D107:G107"/>
    <mergeCell ref="D108:G108"/>
    <mergeCell ref="D109:G109"/>
    <mergeCell ref="D91:G91"/>
    <mergeCell ref="D92:G92"/>
    <mergeCell ref="D93:G93"/>
    <mergeCell ref="D94:G94"/>
    <mergeCell ref="D95:G95"/>
    <mergeCell ref="D96:G96"/>
    <mergeCell ref="B76:B100"/>
    <mergeCell ref="D110:G110"/>
    <mergeCell ref="D111:G111"/>
    <mergeCell ref="D112:G112"/>
    <mergeCell ref="D113:G113"/>
    <mergeCell ref="D114:G114"/>
    <mergeCell ref="D115:G115"/>
    <mergeCell ref="D97:G97"/>
    <mergeCell ref="D98:G98"/>
    <mergeCell ref="D99:G99"/>
    <mergeCell ref="D100:G100"/>
    <mergeCell ref="D123:G123"/>
    <mergeCell ref="D85:G85"/>
    <mergeCell ref="D86:G86"/>
    <mergeCell ref="D87:G87"/>
    <mergeCell ref="D88:G88"/>
    <mergeCell ref="D89:G89"/>
    <mergeCell ref="D90:G90"/>
    <mergeCell ref="D72:G72"/>
    <mergeCell ref="D73:G73"/>
    <mergeCell ref="D74:G74"/>
    <mergeCell ref="D75:G75"/>
    <mergeCell ref="C76:G76"/>
    <mergeCell ref="C77:G81"/>
    <mergeCell ref="D82:G82"/>
    <mergeCell ref="D83:G83"/>
    <mergeCell ref="D84:G84"/>
    <mergeCell ref="B51:B75"/>
    <mergeCell ref="C51:G51"/>
    <mergeCell ref="C52:G56"/>
    <mergeCell ref="D57:G57"/>
    <mergeCell ref="D58:G58"/>
    <mergeCell ref="D59:G59"/>
    <mergeCell ref="D66:G66"/>
    <mergeCell ref="D67:G67"/>
    <mergeCell ref="D68:G68"/>
    <mergeCell ref="D69:G69"/>
    <mergeCell ref="D70:G70"/>
    <mergeCell ref="D71:G71"/>
    <mergeCell ref="D60:G60"/>
    <mergeCell ref="D61:G61"/>
    <mergeCell ref="D62:G62"/>
    <mergeCell ref="D63:G63"/>
    <mergeCell ref="D64:G64"/>
    <mergeCell ref="D65:G65"/>
    <mergeCell ref="B26:B50"/>
    <mergeCell ref="C26:G26"/>
    <mergeCell ref="C27:G31"/>
    <mergeCell ref="D32:G32"/>
    <mergeCell ref="D33:G33"/>
    <mergeCell ref="D34:G34"/>
    <mergeCell ref="D41:G41"/>
    <mergeCell ref="D42:G42"/>
    <mergeCell ref="D43:G43"/>
    <mergeCell ref="D44:G44"/>
    <mergeCell ref="D45:G45"/>
    <mergeCell ref="D46:G46"/>
    <mergeCell ref="D35:G35"/>
    <mergeCell ref="D36:G36"/>
    <mergeCell ref="D37:G37"/>
    <mergeCell ref="D38:G38"/>
    <mergeCell ref="D39:G39"/>
    <mergeCell ref="D40:G40"/>
    <mergeCell ref="D47:G47"/>
    <mergeCell ref="D48:G48"/>
    <mergeCell ref="D49:G49"/>
    <mergeCell ref="D50:G50"/>
    <mergeCell ref="D16:G16"/>
    <mergeCell ref="D17:G17"/>
    <mergeCell ref="D18:G18"/>
    <mergeCell ref="D19:G19"/>
    <mergeCell ref="D20:G20"/>
    <mergeCell ref="D21:G21"/>
    <mergeCell ref="A3:G3"/>
    <mergeCell ref="C5:G5"/>
    <mergeCell ref="B6:B25"/>
    <mergeCell ref="C6:G9"/>
    <mergeCell ref="D10:G10"/>
    <mergeCell ref="D11:G11"/>
    <mergeCell ref="D12:G12"/>
    <mergeCell ref="D13:G13"/>
    <mergeCell ref="D14:G14"/>
    <mergeCell ref="D15:G15"/>
    <mergeCell ref="D22:G22"/>
    <mergeCell ref="D23:G23"/>
    <mergeCell ref="D24:G24"/>
    <mergeCell ref="D25:G25"/>
  </mergeCells>
  <phoneticPr fontId="4"/>
  <hyperlinks>
    <hyperlink ref="E138" r:id="rId1"/>
  </hyperlinks>
  <printOptions horizontalCentered="1"/>
  <pageMargins left="0.78740157480314965" right="0.78740157480314965" top="0.59055118110236227" bottom="0.39370078740157483" header="0.31496062992125984" footer="0.31496062992125984"/>
  <pageSetup paperSize="9" scale="95" orientation="landscape" r:id="rId2"/>
  <rowBreaks count="5" manualBreakCount="5">
    <brk id="25" max="16383" man="1"/>
    <brk id="50" max="16383" man="1"/>
    <brk id="75" max="16383" man="1"/>
    <brk id="100" max="16383" man="1"/>
    <brk id="125" max="16383" man="1"/>
  </rowBreak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I149"/>
  <sheetViews>
    <sheetView showZeros="0" zoomScaleNormal="100" workbookViewId="0">
      <selection activeCell="B32" sqref="B32:E47"/>
    </sheetView>
  </sheetViews>
  <sheetFormatPr defaultColWidth="11.375" defaultRowHeight="18.75" customHeight="1" x14ac:dyDescent="0.15"/>
  <cols>
    <col min="1" max="1" width="2.625" style="2" customWidth="1"/>
    <col min="2" max="2" width="54.125" style="44" customWidth="1"/>
    <col min="3" max="3" width="1.125" style="44" customWidth="1"/>
    <col min="4" max="4" width="22.5" style="44" customWidth="1"/>
    <col min="5" max="5" width="6.125" style="44" customWidth="1"/>
    <col min="6" max="16384" width="11.375" style="44"/>
  </cols>
  <sheetData>
    <row r="1" spans="1:9" ht="18.75" customHeight="1" x14ac:dyDescent="0.15">
      <c r="E1" s="43" t="s">
        <v>99</v>
      </c>
    </row>
    <row r="2" spans="1:9" ht="18.75" customHeight="1" x14ac:dyDescent="0.15">
      <c r="B2" s="43" t="s">
        <v>85</v>
      </c>
      <c r="C2" s="43" t="s">
        <v>8</v>
      </c>
      <c r="D2" s="278" t="s">
        <v>194</v>
      </c>
      <c r="E2" s="278"/>
    </row>
    <row r="3" spans="1:9" ht="7.5" customHeight="1" x14ac:dyDescent="0.15">
      <c r="B3" s="43"/>
      <c r="C3" s="43"/>
      <c r="D3" s="46"/>
      <c r="E3" s="46"/>
    </row>
    <row r="4" spans="1:9" ht="18.75" customHeight="1" x14ac:dyDescent="0.15">
      <c r="B4" s="153" t="s">
        <v>82</v>
      </c>
      <c r="C4" s="153"/>
      <c r="D4" s="153"/>
      <c r="E4" s="153"/>
    </row>
    <row r="5" spans="1:9" ht="7.5" customHeight="1" x14ac:dyDescent="0.15">
      <c r="B5" s="46"/>
      <c r="C5" s="46"/>
      <c r="D5" s="46"/>
      <c r="E5" s="46"/>
    </row>
    <row r="6" spans="1:9" ht="18.75" customHeight="1" x14ac:dyDescent="0.15">
      <c r="A6" s="49" t="s">
        <v>7</v>
      </c>
      <c r="B6" s="3" t="s">
        <v>92</v>
      </c>
      <c r="C6" s="46"/>
      <c r="D6" s="46"/>
      <c r="E6" s="46"/>
    </row>
    <row r="7" spans="1:9" ht="18.75" customHeight="1" x14ac:dyDescent="0.15">
      <c r="A7" s="49"/>
      <c r="B7" s="163" t="s">
        <v>222</v>
      </c>
      <c r="C7" s="164"/>
      <c r="D7" s="164"/>
      <c r="E7" s="287"/>
    </row>
    <row r="8" spans="1:9" ht="7.5" customHeight="1" x14ac:dyDescent="0.15">
      <c r="B8" s="46"/>
      <c r="C8" s="46"/>
      <c r="D8" s="46"/>
      <c r="E8" s="46"/>
    </row>
    <row r="9" spans="1:9" s="3" customFormat="1" ht="18.75" customHeight="1" x14ac:dyDescent="0.15">
      <c r="A9" s="49" t="s">
        <v>12</v>
      </c>
      <c r="B9" s="49" t="s">
        <v>44</v>
      </c>
      <c r="C9" s="49"/>
      <c r="D9" s="49"/>
      <c r="E9" s="49"/>
    </row>
    <row r="10" spans="1:9" ht="18.75" customHeight="1" x14ac:dyDescent="0.15">
      <c r="A10" s="77"/>
      <c r="B10" s="260" t="s">
        <v>223</v>
      </c>
      <c r="C10" s="261"/>
      <c r="D10" s="261"/>
      <c r="E10" s="262"/>
      <c r="I10" s="10"/>
    </row>
    <row r="11" spans="1:9" ht="18.75" customHeight="1" x14ac:dyDescent="0.15">
      <c r="A11" s="77"/>
      <c r="B11" s="263"/>
      <c r="C11" s="264"/>
      <c r="D11" s="264"/>
      <c r="E11" s="265"/>
    </row>
    <row r="12" spans="1:9" ht="18.75" customHeight="1" x14ac:dyDescent="0.15">
      <c r="A12" s="77"/>
      <c r="B12" s="263"/>
      <c r="C12" s="264"/>
      <c r="D12" s="264"/>
      <c r="E12" s="265"/>
    </row>
    <row r="13" spans="1:9" ht="18.75" customHeight="1" x14ac:dyDescent="0.15">
      <c r="A13" s="77"/>
      <c r="B13" s="263"/>
      <c r="C13" s="264"/>
      <c r="D13" s="264"/>
      <c r="E13" s="265"/>
    </row>
    <row r="14" spans="1:9" ht="18.75" customHeight="1" x14ac:dyDescent="0.15">
      <c r="A14" s="77"/>
      <c r="B14" s="263"/>
      <c r="C14" s="264"/>
      <c r="D14" s="264"/>
      <c r="E14" s="265"/>
    </row>
    <row r="15" spans="1:9" ht="19.149999999999999" customHeight="1" x14ac:dyDescent="0.15">
      <c r="A15" s="77"/>
      <c r="B15" s="266"/>
      <c r="C15" s="267"/>
      <c r="D15" s="267"/>
      <c r="E15" s="268"/>
    </row>
    <row r="16" spans="1:9" ht="7.5" customHeight="1" x14ac:dyDescent="0.15">
      <c r="A16" s="77"/>
      <c r="B16" s="77"/>
      <c r="C16" s="77"/>
      <c r="D16" s="77"/>
      <c r="E16" s="77"/>
    </row>
    <row r="17" spans="1:5" s="3" customFormat="1" ht="18.75" customHeight="1" x14ac:dyDescent="0.15">
      <c r="A17" s="78" t="s">
        <v>13</v>
      </c>
      <c r="B17" s="78" t="s">
        <v>18</v>
      </c>
      <c r="C17" s="78"/>
      <c r="D17" s="78"/>
      <c r="E17" s="78"/>
    </row>
    <row r="18" spans="1:5" ht="18.75" customHeight="1" x14ac:dyDescent="0.15">
      <c r="A18" s="77"/>
      <c r="B18" s="260" t="s">
        <v>240</v>
      </c>
      <c r="C18" s="261"/>
      <c r="D18" s="261"/>
      <c r="E18" s="262"/>
    </row>
    <row r="19" spans="1:5" ht="18.75" customHeight="1" x14ac:dyDescent="0.15">
      <c r="A19" s="77"/>
      <c r="B19" s="263"/>
      <c r="C19" s="264"/>
      <c r="D19" s="264"/>
      <c r="E19" s="265"/>
    </row>
    <row r="20" spans="1:5" ht="18.75" customHeight="1" x14ac:dyDescent="0.15">
      <c r="A20" s="77"/>
      <c r="B20" s="263"/>
      <c r="C20" s="264"/>
      <c r="D20" s="264"/>
      <c r="E20" s="265"/>
    </row>
    <row r="21" spans="1:5" ht="18.75" customHeight="1" x14ac:dyDescent="0.15">
      <c r="A21" s="77"/>
      <c r="B21" s="263"/>
      <c r="C21" s="264"/>
      <c r="D21" s="264"/>
      <c r="E21" s="265"/>
    </row>
    <row r="22" spans="1:5" ht="18.75" customHeight="1" x14ac:dyDescent="0.15">
      <c r="A22" s="77"/>
      <c r="B22" s="263"/>
      <c r="C22" s="264"/>
      <c r="D22" s="264"/>
      <c r="E22" s="265"/>
    </row>
    <row r="23" spans="1:5" ht="18.75" customHeight="1" x14ac:dyDescent="0.15">
      <c r="A23" s="77"/>
      <c r="B23" s="263"/>
      <c r="C23" s="264"/>
      <c r="D23" s="264"/>
      <c r="E23" s="265"/>
    </row>
    <row r="24" spans="1:5" ht="18.75" customHeight="1" x14ac:dyDescent="0.15">
      <c r="A24" s="77"/>
      <c r="B24" s="263"/>
      <c r="C24" s="264"/>
      <c r="D24" s="264"/>
      <c r="E24" s="265"/>
    </row>
    <row r="25" spans="1:5" ht="18.75" customHeight="1" x14ac:dyDescent="0.15">
      <c r="A25" s="77"/>
      <c r="B25" s="263"/>
      <c r="C25" s="264"/>
      <c r="D25" s="264"/>
      <c r="E25" s="265"/>
    </row>
    <row r="26" spans="1:5" ht="18.75" customHeight="1" x14ac:dyDescent="0.15">
      <c r="A26" s="77"/>
      <c r="B26" s="263"/>
      <c r="C26" s="264"/>
      <c r="D26" s="264"/>
      <c r="E26" s="265"/>
    </row>
    <row r="27" spans="1:5" ht="18.75" customHeight="1" x14ac:dyDescent="0.15">
      <c r="A27" s="77"/>
      <c r="B27" s="263"/>
      <c r="C27" s="264"/>
      <c r="D27" s="264"/>
      <c r="E27" s="265"/>
    </row>
    <row r="28" spans="1:5" ht="16.149999999999999" customHeight="1" x14ac:dyDescent="0.15">
      <c r="A28" s="77"/>
      <c r="B28" s="263"/>
      <c r="C28" s="264"/>
      <c r="D28" s="264"/>
      <c r="E28" s="265"/>
    </row>
    <row r="29" spans="1:5" ht="18" customHeight="1" x14ac:dyDescent="0.15">
      <c r="A29" s="77"/>
      <c r="B29" s="266"/>
      <c r="C29" s="267"/>
      <c r="D29" s="267"/>
      <c r="E29" s="268"/>
    </row>
    <row r="30" spans="1:5" ht="7.5" customHeight="1" x14ac:dyDescent="0.15">
      <c r="A30" s="79"/>
      <c r="B30" s="79"/>
      <c r="C30" s="79"/>
      <c r="D30" s="79"/>
      <c r="E30" s="79"/>
    </row>
    <row r="31" spans="1:5" s="3" customFormat="1" ht="18.75" customHeight="1" x14ac:dyDescent="0.15">
      <c r="A31" s="49" t="s">
        <v>16</v>
      </c>
      <c r="B31" s="49" t="s">
        <v>29</v>
      </c>
      <c r="C31" s="49"/>
      <c r="D31" s="49"/>
      <c r="E31" s="49"/>
    </row>
    <row r="32" spans="1:5" s="3" customFormat="1" ht="18.75" customHeight="1" x14ac:dyDescent="0.15">
      <c r="A32" s="49"/>
      <c r="B32" s="260" t="s">
        <v>238</v>
      </c>
      <c r="C32" s="261"/>
      <c r="D32" s="261"/>
      <c r="E32" s="262"/>
    </row>
    <row r="33" spans="1:5" s="3" customFormat="1" ht="18.75" customHeight="1" x14ac:dyDescent="0.15">
      <c r="A33" s="49"/>
      <c r="B33" s="263"/>
      <c r="C33" s="264"/>
      <c r="D33" s="264"/>
      <c r="E33" s="265"/>
    </row>
    <row r="34" spans="1:5" s="3" customFormat="1" ht="18.75" customHeight="1" x14ac:dyDescent="0.15">
      <c r="A34" s="49"/>
      <c r="B34" s="263"/>
      <c r="C34" s="264"/>
      <c r="D34" s="264"/>
      <c r="E34" s="265"/>
    </row>
    <row r="35" spans="1:5" s="3" customFormat="1" ht="18.75" customHeight="1" x14ac:dyDescent="0.15">
      <c r="A35" s="49"/>
      <c r="B35" s="263"/>
      <c r="C35" s="264"/>
      <c r="D35" s="264"/>
      <c r="E35" s="265"/>
    </row>
    <row r="36" spans="1:5" s="3" customFormat="1" ht="18.75" customHeight="1" x14ac:dyDescent="0.15">
      <c r="A36" s="49"/>
      <c r="B36" s="263"/>
      <c r="C36" s="264"/>
      <c r="D36" s="264"/>
      <c r="E36" s="265"/>
    </row>
    <row r="37" spans="1:5" s="3" customFormat="1" ht="18.75" customHeight="1" x14ac:dyDescent="0.15">
      <c r="A37" s="49"/>
      <c r="B37" s="263"/>
      <c r="C37" s="264"/>
      <c r="D37" s="264"/>
      <c r="E37" s="265"/>
    </row>
    <row r="38" spans="1:5" s="3" customFormat="1" ht="18.75" customHeight="1" x14ac:dyDescent="0.15">
      <c r="A38" s="49"/>
      <c r="B38" s="263"/>
      <c r="C38" s="264"/>
      <c r="D38" s="264"/>
      <c r="E38" s="265"/>
    </row>
    <row r="39" spans="1:5" s="3" customFormat="1" ht="18.75" customHeight="1" x14ac:dyDescent="0.15">
      <c r="A39" s="49"/>
      <c r="B39" s="263"/>
      <c r="C39" s="264"/>
      <c r="D39" s="264"/>
      <c r="E39" s="265"/>
    </row>
    <row r="40" spans="1:5" s="3" customFormat="1" ht="18.75" customHeight="1" x14ac:dyDescent="0.15">
      <c r="A40" s="49"/>
      <c r="B40" s="263"/>
      <c r="C40" s="264"/>
      <c r="D40" s="264"/>
      <c r="E40" s="265"/>
    </row>
    <row r="41" spans="1:5" s="3" customFormat="1" ht="18.75" customHeight="1" x14ac:dyDescent="0.15">
      <c r="A41" s="49"/>
      <c r="B41" s="263"/>
      <c r="C41" s="264"/>
      <c r="D41" s="264"/>
      <c r="E41" s="265"/>
    </row>
    <row r="42" spans="1:5" s="3" customFormat="1" ht="18.75" customHeight="1" x14ac:dyDescent="0.15">
      <c r="A42" s="49"/>
      <c r="B42" s="263"/>
      <c r="C42" s="264"/>
      <c r="D42" s="264"/>
      <c r="E42" s="265"/>
    </row>
    <row r="43" spans="1:5" s="3" customFormat="1" ht="18.75" customHeight="1" x14ac:dyDescent="0.15">
      <c r="A43" s="49"/>
      <c r="B43" s="263"/>
      <c r="C43" s="264"/>
      <c r="D43" s="264"/>
      <c r="E43" s="265"/>
    </row>
    <row r="44" spans="1:5" s="3" customFormat="1" ht="18.75" customHeight="1" x14ac:dyDescent="0.15">
      <c r="A44" s="49"/>
      <c r="B44" s="263"/>
      <c r="C44" s="264"/>
      <c r="D44" s="264"/>
      <c r="E44" s="265"/>
    </row>
    <row r="45" spans="1:5" s="3" customFormat="1" ht="18.75" customHeight="1" x14ac:dyDescent="0.15">
      <c r="A45" s="49"/>
      <c r="B45" s="263"/>
      <c r="C45" s="264"/>
      <c r="D45" s="264"/>
      <c r="E45" s="265"/>
    </row>
    <row r="46" spans="1:5" ht="18.75" customHeight="1" x14ac:dyDescent="0.15">
      <c r="A46" s="79"/>
      <c r="B46" s="263"/>
      <c r="C46" s="264"/>
      <c r="D46" s="264"/>
      <c r="E46" s="265"/>
    </row>
    <row r="47" spans="1:5" ht="18.75" customHeight="1" x14ac:dyDescent="0.15">
      <c r="A47" s="79"/>
      <c r="B47" s="266"/>
      <c r="C47" s="267"/>
      <c r="D47" s="267"/>
      <c r="E47" s="268"/>
    </row>
    <row r="48" spans="1:5" s="3" customFormat="1" ht="18.75" customHeight="1" x14ac:dyDescent="0.15">
      <c r="A48" s="78" t="s">
        <v>14</v>
      </c>
      <c r="B48" s="49" t="s">
        <v>83</v>
      </c>
      <c r="C48" s="78"/>
      <c r="D48" s="78"/>
      <c r="E48" s="78"/>
    </row>
    <row r="49" spans="1:5" ht="18.75" customHeight="1" x14ac:dyDescent="0.15">
      <c r="A49" s="79"/>
      <c r="B49" s="260" t="s">
        <v>241</v>
      </c>
      <c r="C49" s="279"/>
      <c r="D49" s="279"/>
      <c r="E49" s="280"/>
    </row>
    <row r="50" spans="1:5" ht="18.75" customHeight="1" x14ac:dyDescent="0.15">
      <c r="A50" s="79"/>
      <c r="B50" s="281"/>
      <c r="C50" s="282"/>
      <c r="D50" s="282"/>
      <c r="E50" s="283"/>
    </row>
    <row r="51" spans="1:5" ht="18.75" customHeight="1" x14ac:dyDescent="0.15">
      <c r="A51" s="79"/>
      <c r="B51" s="281"/>
      <c r="C51" s="282"/>
      <c r="D51" s="282"/>
      <c r="E51" s="283"/>
    </row>
    <row r="52" spans="1:5" ht="18.75" customHeight="1" x14ac:dyDescent="0.15">
      <c r="A52" s="79"/>
      <c r="B52" s="281"/>
      <c r="C52" s="282"/>
      <c r="D52" s="282"/>
      <c r="E52" s="283"/>
    </row>
    <row r="53" spans="1:5" ht="18.75" customHeight="1" x14ac:dyDescent="0.15">
      <c r="A53" s="79"/>
      <c r="B53" s="281"/>
      <c r="C53" s="282"/>
      <c r="D53" s="282"/>
      <c r="E53" s="283"/>
    </row>
    <row r="54" spans="1:5" ht="18.75" customHeight="1" x14ac:dyDescent="0.15">
      <c r="A54" s="79"/>
      <c r="B54" s="281"/>
      <c r="C54" s="282"/>
      <c r="D54" s="282"/>
      <c r="E54" s="283"/>
    </row>
    <row r="55" spans="1:5" ht="18.75" customHeight="1" x14ac:dyDescent="0.15">
      <c r="A55" s="79"/>
      <c r="B55" s="281"/>
      <c r="C55" s="282"/>
      <c r="D55" s="282"/>
      <c r="E55" s="283"/>
    </row>
    <row r="56" spans="1:5" ht="18.75" customHeight="1" x14ac:dyDescent="0.15">
      <c r="A56" s="79"/>
      <c r="B56" s="281"/>
      <c r="C56" s="282"/>
      <c r="D56" s="282"/>
      <c r="E56" s="283"/>
    </row>
    <row r="57" spans="1:5" ht="18.75" customHeight="1" x14ac:dyDescent="0.15">
      <c r="A57" s="79"/>
      <c r="B57" s="281"/>
      <c r="C57" s="282"/>
      <c r="D57" s="282"/>
      <c r="E57" s="283"/>
    </row>
    <row r="58" spans="1:5" ht="18.75" customHeight="1" x14ac:dyDescent="0.15">
      <c r="A58" s="79"/>
      <c r="B58" s="281"/>
      <c r="C58" s="282"/>
      <c r="D58" s="282"/>
      <c r="E58" s="283"/>
    </row>
    <row r="59" spans="1:5" ht="18.75" customHeight="1" x14ac:dyDescent="0.15">
      <c r="A59" s="79"/>
      <c r="B59" s="281"/>
      <c r="C59" s="282"/>
      <c r="D59" s="282"/>
      <c r="E59" s="283"/>
    </row>
    <row r="60" spans="1:5" ht="18.75" customHeight="1" x14ac:dyDescent="0.15">
      <c r="A60" s="79"/>
      <c r="B60" s="281"/>
      <c r="C60" s="282"/>
      <c r="D60" s="282"/>
      <c r="E60" s="283"/>
    </row>
    <row r="61" spans="1:5" ht="18.75" customHeight="1" x14ac:dyDescent="0.15">
      <c r="A61" s="79"/>
      <c r="B61" s="281"/>
      <c r="C61" s="282"/>
      <c r="D61" s="282"/>
      <c r="E61" s="283"/>
    </row>
    <row r="62" spans="1:5" ht="18.75" customHeight="1" x14ac:dyDescent="0.15">
      <c r="A62" s="79"/>
      <c r="B62" s="281"/>
      <c r="C62" s="282"/>
      <c r="D62" s="282"/>
      <c r="E62" s="283"/>
    </row>
    <row r="63" spans="1:5" ht="18.75" customHeight="1" x14ac:dyDescent="0.15">
      <c r="A63" s="79"/>
      <c r="B63" s="281"/>
      <c r="C63" s="282"/>
      <c r="D63" s="282"/>
      <c r="E63" s="283"/>
    </row>
    <row r="64" spans="1:5" ht="18.75" customHeight="1" x14ac:dyDescent="0.15">
      <c r="A64" s="79"/>
      <c r="B64" s="281"/>
      <c r="C64" s="282"/>
      <c r="D64" s="282"/>
      <c r="E64" s="283"/>
    </row>
    <row r="65" spans="1:5" ht="18.75" customHeight="1" x14ac:dyDescent="0.15">
      <c r="A65" s="79"/>
      <c r="B65" s="281"/>
      <c r="C65" s="282"/>
      <c r="D65" s="282"/>
      <c r="E65" s="283"/>
    </row>
    <row r="66" spans="1:5" ht="18.75" customHeight="1" x14ac:dyDescent="0.15">
      <c r="A66" s="79"/>
      <c r="B66" s="281"/>
      <c r="C66" s="282"/>
      <c r="D66" s="282"/>
      <c r="E66" s="283"/>
    </row>
    <row r="67" spans="1:5" ht="18.75" customHeight="1" x14ac:dyDescent="0.15">
      <c r="A67" s="79"/>
      <c r="B67" s="281"/>
      <c r="C67" s="282"/>
      <c r="D67" s="282"/>
      <c r="E67" s="283"/>
    </row>
    <row r="68" spans="1:5" ht="18.75" customHeight="1" x14ac:dyDescent="0.15">
      <c r="A68" s="79"/>
      <c r="B68" s="281"/>
      <c r="C68" s="282"/>
      <c r="D68" s="282"/>
      <c r="E68" s="283"/>
    </row>
    <row r="69" spans="1:5" ht="18.75" customHeight="1" x14ac:dyDescent="0.15">
      <c r="A69" s="79"/>
      <c r="B69" s="284"/>
      <c r="C69" s="285"/>
      <c r="D69" s="285"/>
      <c r="E69" s="286"/>
    </row>
    <row r="70" spans="1:5" ht="7.5" customHeight="1" x14ac:dyDescent="0.15">
      <c r="A70" s="79"/>
      <c r="B70" s="79"/>
      <c r="C70" s="79"/>
      <c r="D70" s="79"/>
      <c r="E70" s="79"/>
    </row>
    <row r="71" spans="1:5" s="3" customFormat="1" ht="18.75" customHeight="1" x14ac:dyDescent="0.15">
      <c r="A71" s="49" t="s">
        <v>17</v>
      </c>
      <c r="B71" s="49" t="s">
        <v>91</v>
      </c>
      <c r="C71" s="49"/>
      <c r="D71" s="49"/>
      <c r="E71" s="49"/>
    </row>
    <row r="72" spans="1:5" s="3" customFormat="1" ht="18.75" customHeight="1" x14ac:dyDescent="0.15">
      <c r="A72" s="49"/>
      <c r="B72" s="260" t="s">
        <v>243</v>
      </c>
      <c r="C72" s="261"/>
      <c r="D72" s="261"/>
      <c r="E72" s="262"/>
    </row>
    <row r="73" spans="1:5" s="3" customFormat="1" ht="18.75" customHeight="1" x14ac:dyDescent="0.15">
      <c r="A73" s="49"/>
      <c r="B73" s="263"/>
      <c r="C73" s="264"/>
      <c r="D73" s="264"/>
      <c r="E73" s="265"/>
    </row>
    <row r="74" spans="1:5" s="3" customFormat="1" ht="18.75" customHeight="1" x14ac:dyDescent="0.15">
      <c r="A74" s="49"/>
      <c r="B74" s="263"/>
      <c r="C74" s="264"/>
      <c r="D74" s="264"/>
      <c r="E74" s="265"/>
    </row>
    <row r="75" spans="1:5" s="3" customFormat="1" ht="18.75" customHeight="1" x14ac:dyDescent="0.15">
      <c r="A75" s="49"/>
      <c r="B75" s="263"/>
      <c r="C75" s="264"/>
      <c r="D75" s="264"/>
      <c r="E75" s="265"/>
    </row>
    <row r="76" spans="1:5" s="3" customFormat="1" ht="18.75" customHeight="1" x14ac:dyDescent="0.15">
      <c r="A76" s="49"/>
      <c r="B76" s="263"/>
      <c r="C76" s="264"/>
      <c r="D76" s="264"/>
      <c r="E76" s="265"/>
    </row>
    <row r="77" spans="1:5" s="3" customFormat="1" ht="18.75" customHeight="1" x14ac:dyDescent="0.15">
      <c r="A77" s="49"/>
      <c r="B77" s="263"/>
      <c r="C77" s="264"/>
      <c r="D77" s="264"/>
      <c r="E77" s="265"/>
    </row>
    <row r="78" spans="1:5" s="3" customFormat="1" ht="18.75" customHeight="1" x14ac:dyDescent="0.15">
      <c r="A78" s="49"/>
      <c r="B78" s="263"/>
      <c r="C78" s="264"/>
      <c r="D78" s="264"/>
      <c r="E78" s="265"/>
    </row>
    <row r="79" spans="1:5" s="3" customFormat="1" ht="18.75" customHeight="1" x14ac:dyDescent="0.15">
      <c r="A79" s="49"/>
      <c r="B79" s="263"/>
      <c r="C79" s="264"/>
      <c r="D79" s="264"/>
      <c r="E79" s="265"/>
    </row>
    <row r="80" spans="1:5" s="3" customFormat="1" ht="18.75" customHeight="1" x14ac:dyDescent="0.15">
      <c r="A80" s="49"/>
      <c r="B80" s="263"/>
      <c r="C80" s="264"/>
      <c r="D80" s="264"/>
      <c r="E80" s="265"/>
    </row>
    <row r="81" spans="1:5" s="3" customFormat="1" ht="18.75" customHeight="1" x14ac:dyDescent="0.15">
      <c r="A81" s="49"/>
      <c r="B81" s="263"/>
      <c r="C81" s="264"/>
      <c r="D81" s="264"/>
      <c r="E81" s="265"/>
    </row>
    <row r="82" spans="1:5" s="3" customFormat="1" ht="18.75" customHeight="1" x14ac:dyDescent="0.15">
      <c r="A82" s="49"/>
      <c r="B82" s="263"/>
      <c r="C82" s="264"/>
      <c r="D82" s="264"/>
      <c r="E82" s="265"/>
    </row>
    <row r="83" spans="1:5" s="3" customFormat="1" ht="18.75" customHeight="1" x14ac:dyDescent="0.15">
      <c r="A83" s="49"/>
      <c r="B83" s="263"/>
      <c r="C83" s="264"/>
      <c r="D83" s="264"/>
      <c r="E83" s="265"/>
    </row>
    <row r="84" spans="1:5" s="3" customFormat="1" ht="18.75" customHeight="1" x14ac:dyDescent="0.15">
      <c r="A84" s="49"/>
      <c r="B84" s="263"/>
      <c r="C84" s="264"/>
      <c r="D84" s="264"/>
      <c r="E84" s="265"/>
    </row>
    <row r="85" spans="1:5" s="3" customFormat="1" ht="18.75" customHeight="1" x14ac:dyDescent="0.15">
      <c r="A85" s="49"/>
      <c r="B85" s="263"/>
      <c r="C85" s="264"/>
      <c r="D85" s="264"/>
      <c r="E85" s="265"/>
    </row>
    <row r="86" spans="1:5" s="3" customFormat="1" ht="18.75" customHeight="1" x14ac:dyDescent="0.15">
      <c r="A86" s="49"/>
      <c r="B86" s="263"/>
      <c r="C86" s="264"/>
      <c r="D86" s="264"/>
      <c r="E86" s="265"/>
    </row>
    <row r="87" spans="1:5" s="3" customFormat="1" ht="18.75" customHeight="1" x14ac:dyDescent="0.15">
      <c r="A87" s="49"/>
      <c r="B87" s="263"/>
      <c r="C87" s="264"/>
      <c r="D87" s="264"/>
      <c r="E87" s="265"/>
    </row>
    <row r="88" spans="1:5" s="3" customFormat="1" ht="18.75" customHeight="1" x14ac:dyDescent="0.15">
      <c r="A88" s="49"/>
      <c r="B88" s="263"/>
      <c r="C88" s="264"/>
      <c r="D88" s="264"/>
      <c r="E88" s="265"/>
    </row>
    <row r="89" spans="1:5" ht="18.75" customHeight="1" x14ac:dyDescent="0.15">
      <c r="A89" s="79"/>
      <c r="B89" s="263"/>
      <c r="C89" s="264"/>
      <c r="D89" s="264"/>
      <c r="E89" s="265"/>
    </row>
    <row r="90" spans="1:5" ht="18.75" customHeight="1" x14ac:dyDescent="0.15">
      <c r="A90" s="79"/>
      <c r="B90" s="266"/>
      <c r="C90" s="267"/>
      <c r="D90" s="267"/>
      <c r="E90" s="268"/>
    </row>
    <row r="91" spans="1:5" ht="7.5" customHeight="1" x14ac:dyDescent="0.15">
      <c r="A91" s="79"/>
      <c r="B91" s="79"/>
      <c r="C91" s="79"/>
      <c r="D91" s="79"/>
      <c r="E91" s="79"/>
    </row>
    <row r="92" spans="1:5" s="3" customFormat="1" ht="18.75" customHeight="1" x14ac:dyDescent="0.15">
      <c r="A92" s="49" t="s">
        <v>15</v>
      </c>
      <c r="B92" s="49" t="s">
        <v>32</v>
      </c>
      <c r="C92" s="49"/>
      <c r="D92" s="49"/>
      <c r="E92" s="49"/>
    </row>
    <row r="93" spans="1:5" s="3" customFormat="1" ht="18.75" customHeight="1" x14ac:dyDescent="0.15">
      <c r="A93" s="49"/>
      <c r="B93" s="260" t="s">
        <v>224</v>
      </c>
      <c r="C93" s="261"/>
      <c r="D93" s="261"/>
      <c r="E93" s="262"/>
    </row>
    <row r="94" spans="1:5" s="3" customFormat="1" ht="18.75" customHeight="1" x14ac:dyDescent="0.15">
      <c r="A94" s="49"/>
      <c r="B94" s="263"/>
      <c r="C94" s="264"/>
      <c r="D94" s="264"/>
      <c r="E94" s="265"/>
    </row>
    <row r="95" spans="1:5" s="3" customFormat="1" ht="18.75" customHeight="1" x14ac:dyDescent="0.15">
      <c r="A95" s="49"/>
      <c r="B95" s="263"/>
      <c r="C95" s="264"/>
      <c r="D95" s="264"/>
      <c r="E95" s="265"/>
    </row>
    <row r="96" spans="1:5" s="3" customFormat="1" ht="18.75" customHeight="1" x14ac:dyDescent="0.15">
      <c r="A96" s="49"/>
      <c r="B96" s="263"/>
      <c r="C96" s="264"/>
      <c r="D96" s="264"/>
      <c r="E96" s="265"/>
    </row>
    <row r="97" spans="1:5" s="3" customFormat="1" ht="18.75" customHeight="1" x14ac:dyDescent="0.15">
      <c r="A97" s="49"/>
      <c r="B97" s="263"/>
      <c r="C97" s="264"/>
      <c r="D97" s="264"/>
      <c r="E97" s="265"/>
    </row>
    <row r="98" spans="1:5" s="3" customFormat="1" ht="18.75" customHeight="1" x14ac:dyDescent="0.15">
      <c r="A98" s="49"/>
      <c r="B98" s="263"/>
      <c r="C98" s="264"/>
      <c r="D98" s="264"/>
      <c r="E98" s="265"/>
    </row>
    <row r="99" spans="1:5" s="3" customFormat="1" ht="18.75" customHeight="1" x14ac:dyDescent="0.15">
      <c r="A99" s="49"/>
      <c r="B99" s="263"/>
      <c r="C99" s="264"/>
      <c r="D99" s="264"/>
      <c r="E99" s="265"/>
    </row>
    <row r="100" spans="1:5" s="3" customFormat="1" ht="18.75" customHeight="1" x14ac:dyDescent="0.15">
      <c r="A100" s="49"/>
      <c r="B100" s="263"/>
      <c r="C100" s="264"/>
      <c r="D100" s="264"/>
      <c r="E100" s="265"/>
    </row>
    <row r="101" spans="1:5" s="3" customFormat="1" ht="18.75" customHeight="1" x14ac:dyDescent="0.15">
      <c r="A101" s="49"/>
      <c r="B101" s="263"/>
      <c r="C101" s="264"/>
      <c r="D101" s="264"/>
      <c r="E101" s="265"/>
    </row>
    <row r="102" spans="1:5" s="3" customFormat="1" ht="18.75" customHeight="1" x14ac:dyDescent="0.15">
      <c r="A102" s="49"/>
      <c r="B102" s="263"/>
      <c r="C102" s="264"/>
      <c r="D102" s="264"/>
      <c r="E102" s="265"/>
    </row>
    <row r="103" spans="1:5" s="3" customFormat="1" ht="18.75" customHeight="1" x14ac:dyDescent="0.15">
      <c r="A103" s="49"/>
      <c r="B103" s="263"/>
      <c r="C103" s="264"/>
      <c r="D103" s="264"/>
      <c r="E103" s="265"/>
    </row>
    <row r="104" spans="1:5" s="3" customFormat="1" ht="18.75" customHeight="1" x14ac:dyDescent="0.15">
      <c r="A104" s="49"/>
      <c r="B104" s="263"/>
      <c r="C104" s="264"/>
      <c r="D104" s="264"/>
      <c r="E104" s="265"/>
    </row>
    <row r="105" spans="1:5" s="3" customFormat="1" ht="18.75" customHeight="1" x14ac:dyDescent="0.15">
      <c r="A105" s="49"/>
      <c r="B105" s="263"/>
      <c r="C105" s="264"/>
      <c r="D105" s="264"/>
      <c r="E105" s="265"/>
    </row>
    <row r="106" spans="1:5" s="3" customFormat="1" ht="18.75" customHeight="1" x14ac:dyDescent="0.15">
      <c r="A106" s="49"/>
      <c r="B106" s="263"/>
      <c r="C106" s="264"/>
      <c r="D106" s="264"/>
      <c r="E106" s="265"/>
    </row>
    <row r="107" spans="1:5" s="3" customFormat="1" ht="18.75" customHeight="1" x14ac:dyDescent="0.15">
      <c r="A107" s="49"/>
      <c r="B107" s="263"/>
      <c r="C107" s="264"/>
      <c r="D107" s="264"/>
      <c r="E107" s="265"/>
    </row>
    <row r="108" spans="1:5" s="3" customFormat="1" ht="18.75" customHeight="1" x14ac:dyDescent="0.15">
      <c r="A108" s="49"/>
      <c r="B108" s="263"/>
      <c r="C108" s="264"/>
      <c r="D108" s="264"/>
      <c r="E108" s="265"/>
    </row>
    <row r="109" spans="1:5" s="3" customFormat="1" ht="18.75" customHeight="1" x14ac:dyDescent="0.15">
      <c r="A109" s="49"/>
      <c r="B109" s="263"/>
      <c r="C109" s="264"/>
      <c r="D109" s="264"/>
      <c r="E109" s="265"/>
    </row>
    <row r="110" spans="1:5" s="3" customFormat="1" ht="18.75" customHeight="1" x14ac:dyDescent="0.15">
      <c r="A110" s="49"/>
      <c r="B110" s="263"/>
      <c r="C110" s="264"/>
      <c r="D110" s="264"/>
      <c r="E110" s="265"/>
    </row>
    <row r="111" spans="1:5" ht="18.75" customHeight="1" x14ac:dyDescent="0.15">
      <c r="A111" s="79"/>
      <c r="B111" s="263"/>
      <c r="C111" s="264"/>
      <c r="D111" s="264"/>
      <c r="E111" s="265"/>
    </row>
    <row r="112" spans="1:5" ht="18.75" customHeight="1" x14ac:dyDescent="0.15">
      <c r="A112" s="79"/>
      <c r="B112" s="266"/>
      <c r="C112" s="267"/>
      <c r="D112" s="267"/>
      <c r="E112" s="268"/>
    </row>
    <row r="113" spans="1:5" ht="7.5" customHeight="1" x14ac:dyDescent="0.15">
      <c r="A113" s="79"/>
      <c r="B113" s="79"/>
      <c r="C113" s="79"/>
      <c r="D113" s="79"/>
      <c r="E113" s="79"/>
    </row>
    <row r="114" spans="1:5" s="3" customFormat="1" ht="18.75" customHeight="1" x14ac:dyDescent="0.15">
      <c r="A114" s="49" t="s">
        <v>60</v>
      </c>
      <c r="B114" s="269" t="s">
        <v>124</v>
      </c>
      <c r="C114" s="269"/>
      <c r="D114" s="269"/>
      <c r="E114" s="269"/>
    </row>
    <row r="115" spans="1:5" ht="18.75" customHeight="1" x14ac:dyDescent="0.15">
      <c r="A115" s="79"/>
      <c r="B115" s="250" t="s">
        <v>225</v>
      </c>
      <c r="C115" s="270"/>
      <c r="D115" s="270"/>
      <c r="E115" s="271"/>
    </row>
    <row r="116" spans="1:5" ht="18.75" customHeight="1" x14ac:dyDescent="0.15">
      <c r="A116" s="79"/>
      <c r="B116" s="272"/>
      <c r="C116" s="273"/>
      <c r="D116" s="273"/>
      <c r="E116" s="274"/>
    </row>
    <row r="117" spans="1:5" ht="18.75" customHeight="1" x14ac:dyDescent="0.15">
      <c r="A117" s="79"/>
      <c r="B117" s="272"/>
      <c r="C117" s="273"/>
      <c r="D117" s="273"/>
      <c r="E117" s="274"/>
    </row>
    <row r="118" spans="1:5" ht="18.75" customHeight="1" x14ac:dyDescent="0.15">
      <c r="A118" s="79"/>
      <c r="B118" s="272"/>
      <c r="C118" s="273"/>
      <c r="D118" s="273"/>
      <c r="E118" s="274"/>
    </row>
    <row r="119" spans="1:5" ht="18.75" customHeight="1" x14ac:dyDescent="0.15">
      <c r="A119" s="79"/>
      <c r="B119" s="272"/>
      <c r="C119" s="273"/>
      <c r="D119" s="273"/>
      <c r="E119" s="274"/>
    </row>
    <row r="120" spans="1:5" ht="18.75" customHeight="1" x14ac:dyDescent="0.15">
      <c r="A120" s="79"/>
      <c r="B120" s="272"/>
      <c r="C120" s="273"/>
      <c r="D120" s="273"/>
      <c r="E120" s="274"/>
    </row>
    <row r="121" spans="1:5" ht="18.75" customHeight="1" x14ac:dyDescent="0.15">
      <c r="A121" s="79"/>
      <c r="B121" s="272"/>
      <c r="C121" s="273"/>
      <c r="D121" s="273"/>
      <c r="E121" s="274"/>
    </row>
    <row r="122" spans="1:5" ht="18.75" customHeight="1" x14ac:dyDescent="0.15">
      <c r="A122" s="79"/>
      <c r="B122" s="272"/>
      <c r="C122" s="273"/>
      <c r="D122" s="273"/>
      <c r="E122" s="274"/>
    </row>
    <row r="123" spans="1:5" ht="18.75" customHeight="1" x14ac:dyDescent="0.15">
      <c r="A123" s="79"/>
      <c r="B123" s="272"/>
      <c r="C123" s="273"/>
      <c r="D123" s="273"/>
      <c r="E123" s="274"/>
    </row>
    <row r="124" spans="1:5" ht="18.75" customHeight="1" x14ac:dyDescent="0.15">
      <c r="A124" s="79"/>
      <c r="B124" s="272"/>
      <c r="C124" s="273"/>
      <c r="D124" s="273"/>
      <c r="E124" s="274"/>
    </row>
    <row r="125" spans="1:5" ht="18.75" customHeight="1" x14ac:dyDescent="0.15">
      <c r="A125" s="79"/>
      <c r="B125" s="272"/>
      <c r="C125" s="273"/>
      <c r="D125" s="273"/>
      <c r="E125" s="274"/>
    </row>
    <row r="126" spans="1:5" ht="18.75" customHeight="1" x14ac:dyDescent="0.15">
      <c r="A126" s="79"/>
      <c r="B126" s="272"/>
      <c r="C126" s="273"/>
      <c r="D126" s="273"/>
      <c r="E126" s="274"/>
    </row>
    <row r="127" spans="1:5" ht="18.75" customHeight="1" x14ac:dyDescent="0.15">
      <c r="A127" s="79"/>
      <c r="B127" s="272"/>
      <c r="C127" s="273"/>
      <c r="D127" s="273"/>
      <c r="E127" s="274"/>
    </row>
    <row r="128" spans="1:5" ht="18.75" customHeight="1" x14ac:dyDescent="0.15">
      <c r="A128" s="79"/>
      <c r="B128" s="272"/>
      <c r="C128" s="273"/>
      <c r="D128" s="273"/>
      <c r="E128" s="274"/>
    </row>
    <row r="129" spans="1:5" ht="18.75" customHeight="1" x14ac:dyDescent="0.15">
      <c r="A129" s="79"/>
      <c r="B129" s="272"/>
      <c r="C129" s="273"/>
      <c r="D129" s="273"/>
      <c r="E129" s="274"/>
    </row>
    <row r="130" spans="1:5" ht="18.75" customHeight="1" x14ac:dyDescent="0.15">
      <c r="A130" s="79"/>
      <c r="B130" s="272"/>
      <c r="C130" s="273"/>
      <c r="D130" s="273"/>
      <c r="E130" s="274"/>
    </row>
    <row r="131" spans="1:5" ht="18.75" customHeight="1" x14ac:dyDescent="0.15">
      <c r="A131" s="79"/>
      <c r="B131" s="272"/>
      <c r="C131" s="273"/>
      <c r="D131" s="273"/>
      <c r="E131" s="274"/>
    </row>
    <row r="132" spans="1:5" ht="18.75" customHeight="1" x14ac:dyDescent="0.15">
      <c r="A132" s="79"/>
      <c r="B132" s="272"/>
      <c r="C132" s="273"/>
      <c r="D132" s="273"/>
      <c r="E132" s="274"/>
    </row>
    <row r="133" spans="1:5" ht="18.75" customHeight="1" x14ac:dyDescent="0.15">
      <c r="A133" s="79"/>
      <c r="B133" s="272"/>
      <c r="C133" s="273"/>
      <c r="D133" s="273"/>
      <c r="E133" s="274"/>
    </row>
    <row r="134" spans="1:5" ht="18.75" customHeight="1" x14ac:dyDescent="0.15">
      <c r="A134" s="79"/>
      <c r="B134" s="275"/>
      <c r="C134" s="276"/>
      <c r="D134" s="276"/>
      <c r="E134" s="277"/>
    </row>
    <row r="135" spans="1:5" ht="7.5" customHeight="1" x14ac:dyDescent="0.15">
      <c r="A135" s="79"/>
      <c r="B135" s="80"/>
      <c r="C135" s="80"/>
      <c r="D135" s="80"/>
      <c r="E135" s="80"/>
    </row>
    <row r="136" spans="1:5" ht="18.75" customHeight="1" x14ac:dyDescent="0.15">
      <c r="A136" s="79"/>
      <c r="B136" s="79"/>
      <c r="C136" s="79"/>
      <c r="D136" s="79"/>
      <c r="E136" s="79"/>
    </row>
    <row r="137" spans="1:5" ht="18.75" customHeight="1" x14ac:dyDescent="0.15">
      <c r="A137" s="79"/>
      <c r="B137" s="79"/>
      <c r="C137" s="79"/>
      <c r="D137" s="79"/>
      <c r="E137" s="79"/>
    </row>
    <row r="138" spans="1:5" ht="18.75" customHeight="1" x14ac:dyDescent="0.15">
      <c r="A138" s="79"/>
      <c r="B138" s="79"/>
      <c r="C138" s="79"/>
      <c r="D138" s="79"/>
      <c r="E138" s="79"/>
    </row>
    <row r="139" spans="1:5" ht="18.75" customHeight="1" x14ac:dyDescent="0.15">
      <c r="A139" s="79"/>
      <c r="B139" s="79"/>
      <c r="C139" s="79"/>
      <c r="D139" s="79"/>
      <c r="E139" s="79"/>
    </row>
    <row r="140" spans="1:5" ht="18.75" customHeight="1" x14ac:dyDescent="0.15">
      <c r="A140" s="79"/>
      <c r="B140" s="79"/>
      <c r="C140" s="79"/>
      <c r="D140" s="79"/>
      <c r="E140" s="79"/>
    </row>
    <row r="141" spans="1:5" ht="18.75" customHeight="1" x14ac:dyDescent="0.15">
      <c r="A141" s="79"/>
      <c r="B141" s="79"/>
      <c r="C141" s="79"/>
      <c r="D141" s="79"/>
      <c r="E141" s="79"/>
    </row>
    <row r="142" spans="1:5" ht="18.75" customHeight="1" x14ac:dyDescent="0.15">
      <c r="A142" s="79"/>
      <c r="B142" s="79"/>
      <c r="C142" s="79"/>
      <c r="D142" s="79"/>
      <c r="E142" s="79"/>
    </row>
    <row r="143" spans="1:5" ht="18.75" customHeight="1" x14ac:dyDescent="0.15">
      <c r="A143" s="79"/>
      <c r="B143" s="79"/>
      <c r="C143" s="79"/>
      <c r="D143" s="79"/>
      <c r="E143" s="79"/>
    </row>
    <row r="144" spans="1:5" ht="18.75" customHeight="1" x14ac:dyDescent="0.15">
      <c r="A144" s="79"/>
      <c r="B144" s="79"/>
      <c r="C144" s="79"/>
      <c r="D144" s="79"/>
      <c r="E144" s="79"/>
    </row>
    <row r="145" spans="1:5" ht="18.75" customHeight="1" x14ac:dyDescent="0.15">
      <c r="A145" s="79"/>
      <c r="B145" s="79"/>
      <c r="C145" s="79"/>
      <c r="D145" s="79"/>
      <c r="E145" s="79"/>
    </row>
    <row r="146" spans="1:5" ht="18.75" customHeight="1" x14ac:dyDescent="0.15">
      <c r="A146" s="79"/>
      <c r="B146" s="79"/>
      <c r="C146" s="79"/>
      <c r="D146" s="79"/>
      <c r="E146" s="79"/>
    </row>
    <row r="147" spans="1:5" ht="18.75" customHeight="1" x14ac:dyDescent="0.15">
      <c r="A147" s="79"/>
      <c r="B147" s="79"/>
      <c r="C147" s="79"/>
      <c r="D147" s="79"/>
      <c r="E147" s="79"/>
    </row>
    <row r="148" spans="1:5" ht="14.25" x14ac:dyDescent="0.15">
      <c r="A148" s="79"/>
      <c r="B148" s="79"/>
      <c r="C148" s="79"/>
      <c r="D148" s="79"/>
      <c r="E148" s="79"/>
    </row>
    <row r="149" spans="1:5" ht="7.5" customHeight="1" x14ac:dyDescent="0.15">
      <c r="A149" s="81"/>
      <c r="B149" s="81"/>
      <c r="C149" s="81"/>
      <c r="D149" s="81"/>
      <c r="E149" s="81"/>
    </row>
  </sheetData>
  <mergeCells count="11">
    <mergeCell ref="B72:E90"/>
    <mergeCell ref="B93:E112"/>
    <mergeCell ref="B114:E114"/>
    <mergeCell ref="B115:E134"/>
    <mergeCell ref="D2:E2"/>
    <mergeCell ref="B4:E4"/>
    <mergeCell ref="B10:E15"/>
    <mergeCell ref="B18:E29"/>
    <mergeCell ref="B32:E47"/>
    <mergeCell ref="B49:E69"/>
    <mergeCell ref="B7:E7"/>
  </mergeCells>
  <phoneticPr fontId="4"/>
  <printOptions horizontalCentered="1"/>
  <pageMargins left="0.78740157480314965" right="0.78740157480314965" top="0.78740157480314965" bottom="0.78740157480314965" header="0.31496062992125984" footer="0.31496062992125984"/>
  <pageSetup paperSize="9" scale="95" fitToHeight="0" orientation="portrait" copies="3" r:id="rId1"/>
  <rowBreaks count="2" manualBreakCount="2">
    <brk id="47" max="4" man="1"/>
    <brk id="91" max="4" man="1"/>
  </rowBreaks>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28"/>
  <sheetViews>
    <sheetView showZeros="0" topLeftCell="A16" zoomScaleNormal="100" zoomScaleSheetLayoutView="100" workbookViewId="0">
      <selection activeCell="H21" sqref="H21"/>
    </sheetView>
  </sheetViews>
  <sheetFormatPr defaultColWidth="11.375" defaultRowHeight="22.5" customHeight="1" x14ac:dyDescent="0.15"/>
  <cols>
    <col min="1" max="3" width="2.5" style="44" customWidth="1"/>
    <col min="4" max="4" width="22.5" style="44" customWidth="1"/>
    <col min="5" max="5" width="21.25" style="44" customWidth="1"/>
    <col min="6" max="7" width="7.5" style="44" customWidth="1"/>
    <col min="8" max="8" width="32.5" style="44" customWidth="1"/>
    <col min="9" max="9" width="24.875" style="44" customWidth="1"/>
    <col min="10" max="10" width="6.25" style="44" customWidth="1"/>
    <col min="11" max="11" width="4.125" style="44" customWidth="1"/>
    <col min="12" max="16384" width="11.375" style="44"/>
  </cols>
  <sheetData>
    <row r="1" spans="1:10" ht="18.75" customHeight="1" x14ac:dyDescent="0.15">
      <c r="J1" s="43" t="s">
        <v>9</v>
      </c>
    </row>
    <row r="2" spans="1:10" ht="18.75" customHeight="1" x14ac:dyDescent="0.15">
      <c r="D2" s="43"/>
      <c r="H2" s="43" t="s">
        <v>30</v>
      </c>
      <c r="I2" s="278" t="s">
        <v>242</v>
      </c>
      <c r="J2" s="278"/>
    </row>
    <row r="3" spans="1:10" ht="18.75" customHeight="1" x14ac:dyDescent="0.15">
      <c r="A3" s="153" t="s">
        <v>48</v>
      </c>
      <c r="B3" s="153"/>
      <c r="C3" s="153"/>
      <c r="D3" s="153"/>
      <c r="E3" s="153"/>
      <c r="F3" s="153"/>
      <c r="G3" s="153"/>
      <c r="H3" s="153"/>
      <c r="I3" s="153"/>
      <c r="J3" s="153"/>
    </row>
    <row r="4" spans="1:10" ht="7.5" customHeight="1" x14ac:dyDescent="0.15">
      <c r="B4" s="47"/>
      <c r="C4" s="47"/>
      <c r="D4" s="310"/>
      <c r="E4" s="310"/>
      <c r="F4" s="310"/>
      <c r="G4" s="310"/>
      <c r="H4" s="310"/>
      <c r="I4" s="310"/>
      <c r="J4" s="310"/>
    </row>
    <row r="5" spans="1:10" ht="18.75" customHeight="1" x14ac:dyDescent="0.15">
      <c r="A5" s="44" t="s">
        <v>7</v>
      </c>
      <c r="B5" s="3" t="s">
        <v>46</v>
      </c>
      <c r="C5" s="47"/>
      <c r="D5" s="47"/>
      <c r="E5" s="47"/>
      <c r="F5" s="47"/>
      <c r="G5" s="47"/>
      <c r="H5" s="47"/>
      <c r="I5" s="47"/>
      <c r="J5" s="47"/>
    </row>
    <row r="6" spans="1:10" ht="18.75" customHeight="1" x14ac:dyDescent="0.15">
      <c r="B6" s="215" t="s">
        <v>43</v>
      </c>
      <c r="C6" s="216"/>
      <c r="D6" s="217"/>
      <c r="E6" s="216" t="s">
        <v>45</v>
      </c>
      <c r="F6" s="216"/>
      <c r="G6" s="216"/>
      <c r="H6" s="216"/>
      <c r="I6" s="216"/>
      <c r="J6" s="217"/>
    </row>
    <row r="7" spans="1:10" ht="18.75" customHeight="1" x14ac:dyDescent="0.15">
      <c r="B7" s="82" t="s">
        <v>33</v>
      </c>
      <c r="C7" s="79"/>
      <c r="D7" s="83"/>
      <c r="E7" s="84"/>
      <c r="F7" s="84"/>
      <c r="G7" s="84"/>
      <c r="H7" s="84"/>
      <c r="I7" s="79"/>
      <c r="J7" s="83"/>
    </row>
    <row r="8" spans="1:10" ht="202.5" customHeight="1" x14ac:dyDescent="0.15">
      <c r="B8" s="85"/>
      <c r="C8" s="299" t="s">
        <v>34</v>
      </c>
      <c r="D8" s="290"/>
      <c r="E8" s="300" t="s">
        <v>247</v>
      </c>
      <c r="F8" s="291"/>
      <c r="G8" s="291"/>
      <c r="H8" s="291"/>
      <c r="I8" s="291"/>
      <c r="J8" s="292"/>
    </row>
    <row r="9" spans="1:10" ht="202.5" customHeight="1" x14ac:dyDescent="0.15">
      <c r="B9" s="85"/>
      <c r="C9" s="305" t="s">
        <v>35</v>
      </c>
      <c r="D9" s="306"/>
      <c r="E9" s="307" t="s">
        <v>244</v>
      </c>
      <c r="F9" s="308"/>
      <c r="G9" s="308"/>
      <c r="H9" s="308"/>
      <c r="I9" s="308"/>
      <c r="J9" s="309"/>
    </row>
    <row r="10" spans="1:10" ht="172.5" customHeight="1" x14ac:dyDescent="0.15">
      <c r="B10" s="85"/>
      <c r="C10" s="299" t="s">
        <v>36</v>
      </c>
      <c r="D10" s="290"/>
      <c r="E10" s="307" t="s">
        <v>231</v>
      </c>
      <c r="F10" s="308"/>
      <c r="G10" s="308"/>
      <c r="H10" s="308"/>
      <c r="I10" s="308"/>
      <c r="J10" s="309"/>
    </row>
    <row r="11" spans="1:10" ht="172.5" customHeight="1" x14ac:dyDescent="0.15">
      <c r="B11" s="85"/>
      <c r="C11" s="299" t="s">
        <v>37</v>
      </c>
      <c r="D11" s="290"/>
      <c r="E11" s="300" t="s">
        <v>246</v>
      </c>
      <c r="F11" s="291"/>
      <c r="G11" s="291"/>
      <c r="H11" s="291"/>
      <c r="I11" s="291"/>
      <c r="J11" s="292"/>
    </row>
    <row r="12" spans="1:10" ht="172.5" customHeight="1" x14ac:dyDescent="0.15">
      <c r="B12" s="85"/>
      <c r="C12" s="299" t="s">
        <v>38</v>
      </c>
      <c r="D12" s="290"/>
      <c r="E12" s="300" t="s">
        <v>245</v>
      </c>
      <c r="F12" s="291"/>
      <c r="G12" s="291"/>
      <c r="H12" s="291"/>
      <c r="I12" s="291"/>
      <c r="J12" s="292"/>
    </row>
    <row r="13" spans="1:10" ht="18.75" customHeight="1" x14ac:dyDescent="0.15">
      <c r="B13" s="86" t="s">
        <v>39</v>
      </c>
      <c r="C13" s="87"/>
      <c r="D13" s="88"/>
      <c r="E13" s="89"/>
      <c r="F13" s="89"/>
      <c r="G13" s="89"/>
      <c r="H13" s="89"/>
      <c r="I13" s="89"/>
      <c r="J13" s="90"/>
    </row>
    <row r="14" spans="1:10" ht="255" customHeight="1" x14ac:dyDescent="0.15">
      <c r="B14" s="85"/>
      <c r="C14" s="299" t="s">
        <v>40</v>
      </c>
      <c r="D14" s="290"/>
      <c r="E14" s="300" t="s">
        <v>248</v>
      </c>
      <c r="F14" s="291"/>
      <c r="G14" s="291"/>
      <c r="H14" s="291"/>
      <c r="I14" s="291"/>
      <c r="J14" s="292"/>
    </row>
    <row r="15" spans="1:10" ht="255" customHeight="1" x14ac:dyDescent="0.15">
      <c r="B15" s="85"/>
      <c r="C15" s="301" t="s">
        <v>41</v>
      </c>
      <c r="D15" s="302"/>
      <c r="E15" s="303" t="s">
        <v>232</v>
      </c>
      <c r="F15" s="303"/>
      <c r="G15" s="303"/>
      <c r="H15" s="303"/>
      <c r="I15" s="303"/>
      <c r="J15" s="304"/>
    </row>
    <row r="16" spans="1:10" ht="232.5" customHeight="1" x14ac:dyDescent="0.15">
      <c r="B16" s="288" t="s">
        <v>42</v>
      </c>
      <c r="C16" s="289"/>
      <c r="D16" s="290"/>
      <c r="E16" s="291" t="s">
        <v>230</v>
      </c>
      <c r="F16" s="291"/>
      <c r="G16" s="291"/>
      <c r="H16" s="291"/>
      <c r="I16" s="291"/>
      <c r="J16" s="292"/>
    </row>
    <row r="17" spans="1:10" ht="232.5" customHeight="1" x14ac:dyDescent="0.15">
      <c r="B17" s="293" t="s">
        <v>84</v>
      </c>
      <c r="C17" s="294"/>
      <c r="D17" s="295"/>
      <c r="E17" s="257" t="s">
        <v>237</v>
      </c>
      <c r="F17" s="257"/>
      <c r="G17" s="257"/>
      <c r="H17" s="257"/>
      <c r="I17" s="257"/>
      <c r="J17" s="258"/>
    </row>
    <row r="18" spans="1:10" ht="7.5" customHeight="1" x14ac:dyDescent="0.15">
      <c r="B18" s="47"/>
      <c r="C18" s="47"/>
      <c r="D18" s="47"/>
      <c r="E18" s="47"/>
      <c r="F18" s="47"/>
      <c r="G18" s="47"/>
      <c r="H18" s="47"/>
      <c r="I18" s="47"/>
      <c r="J18" s="47"/>
    </row>
    <row r="19" spans="1:10" ht="18.75" customHeight="1" x14ac:dyDescent="0.15">
      <c r="B19" s="3"/>
      <c r="C19" s="47"/>
      <c r="D19" s="47"/>
      <c r="E19" s="47"/>
      <c r="F19" s="91"/>
      <c r="G19" s="91"/>
      <c r="H19" s="92" t="s">
        <v>107</v>
      </c>
      <c r="I19" s="93"/>
      <c r="J19" s="94"/>
    </row>
    <row r="20" spans="1:10" ht="18.75" customHeight="1" x14ac:dyDescent="0.15">
      <c r="A20" s="84" t="s">
        <v>12</v>
      </c>
      <c r="B20" s="61" t="s">
        <v>47</v>
      </c>
      <c r="C20" s="95"/>
      <c r="D20" s="95"/>
      <c r="E20" s="95"/>
      <c r="F20" s="76" t="s">
        <v>214</v>
      </c>
      <c r="G20" s="91"/>
      <c r="H20" s="296" t="s">
        <v>261</v>
      </c>
      <c r="I20" s="297"/>
      <c r="J20" s="298"/>
    </row>
    <row r="21" spans="1:10" ht="22.5" customHeight="1" x14ac:dyDescent="0.15">
      <c r="B21" s="47"/>
      <c r="C21" s="47"/>
      <c r="D21" s="47"/>
      <c r="E21" s="47"/>
      <c r="F21" s="47"/>
      <c r="G21" s="47"/>
      <c r="H21" s="47"/>
      <c r="I21" s="47"/>
      <c r="J21" s="47"/>
    </row>
    <row r="22" spans="1:10" ht="22.5" customHeight="1" x14ac:dyDescent="0.15">
      <c r="B22" s="47"/>
      <c r="C22" s="47"/>
      <c r="D22" s="47"/>
      <c r="E22" s="47"/>
      <c r="F22" s="47"/>
      <c r="G22" s="47"/>
      <c r="H22" s="47"/>
      <c r="I22" s="47"/>
      <c r="J22" s="47"/>
    </row>
    <row r="23" spans="1:10" ht="22.5" customHeight="1" x14ac:dyDescent="0.15">
      <c r="B23" s="47"/>
      <c r="C23" s="47"/>
      <c r="D23" s="47"/>
      <c r="E23" s="47"/>
      <c r="F23" s="47"/>
      <c r="G23" s="47"/>
      <c r="H23" s="47"/>
      <c r="I23" s="47"/>
      <c r="J23" s="47"/>
    </row>
    <row r="24" spans="1:10" ht="22.5" customHeight="1" x14ac:dyDescent="0.15">
      <c r="B24" s="47"/>
      <c r="C24" s="47"/>
      <c r="D24" s="47"/>
      <c r="E24" s="47"/>
      <c r="F24" s="47"/>
      <c r="G24" s="47"/>
      <c r="H24" s="47"/>
      <c r="I24" s="47"/>
      <c r="J24" s="47"/>
    </row>
    <row r="25" spans="1:10" ht="22.5" customHeight="1" x14ac:dyDescent="0.15">
      <c r="B25" s="47"/>
      <c r="C25" s="47"/>
      <c r="D25" s="47"/>
      <c r="E25" s="47"/>
      <c r="F25" s="47"/>
      <c r="G25" s="47"/>
      <c r="H25" s="47"/>
      <c r="I25" s="47"/>
      <c r="J25" s="47"/>
    </row>
    <row r="26" spans="1:10" ht="22.5" customHeight="1" x14ac:dyDescent="0.15">
      <c r="B26" s="77"/>
      <c r="C26" s="77"/>
      <c r="D26" s="77"/>
      <c r="E26" s="77"/>
      <c r="F26" s="77"/>
      <c r="G26" s="77"/>
      <c r="H26" s="77"/>
      <c r="I26" s="77"/>
      <c r="J26" s="77"/>
    </row>
    <row r="27" spans="1:10" ht="22.5" customHeight="1" x14ac:dyDescent="0.15">
      <c r="B27" s="77"/>
      <c r="C27" s="77"/>
      <c r="D27" s="77"/>
      <c r="E27" s="77"/>
      <c r="F27" s="77"/>
      <c r="G27" s="77"/>
      <c r="H27" s="77"/>
      <c r="I27" s="77"/>
      <c r="J27" s="77"/>
    </row>
    <row r="28" spans="1:10" ht="22.5" customHeight="1" x14ac:dyDescent="0.15">
      <c r="B28" s="77"/>
      <c r="C28" s="77"/>
      <c r="D28" s="77"/>
      <c r="E28" s="77"/>
      <c r="F28" s="77"/>
      <c r="G28" s="77"/>
      <c r="H28" s="77"/>
      <c r="I28" s="77"/>
      <c r="J28" s="77"/>
    </row>
  </sheetData>
  <mergeCells count="24">
    <mergeCell ref="C8:D8"/>
    <mergeCell ref="E8:J8"/>
    <mergeCell ref="I2:J2"/>
    <mergeCell ref="A3:J3"/>
    <mergeCell ref="D4:J4"/>
    <mergeCell ref="B6:D6"/>
    <mergeCell ref="E6:J6"/>
    <mergeCell ref="C9:D9"/>
    <mergeCell ref="E9:J9"/>
    <mergeCell ref="C10:D10"/>
    <mergeCell ref="E10:J10"/>
    <mergeCell ref="C11:D11"/>
    <mergeCell ref="E11:J11"/>
    <mergeCell ref="C12:D12"/>
    <mergeCell ref="E12:J12"/>
    <mergeCell ref="C14:D14"/>
    <mergeCell ref="E14:J14"/>
    <mergeCell ref="C15:D15"/>
    <mergeCell ref="E15:J15"/>
    <mergeCell ref="B16:D16"/>
    <mergeCell ref="E16:J16"/>
    <mergeCell ref="B17:D17"/>
    <mergeCell ref="E17:J17"/>
    <mergeCell ref="H20:J20"/>
  </mergeCells>
  <phoneticPr fontId="4"/>
  <dataValidations count="2">
    <dataValidation type="list" allowBlank="1" showInputMessage="1" showErrorMessage="1" sqref="F20">
      <formula1>"有,無,予定"</formula1>
    </dataValidation>
    <dataValidation type="list" allowBlank="1" showInputMessage="1" showErrorMessage="1" sqref="F19:G19">
      <formula1>#REF!</formula1>
    </dataValidation>
  </dataValidations>
  <hyperlinks>
    <hyperlink ref="H20" r:id="rId1"/>
  </hyperlinks>
  <printOptions horizontalCentered="1"/>
  <pageMargins left="0.78740157480314965" right="0.78740157480314965" top="0.78740157480314965" bottom="0.78740157480314965" header="0.31496062992125984" footer="0.31496062992125984"/>
  <pageSetup paperSize="9" scale="98" orientation="landscape" r:id="rId2"/>
  <rowBreaks count="1" manualBreakCount="1">
    <brk id="9" max="9" man="1"/>
  </rowBreak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ワークシート</vt:lpstr>
      </vt:variant>
      <vt:variant>
        <vt:i4>6</vt:i4>
      </vt:variant>
      <vt:variant>
        <vt:lpstr>名前付き一覧</vt:lpstr>
      </vt:variant>
      <vt:variant>
        <vt:i4>5</vt:i4>
      </vt:variant>
    </vt:vector>
  </HeadingPairs>
  <TitlesOfParts>
    <vt:vector size="11" baseType="lpstr">
      <vt:lpstr>様式１　大学等概要</vt:lpstr>
      <vt:lpstr>様式２　プログラムを構成する授業科目</vt:lpstr>
      <vt:lpstr>様式３　履修者等数の実績0713修正</vt:lpstr>
      <vt:lpstr>様式4　プログラムの授業内容・概要0713修正</vt:lpstr>
      <vt:lpstr>様式５　教育の質・履修者数を向上させるための体制・計画</vt:lpstr>
      <vt:lpstr>様式６　自己点検・評価0713修正</vt:lpstr>
      <vt:lpstr>'様式１　大学等概要'!Print_Area</vt:lpstr>
      <vt:lpstr>'様式２　プログラムを構成する授業科目'!Print_Area</vt:lpstr>
      <vt:lpstr>'様式３　履修者等数の実績0713修正'!Print_Area</vt:lpstr>
      <vt:lpstr>'様式５　教育の質・履修者数を向上させるための体制・計画'!Print_Area</vt:lpstr>
      <vt:lpstr>'様式６　自己点検・評価0713修正'!Print_Area</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文部科学省</dc:creator>
  <cp:lastModifiedBy>m</cp:lastModifiedBy>
  <cp:lastPrinted>2021-07-13T07:48:43Z</cp:lastPrinted>
  <dcterms:created xsi:type="dcterms:W3CDTF">2011-06-14T05:32:50Z</dcterms:created>
  <dcterms:modified xsi:type="dcterms:W3CDTF">2021-07-16T11:05:22Z</dcterms:modified>
</cp:coreProperties>
</file>