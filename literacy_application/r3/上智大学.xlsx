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4"/>
  <workbookPr defaultThemeVersion="124226"/>
  <mc:AlternateContent xmlns:mc="http://schemas.openxmlformats.org/markup-compatibility/2006">
    <mc:Choice Requires="x15">
      <x15ac:absPath xmlns:x15ac="http://schemas.microsoft.com/office/spreadsheetml/2010/11/ac" url="D:\総務局\経営企画グループ\04_教育改革支援\02_教学施策・将来構想\20180607_教養教育改革ＷＧ\◆申請関係\2_数理・DS・AI認定プログラム（MDASH）\5_申請書類一式\申請書類_0714（再追加）\"/>
    </mc:Choice>
  </mc:AlternateContent>
  <xr:revisionPtr revIDLastSave="0" documentId="13_ncr:1_{D3CA1A40-2907-450A-BB23-57706A450E6B}" xr6:coauthVersionLast="36" xr6:coauthVersionMax="47" xr10:uidLastSave="{00000000-0000-0000-0000-000000000000}"/>
  <bookViews>
    <workbookView xWindow="-120" yWindow="-120" windowWidth="29040" windowHeight="15840"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特色ある取組'!$A$1:$F$126</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<sst xmlns="http://schemas.openxmlformats.org/spreadsheetml/2006/main" count="277" uniqueCount="207">
  <si>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</si>
  <si>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</si>
  <si>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</si>
  <si>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</si>
  <si>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</si>
  <si>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</si>
  <si>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</si>
  <si>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</si>
  <si>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</si>
  <si>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</si>
  <si>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</si>
  <si>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</si>
  <si>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</si>
  <si>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</si>
  <si>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</si>
  <si>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</si>
  <si>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</si>
  <si>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</si>
  <si>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</si>
  <si>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</si>
  <si>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</si>
  <si>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</si>
  <si>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</si>
  <si>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</si>
  <si>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</si>
  <si>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</si>
  <si>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</si>
  <si>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</si>
  <si>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</si>
  <si>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</si>
  <si>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</si>
  <si>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</si>
  <si>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</si>
  <si>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</si>
  <si>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</si>
  <si>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</si>
  <si>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</si>
  <si>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</si>
  <si>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</si>
  <si>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</si>
  <si>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</si>
  <si>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</si>
  <si>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</si>
  <si>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</si>
  <si>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</si>
  <si>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</si>
  <si>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</si>
  <si>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</si>
  <si>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</si>
  <si>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</si>
  <si>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</si>
  <si>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</si>
  <si>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</si>
  <si>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</si>
  <si>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</si>
  <si>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</si>
  <si>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</si>
  <si>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</si>
  <si>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</si>
  <si>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</si>
  <si>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</si>
  <si>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</si>
  <si>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</si>
  <si>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</si>
  <si>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</si>
  <si>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</si>
  <si>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</si>
  <si>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</si>
  <si>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</si>
  <si>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</si>
  <si>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</si>
  <si>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</si>
  <si>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</si>
  <si>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</si>
  <si>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</si>
  <si>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</si>
  <si>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</si>
  <si>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</si>
  <si>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</si>
  <si>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</si>
  <si>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</si>
  <si>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</si>
  <si>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</si>
  <si>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</si>
  <si>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</si>
  <si>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</si>
  <si>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</si>
  <si>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</si>
  <si>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</si>
  <si>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</si>
  <si>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</si>
  <si>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</si>
  <si>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</si>
  <si>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</si>
  <si>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</si>
  <si>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</si>
  <si>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</si>
  <si>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</si>
  <si>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</si>
  <si>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</si>
  <si>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</si>
  <si>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</si>
  <si>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</si>
  <si>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様式４－○</t>
    <rPh sb="0" eb="2">
      <t>ヨウシキ</t>
    </rPh>
    <phoneticPr fontId="1"/>
  </si>
  <si>
    <t>様式２－○</t>
    <rPh sb="0" eb="2">
      <t>ヨウシキ</t>
    </rPh>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</si>
  <si>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</si>
  <si>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</si>
  <si>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</si>
  <si>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</si>
  <si>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</si>
  <si>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</si>
  <si>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</si>
  <si>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</si>
  <si>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</si>
  <si>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</si>
  <si>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</si>
  <si>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</si>
  <si>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</si>
  <si>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</si>
  <si>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</si>
  <si>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</si>
  <si>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</si>
  <si>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</si>
  <si>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</si>
  <si>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</si>
  <si>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</si>
  <si>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</si>
  <si>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</si>
  <si>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</si>
  <si>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</si>
  <si>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</si>
  <si>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</si>
  <si>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</si>
  <si>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</si>
  <si>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</si>
  <si>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</si>
  <si>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</si>
  <si>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</si>
  <si>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上智大学</t>
  </si>
  <si>
    <t>学校法人　上智学院</t>
  </si>
  <si>
    <t>私立大学</t>
  </si>
  <si>
    <t>東京都千代田区紀尾井町　７－１</t>
  </si>
  <si>
    <t>データサイエンス概論</t>
    <rPh sb="8" eb="10">
      <t>ガイロン</t>
    </rPh>
    <phoneticPr fontId="1"/>
  </si>
  <si>
    <t>令和2年度</t>
    <phoneticPr fontId="1"/>
  </si>
  <si>
    <t>大塚　寿郎</t>
    <rPh sb="0" eb="2">
      <t>オオツカ</t>
    </rPh>
    <rPh sb="3" eb="5">
      <t>ジュロウ</t>
    </rPh>
    <phoneticPr fontId="1"/>
  </si>
  <si>
    <t>学務担当副学長</t>
  </si>
  <si>
    <t>基盤教育検討ワーキンググループ／データサイエンス関係科目検討分科会</t>
    <phoneticPr fontId="1"/>
  </si>
  <si>
    <t>伊呂原　隆</t>
  </si>
  <si>
    <t>座長（学事センター長）</t>
  </si>
  <si>
    <t>認定教育プログラムと認定教育プログラム+（プラス）</t>
  </si>
  <si>
    <t>総務局経営企画グループ</t>
  </si>
  <si>
    <t>落合　美加</t>
  </si>
  <si>
    <t>03-3238-4617</t>
  </si>
  <si>
    <t>学部・学科によって、修了要件は相違しない</t>
  </si>
  <si>
    <t>　令和2年度は、すべての学部において、1単位クォーター科目としてそれぞれ配置された2科目2単位の単位修得によってプログラムの修了要件とする。
　令和3年度以降、すべての学部において、クォーター2科目をセメスター1科目に統合し、当該科目2単位の単位修得によってプログラムの修了要件とする。</t>
    <rPh sb="1" eb="3">
      <t>レイワ</t>
    </rPh>
    <rPh sb="4" eb="6">
      <t>ネンド</t>
    </rPh>
    <rPh sb="20" eb="22">
      <t>タンイ</t>
    </rPh>
    <rPh sb="36" eb="38">
      <t>ハイチ</t>
    </rPh>
    <rPh sb="42" eb="44">
      <t>カモク</t>
    </rPh>
    <rPh sb="45" eb="47">
      <t>タンイ</t>
    </rPh>
    <rPh sb="72" eb="74">
      <t>レイワ</t>
    </rPh>
    <rPh sb="75" eb="77">
      <t>ネンド</t>
    </rPh>
    <rPh sb="77" eb="79">
      <t>イコウ</t>
    </rPh>
    <rPh sb="84" eb="86">
      <t>ガクブ</t>
    </rPh>
    <rPh sb="97" eb="99">
      <t>カモク</t>
    </rPh>
    <rPh sb="106" eb="108">
      <t>カモク</t>
    </rPh>
    <rPh sb="109" eb="111">
      <t>トウゴウ</t>
    </rPh>
    <rPh sb="113" eb="115">
      <t>トウガイ</t>
    </rPh>
    <rPh sb="115" eb="117">
      <t>カモク</t>
    </rPh>
    <rPh sb="118" eb="120">
      <t>タンイ</t>
    </rPh>
    <rPh sb="121" eb="123">
      <t>タンイ</t>
    </rPh>
    <rPh sb="123" eb="125">
      <t>シュウトク</t>
    </rPh>
    <rPh sb="135" eb="137">
      <t>シュウリョウ</t>
    </rPh>
    <rPh sb="137" eb="139">
      <t>ヨウケン</t>
    </rPh>
    <phoneticPr fontId="1"/>
  </si>
  <si>
    <t>データサイエンス概論１：人間、社会、科学技術とデータ</t>
  </si>
  <si>
    <t>データサイエンス概論2：データサイエンスの手法</t>
    <rPh sb="21" eb="23">
      <t>シュホウ</t>
    </rPh>
    <phoneticPr fontId="1"/>
  </si>
  <si>
    <t>神学部（人文科学）</t>
    <rPh sb="1" eb="3">
      <t>ガクブ</t>
    </rPh>
    <rPh sb="4" eb="8">
      <t>ジンブンカガク</t>
    </rPh>
    <phoneticPr fontId="1"/>
  </si>
  <si>
    <t>文学部（人文科学、社会科学）</t>
    <rPh sb="4" eb="8">
      <t>ジンブンカガク</t>
    </rPh>
    <rPh sb="9" eb="13">
      <t>シャカイカガク</t>
    </rPh>
    <phoneticPr fontId="1"/>
  </si>
  <si>
    <t>総合人間科学部（人文科学、社会科学、保健）</t>
    <rPh sb="8" eb="12">
      <t>ジンブンカガク</t>
    </rPh>
    <rPh sb="13" eb="17">
      <t>シャカイカガク</t>
    </rPh>
    <rPh sb="18" eb="20">
      <t>ホケン</t>
    </rPh>
    <phoneticPr fontId="1"/>
  </si>
  <si>
    <t>法学部（社会科学）</t>
    <rPh sb="4" eb="8">
      <t>シャカイカガク</t>
    </rPh>
    <phoneticPr fontId="1"/>
  </si>
  <si>
    <t>経済学部（社会科学）</t>
    <rPh sb="5" eb="9">
      <t>シャカイカガク</t>
    </rPh>
    <phoneticPr fontId="1"/>
  </si>
  <si>
    <t>外国語学部（人文科学）</t>
    <rPh sb="6" eb="10">
      <t>ジンブンカガク</t>
    </rPh>
    <phoneticPr fontId="1"/>
  </si>
  <si>
    <t>総合グローバル学部（その他）</t>
    <rPh sb="12" eb="13">
      <t>タ</t>
    </rPh>
    <phoneticPr fontId="1"/>
  </si>
  <si>
    <t>国際教養学部（その他）</t>
    <rPh sb="9" eb="10">
      <t>タ</t>
    </rPh>
    <phoneticPr fontId="1"/>
  </si>
  <si>
    <t>理工学部（工学）</t>
    <rPh sb="5" eb="7">
      <t>コウガク</t>
    </rPh>
    <phoneticPr fontId="1"/>
  </si>
  <si>
    <t>上智大学</t>
    <rPh sb="0" eb="2">
      <t>ジョウチ</t>
    </rPh>
    <rPh sb="2" eb="4">
      <t>ダイガク</t>
    </rPh>
    <phoneticPr fontId="1"/>
  </si>
  <si>
    <t xml:space="preserve">
　データ量の増加や計算機の処理性能の向上などの要因により、KKD（勘と経験と度胸）からKDD（Knowledge-Discovery in Databases）が重要視されるようになったこと、データサイエンスはビッグデータを処理・分析し価値を創造することであるということを理解する。また、ビッグデータが活用されるようになった背景として、データ量の増加のような社会的要因と計算機の処理性能の向上のような技術的な要因があること、AIが非連続的な進化を遂げていることを学ぶ。
　データサイエンスやAI、IoTは日常生活やビジネスの現場といった身近なところで利用されていることを、商品のレコメンデーションといったAI等を活用した新しいビジネスモデルの事例紹介動画を視聴して学び、データサイエンス・AIの有用性と危険性の両面について、データを提供する立場とデータを利用する立場の両方の立場について、それぞれ考えを深める。
　心理学における「問題解決」と問題解決の計算論的アプローチとの対比により、人間の知的活動とAIの関係性について理解する。</t>
    <rPh sb="172" eb="173">
      <t>リョウ</t>
    </rPh>
    <rPh sb="174" eb="176">
      <t>ゾウカ</t>
    </rPh>
    <rPh sb="186" eb="189">
      <t>ケイサンキ</t>
    </rPh>
    <rPh sb="190" eb="194">
      <t>ショリセイノウ</t>
    </rPh>
    <rPh sb="195" eb="197">
      <t>コウジョウ</t>
    </rPh>
    <rPh sb="216" eb="220">
      <t>ヒレンゾクテキ</t>
    </rPh>
    <rPh sb="221" eb="223">
      <t>シンカ</t>
    </rPh>
    <rPh sb="224" eb="225">
      <t>ト</t>
    </rPh>
    <rPh sb="305" eb="306">
      <t>トウ</t>
    </rPh>
    <rPh sb="307" eb="309">
      <t>カツヨウ</t>
    </rPh>
    <rPh sb="311" eb="312">
      <t>アタラ</t>
    </rPh>
    <rPh sb="399" eb="400">
      <t>カンガ</t>
    </rPh>
    <rPh sb="402" eb="403">
      <t>フカ</t>
    </rPh>
    <rPh sb="408" eb="411">
      <t>シンリガク</t>
    </rPh>
    <rPh sb="416" eb="420">
      <t>モンダイカイケツ</t>
    </rPh>
    <rPh sb="422" eb="426">
      <t>モンダイカイケツ</t>
    </rPh>
    <rPh sb="427" eb="430">
      <t>ケイサンロン</t>
    </rPh>
    <rPh sb="430" eb="431">
      <t>テキ</t>
    </rPh>
    <rPh sb="438" eb="440">
      <t>タイヒ</t>
    </rPh>
    <rPh sb="444" eb="446">
      <t>ニンゲン</t>
    </rPh>
    <rPh sb="447" eb="449">
      <t>チテキ</t>
    </rPh>
    <rPh sb="449" eb="451">
      <t>カツドウ</t>
    </rPh>
    <rPh sb="455" eb="458">
      <t>カンケイセイ</t>
    </rPh>
    <rPh sb="462" eb="464">
      <t>リカイ</t>
    </rPh>
    <phoneticPr fontId="1"/>
  </si>
  <si>
    <t>データサイエンス概論１：人間、社会、科学技術とデータサイエンス</t>
  </si>
  <si>
    <t>人間、社会、科学技術とデータサイエンス（概説）（第１回）、日常生活とデータサイエンス（第２回）、ビジネスとデータサイエンス（第３回）</t>
    <phoneticPr fontId="1"/>
  </si>
  <si>
    <t>データサイエンス概論2：データサイエンスの手法</t>
    <rPh sb="8" eb="10">
      <t>ガイロン</t>
    </rPh>
    <rPh sb="21" eb="23">
      <t>シュホウ</t>
    </rPh>
    <phoneticPr fontId="1"/>
  </si>
  <si>
    <t>知識を発見する、再生成する（第４回）</t>
    <rPh sb="0" eb="2">
      <t>チシキ</t>
    </rPh>
    <rPh sb="3" eb="5">
      <t>ハッケン</t>
    </rPh>
    <rPh sb="8" eb="11">
      <t>サイセイセイ</t>
    </rPh>
    <rPh sb="14" eb="15">
      <t>ダイ</t>
    </rPh>
    <rPh sb="16" eb="17">
      <t>カイ</t>
    </rPh>
    <phoneticPr fontId="1"/>
  </si>
  <si>
    <t>　データは調査や実験、またはログやオープンデータから取得されること、多くの場合は数字データが利用されること、文字や画像、音声といった非構造化データも扱われることを理解する。
　AmazonやSpotifyといったウェブサービスのサジェストエンジンの事例を通して、日常生活の中でそれぞれ消費や文化などにAI・データサイエンスの活用領域が広がっていることを学ぶ。
　製造機械の遠隔監視システムやID-POSシステム、就職活動・採用活動の事例を通して、ビジネスシーンにおける調達や製造、販売、マーケティング、サービスなどにAI・データサイエンスが活用されていることを学ぶ。
　事例を通して、AI・データサイエンスが仮説検証・知識発見・原因究明、計画策定・判断支援など、さまざまな場面で活用されることを理解する。</t>
    <rPh sb="66" eb="70">
      <t>ヒコウゾウカ</t>
    </rPh>
    <phoneticPr fontId="1"/>
  </si>
  <si>
    <t>データサイエンス概論１：人間、社会、科学技術とデータサイエンス</t>
    <phoneticPr fontId="1"/>
  </si>
  <si>
    <t>データを準備する（第５回）</t>
    <rPh sb="4" eb="6">
      <t>ジュンビ</t>
    </rPh>
    <rPh sb="9" eb="10">
      <t>ダイ</t>
    </rPh>
    <rPh sb="11" eb="12">
      <t>カイ</t>
    </rPh>
    <phoneticPr fontId="1"/>
  </si>
  <si>
    <t>日常生活とデータサイエンス（第２回）、ビジネスとデータサイエンス（第３回）、政策決定・政策評価とデータサイエンス（第４回）</t>
    <rPh sb="0" eb="4">
      <t>ニチジョウセイカツ</t>
    </rPh>
    <phoneticPr fontId="1"/>
  </si>
  <si>
    <t>　個人情報保護法や、OECDガイドライン、EUデータ保護指令、消費者プライバシー権利章典、GDPRといった、データを取り巻く国際動向を理解する。
　「個人情報の保護」と「データの利活用」は対立する概念ではなく、保護しながら利活用するために、国内では個人情報保護法とサイバーセキュリティ基本法でデータを規制しながら、官民データ活用推進基本法により利活用を促進していることを学ぶ。また、自由な流通・利活用を促進することを目的に導入された匿名加工情報について学ぶ。
　さまざまな事例を通して、情報漏洩やデータバイアス・アルゴリズムバイアスといった負の事例について学ぶ。</t>
    <rPh sb="1" eb="8">
      <t>コジンジョウホウホゴホウ</t>
    </rPh>
    <rPh sb="26" eb="28">
      <t>ホゴ</t>
    </rPh>
    <rPh sb="28" eb="30">
      <t>シレイ</t>
    </rPh>
    <rPh sb="31" eb="34">
      <t>ショウヒシャ</t>
    </rPh>
    <rPh sb="40" eb="44">
      <t>ケンリショウテン</t>
    </rPh>
    <rPh sb="58" eb="59">
      <t>ト</t>
    </rPh>
    <rPh sb="60" eb="61">
      <t>マ</t>
    </rPh>
    <rPh sb="62" eb="64">
      <t>コクサイ</t>
    </rPh>
    <rPh sb="64" eb="66">
      <t>ドウコウ</t>
    </rPh>
    <rPh sb="67" eb="69">
      <t>リカイ</t>
    </rPh>
    <rPh sb="75" eb="79">
      <t>コジンジョウホウ</t>
    </rPh>
    <rPh sb="80" eb="82">
      <t>ホゴ</t>
    </rPh>
    <rPh sb="89" eb="92">
      <t>リカツヨウ</t>
    </rPh>
    <rPh sb="94" eb="96">
      <t>タイリツ</t>
    </rPh>
    <rPh sb="98" eb="100">
      <t>ガイネン</t>
    </rPh>
    <rPh sb="105" eb="107">
      <t>ホゴ</t>
    </rPh>
    <rPh sb="111" eb="114">
      <t>リカツヨウ</t>
    </rPh>
    <rPh sb="120" eb="122">
      <t>コクナイ</t>
    </rPh>
    <rPh sb="124" eb="128">
      <t>コジンジョウホウ</t>
    </rPh>
    <rPh sb="128" eb="131">
      <t>ホゴホウ</t>
    </rPh>
    <rPh sb="142" eb="145">
      <t>キホンホウ</t>
    </rPh>
    <rPh sb="150" eb="152">
      <t>キセイ</t>
    </rPh>
    <rPh sb="157" eb="159">
      <t>カンミン</t>
    </rPh>
    <rPh sb="162" eb="164">
      <t>カツヨウ</t>
    </rPh>
    <rPh sb="164" eb="166">
      <t>スイシン</t>
    </rPh>
    <rPh sb="166" eb="169">
      <t>キホンホウ</t>
    </rPh>
    <rPh sb="172" eb="175">
      <t>リカツヨウ</t>
    </rPh>
    <rPh sb="176" eb="178">
      <t>ソクシン</t>
    </rPh>
    <rPh sb="185" eb="186">
      <t>マナ</t>
    </rPh>
    <rPh sb="191" eb="193">
      <t>ジユウ</t>
    </rPh>
    <rPh sb="194" eb="196">
      <t>リュウツウ</t>
    </rPh>
    <rPh sb="197" eb="200">
      <t>リカツヨウ</t>
    </rPh>
    <rPh sb="201" eb="203">
      <t>ソクシン</t>
    </rPh>
    <rPh sb="208" eb="210">
      <t>モクテキ</t>
    </rPh>
    <rPh sb="211" eb="213">
      <t>ドウニュウ</t>
    </rPh>
    <rPh sb="216" eb="222">
      <t>トクメイカコウジョウホウ</t>
    </rPh>
    <rPh sb="226" eb="227">
      <t>マナ</t>
    </rPh>
    <rPh sb="236" eb="238">
      <t>ジレイ</t>
    </rPh>
    <rPh sb="239" eb="240">
      <t>トオ</t>
    </rPh>
    <rPh sb="243" eb="247">
      <t>ジョウホウロウエイ</t>
    </rPh>
    <rPh sb="270" eb="271">
      <t>フ</t>
    </rPh>
    <rPh sb="272" eb="274">
      <t>ジレイ</t>
    </rPh>
    <rPh sb="278" eb="279">
      <t>マナ</t>
    </rPh>
    <phoneticPr fontId="1"/>
  </si>
  <si>
    <t>日常生活とデータサイエンス（第２回）、ビジネスとデータサイエンス（第３回）、政策決定・政策評価とデータサイエンス（第４回）、データサイエンスに関連する法と倫理（第５回）</t>
    <rPh sb="0" eb="4">
      <t>ニチジョウセイカツ</t>
    </rPh>
    <phoneticPr fontId="1"/>
  </si>
  <si>
    <t>データの特徴を知る（第１回）、違いを確かめる（第２回）、原因を探る（第３回）、データを準備する（第５回）</t>
    <rPh sb="4" eb="6">
      <t>トクチョウ</t>
    </rPh>
    <rPh sb="7" eb="8">
      <t>シ</t>
    </rPh>
    <rPh sb="10" eb="11">
      <t>ダイ</t>
    </rPh>
    <rPh sb="12" eb="13">
      <t>カイ</t>
    </rPh>
    <rPh sb="43" eb="45">
      <t>ジュンビ</t>
    </rPh>
    <rPh sb="48" eb="49">
      <t>ダイ</t>
    </rPh>
    <rPh sb="50" eb="51">
      <t>カイ</t>
    </rPh>
    <phoneticPr fontId="1"/>
  </si>
  <si>
    <t>学部長会議議事録および資料（2019年6月13日開催学部長会議「教育体系の見直しについて 今後の検討体制とスケジュール（案）」）</t>
  </si>
  <si>
    <t>　令和元年度には、令和4年度（当初計画では令和3年度）に全学共通科目の改編を実施し、データサイエンス科目群を設定する方向が打ち出され、その具体的なカリキュラムの検討・開発を目的として、基盤教育検討ワーキンググループ下にデータサイエンス関係科目検討分科会を設置した。令和2年度には同分科会において、本プログラムに準拠した形でのパイロット科目（「データサイエンス概論」）の内容を検討、科目開講後には検証作業を実施した。
　令和3年度には、新全学共通科目全体を司る「基盤教育センター（仮）」のもと、「データサイエンス領域（仮）」を設置する予定であり、同領域が上記分科会を引き継ぎ、①カリキュラム体系（100‐400レベルの科目構成・内容など）の企画・検討・精査、②カリキュラムの運営・点検評価および改善、③授業コンテンツ（動画等）の関連資料の検討・作成、といった一連のPDCAサイクルを担う。</t>
    <rPh sb="230" eb="232">
      <t>キバン</t>
    </rPh>
    <rPh sb="232" eb="234">
      <t>キョウイク</t>
    </rPh>
    <rPh sb="255" eb="257">
      <t>リョウイキ</t>
    </rPh>
    <rPh sb="273" eb="275">
      <t>リョウイキ</t>
    </rPh>
    <phoneticPr fontId="1"/>
  </si>
  <si>
    <t xml:space="preserve">
　「データサイエンス概論」で用いられた講義資料および事例紹介動画はLMSに蓄積されており、すべての受講者が開講期間中いつでも講義資料と事例紹介動画の閲覧が可能となっている。また内容についての理解を深めるために、異なる学部の学生同士で意見や考えを共有するアクティブ・ラーニングの手法が用いられている。
　令和2年度は主に導入・心得を扱う科目と主に基礎・選択を扱う科目の2つのクォーター科目をパイロット科目として先行して開始したが、より多くの学生が本プログラムの内容を体系的に修得できるよう、令和3年度にはクォーター2科目を統合したセメスター科目として春秋の各学期に5コマずつ開講、対面授業とフルオンデマンド授業をそれぞれ展開し、総計1,500名の学生が履修している。
　令和4年度から当該科目が必修科目となることが機関決定されており、すべての1年生が当該科目を履修することになっている。</t>
    <rPh sb="11" eb="13">
      <t>ガイロン</t>
    </rPh>
    <rPh sb="89" eb="91">
      <t>ナイヨウ</t>
    </rPh>
    <rPh sb="96" eb="98">
      <t>リカイ</t>
    </rPh>
    <rPh sb="99" eb="100">
      <t>フカ</t>
    </rPh>
    <rPh sb="106" eb="107">
      <t>コト</t>
    </rPh>
    <rPh sb="109" eb="111">
      <t>ガクブ</t>
    </rPh>
    <rPh sb="112" eb="116">
      <t>ガクセイドウシ</t>
    </rPh>
    <rPh sb="117" eb="119">
      <t>イケン</t>
    </rPh>
    <rPh sb="120" eb="121">
      <t>カンガ</t>
    </rPh>
    <rPh sb="123" eb="125">
      <t>キョウユウ</t>
    </rPh>
    <rPh sb="139" eb="141">
      <t>シュホウ</t>
    </rPh>
    <rPh sb="142" eb="143">
      <t>モチ</t>
    </rPh>
    <phoneticPr fontId="1"/>
  </si>
  <si>
    <t xml:space="preserve">
　「データサイエンス概論」の受講生はLMSのメッセージ機能や電子メールによって授業内容についての不明点などを質問し、できるだけすみやかに授業担当教員からの回答を確認できるような体制を構築している。また、必要に応じて対面またはZoom等のビデオ会議システムを利用した個別面談・グループ面談も実施している。
　令和４年度以降はデータサイエンス領域で受講生からの相談を受け付ける全学的体制を構築する予定である。</t>
    <rPh sb="11" eb="13">
      <t>ガイロン</t>
    </rPh>
    <rPh sb="154" eb="156">
      <t>レイワ</t>
    </rPh>
    <rPh sb="157" eb="159">
      <t>ネンド</t>
    </rPh>
    <rPh sb="159" eb="161">
      <t>イコウ</t>
    </rPh>
    <rPh sb="170" eb="172">
      <t>リョウイキ</t>
    </rPh>
    <rPh sb="173" eb="176">
      <t>ジュコウセイ</t>
    </rPh>
    <rPh sb="179" eb="181">
      <t>ソウダン</t>
    </rPh>
    <rPh sb="182" eb="183">
      <t>ウ</t>
    </rPh>
    <rPh sb="184" eb="185">
      <t>ツ</t>
    </rPh>
    <rPh sb="187" eb="189">
      <t>ゼンガク</t>
    </rPh>
    <rPh sb="189" eb="190">
      <t>テキ</t>
    </rPh>
    <rPh sb="190" eb="192">
      <t>タイセイ</t>
    </rPh>
    <rPh sb="193" eb="195">
      <t>コウチク</t>
    </rPh>
    <rPh sb="197" eb="199">
      <t>ヨテイ</t>
    </rPh>
    <phoneticPr fontId="1"/>
  </si>
  <si>
    <t>モデルカリキュラムの「導入」部分に準じた内容を展開している。学問分野で用いられる詳細な事例紹介ではなく、身近で活用されているデータサイエンスの考え方・事例紹介から始まり、ビジネス、公共政策というように大きく見ていく中で、「データサイエンスの重要さへの気づき」を促す講義内容としている。
取り上げる事例については、授業アンケート等を活用し、その内容についてデータサイエンス領域で分析、基盤教育センターで点検・評価を実施していく計画である。</t>
    <rPh sb="185" eb="187">
      <t>リョウイキ</t>
    </rPh>
    <phoneticPr fontId="1"/>
  </si>
  <si>
    <t xml:space="preserve">
　④のとおり、当該科目は全学共通科目として開講、令和３年度にはクォーター２科目をセメスター１科目に統合、合計10コマで1,500名分の枠を確保した。令和４年度からは全学必修とすることで、学部・学科に関係なく学生全員が受講可能となるよう、約20コマで3,000名分の枠を確保する予定。</t>
    <rPh sb="53" eb="55">
      <t>ゴウケイ</t>
    </rPh>
    <phoneticPr fontId="1"/>
  </si>
  <si>
    <t>　当該授業の目標を①データの利活用の実態、②分析手法の目的と意義、③データを扱う際の法と倫理の問題、④データを利活用する際の注意点、⑤データにもとづく問題発見および解決力の重要性という5つの要素の理解と定めている。その目標に到達したかどうか全授業終了後の授業アンケート内の項目に設定して確認し、データサイエンス領域（仮）で確認し、基盤教育センター(仮）で点検・評価を行う計画である。
　当該授業は「気づき」を重視しているため、「今後の活用について」で発展科目への受講動機や、「内容の難しさ」の結果推移に着目することで当該授業の評価・改善に活用していくことができると想定している。</t>
    <rPh sb="1" eb="3">
      <t>トウガイ</t>
    </rPh>
    <rPh sb="3" eb="5">
      <t>ジュギョウ</t>
    </rPh>
    <rPh sb="155" eb="157">
      <t>リョウイキ</t>
    </rPh>
    <rPh sb="158" eb="159">
      <t>カリ</t>
    </rPh>
    <rPh sb="174" eb="175">
      <t>カリ</t>
    </rPh>
    <rPh sb="193" eb="195">
      <t>トウガイ</t>
    </rPh>
    <rPh sb="195" eb="197">
      <t>ジュギョウ</t>
    </rPh>
    <rPh sb="225" eb="227">
      <t>ハッテン</t>
    </rPh>
    <rPh sb="258" eb="260">
      <t>トウガイ</t>
    </rPh>
    <rPh sb="260" eb="262">
      <t>ジュギョウ</t>
    </rPh>
    <phoneticPr fontId="1"/>
  </si>
  <si>
    <t>　当該科目については、講師派遣等で発展科目に協力を得ている連携先の企業から意見を聴取しており、興味深い具体的な事例収集および丁寧かつ分かりやすい解説になっていること、初心者でもデータサイエンスに興味を持つ事ができる講義内容であること、お互いに議論する事は、理解の異なる学生同士の補完にもなり、興味を深めるのに良い手段であるという評価を得ている。
今後も、連携先企業等から講義内容および手法について意見を聴取し、カリキュラム改善等に活用していく予定である。</t>
    <rPh sb="1" eb="5">
      <t>トウガイカモク</t>
    </rPh>
    <rPh sb="11" eb="13">
      <t>コウシ</t>
    </rPh>
    <rPh sb="13" eb="15">
      <t>ハケン</t>
    </rPh>
    <rPh sb="15" eb="16">
      <t>トウ</t>
    </rPh>
    <rPh sb="17" eb="19">
      <t>ハッテン</t>
    </rPh>
    <rPh sb="19" eb="21">
      <t>カモク</t>
    </rPh>
    <rPh sb="22" eb="24">
      <t>キョウリョク</t>
    </rPh>
    <rPh sb="25" eb="26">
      <t>エ</t>
    </rPh>
    <rPh sb="29" eb="31">
      <t>レンケイ</t>
    </rPh>
    <rPh sb="31" eb="32">
      <t>サキ</t>
    </rPh>
    <rPh sb="33" eb="35">
      <t>キギョウ</t>
    </rPh>
    <rPh sb="37" eb="39">
      <t>イケン</t>
    </rPh>
    <rPh sb="40" eb="42">
      <t>チョウシュ</t>
    </rPh>
    <rPh sb="173" eb="175">
      <t>コンゴ</t>
    </rPh>
    <rPh sb="177" eb="179">
      <t>レンケイ</t>
    </rPh>
    <rPh sb="179" eb="180">
      <t>サキ</t>
    </rPh>
    <rPh sb="180" eb="182">
      <t>キギョウ</t>
    </rPh>
    <rPh sb="182" eb="183">
      <t>トウ</t>
    </rPh>
    <rPh sb="211" eb="213">
      <t>カイゼン</t>
    </rPh>
    <rPh sb="213" eb="214">
      <t>トウ</t>
    </rPh>
    <rPh sb="215" eb="217">
      <t>カツヨウ</t>
    </rPh>
    <rPh sb="221" eb="223">
      <t>ヨテイ</t>
    </rPh>
    <phoneticPr fontId="1"/>
  </si>
  <si>
    <t>　主眼をあくまでも「数学的知識を必要としない」ということに置き、多くの学生にデータサイエンスへの気づきを持たせ、できるだけ多くの学生を導入科目から発展科目へ誘導することを意図している。令和４年度からの導入科目の必修化に向けて、企業と連携して作成した事例紹介動画を活用することで、担当教員間の教授内容の差が出ないように工夫を行う計画である。</t>
    <rPh sb="67" eb="69">
      <t>ドウニュウ</t>
    </rPh>
    <rPh sb="73" eb="75">
      <t>ハッテン</t>
    </rPh>
    <rPh sb="85" eb="87">
      <t>イト</t>
    </rPh>
    <rPh sb="100" eb="102">
      <t>ドウニュウ</t>
    </rPh>
    <rPh sb="102" eb="104">
      <t>カモク</t>
    </rPh>
    <rPh sb="124" eb="126">
      <t>ジレイ</t>
    </rPh>
    <rPh sb="126" eb="128">
      <t>ショウカイ</t>
    </rPh>
    <phoneticPr fontId="1"/>
  </si>
  <si>
    <t xml:space="preserve">　当該科目に関しては、令和４年度から全学必修化することが機関決定しており、令和2年度より試験的に授業を行いつつ、履修者数、履修率、単位取得率の向上に向けて推進している。
　本学は文系の学生が大半であるため、いかに数学の知識を必要とせずにデータサイエンスへの理解を深め、重要さを理解させていくかを主眼に講義内容・授業実施方法を調整している。また、当該科目で得た気づきを深めたい学生のために、さらなる学びにつながる履修モデルをデータリテラシー分科会で令和２年度から検討・計画を始め、令和３年度より発展科目の一部を開講している。
</t>
    <rPh sb="1" eb="3">
      <t>トウガイ</t>
    </rPh>
    <rPh sb="3" eb="5">
      <t>カモク</t>
    </rPh>
    <rPh sb="172" eb="176">
      <t>トウガイカモク</t>
    </rPh>
    <rPh sb="198" eb="199">
      <t>マナ</t>
    </rPh>
    <rPh sb="223" eb="225">
      <t>レイワ</t>
    </rPh>
    <rPh sb="226" eb="228">
      <t>ネンド</t>
    </rPh>
    <rPh sb="236" eb="237">
      <t>ハジ</t>
    </rPh>
    <rPh sb="239" eb="241">
      <t>レイワ</t>
    </rPh>
    <rPh sb="242" eb="244">
      <t>ネンド</t>
    </rPh>
    <rPh sb="246" eb="248">
      <t>ハッテン</t>
    </rPh>
    <rPh sb="248" eb="250">
      <t>カモク</t>
    </rPh>
    <rPh sb="251" eb="253">
      <t>イチブ</t>
    </rPh>
    <rPh sb="254" eb="256">
      <t>カイコウ</t>
    </rPh>
    <phoneticPr fontId="1"/>
  </si>
  <si>
    <t>　当該授業は令和２年度より開講されたため、当該授業を修得し、単位を修得して卒業した学生はいない。令和４年度からは全学必修化し、そのうえで企業と連携して開講する科目などで構成される発展科目群を設定し、当該科目群を履修した学生の進路・採用状況等を把握していく仕組みを設ける予定である。</t>
    <rPh sb="13" eb="15">
      <t>カイコウ</t>
    </rPh>
    <rPh sb="23" eb="25">
      <t>ジュギョウ</t>
    </rPh>
    <rPh sb="26" eb="28">
      <t>シュウトク</t>
    </rPh>
    <rPh sb="30" eb="32">
      <t>タンイ</t>
    </rPh>
    <rPh sb="84" eb="86">
      <t>コウセイ</t>
    </rPh>
    <rPh sb="89" eb="91">
      <t>ハッテン</t>
    </rPh>
    <rPh sb="91" eb="93">
      <t>カモク</t>
    </rPh>
    <rPh sb="93" eb="94">
      <t>グン</t>
    </rPh>
    <rPh sb="95" eb="97">
      <t>セッテイ</t>
    </rPh>
    <rPh sb="99" eb="101">
      <t>トウガイ</t>
    </rPh>
    <rPh sb="101" eb="104">
      <t>カモクグン</t>
    </rPh>
    <rPh sb="105" eb="107">
      <t>リシュウ</t>
    </rPh>
    <phoneticPr fontId="1"/>
  </si>
  <si>
    <t>　データには4つの尺度があり、名義・順序尺度のデータを質的変数、間隔・比率尺度のデータを量的変数と呼ぶことを学ぶ。
　データの特徴を知るために、代表値と散布度を算出することやヒストグラムを作成することが重要であることを理解する。また、代表値・散布度の指標として利用されるそれぞれの値の性質を理解する。
　科学的な説明とは因果的な説明のことであり、擬似相関や交絡変数の影響もあり、相関関係があったからといって因果関係があるとは限らないことを理解する。また、相関係数の性質について学ぶ。
　悉皆調査（全数調査）と標本調査の違いを学び、母集団・母数・サンプル数・サンプルサイズといった間違えやすい用語についての理解を深める。調査のための標本抽出には単純無作為抽出、系統抽出、多段抽出、層化抽出といった手法があることを知る。
　不適切な二重軸や傾向線によって誇張されて表現されているグラフを紹介し、統計情報の正しい理解の重要性を理解する。
　データの表現には棒グラフ、ボックスプロット、ヒートマップ、帯グラフ、折れ線グラフ、散布図、バブルチャートなど、さまざまな表現方法があり、データの特徴にあわせて適切なグラフを作成しなければいけないこと、グラフ作成の際には不必要な視覚的要素を避けなければならないことを理解する。データを説明するためには比較が重要であり、比較すべき内容がわかるように作図する必要があることを理解する。また、伝えるための優れた可視化事例を知る。
　</t>
    <rPh sb="9" eb="11">
      <t>シャクド</t>
    </rPh>
    <rPh sb="27" eb="29">
      <t>シツテキ</t>
    </rPh>
    <rPh sb="44" eb="46">
      <t>リョウテキ</t>
    </rPh>
    <rPh sb="46" eb="48">
      <t>ヘンスウ</t>
    </rPh>
    <rPh sb="63" eb="65">
      <t>トクチョウ</t>
    </rPh>
    <rPh sb="66" eb="67">
      <t>シ</t>
    </rPh>
    <rPh sb="72" eb="75">
      <t>ダイヒョウチ</t>
    </rPh>
    <rPh sb="76" eb="78">
      <t>サンプ</t>
    </rPh>
    <rPh sb="78" eb="79">
      <t>ド</t>
    </rPh>
    <rPh sb="80" eb="82">
      <t>サンシュツ</t>
    </rPh>
    <rPh sb="94" eb="96">
      <t>サクセイ</t>
    </rPh>
    <rPh sb="101" eb="103">
      <t>ジュウヨウ</t>
    </rPh>
    <rPh sb="109" eb="111">
      <t>リカイ</t>
    </rPh>
    <rPh sb="117" eb="120">
      <t>ダイヒョウチ</t>
    </rPh>
    <rPh sb="121" eb="123">
      <t>サンプ</t>
    </rPh>
    <rPh sb="123" eb="124">
      <t>ド</t>
    </rPh>
    <rPh sb="125" eb="127">
      <t>シヒョウ</t>
    </rPh>
    <rPh sb="130" eb="132">
      <t>リヨウ</t>
    </rPh>
    <rPh sb="140" eb="141">
      <t>アタイ</t>
    </rPh>
    <rPh sb="142" eb="144">
      <t>セイシツ</t>
    </rPh>
    <rPh sb="145" eb="147">
      <t>リカイ</t>
    </rPh>
    <rPh sb="152" eb="155">
      <t>カガクテキ</t>
    </rPh>
    <rPh sb="156" eb="158">
      <t>セツメイ</t>
    </rPh>
    <rPh sb="227" eb="231">
      <t>ソウカンケイスウ</t>
    </rPh>
    <rPh sb="232" eb="234">
      <t>セイシツ</t>
    </rPh>
    <rPh sb="238" eb="239">
      <t>マナ</t>
    </rPh>
    <rPh sb="243" eb="247">
      <t>シッカイチョウサ</t>
    </rPh>
    <rPh sb="248" eb="252">
      <t>ゼンスウチョウサ</t>
    </rPh>
    <rPh sb="254" eb="258">
      <t>ヒョウホンチョウサ</t>
    </rPh>
    <rPh sb="259" eb="260">
      <t>チガ</t>
    </rPh>
    <rPh sb="262" eb="263">
      <t>マナ</t>
    </rPh>
    <rPh sb="265" eb="268">
      <t>ボシュウダン</t>
    </rPh>
    <rPh sb="269" eb="271">
      <t>ボスウ</t>
    </rPh>
    <rPh sb="276" eb="277">
      <t>スウ</t>
    </rPh>
    <rPh sb="289" eb="291">
      <t>マチガ</t>
    </rPh>
    <rPh sb="295" eb="297">
      <t>ヨウゴ</t>
    </rPh>
    <rPh sb="302" eb="304">
      <t>リカイ</t>
    </rPh>
    <rPh sb="305" eb="306">
      <t>フカ</t>
    </rPh>
    <rPh sb="309" eb="311">
      <t>チョウサ</t>
    </rPh>
    <rPh sb="315" eb="319">
      <t>ヒョウホンチュウシュツ</t>
    </rPh>
    <rPh sb="321" eb="323">
      <t>タンジュン</t>
    </rPh>
    <rPh sb="323" eb="328">
      <t>ムサクイチュウシュツ</t>
    </rPh>
    <rPh sb="329" eb="331">
      <t>ケイトウ</t>
    </rPh>
    <rPh sb="331" eb="333">
      <t>チュウシュツ</t>
    </rPh>
    <rPh sb="334" eb="336">
      <t>タダン</t>
    </rPh>
    <rPh sb="336" eb="338">
      <t>チュウシュツ</t>
    </rPh>
    <rPh sb="339" eb="341">
      <t>ソウカ</t>
    </rPh>
    <rPh sb="341" eb="343">
      <t>チュウシュツ</t>
    </rPh>
    <rPh sb="347" eb="349">
      <t>シュホウ</t>
    </rPh>
    <rPh sb="355" eb="356">
      <t>シ</t>
    </rPh>
    <rPh sb="360" eb="363">
      <t>フテキセツ</t>
    </rPh>
    <rPh sb="364" eb="367">
      <t>ニジュウジク</t>
    </rPh>
    <rPh sb="368" eb="370">
      <t>ケイコウ</t>
    </rPh>
    <rPh sb="370" eb="371">
      <t>セン</t>
    </rPh>
    <rPh sb="375" eb="377">
      <t>コチョウ</t>
    </rPh>
    <rPh sb="380" eb="382">
      <t>ヒョウゲン</t>
    </rPh>
    <rPh sb="391" eb="393">
      <t>ショウカイ</t>
    </rPh>
    <rPh sb="395" eb="399">
      <t>トウケイジョウホウ</t>
    </rPh>
    <rPh sb="400" eb="401">
      <t>タダ</t>
    </rPh>
    <rPh sb="403" eb="405">
      <t>リカイ</t>
    </rPh>
    <rPh sb="406" eb="409">
      <t>ジュウヨウセイ</t>
    </rPh>
    <rPh sb="410" eb="412">
      <t>リカイ</t>
    </rPh>
    <rPh sb="421" eb="423">
      <t>ヒョウゲン</t>
    </rPh>
    <rPh sb="425" eb="426">
      <t>ボウ</t>
    </rPh>
    <rPh sb="446" eb="447">
      <t>オビ</t>
    </rPh>
    <rPh sb="451" eb="452">
      <t>オ</t>
    </rPh>
    <rPh sb="453" eb="454">
      <t>セン</t>
    </rPh>
    <rPh sb="458" eb="461">
      <t>サンプズ</t>
    </rPh>
    <rPh sb="477" eb="481">
      <t>ヒョウゲンホウホウ</t>
    </rPh>
    <rPh sb="489" eb="491">
      <t>トクチョウ</t>
    </rPh>
    <rPh sb="496" eb="498">
      <t>テキセツ</t>
    </rPh>
    <rPh sb="503" eb="505">
      <t>サクセイ</t>
    </rPh>
    <rPh sb="520" eb="522">
      <t>サクセイ</t>
    </rPh>
    <rPh sb="523" eb="524">
      <t>サイ</t>
    </rPh>
    <rPh sb="526" eb="529">
      <t>フヒツヨウ</t>
    </rPh>
    <rPh sb="530" eb="532">
      <t>シカク</t>
    </rPh>
    <rPh sb="532" eb="535">
      <t>テキヨウソ</t>
    </rPh>
    <rPh sb="536" eb="537">
      <t>サ</t>
    </rPh>
    <rPh sb="549" eb="551">
      <t>リカイ</t>
    </rPh>
    <rPh sb="575" eb="577">
      <t>ヒカク</t>
    </rPh>
    <rPh sb="580" eb="582">
      <t>ナイヨウ</t>
    </rPh>
    <rPh sb="589" eb="591">
      <t>サクズ</t>
    </rPh>
    <rPh sb="593" eb="595">
      <t>ヒツヨウ</t>
    </rPh>
    <rPh sb="601" eb="603">
      <t>リカイ</t>
    </rPh>
    <phoneticPr fontId="1"/>
  </si>
  <si>
    <t>https://www.sophia.ac.jp/jpn/studentlife/risyu/overview-of-data-science.html</t>
    <phoneticPr fontId="1"/>
  </si>
  <si>
    <t xml:space="preserve">
④のとおり、令和３年度には、新入生ガイダンスの中ですべての新入生へ同科目の履修を促す情報提供を実施し、一定の効果を挙げている（春学期開講科目についてはほぼ定員充足の状態）。今後は、公式ウェブサイトに「データサイエンス概論」の特集ページを設け、学内外に広く周知している。また今後の入学者向けの情報提供として、2021年６月に発行予定の「大学案内」において、データサイエンス科目群や「データサイエンス概論」についても情報を掲載し、令和４年度からの必修化に向けた事前周知を行う予定。</t>
    <rPh sb="24" eb="25">
      <t>ナカ</t>
    </rPh>
    <rPh sb="30" eb="33">
      <t>シンニュウセイ</t>
    </rPh>
    <rPh sb="109" eb="111">
      <t>ガイロン</t>
    </rPh>
    <phoneticPr fontId="1"/>
  </si>
  <si>
    <t>①問題や考え方、事実などに関して、受け入れたり意見や結論を述べたりする前に、データに基づいて総合的に調査しようとする思考力
②エビデンスの収集と分析を通じて、情報に基づく結論や判断を生み出すために、体系的に問題、対象、作業を探索する能力と、複雑なテーマや問題を分解することでよりよく理解する能力</t>
    <rPh sb="1" eb="3">
      <t>モンダイ</t>
    </rPh>
    <rPh sb="4" eb="5">
      <t>カンガ</t>
    </rPh>
    <rPh sb="6" eb="7">
      <t>カタ</t>
    </rPh>
    <rPh sb="8" eb="10">
      <t>ジジツ</t>
    </rPh>
    <rPh sb="13" eb="14">
      <t>カン</t>
    </rPh>
    <rPh sb="17" eb="18">
      <t>ウ</t>
    </rPh>
    <rPh sb="19" eb="20">
      <t>イ</t>
    </rPh>
    <rPh sb="23" eb="25">
      <t>イケン</t>
    </rPh>
    <rPh sb="26" eb="28">
      <t>ケツロン</t>
    </rPh>
    <rPh sb="29" eb="30">
      <t>ノ</t>
    </rPh>
    <rPh sb="35" eb="36">
      <t>マエ</t>
    </rPh>
    <rPh sb="42" eb="43">
      <t>モト</t>
    </rPh>
    <rPh sb="46" eb="49">
      <t>ソウゴウテキ</t>
    </rPh>
    <rPh sb="50" eb="52">
      <t>チョウサ</t>
    </rPh>
    <rPh sb="58" eb="61">
      <t>シコウリョク</t>
    </rPh>
    <rPh sb="69" eb="71">
      <t>シュウシュウ</t>
    </rPh>
    <rPh sb="72" eb="74">
      <t>ブンセキ</t>
    </rPh>
    <rPh sb="75" eb="76">
      <t>ツウ</t>
    </rPh>
    <rPh sb="79" eb="81">
      <t>ジョウホウ</t>
    </rPh>
    <rPh sb="82" eb="83">
      <t>モト</t>
    </rPh>
    <rPh sb="85" eb="87">
      <t>ケツロン</t>
    </rPh>
    <rPh sb="88" eb="90">
      <t>ハンダン</t>
    </rPh>
    <rPh sb="91" eb="92">
      <t>ウ</t>
    </rPh>
    <rPh sb="93" eb="94">
      <t>ダ</t>
    </rPh>
    <rPh sb="99" eb="102">
      <t>タイケイテキ</t>
    </rPh>
    <rPh sb="103" eb="105">
      <t>モンダイ</t>
    </rPh>
    <rPh sb="106" eb="108">
      <t>タイショウ</t>
    </rPh>
    <rPh sb="109" eb="111">
      <t>サギョウ</t>
    </rPh>
    <rPh sb="112" eb="114">
      <t>タンサク</t>
    </rPh>
    <rPh sb="116" eb="118">
      <t>ノウリョク</t>
    </rPh>
    <rPh sb="120" eb="122">
      <t>フクザツ</t>
    </rPh>
    <rPh sb="127" eb="129">
      <t>モンダイ</t>
    </rPh>
    <rPh sb="130" eb="132">
      <t>ブンカイ</t>
    </rPh>
    <rPh sb="141" eb="143">
      <t>リカイ</t>
    </rPh>
    <rPh sb="145" eb="147">
      <t>ノウリョク</t>
    </rPh>
    <phoneticPr fontId="1"/>
  </si>
  <si>
    <t>sophia-geo-co@sophia.ac.jp</t>
    <phoneticPr fontId="1"/>
  </si>
  <si>
    <t xml:space="preserve">　当該科目は令和４年度以降入学生を対象とした新全学共通科目カリキュラムの中のデータサイエンス科目群の導入科目に位置づけられ、データを活用する力などを養うためにより高度なレベルで体系化された発展科目群の履修への動機づけを主な目的としている。
　学習意欲を高めるための取り組みとして、日常生活、ビジネス、公共政策の各分野においてAI・データサイエンスが活用されている多数の事例に触れることで、AI・データサイエンスを学ぶ重要性を認識する機会を提供している。事例の紹介には、実際にAI・データサイエンスを活用している外部企業と協働開発したオンデマンド動画教材を利用した、事前視聴による反転学習を実施している。動画教材は、アニメーションを多用するなど内容をわかりやすく理解できるよう工夫するとともに、同一科目を複数コマ開講するうえでの内容の平準化も意識している。
　また、事例のみならず統計学・データマイニング・機械学習で利用される手法を幅広く紹介する。各手法の数理的な理解ではなく、どのような時に利用され、分析結果がどのように活用されるのかを学ぶことを目的とし、文理問わず初学者にとって理解しやすい内容となるよう意識している。当該科目の履修に数学知識を前提とせず、本学の多くを占める人文・社会科学系分野を専攻する学生がデータリテラシーを身につけることに躊躇することがないように配慮している。また、各分析手法の数理的な理解や実際の統計解析パッケージ等を利用した分析手順といった内容の発展科目の履修へのインデックスとして機能するよう設計されている。
　当該科目の特色は、複数の学部の学生が同一授業を履修し、授業内で学生同士の協働学修・能動学修を実施することである。AI・データサイエンスの倫理的な側面・法的な側面・経済的な側面・技術的な側面など、専門分野が異なる多様な学生の意見に触れながら自らの考えを深めていくことができる。
</t>
    <phoneticPr fontId="1"/>
  </si>
  <si>
    <t>　令和２年度は主にモデルカリキュラムの「導入」「心得」を扱う科目と、主に「基礎」「選択」を扱う科目の２つのクォーター科目をパイロット科目として先行して開始したが、より多くの学生が本プログラムの内容を体系的に修得できるよう、令和3年度にはクォーター２科目を統合したセメスター科目として春秋の各学期に５コマずつ開講、対面授業とフルオンデマンド授業をそれぞれ展開し、総計1,500名の学生が履修している。
　令和４年度から当該科目が必修科目となることが機関決定されており、すべての１年生が当該科目を履修することになっているが、諸事情により再履修をしなければならない学生についても、フルオンデマンドでの再履修科目を提供することで、履修計画の妨げになることを防ぐことができる。また、本学に多く在籍する海外からの留学生の学習支援についても、オンデマンド教材を日・英両言語で対応することで、使用言語による壁を取り除くことができる。
　当該科目は、すでに学内で広く利用されているLMSを活用しており、フルオンデマンド授業のみならず、対面授業にあっても、反転授業のための動画教材・視聴や課題の提出、教員への質問・授業アンケートなどはLMSを通して実施している。LMSの活用により、教材の視聴状況や課題の提出状況・評定といった学生の学修成果を可視化している。
　これまで統計学やデータを扱うのに必要な数学を充分に学んでこなかった学生を対象とする補完科目として基礎的な統計学を学ぶためのレメディアル授業を開講する予定である。また、導入科目として位置づけられている当該科目の履修者のさらなる学びのための発展科目として手法の理解やツールの習得を目的とする授業や企業派遣講師による現場での実践を知る授業を展開予定であり、一部の発展科目を令和３年度より開講している。</t>
    <phoneticPr fontId="1"/>
  </si>
  <si>
    <t>　産業界との連携については、データサイエンス科目群の設置計画の初期段階から、長年データアナリスト・コンサルタントとして活躍している有識者を特任教員として招聘し、基盤教育検討ワーキンググループ下に設置されたデータサイエンス関係科目検討分科会のメンバーとして具体的なカリキュラム設計に関わるとともに、外部企業との連携を進めている。
　それにより、当該科目においては、実際にAI・データサイエンスを活用しているコンサルティング会社との協働によるオンデマンド動画教材の開発が実現した。また、アパレルや雑貨等を扱う総合卸商社からはビジネスの現場で用いられている実データの提供を受け、データハンドリングの演習などでの活用を予定している。
　導入科目の先には、モデルカリキュラムの応用基礎レベルへの対応も考慮して体系化された発展科目の配置を予定している。発展科目では、主にデータ分析手法（様々な解析手法・解析ソフトの活用方法、数理統計学などの学問理論）を学ぶ科目、主にデータ活用事例（実社会やアカデミックな場でのデータ活用の実践）を学ぶ科目、データを扱う態度（データ社会における倫理の問題）を養う科目など、より高度なレベルでテーマ別に体系化された科目を展開する。その中でも、特に実社会における分析手法や活用事例を扱う科目については、データ解析ソフトのベンダーやコンサルティング会社を中心とした複数の関連企業からの講師派遣が決定している。すでにいくつかの科目については令和3年度よりスタートさせており、今後、こうした企業との連携をさらに発展させていく計画である。
　また、大学が社会人プログラムとして提供している「プロフェッショナル・スタディーズ」では、複数の企業がアドバイザリーボードとして加わっている。ここで得られた社会実装についての知見などを学部教育にも反映させる計画があり、データサイエンス科目群もその対象となる。</t>
    <phoneticPr fontId="1"/>
  </si>
  <si>
    <t>　履修登録終了後に履修者データを分析、学部・学科等の属性や関連科目の履修登録状況の分析を実施。特定学部の学生の履修者数が多かったため、「データサイエンス概論」と同じ曜日・時限に開講している他科目の状況を確認し、開講時間帯の調整を行った。
　修得状況に関しては、成績評価状況のデータを分析したところ、履修中止者の多くが課題への負担感を理由に挙げていることが示され、課題の負荷を調整することとした。データリテラシー分科会で報告の上、改善等につなげている。　
　今後のアンケート作成・結果分析および自己点検・評価等はデータサイエンス領域（仮）で確認した後、基盤教育センター（仮）で実施していく予定である。</t>
    <rPh sb="44" eb="46">
      <t>ジッシ</t>
    </rPh>
    <rPh sb="76" eb="78">
      <t>ガイロン</t>
    </rPh>
    <rPh sb="80" eb="81">
      <t>オナ</t>
    </rPh>
    <rPh sb="82" eb="84">
      <t>ヨウビ</t>
    </rPh>
    <rPh sb="85" eb="87">
      <t>ジゲン</t>
    </rPh>
    <rPh sb="149" eb="151">
      <t>リシュウ</t>
    </rPh>
    <rPh sb="151" eb="153">
      <t>チュウシ</t>
    </rPh>
    <rPh sb="153" eb="154">
      <t>シャ</t>
    </rPh>
    <rPh sb="155" eb="156">
      <t>オオ</t>
    </rPh>
    <rPh sb="158" eb="160">
      <t>カダイ</t>
    </rPh>
    <rPh sb="162" eb="164">
      <t>フタン</t>
    </rPh>
    <rPh sb="164" eb="165">
      <t>カン</t>
    </rPh>
    <rPh sb="166" eb="168">
      <t>リユウ</t>
    </rPh>
    <rPh sb="169" eb="170">
      <t>ア</t>
    </rPh>
    <rPh sb="177" eb="178">
      <t>シメ</t>
    </rPh>
    <rPh sb="263" eb="265">
      <t>リョウイキ</t>
    </rPh>
    <rPh sb="266" eb="267">
      <t>カリ</t>
    </rPh>
    <rPh sb="284" eb="285">
      <t>カリ</t>
    </rPh>
    <phoneticPr fontId="1"/>
  </si>
  <si>
    <t>　毎回の授業後に受講者全員に対して実施している授業アンケートで、「授業について」という項目を設け、①説明・教材の分かりやすさ、②知的に刺激されたか、③多様な考えが身についたか、④内容が難しかったかという観点から理解度の確認を行っている。「分かりやすかった」という評価を受講生から受けており、データリテラシー分科会で結果の共有を行った。事例紹介を動画コンテンツを使って説明した点が高評価の要因と考えられるため、担当全教員で動画コンテンツを利用した事例紹介を取り入れ、授業実施することとした。
　今後はデータサイエンス領域（仮）で結果共有を行い、基盤教育センター（仮）で点検・評価を行っていく計画である。</t>
    <rPh sb="257" eb="259">
      <t>リョウイキ</t>
    </rPh>
    <rPh sb="260" eb="261">
      <t>カリ</t>
    </rPh>
    <rPh sb="280" eb="281">
      <t>カリ</t>
    </rPh>
    <phoneticPr fontId="1"/>
  </si>
  <si>
    <t>　毎回の授業後に受講者全員に対して実施している授業アンケートにおいて、「今後友人や後輩に履修を勧めたいか」という項目に対して0～10の11段階の尺度で確認している。0～6を批判者、7～8を中立者、9～10を推奨者とするネットプロモータースコアの手法で分析したところ、初回は課題の量の多さや内容が抽象的という理由から批判者が多かったが、最終的には授業内容や指導方法を理由とする推奨者が圧倒的に多くなった。
　令和２年度はクォーター開講であったが、令和３年度からはセメスター開講とすることで、推奨度がどのように推移するかデータリテラシー領域（仮）で確認し、基盤教育センター（仮）で評価する計画である。</t>
    <rPh sb="269" eb="270">
      <t>カリ</t>
    </rPh>
    <rPh sb="285" eb="286">
      <t>カリ</t>
    </rPh>
    <phoneticPr fontId="1"/>
  </si>
  <si>
    <t>日常生活とデータサイエンス（第２回）、ビジネスとデータサイエンス（第３回）、政策決定・政策評価とデータサイエンス（第４回）</t>
    <phoneticPr fontId="1"/>
  </si>
  <si>
    <t>　予測やグルーピング、パターン発見といったデータマイニング・機械学習領域で用いられる手法の考え方を知る。
　複合グラフ、2次元グラフ、多次元グラフといったさまざまな表現方法のグラフでデータを可視化することにより、データの特徴を把握することの重要性を理解する。
　製造や金融、ウェブサービス、公共、ヘルスケアといった各分野の事例を知ることで、画像や動画、テキストや音声といった非構造化データが利用されていることを知る。また、事例から今のAIで出来ることと出来ないことがあることを学ぶ。
　異常値検知の事例を通して、ルールベースとの対比により機械学習の概要を学ぶ。
　①業務理解と課題の設定、②データ収集とデータ理解、③データの準備、④数理モデルの構築、④数理モデルの評価、⑤ビジネス施策の実行、というデータマイニング（探索的データ解析）のプロセス（CRISP-DMモデル）を通して、データサイエンスのサイクルを学ぶ。</t>
    <rPh sb="1" eb="3">
      <t>ヨソク</t>
    </rPh>
    <rPh sb="15" eb="17">
      <t>ハッケン</t>
    </rPh>
    <rPh sb="30" eb="34">
      <t>キカイガクシュウ</t>
    </rPh>
    <rPh sb="34" eb="36">
      <t>リョウイキ</t>
    </rPh>
    <rPh sb="37" eb="38">
      <t>モチ</t>
    </rPh>
    <rPh sb="42" eb="44">
      <t>シュホウ</t>
    </rPh>
    <rPh sb="45" eb="46">
      <t>カンガ</t>
    </rPh>
    <rPh sb="47" eb="48">
      <t>カタ</t>
    </rPh>
    <rPh sb="49" eb="50">
      <t>シ</t>
    </rPh>
    <rPh sb="54" eb="56">
      <t>フクゴウ</t>
    </rPh>
    <rPh sb="61" eb="63">
      <t>ジゲン</t>
    </rPh>
    <rPh sb="67" eb="70">
      <t>タジゲン</t>
    </rPh>
    <rPh sb="82" eb="86">
      <t>ヒョウゲンホウホウ</t>
    </rPh>
    <rPh sb="95" eb="98">
      <t>カシカ</t>
    </rPh>
    <rPh sb="110" eb="112">
      <t>トクチョウ</t>
    </rPh>
    <rPh sb="113" eb="115">
      <t>ハアク</t>
    </rPh>
    <rPh sb="120" eb="123">
      <t>ジュウヨウセイ</t>
    </rPh>
    <rPh sb="124" eb="126">
      <t>リカイ</t>
    </rPh>
    <rPh sb="164" eb="165">
      <t>シ</t>
    </rPh>
    <rPh sb="170" eb="172">
      <t>ガゾウ</t>
    </rPh>
    <rPh sb="173" eb="175">
      <t>ドウガ</t>
    </rPh>
    <rPh sb="181" eb="183">
      <t>オンセイ</t>
    </rPh>
    <rPh sb="187" eb="191">
      <t>ヒコウゾウカ</t>
    </rPh>
    <rPh sb="195" eb="197">
      <t>リヨウ</t>
    </rPh>
    <rPh sb="205" eb="206">
      <t>シ</t>
    </rPh>
    <rPh sb="211" eb="213">
      <t>ジレイ</t>
    </rPh>
    <rPh sb="215" eb="216">
      <t>イマ</t>
    </rPh>
    <rPh sb="220" eb="222">
      <t>デキ</t>
    </rPh>
    <rPh sb="226" eb="228">
      <t>デキ</t>
    </rPh>
    <rPh sb="238" eb="239">
      <t>マナ</t>
    </rPh>
    <rPh sb="243" eb="246">
      <t>イジョウチ</t>
    </rPh>
    <rPh sb="246" eb="248">
      <t>ケンチ</t>
    </rPh>
    <rPh sb="249" eb="251">
      <t>ジレイ</t>
    </rPh>
    <rPh sb="252" eb="253">
      <t>トオ</t>
    </rPh>
    <rPh sb="264" eb="266">
      <t>タイヒ</t>
    </rPh>
    <rPh sb="269" eb="273">
      <t>キカイガクシュウ</t>
    </rPh>
    <rPh sb="274" eb="276">
      <t>ガイヨウ</t>
    </rPh>
    <rPh sb="277" eb="278">
      <t>マナ</t>
    </rPh>
    <rPh sb="283" eb="285">
      <t>ギョウム</t>
    </rPh>
    <rPh sb="285" eb="287">
      <t>リカイ</t>
    </rPh>
    <rPh sb="288" eb="290">
      <t>カダイ</t>
    </rPh>
    <rPh sb="291" eb="293">
      <t>セッテイ</t>
    </rPh>
    <rPh sb="298" eb="300">
      <t>シュウシュウ</t>
    </rPh>
    <rPh sb="304" eb="306">
      <t>リカイ</t>
    </rPh>
    <rPh sb="312" eb="314">
      <t>ジュンビ</t>
    </rPh>
    <rPh sb="316" eb="318">
      <t>スウリ</t>
    </rPh>
    <rPh sb="322" eb="324">
      <t>コウチク</t>
    </rPh>
    <rPh sb="326" eb="328">
      <t>スウリ</t>
    </rPh>
    <rPh sb="332" eb="334">
      <t>ヒョウカ</t>
    </rPh>
    <rPh sb="340" eb="342">
      <t>シサク</t>
    </rPh>
    <rPh sb="343" eb="345">
      <t>ジッコウ</t>
    </rPh>
    <rPh sb="358" eb="361">
      <t>タンサクテキ</t>
    </rPh>
    <rPh sb="364" eb="366">
      <t>カイセキ</t>
    </rPh>
    <rPh sb="386" eb="387">
      <t>トオ</t>
    </rPh>
    <rPh sb="404" eb="405">
      <t>マナ</t>
    </rPh>
    <phoneticPr fontId="1"/>
  </si>
  <si>
    <t>特徴を理解する（第１回）、知識を発見する、再生成する（第４回）</t>
    <rPh sb="0" eb="2">
      <t>トクチョウ</t>
    </rPh>
    <rPh sb="3" eb="5">
      <t>リカイ</t>
    </rPh>
    <rPh sb="8" eb="9">
      <t>ダイ</t>
    </rPh>
    <rPh sb="10" eb="11">
      <t>カイ</t>
    </rPh>
    <phoneticPr fontId="1"/>
  </si>
  <si>
    <t>有</t>
  </si>
  <si>
    <r>
      <t xml:space="preserve">
各年度の履修者数の目標を以下のとおりとする。
※（　）内は履修率。全学生数（1学年3,000名として12,000名）を分母とし、累積の履修率を算出。
令和３年度　1,500名　（12.5％）
令和４年度　3,000名　（37.5％）
令和５年度　3,000名　（62.5％）
令和６年度　3,000名　（87.5％）
令和７年度　3,000名　（100％）
　目標を実現するために、以下のような取り組みを実施・計画している。
　令和２年度には、令和４年度の全学共通科目カリキュラム刷新に先立ちパイロット科目を開設し、MDASHに準拠する内容で実施した。
　令和３年度は、クォーター２科目をセメスター１科目に統合し、春学期５コマ、秋学期</t>
    </r>
    <r>
      <rPr>
        <sz val="12"/>
        <rFont val="ＭＳ Ｐゴシック"/>
        <family val="3"/>
        <charset val="128"/>
      </rPr>
      <t>５</t>
    </r>
    <r>
      <rPr>
        <sz val="12"/>
        <rFont val="ＭＳ Ｐゴシック"/>
        <family val="3"/>
        <charset val="128"/>
        <scheme val="minor"/>
      </rPr>
      <t>コマ、計10コマを開講し、総計1,500名分の枠を用意した。あわせて、コロナ禍の状況も踏まえて対面型／オンデマンド型という授業方法の異なる科目を用意、学生の状況に合わせた履修を可能とし、新入生ガイダンスにおける学長・副学長講話においては、同科目の履修を促す情報提供を実施した。
　令和４年度からは、MDASHに準拠した「データサイエンス概論」を全学必修とする予定。</t>
    </r>
    <rPh sb="226" eb="227">
      <t>ワ</t>
    </rPh>
    <phoneticPr fontId="1"/>
  </si>
  <si>
    <r>
      <t>座長：　伊呂原　隆　（学事センター長／理工学部情報理工学科・教授）
委員：　大塚　寿郎　（学務担当副学長／文学部英文学科・教授）
　　　　　藤村　正之　（高大連携担当副学長／総合人間科学部社会学科・教授）
　　　　　川端　　亮　（情報科学教育研究センター長</t>
    </r>
    <r>
      <rPr>
        <sz val="10"/>
        <rFont val="ＭＳ Ｐゴシック"/>
        <family val="3"/>
        <charset val="128"/>
        <scheme val="minor"/>
      </rPr>
      <t>※１</t>
    </r>
    <r>
      <rPr>
        <sz val="12"/>
        <rFont val="ＭＳ Ｐゴシック"/>
        <family val="3"/>
        <charset val="128"/>
        <scheme val="minor"/>
      </rPr>
      <t>／理工学部情報理工学科・准教授）
　　　　　田村　恭久　（データサイエンス概論担当／理工学部情報理工学科・教授）
　　　　　鎌田　浩史　（データサイエンス概論担当／グローバル教育センター・</t>
    </r>
    <r>
      <rPr>
        <sz val="10"/>
        <rFont val="ＭＳ Ｐゴシック"/>
        <family val="3"/>
        <charset val="128"/>
        <scheme val="minor"/>
      </rPr>
      <t>非常勤講師※２</t>
    </r>
    <r>
      <rPr>
        <sz val="12"/>
        <rFont val="ＭＳ Ｐゴシック"/>
        <family val="3"/>
        <charset val="128"/>
        <scheme val="minor"/>
      </rPr>
      <t>）
　　　　　権　　善喜　（データサイエンス概論担当予定／グローバル教育センター・特任助教）
　　　　　百瀬　公朗　（上智大学・特任教授）
　　　　　倉田　正充　（経済学部経済学科・准教授）
　　　　　小山 デニス　（国際教養学部国際教養学科・助教）
　　　　　相生　芳晴　（IR推進室・室長【事務職員】）
事務局　渡邉　英司　（経営企画グループ・主幹【事務職員】）
 　　　　　落合　美加　（経営企画グループ・チームリーダー【事務職員】）
※１：　2021年度現在開講されている全学共通科目（旧カリキュラム）において、情報系科目（情報リテラシーや情報フルエンシ―）を開講、統括する組織の長。
※２：　本属は本学の事務職員（IR推進室・課員）</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</si>
</sst>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2"/>
      <name val="ＭＳ Ｐゴシック"/>
      <family val="3"/>
      <charset val="128"/>
    </font>
    <font>
      <sz val="1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3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10" xfId="0" applyFont="1" applyBorder="1" applyAlignment="1">
      <alignment vertical="center" shrinkToFit="1"/>
    </xf>
    <xf numFmtId="0" fontId="9" fillId="0" borderId="0" xfId="0" applyFont="1" applyFill="1">
      <alignment vertical="center"/>
    </xf>
    <xf numFmtId="0" fontId="9" fillId="0" borderId="5" xfId="0" applyFont="1" applyBorder="1" applyAlignment="1">
      <alignment vertical="center" shrinkToFit="1"/>
    </xf>
    <xf numFmtId="176" fontId="9" fillId="0" borderId="5" xfId="0" applyNumberFormat="1" applyFont="1" applyFill="1" applyBorder="1" applyAlignment="1">
      <alignment vertical="center" shrinkToFit="1"/>
    </xf>
    <xf numFmtId="176" fontId="9" fillId="0" borderId="33" xfId="0" applyNumberFormat="1" applyFont="1" applyFill="1" applyBorder="1" applyAlignment="1">
      <alignment vertical="center" shrinkToFit="1"/>
    </xf>
    <xf numFmtId="0" fontId="9" fillId="0" borderId="20" xfId="0" applyFont="1" applyBorder="1" applyAlignment="1">
      <alignment vertical="center" shrinkToFit="1"/>
    </xf>
    <xf numFmtId="176" fontId="9" fillId="0" borderId="20" xfId="0" applyNumberFormat="1" applyFont="1" applyFill="1" applyBorder="1" applyAlignment="1">
      <alignment vertical="center" shrinkToFit="1"/>
    </xf>
    <xf numFmtId="176" fontId="9" fillId="0" borderId="35" xfId="0" applyNumberFormat="1" applyFont="1" applyFill="1" applyBorder="1" applyAlignment="1">
      <alignment vertical="center" shrinkToFit="1"/>
    </xf>
    <xf numFmtId="0" fontId="9" fillId="0" borderId="2" xfId="0" applyFont="1" applyBorder="1" applyAlignment="1">
      <alignment horizontal="center" vertical="center" shrinkToFit="1"/>
    </xf>
    <xf numFmtId="0" fontId="10" fillId="0" borderId="1" xfId="0" applyFont="1" applyFill="1" applyBorder="1" applyAlignment="1">
      <alignment vertical="center" wrapText="1"/>
    </xf>
    <xf numFmtId="49" fontId="7" fillId="0" borderId="2" xfId="2" applyNumberFormat="1" applyFill="1" applyBorder="1" applyAlignment="1">
      <alignment vertical="center" shrinkToFit="1"/>
    </xf>
    <xf numFmtId="49" fontId="7" fillId="0" borderId="3" xfId="3" applyNumberFormat="1" applyFill="1" applyBorder="1" applyAlignment="1">
      <alignment vertical="center" shrinkToFit="1"/>
    </xf>
    <xf numFmtId="49" fontId="7" fillId="0" borderId="4" xfId="3" applyNumberFormat="1" applyFill="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9" fillId="0" borderId="20" xfId="0" applyFont="1" applyFill="1" applyBorder="1" applyAlignment="1">
      <alignment vertical="center" shrinkToFit="1"/>
    </xf>
    <xf numFmtId="0" fontId="9" fillId="0" borderId="19" xfId="0" applyFont="1" applyFill="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9" fillId="0" borderId="15" xfId="0" applyFont="1" applyFill="1" applyBorder="1" applyAlignment="1">
      <alignment vertical="center" shrinkToFit="1"/>
    </xf>
    <xf numFmtId="0" fontId="9" fillId="0" borderId="39" xfId="0" applyFont="1" applyFill="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7" xfId="0" applyFont="1" applyFill="1" applyBorder="1" applyAlignment="1">
      <alignment vertical="top" wrapText="1" shrinkToFit="1"/>
    </xf>
    <xf numFmtId="0" fontId="9" fillId="0" borderId="8" xfId="0" applyFont="1" applyFill="1" applyBorder="1" applyAlignment="1">
      <alignment vertical="top" shrinkToFit="1"/>
    </xf>
    <xf numFmtId="0" fontId="9" fillId="0" borderId="9" xfId="0" applyFont="1" applyFill="1" applyBorder="1" applyAlignment="1">
      <alignment vertical="top" shrinkToFit="1"/>
    </xf>
    <xf numFmtId="0" fontId="9" fillId="0" borderId="5" xfId="0" applyFont="1" applyFill="1" applyBorder="1" applyAlignment="1">
      <alignment vertical="top" shrinkToFit="1"/>
    </xf>
    <xf numFmtId="0" fontId="9" fillId="0" borderId="0" xfId="0" applyFont="1" applyFill="1" applyBorder="1" applyAlignment="1">
      <alignment vertical="top" shrinkToFit="1"/>
    </xf>
    <xf numFmtId="0" fontId="9" fillId="0" borderId="10" xfId="0" applyFont="1" applyFill="1" applyBorder="1" applyAlignment="1">
      <alignment vertical="top" shrinkToFit="1"/>
    </xf>
    <xf numFmtId="0" fontId="9" fillId="0" borderId="11" xfId="0" applyFont="1" applyFill="1" applyBorder="1" applyAlignment="1">
      <alignment vertical="top" shrinkToFit="1"/>
    </xf>
    <xf numFmtId="0" fontId="9" fillId="0" borderId="6" xfId="0" applyFont="1" applyFill="1" applyBorder="1" applyAlignment="1">
      <alignment vertical="top" shrinkToFit="1"/>
    </xf>
    <xf numFmtId="0" fontId="9" fillId="0" borderId="12" xfId="0" applyFont="1" applyFill="1" applyBorder="1" applyAlignment="1">
      <alignment vertical="top" shrinkToFit="1"/>
    </xf>
    <xf numFmtId="0" fontId="7" fillId="0" borderId="2" xfId="2"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5" xfId="0" applyFont="1" applyBorder="1" applyAlignment="1">
      <alignment horizontal="left" vertical="center" wrapText="1"/>
    </xf>
    <xf numFmtId="0" fontId="9" fillId="0" borderId="0" xfId="0" applyFont="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6" xfId="0" applyFont="1" applyBorder="1" applyAlignment="1">
      <alignment horizontal="left" vertical="center" wrapText="1"/>
    </xf>
    <xf numFmtId="0" fontId="9" fillId="0" borderId="12" xfId="0" applyFont="1" applyBorder="1" applyAlignment="1">
      <alignment horizontal="left" vertical="center" wrapText="1"/>
    </xf>
    <xf numFmtId="0" fontId="9" fillId="0" borderId="7"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5" xfId="0" applyFont="1" applyBorder="1" applyAlignment="1">
      <alignment horizontal="left" vertical="center" shrinkToFit="1"/>
    </xf>
    <xf numFmtId="0" fontId="9" fillId="0" borderId="0" xfId="0" applyFont="1" applyBorder="1" applyAlignment="1">
      <alignment horizontal="left" vertical="center" shrinkToFit="1"/>
    </xf>
    <xf numFmtId="0" fontId="9" fillId="0" borderId="10"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5" xfId="0" applyFont="1" applyBorder="1" applyAlignment="1">
      <alignment horizontal="left" vertical="center" wrapText="1" shrinkToFit="1"/>
    </xf>
    <xf numFmtId="0" fontId="9" fillId="0" borderId="0" xfId="0" applyFont="1" applyBorder="1" applyAlignment="1">
      <alignment horizontal="left" vertical="center" wrapText="1" shrinkToFit="1"/>
    </xf>
    <xf numFmtId="0" fontId="9" fillId="0" borderId="10" xfId="0" applyFont="1" applyBorder="1" applyAlignment="1">
      <alignment horizontal="left" vertical="center" wrapText="1" shrinkToFit="1"/>
    </xf>
    <xf numFmtId="0" fontId="9" fillId="0" borderId="11"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9"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0" xfId="0" applyFont="1" applyBorder="1" applyAlignment="1">
      <alignment vertical="top" wrapText="1" shrinkToFi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20" xfId="0" applyFont="1" applyFill="1" applyBorder="1" applyAlignment="1">
      <alignment vertical="top" wrapText="1" shrinkToFit="1"/>
    </xf>
    <xf numFmtId="0" fontId="9" fillId="0" borderId="21" xfId="0" applyFont="1" applyFill="1" applyBorder="1" applyAlignment="1">
      <alignment vertical="top" wrapText="1" shrinkToFit="1"/>
    </xf>
    <xf numFmtId="0" fontId="9" fillId="0" borderId="19" xfId="0" applyFont="1" applyFill="1" applyBorder="1" applyAlignment="1">
      <alignment vertical="top" wrapText="1" shrinkToFi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49" fontId="9" fillId="0" borderId="7" xfId="0" applyNumberFormat="1" applyFont="1" applyBorder="1" applyAlignment="1">
      <alignment horizontal="left" vertical="top" wrapText="1" shrinkToFit="1"/>
    </xf>
    <xf numFmtId="49" fontId="9" fillId="0" borderId="8" xfId="0" applyNumberFormat="1" applyFont="1" applyBorder="1" applyAlignment="1">
      <alignment horizontal="left" vertical="top" shrinkToFit="1"/>
    </xf>
    <xf numFmtId="49" fontId="9" fillId="0" borderId="9" xfId="0" applyNumberFormat="1" applyFont="1" applyBorder="1" applyAlignment="1">
      <alignment horizontal="left" vertical="top" shrinkToFit="1"/>
    </xf>
    <xf numFmtId="49" fontId="9" fillId="0" borderId="5" xfId="0" applyNumberFormat="1" applyFont="1" applyBorder="1" applyAlignment="1">
      <alignment horizontal="left" vertical="top" shrinkToFit="1"/>
    </xf>
    <xf numFmtId="49" fontId="9" fillId="0" borderId="0" xfId="0" applyNumberFormat="1" applyFont="1" applyBorder="1" applyAlignment="1">
      <alignment horizontal="left" vertical="top" shrinkToFit="1"/>
    </xf>
    <xf numFmtId="49" fontId="9" fillId="0" borderId="10" xfId="0" applyNumberFormat="1" applyFont="1" applyBorder="1" applyAlignment="1">
      <alignment horizontal="left" vertical="top" shrinkToFit="1"/>
    </xf>
    <xf numFmtId="49" fontId="9" fillId="0" borderId="11" xfId="0" applyNumberFormat="1" applyFont="1" applyBorder="1" applyAlignment="1">
      <alignment horizontal="left" vertical="top" shrinkToFit="1"/>
    </xf>
    <xf numFmtId="49" fontId="9" fillId="0" borderId="6" xfId="0" applyNumberFormat="1" applyFont="1" applyBorder="1" applyAlignment="1">
      <alignment horizontal="left" vertical="top" shrinkToFit="1"/>
    </xf>
    <xf numFmtId="49" fontId="9" fillId="0" borderId="12" xfId="0" applyNumberFormat="1" applyFont="1" applyBorder="1" applyAlignment="1">
      <alignment horizontal="left" vertical="top"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cellXfs>
  <cellStyles count="4">
    <cellStyle name="Hyperlink" xfId="3" xr:uid="{803D2E48-E716-42B6-BBA4-DE27B385EA66}"/>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ophia-geo-co@sophi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ophia.ac.jp/jpn/studentlife/risyu/overview-of-data-science.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ophia.ac.jp/jpn/studentlife/risyu/overview-of-data-science.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abSelected="1" view="pageBreakPreview" zoomScale="60" zoomScaleNormal="100" workbookViewId="0">
      <selection activeCell="V41" sqref="V41"/>
    </sheetView>
  </sheetViews>
  <sheetFormatPr defaultColWidth="9" defaultRowHeight="18.75" customHeight="1" x14ac:dyDescent="0.15"/>
  <cols>
    <col min="1" max="1" width="2.5" style="27" customWidth="1"/>
    <col min="2" max="2" width="12.5" style="27" customWidth="1"/>
    <col min="3" max="8" width="6.25" style="27" customWidth="1"/>
    <col min="9" max="9" width="2.5" style="27" customWidth="1"/>
    <col min="10" max="10" width="10" style="27" customWidth="1"/>
    <col min="11" max="11" width="2.5" style="27" customWidth="1"/>
    <col min="12" max="12" width="7.5" style="27" customWidth="1"/>
    <col min="13" max="13" width="2.5" style="27" customWidth="1"/>
    <col min="14" max="14" width="7.5" style="27" customWidth="1"/>
    <col min="15" max="16384" width="9" style="27"/>
  </cols>
  <sheetData>
    <row r="1" spans="1:14" ht="22.5" customHeight="1" x14ac:dyDescent="0.15">
      <c r="M1" s="149" t="s">
        <v>29</v>
      </c>
      <c r="N1" s="149"/>
    </row>
    <row r="2" spans="1:14" ht="22.5" customHeight="1" x14ac:dyDescent="0.15">
      <c r="A2" s="154" t="s">
        <v>137</v>
      </c>
      <c r="B2" s="154"/>
      <c r="C2" s="154"/>
      <c r="D2" s="154"/>
      <c r="E2" s="154"/>
      <c r="F2" s="154"/>
      <c r="G2" s="154"/>
      <c r="H2" s="154"/>
      <c r="I2" s="154"/>
      <c r="J2" s="154"/>
      <c r="K2" s="154"/>
      <c r="L2" s="154"/>
      <c r="M2" s="154"/>
      <c r="N2" s="154"/>
    </row>
    <row r="3" spans="1:14" ht="22.5" customHeight="1" x14ac:dyDescent="0.15"/>
    <row r="4" spans="1:14" s="28" customFormat="1" ht="22.5" customHeight="1" x14ac:dyDescent="0.15">
      <c r="A4" s="28" t="s">
        <v>7</v>
      </c>
      <c r="B4" s="29" t="s">
        <v>20</v>
      </c>
      <c r="C4" s="133" t="s">
        <v>138</v>
      </c>
      <c r="D4" s="134"/>
      <c r="E4" s="134"/>
      <c r="F4" s="134"/>
      <c r="G4" s="134"/>
      <c r="H4" s="134"/>
      <c r="I4" s="134"/>
      <c r="J4" s="134"/>
      <c r="K4" s="134"/>
      <c r="L4" s="134"/>
      <c r="M4" s="134"/>
      <c r="N4" s="135"/>
    </row>
    <row r="5" spans="1:14" s="28" customFormat="1" ht="7.5" customHeight="1" x14ac:dyDescent="0.15">
      <c r="B5" s="29"/>
      <c r="C5" s="29"/>
      <c r="D5" s="29"/>
      <c r="E5" s="30"/>
      <c r="F5" s="111"/>
      <c r="G5" s="111"/>
      <c r="H5" s="111"/>
      <c r="I5" s="111"/>
      <c r="J5" s="111"/>
      <c r="K5" s="111"/>
      <c r="L5" s="111"/>
      <c r="M5" s="111"/>
      <c r="N5" s="111"/>
    </row>
    <row r="6" spans="1:14" s="28" customFormat="1" ht="22.5" customHeight="1" x14ac:dyDescent="0.15">
      <c r="A6" s="28" t="s">
        <v>56</v>
      </c>
      <c r="B6" s="29" t="s">
        <v>57</v>
      </c>
      <c r="C6" s="29"/>
      <c r="D6" s="133" t="s">
        <v>139</v>
      </c>
      <c r="E6" s="134"/>
      <c r="F6" s="134"/>
      <c r="G6" s="134"/>
      <c r="H6" s="134"/>
      <c r="I6" s="134"/>
      <c r="J6" s="134"/>
      <c r="K6" s="134"/>
      <c r="L6" s="134"/>
      <c r="M6" s="134"/>
      <c r="N6" s="135"/>
    </row>
    <row r="7" spans="1:14" s="28" customFormat="1" ht="7.5" customHeight="1" x14ac:dyDescent="0.15">
      <c r="B7" s="29"/>
      <c r="C7" s="29"/>
      <c r="D7" s="29"/>
      <c r="E7" s="30"/>
      <c r="F7" s="111"/>
      <c r="G7" s="111"/>
      <c r="H7" s="111"/>
      <c r="I7" s="111"/>
      <c r="J7" s="111"/>
      <c r="K7" s="111"/>
      <c r="L7" s="111"/>
      <c r="M7" s="111"/>
      <c r="N7" s="111"/>
    </row>
    <row r="8" spans="1:14" s="28" customFormat="1" ht="22.5" customHeight="1" x14ac:dyDescent="0.15">
      <c r="A8" s="31" t="s">
        <v>13</v>
      </c>
      <c r="B8" s="32" t="s">
        <v>58</v>
      </c>
      <c r="C8" s="133" t="s">
        <v>140</v>
      </c>
      <c r="D8" s="134"/>
      <c r="E8" s="135"/>
      <c r="F8" s="111"/>
      <c r="G8" s="153"/>
      <c r="H8" s="153"/>
      <c r="I8" s="153"/>
      <c r="J8" s="111"/>
      <c r="K8" s="111"/>
      <c r="L8" s="111"/>
      <c r="M8" s="111"/>
      <c r="N8" s="111"/>
    </row>
    <row r="9" spans="1:14" s="28" customFormat="1" ht="7.5" customHeight="1" x14ac:dyDescent="0.15">
      <c r="B9" s="29"/>
      <c r="C9" s="29"/>
      <c r="D9" s="29"/>
      <c r="E9" s="30"/>
      <c r="F9" s="111"/>
      <c r="G9" s="111"/>
      <c r="H9" s="111"/>
      <c r="I9" s="111"/>
      <c r="J9" s="111"/>
      <c r="K9" s="111"/>
      <c r="L9" s="111"/>
      <c r="M9" s="111"/>
      <c r="N9" s="111"/>
    </row>
    <row r="10" spans="1:14" s="28" customFormat="1" ht="22.5" customHeight="1" x14ac:dyDescent="0.15">
      <c r="A10" s="28" t="s">
        <v>17</v>
      </c>
      <c r="B10" s="29" t="s">
        <v>53</v>
      </c>
      <c r="C10" s="133" t="s">
        <v>141</v>
      </c>
      <c r="D10" s="134"/>
      <c r="E10" s="134"/>
      <c r="F10" s="134"/>
      <c r="G10" s="134"/>
      <c r="H10" s="134"/>
      <c r="I10" s="134"/>
      <c r="J10" s="134"/>
      <c r="K10" s="134"/>
      <c r="L10" s="134"/>
      <c r="M10" s="134"/>
      <c r="N10" s="135"/>
    </row>
    <row r="11" spans="1:14" s="28" customFormat="1" ht="7.5" customHeight="1" x14ac:dyDescent="0.15">
      <c r="B11" s="29"/>
      <c r="C11" s="29"/>
      <c r="D11" s="29"/>
      <c r="E11" s="30"/>
      <c r="F11" s="111"/>
      <c r="G11" s="111"/>
      <c r="H11" s="111"/>
      <c r="I11" s="111"/>
      <c r="J11" s="111"/>
      <c r="K11" s="111"/>
      <c r="L11" s="111"/>
      <c r="M11" s="111"/>
      <c r="N11" s="111"/>
    </row>
    <row r="12" spans="1:14" s="28" customFormat="1" ht="22.5" customHeight="1" x14ac:dyDescent="0.15">
      <c r="A12" s="28" t="s">
        <v>14</v>
      </c>
      <c r="B12" s="29" t="s">
        <v>133</v>
      </c>
      <c r="C12" s="29"/>
      <c r="D12" s="29"/>
      <c r="E12" s="111"/>
      <c r="F12" s="116"/>
      <c r="G12" s="141" t="s">
        <v>142</v>
      </c>
      <c r="H12" s="142"/>
      <c r="I12" s="142"/>
      <c r="J12" s="142"/>
      <c r="K12" s="142"/>
      <c r="L12" s="142"/>
      <c r="M12" s="142"/>
      <c r="N12" s="143"/>
    </row>
    <row r="13" spans="1:14" s="28" customFormat="1" ht="7.5" customHeight="1" x14ac:dyDescent="0.15">
      <c r="B13" s="30"/>
      <c r="C13" s="30"/>
      <c r="D13" s="30"/>
      <c r="E13" s="30"/>
      <c r="F13" s="111"/>
      <c r="G13" s="111"/>
      <c r="H13" s="111"/>
      <c r="I13" s="111"/>
      <c r="J13" s="111"/>
      <c r="K13" s="111"/>
      <c r="L13" s="111"/>
      <c r="M13" s="111"/>
      <c r="N13" s="111"/>
    </row>
    <row r="14" spans="1:14" s="28" customFormat="1" ht="22.5" customHeight="1" x14ac:dyDescent="0.15">
      <c r="A14" s="28" t="s">
        <v>68</v>
      </c>
      <c r="B14" s="30" t="s">
        <v>69</v>
      </c>
      <c r="C14" s="30"/>
      <c r="D14" s="30"/>
      <c r="E14" s="30"/>
      <c r="F14" s="133" t="s">
        <v>143</v>
      </c>
      <c r="G14" s="134"/>
      <c r="H14" s="135"/>
      <c r="I14" s="111"/>
      <c r="J14" s="111"/>
      <c r="K14" s="111"/>
      <c r="L14" s="111"/>
      <c r="M14" s="111"/>
      <c r="N14" s="111"/>
    </row>
    <row r="15" spans="1:14" s="28" customFormat="1" ht="7.5" customHeight="1" x14ac:dyDescent="0.15">
      <c r="B15" s="30"/>
      <c r="C15" s="30"/>
      <c r="D15" s="30"/>
      <c r="E15" s="30"/>
      <c r="F15" s="111"/>
      <c r="G15" s="111"/>
      <c r="H15" s="111"/>
      <c r="I15" s="111"/>
      <c r="J15" s="111"/>
      <c r="K15" s="111"/>
      <c r="L15" s="111"/>
      <c r="M15" s="111"/>
      <c r="N15" s="111"/>
    </row>
    <row r="16" spans="1:14" s="28" customFormat="1" ht="22.5" customHeight="1" x14ac:dyDescent="0.15">
      <c r="A16" s="28" t="s">
        <v>15</v>
      </c>
      <c r="B16" s="28" t="s">
        <v>0</v>
      </c>
      <c r="C16" s="150" t="s">
        <v>6</v>
      </c>
      <c r="D16" s="151"/>
      <c r="E16" s="136">
        <v>544</v>
      </c>
      <c r="F16" s="137"/>
      <c r="G16" s="33" t="s">
        <v>10</v>
      </c>
      <c r="I16" s="150" t="s">
        <v>11</v>
      </c>
      <c r="J16" s="151"/>
      <c r="K16" s="136">
        <v>890</v>
      </c>
      <c r="L16" s="152"/>
      <c r="M16" s="137"/>
      <c r="N16" s="34" t="s">
        <v>10</v>
      </c>
    </row>
    <row r="17" spans="1:14" s="28" customFormat="1" ht="7.5" customHeight="1" x14ac:dyDescent="0.15">
      <c r="F17" s="35"/>
      <c r="G17" s="35"/>
      <c r="H17" s="35"/>
      <c r="I17" s="35"/>
      <c r="J17" s="35"/>
      <c r="K17" s="35"/>
      <c r="L17" s="35"/>
      <c r="M17" s="34"/>
      <c r="N17" s="34"/>
    </row>
    <row r="18" spans="1:14" s="28" customFormat="1" ht="22.5" customHeight="1" x14ac:dyDescent="0.15">
      <c r="A18" s="28" t="s">
        <v>62</v>
      </c>
      <c r="B18" s="28" t="s">
        <v>92</v>
      </c>
      <c r="F18" s="35"/>
      <c r="G18" s="35"/>
      <c r="H18" s="35"/>
      <c r="I18" s="35"/>
      <c r="J18" s="35"/>
      <c r="K18" s="146">
        <v>1</v>
      </c>
      <c r="L18" s="147"/>
      <c r="M18" s="148"/>
      <c r="N18" s="34" t="s">
        <v>60</v>
      </c>
    </row>
    <row r="19" spans="1:14" s="28" customFormat="1" ht="7.5" customHeight="1" x14ac:dyDescent="0.15">
      <c r="F19" s="35"/>
      <c r="G19" s="35"/>
      <c r="H19" s="35"/>
      <c r="I19" s="35"/>
      <c r="J19" s="35"/>
      <c r="K19" s="35"/>
      <c r="L19" s="35"/>
      <c r="M19" s="34"/>
      <c r="N19" s="34"/>
    </row>
    <row r="20" spans="1:14" s="28" customFormat="1" ht="22.5" customHeight="1" x14ac:dyDescent="0.15">
      <c r="A20" s="28" t="s">
        <v>70</v>
      </c>
      <c r="B20" s="28" t="s">
        <v>130</v>
      </c>
      <c r="E20" s="136">
        <v>2801</v>
      </c>
      <c r="F20" s="137"/>
      <c r="G20" s="36" t="s">
        <v>25</v>
      </c>
      <c r="H20" s="35"/>
      <c r="K20" s="155"/>
      <c r="L20" s="155"/>
      <c r="M20" s="155"/>
      <c r="N20" s="155"/>
    </row>
    <row r="21" spans="1:14" s="28" customFormat="1" ht="7.5" customHeight="1" x14ac:dyDescent="0.15">
      <c r="E21" s="25"/>
      <c r="F21" s="35"/>
      <c r="G21" s="35"/>
      <c r="L21" s="112"/>
      <c r="M21" s="112"/>
      <c r="N21" s="37"/>
    </row>
    <row r="22" spans="1:14" s="28" customFormat="1" ht="22.5" customHeight="1" x14ac:dyDescent="0.15">
      <c r="A22" s="28" t="s">
        <v>28</v>
      </c>
      <c r="B22" s="28" t="s">
        <v>131</v>
      </c>
      <c r="E22" s="25"/>
      <c r="F22" s="35"/>
      <c r="G22" s="35"/>
      <c r="H22" s="28" t="s">
        <v>61</v>
      </c>
      <c r="J22" s="156">
        <v>12255</v>
      </c>
      <c r="K22" s="157"/>
      <c r="L22" s="158"/>
      <c r="M22" s="112" t="s">
        <v>60</v>
      </c>
      <c r="N22" s="37"/>
    </row>
    <row r="23" spans="1:14" s="28" customFormat="1" ht="7.5" customHeight="1" x14ac:dyDescent="0.15">
      <c r="E23" s="25"/>
      <c r="F23" s="35"/>
      <c r="G23" s="35"/>
      <c r="L23" s="112"/>
      <c r="M23" s="112"/>
      <c r="N23" s="37"/>
    </row>
    <row r="24" spans="1:14" s="28" customFormat="1" ht="22.5" customHeight="1" x14ac:dyDescent="0.15">
      <c r="B24" s="114" t="s">
        <v>21</v>
      </c>
      <c r="C24" s="136">
        <v>2828</v>
      </c>
      <c r="D24" s="137"/>
      <c r="E24" s="25" t="s">
        <v>26</v>
      </c>
      <c r="F24" s="35"/>
      <c r="G24" s="132" t="s">
        <v>22</v>
      </c>
      <c r="H24" s="132"/>
      <c r="I24" s="136">
        <v>2826</v>
      </c>
      <c r="J24" s="137"/>
      <c r="K24" s="31" t="s">
        <v>26</v>
      </c>
      <c r="M24" s="112"/>
      <c r="N24" s="37"/>
    </row>
    <row r="25" spans="1:14" s="28" customFormat="1" ht="7.5" customHeight="1" x14ac:dyDescent="0.15">
      <c r="B25" s="114"/>
      <c r="C25" s="26"/>
      <c r="D25" s="26"/>
      <c r="E25" s="25"/>
      <c r="F25" s="35"/>
      <c r="G25" s="112"/>
      <c r="H25" s="112"/>
      <c r="I25" s="26"/>
      <c r="J25" s="26"/>
      <c r="K25" s="31"/>
      <c r="M25" s="112"/>
      <c r="N25" s="37"/>
    </row>
    <row r="26" spans="1:14" s="28" customFormat="1" ht="22.5" customHeight="1" x14ac:dyDescent="0.15">
      <c r="B26" s="114" t="s">
        <v>23</v>
      </c>
      <c r="C26" s="136">
        <v>2899</v>
      </c>
      <c r="D26" s="137"/>
      <c r="E26" s="25" t="s">
        <v>26</v>
      </c>
      <c r="F26" s="35"/>
      <c r="G26" s="132" t="s">
        <v>24</v>
      </c>
      <c r="H26" s="132"/>
      <c r="I26" s="136">
        <v>3702</v>
      </c>
      <c r="J26" s="137"/>
      <c r="K26" s="31" t="s">
        <v>26</v>
      </c>
      <c r="M26" s="112"/>
      <c r="N26" s="37"/>
    </row>
    <row r="27" spans="1:14" s="28" customFormat="1" ht="7.5" customHeight="1" x14ac:dyDescent="0.15">
      <c r="B27" s="114"/>
      <c r="C27" s="26"/>
      <c r="D27" s="26"/>
      <c r="E27" s="25"/>
      <c r="F27" s="35"/>
      <c r="G27" s="112"/>
      <c r="H27" s="112"/>
      <c r="I27" s="26"/>
      <c r="J27" s="26"/>
      <c r="K27" s="31"/>
      <c r="M27" s="112"/>
      <c r="N27" s="37"/>
    </row>
    <row r="28" spans="1:14" s="28" customFormat="1" ht="22.5" customHeight="1" x14ac:dyDescent="0.15">
      <c r="B28" s="114" t="s">
        <v>54</v>
      </c>
      <c r="C28" s="136"/>
      <c r="D28" s="137"/>
      <c r="E28" s="25" t="s">
        <v>10</v>
      </c>
      <c r="F28" s="35"/>
      <c r="G28" s="132" t="s">
        <v>55</v>
      </c>
      <c r="H28" s="132"/>
      <c r="I28" s="136"/>
      <c r="J28" s="137"/>
      <c r="K28" s="31" t="s">
        <v>10</v>
      </c>
      <c r="M28" s="112"/>
      <c r="N28" s="37"/>
    </row>
    <row r="29" spans="1:14" s="28" customFormat="1" ht="7.5" customHeight="1" x14ac:dyDescent="0.15">
      <c r="F29" s="35"/>
      <c r="G29" s="35"/>
      <c r="M29" s="39"/>
      <c r="N29" s="39"/>
    </row>
    <row r="30" spans="1:14" s="28" customFormat="1" ht="22.5" customHeight="1" x14ac:dyDescent="0.15">
      <c r="A30" s="28" t="s">
        <v>129</v>
      </c>
      <c r="B30" s="29" t="s">
        <v>120</v>
      </c>
      <c r="C30" s="29"/>
      <c r="D30" s="29"/>
      <c r="E30" s="29"/>
      <c r="F30" s="31"/>
      <c r="G30" s="111"/>
      <c r="H30" s="111"/>
      <c r="I30" s="111"/>
      <c r="J30" s="41"/>
      <c r="K30" s="41"/>
      <c r="L30" s="41"/>
      <c r="M30" s="41"/>
      <c r="N30" s="41"/>
    </row>
    <row r="31" spans="1:14" s="28" customFormat="1" ht="22.5" customHeight="1" x14ac:dyDescent="0.15">
      <c r="B31" s="140" t="s">
        <v>119</v>
      </c>
      <c r="C31" s="140"/>
      <c r="D31" s="141" t="s">
        <v>144</v>
      </c>
      <c r="E31" s="142"/>
      <c r="F31" s="142"/>
      <c r="G31" s="144" t="s">
        <v>27</v>
      </c>
      <c r="H31" s="140"/>
      <c r="I31" s="145"/>
      <c r="J31" s="141" t="s">
        <v>145</v>
      </c>
      <c r="K31" s="142"/>
      <c r="L31" s="142"/>
      <c r="M31" s="142"/>
      <c r="N31" s="143"/>
    </row>
    <row r="32" spans="1:14" s="28" customFormat="1" ht="7.5" customHeight="1" x14ac:dyDescent="0.15">
      <c r="F32" s="35"/>
      <c r="G32" s="35"/>
      <c r="M32" s="39"/>
      <c r="N32" s="39"/>
    </row>
    <row r="33" spans="1:14" s="28" customFormat="1" ht="22.5" customHeight="1" x14ac:dyDescent="0.15">
      <c r="A33" s="28" t="s">
        <v>59</v>
      </c>
      <c r="B33" s="29" t="s">
        <v>134</v>
      </c>
      <c r="C33" s="29"/>
      <c r="D33" s="29"/>
      <c r="E33" s="29"/>
      <c r="F33" s="31"/>
      <c r="G33" s="41"/>
      <c r="H33" s="41"/>
      <c r="I33" s="41"/>
      <c r="J33" s="41"/>
      <c r="K33" s="41"/>
      <c r="L33" s="41"/>
      <c r="M33" s="41"/>
      <c r="N33" s="41"/>
    </row>
    <row r="34" spans="1:14" s="28" customFormat="1" ht="22.5" customHeight="1" x14ac:dyDescent="0.15">
      <c r="B34" s="141" t="s">
        <v>146</v>
      </c>
      <c r="C34" s="142"/>
      <c r="D34" s="142"/>
      <c r="E34" s="142"/>
      <c r="F34" s="142"/>
      <c r="G34" s="142"/>
      <c r="H34" s="142"/>
      <c r="I34" s="142"/>
      <c r="J34" s="142"/>
      <c r="K34" s="142"/>
      <c r="L34" s="142"/>
      <c r="M34" s="142"/>
      <c r="N34" s="143"/>
    </row>
    <row r="35" spans="1:14" s="28" customFormat="1" ht="7.5" customHeight="1" x14ac:dyDescent="0.15">
      <c r="B35" s="113"/>
      <c r="C35" s="113"/>
      <c r="D35" s="113"/>
      <c r="E35" s="113"/>
      <c r="F35" s="113"/>
      <c r="G35" s="113"/>
      <c r="H35" s="113"/>
      <c r="I35" s="113"/>
      <c r="J35" s="113"/>
      <c r="K35" s="113"/>
      <c r="L35" s="113"/>
      <c r="M35" s="113"/>
      <c r="N35" s="113"/>
    </row>
    <row r="36" spans="1:14" s="28" customFormat="1" ht="22.5" customHeight="1" x14ac:dyDescent="0.15">
      <c r="B36" s="140" t="s">
        <v>119</v>
      </c>
      <c r="C36" s="140"/>
      <c r="D36" s="141" t="s">
        <v>147</v>
      </c>
      <c r="E36" s="142"/>
      <c r="F36" s="142"/>
      <c r="G36" s="144" t="s">
        <v>64</v>
      </c>
      <c r="H36" s="140"/>
      <c r="I36" s="145"/>
      <c r="J36" s="141" t="s">
        <v>148</v>
      </c>
      <c r="K36" s="142"/>
      <c r="L36" s="142"/>
      <c r="M36" s="142"/>
      <c r="N36" s="143"/>
    </row>
    <row r="37" spans="1:14" s="28" customFormat="1" ht="7.5" customHeight="1" x14ac:dyDescent="0.15">
      <c r="F37" s="111"/>
      <c r="G37" s="111"/>
      <c r="H37" s="111"/>
      <c r="I37" s="111"/>
      <c r="J37" s="111"/>
      <c r="K37" s="111"/>
      <c r="L37" s="111"/>
      <c r="M37" s="111"/>
      <c r="N37" s="111"/>
    </row>
    <row r="38" spans="1:14" s="28" customFormat="1" ht="22.5" customHeight="1" x14ac:dyDescent="0.15">
      <c r="A38" s="28" t="s">
        <v>63</v>
      </c>
      <c r="B38" s="28" t="s">
        <v>135</v>
      </c>
      <c r="M38" s="39"/>
      <c r="N38" s="39"/>
    </row>
    <row r="39" spans="1:14" s="28" customFormat="1" ht="22.5" customHeight="1" x14ac:dyDescent="0.15">
      <c r="B39" s="141" t="s">
        <v>146</v>
      </c>
      <c r="C39" s="142"/>
      <c r="D39" s="142"/>
      <c r="E39" s="142"/>
      <c r="F39" s="142"/>
      <c r="G39" s="142"/>
      <c r="H39" s="142"/>
      <c r="I39" s="142"/>
      <c r="J39" s="142"/>
      <c r="K39" s="142"/>
      <c r="L39" s="142"/>
      <c r="M39" s="142"/>
      <c r="N39" s="143"/>
    </row>
    <row r="40" spans="1:14" s="28" customFormat="1" ht="7.5" customHeight="1" x14ac:dyDescent="0.15">
      <c r="F40" s="111"/>
      <c r="G40" s="111"/>
      <c r="H40" s="111"/>
      <c r="I40" s="111"/>
      <c r="J40" s="111"/>
      <c r="K40" s="111"/>
      <c r="L40" s="111"/>
      <c r="M40" s="111"/>
      <c r="N40" s="111"/>
    </row>
    <row r="41" spans="1:14" s="28" customFormat="1" ht="22.5" customHeight="1" x14ac:dyDescent="0.15">
      <c r="B41" s="140" t="s">
        <v>119</v>
      </c>
      <c r="C41" s="140"/>
      <c r="D41" s="141" t="s">
        <v>147</v>
      </c>
      <c r="E41" s="142"/>
      <c r="F41" s="142"/>
      <c r="G41" s="144" t="s">
        <v>64</v>
      </c>
      <c r="H41" s="140"/>
      <c r="I41" s="145"/>
      <c r="J41" s="141" t="s">
        <v>148</v>
      </c>
      <c r="K41" s="142"/>
      <c r="L41" s="142"/>
      <c r="M41" s="142"/>
      <c r="N41" s="143"/>
    </row>
    <row r="42" spans="1:14" s="28" customFormat="1" ht="7.5" customHeight="1" x14ac:dyDescent="0.15">
      <c r="F42" s="111"/>
      <c r="G42" s="111"/>
      <c r="H42" s="111"/>
      <c r="I42" s="111"/>
      <c r="J42" s="111"/>
      <c r="K42" s="111"/>
      <c r="L42" s="111"/>
      <c r="M42" s="111"/>
      <c r="N42" s="111"/>
    </row>
    <row r="43" spans="1:14" s="28" customFormat="1" ht="22.5" customHeight="1" x14ac:dyDescent="0.15">
      <c r="A43" s="28" t="s">
        <v>71</v>
      </c>
      <c r="B43" s="117" t="s">
        <v>91</v>
      </c>
      <c r="E43" s="116"/>
      <c r="F43" s="141" t="s">
        <v>149</v>
      </c>
      <c r="G43" s="142"/>
      <c r="H43" s="142"/>
      <c r="I43" s="142"/>
      <c r="J43" s="142"/>
      <c r="K43" s="142"/>
      <c r="L43" s="142"/>
      <c r="M43" s="142"/>
      <c r="N43" s="143"/>
    </row>
    <row r="44" spans="1:14" s="28" customFormat="1" ht="7.5" customHeight="1" x14ac:dyDescent="0.15">
      <c r="F44" s="111"/>
      <c r="G44" s="111"/>
      <c r="H44" s="111"/>
      <c r="I44" s="111"/>
      <c r="J44" s="111"/>
      <c r="K44" s="111"/>
      <c r="L44" s="111"/>
      <c r="M44" s="111"/>
      <c r="N44" s="111"/>
    </row>
    <row r="45" spans="1:14" s="28" customFormat="1" ht="22.5" customHeight="1" x14ac:dyDescent="0.15">
      <c r="A45" s="28" t="s">
        <v>3</v>
      </c>
    </row>
    <row r="46" spans="1:14" s="28" customFormat="1" ht="22.5" customHeight="1" x14ac:dyDescent="0.15">
      <c r="B46" s="42" t="s">
        <v>1</v>
      </c>
      <c r="C46" s="138" t="s">
        <v>150</v>
      </c>
      <c r="D46" s="139"/>
      <c r="E46" s="139"/>
      <c r="F46" s="139"/>
      <c r="G46" s="139"/>
      <c r="H46" s="139"/>
      <c r="I46" s="43" t="s">
        <v>2</v>
      </c>
      <c r="J46" s="44"/>
      <c r="K46" s="133" t="s">
        <v>151</v>
      </c>
      <c r="L46" s="134"/>
      <c r="M46" s="134"/>
      <c r="N46" s="135"/>
    </row>
    <row r="47" spans="1:14" ht="22.5" customHeight="1" x14ac:dyDescent="0.15">
      <c r="B47" s="42" t="s">
        <v>5</v>
      </c>
      <c r="C47" s="126" t="s">
        <v>194</v>
      </c>
      <c r="D47" s="127"/>
      <c r="E47" s="127"/>
      <c r="F47" s="127"/>
      <c r="G47" s="127"/>
      <c r="H47" s="128"/>
      <c r="I47" s="43" t="s">
        <v>4</v>
      </c>
      <c r="J47" s="44"/>
      <c r="K47" s="129" t="s">
        <v>152</v>
      </c>
      <c r="L47" s="130"/>
      <c r="M47" s="130"/>
      <c r="N47" s="131"/>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961B5D77-4D55-4EA9-88AC-2E1AB0C99B30}">
      <formula1>"国立大学, 公立大学, 私立大学, 短期大学, 高等専門学校, その他"</formula1>
    </dataValidation>
    <dataValidation type="list" allowBlank="1" showInputMessage="1" showErrorMessage="1" sqref="F43" xr:uid="{2CE6CF6D-DC95-4A73-9584-4CAF89419E79}">
      <formula1>"認定教育プログラム,認定教育プログラムと認定教育プログラム+（プラス）"</formula1>
    </dataValidation>
  </dataValidations>
  <hyperlinks>
    <hyperlink ref="C47" r:id="rId1" xr:uid="{8F14E7BF-5B1E-4E92-B5C0-35E464FA8573}"/>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abSelected="1" view="pageBreakPreview" zoomScale="60" zoomScaleNormal="100" workbookViewId="0">
      <selection activeCell="V41" sqref="V41"/>
    </sheetView>
  </sheetViews>
  <sheetFormatPr defaultColWidth="9" defaultRowHeight="18.75" customHeight="1" x14ac:dyDescent="0.15"/>
  <cols>
    <col min="1" max="2" width="2.5" style="27" customWidth="1"/>
    <col min="3" max="3" width="20" style="27" customWidth="1"/>
    <col min="4" max="4" width="8.75" style="27" customWidth="1"/>
    <col min="5" max="5" width="7.5" style="27" customWidth="1"/>
    <col min="6" max="6" width="2.5" style="27" customWidth="1"/>
    <col min="7" max="7" width="15" style="27" customWidth="1"/>
    <col min="8" max="8" width="12.5" style="27" customWidth="1"/>
    <col min="9" max="9" width="11.25" style="27" customWidth="1"/>
    <col min="10" max="16384" width="9" style="27"/>
  </cols>
  <sheetData>
    <row r="1" spans="1:9" ht="18.75" customHeight="1" x14ac:dyDescent="0.15">
      <c r="I1" s="63" t="s">
        <v>104</v>
      </c>
    </row>
    <row r="2" spans="1:9" ht="18.75" customHeight="1" x14ac:dyDescent="0.15">
      <c r="G2" s="40" t="s">
        <v>32</v>
      </c>
      <c r="H2" s="163" t="s">
        <v>166</v>
      </c>
      <c r="I2" s="163"/>
    </row>
    <row r="3" spans="1:9" ht="7.5" customHeight="1" x14ac:dyDescent="0.15"/>
    <row r="4" spans="1:9" ht="18.75" customHeight="1" x14ac:dyDescent="0.15">
      <c r="A4" s="154" t="s">
        <v>89</v>
      </c>
      <c r="B4" s="154"/>
      <c r="C4" s="154"/>
      <c r="D4" s="154"/>
      <c r="E4" s="154"/>
      <c r="F4" s="154"/>
      <c r="G4" s="154"/>
      <c r="H4" s="154"/>
      <c r="I4" s="154"/>
    </row>
    <row r="5" spans="1:9" ht="7.5" customHeight="1" x14ac:dyDescent="0.15">
      <c r="C5" s="38"/>
      <c r="D5" s="45"/>
      <c r="E5" s="58"/>
      <c r="F5" s="38"/>
      <c r="G5" s="45"/>
      <c r="H5" s="38"/>
      <c r="I5" s="38"/>
    </row>
    <row r="6" spans="1:9" s="28" customFormat="1" ht="18.75" customHeight="1" x14ac:dyDescent="0.15">
      <c r="A6" s="28" t="s">
        <v>7</v>
      </c>
      <c r="B6" s="28" t="s">
        <v>105</v>
      </c>
      <c r="C6" s="114"/>
      <c r="D6" s="114"/>
      <c r="E6" s="156" t="s">
        <v>153</v>
      </c>
      <c r="F6" s="157"/>
      <c r="G6" s="157"/>
      <c r="H6" s="157"/>
      <c r="I6" s="158"/>
    </row>
    <row r="7" spans="1:9" s="28" customFormat="1" ht="7.5" customHeight="1" x14ac:dyDescent="0.15">
      <c r="C7" s="114"/>
      <c r="D7" s="114"/>
      <c r="F7" s="112"/>
      <c r="G7" s="112"/>
      <c r="H7" s="112"/>
      <c r="I7" s="112"/>
    </row>
    <row r="8" spans="1:9" s="28" customFormat="1" ht="18.75" customHeight="1" x14ac:dyDescent="0.15">
      <c r="A8" s="28" t="s">
        <v>12</v>
      </c>
      <c r="B8" s="28" t="s">
        <v>106</v>
      </c>
      <c r="C8" s="114"/>
      <c r="D8" s="114"/>
      <c r="E8" s="114"/>
      <c r="F8" s="114"/>
      <c r="G8" s="114"/>
      <c r="H8" s="114"/>
      <c r="I8" s="114"/>
    </row>
    <row r="9" spans="1:9" s="28" customFormat="1" ht="18.75" customHeight="1" x14ac:dyDescent="0.15">
      <c r="B9" s="166" t="s">
        <v>154</v>
      </c>
      <c r="C9" s="167"/>
      <c r="D9" s="167"/>
      <c r="E9" s="167"/>
      <c r="F9" s="167"/>
      <c r="G9" s="167"/>
      <c r="H9" s="167"/>
      <c r="I9" s="168"/>
    </row>
    <row r="10" spans="1:9" s="28" customFormat="1" ht="18.75" customHeight="1" x14ac:dyDescent="0.15">
      <c r="B10" s="169"/>
      <c r="C10" s="170"/>
      <c r="D10" s="170"/>
      <c r="E10" s="170"/>
      <c r="F10" s="170"/>
      <c r="G10" s="170"/>
      <c r="H10" s="170"/>
      <c r="I10" s="171"/>
    </row>
    <row r="11" spans="1:9" s="28" customFormat="1" ht="18.75" customHeight="1" x14ac:dyDescent="0.15">
      <c r="B11" s="169"/>
      <c r="C11" s="170"/>
      <c r="D11" s="170"/>
      <c r="E11" s="170"/>
      <c r="F11" s="170"/>
      <c r="G11" s="170"/>
      <c r="H11" s="170"/>
      <c r="I11" s="171"/>
    </row>
    <row r="12" spans="1:9" s="28" customFormat="1" ht="18.75" customHeight="1" x14ac:dyDescent="0.15">
      <c r="B12" s="169"/>
      <c r="C12" s="170"/>
      <c r="D12" s="170"/>
      <c r="E12" s="170"/>
      <c r="F12" s="170"/>
      <c r="G12" s="170"/>
      <c r="H12" s="170"/>
      <c r="I12" s="171"/>
    </row>
    <row r="13" spans="1:9" s="28" customFormat="1" ht="18.75" customHeight="1" x14ac:dyDescent="0.15">
      <c r="B13" s="169"/>
      <c r="C13" s="170"/>
      <c r="D13" s="170"/>
      <c r="E13" s="170"/>
      <c r="F13" s="170"/>
      <c r="G13" s="170"/>
      <c r="H13" s="170"/>
      <c r="I13" s="171"/>
    </row>
    <row r="14" spans="1:9" s="28" customFormat="1" ht="18.75" customHeight="1" x14ac:dyDescent="0.15">
      <c r="B14" s="169"/>
      <c r="C14" s="170"/>
      <c r="D14" s="170"/>
      <c r="E14" s="170"/>
      <c r="F14" s="170"/>
      <c r="G14" s="170"/>
      <c r="H14" s="170"/>
      <c r="I14" s="171"/>
    </row>
    <row r="15" spans="1:9" s="28" customFormat="1" ht="18.75" customHeight="1" x14ac:dyDescent="0.15">
      <c r="B15" s="169"/>
      <c r="C15" s="170"/>
      <c r="D15" s="170"/>
      <c r="E15" s="170"/>
      <c r="F15" s="170"/>
      <c r="G15" s="170"/>
      <c r="H15" s="170"/>
      <c r="I15" s="171"/>
    </row>
    <row r="16" spans="1:9" s="28" customFormat="1" ht="18.75" customHeight="1" x14ac:dyDescent="0.15">
      <c r="B16" s="172"/>
      <c r="C16" s="173"/>
      <c r="D16" s="173"/>
      <c r="E16" s="173"/>
      <c r="F16" s="173"/>
      <c r="G16" s="173"/>
      <c r="H16" s="173"/>
      <c r="I16" s="174"/>
    </row>
    <row r="17" spans="1:10" s="28" customFormat="1" ht="7.5" customHeight="1" x14ac:dyDescent="0.15">
      <c r="C17" s="114"/>
      <c r="D17" s="114"/>
      <c r="E17" s="114"/>
      <c r="F17" s="114"/>
      <c r="G17" s="114"/>
      <c r="H17" s="114"/>
      <c r="I17" s="114"/>
    </row>
    <row r="18" spans="1:10" s="28" customFormat="1" ht="18.75" customHeight="1" x14ac:dyDescent="0.15">
      <c r="A18" s="114" t="s">
        <v>13</v>
      </c>
      <c r="B18" s="29" t="s">
        <v>107</v>
      </c>
      <c r="C18" s="29"/>
      <c r="D18" s="29"/>
      <c r="E18" s="29"/>
      <c r="F18" s="114"/>
      <c r="G18" s="114"/>
      <c r="H18" s="114"/>
      <c r="I18" s="114"/>
      <c r="J18" s="114"/>
    </row>
    <row r="19" spans="1:10" s="28" customFormat="1" ht="18.75" customHeight="1" x14ac:dyDescent="0.15">
      <c r="A19" s="164" t="s">
        <v>107</v>
      </c>
      <c r="B19" s="164"/>
      <c r="C19" s="164"/>
      <c r="D19" s="164"/>
      <c r="E19" s="164"/>
      <c r="F19" s="165" t="s">
        <v>107</v>
      </c>
      <c r="G19" s="165"/>
      <c r="H19" s="165"/>
      <c r="I19" s="165"/>
    </row>
    <row r="20" spans="1:10" s="28" customFormat="1" ht="18.75" customHeight="1" x14ac:dyDescent="0.15">
      <c r="A20" s="64">
        <v>1</v>
      </c>
      <c r="B20" s="138" t="s">
        <v>155</v>
      </c>
      <c r="C20" s="139"/>
      <c r="D20" s="139"/>
      <c r="E20" s="159"/>
      <c r="F20" s="64">
        <v>26</v>
      </c>
      <c r="G20" s="138"/>
      <c r="H20" s="139"/>
      <c r="I20" s="159"/>
    </row>
    <row r="21" spans="1:10" s="28" customFormat="1" ht="18.75" customHeight="1" x14ac:dyDescent="0.15">
      <c r="A21" s="64">
        <v>2</v>
      </c>
      <c r="B21" s="175" t="s">
        <v>156</v>
      </c>
      <c r="C21" s="176"/>
      <c r="D21" s="176"/>
      <c r="E21" s="177"/>
      <c r="F21" s="64">
        <v>27</v>
      </c>
      <c r="G21" s="138"/>
      <c r="H21" s="139"/>
      <c r="I21" s="159"/>
    </row>
    <row r="22" spans="1:10" ht="18.75" customHeight="1" x14ac:dyDescent="0.15">
      <c r="A22" s="64">
        <v>3</v>
      </c>
      <c r="B22" s="160"/>
      <c r="C22" s="161"/>
      <c r="D22" s="161"/>
      <c r="E22" s="162"/>
      <c r="F22" s="64">
        <v>28</v>
      </c>
      <c r="G22" s="138"/>
      <c r="H22" s="139"/>
      <c r="I22" s="159"/>
    </row>
    <row r="23" spans="1:10" ht="18.75" customHeight="1" x14ac:dyDescent="0.15">
      <c r="A23" s="64">
        <v>4</v>
      </c>
      <c r="B23" s="160"/>
      <c r="C23" s="161"/>
      <c r="D23" s="161"/>
      <c r="E23" s="162"/>
      <c r="F23" s="64">
        <v>29</v>
      </c>
      <c r="G23" s="138"/>
      <c r="H23" s="139"/>
      <c r="I23" s="159"/>
    </row>
    <row r="24" spans="1:10" ht="18.75" customHeight="1" x14ac:dyDescent="0.15">
      <c r="A24" s="64">
        <v>5</v>
      </c>
      <c r="B24" s="160"/>
      <c r="C24" s="161"/>
      <c r="D24" s="161"/>
      <c r="E24" s="162"/>
      <c r="F24" s="64">
        <v>30</v>
      </c>
      <c r="G24" s="138"/>
      <c r="H24" s="139"/>
      <c r="I24" s="159"/>
    </row>
    <row r="25" spans="1:10" ht="18.75" customHeight="1" x14ac:dyDescent="0.15">
      <c r="A25" s="64">
        <v>6</v>
      </c>
      <c r="B25" s="160"/>
      <c r="C25" s="161"/>
      <c r="D25" s="161"/>
      <c r="E25" s="162"/>
      <c r="F25" s="64">
        <v>31</v>
      </c>
      <c r="G25" s="138"/>
      <c r="H25" s="139"/>
      <c r="I25" s="159"/>
    </row>
    <row r="26" spans="1:10" ht="18.75" customHeight="1" x14ac:dyDescent="0.15">
      <c r="A26" s="64">
        <v>7</v>
      </c>
      <c r="B26" s="160"/>
      <c r="C26" s="161"/>
      <c r="D26" s="161"/>
      <c r="E26" s="162"/>
      <c r="F26" s="64">
        <v>32</v>
      </c>
      <c r="G26" s="138"/>
      <c r="H26" s="139"/>
      <c r="I26" s="159"/>
    </row>
    <row r="27" spans="1:10" ht="18.75" customHeight="1" x14ac:dyDescent="0.15">
      <c r="A27" s="64">
        <v>8</v>
      </c>
      <c r="B27" s="160"/>
      <c r="C27" s="161"/>
      <c r="D27" s="161"/>
      <c r="E27" s="162"/>
      <c r="F27" s="64">
        <v>33</v>
      </c>
      <c r="G27" s="138"/>
      <c r="H27" s="139"/>
      <c r="I27" s="159"/>
    </row>
    <row r="28" spans="1:10" ht="18.75" customHeight="1" x14ac:dyDescent="0.15">
      <c r="A28" s="64">
        <v>9</v>
      </c>
      <c r="B28" s="160"/>
      <c r="C28" s="161"/>
      <c r="D28" s="161"/>
      <c r="E28" s="162"/>
      <c r="F28" s="64">
        <v>34</v>
      </c>
      <c r="G28" s="138"/>
      <c r="H28" s="139"/>
      <c r="I28" s="159"/>
    </row>
    <row r="29" spans="1:10" ht="18.75" customHeight="1" x14ac:dyDescent="0.15">
      <c r="A29" s="64">
        <v>10</v>
      </c>
      <c r="B29" s="160"/>
      <c r="C29" s="161"/>
      <c r="D29" s="161"/>
      <c r="E29" s="162"/>
      <c r="F29" s="64">
        <v>35</v>
      </c>
      <c r="G29" s="138"/>
      <c r="H29" s="139"/>
      <c r="I29" s="159"/>
    </row>
    <row r="30" spans="1:10" ht="18.75" customHeight="1" x14ac:dyDescent="0.15">
      <c r="A30" s="64">
        <v>11</v>
      </c>
      <c r="B30" s="138"/>
      <c r="C30" s="139"/>
      <c r="D30" s="139"/>
      <c r="E30" s="159"/>
      <c r="F30" s="64">
        <v>36</v>
      </c>
      <c r="G30" s="138"/>
      <c r="H30" s="139"/>
      <c r="I30" s="159"/>
    </row>
    <row r="31" spans="1:10" ht="18.75" customHeight="1" x14ac:dyDescent="0.15">
      <c r="A31" s="64">
        <v>12</v>
      </c>
      <c r="B31" s="138"/>
      <c r="C31" s="139"/>
      <c r="D31" s="139"/>
      <c r="E31" s="159"/>
      <c r="F31" s="64">
        <v>37</v>
      </c>
      <c r="G31" s="138"/>
      <c r="H31" s="139"/>
      <c r="I31" s="159"/>
    </row>
    <row r="32" spans="1:10" ht="18.75" customHeight="1" x14ac:dyDescent="0.15">
      <c r="A32" s="64">
        <v>13</v>
      </c>
      <c r="B32" s="138"/>
      <c r="C32" s="139"/>
      <c r="D32" s="139"/>
      <c r="E32" s="159"/>
      <c r="F32" s="64">
        <v>38</v>
      </c>
      <c r="G32" s="138"/>
      <c r="H32" s="139"/>
      <c r="I32" s="159"/>
    </row>
    <row r="33" spans="1:9" ht="18.75" customHeight="1" x14ac:dyDescent="0.15">
      <c r="A33" s="64">
        <v>14</v>
      </c>
      <c r="B33" s="138"/>
      <c r="C33" s="139"/>
      <c r="D33" s="139"/>
      <c r="E33" s="159"/>
      <c r="F33" s="64">
        <v>39</v>
      </c>
      <c r="G33" s="138"/>
      <c r="H33" s="139"/>
      <c r="I33" s="159"/>
    </row>
    <row r="34" spans="1:9" ht="18.75" customHeight="1" x14ac:dyDescent="0.15">
      <c r="A34" s="64">
        <v>15</v>
      </c>
      <c r="B34" s="138"/>
      <c r="C34" s="139"/>
      <c r="D34" s="139"/>
      <c r="E34" s="159"/>
      <c r="F34" s="64">
        <v>40</v>
      </c>
      <c r="G34" s="138"/>
      <c r="H34" s="139"/>
      <c r="I34" s="159"/>
    </row>
    <row r="35" spans="1:9" ht="18.75" customHeight="1" x14ac:dyDescent="0.15">
      <c r="A35" s="64">
        <v>16</v>
      </c>
      <c r="B35" s="138"/>
      <c r="C35" s="139"/>
      <c r="D35" s="139"/>
      <c r="E35" s="159"/>
      <c r="F35" s="64">
        <v>41</v>
      </c>
      <c r="G35" s="138"/>
      <c r="H35" s="139"/>
      <c r="I35" s="159"/>
    </row>
    <row r="36" spans="1:9" ht="18.75" customHeight="1" x14ac:dyDescent="0.15">
      <c r="A36" s="64">
        <v>17</v>
      </c>
      <c r="B36" s="138"/>
      <c r="C36" s="139"/>
      <c r="D36" s="139"/>
      <c r="E36" s="159"/>
      <c r="F36" s="64">
        <v>42</v>
      </c>
      <c r="G36" s="138"/>
      <c r="H36" s="139"/>
      <c r="I36" s="159"/>
    </row>
    <row r="37" spans="1:9" ht="18.75" customHeight="1" x14ac:dyDescent="0.15">
      <c r="A37" s="64">
        <v>18</v>
      </c>
      <c r="B37" s="138"/>
      <c r="C37" s="139"/>
      <c r="D37" s="139"/>
      <c r="E37" s="159"/>
      <c r="F37" s="64">
        <v>43</v>
      </c>
      <c r="G37" s="138"/>
      <c r="H37" s="139"/>
      <c r="I37" s="159"/>
    </row>
    <row r="38" spans="1:9" ht="18.75" customHeight="1" x14ac:dyDescent="0.15">
      <c r="A38" s="64">
        <v>19</v>
      </c>
      <c r="B38" s="138"/>
      <c r="C38" s="139"/>
      <c r="D38" s="139"/>
      <c r="E38" s="159"/>
      <c r="F38" s="64">
        <v>44</v>
      </c>
      <c r="G38" s="138"/>
      <c r="H38" s="139"/>
      <c r="I38" s="159"/>
    </row>
    <row r="39" spans="1:9" ht="18.75" customHeight="1" x14ac:dyDescent="0.15">
      <c r="A39" s="64">
        <v>20</v>
      </c>
      <c r="B39" s="138"/>
      <c r="C39" s="139"/>
      <c r="D39" s="139"/>
      <c r="E39" s="159"/>
      <c r="F39" s="64">
        <v>45</v>
      </c>
      <c r="G39" s="138"/>
      <c r="H39" s="139"/>
      <c r="I39" s="159"/>
    </row>
    <row r="40" spans="1:9" ht="18.75" customHeight="1" x14ac:dyDescent="0.15">
      <c r="A40" s="64">
        <v>21</v>
      </c>
      <c r="B40" s="138"/>
      <c r="C40" s="139"/>
      <c r="D40" s="139"/>
      <c r="E40" s="159"/>
      <c r="F40" s="64">
        <v>46</v>
      </c>
      <c r="G40" s="138"/>
      <c r="H40" s="139"/>
      <c r="I40" s="159"/>
    </row>
    <row r="41" spans="1:9" ht="18.75" customHeight="1" x14ac:dyDescent="0.15">
      <c r="A41" s="64">
        <v>22</v>
      </c>
      <c r="B41" s="138"/>
      <c r="C41" s="139"/>
      <c r="D41" s="139"/>
      <c r="E41" s="159"/>
      <c r="F41" s="64">
        <v>47</v>
      </c>
      <c r="G41" s="138"/>
      <c r="H41" s="139"/>
      <c r="I41" s="159"/>
    </row>
    <row r="42" spans="1:9" ht="18.75" customHeight="1" x14ac:dyDescent="0.15">
      <c r="A42" s="64">
        <v>23</v>
      </c>
      <c r="B42" s="138"/>
      <c r="C42" s="139"/>
      <c r="D42" s="139"/>
      <c r="E42" s="159"/>
      <c r="F42" s="64">
        <v>48</v>
      </c>
      <c r="G42" s="138"/>
      <c r="H42" s="139"/>
      <c r="I42" s="159"/>
    </row>
    <row r="43" spans="1:9" ht="18.75" customHeight="1" x14ac:dyDescent="0.15">
      <c r="A43" s="64">
        <v>24</v>
      </c>
      <c r="B43" s="138"/>
      <c r="C43" s="139"/>
      <c r="D43" s="139"/>
      <c r="E43" s="159"/>
      <c r="F43" s="64">
        <v>49</v>
      </c>
      <c r="G43" s="138"/>
      <c r="H43" s="139"/>
      <c r="I43" s="159"/>
    </row>
    <row r="44" spans="1:9" ht="18.75" customHeight="1" x14ac:dyDescent="0.15">
      <c r="A44" s="64">
        <v>25</v>
      </c>
      <c r="B44" s="138"/>
      <c r="C44" s="139"/>
      <c r="D44" s="139"/>
      <c r="E44" s="159"/>
      <c r="F44" s="64">
        <v>50</v>
      </c>
      <c r="G44" s="138"/>
      <c r="H44" s="139"/>
      <c r="I44" s="15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870F3E5B-90FF-4F73-B46B-0ACD56725B08}">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tabSelected="1" view="pageBreakPreview" zoomScale="60" zoomScaleNormal="100" workbookViewId="0">
      <selection activeCell="V41" sqref="V41"/>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78" t="s">
        <v>73</v>
      </c>
      <c r="G1" s="178"/>
      <c r="H1" s="178"/>
      <c r="I1" s="178"/>
      <c r="J1" s="178"/>
      <c r="K1" s="178"/>
      <c r="L1" s="178"/>
      <c r="M1" s="178"/>
      <c r="N1" s="178"/>
      <c r="O1" s="178"/>
      <c r="P1" s="178"/>
      <c r="Q1" s="178"/>
      <c r="R1" s="178"/>
    </row>
    <row r="2" spans="1:20" ht="18.75" customHeight="1" x14ac:dyDescent="0.15">
      <c r="D2" s="86"/>
      <c r="E2" s="86"/>
      <c r="F2" s="86"/>
      <c r="G2" s="86"/>
      <c r="H2" s="86"/>
      <c r="I2" s="86"/>
      <c r="J2" s="86"/>
      <c r="K2" s="178" t="s">
        <v>65</v>
      </c>
      <c r="L2" s="178"/>
      <c r="M2" s="86" t="s">
        <v>166</v>
      </c>
      <c r="N2" s="86"/>
      <c r="O2" s="86"/>
      <c r="P2" s="86"/>
      <c r="Q2" s="86"/>
      <c r="R2" s="86"/>
    </row>
    <row r="3" spans="1:20" ht="7.5" customHeight="1" x14ac:dyDescent="0.15"/>
    <row r="4" spans="1:20" ht="18.75" customHeight="1" x14ac:dyDescent="0.15">
      <c r="A4" s="188" t="s">
        <v>127</v>
      </c>
      <c r="B4" s="188"/>
      <c r="C4" s="188"/>
      <c r="D4" s="188"/>
      <c r="E4" s="188"/>
      <c r="F4" s="188"/>
      <c r="G4" s="188"/>
      <c r="H4" s="188"/>
      <c r="I4" s="188"/>
      <c r="J4" s="188"/>
      <c r="K4" s="188"/>
      <c r="L4" s="188"/>
      <c r="M4" s="188"/>
      <c r="N4" s="188"/>
      <c r="O4" s="188"/>
      <c r="P4" s="188"/>
      <c r="Q4" s="188"/>
      <c r="R4" s="188"/>
      <c r="S4" s="5"/>
    </row>
    <row r="5" spans="1:20" ht="7.5" customHeight="1" x14ac:dyDescent="0.15">
      <c r="A5" s="85"/>
      <c r="B5" s="85"/>
      <c r="C5" s="85"/>
      <c r="D5" s="85"/>
      <c r="E5" s="85"/>
      <c r="F5" s="85"/>
      <c r="G5" s="85"/>
      <c r="H5" s="85"/>
      <c r="I5" s="85"/>
      <c r="J5" s="85"/>
      <c r="K5" s="85"/>
      <c r="L5" s="85"/>
      <c r="M5" s="85"/>
      <c r="N5" s="85"/>
      <c r="O5" s="85"/>
      <c r="P5" s="85"/>
      <c r="Q5" s="85"/>
      <c r="R5" s="85"/>
    </row>
    <row r="6" spans="1:20" ht="18.75" customHeight="1" x14ac:dyDescent="0.15">
      <c r="B6" s="191" t="s">
        <v>132</v>
      </c>
      <c r="C6" s="192"/>
      <c r="D6" s="179" t="s">
        <v>90</v>
      </c>
      <c r="E6" s="181" t="s">
        <v>121</v>
      </c>
      <c r="F6" s="181"/>
      <c r="G6" s="181" t="s">
        <v>122</v>
      </c>
      <c r="H6" s="181"/>
      <c r="I6" s="182" t="s">
        <v>123</v>
      </c>
      <c r="J6" s="183"/>
      <c r="K6" s="182" t="s">
        <v>124</v>
      </c>
      <c r="L6" s="183"/>
      <c r="M6" s="182" t="s">
        <v>125</v>
      </c>
      <c r="N6" s="183"/>
      <c r="O6" s="182" t="s">
        <v>126</v>
      </c>
      <c r="P6" s="183"/>
      <c r="Q6" s="184" t="s">
        <v>72</v>
      </c>
      <c r="R6" s="186" t="s">
        <v>66</v>
      </c>
      <c r="T6" s="87"/>
    </row>
    <row r="7" spans="1:20" ht="18.75" customHeight="1" x14ac:dyDescent="0.15">
      <c r="B7" s="193"/>
      <c r="C7" s="194"/>
      <c r="D7" s="180"/>
      <c r="E7" s="46" t="s">
        <v>52</v>
      </c>
      <c r="F7" s="48" t="s">
        <v>51</v>
      </c>
      <c r="G7" s="49" t="s">
        <v>52</v>
      </c>
      <c r="H7" s="47" t="s">
        <v>51</v>
      </c>
      <c r="I7" s="46" t="s">
        <v>52</v>
      </c>
      <c r="J7" s="48" t="s">
        <v>51</v>
      </c>
      <c r="K7" s="49" t="s">
        <v>52</v>
      </c>
      <c r="L7" s="47" t="s">
        <v>51</v>
      </c>
      <c r="M7" s="46" t="s">
        <v>52</v>
      </c>
      <c r="N7" s="48" t="s">
        <v>51</v>
      </c>
      <c r="O7" s="49" t="s">
        <v>52</v>
      </c>
      <c r="P7" s="47" t="s">
        <v>51</v>
      </c>
      <c r="Q7" s="185"/>
      <c r="R7" s="187"/>
      <c r="T7" s="87"/>
    </row>
    <row r="8" spans="1:20" ht="18.75" customHeight="1" x14ac:dyDescent="0.15">
      <c r="A8" s="88"/>
      <c r="B8" s="201" t="s">
        <v>157</v>
      </c>
      <c r="C8" s="202"/>
      <c r="D8" s="118">
        <v>176</v>
      </c>
      <c r="E8" s="119">
        <v>0</v>
      </c>
      <c r="F8" s="120">
        <v>0</v>
      </c>
      <c r="G8" s="92"/>
      <c r="H8" s="93"/>
      <c r="I8" s="90"/>
      <c r="J8" s="91"/>
      <c r="K8" s="92"/>
      <c r="L8" s="93"/>
      <c r="M8" s="90"/>
      <c r="N8" s="91"/>
      <c r="O8" s="92"/>
      <c r="P8" s="93"/>
      <c r="Q8" s="94">
        <f>E8+G8+I8+K8+M8+O8</f>
        <v>0</v>
      </c>
      <c r="R8" s="95">
        <f>Q8/D8</f>
        <v>0</v>
      </c>
    </row>
    <row r="9" spans="1:20" ht="18.75" customHeight="1" x14ac:dyDescent="0.15">
      <c r="A9" s="88"/>
      <c r="B9" s="197" t="s">
        <v>158</v>
      </c>
      <c r="C9" s="198"/>
      <c r="D9" s="121">
        <v>2040</v>
      </c>
      <c r="E9" s="122">
        <v>5</v>
      </c>
      <c r="F9" s="123">
        <v>4</v>
      </c>
      <c r="G9" s="99"/>
      <c r="H9" s="100"/>
      <c r="I9" s="97"/>
      <c r="J9" s="98"/>
      <c r="K9" s="99"/>
      <c r="L9" s="100"/>
      <c r="M9" s="97"/>
      <c r="N9" s="98"/>
      <c r="O9" s="99"/>
      <c r="P9" s="100"/>
      <c r="Q9" s="101">
        <f t="shared" ref="Q9:Q27" si="0">E9+G9+I9+K9+M9+O9</f>
        <v>5</v>
      </c>
      <c r="R9" s="95">
        <f t="shared" ref="R9:R27" si="1">Q9/D9</f>
        <v>2.4509803921568627E-3</v>
      </c>
    </row>
    <row r="10" spans="1:20" ht="18.75" customHeight="1" x14ac:dyDescent="0.15">
      <c r="A10" s="88"/>
      <c r="B10" s="197" t="s">
        <v>159</v>
      </c>
      <c r="C10" s="198"/>
      <c r="D10" s="121">
        <v>1220</v>
      </c>
      <c r="E10" s="122">
        <v>0</v>
      </c>
      <c r="F10" s="123">
        <v>0</v>
      </c>
      <c r="G10" s="99"/>
      <c r="H10" s="100"/>
      <c r="I10" s="97"/>
      <c r="J10" s="98"/>
      <c r="K10" s="99"/>
      <c r="L10" s="100"/>
      <c r="M10" s="97"/>
      <c r="N10" s="98"/>
      <c r="O10" s="99"/>
      <c r="P10" s="100"/>
      <c r="Q10" s="101">
        <f t="shared" si="0"/>
        <v>0</v>
      </c>
      <c r="R10" s="95">
        <f t="shared" si="1"/>
        <v>0</v>
      </c>
    </row>
    <row r="11" spans="1:20" ht="18.75" customHeight="1" x14ac:dyDescent="0.15">
      <c r="A11" s="88"/>
      <c r="B11" s="197" t="s">
        <v>160</v>
      </c>
      <c r="C11" s="198"/>
      <c r="D11" s="121">
        <v>1320</v>
      </c>
      <c r="E11" s="122">
        <v>5</v>
      </c>
      <c r="F11" s="123">
        <v>4</v>
      </c>
      <c r="G11" s="99"/>
      <c r="H11" s="100"/>
      <c r="I11" s="97"/>
      <c r="J11" s="98"/>
      <c r="K11" s="99"/>
      <c r="L11" s="100"/>
      <c r="M11" s="97"/>
      <c r="N11" s="98"/>
      <c r="O11" s="99"/>
      <c r="P11" s="100"/>
      <c r="Q11" s="101">
        <f t="shared" si="0"/>
        <v>5</v>
      </c>
      <c r="R11" s="95">
        <f t="shared" si="1"/>
        <v>3.787878787878788E-3</v>
      </c>
    </row>
    <row r="12" spans="1:20" ht="18.75" customHeight="1" x14ac:dyDescent="0.15">
      <c r="A12" s="88"/>
      <c r="B12" s="197" t="s">
        <v>161</v>
      </c>
      <c r="C12" s="198"/>
      <c r="D12" s="121">
        <v>1320</v>
      </c>
      <c r="E12" s="122">
        <v>2</v>
      </c>
      <c r="F12" s="123">
        <v>2</v>
      </c>
      <c r="G12" s="99"/>
      <c r="H12" s="100"/>
      <c r="I12" s="97"/>
      <c r="J12" s="98"/>
      <c r="K12" s="99"/>
      <c r="L12" s="100"/>
      <c r="M12" s="97"/>
      <c r="N12" s="98"/>
      <c r="O12" s="99"/>
      <c r="P12" s="100"/>
      <c r="Q12" s="101">
        <f t="shared" si="0"/>
        <v>2</v>
      </c>
      <c r="R12" s="95">
        <f t="shared" si="1"/>
        <v>1.5151515151515152E-3</v>
      </c>
    </row>
    <row r="13" spans="1:20" ht="18.75" customHeight="1" x14ac:dyDescent="0.15">
      <c r="A13" s="88"/>
      <c r="B13" s="197" t="s">
        <v>162</v>
      </c>
      <c r="C13" s="198"/>
      <c r="D13" s="121">
        <v>2000</v>
      </c>
      <c r="E13" s="122">
        <v>1</v>
      </c>
      <c r="F13" s="123">
        <v>1</v>
      </c>
      <c r="G13" s="99"/>
      <c r="H13" s="100"/>
      <c r="I13" s="97"/>
      <c r="J13" s="98"/>
      <c r="K13" s="99"/>
      <c r="L13" s="100"/>
      <c r="M13" s="97"/>
      <c r="N13" s="98"/>
      <c r="O13" s="99"/>
      <c r="P13" s="100"/>
      <c r="Q13" s="101">
        <f t="shared" si="0"/>
        <v>1</v>
      </c>
      <c r="R13" s="95">
        <f t="shared" si="1"/>
        <v>5.0000000000000001E-4</v>
      </c>
    </row>
    <row r="14" spans="1:20" ht="18.75" customHeight="1" x14ac:dyDescent="0.15">
      <c r="A14" s="88"/>
      <c r="B14" s="197" t="s">
        <v>163</v>
      </c>
      <c r="C14" s="198"/>
      <c r="D14" s="121">
        <v>880</v>
      </c>
      <c r="E14" s="122">
        <v>1</v>
      </c>
      <c r="F14" s="123">
        <v>1</v>
      </c>
      <c r="G14" s="99"/>
      <c r="H14" s="100"/>
      <c r="I14" s="97"/>
      <c r="J14" s="98"/>
      <c r="K14" s="99"/>
      <c r="L14" s="100"/>
      <c r="M14" s="97"/>
      <c r="N14" s="98"/>
      <c r="O14" s="99"/>
      <c r="P14" s="100"/>
      <c r="Q14" s="101">
        <f t="shared" si="0"/>
        <v>1</v>
      </c>
      <c r="R14" s="95">
        <f t="shared" si="1"/>
        <v>1.1363636363636363E-3</v>
      </c>
    </row>
    <row r="15" spans="1:20" ht="18.75" customHeight="1" x14ac:dyDescent="0.15">
      <c r="A15" s="88"/>
      <c r="B15" s="197" t="s">
        <v>164</v>
      </c>
      <c r="C15" s="198"/>
      <c r="D15" s="121">
        <v>744</v>
      </c>
      <c r="E15" s="122">
        <v>0</v>
      </c>
      <c r="F15" s="123">
        <v>0</v>
      </c>
      <c r="G15" s="99"/>
      <c r="H15" s="100"/>
      <c r="I15" s="97"/>
      <c r="J15" s="98"/>
      <c r="K15" s="99"/>
      <c r="L15" s="100"/>
      <c r="M15" s="97"/>
      <c r="N15" s="98"/>
      <c r="O15" s="99"/>
      <c r="P15" s="100"/>
      <c r="Q15" s="101">
        <f t="shared" si="0"/>
        <v>0</v>
      </c>
      <c r="R15" s="95">
        <f t="shared" si="1"/>
        <v>0</v>
      </c>
    </row>
    <row r="16" spans="1:20" ht="18.75" customHeight="1" x14ac:dyDescent="0.15">
      <c r="A16" s="88"/>
      <c r="B16" s="197" t="s">
        <v>165</v>
      </c>
      <c r="C16" s="198"/>
      <c r="D16" s="121">
        <v>1520</v>
      </c>
      <c r="E16" s="122">
        <v>11</v>
      </c>
      <c r="F16" s="123">
        <v>11</v>
      </c>
      <c r="G16" s="99"/>
      <c r="H16" s="100"/>
      <c r="I16" s="97"/>
      <c r="J16" s="98"/>
      <c r="K16" s="99"/>
      <c r="L16" s="100"/>
      <c r="M16" s="97"/>
      <c r="N16" s="98"/>
      <c r="O16" s="99"/>
      <c r="P16" s="100"/>
      <c r="Q16" s="101">
        <f>E16+G16+I16+K16+M16+O16</f>
        <v>11</v>
      </c>
      <c r="R16" s="95">
        <f t="shared" si="1"/>
        <v>7.2368421052631578E-3</v>
      </c>
    </row>
    <row r="17" spans="1:18" ht="18.75" customHeight="1" x14ac:dyDescent="0.15">
      <c r="A17" s="88"/>
      <c r="B17" s="195"/>
      <c r="C17" s="196"/>
      <c r="D17" s="96"/>
      <c r="E17" s="97"/>
      <c r="F17" s="98"/>
      <c r="G17" s="99"/>
      <c r="H17" s="100"/>
      <c r="I17" s="97"/>
      <c r="J17" s="98"/>
      <c r="K17" s="99"/>
      <c r="L17" s="100"/>
      <c r="M17" s="97"/>
      <c r="N17" s="98"/>
      <c r="O17" s="99"/>
      <c r="P17" s="100"/>
      <c r="Q17" s="101">
        <f t="shared" si="0"/>
        <v>0</v>
      </c>
      <c r="R17" s="95" t="e">
        <f t="shared" si="1"/>
        <v>#DIV/0!</v>
      </c>
    </row>
    <row r="18" spans="1:18" ht="18.75" customHeight="1" x14ac:dyDescent="0.15">
      <c r="A18" s="88"/>
      <c r="B18" s="195"/>
      <c r="C18" s="196"/>
      <c r="D18" s="96"/>
      <c r="E18" s="97"/>
      <c r="F18" s="98"/>
      <c r="G18" s="99"/>
      <c r="H18" s="100"/>
      <c r="I18" s="97"/>
      <c r="J18" s="98"/>
      <c r="K18" s="99"/>
      <c r="L18" s="100"/>
      <c r="M18" s="97"/>
      <c r="N18" s="98"/>
      <c r="O18" s="99"/>
      <c r="P18" s="100"/>
      <c r="Q18" s="101">
        <f t="shared" si="0"/>
        <v>0</v>
      </c>
      <c r="R18" s="95" t="e">
        <f t="shared" si="1"/>
        <v>#DIV/0!</v>
      </c>
    </row>
    <row r="19" spans="1:18" ht="18.75" customHeight="1" x14ac:dyDescent="0.15">
      <c r="A19" s="88"/>
      <c r="B19" s="195"/>
      <c r="C19" s="196"/>
      <c r="D19" s="96"/>
      <c r="E19" s="97"/>
      <c r="F19" s="98"/>
      <c r="G19" s="99"/>
      <c r="H19" s="100"/>
      <c r="I19" s="97"/>
      <c r="J19" s="98"/>
      <c r="K19" s="99"/>
      <c r="L19" s="100"/>
      <c r="M19" s="97"/>
      <c r="N19" s="98"/>
      <c r="O19" s="99"/>
      <c r="P19" s="100"/>
      <c r="Q19" s="101">
        <f t="shared" si="0"/>
        <v>0</v>
      </c>
      <c r="R19" s="95" t="e">
        <f t="shared" si="1"/>
        <v>#DIV/0!</v>
      </c>
    </row>
    <row r="20" spans="1:18" ht="18.75" customHeight="1" x14ac:dyDescent="0.15">
      <c r="A20" s="88"/>
      <c r="B20" s="195"/>
      <c r="C20" s="196"/>
      <c r="D20" s="96"/>
      <c r="E20" s="97"/>
      <c r="F20" s="98"/>
      <c r="G20" s="99"/>
      <c r="H20" s="100"/>
      <c r="I20" s="97"/>
      <c r="J20" s="98"/>
      <c r="K20" s="99"/>
      <c r="L20" s="100"/>
      <c r="M20" s="97"/>
      <c r="N20" s="98"/>
      <c r="O20" s="99"/>
      <c r="P20" s="100"/>
      <c r="Q20" s="101">
        <f t="shared" si="0"/>
        <v>0</v>
      </c>
      <c r="R20" s="95" t="e">
        <f t="shared" si="1"/>
        <v>#DIV/0!</v>
      </c>
    </row>
    <row r="21" spans="1:18" ht="18.75" customHeight="1" x14ac:dyDescent="0.15">
      <c r="A21" s="88"/>
      <c r="B21" s="195"/>
      <c r="C21" s="196"/>
      <c r="D21" s="96"/>
      <c r="E21" s="97"/>
      <c r="F21" s="98"/>
      <c r="G21" s="99"/>
      <c r="H21" s="100"/>
      <c r="I21" s="97"/>
      <c r="J21" s="98"/>
      <c r="K21" s="99"/>
      <c r="L21" s="100"/>
      <c r="M21" s="97"/>
      <c r="N21" s="98"/>
      <c r="O21" s="99"/>
      <c r="P21" s="100"/>
      <c r="Q21" s="101">
        <f t="shared" si="0"/>
        <v>0</v>
      </c>
      <c r="R21" s="95" t="e">
        <f t="shared" si="1"/>
        <v>#DIV/0!</v>
      </c>
    </row>
    <row r="22" spans="1:18" ht="18.75" customHeight="1" x14ac:dyDescent="0.15">
      <c r="A22" s="88"/>
      <c r="B22" s="195"/>
      <c r="C22" s="196"/>
      <c r="D22" s="96"/>
      <c r="E22" s="97"/>
      <c r="F22" s="98"/>
      <c r="G22" s="99"/>
      <c r="H22" s="100"/>
      <c r="I22" s="97"/>
      <c r="J22" s="98"/>
      <c r="K22" s="99"/>
      <c r="L22" s="100"/>
      <c r="M22" s="97"/>
      <c r="N22" s="98"/>
      <c r="O22" s="99"/>
      <c r="P22" s="100"/>
      <c r="Q22" s="101">
        <f t="shared" si="0"/>
        <v>0</v>
      </c>
      <c r="R22" s="95" t="e">
        <f t="shared" si="1"/>
        <v>#DIV/0!</v>
      </c>
    </row>
    <row r="23" spans="1:18" ht="18.75" customHeight="1" x14ac:dyDescent="0.15">
      <c r="A23" s="88"/>
      <c r="B23" s="195"/>
      <c r="C23" s="196"/>
      <c r="D23" s="96"/>
      <c r="E23" s="97"/>
      <c r="F23" s="98"/>
      <c r="G23" s="99"/>
      <c r="H23" s="100"/>
      <c r="I23" s="97"/>
      <c r="J23" s="98"/>
      <c r="K23" s="99"/>
      <c r="L23" s="100"/>
      <c r="M23" s="97"/>
      <c r="N23" s="98"/>
      <c r="O23" s="99"/>
      <c r="P23" s="100"/>
      <c r="Q23" s="101">
        <f t="shared" si="0"/>
        <v>0</v>
      </c>
      <c r="R23" s="95" t="e">
        <f t="shared" si="1"/>
        <v>#DIV/0!</v>
      </c>
    </row>
    <row r="24" spans="1:18" ht="18.75" customHeight="1" x14ac:dyDescent="0.15">
      <c r="A24" s="88"/>
      <c r="B24" s="195"/>
      <c r="C24" s="196"/>
      <c r="D24" s="96"/>
      <c r="E24" s="97"/>
      <c r="F24" s="98"/>
      <c r="G24" s="99"/>
      <c r="H24" s="100"/>
      <c r="I24" s="97"/>
      <c r="J24" s="98"/>
      <c r="K24" s="99"/>
      <c r="L24" s="100"/>
      <c r="M24" s="97"/>
      <c r="N24" s="98"/>
      <c r="O24" s="99"/>
      <c r="P24" s="100"/>
      <c r="Q24" s="101">
        <f t="shared" si="0"/>
        <v>0</v>
      </c>
      <c r="R24" s="95" t="e">
        <f t="shared" si="1"/>
        <v>#DIV/0!</v>
      </c>
    </row>
    <row r="25" spans="1:18" ht="18.75" customHeight="1" x14ac:dyDescent="0.15">
      <c r="A25" s="88"/>
      <c r="B25" s="195"/>
      <c r="C25" s="196"/>
      <c r="D25" s="96"/>
      <c r="E25" s="97"/>
      <c r="F25" s="98"/>
      <c r="G25" s="99"/>
      <c r="H25" s="100"/>
      <c r="I25" s="97"/>
      <c r="J25" s="98"/>
      <c r="K25" s="99"/>
      <c r="L25" s="100"/>
      <c r="M25" s="97"/>
      <c r="N25" s="98"/>
      <c r="O25" s="99"/>
      <c r="P25" s="100"/>
      <c r="Q25" s="101">
        <f t="shared" si="0"/>
        <v>0</v>
      </c>
      <c r="R25" s="95" t="e">
        <f t="shared" si="1"/>
        <v>#DIV/0!</v>
      </c>
    </row>
    <row r="26" spans="1:18" ht="18.75" customHeight="1" x14ac:dyDescent="0.15">
      <c r="A26" s="88"/>
      <c r="B26" s="195"/>
      <c r="C26" s="196"/>
      <c r="D26" s="96"/>
      <c r="E26" s="97"/>
      <c r="F26" s="98"/>
      <c r="G26" s="99"/>
      <c r="H26" s="100"/>
      <c r="I26" s="97"/>
      <c r="J26" s="98"/>
      <c r="K26" s="99"/>
      <c r="L26" s="100"/>
      <c r="M26" s="97"/>
      <c r="N26" s="98"/>
      <c r="O26" s="99"/>
      <c r="P26" s="100"/>
      <c r="Q26" s="101">
        <f t="shared" si="0"/>
        <v>0</v>
      </c>
      <c r="R26" s="95" t="e">
        <f t="shared" si="1"/>
        <v>#DIV/0!</v>
      </c>
    </row>
    <row r="27" spans="1:18" ht="18.75" customHeight="1" thickBot="1" x14ac:dyDescent="0.2">
      <c r="A27" s="88"/>
      <c r="B27" s="199"/>
      <c r="C27" s="200"/>
      <c r="D27" s="89"/>
      <c r="E27" s="90"/>
      <c r="F27" s="91"/>
      <c r="G27" s="92"/>
      <c r="H27" s="93"/>
      <c r="I27" s="90"/>
      <c r="J27" s="91"/>
      <c r="K27" s="92"/>
      <c r="L27" s="93"/>
      <c r="M27" s="90"/>
      <c r="N27" s="91"/>
      <c r="O27" s="92"/>
      <c r="P27" s="93"/>
      <c r="Q27" s="102">
        <f t="shared" si="0"/>
        <v>0</v>
      </c>
      <c r="R27" s="95" t="e">
        <f t="shared" si="1"/>
        <v>#DIV/0!</v>
      </c>
    </row>
    <row r="28" spans="1:18" ht="18.75" customHeight="1" thickTop="1" x14ac:dyDescent="0.15">
      <c r="A28" s="88"/>
      <c r="B28" s="189" t="s">
        <v>67</v>
      </c>
      <c r="C28" s="190"/>
      <c r="D28" s="103">
        <f t="shared" ref="D28:Q28" si="2">SUM(D8:D27)</f>
        <v>11220</v>
      </c>
      <c r="E28" s="104">
        <f t="shared" si="2"/>
        <v>25</v>
      </c>
      <c r="F28" s="105">
        <f t="shared" si="2"/>
        <v>23</v>
      </c>
      <c r="G28" s="106">
        <f t="shared" si="2"/>
        <v>0</v>
      </c>
      <c r="H28" s="107">
        <f t="shared" si="2"/>
        <v>0</v>
      </c>
      <c r="I28" s="104">
        <f t="shared" si="2"/>
        <v>0</v>
      </c>
      <c r="J28" s="105">
        <f t="shared" si="2"/>
        <v>0</v>
      </c>
      <c r="K28" s="106">
        <f t="shared" si="2"/>
        <v>0</v>
      </c>
      <c r="L28" s="107">
        <f t="shared" si="2"/>
        <v>0</v>
      </c>
      <c r="M28" s="104">
        <f t="shared" si="2"/>
        <v>0</v>
      </c>
      <c r="N28" s="105">
        <f t="shared" si="2"/>
        <v>0</v>
      </c>
      <c r="O28" s="106">
        <f t="shared" si="2"/>
        <v>0</v>
      </c>
      <c r="P28" s="107">
        <f t="shared" si="2"/>
        <v>0</v>
      </c>
      <c r="Q28" s="108">
        <f t="shared" si="2"/>
        <v>25</v>
      </c>
      <c r="R28" s="109">
        <f>Q28/D28</f>
        <v>2.2281639928698753E-3</v>
      </c>
    </row>
    <row r="29" spans="1:18" ht="6.75" customHeight="1" x14ac:dyDescent="0.15">
      <c r="A29" s="88"/>
      <c r="B29" s="88"/>
      <c r="C29" s="88"/>
      <c r="D29" s="110"/>
      <c r="E29" s="110"/>
      <c r="F29" s="110"/>
      <c r="G29" s="110"/>
      <c r="H29" s="110"/>
      <c r="I29" s="110"/>
      <c r="J29" s="110"/>
      <c r="K29" s="110"/>
      <c r="L29" s="110"/>
      <c r="M29" s="110"/>
      <c r="N29" s="110"/>
      <c r="O29" s="110"/>
      <c r="P29" s="110"/>
      <c r="Q29" s="110"/>
      <c r="R29" s="110"/>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6"/>
  <sheetViews>
    <sheetView tabSelected="1" view="pageBreakPreview" topLeftCell="A89" zoomScale="60" zoomScaleNormal="100" workbookViewId="0">
      <selection activeCell="V41" sqref="V41"/>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1" t="s">
        <v>103</v>
      </c>
    </row>
    <row r="2" spans="1:7" ht="18.75" customHeight="1" x14ac:dyDescent="0.15">
      <c r="F2" s="51" t="s">
        <v>75</v>
      </c>
      <c r="G2" s="1" t="s">
        <v>166</v>
      </c>
    </row>
    <row r="3" spans="1:7" ht="18.75" customHeight="1" x14ac:dyDescent="0.15">
      <c r="A3" s="209" t="s">
        <v>96</v>
      </c>
      <c r="B3" s="209"/>
      <c r="C3" s="209"/>
      <c r="D3" s="209"/>
      <c r="E3" s="209"/>
      <c r="F3" s="209"/>
      <c r="G3" s="209"/>
    </row>
    <row r="4" spans="1:7" ht="18.75" customHeight="1" x14ac:dyDescent="0.15">
      <c r="A4" s="1" t="s">
        <v>7</v>
      </c>
      <c r="B4" s="1" t="s">
        <v>95</v>
      </c>
    </row>
    <row r="5" spans="1:7" s="50" customFormat="1" ht="18.75" customHeight="1" x14ac:dyDescent="0.15">
      <c r="B5" s="68" t="s">
        <v>74</v>
      </c>
      <c r="C5" s="210" t="s">
        <v>110</v>
      </c>
      <c r="D5" s="211"/>
      <c r="E5" s="211"/>
      <c r="F5" s="211"/>
      <c r="G5" s="212"/>
    </row>
    <row r="6" spans="1:7" s="65" customFormat="1" ht="45" customHeight="1" x14ac:dyDescent="0.15">
      <c r="B6" s="235" t="s">
        <v>113</v>
      </c>
      <c r="C6" s="213" t="s">
        <v>167</v>
      </c>
      <c r="D6" s="214"/>
      <c r="E6" s="214"/>
      <c r="F6" s="214"/>
      <c r="G6" s="215"/>
    </row>
    <row r="7" spans="1:7" s="65" customFormat="1" ht="45" customHeight="1" x14ac:dyDescent="0.15">
      <c r="B7" s="236"/>
      <c r="C7" s="216"/>
      <c r="D7" s="217"/>
      <c r="E7" s="217"/>
      <c r="F7" s="217"/>
      <c r="G7" s="218"/>
    </row>
    <row r="8" spans="1:7" s="65" customFormat="1" ht="45" customHeight="1" x14ac:dyDescent="0.15">
      <c r="B8" s="236"/>
      <c r="C8" s="216"/>
      <c r="D8" s="217"/>
      <c r="E8" s="217"/>
      <c r="F8" s="217"/>
      <c r="G8" s="218"/>
    </row>
    <row r="9" spans="1:7" s="65" customFormat="1" ht="45" customHeight="1" x14ac:dyDescent="0.15">
      <c r="B9" s="236"/>
      <c r="C9" s="219"/>
      <c r="D9" s="220"/>
      <c r="E9" s="220"/>
      <c r="F9" s="220"/>
      <c r="G9" s="221"/>
    </row>
    <row r="10" spans="1:7" s="67" customFormat="1" ht="18.75" customHeight="1" x14ac:dyDescent="0.15">
      <c r="B10" s="236"/>
      <c r="C10" s="66" t="s">
        <v>111</v>
      </c>
      <c r="D10" s="264" t="s">
        <v>112</v>
      </c>
      <c r="E10" s="265"/>
      <c r="F10" s="265"/>
      <c r="G10" s="266"/>
    </row>
    <row r="11" spans="1:7" s="65" customFormat="1" ht="18.75" customHeight="1" x14ac:dyDescent="0.15">
      <c r="B11" s="236"/>
      <c r="C11" s="124" t="s">
        <v>168</v>
      </c>
      <c r="D11" s="206" t="s">
        <v>169</v>
      </c>
      <c r="E11" s="207"/>
      <c r="F11" s="207"/>
      <c r="G11" s="208"/>
    </row>
    <row r="12" spans="1:7" s="67" customFormat="1" ht="18.75" customHeight="1" x14ac:dyDescent="0.15">
      <c r="B12" s="236"/>
      <c r="C12" s="124" t="s">
        <v>170</v>
      </c>
      <c r="D12" s="206" t="s">
        <v>171</v>
      </c>
      <c r="E12" s="207"/>
      <c r="F12" s="207"/>
      <c r="G12" s="208"/>
    </row>
    <row r="13" spans="1:7" s="67" customFormat="1" ht="18.75" customHeight="1" x14ac:dyDescent="0.15">
      <c r="B13" s="236"/>
      <c r="C13" s="70"/>
      <c r="D13" s="267"/>
      <c r="E13" s="268"/>
      <c r="F13" s="268"/>
      <c r="G13" s="269"/>
    </row>
    <row r="14" spans="1:7" s="67" customFormat="1" ht="18.75" customHeight="1" x14ac:dyDescent="0.15">
      <c r="B14" s="236"/>
      <c r="C14" s="70"/>
      <c r="D14" s="267"/>
      <c r="E14" s="268"/>
      <c r="F14" s="268"/>
      <c r="G14" s="269"/>
    </row>
    <row r="15" spans="1:7" s="71" customFormat="1" ht="18.75" customHeight="1" x14ac:dyDescent="0.15">
      <c r="B15" s="236"/>
      <c r="C15" s="72"/>
      <c r="D15" s="210"/>
      <c r="E15" s="211"/>
      <c r="F15" s="211"/>
      <c r="G15" s="212"/>
    </row>
    <row r="16" spans="1:7" s="71" customFormat="1" ht="18.75" customHeight="1" x14ac:dyDescent="0.15">
      <c r="B16" s="236"/>
      <c r="C16" s="72"/>
      <c r="D16" s="210"/>
      <c r="E16" s="211"/>
      <c r="F16" s="211"/>
      <c r="G16" s="212"/>
    </row>
    <row r="17" spans="2:7" s="71" customFormat="1" ht="18.75" customHeight="1" x14ac:dyDescent="0.15">
      <c r="B17" s="236"/>
      <c r="C17" s="72"/>
      <c r="D17" s="210"/>
      <c r="E17" s="211"/>
      <c r="F17" s="211"/>
      <c r="G17" s="212"/>
    </row>
    <row r="18" spans="2:7" s="71" customFormat="1" ht="18.75" customHeight="1" x14ac:dyDescent="0.15">
      <c r="B18" s="236"/>
      <c r="C18" s="72"/>
      <c r="D18" s="210"/>
      <c r="E18" s="211"/>
      <c r="F18" s="211"/>
      <c r="G18" s="212"/>
    </row>
    <row r="19" spans="2:7" s="71" customFormat="1" ht="18.75" customHeight="1" x14ac:dyDescent="0.15">
      <c r="B19" s="236"/>
      <c r="C19" s="72"/>
      <c r="D19" s="210"/>
      <c r="E19" s="211"/>
      <c r="F19" s="211"/>
      <c r="G19" s="212"/>
    </row>
    <row r="20" spans="2:7" s="71" customFormat="1" ht="18.75" customHeight="1" x14ac:dyDescent="0.15">
      <c r="B20" s="236"/>
      <c r="C20" s="72"/>
      <c r="D20" s="210"/>
      <c r="E20" s="211"/>
      <c r="F20" s="211"/>
      <c r="G20" s="212"/>
    </row>
    <row r="21" spans="2:7" s="71" customFormat="1" ht="18.75" customHeight="1" x14ac:dyDescent="0.15">
      <c r="B21" s="236"/>
      <c r="C21" s="72"/>
      <c r="D21" s="210"/>
      <c r="E21" s="211"/>
      <c r="F21" s="211"/>
      <c r="G21" s="212"/>
    </row>
    <row r="22" spans="2:7" s="71" customFormat="1" ht="18.75" customHeight="1" x14ac:dyDescent="0.15">
      <c r="B22" s="236"/>
      <c r="C22" s="72"/>
      <c r="D22" s="210"/>
      <c r="E22" s="211"/>
      <c r="F22" s="211"/>
      <c r="G22" s="212"/>
    </row>
    <row r="23" spans="2:7" s="71" customFormat="1" ht="18.75" customHeight="1" x14ac:dyDescent="0.15">
      <c r="B23" s="236"/>
      <c r="C23" s="72"/>
      <c r="D23" s="210"/>
      <c r="E23" s="211"/>
      <c r="F23" s="211"/>
      <c r="G23" s="212"/>
    </row>
    <row r="24" spans="2:7" s="71" customFormat="1" ht="18.75" customHeight="1" x14ac:dyDescent="0.15">
      <c r="B24" s="236"/>
      <c r="C24" s="72"/>
      <c r="D24" s="210"/>
      <c r="E24" s="211"/>
      <c r="F24" s="211"/>
      <c r="G24" s="212"/>
    </row>
    <row r="25" spans="2:7" s="67" customFormat="1" ht="18.75" customHeight="1" x14ac:dyDescent="0.15">
      <c r="B25" s="236"/>
      <c r="C25" s="68"/>
      <c r="D25" s="210"/>
      <c r="E25" s="211"/>
      <c r="F25" s="211"/>
      <c r="G25" s="212"/>
    </row>
    <row r="26" spans="2:7" ht="18.75" customHeight="1" x14ac:dyDescent="0.15">
      <c r="B26" s="235" t="s">
        <v>114</v>
      </c>
      <c r="C26" s="210" t="s">
        <v>110</v>
      </c>
      <c r="D26" s="211"/>
      <c r="E26" s="211"/>
      <c r="F26" s="211"/>
      <c r="G26" s="212"/>
    </row>
    <row r="27" spans="2:7" ht="37.5" customHeight="1" x14ac:dyDescent="0.15">
      <c r="B27" s="236"/>
      <c r="C27" s="238" t="s">
        <v>172</v>
      </c>
      <c r="D27" s="239"/>
      <c r="E27" s="239"/>
      <c r="F27" s="239"/>
      <c r="G27" s="240"/>
    </row>
    <row r="28" spans="2:7" ht="37.5" customHeight="1" x14ac:dyDescent="0.15">
      <c r="B28" s="236"/>
      <c r="C28" s="241"/>
      <c r="D28" s="242"/>
      <c r="E28" s="242"/>
      <c r="F28" s="242"/>
      <c r="G28" s="243"/>
    </row>
    <row r="29" spans="2:7" ht="37.5" customHeight="1" x14ac:dyDescent="0.15">
      <c r="B29" s="236"/>
      <c r="C29" s="241"/>
      <c r="D29" s="242"/>
      <c r="E29" s="242"/>
      <c r="F29" s="242"/>
      <c r="G29" s="243"/>
    </row>
    <row r="30" spans="2:7" ht="37.5" customHeight="1" x14ac:dyDescent="0.15">
      <c r="B30" s="236"/>
      <c r="C30" s="241"/>
      <c r="D30" s="242"/>
      <c r="E30" s="242"/>
      <c r="F30" s="242"/>
      <c r="G30" s="243"/>
    </row>
    <row r="31" spans="2:7" ht="37.5" customHeight="1" x14ac:dyDescent="0.15">
      <c r="B31" s="236"/>
      <c r="C31" s="244"/>
      <c r="D31" s="245"/>
      <c r="E31" s="245"/>
      <c r="F31" s="245"/>
      <c r="G31" s="246"/>
    </row>
    <row r="32" spans="2:7" ht="18.75" customHeight="1" x14ac:dyDescent="0.15">
      <c r="B32" s="236"/>
      <c r="C32" s="66" t="s">
        <v>111</v>
      </c>
      <c r="D32" s="210" t="s">
        <v>112</v>
      </c>
      <c r="E32" s="211"/>
      <c r="F32" s="211"/>
      <c r="G32" s="212"/>
    </row>
    <row r="33" spans="2:7" ht="18.75" customHeight="1" x14ac:dyDescent="0.15">
      <c r="B33" s="236"/>
      <c r="C33" s="124" t="s">
        <v>173</v>
      </c>
      <c r="D33" s="206" t="s">
        <v>201</v>
      </c>
      <c r="E33" s="207"/>
      <c r="F33" s="207"/>
      <c r="G33" s="208"/>
    </row>
    <row r="34" spans="2:7" ht="18.75" customHeight="1" x14ac:dyDescent="0.15">
      <c r="B34" s="236"/>
      <c r="C34" s="115" t="s">
        <v>170</v>
      </c>
      <c r="D34" s="206" t="s">
        <v>174</v>
      </c>
      <c r="E34" s="207"/>
      <c r="F34" s="207"/>
      <c r="G34" s="208"/>
    </row>
    <row r="35" spans="2:7" ht="18.75" customHeight="1" x14ac:dyDescent="0.15">
      <c r="B35" s="236"/>
      <c r="C35" s="68"/>
      <c r="D35" s="203"/>
      <c r="E35" s="204"/>
      <c r="F35" s="204"/>
      <c r="G35" s="205"/>
    </row>
    <row r="36" spans="2:7" ht="18.75" customHeight="1" x14ac:dyDescent="0.15">
      <c r="B36" s="236"/>
      <c r="C36" s="68"/>
      <c r="D36" s="203"/>
      <c r="E36" s="204"/>
      <c r="F36" s="204"/>
      <c r="G36" s="205"/>
    </row>
    <row r="37" spans="2:7" ht="18.75" customHeight="1" x14ac:dyDescent="0.15">
      <c r="B37" s="236"/>
      <c r="C37" s="68"/>
      <c r="D37" s="203"/>
      <c r="E37" s="204"/>
      <c r="F37" s="204"/>
      <c r="G37" s="205"/>
    </row>
    <row r="38" spans="2:7" ht="18.75" customHeight="1" x14ac:dyDescent="0.15">
      <c r="B38" s="236"/>
      <c r="C38" s="68"/>
      <c r="D38" s="203"/>
      <c r="E38" s="204"/>
      <c r="F38" s="204"/>
      <c r="G38" s="205"/>
    </row>
    <row r="39" spans="2:7" ht="18.75" customHeight="1" x14ac:dyDescent="0.15">
      <c r="B39" s="236"/>
      <c r="C39" s="68"/>
      <c r="D39" s="203"/>
      <c r="E39" s="204"/>
      <c r="F39" s="204"/>
      <c r="G39" s="205"/>
    </row>
    <row r="40" spans="2:7" ht="18.75" customHeight="1" x14ac:dyDescent="0.15">
      <c r="B40" s="236"/>
      <c r="C40" s="68"/>
      <c r="D40" s="203"/>
      <c r="E40" s="204"/>
      <c r="F40" s="204"/>
      <c r="G40" s="205"/>
    </row>
    <row r="41" spans="2:7" ht="18.75" customHeight="1" x14ac:dyDescent="0.15">
      <c r="B41" s="236"/>
      <c r="C41" s="68"/>
      <c r="D41" s="203"/>
      <c r="E41" s="204"/>
      <c r="F41" s="204"/>
      <c r="G41" s="205"/>
    </row>
    <row r="42" spans="2:7" ht="18.75" customHeight="1" x14ac:dyDescent="0.15">
      <c r="B42" s="236"/>
      <c r="C42" s="68"/>
      <c r="D42" s="203"/>
      <c r="E42" s="204"/>
      <c r="F42" s="204"/>
      <c r="G42" s="205"/>
    </row>
    <row r="43" spans="2:7" ht="18.75" customHeight="1" x14ac:dyDescent="0.15">
      <c r="B43" s="236"/>
      <c r="C43" s="68"/>
      <c r="D43" s="203"/>
      <c r="E43" s="204"/>
      <c r="F43" s="204"/>
      <c r="G43" s="205"/>
    </row>
    <row r="44" spans="2:7" ht="18.75" customHeight="1" x14ac:dyDescent="0.15">
      <c r="B44" s="236"/>
      <c r="C44" s="68"/>
      <c r="D44" s="203"/>
      <c r="E44" s="204"/>
      <c r="F44" s="204"/>
      <c r="G44" s="205"/>
    </row>
    <row r="45" spans="2:7" ht="18.75" customHeight="1" x14ac:dyDescent="0.15">
      <c r="B45" s="236"/>
      <c r="C45" s="68"/>
      <c r="D45" s="203"/>
      <c r="E45" s="204"/>
      <c r="F45" s="204"/>
      <c r="G45" s="205"/>
    </row>
    <row r="46" spans="2:7" ht="18.75" customHeight="1" x14ac:dyDescent="0.15">
      <c r="B46" s="236"/>
      <c r="C46" s="68"/>
      <c r="D46" s="203"/>
      <c r="E46" s="204"/>
      <c r="F46" s="204"/>
      <c r="G46" s="205"/>
    </row>
    <row r="47" spans="2:7" ht="18.75" customHeight="1" x14ac:dyDescent="0.15">
      <c r="B47" s="236"/>
      <c r="C47" s="68"/>
      <c r="D47" s="203"/>
      <c r="E47" s="204"/>
      <c r="F47" s="204"/>
      <c r="G47" s="205"/>
    </row>
    <row r="48" spans="2:7" ht="18.75" customHeight="1" x14ac:dyDescent="0.15">
      <c r="B48" s="236"/>
      <c r="C48" s="68"/>
      <c r="D48" s="203"/>
      <c r="E48" s="204"/>
      <c r="F48" s="204"/>
      <c r="G48" s="205"/>
    </row>
    <row r="49" spans="2:7" ht="18.75" customHeight="1" x14ac:dyDescent="0.15">
      <c r="B49" s="236"/>
      <c r="C49" s="68"/>
      <c r="D49" s="203"/>
      <c r="E49" s="204"/>
      <c r="F49" s="204"/>
      <c r="G49" s="205"/>
    </row>
    <row r="50" spans="2:7" ht="18.75" customHeight="1" x14ac:dyDescent="0.15">
      <c r="B50" s="237"/>
      <c r="C50" s="68"/>
      <c r="D50" s="203"/>
      <c r="E50" s="204"/>
      <c r="F50" s="204"/>
      <c r="G50" s="205"/>
    </row>
    <row r="51" spans="2:7" ht="18.75" customHeight="1" x14ac:dyDescent="0.15">
      <c r="B51" s="235" t="s">
        <v>116</v>
      </c>
      <c r="C51" s="210" t="s">
        <v>110</v>
      </c>
      <c r="D51" s="211"/>
      <c r="E51" s="211"/>
      <c r="F51" s="211"/>
      <c r="G51" s="212"/>
    </row>
    <row r="52" spans="2:7" ht="37.5" customHeight="1" x14ac:dyDescent="0.15">
      <c r="B52" s="236"/>
      <c r="C52" s="247" t="s">
        <v>202</v>
      </c>
      <c r="D52" s="248"/>
      <c r="E52" s="248"/>
      <c r="F52" s="248"/>
      <c r="G52" s="249"/>
    </row>
    <row r="53" spans="2:7" ht="37.5" customHeight="1" x14ac:dyDescent="0.15">
      <c r="B53" s="236"/>
      <c r="C53" s="250"/>
      <c r="D53" s="251"/>
      <c r="E53" s="251"/>
      <c r="F53" s="251"/>
      <c r="G53" s="252"/>
    </row>
    <row r="54" spans="2:7" ht="37.5" customHeight="1" x14ac:dyDescent="0.15">
      <c r="B54" s="236"/>
      <c r="C54" s="250"/>
      <c r="D54" s="251"/>
      <c r="E54" s="251"/>
      <c r="F54" s="251"/>
      <c r="G54" s="252"/>
    </row>
    <row r="55" spans="2:7" ht="37.5" customHeight="1" x14ac:dyDescent="0.15">
      <c r="B55" s="236"/>
      <c r="C55" s="250"/>
      <c r="D55" s="251"/>
      <c r="E55" s="251"/>
      <c r="F55" s="251"/>
      <c r="G55" s="252"/>
    </row>
    <row r="56" spans="2:7" ht="37.5" customHeight="1" x14ac:dyDescent="0.15">
      <c r="B56" s="236"/>
      <c r="C56" s="253"/>
      <c r="D56" s="254"/>
      <c r="E56" s="254"/>
      <c r="F56" s="254"/>
      <c r="G56" s="255"/>
    </row>
    <row r="57" spans="2:7" ht="18.75" customHeight="1" x14ac:dyDescent="0.15">
      <c r="B57" s="236"/>
      <c r="C57" s="66" t="s">
        <v>111</v>
      </c>
      <c r="D57" s="210" t="s">
        <v>112</v>
      </c>
      <c r="E57" s="211"/>
      <c r="F57" s="211"/>
      <c r="G57" s="212"/>
    </row>
    <row r="58" spans="2:7" ht="18.75" customHeight="1" x14ac:dyDescent="0.15">
      <c r="B58" s="236"/>
      <c r="C58" s="124" t="s">
        <v>168</v>
      </c>
      <c r="D58" s="206" t="s">
        <v>175</v>
      </c>
      <c r="E58" s="207"/>
      <c r="F58" s="207"/>
      <c r="G58" s="208"/>
    </row>
    <row r="59" spans="2:7" ht="18.75" customHeight="1" x14ac:dyDescent="0.15">
      <c r="B59" s="236"/>
      <c r="C59" s="124" t="s">
        <v>170</v>
      </c>
      <c r="D59" s="206" t="s">
        <v>203</v>
      </c>
      <c r="E59" s="207"/>
      <c r="F59" s="207"/>
      <c r="G59" s="208"/>
    </row>
    <row r="60" spans="2:7" ht="18.75" customHeight="1" x14ac:dyDescent="0.15">
      <c r="B60" s="236"/>
      <c r="C60" s="78"/>
      <c r="D60" s="203"/>
      <c r="E60" s="204"/>
      <c r="F60" s="204"/>
      <c r="G60" s="205"/>
    </row>
    <row r="61" spans="2:7" ht="18.75" customHeight="1" x14ac:dyDescent="0.15">
      <c r="B61" s="236"/>
      <c r="C61" s="78"/>
      <c r="D61" s="203"/>
      <c r="E61" s="204"/>
      <c r="F61" s="204"/>
      <c r="G61" s="205"/>
    </row>
    <row r="62" spans="2:7" ht="18.75" customHeight="1" x14ac:dyDescent="0.15">
      <c r="B62" s="236"/>
      <c r="C62" s="78"/>
      <c r="D62" s="203"/>
      <c r="E62" s="204"/>
      <c r="F62" s="204"/>
      <c r="G62" s="205"/>
    </row>
    <row r="63" spans="2:7" ht="18.75" customHeight="1" x14ac:dyDescent="0.15">
      <c r="B63" s="236"/>
      <c r="C63" s="78"/>
      <c r="D63" s="203"/>
      <c r="E63" s="204"/>
      <c r="F63" s="204"/>
      <c r="G63" s="205"/>
    </row>
    <row r="64" spans="2:7" ht="18.75" customHeight="1" x14ac:dyDescent="0.15">
      <c r="B64" s="236"/>
      <c r="C64" s="78"/>
      <c r="D64" s="203"/>
      <c r="E64" s="204"/>
      <c r="F64" s="204"/>
      <c r="G64" s="205"/>
    </row>
    <row r="65" spans="2:7" ht="18.75" customHeight="1" x14ac:dyDescent="0.15">
      <c r="B65" s="236"/>
      <c r="C65" s="78"/>
      <c r="D65" s="203"/>
      <c r="E65" s="204"/>
      <c r="F65" s="204"/>
      <c r="G65" s="205"/>
    </row>
    <row r="66" spans="2:7" ht="18.75" customHeight="1" x14ac:dyDescent="0.15">
      <c r="B66" s="236"/>
      <c r="C66" s="78"/>
      <c r="D66" s="203"/>
      <c r="E66" s="204"/>
      <c r="F66" s="204"/>
      <c r="G66" s="205"/>
    </row>
    <row r="67" spans="2:7" ht="18.75" customHeight="1" x14ac:dyDescent="0.15">
      <c r="B67" s="236"/>
      <c r="C67" s="78"/>
      <c r="D67" s="203"/>
      <c r="E67" s="204"/>
      <c r="F67" s="204"/>
      <c r="G67" s="205"/>
    </row>
    <row r="68" spans="2:7" ht="18.75" customHeight="1" x14ac:dyDescent="0.15">
      <c r="B68" s="236"/>
      <c r="C68" s="78"/>
      <c r="D68" s="203"/>
      <c r="E68" s="204"/>
      <c r="F68" s="204"/>
      <c r="G68" s="205"/>
    </row>
    <row r="69" spans="2:7" ht="18.75" customHeight="1" x14ac:dyDescent="0.15">
      <c r="B69" s="236"/>
      <c r="C69" s="78"/>
      <c r="D69" s="203"/>
      <c r="E69" s="204"/>
      <c r="F69" s="204"/>
      <c r="G69" s="205"/>
    </row>
    <row r="70" spans="2:7" ht="18.75" customHeight="1" x14ac:dyDescent="0.15">
      <c r="B70" s="236"/>
      <c r="C70" s="78"/>
      <c r="D70" s="203"/>
      <c r="E70" s="204"/>
      <c r="F70" s="204"/>
      <c r="G70" s="205"/>
    </row>
    <row r="71" spans="2:7" ht="18.75" customHeight="1" x14ac:dyDescent="0.15">
      <c r="B71" s="236"/>
      <c r="C71" s="78"/>
      <c r="D71" s="203"/>
      <c r="E71" s="204"/>
      <c r="F71" s="204"/>
      <c r="G71" s="205"/>
    </row>
    <row r="72" spans="2:7" ht="18.75" customHeight="1" x14ac:dyDescent="0.15">
      <c r="B72" s="236"/>
      <c r="C72" s="78"/>
      <c r="D72" s="203"/>
      <c r="E72" s="204"/>
      <c r="F72" s="204"/>
      <c r="G72" s="205"/>
    </row>
    <row r="73" spans="2:7" ht="18.75" customHeight="1" x14ac:dyDescent="0.15">
      <c r="B73" s="236"/>
      <c r="C73" s="78"/>
      <c r="D73" s="203"/>
      <c r="E73" s="204"/>
      <c r="F73" s="204"/>
      <c r="G73" s="205"/>
    </row>
    <row r="74" spans="2:7" ht="18.75" customHeight="1" x14ac:dyDescent="0.15">
      <c r="B74" s="236"/>
      <c r="C74" s="68"/>
      <c r="D74" s="203"/>
      <c r="E74" s="204"/>
      <c r="F74" s="204"/>
      <c r="G74" s="205"/>
    </row>
    <row r="75" spans="2:7" ht="18.75" customHeight="1" x14ac:dyDescent="0.15">
      <c r="B75" s="236"/>
      <c r="C75" s="68"/>
      <c r="D75" s="203"/>
      <c r="E75" s="204"/>
      <c r="F75" s="204"/>
      <c r="G75" s="205"/>
    </row>
    <row r="76" spans="2:7" ht="18.75" customHeight="1" x14ac:dyDescent="0.15">
      <c r="B76" s="235" t="s">
        <v>115</v>
      </c>
      <c r="C76" s="210" t="s">
        <v>110</v>
      </c>
      <c r="D76" s="211"/>
      <c r="E76" s="211"/>
      <c r="F76" s="211"/>
      <c r="G76" s="212"/>
    </row>
    <row r="77" spans="2:7" ht="37.5" customHeight="1" x14ac:dyDescent="0.15">
      <c r="B77" s="236"/>
      <c r="C77" s="247" t="s">
        <v>176</v>
      </c>
      <c r="D77" s="256"/>
      <c r="E77" s="256"/>
      <c r="F77" s="256"/>
      <c r="G77" s="257"/>
    </row>
    <row r="78" spans="2:7" ht="37.5" customHeight="1" x14ac:dyDescent="0.15">
      <c r="B78" s="236"/>
      <c r="C78" s="258"/>
      <c r="D78" s="259"/>
      <c r="E78" s="259"/>
      <c r="F78" s="259"/>
      <c r="G78" s="260"/>
    </row>
    <row r="79" spans="2:7" ht="37.5" customHeight="1" x14ac:dyDescent="0.15">
      <c r="B79" s="236"/>
      <c r="C79" s="258"/>
      <c r="D79" s="259"/>
      <c r="E79" s="259"/>
      <c r="F79" s="259"/>
      <c r="G79" s="260"/>
    </row>
    <row r="80" spans="2:7" ht="37.5" customHeight="1" x14ac:dyDescent="0.15">
      <c r="B80" s="236"/>
      <c r="C80" s="258"/>
      <c r="D80" s="259"/>
      <c r="E80" s="259"/>
      <c r="F80" s="259"/>
      <c r="G80" s="260"/>
    </row>
    <row r="81" spans="2:7" ht="37.5" customHeight="1" x14ac:dyDescent="0.15">
      <c r="B81" s="236"/>
      <c r="C81" s="261"/>
      <c r="D81" s="262"/>
      <c r="E81" s="262"/>
      <c r="F81" s="262"/>
      <c r="G81" s="263"/>
    </row>
    <row r="82" spans="2:7" ht="18.75" customHeight="1" x14ac:dyDescent="0.15">
      <c r="B82" s="236"/>
      <c r="C82" s="66" t="s">
        <v>111</v>
      </c>
      <c r="D82" s="210" t="s">
        <v>112</v>
      </c>
      <c r="E82" s="211"/>
      <c r="F82" s="211"/>
      <c r="G82" s="212"/>
    </row>
    <row r="83" spans="2:7" ht="18.75" customHeight="1" x14ac:dyDescent="0.15">
      <c r="B83" s="236"/>
      <c r="C83" s="124" t="s">
        <v>168</v>
      </c>
      <c r="D83" s="206" t="s">
        <v>177</v>
      </c>
      <c r="E83" s="207"/>
      <c r="F83" s="207"/>
      <c r="G83" s="208"/>
    </row>
    <row r="84" spans="2:7" ht="18.75" customHeight="1" x14ac:dyDescent="0.15">
      <c r="B84" s="236"/>
      <c r="C84" s="78"/>
      <c r="D84" s="203"/>
      <c r="E84" s="204"/>
      <c r="F84" s="204"/>
      <c r="G84" s="205"/>
    </row>
    <row r="85" spans="2:7" ht="18.75" customHeight="1" x14ac:dyDescent="0.15">
      <c r="B85" s="236"/>
      <c r="C85" s="78"/>
      <c r="D85" s="203"/>
      <c r="E85" s="204"/>
      <c r="F85" s="204"/>
      <c r="G85" s="205"/>
    </row>
    <row r="86" spans="2:7" ht="18.75" customHeight="1" x14ac:dyDescent="0.15">
      <c r="B86" s="236"/>
      <c r="C86" s="78"/>
      <c r="D86" s="203"/>
      <c r="E86" s="204"/>
      <c r="F86" s="204"/>
      <c r="G86" s="205"/>
    </row>
    <row r="87" spans="2:7" ht="18.75" customHeight="1" x14ac:dyDescent="0.15">
      <c r="B87" s="236"/>
      <c r="C87" s="78"/>
      <c r="D87" s="203"/>
      <c r="E87" s="204"/>
      <c r="F87" s="204"/>
      <c r="G87" s="205"/>
    </row>
    <row r="88" spans="2:7" ht="18.75" customHeight="1" x14ac:dyDescent="0.15">
      <c r="B88" s="236"/>
      <c r="C88" s="78"/>
      <c r="D88" s="203"/>
      <c r="E88" s="204"/>
      <c r="F88" s="204"/>
      <c r="G88" s="205"/>
    </row>
    <row r="89" spans="2:7" ht="18.75" customHeight="1" x14ac:dyDescent="0.15">
      <c r="B89" s="236"/>
      <c r="C89" s="78"/>
      <c r="D89" s="203"/>
      <c r="E89" s="204"/>
      <c r="F89" s="204"/>
      <c r="G89" s="205"/>
    </row>
    <row r="90" spans="2:7" ht="18.75" customHeight="1" x14ac:dyDescent="0.15">
      <c r="B90" s="236"/>
      <c r="C90" s="78"/>
      <c r="D90" s="203"/>
      <c r="E90" s="204"/>
      <c r="F90" s="204"/>
      <c r="G90" s="205"/>
    </row>
    <row r="91" spans="2:7" ht="18.75" customHeight="1" x14ac:dyDescent="0.15">
      <c r="B91" s="236"/>
      <c r="C91" s="78"/>
      <c r="D91" s="203"/>
      <c r="E91" s="204"/>
      <c r="F91" s="204"/>
      <c r="G91" s="205"/>
    </row>
    <row r="92" spans="2:7" ht="18.75" customHeight="1" x14ac:dyDescent="0.15">
      <c r="B92" s="236"/>
      <c r="C92" s="78"/>
      <c r="D92" s="203"/>
      <c r="E92" s="204"/>
      <c r="F92" s="204"/>
      <c r="G92" s="205"/>
    </row>
    <row r="93" spans="2:7" ht="18.75" customHeight="1" x14ac:dyDescent="0.15">
      <c r="B93" s="236"/>
      <c r="C93" s="78"/>
      <c r="D93" s="203"/>
      <c r="E93" s="204"/>
      <c r="F93" s="204"/>
      <c r="G93" s="205"/>
    </row>
    <row r="94" spans="2:7" ht="18.75" customHeight="1" x14ac:dyDescent="0.15">
      <c r="B94" s="236"/>
      <c r="C94" s="78"/>
      <c r="D94" s="203"/>
      <c r="E94" s="204"/>
      <c r="F94" s="204"/>
      <c r="G94" s="205"/>
    </row>
    <row r="95" spans="2:7" ht="18.75" customHeight="1" x14ac:dyDescent="0.15">
      <c r="B95" s="236"/>
      <c r="C95" s="78"/>
      <c r="D95" s="203"/>
      <c r="E95" s="204"/>
      <c r="F95" s="204"/>
      <c r="G95" s="205"/>
    </row>
    <row r="96" spans="2:7" ht="18.75" customHeight="1" x14ac:dyDescent="0.15">
      <c r="B96" s="236"/>
      <c r="C96" s="78"/>
      <c r="D96" s="203"/>
      <c r="E96" s="204"/>
      <c r="F96" s="204"/>
      <c r="G96" s="205"/>
    </row>
    <row r="97" spans="2:7" ht="18.75" customHeight="1" x14ac:dyDescent="0.15">
      <c r="B97" s="236"/>
      <c r="C97" s="78"/>
      <c r="D97" s="203"/>
      <c r="E97" s="204"/>
      <c r="F97" s="204"/>
      <c r="G97" s="205"/>
    </row>
    <row r="98" spans="2:7" ht="18.75" customHeight="1" x14ac:dyDescent="0.15">
      <c r="B98" s="236"/>
      <c r="C98" s="78"/>
      <c r="D98" s="203"/>
      <c r="E98" s="204"/>
      <c r="F98" s="204"/>
      <c r="G98" s="205"/>
    </row>
    <row r="99" spans="2:7" ht="18.75" customHeight="1" x14ac:dyDescent="0.15">
      <c r="B99" s="236"/>
      <c r="C99" s="78"/>
      <c r="D99" s="203"/>
      <c r="E99" s="204"/>
      <c r="F99" s="204"/>
      <c r="G99" s="205"/>
    </row>
    <row r="100" spans="2:7" ht="18.75" customHeight="1" x14ac:dyDescent="0.15">
      <c r="B100" s="236"/>
      <c r="C100" s="68"/>
      <c r="D100" s="203"/>
      <c r="E100" s="204"/>
      <c r="F100" s="204"/>
      <c r="G100" s="205"/>
    </row>
    <row r="101" spans="2:7" ht="18.75" customHeight="1" x14ac:dyDescent="0.15">
      <c r="B101" s="235" t="s">
        <v>117</v>
      </c>
      <c r="C101" s="210" t="s">
        <v>110</v>
      </c>
      <c r="D101" s="211"/>
      <c r="E101" s="211"/>
      <c r="F101" s="211"/>
      <c r="G101" s="212"/>
    </row>
    <row r="102" spans="2:7" ht="52.5" customHeight="1" x14ac:dyDescent="0.15">
      <c r="B102" s="236"/>
      <c r="C102" s="247" t="s">
        <v>190</v>
      </c>
      <c r="D102" s="256"/>
      <c r="E102" s="256"/>
      <c r="F102" s="256"/>
      <c r="G102" s="257"/>
    </row>
    <row r="103" spans="2:7" ht="52.5" customHeight="1" x14ac:dyDescent="0.15">
      <c r="B103" s="236"/>
      <c r="C103" s="258"/>
      <c r="D103" s="259"/>
      <c r="E103" s="259"/>
      <c r="F103" s="259"/>
      <c r="G103" s="260"/>
    </row>
    <row r="104" spans="2:7" ht="52.5" customHeight="1" x14ac:dyDescent="0.15">
      <c r="B104" s="236"/>
      <c r="C104" s="258"/>
      <c r="D104" s="259"/>
      <c r="E104" s="259"/>
      <c r="F104" s="259"/>
      <c r="G104" s="260"/>
    </row>
    <row r="105" spans="2:7" ht="52.5" customHeight="1" x14ac:dyDescent="0.15">
      <c r="B105" s="236"/>
      <c r="C105" s="258"/>
      <c r="D105" s="259"/>
      <c r="E105" s="259"/>
      <c r="F105" s="259"/>
      <c r="G105" s="260"/>
    </row>
    <row r="106" spans="2:7" ht="52.5" customHeight="1" x14ac:dyDescent="0.15">
      <c r="B106" s="236"/>
      <c r="C106" s="261"/>
      <c r="D106" s="262"/>
      <c r="E106" s="262"/>
      <c r="F106" s="262"/>
      <c r="G106" s="263"/>
    </row>
    <row r="107" spans="2:7" ht="18.75" customHeight="1" x14ac:dyDescent="0.15">
      <c r="B107" s="236"/>
      <c r="C107" s="66" t="s">
        <v>111</v>
      </c>
      <c r="D107" s="210" t="s">
        <v>112</v>
      </c>
      <c r="E107" s="211"/>
      <c r="F107" s="211"/>
      <c r="G107" s="212"/>
    </row>
    <row r="108" spans="2:7" ht="18.75" customHeight="1" x14ac:dyDescent="0.15">
      <c r="B108" s="236"/>
      <c r="C108" s="115" t="s">
        <v>170</v>
      </c>
      <c r="D108" s="206" t="s">
        <v>178</v>
      </c>
      <c r="E108" s="207"/>
      <c r="F108" s="207"/>
      <c r="G108" s="208"/>
    </row>
    <row r="109" spans="2:7" ht="18.75" customHeight="1" x14ac:dyDescent="0.15">
      <c r="B109" s="236"/>
      <c r="C109" s="78"/>
      <c r="D109" s="203"/>
      <c r="E109" s="204"/>
      <c r="F109" s="204"/>
      <c r="G109" s="205"/>
    </row>
    <row r="110" spans="2:7" ht="18.75" customHeight="1" x14ac:dyDescent="0.15">
      <c r="B110" s="236"/>
      <c r="C110" s="78"/>
      <c r="D110" s="203"/>
      <c r="E110" s="204"/>
      <c r="F110" s="204"/>
      <c r="G110" s="205"/>
    </row>
    <row r="111" spans="2:7" ht="18.75" customHeight="1" x14ac:dyDescent="0.15">
      <c r="B111" s="236"/>
      <c r="C111" s="78"/>
      <c r="D111" s="203"/>
      <c r="E111" s="204"/>
      <c r="F111" s="204"/>
      <c r="G111" s="205"/>
    </row>
    <row r="112" spans="2:7" ht="18.75" customHeight="1" x14ac:dyDescent="0.15">
      <c r="B112" s="236"/>
      <c r="C112" s="78"/>
      <c r="D112" s="203"/>
      <c r="E112" s="204"/>
      <c r="F112" s="204"/>
      <c r="G112" s="205"/>
    </row>
    <row r="113" spans="1:7" ht="18.75" customHeight="1" x14ac:dyDescent="0.15">
      <c r="B113" s="236"/>
      <c r="C113" s="78"/>
      <c r="D113" s="203"/>
      <c r="E113" s="204"/>
      <c r="F113" s="204"/>
      <c r="G113" s="205"/>
    </row>
    <row r="114" spans="1:7" ht="18.75" customHeight="1" x14ac:dyDescent="0.15">
      <c r="B114" s="236"/>
      <c r="C114" s="78"/>
      <c r="D114" s="203"/>
      <c r="E114" s="204"/>
      <c r="F114" s="204"/>
      <c r="G114" s="205"/>
    </row>
    <row r="115" spans="1:7" ht="18.75" customHeight="1" x14ac:dyDescent="0.15">
      <c r="B115" s="236"/>
      <c r="C115" s="78"/>
      <c r="D115" s="203"/>
      <c r="E115" s="204"/>
      <c r="F115" s="204"/>
      <c r="G115" s="205"/>
    </row>
    <row r="116" spans="1:7" ht="18.75" customHeight="1" x14ac:dyDescent="0.15">
      <c r="B116" s="236"/>
      <c r="C116" s="78"/>
      <c r="D116" s="203"/>
      <c r="E116" s="204"/>
      <c r="F116" s="204"/>
      <c r="G116" s="205"/>
    </row>
    <row r="117" spans="1:7" ht="18.75" customHeight="1" x14ac:dyDescent="0.15">
      <c r="B117" s="236"/>
      <c r="C117" s="78"/>
      <c r="D117" s="203"/>
      <c r="E117" s="204"/>
      <c r="F117" s="204"/>
      <c r="G117" s="205"/>
    </row>
    <row r="118" spans="1:7" ht="18.75" customHeight="1" x14ac:dyDescent="0.15">
      <c r="B118" s="236"/>
      <c r="C118" s="78"/>
      <c r="D118" s="203"/>
      <c r="E118" s="204"/>
      <c r="F118" s="204"/>
      <c r="G118" s="205"/>
    </row>
    <row r="119" spans="1:7" ht="18.75" customHeight="1" x14ac:dyDescent="0.15">
      <c r="B119" s="236"/>
      <c r="C119" s="78"/>
      <c r="D119" s="203"/>
      <c r="E119" s="204"/>
      <c r="F119" s="204"/>
      <c r="G119" s="205"/>
    </row>
    <row r="120" spans="1:7" ht="18.75" customHeight="1" x14ac:dyDescent="0.15">
      <c r="B120" s="236"/>
      <c r="C120" s="78"/>
      <c r="D120" s="203"/>
      <c r="E120" s="204"/>
      <c r="F120" s="204"/>
      <c r="G120" s="205"/>
    </row>
    <row r="121" spans="1:7" ht="18.75" customHeight="1" x14ac:dyDescent="0.15">
      <c r="B121" s="236"/>
      <c r="C121" s="68"/>
      <c r="D121" s="203"/>
      <c r="E121" s="204"/>
      <c r="F121" s="204"/>
      <c r="G121" s="205"/>
    </row>
    <row r="122" spans="1:7" ht="18.75" customHeight="1" x14ac:dyDescent="0.15">
      <c r="A122" s="1" t="s">
        <v>12</v>
      </c>
      <c r="B122" s="1" t="s">
        <v>108</v>
      </c>
    </row>
    <row r="123" spans="1:7" ht="22.5" customHeight="1" x14ac:dyDescent="0.15">
      <c r="B123" s="68" t="s">
        <v>74</v>
      </c>
      <c r="C123" s="210" t="s">
        <v>107</v>
      </c>
      <c r="D123" s="211"/>
      <c r="E123" s="211"/>
      <c r="F123" s="211"/>
      <c r="G123" s="212"/>
    </row>
    <row r="124" spans="1:7" ht="45" customHeight="1" x14ac:dyDescent="0.15">
      <c r="B124" s="69" t="s">
        <v>76</v>
      </c>
      <c r="C124" s="232"/>
      <c r="D124" s="233"/>
      <c r="E124" s="233"/>
      <c r="F124" s="233"/>
      <c r="G124" s="234"/>
    </row>
    <row r="125" spans="1:7" ht="45" customHeight="1" x14ac:dyDescent="0.15">
      <c r="B125" s="69" t="s">
        <v>77</v>
      </c>
      <c r="C125" s="232"/>
      <c r="D125" s="233"/>
      <c r="E125" s="233"/>
      <c r="F125" s="233"/>
      <c r="G125" s="234"/>
    </row>
    <row r="126" spans="1:7" ht="45" customHeight="1" x14ac:dyDescent="0.15">
      <c r="B126" s="69" t="s">
        <v>78</v>
      </c>
      <c r="C126" s="232"/>
      <c r="D126" s="233"/>
      <c r="E126" s="233"/>
      <c r="F126" s="233"/>
      <c r="G126" s="234"/>
    </row>
    <row r="127" spans="1:7" ht="45" customHeight="1" x14ac:dyDescent="0.15">
      <c r="B127" s="69" t="s">
        <v>79</v>
      </c>
      <c r="C127" s="232"/>
      <c r="D127" s="233"/>
      <c r="E127" s="233"/>
      <c r="F127" s="233"/>
      <c r="G127" s="234"/>
    </row>
    <row r="128" spans="1:7" ht="45" customHeight="1" x14ac:dyDescent="0.15">
      <c r="B128" s="69" t="s">
        <v>80</v>
      </c>
      <c r="C128" s="232"/>
      <c r="D128" s="233"/>
      <c r="E128" s="233"/>
      <c r="F128" s="233"/>
      <c r="G128" s="234"/>
    </row>
    <row r="129" spans="1:7" ht="45" customHeight="1" x14ac:dyDescent="0.15">
      <c r="B129" s="69" t="s">
        <v>81</v>
      </c>
      <c r="C129" s="232"/>
      <c r="D129" s="233"/>
      <c r="E129" s="233"/>
      <c r="F129" s="233"/>
      <c r="G129" s="234"/>
    </row>
    <row r="130" spans="1:7" ht="45" customHeight="1" x14ac:dyDescent="0.15">
      <c r="B130" s="69" t="s">
        <v>82</v>
      </c>
      <c r="C130" s="232" t="s">
        <v>170</v>
      </c>
      <c r="D130" s="233"/>
      <c r="E130" s="233"/>
      <c r="F130" s="233"/>
      <c r="G130" s="234"/>
    </row>
    <row r="131" spans="1:7" ht="45" customHeight="1" x14ac:dyDescent="0.15">
      <c r="B131" s="69" t="s">
        <v>83</v>
      </c>
      <c r="C131" s="232" t="s">
        <v>170</v>
      </c>
      <c r="D131" s="233"/>
      <c r="E131" s="233"/>
      <c r="F131" s="233"/>
      <c r="G131" s="234"/>
    </row>
    <row r="132" spans="1:7" ht="45" customHeight="1" x14ac:dyDescent="0.15">
      <c r="B132" s="69" t="s">
        <v>84</v>
      </c>
      <c r="C132" s="232"/>
      <c r="D132" s="233"/>
      <c r="E132" s="233"/>
      <c r="F132" s="233"/>
      <c r="G132" s="234"/>
    </row>
    <row r="133" spans="1:7" ht="7.5" customHeight="1" x14ac:dyDescent="0.15"/>
    <row r="134" spans="1:7" ht="18.75" customHeight="1" x14ac:dyDescent="0.15">
      <c r="A134" s="1" t="s">
        <v>99</v>
      </c>
      <c r="B134" s="1" t="s">
        <v>100</v>
      </c>
      <c r="E134" s="231" t="s">
        <v>191</v>
      </c>
      <c r="F134" s="161"/>
      <c r="G134" s="162"/>
    </row>
    <row r="135" spans="1:7" ht="7.5" customHeight="1" x14ac:dyDescent="0.15"/>
    <row r="136" spans="1:7" ht="18.75" customHeight="1" x14ac:dyDescent="0.15">
      <c r="A136" s="1" t="s">
        <v>101</v>
      </c>
      <c r="B136" s="1" t="s">
        <v>102</v>
      </c>
    </row>
    <row r="137" spans="1:7" ht="18.75" customHeight="1" x14ac:dyDescent="0.15">
      <c r="B137" s="222" t="s">
        <v>193</v>
      </c>
      <c r="C137" s="223"/>
      <c r="D137" s="223"/>
      <c r="E137" s="223"/>
      <c r="F137" s="223"/>
      <c r="G137" s="224"/>
    </row>
    <row r="138" spans="1:7" ht="18.75" customHeight="1" x14ac:dyDescent="0.15">
      <c r="B138" s="225"/>
      <c r="C138" s="226"/>
      <c r="D138" s="226"/>
      <c r="E138" s="226"/>
      <c r="F138" s="226"/>
      <c r="G138" s="227"/>
    </row>
    <row r="139" spans="1:7" ht="18.75" customHeight="1" x14ac:dyDescent="0.15">
      <c r="B139" s="225"/>
      <c r="C139" s="226"/>
      <c r="D139" s="226"/>
      <c r="E139" s="226"/>
      <c r="F139" s="226"/>
      <c r="G139" s="227"/>
    </row>
    <row r="140" spans="1:7" ht="18.75" customHeight="1" x14ac:dyDescent="0.15">
      <c r="B140" s="228"/>
      <c r="C140" s="229"/>
      <c r="D140" s="229"/>
      <c r="E140" s="229"/>
      <c r="F140" s="229"/>
      <c r="G140" s="230"/>
    </row>
    <row r="141" spans="1:7" ht="18.75" customHeight="1" x14ac:dyDescent="0.15"/>
    <row r="142" spans="1:7" ht="18.75" customHeight="1" x14ac:dyDescent="0.15"/>
    <row r="143" spans="1:7" ht="18.75" customHeight="1" x14ac:dyDescent="0.15"/>
    <row r="144" spans="1:7" ht="18.75" customHeight="1" x14ac:dyDescent="0.15"/>
    <row r="145" ht="18.75" customHeight="1" x14ac:dyDescent="0.15"/>
    <row r="146" ht="18.75" customHeight="1" x14ac:dyDescent="0.15"/>
  </sheetData>
  <mergeCells count="116">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1"/>
    <mergeCell ref="C101:G101"/>
    <mergeCell ref="C102:G106"/>
    <mergeCell ref="D107:G107"/>
    <mergeCell ref="D121:G121"/>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37:G140"/>
    <mergeCell ref="E134:G134"/>
    <mergeCell ref="C123:G123"/>
    <mergeCell ref="C129:G129"/>
    <mergeCell ref="C130:G130"/>
    <mergeCell ref="C131:G131"/>
    <mergeCell ref="C132:G132"/>
    <mergeCell ref="C124:G124"/>
    <mergeCell ref="B6:B25"/>
    <mergeCell ref="C125:G125"/>
    <mergeCell ref="C126:G126"/>
    <mergeCell ref="C127:G127"/>
    <mergeCell ref="C128:G128"/>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0:G120"/>
    <mergeCell ref="D119:G119"/>
    <mergeCell ref="D116:G116"/>
    <mergeCell ref="D108:G108"/>
    <mergeCell ref="D109:G109"/>
    <mergeCell ref="D110:G110"/>
    <mergeCell ref="D111:G111"/>
    <mergeCell ref="D112:G112"/>
    <mergeCell ref="D113:G113"/>
    <mergeCell ref="D114:G114"/>
    <mergeCell ref="D115:G115"/>
    <mergeCell ref="D117:G117"/>
    <mergeCell ref="D118:G118"/>
  </mergeCells>
  <phoneticPr fontId="1"/>
  <hyperlinks>
    <hyperlink ref="E134" r:id="rId1" xr:uid="{6F3A623B-555E-47E6-BBD0-95F18047B18E}"/>
  </hyperlinks>
  <printOptions horizontalCentered="1"/>
  <pageMargins left="0.78740157480314965" right="0.78740157480314965" top="0.59055118110236227" bottom="0.39370078740157483" header="0.31496062992125984" footer="0.31496062992125984"/>
  <pageSetup paperSize="9" orientation="landscape" r:id="rId2"/>
  <rowBreaks count="5" manualBreakCount="5">
    <brk id="25" max="16383" man="1"/>
    <brk id="50" max="16383" man="1"/>
    <brk id="75" max="16383" man="1"/>
    <brk id="100" max="16383" man="1"/>
    <brk id="12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abSelected="1" view="pageBreakPreview" topLeftCell="A97" zoomScale="60" zoomScaleNormal="100" workbookViewId="0">
      <selection activeCell="V41" sqref="V41"/>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2" t="s">
        <v>109</v>
      </c>
    </row>
    <row r="2" spans="1:5" ht="18.75" customHeight="1" x14ac:dyDescent="0.15">
      <c r="B2" s="52" t="s">
        <v>88</v>
      </c>
      <c r="C2" s="52" t="s">
        <v>8</v>
      </c>
      <c r="D2" s="280" t="s">
        <v>166</v>
      </c>
      <c r="E2" s="280"/>
    </row>
    <row r="3" spans="1:5" ht="7.5" customHeight="1" x14ac:dyDescent="0.15">
      <c r="B3" s="52"/>
      <c r="C3" s="52"/>
      <c r="D3" s="53"/>
      <c r="E3" s="53"/>
    </row>
    <row r="4" spans="1:5" ht="18.75" customHeight="1" x14ac:dyDescent="0.15">
      <c r="B4" s="188" t="s">
        <v>85</v>
      </c>
      <c r="C4" s="188"/>
      <c r="D4" s="188"/>
      <c r="E4" s="188"/>
    </row>
    <row r="5" spans="1:5" ht="7.5" customHeight="1" x14ac:dyDescent="0.15">
      <c r="B5" s="54"/>
      <c r="C5" s="54"/>
      <c r="D5" s="54"/>
      <c r="E5" s="54"/>
    </row>
    <row r="6" spans="1:5" ht="18.75" customHeight="1" x14ac:dyDescent="0.15">
      <c r="A6" s="15" t="s">
        <v>7</v>
      </c>
      <c r="B6" s="5" t="s">
        <v>98</v>
      </c>
      <c r="C6" s="60"/>
      <c r="D6" s="60"/>
      <c r="E6" s="60"/>
    </row>
    <row r="7" spans="1:5" ht="18.75" customHeight="1" x14ac:dyDescent="0.15">
      <c r="A7" s="15"/>
      <c r="B7" s="138" t="s">
        <v>179</v>
      </c>
      <c r="C7" s="139"/>
      <c r="D7" s="139"/>
      <c r="E7" s="159"/>
    </row>
    <row r="8" spans="1:5" ht="7.5" customHeight="1" x14ac:dyDescent="0.15">
      <c r="B8" s="60"/>
      <c r="C8" s="60"/>
      <c r="D8" s="60"/>
      <c r="E8" s="60"/>
    </row>
    <row r="9" spans="1:5" s="5" customFormat="1" ht="18.75" customHeight="1" x14ac:dyDescent="0.15">
      <c r="A9" s="15" t="s">
        <v>12</v>
      </c>
      <c r="B9" s="15" t="s">
        <v>46</v>
      </c>
      <c r="C9" s="15"/>
      <c r="D9" s="15"/>
      <c r="E9" s="15"/>
    </row>
    <row r="10" spans="1:5" s="10" customFormat="1" ht="30.95" customHeight="1" x14ac:dyDescent="0.15">
      <c r="A10" s="9"/>
      <c r="B10" s="326" t="s">
        <v>180</v>
      </c>
      <c r="C10" s="327"/>
      <c r="D10" s="327"/>
      <c r="E10" s="328"/>
    </row>
    <row r="11" spans="1:5" s="10" customFormat="1" ht="30.95" customHeight="1" x14ac:dyDescent="0.15">
      <c r="A11" s="9"/>
      <c r="B11" s="329"/>
      <c r="C11" s="155"/>
      <c r="D11" s="155"/>
      <c r="E11" s="330"/>
    </row>
    <row r="12" spans="1:5" s="10" customFormat="1" ht="30.95" customHeight="1" x14ac:dyDescent="0.15">
      <c r="A12" s="9"/>
      <c r="B12" s="329"/>
      <c r="C12" s="155"/>
      <c r="D12" s="155"/>
      <c r="E12" s="330"/>
    </row>
    <row r="13" spans="1:5" s="10" customFormat="1" ht="30.95" customHeight="1" x14ac:dyDescent="0.15">
      <c r="A13" s="9"/>
      <c r="B13" s="329"/>
      <c r="C13" s="155"/>
      <c r="D13" s="155"/>
      <c r="E13" s="330"/>
    </row>
    <row r="14" spans="1:5" s="10" customFormat="1" ht="30.95" customHeight="1" x14ac:dyDescent="0.15">
      <c r="A14" s="9"/>
      <c r="B14" s="331"/>
      <c r="C14" s="332"/>
      <c r="D14" s="332"/>
      <c r="E14" s="333"/>
    </row>
    <row r="15" spans="1:5" s="10" customFormat="1" ht="7.5" customHeight="1" x14ac:dyDescent="0.15">
      <c r="A15" s="9"/>
      <c r="B15" s="9"/>
      <c r="C15" s="9"/>
      <c r="D15" s="9"/>
      <c r="E15" s="9"/>
    </row>
    <row r="16" spans="1:5" s="5" customFormat="1" ht="18.75" customHeight="1" x14ac:dyDescent="0.15">
      <c r="A16" s="11" t="s">
        <v>13</v>
      </c>
      <c r="B16" s="11" t="s">
        <v>19</v>
      </c>
      <c r="C16" s="11"/>
      <c r="D16" s="11"/>
      <c r="E16" s="11"/>
    </row>
    <row r="17" spans="1:5" s="10" customFormat="1" ht="24.95" customHeight="1" x14ac:dyDescent="0.15">
      <c r="A17" s="9"/>
      <c r="B17" s="326" t="s">
        <v>206</v>
      </c>
      <c r="C17" s="327"/>
      <c r="D17" s="327"/>
      <c r="E17" s="328"/>
    </row>
    <row r="18" spans="1:5" s="10" customFormat="1" ht="24.95" customHeight="1" x14ac:dyDescent="0.15">
      <c r="A18" s="9"/>
      <c r="B18" s="329"/>
      <c r="C18" s="155"/>
      <c r="D18" s="155"/>
      <c r="E18" s="330"/>
    </row>
    <row r="19" spans="1:5" s="10" customFormat="1" ht="24.95" customHeight="1" x14ac:dyDescent="0.15">
      <c r="A19" s="9"/>
      <c r="B19" s="329"/>
      <c r="C19" s="155"/>
      <c r="D19" s="155"/>
      <c r="E19" s="330"/>
    </row>
    <row r="20" spans="1:5" s="10" customFormat="1" ht="24.95" customHeight="1" x14ac:dyDescent="0.15">
      <c r="A20" s="9"/>
      <c r="B20" s="329"/>
      <c r="C20" s="155"/>
      <c r="D20" s="155"/>
      <c r="E20" s="330"/>
    </row>
    <row r="21" spans="1:5" s="10" customFormat="1" ht="24.95" customHeight="1" x14ac:dyDescent="0.15">
      <c r="A21" s="9"/>
      <c r="B21" s="329"/>
      <c r="C21" s="155"/>
      <c r="D21" s="155"/>
      <c r="E21" s="330"/>
    </row>
    <row r="22" spans="1:5" s="10" customFormat="1" ht="24.95" customHeight="1" x14ac:dyDescent="0.15">
      <c r="A22" s="9"/>
      <c r="B22" s="329"/>
      <c r="C22" s="155"/>
      <c r="D22" s="155"/>
      <c r="E22" s="330"/>
    </row>
    <row r="23" spans="1:5" s="10" customFormat="1" ht="24.95" customHeight="1" x14ac:dyDescent="0.15">
      <c r="A23" s="9"/>
      <c r="B23" s="329"/>
      <c r="C23" s="155"/>
      <c r="D23" s="155"/>
      <c r="E23" s="330"/>
    </row>
    <row r="24" spans="1:5" s="10" customFormat="1" ht="24.95" customHeight="1" x14ac:dyDescent="0.15">
      <c r="A24" s="9"/>
      <c r="B24" s="329"/>
      <c r="C24" s="155"/>
      <c r="D24" s="155"/>
      <c r="E24" s="330"/>
    </row>
    <row r="25" spans="1:5" s="10" customFormat="1" ht="24.95" customHeight="1" x14ac:dyDescent="0.15">
      <c r="A25" s="9"/>
      <c r="B25" s="329"/>
      <c r="C25" s="155"/>
      <c r="D25" s="155"/>
      <c r="E25" s="330"/>
    </row>
    <row r="26" spans="1:5" s="10" customFormat="1" ht="24.95" customHeight="1" x14ac:dyDescent="0.15">
      <c r="A26" s="9"/>
      <c r="B26" s="329"/>
      <c r="C26" s="155"/>
      <c r="D26" s="155"/>
      <c r="E26" s="330"/>
    </row>
    <row r="27" spans="1:5" s="10" customFormat="1" ht="24.95" customHeight="1" x14ac:dyDescent="0.15">
      <c r="A27" s="9"/>
      <c r="B27" s="329"/>
      <c r="C27" s="155"/>
      <c r="D27" s="155"/>
      <c r="E27" s="330"/>
    </row>
    <row r="28" spans="1:5" s="10" customFormat="1" ht="24.95" customHeight="1" x14ac:dyDescent="0.15">
      <c r="A28" s="9"/>
      <c r="B28" s="331"/>
      <c r="C28" s="332"/>
      <c r="D28" s="332"/>
      <c r="E28" s="333"/>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95" customHeight="1" x14ac:dyDescent="0.15">
      <c r="A31" s="15"/>
      <c r="B31" s="270" t="s">
        <v>205</v>
      </c>
      <c r="C31" s="271"/>
      <c r="D31" s="271"/>
      <c r="E31" s="272"/>
    </row>
    <row r="32" spans="1:5" s="5" customFormat="1" ht="18.95" customHeight="1" x14ac:dyDescent="0.15">
      <c r="A32" s="15"/>
      <c r="B32" s="273"/>
      <c r="C32" s="274"/>
      <c r="D32" s="274"/>
      <c r="E32" s="275"/>
    </row>
    <row r="33" spans="1:5" s="5" customFormat="1" ht="18.95" customHeight="1" x14ac:dyDescent="0.15">
      <c r="A33" s="15"/>
      <c r="B33" s="273"/>
      <c r="C33" s="274"/>
      <c r="D33" s="274"/>
      <c r="E33" s="275"/>
    </row>
    <row r="34" spans="1:5" s="5" customFormat="1" ht="18.95" customHeight="1" x14ac:dyDescent="0.15">
      <c r="A34" s="15"/>
      <c r="B34" s="273"/>
      <c r="C34" s="274"/>
      <c r="D34" s="274"/>
      <c r="E34" s="275"/>
    </row>
    <row r="35" spans="1:5" s="5" customFormat="1" ht="18.95" customHeight="1" x14ac:dyDescent="0.15">
      <c r="A35" s="15"/>
      <c r="B35" s="273"/>
      <c r="C35" s="274"/>
      <c r="D35" s="274"/>
      <c r="E35" s="275"/>
    </row>
    <row r="36" spans="1:5" s="5" customFormat="1" ht="18.95" customHeight="1" x14ac:dyDescent="0.15">
      <c r="A36" s="15"/>
      <c r="B36" s="273"/>
      <c r="C36" s="274"/>
      <c r="D36" s="274"/>
      <c r="E36" s="275"/>
    </row>
    <row r="37" spans="1:5" s="5" customFormat="1" ht="18.95" customHeight="1" x14ac:dyDescent="0.15">
      <c r="A37" s="15"/>
      <c r="B37" s="273"/>
      <c r="C37" s="274"/>
      <c r="D37" s="274"/>
      <c r="E37" s="275"/>
    </row>
    <row r="38" spans="1:5" s="5" customFormat="1" ht="18.95" customHeight="1" x14ac:dyDescent="0.15">
      <c r="A38" s="15"/>
      <c r="B38" s="273"/>
      <c r="C38" s="274"/>
      <c r="D38" s="274"/>
      <c r="E38" s="275"/>
    </row>
    <row r="39" spans="1:5" s="5" customFormat="1" ht="18.95" customHeight="1" x14ac:dyDescent="0.15">
      <c r="A39" s="15"/>
      <c r="B39" s="273"/>
      <c r="C39" s="274"/>
      <c r="D39" s="274"/>
      <c r="E39" s="275"/>
    </row>
    <row r="40" spans="1:5" s="5" customFormat="1" ht="18.95" customHeight="1" x14ac:dyDescent="0.15">
      <c r="A40" s="15"/>
      <c r="B40" s="273"/>
      <c r="C40" s="274"/>
      <c r="D40" s="274"/>
      <c r="E40" s="275"/>
    </row>
    <row r="41" spans="1:5" s="5" customFormat="1" ht="18.95" customHeight="1" x14ac:dyDescent="0.15">
      <c r="A41" s="15"/>
      <c r="B41" s="273"/>
      <c r="C41" s="274"/>
      <c r="D41" s="274"/>
      <c r="E41" s="275"/>
    </row>
    <row r="42" spans="1:5" s="5" customFormat="1" ht="18.95" customHeight="1" x14ac:dyDescent="0.15">
      <c r="A42" s="15"/>
      <c r="B42" s="273"/>
      <c r="C42" s="274"/>
      <c r="D42" s="274"/>
      <c r="E42" s="275"/>
    </row>
    <row r="43" spans="1:5" s="5" customFormat="1" ht="18.95" customHeight="1" x14ac:dyDescent="0.15">
      <c r="A43" s="15"/>
      <c r="B43" s="273"/>
      <c r="C43" s="274"/>
      <c r="D43" s="274"/>
      <c r="E43" s="275"/>
    </row>
    <row r="44" spans="1:5" s="5" customFormat="1" ht="18.95" customHeight="1" x14ac:dyDescent="0.15">
      <c r="A44" s="15"/>
      <c r="B44" s="273"/>
      <c r="C44" s="274"/>
      <c r="D44" s="274"/>
      <c r="E44" s="275"/>
    </row>
    <row r="45" spans="1:5" ht="18.95" customHeight="1" x14ac:dyDescent="0.15">
      <c r="A45" s="8"/>
      <c r="B45" s="273"/>
      <c r="C45" s="274"/>
      <c r="D45" s="274"/>
      <c r="E45" s="275"/>
    </row>
    <row r="46" spans="1:5" ht="18.95" customHeight="1" x14ac:dyDescent="0.15">
      <c r="A46" s="8"/>
      <c r="B46" s="276"/>
      <c r="C46" s="277"/>
      <c r="D46" s="277"/>
      <c r="E46" s="278"/>
    </row>
    <row r="47" spans="1:5" s="5" customFormat="1" ht="18.75" customHeight="1" x14ac:dyDescent="0.15">
      <c r="A47" s="7" t="s">
        <v>14</v>
      </c>
      <c r="B47" s="15" t="s">
        <v>86</v>
      </c>
      <c r="C47" s="7"/>
      <c r="D47" s="7"/>
      <c r="E47" s="7"/>
    </row>
    <row r="48" spans="1:5" ht="18.75" customHeight="1" x14ac:dyDescent="0.15">
      <c r="A48" s="8"/>
      <c r="B48" s="270" t="s">
        <v>184</v>
      </c>
      <c r="C48" s="281"/>
      <c r="D48" s="281"/>
      <c r="E48" s="282"/>
    </row>
    <row r="49" spans="1:5" ht="18.75" customHeight="1" x14ac:dyDescent="0.15">
      <c r="A49" s="8"/>
      <c r="B49" s="283"/>
      <c r="C49" s="284"/>
      <c r="D49" s="284"/>
      <c r="E49" s="285"/>
    </row>
    <row r="50" spans="1:5" ht="18.75" customHeight="1" x14ac:dyDescent="0.15">
      <c r="A50" s="8"/>
      <c r="B50" s="283"/>
      <c r="C50" s="284"/>
      <c r="D50" s="284"/>
      <c r="E50" s="285"/>
    </row>
    <row r="51" spans="1:5" ht="18.75" customHeight="1" x14ac:dyDescent="0.15">
      <c r="A51" s="8"/>
      <c r="B51" s="283"/>
      <c r="C51" s="284"/>
      <c r="D51" s="284"/>
      <c r="E51" s="285"/>
    </row>
    <row r="52" spans="1:5" ht="18.75" customHeight="1" x14ac:dyDescent="0.15">
      <c r="A52" s="8"/>
      <c r="B52" s="283"/>
      <c r="C52" s="284"/>
      <c r="D52" s="284"/>
      <c r="E52" s="285"/>
    </row>
    <row r="53" spans="1:5" ht="18.75" customHeight="1" x14ac:dyDescent="0.15">
      <c r="A53" s="8"/>
      <c r="B53" s="283"/>
      <c r="C53" s="284"/>
      <c r="D53" s="284"/>
      <c r="E53" s="285"/>
    </row>
    <row r="54" spans="1:5" ht="18.75" customHeight="1" x14ac:dyDescent="0.15">
      <c r="A54" s="8"/>
      <c r="B54" s="283"/>
      <c r="C54" s="284"/>
      <c r="D54" s="284"/>
      <c r="E54" s="285"/>
    </row>
    <row r="55" spans="1:5" ht="18.75" customHeight="1" x14ac:dyDescent="0.15">
      <c r="A55" s="8"/>
      <c r="B55" s="283"/>
      <c r="C55" s="284"/>
      <c r="D55" s="284"/>
      <c r="E55" s="285"/>
    </row>
    <row r="56" spans="1:5" ht="18.75" customHeight="1" x14ac:dyDescent="0.15">
      <c r="A56" s="8"/>
      <c r="B56" s="283"/>
      <c r="C56" s="284"/>
      <c r="D56" s="284"/>
      <c r="E56" s="285"/>
    </row>
    <row r="57" spans="1:5" ht="18.75" customHeight="1" x14ac:dyDescent="0.15">
      <c r="A57" s="8"/>
      <c r="B57" s="283"/>
      <c r="C57" s="284"/>
      <c r="D57" s="284"/>
      <c r="E57" s="285"/>
    </row>
    <row r="58" spans="1:5" ht="18.75" customHeight="1" x14ac:dyDescent="0.15">
      <c r="A58" s="8"/>
      <c r="B58" s="283"/>
      <c r="C58" s="284"/>
      <c r="D58" s="284"/>
      <c r="E58" s="285"/>
    </row>
    <row r="59" spans="1:5" ht="18.75" customHeight="1" x14ac:dyDescent="0.15">
      <c r="A59" s="8"/>
      <c r="B59" s="283"/>
      <c r="C59" s="284"/>
      <c r="D59" s="284"/>
      <c r="E59" s="285"/>
    </row>
    <row r="60" spans="1:5" ht="18.75" customHeight="1" x14ac:dyDescent="0.15">
      <c r="A60" s="8"/>
      <c r="B60" s="283"/>
      <c r="C60" s="284"/>
      <c r="D60" s="284"/>
      <c r="E60" s="285"/>
    </row>
    <row r="61" spans="1:5" ht="18.75" customHeight="1" x14ac:dyDescent="0.15">
      <c r="A61" s="8"/>
      <c r="B61" s="283"/>
      <c r="C61" s="284"/>
      <c r="D61" s="284"/>
      <c r="E61" s="285"/>
    </row>
    <row r="62" spans="1:5" ht="18.75" customHeight="1" x14ac:dyDescent="0.15">
      <c r="A62" s="8"/>
      <c r="B62" s="283"/>
      <c r="C62" s="284"/>
      <c r="D62" s="284"/>
      <c r="E62" s="285"/>
    </row>
    <row r="63" spans="1:5" ht="18.75" customHeight="1" x14ac:dyDescent="0.15">
      <c r="A63" s="8"/>
      <c r="B63" s="283"/>
      <c r="C63" s="284"/>
      <c r="D63" s="284"/>
      <c r="E63" s="285"/>
    </row>
    <row r="64" spans="1:5" ht="18.75" customHeight="1" x14ac:dyDescent="0.15">
      <c r="A64" s="8"/>
      <c r="B64" s="283"/>
      <c r="C64" s="284"/>
      <c r="D64" s="284"/>
      <c r="E64" s="285"/>
    </row>
    <row r="65" spans="1:5" ht="18.75" customHeight="1" x14ac:dyDescent="0.15">
      <c r="A65" s="8"/>
      <c r="B65" s="283"/>
      <c r="C65" s="284"/>
      <c r="D65" s="284"/>
      <c r="E65" s="285"/>
    </row>
    <row r="66" spans="1:5" ht="18.75" customHeight="1" x14ac:dyDescent="0.15">
      <c r="A66" s="8"/>
      <c r="B66" s="283"/>
      <c r="C66" s="284"/>
      <c r="D66" s="284"/>
      <c r="E66" s="285"/>
    </row>
    <row r="67" spans="1:5" ht="18.75" customHeight="1" x14ac:dyDescent="0.15">
      <c r="A67" s="8"/>
      <c r="B67" s="283"/>
      <c r="C67" s="284"/>
      <c r="D67" s="284"/>
      <c r="E67" s="285"/>
    </row>
    <row r="68" spans="1:5" ht="18.75" customHeight="1" x14ac:dyDescent="0.15">
      <c r="A68" s="8"/>
      <c r="B68" s="286"/>
      <c r="C68" s="287"/>
      <c r="D68" s="287"/>
      <c r="E68" s="288"/>
    </row>
    <row r="69" spans="1:5" ht="7.5" customHeight="1" x14ac:dyDescent="0.15">
      <c r="A69" s="8"/>
      <c r="B69" s="8"/>
      <c r="C69" s="8"/>
      <c r="D69" s="8"/>
      <c r="E69" s="8"/>
    </row>
    <row r="70" spans="1:5" s="5" customFormat="1" ht="18.75" customHeight="1" x14ac:dyDescent="0.15">
      <c r="A70" s="15" t="s">
        <v>18</v>
      </c>
      <c r="B70" s="15" t="s">
        <v>97</v>
      </c>
      <c r="C70" s="15"/>
      <c r="D70" s="15"/>
      <c r="E70" s="15"/>
    </row>
    <row r="71" spans="1:5" s="5" customFormat="1" ht="18.75" customHeight="1" x14ac:dyDescent="0.15">
      <c r="A71" s="15"/>
      <c r="B71" s="270" t="s">
        <v>192</v>
      </c>
      <c r="C71" s="271"/>
      <c r="D71" s="271"/>
      <c r="E71" s="272"/>
    </row>
    <row r="72" spans="1:5" s="5" customFormat="1" ht="18.75" customHeight="1" x14ac:dyDescent="0.15">
      <c r="A72" s="15"/>
      <c r="B72" s="273"/>
      <c r="C72" s="274"/>
      <c r="D72" s="274"/>
      <c r="E72" s="275"/>
    </row>
    <row r="73" spans="1:5" s="5" customFormat="1" ht="18.75" customHeight="1" x14ac:dyDescent="0.15">
      <c r="A73" s="15"/>
      <c r="B73" s="273"/>
      <c r="C73" s="274"/>
      <c r="D73" s="274"/>
      <c r="E73" s="275"/>
    </row>
    <row r="74" spans="1:5" s="5" customFormat="1" ht="18.75" customHeight="1" x14ac:dyDescent="0.15">
      <c r="A74" s="15"/>
      <c r="B74" s="273"/>
      <c r="C74" s="274"/>
      <c r="D74" s="274"/>
      <c r="E74" s="275"/>
    </row>
    <row r="75" spans="1:5" s="5" customFormat="1" ht="18.75" customHeight="1" x14ac:dyDescent="0.15">
      <c r="A75" s="15"/>
      <c r="B75" s="273"/>
      <c r="C75" s="274"/>
      <c r="D75" s="274"/>
      <c r="E75" s="275"/>
    </row>
    <row r="76" spans="1:5" s="5" customFormat="1" ht="18.75" customHeight="1" x14ac:dyDescent="0.15">
      <c r="A76" s="15"/>
      <c r="B76" s="273"/>
      <c r="C76" s="274"/>
      <c r="D76" s="274"/>
      <c r="E76" s="275"/>
    </row>
    <row r="77" spans="1:5" s="5" customFormat="1" ht="18.75" customHeight="1" x14ac:dyDescent="0.15">
      <c r="A77" s="15"/>
      <c r="B77" s="273"/>
      <c r="C77" s="274"/>
      <c r="D77" s="274"/>
      <c r="E77" s="275"/>
    </row>
    <row r="78" spans="1:5" s="5" customFormat="1" ht="18.75" customHeight="1" x14ac:dyDescent="0.15">
      <c r="A78" s="15"/>
      <c r="B78" s="273"/>
      <c r="C78" s="274"/>
      <c r="D78" s="274"/>
      <c r="E78" s="275"/>
    </row>
    <row r="79" spans="1:5" s="5" customFormat="1" ht="18.75" customHeight="1" x14ac:dyDescent="0.15">
      <c r="A79" s="15"/>
      <c r="B79" s="273"/>
      <c r="C79" s="274"/>
      <c r="D79" s="274"/>
      <c r="E79" s="275"/>
    </row>
    <row r="80" spans="1:5" s="5" customFormat="1" ht="18.75" customHeight="1" x14ac:dyDescent="0.15">
      <c r="A80" s="15"/>
      <c r="B80" s="273"/>
      <c r="C80" s="274"/>
      <c r="D80" s="274"/>
      <c r="E80" s="275"/>
    </row>
    <row r="81" spans="1:5" s="5" customFormat="1" ht="18.75" customHeight="1" x14ac:dyDescent="0.15">
      <c r="A81" s="15"/>
      <c r="B81" s="273"/>
      <c r="C81" s="274"/>
      <c r="D81" s="274"/>
      <c r="E81" s="275"/>
    </row>
    <row r="82" spans="1:5" s="5" customFormat="1" ht="18.75" customHeight="1" x14ac:dyDescent="0.15">
      <c r="A82" s="15"/>
      <c r="B82" s="273"/>
      <c r="C82" s="274"/>
      <c r="D82" s="274"/>
      <c r="E82" s="275"/>
    </row>
    <row r="83" spans="1:5" s="5" customFormat="1" ht="18.75" customHeight="1" x14ac:dyDescent="0.15">
      <c r="A83" s="15"/>
      <c r="B83" s="273"/>
      <c r="C83" s="274"/>
      <c r="D83" s="274"/>
      <c r="E83" s="275"/>
    </row>
    <row r="84" spans="1:5" s="5" customFormat="1" ht="18.75" customHeight="1" x14ac:dyDescent="0.15">
      <c r="A84" s="15"/>
      <c r="B84" s="273"/>
      <c r="C84" s="274"/>
      <c r="D84" s="274"/>
      <c r="E84" s="275"/>
    </row>
    <row r="85" spans="1:5" s="5" customFormat="1" ht="18.75" customHeight="1" x14ac:dyDescent="0.15">
      <c r="A85" s="15"/>
      <c r="B85" s="273"/>
      <c r="C85" s="274"/>
      <c r="D85" s="274"/>
      <c r="E85" s="275"/>
    </row>
    <row r="86" spans="1:5" s="5" customFormat="1" ht="18.75" customHeight="1" x14ac:dyDescent="0.15">
      <c r="A86" s="15"/>
      <c r="B86" s="273"/>
      <c r="C86" s="274"/>
      <c r="D86" s="274"/>
      <c r="E86" s="275"/>
    </row>
    <row r="87" spans="1:5" s="5" customFormat="1" ht="18.75" customHeight="1" x14ac:dyDescent="0.15">
      <c r="A87" s="15"/>
      <c r="B87" s="273"/>
      <c r="C87" s="274"/>
      <c r="D87" s="274"/>
      <c r="E87" s="275"/>
    </row>
    <row r="88" spans="1:5" ht="18.75" customHeight="1" x14ac:dyDescent="0.15">
      <c r="A88" s="8"/>
      <c r="B88" s="273"/>
      <c r="C88" s="274"/>
      <c r="D88" s="274"/>
      <c r="E88" s="275"/>
    </row>
    <row r="89" spans="1:5" ht="18.75" customHeight="1" x14ac:dyDescent="0.15">
      <c r="A89" s="8"/>
      <c r="B89" s="276"/>
      <c r="C89" s="277"/>
      <c r="D89" s="277"/>
      <c r="E89" s="278"/>
    </row>
    <row r="90" spans="1:5" ht="7.5" customHeight="1" x14ac:dyDescent="0.15">
      <c r="A90" s="8"/>
      <c r="B90" s="8"/>
      <c r="C90" s="8"/>
      <c r="D90" s="8"/>
      <c r="E90" s="8"/>
    </row>
    <row r="91" spans="1:5" s="5" customFormat="1" ht="18.75" customHeight="1" x14ac:dyDescent="0.15">
      <c r="A91" s="15" t="s">
        <v>15</v>
      </c>
      <c r="B91" s="15" t="s">
        <v>34</v>
      </c>
      <c r="C91" s="15"/>
      <c r="D91" s="15"/>
      <c r="E91" s="15"/>
    </row>
    <row r="92" spans="1:5" s="5" customFormat="1" ht="18.75" customHeight="1" x14ac:dyDescent="0.15">
      <c r="A92" s="15"/>
      <c r="B92" s="222" t="s">
        <v>181</v>
      </c>
      <c r="C92" s="223"/>
      <c r="D92" s="223"/>
      <c r="E92" s="224"/>
    </row>
    <row r="93" spans="1:5" s="5" customFormat="1" ht="18.75" customHeight="1" x14ac:dyDescent="0.15">
      <c r="A93" s="15"/>
      <c r="B93" s="225"/>
      <c r="C93" s="226"/>
      <c r="D93" s="226"/>
      <c r="E93" s="227"/>
    </row>
    <row r="94" spans="1:5" s="5" customFormat="1" ht="18.75" customHeight="1" x14ac:dyDescent="0.15">
      <c r="A94" s="15"/>
      <c r="B94" s="225"/>
      <c r="C94" s="226"/>
      <c r="D94" s="226"/>
      <c r="E94" s="227"/>
    </row>
    <row r="95" spans="1:5" s="5" customFormat="1" ht="18.75" customHeight="1" x14ac:dyDescent="0.15">
      <c r="A95" s="15"/>
      <c r="B95" s="225"/>
      <c r="C95" s="226"/>
      <c r="D95" s="226"/>
      <c r="E95" s="227"/>
    </row>
    <row r="96" spans="1:5" s="5" customFormat="1" ht="18.75" customHeight="1" x14ac:dyDescent="0.15">
      <c r="A96" s="15"/>
      <c r="B96" s="225"/>
      <c r="C96" s="226"/>
      <c r="D96" s="226"/>
      <c r="E96" s="227"/>
    </row>
    <row r="97" spans="1:5" s="5" customFormat="1" ht="18.75" customHeight="1" x14ac:dyDescent="0.15">
      <c r="A97" s="15"/>
      <c r="B97" s="225"/>
      <c r="C97" s="226"/>
      <c r="D97" s="226"/>
      <c r="E97" s="227"/>
    </row>
    <row r="98" spans="1:5" s="5" customFormat="1" ht="18.75" customHeight="1" x14ac:dyDescent="0.15">
      <c r="A98" s="15"/>
      <c r="B98" s="225"/>
      <c r="C98" s="226"/>
      <c r="D98" s="226"/>
      <c r="E98" s="227"/>
    </row>
    <row r="99" spans="1:5" s="5" customFormat="1" ht="18.75" customHeight="1" x14ac:dyDescent="0.15">
      <c r="A99" s="15"/>
      <c r="B99" s="225"/>
      <c r="C99" s="226"/>
      <c r="D99" s="226"/>
      <c r="E99" s="227"/>
    </row>
    <row r="100" spans="1:5" s="5" customFormat="1" ht="18.75" customHeight="1" x14ac:dyDescent="0.15">
      <c r="A100" s="15"/>
      <c r="B100" s="225"/>
      <c r="C100" s="226"/>
      <c r="D100" s="226"/>
      <c r="E100" s="227"/>
    </row>
    <row r="101" spans="1:5" s="5" customFormat="1" ht="18.75" customHeight="1" x14ac:dyDescent="0.15">
      <c r="A101" s="15"/>
      <c r="B101" s="225"/>
      <c r="C101" s="226"/>
      <c r="D101" s="226"/>
      <c r="E101" s="227"/>
    </row>
    <row r="102" spans="1:5" s="5" customFormat="1" ht="18.75" customHeight="1" x14ac:dyDescent="0.15">
      <c r="A102" s="15"/>
      <c r="B102" s="225"/>
      <c r="C102" s="226"/>
      <c r="D102" s="226"/>
      <c r="E102" s="227"/>
    </row>
    <row r="103" spans="1:5" s="5" customFormat="1" ht="18.75" customHeight="1" x14ac:dyDescent="0.15">
      <c r="A103" s="15"/>
      <c r="B103" s="225"/>
      <c r="C103" s="226"/>
      <c r="D103" s="226"/>
      <c r="E103" s="227"/>
    </row>
    <row r="104" spans="1:5" s="5" customFormat="1" ht="18.75" customHeight="1" x14ac:dyDescent="0.15">
      <c r="A104" s="15"/>
      <c r="B104" s="225"/>
      <c r="C104" s="226"/>
      <c r="D104" s="226"/>
      <c r="E104" s="227"/>
    </row>
    <row r="105" spans="1:5" s="5" customFormat="1" ht="18.75" customHeight="1" x14ac:dyDescent="0.15">
      <c r="A105" s="15"/>
      <c r="B105" s="225"/>
      <c r="C105" s="226"/>
      <c r="D105" s="226"/>
      <c r="E105" s="227"/>
    </row>
    <row r="106" spans="1:5" s="5" customFormat="1" ht="18.75" customHeight="1" x14ac:dyDescent="0.15">
      <c r="A106" s="15"/>
      <c r="B106" s="225"/>
      <c r="C106" s="226"/>
      <c r="D106" s="226"/>
      <c r="E106" s="227"/>
    </row>
    <row r="107" spans="1:5" s="5" customFormat="1" ht="18.75" customHeight="1" x14ac:dyDescent="0.15">
      <c r="A107" s="15"/>
      <c r="B107" s="225"/>
      <c r="C107" s="226"/>
      <c r="D107" s="226"/>
      <c r="E107" s="227"/>
    </row>
    <row r="108" spans="1:5" s="5" customFormat="1" ht="18.75" customHeight="1" x14ac:dyDescent="0.15">
      <c r="A108" s="15"/>
      <c r="B108" s="225"/>
      <c r="C108" s="226"/>
      <c r="D108" s="226"/>
      <c r="E108" s="227"/>
    </row>
    <row r="109" spans="1:5" s="5" customFormat="1" ht="18.75" customHeight="1" x14ac:dyDescent="0.15">
      <c r="A109" s="15"/>
      <c r="B109" s="225"/>
      <c r="C109" s="226"/>
      <c r="D109" s="226"/>
      <c r="E109" s="227"/>
    </row>
    <row r="110" spans="1:5" ht="18.75" customHeight="1" x14ac:dyDescent="0.15">
      <c r="A110" s="8"/>
      <c r="B110" s="225"/>
      <c r="C110" s="226"/>
      <c r="D110" s="226"/>
      <c r="E110" s="227"/>
    </row>
    <row r="111" spans="1:5" ht="18.75" customHeight="1" x14ac:dyDescent="0.15">
      <c r="A111" s="8"/>
      <c r="B111" s="228"/>
      <c r="C111" s="229"/>
      <c r="D111" s="229"/>
      <c r="E111" s="230"/>
    </row>
    <row r="112" spans="1:5" ht="7.5" customHeight="1" x14ac:dyDescent="0.15">
      <c r="A112" s="8"/>
      <c r="B112" s="8"/>
      <c r="C112" s="8"/>
      <c r="D112" s="8"/>
      <c r="E112" s="8"/>
    </row>
    <row r="113" spans="1:5" s="5" customFormat="1" ht="18.75" customHeight="1" x14ac:dyDescent="0.15">
      <c r="A113" s="15" t="s">
        <v>62</v>
      </c>
      <c r="B113" s="279" t="s">
        <v>136</v>
      </c>
      <c r="C113" s="279"/>
      <c r="D113" s="279"/>
      <c r="E113" s="279"/>
    </row>
    <row r="114" spans="1:5" ht="18.75" customHeight="1" x14ac:dyDescent="0.15">
      <c r="A114" s="8"/>
      <c r="B114" s="222" t="s">
        <v>182</v>
      </c>
      <c r="C114" s="223"/>
      <c r="D114" s="223"/>
      <c r="E114" s="224"/>
    </row>
    <row r="115" spans="1:5" ht="18.75" customHeight="1" x14ac:dyDescent="0.15">
      <c r="A115" s="8"/>
      <c r="B115" s="225"/>
      <c r="C115" s="226"/>
      <c r="D115" s="226"/>
      <c r="E115" s="227"/>
    </row>
    <row r="116" spans="1:5" ht="18.75" customHeight="1" x14ac:dyDescent="0.15">
      <c r="A116" s="8"/>
      <c r="B116" s="225"/>
      <c r="C116" s="226"/>
      <c r="D116" s="226"/>
      <c r="E116" s="227"/>
    </row>
    <row r="117" spans="1:5" ht="18.75" customHeight="1" x14ac:dyDescent="0.15">
      <c r="A117" s="8"/>
      <c r="B117" s="225"/>
      <c r="C117" s="226"/>
      <c r="D117" s="226"/>
      <c r="E117" s="227"/>
    </row>
    <row r="118" spans="1:5" ht="18.75" customHeight="1" x14ac:dyDescent="0.15">
      <c r="A118" s="8"/>
      <c r="B118" s="225"/>
      <c r="C118" s="226"/>
      <c r="D118" s="226"/>
      <c r="E118" s="227"/>
    </row>
    <row r="119" spans="1:5" ht="18.75" customHeight="1" x14ac:dyDescent="0.15">
      <c r="A119" s="8"/>
      <c r="B119" s="225"/>
      <c r="C119" s="226"/>
      <c r="D119" s="226"/>
      <c r="E119" s="227"/>
    </row>
    <row r="120" spans="1:5" ht="18.75" customHeight="1" x14ac:dyDescent="0.15">
      <c r="A120" s="8"/>
      <c r="B120" s="225"/>
      <c r="C120" s="226"/>
      <c r="D120" s="226"/>
      <c r="E120" s="227"/>
    </row>
    <row r="121" spans="1:5" ht="18.75" customHeight="1" x14ac:dyDescent="0.15">
      <c r="A121" s="8"/>
      <c r="B121" s="225"/>
      <c r="C121" s="226"/>
      <c r="D121" s="226"/>
      <c r="E121" s="227"/>
    </row>
    <row r="122" spans="1:5" ht="18.75" customHeight="1" x14ac:dyDescent="0.15">
      <c r="A122" s="8"/>
      <c r="B122" s="225"/>
      <c r="C122" s="226"/>
      <c r="D122" s="226"/>
      <c r="E122" s="227"/>
    </row>
    <row r="123" spans="1:5" ht="18.75" customHeight="1" x14ac:dyDescent="0.15">
      <c r="A123" s="8"/>
      <c r="B123" s="225"/>
      <c r="C123" s="226"/>
      <c r="D123" s="226"/>
      <c r="E123" s="227"/>
    </row>
    <row r="124" spans="1:5" ht="18.75" customHeight="1" x14ac:dyDescent="0.15">
      <c r="A124" s="8"/>
      <c r="B124" s="225"/>
      <c r="C124" s="226"/>
      <c r="D124" s="226"/>
      <c r="E124" s="227"/>
    </row>
    <row r="125" spans="1:5" ht="18.75" customHeight="1" x14ac:dyDescent="0.15">
      <c r="A125" s="8"/>
      <c r="B125" s="225"/>
      <c r="C125" s="226"/>
      <c r="D125" s="226"/>
      <c r="E125" s="227"/>
    </row>
    <row r="126" spans="1:5" ht="18.75" customHeight="1" x14ac:dyDescent="0.15">
      <c r="A126" s="8"/>
      <c r="B126" s="225"/>
      <c r="C126" s="226"/>
      <c r="D126" s="226"/>
      <c r="E126" s="227"/>
    </row>
    <row r="127" spans="1:5" ht="18.75" customHeight="1" x14ac:dyDescent="0.15">
      <c r="A127" s="8"/>
      <c r="B127" s="225"/>
      <c r="C127" s="226"/>
      <c r="D127" s="226"/>
      <c r="E127" s="227"/>
    </row>
    <row r="128" spans="1:5" ht="18.75" customHeight="1" x14ac:dyDescent="0.15">
      <c r="A128" s="8"/>
      <c r="B128" s="225"/>
      <c r="C128" s="226"/>
      <c r="D128" s="226"/>
      <c r="E128" s="227"/>
    </row>
    <row r="129" spans="1:5" ht="18.75" customHeight="1" x14ac:dyDescent="0.15">
      <c r="A129" s="8"/>
      <c r="B129" s="225"/>
      <c r="C129" s="226"/>
      <c r="D129" s="226"/>
      <c r="E129" s="227"/>
    </row>
    <row r="130" spans="1:5" ht="18.75" customHeight="1" x14ac:dyDescent="0.15">
      <c r="A130" s="8"/>
      <c r="B130" s="225"/>
      <c r="C130" s="226"/>
      <c r="D130" s="226"/>
      <c r="E130" s="227"/>
    </row>
    <row r="131" spans="1:5" ht="18.75" customHeight="1" x14ac:dyDescent="0.15">
      <c r="A131" s="8"/>
      <c r="B131" s="225"/>
      <c r="C131" s="226"/>
      <c r="D131" s="226"/>
      <c r="E131" s="227"/>
    </row>
    <row r="132" spans="1:5" ht="18.75" customHeight="1" x14ac:dyDescent="0.15">
      <c r="A132" s="8"/>
      <c r="B132" s="225"/>
      <c r="C132" s="226"/>
      <c r="D132" s="226"/>
      <c r="E132" s="227"/>
    </row>
    <row r="133" spans="1:5" ht="18.75" customHeight="1" x14ac:dyDescent="0.15">
      <c r="A133" s="8"/>
      <c r="B133" s="228"/>
      <c r="C133" s="229"/>
      <c r="D133" s="229"/>
      <c r="E133" s="230"/>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3" manualBreakCount="3">
    <brk id="29" max="4" man="1"/>
    <brk id="69" max="4" man="1"/>
    <brk id="112"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view="pageBreakPreview" zoomScale="60" zoomScaleNormal="90" workbookViewId="0">
      <selection activeCell="V41" sqref="V41"/>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75" style="1" customWidth="1"/>
    <col min="10" max="10" width="6.25" style="1" customWidth="1"/>
    <col min="11" max="11" width="4.125" style="1" customWidth="1"/>
    <col min="12" max="16384" width="11.375" style="1"/>
  </cols>
  <sheetData>
    <row r="1" spans="1:10" ht="18.75" customHeight="1" x14ac:dyDescent="0.15">
      <c r="J1" s="52" t="s">
        <v>9</v>
      </c>
    </row>
    <row r="2" spans="1:10" ht="18.75" customHeight="1" x14ac:dyDescent="0.15">
      <c r="D2" s="52"/>
      <c r="H2" s="52" t="s">
        <v>31</v>
      </c>
      <c r="I2" s="280" t="s">
        <v>166</v>
      </c>
      <c r="J2" s="280"/>
    </row>
    <row r="3" spans="1:10" ht="18.75" customHeight="1" x14ac:dyDescent="0.15">
      <c r="A3" s="188" t="s">
        <v>50</v>
      </c>
      <c r="B3" s="188"/>
      <c r="C3" s="188"/>
      <c r="D3" s="188"/>
      <c r="E3" s="188"/>
      <c r="F3" s="188"/>
      <c r="G3" s="188"/>
      <c r="H3" s="188"/>
      <c r="I3" s="188"/>
      <c r="J3" s="188"/>
    </row>
    <row r="4" spans="1:10" ht="7.5" customHeight="1" x14ac:dyDescent="0.15">
      <c r="B4" s="55"/>
      <c r="C4" s="55"/>
      <c r="D4" s="297"/>
      <c r="E4" s="298"/>
      <c r="F4" s="298"/>
      <c r="G4" s="298"/>
      <c r="H4" s="298"/>
      <c r="I4" s="298"/>
      <c r="J4" s="298"/>
    </row>
    <row r="5" spans="1:10" ht="18.75" customHeight="1" x14ac:dyDescent="0.15">
      <c r="A5" s="1" t="s">
        <v>7</v>
      </c>
      <c r="B5" s="5" t="s">
        <v>48</v>
      </c>
      <c r="C5" s="55"/>
      <c r="D5" s="55"/>
      <c r="E5" s="56"/>
      <c r="F5" s="59"/>
      <c r="G5" s="61"/>
      <c r="H5" s="59"/>
      <c r="I5" s="56"/>
      <c r="J5" s="56"/>
    </row>
    <row r="6" spans="1:10" ht="18.75" customHeight="1" x14ac:dyDescent="0.15">
      <c r="B6" s="210" t="s">
        <v>45</v>
      </c>
      <c r="C6" s="211"/>
      <c r="D6" s="212"/>
      <c r="E6" s="299" t="s">
        <v>47</v>
      </c>
      <c r="F6" s="299"/>
      <c r="G6" s="299"/>
      <c r="H6" s="299"/>
      <c r="I6" s="299"/>
      <c r="J6" s="300"/>
    </row>
    <row r="7" spans="1:10" ht="18.75" customHeight="1" x14ac:dyDescent="0.15">
      <c r="B7" s="6" t="s">
        <v>35</v>
      </c>
      <c r="C7" s="8"/>
      <c r="D7" s="19"/>
      <c r="E7" s="3"/>
      <c r="F7" s="3"/>
      <c r="G7" s="3"/>
      <c r="H7" s="3"/>
      <c r="I7" s="16"/>
      <c r="J7" s="17"/>
    </row>
    <row r="8" spans="1:10" ht="202.5" customHeight="1" x14ac:dyDescent="0.15">
      <c r="B8" s="18"/>
      <c r="C8" s="292" t="s">
        <v>36</v>
      </c>
      <c r="D8" s="293"/>
      <c r="E8" s="301" t="s">
        <v>198</v>
      </c>
      <c r="F8" s="302"/>
      <c r="G8" s="302"/>
      <c r="H8" s="302"/>
      <c r="I8" s="302"/>
      <c r="J8" s="303"/>
    </row>
    <row r="9" spans="1:10" ht="202.5" customHeight="1" x14ac:dyDescent="0.15">
      <c r="B9" s="18"/>
      <c r="C9" s="309" t="s">
        <v>37</v>
      </c>
      <c r="D9" s="310"/>
      <c r="E9" s="301" t="s">
        <v>185</v>
      </c>
      <c r="F9" s="302"/>
      <c r="G9" s="302"/>
      <c r="H9" s="302"/>
      <c r="I9" s="302"/>
      <c r="J9" s="303"/>
    </row>
    <row r="10" spans="1:10" ht="172.5" customHeight="1" x14ac:dyDescent="0.15">
      <c r="B10" s="18"/>
      <c r="C10" s="292" t="s">
        <v>38</v>
      </c>
      <c r="D10" s="293"/>
      <c r="E10" s="294" t="s">
        <v>199</v>
      </c>
      <c r="F10" s="295"/>
      <c r="G10" s="295"/>
      <c r="H10" s="295"/>
      <c r="I10" s="295"/>
      <c r="J10" s="296"/>
    </row>
    <row r="11" spans="1:10" ht="172.5" customHeight="1" x14ac:dyDescent="0.15">
      <c r="B11" s="18"/>
      <c r="C11" s="292" t="s">
        <v>39</v>
      </c>
      <c r="D11" s="293"/>
      <c r="E11" s="294" t="s">
        <v>200</v>
      </c>
      <c r="F11" s="295"/>
      <c r="G11" s="295"/>
      <c r="H11" s="295"/>
      <c r="I11" s="295"/>
      <c r="J11" s="296"/>
    </row>
    <row r="12" spans="1:10" ht="172.5" customHeight="1" x14ac:dyDescent="0.15">
      <c r="B12" s="18"/>
      <c r="C12" s="292" t="s">
        <v>40</v>
      </c>
      <c r="D12" s="293"/>
      <c r="E12" s="294" t="s">
        <v>188</v>
      </c>
      <c r="F12" s="295"/>
      <c r="G12" s="295"/>
      <c r="H12" s="295"/>
      <c r="I12" s="295"/>
      <c r="J12" s="296"/>
    </row>
    <row r="13" spans="1:10" ht="18.75" customHeight="1" x14ac:dyDescent="0.15">
      <c r="B13" s="21" t="s">
        <v>41</v>
      </c>
      <c r="C13" s="57"/>
      <c r="D13" s="20"/>
      <c r="E13" s="76"/>
      <c r="F13" s="76"/>
      <c r="G13" s="76"/>
      <c r="H13" s="76"/>
      <c r="I13" s="76"/>
      <c r="J13" s="77"/>
    </row>
    <row r="14" spans="1:10" ht="255" customHeight="1" x14ac:dyDescent="0.15">
      <c r="B14" s="18"/>
      <c r="C14" s="292" t="s">
        <v>42</v>
      </c>
      <c r="D14" s="293"/>
      <c r="E14" s="302" t="s">
        <v>189</v>
      </c>
      <c r="F14" s="302"/>
      <c r="G14" s="302"/>
      <c r="H14" s="302"/>
      <c r="I14" s="302"/>
      <c r="J14" s="303"/>
    </row>
    <row r="15" spans="1:10" ht="255" customHeight="1" x14ac:dyDescent="0.15">
      <c r="B15" s="18"/>
      <c r="C15" s="311" t="s">
        <v>43</v>
      </c>
      <c r="D15" s="312"/>
      <c r="E15" s="313" t="s">
        <v>186</v>
      </c>
      <c r="F15" s="313"/>
      <c r="G15" s="313"/>
      <c r="H15" s="313"/>
      <c r="I15" s="313"/>
      <c r="J15" s="314"/>
    </row>
    <row r="16" spans="1:10" ht="232.5" customHeight="1" x14ac:dyDescent="0.15">
      <c r="B16" s="315" t="s">
        <v>44</v>
      </c>
      <c r="C16" s="316"/>
      <c r="D16" s="293"/>
      <c r="E16" s="295" t="s">
        <v>183</v>
      </c>
      <c r="F16" s="295"/>
      <c r="G16" s="295"/>
      <c r="H16" s="295"/>
      <c r="I16" s="295"/>
      <c r="J16" s="296"/>
    </row>
    <row r="17" spans="1:10" ht="232.5" customHeight="1" x14ac:dyDescent="0.15">
      <c r="A17" s="75"/>
      <c r="B17" s="306" t="s">
        <v>87</v>
      </c>
      <c r="C17" s="307"/>
      <c r="D17" s="308"/>
      <c r="E17" s="304" t="s">
        <v>187</v>
      </c>
      <c r="F17" s="304"/>
      <c r="G17" s="304"/>
      <c r="H17" s="304"/>
      <c r="I17" s="304"/>
      <c r="J17" s="305"/>
    </row>
    <row r="18" spans="1:10" ht="7.5" customHeight="1" x14ac:dyDescent="0.15">
      <c r="B18" s="55"/>
      <c r="C18" s="55"/>
      <c r="D18" s="55"/>
      <c r="E18" s="56"/>
      <c r="F18" s="59"/>
      <c r="G18" s="61"/>
      <c r="H18" s="59"/>
      <c r="I18" s="56"/>
      <c r="J18" s="56"/>
    </row>
    <row r="19" spans="1:10" ht="18.75" customHeight="1" x14ac:dyDescent="0.15">
      <c r="B19" s="5"/>
      <c r="C19" s="73"/>
      <c r="D19" s="73"/>
      <c r="E19" s="74"/>
      <c r="F19" s="62"/>
      <c r="G19" s="62"/>
      <c r="H19" s="84" t="s">
        <v>118</v>
      </c>
      <c r="I19" s="79"/>
      <c r="J19" s="80"/>
    </row>
    <row r="20" spans="1:10" ht="18.75" customHeight="1" x14ac:dyDescent="0.15">
      <c r="A20" s="3" t="s">
        <v>12</v>
      </c>
      <c r="B20" s="81" t="s">
        <v>49</v>
      </c>
      <c r="C20" s="82"/>
      <c r="D20" s="82"/>
      <c r="E20" s="83"/>
      <c r="F20" s="125" t="s">
        <v>204</v>
      </c>
      <c r="G20" s="62"/>
      <c r="H20" s="289" t="s">
        <v>191</v>
      </c>
      <c r="I20" s="290"/>
      <c r="J20" s="291"/>
    </row>
    <row r="21" spans="1:10" ht="22.5" customHeight="1" x14ac:dyDescent="0.15">
      <c r="B21" s="55"/>
      <c r="C21" s="55"/>
      <c r="D21" s="55"/>
      <c r="E21" s="56"/>
      <c r="F21" s="59"/>
      <c r="G21" s="61"/>
      <c r="H21" s="59"/>
      <c r="I21" s="56"/>
      <c r="J21" s="56"/>
    </row>
    <row r="22" spans="1:10" ht="22.5" customHeight="1" x14ac:dyDescent="0.15">
      <c r="B22" s="55"/>
      <c r="C22" s="55"/>
      <c r="D22" s="55"/>
      <c r="E22" s="56"/>
      <c r="F22" s="59"/>
      <c r="G22" s="61"/>
      <c r="H22" s="59"/>
      <c r="I22" s="56"/>
      <c r="J22" s="56"/>
    </row>
    <row r="23" spans="1:10" ht="22.5" customHeight="1" x14ac:dyDescent="0.15">
      <c r="B23" s="55"/>
      <c r="C23" s="55"/>
      <c r="D23" s="55"/>
      <c r="E23" s="56"/>
      <c r="F23" s="59"/>
      <c r="G23" s="61"/>
      <c r="H23" s="59"/>
      <c r="I23" s="56"/>
      <c r="J23" s="56"/>
    </row>
    <row r="24" spans="1:10" ht="22.5" customHeight="1" x14ac:dyDescent="0.15">
      <c r="B24" s="55"/>
      <c r="C24" s="55"/>
      <c r="D24" s="55"/>
      <c r="E24" s="56"/>
      <c r="F24" s="59"/>
      <c r="G24" s="61"/>
      <c r="H24" s="59"/>
      <c r="I24" s="56"/>
      <c r="J24" s="56"/>
    </row>
    <row r="25" spans="1:10" ht="22.5" customHeight="1" x14ac:dyDescent="0.15">
      <c r="B25" s="55"/>
      <c r="C25" s="55"/>
      <c r="D25" s="55"/>
      <c r="E25" s="56"/>
      <c r="F25" s="59"/>
      <c r="G25" s="61"/>
      <c r="H25" s="59"/>
      <c r="I25" s="56"/>
      <c r="J25" s="56"/>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19ED0948-24E3-442B-9EE7-DF6ACF6E973A}">
      <formula1>"有,無,予定"</formula1>
    </dataValidation>
  </dataValidations>
  <hyperlinks>
    <hyperlink ref="H20" r:id="rId1" xr:uid="{509A0225-424C-43E8-BAE0-EE5D52A80BF8}"/>
  </hyperlinks>
  <printOptions horizontalCentered="1"/>
  <pageMargins left="0.78740157480314965" right="0.78740157480314965" top="0.78740157480314965" bottom="0.78740157480314965" header="0.31496062992125984" footer="0.31496062992125984"/>
  <pageSetup paperSize="9" orientation="landscape" r:id="rId2"/>
  <rowBreaks count="2" manualBreakCount="2">
    <brk id="9" max="9" man="1"/>
    <brk id="1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6"/>
  <sheetViews>
    <sheetView showZeros="0" tabSelected="1" view="pageBreakPreview" zoomScale="60" zoomScaleNormal="100" workbookViewId="0">
      <selection activeCell="V41" sqref="V41"/>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78" t="s">
        <v>16</v>
      </c>
      <c r="F1" s="178"/>
    </row>
    <row r="2" spans="1:6" ht="18.75" customHeight="1" x14ac:dyDescent="0.15">
      <c r="C2" s="23" t="s">
        <v>88</v>
      </c>
      <c r="D2" s="23" t="s">
        <v>8</v>
      </c>
      <c r="E2" s="209" t="s">
        <v>166</v>
      </c>
      <c r="F2" s="209"/>
    </row>
    <row r="3" spans="1:6" ht="7.5" customHeight="1" x14ac:dyDescent="0.15">
      <c r="C3" s="23"/>
      <c r="D3" s="23"/>
      <c r="E3" s="22"/>
      <c r="F3" s="22"/>
    </row>
    <row r="4" spans="1:6" ht="18.75" customHeight="1" x14ac:dyDescent="0.15">
      <c r="A4" s="188" t="s">
        <v>128</v>
      </c>
      <c r="B4" s="188"/>
      <c r="C4" s="188"/>
      <c r="D4" s="188"/>
      <c r="E4" s="188"/>
      <c r="F4" s="188"/>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317" t="s">
        <v>195</v>
      </c>
      <c r="C7" s="318"/>
      <c r="D7" s="318"/>
      <c r="E7" s="318"/>
      <c r="F7" s="319"/>
    </row>
    <row r="8" spans="1:6" ht="18.75" customHeight="1" x14ac:dyDescent="0.15">
      <c r="A8" s="54"/>
      <c r="B8" s="320"/>
      <c r="C8" s="321"/>
      <c r="D8" s="321"/>
      <c r="E8" s="321"/>
      <c r="F8" s="322"/>
    </row>
    <row r="9" spans="1:6" ht="18.75" customHeight="1" x14ac:dyDescent="0.15">
      <c r="A9" s="54"/>
      <c r="B9" s="320"/>
      <c r="C9" s="321"/>
      <c r="D9" s="321"/>
      <c r="E9" s="321"/>
      <c r="F9" s="322"/>
    </row>
    <row r="10" spans="1:6" ht="18.75" customHeight="1" x14ac:dyDescent="0.15">
      <c r="A10" s="54"/>
      <c r="B10" s="320"/>
      <c r="C10" s="321"/>
      <c r="D10" s="321"/>
      <c r="E10" s="321"/>
      <c r="F10" s="322"/>
    </row>
    <row r="11" spans="1:6" ht="18.75" customHeight="1" x14ac:dyDescent="0.15">
      <c r="A11" s="54"/>
      <c r="B11" s="320"/>
      <c r="C11" s="321"/>
      <c r="D11" s="321"/>
      <c r="E11" s="321"/>
      <c r="F11" s="322"/>
    </row>
    <row r="12" spans="1:6" ht="18.75" customHeight="1" x14ac:dyDescent="0.15">
      <c r="A12" s="54"/>
      <c r="B12" s="320"/>
      <c r="C12" s="321"/>
      <c r="D12" s="321"/>
      <c r="E12" s="321"/>
      <c r="F12" s="322"/>
    </row>
    <row r="13" spans="1:6" ht="18.75" customHeight="1" x14ac:dyDescent="0.15">
      <c r="A13" s="54"/>
      <c r="B13" s="320"/>
      <c r="C13" s="321"/>
      <c r="D13" s="321"/>
      <c r="E13" s="321"/>
      <c r="F13" s="322"/>
    </row>
    <row r="14" spans="1:6" ht="18.75" customHeight="1" x14ac:dyDescent="0.15">
      <c r="A14" s="54"/>
      <c r="B14" s="320"/>
      <c r="C14" s="321"/>
      <c r="D14" s="321"/>
      <c r="E14" s="321"/>
      <c r="F14" s="322"/>
    </row>
    <row r="15" spans="1:6" ht="18.75" customHeight="1" x14ac:dyDescent="0.15">
      <c r="A15" s="54"/>
      <c r="B15" s="320"/>
      <c r="C15" s="321"/>
      <c r="D15" s="321"/>
      <c r="E15" s="321"/>
      <c r="F15" s="322"/>
    </row>
    <row r="16" spans="1:6" ht="18.75" customHeight="1" x14ac:dyDescent="0.15">
      <c r="A16" s="54"/>
      <c r="B16" s="320"/>
      <c r="C16" s="321"/>
      <c r="D16" s="321"/>
      <c r="E16" s="321"/>
      <c r="F16" s="322"/>
    </row>
    <row r="17" spans="1:6" ht="18.75" customHeight="1" x14ac:dyDescent="0.15">
      <c r="A17" s="54"/>
      <c r="B17" s="320"/>
      <c r="C17" s="321"/>
      <c r="D17" s="321"/>
      <c r="E17" s="321"/>
      <c r="F17" s="322"/>
    </row>
    <row r="18" spans="1:6" ht="18.75" customHeight="1" x14ac:dyDescent="0.15">
      <c r="A18" s="54"/>
      <c r="B18" s="320"/>
      <c r="C18" s="321"/>
      <c r="D18" s="321"/>
      <c r="E18" s="321"/>
      <c r="F18" s="322"/>
    </row>
    <row r="19" spans="1:6" ht="18.75" customHeight="1" x14ac:dyDescent="0.15">
      <c r="A19" s="54"/>
      <c r="B19" s="320"/>
      <c r="C19" s="321"/>
      <c r="D19" s="321"/>
      <c r="E19" s="321"/>
      <c r="F19" s="322"/>
    </row>
    <row r="20" spans="1:6" ht="18.75" customHeight="1" x14ac:dyDescent="0.15">
      <c r="A20" s="54"/>
      <c r="B20" s="320"/>
      <c r="C20" s="321"/>
      <c r="D20" s="321"/>
      <c r="E20" s="321"/>
      <c r="F20" s="322"/>
    </row>
    <row r="21" spans="1:6" ht="18.75" customHeight="1" x14ac:dyDescent="0.15">
      <c r="A21" s="54"/>
      <c r="B21" s="320"/>
      <c r="C21" s="321"/>
      <c r="D21" s="321"/>
      <c r="E21" s="321"/>
      <c r="F21" s="322"/>
    </row>
    <row r="22" spans="1:6" ht="18.75" customHeight="1" x14ac:dyDescent="0.15">
      <c r="A22" s="54"/>
      <c r="B22" s="320"/>
      <c r="C22" s="321"/>
      <c r="D22" s="321"/>
      <c r="E22" s="321"/>
      <c r="F22" s="322"/>
    </row>
    <row r="23" spans="1:6" ht="18.75" customHeight="1" x14ac:dyDescent="0.15">
      <c r="A23" s="54"/>
      <c r="B23" s="320"/>
      <c r="C23" s="321"/>
      <c r="D23" s="321"/>
      <c r="E23" s="321"/>
      <c r="F23" s="322"/>
    </row>
    <row r="24" spans="1:6" ht="18.75" customHeight="1" x14ac:dyDescent="0.15">
      <c r="A24" s="54"/>
      <c r="B24" s="320"/>
      <c r="C24" s="321"/>
      <c r="D24" s="321"/>
      <c r="E24" s="321"/>
      <c r="F24" s="322"/>
    </row>
    <row r="25" spans="1:6" ht="18.75" customHeight="1" x14ac:dyDescent="0.15">
      <c r="A25" s="54"/>
      <c r="B25" s="320"/>
      <c r="C25" s="321"/>
      <c r="D25" s="321"/>
      <c r="E25" s="321"/>
      <c r="F25" s="322"/>
    </row>
    <row r="26" spans="1:6" ht="18.75" customHeight="1" x14ac:dyDescent="0.15">
      <c r="A26" s="54"/>
      <c r="B26" s="320"/>
      <c r="C26" s="321"/>
      <c r="D26" s="321"/>
      <c r="E26" s="321"/>
      <c r="F26" s="322"/>
    </row>
    <row r="27" spans="1:6" ht="18.75" customHeight="1" x14ac:dyDescent="0.15">
      <c r="A27" s="54"/>
      <c r="B27" s="320"/>
      <c r="C27" s="321"/>
      <c r="D27" s="321"/>
      <c r="E27" s="321"/>
      <c r="F27" s="322"/>
    </row>
    <row r="28" spans="1:6" ht="18.75" customHeight="1" x14ac:dyDescent="0.15">
      <c r="A28" s="24"/>
      <c r="B28" s="320"/>
      <c r="C28" s="321"/>
      <c r="D28" s="321"/>
      <c r="E28" s="321"/>
      <c r="F28" s="322"/>
    </row>
    <row r="29" spans="1:6" ht="18.75" customHeight="1" x14ac:dyDescent="0.15">
      <c r="A29" s="24"/>
      <c r="B29" s="320"/>
      <c r="C29" s="321"/>
      <c r="D29" s="321"/>
      <c r="E29" s="321"/>
      <c r="F29" s="322"/>
    </row>
    <row r="30" spans="1:6" ht="18.75" customHeight="1" x14ac:dyDescent="0.15">
      <c r="A30" s="24"/>
      <c r="B30" s="320"/>
      <c r="C30" s="321"/>
      <c r="D30" s="321"/>
      <c r="E30" s="321"/>
      <c r="F30" s="322"/>
    </row>
    <row r="31" spans="1:6" ht="18.75" customHeight="1" x14ac:dyDescent="0.15">
      <c r="A31" s="24"/>
      <c r="B31" s="320"/>
      <c r="C31" s="321"/>
      <c r="D31" s="321"/>
      <c r="E31" s="321"/>
      <c r="F31" s="322"/>
    </row>
    <row r="32" spans="1:6" ht="18.75" customHeight="1" x14ac:dyDescent="0.15">
      <c r="A32" s="24"/>
      <c r="B32" s="320"/>
      <c r="C32" s="321"/>
      <c r="D32" s="321"/>
      <c r="E32" s="321"/>
      <c r="F32" s="322"/>
    </row>
    <row r="33" spans="1:6" ht="18.75" customHeight="1" x14ac:dyDescent="0.15">
      <c r="A33" s="24"/>
      <c r="B33" s="320"/>
      <c r="C33" s="321"/>
      <c r="D33" s="321"/>
      <c r="E33" s="321"/>
      <c r="F33" s="322"/>
    </row>
    <row r="34" spans="1:6" ht="18.75" customHeight="1" x14ac:dyDescent="0.15">
      <c r="A34" s="24"/>
      <c r="B34" s="320"/>
      <c r="C34" s="321"/>
      <c r="D34" s="321"/>
      <c r="E34" s="321"/>
      <c r="F34" s="322"/>
    </row>
    <row r="35" spans="1:6" ht="18.75" customHeight="1" x14ac:dyDescent="0.15">
      <c r="A35" s="24"/>
      <c r="B35" s="320"/>
      <c r="C35" s="321"/>
      <c r="D35" s="321"/>
      <c r="E35" s="321"/>
      <c r="F35" s="322"/>
    </row>
    <row r="36" spans="1:6" ht="18.75" customHeight="1" x14ac:dyDescent="0.15">
      <c r="A36" s="24"/>
      <c r="B36" s="320"/>
      <c r="C36" s="321"/>
      <c r="D36" s="321"/>
      <c r="E36" s="321"/>
      <c r="F36" s="322"/>
    </row>
    <row r="37" spans="1:6" ht="18.75" customHeight="1" x14ac:dyDescent="0.15">
      <c r="A37" s="24"/>
      <c r="B37" s="320"/>
      <c r="C37" s="321"/>
      <c r="D37" s="321"/>
      <c r="E37" s="321"/>
      <c r="F37" s="322"/>
    </row>
    <row r="38" spans="1:6" ht="18.75" customHeight="1" x14ac:dyDescent="0.15">
      <c r="A38" s="24"/>
      <c r="B38" s="320"/>
      <c r="C38" s="321"/>
      <c r="D38" s="321"/>
      <c r="E38" s="321"/>
      <c r="F38" s="322"/>
    </row>
    <row r="39" spans="1:6" ht="18.75" customHeight="1" x14ac:dyDescent="0.15">
      <c r="A39" s="24"/>
      <c r="B39" s="320"/>
      <c r="C39" s="321"/>
      <c r="D39" s="321"/>
      <c r="E39" s="321"/>
      <c r="F39" s="322"/>
    </row>
    <row r="40" spans="1:6" ht="18.75" customHeight="1" x14ac:dyDescent="0.15">
      <c r="A40" s="24"/>
      <c r="B40" s="320"/>
      <c r="C40" s="321"/>
      <c r="D40" s="321"/>
      <c r="E40" s="321"/>
      <c r="F40" s="322"/>
    </row>
    <row r="41" spans="1:6" ht="18.75" customHeight="1" x14ac:dyDescent="0.15">
      <c r="A41" s="24"/>
      <c r="B41" s="320"/>
      <c r="C41" s="321"/>
      <c r="D41" s="321"/>
      <c r="E41" s="321"/>
      <c r="F41" s="322"/>
    </row>
    <row r="42" spans="1:6" ht="18.75" customHeight="1" x14ac:dyDescent="0.15">
      <c r="A42" s="24"/>
      <c r="B42" s="320"/>
      <c r="C42" s="321"/>
      <c r="D42" s="321"/>
      <c r="E42" s="321"/>
      <c r="F42" s="322"/>
    </row>
    <row r="43" spans="1:6" ht="18.75" customHeight="1" x14ac:dyDescent="0.15">
      <c r="A43" s="24"/>
      <c r="B43" s="320"/>
      <c r="C43" s="321"/>
      <c r="D43" s="321"/>
      <c r="E43" s="321"/>
      <c r="F43" s="322"/>
    </row>
    <row r="44" spans="1:6" ht="18.75" customHeight="1" x14ac:dyDescent="0.15">
      <c r="A44" s="24"/>
      <c r="B44" s="323"/>
      <c r="C44" s="324"/>
      <c r="D44" s="324"/>
      <c r="E44" s="324"/>
      <c r="F44" s="325"/>
    </row>
    <row r="45" spans="1:6" ht="18.75" customHeight="1" x14ac:dyDescent="0.15">
      <c r="A45" s="24" t="s">
        <v>12</v>
      </c>
      <c r="B45" s="5" t="s">
        <v>93</v>
      </c>
      <c r="C45" s="24"/>
      <c r="D45" s="24"/>
      <c r="E45" s="24"/>
      <c r="F45" s="24"/>
    </row>
    <row r="46" spans="1:6" ht="18.75" customHeight="1" x14ac:dyDescent="0.15">
      <c r="A46" s="24"/>
      <c r="B46" s="270" t="s">
        <v>196</v>
      </c>
      <c r="C46" s="271"/>
      <c r="D46" s="271"/>
      <c r="E46" s="271"/>
      <c r="F46" s="272"/>
    </row>
    <row r="47" spans="1:6" ht="18.75" customHeight="1" x14ac:dyDescent="0.15">
      <c r="A47" s="54"/>
      <c r="B47" s="273"/>
      <c r="C47" s="274"/>
      <c r="D47" s="274"/>
      <c r="E47" s="274"/>
      <c r="F47" s="275"/>
    </row>
    <row r="48" spans="1:6" ht="18.75" customHeight="1" x14ac:dyDescent="0.15">
      <c r="A48" s="54"/>
      <c r="B48" s="273"/>
      <c r="C48" s="274"/>
      <c r="D48" s="274"/>
      <c r="E48" s="274"/>
      <c r="F48" s="275"/>
    </row>
    <row r="49" spans="1:6" ht="18.75" customHeight="1" x14ac:dyDescent="0.15">
      <c r="A49" s="54"/>
      <c r="B49" s="273"/>
      <c r="C49" s="274"/>
      <c r="D49" s="274"/>
      <c r="E49" s="274"/>
      <c r="F49" s="275"/>
    </row>
    <row r="50" spans="1:6" ht="18.75" customHeight="1" x14ac:dyDescent="0.15">
      <c r="A50" s="54"/>
      <c r="B50" s="273"/>
      <c r="C50" s="274"/>
      <c r="D50" s="274"/>
      <c r="E50" s="274"/>
      <c r="F50" s="275"/>
    </row>
    <row r="51" spans="1:6" ht="18.75" customHeight="1" x14ac:dyDescent="0.15">
      <c r="A51" s="54"/>
      <c r="B51" s="273"/>
      <c r="C51" s="274"/>
      <c r="D51" s="274"/>
      <c r="E51" s="274"/>
      <c r="F51" s="275"/>
    </row>
    <row r="52" spans="1:6" ht="18.75" customHeight="1" x14ac:dyDescent="0.15">
      <c r="A52" s="54"/>
      <c r="B52" s="273"/>
      <c r="C52" s="274"/>
      <c r="D52" s="274"/>
      <c r="E52" s="274"/>
      <c r="F52" s="275"/>
    </row>
    <row r="53" spans="1:6" ht="18.75" customHeight="1" x14ac:dyDescent="0.15">
      <c r="A53" s="54"/>
      <c r="B53" s="273"/>
      <c r="C53" s="274"/>
      <c r="D53" s="274"/>
      <c r="E53" s="274"/>
      <c r="F53" s="275"/>
    </row>
    <row r="54" spans="1:6" ht="18.75" customHeight="1" x14ac:dyDescent="0.15">
      <c r="A54" s="54"/>
      <c r="B54" s="273"/>
      <c r="C54" s="274"/>
      <c r="D54" s="274"/>
      <c r="E54" s="274"/>
      <c r="F54" s="275"/>
    </row>
    <row r="55" spans="1:6" ht="18.75" customHeight="1" x14ac:dyDescent="0.15">
      <c r="A55" s="54"/>
      <c r="B55" s="273"/>
      <c r="C55" s="274"/>
      <c r="D55" s="274"/>
      <c r="E55" s="274"/>
      <c r="F55" s="275"/>
    </row>
    <row r="56" spans="1:6" ht="18.75" customHeight="1" x14ac:dyDescent="0.15">
      <c r="A56" s="54"/>
      <c r="B56" s="273"/>
      <c r="C56" s="274"/>
      <c r="D56" s="274"/>
      <c r="E56" s="274"/>
      <c r="F56" s="275"/>
    </row>
    <row r="57" spans="1:6" ht="18.75" customHeight="1" x14ac:dyDescent="0.15">
      <c r="A57" s="54"/>
      <c r="B57" s="273"/>
      <c r="C57" s="274"/>
      <c r="D57" s="274"/>
      <c r="E57" s="274"/>
      <c r="F57" s="275"/>
    </row>
    <row r="58" spans="1:6" ht="18.75" customHeight="1" x14ac:dyDescent="0.15">
      <c r="A58" s="54"/>
      <c r="B58" s="273"/>
      <c r="C58" s="274"/>
      <c r="D58" s="274"/>
      <c r="E58" s="274"/>
      <c r="F58" s="275"/>
    </row>
    <row r="59" spans="1:6" ht="18.75" customHeight="1" x14ac:dyDescent="0.15">
      <c r="A59" s="54"/>
      <c r="B59" s="273"/>
      <c r="C59" s="274"/>
      <c r="D59" s="274"/>
      <c r="E59" s="274"/>
      <c r="F59" s="275"/>
    </row>
    <row r="60" spans="1:6" ht="18.75" customHeight="1" x14ac:dyDescent="0.15">
      <c r="A60" s="54"/>
      <c r="B60" s="273"/>
      <c r="C60" s="274"/>
      <c r="D60" s="274"/>
      <c r="E60" s="274"/>
      <c r="F60" s="275"/>
    </row>
    <row r="61" spans="1:6" ht="18.75" customHeight="1" x14ac:dyDescent="0.15">
      <c r="A61" s="54"/>
      <c r="B61" s="273"/>
      <c r="C61" s="274"/>
      <c r="D61" s="274"/>
      <c r="E61" s="274"/>
      <c r="F61" s="275"/>
    </row>
    <row r="62" spans="1:6" ht="18.75" customHeight="1" x14ac:dyDescent="0.15">
      <c r="A62" s="54"/>
      <c r="B62" s="273"/>
      <c r="C62" s="274"/>
      <c r="D62" s="274"/>
      <c r="E62" s="274"/>
      <c r="F62" s="275"/>
    </row>
    <row r="63" spans="1:6" ht="18.75" customHeight="1" x14ac:dyDescent="0.15">
      <c r="A63" s="54"/>
      <c r="B63" s="273"/>
      <c r="C63" s="274"/>
      <c r="D63" s="274"/>
      <c r="E63" s="274"/>
      <c r="F63" s="275"/>
    </row>
    <row r="64" spans="1:6" ht="18.75" customHeight="1" x14ac:dyDescent="0.15">
      <c r="A64" s="54"/>
      <c r="B64" s="273"/>
      <c r="C64" s="274"/>
      <c r="D64" s="274"/>
      <c r="E64" s="274"/>
      <c r="F64" s="275"/>
    </row>
    <row r="65" spans="1:6" ht="18.75" customHeight="1" x14ac:dyDescent="0.15">
      <c r="A65" s="54"/>
      <c r="B65" s="273"/>
      <c r="C65" s="274"/>
      <c r="D65" s="274"/>
      <c r="E65" s="274"/>
      <c r="F65" s="275"/>
    </row>
    <row r="66" spans="1:6" ht="18.75" customHeight="1" x14ac:dyDescent="0.15">
      <c r="A66" s="54"/>
      <c r="B66" s="273"/>
      <c r="C66" s="274"/>
      <c r="D66" s="274"/>
      <c r="E66" s="274"/>
      <c r="F66" s="275"/>
    </row>
    <row r="67" spans="1:6" ht="18.75" customHeight="1" x14ac:dyDescent="0.15">
      <c r="A67" s="54"/>
      <c r="B67" s="273"/>
      <c r="C67" s="274"/>
      <c r="D67" s="274"/>
      <c r="E67" s="274"/>
      <c r="F67" s="275"/>
    </row>
    <row r="68" spans="1:6" ht="18.75" customHeight="1" x14ac:dyDescent="0.15">
      <c r="A68" s="24"/>
      <c r="B68" s="273"/>
      <c r="C68" s="274"/>
      <c r="D68" s="274"/>
      <c r="E68" s="274"/>
      <c r="F68" s="275"/>
    </row>
    <row r="69" spans="1:6" ht="18.75" customHeight="1" x14ac:dyDescent="0.15">
      <c r="A69" s="24"/>
      <c r="B69" s="273"/>
      <c r="C69" s="274"/>
      <c r="D69" s="274"/>
      <c r="E69" s="274"/>
      <c r="F69" s="275"/>
    </row>
    <row r="70" spans="1:6" ht="18.75" customHeight="1" x14ac:dyDescent="0.15">
      <c r="A70" s="24"/>
      <c r="B70" s="273"/>
      <c r="C70" s="274"/>
      <c r="D70" s="274"/>
      <c r="E70" s="274"/>
      <c r="F70" s="275"/>
    </row>
    <row r="71" spans="1:6" ht="18.75" customHeight="1" x14ac:dyDescent="0.15">
      <c r="A71" s="24"/>
      <c r="B71" s="273"/>
      <c r="C71" s="274"/>
      <c r="D71" s="274"/>
      <c r="E71" s="274"/>
      <c r="F71" s="275"/>
    </row>
    <row r="72" spans="1:6" ht="18.75" customHeight="1" x14ac:dyDescent="0.15">
      <c r="A72" s="24"/>
      <c r="B72" s="273"/>
      <c r="C72" s="274"/>
      <c r="D72" s="274"/>
      <c r="E72" s="274"/>
      <c r="F72" s="275"/>
    </row>
    <row r="73" spans="1:6" ht="18.75" customHeight="1" x14ac:dyDescent="0.15">
      <c r="A73" s="24"/>
      <c r="B73" s="273"/>
      <c r="C73" s="274"/>
      <c r="D73" s="274"/>
      <c r="E73" s="274"/>
      <c r="F73" s="275"/>
    </row>
    <row r="74" spans="1:6" ht="18.75" customHeight="1" x14ac:dyDescent="0.15">
      <c r="A74" s="24"/>
      <c r="B74" s="273"/>
      <c r="C74" s="274"/>
      <c r="D74" s="274"/>
      <c r="E74" s="274"/>
      <c r="F74" s="275"/>
    </row>
    <row r="75" spans="1:6" ht="18.75" customHeight="1" x14ac:dyDescent="0.15">
      <c r="A75" s="24"/>
      <c r="B75" s="273"/>
      <c r="C75" s="274"/>
      <c r="D75" s="274"/>
      <c r="E75" s="274"/>
      <c r="F75" s="275"/>
    </row>
    <row r="76" spans="1:6" ht="18.75" customHeight="1" x14ac:dyDescent="0.15">
      <c r="A76" s="24"/>
      <c r="B76" s="273"/>
      <c r="C76" s="274"/>
      <c r="D76" s="274"/>
      <c r="E76" s="274"/>
      <c r="F76" s="275"/>
    </row>
    <row r="77" spans="1:6" ht="18.75" customHeight="1" x14ac:dyDescent="0.15">
      <c r="A77" s="24"/>
      <c r="B77" s="273"/>
      <c r="C77" s="274"/>
      <c r="D77" s="274"/>
      <c r="E77" s="274"/>
      <c r="F77" s="275"/>
    </row>
    <row r="78" spans="1:6" ht="18.75" customHeight="1" x14ac:dyDescent="0.15">
      <c r="A78" s="24"/>
      <c r="B78" s="273"/>
      <c r="C78" s="274"/>
      <c r="D78" s="274"/>
      <c r="E78" s="274"/>
      <c r="F78" s="275"/>
    </row>
    <row r="79" spans="1:6" ht="18.75" customHeight="1" x14ac:dyDescent="0.15">
      <c r="A79" s="24"/>
      <c r="B79" s="273"/>
      <c r="C79" s="274"/>
      <c r="D79" s="274"/>
      <c r="E79" s="274"/>
      <c r="F79" s="275"/>
    </row>
    <row r="80" spans="1:6" ht="18.75" customHeight="1" x14ac:dyDescent="0.15">
      <c r="A80" s="24"/>
      <c r="B80" s="273"/>
      <c r="C80" s="274"/>
      <c r="D80" s="274"/>
      <c r="E80" s="274"/>
      <c r="F80" s="275"/>
    </row>
    <row r="81" spans="1:6" ht="18.75" customHeight="1" x14ac:dyDescent="0.15">
      <c r="A81" s="54"/>
      <c r="B81" s="273"/>
      <c r="C81" s="274"/>
      <c r="D81" s="274"/>
      <c r="E81" s="274"/>
      <c r="F81" s="275"/>
    </row>
    <row r="82" spans="1:6" ht="18.75" customHeight="1" x14ac:dyDescent="0.15">
      <c r="A82" s="24"/>
      <c r="B82" s="273"/>
      <c r="C82" s="274"/>
      <c r="D82" s="274"/>
      <c r="E82" s="274"/>
      <c r="F82" s="275"/>
    </row>
    <row r="83" spans="1:6" ht="18.75" customHeight="1" x14ac:dyDescent="0.15">
      <c r="A83" s="24"/>
      <c r="B83" s="273"/>
      <c r="C83" s="274"/>
      <c r="D83" s="274"/>
      <c r="E83" s="274"/>
      <c r="F83" s="275"/>
    </row>
    <row r="84" spans="1:6" ht="18.75" customHeight="1" x14ac:dyDescent="0.15">
      <c r="A84" s="24"/>
      <c r="B84" s="273"/>
      <c r="C84" s="274"/>
      <c r="D84" s="274"/>
      <c r="E84" s="274"/>
      <c r="F84" s="275"/>
    </row>
    <row r="85" spans="1:6" ht="18.75" customHeight="1" x14ac:dyDescent="0.15">
      <c r="A85" s="24"/>
      <c r="B85" s="276"/>
      <c r="C85" s="277"/>
      <c r="D85" s="277"/>
      <c r="E85" s="277"/>
      <c r="F85" s="278"/>
    </row>
    <row r="86" spans="1:6" s="13" customFormat="1" ht="18.75" customHeight="1" x14ac:dyDescent="0.15">
      <c r="A86" s="5" t="s">
        <v>13</v>
      </c>
      <c r="B86" s="5" t="s">
        <v>94</v>
      </c>
      <c r="C86" s="5"/>
      <c r="D86" s="5"/>
      <c r="E86" s="5"/>
      <c r="F86" s="5"/>
    </row>
    <row r="87" spans="1:6" ht="18.75" customHeight="1" x14ac:dyDescent="0.15">
      <c r="A87" s="24"/>
      <c r="B87" s="270" t="s">
        <v>197</v>
      </c>
      <c r="C87" s="271"/>
      <c r="D87" s="271"/>
      <c r="E87" s="271"/>
      <c r="F87" s="272"/>
    </row>
    <row r="88" spans="1:6" ht="18.75" customHeight="1" x14ac:dyDescent="0.15">
      <c r="A88" s="24"/>
      <c r="B88" s="273"/>
      <c r="C88" s="274"/>
      <c r="D88" s="274"/>
      <c r="E88" s="274"/>
      <c r="F88" s="275"/>
    </row>
    <row r="89" spans="1:6" ht="18.75" customHeight="1" x14ac:dyDescent="0.15">
      <c r="A89" s="54"/>
      <c r="B89" s="273"/>
      <c r="C89" s="274"/>
      <c r="D89" s="274"/>
      <c r="E89" s="274"/>
      <c r="F89" s="275"/>
    </row>
    <row r="90" spans="1:6" ht="18.75" customHeight="1" x14ac:dyDescent="0.15">
      <c r="A90" s="54"/>
      <c r="B90" s="273"/>
      <c r="C90" s="274"/>
      <c r="D90" s="274"/>
      <c r="E90" s="274"/>
      <c r="F90" s="275"/>
    </row>
    <row r="91" spans="1:6" ht="18.75" customHeight="1" x14ac:dyDescent="0.15">
      <c r="A91" s="54"/>
      <c r="B91" s="273"/>
      <c r="C91" s="274"/>
      <c r="D91" s="274"/>
      <c r="E91" s="274"/>
      <c r="F91" s="275"/>
    </row>
    <row r="92" spans="1:6" ht="18.75" customHeight="1" x14ac:dyDescent="0.15">
      <c r="A92" s="54"/>
      <c r="B92" s="273"/>
      <c r="C92" s="274"/>
      <c r="D92" s="274"/>
      <c r="E92" s="274"/>
      <c r="F92" s="275"/>
    </row>
    <row r="93" spans="1:6" ht="18.75" customHeight="1" x14ac:dyDescent="0.15">
      <c r="A93" s="54"/>
      <c r="B93" s="273"/>
      <c r="C93" s="274"/>
      <c r="D93" s="274"/>
      <c r="E93" s="274"/>
      <c r="F93" s="275"/>
    </row>
    <row r="94" spans="1:6" ht="18.75" customHeight="1" x14ac:dyDescent="0.15">
      <c r="A94" s="54"/>
      <c r="B94" s="273"/>
      <c r="C94" s="274"/>
      <c r="D94" s="274"/>
      <c r="E94" s="274"/>
      <c r="F94" s="275"/>
    </row>
    <row r="95" spans="1:6" ht="18.75" customHeight="1" x14ac:dyDescent="0.15">
      <c r="A95" s="54"/>
      <c r="B95" s="273"/>
      <c r="C95" s="274"/>
      <c r="D95" s="274"/>
      <c r="E95" s="274"/>
      <c r="F95" s="275"/>
    </row>
    <row r="96" spans="1:6" ht="18.75" customHeight="1" x14ac:dyDescent="0.15">
      <c r="A96" s="54"/>
      <c r="B96" s="273"/>
      <c r="C96" s="274"/>
      <c r="D96" s="274"/>
      <c r="E96" s="274"/>
      <c r="F96" s="275"/>
    </row>
    <row r="97" spans="1:6" ht="18.75" customHeight="1" x14ac:dyDescent="0.15">
      <c r="A97" s="54"/>
      <c r="B97" s="273"/>
      <c r="C97" s="274"/>
      <c r="D97" s="274"/>
      <c r="E97" s="274"/>
      <c r="F97" s="275"/>
    </row>
    <row r="98" spans="1:6" ht="18.75" customHeight="1" x14ac:dyDescent="0.15">
      <c r="A98" s="54"/>
      <c r="B98" s="273"/>
      <c r="C98" s="274"/>
      <c r="D98" s="274"/>
      <c r="E98" s="274"/>
      <c r="F98" s="275"/>
    </row>
    <row r="99" spans="1:6" ht="18.75" customHeight="1" x14ac:dyDescent="0.15">
      <c r="A99" s="54"/>
      <c r="B99" s="273"/>
      <c r="C99" s="274"/>
      <c r="D99" s="274"/>
      <c r="E99" s="274"/>
      <c r="F99" s="275"/>
    </row>
    <row r="100" spans="1:6" ht="18.75" customHeight="1" x14ac:dyDescent="0.15">
      <c r="A100" s="54"/>
      <c r="B100" s="273"/>
      <c r="C100" s="274"/>
      <c r="D100" s="274"/>
      <c r="E100" s="274"/>
      <c r="F100" s="275"/>
    </row>
    <row r="101" spans="1:6" ht="18.75" customHeight="1" x14ac:dyDescent="0.15">
      <c r="A101" s="54"/>
      <c r="B101" s="273"/>
      <c r="C101" s="274"/>
      <c r="D101" s="274"/>
      <c r="E101" s="274"/>
      <c r="F101" s="275"/>
    </row>
    <row r="102" spans="1:6" ht="18.75" customHeight="1" x14ac:dyDescent="0.15">
      <c r="A102" s="54"/>
      <c r="B102" s="273"/>
      <c r="C102" s="274"/>
      <c r="D102" s="274"/>
      <c r="E102" s="274"/>
      <c r="F102" s="275"/>
    </row>
    <row r="103" spans="1:6" ht="18.75" customHeight="1" x14ac:dyDescent="0.15">
      <c r="A103" s="54"/>
      <c r="B103" s="273"/>
      <c r="C103" s="274"/>
      <c r="D103" s="274"/>
      <c r="E103" s="274"/>
      <c r="F103" s="275"/>
    </row>
    <row r="104" spans="1:6" ht="18.75" customHeight="1" x14ac:dyDescent="0.15">
      <c r="A104" s="54"/>
      <c r="B104" s="273"/>
      <c r="C104" s="274"/>
      <c r="D104" s="274"/>
      <c r="E104" s="274"/>
      <c r="F104" s="275"/>
    </row>
    <row r="105" spans="1:6" ht="18.75" customHeight="1" x14ac:dyDescent="0.15">
      <c r="A105" s="54"/>
      <c r="B105" s="273"/>
      <c r="C105" s="274"/>
      <c r="D105" s="274"/>
      <c r="E105" s="274"/>
      <c r="F105" s="275"/>
    </row>
    <row r="106" spans="1:6" ht="18.75" customHeight="1" x14ac:dyDescent="0.15">
      <c r="A106" s="54"/>
      <c r="B106" s="273"/>
      <c r="C106" s="274"/>
      <c r="D106" s="274"/>
      <c r="E106" s="274"/>
      <c r="F106" s="275"/>
    </row>
    <row r="107" spans="1:6" ht="18.75" customHeight="1" x14ac:dyDescent="0.15">
      <c r="A107" s="54"/>
      <c r="B107" s="273"/>
      <c r="C107" s="274"/>
      <c r="D107" s="274"/>
      <c r="E107" s="274"/>
      <c r="F107" s="275"/>
    </row>
    <row r="108" spans="1:6" ht="18.75" customHeight="1" x14ac:dyDescent="0.15">
      <c r="A108" s="54"/>
      <c r="B108" s="273"/>
      <c r="C108" s="274"/>
      <c r="D108" s="274"/>
      <c r="E108" s="274"/>
      <c r="F108" s="275"/>
    </row>
    <row r="109" spans="1:6" ht="18.75" customHeight="1" x14ac:dyDescent="0.15">
      <c r="A109" s="54"/>
      <c r="B109" s="273"/>
      <c r="C109" s="274"/>
      <c r="D109" s="274"/>
      <c r="E109" s="274"/>
      <c r="F109" s="275"/>
    </row>
    <row r="110" spans="1:6" ht="18.75" customHeight="1" x14ac:dyDescent="0.15">
      <c r="A110" s="54"/>
      <c r="B110" s="273"/>
      <c r="C110" s="274"/>
      <c r="D110" s="274"/>
      <c r="E110" s="274"/>
      <c r="F110" s="275"/>
    </row>
    <row r="111" spans="1:6" ht="18.75" customHeight="1" x14ac:dyDescent="0.15">
      <c r="A111" s="24"/>
      <c r="B111" s="273"/>
      <c r="C111" s="274"/>
      <c r="D111" s="274"/>
      <c r="E111" s="274"/>
      <c r="F111" s="275"/>
    </row>
    <row r="112" spans="1:6" ht="18.75" customHeight="1" x14ac:dyDescent="0.15">
      <c r="A112" s="24"/>
      <c r="B112" s="273"/>
      <c r="C112" s="274"/>
      <c r="D112" s="274"/>
      <c r="E112" s="274"/>
      <c r="F112" s="275"/>
    </row>
    <row r="113" spans="1:6" ht="18.75" customHeight="1" x14ac:dyDescent="0.15">
      <c r="A113" s="24"/>
      <c r="B113" s="273"/>
      <c r="C113" s="274"/>
      <c r="D113" s="274"/>
      <c r="E113" s="274"/>
      <c r="F113" s="275"/>
    </row>
    <row r="114" spans="1:6" ht="18.75" customHeight="1" x14ac:dyDescent="0.15">
      <c r="A114" s="24"/>
      <c r="B114" s="273"/>
      <c r="C114" s="274"/>
      <c r="D114" s="274"/>
      <c r="E114" s="274"/>
      <c r="F114" s="275"/>
    </row>
    <row r="115" spans="1:6" ht="18.75" customHeight="1" x14ac:dyDescent="0.15">
      <c r="A115" s="24"/>
      <c r="B115" s="273"/>
      <c r="C115" s="274"/>
      <c r="D115" s="274"/>
      <c r="E115" s="274"/>
      <c r="F115" s="275"/>
    </row>
    <row r="116" spans="1:6" ht="18.75" customHeight="1" x14ac:dyDescent="0.15">
      <c r="A116" s="24"/>
      <c r="B116" s="273"/>
      <c r="C116" s="274"/>
      <c r="D116" s="274"/>
      <c r="E116" s="274"/>
      <c r="F116" s="275"/>
    </row>
    <row r="117" spans="1:6" ht="18.75" customHeight="1" x14ac:dyDescent="0.15">
      <c r="A117" s="24"/>
      <c r="B117" s="273"/>
      <c r="C117" s="274"/>
      <c r="D117" s="274"/>
      <c r="E117" s="274"/>
      <c r="F117" s="275"/>
    </row>
    <row r="118" spans="1:6" ht="18.75" customHeight="1" x14ac:dyDescent="0.15">
      <c r="A118" s="24"/>
      <c r="B118" s="273"/>
      <c r="C118" s="274"/>
      <c r="D118" s="274"/>
      <c r="E118" s="274"/>
      <c r="F118" s="275"/>
    </row>
    <row r="119" spans="1:6" ht="18.75" customHeight="1" x14ac:dyDescent="0.15">
      <c r="A119" s="24"/>
      <c r="B119" s="273"/>
      <c r="C119" s="274"/>
      <c r="D119" s="274"/>
      <c r="E119" s="274"/>
      <c r="F119" s="275"/>
    </row>
    <row r="120" spans="1:6" ht="18.75" customHeight="1" x14ac:dyDescent="0.15">
      <c r="A120" s="24"/>
      <c r="B120" s="273"/>
      <c r="C120" s="274"/>
      <c r="D120" s="274"/>
      <c r="E120" s="274"/>
      <c r="F120" s="275"/>
    </row>
    <row r="121" spans="1:6" ht="18.75" customHeight="1" x14ac:dyDescent="0.15">
      <c r="A121" s="24"/>
      <c r="B121" s="273"/>
      <c r="C121" s="274"/>
      <c r="D121" s="274"/>
      <c r="E121" s="274"/>
      <c r="F121" s="275"/>
    </row>
    <row r="122" spans="1:6" ht="18.75" customHeight="1" x14ac:dyDescent="0.15">
      <c r="A122" s="24"/>
      <c r="B122" s="273"/>
      <c r="C122" s="274"/>
      <c r="D122" s="274"/>
      <c r="E122" s="274"/>
      <c r="F122" s="275"/>
    </row>
    <row r="123" spans="1:6" ht="18.75" customHeight="1" x14ac:dyDescent="0.15">
      <c r="A123" s="24"/>
      <c r="B123" s="273"/>
      <c r="C123" s="274"/>
      <c r="D123" s="274"/>
      <c r="E123" s="274"/>
      <c r="F123" s="275"/>
    </row>
    <row r="124" spans="1:6" ht="18.75" customHeight="1" x14ac:dyDescent="0.15">
      <c r="A124" s="24"/>
      <c r="B124" s="273"/>
      <c r="C124" s="274"/>
      <c r="D124" s="274"/>
      <c r="E124" s="274"/>
      <c r="F124" s="275"/>
    </row>
    <row r="125" spans="1:6" ht="18.75" customHeight="1" x14ac:dyDescent="0.15">
      <c r="A125" s="24"/>
      <c r="B125" s="273"/>
      <c r="C125" s="274"/>
      <c r="D125" s="274"/>
      <c r="E125" s="274"/>
      <c r="F125" s="275"/>
    </row>
    <row r="126" spans="1:6" ht="18.75" customHeight="1" x14ac:dyDescent="0.15">
      <c r="A126" s="24"/>
      <c r="B126" s="276"/>
      <c r="C126" s="277"/>
      <c r="D126" s="277"/>
      <c r="E126" s="277"/>
      <c r="F126" s="278"/>
    </row>
  </sheetData>
  <mergeCells count="6">
    <mergeCell ref="B87:F126"/>
    <mergeCell ref="E1:F1"/>
    <mergeCell ref="E2:F2"/>
    <mergeCell ref="A4:F4"/>
    <mergeCell ref="B7:F44"/>
    <mergeCell ref="B46:F85"/>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5" man="1"/>
    <brk id="85"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渡邉 英司</cp:lastModifiedBy>
  <cp:lastPrinted>2021-07-14T02:41:07Z</cp:lastPrinted>
  <dcterms:created xsi:type="dcterms:W3CDTF">2011-06-14T05:32:50Z</dcterms:created>
  <dcterms:modified xsi:type="dcterms:W3CDTF">2021-07-14T03:12:58Z</dcterms:modified>
</cp:coreProperties>
</file>