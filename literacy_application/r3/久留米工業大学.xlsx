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24226"/>
  <mc:AlternateContent xmlns:mc="http://schemas.openxmlformats.org/markup-compatibility/2006">
    <mc:Choice Requires="x15">
      <x15ac:absPath xmlns:x15ac="http://schemas.microsoft.com/office/spreadsheetml/2010/11/ac" url="P:\300_数理・AIデータサイエンス教育プログラム申請関係\2021年度\申請様式関係\0712申請確認事項関係\"/>
    </mc:Choice>
  </mc:AlternateContent>
  <xr:revisionPtr revIDLastSave="0" documentId="13_ncr:1_{16095DE4-0EA5-4AFF-B870-2F3ED3B6F7D8}" xr6:coauthVersionLast="47" xr6:coauthVersionMax="47" xr10:uidLastSave="{00000000-0000-0000-0000-000000000000}"/>
  <bookViews>
    <workbookView xWindow="2505" yWindow="1545" windowWidth="17505" windowHeight="10935" tabRatio="779" firstSheet="3" activeTab="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37"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3">'様式4　プログラムの授業内容・概要'!$A$1:$G$145</definedName>
    <definedName name="_xlnm.Print_Area" localSheetId="4">'様式５　教育の質・履修者数を向上させるための体制・計画'!$A$1:$E$135</definedName>
    <definedName name="_xlnm.Print_Area" localSheetId="5">'様式６　自己点検・評価'!$A$1:$J$20</definedName>
    <definedName name="_xlnm.Print_Area" localSheetId="6">'様式７　特色ある取組'!$A$1:$G$130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8" i="31" l="1"/>
  <c r="O28" i="31"/>
  <c r="N28" i="31"/>
  <c r="M28" i="31"/>
  <c r="L28" i="31"/>
  <c r="K28" i="31"/>
  <c r="J28" i="31"/>
  <c r="I28" i="31"/>
  <c r="H28" i="31"/>
  <c r="G28" i="31"/>
  <c r="F28" i="31"/>
  <c r="E28" i="3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<sst xmlns="http://schemas.openxmlformats.org/spreadsheetml/2006/main" count="312" uniqueCount="237">
  <si>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</si>
  <si>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</si>
  <si>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</si>
  <si>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</si>
  <si>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</si>
  <si>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</si>
  <si>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</si>
  <si>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</si>
  <si>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</si>
  <si>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</si>
  <si>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</si>
  <si>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</si>
  <si>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</si>
  <si>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</si>
  <si>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</si>
  <si>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</si>
  <si>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</si>
  <si>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</si>
  <si>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</si>
  <si>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</si>
  <si>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</si>
  <si>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</si>
  <si>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</si>
  <si>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</si>
  <si>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</si>
  <si>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</si>
  <si>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</si>
  <si>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</si>
  <si>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</si>
  <si>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</si>
  <si>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</si>
  <si>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</si>
  <si>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</si>
  <si>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</si>
  <si>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</si>
  <si>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</si>
  <si>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</si>
  <si>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</si>
  <si>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</si>
  <si>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</si>
  <si>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</si>
  <si>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</si>
  <si>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</si>
  <si>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</si>
  <si>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</si>
  <si>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</si>
  <si>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</si>
  <si>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</si>
  <si>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</si>
  <si>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</si>
  <si>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</si>
  <si>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</si>
  <si>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</si>
  <si>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</si>
  <si>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</si>
  <si>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</si>
  <si>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</si>
  <si>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</si>
  <si>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</si>
  <si>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</si>
  <si>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</si>
  <si>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</si>
  <si>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</si>
  <si>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</si>
  <si>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</si>
  <si>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</si>
  <si>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</si>
  <si>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</si>
  <si>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</si>
  <si>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</si>
  <si>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</si>
  <si>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</si>
  <si>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</si>
  <si>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</si>
  <si>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</si>
  <si>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</si>
  <si>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</si>
  <si>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</si>
  <si>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</si>
  <si>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</si>
  <si>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</si>
  <si>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</si>
  <si>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</si>
  <si>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</si>
  <si>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</si>
  <si>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</si>
  <si>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</si>
  <si>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</si>
  <si>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</si>
  <si>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</si>
  <si>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</si>
  <si>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</si>
  <si>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</si>
  <si>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</si>
  <si>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</si>
  <si>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</si>
  <si>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</si>
  <si>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</si>
  <si>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</si>
  <si>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</si>
  <si>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</si>
  <si>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</si>
  <si>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</si>
  <si>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</si>
  <si>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</si>
  <si>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</si>
  <si>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</si>
  <si>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</si>
  <si>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</si>
  <si>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</si>
  <si>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</si>
  <si>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</si>
  <si>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</si>
  <si>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</si>
  <si>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</si>
  <si>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</si>
  <si>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</si>
  <si>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</si>
  <si>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</si>
  <si>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</si>
  <si>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</si>
  <si>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</si>
  <si>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</si>
  <si>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</si>
  <si>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</si>
  <si>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</si>
  <si>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</si>
  <si>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</si>
  <si>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</si>
  <si>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</si>
  <si>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久留米工業大学</t>
    <rPh sb="0" eb="7">
      <t>クルメコウギョウダイガク</t>
    </rPh>
    <phoneticPr fontId="1"/>
  </si>
  <si>
    <t>福岡県久留米市上津町2228‐66</t>
    <rPh sb="0" eb="3">
      <t>フクオカケン</t>
    </rPh>
    <rPh sb="3" eb="7">
      <t>クルメシ</t>
    </rPh>
    <rPh sb="7" eb="10">
      <t>カミツマチ</t>
    </rPh>
    <phoneticPr fontId="1"/>
  </si>
  <si>
    <t>今泉 勝己</t>
    <rPh sb="0" eb="2">
      <t>イマイズミ</t>
    </rPh>
    <rPh sb="3" eb="5">
      <t>カツミ</t>
    </rPh>
    <phoneticPr fontId="1"/>
  </si>
  <si>
    <t>私立大学</t>
    <phoneticPr fontId="1"/>
  </si>
  <si>
    <t>学校法人久留米工業大学</t>
    <rPh sb="0" eb="2">
      <t>ガッコウ</t>
    </rPh>
    <phoneticPr fontId="1"/>
  </si>
  <si>
    <t>学長</t>
    <rPh sb="0" eb="2">
      <t>ガクチョウ</t>
    </rPh>
    <phoneticPr fontId="1"/>
  </si>
  <si>
    <t>教務課</t>
    <rPh sb="0" eb="3">
      <t>キョウムカ</t>
    </rPh>
    <phoneticPr fontId="1"/>
  </si>
  <si>
    <t>kyomu@kurume-it.ac.jp</t>
    <phoneticPr fontId="1"/>
  </si>
  <si>
    <t>0942-22-2348</t>
    <phoneticPr fontId="1"/>
  </si>
  <si>
    <t>千田 陽介</t>
    <rPh sb="0" eb="2">
      <t>センタ</t>
    </rPh>
    <rPh sb="3" eb="5">
      <t>ヨウスケ</t>
    </rPh>
    <phoneticPr fontId="1"/>
  </si>
  <si>
    <t>　久留米工業大学</t>
    <rPh sb="1" eb="8">
      <t>クルメコウギョウダイガク</t>
    </rPh>
    <phoneticPr fontId="1"/>
  </si>
  <si>
    <t>ＡＩ概論</t>
    <rPh sb="2" eb="4">
      <t>ガイロン</t>
    </rPh>
    <phoneticPr fontId="1"/>
  </si>
  <si>
    <t>機械システム工学科（機械(・)システム工学）</t>
    <rPh sb="0" eb="2">
      <t>キカイ</t>
    </rPh>
    <rPh sb="6" eb="9">
      <t>コウガッカ</t>
    </rPh>
    <rPh sb="10" eb="12">
      <t>キカイ</t>
    </rPh>
    <rPh sb="19" eb="21">
      <t>コウガク</t>
    </rPh>
    <phoneticPr fontId="1"/>
  </si>
  <si>
    <t>交通機械工学科（交通機械工学）</t>
    <rPh sb="0" eb="4">
      <t>コウツウキカイ</t>
    </rPh>
    <rPh sb="4" eb="7">
      <t>コウガッカ</t>
    </rPh>
    <rPh sb="8" eb="12">
      <t>コウツウキカイ</t>
    </rPh>
    <rPh sb="12" eb="14">
      <t>コウガク</t>
    </rPh>
    <phoneticPr fontId="1"/>
  </si>
  <si>
    <t>建築・設備工学科（建築(・)設備工学）</t>
    <rPh sb="0" eb="2">
      <t>ケンチク</t>
    </rPh>
    <rPh sb="3" eb="5">
      <t>セツビ</t>
    </rPh>
    <rPh sb="5" eb="8">
      <t>コウガッカ</t>
    </rPh>
    <rPh sb="9" eb="11">
      <t>ケンチク</t>
    </rPh>
    <rPh sb="14" eb="16">
      <t>セツビ</t>
    </rPh>
    <rPh sb="16" eb="18">
      <t>コウガク</t>
    </rPh>
    <phoneticPr fontId="1"/>
  </si>
  <si>
    <t>情報ネットワーク工学科（情報ネットワーク(工)学）</t>
    <rPh sb="0" eb="2">
      <t>ジョウホウ</t>
    </rPh>
    <rPh sb="8" eb="11">
      <t>コウガッカ</t>
    </rPh>
    <rPh sb="12" eb="14">
      <t>ジョウホウ</t>
    </rPh>
    <rPh sb="21" eb="22">
      <t>コウ</t>
    </rPh>
    <rPh sb="23" eb="24">
      <t>ガク</t>
    </rPh>
    <phoneticPr fontId="1"/>
  </si>
  <si>
    <t>教育創造工学科（教育創造工学）</t>
    <rPh sb="0" eb="4">
      <t>キョウイクソウゾウ</t>
    </rPh>
    <rPh sb="4" eb="7">
      <t>コウガッカ</t>
    </rPh>
    <rPh sb="8" eb="10">
      <t>キョウイク</t>
    </rPh>
    <rPh sb="10" eb="12">
      <t>ソウゾウ</t>
    </rPh>
    <rPh sb="12" eb="14">
      <t>コウガク</t>
    </rPh>
    <phoneticPr fontId="1"/>
  </si>
  <si>
    <t>AI応用研究所長、情報ネットワーク工学科教授</t>
    <rPh sb="2" eb="4">
      <t>オウヨウ</t>
    </rPh>
    <rPh sb="4" eb="6">
      <t>ケンキュウ</t>
    </rPh>
    <rPh sb="6" eb="8">
      <t>ショチョウ</t>
    </rPh>
    <rPh sb="9" eb="11">
      <t>ジョウホウ</t>
    </rPh>
    <rPh sb="17" eb="20">
      <t>コウガッカ</t>
    </rPh>
    <rPh sb="20" eb="22">
      <t>キョウジュ</t>
    </rPh>
    <phoneticPr fontId="1"/>
  </si>
  <si>
    <t>今泉 勝己</t>
    <phoneticPr fontId="1"/>
  </si>
  <si>
    <t xml:space="preserve">学長（自己点検・評価委員会委員長）
</t>
    <phoneticPr fontId="1"/>
  </si>
  <si>
    <t>学部・学科によって、修了要件は相違しない</t>
  </si>
  <si>
    <t>認定教育プログラムと認定教育プログラム+（プラス）</t>
  </si>
  <si>
    <t>様式２</t>
    <rPh sb="0" eb="2">
      <t>ヨウシキ</t>
    </rPh>
    <phoneticPr fontId="1"/>
  </si>
  <si>
    <t>久留米工業大学</t>
    <rPh sb="0" eb="3">
      <t>クルメ</t>
    </rPh>
    <rPh sb="3" eb="5">
      <t>コウギョウ</t>
    </rPh>
    <rPh sb="5" eb="7">
      <t>ダイガク</t>
    </rPh>
    <phoneticPr fontId="1"/>
  </si>
  <si>
    <t>様式４</t>
    <rPh sb="0" eb="2">
      <t>ヨウシキ</t>
    </rPh>
    <phoneticPr fontId="1"/>
  </si>
  <si>
    <t>有</t>
  </si>
  <si>
    <t>地域課題解決型AI教育プログラム（リテラシー）</t>
    <rPh sb="0" eb="2">
      <t>チイキ</t>
    </rPh>
    <rPh sb="2" eb="4">
      <t>カダイ</t>
    </rPh>
    <rPh sb="4" eb="7">
      <t>カイケツガタ</t>
    </rPh>
    <rPh sb="9" eb="11">
      <t>キョウイク</t>
    </rPh>
    <phoneticPr fontId="1"/>
  </si>
  <si>
    <t>AI応用研究所</t>
    <rPh sb="2" eb="4">
      <t>オウヨウ</t>
    </rPh>
    <rPh sb="4" eb="7">
      <t>ケンキュウショ</t>
    </rPh>
    <phoneticPr fontId="1"/>
  </si>
  <si>
    <t>AI概論</t>
  </si>
  <si>
    <t>AI概論</t>
    <rPh sb="2" eb="4">
      <t>ガイロン</t>
    </rPh>
    <phoneticPr fontId="1"/>
  </si>
  <si>
    <t>AI概論</t>
    <phoneticPr fontId="1"/>
  </si>
  <si>
    <t>AI概論（6回:対面講義・演習）：フローチャート、制御構造（順次構造、選択構造、反復構造）、最大値、最小値</t>
    <rPh sb="6" eb="7">
      <t>カイ</t>
    </rPh>
    <rPh sb="8" eb="10">
      <t>タイメン</t>
    </rPh>
    <rPh sb="10" eb="12">
      <t>コウギ</t>
    </rPh>
    <rPh sb="25" eb="27">
      <t>セイギョ</t>
    </rPh>
    <rPh sb="27" eb="29">
      <t>コウゾウ</t>
    </rPh>
    <rPh sb="30" eb="32">
      <t>ジュンジ</t>
    </rPh>
    <rPh sb="32" eb="34">
      <t>コウゾウ</t>
    </rPh>
    <rPh sb="35" eb="37">
      <t>センタク</t>
    </rPh>
    <rPh sb="37" eb="39">
      <t>コウゾウ</t>
    </rPh>
    <rPh sb="40" eb="42">
      <t>ハンプク</t>
    </rPh>
    <rPh sb="42" eb="44">
      <t>コウゾウ</t>
    </rPh>
    <rPh sb="46" eb="49">
      <t>サイダイチ</t>
    </rPh>
    <rPh sb="50" eb="53">
      <t>サイショウチ</t>
    </rPh>
    <phoneticPr fontId="1"/>
  </si>
  <si>
    <t>AI概論（8回：対面講義・演習）：テーマ「データの作成・調整（前処理）、CSVファイルの読み込み、データの可視化」</t>
    <rPh sb="2" eb="4">
      <t>ガイロン</t>
    </rPh>
    <rPh sb="6" eb="7">
      <t>カイ</t>
    </rPh>
    <rPh sb="25" eb="27">
      <t>サクセイ</t>
    </rPh>
    <rPh sb="28" eb="30">
      <t>チョウセイ</t>
    </rPh>
    <rPh sb="31" eb="34">
      <t>マエショリ</t>
    </rPh>
    <rPh sb="44" eb="45">
      <t>ヨ</t>
    </rPh>
    <rPh sb="46" eb="47">
      <t>コ</t>
    </rPh>
    <rPh sb="53" eb="56">
      <t>カシカ</t>
    </rPh>
    <phoneticPr fontId="1"/>
  </si>
  <si>
    <t>AI概論（8回：対面講義・演習）:ライブラリ（numpy）を用いたプログラミングによる統計・数理基礎・行列計算</t>
    <rPh sb="2" eb="4">
      <t>ガイロン</t>
    </rPh>
    <rPh sb="6" eb="7">
      <t>カイ</t>
    </rPh>
    <rPh sb="8" eb="10">
      <t>タイメン</t>
    </rPh>
    <rPh sb="10" eb="12">
      <t>コウギ</t>
    </rPh>
    <rPh sb="30" eb="31">
      <t>モチ</t>
    </rPh>
    <rPh sb="43" eb="45">
      <t>トウケイ</t>
    </rPh>
    <rPh sb="46" eb="48">
      <t>スウリ</t>
    </rPh>
    <rPh sb="48" eb="50">
      <t>キソ</t>
    </rPh>
    <rPh sb="51" eb="53">
      <t>ギョウレツ</t>
    </rPh>
    <rPh sb="53" eb="55">
      <t>ケイサン</t>
    </rPh>
    <phoneticPr fontId="1"/>
  </si>
  <si>
    <t>AI概論</t>
    <phoneticPr fontId="1"/>
  </si>
  <si>
    <t>コンピュータ・AIの歴史、社会で起きている変化（Society5.0, Industory4.0, IoT,AI）(3)</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</si>
  <si>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</si>
  <si>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社会で活用されているデータ（数値・文字・音声・画像・動画データ、ビッグデータ）（1）</t>
    <rPh sb="0" eb="2">
      <t>シャカイ</t>
    </rPh>
    <rPh sb="3" eb="5">
      <t>カツヨウ</t>
    </rPh>
    <rPh sb="14" eb="16">
      <t>スウチ</t>
    </rPh>
    <rPh sb="17" eb="19">
      <t>モジ</t>
    </rPh>
    <rPh sb="20" eb="22">
      <t>オンセイ</t>
    </rPh>
    <rPh sb="23" eb="25">
      <t>ガゾウ</t>
    </rPh>
    <rPh sb="26" eb="28">
      <t>ドウガ</t>
    </rPh>
    <phoneticPr fontId="1"/>
  </si>
  <si>
    <t>AI概論</t>
    <phoneticPr fontId="1"/>
  </si>
  <si>
    <t>AI概論</t>
    <phoneticPr fontId="1"/>
  </si>
  <si>
    <t>AI・DS利活用事例（Facebook, Microsoft検索語広告、Amazon、メルカリ）（9）</t>
    <phoneticPr fontId="1"/>
  </si>
  <si>
    <t>Dynamic Pricing:飛行機、ホテル、スポーツ観戦等チケットの価格付け　(9)</t>
    <phoneticPr fontId="1"/>
  </si>
  <si>
    <t>AI利活用の現場（Amazon Go:レジのない店舗における顔認証による精算 他）　(9)</t>
    <phoneticPr fontId="1"/>
  </si>
  <si>
    <t>ICT（情報通信技術）の進展、ビッグデータの収集、IoT、ビッグデータ活用事例（人の行動ログデータ、</t>
    <phoneticPr fontId="1"/>
  </si>
  <si>
    <t>ビッグデータのAI活用（SNSデータの自然言語理解による製品課題の洗い出し、ICカード、</t>
    <phoneticPr fontId="1"/>
  </si>
  <si>
    <t>機械の稼働ログ、SNSデータ、地図データ）(5)</t>
    <phoneticPr fontId="1"/>
  </si>
  <si>
    <t xml:space="preserve">AI・データ利活用の最新動向（顔認証、犯罪予測、衛星データAI　等)　(9） </t>
    <rPh sb="15" eb="16">
      <t>カオ</t>
    </rPh>
    <rPh sb="16" eb="18">
      <t>ニンショウ</t>
    </rPh>
    <rPh sb="24" eb="26">
      <t>エイセイ</t>
    </rPh>
    <phoneticPr fontId="1"/>
  </si>
  <si>
    <t xml:space="preserve">AI・データ利活用の最新動向（商品のレコメンデーション、遠隔ロボット等)　(9） </t>
    <rPh sb="12" eb="14">
      <t>ドウコウ</t>
    </rPh>
    <rPh sb="28" eb="30">
      <t>エンカク</t>
    </rPh>
    <phoneticPr fontId="1"/>
  </si>
  <si>
    <t>ドライブレコーダ（路線の最適化））(9)</t>
    <phoneticPr fontId="1"/>
  </si>
  <si>
    <t>AI概論</t>
    <phoneticPr fontId="1"/>
  </si>
  <si>
    <t>データ・AIによる課題解決の例紹介（スマートシティ、スマート農業を例に）(9)</t>
    <phoneticPr fontId="1"/>
  </si>
  <si>
    <r>
      <t>AI・数理・DSは幅広い分野において社会課題を解決する有用なツールになることを理解する。また、コンピュータでデータを扱うためのデータ表現の基礎、データを収集・処理・蓄積する技術の概要を理解し、データ分析の目的に応じて適切な分析手法、可視化手法を選択できる</t>
    </r>
    <r>
      <rPr>
        <u/>
        <sz val="12"/>
        <rFont val="ＭＳ Ｐゴシック"/>
        <family val="3"/>
        <charset val="128"/>
        <scheme val="minor"/>
      </rPr>
      <t>AI・データサイエンスの基礎力</t>
    </r>
    <r>
      <rPr>
        <sz val="12"/>
        <rFont val="ＭＳ Ｐゴシック"/>
        <family val="2"/>
        <charset val="128"/>
        <scheme val="minor"/>
      </rPr>
      <t>を身につける。最終的には、 AI（機械学習）の基本的仕組みを理解し、Pythonで実データを用いた教師あり学習（時系列データの近未来予測・画像分類）を実装できる「AIプログラミングの基礎的スキル」を修得する。</t>
    </r>
    <r>
      <rPr>
        <u/>
        <sz val="12"/>
        <rFont val="ＭＳ Ｐゴシック"/>
        <family val="3"/>
        <charset val="128"/>
        <scheme val="minor"/>
      </rPr>
      <t>低学年（１、2年）次に、AI技術による地域課題解決プロジェクト学修やインターンシップに参加できるだけの基礎力・実践力の修得を目指す。</t>
    </r>
    <rPh sb="3" eb="5">
      <t>スウリ</t>
    </rPh>
    <rPh sb="111" eb="113">
      <t>ブンセキ</t>
    </rPh>
    <rPh sb="139" eb="142">
      <t>キソリョク</t>
    </rPh>
    <rPh sb="143" eb="144">
      <t>ミ</t>
    </rPh>
    <rPh sb="149" eb="151">
      <t>サイシュウ</t>
    </rPh>
    <rPh sb="151" eb="152">
      <t>テキ</t>
    </rPh>
    <rPh sb="183" eb="184">
      <t>ジツ</t>
    </rPh>
    <rPh sb="188" eb="189">
      <t>モチ</t>
    </rPh>
    <rPh sb="198" eb="201">
      <t>ジケイレツ</t>
    </rPh>
    <rPh sb="205" eb="208">
      <t>キンミライ</t>
    </rPh>
    <rPh sb="211" eb="213">
      <t>ガゾウ</t>
    </rPh>
    <rPh sb="233" eb="235">
      <t>キソ</t>
    </rPh>
    <rPh sb="235" eb="236">
      <t>テキ</t>
    </rPh>
    <rPh sb="253" eb="254">
      <t>ネン</t>
    </rPh>
    <rPh sb="255" eb="256">
      <t>ジ</t>
    </rPh>
    <rPh sb="260" eb="262">
      <t>ギジュツ</t>
    </rPh>
    <rPh sb="265" eb="267">
      <t>チイキ</t>
    </rPh>
    <rPh sb="267" eb="269">
      <t>カダイ</t>
    </rPh>
    <rPh sb="269" eb="271">
      <t>カイケツ</t>
    </rPh>
    <rPh sb="289" eb="291">
      <t>サンカ</t>
    </rPh>
    <rPh sb="297" eb="300">
      <t>キソリョク</t>
    </rPh>
    <rPh sb="301" eb="304">
      <t>ジッセンリョク</t>
    </rPh>
    <rPh sb="305" eb="307">
      <t>シュウトク</t>
    </rPh>
    <rPh sb="308" eb="310">
      <t>メザ</t>
    </rPh>
    <phoneticPr fontId="1"/>
  </si>
  <si>
    <t>時系列データ（「ビットコインの価格変動データ」）を用いた近未来の価格予測（14）</t>
    <rPh sb="0" eb="3">
      <t>ジケイレツ</t>
    </rPh>
    <rPh sb="25" eb="26">
      <t>モチ</t>
    </rPh>
    <rPh sb="28" eb="31">
      <t>キンミライ</t>
    </rPh>
    <rPh sb="32" eb="34">
      <t>カカク</t>
    </rPh>
    <phoneticPr fontId="1"/>
  </si>
  <si>
    <r>
      <t>　学生にとって身近な九州における「</t>
    </r>
    <r>
      <rPr>
        <sz val="12"/>
        <color theme="1"/>
        <rFont val="ＭＳ Ｐゴシック"/>
        <family val="3"/>
        <charset val="128"/>
        <scheme val="minor"/>
      </rPr>
      <t>AI</t>
    </r>
    <r>
      <rPr>
        <sz val="12"/>
        <color theme="1"/>
        <rFont val="ＭＳ Ｐゴシック"/>
        <family val="2"/>
        <charset val="128"/>
        <scheme val="minor"/>
      </rPr>
      <t>やDS等のスマート化技術を用いた課題解決」の先進事例として、①糸島マルティモーダル実証実験（福岡県）、②箱崎スマートシティ（福岡県）、③荒尾ウエルビーイングスマートシティ（熊本県）、④串間スマート農業（宮崎県）、⑤遠隔操作ロボットアバターを通じた最先端地方創生モデル（大分県）、⑥広域</t>
    </r>
    <r>
      <rPr>
        <sz val="12"/>
        <color theme="1"/>
        <rFont val="ＭＳ Ｐゴシック"/>
        <family val="3"/>
        <charset val="128"/>
        <scheme val="minor"/>
      </rPr>
      <t>MaaS</t>
    </r>
    <r>
      <rPr>
        <sz val="12"/>
        <color theme="1"/>
        <rFont val="ＭＳ Ｐゴシック"/>
        <family val="2"/>
        <charset val="128"/>
        <scheme val="minor"/>
      </rPr>
      <t>プロジェクト・モビリティと決済（鹿児島県）などの取組みを例に挙げ、</t>
    </r>
    <r>
      <rPr>
        <u/>
        <sz val="12"/>
        <color theme="1"/>
        <rFont val="ＭＳ Ｐゴシック"/>
        <family val="3"/>
        <charset val="128"/>
        <scheme val="minor"/>
      </rPr>
      <t>AIやIoT、ビッグデータ、ロボットを様々な分野で活⽤することにより、「スマートシティ」「スマート農業」など社会課題の解決が実現していることを理解する</t>
    </r>
    <r>
      <rPr>
        <sz val="12"/>
        <color theme="1"/>
        <rFont val="ＭＳ Ｐゴシック"/>
        <family val="2"/>
        <charset val="128"/>
        <scheme val="minor"/>
      </rPr>
      <t>。
　本授業では、「社会で活用されているデータ」や「データの活用領域」は非常に広範囲であり、</t>
    </r>
    <r>
      <rPr>
        <sz val="12"/>
        <color theme="1"/>
        <rFont val="ＭＳ Ｐゴシック"/>
        <family val="3"/>
        <charset val="128"/>
        <scheme val="minor"/>
      </rPr>
      <t>AI</t>
    </r>
    <r>
      <rPr>
        <sz val="12"/>
        <color theme="1"/>
        <rFont val="ＭＳ Ｐゴシック"/>
        <family val="2"/>
        <charset val="128"/>
        <scheme val="minor"/>
      </rPr>
      <t xml:space="preserve">・数理DSは日常生活や社会の課題を解決する有用なツールになり得るものであることを学ぶ。久留米市のスマートシティ構想を学生自らが考案する演習課題にも取組む。
</t>
    </r>
    <rPh sb="193" eb="194">
      <t>レイ</t>
    </rPh>
    <rPh sb="195" eb="196">
      <t>ア</t>
    </rPh>
    <rPh sb="252" eb="254">
      <t>シャカイ</t>
    </rPh>
    <rPh sb="254" eb="256">
      <t>カダイ</t>
    </rPh>
    <rPh sb="257" eb="259">
      <t>カイケツ</t>
    </rPh>
    <rPh sb="260" eb="262">
      <t>ジツゲン</t>
    </rPh>
    <rPh sb="269" eb="271">
      <t>リカイ</t>
    </rPh>
    <rPh sb="322" eb="324">
      <t>スウリ</t>
    </rPh>
    <rPh sb="388" eb="390">
      <t>エンシュウ</t>
    </rPh>
    <rPh sb="390" eb="392">
      <t>カダイ</t>
    </rPh>
    <rPh sb="394" eb="396">
      <t>トリク</t>
    </rPh>
    <phoneticPr fontId="1"/>
  </si>
  <si>
    <t>　AI・IoTに関わる機械学習・ディープラーニング技術は、製造業やWebサービス、ヘルスケアなどの幅広い業界・現場で求められており、デジタル・トランスフォーメーション(DX)の中核技術である。AI,データサイエンスは単独で機能を果たすものではなく、複数の技術が組み合わさって新しいビジネスやサービスを実現している。
　本授業では、AI・データの利活用として、Facebook, Microsoft検索語広告、Amazon、メルカリ、飛行機・ホテル・スポーツ観戦チケットの価格付けなどの馴染みがある事例を紹介するとともに、各学科の専門的学びに関わる分野として、カメラ映像のAI認識による交通量予測や自動運転、次世代無人化施工システムや工事現場映像のAI解析（工期判断など）、ドライブレコーダのAI活用による自動運転、機械やロボットのAI制御、教育へのAI応用を事例に挙げ、その応用技術について学ぶ。</t>
    <rPh sb="55" eb="57">
      <t>ゲンバ</t>
    </rPh>
    <rPh sb="159" eb="160">
      <t>ホン</t>
    </rPh>
    <rPh sb="160" eb="162">
      <t>ジュギョウ</t>
    </rPh>
    <rPh sb="248" eb="250">
      <t>ジレイ</t>
    </rPh>
    <rPh sb="260" eb="263">
      <t>カクガッカ</t>
    </rPh>
    <rPh sb="264" eb="266">
      <t>センモン</t>
    </rPh>
    <rPh sb="266" eb="267">
      <t>テキ</t>
    </rPh>
    <rPh sb="267" eb="268">
      <t>マナ</t>
    </rPh>
    <rPh sb="270" eb="271">
      <t>カカ</t>
    </rPh>
    <rPh sb="273" eb="275">
      <t>ブンヤ</t>
    </rPh>
    <rPh sb="292" eb="294">
      <t>コウツウ</t>
    </rPh>
    <rPh sb="294" eb="295">
      <t>リョウ</t>
    </rPh>
    <rPh sb="295" eb="297">
      <t>ヨソク</t>
    </rPh>
    <rPh sb="298" eb="300">
      <t>ジドウ</t>
    </rPh>
    <rPh sb="300" eb="302">
      <t>ウンテン</t>
    </rPh>
    <rPh sb="316" eb="318">
      <t>コウジ</t>
    </rPh>
    <rPh sb="318" eb="320">
      <t>ゲンバ</t>
    </rPh>
    <rPh sb="320" eb="322">
      <t>エイゾウ</t>
    </rPh>
    <rPh sb="325" eb="327">
      <t>カイセキ</t>
    </rPh>
    <rPh sb="328" eb="330">
      <t>コウキ</t>
    </rPh>
    <rPh sb="330" eb="332">
      <t>ハンダン</t>
    </rPh>
    <rPh sb="347" eb="349">
      <t>カツヨウ</t>
    </rPh>
    <rPh sb="352" eb="354">
      <t>ジドウ</t>
    </rPh>
    <rPh sb="354" eb="356">
      <t>ウンテン</t>
    </rPh>
    <rPh sb="357" eb="359">
      <t>キカイ</t>
    </rPh>
    <rPh sb="367" eb="369">
      <t>セイギョ</t>
    </rPh>
    <rPh sb="370" eb="372">
      <t>キョウイク</t>
    </rPh>
    <rPh sb="376" eb="378">
      <t>オウヨウ</t>
    </rPh>
    <rPh sb="379" eb="381">
      <t>ジレイ</t>
    </rPh>
    <rPh sb="382" eb="383">
      <t>ア</t>
    </rPh>
    <rPh sb="387" eb="389">
      <t>オウヨウ</t>
    </rPh>
    <rPh sb="395" eb="396">
      <t>マナ</t>
    </rPh>
    <phoneticPr fontId="1"/>
  </si>
  <si>
    <t>データ・AI利活用のための技術（強化学習、自動運転、交通量予測）（11）</t>
    <rPh sb="26" eb="28">
      <t>コウツウ</t>
    </rPh>
    <rPh sb="28" eb="29">
      <t>リョウ</t>
    </rPh>
    <rPh sb="29" eb="31">
      <t>ヨソク</t>
    </rPh>
    <phoneticPr fontId="1"/>
  </si>
  <si>
    <t>データ・AI利活用のための技術（次世代無人化施工システムや工事現場映像のAI解析）（11）</t>
    <phoneticPr fontId="1"/>
  </si>
  <si>
    <t>データ・AI利活用のための技術（機械やロボットのAI制御、教育へのAI応用）（11）</t>
    <phoneticPr fontId="1"/>
  </si>
  <si>
    <t>データを守る上での留意事項（OECD８原則、個人情報（プライバシー）保護等）（13）</t>
    <rPh sb="4" eb="5">
      <t>マモ</t>
    </rPh>
    <rPh sb="6" eb="7">
      <t>ウエ</t>
    </rPh>
    <rPh sb="9" eb="11">
      <t>リュウイ</t>
    </rPh>
    <rPh sb="11" eb="13">
      <t>ジコウ</t>
    </rPh>
    <rPh sb="19" eb="21">
      <t>ゲンソク</t>
    </rPh>
    <rPh sb="22" eb="24">
      <t>コジン</t>
    </rPh>
    <rPh sb="24" eb="26">
      <t>ジョウホウ</t>
    </rPh>
    <rPh sb="34" eb="36">
      <t>ホゴ</t>
    </rPh>
    <rPh sb="36" eb="37">
      <t>ナド</t>
    </rPh>
    <phoneticPr fontId="1"/>
  </si>
  <si>
    <t>社会実装におけるELSI(倫理的・法的・社会的）課題（13）</t>
    <rPh sb="0" eb="2">
      <t>シャカイ</t>
    </rPh>
    <rPh sb="2" eb="4">
      <t>ジッソウ</t>
    </rPh>
    <phoneticPr fontId="1"/>
  </si>
  <si>
    <t>データの作成、CSVファイルの読み込み、前処理（8）</t>
    <phoneticPr fontId="1"/>
  </si>
  <si>
    <t>画像データ（「手書き数字」「犬猫画像」）を用いた機械学習による分類（15）</t>
    <rPh sb="0" eb="2">
      <t>ガゾウ</t>
    </rPh>
    <rPh sb="7" eb="9">
      <t>テガ</t>
    </rPh>
    <rPh sb="10" eb="12">
      <t>スウジ</t>
    </rPh>
    <rPh sb="14" eb="16">
      <t>イヌネコ</t>
    </rPh>
    <rPh sb="16" eb="18">
      <t>ガゾウ</t>
    </rPh>
    <rPh sb="21" eb="22">
      <t>モチ</t>
    </rPh>
    <rPh sb="24" eb="26">
      <t>キカイ</t>
    </rPh>
    <rPh sb="26" eb="28">
      <t>ガクシュウ</t>
    </rPh>
    <rPh sb="31" eb="33">
      <t>ブンルイ</t>
    </rPh>
    <phoneticPr fontId="1"/>
  </si>
  <si>
    <t>AI概論（12回：対面講義・演習）：テーマ：「ビットコインの価格変動・予測」</t>
    <rPh sb="7" eb="8">
      <t>カイ</t>
    </rPh>
    <rPh sb="9" eb="11">
      <t>タイメン</t>
    </rPh>
    <rPh sb="11" eb="13">
      <t>コウギ</t>
    </rPh>
    <rPh sb="30" eb="32">
      <t>カカク</t>
    </rPh>
    <rPh sb="32" eb="34">
      <t>ヘンドウ</t>
    </rPh>
    <rPh sb="35" eb="37">
      <t>ヨソク</t>
    </rPh>
    <phoneticPr fontId="1"/>
  </si>
  <si>
    <t>AI概論（14・15回：対面講義・演習）：テーマ：「SVMによる画像分類」・（12回対面講義・演習）：「近未来予測」</t>
    <rPh sb="10" eb="11">
      <t>カイ</t>
    </rPh>
    <rPh sb="12" eb="14">
      <t>タイメン</t>
    </rPh>
    <rPh sb="14" eb="16">
      <t>コウギ</t>
    </rPh>
    <rPh sb="17" eb="19">
      <t>エンシュウ</t>
    </rPh>
    <rPh sb="32" eb="34">
      <t>ガゾウ</t>
    </rPh>
    <rPh sb="34" eb="36">
      <t>ブンルイ</t>
    </rPh>
    <rPh sb="41" eb="42">
      <t>カイ</t>
    </rPh>
    <rPh sb="47" eb="49">
      <t>エンシュウ</t>
    </rPh>
    <rPh sb="52" eb="55">
      <t>キンミライ</t>
    </rPh>
    <rPh sb="55" eb="57">
      <t>ヨソク</t>
    </rPh>
    <phoneticPr fontId="1"/>
  </si>
  <si>
    <t>AI概論（14回：対面講義・演習）：テーマ「手書き数字の解析・分類」（15回：対面講義・演習）「犬猫画像の画像処理」</t>
    <rPh sb="7" eb="8">
      <t>カイ</t>
    </rPh>
    <rPh sb="28" eb="30">
      <t>カイセキ</t>
    </rPh>
    <rPh sb="31" eb="33">
      <t>ブンルイ</t>
    </rPh>
    <rPh sb="48" eb="49">
      <t>イヌ</t>
    </rPh>
    <rPh sb="49" eb="50">
      <t>ネコ</t>
    </rPh>
    <rPh sb="50" eb="52">
      <t>ガゾウ</t>
    </rPh>
    <rPh sb="53" eb="55">
      <t>ガゾウ</t>
    </rPh>
    <rPh sb="55" eb="57">
      <t>ショリ</t>
    </rPh>
    <phoneticPr fontId="1"/>
  </si>
  <si>
    <t>AI（人工知能、機械学習、ディープラーニング）とは何か、強いAI・弱いAI　(1)</t>
    <rPh sb="25" eb="26">
      <t>ナニ</t>
    </rPh>
    <rPh sb="28" eb="29">
      <t>ツヨ</t>
    </rPh>
    <rPh sb="33" eb="34">
      <t>ヨワ</t>
    </rPh>
    <phoneticPr fontId="1"/>
  </si>
  <si>
    <t>石井恒隆</t>
    <rPh sb="0" eb="2">
      <t>イシイ</t>
    </rPh>
    <rPh sb="2" eb="3">
      <t>ヒサシ</t>
    </rPh>
    <rPh sb="3" eb="4">
      <t>タカシ</t>
    </rPh>
    <phoneticPr fontId="1"/>
  </si>
  <si>
    <t>本学（工学部）の全学科ではプログラムを構成する全学必修共通教育科目として下記授業科目「AI概論」（2単位）を取得すること。</t>
    <rPh sb="38" eb="40">
      <t>ジュギョウ</t>
    </rPh>
    <rPh sb="40" eb="42">
      <t>カモク</t>
    </rPh>
    <phoneticPr fontId="1"/>
  </si>
  <si>
    <t>AI概論（2回・4回：対面講義・演習）：Pythonプログラミングの基礎（変数、演算子、リスト、配列、関数など）</t>
    <rPh sb="6" eb="7">
      <t>カイ</t>
    </rPh>
    <rPh sb="9" eb="10">
      <t>カイ</t>
    </rPh>
    <rPh sb="11" eb="13">
      <t>タイメン</t>
    </rPh>
    <rPh sb="13" eb="15">
      <t>コウギ</t>
    </rPh>
    <rPh sb="16" eb="18">
      <t>エンシュウ</t>
    </rPh>
    <rPh sb="34" eb="36">
      <t>キソ</t>
    </rPh>
    <rPh sb="37" eb="39">
      <t>ヘンスウ</t>
    </rPh>
    <rPh sb="40" eb="43">
      <t>エンザンシ</t>
    </rPh>
    <rPh sb="48" eb="50">
      <t>ハイレツ</t>
    </rPh>
    <rPh sb="51" eb="53">
      <t>カンスウ</t>
    </rPh>
    <phoneticPr fontId="1"/>
  </si>
  <si>
    <r>
      <t>　AI、ロボット、IoTおよびビッグデータ等の技術革新による第4次産業革命は社会に大きな影響を与える。例えば、IoT・ビッグデータは個々にカスタマイズされた生産・サービスの提供、資源・資産の効率的な活用を可能とし、AIやロボットは労働の補助・代替を可能とする。すなわち、超スマート社会（Society5.0）の実現によりビジネスモデルは変革し、我々の日常生活、地域社会も大きく変化している。
　本授業では、</t>
    </r>
    <r>
      <rPr>
        <sz val="12"/>
        <rFont val="ＭＳ Ｐゴシック"/>
        <family val="3"/>
        <charset val="128"/>
        <scheme val="minor"/>
      </rPr>
      <t>AI・データ利活用の最新動向として、</t>
    </r>
    <r>
      <rPr>
        <sz val="12"/>
        <rFont val="ＭＳ Ｐゴシック"/>
        <family val="2"/>
        <charset val="128"/>
        <scheme val="minor"/>
      </rPr>
      <t>顔認証、犯罪予測、商品のレコメンデーション、遠隔ロボット、自動運転、音声アシスト、チャットボットなどの身近な事例を解説することにより、</t>
    </r>
    <r>
      <rPr>
        <u/>
        <sz val="12"/>
        <rFont val="ＭＳ Ｐゴシック"/>
        <family val="3"/>
        <charset val="128"/>
        <scheme val="minor"/>
      </rPr>
      <t>データ駆動型社会で起きている変化を知り、AI・数理データサイエンス（DS）と地域を含む実社会の関連性を理解する</t>
    </r>
    <r>
      <rPr>
        <sz val="12"/>
        <rFont val="ＭＳ Ｐゴシック"/>
        <family val="2"/>
        <charset val="128"/>
        <scheme val="minor"/>
      </rPr>
      <t>。また、</t>
    </r>
    <r>
      <rPr>
        <sz val="12"/>
        <rFont val="ＭＳ Ｐゴシック"/>
        <family val="3"/>
        <charset val="128"/>
        <scheme val="minor"/>
      </rPr>
      <t>AI</t>
    </r>
    <r>
      <rPr>
        <sz val="12"/>
        <rFont val="ＭＳ Ｐゴシック"/>
        <family val="2"/>
        <charset val="128"/>
        <scheme val="minor"/>
      </rPr>
      <t>・数理DSへの興味・関心を深め、</t>
    </r>
    <r>
      <rPr>
        <u/>
        <sz val="12"/>
        <rFont val="ＭＳ Ｐゴシック"/>
        <family val="3"/>
        <charset val="128"/>
        <scheme val="minor"/>
      </rPr>
      <t>AI・数理DSを学ぶ意義を理解することを目指す</t>
    </r>
    <r>
      <rPr>
        <sz val="12"/>
        <rFont val="ＭＳ Ｐゴシック"/>
        <family val="2"/>
        <charset val="128"/>
        <scheme val="minor"/>
      </rPr>
      <t xml:space="preserve">。
</t>
    </r>
    <rPh sb="21" eb="22">
      <t>ナド</t>
    </rPh>
    <rPh sb="23" eb="25">
      <t>ギジュツ</t>
    </rPh>
    <rPh sb="25" eb="27">
      <t>カクシン</t>
    </rPh>
    <rPh sb="38" eb="40">
      <t>シャカイ</t>
    </rPh>
    <rPh sb="41" eb="42">
      <t>オオ</t>
    </rPh>
    <rPh sb="44" eb="46">
      <t>エイキョウ</t>
    </rPh>
    <rPh sb="47" eb="48">
      <t>アタ</t>
    </rPh>
    <rPh sb="51" eb="52">
      <t>タト</t>
    </rPh>
    <rPh sb="102" eb="104">
      <t>カノウ</t>
    </rPh>
    <rPh sb="124" eb="126">
      <t>カノウ</t>
    </rPh>
    <rPh sb="180" eb="182">
      <t>チイキ</t>
    </rPh>
    <rPh sb="182" eb="184">
      <t>シャカイ</t>
    </rPh>
    <rPh sb="185" eb="186">
      <t>オオ</t>
    </rPh>
    <rPh sb="188" eb="190">
      <t>ヘンカ</t>
    </rPh>
    <rPh sb="197" eb="198">
      <t>ホン</t>
    </rPh>
    <rPh sb="198" eb="200">
      <t>ジュギョウ</t>
    </rPh>
    <rPh sb="221" eb="222">
      <t>カオ</t>
    </rPh>
    <rPh sb="222" eb="224">
      <t>ニンショウ</t>
    </rPh>
    <rPh sb="225" eb="227">
      <t>ハンザイ</t>
    </rPh>
    <rPh sb="227" eb="229">
      <t>ヨソク</t>
    </rPh>
    <rPh sb="230" eb="232">
      <t>ショウヒン</t>
    </rPh>
    <rPh sb="243" eb="245">
      <t>エンカク</t>
    </rPh>
    <rPh sb="250" eb="252">
      <t>ジドウ</t>
    </rPh>
    <rPh sb="252" eb="254">
      <t>ウンテン</t>
    </rPh>
    <rPh sb="255" eb="257">
      <t>オンセイ</t>
    </rPh>
    <rPh sb="272" eb="274">
      <t>ミジカ</t>
    </rPh>
    <rPh sb="275" eb="277">
      <t>ジレイ</t>
    </rPh>
    <rPh sb="278" eb="280">
      <t>カイセツ</t>
    </rPh>
    <rPh sb="291" eb="294">
      <t>クドウガタ</t>
    </rPh>
    <rPh sb="294" eb="296">
      <t>シャカイ</t>
    </rPh>
    <rPh sb="297" eb="298">
      <t>オ</t>
    </rPh>
    <rPh sb="302" eb="304">
      <t>ヘンカ</t>
    </rPh>
    <rPh sb="305" eb="306">
      <t>シ</t>
    </rPh>
    <rPh sb="311" eb="313">
      <t>スウリ</t>
    </rPh>
    <rPh sb="326" eb="328">
      <t>チイキ</t>
    </rPh>
    <rPh sb="329" eb="330">
      <t>フク</t>
    </rPh>
    <rPh sb="331" eb="334">
      <t>ジッシャカイ</t>
    </rPh>
    <rPh sb="335" eb="338">
      <t>カンレンセイ</t>
    </rPh>
    <rPh sb="339" eb="341">
      <t>リカイ</t>
    </rPh>
    <rPh sb="368" eb="370">
      <t>スウリ</t>
    </rPh>
    <rPh sb="385" eb="387">
      <t>メザ</t>
    </rPh>
    <phoneticPr fontId="1"/>
  </si>
  <si>
    <t>高度AI（自動運転、音声アシスト、チャットボットなど）(5)</t>
    <rPh sb="10" eb="12">
      <t>オンセイ</t>
    </rPh>
    <phoneticPr fontId="1"/>
  </si>
  <si>
    <t>データ・AI利活用における留意事項(ブラックボックス、データバイアス等）（13）</t>
    <rPh sb="6" eb="9">
      <t>リカツヨウ</t>
    </rPh>
    <rPh sb="13" eb="15">
      <t>リュウイ</t>
    </rPh>
    <rPh sb="15" eb="17">
      <t>ジコウ</t>
    </rPh>
    <rPh sb="34" eb="35">
      <t>ナド</t>
    </rPh>
    <phoneticPr fontId="1"/>
  </si>
  <si>
    <t>データ・AI利活用における留意事項(人間中心のAI社会原則とは）（13）</t>
    <rPh sb="6" eb="9">
      <t>リカツヨウ</t>
    </rPh>
    <rPh sb="13" eb="15">
      <t>リュウイ</t>
    </rPh>
    <rPh sb="15" eb="17">
      <t>ジコウ</t>
    </rPh>
    <rPh sb="18" eb="20">
      <t>ニンゲン</t>
    </rPh>
    <rPh sb="20" eb="22">
      <t>チュウシン</t>
    </rPh>
    <rPh sb="25" eb="27">
      <t>シャカイ</t>
    </rPh>
    <rPh sb="27" eb="29">
      <t>ゲンソク</t>
    </rPh>
    <phoneticPr fontId="1"/>
  </si>
  <si>
    <t>授業科目名称</t>
    <phoneticPr fontId="1"/>
  </si>
  <si>
    <t>データの集計（和、平均）、並び替え、スプレッドシート、表形式データ、CSV（7，8）</t>
    <phoneticPr fontId="1"/>
  </si>
  <si>
    <t>データの種類、分布（ヒストグラム）、平均値、中央値、分散、標準偏差等（7，8）</t>
    <rPh sb="4" eb="6">
      <t>シュルイ</t>
    </rPh>
    <rPh sb="7" eb="9">
      <t>ブンプ</t>
    </rPh>
    <rPh sb="18" eb="20">
      <t>ヘイキン</t>
    </rPh>
    <rPh sb="20" eb="21">
      <t>アタイ</t>
    </rPh>
    <rPh sb="22" eb="24">
      <t>チュウオウ</t>
    </rPh>
    <rPh sb="24" eb="25">
      <t>チ</t>
    </rPh>
    <rPh sb="26" eb="28">
      <t>ブンサン</t>
    </rPh>
    <rPh sb="29" eb="31">
      <t>ヒョウジュン</t>
    </rPh>
    <rPh sb="31" eb="33">
      <t>ヘンサ</t>
    </rPh>
    <rPh sb="33" eb="34">
      <t>ナド</t>
    </rPh>
    <phoneticPr fontId="1"/>
  </si>
  <si>
    <t>データ表現・可視化（棒グラフ、折線グラフ、散布図、箱ひげ図など）（7，8）</t>
    <phoneticPr fontId="1"/>
  </si>
  <si>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</si>
  <si>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</si>
  <si>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</si>
  <si>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自己点検・評価委員会</t>
    <phoneticPr fontId="1"/>
  </si>
  <si>
    <r>
      <t>　AI、データサイエンス(DS)は両者同時に重要である。DSはデータの正当性を保証し、AIには正しいデータを入力して学習させる必要がある。本授業では、Pythonプログラミングの演習を通して、コンピュータでデータを扱うためのデータ表現の基礎と統計学の基礎、データを収集・処理・蓄積する技術の概要を理解し、データ分析の目的に応じた適切な分析手法、データの可視化手法を選択できる</t>
    </r>
    <r>
      <rPr>
        <u/>
        <sz val="12"/>
        <color theme="1"/>
        <rFont val="ＭＳ Ｐゴシック"/>
        <family val="3"/>
        <charset val="128"/>
        <scheme val="minor"/>
      </rPr>
      <t>「AI・数理DSの基礎力」を身につける</t>
    </r>
    <r>
      <rPr>
        <sz val="12"/>
        <color theme="1"/>
        <rFont val="ＭＳ Ｐゴシック"/>
        <family val="2"/>
        <charset val="128"/>
        <scheme val="minor"/>
      </rPr>
      <t>。また、実データを用いた教師あり学習（時系列データ「ビットコインの価格変動」による近未来予測・手書き数字や犬猫の画像分類）を実装し、 AI（機械学習）の基本的仕組みを理解する。プログラミング演習を重視した必携PCによる実践的な学修により、「機械学習の基礎概念」を理解し、</t>
    </r>
    <r>
      <rPr>
        <u/>
        <sz val="12"/>
        <color theme="1"/>
        <rFont val="ＭＳ Ｐゴシック"/>
        <family val="3"/>
        <charset val="128"/>
        <scheme val="minor"/>
      </rPr>
      <t>AIを用いた地域課題の解決に取組むために必須となる「AIプログラミングの基礎的スキル」を修得する</t>
    </r>
    <r>
      <rPr>
        <sz val="12"/>
        <color theme="1"/>
        <rFont val="ＭＳ Ｐゴシック"/>
        <family val="2"/>
        <charset val="128"/>
        <scheme val="minor"/>
      </rPr>
      <t xml:space="preserve">。
</t>
    </r>
    <rPh sb="17" eb="19">
      <t>リョウシャ</t>
    </rPh>
    <rPh sb="69" eb="70">
      <t>ホン</t>
    </rPh>
    <rPh sb="70" eb="72">
      <t>ジュギョウ</t>
    </rPh>
    <rPh sb="89" eb="91">
      <t>エンシュウ</t>
    </rPh>
    <rPh sb="92" eb="93">
      <t>トオ</t>
    </rPh>
    <rPh sb="121" eb="124">
      <t>トウケイガク</t>
    </rPh>
    <rPh sb="125" eb="127">
      <t>キソ</t>
    </rPh>
    <rPh sb="191" eb="193">
      <t>スウリ</t>
    </rPh>
    <rPh sb="239" eb="241">
      <t>カカク</t>
    </rPh>
    <rPh sb="241" eb="243">
      <t>ヘンドウ</t>
    </rPh>
    <rPh sb="253" eb="255">
      <t>テガ</t>
    </rPh>
    <rPh sb="256" eb="258">
      <t>スウジ</t>
    </rPh>
    <rPh sb="259" eb="261">
      <t>イヌネコ</t>
    </rPh>
    <rPh sb="301" eb="303">
      <t>エンシュウ</t>
    </rPh>
    <rPh sb="304" eb="306">
      <t>ジュウシ</t>
    </rPh>
    <rPh sb="308" eb="310">
      <t>ヒッケイ</t>
    </rPh>
    <rPh sb="319" eb="321">
      <t>ガクシュウ</t>
    </rPh>
    <rPh sb="344" eb="345">
      <t>モチ</t>
    </rPh>
    <rPh sb="347" eb="349">
      <t>チイキ</t>
    </rPh>
    <rPh sb="349" eb="351">
      <t>カダイ</t>
    </rPh>
    <rPh sb="352" eb="354">
      <t>カイケツ</t>
    </rPh>
    <rPh sb="355" eb="357">
      <t>トリク</t>
    </rPh>
    <rPh sb="361" eb="363">
      <t>ヒッス</t>
    </rPh>
    <rPh sb="385" eb="387">
      <t>シュウトク</t>
    </rPh>
    <phoneticPr fontId="1"/>
  </si>
  <si>
    <t>その他の取組（地域連携、産業界との連携、海外の大学等との連携等）</t>
    <phoneticPr fontId="1"/>
  </si>
  <si>
    <t>学生への学習支援</t>
    <phoneticPr fontId="1"/>
  </si>
  <si>
    <t>久留米工業大学AI 応用研究所規程(AI応用研究所規程第3条、第9条、第10条)</t>
    <rPh sb="31" eb="32">
      <t>ダイ</t>
    </rPh>
    <rPh sb="33" eb="34">
      <t>ジョウ</t>
    </rPh>
    <rPh sb="35" eb="36">
      <t>ダイ</t>
    </rPh>
    <rPh sb="38" eb="39">
      <t>ジョウ</t>
    </rPh>
    <phoneticPr fontId="1"/>
  </si>
  <si>
    <r>
      <t>各年度の履修者数の目標を以下のとおりとする。（（　）内は履修率。）
令和３年度　３５９名　（58％） ※　目標達成
令和４年度　３２０名　（82％）
令和５年度　３２０名　（100％）
令和６年度　３２０名　（100％）
令和７年度　３２０名　（100％）
 令和2年度より本プログラムの授業科目「AI概論」は全学必修科目として開講されており、</t>
    </r>
    <r>
      <rPr>
        <u/>
        <sz val="12"/>
        <rFont val="ＭＳ Ｐゴシック"/>
        <family val="3"/>
        <charset val="128"/>
        <scheme val="minor"/>
      </rPr>
      <t>同年度以降の入学者は全て本プログラムを履修する</t>
    </r>
    <r>
      <rPr>
        <sz val="12"/>
        <rFont val="ＭＳ Ｐゴシック"/>
        <family val="3"/>
        <charset val="128"/>
        <scheme val="minor"/>
      </rPr>
      <t>こととなる。従って、</t>
    </r>
    <r>
      <rPr>
        <u/>
        <sz val="12"/>
        <rFont val="ＭＳ Ｐゴシック"/>
        <family val="3"/>
        <charset val="128"/>
        <scheme val="minor"/>
      </rPr>
      <t>学部・学科に関係なく全学生が受講し、令和5年度の履修率は100％になる見込み</t>
    </r>
    <r>
      <rPr>
        <sz val="12"/>
        <rFont val="ＭＳ Ｐゴシック"/>
        <family val="3"/>
        <charset val="128"/>
        <scheme val="minor"/>
      </rPr>
      <t>である。履修にあたっては、入学時オリエンテーションで履修指導を行うとともに、同科目の到達目標、授業内容、成績評価方法等に関してシラバスを作成し、学生に周知している。また、同科目は共通教育科目として開設しており、関連する科目との関係を科目系統図（カリキュラム・ツリー）に明記し、カリキュラム内での位置づけを学生に示している。
　必修科目である同科目の単位を落とさないように、AI応用研究所やPCサポートセンターの教職員が学習を支援するとともに、</t>
    </r>
    <r>
      <rPr>
        <u/>
        <sz val="12"/>
        <rFont val="ＭＳ Ｐゴシック"/>
        <family val="3"/>
        <charset val="128"/>
        <scheme val="minor"/>
      </rPr>
      <t>再履修学生の支援クラスを別に設け、単位取得率　100%の実現を目指す</t>
    </r>
    <r>
      <rPr>
        <sz val="12"/>
        <rFont val="ＭＳ Ｐゴシック"/>
        <family val="3"/>
        <charset val="128"/>
        <scheme val="minor"/>
      </rPr>
      <t xml:space="preserve">。
</t>
    </r>
    <rPh sb="53" eb="55">
      <t>モクヒョウ</t>
    </rPh>
    <rPh sb="55" eb="57">
      <t>タッセイ</t>
    </rPh>
    <rPh sb="155" eb="157">
      <t>ゼンガク</t>
    </rPh>
    <rPh sb="182" eb="183">
      <t>スベ</t>
    </rPh>
    <rPh sb="201" eb="202">
      <t>シタガ</t>
    </rPh>
    <rPh sb="395" eb="397">
      <t>ガクセイ</t>
    </rPh>
    <rPh sb="408" eb="410">
      <t>カモク</t>
    </rPh>
    <rPh sb="413" eb="414">
      <t>ドウ</t>
    </rPh>
    <rPh sb="414" eb="416">
      <t>カモク</t>
    </rPh>
    <rPh sb="417" eb="419">
      <t>タンイ</t>
    </rPh>
    <rPh sb="448" eb="451">
      <t>キョウショクイン</t>
    </rPh>
    <rPh sb="452" eb="454">
      <t>ガクシュウ</t>
    </rPh>
    <rPh sb="467" eb="469">
      <t>ガクセイ</t>
    </rPh>
    <rPh sb="470" eb="472">
      <t>シエン</t>
    </rPh>
    <rPh sb="476" eb="477">
      <t>ベツ</t>
    </rPh>
    <rPh sb="478" eb="479">
      <t>モウ</t>
    </rPh>
    <rPh sb="492" eb="494">
      <t>ジツゲン</t>
    </rPh>
    <rPh sb="495" eb="497">
      <t>メザ</t>
    </rPh>
    <phoneticPr fontId="1"/>
  </si>
  <si>
    <r>
      <t>　AI応用研究所教育部門が学習管理システム（LMS：Moodle）やオンラインアンケート（Google　Forms）を活用して本教育プログラムの履修・修得状況を確認・分析している。本教育プログラムでは、毎講義・演習において課題レポートや演習課題（Pythonプログラム）の提出を課しているため、</t>
    </r>
    <r>
      <rPr>
        <u/>
        <sz val="12"/>
        <rFont val="ＭＳ Ｐゴシック"/>
        <family val="3"/>
        <charset val="128"/>
        <scheme val="minor"/>
      </rPr>
      <t>LMSに蓄積されたデータから各々の学生の講義演習の進捗状況や課題提出状況、講義理解度や到達目標達成状況を週単位で把握できる</t>
    </r>
    <r>
      <rPr>
        <sz val="12"/>
        <rFont val="ＭＳ Ｐゴシック"/>
        <family val="3"/>
        <charset val="128"/>
        <scheme val="minor"/>
      </rPr>
      <t>。プログラミング演習では複数のSA（スチューデント・アシスタント）や教員が技術的支援を行うとともに、課題の提出が遅れがちな学生には直接的に授業内外で個別指導を行い、履修を支援している。</t>
    </r>
    <rPh sb="3" eb="5">
      <t>オウヨウ</t>
    </rPh>
    <rPh sb="5" eb="7">
      <t>ケンキュウ</t>
    </rPh>
    <rPh sb="7" eb="8">
      <t>ショ</t>
    </rPh>
    <rPh sb="8" eb="10">
      <t>キョウイク</t>
    </rPh>
    <rPh sb="10" eb="12">
      <t>ブモン</t>
    </rPh>
    <rPh sb="13" eb="15">
      <t>ガクシュウ</t>
    </rPh>
    <rPh sb="15" eb="17">
      <t>カンリ</t>
    </rPh>
    <rPh sb="59" eb="61">
      <t>カツヨウ</t>
    </rPh>
    <rPh sb="63" eb="64">
      <t>ホン</t>
    </rPh>
    <rPh sb="64" eb="66">
      <t>キョウイク</t>
    </rPh>
    <rPh sb="72" eb="74">
      <t>リシュウ</t>
    </rPh>
    <rPh sb="75" eb="77">
      <t>シュウトク</t>
    </rPh>
    <rPh sb="77" eb="79">
      <t>ジョウキョウ</t>
    </rPh>
    <rPh sb="80" eb="82">
      <t>カクニン</t>
    </rPh>
    <rPh sb="83" eb="85">
      <t>ブンセキ</t>
    </rPh>
    <rPh sb="90" eb="91">
      <t>ホン</t>
    </rPh>
    <rPh sb="91" eb="93">
      <t>キョウイク</t>
    </rPh>
    <rPh sb="101" eb="102">
      <t>マイ</t>
    </rPh>
    <rPh sb="102" eb="104">
      <t>コウギ</t>
    </rPh>
    <rPh sb="105" eb="107">
      <t>エンシュウ</t>
    </rPh>
    <rPh sb="111" eb="113">
      <t>カダイ</t>
    </rPh>
    <rPh sb="118" eb="120">
      <t>エンシュウ</t>
    </rPh>
    <rPh sb="120" eb="122">
      <t>カダイ</t>
    </rPh>
    <rPh sb="136" eb="138">
      <t>テイシュツ</t>
    </rPh>
    <rPh sb="139" eb="140">
      <t>カ</t>
    </rPh>
    <rPh sb="161" eb="163">
      <t>オノオノ</t>
    </rPh>
    <rPh sb="167" eb="169">
      <t>コウギ</t>
    </rPh>
    <rPh sb="169" eb="171">
      <t>エンシュウ</t>
    </rPh>
    <rPh sb="172" eb="174">
      <t>シンチョク</t>
    </rPh>
    <rPh sb="174" eb="176">
      <t>ジョウキョウ</t>
    </rPh>
    <rPh sb="179" eb="181">
      <t>テイシュツ</t>
    </rPh>
    <rPh sb="184" eb="186">
      <t>コウギ</t>
    </rPh>
    <rPh sb="199" eb="200">
      <t>シュウ</t>
    </rPh>
    <rPh sb="200" eb="202">
      <t>タンイ</t>
    </rPh>
    <rPh sb="216" eb="218">
      <t>エンシュウ</t>
    </rPh>
    <rPh sb="220" eb="222">
      <t>フクスウ</t>
    </rPh>
    <rPh sb="242" eb="244">
      <t>キョウイン</t>
    </rPh>
    <rPh sb="247" eb="248">
      <t>テキ</t>
    </rPh>
    <rPh sb="248" eb="250">
      <t>シエン</t>
    </rPh>
    <rPh sb="251" eb="252">
      <t>オコナ</t>
    </rPh>
    <rPh sb="258" eb="260">
      <t>カダイ</t>
    </rPh>
    <rPh sb="261" eb="263">
      <t>テイシュツ</t>
    </rPh>
    <rPh sb="264" eb="265">
      <t>オク</t>
    </rPh>
    <rPh sb="269" eb="271">
      <t>ガクセイ</t>
    </rPh>
    <rPh sb="273" eb="275">
      <t>チョクセツ</t>
    </rPh>
    <rPh sb="275" eb="276">
      <t>テキ</t>
    </rPh>
    <rPh sb="277" eb="279">
      <t>ジュギョウ</t>
    </rPh>
    <rPh sb="279" eb="280">
      <t>ナイ</t>
    </rPh>
    <rPh sb="280" eb="281">
      <t>ガイ</t>
    </rPh>
    <rPh sb="282" eb="284">
      <t>コベツ</t>
    </rPh>
    <rPh sb="284" eb="286">
      <t>シドウ</t>
    </rPh>
    <rPh sb="287" eb="288">
      <t>オコナ</t>
    </rPh>
    <rPh sb="290" eb="292">
      <t>リシュウ</t>
    </rPh>
    <rPh sb="293" eb="295">
      <t>シエン</t>
    </rPh>
    <phoneticPr fontId="1"/>
  </si>
  <si>
    <r>
      <t>　本学教務課が実施している</t>
    </r>
    <r>
      <rPr>
        <u/>
        <sz val="12"/>
        <rFont val="ＭＳ Ｐゴシック"/>
        <family val="3"/>
        <charset val="128"/>
        <scheme val="minor"/>
      </rPr>
      <t>学生授業評価アンケートの分析を通して、本教育プログラム科目に関する学生の理解度や、開発した教材、教授活動の適切性に関する学生の評価を把握できる</t>
    </r>
    <r>
      <rPr>
        <sz val="12"/>
        <rFont val="ＭＳ Ｐゴシック"/>
        <family val="3"/>
        <charset val="128"/>
        <scheme val="minor"/>
      </rPr>
      <t>。また、AI応用研究所教育部門とIR推進センター、PCサポートセンターとの連携により、PCスキルテストの実施、入学までのコンピュータープログラミング経験の有無を調査した。IR推進センターは、</t>
    </r>
    <r>
      <rPr>
        <u/>
        <sz val="12"/>
        <rFont val="ＭＳ Ｐゴシック"/>
        <family val="3"/>
        <charset val="128"/>
        <scheme val="minor"/>
      </rPr>
      <t>本授業科目の期末テストの成績とPCスキル、入学時数学プレイスメントテスト、リーディングスキルテスト、GPAとの相関について調べ</t>
    </r>
    <r>
      <rPr>
        <sz val="12"/>
        <rFont val="ＭＳ Ｐゴシック"/>
        <family val="3"/>
        <charset val="128"/>
        <scheme val="minor"/>
      </rPr>
      <t>、学科比較を行った。それらの分析結果をAI応用研究所へフィードバックし、</t>
    </r>
    <r>
      <rPr>
        <u/>
        <sz val="12"/>
        <rFont val="ＭＳ Ｐゴシック"/>
        <family val="3"/>
        <charset val="128"/>
        <scheme val="minor"/>
      </rPr>
      <t>本教育プログラムの評価・改善に活用</t>
    </r>
    <r>
      <rPr>
        <sz val="12"/>
        <rFont val="ＭＳ Ｐゴシック"/>
        <family val="3"/>
        <charset val="128"/>
        <scheme val="minor"/>
      </rPr>
      <t>している。</t>
    </r>
    <rPh sb="3" eb="6">
      <t>キョウムカ</t>
    </rPh>
    <rPh sb="33" eb="35">
      <t>キョウイク</t>
    </rPh>
    <rPh sb="54" eb="56">
      <t>カイハツ</t>
    </rPh>
    <rPh sb="95" eb="97">
      <t>キョウイク</t>
    </rPh>
    <rPh sb="97" eb="99">
      <t>ブモン</t>
    </rPh>
    <rPh sb="102" eb="104">
      <t>スイシン</t>
    </rPh>
    <rPh sb="121" eb="123">
      <t>レンケイ</t>
    </rPh>
    <rPh sb="136" eb="138">
      <t>ジッシ</t>
    </rPh>
    <rPh sb="139" eb="141">
      <t>ニュウガク</t>
    </rPh>
    <rPh sb="158" eb="160">
      <t>ケイケン</t>
    </rPh>
    <rPh sb="161" eb="163">
      <t>ウム</t>
    </rPh>
    <rPh sb="164" eb="166">
      <t>チョウサ</t>
    </rPh>
    <rPh sb="171" eb="173">
      <t>スイシン</t>
    </rPh>
    <rPh sb="179" eb="180">
      <t>ホン</t>
    </rPh>
    <rPh sb="180" eb="182">
      <t>ジュギョウ</t>
    </rPh>
    <rPh sb="182" eb="184">
      <t>カモク</t>
    </rPh>
    <rPh sb="185" eb="187">
      <t>キマツ</t>
    </rPh>
    <rPh sb="191" eb="193">
      <t>セイセキ</t>
    </rPh>
    <rPh sb="200" eb="202">
      <t>ニュウガク</t>
    </rPh>
    <rPh sb="202" eb="203">
      <t>ジ</t>
    </rPh>
    <rPh sb="203" eb="205">
      <t>スウガク</t>
    </rPh>
    <rPh sb="234" eb="236">
      <t>ソウカン</t>
    </rPh>
    <rPh sb="240" eb="241">
      <t>シラ</t>
    </rPh>
    <rPh sb="245" eb="247">
      <t>ヒカク</t>
    </rPh>
    <rPh sb="248" eb="249">
      <t>オコナ</t>
    </rPh>
    <rPh sb="279" eb="281">
      <t>キョウイク</t>
    </rPh>
    <phoneticPr fontId="1"/>
  </si>
  <si>
    <r>
      <t>　AI応用研究所は、学生の評価・反応を確認するため，</t>
    </r>
    <r>
      <rPr>
        <u/>
        <sz val="12"/>
        <rFont val="ＭＳ Ｐゴシック"/>
        <family val="3"/>
        <charset val="128"/>
        <scheme val="minor"/>
      </rPr>
      <t>全受講者を対象に授業の難易度，分量，負担感の主観評価を行う多選択肢式アンケートを実施</t>
    </r>
    <r>
      <rPr>
        <sz val="12"/>
        <rFont val="ＭＳ Ｐゴシック"/>
        <family val="3"/>
        <charset val="128"/>
        <scheme val="minor"/>
      </rPr>
      <t>した。その結果、講義内容は比較的難しく負担を感じる受講生もいたが、結果的に</t>
    </r>
    <r>
      <rPr>
        <u/>
        <sz val="12"/>
        <rFont val="ＭＳ Ｐゴシック"/>
        <family val="3"/>
        <charset val="128"/>
        <scheme val="minor"/>
      </rPr>
      <t>多くのことを学び、AIやプログラミングの必要性の認識から必修でなくても「AI概論」を受講したいと考える学生が多くいる</t>
    </r>
    <r>
      <rPr>
        <sz val="12"/>
        <rFont val="ＭＳ Ｐゴシック"/>
        <family val="3"/>
        <charset val="128"/>
        <scheme val="minor"/>
      </rPr>
      <t>（必修でなかったら受講しないと回答する否定派の学生は15％（絶対受講しない4％，多分受講しない11%）程度）とわかった。自由記述欄の感想や意見からも「難しいが役に立つ」「頑張って習得したい」「復習をして次回に備えたい」等、</t>
    </r>
    <r>
      <rPr>
        <u/>
        <sz val="12"/>
        <rFont val="ＭＳ Ｐゴシック"/>
        <family val="3"/>
        <charset val="128"/>
        <scheme val="minor"/>
      </rPr>
      <t>学習意欲の高さがうかがえるコメントが多くみられた</t>
    </r>
    <r>
      <rPr>
        <sz val="12"/>
        <rFont val="ＭＳ Ｐゴシック"/>
        <family val="3"/>
        <charset val="128"/>
        <scheme val="minor"/>
      </rPr>
      <t>。</t>
    </r>
    <rPh sb="3" eb="5">
      <t>オウヨウ</t>
    </rPh>
    <rPh sb="5" eb="7">
      <t>ケンキュウ</t>
    </rPh>
    <rPh sb="7" eb="8">
      <t>ショ</t>
    </rPh>
    <rPh sb="34" eb="36">
      <t>ジュギョウ</t>
    </rPh>
    <phoneticPr fontId="1"/>
  </si>
  <si>
    <r>
      <t>　本学では、令和2年度より本教育プログラム科目の「AI概論」を全学必修科目として開設しており、</t>
    </r>
    <r>
      <rPr>
        <u/>
        <sz val="12"/>
        <rFont val="ＭＳ Ｐゴシック"/>
        <family val="3"/>
        <charset val="128"/>
        <scheme val="minor"/>
      </rPr>
      <t>学部・学科に関係なく全学生が受講でき、令和5年度の履修率は100％になる見込み</t>
    </r>
    <r>
      <rPr>
        <sz val="12"/>
        <rFont val="ＭＳ Ｐゴシック"/>
        <family val="3"/>
        <charset val="128"/>
        <scheme val="minor"/>
      </rPr>
      <t>である。同科目は共通教育科目であり、様々な分野を専攻する多様な学生の履修に対応できるよう、全学科の教員により構成されるAI応用研究所運営委員会において、授業内容に関する改善や見直しに取り組んでいる。令和3年度からは関連科目「数学基礎」を「数学・統計学基礎」（全学必修科目）に改め、PCスキルが不十分な学生を対象にしたAI・データサイエンス・ICT基礎講座を希望者に開催するなど、全学的にAI・数理DS教育の充実を図っている。</t>
    </r>
    <rPh sb="14" eb="16">
      <t>キョウイク</t>
    </rPh>
    <rPh sb="31" eb="33">
      <t>ゼンガク</t>
    </rPh>
    <rPh sb="61" eb="63">
      <t>ジュコウ</t>
    </rPh>
    <rPh sb="66" eb="68">
      <t>レイワ</t>
    </rPh>
    <rPh sb="69" eb="70">
      <t>ネン</t>
    </rPh>
    <rPh sb="70" eb="71">
      <t>ド</t>
    </rPh>
    <rPh sb="72" eb="74">
      <t>リシュウ</t>
    </rPh>
    <rPh sb="74" eb="75">
      <t>リツ</t>
    </rPh>
    <rPh sb="83" eb="85">
      <t>ミコ</t>
    </rPh>
    <rPh sb="131" eb="132">
      <t>ゼン</t>
    </rPh>
    <rPh sb="132" eb="134">
      <t>ガッカ</t>
    </rPh>
    <rPh sb="135" eb="137">
      <t>キョウイン</t>
    </rPh>
    <rPh sb="140" eb="142">
      <t>コウセイ</t>
    </rPh>
    <rPh sb="147" eb="149">
      <t>オウヨウ</t>
    </rPh>
    <rPh sb="149" eb="151">
      <t>ケンキュウ</t>
    </rPh>
    <rPh sb="151" eb="152">
      <t>ショ</t>
    </rPh>
    <rPh sb="152" eb="154">
      <t>ウンエイ</t>
    </rPh>
    <rPh sb="154" eb="157">
      <t>イインカイ</t>
    </rPh>
    <rPh sb="185" eb="187">
      <t>レイワ</t>
    </rPh>
    <rPh sb="188" eb="189">
      <t>ネン</t>
    </rPh>
    <rPh sb="189" eb="190">
      <t>ド</t>
    </rPh>
    <rPh sb="198" eb="200">
      <t>スウガク</t>
    </rPh>
    <rPh sb="200" eb="202">
      <t>キソ</t>
    </rPh>
    <rPh sb="205" eb="207">
      <t>スウガク</t>
    </rPh>
    <rPh sb="208" eb="211">
      <t>トウケイガク</t>
    </rPh>
    <rPh sb="211" eb="213">
      <t>キソ</t>
    </rPh>
    <rPh sb="215" eb="217">
      <t>ゼンガク</t>
    </rPh>
    <rPh sb="217" eb="219">
      <t>ヒッシュウ</t>
    </rPh>
    <rPh sb="219" eb="221">
      <t>カモク</t>
    </rPh>
    <rPh sb="223" eb="224">
      <t>アラタ</t>
    </rPh>
    <rPh sb="232" eb="235">
      <t>フジュウブン</t>
    </rPh>
    <rPh sb="236" eb="238">
      <t>ガクセイ</t>
    </rPh>
    <rPh sb="239" eb="241">
      <t>タイショウ</t>
    </rPh>
    <rPh sb="259" eb="261">
      <t>キソ</t>
    </rPh>
    <rPh sb="261" eb="263">
      <t>コウザ</t>
    </rPh>
    <rPh sb="264" eb="267">
      <t>キボウシャ</t>
    </rPh>
    <rPh sb="268" eb="270">
      <t>カイサイ</t>
    </rPh>
    <rPh sb="275" eb="278">
      <t>ゼンガクテキ</t>
    </rPh>
    <rPh sb="282" eb="284">
      <t>スウリ</t>
    </rPh>
    <rPh sb="286" eb="288">
      <t>キョウイク</t>
    </rPh>
    <rPh sb="289" eb="291">
      <t>ジュウジツ</t>
    </rPh>
    <rPh sb="292" eb="293">
      <t>ハカ</t>
    </rPh>
    <phoneticPr fontId="1"/>
  </si>
  <si>
    <r>
      <t>　本教育プログラムではモデルカリキュラムリテラシーレベルの導入・基礎・心得の必須項目は押さえつつも，工業大学らしく、必携PCを用いた実課題のデータ分析・可視化、機械学習（画像分類、近未来予測など）の一連の流れをプログラミングで体験する。学生にとって身近な九州における「AIやDSを用いた課題解決」の先進事例として</t>
    </r>
    <r>
      <rPr>
        <u/>
        <sz val="12"/>
        <rFont val="ＭＳ Ｐゴシック"/>
        <family val="3"/>
        <charset val="128"/>
        <scheme val="minor"/>
      </rPr>
      <t>「スマートシティ」「スマート農業」を挙げ、AIやDSが社会課題の解決を実現していることを示し、AI・数理DSへの興味・関心を深め、これを学ぶ意義を理解させる</t>
    </r>
    <r>
      <rPr>
        <sz val="12"/>
        <rFont val="ＭＳ Ｐゴシック"/>
        <family val="3"/>
        <charset val="128"/>
        <scheme val="minor"/>
      </rPr>
      <t>。地元産業界とも連携し、</t>
    </r>
    <r>
      <rPr>
        <u/>
        <sz val="12"/>
        <rFont val="ＭＳ Ｐゴシック"/>
        <family val="3"/>
        <charset val="128"/>
        <scheme val="minor"/>
      </rPr>
      <t>地元企業のAI応用技術の紹介、AI技術を用いたインターンシップ・プロジェクト学修につながる仕組みも用意</t>
    </r>
    <r>
      <rPr>
        <sz val="12"/>
        <rFont val="ＭＳ Ｐゴシック"/>
        <family val="3"/>
        <charset val="128"/>
        <scheme val="minor"/>
      </rPr>
      <t>した。</t>
    </r>
    <rPh sb="174" eb="175">
      <t>ア</t>
    </rPh>
    <rPh sb="200" eb="201">
      <t>シメ</t>
    </rPh>
    <rPh sb="235" eb="237">
      <t>ジモト</t>
    </rPh>
    <rPh sb="237" eb="240">
      <t>サンギョウカイ</t>
    </rPh>
    <rPh sb="242" eb="244">
      <t>レンケイ</t>
    </rPh>
    <rPh sb="258" eb="260">
      <t>ショウカイ</t>
    </rPh>
    <rPh sb="263" eb="265">
      <t>ギジュツ</t>
    </rPh>
    <rPh sb="266" eb="267">
      <t>モチ</t>
    </rPh>
    <rPh sb="284" eb="286">
      <t>ガクシュウ</t>
    </rPh>
    <rPh sb="291" eb="293">
      <t>シク</t>
    </rPh>
    <rPh sb="295" eb="297">
      <t>ヨウイ</t>
    </rPh>
    <phoneticPr fontId="1"/>
  </si>
  <si>
    <t xml:space="preserve">　AIは、ディープラーニングが登場して飛躍的に進歩した。ディープラーニングでは、多くのデータを取得することにより、人間からの指示を待たずに自動的に学習し、自ら賢くなることができる。しかし、データサイエンス・AIは決して万能ではなく、個人情報保護の基本となるガイドライン「OECD（経済協力開発機構）8原則」を考慮するべきである。これらガイドラインの 8 原則に従わない場合、人間の生命と財産が損なわれる危険性を孕んでいる。また、AIを用いた社会実装においては、技術的課題以外にもELSI(倫理的・法的・社会的）課題があり、AIの利用においてはAIの3つの欠点、「ブラックボックス」、「バイアス問題」、「脆弱性」を考慮する必要もある。
　本授業では、AIやデータの利活用やデータを守る上での様々な留意事項を考慮し、人間を中心とする社会の中で上手にAIと共存していくことの重要性・心得について学ぶ。
</t>
    <rPh sb="19" eb="22">
      <t>ヒヤクテキ</t>
    </rPh>
    <rPh sb="23" eb="25">
      <t>シンポ</t>
    </rPh>
    <rPh sb="47" eb="49">
      <t>シュトク</t>
    </rPh>
    <rPh sb="73" eb="75">
      <t>ガクシュウ</t>
    </rPh>
    <rPh sb="77" eb="78">
      <t>ミズカ</t>
    </rPh>
    <rPh sb="79" eb="80">
      <t>カシコ</t>
    </rPh>
    <rPh sb="106" eb="107">
      <t>ケッ</t>
    </rPh>
    <rPh sb="109" eb="111">
      <t>バンノウ</t>
    </rPh>
    <rPh sb="217" eb="218">
      <t>モチ</t>
    </rPh>
    <rPh sb="220" eb="222">
      <t>シャカイ</t>
    </rPh>
    <rPh sb="222" eb="224">
      <t>ジッソウ</t>
    </rPh>
    <rPh sb="230" eb="233">
      <t>ギジュツテキ</t>
    </rPh>
    <rPh sb="233" eb="235">
      <t>カダイ</t>
    </rPh>
    <rPh sb="235" eb="237">
      <t>イガイ</t>
    </rPh>
    <rPh sb="310" eb="312">
      <t>ヒツヨウ</t>
    </rPh>
    <rPh sb="318" eb="319">
      <t>ホン</t>
    </rPh>
    <rPh sb="319" eb="321">
      <t>ジュギョウ</t>
    </rPh>
    <rPh sb="339" eb="340">
      <t>マモ</t>
    </rPh>
    <rPh sb="341" eb="342">
      <t>ウエ</t>
    </rPh>
    <rPh sb="352" eb="354">
      <t>コウリョ</t>
    </rPh>
    <rPh sb="386" eb="387">
      <t>セイ</t>
    </rPh>
    <rPh sb="388" eb="390">
      <t>ココロエ</t>
    </rPh>
    <rPh sb="394" eb="395">
      <t>マナ</t>
    </rPh>
    <phoneticPr fontId="1"/>
  </si>
  <si>
    <r>
      <t>　本学では令和2年度から次世代技術者にとって必須となるAI・DS教育を全学的に実施するための新たな全学共通教育科目「AI概論」（1年後期2単位）と「AI活用演習」（2年前期2単位）を開設した。同AI教育のための新規2科目は正規の教育課程において、</t>
    </r>
    <r>
      <rPr>
        <u/>
        <sz val="12"/>
        <rFont val="ＭＳ Ｐゴシック"/>
        <family val="3"/>
        <charset val="128"/>
        <scheme val="minor"/>
      </rPr>
      <t>学生の所属学科を問わず、全学必修科目として設置</t>
    </r>
    <r>
      <rPr>
        <sz val="12"/>
        <rFont val="ＭＳ Ｐゴシック"/>
        <family val="3"/>
        <charset val="128"/>
        <scheme val="minor"/>
      </rPr>
      <t>しているため、</t>
    </r>
    <r>
      <rPr>
        <u/>
        <sz val="12"/>
        <rFont val="ＭＳ Ｐゴシック"/>
        <family val="3"/>
        <charset val="128"/>
        <scheme val="minor"/>
      </rPr>
      <t>学部・学科に関係なく全学生がAI教育を受講できる</t>
    </r>
    <r>
      <rPr>
        <sz val="12"/>
        <rFont val="ＭＳ Ｐゴシック"/>
        <family val="3"/>
        <charset val="128"/>
        <scheme val="minor"/>
      </rPr>
      <t>。AI応用研究所ではAI教育支援部門を設置しており、本部門担当の専任教員がカリキュラム・教材の開発・改善、演習・講義を担当する。同研究所には全ての学科から1名以上の所員（AI研究・教育担当者）が配置されているため、各学科において研究所所員がAI・数理DS教育の重要性を周知することにより、</t>
    </r>
    <r>
      <rPr>
        <u/>
        <sz val="12"/>
        <rFont val="ＭＳ Ｐゴシック"/>
        <family val="3"/>
        <charset val="128"/>
        <scheme val="minor"/>
      </rPr>
      <t>同教育プログラムに関する全学的な情報共有ができ、全ての学科において学生のAI・数理DS教育の受講支援を行うことができる</t>
    </r>
    <r>
      <rPr>
        <sz val="12"/>
        <rFont val="ＭＳ Ｐゴシック"/>
        <family val="3"/>
        <charset val="128"/>
        <scheme val="minor"/>
      </rPr>
      <t>。</t>
    </r>
    <rPh sb="5" eb="7">
      <t>レイワ</t>
    </rPh>
    <rPh sb="35" eb="38">
      <t>ゼンガクテキ</t>
    </rPh>
    <rPh sb="39" eb="41">
      <t>ジッシ</t>
    </rPh>
    <rPh sb="46" eb="47">
      <t>アラ</t>
    </rPh>
    <rPh sb="91" eb="93">
      <t>カイセツ</t>
    </rPh>
    <rPh sb="96" eb="97">
      <t>ドウ</t>
    </rPh>
    <rPh sb="99" eb="101">
      <t>キョウイク</t>
    </rPh>
    <rPh sb="105" eb="107">
      <t>シンキ</t>
    </rPh>
    <rPh sb="108" eb="110">
      <t>カモク</t>
    </rPh>
    <rPh sb="153" eb="155">
      <t>ガクブ</t>
    </rPh>
    <rPh sb="156" eb="158">
      <t>ガッカ</t>
    </rPh>
    <rPh sb="159" eb="161">
      <t>カンケイ</t>
    </rPh>
    <rPh sb="163" eb="165">
      <t>ゼンガク</t>
    </rPh>
    <rPh sb="165" eb="166">
      <t>セイ</t>
    </rPh>
    <rPh sb="169" eb="171">
      <t>キョウイク</t>
    </rPh>
    <rPh sb="172" eb="174">
      <t>ジュコウ</t>
    </rPh>
    <rPh sb="227" eb="229">
      <t>カイゼン</t>
    </rPh>
    <rPh sb="230" eb="232">
      <t>エンシュウ</t>
    </rPh>
    <rPh sb="247" eb="248">
      <t>スベ</t>
    </rPh>
    <rPh sb="259" eb="261">
      <t>ショイン</t>
    </rPh>
    <rPh sb="264" eb="266">
      <t>ケンキュウ</t>
    </rPh>
    <rPh sb="267" eb="269">
      <t>キョウイク</t>
    </rPh>
    <rPh sb="284" eb="287">
      <t>カクガッカ</t>
    </rPh>
    <rPh sb="300" eb="302">
      <t>スウリ</t>
    </rPh>
    <rPh sb="307" eb="310">
      <t>ジュウヨウセイ</t>
    </rPh>
    <rPh sb="311" eb="313">
      <t>シュウチ</t>
    </rPh>
    <rPh sb="321" eb="322">
      <t>ドウ</t>
    </rPh>
    <rPh sb="333" eb="336">
      <t>ゼンガクテキ</t>
    </rPh>
    <rPh sb="354" eb="356">
      <t>ガクセイ</t>
    </rPh>
    <rPh sb="360" eb="362">
      <t>スウリ</t>
    </rPh>
    <rPh sb="364" eb="366">
      <t>キョウイク</t>
    </rPh>
    <rPh sb="367" eb="369">
      <t>ジュコウ</t>
    </rPh>
    <rPh sb="369" eb="371">
      <t>シエン</t>
    </rPh>
    <rPh sb="372" eb="373">
      <t>オコナ</t>
    </rPh>
    <phoneticPr fontId="1"/>
  </si>
  <si>
    <r>
      <t>　全1年生を</t>
    </r>
    <r>
      <rPr>
        <u/>
        <sz val="12"/>
        <rFont val="ＭＳ Ｐゴシック"/>
        <family val="3"/>
        <charset val="128"/>
        <scheme val="minor"/>
      </rPr>
      <t>学科別（30人規模）の14クラスに分けた少人数教育体制</t>
    </r>
    <r>
      <rPr>
        <sz val="12"/>
        <rFont val="ＭＳ Ｐゴシック"/>
        <family val="2"/>
        <charset val="128"/>
        <scheme val="minor"/>
      </rPr>
      <t>で実施しており、学生は</t>
    </r>
    <r>
      <rPr>
        <u/>
        <sz val="12"/>
        <rFont val="ＭＳ Ｐゴシック"/>
        <family val="3"/>
        <charset val="128"/>
        <scheme val="minor"/>
      </rPr>
      <t>AIプログラミング演習を対面講義で受講</t>
    </r>
    <r>
      <rPr>
        <sz val="12"/>
        <rFont val="ＭＳ Ｐゴシック"/>
        <family val="2"/>
        <charset val="128"/>
        <scheme val="minor"/>
      </rPr>
      <t>する。必携</t>
    </r>
    <r>
      <rPr>
        <sz val="12"/>
        <rFont val="ＭＳ Ｐゴシック"/>
        <family val="3"/>
        <charset val="128"/>
        <scheme val="minor"/>
      </rPr>
      <t>PC</t>
    </r>
    <r>
      <rPr>
        <sz val="12"/>
        <rFont val="ＭＳ Ｐゴシック"/>
        <family val="2"/>
        <charset val="128"/>
        <scheme val="minor"/>
      </rPr>
      <t>を用いた演習では、</t>
    </r>
    <r>
      <rPr>
        <u/>
        <sz val="12"/>
        <rFont val="ＭＳ Ｐゴシック"/>
        <family val="3"/>
        <charset val="128"/>
        <scheme val="minor"/>
      </rPr>
      <t>プログラミング初学者でもスムーズに学べるように、1クラスに複数名のSA（スチューデント・アシスタント）を配置</t>
    </r>
    <r>
      <rPr>
        <sz val="12"/>
        <rFont val="ＭＳ Ｐゴシック"/>
        <family val="2"/>
        <charset val="128"/>
        <scheme val="minor"/>
      </rPr>
      <t>し、講義中の演習を支援した。</t>
    </r>
    <r>
      <rPr>
        <u/>
        <sz val="12"/>
        <rFont val="ＭＳ Ｐゴシック"/>
        <family val="3"/>
        <charset val="128"/>
        <scheme val="minor"/>
      </rPr>
      <t>プログラミング演習の内容を復習できる動画も用意</t>
    </r>
    <r>
      <rPr>
        <sz val="12"/>
        <rFont val="ＭＳ Ｐゴシック"/>
        <family val="2"/>
        <charset val="128"/>
        <scheme val="minor"/>
      </rPr>
      <t>した。
　隔週で実施した遠隔講義では、AI・DSの基礎知識を修得するオンライン動画を用意し、重要語句を記入する遠隔講義ノートを事前配布した。受講者は</t>
    </r>
    <r>
      <rPr>
        <u/>
        <sz val="12"/>
        <rFont val="ＭＳ Ｐゴシック"/>
        <family val="3"/>
        <charset val="128"/>
        <scheme val="minor"/>
      </rPr>
      <t>講義動画をいつでも好きなときに視聴しながら、重要語句を講義ノートに記入</t>
    </r>
    <r>
      <rPr>
        <sz val="12"/>
        <rFont val="ＭＳ Ｐゴシック"/>
        <family val="2"/>
        <charset val="128"/>
        <scheme val="minor"/>
      </rPr>
      <t>する。</t>
    </r>
    <r>
      <rPr>
        <u/>
        <sz val="12"/>
        <rFont val="ＭＳ Ｐゴシック"/>
        <family val="3"/>
        <charset val="128"/>
        <scheme val="minor"/>
      </rPr>
      <t>翌週の対面講義の際に、学生は講義ノートを提出するため、隔週で学生と直接的コミュニケーションを取れる</t>
    </r>
    <r>
      <rPr>
        <sz val="12"/>
        <rFont val="ＭＳ Ｐゴシック"/>
        <family val="2"/>
        <charset val="128"/>
        <scheme val="minor"/>
      </rPr>
      <t xml:space="preserve">。
　PCサポートセンターとAI応用研究所には、授業中以外は常に教職員が在中し、学生の来訪にできる限り対応し、質問に答える体制をとった。
</t>
    </r>
    <rPh sb="6" eb="8">
      <t>ガッカ</t>
    </rPh>
    <rPh sb="8" eb="9">
      <t>ベツ</t>
    </rPh>
    <rPh sb="31" eb="33">
      <t>タイセイ</t>
    </rPh>
    <rPh sb="34" eb="36">
      <t>ジッシ</t>
    </rPh>
    <rPh sb="41" eb="43">
      <t>ガクセイ</t>
    </rPh>
    <rPh sb="56" eb="58">
      <t>タイメン</t>
    </rPh>
    <rPh sb="58" eb="60">
      <t>コウギ</t>
    </rPh>
    <rPh sb="61" eb="63">
      <t>ジュコウ</t>
    </rPh>
    <rPh sb="74" eb="76">
      <t>エンシュウ</t>
    </rPh>
    <rPh sb="108" eb="111">
      <t>フクスウメイ</t>
    </rPh>
    <rPh sb="131" eb="133">
      <t>ハイチ</t>
    </rPh>
    <rPh sb="157" eb="159">
      <t>ナイヨウ</t>
    </rPh>
    <rPh sb="195" eb="197">
      <t>キソ</t>
    </rPh>
    <rPh sb="200" eb="202">
      <t>シュウトク</t>
    </rPh>
    <rPh sb="212" eb="214">
      <t>ヨウイ</t>
    </rPh>
    <rPh sb="218" eb="220">
      <t>ゴク</t>
    </rPh>
    <rPh sb="221" eb="223">
      <t>キニュウ</t>
    </rPh>
    <rPh sb="225" eb="227">
      <t>エンカク</t>
    </rPh>
    <rPh sb="233" eb="235">
      <t>ジゼン</t>
    </rPh>
    <rPh sb="235" eb="237">
      <t>ハイフ</t>
    </rPh>
    <rPh sb="240" eb="243">
      <t>ジュコウシャ</t>
    </rPh>
    <rPh sb="244" eb="246">
      <t>コウギ</t>
    </rPh>
    <rPh sb="246" eb="248">
      <t>ドウガ</t>
    </rPh>
    <rPh sb="253" eb="254">
      <t>ス</t>
    </rPh>
    <rPh sb="259" eb="261">
      <t>シチョウ</t>
    </rPh>
    <rPh sb="282" eb="284">
      <t>ヨクシュウ</t>
    </rPh>
    <rPh sb="285" eb="287">
      <t>タイメン</t>
    </rPh>
    <rPh sb="287" eb="289">
      <t>コウギ</t>
    </rPh>
    <rPh sb="290" eb="291">
      <t>サイ</t>
    </rPh>
    <rPh sb="293" eb="295">
      <t>ガクセイ</t>
    </rPh>
    <rPh sb="296" eb="298">
      <t>コウギ</t>
    </rPh>
    <rPh sb="302" eb="304">
      <t>テイシュツ</t>
    </rPh>
    <rPh sb="309" eb="311">
      <t>カクシュウ</t>
    </rPh>
    <rPh sb="312" eb="314">
      <t>ガクセイ</t>
    </rPh>
    <rPh sb="315" eb="318">
      <t>チョクセツテキ</t>
    </rPh>
    <rPh sb="328" eb="329">
      <t>ト</t>
    </rPh>
    <rPh sb="355" eb="358">
      <t>ジュギョウチュウ</t>
    </rPh>
    <rPh sb="358" eb="360">
      <t>イガイ</t>
    </rPh>
    <rPh sb="361" eb="362">
      <t>ツネ</t>
    </rPh>
    <rPh sb="363" eb="366">
      <t>キョウショクイン</t>
    </rPh>
    <rPh sb="367" eb="369">
      <t>ザイチュウ</t>
    </rPh>
    <rPh sb="371" eb="373">
      <t>ガクセイ</t>
    </rPh>
    <rPh sb="374" eb="376">
      <t>ライホウ</t>
    </rPh>
    <rPh sb="380" eb="381">
      <t>カギ</t>
    </rPh>
    <rPh sb="382" eb="384">
      <t>タイオウ</t>
    </rPh>
    <rPh sb="386" eb="388">
      <t>シツモン</t>
    </rPh>
    <rPh sb="389" eb="390">
      <t>コタ</t>
    </rPh>
    <phoneticPr fontId="1"/>
  </si>
  <si>
    <r>
      <t>　令和2年度は、AI応用研究所（専任教員1名）とPCサポートセンター（専任教育・研究コーディネータ―1名）の協働による2名体制で、</t>
    </r>
    <r>
      <rPr>
        <u/>
        <sz val="12"/>
        <rFont val="ＭＳ Ｐゴシック"/>
        <family val="3"/>
        <charset val="128"/>
        <scheme val="minor"/>
      </rPr>
      <t>授業内の質問、授業外のメール、学修支援システムからの質問に対応</t>
    </r>
    <r>
      <rPr>
        <sz val="12"/>
        <rFont val="ＭＳ Ｐゴシック"/>
        <family val="3"/>
        <charset val="128"/>
        <scheme val="minor"/>
      </rPr>
      <t>した。令和3年度からは、本教育プログラムの授業担当教員として、専任助教1名、非常勤講師（客員教授：AI研究・教育の専門家）1名が加わり、</t>
    </r>
    <r>
      <rPr>
        <u/>
        <sz val="12"/>
        <rFont val="ＭＳ Ｐゴシック"/>
        <family val="3"/>
        <charset val="128"/>
        <scheme val="minor"/>
      </rPr>
      <t>さらに充実した4人体制での学習指導、質問対応ができるようになった</t>
    </r>
    <r>
      <rPr>
        <sz val="12"/>
        <rFont val="ＭＳ Ｐゴシック"/>
        <family val="3"/>
        <charset val="128"/>
        <scheme val="minor"/>
      </rPr>
      <t>。
　また、学生からの質問とその回答をデータベースとして蓄積しており、これをシナリオとする</t>
    </r>
    <r>
      <rPr>
        <u/>
        <sz val="12"/>
        <rFont val="ＭＳ Ｐゴシック"/>
        <family val="3"/>
        <charset val="128"/>
        <scheme val="minor"/>
      </rPr>
      <t>「AI 概論」用の LINE AI チャットボットも開発・導入</t>
    </r>
    <r>
      <rPr>
        <sz val="12"/>
        <rFont val="ＭＳ Ｐゴシック"/>
        <family val="3"/>
        <charset val="128"/>
        <scheme val="minor"/>
      </rPr>
      <t>している。受講生は24時間いつでもLINEで「AI 概論」の講義やプログラミングに関する質問ができ、直ぐにAIが回答する。現在も、毎回の講義アンケートの質問内容から理解度の分析、疑問点の抽出を行い、AIチャットボットの充実・改善を図っている。
　</t>
    </r>
    <rPh sb="1" eb="3">
      <t>レイワ</t>
    </rPh>
    <rPh sb="4" eb="5">
      <t>ネン</t>
    </rPh>
    <rPh sb="5" eb="6">
      <t>ド</t>
    </rPh>
    <rPh sb="16" eb="18">
      <t>センニン</t>
    </rPh>
    <rPh sb="18" eb="20">
      <t>キョウイン</t>
    </rPh>
    <rPh sb="21" eb="22">
      <t>メイ</t>
    </rPh>
    <rPh sb="51" eb="52">
      <t>メイ</t>
    </rPh>
    <rPh sb="60" eb="61">
      <t>メイ</t>
    </rPh>
    <rPh sb="61" eb="63">
      <t>タイセイ</t>
    </rPh>
    <rPh sb="67" eb="68">
      <t>ナイ</t>
    </rPh>
    <rPh sb="69" eb="71">
      <t>シツモン</t>
    </rPh>
    <rPh sb="72" eb="74">
      <t>ジュギョウ</t>
    </rPh>
    <rPh sb="74" eb="75">
      <t>ガイ</t>
    </rPh>
    <rPh sb="80" eb="82">
      <t>ガクシュウ</t>
    </rPh>
    <rPh sb="82" eb="84">
      <t>シエン</t>
    </rPh>
    <rPh sb="91" eb="93">
      <t>シツモン</t>
    </rPh>
    <rPh sb="94" eb="96">
      <t>タイオウ</t>
    </rPh>
    <rPh sb="99" eb="101">
      <t>レイワ</t>
    </rPh>
    <rPh sb="102" eb="103">
      <t>ネン</t>
    </rPh>
    <rPh sb="108" eb="109">
      <t>ホン</t>
    </rPh>
    <rPh sb="109" eb="111">
      <t>キョウイク</t>
    </rPh>
    <rPh sb="117" eb="119">
      <t>ジュギョウ</t>
    </rPh>
    <rPh sb="119" eb="121">
      <t>タントウ</t>
    </rPh>
    <rPh sb="121" eb="123">
      <t>キョウイン</t>
    </rPh>
    <rPh sb="129" eb="131">
      <t>ジョキョウ</t>
    </rPh>
    <rPh sb="137" eb="139">
      <t>コウシ</t>
    </rPh>
    <rPh sb="140" eb="142">
      <t>キャクイン</t>
    </rPh>
    <rPh sb="142" eb="144">
      <t>キョウジュ</t>
    </rPh>
    <rPh sb="160" eb="161">
      <t>クワ</t>
    </rPh>
    <rPh sb="177" eb="179">
      <t>ガクシュウ</t>
    </rPh>
    <rPh sb="179" eb="181">
      <t>シドウ</t>
    </rPh>
    <rPh sb="182" eb="184">
      <t>シツモン</t>
    </rPh>
    <rPh sb="184" eb="186">
      <t>タイオウ</t>
    </rPh>
    <rPh sb="202" eb="204">
      <t>ガクセイ</t>
    </rPh>
    <rPh sb="207" eb="209">
      <t>シツモン</t>
    </rPh>
    <rPh sb="212" eb="214">
      <t>カイトウ</t>
    </rPh>
    <rPh sb="224" eb="226">
      <t>チクセキ</t>
    </rPh>
    <rPh sb="270" eb="272">
      <t>ドウニュウ</t>
    </rPh>
    <rPh sb="337" eb="339">
      <t>マイカイ</t>
    </rPh>
    <rPh sb="340" eb="342">
      <t>コウギ</t>
    </rPh>
    <rPh sb="348" eb="350">
      <t>シツモン</t>
    </rPh>
    <rPh sb="350" eb="352">
      <t>ナイヨウ</t>
    </rPh>
    <rPh sb="354" eb="357">
      <t>リカイド</t>
    </rPh>
    <rPh sb="358" eb="360">
      <t>ブンセキ</t>
    </rPh>
    <rPh sb="361" eb="363">
      <t>ギモン</t>
    </rPh>
    <rPh sb="363" eb="364">
      <t>テン</t>
    </rPh>
    <rPh sb="365" eb="367">
      <t>チュウシュツ</t>
    </rPh>
    <rPh sb="368" eb="369">
      <t>オコナ</t>
    </rPh>
    <rPh sb="381" eb="383">
      <t>ジュウジツ</t>
    </rPh>
    <rPh sb="387" eb="388">
      <t>ハカ</t>
    </rPh>
    <phoneticPr fontId="1"/>
  </si>
  <si>
    <r>
      <t>　本教育プログラムは</t>
    </r>
    <r>
      <rPr>
        <u/>
        <sz val="12"/>
        <rFont val="ＭＳ Ｐゴシック"/>
        <family val="3"/>
        <charset val="128"/>
        <scheme val="minor"/>
      </rPr>
      <t>AI・DSのプログラミング実装を重視しており、数学力やICTスキルが求められる</t>
    </r>
    <r>
      <rPr>
        <sz val="12"/>
        <rFont val="ＭＳ Ｐゴシック"/>
        <family val="3"/>
        <charset val="128"/>
        <scheme val="minor"/>
      </rPr>
      <t>。そこで、学生が学力に合わせ、</t>
    </r>
    <r>
      <rPr>
        <u/>
        <sz val="12"/>
        <rFont val="ＭＳ Ｐゴシック"/>
        <family val="3"/>
        <charset val="128"/>
        <scheme val="minor"/>
      </rPr>
      <t>先取り予習や復習ができるように授業動画をLMSで公開し、個別最適化した学修環境を提供</t>
    </r>
    <r>
      <rPr>
        <sz val="12"/>
        <rFont val="ＭＳ Ｐゴシック"/>
        <family val="3"/>
        <charset val="128"/>
        <scheme val="minor"/>
      </rPr>
      <t>している。令和3年度からは全学共通教育科目「数学基礎」を「数学・統計学基礎</t>
    </r>
    <r>
      <rPr>
        <u/>
        <sz val="12"/>
        <rFont val="ＭＳ Ｐゴシック"/>
        <family val="3"/>
        <charset val="128"/>
        <scheme val="minor"/>
      </rPr>
      <t>」</t>
    </r>
    <r>
      <rPr>
        <sz val="12"/>
        <rFont val="ＭＳ Ｐゴシック"/>
        <family val="3"/>
        <charset val="128"/>
        <scheme val="minor"/>
      </rPr>
      <t>とし、AIへの理解を深めるための講義内容に変更した。「</t>
    </r>
    <r>
      <rPr>
        <u/>
        <sz val="12"/>
        <rFont val="ＭＳ Ｐゴシック"/>
        <family val="3"/>
        <charset val="128"/>
        <scheme val="minor"/>
      </rPr>
      <t>AI概論」でも基礎統計の内容をPythonで実装し、数学教育との連携</t>
    </r>
    <r>
      <rPr>
        <sz val="12"/>
        <rFont val="ＭＳ Ｐゴシック"/>
        <family val="3"/>
        <charset val="128"/>
        <scheme val="minor"/>
      </rPr>
      <t>を図る。さらに、令和3年度からは</t>
    </r>
    <r>
      <rPr>
        <u/>
        <sz val="12"/>
        <rFont val="ＭＳ Ｐゴシック"/>
        <family val="3"/>
        <charset val="128"/>
        <scheme val="minor"/>
      </rPr>
      <t>PCスキルが不十分な本学1年生を対象にAI・DS・ICT基礎講座を夏季集中で実施</t>
    </r>
    <r>
      <rPr>
        <sz val="12"/>
        <rFont val="ＭＳ Ｐゴシック"/>
        <family val="3"/>
        <charset val="128"/>
        <scheme val="minor"/>
      </rPr>
      <t>予定であり、</t>
    </r>
    <r>
      <rPr>
        <u/>
        <sz val="12"/>
        <rFont val="ＭＳ Ｐゴシック"/>
        <family val="3"/>
        <charset val="128"/>
        <scheme val="minor"/>
      </rPr>
      <t>筑後地域の他教育機関の学生にも門戸を開き、同時受講を可能にする</t>
    </r>
    <r>
      <rPr>
        <sz val="12"/>
        <rFont val="ＭＳ Ｐゴシック"/>
        <family val="3"/>
        <charset val="128"/>
        <scheme val="minor"/>
      </rPr>
      <t>。</t>
    </r>
    <rPh sb="23" eb="25">
      <t>ジッソウ</t>
    </rPh>
    <rPh sb="26" eb="28">
      <t>ジュウシ</t>
    </rPh>
    <rPh sb="33" eb="36">
      <t>スウガクリョク</t>
    </rPh>
    <rPh sb="54" eb="56">
      <t>ガクセイ</t>
    </rPh>
    <rPh sb="57" eb="59">
      <t>ガクリョク</t>
    </rPh>
    <rPh sb="60" eb="61">
      <t>ア</t>
    </rPh>
    <rPh sb="101" eb="103">
      <t>カンキョウ</t>
    </rPh>
    <rPh sb="104" eb="106">
      <t>テイキョウ</t>
    </rPh>
    <rPh sb="165" eb="167">
      <t>ヘンコウ</t>
    </rPh>
    <rPh sb="178" eb="182">
      <t>キソトウケイ</t>
    </rPh>
    <rPh sb="193" eb="195">
      <t>ジッソウ</t>
    </rPh>
    <rPh sb="213" eb="215">
      <t>レイワ</t>
    </rPh>
    <rPh sb="216" eb="218">
      <t>ネンド</t>
    </rPh>
    <rPh sb="227" eb="230">
      <t>フジュウブン</t>
    </rPh>
    <rPh sb="231" eb="233">
      <t>ホンガク</t>
    </rPh>
    <rPh sb="234" eb="236">
      <t>ネンセイ</t>
    </rPh>
    <rPh sb="237" eb="239">
      <t>タイショウ</t>
    </rPh>
    <rPh sb="249" eb="251">
      <t>キソ</t>
    </rPh>
    <rPh sb="251" eb="253">
      <t>コウザ</t>
    </rPh>
    <rPh sb="254" eb="256">
      <t>カキ</t>
    </rPh>
    <rPh sb="256" eb="258">
      <t>シュウチュウ</t>
    </rPh>
    <rPh sb="259" eb="261">
      <t>ジッシ</t>
    </rPh>
    <rPh sb="261" eb="263">
      <t>ヨテイ</t>
    </rPh>
    <rPh sb="267" eb="269">
      <t>チクゴ</t>
    </rPh>
    <rPh sb="269" eb="271">
      <t>チイキ</t>
    </rPh>
    <rPh sb="278" eb="280">
      <t>ガクセイ</t>
    </rPh>
    <rPh sb="282" eb="284">
      <t>モンコ</t>
    </rPh>
    <rPh sb="285" eb="286">
      <t>ヒラ</t>
    </rPh>
    <rPh sb="288" eb="290">
      <t>ドウジ</t>
    </rPh>
    <rPh sb="290" eb="292">
      <t>ジュコウ</t>
    </rPh>
    <rPh sb="293" eb="295">
      <t>カノウ</t>
    </rPh>
    <phoneticPr fontId="1"/>
  </si>
  <si>
    <r>
      <t>　AI応用研究所は、</t>
    </r>
    <r>
      <rPr>
        <u/>
        <sz val="12"/>
        <rFont val="ＭＳ Ｐゴシック"/>
        <family val="3"/>
        <charset val="128"/>
        <scheme val="minor"/>
      </rPr>
      <t>外部評価委員や地域産業界の社会人に対してアンケートを実施し、本教育プログラムの教育内容・教育手法や地域AI・DS人材輩出への期待・要望について意見を聴取</t>
    </r>
    <r>
      <rPr>
        <sz val="12"/>
        <rFont val="ＭＳ Ｐゴシック"/>
        <family val="3"/>
        <charset val="128"/>
        <scheme val="minor"/>
      </rPr>
      <t>している。産業界からは「当カリキュラムを学んだ学生を積極的に採用したい」「自分が受講したい内容」「実習も含んだプログラムは十分な内容」といった肯定的意見を頂いた一方、教材充実の要望も頂いている。AI応用研究所教育支援部門では、</t>
    </r>
    <r>
      <rPr>
        <u/>
        <sz val="12"/>
        <rFont val="ＭＳ Ｐゴシック"/>
        <family val="3"/>
        <charset val="128"/>
        <scheme val="minor"/>
      </rPr>
      <t>地域産業界の新たなニーズに応えることのできるAI人材の育成を目指し、今後も地元企業と連携し、教育プログラムの改善に努めていく</t>
    </r>
    <r>
      <rPr>
        <sz val="12"/>
        <rFont val="ＭＳ Ｐゴシック"/>
        <family val="3"/>
        <charset val="128"/>
        <scheme val="minor"/>
      </rPr>
      <t>。自己点検・評価結果についてはWEBページで公表している。</t>
    </r>
    <rPh sb="3" eb="8">
      <t>オウヨウケンキュウショ</t>
    </rPh>
    <rPh sb="10" eb="12">
      <t>ガイブ</t>
    </rPh>
    <rPh sb="12" eb="14">
      <t>ヒョウカ</t>
    </rPh>
    <rPh sb="14" eb="16">
      <t>イイン</t>
    </rPh>
    <rPh sb="23" eb="25">
      <t>シャカイ</t>
    </rPh>
    <rPh sb="25" eb="26">
      <t>ジン</t>
    </rPh>
    <rPh sb="27" eb="28">
      <t>タイ</t>
    </rPh>
    <rPh sb="36" eb="38">
      <t>ジッシ</t>
    </rPh>
    <rPh sb="40" eb="41">
      <t>ホン</t>
    </rPh>
    <rPh sb="41" eb="43">
      <t>キョウイク</t>
    </rPh>
    <rPh sb="49" eb="51">
      <t>キョウイク</t>
    </rPh>
    <rPh sb="51" eb="53">
      <t>ナイヨウ</t>
    </rPh>
    <rPh sb="54" eb="56">
      <t>キョウイク</t>
    </rPh>
    <rPh sb="56" eb="58">
      <t>シュホウ</t>
    </rPh>
    <rPh sb="81" eb="83">
      <t>イケン</t>
    </rPh>
    <rPh sb="84" eb="86">
      <t>チョウシュ</t>
    </rPh>
    <rPh sb="91" eb="94">
      <t>サンギョウカイ</t>
    </rPh>
    <rPh sb="166" eb="168">
      <t>イッポウ</t>
    </rPh>
    <rPh sb="169" eb="171">
      <t>キョウザイ</t>
    </rPh>
    <rPh sb="171" eb="173">
      <t>ジュウジツ</t>
    </rPh>
    <rPh sb="174" eb="176">
      <t>ヨウボウ</t>
    </rPh>
    <rPh sb="177" eb="178">
      <t>イタダ</t>
    </rPh>
    <rPh sb="185" eb="187">
      <t>オウヨウ</t>
    </rPh>
    <rPh sb="187" eb="189">
      <t>ケンキュウ</t>
    </rPh>
    <rPh sb="189" eb="190">
      <t>ショ</t>
    </rPh>
    <rPh sb="190" eb="192">
      <t>キョウイク</t>
    </rPh>
    <rPh sb="192" eb="194">
      <t>シエン</t>
    </rPh>
    <rPh sb="194" eb="196">
      <t>ブモン</t>
    </rPh>
    <rPh sb="233" eb="235">
      <t>コンゴ</t>
    </rPh>
    <rPh sb="236" eb="238">
      <t>ジモト</t>
    </rPh>
    <rPh sb="238" eb="240">
      <t>キギョウ</t>
    </rPh>
    <rPh sb="241" eb="243">
      <t>レンケイ</t>
    </rPh>
    <rPh sb="245" eb="247">
      <t>キョウイク</t>
    </rPh>
    <rPh sb="253" eb="255">
      <t>カイゼン</t>
    </rPh>
    <rPh sb="256" eb="257">
      <t>ツト</t>
    </rPh>
    <rPh sb="267" eb="269">
      <t>ヒョウカ</t>
    </rPh>
    <rPh sb="269" eb="271">
      <t>ケッカ</t>
    </rPh>
    <rPh sb="283" eb="285">
      <t>コウヒョウ</t>
    </rPh>
    <phoneticPr fontId="1"/>
  </si>
  <si>
    <r>
      <t>　本学では卒業生調査を定期的に実施し、カリキュラムの点検・評価に活用している。本教育プログラムは令和2年度から開始されているため、現在は本プログラムを履修した卒業生は存在しないが、今後、卒業生調査を通して同プログラムを修了した卒業生の進路や活躍状況等を把握することは可能である。
　在学生においては、既に、</t>
    </r>
    <r>
      <rPr>
        <u/>
        <sz val="12"/>
        <rFont val="ＭＳ Ｐゴシック"/>
        <family val="3"/>
        <charset val="128"/>
        <scheme val="minor"/>
      </rPr>
      <t>令和2年度のAI概論受講者2名がAIの画像認識技術を応用したシステム開発を行う地元企業インターンシップに参加した実績</t>
    </r>
    <r>
      <rPr>
        <sz val="12"/>
        <rFont val="ＭＳ Ｐゴシック"/>
        <family val="3"/>
        <charset val="128"/>
        <scheme val="minor"/>
      </rPr>
      <t>があり、</t>
    </r>
    <r>
      <rPr>
        <u/>
        <sz val="12"/>
        <rFont val="ＭＳ Ｐゴシック"/>
        <family val="3"/>
        <charset val="128"/>
        <scheme val="minor"/>
      </rPr>
      <t>企業からの同学生に対する評価ならびに本プログラムの内容・演習手法についての意見も収集</t>
    </r>
    <r>
      <rPr>
        <sz val="12"/>
        <rFont val="ＭＳ Ｐゴシック"/>
        <family val="3"/>
        <charset val="128"/>
        <scheme val="minor"/>
      </rPr>
      <t xml:space="preserve">している。今後、企業からの調査データを、プログラムの改善に活用していく予定である。
</t>
    </r>
    <rPh sb="40" eb="42">
      <t>キョウイク</t>
    </rPh>
    <rPh sb="141" eb="144">
      <t>ザイガクセイ</t>
    </rPh>
    <rPh sb="150" eb="151">
      <t>スデ</t>
    </rPh>
    <rPh sb="153" eb="155">
      <t>レイワ</t>
    </rPh>
    <rPh sb="172" eb="174">
      <t>ガゾウ</t>
    </rPh>
    <rPh sb="174" eb="176">
      <t>ニンシキ</t>
    </rPh>
    <rPh sb="176" eb="178">
      <t>ギジュツ</t>
    </rPh>
    <rPh sb="179" eb="181">
      <t>オウヨウ</t>
    </rPh>
    <rPh sb="187" eb="189">
      <t>カイハツ</t>
    </rPh>
    <rPh sb="190" eb="191">
      <t>オコナ</t>
    </rPh>
    <rPh sb="205" eb="207">
      <t>サンカ</t>
    </rPh>
    <rPh sb="209" eb="211">
      <t>ジッセキ</t>
    </rPh>
    <rPh sb="220" eb="221">
      <t>ドウ</t>
    </rPh>
    <rPh sb="224" eb="225">
      <t>タイ</t>
    </rPh>
    <rPh sb="227" eb="229">
      <t>ヒョウカ</t>
    </rPh>
    <rPh sb="233" eb="234">
      <t>ホン</t>
    </rPh>
    <rPh sb="262" eb="264">
      <t>コンゴ</t>
    </rPh>
    <rPh sb="265" eb="267">
      <t>キギョウ</t>
    </rPh>
    <phoneticPr fontId="1"/>
  </si>
  <si>
    <r>
      <t>[学習支援システムの構築・学修成果の可視化]
講義に関する情報はLMSで公開している。</t>
    </r>
    <r>
      <rPr>
        <u/>
        <sz val="12"/>
        <rFont val="ＭＳ Ｐゴシック"/>
        <family val="3"/>
        <charset val="128"/>
        <scheme val="minor"/>
      </rPr>
      <t>遠隔講義動画や教材ファイルもLMSから入手でき、課題の提出、小テストの管理もLMS</t>
    </r>
    <r>
      <rPr>
        <sz val="12"/>
        <rFont val="ＭＳ Ｐゴシック"/>
        <family val="3"/>
        <charset val="128"/>
        <scheme val="minor"/>
      </rPr>
      <t>で行った。LMSに蓄積されたデータ（課題レポートや演習課題（Pythonプログラム））から</t>
    </r>
    <r>
      <rPr>
        <u/>
        <sz val="12"/>
        <rFont val="ＭＳ Ｐゴシック"/>
        <family val="3"/>
        <charset val="128"/>
        <scheme val="minor"/>
      </rPr>
      <t>各々の学生の進捗状況や課題提出状況、講義理解度や到達目標達成状況を週単位で把握できる</t>
    </r>
    <r>
      <rPr>
        <sz val="12"/>
        <rFont val="ＭＳ Ｐゴシック"/>
        <family val="3"/>
        <charset val="128"/>
        <scheme val="minor"/>
      </rPr>
      <t>。課題の提出が遅れがちな学生には授業内外で個別指導し、履修を支援した。
[チャットボットによる学習支援]
いつでも気軽に「AI 概論」の講義やプログラミングに関する質問ができるように</t>
    </r>
    <r>
      <rPr>
        <u/>
        <sz val="12"/>
        <rFont val="ＭＳ Ｐゴシック"/>
        <family val="3"/>
        <charset val="128"/>
        <scheme val="minor"/>
      </rPr>
      <t>「AI 概論」用の LINE AI チャットボットを開発し，受講生に公開</t>
    </r>
    <r>
      <rPr>
        <sz val="12"/>
        <rFont val="ＭＳ Ｐゴシック"/>
        <family val="3"/>
        <charset val="128"/>
        <scheme val="minor"/>
      </rPr>
      <t>した。
[補完的な教育の実施]
AIやデータサイエンスに関する</t>
    </r>
    <r>
      <rPr>
        <u/>
        <sz val="12"/>
        <rFont val="ＭＳ Ｐゴシック"/>
        <family val="3"/>
        <charset val="128"/>
        <scheme val="minor"/>
      </rPr>
      <t>国内外の最先端技術</t>
    </r>
    <r>
      <rPr>
        <sz val="12"/>
        <rFont val="ＭＳ Ｐゴシック"/>
        <family val="3"/>
        <charset val="128"/>
        <scheme val="minor"/>
      </rPr>
      <t>に精通した実務家の知見が得られる</t>
    </r>
    <r>
      <rPr>
        <u/>
        <sz val="12"/>
        <rFont val="ＭＳ Ｐゴシック"/>
        <family val="3"/>
        <charset val="128"/>
        <scheme val="minor"/>
      </rPr>
      <t>実践的・実用的なeラーニング動画教材Udemy を導入</t>
    </r>
    <r>
      <rPr>
        <sz val="12"/>
        <rFont val="ＭＳ Ｐゴシック"/>
        <family val="3"/>
        <charset val="128"/>
        <scheme val="minor"/>
      </rPr>
      <t>しており、SA（スチューデントアシスタント）や各学科から推薦された学生が実務に直結したAI技術を学んでいる。令和３年度には</t>
    </r>
    <r>
      <rPr>
        <u/>
        <sz val="12"/>
        <rFont val="ＭＳ Ｐゴシック"/>
        <family val="3"/>
        <charset val="128"/>
        <scheme val="minor"/>
      </rPr>
      <t>PCスキルが不十分な1年生を対象にAI・DS・ICT基礎講座を夏期集中で開講し、</t>
    </r>
    <r>
      <rPr>
        <sz val="12"/>
        <rFont val="ＭＳ Ｐゴシック"/>
        <family val="3"/>
        <charset val="128"/>
        <scheme val="minor"/>
      </rPr>
      <t>筑後地域の他</t>
    </r>
    <r>
      <rPr>
        <u/>
        <sz val="12"/>
        <rFont val="ＭＳ Ｐゴシック"/>
        <family val="3"/>
        <charset val="128"/>
        <scheme val="minor"/>
      </rPr>
      <t>教育機関（八女筑後看護専門学校など）の学生にも門戸を開く。</t>
    </r>
    <r>
      <rPr>
        <sz val="12"/>
        <rFont val="ＭＳ Ｐゴシック"/>
        <family val="3"/>
        <charset val="128"/>
        <scheme val="minor"/>
      </rPr>
      <t xml:space="preserve">
[インターンシップ先での実践]
AI技術を応用したシステム開発に取組む地元企業との協働により、本学1年生2名が</t>
    </r>
    <r>
      <rPr>
        <u/>
        <sz val="12"/>
        <rFont val="ＭＳ Ｐゴシック"/>
        <family val="3"/>
        <charset val="128"/>
        <scheme val="minor"/>
      </rPr>
      <t>AI概論で学んだ画像分類（機械学習）の知識・技術を生かしたインターンシップ</t>
    </r>
    <r>
      <rPr>
        <sz val="12"/>
        <rFont val="ＭＳ Ｐゴシック"/>
        <family val="3"/>
        <charset val="128"/>
        <scheme val="minor"/>
      </rPr>
      <t>に参加した。苺の分類システムの機能追加を担当する経験を通して、</t>
    </r>
    <r>
      <rPr>
        <u/>
        <sz val="12"/>
        <rFont val="ＭＳ Ｐゴシック"/>
        <family val="3"/>
        <charset val="128"/>
        <scheme val="minor"/>
      </rPr>
      <t>大学での学びを深化</t>
    </r>
    <r>
      <rPr>
        <sz val="12"/>
        <rFont val="ＭＳ Ｐゴシック"/>
        <family val="3"/>
        <charset val="128"/>
        <scheme val="minor"/>
      </rPr>
      <t>させた。
[SAとしての指導]
必携PCを用いたAI・DSプログラミングの演習が円滑に進むように、</t>
    </r>
    <r>
      <rPr>
        <u/>
        <sz val="12"/>
        <rFont val="ＭＳ Ｐゴシック"/>
        <family val="3"/>
        <charset val="128"/>
        <scheme val="minor"/>
      </rPr>
      <t>先輩学生SAが演習をサポート</t>
    </r>
    <r>
      <rPr>
        <sz val="12"/>
        <rFont val="ＭＳ Ｐゴシック"/>
        <family val="3"/>
        <charset val="128"/>
        <scheme val="minor"/>
      </rPr>
      <t>した。SAには</t>
    </r>
    <r>
      <rPr>
        <u/>
        <sz val="12"/>
        <rFont val="ＭＳ Ｐゴシック"/>
        <family val="3"/>
        <charset val="128"/>
        <scheme val="minor"/>
      </rPr>
      <t>G検定や基本情報処理技術者試験の合格者</t>
    </r>
    <r>
      <rPr>
        <sz val="12"/>
        <rFont val="ＭＳ Ｐゴシック"/>
        <family val="3"/>
        <charset val="128"/>
        <scheme val="minor"/>
      </rPr>
      <t>、</t>
    </r>
    <r>
      <rPr>
        <u/>
        <sz val="12"/>
        <rFont val="ＭＳ Ｐゴシック"/>
        <family val="3"/>
        <charset val="128"/>
        <scheme val="minor"/>
      </rPr>
      <t>GPAの高い学生</t>
    </r>
    <r>
      <rPr>
        <sz val="12"/>
        <rFont val="ＭＳ Ｐゴシック"/>
        <family val="3"/>
        <charset val="128"/>
        <scheme val="minor"/>
      </rPr>
      <t xml:space="preserve">などの模範学生を採用し、あらかじめ本教育プログラムの内容を集中講義形式で教育した。
</t>
    </r>
    <rPh sb="20" eb="21">
      <t>カ</t>
    </rPh>
    <rPh sb="36" eb="38">
      <t>コウカイ</t>
    </rPh>
    <rPh sb="43" eb="45">
      <t>エンカク</t>
    </rPh>
    <rPh sb="67" eb="69">
      <t>カダイ</t>
    </rPh>
    <rPh sb="70" eb="72">
      <t>テイシュツ</t>
    </rPh>
    <rPh sb="73" eb="74">
      <t>ショウ</t>
    </rPh>
    <rPh sb="78" eb="80">
      <t>カンリ</t>
    </rPh>
    <rPh sb="85" eb="86">
      <t>オコナ</t>
    </rPh>
    <rPh sb="229" eb="231">
      <t>キガル</t>
    </rPh>
    <rPh sb="480" eb="482">
      <t>カイコウ</t>
    </rPh>
    <rPh sb="495" eb="497">
      <t>ヤメ</t>
    </rPh>
    <rPh sb="497" eb="499">
      <t>チクゴ</t>
    </rPh>
    <rPh sb="499" eb="501">
      <t>カンゴ</t>
    </rPh>
    <rPh sb="501" eb="505">
      <t>センモンガッコウ</t>
    </rPh>
    <rPh sb="614" eb="616">
      <t>サンカ</t>
    </rPh>
    <rPh sb="640" eb="641">
      <t>トオ</t>
    </rPh>
    <rPh sb="760" eb="762">
      <t>サイヨウ</t>
    </rPh>
    <rPh sb="769" eb="770">
      <t>ホン</t>
    </rPh>
    <rPh sb="770" eb="772">
      <t>キョウイク</t>
    </rPh>
    <rPh sb="778" eb="780">
      <t>ナイヨウ</t>
    </rPh>
    <rPh sb="781" eb="785">
      <t>シュウチュウコウギ</t>
    </rPh>
    <rPh sb="785" eb="787">
      <t>ケイシキ</t>
    </rPh>
    <rPh sb="788" eb="790">
      <t>キョウイク</t>
    </rPh>
    <phoneticPr fontId="1"/>
  </si>
  <si>
    <r>
      <t>　本学では、全学必修科目として「AI概論」（1年後期2単位）と「AI活用演習」（2年前期2単位）を開設しており、</t>
    </r>
    <r>
      <rPr>
        <u/>
        <sz val="12"/>
        <rFont val="ＭＳ Ｐゴシック"/>
        <family val="3"/>
        <charset val="128"/>
        <scheme val="minor"/>
      </rPr>
      <t>学科に関係なく全学生がAI・数理DSプログラムを履修できる</t>
    </r>
    <r>
      <rPr>
        <sz val="12"/>
        <rFont val="ＭＳ Ｐゴシック"/>
        <family val="3"/>
        <charset val="128"/>
        <scheme val="minor"/>
      </rPr>
      <t>。多くの学生が講義を受ける教育棟100号館1階入口付近にAI応用研究所を設置し、AIに関するデモや、AI教育・研究に関するポスター展示を行い、</t>
    </r>
    <r>
      <rPr>
        <u/>
        <sz val="12"/>
        <rFont val="ＭＳ Ｐゴシック"/>
        <family val="3"/>
        <charset val="128"/>
        <scheme val="minor"/>
      </rPr>
      <t>全一年生が共通のAI・数理DS教育を履修できることも周知し、多くの学生に認知されている</t>
    </r>
    <r>
      <rPr>
        <sz val="12"/>
        <rFont val="ＭＳ Ｐゴシック"/>
        <family val="3"/>
        <charset val="128"/>
        <scheme val="minor"/>
      </rPr>
      <t>。</t>
    </r>
    <r>
      <rPr>
        <u/>
        <sz val="12"/>
        <rFont val="ＭＳ Ｐゴシック"/>
        <family val="3"/>
        <charset val="128"/>
        <scheme val="minor"/>
      </rPr>
      <t>AIによる地域課題解決に取組むプロジェクトやAI技術を生かしたインターンシップも既に始めており</t>
    </r>
    <r>
      <rPr>
        <sz val="12"/>
        <rFont val="ＭＳ Ｐゴシック"/>
        <family val="3"/>
        <charset val="128"/>
        <scheme val="minor"/>
      </rPr>
      <t>、本学がAI・数理DSの実践的教育に力を入れていることは、AI応用研究所の存在を通して学生は理解している。大学及びAI応用研究所のWEBサイトのトップページに本教育プログラム専用ページへのリンクを掲載し、</t>
    </r>
    <r>
      <rPr>
        <u/>
        <sz val="12"/>
        <rFont val="ＭＳ Ｐゴシック"/>
        <family val="3"/>
        <charset val="128"/>
        <scheme val="minor"/>
      </rPr>
      <t>学生だけでなく地域社会人も本教育プログラムの情報を受け取りやすい環境を整備</t>
    </r>
    <r>
      <rPr>
        <sz val="12"/>
        <rFont val="ＭＳ Ｐゴシック"/>
        <family val="3"/>
        <charset val="128"/>
        <scheme val="minor"/>
      </rPr>
      <t xml:space="preserve">している。
</t>
    </r>
    <rPh sb="1" eb="3">
      <t>ホンガク</t>
    </rPh>
    <rPh sb="49" eb="51">
      <t>カイセツ</t>
    </rPh>
    <rPh sb="56" eb="58">
      <t>ガッカ</t>
    </rPh>
    <rPh sb="59" eb="61">
      <t>カンケイ</t>
    </rPh>
    <rPh sb="63" eb="64">
      <t>ゼン</t>
    </rPh>
    <rPh sb="70" eb="72">
      <t>スウリ</t>
    </rPh>
    <rPh sb="86" eb="87">
      <t>オオ</t>
    </rPh>
    <rPh sb="89" eb="91">
      <t>ガクセイ</t>
    </rPh>
    <rPh sb="92" eb="94">
      <t>コウギ</t>
    </rPh>
    <rPh sb="95" eb="96">
      <t>ウ</t>
    </rPh>
    <rPh sb="107" eb="108">
      <t>カイ</t>
    </rPh>
    <rPh sb="108" eb="110">
      <t>イリグチ</t>
    </rPh>
    <rPh sb="110" eb="112">
      <t>フキン</t>
    </rPh>
    <rPh sb="115" eb="120">
      <t>オウヨウケンキュウショ</t>
    </rPh>
    <rPh sb="121" eb="123">
      <t>セッチ</t>
    </rPh>
    <rPh sb="128" eb="129">
      <t>カン</t>
    </rPh>
    <rPh sb="137" eb="139">
      <t>キョウイク</t>
    </rPh>
    <rPh sb="140" eb="142">
      <t>ケンキュウ</t>
    </rPh>
    <rPh sb="143" eb="144">
      <t>カン</t>
    </rPh>
    <rPh sb="150" eb="152">
      <t>テンジ</t>
    </rPh>
    <rPh sb="153" eb="154">
      <t>オコナ</t>
    </rPh>
    <rPh sb="156" eb="157">
      <t>ゼン</t>
    </rPh>
    <rPh sb="157" eb="160">
      <t>イチネンセイ</t>
    </rPh>
    <rPh sb="167" eb="169">
      <t>スウリ</t>
    </rPh>
    <rPh sb="174" eb="176">
      <t>リシュウ</t>
    </rPh>
    <rPh sb="182" eb="184">
      <t>シュウチ</t>
    </rPh>
    <rPh sb="186" eb="187">
      <t>オオ</t>
    </rPh>
    <rPh sb="189" eb="191">
      <t>ガクセイ</t>
    </rPh>
    <rPh sb="192" eb="194">
      <t>ニンチ</t>
    </rPh>
    <rPh sb="205" eb="207">
      <t>チイキ</t>
    </rPh>
    <rPh sb="207" eb="209">
      <t>カダイ</t>
    </rPh>
    <rPh sb="209" eb="211">
      <t>カイケツ</t>
    </rPh>
    <rPh sb="212" eb="214">
      <t>トリク</t>
    </rPh>
    <rPh sb="224" eb="226">
      <t>ギジュツ</t>
    </rPh>
    <rPh sb="227" eb="228">
      <t>イ</t>
    </rPh>
    <rPh sb="240" eb="241">
      <t>スデ</t>
    </rPh>
    <rPh sb="242" eb="243">
      <t>ハジ</t>
    </rPh>
    <rPh sb="248" eb="250">
      <t>ホンガク</t>
    </rPh>
    <rPh sb="259" eb="262">
      <t>ジッセンテキ</t>
    </rPh>
    <rPh sb="262" eb="264">
      <t>キョウイク</t>
    </rPh>
    <rPh sb="265" eb="266">
      <t>チカラ</t>
    </rPh>
    <rPh sb="267" eb="268">
      <t>イ</t>
    </rPh>
    <rPh sb="278" eb="283">
      <t>オウヨウケンキュウショ</t>
    </rPh>
    <rPh sb="284" eb="286">
      <t>ソンザイ</t>
    </rPh>
    <rPh sb="287" eb="288">
      <t>トオ</t>
    </rPh>
    <rPh sb="300" eb="302">
      <t>ダイガク</t>
    </rPh>
    <rPh sb="302" eb="303">
      <t>オヨ</t>
    </rPh>
    <rPh sb="326" eb="327">
      <t>ホン</t>
    </rPh>
    <rPh sb="327" eb="329">
      <t>キョウイク</t>
    </rPh>
    <rPh sb="362" eb="363">
      <t>ホン</t>
    </rPh>
    <rPh sb="363" eb="365">
      <t>キョウイク</t>
    </rPh>
    <rPh sb="384" eb="386">
      <t>セイビ</t>
    </rPh>
    <phoneticPr fontId="1"/>
  </si>
  <si>
    <t>（1）研究所長：工学部情報ネットワーク工学科教授　千田陽介
（2）副研究所長：AI応用研究所教授　小田まり子
（3) 副学長：工学部情報ネットワーク工学科教授　高橋雅仁
（4）教務委員長（学長補佐）工学部共通教育科教授　堀憲一郎
（5）研究所の教授及び准教授
　AI教育支援部門：教育創造工科教授　松浦望、AI応用研究所教授　小田まり子
  データ収集・IoT部門：情報ネットワーク工学科教授　千田陽介
  最新技術調査部門：情報ネットワーク工学科教授　河野央
  地域連携・応用部門：機械システム工学科教授　澁谷秀雄、交通機械工学科教授　東大輔
  AI実装・評価部門：情報ネットワーク工学科教授　吉田清明
（6）各専攻長及び各学科長
　大学院：エネルギーシステム工学専攻長　山本俊彦、電子情報システム工学専攻長　吉田清明、自動車システム工学専攻長　井川秀信
　工学部：機械システム工学科長　澁谷秀雄、交通機械工学科長　東大輔、建築・設備工学科長　満岡誠治、情報ネットワーク工学科長　江藤信一、教育創造工学科長　　金井政宏</t>
    <rPh sb="118" eb="121">
      <t>ケンキュウショ</t>
    </rPh>
    <rPh sb="122" eb="124">
      <t>キョウジュ</t>
    </rPh>
    <rPh sb="124" eb="125">
      <t>オヨ</t>
    </rPh>
    <rPh sb="126" eb="129">
      <t>ジュンキョウジュ</t>
    </rPh>
    <rPh sb="155" eb="157">
      <t>オウヨウ</t>
    </rPh>
    <rPh sb="157" eb="160">
      <t>ケンキュウショ</t>
    </rPh>
    <rPh sb="308" eb="309">
      <t>カク</t>
    </rPh>
    <rPh sb="309" eb="312">
      <t>センコウチョウ</t>
    </rPh>
    <rPh sb="312" eb="313">
      <t>オヨ</t>
    </rPh>
    <rPh sb="314" eb="315">
      <t>カク</t>
    </rPh>
    <rPh sb="315" eb="318">
      <t>ガッカチョウ</t>
    </rPh>
    <rPh sb="320" eb="323">
      <t>ダイガクイン</t>
    </rPh>
    <rPh sb="378" eb="379">
      <t>ヒデ</t>
    </rPh>
    <rPh sb="379" eb="380">
      <t>シン</t>
    </rPh>
    <rPh sb="382" eb="385">
      <t>コウガクブ</t>
    </rPh>
    <rPh sb="402" eb="406">
      <t>コウツウキカイ</t>
    </rPh>
    <rPh sb="406" eb="410">
      <t>コウガクカチョウ</t>
    </rPh>
    <rPh sb="411" eb="412">
      <t>アズマ</t>
    </rPh>
    <rPh sb="412" eb="414">
      <t>ダイスケ</t>
    </rPh>
    <rPh sb="415" eb="417">
      <t>ケンチク</t>
    </rPh>
    <rPh sb="418" eb="420">
      <t>セツビ</t>
    </rPh>
    <rPh sb="425" eb="427">
      <t>ミツオカ</t>
    </rPh>
    <rPh sb="443" eb="445">
      <t>エトウ</t>
    </rPh>
    <rPh sb="448" eb="450">
      <t>キョウイク</t>
    </rPh>
    <rPh sb="450" eb="452">
      <t>ソウゾウ</t>
    </rPh>
    <rPh sb="452" eb="455">
      <t>コウガッカ</t>
    </rPh>
    <rPh sb="458" eb="460">
      <t>カナイ</t>
    </rPh>
    <phoneticPr fontId="1"/>
  </si>
  <si>
    <r>
      <t>本学は、昭和41(1966)年の建学以来、「人間味豊かな産業人の育成」を建学の精神、「知・情・意」の調和のとれた実践的教育を行うことを教育理念としている。令和2年4月には、AI人材の育成とAI技術による地域課題の解決を目的として「AI応用研究所」を設立した。この研究所にはAI教育支援部門を設けており、所属学科を問わず全学生が体系的にAI・数理データサイエンス教育を学べる体制づくりを行っている。令和2年度後期からは全1年生を対象に全学必修共通教育科目「AI概論」を開始した。さらに、</t>
    </r>
    <r>
      <rPr>
        <u/>
        <sz val="12"/>
        <rFont val="ＭＳ Ｐゴシック"/>
        <family val="3"/>
        <charset val="128"/>
        <scheme val="minor"/>
      </rPr>
      <t>研究所の運営事項の審議のためにＡＩ応用研究所運営委員会を設置</t>
    </r>
    <r>
      <rPr>
        <sz val="12"/>
        <rFont val="ＭＳ Ｐゴシック"/>
        <family val="3"/>
        <charset val="128"/>
        <scheme val="minor"/>
      </rPr>
      <t>し、AI教育プログラムを策定・改善するために</t>
    </r>
    <r>
      <rPr>
        <u/>
        <sz val="12"/>
        <rFont val="ＭＳ Ｐゴシック"/>
        <family val="3"/>
        <charset val="128"/>
        <scheme val="minor"/>
      </rPr>
      <t>教育内容や実施方法などについて地域産業界へのヒアリング</t>
    </r>
    <r>
      <rPr>
        <sz val="12"/>
        <rFont val="ＭＳ Ｐゴシック"/>
        <family val="3"/>
        <charset val="128"/>
        <scheme val="minor"/>
      </rPr>
      <t>も行いながら具体的な見直しを行う等、自己点検・評価を行う。このような体制により本学における</t>
    </r>
    <r>
      <rPr>
        <u/>
        <sz val="12"/>
        <rFont val="ＭＳ Ｐゴシック"/>
        <family val="3"/>
        <charset val="128"/>
        <scheme val="minor"/>
      </rPr>
      <t>全学的AI教育プログラムの開発・実施・改善・深化を図っている</t>
    </r>
    <r>
      <rPr>
        <sz val="12"/>
        <rFont val="ＭＳ Ｐゴシック"/>
        <family val="3"/>
        <charset val="128"/>
        <scheme val="minor"/>
      </rPr>
      <t>。</t>
    </r>
  </si>
  <si>
    <t>http://aail.kurume-it.ac.jp/education/#ai-program</t>
    <phoneticPr fontId="1"/>
  </si>
  <si>
    <r>
      <t>　本授業科目は全学共通必修科目として開講しており、本学1年生は全員が受講しなければならない。従って、後輩学生や他の学生への推奨度を直接的に確認するためのアンケートは実施していない。しかしながら、AI応用研究所は教務課が実施する授業アンケートに加え、</t>
    </r>
    <r>
      <rPr>
        <u/>
        <sz val="12"/>
        <rFont val="ＭＳ Ｐゴシック"/>
        <family val="3"/>
        <charset val="128"/>
        <scheme val="minor"/>
      </rPr>
      <t>授業の難易度、分量、負担感などを主観評価する学生アンケートを独自に実施</t>
    </r>
    <r>
      <rPr>
        <sz val="12"/>
        <rFont val="ＭＳ Ｐゴシック"/>
        <family val="3"/>
        <charset val="128"/>
        <scheme val="minor"/>
      </rPr>
      <t>しており、「必修でなくても本教育プログラムを受講するか」という質問への回答結果から、</t>
    </r>
    <r>
      <rPr>
        <u/>
        <sz val="12"/>
        <rFont val="ＭＳ Ｐゴシック"/>
        <family val="3"/>
        <charset val="128"/>
        <scheme val="minor"/>
      </rPr>
      <t>授業に対する学生の満足度（他の学生への推奨度）を推し量ることはできる</t>
    </r>
    <r>
      <rPr>
        <sz val="12"/>
        <rFont val="ＭＳ Ｐゴシック"/>
        <family val="3"/>
        <charset val="128"/>
        <scheme val="minor"/>
      </rPr>
      <t>。本教育プログラムの情報は本学発行広報誌「久工大ニュース」やホームページで周知し、学修へのモチベーションを高める工夫をしている。</t>
    </r>
    <rPh sb="1" eb="2">
      <t>ホン</t>
    </rPh>
    <rPh sb="2" eb="4">
      <t>ジュギョウ</t>
    </rPh>
    <rPh sb="4" eb="6">
      <t>カモク</t>
    </rPh>
    <rPh sb="7" eb="9">
      <t>ゼンガク</t>
    </rPh>
    <rPh sb="9" eb="11">
      <t>キョウツウ</t>
    </rPh>
    <rPh sb="11" eb="13">
      <t>ヒッシュウ</t>
    </rPh>
    <rPh sb="13" eb="15">
      <t>カモク</t>
    </rPh>
    <rPh sb="18" eb="20">
      <t>カイコウ</t>
    </rPh>
    <rPh sb="25" eb="27">
      <t>ホンガク</t>
    </rPh>
    <rPh sb="28" eb="30">
      <t>ネンセイ</t>
    </rPh>
    <rPh sb="31" eb="33">
      <t>ゼンイン</t>
    </rPh>
    <rPh sb="34" eb="36">
      <t>ジュコウ</t>
    </rPh>
    <rPh sb="46" eb="47">
      <t>シタガ</t>
    </rPh>
    <rPh sb="63" eb="64">
      <t>ド</t>
    </rPh>
    <rPh sb="65" eb="67">
      <t>チョクセツ</t>
    </rPh>
    <rPh sb="67" eb="68">
      <t>テキ</t>
    </rPh>
    <rPh sb="69" eb="71">
      <t>カクニン</t>
    </rPh>
    <rPh sb="82" eb="84">
      <t>ジッシ</t>
    </rPh>
    <rPh sb="99" eb="101">
      <t>オウヨウ</t>
    </rPh>
    <rPh sb="101" eb="103">
      <t>ケンキュウ</t>
    </rPh>
    <rPh sb="103" eb="104">
      <t>ショ</t>
    </rPh>
    <rPh sb="105" eb="108">
      <t>キョウムカ</t>
    </rPh>
    <rPh sb="109" eb="111">
      <t>ジッシ</t>
    </rPh>
    <rPh sb="113" eb="115">
      <t>ジュギョウ</t>
    </rPh>
    <rPh sb="121" eb="122">
      <t>クワ</t>
    </rPh>
    <rPh sb="146" eb="148">
      <t>ガクセイ</t>
    </rPh>
    <rPh sb="154" eb="156">
      <t>ドクジ</t>
    </rPh>
    <rPh sb="157" eb="159">
      <t>ジッシ</t>
    </rPh>
    <rPh sb="165" eb="167">
      <t>ヒッシュウ</t>
    </rPh>
    <rPh sb="172" eb="173">
      <t>ホン</t>
    </rPh>
    <rPh sb="173" eb="175">
      <t>キョウイク</t>
    </rPh>
    <rPh sb="181" eb="183">
      <t>ジュコウ</t>
    </rPh>
    <rPh sb="190" eb="192">
      <t>シツモン</t>
    </rPh>
    <rPh sb="194" eb="196">
      <t>カイトウ</t>
    </rPh>
    <rPh sb="196" eb="198">
      <t>ケッカ</t>
    </rPh>
    <rPh sb="201" eb="203">
      <t>ジュギョウ</t>
    </rPh>
    <rPh sb="204" eb="205">
      <t>タイ</t>
    </rPh>
    <rPh sb="207" eb="209">
      <t>ガクセイ</t>
    </rPh>
    <rPh sb="210" eb="213">
      <t>マンゾクド</t>
    </rPh>
    <rPh sb="214" eb="215">
      <t>タ</t>
    </rPh>
    <rPh sb="216" eb="218">
      <t>ガクセイ</t>
    </rPh>
    <rPh sb="220" eb="222">
      <t>スイショウ</t>
    </rPh>
    <rPh sb="222" eb="223">
      <t>ド</t>
    </rPh>
    <rPh sb="225" eb="226">
      <t>オ</t>
    </rPh>
    <rPh sb="227" eb="228">
      <t>ハカ</t>
    </rPh>
    <rPh sb="237" eb="239">
      <t>キョウイク</t>
    </rPh>
    <rPh sb="248" eb="250">
      <t>ホンガク</t>
    </rPh>
    <rPh sb="250" eb="252">
      <t>ハッコウ</t>
    </rPh>
    <phoneticPr fontId="1"/>
  </si>
  <si>
    <r>
      <rPr>
        <u/>
        <sz val="12"/>
        <rFont val="ＭＳ Ｐゴシック"/>
        <family val="3"/>
        <charset val="128"/>
        <scheme val="minor"/>
      </rPr>
      <t>「地域課題解決型AI教育プログラム（リテラシー）」</t>
    </r>
    <r>
      <rPr>
        <sz val="12"/>
        <rFont val="ＭＳ Ｐゴシック"/>
        <family val="3"/>
        <charset val="128"/>
        <scheme val="minor"/>
      </rPr>
      <t>は</t>
    </r>
    <r>
      <rPr>
        <u/>
        <sz val="12"/>
        <rFont val="ＭＳ Ｐゴシック"/>
        <family val="3"/>
        <charset val="128"/>
        <scheme val="minor"/>
      </rPr>
      <t>地方小規模工業大学による「地域に根ざしたAI教育プログラム」</t>
    </r>
    <r>
      <rPr>
        <sz val="12"/>
        <rFont val="ＭＳ Ｐゴシック"/>
        <family val="3"/>
        <charset val="128"/>
        <scheme val="minor"/>
      </rPr>
      <t>である。低学年次に、AI・数理データサイエンス技術による地域課題解決プロジェクトやインターンシップに参加できる基礎力・実践力を育成する。
[わかりやすさ]
オンライン動画（遠隔）とプログラミング演習（対面）を隔週で繰り返す授業形態をとり、受講者は</t>
    </r>
    <r>
      <rPr>
        <u/>
        <sz val="12"/>
        <rFont val="ＭＳ Ｐゴシック"/>
        <family val="3"/>
        <charset val="128"/>
        <scheme val="minor"/>
      </rPr>
      <t>学習管理システム（LMS：Moodle）</t>
    </r>
    <r>
      <rPr>
        <sz val="12"/>
        <rFont val="ＭＳ Ｐゴシック"/>
        <family val="3"/>
        <charset val="128"/>
        <scheme val="minor"/>
      </rPr>
      <t>から講義動画をいつでも視聴できる。</t>
    </r>
    <r>
      <rPr>
        <u/>
        <sz val="12"/>
        <rFont val="ＭＳ Ｐゴシック"/>
        <family val="3"/>
        <charset val="128"/>
        <scheme val="minor"/>
      </rPr>
      <t>プログラミング初学者も予習・復習をしやすい個別最適化した学習環境を提供</t>
    </r>
    <r>
      <rPr>
        <sz val="12"/>
        <rFont val="ＭＳ Ｐゴシック"/>
        <family val="3"/>
        <charset val="128"/>
        <scheme val="minor"/>
      </rPr>
      <t>した。
[学習意欲が高まる内容]
座学にとどまらず、</t>
    </r>
    <r>
      <rPr>
        <u/>
        <sz val="12"/>
        <rFont val="ＭＳ Ｐゴシック"/>
        <family val="3"/>
        <charset val="128"/>
        <scheme val="minor"/>
      </rPr>
      <t>学生必携PCによる社会課題解決を志向した実践型プログラミング教育</t>
    </r>
    <r>
      <rPr>
        <sz val="12"/>
        <rFont val="ＭＳ Ｐゴシック"/>
        <family val="3"/>
        <charset val="128"/>
        <scheme val="minor"/>
      </rPr>
      <t>である。1年後期の「AI概論」では</t>
    </r>
    <r>
      <rPr>
        <u/>
        <sz val="12"/>
        <rFont val="ＭＳ Ｐゴシック"/>
        <family val="3"/>
        <charset val="128"/>
        <scheme val="minor"/>
      </rPr>
      <t>機械学習の基本的な流れまでをプログラミングで学ぶ</t>
    </r>
    <r>
      <rPr>
        <sz val="12"/>
        <rFont val="ＭＳ Ｐゴシック"/>
        <family val="3"/>
        <charset val="128"/>
        <scheme val="minor"/>
      </rPr>
      <t>。2年次3年次にかけて、演習型プログラミング教育、インターンシップ、</t>
    </r>
    <r>
      <rPr>
        <u/>
        <sz val="12"/>
        <rFont val="ＭＳ Ｐゴシック"/>
        <family val="3"/>
        <charset val="128"/>
        <scheme val="minor"/>
      </rPr>
      <t>地域社会課題の解決へと進む一連のカリキュラム体系の中で豊富な実践的プログラミング演習を盛り込んでいる</t>
    </r>
    <r>
      <rPr>
        <sz val="12"/>
        <rFont val="ＭＳ Ｐゴシック"/>
        <family val="3"/>
        <charset val="128"/>
        <scheme val="minor"/>
      </rPr>
      <t>。
[学生の習熟度や専門性を踏まえた学習内容]
「AI概論」では、学生の興味関心を引き出すため、例えば、機械やロボットのAI制御、自動運転、交通量予測、工事現場映像のAI解析、教育へのAI応用など、</t>
    </r>
    <r>
      <rPr>
        <u/>
        <sz val="12"/>
        <rFont val="ＭＳ Ｐゴシック"/>
        <family val="3"/>
        <charset val="128"/>
        <scheme val="minor"/>
      </rPr>
      <t>5学科（機械・交通・建築・情報・教育）の専門性に直結した例を挙げてデータ・AI利用技術</t>
    </r>
    <r>
      <rPr>
        <sz val="12"/>
        <rFont val="ＭＳ Ｐゴシック"/>
        <family val="3"/>
        <charset val="128"/>
        <scheme val="minor"/>
      </rPr>
      <t>について学ぶ。
[学生の習熟度や専門性に応じた授業選択]
「AI概論」は学科・専門別少人数教育をしており、続く「AI活用演習」では「AI概論」の成績により学科混成選抜クラスを設けている。同選抜クラスでは、</t>
    </r>
    <r>
      <rPr>
        <u/>
        <sz val="12"/>
        <rFont val="ＭＳ Ｐゴシック"/>
        <family val="3"/>
        <charset val="128"/>
        <scheme val="minor"/>
      </rPr>
      <t>地域社会人と協働でAIによる地域課題解決型学習に取組み、海外協定校と国際交流</t>
    </r>
    <r>
      <rPr>
        <sz val="12"/>
        <rFont val="ＭＳ Ｐゴシック"/>
        <family val="3"/>
        <charset val="128"/>
        <scheme val="minor"/>
      </rPr>
      <t>も行い、</t>
    </r>
    <r>
      <rPr>
        <u/>
        <sz val="12"/>
        <rFont val="ＭＳ Ｐゴシック"/>
        <family val="3"/>
        <charset val="128"/>
        <scheme val="minor"/>
      </rPr>
      <t>AI教育・研究、地域課題解決の牽引役となる学生を育成</t>
    </r>
    <r>
      <rPr>
        <sz val="12"/>
        <rFont val="ＭＳ Ｐゴシック"/>
        <family val="3"/>
        <charset val="128"/>
        <scheme val="minor"/>
      </rPr>
      <t>する。一方、ICTスキルが不十分な学生は</t>
    </r>
    <r>
      <rPr>
        <u/>
        <sz val="12"/>
        <rFont val="ＭＳ Ｐゴシック"/>
        <family val="3"/>
        <charset val="128"/>
        <scheme val="minor"/>
      </rPr>
      <t>夏期集中AI・DS・ICT基礎講座を受講できる</t>
    </r>
    <r>
      <rPr>
        <sz val="12"/>
        <rFont val="ＭＳ Ｐゴシック"/>
        <family val="3"/>
        <charset val="128"/>
        <scheme val="minor"/>
      </rPr>
      <t xml:space="preserve">。
</t>
    </r>
    <rPh sb="69" eb="71">
      <t>スウリ</t>
    </rPh>
    <rPh sb="119" eb="121">
      <t>イクセイ</t>
    </rPh>
    <rPh sb="180" eb="182">
      <t>ガクシュウ</t>
    </rPh>
    <rPh sb="182" eb="184">
      <t>カンリ</t>
    </rPh>
    <rPh sb="211" eb="213">
      <t>シチョウ</t>
    </rPh>
    <rPh sb="238" eb="243">
      <t>コベツサイテキカ</t>
    </rPh>
    <rPh sb="245" eb="247">
      <t>ガクシュウ</t>
    </rPh>
    <rPh sb="247" eb="249">
      <t>カンキョウ</t>
    </rPh>
    <rPh sb="250" eb="252">
      <t>テイキョウ</t>
    </rPh>
    <rPh sb="328" eb="332">
      <t>キカイガクシュウ</t>
    </rPh>
    <rPh sb="333" eb="336">
      <t>キホンテキ</t>
    </rPh>
    <rPh sb="337" eb="338">
      <t>ナガ</t>
    </rPh>
    <rPh sb="350" eb="351">
      <t>マナ</t>
    </rPh>
    <rPh sb="411" eb="412">
      <t>ナカ</t>
    </rPh>
    <rPh sb="583" eb="584">
      <t>マナ</t>
    </rPh>
    <rPh sb="619" eb="621">
      <t>センモン</t>
    </rPh>
    <rPh sb="621" eb="622">
      <t>ベツ</t>
    </rPh>
    <rPh sb="622" eb="625">
      <t>ショウニンズウ</t>
    </rPh>
    <rPh sb="625" eb="627">
      <t>キョウイク</t>
    </rPh>
    <rPh sb="633" eb="634">
      <t>ツヅ</t>
    </rPh>
    <rPh sb="657" eb="659">
      <t>ガッカ</t>
    </rPh>
    <rPh sb="659" eb="661">
      <t>コンセイ</t>
    </rPh>
    <rPh sb="661" eb="663">
      <t>センバツ</t>
    </rPh>
    <rPh sb="667" eb="668">
      <t>モウ</t>
    </rPh>
    <rPh sb="673" eb="674">
      <t>ドウ</t>
    </rPh>
    <rPh sb="674" eb="676">
      <t>センバツ</t>
    </rPh>
    <rPh sb="682" eb="684">
      <t>チイキ</t>
    </rPh>
    <rPh sb="684" eb="687">
      <t>シャカイジン</t>
    </rPh>
    <rPh sb="688" eb="690">
      <t>キョウドウ</t>
    </rPh>
    <rPh sb="702" eb="703">
      <t>ガタ</t>
    </rPh>
    <rPh sb="703" eb="705">
      <t>ガクシュウ</t>
    </rPh>
    <rPh sb="710" eb="712">
      <t>カイガイ</t>
    </rPh>
    <rPh sb="712" eb="714">
      <t>キョウテイ</t>
    </rPh>
    <rPh sb="714" eb="715">
      <t>コウ</t>
    </rPh>
    <rPh sb="716" eb="718">
      <t>コクサイ</t>
    </rPh>
    <rPh sb="718" eb="720">
      <t>コウリュウ</t>
    </rPh>
    <rPh sb="721" eb="722">
      <t>オコナ</t>
    </rPh>
    <rPh sb="753" eb="755">
      <t>イッポウ</t>
    </rPh>
    <rPh sb="763" eb="766">
      <t>フジュウブン</t>
    </rPh>
    <rPh sb="767" eb="769">
      <t>ガクセイ</t>
    </rPh>
    <rPh sb="770" eb="772">
      <t>カキ</t>
    </rPh>
    <rPh sb="772" eb="774">
      <t>シュウチュウ</t>
    </rPh>
    <rPh sb="783" eb="785">
      <t>キソ</t>
    </rPh>
    <rPh sb="785" eb="787">
      <t>コウザ</t>
    </rPh>
    <rPh sb="788" eb="790">
      <t>ジュコウ</t>
    </rPh>
    <phoneticPr fontId="1"/>
  </si>
  <si>
    <r>
      <t xml:space="preserve">[地域・産業界との連携によるAIを用いた課題解決型学習の実施］
</t>
    </r>
    <r>
      <rPr>
        <u/>
        <sz val="12"/>
        <rFont val="ＭＳ Ｐゴシック"/>
        <family val="3"/>
        <charset val="128"/>
        <scheme val="minor"/>
      </rPr>
      <t>例1：地域の文化、伝統の継承発展に繋がる地域課題解決</t>
    </r>
    <r>
      <rPr>
        <sz val="12"/>
        <rFont val="ＭＳ Ｐゴシック"/>
        <family val="3"/>
        <charset val="128"/>
        <scheme val="minor"/>
      </rPr>
      <t>　
久留米絣（福岡県南部の筑後地方一帯で製造されている絣）に関する課題解決
　　・AIの画像分類技術により、久留米絣の風合いに対する統一的な基準を決めたい
　　・AIの近未来予測により、久留米絣の数分後の柄のずれを事前に予測したい
例</t>
    </r>
    <r>
      <rPr>
        <u/>
        <sz val="12"/>
        <rFont val="ＭＳ Ｐゴシック"/>
        <family val="3"/>
        <charset val="128"/>
        <scheme val="minor"/>
      </rPr>
      <t>2：AI技術の応用による地域特別支援学校の課題解決</t>
    </r>
    <r>
      <rPr>
        <sz val="12"/>
        <rFont val="ＭＳ Ｐゴシック"/>
        <family val="3"/>
        <charset val="128"/>
        <scheme val="minor"/>
      </rPr>
      <t xml:space="preserve">
　　・学習者の表情認識、骨格認識、視線抽出から、集中度、理解度、満足度を抽出したい
</t>
    </r>
    <r>
      <rPr>
        <u/>
        <sz val="12"/>
        <rFont val="ＭＳ Ｐゴシック"/>
        <family val="3"/>
        <charset val="128"/>
        <scheme val="minor"/>
      </rPr>
      <t>例3：美容室における課題解決　（ビジネス）</t>
    </r>
    <r>
      <rPr>
        <sz val="12"/>
        <rFont val="ＭＳ Ｐゴシック"/>
        <family val="3"/>
        <charset val="128"/>
        <scheme val="minor"/>
      </rPr>
      <t xml:space="preserve">
　・AIの個人認証による無人受付、実データを用いた売上予測をしたい　
</t>
    </r>
    <r>
      <rPr>
        <u/>
        <sz val="12"/>
        <rFont val="ＭＳ Ｐゴシック"/>
        <family val="3"/>
        <charset val="128"/>
        <scheme val="minor"/>
      </rPr>
      <t>例4:有明のりの等級判定</t>
    </r>
    <r>
      <rPr>
        <sz val="12"/>
        <rFont val="ＭＳ Ｐゴシック"/>
        <family val="3"/>
        <charset val="128"/>
        <scheme val="minor"/>
      </rPr>
      <t xml:space="preserve">
　・有明のりの等級をAIで判定したい
[産業界との連携：講演・インターンシップの実施]
　「AI概論」で、</t>
    </r>
    <r>
      <rPr>
        <u/>
        <sz val="12"/>
        <rFont val="ＭＳ Ｐゴシック"/>
        <family val="3"/>
        <charset val="128"/>
        <scheme val="minor"/>
      </rPr>
      <t>地域社会人が講演</t>
    </r>
    <r>
      <rPr>
        <sz val="12"/>
        <rFont val="ＭＳ Ｐゴシック"/>
        <family val="3"/>
        <charset val="128"/>
        <scheme val="minor"/>
      </rPr>
      <t>し、</t>
    </r>
    <r>
      <rPr>
        <u/>
        <sz val="12"/>
        <rFont val="ＭＳ Ｐゴシック"/>
        <family val="3"/>
        <charset val="128"/>
        <scheme val="minor"/>
      </rPr>
      <t>実際の現場でのAIやDSの活用技術</t>
    </r>
    <r>
      <rPr>
        <sz val="12"/>
        <rFont val="ＭＳ Ｐゴシック"/>
        <family val="3"/>
        <charset val="128"/>
        <scheme val="minor"/>
      </rPr>
      <t>について学んだ。また、授業</t>
    </r>
    <r>
      <rPr>
        <u/>
        <sz val="12"/>
        <rFont val="ＭＳ Ｐゴシック"/>
        <family val="3"/>
        <charset val="128"/>
        <scheme val="minor"/>
      </rPr>
      <t>での学びと直結した内容のインターンシップを産業界と連携企画</t>
    </r>
    <r>
      <rPr>
        <sz val="12"/>
        <rFont val="ＭＳ Ｐゴシック"/>
        <family val="3"/>
        <charset val="128"/>
        <scheme val="minor"/>
      </rPr>
      <t>し、「AI概論」を受講した学生2名が参加した。
[本教育プログラムの産業界からの評価]
　地域産業界に協力を依頼し、本教育プログラムを評価いただいた。同プログラムは、</t>
    </r>
    <r>
      <rPr>
        <u/>
        <sz val="12"/>
        <rFont val="ＭＳ Ｐゴシック"/>
        <family val="3"/>
        <charset val="128"/>
        <scheme val="minor"/>
      </rPr>
      <t>地域社会・産業界における具体的課題の抽出と解決を志向した産学連携型の実践的なAI人材育成プログラムとして地域企業から高く評価</t>
    </r>
    <r>
      <rPr>
        <sz val="12"/>
        <rFont val="ＭＳ Ｐゴシック"/>
        <family val="3"/>
        <charset val="128"/>
        <scheme val="minor"/>
      </rPr>
      <t>された。AI応用研究所教育支援部門では、地域産業界の新たなニーズに応えることのできるAI人材の育成を目指し、地元企業と連携した</t>
    </r>
    <r>
      <rPr>
        <u/>
        <sz val="12"/>
        <rFont val="ＭＳ Ｐゴシック"/>
        <family val="3"/>
        <charset val="128"/>
        <scheme val="minor"/>
      </rPr>
      <t>教育プログラムの改善に努めている</t>
    </r>
    <r>
      <rPr>
        <sz val="12"/>
        <rFont val="ＭＳ Ｐゴシック"/>
        <family val="3"/>
        <charset val="128"/>
        <scheme val="minor"/>
      </rPr>
      <t>。　
[海外大学等との連携]
　地域課題解決型学習は、海外の大学と連携している。英語で</t>
    </r>
    <r>
      <rPr>
        <u/>
        <sz val="12"/>
        <rFont val="ＭＳ Ｐゴシック"/>
        <family val="3"/>
        <charset val="128"/>
        <scheme val="minor"/>
      </rPr>
      <t>のディスカッション、成果発表会を通して、地域社会におけるAI活用とその問題点について、グローバルな視野から考える機会を提供する</t>
    </r>
    <r>
      <rPr>
        <sz val="12"/>
        <rFont val="ＭＳ Ｐゴシック"/>
        <family val="3"/>
        <charset val="128"/>
        <scheme val="minor"/>
      </rPr>
      <t xml:space="preserve">。
</t>
    </r>
    <rPh sb="4" eb="7">
      <t>サンギョウカイ</t>
    </rPh>
    <rPh sb="9" eb="11">
      <t>レンケイ</t>
    </rPh>
    <rPh sb="20" eb="22">
      <t>カダイ</t>
    </rPh>
    <rPh sb="22" eb="24">
      <t>カイケツ</t>
    </rPh>
    <rPh sb="24" eb="25">
      <t>ガタ</t>
    </rPh>
    <rPh sb="25" eb="27">
      <t>ガクシュウ</t>
    </rPh>
    <rPh sb="28" eb="30">
      <t>ジッシ</t>
    </rPh>
    <rPh sb="174" eb="175">
      <t>レイ</t>
    </rPh>
    <rPh sb="187" eb="189">
      <t>チイキ</t>
    </rPh>
    <rPh sb="189" eb="191">
      <t>トクベツ</t>
    </rPh>
    <rPh sb="191" eb="195">
      <t>シエンガッコウ</t>
    </rPh>
    <rPh sb="210" eb="212">
      <t>ニンシキ</t>
    </rPh>
    <rPh sb="213" eb="217">
      <t>コッカクニンシキ</t>
    </rPh>
    <rPh sb="218" eb="220">
      <t>シセン</t>
    </rPh>
    <rPh sb="220" eb="222">
      <t>チュウシュツ</t>
    </rPh>
    <rPh sb="229" eb="232">
      <t>リカイド</t>
    </rPh>
    <rPh sb="233" eb="236">
      <t>マンゾクド</t>
    </rPh>
    <rPh sb="237" eb="239">
      <t>チュウシュツ</t>
    </rPh>
    <rPh sb="282" eb="283">
      <t>ジツ</t>
    </rPh>
    <rPh sb="287" eb="288">
      <t>モチ</t>
    </rPh>
    <rPh sb="290" eb="292">
      <t>ウリアゲ</t>
    </rPh>
    <rPh sb="292" eb="294">
      <t>ヨソク</t>
    </rPh>
    <rPh sb="334" eb="337">
      <t>サンギョウカイ</t>
    </rPh>
    <rPh sb="339" eb="341">
      <t>レンケイ</t>
    </rPh>
    <rPh sb="342" eb="344">
      <t>コウエン</t>
    </rPh>
    <rPh sb="354" eb="356">
      <t>ジッシ</t>
    </rPh>
    <rPh sb="367" eb="369">
      <t>チイキ</t>
    </rPh>
    <rPh sb="369" eb="372">
      <t>シャカイジン</t>
    </rPh>
    <rPh sb="373" eb="375">
      <t>コウエン</t>
    </rPh>
    <rPh sb="392" eb="394">
      <t>ギジュツ</t>
    </rPh>
    <rPh sb="398" eb="399">
      <t>マナ</t>
    </rPh>
    <rPh sb="405" eb="407">
      <t>ジュギョウ</t>
    </rPh>
    <rPh sb="409" eb="410">
      <t>マナ</t>
    </rPh>
    <rPh sb="412" eb="414">
      <t>チョッケツ</t>
    </rPh>
    <rPh sb="416" eb="418">
      <t>ナイヨウ</t>
    </rPh>
    <rPh sb="428" eb="431">
      <t>サンギョウカイ</t>
    </rPh>
    <rPh sb="432" eb="434">
      <t>レンケイ</t>
    </rPh>
    <rPh sb="434" eb="436">
      <t>キカク</t>
    </rPh>
    <rPh sb="445" eb="447">
      <t>ジュコウ</t>
    </rPh>
    <rPh sb="449" eb="451">
      <t>ガクセイ</t>
    </rPh>
    <rPh sb="452" eb="453">
      <t>メイ</t>
    </rPh>
    <rPh sb="454" eb="456">
      <t>サンカ</t>
    </rPh>
    <rPh sb="462" eb="463">
      <t>ホン</t>
    </rPh>
    <rPh sb="463" eb="465">
      <t>キョウイク</t>
    </rPh>
    <rPh sb="471" eb="474">
      <t>サンギョウカイ</t>
    </rPh>
    <rPh sb="477" eb="479">
      <t>ヒョウカ</t>
    </rPh>
    <rPh sb="482" eb="484">
      <t>チイキ</t>
    </rPh>
    <rPh sb="484" eb="487">
      <t>サンギョウカイ</t>
    </rPh>
    <rPh sb="488" eb="490">
      <t>キョウリョク</t>
    </rPh>
    <rPh sb="491" eb="493">
      <t>イライ</t>
    </rPh>
    <rPh sb="495" eb="496">
      <t>ホン</t>
    </rPh>
    <rPh sb="496" eb="498">
      <t>キョウイク</t>
    </rPh>
    <rPh sb="504" eb="506">
      <t>ヒョウカ</t>
    </rPh>
    <rPh sb="512" eb="513">
      <t>ドウ</t>
    </rPh>
    <rPh sb="572" eb="574">
      <t>チイキ</t>
    </rPh>
    <rPh sb="678" eb="680">
      <t>チイキ</t>
    </rPh>
    <rPh sb="684" eb="685">
      <t>ガタ</t>
    </rPh>
    <rPh sb="685" eb="687">
      <t>ガクシュウ</t>
    </rPh>
    <rPh sb="689" eb="691">
      <t>カイガイ</t>
    </rPh>
    <rPh sb="692" eb="694">
      <t>ダイガク</t>
    </rPh>
    <rPh sb="695" eb="697">
      <t>レンケイ</t>
    </rPh>
    <rPh sb="702" eb="704">
      <t>エイゴ</t>
    </rPh>
    <rPh sb="715" eb="720">
      <t>セイカハッピョウカイ</t>
    </rPh>
    <rPh sb="721" eb="722">
      <t>トオ</t>
    </rPh>
    <phoneticPr fontId="1"/>
  </si>
  <si>
    <t>https://www.kurume-it.ac.jp/daigaku/pdf/jikotenken_r2.pdf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</si>
</sst>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1"/>
      <name val="ＭＳ Ｐゴシック"/>
      <family val="3"/>
      <charset val="128"/>
      <scheme val="minor"/>
    </font>
    <font>
      <u/>
      <sz val="12"/>
      <color theme="1"/>
      <name val="ＭＳ Ｐゴシック"/>
      <family val="3"/>
      <charset val="128"/>
      <scheme val="minor"/>
    </font>
    <font>
      <u/>
      <sz val="12"/>
      <name val="ＭＳ Ｐゴシック"/>
      <family val="3"/>
      <charset val="128"/>
      <scheme val="minor"/>
    </font>
    <font>
      <sz val="8"/>
      <color rgb="FFFF0000"/>
      <name val="ＭＳ Ｐゴシック"/>
      <family val="3"/>
      <charset val="128"/>
      <scheme val="minor"/>
    </font>
    <font>
      <sz val="9"/>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93">
    <xf numFmtId="0" fontId="0" fillId="0" borderId="0" xfId="0">
      <alignment vertical="center"/>
    </xf>
    <xf numFmtId="0" fontId="9" fillId="0" borderId="0" xfId="0" applyFont="1" applyAlignment="1">
      <alignment vertical="center"/>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9" fillId="0" borderId="0" xfId="0" applyFont="1" applyFill="1">
      <alignment vertical="center"/>
    </xf>
    <xf numFmtId="0" fontId="9" fillId="0" borderId="0" xfId="0" applyFont="1" applyAlignment="1">
      <alignment horizontal="center" vertical="center"/>
    </xf>
    <xf numFmtId="0" fontId="2" fillId="0" borderId="2" xfId="0" applyFont="1" applyFill="1" applyBorder="1" applyAlignment="1">
      <alignment horizontal="center" vertical="center" shrinkToFit="1"/>
    </xf>
    <xf numFmtId="0" fontId="10" fillId="0" borderId="0" xfId="0" applyFont="1" applyFill="1">
      <alignment vertical="center"/>
    </xf>
    <xf numFmtId="0" fontId="9" fillId="0" borderId="0" xfId="0" applyFont="1" applyFill="1" applyAlignment="1">
      <alignment vertical="center"/>
    </xf>
    <xf numFmtId="0" fontId="9" fillId="0" borderId="0" xfId="0" applyFont="1" applyFill="1" applyAlignment="1">
      <alignment horizontal="left" vertical="center"/>
    </xf>
    <xf numFmtId="0" fontId="9" fillId="0" borderId="0" xfId="0" applyFont="1" applyFill="1" applyBorder="1" applyAlignment="1">
      <alignment vertical="center" shrinkToFit="1"/>
    </xf>
    <xf numFmtId="0" fontId="9" fillId="0" borderId="0" xfId="0" applyFont="1" applyFill="1" applyBorder="1" applyAlignment="1">
      <alignment vertical="center"/>
    </xf>
    <xf numFmtId="0" fontId="9" fillId="0" borderId="10" xfId="0" applyFont="1" applyFill="1" applyBorder="1" applyAlignment="1">
      <alignment vertical="center"/>
    </xf>
    <xf numFmtId="0" fontId="9" fillId="0" borderId="10" xfId="0" applyFont="1" applyFill="1" applyBorder="1" applyAlignment="1">
      <alignment vertical="center" shrinkToFit="1"/>
    </xf>
    <xf numFmtId="0" fontId="9" fillId="0" borderId="5" xfId="0" applyFont="1" applyFill="1" applyBorder="1">
      <alignment vertical="center"/>
    </xf>
    <xf numFmtId="176" fontId="9" fillId="0" borderId="0" xfId="0" applyNumberFormat="1" applyFont="1" applyFill="1" applyBorder="1" applyAlignment="1">
      <alignment vertical="center" wrapText="1"/>
    </xf>
    <xf numFmtId="0" fontId="9" fillId="0" borderId="0" xfId="0" applyFont="1" applyFill="1" applyBorder="1">
      <alignment vertical="center"/>
    </xf>
    <xf numFmtId="176" fontId="9" fillId="0" borderId="5" xfId="0" applyNumberFormat="1" applyFont="1" applyFill="1" applyBorder="1" applyAlignment="1">
      <alignment vertical="center"/>
    </xf>
    <xf numFmtId="176" fontId="9" fillId="0" borderId="0" xfId="0" applyNumberFormat="1" applyFont="1" applyFill="1" applyBorder="1">
      <alignment vertical="center"/>
    </xf>
    <xf numFmtId="0" fontId="9" fillId="0" borderId="0" xfId="0" applyFont="1" applyFill="1" applyBorder="1" applyAlignment="1">
      <alignment horizontal="center" vertical="center"/>
    </xf>
    <xf numFmtId="176" fontId="9" fillId="0" borderId="0" xfId="0" applyNumberFormat="1" applyFont="1" applyFill="1" applyAlignment="1">
      <alignment vertical="center" wrapText="1"/>
    </xf>
    <xf numFmtId="0" fontId="9" fillId="0" borderId="0" xfId="0" applyFont="1" applyFill="1" applyAlignment="1">
      <alignment horizontal="center" vertical="center"/>
    </xf>
    <xf numFmtId="176" fontId="9" fillId="0" borderId="3" xfId="0" applyNumberFormat="1" applyFont="1" applyFill="1" applyBorder="1" applyAlignment="1">
      <alignment vertical="center" shrinkToFit="1"/>
    </xf>
    <xf numFmtId="176" fontId="9" fillId="0" borderId="0" xfId="0" applyNumberFormat="1" applyFont="1" applyFill="1" applyAlignment="1">
      <alignment horizontal="left" vertical="center" wrapText="1"/>
    </xf>
    <xf numFmtId="0" fontId="9" fillId="0" borderId="6" xfId="0" applyFont="1" applyFill="1" applyBorder="1" applyAlignment="1">
      <alignment vertical="center" shrinkToFit="1"/>
    </xf>
    <xf numFmtId="0" fontId="9" fillId="0" borderId="0" xfId="0" applyFont="1" applyFill="1" applyBorder="1" applyAlignment="1">
      <alignment horizontal="center" vertical="center" shrinkToFit="1"/>
    </xf>
    <xf numFmtId="0" fontId="9" fillId="0" borderId="1" xfId="0" applyFont="1" applyFill="1" applyBorder="1">
      <alignment vertical="center"/>
    </xf>
    <xf numFmtId="0" fontId="9" fillId="0" borderId="2" xfId="0" applyFont="1" applyFill="1" applyBorder="1">
      <alignment vertical="center"/>
    </xf>
    <xf numFmtId="0" fontId="9" fillId="0" borderId="4" xfId="0" applyFont="1" applyFill="1" applyBorder="1">
      <alignment vertical="center"/>
    </xf>
    <xf numFmtId="0" fontId="10" fillId="0" borderId="0" xfId="0" applyFont="1" applyFill="1" applyAlignment="1">
      <alignment horizontal="right" vertical="center"/>
    </xf>
    <xf numFmtId="0" fontId="9" fillId="0" borderId="0" xfId="0" applyFont="1" applyFill="1" applyAlignment="1">
      <alignment horizontal="right" vertical="center"/>
    </xf>
    <xf numFmtId="0" fontId="9" fillId="0" borderId="1" xfId="0" applyFont="1" applyFill="1" applyBorder="1" applyAlignment="1">
      <alignment vertical="center" shrinkToFit="1"/>
    </xf>
    <xf numFmtId="0" fontId="2" fillId="0" borderId="0" xfId="0" applyFont="1" applyFill="1">
      <alignment vertical="center"/>
    </xf>
    <xf numFmtId="0" fontId="3" fillId="0" borderId="0" xfId="0" applyFont="1" applyFill="1" applyAlignment="1">
      <alignment vertical="center" shrinkToFit="1"/>
    </xf>
    <xf numFmtId="0" fontId="3" fillId="0" borderId="0" xfId="0" applyFont="1" applyFill="1" applyAlignment="1">
      <alignment vertical="center"/>
    </xf>
    <xf numFmtId="0" fontId="3" fillId="0" borderId="0" xfId="0" applyFont="1" applyFill="1" applyAlignment="1">
      <alignment horizontal="center" vertical="center"/>
    </xf>
    <xf numFmtId="0" fontId="16" fillId="0" borderId="0" xfId="0" applyFont="1" applyFill="1">
      <alignment vertical="center"/>
    </xf>
    <xf numFmtId="0" fontId="11" fillId="0" borderId="11" xfId="0" applyFont="1" applyFill="1" applyBorder="1" applyAlignment="1">
      <alignment horizontal="center" vertical="center"/>
    </xf>
    <xf numFmtId="0" fontId="11" fillId="0" borderId="31" xfId="0" applyFont="1" applyFill="1" applyBorder="1" applyAlignment="1">
      <alignment horizontal="center" vertical="center" wrapText="1"/>
    </xf>
    <xf numFmtId="0" fontId="11" fillId="0" borderId="32" xfId="0" applyFont="1" applyFill="1" applyBorder="1" applyAlignment="1">
      <alignment horizontal="center" vertical="center"/>
    </xf>
    <xf numFmtId="0" fontId="11" fillId="0" borderId="12" xfId="0" applyFont="1" applyFill="1" applyBorder="1" applyAlignment="1">
      <alignment horizontal="center" vertical="center" wrapText="1"/>
    </xf>
    <xf numFmtId="0" fontId="3" fillId="0" borderId="0" xfId="0" applyFont="1" applyFill="1" applyBorder="1" applyAlignment="1">
      <alignment vertical="center" shrinkToFit="1"/>
    </xf>
    <xf numFmtId="0" fontId="3" fillId="0" borderId="5" xfId="0"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14" xfId="0" applyNumberFormat="1" applyFont="1" applyFill="1" applyBorder="1" applyAlignment="1">
      <alignment vertical="center" shrinkToFit="1"/>
    </xf>
    <xf numFmtId="9" fontId="3" fillId="0" borderId="10" xfId="0" applyNumberFormat="1" applyFont="1" applyFill="1" applyBorder="1" applyAlignment="1">
      <alignment vertical="center" shrinkToFit="1"/>
    </xf>
    <xf numFmtId="0" fontId="3" fillId="0" borderId="20" xfId="0" applyFont="1" applyFill="1" applyBorder="1" applyAlignment="1">
      <alignment vertical="center" shrinkToFit="1"/>
    </xf>
    <xf numFmtId="176" fontId="3" fillId="0" borderId="20" xfId="0" applyNumberFormat="1" applyFont="1" applyFill="1" applyBorder="1" applyAlignment="1">
      <alignment vertical="center" shrinkToFit="1"/>
    </xf>
    <xf numFmtId="176" fontId="3" fillId="0" borderId="35" xfId="0" applyNumberFormat="1" applyFont="1" applyFill="1" applyBorder="1" applyAlignment="1">
      <alignment vertical="center" shrinkToFit="1"/>
    </xf>
    <xf numFmtId="176" fontId="3" fillId="0" borderId="36"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25" xfId="0" applyNumberFormat="1" applyFont="1" applyFill="1" applyBorder="1" applyAlignment="1">
      <alignment vertical="center" shrinkToFit="1"/>
    </xf>
    <xf numFmtId="176" fontId="3" fillId="0" borderId="26" xfId="0" applyNumberFormat="1" applyFont="1" applyFill="1" applyBorder="1" applyAlignment="1">
      <alignment vertical="center" shrinkToFit="1"/>
    </xf>
    <xf numFmtId="0" fontId="3" fillId="0" borderId="27" xfId="0" applyFont="1" applyFill="1" applyBorder="1" applyAlignment="1">
      <alignment vertical="center" shrinkToFit="1"/>
    </xf>
    <xf numFmtId="176" fontId="3" fillId="0" borderId="27" xfId="0" applyNumberFormat="1" applyFont="1" applyFill="1" applyBorder="1" applyAlignment="1">
      <alignment vertical="center" shrinkToFit="1"/>
    </xf>
    <xf numFmtId="176" fontId="3" fillId="0" borderId="37" xfId="0" applyNumberFormat="1" applyFont="1" applyFill="1" applyBorder="1" applyAlignment="1">
      <alignment vertical="center" shrinkToFit="1"/>
    </xf>
    <xf numFmtId="176" fontId="3" fillId="0" borderId="38" xfId="0" applyNumberFormat="1" applyFont="1" applyFill="1" applyBorder="1" applyAlignment="1">
      <alignment vertical="center" shrinkToFit="1"/>
    </xf>
    <xf numFmtId="176" fontId="3" fillId="0" borderId="29" xfId="0" applyNumberFormat="1" applyFont="1" applyFill="1" applyBorder="1" applyAlignment="1">
      <alignment vertical="center" shrinkToFit="1"/>
    </xf>
    <xf numFmtId="176" fontId="3" fillId="0" borderId="30" xfId="0" applyNumberFormat="1" applyFont="1" applyFill="1" applyBorder="1" applyAlignment="1">
      <alignment vertical="center" shrinkToFit="1"/>
    </xf>
    <xf numFmtId="9" fontId="3" fillId="0" borderId="29" xfId="0" applyNumberFormat="1" applyFont="1" applyFill="1" applyBorder="1" applyAlignment="1">
      <alignment vertical="center" shrinkToFit="1"/>
    </xf>
    <xf numFmtId="176" fontId="5" fillId="0" borderId="0" xfId="0" applyNumberFormat="1" applyFont="1" applyFill="1" applyBorder="1" applyAlignment="1">
      <alignment vertical="center" shrinkToFit="1"/>
    </xf>
    <xf numFmtId="0" fontId="2" fillId="0" borderId="0" xfId="0" applyFont="1" applyFill="1" applyAlignment="1">
      <alignment horizontal="right" vertical="center"/>
    </xf>
    <xf numFmtId="0" fontId="2" fillId="0" borderId="0" xfId="0" applyFont="1" applyFill="1" applyAlignment="1">
      <alignment horizontal="center" vertical="center"/>
    </xf>
    <xf numFmtId="0" fontId="2" fillId="0" borderId="2" xfId="0" applyFont="1" applyFill="1" applyBorder="1" applyAlignment="1">
      <alignment vertical="center" shrinkToFit="1"/>
    </xf>
    <xf numFmtId="0" fontId="20" fillId="0" borderId="0" xfId="0" applyFont="1" applyFill="1" applyAlignment="1">
      <alignment horizontal="center" vertical="center"/>
    </xf>
    <xf numFmtId="0" fontId="2" fillId="0" borderId="11" xfId="0" applyFont="1" applyFill="1" applyBorder="1" applyAlignment="1">
      <alignment horizontal="center" vertical="center"/>
    </xf>
    <xf numFmtId="0" fontId="10" fillId="0" borderId="2" xfId="0" applyFont="1" applyFill="1" applyBorder="1" applyAlignment="1">
      <alignment horizontal="center" vertical="center" shrinkToFit="1"/>
    </xf>
    <xf numFmtId="0" fontId="9" fillId="0" borderId="2" xfId="0" applyFont="1" applyFill="1" applyBorder="1" applyAlignment="1">
      <alignment horizontal="center" vertical="center" shrinkToFit="1"/>
    </xf>
    <xf numFmtId="0" fontId="2" fillId="0" borderId="1" xfId="0" applyFont="1" applyFill="1" applyBorder="1" applyAlignment="1">
      <alignment vertical="center" wrapText="1"/>
    </xf>
    <xf numFmtId="0" fontId="4" fillId="0" borderId="0" xfId="0" applyFont="1" applyFill="1">
      <alignment vertical="center"/>
    </xf>
    <xf numFmtId="0" fontId="2" fillId="0" borderId="0" xfId="0" applyFont="1" applyFill="1" applyBorder="1" applyAlignment="1">
      <alignment vertical="center"/>
    </xf>
    <xf numFmtId="0" fontId="3" fillId="0" borderId="0" xfId="0" applyFont="1" applyFill="1" applyBorder="1" applyAlignment="1">
      <alignment vertical="top" wrapText="1"/>
    </xf>
    <xf numFmtId="0" fontId="3" fillId="0" borderId="0" xfId="0" applyFont="1" applyFill="1">
      <alignment vertical="center"/>
    </xf>
    <xf numFmtId="0" fontId="3" fillId="0" borderId="0" xfId="0" applyFont="1" applyFill="1" applyBorder="1" applyAlignment="1">
      <alignment vertical="center" wrapText="1"/>
    </xf>
    <xf numFmtId="0" fontId="21" fillId="0" borderId="0" xfId="0" applyFont="1" applyFill="1" applyBorder="1" applyAlignment="1">
      <alignment vertical="top" wrapText="1"/>
    </xf>
    <xf numFmtId="0" fontId="2" fillId="0" borderId="0" xfId="0" applyFont="1" applyFill="1" applyBorder="1" applyAlignment="1">
      <alignment vertical="center" wrapText="1"/>
    </xf>
    <xf numFmtId="0" fontId="4" fillId="0" borderId="0" xfId="0" applyFont="1" applyFill="1" applyBorder="1" applyAlignment="1">
      <alignment vertical="top" shrinkToFit="1"/>
    </xf>
    <xf numFmtId="0" fontId="4" fillId="0" borderId="0" xfId="0" applyFont="1" applyFill="1" applyBorder="1" applyAlignment="1">
      <alignment vertical="center" wrapText="1"/>
    </xf>
    <xf numFmtId="0" fontId="4" fillId="0" borderId="0" xfId="0" applyFont="1" applyFill="1" applyAlignment="1">
      <alignment vertical="top" wrapText="1"/>
    </xf>
    <xf numFmtId="0" fontId="5" fillId="0" borderId="0" xfId="0" applyFont="1" applyFill="1" applyAlignment="1">
      <alignment vertical="top" wrapText="1"/>
    </xf>
    <xf numFmtId="0" fontId="2" fillId="0" borderId="5" xfId="0" applyFont="1" applyFill="1" applyBorder="1">
      <alignment vertical="center"/>
    </xf>
    <xf numFmtId="0" fontId="4" fillId="0" borderId="10" xfId="0" applyFont="1" applyFill="1" applyBorder="1" applyAlignment="1">
      <alignment vertical="top" wrapText="1"/>
    </xf>
    <xf numFmtId="0" fontId="2" fillId="0" borderId="0" xfId="0" applyFont="1" applyFill="1" applyBorder="1">
      <alignment vertical="center"/>
    </xf>
    <xf numFmtId="0" fontId="5" fillId="0" borderId="10" xfId="0" applyFont="1" applyFill="1" applyBorder="1" applyAlignment="1">
      <alignment vertical="top" wrapText="1"/>
    </xf>
    <xf numFmtId="0" fontId="4" fillId="0" borderId="5" xfId="0" applyFont="1" applyFill="1" applyBorder="1" applyAlignment="1">
      <alignment vertical="top" wrapText="1"/>
    </xf>
    <xf numFmtId="0" fontId="2" fillId="0" borderId="17" xfId="0" applyFont="1" applyFill="1" applyBorder="1">
      <alignment vertical="center"/>
    </xf>
    <xf numFmtId="0" fontId="4" fillId="0" borderId="21" xfId="0" applyFont="1" applyFill="1" applyBorder="1" applyAlignment="1">
      <alignment vertical="top" wrapText="1"/>
    </xf>
    <xf numFmtId="0" fontId="4" fillId="0" borderId="19" xfId="0" applyFont="1" applyFill="1" applyBorder="1" applyAlignment="1">
      <alignment vertical="top" wrapText="1"/>
    </xf>
    <xf numFmtId="0" fontId="14" fillId="0" borderId="21" xfId="0" applyFont="1" applyFill="1" applyBorder="1" applyAlignment="1">
      <alignment vertical="top" shrinkToFit="1"/>
    </xf>
    <xf numFmtId="0" fontId="14" fillId="0" borderId="19" xfId="0" applyFont="1" applyFill="1" applyBorder="1" applyAlignment="1">
      <alignment vertical="top" shrinkToFit="1"/>
    </xf>
    <xf numFmtId="0" fontId="12" fillId="0" borderId="0" xfId="0" applyFont="1" applyFill="1">
      <alignment vertical="center"/>
    </xf>
    <xf numFmtId="0" fontId="3" fillId="0" borderId="0" xfId="0" applyFont="1" applyFill="1" applyAlignment="1">
      <alignment vertical="center" wrapText="1"/>
    </xf>
    <xf numFmtId="0" fontId="15" fillId="0" borderId="0" xfId="2" applyNumberFormat="1" applyFont="1" applyFill="1" applyBorder="1" applyAlignment="1">
      <alignment vertical="center" shrinkToFit="1"/>
    </xf>
    <xf numFmtId="0" fontId="14" fillId="0" borderId="0" xfId="0" applyFont="1" applyFill="1" applyBorder="1" applyAlignment="1">
      <alignment vertical="center" shrinkToFit="1"/>
    </xf>
    <xf numFmtId="0" fontId="14" fillId="0" borderId="10" xfId="0" applyFont="1" applyFill="1" applyBorder="1" applyAlignment="1">
      <alignment vertical="center" shrinkToFit="1"/>
    </xf>
    <xf numFmtId="0" fontId="2" fillId="0" borderId="0" xfId="0" applyFont="1" applyFill="1" applyBorder="1" applyAlignment="1">
      <alignment vertical="top" wrapText="1"/>
    </xf>
    <xf numFmtId="0" fontId="10" fillId="0" borderId="1" xfId="0" applyFont="1" applyFill="1" applyBorder="1" applyAlignment="1">
      <alignment vertical="center" wrapText="1"/>
    </xf>
    <xf numFmtId="0" fontId="17" fillId="0" borderId="0" xfId="0" applyFont="1">
      <alignment vertical="center"/>
    </xf>
    <xf numFmtId="0" fontId="9" fillId="0" borderId="0" xfId="0" applyFont="1">
      <alignment vertical="center"/>
    </xf>
    <xf numFmtId="0" fontId="9" fillId="0" borderId="0" xfId="0" applyFont="1" applyAlignment="1">
      <alignment horizontal="right" vertical="center"/>
    </xf>
    <xf numFmtId="0" fontId="17" fillId="0" borderId="0" xfId="0" applyFont="1" applyAlignment="1">
      <alignment vertical="top"/>
    </xf>
    <xf numFmtId="0" fontId="9" fillId="0" borderId="0" xfId="0" applyFont="1" applyFill="1" applyBorder="1" applyAlignment="1">
      <alignment vertical="center" shrinkToFit="1"/>
    </xf>
    <xf numFmtId="176" fontId="9" fillId="0" borderId="2" xfId="0" applyNumberFormat="1" applyFont="1" applyFill="1" applyBorder="1" applyAlignment="1">
      <alignment horizontal="center" vertical="center" shrinkToFit="1"/>
    </xf>
    <xf numFmtId="176" fontId="9" fillId="0" borderId="4" xfId="0" applyNumberFormat="1" applyFont="1" applyFill="1" applyBorder="1" applyAlignment="1">
      <alignment horizontal="center" vertical="center" shrinkToFi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9" fillId="0" borderId="0"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0" xfId="0" applyFont="1" applyFill="1" applyBorder="1" applyAlignment="1">
      <alignment horizontal="right" vertical="center" shrinkToFit="1"/>
    </xf>
    <xf numFmtId="0" fontId="9" fillId="0" borderId="5" xfId="0" applyFont="1" applyFill="1" applyBorder="1" applyAlignment="1">
      <alignment horizontal="right" vertical="center" shrinkToFit="1"/>
    </xf>
    <xf numFmtId="0" fontId="9" fillId="0" borderId="10" xfId="0" applyFont="1" applyFill="1" applyBorder="1" applyAlignment="1">
      <alignment horizontal="right" vertical="center" shrinkToFit="1"/>
    </xf>
    <xf numFmtId="0" fontId="10" fillId="0" borderId="0" xfId="0" applyFont="1" applyFill="1" applyAlignment="1">
      <alignment horizontal="right" vertical="center"/>
    </xf>
    <xf numFmtId="0" fontId="9" fillId="0" borderId="0" xfId="0" applyFont="1" applyFill="1" applyBorder="1" applyAlignment="1">
      <alignment horizontal="right" vertical="center"/>
    </xf>
    <xf numFmtId="0" fontId="9" fillId="0" borderId="10" xfId="0" applyFont="1" applyFill="1" applyBorder="1" applyAlignment="1">
      <alignment horizontal="right" vertical="center"/>
    </xf>
    <xf numFmtId="176" fontId="9" fillId="0" borderId="3" xfId="0" applyNumberFormat="1" applyFont="1" applyFill="1" applyBorder="1" applyAlignment="1">
      <alignment horizontal="center" vertical="center" shrinkToFit="1"/>
    </xf>
    <xf numFmtId="0" fontId="9" fillId="0" borderId="0" xfId="0" applyFont="1" applyFill="1" applyBorder="1" applyAlignment="1">
      <alignment horizontal="center" vertical="center" shrinkToFit="1"/>
    </xf>
    <xf numFmtId="0" fontId="9" fillId="0" borderId="0" xfId="0" applyFont="1" applyFill="1" applyAlignment="1">
      <alignment horizontal="center" vertical="center"/>
    </xf>
    <xf numFmtId="0" fontId="9" fillId="0" borderId="2" xfId="0" applyFont="1"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49" fontId="17" fillId="0" borderId="2" xfId="2" applyNumberFormat="1" applyFont="1" applyFill="1" applyBorder="1" applyAlignment="1">
      <alignment vertical="center" shrinkToFit="1"/>
    </xf>
    <xf numFmtId="49" fontId="9" fillId="0" borderId="3" xfId="0" applyNumberFormat="1" applyFont="1" applyFill="1" applyBorder="1" applyAlignment="1">
      <alignment vertical="center" shrinkToFit="1"/>
    </xf>
    <xf numFmtId="49" fontId="9" fillId="0" borderId="4" xfId="0" applyNumberFormat="1" applyFont="1" applyFill="1" applyBorder="1" applyAlignment="1">
      <alignment vertical="center" shrinkToFit="1"/>
    </xf>
    <xf numFmtId="49" fontId="9" fillId="0" borderId="2" xfId="1" applyNumberFormat="1" applyFont="1" applyFill="1" applyBorder="1" applyAlignment="1">
      <alignment horizontal="center" vertical="center" shrinkToFit="1"/>
    </xf>
    <xf numFmtId="49" fontId="9" fillId="0" borderId="3" xfId="1" applyNumberFormat="1" applyFont="1" applyFill="1" applyBorder="1" applyAlignment="1">
      <alignment horizontal="center" vertical="center" shrinkToFit="1"/>
    </xf>
    <xf numFmtId="49" fontId="9" fillId="0" borderId="4" xfId="1" applyNumberFormat="1" applyFont="1" applyFill="1" applyBorder="1" applyAlignment="1">
      <alignment horizontal="center" vertical="center" shrinkToFit="1"/>
    </xf>
    <xf numFmtId="0" fontId="13" fillId="0" borderId="2" xfId="0" applyFont="1" applyFill="1" applyBorder="1" applyAlignment="1">
      <alignment vertical="center" shrinkToFit="1"/>
    </xf>
    <xf numFmtId="0" fontId="13" fillId="0" borderId="3" xfId="0" applyFont="1" applyFill="1" applyBorder="1" applyAlignment="1">
      <alignment vertical="center" shrinkToFit="1"/>
    </xf>
    <xf numFmtId="0" fontId="13" fillId="0" borderId="4" xfId="0" applyFont="1" applyFill="1" applyBorder="1" applyAlignment="1">
      <alignment vertical="center" shrinkToFit="1"/>
    </xf>
    <xf numFmtId="0" fontId="9" fillId="0" borderId="7" xfId="0" applyFont="1" applyFill="1" applyBorder="1" applyAlignment="1">
      <alignment vertical="top" wrapText="1"/>
    </xf>
    <xf numFmtId="0" fontId="9" fillId="0" borderId="8" xfId="0" applyFont="1" applyFill="1" applyBorder="1" applyAlignment="1">
      <alignment vertical="top" wrapText="1"/>
    </xf>
    <xf numFmtId="0" fontId="9" fillId="0" borderId="9" xfId="0" applyFont="1" applyFill="1" applyBorder="1" applyAlignment="1">
      <alignment vertical="top" wrapText="1"/>
    </xf>
    <xf numFmtId="0" fontId="9" fillId="0" borderId="5" xfId="0" applyFont="1" applyFill="1" applyBorder="1" applyAlignment="1">
      <alignment vertical="top" wrapText="1"/>
    </xf>
    <xf numFmtId="0" fontId="9" fillId="0" borderId="0" xfId="0" applyFont="1" applyFill="1" applyBorder="1" applyAlignment="1">
      <alignment vertical="top" wrapText="1"/>
    </xf>
    <xf numFmtId="0" fontId="9" fillId="0" borderId="10" xfId="0" applyFont="1" applyFill="1" applyBorder="1" applyAlignment="1">
      <alignment vertical="top" wrapText="1"/>
    </xf>
    <xf numFmtId="0" fontId="9" fillId="0" borderId="11" xfId="0" applyFont="1" applyFill="1" applyBorder="1" applyAlignment="1">
      <alignment vertical="top" wrapText="1"/>
    </xf>
    <xf numFmtId="0" fontId="9" fillId="0" borderId="6" xfId="0" applyFont="1" applyFill="1" applyBorder="1" applyAlignment="1">
      <alignment vertical="top" wrapText="1"/>
    </xf>
    <xf numFmtId="0" fontId="9" fillId="0" borderId="12" xfId="0" applyFont="1" applyFill="1" applyBorder="1" applyAlignment="1">
      <alignment vertical="top" wrapText="1"/>
    </xf>
    <xf numFmtId="0" fontId="9" fillId="0" borderId="0" xfId="0" applyFont="1" applyFill="1" applyAlignment="1">
      <alignment vertical="center" shrinkToFi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3" fillId="0" borderId="15" xfId="0" applyFont="1" applyFill="1" applyBorder="1" applyAlignment="1">
      <alignment vertical="center" shrinkToFit="1"/>
    </xf>
    <xf numFmtId="0" fontId="3" fillId="0" borderId="39" xfId="0" applyFont="1" applyFill="1" applyBorder="1" applyAlignment="1">
      <alignment vertical="center" shrinkToFit="1"/>
    </xf>
    <xf numFmtId="0" fontId="3" fillId="0" borderId="27" xfId="0" applyFont="1" applyFill="1" applyBorder="1" applyAlignment="1">
      <alignment horizontal="center" vertical="center" shrinkToFit="1"/>
    </xf>
    <xf numFmtId="0" fontId="3" fillId="0" borderId="28" xfId="0" applyFont="1" applyFill="1" applyBorder="1" applyAlignment="1">
      <alignment horizontal="center" vertical="center" shrinkToFit="1"/>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40" xfId="0" applyFont="1" applyFill="1" applyBorder="1" applyAlignment="1">
      <alignment vertical="center" shrinkToFit="1"/>
    </xf>
    <xf numFmtId="0" fontId="3" fillId="0" borderId="41" xfId="0" applyFont="1" applyFill="1" applyBorder="1" applyAlignment="1">
      <alignment vertical="center" shrinkToFit="1"/>
    </xf>
    <xf numFmtId="0" fontId="2" fillId="0" borderId="0" xfId="0" applyFont="1" applyFill="1" applyAlignment="1">
      <alignment horizontal="right" vertical="center"/>
    </xf>
    <xf numFmtId="0" fontId="8" fillId="0" borderId="7" xfId="0" applyFont="1" applyFill="1" applyBorder="1" applyAlignment="1">
      <alignment horizontal="center" vertical="center" wrapText="1"/>
    </xf>
    <xf numFmtId="0" fontId="8" fillId="0" borderId="11"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39" xfId="0" applyFont="1" applyFill="1" applyBorder="1" applyAlignment="1">
      <alignment horizontal="center" vertical="center"/>
    </xf>
    <xf numFmtId="0" fontId="11" fillId="0" borderId="16" xfId="0" applyFont="1" applyFill="1" applyBorder="1" applyAlignment="1">
      <alignment horizontal="center" vertical="center" wrapText="1"/>
    </xf>
    <xf numFmtId="0" fontId="11" fillId="0" borderId="13"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12" xfId="0" applyFont="1" applyFill="1" applyBorder="1" applyAlignment="1">
      <alignment horizontal="center" vertical="center"/>
    </xf>
    <xf numFmtId="0" fontId="3" fillId="0" borderId="0" xfId="0" applyFont="1" applyFill="1" applyAlignment="1">
      <alignment horizontal="center" vertical="center"/>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9" fillId="0" borderId="2" xfId="0" applyFont="1" applyFill="1" applyBorder="1" applyAlignment="1">
      <alignment horizontal="left" vertical="top" shrinkToFit="1"/>
    </xf>
    <xf numFmtId="0" fontId="9" fillId="0" borderId="3" xfId="0" applyFont="1" applyFill="1" applyBorder="1" applyAlignment="1">
      <alignment horizontal="left" vertical="top" shrinkToFit="1"/>
    </xf>
    <xf numFmtId="0" fontId="9" fillId="0" borderId="4" xfId="0" applyFont="1" applyFill="1" applyBorder="1" applyAlignment="1">
      <alignment horizontal="left" vertical="top" shrinkToFi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3" fillId="0" borderId="16" xfId="0" applyFont="1" applyFill="1" applyBorder="1" applyAlignment="1">
      <alignment vertical="center" wrapText="1"/>
    </xf>
    <xf numFmtId="0" fontId="3" fillId="0" borderId="42" xfId="0" applyFont="1" applyFill="1" applyBorder="1" applyAlignment="1">
      <alignment vertical="center" wrapText="1"/>
    </xf>
    <xf numFmtId="0" fontId="2" fillId="0" borderId="7" xfId="0" applyFont="1" applyFill="1" applyBorder="1" applyAlignment="1">
      <alignment horizontal="left" vertical="top" wrapText="1" shrinkToFit="1"/>
    </xf>
    <xf numFmtId="0" fontId="2" fillId="0" borderId="8" xfId="0" applyFont="1" applyFill="1" applyBorder="1" applyAlignment="1">
      <alignment horizontal="left" vertical="top" shrinkToFit="1"/>
    </xf>
    <xf numFmtId="0" fontId="2" fillId="0" borderId="9" xfId="0" applyFont="1" applyFill="1" applyBorder="1" applyAlignment="1">
      <alignment horizontal="left" vertical="top" shrinkToFit="1"/>
    </xf>
    <xf numFmtId="0" fontId="2" fillId="0" borderId="5" xfId="0" applyFont="1" applyFill="1" applyBorder="1" applyAlignment="1">
      <alignment horizontal="left" vertical="top" shrinkToFit="1"/>
    </xf>
    <xf numFmtId="0" fontId="2" fillId="0" borderId="0" xfId="0" applyFont="1" applyFill="1" applyBorder="1" applyAlignment="1">
      <alignment horizontal="left" vertical="top" shrinkToFit="1"/>
    </xf>
    <xf numFmtId="0" fontId="2" fillId="0" borderId="10" xfId="0" applyFont="1" applyFill="1" applyBorder="1" applyAlignment="1">
      <alignment horizontal="left" vertical="top" shrinkToFit="1"/>
    </xf>
    <xf numFmtId="0" fontId="2" fillId="0" borderId="11" xfId="0" applyFont="1" applyFill="1" applyBorder="1" applyAlignment="1">
      <alignment horizontal="left" vertical="top" shrinkToFit="1"/>
    </xf>
    <xf numFmtId="0" fontId="2" fillId="0" borderId="6" xfId="0" applyFont="1" applyFill="1" applyBorder="1" applyAlignment="1">
      <alignment horizontal="left" vertical="top" shrinkToFit="1"/>
    </xf>
    <xf numFmtId="0" fontId="2" fillId="0" borderId="12" xfId="0" applyFont="1" applyFill="1" applyBorder="1" applyAlignment="1">
      <alignment horizontal="left" vertical="top" shrinkToFit="1"/>
    </xf>
    <xf numFmtId="0" fontId="2" fillId="0" borderId="8" xfId="0" applyFont="1" applyFill="1" applyBorder="1" applyAlignment="1">
      <alignment horizontal="left" vertical="top" wrapText="1" shrinkToFit="1"/>
    </xf>
    <xf numFmtId="0" fontId="2" fillId="0" borderId="9" xfId="0" applyFont="1" applyFill="1" applyBorder="1" applyAlignment="1">
      <alignment horizontal="left" vertical="top" wrapText="1" shrinkToFit="1"/>
    </xf>
    <xf numFmtId="0" fontId="2" fillId="0" borderId="5" xfId="0" applyFont="1" applyFill="1" applyBorder="1" applyAlignment="1">
      <alignment horizontal="left" vertical="top" wrapText="1" shrinkToFit="1"/>
    </xf>
    <xf numFmtId="0" fontId="2" fillId="0" borderId="0" xfId="0" applyFont="1" applyFill="1" applyBorder="1" applyAlignment="1">
      <alignment horizontal="left" vertical="top" wrapText="1" shrinkToFit="1"/>
    </xf>
    <xf numFmtId="0" fontId="2" fillId="0" borderId="10" xfId="0" applyFont="1" applyFill="1" applyBorder="1" applyAlignment="1">
      <alignment horizontal="left" vertical="top" wrapText="1" shrinkToFit="1"/>
    </xf>
    <xf numFmtId="0" fontId="2" fillId="0" borderId="11" xfId="0" applyFont="1" applyFill="1" applyBorder="1" applyAlignment="1">
      <alignment horizontal="left" vertical="top" wrapText="1" shrinkToFit="1"/>
    </xf>
    <xf numFmtId="0" fontId="2" fillId="0" borderId="6" xfId="0" applyFont="1" applyFill="1" applyBorder="1" applyAlignment="1">
      <alignment horizontal="left" vertical="top" wrapText="1" shrinkToFit="1"/>
    </xf>
    <xf numFmtId="0" fontId="2" fillId="0" borderId="12" xfId="0" applyFont="1" applyFill="1" applyBorder="1" applyAlignment="1">
      <alignment horizontal="left" vertical="top" wrapText="1" shrinkToFit="1"/>
    </xf>
    <xf numFmtId="0" fontId="3" fillId="0" borderId="13" xfId="0" applyFont="1" applyFill="1" applyBorder="1" applyAlignment="1">
      <alignment vertical="center" wrapText="1"/>
    </xf>
    <xf numFmtId="0" fontId="2" fillId="0" borderId="2" xfId="0" applyFont="1" applyFill="1" applyBorder="1" applyAlignment="1">
      <alignment horizontal="left" vertical="top" shrinkToFit="1"/>
    </xf>
    <xf numFmtId="0" fontId="2" fillId="0" borderId="3" xfId="0" applyFont="1" applyFill="1" applyBorder="1" applyAlignment="1">
      <alignment horizontal="left" vertical="top" shrinkToFit="1"/>
    </xf>
    <xf numFmtId="0" fontId="2" fillId="0" borderId="4" xfId="0" applyFont="1" applyFill="1" applyBorder="1" applyAlignment="1">
      <alignment horizontal="left" vertical="top" shrinkToFit="1"/>
    </xf>
    <xf numFmtId="0" fontId="2" fillId="0" borderId="16" xfId="0" applyFont="1" applyFill="1" applyBorder="1" applyAlignment="1">
      <alignment horizontal="center" vertical="center" shrinkToFit="1"/>
    </xf>
    <xf numFmtId="0" fontId="2" fillId="0" borderId="13" xfId="0" applyFont="1" applyFill="1" applyBorder="1" applyAlignment="1">
      <alignment horizontal="center" vertical="center" shrinkToFit="1"/>
    </xf>
    <xf numFmtId="0" fontId="2" fillId="0" borderId="0" xfId="0" applyFont="1" applyFill="1" applyAlignment="1">
      <alignment horizontal="center" vertical="center"/>
    </xf>
    <xf numFmtId="0" fontId="10" fillId="0" borderId="7" xfId="0" applyFont="1" applyFill="1" applyBorder="1" applyAlignment="1">
      <alignment horizontal="left" vertical="top" wrapText="1"/>
    </xf>
    <xf numFmtId="0" fontId="9" fillId="0" borderId="8" xfId="0" applyFont="1" applyFill="1" applyBorder="1" applyAlignment="1">
      <alignment horizontal="left" vertical="top" wrapText="1"/>
    </xf>
    <xf numFmtId="0" fontId="9" fillId="0" borderId="9" xfId="0" applyFont="1" applyFill="1" applyBorder="1" applyAlignment="1">
      <alignment horizontal="left" vertical="top" wrapText="1"/>
    </xf>
    <xf numFmtId="0" fontId="9" fillId="0" borderId="5" xfId="0" applyFont="1" applyFill="1" applyBorder="1" applyAlignment="1">
      <alignment horizontal="left" vertical="top" wrapText="1"/>
    </xf>
    <xf numFmtId="0" fontId="9" fillId="0" borderId="0" xfId="0" applyFont="1" applyFill="1" applyBorder="1" applyAlignment="1">
      <alignment horizontal="left" vertical="top" wrapText="1"/>
    </xf>
    <xf numFmtId="0" fontId="9" fillId="0" borderId="10" xfId="0" applyFont="1" applyFill="1" applyBorder="1" applyAlignment="1">
      <alignment horizontal="left" vertical="top" wrapText="1"/>
    </xf>
    <xf numFmtId="0" fontId="9" fillId="0" borderId="11" xfId="0" applyFont="1" applyFill="1" applyBorder="1" applyAlignment="1">
      <alignment horizontal="left" vertical="top" wrapText="1"/>
    </xf>
    <xf numFmtId="0" fontId="9" fillId="0" borderId="6" xfId="0" applyFont="1" applyFill="1" applyBorder="1" applyAlignment="1">
      <alignment horizontal="left" vertical="top" wrapText="1"/>
    </xf>
    <xf numFmtId="0" fontId="9" fillId="0" borderId="12" xfId="0" applyFont="1" applyFill="1" applyBorder="1" applyAlignment="1">
      <alignment horizontal="left" vertical="top" wrapText="1"/>
    </xf>
    <xf numFmtId="0" fontId="10" fillId="0" borderId="7" xfId="0" applyFont="1" applyFill="1" applyBorder="1" applyAlignment="1">
      <alignment vertical="top" wrapText="1" shrinkToFit="1"/>
    </xf>
    <xf numFmtId="0" fontId="9" fillId="0" borderId="8" xfId="0" applyFont="1" applyFill="1" applyBorder="1" applyAlignment="1">
      <alignment vertical="top" shrinkToFit="1"/>
    </xf>
    <xf numFmtId="0" fontId="9" fillId="0" borderId="9" xfId="0" applyFont="1" applyFill="1" applyBorder="1" applyAlignment="1">
      <alignment vertical="top" shrinkToFit="1"/>
    </xf>
    <xf numFmtId="0" fontId="9" fillId="0" borderId="5" xfId="0" applyFont="1" applyFill="1" applyBorder="1" applyAlignment="1">
      <alignment vertical="top" shrinkToFit="1"/>
    </xf>
    <xf numFmtId="0" fontId="9" fillId="0" borderId="0" xfId="0" applyFont="1" applyFill="1" applyBorder="1" applyAlignment="1">
      <alignment vertical="top" shrinkToFit="1"/>
    </xf>
    <xf numFmtId="0" fontId="9" fillId="0" borderId="10" xfId="0" applyFont="1" applyFill="1" applyBorder="1" applyAlignment="1">
      <alignment vertical="top" shrinkToFit="1"/>
    </xf>
    <xf numFmtId="0" fontId="9" fillId="0" borderId="11" xfId="0" applyFont="1" applyFill="1" applyBorder="1" applyAlignment="1">
      <alignment vertical="top" shrinkToFit="1"/>
    </xf>
    <xf numFmtId="0" fontId="9" fillId="0" borderId="6" xfId="0" applyFont="1" applyFill="1" applyBorder="1" applyAlignment="1">
      <alignment vertical="top" shrinkToFit="1"/>
    </xf>
    <xf numFmtId="0" fontId="9" fillId="0" borderId="12" xfId="0" applyFont="1" applyFill="1" applyBorder="1" applyAlignment="1">
      <alignment vertical="top" shrinkToFit="1"/>
    </xf>
    <xf numFmtId="0" fontId="7" fillId="0" borderId="2" xfId="2" applyFill="1" applyBorder="1" applyAlignment="1">
      <alignment vertical="center" shrinkToFit="1"/>
    </xf>
    <xf numFmtId="0" fontId="2"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9" fillId="0" borderId="2" xfId="0" applyFont="1" applyFill="1" applyBorder="1" applyAlignment="1">
      <alignment vertical="center" wrapText="1" shrinkToFit="1"/>
    </xf>
    <xf numFmtId="0" fontId="2" fillId="0" borderId="2" xfId="0" applyFont="1" applyFill="1" applyBorder="1" applyAlignment="1">
      <alignment horizontal="left" vertical="center" shrinkToFit="1"/>
    </xf>
    <xf numFmtId="0" fontId="2" fillId="0" borderId="3" xfId="0" applyFont="1" applyFill="1" applyBorder="1" applyAlignment="1">
      <alignment horizontal="left" vertical="center" shrinkToFit="1"/>
    </xf>
    <xf numFmtId="0" fontId="2" fillId="0" borderId="4" xfId="0" applyFont="1" applyFill="1" applyBorder="1" applyAlignment="1">
      <alignment horizontal="left" vertical="center" shrinkToFit="1"/>
    </xf>
    <xf numFmtId="0" fontId="9" fillId="0" borderId="2" xfId="0" applyFont="1" applyFill="1" applyBorder="1" applyAlignment="1">
      <alignment horizontal="left" vertical="center" shrinkToFit="1"/>
    </xf>
    <xf numFmtId="0" fontId="9" fillId="0" borderId="3" xfId="0" applyFont="1" applyFill="1" applyBorder="1" applyAlignment="1">
      <alignment horizontal="left" vertical="center" shrinkToFit="1"/>
    </xf>
    <xf numFmtId="0" fontId="9" fillId="0" borderId="4" xfId="0" applyFont="1" applyFill="1" applyBorder="1" applyAlignment="1">
      <alignment horizontal="left" vertical="center" shrinkToFit="1"/>
    </xf>
    <xf numFmtId="0" fontId="9" fillId="0" borderId="7" xfId="0" applyFont="1" applyFill="1" applyBorder="1" applyAlignment="1">
      <alignment vertical="top" wrapText="1" shrinkToFit="1"/>
    </xf>
    <xf numFmtId="0" fontId="2" fillId="0" borderId="6" xfId="0" applyFont="1" applyFill="1" applyBorder="1" applyAlignment="1">
      <alignment vertical="center"/>
    </xf>
    <xf numFmtId="0" fontId="2" fillId="0" borderId="0" xfId="0" applyFont="1" applyFill="1" applyAlignment="1">
      <alignment vertical="center" shrinkToFit="1"/>
    </xf>
    <xf numFmtId="0" fontId="9" fillId="0" borderId="8" xfId="0" applyFont="1" applyFill="1" applyBorder="1" applyAlignment="1">
      <alignment vertical="top" wrapText="1" shrinkToFit="1"/>
    </xf>
    <xf numFmtId="0" fontId="9" fillId="0" borderId="9" xfId="0" applyFont="1" applyFill="1" applyBorder="1" applyAlignment="1">
      <alignment vertical="top" wrapText="1" shrinkToFit="1"/>
    </xf>
    <xf numFmtId="0" fontId="9" fillId="0" borderId="5" xfId="0" applyFont="1" applyFill="1" applyBorder="1" applyAlignment="1">
      <alignment vertical="top" wrapText="1" shrinkToFit="1"/>
    </xf>
    <xf numFmtId="0" fontId="9" fillId="0" borderId="0" xfId="0" applyFont="1" applyFill="1" applyBorder="1" applyAlignment="1">
      <alignment vertical="top" wrapText="1" shrinkToFit="1"/>
    </xf>
    <xf numFmtId="0" fontId="9" fillId="0" borderId="10" xfId="0" applyFont="1" applyFill="1" applyBorder="1" applyAlignment="1">
      <alignment vertical="top" wrapText="1" shrinkToFit="1"/>
    </xf>
    <xf numFmtId="0" fontId="9" fillId="0" borderId="11" xfId="0" applyFont="1" applyFill="1" applyBorder="1" applyAlignment="1">
      <alignment vertical="top" wrapText="1" shrinkToFit="1"/>
    </xf>
    <xf numFmtId="0" fontId="9" fillId="0" borderId="6" xfId="0" applyFont="1" applyFill="1" applyBorder="1" applyAlignment="1">
      <alignment vertical="top" wrapText="1" shrinkToFit="1"/>
    </xf>
    <xf numFmtId="0" fontId="9" fillId="0" borderId="12" xfId="0" applyFont="1" applyFill="1" applyBorder="1" applyAlignment="1">
      <alignment vertical="top" wrapText="1" shrinkToFit="1"/>
    </xf>
    <xf numFmtId="0" fontId="2" fillId="0" borderId="11" xfId="0" applyFont="1" applyFill="1" applyBorder="1" applyAlignment="1">
      <alignment vertical="center" wrapText="1"/>
    </xf>
    <xf numFmtId="0" fontId="2" fillId="0" borderId="6" xfId="0" applyFont="1" applyFill="1" applyBorder="1" applyAlignment="1">
      <alignment vertical="center" wrapText="1"/>
    </xf>
    <xf numFmtId="0" fontId="2" fillId="0" borderId="12" xfId="0" applyFont="1" applyFill="1" applyBorder="1" applyAlignment="1">
      <alignment vertical="center" wrapText="1"/>
    </xf>
    <xf numFmtId="0" fontId="2" fillId="0" borderId="18" xfId="0" applyFont="1" applyFill="1" applyBorder="1" applyAlignment="1">
      <alignment vertical="center"/>
    </xf>
    <xf numFmtId="0" fontId="0" fillId="0" borderId="19" xfId="0" applyFill="1" applyBorder="1" applyAlignment="1">
      <alignment vertical="center"/>
    </xf>
    <xf numFmtId="0" fontId="2" fillId="0" borderId="18" xfId="0" applyFont="1" applyFill="1" applyBorder="1" applyAlignment="1">
      <alignment vertical="center" wrapText="1"/>
    </xf>
    <xf numFmtId="0" fontId="2" fillId="0" borderId="19" xfId="0" applyFont="1" applyFill="1" applyBorder="1" applyAlignment="1">
      <alignment vertical="center" wrapText="1"/>
    </xf>
    <xf numFmtId="0" fontId="9" fillId="0" borderId="21" xfId="0" applyFont="1" applyFill="1" applyBorder="1" applyAlignment="1">
      <alignment vertical="top" wrapText="1" shrinkToFit="1"/>
    </xf>
    <xf numFmtId="0" fontId="9" fillId="0" borderId="19" xfId="0" applyFont="1" applyFill="1" applyBorder="1" applyAlignment="1">
      <alignment vertical="top" wrapText="1" shrinkToFit="1"/>
    </xf>
    <xf numFmtId="0" fontId="2" fillId="0" borderId="22" xfId="0" applyFont="1" applyFill="1" applyBorder="1" applyAlignment="1">
      <alignment vertical="center" wrapText="1"/>
    </xf>
    <xf numFmtId="0" fontId="2" fillId="0" borderId="23" xfId="0" applyFont="1" applyFill="1" applyBorder="1" applyAlignment="1">
      <alignment vertical="center" wrapText="1"/>
    </xf>
    <xf numFmtId="0" fontId="9" fillId="0" borderId="24" xfId="0" applyFont="1" applyFill="1" applyBorder="1" applyAlignment="1">
      <alignment vertical="top" wrapText="1" shrinkToFit="1"/>
    </xf>
    <xf numFmtId="0" fontId="9" fillId="0" borderId="23" xfId="0" applyFont="1" applyFill="1" applyBorder="1" applyAlignment="1">
      <alignment vertical="top" wrapText="1" shrinkToFit="1"/>
    </xf>
    <xf numFmtId="0" fontId="2" fillId="0" borderId="20" xfId="0" applyFont="1" applyFill="1" applyBorder="1" applyAlignment="1">
      <alignment vertical="center" wrapText="1"/>
    </xf>
    <xf numFmtId="0" fontId="2" fillId="0" borderId="21" xfId="0" applyFont="1" applyFill="1" applyBorder="1" applyAlignment="1">
      <alignment vertical="center" wrapText="1"/>
    </xf>
    <xf numFmtId="0" fontId="13" fillId="0" borderId="21" xfId="0" applyFont="1" applyFill="1" applyBorder="1" applyAlignment="1">
      <alignment vertical="top" wrapText="1" shrinkToFit="1"/>
    </xf>
    <xf numFmtId="0" fontId="13" fillId="0" borderId="19" xfId="0" applyFont="1" applyFill="1" applyBorder="1" applyAlignment="1">
      <alignment vertical="top" wrapText="1" shrinkToFit="1"/>
    </xf>
    <xf numFmtId="0" fontId="7" fillId="0" borderId="2" xfId="2" applyFill="1" applyBorder="1">
      <alignment vertical="center"/>
    </xf>
    <xf numFmtId="0" fontId="0" fillId="0" borderId="3" xfId="0" applyFill="1" applyBorder="1">
      <alignment vertical="center"/>
    </xf>
    <xf numFmtId="0" fontId="0" fillId="0" borderId="4" xfId="0" applyFill="1" applyBorder="1">
      <alignment vertical="center"/>
    </xf>
    <xf numFmtId="0" fontId="9" fillId="0" borderId="20" xfId="0" applyFont="1" applyFill="1" applyBorder="1" applyAlignment="1">
      <alignment vertical="top" wrapText="1" shrinkToFit="1"/>
    </xf>
    <xf numFmtId="0" fontId="4" fillId="0" borderId="0" xfId="0" applyFont="1" applyFill="1" applyAlignment="1">
      <alignment vertical="top" wrapText="1"/>
    </xf>
    <xf numFmtId="0" fontId="5" fillId="0" borderId="0" xfId="0" applyFont="1" applyFill="1" applyAlignment="1">
      <alignment vertical="top" wrapText="1"/>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0" xfId="0" applyFont="1" applyAlignment="1">
      <alignment horizontal="right" vertical="center"/>
    </xf>
    <xf numFmtId="0" fontId="9" fillId="0" borderId="0" xfId="0" applyFont="1" applyAlignment="1">
      <alignment horizontal="center" vertical="center"/>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aail.kurume-it.ac.jp/education/"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urume-it.ac.jp/daigaku/pdf/jikotenken_r2.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zoomScale="95" zoomScaleNormal="95" workbookViewId="0">
      <selection activeCell="A2" sqref="A2:N2"/>
    </sheetView>
  </sheetViews>
  <sheetFormatPr defaultColWidth="9" defaultRowHeight="18.75" customHeight="1" x14ac:dyDescent="0.15"/>
  <cols>
    <col min="1" max="1" width="3.625" style="8" customWidth="1"/>
    <col min="2" max="2" width="12.5" style="8" customWidth="1"/>
    <col min="3" max="8" width="6.125" style="8" customWidth="1"/>
    <col min="9" max="9" width="2.5" style="8" customWidth="1"/>
    <col min="10" max="10" width="10" style="8" customWidth="1"/>
    <col min="11" max="11" width="2.5" style="8" customWidth="1"/>
    <col min="12" max="12" width="7.5" style="8" customWidth="1"/>
    <col min="13" max="13" width="2.5" style="8" customWidth="1"/>
    <col min="14" max="14" width="7.5" style="8" customWidth="1"/>
    <col min="15" max="16384" width="9" style="8"/>
  </cols>
  <sheetData>
    <row r="1" spans="1:14" ht="22.5" customHeight="1" x14ac:dyDescent="0.15">
      <c r="M1" s="118" t="s">
        <v>28</v>
      </c>
      <c r="N1" s="118"/>
    </row>
    <row r="2" spans="1:14" ht="22.5" customHeight="1" x14ac:dyDescent="0.15">
      <c r="A2" s="123" t="s">
        <v>129</v>
      </c>
      <c r="B2" s="123"/>
      <c r="C2" s="123"/>
      <c r="D2" s="123"/>
      <c r="E2" s="123"/>
      <c r="F2" s="123"/>
      <c r="G2" s="123"/>
      <c r="H2" s="123"/>
      <c r="I2" s="123"/>
      <c r="J2" s="123"/>
      <c r="K2" s="123"/>
      <c r="L2" s="123"/>
      <c r="M2" s="123"/>
      <c r="N2" s="123"/>
    </row>
    <row r="3" spans="1:14" ht="22.5" customHeight="1" x14ac:dyDescent="0.15"/>
    <row r="4" spans="1:14" ht="22.5" customHeight="1" x14ac:dyDescent="0.15">
      <c r="A4" s="8" t="s">
        <v>7</v>
      </c>
      <c r="B4" s="9" t="s">
        <v>19</v>
      </c>
      <c r="C4" s="108" t="s">
        <v>130</v>
      </c>
      <c r="D4" s="109"/>
      <c r="E4" s="109"/>
      <c r="F4" s="109"/>
      <c r="G4" s="109"/>
      <c r="H4" s="109"/>
      <c r="I4" s="109"/>
      <c r="J4" s="109"/>
      <c r="K4" s="109"/>
      <c r="L4" s="109"/>
      <c r="M4" s="109"/>
      <c r="N4" s="110"/>
    </row>
    <row r="5" spans="1:14" ht="7.5" customHeight="1" x14ac:dyDescent="0.15">
      <c r="B5" s="9"/>
      <c r="C5" s="9"/>
      <c r="D5" s="9"/>
      <c r="E5" s="10"/>
      <c r="F5" s="11"/>
      <c r="G5" s="11"/>
      <c r="H5" s="11"/>
      <c r="I5" s="11"/>
      <c r="J5" s="11"/>
      <c r="K5" s="11"/>
      <c r="L5" s="11"/>
      <c r="M5" s="11"/>
      <c r="N5" s="11"/>
    </row>
    <row r="6" spans="1:14" ht="22.5" customHeight="1" x14ac:dyDescent="0.15">
      <c r="A6" s="8" t="s">
        <v>54</v>
      </c>
      <c r="B6" s="9" t="s">
        <v>55</v>
      </c>
      <c r="C6" s="9"/>
      <c r="D6" s="108" t="s">
        <v>134</v>
      </c>
      <c r="E6" s="109"/>
      <c r="F6" s="109"/>
      <c r="G6" s="109"/>
      <c r="H6" s="109"/>
      <c r="I6" s="109"/>
      <c r="J6" s="109"/>
      <c r="K6" s="109"/>
      <c r="L6" s="109"/>
      <c r="M6" s="109"/>
      <c r="N6" s="110"/>
    </row>
    <row r="7" spans="1:14" ht="7.5" customHeight="1" x14ac:dyDescent="0.15">
      <c r="B7" s="9"/>
      <c r="C7" s="9"/>
      <c r="D7" s="9"/>
      <c r="E7" s="10"/>
      <c r="F7" s="11"/>
      <c r="G7" s="11"/>
      <c r="H7" s="11"/>
      <c r="I7" s="11"/>
      <c r="J7" s="11"/>
      <c r="K7" s="11"/>
      <c r="L7" s="11"/>
      <c r="M7" s="11"/>
      <c r="N7" s="11"/>
    </row>
    <row r="8" spans="1:14" ht="22.5" customHeight="1" x14ac:dyDescent="0.15">
      <c r="A8" s="12" t="s">
        <v>13</v>
      </c>
      <c r="B8" s="13" t="s">
        <v>56</v>
      </c>
      <c r="C8" s="108" t="s">
        <v>133</v>
      </c>
      <c r="D8" s="109"/>
      <c r="E8" s="110"/>
      <c r="F8" s="11"/>
      <c r="G8" s="122"/>
      <c r="H8" s="122"/>
      <c r="I8" s="122"/>
      <c r="J8" s="11"/>
      <c r="K8" s="11"/>
      <c r="L8" s="11"/>
      <c r="M8" s="11"/>
      <c r="N8" s="11"/>
    </row>
    <row r="9" spans="1:14" ht="7.5" customHeight="1" x14ac:dyDescent="0.15">
      <c r="B9" s="9"/>
      <c r="C9" s="9"/>
      <c r="D9" s="9"/>
      <c r="E9" s="10"/>
      <c r="F9" s="11"/>
      <c r="G9" s="11"/>
      <c r="H9" s="11"/>
      <c r="I9" s="11"/>
      <c r="J9" s="11"/>
      <c r="K9" s="11"/>
      <c r="L9" s="11"/>
      <c r="M9" s="11"/>
      <c r="N9" s="11"/>
    </row>
    <row r="10" spans="1:14" ht="22.5" customHeight="1" x14ac:dyDescent="0.15">
      <c r="A10" s="8" t="s">
        <v>16</v>
      </c>
      <c r="B10" s="9" t="s">
        <v>51</v>
      </c>
      <c r="C10" s="108" t="s">
        <v>131</v>
      </c>
      <c r="D10" s="109"/>
      <c r="E10" s="109"/>
      <c r="F10" s="109"/>
      <c r="G10" s="109"/>
      <c r="H10" s="109"/>
      <c r="I10" s="109"/>
      <c r="J10" s="109"/>
      <c r="K10" s="109"/>
      <c r="L10" s="109"/>
      <c r="M10" s="109"/>
      <c r="N10" s="110"/>
    </row>
    <row r="11" spans="1:14" ht="7.5" customHeight="1" x14ac:dyDescent="0.15">
      <c r="B11" s="9"/>
      <c r="C11" s="9"/>
      <c r="D11" s="9"/>
      <c r="E11" s="10"/>
      <c r="F11" s="11"/>
      <c r="G11" s="11"/>
      <c r="H11" s="11"/>
      <c r="I11" s="11"/>
      <c r="J11" s="11"/>
      <c r="K11" s="11"/>
      <c r="L11" s="11"/>
      <c r="M11" s="11"/>
      <c r="N11" s="11"/>
    </row>
    <row r="12" spans="1:14" ht="22.5" customHeight="1" x14ac:dyDescent="0.15">
      <c r="A12" s="8" t="s">
        <v>14</v>
      </c>
      <c r="B12" s="9" t="s">
        <v>125</v>
      </c>
      <c r="C12" s="9"/>
      <c r="D12" s="9"/>
      <c r="E12" s="11"/>
      <c r="F12" s="14"/>
      <c r="G12" s="124" t="s">
        <v>156</v>
      </c>
      <c r="H12" s="125"/>
      <c r="I12" s="125"/>
      <c r="J12" s="125"/>
      <c r="K12" s="125"/>
      <c r="L12" s="125"/>
      <c r="M12" s="125"/>
      <c r="N12" s="126"/>
    </row>
    <row r="13" spans="1:14" ht="7.5" customHeight="1" x14ac:dyDescent="0.15">
      <c r="B13" s="10"/>
      <c r="C13" s="10"/>
      <c r="D13" s="10"/>
      <c r="E13" s="10"/>
      <c r="F13" s="11"/>
      <c r="G13" s="11"/>
      <c r="H13" s="11"/>
      <c r="I13" s="11"/>
      <c r="J13" s="11"/>
      <c r="K13" s="11"/>
      <c r="L13" s="11"/>
      <c r="M13" s="11"/>
      <c r="N13" s="11"/>
    </row>
    <row r="14" spans="1:14" ht="22.5" customHeight="1" x14ac:dyDescent="0.15">
      <c r="A14" s="8" t="s">
        <v>66</v>
      </c>
      <c r="B14" s="10" t="s">
        <v>67</v>
      </c>
      <c r="C14" s="10"/>
      <c r="D14" s="10"/>
      <c r="E14" s="10"/>
      <c r="F14" s="108" t="s">
        <v>114</v>
      </c>
      <c r="G14" s="109"/>
      <c r="H14" s="110"/>
      <c r="I14" s="11"/>
      <c r="J14" s="11"/>
      <c r="K14" s="11"/>
      <c r="L14" s="11"/>
      <c r="M14" s="11"/>
      <c r="N14" s="11"/>
    </row>
    <row r="15" spans="1:14" ht="7.5" customHeight="1" x14ac:dyDescent="0.15">
      <c r="B15" s="10"/>
      <c r="C15" s="10"/>
      <c r="D15" s="10"/>
      <c r="E15" s="10"/>
      <c r="F15" s="11"/>
      <c r="G15" s="11"/>
      <c r="H15" s="11"/>
      <c r="I15" s="11"/>
      <c r="J15" s="11"/>
      <c r="K15" s="11"/>
      <c r="L15" s="11"/>
      <c r="M15" s="11"/>
      <c r="N15" s="11"/>
    </row>
    <row r="16" spans="1:14" ht="22.5" customHeight="1" x14ac:dyDescent="0.15">
      <c r="A16" s="8" t="s">
        <v>15</v>
      </c>
      <c r="B16" s="8" t="s">
        <v>0</v>
      </c>
      <c r="C16" s="119" t="s">
        <v>6</v>
      </c>
      <c r="D16" s="120"/>
      <c r="E16" s="106">
        <v>66</v>
      </c>
      <c r="F16" s="107"/>
      <c r="G16" s="15" t="s">
        <v>10</v>
      </c>
      <c r="I16" s="119" t="s">
        <v>11</v>
      </c>
      <c r="J16" s="120"/>
      <c r="K16" s="106">
        <v>24</v>
      </c>
      <c r="L16" s="121"/>
      <c r="M16" s="107"/>
      <c r="N16" s="16" t="s">
        <v>10</v>
      </c>
    </row>
    <row r="17" spans="1:15" ht="7.5" customHeight="1" x14ac:dyDescent="0.15">
      <c r="F17" s="17"/>
      <c r="G17" s="17"/>
      <c r="H17" s="17"/>
      <c r="I17" s="17"/>
      <c r="J17" s="17"/>
      <c r="K17" s="17"/>
      <c r="L17" s="17"/>
      <c r="M17" s="16"/>
      <c r="N17" s="16"/>
    </row>
    <row r="18" spans="1:15" ht="22.5" customHeight="1" x14ac:dyDescent="0.15">
      <c r="A18" s="8" t="s">
        <v>60</v>
      </c>
      <c r="B18" s="8" t="s">
        <v>90</v>
      </c>
      <c r="F18" s="17"/>
      <c r="G18" s="17"/>
      <c r="H18" s="17"/>
      <c r="I18" s="17"/>
      <c r="J18" s="17"/>
      <c r="K18" s="112">
        <v>1</v>
      </c>
      <c r="L18" s="113"/>
      <c r="M18" s="114"/>
      <c r="N18" s="16" t="s">
        <v>58</v>
      </c>
    </row>
    <row r="19" spans="1:15" ht="7.5" customHeight="1" x14ac:dyDescent="0.15">
      <c r="F19" s="17"/>
      <c r="G19" s="17"/>
      <c r="H19" s="17"/>
      <c r="I19" s="17"/>
      <c r="J19" s="17"/>
      <c r="K19" s="17"/>
      <c r="L19" s="17"/>
      <c r="M19" s="16"/>
      <c r="N19" s="16"/>
    </row>
    <row r="20" spans="1:15" ht="22.5" customHeight="1" x14ac:dyDescent="0.15">
      <c r="A20" s="8" t="s">
        <v>68</v>
      </c>
      <c r="B20" s="8" t="s">
        <v>122</v>
      </c>
      <c r="E20" s="106">
        <v>320</v>
      </c>
      <c r="F20" s="107"/>
      <c r="G20" s="18" t="s">
        <v>24</v>
      </c>
      <c r="H20" s="17"/>
      <c r="K20" s="105"/>
      <c r="L20" s="105"/>
      <c r="M20" s="105"/>
      <c r="N20" s="105"/>
    </row>
    <row r="21" spans="1:15" ht="7.5" customHeight="1" x14ac:dyDescent="0.15">
      <c r="E21" s="19"/>
      <c r="F21" s="17"/>
      <c r="G21" s="17"/>
      <c r="L21" s="20"/>
      <c r="M21" s="20"/>
      <c r="N21" s="21"/>
    </row>
    <row r="22" spans="1:15" ht="22.5" customHeight="1" x14ac:dyDescent="0.15">
      <c r="A22" s="8" t="s">
        <v>27</v>
      </c>
      <c r="B22" s="8" t="s">
        <v>123</v>
      </c>
      <c r="E22" s="19"/>
      <c r="F22" s="17"/>
      <c r="G22" s="17"/>
      <c r="H22" s="8" t="s">
        <v>59</v>
      </c>
      <c r="J22" s="112">
        <v>1445</v>
      </c>
      <c r="K22" s="113"/>
      <c r="L22" s="114"/>
      <c r="M22" s="20" t="s">
        <v>58</v>
      </c>
      <c r="N22" s="21"/>
    </row>
    <row r="23" spans="1:15" ht="7.5" customHeight="1" x14ac:dyDescent="0.15">
      <c r="E23" s="19"/>
      <c r="F23" s="17"/>
      <c r="G23" s="17"/>
      <c r="L23" s="20"/>
      <c r="M23" s="20"/>
      <c r="N23" s="21"/>
    </row>
    <row r="24" spans="1:15" ht="22.5" customHeight="1" x14ac:dyDescent="0.15">
      <c r="B24" s="22" t="s">
        <v>20</v>
      </c>
      <c r="C24" s="106">
        <v>405</v>
      </c>
      <c r="D24" s="107"/>
      <c r="E24" s="19" t="s">
        <v>25</v>
      </c>
      <c r="F24" s="17"/>
      <c r="G24" s="111" t="s">
        <v>21</v>
      </c>
      <c r="H24" s="111"/>
      <c r="I24" s="106">
        <v>397</v>
      </c>
      <c r="J24" s="107"/>
      <c r="K24" s="12" t="s">
        <v>25</v>
      </c>
      <c r="M24" s="20"/>
      <c r="N24" s="21"/>
      <c r="O24" s="5"/>
    </row>
    <row r="25" spans="1:15" ht="7.5" customHeight="1" x14ac:dyDescent="0.15">
      <c r="B25" s="22"/>
      <c r="C25" s="23"/>
      <c r="D25" s="23"/>
      <c r="E25" s="19"/>
      <c r="F25" s="17"/>
      <c r="G25" s="20"/>
      <c r="H25" s="20"/>
      <c r="I25" s="23"/>
      <c r="J25" s="23"/>
      <c r="K25" s="12"/>
      <c r="M25" s="20"/>
      <c r="N25" s="21"/>
      <c r="O25" s="5"/>
    </row>
    <row r="26" spans="1:15" ht="22.5" customHeight="1" x14ac:dyDescent="0.15">
      <c r="B26" s="22" t="s">
        <v>22</v>
      </c>
      <c r="C26" s="106">
        <v>320</v>
      </c>
      <c r="D26" s="107"/>
      <c r="E26" s="19" t="s">
        <v>25</v>
      </c>
      <c r="F26" s="17"/>
      <c r="G26" s="111" t="s">
        <v>23</v>
      </c>
      <c r="H26" s="111"/>
      <c r="I26" s="106">
        <v>323</v>
      </c>
      <c r="J26" s="107"/>
      <c r="K26" s="12" t="s">
        <v>25</v>
      </c>
      <c r="M26" s="20"/>
      <c r="N26" s="21"/>
    </row>
    <row r="27" spans="1:15" ht="7.5" customHeight="1" x14ac:dyDescent="0.15">
      <c r="B27" s="22"/>
      <c r="C27" s="23"/>
      <c r="D27" s="23"/>
      <c r="E27" s="19"/>
      <c r="F27" s="17"/>
      <c r="G27" s="20"/>
      <c r="H27" s="20"/>
      <c r="I27" s="23"/>
      <c r="J27" s="23"/>
      <c r="K27" s="12"/>
      <c r="M27" s="20"/>
      <c r="N27" s="21"/>
    </row>
    <row r="28" spans="1:15" ht="22.5" customHeight="1" x14ac:dyDescent="0.15">
      <c r="B28" s="22" t="s">
        <v>52</v>
      </c>
      <c r="C28" s="106">
        <v>0</v>
      </c>
      <c r="D28" s="107"/>
      <c r="E28" s="19" t="s">
        <v>10</v>
      </c>
      <c r="F28" s="17"/>
      <c r="G28" s="111" t="s">
        <v>53</v>
      </c>
      <c r="H28" s="111"/>
      <c r="I28" s="106">
        <v>0</v>
      </c>
      <c r="J28" s="107"/>
      <c r="K28" s="12" t="s">
        <v>10</v>
      </c>
      <c r="M28" s="20"/>
      <c r="N28" s="21"/>
    </row>
    <row r="29" spans="1:15" ht="7.5" customHeight="1" x14ac:dyDescent="0.15">
      <c r="F29" s="17"/>
      <c r="G29" s="17"/>
      <c r="M29" s="24"/>
      <c r="N29" s="24"/>
    </row>
    <row r="30" spans="1:15" ht="22.5" customHeight="1" x14ac:dyDescent="0.15">
      <c r="A30" s="8" t="s">
        <v>121</v>
      </c>
      <c r="B30" s="9" t="s">
        <v>113</v>
      </c>
      <c r="C30" s="9"/>
      <c r="D30" s="9"/>
      <c r="E30" s="9"/>
      <c r="F30" s="12"/>
      <c r="G30" s="11"/>
      <c r="H30" s="11"/>
      <c r="I30" s="11"/>
      <c r="J30" s="25"/>
      <c r="K30" s="25"/>
      <c r="L30" s="25"/>
      <c r="M30" s="25"/>
      <c r="N30" s="25"/>
    </row>
    <row r="31" spans="1:15" s="5" customFormat="1" ht="22.5" customHeight="1" x14ac:dyDescent="0.15">
      <c r="B31" s="115" t="s">
        <v>112</v>
      </c>
      <c r="C31" s="115"/>
      <c r="D31" s="108" t="s">
        <v>132</v>
      </c>
      <c r="E31" s="109"/>
      <c r="F31" s="109"/>
      <c r="G31" s="116" t="s">
        <v>26</v>
      </c>
      <c r="H31" s="115"/>
      <c r="I31" s="117"/>
      <c r="J31" s="108" t="s">
        <v>135</v>
      </c>
      <c r="K31" s="109"/>
      <c r="L31" s="109"/>
      <c r="M31" s="109"/>
      <c r="N31" s="110"/>
    </row>
    <row r="32" spans="1:15" ht="7.5" customHeight="1" x14ac:dyDescent="0.15">
      <c r="F32" s="17"/>
      <c r="G32" s="17"/>
      <c r="M32" s="24"/>
      <c r="N32" s="24"/>
    </row>
    <row r="33" spans="1:14" ht="22.5" customHeight="1" x14ac:dyDescent="0.15">
      <c r="A33" s="8" t="s">
        <v>57</v>
      </c>
      <c r="B33" s="9" t="s">
        <v>126</v>
      </c>
      <c r="C33" s="9"/>
      <c r="D33" s="9"/>
      <c r="E33" s="9"/>
      <c r="F33" s="12"/>
      <c r="G33" s="25"/>
      <c r="H33" s="25"/>
      <c r="I33" s="25"/>
      <c r="J33" s="25"/>
      <c r="K33" s="25"/>
      <c r="L33" s="25"/>
      <c r="M33" s="25"/>
      <c r="N33" s="25"/>
    </row>
    <row r="34" spans="1:14" ht="22.5" customHeight="1" x14ac:dyDescent="0.15">
      <c r="B34" s="108" t="s">
        <v>157</v>
      </c>
      <c r="C34" s="109"/>
      <c r="D34" s="109"/>
      <c r="E34" s="109"/>
      <c r="F34" s="109"/>
      <c r="G34" s="109"/>
      <c r="H34" s="109"/>
      <c r="I34" s="109"/>
      <c r="J34" s="109"/>
      <c r="K34" s="109"/>
      <c r="L34" s="109"/>
      <c r="M34" s="109"/>
      <c r="N34" s="110"/>
    </row>
    <row r="35" spans="1:14" ht="7.5" customHeight="1" x14ac:dyDescent="0.15">
      <c r="B35" s="26"/>
      <c r="C35" s="26"/>
      <c r="D35" s="26"/>
      <c r="E35" s="26"/>
      <c r="F35" s="26"/>
      <c r="G35" s="26"/>
      <c r="H35" s="26"/>
      <c r="I35" s="26"/>
      <c r="J35" s="26"/>
      <c r="K35" s="26"/>
      <c r="L35" s="26"/>
      <c r="M35" s="26"/>
      <c r="N35" s="26"/>
    </row>
    <row r="36" spans="1:14" s="5" customFormat="1" ht="22.5" customHeight="1" x14ac:dyDescent="0.15">
      <c r="B36" s="115" t="s">
        <v>112</v>
      </c>
      <c r="C36" s="115"/>
      <c r="D36" s="108" t="s">
        <v>139</v>
      </c>
      <c r="E36" s="109"/>
      <c r="F36" s="109"/>
      <c r="G36" s="116" t="s">
        <v>62</v>
      </c>
      <c r="H36" s="115"/>
      <c r="I36" s="117"/>
      <c r="J36" s="108" t="s">
        <v>147</v>
      </c>
      <c r="K36" s="109"/>
      <c r="L36" s="109"/>
      <c r="M36" s="109"/>
      <c r="N36" s="110"/>
    </row>
    <row r="37" spans="1:14" ht="7.5" customHeight="1" x14ac:dyDescent="0.15">
      <c r="F37" s="11"/>
      <c r="G37" s="11"/>
      <c r="H37" s="11"/>
      <c r="I37" s="11"/>
      <c r="J37" s="11"/>
      <c r="K37" s="11"/>
      <c r="L37" s="11"/>
      <c r="M37" s="11"/>
      <c r="N37" s="11"/>
    </row>
    <row r="38" spans="1:14" ht="22.5" customHeight="1" x14ac:dyDescent="0.15">
      <c r="A38" s="8" t="s">
        <v>61</v>
      </c>
      <c r="B38" s="8" t="s">
        <v>127</v>
      </c>
      <c r="M38" s="24"/>
      <c r="N38" s="24"/>
    </row>
    <row r="39" spans="1:14" ht="22.5" customHeight="1" x14ac:dyDescent="0.15">
      <c r="B39" s="108" t="s">
        <v>210</v>
      </c>
      <c r="C39" s="109"/>
      <c r="D39" s="109"/>
      <c r="E39" s="109"/>
      <c r="F39" s="109"/>
      <c r="G39" s="109"/>
      <c r="H39" s="109"/>
      <c r="I39" s="109"/>
      <c r="J39" s="109"/>
      <c r="K39" s="109"/>
      <c r="L39" s="109"/>
      <c r="M39" s="109"/>
      <c r="N39" s="110"/>
    </row>
    <row r="40" spans="1:14" ht="7.5" customHeight="1" x14ac:dyDescent="0.15">
      <c r="F40" s="11"/>
      <c r="G40" s="11"/>
      <c r="H40" s="11"/>
      <c r="I40" s="11"/>
      <c r="J40" s="11"/>
      <c r="K40" s="11"/>
      <c r="L40" s="11"/>
      <c r="M40" s="11"/>
      <c r="N40" s="11"/>
    </row>
    <row r="41" spans="1:14" s="5" customFormat="1" ht="22.5" customHeight="1" x14ac:dyDescent="0.15">
      <c r="B41" s="115" t="s">
        <v>112</v>
      </c>
      <c r="C41" s="115"/>
      <c r="D41" s="108" t="s">
        <v>148</v>
      </c>
      <c r="E41" s="109"/>
      <c r="F41" s="109"/>
      <c r="G41" s="116" t="s">
        <v>62</v>
      </c>
      <c r="H41" s="115"/>
      <c r="I41" s="117"/>
      <c r="J41" s="108" t="s">
        <v>149</v>
      </c>
      <c r="K41" s="109"/>
      <c r="L41" s="109"/>
      <c r="M41" s="109"/>
      <c r="N41" s="110"/>
    </row>
    <row r="42" spans="1:14" ht="7.5" customHeight="1" x14ac:dyDescent="0.15">
      <c r="F42" s="11"/>
      <c r="G42" s="11"/>
      <c r="H42" s="11"/>
      <c r="I42" s="11"/>
      <c r="J42" s="11"/>
      <c r="K42" s="11"/>
      <c r="L42" s="11"/>
      <c r="M42" s="11"/>
      <c r="N42" s="11"/>
    </row>
    <row r="43" spans="1:14" ht="22.5" customHeight="1" x14ac:dyDescent="0.15">
      <c r="A43" s="8" t="s">
        <v>69</v>
      </c>
      <c r="B43" s="5" t="s">
        <v>89</v>
      </c>
      <c r="E43" s="14"/>
      <c r="F43" s="108" t="s">
        <v>151</v>
      </c>
      <c r="G43" s="109"/>
      <c r="H43" s="109"/>
      <c r="I43" s="109"/>
      <c r="J43" s="109"/>
      <c r="K43" s="109"/>
      <c r="L43" s="109"/>
      <c r="M43" s="109"/>
      <c r="N43" s="110"/>
    </row>
    <row r="44" spans="1:14" ht="7.5" customHeight="1" x14ac:dyDescent="0.15">
      <c r="F44" s="11"/>
      <c r="G44" s="11"/>
      <c r="H44" s="11"/>
      <c r="I44" s="11"/>
      <c r="J44" s="11"/>
      <c r="K44" s="11"/>
      <c r="L44" s="11"/>
      <c r="M44" s="11"/>
      <c r="N44" s="11"/>
    </row>
    <row r="45" spans="1:14" ht="22.5" customHeight="1" x14ac:dyDescent="0.15">
      <c r="A45" s="8" t="s">
        <v>3</v>
      </c>
    </row>
    <row r="46" spans="1:14" ht="22.5" customHeight="1" x14ac:dyDescent="0.15">
      <c r="B46" s="27" t="s">
        <v>1</v>
      </c>
      <c r="C46" s="124" t="s">
        <v>136</v>
      </c>
      <c r="D46" s="125"/>
      <c r="E46" s="125"/>
      <c r="F46" s="125"/>
      <c r="G46" s="125"/>
      <c r="H46" s="125"/>
      <c r="I46" s="28" t="s">
        <v>2</v>
      </c>
      <c r="J46" s="29"/>
      <c r="K46" s="108" t="s">
        <v>196</v>
      </c>
      <c r="L46" s="109"/>
      <c r="M46" s="109"/>
      <c r="N46" s="110"/>
    </row>
    <row r="47" spans="1:14" ht="22.5" customHeight="1" x14ac:dyDescent="0.15">
      <c r="B47" s="27" t="s">
        <v>5</v>
      </c>
      <c r="C47" s="127" t="s">
        <v>137</v>
      </c>
      <c r="D47" s="128"/>
      <c r="E47" s="128"/>
      <c r="F47" s="128"/>
      <c r="G47" s="128"/>
      <c r="H47" s="129"/>
      <c r="I47" s="28" t="s">
        <v>4</v>
      </c>
      <c r="J47" s="29"/>
      <c r="K47" s="130" t="s">
        <v>138</v>
      </c>
      <c r="L47" s="131"/>
      <c r="M47" s="131"/>
      <c r="N47" s="13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E6" sqref="E6:I6"/>
    </sheetView>
  </sheetViews>
  <sheetFormatPr defaultColWidth="9" defaultRowHeight="18.75" customHeight="1" x14ac:dyDescent="0.15"/>
  <cols>
    <col min="1" max="2" width="2.5" style="8" customWidth="1"/>
    <col min="3" max="3" width="20" style="8" customWidth="1"/>
    <col min="4" max="4" width="8.875" style="8" customWidth="1"/>
    <col min="5" max="5" width="7.5" style="8" customWidth="1"/>
    <col min="6" max="6" width="2.5" style="8" customWidth="1"/>
    <col min="7" max="7" width="15" style="8" customWidth="1"/>
    <col min="8" max="8" width="12.5" style="8" customWidth="1"/>
    <col min="9" max="9" width="11.125" style="8" customWidth="1"/>
    <col min="10" max="16384" width="9" style="8"/>
  </cols>
  <sheetData>
    <row r="1" spans="1:9" ht="18.75" customHeight="1" x14ac:dyDescent="0.15">
      <c r="I1" s="30" t="s">
        <v>152</v>
      </c>
    </row>
    <row r="2" spans="1:9" ht="18.75" customHeight="1" x14ac:dyDescent="0.15">
      <c r="G2" s="31" t="s">
        <v>31</v>
      </c>
      <c r="H2" s="145" t="s">
        <v>130</v>
      </c>
      <c r="I2" s="145"/>
    </row>
    <row r="3" spans="1:9" ht="7.5" customHeight="1" x14ac:dyDescent="0.15"/>
    <row r="4" spans="1:9" ht="18.75" customHeight="1" x14ac:dyDescent="0.15">
      <c r="A4" s="123" t="s">
        <v>87</v>
      </c>
      <c r="B4" s="123"/>
      <c r="C4" s="123"/>
      <c r="D4" s="123"/>
      <c r="E4" s="123"/>
      <c r="F4" s="123"/>
      <c r="G4" s="123"/>
      <c r="H4" s="123"/>
      <c r="I4" s="123"/>
    </row>
    <row r="5" spans="1:9" ht="7.5" customHeight="1" x14ac:dyDescent="0.15">
      <c r="C5" s="22"/>
      <c r="D5" s="22"/>
      <c r="E5" s="22"/>
      <c r="F5" s="22"/>
      <c r="G5" s="22"/>
      <c r="H5" s="22"/>
      <c r="I5" s="22"/>
    </row>
    <row r="6" spans="1:9" ht="18.75" customHeight="1" x14ac:dyDescent="0.15">
      <c r="A6" s="8" t="s">
        <v>7</v>
      </c>
      <c r="B6" s="8" t="s">
        <v>99</v>
      </c>
      <c r="C6" s="22"/>
      <c r="D6" s="22"/>
      <c r="E6" s="112" t="s">
        <v>150</v>
      </c>
      <c r="F6" s="113"/>
      <c r="G6" s="113"/>
      <c r="H6" s="113"/>
      <c r="I6" s="114"/>
    </row>
    <row r="7" spans="1:9" ht="7.5" customHeight="1" x14ac:dyDescent="0.15">
      <c r="C7" s="22"/>
      <c r="D7" s="22"/>
      <c r="F7" s="20"/>
      <c r="G7" s="20"/>
      <c r="H7" s="20"/>
      <c r="I7" s="20"/>
    </row>
    <row r="8" spans="1:9" ht="18.75" customHeight="1" x14ac:dyDescent="0.15">
      <c r="A8" s="8" t="s">
        <v>12</v>
      </c>
      <c r="B8" s="8" t="s">
        <v>100</v>
      </c>
      <c r="C8" s="22"/>
      <c r="D8" s="22"/>
      <c r="E8" s="22"/>
      <c r="F8" s="22"/>
      <c r="G8" s="22"/>
      <c r="H8" s="22"/>
      <c r="I8" s="22"/>
    </row>
    <row r="9" spans="1:9" ht="18.75" customHeight="1" x14ac:dyDescent="0.15">
      <c r="B9" s="136" t="s">
        <v>197</v>
      </c>
      <c r="C9" s="137"/>
      <c r="D9" s="137"/>
      <c r="E9" s="137"/>
      <c r="F9" s="137"/>
      <c r="G9" s="137"/>
      <c r="H9" s="137"/>
      <c r="I9" s="138"/>
    </row>
    <row r="10" spans="1:9" ht="18.75" customHeight="1" x14ac:dyDescent="0.15">
      <c r="B10" s="139"/>
      <c r="C10" s="140"/>
      <c r="D10" s="140"/>
      <c r="E10" s="140"/>
      <c r="F10" s="140"/>
      <c r="G10" s="140"/>
      <c r="H10" s="140"/>
      <c r="I10" s="141"/>
    </row>
    <row r="11" spans="1:9" ht="18.75" customHeight="1" x14ac:dyDescent="0.15">
      <c r="B11" s="139"/>
      <c r="C11" s="140"/>
      <c r="D11" s="140"/>
      <c r="E11" s="140"/>
      <c r="F11" s="140"/>
      <c r="G11" s="140"/>
      <c r="H11" s="140"/>
      <c r="I11" s="141"/>
    </row>
    <row r="12" spans="1:9" ht="18.75" customHeight="1" x14ac:dyDescent="0.15">
      <c r="B12" s="139"/>
      <c r="C12" s="140"/>
      <c r="D12" s="140"/>
      <c r="E12" s="140"/>
      <c r="F12" s="140"/>
      <c r="G12" s="140"/>
      <c r="H12" s="140"/>
      <c r="I12" s="141"/>
    </row>
    <row r="13" spans="1:9" ht="18.75" customHeight="1" x14ac:dyDescent="0.15">
      <c r="B13" s="139"/>
      <c r="C13" s="140"/>
      <c r="D13" s="140"/>
      <c r="E13" s="140"/>
      <c r="F13" s="140"/>
      <c r="G13" s="140"/>
      <c r="H13" s="140"/>
      <c r="I13" s="141"/>
    </row>
    <row r="14" spans="1:9" ht="18.75" customHeight="1" x14ac:dyDescent="0.15">
      <c r="B14" s="139"/>
      <c r="C14" s="140"/>
      <c r="D14" s="140"/>
      <c r="E14" s="140"/>
      <c r="F14" s="140"/>
      <c r="G14" s="140"/>
      <c r="H14" s="140"/>
      <c r="I14" s="141"/>
    </row>
    <row r="15" spans="1:9" ht="18.75" customHeight="1" x14ac:dyDescent="0.15">
      <c r="B15" s="139"/>
      <c r="C15" s="140"/>
      <c r="D15" s="140"/>
      <c r="E15" s="140"/>
      <c r="F15" s="140"/>
      <c r="G15" s="140"/>
      <c r="H15" s="140"/>
      <c r="I15" s="141"/>
    </row>
    <row r="16" spans="1:9" ht="18.75" customHeight="1" x14ac:dyDescent="0.15">
      <c r="B16" s="142"/>
      <c r="C16" s="143"/>
      <c r="D16" s="143"/>
      <c r="E16" s="143"/>
      <c r="F16" s="143"/>
      <c r="G16" s="143"/>
      <c r="H16" s="143"/>
      <c r="I16" s="144"/>
    </row>
    <row r="17" spans="1:10" ht="7.5" customHeight="1" x14ac:dyDescent="0.15">
      <c r="C17" s="22"/>
      <c r="D17" s="22"/>
      <c r="E17" s="22"/>
      <c r="F17" s="22"/>
      <c r="G17" s="22"/>
      <c r="H17" s="22"/>
      <c r="I17" s="22"/>
    </row>
    <row r="18" spans="1:10" ht="18.75" customHeight="1" x14ac:dyDescent="0.15">
      <c r="A18" s="22" t="s">
        <v>13</v>
      </c>
      <c r="B18" s="9" t="s">
        <v>101</v>
      </c>
      <c r="C18" s="9"/>
      <c r="D18" s="9"/>
      <c r="E18" s="9"/>
      <c r="F18" s="22"/>
      <c r="G18" s="22"/>
      <c r="H18" s="22"/>
      <c r="I18" s="22"/>
      <c r="J18" s="22"/>
    </row>
    <row r="19" spans="1:10" ht="18.75" customHeight="1" x14ac:dyDescent="0.15">
      <c r="A19" s="146" t="s">
        <v>101</v>
      </c>
      <c r="B19" s="146"/>
      <c r="C19" s="146"/>
      <c r="D19" s="146"/>
      <c r="E19" s="146"/>
      <c r="F19" s="147" t="s">
        <v>101</v>
      </c>
      <c r="G19" s="147"/>
      <c r="H19" s="147"/>
      <c r="I19" s="147"/>
    </row>
    <row r="20" spans="1:10" ht="18.75" customHeight="1" x14ac:dyDescent="0.15">
      <c r="A20" s="32">
        <v>1</v>
      </c>
      <c r="B20" s="124" t="s">
        <v>141</v>
      </c>
      <c r="C20" s="125"/>
      <c r="D20" s="125"/>
      <c r="E20" s="126"/>
      <c r="F20" s="32">
        <v>26</v>
      </c>
      <c r="G20" s="124"/>
      <c r="H20" s="125"/>
      <c r="I20" s="126"/>
    </row>
    <row r="21" spans="1:10" ht="18.75" customHeight="1" x14ac:dyDescent="0.15">
      <c r="A21" s="32">
        <v>2</v>
      </c>
      <c r="B21" s="133"/>
      <c r="C21" s="134"/>
      <c r="D21" s="134"/>
      <c r="E21" s="135"/>
      <c r="F21" s="32">
        <v>27</v>
      </c>
      <c r="G21" s="124"/>
      <c r="H21" s="125"/>
      <c r="I21" s="126"/>
    </row>
    <row r="22" spans="1:10" ht="18.75" customHeight="1" x14ac:dyDescent="0.15">
      <c r="A22" s="32">
        <v>3</v>
      </c>
      <c r="B22" s="133"/>
      <c r="C22" s="134"/>
      <c r="D22" s="134"/>
      <c r="E22" s="135"/>
      <c r="F22" s="32">
        <v>28</v>
      </c>
      <c r="G22" s="124"/>
      <c r="H22" s="125"/>
      <c r="I22" s="126"/>
    </row>
    <row r="23" spans="1:10" ht="18.75" customHeight="1" x14ac:dyDescent="0.15">
      <c r="A23" s="32">
        <v>4</v>
      </c>
      <c r="B23" s="133"/>
      <c r="C23" s="134"/>
      <c r="D23" s="134"/>
      <c r="E23" s="135"/>
      <c r="F23" s="32">
        <v>29</v>
      </c>
      <c r="G23" s="124"/>
      <c r="H23" s="125"/>
      <c r="I23" s="126"/>
    </row>
    <row r="24" spans="1:10" ht="18.75" customHeight="1" x14ac:dyDescent="0.15">
      <c r="A24" s="32">
        <v>5</v>
      </c>
      <c r="B24" s="133"/>
      <c r="C24" s="134"/>
      <c r="D24" s="134"/>
      <c r="E24" s="135"/>
      <c r="F24" s="32">
        <v>30</v>
      </c>
      <c r="G24" s="124"/>
      <c r="H24" s="125"/>
      <c r="I24" s="126"/>
    </row>
    <row r="25" spans="1:10" ht="18.75" customHeight="1" x14ac:dyDescent="0.15">
      <c r="A25" s="32">
        <v>6</v>
      </c>
      <c r="B25" s="133"/>
      <c r="C25" s="134"/>
      <c r="D25" s="134"/>
      <c r="E25" s="135"/>
      <c r="F25" s="32">
        <v>31</v>
      </c>
      <c r="G25" s="124"/>
      <c r="H25" s="125"/>
      <c r="I25" s="126"/>
    </row>
    <row r="26" spans="1:10" ht="18.75" customHeight="1" x14ac:dyDescent="0.15">
      <c r="A26" s="32">
        <v>7</v>
      </c>
      <c r="B26" s="133"/>
      <c r="C26" s="134"/>
      <c r="D26" s="134"/>
      <c r="E26" s="135"/>
      <c r="F26" s="32">
        <v>32</v>
      </c>
      <c r="G26" s="124"/>
      <c r="H26" s="125"/>
      <c r="I26" s="126"/>
    </row>
    <row r="27" spans="1:10" ht="18.75" customHeight="1" x14ac:dyDescent="0.15">
      <c r="A27" s="32">
        <v>8</v>
      </c>
      <c r="B27" s="133"/>
      <c r="C27" s="134"/>
      <c r="D27" s="134"/>
      <c r="E27" s="135"/>
      <c r="F27" s="32">
        <v>33</v>
      </c>
      <c r="G27" s="124"/>
      <c r="H27" s="125"/>
      <c r="I27" s="126"/>
    </row>
    <row r="28" spans="1:10" ht="18.75" customHeight="1" x14ac:dyDescent="0.15">
      <c r="A28" s="32">
        <v>9</v>
      </c>
      <c r="B28" s="133"/>
      <c r="C28" s="134"/>
      <c r="D28" s="134"/>
      <c r="E28" s="135"/>
      <c r="F28" s="32">
        <v>34</v>
      </c>
      <c r="G28" s="124"/>
      <c r="H28" s="125"/>
      <c r="I28" s="126"/>
    </row>
    <row r="29" spans="1:10" ht="18.75" customHeight="1" x14ac:dyDescent="0.15">
      <c r="A29" s="32">
        <v>10</v>
      </c>
      <c r="B29" s="133"/>
      <c r="C29" s="134"/>
      <c r="D29" s="134"/>
      <c r="E29" s="135"/>
      <c r="F29" s="32">
        <v>35</v>
      </c>
      <c r="G29" s="124"/>
      <c r="H29" s="125"/>
      <c r="I29" s="126"/>
    </row>
    <row r="30" spans="1:10" ht="18.75" customHeight="1" x14ac:dyDescent="0.15">
      <c r="A30" s="32">
        <v>11</v>
      </c>
      <c r="B30" s="124"/>
      <c r="C30" s="125"/>
      <c r="D30" s="125"/>
      <c r="E30" s="126"/>
      <c r="F30" s="32">
        <v>36</v>
      </c>
      <c r="G30" s="124"/>
      <c r="H30" s="125"/>
      <c r="I30" s="126"/>
    </row>
    <row r="31" spans="1:10" ht="18.75" customHeight="1" x14ac:dyDescent="0.15">
      <c r="A31" s="32">
        <v>12</v>
      </c>
      <c r="B31" s="124"/>
      <c r="C31" s="125"/>
      <c r="D31" s="125"/>
      <c r="E31" s="126"/>
      <c r="F31" s="32">
        <v>37</v>
      </c>
      <c r="G31" s="124"/>
      <c r="H31" s="125"/>
      <c r="I31" s="126"/>
    </row>
    <row r="32" spans="1:10" ht="18.75" customHeight="1" x14ac:dyDescent="0.15">
      <c r="A32" s="32">
        <v>13</v>
      </c>
      <c r="B32" s="124"/>
      <c r="C32" s="125"/>
      <c r="D32" s="125"/>
      <c r="E32" s="126"/>
      <c r="F32" s="32">
        <v>38</v>
      </c>
      <c r="G32" s="124"/>
      <c r="H32" s="125"/>
      <c r="I32" s="126"/>
    </row>
    <row r="33" spans="1:9" ht="18.75" customHeight="1" x14ac:dyDescent="0.15">
      <c r="A33" s="32">
        <v>14</v>
      </c>
      <c r="B33" s="124"/>
      <c r="C33" s="125"/>
      <c r="D33" s="125"/>
      <c r="E33" s="126"/>
      <c r="F33" s="32">
        <v>39</v>
      </c>
      <c r="G33" s="124"/>
      <c r="H33" s="125"/>
      <c r="I33" s="126"/>
    </row>
    <row r="34" spans="1:9" ht="18.75" customHeight="1" x14ac:dyDescent="0.15">
      <c r="A34" s="32">
        <v>15</v>
      </c>
      <c r="B34" s="124"/>
      <c r="C34" s="125"/>
      <c r="D34" s="125"/>
      <c r="E34" s="126"/>
      <c r="F34" s="32">
        <v>40</v>
      </c>
      <c r="G34" s="124"/>
      <c r="H34" s="125"/>
      <c r="I34" s="126"/>
    </row>
    <row r="35" spans="1:9" ht="18.75" customHeight="1" x14ac:dyDescent="0.15">
      <c r="A35" s="32">
        <v>16</v>
      </c>
      <c r="B35" s="124"/>
      <c r="C35" s="125"/>
      <c r="D35" s="125"/>
      <c r="E35" s="126"/>
      <c r="F35" s="32">
        <v>41</v>
      </c>
      <c r="G35" s="124"/>
      <c r="H35" s="125"/>
      <c r="I35" s="126"/>
    </row>
    <row r="36" spans="1:9" ht="18.75" customHeight="1" x14ac:dyDescent="0.15">
      <c r="A36" s="32">
        <v>17</v>
      </c>
      <c r="B36" s="124"/>
      <c r="C36" s="125"/>
      <c r="D36" s="125"/>
      <c r="E36" s="126"/>
      <c r="F36" s="32">
        <v>42</v>
      </c>
      <c r="G36" s="124"/>
      <c r="H36" s="125"/>
      <c r="I36" s="126"/>
    </row>
    <row r="37" spans="1:9" ht="18.75" customHeight="1" x14ac:dyDescent="0.15">
      <c r="A37" s="32">
        <v>18</v>
      </c>
      <c r="B37" s="124"/>
      <c r="C37" s="125"/>
      <c r="D37" s="125"/>
      <c r="E37" s="126"/>
      <c r="F37" s="32">
        <v>43</v>
      </c>
      <c r="G37" s="124"/>
      <c r="H37" s="125"/>
      <c r="I37" s="126"/>
    </row>
    <row r="38" spans="1:9" ht="18.75" customHeight="1" x14ac:dyDescent="0.15">
      <c r="A38" s="32">
        <v>19</v>
      </c>
      <c r="B38" s="124"/>
      <c r="C38" s="125"/>
      <c r="D38" s="125"/>
      <c r="E38" s="126"/>
      <c r="F38" s="32">
        <v>44</v>
      </c>
      <c r="G38" s="124"/>
      <c r="H38" s="125"/>
      <c r="I38" s="126"/>
    </row>
    <row r="39" spans="1:9" ht="18.75" customHeight="1" x14ac:dyDescent="0.15">
      <c r="A39" s="32">
        <v>20</v>
      </c>
      <c r="B39" s="124"/>
      <c r="C39" s="125"/>
      <c r="D39" s="125"/>
      <c r="E39" s="126"/>
      <c r="F39" s="32">
        <v>45</v>
      </c>
      <c r="G39" s="124"/>
      <c r="H39" s="125"/>
      <c r="I39" s="126"/>
    </row>
    <row r="40" spans="1:9" ht="18.75" customHeight="1" x14ac:dyDescent="0.15">
      <c r="A40" s="32">
        <v>21</v>
      </c>
      <c r="B40" s="124"/>
      <c r="C40" s="125"/>
      <c r="D40" s="125"/>
      <c r="E40" s="126"/>
      <c r="F40" s="32">
        <v>46</v>
      </c>
      <c r="G40" s="124"/>
      <c r="H40" s="125"/>
      <c r="I40" s="126"/>
    </row>
    <row r="41" spans="1:9" ht="18.75" customHeight="1" x14ac:dyDescent="0.15">
      <c r="A41" s="32">
        <v>22</v>
      </c>
      <c r="B41" s="124"/>
      <c r="C41" s="125"/>
      <c r="D41" s="125"/>
      <c r="E41" s="126"/>
      <c r="F41" s="32">
        <v>47</v>
      </c>
      <c r="G41" s="124"/>
      <c r="H41" s="125"/>
      <c r="I41" s="126"/>
    </row>
    <row r="42" spans="1:9" ht="18.75" customHeight="1" x14ac:dyDescent="0.15">
      <c r="A42" s="32">
        <v>23</v>
      </c>
      <c r="B42" s="124"/>
      <c r="C42" s="125"/>
      <c r="D42" s="125"/>
      <c r="E42" s="126"/>
      <c r="F42" s="32">
        <v>48</v>
      </c>
      <c r="G42" s="124"/>
      <c r="H42" s="125"/>
      <c r="I42" s="126"/>
    </row>
    <row r="43" spans="1:9" ht="18.75" customHeight="1" x14ac:dyDescent="0.15">
      <c r="A43" s="32">
        <v>24</v>
      </c>
      <c r="B43" s="124"/>
      <c r="C43" s="125"/>
      <c r="D43" s="125"/>
      <c r="E43" s="126"/>
      <c r="F43" s="32">
        <v>49</v>
      </c>
      <c r="G43" s="124"/>
      <c r="H43" s="125"/>
      <c r="I43" s="126"/>
    </row>
    <row r="44" spans="1:9" ht="18.75" customHeight="1" x14ac:dyDescent="0.15">
      <c r="A44" s="32">
        <v>25</v>
      </c>
      <c r="B44" s="124"/>
      <c r="C44" s="125"/>
      <c r="D44" s="125"/>
      <c r="E44" s="126"/>
      <c r="F44" s="32">
        <v>50</v>
      </c>
      <c r="G44" s="124"/>
      <c r="H44" s="125"/>
      <c r="I44" s="126"/>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J13" sqref="J13"/>
    </sheetView>
  </sheetViews>
  <sheetFormatPr defaultColWidth="9" defaultRowHeight="18.75" customHeight="1" x14ac:dyDescent="0.15"/>
  <cols>
    <col min="1" max="1" width="2.5" style="33" customWidth="1"/>
    <col min="2" max="2" width="12.5" style="33" customWidth="1"/>
    <col min="3" max="3" width="21" style="33" customWidth="1"/>
    <col min="4" max="18" width="6.125" style="33" customWidth="1"/>
    <col min="19" max="16384" width="9" style="33"/>
  </cols>
  <sheetData>
    <row r="1" spans="1:20" ht="18.75" customHeight="1" x14ac:dyDescent="0.15">
      <c r="F1" s="160" t="s">
        <v>71</v>
      </c>
      <c r="G1" s="160"/>
      <c r="H1" s="160"/>
      <c r="I1" s="160"/>
      <c r="J1" s="160"/>
      <c r="K1" s="160"/>
      <c r="L1" s="160"/>
      <c r="M1" s="160"/>
      <c r="N1" s="160"/>
      <c r="O1" s="160"/>
      <c r="P1" s="160"/>
      <c r="Q1" s="160"/>
      <c r="R1" s="160"/>
    </row>
    <row r="2" spans="1:20" ht="18.75" customHeight="1" x14ac:dyDescent="0.15">
      <c r="D2" s="34"/>
      <c r="E2" s="34"/>
      <c r="F2" s="34"/>
      <c r="G2" s="34"/>
      <c r="H2" s="34"/>
      <c r="I2" s="34"/>
      <c r="J2" s="34"/>
      <c r="K2" s="160" t="s">
        <v>63</v>
      </c>
      <c r="L2" s="160"/>
      <c r="M2" s="35" t="s">
        <v>140</v>
      </c>
      <c r="N2" s="34"/>
      <c r="O2" s="34"/>
      <c r="P2" s="34"/>
      <c r="Q2" s="34"/>
      <c r="R2" s="34"/>
    </row>
    <row r="3" spans="1:20" ht="7.5" customHeight="1" x14ac:dyDescent="0.15"/>
    <row r="4" spans="1:20" ht="18.75" customHeight="1" x14ac:dyDescent="0.15">
      <c r="A4" s="170" t="s">
        <v>120</v>
      </c>
      <c r="B4" s="170"/>
      <c r="C4" s="170"/>
      <c r="D4" s="170"/>
      <c r="E4" s="170"/>
      <c r="F4" s="170"/>
      <c r="G4" s="170"/>
      <c r="H4" s="170"/>
      <c r="I4" s="170"/>
      <c r="J4" s="170"/>
      <c r="K4" s="170"/>
      <c r="L4" s="170"/>
      <c r="M4" s="170"/>
      <c r="N4" s="170"/>
      <c r="O4" s="170"/>
      <c r="P4" s="170"/>
      <c r="Q4" s="170"/>
      <c r="R4" s="170"/>
      <c r="S4" s="35"/>
    </row>
    <row r="5" spans="1:20" ht="7.5" customHeight="1" x14ac:dyDescent="0.15">
      <c r="A5" s="36"/>
      <c r="B5" s="36"/>
      <c r="C5" s="36"/>
      <c r="D5" s="36"/>
      <c r="E5" s="36"/>
      <c r="F5" s="36"/>
      <c r="G5" s="36"/>
      <c r="H5" s="36"/>
      <c r="I5" s="36"/>
      <c r="J5" s="36"/>
      <c r="K5" s="36"/>
      <c r="L5" s="36"/>
      <c r="M5" s="36"/>
      <c r="N5" s="36"/>
      <c r="O5" s="36"/>
      <c r="P5" s="36"/>
      <c r="Q5" s="36"/>
      <c r="R5" s="36"/>
    </row>
    <row r="6" spans="1:20" ht="18.75" customHeight="1" x14ac:dyDescent="0.15">
      <c r="B6" s="154" t="s">
        <v>124</v>
      </c>
      <c r="C6" s="155"/>
      <c r="D6" s="161" t="s">
        <v>88</v>
      </c>
      <c r="E6" s="163" t="s">
        <v>114</v>
      </c>
      <c r="F6" s="163"/>
      <c r="G6" s="163" t="s">
        <v>115</v>
      </c>
      <c r="H6" s="163"/>
      <c r="I6" s="164" t="s">
        <v>116</v>
      </c>
      <c r="J6" s="165"/>
      <c r="K6" s="164" t="s">
        <v>117</v>
      </c>
      <c r="L6" s="165"/>
      <c r="M6" s="164" t="s">
        <v>118</v>
      </c>
      <c r="N6" s="165"/>
      <c r="O6" s="164" t="s">
        <v>119</v>
      </c>
      <c r="P6" s="165"/>
      <c r="Q6" s="166" t="s">
        <v>70</v>
      </c>
      <c r="R6" s="168" t="s">
        <v>64</v>
      </c>
      <c r="T6" s="37"/>
    </row>
    <row r="7" spans="1:20" ht="18.75" customHeight="1" x14ac:dyDescent="0.15">
      <c r="B7" s="156"/>
      <c r="C7" s="157"/>
      <c r="D7" s="162"/>
      <c r="E7" s="38" t="s">
        <v>50</v>
      </c>
      <c r="F7" s="39" t="s">
        <v>49</v>
      </c>
      <c r="G7" s="40" t="s">
        <v>50</v>
      </c>
      <c r="H7" s="41" t="s">
        <v>49</v>
      </c>
      <c r="I7" s="38" t="s">
        <v>50</v>
      </c>
      <c r="J7" s="39" t="s">
        <v>49</v>
      </c>
      <c r="K7" s="40" t="s">
        <v>50</v>
      </c>
      <c r="L7" s="41" t="s">
        <v>49</v>
      </c>
      <c r="M7" s="38" t="s">
        <v>50</v>
      </c>
      <c r="N7" s="39" t="s">
        <v>49</v>
      </c>
      <c r="O7" s="40" t="s">
        <v>50</v>
      </c>
      <c r="P7" s="41" t="s">
        <v>49</v>
      </c>
      <c r="Q7" s="167"/>
      <c r="R7" s="169"/>
      <c r="T7" s="37"/>
    </row>
    <row r="8" spans="1:20" ht="18.75" customHeight="1" x14ac:dyDescent="0.15">
      <c r="A8" s="42"/>
      <c r="B8" s="150" t="s">
        <v>142</v>
      </c>
      <c r="C8" s="151"/>
      <c r="D8" s="43">
        <v>208</v>
      </c>
      <c r="E8" s="44">
        <v>63</v>
      </c>
      <c r="F8" s="45">
        <v>49</v>
      </c>
      <c r="G8" s="46">
        <v>0</v>
      </c>
      <c r="H8" s="47">
        <v>0</v>
      </c>
      <c r="I8" s="44">
        <v>0</v>
      </c>
      <c r="J8" s="45">
        <v>0</v>
      </c>
      <c r="K8" s="46">
        <v>0</v>
      </c>
      <c r="L8" s="47">
        <v>0</v>
      </c>
      <c r="M8" s="44">
        <v>0</v>
      </c>
      <c r="N8" s="45">
        <v>0</v>
      </c>
      <c r="O8" s="46">
        <v>0</v>
      </c>
      <c r="P8" s="47">
        <v>0</v>
      </c>
      <c r="Q8" s="48">
        <f>E8+G8+I8+K8+M8+O8</f>
        <v>63</v>
      </c>
      <c r="R8" s="49">
        <f>Q8/D8</f>
        <v>0.30288461538461536</v>
      </c>
    </row>
    <row r="9" spans="1:20" ht="18.75" customHeight="1" x14ac:dyDescent="0.15">
      <c r="A9" s="42"/>
      <c r="B9" s="148" t="s">
        <v>143</v>
      </c>
      <c r="C9" s="149"/>
      <c r="D9" s="50">
        <v>326</v>
      </c>
      <c r="E9" s="51">
        <v>57</v>
      </c>
      <c r="F9" s="52">
        <v>50</v>
      </c>
      <c r="G9" s="53">
        <v>0</v>
      </c>
      <c r="H9" s="54">
        <v>0</v>
      </c>
      <c r="I9" s="51">
        <v>0</v>
      </c>
      <c r="J9" s="52">
        <v>0</v>
      </c>
      <c r="K9" s="53">
        <v>0</v>
      </c>
      <c r="L9" s="54">
        <v>0</v>
      </c>
      <c r="M9" s="51">
        <v>0</v>
      </c>
      <c r="N9" s="52">
        <v>0</v>
      </c>
      <c r="O9" s="53">
        <v>0</v>
      </c>
      <c r="P9" s="54">
        <v>0</v>
      </c>
      <c r="Q9" s="55">
        <f>E9+G9+I9+K9+M9+O9</f>
        <v>57</v>
      </c>
      <c r="R9" s="49">
        <f>Q9/D9</f>
        <v>0.17484662576687116</v>
      </c>
    </row>
    <row r="10" spans="1:20" ht="18.75" customHeight="1" x14ac:dyDescent="0.15">
      <c r="A10" s="42"/>
      <c r="B10" s="148" t="s">
        <v>144</v>
      </c>
      <c r="C10" s="149"/>
      <c r="D10" s="50">
        <v>288</v>
      </c>
      <c r="E10" s="51">
        <v>122</v>
      </c>
      <c r="F10" s="52">
        <v>105</v>
      </c>
      <c r="G10" s="53">
        <v>0</v>
      </c>
      <c r="H10" s="54">
        <v>0</v>
      </c>
      <c r="I10" s="51">
        <v>0</v>
      </c>
      <c r="J10" s="52">
        <v>0</v>
      </c>
      <c r="K10" s="53">
        <v>0</v>
      </c>
      <c r="L10" s="54">
        <v>0</v>
      </c>
      <c r="M10" s="51">
        <v>0</v>
      </c>
      <c r="N10" s="52">
        <v>0</v>
      </c>
      <c r="O10" s="53">
        <v>0</v>
      </c>
      <c r="P10" s="54">
        <v>0</v>
      </c>
      <c r="Q10" s="55">
        <f>E10+G10+I10+K10+M10+O10</f>
        <v>122</v>
      </c>
      <c r="R10" s="49">
        <f>Q10/D10</f>
        <v>0.4236111111111111</v>
      </c>
    </row>
    <row r="11" spans="1:20" ht="18.75" customHeight="1" x14ac:dyDescent="0.15">
      <c r="A11" s="42"/>
      <c r="B11" s="148" t="s">
        <v>145</v>
      </c>
      <c r="C11" s="149"/>
      <c r="D11" s="50">
        <v>298</v>
      </c>
      <c r="E11" s="51">
        <v>117</v>
      </c>
      <c r="F11" s="52">
        <v>105</v>
      </c>
      <c r="G11" s="53">
        <v>0</v>
      </c>
      <c r="H11" s="54">
        <v>0</v>
      </c>
      <c r="I11" s="51">
        <v>0</v>
      </c>
      <c r="J11" s="52">
        <v>0</v>
      </c>
      <c r="K11" s="53">
        <v>0</v>
      </c>
      <c r="L11" s="54">
        <v>0</v>
      </c>
      <c r="M11" s="51">
        <v>0</v>
      </c>
      <c r="N11" s="52">
        <v>0</v>
      </c>
      <c r="O11" s="53">
        <v>0</v>
      </c>
      <c r="P11" s="54">
        <v>0</v>
      </c>
      <c r="Q11" s="55">
        <f>E11+G11+I11+K11+M11+O11</f>
        <v>117</v>
      </c>
      <c r="R11" s="49">
        <f>Q11/D11</f>
        <v>0.39261744966442952</v>
      </c>
    </row>
    <row r="12" spans="1:20" ht="18.75" customHeight="1" x14ac:dyDescent="0.15">
      <c r="A12" s="42"/>
      <c r="B12" s="148" t="s">
        <v>146</v>
      </c>
      <c r="C12" s="149"/>
      <c r="D12" s="50">
        <v>140</v>
      </c>
      <c r="E12" s="51">
        <v>46</v>
      </c>
      <c r="F12" s="52">
        <v>42</v>
      </c>
      <c r="G12" s="53">
        <v>0</v>
      </c>
      <c r="H12" s="54">
        <v>0</v>
      </c>
      <c r="I12" s="51">
        <v>0</v>
      </c>
      <c r="J12" s="52">
        <v>0</v>
      </c>
      <c r="K12" s="53">
        <v>0</v>
      </c>
      <c r="L12" s="54">
        <v>0</v>
      </c>
      <c r="M12" s="51">
        <v>0</v>
      </c>
      <c r="N12" s="52">
        <v>0</v>
      </c>
      <c r="O12" s="53">
        <v>0</v>
      </c>
      <c r="P12" s="54">
        <v>0</v>
      </c>
      <c r="Q12" s="55">
        <f>E12+G12+I12+K12+M12+O12</f>
        <v>46</v>
      </c>
      <c r="R12" s="49">
        <f>Q12/D12</f>
        <v>0.32857142857142857</v>
      </c>
    </row>
    <row r="13" spans="1:20" ht="18.75" customHeight="1" x14ac:dyDescent="0.15">
      <c r="A13" s="42"/>
      <c r="B13" s="148"/>
      <c r="C13" s="149"/>
      <c r="D13" s="50"/>
      <c r="E13" s="51"/>
      <c r="F13" s="52"/>
      <c r="G13" s="53"/>
      <c r="H13" s="54"/>
      <c r="I13" s="51"/>
      <c r="J13" s="52"/>
      <c r="K13" s="53"/>
      <c r="L13" s="54"/>
      <c r="M13" s="51"/>
      <c r="N13" s="52"/>
      <c r="O13" s="53"/>
      <c r="P13" s="54"/>
      <c r="Q13" s="55"/>
      <c r="R13" s="49"/>
    </row>
    <row r="14" spans="1:20" ht="18.75" customHeight="1" x14ac:dyDescent="0.15">
      <c r="A14" s="42"/>
      <c r="B14" s="148"/>
      <c r="C14" s="149"/>
      <c r="D14" s="50"/>
      <c r="E14" s="51"/>
      <c r="F14" s="52"/>
      <c r="G14" s="53"/>
      <c r="H14" s="54"/>
      <c r="I14" s="51"/>
      <c r="J14" s="52"/>
      <c r="K14" s="53"/>
      <c r="L14" s="54"/>
      <c r="M14" s="51"/>
      <c r="N14" s="52"/>
      <c r="O14" s="53"/>
      <c r="P14" s="54"/>
      <c r="Q14" s="55"/>
      <c r="R14" s="49"/>
    </row>
    <row r="15" spans="1:20" ht="18.75" customHeight="1" x14ac:dyDescent="0.15">
      <c r="A15" s="42"/>
      <c r="B15" s="148"/>
      <c r="C15" s="149"/>
      <c r="D15" s="50"/>
      <c r="E15" s="51"/>
      <c r="F15" s="52"/>
      <c r="G15" s="53"/>
      <c r="H15" s="54"/>
      <c r="I15" s="51"/>
      <c r="J15" s="52"/>
      <c r="K15" s="53"/>
      <c r="L15" s="54"/>
      <c r="M15" s="51"/>
      <c r="N15" s="52"/>
      <c r="O15" s="53"/>
      <c r="P15" s="54"/>
      <c r="Q15" s="55"/>
      <c r="R15" s="49"/>
    </row>
    <row r="16" spans="1:20" ht="18.75" customHeight="1" x14ac:dyDescent="0.15">
      <c r="A16" s="42"/>
      <c r="B16" s="148"/>
      <c r="C16" s="149"/>
      <c r="D16" s="50"/>
      <c r="E16" s="51"/>
      <c r="F16" s="52"/>
      <c r="G16" s="53"/>
      <c r="H16" s="54"/>
      <c r="I16" s="51"/>
      <c r="J16" s="52"/>
      <c r="K16" s="53"/>
      <c r="L16" s="54"/>
      <c r="M16" s="51"/>
      <c r="N16" s="52"/>
      <c r="O16" s="53"/>
      <c r="P16" s="54"/>
      <c r="Q16" s="55"/>
      <c r="R16" s="49"/>
    </row>
    <row r="17" spans="1:18" ht="18.75" customHeight="1" x14ac:dyDescent="0.15">
      <c r="A17" s="42"/>
      <c r="B17" s="148"/>
      <c r="C17" s="149"/>
      <c r="D17" s="50"/>
      <c r="E17" s="51"/>
      <c r="F17" s="52"/>
      <c r="G17" s="53"/>
      <c r="H17" s="54"/>
      <c r="I17" s="51"/>
      <c r="J17" s="52"/>
      <c r="K17" s="53"/>
      <c r="L17" s="54"/>
      <c r="M17" s="51"/>
      <c r="N17" s="52"/>
      <c r="O17" s="53"/>
      <c r="P17" s="54"/>
      <c r="Q17" s="55"/>
      <c r="R17" s="49"/>
    </row>
    <row r="18" spans="1:18" ht="18.75" customHeight="1" x14ac:dyDescent="0.15">
      <c r="A18" s="42"/>
      <c r="B18" s="148"/>
      <c r="C18" s="149"/>
      <c r="D18" s="50"/>
      <c r="E18" s="51"/>
      <c r="F18" s="52"/>
      <c r="G18" s="53"/>
      <c r="H18" s="54"/>
      <c r="I18" s="51"/>
      <c r="J18" s="52"/>
      <c r="K18" s="53"/>
      <c r="L18" s="54"/>
      <c r="M18" s="51"/>
      <c r="N18" s="52"/>
      <c r="O18" s="53"/>
      <c r="P18" s="54"/>
      <c r="Q18" s="55"/>
      <c r="R18" s="49"/>
    </row>
    <row r="19" spans="1:18" ht="18.75" customHeight="1" x14ac:dyDescent="0.15">
      <c r="A19" s="42"/>
      <c r="B19" s="148"/>
      <c r="C19" s="149"/>
      <c r="D19" s="50"/>
      <c r="E19" s="51"/>
      <c r="F19" s="52"/>
      <c r="G19" s="53"/>
      <c r="H19" s="54"/>
      <c r="I19" s="51"/>
      <c r="J19" s="52"/>
      <c r="K19" s="53"/>
      <c r="L19" s="54"/>
      <c r="M19" s="51"/>
      <c r="N19" s="52"/>
      <c r="O19" s="53"/>
      <c r="P19" s="54"/>
      <c r="Q19" s="55"/>
      <c r="R19" s="49"/>
    </row>
    <row r="20" spans="1:18" ht="18.75" customHeight="1" x14ac:dyDescent="0.15">
      <c r="A20" s="42"/>
      <c r="B20" s="148"/>
      <c r="C20" s="149"/>
      <c r="D20" s="50"/>
      <c r="E20" s="51"/>
      <c r="F20" s="52"/>
      <c r="G20" s="53"/>
      <c r="H20" s="54"/>
      <c r="I20" s="51"/>
      <c r="J20" s="52"/>
      <c r="K20" s="53"/>
      <c r="L20" s="54"/>
      <c r="M20" s="51"/>
      <c r="N20" s="52"/>
      <c r="O20" s="53"/>
      <c r="P20" s="54"/>
      <c r="Q20" s="55"/>
      <c r="R20" s="49"/>
    </row>
    <row r="21" spans="1:18" ht="18.75" customHeight="1" x14ac:dyDescent="0.15">
      <c r="A21" s="42"/>
      <c r="B21" s="148"/>
      <c r="C21" s="149"/>
      <c r="D21" s="50"/>
      <c r="E21" s="51"/>
      <c r="F21" s="52"/>
      <c r="G21" s="53"/>
      <c r="H21" s="54"/>
      <c r="I21" s="51"/>
      <c r="J21" s="52"/>
      <c r="K21" s="53"/>
      <c r="L21" s="54"/>
      <c r="M21" s="51"/>
      <c r="N21" s="52"/>
      <c r="O21" s="53"/>
      <c r="P21" s="54"/>
      <c r="Q21" s="55"/>
      <c r="R21" s="49"/>
    </row>
    <row r="22" spans="1:18" ht="18.75" customHeight="1" x14ac:dyDescent="0.15">
      <c r="A22" s="42"/>
      <c r="B22" s="148"/>
      <c r="C22" s="149"/>
      <c r="D22" s="50"/>
      <c r="E22" s="51"/>
      <c r="F22" s="52"/>
      <c r="G22" s="53"/>
      <c r="H22" s="54"/>
      <c r="I22" s="51"/>
      <c r="J22" s="52"/>
      <c r="K22" s="53"/>
      <c r="L22" s="54"/>
      <c r="M22" s="51"/>
      <c r="N22" s="52"/>
      <c r="O22" s="53"/>
      <c r="P22" s="54"/>
      <c r="Q22" s="55"/>
      <c r="R22" s="49"/>
    </row>
    <row r="23" spans="1:18" ht="18.75" customHeight="1" x14ac:dyDescent="0.15">
      <c r="A23" s="42"/>
      <c r="B23" s="148"/>
      <c r="C23" s="149"/>
      <c r="D23" s="50"/>
      <c r="E23" s="51"/>
      <c r="F23" s="52"/>
      <c r="G23" s="53"/>
      <c r="H23" s="54"/>
      <c r="I23" s="51"/>
      <c r="J23" s="52"/>
      <c r="K23" s="53"/>
      <c r="L23" s="54"/>
      <c r="M23" s="51"/>
      <c r="N23" s="52"/>
      <c r="O23" s="53"/>
      <c r="P23" s="54"/>
      <c r="Q23" s="55"/>
      <c r="R23" s="49"/>
    </row>
    <row r="24" spans="1:18" ht="18.75" customHeight="1" x14ac:dyDescent="0.15">
      <c r="A24" s="42"/>
      <c r="B24" s="148"/>
      <c r="C24" s="149"/>
      <c r="D24" s="50"/>
      <c r="E24" s="51"/>
      <c r="F24" s="52"/>
      <c r="G24" s="53"/>
      <c r="H24" s="54"/>
      <c r="I24" s="51"/>
      <c r="J24" s="52"/>
      <c r="K24" s="53"/>
      <c r="L24" s="54"/>
      <c r="M24" s="51"/>
      <c r="N24" s="52"/>
      <c r="O24" s="53"/>
      <c r="P24" s="54"/>
      <c r="Q24" s="55"/>
      <c r="R24" s="49"/>
    </row>
    <row r="25" spans="1:18" ht="18.75" customHeight="1" x14ac:dyDescent="0.15">
      <c r="A25" s="42"/>
      <c r="B25" s="148"/>
      <c r="C25" s="149"/>
      <c r="D25" s="50"/>
      <c r="E25" s="51"/>
      <c r="F25" s="52"/>
      <c r="G25" s="53"/>
      <c r="H25" s="54"/>
      <c r="I25" s="51"/>
      <c r="J25" s="52"/>
      <c r="K25" s="53"/>
      <c r="L25" s="54"/>
      <c r="M25" s="51"/>
      <c r="N25" s="52"/>
      <c r="O25" s="53"/>
      <c r="P25" s="54"/>
      <c r="Q25" s="55"/>
      <c r="R25" s="49"/>
    </row>
    <row r="26" spans="1:18" ht="18.75" customHeight="1" x14ac:dyDescent="0.15">
      <c r="A26" s="42"/>
      <c r="B26" s="148"/>
      <c r="C26" s="149"/>
      <c r="D26" s="50"/>
      <c r="E26" s="51"/>
      <c r="F26" s="52"/>
      <c r="G26" s="53"/>
      <c r="H26" s="54"/>
      <c r="I26" s="51"/>
      <c r="J26" s="52"/>
      <c r="K26" s="53"/>
      <c r="L26" s="54"/>
      <c r="M26" s="51"/>
      <c r="N26" s="52"/>
      <c r="O26" s="53"/>
      <c r="P26" s="54"/>
      <c r="Q26" s="55"/>
      <c r="R26" s="49"/>
    </row>
    <row r="27" spans="1:18" ht="18.75" customHeight="1" thickBot="1" x14ac:dyDescent="0.2">
      <c r="A27" s="42"/>
      <c r="B27" s="158"/>
      <c r="C27" s="159"/>
      <c r="D27" s="43"/>
      <c r="E27" s="44"/>
      <c r="F27" s="45"/>
      <c r="G27" s="46"/>
      <c r="H27" s="47"/>
      <c r="I27" s="44"/>
      <c r="J27" s="45"/>
      <c r="K27" s="46"/>
      <c r="L27" s="47"/>
      <c r="M27" s="44"/>
      <c r="N27" s="45"/>
      <c r="O27" s="46"/>
      <c r="P27" s="47"/>
      <c r="Q27" s="56"/>
      <c r="R27" s="49"/>
    </row>
    <row r="28" spans="1:18" ht="18.75" customHeight="1" thickTop="1" x14ac:dyDescent="0.15">
      <c r="A28" s="42"/>
      <c r="B28" s="152" t="s">
        <v>65</v>
      </c>
      <c r="C28" s="153"/>
      <c r="D28" s="57">
        <v>1260</v>
      </c>
      <c r="E28" s="58">
        <f t="shared" ref="E28:Q28" si="0">SUM(E8:E27)</f>
        <v>405</v>
      </c>
      <c r="F28" s="59">
        <f t="shared" si="0"/>
        <v>351</v>
      </c>
      <c r="G28" s="60">
        <f t="shared" si="0"/>
        <v>0</v>
      </c>
      <c r="H28" s="61">
        <f t="shared" si="0"/>
        <v>0</v>
      </c>
      <c r="I28" s="58">
        <f t="shared" si="0"/>
        <v>0</v>
      </c>
      <c r="J28" s="59">
        <f t="shared" si="0"/>
        <v>0</v>
      </c>
      <c r="K28" s="60">
        <f t="shared" si="0"/>
        <v>0</v>
      </c>
      <c r="L28" s="61">
        <f t="shared" si="0"/>
        <v>0</v>
      </c>
      <c r="M28" s="58">
        <f t="shared" si="0"/>
        <v>0</v>
      </c>
      <c r="N28" s="59">
        <f t="shared" si="0"/>
        <v>0</v>
      </c>
      <c r="O28" s="60">
        <f t="shared" si="0"/>
        <v>0</v>
      </c>
      <c r="P28" s="61">
        <f t="shared" si="0"/>
        <v>0</v>
      </c>
      <c r="Q28" s="62">
        <f t="shared" si="0"/>
        <v>405</v>
      </c>
      <c r="R28" s="63">
        <f>Q28/D28</f>
        <v>0.32142857142857145</v>
      </c>
    </row>
    <row r="29" spans="1:18" ht="6.75" customHeight="1" x14ac:dyDescent="0.15">
      <c r="A29" s="42"/>
      <c r="B29" s="42"/>
      <c r="C29" s="42"/>
      <c r="D29" s="64"/>
      <c r="E29" s="64"/>
      <c r="F29" s="64"/>
      <c r="G29" s="64"/>
      <c r="H29" s="64"/>
      <c r="I29" s="64"/>
      <c r="J29" s="64"/>
      <c r="K29" s="64"/>
      <c r="L29" s="64"/>
      <c r="M29" s="64"/>
      <c r="N29" s="64"/>
      <c r="O29" s="64"/>
      <c r="P29" s="64"/>
      <c r="Q29" s="64"/>
      <c r="R29" s="64"/>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1"/>
  <sheetViews>
    <sheetView topLeftCell="A136" zoomScale="99" zoomScaleNormal="99" workbookViewId="0">
      <selection activeCell="B6" sqref="B6:B25"/>
    </sheetView>
  </sheetViews>
  <sheetFormatPr defaultColWidth="9" defaultRowHeight="14.25" x14ac:dyDescent="0.15"/>
  <cols>
    <col min="1" max="1" width="2.5" style="33" customWidth="1"/>
    <col min="2" max="2" width="19" style="33" customWidth="1"/>
    <col min="3" max="3" width="25" style="33" customWidth="1"/>
    <col min="4" max="4" width="10" style="33" customWidth="1"/>
    <col min="5" max="7" width="25" style="33" customWidth="1"/>
    <col min="8" max="16384" width="9" style="33"/>
  </cols>
  <sheetData>
    <row r="1" spans="1:8" ht="18.75" customHeight="1" x14ac:dyDescent="0.15">
      <c r="G1" s="65" t="s">
        <v>154</v>
      </c>
    </row>
    <row r="2" spans="1:8" ht="18.75" customHeight="1" x14ac:dyDescent="0.15">
      <c r="F2" s="65" t="s">
        <v>73</v>
      </c>
      <c r="G2" s="33" t="s">
        <v>153</v>
      </c>
    </row>
    <row r="3" spans="1:8" ht="18.75" customHeight="1" x14ac:dyDescent="0.15">
      <c r="A3" s="208" t="s">
        <v>92</v>
      </c>
      <c r="B3" s="208"/>
      <c r="C3" s="208"/>
      <c r="D3" s="208"/>
      <c r="E3" s="208"/>
      <c r="F3" s="208"/>
      <c r="G3" s="208"/>
    </row>
    <row r="4" spans="1:8" ht="18.75" customHeight="1" x14ac:dyDescent="0.15">
      <c r="A4" s="33" t="s">
        <v>7</v>
      </c>
      <c r="B4" s="33" t="s">
        <v>91</v>
      </c>
    </row>
    <row r="5" spans="1:8" s="66" customFormat="1" ht="18.75" customHeight="1" x14ac:dyDescent="0.15">
      <c r="B5" s="67" t="s">
        <v>72</v>
      </c>
      <c r="C5" s="177" t="s">
        <v>104</v>
      </c>
      <c r="D5" s="178"/>
      <c r="E5" s="178"/>
      <c r="F5" s="178"/>
      <c r="G5" s="179"/>
    </row>
    <row r="6" spans="1:8" s="66" customFormat="1" ht="34.5" customHeight="1" x14ac:dyDescent="0.15">
      <c r="B6" s="183" t="s">
        <v>107</v>
      </c>
      <c r="C6" s="209" t="s">
        <v>199</v>
      </c>
      <c r="D6" s="210"/>
      <c r="E6" s="210"/>
      <c r="F6" s="210"/>
      <c r="G6" s="211"/>
    </row>
    <row r="7" spans="1:8" s="66" customFormat="1" ht="34.5" customHeight="1" x14ac:dyDescent="0.15">
      <c r="B7" s="184"/>
      <c r="C7" s="212"/>
      <c r="D7" s="213"/>
      <c r="E7" s="213"/>
      <c r="F7" s="213"/>
      <c r="G7" s="214"/>
      <c r="H7" s="68"/>
    </row>
    <row r="8" spans="1:8" s="66" customFormat="1" ht="34.5" customHeight="1" x14ac:dyDescent="0.15">
      <c r="B8" s="184"/>
      <c r="C8" s="212"/>
      <c r="D8" s="213"/>
      <c r="E8" s="213"/>
      <c r="F8" s="213"/>
      <c r="G8" s="214"/>
    </row>
    <row r="9" spans="1:8" s="66" customFormat="1" ht="34.5" customHeight="1" x14ac:dyDescent="0.15">
      <c r="B9" s="184"/>
      <c r="C9" s="215"/>
      <c r="D9" s="216"/>
      <c r="E9" s="216"/>
      <c r="F9" s="216"/>
      <c r="G9" s="217"/>
    </row>
    <row r="10" spans="1:8" s="66" customFormat="1" ht="18.75" customHeight="1" x14ac:dyDescent="0.15">
      <c r="B10" s="184"/>
      <c r="C10" s="69"/>
      <c r="D10" s="171" t="s">
        <v>106</v>
      </c>
      <c r="E10" s="172"/>
      <c r="F10" s="172"/>
      <c r="G10" s="173"/>
    </row>
    <row r="11" spans="1:8" s="66" customFormat="1" ht="18.75" customHeight="1" x14ac:dyDescent="0.15">
      <c r="B11" s="184"/>
      <c r="C11" s="70" t="s">
        <v>159</v>
      </c>
      <c r="D11" s="174" t="s">
        <v>195</v>
      </c>
      <c r="E11" s="175"/>
      <c r="F11" s="175"/>
      <c r="G11" s="176"/>
    </row>
    <row r="12" spans="1:8" s="66" customFormat="1" ht="18.75" customHeight="1" x14ac:dyDescent="0.15">
      <c r="B12" s="184"/>
      <c r="C12" s="71" t="s">
        <v>159</v>
      </c>
      <c r="D12" s="174" t="s">
        <v>176</v>
      </c>
      <c r="E12" s="175"/>
      <c r="F12" s="175"/>
      <c r="G12" s="176"/>
    </row>
    <row r="13" spans="1:8" s="66" customFormat="1" ht="18.75" customHeight="1" x14ac:dyDescent="0.15">
      <c r="B13" s="184"/>
      <c r="C13" s="71" t="s">
        <v>159</v>
      </c>
      <c r="D13" s="174" t="s">
        <v>177</v>
      </c>
      <c r="E13" s="175"/>
      <c r="F13" s="175"/>
      <c r="G13" s="176"/>
    </row>
    <row r="14" spans="1:8" s="66" customFormat="1" ht="18.75" customHeight="1" x14ac:dyDescent="0.15">
      <c r="B14" s="184"/>
      <c r="C14" s="71" t="s">
        <v>168</v>
      </c>
      <c r="D14" s="174" t="s">
        <v>165</v>
      </c>
      <c r="E14" s="175"/>
      <c r="F14" s="175"/>
      <c r="G14" s="176"/>
    </row>
    <row r="15" spans="1:8" s="66" customFormat="1" ht="18.75" customHeight="1" x14ac:dyDescent="0.15">
      <c r="B15" s="184"/>
      <c r="C15" s="7" t="s">
        <v>169</v>
      </c>
      <c r="D15" s="180" t="s">
        <v>200</v>
      </c>
      <c r="E15" s="181"/>
      <c r="F15" s="181"/>
      <c r="G15" s="182"/>
    </row>
    <row r="16" spans="1:8" s="66" customFormat="1" ht="18.75" customHeight="1" x14ac:dyDescent="0.15">
      <c r="B16" s="184"/>
      <c r="C16" s="67"/>
      <c r="D16" s="177"/>
      <c r="E16" s="178"/>
      <c r="F16" s="178"/>
      <c r="G16" s="179"/>
    </row>
    <row r="17" spans="2:7" s="66" customFormat="1" ht="18.75" customHeight="1" x14ac:dyDescent="0.15">
      <c r="B17" s="184"/>
      <c r="C17" s="67"/>
      <c r="D17" s="177"/>
      <c r="E17" s="178"/>
      <c r="F17" s="178"/>
      <c r="G17" s="179"/>
    </row>
    <row r="18" spans="2:7" s="66" customFormat="1" ht="18.75" customHeight="1" x14ac:dyDescent="0.15">
      <c r="B18" s="184"/>
      <c r="C18" s="67"/>
      <c r="D18" s="177"/>
      <c r="E18" s="178"/>
      <c r="F18" s="178"/>
      <c r="G18" s="179"/>
    </row>
    <row r="19" spans="2:7" s="66" customFormat="1" ht="18.75" customHeight="1" x14ac:dyDescent="0.15">
      <c r="B19" s="184"/>
      <c r="C19" s="67"/>
      <c r="D19" s="177"/>
      <c r="E19" s="178"/>
      <c r="F19" s="178"/>
      <c r="G19" s="179"/>
    </row>
    <row r="20" spans="2:7" s="66" customFormat="1" ht="18.75" customHeight="1" x14ac:dyDescent="0.15">
      <c r="B20" s="184"/>
      <c r="C20" s="67"/>
      <c r="D20" s="177"/>
      <c r="E20" s="178"/>
      <c r="F20" s="178"/>
      <c r="G20" s="179"/>
    </row>
    <row r="21" spans="2:7" s="66" customFormat="1" ht="18.75" customHeight="1" x14ac:dyDescent="0.15">
      <c r="B21" s="184"/>
      <c r="C21" s="67"/>
      <c r="D21" s="177"/>
      <c r="E21" s="178"/>
      <c r="F21" s="178"/>
      <c r="G21" s="179"/>
    </row>
    <row r="22" spans="2:7" s="66" customFormat="1" ht="18.75" customHeight="1" x14ac:dyDescent="0.15">
      <c r="B22" s="184"/>
      <c r="C22" s="67"/>
      <c r="D22" s="177"/>
      <c r="E22" s="178"/>
      <c r="F22" s="178"/>
      <c r="G22" s="179"/>
    </row>
    <row r="23" spans="2:7" s="66" customFormat="1" ht="18.75" customHeight="1" x14ac:dyDescent="0.15">
      <c r="B23" s="184"/>
      <c r="C23" s="67"/>
      <c r="D23" s="177"/>
      <c r="E23" s="178"/>
      <c r="F23" s="178"/>
      <c r="G23" s="179"/>
    </row>
    <row r="24" spans="2:7" s="66" customFormat="1" ht="18.75" customHeight="1" x14ac:dyDescent="0.15">
      <c r="B24" s="184"/>
      <c r="C24" s="67"/>
      <c r="D24" s="177"/>
      <c r="E24" s="178"/>
      <c r="F24" s="178"/>
      <c r="G24" s="179"/>
    </row>
    <row r="25" spans="2:7" s="66" customFormat="1" ht="18.75" customHeight="1" x14ac:dyDescent="0.15">
      <c r="B25" s="184"/>
      <c r="C25" s="67"/>
      <c r="D25" s="177"/>
      <c r="E25" s="178"/>
      <c r="F25" s="178"/>
      <c r="G25" s="179"/>
    </row>
    <row r="26" spans="2:7" ht="18.75" customHeight="1" x14ac:dyDescent="0.15">
      <c r="B26" s="183" t="s">
        <v>166</v>
      </c>
      <c r="C26" s="177" t="s">
        <v>104</v>
      </c>
      <c r="D26" s="178"/>
      <c r="E26" s="178"/>
      <c r="F26" s="178"/>
      <c r="G26" s="179"/>
    </row>
    <row r="27" spans="2:7" ht="27.75" customHeight="1" x14ac:dyDescent="0.15">
      <c r="B27" s="184"/>
      <c r="C27" s="185" t="s">
        <v>183</v>
      </c>
      <c r="D27" s="194"/>
      <c r="E27" s="194"/>
      <c r="F27" s="194"/>
      <c r="G27" s="195"/>
    </row>
    <row r="28" spans="2:7" ht="27.75" customHeight="1" x14ac:dyDescent="0.15">
      <c r="B28" s="184"/>
      <c r="C28" s="196"/>
      <c r="D28" s="197"/>
      <c r="E28" s="197"/>
      <c r="F28" s="197"/>
      <c r="G28" s="198"/>
    </row>
    <row r="29" spans="2:7" ht="27.75" customHeight="1" x14ac:dyDescent="0.15">
      <c r="B29" s="184"/>
      <c r="C29" s="196"/>
      <c r="D29" s="197"/>
      <c r="E29" s="197"/>
      <c r="F29" s="197"/>
      <c r="G29" s="198"/>
    </row>
    <row r="30" spans="2:7" ht="27.75" customHeight="1" x14ac:dyDescent="0.15">
      <c r="B30" s="184"/>
      <c r="C30" s="196"/>
      <c r="D30" s="197"/>
      <c r="E30" s="197"/>
      <c r="F30" s="197"/>
      <c r="G30" s="198"/>
    </row>
    <row r="31" spans="2:7" ht="27.75" customHeight="1" x14ac:dyDescent="0.15">
      <c r="B31" s="184"/>
      <c r="C31" s="199"/>
      <c r="D31" s="200"/>
      <c r="E31" s="200"/>
      <c r="F31" s="200"/>
      <c r="G31" s="201"/>
    </row>
    <row r="32" spans="2:7" ht="18.75" customHeight="1" x14ac:dyDescent="0.15">
      <c r="B32" s="184"/>
      <c r="C32" s="69" t="s">
        <v>105</v>
      </c>
      <c r="D32" s="177" t="s">
        <v>106</v>
      </c>
      <c r="E32" s="178"/>
      <c r="F32" s="178"/>
      <c r="G32" s="179"/>
    </row>
    <row r="33" spans="2:7" ht="18.75" customHeight="1" x14ac:dyDescent="0.15">
      <c r="B33" s="184"/>
      <c r="C33" s="7" t="s">
        <v>159</v>
      </c>
      <c r="D33" s="203" t="s">
        <v>167</v>
      </c>
      <c r="E33" s="204"/>
      <c r="F33" s="204"/>
      <c r="G33" s="205"/>
    </row>
    <row r="34" spans="2:7" ht="18.75" customHeight="1" x14ac:dyDescent="0.15">
      <c r="B34" s="184"/>
      <c r="C34" s="206" t="s">
        <v>159</v>
      </c>
      <c r="D34" s="203" t="s">
        <v>173</v>
      </c>
      <c r="E34" s="204"/>
      <c r="F34" s="204"/>
      <c r="G34" s="205"/>
    </row>
    <row r="35" spans="2:7" ht="18.75" customHeight="1" x14ac:dyDescent="0.15">
      <c r="B35" s="184"/>
      <c r="C35" s="207"/>
      <c r="D35" s="232" t="s">
        <v>175</v>
      </c>
      <c r="E35" s="233"/>
      <c r="F35" s="233"/>
      <c r="G35" s="234"/>
    </row>
    <row r="36" spans="2:7" ht="18.75" customHeight="1" x14ac:dyDescent="0.15">
      <c r="B36" s="184"/>
      <c r="C36" s="206" t="s">
        <v>160</v>
      </c>
      <c r="D36" s="232" t="s">
        <v>174</v>
      </c>
      <c r="E36" s="233"/>
      <c r="F36" s="233"/>
      <c r="G36" s="234"/>
    </row>
    <row r="37" spans="2:7" ht="18.75" customHeight="1" x14ac:dyDescent="0.15">
      <c r="B37" s="184"/>
      <c r="C37" s="207"/>
      <c r="D37" s="228" t="s">
        <v>178</v>
      </c>
      <c r="E37" s="229"/>
      <c r="F37" s="229"/>
      <c r="G37" s="230"/>
    </row>
    <row r="38" spans="2:7" ht="18.75" customHeight="1" x14ac:dyDescent="0.15">
      <c r="B38" s="184"/>
      <c r="C38" s="7" t="s">
        <v>179</v>
      </c>
      <c r="D38" s="232" t="s">
        <v>180</v>
      </c>
      <c r="E38" s="233"/>
      <c r="F38" s="233"/>
      <c r="G38" s="234"/>
    </row>
    <row r="39" spans="2:7" ht="18.75" customHeight="1" x14ac:dyDescent="0.15">
      <c r="B39" s="184"/>
      <c r="C39" s="67"/>
      <c r="D39" s="171"/>
      <c r="E39" s="172"/>
      <c r="F39" s="172"/>
      <c r="G39" s="173"/>
    </row>
    <row r="40" spans="2:7" ht="18.75" customHeight="1" x14ac:dyDescent="0.15">
      <c r="B40" s="184"/>
      <c r="C40" s="67"/>
      <c r="D40" s="171"/>
      <c r="E40" s="172"/>
      <c r="F40" s="172"/>
      <c r="G40" s="173"/>
    </row>
    <row r="41" spans="2:7" ht="18.75" customHeight="1" x14ac:dyDescent="0.15">
      <c r="B41" s="184"/>
      <c r="C41" s="67"/>
      <c r="D41" s="171"/>
      <c r="E41" s="172"/>
      <c r="F41" s="172"/>
      <c r="G41" s="173"/>
    </row>
    <row r="42" spans="2:7" ht="18.75" customHeight="1" x14ac:dyDescent="0.15">
      <c r="B42" s="184"/>
      <c r="C42" s="67"/>
      <c r="D42" s="171"/>
      <c r="E42" s="172"/>
      <c r="F42" s="172"/>
      <c r="G42" s="173"/>
    </row>
    <row r="43" spans="2:7" ht="18.75" customHeight="1" x14ac:dyDescent="0.15">
      <c r="B43" s="184"/>
      <c r="C43" s="67"/>
      <c r="D43" s="171"/>
      <c r="E43" s="172"/>
      <c r="F43" s="172"/>
      <c r="G43" s="173"/>
    </row>
    <row r="44" spans="2:7" ht="18.75" customHeight="1" x14ac:dyDescent="0.15">
      <c r="B44" s="184"/>
      <c r="C44" s="67"/>
      <c r="D44" s="171"/>
      <c r="E44" s="172"/>
      <c r="F44" s="172"/>
      <c r="G44" s="173"/>
    </row>
    <row r="45" spans="2:7" ht="18.75" customHeight="1" x14ac:dyDescent="0.15">
      <c r="B45" s="184"/>
      <c r="C45" s="67"/>
      <c r="D45" s="171"/>
      <c r="E45" s="172"/>
      <c r="F45" s="172"/>
      <c r="G45" s="173"/>
    </row>
    <row r="46" spans="2:7" ht="18.75" customHeight="1" x14ac:dyDescent="0.15">
      <c r="B46" s="184"/>
      <c r="C46" s="67"/>
      <c r="D46" s="171"/>
      <c r="E46" s="172"/>
      <c r="F46" s="172"/>
      <c r="G46" s="173"/>
    </row>
    <row r="47" spans="2:7" ht="18.75" customHeight="1" x14ac:dyDescent="0.15">
      <c r="B47" s="184"/>
      <c r="C47" s="67"/>
      <c r="D47" s="171"/>
      <c r="E47" s="172"/>
      <c r="F47" s="172"/>
      <c r="G47" s="173"/>
    </row>
    <row r="48" spans="2:7" ht="18.75" customHeight="1" x14ac:dyDescent="0.15">
      <c r="B48" s="184"/>
      <c r="C48" s="67"/>
      <c r="D48" s="171"/>
      <c r="E48" s="172"/>
      <c r="F48" s="172"/>
      <c r="G48" s="173"/>
    </row>
    <row r="49" spans="2:7" ht="18.75" customHeight="1" x14ac:dyDescent="0.15">
      <c r="B49" s="184"/>
      <c r="C49" s="67"/>
      <c r="D49" s="171"/>
      <c r="E49" s="172"/>
      <c r="F49" s="172"/>
      <c r="G49" s="173"/>
    </row>
    <row r="50" spans="2:7" ht="18.75" customHeight="1" x14ac:dyDescent="0.15">
      <c r="B50" s="202"/>
      <c r="C50" s="67"/>
      <c r="D50" s="171"/>
      <c r="E50" s="172"/>
      <c r="F50" s="172"/>
      <c r="G50" s="173"/>
    </row>
    <row r="51" spans="2:7" ht="18.75" customHeight="1" x14ac:dyDescent="0.15">
      <c r="B51" s="183" t="s">
        <v>109</v>
      </c>
      <c r="C51" s="177" t="s">
        <v>104</v>
      </c>
      <c r="D51" s="178"/>
      <c r="E51" s="178"/>
      <c r="F51" s="178"/>
      <c r="G51" s="179"/>
    </row>
    <row r="52" spans="2:7" ht="21.75" customHeight="1" x14ac:dyDescent="0.15">
      <c r="B52" s="184"/>
      <c r="C52" s="185" t="s">
        <v>184</v>
      </c>
      <c r="D52" s="186"/>
      <c r="E52" s="186"/>
      <c r="F52" s="186"/>
      <c r="G52" s="187"/>
    </row>
    <row r="53" spans="2:7" ht="21.75" customHeight="1" x14ac:dyDescent="0.15">
      <c r="B53" s="184"/>
      <c r="C53" s="188"/>
      <c r="D53" s="189"/>
      <c r="E53" s="189"/>
      <c r="F53" s="189"/>
      <c r="G53" s="190"/>
    </row>
    <row r="54" spans="2:7" ht="21.75" customHeight="1" x14ac:dyDescent="0.15">
      <c r="B54" s="184"/>
      <c r="C54" s="188"/>
      <c r="D54" s="189"/>
      <c r="E54" s="189"/>
      <c r="F54" s="189"/>
      <c r="G54" s="190"/>
    </row>
    <row r="55" spans="2:7" ht="21.75" customHeight="1" x14ac:dyDescent="0.15">
      <c r="B55" s="184"/>
      <c r="C55" s="188"/>
      <c r="D55" s="189"/>
      <c r="E55" s="189"/>
      <c r="F55" s="189"/>
      <c r="G55" s="190"/>
    </row>
    <row r="56" spans="2:7" ht="21.75" customHeight="1" x14ac:dyDescent="0.15">
      <c r="B56" s="184"/>
      <c r="C56" s="188"/>
      <c r="D56" s="189"/>
      <c r="E56" s="189"/>
      <c r="F56" s="189"/>
      <c r="G56" s="190"/>
    </row>
    <row r="57" spans="2:7" ht="21.6" customHeight="1" x14ac:dyDescent="0.15">
      <c r="B57" s="184"/>
      <c r="C57" s="191"/>
      <c r="D57" s="192"/>
      <c r="E57" s="192"/>
      <c r="F57" s="192"/>
      <c r="G57" s="193"/>
    </row>
    <row r="58" spans="2:7" ht="18.75" customHeight="1" x14ac:dyDescent="0.15">
      <c r="B58" s="184"/>
      <c r="C58" s="69" t="s">
        <v>105</v>
      </c>
      <c r="D58" s="177" t="s">
        <v>106</v>
      </c>
      <c r="E58" s="178"/>
      <c r="F58" s="178"/>
      <c r="G58" s="179"/>
    </row>
    <row r="59" spans="2:7" ht="18.75" customHeight="1" x14ac:dyDescent="0.15">
      <c r="B59" s="184"/>
      <c r="C59" s="67" t="s">
        <v>159</v>
      </c>
      <c r="D59" s="174" t="s">
        <v>170</v>
      </c>
      <c r="E59" s="175"/>
      <c r="F59" s="175"/>
      <c r="G59" s="176"/>
    </row>
    <row r="60" spans="2:7" ht="18.75" customHeight="1" x14ac:dyDescent="0.15">
      <c r="B60" s="184"/>
      <c r="C60" s="67" t="s">
        <v>159</v>
      </c>
      <c r="D60" s="174" t="s">
        <v>171</v>
      </c>
      <c r="E60" s="175"/>
      <c r="F60" s="175"/>
      <c r="G60" s="176"/>
    </row>
    <row r="61" spans="2:7" ht="18.75" customHeight="1" x14ac:dyDescent="0.15">
      <c r="B61" s="184"/>
      <c r="C61" s="67" t="s">
        <v>159</v>
      </c>
      <c r="D61" s="174" t="s">
        <v>172</v>
      </c>
      <c r="E61" s="175"/>
      <c r="F61" s="175"/>
      <c r="G61" s="176"/>
    </row>
    <row r="62" spans="2:7" ht="18.75" customHeight="1" x14ac:dyDescent="0.15">
      <c r="B62" s="184"/>
      <c r="C62" s="67" t="s">
        <v>164</v>
      </c>
      <c r="D62" s="174" t="s">
        <v>185</v>
      </c>
      <c r="E62" s="175"/>
      <c r="F62" s="175"/>
      <c r="G62" s="176"/>
    </row>
    <row r="63" spans="2:7" ht="18.75" customHeight="1" x14ac:dyDescent="0.15">
      <c r="B63" s="184"/>
      <c r="C63" s="67" t="s">
        <v>164</v>
      </c>
      <c r="D63" s="235" t="s">
        <v>186</v>
      </c>
      <c r="E63" s="236"/>
      <c r="F63" s="236"/>
      <c r="G63" s="237"/>
    </row>
    <row r="64" spans="2:7" ht="18.75" customHeight="1" x14ac:dyDescent="0.15">
      <c r="B64" s="184"/>
      <c r="C64" s="67" t="s">
        <v>164</v>
      </c>
      <c r="D64" s="235" t="s">
        <v>187</v>
      </c>
      <c r="E64" s="236"/>
      <c r="F64" s="236"/>
      <c r="G64" s="237"/>
    </row>
    <row r="65" spans="2:7" ht="18.75" customHeight="1" x14ac:dyDescent="0.15">
      <c r="B65" s="184"/>
      <c r="C65" s="67"/>
      <c r="D65" s="235"/>
      <c r="E65" s="236"/>
      <c r="F65" s="236"/>
      <c r="G65" s="237"/>
    </row>
    <row r="66" spans="2:7" ht="18.75" customHeight="1" x14ac:dyDescent="0.15">
      <c r="B66" s="184"/>
      <c r="C66" s="67"/>
      <c r="D66" s="235"/>
      <c r="E66" s="236"/>
      <c r="F66" s="236"/>
      <c r="G66" s="237"/>
    </row>
    <row r="67" spans="2:7" ht="18.75" customHeight="1" x14ac:dyDescent="0.15">
      <c r="B67" s="184"/>
      <c r="C67" s="67"/>
      <c r="D67" s="171"/>
      <c r="E67" s="172"/>
      <c r="F67" s="172"/>
      <c r="G67" s="173"/>
    </row>
    <row r="68" spans="2:7" ht="18.75" customHeight="1" x14ac:dyDescent="0.15">
      <c r="B68" s="184"/>
      <c r="C68" s="67"/>
      <c r="D68" s="171"/>
      <c r="E68" s="172"/>
      <c r="F68" s="172"/>
      <c r="G68" s="173"/>
    </row>
    <row r="69" spans="2:7" ht="18.75" customHeight="1" x14ac:dyDescent="0.15">
      <c r="B69" s="184"/>
      <c r="C69" s="67"/>
      <c r="D69" s="171"/>
      <c r="E69" s="172"/>
      <c r="F69" s="172"/>
      <c r="G69" s="173"/>
    </row>
    <row r="70" spans="2:7" ht="18.75" customHeight="1" x14ac:dyDescent="0.15">
      <c r="B70" s="184"/>
      <c r="C70" s="67"/>
      <c r="D70" s="171"/>
      <c r="E70" s="172"/>
      <c r="F70" s="172"/>
      <c r="G70" s="173"/>
    </row>
    <row r="71" spans="2:7" ht="18.75" customHeight="1" x14ac:dyDescent="0.15">
      <c r="B71" s="184"/>
      <c r="C71" s="67"/>
      <c r="D71" s="171"/>
      <c r="E71" s="172"/>
      <c r="F71" s="172"/>
      <c r="G71" s="173"/>
    </row>
    <row r="72" spans="2:7" ht="18.75" customHeight="1" x14ac:dyDescent="0.15">
      <c r="B72" s="184"/>
      <c r="C72" s="67"/>
      <c r="D72" s="171"/>
      <c r="E72" s="172"/>
      <c r="F72" s="172"/>
      <c r="G72" s="173"/>
    </row>
    <row r="73" spans="2:7" ht="18.75" customHeight="1" x14ac:dyDescent="0.15">
      <c r="B73" s="184"/>
      <c r="C73" s="67"/>
      <c r="D73" s="171"/>
      <c r="E73" s="172"/>
      <c r="F73" s="172"/>
      <c r="G73" s="173"/>
    </row>
    <row r="74" spans="2:7" ht="18.75" customHeight="1" x14ac:dyDescent="0.15">
      <c r="B74" s="184"/>
      <c r="C74" s="67"/>
      <c r="D74" s="171"/>
      <c r="E74" s="172"/>
      <c r="F74" s="172"/>
      <c r="G74" s="173"/>
    </row>
    <row r="75" spans="2:7" ht="18.75" customHeight="1" x14ac:dyDescent="0.15">
      <c r="B75" s="184"/>
      <c r="C75" s="67"/>
      <c r="D75" s="171"/>
      <c r="E75" s="172"/>
      <c r="F75" s="172"/>
      <c r="G75" s="173"/>
    </row>
    <row r="76" spans="2:7" ht="18.75" customHeight="1" x14ac:dyDescent="0.15">
      <c r="B76" s="184"/>
      <c r="C76" s="67"/>
      <c r="D76" s="171"/>
      <c r="E76" s="172"/>
      <c r="F76" s="172"/>
      <c r="G76" s="173"/>
    </row>
    <row r="77" spans="2:7" ht="18.75" customHeight="1" x14ac:dyDescent="0.15">
      <c r="B77" s="183" t="s">
        <v>108</v>
      </c>
      <c r="C77" s="177" t="s">
        <v>104</v>
      </c>
      <c r="D77" s="178"/>
      <c r="E77" s="178"/>
      <c r="F77" s="178"/>
      <c r="G77" s="179"/>
    </row>
    <row r="78" spans="2:7" ht="27.75" customHeight="1" x14ac:dyDescent="0.15">
      <c r="B78" s="184"/>
      <c r="C78" s="185" t="s">
        <v>221</v>
      </c>
      <c r="D78" s="194"/>
      <c r="E78" s="194"/>
      <c r="F78" s="194"/>
      <c r="G78" s="195"/>
    </row>
    <row r="79" spans="2:7" ht="27.75" customHeight="1" x14ac:dyDescent="0.15">
      <c r="B79" s="184"/>
      <c r="C79" s="196"/>
      <c r="D79" s="197"/>
      <c r="E79" s="197"/>
      <c r="F79" s="197"/>
      <c r="G79" s="198"/>
    </row>
    <row r="80" spans="2:7" ht="27.75" customHeight="1" x14ac:dyDescent="0.15">
      <c r="B80" s="184"/>
      <c r="C80" s="196"/>
      <c r="D80" s="197"/>
      <c r="E80" s="197"/>
      <c r="F80" s="197"/>
      <c r="G80" s="198"/>
    </row>
    <row r="81" spans="2:7" ht="27.75" customHeight="1" x14ac:dyDescent="0.15">
      <c r="B81" s="184"/>
      <c r="C81" s="196"/>
      <c r="D81" s="197"/>
      <c r="E81" s="197"/>
      <c r="F81" s="197"/>
      <c r="G81" s="198"/>
    </row>
    <row r="82" spans="2:7" ht="27.75" customHeight="1" x14ac:dyDescent="0.15">
      <c r="B82" s="184"/>
      <c r="C82" s="199"/>
      <c r="D82" s="200"/>
      <c r="E82" s="200"/>
      <c r="F82" s="200"/>
      <c r="G82" s="201"/>
    </row>
    <row r="83" spans="2:7" ht="18.75" customHeight="1" x14ac:dyDescent="0.15">
      <c r="B83" s="184"/>
      <c r="C83" s="69" t="s">
        <v>105</v>
      </c>
      <c r="D83" s="177" t="s">
        <v>106</v>
      </c>
      <c r="E83" s="178"/>
      <c r="F83" s="178"/>
      <c r="G83" s="179"/>
    </row>
    <row r="84" spans="2:7" ht="18.75" customHeight="1" x14ac:dyDescent="0.15">
      <c r="B84" s="184"/>
      <c r="C84" s="67" t="s">
        <v>159</v>
      </c>
      <c r="D84" s="203" t="s">
        <v>188</v>
      </c>
      <c r="E84" s="204"/>
      <c r="F84" s="204"/>
      <c r="G84" s="205"/>
    </row>
    <row r="85" spans="2:7" ht="18.75" customHeight="1" x14ac:dyDescent="0.15">
      <c r="B85" s="184"/>
      <c r="C85" s="67" t="s">
        <v>159</v>
      </c>
      <c r="D85" s="203" t="s">
        <v>202</v>
      </c>
      <c r="E85" s="204"/>
      <c r="F85" s="204"/>
      <c r="G85" s="205"/>
    </row>
    <row r="86" spans="2:7" ht="18.75" customHeight="1" x14ac:dyDescent="0.15">
      <c r="B86" s="184"/>
      <c r="C86" s="67" t="s">
        <v>158</v>
      </c>
      <c r="D86" s="203" t="s">
        <v>201</v>
      </c>
      <c r="E86" s="204"/>
      <c r="F86" s="204"/>
      <c r="G86" s="205"/>
    </row>
    <row r="87" spans="2:7" ht="18.75" customHeight="1" x14ac:dyDescent="0.15">
      <c r="B87" s="184"/>
      <c r="C87" s="67" t="s">
        <v>158</v>
      </c>
      <c r="D87" s="203" t="s">
        <v>189</v>
      </c>
      <c r="E87" s="204"/>
      <c r="F87" s="204"/>
      <c r="G87" s="205"/>
    </row>
    <row r="88" spans="2:7" ht="18.75" customHeight="1" x14ac:dyDescent="0.15">
      <c r="B88" s="184"/>
      <c r="C88" s="67"/>
      <c r="D88" s="171"/>
      <c r="E88" s="172"/>
      <c r="F88" s="172"/>
      <c r="G88" s="173"/>
    </row>
    <row r="89" spans="2:7" ht="18.75" customHeight="1" x14ac:dyDescent="0.15">
      <c r="B89" s="184"/>
      <c r="C89" s="67"/>
      <c r="D89" s="171"/>
      <c r="E89" s="172"/>
      <c r="F89" s="172"/>
      <c r="G89" s="173"/>
    </row>
    <row r="90" spans="2:7" ht="18.75" customHeight="1" x14ac:dyDescent="0.15">
      <c r="B90" s="184"/>
      <c r="C90" s="67"/>
      <c r="D90" s="171"/>
      <c r="E90" s="172"/>
      <c r="F90" s="172"/>
      <c r="G90" s="173"/>
    </row>
    <row r="91" spans="2:7" ht="18.75" customHeight="1" x14ac:dyDescent="0.15">
      <c r="B91" s="184"/>
      <c r="C91" s="67"/>
      <c r="D91" s="171"/>
      <c r="E91" s="172"/>
      <c r="F91" s="172"/>
      <c r="G91" s="173"/>
    </row>
    <row r="92" spans="2:7" ht="18.75" customHeight="1" x14ac:dyDescent="0.15">
      <c r="B92" s="184"/>
      <c r="C92" s="67"/>
      <c r="D92" s="171"/>
      <c r="E92" s="172"/>
      <c r="F92" s="172"/>
      <c r="G92" s="173"/>
    </row>
    <row r="93" spans="2:7" ht="18.75" customHeight="1" x14ac:dyDescent="0.15">
      <c r="B93" s="184"/>
      <c r="C93" s="67"/>
      <c r="D93" s="171"/>
      <c r="E93" s="172"/>
      <c r="F93" s="172"/>
      <c r="G93" s="173"/>
    </row>
    <row r="94" spans="2:7" ht="18.75" customHeight="1" x14ac:dyDescent="0.15">
      <c r="B94" s="184"/>
      <c r="C94" s="67"/>
      <c r="D94" s="171"/>
      <c r="E94" s="172"/>
      <c r="F94" s="172"/>
      <c r="G94" s="173"/>
    </row>
    <row r="95" spans="2:7" ht="18.75" customHeight="1" x14ac:dyDescent="0.15">
      <c r="B95" s="184"/>
      <c r="C95" s="67"/>
      <c r="D95" s="171"/>
      <c r="E95" s="172"/>
      <c r="F95" s="172"/>
      <c r="G95" s="173"/>
    </row>
    <row r="96" spans="2:7" ht="18.75" customHeight="1" x14ac:dyDescent="0.15">
      <c r="B96" s="184"/>
      <c r="C96" s="67"/>
      <c r="D96" s="171"/>
      <c r="E96" s="172"/>
      <c r="F96" s="172"/>
      <c r="G96" s="173"/>
    </row>
    <row r="97" spans="2:7" ht="18.75" customHeight="1" x14ac:dyDescent="0.15">
      <c r="B97" s="184"/>
      <c r="C97" s="67"/>
      <c r="D97" s="171"/>
      <c r="E97" s="172"/>
      <c r="F97" s="172"/>
      <c r="G97" s="173"/>
    </row>
    <row r="98" spans="2:7" ht="18.75" customHeight="1" x14ac:dyDescent="0.15">
      <c r="B98" s="184"/>
      <c r="C98" s="67"/>
      <c r="D98" s="171"/>
      <c r="E98" s="172"/>
      <c r="F98" s="172"/>
      <c r="G98" s="173"/>
    </row>
    <row r="99" spans="2:7" ht="18.75" customHeight="1" x14ac:dyDescent="0.15">
      <c r="B99" s="184"/>
      <c r="C99" s="67"/>
      <c r="D99" s="171"/>
      <c r="E99" s="172"/>
      <c r="F99" s="172"/>
      <c r="G99" s="173"/>
    </row>
    <row r="100" spans="2:7" ht="18.75" customHeight="1" x14ac:dyDescent="0.15">
      <c r="B100" s="184"/>
      <c r="C100" s="67"/>
      <c r="D100" s="171"/>
      <c r="E100" s="172"/>
      <c r="F100" s="172"/>
      <c r="G100" s="173"/>
    </row>
    <row r="101" spans="2:7" ht="18.75" customHeight="1" x14ac:dyDescent="0.15">
      <c r="B101" s="184"/>
      <c r="C101" s="67"/>
      <c r="D101" s="171"/>
      <c r="E101" s="172"/>
      <c r="F101" s="172"/>
      <c r="G101" s="173"/>
    </row>
    <row r="102" spans="2:7" ht="18.75" customHeight="1" x14ac:dyDescent="0.15">
      <c r="B102" s="183" t="s">
        <v>110</v>
      </c>
      <c r="C102" s="177" t="s">
        <v>104</v>
      </c>
      <c r="D102" s="178"/>
      <c r="E102" s="178"/>
      <c r="F102" s="178"/>
      <c r="G102" s="179"/>
    </row>
    <row r="103" spans="2:7" ht="24" customHeight="1" x14ac:dyDescent="0.15">
      <c r="B103" s="184"/>
      <c r="C103" s="185" t="s">
        <v>211</v>
      </c>
      <c r="D103" s="186"/>
      <c r="E103" s="186"/>
      <c r="F103" s="186"/>
      <c r="G103" s="187"/>
    </row>
    <row r="104" spans="2:7" ht="24" customHeight="1" x14ac:dyDescent="0.15">
      <c r="B104" s="184"/>
      <c r="C104" s="188"/>
      <c r="D104" s="189"/>
      <c r="E104" s="189"/>
      <c r="F104" s="189"/>
      <c r="G104" s="190"/>
    </row>
    <row r="105" spans="2:7" ht="24" customHeight="1" x14ac:dyDescent="0.15">
      <c r="B105" s="184"/>
      <c r="C105" s="188"/>
      <c r="D105" s="189"/>
      <c r="E105" s="189"/>
      <c r="F105" s="189"/>
      <c r="G105" s="190"/>
    </row>
    <row r="106" spans="2:7" ht="24" customHeight="1" x14ac:dyDescent="0.15">
      <c r="B106" s="184"/>
      <c r="C106" s="188"/>
      <c r="D106" s="189"/>
      <c r="E106" s="189"/>
      <c r="F106" s="189"/>
      <c r="G106" s="190"/>
    </row>
    <row r="107" spans="2:7" ht="24" customHeight="1" x14ac:dyDescent="0.15">
      <c r="B107" s="184"/>
      <c r="C107" s="191"/>
      <c r="D107" s="192"/>
      <c r="E107" s="192"/>
      <c r="F107" s="192"/>
      <c r="G107" s="193"/>
    </row>
    <row r="108" spans="2:7" ht="18.75" customHeight="1" x14ac:dyDescent="0.15">
      <c r="B108" s="184"/>
      <c r="C108" s="69" t="s">
        <v>203</v>
      </c>
      <c r="D108" s="177" t="s">
        <v>106</v>
      </c>
      <c r="E108" s="178"/>
      <c r="F108" s="178"/>
      <c r="G108" s="179"/>
    </row>
    <row r="109" spans="2:7" ht="18.75" customHeight="1" x14ac:dyDescent="0.15">
      <c r="B109" s="184"/>
      <c r="C109" s="67" t="s">
        <v>159</v>
      </c>
      <c r="D109" s="203" t="s">
        <v>205</v>
      </c>
      <c r="E109" s="204"/>
      <c r="F109" s="204"/>
      <c r="G109" s="205"/>
    </row>
    <row r="110" spans="2:7" ht="18.75" customHeight="1" x14ac:dyDescent="0.15">
      <c r="B110" s="184"/>
      <c r="C110" s="67" t="s">
        <v>159</v>
      </c>
      <c r="D110" s="203" t="s">
        <v>206</v>
      </c>
      <c r="E110" s="204"/>
      <c r="F110" s="204"/>
      <c r="G110" s="205"/>
    </row>
    <row r="111" spans="2:7" ht="18.75" customHeight="1" x14ac:dyDescent="0.15">
      <c r="B111" s="184"/>
      <c r="C111" s="67" t="s">
        <v>159</v>
      </c>
      <c r="D111" s="203" t="s">
        <v>204</v>
      </c>
      <c r="E111" s="204"/>
      <c r="F111" s="204"/>
      <c r="G111" s="205"/>
    </row>
    <row r="112" spans="2:7" ht="18.75" customHeight="1" x14ac:dyDescent="0.15">
      <c r="B112" s="184"/>
      <c r="C112" s="67" t="s">
        <v>160</v>
      </c>
      <c r="D112" s="203" t="s">
        <v>190</v>
      </c>
      <c r="E112" s="204"/>
      <c r="F112" s="204"/>
      <c r="G112" s="205"/>
    </row>
    <row r="113" spans="1:7" ht="18.75" customHeight="1" x14ac:dyDescent="0.15">
      <c r="B113" s="184"/>
      <c r="C113" s="67" t="s">
        <v>160</v>
      </c>
      <c r="D113" s="232" t="s">
        <v>182</v>
      </c>
      <c r="E113" s="233"/>
      <c r="F113" s="233"/>
      <c r="G113" s="234"/>
    </row>
    <row r="114" spans="1:7" ht="18.75" customHeight="1" x14ac:dyDescent="0.15">
      <c r="B114" s="184"/>
      <c r="C114" s="67" t="s">
        <v>160</v>
      </c>
      <c r="D114" s="232" t="s">
        <v>191</v>
      </c>
      <c r="E114" s="233"/>
      <c r="F114" s="233"/>
      <c r="G114" s="234"/>
    </row>
    <row r="115" spans="1:7" ht="18.75" customHeight="1" x14ac:dyDescent="0.15">
      <c r="B115" s="184"/>
      <c r="C115" s="67"/>
      <c r="D115" s="171"/>
      <c r="E115" s="172"/>
      <c r="F115" s="172"/>
      <c r="G115" s="173"/>
    </row>
    <row r="116" spans="1:7" ht="18.75" customHeight="1" x14ac:dyDescent="0.15">
      <c r="B116" s="184"/>
      <c r="C116" s="67"/>
      <c r="D116" s="171"/>
      <c r="E116" s="172"/>
      <c r="F116" s="172"/>
      <c r="G116" s="173"/>
    </row>
    <row r="117" spans="1:7" ht="18.75" customHeight="1" x14ac:dyDescent="0.15">
      <c r="B117" s="184"/>
      <c r="C117" s="67"/>
      <c r="D117" s="171"/>
      <c r="E117" s="172"/>
      <c r="F117" s="172"/>
      <c r="G117" s="173"/>
    </row>
    <row r="118" spans="1:7" ht="18.75" customHeight="1" x14ac:dyDescent="0.15">
      <c r="B118" s="184"/>
      <c r="C118" s="67"/>
      <c r="D118" s="171"/>
      <c r="E118" s="172"/>
      <c r="F118" s="172"/>
      <c r="G118" s="173"/>
    </row>
    <row r="119" spans="1:7" ht="18.75" customHeight="1" x14ac:dyDescent="0.15">
      <c r="B119" s="184"/>
      <c r="C119" s="67"/>
      <c r="D119" s="171"/>
      <c r="E119" s="172"/>
      <c r="F119" s="172"/>
      <c r="G119" s="173"/>
    </row>
    <row r="120" spans="1:7" ht="18.75" customHeight="1" x14ac:dyDescent="0.15">
      <c r="B120" s="184"/>
      <c r="C120" s="67"/>
      <c r="D120" s="171"/>
      <c r="E120" s="172"/>
      <c r="F120" s="172"/>
      <c r="G120" s="173"/>
    </row>
    <row r="121" spans="1:7" ht="18.75" customHeight="1" x14ac:dyDescent="0.15">
      <c r="B121" s="184"/>
      <c r="C121" s="67"/>
      <c r="D121" s="171"/>
      <c r="E121" s="172"/>
      <c r="F121" s="172"/>
      <c r="G121" s="173"/>
    </row>
    <row r="122" spans="1:7" ht="18.75" customHeight="1" x14ac:dyDescent="0.15">
      <c r="B122" s="184"/>
      <c r="C122" s="67"/>
      <c r="D122" s="171"/>
      <c r="E122" s="172"/>
      <c r="F122" s="172"/>
      <c r="G122" s="173"/>
    </row>
    <row r="123" spans="1:7" ht="18.75" customHeight="1" x14ac:dyDescent="0.15">
      <c r="B123" s="184"/>
      <c r="C123" s="67"/>
      <c r="D123" s="171"/>
      <c r="E123" s="172"/>
      <c r="F123" s="172"/>
      <c r="G123" s="173"/>
    </row>
    <row r="124" spans="1:7" ht="18.75" customHeight="1" x14ac:dyDescent="0.15">
      <c r="B124" s="184"/>
      <c r="C124" s="67"/>
      <c r="D124" s="171"/>
      <c r="E124" s="172"/>
      <c r="F124" s="172"/>
      <c r="G124" s="173"/>
    </row>
    <row r="125" spans="1:7" ht="18.75" customHeight="1" x14ac:dyDescent="0.15">
      <c r="B125" s="184"/>
      <c r="C125" s="67"/>
      <c r="D125" s="171"/>
      <c r="E125" s="172"/>
      <c r="F125" s="172"/>
      <c r="G125" s="173"/>
    </row>
    <row r="126" spans="1:7" ht="18.75" customHeight="1" x14ac:dyDescent="0.15">
      <c r="B126" s="202"/>
      <c r="C126" s="67"/>
      <c r="D126" s="171"/>
      <c r="E126" s="172"/>
      <c r="F126" s="172"/>
      <c r="G126" s="173"/>
    </row>
    <row r="127" spans="1:7" ht="18.75" customHeight="1" x14ac:dyDescent="0.15">
      <c r="A127" s="33" t="s">
        <v>12</v>
      </c>
      <c r="B127" s="33" t="s">
        <v>102</v>
      </c>
    </row>
    <row r="128" spans="1:7" ht="22.5" customHeight="1" x14ac:dyDescent="0.15">
      <c r="B128" s="67" t="s">
        <v>72</v>
      </c>
      <c r="C128" s="177" t="s">
        <v>101</v>
      </c>
      <c r="D128" s="178"/>
      <c r="E128" s="178"/>
      <c r="F128" s="178"/>
      <c r="G128" s="179"/>
    </row>
    <row r="129" spans="1:7" ht="45" customHeight="1" x14ac:dyDescent="0.15">
      <c r="B129" s="72" t="s">
        <v>74</v>
      </c>
      <c r="C129" s="231" t="s">
        <v>163</v>
      </c>
      <c r="D129" s="125"/>
      <c r="E129" s="125"/>
      <c r="F129" s="125"/>
      <c r="G129" s="126"/>
    </row>
    <row r="130" spans="1:7" ht="45" customHeight="1" x14ac:dyDescent="0.15">
      <c r="B130" s="72" t="s">
        <v>75</v>
      </c>
      <c r="C130" s="124" t="s">
        <v>161</v>
      </c>
      <c r="D130" s="125"/>
      <c r="E130" s="125"/>
      <c r="F130" s="125"/>
      <c r="G130" s="126"/>
    </row>
    <row r="131" spans="1:7" ht="45" customHeight="1" x14ac:dyDescent="0.15">
      <c r="B131" s="72" t="s">
        <v>76</v>
      </c>
      <c r="C131" s="124" t="s">
        <v>198</v>
      </c>
      <c r="D131" s="125"/>
      <c r="E131" s="125"/>
      <c r="F131" s="125"/>
      <c r="G131" s="126"/>
    </row>
    <row r="132" spans="1:7" ht="45" customHeight="1" x14ac:dyDescent="0.15">
      <c r="B132" s="72" t="s">
        <v>77</v>
      </c>
      <c r="C132" s="124" t="s">
        <v>192</v>
      </c>
      <c r="D132" s="125"/>
      <c r="E132" s="125"/>
      <c r="F132" s="125"/>
      <c r="G132" s="126"/>
    </row>
    <row r="133" spans="1:7" ht="45" customHeight="1" x14ac:dyDescent="0.15">
      <c r="B133" s="72" t="s">
        <v>78</v>
      </c>
      <c r="C133" s="124"/>
      <c r="D133" s="125"/>
      <c r="E133" s="125"/>
      <c r="F133" s="125"/>
      <c r="G133" s="126"/>
    </row>
    <row r="134" spans="1:7" ht="45" customHeight="1" x14ac:dyDescent="0.15">
      <c r="B134" s="72" t="s">
        <v>79</v>
      </c>
      <c r="C134" s="124" t="s">
        <v>194</v>
      </c>
      <c r="D134" s="125"/>
      <c r="E134" s="125"/>
      <c r="F134" s="125"/>
      <c r="G134" s="126"/>
    </row>
    <row r="135" spans="1:7" ht="45" customHeight="1" x14ac:dyDescent="0.15">
      <c r="B135" s="72" t="s">
        <v>80</v>
      </c>
      <c r="C135" s="124" t="s">
        <v>162</v>
      </c>
      <c r="D135" s="125"/>
      <c r="E135" s="125"/>
      <c r="F135" s="125"/>
      <c r="G135" s="126"/>
    </row>
    <row r="136" spans="1:7" ht="45" customHeight="1" x14ac:dyDescent="0.15">
      <c r="B136" s="72" t="s">
        <v>81</v>
      </c>
      <c r="C136" s="124" t="s">
        <v>193</v>
      </c>
      <c r="D136" s="125"/>
      <c r="E136" s="125"/>
      <c r="F136" s="125"/>
      <c r="G136" s="126"/>
    </row>
    <row r="137" spans="1:7" ht="45" customHeight="1" x14ac:dyDescent="0.15">
      <c r="B137" s="72" t="s">
        <v>82</v>
      </c>
      <c r="C137" s="228"/>
      <c r="D137" s="229"/>
      <c r="E137" s="229"/>
      <c r="F137" s="229"/>
      <c r="G137" s="230"/>
    </row>
    <row r="138" spans="1:7" ht="7.5" customHeight="1" x14ac:dyDescent="0.15"/>
    <row r="139" spans="1:7" ht="18.75" customHeight="1" x14ac:dyDescent="0.15">
      <c r="A139" s="33" t="s">
        <v>95</v>
      </c>
      <c r="B139" s="33" t="s">
        <v>96</v>
      </c>
      <c r="E139" s="227" t="s">
        <v>232</v>
      </c>
      <c r="F139" s="134"/>
      <c r="G139" s="135"/>
    </row>
    <row r="140" spans="1:7" ht="7.5" customHeight="1" x14ac:dyDescent="0.15"/>
    <row r="141" spans="1:7" ht="18.75" customHeight="1" x14ac:dyDescent="0.15">
      <c r="A141" s="33" t="s">
        <v>97</v>
      </c>
      <c r="B141" s="33" t="s">
        <v>98</v>
      </c>
    </row>
    <row r="142" spans="1:7" ht="18.75" customHeight="1" x14ac:dyDescent="0.15">
      <c r="B142" s="218" t="s">
        <v>181</v>
      </c>
      <c r="C142" s="219"/>
      <c r="D142" s="219"/>
      <c r="E142" s="219"/>
      <c r="F142" s="219"/>
      <c r="G142" s="220"/>
    </row>
    <row r="143" spans="1:7" ht="18.75" customHeight="1" x14ac:dyDescent="0.15">
      <c r="B143" s="221"/>
      <c r="C143" s="222"/>
      <c r="D143" s="222"/>
      <c r="E143" s="222"/>
      <c r="F143" s="222"/>
      <c r="G143" s="223"/>
    </row>
    <row r="144" spans="1:7" ht="18.75" customHeight="1" x14ac:dyDescent="0.15">
      <c r="B144" s="221"/>
      <c r="C144" s="222"/>
      <c r="D144" s="222"/>
      <c r="E144" s="222"/>
      <c r="F144" s="222"/>
      <c r="G144" s="223"/>
    </row>
    <row r="145" spans="2:7" ht="18.75" customHeight="1" x14ac:dyDescent="0.15">
      <c r="B145" s="224"/>
      <c r="C145" s="225"/>
      <c r="D145" s="225"/>
      <c r="E145" s="225"/>
      <c r="F145" s="225"/>
      <c r="G145" s="226"/>
    </row>
    <row r="146" spans="2:7" ht="18.75" customHeight="1" x14ac:dyDescent="0.15"/>
    <row r="147" spans="2:7" ht="18.75" customHeight="1" x14ac:dyDescent="0.15"/>
    <row r="148" spans="2:7" ht="18.75" customHeight="1" x14ac:dyDescent="0.15"/>
    <row r="149" spans="2:7" ht="18.75" customHeight="1" x14ac:dyDescent="0.15"/>
    <row r="150" spans="2:7" ht="18.75" customHeight="1" x14ac:dyDescent="0.15"/>
    <row r="151" spans="2:7" ht="18.75" customHeight="1" x14ac:dyDescent="0.15"/>
  </sheetData>
  <mergeCells count="122">
    <mergeCell ref="D98:G98"/>
    <mergeCell ref="D125:G125"/>
    <mergeCell ref="D121:G121"/>
    <mergeCell ref="D124:G124"/>
    <mergeCell ref="D117:G117"/>
    <mergeCell ref="D118:G118"/>
    <mergeCell ref="D119:G119"/>
    <mergeCell ref="D120:G120"/>
    <mergeCell ref="D109:G109"/>
    <mergeCell ref="D110:G110"/>
    <mergeCell ref="D111:G111"/>
    <mergeCell ref="D112:G112"/>
    <mergeCell ref="D113:G113"/>
    <mergeCell ref="D114:G114"/>
    <mergeCell ref="D115:G115"/>
    <mergeCell ref="D116:G116"/>
    <mergeCell ref="D122:G122"/>
    <mergeCell ref="D123:G123"/>
    <mergeCell ref="D61:G61"/>
    <mergeCell ref="D62:G62"/>
    <mergeCell ref="D63:G63"/>
    <mergeCell ref="D64:G64"/>
    <mergeCell ref="D65:G65"/>
    <mergeCell ref="D66:G66"/>
    <mergeCell ref="D74:G74"/>
    <mergeCell ref="D73:G73"/>
    <mergeCell ref="D100:G100"/>
    <mergeCell ref="D96:G96"/>
    <mergeCell ref="D97:G97"/>
    <mergeCell ref="D92:G92"/>
    <mergeCell ref="D93:G93"/>
    <mergeCell ref="D94:G94"/>
    <mergeCell ref="D95:G95"/>
    <mergeCell ref="D84:G84"/>
    <mergeCell ref="D85:G85"/>
    <mergeCell ref="D86:G86"/>
    <mergeCell ref="D87:G87"/>
    <mergeCell ref="D88:G88"/>
    <mergeCell ref="D89:G89"/>
    <mergeCell ref="D90:G90"/>
    <mergeCell ref="D91:G91"/>
    <mergeCell ref="D99:G99"/>
    <mergeCell ref="A3:G3"/>
    <mergeCell ref="C5:G5"/>
    <mergeCell ref="C6:G9"/>
    <mergeCell ref="B142:G145"/>
    <mergeCell ref="E139:G139"/>
    <mergeCell ref="C128:G128"/>
    <mergeCell ref="C134:G134"/>
    <mergeCell ref="C135:G135"/>
    <mergeCell ref="C136:G136"/>
    <mergeCell ref="C137:G137"/>
    <mergeCell ref="C129:G129"/>
    <mergeCell ref="B6:B25"/>
    <mergeCell ref="C130:G130"/>
    <mergeCell ref="C131:G131"/>
    <mergeCell ref="C132:G132"/>
    <mergeCell ref="C133:G133"/>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C34:C35"/>
    <mergeCell ref="C36:C37"/>
    <mergeCell ref="B51:B76"/>
    <mergeCell ref="C51:G51"/>
    <mergeCell ref="C52:G57"/>
    <mergeCell ref="B77:B101"/>
    <mergeCell ref="C77:G77"/>
    <mergeCell ref="C78:G82"/>
    <mergeCell ref="D83:G83"/>
    <mergeCell ref="D101:G101"/>
    <mergeCell ref="B102:B126"/>
    <mergeCell ref="C102:G102"/>
    <mergeCell ref="C103:G107"/>
    <mergeCell ref="D108:G108"/>
    <mergeCell ref="D126:G126"/>
    <mergeCell ref="D58:G58"/>
    <mergeCell ref="D75:G75"/>
    <mergeCell ref="D76:G76"/>
    <mergeCell ref="D71:G71"/>
    <mergeCell ref="D72:G72"/>
    <mergeCell ref="D67:G67"/>
    <mergeCell ref="D68:G68"/>
    <mergeCell ref="D69:G69"/>
    <mergeCell ref="D70:G70"/>
    <mergeCell ref="D59:G59"/>
    <mergeCell ref="D60:G60"/>
    <mergeCell ref="D10:G10"/>
    <mergeCell ref="D11:G11"/>
    <mergeCell ref="D12:G12"/>
    <mergeCell ref="D14:G14"/>
    <mergeCell ref="D25:G25"/>
    <mergeCell ref="D24:G24"/>
    <mergeCell ref="D17:G17"/>
    <mergeCell ref="D18:G18"/>
    <mergeCell ref="D15:G15"/>
    <mergeCell ref="D16:G16"/>
    <mergeCell ref="D22:G22"/>
    <mergeCell ref="D23:G23"/>
    <mergeCell ref="D19:G19"/>
    <mergeCell ref="D20:G20"/>
    <mergeCell ref="D21:G21"/>
    <mergeCell ref="D13:G13"/>
  </mergeCells>
  <phoneticPr fontId="1"/>
  <hyperlinks>
    <hyperlink ref="E139" r:id="rId1" location="ai-program" xr:uid="{00E25D21-437F-4266-8B21-2B0E1A5DE947}"/>
  </hyperlinks>
  <printOptions horizontalCentered="1"/>
  <pageMargins left="0.78740157480314965" right="0.78740157480314965" top="0.59055118110236227" bottom="0.39370078740157483" header="0.31496062992125984" footer="0.31496062992125984"/>
  <pageSetup paperSize="9" scale="93" orientation="landscape" r:id="rId2"/>
  <rowBreaks count="5" manualBreakCount="5">
    <brk id="25" max="6" man="1"/>
    <brk id="50" max="6" man="1"/>
    <brk id="76" max="6" man="1"/>
    <brk id="101" max="6" man="1"/>
    <brk id="12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9"/>
  <sheetViews>
    <sheetView showZeros="0" topLeftCell="A136" zoomScaleNormal="100" workbookViewId="0">
      <selection activeCell="G4" sqref="G4"/>
    </sheetView>
  </sheetViews>
  <sheetFormatPr defaultColWidth="11.375" defaultRowHeight="18.75" customHeight="1" x14ac:dyDescent="0.15"/>
  <cols>
    <col min="1" max="1" width="2.875" style="73" customWidth="1"/>
    <col min="2" max="2" width="54.125" style="33" customWidth="1"/>
    <col min="3" max="3" width="1.125" style="33" customWidth="1"/>
    <col min="4" max="4" width="22.5" style="33" customWidth="1"/>
    <col min="5" max="5" width="6.125" style="33" customWidth="1"/>
    <col min="6" max="16384" width="11.375" style="33"/>
  </cols>
  <sheetData>
    <row r="1" spans="1:7" ht="18.75" customHeight="1" x14ac:dyDescent="0.15">
      <c r="E1" s="65" t="s">
        <v>103</v>
      </c>
    </row>
    <row r="2" spans="1:7" ht="18.75" customHeight="1" x14ac:dyDescent="0.15">
      <c r="B2" s="65" t="s">
        <v>86</v>
      </c>
      <c r="C2" s="65" t="s">
        <v>8</v>
      </c>
      <c r="D2" s="240" t="s">
        <v>153</v>
      </c>
      <c r="E2" s="240"/>
    </row>
    <row r="3" spans="1:7" ht="7.5" customHeight="1" x14ac:dyDescent="0.15">
      <c r="B3" s="65"/>
      <c r="C3" s="65"/>
      <c r="D3" s="66"/>
      <c r="E3" s="66"/>
    </row>
    <row r="4" spans="1:7" ht="18.75" customHeight="1" x14ac:dyDescent="0.15">
      <c r="B4" s="123" t="s">
        <v>83</v>
      </c>
      <c r="C4" s="123"/>
      <c r="D4" s="123"/>
      <c r="E4" s="123"/>
    </row>
    <row r="5" spans="1:7" ht="7.5" customHeight="1" x14ac:dyDescent="0.15">
      <c r="B5" s="22"/>
      <c r="C5" s="22"/>
      <c r="D5" s="22"/>
      <c r="E5" s="22"/>
    </row>
    <row r="6" spans="1:7" ht="18.75" customHeight="1" x14ac:dyDescent="0.15">
      <c r="A6" s="74" t="s">
        <v>7</v>
      </c>
      <c r="B6" s="9" t="s">
        <v>94</v>
      </c>
      <c r="C6" s="22"/>
      <c r="D6" s="22"/>
      <c r="E6" s="22"/>
    </row>
    <row r="7" spans="1:7" ht="18.75" customHeight="1" x14ac:dyDescent="0.15">
      <c r="A7" s="74"/>
      <c r="B7" s="124" t="s">
        <v>214</v>
      </c>
      <c r="C7" s="125"/>
      <c r="D7" s="125"/>
      <c r="E7" s="126"/>
    </row>
    <row r="8" spans="1:7" ht="7.5" customHeight="1" x14ac:dyDescent="0.15">
      <c r="B8" s="22"/>
      <c r="C8" s="22"/>
      <c r="D8" s="22"/>
      <c r="E8" s="22"/>
    </row>
    <row r="9" spans="1:7" s="35" customFormat="1" ht="18.75" customHeight="1" x14ac:dyDescent="0.15">
      <c r="A9" s="74" t="s">
        <v>12</v>
      </c>
      <c r="B9" s="12" t="s">
        <v>44</v>
      </c>
      <c r="C9" s="12"/>
      <c r="D9" s="12"/>
      <c r="E9" s="12"/>
    </row>
    <row r="10" spans="1:7" s="76" customFormat="1" ht="38.85" customHeight="1" x14ac:dyDescent="0.15">
      <c r="A10" s="75"/>
      <c r="B10" s="238" t="s">
        <v>231</v>
      </c>
      <c r="C10" s="219"/>
      <c r="D10" s="219"/>
      <c r="E10" s="220"/>
      <c r="G10" s="102"/>
    </row>
    <row r="11" spans="1:7" s="76" customFormat="1" ht="38.85" customHeight="1" x14ac:dyDescent="0.15">
      <c r="A11" s="75"/>
      <c r="B11" s="221"/>
      <c r="C11" s="222"/>
      <c r="D11" s="222"/>
      <c r="E11" s="223"/>
    </row>
    <row r="12" spans="1:7" s="76" customFormat="1" ht="38.85" customHeight="1" x14ac:dyDescent="0.15">
      <c r="A12" s="75"/>
      <c r="B12" s="221"/>
      <c r="C12" s="222"/>
      <c r="D12" s="222"/>
      <c r="E12" s="223"/>
    </row>
    <row r="13" spans="1:7" s="76" customFormat="1" ht="38.85" customHeight="1" x14ac:dyDescent="0.15">
      <c r="A13" s="75"/>
      <c r="B13" s="221"/>
      <c r="C13" s="222"/>
      <c r="D13" s="222"/>
      <c r="E13" s="223"/>
    </row>
    <row r="14" spans="1:7" s="76" customFormat="1" ht="38.85" customHeight="1" x14ac:dyDescent="0.15">
      <c r="A14" s="75"/>
      <c r="B14" s="224"/>
      <c r="C14" s="225"/>
      <c r="D14" s="225"/>
      <c r="E14" s="226"/>
    </row>
    <row r="15" spans="1:7" s="76" customFormat="1" ht="7.5" customHeight="1" x14ac:dyDescent="0.15">
      <c r="A15" s="75"/>
      <c r="B15" s="75"/>
      <c r="C15" s="75"/>
      <c r="D15" s="75"/>
      <c r="E15" s="75"/>
    </row>
    <row r="16" spans="1:7" s="35" customFormat="1" ht="18.75" customHeight="1" x14ac:dyDescent="0.15">
      <c r="A16" s="77" t="s">
        <v>13</v>
      </c>
      <c r="B16" s="77" t="s">
        <v>18</v>
      </c>
      <c r="C16" s="77"/>
      <c r="D16" s="77"/>
      <c r="E16" s="77"/>
    </row>
    <row r="17" spans="1:7" s="76" customFormat="1" ht="18.75" customHeight="1" x14ac:dyDescent="0.15">
      <c r="A17" s="75"/>
      <c r="B17" s="238" t="s">
        <v>230</v>
      </c>
      <c r="C17" s="219"/>
      <c r="D17" s="219"/>
      <c r="E17" s="220"/>
    </row>
    <row r="18" spans="1:7" s="76" customFormat="1" ht="18.75" customHeight="1" x14ac:dyDescent="0.15">
      <c r="A18" s="75"/>
      <c r="B18" s="221"/>
      <c r="C18" s="222"/>
      <c r="D18" s="222"/>
      <c r="E18" s="223"/>
    </row>
    <row r="19" spans="1:7" s="76" customFormat="1" ht="18.75" customHeight="1" x14ac:dyDescent="0.15">
      <c r="A19" s="75"/>
      <c r="B19" s="221"/>
      <c r="C19" s="222"/>
      <c r="D19" s="222"/>
      <c r="E19" s="223"/>
    </row>
    <row r="20" spans="1:7" s="76" customFormat="1" ht="18.75" customHeight="1" x14ac:dyDescent="0.15">
      <c r="A20" s="75"/>
      <c r="B20" s="221"/>
      <c r="C20" s="222"/>
      <c r="D20" s="222"/>
      <c r="E20" s="223"/>
    </row>
    <row r="21" spans="1:7" s="76" customFormat="1" ht="18.75" customHeight="1" x14ac:dyDescent="0.15">
      <c r="A21" s="75"/>
      <c r="B21" s="221"/>
      <c r="C21" s="222"/>
      <c r="D21" s="222"/>
      <c r="E21" s="223"/>
    </row>
    <row r="22" spans="1:7" s="76" customFormat="1" ht="18.75" customHeight="1" x14ac:dyDescent="0.15">
      <c r="A22" s="75"/>
      <c r="B22" s="221"/>
      <c r="C22" s="222"/>
      <c r="D22" s="222"/>
      <c r="E22" s="223"/>
    </row>
    <row r="23" spans="1:7" s="76" customFormat="1" ht="18.75" customHeight="1" x14ac:dyDescent="0.15">
      <c r="A23" s="75"/>
      <c r="B23" s="221"/>
      <c r="C23" s="222"/>
      <c r="D23" s="222"/>
      <c r="E23" s="223"/>
    </row>
    <row r="24" spans="1:7" s="76" customFormat="1" ht="18.75" customHeight="1" x14ac:dyDescent="0.15">
      <c r="A24" s="75"/>
      <c r="B24" s="221"/>
      <c r="C24" s="222"/>
      <c r="D24" s="222"/>
      <c r="E24" s="223"/>
    </row>
    <row r="25" spans="1:7" s="76" customFormat="1" ht="18.75" customHeight="1" x14ac:dyDescent="0.15">
      <c r="A25" s="75"/>
      <c r="B25" s="221"/>
      <c r="C25" s="222"/>
      <c r="D25" s="222"/>
      <c r="E25" s="223"/>
    </row>
    <row r="26" spans="1:7" s="76" customFormat="1" ht="18.75" customHeight="1" x14ac:dyDescent="0.15">
      <c r="A26" s="75"/>
      <c r="B26" s="221"/>
      <c r="C26" s="222"/>
      <c r="D26" s="222"/>
      <c r="E26" s="223"/>
    </row>
    <row r="27" spans="1:7" s="76" customFormat="1" ht="18.75" customHeight="1" x14ac:dyDescent="0.15">
      <c r="A27" s="75"/>
      <c r="B27" s="221"/>
      <c r="C27" s="222"/>
      <c r="D27" s="222"/>
      <c r="E27" s="223"/>
    </row>
    <row r="28" spans="1:7" s="76" customFormat="1" ht="18.75" customHeight="1" x14ac:dyDescent="0.15">
      <c r="A28" s="75"/>
      <c r="B28" s="221"/>
      <c r="C28" s="222"/>
      <c r="D28" s="222"/>
      <c r="E28" s="223"/>
    </row>
    <row r="29" spans="1:7" s="76" customFormat="1" ht="26.45" customHeight="1" x14ac:dyDescent="0.15">
      <c r="A29" s="75"/>
      <c r="B29" s="224"/>
      <c r="C29" s="225"/>
      <c r="D29" s="225"/>
      <c r="E29" s="226"/>
    </row>
    <row r="30" spans="1:7" ht="7.5" customHeight="1" x14ac:dyDescent="0.15">
      <c r="A30" s="3"/>
      <c r="B30" s="78"/>
      <c r="C30" s="78"/>
      <c r="D30" s="78"/>
      <c r="E30" s="78"/>
    </row>
    <row r="31" spans="1:7" s="35" customFormat="1" ht="18.75" customHeight="1" x14ac:dyDescent="0.15">
      <c r="A31" s="74" t="s">
        <v>16</v>
      </c>
      <c r="B31" s="12" t="s">
        <v>29</v>
      </c>
      <c r="C31" s="12"/>
      <c r="D31" s="12"/>
      <c r="E31" s="12"/>
    </row>
    <row r="32" spans="1:7" s="35" customFormat="1" ht="18.75" customHeight="1" x14ac:dyDescent="0.15">
      <c r="A32" s="74"/>
      <c r="B32" s="238" t="s">
        <v>215</v>
      </c>
      <c r="C32" s="219"/>
      <c r="D32" s="219"/>
      <c r="E32" s="220"/>
      <c r="G32" s="102"/>
    </row>
    <row r="33" spans="1:5" s="35" customFormat="1" ht="18.75" customHeight="1" x14ac:dyDescent="0.15">
      <c r="A33" s="74"/>
      <c r="B33" s="221"/>
      <c r="C33" s="222"/>
      <c r="D33" s="222"/>
      <c r="E33" s="223"/>
    </row>
    <row r="34" spans="1:5" s="35" customFormat="1" ht="18.75" customHeight="1" x14ac:dyDescent="0.15">
      <c r="A34" s="74"/>
      <c r="B34" s="221"/>
      <c r="C34" s="222"/>
      <c r="D34" s="222"/>
      <c r="E34" s="223"/>
    </row>
    <row r="35" spans="1:5" s="35" customFormat="1" ht="18.75" customHeight="1" x14ac:dyDescent="0.15">
      <c r="A35" s="74"/>
      <c r="B35" s="221"/>
      <c r="C35" s="222"/>
      <c r="D35" s="222"/>
      <c r="E35" s="223"/>
    </row>
    <row r="36" spans="1:5" s="35" customFormat="1" ht="18.75" customHeight="1" x14ac:dyDescent="0.15">
      <c r="A36" s="74"/>
      <c r="B36" s="221"/>
      <c r="C36" s="222"/>
      <c r="D36" s="222"/>
      <c r="E36" s="223"/>
    </row>
    <row r="37" spans="1:5" s="35" customFormat="1" ht="18.75" customHeight="1" x14ac:dyDescent="0.15">
      <c r="A37" s="74"/>
      <c r="B37" s="221"/>
      <c r="C37" s="222"/>
      <c r="D37" s="222"/>
      <c r="E37" s="223"/>
    </row>
    <row r="38" spans="1:5" s="35" customFormat="1" ht="18.75" customHeight="1" x14ac:dyDescent="0.15">
      <c r="A38" s="74"/>
      <c r="B38" s="221"/>
      <c r="C38" s="222"/>
      <c r="D38" s="222"/>
      <c r="E38" s="223"/>
    </row>
    <row r="39" spans="1:5" s="35" customFormat="1" ht="18.75" customHeight="1" x14ac:dyDescent="0.15">
      <c r="A39" s="74"/>
      <c r="B39" s="221"/>
      <c r="C39" s="222"/>
      <c r="D39" s="222"/>
      <c r="E39" s="223"/>
    </row>
    <row r="40" spans="1:5" s="35" customFormat="1" ht="18.75" customHeight="1" x14ac:dyDescent="0.15">
      <c r="A40" s="74"/>
      <c r="B40" s="221"/>
      <c r="C40" s="222"/>
      <c r="D40" s="222"/>
      <c r="E40" s="223"/>
    </row>
    <row r="41" spans="1:5" s="35" customFormat="1" ht="18.75" customHeight="1" x14ac:dyDescent="0.15">
      <c r="A41" s="74"/>
      <c r="B41" s="221"/>
      <c r="C41" s="222"/>
      <c r="D41" s="222"/>
      <c r="E41" s="223"/>
    </row>
    <row r="42" spans="1:5" s="35" customFormat="1" ht="18.75" customHeight="1" x14ac:dyDescent="0.15">
      <c r="A42" s="74"/>
      <c r="B42" s="221"/>
      <c r="C42" s="222"/>
      <c r="D42" s="222"/>
      <c r="E42" s="223"/>
    </row>
    <row r="43" spans="1:5" s="35" customFormat="1" ht="18.75" customHeight="1" x14ac:dyDescent="0.15">
      <c r="A43" s="74"/>
      <c r="B43" s="221"/>
      <c r="C43" s="222"/>
      <c r="D43" s="222"/>
      <c r="E43" s="223"/>
    </row>
    <row r="44" spans="1:5" s="35" customFormat="1" ht="5.25" customHeight="1" x14ac:dyDescent="0.15">
      <c r="A44" s="74"/>
      <c r="B44" s="221"/>
      <c r="C44" s="222"/>
      <c r="D44" s="222"/>
      <c r="E44" s="223"/>
    </row>
    <row r="45" spans="1:5" s="35" customFormat="1" ht="5.25" customHeight="1" x14ac:dyDescent="0.15">
      <c r="A45" s="74"/>
      <c r="B45" s="221"/>
      <c r="C45" s="222"/>
      <c r="D45" s="222"/>
      <c r="E45" s="223"/>
    </row>
    <row r="46" spans="1:5" ht="5.25" customHeight="1" x14ac:dyDescent="0.15">
      <c r="A46" s="3"/>
      <c r="B46" s="221"/>
      <c r="C46" s="222"/>
      <c r="D46" s="222"/>
      <c r="E46" s="223"/>
    </row>
    <row r="47" spans="1:5" ht="5.25" customHeight="1" x14ac:dyDescent="0.15">
      <c r="A47" s="3"/>
      <c r="B47" s="224"/>
      <c r="C47" s="225"/>
      <c r="D47" s="225"/>
      <c r="E47" s="226"/>
    </row>
    <row r="48" spans="1:5" s="35" customFormat="1" ht="18.75" customHeight="1" x14ac:dyDescent="0.15">
      <c r="A48" s="79" t="s">
        <v>14</v>
      </c>
      <c r="B48" s="74" t="s">
        <v>84</v>
      </c>
      <c r="C48" s="79"/>
      <c r="D48" s="79"/>
      <c r="E48" s="79"/>
    </row>
    <row r="49" spans="1:7" ht="18.75" customHeight="1" x14ac:dyDescent="0.15">
      <c r="A49" s="3"/>
      <c r="B49" s="238" t="s">
        <v>222</v>
      </c>
      <c r="C49" s="241"/>
      <c r="D49" s="241"/>
      <c r="E49" s="242"/>
      <c r="G49" s="102"/>
    </row>
    <row r="50" spans="1:7" ht="18.75" customHeight="1" x14ac:dyDescent="0.15">
      <c r="A50" s="3"/>
      <c r="B50" s="243"/>
      <c r="C50" s="244"/>
      <c r="D50" s="244"/>
      <c r="E50" s="245"/>
    </row>
    <row r="51" spans="1:7" ht="18.75" customHeight="1" x14ac:dyDescent="0.15">
      <c r="A51" s="3"/>
      <c r="B51" s="243"/>
      <c r="C51" s="244"/>
      <c r="D51" s="244"/>
      <c r="E51" s="245"/>
    </row>
    <row r="52" spans="1:7" ht="18.75" customHeight="1" x14ac:dyDescent="0.15">
      <c r="A52" s="3"/>
      <c r="B52" s="243"/>
      <c r="C52" s="244"/>
      <c r="D52" s="244"/>
      <c r="E52" s="245"/>
    </row>
    <row r="53" spans="1:7" ht="18.75" customHeight="1" x14ac:dyDescent="0.15">
      <c r="A53" s="3"/>
      <c r="B53" s="243"/>
      <c r="C53" s="244"/>
      <c r="D53" s="244"/>
      <c r="E53" s="245"/>
    </row>
    <row r="54" spans="1:7" ht="18.75" customHeight="1" x14ac:dyDescent="0.15">
      <c r="A54" s="3"/>
      <c r="B54" s="243"/>
      <c r="C54" s="244"/>
      <c r="D54" s="244"/>
      <c r="E54" s="245"/>
    </row>
    <row r="55" spans="1:7" ht="18.75" customHeight="1" x14ac:dyDescent="0.15">
      <c r="A55" s="3"/>
      <c r="B55" s="243"/>
      <c r="C55" s="244"/>
      <c r="D55" s="244"/>
      <c r="E55" s="245"/>
    </row>
    <row r="56" spans="1:7" ht="18.75" customHeight="1" x14ac:dyDescent="0.15">
      <c r="A56" s="3"/>
      <c r="B56" s="243"/>
      <c r="C56" s="244"/>
      <c r="D56" s="244"/>
      <c r="E56" s="245"/>
    </row>
    <row r="57" spans="1:7" ht="18.75" customHeight="1" x14ac:dyDescent="0.15">
      <c r="A57" s="3"/>
      <c r="B57" s="243"/>
      <c r="C57" s="244"/>
      <c r="D57" s="244"/>
      <c r="E57" s="245"/>
    </row>
    <row r="58" spans="1:7" ht="18.75" customHeight="1" x14ac:dyDescent="0.15">
      <c r="A58" s="3"/>
      <c r="B58" s="243"/>
      <c r="C58" s="244"/>
      <c r="D58" s="244"/>
      <c r="E58" s="245"/>
    </row>
    <row r="59" spans="1:7" ht="18.75" customHeight="1" x14ac:dyDescent="0.15">
      <c r="A59" s="3"/>
      <c r="B59" s="243"/>
      <c r="C59" s="244"/>
      <c r="D59" s="244"/>
      <c r="E59" s="245"/>
    </row>
    <row r="60" spans="1:7" ht="18.75" customHeight="1" x14ac:dyDescent="0.15">
      <c r="A60" s="3"/>
      <c r="B60" s="243"/>
      <c r="C60" s="244"/>
      <c r="D60" s="244"/>
      <c r="E60" s="245"/>
    </row>
    <row r="61" spans="1:7" ht="18.75" customHeight="1" x14ac:dyDescent="0.15">
      <c r="A61" s="3"/>
      <c r="B61" s="243"/>
      <c r="C61" s="244"/>
      <c r="D61" s="244"/>
      <c r="E61" s="245"/>
    </row>
    <row r="62" spans="1:7" ht="18.75" customHeight="1" x14ac:dyDescent="0.15">
      <c r="A62" s="3"/>
      <c r="B62" s="243"/>
      <c r="C62" s="244"/>
      <c r="D62" s="244"/>
      <c r="E62" s="245"/>
    </row>
    <row r="63" spans="1:7" ht="18.75" customHeight="1" x14ac:dyDescent="0.15">
      <c r="A63" s="3"/>
      <c r="B63" s="243"/>
      <c r="C63" s="244"/>
      <c r="D63" s="244"/>
      <c r="E63" s="245"/>
    </row>
    <row r="64" spans="1:7" ht="18.75" customHeight="1" x14ac:dyDescent="0.15">
      <c r="A64" s="3"/>
      <c r="B64" s="243"/>
      <c r="C64" s="244"/>
      <c r="D64" s="244"/>
      <c r="E64" s="245"/>
    </row>
    <row r="65" spans="1:7" ht="18.75" customHeight="1" x14ac:dyDescent="0.15">
      <c r="A65" s="3"/>
      <c r="B65" s="243"/>
      <c r="C65" s="244"/>
      <c r="D65" s="244"/>
      <c r="E65" s="245"/>
    </row>
    <row r="66" spans="1:7" ht="18.75" customHeight="1" x14ac:dyDescent="0.15">
      <c r="A66" s="3"/>
      <c r="B66" s="243"/>
      <c r="C66" s="244"/>
      <c r="D66" s="244"/>
      <c r="E66" s="245"/>
    </row>
    <row r="67" spans="1:7" ht="18.75" customHeight="1" x14ac:dyDescent="0.15">
      <c r="A67" s="3"/>
      <c r="B67" s="243"/>
      <c r="C67" s="244"/>
      <c r="D67" s="244"/>
      <c r="E67" s="245"/>
    </row>
    <row r="68" spans="1:7" ht="18.75" customHeight="1" x14ac:dyDescent="0.15">
      <c r="A68" s="3"/>
      <c r="B68" s="243"/>
      <c r="C68" s="244"/>
      <c r="D68" s="244"/>
      <c r="E68" s="245"/>
    </row>
    <row r="69" spans="1:7" ht="18.75" customHeight="1" x14ac:dyDescent="0.15">
      <c r="A69" s="3"/>
      <c r="B69" s="246"/>
      <c r="C69" s="247"/>
      <c r="D69" s="247"/>
      <c r="E69" s="248"/>
    </row>
    <row r="70" spans="1:7" ht="7.5" customHeight="1" x14ac:dyDescent="0.15">
      <c r="A70" s="3"/>
      <c r="B70" s="3"/>
      <c r="C70" s="3"/>
      <c r="D70" s="3"/>
      <c r="E70" s="3"/>
    </row>
    <row r="71" spans="1:7" s="35" customFormat="1" ht="18.75" customHeight="1" x14ac:dyDescent="0.15">
      <c r="A71" s="74" t="s">
        <v>17</v>
      </c>
      <c r="B71" s="74" t="s">
        <v>93</v>
      </c>
      <c r="C71" s="74"/>
      <c r="D71" s="74"/>
      <c r="E71" s="74"/>
    </row>
    <row r="72" spans="1:7" s="35" customFormat="1" ht="18.75" customHeight="1" x14ac:dyDescent="0.15">
      <c r="A72" s="74"/>
      <c r="B72" s="238" t="s">
        <v>229</v>
      </c>
      <c r="C72" s="219"/>
      <c r="D72" s="219"/>
      <c r="E72" s="220"/>
      <c r="G72" s="102"/>
    </row>
    <row r="73" spans="1:7" s="35" customFormat="1" ht="18.75" customHeight="1" x14ac:dyDescent="0.15">
      <c r="A73" s="74"/>
      <c r="B73" s="221"/>
      <c r="C73" s="222"/>
      <c r="D73" s="222"/>
      <c r="E73" s="223"/>
    </row>
    <row r="74" spans="1:7" s="35" customFormat="1" ht="18.75" customHeight="1" x14ac:dyDescent="0.15">
      <c r="A74" s="74"/>
      <c r="B74" s="221"/>
      <c r="C74" s="222"/>
      <c r="D74" s="222"/>
      <c r="E74" s="223"/>
    </row>
    <row r="75" spans="1:7" s="35" customFormat="1" ht="18.75" customHeight="1" x14ac:dyDescent="0.15">
      <c r="A75" s="74"/>
      <c r="B75" s="221"/>
      <c r="C75" s="222"/>
      <c r="D75" s="222"/>
      <c r="E75" s="223"/>
    </row>
    <row r="76" spans="1:7" s="35" customFormat="1" ht="18.75" customHeight="1" x14ac:dyDescent="0.15">
      <c r="A76" s="74"/>
      <c r="B76" s="221"/>
      <c r="C76" s="222"/>
      <c r="D76" s="222"/>
      <c r="E76" s="223"/>
    </row>
    <row r="77" spans="1:7" s="35" customFormat="1" ht="18.75" customHeight="1" x14ac:dyDescent="0.15">
      <c r="A77" s="74"/>
      <c r="B77" s="221"/>
      <c r="C77" s="222"/>
      <c r="D77" s="222"/>
      <c r="E77" s="223"/>
    </row>
    <row r="78" spans="1:7" s="35" customFormat="1" ht="18.75" customHeight="1" x14ac:dyDescent="0.15">
      <c r="A78" s="74"/>
      <c r="B78" s="221"/>
      <c r="C78" s="222"/>
      <c r="D78" s="222"/>
      <c r="E78" s="223"/>
    </row>
    <row r="79" spans="1:7" s="35" customFormat="1" ht="18.75" customHeight="1" x14ac:dyDescent="0.15">
      <c r="A79" s="74"/>
      <c r="B79" s="221"/>
      <c r="C79" s="222"/>
      <c r="D79" s="222"/>
      <c r="E79" s="223"/>
    </row>
    <row r="80" spans="1:7" s="35" customFormat="1" ht="18.75" customHeight="1" x14ac:dyDescent="0.15">
      <c r="A80" s="74"/>
      <c r="B80" s="221"/>
      <c r="C80" s="222"/>
      <c r="D80" s="222"/>
      <c r="E80" s="223"/>
    </row>
    <row r="81" spans="1:5" s="35" customFormat="1" ht="18.75" customHeight="1" x14ac:dyDescent="0.15">
      <c r="A81" s="74"/>
      <c r="B81" s="221"/>
      <c r="C81" s="222"/>
      <c r="D81" s="222"/>
      <c r="E81" s="223"/>
    </row>
    <row r="82" spans="1:5" s="35" customFormat="1" ht="18.75" customHeight="1" x14ac:dyDescent="0.15">
      <c r="A82" s="74"/>
      <c r="B82" s="221"/>
      <c r="C82" s="222"/>
      <c r="D82" s="222"/>
      <c r="E82" s="223"/>
    </row>
    <row r="83" spans="1:5" s="35" customFormat="1" ht="18.75" customHeight="1" x14ac:dyDescent="0.15">
      <c r="A83" s="74"/>
      <c r="B83" s="221"/>
      <c r="C83" s="222"/>
      <c r="D83" s="222"/>
      <c r="E83" s="223"/>
    </row>
    <row r="84" spans="1:5" s="35" customFormat="1" ht="18.75" customHeight="1" x14ac:dyDescent="0.15">
      <c r="A84" s="74"/>
      <c r="B84" s="221"/>
      <c r="C84" s="222"/>
      <c r="D84" s="222"/>
      <c r="E84" s="223"/>
    </row>
    <row r="85" spans="1:5" s="35" customFormat="1" ht="18.75" customHeight="1" x14ac:dyDescent="0.15">
      <c r="A85" s="74"/>
      <c r="B85" s="221"/>
      <c r="C85" s="222"/>
      <c r="D85" s="222"/>
      <c r="E85" s="223"/>
    </row>
    <row r="86" spans="1:5" s="35" customFormat="1" ht="18.75" customHeight="1" x14ac:dyDescent="0.15">
      <c r="A86" s="74"/>
      <c r="B86" s="221"/>
      <c r="C86" s="222"/>
      <c r="D86" s="222"/>
      <c r="E86" s="223"/>
    </row>
    <row r="87" spans="1:5" s="35" customFormat="1" ht="18.75" customHeight="1" x14ac:dyDescent="0.15">
      <c r="A87" s="74"/>
      <c r="B87" s="221"/>
      <c r="C87" s="222"/>
      <c r="D87" s="222"/>
      <c r="E87" s="223"/>
    </row>
    <row r="88" spans="1:5" s="35" customFormat="1" ht="18.75" customHeight="1" x14ac:dyDescent="0.15">
      <c r="A88" s="74"/>
      <c r="B88" s="221"/>
      <c r="C88" s="222"/>
      <c r="D88" s="222"/>
      <c r="E88" s="223"/>
    </row>
    <row r="89" spans="1:5" ht="18.75" customHeight="1" x14ac:dyDescent="0.15">
      <c r="A89" s="3"/>
      <c r="B89" s="221"/>
      <c r="C89" s="222"/>
      <c r="D89" s="222"/>
      <c r="E89" s="223"/>
    </row>
    <row r="90" spans="1:5" ht="18.75" customHeight="1" x14ac:dyDescent="0.15">
      <c r="A90" s="3"/>
      <c r="B90" s="224"/>
      <c r="C90" s="225"/>
      <c r="D90" s="225"/>
      <c r="E90" s="226"/>
    </row>
    <row r="91" spans="1:5" ht="7.5" customHeight="1" x14ac:dyDescent="0.15">
      <c r="A91" s="3"/>
      <c r="B91" s="3"/>
      <c r="C91" s="3"/>
      <c r="D91" s="3"/>
      <c r="E91" s="3"/>
    </row>
    <row r="92" spans="1:5" s="35" customFormat="1" ht="18.75" customHeight="1" x14ac:dyDescent="0.15">
      <c r="A92" s="74" t="s">
        <v>15</v>
      </c>
      <c r="B92" s="74" t="s">
        <v>32</v>
      </c>
      <c r="C92" s="74"/>
      <c r="D92" s="74"/>
      <c r="E92" s="74"/>
    </row>
    <row r="93" spans="1:5" s="35" customFormat="1" ht="18.75" customHeight="1" x14ac:dyDescent="0.15">
      <c r="A93" s="74"/>
      <c r="B93" s="218" t="s">
        <v>223</v>
      </c>
      <c r="C93" s="219"/>
      <c r="D93" s="219"/>
      <c r="E93" s="220"/>
    </row>
    <row r="94" spans="1:5" s="35" customFormat="1" ht="18.75" customHeight="1" x14ac:dyDescent="0.15">
      <c r="A94" s="74"/>
      <c r="B94" s="221"/>
      <c r="C94" s="222"/>
      <c r="D94" s="222"/>
      <c r="E94" s="223"/>
    </row>
    <row r="95" spans="1:5" s="35" customFormat="1" ht="18.75" customHeight="1" x14ac:dyDescent="0.15">
      <c r="A95" s="74"/>
      <c r="B95" s="221"/>
      <c r="C95" s="222"/>
      <c r="D95" s="222"/>
      <c r="E95" s="223"/>
    </row>
    <row r="96" spans="1:5" s="35" customFormat="1" ht="18.75" customHeight="1" x14ac:dyDescent="0.15">
      <c r="A96" s="74"/>
      <c r="B96" s="221"/>
      <c r="C96" s="222"/>
      <c r="D96" s="222"/>
      <c r="E96" s="223"/>
    </row>
    <row r="97" spans="1:5" s="35" customFormat="1" ht="18.75" customHeight="1" x14ac:dyDescent="0.15">
      <c r="A97" s="74"/>
      <c r="B97" s="221"/>
      <c r="C97" s="222"/>
      <c r="D97" s="222"/>
      <c r="E97" s="223"/>
    </row>
    <row r="98" spans="1:5" s="35" customFormat="1" ht="18.75" customHeight="1" x14ac:dyDescent="0.15">
      <c r="A98" s="74"/>
      <c r="B98" s="221"/>
      <c r="C98" s="222"/>
      <c r="D98" s="222"/>
      <c r="E98" s="223"/>
    </row>
    <row r="99" spans="1:5" s="35" customFormat="1" ht="18.75" customHeight="1" x14ac:dyDescent="0.15">
      <c r="A99" s="74"/>
      <c r="B99" s="221"/>
      <c r="C99" s="222"/>
      <c r="D99" s="222"/>
      <c r="E99" s="223"/>
    </row>
    <row r="100" spans="1:5" s="35" customFormat="1" ht="18.75" customHeight="1" x14ac:dyDescent="0.15">
      <c r="A100" s="74"/>
      <c r="B100" s="221"/>
      <c r="C100" s="222"/>
      <c r="D100" s="222"/>
      <c r="E100" s="223"/>
    </row>
    <row r="101" spans="1:5" s="35" customFormat="1" ht="18.75" customHeight="1" x14ac:dyDescent="0.15">
      <c r="A101" s="74"/>
      <c r="B101" s="221"/>
      <c r="C101" s="222"/>
      <c r="D101" s="222"/>
      <c r="E101" s="223"/>
    </row>
    <row r="102" spans="1:5" s="35" customFormat="1" ht="18.75" customHeight="1" x14ac:dyDescent="0.15">
      <c r="A102" s="74"/>
      <c r="B102" s="221"/>
      <c r="C102" s="222"/>
      <c r="D102" s="222"/>
      <c r="E102" s="223"/>
    </row>
    <row r="103" spans="1:5" s="35" customFormat="1" ht="18.75" customHeight="1" x14ac:dyDescent="0.15">
      <c r="A103" s="74"/>
      <c r="B103" s="221"/>
      <c r="C103" s="222"/>
      <c r="D103" s="222"/>
      <c r="E103" s="223"/>
    </row>
    <row r="104" spans="1:5" s="35" customFormat="1" ht="18.75" customHeight="1" x14ac:dyDescent="0.15">
      <c r="A104" s="74"/>
      <c r="B104" s="221"/>
      <c r="C104" s="222"/>
      <c r="D104" s="222"/>
      <c r="E104" s="223"/>
    </row>
    <row r="105" spans="1:5" s="35" customFormat="1" ht="18.75" customHeight="1" x14ac:dyDescent="0.15">
      <c r="A105" s="74"/>
      <c r="B105" s="221"/>
      <c r="C105" s="222"/>
      <c r="D105" s="222"/>
      <c r="E105" s="223"/>
    </row>
    <row r="106" spans="1:5" s="35" customFormat="1" ht="18.75" customHeight="1" x14ac:dyDescent="0.15">
      <c r="A106" s="74"/>
      <c r="B106" s="221"/>
      <c r="C106" s="222"/>
      <c r="D106" s="222"/>
      <c r="E106" s="223"/>
    </row>
    <row r="107" spans="1:5" s="35" customFormat="1" ht="18.75" customHeight="1" x14ac:dyDescent="0.15">
      <c r="A107" s="74"/>
      <c r="B107" s="221"/>
      <c r="C107" s="222"/>
      <c r="D107" s="222"/>
      <c r="E107" s="223"/>
    </row>
    <row r="108" spans="1:5" s="35" customFormat="1" ht="18.75" customHeight="1" x14ac:dyDescent="0.15">
      <c r="A108" s="74"/>
      <c r="B108" s="221"/>
      <c r="C108" s="222"/>
      <c r="D108" s="222"/>
      <c r="E108" s="223"/>
    </row>
    <row r="109" spans="1:5" s="35" customFormat="1" ht="18.75" customHeight="1" x14ac:dyDescent="0.15">
      <c r="A109" s="74"/>
      <c r="B109" s="221"/>
      <c r="C109" s="222"/>
      <c r="D109" s="222"/>
      <c r="E109" s="223"/>
    </row>
    <row r="110" spans="1:5" s="35" customFormat="1" ht="18.75" customHeight="1" x14ac:dyDescent="0.15">
      <c r="A110" s="74"/>
      <c r="B110" s="221"/>
      <c r="C110" s="222"/>
      <c r="D110" s="222"/>
      <c r="E110" s="223"/>
    </row>
    <row r="111" spans="1:5" ht="18.75" customHeight="1" x14ac:dyDescent="0.15">
      <c r="A111" s="3"/>
      <c r="B111" s="221"/>
      <c r="C111" s="222"/>
      <c r="D111" s="222"/>
      <c r="E111" s="223"/>
    </row>
    <row r="112" spans="1:5" ht="18.75" customHeight="1" x14ac:dyDescent="0.15">
      <c r="A112" s="3"/>
      <c r="B112" s="224"/>
      <c r="C112" s="225"/>
      <c r="D112" s="225"/>
      <c r="E112" s="226"/>
    </row>
    <row r="113" spans="1:6" ht="7.5" customHeight="1" x14ac:dyDescent="0.15">
      <c r="A113" s="3"/>
      <c r="B113" s="3"/>
      <c r="C113" s="3"/>
      <c r="D113" s="3"/>
      <c r="E113" s="3"/>
    </row>
    <row r="114" spans="1:6" s="35" customFormat="1" ht="18.75" customHeight="1" x14ac:dyDescent="0.15">
      <c r="A114" s="74" t="s">
        <v>60</v>
      </c>
      <c r="B114" s="239" t="s">
        <v>128</v>
      </c>
      <c r="C114" s="239"/>
      <c r="D114" s="239"/>
      <c r="E114" s="239"/>
    </row>
    <row r="115" spans="1:6" ht="18.75" customHeight="1" x14ac:dyDescent="0.15">
      <c r="A115" s="3"/>
      <c r="B115" s="238" t="s">
        <v>224</v>
      </c>
      <c r="C115" s="219"/>
      <c r="D115" s="219"/>
      <c r="E115" s="220"/>
    </row>
    <row r="116" spans="1:6" ht="18.75" customHeight="1" x14ac:dyDescent="0.15">
      <c r="A116" s="3"/>
      <c r="B116" s="221"/>
      <c r="C116" s="222"/>
      <c r="D116" s="222"/>
      <c r="E116" s="223"/>
      <c r="F116" s="35"/>
    </row>
    <row r="117" spans="1:6" ht="18.75" customHeight="1" x14ac:dyDescent="0.15">
      <c r="A117" s="3"/>
      <c r="B117" s="221"/>
      <c r="C117" s="222"/>
      <c r="D117" s="222"/>
      <c r="E117" s="223"/>
    </row>
    <row r="118" spans="1:6" ht="18.75" customHeight="1" x14ac:dyDescent="0.15">
      <c r="A118" s="3"/>
      <c r="B118" s="221"/>
      <c r="C118" s="222"/>
      <c r="D118" s="222"/>
      <c r="E118" s="223"/>
    </row>
    <row r="119" spans="1:6" ht="18.75" customHeight="1" x14ac:dyDescent="0.15">
      <c r="A119" s="3"/>
      <c r="B119" s="221"/>
      <c r="C119" s="222"/>
      <c r="D119" s="222"/>
      <c r="E119" s="223"/>
    </row>
    <row r="120" spans="1:6" ht="18.75" customHeight="1" x14ac:dyDescent="0.15">
      <c r="A120" s="3"/>
      <c r="B120" s="221"/>
      <c r="C120" s="222"/>
      <c r="D120" s="222"/>
      <c r="E120" s="223"/>
    </row>
    <row r="121" spans="1:6" ht="18.75" customHeight="1" x14ac:dyDescent="0.15">
      <c r="A121" s="3"/>
      <c r="B121" s="221"/>
      <c r="C121" s="222"/>
      <c r="D121" s="222"/>
      <c r="E121" s="223"/>
    </row>
    <row r="122" spans="1:6" ht="18.75" customHeight="1" x14ac:dyDescent="0.15">
      <c r="A122" s="3"/>
      <c r="B122" s="221"/>
      <c r="C122" s="222"/>
      <c r="D122" s="222"/>
      <c r="E122" s="223"/>
    </row>
    <row r="123" spans="1:6" ht="18.75" customHeight="1" x14ac:dyDescent="0.15">
      <c r="A123" s="3"/>
      <c r="B123" s="221"/>
      <c r="C123" s="222"/>
      <c r="D123" s="222"/>
      <c r="E123" s="223"/>
    </row>
    <row r="124" spans="1:6" ht="18.75" customHeight="1" x14ac:dyDescent="0.15">
      <c r="A124" s="3"/>
      <c r="B124" s="221"/>
      <c r="C124" s="222"/>
      <c r="D124" s="222"/>
      <c r="E124" s="223"/>
    </row>
    <row r="125" spans="1:6" ht="18.75" customHeight="1" x14ac:dyDescent="0.15">
      <c r="A125" s="3"/>
      <c r="B125" s="221"/>
      <c r="C125" s="222"/>
      <c r="D125" s="222"/>
      <c r="E125" s="223"/>
    </row>
    <row r="126" spans="1:6" ht="18.75" customHeight="1" x14ac:dyDescent="0.15">
      <c r="A126" s="3"/>
      <c r="B126" s="221"/>
      <c r="C126" s="222"/>
      <c r="D126" s="222"/>
      <c r="E126" s="223"/>
    </row>
    <row r="127" spans="1:6" ht="18.75" customHeight="1" x14ac:dyDescent="0.15">
      <c r="A127" s="3"/>
      <c r="B127" s="221"/>
      <c r="C127" s="222"/>
      <c r="D127" s="222"/>
      <c r="E127" s="223"/>
    </row>
    <row r="128" spans="1:6" ht="18.75" customHeight="1" x14ac:dyDescent="0.15">
      <c r="A128" s="3"/>
      <c r="B128" s="221"/>
      <c r="C128" s="222"/>
      <c r="D128" s="222"/>
      <c r="E128" s="223"/>
    </row>
    <row r="129" spans="1:5" ht="18.75" customHeight="1" x14ac:dyDescent="0.15">
      <c r="A129" s="3"/>
      <c r="B129" s="221"/>
      <c r="C129" s="222"/>
      <c r="D129" s="222"/>
      <c r="E129" s="223"/>
    </row>
    <row r="130" spans="1:5" ht="18.75" customHeight="1" x14ac:dyDescent="0.15">
      <c r="A130" s="3"/>
      <c r="B130" s="221"/>
      <c r="C130" s="222"/>
      <c r="D130" s="222"/>
      <c r="E130" s="223"/>
    </row>
    <row r="131" spans="1:5" ht="18.75" customHeight="1" x14ac:dyDescent="0.15">
      <c r="A131" s="3"/>
      <c r="B131" s="221"/>
      <c r="C131" s="222"/>
      <c r="D131" s="222"/>
      <c r="E131" s="223"/>
    </row>
    <row r="132" spans="1:5" ht="18.75" customHeight="1" x14ac:dyDescent="0.15">
      <c r="A132" s="3"/>
      <c r="B132" s="221"/>
      <c r="C132" s="222"/>
      <c r="D132" s="222"/>
      <c r="E132" s="223"/>
    </row>
    <row r="133" spans="1:5" ht="18.75" customHeight="1" x14ac:dyDescent="0.15">
      <c r="A133" s="3"/>
      <c r="B133" s="221"/>
      <c r="C133" s="222"/>
      <c r="D133" s="222"/>
      <c r="E133" s="223"/>
    </row>
    <row r="134" spans="1:5" ht="18.75" customHeight="1" x14ac:dyDescent="0.15">
      <c r="A134" s="3"/>
      <c r="B134" s="224"/>
      <c r="C134" s="225"/>
      <c r="D134" s="225"/>
      <c r="E134" s="226"/>
    </row>
    <row r="135" spans="1:5" ht="7.5" customHeight="1" x14ac:dyDescent="0.15">
      <c r="A135" s="3"/>
      <c r="B135" s="80"/>
      <c r="C135" s="80"/>
      <c r="D135" s="80"/>
      <c r="E135" s="80"/>
    </row>
    <row r="136" spans="1:5" ht="18.75" customHeight="1" x14ac:dyDescent="0.15">
      <c r="A136" s="3"/>
      <c r="B136" s="3"/>
      <c r="C136" s="3"/>
      <c r="D136" s="3"/>
      <c r="E136" s="3"/>
    </row>
    <row r="137" spans="1:5" ht="18.75" customHeight="1" x14ac:dyDescent="0.15">
      <c r="A137" s="3"/>
      <c r="B137" s="3"/>
      <c r="C137" s="3"/>
      <c r="D137" s="3"/>
      <c r="E137" s="3"/>
    </row>
    <row r="138" spans="1:5" ht="18.75" customHeight="1" x14ac:dyDescent="0.15">
      <c r="A138" s="3"/>
      <c r="B138" s="3"/>
      <c r="C138" s="3"/>
      <c r="D138" s="3"/>
      <c r="E138" s="3"/>
    </row>
    <row r="139" spans="1:5" ht="18.75" customHeight="1" x14ac:dyDescent="0.15">
      <c r="A139" s="3"/>
      <c r="B139" s="3"/>
      <c r="C139" s="3"/>
      <c r="D139" s="3"/>
      <c r="E139" s="3"/>
    </row>
    <row r="140" spans="1:5" ht="18.75" customHeight="1" x14ac:dyDescent="0.15">
      <c r="A140" s="3"/>
      <c r="B140" s="3"/>
      <c r="C140" s="3"/>
      <c r="D140" s="3"/>
      <c r="E140" s="3"/>
    </row>
    <row r="141" spans="1:5" ht="18.75" customHeight="1" x14ac:dyDescent="0.15">
      <c r="A141" s="3"/>
      <c r="B141" s="3"/>
      <c r="C141" s="3"/>
      <c r="D141" s="3"/>
      <c r="E141" s="3"/>
    </row>
    <row r="142" spans="1:5" ht="18.75" customHeight="1" x14ac:dyDescent="0.15">
      <c r="A142" s="3"/>
      <c r="B142" s="3"/>
      <c r="C142" s="3"/>
      <c r="D142" s="3"/>
      <c r="E142" s="3"/>
    </row>
    <row r="143" spans="1:5" ht="18.75" customHeight="1" x14ac:dyDescent="0.15">
      <c r="A143" s="3"/>
      <c r="B143" s="3"/>
      <c r="C143" s="3"/>
      <c r="D143" s="3"/>
      <c r="E143" s="3"/>
    </row>
    <row r="144" spans="1:5" ht="18.75" customHeight="1" x14ac:dyDescent="0.15">
      <c r="A144" s="3"/>
      <c r="B144" s="3"/>
      <c r="C144" s="3"/>
      <c r="D144" s="3"/>
      <c r="E144" s="3"/>
    </row>
    <row r="145" spans="1:5" ht="18.75" customHeight="1" x14ac:dyDescent="0.15">
      <c r="A145" s="3"/>
      <c r="B145" s="3"/>
      <c r="C145" s="3"/>
      <c r="D145" s="3"/>
      <c r="E145" s="3"/>
    </row>
    <row r="146" spans="1:5" ht="18.75" customHeight="1" x14ac:dyDescent="0.15">
      <c r="A146" s="3"/>
      <c r="B146" s="3"/>
      <c r="C146" s="3"/>
      <c r="D146" s="3"/>
      <c r="E146" s="3"/>
    </row>
    <row r="147" spans="1:5" ht="18.75" customHeight="1" x14ac:dyDescent="0.15">
      <c r="A147" s="3"/>
      <c r="B147" s="3"/>
      <c r="C147" s="3"/>
      <c r="D147" s="3"/>
      <c r="E147" s="3"/>
    </row>
    <row r="148" spans="1:5" ht="14.25" x14ac:dyDescent="0.15">
      <c r="A148" s="3"/>
      <c r="B148" s="3"/>
      <c r="C148" s="3"/>
      <c r="D148" s="3"/>
      <c r="E148" s="3"/>
    </row>
    <row r="149" spans="1:5" ht="7.5" customHeight="1" x14ac:dyDescent="0.15">
      <c r="A149" s="81"/>
      <c r="B149" s="81"/>
      <c r="C149" s="81"/>
      <c r="D149" s="81"/>
      <c r="E149" s="81"/>
    </row>
  </sheetData>
  <mergeCells count="11">
    <mergeCell ref="B72:E90"/>
    <mergeCell ref="B93:E112"/>
    <mergeCell ref="B114:E114"/>
    <mergeCell ref="B115:E134"/>
    <mergeCell ref="D2:E2"/>
    <mergeCell ref="B4:E4"/>
    <mergeCell ref="B10:E14"/>
    <mergeCell ref="B17:E29"/>
    <mergeCell ref="B32:E47"/>
    <mergeCell ref="B49:E69"/>
    <mergeCell ref="B7:E7"/>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3" manualBreakCount="3">
    <brk id="30" max="4" man="1"/>
    <brk id="70" max="4" man="1"/>
    <brk id="113"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abSelected="1" topLeftCell="A19" zoomScaleNormal="100" workbookViewId="0">
      <selection activeCell="H20" sqref="H20:J20"/>
    </sheetView>
  </sheetViews>
  <sheetFormatPr defaultColWidth="11.375" defaultRowHeight="22.5" customHeight="1" x14ac:dyDescent="0.15"/>
  <cols>
    <col min="1" max="3" width="2.5" style="33" customWidth="1"/>
    <col min="4" max="4" width="22.5" style="33" customWidth="1"/>
    <col min="5" max="5" width="21.125" style="33" customWidth="1"/>
    <col min="6" max="7" width="7.5" style="33" customWidth="1"/>
    <col min="8" max="8" width="32.5" style="33" customWidth="1"/>
    <col min="9" max="9" width="24.875" style="33" customWidth="1"/>
    <col min="10" max="10" width="6.125" style="33" customWidth="1"/>
    <col min="11" max="11" width="4.125" style="33" customWidth="1"/>
    <col min="12" max="16384" width="11.375" style="33"/>
  </cols>
  <sheetData>
    <row r="1" spans="1:10" ht="18.75" customHeight="1" x14ac:dyDescent="0.15">
      <c r="J1" s="65" t="s">
        <v>9</v>
      </c>
    </row>
    <row r="2" spans="1:10" ht="18.75" customHeight="1" x14ac:dyDescent="0.15">
      <c r="D2" s="65"/>
      <c r="H2" s="65" t="s">
        <v>30</v>
      </c>
      <c r="I2" s="240" t="s">
        <v>153</v>
      </c>
      <c r="J2" s="240"/>
    </row>
    <row r="3" spans="1:10" ht="18.75" customHeight="1" x14ac:dyDescent="0.15">
      <c r="A3" s="170" t="s">
        <v>48</v>
      </c>
      <c r="B3" s="170"/>
      <c r="C3" s="170"/>
      <c r="D3" s="170"/>
      <c r="E3" s="170"/>
      <c r="F3" s="170"/>
      <c r="G3" s="170"/>
      <c r="H3" s="170"/>
      <c r="I3" s="170"/>
      <c r="J3" s="170"/>
    </row>
    <row r="4" spans="1:10" ht="7.5" customHeight="1" x14ac:dyDescent="0.15">
      <c r="B4" s="82"/>
      <c r="C4" s="82"/>
      <c r="D4" s="270"/>
      <c r="E4" s="271"/>
      <c r="F4" s="271"/>
      <c r="G4" s="271"/>
      <c r="H4" s="271"/>
      <c r="I4" s="271"/>
      <c r="J4" s="271"/>
    </row>
    <row r="5" spans="1:10" ht="18.75" customHeight="1" x14ac:dyDescent="0.15">
      <c r="A5" s="33" t="s">
        <v>7</v>
      </c>
      <c r="B5" s="35" t="s">
        <v>46</v>
      </c>
      <c r="C5" s="82"/>
      <c r="D5" s="82"/>
      <c r="E5" s="83"/>
      <c r="F5" s="83"/>
      <c r="G5" s="83"/>
      <c r="H5" s="83"/>
      <c r="I5" s="83"/>
      <c r="J5" s="83"/>
    </row>
    <row r="6" spans="1:10" ht="18.75" customHeight="1" x14ac:dyDescent="0.15">
      <c r="B6" s="177" t="s">
        <v>43</v>
      </c>
      <c r="C6" s="178"/>
      <c r="D6" s="179"/>
      <c r="E6" s="272" t="s">
        <v>45</v>
      </c>
      <c r="F6" s="272"/>
      <c r="G6" s="272"/>
      <c r="H6" s="272"/>
      <c r="I6" s="272"/>
      <c r="J6" s="273"/>
    </row>
    <row r="7" spans="1:10" ht="18.75" customHeight="1" x14ac:dyDescent="0.15">
      <c r="B7" s="84" t="s">
        <v>33</v>
      </c>
      <c r="C7" s="3"/>
      <c r="D7" s="85"/>
      <c r="E7" s="86"/>
      <c r="F7" s="86"/>
      <c r="G7" s="86"/>
      <c r="H7" s="86"/>
      <c r="I7" s="4"/>
      <c r="J7" s="87"/>
    </row>
    <row r="8" spans="1:10" ht="141" customHeight="1" x14ac:dyDescent="0.15">
      <c r="B8" s="88"/>
      <c r="C8" s="254" t="s">
        <v>34</v>
      </c>
      <c r="D8" s="255"/>
      <c r="E8" s="269" t="s">
        <v>216</v>
      </c>
      <c r="F8" s="256"/>
      <c r="G8" s="256"/>
      <c r="H8" s="256"/>
      <c r="I8" s="256"/>
      <c r="J8" s="257"/>
    </row>
    <row r="9" spans="1:10" ht="121.35" customHeight="1" x14ac:dyDescent="0.15">
      <c r="B9" s="88"/>
      <c r="C9" s="252" t="s">
        <v>35</v>
      </c>
      <c r="D9" s="253"/>
      <c r="E9" s="269" t="s">
        <v>217</v>
      </c>
      <c r="F9" s="256"/>
      <c r="G9" s="256"/>
      <c r="H9" s="256"/>
      <c r="I9" s="256"/>
      <c r="J9" s="257"/>
    </row>
    <row r="10" spans="1:10" ht="117" customHeight="1" x14ac:dyDescent="0.15">
      <c r="B10" s="88"/>
      <c r="C10" s="254" t="s">
        <v>36</v>
      </c>
      <c r="D10" s="255"/>
      <c r="E10" s="269" t="s">
        <v>218</v>
      </c>
      <c r="F10" s="256"/>
      <c r="G10" s="256"/>
      <c r="H10" s="256"/>
      <c r="I10" s="256"/>
      <c r="J10" s="257"/>
    </row>
    <row r="11" spans="1:10" ht="124.5" customHeight="1" x14ac:dyDescent="0.15">
      <c r="B11" s="88"/>
      <c r="C11" s="254" t="s">
        <v>37</v>
      </c>
      <c r="D11" s="255"/>
      <c r="E11" s="269" t="s">
        <v>233</v>
      </c>
      <c r="F11" s="264"/>
      <c r="G11" s="264"/>
      <c r="H11" s="264"/>
      <c r="I11" s="264"/>
      <c r="J11" s="265"/>
    </row>
    <row r="12" spans="1:10" ht="104.25" customHeight="1" x14ac:dyDescent="0.15">
      <c r="B12" s="88"/>
      <c r="C12" s="254" t="s">
        <v>38</v>
      </c>
      <c r="D12" s="255"/>
      <c r="E12" s="269" t="s">
        <v>219</v>
      </c>
      <c r="F12" s="256"/>
      <c r="G12" s="256"/>
      <c r="H12" s="256"/>
      <c r="I12" s="256"/>
      <c r="J12" s="257"/>
    </row>
    <row r="13" spans="1:10" ht="18.75" customHeight="1" x14ac:dyDescent="0.15">
      <c r="B13" s="89" t="s">
        <v>39</v>
      </c>
      <c r="C13" s="90"/>
      <c r="D13" s="91"/>
      <c r="E13" s="92"/>
      <c r="F13" s="92"/>
      <c r="G13" s="92"/>
      <c r="H13" s="92"/>
      <c r="I13" s="92"/>
      <c r="J13" s="93"/>
    </row>
    <row r="14" spans="1:10" ht="132" customHeight="1" x14ac:dyDescent="0.15">
      <c r="B14" s="88"/>
      <c r="C14" s="254" t="s">
        <v>40</v>
      </c>
      <c r="D14" s="255"/>
      <c r="E14" s="256" t="s">
        <v>227</v>
      </c>
      <c r="F14" s="256"/>
      <c r="G14" s="256"/>
      <c r="H14" s="256"/>
      <c r="I14" s="256"/>
      <c r="J14" s="257"/>
    </row>
    <row r="15" spans="1:10" ht="140.25" customHeight="1" x14ac:dyDescent="0.15">
      <c r="B15" s="88"/>
      <c r="C15" s="258" t="s">
        <v>41</v>
      </c>
      <c r="D15" s="259"/>
      <c r="E15" s="260" t="s">
        <v>226</v>
      </c>
      <c r="F15" s="260"/>
      <c r="G15" s="260"/>
      <c r="H15" s="260"/>
      <c r="I15" s="260"/>
      <c r="J15" s="261"/>
    </row>
    <row r="16" spans="1:10" ht="231" customHeight="1" x14ac:dyDescent="0.15">
      <c r="B16" s="262" t="s">
        <v>42</v>
      </c>
      <c r="C16" s="263"/>
      <c r="D16" s="255"/>
      <c r="E16" s="256" t="s">
        <v>220</v>
      </c>
      <c r="F16" s="264"/>
      <c r="G16" s="264"/>
      <c r="H16" s="264"/>
      <c r="I16" s="264"/>
      <c r="J16" s="265"/>
    </row>
    <row r="17" spans="1:10" ht="186" customHeight="1" x14ac:dyDescent="0.15">
      <c r="A17" s="94"/>
      <c r="B17" s="249" t="s">
        <v>85</v>
      </c>
      <c r="C17" s="250"/>
      <c r="D17" s="251"/>
      <c r="E17" s="247" t="s">
        <v>225</v>
      </c>
      <c r="F17" s="247"/>
      <c r="G17" s="247"/>
      <c r="H17" s="247"/>
      <c r="I17" s="247"/>
      <c r="J17" s="248"/>
    </row>
    <row r="18" spans="1:10" ht="18" customHeight="1" x14ac:dyDescent="0.15">
      <c r="B18" s="82"/>
      <c r="C18" s="82"/>
      <c r="D18" s="82"/>
      <c r="E18" s="83"/>
      <c r="F18" s="83"/>
      <c r="G18" s="83"/>
      <c r="H18" s="83"/>
      <c r="I18" s="83"/>
      <c r="J18" s="83"/>
    </row>
    <row r="19" spans="1:10" ht="18.75" customHeight="1" x14ac:dyDescent="0.15">
      <c r="B19" s="35"/>
      <c r="C19" s="82"/>
      <c r="D19" s="82"/>
      <c r="E19" s="83"/>
      <c r="F19" s="95"/>
      <c r="G19" s="95"/>
      <c r="H19" s="96" t="s">
        <v>111</v>
      </c>
      <c r="I19" s="97"/>
      <c r="J19" s="98"/>
    </row>
    <row r="20" spans="1:10" ht="18.75" customHeight="1" x14ac:dyDescent="0.15">
      <c r="A20" s="86" t="s">
        <v>12</v>
      </c>
      <c r="B20" s="2" t="s">
        <v>47</v>
      </c>
      <c r="C20" s="3"/>
      <c r="D20" s="3"/>
      <c r="E20" s="4"/>
      <c r="F20" s="100" t="s">
        <v>155</v>
      </c>
      <c r="G20" s="95"/>
      <c r="H20" s="266" t="s">
        <v>236</v>
      </c>
      <c r="I20" s="267"/>
      <c r="J20" s="268"/>
    </row>
    <row r="21" spans="1:10" ht="22.5" customHeight="1" x14ac:dyDescent="0.15">
      <c r="B21" s="82"/>
      <c r="C21" s="82"/>
      <c r="D21" s="82"/>
      <c r="E21" s="83"/>
      <c r="F21" s="83"/>
      <c r="G21" s="83"/>
      <c r="H21" s="83"/>
      <c r="I21" s="83"/>
      <c r="J21" s="83"/>
    </row>
    <row r="22" spans="1:10" ht="22.5" customHeight="1" x14ac:dyDescent="0.15">
      <c r="B22" s="82"/>
      <c r="C22" s="82"/>
      <c r="D22" s="82"/>
      <c r="E22" s="83"/>
      <c r="F22" s="83"/>
      <c r="G22" s="83"/>
      <c r="H22" s="83"/>
      <c r="I22" s="83"/>
      <c r="J22" s="83"/>
    </row>
    <row r="23" spans="1:10" ht="22.5" customHeight="1" x14ac:dyDescent="0.15">
      <c r="B23" s="82"/>
      <c r="C23" s="82"/>
      <c r="D23" s="82"/>
      <c r="E23" s="83"/>
      <c r="F23" s="83"/>
      <c r="G23" s="83"/>
      <c r="H23" s="83"/>
      <c r="I23" s="83"/>
      <c r="J23" s="83"/>
    </row>
    <row r="24" spans="1:10" ht="22.5" customHeight="1" x14ac:dyDescent="0.15">
      <c r="B24" s="82"/>
      <c r="C24" s="82"/>
      <c r="D24" s="82"/>
      <c r="E24" s="83"/>
      <c r="F24" s="83"/>
      <c r="G24" s="83"/>
      <c r="H24" s="83"/>
      <c r="I24" s="83"/>
      <c r="J24" s="83"/>
    </row>
    <row r="25" spans="1:10" ht="22.5" customHeight="1" x14ac:dyDescent="0.15">
      <c r="B25" s="82"/>
      <c r="C25" s="82"/>
      <c r="D25" s="82"/>
      <c r="E25" s="83"/>
      <c r="F25" s="83"/>
      <c r="G25" s="83"/>
      <c r="H25" s="83"/>
      <c r="I25" s="83"/>
      <c r="J25" s="83"/>
    </row>
    <row r="26" spans="1:10" ht="22.5" customHeight="1" x14ac:dyDescent="0.15">
      <c r="B26" s="99"/>
      <c r="C26" s="99"/>
      <c r="D26" s="99"/>
      <c r="E26" s="99"/>
      <c r="F26" s="99"/>
      <c r="G26" s="99"/>
      <c r="H26" s="99"/>
      <c r="I26" s="99"/>
      <c r="J26" s="99"/>
    </row>
    <row r="27" spans="1:10" ht="22.5" customHeight="1" x14ac:dyDescent="0.15">
      <c r="B27" s="99"/>
      <c r="C27" s="99"/>
      <c r="D27" s="99"/>
      <c r="E27" s="99"/>
      <c r="F27" s="99"/>
      <c r="G27" s="99"/>
      <c r="H27" s="99"/>
      <c r="I27" s="99"/>
      <c r="J27" s="99"/>
    </row>
    <row r="28" spans="1:10" ht="22.5" customHeight="1" x14ac:dyDescent="0.15">
      <c r="B28" s="99"/>
      <c r="C28" s="99"/>
      <c r="D28" s="99"/>
      <c r="E28" s="99"/>
      <c r="F28" s="99"/>
      <c r="G28" s="99"/>
      <c r="H28" s="99"/>
      <c r="I28" s="99"/>
      <c r="J28" s="99"/>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B8C5653D-3C71-4E85-9336-92BA0082159D}"/>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0"/>
  <sheetViews>
    <sheetView topLeftCell="A107" zoomScaleNormal="100" workbookViewId="0">
      <selection activeCell="K127" sqref="K127"/>
    </sheetView>
  </sheetViews>
  <sheetFormatPr defaultColWidth="8.75" defaultRowHeight="13.5" x14ac:dyDescent="0.15"/>
  <cols>
    <col min="1" max="1" width="2.5" style="101" customWidth="1"/>
    <col min="2" max="2" width="15" style="101" customWidth="1"/>
    <col min="3" max="3" width="37.5" style="101" customWidth="1"/>
    <col min="4" max="4" width="1.125" style="101" customWidth="1"/>
    <col min="5" max="5" width="21.125" style="101" customWidth="1"/>
    <col min="6" max="6" width="8.875" style="101" customWidth="1"/>
    <col min="7" max="8" width="2.125" style="101" customWidth="1"/>
    <col min="9" max="16384" width="8.75" style="101"/>
  </cols>
  <sheetData>
    <row r="1" spans="1:10" ht="14.25" x14ac:dyDescent="0.15">
      <c r="A1" s="102"/>
      <c r="B1" s="102"/>
      <c r="C1" s="102"/>
      <c r="D1" s="102"/>
      <c r="E1" s="283" t="s">
        <v>207</v>
      </c>
      <c r="F1" s="283"/>
      <c r="G1" s="102"/>
      <c r="H1" s="102"/>
      <c r="I1" s="102"/>
    </row>
    <row r="2" spans="1:10" ht="14.25" x14ac:dyDescent="0.15">
      <c r="A2" s="102"/>
      <c r="B2" s="102"/>
      <c r="C2" s="103" t="s">
        <v>86</v>
      </c>
      <c r="D2" s="103" t="s">
        <v>8</v>
      </c>
      <c r="E2" s="284" t="s">
        <v>153</v>
      </c>
      <c r="F2" s="284"/>
      <c r="G2" s="102"/>
      <c r="H2" s="102"/>
      <c r="I2" s="102"/>
    </row>
    <row r="3" spans="1:10" ht="14.25" x14ac:dyDescent="0.15">
      <c r="A3" s="102"/>
      <c r="B3" s="102"/>
      <c r="C3" s="103"/>
      <c r="D3" s="103"/>
      <c r="E3" s="6"/>
      <c r="F3" s="6"/>
      <c r="G3" s="102"/>
      <c r="H3" s="102"/>
      <c r="I3" s="102"/>
    </row>
    <row r="4" spans="1:10" ht="14.25" x14ac:dyDescent="0.15">
      <c r="A4" s="284" t="s">
        <v>208</v>
      </c>
      <c r="B4" s="284"/>
      <c r="C4" s="284"/>
      <c r="D4" s="284"/>
      <c r="E4" s="284"/>
      <c r="F4" s="284"/>
      <c r="G4" s="102"/>
      <c r="H4" s="102"/>
      <c r="I4" s="102"/>
    </row>
    <row r="5" spans="1:10" ht="14.25" x14ac:dyDescent="0.15">
      <c r="A5" s="6"/>
      <c r="B5" s="6"/>
      <c r="C5" s="6"/>
      <c r="D5" s="6"/>
      <c r="E5" s="6"/>
      <c r="F5" s="6"/>
      <c r="G5" s="102"/>
      <c r="H5" s="102"/>
      <c r="I5" s="102"/>
    </row>
    <row r="6" spans="1:10" ht="14.25" x14ac:dyDescent="0.15">
      <c r="A6" s="6" t="s">
        <v>7</v>
      </c>
      <c r="B6" s="1" t="s">
        <v>209</v>
      </c>
      <c r="C6" s="6"/>
      <c r="D6" s="6"/>
      <c r="E6" s="6"/>
      <c r="F6" s="6"/>
      <c r="G6" s="102"/>
      <c r="H6" s="102"/>
      <c r="I6" s="102"/>
    </row>
    <row r="7" spans="1:10" ht="14.25" x14ac:dyDescent="0.15">
      <c r="A7" s="6"/>
      <c r="B7" s="274" t="s">
        <v>234</v>
      </c>
      <c r="C7" s="285"/>
      <c r="D7" s="285"/>
      <c r="E7" s="285"/>
      <c r="F7" s="286"/>
      <c r="G7" s="102"/>
      <c r="H7" s="102"/>
      <c r="I7" s="102"/>
      <c r="J7" s="104"/>
    </row>
    <row r="8" spans="1:10" ht="14.25" x14ac:dyDescent="0.15">
      <c r="A8" s="6"/>
      <c r="B8" s="287"/>
      <c r="C8" s="288"/>
      <c r="D8" s="288"/>
      <c r="E8" s="288"/>
      <c r="F8" s="289"/>
      <c r="G8" s="102"/>
      <c r="H8" s="102"/>
      <c r="I8" s="102"/>
    </row>
    <row r="9" spans="1:10" ht="14.25" x14ac:dyDescent="0.15">
      <c r="A9" s="6"/>
      <c r="B9" s="287"/>
      <c r="C9" s="288"/>
      <c r="D9" s="288"/>
      <c r="E9" s="288"/>
      <c r="F9" s="289"/>
      <c r="G9" s="102"/>
      <c r="H9" s="102"/>
      <c r="I9" s="102"/>
    </row>
    <row r="10" spans="1:10" ht="14.25" x14ac:dyDescent="0.15">
      <c r="A10" s="6"/>
      <c r="B10" s="287"/>
      <c r="C10" s="288"/>
      <c r="D10" s="288"/>
      <c r="E10" s="288"/>
      <c r="F10" s="289"/>
      <c r="G10" s="102"/>
      <c r="H10" s="102"/>
      <c r="I10" s="102"/>
    </row>
    <row r="11" spans="1:10" ht="14.25" x14ac:dyDescent="0.15">
      <c r="A11" s="6"/>
      <c r="B11" s="287"/>
      <c r="C11" s="288"/>
      <c r="D11" s="288"/>
      <c r="E11" s="288"/>
      <c r="F11" s="289"/>
      <c r="G11" s="102"/>
      <c r="H11" s="102"/>
      <c r="I11" s="102"/>
    </row>
    <row r="12" spans="1:10" ht="14.25" x14ac:dyDescent="0.15">
      <c r="A12" s="6"/>
      <c r="B12" s="287"/>
      <c r="C12" s="288"/>
      <c r="D12" s="288"/>
      <c r="E12" s="288"/>
      <c r="F12" s="289"/>
      <c r="G12" s="102"/>
      <c r="H12" s="102"/>
      <c r="I12" s="102"/>
    </row>
    <row r="13" spans="1:10" ht="14.25" x14ac:dyDescent="0.15">
      <c r="A13" s="6"/>
      <c r="B13" s="287"/>
      <c r="C13" s="288"/>
      <c r="D13" s="288"/>
      <c r="E13" s="288"/>
      <c r="F13" s="289"/>
      <c r="G13" s="102"/>
      <c r="H13" s="102"/>
      <c r="I13" s="102"/>
    </row>
    <row r="14" spans="1:10" ht="14.25" x14ac:dyDescent="0.15">
      <c r="A14" s="6"/>
      <c r="B14" s="287"/>
      <c r="C14" s="288"/>
      <c r="D14" s="288"/>
      <c r="E14" s="288"/>
      <c r="F14" s="289"/>
      <c r="G14" s="102"/>
      <c r="H14" s="102"/>
      <c r="I14" s="102"/>
    </row>
    <row r="15" spans="1:10" ht="14.25" x14ac:dyDescent="0.15">
      <c r="A15" s="6"/>
      <c r="B15" s="287"/>
      <c r="C15" s="288"/>
      <c r="D15" s="288"/>
      <c r="E15" s="288"/>
      <c r="F15" s="289"/>
      <c r="G15" s="102"/>
      <c r="H15" s="102"/>
      <c r="I15" s="102"/>
    </row>
    <row r="16" spans="1:10" ht="14.25" x14ac:dyDescent="0.15">
      <c r="A16" s="6"/>
      <c r="B16" s="287"/>
      <c r="C16" s="288"/>
      <c r="D16" s="288"/>
      <c r="E16" s="288"/>
      <c r="F16" s="289"/>
      <c r="G16" s="102"/>
      <c r="H16" s="102"/>
      <c r="I16" s="102"/>
    </row>
    <row r="17" spans="1:9" ht="14.25" x14ac:dyDescent="0.15">
      <c r="A17" s="6"/>
      <c r="B17" s="287"/>
      <c r="C17" s="288"/>
      <c r="D17" s="288"/>
      <c r="E17" s="288"/>
      <c r="F17" s="289"/>
      <c r="G17" s="102"/>
      <c r="H17" s="102"/>
      <c r="I17" s="102"/>
    </row>
    <row r="18" spans="1:9" ht="14.25" x14ac:dyDescent="0.15">
      <c r="A18" s="6"/>
      <c r="B18" s="287"/>
      <c r="C18" s="288"/>
      <c r="D18" s="288"/>
      <c r="E18" s="288"/>
      <c r="F18" s="289"/>
      <c r="G18" s="102"/>
      <c r="H18" s="102"/>
      <c r="I18" s="102"/>
    </row>
    <row r="19" spans="1:9" ht="14.25" x14ac:dyDescent="0.15">
      <c r="A19" s="6"/>
      <c r="B19" s="287"/>
      <c r="C19" s="288"/>
      <c r="D19" s="288"/>
      <c r="E19" s="288"/>
      <c r="F19" s="289"/>
      <c r="G19" s="102"/>
      <c r="H19" s="102"/>
      <c r="I19" s="102"/>
    </row>
    <row r="20" spans="1:9" ht="14.25" x14ac:dyDescent="0.15">
      <c r="A20" s="6"/>
      <c r="B20" s="287"/>
      <c r="C20" s="288"/>
      <c r="D20" s="288"/>
      <c r="E20" s="288"/>
      <c r="F20" s="289"/>
      <c r="G20" s="102"/>
      <c r="H20" s="102"/>
      <c r="I20" s="102"/>
    </row>
    <row r="21" spans="1:9" ht="14.25" x14ac:dyDescent="0.15">
      <c r="A21" s="6"/>
      <c r="B21" s="287"/>
      <c r="C21" s="288"/>
      <c r="D21" s="288"/>
      <c r="E21" s="288"/>
      <c r="F21" s="289"/>
      <c r="G21" s="102"/>
      <c r="H21" s="102"/>
      <c r="I21" s="102"/>
    </row>
    <row r="22" spans="1:9" ht="14.25" x14ac:dyDescent="0.15">
      <c r="A22" s="6"/>
      <c r="B22" s="287"/>
      <c r="C22" s="288"/>
      <c r="D22" s="288"/>
      <c r="E22" s="288"/>
      <c r="F22" s="289"/>
      <c r="G22" s="102"/>
      <c r="H22" s="102"/>
      <c r="I22" s="102"/>
    </row>
    <row r="23" spans="1:9" ht="14.25" x14ac:dyDescent="0.15">
      <c r="A23" s="6"/>
      <c r="B23" s="287"/>
      <c r="C23" s="288"/>
      <c r="D23" s="288"/>
      <c r="E23" s="288"/>
      <c r="F23" s="289"/>
      <c r="G23" s="102"/>
      <c r="H23" s="102"/>
      <c r="I23" s="102"/>
    </row>
    <row r="24" spans="1:9" ht="14.25" x14ac:dyDescent="0.15">
      <c r="A24" s="6"/>
      <c r="B24" s="287"/>
      <c r="C24" s="288"/>
      <c r="D24" s="288"/>
      <c r="E24" s="288"/>
      <c r="F24" s="289"/>
      <c r="G24" s="102"/>
      <c r="H24" s="102"/>
      <c r="I24" s="102"/>
    </row>
    <row r="25" spans="1:9" ht="14.25" x14ac:dyDescent="0.15">
      <c r="A25" s="6"/>
      <c r="B25" s="287"/>
      <c r="C25" s="288"/>
      <c r="D25" s="288"/>
      <c r="E25" s="288"/>
      <c r="F25" s="289"/>
      <c r="G25" s="102"/>
      <c r="H25" s="102"/>
      <c r="I25" s="102"/>
    </row>
    <row r="26" spans="1:9" ht="14.25" x14ac:dyDescent="0.15">
      <c r="A26" s="6"/>
      <c r="B26" s="287"/>
      <c r="C26" s="288"/>
      <c r="D26" s="288"/>
      <c r="E26" s="288"/>
      <c r="F26" s="289"/>
      <c r="G26" s="102"/>
      <c r="H26" s="102"/>
      <c r="I26" s="102"/>
    </row>
    <row r="27" spans="1:9" ht="14.25" x14ac:dyDescent="0.15">
      <c r="A27" s="6"/>
      <c r="B27" s="287"/>
      <c r="C27" s="288"/>
      <c r="D27" s="288"/>
      <c r="E27" s="288"/>
      <c r="F27" s="289"/>
      <c r="G27" s="102"/>
      <c r="H27" s="102"/>
      <c r="I27" s="102"/>
    </row>
    <row r="28" spans="1:9" ht="14.25" x14ac:dyDescent="0.15">
      <c r="A28" s="6"/>
      <c r="B28" s="287"/>
      <c r="C28" s="288"/>
      <c r="D28" s="288"/>
      <c r="E28" s="288"/>
      <c r="F28" s="289"/>
      <c r="G28" s="102"/>
      <c r="H28" s="102"/>
      <c r="I28" s="102"/>
    </row>
    <row r="29" spans="1:9" ht="14.25" x14ac:dyDescent="0.15">
      <c r="A29" s="6"/>
      <c r="B29" s="287"/>
      <c r="C29" s="288"/>
      <c r="D29" s="288"/>
      <c r="E29" s="288"/>
      <c r="F29" s="289"/>
      <c r="G29" s="102"/>
      <c r="H29" s="102"/>
      <c r="I29" s="102"/>
    </row>
    <row r="30" spans="1:9" ht="14.25" x14ac:dyDescent="0.15">
      <c r="A30" s="6"/>
      <c r="B30" s="287"/>
      <c r="C30" s="288"/>
      <c r="D30" s="288"/>
      <c r="E30" s="288"/>
      <c r="F30" s="289"/>
      <c r="G30" s="102"/>
      <c r="H30" s="102"/>
      <c r="I30" s="102"/>
    </row>
    <row r="31" spans="1:9" ht="14.25" x14ac:dyDescent="0.15">
      <c r="A31" s="6"/>
      <c r="B31" s="287"/>
      <c r="C31" s="288"/>
      <c r="D31" s="288"/>
      <c r="E31" s="288"/>
      <c r="F31" s="289"/>
      <c r="G31" s="102"/>
      <c r="H31" s="102"/>
      <c r="I31" s="102"/>
    </row>
    <row r="32" spans="1:9" ht="14.25" x14ac:dyDescent="0.15">
      <c r="A32" s="6"/>
      <c r="B32" s="287"/>
      <c r="C32" s="288"/>
      <c r="D32" s="288"/>
      <c r="E32" s="288"/>
      <c r="F32" s="289"/>
      <c r="G32" s="102"/>
      <c r="H32" s="102"/>
      <c r="I32" s="102"/>
    </row>
    <row r="33" spans="1:9" ht="14.25" x14ac:dyDescent="0.15">
      <c r="A33" s="6"/>
      <c r="B33" s="287"/>
      <c r="C33" s="288"/>
      <c r="D33" s="288"/>
      <c r="E33" s="288"/>
      <c r="F33" s="289"/>
      <c r="G33" s="102"/>
      <c r="H33" s="102"/>
      <c r="I33" s="102"/>
    </row>
    <row r="34" spans="1:9" ht="14.25" x14ac:dyDescent="0.15">
      <c r="A34" s="6"/>
      <c r="B34" s="287"/>
      <c r="C34" s="288"/>
      <c r="D34" s="288"/>
      <c r="E34" s="288"/>
      <c r="F34" s="289"/>
      <c r="G34" s="102"/>
      <c r="H34" s="102"/>
      <c r="I34" s="102"/>
    </row>
    <row r="35" spans="1:9" ht="14.25" x14ac:dyDescent="0.15">
      <c r="A35" s="6"/>
      <c r="B35" s="287"/>
      <c r="C35" s="288"/>
      <c r="D35" s="288"/>
      <c r="E35" s="288"/>
      <c r="F35" s="289"/>
      <c r="G35" s="102"/>
      <c r="H35" s="102"/>
      <c r="I35" s="102"/>
    </row>
    <row r="36" spans="1:9" ht="14.25" x14ac:dyDescent="0.15">
      <c r="A36" s="6"/>
      <c r="B36" s="287"/>
      <c r="C36" s="288"/>
      <c r="D36" s="288"/>
      <c r="E36" s="288"/>
      <c r="F36" s="289"/>
      <c r="G36" s="102"/>
      <c r="H36" s="102"/>
      <c r="I36" s="102"/>
    </row>
    <row r="37" spans="1:9" ht="14.25" x14ac:dyDescent="0.15">
      <c r="A37" s="6"/>
      <c r="B37" s="287"/>
      <c r="C37" s="288"/>
      <c r="D37" s="288"/>
      <c r="E37" s="288"/>
      <c r="F37" s="289"/>
      <c r="G37" s="102"/>
      <c r="H37" s="102"/>
      <c r="I37" s="102"/>
    </row>
    <row r="38" spans="1:9" ht="14.25" x14ac:dyDescent="0.15">
      <c r="A38" s="6"/>
      <c r="B38" s="287"/>
      <c r="C38" s="288"/>
      <c r="D38" s="288"/>
      <c r="E38" s="288"/>
      <c r="F38" s="289"/>
      <c r="G38" s="102"/>
      <c r="H38" s="102"/>
      <c r="I38" s="102"/>
    </row>
    <row r="39" spans="1:9" ht="14.25" x14ac:dyDescent="0.15">
      <c r="A39" s="6"/>
      <c r="B39" s="287"/>
      <c r="C39" s="288"/>
      <c r="D39" s="288"/>
      <c r="E39" s="288"/>
      <c r="F39" s="289"/>
      <c r="G39" s="102"/>
      <c r="H39" s="102"/>
      <c r="I39" s="102"/>
    </row>
    <row r="40" spans="1:9" ht="14.25" x14ac:dyDescent="0.15">
      <c r="A40" s="6"/>
      <c r="B40" s="287"/>
      <c r="C40" s="288"/>
      <c r="D40" s="288"/>
      <c r="E40" s="288"/>
      <c r="F40" s="289"/>
      <c r="G40" s="102"/>
      <c r="H40" s="102"/>
      <c r="I40" s="102"/>
    </row>
    <row r="41" spans="1:9" ht="14.25" x14ac:dyDescent="0.15">
      <c r="A41" s="6"/>
      <c r="B41" s="287"/>
      <c r="C41" s="288"/>
      <c r="D41" s="288"/>
      <c r="E41" s="288"/>
      <c r="F41" s="289"/>
      <c r="G41" s="102"/>
      <c r="H41" s="102"/>
      <c r="I41" s="102"/>
    </row>
    <row r="42" spans="1:9" ht="14.25" x14ac:dyDescent="0.15">
      <c r="A42" s="6"/>
      <c r="B42" s="287"/>
      <c r="C42" s="288"/>
      <c r="D42" s="288"/>
      <c r="E42" s="288"/>
      <c r="F42" s="289"/>
      <c r="G42" s="102"/>
      <c r="H42" s="102"/>
      <c r="I42" s="102"/>
    </row>
    <row r="43" spans="1:9" ht="14.25" x14ac:dyDescent="0.15">
      <c r="A43" s="6"/>
      <c r="B43" s="287"/>
      <c r="C43" s="288"/>
      <c r="D43" s="288"/>
      <c r="E43" s="288"/>
      <c r="F43" s="289"/>
      <c r="G43" s="102"/>
      <c r="H43" s="102"/>
      <c r="I43" s="102"/>
    </row>
    <row r="44" spans="1:9" ht="14.25" x14ac:dyDescent="0.15">
      <c r="A44" s="6"/>
      <c r="B44" s="290"/>
      <c r="C44" s="291"/>
      <c r="D44" s="291"/>
      <c r="E44" s="291"/>
      <c r="F44" s="292"/>
      <c r="G44" s="102"/>
      <c r="H44" s="102"/>
      <c r="I44" s="102"/>
    </row>
    <row r="45" spans="1:9" ht="14.25" x14ac:dyDescent="0.15">
      <c r="A45" s="6" t="s">
        <v>54</v>
      </c>
      <c r="B45" s="1" t="s">
        <v>213</v>
      </c>
      <c r="C45" s="6"/>
      <c r="D45" s="6"/>
      <c r="E45" s="6"/>
      <c r="F45" s="6"/>
      <c r="G45" s="102"/>
      <c r="H45" s="102"/>
      <c r="I45" s="102"/>
    </row>
    <row r="46" spans="1:9" ht="14.25" x14ac:dyDescent="0.15">
      <c r="A46" s="6"/>
      <c r="B46" s="274" t="s">
        <v>228</v>
      </c>
      <c r="C46" s="285"/>
      <c r="D46" s="285"/>
      <c r="E46" s="285"/>
      <c r="F46" s="286"/>
      <c r="G46" s="102"/>
      <c r="H46" s="102"/>
      <c r="I46" s="102"/>
    </row>
    <row r="47" spans="1:9" ht="14.25" x14ac:dyDescent="0.15">
      <c r="A47" s="6"/>
      <c r="B47" s="287"/>
      <c r="C47" s="288"/>
      <c r="D47" s="288"/>
      <c r="E47" s="288"/>
      <c r="F47" s="289"/>
      <c r="G47" s="102"/>
      <c r="H47" s="102"/>
      <c r="I47" s="102"/>
    </row>
    <row r="48" spans="1:9" ht="14.25" x14ac:dyDescent="0.15">
      <c r="A48" s="6"/>
      <c r="B48" s="287"/>
      <c r="C48" s="288"/>
      <c r="D48" s="288"/>
      <c r="E48" s="288"/>
      <c r="F48" s="289"/>
      <c r="G48" s="102"/>
      <c r="H48" s="102"/>
      <c r="I48" s="102"/>
    </row>
    <row r="49" spans="1:9" ht="14.25" x14ac:dyDescent="0.15">
      <c r="A49" s="6"/>
      <c r="B49" s="287"/>
      <c r="C49" s="288"/>
      <c r="D49" s="288"/>
      <c r="E49" s="288"/>
      <c r="F49" s="289"/>
      <c r="G49" s="102"/>
      <c r="H49" s="102"/>
      <c r="I49" s="102"/>
    </row>
    <row r="50" spans="1:9" ht="14.25" x14ac:dyDescent="0.15">
      <c r="A50" s="6"/>
      <c r="B50" s="287"/>
      <c r="C50" s="288"/>
      <c r="D50" s="288"/>
      <c r="E50" s="288"/>
      <c r="F50" s="289"/>
      <c r="G50" s="102"/>
      <c r="H50" s="102"/>
      <c r="I50" s="102"/>
    </row>
    <row r="51" spans="1:9" ht="14.25" x14ac:dyDescent="0.15">
      <c r="A51" s="6"/>
      <c r="B51" s="287"/>
      <c r="C51" s="288"/>
      <c r="D51" s="288"/>
      <c r="E51" s="288"/>
      <c r="F51" s="289"/>
      <c r="G51" s="102"/>
      <c r="H51" s="102"/>
      <c r="I51" s="102"/>
    </row>
    <row r="52" spans="1:9" ht="14.25" x14ac:dyDescent="0.15">
      <c r="A52" s="6"/>
      <c r="B52" s="287"/>
      <c r="C52" s="288"/>
      <c r="D52" s="288"/>
      <c r="E52" s="288"/>
      <c r="F52" s="289"/>
      <c r="G52" s="102"/>
      <c r="H52" s="102"/>
      <c r="I52" s="102"/>
    </row>
    <row r="53" spans="1:9" ht="14.25" x14ac:dyDescent="0.15">
      <c r="A53" s="6"/>
      <c r="B53" s="287"/>
      <c r="C53" s="288"/>
      <c r="D53" s="288"/>
      <c r="E53" s="288"/>
      <c r="F53" s="289"/>
      <c r="G53" s="102"/>
      <c r="H53" s="102"/>
      <c r="I53" s="102"/>
    </row>
    <row r="54" spans="1:9" ht="14.25" x14ac:dyDescent="0.15">
      <c r="A54" s="6"/>
      <c r="B54" s="287"/>
      <c r="C54" s="288"/>
      <c r="D54" s="288"/>
      <c r="E54" s="288"/>
      <c r="F54" s="289"/>
      <c r="G54" s="102"/>
      <c r="H54" s="102"/>
      <c r="I54" s="102"/>
    </row>
    <row r="55" spans="1:9" ht="14.25" x14ac:dyDescent="0.15">
      <c r="A55" s="6"/>
      <c r="B55" s="287"/>
      <c r="C55" s="288"/>
      <c r="D55" s="288"/>
      <c r="E55" s="288"/>
      <c r="F55" s="289"/>
      <c r="G55" s="102"/>
      <c r="H55" s="102"/>
      <c r="I55" s="102"/>
    </row>
    <row r="56" spans="1:9" ht="14.25" x14ac:dyDescent="0.15">
      <c r="A56" s="6"/>
      <c r="B56" s="287"/>
      <c r="C56" s="288"/>
      <c r="D56" s="288"/>
      <c r="E56" s="288"/>
      <c r="F56" s="289"/>
      <c r="G56" s="102"/>
      <c r="H56" s="102"/>
      <c r="I56" s="102"/>
    </row>
    <row r="57" spans="1:9" ht="14.25" x14ac:dyDescent="0.15">
      <c r="A57" s="6"/>
      <c r="B57" s="287"/>
      <c r="C57" s="288"/>
      <c r="D57" s="288"/>
      <c r="E57" s="288"/>
      <c r="F57" s="289"/>
      <c r="G57" s="102"/>
      <c r="H57" s="102"/>
      <c r="I57" s="102"/>
    </row>
    <row r="58" spans="1:9" ht="14.25" x14ac:dyDescent="0.15">
      <c r="A58" s="6"/>
      <c r="B58" s="287"/>
      <c r="C58" s="288"/>
      <c r="D58" s="288"/>
      <c r="E58" s="288"/>
      <c r="F58" s="289"/>
      <c r="G58" s="102"/>
      <c r="H58" s="102"/>
      <c r="I58" s="102"/>
    </row>
    <row r="59" spans="1:9" ht="14.25" x14ac:dyDescent="0.15">
      <c r="A59" s="6"/>
      <c r="B59" s="287"/>
      <c r="C59" s="288"/>
      <c r="D59" s="288"/>
      <c r="E59" s="288"/>
      <c r="F59" s="289"/>
      <c r="G59" s="102"/>
      <c r="H59" s="102"/>
      <c r="I59" s="102"/>
    </row>
    <row r="60" spans="1:9" ht="14.25" x14ac:dyDescent="0.15">
      <c r="A60" s="6"/>
      <c r="B60" s="287"/>
      <c r="C60" s="288"/>
      <c r="D60" s="288"/>
      <c r="E60" s="288"/>
      <c r="F60" s="289"/>
      <c r="G60" s="102"/>
      <c r="H60" s="102"/>
      <c r="I60" s="102"/>
    </row>
    <row r="61" spans="1:9" ht="14.25" x14ac:dyDescent="0.15">
      <c r="A61" s="6"/>
      <c r="B61" s="287"/>
      <c r="C61" s="288"/>
      <c r="D61" s="288"/>
      <c r="E61" s="288"/>
      <c r="F61" s="289"/>
      <c r="G61" s="102"/>
      <c r="H61" s="102"/>
      <c r="I61" s="102"/>
    </row>
    <row r="62" spans="1:9" ht="14.25" x14ac:dyDescent="0.15">
      <c r="A62" s="6"/>
      <c r="B62" s="287"/>
      <c r="C62" s="288"/>
      <c r="D62" s="288"/>
      <c r="E62" s="288"/>
      <c r="F62" s="289"/>
      <c r="G62" s="102"/>
      <c r="H62" s="102"/>
      <c r="I62" s="102"/>
    </row>
    <row r="63" spans="1:9" ht="14.25" x14ac:dyDescent="0.15">
      <c r="A63" s="6"/>
      <c r="B63" s="287"/>
      <c r="C63" s="288"/>
      <c r="D63" s="288"/>
      <c r="E63" s="288"/>
      <c r="F63" s="289"/>
      <c r="G63" s="102"/>
      <c r="H63" s="102"/>
      <c r="I63" s="102"/>
    </row>
    <row r="64" spans="1:9" ht="14.25" x14ac:dyDescent="0.15">
      <c r="A64" s="6"/>
      <c r="B64" s="287"/>
      <c r="C64" s="288"/>
      <c r="D64" s="288"/>
      <c r="E64" s="288"/>
      <c r="F64" s="289"/>
      <c r="G64" s="102"/>
      <c r="H64" s="102"/>
      <c r="I64" s="102"/>
    </row>
    <row r="65" spans="1:9" ht="14.25" x14ac:dyDescent="0.15">
      <c r="A65" s="6"/>
      <c r="B65" s="287"/>
      <c r="C65" s="288"/>
      <c r="D65" s="288"/>
      <c r="E65" s="288"/>
      <c r="F65" s="289"/>
      <c r="G65" s="102"/>
      <c r="H65" s="102"/>
      <c r="I65" s="102"/>
    </row>
    <row r="66" spans="1:9" ht="14.25" x14ac:dyDescent="0.15">
      <c r="A66" s="6"/>
      <c r="B66" s="287"/>
      <c r="C66" s="288"/>
      <c r="D66" s="288"/>
      <c r="E66" s="288"/>
      <c r="F66" s="289"/>
      <c r="G66" s="102"/>
      <c r="H66" s="102"/>
      <c r="I66" s="102"/>
    </row>
    <row r="67" spans="1:9" ht="14.25" x14ac:dyDescent="0.15">
      <c r="A67" s="6"/>
      <c r="B67" s="287"/>
      <c r="C67" s="288"/>
      <c r="D67" s="288"/>
      <c r="E67" s="288"/>
      <c r="F67" s="289"/>
      <c r="G67" s="102"/>
      <c r="H67" s="102"/>
      <c r="I67" s="102"/>
    </row>
    <row r="68" spans="1:9" ht="14.25" x14ac:dyDescent="0.15">
      <c r="A68" s="6"/>
      <c r="B68" s="287"/>
      <c r="C68" s="288"/>
      <c r="D68" s="288"/>
      <c r="E68" s="288"/>
      <c r="F68" s="289"/>
      <c r="G68" s="102"/>
      <c r="H68" s="102"/>
      <c r="I68" s="102"/>
    </row>
    <row r="69" spans="1:9" ht="14.25" x14ac:dyDescent="0.15">
      <c r="A69" s="6"/>
      <c r="B69" s="287"/>
      <c r="C69" s="288"/>
      <c r="D69" s="288"/>
      <c r="E69" s="288"/>
      <c r="F69" s="289"/>
      <c r="G69" s="102"/>
      <c r="H69" s="102"/>
      <c r="I69" s="102"/>
    </row>
    <row r="70" spans="1:9" ht="14.25" x14ac:dyDescent="0.15">
      <c r="A70" s="6"/>
      <c r="B70" s="287"/>
      <c r="C70" s="288"/>
      <c r="D70" s="288"/>
      <c r="E70" s="288"/>
      <c r="F70" s="289"/>
      <c r="G70" s="102"/>
      <c r="H70" s="102"/>
      <c r="I70" s="102"/>
    </row>
    <row r="71" spans="1:9" ht="14.25" x14ac:dyDescent="0.15">
      <c r="A71" s="6"/>
      <c r="B71" s="287"/>
      <c r="C71" s="288"/>
      <c r="D71" s="288"/>
      <c r="E71" s="288"/>
      <c r="F71" s="289"/>
      <c r="G71" s="102"/>
      <c r="H71" s="102"/>
      <c r="I71" s="102"/>
    </row>
    <row r="72" spans="1:9" ht="14.25" x14ac:dyDescent="0.15">
      <c r="A72" s="6"/>
      <c r="B72" s="287"/>
      <c r="C72" s="288"/>
      <c r="D72" s="288"/>
      <c r="E72" s="288"/>
      <c r="F72" s="289"/>
      <c r="G72" s="102"/>
      <c r="H72" s="102"/>
      <c r="I72" s="102"/>
    </row>
    <row r="73" spans="1:9" ht="14.25" x14ac:dyDescent="0.15">
      <c r="A73" s="6"/>
      <c r="B73" s="287"/>
      <c r="C73" s="288"/>
      <c r="D73" s="288"/>
      <c r="E73" s="288"/>
      <c r="F73" s="289"/>
      <c r="G73" s="102"/>
      <c r="H73" s="102"/>
      <c r="I73" s="102"/>
    </row>
    <row r="74" spans="1:9" ht="14.25" x14ac:dyDescent="0.15">
      <c r="A74" s="6"/>
      <c r="B74" s="287"/>
      <c r="C74" s="288"/>
      <c r="D74" s="288"/>
      <c r="E74" s="288"/>
      <c r="F74" s="289"/>
      <c r="G74" s="102"/>
      <c r="H74" s="102"/>
      <c r="I74" s="102"/>
    </row>
    <row r="75" spans="1:9" ht="14.25" x14ac:dyDescent="0.15">
      <c r="A75" s="6"/>
      <c r="B75" s="287"/>
      <c r="C75" s="288"/>
      <c r="D75" s="288"/>
      <c r="E75" s="288"/>
      <c r="F75" s="289"/>
      <c r="G75" s="102"/>
      <c r="H75" s="102"/>
      <c r="I75" s="102"/>
    </row>
    <row r="76" spans="1:9" ht="14.25" x14ac:dyDescent="0.15">
      <c r="A76" s="6"/>
      <c r="B76" s="287"/>
      <c r="C76" s="288"/>
      <c r="D76" s="288"/>
      <c r="E76" s="288"/>
      <c r="F76" s="289"/>
      <c r="G76" s="102"/>
      <c r="H76" s="102"/>
      <c r="I76" s="102"/>
    </row>
    <row r="77" spans="1:9" ht="14.25" x14ac:dyDescent="0.15">
      <c r="A77" s="6"/>
      <c r="B77" s="287"/>
      <c r="C77" s="288"/>
      <c r="D77" s="288"/>
      <c r="E77" s="288"/>
      <c r="F77" s="289"/>
      <c r="G77" s="102"/>
      <c r="H77" s="102"/>
      <c r="I77" s="102"/>
    </row>
    <row r="78" spans="1:9" ht="14.25" x14ac:dyDescent="0.15">
      <c r="A78" s="6"/>
      <c r="B78" s="287"/>
      <c r="C78" s="288"/>
      <c r="D78" s="288"/>
      <c r="E78" s="288"/>
      <c r="F78" s="289"/>
      <c r="G78" s="102"/>
      <c r="H78" s="102"/>
      <c r="I78" s="102"/>
    </row>
    <row r="79" spans="1:9" ht="14.25" x14ac:dyDescent="0.15">
      <c r="A79" s="6"/>
      <c r="B79" s="287"/>
      <c r="C79" s="288"/>
      <c r="D79" s="288"/>
      <c r="E79" s="288"/>
      <c r="F79" s="289"/>
      <c r="G79" s="102"/>
      <c r="H79" s="102"/>
      <c r="I79" s="102"/>
    </row>
    <row r="80" spans="1:9" ht="14.25" x14ac:dyDescent="0.15">
      <c r="A80" s="6"/>
      <c r="B80" s="287"/>
      <c r="C80" s="288"/>
      <c r="D80" s="288"/>
      <c r="E80" s="288"/>
      <c r="F80" s="289"/>
      <c r="G80" s="102"/>
      <c r="H80" s="102"/>
      <c r="I80" s="102"/>
    </row>
    <row r="81" spans="1:9" ht="14.25" x14ac:dyDescent="0.15">
      <c r="A81" s="6"/>
      <c r="B81" s="287"/>
      <c r="C81" s="288"/>
      <c r="D81" s="288"/>
      <c r="E81" s="288"/>
      <c r="F81" s="289"/>
      <c r="G81" s="102"/>
      <c r="H81" s="102"/>
      <c r="I81" s="102"/>
    </row>
    <row r="82" spans="1:9" ht="14.25" x14ac:dyDescent="0.15">
      <c r="A82" s="6"/>
      <c r="B82" s="287"/>
      <c r="C82" s="288"/>
      <c r="D82" s="288"/>
      <c r="E82" s="288"/>
      <c r="F82" s="289"/>
      <c r="G82" s="102"/>
      <c r="H82" s="102"/>
      <c r="I82" s="102"/>
    </row>
    <row r="83" spans="1:9" ht="14.25" x14ac:dyDescent="0.15">
      <c r="A83" s="6"/>
      <c r="B83" s="287"/>
      <c r="C83" s="288"/>
      <c r="D83" s="288"/>
      <c r="E83" s="288"/>
      <c r="F83" s="289"/>
      <c r="G83" s="102"/>
      <c r="H83" s="102"/>
      <c r="I83" s="102"/>
    </row>
    <row r="84" spans="1:9" ht="14.25" x14ac:dyDescent="0.15">
      <c r="A84" s="6"/>
      <c r="B84" s="287"/>
      <c r="C84" s="288"/>
      <c r="D84" s="288"/>
      <c r="E84" s="288"/>
      <c r="F84" s="289"/>
      <c r="G84" s="102"/>
      <c r="H84" s="102"/>
      <c r="I84" s="102"/>
    </row>
    <row r="85" spans="1:9" ht="14.25" x14ac:dyDescent="0.15">
      <c r="A85" s="6"/>
      <c r="B85" s="287"/>
      <c r="C85" s="288"/>
      <c r="D85" s="288"/>
      <c r="E85" s="288"/>
      <c r="F85" s="289"/>
      <c r="G85" s="102"/>
      <c r="H85" s="102"/>
      <c r="I85" s="102"/>
    </row>
    <row r="86" spans="1:9" ht="14.25" x14ac:dyDescent="0.15">
      <c r="A86" s="6"/>
      <c r="B86" s="287"/>
      <c r="C86" s="288"/>
      <c r="D86" s="288"/>
      <c r="E86" s="288"/>
      <c r="F86" s="289"/>
      <c r="G86" s="102"/>
      <c r="H86" s="102"/>
      <c r="I86" s="102"/>
    </row>
    <row r="87" spans="1:9" ht="14.25" x14ac:dyDescent="0.15">
      <c r="A87" s="6"/>
      <c r="B87" s="290"/>
      <c r="C87" s="291"/>
      <c r="D87" s="291"/>
      <c r="E87" s="291"/>
      <c r="F87" s="292"/>
      <c r="G87" s="102"/>
      <c r="H87" s="102"/>
      <c r="I87" s="102"/>
    </row>
    <row r="88" spans="1:9" ht="14.25" x14ac:dyDescent="0.15">
      <c r="A88" s="1" t="s">
        <v>95</v>
      </c>
      <c r="B88" s="1" t="s">
        <v>212</v>
      </c>
      <c r="C88" s="1"/>
      <c r="D88" s="1"/>
      <c r="E88" s="1"/>
      <c r="F88" s="1"/>
      <c r="G88" s="1"/>
      <c r="H88" s="1"/>
      <c r="I88" s="1"/>
    </row>
    <row r="89" spans="1:9" ht="14.25" x14ac:dyDescent="0.15">
      <c r="A89" s="6"/>
      <c r="B89" s="274" t="s">
        <v>235</v>
      </c>
      <c r="C89" s="275"/>
      <c r="D89" s="275"/>
      <c r="E89" s="275"/>
      <c r="F89" s="276"/>
      <c r="G89" s="102"/>
      <c r="H89" s="102"/>
      <c r="I89" s="102"/>
    </row>
    <row r="90" spans="1:9" ht="14.25" x14ac:dyDescent="0.15">
      <c r="A90" s="6"/>
      <c r="B90" s="277"/>
      <c r="C90" s="278"/>
      <c r="D90" s="278"/>
      <c r="E90" s="278"/>
      <c r="F90" s="279"/>
      <c r="G90" s="102"/>
      <c r="H90" s="102"/>
      <c r="I90" s="102"/>
    </row>
    <row r="91" spans="1:9" ht="14.25" x14ac:dyDescent="0.15">
      <c r="A91" s="6"/>
      <c r="B91" s="277"/>
      <c r="C91" s="278"/>
      <c r="D91" s="278"/>
      <c r="E91" s="278"/>
      <c r="F91" s="279"/>
      <c r="G91" s="102"/>
      <c r="H91" s="102"/>
      <c r="I91" s="102"/>
    </row>
    <row r="92" spans="1:9" ht="14.25" x14ac:dyDescent="0.15">
      <c r="A92" s="6"/>
      <c r="B92" s="277"/>
      <c r="C92" s="278"/>
      <c r="D92" s="278"/>
      <c r="E92" s="278"/>
      <c r="F92" s="279"/>
      <c r="G92" s="102"/>
      <c r="H92" s="102"/>
      <c r="I92" s="102"/>
    </row>
    <row r="93" spans="1:9" ht="14.25" x14ac:dyDescent="0.15">
      <c r="A93" s="6"/>
      <c r="B93" s="277"/>
      <c r="C93" s="278"/>
      <c r="D93" s="278"/>
      <c r="E93" s="278"/>
      <c r="F93" s="279"/>
      <c r="G93" s="102"/>
      <c r="H93" s="102"/>
      <c r="I93" s="102"/>
    </row>
    <row r="94" spans="1:9" ht="14.25" x14ac:dyDescent="0.15">
      <c r="A94" s="6"/>
      <c r="B94" s="277"/>
      <c r="C94" s="278"/>
      <c r="D94" s="278"/>
      <c r="E94" s="278"/>
      <c r="F94" s="279"/>
      <c r="G94" s="102"/>
      <c r="H94" s="102"/>
      <c r="I94" s="102"/>
    </row>
    <row r="95" spans="1:9" ht="14.25" x14ac:dyDescent="0.15">
      <c r="A95" s="6"/>
      <c r="B95" s="277"/>
      <c r="C95" s="278"/>
      <c r="D95" s="278"/>
      <c r="E95" s="278"/>
      <c r="F95" s="279"/>
      <c r="G95" s="102"/>
      <c r="H95" s="102"/>
      <c r="I95" s="102"/>
    </row>
    <row r="96" spans="1:9" ht="14.25" x14ac:dyDescent="0.15">
      <c r="A96" s="6"/>
      <c r="B96" s="277"/>
      <c r="C96" s="278"/>
      <c r="D96" s="278"/>
      <c r="E96" s="278"/>
      <c r="F96" s="279"/>
      <c r="G96" s="102"/>
      <c r="H96" s="102"/>
      <c r="I96" s="102"/>
    </row>
    <row r="97" spans="1:9" ht="14.25" x14ac:dyDescent="0.15">
      <c r="A97" s="6"/>
      <c r="B97" s="277"/>
      <c r="C97" s="278"/>
      <c r="D97" s="278"/>
      <c r="E97" s="278"/>
      <c r="F97" s="279"/>
      <c r="G97" s="102"/>
      <c r="H97" s="102"/>
      <c r="I97" s="102"/>
    </row>
    <row r="98" spans="1:9" ht="14.25" x14ac:dyDescent="0.15">
      <c r="A98" s="6"/>
      <c r="B98" s="277"/>
      <c r="C98" s="278"/>
      <c r="D98" s="278"/>
      <c r="E98" s="278"/>
      <c r="F98" s="279"/>
      <c r="G98" s="102"/>
      <c r="H98" s="102"/>
      <c r="I98" s="102"/>
    </row>
    <row r="99" spans="1:9" ht="14.25" x14ac:dyDescent="0.15">
      <c r="A99" s="6"/>
      <c r="B99" s="277"/>
      <c r="C99" s="278"/>
      <c r="D99" s="278"/>
      <c r="E99" s="278"/>
      <c r="F99" s="279"/>
      <c r="G99" s="102"/>
      <c r="H99" s="102"/>
      <c r="I99" s="102"/>
    </row>
    <row r="100" spans="1:9" ht="14.25" x14ac:dyDescent="0.15">
      <c r="A100" s="6"/>
      <c r="B100" s="277"/>
      <c r="C100" s="278"/>
      <c r="D100" s="278"/>
      <c r="E100" s="278"/>
      <c r="F100" s="279"/>
      <c r="G100" s="102"/>
      <c r="H100" s="102"/>
      <c r="I100" s="102"/>
    </row>
    <row r="101" spans="1:9" ht="14.25" x14ac:dyDescent="0.15">
      <c r="A101" s="6"/>
      <c r="B101" s="277"/>
      <c r="C101" s="278"/>
      <c r="D101" s="278"/>
      <c r="E101" s="278"/>
      <c r="F101" s="279"/>
      <c r="G101" s="102"/>
      <c r="H101" s="102"/>
      <c r="I101" s="102"/>
    </row>
    <row r="102" spans="1:9" ht="14.25" x14ac:dyDescent="0.15">
      <c r="A102" s="6"/>
      <c r="B102" s="277"/>
      <c r="C102" s="278"/>
      <c r="D102" s="278"/>
      <c r="E102" s="278"/>
      <c r="F102" s="279"/>
      <c r="G102" s="102"/>
      <c r="H102" s="102"/>
      <c r="I102" s="102"/>
    </row>
    <row r="103" spans="1:9" ht="14.25" x14ac:dyDescent="0.15">
      <c r="A103" s="6"/>
      <c r="B103" s="277"/>
      <c r="C103" s="278"/>
      <c r="D103" s="278"/>
      <c r="E103" s="278"/>
      <c r="F103" s="279"/>
      <c r="G103" s="102"/>
      <c r="H103" s="102"/>
      <c r="I103" s="102"/>
    </row>
    <row r="104" spans="1:9" ht="14.25" x14ac:dyDescent="0.15">
      <c r="A104" s="6"/>
      <c r="B104" s="277"/>
      <c r="C104" s="278"/>
      <c r="D104" s="278"/>
      <c r="E104" s="278"/>
      <c r="F104" s="279"/>
      <c r="G104" s="102"/>
      <c r="H104" s="102"/>
      <c r="I104" s="102"/>
    </row>
    <row r="105" spans="1:9" ht="14.25" x14ac:dyDescent="0.15">
      <c r="A105" s="6"/>
      <c r="B105" s="277"/>
      <c r="C105" s="278"/>
      <c r="D105" s="278"/>
      <c r="E105" s="278"/>
      <c r="F105" s="279"/>
      <c r="G105" s="102"/>
      <c r="H105" s="102"/>
      <c r="I105" s="102"/>
    </row>
    <row r="106" spans="1:9" ht="14.25" x14ac:dyDescent="0.15">
      <c r="A106" s="6"/>
      <c r="B106" s="277"/>
      <c r="C106" s="278"/>
      <c r="D106" s="278"/>
      <c r="E106" s="278"/>
      <c r="F106" s="279"/>
      <c r="G106" s="102"/>
      <c r="H106" s="102"/>
      <c r="I106" s="102"/>
    </row>
    <row r="107" spans="1:9" ht="14.25" x14ac:dyDescent="0.15">
      <c r="A107" s="6"/>
      <c r="B107" s="277"/>
      <c r="C107" s="278"/>
      <c r="D107" s="278"/>
      <c r="E107" s="278"/>
      <c r="F107" s="279"/>
      <c r="G107" s="102"/>
      <c r="H107" s="102"/>
      <c r="I107" s="102"/>
    </row>
    <row r="108" spans="1:9" ht="14.25" x14ac:dyDescent="0.15">
      <c r="A108" s="6"/>
      <c r="B108" s="277"/>
      <c r="C108" s="278"/>
      <c r="D108" s="278"/>
      <c r="E108" s="278"/>
      <c r="F108" s="279"/>
      <c r="G108" s="102"/>
      <c r="H108" s="102"/>
      <c r="I108" s="102"/>
    </row>
    <row r="109" spans="1:9" ht="14.25" x14ac:dyDescent="0.15">
      <c r="A109" s="6"/>
      <c r="B109" s="277"/>
      <c r="C109" s="278"/>
      <c r="D109" s="278"/>
      <c r="E109" s="278"/>
      <c r="F109" s="279"/>
      <c r="G109" s="102"/>
      <c r="H109" s="102"/>
      <c r="I109" s="102"/>
    </row>
    <row r="110" spans="1:9" ht="14.25" x14ac:dyDescent="0.15">
      <c r="A110" s="6"/>
      <c r="B110" s="277"/>
      <c r="C110" s="278"/>
      <c r="D110" s="278"/>
      <c r="E110" s="278"/>
      <c r="F110" s="279"/>
      <c r="G110" s="102"/>
      <c r="H110" s="102"/>
      <c r="I110" s="102"/>
    </row>
    <row r="111" spans="1:9" ht="14.25" x14ac:dyDescent="0.15">
      <c r="A111" s="6"/>
      <c r="B111" s="277"/>
      <c r="C111" s="278"/>
      <c r="D111" s="278"/>
      <c r="E111" s="278"/>
      <c r="F111" s="279"/>
      <c r="G111" s="102"/>
      <c r="H111" s="102"/>
      <c r="I111" s="102"/>
    </row>
    <row r="112" spans="1:9" ht="14.25" x14ac:dyDescent="0.15">
      <c r="A112" s="6"/>
      <c r="B112" s="277"/>
      <c r="C112" s="278"/>
      <c r="D112" s="278"/>
      <c r="E112" s="278"/>
      <c r="F112" s="279"/>
      <c r="G112" s="102"/>
      <c r="H112" s="102"/>
      <c r="I112" s="102"/>
    </row>
    <row r="113" spans="1:9" ht="14.25" x14ac:dyDescent="0.15">
      <c r="A113" s="6"/>
      <c r="B113" s="277"/>
      <c r="C113" s="278"/>
      <c r="D113" s="278"/>
      <c r="E113" s="278"/>
      <c r="F113" s="279"/>
      <c r="G113" s="102"/>
      <c r="H113" s="102"/>
      <c r="I113" s="102"/>
    </row>
    <row r="114" spans="1:9" ht="14.25" x14ac:dyDescent="0.15">
      <c r="A114" s="6"/>
      <c r="B114" s="277"/>
      <c r="C114" s="278"/>
      <c r="D114" s="278"/>
      <c r="E114" s="278"/>
      <c r="F114" s="279"/>
      <c r="G114" s="102"/>
      <c r="H114" s="102"/>
      <c r="I114" s="102"/>
    </row>
    <row r="115" spans="1:9" ht="14.25" x14ac:dyDescent="0.15">
      <c r="A115" s="6"/>
      <c r="B115" s="277"/>
      <c r="C115" s="278"/>
      <c r="D115" s="278"/>
      <c r="E115" s="278"/>
      <c r="F115" s="279"/>
      <c r="G115" s="102"/>
      <c r="H115" s="102"/>
      <c r="I115" s="102"/>
    </row>
    <row r="116" spans="1:9" ht="14.25" x14ac:dyDescent="0.15">
      <c r="A116" s="6"/>
      <c r="B116" s="277"/>
      <c r="C116" s="278"/>
      <c r="D116" s="278"/>
      <c r="E116" s="278"/>
      <c r="F116" s="279"/>
      <c r="G116" s="102"/>
      <c r="H116" s="102"/>
      <c r="I116" s="102"/>
    </row>
    <row r="117" spans="1:9" ht="14.25" x14ac:dyDescent="0.15">
      <c r="A117" s="6"/>
      <c r="B117" s="277"/>
      <c r="C117" s="278"/>
      <c r="D117" s="278"/>
      <c r="E117" s="278"/>
      <c r="F117" s="279"/>
      <c r="G117" s="102"/>
      <c r="H117" s="102"/>
      <c r="I117" s="102"/>
    </row>
    <row r="118" spans="1:9" ht="14.25" x14ac:dyDescent="0.15">
      <c r="A118" s="6"/>
      <c r="B118" s="277"/>
      <c r="C118" s="278"/>
      <c r="D118" s="278"/>
      <c r="E118" s="278"/>
      <c r="F118" s="279"/>
      <c r="G118" s="102"/>
      <c r="H118" s="102"/>
      <c r="I118" s="102"/>
    </row>
    <row r="119" spans="1:9" ht="14.25" x14ac:dyDescent="0.15">
      <c r="A119" s="6"/>
      <c r="B119" s="277"/>
      <c r="C119" s="278"/>
      <c r="D119" s="278"/>
      <c r="E119" s="278"/>
      <c r="F119" s="279"/>
      <c r="G119" s="102"/>
      <c r="H119" s="102"/>
      <c r="I119" s="102"/>
    </row>
    <row r="120" spans="1:9" ht="14.25" x14ac:dyDescent="0.15">
      <c r="A120" s="6"/>
      <c r="B120" s="277"/>
      <c r="C120" s="278"/>
      <c r="D120" s="278"/>
      <c r="E120" s="278"/>
      <c r="F120" s="279"/>
      <c r="G120" s="102"/>
      <c r="H120" s="102"/>
      <c r="I120" s="102"/>
    </row>
    <row r="121" spans="1:9" ht="14.25" x14ac:dyDescent="0.15">
      <c r="A121" s="6"/>
      <c r="B121" s="277"/>
      <c r="C121" s="278"/>
      <c r="D121" s="278"/>
      <c r="E121" s="278"/>
      <c r="F121" s="279"/>
      <c r="G121" s="102"/>
      <c r="H121" s="102"/>
      <c r="I121" s="102"/>
    </row>
    <row r="122" spans="1:9" ht="14.25" x14ac:dyDescent="0.15">
      <c r="A122" s="6"/>
      <c r="B122" s="277"/>
      <c r="C122" s="278"/>
      <c r="D122" s="278"/>
      <c r="E122" s="278"/>
      <c r="F122" s="279"/>
      <c r="G122" s="102"/>
      <c r="H122" s="102"/>
      <c r="I122" s="102"/>
    </row>
    <row r="123" spans="1:9" ht="14.25" x14ac:dyDescent="0.15">
      <c r="A123" s="6"/>
      <c r="B123" s="277"/>
      <c r="C123" s="278"/>
      <c r="D123" s="278"/>
      <c r="E123" s="278"/>
      <c r="F123" s="279"/>
      <c r="G123" s="102"/>
      <c r="H123" s="102"/>
      <c r="I123" s="102"/>
    </row>
    <row r="124" spans="1:9" ht="14.25" x14ac:dyDescent="0.15">
      <c r="A124" s="6"/>
      <c r="B124" s="277"/>
      <c r="C124" s="278"/>
      <c r="D124" s="278"/>
      <c r="E124" s="278"/>
      <c r="F124" s="279"/>
      <c r="G124" s="102"/>
      <c r="H124" s="102"/>
      <c r="I124" s="102"/>
    </row>
    <row r="125" spans="1:9" ht="14.25" x14ac:dyDescent="0.15">
      <c r="A125" s="6"/>
      <c r="B125" s="277"/>
      <c r="C125" s="278"/>
      <c r="D125" s="278"/>
      <c r="E125" s="278"/>
      <c r="F125" s="279"/>
      <c r="G125" s="102"/>
      <c r="H125" s="102"/>
      <c r="I125" s="102"/>
    </row>
    <row r="126" spans="1:9" ht="14.25" x14ac:dyDescent="0.15">
      <c r="A126" s="6"/>
      <c r="B126" s="277"/>
      <c r="C126" s="278"/>
      <c r="D126" s="278"/>
      <c r="E126" s="278"/>
      <c r="F126" s="279"/>
      <c r="G126" s="102"/>
      <c r="H126" s="102"/>
      <c r="I126" s="102"/>
    </row>
    <row r="127" spans="1:9" ht="14.25" x14ac:dyDescent="0.15">
      <c r="A127" s="6"/>
      <c r="B127" s="277"/>
      <c r="C127" s="278"/>
      <c r="D127" s="278"/>
      <c r="E127" s="278"/>
      <c r="F127" s="279"/>
      <c r="G127" s="102"/>
      <c r="H127" s="102"/>
      <c r="I127" s="102"/>
    </row>
    <row r="128" spans="1:9" ht="14.25" x14ac:dyDescent="0.15">
      <c r="A128" s="6"/>
      <c r="B128" s="277"/>
      <c r="C128" s="278"/>
      <c r="D128" s="278"/>
      <c r="E128" s="278"/>
      <c r="F128" s="279"/>
      <c r="G128" s="102"/>
      <c r="H128" s="102"/>
      <c r="I128" s="102"/>
    </row>
    <row r="129" spans="1:9" ht="14.25" x14ac:dyDescent="0.15">
      <c r="A129" s="6"/>
      <c r="B129" s="277"/>
      <c r="C129" s="278"/>
      <c r="D129" s="278"/>
      <c r="E129" s="278"/>
      <c r="F129" s="279"/>
      <c r="G129" s="102"/>
      <c r="H129" s="102"/>
      <c r="I129" s="102"/>
    </row>
    <row r="130" spans="1:9" ht="14.25" x14ac:dyDescent="0.15">
      <c r="A130" s="6"/>
      <c r="B130" s="280"/>
      <c r="C130" s="281"/>
      <c r="D130" s="281"/>
      <c r="E130" s="281"/>
      <c r="F130" s="282"/>
      <c r="G130" s="102"/>
      <c r="H130" s="102"/>
      <c r="I130" s="102"/>
    </row>
  </sheetData>
  <mergeCells count="6">
    <mergeCell ref="B89:F130"/>
    <mergeCell ref="E1:F1"/>
    <mergeCell ref="E2:F2"/>
    <mergeCell ref="A4:F4"/>
    <mergeCell ref="B7:F44"/>
    <mergeCell ref="B46:F87"/>
  </mergeCells>
  <phoneticPr fontId="1"/>
  <pageMargins left="0.7" right="0.7" top="0.75" bottom="0.75" header="0.3" footer="0.3"/>
  <pageSetup paperSize="9" orientation="portrait" horizontalDpi="1200" verticalDpi="1200" r:id="rId1"/>
  <rowBreaks count="2" manualBreakCount="2">
    <brk id="44" max="6" man="1"/>
    <brk id="87"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'様式4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石井</cp:lastModifiedBy>
  <cp:lastPrinted>2021-05-07T07:16:01Z</cp:lastPrinted>
  <dcterms:created xsi:type="dcterms:W3CDTF">2011-06-14T05:32:50Z</dcterms:created>
  <dcterms:modified xsi:type="dcterms:W3CDTF">2021-07-15T00:44:50Z</dcterms:modified>
</cp:coreProperties>
</file>