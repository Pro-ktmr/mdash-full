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sari\企画広報課\07030企画グループ\○数理データサイエンスセンター\R３年度\認定制度\★★文科省からの修正依頼\"/>
    </mc:Choice>
  </mc:AlternateContent>
  <bookViews>
    <workbookView xWindow="0" yWindow="0" windowWidth="23625" windowHeight="11805" tabRatio="885"/>
  </bookViews>
  <sheets>
    <sheet name="様式１　大学等概要" sheetId="8" r:id="rId1"/>
    <sheet name="様式２－１　プログラムを構成する授業科目" sheetId="9" r:id="rId2"/>
    <sheet name="様式２－２　プログラムを構成する授業科目 " sheetId="37" r:id="rId3"/>
    <sheet name="様式３　履修者等数の実績" sheetId="31" r:id="rId4"/>
    <sheet name="様式4－１　プログラムの授業内容・概要" sheetId="34" r:id="rId5"/>
    <sheet name="様式4－２　プログラムの授業内容・概要" sheetId="38" r:id="rId6"/>
    <sheet name="様式５　教育の質・履修者数を向上させるための体制・計画" sheetId="35" r:id="rId7"/>
    <sheet name="様式６　自己点検・評価" sheetId="36" r:id="rId8"/>
  </sheets>
  <definedNames>
    <definedName name="_xlnm._FilterDatabase" localSheetId="1" hidden="1">'様式２－１　プログラムを構成する授業科目'!#REF!</definedName>
    <definedName name="_xlnm._FilterDatabase" localSheetId="2" hidden="1">'様式２－２　プログラムを構成する授業科目 '!#REF!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 '!$A$1:$I$44</definedName>
    <definedName name="_xlnm.Print_Area" localSheetId="3">'様式３　履修者等数の実績'!$A$1:$R$28</definedName>
    <definedName name="_xlnm.Print_Area" localSheetId="6">'様式５　教育の質・履修者数を向上させるための体制・計画'!$A$1:$E$134</definedName>
    <definedName name="_xlnm.Print_Area" localSheetId="7">'様式６　自己点検・評価'!$A$1:$J$20</definedName>
  </definedNames>
  <calcPr calcId="162913"/>
</workbook>
</file>

<file path=xl/calcChain.xml><?xml version="1.0" encoding="utf-8"?>
<calcChain xmlns="http://schemas.openxmlformats.org/spreadsheetml/2006/main">
  <c r="Q15" i="31" l="1"/>
  <c r="R15" i="31" s="1"/>
  <c r="P27" i="31" l="1"/>
  <c r="O27" i="31"/>
  <c r="N27" i="31"/>
  <c r="M27" i="31"/>
  <c r="L27" i="31"/>
  <c r="K27" i="31"/>
  <c r="J27" i="31"/>
  <c r="I27" i="31"/>
  <c r="H27" i="31"/>
  <c r="G27" i="31"/>
  <c r="F27" i="31"/>
  <c r="E27" i="31"/>
  <c r="D27" i="31"/>
  <c r="Q26" i="31"/>
  <c r="R26" i="31" s="1"/>
  <c r="Q25" i="31"/>
  <c r="R25" i="31" s="1"/>
  <c r="Q24" i="31"/>
  <c r="R24" i="31" s="1"/>
  <c r="Q23" i="31"/>
  <c r="R23" i="31" s="1"/>
  <c r="Q22" i="31"/>
  <c r="R22" i="31" s="1"/>
  <c r="Q21" i="31"/>
  <c r="R21" i="31" s="1"/>
  <c r="Q20" i="31"/>
  <c r="R20" i="31" s="1"/>
  <c r="Q19" i="31"/>
  <c r="R19" i="31" s="1"/>
  <c r="Q18" i="31"/>
  <c r="R18" i="31" s="1"/>
  <c r="Q17" i="31"/>
  <c r="R17" i="31" s="1"/>
  <c r="Q16" i="31"/>
  <c r="R16" i="31" s="1"/>
  <c r="Q14" i="31"/>
  <c r="R14" i="31" s="1"/>
  <c r="Q13" i="31"/>
  <c r="R13" i="31" s="1"/>
  <c r="Q12" i="31"/>
  <c r="R12" i="31" s="1"/>
  <c r="Q11" i="31"/>
  <c r="R11" i="31" s="1"/>
  <c r="Q10" i="31"/>
  <c r="R10" i="31" s="1"/>
  <c r="Q9" i="31"/>
  <c r="R9" i="31" s="1"/>
  <c r="Q8" i="31"/>
  <c r="Q27" i="31" l="1"/>
  <c r="R27" i="31" s="1"/>
  <c r="R8" i="31"/>
</calcChain>
</file>

<file path=xl/sharedStrings.xml><?xml version="1.0" encoding="utf-8"?>
<sst xmlns="http://schemas.openxmlformats.org/spreadsheetml/2006/main" count="409" uniqueCount="286">
  <si>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</si>
  <si>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</si>
  <si>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</si>
  <si>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</si>
  <si>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</si>
  <si>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</si>
  <si>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</si>
  <si>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</si>
  <si>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</si>
  <si>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</si>
  <si>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</si>
  <si>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</si>
  <si>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</si>
  <si>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</si>
  <si>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</si>
  <si>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</si>
  <si>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</si>
  <si>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</si>
  <si>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</si>
  <si>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</si>
  <si>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</si>
  <si>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</si>
  <si>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</si>
  <si>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</si>
  <si>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</si>
  <si>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</si>
  <si>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</si>
  <si>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</si>
  <si>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</si>
  <si>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</si>
  <si>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</si>
  <si>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</si>
  <si>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</si>
  <si>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</si>
  <si>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</si>
  <si>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</si>
  <si>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</si>
  <si>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</si>
  <si>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</si>
  <si>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</si>
  <si>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</si>
  <si>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</si>
  <si>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</si>
  <si>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</si>
  <si>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</si>
  <si>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</si>
  <si>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</si>
  <si>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</si>
  <si>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</si>
  <si>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</si>
  <si>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</si>
  <si>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</si>
  <si>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</si>
  <si>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</si>
  <si>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</si>
  <si>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</si>
  <si>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</si>
  <si>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</si>
  <si>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</si>
  <si>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</si>
  <si>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</si>
  <si>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</si>
  <si>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</si>
  <si>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</si>
  <si>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</si>
  <si>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</si>
  <si>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</si>
  <si>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</si>
  <si>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</si>
  <si>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</si>
  <si>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</si>
  <si>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</si>
  <si>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</si>
  <si>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</si>
  <si>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</si>
  <si>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</si>
  <si>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</si>
  <si>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</si>
  <si>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</si>
  <si>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</si>
  <si>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</si>
  <si>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</si>
  <si>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</si>
  <si>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</si>
  <si>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</si>
  <si>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</si>
  <si>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</si>
  <si>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</si>
  <si>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</si>
  <si>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</si>
  <si>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</si>
  <si>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</si>
  <si>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</si>
  <si>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</si>
  <si>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</si>
  <si>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</si>
  <si>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</si>
  <si>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</si>
  <si>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</si>
  <si>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</si>
  <si>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</si>
  <si>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</si>
  <si>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</si>
  <si>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</si>
  <si>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</si>
  <si>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</si>
  <si>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</si>
  <si>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</si>
  <si>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</si>
  <si>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</si>
  <si>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</si>
  <si>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</si>
  <si>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</si>
  <si>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</si>
  <si>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</si>
  <si>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</si>
  <si>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</si>
  <si>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</si>
  <si>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</si>
  <si>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</si>
  <si>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</si>
  <si>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</si>
  <si>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</si>
  <si>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</si>
  <si>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</si>
  <si>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</si>
  <si>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</si>
  <si>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</si>
  <si>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</si>
  <si>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</si>
  <si>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</si>
  <si>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島根大学</t>
    <rPh sb="0" eb="2">
      <t>シマネ</t>
    </rPh>
    <rPh sb="2" eb="4">
      <t>ダイガク</t>
    </rPh>
    <phoneticPr fontId="1"/>
  </si>
  <si>
    <t>島根大学</t>
    <rPh sb="0" eb="2">
      <t>シマネ</t>
    </rPh>
    <rPh sb="2" eb="4">
      <t>ダイガク</t>
    </rPh>
    <phoneticPr fontId="1"/>
  </si>
  <si>
    <t>島根大学</t>
    <rPh sb="0" eb="2">
      <t>シマネ</t>
    </rPh>
    <rPh sb="2" eb="4">
      <t>ダイガク</t>
    </rPh>
    <phoneticPr fontId="1"/>
  </si>
  <si>
    <t>国立大学</t>
  </si>
  <si>
    <t>gad-kikaku@office.shimane-u.ac.jp</t>
    <phoneticPr fontId="1"/>
  </si>
  <si>
    <t>青戸　沙帆</t>
    <rPh sb="0" eb="2">
      <t>アオト</t>
    </rPh>
    <rPh sb="3" eb="5">
      <t>スナホ</t>
    </rPh>
    <phoneticPr fontId="1"/>
  </si>
  <si>
    <t>認定教育プログラム</t>
  </si>
  <si>
    <t>0852-32-6606</t>
    <phoneticPr fontId="1"/>
  </si>
  <si>
    <t>数理・データサイエンスリテラシー教育プログラム</t>
    <rPh sb="0" eb="2">
      <t>スウリ</t>
    </rPh>
    <rPh sb="16" eb="18">
      <t>キョウイク</t>
    </rPh>
    <phoneticPr fontId="1"/>
  </si>
  <si>
    <t>平成30年度</t>
    <rPh sb="0" eb="2">
      <t>ヘイセイ</t>
    </rPh>
    <rPh sb="4" eb="6">
      <t>ネンド</t>
    </rPh>
    <phoneticPr fontId="1"/>
  </si>
  <si>
    <t>数理・データサイエンス教育研究センター運営委員会</t>
    <rPh sb="0" eb="2">
      <t>スウリ</t>
    </rPh>
    <rPh sb="11" eb="13">
      <t>キョウイク</t>
    </rPh>
    <rPh sb="13" eb="15">
      <t>ケンキュウ</t>
    </rPh>
    <rPh sb="19" eb="21">
      <t>ウンエイ</t>
    </rPh>
    <rPh sb="21" eb="24">
      <t>イインカイ</t>
    </rPh>
    <phoneticPr fontId="1"/>
  </si>
  <si>
    <t>学部・学科によって、修了要件は相違する</t>
  </si>
  <si>
    <t>数理・データサイエンス入門</t>
    <rPh sb="0" eb="2">
      <t>スウリ</t>
    </rPh>
    <rPh sb="11" eb="13">
      <t>ニュウモン</t>
    </rPh>
    <phoneticPr fontId="1"/>
  </si>
  <si>
    <t>医学部医学科以外の学生においては，「数理・データサイエンス入門」（２単位）を修得すること。
※R３年度以降は，科目名を「数理・データサイエンス入門」から「数理・データサイエンスへの誘い」へ変更している。なお，「数理・データサイエンス入門」と「数理・データサイエンスへの誘い」は同一内容である。</t>
    <rPh sb="0" eb="2">
      <t>イガク</t>
    </rPh>
    <rPh sb="2" eb="3">
      <t>ブ</t>
    </rPh>
    <rPh sb="3" eb="4">
      <t>イ</t>
    </rPh>
    <rPh sb="4" eb="6">
      <t>ガッカ</t>
    </rPh>
    <rPh sb="6" eb="8">
      <t>イガイ</t>
    </rPh>
    <rPh sb="9" eb="11">
      <t>ガクセイ</t>
    </rPh>
    <rPh sb="18" eb="20">
      <t>スウリ</t>
    </rPh>
    <rPh sb="29" eb="31">
      <t>ニュウモン</t>
    </rPh>
    <rPh sb="34" eb="36">
      <t>タンイ</t>
    </rPh>
    <rPh sb="38" eb="40">
      <t>シュウトク</t>
    </rPh>
    <rPh sb="55" eb="57">
      <t>カモク</t>
    </rPh>
    <rPh sb="57" eb="58">
      <t>メイ</t>
    </rPh>
    <rPh sb="60" eb="62">
      <t>スウリ</t>
    </rPh>
    <rPh sb="71" eb="73">
      <t>ニュウモン</t>
    </rPh>
    <rPh sb="94" eb="96">
      <t>ヘンコウ</t>
    </rPh>
    <phoneticPr fontId="1"/>
  </si>
  <si>
    <t>情報科学概論</t>
    <rPh sb="0" eb="2">
      <t>ジョウホウ</t>
    </rPh>
    <rPh sb="2" eb="4">
      <t>カガク</t>
    </rPh>
    <rPh sb="4" eb="6">
      <t>ガイロン</t>
    </rPh>
    <phoneticPr fontId="1"/>
  </si>
  <si>
    <t>情報科学演習</t>
    <rPh sb="0" eb="6">
      <t>ジョウホウカガクエンシュウ</t>
    </rPh>
    <phoneticPr fontId="1"/>
  </si>
  <si>
    <t>法文学部（人文科学・社会科学）</t>
    <phoneticPr fontId="1"/>
  </si>
  <si>
    <t>総合理工学部（理学・工学）</t>
    <phoneticPr fontId="1"/>
  </si>
  <si>
    <t>教育学部（教育）</t>
    <phoneticPr fontId="1"/>
  </si>
  <si>
    <t>人間科学部（その他）</t>
    <rPh sb="8" eb="9">
      <t>タ</t>
    </rPh>
    <phoneticPr fontId="1"/>
  </si>
  <si>
    <t>生物資源科学部（理学・工学・農学）</t>
    <rPh sb="8" eb="10">
      <t>リガク</t>
    </rPh>
    <rPh sb="11" eb="13">
      <t>コウガク</t>
    </rPh>
    <phoneticPr fontId="1"/>
  </si>
  <si>
    <t>島根大学</t>
    <rPh sb="0" eb="4">
      <t>シマネダイガク</t>
    </rPh>
    <phoneticPr fontId="1"/>
  </si>
  <si>
    <t>島根大学</t>
    <rPh sb="0" eb="4">
      <t>シマネダイガク</t>
    </rPh>
    <phoneticPr fontId="1"/>
  </si>
  <si>
    <t>データ量の増加、計算機の処理性能向上、AIの非連続的進化(2, 14)</t>
    <rPh sb="3" eb="4">
      <t>リョウ</t>
    </rPh>
    <rPh sb="5" eb="7">
      <t>ゾウカ</t>
    </rPh>
    <rPh sb="8" eb="11">
      <t>ケイサンキ</t>
    </rPh>
    <rPh sb="12" eb="16">
      <t>ショリセイノウ</t>
    </rPh>
    <rPh sb="16" eb="18">
      <t>コウジョウ</t>
    </rPh>
    <rPh sb="22" eb="26">
      <t>ヒレンゾクテキ</t>
    </rPh>
    <rPh sb="26" eb="28">
      <t>シンカ</t>
    </rPh>
    <phoneticPr fontId="1"/>
  </si>
  <si>
    <t>第4次産業革命、Society5.0、データ駆動型社会(1, 14)</t>
    <rPh sb="0" eb="1">
      <t>ダイ</t>
    </rPh>
    <rPh sb="2" eb="5">
      <t>ジサンギョウ</t>
    </rPh>
    <rPh sb="5" eb="7">
      <t>カクメイ</t>
    </rPh>
    <rPh sb="22" eb="25">
      <t>クドウガタ</t>
    </rPh>
    <rPh sb="25" eb="27">
      <t>シャカイ</t>
    </rPh>
    <phoneticPr fontId="1"/>
  </si>
  <si>
    <t>複数技術を組み合わせたAIサービス(1, 14)</t>
    <rPh sb="0" eb="2">
      <t>フクスウ</t>
    </rPh>
    <rPh sb="2" eb="4">
      <t>ギジュツ</t>
    </rPh>
    <rPh sb="5" eb="6">
      <t>ク</t>
    </rPh>
    <rPh sb="7" eb="8">
      <t>ア</t>
    </rPh>
    <phoneticPr fontId="1"/>
  </si>
  <si>
    <t>人間の知的活動とAIの関係性(12-14)</t>
    <rPh sb="0" eb="2">
      <t>ニンゲン</t>
    </rPh>
    <rPh sb="3" eb="7">
      <t>チテキカツドウ</t>
    </rPh>
    <rPh sb="11" eb="14">
      <t>カンケイセイ</t>
    </rPh>
    <phoneticPr fontId="1"/>
  </si>
  <si>
    <t>データを起点としてたものの見方、人間の知的活動を起点としたものの見方(1, 2, 12-14)</t>
    <rPh sb="4" eb="6">
      <t>キテン</t>
    </rPh>
    <rPh sb="13" eb="15">
      <t>ミカタ</t>
    </rPh>
    <rPh sb="16" eb="18">
      <t>ニンゲン</t>
    </rPh>
    <rPh sb="19" eb="23">
      <t>チテキカツドウ</t>
    </rPh>
    <rPh sb="24" eb="26">
      <t>キテン</t>
    </rPh>
    <rPh sb="32" eb="34">
      <t>ミカタ</t>
    </rPh>
    <phoneticPr fontId="1"/>
  </si>
  <si>
    <t>AI等を活用した新しいビジネスモデル：商品のレコメンデーションシステム(10-11)</t>
    <rPh sb="2" eb="3">
      <t>ナド</t>
    </rPh>
    <rPh sb="4" eb="6">
      <t>カツヨウ</t>
    </rPh>
    <rPh sb="8" eb="9">
      <t>アタラ</t>
    </rPh>
    <rPh sb="19" eb="21">
      <t>ショウヒン</t>
    </rPh>
    <phoneticPr fontId="1"/>
  </si>
  <si>
    <t>AI最新技術の活用例：深層生成モデル、転移学習(12-13)</t>
    <rPh sb="2" eb="4">
      <t>サイシン</t>
    </rPh>
    <rPh sb="4" eb="6">
      <t>ギジュツ</t>
    </rPh>
    <rPh sb="7" eb="9">
      <t>カツヨウ</t>
    </rPh>
    <rPh sb="9" eb="10">
      <t>レイ</t>
    </rPh>
    <rPh sb="11" eb="13">
      <t>シンソウ</t>
    </rPh>
    <rPh sb="13" eb="15">
      <t>セイセイ</t>
    </rPh>
    <rPh sb="19" eb="21">
      <t>テンイ</t>
    </rPh>
    <rPh sb="21" eb="23">
      <t>ガクシュウ</t>
    </rPh>
    <phoneticPr fontId="1"/>
  </si>
  <si>
    <t>ビッグデータ, IoT, AI(1, 10-14)</t>
  </si>
  <si>
    <t>調査データ、実験データ、人の行動ログデータ、機械の稼働ログデータ(3-7, 10-13)</t>
    <rPh sb="0" eb="2">
      <t>チョウサ</t>
    </rPh>
    <rPh sb="6" eb="8">
      <t>ジッケン</t>
    </rPh>
    <rPh sb="12" eb="13">
      <t>ヒト</t>
    </rPh>
    <rPh sb="14" eb="16">
      <t>コウドウ</t>
    </rPh>
    <rPh sb="22" eb="24">
      <t>キカイ</t>
    </rPh>
    <rPh sb="25" eb="27">
      <t>カドウ</t>
    </rPh>
    <phoneticPr fontId="1"/>
  </si>
  <si>
    <t>構造化データ、非構造化データ(3, 10-12)</t>
    <rPh sb="0" eb="3">
      <t>コウゾウカ</t>
    </rPh>
    <rPh sb="7" eb="11">
      <t>ヒコウゾウカ</t>
    </rPh>
    <phoneticPr fontId="1"/>
  </si>
  <si>
    <t>データ作成(1, 3, 13, 14)</t>
    <rPh sb="3" eb="5">
      <t>サクセイ</t>
    </rPh>
    <phoneticPr fontId="1"/>
  </si>
  <si>
    <t>データ・AI活用領域の広がり(1, 14)</t>
    <rPh sb="6" eb="10">
      <t>カツヨウリョウイキ</t>
    </rPh>
    <rPh sb="11" eb="12">
      <t>ヒロ</t>
    </rPh>
    <phoneticPr fontId="1"/>
  </si>
  <si>
    <t>研究開発、調達、製造、物流、マーケティング、サービス(1, 3, 10-11, 13-14)</t>
    <rPh sb="0" eb="4">
      <t>ケンキュウカイハツ</t>
    </rPh>
    <rPh sb="5" eb="7">
      <t>チョウタツ</t>
    </rPh>
    <rPh sb="8" eb="10">
      <t>セイゾウ</t>
    </rPh>
    <rPh sb="11" eb="13">
      <t>ブツリュウ</t>
    </rPh>
    <phoneticPr fontId="1"/>
  </si>
  <si>
    <t>データ解析：予測、グルーピング、パターン発見、最適化(9-13)</t>
    <rPh sb="3" eb="5">
      <t>カイセキ</t>
    </rPh>
    <rPh sb="6" eb="8">
      <t>ヨソク</t>
    </rPh>
    <rPh sb="20" eb="22">
      <t>ハッケン</t>
    </rPh>
    <rPh sb="23" eb="26">
      <t>サイテキカ</t>
    </rPh>
    <phoneticPr fontId="1"/>
  </si>
  <si>
    <t>特化型AIと汎用AI、今のAIに出来ること出来ないこと、AIとビッグデータ(10-14)</t>
    <rPh sb="0" eb="3">
      <t>トッカガタ</t>
    </rPh>
    <rPh sb="6" eb="7">
      <t>ハン</t>
    </rPh>
    <rPh sb="7" eb="8">
      <t>ヨウ</t>
    </rPh>
    <rPh sb="11" eb="12">
      <t>イマ</t>
    </rPh>
    <rPh sb="16" eb="18">
      <t>デキ</t>
    </rPh>
    <rPh sb="21" eb="23">
      <t>デキ</t>
    </rPh>
    <phoneticPr fontId="1"/>
  </si>
  <si>
    <t>流通、製造、金融、サービス、インフラ、公共、ヘルスケア等におけるデータ・AI活用事例紹介(1, 14)</t>
    <rPh sb="0" eb="2">
      <t>リュウツウ</t>
    </rPh>
    <rPh sb="3" eb="5">
      <t>セイゾウ</t>
    </rPh>
    <rPh sb="6" eb="8">
      <t>キンユウ</t>
    </rPh>
    <rPh sb="19" eb="21">
      <t>コウキョウ</t>
    </rPh>
    <rPh sb="27" eb="28">
      <t>ナド</t>
    </rPh>
    <rPh sb="38" eb="42">
      <t>カツヨウジレイ</t>
    </rPh>
    <rPh sb="42" eb="44">
      <t>ショウカイ</t>
    </rPh>
    <phoneticPr fontId="1"/>
  </si>
  <si>
    <t>ルールベースのAI(10-13)</t>
  </si>
  <si>
    <t>データサイエンスのサイクル(1)</t>
  </si>
  <si>
    <t>個人情報保護、改正個人情報保護法(14)</t>
    <rPh sb="0" eb="6">
      <t>コジンジョウホウホゴ</t>
    </rPh>
    <rPh sb="7" eb="16">
      <t>カイセイコジンジョウホウホゴホウ</t>
    </rPh>
    <phoneticPr fontId="1"/>
  </si>
  <si>
    <t>データの倫理：データの改ざん、盗用、プライバシー保護(2, 14)</t>
    <rPh sb="4" eb="6">
      <t>リンリ</t>
    </rPh>
    <rPh sb="11" eb="12">
      <t>カイ</t>
    </rPh>
    <rPh sb="15" eb="17">
      <t>トウヨウ</t>
    </rPh>
    <rPh sb="24" eb="26">
      <t>ホゴ</t>
    </rPh>
    <phoneticPr fontId="1"/>
  </si>
  <si>
    <t>AI社会原則：説明責任、透明性、人間中心の判断(1-14)</t>
    <rPh sb="2" eb="6">
      <t>シャカイゲンソク</t>
    </rPh>
    <rPh sb="7" eb="11">
      <t>セツメイセキニン</t>
    </rPh>
    <rPh sb="12" eb="15">
      <t>トウメイセイ</t>
    </rPh>
    <rPh sb="16" eb="20">
      <t>ニンゲンチュウシン</t>
    </rPh>
    <rPh sb="21" eb="23">
      <t>ハンダン</t>
    </rPh>
    <phoneticPr fontId="1"/>
  </si>
  <si>
    <t>AIサービスの責任論(14)</t>
    <rPh sb="7" eb="10">
      <t>セキニンロン</t>
    </rPh>
    <phoneticPr fontId="1"/>
  </si>
  <si>
    <t>匿名加工情報、パスワード、悪意ある情報搾取(2, 8, 14)</t>
    <rPh sb="0" eb="4">
      <t>トクメイカコウ</t>
    </rPh>
    <rPh sb="4" eb="6">
      <t>ジョウホウ</t>
    </rPh>
    <rPh sb="13" eb="15">
      <t>アクイ</t>
    </rPh>
    <rPh sb="17" eb="19">
      <t>ジョウホウ</t>
    </rPh>
    <rPh sb="19" eb="21">
      <t>サクシュ</t>
    </rPh>
    <phoneticPr fontId="1"/>
  </si>
  <si>
    <t>データバイアス、アルゴリズムバイアス(2, 12, 14)</t>
  </si>
  <si>
    <t>データの種類(3)</t>
    <rPh sb="4" eb="6">
      <t>シュルイ</t>
    </rPh>
    <phoneticPr fontId="1"/>
  </si>
  <si>
    <t>データの分布と代表値(3-5)</t>
    <rPh sb="4" eb="6">
      <t>ブンプ</t>
    </rPh>
    <rPh sb="7" eb="10">
      <t>ダイヒョウチ</t>
    </rPh>
    <phoneticPr fontId="1"/>
  </si>
  <si>
    <t>代表値の性質の違い(5)</t>
    <rPh sb="0" eb="3">
      <t>ダイヒョウチ</t>
    </rPh>
    <rPh sb="4" eb="6">
      <t>セイシツ</t>
    </rPh>
    <rPh sb="7" eb="8">
      <t>チガ</t>
    </rPh>
    <phoneticPr fontId="1"/>
  </si>
  <si>
    <t>観測データに含まれる誤差の扱い(3)</t>
    <rPh sb="0" eb="2">
      <t>カンソク</t>
    </rPh>
    <rPh sb="6" eb="7">
      <t>フク</t>
    </rPh>
    <rPh sb="10" eb="12">
      <t>ゴサ</t>
    </rPh>
    <rPh sb="13" eb="14">
      <t>アツカ</t>
    </rPh>
    <phoneticPr fontId="1"/>
  </si>
  <si>
    <t>打ち切りや脱落を含むデータ、層別の必要なデータ(3, 6)</t>
    <rPh sb="0" eb="1">
      <t>ウ</t>
    </rPh>
    <rPh sb="2" eb="3">
      <t>キ</t>
    </rPh>
    <rPh sb="5" eb="7">
      <t>ダツラク</t>
    </rPh>
    <rPh sb="8" eb="9">
      <t>フク</t>
    </rPh>
    <rPh sb="14" eb="16">
      <t>ソウベツ</t>
    </rPh>
    <rPh sb="17" eb="19">
      <t>ヒツヨウ</t>
    </rPh>
    <phoneticPr fontId="1"/>
  </si>
  <si>
    <t>相関と因果(6)</t>
    <rPh sb="0" eb="2">
      <t>ソウカン</t>
    </rPh>
    <rPh sb="3" eb="5">
      <t>インガ</t>
    </rPh>
    <phoneticPr fontId="1"/>
  </si>
  <si>
    <t>母集団と標本抽出(3)</t>
    <rPh sb="0" eb="3">
      <t>ボシュウダン</t>
    </rPh>
    <rPh sb="4" eb="8">
      <t>ヒョウホンチュウシュツ</t>
    </rPh>
    <phoneticPr fontId="1"/>
  </si>
  <si>
    <t>統計情報の正しい理解(2, 8)</t>
    <rPh sb="0" eb="4">
      <t>トウケイジョウホウ</t>
    </rPh>
    <rPh sb="5" eb="6">
      <t>タダ</t>
    </rPh>
    <rPh sb="8" eb="10">
      <t>リカイ</t>
    </rPh>
    <phoneticPr fontId="1"/>
  </si>
  <si>
    <t>データの表現：棒グラフ、折れ線グラフ、散布図、ヒートマップ(3, 4, 8)</t>
    <rPh sb="4" eb="6">
      <t>ヒョウゲン</t>
    </rPh>
    <rPh sb="7" eb="8">
      <t>ボウ</t>
    </rPh>
    <rPh sb="12" eb="13">
      <t>オ</t>
    </rPh>
    <rPh sb="14" eb="15">
      <t>セン</t>
    </rPh>
    <rPh sb="19" eb="22">
      <t>サンプズ</t>
    </rPh>
    <phoneticPr fontId="1"/>
  </si>
  <si>
    <t>不適切なグラフ表現(8)</t>
    <rPh sb="0" eb="3">
      <t>フテキセツ</t>
    </rPh>
    <rPh sb="7" eb="9">
      <t>ヒョウゲン</t>
    </rPh>
    <phoneticPr fontId="1"/>
  </si>
  <si>
    <t>優れた可視化事例の紹介(4)</t>
    <rPh sb="0" eb="1">
      <t>スグ</t>
    </rPh>
    <rPh sb="3" eb="5">
      <t>カシ</t>
    </rPh>
    <rPh sb="5" eb="6">
      <t>カ</t>
    </rPh>
    <rPh sb="6" eb="8">
      <t>ジレイ</t>
    </rPh>
    <rPh sb="9" eb="11">
      <t>ショウカイ</t>
    </rPh>
    <phoneticPr fontId="1"/>
  </si>
  <si>
    <t>データの集計(5)</t>
    <rPh sb="4" eb="6">
      <t>シュウケイ</t>
    </rPh>
    <phoneticPr fontId="1"/>
  </si>
  <si>
    <t>データの並び替え、ランキング(5)</t>
    <rPh sb="4" eb="5">
      <t>ナラ</t>
    </rPh>
    <rPh sb="6" eb="7">
      <t>カ</t>
    </rPh>
    <phoneticPr fontId="1"/>
  </si>
  <si>
    <t>データ解析ツール：スプレッドシート(4, 5, 6, 7)</t>
    <rPh sb="3" eb="5">
      <t>カイセキ</t>
    </rPh>
    <phoneticPr fontId="1"/>
  </si>
  <si>
    <t>データのばらつき(5)</t>
  </si>
  <si>
    <t>https://www.ds.shimane-u.ac.jp/student/literacy.html</t>
    <phoneticPr fontId="1"/>
  </si>
  <si>
    <t>オフィスアワーを設け、授業時間外に質問を受け付けており、質問は学習管理システムMoodle上でも受け付けることができるようにしている。
また、授業では大学院生をTAとして雇用し、学生教育のサポートにあたっている。</t>
    <rPh sb="8" eb="9">
      <t>モウ</t>
    </rPh>
    <rPh sb="11" eb="13">
      <t>ジュギョウ</t>
    </rPh>
    <rPh sb="13" eb="15">
      <t>ジカン</t>
    </rPh>
    <rPh sb="15" eb="16">
      <t>ガイ</t>
    </rPh>
    <rPh sb="17" eb="19">
      <t>シツモン</t>
    </rPh>
    <rPh sb="20" eb="21">
      <t>ウ</t>
    </rPh>
    <rPh sb="22" eb="23">
      <t>ツ</t>
    </rPh>
    <rPh sb="28" eb="30">
      <t>シツモン</t>
    </rPh>
    <rPh sb="31" eb="33">
      <t>ガクシュウ</t>
    </rPh>
    <rPh sb="33" eb="35">
      <t>カンリ</t>
    </rPh>
    <rPh sb="45" eb="46">
      <t>ジョウ</t>
    </rPh>
    <rPh sb="48" eb="49">
      <t>ウ</t>
    </rPh>
    <rPh sb="50" eb="51">
      <t>ツ</t>
    </rPh>
    <rPh sb="71" eb="73">
      <t>ジュギョウ</t>
    </rPh>
    <rPh sb="75" eb="78">
      <t>ダイガクイン</t>
    </rPh>
    <rPh sb="78" eb="79">
      <t>セイ</t>
    </rPh>
    <rPh sb="85" eb="87">
      <t>コヨウ</t>
    </rPh>
    <rPh sb="89" eb="91">
      <t>ガクセイ</t>
    </rPh>
    <rPh sb="91" eb="93">
      <t>キョウイク</t>
    </rPh>
    <phoneticPr fontId="1"/>
  </si>
  <si>
    <t>文系・理系を問わず全学部の学生に対してデータサイエンスに関するリテラシーの醸成に向けた教育研究を推進することにより、エビデンスに基づく意思決定、価値創造を行うことができるデータ駆動型の人材を幅広く養成することを目的とし、平成30年4月に全学センターとして数理・データサイエンス教育研究センターを設置した。センターでは、リテラシー醸成のための教養科目の開講・全学展開、特別副専攻プログラムの構築・実施している。また、専門教育の拡充、高大接続事業、リカレント教育の推進など数理・データサイエンス教育を牽引するとともに、各学部に対してビッグデータを扱う研究の支援を行うことも計画している。</t>
    <rPh sb="127" eb="129">
      <t>スウリ</t>
    </rPh>
    <rPh sb="138" eb="142">
      <t>キョウイクケンキュウ</t>
    </rPh>
    <rPh sb="178" eb="180">
      <t>ゼンガク</t>
    </rPh>
    <rPh sb="180" eb="182">
      <t>テンカイ</t>
    </rPh>
    <phoneticPr fontId="1"/>
  </si>
  <si>
    <t>世論調査や出口調査の結果を用いた解説などの実データを題材とし，データの読み取り方や，収集したデータの母数を確認することの重要性といった，データを正しく読み取る力を身に付ける。また，自治体の企業数のデータなどを用いて，データを可視化・要約等で表現する際に必要となる注意点について理解する。これらの基本的なデータの読み方，扱い方を学んだ後，実際のニュース番組で使用された就業率と合計特殊出生率に関するグラフや，有効求人倍率の改善を示した政治団体のグラフを例に，不適切に作成されたグラフに騙されないよう，グラフ表現の問題を指摘できるような演習を取り入れている。</t>
    <phoneticPr fontId="1"/>
  </si>
  <si>
    <t>数理・データサイエンス入門</t>
    <rPh sb="0" eb="2">
      <t>スウリ</t>
    </rPh>
    <rPh sb="11" eb="13">
      <t>ニュウモン</t>
    </rPh>
    <phoneticPr fontId="1"/>
  </si>
  <si>
    <t>理事</t>
    <rPh sb="0" eb="2">
      <t>リジ</t>
    </rPh>
    <phoneticPr fontId="1"/>
  </si>
  <si>
    <t>島根大学</t>
    <rPh sb="0" eb="2">
      <t>シマネ</t>
    </rPh>
    <rPh sb="2" eb="4">
      <t>ダイガク</t>
    </rPh>
    <phoneticPr fontId="1"/>
  </si>
  <si>
    <t>島根県松江市西川津町1060</t>
    <rPh sb="0" eb="3">
      <t>シマネケン</t>
    </rPh>
    <rPh sb="3" eb="6">
      <t>マツエシ</t>
    </rPh>
    <rPh sb="6" eb="10">
      <t>ニシカワツチョウ</t>
    </rPh>
    <phoneticPr fontId="1"/>
  </si>
  <si>
    <t>医学部（保健）</t>
    <phoneticPr fontId="1"/>
  </si>
  <si>
    <t>様式４－１</t>
    <rPh sb="0" eb="2">
      <t>ヨウシキ</t>
    </rPh>
    <phoneticPr fontId="1"/>
  </si>
  <si>
    <t>データ・AIによって、社会および日常生活が大きく変化していることを理解する。例えば、AIによるディープラーニングを取り入れたメガネのレコメンドサービスや、無人コンビニの仕組みなどの実例を題材に、データ・AIが新たなサービスやビジネス形態として実生活の中でも活用され、社会に変化をもたらしていることを学ぶ。また、その技術を支えるための手法（アソシエーション分析や深層学習など）について、具体例を通して理解させAI技術のメリット・デメリットを説明出来るようにする。それらのステップでAI技術について学ぶことで、最終的にはAI技術との向き合い方、社会全体がどのように変化すべきかについて自説を持てることを到達点とする。</t>
    <phoneticPr fontId="1"/>
  </si>
  <si>
    <t>情報科学概論</t>
    <rPh sb="0" eb="4">
      <t>ジョウホウカガク</t>
    </rPh>
    <rPh sb="4" eb="6">
      <t>ガイロン</t>
    </rPh>
    <phoneticPr fontId="1"/>
  </si>
  <si>
    <t>データ量の増加、計算機の処理性能向上、AIの非連続的進化(9)</t>
    <rPh sb="3" eb="4">
      <t>リョウ</t>
    </rPh>
    <rPh sb="5" eb="7">
      <t>ゾウカ</t>
    </rPh>
    <rPh sb="8" eb="11">
      <t>ケイサンキ</t>
    </rPh>
    <rPh sb="12" eb="16">
      <t>ショリセイノウ</t>
    </rPh>
    <rPh sb="16" eb="18">
      <t>コウジョウ</t>
    </rPh>
    <rPh sb="22" eb="26">
      <t>ヒレンゾクテキ</t>
    </rPh>
    <rPh sb="26" eb="28">
      <t>シンカ</t>
    </rPh>
    <phoneticPr fontId="1"/>
  </si>
  <si>
    <t>第4次産業革命、Society5.0、データ駆動型社会(1)</t>
    <rPh sb="0" eb="1">
      <t>ダイ</t>
    </rPh>
    <rPh sb="2" eb="5">
      <t>ジサンギョウ</t>
    </rPh>
    <rPh sb="5" eb="7">
      <t>カクメイ</t>
    </rPh>
    <rPh sb="22" eb="25">
      <t>クドウガタ</t>
    </rPh>
    <rPh sb="25" eb="27">
      <t>シャカイ</t>
    </rPh>
    <phoneticPr fontId="1"/>
  </si>
  <si>
    <t>複数技術を組み合わせたAIサービス(7-9)</t>
    <rPh sb="0" eb="2">
      <t>フクスウ</t>
    </rPh>
    <rPh sb="2" eb="4">
      <t>ギジュツ</t>
    </rPh>
    <rPh sb="5" eb="6">
      <t>ク</t>
    </rPh>
    <rPh sb="7" eb="8">
      <t>ア</t>
    </rPh>
    <phoneticPr fontId="1"/>
  </si>
  <si>
    <t>人間の知的活動とAIの関係性(7-9)</t>
    <rPh sb="0" eb="2">
      <t>ニンゲン</t>
    </rPh>
    <rPh sb="3" eb="7">
      <t>チテキカツドウ</t>
    </rPh>
    <rPh sb="11" eb="14">
      <t>カンケイセイ</t>
    </rPh>
    <phoneticPr fontId="1"/>
  </si>
  <si>
    <t>データを起点としてたものの見方、人間の知的活動を起点としたものの見方(2)</t>
    <rPh sb="4" eb="6">
      <t>キテン</t>
    </rPh>
    <rPh sb="13" eb="15">
      <t>ミカタ</t>
    </rPh>
    <rPh sb="16" eb="18">
      <t>ニンゲン</t>
    </rPh>
    <rPh sb="19" eb="23">
      <t>チテキカツドウ</t>
    </rPh>
    <rPh sb="24" eb="26">
      <t>キテン</t>
    </rPh>
    <rPh sb="32" eb="34">
      <t>ミカタ</t>
    </rPh>
    <phoneticPr fontId="1"/>
  </si>
  <si>
    <t>AI等を活用した新しいビジネスモデル：商品のレコメンデーションシステム(1)</t>
    <rPh sb="2" eb="3">
      <t>ナド</t>
    </rPh>
    <rPh sb="4" eb="6">
      <t>カツヨウ</t>
    </rPh>
    <rPh sb="8" eb="9">
      <t>アタラ</t>
    </rPh>
    <rPh sb="19" eb="21">
      <t>ショウヒン</t>
    </rPh>
    <phoneticPr fontId="1"/>
  </si>
  <si>
    <t>AI最新技術の活用例：深層生成モデル、転移学習(2)</t>
    <rPh sb="2" eb="4">
      <t>サイシン</t>
    </rPh>
    <rPh sb="4" eb="6">
      <t>ギジュツ</t>
    </rPh>
    <rPh sb="7" eb="9">
      <t>カツヨウ</t>
    </rPh>
    <rPh sb="9" eb="10">
      <t>レイ</t>
    </rPh>
    <rPh sb="11" eb="13">
      <t>シンソウ</t>
    </rPh>
    <rPh sb="13" eb="15">
      <t>セイセイ</t>
    </rPh>
    <rPh sb="19" eb="21">
      <t>テンイ</t>
    </rPh>
    <rPh sb="21" eb="23">
      <t>ガクシュウ</t>
    </rPh>
    <phoneticPr fontId="1"/>
  </si>
  <si>
    <t>情報科学概論</t>
    <rPh sb="0" eb="2">
      <t>ジョウホウ</t>
    </rPh>
    <rPh sb="2" eb="6">
      <t>カガクガイロン</t>
    </rPh>
    <phoneticPr fontId="1"/>
  </si>
  <si>
    <t>調査データ、実験データ、人の行動ログデータ、機械の稼働ログデータ(1)</t>
    <rPh sb="0" eb="2">
      <t>チョウサ</t>
    </rPh>
    <rPh sb="6" eb="8">
      <t>ジッケン</t>
    </rPh>
    <rPh sb="12" eb="13">
      <t>ヒト</t>
    </rPh>
    <rPh sb="14" eb="16">
      <t>コウドウ</t>
    </rPh>
    <rPh sb="22" eb="24">
      <t>キカイ</t>
    </rPh>
    <rPh sb="25" eb="27">
      <t>カドウ</t>
    </rPh>
    <phoneticPr fontId="1"/>
  </si>
  <si>
    <t>1次データ、2次データ、データのメタ化(1)</t>
    <rPh sb="1" eb="2">
      <t>ジ</t>
    </rPh>
    <rPh sb="7" eb="8">
      <t>ジ</t>
    </rPh>
    <rPh sb="18" eb="19">
      <t>カ</t>
    </rPh>
    <phoneticPr fontId="1"/>
  </si>
  <si>
    <t>構造化データ、非構造化データ(6)</t>
    <rPh sb="0" eb="3">
      <t>コウゾウカ</t>
    </rPh>
    <rPh sb="7" eb="11">
      <t>ヒコウゾウカ</t>
    </rPh>
    <phoneticPr fontId="1"/>
  </si>
  <si>
    <t>データ・AI活用領域の広がり(1-2)</t>
    <rPh sb="6" eb="10">
      <t>カツヨウリョウイキ</t>
    </rPh>
    <rPh sb="11" eb="12">
      <t>ヒロ</t>
    </rPh>
    <phoneticPr fontId="1"/>
  </si>
  <si>
    <t>研究開発、調達、製造、物流、マーケティング、サービス(7-9, 11-12)</t>
    <rPh sb="0" eb="4">
      <t>ケンキュウカイハツ</t>
    </rPh>
    <rPh sb="5" eb="7">
      <t>チョウタツ</t>
    </rPh>
    <rPh sb="8" eb="10">
      <t>セイゾウ</t>
    </rPh>
    <rPh sb="11" eb="13">
      <t>ブツリュウ</t>
    </rPh>
    <phoneticPr fontId="1"/>
  </si>
  <si>
    <t>知識発見、原因究明、計画策定、判断支援、活動代替、新規生成など(1-3)</t>
    <rPh sb="0" eb="4">
      <t>チシキハッケン</t>
    </rPh>
    <rPh sb="5" eb="9">
      <t>ゲンインキュウメイ</t>
    </rPh>
    <rPh sb="10" eb="14">
      <t>ケイカクサクテイ</t>
    </rPh>
    <rPh sb="15" eb="19">
      <t>ハンダンシエン</t>
    </rPh>
    <rPh sb="20" eb="22">
      <t>カツドウ</t>
    </rPh>
    <rPh sb="22" eb="24">
      <t>ダイカ</t>
    </rPh>
    <rPh sb="25" eb="29">
      <t>シンキセイセイ</t>
    </rPh>
    <phoneticPr fontId="1"/>
  </si>
  <si>
    <t>文系・理系を問わず、学生自身の専門分野においても数理・データサイエンス・AIが活用され、専門分野の知見と数理・データサイエンスを掛け合わせることにより、研究の推進やその分野の課題解決につながることを理解する。そのために、本学６学部の教員による研究紹介例（行動コーディング、中山間地域の社会調査、河川の環境調査、文書整理や触媒設計のデータサイエンスなど11種）と、企業におけるAI活用事例（災害予測）を題材にした動画コンテンツを作成し、あらゆる専門領域においてデータサイエンスが活用できることを意識させる。</t>
    <phoneticPr fontId="1"/>
  </si>
  <si>
    <t>情報科学概論</t>
    <rPh sb="0" eb="6">
      <t>ジョウホウカガクガイロン</t>
    </rPh>
    <phoneticPr fontId="1"/>
  </si>
  <si>
    <t>データ解析：予測、グルーピング、パターン発見、最適化、シミュレーション・データ同化など(8, 11-12)</t>
    <rPh sb="3" eb="5">
      <t>カイセキ</t>
    </rPh>
    <rPh sb="6" eb="8">
      <t>ヨソク</t>
    </rPh>
    <rPh sb="20" eb="22">
      <t>ハッケン</t>
    </rPh>
    <rPh sb="23" eb="26">
      <t>サイテキカ</t>
    </rPh>
    <rPh sb="39" eb="41">
      <t>ドウカ</t>
    </rPh>
    <phoneticPr fontId="1"/>
  </si>
  <si>
    <t>データの可視化：複合グラフ、2軸グラフ、多次元の可視化、関係性の可視化、地図上の可視化、挙動・軌跡の可視化、リアルタイム可視化など(4)</t>
    <rPh sb="4" eb="7">
      <t>カシカ</t>
    </rPh>
    <rPh sb="8" eb="10">
      <t>フクゴウ</t>
    </rPh>
    <rPh sb="15" eb="16">
      <t>ジク</t>
    </rPh>
    <rPh sb="20" eb="23">
      <t>タジゲン</t>
    </rPh>
    <rPh sb="24" eb="27">
      <t>カシカ</t>
    </rPh>
    <rPh sb="28" eb="31">
      <t>カンケイセイ</t>
    </rPh>
    <rPh sb="32" eb="35">
      <t>カシカ</t>
    </rPh>
    <rPh sb="36" eb="39">
      <t>チズジョウ</t>
    </rPh>
    <rPh sb="40" eb="43">
      <t>カシカ</t>
    </rPh>
    <rPh sb="44" eb="46">
      <t>キョドウ</t>
    </rPh>
    <rPh sb="47" eb="49">
      <t>キセキ</t>
    </rPh>
    <rPh sb="50" eb="53">
      <t>カシカ</t>
    </rPh>
    <rPh sb="60" eb="63">
      <t>カシカ</t>
    </rPh>
    <phoneticPr fontId="1"/>
  </si>
  <si>
    <t>非構造化データの処理：言語処理、画像/動画処理、音声/音楽処理など(7)</t>
    <rPh sb="0" eb="4">
      <t>ヒコウゾウカ</t>
    </rPh>
    <rPh sb="8" eb="10">
      <t>ショリ</t>
    </rPh>
    <rPh sb="11" eb="15">
      <t>ゲンゴショリ</t>
    </rPh>
    <rPh sb="16" eb="18">
      <t>ガゾウ</t>
    </rPh>
    <rPh sb="19" eb="23">
      <t>ドウガショリ</t>
    </rPh>
    <rPh sb="24" eb="26">
      <t>オンセイ</t>
    </rPh>
    <rPh sb="27" eb="31">
      <t>オンガクショリ</t>
    </rPh>
    <phoneticPr fontId="1"/>
  </si>
  <si>
    <t>特化型AIと汎用AI、今のAIに出来ること出来ないこと、AIとビッグデータ(5)</t>
    <rPh sb="0" eb="3">
      <t>トッカガタ</t>
    </rPh>
    <rPh sb="6" eb="7">
      <t>ハン</t>
    </rPh>
    <rPh sb="7" eb="8">
      <t>ヨウ</t>
    </rPh>
    <rPh sb="11" eb="12">
      <t>イマ</t>
    </rPh>
    <rPh sb="16" eb="18">
      <t>デキ</t>
    </rPh>
    <rPh sb="21" eb="23">
      <t>デキ</t>
    </rPh>
    <phoneticPr fontId="1"/>
  </si>
  <si>
    <t>認識技術、ルールベース、自動化技術(7)</t>
    <rPh sb="0" eb="4">
      <t>ニンシキギジュツ</t>
    </rPh>
    <rPh sb="12" eb="15">
      <t>ジドウカ</t>
    </rPh>
    <rPh sb="15" eb="17">
      <t>ギジュツ</t>
    </rPh>
    <phoneticPr fontId="1"/>
  </si>
  <si>
    <t>データサイエンスのサイクル(1)</t>
    <phoneticPr fontId="1"/>
  </si>
  <si>
    <t>流通、製造、金融、サービス、インフラ、公共、ヘルスケア等におけるデータ・AI活用事例紹介(7-12)</t>
    <rPh sb="0" eb="2">
      <t>リュウツウ</t>
    </rPh>
    <rPh sb="3" eb="5">
      <t>セイゾウ</t>
    </rPh>
    <rPh sb="6" eb="8">
      <t>キンユウ</t>
    </rPh>
    <rPh sb="19" eb="21">
      <t>コウキョウ</t>
    </rPh>
    <rPh sb="27" eb="28">
      <t>ナド</t>
    </rPh>
    <rPh sb="38" eb="42">
      <t>カツヨウジレイ</t>
    </rPh>
    <rPh sb="42" eb="44">
      <t>ショウカイ</t>
    </rPh>
    <phoneticPr fontId="1"/>
  </si>
  <si>
    <t>個人情報保護(5, 10)</t>
    <rPh sb="0" eb="6">
      <t>コジンジョウホウホゴ</t>
    </rPh>
    <phoneticPr fontId="1"/>
  </si>
  <si>
    <t>データ倫理：データのねつ造、改ざん、盗用、プライバシー保護(10)</t>
    <rPh sb="3" eb="5">
      <t>リンリ</t>
    </rPh>
    <rPh sb="12" eb="13">
      <t>ゾウ</t>
    </rPh>
    <rPh sb="14" eb="15">
      <t>カイ</t>
    </rPh>
    <rPh sb="18" eb="20">
      <t>トウヨウ</t>
    </rPh>
    <rPh sb="27" eb="29">
      <t>ホゴ</t>
    </rPh>
    <phoneticPr fontId="1"/>
  </si>
  <si>
    <t>AI社会原則：公平性、説明責任、透明性、人間中心の判断(10)</t>
    <rPh sb="2" eb="6">
      <t>シャカイゲンソク</t>
    </rPh>
    <rPh sb="7" eb="10">
      <t>コウヘイセイ</t>
    </rPh>
    <rPh sb="11" eb="15">
      <t>セツメイセキニン</t>
    </rPh>
    <rPh sb="16" eb="19">
      <t>トウメイセイ</t>
    </rPh>
    <rPh sb="20" eb="24">
      <t>ニンゲンチュウシン</t>
    </rPh>
    <rPh sb="25" eb="27">
      <t>ハンダン</t>
    </rPh>
    <phoneticPr fontId="1"/>
  </si>
  <si>
    <t>データバイアス、アルゴリズムバイアス(10)</t>
    <phoneticPr fontId="1"/>
  </si>
  <si>
    <t>AIサービスの責任論(10)</t>
    <rPh sb="7" eb="10">
      <t>セキニンロン</t>
    </rPh>
    <phoneticPr fontId="1"/>
  </si>
  <si>
    <t>データ・AI活用における負の事例紹介(1, 5, 10)</t>
    <rPh sb="6" eb="8">
      <t>カツヨウ</t>
    </rPh>
    <rPh sb="12" eb="13">
      <t>フ</t>
    </rPh>
    <rPh sb="14" eb="18">
      <t>ジレイショウカイ</t>
    </rPh>
    <phoneticPr fontId="1"/>
  </si>
  <si>
    <t>情報セキュリティ：機密性、完全性、可用性(10)</t>
    <rPh sb="0" eb="2">
      <t>ジョウホウ</t>
    </rPh>
    <rPh sb="9" eb="12">
      <t>キミツセイ</t>
    </rPh>
    <rPh sb="13" eb="16">
      <t>カンゼンセイ</t>
    </rPh>
    <rPh sb="17" eb="20">
      <t>カヨウセイ</t>
    </rPh>
    <phoneticPr fontId="1"/>
  </si>
  <si>
    <t>匿名加工情報、パスワード、悪意ある情報搾取(10)</t>
    <rPh sb="0" eb="4">
      <t>トクメイカコウ</t>
    </rPh>
    <rPh sb="4" eb="6">
      <t>ジョウホウ</t>
    </rPh>
    <rPh sb="13" eb="15">
      <t>アクイ</t>
    </rPh>
    <rPh sb="17" eb="19">
      <t>ジョウホウ</t>
    </rPh>
    <rPh sb="19" eb="21">
      <t>サクシュ</t>
    </rPh>
    <phoneticPr fontId="1"/>
  </si>
  <si>
    <t>情報漏洩等によるセキュリティ事故の事例紹介(10)</t>
    <rPh sb="0" eb="4">
      <t>ジョウホウロウエイ</t>
    </rPh>
    <rPh sb="4" eb="5">
      <t>ナド</t>
    </rPh>
    <rPh sb="14" eb="16">
      <t>ジコ</t>
    </rPh>
    <rPh sb="17" eb="21">
      <t>ジレイショウカイ</t>
    </rPh>
    <phoneticPr fontId="1"/>
  </si>
  <si>
    <t>打ち切りや脱落を含むデータ、層別の必要なデータ(3)</t>
    <rPh sb="0" eb="1">
      <t>ウ</t>
    </rPh>
    <rPh sb="2" eb="3">
      <t>キ</t>
    </rPh>
    <rPh sb="5" eb="7">
      <t>ダツラク</t>
    </rPh>
    <rPh sb="8" eb="9">
      <t>フク</t>
    </rPh>
    <rPh sb="14" eb="16">
      <t>ソウベツ</t>
    </rPh>
    <rPh sb="17" eb="19">
      <t>ヒツヨウ</t>
    </rPh>
    <phoneticPr fontId="1"/>
  </si>
  <si>
    <t>相関と因果(4)</t>
    <rPh sb="0" eb="2">
      <t>ソウカン</t>
    </rPh>
    <rPh sb="3" eb="5">
      <t>インガ</t>
    </rPh>
    <phoneticPr fontId="1"/>
  </si>
  <si>
    <t>母集団と標本抽出(6)</t>
    <rPh sb="0" eb="3">
      <t>ボシュウダン</t>
    </rPh>
    <rPh sb="4" eb="8">
      <t>ヒョウホンチュウシュツ</t>
    </rPh>
    <phoneticPr fontId="1"/>
  </si>
  <si>
    <t>クロス統計表、分割表、相関係数行列、散布図行列(11)</t>
    <rPh sb="3" eb="6">
      <t>トウケイヒョウ</t>
    </rPh>
    <rPh sb="7" eb="10">
      <t>ブンカツヒョウ</t>
    </rPh>
    <rPh sb="11" eb="17">
      <t>ソウカンケイスウギョウレツ</t>
    </rPh>
    <rPh sb="18" eb="21">
      <t>サンプズ</t>
    </rPh>
    <rPh sb="21" eb="23">
      <t>ギョウレツ</t>
    </rPh>
    <phoneticPr fontId="1"/>
  </si>
  <si>
    <t>統計情報の正しい理解(12-13)</t>
    <rPh sb="0" eb="4">
      <t>トウケイジョウホウ</t>
    </rPh>
    <rPh sb="5" eb="6">
      <t>タダ</t>
    </rPh>
    <rPh sb="8" eb="10">
      <t>リカイ</t>
    </rPh>
    <phoneticPr fontId="1"/>
  </si>
  <si>
    <t>データの比較(2)</t>
    <rPh sb="4" eb="6">
      <t>ヒカク</t>
    </rPh>
    <phoneticPr fontId="1"/>
  </si>
  <si>
    <t>不適切なグラフ表現(2)</t>
    <rPh sb="0" eb="3">
      <t>フテキセツ</t>
    </rPh>
    <rPh sb="7" eb="9">
      <t>ヒョウゲン</t>
    </rPh>
    <phoneticPr fontId="1"/>
  </si>
  <si>
    <t>優れた可視化事例の紹介(2)</t>
    <rPh sb="0" eb="1">
      <t>スグ</t>
    </rPh>
    <rPh sb="3" eb="5">
      <t>カシ</t>
    </rPh>
    <rPh sb="5" eb="6">
      <t>カ</t>
    </rPh>
    <rPh sb="6" eb="8">
      <t>ジレイ</t>
    </rPh>
    <rPh sb="9" eb="11">
      <t>ショウカイ</t>
    </rPh>
    <phoneticPr fontId="1"/>
  </si>
  <si>
    <t>データの集計(3)</t>
    <rPh sb="4" eb="6">
      <t>シュウケイ</t>
    </rPh>
    <phoneticPr fontId="1"/>
  </si>
  <si>
    <t>データの並び替え、ランキング(2)</t>
    <rPh sb="4" eb="5">
      <t>ナラ</t>
    </rPh>
    <rPh sb="6" eb="7">
      <t>カ</t>
    </rPh>
    <phoneticPr fontId="1"/>
  </si>
  <si>
    <t>データ解析ツール：スプレッドシート(2)</t>
    <rPh sb="3" eb="5">
      <t>カイセキ</t>
    </rPh>
    <phoneticPr fontId="1"/>
  </si>
  <si>
    <t>表形式のデータ(2)</t>
    <rPh sb="0" eb="3">
      <t>ヒョウケイシキ</t>
    </rPh>
    <phoneticPr fontId="1"/>
  </si>
  <si>
    <t>ビッグデータ, IoT, AI(5)</t>
    <phoneticPr fontId="1"/>
  </si>
  <si>
    <t>毎年度、全学部学生にPR用のチラシを配付するとともに、各学部の入学時オリエンテーションにおいて、数理・データサイエンス教育を周知する時間を確保することにより履修を促進している。また、数理・データサイエンス教育研究センターのWebサイトにおいて当該プログラムを掲載し、上記チラシにQRコードを掲載している。
また、新入生に対して配付している「特色ある科目一覧」に当該プログラムの科目を掲載した他、LMSを用いて実施している１年生向け必須科目において、当該プログラムへのリンクを貼り、PRしている。</t>
    <rPh sb="0" eb="3">
      <t>マイネンド</t>
    </rPh>
    <rPh sb="4" eb="6">
      <t>ゼンガク</t>
    </rPh>
    <rPh sb="6" eb="7">
      <t>ブ</t>
    </rPh>
    <rPh sb="7" eb="9">
      <t>ガクセイ</t>
    </rPh>
    <rPh sb="12" eb="13">
      <t>ヨウ</t>
    </rPh>
    <rPh sb="18" eb="20">
      <t>ハイフ</t>
    </rPh>
    <rPh sb="27" eb="28">
      <t>カク</t>
    </rPh>
    <rPh sb="28" eb="30">
      <t>ガクブ</t>
    </rPh>
    <rPh sb="31" eb="33">
      <t>ニュウガク</t>
    </rPh>
    <rPh sb="33" eb="34">
      <t>ジ</t>
    </rPh>
    <rPh sb="48" eb="50">
      <t>スウリ</t>
    </rPh>
    <rPh sb="59" eb="61">
      <t>キョウイク</t>
    </rPh>
    <rPh sb="62" eb="64">
      <t>シュウチ</t>
    </rPh>
    <rPh sb="66" eb="68">
      <t>ジカン</t>
    </rPh>
    <rPh sb="69" eb="71">
      <t>カクホ</t>
    </rPh>
    <rPh sb="78" eb="80">
      <t>リシュウ</t>
    </rPh>
    <rPh sb="81" eb="83">
      <t>ソクシン</t>
    </rPh>
    <rPh sb="91" eb="93">
      <t>スウリ</t>
    </rPh>
    <rPh sb="102" eb="104">
      <t>キョウイク</t>
    </rPh>
    <rPh sb="104" eb="106">
      <t>ケンキュウ</t>
    </rPh>
    <rPh sb="121" eb="123">
      <t>トウガイ</t>
    </rPh>
    <rPh sb="129" eb="131">
      <t>ケイサイ</t>
    </rPh>
    <rPh sb="133" eb="135">
      <t>ジョウキ</t>
    </rPh>
    <rPh sb="145" eb="147">
      <t>ケイサイ</t>
    </rPh>
    <rPh sb="156" eb="159">
      <t>シンニュウセイ</t>
    </rPh>
    <rPh sb="160" eb="161">
      <t>タイ</t>
    </rPh>
    <rPh sb="163" eb="165">
      <t>ハイフ</t>
    </rPh>
    <rPh sb="170" eb="172">
      <t>トクショク</t>
    </rPh>
    <rPh sb="174" eb="176">
      <t>カモク</t>
    </rPh>
    <rPh sb="176" eb="178">
      <t>イチラン</t>
    </rPh>
    <rPh sb="180" eb="182">
      <t>トウガイ</t>
    </rPh>
    <rPh sb="188" eb="190">
      <t>カモク</t>
    </rPh>
    <rPh sb="191" eb="193">
      <t>ケイサイ</t>
    </rPh>
    <rPh sb="195" eb="196">
      <t>ホカ</t>
    </rPh>
    <rPh sb="201" eb="202">
      <t>モチ</t>
    </rPh>
    <rPh sb="204" eb="206">
      <t>ジッシ</t>
    </rPh>
    <rPh sb="211" eb="213">
      <t>ネンセイ</t>
    </rPh>
    <rPh sb="213" eb="214">
      <t>ム</t>
    </rPh>
    <rPh sb="215" eb="217">
      <t>ヒッス</t>
    </rPh>
    <rPh sb="217" eb="219">
      <t>カモク</t>
    </rPh>
    <rPh sb="224" eb="226">
      <t>トウガイ</t>
    </rPh>
    <rPh sb="237" eb="238">
      <t>ハ</t>
    </rPh>
    <phoneticPr fontId="1"/>
  </si>
  <si>
    <t>対面授業に際しては、オンラインでのMoodle（学習管理システム）を活用した動画視聴によるブレンディッド・ラーニングを導入しており、事前・事後学習や課題の提出等を一元的に管理することにより、学生の学習時間を確保しその成果の蓄積を確認できる仕組みを構築している。
また、学生が演習や事後課題に取組む際に参考にできる補助教材をMoodleに掲載し、学習をサポートしている。
さらに、学修をサポートするための学生演習室を数理・データサイエンス教育研究センターに新設した。演習室には、参考となる書籍を備えた他、教員２名を常駐させ、授業内容をフォローするなど、サポートにあたっている。</t>
    <rPh sb="134" eb="136">
      <t>ガクセイ</t>
    </rPh>
    <rPh sb="137" eb="139">
      <t>エンシュウ</t>
    </rPh>
    <rPh sb="140" eb="142">
      <t>ジゴ</t>
    </rPh>
    <rPh sb="142" eb="144">
      <t>カダイ</t>
    </rPh>
    <rPh sb="145" eb="147">
      <t>トリクミ</t>
    </rPh>
    <rPh sb="148" eb="149">
      <t>サイ</t>
    </rPh>
    <rPh sb="150" eb="152">
      <t>サンコウ</t>
    </rPh>
    <rPh sb="156" eb="158">
      <t>ホジョ</t>
    </rPh>
    <rPh sb="158" eb="160">
      <t>キョウザイ</t>
    </rPh>
    <rPh sb="168" eb="170">
      <t>ケイサイ</t>
    </rPh>
    <rPh sb="172" eb="174">
      <t>ガクシュウ</t>
    </rPh>
    <rPh sb="207" eb="209">
      <t>スウリ</t>
    </rPh>
    <rPh sb="218" eb="222">
      <t>キョウイクケンキュウ</t>
    </rPh>
    <rPh sb="232" eb="234">
      <t>エンシュウ</t>
    </rPh>
    <rPh sb="234" eb="235">
      <t>シツ</t>
    </rPh>
    <rPh sb="238" eb="240">
      <t>サンコウ</t>
    </rPh>
    <rPh sb="243" eb="245">
      <t>ショセキ</t>
    </rPh>
    <rPh sb="246" eb="247">
      <t>ソナ</t>
    </rPh>
    <rPh sb="249" eb="250">
      <t>ホカ</t>
    </rPh>
    <rPh sb="251" eb="253">
      <t>キョウイン</t>
    </rPh>
    <rPh sb="254" eb="255">
      <t>メイ</t>
    </rPh>
    <rPh sb="256" eb="258">
      <t>ジョウチュウ</t>
    </rPh>
    <rPh sb="261" eb="263">
      <t>ジュギョウ</t>
    </rPh>
    <rPh sb="263" eb="265">
      <t>ナイヨウ</t>
    </rPh>
    <phoneticPr fontId="1"/>
  </si>
  <si>
    <t>プログラム受講前と受講後に集計したアンケート結果において、「AI、数学、データサイエンスに対してどのように変化したのか」という記述式の質問に対し、学生から「様々な領域でデータサイエンスが活用されている」、「数字が何を示しているのかを正しく読むには、１つのデータのみを見るのではなく、収集したデータの母数、対象の偏りなどにも目を向け、正しくデータを読むことの重要性を認識した」、「AIが必ずしも正しい判断ができるわけではなく、AIを利用する人間がどう判断しているのかが重要である」等の意見が得られ、リテラシーが向上したことがうかがえる。</t>
  </si>
  <si>
    <t>学生自身の学部と関連した内容に加え、分野を問わず幅広い関心を育むため、全６学部の教員が、数理・データサイエンスを活用した研究事例を紹介する動画を授業に取り入れた。また、日常生活における身近なAIとして、回転寿司店が客層に応じて寿司ネタの流し方を変え食品ロスの削減につなげていることや、インターネットショッピング等で物品が推奨される仕組みとしてアソシエーション分析が用いられている事例を紹介し、学習する意義を理解させ、学びへのモチベーションにつなげている。</t>
  </si>
  <si>
    <t>学習管理システムMoodle上に演習問題を上げ、本プログラムの学習内容に対する学生の理解度を確認している。令和２年度の演習問題全体の正答率は77.9%であり、比較的高い正答率を得ている。また、受講生に対して授業評価アンケートを実施した結果でも、「授業内容について説明できる」と回答している学生は約7割、「授業で学習したことを本授業以外においても応用することができる」と回答した学生が約8割にのぼった。一方、演習問題の中には正答率が3割台のものもあり、該当する演習問題については、つまずきの内容を分析した上で授業においてもフォローを加えるほか、必要に応じて今後取り扱う問題の難易度や教材等の見直しを行っている。</t>
    <rPh sb="217" eb="218">
      <t>ダイ</t>
    </rPh>
    <phoneticPr fontId="1"/>
  </si>
  <si>
    <t>経済・産業界等の視点として、経営協議会委員と本学のプログラムについて意見交換を行った。どの分野においてもデータサイエンスが必要であることを学生に認識してもらう必要があるとの意見を受け、実際に企業で用いられているAIを活用した土砂災害の予測の事例を講義に取り入れた。また、本学独自の取組として「しまね大交流会」を開催しており、200を超える地元企業と大学自治体等の団体が集まる場を活用し、産業界から意見を収集している。収集したニーズをもとに、作業の自動化に向けたRPAの積極的な活用を促進する企業を招いたセミナーの開催につなげた。本学の講義内容にもRPAの活用事例を取り入れることができるよう検討している。</t>
    <phoneticPr fontId="1"/>
  </si>
  <si>
    <t xml:space="preserve">本プログラムを通して、数理・データサイエンスリテラシーである「データを正しく読む力」や「データを正確に伝える力」を身に付けることが出来る。また、AIの活用の成功事例とその限界について知ることで、AIについての理解を深め、これからの社会における変化を柔軟に受け入れることが出来るようになる。 </t>
    <rPh sb="75" eb="77">
      <t>カツヨウ</t>
    </rPh>
    <phoneticPr fontId="1"/>
  </si>
  <si>
    <t>学習管理システムMoodleに上げた演習問題のうち、正解率が落ち込んだテーマ（決定木や深層学習などのこれまでなじみのなかった分野）に着目し、つまずきの内容を分析している。また、学生からの授業評価アンケートも踏まえ、演習問題の量や難易度を適宜見直している。この見直しの過程では、文系・理系・医学系の教員が参画している数理・データサイエンス教育研究センター運営委員会においても、各学部・学年の履修・習得状況と合わせて、定期的に確認しており、各学生の習得状況に対するフォローや授業内容の分かりやすさについて意見を収集し、授業内容の構成等へ反映している。</t>
    <rPh sb="39" eb="41">
      <t>ケッテイ</t>
    </rPh>
    <rPh sb="41" eb="42">
      <t>キ</t>
    </rPh>
    <rPh sb="43" eb="45">
      <t>シンソウ</t>
    </rPh>
    <rPh sb="45" eb="47">
      <t>ガクシュウ</t>
    </rPh>
    <rPh sb="62" eb="64">
      <t>ブンヤ</t>
    </rPh>
    <rPh sb="144" eb="146">
      <t>イガク</t>
    </rPh>
    <rPh sb="146" eb="147">
      <t>ケイ</t>
    </rPh>
    <phoneticPr fontId="1"/>
  </si>
  <si>
    <t>データの種類(3)，データの分布と代表値(3)，代表値の性質の違い(3)，データのばらつき(3)</t>
    <rPh sb="4" eb="6">
      <t>シュルイ</t>
    </rPh>
    <phoneticPr fontId="1"/>
  </si>
  <si>
    <t>データの表現(2)，データの図表表現(2)</t>
    <rPh sb="4" eb="6">
      <t>ヒョウゲン</t>
    </rPh>
    <phoneticPr fontId="1"/>
  </si>
  <si>
    <t>企画部企画広報課</t>
    <rPh sb="0" eb="2">
      <t>キカク</t>
    </rPh>
    <rPh sb="2" eb="3">
      <t>ブ</t>
    </rPh>
    <rPh sb="3" eb="5">
      <t>キカク</t>
    </rPh>
    <rPh sb="5" eb="8">
      <t>コウホウカ</t>
    </rPh>
    <phoneticPr fontId="1"/>
  </si>
  <si>
    <t>様式２－２</t>
    <rPh sb="0" eb="2">
      <t>ヨウシキ</t>
    </rPh>
    <phoneticPr fontId="1"/>
  </si>
  <si>
    <t>様式２－１</t>
    <rPh sb="0" eb="2">
      <t>ヨウシキ</t>
    </rPh>
    <phoneticPr fontId="1"/>
  </si>
  <si>
    <t>医学部医学科の学生は，「情報科学概論」（２単位）及び「情報科学演習」（１単位）を修得すること。
※R３年度以降は，科目名を「情報科学演習」から「数理・データサイエンス」へ変更している。なお，「情報科学演習」と「数理・データサイエンス」は同一内容である。</t>
    <rPh sb="0" eb="2">
      <t>イガク</t>
    </rPh>
    <rPh sb="2" eb="3">
      <t>ブ</t>
    </rPh>
    <rPh sb="3" eb="4">
      <t>イ</t>
    </rPh>
    <rPh sb="4" eb="6">
      <t>ガッカ</t>
    </rPh>
    <rPh sb="7" eb="9">
      <t>ガクセイ</t>
    </rPh>
    <rPh sb="12" eb="14">
      <t>ジョウホウ</t>
    </rPh>
    <rPh sb="14" eb="16">
      <t>カガク</t>
    </rPh>
    <rPh sb="16" eb="18">
      <t>ガイロン</t>
    </rPh>
    <rPh sb="21" eb="23">
      <t>タンイ</t>
    </rPh>
    <rPh sb="24" eb="25">
      <t>オヨ</t>
    </rPh>
    <rPh sb="27" eb="29">
      <t>ジョウホウ</t>
    </rPh>
    <rPh sb="29" eb="31">
      <t>カガク</t>
    </rPh>
    <rPh sb="31" eb="33">
      <t>エンシュウ</t>
    </rPh>
    <rPh sb="36" eb="38">
      <t>タンイ</t>
    </rPh>
    <rPh sb="40" eb="42">
      <t>シュウトク</t>
    </rPh>
    <rPh sb="57" eb="59">
      <t>カモク</t>
    </rPh>
    <rPh sb="59" eb="60">
      <t>メイ</t>
    </rPh>
    <rPh sb="62" eb="68">
      <t>ジョウホウカガクエンシュウ</t>
    </rPh>
    <rPh sb="72" eb="74">
      <t>スウリ</t>
    </rPh>
    <rPh sb="85" eb="87">
      <t>ヘンコウ</t>
    </rPh>
    <rPh sb="96" eb="102">
      <t>ジョウホウカガクエンシュウ</t>
    </rPh>
    <phoneticPr fontId="1"/>
  </si>
  <si>
    <t>数理・データサイエンスは課題解決のための手段のひとつであることを理解する。ネット販売において「おすすめ」を提示する仕組みには、アソシエーション分析によるレコメンデーションシステムが用いられていることや、回転寿司チェーンでICチップから取得したビッグデータを活用し、提供する寿司ネタをコントロールすることで売上を伸ばしている例などの身近な題材から、データが課題解決のために有効に使われていることを学ぶ。また、AIの特性を知ることで、何ができるのか、できないのかに加え、用いるデータの性質から何に活用してはいけないかを理解する。</t>
    <phoneticPr fontId="1"/>
  </si>
  <si>
    <t>AI技術の進歩によってもたらされる社会の変化の中で、データ・AIを利用する上での留意事項問題点について学ぶ。特に、AI社会の問題について、AIの技術的な問題なのか、それともデータバイアスやアルゴリズムバイアスなど人間側の問題なのかを正確に区別をすることで、我々人間の判断がAIにどのように影響を与えるかについて考える。また、AI社会を生きる上では、より多くのデータが収集されるようになり、匿名加工等がされたデータが活用しやすくなる改正個人情報保護法に触れるとともに、データを扱う上での留意点について理解する。間違ったデータ分析の例を通じて、データの改ざん・捏造等により、簡単にデータが歪められてしまう危険についても理解する。</t>
    <phoneticPr fontId="1"/>
  </si>
  <si>
    <t>様式４－２</t>
    <rPh sb="0" eb="2">
      <t>ヨウシキ</t>
    </rPh>
    <phoneticPr fontId="1"/>
  </si>
  <si>
    <t>AI技術の進歩によってもたらされる社会の変化の中で、データ・AIを利用する上での留意事項問題点について学ぶ。特に、AI社会の問題について、AIの技術的な問題なのか、それともデータバイアスやアルゴリズムバイアスなど人間側の問題なのかを正確に区別をすることで、我々人間の判断がAIにどのように影響を与えるかについて考える。また、AI社会を生きる上でおさえておくべき法律について理解するとともに、間違ったデータ分析の例を通じて、データの改ざん・捏造等により、簡単にデータが歪められてしまう危険についても理解する。</t>
    <rPh sb="180" eb="182">
      <t>ホウリツ</t>
    </rPh>
    <rPh sb="186" eb="188">
      <t>リカイ</t>
    </rPh>
    <phoneticPr fontId="1"/>
  </si>
  <si>
    <t>（R２年度）
数理・データサイエンス教育研究センター
センター長　　　　　 理事　　　　　　　　　　　　　   秋重　幸邦
センター専任教員　助教　                             玉谷　充　
センター専任教員  助教　                             瀬戸　和希
センター兼任教員  総合理工学部　教授　　　　 黒岩　大史　
センター兼任教員　総合理工学部　教授　　　　 小俣　光司
センター兼任教員　教育学部　准教授　　　　　　御園　真史
センター兼任教員　総合理工学部　准教授　　　山田　隆行
センター兼任教員  生物資源科学部　准教授　 小林　和広
【運営委員会委員】
センター長　　　　　　　　　　　　　　　　　　　　　　   秋重　幸邦
専任教員　　　　　　　　　　　　　　　　　　　　　　　  玉谷　充
専任教員　　　　　　　　　　　　　　　　　　　　　　　  瀬戸　和希　　　　　　
総合理工学部長　教授　　　　　　　　　　　　　　　 廣光　一郎
大学教育センター長／総合理工学部　教授　　  杉江　実郎
総合理工学部　教授　　　　　　　　　　　　　　　　　黒岩  大史
総合理工学部　教授　　　　　　　　　　　　　　　　　神谷　年洋
医学部　教授　　　　　　　　　　　　　　　　　　　　　 津本　周作
法文学部　教授　　　　　　　　　　　　　　　　　　　  浅田　健太朗
【教育WG（科目担当者会議委員）】
総合理工学部　教授　　　　　　　　　　　　　　　　　黒岩  大史
法文学部　講師　　　　　　　　　　　　　　　　　   　 猿渡　壮
教育学部　准教授　　　　　　　　　　　　　　　　 　　御園　真史
人間科学部　教授　　　　　　　　　　　　　　　　 　　髙橋　悟
医学部　准教授　　　　　　　　　　　　　　　　　　　　河村　敏彦
総合理工学部　教授　　　　　　　　　　　　　　　　　小俣　光司
生物資源科学部　准教授　　　　　　　　　　　　　　小林　和広</t>
    <rPh sb="3" eb="5">
      <t>ネンド</t>
    </rPh>
    <rPh sb="7" eb="9">
      <t>スウリ</t>
    </rPh>
    <rPh sb="18" eb="20">
      <t>キョウイク</t>
    </rPh>
    <rPh sb="20" eb="22">
      <t>ケンキュウ</t>
    </rPh>
    <rPh sb="31" eb="32">
      <t>チョウ</t>
    </rPh>
    <rPh sb="38" eb="40">
      <t>リジ</t>
    </rPh>
    <rPh sb="56" eb="58">
      <t>アキシゲ</t>
    </rPh>
    <rPh sb="59" eb="60">
      <t>ユキ</t>
    </rPh>
    <rPh sb="60" eb="61">
      <t>クニ</t>
    </rPh>
    <rPh sb="66" eb="70">
      <t>センニンキョウイン</t>
    </rPh>
    <rPh sb="305" eb="310">
      <t>ウンエイイインカイ</t>
    </rPh>
    <rPh sb="310" eb="312">
      <t>イイン</t>
    </rPh>
    <rPh sb="318" eb="319">
      <t>チョウ</t>
    </rPh>
    <rPh sb="350" eb="354">
      <t>センニンキョウイン</t>
    </rPh>
    <rPh sb="379" eb="381">
      <t>タマタニ</t>
    </rPh>
    <rPh sb="382" eb="383">
      <t>ミツル</t>
    </rPh>
    <rPh sb="384" eb="388">
      <t>センニンキョウイン</t>
    </rPh>
    <rPh sb="413" eb="415">
      <t>セト</t>
    </rPh>
    <rPh sb="416" eb="418">
      <t>カズキ</t>
    </rPh>
    <rPh sb="486" eb="492">
      <t>ソウゴウリコウガクブ</t>
    </rPh>
    <rPh sb="493" eb="495">
      <t>キョウジュ</t>
    </rPh>
    <rPh sb="512" eb="514">
      <t>クロイワ</t>
    </rPh>
    <rPh sb="516" eb="518">
      <t>タイシ</t>
    </rPh>
    <rPh sb="622" eb="624">
      <t>キョウイク</t>
    </rPh>
    <rPh sb="627" eb="629">
      <t>カモク</t>
    </rPh>
    <rPh sb="629" eb="634">
      <t>タントウシャカイギ</t>
    </rPh>
    <rPh sb="634" eb="636">
      <t>イイン</t>
    </rPh>
    <rPh sb="672" eb="674">
      <t>ホウブン</t>
    </rPh>
    <rPh sb="674" eb="676">
      <t>ガクブ</t>
    </rPh>
    <rPh sb="677" eb="679">
      <t>コウシ</t>
    </rPh>
    <rPh sb="701" eb="703">
      <t>サルワタリ</t>
    </rPh>
    <rPh sb="704" eb="705">
      <t>ソウ</t>
    </rPh>
    <rPh sb="706" eb="708">
      <t>キョウイク</t>
    </rPh>
    <rPh sb="708" eb="710">
      <t>ガクブ</t>
    </rPh>
    <rPh sb="711" eb="714">
      <t>ジュンキョウジュ</t>
    </rPh>
    <rPh sb="739" eb="741">
      <t>ニンゲン</t>
    </rPh>
    <rPh sb="741" eb="742">
      <t>カ</t>
    </rPh>
    <rPh sb="742" eb="744">
      <t>ガクブ</t>
    </rPh>
    <rPh sb="745" eb="747">
      <t>キョウジュ</t>
    </rPh>
    <rPh sb="766" eb="768">
      <t>タカハシ</t>
    </rPh>
    <rPh sb="769" eb="770">
      <t>サトル</t>
    </rPh>
    <rPh sb="771" eb="773">
      <t>イガク</t>
    </rPh>
    <rPh sb="773" eb="774">
      <t>ブ</t>
    </rPh>
    <rPh sb="775" eb="778">
      <t>ジュンキョウジュ</t>
    </rPh>
    <rPh sb="798" eb="800">
      <t>カワムラ</t>
    </rPh>
    <rPh sb="801" eb="803">
      <t>トシヒコ</t>
    </rPh>
    <rPh sb="804" eb="810">
      <t>ソウゴウリコウガクブ</t>
    </rPh>
    <rPh sb="811" eb="813">
      <t>キョウジュ</t>
    </rPh>
    <rPh sb="836" eb="840">
      <t>セイブツシゲン</t>
    </rPh>
    <rPh sb="840" eb="842">
      <t>カガク</t>
    </rPh>
    <rPh sb="842" eb="843">
      <t>ブ</t>
    </rPh>
    <rPh sb="844" eb="847">
      <t>ジュンキョウジュ</t>
    </rPh>
    <phoneticPr fontId="1"/>
  </si>
  <si>
    <t>希望する学生全員が受講可能となるよう、クラス数を順次増やしてきた（H30：４クラス→R１：６クラス→R２：８クラス予定であったが、R２年度は、新型コロナウイルス感染症の影響により、オンデマンド形式で授業を実施）
対面授業に際しては、センター兼任教員を含めた学部教員も参画している。
また、文系理系を問わず、すべての学生の受講を想定し、全学部の教員の研究例を題材に、数理・データサイエンスの実際の活用場面を知るための動画コンテンツを開発・活用している。
さらに、オンデマンドコンテンツを作成したことにより、学年・学部を問わず全学部学生が受講できる環境を整え、令和３年度からの全学必修化においても本コンテンツを活用することとしている。</t>
    <rPh sb="0" eb="2">
      <t>キボウ</t>
    </rPh>
    <rPh sb="4" eb="6">
      <t>ガクセイ</t>
    </rPh>
    <rPh sb="6" eb="8">
      <t>ゼンイン</t>
    </rPh>
    <rPh sb="9" eb="11">
      <t>ジュコウ</t>
    </rPh>
    <rPh sb="11" eb="13">
      <t>カノウ</t>
    </rPh>
    <rPh sb="22" eb="23">
      <t>スウ</t>
    </rPh>
    <rPh sb="24" eb="26">
      <t>ジュンジ</t>
    </rPh>
    <rPh sb="26" eb="27">
      <t>フ</t>
    </rPh>
    <rPh sb="57" eb="59">
      <t>ヨテイ</t>
    </rPh>
    <rPh sb="67" eb="69">
      <t>ネンド</t>
    </rPh>
    <rPh sb="71" eb="73">
      <t>シンガタ</t>
    </rPh>
    <rPh sb="80" eb="83">
      <t>カンセンショウ</t>
    </rPh>
    <rPh sb="84" eb="86">
      <t>エイキョウ</t>
    </rPh>
    <rPh sb="96" eb="98">
      <t>ケイシキ</t>
    </rPh>
    <rPh sb="99" eb="101">
      <t>ジュギョウ</t>
    </rPh>
    <rPh sb="102" eb="104">
      <t>ジッシ</t>
    </rPh>
    <rPh sb="111" eb="112">
      <t>サイ</t>
    </rPh>
    <rPh sb="120" eb="124">
      <t>ケンニンキョウイン</t>
    </rPh>
    <rPh sb="125" eb="126">
      <t>フク</t>
    </rPh>
    <rPh sb="128" eb="130">
      <t>ガクブ</t>
    </rPh>
    <rPh sb="130" eb="132">
      <t>キョウイン</t>
    </rPh>
    <rPh sb="133" eb="135">
      <t>サンカク</t>
    </rPh>
    <rPh sb="144" eb="146">
      <t>ブンケイ</t>
    </rPh>
    <rPh sb="146" eb="148">
      <t>リケイ</t>
    </rPh>
    <rPh sb="149" eb="150">
      <t>ト</t>
    </rPh>
    <rPh sb="157" eb="159">
      <t>ガクセイ</t>
    </rPh>
    <rPh sb="160" eb="162">
      <t>ジュコウ</t>
    </rPh>
    <rPh sb="163" eb="165">
      <t>ソウテイ</t>
    </rPh>
    <rPh sb="167" eb="168">
      <t>ゼン</t>
    </rPh>
    <rPh sb="252" eb="254">
      <t>ガクネン</t>
    </rPh>
    <rPh sb="255" eb="257">
      <t>ガクブ</t>
    </rPh>
    <rPh sb="258" eb="259">
      <t>ト</t>
    </rPh>
    <rPh sb="261" eb="262">
      <t>ゼン</t>
    </rPh>
    <rPh sb="262" eb="264">
      <t>ガクブ</t>
    </rPh>
    <rPh sb="278" eb="280">
      <t>レイワ</t>
    </rPh>
    <rPh sb="281" eb="283">
      <t>ネンド</t>
    </rPh>
    <rPh sb="286" eb="288">
      <t>ゼンガク</t>
    </rPh>
    <rPh sb="288" eb="291">
      <t>ヒッシュウカ</t>
    </rPh>
    <rPh sb="296" eb="297">
      <t>ホン</t>
    </rPh>
    <rPh sb="303" eb="305">
      <t>カツヨウ</t>
    </rPh>
    <phoneticPr fontId="1"/>
  </si>
  <si>
    <t>マウスの体重や投薬前後の結果を用いた解説などの実データを題材とし、データの読み取り方や、収集したデータの母数を確認することの重要性といった、データを正しく読み取る力を身に付ける。また、気象庁の発表する都道府県別の平均気温のデータなどを用いて、データを可視化・要約等で表現する際に必要となる注意点について理解する。特に、データ分析に力を入れており、Excelを用いて統計量の計算から検定まで一通りの統計的手法を学べるよう，実践的な演習を多く取り入れている。</t>
    <rPh sb="4" eb="6">
      <t>タイジュウ</t>
    </rPh>
    <rPh sb="7" eb="9">
      <t>トウヤク</t>
    </rPh>
    <rPh sb="9" eb="11">
      <t>ゼンゴ</t>
    </rPh>
    <rPh sb="92" eb="95">
      <t>キショウチョウ</t>
    </rPh>
    <rPh sb="96" eb="98">
      <t>ハッピョウ</t>
    </rPh>
    <rPh sb="100" eb="105">
      <t>トドウフケンベツ</t>
    </rPh>
    <rPh sb="106" eb="108">
      <t>ヘイキン</t>
    </rPh>
    <rPh sb="108" eb="110">
      <t>キオン</t>
    </rPh>
    <rPh sb="156" eb="157">
      <t>トク</t>
    </rPh>
    <rPh sb="162" eb="164">
      <t>ブンセキ</t>
    </rPh>
    <rPh sb="165" eb="166">
      <t>チカラ</t>
    </rPh>
    <rPh sb="167" eb="168">
      <t>イ</t>
    </rPh>
    <rPh sb="179" eb="180">
      <t>モチ</t>
    </rPh>
    <rPh sb="182" eb="185">
      <t>トウケイリョウ</t>
    </rPh>
    <rPh sb="186" eb="188">
      <t>ケイサン</t>
    </rPh>
    <rPh sb="190" eb="192">
      <t>ケンテイ</t>
    </rPh>
    <rPh sb="194" eb="196">
      <t>ヒトトオ</t>
    </rPh>
    <rPh sb="198" eb="201">
      <t>トウケイテキ</t>
    </rPh>
    <rPh sb="201" eb="203">
      <t>シュホウ</t>
    </rPh>
    <rPh sb="204" eb="205">
      <t>マナ</t>
    </rPh>
    <rPh sb="210" eb="212">
      <t>ジッセン</t>
    </rPh>
    <rPh sb="212" eb="213">
      <t>テキ</t>
    </rPh>
    <rPh sb="214" eb="216">
      <t>エンシュウ</t>
    </rPh>
    <rPh sb="217" eb="218">
      <t>オオ</t>
    </rPh>
    <rPh sb="219" eb="220">
      <t>ト</t>
    </rPh>
    <rPh sb="221" eb="222">
      <t>イ</t>
    </rPh>
    <phoneticPr fontId="1"/>
  </si>
  <si>
    <t>プログラム修了生のうち、情報分野の専門ではない生物資源科学部の学生が令和2年度にジェネラリスト検定（G検定）に合格した。今後、G検定や統計検定の受検を促し、実践力を備えた人材を輩出する予定である。また、リテラシーレベルの次のステップとして、「特別副専攻プログラム」を2種開設している。各学部の専門分野で必要となる数理・データサイエンスの理論的・実践的知識を修得するための科目を体系的に編成したプログラムであり、これまでに基礎プログラム96名、専門プログラム116名の履修者を得た。令和２年度に2名修了生を輩出し、自身の専門分野と数理・データサイエンスの知識を身に付け、社会で活躍できる人材を育てている。</t>
    <phoneticPr fontId="1"/>
  </si>
  <si>
    <t>令和２年度はオンデマンド形式で授業を実施したため、1 つの動画を10 分程度に収め、動画視聴後に小テストを挟むなど、学生の集中力を維持するよう工夫した。学生からは「興味本位で授業の履修を決めたが、とても大切なことをたくさん学べた。」といった声が見られ、このような学生の声をHPや全学生に配布するパンフレットに掲載することで受講状況の推奨に活用している。また、授業評価アンケートにおいても、総合的に判断し、授業に満足していると回答した学生は毎年約7割から8割にのぼっている。</t>
    <rPh sb="48" eb="49">
      <t>ショウ</t>
    </rPh>
    <rPh sb="58" eb="60">
      <t>ガクセイ</t>
    </rPh>
    <rPh sb="63" eb="64">
      <t>チカラ</t>
    </rPh>
    <rPh sb="140" eb="142">
      <t>ガクセイ</t>
    </rPh>
    <rPh sb="179" eb="181">
      <t>ジュギョウ</t>
    </rPh>
    <rPh sb="181" eb="183">
      <t>ヒョウカ</t>
    </rPh>
    <rPh sb="202" eb="204">
      <t>ジュギョウ</t>
    </rPh>
    <phoneticPr fontId="1"/>
  </si>
  <si>
    <t>履修者数は283名（開設時）から令和２年度は460名へと増加した。履修率向上に向けては、入学時にチラシを配布することに加え、各学部のオリエンテーションにおいて、本プログラムに関わる教員が説明し、履修を促進している。令和３年度からは本プログラムを構成する科目を１年次に全学必修化しており、履修率を大幅に向上させることが期待できる。また、全学部の教員からなる教育WG（科目担当者会議）を立ちあげ、各専門分野における観点も取り入れ、内容について継続的に見直しを行っている。</t>
    <rPh sb="10" eb="12">
      <t>カイセツ</t>
    </rPh>
    <rPh sb="12" eb="13">
      <t>ジ</t>
    </rPh>
    <rPh sb="93" eb="95">
      <t>セツメイ</t>
    </rPh>
    <rPh sb="182" eb="184">
      <t>カモク</t>
    </rPh>
    <phoneticPr fontId="1"/>
  </si>
  <si>
    <t>令和２年度の受講者数は460名で、プログラムを開始した平成30年度から約200名増加した。授業では、各学部の教員がデータサイエンスを活用した研究事例を紹介する動画を交え、全学的に履修を促す体制を構築した他、文系学部の教授会において説明を行い、特に文系学生の履修促進を図った。また、学習管理システムMoodleを通して受講者の学習状況を一元的に管理し、演習の進捗状況や課題の提出状況の確認を行い、学生のつまずきや質問等へのきめ細やかなフォローを行った。数理・データサイエンス教育研究センター運営委員会でも定期的に履修状況を確認し、授業の内容や難易度の改善につなげ、プログラム修得状況は８割前後と高い水準を維持している。</t>
    <rPh sb="35" eb="36">
      <t>ヤク</t>
    </rPh>
    <rPh sb="39" eb="40">
      <t>メイ</t>
    </rPh>
    <rPh sb="40" eb="41">
      <t>ゾウ</t>
    </rPh>
    <rPh sb="41" eb="42">
      <t>カ</t>
    </rPh>
    <phoneticPr fontId="1"/>
  </si>
  <si>
    <t xml:space="preserve">各年度の履修者数の目標を以下のとおりとする。
令和３年度以降毎年　1,157名（100％）
令和３年度より、数理・データサイエンス教育の必修化を決定した。これにより、リテラシーレベルのプログラムを全学生に修得させることとしている。
</t>
    <rPh sb="0" eb="3">
      <t>カクネンド</t>
    </rPh>
    <rPh sb="4" eb="6">
      <t>リシュウ</t>
    </rPh>
    <rPh sb="6" eb="7">
      <t>シャ</t>
    </rPh>
    <rPh sb="7" eb="8">
      <t>スウ</t>
    </rPh>
    <rPh sb="9" eb="11">
      <t>モクヒョウ</t>
    </rPh>
    <rPh sb="12" eb="14">
      <t>イカ</t>
    </rPh>
    <rPh sb="23" eb="25">
      <t>レイワ</t>
    </rPh>
    <rPh sb="26" eb="28">
      <t>ネンド</t>
    </rPh>
    <rPh sb="28" eb="30">
      <t>イコウ</t>
    </rPh>
    <rPh sb="30" eb="32">
      <t>マイトシ</t>
    </rPh>
    <rPh sb="38" eb="39">
      <t>メイ</t>
    </rPh>
    <rPh sb="47" eb="49">
      <t>レイワ</t>
    </rPh>
    <rPh sb="50" eb="52">
      <t>ネンド</t>
    </rPh>
    <rPh sb="55" eb="57">
      <t>スウリ</t>
    </rPh>
    <rPh sb="66" eb="68">
      <t>キョウイク</t>
    </rPh>
    <rPh sb="69" eb="72">
      <t>ヒッシュウカ</t>
    </rPh>
    <rPh sb="73" eb="75">
      <t>ケッテイ</t>
    </rPh>
    <rPh sb="99" eb="101">
      <t>ゼンガク</t>
    </rPh>
    <rPh sb="101" eb="102">
      <t>セイ</t>
    </rPh>
    <rPh sb="103" eb="105">
      <t>シュウトク</t>
    </rPh>
    <phoneticPr fontId="1"/>
  </si>
  <si>
    <t>数理・データサイエンス教育研究センター規程、全学共通教育管理委員会規程</t>
    <rPh sb="0" eb="2">
      <t>スウリ</t>
    </rPh>
    <rPh sb="11" eb="13">
      <t>キョウイク</t>
    </rPh>
    <rPh sb="13" eb="15">
      <t>ケンキュウ</t>
    </rPh>
    <rPh sb="19" eb="21">
      <t>キテイ</t>
    </rPh>
    <rPh sb="22" eb="24">
      <t>ゼンガク</t>
    </rPh>
    <rPh sb="24" eb="26">
      <t>キョウツウ</t>
    </rPh>
    <rPh sb="26" eb="28">
      <t>キョウイク</t>
    </rPh>
    <rPh sb="28" eb="30">
      <t>カンリ</t>
    </rPh>
    <rPh sb="30" eb="33">
      <t>イインカイ</t>
    </rPh>
    <rPh sb="33" eb="35">
      <t>キテイ</t>
    </rPh>
    <phoneticPr fontId="1"/>
  </si>
  <si>
    <t>秋重　幸邦</t>
    <phoneticPr fontId="1"/>
  </si>
  <si>
    <t>秋重　幸邦</t>
    <phoneticPr fontId="1"/>
  </si>
  <si>
    <t>センター長（理事）</t>
    <rPh sb="4" eb="5">
      <t>オサ</t>
    </rPh>
    <rPh sb="6" eb="8">
      <t>リジ</t>
    </rPh>
    <phoneticPr fontId="1"/>
  </si>
  <si>
    <t>データ・AIによって、社会および日常生活が大きく変化していることを理解する。データ・AIが新たなサービスやビジネス形態として実生活の中でも活用され、社会に変化をもたらしていることを学ぶ。また、その技術を支えるための手法（深層学習など）や人工知能について、具体例を通して理解させAI技術のメリット・デメリットを説明出来るようにする。それらのステップでAI技術について学ぶことで、最終的にはAI技術との向き合い方、社会全体がどのように変化すべきかについて自説を持てることを到達点とする。</t>
    <rPh sb="118" eb="120">
      <t>ジンコウ</t>
    </rPh>
    <rPh sb="120" eb="122">
      <t>チノウ</t>
    </rPh>
    <phoneticPr fontId="1"/>
  </si>
  <si>
    <t>文系・理系を問わず、学生自身の専門分野においても数理・データサイエンス・AIが活用され、専門分野の知見と数理・データサイエンスを掛け合わせることにより、研究の推進やその分野の課題解決につながることを理解する。そのために、国内のAI研究者を講師に招き、人工知能による芸術・文学作品の研究や、知識をどう表現するかという研究分野：オントロジーなどあらゆる専門領域においてデータサイエンスが活用できることを意識させる。</t>
    <rPh sb="119" eb="121">
      <t>コウシ</t>
    </rPh>
    <rPh sb="122" eb="123">
      <t>マネ</t>
    </rPh>
    <phoneticPr fontId="1"/>
  </si>
  <si>
    <t>数理・データサイエンスは課題解決のための手段のひとつであることを理解する。医師として社会に出ていく上でおさえておくべき放射線画像システムの例や、感染症シミュレーションなど、自身の専門領域における身近な題材から、データが課題解決のために有効に使われていることを学ぶ。また、AIの特性を知ることで、何ができるのか、できないのかに加え、用いるデータの性質から何に活用してはいけないかを理解する。</t>
    <rPh sb="37" eb="39">
      <t>イシ</t>
    </rPh>
    <rPh sb="42" eb="44">
      <t>シャカイ</t>
    </rPh>
    <rPh sb="45" eb="46">
      <t>デ</t>
    </rPh>
    <rPh sb="49" eb="50">
      <t>ウエ</t>
    </rPh>
    <rPh sb="59" eb="62">
      <t>ホウシャセン</t>
    </rPh>
    <rPh sb="62" eb="64">
      <t>ガゾウ</t>
    </rPh>
    <rPh sb="72" eb="75">
      <t>カンセンショウ</t>
    </rPh>
    <rPh sb="86" eb="88">
      <t>ジシン</t>
    </rPh>
    <rPh sb="89" eb="91">
      <t>センモン</t>
    </rPh>
    <rPh sb="91" eb="93">
      <t>リョウイキ</t>
    </rPh>
    <phoneticPr fontId="1"/>
  </si>
  <si>
    <t>有</t>
  </si>
  <si>
    <t>https://www.ds.shimane-u.ac.jp/reports/tennkenn.html</t>
    <phoneticPr fontId="1"/>
  </si>
  <si>
    <t>国立大学法人島根大学</t>
    <rPh sb="0" eb="2">
      <t>コクリツ</t>
    </rPh>
    <rPh sb="2" eb="4">
      <t>ダイガク</t>
    </rPh>
    <rPh sb="4" eb="6">
      <t>ホウジン</t>
    </rPh>
    <rPh sb="6" eb="8">
      <t>シマネ</t>
    </rPh>
    <rPh sb="8" eb="10">
      <t>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</si>
</sst>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0" fillId="0" borderId="0" xfId="0" applyFont="1" applyFill="1">
      <alignment vertical="center"/>
    </xf>
    <xf numFmtId="0" fontId="2"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2" fillId="0" borderId="1" xfId="0" applyFont="1" applyBorder="1" applyAlignment="1">
      <alignment vertical="center" wrapText="1"/>
    </xf>
    <xf numFmtId="0" fontId="16" fillId="0" borderId="21" xfId="0" applyFont="1" applyBorder="1" applyAlignment="1">
      <alignment vertical="top" shrinkToFit="1"/>
    </xf>
    <xf numFmtId="0" fontId="16" fillId="0" borderId="19" xfId="0" applyFont="1" applyBorder="1" applyAlignment="1">
      <alignment vertical="top" shrinkToFit="1"/>
    </xf>
    <xf numFmtId="0" fontId="2" fillId="0" borderId="2" xfId="0" applyFont="1" applyBorder="1" applyAlignment="1">
      <alignment vertical="center" shrinkToFit="1"/>
    </xf>
    <xf numFmtId="0" fontId="16" fillId="0" borderId="0" xfId="0" applyFont="1" applyBorder="1" applyAlignment="1">
      <alignment vertical="center" shrinkToFit="1"/>
    </xf>
    <xf numFmtId="0" fontId="16"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7"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8"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49" fontId="14" fillId="0" borderId="2" xfId="2" applyNumberFormat="1" applyFont="1" applyBorder="1" applyAlignment="1">
      <alignment horizontal="center" vertical="center" shrinkToFit="1"/>
    </xf>
    <xf numFmtId="49" fontId="13" fillId="0" borderId="3" xfId="0" applyNumberFormat="1" applyFont="1" applyBorder="1" applyAlignment="1">
      <alignment horizontal="center" vertical="center" shrinkToFit="1"/>
    </xf>
    <xf numFmtId="49" fontId="13" fillId="0" borderId="4" xfId="0" applyNumberFormat="1" applyFont="1" applyBorder="1" applyAlignment="1">
      <alignment horizontal="center"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2" xfId="0" applyNumberFormat="1" applyFont="1" applyFill="1" applyBorder="1" applyAlignment="1">
      <alignment horizontal="center" vertical="center" shrinkToFit="1"/>
    </xf>
    <xf numFmtId="176" fontId="13" fillId="0" borderId="3" xfId="0" applyNumberFormat="1" applyFont="1" applyFill="1" applyBorder="1" applyAlignment="1">
      <alignment horizontal="center" vertical="center" shrinkToFit="1"/>
    </xf>
    <xf numFmtId="176" fontId="13" fillId="0" borderId="4"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3" fontId="13" fillId="0" borderId="2"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3" fillId="0" borderId="2" xfId="0" applyFont="1" applyBorder="1" applyAlignment="1">
      <alignment horizontal="center" vertical="center"/>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20" xfId="0" applyFont="1" applyBorder="1" applyAlignment="1">
      <alignment horizontal="left" vertical="center" shrinkToFit="1"/>
    </xf>
    <xf numFmtId="0" fontId="3" fillId="0" borderId="19" xfId="0" applyFont="1" applyBorder="1" applyAlignment="1">
      <alignment horizontal="lef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12" fillId="0" borderId="2" xfId="0" applyFont="1" applyBorder="1" applyAlignment="1">
      <alignment horizontal="left" vertical="center" shrinkToFit="1"/>
    </xf>
    <xf numFmtId="0" fontId="13" fillId="0" borderId="3" xfId="0" applyFont="1" applyBorder="1" applyAlignment="1">
      <alignment horizontal="left" vertical="center" shrinkToFit="1"/>
    </xf>
    <xf numFmtId="0" fontId="13" fillId="0" borderId="4" xfId="0" applyFont="1" applyBorder="1" applyAlignment="1">
      <alignment horizontal="left" vertical="center" shrinkToFi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3" fillId="0" borderId="16" xfId="0" applyFont="1" applyBorder="1" applyAlignment="1">
      <alignment vertical="center" wrapText="1"/>
    </xf>
    <xf numFmtId="0" fontId="3" fillId="0" borderId="42" xfId="0" applyFont="1" applyBorder="1" applyAlignment="1">
      <alignment vertical="center" wrapText="1"/>
    </xf>
    <xf numFmtId="0" fontId="12"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Border="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3" fillId="0" borderId="2" xfId="0" applyFont="1" applyBorder="1" applyAlignment="1">
      <alignment horizontal="left" vertical="center" shrinkToFit="1"/>
    </xf>
    <xf numFmtId="0" fontId="12" fillId="0" borderId="16" xfId="0" applyFont="1" applyBorder="1" applyAlignment="1">
      <alignment horizontal="left" vertical="center" shrinkToFit="1"/>
    </xf>
    <xf numFmtId="0" fontId="12" fillId="0" borderId="42" xfId="0" applyFont="1" applyBorder="1" applyAlignment="1">
      <alignment horizontal="left" vertical="center" shrinkToFit="1"/>
    </xf>
    <xf numFmtId="0" fontId="12" fillId="0" borderId="13" xfId="0" applyFont="1" applyBorder="1" applyAlignment="1">
      <alignment horizontal="left" vertical="center" shrinkToFit="1"/>
    </xf>
    <xf numFmtId="0" fontId="13" fillId="0" borderId="7" xfId="0" applyFont="1" applyBorder="1" applyAlignment="1">
      <alignment horizontal="left" vertical="top" wrapText="1" shrinkToFit="1"/>
    </xf>
    <xf numFmtId="0" fontId="12"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5" fillId="0" borderId="2" xfId="2" applyFont="1" applyBorder="1" applyAlignment="1">
      <alignment vertical="center" shrinkToFit="1"/>
    </xf>
    <xf numFmtId="0" fontId="13" fillId="0" borderId="2" xfId="0" applyFont="1" applyBorder="1" applyAlignment="1">
      <alignment vertical="center" wrapText="1" shrinkToFit="1"/>
    </xf>
    <xf numFmtId="0" fontId="13" fillId="0" borderId="1" xfId="0" applyFont="1" applyBorder="1" applyAlignment="1">
      <alignment vertical="center" shrinkToFit="1"/>
    </xf>
    <xf numFmtId="0" fontId="13" fillId="0" borderId="2"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3" fillId="0" borderId="16" xfId="0" applyFont="1" applyBorder="1" applyAlignment="1">
      <alignment horizontal="left" vertical="center" shrinkToFit="1"/>
    </xf>
    <xf numFmtId="0" fontId="13" fillId="0" borderId="42" xfId="0" applyFont="1" applyBorder="1" applyAlignment="1">
      <alignment horizontal="left" vertical="center" shrinkToFit="1"/>
    </xf>
    <xf numFmtId="0" fontId="13" fillId="0" borderId="1" xfId="0" applyFont="1" applyBorder="1" applyAlignment="1">
      <alignment vertical="center" wrapText="1" shrinkToFit="1"/>
    </xf>
    <xf numFmtId="0" fontId="13" fillId="0" borderId="16" xfId="0" applyFont="1" applyBorder="1" applyAlignment="1">
      <alignment horizontal="left" vertical="center" wrapText="1" shrinkToFit="1"/>
    </xf>
    <xf numFmtId="0" fontId="13" fillId="0" borderId="42" xfId="0" applyFont="1" applyBorder="1" applyAlignment="1">
      <alignment horizontal="left" vertical="center" wrapText="1" shrinkToFit="1"/>
    </xf>
    <xf numFmtId="0" fontId="13" fillId="0" borderId="13" xfId="0" applyFont="1" applyBorder="1" applyAlignment="1">
      <alignment horizontal="lef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13" fillId="0" borderId="5" xfId="0" applyFont="1" applyBorder="1" applyAlignment="1">
      <alignment vertical="center" wrapText="1" shrinkToFit="1"/>
    </xf>
    <xf numFmtId="0" fontId="13" fillId="0" borderId="0" xfId="0" applyFont="1" applyBorder="1" applyAlignment="1">
      <alignment vertical="center" wrapText="1" shrinkToFit="1"/>
    </xf>
    <xf numFmtId="0" fontId="13" fillId="0" borderId="10" xfId="0" applyFont="1" applyBorder="1" applyAlignment="1">
      <alignment vertical="center" wrapText="1" shrinkToFit="1"/>
    </xf>
    <xf numFmtId="0" fontId="13" fillId="0" borderId="7" xfId="0" applyFont="1" applyBorder="1" applyAlignment="1">
      <alignment vertical="center" wrapText="1" shrinkToFit="1"/>
    </xf>
    <xf numFmtId="0" fontId="13" fillId="0" borderId="8" xfId="0" applyFont="1" applyBorder="1" applyAlignment="1">
      <alignment vertical="center" wrapText="1" shrinkToFit="1"/>
    </xf>
    <xf numFmtId="0" fontId="13" fillId="0" borderId="9" xfId="0" applyFont="1" applyBorder="1" applyAlignment="1">
      <alignment vertical="center" wrapText="1" shrinkToFit="1"/>
    </xf>
    <xf numFmtId="0" fontId="13" fillId="0" borderId="2" xfId="0" applyFont="1" applyBorder="1" applyAlignment="1">
      <alignment vertical="center"/>
    </xf>
    <xf numFmtId="0" fontId="13" fillId="0" borderId="3" xfId="0" applyFont="1" applyBorder="1" applyAlignment="1">
      <alignment vertical="center"/>
    </xf>
    <xf numFmtId="0" fontId="13" fillId="0" borderId="4" xfId="0" applyFont="1" applyBorder="1" applyAlignment="1">
      <alignment vertical="center"/>
    </xf>
    <xf numFmtId="0" fontId="13" fillId="0" borderId="13" xfId="0" applyFont="1" applyBorder="1" applyAlignment="1">
      <alignment horizontal="left" vertical="center" shrinkToFi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9" xfId="0" applyFont="1" applyBorder="1" applyAlignment="1">
      <alignment vertical="center" wrapText="1"/>
    </xf>
    <xf numFmtId="0" fontId="13" fillId="0" borderId="5" xfId="0" applyFont="1" applyBorder="1" applyAlignment="1">
      <alignment vertical="center" wrapText="1"/>
    </xf>
    <xf numFmtId="0" fontId="13" fillId="0" borderId="0" xfId="0" applyFont="1" applyBorder="1" applyAlignment="1">
      <alignment vertical="center" wrapText="1"/>
    </xf>
    <xf numFmtId="0" fontId="13" fillId="0" borderId="10" xfId="0" applyFont="1" applyBorder="1" applyAlignment="1">
      <alignment vertical="center" wrapTex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15" fillId="0" borderId="2" xfId="2" applyFont="1" applyBorder="1" applyAlignment="1">
      <alignment horizontal="left" vertical="center" shrinkToFit="1"/>
    </xf>
    <xf numFmtId="0" fontId="16" fillId="0" borderId="3" xfId="0" applyFont="1" applyBorder="1" applyAlignment="1">
      <alignment horizontal="left" vertical="center" shrinkToFit="1"/>
    </xf>
    <xf numFmtId="0" fontId="16"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topLeftCell="A16" zoomScaleNormal="100" workbookViewId="0">
      <selection activeCell="R26" sqref="R26"/>
    </sheetView>
  </sheetViews>
  <sheetFormatPr defaultColWidth="9" defaultRowHeight="18.75" customHeight="1" x14ac:dyDescent="0.15"/>
  <cols>
    <col min="1" max="1" width="2.5" style="24" customWidth="1"/>
    <col min="2" max="2" width="12.5" style="24" customWidth="1"/>
    <col min="3" max="8" width="6.25" style="24" customWidth="1"/>
    <col min="9" max="9" width="2.5" style="24" customWidth="1"/>
    <col min="10" max="10" width="10" style="24" customWidth="1"/>
    <col min="11" max="11" width="2.5" style="24" customWidth="1"/>
    <col min="12" max="12" width="7.5" style="24" customWidth="1"/>
    <col min="13" max="13" width="2.5" style="24" customWidth="1"/>
    <col min="14" max="14" width="7.5" style="24" customWidth="1"/>
    <col min="15" max="16384" width="9" style="24"/>
  </cols>
  <sheetData>
    <row r="1" spans="1:14" ht="22.5" customHeight="1" x14ac:dyDescent="0.15">
      <c r="M1" s="144" t="s">
        <v>28</v>
      </c>
      <c r="N1" s="144"/>
    </row>
    <row r="2" spans="1:14" ht="22.5" customHeight="1" x14ac:dyDescent="0.15">
      <c r="A2" s="151" t="s">
        <v>130</v>
      </c>
      <c r="B2" s="151"/>
      <c r="C2" s="151"/>
      <c r="D2" s="151"/>
      <c r="E2" s="151"/>
      <c r="F2" s="151"/>
      <c r="G2" s="151"/>
      <c r="H2" s="151"/>
      <c r="I2" s="151"/>
      <c r="J2" s="151"/>
      <c r="K2" s="151"/>
      <c r="L2" s="151"/>
      <c r="M2" s="151"/>
      <c r="N2" s="151"/>
    </row>
    <row r="3" spans="1:14" ht="22.5" customHeight="1" x14ac:dyDescent="0.15"/>
    <row r="4" spans="1:14" ht="22.5" customHeight="1" x14ac:dyDescent="0.15">
      <c r="A4" s="24" t="s">
        <v>7</v>
      </c>
      <c r="B4" s="27" t="s">
        <v>19</v>
      </c>
      <c r="C4" s="133" t="s">
        <v>133</v>
      </c>
      <c r="D4" s="134"/>
      <c r="E4" s="134"/>
      <c r="F4" s="134"/>
      <c r="G4" s="134"/>
      <c r="H4" s="134"/>
      <c r="I4" s="134"/>
      <c r="J4" s="134"/>
      <c r="K4" s="134"/>
      <c r="L4" s="134"/>
      <c r="M4" s="134"/>
      <c r="N4" s="135"/>
    </row>
    <row r="5" spans="1:14" ht="7.5" customHeight="1" x14ac:dyDescent="0.15">
      <c r="B5" s="27"/>
      <c r="C5" s="27"/>
      <c r="D5" s="27"/>
      <c r="E5" s="28"/>
      <c r="F5" s="25"/>
      <c r="G5" s="25"/>
      <c r="H5" s="25"/>
      <c r="I5" s="25"/>
      <c r="J5" s="25"/>
      <c r="K5" s="25"/>
      <c r="L5" s="25"/>
      <c r="M5" s="25"/>
      <c r="N5" s="25"/>
    </row>
    <row r="6" spans="1:14" ht="22.5" customHeight="1" x14ac:dyDescent="0.15">
      <c r="A6" s="24" t="s">
        <v>54</v>
      </c>
      <c r="B6" s="27" t="s">
        <v>55</v>
      </c>
      <c r="C6" s="27"/>
      <c r="D6" s="133" t="s">
        <v>285</v>
      </c>
      <c r="E6" s="134"/>
      <c r="F6" s="134"/>
      <c r="G6" s="134"/>
      <c r="H6" s="134"/>
      <c r="I6" s="134"/>
      <c r="J6" s="134"/>
      <c r="K6" s="134"/>
      <c r="L6" s="134"/>
      <c r="M6" s="134"/>
      <c r="N6" s="135"/>
    </row>
    <row r="7" spans="1:14" ht="7.5" customHeight="1" x14ac:dyDescent="0.15">
      <c r="B7" s="27"/>
      <c r="C7" s="27"/>
      <c r="D7" s="27"/>
      <c r="E7" s="28"/>
      <c r="F7" s="25"/>
      <c r="G7" s="25"/>
      <c r="H7" s="25"/>
      <c r="I7" s="25"/>
      <c r="J7" s="25"/>
      <c r="K7" s="25"/>
      <c r="L7" s="25"/>
      <c r="M7" s="25"/>
      <c r="N7" s="25"/>
    </row>
    <row r="8" spans="1:14" ht="22.5" customHeight="1" x14ac:dyDescent="0.15">
      <c r="A8" s="29" t="s">
        <v>13</v>
      </c>
      <c r="B8" s="30" t="s">
        <v>56</v>
      </c>
      <c r="C8" s="133" t="s">
        <v>134</v>
      </c>
      <c r="D8" s="134"/>
      <c r="E8" s="135"/>
      <c r="F8" s="25"/>
      <c r="G8" s="150"/>
      <c r="H8" s="150"/>
      <c r="I8" s="150"/>
      <c r="J8" s="25"/>
      <c r="K8" s="25"/>
      <c r="L8" s="25"/>
      <c r="M8" s="25"/>
      <c r="N8" s="25"/>
    </row>
    <row r="9" spans="1:14" ht="7.5" customHeight="1" x14ac:dyDescent="0.15">
      <c r="B9" s="27"/>
      <c r="C9" s="27"/>
      <c r="D9" s="27"/>
      <c r="E9" s="28"/>
      <c r="F9" s="25"/>
      <c r="G9" s="25"/>
      <c r="H9" s="25"/>
      <c r="I9" s="25"/>
      <c r="J9" s="25"/>
      <c r="K9" s="25"/>
      <c r="L9" s="25"/>
      <c r="M9" s="25"/>
      <c r="N9" s="25"/>
    </row>
    <row r="10" spans="1:14" ht="22.5" customHeight="1" x14ac:dyDescent="0.15">
      <c r="A10" s="24" t="s">
        <v>16</v>
      </c>
      <c r="B10" s="27" t="s">
        <v>51</v>
      </c>
      <c r="C10" s="133" t="s">
        <v>200</v>
      </c>
      <c r="D10" s="134"/>
      <c r="E10" s="134"/>
      <c r="F10" s="134"/>
      <c r="G10" s="134"/>
      <c r="H10" s="134"/>
      <c r="I10" s="134"/>
      <c r="J10" s="134"/>
      <c r="K10" s="134"/>
      <c r="L10" s="134"/>
      <c r="M10" s="134"/>
      <c r="N10" s="135"/>
    </row>
    <row r="11" spans="1:14" ht="7.5" customHeight="1" x14ac:dyDescent="0.15">
      <c r="B11" s="27"/>
      <c r="C11" s="27"/>
      <c r="D11" s="27"/>
      <c r="E11" s="28"/>
      <c r="F11" s="25"/>
      <c r="G11" s="25"/>
      <c r="H11" s="25"/>
      <c r="I11" s="25"/>
      <c r="J11" s="25"/>
      <c r="K11" s="25"/>
      <c r="L11" s="25"/>
      <c r="M11" s="25"/>
      <c r="N11" s="25"/>
    </row>
    <row r="12" spans="1:14" ht="22.5" customHeight="1" x14ac:dyDescent="0.15">
      <c r="A12" s="24" t="s">
        <v>14</v>
      </c>
      <c r="B12" s="27" t="s">
        <v>126</v>
      </c>
      <c r="C12" s="27"/>
      <c r="D12" s="27"/>
      <c r="E12" s="116"/>
      <c r="F12" s="117"/>
      <c r="G12" s="133" t="s">
        <v>139</v>
      </c>
      <c r="H12" s="134"/>
      <c r="I12" s="134"/>
      <c r="J12" s="134"/>
      <c r="K12" s="134"/>
      <c r="L12" s="134"/>
      <c r="M12" s="134"/>
      <c r="N12" s="135"/>
    </row>
    <row r="13" spans="1:14" ht="7.5" customHeight="1" x14ac:dyDescent="0.15">
      <c r="B13" s="28"/>
      <c r="C13" s="28"/>
      <c r="D13" s="28"/>
      <c r="E13" s="28"/>
      <c r="F13" s="25"/>
      <c r="G13" s="25"/>
      <c r="H13" s="25"/>
      <c r="I13" s="25"/>
      <c r="J13" s="25"/>
      <c r="K13" s="25"/>
      <c r="L13" s="25"/>
      <c r="M13" s="25"/>
      <c r="N13" s="25"/>
    </row>
    <row r="14" spans="1:14" ht="22.5" customHeight="1" x14ac:dyDescent="0.15">
      <c r="A14" s="24" t="s">
        <v>66</v>
      </c>
      <c r="B14" s="28" t="s">
        <v>67</v>
      </c>
      <c r="C14" s="28"/>
      <c r="D14" s="28"/>
      <c r="E14" s="28"/>
      <c r="F14" s="133" t="s">
        <v>140</v>
      </c>
      <c r="G14" s="134"/>
      <c r="H14" s="135"/>
      <c r="I14" s="44"/>
      <c r="J14" s="44"/>
      <c r="K14" s="44"/>
      <c r="L14" s="44"/>
      <c r="M14" s="44"/>
      <c r="N14" s="44"/>
    </row>
    <row r="15" spans="1:14" ht="7.5" customHeight="1" x14ac:dyDescent="0.15">
      <c r="B15" s="28"/>
      <c r="C15" s="28"/>
      <c r="D15" s="28"/>
      <c r="E15" s="28"/>
      <c r="F15" s="44"/>
      <c r="G15" s="44"/>
      <c r="H15" s="44"/>
      <c r="I15" s="44"/>
      <c r="J15" s="44"/>
      <c r="K15" s="44"/>
      <c r="L15" s="44"/>
      <c r="M15" s="44"/>
      <c r="N15" s="44"/>
    </row>
    <row r="16" spans="1:14" ht="22.5" customHeight="1" x14ac:dyDescent="0.15">
      <c r="A16" s="24" t="s">
        <v>15</v>
      </c>
      <c r="B16" s="24" t="s">
        <v>0</v>
      </c>
      <c r="C16" s="145" t="s">
        <v>6</v>
      </c>
      <c r="D16" s="146"/>
      <c r="E16" s="147">
        <v>738</v>
      </c>
      <c r="F16" s="149"/>
      <c r="G16" s="31" t="s">
        <v>10</v>
      </c>
      <c r="I16" s="145" t="s">
        <v>11</v>
      </c>
      <c r="J16" s="146"/>
      <c r="K16" s="147">
        <v>347</v>
      </c>
      <c r="L16" s="148"/>
      <c r="M16" s="149"/>
      <c r="N16" s="32" t="s">
        <v>10</v>
      </c>
    </row>
    <row r="17" spans="1:15" ht="7.5" customHeight="1" x14ac:dyDescent="0.15">
      <c r="F17" s="33"/>
      <c r="G17" s="33"/>
      <c r="H17" s="33"/>
      <c r="I17" s="33"/>
      <c r="J17" s="33"/>
      <c r="K17" s="33"/>
      <c r="L17" s="33"/>
      <c r="M17" s="32"/>
      <c r="N17" s="32"/>
    </row>
    <row r="18" spans="1:15" ht="22.5" customHeight="1" x14ac:dyDescent="0.15">
      <c r="A18" s="24" t="s">
        <v>60</v>
      </c>
      <c r="B18" s="24" t="s">
        <v>90</v>
      </c>
      <c r="F18" s="33"/>
      <c r="G18" s="33"/>
      <c r="H18" s="33"/>
      <c r="I18" s="33"/>
      <c r="J18" s="33"/>
      <c r="K18" s="141">
        <v>6</v>
      </c>
      <c r="L18" s="142"/>
      <c r="M18" s="143"/>
      <c r="N18" s="32" t="s">
        <v>58</v>
      </c>
    </row>
    <row r="19" spans="1:15" ht="7.5" customHeight="1" x14ac:dyDescent="0.15">
      <c r="F19" s="33"/>
      <c r="G19" s="33"/>
      <c r="H19" s="33"/>
      <c r="I19" s="33"/>
      <c r="J19" s="33"/>
      <c r="K19" s="33"/>
      <c r="L19" s="33"/>
      <c r="M19" s="32"/>
      <c r="N19" s="32"/>
    </row>
    <row r="20" spans="1:15" ht="22.5" customHeight="1" x14ac:dyDescent="0.15">
      <c r="A20" s="24" t="s">
        <v>68</v>
      </c>
      <c r="B20" s="24" t="s">
        <v>123</v>
      </c>
      <c r="E20" s="136">
        <v>1157</v>
      </c>
      <c r="F20" s="137"/>
      <c r="G20" s="34" t="s">
        <v>24</v>
      </c>
      <c r="H20" s="33"/>
      <c r="K20" s="152"/>
      <c r="L20" s="152"/>
      <c r="M20" s="152"/>
      <c r="N20" s="152"/>
    </row>
    <row r="21" spans="1:15" ht="7.5" customHeight="1" x14ac:dyDescent="0.15">
      <c r="E21" s="21"/>
      <c r="F21" s="33"/>
      <c r="G21" s="33"/>
      <c r="L21" s="35"/>
      <c r="M21" s="35"/>
      <c r="N21" s="36"/>
    </row>
    <row r="22" spans="1:15" ht="22.5" customHeight="1" x14ac:dyDescent="0.15">
      <c r="A22" s="24" t="s">
        <v>27</v>
      </c>
      <c r="B22" s="24" t="s">
        <v>124</v>
      </c>
      <c r="E22" s="21"/>
      <c r="F22" s="33"/>
      <c r="G22" s="33"/>
      <c r="H22" s="24" t="s">
        <v>59</v>
      </c>
      <c r="J22" s="153">
        <v>5310</v>
      </c>
      <c r="K22" s="154"/>
      <c r="L22" s="155"/>
      <c r="M22" s="35" t="s">
        <v>58</v>
      </c>
      <c r="N22" s="36"/>
    </row>
    <row r="23" spans="1:15" ht="7.5" customHeight="1" x14ac:dyDescent="0.15">
      <c r="E23" s="21"/>
      <c r="F23" s="33"/>
      <c r="G23" s="33"/>
      <c r="L23" s="35"/>
      <c r="M23" s="35"/>
      <c r="N23" s="36"/>
    </row>
    <row r="24" spans="1:15" ht="22.5" customHeight="1" x14ac:dyDescent="0.15">
      <c r="B24" s="37" t="s">
        <v>20</v>
      </c>
      <c r="C24" s="136">
        <v>1219</v>
      </c>
      <c r="D24" s="137"/>
      <c r="E24" s="21" t="s">
        <v>25</v>
      </c>
      <c r="F24" s="33"/>
      <c r="G24" s="132" t="s">
        <v>21</v>
      </c>
      <c r="H24" s="132"/>
      <c r="I24" s="136">
        <v>1201</v>
      </c>
      <c r="J24" s="137"/>
      <c r="K24" s="29" t="s">
        <v>25</v>
      </c>
      <c r="M24" s="35"/>
      <c r="N24" s="36"/>
      <c r="O24" s="26"/>
    </row>
    <row r="25" spans="1:15" ht="7.5" customHeight="1" x14ac:dyDescent="0.15">
      <c r="B25" s="37"/>
      <c r="C25" s="22"/>
      <c r="D25" s="22"/>
      <c r="E25" s="21"/>
      <c r="F25" s="33"/>
      <c r="G25" s="35"/>
      <c r="H25" s="35"/>
      <c r="I25" s="22"/>
      <c r="J25" s="22"/>
      <c r="K25" s="29"/>
      <c r="M25" s="35"/>
      <c r="N25" s="36"/>
      <c r="O25" s="26"/>
    </row>
    <row r="26" spans="1:15" ht="22.5" customHeight="1" x14ac:dyDescent="0.15">
      <c r="B26" s="37" t="s">
        <v>22</v>
      </c>
      <c r="C26" s="136">
        <v>1199</v>
      </c>
      <c r="D26" s="137"/>
      <c r="E26" s="21" t="s">
        <v>25</v>
      </c>
      <c r="F26" s="33"/>
      <c r="G26" s="132" t="s">
        <v>23</v>
      </c>
      <c r="H26" s="132"/>
      <c r="I26" s="136">
        <v>1449</v>
      </c>
      <c r="J26" s="137"/>
      <c r="K26" s="29" t="s">
        <v>25</v>
      </c>
      <c r="M26" s="35"/>
      <c r="N26" s="36"/>
    </row>
    <row r="27" spans="1:15" ht="7.5" customHeight="1" x14ac:dyDescent="0.15">
      <c r="B27" s="37"/>
      <c r="C27" s="22"/>
      <c r="D27" s="22"/>
      <c r="E27" s="21"/>
      <c r="F27" s="33"/>
      <c r="G27" s="35"/>
      <c r="H27" s="35"/>
      <c r="I27" s="22"/>
      <c r="J27" s="22"/>
      <c r="K27" s="29"/>
      <c r="M27" s="35"/>
      <c r="N27" s="36"/>
    </row>
    <row r="28" spans="1:15" ht="22.5" customHeight="1" x14ac:dyDescent="0.15">
      <c r="B28" s="37" t="s">
        <v>52</v>
      </c>
      <c r="C28" s="136">
        <v>132</v>
      </c>
      <c r="D28" s="137"/>
      <c r="E28" s="21" t="s">
        <v>10</v>
      </c>
      <c r="F28" s="33"/>
      <c r="G28" s="132" t="s">
        <v>53</v>
      </c>
      <c r="H28" s="132"/>
      <c r="I28" s="136">
        <v>110</v>
      </c>
      <c r="J28" s="137"/>
      <c r="K28" s="29" t="s">
        <v>10</v>
      </c>
      <c r="M28" s="35"/>
      <c r="N28" s="36"/>
    </row>
    <row r="29" spans="1:15" ht="7.5" customHeight="1" x14ac:dyDescent="0.15">
      <c r="F29" s="33"/>
      <c r="G29" s="33"/>
      <c r="M29" s="38"/>
      <c r="N29" s="38"/>
    </row>
    <row r="30" spans="1:15" ht="22.5" customHeight="1" x14ac:dyDescent="0.15">
      <c r="A30" s="24" t="s">
        <v>122</v>
      </c>
      <c r="B30" s="27" t="s">
        <v>114</v>
      </c>
      <c r="C30" s="27"/>
      <c r="D30" s="27"/>
      <c r="E30" s="27"/>
      <c r="F30" s="29"/>
      <c r="G30" s="89"/>
      <c r="H30" s="89"/>
      <c r="I30" s="89"/>
      <c r="J30" s="40"/>
      <c r="K30" s="40"/>
      <c r="L30" s="40"/>
      <c r="M30" s="40"/>
      <c r="N30" s="40"/>
    </row>
    <row r="31" spans="1:15" s="26" customFormat="1" ht="22.5" customHeight="1" x14ac:dyDescent="0.15">
      <c r="B31" s="138" t="s">
        <v>113</v>
      </c>
      <c r="C31" s="138"/>
      <c r="D31" s="133" t="s">
        <v>277</v>
      </c>
      <c r="E31" s="134"/>
      <c r="F31" s="134"/>
      <c r="G31" s="139" t="s">
        <v>26</v>
      </c>
      <c r="H31" s="138"/>
      <c r="I31" s="140"/>
      <c r="J31" s="133" t="s">
        <v>198</v>
      </c>
      <c r="K31" s="134"/>
      <c r="L31" s="134"/>
      <c r="M31" s="134"/>
      <c r="N31" s="135"/>
    </row>
    <row r="32" spans="1:15" ht="7.5" customHeight="1" x14ac:dyDescent="0.15">
      <c r="F32" s="33"/>
      <c r="G32" s="33"/>
      <c r="M32" s="38"/>
      <c r="N32" s="38"/>
    </row>
    <row r="33" spans="1:14" ht="22.5" customHeight="1" x14ac:dyDescent="0.15">
      <c r="A33" s="24" t="s">
        <v>57</v>
      </c>
      <c r="B33" s="27" t="s">
        <v>127</v>
      </c>
      <c r="C33" s="27"/>
      <c r="D33" s="27"/>
      <c r="E33" s="27"/>
      <c r="F33" s="29"/>
      <c r="G33" s="40"/>
      <c r="H33" s="40"/>
      <c r="I33" s="40"/>
      <c r="J33" s="40"/>
      <c r="K33" s="40"/>
      <c r="L33" s="40"/>
      <c r="M33" s="40"/>
      <c r="N33" s="40"/>
    </row>
    <row r="34" spans="1:14" ht="22.5" customHeight="1" x14ac:dyDescent="0.15">
      <c r="B34" s="133" t="s">
        <v>141</v>
      </c>
      <c r="C34" s="134"/>
      <c r="D34" s="134"/>
      <c r="E34" s="134"/>
      <c r="F34" s="134"/>
      <c r="G34" s="134"/>
      <c r="H34" s="134"/>
      <c r="I34" s="134"/>
      <c r="J34" s="134"/>
      <c r="K34" s="134"/>
      <c r="L34" s="134"/>
      <c r="M34" s="134"/>
      <c r="N34" s="135"/>
    </row>
    <row r="35" spans="1:14" ht="7.5" customHeight="1" x14ac:dyDescent="0.15">
      <c r="B35" s="23"/>
      <c r="C35" s="23"/>
      <c r="D35" s="23"/>
      <c r="E35" s="23"/>
      <c r="F35" s="23"/>
      <c r="G35" s="23"/>
      <c r="H35" s="23"/>
      <c r="I35" s="23"/>
      <c r="J35" s="23"/>
      <c r="K35" s="23"/>
      <c r="L35" s="23"/>
      <c r="M35" s="23"/>
      <c r="N35" s="23"/>
    </row>
    <row r="36" spans="1:14" s="26" customFormat="1" ht="22.5" customHeight="1" x14ac:dyDescent="0.15">
      <c r="B36" s="138" t="s">
        <v>113</v>
      </c>
      <c r="C36" s="138"/>
      <c r="D36" s="133" t="s">
        <v>278</v>
      </c>
      <c r="E36" s="134"/>
      <c r="F36" s="134"/>
      <c r="G36" s="139" t="s">
        <v>62</v>
      </c>
      <c r="H36" s="138"/>
      <c r="I36" s="140"/>
      <c r="J36" s="133" t="s">
        <v>279</v>
      </c>
      <c r="K36" s="134"/>
      <c r="L36" s="134"/>
      <c r="M36" s="134"/>
      <c r="N36" s="135"/>
    </row>
    <row r="37" spans="1:14" ht="7.5" customHeight="1" x14ac:dyDescent="0.15">
      <c r="F37" s="25"/>
      <c r="G37" s="25"/>
      <c r="H37" s="25"/>
      <c r="I37" s="25"/>
      <c r="J37" s="25"/>
      <c r="K37" s="25"/>
      <c r="L37" s="25"/>
      <c r="M37" s="25"/>
      <c r="N37" s="25"/>
    </row>
    <row r="38" spans="1:14" ht="22.5" customHeight="1" x14ac:dyDescent="0.15">
      <c r="A38" s="24" t="s">
        <v>61</v>
      </c>
      <c r="B38" s="24" t="s">
        <v>128</v>
      </c>
      <c r="M38" s="38"/>
      <c r="N38" s="38"/>
    </row>
    <row r="39" spans="1:14" ht="22.5" customHeight="1" x14ac:dyDescent="0.15">
      <c r="B39" s="133" t="s">
        <v>141</v>
      </c>
      <c r="C39" s="134"/>
      <c r="D39" s="134"/>
      <c r="E39" s="134"/>
      <c r="F39" s="134"/>
      <c r="G39" s="134"/>
      <c r="H39" s="134"/>
      <c r="I39" s="134"/>
      <c r="J39" s="134"/>
      <c r="K39" s="134"/>
      <c r="L39" s="134"/>
      <c r="M39" s="134"/>
      <c r="N39" s="135"/>
    </row>
    <row r="40" spans="1:14" ht="7.5" customHeight="1" x14ac:dyDescent="0.15">
      <c r="F40" s="25"/>
      <c r="G40" s="25"/>
      <c r="H40" s="25"/>
      <c r="I40" s="25"/>
      <c r="J40" s="25"/>
      <c r="K40" s="25"/>
      <c r="L40" s="25"/>
      <c r="M40" s="25"/>
      <c r="N40" s="25"/>
    </row>
    <row r="41" spans="1:14" s="26" customFormat="1" ht="22.5" customHeight="1" x14ac:dyDescent="0.15">
      <c r="B41" s="138" t="s">
        <v>113</v>
      </c>
      <c r="C41" s="138"/>
      <c r="D41" s="133" t="s">
        <v>278</v>
      </c>
      <c r="E41" s="134"/>
      <c r="F41" s="134"/>
      <c r="G41" s="139" t="s">
        <v>62</v>
      </c>
      <c r="H41" s="138"/>
      <c r="I41" s="140"/>
      <c r="J41" s="133" t="s">
        <v>279</v>
      </c>
      <c r="K41" s="134"/>
      <c r="L41" s="134"/>
      <c r="M41" s="134"/>
      <c r="N41" s="135"/>
    </row>
    <row r="42" spans="1:14" ht="7.5" customHeight="1" x14ac:dyDescent="0.15">
      <c r="F42" s="25"/>
      <c r="G42" s="25"/>
      <c r="H42" s="25"/>
      <c r="I42" s="25"/>
      <c r="J42" s="25"/>
      <c r="K42" s="25"/>
      <c r="L42" s="25"/>
      <c r="M42" s="25"/>
      <c r="N42" s="25"/>
    </row>
    <row r="43" spans="1:14" ht="22.5" customHeight="1" x14ac:dyDescent="0.15">
      <c r="A43" s="24" t="s">
        <v>69</v>
      </c>
      <c r="B43" s="74" t="s">
        <v>89</v>
      </c>
      <c r="E43" s="61"/>
      <c r="F43" s="133" t="s">
        <v>137</v>
      </c>
      <c r="G43" s="134"/>
      <c r="H43" s="134"/>
      <c r="I43" s="134"/>
      <c r="J43" s="134"/>
      <c r="K43" s="134"/>
      <c r="L43" s="134"/>
      <c r="M43" s="134"/>
      <c r="N43" s="135"/>
    </row>
    <row r="44" spans="1:14" ht="7.5" customHeight="1" x14ac:dyDescent="0.15">
      <c r="F44" s="59"/>
      <c r="G44" s="59"/>
      <c r="H44" s="59"/>
      <c r="I44" s="59"/>
      <c r="J44" s="59"/>
      <c r="K44" s="59"/>
      <c r="L44" s="59"/>
      <c r="M44" s="59"/>
      <c r="N44" s="59"/>
    </row>
    <row r="45" spans="1:14" ht="22.5" customHeight="1" x14ac:dyDescent="0.15">
      <c r="A45" s="24" t="s">
        <v>3</v>
      </c>
    </row>
    <row r="46" spans="1:14" ht="22.5" customHeight="1" x14ac:dyDescent="0.15">
      <c r="B46" s="41" t="s">
        <v>1</v>
      </c>
      <c r="C46" s="133" t="s">
        <v>260</v>
      </c>
      <c r="D46" s="134"/>
      <c r="E46" s="134"/>
      <c r="F46" s="134"/>
      <c r="G46" s="134"/>
      <c r="H46" s="134"/>
      <c r="I46" s="42" t="s">
        <v>2</v>
      </c>
      <c r="J46" s="43"/>
      <c r="K46" s="133" t="s">
        <v>136</v>
      </c>
      <c r="L46" s="134"/>
      <c r="M46" s="134"/>
      <c r="N46" s="135"/>
    </row>
    <row r="47" spans="1:14" ht="22.5" customHeight="1" x14ac:dyDescent="0.15">
      <c r="B47" s="41" t="s">
        <v>5</v>
      </c>
      <c r="C47" s="126" t="s">
        <v>135</v>
      </c>
      <c r="D47" s="127"/>
      <c r="E47" s="127"/>
      <c r="F47" s="127"/>
      <c r="G47" s="127"/>
      <c r="H47" s="128"/>
      <c r="I47" s="42" t="s">
        <v>4</v>
      </c>
      <c r="J47" s="43"/>
      <c r="K47" s="129" t="s">
        <v>138</v>
      </c>
      <c r="L47" s="130"/>
      <c r="M47" s="130"/>
      <c r="N47" s="131"/>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Q14" sqref="Q14"/>
    </sheetView>
  </sheetViews>
  <sheetFormatPr defaultColWidth="9" defaultRowHeight="18.75" customHeight="1" x14ac:dyDescent="0.15"/>
  <cols>
    <col min="1" max="2" width="2.5" style="24" customWidth="1"/>
    <col min="3" max="3" width="20" style="24" customWidth="1"/>
    <col min="4" max="4" width="8.75" style="24" customWidth="1"/>
    <col min="5" max="5" width="7.5" style="24" customWidth="1"/>
    <col min="6" max="6" width="2.5" style="24" customWidth="1"/>
    <col min="7" max="7" width="15" style="24" customWidth="1"/>
    <col min="8" max="8" width="12.5" style="24" customWidth="1"/>
    <col min="9" max="9" width="11.25" style="24" customWidth="1"/>
    <col min="10" max="16384" width="9" style="24"/>
  </cols>
  <sheetData>
    <row r="1" spans="1:9" ht="18.75" customHeight="1" x14ac:dyDescent="0.15">
      <c r="I1" s="67" t="s">
        <v>262</v>
      </c>
    </row>
    <row r="2" spans="1:9" ht="18.75" customHeight="1" x14ac:dyDescent="0.15">
      <c r="G2" s="39" t="s">
        <v>31</v>
      </c>
      <c r="H2" s="163" t="s">
        <v>152</v>
      </c>
      <c r="I2" s="163"/>
    </row>
    <row r="3" spans="1:9" ht="7.5" customHeight="1" x14ac:dyDescent="0.15"/>
    <row r="4" spans="1:9" ht="18.75" customHeight="1" x14ac:dyDescent="0.15">
      <c r="A4" s="151" t="s">
        <v>87</v>
      </c>
      <c r="B4" s="151"/>
      <c r="C4" s="151"/>
      <c r="D4" s="151"/>
      <c r="E4" s="151"/>
      <c r="F4" s="151"/>
      <c r="G4" s="151"/>
      <c r="H4" s="151"/>
      <c r="I4" s="151"/>
    </row>
    <row r="5" spans="1:9" ht="7.5" customHeight="1" x14ac:dyDescent="0.15">
      <c r="C5" s="37"/>
      <c r="D5" s="45"/>
      <c r="E5" s="58"/>
      <c r="F5" s="37"/>
      <c r="G5" s="45"/>
      <c r="H5" s="37"/>
      <c r="I5" s="37"/>
    </row>
    <row r="6" spans="1:9" ht="18.75" customHeight="1" x14ac:dyDescent="0.15">
      <c r="A6" s="24" t="s">
        <v>7</v>
      </c>
      <c r="B6" s="24" t="s">
        <v>99</v>
      </c>
      <c r="C6" s="66"/>
      <c r="D6" s="66"/>
      <c r="E6" s="162" t="s">
        <v>142</v>
      </c>
      <c r="F6" s="154"/>
      <c r="G6" s="154"/>
      <c r="H6" s="154"/>
      <c r="I6" s="155"/>
    </row>
    <row r="7" spans="1:9" ht="7.5" customHeight="1" x14ac:dyDescent="0.15">
      <c r="C7" s="66"/>
      <c r="D7" s="66"/>
      <c r="F7" s="65"/>
      <c r="G7" s="65"/>
      <c r="H7" s="65"/>
      <c r="I7" s="65"/>
    </row>
    <row r="8" spans="1:9" ht="18.75" customHeight="1" x14ac:dyDescent="0.15">
      <c r="A8" s="24" t="s">
        <v>12</v>
      </c>
      <c r="B8" s="24" t="s">
        <v>100</v>
      </c>
      <c r="C8" s="66"/>
      <c r="D8" s="66"/>
      <c r="E8" s="66"/>
      <c r="F8" s="66"/>
      <c r="G8" s="66"/>
      <c r="H8" s="66"/>
      <c r="I8" s="66"/>
    </row>
    <row r="9" spans="1:9" ht="18.75" customHeight="1" x14ac:dyDescent="0.15">
      <c r="B9" s="166" t="s">
        <v>144</v>
      </c>
      <c r="C9" s="167"/>
      <c r="D9" s="167"/>
      <c r="E9" s="167"/>
      <c r="F9" s="167"/>
      <c r="G9" s="167"/>
      <c r="H9" s="167"/>
      <c r="I9" s="168"/>
    </row>
    <row r="10" spans="1:9" ht="18.75" customHeight="1" x14ac:dyDescent="0.15">
      <c r="B10" s="169"/>
      <c r="C10" s="170"/>
      <c r="D10" s="170"/>
      <c r="E10" s="170"/>
      <c r="F10" s="170"/>
      <c r="G10" s="170"/>
      <c r="H10" s="170"/>
      <c r="I10" s="171"/>
    </row>
    <row r="11" spans="1:9" ht="18.75" customHeight="1" x14ac:dyDescent="0.15">
      <c r="B11" s="169"/>
      <c r="C11" s="170"/>
      <c r="D11" s="170"/>
      <c r="E11" s="170"/>
      <c r="F11" s="170"/>
      <c r="G11" s="170"/>
      <c r="H11" s="170"/>
      <c r="I11" s="171"/>
    </row>
    <row r="12" spans="1:9" ht="18.75" customHeight="1" x14ac:dyDescent="0.15">
      <c r="B12" s="169"/>
      <c r="C12" s="170"/>
      <c r="D12" s="170"/>
      <c r="E12" s="170"/>
      <c r="F12" s="170"/>
      <c r="G12" s="170"/>
      <c r="H12" s="170"/>
      <c r="I12" s="171"/>
    </row>
    <row r="13" spans="1:9" ht="18.75" customHeight="1" x14ac:dyDescent="0.15">
      <c r="B13" s="169"/>
      <c r="C13" s="170"/>
      <c r="D13" s="170"/>
      <c r="E13" s="170"/>
      <c r="F13" s="170"/>
      <c r="G13" s="170"/>
      <c r="H13" s="170"/>
      <c r="I13" s="171"/>
    </row>
    <row r="14" spans="1:9" ht="18.75" customHeight="1" x14ac:dyDescent="0.15">
      <c r="B14" s="169"/>
      <c r="C14" s="170"/>
      <c r="D14" s="170"/>
      <c r="E14" s="170"/>
      <c r="F14" s="170"/>
      <c r="G14" s="170"/>
      <c r="H14" s="170"/>
      <c r="I14" s="171"/>
    </row>
    <row r="15" spans="1:9" ht="18.75" customHeight="1" x14ac:dyDescent="0.15">
      <c r="B15" s="169"/>
      <c r="C15" s="170"/>
      <c r="D15" s="170"/>
      <c r="E15" s="170"/>
      <c r="F15" s="170"/>
      <c r="G15" s="170"/>
      <c r="H15" s="170"/>
      <c r="I15" s="171"/>
    </row>
    <row r="16" spans="1:9" ht="18.75" customHeight="1" x14ac:dyDescent="0.15">
      <c r="B16" s="172"/>
      <c r="C16" s="173"/>
      <c r="D16" s="173"/>
      <c r="E16" s="173"/>
      <c r="F16" s="173"/>
      <c r="G16" s="173"/>
      <c r="H16" s="173"/>
      <c r="I16" s="174"/>
    </row>
    <row r="17" spans="1:10" ht="7.5" customHeight="1" x14ac:dyDescent="0.15">
      <c r="C17" s="66"/>
      <c r="D17" s="66"/>
      <c r="E17" s="66"/>
      <c r="F17" s="66"/>
      <c r="G17" s="66"/>
      <c r="H17" s="66"/>
      <c r="I17" s="66"/>
    </row>
    <row r="18" spans="1:10" ht="18.75" customHeight="1" x14ac:dyDescent="0.15">
      <c r="A18" s="37" t="s">
        <v>13</v>
      </c>
      <c r="B18" s="27" t="s">
        <v>101</v>
      </c>
      <c r="C18" s="27"/>
      <c r="D18" s="27"/>
      <c r="E18" s="27"/>
      <c r="F18" s="37"/>
      <c r="G18" s="45"/>
      <c r="H18" s="37"/>
      <c r="I18" s="37"/>
      <c r="J18" s="37"/>
    </row>
    <row r="19" spans="1:10" ht="18.75" customHeight="1" x14ac:dyDescent="0.15">
      <c r="A19" s="164" t="s">
        <v>101</v>
      </c>
      <c r="B19" s="164"/>
      <c r="C19" s="164"/>
      <c r="D19" s="164"/>
      <c r="E19" s="164"/>
      <c r="F19" s="165" t="s">
        <v>101</v>
      </c>
      <c r="G19" s="165"/>
      <c r="H19" s="165"/>
      <c r="I19" s="165"/>
    </row>
    <row r="20" spans="1:10" ht="18.75" customHeight="1" x14ac:dyDescent="0.15">
      <c r="A20" s="68">
        <v>1</v>
      </c>
      <c r="B20" s="159" t="s">
        <v>143</v>
      </c>
      <c r="C20" s="160"/>
      <c r="D20" s="160"/>
      <c r="E20" s="161"/>
      <c r="F20" s="68">
        <v>26</v>
      </c>
      <c r="G20" s="156"/>
      <c r="H20" s="157"/>
      <c r="I20" s="158"/>
    </row>
    <row r="21" spans="1:10" ht="18.75" customHeight="1" x14ac:dyDescent="0.15">
      <c r="A21" s="68">
        <v>2</v>
      </c>
      <c r="B21" s="159"/>
      <c r="C21" s="160"/>
      <c r="D21" s="160"/>
      <c r="E21" s="161"/>
      <c r="F21" s="68">
        <v>27</v>
      </c>
      <c r="G21" s="156"/>
      <c r="H21" s="157"/>
      <c r="I21" s="158"/>
    </row>
    <row r="22" spans="1:10" ht="18.75" customHeight="1" x14ac:dyDescent="0.15">
      <c r="A22" s="68">
        <v>3</v>
      </c>
      <c r="B22" s="159"/>
      <c r="C22" s="160"/>
      <c r="D22" s="160"/>
      <c r="E22" s="161"/>
      <c r="F22" s="68">
        <v>28</v>
      </c>
      <c r="G22" s="156"/>
      <c r="H22" s="157"/>
      <c r="I22" s="158"/>
    </row>
    <row r="23" spans="1:10" ht="18.75" customHeight="1" x14ac:dyDescent="0.15">
      <c r="A23" s="68">
        <v>4</v>
      </c>
      <c r="B23" s="159"/>
      <c r="C23" s="160"/>
      <c r="D23" s="160"/>
      <c r="E23" s="161"/>
      <c r="F23" s="68">
        <v>29</v>
      </c>
      <c r="G23" s="156"/>
      <c r="H23" s="157"/>
      <c r="I23" s="158"/>
    </row>
    <row r="24" spans="1:10" ht="18.75" customHeight="1" x14ac:dyDescent="0.15">
      <c r="A24" s="68">
        <v>5</v>
      </c>
      <c r="B24" s="159"/>
      <c r="C24" s="160"/>
      <c r="D24" s="160"/>
      <c r="E24" s="161"/>
      <c r="F24" s="68">
        <v>30</v>
      </c>
      <c r="G24" s="156"/>
      <c r="H24" s="157"/>
      <c r="I24" s="158"/>
    </row>
    <row r="25" spans="1:10" ht="18.75" customHeight="1" x14ac:dyDescent="0.15">
      <c r="A25" s="68">
        <v>6</v>
      </c>
      <c r="B25" s="159"/>
      <c r="C25" s="160"/>
      <c r="D25" s="160"/>
      <c r="E25" s="161"/>
      <c r="F25" s="68">
        <v>31</v>
      </c>
      <c r="G25" s="156"/>
      <c r="H25" s="157"/>
      <c r="I25" s="158"/>
    </row>
    <row r="26" spans="1:10" ht="18.75" customHeight="1" x14ac:dyDescent="0.15">
      <c r="A26" s="68">
        <v>7</v>
      </c>
      <c r="B26" s="159"/>
      <c r="C26" s="160"/>
      <c r="D26" s="160"/>
      <c r="E26" s="161"/>
      <c r="F26" s="68">
        <v>32</v>
      </c>
      <c r="G26" s="156"/>
      <c r="H26" s="157"/>
      <c r="I26" s="158"/>
    </row>
    <row r="27" spans="1:10" ht="18.75" customHeight="1" x14ac:dyDescent="0.15">
      <c r="A27" s="68">
        <v>8</v>
      </c>
      <c r="B27" s="159"/>
      <c r="C27" s="160"/>
      <c r="D27" s="160"/>
      <c r="E27" s="161"/>
      <c r="F27" s="68">
        <v>33</v>
      </c>
      <c r="G27" s="156"/>
      <c r="H27" s="157"/>
      <c r="I27" s="158"/>
    </row>
    <row r="28" spans="1:10" ht="18.75" customHeight="1" x14ac:dyDescent="0.15">
      <c r="A28" s="68">
        <v>9</v>
      </c>
      <c r="B28" s="159"/>
      <c r="C28" s="160"/>
      <c r="D28" s="160"/>
      <c r="E28" s="161"/>
      <c r="F28" s="68">
        <v>34</v>
      </c>
      <c r="G28" s="156"/>
      <c r="H28" s="157"/>
      <c r="I28" s="158"/>
    </row>
    <row r="29" spans="1:10" ht="18.75" customHeight="1" x14ac:dyDescent="0.15">
      <c r="A29" s="68">
        <v>10</v>
      </c>
      <c r="B29" s="159"/>
      <c r="C29" s="160"/>
      <c r="D29" s="160"/>
      <c r="E29" s="161"/>
      <c r="F29" s="68">
        <v>35</v>
      </c>
      <c r="G29" s="156"/>
      <c r="H29" s="157"/>
      <c r="I29" s="158"/>
    </row>
    <row r="30" spans="1:10" ht="18.75" customHeight="1" x14ac:dyDescent="0.15">
      <c r="A30" s="68">
        <v>11</v>
      </c>
      <c r="B30" s="156"/>
      <c r="C30" s="157"/>
      <c r="D30" s="157"/>
      <c r="E30" s="158"/>
      <c r="F30" s="68">
        <v>36</v>
      </c>
      <c r="G30" s="156"/>
      <c r="H30" s="157"/>
      <c r="I30" s="158"/>
    </row>
    <row r="31" spans="1:10" ht="18.75" customHeight="1" x14ac:dyDescent="0.15">
      <c r="A31" s="68">
        <v>12</v>
      </c>
      <c r="B31" s="156"/>
      <c r="C31" s="157"/>
      <c r="D31" s="157"/>
      <c r="E31" s="158"/>
      <c r="F31" s="68">
        <v>37</v>
      </c>
      <c r="G31" s="156"/>
      <c r="H31" s="157"/>
      <c r="I31" s="158"/>
    </row>
    <row r="32" spans="1:10" ht="18.75" customHeight="1" x14ac:dyDescent="0.15">
      <c r="A32" s="68">
        <v>13</v>
      </c>
      <c r="B32" s="156"/>
      <c r="C32" s="157"/>
      <c r="D32" s="157"/>
      <c r="E32" s="158"/>
      <c r="F32" s="68">
        <v>38</v>
      </c>
      <c r="G32" s="156"/>
      <c r="H32" s="157"/>
      <c r="I32" s="158"/>
    </row>
    <row r="33" spans="1:9" ht="18.75" customHeight="1" x14ac:dyDescent="0.15">
      <c r="A33" s="68">
        <v>14</v>
      </c>
      <c r="B33" s="156"/>
      <c r="C33" s="157"/>
      <c r="D33" s="157"/>
      <c r="E33" s="158"/>
      <c r="F33" s="68">
        <v>39</v>
      </c>
      <c r="G33" s="156"/>
      <c r="H33" s="157"/>
      <c r="I33" s="158"/>
    </row>
    <row r="34" spans="1:9" ht="18.75" customHeight="1" x14ac:dyDescent="0.15">
      <c r="A34" s="68">
        <v>15</v>
      </c>
      <c r="B34" s="156"/>
      <c r="C34" s="157"/>
      <c r="D34" s="157"/>
      <c r="E34" s="158"/>
      <c r="F34" s="68">
        <v>40</v>
      </c>
      <c r="G34" s="156"/>
      <c r="H34" s="157"/>
      <c r="I34" s="158"/>
    </row>
    <row r="35" spans="1:9" ht="18.75" customHeight="1" x14ac:dyDescent="0.15">
      <c r="A35" s="68">
        <v>16</v>
      </c>
      <c r="B35" s="156"/>
      <c r="C35" s="157"/>
      <c r="D35" s="157"/>
      <c r="E35" s="158"/>
      <c r="F35" s="68">
        <v>41</v>
      </c>
      <c r="G35" s="156"/>
      <c r="H35" s="157"/>
      <c r="I35" s="158"/>
    </row>
    <row r="36" spans="1:9" ht="18.75" customHeight="1" x14ac:dyDescent="0.15">
      <c r="A36" s="68">
        <v>17</v>
      </c>
      <c r="B36" s="156"/>
      <c r="C36" s="157"/>
      <c r="D36" s="157"/>
      <c r="E36" s="158"/>
      <c r="F36" s="68">
        <v>42</v>
      </c>
      <c r="G36" s="156"/>
      <c r="H36" s="157"/>
      <c r="I36" s="158"/>
    </row>
    <row r="37" spans="1:9" ht="18.75" customHeight="1" x14ac:dyDescent="0.15">
      <c r="A37" s="68">
        <v>18</v>
      </c>
      <c r="B37" s="156"/>
      <c r="C37" s="157"/>
      <c r="D37" s="157"/>
      <c r="E37" s="158"/>
      <c r="F37" s="68">
        <v>43</v>
      </c>
      <c r="G37" s="156"/>
      <c r="H37" s="157"/>
      <c r="I37" s="158"/>
    </row>
    <row r="38" spans="1:9" ht="18.75" customHeight="1" x14ac:dyDescent="0.15">
      <c r="A38" s="68">
        <v>19</v>
      </c>
      <c r="B38" s="156"/>
      <c r="C38" s="157"/>
      <c r="D38" s="157"/>
      <c r="E38" s="158"/>
      <c r="F38" s="68">
        <v>44</v>
      </c>
      <c r="G38" s="156"/>
      <c r="H38" s="157"/>
      <c r="I38" s="158"/>
    </row>
    <row r="39" spans="1:9" ht="18.75" customHeight="1" x14ac:dyDescent="0.15">
      <c r="A39" s="68">
        <v>20</v>
      </c>
      <c r="B39" s="156"/>
      <c r="C39" s="157"/>
      <c r="D39" s="157"/>
      <c r="E39" s="158"/>
      <c r="F39" s="68">
        <v>45</v>
      </c>
      <c r="G39" s="156"/>
      <c r="H39" s="157"/>
      <c r="I39" s="158"/>
    </row>
    <row r="40" spans="1:9" ht="18.75" customHeight="1" x14ac:dyDescent="0.15">
      <c r="A40" s="68">
        <v>21</v>
      </c>
      <c r="B40" s="156"/>
      <c r="C40" s="157"/>
      <c r="D40" s="157"/>
      <c r="E40" s="158"/>
      <c r="F40" s="68">
        <v>46</v>
      </c>
      <c r="G40" s="156"/>
      <c r="H40" s="157"/>
      <c r="I40" s="158"/>
    </row>
    <row r="41" spans="1:9" ht="18.75" customHeight="1" x14ac:dyDescent="0.15">
      <c r="A41" s="68">
        <v>22</v>
      </c>
      <c r="B41" s="156"/>
      <c r="C41" s="157"/>
      <c r="D41" s="157"/>
      <c r="E41" s="158"/>
      <c r="F41" s="68">
        <v>47</v>
      </c>
      <c r="G41" s="156"/>
      <c r="H41" s="157"/>
      <c r="I41" s="158"/>
    </row>
    <row r="42" spans="1:9" ht="18.75" customHeight="1" x14ac:dyDescent="0.15">
      <c r="A42" s="68">
        <v>23</v>
      </c>
      <c r="B42" s="156"/>
      <c r="C42" s="157"/>
      <c r="D42" s="157"/>
      <c r="E42" s="158"/>
      <c r="F42" s="68">
        <v>48</v>
      </c>
      <c r="G42" s="156"/>
      <c r="H42" s="157"/>
      <c r="I42" s="158"/>
    </row>
    <row r="43" spans="1:9" ht="18.75" customHeight="1" x14ac:dyDescent="0.15">
      <c r="A43" s="68">
        <v>24</v>
      </c>
      <c r="B43" s="156"/>
      <c r="C43" s="157"/>
      <c r="D43" s="157"/>
      <c r="E43" s="158"/>
      <c r="F43" s="68">
        <v>49</v>
      </c>
      <c r="G43" s="156"/>
      <c r="H43" s="157"/>
      <c r="I43" s="158"/>
    </row>
    <row r="44" spans="1:9" ht="18.75" customHeight="1" x14ac:dyDescent="0.15">
      <c r="A44" s="68">
        <v>25</v>
      </c>
      <c r="B44" s="156"/>
      <c r="C44" s="157"/>
      <c r="D44" s="157"/>
      <c r="E44" s="158"/>
      <c r="F44" s="68">
        <v>50</v>
      </c>
      <c r="G44" s="156"/>
      <c r="H44" s="157"/>
      <c r="I44" s="158"/>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Q14" sqref="Q14"/>
    </sheetView>
  </sheetViews>
  <sheetFormatPr defaultColWidth="9" defaultRowHeight="18.75" customHeight="1" x14ac:dyDescent="0.15"/>
  <cols>
    <col min="1" max="2" width="2.5" style="24" customWidth="1"/>
    <col min="3" max="3" width="20" style="24" customWidth="1"/>
    <col min="4" max="4" width="8.75" style="24" customWidth="1"/>
    <col min="5" max="5" width="7.5" style="24" customWidth="1"/>
    <col min="6" max="6" width="2.5" style="24" customWidth="1"/>
    <col min="7" max="7" width="15" style="24" customWidth="1"/>
    <col min="8" max="8" width="12.5" style="24" customWidth="1"/>
    <col min="9" max="9" width="11.25" style="24" customWidth="1"/>
    <col min="10" max="16384" width="9" style="24"/>
  </cols>
  <sheetData>
    <row r="1" spans="1:9" ht="18.75" customHeight="1" x14ac:dyDescent="0.15">
      <c r="I1" s="119" t="s">
        <v>261</v>
      </c>
    </row>
    <row r="2" spans="1:9" ht="18.75" customHeight="1" x14ac:dyDescent="0.15">
      <c r="G2" s="39" t="s">
        <v>31</v>
      </c>
      <c r="H2" s="163" t="s">
        <v>153</v>
      </c>
      <c r="I2" s="163"/>
    </row>
    <row r="3" spans="1:9" ht="7.5" customHeight="1" x14ac:dyDescent="0.15"/>
    <row r="4" spans="1:9" ht="18.75" customHeight="1" x14ac:dyDescent="0.15">
      <c r="A4" s="151" t="s">
        <v>87</v>
      </c>
      <c r="B4" s="151"/>
      <c r="C4" s="151"/>
      <c r="D4" s="151"/>
      <c r="E4" s="151"/>
      <c r="F4" s="151"/>
      <c r="G4" s="151"/>
      <c r="H4" s="151"/>
      <c r="I4" s="151"/>
    </row>
    <row r="5" spans="1:9" ht="7.5" customHeight="1" x14ac:dyDescent="0.15">
      <c r="C5" s="120"/>
      <c r="D5" s="120"/>
      <c r="E5" s="120"/>
      <c r="F5" s="120"/>
      <c r="G5" s="120"/>
      <c r="H5" s="120"/>
      <c r="I5" s="120"/>
    </row>
    <row r="6" spans="1:9" ht="18.75" customHeight="1" x14ac:dyDescent="0.15">
      <c r="A6" s="24" t="s">
        <v>7</v>
      </c>
      <c r="B6" s="24" t="s">
        <v>99</v>
      </c>
      <c r="C6" s="120"/>
      <c r="D6" s="120"/>
      <c r="E6" s="162" t="s">
        <v>142</v>
      </c>
      <c r="F6" s="154"/>
      <c r="G6" s="154"/>
      <c r="H6" s="154"/>
      <c r="I6" s="155"/>
    </row>
    <row r="7" spans="1:9" ht="7.5" customHeight="1" x14ac:dyDescent="0.15">
      <c r="C7" s="120"/>
      <c r="D7" s="120"/>
      <c r="F7" s="118"/>
      <c r="G7" s="118"/>
      <c r="H7" s="118"/>
      <c r="I7" s="118"/>
    </row>
    <row r="8" spans="1:9" ht="18.75" customHeight="1" x14ac:dyDescent="0.15">
      <c r="A8" s="24" t="s">
        <v>12</v>
      </c>
      <c r="B8" s="24" t="s">
        <v>100</v>
      </c>
      <c r="C8" s="120"/>
      <c r="D8" s="120"/>
      <c r="E8" s="120"/>
      <c r="F8" s="120"/>
      <c r="G8" s="120"/>
      <c r="H8" s="120"/>
      <c r="I8" s="120"/>
    </row>
    <row r="9" spans="1:9" ht="18.75" customHeight="1" x14ac:dyDescent="0.15">
      <c r="B9" s="166" t="s">
        <v>263</v>
      </c>
      <c r="C9" s="167"/>
      <c r="D9" s="167"/>
      <c r="E9" s="167"/>
      <c r="F9" s="167"/>
      <c r="G9" s="167"/>
      <c r="H9" s="167"/>
      <c r="I9" s="168"/>
    </row>
    <row r="10" spans="1:9" ht="18.75" customHeight="1" x14ac:dyDescent="0.15">
      <c r="B10" s="169"/>
      <c r="C10" s="170"/>
      <c r="D10" s="170"/>
      <c r="E10" s="170"/>
      <c r="F10" s="170"/>
      <c r="G10" s="170"/>
      <c r="H10" s="170"/>
      <c r="I10" s="171"/>
    </row>
    <row r="11" spans="1:9" ht="18.75" customHeight="1" x14ac:dyDescent="0.15">
      <c r="B11" s="169"/>
      <c r="C11" s="170"/>
      <c r="D11" s="170"/>
      <c r="E11" s="170"/>
      <c r="F11" s="170"/>
      <c r="G11" s="170"/>
      <c r="H11" s="170"/>
      <c r="I11" s="171"/>
    </row>
    <row r="12" spans="1:9" ht="18.75" customHeight="1" x14ac:dyDescent="0.15">
      <c r="B12" s="169"/>
      <c r="C12" s="170"/>
      <c r="D12" s="170"/>
      <c r="E12" s="170"/>
      <c r="F12" s="170"/>
      <c r="G12" s="170"/>
      <c r="H12" s="170"/>
      <c r="I12" s="171"/>
    </row>
    <row r="13" spans="1:9" ht="18.75" customHeight="1" x14ac:dyDescent="0.15">
      <c r="B13" s="169"/>
      <c r="C13" s="170"/>
      <c r="D13" s="170"/>
      <c r="E13" s="170"/>
      <c r="F13" s="170"/>
      <c r="G13" s="170"/>
      <c r="H13" s="170"/>
      <c r="I13" s="171"/>
    </row>
    <row r="14" spans="1:9" ht="18.75" customHeight="1" x14ac:dyDescent="0.15">
      <c r="B14" s="169"/>
      <c r="C14" s="170"/>
      <c r="D14" s="170"/>
      <c r="E14" s="170"/>
      <c r="F14" s="170"/>
      <c r="G14" s="170"/>
      <c r="H14" s="170"/>
      <c r="I14" s="171"/>
    </row>
    <row r="15" spans="1:9" ht="18.75" customHeight="1" x14ac:dyDescent="0.15">
      <c r="B15" s="169"/>
      <c r="C15" s="170"/>
      <c r="D15" s="170"/>
      <c r="E15" s="170"/>
      <c r="F15" s="170"/>
      <c r="G15" s="170"/>
      <c r="H15" s="170"/>
      <c r="I15" s="171"/>
    </row>
    <row r="16" spans="1:9" ht="18.75" customHeight="1" x14ac:dyDescent="0.15">
      <c r="B16" s="172"/>
      <c r="C16" s="173"/>
      <c r="D16" s="173"/>
      <c r="E16" s="173"/>
      <c r="F16" s="173"/>
      <c r="G16" s="173"/>
      <c r="H16" s="173"/>
      <c r="I16" s="174"/>
    </row>
    <row r="17" spans="1:10" ht="7.5" customHeight="1" x14ac:dyDescent="0.15">
      <c r="C17" s="120"/>
      <c r="D17" s="120"/>
      <c r="E17" s="120"/>
      <c r="F17" s="120"/>
      <c r="G17" s="120"/>
      <c r="H17" s="120"/>
      <c r="I17" s="120"/>
    </row>
    <row r="18" spans="1:10" ht="18.75" customHeight="1" x14ac:dyDescent="0.15">
      <c r="A18" s="120" t="s">
        <v>13</v>
      </c>
      <c r="B18" s="27" t="s">
        <v>101</v>
      </c>
      <c r="C18" s="27"/>
      <c r="D18" s="27"/>
      <c r="E18" s="27"/>
      <c r="F18" s="120"/>
      <c r="G18" s="120"/>
      <c r="H18" s="120"/>
      <c r="I18" s="120"/>
      <c r="J18" s="120"/>
    </row>
    <row r="19" spans="1:10" ht="18.75" customHeight="1" x14ac:dyDescent="0.15">
      <c r="A19" s="164" t="s">
        <v>101</v>
      </c>
      <c r="B19" s="164"/>
      <c r="C19" s="164"/>
      <c r="D19" s="164"/>
      <c r="E19" s="164"/>
      <c r="F19" s="165" t="s">
        <v>101</v>
      </c>
      <c r="G19" s="165"/>
      <c r="H19" s="165"/>
      <c r="I19" s="165"/>
    </row>
    <row r="20" spans="1:10" ht="18.75" customHeight="1" x14ac:dyDescent="0.15">
      <c r="A20" s="68">
        <v>1</v>
      </c>
      <c r="B20" s="159" t="s">
        <v>145</v>
      </c>
      <c r="C20" s="160"/>
      <c r="D20" s="160"/>
      <c r="E20" s="161"/>
      <c r="F20" s="68">
        <v>26</v>
      </c>
      <c r="G20" s="156"/>
      <c r="H20" s="157"/>
      <c r="I20" s="158"/>
    </row>
    <row r="21" spans="1:10" ht="18.75" customHeight="1" x14ac:dyDescent="0.15">
      <c r="A21" s="68">
        <v>2</v>
      </c>
      <c r="B21" s="159" t="s">
        <v>146</v>
      </c>
      <c r="C21" s="160"/>
      <c r="D21" s="160"/>
      <c r="E21" s="161"/>
      <c r="F21" s="68">
        <v>27</v>
      </c>
      <c r="G21" s="156"/>
      <c r="H21" s="157"/>
      <c r="I21" s="158"/>
    </row>
    <row r="22" spans="1:10" ht="18.75" customHeight="1" x14ac:dyDescent="0.15">
      <c r="A22" s="68">
        <v>3</v>
      </c>
      <c r="B22" s="159"/>
      <c r="C22" s="160"/>
      <c r="D22" s="160"/>
      <c r="E22" s="161"/>
      <c r="F22" s="68">
        <v>28</v>
      </c>
      <c r="G22" s="156"/>
      <c r="H22" s="157"/>
      <c r="I22" s="158"/>
    </row>
    <row r="23" spans="1:10" ht="18.75" customHeight="1" x14ac:dyDescent="0.15">
      <c r="A23" s="68">
        <v>4</v>
      </c>
      <c r="B23" s="159"/>
      <c r="C23" s="160"/>
      <c r="D23" s="160"/>
      <c r="E23" s="161"/>
      <c r="F23" s="68">
        <v>29</v>
      </c>
      <c r="G23" s="156"/>
      <c r="H23" s="157"/>
      <c r="I23" s="158"/>
    </row>
    <row r="24" spans="1:10" ht="18.75" customHeight="1" x14ac:dyDescent="0.15">
      <c r="A24" s="68">
        <v>5</v>
      </c>
      <c r="B24" s="159"/>
      <c r="C24" s="160"/>
      <c r="D24" s="160"/>
      <c r="E24" s="161"/>
      <c r="F24" s="68">
        <v>30</v>
      </c>
      <c r="G24" s="156"/>
      <c r="H24" s="157"/>
      <c r="I24" s="158"/>
    </row>
    <row r="25" spans="1:10" ht="18.75" customHeight="1" x14ac:dyDescent="0.15">
      <c r="A25" s="68">
        <v>6</v>
      </c>
      <c r="B25" s="159"/>
      <c r="C25" s="160"/>
      <c r="D25" s="160"/>
      <c r="E25" s="161"/>
      <c r="F25" s="68">
        <v>31</v>
      </c>
      <c r="G25" s="156"/>
      <c r="H25" s="157"/>
      <c r="I25" s="158"/>
    </row>
    <row r="26" spans="1:10" ht="18.75" customHeight="1" x14ac:dyDescent="0.15">
      <c r="A26" s="68">
        <v>7</v>
      </c>
      <c r="B26" s="159"/>
      <c r="C26" s="160"/>
      <c r="D26" s="160"/>
      <c r="E26" s="161"/>
      <c r="F26" s="68">
        <v>32</v>
      </c>
      <c r="G26" s="156"/>
      <c r="H26" s="157"/>
      <c r="I26" s="158"/>
    </row>
    <row r="27" spans="1:10" ht="18.75" customHeight="1" x14ac:dyDescent="0.15">
      <c r="A27" s="68">
        <v>8</v>
      </c>
      <c r="B27" s="159"/>
      <c r="C27" s="160"/>
      <c r="D27" s="160"/>
      <c r="E27" s="161"/>
      <c r="F27" s="68">
        <v>33</v>
      </c>
      <c r="G27" s="156"/>
      <c r="H27" s="157"/>
      <c r="I27" s="158"/>
    </row>
    <row r="28" spans="1:10" ht="18.75" customHeight="1" x14ac:dyDescent="0.15">
      <c r="A28" s="68">
        <v>9</v>
      </c>
      <c r="B28" s="159"/>
      <c r="C28" s="160"/>
      <c r="D28" s="160"/>
      <c r="E28" s="161"/>
      <c r="F28" s="68">
        <v>34</v>
      </c>
      <c r="G28" s="156"/>
      <c r="H28" s="157"/>
      <c r="I28" s="158"/>
    </row>
    <row r="29" spans="1:10" ht="18.75" customHeight="1" x14ac:dyDescent="0.15">
      <c r="A29" s="68">
        <v>10</v>
      </c>
      <c r="B29" s="159"/>
      <c r="C29" s="160"/>
      <c r="D29" s="160"/>
      <c r="E29" s="161"/>
      <c r="F29" s="68">
        <v>35</v>
      </c>
      <c r="G29" s="156"/>
      <c r="H29" s="157"/>
      <c r="I29" s="158"/>
    </row>
    <row r="30" spans="1:10" ht="18.75" customHeight="1" x14ac:dyDescent="0.15">
      <c r="A30" s="68">
        <v>11</v>
      </c>
      <c r="B30" s="156"/>
      <c r="C30" s="157"/>
      <c r="D30" s="157"/>
      <c r="E30" s="158"/>
      <c r="F30" s="68">
        <v>36</v>
      </c>
      <c r="G30" s="156"/>
      <c r="H30" s="157"/>
      <c r="I30" s="158"/>
    </row>
    <row r="31" spans="1:10" ht="18.75" customHeight="1" x14ac:dyDescent="0.15">
      <c r="A31" s="68">
        <v>12</v>
      </c>
      <c r="B31" s="156"/>
      <c r="C31" s="157"/>
      <c r="D31" s="157"/>
      <c r="E31" s="158"/>
      <c r="F31" s="68">
        <v>37</v>
      </c>
      <c r="G31" s="156"/>
      <c r="H31" s="157"/>
      <c r="I31" s="158"/>
    </row>
    <row r="32" spans="1:10" ht="18.75" customHeight="1" x14ac:dyDescent="0.15">
      <c r="A32" s="68">
        <v>13</v>
      </c>
      <c r="B32" s="156"/>
      <c r="C32" s="157"/>
      <c r="D32" s="157"/>
      <c r="E32" s="158"/>
      <c r="F32" s="68">
        <v>38</v>
      </c>
      <c r="G32" s="156"/>
      <c r="H32" s="157"/>
      <c r="I32" s="158"/>
    </row>
    <row r="33" spans="1:9" ht="18.75" customHeight="1" x14ac:dyDescent="0.15">
      <c r="A33" s="68">
        <v>14</v>
      </c>
      <c r="B33" s="156"/>
      <c r="C33" s="157"/>
      <c r="D33" s="157"/>
      <c r="E33" s="158"/>
      <c r="F33" s="68">
        <v>39</v>
      </c>
      <c r="G33" s="156"/>
      <c r="H33" s="157"/>
      <c r="I33" s="158"/>
    </row>
    <row r="34" spans="1:9" ht="18.75" customHeight="1" x14ac:dyDescent="0.15">
      <c r="A34" s="68">
        <v>15</v>
      </c>
      <c r="B34" s="156"/>
      <c r="C34" s="157"/>
      <c r="D34" s="157"/>
      <c r="E34" s="158"/>
      <c r="F34" s="68">
        <v>40</v>
      </c>
      <c r="G34" s="156"/>
      <c r="H34" s="157"/>
      <c r="I34" s="158"/>
    </row>
    <row r="35" spans="1:9" ht="18.75" customHeight="1" x14ac:dyDescent="0.15">
      <c r="A35" s="68">
        <v>16</v>
      </c>
      <c r="B35" s="156"/>
      <c r="C35" s="157"/>
      <c r="D35" s="157"/>
      <c r="E35" s="158"/>
      <c r="F35" s="68">
        <v>41</v>
      </c>
      <c r="G35" s="156"/>
      <c r="H35" s="157"/>
      <c r="I35" s="158"/>
    </row>
    <row r="36" spans="1:9" ht="18.75" customHeight="1" x14ac:dyDescent="0.15">
      <c r="A36" s="68">
        <v>17</v>
      </c>
      <c r="B36" s="156"/>
      <c r="C36" s="157"/>
      <c r="D36" s="157"/>
      <c r="E36" s="158"/>
      <c r="F36" s="68">
        <v>42</v>
      </c>
      <c r="G36" s="156"/>
      <c r="H36" s="157"/>
      <c r="I36" s="158"/>
    </row>
    <row r="37" spans="1:9" ht="18.75" customHeight="1" x14ac:dyDescent="0.15">
      <c r="A37" s="68">
        <v>18</v>
      </c>
      <c r="B37" s="156"/>
      <c r="C37" s="157"/>
      <c r="D37" s="157"/>
      <c r="E37" s="158"/>
      <c r="F37" s="68">
        <v>43</v>
      </c>
      <c r="G37" s="156"/>
      <c r="H37" s="157"/>
      <c r="I37" s="158"/>
    </row>
    <row r="38" spans="1:9" ht="18.75" customHeight="1" x14ac:dyDescent="0.15">
      <c r="A38" s="68">
        <v>19</v>
      </c>
      <c r="B38" s="156"/>
      <c r="C38" s="157"/>
      <c r="D38" s="157"/>
      <c r="E38" s="158"/>
      <c r="F38" s="68">
        <v>44</v>
      </c>
      <c r="G38" s="156"/>
      <c r="H38" s="157"/>
      <c r="I38" s="158"/>
    </row>
    <row r="39" spans="1:9" ht="18.75" customHeight="1" x14ac:dyDescent="0.15">
      <c r="A39" s="68">
        <v>20</v>
      </c>
      <c r="B39" s="156"/>
      <c r="C39" s="157"/>
      <c r="D39" s="157"/>
      <c r="E39" s="158"/>
      <c r="F39" s="68">
        <v>45</v>
      </c>
      <c r="G39" s="156"/>
      <c r="H39" s="157"/>
      <c r="I39" s="158"/>
    </row>
    <row r="40" spans="1:9" ht="18.75" customHeight="1" x14ac:dyDescent="0.15">
      <c r="A40" s="68">
        <v>21</v>
      </c>
      <c r="B40" s="156"/>
      <c r="C40" s="157"/>
      <c r="D40" s="157"/>
      <c r="E40" s="158"/>
      <c r="F40" s="68">
        <v>46</v>
      </c>
      <c r="G40" s="156"/>
      <c r="H40" s="157"/>
      <c r="I40" s="158"/>
    </row>
    <row r="41" spans="1:9" ht="18.75" customHeight="1" x14ac:dyDescent="0.15">
      <c r="A41" s="68">
        <v>22</v>
      </c>
      <c r="B41" s="156"/>
      <c r="C41" s="157"/>
      <c r="D41" s="157"/>
      <c r="E41" s="158"/>
      <c r="F41" s="68">
        <v>47</v>
      </c>
      <c r="G41" s="156"/>
      <c r="H41" s="157"/>
      <c r="I41" s="158"/>
    </row>
    <row r="42" spans="1:9" ht="18.75" customHeight="1" x14ac:dyDescent="0.15">
      <c r="A42" s="68">
        <v>23</v>
      </c>
      <c r="B42" s="156"/>
      <c r="C42" s="157"/>
      <c r="D42" s="157"/>
      <c r="E42" s="158"/>
      <c r="F42" s="68">
        <v>48</v>
      </c>
      <c r="G42" s="156"/>
      <c r="H42" s="157"/>
      <c r="I42" s="158"/>
    </row>
    <row r="43" spans="1:9" ht="18.75" customHeight="1" x14ac:dyDescent="0.15">
      <c r="A43" s="68">
        <v>24</v>
      </c>
      <c r="B43" s="156"/>
      <c r="C43" s="157"/>
      <c r="D43" s="157"/>
      <c r="E43" s="158"/>
      <c r="F43" s="68">
        <v>49</v>
      </c>
      <c r="G43" s="156"/>
      <c r="H43" s="157"/>
      <c r="I43" s="158"/>
    </row>
    <row r="44" spans="1:9" ht="18.75" customHeight="1" x14ac:dyDescent="0.15">
      <c r="A44" s="68">
        <v>25</v>
      </c>
      <c r="B44" s="156"/>
      <c r="C44" s="157"/>
      <c r="D44" s="157"/>
      <c r="E44" s="158"/>
      <c r="F44" s="68">
        <v>50</v>
      </c>
      <c r="G44" s="156"/>
      <c r="H44" s="157"/>
      <c r="I44" s="158"/>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view="pageBreakPreview" zoomScale="60" zoomScaleNormal="100" workbookViewId="0">
      <selection activeCell="Q14" sqref="Q14"/>
    </sheetView>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75" t="s">
        <v>71</v>
      </c>
      <c r="G1" s="175"/>
      <c r="H1" s="175"/>
      <c r="I1" s="175"/>
      <c r="J1" s="175"/>
      <c r="K1" s="175"/>
      <c r="L1" s="175"/>
      <c r="M1" s="175"/>
      <c r="N1" s="175"/>
      <c r="O1" s="175"/>
      <c r="P1" s="175"/>
      <c r="Q1" s="175"/>
      <c r="R1" s="175"/>
    </row>
    <row r="2" spans="1:20" ht="18.75" customHeight="1" x14ac:dyDescent="0.15">
      <c r="D2" s="91"/>
      <c r="E2" s="91"/>
      <c r="F2" s="91"/>
      <c r="G2" s="91"/>
      <c r="H2" s="91"/>
      <c r="I2" s="91"/>
      <c r="J2" s="91"/>
      <c r="K2" s="175" t="s">
        <v>63</v>
      </c>
      <c r="L2" s="175"/>
      <c r="M2" s="5" t="s">
        <v>152</v>
      </c>
      <c r="N2" s="91"/>
      <c r="O2" s="91"/>
      <c r="P2" s="91"/>
      <c r="Q2" s="91"/>
      <c r="R2" s="91"/>
    </row>
    <row r="3" spans="1:20" ht="7.5" customHeight="1" x14ac:dyDescent="0.15"/>
    <row r="4" spans="1:20" ht="18.75" customHeight="1" x14ac:dyDescent="0.15">
      <c r="A4" s="185" t="s">
        <v>121</v>
      </c>
      <c r="B4" s="185"/>
      <c r="C4" s="185"/>
      <c r="D4" s="185"/>
      <c r="E4" s="185"/>
      <c r="F4" s="185"/>
      <c r="G4" s="185"/>
      <c r="H4" s="185"/>
      <c r="I4" s="185"/>
      <c r="J4" s="185"/>
      <c r="K4" s="185"/>
      <c r="L4" s="185"/>
      <c r="M4" s="185"/>
      <c r="N4" s="185"/>
      <c r="O4" s="185"/>
      <c r="P4" s="185"/>
      <c r="Q4" s="185"/>
      <c r="R4" s="185"/>
      <c r="S4" s="5"/>
    </row>
    <row r="5" spans="1:20" ht="7.5" customHeight="1" x14ac:dyDescent="0.15">
      <c r="A5" s="90"/>
      <c r="B5" s="90"/>
      <c r="C5" s="90"/>
      <c r="D5" s="90"/>
      <c r="E5" s="90"/>
      <c r="F5" s="90"/>
      <c r="G5" s="90"/>
      <c r="H5" s="90"/>
      <c r="I5" s="90"/>
      <c r="J5" s="90"/>
      <c r="K5" s="90"/>
      <c r="L5" s="90"/>
      <c r="M5" s="90"/>
      <c r="N5" s="90"/>
      <c r="O5" s="90"/>
      <c r="P5" s="90"/>
      <c r="Q5" s="90"/>
      <c r="R5" s="90"/>
    </row>
    <row r="6" spans="1:20" ht="18.75" customHeight="1" x14ac:dyDescent="0.15">
      <c r="B6" s="188" t="s">
        <v>125</v>
      </c>
      <c r="C6" s="189"/>
      <c r="D6" s="176" t="s">
        <v>88</v>
      </c>
      <c r="E6" s="178" t="s">
        <v>115</v>
      </c>
      <c r="F6" s="178"/>
      <c r="G6" s="178" t="s">
        <v>116</v>
      </c>
      <c r="H6" s="178"/>
      <c r="I6" s="179" t="s">
        <v>117</v>
      </c>
      <c r="J6" s="180"/>
      <c r="K6" s="179" t="s">
        <v>118</v>
      </c>
      <c r="L6" s="180"/>
      <c r="M6" s="179" t="s">
        <v>119</v>
      </c>
      <c r="N6" s="180"/>
      <c r="O6" s="179" t="s">
        <v>120</v>
      </c>
      <c r="P6" s="180"/>
      <c r="Q6" s="181" t="s">
        <v>70</v>
      </c>
      <c r="R6" s="183" t="s">
        <v>64</v>
      </c>
      <c r="T6" s="92"/>
    </row>
    <row r="7" spans="1:20" ht="18.75" customHeight="1" x14ac:dyDescent="0.15">
      <c r="B7" s="190"/>
      <c r="C7" s="191"/>
      <c r="D7" s="177"/>
      <c r="E7" s="46" t="s">
        <v>50</v>
      </c>
      <c r="F7" s="48" t="s">
        <v>49</v>
      </c>
      <c r="G7" s="49" t="s">
        <v>50</v>
      </c>
      <c r="H7" s="47" t="s">
        <v>49</v>
      </c>
      <c r="I7" s="46" t="s">
        <v>50</v>
      </c>
      <c r="J7" s="48" t="s">
        <v>49</v>
      </c>
      <c r="K7" s="49" t="s">
        <v>50</v>
      </c>
      <c r="L7" s="47" t="s">
        <v>49</v>
      </c>
      <c r="M7" s="46" t="s">
        <v>50</v>
      </c>
      <c r="N7" s="48" t="s">
        <v>49</v>
      </c>
      <c r="O7" s="49" t="s">
        <v>50</v>
      </c>
      <c r="P7" s="47" t="s">
        <v>49</v>
      </c>
      <c r="Q7" s="182"/>
      <c r="R7" s="184"/>
      <c r="T7" s="92"/>
    </row>
    <row r="8" spans="1:20" ht="18.75" customHeight="1" x14ac:dyDescent="0.15">
      <c r="A8" s="93"/>
      <c r="B8" s="198" t="s">
        <v>147</v>
      </c>
      <c r="C8" s="199"/>
      <c r="D8" s="94">
        <v>760</v>
      </c>
      <c r="E8" s="95">
        <v>39</v>
      </c>
      <c r="F8" s="96">
        <v>34</v>
      </c>
      <c r="G8" s="97">
        <v>24</v>
      </c>
      <c r="H8" s="98">
        <v>20</v>
      </c>
      <c r="I8" s="95">
        <v>13</v>
      </c>
      <c r="J8" s="96">
        <v>9</v>
      </c>
      <c r="K8" s="97">
        <v>0</v>
      </c>
      <c r="L8" s="98">
        <v>0</v>
      </c>
      <c r="M8" s="95">
        <v>0</v>
      </c>
      <c r="N8" s="96">
        <v>0</v>
      </c>
      <c r="O8" s="97">
        <v>0</v>
      </c>
      <c r="P8" s="98">
        <v>0</v>
      </c>
      <c r="Q8" s="99">
        <f>E8+G8+I8+K8+M8+O8</f>
        <v>76</v>
      </c>
      <c r="R8" s="100">
        <f>Q8/D8</f>
        <v>0.1</v>
      </c>
    </row>
    <row r="9" spans="1:20" ht="18.75" customHeight="1" x14ac:dyDescent="0.15">
      <c r="A9" s="93"/>
      <c r="B9" s="192" t="s">
        <v>149</v>
      </c>
      <c r="C9" s="193"/>
      <c r="D9" s="101">
        <v>520</v>
      </c>
      <c r="E9" s="102">
        <v>99</v>
      </c>
      <c r="F9" s="103">
        <v>85</v>
      </c>
      <c r="G9" s="104">
        <v>59</v>
      </c>
      <c r="H9" s="105">
        <v>54</v>
      </c>
      <c r="I9" s="102">
        <v>61</v>
      </c>
      <c r="J9" s="103">
        <v>57</v>
      </c>
      <c r="K9" s="104">
        <v>0</v>
      </c>
      <c r="L9" s="105">
        <v>0</v>
      </c>
      <c r="M9" s="102">
        <v>0</v>
      </c>
      <c r="N9" s="103">
        <v>0</v>
      </c>
      <c r="O9" s="104">
        <v>0</v>
      </c>
      <c r="P9" s="105">
        <v>0</v>
      </c>
      <c r="Q9" s="106">
        <f t="shared" ref="Q9:Q26" si="0">E9+G9+I9+K9+M9+O9</f>
        <v>219</v>
      </c>
      <c r="R9" s="100">
        <f t="shared" ref="R9:R26" si="1">Q9/D9</f>
        <v>0.42115384615384616</v>
      </c>
    </row>
    <row r="10" spans="1:20" ht="18.75" customHeight="1" x14ac:dyDescent="0.15">
      <c r="A10" s="93"/>
      <c r="B10" s="192" t="s">
        <v>150</v>
      </c>
      <c r="C10" s="193"/>
      <c r="D10" s="101">
        <v>320</v>
      </c>
      <c r="E10" s="102">
        <v>25</v>
      </c>
      <c r="F10" s="103">
        <v>25</v>
      </c>
      <c r="G10" s="104">
        <v>54</v>
      </c>
      <c r="H10" s="105">
        <v>49</v>
      </c>
      <c r="I10" s="102">
        <v>2</v>
      </c>
      <c r="J10" s="103">
        <v>2</v>
      </c>
      <c r="K10" s="104">
        <v>0</v>
      </c>
      <c r="L10" s="105">
        <v>0</v>
      </c>
      <c r="M10" s="102">
        <v>0</v>
      </c>
      <c r="N10" s="103">
        <v>0</v>
      </c>
      <c r="O10" s="104">
        <v>0</v>
      </c>
      <c r="P10" s="105">
        <v>0</v>
      </c>
      <c r="Q10" s="106">
        <f t="shared" si="0"/>
        <v>81</v>
      </c>
      <c r="R10" s="100">
        <f t="shared" si="1"/>
        <v>0.25312499999999999</v>
      </c>
    </row>
    <row r="11" spans="1:20" ht="18.75" customHeight="1" x14ac:dyDescent="0.15">
      <c r="A11" s="93"/>
      <c r="B11" s="192" t="s">
        <v>201</v>
      </c>
      <c r="C11" s="193"/>
      <c r="D11" s="101">
        <v>902</v>
      </c>
      <c r="E11" s="102">
        <v>103</v>
      </c>
      <c r="F11" s="103">
        <v>101</v>
      </c>
      <c r="G11" s="104">
        <v>102</v>
      </c>
      <c r="H11" s="105">
        <v>102</v>
      </c>
      <c r="I11" s="102">
        <v>104</v>
      </c>
      <c r="J11" s="103">
        <v>103</v>
      </c>
      <c r="K11" s="104">
        <v>0</v>
      </c>
      <c r="L11" s="105">
        <v>0</v>
      </c>
      <c r="M11" s="102">
        <v>0</v>
      </c>
      <c r="N11" s="103">
        <v>0</v>
      </c>
      <c r="O11" s="104">
        <v>0</v>
      </c>
      <c r="P11" s="105">
        <v>0</v>
      </c>
      <c r="Q11" s="106">
        <f t="shared" si="0"/>
        <v>309</v>
      </c>
      <c r="R11" s="100">
        <f t="shared" si="1"/>
        <v>0.34257206208425722</v>
      </c>
    </row>
    <row r="12" spans="1:20" ht="18.75" customHeight="1" x14ac:dyDescent="0.15">
      <c r="A12" s="93"/>
      <c r="B12" s="192" t="s">
        <v>148</v>
      </c>
      <c r="C12" s="193"/>
      <c r="D12" s="121">
        <v>1624</v>
      </c>
      <c r="E12" s="102">
        <v>143</v>
      </c>
      <c r="F12" s="103">
        <v>104</v>
      </c>
      <c r="G12" s="104">
        <v>128</v>
      </c>
      <c r="H12" s="105">
        <v>105</v>
      </c>
      <c r="I12" s="102">
        <v>84</v>
      </c>
      <c r="J12" s="103">
        <v>65</v>
      </c>
      <c r="K12" s="104">
        <v>0</v>
      </c>
      <c r="L12" s="105">
        <v>0</v>
      </c>
      <c r="M12" s="102">
        <v>0</v>
      </c>
      <c r="N12" s="103">
        <v>0</v>
      </c>
      <c r="O12" s="104">
        <v>0</v>
      </c>
      <c r="P12" s="105">
        <v>0</v>
      </c>
      <c r="Q12" s="106">
        <f t="shared" si="0"/>
        <v>355</v>
      </c>
      <c r="R12" s="100">
        <f t="shared" si="1"/>
        <v>0.21859605911330049</v>
      </c>
    </row>
    <row r="13" spans="1:20" ht="18.75" customHeight="1" x14ac:dyDescent="0.15">
      <c r="A13" s="93"/>
      <c r="B13" s="196" t="s">
        <v>151</v>
      </c>
      <c r="C13" s="197"/>
      <c r="D13" s="121">
        <v>835</v>
      </c>
      <c r="E13" s="102">
        <v>51</v>
      </c>
      <c r="F13" s="103">
        <v>35</v>
      </c>
      <c r="G13" s="104">
        <v>19</v>
      </c>
      <c r="H13" s="105">
        <v>18</v>
      </c>
      <c r="I13" s="102">
        <v>19</v>
      </c>
      <c r="J13" s="103">
        <v>14</v>
      </c>
      <c r="K13" s="104">
        <v>0</v>
      </c>
      <c r="L13" s="105">
        <v>0</v>
      </c>
      <c r="M13" s="102">
        <v>0</v>
      </c>
      <c r="N13" s="103">
        <v>0</v>
      </c>
      <c r="O13" s="104">
        <v>0</v>
      </c>
      <c r="P13" s="105">
        <v>0</v>
      </c>
      <c r="Q13" s="106">
        <f t="shared" si="0"/>
        <v>89</v>
      </c>
      <c r="R13" s="100">
        <f t="shared" si="1"/>
        <v>0.10658682634730539</v>
      </c>
    </row>
    <row r="14" spans="1:20" ht="18.75" customHeight="1" x14ac:dyDescent="0.15">
      <c r="A14" s="93"/>
      <c r="B14" s="192"/>
      <c r="C14" s="193"/>
      <c r="D14" s="101"/>
      <c r="E14" s="102"/>
      <c r="F14" s="103"/>
      <c r="G14" s="104"/>
      <c r="H14" s="105"/>
      <c r="I14" s="102"/>
      <c r="J14" s="103"/>
      <c r="K14" s="104"/>
      <c r="L14" s="105"/>
      <c r="M14" s="102"/>
      <c r="N14" s="103"/>
      <c r="O14" s="104"/>
      <c r="P14" s="105"/>
      <c r="Q14" s="106">
        <f t="shared" si="0"/>
        <v>0</v>
      </c>
      <c r="R14" s="100" t="e">
        <f t="shared" si="1"/>
        <v>#DIV/0!</v>
      </c>
    </row>
    <row r="15" spans="1:20" ht="18.75" customHeight="1" x14ac:dyDescent="0.15">
      <c r="A15" s="93"/>
      <c r="B15" s="192"/>
      <c r="C15" s="193"/>
      <c r="D15" s="101"/>
      <c r="E15" s="102"/>
      <c r="F15" s="103"/>
      <c r="G15" s="104"/>
      <c r="H15" s="105"/>
      <c r="I15" s="102"/>
      <c r="J15" s="103"/>
      <c r="K15" s="104"/>
      <c r="L15" s="105"/>
      <c r="M15" s="102"/>
      <c r="N15" s="103"/>
      <c r="O15" s="104"/>
      <c r="P15" s="105"/>
      <c r="Q15" s="106">
        <f>E15+G15+I15+K15+M15+O15</f>
        <v>0</v>
      </c>
      <c r="R15" s="100" t="e">
        <f t="shared" si="1"/>
        <v>#DIV/0!</v>
      </c>
    </row>
    <row r="16" spans="1:20" ht="18.75" customHeight="1" x14ac:dyDescent="0.15">
      <c r="A16" s="93"/>
      <c r="B16" s="192"/>
      <c r="C16" s="193"/>
      <c r="D16" s="101"/>
      <c r="E16" s="102"/>
      <c r="F16" s="103"/>
      <c r="G16" s="104"/>
      <c r="H16" s="105"/>
      <c r="I16" s="102"/>
      <c r="J16" s="103"/>
      <c r="K16" s="104"/>
      <c r="L16" s="105"/>
      <c r="M16" s="102"/>
      <c r="N16" s="103"/>
      <c r="O16" s="104"/>
      <c r="P16" s="105"/>
      <c r="Q16" s="106">
        <f t="shared" si="0"/>
        <v>0</v>
      </c>
      <c r="R16" s="100" t="e">
        <f t="shared" si="1"/>
        <v>#DIV/0!</v>
      </c>
    </row>
    <row r="17" spans="1:18" ht="18.75" customHeight="1" x14ac:dyDescent="0.15">
      <c r="A17" s="93"/>
      <c r="B17" s="192"/>
      <c r="C17" s="193"/>
      <c r="D17" s="101"/>
      <c r="E17" s="102"/>
      <c r="F17" s="103"/>
      <c r="G17" s="104"/>
      <c r="H17" s="105"/>
      <c r="I17" s="102"/>
      <c r="J17" s="103"/>
      <c r="K17" s="104"/>
      <c r="L17" s="105"/>
      <c r="M17" s="102"/>
      <c r="N17" s="103"/>
      <c r="O17" s="104"/>
      <c r="P17" s="105"/>
      <c r="Q17" s="106">
        <f t="shared" si="0"/>
        <v>0</v>
      </c>
      <c r="R17" s="100" t="e">
        <f t="shared" si="1"/>
        <v>#DIV/0!</v>
      </c>
    </row>
    <row r="18" spans="1:18" ht="18.75" customHeight="1" x14ac:dyDescent="0.15">
      <c r="A18" s="93"/>
      <c r="B18" s="192"/>
      <c r="C18" s="193"/>
      <c r="D18" s="101"/>
      <c r="E18" s="102"/>
      <c r="F18" s="103"/>
      <c r="G18" s="104"/>
      <c r="H18" s="105"/>
      <c r="I18" s="102"/>
      <c r="J18" s="103"/>
      <c r="K18" s="104"/>
      <c r="L18" s="105"/>
      <c r="M18" s="102"/>
      <c r="N18" s="103"/>
      <c r="O18" s="104"/>
      <c r="P18" s="105"/>
      <c r="Q18" s="106">
        <f t="shared" si="0"/>
        <v>0</v>
      </c>
      <c r="R18" s="100" t="e">
        <f t="shared" si="1"/>
        <v>#DIV/0!</v>
      </c>
    </row>
    <row r="19" spans="1:18" ht="18.75" customHeight="1" x14ac:dyDescent="0.15">
      <c r="A19" s="93"/>
      <c r="B19" s="192"/>
      <c r="C19" s="193"/>
      <c r="D19" s="101"/>
      <c r="E19" s="102"/>
      <c r="F19" s="103"/>
      <c r="G19" s="104"/>
      <c r="H19" s="105"/>
      <c r="I19" s="102"/>
      <c r="J19" s="103"/>
      <c r="K19" s="104"/>
      <c r="L19" s="105"/>
      <c r="M19" s="102"/>
      <c r="N19" s="103"/>
      <c r="O19" s="104"/>
      <c r="P19" s="105"/>
      <c r="Q19" s="106">
        <f t="shared" si="0"/>
        <v>0</v>
      </c>
      <c r="R19" s="100" t="e">
        <f t="shared" si="1"/>
        <v>#DIV/0!</v>
      </c>
    </row>
    <row r="20" spans="1:18" ht="18.75" customHeight="1" x14ac:dyDescent="0.15">
      <c r="A20" s="93"/>
      <c r="B20" s="192"/>
      <c r="C20" s="193"/>
      <c r="D20" s="101"/>
      <c r="E20" s="102"/>
      <c r="F20" s="103"/>
      <c r="G20" s="104"/>
      <c r="H20" s="105"/>
      <c r="I20" s="102"/>
      <c r="J20" s="103"/>
      <c r="K20" s="104"/>
      <c r="L20" s="105"/>
      <c r="M20" s="102"/>
      <c r="N20" s="103"/>
      <c r="O20" s="104"/>
      <c r="P20" s="105"/>
      <c r="Q20" s="106">
        <f t="shared" si="0"/>
        <v>0</v>
      </c>
      <c r="R20" s="100" t="e">
        <f t="shared" si="1"/>
        <v>#DIV/0!</v>
      </c>
    </row>
    <row r="21" spans="1:18" ht="18.75" customHeight="1" x14ac:dyDescent="0.15">
      <c r="A21" s="93"/>
      <c r="B21" s="192"/>
      <c r="C21" s="193"/>
      <c r="D21" s="101"/>
      <c r="E21" s="102"/>
      <c r="F21" s="103"/>
      <c r="G21" s="104"/>
      <c r="H21" s="105"/>
      <c r="I21" s="102"/>
      <c r="J21" s="103"/>
      <c r="K21" s="104"/>
      <c r="L21" s="105"/>
      <c r="M21" s="102"/>
      <c r="N21" s="103"/>
      <c r="O21" s="104"/>
      <c r="P21" s="105"/>
      <c r="Q21" s="106">
        <f t="shared" si="0"/>
        <v>0</v>
      </c>
      <c r="R21" s="100" t="e">
        <f t="shared" si="1"/>
        <v>#DIV/0!</v>
      </c>
    </row>
    <row r="22" spans="1:18" ht="18.75" customHeight="1" x14ac:dyDescent="0.15">
      <c r="A22" s="93"/>
      <c r="B22" s="192"/>
      <c r="C22" s="193"/>
      <c r="D22" s="101"/>
      <c r="E22" s="102"/>
      <c r="F22" s="103"/>
      <c r="G22" s="104"/>
      <c r="H22" s="105"/>
      <c r="I22" s="102"/>
      <c r="J22" s="103"/>
      <c r="K22" s="104"/>
      <c r="L22" s="105"/>
      <c r="M22" s="102"/>
      <c r="N22" s="103"/>
      <c r="O22" s="104"/>
      <c r="P22" s="105"/>
      <c r="Q22" s="106">
        <f t="shared" si="0"/>
        <v>0</v>
      </c>
      <c r="R22" s="100" t="e">
        <f t="shared" si="1"/>
        <v>#DIV/0!</v>
      </c>
    </row>
    <row r="23" spans="1:18" ht="18.75" customHeight="1" x14ac:dyDescent="0.15">
      <c r="A23" s="93"/>
      <c r="B23" s="192"/>
      <c r="C23" s="193"/>
      <c r="D23" s="101"/>
      <c r="E23" s="102"/>
      <c r="F23" s="103"/>
      <c r="G23" s="104"/>
      <c r="H23" s="105"/>
      <c r="I23" s="102"/>
      <c r="J23" s="103"/>
      <c r="K23" s="104"/>
      <c r="L23" s="105"/>
      <c r="M23" s="102"/>
      <c r="N23" s="103"/>
      <c r="O23" s="104"/>
      <c r="P23" s="105"/>
      <c r="Q23" s="106">
        <f t="shared" si="0"/>
        <v>0</v>
      </c>
      <c r="R23" s="100" t="e">
        <f t="shared" si="1"/>
        <v>#DIV/0!</v>
      </c>
    </row>
    <row r="24" spans="1:18" ht="18.75" customHeight="1" x14ac:dyDescent="0.15">
      <c r="A24" s="93"/>
      <c r="B24" s="192"/>
      <c r="C24" s="193"/>
      <c r="D24" s="101"/>
      <c r="E24" s="102"/>
      <c r="F24" s="103"/>
      <c r="G24" s="104"/>
      <c r="H24" s="105"/>
      <c r="I24" s="102"/>
      <c r="J24" s="103"/>
      <c r="K24" s="104"/>
      <c r="L24" s="105"/>
      <c r="M24" s="102"/>
      <c r="N24" s="103"/>
      <c r="O24" s="104"/>
      <c r="P24" s="105"/>
      <c r="Q24" s="106">
        <f t="shared" si="0"/>
        <v>0</v>
      </c>
      <c r="R24" s="100" t="e">
        <f t="shared" si="1"/>
        <v>#DIV/0!</v>
      </c>
    </row>
    <row r="25" spans="1:18" ht="18.75" customHeight="1" x14ac:dyDescent="0.15">
      <c r="A25" s="93"/>
      <c r="B25" s="192"/>
      <c r="C25" s="193"/>
      <c r="D25" s="101"/>
      <c r="E25" s="102"/>
      <c r="F25" s="103"/>
      <c r="G25" s="104"/>
      <c r="H25" s="105"/>
      <c r="I25" s="102"/>
      <c r="J25" s="103"/>
      <c r="K25" s="104"/>
      <c r="L25" s="105"/>
      <c r="M25" s="102"/>
      <c r="N25" s="103"/>
      <c r="O25" s="104"/>
      <c r="P25" s="105"/>
      <c r="Q25" s="106">
        <f t="shared" si="0"/>
        <v>0</v>
      </c>
      <c r="R25" s="100" t="e">
        <f t="shared" si="1"/>
        <v>#DIV/0!</v>
      </c>
    </row>
    <row r="26" spans="1:18" ht="18.75" customHeight="1" thickBot="1" x14ac:dyDescent="0.2">
      <c r="A26" s="93"/>
      <c r="B26" s="194"/>
      <c r="C26" s="195"/>
      <c r="D26" s="94"/>
      <c r="E26" s="95"/>
      <c r="F26" s="96"/>
      <c r="G26" s="97"/>
      <c r="H26" s="98"/>
      <c r="I26" s="95"/>
      <c r="J26" s="96"/>
      <c r="K26" s="97"/>
      <c r="L26" s="98"/>
      <c r="M26" s="95"/>
      <c r="N26" s="96"/>
      <c r="O26" s="97"/>
      <c r="P26" s="98"/>
      <c r="Q26" s="107">
        <f t="shared" si="0"/>
        <v>0</v>
      </c>
      <c r="R26" s="100" t="e">
        <f t="shared" si="1"/>
        <v>#DIV/0!</v>
      </c>
    </row>
    <row r="27" spans="1:18" ht="18.75" customHeight="1" thickTop="1" x14ac:dyDescent="0.15">
      <c r="A27" s="93"/>
      <c r="B27" s="186" t="s">
        <v>65</v>
      </c>
      <c r="C27" s="187"/>
      <c r="D27" s="108">
        <f t="shared" ref="D27:Q27" si="2">SUM(D8:D26)</f>
        <v>4961</v>
      </c>
      <c r="E27" s="109">
        <f t="shared" si="2"/>
        <v>460</v>
      </c>
      <c r="F27" s="110">
        <f t="shared" si="2"/>
        <v>384</v>
      </c>
      <c r="G27" s="111">
        <f t="shared" si="2"/>
        <v>386</v>
      </c>
      <c r="H27" s="112">
        <f t="shared" si="2"/>
        <v>348</v>
      </c>
      <c r="I27" s="109">
        <f t="shared" si="2"/>
        <v>283</v>
      </c>
      <c r="J27" s="110">
        <f t="shared" si="2"/>
        <v>250</v>
      </c>
      <c r="K27" s="111">
        <f t="shared" si="2"/>
        <v>0</v>
      </c>
      <c r="L27" s="112">
        <f t="shared" si="2"/>
        <v>0</v>
      </c>
      <c r="M27" s="109">
        <f t="shared" si="2"/>
        <v>0</v>
      </c>
      <c r="N27" s="110">
        <f t="shared" si="2"/>
        <v>0</v>
      </c>
      <c r="O27" s="111">
        <f t="shared" si="2"/>
        <v>0</v>
      </c>
      <c r="P27" s="112">
        <f t="shared" si="2"/>
        <v>0</v>
      </c>
      <c r="Q27" s="113">
        <f t="shared" si="2"/>
        <v>1129</v>
      </c>
      <c r="R27" s="114">
        <f>Q27/D27</f>
        <v>0.22757508566821205</v>
      </c>
    </row>
    <row r="28" spans="1:18" ht="6.75" customHeight="1" x14ac:dyDescent="0.15">
      <c r="A28" s="93"/>
      <c r="B28" s="93"/>
      <c r="C28" s="93"/>
      <c r="D28" s="115"/>
      <c r="E28" s="115"/>
      <c r="F28" s="115"/>
      <c r="G28" s="115"/>
      <c r="H28" s="115"/>
      <c r="I28" s="115"/>
      <c r="J28" s="115"/>
      <c r="K28" s="115"/>
      <c r="L28" s="115"/>
      <c r="M28" s="115"/>
      <c r="N28" s="115"/>
      <c r="O28" s="115"/>
      <c r="P28" s="115"/>
      <c r="Q28" s="115"/>
      <c r="R28" s="115"/>
    </row>
  </sheetData>
  <mergeCells count="33">
    <mergeCell ref="B17:C17"/>
    <mergeCell ref="B8:C8"/>
    <mergeCell ref="B9:C9"/>
    <mergeCell ref="B10:C10"/>
    <mergeCell ref="B11:C11"/>
    <mergeCell ref="B27:C27"/>
    <mergeCell ref="B6:C7"/>
    <mergeCell ref="B22:C22"/>
    <mergeCell ref="B23:C23"/>
    <mergeCell ref="B24:C24"/>
    <mergeCell ref="B25:C25"/>
    <mergeCell ref="B15:C15"/>
    <mergeCell ref="B18:C18"/>
    <mergeCell ref="B19:C19"/>
    <mergeCell ref="B20:C20"/>
    <mergeCell ref="B26:C26"/>
    <mergeCell ref="B21:C21"/>
    <mergeCell ref="B12:C12"/>
    <mergeCell ref="B13:C13"/>
    <mergeCell ref="B14:C14"/>
    <mergeCell ref="B16:C16"/>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30" zoomScaleNormal="100" workbookViewId="0">
      <selection activeCell="Q14" sqref="Q14"/>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51" t="s">
        <v>202</v>
      </c>
    </row>
    <row r="2" spans="1:7" ht="18.75" customHeight="1" x14ac:dyDescent="0.15">
      <c r="F2" s="51" t="s">
        <v>73</v>
      </c>
      <c r="G2" s="1" t="s">
        <v>199</v>
      </c>
    </row>
    <row r="3" spans="1:7" ht="18.75" customHeight="1" x14ac:dyDescent="0.15">
      <c r="A3" s="206" t="s">
        <v>92</v>
      </c>
      <c r="B3" s="206"/>
      <c r="C3" s="206"/>
      <c r="D3" s="206"/>
      <c r="E3" s="206"/>
      <c r="F3" s="206"/>
      <c r="G3" s="206"/>
    </row>
    <row r="4" spans="1:7" ht="18.75" customHeight="1" x14ac:dyDescent="0.15">
      <c r="A4" s="1" t="s">
        <v>7</v>
      </c>
      <c r="B4" s="1" t="s">
        <v>91</v>
      </c>
    </row>
    <row r="5" spans="1:7" s="50" customFormat="1" ht="18.75" customHeight="1" x14ac:dyDescent="0.15">
      <c r="B5" s="72" t="s">
        <v>72</v>
      </c>
      <c r="C5" s="207" t="s">
        <v>104</v>
      </c>
      <c r="D5" s="208"/>
      <c r="E5" s="208"/>
      <c r="F5" s="208"/>
      <c r="G5" s="209"/>
    </row>
    <row r="6" spans="1:7" s="69" customFormat="1" ht="45" customHeight="1" x14ac:dyDescent="0.15">
      <c r="B6" s="219" t="s">
        <v>107</v>
      </c>
      <c r="C6" s="210" t="s">
        <v>203</v>
      </c>
      <c r="D6" s="211"/>
      <c r="E6" s="211"/>
      <c r="F6" s="211"/>
      <c r="G6" s="212"/>
    </row>
    <row r="7" spans="1:7" s="69" customFormat="1" ht="45" customHeight="1" x14ac:dyDescent="0.15">
      <c r="B7" s="220"/>
      <c r="C7" s="213"/>
      <c r="D7" s="214"/>
      <c r="E7" s="214"/>
      <c r="F7" s="214"/>
      <c r="G7" s="215"/>
    </row>
    <row r="8" spans="1:7" s="69" customFormat="1" ht="45" customHeight="1" x14ac:dyDescent="0.15">
      <c r="B8" s="220"/>
      <c r="C8" s="213"/>
      <c r="D8" s="214"/>
      <c r="E8" s="214"/>
      <c r="F8" s="214"/>
      <c r="G8" s="215"/>
    </row>
    <row r="9" spans="1:7" s="69" customFormat="1" ht="45" customHeight="1" x14ac:dyDescent="0.15">
      <c r="B9" s="220"/>
      <c r="C9" s="216"/>
      <c r="D9" s="217"/>
      <c r="E9" s="217"/>
      <c r="F9" s="217"/>
      <c r="G9" s="218"/>
    </row>
    <row r="10" spans="1:7" s="71" customFormat="1" ht="18.75" customHeight="1" x14ac:dyDescent="0.15">
      <c r="B10" s="220"/>
      <c r="C10" s="70" t="s">
        <v>105</v>
      </c>
      <c r="D10" s="230" t="s">
        <v>106</v>
      </c>
      <c r="E10" s="231"/>
      <c r="F10" s="231"/>
      <c r="G10" s="232"/>
    </row>
    <row r="11" spans="1:7" s="69" customFormat="1" ht="18.75" customHeight="1" x14ac:dyDescent="0.15">
      <c r="B11" s="220"/>
      <c r="C11" s="234" t="s">
        <v>197</v>
      </c>
      <c r="D11" s="233" t="s">
        <v>161</v>
      </c>
      <c r="E11" s="201"/>
      <c r="F11" s="201"/>
      <c r="G11" s="202"/>
    </row>
    <row r="12" spans="1:7" s="71" customFormat="1" ht="18.75" customHeight="1" x14ac:dyDescent="0.15">
      <c r="B12" s="220"/>
      <c r="C12" s="235"/>
      <c r="D12" s="233" t="s">
        <v>154</v>
      </c>
      <c r="E12" s="201"/>
      <c r="F12" s="201"/>
      <c r="G12" s="202"/>
    </row>
    <row r="13" spans="1:7" s="71" customFormat="1" ht="18.75" customHeight="1" x14ac:dyDescent="0.15">
      <c r="B13" s="220"/>
      <c r="C13" s="235"/>
      <c r="D13" s="233" t="s">
        <v>155</v>
      </c>
      <c r="E13" s="201"/>
      <c r="F13" s="201"/>
      <c r="G13" s="202"/>
    </row>
    <row r="14" spans="1:7" s="71" customFormat="1" ht="18.75" customHeight="1" x14ac:dyDescent="0.15">
      <c r="B14" s="220"/>
      <c r="C14" s="235"/>
      <c r="D14" s="233" t="s">
        <v>156</v>
      </c>
      <c r="E14" s="201"/>
      <c r="F14" s="201"/>
      <c r="G14" s="202"/>
    </row>
    <row r="15" spans="1:7" s="75" customFormat="1" ht="18.75" customHeight="1" x14ac:dyDescent="0.15">
      <c r="B15" s="220"/>
      <c r="C15" s="235"/>
      <c r="D15" s="203" t="s">
        <v>157</v>
      </c>
      <c r="E15" s="204"/>
      <c r="F15" s="204"/>
      <c r="G15" s="205"/>
    </row>
    <row r="16" spans="1:7" s="75" customFormat="1" ht="18.75" customHeight="1" x14ac:dyDescent="0.15">
      <c r="B16" s="220"/>
      <c r="C16" s="235"/>
      <c r="D16" s="203" t="s">
        <v>158</v>
      </c>
      <c r="E16" s="204"/>
      <c r="F16" s="204"/>
      <c r="G16" s="205"/>
    </row>
    <row r="17" spans="2:7" s="75" customFormat="1" ht="18.75" customHeight="1" x14ac:dyDescent="0.15">
      <c r="B17" s="220"/>
      <c r="C17" s="235"/>
      <c r="D17" s="203" t="s">
        <v>159</v>
      </c>
      <c r="E17" s="204"/>
      <c r="F17" s="204"/>
      <c r="G17" s="205"/>
    </row>
    <row r="18" spans="2:7" s="124" customFormat="1" ht="18.75" customHeight="1" x14ac:dyDescent="0.15">
      <c r="B18" s="220"/>
      <c r="C18" s="235"/>
      <c r="D18" s="203" t="s">
        <v>160</v>
      </c>
      <c r="E18" s="204"/>
      <c r="F18" s="204"/>
      <c r="G18" s="205"/>
    </row>
    <row r="19" spans="2:7" s="124" customFormat="1" ht="18.75" customHeight="1" x14ac:dyDescent="0.15">
      <c r="B19" s="220"/>
      <c r="C19" s="235"/>
      <c r="D19" s="203"/>
      <c r="E19" s="204"/>
      <c r="F19" s="204"/>
      <c r="G19" s="205"/>
    </row>
    <row r="20" spans="2:7" s="124" customFormat="1" ht="18.75" customHeight="1" x14ac:dyDescent="0.15">
      <c r="B20" s="220"/>
      <c r="C20" s="235"/>
      <c r="D20" s="203"/>
      <c r="E20" s="204"/>
      <c r="F20" s="204"/>
      <c r="G20" s="205"/>
    </row>
    <row r="21" spans="2:7" s="124" customFormat="1" ht="18.75" customHeight="1" x14ac:dyDescent="0.15">
      <c r="B21" s="220"/>
      <c r="C21" s="235"/>
      <c r="D21" s="203"/>
      <c r="E21" s="204"/>
      <c r="F21" s="204"/>
      <c r="G21" s="205"/>
    </row>
    <row r="22" spans="2:7" s="124" customFormat="1" ht="18.75" customHeight="1" x14ac:dyDescent="0.15">
      <c r="B22" s="220"/>
      <c r="C22" s="235"/>
      <c r="D22" s="203"/>
      <c r="E22" s="204"/>
      <c r="F22" s="204"/>
      <c r="G22" s="205"/>
    </row>
    <row r="23" spans="2:7" s="124" customFormat="1" ht="18.75" customHeight="1" x14ac:dyDescent="0.15">
      <c r="B23" s="220"/>
      <c r="C23" s="235"/>
      <c r="D23" s="203"/>
      <c r="E23" s="204"/>
      <c r="F23" s="204"/>
      <c r="G23" s="205"/>
    </row>
    <row r="24" spans="2:7" s="124" customFormat="1" ht="18.75" customHeight="1" x14ac:dyDescent="0.15">
      <c r="B24" s="220"/>
      <c r="C24" s="235"/>
      <c r="D24" s="203"/>
      <c r="E24" s="204"/>
      <c r="F24" s="204"/>
      <c r="G24" s="205"/>
    </row>
    <row r="25" spans="2:7" s="75" customFormat="1" ht="18.75" customHeight="1" x14ac:dyDescent="0.15">
      <c r="B25" s="220"/>
      <c r="C25" s="236"/>
      <c r="D25" s="203"/>
      <c r="E25" s="204"/>
      <c r="F25" s="204"/>
      <c r="G25" s="205"/>
    </row>
    <row r="26" spans="2:7" ht="18.75" customHeight="1" x14ac:dyDescent="0.15">
      <c r="B26" s="219" t="s">
        <v>108</v>
      </c>
      <c r="C26" s="207" t="s">
        <v>104</v>
      </c>
      <c r="D26" s="208"/>
      <c r="E26" s="208"/>
      <c r="F26" s="208"/>
      <c r="G26" s="209"/>
    </row>
    <row r="27" spans="2:7" ht="37.5" customHeight="1" x14ac:dyDescent="0.15">
      <c r="B27" s="220"/>
      <c r="C27" s="221" t="s">
        <v>219</v>
      </c>
      <c r="D27" s="222"/>
      <c r="E27" s="222"/>
      <c r="F27" s="222"/>
      <c r="G27" s="223"/>
    </row>
    <row r="28" spans="2:7" ht="37.5" customHeight="1" x14ac:dyDescent="0.15">
      <c r="B28" s="220"/>
      <c r="C28" s="224"/>
      <c r="D28" s="225"/>
      <c r="E28" s="225"/>
      <c r="F28" s="225"/>
      <c r="G28" s="226"/>
    </row>
    <row r="29" spans="2:7" ht="37.5" customHeight="1" x14ac:dyDescent="0.15">
      <c r="B29" s="220"/>
      <c r="C29" s="224"/>
      <c r="D29" s="225"/>
      <c r="E29" s="225"/>
      <c r="F29" s="225"/>
      <c r="G29" s="226"/>
    </row>
    <row r="30" spans="2:7" ht="37.5" customHeight="1" x14ac:dyDescent="0.15">
      <c r="B30" s="220"/>
      <c r="C30" s="224"/>
      <c r="D30" s="225"/>
      <c r="E30" s="225"/>
      <c r="F30" s="225"/>
      <c r="G30" s="226"/>
    </row>
    <row r="31" spans="2:7" ht="37.5" customHeight="1" x14ac:dyDescent="0.15">
      <c r="B31" s="220"/>
      <c r="C31" s="227"/>
      <c r="D31" s="228"/>
      <c r="E31" s="228"/>
      <c r="F31" s="228"/>
      <c r="G31" s="229"/>
    </row>
    <row r="32" spans="2:7" ht="18.75" customHeight="1" x14ac:dyDescent="0.15">
      <c r="B32" s="220"/>
      <c r="C32" s="70" t="s">
        <v>105</v>
      </c>
      <c r="D32" s="207" t="s">
        <v>106</v>
      </c>
      <c r="E32" s="208"/>
      <c r="F32" s="208"/>
      <c r="G32" s="209"/>
    </row>
    <row r="33" spans="2:7" ht="18.75" customHeight="1" x14ac:dyDescent="0.15">
      <c r="B33" s="220"/>
      <c r="C33" s="234" t="s">
        <v>197</v>
      </c>
      <c r="D33" s="200" t="s">
        <v>162</v>
      </c>
      <c r="E33" s="201"/>
      <c r="F33" s="201"/>
      <c r="G33" s="202"/>
    </row>
    <row r="34" spans="2:7" ht="18.75" customHeight="1" x14ac:dyDescent="0.15">
      <c r="B34" s="220"/>
      <c r="C34" s="235"/>
      <c r="D34" s="200" t="s">
        <v>163</v>
      </c>
      <c r="E34" s="201"/>
      <c r="F34" s="201"/>
      <c r="G34" s="202"/>
    </row>
    <row r="35" spans="2:7" ht="18.75" customHeight="1" x14ac:dyDescent="0.15">
      <c r="B35" s="220"/>
      <c r="C35" s="235"/>
      <c r="D35" s="200" t="s">
        <v>164</v>
      </c>
      <c r="E35" s="201"/>
      <c r="F35" s="201"/>
      <c r="G35" s="202"/>
    </row>
    <row r="36" spans="2:7" ht="18.75" customHeight="1" x14ac:dyDescent="0.15">
      <c r="B36" s="220"/>
      <c r="C36" s="235"/>
      <c r="D36" s="200" t="s">
        <v>165</v>
      </c>
      <c r="E36" s="201"/>
      <c r="F36" s="201"/>
      <c r="G36" s="202"/>
    </row>
    <row r="37" spans="2:7" s="124" customFormat="1" ht="18.75" customHeight="1" x14ac:dyDescent="0.15">
      <c r="B37" s="220"/>
      <c r="C37" s="235"/>
      <c r="D37" s="200" t="s">
        <v>166</v>
      </c>
      <c r="E37" s="201"/>
      <c r="F37" s="201"/>
      <c r="G37" s="202"/>
    </row>
    <row r="38" spans="2:7" s="124" customFormat="1" ht="18.75" customHeight="1" x14ac:dyDescent="0.15">
      <c r="B38" s="220"/>
      <c r="C38" s="235"/>
      <c r="D38" s="203"/>
      <c r="E38" s="204"/>
      <c r="F38" s="204"/>
      <c r="G38" s="205"/>
    </row>
    <row r="39" spans="2:7" s="124" customFormat="1" ht="18.75" customHeight="1" x14ac:dyDescent="0.15">
      <c r="B39" s="220"/>
      <c r="C39" s="235"/>
      <c r="D39" s="203"/>
      <c r="E39" s="204"/>
      <c r="F39" s="204"/>
      <c r="G39" s="205"/>
    </row>
    <row r="40" spans="2:7" s="124" customFormat="1" ht="18.75" customHeight="1" x14ac:dyDescent="0.15">
      <c r="B40" s="220"/>
      <c r="C40" s="235"/>
      <c r="D40" s="203"/>
      <c r="E40" s="204"/>
      <c r="F40" s="204"/>
      <c r="G40" s="205"/>
    </row>
    <row r="41" spans="2:7" s="124" customFormat="1" ht="18.75" customHeight="1" x14ac:dyDescent="0.15">
      <c r="B41" s="220"/>
      <c r="C41" s="235"/>
      <c r="D41" s="203"/>
      <c r="E41" s="204"/>
      <c r="F41" s="204"/>
      <c r="G41" s="205"/>
    </row>
    <row r="42" spans="2:7" s="124" customFormat="1" ht="18.75" customHeight="1" x14ac:dyDescent="0.15">
      <c r="B42" s="220"/>
      <c r="C42" s="235"/>
      <c r="D42" s="203"/>
      <c r="E42" s="204"/>
      <c r="F42" s="204"/>
      <c r="G42" s="205"/>
    </row>
    <row r="43" spans="2:7" s="124" customFormat="1" ht="18.75" customHeight="1" x14ac:dyDescent="0.15">
      <c r="B43" s="220"/>
      <c r="C43" s="235"/>
      <c r="D43" s="203"/>
      <c r="E43" s="204"/>
      <c r="F43" s="204"/>
      <c r="G43" s="205"/>
    </row>
    <row r="44" spans="2:7" s="124" customFormat="1" ht="18.75" customHeight="1" x14ac:dyDescent="0.15">
      <c r="B44" s="220"/>
      <c r="C44" s="235"/>
      <c r="D44" s="203"/>
      <c r="E44" s="204"/>
      <c r="F44" s="204"/>
      <c r="G44" s="205"/>
    </row>
    <row r="45" spans="2:7" s="124" customFormat="1" ht="18.75" customHeight="1" x14ac:dyDescent="0.15">
      <c r="B45" s="220"/>
      <c r="C45" s="235"/>
      <c r="D45" s="203"/>
      <c r="E45" s="204"/>
      <c r="F45" s="204"/>
      <c r="G45" s="205"/>
    </row>
    <row r="46" spans="2:7" s="125" customFormat="1" ht="18.75" customHeight="1" x14ac:dyDescent="0.15">
      <c r="B46" s="220"/>
      <c r="C46" s="235"/>
      <c r="D46" s="203"/>
      <c r="E46" s="204"/>
      <c r="F46" s="204"/>
      <c r="G46" s="205"/>
    </row>
    <row r="47" spans="2:7" ht="18.75" customHeight="1" x14ac:dyDescent="0.15">
      <c r="B47" s="220"/>
      <c r="C47" s="235"/>
      <c r="D47" s="200"/>
      <c r="E47" s="201"/>
      <c r="F47" s="201"/>
      <c r="G47" s="202"/>
    </row>
    <row r="48" spans="2:7" s="124" customFormat="1" ht="18.75" customHeight="1" x14ac:dyDescent="0.15">
      <c r="B48" s="220"/>
      <c r="C48" s="235"/>
      <c r="D48" s="203"/>
      <c r="E48" s="204"/>
      <c r="F48" s="204"/>
      <c r="G48" s="205"/>
    </row>
    <row r="49" spans="2:7" ht="18.75" customHeight="1" x14ac:dyDescent="0.15">
      <c r="B49" s="220"/>
      <c r="C49" s="235"/>
      <c r="D49" s="200"/>
      <c r="E49" s="201"/>
      <c r="F49" s="201"/>
      <c r="G49" s="202"/>
    </row>
    <row r="50" spans="2:7" ht="18.75" customHeight="1" x14ac:dyDescent="0.15">
      <c r="B50" s="220"/>
      <c r="C50" s="236"/>
      <c r="D50" s="200"/>
      <c r="E50" s="201"/>
      <c r="F50" s="201"/>
      <c r="G50" s="202"/>
    </row>
    <row r="51" spans="2:7" ht="18.75" customHeight="1" x14ac:dyDescent="0.15">
      <c r="B51" s="219" t="s">
        <v>110</v>
      </c>
      <c r="C51" s="207" t="s">
        <v>104</v>
      </c>
      <c r="D51" s="208"/>
      <c r="E51" s="208"/>
      <c r="F51" s="208"/>
      <c r="G51" s="209"/>
    </row>
    <row r="52" spans="2:7" ht="37.5" customHeight="1" x14ac:dyDescent="0.15">
      <c r="B52" s="220"/>
      <c r="C52" s="237" t="s">
        <v>264</v>
      </c>
      <c r="D52" s="222"/>
      <c r="E52" s="222"/>
      <c r="F52" s="222"/>
      <c r="G52" s="223"/>
    </row>
    <row r="53" spans="2:7" ht="37.5" customHeight="1" x14ac:dyDescent="0.15">
      <c r="B53" s="220"/>
      <c r="C53" s="224"/>
      <c r="D53" s="225"/>
      <c r="E53" s="225"/>
      <c r="F53" s="225"/>
      <c r="G53" s="226"/>
    </row>
    <row r="54" spans="2:7" ht="37.5" customHeight="1" x14ac:dyDescent="0.15">
      <c r="B54" s="220"/>
      <c r="C54" s="224"/>
      <c r="D54" s="225"/>
      <c r="E54" s="225"/>
      <c r="F54" s="225"/>
      <c r="G54" s="226"/>
    </row>
    <row r="55" spans="2:7" ht="37.5" customHeight="1" x14ac:dyDescent="0.15">
      <c r="B55" s="220"/>
      <c r="C55" s="224"/>
      <c r="D55" s="225"/>
      <c r="E55" s="225"/>
      <c r="F55" s="225"/>
      <c r="G55" s="226"/>
    </row>
    <row r="56" spans="2:7" ht="37.5" customHeight="1" x14ac:dyDescent="0.15">
      <c r="B56" s="220"/>
      <c r="C56" s="227"/>
      <c r="D56" s="228"/>
      <c r="E56" s="228"/>
      <c r="F56" s="228"/>
      <c r="G56" s="229"/>
    </row>
    <row r="57" spans="2:7" ht="18.75" customHeight="1" x14ac:dyDescent="0.15">
      <c r="B57" s="220"/>
      <c r="C57" s="70" t="s">
        <v>105</v>
      </c>
      <c r="D57" s="207" t="s">
        <v>106</v>
      </c>
      <c r="E57" s="208"/>
      <c r="F57" s="208"/>
      <c r="G57" s="209"/>
    </row>
    <row r="58" spans="2:7" ht="18.75" customHeight="1" x14ac:dyDescent="0.15">
      <c r="B58" s="220"/>
      <c r="C58" s="234" t="s">
        <v>197</v>
      </c>
      <c r="D58" s="200" t="s">
        <v>167</v>
      </c>
      <c r="E58" s="201"/>
      <c r="F58" s="201"/>
      <c r="G58" s="202"/>
    </row>
    <row r="59" spans="2:7" ht="18.75" customHeight="1" x14ac:dyDescent="0.15">
      <c r="B59" s="220"/>
      <c r="C59" s="235"/>
      <c r="D59" s="200" t="s">
        <v>168</v>
      </c>
      <c r="E59" s="201"/>
      <c r="F59" s="201"/>
      <c r="G59" s="202"/>
    </row>
    <row r="60" spans="2:7" ht="18.75" customHeight="1" x14ac:dyDescent="0.15">
      <c r="B60" s="220"/>
      <c r="C60" s="235"/>
      <c r="D60" s="200" t="s">
        <v>170</v>
      </c>
      <c r="E60" s="201"/>
      <c r="F60" s="201"/>
      <c r="G60" s="202"/>
    </row>
    <row r="61" spans="2:7" ht="18.75" customHeight="1" x14ac:dyDescent="0.15">
      <c r="B61" s="220"/>
      <c r="C61" s="235"/>
      <c r="D61" s="200" t="s">
        <v>171</v>
      </c>
      <c r="E61" s="201"/>
      <c r="F61" s="201"/>
      <c r="G61" s="202"/>
    </row>
    <row r="62" spans="2:7" s="124" customFormat="1" ht="18.75" customHeight="1" x14ac:dyDescent="0.15">
      <c r="B62" s="220"/>
      <c r="C62" s="235"/>
      <c r="D62" s="200" t="s">
        <v>169</v>
      </c>
      <c r="E62" s="201"/>
      <c r="F62" s="201"/>
      <c r="G62" s="202"/>
    </row>
    <row r="63" spans="2:7" s="124" customFormat="1" ht="18.75" customHeight="1" x14ac:dyDescent="0.15">
      <c r="B63" s="220"/>
      <c r="C63" s="235"/>
      <c r="D63" s="203"/>
      <c r="E63" s="204"/>
      <c r="F63" s="204"/>
      <c r="G63" s="205"/>
    </row>
    <row r="64" spans="2:7" s="124" customFormat="1" ht="18.75" customHeight="1" x14ac:dyDescent="0.15">
      <c r="B64" s="220"/>
      <c r="C64" s="235"/>
      <c r="D64" s="203"/>
      <c r="E64" s="204"/>
      <c r="F64" s="204"/>
      <c r="G64" s="205"/>
    </row>
    <row r="65" spans="2:7" s="124" customFormat="1" ht="18.75" customHeight="1" x14ac:dyDescent="0.15">
      <c r="B65" s="220"/>
      <c r="C65" s="235"/>
      <c r="D65" s="203"/>
      <c r="E65" s="204"/>
      <c r="F65" s="204"/>
      <c r="G65" s="205"/>
    </row>
    <row r="66" spans="2:7" s="124" customFormat="1" ht="18.75" customHeight="1" x14ac:dyDescent="0.15">
      <c r="B66" s="220"/>
      <c r="C66" s="235"/>
      <c r="D66" s="203"/>
      <c r="E66" s="204"/>
      <c r="F66" s="204"/>
      <c r="G66" s="205"/>
    </row>
    <row r="67" spans="2:7" s="124" customFormat="1" ht="18.75" customHeight="1" x14ac:dyDescent="0.15">
      <c r="B67" s="220"/>
      <c r="C67" s="235"/>
      <c r="D67" s="203"/>
      <c r="E67" s="204"/>
      <c r="F67" s="204"/>
      <c r="G67" s="205"/>
    </row>
    <row r="68" spans="2:7" s="124" customFormat="1" ht="18.75" customHeight="1" x14ac:dyDescent="0.15">
      <c r="B68" s="220"/>
      <c r="C68" s="235"/>
      <c r="D68" s="203"/>
      <c r="E68" s="204"/>
      <c r="F68" s="204"/>
      <c r="G68" s="205"/>
    </row>
    <row r="69" spans="2:7" s="124" customFormat="1" ht="18.75" customHeight="1" x14ac:dyDescent="0.15">
      <c r="B69" s="220"/>
      <c r="C69" s="235"/>
      <c r="D69" s="203"/>
      <c r="E69" s="204"/>
      <c r="F69" s="204"/>
      <c r="G69" s="205"/>
    </row>
    <row r="70" spans="2:7" s="125" customFormat="1" ht="18.75" customHeight="1" x14ac:dyDescent="0.15">
      <c r="B70" s="220"/>
      <c r="C70" s="235"/>
      <c r="D70" s="203"/>
      <c r="E70" s="204"/>
      <c r="F70" s="204"/>
      <c r="G70" s="205"/>
    </row>
    <row r="71" spans="2:7" ht="18.75" customHeight="1" x14ac:dyDescent="0.15">
      <c r="B71" s="220"/>
      <c r="C71" s="235"/>
      <c r="D71" s="200"/>
      <c r="E71" s="201"/>
      <c r="F71" s="201"/>
      <c r="G71" s="202"/>
    </row>
    <row r="72" spans="2:7" ht="18.75" customHeight="1" x14ac:dyDescent="0.15">
      <c r="B72" s="220"/>
      <c r="C72" s="235"/>
      <c r="D72" s="200"/>
      <c r="E72" s="201"/>
      <c r="F72" s="201"/>
      <c r="G72" s="202"/>
    </row>
    <row r="73" spans="2:7" s="124" customFormat="1" ht="18.75" customHeight="1" x14ac:dyDescent="0.15">
      <c r="B73" s="220"/>
      <c r="C73" s="235"/>
      <c r="D73" s="203"/>
      <c r="E73" s="204"/>
      <c r="F73" s="204"/>
      <c r="G73" s="205"/>
    </row>
    <row r="74" spans="2:7" ht="18.75" customHeight="1" x14ac:dyDescent="0.15">
      <c r="B74" s="220"/>
      <c r="C74" s="235"/>
      <c r="D74" s="200"/>
      <c r="E74" s="201"/>
      <c r="F74" s="201"/>
      <c r="G74" s="202"/>
    </row>
    <row r="75" spans="2:7" ht="18.75" customHeight="1" x14ac:dyDescent="0.15">
      <c r="B75" s="220"/>
      <c r="C75" s="236"/>
      <c r="D75" s="200"/>
      <c r="E75" s="201"/>
      <c r="F75" s="201"/>
      <c r="G75" s="202"/>
    </row>
    <row r="76" spans="2:7" ht="18.75" customHeight="1" x14ac:dyDescent="0.15">
      <c r="B76" s="219" t="s">
        <v>109</v>
      </c>
      <c r="C76" s="207" t="s">
        <v>104</v>
      </c>
      <c r="D76" s="208"/>
      <c r="E76" s="208"/>
      <c r="F76" s="208"/>
      <c r="G76" s="209"/>
    </row>
    <row r="77" spans="2:7" ht="37.5" customHeight="1" x14ac:dyDescent="0.15">
      <c r="B77" s="220"/>
      <c r="C77" s="221" t="s">
        <v>265</v>
      </c>
      <c r="D77" s="222"/>
      <c r="E77" s="222"/>
      <c r="F77" s="222"/>
      <c r="G77" s="223"/>
    </row>
    <row r="78" spans="2:7" ht="37.5" customHeight="1" x14ac:dyDescent="0.15">
      <c r="B78" s="220"/>
      <c r="C78" s="224"/>
      <c r="D78" s="225"/>
      <c r="E78" s="225"/>
      <c r="F78" s="225"/>
      <c r="G78" s="226"/>
    </row>
    <row r="79" spans="2:7" ht="37.5" customHeight="1" x14ac:dyDescent="0.15">
      <c r="B79" s="220"/>
      <c r="C79" s="224"/>
      <c r="D79" s="225"/>
      <c r="E79" s="225"/>
      <c r="F79" s="225"/>
      <c r="G79" s="226"/>
    </row>
    <row r="80" spans="2:7" ht="37.5" customHeight="1" x14ac:dyDescent="0.15">
      <c r="B80" s="220"/>
      <c r="C80" s="224"/>
      <c r="D80" s="225"/>
      <c r="E80" s="225"/>
      <c r="F80" s="225"/>
      <c r="G80" s="226"/>
    </row>
    <row r="81" spans="2:7" ht="37.5" customHeight="1" x14ac:dyDescent="0.15">
      <c r="B81" s="220"/>
      <c r="C81" s="227"/>
      <c r="D81" s="228"/>
      <c r="E81" s="228"/>
      <c r="F81" s="228"/>
      <c r="G81" s="229"/>
    </row>
    <row r="82" spans="2:7" ht="18.75" customHeight="1" x14ac:dyDescent="0.15">
      <c r="B82" s="220"/>
      <c r="C82" s="70" t="s">
        <v>105</v>
      </c>
      <c r="D82" s="207" t="s">
        <v>106</v>
      </c>
      <c r="E82" s="208"/>
      <c r="F82" s="208"/>
      <c r="G82" s="209"/>
    </row>
    <row r="83" spans="2:7" ht="18.75" customHeight="1" x14ac:dyDescent="0.15">
      <c r="B83" s="220"/>
      <c r="C83" s="234" t="s">
        <v>197</v>
      </c>
      <c r="D83" s="200" t="s">
        <v>172</v>
      </c>
      <c r="E83" s="201"/>
      <c r="F83" s="201"/>
      <c r="G83" s="202"/>
    </row>
    <row r="84" spans="2:7" ht="18.75" customHeight="1" x14ac:dyDescent="0.15">
      <c r="B84" s="220"/>
      <c r="C84" s="235"/>
      <c r="D84" s="200" t="s">
        <v>173</v>
      </c>
      <c r="E84" s="201"/>
      <c r="F84" s="201"/>
      <c r="G84" s="202"/>
    </row>
    <row r="85" spans="2:7" ht="18.75" customHeight="1" x14ac:dyDescent="0.15">
      <c r="B85" s="220"/>
      <c r="C85" s="235"/>
      <c r="D85" s="200" t="s">
        <v>174</v>
      </c>
      <c r="E85" s="201"/>
      <c r="F85" s="201"/>
      <c r="G85" s="202"/>
    </row>
    <row r="86" spans="2:7" ht="18.75" customHeight="1" x14ac:dyDescent="0.15">
      <c r="B86" s="220"/>
      <c r="C86" s="235"/>
      <c r="D86" s="200" t="s">
        <v>177</v>
      </c>
      <c r="E86" s="201"/>
      <c r="F86" s="201"/>
      <c r="G86" s="202"/>
    </row>
    <row r="87" spans="2:7" ht="18.75" customHeight="1" x14ac:dyDescent="0.15">
      <c r="B87" s="220"/>
      <c r="C87" s="235"/>
      <c r="D87" s="200" t="s">
        <v>175</v>
      </c>
      <c r="E87" s="201"/>
      <c r="F87" s="201"/>
      <c r="G87" s="202"/>
    </row>
    <row r="88" spans="2:7" s="124" customFormat="1" ht="18.75" customHeight="1" x14ac:dyDescent="0.15">
      <c r="B88" s="220"/>
      <c r="C88" s="235"/>
      <c r="D88" s="200" t="s">
        <v>176</v>
      </c>
      <c r="E88" s="201"/>
      <c r="F88" s="201"/>
      <c r="G88" s="202"/>
    </row>
    <row r="89" spans="2:7" s="124" customFormat="1" ht="18.75" customHeight="1" x14ac:dyDescent="0.15">
      <c r="B89" s="220"/>
      <c r="C89" s="235"/>
      <c r="D89" s="203"/>
      <c r="E89" s="204"/>
      <c r="F89" s="204"/>
      <c r="G89" s="205"/>
    </row>
    <row r="90" spans="2:7" s="124" customFormat="1" ht="18.75" customHeight="1" x14ac:dyDescent="0.15">
      <c r="B90" s="220"/>
      <c r="C90" s="235"/>
      <c r="D90" s="203"/>
      <c r="E90" s="204"/>
      <c r="F90" s="204"/>
      <c r="G90" s="205"/>
    </row>
    <row r="91" spans="2:7" s="124" customFormat="1" ht="18.75" customHeight="1" x14ac:dyDescent="0.15">
      <c r="B91" s="220"/>
      <c r="C91" s="235"/>
      <c r="D91" s="203"/>
      <c r="E91" s="204"/>
      <c r="F91" s="204"/>
      <c r="G91" s="205"/>
    </row>
    <row r="92" spans="2:7" s="124" customFormat="1" ht="18.75" customHeight="1" x14ac:dyDescent="0.15">
      <c r="B92" s="220"/>
      <c r="C92" s="235"/>
      <c r="D92" s="203"/>
      <c r="E92" s="204"/>
      <c r="F92" s="204"/>
      <c r="G92" s="205"/>
    </row>
    <row r="93" spans="2:7" s="124" customFormat="1" ht="18.75" customHeight="1" x14ac:dyDescent="0.15">
      <c r="B93" s="220"/>
      <c r="C93" s="235"/>
      <c r="D93" s="203"/>
      <c r="E93" s="204"/>
      <c r="F93" s="204"/>
      <c r="G93" s="205"/>
    </row>
    <row r="94" spans="2:7" s="124" customFormat="1" ht="18.75" customHeight="1" x14ac:dyDescent="0.15">
      <c r="B94" s="220"/>
      <c r="C94" s="235"/>
      <c r="D94" s="203"/>
      <c r="E94" s="204"/>
      <c r="F94" s="204"/>
      <c r="G94" s="205"/>
    </row>
    <row r="95" spans="2:7" s="125" customFormat="1" ht="18.75" customHeight="1" x14ac:dyDescent="0.15">
      <c r="B95" s="220"/>
      <c r="C95" s="235"/>
      <c r="D95" s="203"/>
      <c r="E95" s="204"/>
      <c r="F95" s="204"/>
      <c r="G95" s="205"/>
    </row>
    <row r="96" spans="2:7" ht="18.75" customHeight="1" x14ac:dyDescent="0.15">
      <c r="B96" s="220"/>
      <c r="C96" s="235"/>
      <c r="D96" s="200"/>
      <c r="E96" s="201"/>
      <c r="F96" s="201"/>
      <c r="G96" s="202"/>
    </row>
    <row r="97" spans="2:7" ht="18.75" customHeight="1" x14ac:dyDescent="0.15">
      <c r="B97" s="220"/>
      <c r="C97" s="235"/>
      <c r="D97" s="200"/>
      <c r="E97" s="201"/>
      <c r="F97" s="201"/>
      <c r="G97" s="202"/>
    </row>
    <row r="98" spans="2:7" s="124" customFormat="1" ht="18.75" customHeight="1" x14ac:dyDescent="0.15">
      <c r="B98" s="220"/>
      <c r="C98" s="235"/>
      <c r="D98" s="203"/>
      <c r="E98" s="204"/>
      <c r="F98" s="204"/>
      <c r="G98" s="205"/>
    </row>
    <row r="99" spans="2:7" ht="18.75" customHeight="1" x14ac:dyDescent="0.15">
      <c r="B99" s="220"/>
      <c r="C99" s="235"/>
      <c r="D99" s="200"/>
      <c r="E99" s="201"/>
      <c r="F99" s="201"/>
      <c r="G99" s="202"/>
    </row>
    <row r="100" spans="2:7" ht="18.75" customHeight="1" x14ac:dyDescent="0.15">
      <c r="B100" s="220"/>
      <c r="C100" s="235"/>
      <c r="D100" s="200"/>
      <c r="E100" s="201"/>
      <c r="F100" s="201"/>
      <c r="G100" s="202"/>
    </row>
    <row r="101" spans="2:7" ht="18.75" customHeight="1" x14ac:dyDescent="0.15">
      <c r="B101" s="219" t="s">
        <v>111</v>
      </c>
      <c r="C101" s="207" t="s">
        <v>104</v>
      </c>
      <c r="D101" s="208"/>
      <c r="E101" s="208"/>
      <c r="F101" s="208"/>
      <c r="G101" s="209"/>
    </row>
    <row r="102" spans="2:7" ht="37.5" customHeight="1" x14ac:dyDescent="0.15">
      <c r="B102" s="220"/>
      <c r="C102" s="221" t="s">
        <v>196</v>
      </c>
      <c r="D102" s="222"/>
      <c r="E102" s="222"/>
      <c r="F102" s="222"/>
      <c r="G102" s="223"/>
    </row>
    <row r="103" spans="2:7" ht="37.5" customHeight="1" x14ac:dyDescent="0.15">
      <c r="B103" s="220"/>
      <c r="C103" s="224"/>
      <c r="D103" s="225"/>
      <c r="E103" s="225"/>
      <c r="F103" s="225"/>
      <c r="G103" s="226"/>
    </row>
    <row r="104" spans="2:7" ht="37.5" customHeight="1" x14ac:dyDescent="0.15">
      <c r="B104" s="220"/>
      <c r="C104" s="224"/>
      <c r="D104" s="225"/>
      <c r="E104" s="225"/>
      <c r="F104" s="225"/>
      <c r="G104" s="226"/>
    </row>
    <row r="105" spans="2:7" ht="37.5" customHeight="1" x14ac:dyDescent="0.15">
      <c r="B105" s="220"/>
      <c r="C105" s="224"/>
      <c r="D105" s="225"/>
      <c r="E105" s="225"/>
      <c r="F105" s="225"/>
      <c r="G105" s="226"/>
    </row>
    <row r="106" spans="2:7" ht="37.5" customHeight="1" x14ac:dyDescent="0.15">
      <c r="B106" s="220"/>
      <c r="C106" s="227"/>
      <c r="D106" s="228"/>
      <c r="E106" s="228"/>
      <c r="F106" s="228"/>
      <c r="G106" s="229"/>
    </row>
    <row r="107" spans="2:7" ht="18.75" customHeight="1" x14ac:dyDescent="0.15">
      <c r="B107" s="220"/>
      <c r="C107" s="70" t="s">
        <v>105</v>
      </c>
      <c r="D107" s="207" t="s">
        <v>106</v>
      </c>
      <c r="E107" s="208"/>
      <c r="F107" s="208"/>
      <c r="G107" s="209"/>
    </row>
    <row r="108" spans="2:7" ht="18.75" customHeight="1" x14ac:dyDescent="0.15">
      <c r="B108" s="220"/>
      <c r="C108" s="234" t="s">
        <v>197</v>
      </c>
      <c r="D108" s="200" t="s">
        <v>178</v>
      </c>
      <c r="E108" s="201"/>
      <c r="F108" s="201"/>
      <c r="G108" s="202"/>
    </row>
    <row r="109" spans="2:7" ht="18.75" customHeight="1" x14ac:dyDescent="0.15">
      <c r="B109" s="220"/>
      <c r="C109" s="235"/>
      <c r="D109" s="200" t="s">
        <v>179</v>
      </c>
      <c r="E109" s="201"/>
      <c r="F109" s="201"/>
      <c r="G109" s="202"/>
    </row>
    <row r="110" spans="2:7" ht="18.75" customHeight="1" x14ac:dyDescent="0.15">
      <c r="B110" s="220"/>
      <c r="C110" s="235"/>
      <c r="D110" s="200" t="s">
        <v>180</v>
      </c>
      <c r="E110" s="201"/>
      <c r="F110" s="201"/>
      <c r="G110" s="202"/>
    </row>
    <row r="111" spans="2:7" ht="18.75" customHeight="1" x14ac:dyDescent="0.15">
      <c r="B111" s="220"/>
      <c r="C111" s="235"/>
      <c r="D111" s="200" t="s">
        <v>192</v>
      </c>
      <c r="E111" s="201"/>
      <c r="F111" s="201"/>
      <c r="G111" s="202"/>
    </row>
    <row r="112" spans="2:7" ht="18.75" customHeight="1" x14ac:dyDescent="0.15">
      <c r="B112" s="220"/>
      <c r="C112" s="235"/>
      <c r="D112" s="200" t="s">
        <v>181</v>
      </c>
      <c r="E112" s="201"/>
      <c r="F112" s="201"/>
      <c r="G112" s="202"/>
    </row>
    <row r="113" spans="1:7" ht="18.75" customHeight="1" x14ac:dyDescent="0.15">
      <c r="B113" s="220"/>
      <c r="C113" s="235"/>
      <c r="D113" s="200" t="s">
        <v>182</v>
      </c>
      <c r="E113" s="201"/>
      <c r="F113" s="201"/>
      <c r="G113" s="202"/>
    </row>
    <row r="114" spans="1:7" ht="18.75" customHeight="1" x14ac:dyDescent="0.15">
      <c r="B114" s="220"/>
      <c r="C114" s="235"/>
      <c r="D114" s="200" t="s">
        <v>183</v>
      </c>
      <c r="E114" s="201"/>
      <c r="F114" s="201"/>
      <c r="G114" s="202"/>
    </row>
    <row r="115" spans="1:7" ht="18.75" customHeight="1" x14ac:dyDescent="0.15">
      <c r="B115" s="220"/>
      <c r="C115" s="235"/>
      <c r="D115" s="200" t="s">
        <v>184</v>
      </c>
      <c r="E115" s="201"/>
      <c r="F115" s="201"/>
      <c r="G115" s="202"/>
    </row>
    <row r="116" spans="1:7" ht="18.75" customHeight="1" x14ac:dyDescent="0.15">
      <c r="B116" s="220"/>
      <c r="C116" s="235"/>
      <c r="D116" s="200" t="s">
        <v>185</v>
      </c>
      <c r="E116" s="201"/>
      <c r="F116" s="201"/>
      <c r="G116" s="202"/>
    </row>
    <row r="117" spans="1:7" ht="18.75" customHeight="1" x14ac:dyDescent="0.15">
      <c r="B117" s="220"/>
      <c r="C117" s="235"/>
      <c r="D117" s="200" t="s">
        <v>186</v>
      </c>
      <c r="E117" s="201"/>
      <c r="F117" s="201"/>
      <c r="G117" s="202"/>
    </row>
    <row r="118" spans="1:7" ht="18.75" customHeight="1" x14ac:dyDescent="0.15">
      <c r="B118" s="220"/>
      <c r="C118" s="235"/>
      <c r="D118" s="200" t="s">
        <v>187</v>
      </c>
      <c r="E118" s="201"/>
      <c r="F118" s="201"/>
      <c r="G118" s="202"/>
    </row>
    <row r="119" spans="1:7" ht="18.75" customHeight="1" x14ac:dyDescent="0.15">
      <c r="B119" s="220"/>
      <c r="C119" s="235"/>
      <c r="D119" s="200" t="s">
        <v>188</v>
      </c>
      <c r="E119" s="201"/>
      <c r="F119" s="201"/>
      <c r="G119" s="202"/>
    </row>
    <row r="120" spans="1:7" ht="18.75" customHeight="1" x14ac:dyDescent="0.15">
      <c r="B120" s="220"/>
      <c r="C120" s="235"/>
      <c r="D120" s="200" t="s">
        <v>189</v>
      </c>
      <c r="E120" s="201"/>
      <c r="F120" s="201"/>
      <c r="G120" s="202"/>
    </row>
    <row r="121" spans="1:7" ht="18.75" customHeight="1" x14ac:dyDescent="0.15">
      <c r="B121" s="220"/>
      <c r="C121" s="235"/>
      <c r="D121" s="200" t="s">
        <v>190</v>
      </c>
      <c r="E121" s="201"/>
      <c r="F121" s="201"/>
      <c r="G121" s="202"/>
    </row>
    <row r="122" spans="1:7" s="125" customFormat="1" ht="18.75" customHeight="1" x14ac:dyDescent="0.15">
      <c r="B122" s="220"/>
      <c r="C122" s="235"/>
      <c r="D122" s="200" t="s">
        <v>191</v>
      </c>
      <c r="E122" s="201"/>
      <c r="F122" s="201"/>
      <c r="G122" s="202"/>
    </row>
    <row r="123" spans="1:7" ht="18.75" customHeight="1" x14ac:dyDescent="0.15">
      <c r="B123" s="220"/>
      <c r="C123" s="235"/>
      <c r="D123" s="200"/>
      <c r="E123" s="201"/>
      <c r="F123" s="201"/>
      <c r="G123" s="202"/>
    </row>
    <row r="124" spans="1:7" ht="18.75" customHeight="1" x14ac:dyDescent="0.15">
      <c r="B124" s="220"/>
      <c r="C124" s="235"/>
      <c r="D124" s="200"/>
      <c r="E124" s="201"/>
      <c r="F124" s="201"/>
      <c r="G124" s="202"/>
    </row>
    <row r="125" spans="1:7" ht="18.75" customHeight="1" x14ac:dyDescent="0.15">
      <c r="B125" s="220"/>
      <c r="C125" s="236"/>
      <c r="D125" s="200"/>
      <c r="E125" s="201"/>
      <c r="F125" s="201"/>
      <c r="G125" s="202"/>
    </row>
    <row r="126" spans="1:7" ht="18.75" customHeight="1" x14ac:dyDescent="0.15">
      <c r="A126" s="1" t="s">
        <v>12</v>
      </c>
      <c r="B126" s="1" t="s">
        <v>102</v>
      </c>
    </row>
    <row r="127" spans="1:7" ht="22.5" customHeight="1" x14ac:dyDescent="0.15">
      <c r="B127" s="72" t="s">
        <v>72</v>
      </c>
      <c r="C127" s="207" t="s">
        <v>101</v>
      </c>
      <c r="D127" s="208"/>
      <c r="E127" s="208"/>
      <c r="F127" s="208"/>
      <c r="G127" s="209"/>
    </row>
    <row r="128" spans="1:7" ht="45" customHeight="1" x14ac:dyDescent="0.15">
      <c r="B128" s="73" t="s">
        <v>74</v>
      </c>
      <c r="C128" s="248" t="s">
        <v>143</v>
      </c>
      <c r="D128" s="160"/>
      <c r="E128" s="160"/>
      <c r="F128" s="160"/>
      <c r="G128" s="161"/>
    </row>
    <row r="129" spans="1:7" ht="45" customHeight="1" x14ac:dyDescent="0.15">
      <c r="B129" s="73" t="s">
        <v>75</v>
      </c>
      <c r="C129" s="248"/>
      <c r="D129" s="160"/>
      <c r="E129" s="160"/>
      <c r="F129" s="160"/>
      <c r="G129" s="161"/>
    </row>
    <row r="130" spans="1:7" ht="45" customHeight="1" x14ac:dyDescent="0.15">
      <c r="B130" s="73" t="s">
        <v>76</v>
      </c>
      <c r="C130" s="159"/>
      <c r="D130" s="160"/>
      <c r="E130" s="160"/>
      <c r="F130" s="160"/>
      <c r="G130" s="161"/>
    </row>
    <row r="131" spans="1:7" ht="45" customHeight="1" x14ac:dyDescent="0.15">
      <c r="B131" s="73" t="s">
        <v>77</v>
      </c>
      <c r="C131" s="248" t="s">
        <v>143</v>
      </c>
      <c r="D131" s="160"/>
      <c r="E131" s="160"/>
      <c r="F131" s="160"/>
      <c r="G131" s="161"/>
    </row>
    <row r="132" spans="1:7" ht="45" customHeight="1" x14ac:dyDescent="0.15">
      <c r="B132" s="73" t="s">
        <v>78</v>
      </c>
      <c r="C132" s="159"/>
      <c r="D132" s="160"/>
      <c r="E132" s="160"/>
      <c r="F132" s="160"/>
      <c r="G132" s="161"/>
    </row>
    <row r="133" spans="1:7" ht="45" customHeight="1" x14ac:dyDescent="0.15">
      <c r="B133" s="73" t="s">
        <v>79</v>
      </c>
      <c r="C133" s="159"/>
      <c r="D133" s="160"/>
      <c r="E133" s="160"/>
      <c r="F133" s="160"/>
      <c r="G133" s="161"/>
    </row>
    <row r="134" spans="1:7" ht="45" customHeight="1" x14ac:dyDescent="0.15">
      <c r="B134" s="73" t="s">
        <v>80</v>
      </c>
      <c r="C134" s="159"/>
      <c r="D134" s="160"/>
      <c r="E134" s="160"/>
      <c r="F134" s="160"/>
      <c r="G134" s="161"/>
    </row>
    <row r="135" spans="1:7" ht="45" customHeight="1" x14ac:dyDescent="0.15">
      <c r="B135" s="73" t="s">
        <v>81</v>
      </c>
      <c r="C135" s="248" t="s">
        <v>143</v>
      </c>
      <c r="D135" s="160"/>
      <c r="E135" s="160"/>
      <c r="F135" s="160"/>
      <c r="G135" s="161"/>
    </row>
    <row r="136" spans="1:7" ht="45" customHeight="1" x14ac:dyDescent="0.15">
      <c r="B136" s="73" t="s">
        <v>82</v>
      </c>
      <c r="C136" s="159"/>
      <c r="D136" s="160"/>
      <c r="E136" s="160"/>
      <c r="F136" s="160"/>
      <c r="G136" s="161"/>
    </row>
    <row r="137" spans="1:7" ht="7.5" customHeight="1" x14ac:dyDescent="0.15"/>
    <row r="138" spans="1:7" ht="18.75" customHeight="1" x14ac:dyDescent="0.15">
      <c r="A138" s="1" t="s">
        <v>95</v>
      </c>
      <c r="B138" s="1" t="s">
        <v>96</v>
      </c>
      <c r="E138" s="247" t="s">
        <v>193</v>
      </c>
      <c r="F138" s="160"/>
      <c r="G138" s="161"/>
    </row>
    <row r="139" spans="1:7" ht="7.5" customHeight="1" x14ac:dyDescent="0.15"/>
    <row r="140" spans="1:7" ht="18.75" customHeight="1" x14ac:dyDescent="0.15">
      <c r="A140" s="1" t="s">
        <v>97</v>
      </c>
      <c r="B140" s="1" t="s">
        <v>98</v>
      </c>
    </row>
    <row r="141" spans="1:7" ht="18.75" customHeight="1" x14ac:dyDescent="0.15">
      <c r="B141" s="238" t="s">
        <v>256</v>
      </c>
      <c r="C141" s="239"/>
      <c r="D141" s="239"/>
      <c r="E141" s="239"/>
      <c r="F141" s="239"/>
      <c r="G141" s="240"/>
    </row>
    <row r="142" spans="1:7" ht="18.75" customHeight="1" x14ac:dyDescent="0.15">
      <c r="B142" s="241"/>
      <c r="C142" s="242"/>
      <c r="D142" s="242"/>
      <c r="E142" s="242"/>
      <c r="F142" s="242"/>
      <c r="G142" s="243"/>
    </row>
    <row r="143" spans="1:7" ht="18.75" customHeight="1" x14ac:dyDescent="0.15">
      <c r="B143" s="241"/>
      <c r="C143" s="242"/>
      <c r="D143" s="242"/>
      <c r="E143" s="242"/>
      <c r="F143" s="242"/>
      <c r="G143" s="243"/>
    </row>
    <row r="144" spans="1:7" ht="18.75" customHeight="1" x14ac:dyDescent="0.15">
      <c r="B144" s="244"/>
      <c r="C144" s="245"/>
      <c r="D144" s="245"/>
      <c r="E144" s="245"/>
      <c r="F144" s="245"/>
      <c r="G144" s="24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5">
    <mergeCell ref="B101:B125"/>
    <mergeCell ref="C101:G101"/>
    <mergeCell ref="C102:G106"/>
    <mergeCell ref="D107:G107"/>
    <mergeCell ref="D57:G57"/>
    <mergeCell ref="D58:G58"/>
    <mergeCell ref="D59:G59"/>
    <mergeCell ref="D65:G65"/>
    <mergeCell ref="D66:G66"/>
    <mergeCell ref="D67:G67"/>
    <mergeCell ref="D68:G68"/>
    <mergeCell ref="D69:G69"/>
    <mergeCell ref="D73:G73"/>
    <mergeCell ref="D74:G74"/>
    <mergeCell ref="D88:G88"/>
    <mergeCell ref="D89:G89"/>
    <mergeCell ref="B51:B75"/>
    <mergeCell ref="C51:G51"/>
    <mergeCell ref="D98:G98"/>
    <mergeCell ref="D99:G99"/>
    <mergeCell ref="D100:G100"/>
    <mergeCell ref="D90:G90"/>
    <mergeCell ref="D91:G91"/>
    <mergeCell ref="D92:G92"/>
    <mergeCell ref="D41:G41"/>
    <mergeCell ref="D42:G42"/>
    <mergeCell ref="D86:G86"/>
    <mergeCell ref="D87:G87"/>
    <mergeCell ref="D60:G60"/>
    <mergeCell ref="D61:G61"/>
    <mergeCell ref="D75:G75"/>
    <mergeCell ref="D83:G83"/>
    <mergeCell ref="D84:G84"/>
    <mergeCell ref="D62:G62"/>
    <mergeCell ref="D63:G63"/>
    <mergeCell ref="D64:G64"/>
    <mergeCell ref="D20:G20"/>
    <mergeCell ref="D21:G21"/>
    <mergeCell ref="D19:G19"/>
    <mergeCell ref="D22:G22"/>
    <mergeCell ref="D23:G23"/>
    <mergeCell ref="D37:G37"/>
    <mergeCell ref="D38:G38"/>
    <mergeCell ref="D39:G39"/>
    <mergeCell ref="D40:G40"/>
    <mergeCell ref="B141:G144"/>
    <mergeCell ref="E138:G138"/>
    <mergeCell ref="C127:G127"/>
    <mergeCell ref="C133:G133"/>
    <mergeCell ref="C134:G134"/>
    <mergeCell ref="C135:G135"/>
    <mergeCell ref="C136:G136"/>
    <mergeCell ref="C128:G128"/>
    <mergeCell ref="C129:G129"/>
    <mergeCell ref="C130:G130"/>
    <mergeCell ref="C131:G131"/>
    <mergeCell ref="C132:G132"/>
    <mergeCell ref="B76:B100"/>
    <mergeCell ref="C76:G76"/>
    <mergeCell ref="C77:G81"/>
    <mergeCell ref="D82:G82"/>
    <mergeCell ref="C108:C125"/>
    <mergeCell ref="C83:C100"/>
    <mergeCell ref="C58:C75"/>
    <mergeCell ref="C11:C25"/>
    <mergeCell ref="C33:C50"/>
    <mergeCell ref="D46:G46"/>
    <mergeCell ref="D47:G47"/>
    <mergeCell ref="D45:G45"/>
    <mergeCell ref="D48:G48"/>
    <mergeCell ref="D85:G85"/>
    <mergeCell ref="D43:G43"/>
    <mergeCell ref="D44:G44"/>
    <mergeCell ref="D110:G110"/>
    <mergeCell ref="D111:G111"/>
    <mergeCell ref="D112:G112"/>
    <mergeCell ref="D120:G120"/>
    <mergeCell ref="D116:G116"/>
    <mergeCell ref="D117:G117"/>
    <mergeCell ref="D118:G118"/>
    <mergeCell ref="C52:G56"/>
    <mergeCell ref="A3:G3"/>
    <mergeCell ref="C5:G5"/>
    <mergeCell ref="C6:G9"/>
    <mergeCell ref="B6:B25"/>
    <mergeCell ref="D34:G34"/>
    <mergeCell ref="D35:G35"/>
    <mergeCell ref="D36:G36"/>
    <mergeCell ref="D50:G50"/>
    <mergeCell ref="B26:B50"/>
    <mergeCell ref="C26:G26"/>
    <mergeCell ref="C27:G31"/>
    <mergeCell ref="D32:G32"/>
    <mergeCell ref="D10:G10"/>
    <mergeCell ref="D11:G11"/>
    <mergeCell ref="D12:G12"/>
    <mergeCell ref="D13:G13"/>
    <mergeCell ref="D14:G14"/>
    <mergeCell ref="D33:G33"/>
    <mergeCell ref="D17:G17"/>
    <mergeCell ref="D25:G25"/>
    <mergeCell ref="D15:G15"/>
    <mergeCell ref="D16:G16"/>
    <mergeCell ref="D18:G18"/>
    <mergeCell ref="D24:G24"/>
    <mergeCell ref="D124:G124"/>
    <mergeCell ref="D113:G113"/>
    <mergeCell ref="D114:G114"/>
    <mergeCell ref="D115:G115"/>
    <mergeCell ref="D121:G121"/>
    <mergeCell ref="D125:G125"/>
    <mergeCell ref="D108:G108"/>
    <mergeCell ref="D109:G109"/>
    <mergeCell ref="D49:G49"/>
    <mergeCell ref="D70:G70"/>
    <mergeCell ref="D71:G71"/>
    <mergeCell ref="D72:G72"/>
    <mergeCell ref="D95:G95"/>
    <mergeCell ref="D96:G96"/>
    <mergeCell ref="D97:G97"/>
    <mergeCell ref="D122:G122"/>
    <mergeCell ref="D123:G123"/>
    <mergeCell ref="D119:G119"/>
    <mergeCell ref="D93:G93"/>
    <mergeCell ref="D94:G94"/>
  </mergeCells>
  <phoneticPr fontId="1"/>
  <printOptions horizontalCentered="1"/>
  <pageMargins left="0.78740157480314965" right="0.78740157480314965" top="0.59055118110236227" bottom="0.39370078740157483" header="0.31496062992125984" footer="0.31496062992125984"/>
  <pageSetup paperSize="9" orientation="landscape" r:id="rId1"/>
  <rowBreaks count="5" manualBreakCount="5">
    <brk id="25" max="16383" man="1"/>
    <brk id="50" max="16383" man="1"/>
    <brk id="75" max="16383" man="1"/>
    <brk id="100" max="16383" man="1"/>
    <brk id="125"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view="pageBreakPreview" zoomScale="60" zoomScaleNormal="100" workbookViewId="0">
      <selection activeCell="Q14" sqref="Q14"/>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22" t="s">
        <v>266</v>
      </c>
    </row>
    <row r="2" spans="1:7" ht="18.75" customHeight="1" x14ac:dyDescent="0.15">
      <c r="F2" s="122" t="s">
        <v>31</v>
      </c>
      <c r="G2" s="1" t="s">
        <v>131</v>
      </c>
    </row>
    <row r="3" spans="1:7" ht="18.75" customHeight="1" x14ac:dyDescent="0.15">
      <c r="A3" s="206" t="s">
        <v>92</v>
      </c>
      <c r="B3" s="206"/>
      <c r="C3" s="206"/>
      <c r="D3" s="206"/>
      <c r="E3" s="206"/>
      <c r="F3" s="206"/>
      <c r="G3" s="206"/>
    </row>
    <row r="4" spans="1:7" ht="18.75" customHeight="1" x14ac:dyDescent="0.15">
      <c r="A4" s="1" t="s">
        <v>7</v>
      </c>
      <c r="B4" s="1" t="s">
        <v>91</v>
      </c>
    </row>
    <row r="5" spans="1:7" s="123" customFormat="1" ht="18.75" customHeight="1" x14ac:dyDescent="0.15">
      <c r="B5" s="82" t="s">
        <v>72</v>
      </c>
      <c r="C5" s="207" t="s">
        <v>104</v>
      </c>
      <c r="D5" s="208"/>
      <c r="E5" s="208"/>
      <c r="F5" s="208"/>
      <c r="G5" s="209"/>
    </row>
    <row r="6" spans="1:7" s="123" customFormat="1" ht="45" customHeight="1" x14ac:dyDescent="0.15">
      <c r="B6" s="219" t="s">
        <v>107</v>
      </c>
      <c r="C6" s="210" t="s">
        <v>280</v>
      </c>
      <c r="D6" s="211"/>
      <c r="E6" s="211"/>
      <c r="F6" s="211"/>
      <c r="G6" s="212"/>
    </row>
    <row r="7" spans="1:7" s="123" customFormat="1" ht="45" customHeight="1" x14ac:dyDescent="0.15">
      <c r="B7" s="220"/>
      <c r="C7" s="213"/>
      <c r="D7" s="214"/>
      <c r="E7" s="214"/>
      <c r="F7" s="214"/>
      <c r="G7" s="215"/>
    </row>
    <row r="8" spans="1:7" s="123" customFormat="1" ht="45" customHeight="1" x14ac:dyDescent="0.15">
      <c r="B8" s="220"/>
      <c r="C8" s="213"/>
      <c r="D8" s="214"/>
      <c r="E8" s="214"/>
      <c r="F8" s="214"/>
      <c r="G8" s="215"/>
    </row>
    <row r="9" spans="1:7" s="123" customFormat="1" ht="45" customHeight="1" x14ac:dyDescent="0.15">
      <c r="B9" s="220"/>
      <c r="C9" s="216"/>
      <c r="D9" s="217"/>
      <c r="E9" s="217"/>
      <c r="F9" s="217"/>
      <c r="G9" s="218"/>
    </row>
    <row r="10" spans="1:7" s="123" customFormat="1" ht="18.75" customHeight="1" x14ac:dyDescent="0.15">
      <c r="B10" s="220"/>
      <c r="C10" s="70" t="s">
        <v>105</v>
      </c>
      <c r="D10" s="230" t="s">
        <v>106</v>
      </c>
      <c r="E10" s="231"/>
      <c r="F10" s="231"/>
      <c r="G10" s="232"/>
    </row>
    <row r="11" spans="1:7" s="123" customFormat="1" ht="18.75" customHeight="1" x14ac:dyDescent="0.15">
      <c r="B11" s="220"/>
      <c r="C11" s="234" t="s">
        <v>204</v>
      </c>
      <c r="D11" s="271" t="s">
        <v>249</v>
      </c>
      <c r="E11" s="272"/>
      <c r="F11" s="272"/>
      <c r="G11" s="273"/>
    </row>
    <row r="12" spans="1:7" s="123" customFormat="1" ht="18.75" customHeight="1" x14ac:dyDescent="0.15">
      <c r="B12" s="220"/>
      <c r="C12" s="254"/>
      <c r="D12" s="264" t="s">
        <v>205</v>
      </c>
      <c r="E12" s="265"/>
      <c r="F12" s="265"/>
      <c r="G12" s="266"/>
    </row>
    <row r="13" spans="1:7" s="123" customFormat="1" ht="18.75" customHeight="1" x14ac:dyDescent="0.15">
      <c r="B13" s="220"/>
      <c r="C13" s="254"/>
      <c r="D13" s="248" t="s">
        <v>206</v>
      </c>
      <c r="E13" s="259"/>
      <c r="F13" s="259"/>
      <c r="G13" s="260"/>
    </row>
    <row r="14" spans="1:7" s="123" customFormat="1" ht="18.75" customHeight="1" x14ac:dyDescent="0.15">
      <c r="B14" s="220"/>
      <c r="C14" s="254"/>
      <c r="D14" s="248" t="s">
        <v>207</v>
      </c>
      <c r="E14" s="259"/>
      <c r="F14" s="259"/>
      <c r="G14" s="260"/>
    </row>
    <row r="15" spans="1:7" s="123" customFormat="1" ht="18.75" customHeight="1" x14ac:dyDescent="0.15">
      <c r="B15" s="220"/>
      <c r="C15" s="254"/>
      <c r="D15" s="261" t="s">
        <v>208</v>
      </c>
      <c r="E15" s="262"/>
      <c r="F15" s="262"/>
      <c r="G15" s="263"/>
    </row>
    <row r="16" spans="1:7" s="123" customFormat="1" ht="18.75" customHeight="1" x14ac:dyDescent="0.15">
      <c r="B16" s="220"/>
      <c r="C16" s="254"/>
      <c r="D16" s="248" t="s">
        <v>209</v>
      </c>
      <c r="E16" s="259"/>
      <c r="F16" s="259"/>
      <c r="G16" s="260"/>
    </row>
    <row r="17" spans="2:7" s="123" customFormat="1" ht="18.75" customHeight="1" x14ac:dyDescent="0.15">
      <c r="B17" s="220"/>
      <c r="C17" s="254"/>
      <c r="D17" s="274" t="s">
        <v>210</v>
      </c>
      <c r="E17" s="275"/>
      <c r="F17" s="275"/>
      <c r="G17" s="276"/>
    </row>
    <row r="18" spans="2:7" s="124" customFormat="1" ht="18.75" customHeight="1" x14ac:dyDescent="0.15">
      <c r="B18" s="220"/>
      <c r="C18" s="254"/>
      <c r="D18" s="250" t="s">
        <v>211</v>
      </c>
      <c r="E18" s="251"/>
      <c r="F18" s="251"/>
      <c r="G18" s="252"/>
    </row>
    <row r="19" spans="2:7" s="124" customFormat="1" ht="18.75" customHeight="1" x14ac:dyDescent="0.15">
      <c r="B19" s="220"/>
      <c r="C19" s="254"/>
      <c r="D19" s="250"/>
      <c r="E19" s="251"/>
      <c r="F19" s="251"/>
      <c r="G19" s="252"/>
    </row>
    <row r="20" spans="2:7" s="124" customFormat="1" ht="18.75" customHeight="1" x14ac:dyDescent="0.15">
      <c r="B20" s="220"/>
      <c r="C20" s="254"/>
      <c r="D20" s="250"/>
      <c r="E20" s="251"/>
      <c r="F20" s="251"/>
      <c r="G20" s="252"/>
    </row>
    <row r="21" spans="2:7" s="124" customFormat="1" ht="18.75" customHeight="1" x14ac:dyDescent="0.15">
      <c r="B21" s="220"/>
      <c r="C21" s="254"/>
      <c r="D21" s="250"/>
      <c r="E21" s="251"/>
      <c r="F21" s="251"/>
      <c r="G21" s="252"/>
    </row>
    <row r="22" spans="2:7" s="124" customFormat="1" ht="18.75" customHeight="1" x14ac:dyDescent="0.15">
      <c r="B22" s="220"/>
      <c r="C22" s="254"/>
      <c r="D22" s="250"/>
      <c r="E22" s="251"/>
      <c r="F22" s="251"/>
      <c r="G22" s="252"/>
    </row>
    <row r="23" spans="2:7" s="124" customFormat="1" ht="18.75" customHeight="1" x14ac:dyDescent="0.15">
      <c r="B23" s="220"/>
      <c r="C23" s="254"/>
      <c r="D23" s="250"/>
      <c r="E23" s="251"/>
      <c r="F23" s="251"/>
      <c r="G23" s="252"/>
    </row>
    <row r="24" spans="2:7" s="124" customFormat="1" ht="18.75" customHeight="1" x14ac:dyDescent="0.15">
      <c r="B24" s="220"/>
      <c r="C24" s="254"/>
      <c r="D24" s="250"/>
      <c r="E24" s="251"/>
      <c r="F24" s="251"/>
      <c r="G24" s="252"/>
    </row>
    <row r="25" spans="2:7" s="123" customFormat="1" ht="18.75" customHeight="1" x14ac:dyDescent="0.15">
      <c r="B25" s="220"/>
      <c r="C25" s="270"/>
      <c r="D25" s="250"/>
      <c r="E25" s="251"/>
      <c r="F25" s="251"/>
      <c r="G25" s="252"/>
    </row>
    <row r="26" spans="2:7" ht="18.75" customHeight="1" x14ac:dyDescent="0.15">
      <c r="B26" s="219" t="s">
        <v>108</v>
      </c>
      <c r="C26" s="207" t="s">
        <v>104</v>
      </c>
      <c r="D26" s="208"/>
      <c r="E26" s="208"/>
      <c r="F26" s="208"/>
      <c r="G26" s="209"/>
    </row>
    <row r="27" spans="2:7" ht="37.5" customHeight="1" x14ac:dyDescent="0.15">
      <c r="B27" s="220"/>
      <c r="C27" s="221" t="s">
        <v>281</v>
      </c>
      <c r="D27" s="222"/>
      <c r="E27" s="222"/>
      <c r="F27" s="222"/>
      <c r="G27" s="223"/>
    </row>
    <row r="28" spans="2:7" ht="37.5" customHeight="1" x14ac:dyDescent="0.15">
      <c r="B28" s="220"/>
      <c r="C28" s="224"/>
      <c r="D28" s="225"/>
      <c r="E28" s="225"/>
      <c r="F28" s="225"/>
      <c r="G28" s="226"/>
    </row>
    <row r="29" spans="2:7" ht="37.5" customHeight="1" x14ac:dyDescent="0.15">
      <c r="B29" s="220"/>
      <c r="C29" s="224"/>
      <c r="D29" s="225"/>
      <c r="E29" s="225"/>
      <c r="F29" s="225"/>
      <c r="G29" s="226"/>
    </row>
    <row r="30" spans="2:7" ht="37.5" customHeight="1" x14ac:dyDescent="0.15">
      <c r="B30" s="220"/>
      <c r="C30" s="224"/>
      <c r="D30" s="225"/>
      <c r="E30" s="225"/>
      <c r="F30" s="225"/>
      <c r="G30" s="226"/>
    </row>
    <row r="31" spans="2:7" ht="37.5" customHeight="1" x14ac:dyDescent="0.15">
      <c r="B31" s="220"/>
      <c r="C31" s="227"/>
      <c r="D31" s="228"/>
      <c r="E31" s="228"/>
      <c r="F31" s="228"/>
      <c r="G31" s="229"/>
    </row>
    <row r="32" spans="2:7" ht="18.75" customHeight="1" x14ac:dyDescent="0.15">
      <c r="B32" s="220"/>
      <c r="C32" s="70" t="s">
        <v>105</v>
      </c>
      <c r="D32" s="207" t="s">
        <v>106</v>
      </c>
      <c r="E32" s="208"/>
      <c r="F32" s="208"/>
      <c r="G32" s="209"/>
    </row>
    <row r="33" spans="2:7" ht="18.75" customHeight="1" x14ac:dyDescent="0.15">
      <c r="B33" s="220"/>
      <c r="C33" s="256" t="s">
        <v>212</v>
      </c>
      <c r="D33" s="248" t="s">
        <v>213</v>
      </c>
      <c r="E33" s="259"/>
      <c r="F33" s="259"/>
      <c r="G33" s="260"/>
    </row>
    <row r="34" spans="2:7" ht="18.75" customHeight="1" x14ac:dyDescent="0.15">
      <c r="B34" s="220"/>
      <c r="C34" s="257"/>
      <c r="D34" s="248" t="s">
        <v>214</v>
      </c>
      <c r="E34" s="259"/>
      <c r="F34" s="259"/>
      <c r="G34" s="260"/>
    </row>
    <row r="35" spans="2:7" ht="18.75" customHeight="1" x14ac:dyDescent="0.15">
      <c r="B35" s="220"/>
      <c r="C35" s="257"/>
      <c r="D35" s="261" t="s">
        <v>215</v>
      </c>
      <c r="E35" s="262"/>
      <c r="F35" s="262"/>
      <c r="G35" s="263"/>
    </row>
    <row r="36" spans="2:7" ht="18.75" customHeight="1" x14ac:dyDescent="0.15">
      <c r="B36" s="220"/>
      <c r="C36" s="257"/>
      <c r="D36" s="264" t="s">
        <v>216</v>
      </c>
      <c r="E36" s="265"/>
      <c r="F36" s="265"/>
      <c r="G36" s="266"/>
    </row>
    <row r="37" spans="2:7" ht="18.75" customHeight="1" x14ac:dyDescent="0.15">
      <c r="B37" s="220"/>
      <c r="C37" s="257"/>
      <c r="D37" s="264" t="s">
        <v>217</v>
      </c>
      <c r="E37" s="265"/>
      <c r="F37" s="265"/>
      <c r="G37" s="266"/>
    </row>
    <row r="38" spans="2:7" s="124" customFormat="1" ht="18.75" customHeight="1" x14ac:dyDescent="0.15">
      <c r="B38" s="220"/>
      <c r="C38" s="257"/>
      <c r="D38" s="267" t="s">
        <v>218</v>
      </c>
      <c r="E38" s="268"/>
      <c r="F38" s="268"/>
      <c r="G38" s="269"/>
    </row>
    <row r="39" spans="2:7" s="124" customFormat="1" ht="18.75" customHeight="1" x14ac:dyDescent="0.15">
      <c r="B39" s="220"/>
      <c r="C39" s="257"/>
      <c r="D39" s="250"/>
      <c r="E39" s="251"/>
      <c r="F39" s="251"/>
      <c r="G39" s="252"/>
    </row>
    <row r="40" spans="2:7" s="124" customFormat="1" ht="18.75" customHeight="1" x14ac:dyDescent="0.15">
      <c r="B40" s="220"/>
      <c r="C40" s="257"/>
      <c r="D40" s="250"/>
      <c r="E40" s="251"/>
      <c r="F40" s="251"/>
      <c r="G40" s="252"/>
    </row>
    <row r="41" spans="2:7" s="124" customFormat="1" ht="18.75" customHeight="1" x14ac:dyDescent="0.15">
      <c r="B41" s="220"/>
      <c r="C41" s="257"/>
      <c r="D41" s="250"/>
      <c r="E41" s="251"/>
      <c r="F41" s="251"/>
      <c r="G41" s="252"/>
    </row>
    <row r="42" spans="2:7" s="124" customFormat="1" ht="18.75" customHeight="1" x14ac:dyDescent="0.15">
      <c r="B42" s="220"/>
      <c r="C42" s="257"/>
      <c r="D42" s="250"/>
      <c r="E42" s="251"/>
      <c r="F42" s="251"/>
      <c r="G42" s="252"/>
    </row>
    <row r="43" spans="2:7" s="124" customFormat="1" ht="18.75" customHeight="1" x14ac:dyDescent="0.15">
      <c r="B43" s="220"/>
      <c r="C43" s="257"/>
      <c r="D43" s="250"/>
      <c r="E43" s="251"/>
      <c r="F43" s="251"/>
      <c r="G43" s="252"/>
    </row>
    <row r="44" spans="2:7" s="124" customFormat="1" ht="18.75" customHeight="1" x14ac:dyDescent="0.15">
      <c r="B44" s="220"/>
      <c r="C44" s="257"/>
      <c r="D44" s="250"/>
      <c r="E44" s="251"/>
      <c r="F44" s="251"/>
      <c r="G44" s="252"/>
    </row>
    <row r="45" spans="2:7" ht="18.75" customHeight="1" x14ac:dyDescent="0.15">
      <c r="B45" s="220"/>
      <c r="C45" s="257"/>
      <c r="D45" s="267"/>
      <c r="E45" s="268"/>
      <c r="F45" s="268"/>
      <c r="G45" s="269"/>
    </row>
    <row r="46" spans="2:7" s="125" customFormat="1" ht="18.75" customHeight="1" x14ac:dyDescent="0.15">
      <c r="B46" s="220"/>
      <c r="C46" s="257"/>
      <c r="D46" s="250"/>
      <c r="E46" s="251"/>
      <c r="F46" s="251"/>
      <c r="G46" s="252"/>
    </row>
    <row r="47" spans="2:7" ht="18.75" customHeight="1" x14ac:dyDescent="0.15">
      <c r="B47" s="220"/>
      <c r="C47" s="257"/>
      <c r="D47" s="267"/>
      <c r="E47" s="268"/>
      <c r="F47" s="268"/>
      <c r="G47" s="269"/>
    </row>
    <row r="48" spans="2:7" ht="18.75" customHeight="1" x14ac:dyDescent="0.15">
      <c r="B48" s="220"/>
      <c r="C48" s="257"/>
      <c r="D48" s="267"/>
      <c r="E48" s="268"/>
      <c r="F48" s="268"/>
      <c r="G48" s="269"/>
    </row>
    <row r="49" spans="2:7" s="124" customFormat="1" ht="18.75" customHeight="1" x14ac:dyDescent="0.15">
      <c r="B49" s="220"/>
      <c r="C49" s="257"/>
      <c r="D49" s="250"/>
      <c r="E49" s="251"/>
      <c r="F49" s="251"/>
      <c r="G49" s="252"/>
    </row>
    <row r="50" spans="2:7" ht="18.75" customHeight="1" x14ac:dyDescent="0.15">
      <c r="B50" s="220"/>
      <c r="C50" s="258"/>
      <c r="D50" s="267"/>
      <c r="E50" s="268"/>
      <c r="F50" s="268"/>
      <c r="G50" s="269"/>
    </row>
    <row r="51" spans="2:7" ht="18.75" customHeight="1" x14ac:dyDescent="0.15">
      <c r="B51" s="219" t="s">
        <v>110</v>
      </c>
      <c r="C51" s="207" t="s">
        <v>104</v>
      </c>
      <c r="D51" s="208"/>
      <c r="E51" s="208"/>
      <c r="F51" s="208"/>
      <c r="G51" s="209"/>
    </row>
    <row r="52" spans="2:7" ht="37.5" customHeight="1" x14ac:dyDescent="0.15">
      <c r="B52" s="220"/>
      <c r="C52" s="237" t="s">
        <v>282</v>
      </c>
      <c r="D52" s="222"/>
      <c r="E52" s="222"/>
      <c r="F52" s="222"/>
      <c r="G52" s="223"/>
    </row>
    <row r="53" spans="2:7" ht="37.5" customHeight="1" x14ac:dyDescent="0.15">
      <c r="B53" s="220"/>
      <c r="C53" s="224"/>
      <c r="D53" s="225"/>
      <c r="E53" s="225"/>
      <c r="F53" s="225"/>
      <c r="G53" s="226"/>
    </row>
    <row r="54" spans="2:7" ht="37.5" customHeight="1" x14ac:dyDescent="0.15">
      <c r="B54" s="220"/>
      <c r="C54" s="224"/>
      <c r="D54" s="225"/>
      <c r="E54" s="225"/>
      <c r="F54" s="225"/>
      <c r="G54" s="226"/>
    </row>
    <row r="55" spans="2:7" ht="37.5" customHeight="1" x14ac:dyDescent="0.15">
      <c r="B55" s="220"/>
      <c r="C55" s="224"/>
      <c r="D55" s="225"/>
      <c r="E55" s="225"/>
      <c r="F55" s="225"/>
      <c r="G55" s="226"/>
    </row>
    <row r="56" spans="2:7" ht="37.5" customHeight="1" x14ac:dyDescent="0.15">
      <c r="B56" s="220"/>
      <c r="C56" s="227"/>
      <c r="D56" s="228"/>
      <c r="E56" s="228"/>
      <c r="F56" s="228"/>
      <c r="G56" s="229"/>
    </row>
    <row r="57" spans="2:7" ht="18.75" customHeight="1" x14ac:dyDescent="0.15">
      <c r="B57" s="220"/>
      <c r="C57" s="70" t="s">
        <v>105</v>
      </c>
      <c r="D57" s="207" t="s">
        <v>106</v>
      </c>
      <c r="E57" s="208"/>
      <c r="F57" s="208"/>
      <c r="G57" s="209"/>
    </row>
    <row r="58" spans="2:7" ht="32.25" customHeight="1" x14ac:dyDescent="0.15">
      <c r="B58" s="220"/>
      <c r="C58" s="253" t="s">
        <v>220</v>
      </c>
      <c r="D58" s="255" t="s">
        <v>221</v>
      </c>
      <c r="E58" s="255"/>
      <c r="F58" s="255"/>
      <c r="G58" s="255"/>
    </row>
    <row r="59" spans="2:7" ht="33.75" customHeight="1" x14ac:dyDescent="0.15">
      <c r="B59" s="220"/>
      <c r="C59" s="254"/>
      <c r="D59" s="255" t="s">
        <v>222</v>
      </c>
      <c r="E59" s="255"/>
      <c r="F59" s="255"/>
      <c r="G59" s="255"/>
    </row>
    <row r="60" spans="2:7" ht="18.75" customHeight="1" x14ac:dyDescent="0.15">
      <c r="B60" s="220"/>
      <c r="C60" s="254"/>
      <c r="D60" s="255" t="s">
        <v>223</v>
      </c>
      <c r="E60" s="255"/>
      <c r="F60" s="255"/>
      <c r="G60" s="255"/>
    </row>
    <row r="61" spans="2:7" ht="18.75" customHeight="1" x14ac:dyDescent="0.15">
      <c r="B61" s="220"/>
      <c r="C61" s="254"/>
      <c r="D61" s="255" t="s">
        <v>224</v>
      </c>
      <c r="E61" s="255"/>
      <c r="F61" s="255"/>
      <c r="G61" s="255"/>
    </row>
    <row r="62" spans="2:7" ht="18.75" customHeight="1" x14ac:dyDescent="0.15">
      <c r="B62" s="220"/>
      <c r="C62" s="254"/>
      <c r="D62" s="255" t="s">
        <v>225</v>
      </c>
      <c r="E62" s="255"/>
      <c r="F62" s="255"/>
      <c r="G62" s="255"/>
    </row>
    <row r="63" spans="2:7" ht="18.75" customHeight="1" x14ac:dyDescent="0.15">
      <c r="B63" s="220"/>
      <c r="C63" s="254"/>
      <c r="D63" s="249" t="s">
        <v>226</v>
      </c>
      <c r="E63" s="249"/>
      <c r="F63" s="249"/>
      <c r="G63" s="249"/>
    </row>
    <row r="64" spans="2:7" s="124" customFormat="1" ht="18.75" customHeight="1" x14ac:dyDescent="0.15">
      <c r="B64" s="220"/>
      <c r="C64" s="254"/>
      <c r="D64" s="249" t="s">
        <v>227</v>
      </c>
      <c r="E64" s="249"/>
      <c r="F64" s="249"/>
      <c r="G64" s="249"/>
    </row>
    <row r="65" spans="2:7" s="124" customFormat="1" ht="18.75" customHeight="1" x14ac:dyDescent="0.15">
      <c r="B65" s="220"/>
      <c r="C65" s="254"/>
      <c r="D65" s="250"/>
      <c r="E65" s="251"/>
      <c r="F65" s="251"/>
      <c r="G65" s="252"/>
    </row>
    <row r="66" spans="2:7" s="124" customFormat="1" ht="18.75" customHeight="1" x14ac:dyDescent="0.15">
      <c r="B66" s="220"/>
      <c r="C66" s="254"/>
      <c r="D66" s="250"/>
      <c r="E66" s="251"/>
      <c r="F66" s="251"/>
      <c r="G66" s="252"/>
    </row>
    <row r="67" spans="2:7" s="124" customFormat="1" ht="18.75" customHeight="1" x14ac:dyDescent="0.15">
      <c r="B67" s="220"/>
      <c r="C67" s="254"/>
      <c r="D67" s="250"/>
      <c r="E67" s="251"/>
      <c r="F67" s="251"/>
      <c r="G67" s="252"/>
    </row>
    <row r="68" spans="2:7" s="124" customFormat="1" ht="18.75" customHeight="1" x14ac:dyDescent="0.15">
      <c r="B68" s="220"/>
      <c r="C68" s="254"/>
      <c r="D68" s="250"/>
      <c r="E68" s="251"/>
      <c r="F68" s="251"/>
      <c r="G68" s="252"/>
    </row>
    <row r="69" spans="2:7" s="124" customFormat="1" ht="18.75" customHeight="1" x14ac:dyDescent="0.15">
      <c r="B69" s="220"/>
      <c r="C69" s="254"/>
      <c r="D69" s="250"/>
      <c r="E69" s="251"/>
      <c r="F69" s="251"/>
      <c r="G69" s="252"/>
    </row>
    <row r="70" spans="2:7" ht="18.75" customHeight="1" x14ac:dyDescent="0.15">
      <c r="B70" s="220"/>
      <c r="C70" s="254"/>
      <c r="D70" s="267"/>
      <c r="E70" s="268"/>
      <c r="F70" s="268"/>
      <c r="G70" s="269"/>
    </row>
    <row r="71" spans="2:7" s="124" customFormat="1" ht="18.75" customHeight="1" x14ac:dyDescent="0.15">
      <c r="B71" s="220"/>
      <c r="C71" s="254"/>
      <c r="D71" s="250"/>
      <c r="E71" s="251"/>
      <c r="F71" s="251"/>
      <c r="G71" s="252"/>
    </row>
    <row r="72" spans="2:7" ht="18.75" customHeight="1" x14ac:dyDescent="0.15">
      <c r="B72" s="220"/>
      <c r="C72" s="254"/>
      <c r="D72" s="267"/>
      <c r="E72" s="268"/>
      <c r="F72" s="268"/>
      <c r="G72" s="269"/>
    </row>
    <row r="73" spans="2:7" s="125" customFormat="1" ht="18.75" customHeight="1" x14ac:dyDescent="0.15">
      <c r="B73" s="220"/>
      <c r="C73" s="254"/>
      <c r="D73" s="250"/>
      <c r="E73" s="251"/>
      <c r="F73" s="251"/>
      <c r="G73" s="252"/>
    </row>
    <row r="74" spans="2:7" ht="18.75" customHeight="1" x14ac:dyDescent="0.15">
      <c r="B74" s="220"/>
      <c r="C74" s="254"/>
      <c r="D74" s="267"/>
      <c r="E74" s="268"/>
      <c r="F74" s="268"/>
      <c r="G74" s="269"/>
    </row>
    <row r="75" spans="2:7" ht="18.75" customHeight="1" x14ac:dyDescent="0.15">
      <c r="B75" s="220"/>
      <c r="C75" s="270"/>
      <c r="D75" s="249"/>
      <c r="E75" s="249"/>
      <c r="F75" s="249"/>
      <c r="G75" s="249"/>
    </row>
    <row r="76" spans="2:7" ht="18.75" customHeight="1" x14ac:dyDescent="0.15">
      <c r="B76" s="219" t="s">
        <v>109</v>
      </c>
      <c r="C76" s="207" t="s">
        <v>104</v>
      </c>
      <c r="D76" s="208"/>
      <c r="E76" s="208"/>
      <c r="F76" s="208"/>
      <c r="G76" s="209"/>
    </row>
    <row r="77" spans="2:7" ht="37.5" customHeight="1" x14ac:dyDescent="0.15">
      <c r="B77" s="220"/>
      <c r="C77" s="221" t="s">
        <v>267</v>
      </c>
      <c r="D77" s="222"/>
      <c r="E77" s="222"/>
      <c r="F77" s="222"/>
      <c r="G77" s="223"/>
    </row>
    <row r="78" spans="2:7" ht="37.5" customHeight="1" x14ac:dyDescent="0.15">
      <c r="B78" s="220"/>
      <c r="C78" s="224"/>
      <c r="D78" s="225"/>
      <c r="E78" s="225"/>
      <c r="F78" s="225"/>
      <c r="G78" s="226"/>
    </row>
    <row r="79" spans="2:7" ht="37.5" customHeight="1" x14ac:dyDescent="0.15">
      <c r="B79" s="220"/>
      <c r="C79" s="224"/>
      <c r="D79" s="225"/>
      <c r="E79" s="225"/>
      <c r="F79" s="225"/>
      <c r="G79" s="226"/>
    </row>
    <row r="80" spans="2:7" ht="37.5" customHeight="1" x14ac:dyDescent="0.15">
      <c r="B80" s="220"/>
      <c r="C80" s="224"/>
      <c r="D80" s="225"/>
      <c r="E80" s="225"/>
      <c r="F80" s="225"/>
      <c r="G80" s="226"/>
    </row>
    <row r="81" spans="2:7" ht="37.5" customHeight="1" x14ac:dyDescent="0.15">
      <c r="B81" s="220"/>
      <c r="C81" s="227"/>
      <c r="D81" s="228"/>
      <c r="E81" s="228"/>
      <c r="F81" s="228"/>
      <c r="G81" s="229"/>
    </row>
    <row r="82" spans="2:7" ht="18.75" customHeight="1" x14ac:dyDescent="0.15">
      <c r="B82" s="220"/>
      <c r="C82" s="70" t="s">
        <v>105</v>
      </c>
      <c r="D82" s="207" t="s">
        <v>106</v>
      </c>
      <c r="E82" s="208"/>
      <c r="F82" s="208"/>
      <c r="G82" s="209"/>
    </row>
    <row r="83" spans="2:7" ht="18.75" customHeight="1" x14ac:dyDescent="0.15">
      <c r="B83" s="220"/>
      <c r="C83" s="253" t="s">
        <v>220</v>
      </c>
      <c r="D83" s="255" t="s">
        <v>228</v>
      </c>
      <c r="E83" s="255"/>
      <c r="F83" s="255"/>
      <c r="G83" s="255"/>
    </row>
    <row r="84" spans="2:7" ht="18.75" customHeight="1" x14ac:dyDescent="0.15">
      <c r="B84" s="220"/>
      <c r="C84" s="254"/>
      <c r="D84" s="255" t="s">
        <v>229</v>
      </c>
      <c r="E84" s="255"/>
      <c r="F84" s="255"/>
      <c r="G84" s="255"/>
    </row>
    <row r="85" spans="2:7" ht="18.75" customHeight="1" x14ac:dyDescent="0.15">
      <c r="B85" s="220"/>
      <c r="C85" s="254"/>
      <c r="D85" s="255" t="s">
        <v>230</v>
      </c>
      <c r="E85" s="255"/>
      <c r="F85" s="255"/>
      <c r="G85" s="255"/>
    </row>
    <row r="86" spans="2:7" ht="18.75" customHeight="1" x14ac:dyDescent="0.15">
      <c r="B86" s="220"/>
      <c r="C86" s="254"/>
      <c r="D86" s="255" t="s">
        <v>231</v>
      </c>
      <c r="E86" s="255"/>
      <c r="F86" s="255"/>
      <c r="G86" s="255"/>
    </row>
    <row r="87" spans="2:7" ht="18.75" customHeight="1" x14ac:dyDescent="0.15">
      <c r="B87" s="220"/>
      <c r="C87" s="254"/>
      <c r="D87" s="255" t="s">
        <v>232</v>
      </c>
      <c r="E87" s="255"/>
      <c r="F87" s="255"/>
      <c r="G87" s="255"/>
    </row>
    <row r="88" spans="2:7" ht="18.75" customHeight="1" x14ac:dyDescent="0.15">
      <c r="B88" s="220"/>
      <c r="C88" s="254"/>
      <c r="D88" s="255" t="s">
        <v>233</v>
      </c>
      <c r="E88" s="255"/>
      <c r="F88" s="255"/>
      <c r="G88" s="255"/>
    </row>
    <row r="89" spans="2:7" ht="18.75" customHeight="1" x14ac:dyDescent="0.15">
      <c r="B89" s="220"/>
      <c r="C89" s="254"/>
      <c r="D89" s="249" t="s">
        <v>234</v>
      </c>
      <c r="E89" s="249"/>
      <c r="F89" s="249"/>
      <c r="G89" s="249"/>
    </row>
    <row r="90" spans="2:7" ht="18.75" customHeight="1" x14ac:dyDescent="0.15">
      <c r="B90" s="220"/>
      <c r="C90" s="254"/>
      <c r="D90" s="249" t="s">
        <v>235</v>
      </c>
      <c r="E90" s="249"/>
      <c r="F90" s="249"/>
      <c r="G90" s="249"/>
    </row>
    <row r="91" spans="2:7" s="124" customFormat="1" ht="18.75" customHeight="1" x14ac:dyDescent="0.15">
      <c r="B91" s="220"/>
      <c r="C91" s="254"/>
      <c r="D91" s="249" t="s">
        <v>236</v>
      </c>
      <c r="E91" s="249"/>
      <c r="F91" s="249"/>
      <c r="G91" s="249"/>
    </row>
    <row r="92" spans="2:7" s="124" customFormat="1" ht="18.75" customHeight="1" x14ac:dyDescent="0.15">
      <c r="B92" s="220"/>
      <c r="C92" s="254"/>
      <c r="D92" s="250"/>
      <c r="E92" s="251"/>
      <c r="F92" s="251"/>
      <c r="G92" s="252"/>
    </row>
    <row r="93" spans="2:7" s="124" customFormat="1" ht="18.75" customHeight="1" x14ac:dyDescent="0.15">
      <c r="B93" s="220"/>
      <c r="C93" s="254"/>
      <c r="D93" s="250"/>
      <c r="E93" s="251"/>
      <c r="F93" s="251"/>
      <c r="G93" s="252"/>
    </row>
    <row r="94" spans="2:7" s="124" customFormat="1" ht="18.75" customHeight="1" x14ac:dyDescent="0.15">
      <c r="B94" s="220"/>
      <c r="C94" s="254"/>
      <c r="D94" s="250"/>
      <c r="E94" s="251"/>
      <c r="F94" s="251"/>
      <c r="G94" s="252"/>
    </row>
    <row r="95" spans="2:7" s="124" customFormat="1" ht="18.75" customHeight="1" x14ac:dyDescent="0.15">
      <c r="B95" s="220"/>
      <c r="C95" s="254"/>
      <c r="D95" s="250"/>
      <c r="E95" s="251"/>
      <c r="F95" s="251"/>
      <c r="G95" s="252"/>
    </row>
    <row r="96" spans="2:7" ht="18.75" customHeight="1" x14ac:dyDescent="0.15">
      <c r="B96" s="220"/>
      <c r="C96" s="254"/>
      <c r="D96" s="267"/>
      <c r="E96" s="268"/>
      <c r="F96" s="268"/>
      <c r="G96" s="269"/>
    </row>
    <row r="97" spans="2:7" s="125" customFormat="1" ht="18.75" customHeight="1" x14ac:dyDescent="0.15">
      <c r="B97" s="220"/>
      <c r="C97" s="254"/>
      <c r="D97" s="250"/>
      <c r="E97" s="251"/>
      <c r="F97" s="251"/>
      <c r="G97" s="252"/>
    </row>
    <row r="98" spans="2:7" ht="18.75" customHeight="1" x14ac:dyDescent="0.15">
      <c r="B98" s="220"/>
      <c r="C98" s="254"/>
      <c r="D98" s="267"/>
      <c r="E98" s="268"/>
      <c r="F98" s="268"/>
      <c r="G98" s="269"/>
    </row>
    <row r="99" spans="2:7" ht="18.75" customHeight="1" x14ac:dyDescent="0.15">
      <c r="B99" s="220"/>
      <c r="C99" s="254"/>
      <c r="D99" s="249"/>
      <c r="E99" s="249"/>
      <c r="F99" s="249"/>
      <c r="G99" s="249"/>
    </row>
    <row r="100" spans="2:7" s="124" customFormat="1" ht="18.75" customHeight="1" x14ac:dyDescent="0.15">
      <c r="B100" s="220"/>
      <c r="C100" s="254"/>
      <c r="D100" s="250"/>
      <c r="E100" s="251"/>
      <c r="F100" s="251"/>
      <c r="G100" s="252"/>
    </row>
    <row r="101" spans="2:7" ht="18.75" customHeight="1" x14ac:dyDescent="0.15">
      <c r="B101" s="219" t="s">
        <v>111</v>
      </c>
      <c r="C101" s="207" t="s">
        <v>104</v>
      </c>
      <c r="D101" s="208"/>
      <c r="E101" s="208"/>
      <c r="F101" s="208"/>
      <c r="G101" s="209"/>
    </row>
    <row r="102" spans="2:7" ht="37.5" customHeight="1" x14ac:dyDescent="0.15">
      <c r="B102" s="220"/>
      <c r="C102" s="237" t="s">
        <v>270</v>
      </c>
      <c r="D102" s="222"/>
      <c r="E102" s="222"/>
      <c r="F102" s="222"/>
      <c r="G102" s="223"/>
    </row>
    <row r="103" spans="2:7" ht="37.5" customHeight="1" x14ac:dyDescent="0.15">
      <c r="B103" s="220"/>
      <c r="C103" s="224"/>
      <c r="D103" s="225"/>
      <c r="E103" s="225"/>
      <c r="F103" s="225"/>
      <c r="G103" s="226"/>
    </row>
    <row r="104" spans="2:7" ht="37.5" customHeight="1" x14ac:dyDescent="0.15">
      <c r="B104" s="220"/>
      <c r="C104" s="224"/>
      <c r="D104" s="225"/>
      <c r="E104" s="225"/>
      <c r="F104" s="225"/>
      <c r="G104" s="226"/>
    </row>
    <row r="105" spans="2:7" ht="37.5" customHeight="1" x14ac:dyDescent="0.15">
      <c r="B105" s="220"/>
      <c r="C105" s="224"/>
      <c r="D105" s="225"/>
      <c r="E105" s="225"/>
      <c r="F105" s="225"/>
      <c r="G105" s="226"/>
    </row>
    <row r="106" spans="2:7" ht="37.5" customHeight="1" x14ac:dyDescent="0.15">
      <c r="B106" s="220"/>
      <c r="C106" s="227"/>
      <c r="D106" s="228"/>
      <c r="E106" s="228"/>
      <c r="F106" s="228"/>
      <c r="G106" s="229"/>
    </row>
    <row r="107" spans="2:7" ht="18.75" customHeight="1" x14ac:dyDescent="0.15">
      <c r="B107" s="220"/>
      <c r="C107" s="70" t="s">
        <v>105</v>
      </c>
      <c r="D107" s="207" t="s">
        <v>106</v>
      </c>
      <c r="E107" s="208"/>
      <c r="F107" s="208"/>
      <c r="G107" s="209"/>
    </row>
    <row r="108" spans="2:7" ht="18.75" customHeight="1" x14ac:dyDescent="0.15">
      <c r="B108" s="220"/>
      <c r="C108" s="256" t="s">
        <v>146</v>
      </c>
      <c r="D108" s="249" t="s">
        <v>258</v>
      </c>
      <c r="E108" s="249"/>
      <c r="F108" s="249"/>
      <c r="G108" s="249"/>
    </row>
    <row r="109" spans="2:7" ht="18.75" customHeight="1" x14ac:dyDescent="0.15">
      <c r="B109" s="220"/>
      <c r="C109" s="257"/>
      <c r="D109" s="159" t="s">
        <v>181</v>
      </c>
      <c r="E109" s="160"/>
      <c r="F109" s="160"/>
      <c r="G109" s="161"/>
    </row>
    <row r="110" spans="2:7" ht="18.75" customHeight="1" x14ac:dyDescent="0.15">
      <c r="B110" s="220"/>
      <c r="C110" s="257"/>
      <c r="D110" s="159" t="s">
        <v>237</v>
      </c>
      <c r="E110" s="160"/>
      <c r="F110" s="160"/>
      <c r="G110" s="161"/>
    </row>
    <row r="111" spans="2:7" ht="18.75" customHeight="1" x14ac:dyDescent="0.15">
      <c r="B111" s="220"/>
      <c r="C111" s="257"/>
      <c r="D111" s="159" t="s">
        <v>238</v>
      </c>
      <c r="E111" s="160"/>
      <c r="F111" s="160"/>
      <c r="G111" s="161"/>
    </row>
    <row r="112" spans="2:7" ht="18.75" customHeight="1" x14ac:dyDescent="0.15">
      <c r="B112" s="220"/>
      <c r="C112" s="257"/>
      <c r="D112" s="159" t="s">
        <v>239</v>
      </c>
      <c r="E112" s="160"/>
      <c r="F112" s="160"/>
      <c r="G112" s="161"/>
    </row>
    <row r="113" spans="1:7" ht="18.75" customHeight="1" x14ac:dyDescent="0.15">
      <c r="B113" s="220"/>
      <c r="C113" s="257"/>
      <c r="D113" s="159" t="s">
        <v>240</v>
      </c>
      <c r="E113" s="160"/>
      <c r="F113" s="160"/>
      <c r="G113" s="161"/>
    </row>
    <row r="114" spans="1:7" ht="18.75" customHeight="1" x14ac:dyDescent="0.15">
      <c r="B114" s="220"/>
      <c r="C114" s="257"/>
      <c r="D114" s="159" t="s">
        <v>241</v>
      </c>
      <c r="E114" s="160"/>
      <c r="F114" s="160"/>
      <c r="G114" s="161"/>
    </row>
    <row r="115" spans="1:7" ht="18.75" customHeight="1" x14ac:dyDescent="0.15">
      <c r="B115" s="220"/>
      <c r="C115" s="257"/>
      <c r="D115" s="159" t="s">
        <v>259</v>
      </c>
      <c r="E115" s="160"/>
      <c r="F115" s="160"/>
      <c r="G115" s="161"/>
    </row>
    <row r="116" spans="1:7" ht="18.75" customHeight="1" x14ac:dyDescent="0.15">
      <c r="B116" s="220"/>
      <c r="C116" s="257"/>
      <c r="D116" s="159" t="s">
        <v>242</v>
      </c>
      <c r="E116" s="160"/>
      <c r="F116" s="160"/>
      <c r="G116" s="161"/>
    </row>
    <row r="117" spans="1:7" ht="18.75" customHeight="1" x14ac:dyDescent="0.15">
      <c r="B117" s="220"/>
      <c r="C117" s="257"/>
      <c r="D117" s="159" t="s">
        <v>243</v>
      </c>
      <c r="E117" s="160"/>
      <c r="F117" s="160"/>
      <c r="G117" s="161"/>
    </row>
    <row r="118" spans="1:7" ht="18.75" customHeight="1" x14ac:dyDescent="0.15">
      <c r="B118" s="220"/>
      <c r="C118" s="257"/>
      <c r="D118" s="159" t="s">
        <v>244</v>
      </c>
      <c r="E118" s="160"/>
      <c r="F118" s="160"/>
      <c r="G118" s="161"/>
    </row>
    <row r="119" spans="1:7" ht="18.75" customHeight="1" x14ac:dyDescent="0.15">
      <c r="B119" s="220"/>
      <c r="C119" s="257"/>
      <c r="D119" s="159" t="s">
        <v>245</v>
      </c>
      <c r="E119" s="160"/>
      <c r="F119" s="160"/>
      <c r="G119" s="161"/>
    </row>
    <row r="120" spans="1:7" ht="18.75" customHeight="1" x14ac:dyDescent="0.15">
      <c r="B120" s="220"/>
      <c r="C120" s="257"/>
      <c r="D120" s="159" t="s">
        <v>246</v>
      </c>
      <c r="E120" s="160"/>
      <c r="F120" s="160"/>
      <c r="G120" s="161"/>
    </row>
    <row r="121" spans="1:7" ht="18.75" customHeight="1" x14ac:dyDescent="0.15">
      <c r="B121" s="220"/>
      <c r="C121" s="257"/>
      <c r="D121" s="159" t="s">
        <v>247</v>
      </c>
      <c r="E121" s="160"/>
      <c r="F121" s="160"/>
      <c r="G121" s="161"/>
    </row>
    <row r="122" spans="1:7" ht="18.75" customHeight="1" x14ac:dyDescent="0.15">
      <c r="B122" s="220"/>
      <c r="C122" s="257"/>
      <c r="D122" s="159" t="s">
        <v>248</v>
      </c>
      <c r="E122" s="160"/>
      <c r="F122" s="160"/>
      <c r="G122" s="161"/>
    </row>
    <row r="123" spans="1:7" ht="18.75" customHeight="1" x14ac:dyDescent="0.15">
      <c r="B123" s="220"/>
      <c r="C123" s="257"/>
      <c r="D123" s="249"/>
      <c r="E123" s="249"/>
      <c r="F123" s="249"/>
      <c r="G123" s="249"/>
    </row>
    <row r="124" spans="1:7" s="125" customFormat="1" ht="18.75" customHeight="1" x14ac:dyDescent="0.15">
      <c r="B124" s="220"/>
      <c r="C124" s="257"/>
      <c r="D124" s="250"/>
      <c r="E124" s="251"/>
      <c r="F124" s="251"/>
      <c r="G124" s="252"/>
    </row>
    <row r="125" spans="1:7" ht="18.75" customHeight="1" x14ac:dyDescent="0.15">
      <c r="B125" s="220"/>
      <c r="C125" s="258"/>
      <c r="D125" s="159"/>
      <c r="E125" s="160"/>
      <c r="F125" s="160"/>
      <c r="G125" s="161"/>
    </row>
    <row r="126" spans="1:7" ht="18.75" customHeight="1" x14ac:dyDescent="0.15">
      <c r="A126" s="1" t="s">
        <v>12</v>
      </c>
      <c r="B126" s="1" t="s">
        <v>102</v>
      </c>
    </row>
    <row r="127" spans="1:7" ht="22.5" customHeight="1" x14ac:dyDescent="0.15">
      <c r="B127" s="82" t="s">
        <v>72</v>
      </c>
      <c r="C127" s="207" t="s">
        <v>101</v>
      </c>
      <c r="D127" s="208"/>
      <c r="E127" s="208"/>
      <c r="F127" s="208"/>
      <c r="G127" s="209"/>
    </row>
    <row r="128" spans="1:7" ht="45" customHeight="1" x14ac:dyDescent="0.15">
      <c r="B128" s="73" t="s">
        <v>74</v>
      </c>
      <c r="C128" s="248" t="s">
        <v>146</v>
      </c>
      <c r="D128" s="160"/>
      <c r="E128" s="160"/>
      <c r="F128" s="160"/>
      <c r="G128" s="161"/>
    </row>
    <row r="129" spans="1:7" ht="45" customHeight="1" x14ac:dyDescent="0.15">
      <c r="B129" s="73" t="s">
        <v>75</v>
      </c>
      <c r="C129" s="248"/>
      <c r="D129" s="160"/>
      <c r="E129" s="160"/>
      <c r="F129" s="160"/>
      <c r="G129" s="161"/>
    </row>
    <row r="130" spans="1:7" ht="45" customHeight="1" x14ac:dyDescent="0.15">
      <c r="B130" s="73" t="s">
        <v>76</v>
      </c>
      <c r="C130" s="159"/>
      <c r="D130" s="160"/>
      <c r="E130" s="160"/>
      <c r="F130" s="160"/>
      <c r="G130" s="161"/>
    </row>
    <row r="131" spans="1:7" ht="45" customHeight="1" x14ac:dyDescent="0.15">
      <c r="B131" s="73" t="s">
        <v>77</v>
      </c>
      <c r="C131" s="248" t="s">
        <v>146</v>
      </c>
      <c r="D131" s="160"/>
      <c r="E131" s="160"/>
      <c r="F131" s="160"/>
      <c r="G131" s="161"/>
    </row>
    <row r="132" spans="1:7" ht="45" customHeight="1" x14ac:dyDescent="0.15">
      <c r="B132" s="73" t="s">
        <v>78</v>
      </c>
      <c r="C132" s="159"/>
      <c r="D132" s="160"/>
      <c r="E132" s="160"/>
      <c r="F132" s="160"/>
      <c r="G132" s="161"/>
    </row>
    <row r="133" spans="1:7" ht="45" customHeight="1" x14ac:dyDescent="0.15">
      <c r="B133" s="73" t="s">
        <v>79</v>
      </c>
      <c r="C133" s="159" t="s">
        <v>145</v>
      </c>
      <c r="D133" s="160"/>
      <c r="E133" s="160"/>
      <c r="F133" s="160"/>
      <c r="G133" s="161"/>
    </row>
    <row r="134" spans="1:7" ht="45" customHeight="1" x14ac:dyDescent="0.15">
      <c r="B134" s="73" t="s">
        <v>80</v>
      </c>
      <c r="C134" s="159"/>
      <c r="D134" s="160"/>
      <c r="E134" s="160"/>
      <c r="F134" s="160"/>
      <c r="G134" s="161"/>
    </row>
    <row r="135" spans="1:7" ht="45" customHeight="1" x14ac:dyDescent="0.15">
      <c r="B135" s="73" t="s">
        <v>81</v>
      </c>
      <c r="C135" s="248" t="s">
        <v>146</v>
      </c>
      <c r="D135" s="160"/>
      <c r="E135" s="160"/>
      <c r="F135" s="160"/>
      <c r="G135" s="161"/>
    </row>
    <row r="136" spans="1:7" ht="45" customHeight="1" x14ac:dyDescent="0.15">
      <c r="B136" s="73" t="s">
        <v>82</v>
      </c>
      <c r="C136" s="159"/>
      <c r="D136" s="160"/>
      <c r="E136" s="160"/>
      <c r="F136" s="160"/>
      <c r="G136" s="161"/>
    </row>
    <row r="137" spans="1:7" ht="7.5" customHeight="1" x14ac:dyDescent="0.15"/>
    <row r="138" spans="1:7" ht="18.75" customHeight="1" x14ac:dyDescent="0.15">
      <c r="A138" s="1" t="s">
        <v>13</v>
      </c>
      <c r="B138" s="1" t="s">
        <v>96</v>
      </c>
      <c r="E138" s="247" t="s">
        <v>193</v>
      </c>
      <c r="F138" s="160"/>
      <c r="G138" s="161"/>
    </row>
    <row r="139" spans="1:7" ht="7.5" customHeight="1" x14ac:dyDescent="0.15"/>
    <row r="140" spans="1:7" ht="18.75" customHeight="1" x14ac:dyDescent="0.15">
      <c r="A140" s="1" t="s">
        <v>16</v>
      </c>
      <c r="B140" s="1" t="s">
        <v>98</v>
      </c>
    </row>
    <row r="141" spans="1:7" ht="18.75" customHeight="1" x14ac:dyDescent="0.15">
      <c r="B141" s="238" t="s">
        <v>256</v>
      </c>
      <c r="C141" s="239"/>
      <c r="D141" s="239"/>
      <c r="E141" s="239"/>
      <c r="F141" s="239"/>
      <c r="G141" s="240"/>
    </row>
    <row r="142" spans="1:7" ht="18.75" customHeight="1" x14ac:dyDescent="0.15">
      <c r="B142" s="241"/>
      <c r="C142" s="242"/>
      <c r="D142" s="242"/>
      <c r="E142" s="242"/>
      <c r="F142" s="242"/>
      <c r="G142" s="243"/>
    </row>
    <row r="143" spans="1:7" ht="18.75" customHeight="1" x14ac:dyDescent="0.15">
      <c r="B143" s="241"/>
      <c r="C143" s="242"/>
      <c r="D143" s="242"/>
      <c r="E143" s="242"/>
      <c r="F143" s="242"/>
      <c r="G143" s="243"/>
    </row>
    <row r="144" spans="1:7" ht="18.75" customHeight="1" x14ac:dyDescent="0.15">
      <c r="B144" s="244"/>
      <c r="C144" s="245"/>
      <c r="D144" s="245"/>
      <c r="E144" s="245"/>
      <c r="F144" s="245"/>
      <c r="G144" s="24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5">
    <mergeCell ref="D96:G96"/>
    <mergeCell ref="D100:G100"/>
    <mergeCell ref="D91:G91"/>
    <mergeCell ref="D92:G92"/>
    <mergeCell ref="D93:G93"/>
    <mergeCell ref="D94:G94"/>
    <mergeCell ref="D95:G95"/>
    <mergeCell ref="D48:G48"/>
    <mergeCell ref="D64:G64"/>
    <mergeCell ref="D65:G65"/>
    <mergeCell ref="D66:G66"/>
    <mergeCell ref="D67:G67"/>
    <mergeCell ref="C77:G81"/>
    <mergeCell ref="D82:G82"/>
    <mergeCell ref="D68:G68"/>
    <mergeCell ref="D69:G69"/>
    <mergeCell ref="D70:G70"/>
    <mergeCell ref="D71:G71"/>
    <mergeCell ref="D72:G72"/>
    <mergeCell ref="D73:G73"/>
    <mergeCell ref="D74:G74"/>
    <mergeCell ref="D97:G97"/>
    <mergeCell ref="D98:G98"/>
    <mergeCell ref="D99:G99"/>
    <mergeCell ref="A3:G3"/>
    <mergeCell ref="C5:G5"/>
    <mergeCell ref="B6:B25"/>
    <mergeCell ref="C6:G9"/>
    <mergeCell ref="D10:G10"/>
    <mergeCell ref="D18:G18"/>
    <mergeCell ref="D21:G21"/>
    <mergeCell ref="D19:G19"/>
    <mergeCell ref="D20:G20"/>
    <mergeCell ref="D22:G22"/>
    <mergeCell ref="D23:G23"/>
    <mergeCell ref="D24:G24"/>
    <mergeCell ref="D16:G16"/>
    <mergeCell ref="D17:G17"/>
    <mergeCell ref="D25:G25"/>
    <mergeCell ref="B26:B50"/>
    <mergeCell ref="C26:G26"/>
    <mergeCell ref="C27:G31"/>
    <mergeCell ref="D32:G32"/>
    <mergeCell ref="C11:C25"/>
    <mergeCell ref="D11:G11"/>
    <mergeCell ref="D12:G12"/>
    <mergeCell ref="D13:G13"/>
    <mergeCell ref="D14:G14"/>
    <mergeCell ref="D15:G15"/>
    <mergeCell ref="D38:G38"/>
    <mergeCell ref="D39:G39"/>
    <mergeCell ref="D40:G40"/>
    <mergeCell ref="D45:G45"/>
    <mergeCell ref="D46:G46"/>
    <mergeCell ref="D47:G47"/>
    <mergeCell ref="B51:B75"/>
    <mergeCell ref="C51:G51"/>
    <mergeCell ref="C52:G56"/>
    <mergeCell ref="D57:G57"/>
    <mergeCell ref="C33:C50"/>
    <mergeCell ref="D33:G33"/>
    <mergeCell ref="D34:G34"/>
    <mergeCell ref="D35:G35"/>
    <mergeCell ref="D36:G36"/>
    <mergeCell ref="D37:G37"/>
    <mergeCell ref="D50:G50"/>
    <mergeCell ref="D41:G41"/>
    <mergeCell ref="D42:G42"/>
    <mergeCell ref="D43:G43"/>
    <mergeCell ref="D49:G49"/>
    <mergeCell ref="D44:G44"/>
    <mergeCell ref="C58:C75"/>
    <mergeCell ref="D58:G58"/>
    <mergeCell ref="D59:G59"/>
    <mergeCell ref="D60:G60"/>
    <mergeCell ref="D61:G61"/>
    <mergeCell ref="D62:G62"/>
    <mergeCell ref="D63:G63"/>
    <mergeCell ref="D75:G75"/>
    <mergeCell ref="B101:B125"/>
    <mergeCell ref="C101:G101"/>
    <mergeCell ref="C102:G106"/>
    <mergeCell ref="D107:G107"/>
    <mergeCell ref="C83:C100"/>
    <mergeCell ref="D83:G83"/>
    <mergeCell ref="D84:G84"/>
    <mergeCell ref="D85:G85"/>
    <mergeCell ref="D86:G86"/>
    <mergeCell ref="D87:G87"/>
    <mergeCell ref="D88:G88"/>
    <mergeCell ref="D89:G89"/>
    <mergeCell ref="D90:G90"/>
    <mergeCell ref="B76:B100"/>
    <mergeCell ref="C76:G76"/>
    <mergeCell ref="D117:G117"/>
    <mergeCell ref="C108:C125"/>
    <mergeCell ref="D108:G108"/>
    <mergeCell ref="D109:G109"/>
    <mergeCell ref="D110:G110"/>
    <mergeCell ref="D111:G111"/>
    <mergeCell ref="D112:G112"/>
    <mergeCell ref="D113:G113"/>
    <mergeCell ref="D114:G114"/>
    <mergeCell ref="D115:G115"/>
    <mergeCell ref="D116:G116"/>
    <mergeCell ref="C129:G129"/>
    <mergeCell ref="D118:G118"/>
    <mergeCell ref="D119:G119"/>
    <mergeCell ref="D120:G120"/>
    <mergeCell ref="D121:G121"/>
    <mergeCell ref="D125:G125"/>
    <mergeCell ref="C127:G127"/>
    <mergeCell ref="C128:G128"/>
    <mergeCell ref="D122:G122"/>
    <mergeCell ref="D123:G123"/>
    <mergeCell ref="D124:G124"/>
    <mergeCell ref="C136:G136"/>
    <mergeCell ref="E138:G138"/>
    <mergeCell ref="B141:G144"/>
    <mergeCell ref="C130:G130"/>
    <mergeCell ref="C131:G131"/>
    <mergeCell ref="C132:G132"/>
    <mergeCell ref="C133:G133"/>
    <mergeCell ref="C134:G134"/>
    <mergeCell ref="C135:G135"/>
  </mergeCells>
  <phoneticPr fontId="1"/>
  <printOptions horizontalCentered="1"/>
  <pageMargins left="0.78740157480314965" right="0.78740157480314965" top="0.59055118110236227" bottom="0.39370078740157483" header="0.31496062992125984" footer="0.31496062992125984"/>
  <pageSetup paperSize="9" scale="97" orientation="landscape" r:id="rId1"/>
  <rowBreaks count="5" manualBreakCount="5">
    <brk id="25" max="16383" man="1"/>
    <brk id="50" max="16383" man="1"/>
    <brk id="75" max="16383" man="1"/>
    <brk id="100" max="16383" man="1"/>
    <brk id="12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view="pageBreakPreview" zoomScale="60" zoomScaleNormal="100" workbookViewId="0">
      <selection activeCell="Q14" sqref="Q14"/>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2" t="s">
        <v>103</v>
      </c>
    </row>
    <row r="2" spans="1:5" ht="18.75" customHeight="1" x14ac:dyDescent="0.15">
      <c r="B2" s="52" t="s">
        <v>86</v>
      </c>
      <c r="C2" s="52" t="s">
        <v>8</v>
      </c>
      <c r="D2" s="286" t="s">
        <v>131</v>
      </c>
      <c r="E2" s="286"/>
    </row>
    <row r="3" spans="1:5" ht="7.5" customHeight="1" x14ac:dyDescent="0.15">
      <c r="B3" s="52"/>
      <c r="C3" s="52"/>
      <c r="D3" s="53"/>
      <c r="E3" s="53"/>
    </row>
    <row r="4" spans="1:5" ht="18.75" customHeight="1" x14ac:dyDescent="0.15">
      <c r="B4" s="185" t="s">
        <v>83</v>
      </c>
      <c r="C4" s="185"/>
      <c r="D4" s="185"/>
      <c r="E4" s="185"/>
    </row>
    <row r="5" spans="1:5" ht="7.5" customHeight="1" x14ac:dyDescent="0.15">
      <c r="B5" s="54"/>
      <c r="C5" s="54"/>
      <c r="D5" s="54"/>
      <c r="E5" s="54"/>
    </row>
    <row r="6" spans="1:5" ht="18.75" customHeight="1" x14ac:dyDescent="0.15">
      <c r="A6" s="14" t="s">
        <v>7</v>
      </c>
      <c r="B6" s="5" t="s">
        <v>94</v>
      </c>
      <c r="C6" s="62"/>
      <c r="D6" s="62"/>
      <c r="E6" s="62"/>
    </row>
    <row r="7" spans="1:5" ht="18.75" customHeight="1" x14ac:dyDescent="0.15">
      <c r="A7" s="14"/>
      <c r="B7" s="159" t="s">
        <v>276</v>
      </c>
      <c r="C7" s="160"/>
      <c r="D7" s="160"/>
      <c r="E7" s="161"/>
    </row>
    <row r="8" spans="1:5" ht="7.5" customHeight="1" x14ac:dyDescent="0.15">
      <c r="B8" s="62"/>
      <c r="C8" s="62"/>
      <c r="D8" s="62"/>
      <c r="E8" s="62"/>
    </row>
    <row r="9" spans="1:5" s="5" customFormat="1" ht="18.75" customHeight="1" x14ac:dyDescent="0.15">
      <c r="A9" s="14" t="s">
        <v>12</v>
      </c>
      <c r="B9" s="14" t="s">
        <v>44</v>
      </c>
      <c r="C9" s="14"/>
      <c r="D9" s="14"/>
      <c r="E9" s="14"/>
    </row>
    <row r="10" spans="1:5" s="10" customFormat="1" ht="18.75" customHeight="1" x14ac:dyDescent="0.15">
      <c r="A10" s="9"/>
      <c r="B10" s="287" t="s">
        <v>195</v>
      </c>
      <c r="C10" s="277"/>
      <c r="D10" s="277"/>
      <c r="E10" s="278"/>
    </row>
    <row r="11" spans="1:5" s="10" customFormat="1" ht="18.75" customHeight="1" x14ac:dyDescent="0.15">
      <c r="A11" s="9"/>
      <c r="B11" s="279"/>
      <c r="C11" s="280"/>
      <c r="D11" s="280"/>
      <c r="E11" s="281"/>
    </row>
    <row r="12" spans="1:5" s="10" customFormat="1" ht="18.75" customHeight="1" x14ac:dyDescent="0.15">
      <c r="A12" s="9"/>
      <c r="B12" s="279"/>
      <c r="C12" s="280"/>
      <c r="D12" s="280"/>
      <c r="E12" s="281"/>
    </row>
    <row r="13" spans="1:5" s="10" customFormat="1" ht="18.75" customHeight="1" x14ac:dyDescent="0.15">
      <c r="A13" s="9"/>
      <c r="B13" s="279"/>
      <c r="C13" s="280"/>
      <c r="D13" s="280"/>
      <c r="E13" s="281"/>
    </row>
    <row r="14" spans="1:5" s="10" customFormat="1" ht="18.75" customHeight="1" x14ac:dyDescent="0.15">
      <c r="A14" s="9"/>
      <c r="B14" s="279"/>
      <c r="C14" s="280"/>
      <c r="D14" s="280"/>
      <c r="E14" s="281"/>
    </row>
    <row r="15" spans="1:5" s="10" customFormat="1" ht="18.75" customHeight="1" x14ac:dyDescent="0.15">
      <c r="A15" s="9"/>
      <c r="B15" s="282"/>
      <c r="C15" s="283"/>
      <c r="D15" s="283"/>
      <c r="E15" s="284"/>
    </row>
    <row r="16" spans="1:5" s="10" customFormat="1" ht="7.5" customHeight="1" x14ac:dyDescent="0.15">
      <c r="A16" s="9"/>
      <c r="B16" s="9"/>
      <c r="C16" s="9"/>
      <c r="D16" s="9"/>
      <c r="E16" s="9"/>
    </row>
    <row r="17" spans="1:5" s="5" customFormat="1" ht="18.75" customHeight="1" x14ac:dyDescent="0.15">
      <c r="A17" s="11" t="s">
        <v>13</v>
      </c>
      <c r="B17" s="11" t="s">
        <v>18</v>
      </c>
      <c r="C17" s="11"/>
      <c r="D17" s="11"/>
      <c r="E17" s="11"/>
    </row>
    <row r="18" spans="1:5" s="10" customFormat="1" ht="50.1" customHeight="1" x14ac:dyDescent="0.15">
      <c r="A18" s="9"/>
      <c r="B18" s="287" t="s">
        <v>268</v>
      </c>
      <c r="C18" s="288"/>
      <c r="D18" s="288"/>
      <c r="E18" s="289"/>
    </row>
    <row r="19" spans="1:5" s="10" customFormat="1" ht="50.1" customHeight="1" x14ac:dyDescent="0.15">
      <c r="A19" s="9"/>
      <c r="B19" s="290"/>
      <c r="C19" s="291"/>
      <c r="D19" s="291"/>
      <c r="E19" s="292"/>
    </row>
    <row r="20" spans="1:5" s="10" customFormat="1" ht="50.1" customHeight="1" x14ac:dyDescent="0.15">
      <c r="A20" s="9"/>
      <c r="B20" s="290"/>
      <c r="C20" s="291"/>
      <c r="D20" s="291"/>
      <c r="E20" s="292"/>
    </row>
    <row r="21" spans="1:5" s="10" customFormat="1" ht="50.1" customHeight="1" x14ac:dyDescent="0.15">
      <c r="A21" s="9"/>
      <c r="B21" s="290"/>
      <c r="C21" s="291"/>
      <c r="D21" s="291"/>
      <c r="E21" s="292"/>
    </row>
    <row r="22" spans="1:5" s="10" customFormat="1" ht="50.1" customHeight="1" x14ac:dyDescent="0.15">
      <c r="A22" s="9"/>
      <c r="B22" s="290"/>
      <c r="C22" s="291"/>
      <c r="D22" s="291"/>
      <c r="E22" s="292"/>
    </row>
    <row r="23" spans="1:5" s="10" customFormat="1" ht="50.1" customHeight="1" x14ac:dyDescent="0.15">
      <c r="A23" s="9"/>
      <c r="B23" s="290"/>
      <c r="C23" s="291"/>
      <c r="D23" s="291"/>
      <c r="E23" s="292"/>
    </row>
    <row r="24" spans="1:5" s="10" customFormat="1" ht="50.1" customHeight="1" x14ac:dyDescent="0.15">
      <c r="A24" s="9"/>
      <c r="B24" s="290"/>
      <c r="C24" s="291"/>
      <c r="D24" s="291"/>
      <c r="E24" s="292"/>
    </row>
    <row r="25" spans="1:5" s="10" customFormat="1" ht="50.1" customHeight="1" x14ac:dyDescent="0.15">
      <c r="A25" s="9"/>
      <c r="B25" s="290"/>
      <c r="C25" s="291"/>
      <c r="D25" s="291"/>
      <c r="E25" s="292"/>
    </row>
    <row r="26" spans="1:5" s="10" customFormat="1" ht="50.1" customHeight="1" x14ac:dyDescent="0.15">
      <c r="A26" s="9"/>
      <c r="B26" s="290"/>
      <c r="C26" s="291"/>
      <c r="D26" s="291"/>
      <c r="E26" s="292"/>
    </row>
    <row r="27" spans="1:5" s="10" customFormat="1" ht="50.1" customHeight="1" x14ac:dyDescent="0.15">
      <c r="A27" s="9"/>
      <c r="B27" s="290"/>
      <c r="C27" s="291"/>
      <c r="D27" s="291"/>
      <c r="E27" s="292"/>
    </row>
    <row r="28" spans="1:5" s="10" customFormat="1" ht="50.1" customHeight="1" x14ac:dyDescent="0.15">
      <c r="A28" s="9"/>
      <c r="B28" s="290"/>
      <c r="C28" s="291"/>
      <c r="D28" s="291"/>
      <c r="E28" s="292"/>
    </row>
    <row r="29" spans="1:5" ht="7.5" customHeight="1" x14ac:dyDescent="0.15">
      <c r="A29" s="8"/>
      <c r="B29" s="8"/>
      <c r="C29" s="8"/>
      <c r="D29" s="8"/>
      <c r="E29" s="8"/>
    </row>
    <row r="30" spans="1:5" s="5" customFormat="1" ht="18.75" customHeight="1" x14ac:dyDescent="0.15">
      <c r="A30" s="14" t="s">
        <v>16</v>
      </c>
      <c r="B30" s="14" t="s">
        <v>29</v>
      </c>
      <c r="C30" s="14"/>
      <c r="D30" s="14"/>
      <c r="E30" s="14"/>
    </row>
    <row r="31" spans="1:5" s="5" customFormat="1" ht="18.75" customHeight="1" x14ac:dyDescent="0.15">
      <c r="A31" s="14"/>
      <c r="B31" s="238" t="s">
        <v>275</v>
      </c>
      <c r="C31" s="277"/>
      <c r="D31" s="277"/>
      <c r="E31" s="278"/>
    </row>
    <row r="32" spans="1:5" s="5" customFormat="1" ht="18.75" customHeight="1" x14ac:dyDescent="0.15">
      <c r="A32" s="14"/>
      <c r="B32" s="279"/>
      <c r="C32" s="280"/>
      <c r="D32" s="280"/>
      <c r="E32" s="281"/>
    </row>
    <row r="33" spans="1:5" s="5" customFormat="1" ht="18.75" customHeight="1" x14ac:dyDescent="0.15">
      <c r="A33" s="14"/>
      <c r="B33" s="279"/>
      <c r="C33" s="280"/>
      <c r="D33" s="280"/>
      <c r="E33" s="281"/>
    </row>
    <row r="34" spans="1:5" s="5" customFormat="1" ht="18.75" customHeight="1" x14ac:dyDescent="0.15">
      <c r="A34" s="14"/>
      <c r="B34" s="279"/>
      <c r="C34" s="280"/>
      <c r="D34" s="280"/>
      <c r="E34" s="281"/>
    </row>
    <row r="35" spans="1:5" s="5" customFormat="1" ht="18.75" customHeight="1" x14ac:dyDescent="0.15">
      <c r="A35" s="14"/>
      <c r="B35" s="279"/>
      <c r="C35" s="280"/>
      <c r="D35" s="280"/>
      <c r="E35" s="281"/>
    </row>
    <row r="36" spans="1:5" s="5" customFormat="1" ht="18.75" customHeight="1" x14ac:dyDescent="0.15">
      <c r="A36" s="14"/>
      <c r="B36" s="279"/>
      <c r="C36" s="280"/>
      <c r="D36" s="280"/>
      <c r="E36" s="281"/>
    </row>
    <row r="37" spans="1:5" s="5" customFormat="1" ht="18.75" customHeight="1" x14ac:dyDescent="0.15">
      <c r="A37" s="14"/>
      <c r="B37" s="279"/>
      <c r="C37" s="280"/>
      <c r="D37" s="280"/>
      <c r="E37" s="281"/>
    </row>
    <row r="38" spans="1:5" s="5" customFormat="1" ht="18.75" customHeight="1" x14ac:dyDescent="0.15">
      <c r="A38" s="14"/>
      <c r="B38" s="279"/>
      <c r="C38" s="280"/>
      <c r="D38" s="280"/>
      <c r="E38" s="281"/>
    </row>
    <row r="39" spans="1:5" s="5" customFormat="1" ht="18.75" customHeight="1" x14ac:dyDescent="0.15">
      <c r="A39" s="14"/>
      <c r="B39" s="279"/>
      <c r="C39" s="280"/>
      <c r="D39" s="280"/>
      <c r="E39" s="281"/>
    </row>
    <row r="40" spans="1:5" s="5" customFormat="1" ht="18.75" customHeight="1" x14ac:dyDescent="0.15">
      <c r="A40" s="14"/>
      <c r="B40" s="279"/>
      <c r="C40" s="280"/>
      <c r="D40" s="280"/>
      <c r="E40" s="281"/>
    </row>
    <row r="41" spans="1:5" s="5" customFormat="1" ht="18.75" customHeight="1" x14ac:dyDescent="0.15">
      <c r="A41" s="14"/>
      <c r="B41" s="279"/>
      <c r="C41" s="280"/>
      <c r="D41" s="280"/>
      <c r="E41" s="281"/>
    </row>
    <row r="42" spans="1:5" s="5" customFormat="1" ht="18.75" customHeight="1" x14ac:dyDescent="0.15">
      <c r="A42" s="14"/>
      <c r="B42" s="279"/>
      <c r="C42" s="280"/>
      <c r="D42" s="280"/>
      <c r="E42" s="281"/>
    </row>
    <row r="43" spans="1:5" s="5" customFormat="1" ht="18.75" customHeight="1" x14ac:dyDescent="0.15">
      <c r="A43" s="14"/>
      <c r="B43" s="279"/>
      <c r="C43" s="280"/>
      <c r="D43" s="280"/>
      <c r="E43" s="281"/>
    </row>
    <row r="44" spans="1:5" ht="18.75" customHeight="1" x14ac:dyDescent="0.15">
      <c r="A44" s="8"/>
      <c r="B44" s="279"/>
      <c r="C44" s="280"/>
      <c r="D44" s="280"/>
      <c r="E44" s="281"/>
    </row>
    <row r="45" spans="1:5" ht="18.75" customHeight="1" x14ac:dyDescent="0.15">
      <c r="A45" s="8"/>
      <c r="B45" s="279"/>
      <c r="C45" s="280"/>
      <c r="D45" s="280"/>
      <c r="E45" s="281"/>
    </row>
    <row r="46" spans="1:5" ht="18.75" customHeight="1" x14ac:dyDescent="0.15">
      <c r="A46" s="8"/>
      <c r="B46" s="282"/>
      <c r="C46" s="283"/>
      <c r="D46" s="283"/>
      <c r="E46" s="284"/>
    </row>
    <row r="47" spans="1:5" s="5" customFormat="1" ht="18.75" customHeight="1" x14ac:dyDescent="0.15">
      <c r="A47" s="7" t="s">
        <v>14</v>
      </c>
      <c r="B47" s="14" t="s">
        <v>84</v>
      </c>
      <c r="C47" s="7"/>
      <c r="D47" s="7"/>
      <c r="E47" s="7"/>
    </row>
    <row r="48" spans="1:5" ht="18.75" customHeight="1" x14ac:dyDescent="0.15">
      <c r="A48" s="8"/>
      <c r="B48" s="238" t="s">
        <v>269</v>
      </c>
      <c r="C48" s="239"/>
      <c r="D48" s="239"/>
      <c r="E48" s="240"/>
    </row>
    <row r="49" spans="1:5" ht="18.75" customHeight="1" x14ac:dyDescent="0.15">
      <c r="A49" s="8"/>
      <c r="B49" s="241"/>
      <c r="C49" s="242"/>
      <c r="D49" s="242"/>
      <c r="E49" s="243"/>
    </row>
    <row r="50" spans="1:5" ht="18.75" customHeight="1" x14ac:dyDescent="0.15">
      <c r="A50" s="8"/>
      <c r="B50" s="241"/>
      <c r="C50" s="242"/>
      <c r="D50" s="242"/>
      <c r="E50" s="243"/>
    </row>
    <row r="51" spans="1:5" ht="18.75" customHeight="1" x14ac:dyDescent="0.15">
      <c r="A51" s="8"/>
      <c r="B51" s="241"/>
      <c r="C51" s="242"/>
      <c r="D51" s="242"/>
      <c r="E51" s="243"/>
    </row>
    <row r="52" spans="1:5" ht="18.75" customHeight="1" x14ac:dyDescent="0.15">
      <c r="A52" s="8"/>
      <c r="B52" s="241"/>
      <c r="C52" s="242"/>
      <c r="D52" s="242"/>
      <c r="E52" s="243"/>
    </row>
    <row r="53" spans="1:5" ht="18.75" customHeight="1" x14ac:dyDescent="0.15">
      <c r="A53" s="8"/>
      <c r="B53" s="241"/>
      <c r="C53" s="242"/>
      <c r="D53" s="242"/>
      <c r="E53" s="243"/>
    </row>
    <row r="54" spans="1:5" ht="18.75" customHeight="1" x14ac:dyDescent="0.15">
      <c r="A54" s="8"/>
      <c r="B54" s="241"/>
      <c r="C54" s="242"/>
      <c r="D54" s="242"/>
      <c r="E54" s="243"/>
    </row>
    <row r="55" spans="1:5" ht="18.75" customHeight="1" x14ac:dyDescent="0.15">
      <c r="A55" s="8"/>
      <c r="B55" s="241"/>
      <c r="C55" s="242"/>
      <c r="D55" s="242"/>
      <c r="E55" s="243"/>
    </row>
    <row r="56" spans="1:5" ht="18.75" customHeight="1" x14ac:dyDescent="0.15">
      <c r="A56" s="8"/>
      <c r="B56" s="241"/>
      <c r="C56" s="242"/>
      <c r="D56" s="242"/>
      <c r="E56" s="243"/>
    </row>
    <row r="57" spans="1:5" ht="18.75" customHeight="1" x14ac:dyDescent="0.15">
      <c r="A57" s="8"/>
      <c r="B57" s="241"/>
      <c r="C57" s="242"/>
      <c r="D57" s="242"/>
      <c r="E57" s="243"/>
    </row>
    <row r="58" spans="1:5" ht="18.75" customHeight="1" x14ac:dyDescent="0.15">
      <c r="A58" s="8"/>
      <c r="B58" s="241"/>
      <c r="C58" s="242"/>
      <c r="D58" s="242"/>
      <c r="E58" s="243"/>
    </row>
    <row r="59" spans="1:5" ht="18.75" customHeight="1" x14ac:dyDescent="0.15">
      <c r="A59" s="8"/>
      <c r="B59" s="241"/>
      <c r="C59" s="242"/>
      <c r="D59" s="242"/>
      <c r="E59" s="243"/>
    </row>
    <row r="60" spans="1:5" ht="18.75" customHeight="1" x14ac:dyDescent="0.15">
      <c r="A60" s="8"/>
      <c r="B60" s="241"/>
      <c r="C60" s="242"/>
      <c r="D60" s="242"/>
      <c r="E60" s="243"/>
    </row>
    <row r="61" spans="1:5" ht="18.75" customHeight="1" x14ac:dyDescent="0.15">
      <c r="A61" s="8"/>
      <c r="B61" s="241"/>
      <c r="C61" s="242"/>
      <c r="D61" s="242"/>
      <c r="E61" s="243"/>
    </row>
    <row r="62" spans="1:5" ht="18.75" customHeight="1" x14ac:dyDescent="0.15">
      <c r="A62" s="8"/>
      <c r="B62" s="241"/>
      <c r="C62" s="242"/>
      <c r="D62" s="242"/>
      <c r="E62" s="243"/>
    </row>
    <row r="63" spans="1:5" ht="18.75" customHeight="1" x14ac:dyDescent="0.15">
      <c r="A63" s="8"/>
      <c r="B63" s="241"/>
      <c r="C63" s="242"/>
      <c r="D63" s="242"/>
      <c r="E63" s="243"/>
    </row>
    <row r="64" spans="1:5" ht="18.75" customHeight="1" x14ac:dyDescent="0.15">
      <c r="A64" s="8"/>
      <c r="B64" s="241"/>
      <c r="C64" s="242"/>
      <c r="D64" s="242"/>
      <c r="E64" s="243"/>
    </row>
    <row r="65" spans="1:5" ht="18.75" customHeight="1" x14ac:dyDescent="0.15">
      <c r="A65" s="8"/>
      <c r="B65" s="241"/>
      <c r="C65" s="242"/>
      <c r="D65" s="242"/>
      <c r="E65" s="243"/>
    </row>
    <row r="66" spans="1:5" ht="18.75" customHeight="1" x14ac:dyDescent="0.15">
      <c r="A66" s="8"/>
      <c r="B66" s="241"/>
      <c r="C66" s="242"/>
      <c r="D66" s="242"/>
      <c r="E66" s="243"/>
    </row>
    <row r="67" spans="1:5" ht="18.75" customHeight="1" x14ac:dyDescent="0.15">
      <c r="A67" s="8"/>
      <c r="B67" s="241"/>
      <c r="C67" s="242"/>
      <c r="D67" s="242"/>
      <c r="E67" s="243"/>
    </row>
    <row r="68" spans="1:5" ht="18.75" customHeight="1" x14ac:dyDescent="0.15">
      <c r="A68" s="8"/>
      <c r="B68" s="244"/>
      <c r="C68" s="245"/>
      <c r="D68" s="245"/>
      <c r="E68" s="246"/>
    </row>
    <row r="69" spans="1:5" ht="7.5" customHeight="1" x14ac:dyDescent="0.15">
      <c r="A69" s="8"/>
      <c r="B69" s="8"/>
      <c r="C69" s="8"/>
      <c r="D69" s="8"/>
      <c r="E69" s="8"/>
    </row>
    <row r="70" spans="1:5" s="5" customFormat="1" ht="18.75" customHeight="1" x14ac:dyDescent="0.15">
      <c r="A70" s="14" t="s">
        <v>17</v>
      </c>
      <c r="B70" s="14" t="s">
        <v>93</v>
      </c>
      <c r="C70" s="14"/>
      <c r="D70" s="14"/>
      <c r="E70" s="14"/>
    </row>
    <row r="71" spans="1:5" s="5" customFormat="1" ht="18.75" customHeight="1" x14ac:dyDescent="0.15">
      <c r="A71" s="14"/>
      <c r="B71" s="238" t="s">
        <v>250</v>
      </c>
      <c r="C71" s="277"/>
      <c r="D71" s="277"/>
      <c r="E71" s="278"/>
    </row>
    <row r="72" spans="1:5" s="5" customFormat="1" ht="18.75" customHeight="1" x14ac:dyDescent="0.15">
      <c r="A72" s="14"/>
      <c r="B72" s="279"/>
      <c r="C72" s="280"/>
      <c r="D72" s="280"/>
      <c r="E72" s="281"/>
    </row>
    <row r="73" spans="1:5" s="5" customFormat="1" ht="18.75" customHeight="1" x14ac:dyDescent="0.15">
      <c r="A73" s="14"/>
      <c r="B73" s="279"/>
      <c r="C73" s="280"/>
      <c r="D73" s="280"/>
      <c r="E73" s="281"/>
    </row>
    <row r="74" spans="1:5" s="5" customFormat="1" ht="18.75" customHeight="1" x14ac:dyDescent="0.15">
      <c r="A74" s="14"/>
      <c r="B74" s="279"/>
      <c r="C74" s="280"/>
      <c r="D74" s="280"/>
      <c r="E74" s="281"/>
    </row>
    <row r="75" spans="1:5" s="5" customFormat="1" ht="18.75" customHeight="1" x14ac:dyDescent="0.15">
      <c r="A75" s="14"/>
      <c r="B75" s="279"/>
      <c r="C75" s="280"/>
      <c r="D75" s="280"/>
      <c r="E75" s="281"/>
    </row>
    <row r="76" spans="1:5" s="5" customFormat="1" ht="18.75" customHeight="1" x14ac:dyDescent="0.15">
      <c r="A76" s="14"/>
      <c r="B76" s="279"/>
      <c r="C76" s="280"/>
      <c r="D76" s="280"/>
      <c r="E76" s="281"/>
    </row>
    <row r="77" spans="1:5" s="5" customFormat="1" ht="18.75" customHeight="1" x14ac:dyDescent="0.15">
      <c r="A77" s="14"/>
      <c r="B77" s="279"/>
      <c r="C77" s="280"/>
      <c r="D77" s="280"/>
      <c r="E77" s="281"/>
    </row>
    <row r="78" spans="1:5" s="5" customFormat="1" ht="18.75" customHeight="1" x14ac:dyDescent="0.15">
      <c r="A78" s="14"/>
      <c r="B78" s="279"/>
      <c r="C78" s="280"/>
      <c r="D78" s="280"/>
      <c r="E78" s="281"/>
    </row>
    <row r="79" spans="1:5" s="5" customFormat="1" ht="18.75" customHeight="1" x14ac:dyDescent="0.15">
      <c r="A79" s="14"/>
      <c r="B79" s="279"/>
      <c r="C79" s="280"/>
      <c r="D79" s="280"/>
      <c r="E79" s="281"/>
    </row>
    <row r="80" spans="1:5" s="5" customFormat="1" ht="18.75" customHeight="1" x14ac:dyDescent="0.15">
      <c r="A80" s="14"/>
      <c r="B80" s="279"/>
      <c r="C80" s="280"/>
      <c r="D80" s="280"/>
      <c r="E80" s="281"/>
    </row>
    <row r="81" spans="1:5" s="5" customFormat="1" ht="18.75" customHeight="1" x14ac:dyDescent="0.15">
      <c r="A81" s="14"/>
      <c r="B81" s="279"/>
      <c r="C81" s="280"/>
      <c r="D81" s="280"/>
      <c r="E81" s="281"/>
    </row>
    <row r="82" spans="1:5" s="5" customFormat="1" ht="18.75" customHeight="1" x14ac:dyDescent="0.15">
      <c r="A82" s="14"/>
      <c r="B82" s="279"/>
      <c r="C82" s="280"/>
      <c r="D82" s="280"/>
      <c r="E82" s="281"/>
    </row>
    <row r="83" spans="1:5" s="5" customFormat="1" ht="18.75" customHeight="1" x14ac:dyDescent="0.15">
      <c r="A83" s="14"/>
      <c r="B83" s="279"/>
      <c r="C83" s="280"/>
      <c r="D83" s="280"/>
      <c r="E83" s="281"/>
    </row>
    <row r="84" spans="1:5" s="5" customFormat="1" ht="18.75" customHeight="1" x14ac:dyDescent="0.15">
      <c r="A84" s="14"/>
      <c r="B84" s="279"/>
      <c r="C84" s="280"/>
      <c r="D84" s="280"/>
      <c r="E84" s="281"/>
    </row>
    <row r="85" spans="1:5" s="5" customFormat="1" ht="18.75" customHeight="1" x14ac:dyDescent="0.15">
      <c r="A85" s="14"/>
      <c r="B85" s="279"/>
      <c r="C85" s="280"/>
      <c r="D85" s="280"/>
      <c r="E85" s="281"/>
    </row>
    <row r="86" spans="1:5" s="5" customFormat="1" ht="18.75" customHeight="1" x14ac:dyDescent="0.15">
      <c r="A86" s="14"/>
      <c r="B86" s="279"/>
      <c r="C86" s="280"/>
      <c r="D86" s="280"/>
      <c r="E86" s="281"/>
    </row>
    <row r="87" spans="1:5" ht="18.75" customHeight="1" x14ac:dyDescent="0.15">
      <c r="A87" s="8"/>
      <c r="B87" s="279"/>
      <c r="C87" s="280"/>
      <c r="D87" s="280"/>
      <c r="E87" s="281"/>
    </row>
    <row r="88" spans="1:5" ht="18.75" customHeight="1" x14ac:dyDescent="0.15">
      <c r="A88" s="8"/>
      <c r="B88" s="279"/>
      <c r="C88" s="280"/>
      <c r="D88" s="280"/>
      <c r="E88" s="281"/>
    </row>
    <row r="89" spans="1:5" ht="18.75" customHeight="1" x14ac:dyDescent="0.15">
      <c r="A89" s="8"/>
      <c r="B89" s="282"/>
      <c r="C89" s="283"/>
      <c r="D89" s="283"/>
      <c r="E89" s="284"/>
    </row>
    <row r="90" spans="1:5" ht="7.5" customHeight="1" x14ac:dyDescent="0.15">
      <c r="A90" s="8"/>
      <c r="B90" s="8"/>
      <c r="C90" s="8"/>
      <c r="D90" s="8"/>
      <c r="E90" s="8"/>
    </row>
    <row r="91" spans="1:5" s="5" customFormat="1" ht="18.75" customHeight="1" x14ac:dyDescent="0.15">
      <c r="A91" s="14" t="s">
        <v>15</v>
      </c>
      <c r="B91" s="14" t="s">
        <v>32</v>
      </c>
      <c r="C91" s="14"/>
      <c r="D91" s="14"/>
      <c r="E91" s="14"/>
    </row>
    <row r="92" spans="1:5" s="5" customFormat="1" ht="18.75" customHeight="1" x14ac:dyDescent="0.15">
      <c r="A92" s="14"/>
      <c r="B92" s="238" t="s">
        <v>251</v>
      </c>
      <c r="C92" s="277"/>
      <c r="D92" s="277"/>
      <c r="E92" s="278"/>
    </row>
    <row r="93" spans="1:5" s="5" customFormat="1" ht="18.75" customHeight="1" x14ac:dyDescent="0.15">
      <c r="A93" s="14"/>
      <c r="B93" s="279"/>
      <c r="C93" s="280"/>
      <c r="D93" s="280"/>
      <c r="E93" s="281"/>
    </row>
    <row r="94" spans="1:5" s="5" customFormat="1" ht="18.75" customHeight="1" x14ac:dyDescent="0.15">
      <c r="A94" s="14"/>
      <c r="B94" s="279"/>
      <c r="C94" s="280"/>
      <c r="D94" s="280"/>
      <c r="E94" s="281"/>
    </row>
    <row r="95" spans="1:5" s="5" customFormat="1" ht="18.75" customHeight="1" x14ac:dyDescent="0.15">
      <c r="A95" s="14"/>
      <c r="B95" s="279"/>
      <c r="C95" s="280"/>
      <c r="D95" s="280"/>
      <c r="E95" s="281"/>
    </row>
    <row r="96" spans="1:5" s="5" customFormat="1" ht="18.75" customHeight="1" x14ac:dyDescent="0.15">
      <c r="A96" s="14"/>
      <c r="B96" s="279"/>
      <c r="C96" s="280"/>
      <c r="D96" s="280"/>
      <c r="E96" s="281"/>
    </row>
    <row r="97" spans="1:5" s="5" customFormat="1" ht="18.75" customHeight="1" x14ac:dyDescent="0.15">
      <c r="A97" s="14"/>
      <c r="B97" s="279"/>
      <c r="C97" s="280"/>
      <c r="D97" s="280"/>
      <c r="E97" s="281"/>
    </row>
    <row r="98" spans="1:5" s="5" customFormat="1" ht="18.75" customHeight="1" x14ac:dyDescent="0.15">
      <c r="A98" s="14"/>
      <c r="B98" s="279"/>
      <c r="C98" s="280"/>
      <c r="D98" s="280"/>
      <c r="E98" s="281"/>
    </row>
    <row r="99" spans="1:5" s="5" customFormat="1" ht="18.75" customHeight="1" x14ac:dyDescent="0.15">
      <c r="A99" s="14"/>
      <c r="B99" s="279"/>
      <c r="C99" s="280"/>
      <c r="D99" s="280"/>
      <c r="E99" s="281"/>
    </row>
    <row r="100" spans="1:5" s="5" customFormat="1" ht="18.75" customHeight="1" x14ac:dyDescent="0.15">
      <c r="A100" s="14"/>
      <c r="B100" s="279"/>
      <c r="C100" s="280"/>
      <c r="D100" s="280"/>
      <c r="E100" s="281"/>
    </row>
    <row r="101" spans="1:5" s="5" customFormat="1" ht="18.75" customHeight="1" x14ac:dyDescent="0.15">
      <c r="A101" s="14"/>
      <c r="B101" s="279"/>
      <c r="C101" s="280"/>
      <c r="D101" s="280"/>
      <c r="E101" s="281"/>
    </row>
    <row r="102" spans="1:5" s="5" customFormat="1" ht="18.75" customHeight="1" x14ac:dyDescent="0.15">
      <c r="A102" s="14"/>
      <c r="B102" s="279"/>
      <c r="C102" s="280"/>
      <c r="D102" s="280"/>
      <c r="E102" s="281"/>
    </row>
    <row r="103" spans="1:5" s="5" customFormat="1" ht="18.75" customHeight="1" x14ac:dyDescent="0.15">
      <c r="A103" s="14"/>
      <c r="B103" s="279"/>
      <c r="C103" s="280"/>
      <c r="D103" s="280"/>
      <c r="E103" s="281"/>
    </row>
    <row r="104" spans="1:5" s="5" customFormat="1" ht="18.75" customHeight="1" x14ac:dyDescent="0.15">
      <c r="A104" s="14"/>
      <c r="B104" s="279"/>
      <c r="C104" s="280"/>
      <c r="D104" s="280"/>
      <c r="E104" s="281"/>
    </row>
    <row r="105" spans="1:5" s="5" customFormat="1" ht="18.75" customHeight="1" x14ac:dyDescent="0.15">
      <c r="A105" s="14"/>
      <c r="B105" s="279"/>
      <c r="C105" s="280"/>
      <c r="D105" s="280"/>
      <c r="E105" s="281"/>
    </row>
    <row r="106" spans="1:5" s="5" customFormat="1" ht="18.75" customHeight="1" x14ac:dyDescent="0.15">
      <c r="A106" s="14"/>
      <c r="B106" s="279"/>
      <c r="C106" s="280"/>
      <c r="D106" s="280"/>
      <c r="E106" s="281"/>
    </row>
    <row r="107" spans="1:5" s="5" customFormat="1" ht="18.75" customHeight="1" x14ac:dyDescent="0.15">
      <c r="A107" s="14"/>
      <c r="B107" s="279"/>
      <c r="C107" s="280"/>
      <c r="D107" s="280"/>
      <c r="E107" s="281"/>
    </row>
    <row r="108" spans="1:5" s="5" customFormat="1" ht="18.75" customHeight="1" x14ac:dyDescent="0.15">
      <c r="A108" s="14"/>
      <c r="B108" s="279"/>
      <c r="C108" s="280"/>
      <c r="D108" s="280"/>
      <c r="E108" s="281"/>
    </row>
    <row r="109" spans="1:5" ht="18.75" customHeight="1" x14ac:dyDescent="0.15">
      <c r="A109" s="8"/>
      <c r="B109" s="279"/>
      <c r="C109" s="280"/>
      <c r="D109" s="280"/>
      <c r="E109" s="281"/>
    </row>
    <row r="110" spans="1:5" ht="18.75" customHeight="1" x14ac:dyDescent="0.15">
      <c r="A110" s="8"/>
      <c r="B110" s="279"/>
      <c r="C110" s="280"/>
      <c r="D110" s="280"/>
      <c r="E110" s="281"/>
    </row>
    <row r="111" spans="1:5" ht="18.75" customHeight="1" x14ac:dyDescent="0.15">
      <c r="A111" s="8"/>
      <c r="B111" s="282"/>
      <c r="C111" s="283"/>
      <c r="D111" s="283"/>
      <c r="E111" s="284"/>
    </row>
    <row r="112" spans="1:5" ht="7.5" customHeight="1" x14ac:dyDescent="0.15">
      <c r="A112" s="8"/>
      <c r="B112" s="8"/>
      <c r="C112" s="8"/>
      <c r="D112" s="8"/>
      <c r="E112" s="8"/>
    </row>
    <row r="113" spans="1:5" s="5" customFormat="1" ht="18.75" customHeight="1" x14ac:dyDescent="0.15">
      <c r="A113" s="14" t="s">
        <v>60</v>
      </c>
      <c r="B113" s="285" t="s">
        <v>129</v>
      </c>
      <c r="C113" s="285"/>
      <c r="D113" s="285"/>
      <c r="E113" s="285"/>
    </row>
    <row r="114" spans="1:5" ht="18.75" customHeight="1" x14ac:dyDescent="0.15">
      <c r="A114" s="8"/>
      <c r="B114" s="238" t="s">
        <v>194</v>
      </c>
      <c r="C114" s="277"/>
      <c r="D114" s="277"/>
      <c r="E114" s="278"/>
    </row>
    <row r="115" spans="1:5" ht="18.75" customHeight="1" x14ac:dyDescent="0.15">
      <c r="A115" s="8"/>
      <c r="B115" s="279"/>
      <c r="C115" s="280"/>
      <c r="D115" s="280"/>
      <c r="E115" s="281"/>
    </row>
    <row r="116" spans="1:5" ht="18.75" customHeight="1" x14ac:dyDescent="0.15">
      <c r="A116" s="8"/>
      <c r="B116" s="279"/>
      <c r="C116" s="280"/>
      <c r="D116" s="280"/>
      <c r="E116" s="281"/>
    </row>
    <row r="117" spans="1:5" ht="18.75" customHeight="1" x14ac:dyDescent="0.15">
      <c r="A117" s="8"/>
      <c r="B117" s="279"/>
      <c r="C117" s="280"/>
      <c r="D117" s="280"/>
      <c r="E117" s="281"/>
    </row>
    <row r="118" spans="1:5" ht="18.75" customHeight="1" x14ac:dyDescent="0.15">
      <c r="A118" s="8"/>
      <c r="B118" s="279"/>
      <c r="C118" s="280"/>
      <c r="D118" s="280"/>
      <c r="E118" s="281"/>
    </row>
    <row r="119" spans="1:5" ht="18.75" customHeight="1" x14ac:dyDescent="0.15">
      <c r="A119" s="8"/>
      <c r="B119" s="279"/>
      <c r="C119" s="280"/>
      <c r="D119" s="280"/>
      <c r="E119" s="281"/>
    </row>
    <row r="120" spans="1:5" ht="18.75" customHeight="1" x14ac:dyDescent="0.15">
      <c r="A120" s="8"/>
      <c r="B120" s="279"/>
      <c r="C120" s="280"/>
      <c r="D120" s="280"/>
      <c r="E120" s="281"/>
    </row>
    <row r="121" spans="1:5" ht="18.75" customHeight="1" x14ac:dyDescent="0.15">
      <c r="A121" s="8"/>
      <c r="B121" s="279"/>
      <c r="C121" s="280"/>
      <c r="D121" s="280"/>
      <c r="E121" s="281"/>
    </row>
    <row r="122" spans="1:5" ht="18.75" customHeight="1" x14ac:dyDescent="0.15">
      <c r="A122" s="8"/>
      <c r="B122" s="279"/>
      <c r="C122" s="280"/>
      <c r="D122" s="280"/>
      <c r="E122" s="281"/>
    </row>
    <row r="123" spans="1:5" ht="18.75" customHeight="1" x14ac:dyDescent="0.15">
      <c r="A123" s="8"/>
      <c r="B123" s="279"/>
      <c r="C123" s="280"/>
      <c r="D123" s="280"/>
      <c r="E123" s="281"/>
    </row>
    <row r="124" spans="1:5" ht="18.75" customHeight="1" x14ac:dyDescent="0.15">
      <c r="A124" s="8"/>
      <c r="B124" s="279"/>
      <c r="C124" s="280"/>
      <c r="D124" s="280"/>
      <c r="E124" s="281"/>
    </row>
    <row r="125" spans="1:5" ht="18.75" customHeight="1" x14ac:dyDescent="0.15">
      <c r="A125" s="8"/>
      <c r="B125" s="279"/>
      <c r="C125" s="280"/>
      <c r="D125" s="280"/>
      <c r="E125" s="281"/>
    </row>
    <row r="126" spans="1:5" ht="18.75" customHeight="1" x14ac:dyDescent="0.15">
      <c r="A126" s="8"/>
      <c r="B126" s="279"/>
      <c r="C126" s="280"/>
      <c r="D126" s="280"/>
      <c r="E126" s="281"/>
    </row>
    <row r="127" spans="1:5" ht="18.75" customHeight="1" x14ac:dyDescent="0.15">
      <c r="A127" s="8"/>
      <c r="B127" s="279"/>
      <c r="C127" s="280"/>
      <c r="D127" s="280"/>
      <c r="E127" s="281"/>
    </row>
    <row r="128" spans="1:5" ht="18.75" customHeight="1" x14ac:dyDescent="0.15">
      <c r="A128" s="8"/>
      <c r="B128" s="279"/>
      <c r="C128" s="280"/>
      <c r="D128" s="280"/>
      <c r="E128" s="281"/>
    </row>
    <row r="129" spans="1:5" ht="18.75" customHeight="1" x14ac:dyDescent="0.15">
      <c r="A129" s="8"/>
      <c r="B129" s="279"/>
      <c r="C129" s="280"/>
      <c r="D129" s="280"/>
      <c r="E129" s="281"/>
    </row>
    <row r="130" spans="1:5" ht="18.75" customHeight="1" x14ac:dyDescent="0.15">
      <c r="A130" s="8"/>
      <c r="B130" s="279"/>
      <c r="C130" s="280"/>
      <c r="D130" s="280"/>
      <c r="E130" s="281"/>
    </row>
    <row r="131" spans="1:5" ht="18.75" customHeight="1" x14ac:dyDescent="0.15">
      <c r="A131" s="8"/>
      <c r="B131" s="279"/>
      <c r="C131" s="280"/>
      <c r="D131" s="280"/>
      <c r="E131" s="281"/>
    </row>
    <row r="132" spans="1:5" ht="18.75" customHeight="1" x14ac:dyDescent="0.15">
      <c r="A132" s="8"/>
      <c r="B132" s="279"/>
      <c r="C132" s="280"/>
      <c r="D132" s="280"/>
      <c r="E132" s="281"/>
    </row>
    <row r="133" spans="1:5" ht="18.75" customHeight="1" x14ac:dyDescent="0.15">
      <c r="A133" s="8"/>
      <c r="B133" s="282"/>
      <c r="C133" s="283"/>
      <c r="D133" s="283"/>
      <c r="E133" s="284"/>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5"/>
    <mergeCell ref="B18: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3" manualBreakCount="3">
    <brk id="28" max="4" man="1"/>
    <brk id="46" max="4" man="1"/>
    <brk id="90"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19" zoomScaleNormal="100" workbookViewId="0">
      <selection activeCell="G35" sqref="G35"/>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52" t="s">
        <v>9</v>
      </c>
    </row>
    <row r="2" spans="1:10" ht="18.75" customHeight="1" x14ac:dyDescent="0.15">
      <c r="D2" s="52"/>
      <c r="H2" s="52" t="s">
        <v>30</v>
      </c>
      <c r="I2" s="286" t="s">
        <v>132</v>
      </c>
      <c r="J2" s="286"/>
    </row>
    <row r="3" spans="1:10" ht="18.75" customHeight="1" x14ac:dyDescent="0.15">
      <c r="A3" s="185" t="s">
        <v>48</v>
      </c>
      <c r="B3" s="185"/>
      <c r="C3" s="185"/>
      <c r="D3" s="185"/>
      <c r="E3" s="185"/>
      <c r="F3" s="185"/>
      <c r="G3" s="185"/>
      <c r="H3" s="185"/>
      <c r="I3" s="185"/>
      <c r="J3" s="185"/>
    </row>
    <row r="4" spans="1:10" ht="7.5" customHeight="1" x14ac:dyDescent="0.15">
      <c r="B4" s="55"/>
      <c r="C4" s="55"/>
      <c r="D4" s="301"/>
      <c r="E4" s="302"/>
      <c r="F4" s="302"/>
      <c r="G4" s="302"/>
      <c r="H4" s="302"/>
      <c r="I4" s="302"/>
      <c r="J4" s="302"/>
    </row>
    <row r="5" spans="1:10" ht="18.75" customHeight="1" x14ac:dyDescent="0.15">
      <c r="A5" s="1" t="s">
        <v>7</v>
      </c>
      <c r="B5" s="5" t="s">
        <v>46</v>
      </c>
      <c r="C5" s="55"/>
      <c r="D5" s="55"/>
      <c r="E5" s="56"/>
      <c r="F5" s="60"/>
      <c r="G5" s="63"/>
      <c r="H5" s="60"/>
      <c r="I5" s="56"/>
      <c r="J5" s="56"/>
    </row>
    <row r="6" spans="1:10" ht="18.75" customHeight="1" x14ac:dyDescent="0.15">
      <c r="B6" s="207" t="s">
        <v>43</v>
      </c>
      <c r="C6" s="208"/>
      <c r="D6" s="209"/>
      <c r="E6" s="303" t="s">
        <v>45</v>
      </c>
      <c r="F6" s="303"/>
      <c r="G6" s="303"/>
      <c r="H6" s="303"/>
      <c r="I6" s="303"/>
      <c r="J6" s="304"/>
    </row>
    <row r="7" spans="1:10" ht="18.75" customHeight="1" x14ac:dyDescent="0.15">
      <c r="B7" s="6" t="s">
        <v>33</v>
      </c>
      <c r="C7" s="8"/>
      <c r="D7" s="18"/>
      <c r="E7" s="3"/>
      <c r="F7" s="3"/>
      <c r="G7" s="3"/>
      <c r="H7" s="3"/>
      <c r="I7" s="15"/>
      <c r="J7" s="16"/>
    </row>
    <row r="8" spans="1:10" ht="202.5" customHeight="1" x14ac:dyDescent="0.15">
      <c r="B8" s="17"/>
      <c r="C8" s="296" t="s">
        <v>34</v>
      </c>
      <c r="D8" s="297"/>
      <c r="E8" s="298" t="s">
        <v>274</v>
      </c>
      <c r="F8" s="299"/>
      <c r="G8" s="299"/>
      <c r="H8" s="299"/>
      <c r="I8" s="299"/>
      <c r="J8" s="300"/>
    </row>
    <row r="9" spans="1:10" ht="202.5" customHeight="1" x14ac:dyDescent="0.15">
      <c r="B9" s="17"/>
      <c r="C9" s="308" t="s">
        <v>35</v>
      </c>
      <c r="D9" s="309"/>
      <c r="E9" s="298" t="s">
        <v>252</v>
      </c>
      <c r="F9" s="299"/>
      <c r="G9" s="299"/>
      <c r="H9" s="299"/>
      <c r="I9" s="299"/>
      <c r="J9" s="300"/>
    </row>
    <row r="10" spans="1:10" ht="172.5" customHeight="1" x14ac:dyDescent="0.15">
      <c r="B10" s="17"/>
      <c r="C10" s="296" t="s">
        <v>36</v>
      </c>
      <c r="D10" s="297"/>
      <c r="E10" s="298" t="s">
        <v>254</v>
      </c>
      <c r="F10" s="299"/>
      <c r="G10" s="299"/>
      <c r="H10" s="299"/>
      <c r="I10" s="299"/>
      <c r="J10" s="300"/>
    </row>
    <row r="11" spans="1:10" ht="172.5" customHeight="1" x14ac:dyDescent="0.15">
      <c r="B11" s="17"/>
      <c r="C11" s="296" t="s">
        <v>37</v>
      </c>
      <c r="D11" s="297"/>
      <c r="E11" s="298" t="s">
        <v>272</v>
      </c>
      <c r="F11" s="299"/>
      <c r="G11" s="299"/>
      <c r="H11" s="299"/>
      <c r="I11" s="299"/>
      <c r="J11" s="300"/>
    </row>
    <row r="12" spans="1:10" ht="172.5" customHeight="1" x14ac:dyDescent="0.15">
      <c r="B12" s="17"/>
      <c r="C12" s="296" t="s">
        <v>38</v>
      </c>
      <c r="D12" s="297"/>
      <c r="E12" s="298" t="s">
        <v>273</v>
      </c>
      <c r="F12" s="299"/>
      <c r="G12" s="299"/>
      <c r="H12" s="299"/>
      <c r="I12" s="299"/>
      <c r="J12" s="300"/>
    </row>
    <row r="13" spans="1:10" ht="18.75" customHeight="1" x14ac:dyDescent="0.15">
      <c r="B13" s="20" t="s">
        <v>39</v>
      </c>
      <c r="C13" s="57"/>
      <c r="D13" s="19"/>
      <c r="E13" s="80"/>
      <c r="F13" s="80"/>
      <c r="G13" s="80"/>
      <c r="H13" s="80"/>
      <c r="I13" s="80"/>
      <c r="J13" s="81"/>
    </row>
    <row r="14" spans="1:10" ht="255" customHeight="1" x14ac:dyDescent="0.15">
      <c r="B14" s="17"/>
      <c r="C14" s="296" t="s">
        <v>40</v>
      </c>
      <c r="D14" s="297"/>
      <c r="E14" s="299" t="s">
        <v>271</v>
      </c>
      <c r="F14" s="299"/>
      <c r="G14" s="299"/>
      <c r="H14" s="299"/>
      <c r="I14" s="299"/>
      <c r="J14" s="300"/>
    </row>
    <row r="15" spans="1:10" ht="255" customHeight="1" x14ac:dyDescent="0.15">
      <c r="B15" s="17"/>
      <c r="C15" s="310" t="s">
        <v>41</v>
      </c>
      <c r="D15" s="311"/>
      <c r="E15" s="312" t="s">
        <v>255</v>
      </c>
      <c r="F15" s="312"/>
      <c r="G15" s="312"/>
      <c r="H15" s="312"/>
      <c r="I15" s="312"/>
      <c r="J15" s="313"/>
    </row>
    <row r="16" spans="1:10" ht="232.5" customHeight="1" x14ac:dyDescent="0.15">
      <c r="B16" s="314" t="s">
        <v>42</v>
      </c>
      <c r="C16" s="315"/>
      <c r="D16" s="297"/>
      <c r="E16" s="299" t="s">
        <v>253</v>
      </c>
      <c r="F16" s="299"/>
      <c r="G16" s="299"/>
      <c r="H16" s="299"/>
      <c r="I16" s="299"/>
      <c r="J16" s="300"/>
    </row>
    <row r="17" spans="1:10" ht="232.5" customHeight="1" x14ac:dyDescent="0.15">
      <c r="A17" s="78"/>
      <c r="B17" s="305" t="s">
        <v>85</v>
      </c>
      <c r="C17" s="306"/>
      <c r="D17" s="307"/>
      <c r="E17" s="245" t="s">
        <v>257</v>
      </c>
      <c r="F17" s="245"/>
      <c r="G17" s="245"/>
      <c r="H17" s="245"/>
      <c r="I17" s="245"/>
      <c r="J17" s="246"/>
    </row>
    <row r="18" spans="1:10" ht="7.5" customHeight="1" x14ac:dyDescent="0.15">
      <c r="B18" s="55"/>
      <c r="C18" s="55"/>
      <c r="D18" s="55"/>
      <c r="E18" s="56"/>
      <c r="F18" s="60"/>
      <c r="G18" s="63"/>
      <c r="H18" s="60"/>
      <c r="I18" s="56"/>
      <c r="J18" s="56"/>
    </row>
    <row r="19" spans="1:10" ht="18.75" customHeight="1" x14ac:dyDescent="0.15">
      <c r="B19" s="5"/>
      <c r="C19" s="76"/>
      <c r="D19" s="76"/>
      <c r="E19" s="77"/>
      <c r="F19" s="64"/>
      <c r="G19" s="64"/>
      <c r="H19" s="88" t="s">
        <v>112</v>
      </c>
      <c r="I19" s="83"/>
      <c r="J19" s="84"/>
    </row>
    <row r="20" spans="1:10" ht="18.75" customHeight="1" x14ac:dyDescent="0.15">
      <c r="A20" s="3" t="s">
        <v>12</v>
      </c>
      <c r="B20" s="85" t="s">
        <v>47</v>
      </c>
      <c r="C20" s="86"/>
      <c r="D20" s="86"/>
      <c r="E20" s="87"/>
      <c r="F20" s="79" t="s">
        <v>283</v>
      </c>
      <c r="G20" s="64"/>
      <c r="H20" s="293" t="s">
        <v>284</v>
      </c>
      <c r="I20" s="294"/>
      <c r="J20" s="295"/>
    </row>
    <row r="21" spans="1:10" ht="22.5" customHeight="1" x14ac:dyDescent="0.15">
      <c r="B21" s="55"/>
      <c r="C21" s="55"/>
      <c r="D21" s="55"/>
      <c r="E21" s="56"/>
      <c r="F21" s="60"/>
      <c r="G21" s="63"/>
      <c r="H21" s="60"/>
      <c r="I21" s="56"/>
      <c r="J21" s="56"/>
    </row>
    <row r="22" spans="1:10" ht="22.5" customHeight="1" x14ac:dyDescent="0.15">
      <c r="B22" s="55"/>
      <c r="C22" s="55"/>
      <c r="D22" s="55"/>
      <c r="E22" s="56"/>
      <c r="F22" s="60"/>
      <c r="G22" s="63"/>
      <c r="H22" s="60"/>
      <c r="I22" s="56"/>
      <c r="J22" s="56"/>
    </row>
    <row r="23" spans="1:10" ht="22.5" customHeight="1" x14ac:dyDescent="0.15">
      <c r="B23" s="55"/>
      <c r="C23" s="55"/>
      <c r="D23" s="55"/>
      <c r="E23" s="56"/>
      <c r="F23" s="60"/>
      <c r="G23" s="63"/>
      <c r="H23" s="60"/>
      <c r="I23" s="56"/>
      <c r="J23" s="56"/>
    </row>
    <row r="24" spans="1:10" ht="22.5" customHeight="1" x14ac:dyDescent="0.15">
      <c r="B24" s="55"/>
      <c r="C24" s="55"/>
      <c r="D24" s="55"/>
      <c r="E24" s="56"/>
      <c r="F24" s="60"/>
      <c r="G24" s="63"/>
      <c r="H24" s="60"/>
      <c r="I24" s="56"/>
      <c r="J24" s="56"/>
    </row>
    <row r="25" spans="1:10" ht="22.5" customHeight="1" x14ac:dyDescent="0.15">
      <c r="B25" s="55"/>
      <c r="C25" s="55"/>
      <c r="D25" s="55"/>
      <c r="E25" s="56"/>
      <c r="F25" s="60"/>
      <c r="G25" s="63"/>
      <c r="H25" s="60"/>
      <c r="I25" s="56"/>
      <c r="J25" s="56"/>
    </row>
    <row r="26" spans="1:10" ht="22.5" customHeight="1" x14ac:dyDescent="0.15">
      <c r="B26" s="13"/>
      <c r="C26" s="13"/>
      <c r="D26" s="13"/>
      <c r="E26" s="13"/>
      <c r="F26" s="13"/>
      <c r="G26" s="13"/>
      <c r="H26" s="13"/>
      <c r="I26" s="13"/>
      <c r="J26" s="13"/>
    </row>
    <row r="27" spans="1:10" ht="22.5" customHeight="1" x14ac:dyDescent="0.15">
      <c r="B27" s="13"/>
      <c r="C27" s="13"/>
      <c r="D27" s="13"/>
      <c r="E27" s="13"/>
      <c r="F27" s="13"/>
      <c r="G27" s="13"/>
      <c r="H27" s="13"/>
      <c r="I27" s="13"/>
      <c r="J27" s="13"/>
    </row>
    <row r="28" spans="1:10" ht="22.5" customHeight="1" x14ac:dyDescent="0.15">
      <c r="B28" s="13"/>
      <c r="C28" s="13"/>
      <c r="D28" s="13"/>
      <c r="E28" s="13"/>
      <c r="F28" s="13"/>
      <c r="G28" s="13"/>
      <c r="H28" s="13"/>
      <c r="I28" s="13"/>
      <c r="J28" s="13"/>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6</vt:i4>
      </vt:variant>
    </vt:vector>
  </HeadingPairs>
  <TitlesOfParts>
    <vt:vector size="14" baseType="lpstr">
      <vt:lpstr>様式１　大学等概要</vt:lpstr>
      <vt:lpstr>様式２－１　プログラムを構成する授業科目</vt:lpstr>
      <vt:lpstr>様式２－２　プログラムを構成する授業科目 </vt:lpstr>
      <vt:lpstr>様式３　履修者等数の実績</vt:lpstr>
      <vt:lpstr>様式4－１　プログラムの授業内容・概要</vt:lpstr>
      <vt:lpstr>様式4－２　プログラムの授業内容・概要</vt:lpstr>
      <vt:lpstr>様式５　教育の質・履修者数を向上させるための体制・計画</vt:lpstr>
      <vt:lpstr>様式６　自己点検・評価</vt:lpstr>
      <vt:lpstr>'様式１　大学等概要'!Print_Area</vt:lpstr>
      <vt:lpstr>'様式２－１　プログラムを構成する授業科目'!Print_Area</vt:lpstr>
      <vt:lpstr>'様式２－２　プログラムを構成する授業科目 '!Print_Area</vt:lpstr>
      <vt:lpstr>'様式３　履修者等数の実績'!Print_Area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作成者</cp:lastModifiedBy>
  <cp:lastPrinted>2021-06-24T05:30:29Z</cp:lastPrinted>
  <dcterms:created xsi:type="dcterms:W3CDTF">2011-06-14T05:32:50Z</dcterms:created>
  <dcterms:modified xsi:type="dcterms:W3CDTF">2021-07-09T12:10:38Z</dcterms:modified>
</cp:coreProperties>
</file>