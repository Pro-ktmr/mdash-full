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017"/>
  <workbookPr defaultThemeVersion="124226"/>
  <mc:AlternateContent xmlns:mc="http://schemas.openxmlformats.org/markup-compatibility/2006">
    <mc:Choice Requires="x15">
      <x15ac:absPath xmlns:x15ac="http://schemas.microsoft.com/office/spreadsheetml/2010/11/ac" url="C:\Users\wcds_\Desktop\作業用\20210713\数理\今回提出物\"/>
    </mc:Choice>
  </mc:AlternateContent>
  <xr:revisionPtr revIDLastSave="0" documentId="13_ncr:1_{17B092BC-A082-4DCB-92F6-D4F97DC7E221}" xr6:coauthVersionLast="47" xr6:coauthVersionMax="47" xr10:uidLastSave="{00000000-0000-0000-0000-000000000000}"/>
  <bookViews>
    <workbookView xWindow="-110" yWindow="-110" windowWidth="21820" windowHeight="14020" tabRatio="885" xr2:uid="{00000000-000D-0000-FFFF-FFFF00000000}"/>
  </bookViews>
  <sheets>
    <sheet name="様式１　大学等概要" sheetId="39" r:id="rId1"/>
    <sheet name="様式２ プログラムを構成する授業科目" sheetId="9" r:id="rId2"/>
    <sheet name="様式３　履修者等数の実績 " sheetId="38" r:id="rId3"/>
    <sheet name="様式4 プログラムの授業内容・概要" sheetId="40" r:id="rId4"/>
    <sheet name="様式５　教育の質・履修者数を向上させるための体制・計画" sheetId="35" r:id="rId5"/>
    <sheet name="様式６　自己点検・評価" sheetId="41" r:id="rId6"/>
  </sheets>
  <externalReferences>
    <externalReference r:id="rId7"/>
    <externalReference r:id="rId8"/>
  </externalReferences>
  <definedNames>
    <definedName name="_xlnm._FilterDatabase" localSheetId="1" hidden="1">'様式２ プログラムを構成する授業科目'!#REF!</definedName>
    <definedName name="_xlnm._FilterDatabase" localSheetId="2" hidden="1">'様式３　履修者等数の実績 '!#REF!</definedName>
    <definedName name="【情報セキュリティ大学院大学】">#REF!</definedName>
    <definedName name="_xlnm.Database">#REF!</definedName>
    <definedName name="Database2">#REF!</definedName>
    <definedName name="_xlnm.Print_Area" localSheetId="0">'様式１　大学等概要'!$A$1:$N$47</definedName>
    <definedName name="_xlnm.Print_Area" localSheetId="1">'様式２ プログラムを構成する授業科目'!$A$1:$I$44</definedName>
    <definedName name="_xlnm.Print_Area" localSheetId="2">'様式３　履修者等数の実績 '!$A$1:$R$22</definedName>
    <definedName name="_xlnm.Print_Area" localSheetId="4">'様式５　教育の質・履修者数を向上させるための体制・計画'!$A$1:$E$128</definedName>
    <definedName name="_xlnm.Print_Area" localSheetId="5">'様式６　自己点検・評価'!$A$1:$J$20</definedName>
    <definedName name="_xlnm.Print_Area">#REF!</definedName>
    <definedName name="契約方式①">[1]選択肢一覧!$D$2:$D$4</definedName>
    <definedName name="契約方法">[2]選択肢一覧!$L$4:$L$8</definedName>
    <definedName name="歳出データ">#REF!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1" i="38" l="1"/>
  <c r="O21" i="38"/>
  <c r="N21" i="38"/>
  <c r="M21" i="38"/>
  <c r="L21" i="38"/>
  <c r="K21" i="38"/>
  <c r="J21" i="38"/>
  <c r="I21" i="38"/>
  <c r="H21" i="38"/>
  <c r="G21" i="38"/>
  <c r="F21" i="38"/>
  <c r="E21" i="38"/>
  <c r="D21" i="38"/>
  <c r="Q20" i="38"/>
  <c r="R20" i="38" s="1"/>
  <c r="Q19" i="38"/>
  <c r="R19" i="38" s="1"/>
  <c r="Q18" i="38"/>
  <c r="R18" i="38" s="1"/>
  <c r="Q17" i="38"/>
  <c r="R17" i="38" s="1"/>
  <c r="Q16" i="38"/>
  <c r="R16" i="38" s="1"/>
  <c r="Q15" i="38"/>
  <c r="R15" i="38" s="1"/>
  <c r="Q14" i="38"/>
  <c r="R14" i="38" s="1"/>
  <c r="Q13" i="38"/>
  <c r="R13" i="38" s="1"/>
  <c r="Q12" i="38"/>
  <c r="R12" i="38" s="1"/>
  <c r="Q11" i="38"/>
  <c r="R11" i="38" s="1"/>
  <c r="Q10" i="38"/>
  <c r="R10" i="38" s="1"/>
  <c r="Q9" i="38"/>
  <c r="R9" i="38" s="1"/>
  <c r="Q8" i="38"/>
  <c r="Q21" i="38" l="1"/>
  <c r="R21" i="38" s="1"/>
  <c r="R8" i="38"/>
</calcChain>
</file>

<file path=xl/sharedStrings.xml><?xml version="1.0" encoding="utf-8"?>
<sst xmlns="http://schemas.openxmlformats.org/spreadsheetml/2006/main" count="295" uniqueCount="218">
  <si>
    <t>様式１</t>
    <rPh sb="0" eb="2">
      <t>ヨウシキ</t>
    </rPh>
    <phoneticPr fontId="3"/>
  </si>
  <si>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3"/>
  </si>
  <si>
    <t>①</t>
    <phoneticPr fontId="3"/>
  </si>
  <si>
    <t>学校名</t>
    <rPh sb="0" eb="2">
      <t>ガッコウ</t>
    </rPh>
    <rPh sb="2" eb="3">
      <t>メイ</t>
    </rPh>
    <phoneticPr fontId="3"/>
  </si>
  <si>
    <t>早稲田大学</t>
    <rPh sb="0" eb="3">
      <t>ワセダ</t>
    </rPh>
    <rPh sb="3" eb="5">
      <t>ダイガク</t>
    </rPh>
    <phoneticPr fontId="3"/>
  </si>
  <si>
    <t>②</t>
    <phoneticPr fontId="3"/>
  </si>
  <si>
    <t>大学等の設置者</t>
  </si>
  <si>
    <t>学校法人　早稲田大学</t>
    <rPh sb="0" eb="2">
      <t>ガッコウ</t>
    </rPh>
    <rPh sb="2" eb="4">
      <t>ホウジン</t>
    </rPh>
    <rPh sb="5" eb="8">
      <t>ワセダ</t>
    </rPh>
    <rPh sb="8" eb="10">
      <t>ダイガク</t>
    </rPh>
    <phoneticPr fontId="3"/>
  </si>
  <si>
    <t>③</t>
    <phoneticPr fontId="3"/>
  </si>
  <si>
    <t>設置形態</t>
  </si>
  <si>
    <t>私立大学</t>
  </si>
  <si>
    <t>④</t>
    <phoneticPr fontId="3"/>
  </si>
  <si>
    <t>所在地</t>
    <phoneticPr fontId="3"/>
  </si>
  <si>
    <t>東京都新宿区戸塚町１－１０４</t>
    <phoneticPr fontId="3"/>
  </si>
  <si>
    <t>⑤</t>
    <phoneticPr fontId="3"/>
  </si>
  <si>
    <t>申請するプログラム又は授業科目名称</t>
    <rPh sb="0" eb="2">
      <t>シンセイ</t>
    </rPh>
    <rPh sb="9" eb="10">
      <t>マタ</t>
    </rPh>
    <rPh sb="11" eb="13">
      <t>ジュギョウ</t>
    </rPh>
    <rPh sb="13" eb="15">
      <t>カモク</t>
    </rPh>
    <rPh sb="15" eb="17">
      <t>メイショウ</t>
    </rPh>
    <phoneticPr fontId="3"/>
  </si>
  <si>
    <t>GEC, CDSデータ科学教育プログラム</t>
    <rPh sb="11" eb="13">
      <t>カガク</t>
    </rPh>
    <rPh sb="13" eb="15">
      <t xml:space="preserve">キョウイク </t>
    </rPh>
    <phoneticPr fontId="3"/>
  </si>
  <si>
    <t>⑥</t>
    <phoneticPr fontId="3"/>
  </si>
  <si>
    <t>プログラムの開設年度</t>
    <rPh sb="6" eb="8">
      <t>カイセツ</t>
    </rPh>
    <rPh sb="8" eb="10">
      <t>ネンド</t>
    </rPh>
    <phoneticPr fontId="3"/>
  </si>
  <si>
    <t>2014年度</t>
    <rPh sb="4" eb="6">
      <t>ネンド</t>
    </rPh>
    <phoneticPr fontId="3"/>
  </si>
  <si>
    <t>⑦</t>
    <phoneticPr fontId="3"/>
  </si>
  <si>
    <t>教員数</t>
    <rPh sb="0" eb="2">
      <t>キョウイン</t>
    </rPh>
    <rPh sb="2" eb="3">
      <t>スウ</t>
    </rPh>
    <phoneticPr fontId="3"/>
  </si>
  <si>
    <t>（常勤）</t>
    <rPh sb="1" eb="3">
      <t>ジョウキン</t>
    </rPh>
    <phoneticPr fontId="3"/>
  </si>
  <si>
    <t>人</t>
    <rPh sb="0" eb="1">
      <t>ニン</t>
    </rPh>
    <phoneticPr fontId="3"/>
  </si>
  <si>
    <t>（非常勤）</t>
    <rPh sb="1" eb="4">
      <t>ヒジョウキン</t>
    </rPh>
    <phoneticPr fontId="3"/>
  </si>
  <si>
    <t>⑧</t>
    <phoneticPr fontId="3"/>
  </si>
  <si>
    <t>プログラムの授業を教えている教員数</t>
    <rPh sb="6" eb="8">
      <t>ジュギョウ</t>
    </rPh>
    <rPh sb="9" eb="10">
      <t>オシ</t>
    </rPh>
    <rPh sb="14" eb="16">
      <t>キョウイン</t>
    </rPh>
    <rPh sb="16" eb="17">
      <t>スウ</t>
    </rPh>
    <phoneticPr fontId="3"/>
  </si>
  <si>
    <t>⑨</t>
    <phoneticPr fontId="3"/>
  </si>
  <si>
    <t>全学部・学科の入学定員</t>
    <rPh sb="0" eb="1">
      <t>ゼン</t>
    </rPh>
    <rPh sb="4" eb="6">
      <t>ガッカ</t>
    </rPh>
    <rPh sb="7" eb="9">
      <t>ニュウガク</t>
    </rPh>
    <rPh sb="9" eb="11">
      <t>テイイン</t>
    </rPh>
    <phoneticPr fontId="3"/>
  </si>
  <si>
    <t>人</t>
  </si>
  <si>
    <t>⑩</t>
    <phoneticPr fontId="3"/>
  </si>
  <si>
    <t>全学部・学科の学生数（学年別）</t>
    <rPh sb="0" eb="1">
      <t>ゼン</t>
    </rPh>
    <rPh sb="4" eb="6">
      <t>ガッカ</t>
    </rPh>
    <rPh sb="7" eb="10">
      <t>ガクセイスウ</t>
    </rPh>
    <rPh sb="11" eb="13">
      <t>ガクネン</t>
    </rPh>
    <rPh sb="13" eb="14">
      <t>ベツ</t>
    </rPh>
    <phoneticPr fontId="3"/>
  </si>
  <si>
    <t>総数</t>
    <rPh sb="0" eb="2">
      <t>ソウスウ</t>
    </rPh>
    <phoneticPr fontId="3"/>
  </si>
  <si>
    <t>１年次</t>
    <rPh sb="1" eb="2">
      <t>ネン</t>
    </rPh>
    <rPh sb="2" eb="3">
      <t>ツギ</t>
    </rPh>
    <phoneticPr fontId="3"/>
  </si>
  <si>
    <t>２年次</t>
    <rPh sb="1" eb="2">
      <t>ネン</t>
    </rPh>
    <rPh sb="2" eb="3">
      <t>ツギ</t>
    </rPh>
    <phoneticPr fontId="3"/>
  </si>
  <si>
    <t>３年次</t>
    <rPh sb="1" eb="2">
      <t>ネン</t>
    </rPh>
    <rPh sb="2" eb="3">
      <t>ツギ</t>
    </rPh>
    <phoneticPr fontId="3"/>
  </si>
  <si>
    <t>４年次</t>
    <rPh sb="1" eb="2">
      <t>ネン</t>
    </rPh>
    <rPh sb="2" eb="3">
      <t>ツギ</t>
    </rPh>
    <phoneticPr fontId="3"/>
  </si>
  <si>
    <t>５年次</t>
    <rPh sb="1" eb="2">
      <t>ネン</t>
    </rPh>
    <rPh sb="2" eb="3">
      <t>ツギ</t>
    </rPh>
    <phoneticPr fontId="3"/>
  </si>
  <si>
    <t>６年次</t>
    <rPh sb="1" eb="2">
      <t>ネン</t>
    </rPh>
    <rPh sb="2" eb="3">
      <t>ツギ</t>
    </rPh>
    <phoneticPr fontId="3"/>
  </si>
  <si>
    <t>⑪</t>
    <phoneticPr fontId="3"/>
  </si>
  <si>
    <t>プログラムの運営責任者</t>
    <phoneticPr fontId="3"/>
  </si>
  <si>
    <t>（責任者名）</t>
    <rPh sb="1" eb="4">
      <t>セキニンシャ</t>
    </rPh>
    <rPh sb="4" eb="5">
      <t>メイ</t>
    </rPh>
    <phoneticPr fontId="3"/>
  </si>
  <si>
    <t>松嶋　敏泰</t>
    <rPh sb="0" eb="2">
      <t>マツシマ</t>
    </rPh>
    <rPh sb="3" eb="5">
      <t>トシヤス</t>
    </rPh>
    <phoneticPr fontId="3"/>
  </si>
  <si>
    <t>（役職名）</t>
    <rPh sb="1" eb="4">
      <t>ヤクショクメイ</t>
    </rPh>
    <phoneticPr fontId="3"/>
  </si>
  <si>
    <t>データ科学センター所長、データ科学教育部門座長</t>
    <rPh sb="21" eb="23">
      <t>ザチョウ</t>
    </rPh>
    <phoneticPr fontId="3"/>
  </si>
  <si>
    <t>⑫</t>
    <phoneticPr fontId="3"/>
  </si>
  <si>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3"/>
  </si>
  <si>
    <t>グローバルエデュケーションセンター・データ科学教育部門委員会、データ科学センター管理委員会</t>
    <rPh sb="21" eb="23">
      <t>カガク</t>
    </rPh>
    <rPh sb="23" eb="25">
      <t>キョウイク</t>
    </rPh>
    <rPh sb="25" eb="27">
      <t>ブモン</t>
    </rPh>
    <rPh sb="27" eb="30">
      <t>イインカイ</t>
    </rPh>
    <rPh sb="40" eb="42">
      <t>カンリ</t>
    </rPh>
    <rPh sb="42" eb="45">
      <t>イインカイ</t>
    </rPh>
    <phoneticPr fontId="3"/>
  </si>
  <si>
    <t>⑬</t>
    <phoneticPr fontId="3"/>
  </si>
  <si>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3"/>
  </si>
  <si>
    <t>⑭</t>
    <phoneticPr fontId="3"/>
  </si>
  <si>
    <t>申請する認定プログラム</t>
    <rPh sb="0" eb="2">
      <t>シンセイ</t>
    </rPh>
    <rPh sb="4" eb="6">
      <t>ニンテイ</t>
    </rPh>
    <phoneticPr fontId="3"/>
  </si>
  <si>
    <t>認定教育プログラム</t>
  </si>
  <si>
    <t>連絡先</t>
    <rPh sb="0" eb="3">
      <t>レンラクサキ</t>
    </rPh>
    <phoneticPr fontId="3"/>
  </si>
  <si>
    <t>所属部署名</t>
    <rPh sb="0" eb="2">
      <t>ショゾク</t>
    </rPh>
    <rPh sb="2" eb="4">
      <t>ブショ</t>
    </rPh>
    <rPh sb="4" eb="5">
      <t>メイ</t>
    </rPh>
    <phoneticPr fontId="3"/>
  </si>
  <si>
    <t>データ科学センター</t>
    <rPh sb="3" eb="5">
      <t>カガク</t>
    </rPh>
    <phoneticPr fontId="3"/>
  </si>
  <si>
    <t>担当者名</t>
    <rPh sb="0" eb="2">
      <t>タントウ</t>
    </rPh>
    <rPh sb="2" eb="3">
      <t>シャ</t>
    </rPh>
    <rPh sb="3" eb="4">
      <t>メイ</t>
    </rPh>
    <phoneticPr fontId="3"/>
  </si>
  <si>
    <t>田尻</t>
    <rPh sb="0" eb="2">
      <t>タジリ</t>
    </rPh>
    <phoneticPr fontId="3"/>
  </si>
  <si>
    <t>E-mail</t>
  </si>
  <si>
    <t>cds-info@list.waseda.jp</t>
    <phoneticPr fontId="3"/>
  </si>
  <si>
    <t>電話番号</t>
  </si>
  <si>
    <t>03-3204-9164</t>
    <phoneticPr fontId="3"/>
  </si>
  <si>
    <t>様式２</t>
    <rPh sb="0" eb="2">
      <t>ヨウシキ</t>
    </rPh>
    <phoneticPr fontId="3"/>
  </si>
  <si>
    <t>学校名：</t>
    <rPh sb="0" eb="2">
      <t>ガッコウ</t>
    </rPh>
    <rPh sb="2" eb="3">
      <t>メイ</t>
    </rPh>
    <phoneticPr fontId="3"/>
  </si>
  <si>
    <t>早稲田大学</t>
    <rPh sb="0" eb="5">
      <t xml:space="preserve">ワセダダイガク </t>
    </rPh>
    <phoneticPr fontId="3"/>
  </si>
  <si>
    <t>プログラムを構成する授業科目について</t>
    <phoneticPr fontId="3"/>
  </si>
  <si>
    <t>教育プログラムの修了要件</t>
    <rPh sb="8" eb="10">
      <t>シュウリョウ</t>
    </rPh>
    <phoneticPr fontId="3"/>
  </si>
  <si>
    <t>学部・学科によって、修了要件は相違しない</t>
  </si>
  <si>
    <t>具体的な修了要件</t>
    <rPh sb="0" eb="3">
      <t>グタイテキ</t>
    </rPh>
    <rPh sb="4" eb="6">
      <t>シュウリョウ</t>
    </rPh>
    <rPh sb="6" eb="8">
      <t>ヨウケン</t>
    </rPh>
    <phoneticPr fontId="3"/>
  </si>
  <si>
    <t>下記（１）、（２）いずれかのコースにおいて、指定する２科目の単位を全て修得していること．
（１）統計リテラシーコース： 「統計リテラシーα・β」の２科目（下記1, 2、計２単位）
（２）データ科学入門コース： 「データ科学入門α・β」の２科目（下記3, 4、計２単位）
その他の科目（下記5以降）は選択科目である。</t>
    <rPh sb="0" eb="2">
      <t xml:space="preserve">カキ </t>
    </rPh>
    <rPh sb="22" eb="24">
      <t xml:space="preserve">シテイ </t>
    </rPh>
    <rPh sb="27" eb="29">
      <t xml:space="preserve">カモク </t>
    </rPh>
    <rPh sb="33" eb="34">
      <t xml:space="preserve">スベテ </t>
    </rPh>
    <rPh sb="48" eb="50">
      <t xml:space="preserve">トウケイリテラシー </t>
    </rPh>
    <rPh sb="77" eb="79">
      <t xml:space="preserve">カキ </t>
    </rPh>
    <rPh sb="84" eb="85">
      <t xml:space="preserve">ケイ </t>
    </rPh>
    <rPh sb="98" eb="100">
      <t xml:space="preserve">ニュウモｎ </t>
    </rPh>
    <rPh sb="122" eb="124">
      <t xml:space="preserve">カキ </t>
    </rPh>
    <rPh sb="129" eb="130">
      <t xml:space="preserve">ケイ </t>
    </rPh>
    <rPh sb="139" eb="141">
      <t xml:space="preserve">カモク </t>
    </rPh>
    <rPh sb="142" eb="144">
      <t xml:space="preserve">カキ </t>
    </rPh>
    <rPh sb="145" eb="147">
      <t xml:space="preserve">イコウ </t>
    </rPh>
    <rPh sb="149" eb="153">
      <t>センタクカモクデアル</t>
    </rPh>
    <phoneticPr fontId="3"/>
  </si>
  <si>
    <t>授業科目名称</t>
    <rPh sb="0" eb="2">
      <t>ジュギョウ</t>
    </rPh>
    <rPh sb="2" eb="4">
      <t>カモク</t>
    </rPh>
    <rPh sb="4" eb="6">
      <t>メイショウ</t>
    </rPh>
    <phoneticPr fontId="3"/>
  </si>
  <si>
    <t>統計リテラシーα</t>
    <rPh sb="0" eb="2">
      <t>トウケイ</t>
    </rPh>
    <phoneticPr fontId="3"/>
  </si>
  <si>
    <t>統計リテラシーβ</t>
    <rPh sb="0" eb="2">
      <t>トウケイ</t>
    </rPh>
    <phoneticPr fontId="3"/>
  </si>
  <si>
    <t>データ科学入門α</t>
    <phoneticPr fontId="3"/>
  </si>
  <si>
    <t>データ科学入門β</t>
    <phoneticPr fontId="3"/>
  </si>
  <si>
    <t>統計リテラシーγ</t>
    <rPh sb="0" eb="2">
      <t xml:space="preserve">トウケイリテラシー </t>
    </rPh>
    <phoneticPr fontId="3"/>
  </si>
  <si>
    <t>統計リテラシーδ</t>
    <rPh sb="0" eb="2">
      <t xml:space="preserve">トウケイリテラシー </t>
    </rPh>
    <phoneticPr fontId="3"/>
  </si>
  <si>
    <t>データ科学入門γ</t>
    <phoneticPr fontId="3"/>
  </si>
  <si>
    <t>データ科学入門δ</t>
    <phoneticPr fontId="3"/>
  </si>
  <si>
    <t>Rによる統計解析</t>
    <rPh sb="4" eb="8">
      <t xml:space="preserve">トウケイカイセキ </t>
    </rPh>
    <phoneticPr fontId="3"/>
  </si>
  <si>
    <t>データ科学のための数学</t>
    <rPh sb="9" eb="11">
      <t xml:space="preserve">スウガク </t>
    </rPh>
    <phoneticPr fontId="3"/>
  </si>
  <si>
    <t>時系列構造のデータ科学</t>
    <rPh sb="0" eb="5">
      <t>ジケイｒ</t>
    </rPh>
    <phoneticPr fontId="3"/>
  </si>
  <si>
    <t>回帰と分類のデータ科学</t>
    <rPh sb="0" eb="2">
      <t xml:space="preserve">カイキト </t>
    </rPh>
    <rPh sb="3" eb="5">
      <t xml:space="preserve">ブンルイノ </t>
    </rPh>
    <phoneticPr fontId="3"/>
  </si>
  <si>
    <t>データ科学実践</t>
    <rPh sb="5" eb="7">
      <t xml:space="preserve">ジッセｎ </t>
    </rPh>
    <phoneticPr fontId="3"/>
  </si>
  <si>
    <t>様式３</t>
    <rPh sb="0" eb="2">
      <t>ヨウシキ</t>
    </rPh>
    <phoneticPr fontId="3"/>
  </si>
  <si>
    <t>学校名：早稲田大学</t>
    <rPh sb="0" eb="2">
      <t>ガッコウ</t>
    </rPh>
    <rPh sb="4" eb="7">
      <t>ワセダ</t>
    </rPh>
    <rPh sb="7" eb="9">
      <t>ダイガク</t>
    </rPh>
    <phoneticPr fontId="3"/>
  </si>
  <si>
    <t>プログラムの履修者数等の実績について</t>
    <phoneticPr fontId="3"/>
  </si>
  <si>
    <t>学部・学科名称</t>
    <rPh sb="0" eb="2">
      <t>ガクブ</t>
    </rPh>
    <rPh sb="3" eb="5">
      <t>ガッカ</t>
    </rPh>
    <rPh sb="5" eb="7">
      <t>メイショウ</t>
    </rPh>
    <phoneticPr fontId="3"/>
  </si>
  <si>
    <t>収容
定員</t>
    <rPh sb="0" eb="2">
      <t>シュウヨウ</t>
    </rPh>
    <rPh sb="3" eb="5">
      <t>テイイン</t>
    </rPh>
    <phoneticPr fontId="3"/>
  </si>
  <si>
    <t>令和2年度</t>
    <rPh sb="0" eb="2">
      <t>レイワ</t>
    </rPh>
    <rPh sb="3" eb="5">
      <t>ネンド</t>
    </rPh>
    <phoneticPr fontId="3"/>
  </si>
  <si>
    <t>令和元年度</t>
    <rPh sb="0" eb="2">
      <t>レイワ</t>
    </rPh>
    <rPh sb="2" eb="3">
      <t>ゲン</t>
    </rPh>
    <rPh sb="3" eb="5">
      <t>ネンド</t>
    </rPh>
    <phoneticPr fontId="3"/>
  </si>
  <si>
    <t>平成30年度</t>
    <rPh sb="0" eb="2">
      <t>ヘイセイ</t>
    </rPh>
    <rPh sb="4" eb="6">
      <t>ネンド</t>
    </rPh>
    <phoneticPr fontId="3"/>
  </si>
  <si>
    <t>平成29年度</t>
    <rPh sb="0" eb="2">
      <t>ヘイセイ</t>
    </rPh>
    <rPh sb="4" eb="6">
      <t>ネンド</t>
    </rPh>
    <phoneticPr fontId="3"/>
  </si>
  <si>
    <t>平成28年度</t>
    <rPh sb="0" eb="2">
      <t>ヘイセイ</t>
    </rPh>
    <rPh sb="4" eb="6">
      <t>ネンド</t>
    </rPh>
    <phoneticPr fontId="3"/>
  </si>
  <si>
    <t>平成27年度</t>
    <rPh sb="0" eb="2">
      <t>ヘイセイ</t>
    </rPh>
    <rPh sb="4" eb="6">
      <t>ネンド</t>
    </rPh>
    <phoneticPr fontId="3"/>
  </si>
  <si>
    <t>履修者数
合計</t>
    <rPh sb="0" eb="2">
      <t>リシュウ</t>
    </rPh>
    <rPh sb="2" eb="3">
      <t>シャ</t>
    </rPh>
    <rPh sb="3" eb="4">
      <t>スウ</t>
    </rPh>
    <rPh sb="5" eb="7">
      <t>ゴウケイ</t>
    </rPh>
    <phoneticPr fontId="3"/>
  </si>
  <si>
    <t>履修率</t>
    <rPh sb="0" eb="2">
      <t>リシュウ</t>
    </rPh>
    <rPh sb="2" eb="3">
      <t>リツ</t>
    </rPh>
    <phoneticPr fontId="3"/>
  </si>
  <si>
    <t>履修者数</t>
    <rPh sb="0" eb="2">
      <t>リシュウ</t>
    </rPh>
    <rPh sb="2" eb="3">
      <t>シャ</t>
    </rPh>
    <rPh sb="3" eb="4">
      <t>スウ</t>
    </rPh>
    <phoneticPr fontId="3"/>
  </si>
  <si>
    <t>修了者数</t>
    <rPh sb="0" eb="3">
      <t>シュウリョウシャ</t>
    </rPh>
    <rPh sb="3" eb="4">
      <t>スウ</t>
    </rPh>
    <phoneticPr fontId="3"/>
  </si>
  <si>
    <t>政治経済学部</t>
    <phoneticPr fontId="3"/>
  </si>
  <si>
    <t>法学部</t>
    <phoneticPr fontId="3"/>
  </si>
  <si>
    <t>教育学部</t>
    <phoneticPr fontId="3"/>
  </si>
  <si>
    <t>商学部</t>
    <phoneticPr fontId="3"/>
  </si>
  <si>
    <t>*商学部は必修科目となっている</t>
    <rPh sb="1" eb="4">
      <t xml:space="preserve">ショウガクブハ </t>
    </rPh>
    <rPh sb="5" eb="9">
      <t xml:space="preserve">ヒッシュウカモクトナッテイル </t>
    </rPh>
    <phoneticPr fontId="3"/>
  </si>
  <si>
    <t>社会科学部</t>
    <phoneticPr fontId="3"/>
  </si>
  <si>
    <t>人間科学部</t>
    <phoneticPr fontId="3"/>
  </si>
  <si>
    <t>スポーツ科学部</t>
    <phoneticPr fontId="3"/>
  </si>
  <si>
    <t>国際教養学部</t>
    <phoneticPr fontId="3"/>
  </si>
  <si>
    <t>文化構想学部</t>
    <phoneticPr fontId="3"/>
  </si>
  <si>
    <t>文学部</t>
    <phoneticPr fontId="3"/>
  </si>
  <si>
    <t>基幹理工学部</t>
    <phoneticPr fontId="3"/>
  </si>
  <si>
    <t>創造理工学部</t>
    <phoneticPr fontId="3"/>
  </si>
  <si>
    <t>先進理工学部</t>
    <phoneticPr fontId="3"/>
  </si>
  <si>
    <t>合　計</t>
    <phoneticPr fontId="3"/>
  </si>
  <si>
    <t>様式４</t>
    <rPh sb="0" eb="2">
      <t>ヨウシキ</t>
    </rPh>
    <phoneticPr fontId="3"/>
  </si>
  <si>
    <t>プログラムの授業内容・概要</t>
    <rPh sb="6" eb="8">
      <t>ジュギョウ</t>
    </rPh>
    <rPh sb="8" eb="10">
      <t>ナイヨウ</t>
    </rPh>
    <rPh sb="11" eb="13">
      <t>ガイヨウ</t>
    </rPh>
    <phoneticPr fontId="3"/>
  </si>
  <si>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3"/>
  </si>
  <si>
    <t>授業に含まれている内容・要素</t>
    <rPh sb="0" eb="2">
      <t>ジュギョウ</t>
    </rPh>
    <rPh sb="3" eb="4">
      <t>フク</t>
    </rPh>
    <rPh sb="9" eb="11">
      <t>ナイヨウ</t>
    </rPh>
    <rPh sb="12" eb="14">
      <t>ヨウソ</t>
    </rPh>
    <phoneticPr fontId="3"/>
  </si>
  <si>
    <t>授業概要</t>
    <rPh sb="0" eb="2">
      <t>ジュギョウ</t>
    </rPh>
    <rPh sb="2" eb="4">
      <t>ガイヨウ</t>
    </rPh>
    <phoneticPr fontId="3"/>
  </si>
  <si>
    <t>（１）現在進行中の社会変化（第４次産業革命、Society 5.0、データ駆動型社会等）に深く寄与しているものであり、それが自らの生活と密接に結びついている
※モデルカリキュラム導入１－１、導入１－６が該当</t>
    <phoneticPr fontId="3"/>
  </si>
  <si>
    <r>
      <rPr>
        <b/>
        <u/>
        <sz val="12"/>
        <color theme="1"/>
        <rFont val="ＭＳ Ｐゴシック"/>
        <family val="3"/>
        <charset val="128"/>
      </rPr>
      <t>コース共通</t>
    </r>
    <r>
      <rPr>
        <sz val="12"/>
        <color theme="1"/>
        <rFont val="ＭＳ Ｐゴシック"/>
        <family val="2"/>
        <charset val="128"/>
      </rPr>
      <t>：本学「データ科学教育プログラム」は、分野を問わず必要となるデータ科学の「理論」に加え、実際のデータを取り扱うための「スキル」を身につけるためのプログラムを提供することで、データ科学と自身の「専門」分野の知識を結び付けて活用できる人材育成を目指している。導入部では、データ科学の重要性が高まっている社会的背景について解説する。さらに我々の身の回りに多くのデータ科学技術が活用されていることを最新の例（医療診断など）に基づいて紹介、今後の人類の知的活動においてはデータ科学が欠かせないものであることを解説する。さらにデータ分析における基本事項（基本的な統計量の計算とその意味、データの種類やデータの可視化等）について、実社会問題におけるデータ例を用いて説明することで、我々の周りには多くのデータがあることおよびデータ分析の重要性について理解を深める。</t>
    </r>
    <rPh sb="6" eb="8">
      <t xml:space="preserve">ホンガク </t>
    </rPh>
    <rPh sb="10" eb="12">
      <t xml:space="preserve">ブンヤ </t>
    </rPh>
    <rPh sb="57" eb="59">
      <t xml:space="preserve">ガクブヲ </t>
    </rPh>
    <rPh sb="60" eb="61">
      <t xml:space="preserve">トワズ </t>
    </rPh>
    <rPh sb="120" eb="122">
      <t xml:space="preserve">ジンザイ </t>
    </rPh>
    <rPh sb="122" eb="124">
      <t xml:space="preserve">イクセイ </t>
    </rPh>
    <rPh sb="141" eb="143">
      <t xml:space="preserve">カガク </t>
    </rPh>
    <rPh sb="185" eb="187">
      <t xml:space="preserve">カガク </t>
    </rPh>
    <rPh sb="238" eb="240">
      <t xml:space="preserve">カガク </t>
    </rPh>
    <phoneticPr fontId="3"/>
  </si>
  <si>
    <t>授業科目名称</t>
    <rPh sb="0" eb="2">
      <t>ジュギョウ</t>
    </rPh>
    <rPh sb="2" eb="6">
      <t>カモクメイショウ</t>
    </rPh>
    <phoneticPr fontId="3"/>
  </si>
  <si>
    <t>講義テーマ</t>
    <rPh sb="0" eb="2">
      <t>コウギ</t>
    </rPh>
    <phoneticPr fontId="3"/>
  </si>
  <si>
    <t>データ科学入門α</t>
    <rPh sb="5" eb="7">
      <t xml:space="preserve">ニュウモｎ </t>
    </rPh>
    <phoneticPr fontId="3"/>
  </si>
  <si>
    <t>データ科学の重要性（１）、データ科学の問題設定と考え方（１〜７）、データサイエンスと倫理（8）</t>
    <rPh sb="3" eb="5">
      <t xml:space="preserve">カガクトハ </t>
    </rPh>
    <rPh sb="6" eb="9">
      <t xml:space="preserve">ジュウヨウセイ， </t>
    </rPh>
    <rPh sb="19" eb="23">
      <t xml:space="preserve">モンダイセッテイト </t>
    </rPh>
    <rPh sb="24" eb="25">
      <t xml:space="preserve">カンガエカタ </t>
    </rPh>
    <rPh sb="27" eb="29">
      <t xml:space="preserve">ジュウヨウセイ， </t>
    </rPh>
    <rPh sb="42" eb="44">
      <t xml:space="preserve">リンリ </t>
    </rPh>
    <phoneticPr fontId="3"/>
  </si>
  <si>
    <t>データ科学の重要性（１）、データの視覚化・統計量の計算（１〜４）、相関分析・分割表（５〜７）</t>
    <rPh sb="6" eb="9">
      <t xml:space="preserve">ジュウヨウセイト </t>
    </rPh>
    <rPh sb="13" eb="15">
      <t>データノ</t>
    </rPh>
    <rPh sb="17" eb="19">
      <t xml:space="preserve">シカクカ </t>
    </rPh>
    <rPh sb="19" eb="20">
      <t xml:space="preserve">カ </t>
    </rPh>
    <rPh sb="21" eb="24">
      <t xml:space="preserve">トウケイリョウノ </t>
    </rPh>
    <rPh sb="25" eb="27">
      <t xml:space="preserve">ケイサン </t>
    </rPh>
    <rPh sb="33" eb="37">
      <t xml:space="preserve">ソウカンブンセキ </t>
    </rPh>
    <rPh sb="38" eb="41">
      <t xml:space="preserve">ブンカツヒョウ </t>
    </rPh>
    <phoneticPr fontId="3"/>
  </si>
  <si>
    <t>データサイエンスと倫理（1）</t>
    <rPh sb="9" eb="11">
      <t xml:space="preserve">リンリ </t>
    </rPh>
    <phoneticPr fontId="3"/>
  </si>
  <si>
    <t>（２）「社会で活用されているデータ」や「データの活用領域」は非常に広範囲であって、日常生活や社会の課題を解決する有用なツールになり得るもの
※モデルカリキュラム導入１－２、導入１－３が該当</t>
    <phoneticPr fontId="3"/>
  </si>
  <si>
    <r>
      <rPr>
        <b/>
        <u/>
        <sz val="12"/>
        <color theme="1"/>
        <rFont val="ＭＳ Ｐゴシック"/>
        <family val="3"/>
        <charset val="128"/>
      </rPr>
      <t>コース共通</t>
    </r>
    <r>
      <rPr>
        <sz val="12"/>
        <color theme="1"/>
        <rFont val="ＭＳ Ｐゴシック"/>
        <family val="2"/>
        <charset val="128"/>
      </rPr>
      <t>：あらゆる専門分野においてデータ科学と自身の専門分野の知識を融合し、活用できる人材を育成することを目的とした本プログラムの一項目として、様々な専門分野とデータ科学の結びつきを理解するために、その適用例を見る。まず我々の社会を支えるデータ科学技術を紹介し、併せて自然科学系や人文社会科学系など様々な学術領域の最先端の研究にデータ科学が有用であることを例を用いて説明する。これによりデータ科学技術が、社会活動や最先端の学問領域において問題解決に有用であること、すなわちデータ科学と専門領域の融合が重要であることを説明する。これらを説明する中で、我々の周りには様々な種類のデータがあることも具体例（画像データや遺伝情報、人間の行動ログ等）とともに示す。またデータ分析の基本事項について実社会問題におけるデータ例を交えて説明することで日常生活とデータのつながりを意識させる。</t>
    </r>
    <rPh sb="3" eb="5">
      <t xml:space="preserve">キョウツウ </t>
    </rPh>
    <rPh sb="6" eb="10">
      <t xml:space="preserve">センモンブンヤト </t>
    </rPh>
    <rPh sb="17" eb="19">
      <t xml:space="preserve">チケンノ </t>
    </rPh>
    <rPh sb="20" eb="22">
      <t xml:space="preserve">ユウゴウ </t>
    </rPh>
    <rPh sb="23" eb="25">
      <t xml:space="preserve">メザス </t>
    </rPh>
    <rPh sb="66" eb="67">
      <t xml:space="preserve">イチカモクトシテ </t>
    </rPh>
    <rPh sb="67" eb="69">
      <t xml:space="preserve">コウモク </t>
    </rPh>
    <rPh sb="103" eb="104">
      <t xml:space="preserve">カガク </t>
    </rPh>
    <rPh sb="116" eb="119">
      <t xml:space="preserve">グタイレイト </t>
    </rPh>
    <rPh sb="321" eb="325">
      <t xml:space="preserve">ニチジョウセイカツ </t>
    </rPh>
    <rPh sb="335" eb="337">
      <t xml:space="preserve">イシキ </t>
    </rPh>
    <phoneticPr fontId="3"/>
  </si>
  <si>
    <t>データ科学の重要性、データ科学の問題設定と考え方（１〜４）</t>
    <rPh sb="3" eb="5">
      <t xml:space="preserve">カガクトハ </t>
    </rPh>
    <rPh sb="6" eb="9">
      <t xml:space="preserve">ジュウヨウセイ， </t>
    </rPh>
    <rPh sb="16" eb="20">
      <t xml:space="preserve">モンダイセッテイト </t>
    </rPh>
    <rPh sb="21" eb="22">
      <t xml:space="preserve">カンガエカタ </t>
    </rPh>
    <rPh sb="24" eb="26">
      <t xml:space="preserve">ジュウヨウセイ， </t>
    </rPh>
    <phoneticPr fontId="3"/>
  </si>
  <si>
    <t>データ科学の重要性（１）、データの視覚化・統計量の計算（１〜４）、相関分析（５〜７）</t>
    <rPh sb="6" eb="9">
      <t xml:space="preserve">ジュウヨウセイト </t>
    </rPh>
    <rPh sb="13" eb="15">
      <t>データノ</t>
    </rPh>
    <rPh sb="17" eb="19">
      <t xml:space="preserve">シカクカ </t>
    </rPh>
    <rPh sb="19" eb="20">
      <t xml:space="preserve">カ </t>
    </rPh>
    <rPh sb="21" eb="24">
      <t xml:space="preserve">トウケイリョウノ </t>
    </rPh>
    <rPh sb="25" eb="27">
      <t xml:space="preserve">ケイサン </t>
    </rPh>
    <rPh sb="32" eb="35">
      <t>、</t>
    </rPh>
    <phoneticPr fontId="3"/>
  </si>
  <si>
    <t>統計リテラシーβ</t>
    <rPh sb="0" eb="2">
      <t>トウケイリ</t>
    </rPh>
    <phoneticPr fontId="3"/>
  </si>
  <si>
    <t>確率を学ぶ目的（１）</t>
    <rPh sb="0" eb="2">
      <t xml:space="preserve">カクリツヲ </t>
    </rPh>
    <rPh sb="3" eb="4">
      <t xml:space="preserve">マナブ </t>
    </rPh>
    <rPh sb="5" eb="7">
      <t xml:space="preserve">モクテキ </t>
    </rPh>
    <phoneticPr fontId="3"/>
  </si>
  <si>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3"/>
  </si>
  <si>
    <r>
      <rPr>
        <b/>
        <u/>
        <sz val="12"/>
        <color theme="1"/>
        <rFont val="ＭＳ Ｐゴシック"/>
        <family val="3"/>
        <charset val="128"/>
      </rPr>
      <t>コース共通：</t>
    </r>
    <r>
      <rPr>
        <sz val="12"/>
        <color theme="1"/>
        <rFont val="ＭＳ Ｐゴシック"/>
        <family val="2"/>
        <charset val="128"/>
      </rPr>
      <t xml:space="preserve">あらゆる専門分野においてデータ科学と自身の専門分野の知識を融合し、活用できる人材を育成することを目的とした本プログラムの項目として、専門分野とデータ科学の結びつきを理解するために、その適用例を紹介する。まず身の回りのデータ科学技術を実際の例（POSデータの利活用例、医療診断等）と共に紹介することで，社会活動におけるデータ科学の重要性を説明する。さらに自然科学系、人文社会科学系を問わず最先端の学術領域におけるデータ科学技術適用例も解説する。これらを通じてデータ科学はそれぞれの専門分野と結びつくことで効果を発揮することを説明する。
さらにデータ利活用技術として、下記を実際のデータ例および演習を用いて説明する：
</t>
    </r>
    <r>
      <rPr>
        <b/>
        <u/>
        <sz val="12"/>
        <color theme="1"/>
        <rFont val="ＭＳ Ｐゴシック"/>
        <family val="3"/>
        <charset val="128"/>
      </rPr>
      <t xml:space="preserve">統計リテラシーコース： </t>
    </r>
    <r>
      <rPr>
        <sz val="12"/>
        <color theme="1"/>
        <rFont val="ＭＳ Ｐゴシック"/>
        <family val="2"/>
        <charset val="128"/>
      </rPr>
      <t>データの可視化（基本統計量、ヒストグラム，散布図、相関分析）等</t>
    </r>
    <r>
      <rPr>
        <b/>
        <u/>
        <sz val="12"/>
        <color theme="1"/>
        <rFont val="ＭＳ Ｐゴシック"/>
        <family val="3"/>
        <charset val="128"/>
      </rPr>
      <t xml:space="preserve">
データ科学入門コース： </t>
    </r>
    <r>
      <rPr>
        <sz val="12"/>
        <color theme="1"/>
        <rFont val="ＭＳ Ｐゴシック"/>
        <family val="2"/>
        <charset val="128"/>
      </rPr>
      <t>データの要約・可視化、データの予測、推論等。</t>
    </r>
    <rPh sb="3" eb="5">
      <t xml:space="preserve">キョウツウ </t>
    </rPh>
    <rPh sb="117" eb="119">
      <t xml:space="preserve">カガク </t>
    </rPh>
    <rPh sb="218" eb="220">
      <t xml:space="preserve">テキヨウ </t>
    </rPh>
    <rPh sb="220" eb="221">
      <t xml:space="preserve">レイ </t>
    </rPh>
    <rPh sb="353" eb="355">
      <t xml:space="preserve">ブンセキ </t>
    </rPh>
    <phoneticPr fontId="3"/>
  </si>
  <si>
    <t>授業科目名称</t>
    <phoneticPr fontId="3"/>
  </si>
  <si>
    <t>データ科学の重要性（１）、データの視覚化・統計量の計算（１〜４）</t>
    <rPh sb="6" eb="9">
      <t xml:space="preserve">ジュウヨウセイト </t>
    </rPh>
    <rPh sb="13" eb="15">
      <t>データノ</t>
    </rPh>
    <rPh sb="17" eb="19">
      <t xml:space="preserve">シカクカ </t>
    </rPh>
    <rPh sb="19" eb="20">
      <t xml:space="preserve">カ </t>
    </rPh>
    <rPh sb="21" eb="24">
      <t xml:space="preserve">トウケイリョウノ </t>
    </rPh>
    <rPh sb="25" eb="27">
      <t xml:space="preserve">ケイサン </t>
    </rPh>
    <phoneticPr fontId="3"/>
  </si>
  <si>
    <t>回帰分析に基づいた予測，探索的データ解析，データ解析と推論（1〜8）</t>
    <rPh sb="0" eb="1">
      <t xml:space="preserve">カイキブンセキニヨル </t>
    </rPh>
    <rPh sb="5" eb="6">
      <t xml:space="preserve">モトヅイタ </t>
    </rPh>
    <rPh sb="9" eb="11">
      <t xml:space="preserve">ヨソク </t>
    </rPh>
    <rPh sb="12" eb="15">
      <t xml:space="preserve">タンサクテキ </t>
    </rPh>
    <rPh sb="27" eb="29">
      <t xml:space="preserve">スイロン </t>
    </rPh>
    <phoneticPr fontId="3"/>
  </si>
  <si>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3"/>
  </si>
  <si>
    <r>
      <rPr>
        <b/>
        <u/>
        <sz val="12"/>
        <color theme="1"/>
        <rFont val="ＭＳ Ｐゴシック"/>
        <family val="3"/>
        <charset val="128"/>
      </rPr>
      <t>コース共通</t>
    </r>
    <r>
      <rPr>
        <sz val="12"/>
        <color theme="1"/>
        <rFont val="ＭＳ Ｐゴシック"/>
        <family val="2"/>
        <charset val="128"/>
        <scheme val="minor"/>
      </rPr>
      <t>：あらゆる専門分野においてデータ科学と自身の専門分野の知識を融合し、活用できる人材を育成することを目的とした本プログラムの一項目として、データ駆動型社会におけるデータの取り扱いに関する事項について説明する。まずELSI（Ethical, Legal and Social Issues/Implications）について説明し、来るべきSociety5.0への移行においてもELSIへの対応が重要であることを解説する。特にデータ駆動型社会において、ネットワーク上で様々なデータが収集・分析される中で、自身がデータを提供する側にもまたデータを処理する側にもなり得ることを説明し、合わせてプライバシー保護や個人情報保護の困難さおよび課題について説明する。さらにこのことからデータに関わる技術が急速に発展・高度化する社会においては、データ倫理が重要であることを説明する。</t>
    </r>
    <rPh sb="3" eb="5">
      <t xml:space="preserve">キョウツウ </t>
    </rPh>
    <phoneticPr fontId="3"/>
  </si>
  <si>
    <t>データ科学入門α</t>
    <rPh sb="0" eb="3">
      <t xml:space="preserve">データカガｋ </t>
    </rPh>
    <rPh sb="5" eb="6">
      <t xml:space="preserve">ニュウモンｎ </t>
    </rPh>
    <phoneticPr fontId="3"/>
  </si>
  <si>
    <t>データサイエンスと倫理（８）</t>
    <rPh sb="9" eb="11">
      <t xml:space="preserve">リンリ </t>
    </rPh>
    <phoneticPr fontId="3"/>
  </si>
  <si>
    <t>統計リテラシーβ</t>
    <phoneticPr fontId="3"/>
  </si>
  <si>
    <t>データサイエンスと倫理（１）</t>
    <rPh sb="0" eb="2">
      <t>データサイエンスト</t>
    </rPh>
    <rPh sb="9" eb="10">
      <t xml:space="preserve">リンリ </t>
    </rPh>
    <phoneticPr fontId="3"/>
  </si>
  <si>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3"/>
  </si>
  <si>
    <r>
      <rPr>
        <b/>
        <u/>
        <sz val="12"/>
        <color theme="1"/>
        <rFont val="ＭＳ Ｐゴシック"/>
        <family val="3"/>
        <charset val="128"/>
      </rPr>
      <t>コース共通：</t>
    </r>
    <r>
      <rPr>
        <sz val="12"/>
        <color theme="1"/>
        <rFont val="ＭＳ Ｐゴシック"/>
        <family val="2"/>
        <charset val="128"/>
      </rPr>
      <t>あらゆる専門分野においてデータ科学と自身の専門分野の知識を融合し、活用できる人材を育成することを目的とした本プログラムの中で、データ分析の基本事項について具体例を交えて説明する。基本事項としては
- データの種類（量的データ、質的データなど）
- データの代表値（平均値、分散、共分散、標準偏差、相関係数），
- グラフ（散布図、ヒストグラム、など）
- 母集団と標本
などである。特に定義および意味を説明するだけでなく学生自身が手を動かす演習を用意し、より理解を深める。</t>
    </r>
    <r>
      <rPr>
        <b/>
        <u/>
        <sz val="12"/>
        <color theme="1"/>
        <rFont val="ＭＳ Ｐゴシック"/>
        <family val="3"/>
        <charset val="128"/>
      </rPr>
      <t xml:space="preserve">
</t>
    </r>
    <r>
      <rPr>
        <sz val="12"/>
        <color theme="1"/>
        <rFont val="ＭＳ Ｐゴシック"/>
        <family val="2"/>
        <charset val="128"/>
      </rPr>
      <t>さらに各コースにおいて下記の演習を行い、実例を題材としてデータ分析の基本的な活用方法を学ぶ。</t>
    </r>
    <r>
      <rPr>
        <b/>
        <u/>
        <sz val="12"/>
        <color theme="1"/>
        <rFont val="ＭＳ Ｐゴシック"/>
        <family val="3"/>
        <charset val="128"/>
      </rPr>
      <t xml:space="preserve">
統計リテラシーコース</t>
    </r>
    <r>
      <rPr>
        <sz val="12"/>
        <color theme="1"/>
        <rFont val="ＭＳ Ｐゴシック"/>
        <family val="2"/>
        <charset val="128"/>
      </rPr>
      <t>：「政府統計の総合窓口」から入手できる実際のデータを分析する演習を実施。</t>
    </r>
    <r>
      <rPr>
        <b/>
        <u/>
        <sz val="12"/>
        <color theme="1"/>
        <rFont val="ＭＳ Ｐゴシック"/>
        <family val="3"/>
        <charset val="128"/>
      </rPr>
      <t xml:space="preserve">
データ科学入門コース</t>
    </r>
    <r>
      <rPr>
        <sz val="12"/>
        <color theme="1"/>
        <rFont val="ＭＳ Ｐゴシック"/>
        <family val="2"/>
        <charset val="128"/>
      </rPr>
      <t>：社会における実問題を例にデータの分析方法を説明、pythonを用いた演習を実施。</t>
    </r>
    <rPh sb="3" eb="5">
      <t xml:space="preserve">キョウツウ </t>
    </rPh>
    <rPh sb="24" eb="25">
      <t xml:space="preserve">マジエテ </t>
    </rPh>
    <rPh sb="27" eb="29">
      <t xml:space="preserve">セツメイスル </t>
    </rPh>
    <rPh sb="134" eb="136">
      <t xml:space="preserve">セツメイトトモニ </t>
    </rPh>
    <rPh sb="140" eb="142">
      <t xml:space="preserve">エンシュウヲ </t>
    </rPh>
    <rPh sb="142" eb="144">
      <t xml:space="preserve">ケイシキデ </t>
    </rPh>
    <rPh sb="145" eb="149">
      <t xml:space="preserve">ガクセイジシンガ </t>
    </rPh>
    <rPh sb="150" eb="151">
      <t xml:space="preserve">テヲウゴカスコトニヨリ </t>
    </rPh>
    <rPh sb="157" eb="159">
      <t xml:space="preserve">リカイヲ </t>
    </rPh>
    <rPh sb="160" eb="161">
      <t xml:space="preserve">フカメルタメニ </t>
    </rPh>
    <rPh sb="166" eb="167">
      <t xml:space="preserve">カク </t>
    </rPh>
    <rPh sb="174" eb="176">
      <t xml:space="preserve">カキノ </t>
    </rPh>
    <rPh sb="177" eb="179">
      <t xml:space="preserve">エンシュウヲ </t>
    </rPh>
    <rPh sb="180" eb="181">
      <t xml:space="preserve">オコナイ </t>
    </rPh>
    <rPh sb="183" eb="185">
      <t xml:space="preserve">ジツレイヲ </t>
    </rPh>
    <rPh sb="186" eb="188">
      <t xml:space="preserve">ダイザイトシテ </t>
    </rPh>
    <rPh sb="197" eb="199">
      <t xml:space="preserve">キホンｗ </t>
    </rPh>
    <rPh sb="199" eb="200">
      <t xml:space="preserve">テキナ </t>
    </rPh>
    <rPh sb="201" eb="205">
      <t xml:space="preserve">カツヨウホウホウヲ </t>
    </rPh>
    <rPh sb="206" eb="207">
      <t xml:space="preserve">マナブ </t>
    </rPh>
    <rPh sb="209" eb="211">
      <t xml:space="preserve">トウケイリテラシー </t>
    </rPh>
    <rPh sb="267" eb="269">
      <t xml:space="preserve">シャカイニオケル </t>
    </rPh>
    <phoneticPr fontId="3"/>
  </si>
  <si>
    <t>統計リテラシーα</t>
    <rPh sb="0" eb="2">
      <t xml:space="preserve">トウケイリテラシー </t>
    </rPh>
    <phoneticPr fontId="3"/>
  </si>
  <si>
    <t>データの種類，データの視覚的・数値的要約，表計算ソフトによるデータ分析（1〜8）</t>
    <rPh sb="11" eb="14">
      <t xml:space="preserve">シカクテキ </t>
    </rPh>
    <rPh sb="15" eb="20">
      <t xml:space="preserve">スウチテキヨウヤク </t>
    </rPh>
    <rPh sb="21" eb="24">
      <t xml:space="preserve">ヒョウケイサンソフトニヨル </t>
    </rPh>
    <phoneticPr fontId="3"/>
  </si>
  <si>
    <t>統計リテラシーβ</t>
    <rPh sb="0" eb="2">
      <t xml:space="preserve">トウケイリテラシーベータ </t>
    </rPh>
    <phoneticPr fontId="3"/>
  </si>
  <si>
    <t>離散確率変数，離散確率変数の期待値と分散（3, 4）</t>
    <rPh sb="0" eb="6">
      <t xml:space="preserve">リサンカクリツヘンスウ </t>
    </rPh>
    <rPh sb="7" eb="13">
      <t xml:space="preserve">リサンカクリツヘンスウノ </t>
    </rPh>
    <rPh sb="14" eb="17">
      <t xml:space="preserve">キタイチト </t>
    </rPh>
    <rPh sb="18" eb="20">
      <t xml:space="preserve">ブンサｎ </t>
    </rPh>
    <phoneticPr fontId="3"/>
  </si>
  <si>
    <t>データの種類，データの視覚的・数値的要約，Pythonによるデータ分析（1〜8）</t>
    <rPh sb="0" eb="2">
      <t xml:space="preserve">データノシュルイ </t>
    </rPh>
    <rPh sb="7" eb="10">
      <t xml:space="preserve">データノシカクテキ </t>
    </rPh>
    <rPh sb="14" eb="15">
      <t>・</t>
    </rPh>
    <rPh sb="15" eb="16">
      <t xml:space="preserve">スウチテキヨウヤク </t>
    </rPh>
    <rPh sb="20" eb="21">
      <t>，</t>
    </rPh>
    <phoneticPr fontId="3"/>
  </si>
  <si>
    <t>回帰分析，Pythonによるデータ分析（1〜4）</t>
    <rPh sb="0" eb="4">
      <t xml:space="preserve">カイキブンセキ </t>
    </rPh>
    <phoneticPr fontId="3"/>
  </si>
  <si>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3"/>
  </si>
  <si>
    <t>統計及び数理基礎</t>
    <rPh sb="0" eb="2">
      <t>トウケイ</t>
    </rPh>
    <rPh sb="2" eb="3">
      <t>オヨ</t>
    </rPh>
    <rPh sb="4" eb="6">
      <t>スウリ</t>
    </rPh>
    <rPh sb="6" eb="8">
      <t>キソ</t>
    </rPh>
    <phoneticPr fontId="3"/>
  </si>
  <si>
    <t>統計リテラシーγ，統計リテラシーδ，データ科学入門γ，データ科学のための数学</t>
    <rPh sb="0" eb="2">
      <t xml:space="preserve">トウケイリテラシー </t>
    </rPh>
    <rPh sb="9" eb="11">
      <t xml:space="preserve">トウケイリテラシー </t>
    </rPh>
    <rPh sb="36" eb="38">
      <t xml:space="preserve">スウガク </t>
    </rPh>
    <phoneticPr fontId="3"/>
  </si>
  <si>
    <t>アルゴリズム基礎</t>
    <rPh sb="6" eb="8">
      <t>キソ</t>
    </rPh>
    <phoneticPr fontId="3"/>
  </si>
  <si>
    <t>データ構造とプログラミング基礎</t>
    <rPh sb="3" eb="5">
      <t>コウゾウ</t>
    </rPh>
    <rPh sb="13" eb="15">
      <t>キソ</t>
    </rPh>
    <phoneticPr fontId="3"/>
  </si>
  <si>
    <t>時系列データ解析</t>
    <rPh sb="0" eb="3">
      <t>ジケイレツ</t>
    </rPh>
    <rPh sb="6" eb="8">
      <t>カイセキ</t>
    </rPh>
    <phoneticPr fontId="3"/>
  </si>
  <si>
    <t>時系列構造のデータ科学</t>
    <rPh sb="0" eb="5">
      <t xml:space="preserve">ジケイレツコウゾウノ </t>
    </rPh>
    <phoneticPr fontId="3"/>
  </si>
  <si>
    <t>テキスト解析</t>
    <rPh sb="4" eb="6">
      <t>カイセキ</t>
    </rPh>
    <phoneticPr fontId="3"/>
  </si>
  <si>
    <t>画像解析</t>
    <rPh sb="0" eb="2">
      <t>ガゾウ</t>
    </rPh>
    <rPh sb="2" eb="4">
      <t>カイセキ</t>
    </rPh>
    <phoneticPr fontId="3"/>
  </si>
  <si>
    <t>データハンドリング</t>
    <phoneticPr fontId="3"/>
  </si>
  <si>
    <t>データ活用実践（教師あり学習）</t>
    <rPh sb="3" eb="5">
      <t>カツヨウ</t>
    </rPh>
    <rPh sb="5" eb="7">
      <t>ジッセン</t>
    </rPh>
    <rPh sb="8" eb="10">
      <t>キョウシ</t>
    </rPh>
    <rPh sb="12" eb="14">
      <t>ガクシュウ</t>
    </rPh>
    <phoneticPr fontId="3"/>
  </si>
  <si>
    <t>回帰と分類のデータ科学，データ科学実践</t>
    <rPh sb="0" eb="2">
      <t xml:space="preserve">カイキ </t>
    </rPh>
    <rPh sb="3" eb="5">
      <t xml:space="preserve">ブンルイノ </t>
    </rPh>
    <phoneticPr fontId="3"/>
  </si>
  <si>
    <t>その他</t>
    <rPh sb="2" eb="3">
      <t>タ</t>
    </rPh>
    <phoneticPr fontId="3"/>
  </si>
  <si>
    <t>プログラムの授業内容等を公表しているアドレス</t>
    <rPh sb="6" eb="8">
      <t>ジュギョウ</t>
    </rPh>
    <rPh sb="8" eb="10">
      <t>ナイヨウ</t>
    </rPh>
    <rPh sb="10" eb="11">
      <t>トウ</t>
    </rPh>
    <rPh sb="12" eb="14">
      <t>コウヒョウ</t>
    </rPh>
    <phoneticPr fontId="3"/>
  </si>
  <si>
    <t>https://www.waseda.jp/inst/cds/education/assessment</t>
    <phoneticPr fontId="3"/>
  </si>
  <si>
    <t>プログラムの学修成果（学生等が身に付けられる能力等）</t>
  </si>
  <si>
    <t>データサイエンスに関する社会的な背景を理解し、また身の回りに多くのデータサイエンス技術が応用されていることひいてはその重要性について理解する。その上でデータサイエンスの基本的な考え方（データの可視化やデータの種類など）を理解し、与えられた問題に対して基礎的なデータ分析（グラフ作成，基本統計量の導出など）を適用することができる。</t>
    <rPh sb="9" eb="10">
      <t xml:space="preserve">カンスル </t>
    </rPh>
    <rPh sb="12" eb="15">
      <t xml:space="preserve">シャカイテキナ </t>
    </rPh>
    <rPh sb="16" eb="18">
      <t xml:space="preserve">ハイケイヲ </t>
    </rPh>
    <rPh sb="19" eb="21">
      <t xml:space="preserve">リカイシ </t>
    </rPh>
    <rPh sb="25" eb="26">
      <t xml:space="preserve">ミノマワリニ </t>
    </rPh>
    <rPh sb="30" eb="31">
      <t xml:space="preserve">オオクノ </t>
    </rPh>
    <rPh sb="41" eb="43">
      <t xml:space="preserve">ギジュツガ </t>
    </rPh>
    <rPh sb="44" eb="46">
      <t xml:space="preserve">オウヨウサレテイルコトヲ </t>
    </rPh>
    <rPh sb="59" eb="62">
      <t xml:space="preserve">ジュウヨウセイ </t>
    </rPh>
    <rPh sb="66" eb="68">
      <t xml:space="preserve">リカイスル </t>
    </rPh>
    <rPh sb="84" eb="87">
      <t xml:space="preserve">キホンテキナ </t>
    </rPh>
    <rPh sb="88" eb="89">
      <t xml:space="preserve">カンガエカタ </t>
    </rPh>
    <rPh sb="96" eb="99">
      <t xml:space="preserve">カシカ </t>
    </rPh>
    <rPh sb="104" eb="106">
      <t xml:space="preserve">シュルイ </t>
    </rPh>
    <rPh sb="110" eb="112">
      <t xml:space="preserve">リカイシ </t>
    </rPh>
    <rPh sb="114" eb="115">
      <t xml:space="preserve">アタエラエｒタ </t>
    </rPh>
    <rPh sb="119" eb="121">
      <t xml:space="preserve">モンダイニタイシテ </t>
    </rPh>
    <rPh sb="125" eb="128">
      <t xml:space="preserve">キソテキナ </t>
    </rPh>
    <rPh sb="132" eb="134">
      <t xml:space="preserve">ブンセキ </t>
    </rPh>
    <rPh sb="141" eb="146">
      <t xml:space="preserve">キホントウケイリョウ </t>
    </rPh>
    <rPh sb="147" eb="149">
      <t xml:space="preserve">ドウシュツ </t>
    </rPh>
    <rPh sb="153" eb="155">
      <t xml:space="preserve">テキヨウスル </t>
    </rPh>
    <phoneticPr fontId="3"/>
  </si>
  <si>
    <t>様式５</t>
    <rPh sb="0" eb="2">
      <t>ヨウシキ</t>
    </rPh>
    <phoneticPr fontId="3"/>
  </si>
  <si>
    <t>学校名</t>
    <rPh sb="0" eb="3">
      <t>ガッコウメイ</t>
    </rPh>
    <phoneticPr fontId="3"/>
  </si>
  <si>
    <t>：</t>
    <phoneticPr fontId="3"/>
  </si>
  <si>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3"/>
  </si>
  <si>
    <t>プログラムを改善・進化させるための体制を定める規則名称</t>
    <phoneticPr fontId="3"/>
  </si>
  <si>
    <t>グローバルエデュケーションセンター分野別部門内規</t>
    <phoneticPr fontId="3"/>
  </si>
  <si>
    <t>体制の目的</t>
    <rPh sb="0" eb="2">
      <t>タイセイ</t>
    </rPh>
    <rPh sb="3" eb="5">
      <t>モクテキ</t>
    </rPh>
    <phoneticPr fontId="3"/>
  </si>
  <si>
    <r>
      <rPr>
        <sz val="12"/>
        <color theme="1"/>
        <rFont val="ＭＳ Ｐゴシック"/>
        <family val="3"/>
        <charset val="128"/>
      </rPr>
      <t>グローバルエデュケーションセンター（GEC）は、グローバルに貢献し活躍できる人材を育成するための新しい時代の教育を展開することを目的とする。
データ科学センター（CDS）は、データを基盤とした総合的学際的研究の展開による新たな知の創造、複雑な課題の解決と、その成果の利用による社会への貢献をめざすと共に、そのような研究、問題解決の能力をもった人材の育成を目的とする。</t>
    </r>
    <r>
      <rPr>
        <sz val="12"/>
        <color rgb="FFFF0000"/>
        <rFont val="ＭＳ Ｐゴシック"/>
        <family val="3"/>
        <charset val="128"/>
        <scheme val="minor"/>
      </rPr>
      <t xml:space="preserve">
</t>
    </r>
    <phoneticPr fontId="3"/>
  </si>
  <si>
    <t>具体的な構成員</t>
    <rPh sb="0" eb="3">
      <t>グタイテキ</t>
    </rPh>
    <rPh sb="4" eb="7">
      <t>コウセイイン</t>
    </rPh>
    <phoneticPr fontId="3"/>
  </si>
  <si>
    <t>データ科学教育の推進や全学教育のあり方などを検討するGECおよびCDS管理委員会が存在するが、そこでの決定を受けて実際のカリキュラムの方針を議論する早稲田大学グローバルエデュケーションセンター・データ科学教育部門委員会、データ科学センターカリキュラム委員会が設置されている。
両委員会の構成員：
松嶋敏泰教授（理工学術院），松居辰則教授（人間科学学術院），須子統太准教授（社会科学総合学術院），楠元範明教授（教育総合科学学術院），西郷浩教授（政治経済学術院），坂野慎哉（商学学術院），小林学教授（データ科学センター），野村亮教授（データ科学センター），竇暁玲准教授（データ科学センター），堀井俊佑准教授（グローバルエデュケーションセンター），安田豪毅准教授（グローバルエデュケーションセンター）
また上記カリキュラム委員会での決定を受けて実際に授業運営に関わる様々な問題（授業運営方法検討，学生対応方法等）を議論する場としてGEC、CDS共同教員会がある。GEC、CDS共同教員会は、GEC教員7名、CDS教員5名からなり，毎週90分程度議論している。</t>
    <rPh sb="5" eb="7">
      <t xml:space="preserve">キョウイクノ </t>
    </rPh>
    <rPh sb="8" eb="10">
      <t xml:space="preserve">スイシンヤ </t>
    </rPh>
    <rPh sb="11" eb="13">
      <t xml:space="preserve">ゼンガク </t>
    </rPh>
    <rPh sb="13" eb="15">
      <t xml:space="preserve">キョウイクノ </t>
    </rPh>
    <rPh sb="22" eb="24">
      <t xml:space="preserve">ケントウスル </t>
    </rPh>
    <rPh sb="35" eb="40">
      <t xml:space="preserve">カンリイインカイガ </t>
    </rPh>
    <rPh sb="41" eb="43">
      <t xml:space="preserve">ソンザイスル </t>
    </rPh>
    <rPh sb="51" eb="53">
      <t xml:space="preserve">ケッテイヲウケテ </t>
    </rPh>
    <rPh sb="57" eb="59">
      <t xml:space="preserve">ジッサイ </t>
    </rPh>
    <rPh sb="67" eb="69">
      <t xml:space="preserve">ホウシン </t>
    </rPh>
    <rPh sb="70" eb="72">
      <t xml:space="preserve">ギロンスル </t>
    </rPh>
    <rPh sb="74" eb="79">
      <t xml:space="preserve">ワセダダイガク </t>
    </rPh>
    <rPh sb="102" eb="106">
      <t xml:space="preserve">キョウイクブモン </t>
    </rPh>
    <rPh sb="106" eb="109">
      <t xml:space="preserve">カンリイインカイ </t>
    </rPh>
    <rPh sb="129" eb="131">
      <t xml:space="preserve">セッチサレテイル </t>
    </rPh>
    <rPh sb="138" eb="139">
      <t xml:space="preserve">リョウ </t>
    </rPh>
    <rPh sb="143" eb="146">
      <t xml:space="preserve">コウセイイン </t>
    </rPh>
    <rPh sb="148" eb="150">
      <t xml:space="preserve">マツシマ </t>
    </rPh>
    <rPh sb="150" eb="152">
      <t xml:space="preserve">トシヤス </t>
    </rPh>
    <rPh sb="152" eb="154">
      <t xml:space="preserve">キョウジュ </t>
    </rPh>
    <rPh sb="155" eb="160">
      <t xml:space="preserve">リコウガクジュツイン </t>
    </rPh>
    <rPh sb="163" eb="164">
      <t xml:space="preserve">イイｎ </t>
    </rPh>
    <rPh sb="166" eb="168">
      <t xml:space="preserve">キョウジュ </t>
    </rPh>
    <rPh sb="169" eb="176">
      <t>ニンゲンカ</t>
    </rPh>
    <rPh sb="178" eb="199">
      <t xml:space="preserve">イインカイデノ </t>
    </rPh>
    <rPh sb="200" eb="231">
      <t xml:space="preserve">ケッテイヲ </t>
    </rPh>
    <rPh sb="235" eb="237">
      <t xml:space="preserve">ショウガク </t>
    </rPh>
    <rPh sb="237" eb="240">
      <t xml:space="preserve">ガクジュツイン </t>
    </rPh>
    <rPh sb="242" eb="245">
      <t xml:space="preserve">コバヤシマナブ </t>
    </rPh>
    <rPh sb="245" eb="247">
      <t xml:space="preserve">キョウジュ </t>
    </rPh>
    <rPh sb="259" eb="262">
      <t xml:space="preserve">ノムラリョウ </t>
    </rPh>
    <rPh sb="262" eb="264">
      <t xml:space="preserve">キョウジュ </t>
    </rPh>
    <rPh sb="276" eb="277">
      <t xml:space="preserve">ジッサイニ </t>
    </rPh>
    <rPh sb="278" eb="348">
      <t xml:space="preserve">ジュギョウウンエイヲ </t>
    </rPh>
    <rPh sb="349" eb="350">
      <t xml:space="preserve">カカワル </t>
    </rPh>
    <rPh sb="351" eb="353">
      <t xml:space="preserve">ジョウキ </t>
    </rPh>
    <rPh sb="354" eb="355">
      <t xml:space="preserve">サマザマナ </t>
    </rPh>
    <rPh sb="357" eb="359">
      <t xml:space="preserve">モンダイ </t>
    </rPh>
    <rPh sb="360" eb="362">
      <t xml:space="preserve">ジュギョウナヨウ </t>
    </rPh>
    <rPh sb="362" eb="366">
      <t xml:space="preserve">ウンエイホウホウ </t>
    </rPh>
    <rPh sb="366" eb="368">
      <t xml:space="preserve">ケントウ </t>
    </rPh>
    <rPh sb="369" eb="373">
      <t xml:space="preserve">ガクセイタイオウ </t>
    </rPh>
    <rPh sb="373" eb="375">
      <t xml:space="preserve">ホウホウ </t>
    </rPh>
    <rPh sb="375" eb="376">
      <t xml:space="preserve">ナド </t>
    </rPh>
    <rPh sb="378" eb="380">
      <t xml:space="preserve">ギロンスル </t>
    </rPh>
    <rPh sb="382" eb="383">
      <t xml:space="preserve">バトシテ </t>
    </rPh>
    <rPh sb="420" eb="422">
      <t xml:space="preserve">キョウイン </t>
    </rPh>
    <rPh sb="423" eb="424">
      <t xml:space="preserve">メイ， </t>
    </rPh>
    <rPh sb="429" eb="430">
      <t xml:space="preserve">キョウイン </t>
    </rPh>
    <rPh sb="431" eb="432">
      <t xml:space="preserve">メイ </t>
    </rPh>
    <rPh sb="436" eb="438">
      <t xml:space="preserve">マイシュウ </t>
    </rPh>
    <rPh sb="440" eb="441">
      <t xml:space="preserve">フン </t>
    </rPh>
    <rPh sb="441" eb="442">
      <t xml:space="preserve">テイド </t>
    </rPh>
    <rPh sb="443" eb="445">
      <t xml:space="preserve">ギロンシテイル </t>
    </rPh>
    <phoneticPr fontId="3"/>
  </si>
  <si>
    <t>履修者数・履修率の向上に向けた計画</t>
    <rPh sb="5" eb="7">
      <t>リシュウ</t>
    </rPh>
    <rPh sb="7" eb="8">
      <t>リツ</t>
    </rPh>
    <phoneticPr fontId="3"/>
  </si>
  <si>
    <t>各年度の履修者数の目標を以下のとおりとする。（（　）内は履修率。）
令和３年度　3500名　（39％）
令和４年度　3650名　（40％）
令和５年度　3700名　（41％）
令和3年度：本教育プログラムに関する相談窓口「データ科学履修相談」を令和3年度より設置。「データ科学履修相談」では、各自の専門分野に対してデータ科学をどのように学んでいけば良いかGEC, CDS教員に相談できる。さらに、本教育プログラム修了者に対して、修了者個人に認定を行う本学独自の「データ科学認定制度」を令和3年度より開始する。本学「データ科学認定制度」は全学部学生を対象とした制度であり、全学的な履修者数および履修率の向上に向けた施策の一つである。これらの取組を継続していくとともに教育プログラムの広報および改善を継続的に実施、全学的な履修率向上を推進する。またデータ科学に関する各種セミナー・ワークショップを開催し、データ科学の重要性を周知することで履修者数向上に努める。さらにホームページ上に、データ科学の重要性について解説した動画を掲載する。
令和4年度以降：上記の取組を継続して行く。他に予定している取組として、各学部の学生の専門性に合わせたデータ科学の必要性を紹介する動画作成・掲載などがある。</t>
    <rPh sb="115" eb="119">
      <t xml:space="preserve">リシュウソウダｎ </t>
    </rPh>
    <rPh sb="121" eb="123">
      <t xml:space="preserve">レイワ </t>
    </rPh>
    <rPh sb="124" eb="126">
      <t xml:space="preserve">ネンド </t>
    </rPh>
    <rPh sb="136" eb="138">
      <t xml:space="preserve">カｇカウ </t>
    </rPh>
    <rPh sb="138" eb="142">
      <t xml:space="preserve">リシュウソウダｎ </t>
    </rPh>
    <rPh sb="152" eb="153">
      <t xml:space="preserve">タイシテ </t>
    </rPh>
    <rPh sb="155" eb="157">
      <t xml:space="preserve">ガイヨウヤ </t>
    </rPh>
    <rPh sb="158" eb="160">
      <t xml:space="preserve">カモクノ </t>
    </rPh>
    <rPh sb="161" eb="163">
      <t xml:space="preserve">ナイヨウ </t>
    </rPh>
    <rPh sb="172" eb="174">
      <t xml:space="preserve">ソウダン </t>
    </rPh>
    <rPh sb="185" eb="187">
      <t xml:space="preserve">カガク </t>
    </rPh>
    <rPh sb="188" eb="189">
      <t xml:space="preserve">カンスル </t>
    </rPh>
    <rPh sb="191" eb="193">
      <t xml:space="preserve">カクシュ </t>
    </rPh>
    <rPh sb="198" eb="200">
      <t xml:space="preserve">カイサイシ </t>
    </rPh>
    <rPh sb="201" eb="203">
      <t xml:space="preserve">レイワ </t>
    </rPh>
    <rPh sb="204" eb="206">
      <t xml:space="preserve">ネンド </t>
    </rPh>
    <rPh sb="216" eb="219">
      <t xml:space="preserve">ジュウヨウセイヲ </t>
    </rPh>
    <rPh sb="220" eb="222">
      <t xml:space="preserve">シュウチスルトトモニ </t>
    </rPh>
    <rPh sb="228" eb="232">
      <t xml:space="preserve">リシュウシャスウウ </t>
    </rPh>
    <rPh sb="232" eb="234">
      <t xml:space="preserve">コウジョウ </t>
    </rPh>
    <rPh sb="235" eb="236">
      <t xml:space="preserve">ツトメテイル </t>
    </rPh>
    <rPh sb="251" eb="252">
      <t xml:space="preserve">ジョウ </t>
    </rPh>
    <rPh sb="255" eb="257">
      <t xml:space="preserve">レイワ </t>
    </rPh>
    <rPh sb="258" eb="260">
      <t xml:space="preserve">ネンドｄ </t>
    </rPh>
    <rPh sb="261" eb="263">
      <t xml:space="preserve">トリクミ </t>
    </rPh>
    <rPh sb="266" eb="269">
      <t xml:space="preserve">ジュウヨウセイヲ </t>
    </rPh>
    <rPh sb="271" eb="273">
      <t xml:space="preserve">カイセツシタ </t>
    </rPh>
    <rPh sb="275" eb="277">
      <t xml:space="preserve">ドウガヲ </t>
    </rPh>
    <rPh sb="278" eb="280">
      <t xml:space="preserve">ケイサイ </t>
    </rPh>
    <rPh sb="287" eb="289">
      <t xml:space="preserve">ドクジノ </t>
    </rPh>
    <rPh sb="290" eb="294">
      <t xml:space="preserve">ニンテイセイド </t>
    </rPh>
    <rPh sb="297" eb="299">
      <t xml:space="preserve">セッチ </t>
    </rPh>
    <rPh sb="321" eb="323">
      <t xml:space="preserve">レイワ </t>
    </rPh>
    <rPh sb="324" eb="326">
      <t xml:space="preserve">ネンド </t>
    </rPh>
    <rPh sb="326" eb="328">
      <t xml:space="preserve">イコウ </t>
    </rPh>
    <rPh sb="329" eb="331">
      <t xml:space="preserve">ジョウキノ </t>
    </rPh>
    <rPh sb="332" eb="333">
      <t xml:space="preserve">トリクミヲ </t>
    </rPh>
    <rPh sb="333" eb="335">
      <t xml:space="preserve">キョウイク </t>
    </rPh>
    <rPh sb="379" eb="380">
      <t xml:space="preserve">ヒトツトシテハ </t>
    </rPh>
    <rPh sb="475" eb="477">
      <t xml:space="preserve">ジョウキノ </t>
    </rPh>
    <rPh sb="478" eb="480">
      <t xml:space="preserve">トリクミヲ </t>
    </rPh>
    <rPh sb="481" eb="483">
      <t xml:space="preserve">ケイゾクシテクト </t>
    </rPh>
    <rPh sb="485" eb="486">
      <t xml:space="preserve">イク </t>
    </rPh>
    <rPh sb="488" eb="489">
      <t xml:space="preserve">ホカニカンガエラレル </t>
    </rPh>
    <rPh sb="490" eb="492">
      <t xml:space="preserve">ヨテイシテイル </t>
    </rPh>
    <rPh sb="496" eb="498">
      <t xml:space="preserve">トリクミト </t>
    </rPh>
    <rPh sb="502" eb="505">
      <t xml:space="preserve">カクガクブ </t>
    </rPh>
    <rPh sb="506" eb="508">
      <t xml:space="preserve">ガクセイ </t>
    </rPh>
    <rPh sb="509" eb="512">
      <t xml:space="preserve">センモンセイニ </t>
    </rPh>
    <rPh sb="513" eb="514">
      <t xml:space="preserve">アワセタ </t>
    </rPh>
    <rPh sb="523" eb="526">
      <t xml:space="preserve">ヒツヨウセイ </t>
    </rPh>
    <rPh sb="527" eb="529">
      <t xml:space="preserve">ショウカイスル </t>
    </rPh>
    <rPh sb="531" eb="533">
      <t xml:space="preserve">ドウガ </t>
    </rPh>
    <rPh sb="533" eb="535">
      <t xml:space="preserve">サクセイ </t>
    </rPh>
    <rPh sb="536" eb="538">
      <t xml:space="preserve">ケイサイ </t>
    </rPh>
    <phoneticPr fontId="3"/>
  </si>
  <si>
    <t>学部・学科に関係なく希望する学生全員が受講可能となるような必要な体制・取組等</t>
    <rPh sb="29" eb="31">
      <t>ヒツヨウ</t>
    </rPh>
    <rPh sb="32" eb="34">
      <t>タイセイ</t>
    </rPh>
    <rPh sb="35" eb="37">
      <t>トリクミ</t>
    </rPh>
    <rPh sb="37" eb="38">
      <t>トウ</t>
    </rPh>
    <phoneticPr fontId="3"/>
  </si>
  <si>
    <t>「データ科学教育プログラム」は、専門分野を問わず必要となるデータ科学の「理論」と、実際のデータを取り扱う「スキル」を身につけるプログラムであり、データ科学と自身の「専門」分野の知識を結び付けて活用できる人材育成を目指している。その対象は本学に属する全学部・研究科所属の学生であり、従って学部・学科に関係なく履修可能なプログラムとなっている。具体的には、学部とは独立した組織であるGECおよびCDSが中心となり、本学所属学生を対象とした講義科目を提供している。特に全科目をLearning Management System（LMS）を利用したオンデマンド授業にて開講しており、受講する学生は場所や時間にとらわれず、講義動画および資料を閲覧可能である。さらに各科目はクォーター科目であるが、毎クォーター開講しており，学生が他科目とのバランスを考えた上で履修したい時期に履修可能な仕組みとなっている。</t>
    <rPh sb="1" eb="3">
      <t xml:space="preserve">ガクブ </t>
    </rPh>
    <rPh sb="4" eb="6">
      <t xml:space="preserve">ガッカトハ </t>
    </rPh>
    <rPh sb="8" eb="10">
      <t xml:space="preserve">ドクリツシタ </t>
    </rPh>
    <rPh sb="12" eb="14">
      <t xml:space="preserve">ソシキデアル </t>
    </rPh>
    <rPh sb="16" eb="18">
      <t xml:space="preserve">センモｎ </t>
    </rPh>
    <rPh sb="26" eb="28">
      <t xml:space="preserve">チュウシントナリ </t>
    </rPh>
    <rPh sb="32" eb="34">
      <t xml:space="preserve">ホンガク </t>
    </rPh>
    <rPh sb="35" eb="39">
      <t xml:space="preserve">ショゾクスル </t>
    </rPh>
    <rPh sb="40" eb="41">
      <t xml:space="preserve">スベテノ </t>
    </rPh>
    <rPh sb="43" eb="45">
      <t xml:space="preserve">ガクセイヲ </t>
    </rPh>
    <rPh sb="46" eb="48">
      <t xml:space="preserve">タイショウトシタ </t>
    </rPh>
    <rPh sb="54" eb="56">
      <t xml:space="preserve">テイキョウシテイル </t>
    </rPh>
    <rPh sb="61" eb="62">
      <t xml:space="preserve">トクニ </t>
    </rPh>
    <rPh sb="65" eb="68">
      <t xml:space="preserve">ゼンカモクヲ </t>
    </rPh>
    <rPh sb="94" eb="96">
      <t xml:space="preserve">リヨウシタ </t>
    </rPh>
    <rPh sb="104" eb="106">
      <t xml:space="preserve">ジュギョウトシテイル </t>
    </rPh>
    <rPh sb="108" eb="110">
      <t xml:space="preserve">カイコウ </t>
    </rPh>
    <rPh sb="110" eb="112">
      <t xml:space="preserve">ゼンガク </t>
    </rPh>
    <rPh sb="112" eb="114">
      <t xml:space="preserve">タイショウノ </t>
    </rPh>
    <rPh sb="128" eb="130">
      <t xml:space="preserve">ジュコウスル </t>
    </rPh>
    <rPh sb="132" eb="134">
      <t xml:space="preserve">ガクセイハ </t>
    </rPh>
    <rPh sb="135" eb="137">
      <t xml:space="preserve">バショ </t>
    </rPh>
    <rPh sb="138" eb="140">
      <t xml:space="preserve">ジカンニ </t>
    </rPh>
    <rPh sb="156" eb="160">
      <t xml:space="preserve">コウギドウガヲ </t>
    </rPh>
    <rPh sb="163" eb="165">
      <t xml:space="preserve">シリョウヲ </t>
    </rPh>
    <rPh sb="166" eb="170">
      <t xml:space="preserve">エツランカノウデアル </t>
    </rPh>
    <rPh sb="177" eb="178">
      <t xml:space="preserve">カク </t>
    </rPh>
    <rPh sb="178" eb="180">
      <t xml:space="preserve">カモクハ </t>
    </rPh>
    <rPh sb="186" eb="188">
      <t xml:space="preserve">カモクデアルガ </t>
    </rPh>
    <rPh sb="193" eb="194">
      <t xml:space="preserve">マイ </t>
    </rPh>
    <rPh sb="199" eb="201">
      <t xml:space="preserve">カイコウシテイル </t>
    </rPh>
    <rPh sb="206" eb="208">
      <t xml:space="preserve">ガクセイガ </t>
    </rPh>
    <rPh sb="209" eb="212">
      <t xml:space="preserve">ホカカモクトノ </t>
    </rPh>
    <rPh sb="219" eb="220">
      <t xml:space="preserve">カンガエタウエデ </t>
    </rPh>
    <rPh sb="224" eb="226">
      <t xml:space="preserve">リシュウシタ </t>
    </rPh>
    <rPh sb="229" eb="231">
      <t xml:space="preserve">ジキニ </t>
    </rPh>
    <rPh sb="232" eb="234">
      <t xml:space="preserve">リシュウ </t>
    </rPh>
    <rPh sb="234" eb="236">
      <t xml:space="preserve">カノウナ </t>
    </rPh>
    <rPh sb="237" eb="239">
      <t xml:space="preserve">シクミ </t>
    </rPh>
    <rPh sb="249" eb="251">
      <t xml:space="preserve">ジョウキノ </t>
    </rPh>
    <rPh sb="252" eb="254">
      <t xml:space="preserve">シクミ </t>
    </rPh>
    <rPh sb="258" eb="260">
      <t xml:space="preserve">キボウスル </t>
    </rPh>
    <rPh sb="262" eb="264">
      <t xml:space="preserve">ガクセイデアレバ </t>
    </rPh>
    <rPh sb="268" eb="270">
      <t xml:space="preserve">ガクブ・ガッカニ </t>
    </rPh>
    <rPh sb="274" eb="276">
      <t xml:space="preserve">カンケイナク </t>
    </rPh>
    <rPh sb="278" eb="279">
      <t xml:space="preserve">ダレデｍ </t>
    </rPh>
    <rPh sb="281" eb="285">
      <t xml:space="preserve">リシュウカノウナ </t>
    </rPh>
    <phoneticPr fontId="3"/>
  </si>
  <si>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3"/>
  </si>
  <si>
    <t>「データ科学教育プログラム」は、分野を問わず「データ科学」と自身の「専門」分野の知識を結び付けて活用できる人材育成を目指しているものであり、以下のように全学的な周知を行っている。新入生には入学時に配布する『全学オープン科目履修ガイド』の中で、体系的なプログラムについて説明している。在学生には学生向けポータルサイトの機能、メーリングリストを通じて本プログラムについて周知している。また本センターのHPにプログラムを説明するガイダンス動画を掲載している。
その他データサイエンスコンペティション（令和元年度より年１回開催）、シンポジウム（令和2年度2回開催）、各種セミナー・ワークショップ（令和2年度8回開催）を定期的に企画・開催、イベント内で本プログラムを周知するとともに学生のデータ科学に触れる機会を増やすことで本プログラムに対する学生の認知度を高めている。</t>
    <rPh sb="1" eb="4">
      <t xml:space="preserve">シンニュウセイニハ </t>
    </rPh>
    <rPh sb="6" eb="9">
      <t xml:space="preserve">ニュウガクジノ </t>
    </rPh>
    <rPh sb="10" eb="12">
      <t xml:space="preserve">ハイフスル </t>
    </rPh>
    <rPh sb="14" eb="16">
      <t xml:space="preserve">リシュウ </t>
    </rPh>
    <rPh sb="20" eb="24">
      <t xml:space="preserve">ホカインサツブツ </t>
    </rPh>
    <rPh sb="24" eb="25">
      <t xml:space="preserve">メイ </t>
    </rPh>
    <rPh sb="27" eb="28">
      <t xml:space="preserve">ツウジテ </t>
    </rPh>
    <rPh sb="31" eb="33">
      <t xml:space="preserve">キゾンノ </t>
    </rPh>
    <rPh sb="34" eb="36">
      <t xml:space="preserve">ガクセイ </t>
    </rPh>
    <rPh sb="38" eb="41">
      <t xml:space="preserve">カクガクブ </t>
    </rPh>
    <rPh sb="41" eb="42">
      <t xml:space="preserve">ナドニ </t>
    </rPh>
    <rPh sb="43" eb="45">
      <t xml:space="preserve">ハイフヲ </t>
    </rPh>
    <rPh sb="46" eb="48">
      <t xml:space="preserve">イライシテイル </t>
    </rPh>
    <rPh sb="59" eb="60">
      <t xml:space="preserve">ツウジテ </t>
    </rPh>
    <rPh sb="62" eb="63">
      <t xml:space="preserve">ホンプログラムニツイテ </t>
    </rPh>
    <rPh sb="72" eb="74">
      <t xml:space="preserve">シュウチシテイル </t>
    </rPh>
    <rPh sb="80" eb="81">
      <t xml:space="preserve">ホンセンターノ </t>
    </rPh>
    <rPh sb="95" eb="97">
      <t xml:space="preserve">セツメイスル </t>
    </rPh>
    <rPh sb="104" eb="106">
      <t xml:space="preserve">ドウガヲ </t>
    </rPh>
    <rPh sb="107" eb="109">
      <t xml:space="preserve">ケイサイ </t>
    </rPh>
    <rPh sb="110" eb="111">
      <t xml:space="preserve">オオクノ </t>
    </rPh>
    <rPh sb="113" eb="115">
      <t xml:space="preserve">ガクセイニ </t>
    </rPh>
    <rPh sb="116" eb="118">
      <t xml:space="preserve">シュウチデキルヨウ </t>
    </rPh>
    <rPh sb="120" eb="122">
      <t xml:space="preserve">カンキョウヲ </t>
    </rPh>
    <rPh sb="123" eb="124">
      <t xml:space="preserve">トトノエテイル </t>
    </rPh>
    <rPh sb="134" eb="135">
      <t xml:space="preserve">ホカ </t>
    </rPh>
    <rPh sb="156" eb="158">
      <t xml:space="preserve">ネンド </t>
    </rPh>
    <rPh sb="160" eb="161">
      <t xml:space="preserve">ネンイッカイ </t>
    </rPh>
    <rPh sb="163" eb="165">
      <t xml:space="preserve">カイサイ </t>
    </rPh>
    <rPh sb="178" eb="180">
      <t xml:space="preserve">ネンド </t>
    </rPh>
    <rPh sb="182" eb="184">
      <t xml:space="preserve">カイサイ </t>
    </rPh>
    <rPh sb="186" eb="188">
      <t xml:space="preserve">カクシュ </t>
    </rPh>
    <rPh sb="205" eb="207">
      <t xml:space="preserve">ネンド </t>
    </rPh>
    <rPh sb="208" eb="209">
      <t xml:space="preserve">カイ </t>
    </rPh>
    <rPh sb="209" eb="211">
      <t xml:space="preserve">カイサイ </t>
    </rPh>
    <rPh sb="213" eb="216">
      <t xml:space="preserve">テイキテキニ </t>
    </rPh>
    <rPh sb="217" eb="219">
      <t xml:space="preserve">キカク </t>
    </rPh>
    <rPh sb="220" eb="222">
      <t xml:space="preserve">カイサイ </t>
    </rPh>
    <rPh sb="223" eb="225">
      <t xml:space="preserve">ガクセイオ </t>
    </rPh>
    <rPh sb="231" eb="232">
      <t xml:space="preserve">ホンプログラム </t>
    </rPh>
    <rPh sb="238" eb="240">
      <t xml:space="preserve">シュウチスル </t>
    </rPh>
    <rPh sb="247" eb="249">
      <t xml:space="preserve">レイワ </t>
    </rPh>
    <rPh sb="249" eb="250">
      <t xml:space="preserve">モト </t>
    </rPh>
    <rPh sb="250" eb="251">
      <t xml:space="preserve">キカイヲ </t>
    </rPh>
    <rPh sb="252" eb="253">
      <t xml:space="preserve">サマザマナ </t>
    </rPh>
    <rPh sb="260" eb="261">
      <t xml:space="preserve">フヤスコトデ </t>
    </rPh>
    <rPh sb="266" eb="268">
      <t xml:space="preserve">チョクセツテキ </t>
    </rPh>
    <rPh sb="268" eb="270">
      <t xml:space="preserve">レイワ </t>
    </rPh>
    <rPh sb="271" eb="272">
      <t xml:space="preserve">カンセツテキニ </t>
    </rPh>
    <rPh sb="273" eb="274">
      <t xml:space="preserve">ホンプログラム </t>
    </rPh>
    <rPh sb="280" eb="281">
      <t xml:space="preserve">タイスル </t>
    </rPh>
    <rPh sb="283" eb="285">
      <t xml:space="preserve">ガクセイヘノ </t>
    </rPh>
    <rPh sb="286" eb="288">
      <t xml:space="preserve">ニンチ </t>
    </rPh>
    <rPh sb="288" eb="289">
      <t xml:space="preserve">ドヲ </t>
    </rPh>
    <rPh sb="290" eb="291">
      <t xml:space="preserve">タカメテイル </t>
    </rPh>
    <rPh sb="294" eb="296">
      <t xml:space="preserve">レイワ </t>
    </rPh>
    <phoneticPr fontId="3"/>
  </si>
  <si>
    <t>できる限り多くの学生が履修・修得できるようなサポート体制</t>
    <rPh sb="26" eb="28">
      <t>タイセイ</t>
    </rPh>
    <phoneticPr fontId="3"/>
  </si>
  <si>
    <t>本プログラムは全学生を対象としたものである。
専門分野や数理的な前提知識の異なる学生に本プログラムを履修してもらうために、GECおよびCDSで設置している学生サポートとしては下記二つに大別できる。
1. 履修相談
　データ科学を学ぶにあたり、自らの専門分野に対してどのような科目をどのように履修すればよいかについて教員に相談できる「データ科学履修相談」を用意している。「データ科学履修相談」はオンラインにて提供している。
2. 質問対応
　オンデマンド授業にて生じた疑問・質問に対するサポート体制として主として大学院生からなるLearning Assistant（LA）組織がある。LAはLMS上および対面指導室での学生質問対応を行っている。LAの多くはデータ科学関連科目を履修済みであり、学生からの質問の大半は対応可能であるが、LAでは対応が困難である質問に対しては教員が対応する。</t>
    <rPh sb="58" eb="59">
      <t xml:space="preserve">ホンプログラムニ </t>
    </rPh>
    <rPh sb="65" eb="66">
      <t xml:space="preserve">カンスル </t>
    </rPh>
    <rPh sb="68" eb="70">
      <t xml:space="preserve">ガクセイニタイスル </t>
    </rPh>
    <rPh sb="78" eb="80">
      <t xml:space="preserve">カキ </t>
    </rPh>
    <rPh sb="80" eb="81">
      <t xml:space="preserve">フタツニ </t>
    </rPh>
    <rPh sb="83" eb="85">
      <t xml:space="preserve">タイベツ </t>
    </rPh>
    <rPh sb="93" eb="97">
      <t xml:space="preserve">リシュウソウダン </t>
    </rPh>
    <rPh sb="105" eb="106">
      <t xml:space="preserve">マナブニアタッテ </t>
    </rPh>
    <rPh sb="117" eb="119">
      <t xml:space="preserve">カモクヲ </t>
    </rPh>
    <rPh sb="125" eb="127">
      <t xml:space="preserve">リシュウスレバ </t>
    </rPh>
    <rPh sb="137" eb="139">
      <t xml:space="preserve">キョウインニ </t>
    </rPh>
    <rPh sb="140" eb="142">
      <t xml:space="preserve">ソウダンデキル </t>
    </rPh>
    <rPh sb="151" eb="155">
      <t xml:space="preserve">リシュウソウダｎ </t>
    </rPh>
    <rPh sb="157" eb="159">
      <t xml:space="preserve">ヨウイシテイル </t>
    </rPh>
    <rPh sb="170" eb="174">
      <t xml:space="preserve">リシュウソウダｎ </t>
    </rPh>
    <rPh sb="183" eb="185">
      <t xml:space="preserve">テイキョウシテイル </t>
    </rPh>
    <rPh sb="192" eb="194">
      <t xml:space="preserve">シツモン </t>
    </rPh>
    <rPh sb="194" eb="196">
      <t xml:space="preserve">タイオウ </t>
    </rPh>
    <rPh sb="200" eb="202">
      <t xml:space="preserve">ジュギョウニテ </t>
    </rPh>
    <rPh sb="204" eb="205">
      <t xml:space="preserve">ショウジタ </t>
    </rPh>
    <rPh sb="207" eb="209">
      <t xml:space="preserve">ギモン </t>
    </rPh>
    <rPh sb="210" eb="212">
      <t xml:space="preserve">シツモン </t>
    </rPh>
    <rPh sb="213" eb="214">
      <t xml:space="preserve">タイスル </t>
    </rPh>
    <rPh sb="220" eb="222">
      <t xml:space="preserve">タイセイトシテ </t>
    </rPh>
    <rPh sb="225" eb="226">
      <t xml:space="preserve">シュトｓｈチエ </t>
    </rPh>
    <rPh sb="229" eb="233">
      <t xml:space="preserve">ダイガクインセイ </t>
    </rPh>
    <rPh sb="259" eb="261">
      <t xml:space="preserve">ソシキ </t>
    </rPh>
    <rPh sb="271" eb="272">
      <t xml:space="preserve">ジョウデノ </t>
    </rPh>
    <rPh sb="275" eb="280">
      <t xml:space="preserve">タイメンシドウシツ </t>
    </rPh>
    <rPh sb="282" eb="284">
      <t xml:space="preserve">ガクセイ </t>
    </rPh>
    <rPh sb="284" eb="286">
      <t xml:space="preserve">シツモｎ </t>
    </rPh>
    <rPh sb="286" eb="288">
      <t xml:space="preserve">タイオウ </t>
    </rPh>
    <rPh sb="289" eb="290">
      <t xml:space="preserve">オコナッテ </t>
    </rPh>
    <rPh sb="295" eb="297">
      <t xml:space="preserve">ジッサイニ </t>
    </rPh>
    <rPh sb="298" eb="299">
      <t xml:space="preserve">オオクハ </t>
    </rPh>
    <rPh sb="306" eb="310">
      <t xml:space="preserve">カンレンカモクヲ </t>
    </rPh>
    <rPh sb="311" eb="314">
      <t xml:space="preserve">リシュウズミデアリ </t>
    </rPh>
    <rPh sb="319" eb="321">
      <t xml:space="preserve">ガクセイカラノ </t>
    </rPh>
    <rPh sb="325" eb="326">
      <t xml:space="preserve">シツモンノ </t>
    </rPh>
    <rPh sb="327" eb="329">
      <t xml:space="preserve">タイハンハ </t>
    </rPh>
    <rPh sb="330" eb="334">
      <t xml:space="preserve">タイオウカノウデアルガ </t>
    </rPh>
    <rPh sb="343" eb="344">
      <t xml:space="preserve">タイオウガ </t>
    </rPh>
    <rPh sb="346" eb="348">
      <t xml:space="preserve">コンナンデアル </t>
    </rPh>
    <rPh sb="351" eb="353">
      <t xml:space="preserve">シツモンニタイシテハ </t>
    </rPh>
    <rPh sb="358" eb="360">
      <t xml:space="preserve">キョウインガ </t>
    </rPh>
    <rPh sb="361" eb="363">
      <t xml:space="preserve">タイオウスル </t>
    </rPh>
    <phoneticPr fontId="3"/>
  </si>
  <si>
    <t>授業時間内外で学習指導、質問を受け付ける具体的な仕組み</t>
    <rPh sb="20" eb="23">
      <t>グタイテキ</t>
    </rPh>
    <phoneticPr fontId="3"/>
  </si>
  <si>
    <t>オンデマンド授業時に生じた学生の質問へのサポートとしては、掲示板、チャットシステムおよび対面指導の三つがある。
1. 掲示板　学生がLMS上に設けられた該当場所にコメントを書き込む形で質問をするシステムである。質問はLA、教員だけでなく他学生も閲覧・回答可能であり、すでに同様の質問があるかどうかも確認可能である。
2. チャットシステム　LAの勤務時間内にチャットを通じてLAに質問をするシステムである。チャットであるため、即時に回答を得ることが可能である。
3. 対面指導　LAに個別に対面で質問が可能なシステムである。勤務時間内であればLAが指定の場所に待機しているため、指定場所にて対面指導を受けることができる。また他キャンパスからの質問に対しては予約制のオンライン対面指導も用意している。
以上のように学生が質問内容に応じて学習指導・質問をすることのできる仕組みを用意している。</t>
    <rPh sb="123" eb="124">
      <t xml:space="preserve">ジョウニ </t>
    </rPh>
    <rPh sb="125" eb="126">
      <t xml:space="preserve">モウケラレタ </t>
    </rPh>
    <rPh sb="130" eb="134">
      <t xml:space="preserve">ガイトウバショニ </t>
    </rPh>
    <rPh sb="140" eb="141">
      <t xml:space="preserve">カキコムカタチ </t>
    </rPh>
    <rPh sb="146" eb="148">
      <t xml:space="preserve">シツモンヲ </t>
    </rPh>
    <rPh sb="159" eb="161">
      <t xml:space="preserve">シツモンハ </t>
    </rPh>
    <rPh sb="165" eb="167">
      <t xml:space="preserve">キョウインノ </t>
    </rPh>
    <rPh sb="172" eb="175">
      <t xml:space="preserve">ホカガクセイ </t>
    </rPh>
    <rPh sb="176" eb="178">
      <t xml:space="preserve">エツラン </t>
    </rPh>
    <rPh sb="179" eb="181">
      <t xml:space="preserve">カイトウ </t>
    </rPh>
    <rPh sb="181" eb="183">
      <t xml:space="preserve">カノウデアル </t>
    </rPh>
    <rPh sb="190" eb="192">
      <t xml:space="preserve">ドウヨウノ </t>
    </rPh>
    <rPh sb="193" eb="195">
      <t xml:space="preserve">シツモンガ </t>
    </rPh>
    <rPh sb="203" eb="207">
      <t xml:space="preserve">カクニンカノウデアル </t>
    </rPh>
    <rPh sb="227" eb="231">
      <t xml:space="preserve">キンムジカン </t>
    </rPh>
    <rPh sb="231" eb="232">
      <t xml:space="preserve">ナイニ </t>
    </rPh>
    <rPh sb="238" eb="239">
      <t xml:space="preserve">ツウジテ </t>
    </rPh>
    <rPh sb="244" eb="246">
      <t xml:space="preserve">シツモンｎ </t>
    </rPh>
    <rPh sb="267" eb="269">
      <t xml:space="preserve">ソクジニ </t>
    </rPh>
    <rPh sb="270" eb="272">
      <t xml:space="preserve">カイトウヲ </t>
    </rPh>
    <rPh sb="273" eb="274">
      <t xml:space="preserve">エラレル </t>
    </rPh>
    <rPh sb="278" eb="280">
      <t xml:space="preserve">カノウデアル </t>
    </rPh>
    <rPh sb="296" eb="298">
      <t xml:space="preserve">コベツニ </t>
    </rPh>
    <rPh sb="299" eb="301">
      <t xml:space="preserve">タイメンデ </t>
    </rPh>
    <rPh sb="302" eb="304">
      <t xml:space="preserve">シツモンガ </t>
    </rPh>
    <rPh sb="305" eb="307">
      <t xml:space="preserve">カノウナ </t>
    </rPh>
    <rPh sb="316" eb="321">
      <t>キンム</t>
    </rPh>
    <rPh sb="328" eb="330">
      <t xml:space="preserve">シテイノ </t>
    </rPh>
    <rPh sb="331" eb="333">
      <t xml:space="preserve">バショ </t>
    </rPh>
    <rPh sb="334" eb="336">
      <t xml:space="preserve">タイキシテ </t>
    </rPh>
    <rPh sb="343" eb="347">
      <t xml:space="preserve">シテイバショ </t>
    </rPh>
    <rPh sb="349" eb="351">
      <t xml:space="preserve">タイメンシドウヲ </t>
    </rPh>
    <rPh sb="352" eb="353">
      <t xml:space="preserve">ウケルコトガ </t>
    </rPh>
    <rPh sb="364" eb="365">
      <t xml:space="preserve">ホカキャンパス </t>
    </rPh>
    <rPh sb="373" eb="375">
      <t xml:space="preserve">シツモンニタイシテハ </t>
    </rPh>
    <rPh sb="385" eb="389">
      <t xml:space="preserve">タイメンシドウヲ </t>
    </rPh>
    <rPh sb="390" eb="392">
      <t xml:space="preserve">ヨウイシテオリ ヨヤクセイ イジョウノトオリ ガクセイジシンガ ジブンノ リカイドヤ シツモンナイヨウニ オウジテ ガクシュウシドウ シツモンヲ シクミヲ ヨウイシテイル </t>
    </rPh>
    <phoneticPr fontId="3"/>
  </si>
  <si>
    <t>様式６</t>
    <rPh sb="0" eb="2">
      <t>ヨウシキ</t>
    </rPh>
    <phoneticPr fontId="3"/>
  </si>
  <si>
    <t>学校名：</t>
    <rPh sb="0" eb="3">
      <t>ガッコウメイ</t>
    </rPh>
    <phoneticPr fontId="3"/>
  </si>
  <si>
    <t>自己点検・評価について</t>
    <rPh sb="0" eb="2">
      <t>ジコ</t>
    </rPh>
    <rPh sb="2" eb="4">
      <t>テンケン</t>
    </rPh>
    <rPh sb="5" eb="7">
      <t>ヒョウカ</t>
    </rPh>
    <phoneticPr fontId="3"/>
  </si>
  <si>
    <t>自己点検・評価体制における意見等</t>
    <rPh sb="15" eb="16">
      <t>トウ</t>
    </rPh>
    <phoneticPr fontId="3"/>
  </si>
  <si>
    <t>自己点検・評価の視点</t>
    <rPh sb="0" eb="2">
      <t>ジコ</t>
    </rPh>
    <rPh sb="2" eb="4">
      <t>テンケン</t>
    </rPh>
    <rPh sb="5" eb="7">
      <t>ヒョウカ</t>
    </rPh>
    <rPh sb="8" eb="10">
      <t>シテン</t>
    </rPh>
    <phoneticPr fontId="3"/>
  </si>
  <si>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3"/>
  </si>
  <si>
    <t>学内からの視点</t>
    <rPh sb="0" eb="2">
      <t>ガクナイ</t>
    </rPh>
    <rPh sb="5" eb="7">
      <t>シテン</t>
    </rPh>
    <phoneticPr fontId="3"/>
  </si>
  <si>
    <t>プログラムの履修・修得状況</t>
    <rPh sb="6" eb="8">
      <t>リシュウ</t>
    </rPh>
    <rPh sb="9" eb="11">
      <t>シュウトク</t>
    </rPh>
    <rPh sb="11" eb="13">
      <t>ジョウキョウ</t>
    </rPh>
    <phoneticPr fontId="3"/>
  </si>
  <si>
    <t>専門分野を問わず重要なデータ科学教育プログラムの構成は、自然科学系および人文社会学系の様々な学部の教員から構成されている前述（様式5-③）のカリキュラム委員会および管理委員会により決定され、GEC、CDS教員会にて運営される。各プログラムの履修状況・習得状況はデータ科学センターにて把握できるが、この結果は共同教員会にて教員に共有、分析された後カリキュラム委員会に報告される。またプログラム運営に関する細かい改善は共同委員会にて実施され、プログラム構成に関する比較的大きな改善はカリキュラム委員会および管理委員会での承認をもって行われる。</t>
    <rPh sb="6" eb="8">
      <t xml:space="preserve">コウセイ </t>
    </rPh>
    <rPh sb="35" eb="37">
      <t xml:space="preserve">キィオウドウ </t>
    </rPh>
    <rPh sb="37" eb="40">
      <t xml:space="preserve">キョウインカイ </t>
    </rPh>
    <rPh sb="51" eb="53">
      <t xml:space="preserve">タイオウスル </t>
    </rPh>
    <rPh sb="55" eb="58">
      <t xml:space="preserve">カクカモク </t>
    </rPh>
    <rPh sb="59" eb="61">
      <t xml:space="preserve">リシュウ </t>
    </rPh>
    <rPh sb="65" eb="71">
      <t xml:space="preserve">タンイシュトクジョウキョウヲ </t>
    </rPh>
    <rPh sb="72" eb="74">
      <t xml:space="preserve">ハアク </t>
    </rPh>
    <rPh sb="75" eb="77">
      <t xml:space="preserve">ブンセキシテイル </t>
    </rPh>
    <rPh sb="82" eb="87">
      <t xml:space="preserve">カンリイインカイ </t>
    </rPh>
    <rPh sb="171" eb="172">
      <t xml:space="preserve">ノチ </t>
    </rPh>
    <rPh sb="182" eb="184">
      <t>ホウコクサレル</t>
    </rPh>
    <rPh sb="251" eb="256">
      <t xml:space="preserve">カンリイインカイ </t>
    </rPh>
    <rPh sb="258" eb="260">
      <t xml:space="preserve">ショウニン </t>
    </rPh>
    <phoneticPr fontId="3"/>
  </si>
  <si>
    <t>学修成果</t>
    <rPh sb="0" eb="2">
      <t>ガクシュウ</t>
    </rPh>
    <rPh sb="2" eb="4">
      <t>セイカ</t>
    </rPh>
    <phoneticPr fontId="3"/>
  </si>
  <si>
    <t>管理委員会およびカリキュラム委員会にて決定されたプログラム方針に基づきGEC、CDS共同教員会において、プログラムに対応する各科目の履修状況を把握、分析している。特に毎回課している演習の進捗状況および学生からの質問内容から各科目における項目毎の学生理解度を把握、本プログラムおよび講義コンテンツ改善に活用している。共同教員会は週に一度開催されているため、短い間隔での進捗状況が可能となっており、特に学生理解度向上のための細かい改善（質問事項の共有・対応等）は授業期間内に適宜行うことが可能である。</t>
    <rPh sb="0" eb="5">
      <t xml:space="preserve">カンリイインカイ </t>
    </rPh>
    <rPh sb="8" eb="9">
      <t xml:space="preserve">シュウニｃ </t>
    </rPh>
    <rPh sb="10" eb="12">
      <t xml:space="preserve">イチド </t>
    </rPh>
    <rPh sb="14" eb="15">
      <t xml:space="preserve">フン </t>
    </rPh>
    <rPh sb="15" eb="17">
      <t xml:space="preserve">テイド </t>
    </rPh>
    <rPh sb="17" eb="19">
      <t xml:space="preserve">カイサイサレル </t>
    </rPh>
    <rPh sb="86" eb="89">
      <t xml:space="preserve">カクカモクニオケル </t>
    </rPh>
    <rPh sb="93" eb="96">
      <t xml:space="preserve">コウモクゴトノ </t>
    </rPh>
    <rPh sb="97" eb="102">
      <t xml:space="preserve">ガクセイリカイド </t>
    </rPh>
    <rPh sb="103" eb="105">
      <t xml:space="preserve">ハアクシ </t>
    </rPh>
    <rPh sb="107" eb="108">
      <t xml:space="preserve">ホンプログラムノ </t>
    </rPh>
    <rPh sb="123" eb="125">
      <t xml:space="preserve">カイゼン </t>
    </rPh>
    <rPh sb="216" eb="220">
      <t xml:space="preserve">シツモンジコウノ </t>
    </rPh>
    <rPh sb="221" eb="223">
      <t xml:space="preserve">キョウユウ </t>
    </rPh>
    <rPh sb="224" eb="226">
      <t xml:space="preserve">タイオウ </t>
    </rPh>
    <rPh sb="226" eb="227">
      <t xml:space="preserve">ナド </t>
    </rPh>
    <phoneticPr fontId="3"/>
  </si>
  <si>
    <t>学生アンケート等を通じた学生の内容の理解度</t>
    <rPh sb="0" eb="2">
      <t>ガクセイ</t>
    </rPh>
    <rPh sb="7" eb="8">
      <t>トウ</t>
    </rPh>
    <rPh sb="9" eb="10">
      <t>ツウ</t>
    </rPh>
    <rPh sb="12" eb="14">
      <t>ガクセイ</t>
    </rPh>
    <rPh sb="15" eb="17">
      <t>ナイヨウ</t>
    </rPh>
    <rPh sb="18" eb="21">
      <t>リカイド</t>
    </rPh>
    <phoneticPr fontId="3"/>
  </si>
  <si>
    <t>学生の内容の理解度に関する学生からのフィードバックは，1) 授業アンケート，2) 学生からの質問　の二つがある。
1) 授業アンケート：各科目受講者に対して実施している授業アンケートの結果は各担当教員へフィードバックされるが、この結果をGEC，CDS共同教員会において分析・共有している。
2) 学生からの質問：学生からの質問は、掲示板，チャットシステムおよびオンライン対面指導の三つがある。それぞれでどのような質問があったのかについては、すべてログとして残るようになっており、結果をGEC，CDS共同教員会にて分析・共有している。</t>
    <rPh sb="0" eb="1">
      <t xml:space="preserve">ホンプログラム </t>
    </rPh>
    <rPh sb="7" eb="10">
      <t xml:space="preserve">カクカモク </t>
    </rPh>
    <rPh sb="10" eb="13">
      <t xml:space="preserve">ジュコウシャニタイシテ </t>
    </rPh>
    <rPh sb="17" eb="19">
      <t xml:space="preserve">ジュギョウアンケートヲ </t>
    </rPh>
    <rPh sb="25" eb="27">
      <t xml:space="preserve">ジッシシテイル </t>
    </rPh>
    <rPh sb="37" eb="39">
      <t xml:space="preserve">ケッカハ </t>
    </rPh>
    <phoneticPr fontId="3"/>
  </si>
  <si>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3"/>
  </si>
  <si>
    <t>学内広報誌や学内広報ウェブページにおいて、受講者の感想意見等を掲載している。これらは学生に周知され講義受講の推奨に活用されている。またLearning Assistant（LA）の大半は本プログラム内科目の既履修生である。LAとは採用に際して一度、その後は半年に一度教員と個別の面談を行う機会を設けており、面談内で科目の内容に関しても様々な情報を確認している。その中で他の学生に勧めたいかや実際に推奨したことがあるか等も確認している。</t>
    <rPh sb="0" eb="4">
      <t xml:space="preserve">ガクナイコウホウ </t>
    </rPh>
    <rPh sb="4" eb="5">
      <t xml:space="preserve">シ </t>
    </rPh>
    <rPh sb="6" eb="10">
      <t xml:space="preserve">ガクナイコウホウ </t>
    </rPh>
    <rPh sb="21" eb="24">
      <t xml:space="preserve">ジュコウシャノ </t>
    </rPh>
    <rPh sb="25" eb="27">
      <t xml:space="preserve">カンソウ </t>
    </rPh>
    <rPh sb="27" eb="29">
      <t xml:space="preserve">イケン </t>
    </rPh>
    <rPh sb="29" eb="30">
      <t xml:space="preserve">トウ </t>
    </rPh>
    <rPh sb="31" eb="33">
      <t xml:space="preserve">ケイサイシ </t>
    </rPh>
    <rPh sb="35" eb="39">
      <t xml:space="preserve">コウギジュコウノ </t>
    </rPh>
    <rPh sb="40" eb="42">
      <t xml:space="preserve">スイショウニ </t>
    </rPh>
    <rPh sb="43" eb="45">
      <t xml:space="preserve">カツヨウシテイル </t>
    </rPh>
    <rPh sb="51" eb="53">
      <t xml:space="preserve">サンコウ </t>
    </rPh>
    <rPh sb="208" eb="209">
      <t xml:space="preserve">ナド </t>
    </rPh>
    <phoneticPr fontId="3"/>
  </si>
  <si>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3"/>
  </si>
  <si>
    <t>本教育プログラムを構成する科目「統計リテラシーα，β」については商学部で必修科目となっており、さらに社会科学部においても令和3年度より必修科目となることが決定している。
また本教育プログラムの修了者に対して、修了者個人に認定を行う本学独自の「データ科学認定制度」を令和3年度より開始している。本学「データ科学認定制度」は全ての学部学生を対象とした制度であり、全学的な履修者数および履修率の向上に向けた施策の一つである。今後本学「データ科学認定制度」の広報および教育プログラム改善を継続的に実施、全学的な履修率向上を推進する。</t>
    <rPh sb="0" eb="3">
      <t xml:space="preserve">ホンキョウイクプログラムヲ </t>
    </rPh>
    <rPh sb="9" eb="11">
      <t xml:space="preserve">コウセイスル </t>
    </rPh>
    <rPh sb="13" eb="15">
      <t xml:space="preserve">カモク </t>
    </rPh>
    <rPh sb="16" eb="18">
      <t xml:space="preserve">トウケイ </t>
    </rPh>
    <rPh sb="32" eb="35">
      <t xml:space="preserve">ショウガクブ </t>
    </rPh>
    <rPh sb="36" eb="40">
      <t xml:space="preserve">ヒッシュウカモクト </t>
    </rPh>
    <rPh sb="50" eb="55">
      <t xml:space="preserve">シャカイカガクブニオイテモ </t>
    </rPh>
    <rPh sb="60" eb="62">
      <t xml:space="preserve">レイワ </t>
    </rPh>
    <rPh sb="63" eb="65">
      <t xml:space="preserve">ネンドヨリ </t>
    </rPh>
    <rPh sb="67" eb="71">
      <t xml:space="preserve">ヒッシュウカモク </t>
    </rPh>
    <rPh sb="77" eb="79">
      <t xml:space="preserve">ケッテイシテイル </t>
    </rPh>
    <rPh sb="84" eb="85">
      <t xml:space="preserve">カクガクブ </t>
    </rPh>
    <rPh sb="87" eb="90">
      <t xml:space="preserve">カクガクブ </t>
    </rPh>
    <rPh sb="94" eb="96">
      <t xml:space="preserve">スウリ </t>
    </rPh>
    <rPh sb="105" eb="106">
      <t xml:space="preserve">ケイ </t>
    </rPh>
    <rPh sb="106" eb="108">
      <t xml:space="preserve">カモクニツイテ </t>
    </rPh>
    <rPh sb="124" eb="127">
      <t xml:space="preserve">カクガクブニオケル </t>
    </rPh>
    <rPh sb="131" eb="133">
      <t>スウリ</t>
    </rPh>
    <rPh sb="142" eb="143">
      <t xml:space="preserve">ケイ </t>
    </rPh>
    <rPh sb="247" eb="250">
      <t xml:space="preserve">ゼンガクテキナ </t>
    </rPh>
    <rPh sb="251" eb="256">
      <t xml:space="preserve">リシュウリツコウジョウヲ </t>
    </rPh>
    <rPh sb="257" eb="259">
      <t xml:space="preserve">スイシンスル </t>
    </rPh>
    <phoneticPr fontId="3"/>
  </si>
  <si>
    <t>学外からの視点</t>
    <rPh sb="0" eb="2">
      <t>ガクガイ</t>
    </rPh>
    <rPh sb="5" eb="7">
      <t>シテン</t>
    </rPh>
    <phoneticPr fontId="3"/>
  </si>
  <si>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3"/>
  </si>
  <si>
    <t>データ科学センターでは、データ科学教育プログラム修了者を優先とする教育的インターンシップを実施している。インターンシップ後は、企業からの意見も収集し、プログラム修了者の評価を把握することとしている。また実際に企業から、本プログラムを終了した学生に対する高い評価をいただいた例もある。</t>
    <phoneticPr fontId="3"/>
  </si>
  <si>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3"/>
  </si>
  <si>
    <t>データ科学センターでは、いくつかの企業とデータ科学に関する教育コンソーシアムを形成している。このコンソーシアムに参加している企業に対して教育プログラムの講義を実際に視聴していただき、その内容についてのアンケートを実施し意見を収集している。ここで得られた意見はグローバルエデュケーションセンター、データ科学センター共同教員会にて共有され、産業界からの意見として講義内容改善に活用されている。実際に過去実施したアンケートにて「社会での活用例を充実させた方が良い」との意見があり、講義内容にこれを反映した経緯もある。</t>
    <rPh sb="79" eb="81">
      <t xml:space="preserve">ジッサイニ </t>
    </rPh>
    <rPh sb="82" eb="84">
      <t xml:space="preserve">シチョウシテ </t>
    </rPh>
    <phoneticPr fontId="3"/>
  </si>
  <si>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3"/>
  </si>
  <si>
    <t>統計リテラシーαおよびデータ科学入門αのいずれの講義の導入部でもデータサイエンスの社会における実例を紹介し、データサイエンスへの興味・関心を醸成することとしている。さらに、自然科学、人文社会科学など様々な分野における最先端の研究でのデータサイエンス適用事例を紹介する際に、特に総合大学の強みを活かし本学所属教員の研究成果を積極的に紹介することで、学生の学びの意識をさらに高めるよう工夫している。取り上げる内容については、Learning Assitantとの面談や学生アンケートを活用し、改善を試みている。</t>
    <rPh sb="17" eb="21">
      <t xml:space="preserve">ドウニュウブブント </t>
    </rPh>
    <rPh sb="22" eb="24">
      <t xml:space="preserve">ドウヨウノ </t>
    </rPh>
    <rPh sb="25" eb="27">
      <t xml:space="preserve">ナイヨウヲ </t>
    </rPh>
    <rPh sb="28" eb="29">
      <t xml:space="preserve">モチイテ </t>
    </rPh>
    <rPh sb="38" eb="40">
      <t xml:space="preserve">シャカイニオケル </t>
    </rPh>
    <rPh sb="44" eb="46">
      <t xml:space="preserve">ジツレイヲ </t>
    </rPh>
    <rPh sb="47" eb="49">
      <t xml:space="preserve">ショウカイスル </t>
    </rPh>
    <rPh sb="56" eb="59">
      <t xml:space="preserve">サイセンタンオ </t>
    </rPh>
    <rPh sb="60" eb="62">
      <t xml:space="preserve">ケンキュウニ </t>
    </rPh>
    <rPh sb="73" eb="75">
      <t xml:space="preserve">ユウヨウデアルコトヲ </t>
    </rPh>
    <rPh sb="81" eb="83">
      <t xml:space="preserve">ショウカイシテイル </t>
    </rPh>
    <rPh sb="88" eb="89">
      <t xml:space="preserve">トクニ </t>
    </rPh>
    <rPh sb="91" eb="92">
      <t xml:space="preserve">サマザマナ </t>
    </rPh>
    <rPh sb="94" eb="96">
      <t xml:space="preserve">ガクモンブンヤヲ </t>
    </rPh>
    <rPh sb="96" eb="98">
      <t xml:space="preserve">リョウイキヲ </t>
    </rPh>
    <rPh sb="99" eb="100">
      <t xml:space="preserve">モツ </t>
    </rPh>
    <rPh sb="101" eb="105">
      <t xml:space="preserve">ソウゴウダイガク </t>
    </rPh>
    <rPh sb="108" eb="109">
      <t xml:space="preserve">ツヨミヲ </t>
    </rPh>
    <rPh sb="111" eb="112">
      <t xml:space="preserve">イカシ </t>
    </rPh>
    <rPh sb="115" eb="117">
      <t xml:space="preserve">ホンガクノ </t>
    </rPh>
    <rPh sb="118" eb="120">
      <t xml:space="preserve">センセイ </t>
    </rPh>
    <rPh sb="120" eb="121">
      <t xml:space="preserve">ガタヲ </t>
    </rPh>
    <rPh sb="122" eb="126">
      <t xml:space="preserve">ケンキュウセイカヲ </t>
    </rPh>
    <rPh sb="127" eb="128">
      <t xml:space="preserve">クワシク </t>
    </rPh>
    <rPh sb="130" eb="132">
      <t xml:space="preserve">セツメイシテイル </t>
    </rPh>
    <phoneticPr fontId="3"/>
  </si>
  <si>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3"/>
  </si>
  <si>
    <t>上で述べているように定期的に実施している学生アンケートやコンソーシアム参加企業からの意見を講義内容・資料の改善に役立てている。
これ以外には、学生からの質問に対応をしているLearning Assitant（LA）と教員が半年に一度面談を行い、学生からの質問内容や意見についての情報を収集している。またLAが業務時間内にオンデマンド講義動画および資料を確認し、改善点を報告する仕組みもある。これら学生やLAから収集した情報は学生アンケートや企業からの意見と合わせてグローバルエデュケーションセンター、データ科学センター共同教員会にて共有、教育プログラム改善に活用されている。</t>
    <phoneticPr fontId="3"/>
  </si>
  <si>
    <t>※公表している場合のアドレス</t>
    <rPh sb="1" eb="3">
      <t>コウヒョウ</t>
    </rPh>
    <rPh sb="7" eb="9">
      <t>バアイ</t>
    </rPh>
    <phoneticPr fontId="3"/>
  </si>
  <si>
    <t>自己点検・評価体制における意見等の公表の有無</t>
    <rPh sb="17" eb="19">
      <t>コウヒョウ</t>
    </rPh>
    <rPh sb="20" eb="22">
      <t>ウム</t>
    </rPh>
    <phoneticPr fontId="3"/>
  </si>
  <si>
    <t>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</si>
</sst>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8">
    <font>
      <sz val="11"/>
      <color theme="1"/>
      <name val="ＭＳ Ｐゴシック"/>
      <family val="2"/>
      <charset val="128"/>
      <scheme val="minor"/>
    </font>
    <font>
      <sz val="12"/>
      <color theme="1"/>
      <name val="ＭＳ Ｐゴシック"/>
      <family val="2"/>
      <charset val="128"/>
      <scheme val="minor"/>
    </font>
    <font>
      <sz val="12"/>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0"/>
      <color theme="1"/>
      <name val="ＭＳ Ｐゴシック"/>
      <family val="3"/>
      <charset val="128"/>
      <scheme val="minor"/>
    </font>
    <font>
      <sz val="12"/>
      <name val="ＭＳ Ｐゴシック"/>
      <family val="3"/>
      <charset val="128"/>
      <scheme val="minor"/>
    </font>
    <font>
      <sz val="12"/>
      <name val="ＭＳ Ｐゴシック"/>
      <family val="2"/>
      <charset val="128"/>
      <scheme val="minor"/>
    </font>
    <font>
      <sz val="7"/>
      <color theme="1"/>
      <name val="ＭＳ Ｐゴシック"/>
      <family val="3"/>
      <charset val="128"/>
      <scheme val="minor"/>
    </font>
    <font>
      <sz val="12"/>
      <color rgb="FFFF0000"/>
      <name val="ＭＳ Ｐゴシック"/>
      <family val="2"/>
      <charset val="128"/>
      <scheme val="minor"/>
    </font>
    <font>
      <sz val="12"/>
      <color rgb="FFFF0000"/>
      <name val="ＭＳ Ｐゴシック"/>
      <family val="3"/>
      <charset val="128"/>
      <scheme val="minor"/>
    </font>
    <font>
      <sz val="9"/>
      <color rgb="FFFF0000"/>
      <name val="ＭＳ Ｐゴシック"/>
      <family val="3"/>
      <charset val="128"/>
      <scheme val="minor"/>
    </font>
    <font>
      <sz val="11"/>
      <name val="ＭＳ Ｐゴシック"/>
      <family val="2"/>
      <charset val="128"/>
      <scheme val="minor"/>
    </font>
    <font>
      <sz val="11"/>
      <color theme="1"/>
      <name val="ＭＳ Ｐゴシック"/>
      <family val="3"/>
      <charset val="128"/>
      <scheme val="minor"/>
    </font>
    <font>
      <sz val="12"/>
      <color theme="1"/>
      <name val="ＭＳ Ｐゴシック (本文)"/>
      <family val="3"/>
      <charset val="128"/>
    </font>
    <font>
      <sz val="12"/>
      <color theme="1"/>
      <name val="ＭＳ Ｐゴシック"/>
      <family val="3"/>
      <charset val="128"/>
    </font>
    <font>
      <b/>
      <u/>
      <sz val="12"/>
      <color theme="1"/>
      <name val="ＭＳ Ｐゴシック"/>
      <family val="3"/>
      <charset val="128"/>
    </font>
    <font>
      <sz val="12"/>
      <color theme="1"/>
      <name val="ＭＳ Ｐゴシック"/>
      <family val="2"/>
      <charset val="128"/>
    </font>
    <font>
      <sz val="10"/>
      <name val="ＭＳ Ｐゴシック"/>
      <family val="3"/>
      <charset val="128"/>
      <scheme val="minor"/>
    </font>
    <font>
      <u/>
      <sz val="11"/>
      <name val="ＭＳ Ｐゴシック"/>
      <family val="3"/>
      <charset val="128"/>
      <scheme val="minor"/>
    </font>
    <font>
      <sz val="12"/>
      <color rgb="FF0070C0"/>
      <name val="ＭＳ Ｐゴシック"/>
      <family val="3"/>
      <charset val="128"/>
      <scheme val="minor"/>
    </font>
    <font>
      <u/>
      <sz val="11"/>
      <color rgb="FF0070C0"/>
      <name val="ＭＳ Ｐゴシック"/>
      <family val="3"/>
      <charset val="128"/>
      <scheme val="minor"/>
    </font>
    <font>
      <sz val="9"/>
      <color rgb="FF0070C0"/>
      <name val="ＭＳ Ｐゴシック"/>
      <family val="3"/>
      <charset val="128"/>
      <scheme val="minor"/>
    </font>
  </fonts>
  <fills count="3">
    <fill>
      <patternFill patternType="none"/>
    </fill>
    <fill>
      <patternFill patternType="gray125"/>
    </fill>
    <fill>
      <patternFill patternType="solid">
        <fgColor theme="0"/>
        <bgColor indexed="64"/>
      </patternFill>
    </fill>
  </fills>
  <borders count="4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style="thin">
        <color auto="1"/>
      </right>
      <top/>
      <bottom/>
      <diagonal/>
    </border>
  </borders>
  <cellStyleXfs count="3">
    <xf numFmtId="0" fontId="0" fillId="0" borderId="0">
      <alignment vertical="center"/>
    </xf>
    <xf numFmtId="38" fontId="8" fillId="0" borderId="0" applyFont="0" applyFill="0" applyBorder="0" applyAlignment="0" applyProtection="0">
      <alignment vertical="center"/>
    </xf>
    <xf numFmtId="0" fontId="9" fillId="0" borderId="0" applyNumberFormat="0" applyFill="0" applyBorder="0" applyAlignment="0" applyProtection="0">
      <alignment vertical="center"/>
    </xf>
  </cellStyleXfs>
  <cellXfs count="251">
    <xf numFmtId="0" fontId="0" fillId="0" borderId="0" xfId="0">
      <alignment vertical="center"/>
    </xf>
    <xf numFmtId="0" fontId="4" fillId="0" borderId="0" xfId="0" applyFont="1">
      <alignment vertical="center"/>
    </xf>
    <xf numFmtId="0" fontId="6" fillId="0" borderId="0" xfId="0" applyFont="1">
      <alignment vertical="center"/>
    </xf>
    <xf numFmtId="0" fontId="6" fillId="0" borderId="0" xfId="0" applyFont="1" applyBorder="1" applyAlignment="1">
      <alignment vertical="center" wrapText="1"/>
    </xf>
    <xf numFmtId="0" fontId="5" fillId="0" borderId="0" xfId="0" applyFont="1" applyAlignment="1">
      <alignment vertical="center"/>
    </xf>
    <xf numFmtId="0" fontId="6" fillId="0" borderId="0" xfId="0" applyFont="1" applyBorder="1" applyAlignment="1">
      <alignment vertical="top" wrapText="1"/>
    </xf>
    <xf numFmtId="0" fontId="5" fillId="0" borderId="0" xfId="0" applyFont="1" applyBorder="1" applyAlignment="1">
      <alignment vertical="top" wrapText="1"/>
    </xf>
    <xf numFmtId="0" fontId="5" fillId="0" borderId="0" xfId="0" applyFont="1">
      <alignment vertical="center"/>
    </xf>
    <xf numFmtId="0" fontId="5" fillId="0" borderId="0" xfId="0" applyFont="1" applyBorder="1" applyAlignment="1">
      <alignment vertical="center" wrapText="1"/>
    </xf>
    <xf numFmtId="0" fontId="6" fillId="0" borderId="0" xfId="0" applyFont="1" applyBorder="1" applyAlignment="1">
      <alignment vertical="top" shrinkToFit="1"/>
    </xf>
    <xf numFmtId="0" fontId="7" fillId="0" borderId="10" xfId="0" applyFont="1" applyBorder="1" applyAlignment="1">
      <alignment vertical="top" wrapText="1"/>
    </xf>
    <xf numFmtId="0" fontId="6" fillId="0" borderId="5" xfId="0" applyFont="1" applyBorder="1" applyAlignment="1">
      <alignment vertical="top" wrapText="1"/>
    </xf>
    <xf numFmtId="0" fontId="6" fillId="0" borderId="10" xfId="0" applyFont="1" applyBorder="1" applyAlignment="1">
      <alignment vertical="top" wrapText="1"/>
    </xf>
    <xf numFmtId="0" fontId="6" fillId="0" borderId="19" xfId="0" applyFont="1" applyBorder="1" applyAlignment="1">
      <alignment vertical="top" wrapText="1"/>
    </xf>
    <xf numFmtId="176" fontId="11" fillId="0" borderId="3" xfId="0" applyNumberFormat="1" applyFont="1" applyBorder="1" applyAlignment="1">
      <alignment vertical="center" shrinkToFit="1"/>
    </xf>
    <xf numFmtId="0" fontId="12" fillId="0" borderId="0" xfId="0" applyFont="1">
      <alignment vertical="center"/>
    </xf>
    <xf numFmtId="0" fontId="11" fillId="0" borderId="0" xfId="0" applyFont="1">
      <alignment vertical="center"/>
    </xf>
    <xf numFmtId="0" fontId="11" fillId="0" borderId="0" xfId="0" applyFont="1" applyAlignment="1">
      <alignment vertical="center"/>
    </xf>
    <xf numFmtId="0" fontId="11" fillId="0" borderId="0" xfId="0" applyFont="1" applyAlignment="1">
      <alignment horizontal="left" vertical="center"/>
    </xf>
    <xf numFmtId="0" fontId="11" fillId="0" borderId="5" xfId="0" applyFont="1" applyBorder="1">
      <alignment vertical="center"/>
    </xf>
    <xf numFmtId="176" fontId="11" fillId="0" borderId="0" xfId="0" applyNumberFormat="1" applyFont="1" applyAlignment="1">
      <alignment vertical="center" wrapText="1"/>
    </xf>
    <xf numFmtId="176" fontId="11" fillId="0" borderId="0" xfId="0" applyNumberFormat="1" applyFont="1" applyAlignment="1">
      <alignment horizontal="left" vertical="center" wrapText="1"/>
    </xf>
    <xf numFmtId="0" fontId="11" fillId="0" borderId="6" xfId="0" applyFont="1" applyBorder="1" applyAlignment="1">
      <alignment vertical="center" shrinkToFit="1"/>
    </xf>
    <xf numFmtId="0" fontId="11" fillId="0" borderId="1" xfId="0" applyFont="1" applyBorder="1">
      <alignment vertical="center"/>
    </xf>
    <xf numFmtId="0" fontId="11" fillId="0" borderId="2" xfId="0" applyFont="1" applyBorder="1">
      <alignment vertical="center"/>
    </xf>
    <xf numFmtId="0" fontId="11" fillId="0" borderId="4" xfId="0" applyFont="1" applyBorder="1">
      <alignment vertical="center"/>
    </xf>
    <xf numFmtId="0" fontId="13" fillId="0" borderId="11" xfId="0" applyFont="1" applyBorder="1" applyAlignment="1">
      <alignment horizontal="center" vertical="center"/>
    </xf>
    <xf numFmtId="0" fontId="13" fillId="0" borderId="12" xfId="0" applyFont="1" applyBorder="1" applyAlignment="1">
      <alignment horizontal="center" vertical="center" wrapText="1"/>
    </xf>
    <xf numFmtId="0" fontId="13" fillId="0" borderId="30" xfId="0" applyFont="1" applyBorder="1" applyAlignment="1">
      <alignment horizontal="center" vertical="center" wrapText="1"/>
    </xf>
    <xf numFmtId="0" fontId="13" fillId="0" borderId="31" xfId="0" applyFont="1" applyBorder="1" applyAlignment="1">
      <alignment horizontal="center" vertical="center"/>
    </xf>
    <xf numFmtId="0" fontId="6" fillId="0" borderId="21" xfId="0" applyFont="1" applyBorder="1" applyAlignment="1">
      <alignment vertical="top" wrapText="1"/>
    </xf>
    <xf numFmtId="0" fontId="5" fillId="0" borderId="0" xfId="0" applyFont="1" applyAlignment="1">
      <alignment vertical="center" wrapText="1"/>
    </xf>
    <xf numFmtId="0" fontId="11" fillId="0" borderId="0" xfId="0" applyFont="1" applyBorder="1" applyAlignment="1">
      <alignment horizontal="center" vertical="center"/>
    </xf>
    <xf numFmtId="0" fontId="12" fillId="0" borderId="0" xfId="0" applyFont="1" applyAlignment="1">
      <alignment horizontal="right" vertical="center"/>
    </xf>
    <xf numFmtId="0" fontId="11" fillId="0" borderId="1" xfId="0" applyFont="1" applyBorder="1" applyAlignment="1">
      <alignment vertical="center" shrinkToFit="1"/>
    </xf>
    <xf numFmtId="0" fontId="14" fillId="0" borderId="0" xfId="0" applyFont="1">
      <alignment vertical="center"/>
    </xf>
    <xf numFmtId="0" fontId="16" fillId="0" borderId="21" xfId="0" applyFont="1" applyBorder="1" applyAlignment="1">
      <alignment vertical="top" shrinkToFit="1"/>
    </xf>
    <xf numFmtId="0" fontId="16" fillId="0" borderId="19" xfId="0" applyFont="1" applyBorder="1" applyAlignment="1">
      <alignment vertical="top" shrinkToFit="1"/>
    </xf>
    <xf numFmtId="0" fontId="16" fillId="0" borderId="10" xfId="0" applyFont="1" applyBorder="1" applyAlignment="1">
      <alignment vertical="center" shrinkToFit="1"/>
    </xf>
    <xf numFmtId="0" fontId="17" fillId="0" borderId="0" xfId="2" applyNumberFormat="1" applyFont="1" applyBorder="1" applyAlignment="1">
      <alignment vertical="center" shrinkToFit="1"/>
    </xf>
    <xf numFmtId="0" fontId="5" fillId="0" borderId="0" xfId="0" applyFont="1" applyAlignment="1">
      <alignment vertical="center" shrinkToFit="1"/>
    </xf>
    <xf numFmtId="0" fontId="18" fillId="0" borderId="0" xfId="0" applyFont="1">
      <alignment vertical="center"/>
    </xf>
    <xf numFmtId="176" fontId="5" fillId="0" borderId="5" xfId="0" applyNumberFormat="1" applyFont="1" applyBorder="1" applyAlignment="1">
      <alignment vertical="center" shrinkToFit="1"/>
    </xf>
    <xf numFmtId="176" fontId="5" fillId="0" borderId="32" xfId="0" applyNumberFormat="1" applyFont="1" applyBorder="1" applyAlignment="1">
      <alignment vertical="center" shrinkToFit="1"/>
    </xf>
    <xf numFmtId="176" fontId="5" fillId="0" borderId="33" xfId="0" applyNumberFormat="1" applyFont="1" applyBorder="1" applyAlignment="1">
      <alignment vertical="center" shrinkToFit="1"/>
    </xf>
    <xf numFmtId="176" fontId="5" fillId="0" borderId="10" xfId="0" applyNumberFormat="1" applyFont="1" applyBorder="1" applyAlignment="1">
      <alignment vertical="center" shrinkToFit="1"/>
    </xf>
    <xf numFmtId="176" fontId="5" fillId="0" borderId="14" xfId="0" applyNumberFormat="1" applyFont="1" applyBorder="1" applyAlignment="1">
      <alignment vertical="center" shrinkToFit="1"/>
    </xf>
    <xf numFmtId="9" fontId="5" fillId="0" borderId="10" xfId="0" applyNumberFormat="1" applyFont="1" applyBorder="1" applyAlignment="1">
      <alignment vertical="center" shrinkToFit="1"/>
    </xf>
    <xf numFmtId="176" fontId="5" fillId="0" borderId="20" xfId="0" applyNumberFormat="1" applyFont="1" applyBorder="1" applyAlignment="1">
      <alignment vertical="center" shrinkToFit="1"/>
    </xf>
    <xf numFmtId="176" fontId="5" fillId="0" borderId="34" xfId="0" applyNumberFormat="1" applyFont="1" applyBorder="1" applyAlignment="1">
      <alignment vertical="center" shrinkToFit="1"/>
    </xf>
    <xf numFmtId="176" fontId="5" fillId="0" borderId="35" xfId="0" applyNumberFormat="1" applyFont="1" applyBorder="1" applyAlignment="1">
      <alignment vertical="center" shrinkToFit="1"/>
    </xf>
    <xf numFmtId="176" fontId="5" fillId="0" borderId="19" xfId="0" applyNumberFormat="1" applyFont="1" applyBorder="1" applyAlignment="1">
      <alignment vertical="center" shrinkToFit="1"/>
    </xf>
    <xf numFmtId="176" fontId="5" fillId="0" borderId="25" xfId="0" applyNumberFormat="1" applyFont="1" applyBorder="1" applyAlignment="1">
      <alignment vertical="center" shrinkToFit="1"/>
    </xf>
    <xf numFmtId="176" fontId="5" fillId="0" borderId="26" xfId="0" applyNumberFormat="1" applyFont="1" applyBorder="1" applyAlignment="1">
      <alignment vertical="center" shrinkToFit="1"/>
    </xf>
    <xf numFmtId="176" fontId="5" fillId="0" borderId="36" xfId="0" applyNumberFormat="1" applyFont="1" applyBorder="1" applyAlignment="1">
      <alignment vertical="center" shrinkToFit="1"/>
    </xf>
    <xf numFmtId="176" fontId="5" fillId="0" borderId="37" xfId="0" applyNumberFormat="1" applyFont="1" applyBorder="1" applyAlignment="1">
      <alignment vertical="center" shrinkToFit="1"/>
    </xf>
    <xf numFmtId="176" fontId="5" fillId="0" borderId="28" xfId="0" applyNumberFormat="1" applyFont="1" applyBorder="1" applyAlignment="1">
      <alignment vertical="center" shrinkToFit="1"/>
    </xf>
    <xf numFmtId="176" fontId="5" fillId="0" borderId="29" xfId="0" applyNumberFormat="1" applyFont="1" applyBorder="1" applyAlignment="1">
      <alignment vertical="center" shrinkToFit="1"/>
    </xf>
    <xf numFmtId="9" fontId="5" fillId="0" borderId="28" xfId="0" applyNumberFormat="1" applyFont="1" applyBorder="1" applyAlignment="1">
      <alignment vertical="center" shrinkToFit="1"/>
    </xf>
    <xf numFmtId="0" fontId="19" fillId="0" borderId="2" xfId="0" applyFont="1" applyBorder="1" applyAlignment="1">
      <alignment horizontal="center" vertical="center" shrinkToFit="1"/>
    </xf>
    <xf numFmtId="0" fontId="11" fillId="0" borderId="10" xfId="0" applyFont="1" applyBorder="1">
      <alignment vertical="center"/>
    </xf>
    <xf numFmtId="176" fontId="11" fillId="0" borderId="5" xfId="0" applyNumberFormat="1" applyFont="1" applyBorder="1">
      <alignment vertical="center"/>
    </xf>
    <xf numFmtId="176" fontId="11" fillId="0" borderId="0" xfId="0" applyNumberFormat="1" applyFont="1">
      <alignment vertical="center"/>
    </xf>
    <xf numFmtId="0" fontId="2" fillId="0" borderId="0" xfId="0" applyFont="1">
      <alignment vertical="center"/>
    </xf>
    <xf numFmtId="176" fontId="5" fillId="2" borderId="5" xfId="0" applyNumberFormat="1" applyFont="1" applyFill="1" applyBorder="1" applyAlignment="1">
      <alignment vertical="center" shrinkToFit="1"/>
    </xf>
    <xf numFmtId="176" fontId="5" fillId="2" borderId="20" xfId="0" applyNumberFormat="1" applyFont="1" applyFill="1" applyBorder="1" applyAlignment="1">
      <alignment vertical="center" shrinkToFit="1"/>
    </xf>
    <xf numFmtId="176" fontId="7" fillId="0" borderId="0" xfId="0" applyNumberFormat="1" applyFont="1" applyAlignment="1">
      <alignment vertical="center" shrinkToFit="1"/>
    </xf>
    <xf numFmtId="0" fontId="11" fillId="0" borderId="10" xfId="0" applyFont="1" applyBorder="1" applyAlignment="1">
      <alignment vertical="center" shrinkToFit="1"/>
    </xf>
    <xf numFmtId="0" fontId="11" fillId="0" borderId="0" xfId="0" applyFont="1" applyAlignment="1">
      <alignment horizontal="center" vertical="center"/>
    </xf>
    <xf numFmtId="0" fontId="11" fillId="0" borderId="0" xfId="0" applyFont="1" applyAlignment="1">
      <alignment vertical="center" shrinkToFit="1"/>
    </xf>
    <xf numFmtId="0" fontId="11" fillId="0" borderId="0" xfId="0" applyFont="1" applyAlignment="1">
      <alignment horizontal="right" vertical="center"/>
    </xf>
    <xf numFmtId="0" fontId="11" fillId="0" borderId="0" xfId="0" applyFont="1" applyAlignment="1">
      <alignment horizontal="center" vertical="center" shrinkToFit="1"/>
    </xf>
    <xf numFmtId="0" fontId="5" fillId="0" borderId="0" xfId="0" applyFont="1" applyAlignment="1">
      <alignment horizontal="center" vertical="center"/>
    </xf>
    <xf numFmtId="0" fontId="15" fillId="0" borderId="2" xfId="0" applyFont="1" applyBorder="1" applyAlignment="1">
      <alignment horizontal="center" vertical="center" shrinkToFit="1"/>
    </xf>
    <xf numFmtId="0" fontId="6" fillId="0" borderId="0" xfId="0" applyFont="1" applyAlignment="1">
      <alignment vertical="top" wrapText="1"/>
    </xf>
    <xf numFmtId="0" fontId="7" fillId="0" borderId="0" xfId="0" applyFont="1" applyAlignment="1">
      <alignment vertical="top" wrapText="1"/>
    </xf>
    <xf numFmtId="0" fontId="1" fillId="0" borderId="0" xfId="0" applyFont="1">
      <alignment vertical="center"/>
    </xf>
    <xf numFmtId="0" fontId="1" fillId="0" borderId="1" xfId="0" applyFont="1" applyBorder="1" applyAlignment="1">
      <alignment vertical="center" wrapText="1"/>
    </xf>
    <xf numFmtId="0" fontId="1" fillId="0" borderId="2" xfId="0" applyFont="1" applyBorder="1" applyAlignment="1">
      <alignment vertical="center" shrinkToFit="1"/>
    </xf>
    <xf numFmtId="0" fontId="1" fillId="0" borderId="11" xfId="0" applyFont="1" applyBorder="1" applyAlignment="1">
      <alignment horizontal="center" vertical="center"/>
    </xf>
    <xf numFmtId="0" fontId="1" fillId="0" borderId="2" xfId="0" applyFont="1" applyBorder="1" applyAlignment="1">
      <alignment horizontal="center" vertical="center" shrinkToFit="1"/>
    </xf>
    <xf numFmtId="0" fontId="1" fillId="0" borderId="0" xfId="0"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right" vertical="center"/>
    </xf>
    <xf numFmtId="0" fontId="1" fillId="0" borderId="0" xfId="0" applyFont="1" applyAlignment="1">
      <alignment vertical="top" wrapText="1"/>
    </xf>
    <xf numFmtId="0" fontId="12" fillId="0" borderId="1" xfId="0" applyFont="1" applyBorder="1" applyAlignment="1">
      <alignment vertical="center" wrapText="1"/>
    </xf>
    <xf numFmtId="0" fontId="16" fillId="0" borderId="0" xfId="0" applyFont="1" applyAlignment="1">
      <alignment vertical="center" shrinkToFit="1"/>
    </xf>
    <xf numFmtId="0" fontId="1" fillId="0" borderId="17" xfId="0" applyFont="1" applyBorder="1">
      <alignment vertical="center"/>
    </xf>
    <xf numFmtId="0" fontId="1" fillId="0" borderId="5" xfId="0" applyFont="1" applyBorder="1">
      <alignment vertical="center"/>
    </xf>
    <xf numFmtId="49" fontId="24" fillId="0" borderId="2" xfId="2" applyNumberFormat="1" applyFont="1" applyBorder="1" applyAlignment="1">
      <alignment vertical="center" shrinkToFit="1"/>
    </xf>
    <xf numFmtId="49" fontId="11" fillId="0" borderId="3" xfId="0" applyNumberFormat="1" applyFont="1" applyBorder="1" applyAlignment="1">
      <alignment vertical="center" shrinkToFit="1"/>
    </xf>
    <xf numFmtId="49" fontId="11" fillId="0" borderId="4" xfId="0" applyNumberFormat="1" applyFont="1" applyBorder="1" applyAlignment="1">
      <alignment vertical="center" shrinkToFit="1"/>
    </xf>
    <xf numFmtId="49" fontId="11" fillId="0" borderId="2" xfId="1" applyNumberFormat="1" applyFont="1" applyBorder="1" applyAlignment="1">
      <alignment horizontal="center" vertical="center" shrinkToFit="1"/>
    </xf>
    <xf numFmtId="49" fontId="11" fillId="0" borderId="3" xfId="1" applyNumberFormat="1" applyFont="1" applyBorder="1" applyAlignment="1">
      <alignment horizontal="center" vertical="center" shrinkToFit="1"/>
    </xf>
    <xf numFmtId="49" fontId="11" fillId="0" borderId="4" xfId="1" applyNumberFormat="1" applyFont="1" applyBorder="1" applyAlignment="1">
      <alignment horizontal="center" vertical="center" shrinkToFit="1"/>
    </xf>
    <xf numFmtId="0" fontId="23" fillId="0" borderId="2" xfId="0" applyFont="1" applyBorder="1" applyAlignment="1">
      <alignment horizontal="center" vertical="center" shrinkToFit="1"/>
    </xf>
    <xf numFmtId="0" fontId="23" fillId="0" borderId="3" xfId="0" applyFont="1" applyBorder="1" applyAlignment="1">
      <alignment horizontal="center" vertical="center" shrinkToFit="1"/>
    </xf>
    <xf numFmtId="0" fontId="23" fillId="0" borderId="4" xfId="0" applyFont="1" applyBorder="1" applyAlignment="1">
      <alignment horizontal="center" vertical="center" shrinkToFit="1"/>
    </xf>
    <xf numFmtId="0" fontId="11" fillId="0" borderId="0" xfId="0" applyFont="1" applyAlignment="1">
      <alignment horizontal="right" vertical="center" shrinkToFit="1"/>
    </xf>
    <xf numFmtId="0" fontId="11" fillId="0" borderId="2" xfId="0" applyFont="1" applyBorder="1" applyAlignment="1">
      <alignment horizontal="center" vertical="center" shrinkToFit="1"/>
    </xf>
    <xf numFmtId="0" fontId="11" fillId="0" borderId="3" xfId="0" applyFont="1" applyBorder="1" applyAlignment="1">
      <alignment horizontal="center" vertical="center" shrinkToFit="1"/>
    </xf>
    <xf numFmtId="0" fontId="11" fillId="0" borderId="5" xfId="0" applyFont="1" applyBorder="1" applyAlignment="1">
      <alignment horizontal="right" vertical="center" shrinkToFit="1"/>
    </xf>
    <xf numFmtId="0" fontId="11" fillId="0" borderId="10" xfId="0" applyFont="1" applyBorder="1" applyAlignment="1">
      <alignment horizontal="right" vertical="center" shrinkToFit="1"/>
    </xf>
    <xf numFmtId="0" fontId="11" fillId="0" borderId="4" xfId="0" applyFont="1" applyBorder="1" applyAlignment="1">
      <alignment horizontal="center" vertical="center" shrinkToFit="1"/>
    </xf>
    <xf numFmtId="0" fontId="11" fillId="0" borderId="2" xfId="0" applyFont="1" applyBorder="1" applyAlignment="1">
      <alignment vertical="center" shrinkToFit="1"/>
    </xf>
    <xf numFmtId="0" fontId="11" fillId="0" borderId="3" xfId="0" applyFont="1" applyBorder="1" applyAlignment="1">
      <alignment vertical="center" shrinkToFit="1"/>
    </xf>
    <xf numFmtId="176" fontId="11" fillId="0" borderId="2" xfId="0" applyNumberFormat="1" applyFont="1" applyBorder="1" applyAlignment="1">
      <alignment horizontal="center" vertical="center" shrinkToFit="1"/>
    </xf>
    <xf numFmtId="176" fontId="11" fillId="0" borderId="4" xfId="0" applyNumberFormat="1" applyFont="1" applyBorder="1" applyAlignment="1">
      <alignment horizontal="center" vertical="center" shrinkToFit="1"/>
    </xf>
    <xf numFmtId="0" fontId="11" fillId="0" borderId="0" xfId="0" applyFont="1" applyAlignment="1">
      <alignment horizontal="center"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1" fillId="0" borderId="0" xfId="0" applyFont="1" applyAlignment="1">
      <alignment vertical="center" shrinkToFit="1"/>
    </xf>
    <xf numFmtId="3" fontId="11" fillId="0" borderId="2" xfId="0" applyNumberFormat="1" applyFont="1" applyBorder="1" applyAlignment="1">
      <alignment horizontal="center" vertical="center"/>
    </xf>
    <xf numFmtId="0" fontId="11" fillId="0" borderId="4" xfId="0" applyFont="1" applyBorder="1" applyAlignment="1">
      <alignment vertical="center" shrinkToFit="1"/>
    </xf>
    <xf numFmtId="0" fontId="11" fillId="0" borderId="0" xfId="0" applyFont="1" applyAlignment="1">
      <alignment horizontal="right" vertical="center"/>
    </xf>
    <xf numFmtId="0" fontId="11" fillId="0" borderId="10" xfId="0" applyFont="1" applyBorder="1" applyAlignment="1">
      <alignment horizontal="right" vertical="center"/>
    </xf>
    <xf numFmtId="176" fontId="11" fillId="0" borderId="3" xfId="0" applyNumberFormat="1" applyFont="1" applyBorder="1" applyAlignment="1">
      <alignment horizontal="center" vertical="center" shrinkToFit="1"/>
    </xf>
    <xf numFmtId="0" fontId="11" fillId="0" borderId="0" xfId="0" applyFont="1" applyAlignment="1">
      <alignment horizontal="center" vertical="center" shrinkToFit="1"/>
    </xf>
    <xf numFmtId="0" fontId="5" fillId="0" borderId="2" xfId="0" applyFont="1" applyBorder="1" applyAlignment="1">
      <alignment vertical="center" shrinkToFit="1"/>
    </xf>
    <xf numFmtId="0" fontId="11" fillId="0" borderId="1" xfId="0" applyFont="1" applyBorder="1" applyAlignment="1">
      <alignment horizontal="center" vertical="center"/>
    </xf>
    <xf numFmtId="0" fontId="11" fillId="0" borderId="1" xfId="0" applyFont="1" applyBorder="1" applyAlignment="1">
      <alignment horizontal="center" vertical="center" shrinkToFit="1"/>
    </xf>
    <xf numFmtId="0" fontId="5" fillId="0" borderId="20" xfId="0" applyFont="1" applyBorder="1" applyAlignment="1">
      <alignment vertical="center" shrinkToFit="1"/>
    </xf>
    <xf numFmtId="0" fontId="5" fillId="0" borderId="19" xfId="0" applyFont="1" applyBorder="1" applyAlignment="1">
      <alignment vertical="center" shrinkToFit="1"/>
    </xf>
    <xf numFmtId="0" fontId="5" fillId="0" borderId="0" xfId="0" applyFont="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11" xfId="0" applyFont="1" applyBorder="1" applyAlignment="1">
      <alignment horizontal="center" vertical="center"/>
    </xf>
    <xf numFmtId="0" fontId="5" fillId="0" borderId="6" xfId="0" applyFont="1" applyBorder="1" applyAlignment="1">
      <alignment horizontal="center" vertical="center"/>
    </xf>
    <xf numFmtId="0" fontId="10" fillId="0" borderId="7" xfId="0" applyFont="1" applyBorder="1" applyAlignment="1">
      <alignment horizontal="center" vertical="center" wrapText="1"/>
    </xf>
    <xf numFmtId="0" fontId="10" fillId="0" borderId="11" xfId="0" applyFont="1" applyBorder="1" applyAlignment="1">
      <alignment horizontal="center" vertical="center"/>
    </xf>
    <xf numFmtId="0" fontId="5" fillId="0" borderId="14" xfId="0" applyFont="1" applyBorder="1" applyAlignment="1">
      <alignment horizontal="center" vertical="center"/>
    </xf>
    <xf numFmtId="0" fontId="5" fillId="0" borderId="15" xfId="0" applyFont="1" applyBorder="1" applyAlignment="1">
      <alignment horizontal="center" vertical="center"/>
    </xf>
    <xf numFmtId="0" fontId="5" fillId="0" borderId="38" xfId="0" applyFont="1" applyBorder="1" applyAlignment="1">
      <alignment horizontal="center" vertical="center"/>
    </xf>
    <xf numFmtId="0" fontId="13" fillId="0" borderId="16" xfId="0" applyFont="1" applyBorder="1" applyAlignment="1">
      <alignment horizontal="center" vertical="center" wrapText="1"/>
    </xf>
    <xf numFmtId="0" fontId="13" fillId="0" borderId="13" xfId="0" applyFont="1" applyBorder="1" applyAlignment="1">
      <alignment horizontal="center" vertical="center"/>
    </xf>
    <xf numFmtId="0" fontId="10" fillId="0" borderId="9" xfId="0" applyFont="1" applyBorder="1" applyAlignment="1">
      <alignment horizontal="center" vertical="center"/>
    </xf>
    <xf numFmtId="0" fontId="10" fillId="0" borderId="12" xfId="0" applyFont="1" applyBorder="1" applyAlignment="1">
      <alignment horizontal="center" vertical="center"/>
    </xf>
    <xf numFmtId="0" fontId="5" fillId="0" borderId="15" xfId="0" applyFont="1" applyBorder="1" applyAlignment="1">
      <alignment vertical="center" shrinkToFit="1"/>
    </xf>
    <xf numFmtId="0" fontId="5" fillId="0" borderId="38" xfId="0" applyFont="1" applyBorder="1" applyAlignment="1">
      <alignment vertical="center" shrinkToFit="1"/>
    </xf>
    <xf numFmtId="0" fontId="5" fillId="0" borderId="26" xfId="0" applyFont="1" applyBorder="1" applyAlignment="1">
      <alignment horizontal="center" vertical="center" shrinkToFit="1"/>
    </xf>
    <xf numFmtId="0" fontId="5" fillId="0" borderId="27" xfId="0" applyFont="1" applyBorder="1" applyAlignment="1">
      <alignment horizontal="center" vertical="center" shrinkToFit="1"/>
    </xf>
    <xf numFmtId="0" fontId="1" fillId="0" borderId="2" xfId="0" applyFont="1" applyBorder="1" applyAlignment="1">
      <alignment vertical="center" shrinkToFit="1"/>
    </xf>
    <xf numFmtId="0" fontId="1" fillId="0" borderId="3" xfId="0" applyFont="1" applyBorder="1" applyAlignment="1">
      <alignment vertical="center" shrinkToFit="1"/>
    </xf>
    <xf numFmtId="0" fontId="1" fillId="0" borderId="4" xfId="0" applyFont="1" applyBorder="1" applyAlignment="1">
      <alignment vertical="center" shrinkToFit="1"/>
    </xf>
    <xf numFmtId="0" fontId="26" fillId="0" borderId="2" xfId="2" applyFont="1" applyBorder="1" applyAlignment="1">
      <alignment vertical="center" shrinkToFit="1"/>
    </xf>
    <xf numFmtId="0" fontId="25" fillId="0" borderId="3" xfId="0" applyFont="1" applyBorder="1" applyAlignment="1">
      <alignment vertical="center" shrinkToFit="1"/>
    </xf>
    <xf numFmtId="0" fontId="25" fillId="0" borderId="4" xfId="0" applyFont="1" applyBorder="1" applyAlignment="1">
      <alignment vertical="center" shrinkToFit="1"/>
    </xf>
    <xf numFmtId="0" fontId="1" fillId="0" borderId="7" xfId="0" applyFont="1" applyBorder="1" applyAlignment="1">
      <alignment vertical="top" wrapText="1" shrinkToFit="1"/>
    </xf>
    <xf numFmtId="0" fontId="1" fillId="0" borderId="8" xfId="0" applyFont="1" applyBorder="1" applyAlignment="1">
      <alignment vertical="top" wrapText="1" shrinkToFit="1"/>
    </xf>
    <xf numFmtId="0" fontId="1" fillId="0" borderId="9" xfId="0" applyFont="1" applyBorder="1" applyAlignment="1">
      <alignment vertical="top" wrapText="1" shrinkToFit="1"/>
    </xf>
    <xf numFmtId="0" fontId="1" fillId="0" borderId="5" xfId="0" applyFont="1" applyBorder="1" applyAlignment="1">
      <alignment vertical="top" wrapText="1" shrinkToFit="1"/>
    </xf>
    <xf numFmtId="0" fontId="1" fillId="0" borderId="0" xfId="0" applyFont="1" applyAlignment="1">
      <alignment vertical="top" wrapText="1" shrinkToFit="1"/>
    </xf>
    <xf numFmtId="0" fontId="1" fillId="0" borderId="10" xfId="0" applyFont="1" applyBorder="1" applyAlignment="1">
      <alignment vertical="top" wrapText="1" shrinkToFit="1"/>
    </xf>
    <xf numFmtId="0" fontId="1" fillId="0" borderId="11" xfId="0" applyFont="1" applyBorder="1" applyAlignment="1">
      <alignment vertical="top" wrapText="1" shrinkToFit="1"/>
    </xf>
    <xf numFmtId="0" fontId="1" fillId="0" borderId="6" xfId="0" applyFont="1" applyBorder="1" applyAlignment="1">
      <alignment vertical="top" wrapText="1" shrinkToFit="1"/>
    </xf>
    <xf numFmtId="0" fontId="1" fillId="0" borderId="12" xfId="0" applyFont="1" applyBorder="1" applyAlignment="1">
      <alignment vertical="top" wrapText="1" shrinkToFit="1"/>
    </xf>
    <xf numFmtId="0" fontId="1" fillId="0" borderId="2" xfId="0" applyFont="1" applyBorder="1" applyAlignment="1">
      <alignment horizontal="center" vertical="center" shrinkToFit="1"/>
    </xf>
    <xf numFmtId="0" fontId="1" fillId="0" borderId="3" xfId="0" applyFont="1" applyBorder="1" applyAlignment="1">
      <alignment horizontal="center" vertical="center" shrinkToFit="1"/>
    </xf>
    <xf numFmtId="0" fontId="1" fillId="0" borderId="4" xfId="0" applyFont="1" applyBorder="1" applyAlignment="1">
      <alignment horizontal="center" vertical="center" shrinkToFi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5" fillId="0" borderId="16" xfId="0" applyFont="1" applyBorder="1" applyAlignment="1">
      <alignment vertical="center" wrapText="1"/>
    </xf>
    <xf numFmtId="0" fontId="5" fillId="0" borderId="39" xfId="0" applyFont="1" applyBorder="1" applyAlignment="1">
      <alignment vertical="center" wrapText="1"/>
    </xf>
    <xf numFmtId="0" fontId="20" fillId="0" borderId="7" xfId="0" applyFont="1" applyBorder="1" applyAlignment="1">
      <alignment horizontal="left" vertical="top" wrapText="1"/>
    </xf>
    <xf numFmtId="0" fontId="1" fillId="0" borderId="8" xfId="0" applyFont="1" applyBorder="1" applyAlignment="1">
      <alignment horizontal="left" vertical="top" wrapText="1"/>
    </xf>
    <xf numFmtId="0" fontId="1" fillId="0" borderId="9" xfId="0" applyFont="1" applyBorder="1" applyAlignment="1">
      <alignment horizontal="left" vertical="top" wrapText="1"/>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1" fillId="0" borderId="10" xfId="0" applyFont="1" applyBorder="1" applyAlignment="1">
      <alignment horizontal="left" vertical="top" wrapText="1"/>
    </xf>
    <xf numFmtId="0" fontId="1" fillId="0" borderId="11" xfId="0" applyFont="1" applyBorder="1" applyAlignment="1">
      <alignment horizontal="left" vertical="top" wrapText="1"/>
    </xf>
    <xf numFmtId="0" fontId="1" fillId="0" borderId="6" xfId="0" applyFont="1" applyBorder="1" applyAlignment="1">
      <alignment horizontal="left" vertical="top" wrapText="1"/>
    </xf>
    <xf numFmtId="0" fontId="1" fillId="0" borderId="12" xfId="0" applyFont="1" applyBorder="1" applyAlignment="1">
      <alignment horizontal="left" vertical="top" wrapText="1"/>
    </xf>
    <xf numFmtId="0" fontId="5" fillId="0" borderId="7" xfId="0" applyFont="1" applyBorder="1" applyAlignment="1">
      <alignment horizontal="left" vertical="top" wrapText="1"/>
    </xf>
    <xf numFmtId="0" fontId="20" fillId="0" borderId="2" xfId="0" applyFont="1" applyBorder="1" applyAlignment="1">
      <alignment horizontal="center" vertical="center" shrinkToFit="1"/>
    </xf>
    <xf numFmtId="0" fontId="19" fillId="0" borderId="3" xfId="0" applyFont="1" applyBorder="1" applyAlignment="1">
      <alignment horizontal="center" vertical="center" shrinkToFit="1"/>
    </xf>
    <xf numFmtId="0" fontId="19" fillId="0" borderId="4" xfId="0" applyFont="1" applyBorder="1" applyAlignment="1">
      <alignment horizontal="center" vertical="center" shrinkToFit="1"/>
    </xf>
    <xf numFmtId="0" fontId="5" fillId="0" borderId="13" xfId="0" applyFont="1" applyBorder="1" applyAlignment="1">
      <alignment vertical="center" wrapText="1"/>
    </xf>
    <xf numFmtId="0" fontId="1" fillId="0" borderId="0" xfId="0" applyFont="1" applyAlignment="1">
      <alignment horizontal="center" vertical="center"/>
    </xf>
    <xf numFmtId="0" fontId="5" fillId="0" borderId="2" xfId="0" applyFont="1" applyBorder="1" applyAlignment="1">
      <alignment horizontal="center" vertical="center" shrinkToFit="1"/>
    </xf>
    <xf numFmtId="0" fontId="15" fillId="0" borderId="2" xfId="0" applyFont="1" applyBorder="1" applyAlignment="1">
      <alignment horizontal="center" vertical="center" shrinkToFit="1"/>
    </xf>
    <xf numFmtId="0" fontId="15" fillId="0" borderId="3" xfId="0" applyFont="1" applyBorder="1" applyAlignment="1">
      <alignment horizontal="center" vertical="center" shrinkToFit="1"/>
    </xf>
    <xf numFmtId="0" fontId="15" fillId="0" borderId="4" xfId="0" applyFont="1" applyBorder="1" applyAlignment="1">
      <alignment horizontal="center" vertical="center" shrinkToFit="1"/>
    </xf>
    <xf numFmtId="0" fontId="15" fillId="0" borderId="7" xfId="0" applyFont="1" applyBorder="1" applyAlignment="1">
      <alignment vertical="top" wrapText="1" shrinkToFit="1"/>
    </xf>
    <xf numFmtId="0" fontId="15" fillId="0" borderId="8" xfId="0" applyFont="1" applyBorder="1" applyAlignment="1">
      <alignment vertical="top" shrinkToFit="1"/>
    </xf>
    <xf numFmtId="0" fontId="15" fillId="0" borderId="9" xfId="0" applyFont="1" applyBorder="1" applyAlignment="1">
      <alignment vertical="top" shrinkToFit="1"/>
    </xf>
    <xf numFmtId="0" fontId="15" fillId="0" borderId="5" xfId="0" applyFont="1" applyBorder="1" applyAlignment="1">
      <alignment vertical="top" shrinkToFit="1"/>
    </xf>
    <xf numFmtId="0" fontId="15" fillId="0" borderId="0" xfId="0" applyFont="1" applyBorder="1" applyAlignment="1">
      <alignment vertical="top" shrinkToFit="1"/>
    </xf>
    <xf numFmtId="0" fontId="15" fillId="0" borderId="10" xfId="0" applyFont="1" applyBorder="1" applyAlignment="1">
      <alignment vertical="top" shrinkToFit="1"/>
    </xf>
    <xf numFmtId="0" fontId="15" fillId="0" borderId="11" xfId="0" applyFont="1" applyBorder="1" applyAlignment="1">
      <alignment vertical="top" shrinkToFit="1"/>
    </xf>
    <xf numFmtId="0" fontId="15" fillId="0" borderId="6" xfId="0" applyFont="1" applyBorder="1" applyAlignment="1">
      <alignment vertical="top" shrinkToFit="1"/>
    </xf>
    <xf numFmtId="0" fontId="15" fillId="0" borderId="12" xfId="0" applyFont="1" applyBorder="1" applyAlignment="1">
      <alignment vertical="top" shrinkToFit="1"/>
    </xf>
    <xf numFmtId="0" fontId="5" fillId="0" borderId="7" xfId="0" applyFont="1" applyBorder="1" applyAlignment="1">
      <alignment vertical="top" wrapText="1" shrinkToFit="1"/>
    </xf>
    <xf numFmtId="0" fontId="20" fillId="0" borderId="7" xfId="0" applyFont="1" applyBorder="1" applyAlignment="1">
      <alignment vertical="top" wrapText="1" shrinkToFit="1"/>
    </xf>
    <xf numFmtId="0" fontId="20" fillId="0" borderId="2" xfId="0" applyFont="1" applyBorder="1" applyAlignment="1">
      <alignment vertical="center" shrinkToFit="1"/>
    </xf>
    <xf numFmtId="0" fontId="15" fillId="0" borderId="3" xfId="0" applyFont="1" applyBorder="1" applyAlignment="1">
      <alignment vertical="center" shrinkToFit="1"/>
    </xf>
    <xf numFmtId="0" fontId="15" fillId="0" borderId="4" xfId="0" applyFont="1" applyBorder="1" applyAlignment="1">
      <alignment vertical="center" shrinkToFit="1"/>
    </xf>
    <xf numFmtId="0" fontId="1" fillId="0" borderId="20" xfId="0" applyFont="1" applyBorder="1" applyAlignment="1">
      <alignment vertical="center" wrapText="1"/>
    </xf>
    <xf numFmtId="0" fontId="1" fillId="0" borderId="21" xfId="0" applyFont="1" applyBorder="1" applyAlignment="1">
      <alignment vertical="center" wrapText="1"/>
    </xf>
    <xf numFmtId="0" fontId="1" fillId="0" borderId="19" xfId="0" applyFont="1" applyBorder="1" applyAlignment="1">
      <alignment vertical="center" wrapText="1"/>
    </xf>
    <xf numFmtId="0" fontId="20" fillId="0" borderId="21" xfId="0" applyFont="1" applyBorder="1" applyAlignment="1">
      <alignment vertical="top" wrapText="1" shrinkToFit="1"/>
    </xf>
    <xf numFmtId="0" fontId="15" fillId="0" borderId="21" xfId="0" applyFont="1" applyBorder="1" applyAlignment="1">
      <alignment vertical="top" wrapText="1" shrinkToFit="1"/>
    </xf>
    <xf numFmtId="0" fontId="15" fillId="0" borderId="19" xfId="0" applyFont="1" applyBorder="1" applyAlignment="1">
      <alignment vertical="top" wrapText="1" shrinkToFit="1"/>
    </xf>
    <xf numFmtId="0" fontId="1" fillId="0" borderId="11" xfId="0" applyFont="1" applyBorder="1" applyAlignment="1">
      <alignment vertical="center" wrapText="1"/>
    </xf>
    <xf numFmtId="0" fontId="1" fillId="0" borderId="6" xfId="0" applyFont="1" applyBorder="1" applyAlignment="1">
      <alignment vertical="center" wrapText="1"/>
    </xf>
    <xf numFmtId="0" fontId="1" fillId="0" borderId="12" xfId="0" applyFont="1" applyBorder="1" applyAlignment="1">
      <alignment vertical="center" wrapText="1"/>
    </xf>
    <xf numFmtId="0" fontId="20" fillId="0" borderId="6" xfId="0" applyFont="1" applyBorder="1" applyAlignment="1">
      <alignment vertical="top" wrapText="1" shrinkToFit="1"/>
    </xf>
    <xf numFmtId="0" fontId="15" fillId="0" borderId="6" xfId="0" applyFont="1" applyBorder="1" applyAlignment="1">
      <alignment vertical="top" wrapText="1" shrinkToFit="1"/>
    </xf>
    <xf numFmtId="0" fontId="15" fillId="0" borderId="12" xfId="0" applyFont="1" applyBorder="1" applyAlignment="1">
      <alignment vertical="top" wrapText="1" shrinkToFit="1"/>
    </xf>
    <xf numFmtId="0" fontId="26" fillId="0" borderId="2" xfId="2" applyFont="1" applyBorder="1" applyAlignment="1">
      <alignment horizontal="left" vertical="center" shrinkToFit="1"/>
    </xf>
    <xf numFmtId="0" fontId="27" fillId="0" borderId="3" xfId="0" applyFont="1" applyBorder="1" applyAlignment="1">
      <alignment horizontal="left" vertical="center" shrinkToFit="1"/>
    </xf>
    <xf numFmtId="0" fontId="27" fillId="0" borderId="4" xfId="0" applyFont="1" applyBorder="1" applyAlignment="1">
      <alignment horizontal="left" vertical="center" shrinkToFit="1"/>
    </xf>
    <xf numFmtId="0" fontId="1" fillId="0" borderId="18" xfId="0" applyFont="1" applyBorder="1" applyAlignment="1">
      <alignment vertical="center" wrapText="1"/>
    </xf>
    <xf numFmtId="0" fontId="20" fillId="0" borderId="20" xfId="0" applyFont="1" applyBorder="1" applyAlignment="1">
      <alignment vertical="top" wrapText="1" shrinkToFit="1"/>
    </xf>
    <xf numFmtId="0" fontId="1" fillId="0" borderId="22" xfId="0" applyFont="1" applyBorder="1" applyAlignment="1">
      <alignment vertical="center" wrapText="1"/>
    </xf>
    <xf numFmtId="0" fontId="1" fillId="0" borderId="23" xfId="0" applyFont="1" applyBorder="1" applyAlignment="1">
      <alignment vertical="center" wrapText="1"/>
    </xf>
    <xf numFmtId="0" fontId="20" fillId="0" borderId="24" xfId="0" applyFont="1" applyBorder="1" applyAlignment="1">
      <alignment vertical="top" wrapText="1" shrinkToFit="1"/>
    </xf>
    <xf numFmtId="0" fontId="15" fillId="0" borderId="24" xfId="0" applyFont="1" applyBorder="1" applyAlignment="1">
      <alignment vertical="top" wrapText="1" shrinkToFit="1"/>
    </xf>
    <xf numFmtId="0" fontId="15" fillId="0" borderId="23" xfId="0" applyFont="1" applyBorder="1" applyAlignment="1">
      <alignment vertical="top" wrapText="1" shrinkToFit="1"/>
    </xf>
    <xf numFmtId="0" fontId="1" fillId="0" borderId="0" xfId="0" applyFont="1" applyAlignment="1">
      <alignment vertical="center" shrinkToFit="1"/>
    </xf>
    <xf numFmtId="0" fontId="6" fillId="0" borderId="0" xfId="0" applyFont="1" applyAlignment="1">
      <alignment vertical="top" wrapText="1"/>
    </xf>
    <xf numFmtId="0" fontId="7" fillId="0" borderId="0" xfId="0" applyFont="1" applyAlignment="1">
      <alignment vertical="top" wrapText="1"/>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1" fillId="0" borderId="7" xfId="0" applyFont="1" applyBorder="1" applyAlignment="1">
      <alignment vertical="top" wrapText="1"/>
    </xf>
    <xf numFmtId="0" fontId="1" fillId="0" borderId="8" xfId="0" applyFont="1" applyBorder="1" applyAlignment="1">
      <alignment vertical="top" wrapText="1"/>
    </xf>
    <xf numFmtId="0" fontId="1" fillId="0" borderId="9" xfId="0" applyFont="1" applyBorder="1" applyAlignment="1">
      <alignment vertical="top" wrapText="1"/>
    </xf>
    <xf numFmtId="0" fontId="1" fillId="0" borderId="5" xfId="0" applyFont="1" applyBorder="1" applyAlignment="1">
      <alignment vertical="top" wrapText="1"/>
    </xf>
    <xf numFmtId="0" fontId="1" fillId="0" borderId="0" xfId="0" applyFont="1" applyAlignment="1">
      <alignment vertical="top" wrapText="1"/>
    </xf>
    <xf numFmtId="0" fontId="1" fillId="0" borderId="10" xfId="0" applyFont="1" applyBorder="1" applyAlignment="1">
      <alignment vertical="top" wrapText="1"/>
    </xf>
    <xf numFmtId="0" fontId="1" fillId="0" borderId="11" xfId="0" applyFont="1" applyBorder="1" applyAlignment="1">
      <alignment vertical="top" wrapText="1"/>
    </xf>
    <xf numFmtId="0" fontId="1" fillId="0" borderId="6" xfId="0" applyFont="1" applyBorder="1" applyAlignment="1">
      <alignment vertical="top" wrapText="1"/>
    </xf>
    <xf numFmtId="0" fontId="1" fillId="0" borderId="12" xfId="0" applyFont="1" applyBorder="1" applyAlignment="1">
      <alignment vertical="top" wrapText="1"/>
    </xf>
    <xf numFmtId="0" fontId="1" fillId="0" borderId="0" xfId="0" applyFont="1" applyAlignment="1">
      <alignment horizontal="right" vertical="center"/>
    </xf>
    <xf numFmtId="0" fontId="1" fillId="0" borderId="0" xfId="0" applyFont="1" applyAlignment="1">
      <alignment horizontal="left" vertical="center"/>
    </xf>
    <xf numFmtId="0" fontId="1" fillId="0" borderId="0" xfId="0" applyFont="1" applyBorder="1" applyAlignment="1">
      <alignment vertical="center"/>
    </xf>
    <xf numFmtId="0" fontId="1" fillId="0" borderId="8" xfId="0" applyFont="1" applyBorder="1" applyAlignment="1">
      <alignment vertical="top" shrinkToFit="1"/>
    </xf>
    <xf numFmtId="0" fontId="1" fillId="0" borderId="9" xfId="0" applyFont="1" applyBorder="1" applyAlignment="1">
      <alignment vertical="top" shrinkToFit="1"/>
    </xf>
    <xf numFmtId="0" fontId="1" fillId="0" borderId="5" xfId="0" applyFont="1" applyBorder="1" applyAlignment="1">
      <alignment vertical="top" shrinkToFit="1"/>
    </xf>
    <xf numFmtId="0" fontId="1" fillId="0" borderId="0" xfId="0" applyFont="1" applyAlignment="1">
      <alignment vertical="top" shrinkToFit="1"/>
    </xf>
    <xf numFmtId="0" fontId="1" fillId="0" borderId="10" xfId="0" applyFont="1" applyBorder="1" applyAlignment="1">
      <alignment vertical="top" shrinkToFit="1"/>
    </xf>
    <xf numFmtId="0" fontId="1" fillId="0" borderId="11" xfId="0" applyFont="1" applyBorder="1" applyAlignment="1">
      <alignment vertical="top" shrinkToFit="1"/>
    </xf>
    <xf numFmtId="0" fontId="1" fillId="0" borderId="6" xfId="0" applyFont="1" applyBorder="1" applyAlignment="1">
      <alignment vertical="top" shrinkToFit="1"/>
    </xf>
    <xf numFmtId="0" fontId="1" fillId="0" borderId="12" xfId="0" applyFont="1" applyBorder="1" applyAlignment="1">
      <alignment vertical="top" shrinkToFit="1"/>
    </xf>
    <xf numFmtId="0" fontId="1" fillId="0" borderId="0" xfId="0" applyFont="1" applyBorder="1" applyAlignment="1">
      <alignment vertical="center" wrapText="1"/>
    </xf>
    <xf numFmtId="0" fontId="1" fillId="0" borderId="0" xfId="0" applyFont="1" applyBorder="1" applyAlignment="1">
      <alignment vertical="top" wrapText="1" shrinkToFit="1"/>
    </xf>
    <xf numFmtId="0" fontId="1" fillId="0" borderId="0" xfId="0" applyFont="1" applyBorder="1" applyAlignment="1">
      <alignment vertical="top" shrinkToFit="1"/>
    </xf>
    <xf numFmtId="0" fontId="1" fillId="0" borderId="6" xfId="0" applyFont="1" applyBorder="1" applyAlignment="1">
      <alignment vertical="center"/>
    </xf>
    <xf numFmtId="0" fontId="1" fillId="0" borderId="18" xfId="0" applyFont="1" applyBorder="1" applyAlignment="1">
      <alignment vertical="center"/>
    </xf>
    <xf numFmtId="0" fontId="0" fillId="0" borderId="19" xfId="0" applyBorder="1" applyAlignment="1">
      <alignment vertical="center"/>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Jptokymeyfl41/tokyod/Documents%20and%20Settings/stakashi/&#12487;&#12473;&#12463;&#12488;&#12483;&#12503;/&#20316;&#26989;&#20381;&#38972;/&#20304;&#34276;/&#65288;&#12294;&#20999;&#65306;&#65301;&#65295;&#65304;&#65289;&#24179;&#25104;20&#24180;&#24230;&#22865;&#32004;&#12395;&#38306;&#12377;&#12427;&#32113;&#35336;&#12395;&#12388;&#12356;&#12390;&#21450;&#12403;&#38543;&#24847;&#22865;&#32004;&#35211;&#30452;&#12375;&#35336;&#30011;&#65288;&#25913;&#35330;&#65289;&#12398;&#24179;&#25104;20&#24180;&#24230;&#12501;&#12457;&#12525;&#12540;&#12450;&#12483;&#12503;/&#22865;&#32004;&#12395;&#38306;&#12377;&#12427;&#35519;&#26360;/&#25552;&#20986;/210521&#12304;&#25552;&#20986;&#65306;&#29992;&#24230;&#29677;&#12305;&#22823;&#33251;&#23448;&#25151;&#20250;&#35336;&#3550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Jptokymeyfl41/tokyod/DOCUME~1/oomi/LOCALS~1/Temp/notes896CC5/&#20250;&#35336;&#23455;&#22320;&#26908;&#26619;&#35519;&#26360;/H20&#20250;&#35336;&#26908;&#26619;&#38498;&#35519;&#26360;/H19&#24180;&#24230;&#65288;&#23554;&#38272;&#32887;&#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選択肢一覧"/>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選択肢一覧"/>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cds-info@list.wased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waseda.jp/inst/cds/education/assessment"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waseda.jp/inst/cds/education/assessm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22DDA-C9FE-46CF-B816-837E78FD8D73}">
  <sheetPr>
    <pageSetUpPr fitToPage="1"/>
  </sheetPr>
  <dimension ref="A1:N132"/>
  <sheetViews>
    <sheetView tabSelected="1" zoomScale="210" zoomScaleNormal="210" workbookViewId="0">
      <selection activeCell="C28" sqref="C28:J28"/>
    </sheetView>
  </sheetViews>
  <sheetFormatPr defaultColWidth="8.875" defaultRowHeight="18.75" customHeight="1"/>
  <cols>
    <col min="1" max="1" width="2.375" style="16" customWidth="1"/>
    <col min="2" max="2" width="12.375" style="16" customWidth="1"/>
    <col min="3" max="8" width="6.375" style="16" customWidth="1"/>
    <col min="9" max="9" width="2.375" style="16" customWidth="1"/>
    <col min="10" max="10" width="10" style="16" customWidth="1"/>
    <col min="11" max="11" width="2.375" style="16" customWidth="1"/>
    <col min="12" max="12" width="7.5" style="16" customWidth="1"/>
    <col min="13" max="13" width="2.375" style="16" customWidth="1"/>
    <col min="14" max="14" width="7.5" style="16" customWidth="1"/>
    <col min="15" max="16384" width="8.875" style="16"/>
  </cols>
  <sheetData>
    <row r="1" spans="1:14" ht="22.5" customHeight="1">
      <c r="M1" s="115" t="s">
        <v>0</v>
      </c>
      <c r="N1" s="115"/>
    </row>
    <row r="2" spans="1:14" ht="22.5" customHeight="1">
      <c r="A2" s="108" t="s">
        <v>1</v>
      </c>
      <c r="B2" s="108"/>
      <c r="C2" s="108"/>
      <c r="D2" s="108"/>
      <c r="E2" s="108"/>
      <c r="F2" s="108"/>
      <c r="G2" s="108"/>
      <c r="H2" s="108"/>
      <c r="I2" s="108"/>
      <c r="J2" s="108"/>
      <c r="K2" s="108"/>
      <c r="L2" s="108"/>
      <c r="M2" s="108"/>
      <c r="N2" s="108"/>
    </row>
    <row r="3" spans="1:14" ht="22.5" customHeight="1"/>
    <row r="4" spans="1:14" ht="22.5" customHeight="1">
      <c r="A4" s="16" t="s">
        <v>2</v>
      </c>
      <c r="B4" s="16" t="s">
        <v>3</v>
      </c>
      <c r="C4" s="99" t="s">
        <v>4</v>
      </c>
      <c r="D4" s="100"/>
      <c r="E4" s="100"/>
      <c r="F4" s="100"/>
      <c r="G4" s="100"/>
      <c r="H4" s="100"/>
      <c r="I4" s="100"/>
      <c r="J4" s="100"/>
      <c r="K4" s="100"/>
      <c r="L4" s="100"/>
      <c r="M4" s="100"/>
      <c r="N4" s="103"/>
    </row>
    <row r="5" spans="1:14" ht="7.5" customHeight="1">
      <c r="E5" s="18"/>
      <c r="F5" s="69"/>
      <c r="G5" s="69"/>
      <c r="H5" s="69"/>
      <c r="I5" s="69"/>
      <c r="J5" s="69"/>
      <c r="K5" s="69"/>
      <c r="L5" s="69"/>
      <c r="M5" s="69"/>
      <c r="N5" s="69"/>
    </row>
    <row r="6" spans="1:14" ht="22.5" customHeight="1">
      <c r="A6" s="16" t="s">
        <v>5</v>
      </c>
      <c r="B6" s="16" t="s">
        <v>6</v>
      </c>
      <c r="D6" s="99" t="s">
        <v>7</v>
      </c>
      <c r="E6" s="100"/>
      <c r="F6" s="100"/>
      <c r="G6" s="100"/>
      <c r="H6" s="100"/>
      <c r="I6" s="100"/>
      <c r="J6" s="100"/>
      <c r="K6" s="100"/>
      <c r="L6" s="100"/>
      <c r="M6" s="100"/>
      <c r="N6" s="103"/>
    </row>
    <row r="7" spans="1:14" ht="7.5" customHeight="1">
      <c r="E7" s="18"/>
      <c r="F7" s="69"/>
      <c r="G7" s="69"/>
      <c r="H7" s="69"/>
      <c r="I7" s="69"/>
      <c r="J7" s="69"/>
      <c r="K7" s="69"/>
      <c r="L7" s="69"/>
      <c r="M7" s="69"/>
      <c r="N7" s="69"/>
    </row>
    <row r="8" spans="1:14" ht="22.5" customHeight="1">
      <c r="A8" s="16" t="s">
        <v>8</v>
      </c>
      <c r="B8" s="60" t="s">
        <v>9</v>
      </c>
      <c r="C8" s="99" t="s">
        <v>10</v>
      </c>
      <c r="D8" s="100"/>
      <c r="E8" s="103"/>
      <c r="F8" s="69"/>
      <c r="G8" s="118"/>
      <c r="H8" s="118"/>
      <c r="I8" s="118"/>
      <c r="J8" s="69"/>
      <c r="K8" s="69"/>
      <c r="L8" s="69"/>
      <c r="M8" s="69"/>
      <c r="N8" s="69"/>
    </row>
    <row r="9" spans="1:14" ht="7.5" customHeight="1">
      <c r="E9" s="18"/>
      <c r="F9" s="69"/>
      <c r="G9" s="69"/>
      <c r="H9" s="69"/>
      <c r="I9" s="69"/>
      <c r="J9" s="69"/>
      <c r="K9" s="69"/>
      <c r="L9" s="69"/>
      <c r="M9" s="69"/>
      <c r="N9" s="69"/>
    </row>
    <row r="10" spans="1:14" ht="22.5" customHeight="1">
      <c r="A10" s="16" t="s">
        <v>11</v>
      </c>
      <c r="B10" s="16" t="s">
        <v>12</v>
      </c>
      <c r="C10" s="99" t="s">
        <v>13</v>
      </c>
      <c r="D10" s="100"/>
      <c r="E10" s="100"/>
      <c r="F10" s="100"/>
      <c r="G10" s="100"/>
      <c r="H10" s="100"/>
      <c r="I10" s="100"/>
      <c r="J10" s="100"/>
      <c r="K10" s="100"/>
      <c r="L10" s="100"/>
      <c r="M10" s="100"/>
      <c r="N10" s="103"/>
    </row>
    <row r="11" spans="1:14" ht="7.5" customHeight="1">
      <c r="E11" s="18"/>
      <c r="F11" s="69"/>
      <c r="G11" s="69"/>
      <c r="H11" s="69"/>
      <c r="I11" s="69"/>
      <c r="J11" s="69"/>
      <c r="K11" s="69"/>
      <c r="L11" s="69"/>
      <c r="M11" s="69"/>
      <c r="N11" s="69"/>
    </row>
    <row r="12" spans="1:14" ht="22.5" customHeight="1">
      <c r="A12" s="16" t="s">
        <v>14</v>
      </c>
      <c r="B12" s="16" t="s">
        <v>15</v>
      </c>
      <c r="E12" s="69"/>
      <c r="F12" s="67"/>
      <c r="G12" s="104" t="s">
        <v>16</v>
      </c>
      <c r="H12" s="105"/>
      <c r="I12" s="105"/>
      <c r="J12" s="105"/>
      <c r="K12" s="105"/>
      <c r="L12" s="105"/>
      <c r="M12" s="105"/>
      <c r="N12" s="114"/>
    </row>
    <row r="13" spans="1:14" ht="7.5" customHeight="1">
      <c r="B13" s="18"/>
      <c r="C13" s="18"/>
      <c r="D13" s="18"/>
      <c r="E13" s="18"/>
      <c r="F13" s="69"/>
      <c r="G13" s="69"/>
      <c r="H13" s="69"/>
      <c r="I13" s="69"/>
      <c r="J13" s="69"/>
      <c r="K13" s="69"/>
      <c r="L13" s="69"/>
      <c r="M13" s="69"/>
      <c r="N13" s="69"/>
    </row>
    <row r="14" spans="1:14" ht="22.5" customHeight="1">
      <c r="A14" s="16" t="s">
        <v>17</v>
      </c>
      <c r="B14" s="18" t="s">
        <v>18</v>
      </c>
      <c r="C14" s="18"/>
      <c r="D14" s="18"/>
      <c r="E14" s="18"/>
      <c r="F14" s="99" t="s">
        <v>19</v>
      </c>
      <c r="G14" s="100"/>
      <c r="H14" s="103"/>
      <c r="I14" s="69"/>
      <c r="J14" s="69"/>
      <c r="K14" s="69"/>
      <c r="L14" s="69"/>
      <c r="M14" s="69"/>
      <c r="N14" s="69"/>
    </row>
    <row r="15" spans="1:14" ht="7.5" customHeight="1">
      <c r="B15" s="18"/>
      <c r="C15" s="18"/>
      <c r="D15" s="18"/>
      <c r="E15" s="18"/>
      <c r="F15" s="69"/>
      <c r="G15" s="69"/>
      <c r="H15" s="69"/>
      <c r="I15" s="69"/>
      <c r="J15" s="69"/>
      <c r="K15" s="69"/>
      <c r="L15" s="69"/>
      <c r="M15" s="69"/>
      <c r="N15" s="69"/>
    </row>
    <row r="16" spans="1:14" ht="22.5" customHeight="1">
      <c r="A16" s="16" t="s">
        <v>20</v>
      </c>
      <c r="B16" s="16" t="s">
        <v>21</v>
      </c>
      <c r="C16" s="115" t="s">
        <v>22</v>
      </c>
      <c r="D16" s="116"/>
      <c r="E16" s="106">
        <v>2225</v>
      </c>
      <c r="F16" s="107"/>
      <c r="G16" s="19" t="s">
        <v>23</v>
      </c>
      <c r="I16" s="115" t="s">
        <v>24</v>
      </c>
      <c r="J16" s="116"/>
      <c r="K16" s="106">
        <v>3245</v>
      </c>
      <c r="L16" s="117"/>
      <c r="M16" s="107"/>
      <c r="N16" s="20" t="s">
        <v>23</v>
      </c>
    </row>
    <row r="17" spans="1:14" ht="7.5" customHeight="1">
      <c r="M17" s="20"/>
      <c r="N17" s="20"/>
    </row>
    <row r="18" spans="1:14" ht="22.5" customHeight="1">
      <c r="A18" s="16" t="s">
        <v>25</v>
      </c>
      <c r="B18" s="16" t="s">
        <v>26</v>
      </c>
      <c r="K18" s="109">
        <v>12</v>
      </c>
      <c r="L18" s="110"/>
      <c r="M18" s="111"/>
      <c r="N18" s="20" t="s">
        <v>23</v>
      </c>
    </row>
    <row r="19" spans="1:14" ht="7.5" customHeight="1">
      <c r="M19" s="20"/>
      <c r="N19" s="20"/>
    </row>
    <row r="20" spans="1:14" ht="22.5" customHeight="1">
      <c r="A20" s="16" t="s">
        <v>27</v>
      </c>
      <c r="B20" s="16" t="s">
        <v>28</v>
      </c>
      <c r="E20" s="106">
        <v>8940</v>
      </c>
      <c r="F20" s="107"/>
      <c r="G20" s="61" t="s">
        <v>29</v>
      </c>
      <c r="K20" s="112"/>
      <c r="L20" s="112"/>
      <c r="M20" s="112"/>
      <c r="N20" s="112"/>
    </row>
    <row r="21" spans="1:14" ht="7.5" customHeight="1">
      <c r="E21" s="62"/>
      <c r="L21" s="68"/>
      <c r="M21" s="68"/>
      <c r="N21" s="20"/>
    </row>
    <row r="22" spans="1:14" ht="22.5" customHeight="1">
      <c r="A22" s="16" t="s">
        <v>30</v>
      </c>
      <c r="B22" s="16" t="s">
        <v>31</v>
      </c>
      <c r="E22" s="62"/>
      <c r="H22" s="16" t="s">
        <v>32</v>
      </c>
      <c r="J22" s="113">
        <v>36069</v>
      </c>
      <c r="K22" s="110"/>
      <c r="L22" s="111"/>
      <c r="M22" s="68" t="s">
        <v>23</v>
      </c>
      <c r="N22" s="20"/>
    </row>
    <row r="23" spans="1:14" ht="7.5" customHeight="1">
      <c r="E23" s="62"/>
      <c r="L23" s="68"/>
      <c r="M23" s="68"/>
      <c r="N23" s="20"/>
    </row>
    <row r="24" spans="1:14" ht="22.5" customHeight="1">
      <c r="B24" s="68" t="s">
        <v>33</v>
      </c>
      <c r="C24" s="106">
        <v>9009</v>
      </c>
      <c r="D24" s="107"/>
      <c r="E24" s="62" t="s">
        <v>23</v>
      </c>
      <c r="G24" s="108" t="s">
        <v>34</v>
      </c>
      <c r="H24" s="108"/>
      <c r="I24" s="106">
        <v>8960</v>
      </c>
      <c r="J24" s="107"/>
      <c r="K24" s="16" t="s">
        <v>23</v>
      </c>
      <c r="M24" s="68"/>
      <c r="N24" s="20"/>
    </row>
    <row r="25" spans="1:14" ht="7.5" customHeight="1">
      <c r="B25" s="68"/>
      <c r="C25" s="14"/>
      <c r="D25" s="14"/>
      <c r="E25" s="62"/>
      <c r="G25" s="68"/>
      <c r="H25" s="68"/>
      <c r="I25" s="14"/>
      <c r="J25" s="14"/>
      <c r="M25" s="68"/>
      <c r="N25" s="20"/>
    </row>
    <row r="26" spans="1:14" ht="22.5" customHeight="1">
      <c r="B26" s="68" t="s">
        <v>35</v>
      </c>
      <c r="C26" s="106">
        <v>8864</v>
      </c>
      <c r="D26" s="107"/>
      <c r="E26" s="62" t="s">
        <v>23</v>
      </c>
      <c r="G26" s="108" t="s">
        <v>36</v>
      </c>
      <c r="H26" s="108"/>
      <c r="I26" s="106">
        <v>9236</v>
      </c>
      <c r="J26" s="107"/>
      <c r="K26" s="16" t="s">
        <v>23</v>
      </c>
      <c r="M26" s="68"/>
      <c r="N26" s="20"/>
    </row>
    <row r="27" spans="1:14" ht="7.5" customHeight="1">
      <c r="B27" s="68"/>
      <c r="C27" s="14"/>
      <c r="D27" s="14"/>
      <c r="E27" s="62"/>
      <c r="G27" s="68"/>
      <c r="H27" s="68"/>
      <c r="I27" s="14"/>
      <c r="J27" s="14"/>
      <c r="M27" s="68"/>
      <c r="N27" s="20"/>
    </row>
    <row r="28" spans="1:14" ht="22.5" customHeight="1">
      <c r="B28" s="68" t="s">
        <v>37</v>
      </c>
      <c r="C28" s="106">
        <v>0</v>
      </c>
      <c r="D28" s="107"/>
      <c r="E28" s="62" t="s">
        <v>23</v>
      </c>
      <c r="G28" s="108" t="s">
        <v>38</v>
      </c>
      <c r="H28" s="108"/>
      <c r="I28" s="106">
        <v>0</v>
      </c>
      <c r="J28" s="107"/>
      <c r="K28" s="16" t="s">
        <v>23</v>
      </c>
      <c r="M28" s="68"/>
      <c r="N28" s="20"/>
    </row>
    <row r="29" spans="1:14" ht="7.5" customHeight="1">
      <c r="M29" s="21"/>
      <c r="N29" s="21"/>
    </row>
    <row r="30" spans="1:14" ht="22.5" customHeight="1">
      <c r="A30" s="16" t="s">
        <v>39</v>
      </c>
      <c r="B30" s="16" t="s">
        <v>40</v>
      </c>
      <c r="G30" s="69"/>
      <c r="H30" s="69"/>
      <c r="I30" s="69"/>
      <c r="J30" s="22"/>
      <c r="K30" s="22"/>
      <c r="L30" s="22"/>
      <c r="M30" s="22"/>
      <c r="N30" s="22"/>
    </row>
    <row r="31" spans="1:14" ht="22.5" customHeight="1">
      <c r="B31" s="98" t="s">
        <v>41</v>
      </c>
      <c r="C31" s="98"/>
      <c r="D31" s="99" t="s">
        <v>42</v>
      </c>
      <c r="E31" s="100"/>
      <c r="F31" s="100"/>
      <c r="G31" s="101" t="s">
        <v>43</v>
      </c>
      <c r="H31" s="98"/>
      <c r="I31" s="102"/>
      <c r="J31" s="99" t="s">
        <v>44</v>
      </c>
      <c r="K31" s="100"/>
      <c r="L31" s="100"/>
      <c r="M31" s="100"/>
      <c r="N31" s="103"/>
    </row>
    <row r="32" spans="1:14" ht="7.5" customHeight="1">
      <c r="M32" s="21"/>
      <c r="N32" s="21"/>
    </row>
    <row r="33" spans="1:14" ht="22.5" customHeight="1">
      <c r="A33" s="16" t="s">
        <v>45</v>
      </c>
      <c r="B33" s="16" t="s">
        <v>46</v>
      </c>
      <c r="G33" s="22"/>
      <c r="H33" s="22"/>
      <c r="I33" s="22"/>
      <c r="J33" s="22"/>
      <c r="K33" s="22"/>
      <c r="L33" s="22"/>
      <c r="M33" s="22"/>
      <c r="N33" s="22"/>
    </row>
    <row r="34" spans="1:14" ht="22.5" customHeight="1">
      <c r="B34" s="95" t="s">
        <v>47</v>
      </c>
      <c r="C34" s="96"/>
      <c r="D34" s="96"/>
      <c r="E34" s="96"/>
      <c r="F34" s="96"/>
      <c r="G34" s="96"/>
      <c r="H34" s="96"/>
      <c r="I34" s="96"/>
      <c r="J34" s="96"/>
      <c r="K34" s="96"/>
      <c r="L34" s="96"/>
      <c r="M34" s="96"/>
      <c r="N34" s="97"/>
    </row>
    <row r="35" spans="1:14" ht="7.5" customHeight="1">
      <c r="B35" s="71"/>
      <c r="C35" s="71"/>
      <c r="D35" s="71"/>
      <c r="E35" s="71"/>
      <c r="F35" s="71"/>
      <c r="G35" s="71"/>
      <c r="H35" s="71"/>
      <c r="I35" s="71"/>
      <c r="J35" s="71"/>
      <c r="K35" s="71"/>
      <c r="L35" s="71"/>
      <c r="M35" s="71"/>
      <c r="N35" s="71"/>
    </row>
    <row r="36" spans="1:14" ht="22.5" customHeight="1">
      <c r="B36" s="98" t="s">
        <v>41</v>
      </c>
      <c r="C36" s="98"/>
      <c r="D36" s="99" t="s">
        <v>42</v>
      </c>
      <c r="E36" s="100"/>
      <c r="F36" s="100"/>
      <c r="G36" s="101" t="s">
        <v>43</v>
      </c>
      <c r="H36" s="98"/>
      <c r="I36" s="102"/>
      <c r="J36" s="99" t="s">
        <v>44</v>
      </c>
      <c r="K36" s="100"/>
      <c r="L36" s="100"/>
      <c r="M36" s="100"/>
      <c r="N36" s="103"/>
    </row>
    <row r="37" spans="1:14" ht="7.5" customHeight="1">
      <c r="F37" s="69"/>
      <c r="G37" s="69"/>
      <c r="H37" s="69"/>
      <c r="I37" s="69"/>
      <c r="J37" s="69"/>
      <c r="K37" s="69"/>
      <c r="L37" s="69"/>
      <c r="M37" s="69"/>
      <c r="N37" s="69"/>
    </row>
    <row r="38" spans="1:14" ht="22.5" customHeight="1">
      <c r="A38" s="16" t="s">
        <v>48</v>
      </c>
      <c r="B38" s="16" t="s">
        <v>49</v>
      </c>
      <c r="M38" s="21"/>
      <c r="N38" s="21"/>
    </row>
    <row r="39" spans="1:14" ht="22.5" customHeight="1">
      <c r="B39" s="95" t="s">
        <v>47</v>
      </c>
      <c r="C39" s="96"/>
      <c r="D39" s="96"/>
      <c r="E39" s="96"/>
      <c r="F39" s="96"/>
      <c r="G39" s="96"/>
      <c r="H39" s="96"/>
      <c r="I39" s="96"/>
      <c r="J39" s="96"/>
      <c r="K39" s="96"/>
      <c r="L39" s="96"/>
      <c r="M39" s="96"/>
      <c r="N39" s="97"/>
    </row>
    <row r="40" spans="1:14" ht="7.5" customHeight="1">
      <c r="F40" s="69"/>
      <c r="G40" s="69"/>
      <c r="H40" s="69"/>
      <c r="I40" s="69"/>
      <c r="J40" s="69"/>
      <c r="K40" s="69"/>
      <c r="L40" s="69"/>
      <c r="M40" s="69"/>
      <c r="N40" s="69"/>
    </row>
    <row r="41" spans="1:14" ht="22.5" customHeight="1">
      <c r="B41" s="98" t="s">
        <v>41</v>
      </c>
      <c r="C41" s="98"/>
      <c r="D41" s="99" t="s">
        <v>42</v>
      </c>
      <c r="E41" s="100"/>
      <c r="F41" s="100"/>
      <c r="G41" s="101" t="s">
        <v>43</v>
      </c>
      <c r="H41" s="98"/>
      <c r="I41" s="102"/>
      <c r="J41" s="99" t="s">
        <v>44</v>
      </c>
      <c r="K41" s="100"/>
      <c r="L41" s="100"/>
      <c r="M41" s="100"/>
      <c r="N41" s="103"/>
    </row>
    <row r="42" spans="1:14" ht="7.5" customHeight="1">
      <c r="F42" s="69"/>
      <c r="G42" s="69"/>
      <c r="H42" s="69"/>
      <c r="I42" s="69"/>
      <c r="J42" s="69"/>
      <c r="K42" s="69"/>
      <c r="L42" s="69"/>
      <c r="M42" s="69"/>
      <c r="N42" s="69"/>
    </row>
    <row r="43" spans="1:14" ht="22.5" customHeight="1">
      <c r="A43" s="16" t="s">
        <v>50</v>
      </c>
      <c r="B43" s="16" t="s">
        <v>51</v>
      </c>
      <c r="E43" s="67"/>
      <c r="F43" s="99" t="s">
        <v>52</v>
      </c>
      <c r="G43" s="100"/>
      <c r="H43" s="100"/>
      <c r="I43" s="100"/>
      <c r="J43" s="100"/>
      <c r="K43" s="100"/>
      <c r="L43" s="100"/>
      <c r="M43" s="100"/>
      <c r="N43" s="103"/>
    </row>
    <row r="44" spans="1:14" ht="7.5" customHeight="1">
      <c r="F44" s="69"/>
      <c r="G44" s="69"/>
      <c r="H44" s="69"/>
      <c r="I44" s="69"/>
      <c r="J44" s="69"/>
      <c r="K44" s="69"/>
      <c r="L44" s="69"/>
      <c r="M44" s="69"/>
      <c r="N44" s="69"/>
    </row>
    <row r="45" spans="1:14" ht="22.5" customHeight="1">
      <c r="A45" s="16" t="s">
        <v>53</v>
      </c>
    </row>
    <row r="46" spans="1:14" ht="22.5" customHeight="1">
      <c r="B46" s="23" t="s">
        <v>54</v>
      </c>
      <c r="C46" s="104" t="s">
        <v>55</v>
      </c>
      <c r="D46" s="105"/>
      <c r="E46" s="105"/>
      <c r="F46" s="105"/>
      <c r="G46" s="105"/>
      <c r="H46" s="105"/>
      <c r="I46" s="24" t="s">
        <v>56</v>
      </c>
      <c r="J46" s="25"/>
      <c r="K46" s="99" t="s">
        <v>57</v>
      </c>
      <c r="L46" s="100"/>
      <c r="M46" s="100"/>
      <c r="N46" s="103"/>
    </row>
    <row r="47" spans="1:14" ht="22.5" customHeight="1">
      <c r="B47" s="23" t="s">
        <v>58</v>
      </c>
      <c r="C47" s="89" t="s">
        <v>59</v>
      </c>
      <c r="D47" s="90"/>
      <c r="E47" s="90"/>
      <c r="F47" s="90"/>
      <c r="G47" s="90"/>
      <c r="H47" s="91"/>
      <c r="I47" s="24" t="s">
        <v>60</v>
      </c>
      <c r="J47" s="25"/>
      <c r="K47" s="92" t="s">
        <v>61</v>
      </c>
      <c r="L47" s="93"/>
      <c r="M47" s="93"/>
      <c r="N47" s="94"/>
    </row>
    <row r="72" s="16" customFormat="1" ht="6.75" customHeight="1"/>
    <row r="73" s="16" customFormat="1" ht="18.75" hidden="1" customHeight="1"/>
    <row r="74" s="16" customFormat="1" ht="18.75" hidden="1" customHeight="1"/>
    <row r="75" s="16" customFormat="1" ht="18.75" hidden="1" customHeight="1"/>
    <row r="76" s="16" customFormat="1" ht="18.75" hidden="1" customHeight="1"/>
    <row r="77" s="16" customFormat="1" ht="18.75" hidden="1" customHeight="1"/>
    <row r="78" s="16" customFormat="1" ht="18.75" hidden="1" customHeight="1"/>
    <row r="84" s="16" customFormat="1" ht="15.75" customHeight="1"/>
    <row r="85" s="16" customFormat="1" ht="18.75" hidden="1" customHeight="1"/>
    <row r="87" s="16" customFormat="1" ht="63" customHeight="1"/>
    <row r="131" s="16" customFormat="1" ht="17.25" hidden="1" customHeight="1"/>
    <row r="132" s="16" customFormat="1" ht="18.75" hidden="1" customHeight="1"/>
  </sheetData>
  <mergeCells count="45">
    <mergeCell ref="M1:N1"/>
    <mergeCell ref="A2:N2"/>
    <mergeCell ref="C4:N4"/>
    <mergeCell ref="D6:N6"/>
    <mergeCell ref="C8:E8"/>
    <mergeCell ref="G8:I8"/>
    <mergeCell ref="C10:N10"/>
    <mergeCell ref="G12:N12"/>
    <mergeCell ref="F14:H14"/>
    <mergeCell ref="C16:D16"/>
    <mergeCell ref="E16:F16"/>
    <mergeCell ref="I16:J16"/>
    <mergeCell ref="K16:M16"/>
    <mergeCell ref="K18:M18"/>
    <mergeCell ref="E20:F20"/>
    <mergeCell ref="K20:N20"/>
    <mergeCell ref="J22:L22"/>
    <mergeCell ref="C24:D24"/>
    <mergeCell ref="G24:H24"/>
    <mergeCell ref="I24:J24"/>
    <mergeCell ref="B36:C36"/>
    <mergeCell ref="D36:F36"/>
    <mergeCell ref="G36:I36"/>
    <mergeCell ref="J36:N36"/>
    <mergeCell ref="C26:D26"/>
    <mergeCell ref="G26:H26"/>
    <mergeCell ref="I26:J26"/>
    <mergeCell ref="C28:D28"/>
    <mergeCell ref="G28:H28"/>
    <mergeCell ref="I28:J28"/>
    <mergeCell ref="B31:C31"/>
    <mergeCell ref="D31:F31"/>
    <mergeCell ref="G31:I31"/>
    <mergeCell ref="J31:N31"/>
    <mergeCell ref="B34:N34"/>
    <mergeCell ref="C47:H47"/>
    <mergeCell ref="K47:N47"/>
    <mergeCell ref="B39:N39"/>
    <mergeCell ref="B41:C41"/>
    <mergeCell ref="D41:F41"/>
    <mergeCell ref="G41:I41"/>
    <mergeCell ref="J41:N41"/>
    <mergeCell ref="F43:N43"/>
    <mergeCell ref="C46:H46"/>
    <mergeCell ref="K46:N46"/>
  </mergeCells>
  <phoneticPr fontId="3"/>
  <dataValidations count="2">
    <dataValidation type="list" allowBlank="1" showInputMessage="1" showErrorMessage="1" sqref="F43" xr:uid="{B70B021C-39EC-437C-8958-B49E3A4D91AA}">
      <formula1>"認定教育プログラム,認定教育プログラムと認定教育プログラム+（プラス）"</formula1>
    </dataValidation>
    <dataValidation type="list" allowBlank="1" showInputMessage="1" showErrorMessage="1" sqref="C8" xr:uid="{C987E72F-939B-456D-BDD3-0104A287C3C1}">
      <formula1>"国立大学, 公立大学, 私立大学, 短期大学, 高等専門学校, その他"</formula1>
    </dataValidation>
  </dataValidations>
  <hyperlinks>
    <hyperlink ref="C47" r:id="rId1" xr:uid="{1024185B-B25E-4E37-82DD-2D0257B58D09}"/>
  </hyperlinks>
  <printOptions horizontalCentered="1"/>
  <pageMargins left="0.78740157480314965" right="0.78740157480314965" top="0.78740157480314965" bottom="0.39370078740157483" header="0.31496062992125984" footer="0.31496062992125984"/>
  <pageSetup paperSize="9" orientation="portrait" r:id="rId2"/>
  <headerFooter>
    <oddFooter>&amp;C1</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4"/>
  <sheetViews>
    <sheetView showZeros="0" zoomScale="130" zoomScaleNormal="130" workbookViewId="0">
      <selection activeCell="L10" sqref="L10"/>
    </sheetView>
  </sheetViews>
  <sheetFormatPr defaultColWidth="9" defaultRowHeight="18.75" customHeight="1"/>
  <cols>
    <col min="1" max="2" width="2.5" style="15" customWidth="1"/>
    <col min="3" max="3" width="20" style="15" customWidth="1"/>
    <col min="4" max="4" width="8.625" style="15" customWidth="1"/>
    <col min="5" max="5" width="7.5" style="15" customWidth="1"/>
    <col min="6" max="6" width="2.5" style="15" customWidth="1"/>
    <col min="7" max="7" width="15" style="15" customWidth="1"/>
    <col min="8" max="8" width="12.5" style="15" customWidth="1"/>
    <col min="9" max="9" width="11.125" style="15" customWidth="1"/>
    <col min="10" max="16384" width="9" style="15"/>
  </cols>
  <sheetData>
    <row r="1" spans="1:9" ht="18.75" customHeight="1">
      <c r="I1" s="33" t="s">
        <v>62</v>
      </c>
    </row>
    <row r="2" spans="1:9" ht="18.75" customHeight="1">
      <c r="G2" s="70" t="s">
        <v>63</v>
      </c>
      <c r="H2" s="112" t="s">
        <v>64</v>
      </c>
      <c r="I2" s="112"/>
    </row>
    <row r="3" spans="1:9" ht="7.5" customHeight="1"/>
    <row r="4" spans="1:9" ht="18.75" customHeight="1">
      <c r="A4" s="108" t="s">
        <v>65</v>
      </c>
      <c r="B4" s="108"/>
      <c r="C4" s="108"/>
      <c r="D4" s="108"/>
      <c r="E4" s="108"/>
      <c r="F4" s="108"/>
      <c r="G4" s="108"/>
      <c r="H4" s="108"/>
      <c r="I4" s="108"/>
    </row>
    <row r="5" spans="1:9" ht="7.5" customHeight="1">
      <c r="C5" s="68"/>
      <c r="D5" s="68"/>
      <c r="E5" s="68"/>
      <c r="F5" s="68"/>
      <c r="G5" s="68"/>
      <c r="H5" s="68"/>
      <c r="I5" s="68"/>
    </row>
    <row r="6" spans="1:9" ht="18.75" customHeight="1">
      <c r="A6" s="15" t="s">
        <v>2</v>
      </c>
      <c r="B6" s="15" t="s">
        <v>66</v>
      </c>
      <c r="C6" s="68"/>
      <c r="D6" s="68"/>
      <c r="E6" s="109" t="s">
        <v>67</v>
      </c>
      <c r="F6" s="110"/>
      <c r="G6" s="110"/>
      <c r="H6" s="110"/>
      <c r="I6" s="111"/>
    </row>
    <row r="7" spans="1:9" ht="7.5" customHeight="1">
      <c r="C7" s="68"/>
      <c r="D7" s="68"/>
      <c r="F7" s="32"/>
      <c r="G7" s="32"/>
      <c r="H7" s="32"/>
      <c r="I7" s="32"/>
    </row>
    <row r="8" spans="1:9" ht="18.75" customHeight="1">
      <c r="A8" s="15" t="s">
        <v>5</v>
      </c>
      <c r="B8" s="15" t="s">
        <v>68</v>
      </c>
      <c r="C8" s="68"/>
      <c r="D8" s="68"/>
      <c r="E8" s="68"/>
      <c r="F8" s="68"/>
      <c r="G8" s="68"/>
      <c r="H8" s="68"/>
      <c r="I8" s="68"/>
    </row>
    <row r="9" spans="1:9" ht="18.75" customHeight="1">
      <c r="B9" s="225" t="s">
        <v>69</v>
      </c>
      <c r="C9" s="226"/>
      <c r="D9" s="226"/>
      <c r="E9" s="226"/>
      <c r="F9" s="226"/>
      <c r="G9" s="226"/>
      <c r="H9" s="226"/>
      <c r="I9" s="227"/>
    </row>
    <row r="10" spans="1:9" ht="18.75" customHeight="1">
      <c r="B10" s="228"/>
      <c r="C10" s="229"/>
      <c r="D10" s="229"/>
      <c r="E10" s="229"/>
      <c r="F10" s="229"/>
      <c r="G10" s="229"/>
      <c r="H10" s="229"/>
      <c r="I10" s="230"/>
    </row>
    <row r="11" spans="1:9" ht="18.75" customHeight="1">
      <c r="B11" s="228"/>
      <c r="C11" s="229"/>
      <c r="D11" s="229"/>
      <c r="E11" s="229"/>
      <c r="F11" s="229"/>
      <c r="G11" s="229"/>
      <c r="H11" s="229"/>
      <c r="I11" s="230"/>
    </row>
    <row r="12" spans="1:9" ht="18.75" customHeight="1">
      <c r="B12" s="228"/>
      <c r="C12" s="229"/>
      <c r="D12" s="229"/>
      <c r="E12" s="229"/>
      <c r="F12" s="229"/>
      <c r="G12" s="229"/>
      <c r="H12" s="229"/>
      <c r="I12" s="230"/>
    </row>
    <row r="13" spans="1:9" ht="18.75" customHeight="1">
      <c r="B13" s="228"/>
      <c r="C13" s="229"/>
      <c r="D13" s="229"/>
      <c r="E13" s="229"/>
      <c r="F13" s="229"/>
      <c r="G13" s="229"/>
      <c r="H13" s="229"/>
      <c r="I13" s="230"/>
    </row>
    <row r="14" spans="1:9" ht="18.75" customHeight="1">
      <c r="B14" s="228"/>
      <c r="C14" s="229"/>
      <c r="D14" s="229"/>
      <c r="E14" s="229"/>
      <c r="F14" s="229"/>
      <c r="G14" s="229"/>
      <c r="H14" s="229"/>
      <c r="I14" s="230"/>
    </row>
    <row r="15" spans="1:9" ht="18.75" customHeight="1">
      <c r="B15" s="228"/>
      <c r="C15" s="229"/>
      <c r="D15" s="229"/>
      <c r="E15" s="229"/>
      <c r="F15" s="229"/>
      <c r="G15" s="229"/>
      <c r="H15" s="229"/>
      <c r="I15" s="230"/>
    </row>
    <row r="16" spans="1:9" ht="18.75" customHeight="1">
      <c r="B16" s="231"/>
      <c r="C16" s="232"/>
      <c r="D16" s="232"/>
      <c r="E16" s="232"/>
      <c r="F16" s="232"/>
      <c r="G16" s="232"/>
      <c r="H16" s="232"/>
      <c r="I16" s="233"/>
    </row>
    <row r="17" spans="1:10" ht="7.5" customHeight="1">
      <c r="C17" s="68"/>
      <c r="D17" s="68"/>
      <c r="E17" s="68"/>
      <c r="F17" s="68"/>
      <c r="G17" s="68"/>
      <c r="H17" s="68"/>
      <c r="I17" s="68"/>
    </row>
    <row r="18" spans="1:10" ht="18.75" customHeight="1">
      <c r="A18" s="68" t="s">
        <v>8</v>
      </c>
      <c r="B18" s="17" t="s">
        <v>70</v>
      </c>
      <c r="C18" s="17"/>
      <c r="D18" s="17"/>
      <c r="E18" s="17"/>
      <c r="F18" s="68"/>
      <c r="G18" s="68"/>
      <c r="H18" s="68"/>
      <c r="I18" s="68"/>
      <c r="J18" s="68"/>
    </row>
    <row r="19" spans="1:10" ht="18.75" customHeight="1">
      <c r="A19" s="120" t="s">
        <v>70</v>
      </c>
      <c r="B19" s="120"/>
      <c r="C19" s="120"/>
      <c r="D19" s="120"/>
      <c r="E19" s="120"/>
      <c r="F19" s="121" t="s">
        <v>70</v>
      </c>
      <c r="G19" s="121"/>
      <c r="H19" s="121"/>
      <c r="I19" s="121"/>
    </row>
    <row r="20" spans="1:10" ht="18.75" customHeight="1">
      <c r="A20" s="34">
        <v>1</v>
      </c>
      <c r="B20" s="119" t="s">
        <v>71</v>
      </c>
      <c r="C20" s="143"/>
      <c r="D20" s="143"/>
      <c r="E20" s="144"/>
      <c r="F20" s="34">
        <v>26</v>
      </c>
      <c r="G20" s="104"/>
      <c r="H20" s="105"/>
      <c r="I20" s="114"/>
    </row>
    <row r="21" spans="1:10" ht="18.75" customHeight="1">
      <c r="A21" s="34">
        <v>2</v>
      </c>
      <c r="B21" s="142" t="s">
        <v>72</v>
      </c>
      <c r="C21" s="143"/>
      <c r="D21" s="143"/>
      <c r="E21" s="144"/>
      <c r="F21" s="34">
        <v>27</v>
      </c>
      <c r="G21" s="104"/>
      <c r="H21" s="105"/>
      <c r="I21" s="114"/>
    </row>
    <row r="22" spans="1:10" ht="18.75" customHeight="1">
      <c r="A22" s="34">
        <v>3</v>
      </c>
      <c r="B22" s="142" t="s">
        <v>73</v>
      </c>
      <c r="C22" s="143"/>
      <c r="D22" s="143"/>
      <c r="E22" s="144"/>
      <c r="F22" s="34">
        <v>28</v>
      </c>
      <c r="G22" s="104"/>
      <c r="H22" s="105"/>
      <c r="I22" s="114"/>
    </row>
    <row r="23" spans="1:10" ht="18.75" customHeight="1">
      <c r="A23" s="34">
        <v>4</v>
      </c>
      <c r="B23" s="142" t="s">
        <v>74</v>
      </c>
      <c r="C23" s="143"/>
      <c r="D23" s="143"/>
      <c r="E23" s="144"/>
      <c r="F23" s="34">
        <v>29</v>
      </c>
      <c r="G23" s="104"/>
      <c r="H23" s="105"/>
      <c r="I23" s="114"/>
    </row>
    <row r="24" spans="1:10" ht="18.75" customHeight="1">
      <c r="A24" s="34">
        <v>5</v>
      </c>
      <c r="B24" s="119" t="s">
        <v>75</v>
      </c>
      <c r="C24" s="143"/>
      <c r="D24" s="143"/>
      <c r="E24" s="144"/>
      <c r="F24" s="34">
        <v>30</v>
      </c>
      <c r="G24" s="104"/>
      <c r="H24" s="105"/>
      <c r="I24" s="114"/>
    </row>
    <row r="25" spans="1:10" ht="18.75" customHeight="1">
      <c r="A25" s="34">
        <v>6</v>
      </c>
      <c r="B25" s="119" t="s">
        <v>76</v>
      </c>
      <c r="C25" s="143"/>
      <c r="D25" s="143"/>
      <c r="E25" s="144"/>
      <c r="F25" s="34">
        <v>31</v>
      </c>
      <c r="G25" s="104"/>
      <c r="H25" s="105"/>
      <c r="I25" s="114"/>
    </row>
    <row r="26" spans="1:10" ht="18.75" customHeight="1">
      <c r="A26" s="34">
        <v>7</v>
      </c>
      <c r="B26" s="119" t="s">
        <v>77</v>
      </c>
      <c r="C26" s="143"/>
      <c r="D26" s="143"/>
      <c r="E26" s="144"/>
      <c r="F26" s="34">
        <v>32</v>
      </c>
      <c r="G26" s="104"/>
      <c r="H26" s="105"/>
      <c r="I26" s="114"/>
    </row>
    <row r="27" spans="1:10" ht="18.75" customHeight="1">
      <c r="A27" s="34">
        <v>8</v>
      </c>
      <c r="B27" s="119" t="s">
        <v>78</v>
      </c>
      <c r="C27" s="143"/>
      <c r="D27" s="143"/>
      <c r="E27" s="144"/>
      <c r="F27" s="34">
        <v>33</v>
      </c>
      <c r="G27" s="104"/>
      <c r="H27" s="105"/>
      <c r="I27" s="114"/>
    </row>
    <row r="28" spans="1:10" ht="18.75" customHeight="1">
      <c r="A28" s="34">
        <v>9</v>
      </c>
      <c r="B28" s="119" t="s">
        <v>79</v>
      </c>
      <c r="C28" s="143"/>
      <c r="D28" s="143"/>
      <c r="E28" s="144"/>
      <c r="F28" s="34">
        <v>34</v>
      </c>
      <c r="G28" s="104"/>
      <c r="H28" s="105"/>
      <c r="I28" s="114"/>
    </row>
    <row r="29" spans="1:10" ht="18.75" customHeight="1">
      <c r="A29" s="34">
        <v>10</v>
      </c>
      <c r="B29" s="119" t="s">
        <v>80</v>
      </c>
      <c r="C29" s="143"/>
      <c r="D29" s="143"/>
      <c r="E29" s="144"/>
      <c r="F29" s="34">
        <v>35</v>
      </c>
      <c r="G29" s="104"/>
      <c r="H29" s="105"/>
      <c r="I29" s="114"/>
    </row>
    <row r="30" spans="1:10" ht="18.75" customHeight="1">
      <c r="A30" s="34">
        <v>11</v>
      </c>
      <c r="B30" s="104" t="s">
        <v>81</v>
      </c>
      <c r="C30" s="105"/>
      <c r="D30" s="105"/>
      <c r="E30" s="114"/>
      <c r="F30" s="34">
        <v>36</v>
      </c>
      <c r="G30" s="104"/>
      <c r="H30" s="105"/>
      <c r="I30" s="114"/>
    </row>
    <row r="31" spans="1:10" ht="18.75" customHeight="1">
      <c r="A31" s="34">
        <v>12</v>
      </c>
      <c r="B31" s="104" t="s">
        <v>82</v>
      </c>
      <c r="C31" s="105"/>
      <c r="D31" s="105"/>
      <c r="E31" s="114"/>
      <c r="F31" s="34">
        <v>37</v>
      </c>
      <c r="G31" s="104"/>
      <c r="H31" s="105"/>
      <c r="I31" s="114"/>
    </row>
    <row r="32" spans="1:10" ht="18.75" customHeight="1">
      <c r="A32" s="34">
        <v>13</v>
      </c>
      <c r="B32" s="104" t="s">
        <v>83</v>
      </c>
      <c r="C32" s="105"/>
      <c r="D32" s="105"/>
      <c r="E32" s="114"/>
      <c r="F32" s="34">
        <v>38</v>
      </c>
      <c r="G32" s="104"/>
      <c r="H32" s="105"/>
      <c r="I32" s="114"/>
    </row>
    <row r="33" spans="1:9" ht="18.75" customHeight="1">
      <c r="A33" s="34">
        <v>14</v>
      </c>
      <c r="B33" s="104"/>
      <c r="C33" s="105"/>
      <c r="D33" s="105"/>
      <c r="E33" s="114"/>
      <c r="F33" s="34">
        <v>39</v>
      </c>
      <c r="G33" s="104"/>
      <c r="H33" s="105"/>
      <c r="I33" s="114"/>
    </row>
    <row r="34" spans="1:9" ht="18.75" customHeight="1">
      <c r="A34" s="34">
        <v>15</v>
      </c>
      <c r="B34" s="104"/>
      <c r="C34" s="105"/>
      <c r="D34" s="105"/>
      <c r="E34" s="114"/>
      <c r="F34" s="34">
        <v>40</v>
      </c>
      <c r="G34" s="104"/>
      <c r="H34" s="105"/>
      <c r="I34" s="114"/>
    </row>
    <row r="35" spans="1:9" ht="18.75" customHeight="1">
      <c r="A35" s="34">
        <v>16</v>
      </c>
      <c r="B35" s="104"/>
      <c r="C35" s="105"/>
      <c r="D35" s="105"/>
      <c r="E35" s="114"/>
      <c r="F35" s="34">
        <v>41</v>
      </c>
      <c r="G35" s="104"/>
      <c r="H35" s="105"/>
      <c r="I35" s="114"/>
    </row>
    <row r="36" spans="1:9" ht="18.75" customHeight="1">
      <c r="A36" s="34">
        <v>17</v>
      </c>
      <c r="B36" s="104"/>
      <c r="C36" s="105"/>
      <c r="D36" s="105"/>
      <c r="E36" s="114"/>
      <c r="F36" s="34">
        <v>42</v>
      </c>
      <c r="G36" s="104"/>
      <c r="H36" s="105"/>
      <c r="I36" s="114"/>
    </row>
    <row r="37" spans="1:9" ht="18.75" customHeight="1">
      <c r="A37" s="34">
        <v>18</v>
      </c>
      <c r="B37" s="104"/>
      <c r="C37" s="105"/>
      <c r="D37" s="105"/>
      <c r="E37" s="114"/>
      <c r="F37" s="34">
        <v>43</v>
      </c>
      <c r="G37" s="104"/>
      <c r="H37" s="105"/>
      <c r="I37" s="114"/>
    </row>
    <row r="38" spans="1:9" ht="18.75" customHeight="1">
      <c r="A38" s="34">
        <v>19</v>
      </c>
      <c r="B38" s="104"/>
      <c r="C38" s="105"/>
      <c r="D38" s="105"/>
      <c r="E38" s="114"/>
      <c r="F38" s="34">
        <v>44</v>
      </c>
      <c r="G38" s="104"/>
      <c r="H38" s="105"/>
      <c r="I38" s="114"/>
    </row>
    <row r="39" spans="1:9" ht="18.75" customHeight="1">
      <c r="A39" s="34">
        <v>20</v>
      </c>
      <c r="B39" s="104"/>
      <c r="C39" s="105"/>
      <c r="D39" s="105"/>
      <c r="E39" s="114"/>
      <c r="F39" s="34">
        <v>45</v>
      </c>
      <c r="G39" s="104"/>
      <c r="H39" s="105"/>
      <c r="I39" s="114"/>
    </row>
    <row r="40" spans="1:9" ht="18.75" customHeight="1">
      <c r="A40" s="34">
        <v>21</v>
      </c>
      <c r="B40" s="104"/>
      <c r="C40" s="105"/>
      <c r="D40" s="105"/>
      <c r="E40" s="114"/>
      <c r="F40" s="34">
        <v>46</v>
      </c>
      <c r="G40" s="104"/>
      <c r="H40" s="105"/>
      <c r="I40" s="114"/>
    </row>
    <row r="41" spans="1:9" ht="18.75" customHeight="1">
      <c r="A41" s="34">
        <v>22</v>
      </c>
      <c r="B41" s="104"/>
      <c r="C41" s="105"/>
      <c r="D41" s="105"/>
      <c r="E41" s="114"/>
      <c r="F41" s="34">
        <v>47</v>
      </c>
      <c r="G41" s="104"/>
      <c r="H41" s="105"/>
      <c r="I41" s="114"/>
    </row>
    <row r="42" spans="1:9" ht="18.75" customHeight="1">
      <c r="A42" s="34">
        <v>23</v>
      </c>
      <c r="B42" s="104"/>
      <c r="C42" s="105"/>
      <c r="D42" s="105"/>
      <c r="E42" s="114"/>
      <c r="F42" s="34">
        <v>48</v>
      </c>
      <c r="G42" s="104"/>
      <c r="H42" s="105"/>
      <c r="I42" s="114"/>
    </row>
    <row r="43" spans="1:9" ht="18.75" customHeight="1">
      <c r="A43" s="34">
        <v>24</v>
      </c>
      <c r="B43" s="104"/>
      <c r="C43" s="105"/>
      <c r="D43" s="105"/>
      <c r="E43" s="114"/>
      <c r="F43" s="34">
        <v>49</v>
      </c>
      <c r="G43" s="104"/>
      <c r="H43" s="105"/>
      <c r="I43" s="114"/>
    </row>
    <row r="44" spans="1:9" ht="18.75" customHeight="1">
      <c r="A44" s="34">
        <v>25</v>
      </c>
      <c r="B44" s="104"/>
      <c r="C44" s="105"/>
      <c r="D44" s="105"/>
      <c r="E44" s="114"/>
      <c r="F44" s="34">
        <v>50</v>
      </c>
      <c r="G44" s="104"/>
      <c r="H44" s="105"/>
      <c r="I44" s="114"/>
    </row>
  </sheetData>
  <mergeCells count="56">
    <mergeCell ref="G44:I44"/>
    <mergeCell ref="G39:I39"/>
    <mergeCell ref="G40:I40"/>
    <mergeCell ref="G41:I41"/>
    <mergeCell ref="G42:I42"/>
    <mergeCell ref="G43:I43"/>
    <mergeCell ref="G34:I34"/>
    <mergeCell ref="G35:I35"/>
    <mergeCell ref="G36:I36"/>
    <mergeCell ref="G37:I37"/>
    <mergeCell ref="G38:I38"/>
    <mergeCell ref="B44:E44"/>
    <mergeCell ref="G21:I21"/>
    <mergeCell ref="G22:I22"/>
    <mergeCell ref="G23:I23"/>
    <mergeCell ref="G24:I24"/>
    <mergeCell ref="G29:I29"/>
    <mergeCell ref="G30:I30"/>
    <mergeCell ref="G31:I31"/>
    <mergeCell ref="G32:I32"/>
    <mergeCell ref="G33:I33"/>
    <mergeCell ref="B39:E39"/>
    <mergeCell ref="B40:E40"/>
    <mergeCell ref="B41:E41"/>
    <mergeCell ref="B42:E42"/>
    <mergeCell ref="B43:E43"/>
    <mergeCell ref="B34:E34"/>
    <mergeCell ref="B35:E35"/>
    <mergeCell ref="B36:E36"/>
    <mergeCell ref="B37:E37"/>
    <mergeCell ref="B38:E38"/>
    <mergeCell ref="B29:E29"/>
    <mergeCell ref="B30:E30"/>
    <mergeCell ref="B31:E31"/>
    <mergeCell ref="B32:E32"/>
    <mergeCell ref="B33:E33"/>
    <mergeCell ref="E6:I6"/>
    <mergeCell ref="H2:I2"/>
    <mergeCell ref="A4:I4"/>
    <mergeCell ref="A19:E19"/>
    <mergeCell ref="F19:I19"/>
    <mergeCell ref="B25:E25"/>
    <mergeCell ref="B26:E26"/>
    <mergeCell ref="B27:E27"/>
    <mergeCell ref="B28:E28"/>
    <mergeCell ref="B9:I16"/>
    <mergeCell ref="B20:E20"/>
    <mergeCell ref="B21:E21"/>
    <mergeCell ref="B22:E22"/>
    <mergeCell ref="B23:E23"/>
    <mergeCell ref="B24:E24"/>
    <mergeCell ref="G20:I20"/>
    <mergeCell ref="G25:I25"/>
    <mergeCell ref="G26:I26"/>
    <mergeCell ref="G27:I27"/>
    <mergeCell ref="G28:I28"/>
  </mergeCells>
  <phoneticPr fontId="3"/>
  <dataValidations count="2">
    <dataValidation type="list" allowBlank="1" showInputMessage="1" showErrorMessage="1" sqref="F7:I7" xr:uid="{00000000-0002-0000-0100-000000000000}">
      <formula1>"学部等によって、認定要件は相違する,学部等によって、認定要件は相違しない"</formula1>
    </dataValidation>
    <dataValidation type="list" allowBlank="1" showInputMessage="1" showErrorMessage="1" sqref="E6:I6" xr:uid="{00000000-0002-0000-0100-000001000000}">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headerFooter>
    <oddFooter>&amp;C2</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125"/>
  <sheetViews>
    <sheetView zoomScale="180" zoomScaleNormal="180" workbookViewId="0">
      <selection activeCell="K23" sqref="K23"/>
    </sheetView>
  </sheetViews>
  <sheetFormatPr defaultColWidth="9" defaultRowHeight="18.75" customHeight="1"/>
  <cols>
    <col min="1" max="1" width="2.5" style="63" customWidth="1"/>
    <col min="2" max="2" width="12.5" style="63" customWidth="1"/>
    <col min="3" max="3" width="16.625" style="63" customWidth="1"/>
    <col min="4" max="17" width="6.375" style="63" customWidth="1"/>
    <col min="18" max="18" width="8" style="63" bestFit="1" customWidth="1"/>
    <col min="19" max="16384" width="9" style="63"/>
  </cols>
  <sheetData>
    <row r="1" spans="1:20" ht="18.75" customHeight="1">
      <c r="A1" s="76"/>
      <c r="B1" s="76"/>
      <c r="C1" s="76"/>
      <c r="D1" s="76"/>
      <c r="E1" s="76"/>
      <c r="F1" s="234" t="s">
        <v>84</v>
      </c>
      <c r="G1" s="234"/>
      <c r="H1" s="234"/>
      <c r="I1" s="234"/>
      <c r="J1" s="234"/>
      <c r="K1" s="234"/>
      <c r="L1" s="234"/>
      <c r="M1" s="234"/>
      <c r="N1" s="234"/>
      <c r="O1" s="234"/>
      <c r="P1" s="234"/>
      <c r="Q1" s="234"/>
      <c r="R1" s="234"/>
      <c r="S1" s="76"/>
      <c r="T1" s="76"/>
    </row>
    <row r="2" spans="1:20" ht="18.75" customHeight="1">
      <c r="A2" s="76"/>
      <c r="B2" s="76"/>
      <c r="C2" s="76"/>
      <c r="D2" s="40"/>
      <c r="E2" s="40"/>
      <c r="F2" s="40"/>
      <c r="G2" s="40"/>
      <c r="H2" s="40"/>
      <c r="I2" s="40"/>
      <c r="J2" s="40"/>
      <c r="K2" s="235" t="s">
        <v>85</v>
      </c>
      <c r="L2" s="235"/>
      <c r="M2" s="40"/>
      <c r="N2" s="40"/>
      <c r="O2" s="40"/>
      <c r="P2" s="40"/>
      <c r="Q2" s="40"/>
      <c r="R2" s="40"/>
      <c r="S2" s="76"/>
      <c r="T2" s="76"/>
    </row>
    <row r="3" spans="1:20" ht="7.5" customHeight="1">
      <c r="A3" s="76"/>
      <c r="B3" s="76"/>
      <c r="C3" s="76"/>
      <c r="D3" s="76"/>
      <c r="E3" s="76"/>
      <c r="F3" s="76"/>
      <c r="G3" s="76"/>
      <c r="H3" s="76"/>
      <c r="I3" s="76"/>
      <c r="J3" s="76"/>
      <c r="K3" s="76"/>
      <c r="L3" s="76"/>
      <c r="M3" s="76"/>
      <c r="N3" s="76"/>
      <c r="O3" s="76"/>
      <c r="P3" s="76"/>
      <c r="Q3" s="76"/>
      <c r="R3" s="76"/>
      <c r="S3" s="76"/>
      <c r="T3" s="76"/>
    </row>
    <row r="4" spans="1:20" ht="18.75" customHeight="1">
      <c r="A4" s="124" t="s">
        <v>86</v>
      </c>
      <c r="B4" s="124"/>
      <c r="C4" s="124"/>
      <c r="D4" s="124"/>
      <c r="E4" s="124"/>
      <c r="F4" s="124"/>
      <c r="G4" s="124"/>
      <c r="H4" s="124"/>
      <c r="I4" s="124"/>
      <c r="J4" s="124"/>
      <c r="K4" s="124"/>
      <c r="L4" s="124"/>
      <c r="M4" s="124"/>
      <c r="N4" s="124"/>
      <c r="O4" s="124"/>
      <c r="P4" s="124"/>
      <c r="Q4" s="124"/>
      <c r="R4" s="124"/>
      <c r="S4" s="7"/>
      <c r="T4" s="76"/>
    </row>
    <row r="5" spans="1:20" ht="7.5" customHeight="1">
      <c r="A5" s="72"/>
      <c r="B5" s="72"/>
      <c r="C5" s="72"/>
      <c r="D5" s="72"/>
      <c r="E5" s="72"/>
      <c r="F5" s="72"/>
      <c r="G5" s="72"/>
      <c r="H5" s="72"/>
      <c r="I5" s="72"/>
      <c r="J5" s="72"/>
      <c r="K5" s="72"/>
      <c r="L5" s="72"/>
      <c r="M5" s="72"/>
      <c r="N5" s="72"/>
      <c r="O5" s="72"/>
      <c r="P5" s="72"/>
      <c r="Q5" s="72"/>
      <c r="R5" s="72"/>
      <c r="S5" s="76"/>
      <c r="T5" s="76"/>
    </row>
    <row r="6" spans="1:20" ht="18.75" customHeight="1">
      <c r="A6" s="76"/>
      <c r="B6" s="125" t="s">
        <v>87</v>
      </c>
      <c r="C6" s="126"/>
      <c r="D6" s="129" t="s">
        <v>88</v>
      </c>
      <c r="E6" s="131" t="s">
        <v>89</v>
      </c>
      <c r="F6" s="131"/>
      <c r="G6" s="131" t="s">
        <v>90</v>
      </c>
      <c r="H6" s="131"/>
      <c r="I6" s="132" t="s">
        <v>91</v>
      </c>
      <c r="J6" s="133"/>
      <c r="K6" s="132" t="s">
        <v>92</v>
      </c>
      <c r="L6" s="133"/>
      <c r="M6" s="132" t="s">
        <v>93</v>
      </c>
      <c r="N6" s="133"/>
      <c r="O6" s="132" t="s">
        <v>94</v>
      </c>
      <c r="P6" s="133"/>
      <c r="Q6" s="134" t="s">
        <v>95</v>
      </c>
      <c r="R6" s="136" t="s">
        <v>96</v>
      </c>
      <c r="S6" s="76"/>
      <c r="T6" s="41"/>
    </row>
    <row r="7" spans="1:20" ht="18.75" customHeight="1">
      <c r="A7" s="76"/>
      <c r="B7" s="127"/>
      <c r="C7" s="128"/>
      <c r="D7" s="130"/>
      <c r="E7" s="26" t="s">
        <v>97</v>
      </c>
      <c r="F7" s="28" t="s">
        <v>98</v>
      </c>
      <c r="G7" s="29" t="s">
        <v>97</v>
      </c>
      <c r="H7" s="27" t="s">
        <v>98</v>
      </c>
      <c r="I7" s="26" t="s">
        <v>97</v>
      </c>
      <c r="J7" s="28" t="s">
        <v>98</v>
      </c>
      <c r="K7" s="29" t="s">
        <v>97</v>
      </c>
      <c r="L7" s="27" t="s">
        <v>98</v>
      </c>
      <c r="M7" s="26" t="s">
        <v>97</v>
      </c>
      <c r="N7" s="28" t="s">
        <v>98</v>
      </c>
      <c r="O7" s="29" t="s">
        <v>97</v>
      </c>
      <c r="P7" s="27" t="s">
        <v>98</v>
      </c>
      <c r="Q7" s="135"/>
      <c r="R7" s="137"/>
      <c r="S7" s="76"/>
      <c r="T7" s="41"/>
    </row>
    <row r="8" spans="1:20" ht="18.75" customHeight="1">
      <c r="A8" s="40"/>
      <c r="B8" s="138" t="s">
        <v>99</v>
      </c>
      <c r="C8" s="139"/>
      <c r="D8" s="64">
        <v>3600</v>
      </c>
      <c r="E8" s="42">
        <v>237</v>
      </c>
      <c r="F8" s="43">
        <v>112</v>
      </c>
      <c r="G8" s="44">
        <v>326</v>
      </c>
      <c r="H8" s="45">
        <v>75</v>
      </c>
      <c r="I8" s="42">
        <v>297</v>
      </c>
      <c r="J8" s="43">
        <v>18</v>
      </c>
      <c r="K8" s="44">
        <v>279</v>
      </c>
      <c r="L8" s="45">
        <v>7</v>
      </c>
      <c r="M8" s="42"/>
      <c r="N8" s="43"/>
      <c r="O8" s="44"/>
      <c r="P8" s="45"/>
      <c r="Q8" s="46">
        <f>E8+G8+I8+K8+M8+O8</f>
        <v>1139</v>
      </c>
      <c r="R8" s="47">
        <f>Q8/D8</f>
        <v>0.31638888888888889</v>
      </c>
      <c r="S8" s="76"/>
      <c r="T8" s="76"/>
    </row>
    <row r="9" spans="1:20" ht="18.75" customHeight="1">
      <c r="A9" s="40"/>
      <c r="B9" s="122" t="s">
        <v>100</v>
      </c>
      <c r="C9" s="123"/>
      <c r="D9" s="65">
        <v>2960</v>
      </c>
      <c r="E9" s="48">
        <v>136</v>
      </c>
      <c r="F9" s="49">
        <v>27</v>
      </c>
      <c r="G9" s="50">
        <v>185</v>
      </c>
      <c r="H9" s="51">
        <v>7</v>
      </c>
      <c r="I9" s="48">
        <v>219</v>
      </c>
      <c r="J9" s="49">
        <v>7</v>
      </c>
      <c r="K9" s="50">
        <v>212</v>
      </c>
      <c r="L9" s="51">
        <v>5</v>
      </c>
      <c r="M9" s="48"/>
      <c r="N9" s="49"/>
      <c r="O9" s="50"/>
      <c r="P9" s="51"/>
      <c r="Q9" s="52">
        <f t="shared" ref="Q9:Q20" si="0">E9+G9+I9+K9+M9+O9</f>
        <v>752</v>
      </c>
      <c r="R9" s="47">
        <f t="shared" ref="R9:R20" si="1">Q9/D9</f>
        <v>0.25405405405405407</v>
      </c>
      <c r="S9" s="76"/>
      <c r="T9" s="76"/>
    </row>
    <row r="10" spans="1:20" ht="18.75" customHeight="1">
      <c r="A10" s="40"/>
      <c r="B10" s="122" t="s">
        <v>101</v>
      </c>
      <c r="C10" s="123"/>
      <c r="D10" s="65">
        <v>3840</v>
      </c>
      <c r="E10" s="48">
        <v>168</v>
      </c>
      <c r="F10" s="49">
        <v>53</v>
      </c>
      <c r="G10" s="50">
        <v>246</v>
      </c>
      <c r="H10" s="51">
        <v>41</v>
      </c>
      <c r="I10" s="48">
        <v>290</v>
      </c>
      <c r="J10" s="49">
        <v>13</v>
      </c>
      <c r="K10" s="50">
        <v>212</v>
      </c>
      <c r="L10" s="51">
        <v>3</v>
      </c>
      <c r="M10" s="48"/>
      <c r="N10" s="49"/>
      <c r="O10" s="50"/>
      <c r="P10" s="51"/>
      <c r="Q10" s="52">
        <f t="shared" si="0"/>
        <v>916</v>
      </c>
      <c r="R10" s="47">
        <f t="shared" si="1"/>
        <v>0.23854166666666668</v>
      </c>
      <c r="S10" s="76"/>
      <c r="T10" s="76"/>
    </row>
    <row r="11" spans="1:20" ht="18.75" customHeight="1">
      <c r="A11" s="40"/>
      <c r="B11" s="122" t="s">
        <v>102</v>
      </c>
      <c r="C11" s="123"/>
      <c r="D11" s="65">
        <v>3600</v>
      </c>
      <c r="E11" s="48">
        <v>900</v>
      </c>
      <c r="F11" s="49">
        <v>846</v>
      </c>
      <c r="G11" s="50">
        <v>900</v>
      </c>
      <c r="H11" s="51">
        <v>830</v>
      </c>
      <c r="I11" s="48">
        <v>900</v>
      </c>
      <c r="J11" s="49">
        <v>840</v>
      </c>
      <c r="K11" s="50">
        <v>900</v>
      </c>
      <c r="L11" s="51">
        <v>893</v>
      </c>
      <c r="M11" s="48"/>
      <c r="N11" s="49"/>
      <c r="O11" s="50"/>
      <c r="P11" s="51"/>
      <c r="Q11" s="52">
        <f t="shared" si="0"/>
        <v>3600</v>
      </c>
      <c r="R11" s="47">
        <f t="shared" si="1"/>
        <v>1</v>
      </c>
      <c r="S11" s="76" t="s">
        <v>103</v>
      </c>
      <c r="T11" s="76"/>
    </row>
    <row r="12" spans="1:20" ht="18.75" customHeight="1">
      <c r="A12" s="40"/>
      <c r="B12" s="122" t="s">
        <v>104</v>
      </c>
      <c r="C12" s="123"/>
      <c r="D12" s="65">
        <v>2520</v>
      </c>
      <c r="E12" s="48">
        <v>103</v>
      </c>
      <c r="F12" s="49">
        <v>27</v>
      </c>
      <c r="G12" s="50">
        <v>184</v>
      </c>
      <c r="H12" s="51">
        <v>35</v>
      </c>
      <c r="I12" s="48">
        <v>198</v>
      </c>
      <c r="J12" s="49">
        <v>25</v>
      </c>
      <c r="K12" s="50">
        <v>185</v>
      </c>
      <c r="L12" s="51">
        <v>4</v>
      </c>
      <c r="M12" s="48"/>
      <c r="N12" s="49"/>
      <c r="O12" s="50"/>
      <c r="P12" s="51"/>
      <c r="Q12" s="52">
        <f t="shared" si="0"/>
        <v>670</v>
      </c>
      <c r="R12" s="47">
        <f t="shared" si="1"/>
        <v>0.26587301587301587</v>
      </c>
      <c r="S12" s="76"/>
      <c r="T12" s="76"/>
    </row>
    <row r="13" spans="1:20" ht="18.75" customHeight="1">
      <c r="A13" s="40"/>
      <c r="B13" s="122" t="s">
        <v>105</v>
      </c>
      <c r="C13" s="123"/>
      <c r="D13" s="65">
        <v>2240</v>
      </c>
      <c r="E13" s="48">
        <v>127</v>
      </c>
      <c r="F13" s="49">
        <v>49</v>
      </c>
      <c r="G13" s="50">
        <v>260</v>
      </c>
      <c r="H13" s="51">
        <v>42</v>
      </c>
      <c r="I13" s="48">
        <v>254</v>
      </c>
      <c r="J13" s="49">
        <v>19</v>
      </c>
      <c r="K13" s="50">
        <v>265</v>
      </c>
      <c r="L13" s="51">
        <v>16</v>
      </c>
      <c r="M13" s="48"/>
      <c r="N13" s="49"/>
      <c r="O13" s="50"/>
      <c r="P13" s="51"/>
      <c r="Q13" s="52">
        <f t="shared" si="0"/>
        <v>906</v>
      </c>
      <c r="R13" s="47">
        <f t="shared" si="1"/>
        <v>0.40446428571428572</v>
      </c>
      <c r="S13" s="76"/>
      <c r="T13" s="76"/>
    </row>
    <row r="14" spans="1:20" ht="18.75" customHeight="1">
      <c r="A14" s="40"/>
      <c r="B14" s="122" t="s">
        <v>106</v>
      </c>
      <c r="C14" s="123"/>
      <c r="D14" s="65">
        <v>1600</v>
      </c>
      <c r="E14" s="48">
        <v>66</v>
      </c>
      <c r="F14" s="49">
        <v>20</v>
      </c>
      <c r="G14" s="50">
        <v>161</v>
      </c>
      <c r="H14" s="51">
        <v>29</v>
      </c>
      <c r="I14" s="48">
        <v>242</v>
      </c>
      <c r="J14" s="49">
        <v>40</v>
      </c>
      <c r="K14" s="50">
        <v>208</v>
      </c>
      <c r="L14" s="51">
        <v>11</v>
      </c>
      <c r="M14" s="48"/>
      <c r="N14" s="49"/>
      <c r="O14" s="50"/>
      <c r="P14" s="51"/>
      <c r="Q14" s="52">
        <f t="shared" si="0"/>
        <v>677</v>
      </c>
      <c r="R14" s="47">
        <f t="shared" si="1"/>
        <v>0.42312499999999997</v>
      </c>
      <c r="S14" s="76"/>
      <c r="T14" s="76"/>
    </row>
    <row r="15" spans="1:20" ht="18.75" customHeight="1">
      <c r="A15" s="40"/>
      <c r="B15" s="122" t="s">
        <v>107</v>
      </c>
      <c r="C15" s="123"/>
      <c r="D15" s="65">
        <v>2400</v>
      </c>
      <c r="E15" s="48">
        <v>82</v>
      </c>
      <c r="F15" s="49">
        <v>26</v>
      </c>
      <c r="G15" s="50">
        <v>92</v>
      </c>
      <c r="H15" s="51">
        <v>16</v>
      </c>
      <c r="I15" s="48">
        <v>92</v>
      </c>
      <c r="J15" s="49">
        <v>6</v>
      </c>
      <c r="K15" s="50">
        <v>93</v>
      </c>
      <c r="L15" s="51">
        <v>1</v>
      </c>
      <c r="M15" s="48"/>
      <c r="N15" s="49"/>
      <c r="O15" s="50"/>
      <c r="P15" s="51"/>
      <c r="Q15" s="52">
        <f t="shared" si="0"/>
        <v>359</v>
      </c>
      <c r="R15" s="47">
        <f t="shared" si="1"/>
        <v>0.14958333333333335</v>
      </c>
      <c r="S15" s="76"/>
      <c r="T15" s="76"/>
    </row>
    <row r="16" spans="1:20" ht="18.75" customHeight="1">
      <c r="A16" s="40"/>
      <c r="B16" s="122" t="s">
        <v>108</v>
      </c>
      <c r="C16" s="123"/>
      <c r="D16" s="65">
        <v>3440</v>
      </c>
      <c r="E16" s="48">
        <v>84</v>
      </c>
      <c r="F16" s="49">
        <v>13</v>
      </c>
      <c r="G16" s="50">
        <v>87</v>
      </c>
      <c r="H16" s="51">
        <v>22</v>
      </c>
      <c r="I16" s="48">
        <v>103</v>
      </c>
      <c r="J16" s="49">
        <v>2</v>
      </c>
      <c r="K16" s="50">
        <v>100</v>
      </c>
      <c r="L16" s="51">
        <v>3</v>
      </c>
      <c r="M16" s="48"/>
      <c r="N16" s="49"/>
      <c r="O16" s="50"/>
      <c r="P16" s="51"/>
      <c r="Q16" s="52">
        <f>E16+G16+I16+K16+M16+O16</f>
        <v>374</v>
      </c>
      <c r="R16" s="47">
        <f t="shared" si="1"/>
        <v>0.10872093023255813</v>
      </c>
      <c r="S16" s="76"/>
      <c r="T16" s="76"/>
    </row>
    <row r="17" spans="1:18" ht="18.75" customHeight="1">
      <c r="A17" s="40"/>
      <c r="B17" s="122" t="s">
        <v>109</v>
      </c>
      <c r="C17" s="123"/>
      <c r="D17" s="65">
        <v>2640</v>
      </c>
      <c r="E17" s="48">
        <v>61</v>
      </c>
      <c r="F17" s="49">
        <v>11</v>
      </c>
      <c r="G17" s="50">
        <v>62</v>
      </c>
      <c r="H17" s="51">
        <v>9</v>
      </c>
      <c r="I17" s="48">
        <v>61</v>
      </c>
      <c r="J17" s="49">
        <v>8</v>
      </c>
      <c r="K17" s="50">
        <v>67</v>
      </c>
      <c r="L17" s="51">
        <v>2</v>
      </c>
      <c r="M17" s="48"/>
      <c r="N17" s="49"/>
      <c r="O17" s="50"/>
      <c r="P17" s="51"/>
      <c r="Q17" s="52">
        <f t="shared" si="0"/>
        <v>251</v>
      </c>
      <c r="R17" s="47">
        <f t="shared" si="1"/>
        <v>9.5075757575757577E-2</v>
      </c>
    </row>
    <row r="18" spans="1:18" ht="18.75" customHeight="1">
      <c r="A18" s="40"/>
      <c r="B18" s="122" t="s">
        <v>110</v>
      </c>
      <c r="C18" s="123"/>
      <c r="D18" s="65">
        <v>2380</v>
      </c>
      <c r="E18" s="48">
        <v>37</v>
      </c>
      <c r="F18" s="49">
        <v>22</v>
      </c>
      <c r="G18" s="50">
        <v>42</v>
      </c>
      <c r="H18" s="51">
        <v>12</v>
      </c>
      <c r="I18" s="48">
        <v>62</v>
      </c>
      <c r="J18" s="49">
        <v>2</v>
      </c>
      <c r="K18" s="50">
        <v>80</v>
      </c>
      <c r="L18" s="51">
        <v>1</v>
      </c>
      <c r="M18" s="48"/>
      <c r="N18" s="49"/>
      <c r="O18" s="50"/>
      <c r="P18" s="51"/>
      <c r="Q18" s="52">
        <f t="shared" si="0"/>
        <v>221</v>
      </c>
      <c r="R18" s="47">
        <f t="shared" si="1"/>
        <v>9.285714285714286E-2</v>
      </c>
    </row>
    <row r="19" spans="1:18" ht="18.75" customHeight="1">
      <c r="A19" s="40"/>
      <c r="B19" s="122" t="s">
        <v>111</v>
      </c>
      <c r="C19" s="123"/>
      <c r="D19" s="65">
        <v>2380</v>
      </c>
      <c r="E19" s="48">
        <v>23</v>
      </c>
      <c r="F19" s="49">
        <v>10</v>
      </c>
      <c r="G19" s="50">
        <v>28</v>
      </c>
      <c r="H19" s="51">
        <v>5</v>
      </c>
      <c r="I19" s="48">
        <v>72</v>
      </c>
      <c r="J19" s="49">
        <v>8</v>
      </c>
      <c r="K19" s="50">
        <v>89</v>
      </c>
      <c r="L19" s="51">
        <v>1</v>
      </c>
      <c r="M19" s="48"/>
      <c r="N19" s="49"/>
      <c r="O19" s="50"/>
      <c r="P19" s="51"/>
      <c r="Q19" s="52">
        <f t="shared" si="0"/>
        <v>212</v>
      </c>
      <c r="R19" s="47">
        <f t="shared" si="1"/>
        <v>8.9075630252100843E-2</v>
      </c>
    </row>
    <row r="20" spans="1:18" ht="18.75" customHeight="1" thickBot="1">
      <c r="A20" s="40"/>
      <c r="B20" s="122" t="s">
        <v>112</v>
      </c>
      <c r="C20" s="123"/>
      <c r="D20" s="65">
        <v>2160</v>
      </c>
      <c r="E20" s="48">
        <v>28</v>
      </c>
      <c r="F20" s="49">
        <v>23</v>
      </c>
      <c r="G20" s="50">
        <v>34</v>
      </c>
      <c r="H20" s="51">
        <v>8</v>
      </c>
      <c r="I20" s="48">
        <v>52</v>
      </c>
      <c r="J20" s="49">
        <v>6</v>
      </c>
      <c r="K20" s="50">
        <v>91</v>
      </c>
      <c r="L20" s="51">
        <v>6</v>
      </c>
      <c r="M20" s="48"/>
      <c r="N20" s="49"/>
      <c r="O20" s="50"/>
      <c r="P20" s="51"/>
      <c r="Q20" s="52">
        <f t="shared" si="0"/>
        <v>205</v>
      </c>
      <c r="R20" s="47">
        <f t="shared" si="1"/>
        <v>9.4907407407407413E-2</v>
      </c>
    </row>
    <row r="21" spans="1:18" ht="18.75" customHeight="1" thickTop="1">
      <c r="A21" s="40"/>
      <c r="B21" s="140" t="s">
        <v>113</v>
      </c>
      <c r="C21" s="141"/>
      <c r="D21" s="53">
        <f t="shared" ref="D21:Q21" si="2">SUM(D8:D20)</f>
        <v>35760</v>
      </c>
      <c r="E21" s="53">
        <f t="shared" si="2"/>
        <v>2052</v>
      </c>
      <c r="F21" s="54">
        <f t="shared" si="2"/>
        <v>1239</v>
      </c>
      <c r="G21" s="55">
        <f t="shared" si="2"/>
        <v>2607</v>
      </c>
      <c r="H21" s="56">
        <f t="shared" si="2"/>
        <v>1131</v>
      </c>
      <c r="I21" s="53">
        <f t="shared" si="2"/>
        <v>2842</v>
      </c>
      <c r="J21" s="54">
        <f t="shared" si="2"/>
        <v>994</v>
      </c>
      <c r="K21" s="55">
        <f t="shared" si="2"/>
        <v>2781</v>
      </c>
      <c r="L21" s="56">
        <f t="shared" si="2"/>
        <v>953</v>
      </c>
      <c r="M21" s="53">
        <f t="shared" si="2"/>
        <v>0</v>
      </c>
      <c r="N21" s="54">
        <f t="shared" si="2"/>
        <v>0</v>
      </c>
      <c r="O21" s="55">
        <f t="shared" si="2"/>
        <v>0</v>
      </c>
      <c r="P21" s="56">
        <f t="shared" si="2"/>
        <v>0</v>
      </c>
      <c r="Q21" s="57">
        <f t="shared" si="2"/>
        <v>10282</v>
      </c>
      <c r="R21" s="58">
        <f>Q21/D21</f>
        <v>0.28752796420581656</v>
      </c>
    </row>
    <row r="22" spans="1:18" ht="6.75" customHeight="1">
      <c r="A22" s="40"/>
      <c r="B22" s="40"/>
      <c r="C22" s="40"/>
      <c r="D22" s="66"/>
      <c r="E22" s="66"/>
      <c r="F22" s="66"/>
      <c r="G22" s="66"/>
      <c r="H22" s="66"/>
      <c r="I22" s="66"/>
      <c r="J22" s="66"/>
      <c r="K22" s="66"/>
      <c r="L22" s="66"/>
      <c r="M22" s="66"/>
      <c r="N22" s="66"/>
      <c r="O22" s="66"/>
      <c r="P22" s="66"/>
      <c r="Q22" s="66"/>
      <c r="R22" s="66"/>
    </row>
    <row r="65" ht="6.75" customHeight="1"/>
    <row r="66" ht="18.75" hidden="1" customHeight="1"/>
    <row r="67" ht="18.75" hidden="1" customHeight="1"/>
    <row r="68" ht="18.75" hidden="1" customHeight="1"/>
    <row r="69" ht="18.75" hidden="1" customHeight="1"/>
    <row r="70" ht="18.75" hidden="1" customHeight="1"/>
    <row r="71" ht="18.75" hidden="1" customHeight="1"/>
    <row r="77" ht="15.75" customHeight="1"/>
    <row r="78" ht="18.75" hidden="1" customHeight="1"/>
    <row r="80" ht="63" customHeight="1"/>
    <row r="124" ht="17.25" hidden="1" customHeight="1"/>
    <row r="125" ht="18.75" hidden="1" customHeight="1"/>
  </sheetData>
  <mergeCells count="26">
    <mergeCell ref="B18:C18"/>
    <mergeCell ref="B19:C19"/>
    <mergeCell ref="B20:C20"/>
    <mergeCell ref="B21:C21"/>
    <mergeCell ref="B12:C12"/>
    <mergeCell ref="B13:C13"/>
    <mergeCell ref="B14:C14"/>
    <mergeCell ref="B15:C15"/>
    <mergeCell ref="B16:C16"/>
    <mergeCell ref="B17:C17"/>
    <mergeCell ref="B11:C11"/>
    <mergeCell ref="F1:R1"/>
    <mergeCell ref="A4:R4"/>
    <mergeCell ref="B6:C7"/>
    <mergeCell ref="D6:D7"/>
    <mergeCell ref="E6:F6"/>
    <mergeCell ref="G6:H6"/>
    <mergeCell ref="I6:J6"/>
    <mergeCell ref="K6:L6"/>
    <mergeCell ref="M6:N6"/>
    <mergeCell ref="O6:P6"/>
    <mergeCell ref="Q6:Q7"/>
    <mergeCell ref="R6:R7"/>
    <mergeCell ref="B8:C8"/>
    <mergeCell ref="B9:C9"/>
    <mergeCell ref="B10:C10"/>
  </mergeCells>
  <phoneticPr fontId="3"/>
  <printOptions horizontalCentered="1"/>
  <pageMargins left="0.78740157480314965" right="0.78740157480314965" top="0.78740157480314965" bottom="0.59055118110236227" header="0.31496062992125984" footer="0.31496062992125984"/>
  <pageSetup paperSize="9" orientation="landscape" r:id="rId1"/>
  <headerFooter>
    <oddFooter>&amp;C3</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846E8-7B6E-4DE1-8A24-62F17C565935}">
  <sheetPr>
    <pageSetUpPr fitToPage="1"/>
  </sheetPr>
  <dimension ref="A1:G150"/>
  <sheetViews>
    <sheetView topLeftCell="A127" zoomScaleNormal="100" workbookViewId="0">
      <selection activeCell="E138" sqref="E138:G138"/>
    </sheetView>
  </sheetViews>
  <sheetFormatPr defaultColWidth="8.875" defaultRowHeight="14.1"/>
  <cols>
    <col min="1" max="1" width="2.375" style="76" customWidth="1"/>
    <col min="2" max="2" width="18.875" style="76" customWidth="1"/>
    <col min="3" max="3" width="24.875" style="76" customWidth="1"/>
    <col min="4" max="4" width="10" style="76" customWidth="1"/>
    <col min="5" max="7" width="24.875" style="76" customWidth="1"/>
    <col min="8" max="16384" width="8.875" style="76"/>
  </cols>
  <sheetData>
    <row r="1" spans="1:7" ht="18.75" customHeight="1">
      <c r="G1" s="83" t="s">
        <v>114</v>
      </c>
    </row>
    <row r="2" spans="1:7" ht="18.75" customHeight="1">
      <c r="F2" s="83" t="s">
        <v>63</v>
      </c>
      <c r="G2" s="76" t="s">
        <v>64</v>
      </c>
    </row>
    <row r="3" spans="1:7" ht="18.75" customHeight="1">
      <c r="A3" s="179" t="s">
        <v>115</v>
      </c>
      <c r="B3" s="179"/>
      <c r="C3" s="179"/>
      <c r="D3" s="179"/>
      <c r="E3" s="179"/>
      <c r="F3" s="179"/>
      <c r="G3" s="179"/>
    </row>
    <row r="4" spans="1:7" ht="18.75" customHeight="1">
      <c r="A4" s="76" t="s">
        <v>2</v>
      </c>
      <c r="B4" s="76" t="s">
        <v>116</v>
      </c>
    </row>
    <row r="5" spans="1:7" s="81" customFormat="1" ht="18.75" customHeight="1">
      <c r="A5" s="82"/>
      <c r="B5" s="78" t="s">
        <v>117</v>
      </c>
      <c r="C5" s="160" t="s">
        <v>118</v>
      </c>
      <c r="D5" s="161"/>
      <c r="E5" s="161"/>
      <c r="F5" s="161"/>
      <c r="G5" s="162"/>
    </row>
    <row r="6" spans="1:7" s="81" customFormat="1" ht="45" customHeight="1">
      <c r="A6" s="82"/>
      <c r="B6" s="163" t="s">
        <v>119</v>
      </c>
      <c r="C6" s="165" t="s">
        <v>120</v>
      </c>
      <c r="D6" s="166"/>
      <c r="E6" s="166"/>
      <c r="F6" s="166"/>
      <c r="G6" s="167"/>
    </row>
    <row r="7" spans="1:7" s="81" customFormat="1" ht="45" customHeight="1">
      <c r="A7" s="82"/>
      <c r="B7" s="164"/>
      <c r="C7" s="168"/>
      <c r="D7" s="169"/>
      <c r="E7" s="169"/>
      <c r="F7" s="169"/>
      <c r="G7" s="170"/>
    </row>
    <row r="8" spans="1:7" s="81" customFormat="1" ht="45" customHeight="1">
      <c r="A8" s="82"/>
      <c r="B8" s="164"/>
      <c r="C8" s="168"/>
      <c r="D8" s="169"/>
      <c r="E8" s="169"/>
      <c r="F8" s="169"/>
      <c r="G8" s="170"/>
    </row>
    <row r="9" spans="1:7" s="81" customFormat="1" ht="45" customHeight="1">
      <c r="A9" s="82"/>
      <c r="B9" s="164"/>
      <c r="C9" s="171"/>
      <c r="D9" s="172"/>
      <c r="E9" s="172"/>
      <c r="F9" s="172"/>
      <c r="G9" s="173"/>
    </row>
    <row r="10" spans="1:7" s="81" customFormat="1" ht="18.75" customHeight="1">
      <c r="A10" s="82"/>
      <c r="B10" s="164"/>
      <c r="C10" s="79" t="s">
        <v>121</v>
      </c>
      <c r="D10" s="157" t="s">
        <v>122</v>
      </c>
      <c r="E10" s="158"/>
      <c r="F10" s="158"/>
      <c r="G10" s="159"/>
    </row>
    <row r="11" spans="1:7" s="81" customFormat="1" ht="18.75" customHeight="1">
      <c r="A11" s="82"/>
      <c r="B11" s="164"/>
      <c r="C11" s="80" t="s">
        <v>123</v>
      </c>
      <c r="D11" s="157" t="s">
        <v>124</v>
      </c>
      <c r="E11" s="158"/>
      <c r="F11" s="158"/>
      <c r="G11" s="159"/>
    </row>
    <row r="12" spans="1:7" s="81" customFormat="1" ht="18.75" customHeight="1">
      <c r="A12" s="82"/>
      <c r="B12" s="164"/>
      <c r="C12" s="80" t="s">
        <v>71</v>
      </c>
      <c r="D12" s="157" t="s">
        <v>125</v>
      </c>
      <c r="E12" s="158"/>
      <c r="F12" s="158"/>
      <c r="G12" s="159"/>
    </row>
    <row r="13" spans="1:7" s="81" customFormat="1" ht="18.75" customHeight="1">
      <c r="A13" s="82"/>
      <c r="B13" s="164"/>
      <c r="C13" s="80" t="s">
        <v>72</v>
      </c>
      <c r="D13" s="180" t="s">
        <v>126</v>
      </c>
      <c r="E13" s="158"/>
      <c r="F13" s="158"/>
      <c r="G13" s="159"/>
    </row>
    <row r="14" spans="1:7" s="81" customFormat="1" ht="18.75" customHeight="1">
      <c r="A14" s="82"/>
      <c r="B14" s="164"/>
      <c r="C14" s="73"/>
      <c r="D14" s="181"/>
      <c r="E14" s="182"/>
      <c r="F14" s="182"/>
      <c r="G14" s="183"/>
    </row>
    <row r="15" spans="1:7" s="81" customFormat="1" ht="18.75" customHeight="1">
      <c r="A15" s="82"/>
      <c r="B15" s="164"/>
      <c r="C15" s="78"/>
      <c r="D15" s="160"/>
      <c r="E15" s="161"/>
      <c r="F15" s="161"/>
      <c r="G15" s="162"/>
    </row>
    <row r="16" spans="1:7" s="81" customFormat="1" ht="18.75" customHeight="1">
      <c r="A16" s="82"/>
      <c r="B16" s="164"/>
      <c r="C16" s="78"/>
      <c r="D16" s="160"/>
      <c r="E16" s="161"/>
      <c r="F16" s="161"/>
      <c r="G16" s="162"/>
    </row>
    <row r="17" spans="2:7" s="81" customFormat="1" ht="18.75" customHeight="1">
      <c r="B17" s="164"/>
      <c r="C17" s="78"/>
      <c r="D17" s="160"/>
      <c r="E17" s="161"/>
      <c r="F17" s="161"/>
      <c r="G17" s="162"/>
    </row>
    <row r="18" spans="2:7" s="81" customFormat="1" ht="18.75" customHeight="1">
      <c r="B18" s="164"/>
      <c r="C18" s="78"/>
      <c r="D18" s="160"/>
      <c r="E18" s="161"/>
      <c r="F18" s="161"/>
      <c r="G18" s="162"/>
    </row>
    <row r="19" spans="2:7" s="81" customFormat="1" ht="18.75" customHeight="1">
      <c r="B19" s="164"/>
      <c r="C19" s="78"/>
      <c r="D19" s="160"/>
      <c r="E19" s="161"/>
      <c r="F19" s="161"/>
      <c r="G19" s="162"/>
    </row>
    <row r="20" spans="2:7" s="81" customFormat="1" ht="18.75" customHeight="1">
      <c r="B20" s="164"/>
      <c r="C20" s="78"/>
      <c r="D20" s="160"/>
      <c r="E20" s="161"/>
      <c r="F20" s="161"/>
      <c r="G20" s="162"/>
    </row>
    <row r="21" spans="2:7" s="81" customFormat="1" ht="18.75" customHeight="1">
      <c r="B21" s="164"/>
      <c r="C21" s="78"/>
      <c r="D21" s="160"/>
      <c r="E21" s="161"/>
      <c r="F21" s="161"/>
      <c r="G21" s="162"/>
    </row>
    <row r="22" spans="2:7" s="81" customFormat="1" ht="18.75" customHeight="1">
      <c r="B22" s="164"/>
      <c r="C22" s="78"/>
      <c r="D22" s="160"/>
      <c r="E22" s="161"/>
      <c r="F22" s="161"/>
      <c r="G22" s="162"/>
    </row>
    <row r="23" spans="2:7" s="81" customFormat="1" ht="18.75" customHeight="1">
      <c r="B23" s="164"/>
      <c r="C23" s="78"/>
      <c r="D23" s="160"/>
      <c r="E23" s="161"/>
      <c r="F23" s="161"/>
      <c r="G23" s="162"/>
    </row>
    <row r="24" spans="2:7" s="81" customFormat="1" ht="18.75" customHeight="1">
      <c r="B24" s="164"/>
      <c r="C24" s="78"/>
      <c r="D24" s="160"/>
      <c r="E24" s="161"/>
      <c r="F24" s="161"/>
      <c r="G24" s="162"/>
    </row>
    <row r="25" spans="2:7" s="81" customFormat="1" ht="18.75" customHeight="1">
      <c r="B25" s="164"/>
      <c r="C25" s="78"/>
      <c r="D25" s="160"/>
      <c r="E25" s="161"/>
      <c r="F25" s="161"/>
      <c r="G25" s="162"/>
    </row>
    <row r="26" spans="2:7" ht="18.75" customHeight="1">
      <c r="B26" s="163" t="s">
        <v>127</v>
      </c>
      <c r="C26" s="160" t="s">
        <v>118</v>
      </c>
      <c r="D26" s="161"/>
      <c r="E26" s="161"/>
      <c r="F26" s="161"/>
      <c r="G26" s="162"/>
    </row>
    <row r="27" spans="2:7" ht="37.5" customHeight="1">
      <c r="B27" s="164"/>
      <c r="C27" s="165" t="s">
        <v>128</v>
      </c>
      <c r="D27" s="166"/>
      <c r="E27" s="166"/>
      <c r="F27" s="166"/>
      <c r="G27" s="167"/>
    </row>
    <row r="28" spans="2:7" ht="37.5" customHeight="1">
      <c r="B28" s="164"/>
      <c r="C28" s="168"/>
      <c r="D28" s="169"/>
      <c r="E28" s="169"/>
      <c r="F28" s="169"/>
      <c r="G28" s="170"/>
    </row>
    <row r="29" spans="2:7" ht="37.5" customHeight="1">
      <c r="B29" s="164"/>
      <c r="C29" s="168"/>
      <c r="D29" s="169"/>
      <c r="E29" s="169"/>
      <c r="F29" s="169"/>
      <c r="G29" s="170"/>
    </row>
    <row r="30" spans="2:7" ht="37.5" customHeight="1">
      <c r="B30" s="164"/>
      <c r="C30" s="168"/>
      <c r="D30" s="169"/>
      <c r="E30" s="169"/>
      <c r="F30" s="169"/>
      <c r="G30" s="170"/>
    </row>
    <row r="31" spans="2:7" ht="37.5" customHeight="1">
      <c r="B31" s="164"/>
      <c r="C31" s="171"/>
      <c r="D31" s="172"/>
      <c r="E31" s="172"/>
      <c r="F31" s="172"/>
      <c r="G31" s="173"/>
    </row>
    <row r="32" spans="2:7" ht="18.75" customHeight="1">
      <c r="B32" s="164"/>
      <c r="C32" s="79" t="s">
        <v>121</v>
      </c>
      <c r="D32" s="160" t="s">
        <v>122</v>
      </c>
      <c r="E32" s="161"/>
      <c r="F32" s="161"/>
      <c r="G32" s="162"/>
    </row>
    <row r="33" spans="2:7" ht="18.75" customHeight="1">
      <c r="B33" s="164"/>
      <c r="C33" s="80" t="s">
        <v>123</v>
      </c>
      <c r="D33" s="157" t="s">
        <v>129</v>
      </c>
      <c r="E33" s="158"/>
      <c r="F33" s="158"/>
      <c r="G33" s="159"/>
    </row>
    <row r="34" spans="2:7" ht="18.75" customHeight="1">
      <c r="B34" s="164"/>
      <c r="C34" s="80" t="s">
        <v>71</v>
      </c>
      <c r="D34" s="157" t="s">
        <v>130</v>
      </c>
      <c r="E34" s="158"/>
      <c r="F34" s="158"/>
      <c r="G34" s="159"/>
    </row>
    <row r="35" spans="2:7" ht="18.75" customHeight="1">
      <c r="B35" s="164"/>
      <c r="C35" s="80" t="s">
        <v>131</v>
      </c>
      <c r="D35" s="157" t="s">
        <v>132</v>
      </c>
      <c r="E35" s="158"/>
      <c r="F35" s="158"/>
      <c r="G35" s="159"/>
    </row>
    <row r="36" spans="2:7" ht="18.75" customHeight="1">
      <c r="B36" s="164"/>
      <c r="C36" s="78"/>
      <c r="D36" s="157"/>
      <c r="E36" s="158"/>
      <c r="F36" s="158"/>
      <c r="G36" s="159"/>
    </row>
    <row r="37" spans="2:7" ht="18.75" customHeight="1">
      <c r="B37" s="164"/>
      <c r="C37" s="78"/>
      <c r="D37" s="157"/>
      <c r="E37" s="158"/>
      <c r="F37" s="158"/>
      <c r="G37" s="159"/>
    </row>
    <row r="38" spans="2:7" ht="18.75" customHeight="1">
      <c r="B38" s="164"/>
      <c r="C38" s="78"/>
      <c r="D38" s="157"/>
      <c r="E38" s="158"/>
      <c r="F38" s="158"/>
      <c r="G38" s="159"/>
    </row>
    <row r="39" spans="2:7" ht="18.75" customHeight="1">
      <c r="B39" s="164"/>
      <c r="C39" s="78"/>
      <c r="D39" s="157"/>
      <c r="E39" s="158"/>
      <c r="F39" s="158"/>
      <c r="G39" s="159"/>
    </row>
    <row r="40" spans="2:7" ht="18.75" customHeight="1">
      <c r="B40" s="164"/>
      <c r="C40" s="78"/>
      <c r="D40" s="157"/>
      <c r="E40" s="158"/>
      <c r="F40" s="158"/>
      <c r="G40" s="159"/>
    </row>
    <row r="41" spans="2:7" ht="18.75" customHeight="1">
      <c r="B41" s="164"/>
      <c r="C41" s="78"/>
      <c r="D41" s="157"/>
      <c r="E41" s="158"/>
      <c r="F41" s="158"/>
      <c r="G41" s="159"/>
    </row>
    <row r="42" spans="2:7" ht="18.75" customHeight="1">
      <c r="B42" s="164"/>
      <c r="C42" s="78"/>
      <c r="D42" s="157"/>
      <c r="E42" s="158"/>
      <c r="F42" s="158"/>
      <c r="G42" s="159"/>
    </row>
    <row r="43" spans="2:7" ht="18.75" customHeight="1">
      <c r="B43" s="164"/>
      <c r="C43" s="78"/>
      <c r="D43" s="157"/>
      <c r="E43" s="158"/>
      <c r="F43" s="158"/>
      <c r="G43" s="159"/>
    </row>
    <row r="44" spans="2:7" ht="18.75" customHeight="1">
      <c r="B44" s="164"/>
      <c r="C44" s="78"/>
      <c r="D44" s="157"/>
      <c r="E44" s="158"/>
      <c r="F44" s="158"/>
      <c r="G44" s="159"/>
    </row>
    <row r="45" spans="2:7" ht="18.75" customHeight="1">
      <c r="B45" s="164"/>
      <c r="C45" s="78"/>
      <c r="D45" s="157"/>
      <c r="E45" s="158"/>
      <c r="F45" s="158"/>
      <c r="G45" s="159"/>
    </row>
    <row r="46" spans="2:7" ht="18.75" customHeight="1">
      <c r="B46" s="164"/>
      <c r="C46" s="78"/>
      <c r="D46" s="157"/>
      <c r="E46" s="158"/>
      <c r="F46" s="158"/>
      <c r="G46" s="159"/>
    </row>
    <row r="47" spans="2:7" ht="18.75" customHeight="1">
      <c r="B47" s="164"/>
      <c r="C47" s="78"/>
      <c r="D47" s="157"/>
      <c r="E47" s="158"/>
      <c r="F47" s="158"/>
      <c r="G47" s="159"/>
    </row>
    <row r="48" spans="2:7" ht="18.75" customHeight="1">
      <c r="B48" s="164"/>
      <c r="C48" s="78"/>
      <c r="D48" s="157"/>
      <c r="E48" s="158"/>
      <c r="F48" s="158"/>
      <c r="G48" s="159"/>
    </row>
    <row r="49" spans="2:7" ht="18.75" customHeight="1">
      <c r="B49" s="164"/>
      <c r="C49" s="78"/>
      <c r="D49" s="157"/>
      <c r="E49" s="158"/>
      <c r="F49" s="158"/>
      <c r="G49" s="159"/>
    </row>
    <row r="50" spans="2:7" ht="18.75" customHeight="1">
      <c r="B50" s="178"/>
      <c r="C50" s="78"/>
      <c r="D50" s="157"/>
      <c r="E50" s="158"/>
      <c r="F50" s="158"/>
      <c r="G50" s="159"/>
    </row>
    <row r="51" spans="2:7" ht="18.75" customHeight="1">
      <c r="B51" s="163" t="s">
        <v>133</v>
      </c>
      <c r="C51" s="160" t="s">
        <v>118</v>
      </c>
      <c r="D51" s="161"/>
      <c r="E51" s="161"/>
      <c r="F51" s="161"/>
      <c r="G51" s="162"/>
    </row>
    <row r="52" spans="2:7" ht="37.5" customHeight="1">
      <c r="B52" s="164"/>
      <c r="C52" s="165" t="s">
        <v>134</v>
      </c>
      <c r="D52" s="166"/>
      <c r="E52" s="166"/>
      <c r="F52" s="166"/>
      <c r="G52" s="167"/>
    </row>
    <row r="53" spans="2:7" ht="37.5" customHeight="1">
      <c r="B53" s="164"/>
      <c r="C53" s="168"/>
      <c r="D53" s="169"/>
      <c r="E53" s="169"/>
      <c r="F53" s="169"/>
      <c r="G53" s="170"/>
    </row>
    <row r="54" spans="2:7" ht="37.5" customHeight="1">
      <c r="B54" s="164"/>
      <c r="C54" s="168"/>
      <c r="D54" s="169"/>
      <c r="E54" s="169"/>
      <c r="F54" s="169"/>
      <c r="G54" s="170"/>
    </row>
    <row r="55" spans="2:7" ht="37.5" customHeight="1">
      <c r="B55" s="164"/>
      <c r="C55" s="168"/>
      <c r="D55" s="169"/>
      <c r="E55" s="169"/>
      <c r="F55" s="169"/>
      <c r="G55" s="170"/>
    </row>
    <row r="56" spans="2:7" ht="37.5" customHeight="1">
      <c r="B56" s="164"/>
      <c r="C56" s="171"/>
      <c r="D56" s="172"/>
      <c r="E56" s="172"/>
      <c r="F56" s="172"/>
      <c r="G56" s="173"/>
    </row>
    <row r="57" spans="2:7" ht="18.75" customHeight="1">
      <c r="B57" s="164"/>
      <c r="C57" s="79" t="s">
        <v>135</v>
      </c>
      <c r="D57" s="160" t="s">
        <v>122</v>
      </c>
      <c r="E57" s="161"/>
      <c r="F57" s="161"/>
      <c r="G57" s="162"/>
    </row>
    <row r="58" spans="2:7" ht="18.75" customHeight="1">
      <c r="B58" s="164"/>
      <c r="C58" s="59" t="s">
        <v>123</v>
      </c>
      <c r="D58" s="175" t="s">
        <v>129</v>
      </c>
      <c r="E58" s="176"/>
      <c r="F58" s="176"/>
      <c r="G58" s="177"/>
    </row>
    <row r="59" spans="2:7" ht="18.75" customHeight="1">
      <c r="B59" s="164"/>
      <c r="C59" s="59" t="s">
        <v>71</v>
      </c>
      <c r="D59" s="157" t="s">
        <v>136</v>
      </c>
      <c r="E59" s="158"/>
      <c r="F59" s="158"/>
      <c r="G59" s="159"/>
    </row>
    <row r="60" spans="2:7" ht="18.75" customHeight="1">
      <c r="B60" s="164"/>
      <c r="C60" s="59" t="s">
        <v>74</v>
      </c>
      <c r="D60" s="175" t="s">
        <v>137</v>
      </c>
      <c r="E60" s="176"/>
      <c r="F60" s="176"/>
      <c r="G60" s="177"/>
    </row>
    <row r="61" spans="2:7" ht="18.75" customHeight="1">
      <c r="B61" s="164"/>
      <c r="C61" s="78"/>
      <c r="D61" s="157"/>
      <c r="E61" s="158"/>
      <c r="F61" s="158"/>
      <c r="G61" s="159"/>
    </row>
    <row r="62" spans="2:7" ht="18.75" customHeight="1">
      <c r="B62" s="164"/>
      <c r="C62" s="78"/>
      <c r="D62" s="157"/>
      <c r="E62" s="158"/>
      <c r="F62" s="158"/>
      <c r="G62" s="159"/>
    </row>
    <row r="63" spans="2:7" ht="18.75" customHeight="1">
      <c r="B63" s="164"/>
      <c r="C63" s="78"/>
      <c r="D63" s="157"/>
      <c r="E63" s="158"/>
      <c r="F63" s="158"/>
      <c r="G63" s="159"/>
    </row>
    <row r="64" spans="2:7" ht="18.75" customHeight="1">
      <c r="B64" s="164"/>
      <c r="C64" s="78"/>
      <c r="D64" s="157"/>
      <c r="E64" s="158"/>
      <c r="F64" s="158"/>
      <c r="G64" s="159"/>
    </row>
    <row r="65" spans="2:7" ht="18.75" customHeight="1">
      <c r="B65" s="164"/>
      <c r="C65" s="78"/>
      <c r="D65" s="157"/>
      <c r="E65" s="158"/>
      <c r="F65" s="158"/>
      <c r="G65" s="159"/>
    </row>
    <row r="66" spans="2:7" ht="18.75" customHeight="1">
      <c r="B66" s="164"/>
      <c r="C66" s="78"/>
      <c r="D66" s="157"/>
      <c r="E66" s="158"/>
      <c r="F66" s="158"/>
      <c r="G66" s="159"/>
    </row>
    <row r="67" spans="2:7" ht="18.75" customHeight="1">
      <c r="B67" s="164"/>
      <c r="C67" s="78"/>
      <c r="D67" s="157"/>
      <c r="E67" s="158"/>
      <c r="F67" s="158"/>
      <c r="G67" s="159"/>
    </row>
    <row r="68" spans="2:7" ht="18.75" customHeight="1">
      <c r="B68" s="164"/>
      <c r="C68" s="78"/>
      <c r="D68" s="157"/>
      <c r="E68" s="158"/>
      <c r="F68" s="158"/>
      <c r="G68" s="159"/>
    </row>
    <row r="69" spans="2:7" ht="18.75" customHeight="1">
      <c r="B69" s="164"/>
      <c r="C69" s="78"/>
      <c r="D69" s="157"/>
      <c r="E69" s="158"/>
      <c r="F69" s="158"/>
      <c r="G69" s="159"/>
    </row>
    <row r="70" spans="2:7" ht="18.75" customHeight="1">
      <c r="B70" s="164"/>
      <c r="C70" s="78"/>
      <c r="D70" s="157"/>
      <c r="E70" s="158"/>
      <c r="F70" s="158"/>
      <c r="G70" s="159"/>
    </row>
    <row r="71" spans="2:7" ht="18.75" customHeight="1">
      <c r="B71" s="164"/>
      <c r="C71" s="78"/>
      <c r="D71" s="157"/>
      <c r="E71" s="158"/>
      <c r="F71" s="158"/>
      <c r="G71" s="159"/>
    </row>
    <row r="72" spans="2:7" ht="18.75" customHeight="1">
      <c r="B72" s="164"/>
      <c r="C72" s="78"/>
      <c r="D72" s="157"/>
      <c r="E72" s="158"/>
      <c r="F72" s="158"/>
      <c r="G72" s="159"/>
    </row>
    <row r="73" spans="2:7" ht="18.75" customHeight="1">
      <c r="B73" s="164"/>
      <c r="C73" s="78"/>
      <c r="D73" s="157"/>
      <c r="E73" s="158"/>
      <c r="F73" s="158"/>
      <c r="G73" s="159"/>
    </row>
    <row r="74" spans="2:7" ht="18.75" customHeight="1">
      <c r="B74" s="164"/>
      <c r="C74" s="78"/>
      <c r="D74" s="157"/>
      <c r="E74" s="158"/>
      <c r="F74" s="158"/>
      <c r="G74" s="159"/>
    </row>
    <row r="75" spans="2:7" ht="18.75" customHeight="1">
      <c r="B75" s="164"/>
      <c r="C75" s="78"/>
      <c r="D75" s="157"/>
      <c r="E75" s="158"/>
      <c r="F75" s="158"/>
      <c r="G75" s="159"/>
    </row>
    <row r="76" spans="2:7" ht="18.75" customHeight="1">
      <c r="B76" s="163" t="s">
        <v>138</v>
      </c>
      <c r="C76" s="160" t="s">
        <v>118</v>
      </c>
      <c r="D76" s="161"/>
      <c r="E76" s="161"/>
      <c r="F76" s="161"/>
      <c r="G76" s="162"/>
    </row>
    <row r="77" spans="2:7" ht="37.5" customHeight="1">
      <c r="B77" s="164"/>
      <c r="C77" s="174" t="s">
        <v>139</v>
      </c>
      <c r="D77" s="166"/>
      <c r="E77" s="166"/>
      <c r="F77" s="166"/>
      <c r="G77" s="167"/>
    </row>
    <row r="78" spans="2:7" ht="37.5" customHeight="1">
      <c r="B78" s="164"/>
      <c r="C78" s="168"/>
      <c r="D78" s="169"/>
      <c r="E78" s="169"/>
      <c r="F78" s="169"/>
      <c r="G78" s="170"/>
    </row>
    <row r="79" spans="2:7" ht="37.5" customHeight="1">
      <c r="B79" s="164"/>
      <c r="C79" s="168"/>
      <c r="D79" s="169"/>
      <c r="E79" s="169"/>
      <c r="F79" s="169"/>
      <c r="G79" s="170"/>
    </row>
    <row r="80" spans="2:7" ht="37.5" customHeight="1">
      <c r="B80" s="164"/>
      <c r="C80" s="168"/>
      <c r="D80" s="169"/>
      <c r="E80" s="169"/>
      <c r="F80" s="169"/>
      <c r="G80" s="170"/>
    </row>
    <row r="81" spans="2:7" ht="37.5" customHeight="1">
      <c r="B81" s="164"/>
      <c r="C81" s="171"/>
      <c r="D81" s="172"/>
      <c r="E81" s="172"/>
      <c r="F81" s="172"/>
      <c r="G81" s="173"/>
    </row>
    <row r="82" spans="2:7" ht="18.75" customHeight="1">
      <c r="B82" s="164"/>
      <c r="C82" s="79" t="s">
        <v>121</v>
      </c>
      <c r="D82" s="160" t="s">
        <v>122</v>
      </c>
      <c r="E82" s="161"/>
      <c r="F82" s="161"/>
      <c r="G82" s="162"/>
    </row>
    <row r="83" spans="2:7" ht="18.75" customHeight="1">
      <c r="B83" s="164"/>
      <c r="C83" s="78" t="s">
        <v>140</v>
      </c>
      <c r="D83" s="157" t="s">
        <v>141</v>
      </c>
      <c r="E83" s="158"/>
      <c r="F83" s="158"/>
      <c r="G83" s="159"/>
    </row>
    <row r="84" spans="2:7" ht="18.75" customHeight="1">
      <c r="B84" s="164"/>
      <c r="C84" s="78" t="s">
        <v>142</v>
      </c>
      <c r="D84" s="157" t="s">
        <v>143</v>
      </c>
      <c r="E84" s="158"/>
      <c r="F84" s="158"/>
      <c r="G84" s="159"/>
    </row>
    <row r="85" spans="2:7" ht="18.75" customHeight="1">
      <c r="B85" s="164"/>
      <c r="C85" s="78"/>
      <c r="D85" s="157"/>
      <c r="E85" s="158"/>
      <c r="F85" s="158"/>
      <c r="G85" s="159"/>
    </row>
    <row r="86" spans="2:7" ht="18.75" customHeight="1">
      <c r="B86" s="164"/>
      <c r="C86" s="78"/>
      <c r="D86" s="157"/>
      <c r="E86" s="158"/>
      <c r="F86" s="158"/>
      <c r="G86" s="159"/>
    </row>
    <row r="87" spans="2:7" ht="18.75" customHeight="1">
      <c r="B87" s="164"/>
      <c r="C87" s="78"/>
      <c r="D87" s="157"/>
      <c r="E87" s="158"/>
      <c r="F87" s="158"/>
      <c r="G87" s="159"/>
    </row>
    <row r="88" spans="2:7" ht="18.75" customHeight="1">
      <c r="B88" s="164"/>
      <c r="C88" s="78"/>
      <c r="D88" s="157"/>
      <c r="E88" s="158"/>
      <c r="F88" s="158"/>
      <c r="G88" s="159"/>
    </row>
    <row r="89" spans="2:7" ht="18.75" customHeight="1">
      <c r="B89" s="164"/>
      <c r="C89" s="78"/>
      <c r="D89" s="157"/>
      <c r="E89" s="158"/>
      <c r="F89" s="158"/>
      <c r="G89" s="159"/>
    </row>
    <row r="90" spans="2:7" ht="18.75" customHeight="1">
      <c r="B90" s="164"/>
      <c r="C90" s="78"/>
      <c r="D90" s="157"/>
      <c r="E90" s="158"/>
      <c r="F90" s="158"/>
      <c r="G90" s="159"/>
    </row>
    <row r="91" spans="2:7" ht="18.75" customHeight="1">
      <c r="B91" s="164"/>
      <c r="C91" s="78"/>
      <c r="D91" s="157"/>
      <c r="E91" s="158"/>
      <c r="F91" s="158"/>
      <c r="G91" s="159"/>
    </row>
    <row r="92" spans="2:7" ht="18.75" customHeight="1">
      <c r="B92" s="164"/>
      <c r="C92" s="78"/>
      <c r="D92" s="157"/>
      <c r="E92" s="158"/>
      <c r="F92" s="158"/>
      <c r="G92" s="159"/>
    </row>
    <row r="93" spans="2:7" ht="18.75" customHeight="1">
      <c r="B93" s="164"/>
      <c r="C93" s="78"/>
      <c r="D93" s="157"/>
      <c r="E93" s="158"/>
      <c r="F93" s="158"/>
      <c r="G93" s="159"/>
    </row>
    <row r="94" spans="2:7" ht="18.75" customHeight="1">
      <c r="B94" s="164"/>
      <c r="C94" s="78"/>
      <c r="D94" s="157"/>
      <c r="E94" s="158"/>
      <c r="F94" s="158"/>
      <c r="G94" s="159"/>
    </row>
    <row r="95" spans="2:7" ht="18.75" customHeight="1">
      <c r="B95" s="164"/>
      <c r="C95" s="78"/>
      <c r="D95" s="157"/>
      <c r="E95" s="158"/>
      <c r="F95" s="158"/>
      <c r="G95" s="159"/>
    </row>
    <row r="96" spans="2:7" ht="18.75" customHeight="1">
      <c r="B96" s="164"/>
      <c r="C96" s="78"/>
      <c r="D96" s="157"/>
      <c r="E96" s="158"/>
      <c r="F96" s="158"/>
      <c r="G96" s="159"/>
    </row>
    <row r="97" spans="2:7" ht="18.75" customHeight="1">
      <c r="B97" s="164"/>
      <c r="C97" s="78"/>
      <c r="D97" s="157"/>
      <c r="E97" s="158"/>
      <c r="F97" s="158"/>
      <c r="G97" s="159"/>
    </row>
    <row r="98" spans="2:7" ht="18.75" customHeight="1">
      <c r="B98" s="164"/>
      <c r="C98" s="78"/>
      <c r="D98" s="157"/>
      <c r="E98" s="158"/>
      <c r="F98" s="158"/>
      <c r="G98" s="159"/>
    </row>
    <row r="99" spans="2:7" ht="18.75" customHeight="1">
      <c r="B99" s="164"/>
      <c r="C99" s="78"/>
      <c r="D99" s="157"/>
      <c r="E99" s="158"/>
      <c r="F99" s="158"/>
      <c r="G99" s="159"/>
    </row>
    <row r="100" spans="2:7" ht="18.75" customHeight="1">
      <c r="B100" s="164"/>
      <c r="C100" s="78"/>
      <c r="D100" s="157"/>
      <c r="E100" s="158"/>
      <c r="F100" s="158"/>
      <c r="G100" s="159"/>
    </row>
    <row r="101" spans="2:7" ht="18.75" customHeight="1">
      <c r="B101" s="163" t="s">
        <v>144</v>
      </c>
      <c r="C101" s="160" t="s">
        <v>118</v>
      </c>
      <c r="D101" s="161"/>
      <c r="E101" s="161"/>
      <c r="F101" s="161"/>
      <c r="G101" s="162"/>
    </row>
    <row r="102" spans="2:7" ht="37.5" customHeight="1">
      <c r="B102" s="164"/>
      <c r="C102" s="165" t="s">
        <v>145</v>
      </c>
      <c r="D102" s="166"/>
      <c r="E102" s="166"/>
      <c r="F102" s="166"/>
      <c r="G102" s="167"/>
    </row>
    <row r="103" spans="2:7" ht="37.5" customHeight="1">
      <c r="B103" s="164"/>
      <c r="C103" s="168"/>
      <c r="D103" s="169"/>
      <c r="E103" s="169"/>
      <c r="F103" s="169"/>
      <c r="G103" s="170"/>
    </row>
    <row r="104" spans="2:7" ht="37.5" customHeight="1">
      <c r="B104" s="164"/>
      <c r="C104" s="168"/>
      <c r="D104" s="169"/>
      <c r="E104" s="169"/>
      <c r="F104" s="169"/>
      <c r="G104" s="170"/>
    </row>
    <row r="105" spans="2:7" ht="37.5" customHeight="1">
      <c r="B105" s="164"/>
      <c r="C105" s="168"/>
      <c r="D105" s="169"/>
      <c r="E105" s="169"/>
      <c r="F105" s="169"/>
      <c r="G105" s="170"/>
    </row>
    <row r="106" spans="2:7" ht="37.5" customHeight="1">
      <c r="B106" s="164"/>
      <c r="C106" s="171"/>
      <c r="D106" s="172"/>
      <c r="E106" s="172"/>
      <c r="F106" s="172"/>
      <c r="G106" s="173"/>
    </row>
    <row r="107" spans="2:7" ht="18.75" customHeight="1">
      <c r="B107" s="164"/>
      <c r="C107" s="79" t="s">
        <v>121</v>
      </c>
      <c r="D107" s="160" t="s">
        <v>122</v>
      </c>
      <c r="E107" s="161"/>
      <c r="F107" s="161"/>
      <c r="G107" s="162"/>
    </row>
    <row r="108" spans="2:7" ht="18.75" customHeight="1">
      <c r="B108" s="164"/>
      <c r="C108" s="78" t="s">
        <v>146</v>
      </c>
      <c r="D108" s="157" t="s">
        <v>147</v>
      </c>
      <c r="E108" s="158"/>
      <c r="F108" s="158"/>
      <c r="G108" s="159"/>
    </row>
    <row r="109" spans="2:7" ht="18.75" customHeight="1">
      <c r="B109" s="164"/>
      <c r="C109" s="78" t="s">
        <v>148</v>
      </c>
      <c r="D109" s="157" t="s">
        <v>149</v>
      </c>
      <c r="E109" s="158"/>
      <c r="F109" s="158"/>
      <c r="G109" s="159"/>
    </row>
    <row r="110" spans="2:7" ht="18.75" customHeight="1">
      <c r="B110" s="164"/>
      <c r="C110" s="78" t="s">
        <v>73</v>
      </c>
      <c r="D110" s="157" t="s">
        <v>150</v>
      </c>
      <c r="E110" s="158"/>
      <c r="F110" s="158"/>
      <c r="G110" s="159"/>
    </row>
    <row r="111" spans="2:7" ht="18.75" customHeight="1">
      <c r="B111" s="164"/>
      <c r="C111" s="78" t="s">
        <v>74</v>
      </c>
      <c r="D111" s="157" t="s">
        <v>151</v>
      </c>
      <c r="E111" s="158"/>
      <c r="F111" s="158"/>
      <c r="G111" s="159"/>
    </row>
    <row r="112" spans="2:7" ht="18.75" customHeight="1">
      <c r="B112" s="164"/>
      <c r="C112" s="78"/>
      <c r="D112" s="157"/>
      <c r="E112" s="158"/>
      <c r="F112" s="158"/>
      <c r="G112" s="159"/>
    </row>
    <row r="113" spans="1:7" ht="18.75" customHeight="1">
      <c r="B113" s="164"/>
      <c r="C113" s="78"/>
      <c r="D113" s="157"/>
      <c r="E113" s="158"/>
      <c r="F113" s="158"/>
      <c r="G113" s="159"/>
    </row>
    <row r="114" spans="1:7" ht="18.75" customHeight="1">
      <c r="B114" s="164"/>
      <c r="C114" s="78"/>
      <c r="D114" s="157"/>
      <c r="E114" s="158"/>
      <c r="F114" s="158"/>
      <c r="G114" s="159"/>
    </row>
    <row r="115" spans="1:7" ht="18.75" customHeight="1">
      <c r="B115" s="164"/>
      <c r="C115" s="78"/>
      <c r="D115" s="157"/>
      <c r="E115" s="158"/>
      <c r="F115" s="158"/>
      <c r="G115" s="159"/>
    </row>
    <row r="116" spans="1:7" ht="18.75" customHeight="1">
      <c r="B116" s="164"/>
      <c r="C116" s="78"/>
      <c r="D116" s="157"/>
      <c r="E116" s="158"/>
      <c r="F116" s="158"/>
      <c r="G116" s="159"/>
    </row>
    <row r="117" spans="1:7" ht="18.75" customHeight="1">
      <c r="B117" s="164"/>
      <c r="C117" s="78"/>
      <c r="D117" s="157"/>
      <c r="E117" s="158"/>
      <c r="F117" s="158"/>
      <c r="G117" s="159"/>
    </row>
    <row r="118" spans="1:7" ht="18.75" customHeight="1">
      <c r="B118" s="164"/>
      <c r="C118" s="78"/>
      <c r="D118" s="157"/>
      <c r="E118" s="158"/>
      <c r="F118" s="158"/>
      <c r="G118" s="159"/>
    </row>
    <row r="119" spans="1:7" ht="18.75" customHeight="1">
      <c r="B119" s="164"/>
      <c r="C119" s="78"/>
      <c r="D119" s="157"/>
      <c r="E119" s="158"/>
      <c r="F119" s="158"/>
      <c r="G119" s="159"/>
    </row>
    <row r="120" spans="1:7" ht="18.75" customHeight="1">
      <c r="B120" s="164"/>
      <c r="C120" s="78"/>
      <c r="D120" s="157"/>
      <c r="E120" s="158"/>
      <c r="F120" s="158"/>
      <c r="G120" s="159"/>
    </row>
    <row r="121" spans="1:7" ht="18.75" customHeight="1">
      <c r="B121" s="164"/>
      <c r="C121" s="78"/>
      <c r="D121" s="157"/>
      <c r="E121" s="158"/>
      <c r="F121" s="158"/>
      <c r="G121" s="159"/>
    </row>
    <row r="122" spans="1:7" ht="18.75" customHeight="1">
      <c r="B122" s="164"/>
      <c r="C122" s="78"/>
      <c r="D122" s="157"/>
      <c r="E122" s="158"/>
      <c r="F122" s="158"/>
      <c r="G122" s="159"/>
    </row>
    <row r="123" spans="1:7" ht="18.75" customHeight="1">
      <c r="B123" s="164"/>
      <c r="C123" s="78"/>
      <c r="D123" s="157"/>
      <c r="E123" s="158"/>
      <c r="F123" s="158"/>
      <c r="G123" s="159"/>
    </row>
    <row r="124" spans="1:7" ht="18.75" customHeight="1">
      <c r="B124" s="164"/>
      <c r="C124" s="78"/>
      <c r="D124" s="157"/>
      <c r="E124" s="158"/>
      <c r="F124" s="158"/>
      <c r="G124" s="159"/>
    </row>
    <row r="125" spans="1:7" ht="18.75" customHeight="1">
      <c r="B125" s="164"/>
      <c r="C125" s="78"/>
      <c r="D125" s="157"/>
      <c r="E125" s="158"/>
      <c r="F125" s="158"/>
      <c r="G125" s="159"/>
    </row>
    <row r="126" spans="1:7" ht="18.75" customHeight="1">
      <c r="A126" s="76" t="s">
        <v>5</v>
      </c>
      <c r="B126" s="76" t="s">
        <v>152</v>
      </c>
    </row>
    <row r="127" spans="1:7" ht="22.5" customHeight="1">
      <c r="B127" s="78" t="s">
        <v>117</v>
      </c>
      <c r="C127" s="160" t="s">
        <v>70</v>
      </c>
      <c r="D127" s="161"/>
      <c r="E127" s="161"/>
      <c r="F127" s="161"/>
      <c r="G127" s="162"/>
    </row>
    <row r="128" spans="1:7" ht="45" customHeight="1">
      <c r="B128" s="77" t="s">
        <v>153</v>
      </c>
      <c r="C128" s="142" t="s">
        <v>154</v>
      </c>
      <c r="D128" s="143"/>
      <c r="E128" s="143"/>
      <c r="F128" s="143"/>
      <c r="G128" s="144"/>
    </row>
    <row r="129" spans="1:7" ht="45" customHeight="1">
      <c r="B129" s="77" t="s">
        <v>155</v>
      </c>
      <c r="C129" s="142"/>
      <c r="D129" s="143"/>
      <c r="E129" s="143"/>
      <c r="F129" s="143"/>
      <c r="G129" s="144"/>
    </row>
    <row r="130" spans="1:7" ht="45" customHeight="1">
      <c r="B130" s="77" t="s">
        <v>156</v>
      </c>
      <c r="C130" s="142" t="s">
        <v>79</v>
      </c>
      <c r="D130" s="143"/>
      <c r="E130" s="143"/>
      <c r="F130" s="143"/>
      <c r="G130" s="144"/>
    </row>
    <row r="131" spans="1:7" ht="45" customHeight="1">
      <c r="B131" s="77" t="s">
        <v>157</v>
      </c>
      <c r="C131" s="142" t="s">
        <v>158</v>
      </c>
      <c r="D131" s="143"/>
      <c r="E131" s="143"/>
      <c r="F131" s="143"/>
      <c r="G131" s="144"/>
    </row>
    <row r="132" spans="1:7" ht="45" customHeight="1">
      <c r="B132" s="77" t="s">
        <v>159</v>
      </c>
      <c r="C132" s="142"/>
      <c r="D132" s="143"/>
      <c r="E132" s="143"/>
      <c r="F132" s="143"/>
      <c r="G132" s="144"/>
    </row>
    <row r="133" spans="1:7" ht="45" customHeight="1">
      <c r="B133" s="77" t="s">
        <v>160</v>
      </c>
      <c r="C133" s="142"/>
      <c r="D133" s="143"/>
      <c r="E133" s="143"/>
      <c r="F133" s="143"/>
      <c r="G133" s="144"/>
    </row>
    <row r="134" spans="1:7" ht="45" customHeight="1">
      <c r="B134" s="77" t="s">
        <v>161</v>
      </c>
      <c r="C134" s="142" t="s">
        <v>78</v>
      </c>
      <c r="D134" s="143"/>
      <c r="E134" s="143"/>
      <c r="F134" s="143"/>
      <c r="G134" s="144"/>
    </row>
    <row r="135" spans="1:7" ht="45" customHeight="1">
      <c r="B135" s="77" t="s">
        <v>162</v>
      </c>
      <c r="C135" s="142" t="s">
        <v>163</v>
      </c>
      <c r="D135" s="143"/>
      <c r="E135" s="143"/>
      <c r="F135" s="143"/>
      <c r="G135" s="144"/>
    </row>
    <row r="136" spans="1:7" ht="45" customHeight="1">
      <c r="B136" s="77" t="s">
        <v>164</v>
      </c>
      <c r="C136" s="142"/>
      <c r="D136" s="143"/>
      <c r="E136" s="143"/>
      <c r="F136" s="143"/>
      <c r="G136" s="144"/>
    </row>
    <row r="137" spans="1:7" ht="7.5" customHeight="1"/>
    <row r="138" spans="1:7" ht="18.75" customHeight="1">
      <c r="A138" s="76" t="s">
        <v>8</v>
      </c>
      <c r="B138" s="76" t="s">
        <v>165</v>
      </c>
      <c r="E138" s="145" t="s">
        <v>166</v>
      </c>
      <c r="F138" s="146"/>
      <c r="G138" s="147"/>
    </row>
    <row r="139" spans="1:7" ht="7.5" customHeight="1"/>
    <row r="140" spans="1:7" ht="18.75" customHeight="1">
      <c r="A140" s="76" t="s">
        <v>11</v>
      </c>
      <c r="B140" s="76" t="s">
        <v>167</v>
      </c>
    </row>
    <row r="141" spans="1:7" ht="18.75" customHeight="1">
      <c r="B141" s="148" t="s">
        <v>168</v>
      </c>
      <c r="C141" s="149"/>
      <c r="D141" s="149"/>
      <c r="E141" s="149"/>
      <c r="F141" s="149"/>
      <c r="G141" s="150"/>
    </row>
    <row r="142" spans="1:7" ht="18.75" customHeight="1">
      <c r="B142" s="151"/>
      <c r="C142" s="152"/>
      <c r="D142" s="152"/>
      <c r="E142" s="152"/>
      <c r="F142" s="152"/>
      <c r="G142" s="153"/>
    </row>
    <row r="143" spans="1:7" ht="18.75" customHeight="1">
      <c r="B143" s="151"/>
      <c r="C143" s="152"/>
      <c r="D143" s="152"/>
      <c r="E143" s="152"/>
      <c r="F143" s="152"/>
      <c r="G143" s="153"/>
    </row>
    <row r="144" spans="1:7" ht="18.75" customHeight="1">
      <c r="B144" s="154"/>
      <c r="C144" s="155"/>
      <c r="D144" s="155"/>
      <c r="E144" s="155"/>
      <c r="F144" s="155"/>
      <c r="G144" s="156"/>
    </row>
    <row r="145" s="76" customFormat="1" ht="18.75" customHeight="1"/>
    <row r="146" s="76" customFormat="1" ht="18.75" customHeight="1"/>
    <row r="147" s="76" customFormat="1" ht="18.75" customHeight="1"/>
    <row r="148" s="76" customFormat="1" ht="18.75" customHeight="1"/>
    <row r="149" s="76" customFormat="1" ht="18.75" customHeight="1"/>
    <row r="150" s="76" customFormat="1" ht="18.75" customHeight="1"/>
  </sheetData>
  <mergeCells count="120">
    <mergeCell ref="A3:G3"/>
    <mergeCell ref="C5:G5"/>
    <mergeCell ref="B6:B25"/>
    <mergeCell ref="C6:G9"/>
    <mergeCell ref="D10:G10"/>
    <mergeCell ref="D11:G11"/>
    <mergeCell ref="D12:G12"/>
    <mergeCell ref="D13:G13"/>
    <mergeCell ref="D14:G14"/>
    <mergeCell ref="D15:G15"/>
    <mergeCell ref="D16:G16"/>
    <mergeCell ref="D17:G17"/>
    <mergeCell ref="D18:G18"/>
    <mergeCell ref="D19:G19"/>
    <mergeCell ref="D20:G20"/>
    <mergeCell ref="D21:G21"/>
    <mergeCell ref="D44:G44"/>
    <mergeCell ref="D45:G45"/>
    <mergeCell ref="D46:G46"/>
    <mergeCell ref="D22:G22"/>
    <mergeCell ref="D23:G23"/>
    <mergeCell ref="D24:G24"/>
    <mergeCell ref="D25:G25"/>
    <mergeCell ref="B26:B50"/>
    <mergeCell ref="C26:G26"/>
    <mergeCell ref="C27:G31"/>
    <mergeCell ref="D32:G32"/>
    <mergeCell ref="D33:G33"/>
    <mergeCell ref="D34:G34"/>
    <mergeCell ref="D35:G35"/>
    <mergeCell ref="D36:G36"/>
    <mergeCell ref="D37:G37"/>
    <mergeCell ref="D38:G38"/>
    <mergeCell ref="D39:G39"/>
    <mergeCell ref="D40:G40"/>
    <mergeCell ref="D41:G41"/>
    <mergeCell ref="D42:G42"/>
    <mergeCell ref="D43:G43"/>
    <mergeCell ref="D69:G69"/>
    <mergeCell ref="D70:G70"/>
    <mergeCell ref="D71:G71"/>
    <mergeCell ref="D47:G47"/>
    <mergeCell ref="D48:G48"/>
    <mergeCell ref="D49:G49"/>
    <mergeCell ref="D50:G50"/>
    <mergeCell ref="B51:B75"/>
    <mergeCell ref="C51:G51"/>
    <mergeCell ref="C52:G56"/>
    <mergeCell ref="D57:G57"/>
    <mergeCell ref="D58:G58"/>
    <mergeCell ref="D59:G59"/>
    <mergeCell ref="D60:G60"/>
    <mergeCell ref="D61:G61"/>
    <mergeCell ref="D62:G62"/>
    <mergeCell ref="D63:G63"/>
    <mergeCell ref="D64:G64"/>
    <mergeCell ref="D65:G65"/>
    <mergeCell ref="D66:G66"/>
    <mergeCell ref="D67:G67"/>
    <mergeCell ref="D68:G68"/>
    <mergeCell ref="B101:B125"/>
    <mergeCell ref="C101:G101"/>
    <mergeCell ref="C102:G106"/>
    <mergeCell ref="D107:G107"/>
    <mergeCell ref="D108:G108"/>
    <mergeCell ref="D109:G109"/>
    <mergeCell ref="D91:G91"/>
    <mergeCell ref="D72:G72"/>
    <mergeCell ref="D73:G73"/>
    <mergeCell ref="D74:G74"/>
    <mergeCell ref="D75:G75"/>
    <mergeCell ref="C76:G76"/>
    <mergeCell ref="C77:G81"/>
    <mergeCell ref="D85:G85"/>
    <mergeCell ref="D86:G86"/>
    <mergeCell ref="D87:G87"/>
    <mergeCell ref="D88:G88"/>
    <mergeCell ref="D89:G89"/>
    <mergeCell ref="D90:G90"/>
    <mergeCell ref="D92:G92"/>
    <mergeCell ref="D93:G93"/>
    <mergeCell ref="D94:G94"/>
    <mergeCell ref="D95:G95"/>
    <mergeCell ref="D96:G96"/>
    <mergeCell ref="B76:B100"/>
    <mergeCell ref="D97:G97"/>
    <mergeCell ref="D98:G98"/>
    <mergeCell ref="D99:G99"/>
    <mergeCell ref="D100:G100"/>
    <mergeCell ref="D82:G82"/>
    <mergeCell ref="D83:G83"/>
    <mergeCell ref="D84:G84"/>
    <mergeCell ref="D125:G125"/>
    <mergeCell ref="C127:G127"/>
    <mergeCell ref="C128:G128"/>
    <mergeCell ref="D110:G110"/>
    <mergeCell ref="D111:G111"/>
    <mergeCell ref="D112:G112"/>
    <mergeCell ref="D113:G113"/>
    <mergeCell ref="D114:G114"/>
    <mergeCell ref="D115:G115"/>
    <mergeCell ref="D116:G116"/>
    <mergeCell ref="D117:G117"/>
    <mergeCell ref="D118:G118"/>
    <mergeCell ref="D119:G119"/>
    <mergeCell ref="D120:G120"/>
    <mergeCell ref="D121:G121"/>
    <mergeCell ref="D122:G122"/>
    <mergeCell ref="D123:G123"/>
    <mergeCell ref="D124:G124"/>
    <mergeCell ref="C135:G135"/>
    <mergeCell ref="C136:G136"/>
    <mergeCell ref="E138:G138"/>
    <mergeCell ref="B141:G144"/>
    <mergeCell ref="C129:G129"/>
    <mergeCell ref="C130:G130"/>
    <mergeCell ref="C131:G131"/>
    <mergeCell ref="C132:G132"/>
    <mergeCell ref="C133:G133"/>
    <mergeCell ref="C134:G134"/>
  </mergeCells>
  <phoneticPr fontId="3"/>
  <hyperlinks>
    <hyperlink ref="E138" r:id="rId1" xr:uid="{0C8EC37F-61FA-486E-81C5-EB4BFEE23CA1}"/>
  </hyperlinks>
  <printOptions horizontalCentered="1"/>
  <pageMargins left="0.78740157480314965" right="0.78740157480314965" top="0.59055118110236227" bottom="0.39370078740157483" header="0.31496062992125984" footer="0.31496062992125984"/>
  <pageSetup paperSize="9" scale="66" fitToHeight="0" orientation="portrait" r:id="rId2"/>
  <rowBreaks count="2" manualBreakCount="2">
    <brk id="50" max="16383" man="1"/>
    <brk id="100"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42"/>
  <sheetViews>
    <sheetView showZeros="0" topLeftCell="A78" zoomScaleNormal="100" workbookViewId="0">
      <selection activeCell="I94" sqref="I94"/>
    </sheetView>
  </sheetViews>
  <sheetFormatPr defaultColWidth="11.375" defaultRowHeight="18.75" customHeight="1"/>
  <cols>
    <col min="1" max="1" width="2.625" style="2" customWidth="1"/>
    <col min="2" max="2" width="54.125" style="1" customWidth="1"/>
    <col min="3" max="3" width="1.125" style="1" customWidth="1"/>
    <col min="4" max="4" width="22.5" style="1" customWidth="1"/>
    <col min="5" max="5" width="6.125" style="1" customWidth="1"/>
    <col min="6" max="16384" width="11.375" style="1"/>
  </cols>
  <sheetData>
    <row r="1" spans="1:5" ht="18.75" customHeight="1">
      <c r="B1" s="76"/>
      <c r="C1" s="76"/>
      <c r="D1" s="76"/>
      <c r="E1" s="83" t="s">
        <v>169</v>
      </c>
    </row>
    <row r="2" spans="1:5" ht="18.75" customHeight="1">
      <c r="B2" s="83" t="s">
        <v>170</v>
      </c>
      <c r="C2" s="83" t="s">
        <v>171</v>
      </c>
      <c r="D2" s="220" t="s">
        <v>64</v>
      </c>
      <c r="E2" s="220"/>
    </row>
    <row r="3" spans="1:5" ht="7.5" customHeight="1">
      <c r="B3" s="83"/>
      <c r="C3" s="83"/>
      <c r="D3" s="82"/>
      <c r="E3" s="82"/>
    </row>
    <row r="4" spans="1:5" ht="18.75" customHeight="1">
      <c r="B4" s="124" t="s">
        <v>172</v>
      </c>
      <c r="C4" s="124"/>
      <c r="D4" s="124"/>
      <c r="E4" s="124"/>
    </row>
    <row r="5" spans="1:5" ht="7.5" customHeight="1">
      <c r="B5" s="72"/>
      <c r="C5" s="72"/>
      <c r="D5" s="72"/>
      <c r="E5" s="72"/>
    </row>
    <row r="6" spans="1:5" ht="18.75" customHeight="1">
      <c r="A6" s="236" t="s">
        <v>2</v>
      </c>
      <c r="B6" s="4" t="s">
        <v>173</v>
      </c>
      <c r="C6" s="72"/>
      <c r="D6" s="72"/>
      <c r="E6" s="72"/>
    </row>
    <row r="7" spans="1:5" ht="18.75" customHeight="1">
      <c r="A7" s="236"/>
      <c r="B7" s="195" t="s">
        <v>174</v>
      </c>
      <c r="C7" s="196"/>
      <c r="D7" s="196"/>
      <c r="E7" s="197"/>
    </row>
    <row r="8" spans="1:5" ht="7.5" customHeight="1">
      <c r="B8" s="72"/>
      <c r="C8" s="72"/>
      <c r="D8" s="72"/>
      <c r="E8" s="72"/>
    </row>
    <row r="9" spans="1:5" s="4" customFormat="1" ht="18.75" customHeight="1">
      <c r="A9" s="236" t="s">
        <v>5</v>
      </c>
      <c r="B9" s="236" t="s">
        <v>175</v>
      </c>
      <c r="C9" s="236"/>
      <c r="D9" s="236"/>
      <c r="E9" s="236"/>
    </row>
    <row r="10" spans="1:5" s="7" customFormat="1" ht="18.75" customHeight="1">
      <c r="A10" s="6"/>
      <c r="B10" s="184" t="s">
        <v>176</v>
      </c>
      <c r="C10" s="185"/>
      <c r="D10" s="185"/>
      <c r="E10" s="186"/>
    </row>
    <row r="11" spans="1:5" s="7" customFormat="1" ht="18.75" customHeight="1">
      <c r="A11" s="6"/>
      <c r="B11" s="187"/>
      <c r="C11" s="188"/>
      <c r="D11" s="188"/>
      <c r="E11" s="189"/>
    </row>
    <row r="12" spans="1:5" s="7" customFormat="1" ht="18.75" customHeight="1">
      <c r="A12" s="6"/>
      <c r="B12" s="187"/>
      <c r="C12" s="188"/>
      <c r="D12" s="188"/>
      <c r="E12" s="189"/>
    </row>
    <row r="13" spans="1:5" s="7" customFormat="1" ht="18.75" customHeight="1">
      <c r="A13" s="6"/>
      <c r="B13" s="187"/>
      <c r="C13" s="188"/>
      <c r="D13" s="188"/>
      <c r="E13" s="189"/>
    </row>
    <row r="14" spans="1:5" s="7" customFormat="1" ht="18.75" customHeight="1">
      <c r="A14" s="6"/>
      <c r="B14" s="190"/>
      <c r="C14" s="191"/>
      <c r="D14" s="191"/>
      <c r="E14" s="192"/>
    </row>
    <row r="15" spans="1:5" s="7" customFormat="1" ht="7.5" customHeight="1">
      <c r="A15" s="6"/>
      <c r="B15" s="6"/>
      <c r="C15" s="6"/>
      <c r="D15" s="6"/>
      <c r="E15" s="6"/>
    </row>
    <row r="16" spans="1:5" s="4" customFormat="1" ht="18.75" customHeight="1">
      <c r="A16" s="8" t="s">
        <v>8</v>
      </c>
      <c r="B16" s="8" t="s">
        <v>177</v>
      </c>
      <c r="C16" s="8"/>
      <c r="D16" s="8"/>
      <c r="E16" s="8"/>
    </row>
    <row r="17" spans="1:5" s="7" customFormat="1" ht="18.75" customHeight="1">
      <c r="A17" s="6"/>
      <c r="B17" s="193" t="s">
        <v>178</v>
      </c>
      <c r="C17" s="237"/>
      <c r="D17" s="237"/>
      <c r="E17" s="238"/>
    </row>
    <row r="18" spans="1:5" s="7" customFormat="1" ht="18.75" customHeight="1">
      <c r="A18" s="6"/>
      <c r="B18" s="239"/>
      <c r="C18" s="240"/>
      <c r="D18" s="240"/>
      <c r="E18" s="241"/>
    </row>
    <row r="19" spans="1:5" s="7" customFormat="1" ht="18.75" customHeight="1">
      <c r="A19" s="6"/>
      <c r="B19" s="239"/>
      <c r="C19" s="240"/>
      <c r="D19" s="240"/>
      <c r="E19" s="241"/>
    </row>
    <row r="20" spans="1:5" s="7" customFormat="1" ht="18.75" customHeight="1">
      <c r="A20" s="6"/>
      <c r="B20" s="239"/>
      <c r="C20" s="240"/>
      <c r="D20" s="240"/>
      <c r="E20" s="241"/>
    </row>
    <row r="21" spans="1:5" s="7" customFormat="1" ht="18.75" customHeight="1">
      <c r="A21" s="6"/>
      <c r="B21" s="239"/>
      <c r="C21" s="240"/>
      <c r="D21" s="240"/>
      <c r="E21" s="241"/>
    </row>
    <row r="22" spans="1:5" s="7" customFormat="1" ht="18.75" customHeight="1">
      <c r="A22" s="6"/>
      <c r="B22" s="239"/>
      <c r="C22" s="240"/>
      <c r="D22" s="240"/>
      <c r="E22" s="241"/>
    </row>
    <row r="23" spans="1:5" s="7" customFormat="1" ht="18.75" customHeight="1">
      <c r="A23" s="6"/>
      <c r="B23" s="239"/>
      <c r="C23" s="240"/>
      <c r="D23" s="240"/>
      <c r="E23" s="241"/>
    </row>
    <row r="24" spans="1:5" s="7" customFormat="1" ht="18.75" customHeight="1">
      <c r="A24" s="6"/>
      <c r="B24" s="239"/>
      <c r="C24" s="240"/>
      <c r="D24" s="240"/>
      <c r="E24" s="241"/>
    </row>
    <row r="25" spans="1:5" s="7" customFormat="1" ht="18.75" customHeight="1">
      <c r="A25" s="6"/>
      <c r="B25" s="239"/>
      <c r="C25" s="240"/>
      <c r="D25" s="240"/>
      <c r="E25" s="241"/>
    </row>
    <row r="26" spans="1:5" s="7" customFormat="1" ht="18.75" customHeight="1">
      <c r="A26" s="6"/>
      <c r="B26" s="239"/>
      <c r="C26" s="240"/>
      <c r="D26" s="240"/>
      <c r="E26" s="241"/>
    </row>
    <row r="27" spans="1:5" s="7" customFormat="1" ht="18.75" customHeight="1">
      <c r="A27" s="6"/>
      <c r="B27" s="239"/>
      <c r="C27" s="240"/>
      <c r="D27" s="240"/>
      <c r="E27" s="241"/>
    </row>
    <row r="28" spans="1:5" s="7" customFormat="1" ht="18.75" customHeight="1">
      <c r="A28" s="6"/>
      <c r="B28" s="242"/>
      <c r="C28" s="243"/>
      <c r="D28" s="243"/>
      <c r="E28" s="244"/>
    </row>
    <row r="29" spans="1:5" ht="7.5" customHeight="1">
      <c r="A29" s="5"/>
      <c r="B29" s="5"/>
      <c r="C29" s="5"/>
      <c r="D29" s="5"/>
      <c r="E29" s="5"/>
    </row>
    <row r="30" spans="1:5" s="4" customFormat="1" ht="18.75" customHeight="1">
      <c r="A30" s="236" t="s">
        <v>11</v>
      </c>
      <c r="B30" s="236" t="s">
        <v>179</v>
      </c>
      <c r="C30" s="236"/>
      <c r="D30" s="236"/>
      <c r="E30" s="236"/>
    </row>
    <row r="31" spans="1:5" s="4" customFormat="1" ht="18.75" customHeight="1">
      <c r="A31" s="236"/>
      <c r="B31" s="194" t="s">
        <v>180</v>
      </c>
      <c r="C31" s="185"/>
      <c r="D31" s="185"/>
      <c r="E31" s="186"/>
    </row>
    <row r="32" spans="1:5" s="4" customFormat="1" ht="18.75" customHeight="1">
      <c r="A32" s="236"/>
      <c r="B32" s="187"/>
      <c r="C32" s="188"/>
      <c r="D32" s="188"/>
      <c r="E32" s="189"/>
    </row>
    <row r="33" spans="1:5" s="4" customFormat="1" ht="18.75" customHeight="1">
      <c r="A33" s="236"/>
      <c r="B33" s="187"/>
      <c r="C33" s="188"/>
      <c r="D33" s="188"/>
      <c r="E33" s="189"/>
    </row>
    <row r="34" spans="1:5" s="4" customFormat="1" ht="6" customHeight="1">
      <c r="A34" s="236"/>
      <c r="B34" s="187"/>
      <c r="C34" s="188"/>
      <c r="D34" s="188"/>
      <c r="E34" s="189"/>
    </row>
    <row r="35" spans="1:5" s="4" customFormat="1" ht="18.75" customHeight="1">
      <c r="A35" s="236"/>
      <c r="B35" s="187"/>
      <c r="C35" s="188"/>
      <c r="D35" s="188"/>
      <c r="E35" s="189"/>
    </row>
    <row r="36" spans="1:5" s="4" customFormat="1" ht="18.75" customHeight="1">
      <c r="A36" s="236"/>
      <c r="B36" s="187"/>
      <c r="C36" s="188"/>
      <c r="D36" s="188"/>
      <c r="E36" s="189"/>
    </row>
    <row r="37" spans="1:5" s="4" customFormat="1" ht="18.75" customHeight="1">
      <c r="A37" s="236"/>
      <c r="B37" s="187"/>
      <c r="C37" s="188"/>
      <c r="D37" s="188"/>
      <c r="E37" s="189"/>
    </row>
    <row r="38" spans="1:5" s="4" customFormat="1" ht="18.75" customHeight="1">
      <c r="A38" s="236"/>
      <c r="B38" s="187"/>
      <c r="C38" s="188"/>
      <c r="D38" s="188"/>
      <c r="E38" s="189"/>
    </row>
    <row r="39" spans="1:5" s="4" customFormat="1" ht="18.75" customHeight="1">
      <c r="A39" s="236"/>
      <c r="B39" s="187"/>
      <c r="C39" s="188"/>
      <c r="D39" s="188"/>
      <c r="E39" s="189"/>
    </row>
    <row r="40" spans="1:5" s="4" customFormat="1" ht="18.75" customHeight="1">
      <c r="A40" s="236"/>
      <c r="B40" s="187"/>
      <c r="C40" s="188"/>
      <c r="D40" s="188"/>
      <c r="E40" s="189"/>
    </row>
    <row r="41" spans="1:5" s="4" customFormat="1" ht="18.75" customHeight="1">
      <c r="A41" s="236"/>
      <c r="B41" s="187"/>
      <c r="C41" s="188"/>
      <c r="D41" s="188"/>
      <c r="E41" s="189"/>
    </row>
    <row r="42" spans="1:5" s="4" customFormat="1" ht="18.75" customHeight="1">
      <c r="A42" s="236"/>
      <c r="B42" s="187"/>
      <c r="C42" s="188"/>
      <c r="D42" s="188"/>
      <c r="E42" s="189"/>
    </row>
    <row r="43" spans="1:5" s="4" customFormat="1" ht="18.75" customHeight="1">
      <c r="A43" s="236"/>
      <c r="B43" s="187"/>
      <c r="C43" s="188"/>
      <c r="D43" s="188"/>
      <c r="E43" s="189"/>
    </row>
    <row r="44" spans="1:5" s="4" customFormat="1" ht="18.75" customHeight="1">
      <c r="A44" s="236"/>
      <c r="B44" s="190"/>
      <c r="C44" s="191"/>
      <c r="D44" s="191"/>
      <c r="E44" s="192"/>
    </row>
    <row r="45" spans="1:5" s="4" customFormat="1" ht="18.75" customHeight="1">
      <c r="A45" s="245" t="s">
        <v>14</v>
      </c>
      <c r="B45" s="76" t="s">
        <v>181</v>
      </c>
      <c r="C45" s="245"/>
      <c r="D45" s="245"/>
      <c r="E45" s="245"/>
    </row>
    <row r="46" spans="1:5" ht="18.75" customHeight="1">
      <c r="A46" s="5"/>
      <c r="B46" s="148" t="s">
        <v>182</v>
      </c>
      <c r="C46" s="149"/>
      <c r="D46" s="149"/>
      <c r="E46" s="150"/>
    </row>
    <row r="47" spans="1:5" ht="18.75" customHeight="1">
      <c r="A47" s="5"/>
      <c r="B47" s="151"/>
      <c r="C47" s="246"/>
      <c r="D47" s="246"/>
      <c r="E47" s="153"/>
    </row>
    <row r="48" spans="1:5" ht="18.75" customHeight="1">
      <c r="A48" s="5"/>
      <c r="B48" s="151"/>
      <c r="C48" s="246"/>
      <c r="D48" s="246"/>
      <c r="E48" s="153"/>
    </row>
    <row r="49" spans="1:5" ht="18.75" customHeight="1">
      <c r="A49" s="5"/>
      <c r="B49" s="151"/>
      <c r="C49" s="246"/>
      <c r="D49" s="246"/>
      <c r="E49" s="153"/>
    </row>
    <row r="50" spans="1:5" ht="18.75" customHeight="1">
      <c r="A50" s="5"/>
      <c r="B50" s="151"/>
      <c r="C50" s="246"/>
      <c r="D50" s="246"/>
      <c r="E50" s="153"/>
    </row>
    <row r="51" spans="1:5" ht="18.75" customHeight="1">
      <c r="A51" s="5"/>
      <c r="B51" s="151"/>
      <c r="C51" s="246"/>
      <c r="D51" s="246"/>
      <c r="E51" s="153"/>
    </row>
    <row r="52" spans="1:5" ht="18.75" customHeight="1">
      <c r="A52" s="5"/>
      <c r="B52" s="151"/>
      <c r="C52" s="246"/>
      <c r="D52" s="246"/>
      <c r="E52" s="153"/>
    </row>
    <row r="53" spans="1:5" ht="18.75" customHeight="1">
      <c r="A53" s="5"/>
      <c r="B53" s="151"/>
      <c r="C53" s="246"/>
      <c r="D53" s="246"/>
      <c r="E53" s="153"/>
    </row>
    <row r="54" spans="1:5" ht="18.75" customHeight="1">
      <c r="A54" s="5"/>
      <c r="B54" s="151"/>
      <c r="C54" s="246"/>
      <c r="D54" s="246"/>
      <c r="E54" s="153"/>
    </row>
    <row r="55" spans="1:5" ht="18.75" customHeight="1">
      <c r="A55" s="5"/>
      <c r="B55" s="151"/>
      <c r="C55" s="246"/>
      <c r="D55" s="246"/>
      <c r="E55" s="153"/>
    </row>
    <row r="56" spans="1:5" ht="18.75" customHeight="1">
      <c r="A56" s="5"/>
      <c r="B56" s="151"/>
      <c r="C56" s="246"/>
      <c r="D56" s="246"/>
      <c r="E56" s="153"/>
    </row>
    <row r="57" spans="1:5" ht="18.75" customHeight="1">
      <c r="A57" s="5"/>
      <c r="B57" s="151"/>
      <c r="C57" s="246"/>
      <c r="D57" s="246"/>
      <c r="E57" s="153"/>
    </row>
    <row r="58" spans="1:5" ht="18.75" customHeight="1">
      <c r="A58" s="5"/>
      <c r="B58" s="151"/>
      <c r="C58" s="246"/>
      <c r="D58" s="246"/>
      <c r="E58" s="153"/>
    </row>
    <row r="59" spans="1:5" ht="18.75" customHeight="1">
      <c r="A59" s="5"/>
      <c r="B59" s="151"/>
      <c r="C59" s="246"/>
      <c r="D59" s="246"/>
      <c r="E59" s="153"/>
    </row>
    <row r="60" spans="1:5" ht="18.75" customHeight="1">
      <c r="A60" s="5"/>
      <c r="B60" s="151"/>
      <c r="C60" s="246"/>
      <c r="D60" s="246"/>
      <c r="E60" s="153"/>
    </row>
    <row r="61" spans="1:5" ht="18.75" customHeight="1">
      <c r="A61" s="5"/>
      <c r="B61" s="151"/>
      <c r="C61" s="246"/>
      <c r="D61" s="246"/>
      <c r="E61" s="153"/>
    </row>
    <row r="62" spans="1:5" ht="18.75" customHeight="1">
      <c r="A62" s="5"/>
      <c r="B62" s="151"/>
      <c r="C62" s="246"/>
      <c r="D62" s="246"/>
      <c r="E62" s="153"/>
    </row>
    <row r="63" spans="1:5" ht="18.75" customHeight="1">
      <c r="A63" s="5"/>
      <c r="B63" s="151"/>
      <c r="C63" s="246"/>
      <c r="D63" s="246"/>
      <c r="E63" s="153"/>
    </row>
    <row r="64" spans="1:5" ht="18.75" customHeight="1">
      <c r="A64" s="5"/>
      <c r="B64" s="151"/>
      <c r="C64" s="246"/>
      <c r="D64" s="246"/>
      <c r="E64" s="153"/>
    </row>
    <row r="65" spans="1:5" ht="18.75" customHeight="1">
      <c r="A65" s="5"/>
      <c r="B65" s="151"/>
      <c r="C65" s="246"/>
      <c r="D65" s="246"/>
      <c r="E65" s="153"/>
    </row>
    <row r="66" spans="1:5" ht="18.75" customHeight="1">
      <c r="A66" s="5"/>
      <c r="B66" s="154"/>
      <c r="C66" s="155"/>
      <c r="D66" s="155"/>
      <c r="E66" s="156"/>
    </row>
    <row r="67" spans="1:5" ht="7.5" customHeight="1">
      <c r="A67" s="5"/>
      <c r="B67" s="5"/>
      <c r="C67" s="5"/>
      <c r="D67" s="5"/>
      <c r="E67" s="5"/>
    </row>
    <row r="68" spans="1:5" s="4" customFormat="1" ht="18.75" customHeight="1">
      <c r="A68" s="236" t="s">
        <v>17</v>
      </c>
      <c r="B68" s="236" t="s">
        <v>183</v>
      </c>
      <c r="C68" s="236"/>
      <c r="D68" s="236"/>
      <c r="E68" s="236"/>
    </row>
    <row r="69" spans="1:5" s="4" customFormat="1" ht="18.75" customHeight="1">
      <c r="A69" s="236"/>
      <c r="B69" s="148" t="s">
        <v>184</v>
      </c>
      <c r="C69" s="237"/>
      <c r="D69" s="237"/>
      <c r="E69" s="238"/>
    </row>
    <row r="70" spans="1:5" s="4" customFormat="1" ht="18.75" customHeight="1">
      <c r="A70" s="236"/>
      <c r="B70" s="239"/>
      <c r="C70" s="247"/>
      <c r="D70" s="247"/>
      <c r="E70" s="241"/>
    </row>
    <row r="71" spans="1:5" s="4" customFormat="1" ht="18.75" customHeight="1">
      <c r="A71" s="236"/>
      <c r="B71" s="239"/>
      <c r="C71" s="247"/>
      <c r="D71" s="247"/>
      <c r="E71" s="241"/>
    </row>
    <row r="72" spans="1:5" s="4" customFormat="1" ht="18.75" customHeight="1">
      <c r="A72" s="236"/>
      <c r="B72" s="239"/>
      <c r="C72" s="247"/>
      <c r="D72" s="247"/>
      <c r="E72" s="241"/>
    </row>
    <row r="73" spans="1:5" s="4" customFormat="1" ht="18.75" customHeight="1">
      <c r="A73" s="236"/>
      <c r="B73" s="239"/>
      <c r="C73" s="247"/>
      <c r="D73" s="247"/>
      <c r="E73" s="241"/>
    </row>
    <row r="74" spans="1:5" s="4" customFormat="1" ht="18.75" customHeight="1">
      <c r="A74" s="236"/>
      <c r="B74" s="239"/>
      <c r="C74" s="247"/>
      <c r="D74" s="247"/>
      <c r="E74" s="241"/>
    </row>
    <row r="75" spans="1:5" s="4" customFormat="1" ht="18.75" customHeight="1">
      <c r="A75" s="236"/>
      <c r="B75" s="239"/>
      <c r="C75" s="247"/>
      <c r="D75" s="247"/>
      <c r="E75" s="241"/>
    </row>
    <row r="76" spans="1:5" s="4" customFormat="1" ht="18.75" customHeight="1">
      <c r="A76" s="236"/>
      <c r="B76" s="239"/>
      <c r="C76" s="247"/>
      <c r="D76" s="247"/>
      <c r="E76" s="241"/>
    </row>
    <row r="77" spans="1:5" s="4" customFormat="1" ht="18.75" customHeight="1">
      <c r="A77" s="236"/>
      <c r="B77" s="239"/>
      <c r="C77" s="247"/>
      <c r="D77" s="247"/>
      <c r="E77" s="241"/>
    </row>
    <row r="78" spans="1:5" s="4" customFormat="1" ht="18.75" customHeight="1">
      <c r="A78" s="236"/>
      <c r="B78" s="239"/>
      <c r="C78" s="247"/>
      <c r="D78" s="247"/>
      <c r="E78" s="241"/>
    </row>
    <row r="79" spans="1:5" s="4" customFormat="1" ht="18.75" customHeight="1">
      <c r="A79" s="236"/>
      <c r="B79" s="239"/>
      <c r="C79" s="247"/>
      <c r="D79" s="247"/>
      <c r="E79" s="241"/>
    </row>
    <row r="80" spans="1:5" s="4" customFormat="1" ht="18.75" customHeight="1">
      <c r="A80" s="236"/>
      <c r="B80" s="239"/>
      <c r="C80" s="247"/>
      <c r="D80" s="247"/>
      <c r="E80" s="241"/>
    </row>
    <row r="81" spans="1:5" s="4" customFormat="1" ht="18.75" customHeight="1">
      <c r="A81" s="236"/>
      <c r="B81" s="239"/>
      <c r="C81" s="247"/>
      <c r="D81" s="247"/>
      <c r="E81" s="241"/>
    </row>
    <row r="82" spans="1:5" s="4" customFormat="1" ht="18.75" customHeight="1">
      <c r="A82" s="236"/>
      <c r="B82" s="239"/>
      <c r="C82" s="247"/>
      <c r="D82" s="247"/>
      <c r="E82" s="241"/>
    </row>
    <row r="83" spans="1:5" s="4" customFormat="1" ht="18.75" customHeight="1">
      <c r="A83" s="236"/>
      <c r="B83" s="239"/>
      <c r="C83" s="247"/>
      <c r="D83" s="247"/>
      <c r="E83" s="241"/>
    </row>
    <row r="84" spans="1:5" ht="18.75" customHeight="1">
      <c r="A84" s="5"/>
      <c r="B84" s="239"/>
      <c r="C84" s="247"/>
      <c r="D84" s="247"/>
      <c r="E84" s="241"/>
    </row>
    <row r="85" spans="1:5" ht="18.75" customHeight="1">
      <c r="A85" s="5"/>
      <c r="B85" s="242"/>
      <c r="C85" s="243"/>
      <c r="D85" s="243"/>
      <c r="E85" s="244"/>
    </row>
    <row r="86" spans="1:5" ht="7.5" customHeight="1">
      <c r="A86" s="5"/>
      <c r="B86" s="5"/>
      <c r="C86" s="5"/>
      <c r="D86" s="5"/>
      <c r="E86" s="5"/>
    </row>
    <row r="87" spans="1:5" s="4" customFormat="1" ht="18.75" customHeight="1">
      <c r="A87" s="236" t="s">
        <v>20</v>
      </c>
      <c r="B87" s="236" t="s">
        <v>185</v>
      </c>
      <c r="C87" s="236"/>
      <c r="D87" s="236"/>
      <c r="E87" s="236"/>
    </row>
    <row r="88" spans="1:5" s="4" customFormat="1" ht="18.75" customHeight="1">
      <c r="A88" s="236"/>
      <c r="B88" s="148" t="s">
        <v>186</v>
      </c>
      <c r="C88" s="237"/>
      <c r="D88" s="237"/>
      <c r="E88" s="238"/>
    </row>
    <row r="89" spans="1:5" s="4" customFormat="1" ht="18.75" customHeight="1">
      <c r="A89" s="236"/>
      <c r="B89" s="239"/>
      <c r="C89" s="247"/>
      <c r="D89" s="247"/>
      <c r="E89" s="241"/>
    </row>
    <row r="90" spans="1:5" s="4" customFormat="1" ht="18.75" customHeight="1">
      <c r="A90" s="236"/>
      <c r="B90" s="239"/>
      <c r="C90" s="247"/>
      <c r="D90" s="247"/>
      <c r="E90" s="241"/>
    </row>
    <row r="91" spans="1:5" s="4" customFormat="1" ht="18.75" customHeight="1">
      <c r="A91" s="236"/>
      <c r="B91" s="239"/>
      <c r="C91" s="247"/>
      <c r="D91" s="247"/>
      <c r="E91" s="241"/>
    </row>
    <row r="92" spans="1:5" s="4" customFormat="1" ht="18.75" customHeight="1">
      <c r="A92" s="236"/>
      <c r="B92" s="239"/>
      <c r="C92" s="247"/>
      <c r="D92" s="247"/>
      <c r="E92" s="241"/>
    </row>
    <row r="93" spans="1:5" s="4" customFormat="1" ht="18.75" customHeight="1">
      <c r="A93" s="236"/>
      <c r="B93" s="239"/>
      <c r="C93" s="247"/>
      <c r="D93" s="247"/>
      <c r="E93" s="241"/>
    </row>
    <row r="94" spans="1:5" s="4" customFormat="1" ht="18.75" customHeight="1">
      <c r="A94" s="236"/>
      <c r="B94" s="239"/>
      <c r="C94" s="247"/>
      <c r="D94" s="247"/>
      <c r="E94" s="241"/>
    </row>
    <row r="95" spans="1:5" s="4" customFormat="1" ht="18.75" customHeight="1">
      <c r="A95" s="236"/>
      <c r="B95" s="239"/>
      <c r="C95" s="247"/>
      <c r="D95" s="247"/>
      <c r="E95" s="241"/>
    </row>
    <row r="96" spans="1:5" s="4" customFormat="1" ht="18.75" customHeight="1">
      <c r="A96" s="236"/>
      <c r="B96" s="239"/>
      <c r="C96" s="247"/>
      <c r="D96" s="247"/>
      <c r="E96" s="241"/>
    </row>
    <row r="97" spans="1:5" s="4" customFormat="1" ht="18.75" customHeight="1">
      <c r="A97" s="236"/>
      <c r="B97" s="239"/>
      <c r="C97" s="247"/>
      <c r="D97" s="247"/>
      <c r="E97" s="241"/>
    </row>
    <row r="98" spans="1:5" s="4" customFormat="1" ht="18.75" customHeight="1">
      <c r="A98" s="236"/>
      <c r="B98" s="239"/>
      <c r="C98" s="247"/>
      <c r="D98" s="247"/>
      <c r="E98" s="241"/>
    </row>
    <row r="99" spans="1:5" s="4" customFormat="1" ht="18.75" customHeight="1">
      <c r="A99" s="236"/>
      <c r="B99" s="239"/>
      <c r="C99" s="247"/>
      <c r="D99" s="247"/>
      <c r="E99" s="241"/>
    </row>
    <row r="100" spans="1:5" s="4" customFormat="1" ht="18.75" customHeight="1">
      <c r="A100" s="236"/>
      <c r="B100" s="239"/>
      <c r="C100" s="247"/>
      <c r="D100" s="247"/>
      <c r="E100" s="241"/>
    </row>
    <row r="101" spans="1:5" s="4" customFormat="1" ht="18.75" customHeight="1">
      <c r="A101" s="236"/>
      <c r="B101" s="239"/>
      <c r="C101" s="247"/>
      <c r="D101" s="247"/>
      <c r="E101" s="241"/>
    </row>
    <row r="102" spans="1:5" s="4" customFormat="1" ht="18.75" customHeight="1">
      <c r="A102" s="236"/>
      <c r="B102" s="239"/>
      <c r="C102" s="247"/>
      <c r="D102" s="247"/>
      <c r="E102" s="241"/>
    </row>
    <row r="103" spans="1:5" s="4" customFormat="1" ht="18.75" customHeight="1">
      <c r="A103" s="236"/>
      <c r="B103" s="239"/>
      <c r="C103" s="247"/>
      <c r="D103" s="247"/>
      <c r="E103" s="241"/>
    </row>
    <row r="104" spans="1:5" s="4" customFormat="1" ht="18.75" customHeight="1">
      <c r="A104" s="236"/>
      <c r="B104" s="239"/>
      <c r="C104" s="247"/>
      <c r="D104" s="247"/>
      <c r="E104" s="241"/>
    </row>
    <row r="105" spans="1:5" s="4" customFormat="1" ht="18.75" customHeight="1">
      <c r="A105" s="236"/>
      <c r="B105" s="239"/>
      <c r="C105" s="247"/>
      <c r="D105" s="247"/>
      <c r="E105" s="241"/>
    </row>
    <row r="106" spans="1:5" ht="18.75" customHeight="1">
      <c r="A106" s="5"/>
      <c r="B106" s="239"/>
      <c r="C106" s="247"/>
      <c r="D106" s="247"/>
      <c r="E106" s="241"/>
    </row>
    <row r="107" spans="1:5" ht="18.75" customHeight="1">
      <c r="A107" s="5"/>
      <c r="B107" s="242"/>
      <c r="C107" s="243"/>
      <c r="D107" s="243"/>
      <c r="E107" s="244"/>
    </row>
    <row r="108" spans="1:5" ht="7.5" customHeight="1">
      <c r="A108" s="5"/>
      <c r="B108" s="5"/>
      <c r="C108" s="5"/>
      <c r="D108" s="5"/>
      <c r="E108" s="5"/>
    </row>
    <row r="109" spans="1:5" s="4" customFormat="1" ht="18.75" customHeight="1">
      <c r="A109" s="236" t="s">
        <v>25</v>
      </c>
      <c r="B109" s="248" t="s">
        <v>187</v>
      </c>
      <c r="C109" s="248"/>
      <c r="D109" s="248"/>
      <c r="E109" s="248"/>
    </row>
    <row r="110" spans="1:5" ht="18.75" customHeight="1">
      <c r="A110" s="5"/>
      <c r="B110" s="148" t="s">
        <v>188</v>
      </c>
      <c r="C110" s="237"/>
      <c r="D110" s="237"/>
      <c r="E110" s="238"/>
    </row>
    <row r="111" spans="1:5" ht="18.75" customHeight="1">
      <c r="A111" s="5"/>
      <c r="B111" s="239"/>
      <c r="C111" s="247"/>
      <c r="D111" s="247"/>
      <c r="E111" s="241"/>
    </row>
    <row r="112" spans="1:5" ht="18.75" customHeight="1">
      <c r="A112" s="5"/>
      <c r="B112" s="239"/>
      <c r="C112" s="247"/>
      <c r="D112" s="247"/>
      <c r="E112" s="241"/>
    </row>
    <row r="113" spans="1:5" ht="18.75" customHeight="1">
      <c r="A113" s="5"/>
      <c r="B113" s="239"/>
      <c r="C113" s="247"/>
      <c r="D113" s="247"/>
      <c r="E113" s="241"/>
    </row>
    <row r="114" spans="1:5" ht="18.75" customHeight="1">
      <c r="A114" s="5"/>
      <c r="B114" s="239"/>
      <c r="C114" s="247"/>
      <c r="D114" s="247"/>
      <c r="E114" s="241"/>
    </row>
    <row r="115" spans="1:5" ht="18.75" customHeight="1">
      <c r="A115" s="5"/>
      <c r="B115" s="239"/>
      <c r="C115" s="247"/>
      <c r="D115" s="247"/>
      <c r="E115" s="241"/>
    </row>
    <row r="116" spans="1:5" ht="18.75" customHeight="1">
      <c r="A116" s="5"/>
      <c r="B116" s="239"/>
      <c r="C116" s="247"/>
      <c r="D116" s="247"/>
      <c r="E116" s="241"/>
    </row>
    <row r="117" spans="1:5" ht="18.75" customHeight="1">
      <c r="A117" s="5"/>
      <c r="B117" s="239"/>
      <c r="C117" s="247"/>
      <c r="D117" s="247"/>
      <c r="E117" s="241"/>
    </row>
    <row r="118" spans="1:5" ht="18.75" customHeight="1">
      <c r="A118" s="5"/>
      <c r="B118" s="239"/>
      <c r="C118" s="247"/>
      <c r="D118" s="247"/>
      <c r="E118" s="241"/>
    </row>
    <row r="119" spans="1:5" ht="18.75" customHeight="1">
      <c r="A119" s="5"/>
      <c r="B119" s="239"/>
      <c r="C119" s="247"/>
      <c r="D119" s="247"/>
      <c r="E119" s="241"/>
    </row>
    <row r="120" spans="1:5" ht="18.75" customHeight="1">
      <c r="A120" s="5"/>
      <c r="B120" s="239"/>
      <c r="C120" s="247"/>
      <c r="D120" s="247"/>
      <c r="E120" s="241"/>
    </row>
    <row r="121" spans="1:5" ht="18.75" customHeight="1">
      <c r="A121" s="5"/>
      <c r="B121" s="239"/>
      <c r="C121" s="247"/>
      <c r="D121" s="247"/>
      <c r="E121" s="241"/>
    </row>
    <row r="122" spans="1:5" ht="18.75" customHeight="1">
      <c r="A122" s="5"/>
      <c r="B122" s="239"/>
      <c r="C122" s="247"/>
      <c r="D122" s="247"/>
      <c r="E122" s="241"/>
    </row>
    <row r="123" spans="1:5" ht="18.75" customHeight="1">
      <c r="A123" s="5"/>
      <c r="B123" s="239"/>
      <c r="C123" s="247"/>
      <c r="D123" s="247"/>
      <c r="E123" s="241"/>
    </row>
    <row r="124" spans="1:5" ht="18.75" customHeight="1">
      <c r="A124" s="5"/>
      <c r="B124" s="239"/>
      <c r="C124" s="247"/>
      <c r="D124" s="247"/>
      <c r="E124" s="241"/>
    </row>
    <row r="125" spans="1:5" ht="18.75" customHeight="1">
      <c r="A125" s="5"/>
      <c r="B125" s="239"/>
      <c r="C125" s="247"/>
      <c r="D125" s="247"/>
      <c r="E125" s="241"/>
    </row>
    <row r="126" spans="1:5" ht="18.75" customHeight="1">
      <c r="A126" s="5"/>
      <c r="B126" s="239"/>
      <c r="C126" s="247"/>
      <c r="D126" s="247"/>
      <c r="E126" s="241"/>
    </row>
    <row r="127" spans="1:5" ht="18.75" customHeight="1">
      <c r="A127" s="5"/>
      <c r="B127" s="242"/>
      <c r="C127" s="243"/>
      <c r="D127" s="243"/>
      <c r="E127" s="244"/>
    </row>
    <row r="128" spans="1:5" ht="7.5" customHeight="1">
      <c r="A128" s="5"/>
      <c r="B128" s="9"/>
      <c r="C128" s="9"/>
      <c r="D128" s="9"/>
      <c r="E128" s="9"/>
    </row>
    <row r="129" spans="1:5" ht="18.75" customHeight="1">
      <c r="A129" s="5"/>
      <c r="B129" s="5"/>
      <c r="C129" s="5"/>
      <c r="D129" s="5"/>
      <c r="E129" s="5"/>
    </row>
    <row r="130" spans="1:5" ht="18.75" customHeight="1">
      <c r="A130" s="5"/>
      <c r="B130" s="5"/>
      <c r="C130" s="5"/>
      <c r="D130" s="5"/>
      <c r="E130" s="5"/>
    </row>
    <row r="131" spans="1:5" ht="18.75" customHeight="1">
      <c r="A131" s="5"/>
      <c r="B131" s="5"/>
      <c r="C131" s="5"/>
      <c r="D131" s="5"/>
      <c r="E131" s="5"/>
    </row>
    <row r="132" spans="1:5" ht="18.75" customHeight="1">
      <c r="A132" s="5"/>
      <c r="B132" s="5"/>
      <c r="C132" s="5"/>
      <c r="D132" s="5"/>
      <c r="E132" s="5"/>
    </row>
    <row r="133" spans="1:5" ht="18.75" customHeight="1">
      <c r="A133" s="5"/>
      <c r="B133" s="5"/>
      <c r="C133" s="5"/>
      <c r="D133" s="5"/>
      <c r="E133" s="5"/>
    </row>
    <row r="134" spans="1:5" ht="18.75" customHeight="1">
      <c r="A134" s="5"/>
      <c r="B134" s="5"/>
      <c r="C134" s="5"/>
      <c r="D134" s="5"/>
      <c r="E134" s="5"/>
    </row>
    <row r="135" spans="1:5" ht="18.75" customHeight="1">
      <c r="A135" s="5"/>
      <c r="B135" s="5"/>
      <c r="C135" s="5"/>
      <c r="D135" s="5"/>
      <c r="E135" s="5"/>
    </row>
    <row r="136" spans="1:5" ht="18.75" customHeight="1">
      <c r="A136" s="5"/>
      <c r="B136" s="5"/>
      <c r="C136" s="5"/>
      <c r="D136" s="5"/>
      <c r="E136" s="5"/>
    </row>
    <row r="137" spans="1:5" ht="18.75" customHeight="1">
      <c r="A137" s="5"/>
      <c r="B137" s="5"/>
      <c r="C137" s="5"/>
      <c r="D137" s="5"/>
      <c r="E137" s="5"/>
    </row>
    <row r="138" spans="1:5" ht="18.75" customHeight="1">
      <c r="A138" s="5"/>
      <c r="B138" s="5"/>
      <c r="C138" s="5"/>
      <c r="D138" s="5"/>
      <c r="E138" s="5"/>
    </row>
    <row r="139" spans="1:5" ht="18.75" customHeight="1">
      <c r="A139" s="5"/>
      <c r="B139" s="5"/>
      <c r="C139" s="5"/>
      <c r="D139" s="5"/>
      <c r="E139" s="5"/>
    </row>
    <row r="140" spans="1:5" ht="18.75" customHeight="1">
      <c r="A140" s="5"/>
      <c r="B140" s="5"/>
      <c r="C140" s="5"/>
      <c r="D140" s="5"/>
      <c r="E140" s="5"/>
    </row>
    <row r="141" spans="1:5" ht="14.1">
      <c r="A141" s="5"/>
      <c r="B141" s="5"/>
      <c r="C141" s="5"/>
      <c r="D141" s="5"/>
      <c r="E141" s="5"/>
    </row>
    <row r="142" spans="1:5" ht="7.5" customHeight="1">
      <c r="A142" s="3"/>
      <c r="B142" s="3"/>
      <c r="C142" s="3"/>
      <c r="D142" s="3"/>
      <c r="E142" s="3"/>
    </row>
  </sheetData>
  <mergeCells count="11">
    <mergeCell ref="B69:E85"/>
    <mergeCell ref="B88:E107"/>
    <mergeCell ref="B109:E109"/>
    <mergeCell ref="B110:E127"/>
    <mergeCell ref="D2:E2"/>
    <mergeCell ref="B4:E4"/>
    <mergeCell ref="B10:E14"/>
    <mergeCell ref="B17:E28"/>
    <mergeCell ref="B31:E44"/>
    <mergeCell ref="B46:E66"/>
    <mergeCell ref="B7:E7"/>
  </mergeCells>
  <phoneticPr fontId="3"/>
  <printOptions horizontalCentered="1"/>
  <pageMargins left="0.78740157480314965" right="0.78740157480314965" top="0.78740157480314965" bottom="0.78740157480314965"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938D0-FD4D-43A5-AD64-EE401D42EA6E}">
  <sheetPr>
    <pageSetUpPr fitToPage="1"/>
  </sheetPr>
  <dimension ref="A1:J28"/>
  <sheetViews>
    <sheetView showZeros="0" zoomScale="130" zoomScaleNormal="130" workbookViewId="0">
      <selection activeCell="E26" sqref="E26"/>
    </sheetView>
  </sheetViews>
  <sheetFormatPr defaultColWidth="11.25" defaultRowHeight="22.5" customHeight="1"/>
  <cols>
    <col min="1" max="3" width="2.375" style="76" customWidth="1"/>
    <col min="4" max="4" width="22.375" style="76" customWidth="1"/>
    <col min="5" max="5" width="21.125" style="76" customWidth="1"/>
    <col min="6" max="7" width="7.5" style="76" customWidth="1"/>
    <col min="8" max="8" width="32.375" style="76" customWidth="1"/>
    <col min="9" max="9" width="24.75" style="76" customWidth="1"/>
    <col min="10" max="10" width="6.125" style="76" customWidth="1"/>
    <col min="11" max="11" width="4.125" style="76" customWidth="1"/>
    <col min="12" max="16384" width="11.25" style="76"/>
  </cols>
  <sheetData>
    <row r="1" spans="1:10" ht="18.75" customHeight="1">
      <c r="J1" s="83" t="s">
        <v>189</v>
      </c>
    </row>
    <row r="2" spans="1:10" ht="18.75" customHeight="1">
      <c r="D2" s="83"/>
      <c r="H2" s="83" t="s">
        <v>190</v>
      </c>
      <c r="I2" s="220" t="s">
        <v>64</v>
      </c>
      <c r="J2" s="220"/>
    </row>
    <row r="3" spans="1:10" ht="18.75" customHeight="1">
      <c r="A3" s="124" t="s">
        <v>191</v>
      </c>
      <c r="B3" s="124"/>
      <c r="C3" s="124"/>
      <c r="D3" s="124"/>
      <c r="E3" s="124"/>
      <c r="F3" s="124"/>
      <c r="G3" s="124"/>
      <c r="H3" s="124"/>
      <c r="I3" s="124"/>
      <c r="J3" s="124"/>
    </row>
    <row r="4" spans="1:10" ht="7.5" customHeight="1">
      <c r="B4" s="74"/>
      <c r="C4" s="74"/>
      <c r="D4" s="221"/>
      <c r="E4" s="222"/>
      <c r="F4" s="222"/>
      <c r="G4" s="222"/>
      <c r="H4" s="222"/>
      <c r="I4" s="222"/>
      <c r="J4" s="222"/>
    </row>
    <row r="5" spans="1:10" ht="18.75" customHeight="1">
      <c r="A5" s="76" t="s">
        <v>2</v>
      </c>
      <c r="B5" s="7" t="s">
        <v>192</v>
      </c>
      <c r="C5" s="74"/>
      <c r="D5" s="74"/>
      <c r="E5" s="75"/>
      <c r="F5" s="75"/>
      <c r="G5" s="75"/>
      <c r="H5" s="75"/>
      <c r="I5" s="75"/>
      <c r="J5" s="75"/>
    </row>
    <row r="6" spans="1:10" ht="18.75" customHeight="1">
      <c r="B6" s="160" t="s">
        <v>193</v>
      </c>
      <c r="C6" s="161"/>
      <c r="D6" s="162"/>
      <c r="E6" s="223" t="s">
        <v>194</v>
      </c>
      <c r="F6" s="223"/>
      <c r="G6" s="223"/>
      <c r="H6" s="223"/>
      <c r="I6" s="223"/>
      <c r="J6" s="224"/>
    </row>
    <row r="7" spans="1:10" ht="18.75" customHeight="1">
      <c r="B7" s="88" t="s">
        <v>195</v>
      </c>
      <c r="C7" s="74"/>
      <c r="D7" s="12"/>
      <c r="I7" s="75"/>
      <c r="J7" s="10"/>
    </row>
    <row r="8" spans="1:10" ht="202.5" customHeight="1">
      <c r="B8" s="11"/>
      <c r="C8" s="213" t="s">
        <v>196</v>
      </c>
      <c r="D8" s="200"/>
      <c r="E8" s="214" t="s">
        <v>197</v>
      </c>
      <c r="F8" s="202"/>
      <c r="G8" s="202"/>
      <c r="H8" s="202"/>
      <c r="I8" s="202"/>
      <c r="J8" s="203"/>
    </row>
    <row r="9" spans="1:10" ht="202.5" customHeight="1">
      <c r="B9" s="11"/>
      <c r="C9" s="249" t="s">
        <v>198</v>
      </c>
      <c r="D9" s="250"/>
      <c r="E9" s="214" t="s">
        <v>199</v>
      </c>
      <c r="F9" s="202"/>
      <c r="G9" s="202"/>
      <c r="H9" s="202"/>
      <c r="I9" s="202"/>
      <c r="J9" s="203"/>
    </row>
    <row r="10" spans="1:10" ht="172.5" customHeight="1">
      <c r="B10" s="11"/>
      <c r="C10" s="213" t="s">
        <v>200</v>
      </c>
      <c r="D10" s="200"/>
      <c r="E10" s="214" t="s">
        <v>201</v>
      </c>
      <c r="F10" s="202"/>
      <c r="G10" s="202"/>
      <c r="H10" s="202"/>
      <c r="I10" s="202"/>
      <c r="J10" s="203"/>
    </row>
    <row r="11" spans="1:10" ht="172.5" customHeight="1">
      <c r="B11" s="11"/>
      <c r="C11" s="213" t="s">
        <v>202</v>
      </c>
      <c r="D11" s="200"/>
      <c r="E11" s="214" t="s">
        <v>203</v>
      </c>
      <c r="F11" s="202"/>
      <c r="G11" s="202"/>
      <c r="H11" s="202"/>
      <c r="I11" s="202"/>
      <c r="J11" s="203"/>
    </row>
    <row r="12" spans="1:10" ht="172.5" customHeight="1">
      <c r="B12" s="11"/>
      <c r="C12" s="213" t="s">
        <v>204</v>
      </c>
      <c r="D12" s="200"/>
      <c r="E12" s="214" t="s">
        <v>205</v>
      </c>
      <c r="F12" s="202"/>
      <c r="G12" s="202"/>
      <c r="H12" s="202"/>
      <c r="I12" s="202"/>
      <c r="J12" s="203"/>
    </row>
    <row r="13" spans="1:10" ht="18.75" customHeight="1">
      <c r="B13" s="87" t="s">
        <v>206</v>
      </c>
      <c r="C13" s="30"/>
      <c r="D13" s="13"/>
      <c r="E13" s="36"/>
      <c r="F13" s="36"/>
      <c r="G13" s="36"/>
      <c r="H13" s="36"/>
      <c r="I13" s="36"/>
      <c r="J13" s="37"/>
    </row>
    <row r="14" spans="1:10" ht="255" customHeight="1">
      <c r="B14" s="11"/>
      <c r="C14" s="213" t="s">
        <v>207</v>
      </c>
      <c r="D14" s="200"/>
      <c r="E14" s="201" t="s">
        <v>208</v>
      </c>
      <c r="F14" s="202"/>
      <c r="G14" s="202"/>
      <c r="H14" s="202"/>
      <c r="I14" s="202"/>
      <c r="J14" s="203"/>
    </row>
    <row r="15" spans="1:10" ht="255" customHeight="1">
      <c r="B15" s="11"/>
      <c r="C15" s="215" t="s">
        <v>209</v>
      </c>
      <c r="D15" s="216"/>
      <c r="E15" s="217" t="s">
        <v>210</v>
      </c>
      <c r="F15" s="218"/>
      <c r="G15" s="218"/>
      <c r="H15" s="218"/>
      <c r="I15" s="218"/>
      <c r="J15" s="219"/>
    </row>
    <row r="16" spans="1:10" ht="232.5" customHeight="1">
      <c r="B16" s="198" t="s">
        <v>211</v>
      </c>
      <c r="C16" s="199"/>
      <c r="D16" s="200"/>
      <c r="E16" s="201" t="s">
        <v>212</v>
      </c>
      <c r="F16" s="202"/>
      <c r="G16" s="202"/>
      <c r="H16" s="202"/>
      <c r="I16" s="202"/>
      <c r="J16" s="203"/>
    </row>
    <row r="17" spans="1:10" ht="232.5" customHeight="1">
      <c r="A17" s="35"/>
      <c r="B17" s="204" t="s">
        <v>213</v>
      </c>
      <c r="C17" s="205"/>
      <c r="D17" s="206"/>
      <c r="E17" s="207" t="s">
        <v>214</v>
      </c>
      <c r="F17" s="208"/>
      <c r="G17" s="208"/>
      <c r="H17" s="208"/>
      <c r="I17" s="208"/>
      <c r="J17" s="209"/>
    </row>
    <row r="18" spans="1:10" ht="7.5" customHeight="1">
      <c r="B18" s="74"/>
      <c r="C18" s="74"/>
      <c r="D18" s="74"/>
      <c r="E18" s="75"/>
      <c r="F18" s="75"/>
      <c r="G18" s="75"/>
      <c r="H18" s="75"/>
      <c r="I18" s="75"/>
      <c r="J18" s="75"/>
    </row>
    <row r="19" spans="1:10" ht="18.75" customHeight="1">
      <c r="B19" s="7"/>
      <c r="C19" s="74"/>
      <c r="D19" s="74"/>
      <c r="E19" s="75"/>
      <c r="F19" s="31"/>
      <c r="G19" s="31"/>
      <c r="H19" s="39" t="s">
        <v>215</v>
      </c>
      <c r="I19" s="86"/>
      <c r="J19" s="38"/>
    </row>
    <row r="20" spans="1:10" ht="18.75" customHeight="1">
      <c r="A20" s="76" t="s">
        <v>5</v>
      </c>
      <c r="B20" s="7" t="s">
        <v>216</v>
      </c>
      <c r="C20" s="74"/>
      <c r="D20" s="74"/>
      <c r="E20" s="75"/>
      <c r="F20" s="85" t="s">
        <v>217</v>
      </c>
      <c r="G20" s="31"/>
      <c r="H20" s="210" t="s">
        <v>166</v>
      </c>
      <c r="I20" s="211"/>
      <c r="J20" s="212"/>
    </row>
    <row r="21" spans="1:10" ht="22.5" customHeight="1">
      <c r="B21" s="74"/>
      <c r="C21" s="74"/>
      <c r="D21" s="74"/>
      <c r="E21" s="75"/>
      <c r="F21" s="75"/>
      <c r="G21" s="75"/>
      <c r="H21" s="75"/>
      <c r="I21" s="75"/>
      <c r="J21" s="75"/>
    </row>
    <row r="22" spans="1:10" ht="22.5" customHeight="1">
      <c r="B22" s="74"/>
      <c r="C22" s="74"/>
      <c r="D22" s="74"/>
      <c r="E22" s="75"/>
      <c r="F22" s="75"/>
      <c r="G22" s="75"/>
      <c r="H22" s="75"/>
      <c r="I22" s="75"/>
      <c r="J22" s="75"/>
    </row>
    <row r="23" spans="1:10" ht="22.5" customHeight="1">
      <c r="B23" s="74"/>
      <c r="C23" s="74"/>
      <c r="D23" s="74"/>
      <c r="E23" s="75"/>
      <c r="F23" s="75"/>
      <c r="G23" s="75"/>
      <c r="H23" s="75"/>
      <c r="I23" s="75"/>
      <c r="J23" s="75"/>
    </row>
    <row r="24" spans="1:10" ht="22.5" customHeight="1">
      <c r="B24" s="74"/>
      <c r="C24" s="74"/>
      <c r="D24" s="74"/>
      <c r="E24" s="75"/>
      <c r="F24" s="75"/>
      <c r="G24" s="75"/>
      <c r="H24" s="75"/>
      <c r="I24" s="75"/>
      <c r="J24" s="75"/>
    </row>
    <row r="25" spans="1:10" ht="22.5" customHeight="1">
      <c r="B25" s="74"/>
      <c r="C25" s="74"/>
      <c r="D25" s="74"/>
      <c r="E25" s="75"/>
      <c r="F25" s="75"/>
      <c r="G25" s="75"/>
      <c r="H25" s="75"/>
      <c r="I25" s="75"/>
      <c r="J25" s="75"/>
    </row>
    <row r="26" spans="1:10" ht="22.5" customHeight="1">
      <c r="B26" s="84"/>
      <c r="C26" s="84"/>
      <c r="D26" s="84"/>
      <c r="E26" s="84"/>
      <c r="F26" s="84"/>
      <c r="G26" s="84"/>
      <c r="H26" s="84"/>
      <c r="I26" s="84"/>
      <c r="J26" s="84"/>
    </row>
    <row r="27" spans="1:10" ht="22.5" customHeight="1">
      <c r="B27" s="84"/>
      <c r="C27" s="84"/>
      <c r="D27" s="84"/>
      <c r="E27" s="84"/>
      <c r="F27" s="84"/>
      <c r="G27" s="84"/>
      <c r="H27" s="84"/>
      <c r="I27" s="84"/>
      <c r="J27" s="84"/>
    </row>
    <row r="28" spans="1:10" ht="22.5" customHeight="1">
      <c r="B28" s="84"/>
      <c r="C28" s="84"/>
      <c r="D28" s="84"/>
      <c r="E28" s="84"/>
      <c r="F28" s="84"/>
      <c r="G28" s="84"/>
      <c r="H28" s="84"/>
      <c r="I28" s="84"/>
      <c r="J28" s="84"/>
    </row>
  </sheetData>
  <mergeCells count="24">
    <mergeCell ref="C8:D8"/>
    <mergeCell ref="E8:J8"/>
    <mergeCell ref="I2:J2"/>
    <mergeCell ref="A3:J3"/>
    <mergeCell ref="D4:J4"/>
    <mergeCell ref="B6:D6"/>
    <mergeCell ref="E6:J6"/>
    <mergeCell ref="C9:D9"/>
    <mergeCell ref="E9:J9"/>
    <mergeCell ref="C10:D10"/>
    <mergeCell ref="E10:J10"/>
    <mergeCell ref="C11:D11"/>
    <mergeCell ref="E11:J11"/>
    <mergeCell ref="C12:D12"/>
    <mergeCell ref="E12:J12"/>
    <mergeCell ref="C14:D14"/>
    <mergeCell ref="E14:J14"/>
    <mergeCell ref="C15:D15"/>
    <mergeCell ref="E15:J15"/>
    <mergeCell ref="B16:D16"/>
    <mergeCell ref="E16:J16"/>
    <mergeCell ref="B17:D17"/>
    <mergeCell ref="E17:J17"/>
    <mergeCell ref="H20:J20"/>
  </mergeCells>
  <phoneticPr fontId="3"/>
  <dataValidations count="2">
    <dataValidation type="list" allowBlank="1" showInputMessage="1" showErrorMessage="1" sqref="F19:G19" xr:uid="{A614A34E-4D50-448A-AC37-4C90F54C9F2D}">
      <formula1>#REF!</formula1>
    </dataValidation>
    <dataValidation type="list" allowBlank="1" showInputMessage="1" showErrorMessage="1" sqref="F20" xr:uid="{9D45C0D4-3838-4640-9E55-108F0F4992C1}">
      <formula1>"有,無,予定"</formula1>
    </dataValidation>
  </dataValidations>
  <hyperlinks>
    <hyperlink ref="H20" r:id="rId1" xr:uid="{07200BAB-D7DE-438E-9918-F6F4BA63ADBE}"/>
  </hyperlinks>
  <printOptions horizontalCentered="1"/>
  <pageMargins left="0.78740157480314965" right="0.78740157480314965" top="0.78740157480314965" bottom="0.78740157480314965" header="0.31496062992125984" footer="0.31496062992125984"/>
  <pageSetup paperSize="9" scale="67" fitToHeight="0" orientation="portrait"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木谷慎一</cp:lastModifiedBy>
  <cp:revision/>
  <dcterms:created xsi:type="dcterms:W3CDTF">2011-06-14T05:32:50Z</dcterms:created>
  <dcterms:modified xsi:type="dcterms:W3CDTF">2022-02-22T09:51:45Z</dcterms:modified>
  <cp:category/>
  <cp:contentStatus/>
</cp:coreProperties>
</file>