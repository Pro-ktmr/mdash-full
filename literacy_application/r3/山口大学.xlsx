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53"/>
  <workbookPr defaultThemeVersion="124226"/>
  <mc:AlternateContent xmlns:mc="http://schemas.openxmlformats.org/markup-compatibility/2006">
    <mc:Choice Requires="x15">
      <x15ac:absPath xmlns:x15ac="http://schemas.microsoft.com/office/spreadsheetml/2010/11/ac" url="\\ds23.cc.yamaguchi-u.ac.jp\学生支援部\教育支援課\教育連携係\02_データサイエンス教育プログラムの認定制度（MDASH Literacy）\12_申請書修正\"/>
    </mc:Choice>
  </mc:AlternateContent>
  <xr:revisionPtr revIDLastSave="0" documentId="13_ncr:1_{429D2A97-D862-414A-AAE0-3EBEFEC668CF}" xr6:coauthVersionLast="36" xr6:coauthVersionMax="36" xr10:uidLastSave="{00000000-0000-0000-0000-000000000000}"/>
  <bookViews>
    <workbookView xWindow="0" yWindow="0" windowWidth="19575" windowHeight="6315" tabRatio="885" xr2:uid="{00000000-000D-0000-FFFF-FFFF00000000}"/>
  </bookViews>
  <sheets>
    <sheet name="様式１　大学等概要" sheetId="8" r:id="rId1"/>
    <sheet name="様式２　プログラムを構成する授業科目" sheetId="9" r:id="rId2"/>
    <sheet name="様式３　履修者等数の実績" sheetId="31" r:id="rId3"/>
    <sheet name="様式4　プログラムの授業内容・概要" sheetId="34" r:id="rId4"/>
    <sheet name="様式５　教育の質・履修者数を向上させるための体制・計画" sheetId="35" r:id="rId5"/>
    <sheet name="様式６　自己点検・評価" sheetId="36" r:id="rId6"/>
    <sheet name="様式７　特色ある取組" sheetId="29" r:id="rId7"/>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大学等概要'!$A$1:$N$47</definedName>
    <definedName name="_xlnm.Print_Area" localSheetId="1">'様式２　プログラムを構成する授業科目'!$A$1:$I$39</definedName>
    <definedName name="_xlnm.Print_Area" localSheetId="2">'様式３　履修者等数の実績'!$A$1:$R$18</definedName>
    <definedName name="_xlnm.Print_Area" localSheetId="4">'様式５　教育の質・履修者数を向上させるための体制・計画'!$A$1:$E$48</definedName>
    <definedName name="_xlnm.Print_Area" localSheetId="5">'様式６　自己点検・評価'!$A$1:$J$20</definedName>
    <definedName name="_xlnm.Print_Area" localSheetId="6">'様式７　特色ある取組'!$A$1:$F$43</definedName>
  </definedNames>
  <calcPr calcId="191029"/>
</workbook>
</file>

<file path=xl/calcChain.xml><?xml version="1.0" encoding="utf-8"?>
<calcChain xmlns="http://schemas.openxmlformats.org/spreadsheetml/2006/main">
  <c r="Q16" i="31" l="1"/>
  <c r="R16" i="31" s="1"/>
  <c r="P17" i="31" l="1"/>
  <c r="O17" i="31"/>
  <c r="N17" i="31"/>
  <c r="M17" i="31"/>
  <c r="L17" i="31"/>
  <c r="K17" i="31"/>
  <c r="J17" i="31"/>
  <c r="I17" i="31"/>
  <c r="H17" i="31"/>
  <c r="G17" i="31"/>
  <c r="F17" i="31"/>
  <c r="E17" i="31"/>
  <c r="D17" i="31"/>
  <c r="Q15" i="31"/>
  <c r="R15" i="31" s="1"/>
  <c r="Q14" i="31"/>
  <c r="R14" i="31" s="1"/>
  <c r="Q13" i="31"/>
  <c r="R13" i="31" s="1"/>
  <c r="Q12" i="31"/>
  <c r="R12" i="31" s="1"/>
  <c r="Q11" i="31"/>
  <c r="R11" i="31" s="1"/>
  <c r="Q10" i="31"/>
  <c r="R10" i="31" s="1"/>
  <c r="Q9" i="31"/>
  <c r="R9" i="31" s="1"/>
  <c r="Q8" i="31"/>
  <c r="R8" i="31" s="1"/>
  <c r="Q17" i="31" l="1"/>
  <c r="R17" i="31" s="1"/>
</calcChain>
</file>

<file path=xl/sharedStrings.xml><?xml version="1.0" encoding="utf-8"?>
<sst xmlns="http://schemas.openxmlformats.org/spreadsheetml/2006/main" count="285" uniqueCount="213">
  <si>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</si>
  <si>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</si>
  <si>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</si>
  <si>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連絡先</t>
    <rPh sb="0" eb="3">
      <t>レンラクサキ</t>
    </rPh>
    <phoneticPr fontId="1"/>
  </si>
  <si>
    <t>電話番号</t>
  </si>
  <si>
    <t>E-mail</t>
  </si>
  <si>
    <t>（常勤）</t>
    <rPh sb="1" eb="3">
      <t>ジョウキン</t>
    </rPh>
    <phoneticPr fontId="1"/>
  </si>
  <si>
    <t>①</t>
    <phoneticPr fontId="1"/>
  </si>
  <si>
    <t>：</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</si>
  <si>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</si>
  <si>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</si>
  <si>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</si>
  <si>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</si>
  <si>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</si>
  <si>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</si>
  <si>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</si>
  <si>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様式７</t>
    <rPh sb="0" eb="2">
      <t>ヨウシキ</t>
    </rPh>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</si>
  <si>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</si>
  <si>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</si>
  <si>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</si>
  <si>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</si>
  <si>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</si>
  <si>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</si>
  <si>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</si>
  <si>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</si>
  <si>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</si>
  <si>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</si>
  <si>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</si>
  <si>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</si>
  <si>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</si>
  <si>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</si>
  <si>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学校名：</t>
    <rPh sb="0" eb="3">
      <t>ガッコウメイ</t>
    </rPh>
    <phoneticPr fontId="1"/>
  </si>
  <si>
    <t>学校名：</t>
    <rPh sb="0" eb="2">
      <t>ガッコウ</t>
    </rPh>
    <rPh sb="2" eb="3">
      <t>メイ</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</si>
  <si>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</si>
  <si>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</si>
  <si>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</si>
  <si>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</si>
  <si>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</si>
  <si>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</si>
  <si>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</si>
  <si>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</si>
  <si>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</si>
  <si>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</si>
  <si>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</si>
  <si>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</si>
  <si>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</si>
  <si>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</si>
  <si>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</si>
  <si>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</si>
  <si>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自己点検・評価体制における意見等の公表の有無</t>
    <rPh sb="17" eb="19">
      <t>コウヒョウ</t>
    </rPh>
    <rPh sb="20" eb="22">
      <t>ウム</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</si>
  <si>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</si>
  <si>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</si>
  <si>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</si>
  <si>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</si>
  <si>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</si>
  <si>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</si>
  <si>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</si>
  <si>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</si>
  <si>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設置形態</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</si>
  <si>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</si>
  <si>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</si>
  <si>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</si>
  <si>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</si>
  <si>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</si>
  <si>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</si>
  <si>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学校名：</t>
    <rPh sb="0" eb="2">
      <t>ガッコウ</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</si>
  <si>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</si>
  <si>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</si>
  <si>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</si>
  <si>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</si>
  <si>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</si>
  <si>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</si>
  <si>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</si>
  <si>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</si>
  <si>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授業に含まれている内容・要素</t>
    <rPh sb="0" eb="2">
      <t>ジュギョウ</t>
    </rPh>
    <rPh sb="3" eb="4">
      <t>フク</t>
    </rPh>
    <rPh sb="9" eb="11">
      <t>ナイヨウ</t>
    </rPh>
    <rPh sb="12" eb="14">
      <t>ヨウソ</t>
    </rPh>
    <phoneticPr fontId="1"/>
  </si>
  <si>
    <t>学校名：</t>
    <rPh sb="0" eb="2">
      <t>ガッコウ</t>
    </rPh>
    <rPh sb="2" eb="3">
      <t>メイ</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</si>
  <si>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</si>
  <si>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</si>
  <si>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</si>
  <si>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</si>
  <si>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</si>
  <si>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</si>
  <si>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</si>
  <si>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</si>
  <si>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</si>
  <si>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</si>
  <si>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</si>
  <si>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</si>
  <si>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学校名</t>
    <rPh sb="0" eb="3">
      <t>ガッコウメイ</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</si>
  <si>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</si>
  <si>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</si>
  <si>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</si>
  <si>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</si>
  <si>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</si>
  <si>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</si>
  <si>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</si>
  <si>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プログラムの授業内容・概要</t>
    <rPh sb="6" eb="8">
      <t>ジュギョウ</t>
    </rPh>
    <rPh sb="8" eb="10">
      <t>ナイヨウ</t>
    </rPh>
    <rPh sb="11" eb="13">
      <t>ガイヨウ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</si>
  <si>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</si>
  <si>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</si>
  <si>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③</t>
    <phoneticPr fontId="1"/>
  </si>
  <si>
    <t>プログラムの授業内容等を公表しているアドレス</t>
    <rPh sb="6" eb="8">
      <t>ジュギョウ</t>
    </rPh>
    <rPh sb="8" eb="10">
      <t>ナイヨウ</t>
    </rPh>
    <rPh sb="10" eb="11">
      <t>トウ</t>
    </rPh>
    <rPh sb="12" eb="14">
      <t>コウヒョウ</t>
    </rPh>
    <phoneticPr fontId="1"/>
  </si>
  <si>
    <t>④</t>
    <phoneticPr fontId="1"/>
  </si>
  <si>
    <t>プログラムの学修成果（学生等が身に付けられる能力等）</t>
  </si>
  <si>
    <t>教育プログラムの修了要件</t>
    <rPh sb="8" eb="10">
      <t>シュウリョウ</t>
    </rPh>
    <phoneticPr fontId="1"/>
  </si>
  <si>
    <t>具体的な修了要件</t>
    <rPh sb="0" eb="3">
      <t>グタイテキ</t>
    </rPh>
    <rPh sb="4" eb="6">
      <t>シュウリョウ</t>
    </rPh>
    <rPh sb="6" eb="8">
      <t>ヨウケン</t>
    </rPh>
    <phoneticPr fontId="1"/>
  </si>
  <si>
    <t>授業科目名称</t>
    <rPh sb="0" eb="2">
      <t>ジュギョウ</t>
    </rPh>
    <rPh sb="2" eb="4">
      <t>カモク</t>
    </rPh>
    <rPh sb="4" eb="6">
      <t>メイショウ</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</si>
  <si>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</si>
  <si>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様式５</t>
    <rPh sb="0" eb="2">
      <t>ヨウシキ</t>
    </rPh>
    <phoneticPr fontId="1"/>
  </si>
  <si>
    <t>授業概要</t>
    <rPh sb="0" eb="2">
      <t>ジュギョウ</t>
    </rPh>
    <rPh sb="2" eb="4">
      <t>ガイヨウ</t>
    </rPh>
    <phoneticPr fontId="1"/>
  </si>
  <si>
    <t>授業科目名称</t>
    <rPh sb="0" eb="2">
      <t>ジュギョウ</t>
    </rPh>
    <rPh sb="2" eb="6">
      <t>カモクメイショウ</t>
    </rPh>
    <phoneticPr fontId="1"/>
  </si>
  <si>
    <t>講義テーマ</t>
    <rPh sb="0" eb="2">
      <t>コウギ</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</si>
  <si>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</si>
  <si>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</si>
  <si>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</si>
  <si>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</si>
  <si>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</si>
  <si>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※公表している場合のアドレス</t>
    <rPh sb="1" eb="3">
      <t>コウヒョウ</t>
    </rPh>
    <rPh sb="7" eb="9">
      <t>バアイ</t>
    </rPh>
    <phoneticPr fontId="1"/>
  </si>
  <si>
    <t>（責任者名）</t>
    <rPh sb="1" eb="4">
      <t>セキニンシャ</t>
    </rPh>
    <rPh sb="4" eb="5">
      <t>メイ</t>
    </rPh>
    <phoneticPr fontId="1"/>
  </si>
  <si>
    <t>プログラムの運営責任者</t>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</si>
  <si>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</si>
  <si>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</si>
  <si>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</si>
  <si>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</si>
  <si>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</si>
  <si>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</si>
  <si>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プログラムの履修者数等の実績について</t>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</si>
  <si>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</si>
  <si>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</si>
  <si>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</si>
  <si>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</si>
  <si>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</si>
  <si>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申請するプログラム又は授業科目名称</t>
    <rPh sb="0" eb="2">
      <t>シンセイ</t>
    </rPh>
    <rPh sb="9" eb="10">
      <t>マタ</t>
    </rPh>
    <rPh sb="11" eb="13">
      <t>ジュギョウ</t>
    </rPh>
    <rPh sb="13" eb="15">
      <t>カモク</t>
    </rPh>
    <rPh sb="15" eb="1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</si>
  <si>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</si>
  <si>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</si>
  <si>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</si>
  <si>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</si>
  <si>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山口大学</t>
  </si>
  <si>
    <t>国立大学</t>
  </si>
  <si>
    <t>山口県山口市吉田1677-1</t>
  </si>
  <si>
    <t>データ科学と社会</t>
  </si>
  <si>
    <t>平成30年度</t>
  </si>
  <si>
    <t>松野 浩嗣</t>
  </si>
  <si>
    <t>情報・データ科学教育センター長</t>
  </si>
  <si>
    <t>情報・データ科学教育センター</t>
  </si>
  <si>
    <t>センター長</t>
  </si>
  <si>
    <t>教育・学生支援機構　教育支援センター</t>
  </si>
  <si>
    <t>仲間 瑞樹</t>
  </si>
  <si>
    <t>認定教育プログラムと認定教育プログラム+（プラス）</t>
  </si>
  <si>
    <t>学生支援部  教育支援課</t>
  </si>
  <si>
    <t>ga110@yamaguchi-u.ac.jp</t>
  </si>
  <si>
    <t>背戸 英明</t>
  </si>
  <si>
    <t>083-933-5151</t>
  </si>
  <si>
    <t>学部・学科によって、修了要件は相違しない</t>
  </si>
  <si>
    <t>人文学部（人文科学）</t>
  </si>
  <si>
    <t>教育学部（教育）</t>
  </si>
  <si>
    <t>経済学部（社会科学）</t>
  </si>
  <si>
    <t>理学部（理学）</t>
  </si>
  <si>
    <t>医学部（保健）</t>
  </si>
  <si>
    <t>工学部（工学）</t>
  </si>
  <si>
    <t>農学部（農学）</t>
  </si>
  <si>
    <t xml:space="preserve">Society 5.0の超スマート社会への変化にデータサイエンスは深く寄与していて、SDGsの課題解決に向けての重要な切り札であることを、学生にとって身近な事例をもとに解説する。具体的には、統計数理研究所の樋口知之所長（平成29年度当時）にはIoT技術の進展に伴って収集・蓄積されるビッグデータ利活用のためのデータサイエンスの有用性について解説いただく。次に、AI将棋ソフトウェアPonanzaの開発者である山本一成氏には、ゲーム開発を通じてAIが世界にもたらす大きな変化について説明いただく。続いて、山口県に事業所を構える株式会社宇部情報システムの宮本佳昭氏と株式会社ブラケアジェネティクスの並木幸久氏には、それぞれ工業分野とヘルスケア分野で展開する新しいサービスの事業展開について説明いただく。また、本学出身者の株式会社ゴーガの小山文彦氏（平成29年度時点）には、日常生活で身近な地理情報システムにおけるデータの利活用について解説いただく。   </t>
  </si>
  <si>
    <t>データ科学と社会I</t>
  </si>
  <si>
    <t>データ科学と社会II</t>
  </si>
  <si>
    <t>データサイエンスと実社会への応用（3）</t>
  </si>
  <si>
    <t>情報の流通とデータサイエンスで変わる社会（1）</t>
  </si>
  <si>
    <t>実社会の様々な事業におけるデータ・AIの利活用事例(3)</t>
  </si>
  <si>
    <t>社会における様々なデータの収集・蓄積とデータサイエンスを用いた活用(1)</t>
  </si>
  <si>
    <t>様々な企業等におけるデータ・AI活用の事例紹介(3)</t>
  </si>
  <si>
    <t>データサイエンス技術(2)</t>
  </si>
  <si>
    <t>学生の専門分野と関連深い分野の企業等の担当者によるデータ・AI活用の事例解説(6)</t>
  </si>
  <si>
    <t>学生の専門分野の教員によるデータ・AI活用の事例解説(7)</t>
  </si>
  <si>
    <t xml:space="preserve">実社会のデータには、流通や利用が自由なデータ（オープンデータ）と取り扱いが制限されるデータとに大別できることを解説する。また、後者のデータの取り扱いは法規等で厳しい管理が義務付けられているが、匿名化など適切な処理が施されれば社会で利活用できることを解説する。
AIは社会の様々な分野に浸透しつつあるが、学習データやアルゴリズムにバイアスが含まれると深刻な人権侵害や事故につながる恐れがあることをタイムリーな事例の解説を通じて、AIの社会応用には法規（個人情報保護法など）と倫理（人間中心のAI社会原則、ELSI、データ倫理、AI兵器に関する問題など）の視点からの検討が重要であることを解説する。
また、データやAIの利活用を社会で促進するには、情報漏洩やシステムの不正利用、事故を抑止するために情報セキュリティが重要であることを、本学と山口県警察が協同制作した教材（毎年更新）を用いて、具体的な事例をもとに解説する。
</t>
  </si>
  <si>
    <t>情報セキュリティ(3)</t>
  </si>
  <si>
    <t>データ・AI利活用の法規と倫理１(4)</t>
  </si>
  <si>
    <t>データ・AI利活用の法規と倫理２(5)</t>
  </si>
  <si>
    <t>文献検索によるデータ収集や資料探索方法(2)</t>
  </si>
  <si>
    <t>データ集計・分析演習1(6)</t>
  </si>
  <si>
    <t>データ集計・分析演習2(7)</t>
  </si>
  <si>
    <t>山口大学情報・データ科学教育センター規則</t>
  </si>
  <si>
    <t>情報・データ科学教育センター長　副学長　松野 浩嗣
副センター長　教育学部　教授　中田 充
副センター長　大学院創成科学研究科　教授　山口 真悟
共通教育実施部会長　センター専任教員　准教授　木下 真
データサイエンス教育全学調整部会長　教育学部　北本 卓也
教育支援課　課長　福田 孝
共通教育実施部会　プログラムを構成する「データ科学と社会Ⅰ」と「データ科学と社会Ⅱ」を担当する大学教育職員</t>
  </si>
  <si>
    <t>本教育プログラムは平成３０年度入学生から学部・学科によらず全員が履修している。令和３年末に（修業年限６年の医学部と共同獣医学部を除き）全学生の履修率100%を達成できる。</t>
  </si>
  <si>
    <t>本教育プログラムは平成３０年度入学生から全学必修である。</t>
  </si>
  <si>
    <t>本教育プログラムを構成する「データ科学と社会Ⅰ」と「データ科学と社会Ⅱ」が１年次の必修科目であることは、入学時に配布する「共通教育履修案内」に記載しており、入学時のオリエンテーションで説明している。</t>
  </si>
  <si>
    <t>本教育プログラムは平成３０年度入学生から全学必修である。これを実現するために授業担当教員のサポートして、スライド資料やビデオ教材を作成し、利用できるようにしている。</t>
  </si>
  <si>
    <t>授業に関する質問や相談は授業中だけでなく、授業時間外においても修学支援システムや学習管理システムMoodle、メイル等によるオンライン並びにオフィスアワーによる対面で応じている。</t>
  </si>
  <si>
    <t>教育・学生支援機構 教育支援センターは修学支援システムを構築し、その運用を通じて本教育プログラムを構成する２科目を含めた全ての科目の履修状況、単位取得状況を収集している。これらのデータを活用することによって、入学生全員が当該２科目を履修していることを確認している。また当該２科目の単位取得状況から本教育プログラムの修得状況を把握している。
なお教育支援センターは授業分野ごとに部会を設け、授業の計画・実施・評価・改善の仕組みを確立している。この仕組みに則って、情報・データ科学教育センターは本教育プログラムの計画・実施・評価・改善を担っている。</t>
  </si>
  <si>
    <t>教育支援センターは修学支援システムに授業評価アンケート機能を構築し、運用している。すべての受講生は学期末に授業アンケートをシステムに入力する。結果を総合的に分析することによって、授業内容の学生の理解度を把握することができる。その結果を情報・データ科学教育センターと共有し、本教育プログラムの評価・改善に活用している。</t>
  </si>
  <si>
    <t>本教育プログラムは全学必修であるため、受講の推奨は必要ない。</t>
  </si>
  <si>
    <t>令和３年度末に本教育プログラムの１期生が卒業する。教育支援センターは卒業生調査システムを構築しており、その運用を通じて本教育プログラムを修了した卒業生の進路先や活躍状況を把握する仕組みができている。</t>
  </si>
  <si>
    <t>山口大学ではデータサイエンティスト協会が定めたスキルチェックリストを参考にデータサイエンス教育レベルを開発し、それに基づいて本教育プログラムや専門課程プログラムを構築しており、教育内容と水準を維持している。
情報・データ科学教育センターは、修学支援システムのアンケートの結果、企業や自治体からの意見を参考に、各学部・学科の専門性を考慮して学生に「分かりやすい」授業となるよう、定期的に会合を開き、授業の改善に取り組んでいる。</t>
  </si>
  <si>
    <t>　産業界や地域、それぞれの専攻分野の先進的な取り組みを積極的に授業内容に取り込むことで、学修意欲が高まるよう工夫している。まず、最前線で活躍しているデータサイエンティストに具体的な仕事内容や必要なスキル、やりがいについて話してもらい、学習のモチベーションを高める。次に、地方自治体（山口県統計分析課と山口県警）と地域の企業（４社）に数理・データサイエンス・ＡＩの活用成功事例を紹介してもらい、実社会の様々な課題、特に地域の課題の解決にも有用なツールであることを多角的に理解させる。さらに、データサイエンスの基本活用法を学習した後、専攻学部・学科の担当教員に各分野の研究活動に対する数理・データサイエンス・ＡＩの活用事例を紹介してもらい、それらを学ぶことの意義を理解させる。また、専攻分野の外部講師に専攻分野における実課題の解決事例を紹介してもらい、数理・データサイエンス・ＡＩが有用なツールであることを理解させている。以上の学習内容を通じて、数理・データサイエンス・ＡＩを学ぶことの意欲を向上させ、意義を理解させるように工夫している。</t>
    <phoneticPr fontId="1"/>
  </si>
  <si>
    <t>　本教育プログラムは項目④「データ・ＡＩ利活用における留意事項」の教育に特色がある。山口大学は全国の大学に先駆けて、平成25年度から全学部で知的財産教育を実施している。その実施母体である知的財産センターの協力により当該項目をカバーする２回分の講義「データ・ＡＩ利活用の法規と倫理」を開発した。１回目の授業では「ルールとコンプライアンス」、「インターネットの世界で何が起きているか」、「個人情報保護法」を主要なトピックとしている。「ルールとコンプライアンス」では、それらの意味、違反を回避する方法を学んだ後、最近の問題事例についてグループディスカッションを行い理解を深める。「インターネットの世界で何が起きているか」では、今どのような事態が発生しているか、どのように対処すべきかを実例を通じて理解する。さらにELSI、データバイアスとアルゴリズムバイアス、ＡＩ社会原則等を学ぶ。「個人情報保護法」では平成29年の改正の目的と内容について学ぶ。２回目の授業では「忘れ去られる権利」、「ＡＩと法制度の関係」、「オープンソースによる新たな希望」を主要なトピックとしている。「忘れ去られる権利」では、その定義を学び、個人のプライバシーと公益性のバランスをキーに考察する。「ＡＩと法制度の関係」では、ＡＩ創造物の権利関係、ＡＩと賠償責任、法整備の必要性等を検討する。「オープンソースによる新たな希望」ではオープンソースのビッグデータやＡＩ等の新たな技術の可能性とそれを実現するために社会の仕組みをどのように変えるかについて考える。これらの講義内容は独創性がある。また講義内容はビデオ教材として制作しているので、他大学への展開も可能である。</t>
  </si>
  <si>
    <t>・データを読み解く基本的な能力。
・AIについてそのごく初歩的な動作原理を説明できる能力。
・社会におけるデータ・AIの適切な利用について、自然科学と社会科学の両面から検討する必要性を説明できる。
・学生の専門分野におけるデータサイエンスを学ぶ意義について理解できる。
・実社会でデータ・AIの利活用が進められていることを説明できる。</t>
    <phoneticPr fontId="1"/>
  </si>
  <si>
    <t>国際総合科学部（その他）</t>
    <rPh sb="10" eb="11">
      <t>タ</t>
    </rPh>
    <phoneticPr fontId="1"/>
  </si>
  <si>
    <t>共同獣医学部（農学）</t>
    <rPh sb="7" eb="9">
      <t>ノウガク</t>
    </rPh>
    <phoneticPr fontId="1"/>
  </si>
  <si>
    <t>様式２</t>
    <rPh sb="0" eb="2">
      <t>ヨウシキ</t>
    </rPh>
    <phoneticPr fontId="1"/>
  </si>
  <si>
    <t>データ科学と社会Ⅰ(情報リテラシー演習）</t>
    <rPh sb="10" eb="12">
      <t>ジョウホウ</t>
    </rPh>
    <rPh sb="17" eb="19">
      <t>エンシュウ</t>
    </rPh>
    <phoneticPr fontId="1"/>
  </si>
  <si>
    <t>データ科学と社会Ⅱ（情報セキュリティ・モラル）</t>
    <rPh sb="10" eb="12">
      <t>ジョウホウ</t>
    </rPh>
    <phoneticPr fontId="1"/>
  </si>
  <si>
    <t>様式４</t>
    <rPh sb="0" eb="2">
      <t>ヨウシキ</t>
    </rPh>
    <phoneticPr fontId="1"/>
  </si>
  <si>
    <t>「データ科学と社会Ⅰ」と「データ科学と社会Ⅱ」の単位を修得すること。
※共同獣医学部について，鹿児島大学との共同設置課程のため，同内容を異なる授業名「情報リテラシー演習」及び「情報セキュリティ・モラル」として開講している。</t>
    <rPh sb="27" eb="29">
      <t>シュウトク</t>
    </rPh>
    <rPh sb="36" eb="38">
      <t>キョウドウ</t>
    </rPh>
    <rPh sb="38" eb="42">
      <t>ジュウイガクブ</t>
    </rPh>
    <rPh sb="47" eb="52">
      <t>カゴシマダイガク</t>
    </rPh>
    <rPh sb="54" eb="56">
      <t>キョウドウ</t>
    </rPh>
    <rPh sb="56" eb="58">
      <t>セッチ</t>
    </rPh>
    <rPh sb="58" eb="60">
      <t>カテイ</t>
    </rPh>
    <rPh sb="64" eb="67">
      <t>ドウナイヨウ</t>
    </rPh>
    <rPh sb="68" eb="69">
      <t>コト</t>
    </rPh>
    <rPh sb="71" eb="74">
      <t>ジュギョウメイ</t>
    </rPh>
    <rPh sb="75" eb="77">
      <t>ジョウホウ</t>
    </rPh>
    <rPh sb="82" eb="84">
      <t>エンシュウ</t>
    </rPh>
    <rPh sb="85" eb="86">
      <t>オヨ</t>
    </rPh>
    <rPh sb="88" eb="90">
      <t>ジョウホウ</t>
    </rPh>
    <rPh sb="104" eb="106">
      <t>カイコウ</t>
    </rPh>
    <phoneticPr fontId="1"/>
  </si>
  <si>
    <r>
      <rPr>
        <sz val="12"/>
        <color theme="1"/>
        <rFont val="ＭＳ ゴシック"/>
        <family val="3"/>
        <charset val="128"/>
      </rPr>
      <t>実社会では多様なデータが大量に収集・蓄積されていて、</t>
    </r>
    <r>
      <rPr>
        <sz val="12"/>
        <color theme="1"/>
        <rFont val="Calibri"/>
        <family val="2"/>
      </rPr>
      <t>AI</t>
    </r>
    <r>
      <rPr>
        <sz val="12"/>
        <color theme="1"/>
        <rFont val="ＭＳ ゴシック"/>
        <family val="3"/>
        <charset val="128"/>
      </rPr>
      <t>などデータを利活用するための技術が様々な分野で活用されていることを中心に解説する。
例えば</t>
    </r>
    <r>
      <rPr>
        <sz val="12"/>
        <color theme="1"/>
        <rFont val="Calibri"/>
        <family val="2"/>
      </rPr>
      <t>AI</t>
    </r>
    <r>
      <rPr>
        <sz val="12"/>
        <color theme="1"/>
        <rFont val="ＭＳ ゴシック"/>
        <family val="3"/>
        <charset val="128"/>
      </rPr>
      <t>将棋ゲームでは、棋譜データをもとに、</t>
    </r>
    <r>
      <rPr>
        <sz val="12"/>
        <color theme="1"/>
        <rFont val="Calibri"/>
        <family val="2"/>
      </rPr>
      <t>AI</t>
    </r>
    <r>
      <rPr>
        <sz val="12"/>
        <color theme="1"/>
        <rFont val="ＭＳ ゴシック"/>
        <family val="3"/>
        <charset val="128"/>
      </rPr>
      <t>に戦術を学習させることで実現している。また、重化学工業分野では工場施設について様々なデータを計測・蓄積し、コンピュータを用いたシミュレーションによって製品設計やトラブル防止の解決を行っている。乳癌予防のためのヘルスケアサービスでは、ヒトのゲノム情報と生活パターン（食生活など）等のデータを用いて、両者の関係性を</t>
    </r>
    <r>
      <rPr>
        <sz val="12"/>
        <color theme="1"/>
        <rFont val="Calibri"/>
        <family val="2"/>
      </rPr>
      <t>AI</t>
    </r>
    <r>
      <rPr>
        <sz val="12"/>
        <color theme="1"/>
        <rFont val="ＭＳ ゴシック"/>
        <family val="3"/>
        <charset val="128"/>
      </rPr>
      <t xml:space="preserve">に学習させて実現している。地図情報システムの分野では、地図情報と商業施設や店舗情報など多様なデータを利用者のニーズに応じて地図情報と結びつけるサービスを展開している。一方、行政機関では国勢調査等のデータを活用して、従業地や通学等による人の動きをもとに交通インフラ等の都市計画基本方針を策定している。
</t>
    </r>
    <phoneticPr fontId="1"/>
  </si>
  <si>
    <r>
      <rPr>
        <sz val="12"/>
        <color theme="1"/>
        <rFont val="ＭＳ ゴシック"/>
        <family val="3"/>
        <charset val="128"/>
      </rPr>
      <t>表計算ソフトやプログラミング言語を用いて、実データ（学術データを含む）を題材として「データを読む、説明する、扱う」ための演習を行っている。演習内容は学部や学科ごとに専門に応じた演習を行う。例えば、オープンデータとして公開されている経済データ（日経平均株価、ドル円レート、新設住宅着工戸数）を用いて、演習を通じてその時期に何が起きたのかを考えさせる。また他の部局では、工学的データ処理方法，教員として取り扱うデータ（演習に差しさわりの無いように加工）を用いるなどの例がある。</t>
    </r>
    <r>
      <rPr>
        <sz val="12"/>
        <color theme="1"/>
        <rFont val="Calibri"/>
        <family val="2"/>
      </rPr>
      <t xml:space="preserve"> 
</t>
    </r>
    <r>
      <rPr>
        <sz val="12"/>
        <color theme="1"/>
        <rFont val="ＭＳ ゴシック"/>
        <family val="3"/>
        <charset val="128"/>
      </rPr>
      <t xml:space="preserve">また図書館と共同で、社会における実データを探索する能力の育成を行っている。「文献検索によるデータ収集や資料探索方法」では、資料の探索に必要な基本的な手法を解説し、演習をもとに習得させている。
</t>
    </r>
    <phoneticPr fontId="1"/>
  </si>
  <si>
    <t>情報・データ科学教育センターは、データサイエンス教育の管理、運営体制の整備及び組織的指導体制を確立するとともに、数理的思考を備え、データ分析・活用できる人材を育成し、もって社会の課題解決・発展に資することを目的とする（規則第２条）。この目的を達成するため、センターはデータサイエンス教育の開発・検証・改善の業務を行う（規則第３条）。</t>
    <rPh sb="111" eb="112">
      <t>ダイ</t>
    </rPh>
    <phoneticPr fontId="1"/>
  </si>
  <si>
    <t>上記アンケートの項目「あなたは、この授業の内容を理解できましたか？」の結果を分析することによって、授業内容の学生の理解度を把握することができる。</t>
    <phoneticPr fontId="1"/>
  </si>
  <si>
    <t>本教育プログラムは平成30年度入学生から全学必修であるため、令和３年度末に（修業年限６年の医学部と共同獣医学部を除き）全学生の履修率100%を達成できる。</t>
    <rPh sb="34" eb="35">
      <t>ド</t>
    </rPh>
    <phoneticPr fontId="1"/>
  </si>
  <si>
    <t>本教育プログラムでは実社会におけるデータ・AI利活用を紹介してもらうため、企業や自治体の方に講師を依頼している。また情報・データ科学教育センターでは社会人向けのリカレント教育プログラムや民間企業との共同研究を実施している。これらの関係者より産業界の視点から本教育プログラムの内容及び教育方法について意見を収集し、プログラムの評価や改善に活用している。</t>
    <rPh sb="115" eb="118">
      <t>カンケイシャ</t>
    </rPh>
    <phoneticPr fontId="1"/>
  </si>
  <si>
    <t>本教育プログラムを構成する「データ科学と社会Ⅰ」では、データサイエンティストによる講演や地元企業の講師による活用成功事例を紹介してもらい、学生のモチベーションを高める授業内容を設けている。また、それに続く「データ科学と社会Ⅱ」では、それぞれの専攻分野における数理・データサイエンス・ＡＩの活用事例を紹介してもらい、それらを学ぶことの意義を理解させる授業内容にしている。</t>
    <rPh sb="49" eb="51">
      <t>コウシ</t>
    </rPh>
    <phoneticPr fontId="1"/>
  </si>
  <si>
    <t>　本教育プログラムは全国の大学に先駆けて、平成30年度の入学者から全学必修である。９学部（人文、教育、経済、理、医、工、農、共同獣医、国際総合）約2000人の学生に対する授業を円滑に実施するとともに、教育の質を確保するため、情報・データ科学教育センターに実施部会を設け、学生への学習を支援する体制を整えている。実施部会は各学部・学科の授業担当教員からなり、共通教材（ビデオやスライド資料など）を共同開発することによって効率化を図るとともに、それぞれの専攻分野における事例紹介を通じた専門課程への「橋渡し」を可能にしている。本体制と運営方法、３年間に渡る経験は他大学の参考になるものと考えられる。</t>
    <phoneticPr fontId="1"/>
  </si>
  <si>
    <r>
      <rPr>
        <sz val="12"/>
        <color theme="1"/>
        <rFont val="ＭＳ ゴシック"/>
        <family val="3"/>
        <charset val="128"/>
      </rPr>
      <t>学生の専攻分野を考慮しながら、多様な適用領域の知見を組み合わせてどのような新しい価値が見いだされるかについて、企業や行政機関、各学部専門分野における事例をもとに解説する。</t>
    </r>
    <r>
      <rPr>
        <sz val="12"/>
        <color theme="1"/>
        <rFont val="Calibri"/>
        <family val="2"/>
      </rPr>
      <t xml:space="preserve"> </t>
    </r>
    <r>
      <rPr>
        <sz val="12"/>
        <color theme="1"/>
        <rFont val="ＭＳ ゴシック"/>
        <family val="3"/>
        <charset val="128"/>
      </rPr>
      <t>例えば、本学の共同獣医学部においては、全国の牧場で導入が進むクラウド型牛群管理システム</t>
    </r>
    <r>
      <rPr>
        <sz val="12"/>
        <color theme="1"/>
        <rFont val="Calibri"/>
        <family val="2"/>
      </rPr>
      <t>(Farmnote)</t>
    </r>
    <r>
      <rPr>
        <sz val="12"/>
        <color theme="1"/>
        <rFont val="ＭＳ ゴシック"/>
        <family val="3"/>
        <charset val="128"/>
      </rPr>
      <t>について取り上げ、全国から集積した牛の行動データと獣医学の知見を組み合わせることで、牛の発情や分娩時期の予測、体調の把握を行う</t>
    </r>
    <r>
      <rPr>
        <sz val="12"/>
        <color theme="1"/>
        <rFont val="Calibri"/>
        <family val="2"/>
      </rPr>
      <t>AI</t>
    </r>
    <r>
      <rPr>
        <sz val="12"/>
        <color theme="1"/>
        <rFont val="ＭＳ ゴシック"/>
        <family val="3"/>
        <charset val="128"/>
      </rPr>
      <t>システムが実現した。これによって牧場管理の効率化と精緻化が実現した具体例として、県内でこのシステムを導入した梶岡牧場の事例を解説する。</t>
    </r>
    <r>
      <rPr>
        <sz val="12"/>
        <color theme="1"/>
        <rFont val="Calibri"/>
        <family val="2"/>
      </rPr>
      <t xml:space="preserve"> </t>
    </r>
    <r>
      <rPr>
        <sz val="12"/>
        <color theme="1"/>
        <rFont val="ＭＳ ゴシック"/>
        <family val="3"/>
        <charset val="128"/>
      </rPr>
      <t>また、工学部応用化学科では、様々な分野の産業で原料として用いられる基礎材料の製造効率の改善のために、化学における知見とデータサイエンスの応用によるケモインフォマティックスによって、分子構造レベルでの化学物質の設計が行われている事例を解説する。</t>
    </r>
    <r>
      <rPr>
        <sz val="12"/>
        <color theme="1"/>
        <rFont val="Calibri"/>
        <family val="2"/>
      </rPr>
      <t xml:space="preserve">    </t>
    </r>
    <phoneticPr fontId="1"/>
  </si>
  <si>
    <t>https://www.dsc.yamaguchi-u.ac.jp/kaizen.html</t>
    <phoneticPr fontId="1"/>
  </si>
  <si>
    <t>国立大学法人山口大学</t>
    <rPh sb="0" eb="6">
      <t>コクリツダイガクホウジン</t>
    </rPh>
    <rPh sb="6" eb="10">
      <t>ヤマグチダイガク</t>
    </rPh>
    <phoneticPr fontId="1"/>
  </si>
  <si>
    <t>https://www.dsc.yamaguchi-u.ac.jp/literacy-program.html</t>
    <phoneticPr fontId="1"/>
  </si>
  <si>
    <t>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</si>
</sst>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7"/>
      <color theme="1"/>
      <name val="ＭＳ Ｐゴシック"/>
      <family val="3"/>
      <charset val="128"/>
      <scheme val="minor"/>
    </font>
    <font>
      <sz val="11"/>
      <name val="ＭＳ Ｐゴシック"/>
      <family val="2"/>
      <charset val="128"/>
      <scheme val="minor"/>
    </font>
    <font>
      <sz val="11"/>
      <color theme="1"/>
      <name val="ＭＳ Ｐゴシック"/>
      <family val="3"/>
      <charset val="128"/>
      <scheme val="minor"/>
    </font>
    <font>
      <sz val="11"/>
      <name val="Arial"/>
      <family val="2"/>
    </font>
    <font>
      <sz val="11"/>
      <color rgb="FF000000"/>
      <name val="Calibri"/>
      <family val="2"/>
    </font>
    <font>
      <sz val="12"/>
      <color theme="1"/>
      <name val="Calibri"/>
      <family val="2"/>
    </font>
    <font>
      <sz val="12"/>
      <name val="Calibri"/>
      <family val="2"/>
    </font>
    <font>
      <sz val="9"/>
      <name val="ＭＳ Ｐゴシック"/>
      <family val="3"/>
      <charset val="128"/>
      <scheme val="minor"/>
    </font>
    <font>
      <sz val="11"/>
      <name val="ＭＳ Ｐゴシック"/>
      <family val="3"/>
      <charset val="128"/>
      <scheme val="minor"/>
    </font>
    <font>
      <sz val="12"/>
      <color theme="1"/>
      <name val="ＭＳ ゴシック"/>
      <family val="3"/>
      <charset val="128"/>
    </font>
    <font>
      <sz val="12"/>
      <color theme="1"/>
      <name val="Calibri"/>
      <family val="3"/>
      <charset val="128"/>
    </font>
  </fonts>
  <fills count="2">
    <fill>
      <patternFill patternType="none"/>
    </fill>
    <fill>
      <patternFill patternType="gray125"/>
    </fill>
  </fills>
  <borders count="5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style="thin">
        <color auto="1"/>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3">
    <xf numFmtId="0" fontId="0" fillId="0" borderId="0">
      <alignment vertical="center"/>
    </xf>
    <xf numFmtId="38" fontId="5" fillId="0" borderId="0" applyFont="0" applyFill="0" applyBorder="0" applyAlignment="0" applyProtection="0">
      <alignment vertical="center"/>
    </xf>
    <xf numFmtId="0" fontId="6" fillId="0" borderId="0" applyNumberFormat="0" applyFill="0" applyBorder="0" applyAlignment="0" applyProtection="0">
      <alignment vertical="center"/>
    </xf>
  </cellStyleXfs>
  <cellXfs count="225">
    <xf numFmtId="0" fontId="0" fillId="0" borderId="0" xfId="0">
      <alignment vertical="center"/>
    </xf>
    <xf numFmtId="0" fontId="2" fillId="0" borderId="0" xfId="0" applyFont="1">
      <alignment vertical="center"/>
    </xf>
    <xf numFmtId="0" fontId="3" fillId="0" borderId="0" xfId="0" applyFont="1" applyAlignment="1">
      <alignment vertical="center"/>
    </xf>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right" vertical="center"/>
    </xf>
    <xf numFmtId="0" fontId="3" fillId="0" borderId="0" xfId="0" applyFont="1" applyAlignment="1">
      <alignment horizontal="center"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1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0" xfId="0" applyFont="1" applyAlignment="1">
      <alignment horizontal="right" vertical="center"/>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9" fillId="0" borderId="11" xfId="0" applyFont="1" applyBorder="1" applyAlignment="1">
      <alignment horizontal="center" vertical="center"/>
    </xf>
    <xf numFmtId="0" fontId="9" fillId="0" borderId="12" xfId="0" applyFont="1" applyBorder="1" applyAlignment="1">
      <alignment horizontal="center" vertical="center" wrapText="1"/>
    </xf>
    <xf numFmtId="0" fontId="9" fillId="0" borderId="30" xfId="0" applyFont="1" applyBorder="1" applyAlignment="1">
      <alignment horizontal="center" vertical="center" wrapText="1"/>
    </xf>
    <xf numFmtId="0" fontId="9" fillId="0" borderId="31" xfId="0" applyFont="1" applyBorder="1" applyAlignment="1">
      <alignment horizontal="center" vertical="center"/>
    </xf>
    <xf numFmtId="0" fontId="3" fillId="0" borderId="0" xfId="0" applyFont="1" applyAlignment="1">
      <alignment horizontal="center" vertical="center"/>
    </xf>
    <xf numFmtId="0" fontId="8" fillId="0" borderId="1" xfId="0" applyFont="1" applyBorder="1" applyAlignment="1">
      <alignment vertical="center" shrinkToFit="1"/>
    </xf>
    <xf numFmtId="0" fontId="3" fillId="0" borderId="0" xfId="0" applyFont="1" applyAlignment="1">
      <alignment horizontal="center" vertical="center"/>
    </xf>
    <xf numFmtId="0" fontId="3" fillId="0" borderId="0" xfId="0" applyFont="1" applyAlignment="1">
      <alignment vertical="center" shrinkToFit="1"/>
    </xf>
    <xf numFmtId="0" fontId="11" fillId="0" borderId="0" xfId="0" applyFont="1">
      <alignment vertical="center"/>
    </xf>
    <xf numFmtId="0" fontId="3" fillId="0" borderId="0" xfId="0" applyFont="1" applyBorder="1" applyAlignment="1">
      <alignment vertical="center" shrinkToFit="1"/>
    </xf>
    <xf numFmtId="176" fontId="3" fillId="0" borderId="5"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176" fontId="3" fillId="0" borderId="20"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19" xfId="0" applyNumberFormat="1" applyFont="1" applyBorder="1" applyAlignment="1">
      <alignment vertical="center" shrinkToFit="1"/>
    </xf>
    <xf numFmtId="176" fontId="3" fillId="0" borderId="25" xfId="0" applyNumberFormat="1" applyFont="1" applyBorder="1" applyAlignment="1">
      <alignment vertical="center" shrinkToFit="1"/>
    </xf>
    <xf numFmtId="176" fontId="3" fillId="0" borderId="26"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37" xfId="0" applyNumberFormat="1" applyFont="1" applyBorder="1" applyAlignment="1">
      <alignment vertical="center" shrinkToFit="1"/>
    </xf>
    <xf numFmtId="176" fontId="3" fillId="0" borderId="28" xfId="0" applyNumberFormat="1" applyFont="1" applyBorder="1" applyAlignment="1">
      <alignment vertical="center" shrinkToFit="1"/>
    </xf>
    <xf numFmtId="176" fontId="3" fillId="0" borderId="29" xfId="0" applyNumberFormat="1" applyFont="1" applyBorder="1" applyAlignment="1">
      <alignment vertical="center" shrinkToFit="1"/>
    </xf>
    <xf numFmtId="9" fontId="3" fillId="0" borderId="28" xfId="0" applyNumberFormat="1" applyFont="1" applyBorder="1" applyAlignment="1">
      <alignment vertical="center" shrinkToFit="1"/>
    </xf>
    <xf numFmtId="176" fontId="4" fillId="0" borderId="0" xfId="0" applyNumberFormat="1" applyFont="1" applyBorder="1" applyAlignment="1">
      <alignment vertical="center" shrinkToFit="1"/>
    </xf>
    <xf numFmtId="0" fontId="8" fillId="0" borderId="0" xfId="0" applyFont="1" applyBorder="1" applyAlignment="1">
      <alignment horizontal="center" vertical="center"/>
    </xf>
    <xf numFmtId="0" fontId="8" fillId="0" borderId="0" xfId="0" applyFont="1" applyBorder="1" applyAlignment="1">
      <alignment horizontal="center" vertical="center" shrinkToFit="1"/>
    </xf>
    <xf numFmtId="0" fontId="8" fillId="0" borderId="0" xfId="0" applyFont="1" applyAlignment="1">
      <alignment horizontal="center" vertical="center"/>
    </xf>
    <xf numFmtId="0" fontId="8" fillId="0" borderId="0" xfId="0" applyFont="1" applyBorder="1" applyAlignment="1">
      <alignment vertical="center" shrinkToFit="1"/>
    </xf>
    <xf numFmtId="0" fontId="8" fillId="0" borderId="2" xfId="0" applyFont="1" applyBorder="1" applyAlignment="1">
      <alignment vertical="center" shrinkToFit="1"/>
    </xf>
    <xf numFmtId="0" fontId="8" fillId="0" borderId="1" xfId="0" applyFont="1" applyBorder="1" applyAlignment="1">
      <alignment horizontal="center" vertical="center"/>
    </xf>
    <xf numFmtId="0" fontId="8" fillId="0" borderId="10" xfId="0" applyFont="1" applyBorder="1" applyAlignment="1">
      <alignment vertical="center" shrinkToFit="1"/>
    </xf>
    <xf numFmtId="0" fontId="8" fillId="0" borderId="0" xfId="0" applyFont="1" applyFill="1">
      <alignment vertical="center"/>
    </xf>
    <xf numFmtId="0" fontId="8" fillId="0" borderId="11" xfId="0" applyFont="1" applyBorder="1" applyAlignment="1">
      <alignment horizontal="center" vertical="center"/>
    </xf>
    <xf numFmtId="0" fontId="8" fillId="0" borderId="2" xfId="0" applyFont="1" applyBorder="1" applyAlignment="1">
      <alignment horizontal="center" vertical="center" shrinkToFit="1"/>
    </xf>
    <xf numFmtId="0" fontId="8" fillId="0" borderId="1" xfId="0" applyFont="1" applyBorder="1" applyAlignment="1">
      <alignment vertical="center" wrapText="1"/>
    </xf>
    <xf numFmtId="0" fontId="16" fillId="0" borderId="0" xfId="0" applyFont="1">
      <alignment vertical="center"/>
    </xf>
    <xf numFmtId="0" fontId="8" fillId="0" borderId="0" xfId="0" applyFont="1" applyBorder="1" applyAlignment="1">
      <alignment vertical="top" wrapText="1"/>
    </xf>
    <xf numFmtId="0" fontId="8" fillId="0" borderId="0" xfId="0" applyFont="1" applyBorder="1" applyAlignment="1">
      <alignment vertical="center" wrapText="1"/>
    </xf>
    <xf numFmtId="0" fontId="16" fillId="0" borderId="0" xfId="0" applyFont="1" applyBorder="1" applyAlignment="1">
      <alignment vertical="top" wrapText="1"/>
    </xf>
    <xf numFmtId="0" fontId="16" fillId="0" borderId="0" xfId="0" applyFont="1" applyBorder="1" applyAlignment="1">
      <alignment vertical="top" shrinkToFit="1"/>
    </xf>
    <xf numFmtId="0" fontId="16" fillId="0" borderId="0" xfId="0" applyFont="1" applyBorder="1" applyAlignment="1">
      <alignment vertical="center" wrapText="1"/>
    </xf>
    <xf numFmtId="0" fontId="16" fillId="0" borderId="0" xfId="0" applyFont="1" applyAlignment="1">
      <alignment vertical="top" wrapText="1"/>
    </xf>
    <xf numFmtId="0" fontId="16" fillId="0" borderId="10" xfId="0" applyFont="1" applyBorder="1" applyAlignment="1">
      <alignment vertical="top" wrapText="1"/>
    </xf>
    <xf numFmtId="0" fontId="16" fillId="0" borderId="5" xfId="0" applyFont="1" applyBorder="1" applyAlignment="1">
      <alignment vertical="top" wrapText="1"/>
    </xf>
    <xf numFmtId="0" fontId="8" fillId="0" borderId="17" xfId="0" applyFont="1" applyBorder="1">
      <alignment vertical="center"/>
    </xf>
    <xf numFmtId="0" fontId="16" fillId="0" borderId="21" xfId="0" applyFont="1" applyBorder="1" applyAlignment="1">
      <alignment vertical="top" wrapText="1"/>
    </xf>
    <xf numFmtId="0" fontId="16" fillId="0" borderId="19" xfId="0" applyFont="1" applyBorder="1" applyAlignment="1">
      <alignment vertical="top" wrapText="1"/>
    </xf>
    <xf numFmtId="0" fontId="16" fillId="0" borderId="21" xfId="0" applyFont="1" applyBorder="1" applyAlignment="1">
      <alignment vertical="top" shrinkToFit="1"/>
    </xf>
    <xf numFmtId="0" fontId="16" fillId="0" borderId="19" xfId="0" applyFont="1" applyBorder="1" applyAlignment="1">
      <alignment vertical="top" shrinkToFit="1"/>
    </xf>
    <xf numFmtId="0" fontId="8" fillId="0" borderId="0" xfId="0" applyFont="1" applyAlignment="1">
      <alignment vertical="center" wrapText="1"/>
    </xf>
    <xf numFmtId="0" fontId="17" fillId="0" borderId="0" xfId="2" applyNumberFormat="1" applyFont="1" applyBorder="1" applyAlignment="1">
      <alignment vertical="center" shrinkToFit="1"/>
    </xf>
    <xf numFmtId="0" fontId="16" fillId="0" borderId="0" xfId="0" applyFont="1" applyBorder="1" applyAlignment="1">
      <alignment vertical="center" shrinkToFit="1"/>
    </xf>
    <xf numFmtId="0" fontId="16" fillId="0" borderId="10" xfId="0" applyFont="1" applyBorder="1" applyAlignment="1">
      <alignment vertical="center" shrinkToFit="1"/>
    </xf>
    <xf numFmtId="0" fontId="8" fillId="0" borderId="0" xfId="0" applyFont="1" applyFill="1" applyBorder="1" applyAlignment="1">
      <alignment vertical="center"/>
    </xf>
    <xf numFmtId="0" fontId="16" fillId="0" borderId="0" xfId="0" applyFont="1" applyFill="1" applyBorder="1" applyAlignment="1">
      <alignment vertical="top" wrapText="1"/>
    </xf>
    <xf numFmtId="0" fontId="8" fillId="0" borderId="0" xfId="0" applyFont="1" applyBorder="1" applyAlignment="1">
      <alignmen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0" fontId="8" fillId="0" borderId="0" xfId="0" applyFont="1" applyBorder="1" applyAlignment="1">
      <alignment horizontal="center" vertical="center"/>
    </xf>
    <xf numFmtId="3" fontId="8" fillId="0" borderId="2" xfId="0" applyNumberFormat="1"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0" xfId="0" applyFont="1" applyBorder="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2" xfId="0" applyFont="1" applyBorder="1" applyAlignment="1">
      <alignment horizontal="center" vertical="center"/>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8" fillId="0" borderId="0" xfId="0" applyFont="1" applyBorder="1" applyAlignment="1">
      <alignment horizontal="center" vertical="center" shrinkToFit="1"/>
    </xf>
    <xf numFmtId="0" fontId="8" fillId="0" borderId="0" xfId="0" applyFont="1" applyAlignment="1">
      <alignment horizontal="center" vertical="center"/>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4" xfId="0" applyFont="1" applyBorder="1" applyAlignment="1">
      <alignment vertical="center" shrinkToFit="1"/>
    </xf>
    <xf numFmtId="49" fontId="13" fillId="0" borderId="40" xfId="0" applyNumberFormat="1" applyFont="1" applyBorder="1" applyAlignment="1">
      <alignment vertical="center" shrinkToFit="1"/>
    </xf>
    <xf numFmtId="0" fontId="12" fillId="0" borderId="41" xfId="0" applyFont="1" applyBorder="1" applyAlignment="1">
      <alignment vertical="center"/>
    </xf>
    <xf numFmtId="0" fontId="12" fillId="0" borderId="42" xfId="0" applyFont="1" applyBorder="1" applyAlignment="1">
      <alignment vertical="center"/>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7" xfId="0" applyFont="1" applyBorder="1" applyAlignment="1">
      <alignment vertical="top" wrapText="1"/>
    </xf>
    <xf numFmtId="0" fontId="8" fillId="0" borderId="8" xfId="0" applyFont="1" applyBorder="1" applyAlignment="1">
      <alignment vertical="top" wrapText="1"/>
    </xf>
    <xf numFmtId="0" fontId="8" fillId="0" borderId="9" xfId="0" applyFont="1" applyBorder="1" applyAlignment="1">
      <alignment vertical="top" wrapText="1"/>
    </xf>
    <xf numFmtId="0" fontId="8" fillId="0" borderId="5" xfId="0" applyFont="1" applyBorder="1" applyAlignment="1">
      <alignment vertical="top" wrapText="1"/>
    </xf>
    <xf numFmtId="0" fontId="8" fillId="0" borderId="0" xfId="0" applyFont="1" applyBorder="1" applyAlignment="1">
      <alignment vertical="top" wrapText="1"/>
    </xf>
    <xf numFmtId="0" fontId="8" fillId="0" borderId="10" xfId="0" applyFont="1" applyBorder="1" applyAlignment="1">
      <alignment vertical="top" wrapText="1"/>
    </xf>
    <xf numFmtId="0" fontId="8" fillId="0" borderId="11" xfId="0" applyFont="1" applyBorder="1" applyAlignment="1">
      <alignment vertical="top" wrapText="1"/>
    </xf>
    <xf numFmtId="0" fontId="8" fillId="0" borderId="6" xfId="0" applyFont="1" applyBorder="1" applyAlignment="1">
      <alignment vertical="top" wrapText="1"/>
    </xf>
    <xf numFmtId="0" fontId="8" fillId="0" borderId="12" xfId="0" applyFont="1" applyBorder="1" applyAlignment="1">
      <alignment vertical="top" wrapText="1"/>
    </xf>
    <xf numFmtId="0" fontId="8" fillId="0" borderId="0" xfId="0" applyFont="1" applyAlignment="1">
      <alignment vertical="center" shrinkToFit="1"/>
    </xf>
    <xf numFmtId="0" fontId="8" fillId="0" borderId="1" xfId="0" applyFont="1" applyBorder="1" applyAlignment="1">
      <alignment horizontal="center" vertical="center"/>
    </xf>
    <xf numFmtId="0" fontId="8" fillId="0" borderId="1" xfId="0" applyFont="1" applyBorder="1" applyAlignment="1">
      <alignment horizontal="center" vertical="center" shrinkToFit="1"/>
    </xf>
    <xf numFmtId="0" fontId="3" fillId="0" borderId="26" xfId="0" applyFont="1" applyBorder="1" applyAlignment="1">
      <alignment horizontal="center" vertical="center" shrinkToFit="1"/>
    </xf>
    <xf numFmtId="0" fontId="3" fillId="0" borderId="27" xfId="0" applyFont="1" applyBorder="1" applyAlignment="1">
      <alignment horizontal="center"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3" fillId="0" borderId="6" xfId="0" applyFont="1" applyBorder="1" applyAlignment="1">
      <alignment horizontal="center" vertical="center"/>
    </xf>
    <xf numFmtId="0" fontId="3" fillId="0" borderId="20" xfId="0" applyFont="1" applyBorder="1" applyAlignment="1">
      <alignment vertical="center" shrinkToFit="1"/>
    </xf>
    <xf numFmtId="0" fontId="3" fillId="0" borderId="19" xfId="0" applyFont="1" applyBorder="1" applyAlignment="1">
      <alignment vertical="center" shrinkToFit="1"/>
    </xf>
    <xf numFmtId="0" fontId="3" fillId="0" borderId="15" xfId="0" applyFont="1" applyBorder="1" applyAlignment="1">
      <alignment vertical="center" shrinkToFit="1"/>
    </xf>
    <xf numFmtId="0" fontId="3" fillId="0" borderId="38" xfId="0" applyFont="1" applyBorder="1" applyAlignment="1">
      <alignment vertical="center" shrinkToFit="1"/>
    </xf>
    <xf numFmtId="0" fontId="2" fillId="0" borderId="0" xfId="0" applyFont="1" applyAlignment="1">
      <alignment horizontal="right" vertical="center"/>
    </xf>
    <xf numFmtId="0" fontId="7" fillId="0" borderId="7" xfId="0" applyFont="1" applyBorder="1" applyAlignment="1">
      <alignment horizontal="center" vertical="center" wrapText="1"/>
    </xf>
    <xf numFmtId="0" fontId="7" fillId="0" borderId="11"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38" xfId="0" applyFont="1" applyBorder="1" applyAlignment="1">
      <alignment horizontal="center" vertical="center"/>
    </xf>
    <xf numFmtId="0" fontId="9" fillId="0" borderId="16" xfId="0" applyFont="1" applyBorder="1" applyAlignment="1">
      <alignment horizontal="center" vertical="center" wrapText="1"/>
    </xf>
    <xf numFmtId="0" fontId="9" fillId="0" borderId="13" xfId="0" applyFont="1" applyBorder="1" applyAlignment="1">
      <alignment horizontal="center" vertical="center"/>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3" fillId="0" borderId="0" xfId="0" applyFont="1" applyAlignment="1">
      <alignment horizontal="center" vertical="center"/>
    </xf>
    <xf numFmtId="0" fontId="14" fillId="0" borderId="0" xfId="0" applyFont="1" applyAlignment="1">
      <alignment vertical="center" shrinkToFit="1"/>
    </xf>
    <xf numFmtId="0" fontId="0" fillId="0" borderId="0" xfId="0" applyFont="1" applyAlignment="1">
      <alignment vertical="center"/>
    </xf>
    <xf numFmtId="0" fontId="15" fillId="0" borderId="43" xfId="0" applyFont="1" applyBorder="1" applyAlignment="1">
      <alignment horizontal="left" vertical="top" wrapText="1"/>
    </xf>
    <xf numFmtId="0" fontId="12" fillId="0" borderId="44" xfId="0" applyFont="1" applyBorder="1" applyAlignment="1">
      <alignment vertical="center"/>
    </xf>
    <xf numFmtId="0" fontId="12" fillId="0" borderId="45" xfId="0" applyFont="1" applyBorder="1" applyAlignment="1">
      <alignment vertical="center"/>
    </xf>
    <xf numFmtId="0" fontId="12" fillId="0" borderId="46" xfId="0" applyFont="1" applyBorder="1" applyAlignment="1">
      <alignment vertical="center"/>
    </xf>
    <xf numFmtId="0" fontId="10" fillId="0" borderId="0" xfId="0" applyFont="1" applyAlignment="1">
      <alignment vertical="center"/>
    </xf>
    <xf numFmtId="0" fontId="12" fillId="0" borderId="47" xfId="0" applyFont="1" applyBorder="1" applyAlignment="1">
      <alignment vertical="center"/>
    </xf>
    <xf numFmtId="0" fontId="12" fillId="0" borderId="48" xfId="0" applyFont="1" applyBorder="1" applyAlignment="1">
      <alignment vertical="center"/>
    </xf>
    <xf numFmtId="0" fontId="12" fillId="0" borderId="49" xfId="0" applyFont="1" applyBorder="1" applyAlignment="1">
      <alignment vertical="center"/>
    </xf>
    <xf numFmtId="0" fontId="12" fillId="0" borderId="50" xfId="0" applyFont="1" applyBorder="1" applyAlignment="1">
      <alignment vertical="center"/>
    </xf>
    <xf numFmtId="0" fontId="8" fillId="0" borderId="16" xfId="0" applyFont="1" applyBorder="1" applyAlignment="1">
      <alignment vertical="center" wrapText="1"/>
    </xf>
    <xf numFmtId="0" fontId="8" fillId="0" borderId="39" xfId="0" applyFont="1" applyBorder="1" applyAlignment="1">
      <alignment vertical="center" wrapText="1"/>
    </xf>
    <xf numFmtId="0" fontId="8" fillId="0" borderId="13" xfId="0" applyFont="1" applyBorder="1" applyAlignment="1">
      <alignment vertical="center" wrapText="1"/>
    </xf>
    <xf numFmtId="0" fontId="19" fillId="0" borderId="43" xfId="0" applyFont="1" applyBorder="1" applyAlignment="1">
      <alignment horizontal="left" vertical="top" wrapText="1"/>
    </xf>
    <xf numFmtId="0" fontId="8" fillId="0" borderId="8" xfId="0" applyFont="1" applyBorder="1" applyAlignment="1">
      <alignment vertical="top"/>
    </xf>
    <xf numFmtId="0" fontId="8" fillId="0" borderId="9" xfId="0" applyFont="1" applyBorder="1" applyAlignment="1">
      <alignment vertical="top"/>
    </xf>
    <xf numFmtId="0" fontId="8" fillId="0" borderId="5" xfId="0" applyFont="1" applyBorder="1" applyAlignment="1">
      <alignment vertical="top"/>
    </xf>
    <xf numFmtId="0" fontId="8" fillId="0" borderId="0" xfId="0" applyFont="1" applyBorder="1" applyAlignment="1">
      <alignment vertical="top"/>
    </xf>
    <xf numFmtId="0" fontId="8" fillId="0" borderId="10" xfId="0" applyFont="1" applyBorder="1" applyAlignment="1">
      <alignment vertical="top"/>
    </xf>
    <xf numFmtId="0" fontId="8" fillId="0" borderId="11" xfId="0" applyFont="1" applyBorder="1" applyAlignment="1">
      <alignment vertical="top"/>
    </xf>
    <xf numFmtId="0" fontId="8" fillId="0" borderId="6" xfId="0" applyFont="1" applyBorder="1" applyAlignment="1">
      <alignment vertical="top"/>
    </xf>
    <xf numFmtId="0" fontId="8" fillId="0" borderId="12" xfId="0" applyFont="1" applyBorder="1" applyAlignment="1">
      <alignment vertical="top"/>
    </xf>
    <xf numFmtId="0" fontId="6" fillId="0" borderId="2" xfId="2" applyBorder="1" applyAlignment="1">
      <alignment vertical="center" shrinkToFit="1"/>
    </xf>
    <xf numFmtId="0" fontId="12" fillId="0" borderId="3" xfId="0" applyFont="1" applyBorder="1" applyAlignment="1">
      <alignment vertical="center"/>
    </xf>
    <xf numFmtId="0" fontId="12" fillId="0" borderId="4" xfId="0" applyFont="1" applyBorder="1" applyAlignment="1">
      <alignment vertical="center"/>
    </xf>
    <xf numFmtId="0" fontId="14" fillId="0" borderId="43" xfId="0" applyFont="1" applyBorder="1" applyAlignment="1">
      <alignment horizontal="left" vertical="top" wrapText="1"/>
    </xf>
    <xf numFmtId="0" fontId="8" fillId="0" borderId="7"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Border="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8" fillId="0" borderId="6" xfId="0" applyFont="1" applyBorder="1" applyAlignment="1">
      <alignment vertical="center"/>
    </xf>
    <xf numFmtId="0" fontId="8" fillId="0" borderId="8" xfId="0" applyFont="1" applyBorder="1" applyAlignment="1">
      <alignment vertical="top" wrapText="1" shrinkToFit="1"/>
    </xf>
    <xf numFmtId="0" fontId="8" fillId="0" borderId="9"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11" xfId="0" applyFont="1" applyBorder="1" applyAlignment="1">
      <alignment vertical="center" wrapText="1"/>
    </xf>
    <xf numFmtId="0" fontId="8" fillId="0" borderId="6" xfId="0" applyFont="1" applyBorder="1" applyAlignment="1">
      <alignment vertical="center" wrapText="1"/>
    </xf>
    <xf numFmtId="0" fontId="8" fillId="0" borderId="12" xfId="0" applyFont="1" applyBorder="1" applyAlignment="1">
      <alignment vertical="center" wrapText="1"/>
    </xf>
    <xf numFmtId="0" fontId="8" fillId="0" borderId="18" xfId="0" applyFont="1" applyBorder="1" applyAlignment="1">
      <alignment vertical="center"/>
    </xf>
    <xf numFmtId="0" fontId="17" fillId="0" borderId="19" xfId="0" applyFont="1" applyBorder="1" applyAlignment="1">
      <alignment vertical="center"/>
    </xf>
    <xf numFmtId="0" fontId="8" fillId="0" borderId="18" xfId="0" applyFont="1" applyBorder="1" applyAlignment="1">
      <alignment vertical="center" wrapText="1"/>
    </xf>
    <xf numFmtId="0" fontId="8" fillId="0" borderId="19" xfId="0" applyFont="1" applyBorder="1" applyAlignment="1">
      <alignment vertical="center" wrapText="1"/>
    </xf>
    <xf numFmtId="0" fontId="8" fillId="0" borderId="21" xfId="0" applyFont="1" applyBorder="1" applyAlignment="1">
      <alignment vertical="top" wrapText="1" shrinkToFit="1"/>
    </xf>
    <xf numFmtId="0" fontId="8" fillId="0" borderId="19" xfId="0" applyFont="1" applyBorder="1" applyAlignment="1">
      <alignment vertical="top" wrapText="1" shrinkToFit="1"/>
    </xf>
    <xf numFmtId="0" fontId="8" fillId="0" borderId="22" xfId="0" applyFont="1" applyBorder="1" applyAlignment="1">
      <alignment vertical="center" wrapText="1"/>
    </xf>
    <xf numFmtId="0" fontId="8" fillId="0" borderId="23" xfId="0" applyFont="1" applyBorder="1" applyAlignment="1">
      <alignment vertical="center" wrapText="1"/>
    </xf>
    <xf numFmtId="0" fontId="8" fillId="0" borderId="24" xfId="0" applyFont="1" applyBorder="1" applyAlignment="1">
      <alignment vertical="top" wrapText="1" shrinkToFit="1"/>
    </xf>
    <xf numFmtId="0" fontId="8" fillId="0" borderId="23" xfId="0" applyFont="1" applyBorder="1" applyAlignment="1">
      <alignment vertical="top" wrapText="1" shrinkToFit="1"/>
    </xf>
    <xf numFmtId="0" fontId="8" fillId="0" borderId="20" xfId="0" applyFont="1" applyBorder="1" applyAlignment="1">
      <alignment vertical="center" wrapText="1"/>
    </xf>
    <xf numFmtId="0" fontId="8" fillId="0" borderId="21" xfId="0" applyFont="1" applyBorder="1" applyAlignment="1">
      <alignment vertical="center" wrapText="1"/>
    </xf>
    <xf numFmtId="0" fontId="6" fillId="0" borderId="40" xfId="2" applyBorder="1" applyAlignment="1">
      <alignment horizontal="left" vertical="center" shrinkToFit="1"/>
    </xf>
    <xf numFmtId="0" fontId="8" fillId="0" borderId="20" xfId="0" applyFont="1" applyBorder="1" applyAlignment="1">
      <alignment vertical="top" wrapText="1" shrinkToFit="1"/>
    </xf>
    <xf numFmtId="0" fontId="16" fillId="0" borderId="0" xfId="0" applyFont="1" applyAlignment="1">
      <alignment vertical="top" wrapText="1"/>
    </xf>
    <xf numFmtId="0" fontId="3" fillId="0" borderId="7" xfId="0" applyFont="1" applyBorder="1" applyAlignment="1">
      <alignment vertical="top" wrapText="1" shrinkToFit="1"/>
    </xf>
    <xf numFmtId="0" fontId="3" fillId="0" borderId="8" xfId="0" applyFont="1" applyBorder="1" applyAlignment="1">
      <alignment vertical="top" wrapText="1" shrinkToFit="1"/>
    </xf>
    <xf numFmtId="0" fontId="3" fillId="0" borderId="9" xfId="0" applyFont="1" applyBorder="1" applyAlignment="1">
      <alignment vertical="top" wrapText="1" shrinkToFit="1"/>
    </xf>
    <xf numFmtId="0" fontId="3" fillId="0" borderId="5" xfId="0" applyFont="1" applyBorder="1" applyAlignment="1">
      <alignment vertical="top" wrapText="1" shrinkToFit="1"/>
    </xf>
    <xf numFmtId="0" fontId="3" fillId="0" borderId="0" xfId="0" applyFont="1" applyBorder="1" applyAlignment="1">
      <alignment vertical="top" wrapText="1" shrinkToFit="1"/>
    </xf>
    <xf numFmtId="0" fontId="3" fillId="0" borderId="10" xfId="0" applyFont="1" applyBorder="1" applyAlignment="1">
      <alignment vertical="top" wrapText="1" shrinkToFit="1"/>
    </xf>
    <xf numFmtId="0" fontId="3" fillId="0" borderId="11" xfId="0" applyFont="1" applyBorder="1" applyAlignment="1">
      <alignment vertical="top" wrapText="1" shrinkToFit="1"/>
    </xf>
    <xf numFmtId="0" fontId="3" fillId="0" borderId="6" xfId="0" applyFont="1" applyBorder="1" applyAlignment="1">
      <alignment vertical="top" wrapText="1" shrinkToFit="1"/>
    </xf>
    <xf numFmtId="0" fontId="3" fillId="0" borderId="12" xfId="0" applyFont="1" applyBorder="1" applyAlignment="1">
      <alignment vertical="top" wrapText="1" shrinkToFit="1"/>
    </xf>
    <xf numFmtId="0" fontId="2" fillId="0" borderId="0" xfId="0" applyFont="1" applyAlignment="1">
      <alignment horizontal="center" vertical="center"/>
    </xf>
    <xf numFmtId="0" fontId="3" fillId="0" borderId="7" xfId="0" applyFont="1" applyBorder="1" applyAlignment="1">
      <alignment vertical="top" wrapText="1"/>
    </xf>
    <xf numFmtId="0" fontId="3" fillId="0" borderId="8" xfId="0" applyFont="1" applyBorder="1" applyAlignment="1">
      <alignment vertical="top" wrapText="1"/>
    </xf>
    <xf numFmtId="0" fontId="3" fillId="0" borderId="9" xfId="0" applyFont="1" applyBorder="1" applyAlignment="1">
      <alignment vertical="top" wrapText="1"/>
    </xf>
    <xf numFmtId="0" fontId="3" fillId="0" borderId="5" xfId="0" applyFont="1" applyBorder="1" applyAlignment="1">
      <alignment vertical="top" wrapText="1"/>
    </xf>
    <xf numFmtId="0" fontId="3" fillId="0" borderId="0" xfId="0" applyFont="1" applyBorder="1" applyAlignment="1">
      <alignment vertical="top" wrapText="1"/>
    </xf>
    <xf numFmtId="0" fontId="3" fillId="0" borderId="10" xfId="0" applyFont="1" applyBorder="1" applyAlignment="1">
      <alignment vertical="top" wrapText="1"/>
    </xf>
    <xf numFmtId="0" fontId="3" fillId="0" borderId="11" xfId="0" applyFont="1" applyBorder="1" applyAlignment="1">
      <alignment vertical="top" wrapText="1"/>
    </xf>
    <xf numFmtId="0" fontId="3" fillId="0" borderId="6" xfId="0" applyFont="1" applyBorder="1" applyAlignment="1">
      <alignment vertical="top" wrapText="1"/>
    </xf>
    <xf numFmtId="0" fontId="3" fillId="0" borderId="12" xfId="0" applyFont="1" applyBorder="1" applyAlignment="1">
      <alignment vertical="top"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dsc.yamaguchi-u.ac.jp/literacy-program.html"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dsc.yamaguchi-u.ac.jp/kaizen.html"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47"/>
  <sheetViews>
    <sheetView tabSelected="1" view="pageBreakPreview" zoomScaleNormal="100" zoomScaleSheetLayoutView="100" workbookViewId="0">
      <selection activeCell="D7" sqref="D7"/>
    </sheetView>
  </sheetViews>
  <sheetFormatPr defaultColWidth="9" defaultRowHeight="18.75" customHeight="1" x14ac:dyDescent="0.15"/>
  <cols>
    <col min="1" max="1" width="2.5" style="9" customWidth="1"/>
    <col min="2" max="2" width="12.5" style="9" customWidth="1"/>
    <col min="3" max="8" width="6.25" style="9" customWidth="1"/>
    <col min="9" max="9" width="2.5" style="9" customWidth="1"/>
    <col min="10" max="10" width="10" style="9" customWidth="1"/>
    <col min="11" max="11" width="2.5" style="9" customWidth="1"/>
    <col min="12" max="12" width="7.5" style="9" customWidth="1"/>
    <col min="13" max="13" width="2.5" style="9" customWidth="1"/>
    <col min="14" max="14" width="7.5" style="9" customWidth="1"/>
    <col min="15" max="16384" width="9" style="9"/>
  </cols>
  <sheetData>
    <row r="1" spans="1:14" ht="22.5" customHeight="1" x14ac:dyDescent="0.15">
      <c r="M1" s="98" t="s">
        <v>29</v>
      </c>
      <c r="N1" s="98"/>
    </row>
    <row r="2" spans="1:14" ht="22.5" customHeight="1" x14ac:dyDescent="0.15">
      <c r="A2" s="103" t="s">
        <v>135</v>
      </c>
      <c r="B2" s="103"/>
      <c r="C2" s="103"/>
      <c r="D2" s="103"/>
      <c r="E2" s="103"/>
      <c r="F2" s="103"/>
      <c r="G2" s="103"/>
      <c r="H2" s="103"/>
      <c r="I2" s="103"/>
      <c r="J2" s="103"/>
      <c r="K2" s="103"/>
      <c r="L2" s="103"/>
      <c r="M2" s="103"/>
      <c r="N2" s="103"/>
    </row>
    <row r="3" spans="1:14" ht="22.5" customHeight="1" x14ac:dyDescent="0.15"/>
    <row r="4" spans="1:14" ht="22.5" customHeight="1" x14ac:dyDescent="0.15">
      <c r="A4" s="9" t="s">
        <v>7</v>
      </c>
      <c r="B4" s="10" t="s">
        <v>20</v>
      </c>
      <c r="C4" s="87" t="s">
        <v>136</v>
      </c>
      <c r="D4" s="88"/>
      <c r="E4" s="88"/>
      <c r="F4" s="88"/>
      <c r="G4" s="88"/>
      <c r="H4" s="88"/>
      <c r="I4" s="88"/>
      <c r="J4" s="88"/>
      <c r="K4" s="88"/>
      <c r="L4" s="88"/>
      <c r="M4" s="88"/>
      <c r="N4" s="89"/>
    </row>
    <row r="5" spans="1:14" ht="7.5" customHeight="1" x14ac:dyDescent="0.15">
      <c r="B5" s="10"/>
      <c r="C5" s="10"/>
      <c r="D5" s="10"/>
      <c r="E5" s="11"/>
      <c r="F5" s="56"/>
      <c r="G5" s="56"/>
      <c r="H5" s="56"/>
      <c r="I5" s="56"/>
      <c r="J5" s="56"/>
      <c r="K5" s="56"/>
      <c r="L5" s="56"/>
      <c r="M5" s="56"/>
      <c r="N5" s="56"/>
    </row>
    <row r="6" spans="1:14" ht="22.5" customHeight="1" x14ac:dyDescent="0.15">
      <c r="A6" s="9" t="s">
        <v>56</v>
      </c>
      <c r="B6" s="10" t="s">
        <v>57</v>
      </c>
      <c r="C6" s="10"/>
      <c r="D6" s="87" t="s">
        <v>210</v>
      </c>
      <c r="E6" s="88"/>
      <c r="F6" s="88"/>
      <c r="G6" s="88"/>
      <c r="H6" s="88"/>
      <c r="I6" s="88"/>
      <c r="J6" s="88"/>
      <c r="K6" s="88"/>
      <c r="L6" s="88"/>
      <c r="M6" s="88"/>
      <c r="N6" s="89"/>
    </row>
    <row r="7" spans="1:14" ht="7.5" customHeight="1" x14ac:dyDescent="0.15">
      <c r="B7" s="10"/>
      <c r="C7" s="10"/>
      <c r="D7" s="10"/>
      <c r="E7" s="11"/>
      <c r="F7" s="56"/>
      <c r="G7" s="56"/>
      <c r="H7" s="56"/>
      <c r="I7" s="56"/>
      <c r="J7" s="56"/>
      <c r="K7" s="56"/>
      <c r="L7" s="56"/>
      <c r="M7" s="56"/>
      <c r="N7" s="56"/>
    </row>
    <row r="8" spans="1:14" ht="22.5" customHeight="1" x14ac:dyDescent="0.15">
      <c r="A8" s="12" t="s">
        <v>13</v>
      </c>
      <c r="B8" s="13" t="s">
        <v>58</v>
      </c>
      <c r="C8" s="87" t="s">
        <v>137</v>
      </c>
      <c r="D8" s="88"/>
      <c r="E8" s="89"/>
      <c r="F8" s="56"/>
      <c r="G8" s="102"/>
      <c r="H8" s="102"/>
      <c r="I8" s="102"/>
      <c r="J8" s="56"/>
      <c r="K8" s="56"/>
      <c r="L8" s="56"/>
      <c r="M8" s="56"/>
      <c r="N8" s="56"/>
    </row>
    <row r="9" spans="1:14" ht="7.5" customHeight="1" x14ac:dyDescent="0.15">
      <c r="B9" s="10"/>
      <c r="C9" s="10"/>
      <c r="D9" s="10"/>
      <c r="E9" s="11"/>
      <c r="F9" s="56"/>
      <c r="G9" s="56"/>
      <c r="H9" s="56"/>
      <c r="I9" s="56"/>
      <c r="J9" s="56"/>
      <c r="K9" s="56"/>
      <c r="L9" s="56"/>
      <c r="M9" s="56"/>
      <c r="N9" s="56"/>
    </row>
    <row r="10" spans="1:14" ht="22.5" customHeight="1" x14ac:dyDescent="0.15">
      <c r="A10" s="9" t="s">
        <v>17</v>
      </c>
      <c r="B10" s="10" t="s">
        <v>53</v>
      </c>
      <c r="C10" s="87" t="s">
        <v>138</v>
      </c>
      <c r="D10" s="88"/>
      <c r="E10" s="88"/>
      <c r="F10" s="88"/>
      <c r="G10" s="88"/>
      <c r="H10" s="88"/>
      <c r="I10" s="88"/>
      <c r="J10" s="88"/>
      <c r="K10" s="88"/>
      <c r="L10" s="88"/>
      <c r="M10" s="88"/>
      <c r="N10" s="89"/>
    </row>
    <row r="11" spans="1:14" ht="7.5" customHeight="1" x14ac:dyDescent="0.15">
      <c r="B11" s="10"/>
      <c r="C11" s="10"/>
      <c r="D11" s="10"/>
      <c r="E11" s="11"/>
      <c r="F11" s="56"/>
      <c r="G11" s="56"/>
      <c r="H11" s="56"/>
      <c r="I11" s="56"/>
      <c r="J11" s="56"/>
      <c r="K11" s="56"/>
      <c r="L11" s="56"/>
      <c r="M11" s="56"/>
      <c r="N11" s="56"/>
    </row>
    <row r="12" spans="1:14" ht="22.5" customHeight="1" x14ac:dyDescent="0.15">
      <c r="A12" s="9" t="s">
        <v>14</v>
      </c>
      <c r="B12" s="10" t="s">
        <v>131</v>
      </c>
      <c r="C12" s="10"/>
      <c r="D12" s="10"/>
      <c r="E12" s="56"/>
      <c r="F12" s="59"/>
      <c r="G12" s="104" t="s">
        <v>139</v>
      </c>
      <c r="H12" s="105"/>
      <c r="I12" s="105"/>
      <c r="J12" s="105"/>
      <c r="K12" s="105"/>
      <c r="L12" s="105"/>
      <c r="M12" s="105"/>
      <c r="N12" s="106"/>
    </row>
    <row r="13" spans="1:14" ht="7.5" customHeight="1" x14ac:dyDescent="0.15">
      <c r="B13" s="11"/>
      <c r="C13" s="11"/>
      <c r="D13" s="11"/>
      <c r="E13" s="11"/>
      <c r="F13" s="56"/>
      <c r="G13" s="56"/>
      <c r="H13" s="56"/>
      <c r="I13" s="56"/>
      <c r="J13" s="56"/>
      <c r="K13" s="56"/>
      <c r="L13" s="56"/>
      <c r="M13" s="56"/>
      <c r="N13" s="56"/>
    </row>
    <row r="14" spans="1:14" ht="22.5" customHeight="1" x14ac:dyDescent="0.15">
      <c r="A14" s="9" t="s">
        <v>68</v>
      </c>
      <c r="B14" s="11" t="s">
        <v>69</v>
      </c>
      <c r="C14" s="11"/>
      <c r="D14" s="11"/>
      <c r="E14" s="11"/>
      <c r="F14" s="87" t="s">
        <v>140</v>
      </c>
      <c r="G14" s="88"/>
      <c r="H14" s="89"/>
      <c r="I14" s="56"/>
      <c r="J14" s="56"/>
      <c r="K14" s="56"/>
      <c r="L14" s="56"/>
      <c r="M14" s="56"/>
      <c r="N14" s="56"/>
    </row>
    <row r="15" spans="1:14" ht="7.5" customHeight="1" x14ac:dyDescent="0.15">
      <c r="B15" s="11"/>
      <c r="C15" s="11"/>
      <c r="D15" s="11"/>
      <c r="E15" s="11"/>
      <c r="F15" s="56"/>
      <c r="G15" s="56"/>
      <c r="H15" s="56"/>
      <c r="I15" s="56"/>
      <c r="J15" s="56"/>
      <c r="K15" s="56"/>
      <c r="L15" s="56"/>
      <c r="M15" s="56"/>
      <c r="N15" s="56"/>
    </row>
    <row r="16" spans="1:14" ht="22.5" customHeight="1" x14ac:dyDescent="0.15">
      <c r="A16" s="9" t="s">
        <v>15</v>
      </c>
      <c r="B16" s="9" t="s">
        <v>0</v>
      </c>
      <c r="C16" s="99" t="s">
        <v>6</v>
      </c>
      <c r="D16" s="100"/>
      <c r="E16" s="85">
        <v>1087</v>
      </c>
      <c r="F16" s="86"/>
      <c r="G16" s="14" t="s">
        <v>10</v>
      </c>
      <c r="I16" s="99" t="s">
        <v>11</v>
      </c>
      <c r="J16" s="100"/>
      <c r="K16" s="85">
        <v>906</v>
      </c>
      <c r="L16" s="101"/>
      <c r="M16" s="86"/>
      <c r="N16" s="15" t="s">
        <v>10</v>
      </c>
    </row>
    <row r="17" spans="1:14" ht="7.5" customHeight="1" x14ac:dyDescent="0.15">
      <c r="F17" s="16"/>
      <c r="G17" s="16"/>
      <c r="H17" s="16"/>
      <c r="I17" s="16"/>
      <c r="J17" s="16"/>
      <c r="K17" s="16"/>
      <c r="L17" s="16"/>
      <c r="M17" s="15"/>
      <c r="N17" s="15"/>
    </row>
    <row r="18" spans="1:14" ht="22.5" customHeight="1" x14ac:dyDescent="0.15">
      <c r="A18" s="9" t="s">
        <v>62</v>
      </c>
      <c r="B18" s="9" t="s">
        <v>92</v>
      </c>
      <c r="F18" s="16"/>
      <c r="G18" s="16"/>
      <c r="H18" s="16"/>
      <c r="I18" s="16"/>
      <c r="J18" s="16"/>
      <c r="K18" s="97">
        <v>69</v>
      </c>
      <c r="L18" s="92"/>
      <c r="M18" s="93"/>
      <c r="N18" s="15" t="s">
        <v>60</v>
      </c>
    </row>
    <row r="19" spans="1:14" ht="7.5" customHeight="1" x14ac:dyDescent="0.15">
      <c r="F19" s="16"/>
      <c r="G19" s="16"/>
      <c r="H19" s="16"/>
      <c r="I19" s="16"/>
      <c r="J19" s="16"/>
      <c r="K19" s="16"/>
      <c r="L19" s="16"/>
      <c r="M19" s="15"/>
      <c r="N19" s="15"/>
    </row>
    <row r="20" spans="1:14" ht="22.5" customHeight="1" x14ac:dyDescent="0.15">
      <c r="A20" s="9" t="s">
        <v>70</v>
      </c>
      <c r="B20" s="9" t="s">
        <v>128</v>
      </c>
      <c r="E20" s="85">
        <v>1917</v>
      </c>
      <c r="F20" s="86"/>
      <c r="G20" s="17" t="s">
        <v>25</v>
      </c>
      <c r="H20" s="16"/>
      <c r="K20" s="84"/>
      <c r="L20" s="84"/>
      <c r="M20" s="84"/>
      <c r="N20" s="84"/>
    </row>
    <row r="21" spans="1:14" ht="7.5" customHeight="1" x14ac:dyDescent="0.15">
      <c r="E21" s="7"/>
      <c r="F21" s="16"/>
      <c r="G21" s="16"/>
      <c r="L21" s="53"/>
      <c r="M21" s="53"/>
      <c r="N21" s="18"/>
    </row>
    <row r="22" spans="1:14" ht="22.5" customHeight="1" x14ac:dyDescent="0.15">
      <c r="A22" s="9" t="s">
        <v>28</v>
      </c>
      <c r="B22" s="9" t="s">
        <v>129</v>
      </c>
      <c r="E22" s="7"/>
      <c r="F22" s="16"/>
      <c r="G22" s="16"/>
      <c r="H22" s="9" t="s">
        <v>61</v>
      </c>
      <c r="J22" s="91">
        <v>8659</v>
      </c>
      <c r="K22" s="92"/>
      <c r="L22" s="93"/>
      <c r="M22" s="53" t="s">
        <v>60</v>
      </c>
      <c r="N22" s="18"/>
    </row>
    <row r="23" spans="1:14" ht="7.5" customHeight="1" x14ac:dyDescent="0.15">
      <c r="E23" s="7"/>
      <c r="F23" s="16"/>
      <c r="G23" s="16"/>
      <c r="L23" s="53"/>
      <c r="M23" s="53"/>
      <c r="N23" s="18"/>
    </row>
    <row r="24" spans="1:14" ht="22.5" customHeight="1" x14ac:dyDescent="0.15">
      <c r="B24" s="55" t="s">
        <v>21</v>
      </c>
      <c r="C24" s="85">
        <v>1973</v>
      </c>
      <c r="D24" s="86"/>
      <c r="E24" s="7" t="s">
        <v>26</v>
      </c>
      <c r="F24" s="16"/>
      <c r="G24" s="90" t="s">
        <v>22</v>
      </c>
      <c r="H24" s="90"/>
      <c r="I24" s="85">
        <v>2000</v>
      </c>
      <c r="J24" s="86"/>
      <c r="K24" s="12" t="s">
        <v>26</v>
      </c>
      <c r="M24" s="53"/>
      <c r="N24" s="18"/>
    </row>
    <row r="25" spans="1:14" ht="7.5" customHeight="1" x14ac:dyDescent="0.15">
      <c r="B25" s="55"/>
      <c r="C25" s="8"/>
      <c r="D25" s="8"/>
      <c r="E25" s="7"/>
      <c r="F25" s="16"/>
      <c r="G25" s="53"/>
      <c r="H25" s="53"/>
      <c r="I25" s="8"/>
      <c r="J25" s="8"/>
      <c r="K25" s="12"/>
      <c r="M25" s="53"/>
      <c r="N25" s="18"/>
    </row>
    <row r="26" spans="1:14" ht="22.5" customHeight="1" x14ac:dyDescent="0.15">
      <c r="B26" s="55" t="s">
        <v>23</v>
      </c>
      <c r="C26" s="85">
        <v>2242</v>
      </c>
      <c r="D26" s="86"/>
      <c r="E26" s="7" t="s">
        <v>26</v>
      </c>
      <c r="F26" s="16"/>
      <c r="G26" s="90" t="s">
        <v>24</v>
      </c>
      <c r="H26" s="90"/>
      <c r="I26" s="85">
        <v>2154</v>
      </c>
      <c r="J26" s="86"/>
      <c r="K26" s="12" t="s">
        <v>26</v>
      </c>
      <c r="M26" s="53"/>
      <c r="N26" s="18"/>
    </row>
    <row r="27" spans="1:14" ht="7.5" customHeight="1" x14ac:dyDescent="0.15">
      <c r="B27" s="55"/>
      <c r="C27" s="8"/>
      <c r="D27" s="8"/>
      <c r="E27" s="7"/>
      <c r="F27" s="16"/>
      <c r="G27" s="53"/>
      <c r="H27" s="53"/>
      <c r="I27" s="8"/>
      <c r="J27" s="8"/>
      <c r="K27" s="12"/>
      <c r="M27" s="53"/>
      <c r="N27" s="18"/>
    </row>
    <row r="28" spans="1:14" ht="22.5" customHeight="1" x14ac:dyDescent="0.15">
      <c r="B28" s="55" t="s">
        <v>54</v>
      </c>
      <c r="C28" s="85">
        <v>140</v>
      </c>
      <c r="D28" s="86"/>
      <c r="E28" s="7" t="s">
        <v>10</v>
      </c>
      <c r="F28" s="16"/>
      <c r="G28" s="90" t="s">
        <v>55</v>
      </c>
      <c r="H28" s="90"/>
      <c r="I28" s="85">
        <v>150</v>
      </c>
      <c r="J28" s="86"/>
      <c r="K28" s="12" t="s">
        <v>10</v>
      </c>
      <c r="M28" s="53"/>
      <c r="N28" s="18"/>
    </row>
    <row r="29" spans="1:14" ht="7.5" customHeight="1" x14ac:dyDescent="0.15">
      <c r="F29" s="16"/>
      <c r="G29" s="16"/>
      <c r="M29" s="19"/>
      <c r="N29" s="19"/>
    </row>
    <row r="30" spans="1:14" ht="22.5" customHeight="1" x14ac:dyDescent="0.15">
      <c r="A30" s="9" t="s">
        <v>127</v>
      </c>
      <c r="B30" s="10" t="s">
        <v>118</v>
      </c>
      <c r="C30" s="10"/>
      <c r="D30" s="10"/>
      <c r="E30" s="10"/>
      <c r="F30" s="12"/>
      <c r="G30" s="56"/>
      <c r="H30" s="56"/>
      <c r="I30" s="56"/>
      <c r="J30" s="21"/>
      <c r="K30" s="21"/>
      <c r="L30" s="21"/>
      <c r="M30" s="21"/>
      <c r="N30" s="21"/>
    </row>
    <row r="31" spans="1:14" ht="22.5" customHeight="1" x14ac:dyDescent="0.15">
      <c r="B31" s="94" t="s">
        <v>117</v>
      </c>
      <c r="C31" s="94"/>
      <c r="D31" s="87" t="s">
        <v>141</v>
      </c>
      <c r="E31" s="88"/>
      <c r="F31" s="88"/>
      <c r="G31" s="95" t="s">
        <v>27</v>
      </c>
      <c r="H31" s="94"/>
      <c r="I31" s="96"/>
      <c r="J31" s="87" t="s">
        <v>142</v>
      </c>
      <c r="K31" s="88"/>
      <c r="L31" s="88"/>
      <c r="M31" s="88"/>
      <c r="N31" s="89"/>
    </row>
    <row r="32" spans="1:14" ht="7.5" customHeight="1" x14ac:dyDescent="0.15">
      <c r="F32" s="16"/>
      <c r="G32" s="16"/>
      <c r="M32" s="19"/>
      <c r="N32" s="19"/>
    </row>
    <row r="33" spans="1:14" ht="22.5" customHeight="1" x14ac:dyDescent="0.15">
      <c r="A33" s="9" t="s">
        <v>59</v>
      </c>
      <c r="B33" s="10" t="s">
        <v>132</v>
      </c>
      <c r="C33" s="10"/>
      <c r="D33" s="10"/>
      <c r="E33" s="10"/>
      <c r="F33" s="12"/>
      <c r="G33" s="21"/>
      <c r="H33" s="21"/>
      <c r="I33" s="21"/>
      <c r="J33" s="21"/>
      <c r="K33" s="21"/>
      <c r="L33" s="21"/>
      <c r="M33" s="21"/>
      <c r="N33" s="21"/>
    </row>
    <row r="34" spans="1:14" ht="22.5" customHeight="1" x14ac:dyDescent="0.15">
      <c r="B34" s="87" t="s">
        <v>143</v>
      </c>
      <c r="C34" s="88"/>
      <c r="D34" s="88"/>
      <c r="E34" s="88"/>
      <c r="F34" s="88"/>
      <c r="G34" s="88"/>
      <c r="H34" s="88"/>
      <c r="I34" s="88"/>
      <c r="J34" s="88"/>
      <c r="K34" s="88"/>
      <c r="L34" s="88"/>
      <c r="M34" s="88"/>
      <c r="N34" s="89"/>
    </row>
    <row r="35" spans="1:14" ht="7.5" customHeight="1" x14ac:dyDescent="0.15">
      <c r="B35" s="54"/>
      <c r="C35" s="54"/>
      <c r="D35" s="54"/>
      <c r="E35" s="54"/>
      <c r="F35" s="54"/>
      <c r="G35" s="54"/>
      <c r="H35" s="54"/>
      <c r="I35" s="54"/>
      <c r="J35" s="54"/>
      <c r="K35" s="54"/>
      <c r="L35" s="54"/>
      <c r="M35" s="54"/>
      <c r="N35" s="54"/>
    </row>
    <row r="36" spans="1:14" ht="22.5" customHeight="1" x14ac:dyDescent="0.15">
      <c r="B36" s="94" t="s">
        <v>117</v>
      </c>
      <c r="C36" s="94"/>
      <c r="D36" s="87" t="s">
        <v>141</v>
      </c>
      <c r="E36" s="88"/>
      <c r="F36" s="88"/>
      <c r="G36" s="95" t="s">
        <v>64</v>
      </c>
      <c r="H36" s="94"/>
      <c r="I36" s="96"/>
      <c r="J36" s="87" t="s">
        <v>144</v>
      </c>
      <c r="K36" s="88"/>
      <c r="L36" s="88"/>
      <c r="M36" s="88"/>
      <c r="N36" s="89"/>
    </row>
    <row r="37" spans="1:14" ht="7.5" customHeight="1" x14ac:dyDescent="0.15">
      <c r="F37" s="56"/>
      <c r="G37" s="56"/>
      <c r="H37" s="56"/>
      <c r="I37" s="56"/>
      <c r="J37" s="56"/>
      <c r="K37" s="56"/>
      <c r="L37" s="56"/>
      <c r="M37" s="56"/>
      <c r="N37" s="56"/>
    </row>
    <row r="38" spans="1:14" ht="22.5" customHeight="1" x14ac:dyDescent="0.15">
      <c r="A38" s="9" t="s">
        <v>63</v>
      </c>
      <c r="B38" s="9" t="s">
        <v>133</v>
      </c>
      <c r="M38" s="19"/>
      <c r="N38" s="19"/>
    </row>
    <row r="39" spans="1:14" ht="22.5" customHeight="1" x14ac:dyDescent="0.15">
      <c r="B39" s="87" t="s">
        <v>145</v>
      </c>
      <c r="C39" s="88"/>
      <c r="D39" s="88"/>
      <c r="E39" s="88"/>
      <c r="F39" s="88"/>
      <c r="G39" s="88"/>
      <c r="H39" s="88"/>
      <c r="I39" s="88"/>
      <c r="J39" s="88"/>
      <c r="K39" s="88"/>
      <c r="L39" s="88"/>
      <c r="M39" s="88"/>
      <c r="N39" s="89"/>
    </row>
    <row r="40" spans="1:14" ht="7.5" customHeight="1" x14ac:dyDescent="0.15">
      <c r="F40" s="56"/>
      <c r="G40" s="56"/>
      <c r="H40" s="56"/>
      <c r="I40" s="56"/>
      <c r="J40" s="56"/>
      <c r="K40" s="56"/>
      <c r="L40" s="56"/>
      <c r="M40" s="56"/>
      <c r="N40" s="56"/>
    </row>
    <row r="41" spans="1:14" ht="22.5" customHeight="1" x14ac:dyDescent="0.15">
      <c r="B41" s="94" t="s">
        <v>117</v>
      </c>
      <c r="C41" s="94"/>
      <c r="D41" s="87" t="s">
        <v>146</v>
      </c>
      <c r="E41" s="88"/>
      <c r="F41" s="88"/>
      <c r="G41" s="95" t="s">
        <v>64</v>
      </c>
      <c r="H41" s="94"/>
      <c r="I41" s="96"/>
      <c r="J41" s="87" t="s">
        <v>144</v>
      </c>
      <c r="K41" s="88"/>
      <c r="L41" s="88"/>
      <c r="M41" s="88"/>
      <c r="N41" s="89"/>
    </row>
    <row r="42" spans="1:14" ht="7.5" customHeight="1" x14ac:dyDescent="0.15">
      <c r="F42" s="56"/>
      <c r="G42" s="56"/>
      <c r="H42" s="56"/>
      <c r="I42" s="56"/>
      <c r="J42" s="56"/>
      <c r="K42" s="56"/>
      <c r="L42" s="56"/>
      <c r="M42" s="56"/>
      <c r="N42" s="56"/>
    </row>
    <row r="43" spans="1:14" ht="22.5" customHeight="1" x14ac:dyDescent="0.15">
      <c r="A43" s="9" t="s">
        <v>71</v>
      </c>
      <c r="B43" s="60" t="s">
        <v>91</v>
      </c>
      <c r="E43" s="59"/>
      <c r="F43" s="87" t="s">
        <v>147</v>
      </c>
      <c r="G43" s="88"/>
      <c r="H43" s="88"/>
      <c r="I43" s="88"/>
      <c r="J43" s="88"/>
      <c r="K43" s="88"/>
      <c r="L43" s="88"/>
      <c r="M43" s="88"/>
      <c r="N43" s="89"/>
    </row>
    <row r="44" spans="1:14" ht="7.5" customHeight="1" x14ac:dyDescent="0.15">
      <c r="F44" s="56"/>
      <c r="G44" s="56"/>
      <c r="H44" s="56"/>
      <c r="I44" s="56"/>
      <c r="J44" s="56"/>
      <c r="K44" s="56"/>
      <c r="L44" s="56"/>
      <c r="M44" s="56"/>
      <c r="N44" s="56"/>
    </row>
    <row r="45" spans="1:14" ht="22.5" customHeight="1" x14ac:dyDescent="0.15">
      <c r="A45" s="9" t="s">
        <v>3</v>
      </c>
    </row>
    <row r="46" spans="1:14" ht="22.5" customHeight="1" x14ac:dyDescent="0.15">
      <c r="B46" s="22" t="s">
        <v>1</v>
      </c>
      <c r="C46" s="104" t="s">
        <v>148</v>
      </c>
      <c r="D46" s="105"/>
      <c r="E46" s="105"/>
      <c r="F46" s="105"/>
      <c r="G46" s="105"/>
      <c r="H46" s="106"/>
      <c r="I46" s="23" t="s">
        <v>2</v>
      </c>
      <c r="J46" s="24"/>
      <c r="K46" s="87" t="s">
        <v>150</v>
      </c>
      <c r="L46" s="88"/>
      <c r="M46" s="88"/>
      <c r="N46" s="89"/>
    </row>
    <row r="47" spans="1:14" ht="22.5" customHeight="1" x14ac:dyDescent="0.15">
      <c r="B47" s="22" t="s">
        <v>5</v>
      </c>
      <c r="C47" s="107" t="s">
        <v>149</v>
      </c>
      <c r="D47" s="108"/>
      <c r="E47" s="108"/>
      <c r="F47" s="108"/>
      <c r="G47" s="108"/>
      <c r="H47" s="109"/>
      <c r="I47" s="23" t="s">
        <v>4</v>
      </c>
      <c r="J47" s="24"/>
      <c r="K47" s="110" t="s">
        <v>151</v>
      </c>
      <c r="L47" s="111"/>
      <c r="M47" s="111"/>
      <c r="N47" s="112"/>
    </row>
  </sheetData>
  <mergeCells count="45">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K20:N20"/>
    <mergeCell ref="E20:F20"/>
    <mergeCell ref="J41:N41"/>
    <mergeCell ref="B34:N34"/>
    <mergeCell ref="B39:N39"/>
    <mergeCell ref="G28:H28"/>
    <mergeCell ref="I28:J28"/>
    <mergeCell ref="J22:L22"/>
    <mergeCell ref="G24:H24"/>
    <mergeCell ref="B31:C31"/>
    <mergeCell ref="D31:F31"/>
    <mergeCell ref="G31:I31"/>
    <mergeCell ref="C28:D28"/>
  </mergeCells>
  <phoneticPr fontId="1"/>
  <dataValidations count="2">
    <dataValidation type="list" allowBlank="1" showInputMessage="1" showErrorMessage="1" sqref="C8" xr:uid="{00000000-0002-0000-0000-000000000000}">
      <formula1>"国立大学, 公立大学, 私立大学, 短期大学, 高等専門学校, その他"</formula1>
    </dataValidation>
    <dataValidation type="list" allowBlank="1" showInputMessage="1" showErrorMessage="1" sqref="F43" xr:uid="{00000000-0002-0000-0000-000001000000}">
      <formula1>"認定教育プログラム,認定教育プログラムと認定教育プログラム+（プラス）"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9"/>
  <sheetViews>
    <sheetView showZeros="0" view="pageBreakPreview" topLeftCell="A12" zoomScaleNormal="100" zoomScaleSheetLayoutView="100" workbookViewId="0">
      <selection activeCell="B26" sqref="B26:E26"/>
    </sheetView>
  </sheetViews>
  <sheetFormatPr defaultColWidth="9" defaultRowHeight="18.75" customHeight="1" x14ac:dyDescent="0.15"/>
  <cols>
    <col min="1" max="2" width="2.5" style="9" customWidth="1"/>
    <col min="3" max="3" width="20" style="9" customWidth="1"/>
    <col min="4" max="4" width="8.75" style="9" customWidth="1"/>
    <col min="5" max="5" width="7.5" style="9" customWidth="1"/>
    <col min="6" max="6" width="2.5" style="9" customWidth="1"/>
    <col min="7" max="7" width="15" style="9" customWidth="1"/>
    <col min="8" max="8" width="12.5" style="9" customWidth="1"/>
    <col min="9" max="9" width="11.25" style="9" customWidth="1"/>
    <col min="10" max="16384" width="9" style="9"/>
  </cols>
  <sheetData>
    <row r="1" spans="1:10" ht="18.75" customHeight="1" x14ac:dyDescent="0.15">
      <c r="I1" s="20" t="s">
        <v>195</v>
      </c>
    </row>
    <row r="2" spans="1:10" ht="18.75" customHeight="1" x14ac:dyDescent="0.15">
      <c r="G2" s="20" t="s">
        <v>32</v>
      </c>
      <c r="H2" s="122" t="s">
        <v>136</v>
      </c>
      <c r="I2" s="122"/>
    </row>
    <row r="3" spans="1:10" ht="7.5" customHeight="1" x14ac:dyDescent="0.15"/>
    <row r="4" spans="1:10" ht="18.75" customHeight="1" x14ac:dyDescent="0.15">
      <c r="A4" s="103" t="s">
        <v>89</v>
      </c>
      <c r="B4" s="103"/>
      <c r="C4" s="103"/>
      <c r="D4" s="103"/>
      <c r="E4" s="103"/>
      <c r="F4" s="103"/>
      <c r="G4" s="103"/>
      <c r="H4" s="103"/>
      <c r="I4" s="103"/>
    </row>
    <row r="5" spans="1:10" ht="7.5" customHeight="1" x14ac:dyDescent="0.15">
      <c r="C5" s="55"/>
      <c r="D5" s="55"/>
      <c r="E5" s="55"/>
      <c r="F5" s="55"/>
      <c r="G5" s="55"/>
      <c r="H5" s="55"/>
      <c r="I5" s="55"/>
    </row>
    <row r="6" spans="1:10" ht="18.75" customHeight="1" x14ac:dyDescent="0.15">
      <c r="A6" s="9" t="s">
        <v>7</v>
      </c>
      <c r="B6" s="9" t="s">
        <v>103</v>
      </c>
      <c r="C6" s="55"/>
      <c r="D6" s="55"/>
      <c r="E6" s="97" t="s">
        <v>152</v>
      </c>
      <c r="F6" s="92"/>
      <c r="G6" s="92"/>
      <c r="H6" s="92"/>
      <c r="I6" s="93"/>
    </row>
    <row r="7" spans="1:10" ht="7.5" customHeight="1" x14ac:dyDescent="0.15">
      <c r="C7" s="55"/>
      <c r="D7" s="55"/>
      <c r="F7" s="53"/>
      <c r="G7" s="53"/>
      <c r="H7" s="53"/>
      <c r="I7" s="53"/>
    </row>
    <row r="8" spans="1:10" ht="18.75" customHeight="1" x14ac:dyDescent="0.15">
      <c r="A8" s="9" t="s">
        <v>12</v>
      </c>
      <c r="B8" s="9" t="s">
        <v>104</v>
      </c>
      <c r="C8" s="55"/>
      <c r="D8" s="55"/>
      <c r="E8" s="55"/>
      <c r="F8" s="55"/>
      <c r="G8" s="55"/>
      <c r="H8" s="55"/>
      <c r="I8" s="55"/>
    </row>
    <row r="9" spans="1:10" ht="18.75" customHeight="1" x14ac:dyDescent="0.15">
      <c r="B9" s="113" t="s">
        <v>199</v>
      </c>
      <c r="C9" s="114"/>
      <c r="D9" s="114"/>
      <c r="E9" s="114"/>
      <c r="F9" s="114"/>
      <c r="G9" s="114"/>
      <c r="H9" s="114"/>
      <c r="I9" s="115"/>
    </row>
    <row r="10" spans="1:10" ht="18.75" customHeight="1" x14ac:dyDescent="0.15">
      <c r="B10" s="116"/>
      <c r="C10" s="117"/>
      <c r="D10" s="117"/>
      <c r="E10" s="117"/>
      <c r="F10" s="117"/>
      <c r="G10" s="117"/>
      <c r="H10" s="117"/>
      <c r="I10" s="118"/>
    </row>
    <row r="11" spans="1:10" ht="18.75" customHeight="1" x14ac:dyDescent="0.15">
      <c r="B11" s="119"/>
      <c r="C11" s="120"/>
      <c r="D11" s="120"/>
      <c r="E11" s="120"/>
      <c r="F11" s="120"/>
      <c r="G11" s="120"/>
      <c r="H11" s="120"/>
      <c r="I11" s="121"/>
    </row>
    <row r="12" spans="1:10" ht="7.5" customHeight="1" x14ac:dyDescent="0.15">
      <c r="C12" s="55"/>
      <c r="D12" s="55"/>
      <c r="E12" s="55"/>
      <c r="F12" s="55"/>
      <c r="G12" s="55"/>
      <c r="H12" s="55"/>
      <c r="I12" s="55"/>
    </row>
    <row r="13" spans="1:10" ht="18.75" customHeight="1" x14ac:dyDescent="0.15">
      <c r="A13" s="55" t="s">
        <v>13</v>
      </c>
      <c r="B13" s="10" t="s">
        <v>105</v>
      </c>
      <c r="C13" s="10"/>
      <c r="D13" s="10"/>
      <c r="E13" s="10"/>
      <c r="F13" s="55"/>
      <c r="G13" s="55"/>
      <c r="H13" s="55"/>
      <c r="I13" s="55"/>
      <c r="J13" s="55"/>
    </row>
    <row r="14" spans="1:10" ht="18.75" customHeight="1" x14ac:dyDescent="0.15">
      <c r="A14" s="123" t="s">
        <v>105</v>
      </c>
      <c r="B14" s="123"/>
      <c r="C14" s="123"/>
      <c r="D14" s="123"/>
      <c r="E14" s="123"/>
      <c r="F14" s="124" t="s">
        <v>105</v>
      </c>
      <c r="G14" s="124"/>
      <c r="H14" s="124"/>
      <c r="I14" s="124"/>
    </row>
    <row r="15" spans="1:10" ht="18.75" customHeight="1" x14ac:dyDescent="0.15">
      <c r="A15" s="30">
        <v>1</v>
      </c>
      <c r="B15" s="104" t="s">
        <v>196</v>
      </c>
      <c r="C15" s="105"/>
      <c r="D15" s="105"/>
      <c r="E15" s="106"/>
      <c r="F15" s="30">
        <v>26</v>
      </c>
      <c r="G15" s="104"/>
      <c r="H15" s="105"/>
      <c r="I15" s="106"/>
    </row>
    <row r="16" spans="1:10" ht="18.75" customHeight="1" x14ac:dyDescent="0.15">
      <c r="A16" s="30">
        <v>2</v>
      </c>
      <c r="B16" s="104" t="s">
        <v>197</v>
      </c>
      <c r="C16" s="105"/>
      <c r="D16" s="105"/>
      <c r="E16" s="106"/>
      <c r="F16" s="30">
        <v>27</v>
      </c>
      <c r="G16" s="104"/>
      <c r="H16" s="105"/>
      <c r="I16" s="106"/>
    </row>
    <row r="17" spans="1:9" ht="18.75" customHeight="1" x14ac:dyDescent="0.15">
      <c r="A17" s="30">
        <v>3</v>
      </c>
      <c r="B17" s="104"/>
      <c r="C17" s="105"/>
      <c r="D17" s="105"/>
      <c r="E17" s="106"/>
      <c r="F17" s="30">
        <v>28</v>
      </c>
      <c r="G17" s="104"/>
      <c r="H17" s="105"/>
      <c r="I17" s="106"/>
    </row>
    <row r="18" spans="1:9" ht="18.75" customHeight="1" x14ac:dyDescent="0.15">
      <c r="A18" s="30">
        <v>4</v>
      </c>
      <c r="B18" s="104"/>
      <c r="C18" s="105"/>
      <c r="D18" s="105"/>
      <c r="E18" s="106"/>
      <c r="F18" s="30">
        <v>29</v>
      </c>
      <c r="G18" s="104"/>
      <c r="H18" s="105"/>
      <c r="I18" s="106"/>
    </row>
    <row r="19" spans="1:9" ht="18.75" customHeight="1" x14ac:dyDescent="0.15">
      <c r="A19" s="30">
        <v>5</v>
      </c>
      <c r="B19" s="104"/>
      <c r="C19" s="105"/>
      <c r="D19" s="105"/>
      <c r="E19" s="106"/>
      <c r="F19" s="30">
        <v>30</v>
      </c>
      <c r="G19" s="104"/>
      <c r="H19" s="105"/>
      <c r="I19" s="106"/>
    </row>
    <row r="20" spans="1:9" ht="18.75" customHeight="1" x14ac:dyDescent="0.15">
      <c r="A20" s="30">
        <v>6</v>
      </c>
      <c r="B20" s="104"/>
      <c r="C20" s="105"/>
      <c r="D20" s="105"/>
      <c r="E20" s="106"/>
      <c r="F20" s="30">
        <v>31</v>
      </c>
      <c r="G20" s="104"/>
      <c r="H20" s="105"/>
      <c r="I20" s="106"/>
    </row>
    <row r="21" spans="1:9" ht="18.75" customHeight="1" x14ac:dyDescent="0.15">
      <c r="A21" s="30">
        <v>7</v>
      </c>
      <c r="B21" s="104"/>
      <c r="C21" s="105"/>
      <c r="D21" s="105"/>
      <c r="E21" s="106"/>
      <c r="F21" s="30">
        <v>32</v>
      </c>
      <c r="G21" s="104"/>
      <c r="H21" s="105"/>
      <c r="I21" s="106"/>
    </row>
    <row r="22" spans="1:9" ht="18.75" customHeight="1" x14ac:dyDescent="0.15">
      <c r="A22" s="30">
        <v>8</v>
      </c>
      <c r="B22" s="104"/>
      <c r="C22" s="105"/>
      <c r="D22" s="105"/>
      <c r="E22" s="106"/>
      <c r="F22" s="30">
        <v>33</v>
      </c>
      <c r="G22" s="104"/>
      <c r="H22" s="105"/>
      <c r="I22" s="106"/>
    </row>
    <row r="23" spans="1:9" ht="18.75" customHeight="1" x14ac:dyDescent="0.15">
      <c r="A23" s="30">
        <v>9</v>
      </c>
      <c r="B23" s="104"/>
      <c r="C23" s="105"/>
      <c r="D23" s="105"/>
      <c r="E23" s="106"/>
      <c r="F23" s="30">
        <v>34</v>
      </c>
      <c r="G23" s="104"/>
      <c r="H23" s="105"/>
      <c r="I23" s="106"/>
    </row>
    <row r="24" spans="1:9" ht="18.75" customHeight="1" x14ac:dyDescent="0.15">
      <c r="A24" s="30">
        <v>10</v>
      </c>
      <c r="B24" s="104"/>
      <c r="C24" s="105"/>
      <c r="D24" s="105"/>
      <c r="E24" s="106"/>
      <c r="F24" s="30">
        <v>35</v>
      </c>
      <c r="G24" s="104"/>
      <c r="H24" s="105"/>
      <c r="I24" s="106"/>
    </row>
    <row r="25" spans="1:9" ht="18.75" customHeight="1" x14ac:dyDescent="0.15">
      <c r="A25" s="30">
        <v>11</v>
      </c>
      <c r="B25" s="104"/>
      <c r="C25" s="105"/>
      <c r="D25" s="105"/>
      <c r="E25" s="106"/>
      <c r="F25" s="30">
        <v>36</v>
      </c>
      <c r="G25" s="104"/>
      <c r="H25" s="105"/>
      <c r="I25" s="106"/>
    </row>
    <row r="26" spans="1:9" ht="18.75" customHeight="1" x14ac:dyDescent="0.15">
      <c r="A26" s="30">
        <v>12</v>
      </c>
      <c r="B26" s="104"/>
      <c r="C26" s="105"/>
      <c r="D26" s="105"/>
      <c r="E26" s="106"/>
      <c r="F26" s="30">
        <v>37</v>
      </c>
      <c r="G26" s="104"/>
      <c r="H26" s="105"/>
      <c r="I26" s="106"/>
    </row>
    <row r="27" spans="1:9" ht="18.75" customHeight="1" x14ac:dyDescent="0.15">
      <c r="A27" s="30">
        <v>13</v>
      </c>
      <c r="B27" s="104"/>
      <c r="C27" s="105"/>
      <c r="D27" s="105"/>
      <c r="E27" s="106"/>
      <c r="F27" s="30">
        <v>38</v>
      </c>
      <c r="G27" s="104"/>
      <c r="H27" s="105"/>
      <c r="I27" s="106"/>
    </row>
    <row r="28" spans="1:9" ht="18.75" customHeight="1" x14ac:dyDescent="0.15">
      <c r="A28" s="30">
        <v>14</v>
      </c>
      <c r="B28" s="104"/>
      <c r="C28" s="105"/>
      <c r="D28" s="105"/>
      <c r="E28" s="106"/>
      <c r="F28" s="30">
        <v>39</v>
      </c>
      <c r="G28" s="104"/>
      <c r="H28" s="105"/>
      <c r="I28" s="106"/>
    </row>
    <row r="29" spans="1:9" ht="18.75" customHeight="1" x14ac:dyDescent="0.15">
      <c r="A29" s="30">
        <v>15</v>
      </c>
      <c r="B29" s="104"/>
      <c r="C29" s="105"/>
      <c r="D29" s="105"/>
      <c r="E29" s="106"/>
      <c r="F29" s="30">
        <v>40</v>
      </c>
      <c r="G29" s="104"/>
      <c r="H29" s="105"/>
      <c r="I29" s="106"/>
    </row>
    <row r="30" spans="1:9" ht="18.75" customHeight="1" x14ac:dyDescent="0.15">
      <c r="A30" s="30">
        <v>16</v>
      </c>
      <c r="B30" s="104"/>
      <c r="C30" s="105"/>
      <c r="D30" s="105"/>
      <c r="E30" s="106"/>
      <c r="F30" s="30">
        <v>41</v>
      </c>
      <c r="G30" s="104"/>
      <c r="H30" s="105"/>
      <c r="I30" s="106"/>
    </row>
    <row r="31" spans="1:9" ht="18.75" customHeight="1" x14ac:dyDescent="0.15">
      <c r="A31" s="30">
        <v>17</v>
      </c>
      <c r="B31" s="104"/>
      <c r="C31" s="105"/>
      <c r="D31" s="105"/>
      <c r="E31" s="106"/>
      <c r="F31" s="30">
        <v>42</v>
      </c>
      <c r="G31" s="104"/>
      <c r="H31" s="105"/>
      <c r="I31" s="106"/>
    </row>
    <row r="32" spans="1:9" ht="18.75" customHeight="1" x14ac:dyDescent="0.15">
      <c r="A32" s="30">
        <v>18</v>
      </c>
      <c r="B32" s="104"/>
      <c r="C32" s="105"/>
      <c r="D32" s="105"/>
      <c r="E32" s="106"/>
      <c r="F32" s="30">
        <v>43</v>
      </c>
      <c r="G32" s="104"/>
      <c r="H32" s="105"/>
      <c r="I32" s="106"/>
    </row>
    <row r="33" spans="1:9" ht="18.75" customHeight="1" x14ac:dyDescent="0.15">
      <c r="A33" s="30">
        <v>19</v>
      </c>
      <c r="B33" s="104"/>
      <c r="C33" s="105"/>
      <c r="D33" s="105"/>
      <c r="E33" s="106"/>
      <c r="F33" s="30">
        <v>44</v>
      </c>
      <c r="G33" s="104"/>
      <c r="H33" s="105"/>
      <c r="I33" s="106"/>
    </row>
    <row r="34" spans="1:9" ht="18.75" customHeight="1" x14ac:dyDescent="0.15">
      <c r="A34" s="30">
        <v>20</v>
      </c>
      <c r="B34" s="104"/>
      <c r="C34" s="105"/>
      <c r="D34" s="105"/>
      <c r="E34" s="106"/>
      <c r="F34" s="30">
        <v>45</v>
      </c>
      <c r="G34" s="104"/>
      <c r="H34" s="105"/>
      <c r="I34" s="106"/>
    </row>
    <row r="35" spans="1:9" ht="18.75" customHeight="1" x14ac:dyDescent="0.15">
      <c r="A35" s="30">
        <v>21</v>
      </c>
      <c r="B35" s="104"/>
      <c r="C35" s="105"/>
      <c r="D35" s="105"/>
      <c r="E35" s="106"/>
      <c r="F35" s="30">
        <v>46</v>
      </c>
      <c r="G35" s="104"/>
      <c r="H35" s="105"/>
      <c r="I35" s="106"/>
    </row>
    <row r="36" spans="1:9" ht="18.75" customHeight="1" x14ac:dyDescent="0.15">
      <c r="A36" s="30">
        <v>22</v>
      </c>
      <c r="B36" s="104"/>
      <c r="C36" s="105"/>
      <c r="D36" s="105"/>
      <c r="E36" s="106"/>
      <c r="F36" s="30">
        <v>47</v>
      </c>
      <c r="G36" s="104"/>
      <c r="H36" s="105"/>
      <c r="I36" s="106"/>
    </row>
    <row r="37" spans="1:9" ht="18.75" customHeight="1" x14ac:dyDescent="0.15">
      <c r="A37" s="30">
        <v>23</v>
      </c>
      <c r="B37" s="104"/>
      <c r="C37" s="105"/>
      <c r="D37" s="105"/>
      <c r="E37" s="106"/>
      <c r="F37" s="30">
        <v>48</v>
      </c>
      <c r="G37" s="104"/>
      <c r="H37" s="105"/>
      <c r="I37" s="106"/>
    </row>
    <row r="38" spans="1:9" ht="18.75" customHeight="1" x14ac:dyDescent="0.15">
      <c r="A38" s="30">
        <v>24</v>
      </c>
      <c r="B38" s="104"/>
      <c r="C38" s="105"/>
      <c r="D38" s="105"/>
      <c r="E38" s="106"/>
      <c r="F38" s="30">
        <v>49</v>
      </c>
      <c r="G38" s="104"/>
      <c r="H38" s="105"/>
      <c r="I38" s="106"/>
    </row>
    <row r="39" spans="1:9" ht="18.75" customHeight="1" x14ac:dyDescent="0.15">
      <c r="A39" s="30">
        <v>25</v>
      </c>
      <c r="B39" s="104"/>
      <c r="C39" s="105"/>
      <c r="D39" s="105"/>
      <c r="E39" s="106"/>
      <c r="F39" s="30">
        <v>50</v>
      </c>
      <c r="G39" s="104"/>
      <c r="H39" s="105"/>
      <c r="I39" s="106"/>
    </row>
  </sheetData>
  <mergeCells count="56">
    <mergeCell ref="G39:I39"/>
    <mergeCell ref="G34:I34"/>
    <mergeCell ref="G35:I35"/>
    <mergeCell ref="G36:I36"/>
    <mergeCell ref="G37:I37"/>
    <mergeCell ref="G38:I38"/>
    <mergeCell ref="G29:I29"/>
    <mergeCell ref="G30:I30"/>
    <mergeCell ref="G31:I31"/>
    <mergeCell ref="G32:I32"/>
    <mergeCell ref="G33:I33"/>
    <mergeCell ref="B39:E39"/>
    <mergeCell ref="G16:I16"/>
    <mergeCell ref="G17:I17"/>
    <mergeCell ref="G18:I18"/>
    <mergeCell ref="G19:I19"/>
    <mergeCell ref="G24:I24"/>
    <mergeCell ref="G25:I25"/>
    <mergeCell ref="G26:I26"/>
    <mergeCell ref="G27:I27"/>
    <mergeCell ref="G28:I28"/>
    <mergeCell ref="B34:E34"/>
    <mergeCell ref="B35:E35"/>
    <mergeCell ref="B36:E36"/>
    <mergeCell ref="B37:E37"/>
    <mergeCell ref="B38:E38"/>
    <mergeCell ref="B29:E29"/>
    <mergeCell ref="B30:E30"/>
    <mergeCell ref="B31:E31"/>
    <mergeCell ref="B32:E32"/>
    <mergeCell ref="B33:E33"/>
    <mergeCell ref="B24:E24"/>
    <mergeCell ref="B25:E25"/>
    <mergeCell ref="B26:E26"/>
    <mergeCell ref="B27:E27"/>
    <mergeCell ref="B28:E28"/>
    <mergeCell ref="E6:I6"/>
    <mergeCell ref="H2:I2"/>
    <mergeCell ref="A4:I4"/>
    <mergeCell ref="A14:E14"/>
    <mergeCell ref="F14:I14"/>
    <mergeCell ref="B20:E20"/>
    <mergeCell ref="B21:E21"/>
    <mergeCell ref="B22:E22"/>
    <mergeCell ref="B23:E23"/>
    <mergeCell ref="B9:I11"/>
    <mergeCell ref="B15:E15"/>
    <mergeCell ref="B16:E16"/>
    <mergeCell ref="B17:E17"/>
    <mergeCell ref="B18:E18"/>
    <mergeCell ref="B19:E19"/>
    <mergeCell ref="G15:I15"/>
    <mergeCell ref="G20:I20"/>
    <mergeCell ref="G21:I21"/>
    <mergeCell ref="G22:I22"/>
    <mergeCell ref="G23:I23"/>
  </mergeCells>
  <phoneticPr fontId="1"/>
  <dataValidations count="2">
    <dataValidation type="list" allowBlank="1" showInputMessage="1" showErrorMessage="1" sqref="F7:I7" xr:uid="{00000000-0002-0000-0100-000000000000}">
      <formula1>"学部等によって、認定要件は相違する,学部等によって、認定要件は相違しない"</formula1>
    </dataValidation>
    <dataValidation type="list" allowBlank="1" showInputMessage="1" showErrorMessage="1" sqref="E6:I6" xr:uid="{00000000-0002-0000-01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8"/>
  <sheetViews>
    <sheetView view="pageBreakPreview" zoomScaleNormal="100" zoomScaleSheetLayoutView="100" workbookViewId="0">
      <selection activeCell="G13" sqref="G13"/>
    </sheetView>
  </sheetViews>
  <sheetFormatPr defaultColWidth="9" defaultRowHeight="18.75" customHeight="1" x14ac:dyDescent="0.15"/>
  <cols>
    <col min="1" max="1" width="2.5" style="1" customWidth="1"/>
    <col min="2" max="2" width="12.5" style="1" customWidth="1"/>
    <col min="3" max="3" width="21" style="1" customWidth="1"/>
    <col min="4" max="18" width="6.25" style="1" customWidth="1"/>
    <col min="19" max="16384" width="9" style="1"/>
  </cols>
  <sheetData>
    <row r="1" spans="1:20" ht="18.75" customHeight="1" x14ac:dyDescent="0.15">
      <c r="F1" s="135" t="s">
        <v>73</v>
      </c>
      <c r="G1" s="135"/>
      <c r="H1" s="135"/>
      <c r="I1" s="135"/>
      <c r="J1" s="135"/>
      <c r="K1" s="135"/>
      <c r="L1" s="135"/>
      <c r="M1" s="135"/>
      <c r="N1" s="135"/>
      <c r="O1" s="135"/>
      <c r="P1" s="135"/>
      <c r="Q1" s="135"/>
      <c r="R1" s="135"/>
    </row>
    <row r="2" spans="1:20" ht="18.75" customHeight="1" x14ac:dyDescent="0.15">
      <c r="D2" s="32"/>
      <c r="E2" s="32"/>
      <c r="F2" s="32"/>
      <c r="G2" s="32"/>
      <c r="H2" s="32"/>
      <c r="I2" s="32"/>
      <c r="J2" s="32"/>
      <c r="K2" s="135" t="s">
        <v>65</v>
      </c>
      <c r="L2" s="135"/>
      <c r="M2" s="146" t="s">
        <v>136</v>
      </c>
      <c r="N2" s="147"/>
      <c r="O2" s="32"/>
      <c r="P2" s="32"/>
      <c r="Q2" s="32"/>
      <c r="R2" s="32"/>
    </row>
    <row r="3" spans="1:20" ht="7.5" customHeight="1" x14ac:dyDescent="0.15"/>
    <row r="4" spans="1:20" ht="18.75" customHeight="1" x14ac:dyDescent="0.15">
      <c r="A4" s="145" t="s">
        <v>125</v>
      </c>
      <c r="B4" s="145"/>
      <c r="C4" s="145"/>
      <c r="D4" s="145"/>
      <c r="E4" s="145"/>
      <c r="F4" s="145"/>
      <c r="G4" s="145"/>
      <c r="H4" s="145"/>
      <c r="I4" s="145"/>
      <c r="J4" s="145"/>
      <c r="K4" s="145"/>
      <c r="L4" s="145"/>
      <c r="M4" s="145"/>
      <c r="N4" s="145"/>
      <c r="O4" s="145"/>
      <c r="P4" s="145"/>
      <c r="Q4" s="145"/>
      <c r="R4" s="145"/>
      <c r="S4" s="2"/>
    </row>
    <row r="5" spans="1:20" ht="7.5" customHeight="1" x14ac:dyDescent="0.15">
      <c r="A5" s="31"/>
      <c r="B5" s="31"/>
      <c r="C5" s="31"/>
      <c r="D5" s="31"/>
      <c r="E5" s="31"/>
      <c r="F5" s="31"/>
      <c r="G5" s="31"/>
      <c r="H5" s="31"/>
      <c r="I5" s="31"/>
      <c r="J5" s="31"/>
      <c r="K5" s="31"/>
      <c r="L5" s="31"/>
      <c r="M5" s="31"/>
      <c r="N5" s="31"/>
      <c r="O5" s="31"/>
      <c r="P5" s="31"/>
      <c r="Q5" s="31"/>
      <c r="R5" s="31"/>
    </row>
    <row r="6" spans="1:20" ht="18.75" customHeight="1" x14ac:dyDescent="0.15">
      <c r="B6" s="127" t="s">
        <v>130</v>
      </c>
      <c r="C6" s="128"/>
      <c r="D6" s="136" t="s">
        <v>90</v>
      </c>
      <c r="E6" s="138" t="s">
        <v>119</v>
      </c>
      <c r="F6" s="138"/>
      <c r="G6" s="138" t="s">
        <v>120</v>
      </c>
      <c r="H6" s="138"/>
      <c r="I6" s="139" t="s">
        <v>121</v>
      </c>
      <c r="J6" s="140"/>
      <c r="K6" s="139" t="s">
        <v>122</v>
      </c>
      <c r="L6" s="140"/>
      <c r="M6" s="139" t="s">
        <v>123</v>
      </c>
      <c r="N6" s="140"/>
      <c r="O6" s="139" t="s">
        <v>124</v>
      </c>
      <c r="P6" s="140"/>
      <c r="Q6" s="141" t="s">
        <v>72</v>
      </c>
      <c r="R6" s="143" t="s">
        <v>66</v>
      </c>
      <c r="T6" s="33"/>
    </row>
    <row r="7" spans="1:20" ht="18.75" customHeight="1" x14ac:dyDescent="0.15">
      <c r="B7" s="129"/>
      <c r="C7" s="130"/>
      <c r="D7" s="137"/>
      <c r="E7" s="25" t="s">
        <v>52</v>
      </c>
      <c r="F7" s="27" t="s">
        <v>51</v>
      </c>
      <c r="G7" s="28" t="s">
        <v>52</v>
      </c>
      <c r="H7" s="26" t="s">
        <v>51</v>
      </c>
      <c r="I7" s="25" t="s">
        <v>52</v>
      </c>
      <c r="J7" s="27" t="s">
        <v>51</v>
      </c>
      <c r="K7" s="28" t="s">
        <v>52</v>
      </c>
      <c r="L7" s="26" t="s">
        <v>51</v>
      </c>
      <c r="M7" s="25" t="s">
        <v>52</v>
      </c>
      <c r="N7" s="27" t="s">
        <v>51</v>
      </c>
      <c r="O7" s="28" t="s">
        <v>52</v>
      </c>
      <c r="P7" s="26" t="s">
        <v>51</v>
      </c>
      <c r="Q7" s="142"/>
      <c r="R7" s="144"/>
      <c r="T7" s="33"/>
    </row>
    <row r="8" spans="1:20" ht="18.75" customHeight="1" x14ac:dyDescent="0.15">
      <c r="A8" s="34"/>
      <c r="B8" s="133" t="s">
        <v>153</v>
      </c>
      <c r="C8" s="134"/>
      <c r="D8" s="35">
        <v>740</v>
      </c>
      <c r="E8" s="35">
        <v>192</v>
      </c>
      <c r="F8" s="36">
        <v>189</v>
      </c>
      <c r="G8" s="37">
        <v>198</v>
      </c>
      <c r="H8" s="38">
        <v>194</v>
      </c>
      <c r="I8" s="35">
        <v>208</v>
      </c>
      <c r="J8" s="36">
        <v>207</v>
      </c>
      <c r="K8" s="37">
        <v>0</v>
      </c>
      <c r="L8" s="38">
        <v>0</v>
      </c>
      <c r="M8" s="35"/>
      <c r="N8" s="36"/>
      <c r="O8" s="37"/>
      <c r="P8" s="38"/>
      <c r="Q8" s="39">
        <f>E8+G8+I8+K8+M8+O8</f>
        <v>598</v>
      </c>
      <c r="R8" s="40">
        <f>Q8/D8</f>
        <v>0.80810810810810807</v>
      </c>
    </row>
    <row r="9" spans="1:20" ht="18.75" customHeight="1" x14ac:dyDescent="0.15">
      <c r="A9" s="34"/>
      <c r="B9" s="131" t="s">
        <v>154</v>
      </c>
      <c r="C9" s="132"/>
      <c r="D9" s="41">
        <v>720</v>
      </c>
      <c r="E9" s="41">
        <v>189</v>
      </c>
      <c r="F9" s="42">
        <v>188</v>
      </c>
      <c r="G9" s="43">
        <v>187</v>
      </c>
      <c r="H9" s="44">
        <v>187</v>
      </c>
      <c r="I9" s="41">
        <v>192</v>
      </c>
      <c r="J9" s="42">
        <v>191</v>
      </c>
      <c r="K9" s="43">
        <v>0</v>
      </c>
      <c r="L9" s="44">
        <v>0</v>
      </c>
      <c r="M9" s="41"/>
      <c r="N9" s="42"/>
      <c r="O9" s="43"/>
      <c r="P9" s="44"/>
      <c r="Q9" s="45">
        <f t="shared" ref="Q9:Q15" si="0">E9+G9+I9+K9+M9+O9</f>
        <v>568</v>
      </c>
      <c r="R9" s="40">
        <f t="shared" ref="R9:R16" si="1">Q9/D9</f>
        <v>0.78888888888888886</v>
      </c>
    </row>
    <row r="10" spans="1:20" ht="18.75" customHeight="1" x14ac:dyDescent="0.15">
      <c r="A10" s="34"/>
      <c r="B10" s="131" t="s">
        <v>155</v>
      </c>
      <c r="C10" s="132"/>
      <c r="D10" s="41">
        <v>1380</v>
      </c>
      <c r="E10" s="41">
        <v>353</v>
      </c>
      <c r="F10" s="42">
        <v>346</v>
      </c>
      <c r="G10" s="43">
        <v>361</v>
      </c>
      <c r="H10" s="44">
        <v>357</v>
      </c>
      <c r="I10" s="41">
        <v>349</v>
      </c>
      <c r="J10" s="42">
        <v>342</v>
      </c>
      <c r="K10" s="43">
        <v>0</v>
      </c>
      <c r="L10" s="44">
        <v>0</v>
      </c>
      <c r="M10" s="41"/>
      <c r="N10" s="42"/>
      <c r="O10" s="43"/>
      <c r="P10" s="44"/>
      <c r="Q10" s="45">
        <f t="shared" si="0"/>
        <v>1063</v>
      </c>
      <c r="R10" s="40">
        <f t="shared" si="1"/>
        <v>0.77028985507246372</v>
      </c>
    </row>
    <row r="11" spans="1:20" ht="18.75" customHeight="1" x14ac:dyDescent="0.15">
      <c r="A11" s="34"/>
      <c r="B11" s="131" t="s">
        <v>156</v>
      </c>
      <c r="C11" s="132"/>
      <c r="D11" s="41">
        <v>880</v>
      </c>
      <c r="E11" s="41">
        <v>223</v>
      </c>
      <c r="F11" s="42">
        <v>213</v>
      </c>
      <c r="G11" s="43">
        <v>222</v>
      </c>
      <c r="H11" s="44">
        <v>210</v>
      </c>
      <c r="I11" s="41">
        <v>229</v>
      </c>
      <c r="J11" s="42">
        <v>218</v>
      </c>
      <c r="K11" s="43">
        <v>0</v>
      </c>
      <c r="L11" s="44">
        <v>0</v>
      </c>
      <c r="M11" s="41"/>
      <c r="N11" s="42"/>
      <c r="O11" s="43"/>
      <c r="P11" s="44"/>
      <c r="Q11" s="45">
        <f t="shared" si="0"/>
        <v>674</v>
      </c>
      <c r="R11" s="40">
        <f t="shared" si="1"/>
        <v>0.76590909090909087</v>
      </c>
    </row>
    <row r="12" spans="1:20" ht="18.75" customHeight="1" x14ac:dyDescent="0.15">
      <c r="A12" s="34"/>
      <c r="B12" s="131" t="s">
        <v>157</v>
      </c>
      <c r="C12" s="132"/>
      <c r="D12" s="41">
        <v>1172</v>
      </c>
      <c r="E12" s="41">
        <v>227</v>
      </c>
      <c r="F12" s="42">
        <v>225</v>
      </c>
      <c r="G12" s="43">
        <v>228</v>
      </c>
      <c r="H12" s="44">
        <v>224</v>
      </c>
      <c r="I12" s="41">
        <v>228</v>
      </c>
      <c r="J12" s="42">
        <v>222</v>
      </c>
      <c r="K12" s="43">
        <v>0</v>
      </c>
      <c r="L12" s="44">
        <v>0</v>
      </c>
      <c r="M12" s="41">
        <v>0</v>
      </c>
      <c r="N12" s="42">
        <v>0</v>
      </c>
      <c r="O12" s="43">
        <v>0</v>
      </c>
      <c r="P12" s="44">
        <v>0</v>
      </c>
      <c r="Q12" s="45">
        <f t="shared" si="0"/>
        <v>683</v>
      </c>
      <c r="R12" s="40">
        <f t="shared" si="1"/>
        <v>0.58276450511945388</v>
      </c>
    </row>
    <row r="13" spans="1:20" ht="18.75" customHeight="1" x14ac:dyDescent="0.15">
      <c r="A13" s="34"/>
      <c r="B13" s="131" t="s">
        <v>158</v>
      </c>
      <c r="C13" s="132"/>
      <c r="D13" s="41">
        <v>2160</v>
      </c>
      <c r="E13" s="41">
        <v>537</v>
      </c>
      <c r="F13" s="42">
        <v>506</v>
      </c>
      <c r="G13" s="43">
        <v>534</v>
      </c>
      <c r="H13" s="44">
        <v>520</v>
      </c>
      <c r="I13" s="41">
        <v>574</v>
      </c>
      <c r="J13" s="42">
        <v>552</v>
      </c>
      <c r="K13" s="43">
        <v>0</v>
      </c>
      <c r="L13" s="44">
        <v>0</v>
      </c>
      <c r="M13" s="41"/>
      <c r="N13" s="42"/>
      <c r="O13" s="43"/>
      <c r="P13" s="44"/>
      <c r="Q13" s="45">
        <f t="shared" si="0"/>
        <v>1645</v>
      </c>
      <c r="R13" s="40">
        <f t="shared" si="1"/>
        <v>0.76157407407407407</v>
      </c>
    </row>
    <row r="14" spans="1:20" ht="18.75" customHeight="1" x14ac:dyDescent="0.15">
      <c r="A14" s="34"/>
      <c r="B14" s="131" t="s">
        <v>159</v>
      </c>
      <c r="C14" s="132"/>
      <c r="D14" s="41">
        <v>400</v>
      </c>
      <c r="E14" s="41">
        <v>104</v>
      </c>
      <c r="F14" s="42">
        <v>104</v>
      </c>
      <c r="G14" s="43">
        <v>104</v>
      </c>
      <c r="H14" s="44">
        <v>102</v>
      </c>
      <c r="I14" s="41">
        <v>100</v>
      </c>
      <c r="J14" s="42">
        <v>94</v>
      </c>
      <c r="K14" s="43">
        <v>0</v>
      </c>
      <c r="L14" s="44">
        <v>0</v>
      </c>
      <c r="M14" s="41"/>
      <c r="N14" s="42"/>
      <c r="O14" s="43"/>
      <c r="P14" s="44"/>
      <c r="Q14" s="45">
        <f t="shared" si="0"/>
        <v>308</v>
      </c>
      <c r="R14" s="40">
        <f t="shared" si="1"/>
        <v>0.77</v>
      </c>
    </row>
    <row r="15" spans="1:20" ht="18.75" customHeight="1" x14ac:dyDescent="0.15">
      <c r="A15" s="34"/>
      <c r="B15" s="131" t="s">
        <v>194</v>
      </c>
      <c r="C15" s="132"/>
      <c r="D15" s="41">
        <v>180</v>
      </c>
      <c r="E15" s="41">
        <v>32</v>
      </c>
      <c r="F15" s="42">
        <v>32</v>
      </c>
      <c r="G15" s="43">
        <v>32</v>
      </c>
      <c r="H15" s="44">
        <v>30</v>
      </c>
      <c r="I15" s="41">
        <v>33</v>
      </c>
      <c r="J15" s="42">
        <v>32</v>
      </c>
      <c r="K15" s="43">
        <v>0</v>
      </c>
      <c r="L15" s="44">
        <v>0</v>
      </c>
      <c r="M15" s="41">
        <v>0</v>
      </c>
      <c r="N15" s="42">
        <v>0</v>
      </c>
      <c r="O15" s="43">
        <v>0</v>
      </c>
      <c r="P15" s="44">
        <v>0</v>
      </c>
      <c r="Q15" s="45">
        <f t="shared" si="0"/>
        <v>97</v>
      </c>
      <c r="R15" s="40">
        <f t="shared" si="1"/>
        <v>0.53888888888888886</v>
      </c>
    </row>
    <row r="16" spans="1:20" ht="18.75" customHeight="1" thickBot="1" x14ac:dyDescent="0.2">
      <c r="A16" s="34"/>
      <c r="B16" s="131" t="s">
        <v>193</v>
      </c>
      <c r="C16" s="132"/>
      <c r="D16" s="41">
        <v>400</v>
      </c>
      <c r="E16" s="41">
        <v>102</v>
      </c>
      <c r="F16" s="42">
        <v>98</v>
      </c>
      <c r="G16" s="43">
        <v>103</v>
      </c>
      <c r="H16" s="44">
        <v>100</v>
      </c>
      <c r="I16" s="41">
        <v>105</v>
      </c>
      <c r="J16" s="42">
        <v>99</v>
      </c>
      <c r="K16" s="43">
        <v>0</v>
      </c>
      <c r="L16" s="44">
        <v>0</v>
      </c>
      <c r="M16" s="41"/>
      <c r="N16" s="42"/>
      <c r="O16" s="43"/>
      <c r="P16" s="44"/>
      <c r="Q16" s="45">
        <f>E16+G16+I16+K16+M16+O16</f>
        <v>310</v>
      </c>
      <c r="R16" s="40">
        <f t="shared" si="1"/>
        <v>0.77500000000000002</v>
      </c>
    </row>
    <row r="17" spans="1:18" ht="18.75" customHeight="1" thickTop="1" x14ac:dyDescent="0.15">
      <c r="A17" s="34"/>
      <c r="B17" s="125" t="s">
        <v>67</v>
      </c>
      <c r="C17" s="126"/>
      <c r="D17" s="46">
        <f t="shared" ref="D17:Q17" si="2">SUM(D8:D16)</f>
        <v>8032</v>
      </c>
      <c r="E17" s="46">
        <f t="shared" si="2"/>
        <v>1959</v>
      </c>
      <c r="F17" s="47">
        <f t="shared" si="2"/>
        <v>1901</v>
      </c>
      <c r="G17" s="48">
        <f t="shared" si="2"/>
        <v>1969</v>
      </c>
      <c r="H17" s="49">
        <f t="shared" si="2"/>
        <v>1924</v>
      </c>
      <c r="I17" s="46">
        <f t="shared" si="2"/>
        <v>2018</v>
      </c>
      <c r="J17" s="47">
        <f t="shared" si="2"/>
        <v>1957</v>
      </c>
      <c r="K17" s="48">
        <f t="shared" si="2"/>
        <v>0</v>
      </c>
      <c r="L17" s="49">
        <f t="shared" si="2"/>
        <v>0</v>
      </c>
      <c r="M17" s="46">
        <f t="shared" si="2"/>
        <v>0</v>
      </c>
      <c r="N17" s="47">
        <f t="shared" si="2"/>
        <v>0</v>
      </c>
      <c r="O17" s="48">
        <f t="shared" si="2"/>
        <v>0</v>
      </c>
      <c r="P17" s="49">
        <f t="shared" si="2"/>
        <v>0</v>
      </c>
      <c r="Q17" s="50">
        <f t="shared" si="2"/>
        <v>5946</v>
      </c>
      <c r="R17" s="51">
        <f>Q17/D17</f>
        <v>0.7402888446215139</v>
      </c>
    </row>
    <row r="18" spans="1:18" ht="6.75" customHeight="1" x14ac:dyDescent="0.15">
      <c r="A18" s="34"/>
      <c r="B18" s="34"/>
      <c r="C18" s="34"/>
      <c r="D18" s="52"/>
      <c r="E18" s="52"/>
      <c r="F18" s="52"/>
      <c r="G18" s="52"/>
      <c r="H18" s="52"/>
      <c r="I18" s="52"/>
      <c r="J18" s="52"/>
      <c r="K18" s="52"/>
      <c r="L18" s="52"/>
      <c r="M18" s="52"/>
      <c r="N18" s="52"/>
      <c r="O18" s="52"/>
      <c r="P18" s="52"/>
      <c r="Q18" s="52"/>
      <c r="R18" s="52"/>
    </row>
  </sheetData>
  <mergeCells count="24">
    <mergeCell ref="F1:R1"/>
    <mergeCell ref="K2:L2"/>
    <mergeCell ref="D6:D7"/>
    <mergeCell ref="E6:F6"/>
    <mergeCell ref="G6:H6"/>
    <mergeCell ref="I6:J6"/>
    <mergeCell ref="K6:L6"/>
    <mergeCell ref="M6:N6"/>
    <mergeCell ref="O6:P6"/>
    <mergeCell ref="Q6:Q7"/>
    <mergeCell ref="R6:R7"/>
    <mergeCell ref="A4:R4"/>
    <mergeCell ref="M2:N2"/>
    <mergeCell ref="B17:C17"/>
    <mergeCell ref="B6:C7"/>
    <mergeCell ref="B16:C16"/>
    <mergeCell ref="B13:C13"/>
    <mergeCell ref="B14:C14"/>
    <mergeCell ref="B15:C15"/>
    <mergeCell ref="B8:C8"/>
    <mergeCell ref="B9:C9"/>
    <mergeCell ref="B10:C10"/>
    <mergeCell ref="B11:C11"/>
    <mergeCell ref="B12:C12"/>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6"/>
  <sheetViews>
    <sheetView topLeftCell="A19" zoomScaleNormal="100" zoomScaleSheetLayoutView="75" zoomScalePageLayoutView="97" workbookViewId="0">
      <selection activeCell="F73" sqref="F73"/>
    </sheetView>
  </sheetViews>
  <sheetFormatPr defaultColWidth="9" defaultRowHeight="14.25" x14ac:dyDescent="0.15"/>
  <cols>
    <col min="1" max="1" width="2.5" style="9" customWidth="1"/>
    <col min="2" max="2" width="19" style="9" customWidth="1"/>
    <col min="3" max="3" width="25" style="9" customWidth="1"/>
    <col min="4" max="4" width="10" style="9" customWidth="1"/>
    <col min="5" max="7" width="25" style="9" customWidth="1"/>
    <col min="8" max="16384" width="9" style="9"/>
  </cols>
  <sheetData>
    <row r="1" spans="1:7" ht="18.75" customHeight="1" x14ac:dyDescent="0.15">
      <c r="G1" s="20" t="s">
        <v>198</v>
      </c>
    </row>
    <row r="2" spans="1:7" ht="18.75" customHeight="1" x14ac:dyDescent="0.15">
      <c r="F2" s="20" t="s">
        <v>75</v>
      </c>
      <c r="G2" s="9" t="s">
        <v>136</v>
      </c>
    </row>
    <row r="3" spans="1:7" ht="18.75" customHeight="1" x14ac:dyDescent="0.15">
      <c r="A3" s="103" t="s">
        <v>96</v>
      </c>
      <c r="B3" s="103"/>
      <c r="C3" s="103"/>
      <c r="D3" s="103"/>
      <c r="E3" s="103"/>
      <c r="F3" s="103"/>
      <c r="G3" s="103"/>
    </row>
    <row r="4" spans="1:7" ht="18.75" customHeight="1" x14ac:dyDescent="0.15">
      <c r="A4" s="9" t="s">
        <v>7</v>
      </c>
      <c r="B4" s="9" t="s">
        <v>95</v>
      </c>
    </row>
    <row r="5" spans="1:7" s="55" customFormat="1" ht="18.75" customHeight="1" x14ac:dyDescent="0.15">
      <c r="B5" s="57" t="s">
        <v>74</v>
      </c>
      <c r="C5" s="97" t="s">
        <v>108</v>
      </c>
      <c r="D5" s="92"/>
      <c r="E5" s="92"/>
      <c r="F5" s="92"/>
      <c r="G5" s="93"/>
    </row>
    <row r="6" spans="1:7" s="55" customFormat="1" ht="45" customHeight="1" x14ac:dyDescent="0.15">
      <c r="B6" s="157" t="s">
        <v>111</v>
      </c>
      <c r="C6" s="148" t="s">
        <v>160</v>
      </c>
      <c r="D6" s="149"/>
      <c r="E6" s="149"/>
      <c r="F6" s="149"/>
      <c r="G6" s="150"/>
    </row>
    <row r="7" spans="1:7" s="55" customFormat="1" ht="45" customHeight="1" x14ac:dyDescent="0.15">
      <c r="B7" s="158"/>
      <c r="C7" s="151"/>
      <c r="D7" s="152"/>
      <c r="E7" s="152"/>
      <c r="F7" s="152"/>
      <c r="G7" s="153"/>
    </row>
    <row r="8" spans="1:7" s="55" customFormat="1" ht="45" customHeight="1" x14ac:dyDescent="0.15">
      <c r="B8" s="158"/>
      <c r="C8" s="151"/>
      <c r="D8" s="152"/>
      <c r="E8" s="152"/>
      <c r="F8" s="152"/>
      <c r="G8" s="153"/>
    </row>
    <row r="9" spans="1:7" s="55" customFormat="1" ht="18.75" customHeight="1" x14ac:dyDescent="0.15">
      <c r="B9" s="158"/>
      <c r="C9" s="154"/>
      <c r="D9" s="155"/>
      <c r="E9" s="155"/>
      <c r="F9" s="155"/>
      <c r="G9" s="156"/>
    </row>
    <row r="10" spans="1:7" s="55" customFormat="1" ht="18.75" customHeight="1" x14ac:dyDescent="0.15">
      <c r="B10" s="158"/>
      <c r="C10" s="62" t="s">
        <v>161</v>
      </c>
      <c r="D10" s="87" t="s">
        <v>163</v>
      </c>
      <c r="E10" s="88"/>
      <c r="F10" s="88"/>
      <c r="G10" s="89"/>
    </row>
    <row r="11" spans="1:7" s="55" customFormat="1" ht="18.75" customHeight="1" x14ac:dyDescent="0.15">
      <c r="B11" s="158"/>
      <c r="C11" s="62" t="s">
        <v>162</v>
      </c>
      <c r="D11" s="87" t="s">
        <v>164</v>
      </c>
      <c r="E11" s="88"/>
      <c r="F11" s="88"/>
      <c r="G11" s="89"/>
    </row>
    <row r="12" spans="1:7" s="55" customFormat="1" ht="18.75" customHeight="1" x14ac:dyDescent="0.15">
      <c r="B12" s="158"/>
      <c r="C12" s="57"/>
      <c r="D12" s="97"/>
      <c r="E12" s="92"/>
      <c r="F12" s="92"/>
      <c r="G12" s="93"/>
    </row>
    <row r="13" spans="1:7" ht="18.75" customHeight="1" x14ac:dyDescent="0.15">
      <c r="B13" s="157" t="s">
        <v>112</v>
      </c>
      <c r="C13" s="97" t="s">
        <v>108</v>
      </c>
      <c r="D13" s="92"/>
      <c r="E13" s="92"/>
      <c r="F13" s="92"/>
      <c r="G13" s="93"/>
    </row>
    <row r="14" spans="1:7" ht="37.5" customHeight="1" x14ac:dyDescent="0.15">
      <c r="B14" s="158"/>
      <c r="C14" s="160" t="s">
        <v>200</v>
      </c>
      <c r="D14" s="149"/>
      <c r="E14" s="149"/>
      <c r="F14" s="149"/>
      <c r="G14" s="150"/>
    </row>
    <row r="15" spans="1:7" ht="37.5" customHeight="1" x14ac:dyDescent="0.15">
      <c r="B15" s="158"/>
      <c r="C15" s="151"/>
      <c r="D15" s="147"/>
      <c r="E15" s="147"/>
      <c r="F15" s="147"/>
      <c r="G15" s="153"/>
    </row>
    <row r="16" spans="1:7" ht="37.5" customHeight="1" x14ac:dyDescent="0.15">
      <c r="B16" s="158"/>
      <c r="C16" s="151"/>
      <c r="D16" s="147"/>
      <c r="E16" s="147"/>
      <c r="F16" s="147"/>
      <c r="G16" s="153"/>
    </row>
    <row r="17" spans="2:7" ht="48.75" customHeight="1" x14ac:dyDescent="0.15">
      <c r="B17" s="158"/>
      <c r="C17" s="151"/>
      <c r="D17" s="147"/>
      <c r="E17" s="147"/>
      <c r="F17" s="147"/>
      <c r="G17" s="153"/>
    </row>
    <row r="18" spans="2:7" ht="18.75" customHeight="1" x14ac:dyDescent="0.15">
      <c r="B18" s="158"/>
      <c r="C18" s="58" t="s">
        <v>109</v>
      </c>
      <c r="D18" s="97" t="s">
        <v>110</v>
      </c>
      <c r="E18" s="92"/>
      <c r="F18" s="92"/>
      <c r="G18" s="93"/>
    </row>
    <row r="19" spans="2:7" ht="18.75" customHeight="1" x14ac:dyDescent="0.15">
      <c r="B19" s="158"/>
      <c r="C19" s="57" t="s">
        <v>161</v>
      </c>
      <c r="D19" s="87" t="s">
        <v>165</v>
      </c>
      <c r="E19" s="88"/>
      <c r="F19" s="88"/>
      <c r="G19" s="89"/>
    </row>
    <row r="20" spans="2:7" ht="18.75" customHeight="1" x14ac:dyDescent="0.15">
      <c r="B20" s="158"/>
      <c r="C20" s="57" t="s">
        <v>162</v>
      </c>
      <c r="D20" s="87" t="s">
        <v>166</v>
      </c>
      <c r="E20" s="88"/>
      <c r="F20" s="88"/>
      <c r="G20" s="89"/>
    </row>
    <row r="21" spans="2:7" ht="18.75" customHeight="1" x14ac:dyDescent="0.15">
      <c r="B21" s="158"/>
      <c r="C21" s="57"/>
      <c r="D21" s="87"/>
      <c r="E21" s="88"/>
      <c r="F21" s="88"/>
      <c r="G21" s="89"/>
    </row>
    <row r="22" spans="2:7" ht="18.75" customHeight="1" x14ac:dyDescent="0.15">
      <c r="B22" s="157" t="s">
        <v>114</v>
      </c>
      <c r="C22" s="97" t="s">
        <v>108</v>
      </c>
      <c r="D22" s="92"/>
      <c r="E22" s="92"/>
      <c r="F22" s="92"/>
      <c r="G22" s="93"/>
    </row>
    <row r="23" spans="2:7" ht="37.5" customHeight="1" x14ac:dyDescent="0.15">
      <c r="B23" s="158"/>
      <c r="C23" s="160" t="s">
        <v>208</v>
      </c>
      <c r="D23" s="149"/>
      <c r="E23" s="149"/>
      <c r="F23" s="149"/>
      <c r="G23" s="150"/>
    </row>
    <row r="24" spans="2:7" ht="37.5" customHeight="1" x14ac:dyDescent="0.15">
      <c r="B24" s="158"/>
      <c r="C24" s="151"/>
      <c r="D24" s="147"/>
      <c r="E24" s="147"/>
      <c r="F24" s="147"/>
      <c r="G24" s="153"/>
    </row>
    <row r="25" spans="2:7" ht="37.5" customHeight="1" x14ac:dyDescent="0.15">
      <c r="B25" s="158"/>
      <c r="C25" s="151"/>
      <c r="D25" s="147"/>
      <c r="E25" s="147"/>
      <c r="F25" s="147"/>
      <c r="G25" s="153"/>
    </row>
    <row r="26" spans="2:7" ht="37.5" customHeight="1" x14ac:dyDescent="0.15">
      <c r="B26" s="158"/>
      <c r="C26" s="151"/>
      <c r="D26" s="147"/>
      <c r="E26" s="147"/>
      <c r="F26" s="147"/>
      <c r="G26" s="153"/>
    </row>
    <row r="27" spans="2:7" ht="18.75" customHeight="1" x14ac:dyDescent="0.15">
      <c r="B27" s="158"/>
      <c r="C27" s="58" t="s">
        <v>109</v>
      </c>
      <c r="D27" s="97" t="s">
        <v>110</v>
      </c>
      <c r="E27" s="92"/>
      <c r="F27" s="92"/>
      <c r="G27" s="93"/>
    </row>
    <row r="28" spans="2:7" ht="18.75" customHeight="1" x14ac:dyDescent="0.15">
      <c r="B28" s="158"/>
      <c r="C28" s="57" t="s">
        <v>161</v>
      </c>
      <c r="D28" s="87" t="s">
        <v>167</v>
      </c>
      <c r="E28" s="88"/>
      <c r="F28" s="88"/>
      <c r="G28" s="89"/>
    </row>
    <row r="29" spans="2:7" ht="18.75" customHeight="1" x14ac:dyDescent="0.15">
      <c r="B29" s="158"/>
      <c r="C29" s="57" t="s">
        <v>162</v>
      </c>
      <c r="D29" s="87" t="s">
        <v>168</v>
      </c>
      <c r="E29" s="88"/>
      <c r="F29" s="88"/>
      <c r="G29" s="89"/>
    </row>
    <row r="30" spans="2:7" ht="18.75" customHeight="1" x14ac:dyDescent="0.15">
      <c r="B30" s="158"/>
      <c r="C30" s="57" t="s">
        <v>162</v>
      </c>
      <c r="D30" s="87" t="s">
        <v>169</v>
      </c>
      <c r="E30" s="88"/>
      <c r="F30" s="88"/>
      <c r="G30" s="89"/>
    </row>
    <row r="31" spans="2:7" ht="18.75" customHeight="1" x14ac:dyDescent="0.15">
      <c r="B31" s="158"/>
      <c r="C31" s="57" t="s">
        <v>162</v>
      </c>
      <c r="D31" s="87" t="s">
        <v>170</v>
      </c>
      <c r="E31" s="88"/>
      <c r="F31" s="88"/>
      <c r="G31" s="89"/>
    </row>
    <row r="32" spans="2:7" ht="18.75" customHeight="1" x14ac:dyDescent="0.15">
      <c r="B32" s="158"/>
      <c r="C32" s="57"/>
      <c r="D32" s="87"/>
      <c r="E32" s="88"/>
      <c r="F32" s="88"/>
      <c r="G32" s="89"/>
    </row>
    <row r="33" spans="2:7" ht="18.75" customHeight="1" x14ac:dyDescent="0.15">
      <c r="B33" s="157" t="s">
        <v>113</v>
      </c>
      <c r="C33" s="97" t="s">
        <v>108</v>
      </c>
      <c r="D33" s="92"/>
      <c r="E33" s="92"/>
      <c r="F33" s="92"/>
      <c r="G33" s="93"/>
    </row>
    <row r="34" spans="2:7" ht="37.5" customHeight="1" x14ac:dyDescent="0.15">
      <c r="B34" s="158"/>
      <c r="C34" s="172" t="s">
        <v>171</v>
      </c>
      <c r="D34" s="149"/>
      <c r="E34" s="149"/>
      <c r="F34" s="149"/>
      <c r="G34" s="150"/>
    </row>
    <row r="35" spans="2:7" ht="37.5" customHeight="1" x14ac:dyDescent="0.15">
      <c r="B35" s="158"/>
      <c r="C35" s="151"/>
      <c r="D35" s="147"/>
      <c r="E35" s="147"/>
      <c r="F35" s="147"/>
      <c r="G35" s="153"/>
    </row>
    <row r="36" spans="2:7" ht="37.5" customHeight="1" x14ac:dyDescent="0.15">
      <c r="B36" s="158"/>
      <c r="C36" s="151"/>
      <c r="D36" s="147"/>
      <c r="E36" s="147"/>
      <c r="F36" s="147"/>
      <c r="G36" s="153"/>
    </row>
    <row r="37" spans="2:7" ht="79.5" customHeight="1" x14ac:dyDescent="0.15">
      <c r="B37" s="158"/>
      <c r="C37" s="151"/>
      <c r="D37" s="147"/>
      <c r="E37" s="147"/>
      <c r="F37" s="147"/>
      <c r="G37" s="153"/>
    </row>
    <row r="38" spans="2:7" ht="18.75" customHeight="1" x14ac:dyDescent="0.15">
      <c r="B38" s="158"/>
      <c r="C38" s="58" t="s">
        <v>109</v>
      </c>
      <c r="D38" s="97" t="s">
        <v>110</v>
      </c>
      <c r="E38" s="92"/>
      <c r="F38" s="92"/>
      <c r="G38" s="93"/>
    </row>
    <row r="39" spans="2:7" ht="18.75" customHeight="1" x14ac:dyDescent="0.15">
      <c r="B39" s="158"/>
      <c r="C39" s="57" t="s">
        <v>162</v>
      </c>
      <c r="D39" s="87" t="s">
        <v>172</v>
      </c>
      <c r="E39" s="88"/>
      <c r="F39" s="88"/>
      <c r="G39" s="89"/>
    </row>
    <row r="40" spans="2:7" ht="18.75" customHeight="1" x14ac:dyDescent="0.15">
      <c r="B40" s="158"/>
      <c r="C40" s="57" t="s">
        <v>162</v>
      </c>
      <c r="D40" s="87" t="s">
        <v>173</v>
      </c>
      <c r="E40" s="88"/>
      <c r="F40" s="88"/>
      <c r="G40" s="89"/>
    </row>
    <row r="41" spans="2:7" ht="18.75" customHeight="1" x14ac:dyDescent="0.15">
      <c r="B41" s="158"/>
      <c r="C41" s="57" t="s">
        <v>162</v>
      </c>
      <c r="D41" s="87" t="s">
        <v>174</v>
      </c>
      <c r="E41" s="88"/>
      <c r="F41" s="88"/>
      <c r="G41" s="89"/>
    </row>
    <row r="42" spans="2:7" ht="18.75" customHeight="1" x14ac:dyDescent="0.15">
      <c r="B42" s="158"/>
      <c r="C42" s="57"/>
      <c r="D42" s="87"/>
      <c r="E42" s="88"/>
      <c r="F42" s="88"/>
      <c r="G42" s="89"/>
    </row>
    <row r="43" spans="2:7" ht="18.75" customHeight="1" x14ac:dyDescent="0.15">
      <c r="B43" s="157" t="s">
        <v>115</v>
      </c>
      <c r="C43" s="97" t="s">
        <v>108</v>
      </c>
      <c r="D43" s="92"/>
      <c r="E43" s="92"/>
      <c r="F43" s="92"/>
      <c r="G43" s="93"/>
    </row>
    <row r="44" spans="2:7" ht="37.5" customHeight="1" x14ac:dyDescent="0.15">
      <c r="B44" s="158"/>
      <c r="C44" s="160" t="s">
        <v>201</v>
      </c>
      <c r="D44" s="149"/>
      <c r="E44" s="149"/>
      <c r="F44" s="149"/>
      <c r="G44" s="150"/>
    </row>
    <row r="45" spans="2:7" ht="37.5" customHeight="1" x14ac:dyDescent="0.15">
      <c r="B45" s="158"/>
      <c r="C45" s="151"/>
      <c r="D45" s="147"/>
      <c r="E45" s="147"/>
      <c r="F45" s="147"/>
      <c r="G45" s="153"/>
    </row>
    <row r="46" spans="2:7" ht="37.5" customHeight="1" x14ac:dyDescent="0.15">
      <c r="B46" s="158"/>
      <c r="C46" s="151"/>
      <c r="D46" s="147"/>
      <c r="E46" s="147"/>
      <c r="F46" s="147"/>
      <c r="G46" s="153"/>
    </row>
    <row r="47" spans="2:7" ht="37.5" customHeight="1" x14ac:dyDescent="0.15">
      <c r="B47" s="158"/>
      <c r="C47" s="154"/>
      <c r="D47" s="155"/>
      <c r="E47" s="155"/>
      <c r="F47" s="155"/>
      <c r="G47" s="156"/>
    </row>
    <row r="48" spans="2:7" ht="18.75" customHeight="1" x14ac:dyDescent="0.15">
      <c r="B48" s="158"/>
      <c r="C48" s="61" t="s">
        <v>109</v>
      </c>
      <c r="D48" s="97" t="s">
        <v>110</v>
      </c>
      <c r="E48" s="92"/>
      <c r="F48" s="92"/>
      <c r="G48" s="93"/>
    </row>
    <row r="49" spans="1:7" ht="18.75" customHeight="1" x14ac:dyDescent="0.15">
      <c r="B49" s="158"/>
      <c r="C49" s="57" t="s">
        <v>161</v>
      </c>
      <c r="D49" s="87" t="s">
        <v>175</v>
      </c>
      <c r="E49" s="88"/>
      <c r="F49" s="88"/>
      <c r="G49" s="89"/>
    </row>
    <row r="50" spans="1:7" ht="18.75" customHeight="1" x14ac:dyDescent="0.15">
      <c r="B50" s="158"/>
      <c r="C50" s="57" t="s">
        <v>161</v>
      </c>
      <c r="D50" s="87" t="s">
        <v>176</v>
      </c>
      <c r="E50" s="88"/>
      <c r="F50" s="88"/>
      <c r="G50" s="89"/>
    </row>
    <row r="51" spans="1:7" ht="18.75" customHeight="1" x14ac:dyDescent="0.15">
      <c r="B51" s="158"/>
      <c r="C51" s="57" t="s">
        <v>161</v>
      </c>
      <c r="D51" s="87" t="s">
        <v>177</v>
      </c>
      <c r="E51" s="88"/>
      <c r="F51" s="88"/>
      <c r="G51" s="89"/>
    </row>
    <row r="52" spans="1:7" ht="18.75" customHeight="1" x14ac:dyDescent="0.15">
      <c r="B52" s="159"/>
      <c r="C52" s="57"/>
      <c r="D52" s="87"/>
      <c r="E52" s="88"/>
      <c r="F52" s="88"/>
      <c r="G52" s="89"/>
    </row>
    <row r="53" spans="1:7" ht="18.75" customHeight="1" x14ac:dyDescent="0.15">
      <c r="A53" s="9" t="s">
        <v>12</v>
      </c>
      <c r="B53" s="9" t="s">
        <v>106</v>
      </c>
    </row>
    <row r="54" spans="1:7" ht="22.5" customHeight="1" x14ac:dyDescent="0.15">
      <c r="B54" s="57" t="s">
        <v>74</v>
      </c>
      <c r="C54" s="97" t="s">
        <v>105</v>
      </c>
      <c r="D54" s="92"/>
      <c r="E54" s="92"/>
      <c r="F54" s="92"/>
      <c r="G54" s="93"/>
    </row>
    <row r="55" spans="1:7" ht="45" customHeight="1" x14ac:dyDescent="0.15">
      <c r="B55" s="63" t="s">
        <v>76</v>
      </c>
      <c r="C55" s="104"/>
      <c r="D55" s="105"/>
      <c r="E55" s="105"/>
      <c r="F55" s="105"/>
      <c r="G55" s="106"/>
    </row>
    <row r="56" spans="1:7" ht="45" customHeight="1" x14ac:dyDescent="0.15">
      <c r="B56" s="63" t="s">
        <v>77</v>
      </c>
      <c r="C56" s="104"/>
      <c r="D56" s="105"/>
      <c r="E56" s="105"/>
      <c r="F56" s="105"/>
      <c r="G56" s="106"/>
    </row>
    <row r="57" spans="1:7" ht="45" customHeight="1" x14ac:dyDescent="0.15">
      <c r="B57" s="63" t="s">
        <v>78</v>
      </c>
      <c r="C57" s="104"/>
      <c r="D57" s="105"/>
      <c r="E57" s="105"/>
      <c r="F57" s="105"/>
      <c r="G57" s="106"/>
    </row>
    <row r="58" spans="1:7" ht="45" customHeight="1" x14ac:dyDescent="0.15">
      <c r="B58" s="63" t="s">
        <v>79</v>
      </c>
      <c r="C58" s="104"/>
      <c r="D58" s="105"/>
      <c r="E58" s="105"/>
      <c r="F58" s="105"/>
      <c r="G58" s="106"/>
    </row>
    <row r="59" spans="1:7" ht="45" customHeight="1" x14ac:dyDescent="0.15">
      <c r="B59" s="63" t="s">
        <v>80</v>
      </c>
      <c r="C59" s="104"/>
      <c r="D59" s="105"/>
      <c r="E59" s="105"/>
      <c r="F59" s="105"/>
      <c r="G59" s="106"/>
    </row>
    <row r="60" spans="1:7" ht="45" customHeight="1" x14ac:dyDescent="0.15">
      <c r="B60" s="63" t="s">
        <v>81</v>
      </c>
      <c r="C60" s="104"/>
      <c r="D60" s="105"/>
      <c r="E60" s="105"/>
      <c r="F60" s="105"/>
      <c r="G60" s="106"/>
    </row>
    <row r="61" spans="1:7" ht="45" customHeight="1" x14ac:dyDescent="0.15">
      <c r="B61" s="63" t="s">
        <v>82</v>
      </c>
      <c r="C61" s="104"/>
      <c r="D61" s="105"/>
      <c r="E61" s="105"/>
      <c r="F61" s="105"/>
      <c r="G61" s="106"/>
    </row>
    <row r="62" spans="1:7" ht="45" customHeight="1" x14ac:dyDescent="0.15">
      <c r="B62" s="63" t="s">
        <v>83</v>
      </c>
      <c r="C62" s="104"/>
      <c r="D62" s="105"/>
      <c r="E62" s="105"/>
      <c r="F62" s="105"/>
      <c r="G62" s="106"/>
    </row>
    <row r="63" spans="1:7" ht="45" customHeight="1" x14ac:dyDescent="0.15">
      <c r="B63" s="63" t="s">
        <v>84</v>
      </c>
      <c r="C63" s="104"/>
      <c r="D63" s="105"/>
      <c r="E63" s="105"/>
      <c r="F63" s="105"/>
      <c r="G63" s="106"/>
    </row>
    <row r="64" spans="1:7" ht="7.5" customHeight="1" x14ac:dyDescent="0.15"/>
    <row r="65" spans="1:7" ht="18.75" customHeight="1" x14ac:dyDescent="0.15">
      <c r="A65" s="9" t="s">
        <v>99</v>
      </c>
      <c r="B65" s="9" t="s">
        <v>100</v>
      </c>
      <c r="E65" s="169" t="s">
        <v>211</v>
      </c>
      <c r="F65" s="170"/>
      <c r="G65" s="171"/>
    </row>
    <row r="66" spans="1:7" ht="7.5" customHeight="1" x14ac:dyDescent="0.15"/>
    <row r="67" spans="1:7" ht="18.75" customHeight="1" x14ac:dyDescent="0.15">
      <c r="A67" s="9" t="s">
        <v>101</v>
      </c>
      <c r="B67" s="9" t="s">
        <v>102</v>
      </c>
    </row>
    <row r="68" spans="1:7" ht="31.5" customHeight="1" x14ac:dyDescent="0.15">
      <c r="B68" s="113" t="s">
        <v>192</v>
      </c>
      <c r="C68" s="161"/>
      <c r="D68" s="161"/>
      <c r="E68" s="161"/>
      <c r="F68" s="161"/>
      <c r="G68" s="162"/>
    </row>
    <row r="69" spans="1:7" ht="31.5" customHeight="1" x14ac:dyDescent="0.15">
      <c r="B69" s="163"/>
      <c r="C69" s="164"/>
      <c r="D69" s="164"/>
      <c r="E69" s="164"/>
      <c r="F69" s="164"/>
      <c r="G69" s="165"/>
    </row>
    <row r="70" spans="1:7" ht="31.5" customHeight="1" x14ac:dyDescent="0.15">
      <c r="B70" s="166"/>
      <c r="C70" s="167"/>
      <c r="D70" s="167"/>
      <c r="E70" s="167"/>
      <c r="F70" s="167"/>
      <c r="G70" s="168"/>
    </row>
    <row r="71" spans="1:7" ht="18.75" customHeight="1" x14ac:dyDescent="0.15"/>
    <row r="72" spans="1:7" ht="18.75" customHeight="1" x14ac:dyDescent="0.15"/>
    <row r="73" spans="1:7" ht="18.75" customHeight="1" x14ac:dyDescent="0.15"/>
    <row r="74" spans="1:7" ht="18.75" customHeight="1" x14ac:dyDescent="0.15"/>
    <row r="75" spans="1:7" ht="18.75" customHeight="1" x14ac:dyDescent="0.15"/>
    <row r="76" spans="1:7" ht="18.75" customHeight="1" x14ac:dyDescent="0.15"/>
  </sheetData>
  <mergeCells count="51">
    <mergeCell ref="D49:G49"/>
    <mergeCell ref="D50:G50"/>
    <mergeCell ref="D51:G51"/>
    <mergeCell ref="D52:G52"/>
    <mergeCell ref="D30:G30"/>
    <mergeCell ref="D31:G31"/>
    <mergeCell ref="D32:G32"/>
    <mergeCell ref="D39:G39"/>
    <mergeCell ref="D40:G40"/>
    <mergeCell ref="D41:G41"/>
    <mergeCell ref="D42:G42"/>
    <mergeCell ref="C34:G37"/>
    <mergeCell ref="D38:G38"/>
    <mergeCell ref="A3:G3"/>
    <mergeCell ref="C5:G5"/>
    <mergeCell ref="B68:G70"/>
    <mergeCell ref="E65:G65"/>
    <mergeCell ref="C54:G54"/>
    <mergeCell ref="C60:G60"/>
    <mergeCell ref="C61:G61"/>
    <mergeCell ref="C62:G62"/>
    <mergeCell ref="C63:G63"/>
    <mergeCell ref="C55:G55"/>
    <mergeCell ref="B6:B12"/>
    <mergeCell ref="C56:G56"/>
    <mergeCell ref="C57:G57"/>
    <mergeCell ref="C58:G58"/>
    <mergeCell ref="C59:G59"/>
    <mergeCell ref="D20:G20"/>
    <mergeCell ref="D21:G21"/>
    <mergeCell ref="B13:B21"/>
    <mergeCell ref="C13:G13"/>
    <mergeCell ref="C14:G17"/>
    <mergeCell ref="D18:G18"/>
    <mergeCell ref="D19:G19"/>
    <mergeCell ref="D10:G10"/>
    <mergeCell ref="D11:G11"/>
    <mergeCell ref="D12:G12"/>
    <mergeCell ref="C6:G9"/>
    <mergeCell ref="B43:B52"/>
    <mergeCell ref="C43:G43"/>
    <mergeCell ref="C44:G47"/>
    <mergeCell ref="D48:G48"/>
    <mergeCell ref="D27:G27"/>
    <mergeCell ref="D28:G28"/>
    <mergeCell ref="D29:G29"/>
    <mergeCell ref="B22:B32"/>
    <mergeCell ref="C22:G22"/>
    <mergeCell ref="C23:G26"/>
    <mergeCell ref="B33:B42"/>
    <mergeCell ref="C33:G33"/>
  </mergeCells>
  <phoneticPr fontId="1"/>
  <hyperlinks>
    <hyperlink ref="E65" r:id="rId1" xr:uid="{00000000-0004-0000-0300-000000000000}"/>
  </hyperlinks>
  <printOptions horizontalCentered="1"/>
  <pageMargins left="0.78740157480314965" right="0.78740157480314965" top="0.59055118110236227" bottom="0.39370078740157483" header="0.31496062992125984" footer="0.31496062992125984"/>
  <pageSetup paperSize="9" scale="66" orientation="portrait" r:id="rId2"/>
  <rowBreaks count="1" manualBreakCount="1">
    <brk id="42"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2"/>
  <sheetViews>
    <sheetView showZeros="0" view="pageBreakPreview" topLeftCell="A35" zoomScaleNormal="100" zoomScaleSheetLayoutView="100" workbookViewId="0">
      <selection activeCell="B26" sqref="B26:E28"/>
    </sheetView>
  </sheetViews>
  <sheetFormatPr defaultColWidth="11.375" defaultRowHeight="18.75" customHeight="1" x14ac:dyDescent="0.15"/>
  <cols>
    <col min="1" max="1" width="2.75" style="64" customWidth="1"/>
    <col min="2" max="2" width="54.25" style="9" customWidth="1"/>
    <col min="3" max="3" width="1.25" style="9" customWidth="1"/>
    <col min="4" max="4" width="22.5" style="9" customWidth="1"/>
    <col min="5" max="5" width="6.25" style="9" customWidth="1"/>
    <col min="6" max="16384" width="11.375" style="9"/>
  </cols>
  <sheetData>
    <row r="1" spans="1:5" ht="18.75" customHeight="1" x14ac:dyDescent="0.15">
      <c r="E1" s="20" t="s">
        <v>107</v>
      </c>
    </row>
    <row r="2" spans="1:5" ht="18.75" customHeight="1" x14ac:dyDescent="0.15">
      <c r="B2" s="20" t="s">
        <v>88</v>
      </c>
      <c r="C2" s="20" t="s">
        <v>8</v>
      </c>
      <c r="D2" s="122" t="s">
        <v>136</v>
      </c>
      <c r="E2" s="122"/>
    </row>
    <row r="3" spans="1:5" ht="7.5" customHeight="1" x14ac:dyDescent="0.15">
      <c r="B3" s="20"/>
      <c r="C3" s="20"/>
      <c r="D3" s="55"/>
      <c r="E3" s="55"/>
    </row>
    <row r="4" spans="1:5" ht="18.75" customHeight="1" x14ac:dyDescent="0.15">
      <c r="B4" s="103" t="s">
        <v>85</v>
      </c>
      <c r="C4" s="103"/>
      <c r="D4" s="103"/>
      <c r="E4" s="103"/>
    </row>
    <row r="5" spans="1:5" ht="7.5" customHeight="1" x14ac:dyDescent="0.15">
      <c r="B5" s="55"/>
      <c r="C5" s="55"/>
      <c r="D5" s="55"/>
      <c r="E5" s="55"/>
    </row>
    <row r="6" spans="1:5" ht="18.75" customHeight="1" x14ac:dyDescent="0.15">
      <c r="A6" s="12" t="s">
        <v>7</v>
      </c>
      <c r="B6" s="10" t="s">
        <v>98</v>
      </c>
      <c r="C6" s="55"/>
      <c r="D6" s="55"/>
      <c r="E6" s="55"/>
    </row>
    <row r="7" spans="1:5" ht="18.75" customHeight="1" x14ac:dyDescent="0.15">
      <c r="A7" s="12"/>
      <c r="B7" s="104" t="s">
        <v>178</v>
      </c>
      <c r="C7" s="105"/>
      <c r="D7" s="105"/>
      <c r="E7" s="106"/>
    </row>
    <row r="8" spans="1:5" ht="7.5" customHeight="1" x14ac:dyDescent="0.15">
      <c r="B8" s="55"/>
      <c r="C8" s="55"/>
      <c r="D8" s="55"/>
      <c r="E8" s="55"/>
    </row>
    <row r="9" spans="1:5" s="10" customFormat="1" ht="18.75" customHeight="1" x14ac:dyDescent="0.15">
      <c r="A9" s="12" t="s">
        <v>12</v>
      </c>
      <c r="B9" s="12" t="s">
        <v>46</v>
      </c>
      <c r="C9" s="12"/>
      <c r="D9" s="12"/>
      <c r="E9" s="12"/>
    </row>
    <row r="10" spans="1:5" ht="18.75" customHeight="1" x14ac:dyDescent="0.15">
      <c r="A10" s="65"/>
      <c r="B10" s="173" t="s">
        <v>202</v>
      </c>
      <c r="C10" s="174"/>
      <c r="D10" s="174"/>
      <c r="E10" s="175"/>
    </row>
    <row r="11" spans="1:5" ht="18.75" customHeight="1" x14ac:dyDescent="0.15">
      <c r="A11" s="65"/>
      <c r="B11" s="176"/>
      <c r="C11" s="177"/>
      <c r="D11" s="177"/>
      <c r="E11" s="178"/>
    </row>
    <row r="12" spans="1:5" ht="18.75" customHeight="1" x14ac:dyDescent="0.15">
      <c r="A12" s="65"/>
      <c r="B12" s="176"/>
      <c r="C12" s="177"/>
      <c r="D12" s="177"/>
      <c r="E12" s="178"/>
    </row>
    <row r="13" spans="1:5" ht="18.75" customHeight="1" x14ac:dyDescent="0.15">
      <c r="A13" s="65"/>
      <c r="B13" s="176"/>
      <c r="C13" s="177"/>
      <c r="D13" s="177"/>
      <c r="E13" s="178"/>
    </row>
    <row r="14" spans="1:5" ht="18.75" customHeight="1" x14ac:dyDescent="0.15">
      <c r="A14" s="65"/>
      <c r="B14" s="179"/>
      <c r="C14" s="180"/>
      <c r="D14" s="180"/>
      <c r="E14" s="181"/>
    </row>
    <row r="15" spans="1:5" ht="7.5" customHeight="1" x14ac:dyDescent="0.15">
      <c r="A15" s="65"/>
      <c r="B15" s="65"/>
      <c r="C15" s="65"/>
      <c r="D15" s="65"/>
      <c r="E15" s="65"/>
    </row>
    <row r="16" spans="1:5" s="10" customFormat="1" ht="18.75" customHeight="1" x14ac:dyDescent="0.15">
      <c r="A16" s="66" t="s">
        <v>13</v>
      </c>
      <c r="B16" s="66" t="s">
        <v>19</v>
      </c>
      <c r="C16" s="66"/>
      <c r="D16" s="66"/>
      <c r="E16" s="66"/>
    </row>
    <row r="17" spans="1:5" ht="18.75" customHeight="1" x14ac:dyDescent="0.15">
      <c r="A17" s="65"/>
      <c r="B17" s="173" t="s">
        <v>179</v>
      </c>
      <c r="C17" s="174"/>
      <c r="D17" s="174"/>
      <c r="E17" s="175"/>
    </row>
    <row r="18" spans="1:5" ht="18.75" customHeight="1" x14ac:dyDescent="0.15">
      <c r="A18" s="65"/>
      <c r="B18" s="176"/>
      <c r="C18" s="177"/>
      <c r="D18" s="177"/>
      <c r="E18" s="178"/>
    </row>
    <row r="19" spans="1:5" ht="18.75" customHeight="1" x14ac:dyDescent="0.15">
      <c r="A19" s="65"/>
      <c r="B19" s="176"/>
      <c r="C19" s="177"/>
      <c r="D19" s="177"/>
      <c r="E19" s="178"/>
    </row>
    <row r="20" spans="1:5" ht="18.75" customHeight="1" x14ac:dyDescent="0.15">
      <c r="A20" s="65"/>
      <c r="B20" s="176"/>
      <c r="C20" s="177"/>
      <c r="D20" s="177"/>
      <c r="E20" s="178"/>
    </row>
    <row r="21" spans="1:5" ht="18.75" customHeight="1" x14ac:dyDescent="0.15">
      <c r="A21" s="65"/>
      <c r="B21" s="176"/>
      <c r="C21" s="177"/>
      <c r="D21" s="177"/>
      <c r="E21" s="178"/>
    </row>
    <row r="22" spans="1:5" ht="18.75" customHeight="1" x14ac:dyDescent="0.15">
      <c r="A22" s="65"/>
      <c r="B22" s="176"/>
      <c r="C22" s="177"/>
      <c r="D22" s="177"/>
      <c r="E22" s="178"/>
    </row>
    <row r="23" spans="1:5" ht="22.5" customHeight="1" x14ac:dyDescent="0.15">
      <c r="A23" s="65"/>
      <c r="B23" s="179"/>
      <c r="C23" s="180"/>
      <c r="D23" s="180"/>
      <c r="E23" s="181"/>
    </row>
    <row r="24" spans="1:5" ht="7.5" customHeight="1" x14ac:dyDescent="0.15">
      <c r="A24" s="67"/>
      <c r="B24" s="67"/>
      <c r="C24" s="67"/>
      <c r="D24" s="67"/>
      <c r="E24" s="67"/>
    </row>
    <row r="25" spans="1:5" s="10" customFormat="1" ht="18.75" customHeight="1" x14ac:dyDescent="0.15">
      <c r="A25" s="12" t="s">
        <v>17</v>
      </c>
      <c r="B25" s="12" t="s">
        <v>30</v>
      </c>
      <c r="C25" s="12"/>
      <c r="D25" s="12"/>
      <c r="E25" s="12"/>
    </row>
    <row r="26" spans="1:5" s="10" customFormat="1" ht="18.75" customHeight="1" x14ac:dyDescent="0.15">
      <c r="A26" s="12"/>
      <c r="B26" s="173" t="s">
        <v>180</v>
      </c>
      <c r="C26" s="174"/>
      <c r="D26" s="174"/>
      <c r="E26" s="175"/>
    </row>
    <row r="27" spans="1:5" s="10" customFormat="1" ht="18.75" customHeight="1" x14ac:dyDescent="0.15">
      <c r="A27" s="12"/>
      <c r="B27" s="176"/>
      <c r="C27" s="177"/>
      <c r="D27" s="177"/>
      <c r="E27" s="178"/>
    </row>
    <row r="28" spans="1:5" ht="18.75" customHeight="1" x14ac:dyDescent="0.15">
      <c r="A28" s="67"/>
      <c r="B28" s="179"/>
      <c r="C28" s="180"/>
      <c r="D28" s="180"/>
      <c r="E28" s="181"/>
    </row>
    <row r="29" spans="1:5" s="10" customFormat="1" ht="18.75" customHeight="1" x14ac:dyDescent="0.15">
      <c r="A29" s="66" t="s">
        <v>14</v>
      </c>
      <c r="B29" s="12" t="s">
        <v>86</v>
      </c>
      <c r="C29" s="66"/>
      <c r="D29" s="66"/>
      <c r="E29" s="66"/>
    </row>
    <row r="30" spans="1:5" ht="18.75" customHeight="1" x14ac:dyDescent="0.15">
      <c r="A30" s="67"/>
      <c r="B30" s="173" t="s">
        <v>181</v>
      </c>
      <c r="C30" s="183"/>
      <c r="D30" s="183"/>
      <c r="E30" s="184"/>
    </row>
    <row r="31" spans="1:5" ht="18.75" customHeight="1" x14ac:dyDescent="0.15">
      <c r="A31" s="67"/>
      <c r="B31" s="185"/>
      <c r="C31" s="186"/>
      <c r="D31" s="186"/>
      <c r="E31" s="187"/>
    </row>
    <row r="32" spans="1:5" ht="7.5" customHeight="1" x14ac:dyDescent="0.15">
      <c r="A32" s="67"/>
      <c r="B32" s="67"/>
      <c r="C32" s="67"/>
      <c r="D32" s="67"/>
      <c r="E32" s="67"/>
    </row>
    <row r="33" spans="1:5" s="10" customFormat="1" ht="18.75" customHeight="1" x14ac:dyDescent="0.15">
      <c r="A33" s="12" t="s">
        <v>18</v>
      </c>
      <c r="B33" s="12" t="s">
        <v>97</v>
      </c>
      <c r="C33" s="12"/>
      <c r="D33" s="12"/>
      <c r="E33" s="12"/>
    </row>
    <row r="34" spans="1:5" s="10" customFormat="1" ht="18.75" customHeight="1" x14ac:dyDescent="0.15">
      <c r="A34" s="12"/>
      <c r="B34" s="173" t="s">
        <v>182</v>
      </c>
      <c r="C34" s="174"/>
      <c r="D34" s="174"/>
      <c r="E34" s="175"/>
    </row>
    <row r="35" spans="1:5" s="10" customFormat="1" ht="18.75" customHeight="1" x14ac:dyDescent="0.15">
      <c r="A35" s="12"/>
      <c r="B35" s="176"/>
      <c r="C35" s="177"/>
      <c r="D35" s="177"/>
      <c r="E35" s="178"/>
    </row>
    <row r="36" spans="1:5" s="10" customFormat="1" ht="18.75" customHeight="1" x14ac:dyDescent="0.15">
      <c r="A36" s="12"/>
      <c r="B36" s="176"/>
      <c r="C36" s="177"/>
      <c r="D36" s="177"/>
      <c r="E36" s="178"/>
    </row>
    <row r="37" spans="1:5" ht="18.75" customHeight="1" x14ac:dyDescent="0.15">
      <c r="A37" s="67"/>
      <c r="B37" s="179"/>
      <c r="C37" s="180"/>
      <c r="D37" s="180"/>
      <c r="E37" s="181"/>
    </row>
    <row r="38" spans="1:5" ht="7.5" customHeight="1" x14ac:dyDescent="0.15">
      <c r="A38" s="67"/>
      <c r="B38" s="67"/>
      <c r="C38" s="67"/>
      <c r="D38" s="67"/>
      <c r="E38" s="67"/>
    </row>
    <row r="39" spans="1:5" s="10" customFormat="1" ht="18.75" customHeight="1" x14ac:dyDescent="0.15">
      <c r="A39" s="12" t="s">
        <v>15</v>
      </c>
      <c r="B39" s="12" t="s">
        <v>34</v>
      </c>
      <c r="C39" s="12"/>
      <c r="D39" s="12"/>
      <c r="E39" s="12"/>
    </row>
    <row r="40" spans="1:5" s="10" customFormat="1" ht="18.75" customHeight="1" x14ac:dyDescent="0.15">
      <c r="A40" s="12"/>
      <c r="B40" s="173" t="s">
        <v>183</v>
      </c>
      <c r="C40" s="174"/>
      <c r="D40" s="174"/>
      <c r="E40" s="175"/>
    </row>
    <row r="41" spans="1:5" s="10" customFormat="1" ht="18.75" customHeight="1" x14ac:dyDescent="0.15">
      <c r="A41" s="12"/>
      <c r="B41" s="176"/>
      <c r="C41" s="177"/>
      <c r="D41" s="177"/>
      <c r="E41" s="178"/>
    </row>
    <row r="42" spans="1:5" ht="18.75" customHeight="1" x14ac:dyDescent="0.15">
      <c r="A42" s="67"/>
      <c r="B42" s="179"/>
      <c r="C42" s="180"/>
      <c r="D42" s="180"/>
      <c r="E42" s="181"/>
    </row>
    <row r="43" spans="1:5" ht="7.5" customHeight="1" x14ac:dyDescent="0.15">
      <c r="A43" s="67"/>
      <c r="B43" s="67"/>
      <c r="C43" s="67"/>
      <c r="D43" s="67"/>
      <c r="E43" s="67"/>
    </row>
    <row r="44" spans="1:5" s="10" customFormat="1" ht="18.75" customHeight="1" x14ac:dyDescent="0.15">
      <c r="A44" s="12" t="s">
        <v>62</v>
      </c>
      <c r="B44" s="182" t="s">
        <v>134</v>
      </c>
      <c r="C44" s="182"/>
      <c r="D44" s="182"/>
      <c r="E44" s="182"/>
    </row>
    <row r="45" spans="1:5" ht="18.75" customHeight="1" x14ac:dyDescent="0.15">
      <c r="A45" s="67"/>
      <c r="B45" s="173" t="s">
        <v>184</v>
      </c>
      <c r="C45" s="174"/>
      <c r="D45" s="174"/>
      <c r="E45" s="175"/>
    </row>
    <row r="46" spans="1:5" ht="18.75" customHeight="1" x14ac:dyDescent="0.15">
      <c r="A46" s="67"/>
      <c r="B46" s="176"/>
      <c r="C46" s="177"/>
      <c r="D46" s="177"/>
      <c r="E46" s="178"/>
    </row>
    <row r="47" spans="1:5" ht="21.75" customHeight="1" x14ac:dyDescent="0.15">
      <c r="A47" s="67"/>
      <c r="B47" s="179"/>
      <c r="C47" s="180"/>
      <c r="D47" s="180"/>
      <c r="E47" s="181"/>
    </row>
    <row r="48" spans="1:5" ht="7.5" customHeight="1" x14ac:dyDescent="0.15">
      <c r="A48" s="67"/>
      <c r="B48" s="68"/>
      <c r="C48" s="68"/>
      <c r="D48" s="68"/>
      <c r="E48" s="68"/>
    </row>
    <row r="49" spans="1:5" ht="18.75" customHeight="1" x14ac:dyDescent="0.15">
      <c r="A49" s="67"/>
      <c r="B49" s="67"/>
      <c r="C49" s="67"/>
      <c r="D49" s="67"/>
      <c r="E49" s="67"/>
    </row>
    <row r="50" spans="1:5" ht="18.75" customHeight="1" x14ac:dyDescent="0.15">
      <c r="A50" s="67"/>
      <c r="B50" s="67"/>
      <c r="C50" s="67"/>
      <c r="D50" s="67"/>
      <c r="E50" s="67"/>
    </row>
    <row r="51" spans="1:5" ht="18.75" customHeight="1" x14ac:dyDescent="0.15">
      <c r="A51" s="67"/>
      <c r="B51" s="67"/>
      <c r="C51" s="67"/>
      <c r="D51" s="67"/>
      <c r="E51" s="67"/>
    </row>
    <row r="52" spans="1:5" ht="18.75" customHeight="1" x14ac:dyDescent="0.15">
      <c r="A52" s="67"/>
      <c r="B52" s="67"/>
      <c r="C52" s="67"/>
      <c r="D52" s="67"/>
      <c r="E52" s="67"/>
    </row>
    <row r="53" spans="1:5" ht="18.75" customHeight="1" x14ac:dyDescent="0.15">
      <c r="A53" s="67"/>
      <c r="B53" s="67"/>
      <c r="C53" s="67"/>
      <c r="D53" s="67"/>
      <c r="E53" s="67"/>
    </row>
    <row r="54" spans="1:5" ht="18.75" customHeight="1" x14ac:dyDescent="0.15">
      <c r="A54" s="67"/>
      <c r="B54" s="67"/>
      <c r="C54" s="67"/>
      <c r="D54" s="67"/>
      <c r="E54" s="67"/>
    </row>
    <row r="55" spans="1:5" ht="18.75" customHeight="1" x14ac:dyDescent="0.15">
      <c r="A55" s="67"/>
      <c r="B55" s="67"/>
      <c r="C55" s="67"/>
      <c r="D55" s="67"/>
      <c r="E55" s="67"/>
    </row>
    <row r="56" spans="1:5" ht="18.75" customHeight="1" x14ac:dyDescent="0.15">
      <c r="A56" s="67"/>
      <c r="B56" s="67"/>
      <c r="C56" s="67"/>
      <c r="D56" s="67"/>
      <c r="E56" s="67"/>
    </row>
    <row r="57" spans="1:5" ht="18.75" customHeight="1" x14ac:dyDescent="0.15">
      <c r="A57" s="67"/>
      <c r="B57" s="67"/>
      <c r="C57" s="67"/>
      <c r="D57" s="67"/>
      <c r="E57" s="67"/>
    </row>
    <row r="58" spans="1:5" ht="18.75" customHeight="1" x14ac:dyDescent="0.15">
      <c r="A58" s="67"/>
      <c r="B58" s="67"/>
      <c r="C58" s="67"/>
      <c r="D58" s="67"/>
      <c r="E58" s="67"/>
    </row>
    <row r="59" spans="1:5" ht="18.75" customHeight="1" x14ac:dyDescent="0.15">
      <c r="A59" s="67"/>
      <c r="B59" s="67"/>
      <c r="C59" s="67"/>
      <c r="D59" s="67"/>
      <c r="E59" s="67"/>
    </row>
    <row r="60" spans="1:5" ht="18.75" customHeight="1" x14ac:dyDescent="0.15">
      <c r="A60" s="67"/>
      <c r="B60" s="67"/>
      <c r="C60" s="67"/>
      <c r="D60" s="67"/>
      <c r="E60" s="67"/>
    </row>
    <row r="61" spans="1:5" ht="14.25" x14ac:dyDescent="0.15">
      <c r="A61" s="67"/>
      <c r="B61" s="67"/>
      <c r="C61" s="67"/>
      <c r="D61" s="67"/>
      <c r="E61" s="67"/>
    </row>
    <row r="62" spans="1:5" ht="7.5" customHeight="1" x14ac:dyDescent="0.15">
      <c r="A62" s="69"/>
      <c r="B62" s="69"/>
      <c r="C62" s="69"/>
      <c r="D62" s="69"/>
      <c r="E62" s="69"/>
    </row>
  </sheetData>
  <mergeCells count="11">
    <mergeCell ref="B34:E37"/>
    <mergeCell ref="B40:E42"/>
    <mergeCell ref="B44:E44"/>
    <mergeCell ref="B45:E47"/>
    <mergeCell ref="D2:E2"/>
    <mergeCell ref="B4:E4"/>
    <mergeCell ref="B10:E14"/>
    <mergeCell ref="B17:E23"/>
    <mergeCell ref="B26:E28"/>
    <mergeCell ref="B30:E31"/>
    <mergeCell ref="B7:E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8"/>
  <sheetViews>
    <sheetView showZeros="0" view="pageBreakPreview" zoomScaleNormal="100" zoomScaleSheetLayoutView="100" workbookViewId="0">
      <selection activeCell="G24" sqref="G24"/>
    </sheetView>
  </sheetViews>
  <sheetFormatPr defaultColWidth="11.375" defaultRowHeight="22.5" customHeight="1" x14ac:dyDescent="0.15"/>
  <cols>
    <col min="1" max="3" width="2.5" style="9" customWidth="1"/>
    <col min="4" max="4" width="22.5" style="9" customWidth="1"/>
    <col min="5" max="5" width="21.25" style="9" customWidth="1"/>
    <col min="6" max="7" width="7.5" style="9" customWidth="1"/>
    <col min="8" max="8" width="32.5" style="9" customWidth="1"/>
    <col min="9" max="9" width="24.875" style="9" customWidth="1"/>
    <col min="10" max="10" width="6.25" style="9" customWidth="1"/>
    <col min="11" max="11" width="4.125" style="9" customWidth="1"/>
    <col min="12" max="16384" width="11.375" style="9"/>
  </cols>
  <sheetData>
    <row r="1" spans="1:10" ht="18.75" customHeight="1" x14ac:dyDescent="0.15">
      <c r="J1" s="20" t="s">
        <v>9</v>
      </c>
    </row>
    <row r="2" spans="1:10" ht="18.75" customHeight="1" x14ac:dyDescent="0.15">
      <c r="D2" s="20"/>
      <c r="H2" s="20" t="s">
        <v>31</v>
      </c>
      <c r="I2" s="122" t="s">
        <v>136</v>
      </c>
      <c r="J2" s="122"/>
    </row>
    <row r="3" spans="1:10" ht="18.75" customHeight="1" x14ac:dyDescent="0.15">
      <c r="A3" s="103" t="s">
        <v>50</v>
      </c>
      <c r="B3" s="103"/>
      <c r="C3" s="103"/>
      <c r="D3" s="103"/>
      <c r="E3" s="103"/>
      <c r="F3" s="103"/>
      <c r="G3" s="103"/>
      <c r="H3" s="103"/>
      <c r="I3" s="103"/>
      <c r="J3" s="103"/>
    </row>
    <row r="4" spans="1:10" ht="7.5" customHeight="1" x14ac:dyDescent="0.15">
      <c r="B4" s="70"/>
      <c r="C4" s="70"/>
      <c r="D4" s="205"/>
      <c r="E4" s="205"/>
      <c r="F4" s="205"/>
      <c r="G4" s="205"/>
      <c r="H4" s="205"/>
      <c r="I4" s="205"/>
      <c r="J4" s="205"/>
    </row>
    <row r="5" spans="1:10" ht="18.75" customHeight="1" x14ac:dyDescent="0.15">
      <c r="A5" s="9" t="s">
        <v>7</v>
      </c>
      <c r="B5" s="10" t="s">
        <v>48</v>
      </c>
      <c r="C5" s="70"/>
      <c r="D5" s="70"/>
      <c r="E5" s="70"/>
      <c r="F5" s="70"/>
      <c r="G5" s="70"/>
      <c r="H5" s="70"/>
      <c r="I5" s="70"/>
      <c r="J5" s="70"/>
    </row>
    <row r="6" spans="1:10" ht="18.75" customHeight="1" x14ac:dyDescent="0.15">
      <c r="B6" s="97" t="s">
        <v>45</v>
      </c>
      <c r="C6" s="92"/>
      <c r="D6" s="93"/>
      <c r="E6" s="92" t="s">
        <v>47</v>
      </c>
      <c r="F6" s="92"/>
      <c r="G6" s="92"/>
      <c r="H6" s="92"/>
      <c r="I6" s="92"/>
      <c r="J6" s="93"/>
    </row>
    <row r="7" spans="1:10" ht="18.75" customHeight="1" x14ac:dyDescent="0.15">
      <c r="B7" s="14" t="s">
        <v>35</v>
      </c>
      <c r="C7" s="67"/>
      <c r="D7" s="71"/>
      <c r="E7" s="16"/>
      <c r="F7" s="16"/>
      <c r="G7" s="16"/>
      <c r="H7" s="16"/>
      <c r="I7" s="67"/>
      <c r="J7" s="71"/>
    </row>
    <row r="8" spans="1:10" ht="107.25" customHeight="1" x14ac:dyDescent="0.15">
      <c r="B8" s="72"/>
      <c r="C8" s="193" t="s">
        <v>36</v>
      </c>
      <c r="D8" s="194"/>
      <c r="E8" s="204" t="s">
        <v>185</v>
      </c>
      <c r="F8" s="195"/>
      <c r="G8" s="195"/>
      <c r="H8" s="195"/>
      <c r="I8" s="195"/>
      <c r="J8" s="196"/>
    </row>
    <row r="9" spans="1:10" ht="72" customHeight="1" x14ac:dyDescent="0.15">
      <c r="B9" s="72"/>
      <c r="C9" s="191" t="s">
        <v>37</v>
      </c>
      <c r="D9" s="192"/>
      <c r="E9" s="204" t="s">
        <v>186</v>
      </c>
      <c r="F9" s="195"/>
      <c r="G9" s="195"/>
      <c r="H9" s="195"/>
      <c r="I9" s="195"/>
      <c r="J9" s="196"/>
    </row>
    <row r="10" spans="1:10" ht="57" customHeight="1" x14ac:dyDescent="0.15">
      <c r="B10" s="72"/>
      <c r="C10" s="193" t="s">
        <v>38</v>
      </c>
      <c r="D10" s="194"/>
      <c r="E10" s="204" t="s">
        <v>203</v>
      </c>
      <c r="F10" s="195"/>
      <c r="G10" s="195"/>
      <c r="H10" s="195"/>
      <c r="I10" s="195"/>
      <c r="J10" s="196"/>
    </row>
    <row r="11" spans="1:10" ht="57" customHeight="1" x14ac:dyDescent="0.15">
      <c r="B11" s="72"/>
      <c r="C11" s="193" t="s">
        <v>39</v>
      </c>
      <c r="D11" s="194"/>
      <c r="E11" s="204" t="s">
        <v>187</v>
      </c>
      <c r="F11" s="195"/>
      <c r="G11" s="195"/>
      <c r="H11" s="195"/>
      <c r="I11" s="195"/>
      <c r="J11" s="196"/>
    </row>
    <row r="12" spans="1:10" ht="57" customHeight="1" x14ac:dyDescent="0.15">
      <c r="B12" s="72"/>
      <c r="C12" s="193" t="s">
        <v>40</v>
      </c>
      <c r="D12" s="194"/>
      <c r="E12" s="204" t="s">
        <v>204</v>
      </c>
      <c r="F12" s="195"/>
      <c r="G12" s="195"/>
      <c r="H12" s="195"/>
      <c r="I12" s="195"/>
      <c r="J12" s="196"/>
    </row>
    <row r="13" spans="1:10" ht="18.75" customHeight="1" x14ac:dyDescent="0.15">
      <c r="B13" s="73" t="s">
        <v>41</v>
      </c>
      <c r="C13" s="74"/>
      <c r="D13" s="75"/>
      <c r="E13" s="76"/>
      <c r="F13" s="76"/>
      <c r="G13" s="76"/>
      <c r="H13" s="76"/>
      <c r="I13" s="76"/>
      <c r="J13" s="77"/>
    </row>
    <row r="14" spans="1:10" ht="67.5" customHeight="1" x14ac:dyDescent="0.15">
      <c r="B14" s="72"/>
      <c r="C14" s="193" t="s">
        <v>42</v>
      </c>
      <c r="D14" s="194"/>
      <c r="E14" s="195" t="s">
        <v>188</v>
      </c>
      <c r="F14" s="195"/>
      <c r="G14" s="195"/>
      <c r="H14" s="195"/>
      <c r="I14" s="195"/>
      <c r="J14" s="196"/>
    </row>
    <row r="15" spans="1:10" ht="84" customHeight="1" x14ac:dyDescent="0.15">
      <c r="B15" s="72"/>
      <c r="C15" s="197" t="s">
        <v>43</v>
      </c>
      <c r="D15" s="198"/>
      <c r="E15" s="199" t="s">
        <v>205</v>
      </c>
      <c r="F15" s="199"/>
      <c r="G15" s="199"/>
      <c r="H15" s="199"/>
      <c r="I15" s="199"/>
      <c r="J15" s="200"/>
    </row>
    <row r="16" spans="1:10" ht="87.75" customHeight="1" x14ac:dyDescent="0.15">
      <c r="B16" s="201" t="s">
        <v>44</v>
      </c>
      <c r="C16" s="202"/>
      <c r="D16" s="194"/>
      <c r="E16" s="195" t="s">
        <v>206</v>
      </c>
      <c r="F16" s="195"/>
      <c r="G16" s="195"/>
      <c r="H16" s="195"/>
      <c r="I16" s="195"/>
      <c r="J16" s="196"/>
    </row>
    <row r="17" spans="1:10" ht="93.75" customHeight="1" x14ac:dyDescent="0.15">
      <c r="B17" s="188" t="s">
        <v>87</v>
      </c>
      <c r="C17" s="189"/>
      <c r="D17" s="190"/>
      <c r="E17" s="186" t="s">
        <v>189</v>
      </c>
      <c r="F17" s="186"/>
      <c r="G17" s="186"/>
      <c r="H17" s="186"/>
      <c r="I17" s="186"/>
      <c r="J17" s="187"/>
    </row>
    <row r="18" spans="1:10" ht="7.5" customHeight="1" x14ac:dyDescent="0.15">
      <c r="B18" s="70"/>
      <c r="C18" s="70"/>
      <c r="D18" s="70"/>
      <c r="E18" s="70"/>
      <c r="F18" s="70"/>
      <c r="G18" s="70"/>
      <c r="H18" s="70"/>
      <c r="I18" s="70"/>
      <c r="J18" s="70"/>
    </row>
    <row r="19" spans="1:10" ht="18.75" customHeight="1" x14ac:dyDescent="0.15">
      <c r="B19" s="10"/>
      <c r="C19" s="70"/>
      <c r="D19" s="70"/>
      <c r="E19" s="70"/>
      <c r="F19" s="78"/>
      <c r="G19" s="78"/>
      <c r="H19" s="79" t="s">
        <v>116</v>
      </c>
      <c r="I19" s="80"/>
      <c r="J19" s="81"/>
    </row>
    <row r="20" spans="1:10" ht="18.75" customHeight="1" x14ac:dyDescent="0.15">
      <c r="A20" s="16" t="s">
        <v>12</v>
      </c>
      <c r="B20" s="82" t="s">
        <v>49</v>
      </c>
      <c r="C20" s="83"/>
      <c r="D20" s="83"/>
      <c r="E20" s="83"/>
      <c r="F20" s="63" t="s">
        <v>212</v>
      </c>
      <c r="G20" s="78"/>
      <c r="H20" s="203" t="s">
        <v>209</v>
      </c>
      <c r="I20" s="108"/>
      <c r="J20" s="109"/>
    </row>
    <row r="21" spans="1:10" ht="22.5" customHeight="1" x14ac:dyDescent="0.15">
      <c r="B21" s="70"/>
      <c r="C21" s="70"/>
      <c r="D21" s="70"/>
      <c r="E21" s="70"/>
      <c r="F21" s="70"/>
      <c r="G21" s="70"/>
      <c r="H21" s="70"/>
      <c r="I21" s="70"/>
      <c r="J21" s="70"/>
    </row>
    <row r="22" spans="1:10" ht="22.5" customHeight="1" x14ac:dyDescent="0.15">
      <c r="B22" s="70"/>
      <c r="C22" s="70"/>
      <c r="D22" s="70"/>
      <c r="E22" s="70"/>
      <c r="F22" s="70"/>
      <c r="G22" s="70"/>
      <c r="H22" s="70"/>
      <c r="I22" s="70"/>
      <c r="J22" s="70"/>
    </row>
    <row r="23" spans="1:10" ht="22.5" customHeight="1" x14ac:dyDescent="0.15">
      <c r="B23" s="70"/>
      <c r="C23" s="70"/>
      <c r="D23" s="70"/>
      <c r="E23" s="70"/>
      <c r="F23" s="70"/>
      <c r="G23" s="70"/>
      <c r="H23" s="70"/>
      <c r="I23" s="70"/>
      <c r="J23" s="70"/>
    </row>
    <row r="24" spans="1:10" ht="22.5" customHeight="1" x14ac:dyDescent="0.15">
      <c r="B24" s="70"/>
      <c r="C24" s="70"/>
      <c r="D24" s="70"/>
      <c r="E24" s="70"/>
      <c r="F24" s="70"/>
      <c r="G24" s="70"/>
      <c r="H24" s="70"/>
      <c r="I24" s="70"/>
      <c r="J24" s="70"/>
    </row>
    <row r="25" spans="1:10" ht="22.5" customHeight="1" x14ac:dyDescent="0.15">
      <c r="B25" s="70"/>
      <c r="C25" s="70"/>
      <c r="D25" s="70"/>
      <c r="E25" s="70"/>
      <c r="F25" s="70"/>
      <c r="G25" s="70"/>
      <c r="H25" s="70"/>
      <c r="I25" s="70"/>
      <c r="J25" s="70"/>
    </row>
    <row r="26" spans="1:10" ht="22.5" customHeight="1" x14ac:dyDescent="0.15">
      <c r="B26" s="65"/>
      <c r="C26" s="65"/>
      <c r="D26" s="65"/>
      <c r="E26" s="65"/>
      <c r="F26" s="65"/>
      <c r="G26" s="65"/>
      <c r="H26" s="65"/>
      <c r="I26" s="65"/>
      <c r="J26" s="65"/>
    </row>
    <row r="27" spans="1:10" ht="22.5" customHeight="1" x14ac:dyDescent="0.15">
      <c r="B27" s="65"/>
      <c r="C27" s="65"/>
      <c r="D27" s="65"/>
      <c r="E27" s="65"/>
      <c r="F27" s="65"/>
      <c r="G27" s="65"/>
      <c r="H27" s="65"/>
      <c r="I27" s="65"/>
      <c r="J27" s="65"/>
    </row>
    <row r="28" spans="1:10" ht="22.5" customHeight="1" x14ac:dyDescent="0.15">
      <c r="B28" s="65"/>
      <c r="C28" s="65"/>
      <c r="D28" s="65"/>
      <c r="E28" s="65"/>
      <c r="F28" s="65"/>
      <c r="G28" s="65"/>
      <c r="H28" s="65"/>
      <c r="I28" s="65"/>
      <c r="J28" s="65"/>
    </row>
  </sheetData>
  <mergeCells count="24">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 ref="B17:D17"/>
    <mergeCell ref="C9:D9"/>
    <mergeCell ref="C14:D14"/>
    <mergeCell ref="E14:J14"/>
    <mergeCell ref="C15:D15"/>
    <mergeCell ref="E15:J15"/>
    <mergeCell ref="B16:D16"/>
    <mergeCell ref="E16:J16"/>
  </mergeCells>
  <phoneticPr fontId="1"/>
  <dataValidations count="2">
    <dataValidation type="list" allowBlank="1" showInputMessage="1" showErrorMessage="1" sqref="F19:G19" xr:uid="{00000000-0002-0000-0500-000000000000}">
      <formula1>#REF!</formula1>
    </dataValidation>
    <dataValidation type="list" allowBlank="1" showInputMessage="1" showErrorMessage="1" sqref="F20" xr:uid="{00000000-0002-0000-0500-000001000000}">
      <formula1>"有,無,予定"</formula1>
    </dataValidation>
  </dataValidations>
  <hyperlinks>
    <hyperlink ref="H20" r:id="rId1" xr:uid="{00000000-0004-0000-0500-000000000000}"/>
  </hyperlinks>
  <printOptions horizontalCentered="1"/>
  <pageMargins left="0.78740157480314965" right="0.78740157480314965" top="0.78740157480314965" bottom="0.78740157480314965" header="0.31496062992125984" footer="0.31496062992125984"/>
  <pageSetup paperSize="9" scale="63"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3"/>
  <sheetViews>
    <sheetView showZeros="0" view="pageBreakPreview" zoomScaleNormal="100" zoomScaleSheetLayoutView="100" workbookViewId="0">
      <selection activeCell="B19" sqref="B19:F26"/>
    </sheetView>
  </sheetViews>
  <sheetFormatPr defaultColWidth="11.375" defaultRowHeight="18.75" customHeight="1" x14ac:dyDescent="0.15"/>
  <cols>
    <col min="1" max="1" width="2.5" style="1" customWidth="1"/>
    <col min="2" max="2" width="15" style="1" customWidth="1"/>
    <col min="3" max="3" width="37.5" style="1" customWidth="1"/>
    <col min="4" max="4" width="1.25" style="1" customWidth="1"/>
    <col min="5" max="5" width="21.125" style="1" customWidth="1"/>
    <col min="6" max="6" width="8.75" style="1" customWidth="1"/>
    <col min="7" max="7" width="2.25" style="1" customWidth="1"/>
    <col min="8" max="8" width="2.125" style="1" customWidth="1"/>
    <col min="9" max="16384" width="11.375" style="1"/>
  </cols>
  <sheetData>
    <row r="1" spans="1:6" ht="18.75" customHeight="1" x14ac:dyDescent="0.15">
      <c r="E1" s="135" t="s">
        <v>16</v>
      </c>
      <c r="F1" s="135"/>
    </row>
    <row r="2" spans="1:6" ht="18.75" customHeight="1" x14ac:dyDescent="0.15">
      <c r="C2" s="5" t="s">
        <v>88</v>
      </c>
      <c r="D2" s="5" t="s">
        <v>8</v>
      </c>
      <c r="E2" s="215" t="s">
        <v>136</v>
      </c>
      <c r="F2" s="215"/>
    </row>
    <row r="3" spans="1:6" ht="7.5" customHeight="1" x14ac:dyDescent="0.15">
      <c r="C3" s="5"/>
      <c r="D3" s="5"/>
      <c r="E3" s="4"/>
      <c r="F3" s="4"/>
    </row>
    <row r="4" spans="1:6" ht="18.75" customHeight="1" x14ac:dyDescent="0.15">
      <c r="A4" s="145" t="s">
        <v>126</v>
      </c>
      <c r="B4" s="145"/>
      <c r="C4" s="145"/>
      <c r="D4" s="145"/>
      <c r="E4" s="145"/>
      <c r="F4" s="145"/>
    </row>
    <row r="5" spans="1:6" ht="7.5" customHeight="1" x14ac:dyDescent="0.15">
      <c r="A5" s="6"/>
      <c r="B5" s="6"/>
      <c r="C5" s="6"/>
      <c r="D5" s="6"/>
      <c r="E5" s="6"/>
      <c r="F5" s="6"/>
    </row>
    <row r="6" spans="1:6" ht="18.75" customHeight="1" x14ac:dyDescent="0.15">
      <c r="A6" s="6" t="s">
        <v>7</v>
      </c>
      <c r="B6" s="2" t="s">
        <v>33</v>
      </c>
      <c r="C6" s="6"/>
      <c r="D6" s="6"/>
      <c r="E6" s="6"/>
      <c r="F6" s="6"/>
    </row>
    <row r="7" spans="1:6" ht="18.75" customHeight="1" x14ac:dyDescent="0.15">
      <c r="A7" s="6"/>
      <c r="B7" s="216" t="s">
        <v>190</v>
      </c>
      <c r="C7" s="217"/>
      <c r="D7" s="217"/>
      <c r="E7" s="217"/>
      <c r="F7" s="218"/>
    </row>
    <row r="8" spans="1:6" ht="18.75" customHeight="1" x14ac:dyDescent="0.15">
      <c r="A8" s="29"/>
      <c r="B8" s="219"/>
      <c r="C8" s="220"/>
      <c r="D8" s="220"/>
      <c r="E8" s="220"/>
      <c r="F8" s="221"/>
    </row>
    <row r="9" spans="1:6" ht="18.75" customHeight="1" x14ac:dyDescent="0.15">
      <c r="A9" s="29"/>
      <c r="B9" s="219"/>
      <c r="C9" s="220"/>
      <c r="D9" s="220"/>
      <c r="E9" s="220"/>
      <c r="F9" s="221"/>
    </row>
    <row r="10" spans="1:6" ht="18.75" customHeight="1" x14ac:dyDescent="0.15">
      <c r="A10" s="29"/>
      <c r="B10" s="219"/>
      <c r="C10" s="220"/>
      <c r="D10" s="220"/>
      <c r="E10" s="220"/>
      <c r="F10" s="221"/>
    </row>
    <row r="11" spans="1:6" ht="18.75" customHeight="1" x14ac:dyDescent="0.15">
      <c r="A11" s="29"/>
      <c r="B11" s="219"/>
      <c r="C11" s="220"/>
      <c r="D11" s="220"/>
      <c r="E11" s="220"/>
      <c r="F11" s="221"/>
    </row>
    <row r="12" spans="1:6" ht="18.75" customHeight="1" x14ac:dyDescent="0.15">
      <c r="A12" s="29"/>
      <c r="B12" s="219"/>
      <c r="C12" s="220"/>
      <c r="D12" s="220"/>
      <c r="E12" s="220"/>
      <c r="F12" s="221"/>
    </row>
    <row r="13" spans="1:6" ht="18.75" customHeight="1" x14ac:dyDescent="0.15">
      <c r="A13" s="29"/>
      <c r="B13" s="219"/>
      <c r="C13" s="220"/>
      <c r="D13" s="220"/>
      <c r="E13" s="220"/>
      <c r="F13" s="221"/>
    </row>
    <row r="14" spans="1:6" ht="18.75" customHeight="1" x14ac:dyDescent="0.15">
      <c r="A14" s="29"/>
      <c r="B14" s="219"/>
      <c r="C14" s="220"/>
      <c r="D14" s="220"/>
      <c r="E14" s="220"/>
      <c r="F14" s="221"/>
    </row>
    <row r="15" spans="1:6" ht="18.75" customHeight="1" x14ac:dyDescent="0.15">
      <c r="A15" s="29"/>
      <c r="B15" s="219"/>
      <c r="C15" s="220"/>
      <c r="D15" s="220"/>
      <c r="E15" s="220"/>
      <c r="F15" s="221"/>
    </row>
    <row r="16" spans="1:6" ht="18.75" customHeight="1" x14ac:dyDescent="0.15">
      <c r="A16" s="6"/>
      <c r="B16" s="219"/>
      <c r="C16" s="220"/>
      <c r="D16" s="220"/>
      <c r="E16" s="220"/>
      <c r="F16" s="221"/>
    </row>
    <row r="17" spans="1:6" ht="18.75" customHeight="1" x14ac:dyDescent="0.15">
      <c r="A17" s="6"/>
      <c r="B17" s="222"/>
      <c r="C17" s="223"/>
      <c r="D17" s="223"/>
      <c r="E17" s="223"/>
      <c r="F17" s="224"/>
    </row>
    <row r="18" spans="1:6" ht="18.75" customHeight="1" x14ac:dyDescent="0.15">
      <c r="A18" s="6" t="s">
        <v>12</v>
      </c>
      <c r="B18" s="2" t="s">
        <v>93</v>
      </c>
      <c r="C18" s="6"/>
      <c r="D18" s="6"/>
      <c r="E18" s="6"/>
      <c r="F18" s="6"/>
    </row>
    <row r="19" spans="1:6" ht="18.75" customHeight="1" x14ac:dyDescent="0.15">
      <c r="A19" s="6"/>
      <c r="B19" s="206" t="s">
        <v>207</v>
      </c>
      <c r="C19" s="207"/>
      <c r="D19" s="207"/>
      <c r="E19" s="207"/>
      <c r="F19" s="208"/>
    </row>
    <row r="20" spans="1:6" ht="18.75" customHeight="1" x14ac:dyDescent="0.15">
      <c r="A20" s="29"/>
      <c r="B20" s="209"/>
      <c r="C20" s="210"/>
      <c r="D20" s="210"/>
      <c r="E20" s="210"/>
      <c r="F20" s="211"/>
    </row>
    <row r="21" spans="1:6" ht="18.75" customHeight="1" x14ac:dyDescent="0.15">
      <c r="A21" s="29"/>
      <c r="B21" s="209"/>
      <c r="C21" s="210"/>
      <c r="D21" s="210"/>
      <c r="E21" s="210"/>
      <c r="F21" s="211"/>
    </row>
    <row r="22" spans="1:6" ht="18.75" customHeight="1" x14ac:dyDescent="0.15">
      <c r="A22" s="29"/>
      <c r="B22" s="209"/>
      <c r="C22" s="210"/>
      <c r="D22" s="210"/>
      <c r="E22" s="210"/>
      <c r="F22" s="211"/>
    </row>
    <row r="23" spans="1:6" ht="18.75" customHeight="1" x14ac:dyDescent="0.15">
      <c r="A23" s="29"/>
      <c r="B23" s="209"/>
      <c r="C23" s="210"/>
      <c r="D23" s="210"/>
      <c r="E23" s="210"/>
      <c r="F23" s="211"/>
    </row>
    <row r="24" spans="1:6" ht="18.75" customHeight="1" x14ac:dyDescent="0.15">
      <c r="A24" s="29"/>
      <c r="B24" s="209"/>
      <c r="C24" s="210"/>
      <c r="D24" s="210"/>
      <c r="E24" s="210"/>
      <c r="F24" s="211"/>
    </row>
    <row r="25" spans="1:6" ht="18.75" customHeight="1" x14ac:dyDescent="0.15">
      <c r="A25" s="6"/>
      <c r="B25" s="209"/>
      <c r="C25" s="210"/>
      <c r="D25" s="210"/>
      <c r="E25" s="210"/>
      <c r="F25" s="211"/>
    </row>
    <row r="26" spans="1:6" ht="18.75" customHeight="1" x14ac:dyDescent="0.15">
      <c r="A26" s="6"/>
      <c r="B26" s="212"/>
      <c r="C26" s="213"/>
      <c r="D26" s="213"/>
      <c r="E26" s="213"/>
      <c r="F26" s="214"/>
    </row>
    <row r="27" spans="1:6" s="3" customFormat="1" ht="18.75" customHeight="1" x14ac:dyDescent="0.15">
      <c r="A27" s="2" t="s">
        <v>13</v>
      </c>
      <c r="B27" s="2" t="s">
        <v>94</v>
      </c>
      <c r="C27" s="2"/>
      <c r="D27" s="2"/>
      <c r="E27" s="2"/>
      <c r="F27" s="2"/>
    </row>
    <row r="28" spans="1:6" ht="18.75" customHeight="1" x14ac:dyDescent="0.15">
      <c r="A28" s="6"/>
      <c r="B28" s="206" t="s">
        <v>191</v>
      </c>
      <c r="C28" s="207"/>
      <c r="D28" s="207"/>
      <c r="E28" s="207"/>
      <c r="F28" s="208"/>
    </row>
    <row r="29" spans="1:6" ht="18.75" customHeight="1" x14ac:dyDescent="0.15">
      <c r="A29" s="6"/>
      <c r="B29" s="209"/>
      <c r="C29" s="210"/>
      <c r="D29" s="210"/>
      <c r="E29" s="210"/>
      <c r="F29" s="211"/>
    </row>
    <row r="30" spans="1:6" ht="18.75" customHeight="1" x14ac:dyDescent="0.15">
      <c r="A30" s="29"/>
      <c r="B30" s="209"/>
      <c r="C30" s="210"/>
      <c r="D30" s="210"/>
      <c r="E30" s="210"/>
      <c r="F30" s="211"/>
    </row>
    <row r="31" spans="1:6" ht="18.75" customHeight="1" x14ac:dyDescent="0.15">
      <c r="A31" s="29"/>
      <c r="B31" s="209"/>
      <c r="C31" s="210"/>
      <c r="D31" s="210"/>
      <c r="E31" s="210"/>
      <c r="F31" s="211"/>
    </row>
    <row r="32" spans="1:6" ht="18.75" customHeight="1" x14ac:dyDescent="0.15">
      <c r="A32" s="29"/>
      <c r="B32" s="209"/>
      <c r="C32" s="210"/>
      <c r="D32" s="210"/>
      <c r="E32" s="210"/>
      <c r="F32" s="211"/>
    </row>
    <row r="33" spans="1:6" ht="18.75" customHeight="1" x14ac:dyDescent="0.15">
      <c r="A33" s="29"/>
      <c r="B33" s="209"/>
      <c r="C33" s="210"/>
      <c r="D33" s="210"/>
      <c r="E33" s="210"/>
      <c r="F33" s="211"/>
    </row>
    <row r="34" spans="1:6" ht="18.75" customHeight="1" x14ac:dyDescent="0.15">
      <c r="A34" s="29"/>
      <c r="B34" s="209"/>
      <c r="C34" s="210"/>
      <c r="D34" s="210"/>
      <c r="E34" s="210"/>
      <c r="F34" s="211"/>
    </row>
    <row r="35" spans="1:6" ht="18.75" customHeight="1" x14ac:dyDescent="0.15">
      <c r="A35" s="29"/>
      <c r="B35" s="209"/>
      <c r="C35" s="210"/>
      <c r="D35" s="210"/>
      <c r="E35" s="210"/>
      <c r="F35" s="211"/>
    </row>
    <row r="36" spans="1:6" ht="18.75" customHeight="1" x14ac:dyDescent="0.15">
      <c r="A36" s="29"/>
      <c r="B36" s="209"/>
      <c r="C36" s="210"/>
      <c r="D36" s="210"/>
      <c r="E36" s="210"/>
      <c r="F36" s="211"/>
    </row>
    <row r="37" spans="1:6" ht="18.75" customHeight="1" x14ac:dyDescent="0.15">
      <c r="A37" s="29"/>
      <c r="B37" s="209"/>
      <c r="C37" s="210"/>
      <c r="D37" s="210"/>
      <c r="E37" s="210"/>
      <c r="F37" s="211"/>
    </row>
    <row r="38" spans="1:6" ht="18.75" customHeight="1" x14ac:dyDescent="0.15">
      <c r="A38" s="29"/>
      <c r="B38" s="209"/>
      <c r="C38" s="210"/>
      <c r="D38" s="210"/>
      <c r="E38" s="210"/>
      <c r="F38" s="211"/>
    </row>
    <row r="39" spans="1:6" ht="18.75" customHeight="1" x14ac:dyDescent="0.15">
      <c r="A39" s="29"/>
      <c r="B39" s="209"/>
      <c r="C39" s="210"/>
      <c r="D39" s="210"/>
      <c r="E39" s="210"/>
      <c r="F39" s="211"/>
    </row>
    <row r="40" spans="1:6" ht="18.75" customHeight="1" x14ac:dyDescent="0.15">
      <c r="A40" s="29"/>
      <c r="B40" s="209"/>
      <c r="C40" s="210"/>
      <c r="D40" s="210"/>
      <c r="E40" s="210"/>
      <c r="F40" s="211"/>
    </row>
    <row r="41" spans="1:6" ht="18.75" customHeight="1" x14ac:dyDescent="0.15">
      <c r="A41" s="6"/>
      <c r="B41" s="209"/>
      <c r="C41" s="210"/>
      <c r="D41" s="210"/>
      <c r="E41" s="210"/>
      <c r="F41" s="211"/>
    </row>
    <row r="42" spans="1:6" ht="18.75" customHeight="1" x14ac:dyDescent="0.15">
      <c r="A42" s="6"/>
      <c r="B42" s="209"/>
      <c r="C42" s="210"/>
      <c r="D42" s="210"/>
      <c r="E42" s="210"/>
      <c r="F42" s="211"/>
    </row>
    <row r="43" spans="1:6" ht="18.75" customHeight="1" x14ac:dyDescent="0.15">
      <c r="A43" s="6"/>
      <c r="B43" s="212"/>
      <c r="C43" s="213"/>
      <c r="D43" s="213"/>
      <c r="E43" s="213"/>
      <c r="F43" s="214"/>
    </row>
  </sheetData>
  <mergeCells count="6">
    <mergeCell ref="B28:F43"/>
    <mergeCell ref="E1:F1"/>
    <mergeCell ref="E2:F2"/>
    <mergeCell ref="A4:F4"/>
    <mergeCell ref="B7:F17"/>
    <mergeCell ref="B19:F26"/>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6</vt:i4>
      </vt:variant>
    </vt:vector>
  </HeadingPairs>
  <TitlesOfParts>
    <vt:vector size="13" baseType="lpstr">
      <vt:lpstr>様式１　大学等概要</vt:lpstr>
      <vt:lpstr>様式２　プログラムを構成する授業科目</vt:lpstr>
      <vt:lpstr>様式３　履修者等数の実績</vt:lpstr>
      <vt:lpstr>様式4　プログラムの授業内容・概要</vt:lpstr>
      <vt:lpstr>様式５　教育の質・履修者数を向上させるための体制・計画</vt:lpstr>
      <vt:lpstr>様式６　自己点検・評価</vt:lpstr>
      <vt:lpstr>様式７　特色ある取組</vt:lpstr>
      <vt:lpstr>'様式１　大学等概要'!Print_Area</vt:lpstr>
      <vt:lpstr>'様式２　プログラムを構成する授業科目'!Print_Area</vt:lpstr>
      <vt:lpstr>'様式３　履修者等数の実績'!Print_Area</vt:lpstr>
      <vt:lpstr>'様式５　教育の質・履修者数を向上させるための体制・計画'!Print_Area</vt:lpstr>
      <vt:lpstr>'様式６　自己点検・評価'!Print_Area</vt:lpstr>
      <vt:lpstr>'様式７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山口大学</cp:lastModifiedBy>
  <cp:lastPrinted>2021-07-09T09:54:27Z</cp:lastPrinted>
  <dcterms:created xsi:type="dcterms:W3CDTF">2011-06-14T05:32:50Z</dcterms:created>
  <dcterms:modified xsi:type="dcterms:W3CDTF">2021-08-20T09:07:06Z</dcterms:modified>
</cp:coreProperties>
</file>