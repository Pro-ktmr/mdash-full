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defaultThemeVersion="124226"/>
  <bookViews>
    <workbookView xWindow="0" yWindow="0" windowWidth="28800" windowHeight="11460" tabRatio="885" activeTab="2"/>
  </bookViews>
  <sheets>
    <sheet name="様式１　大学等概要" sheetId="8" r:id="rId1"/>
    <sheet name="様式２　プログラムを構成する授業科目" sheetId="9" r:id="rId2"/>
    <sheet name="様式３　履修者等数の実績" sheetId="31" r:id="rId3"/>
    <sheet name="様式4　プログラムの授業内容・概要" sheetId="34" r:id="rId4"/>
    <sheet name="様式５　教育の質・履修者数を向上させるための体制・計画" sheetId="35" r:id="rId5"/>
    <sheet name="様式６　自己点検・評価" sheetId="37"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　プログラムを構成する授業科目'!$A$1:$I$44</definedName>
    <definedName name="_xlnm.Print_Area" localSheetId="2">'様式３　履修者等数の実績'!$A$1:$R$29</definedName>
    <definedName name="_xlnm.Print_Area" localSheetId="4">'様式５　教育の質・履修者数を向上させるための体制・計画'!$A$1:$E$85</definedName>
    <definedName name="_xlnm.Print_Area" localSheetId="5">'様式６　自己点検・評価'!$A$1:$J$20</definedName>
  </definedNames>
  <calcPr calcId="145621"/>
</workbook>
</file>

<file path=xl/calcChain.xml><?xml version="1.0" encoding="utf-8"?>
<calcChain xmlns="http://schemas.openxmlformats.org/spreadsheetml/2006/main">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6" i="31"/>
  <c r="R16" i="31" s="1"/>
  <c r="R15" i="31"/>
  <c r="Q15" i="31"/>
  <c r="Q14" i="31"/>
  <c r="R14" i="31" s="1"/>
  <c r="Q13" i="31"/>
  <c r="R13" i="31" s="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<sst xmlns="http://schemas.openxmlformats.org/spreadsheetml/2006/main" count="308" uniqueCount="219">
  <si>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</si>
  <si>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</si>
  <si>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</si>
  <si>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</si>
  <si>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</si>
  <si>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</si>
  <si>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</si>
  <si>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</si>
  <si>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</si>
  <si>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</si>
  <si>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</si>
  <si>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</si>
  <si>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</si>
  <si>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</si>
  <si>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</si>
  <si>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</si>
  <si>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</si>
  <si>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</si>
  <si>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</si>
  <si>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</si>
  <si>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</si>
  <si>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</si>
  <si>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</si>
  <si>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</si>
  <si>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</si>
  <si>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</si>
  <si>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</si>
  <si>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</si>
  <si>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</si>
  <si>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</si>
  <si>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</si>
  <si>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</si>
  <si>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</si>
  <si>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</si>
  <si>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</si>
  <si>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</si>
  <si>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</si>
  <si>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</si>
  <si>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</si>
  <si>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</si>
  <si>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</si>
  <si>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</si>
  <si>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</si>
  <si>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</si>
  <si>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</si>
  <si>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</si>
  <si>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</si>
  <si>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</si>
  <si>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</si>
  <si>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</si>
  <si>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</si>
  <si>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</si>
  <si>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</si>
  <si>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大学等の設置者</t>
  </si>
  <si>
    <t>設置形態</t>
  </si>
  <si>
    <t>⑫</t>
    <phoneticPr fontId="1"/>
  </si>
  <si>
    <t>総数</t>
    <rPh sb="0" eb="2">
      <t>ソウスウ</t>
    </rPh>
    <phoneticPr fontId="1"/>
  </si>
  <si>
    <t>⑧</t>
    <phoneticPr fontId="1"/>
  </si>
  <si>
    <t>⑬</t>
    <phoneticPr fontId="1"/>
  </si>
  <si>
    <t>学校名：</t>
    <rPh sb="0" eb="2">
      <t>ガッコウ</t>
    </rPh>
    <phoneticPr fontId="1"/>
  </si>
  <si>
    <t>履修率</t>
    <rPh sb="0" eb="2">
      <t>リシュウ</t>
    </rPh>
    <rPh sb="2" eb="3">
      <t>リツ</t>
    </rPh>
    <phoneticPr fontId="1"/>
  </si>
  <si>
    <t>合　計</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</si>
  <si>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</si>
  <si>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</si>
  <si>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</si>
  <si>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</si>
  <si>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</si>
  <si>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</si>
  <si>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学校名：</t>
    <rPh sb="0" eb="2">
      <t>ガッコウ</t>
    </rPh>
    <rPh sb="2" eb="3">
      <t>メイ</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</si>
  <si>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</si>
  <si>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</si>
  <si>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</si>
  <si>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</si>
  <si>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</si>
  <si>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</si>
  <si>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</si>
  <si>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</si>
  <si>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</si>
  <si>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</si>
  <si>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</si>
  <si>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</si>
  <si>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</si>
  <si>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</si>
  <si>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</si>
  <si>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</si>
  <si>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</si>
  <si>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</si>
  <si>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</si>
  <si>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</si>
  <si>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</si>
  <si>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</si>
  <si>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</si>
  <si>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④</t>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</si>
  <si>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</si>
  <si>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</si>
  <si>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</si>
  <si>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</si>
  <si>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</si>
  <si>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</si>
  <si>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</si>
  <si>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</si>
  <si>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</si>
  <si>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</si>
  <si>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</si>
  <si>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</si>
  <si>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</si>
  <si>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</si>
  <si>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</si>
  <si>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</si>
  <si>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</si>
  <si>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</si>
  <si>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</si>
  <si>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</si>
  <si>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</si>
  <si>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</si>
  <si>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</si>
  <si>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</si>
  <si>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</si>
  <si>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</si>
  <si>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</si>
  <si>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</si>
  <si>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</si>
  <si>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</si>
  <si>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</si>
  <si>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</si>
  <si>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</si>
  <si>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本学は、教員一人あたりにつく学生数が少ない少人数教育を実施しているため、各担当教員が担当学生の現状を履修状況を含め把握している。したがって、履修指導については、以前よりきめ細かな指導を行ってきた実績があり、その延長線上に本プログラム認定のための履修指導を行うことは可能である。
また、講義については、講義時間外でのオフィスアワーが設定されており、学生の質問や相談といった就学相談に関する制度は確立されており、講義内容に関するフォロー体制は整っている。
さらに、本教育プログラムの履修については教務課で管理し、学生は教務課にて質問が可能な体制も整備しているため、多くの学生が修得できるようサポート体制を整えている。</t>
    <rPh sb="0" eb="2">
      <t>ホンガク</t>
    </rPh>
    <rPh sb="4" eb="6">
      <t>キョウイン</t>
    </rPh>
    <rPh sb="6" eb="8">
      <t>ヒトリ</t>
    </rPh>
    <rPh sb="14" eb="16">
      <t>ガクセイ</t>
    </rPh>
    <rPh sb="16" eb="17">
      <t>スウ</t>
    </rPh>
    <rPh sb="18" eb="19">
      <t>スク</t>
    </rPh>
    <rPh sb="21" eb="26">
      <t>ショウニンズウキョウイク</t>
    </rPh>
    <rPh sb="27" eb="29">
      <t>ジッシ</t>
    </rPh>
    <rPh sb="36" eb="37">
      <t>カク</t>
    </rPh>
    <rPh sb="37" eb="39">
      <t>タントウ</t>
    </rPh>
    <rPh sb="39" eb="41">
      <t>キョウイン</t>
    </rPh>
    <rPh sb="42" eb="44">
      <t>タントウ</t>
    </rPh>
    <rPh sb="44" eb="46">
      <t>ガクセイ</t>
    </rPh>
    <rPh sb="47" eb="49">
      <t>ゲンジョウ</t>
    </rPh>
    <rPh sb="50" eb="52">
      <t>リシュウ</t>
    </rPh>
    <rPh sb="52" eb="54">
      <t>ジョウキョウ</t>
    </rPh>
    <rPh sb="55" eb="56">
      <t>フク</t>
    </rPh>
    <rPh sb="57" eb="59">
      <t>ハアク</t>
    </rPh>
    <rPh sb="70" eb="72">
      <t>リシュウ</t>
    </rPh>
    <rPh sb="72" eb="74">
      <t>シドウ</t>
    </rPh>
    <rPh sb="80" eb="82">
      <t>イゼン</t>
    </rPh>
    <rPh sb="86" eb="87">
      <t>コマ</t>
    </rPh>
    <rPh sb="89" eb="91">
      <t>シドウ</t>
    </rPh>
    <rPh sb="92" eb="93">
      <t>オコナ</t>
    </rPh>
    <rPh sb="97" eb="99">
      <t>ジッセキ</t>
    </rPh>
    <rPh sb="105" eb="107">
      <t>エンチョウ</t>
    </rPh>
    <rPh sb="107" eb="109">
      <t>センジョウ</t>
    </rPh>
    <rPh sb="110" eb="111">
      <t>ホン</t>
    </rPh>
    <rPh sb="116" eb="118">
      <t>ニンテイ</t>
    </rPh>
    <rPh sb="122" eb="124">
      <t>リシュウ</t>
    </rPh>
    <rPh sb="124" eb="126">
      <t>シドウ</t>
    </rPh>
    <rPh sb="127" eb="128">
      <t>オコナ</t>
    </rPh>
    <rPh sb="132" eb="134">
      <t>カノウ</t>
    </rPh>
    <rPh sb="142" eb="144">
      <t>コウギ</t>
    </rPh>
    <rPh sb="150" eb="152">
      <t>コウギ</t>
    </rPh>
    <rPh sb="152" eb="154">
      <t>ジカン</t>
    </rPh>
    <rPh sb="154" eb="155">
      <t>ガイ</t>
    </rPh>
    <rPh sb="165" eb="167">
      <t>セッテイ</t>
    </rPh>
    <rPh sb="173" eb="175">
      <t>ガクセイ</t>
    </rPh>
    <rPh sb="176" eb="178">
      <t>シツモン</t>
    </rPh>
    <rPh sb="179" eb="181">
      <t>ソウダン</t>
    </rPh>
    <rPh sb="185" eb="189">
      <t>シュウガクソウダン</t>
    </rPh>
    <rPh sb="190" eb="191">
      <t>カン</t>
    </rPh>
    <rPh sb="193" eb="195">
      <t>セイド</t>
    </rPh>
    <rPh sb="196" eb="198">
      <t>カクリツ</t>
    </rPh>
    <rPh sb="204" eb="206">
      <t>コウギ</t>
    </rPh>
    <rPh sb="206" eb="208">
      <t>ナイヨウ</t>
    </rPh>
    <rPh sb="209" eb="210">
      <t>カン</t>
    </rPh>
    <rPh sb="216" eb="218">
      <t>タイセイ</t>
    </rPh>
    <rPh sb="219" eb="220">
      <t>トトノ</t>
    </rPh>
    <rPh sb="280" eb="281">
      <t>オオ</t>
    </rPh>
    <rPh sb="283" eb="285">
      <t>ガクセイ</t>
    </rPh>
    <rPh sb="286" eb="288">
      <t>シュウトク</t>
    </rPh>
    <rPh sb="297" eb="299">
      <t>タイセイ</t>
    </rPh>
    <rPh sb="300" eb="301">
      <t>トトノ</t>
    </rPh>
    <phoneticPr fontId="1"/>
  </si>
  <si>
    <t>モデルカリキュラムのリテラシーレベルの導入部分に準じた内容を展開し、例えば情報学入門においてデータサイエンスやAIがどのように研究に活用されているかなど学んだ先にある果実を提示することで好奇心を促す内容としている。また、研究だけでなくマーケティングや消費者行動についても講義中に具体的な実例をあげることでデータサイエンスやAIの活用範囲が広い事を伝えるようにしている。</t>
    <rPh sb="19" eb="21">
      <t>ドウニュウ</t>
    </rPh>
    <rPh sb="21" eb="23">
      <t>ブブン</t>
    </rPh>
    <rPh sb="24" eb="25">
      <t>ジュン</t>
    </rPh>
    <rPh sb="27" eb="29">
      <t>ナイヨウ</t>
    </rPh>
    <rPh sb="30" eb="32">
      <t>テンカイ</t>
    </rPh>
    <rPh sb="34" eb="35">
      <t>タト</t>
    </rPh>
    <rPh sb="37" eb="39">
      <t>ジョウホウ</t>
    </rPh>
    <rPh sb="39" eb="40">
      <t>ガク</t>
    </rPh>
    <rPh sb="40" eb="42">
      <t>ニュウモン</t>
    </rPh>
    <rPh sb="63" eb="65">
      <t>ケンキュウ</t>
    </rPh>
    <rPh sb="66" eb="68">
      <t>カツヨウ</t>
    </rPh>
    <rPh sb="76" eb="77">
      <t>マナ</t>
    </rPh>
    <rPh sb="79" eb="80">
      <t>サキ</t>
    </rPh>
    <rPh sb="83" eb="85">
      <t>カジツ</t>
    </rPh>
    <rPh sb="86" eb="88">
      <t>テイジ</t>
    </rPh>
    <rPh sb="93" eb="96">
      <t>コウキシン</t>
    </rPh>
    <rPh sb="97" eb="98">
      <t>ウナガ</t>
    </rPh>
    <rPh sb="99" eb="101">
      <t>ナイヨウ</t>
    </rPh>
    <rPh sb="110" eb="112">
      <t>ケンキュウ</t>
    </rPh>
    <rPh sb="125" eb="128">
      <t>ショウヒシャ</t>
    </rPh>
    <rPh sb="128" eb="130">
      <t>コウドウ</t>
    </rPh>
    <rPh sb="135" eb="138">
      <t>コウギチュウ</t>
    </rPh>
    <rPh sb="139" eb="142">
      <t>グタイテキ</t>
    </rPh>
    <rPh sb="143" eb="145">
      <t>ジツレイ</t>
    </rPh>
    <rPh sb="164" eb="166">
      <t>カツヨウ</t>
    </rPh>
    <rPh sb="166" eb="168">
      <t>ハンイ</t>
    </rPh>
    <rPh sb="169" eb="170">
      <t>ヒロ</t>
    </rPh>
    <rPh sb="171" eb="172">
      <t>コト</t>
    </rPh>
    <rPh sb="173" eb="174">
      <t>ツタ</t>
    </rPh>
    <phoneticPr fontId="1"/>
  </si>
  <si>
    <t>九州情報大学</t>
    <rPh sb="0" eb="6">
      <t>キュウシュウジョウホウダイガク</t>
    </rPh>
    <phoneticPr fontId="1"/>
  </si>
  <si>
    <t>九州情報大学</t>
    <rPh sb="0" eb="6">
      <t>キュウシュウジョウホウダイガク</t>
    </rPh>
    <phoneticPr fontId="1"/>
  </si>
  <si>
    <t>プログラムを構成する科目下記1から6までを必修科目とし12単位を修得し、下記7から12までの選択科目の内3科目6単位以上の合計18単位以上を修得すること。</t>
    <rPh sb="6" eb="8">
      <t>コウセイ</t>
    </rPh>
    <rPh sb="10" eb="12">
      <t>カモク</t>
    </rPh>
    <rPh sb="12" eb="14">
      <t>カキ</t>
    </rPh>
    <rPh sb="21" eb="25">
      <t>ヒッシュウカモク</t>
    </rPh>
    <rPh sb="29" eb="31">
      <t>タンイ</t>
    </rPh>
    <rPh sb="32" eb="34">
      <t>シュウトク</t>
    </rPh>
    <rPh sb="36" eb="38">
      <t>カキ</t>
    </rPh>
    <rPh sb="46" eb="50">
      <t>センタクカモク</t>
    </rPh>
    <rPh sb="51" eb="52">
      <t>ウチ</t>
    </rPh>
    <rPh sb="53" eb="55">
      <t>カモク</t>
    </rPh>
    <rPh sb="56" eb="60">
      <t>タンイイジョウ</t>
    </rPh>
    <rPh sb="61" eb="63">
      <t>ゴウケイ</t>
    </rPh>
    <rPh sb="65" eb="67">
      <t>タンイ</t>
    </rPh>
    <rPh sb="67" eb="69">
      <t>イジョウ</t>
    </rPh>
    <rPh sb="70" eb="72">
      <t>シュウトク</t>
    </rPh>
    <phoneticPr fontId="1"/>
  </si>
  <si>
    <t>情報リテラシー演習</t>
    <rPh sb="0" eb="2">
      <t>ジョウホウ</t>
    </rPh>
    <rPh sb="7" eb="9">
      <t>エンシュウ</t>
    </rPh>
    <phoneticPr fontId="1"/>
  </si>
  <si>
    <t>情報学入門</t>
    <rPh sb="0" eb="5">
      <t>ジョウホウガクニュウモン</t>
    </rPh>
    <phoneticPr fontId="1"/>
  </si>
  <si>
    <t>基礎数学</t>
    <rPh sb="0" eb="4">
      <t>キソスウガク</t>
    </rPh>
    <phoneticPr fontId="1"/>
  </si>
  <si>
    <t>情報倫理</t>
    <rPh sb="0" eb="4">
      <t>ジョウホウリンリ</t>
    </rPh>
    <phoneticPr fontId="1"/>
  </si>
  <si>
    <t>統計学入門</t>
    <rPh sb="0" eb="5">
      <t>トウケイガクニュウモン</t>
    </rPh>
    <phoneticPr fontId="1"/>
  </si>
  <si>
    <t>経営情報論Ⅰ</t>
    <rPh sb="0" eb="5">
      <t>ケイエイジョウホウロン</t>
    </rPh>
    <phoneticPr fontId="1"/>
  </si>
  <si>
    <t>マーケティング論</t>
    <rPh sb="7" eb="8">
      <t>ロン</t>
    </rPh>
    <phoneticPr fontId="1"/>
  </si>
  <si>
    <t>消費者行動論</t>
    <rPh sb="0" eb="6">
      <t>ショウヒシャコウドウロン</t>
    </rPh>
    <phoneticPr fontId="1"/>
  </si>
  <si>
    <t>マーケティング・リサーチ</t>
    <phoneticPr fontId="1"/>
  </si>
  <si>
    <t>経営分析</t>
    <rPh sb="0" eb="4">
      <t>ケイエイブンセキ</t>
    </rPh>
    <phoneticPr fontId="1"/>
  </si>
  <si>
    <t>ビジネスプログラミング</t>
    <phoneticPr fontId="1"/>
  </si>
  <si>
    <t>経営情報論Ⅱ</t>
    <rPh sb="0" eb="5">
      <t>ケイエイジョウホウロン</t>
    </rPh>
    <phoneticPr fontId="1"/>
  </si>
  <si>
    <t>情報リテラシー演習</t>
    <rPh sb="0" eb="2">
      <t>ジョウホウ</t>
    </rPh>
    <rPh sb="7" eb="9">
      <t>エンシュウ</t>
    </rPh>
    <phoneticPr fontId="1"/>
  </si>
  <si>
    <t>情報学入門</t>
    <rPh sb="0" eb="5">
      <t>ジョウホウガクニュウモン</t>
    </rPh>
    <phoneticPr fontId="1"/>
  </si>
  <si>
    <t>経営情報論Ⅰ</t>
    <rPh sb="0" eb="5">
      <t>ケイエイジョウホウロン</t>
    </rPh>
    <phoneticPr fontId="1"/>
  </si>
  <si>
    <t>経営情報論Ⅱ</t>
    <rPh sb="0" eb="5">
      <t>ケイエイジョウホウロン</t>
    </rPh>
    <phoneticPr fontId="1"/>
  </si>
  <si>
    <t>マーケティング論</t>
    <rPh sb="7" eb="8">
      <t>ロン</t>
    </rPh>
    <phoneticPr fontId="1"/>
  </si>
  <si>
    <t>消費者行動論</t>
    <rPh sb="0" eb="6">
      <t>ショウヒシャコウドウロン</t>
    </rPh>
    <phoneticPr fontId="1"/>
  </si>
  <si>
    <t>マーケティング・リサーチ</t>
    <phoneticPr fontId="1"/>
  </si>
  <si>
    <t>経営分析</t>
    <rPh sb="0" eb="4">
      <t>ケイエイブンセキ</t>
    </rPh>
    <phoneticPr fontId="1"/>
  </si>
  <si>
    <t>統計学入門</t>
    <rPh sb="0" eb="5">
      <t>トウケイガクニュウモン</t>
    </rPh>
    <phoneticPr fontId="1"/>
  </si>
  <si>
    <t>情報倫理</t>
    <rPh sb="0" eb="4">
      <t>ジョウホウリンリ</t>
    </rPh>
    <phoneticPr fontId="1"/>
  </si>
  <si>
    <t>基礎数学、統計学入門</t>
    <rPh sb="0" eb="4">
      <t>キソスウガク</t>
    </rPh>
    <rPh sb="5" eb="10">
      <t>トウケイガクニュウモン</t>
    </rPh>
    <phoneticPr fontId="1"/>
  </si>
  <si>
    <t>ビジネスプログラミング</t>
    <phoneticPr fontId="1"/>
  </si>
  <si>
    <t>ビジネスにおけるデータ利活用の最新動向(5～12)</t>
    <rPh sb="11" eb="14">
      <t>リカツヨウ</t>
    </rPh>
    <rPh sb="15" eb="17">
      <t>サイシン</t>
    </rPh>
    <rPh sb="17" eb="19">
      <t>ドウコウ</t>
    </rPh>
    <phoneticPr fontId="1"/>
  </si>
  <si>
    <t>最新の消費者行動理論(7)</t>
    <rPh sb="0" eb="2">
      <t>サイシン</t>
    </rPh>
    <rPh sb="3" eb="6">
      <t>ショウヒシャ</t>
    </rPh>
    <rPh sb="6" eb="8">
      <t>コウドウ</t>
    </rPh>
    <rPh sb="8" eb="10">
      <t>リロン</t>
    </rPh>
    <phoneticPr fontId="1"/>
  </si>
  <si>
    <t>マーケティング・リサーチ(10)、家計調査年報を利用した分析(12～15)</t>
    <rPh sb="17" eb="19">
      <t>カケイ</t>
    </rPh>
    <rPh sb="19" eb="21">
      <t>チョウサ</t>
    </rPh>
    <rPh sb="21" eb="23">
      <t>ネンポウ</t>
    </rPh>
    <rPh sb="24" eb="26">
      <t>リヨウ</t>
    </rPh>
    <rPh sb="28" eb="30">
      <t>ブンセキ</t>
    </rPh>
    <phoneticPr fontId="1"/>
  </si>
  <si>
    <t>企業の経営分析(10～14)</t>
    <rPh sb="0" eb="2">
      <t>キギョウ</t>
    </rPh>
    <rPh sb="3" eb="5">
      <t>ケイエイ</t>
    </rPh>
    <rPh sb="5" eb="7">
      <t>ブンセキ</t>
    </rPh>
    <phoneticPr fontId="1"/>
  </si>
  <si>
    <t>現代におけるマーケティング(15)</t>
    <rPh sb="0" eb="2">
      <t>ゲンダイ</t>
    </rPh>
    <phoneticPr fontId="1"/>
  </si>
  <si>
    <t>消費者行動の分析(14, 15)</t>
    <rPh sb="0" eb="3">
      <t>ショウヒシャ</t>
    </rPh>
    <rPh sb="3" eb="5">
      <t>コウドウ</t>
    </rPh>
    <rPh sb="6" eb="8">
      <t>ブンセキ</t>
    </rPh>
    <phoneticPr fontId="1"/>
  </si>
  <si>
    <t>データ・AI利活用のための技術(2～14)</t>
    <rPh sb="6" eb="9">
      <t>リカツヨウ</t>
    </rPh>
    <rPh sb="13" eb="15">
      <t>ギジュツ</t>
    </rPh>
    <phoneticPr fontId="1"/>
  </si>
  <si>
    <t>情報モラル・セキュリティ(13)</t>
    <rPh sb="0" eb="2">
      <t>ジョウホウ</t>
    </rPh>
    <phoneticPr fontId="1"/>
  </si>
  <si>
    <t>情報セキュリティ・情報倫理(10～14)</t>
    <rPh sb="0" eb="2">
      <t>ジョウホウ</t>
    </rPh>
    <rPh sb="9" eb="11">
      <t>ジョウホウ</t>
    </rPh>
    <rPh sb="11" eb="13">
      <t>リンリ</t>
    </rPh>
    <phoneticPr fontId="1"/>
  </si>
  <si>
    <t>データを扱う(11)、データを説明する(12)</t>
    <rPh sb="4" eb="5">
      <t>アツカ</t>
    </rPh>
    <rPh sb="15" eb="17">
      <t>セツメイ</t>
    </rPh>
    <phoneticPr fontId="1"/>
  </si>
  <si>
    <t>ビジネスにおけるデータ利活用の最新動向(2～12)</t>
    <rPh sb="11" eb="14">
      <t>リカツヨウ</t>
    </rPh>
    <rPh sb="15" eb="17">
      <t>サイシン</t>
    </rPh>
    <rPh sb="17" eb="19">
      <t>ドウコウ</t>
    </rPh>
    <phoneticPr fontId="1"/>
  </si>
  <si>
    <t>セキュリティとリスク管理、プライバシーと情報倫理(14, 15)</t>
    <rPh sb="10" eb="12">
      <t>カンリ</t>
    </rPh>
    <rPh sb="20" eb="22">
      <t>ジョウホウ</t>
    </rPh>
    <rPh sb="22" eb="24">
      <t>リンリ</t>
    </rPh>
    <phoneticPr fontId="1"/>
  </si>
  <si>
    <t>医療に関連したデータの利活用(7, 8, 12)</t>
    <rPh sb="0" eb="2">
      <t>イリョウ</t>
    </rPh>
    <rPh sb="3" eb="5">
      <t>カンレン</t>
    </rPh>
    <rPh sb="11" eb="14">
      <t>リカツヨウ</t>
    </rPh>
    <phoneticPr fontId="1"/>
  </si>
  <si>
    <t>数理・データサイエンス・AIが現在様々な場面で利活用され価値を創出していることについて学ぶ。本学経営情報学部の特色を活かして、現代社会における情報システムやIT、ICTの最新動向についても実例を交えて数理・データサイエンス・AIが創出する価値について理解する。例えば、製造・流通・金融・ビジネス・医療現場における活用事例や、消費者行動・企業経営の分析などを通して、どのようにデータが利活用され価値を創出しているかについて理解する。</t>
    <rPh sb="0" eb="2">
      <t>スウリ</t>
    </rPh>
    <rPh sb="15" eb="17">
      <t>ゲンザイ</t>
    </rPh>
    <rPh sb="17" eb="19">
      <t>サマザマ</t>
    </rPh>
    <rPh sb="20" eb="22">
      <t>バメン</t>
    </rPh>
    <rPh sb="23" eb="26">
      <t>リカツヨウ</t>
    </rPh>
    <rPh sb="28" eb="30">
      <t>カチ</t>
    </rPh>
    <rPh sb="31" eb="33">
      <t>ソウシュツ</t>
    </rPh>
    <rPh sb="43" eb="44">
      <t>マナ</t>
    </rPh>
    <rPh sb="100" eb="102">
      <t>スウリ</t>
    </rPh>
    <rPh sb="115" eb="117">
      <t>ソウシュツ</t>
    </rPh>
    <rPh sb="119" eb="121">
      <t>カチ</t>
    </rPh>
    <rPh sb="148" eb="150">
      <t>イリョウ</t>
    </rPh>
    <rPh sb="150" eb="152">
      <t>ゲンバ</t>
    </rPh>
    <rPh sb="196" eb="198">
      <t>カチ</t>
    </rPh>
    <rPh sb="199" eb="201">
      <t>ソウシュツ</t>
    </rPh>
    <phoneticPr fontId="1"/>
  </si>
  <si>
    <t>現代社会における実例の紹介(4, 5)、データAI利活用の最新動向(8, 9, 12, 13)</t>
    <rPh sb="0" eb="2">
      <t>ゲンダイ</t>
    </rPh>
    <rPh sb="2" eb="4">
      <t>シャカイ</t>
    </rPh>
    <rPh sb="8" eb="10">
      <t>ジツレイ</t>
    </rPh>
    <rPh sb="9" eb="10">
      <t>ジョウジツ</t>
    </rPh>
    <rPh sb="11" eb="13">
      <t>ショウカイ</t>
    </rPh>
    <rPh sb="25" eb="28">
      <t>リカツヨウ</t>
    </rPh>
    <rPh sb="29" eb="31">
      <t>サイシン</t>
    </rPh>
    <rPh sb="31" eb="33">
      <t>ドウコウ</t>
    </rPh>
    <phoneticPr fontId="1"/>
  </si>
  <si>
    <t>製造・流通・金融における情報システム概要と実例(2～12)、データ活用の最新動向(14, 15)</t>
    <rPh sb="0" eb="2">
      <t>セイゾウ</t>
    </rPh>
    <rPh sb="3" eb="5">
      <t>リュウツウ</t>
    </rPh>
    <rPh sb="6" eb="8">
      <t>キンユウ</t>
    </rPh>
    <rPh sb="12" eb="14">
      <t>ジョウホウ</t>
    </rPh>
    <rPh sb="18" eb="20">
      <t>ガイヨウ</t>
    </rPh>
    <rPh sb="21" eb="23">
      <t>ジツレイ</t>
    </rPh>
    <rPh sb="33" eb="35">
      <t>カツヨウ</t>
    </rPh>
    <rPh sb="36" eb="38">
      <t>サイシン</t>
    </rPh>
    <rPh sb="38" eb="40">
      <t>ドウコウ</t>
    </rPh>
    <phoneticPr fontId="1"/>
  </si>
  <si>
    <t>e-マーケティング、IT、ICTの最新動向(13, 14)</t>
    <rPh sb="17" eb="19">
      <t>サイシン</t>
    </rPh>
    <rPh sb="19" eb="21">
      <t>ドウコウ</t>
    </rPh>
    <phoneticPr fontId="1"/>
  </si>
  <si>
    <t>社会で活用されているデータ(5, 7, 9, 13)、データAIの活用領域(6, 8, 12)</t>
    <rPh sb="0" eb="2">
      <t>シャカイ</t>
    </rPh>
    <rPh sb="3" eb="5">
      <t>カツヨウ</t>
    </rPh>
    <rPh sb="33" eb="35">
      <t>カツヨウ</t>
    </rPh>
    <rPh sb="35" eb="37">
      <t>リョウイキ</t>
    </rPh>
    <phoneticPr fontId="1"/>
  </si>
  <si>
    <t>表計算ソフトを用いたデータ分析の基礎(10, 11)</t>
    <rPh sb="0" eb="3">
      <t>ヒョウケイサン</t>
    </rPh>
    <rPh sb="7" eb="8">
      <t>モチ</t>
    </rPh>
    <rPh sb="13" eb="15">
      <t>ブンセキ</t>
    </rPh>
    <rPh sb="16" eb="18">
      <t>キソ</t>
    </rPh>
    <phoneticPr fontId="1"/>
  </si>
  <si>
    <t>社会においてどのようにデータやAIを取り扱っているのか、そしてそれらを利活用しているのかに関する知識を身につけるとともに、データの取り扱い方やデータを読む力などの基礎的な能力を身につける。</t>
    <rPh sb="0" eb="2">
      <t>シャカイ</t>
    </rPh>
    <rPh sb="18" eb="19">
      <t>ト</t>
    </rPh>
    <rPh sb="20" eb="21">
      <t>アツカ</t>
    </rPh>
    <rPh sb="35" eb="38">
      <t>リカツヨウ</t>
    </rPh>
    <rPh sb="45" eb="46">
      <t>カン</t>
    </rPh>
    <rPh sb="48" eb="50">
      <t>チシキ</t>
    </rPh>
    <rPh sb="51" eb="52">
      <t>ミ</t>
    </rPh>
    <rPh sb="65" eb="66">
      <t>ト</t>
    </rPh>
    <rPh sb="67" eb="68">
      <t>アツカ</t>
    </rPh>
    <rPh sb="69" eb="70">
      <t>カタ</t>
    </rPh>
    <rPh sb="75" eb="76">
      <t>ヨ</t>
    </rPh>
    <rPh sb="77" eb="78">
      <t>チカラ</t>
    </rPh>
    <rPh sb="81" eb="84">
      <t>キソテキ</t>
    </rPh>
    <rPh sb="85" eb="87">
      <t>ノウリョク</t>
    </rPh>
    <rPh sb="88" eb="89">
      <t>ミ</t>
    </rPh>
    <phoneticPr fontId="1"/>
  </si>
  <si>
    <t>本プログラム必修科目である情報リテラシー演習において実施したアンケート結果は、次年度における本科目の内容や計画等に反映させており、学生に対する教育的配慮を充分に実施している。ただし、この教育効果に関する知見は、今年度以降のアンケート結果から得られるため、その推奨度やアンケートの効果については引き続き検討していく必要がある。</t>
    <rPh sb="39" eb="42">
      <t>ジネンド</t>
    </rPh>
    <rPh sb="46" eb="47">
      <t>ホン</t>
    </rPh>
    <rPh sb="47" eb="49">
      <t>カモク</t>
    </rPh>
    <rPh sb="50" eb="52">
      <t>ナイヨウ</t>
    </rPh>
    <rPh sb="53" eb="55">
      <t>ケイカク</t>
    </rPh>
    <rPh sb="55" eb="56">
      <t>トウ</t>
    </rPh>
    <rPh sb="57" eb="59">
      <t>ハンエイ</t>
    </rPh>
    <rPh sb="65" eb="67">
      <t>ガクセイ</t>
    </rPh>
    <rPh sb="68" eb="69">
      <t>タイ</t>
    </rPh>
    <rPh sb="71" eb="74">
      <t>キョウイクテキ</t>
    </rPh>
    <rPh sb="74" eb="76">
      <t>ハイリョ</t>
    </rPh>
    <rPh sb="77" eb="79">
      <t>ジュウブン</t>
    </rPh>
    <rPh sb="80" eb="82">
      <t>ジッシ</t>
    </rPh>
    <rPh sb="93" eb="97">
      <t>キョウイクコウカ</t>
    </rPh>
    <rPh sb="98" eb="99">
      <t>カン</t>
    </rPh>
    <rPh sb="101" eb="103">
      <t>チケン</t>
    </rPh>
    <rPh sb="105" eb="108">
      <t>コンネンド</t>
    </rPh>
    <rPh sb="108" eb="110">
      <t>イコウ</t>
    </rPh>
    <rPh sb="116" eb="118">
      <t>ケッカ</t>
    </rPh>
    <rPh sb="120" eb="121">
      <t>エ</t>
    </rPh>
    <rPh sb="129" eb="132">
      <t>スイショウド</t>
    </rPh>
    <rPh sb="139" eb="141">
      <t>コウカ</t>
    </rPh>
    <rPh sb="146" eb="147">
      <t>ヒ</t>
    </rPh>
    <rPh sb="148" eb="149">
      <t>ツヅ</t>
    </rPh>
    <rPh sb="150" eb="152">
      <t>ケントウ</t>
    </rPh>
    <rPh sb="156" eb="158">
      <t>ヒツヨウ</t>
    </rPh>
    <phoneticPr fontId="1"/>
  </si>
  <si>
    <t>FD委員会が実施している授業改善アンケートの項目のうち、新知識・考え方が得られたという項目においてプログラム対象科目に関する学生の理解度を推し量ることが出来る。その結果を各科目担当教員が評価・改善に活用している。本プログラム対象科目においては8割以上の学生が新知識・考え方が得られたと評価しており、データサイエンスに関するリテラシー教育は順調だと評価できる。</t>
    <rPh sb="2" eb="5">
      <t>イインカイ</t>
    </rPh>
    <rPh sb="6" eb="8">
      <t>ジッシ</t>
    </rPh>
    <rPh sb="12" eb="16">
      <t>ジュギョウカイゼン</t>
    </rPh>
    <rPh sb="22" eb="24">
      <t>コウモク</t>
    </rPh>
    <rPh sb="28" eb="31">
      <t>シンチシキ</t>
    </rPh>
    <rPh sb="32" eb="33">
      <t>カンガ</t>
    </rPh>
    <rPh sb="34" eb="35">
      <t>カタ</t>
    </rPh>
    <rPh sb="36" eb="37">
      <t>エ</t>
    </rPh>
    <rPh sb="43" eb="45">
      <t>コウモク</t>
    </rPh>
    <rPh sb="54" eb="58">
      <t>タイショウカモク</t>
    </rPh>
    <rPh sb="59" eb="60">
      <t>カン</t>
    </rPh>
    <rPh sb="62" eb="64">
      <t>ガクセイ</t>
    </rPh>
    <rPh sb="65" eb="68">
      <t>リカイド</t>
    </rPh>
    <rPh sb="69" eb="70">
      <t>オ</t>
    </rPh>
    <rPh sb="71" eb="72">
      <t>ハカ</t>
    </rPh>
    <rPh sb="76" eb="78">
      <t>デキ</t>
    </rPh>
    <rPh sb="82" eb="84">
      <t>ケッカ</t>
    </rPh>
    <rPh sb="85" eb="86">
      <t>カク</t>
    </rPh>
    <rPh sb="86" eb="90">
      <t>カモクタントウ</t>
    </rPh>
    <rPh sb="90" eb="92">
      <t>キョウイン</t>
    </rPh>
    <rPh sb="93" eb="95">
      <t>ヒョウカ</t>
    </rPh>
    <rPh sb="96" eb="98">
      <t>カイゼン</t>
    </rPh>
    <rPh sb="99" eb="101">
      <t>カツヨウ</t>
    </rPh>
    <rPh sb="106" eb="107">
      <t>ホン</t>
    </rPh>
    <rPh sb="112" eb="114">
      <t>タイショウ</t>
    </rPh>
    <rPh sb="114" eb="116">
      <t>カモク</t>
    </rPh>
    <rPh sb="122" eb="125">
      <t>ワリイジョウ</t>
    </rPh>
    <rPh sb="126" eb="128">
      <t>ガクセイ</t>
    </rPh>
    <rPh sb="129" eb="132">
      <t>シンチシキ</t>
    </rPh>
    <rPh sb="142" eb="144">
      <t>ヒョウカ</t>
    </rPh>
    <rPh sb="158" eb="159">
      <t>カン</t>
    </rPh>
    <rPh sb="166" eb="168">
      <t>キョウイク</t>
    </rPh>
    <rPh sb="169" eb="171">
      <t>ジュンチョウ</t>
    </rPh>
    <rPh sb="173" eb="175">
      <t>ヒョウカ</t>
    </rPh>
    <phoneticPr fontId="1"/>
  </si>
  <si>
    <t>九州情報大学</t>
    <rPh sb="0" eb="2">
      <t>キュウシュウ</t>
    </rPh>
    <rPh sb="2" eb="4">
      <t>ジョウホウ</t>
    </rPh>
    <rPh sb="4" eb="6">
      <t>ダイガク</t>
    </rPh>
    <phoneticPr fontId="1"/>
  </si>
  <si>
    <t>学校法人麻生教育学園</t>
    <rPh sb="0" eb="4">
      <t>ガッコウホウジン</t>
    </rPh>
    <rPh sb="4" eb="8">
      <t>アソウキョウイク</t>
    </rPh>
    <rPh sb="8" eb="10">
      <t>ガクエン</t>
    </rPh>
    <phoneticPr fontId="1"/>
  </si>
  <si>
    <t>私立大学</t>
  </si>
  <si>
    <t>福岡県太宰府市宰府6-3-1</t>
    <rPh sb="0" eb="3">
      <t>フクオカケン</t>
    </rPh>
    <rPh sb="3" eb="7">
      <t>ダザイフシ</t>
    </rPh>
    <rPh sb="7" eb="8">
      <t>ツカサ</t>
    </rPh>
    <rPh sb="8" eb="9">
      <t>フ</t>
    </rPh>
    <phoneticPr fontId="1"/>
  </si>
  <si>
    <t>令和元年度</t>
    <rPh sb="0" eb="2">
      <t>レイワ</t>
    </rPh>
    <rPh sb="2" eb="3">
      <t>ガン</t>
    </rPh>
    <rPh sb="3" eb="5">
      <t>ネンド</t>
    </rPh>
    <phoneticPr fontId="1"/>
  </si>
  <si>
    <t>准教授</t>
    <rPh sb="0" eb="3">
      <t>ジュンキョウジュ</t>
    </rPh>
    <phoneticPr fontId="1"/>
  </si>
  <si>
    <t>委員長（准教授）</t>
    <rPh sb="0" eb="3">
      <t>イインチョウ</t>
    </rPh>
    <rPh sb="4" eb="7">
      <t>ジュンキョウジュ</t>
    </rPh>
    <phoneticPr fontId="1"/>
  </si>
  <si>
    <t>認定教育プログラム</t>
  </si>
  <si>
    <t>大学事務局長</t>
    <rPh sb="0" eb="2">
      <t>ダイガク</t>
    </rPh>
    <rPh sb="2" eb="6">
      <t>ジムキョクチョウ</t>
    </rPh>
    <phoneticPr fontId="1"/>
  </si>
  <si>
    <t>syomu@kiis.ac.jp</t>
    <phoneticPr fontId="1"/>
  </si>
  <si>
    <t>092-928-4000</t>
    <phoneticPr fontId="1"/>
  </si>
  <si>
    <t>九州情報大学</t>
    <rPh sb="0" eb="2">
      <t>キュウシュウ</t>
    </rPh>
    <rPh sb="2" eb="6">
      <t>ジョウホウダイガク</t>
    </rPh>
    <phoneticPr fontId="1"/>
  </si>
  <si>
    <t>学生の数理・データサイエンス・ＡＩへの関心を高め、かつ、数理・データサイエンス・ＡＩを適切に理解し、それを活用する基礎的な能力を育成することを目的とした数理・データサイエンス・ＡＩ教育プログラムの実施に関する重要な事項を審議する。</t>
    <phoneticPr fontId="1"/>
  </si>
  <si>
    <t>学部・学科によって、修了要件は相違しない</t>
  </si>
  <si>
    <t>KIIS数理・データサイエンス・AI教育プログラム</t>
    <rPh sb="4" eb="6">
      <t>スウリ</t>
    </rPh>
    <rPh sb="18" eb="20">
      <t>キョウイク</t>
    </rPh>
    <phoneticPr fontId="1"/>
  </si>
  <si>
    <t>様式２</t>
    <rPh sb="0" eb="2">
      <t>ヨウシキ</t>
    </rPh>
    <phoneticPr fontId="1"/>
  </si>
  <si>
    <t>九州情報大学</t>
    <rPh sb="0" eb="2">
      <t>キュウシュウ</t>
    </rPh>
    <rPh sb="2" eb="4">
      <t>ジョウホウ</t>
    </rPh>
    <rPh sb="4" eb="6">
      <t>ダイガク</t>
    </rPh>
    <phoneticPr fontId="1"/>
  </si>
  <si>
    <t>様式４</t>
    <rPh sb="0" eb="2">
      <t>ヨウシキ</t>
    </rPh>
    <phoneticPr fontId="1"/>
  </si>
  <si>
    <t>https://www.kiis.ac.jp/general/department/kp/</t>
    <phoneticPr fontId="1"/>
  </si>
  <si>
    <t>橋爪　善光</t>
    <rPh sb="0" eb="2">
      <t>ハシズメ</t>
    </rPh>
    <rPh sb="3" eb="4">
      <t>ゼン</t>
    </rPh>
    <rPh sb="4" eb="5">
      <t>ヒカリ</t>
    </rPh>
    <phoneticPr fontId="1"/>
  </si>
  <si>
    <t>有</t>
  </si>
  <si>
    <t>運営委員会の設置により、各学科に担当者を配置し、全学的な履修を支援・促進している。本プログラムにおける必修科目6科目及び選択科目6科目中5科目は両学科共通科目で構成されている。また選択科目のうち1科目は情報ネットワーク学科開講科目ではあるが、本学では他学科履修のうち16単位までを卒業単位として認めているため、全ての科目を学科によらず受講可能となっている。多くの学生が積極的に希望できるようにするために、１年次前期開講の必修科目を設定し、プログラム認定制度の存在を意識させ、自然な形で受講できるようにしている。</t>
    <rPh sb="178" eb="179">
      <t>オオ</t>
    </rPh>
    <rPh sb="181" eb="183">
      <t>ガクセイ</t>
    </rPh>
    <rPh sb="184" eb="187">
      <t>セッキョクテキ</t>
    </rPh>
    <rPh sb="188" eb="190">
      <t>キボウ</t>
    </rPh>
    <rPh sb="203" eb="204">
      <t>ネン</t>
    </rPh>
    <rPh sb="204" eb="205">
      <t>ジ</t>
    </rPh>
    <rPh sb="205" eb="207">
      <t>ゼンキ</t>
    </rPh>
    <rPh sb="207" eb="209">
      <t>カイコウ</t>
    </rPh>
    <rPh sb="210" eb="212">
      <t>ヒッシュウ</t>
    </rPh>
    <rPh sb="212" eb="214">
      <t>カモク</t>
    </rPh>
    <rPh sb="215" eb="217">
      <t>セッテイ</t>
    </rPh>
    <rPh sb="224" eb="226">
      <t>ニンテイ</t>
    </rPh>
    <rPh sb="226" eb="228">
      <t>セイド</t>
    </rPh>
    <rPh sb="229" eb="231">
      <t>ソンザイ</t>
    </rPh>
    <rPh sb="232" eb="234">
      <t>イシキ</t>
    </rPh>
    <rPh sb="237" eb="239">
      <t>シゼン</t>
    </rPh>
    <rPh sb="240" eb="241">
      <t>カタチ</t>
    </rPh>
    <rPh sb="242" eb="244">
      <t>ジュコウ</t>
    </rPh>
    <phoneticPr fontId="1"/>
  </si>
  <si>
    <t>https://www.kiis.ac.jp/general/guide/kokai/</t>
    <phoneticPr fontId="1"/>
  </si>
  <si>
    <t>データを活用する際の留意事項について学ぶ。具体的には、３つの内容について理解していく。1つ目はネット社会で安全に暮らすための情報モラル、情報倫理についての理解を深める。2つ目に人はどのように情報と関わっていくべきかという情報との関わり方の問題について理解する。3つ目にデータや情報、プライバシーなどをどのように守るかという情報セキュリティに関する問題について理解する。</t>
    <rPh sb="4" eb="6">
      <t>カツヨウ</t>
    </rPh>
    <rPh sb="8" eb="9">
      <t>サイ</t>
    </rPh>
    <rPh sb="10" eb="12">
      <t>リュウイ</t>
    </rPh>
    <rPh sb="12" eb="14">
      <t>ジコウ</t>
    </rPh>
    <rPh sb="18" eb="19">
      <t>マナ</t>
    </rPh>
    <rPh sb="21" eb="24">
      <t>グタイテキ</t>
    </rPh>
    <rPh sb="30" eb="32">
      <t>ナイヨウ</t>
    </rPh>
    <rPh sb="36" eb="38">
      <t>リカイ</t>
    </rPh>
    <rPh sb="45" eb="46">
      <t>メ</t>
    </rPh>
    <rPh sb="50" eb="52">
      <t>シャカイ</t>
    </rPh>
    <rPh sb="53" eb="55">
      <t>アンゼン</t>
    </rPh>
    <rPh sb="56" eb="57">
      <t>ク</t>
    </rPh>
    <rPh sb="62" eb="64">
      <t>ジョウホウ</t>
    </rPh>
    <rPh sb="68" eb="70">
      <t>ジョウホウ</t>
    </rPh>
    <rPh sb="70" eb="72">
      <t>リンリ</t>
    </rPh>
    <rPh sb="77" eb="79">
      <t>リカイ</t>
    </rPh>
    <rPh sb="80" eb="81">
      <t>フカ</t>
    </rPh>
    <rPh sb="86" eb="87">
      <t>メ</t>
    </rPh>
    <rPh sb="88" eb="89">
      <t>ヒト</t>
    </rPh>
    <rPh sb="95" eb="97">
      <t>ジョウホウ</t>
    </rPh>
    <rPh sb="98" eb="99">
      <t>カカ</t>
    </rPh>
    <rPh sb="110" eb="112">
      <t>ジョウホウ</t>
    </rPh>
    <rPh sb="114" eb="115">
      <t>カカ</t>
    </rPh>
    <rPh sb="117" eb="118">
      <t>カタ</t>
    </rPh>
    <rPh sb="119" eb="121">
      <t>モンダイ</t>
    </rPh>
    <rPh sb="125" eb="127">
      <t>リカイ</t>
    </rPh>
    <rPh sb="132" eb="133">
      <t>メ</t>
    </rPh>
    <rPh sb="138" eb="140">
      <t>ジョウホウ</t>
    </rPh>
    <rPh sb="155" eb="156">
      <t>マモ</t>
    </rPh>
    <rPh sb="161" eb="163">
      <t>ジョウホウ</t>
    </rPh>
    <rPh sb="170" eb="171">
      <t>カン</t>
    </rPh>
    <rPh sb="173" eb="175">
      <t>モンダイ</t>
    </rPh>
    <rPh sb="179" eb="181">
      <t>リカイ</t>
    </rPh>
    <phoneticPr fontId="1"/>
  </si>
  <si>
    <t>本学部は、２年次より段階的に専門科目に移行していくようにカリキュラムが編成されている。したがって、あえて１年次、２年次開講科目を重点的に配置をした。そうすることで、入学時からプログラムに関するアナウンスをできるだけでなく、そのアナウンスが直接履修指導につながるため、より多くの学生への履修促進効果が期待できる。
具体的な方法としては、以下の取り組みが挙げられる。
●従来より実施してきた各学期初日のオリエンテーションにおける、本プログラムに関するガイダンス資料の配布
●本学ホームページに本プログラムの概要を掲載し、在学生だけでなく、受験生など入学前からの意識付け
●各学期はじめに行われるゼミナール単位での成績配布の際の、教員による本プログラムについてのアナウンス
●本学公式TwitterやInstagramなどのSNSを用いた周知</t>
    <rPh sb="0" eb="2">
      <t>ホンガク</t>
    </rPh>
    <rPh sb="2" eb="3">
      <t>ブ</t>
    </rPh>
    <rPh sb="6" eb="7">
      <t>ネン</t>
    </rPh>
    <rPh sb="7" eb="8">
      <t>ジ</t>
    </rPh>
    <rPh sb="10" eb="13">
      <t>ダンカイテキ</t>
    </rPh>
    <rPh sb="14" eb="16">
      <t>センモン</t>
    </rPh>
    <rPh sb="16" eb="18">
      <t>カモク</t>
    </rPh>
    <rPh sb="19" eb="21">
      <t>イコウ</t>
    </rPh>
    <rPh sb="35" eb="37">
      <t>ヘンセイ</t>
    </rPh>
    <rPh sb="53" eb="54">
      <t>ネン</t>
    </rPh>
    <rPh sb="54" eb="55">
      <t>ジ</t>
    </rPh>
    <rPh sb="57" eb="58">
      <t>ネン</t>
    </rPh>
    <rPh sb="58" eb="59">
      <t>ジ</t>
    </rPh>
    <rPh sb="59" eb="61">
      <t>カイコウ</t>
    </rPh>
    <rPh sb="61" eb="63">
      <t>カモク</t>
    </rPh>
    <rPh sb="64" eb="67">
      <t>ジュウテンテキ</t>
    </rPh>
    <rPh sb="68" eb="70">
      <t>ハイチ</t>
    </rPh>
    <rPh sb="82" eb="84">
      <t>ニュウガク</t>
    </rPh>
    <rPh sb="84" eb="85">
      <t>ジ</t>
    </rPh>
    <rPh sb="93" eb="94">
      <t>カン</t>
    </rPh>
    <rPh sb="119" eb="121">
      <t>チョクセツ</t>
    </rPh>
    <rPh sb="121" eb="123">
      <t>リシュウ</t>
    </rPh>
    <rPh sb="123" eb="125">
      <t>シドウ</t>
    </rPh>
    <rPh sb="135" eb="136">
      <t>オオ</t>
    </rPh>
    <rPh sb="138" eb="140">
      <t>ガクセイ</t>
    </rPh>
    <rPh sb="142" eb="144">
      <t>リシュウ</t>
    </rPh>
    <rPh sb="144" eb="146">
      <t>ソクシン</t>
    </rPh>
    <rPh sb="146" eb="148">
      <t>コウカ</t>
    </rPh>
    <rPh sb="149" eb="151">
      <t>キタイ</t>
    </rPh>
    <rPh sb="156" eb="159">
      <t>グタイテキ</t>
    </rPh>
    <rPh sb="160" eb="162">
      <t>ホウホウ</t>
    </rPh>
    <rPh sb="167" eb="169">
      <t>イカ</t>
    </rPh>
    <rPh sb="170" eb="171">
      <t>ト</t>
    </rPh>
    <rPh sb="172" eb="173">
      <t>ク</t>
    </rPh>
    <rPh sb="175" eb="176">
      <t>ア</t>
    </rPh>
    <rPh sb="183" eb="185">
      <t>ジュウライ</t>
    </rPh>
    <rPh sb="187" eb="189">
      <t>ジッシ</t>
    </rPh>
    <rPh sb="193" eb="196">
      <t>カクガッキ</t>
    </rPh>
    <rPh sb="196" eb="198">
      <t>ショニチ</t>
    </rPh>
    <rPh sb="213" eb="214">
      <t>ホン</t>
    </rPh>
    <rPh sb="220" eb="221">
      <t>カン</t>
    </rPh>
    <rPh sb="228" eb="230">
      <t>シリョウ</t>
    </rPh>
    <rPh sb="231" eb="233">
      <t>ハイフ</t>
    </rPh>
    <rPh sb="235" eb="237">
      <t>ホンガク</t>
    </rPh>
    <rPh sb="244" eb="245">
      <t>ホン</t>
    </rPh>
    <rPh sb="251" eb="253">
      <t>ガイヨウ</t>
    </rPh>
    <rPh sb="254" eb="256">
      <t>ケイサイ</t>
    </rPh>
    <rPh sb="258" eb="261">
      <t>ザイガクセイ</t>
    </rPh>
    <rPh sb="267" eb="270">
      <t>ジュケンセイ</t>
    </rPh>
    <rPh sb="272" eb="275">
      <t>ニュウガクマエ</t>
    </rPh>
    <rPh sb="278" eb="280">
      <t>イシキ</t>
    </rPh>
    <rPh sb="280" eb="281">
      <t>ヅ</t>
    </rPh>
    <rPh sb="284" eb="287">
      <t>カクガッキ</t>
    </rPh>
    <rPh sb="291" eb="292">
      <t>オコナ</t>
    </rPh>
    <rPh sb="300" eb="302">
      <t>タンイ</t>
    </rPh>
    <rPh sb="304" eb="306">
      <t>セイセキ</t>
    </rPh>
    <rPh sb="306" eb="308">
      <t>ハイフ</t>
    </rPh>
    <rPh sb="309" eb="310">
      <t>サイ</t>
    </rPh>
    <rPh sb="312" eb="314">
      <t>キョウイン</t>
    </rPh>
    <rPh sb="317" eb="318">
      <t>ホン</t>
    </rPh>
    <rPh sb="335" eb="339">
      <t>ホンガクコウシキ</t>
    </rPh>
    <rPh sb="363" eb="364">
      <t>モチ</t>
    </rPh>
    <rPh sb="366" eb="368">
      <t>シュウチ</t>
    </rPh>
    <phoneticPr fontId="1"/>
  </si>
  <si>
    <t>本プログラム必修科目である情報リテラシー演習において上記授業改善アンケートとは別に学生の理解度を測るアンケートを15回授業の初回、中間、最終回と3回実施した。そのアンケートの結果、初回アンケート結果に比べて最終アンケート結果ではおよそ10%から13%程度増加するという結果となった。これらの結果から、本プログラム必修科目であり、データ分析の一連の流れを体験する内容を組み込んだ情報リテラシー演習という科目がうまく機能し学生の理解度をあげているといえる。しかし、本学は留学生も多く在籍しており、言葉の壁というのもこのアンケート結果に反映されている可能性もあり、今後も充分な検討・改良が必要であると考えられる。以上より、本学における学生アンケートを通じた習熟度の可視化は可能であり、この経験を他科目でも実践することで、さらに学生の講義内容の理解度の把握と講義へのフィードバックに活かすことが可能となる。</t>
    <rPh sb="0" eb="1">
      <t>ホン</t>
    </rPh>
    <rPh sb="6" eb="10">
      <t>ヒッシュウカモク</t>
    </rPh>
    <rPh sb="13" eb="15">
      <t>ジョウホウ</t>
    </rPh>
    <rPh sb="20" eb="22">
      <t>エンシュウ</t>
    </rPh>
    <rPh sb="26" eb="28">
      <t>ジョウキ</t>
    </rPh>
    <rPh sb="28" eb="32">
      <t>ジュギョウカイゼン</t>
    </rPh>
    <rPh sb="39" eb="40">
      <t>ベツ</t>
    </rPh>
    <rPh sb="41" eb="43">
      <t>ガクセイ</t>
    </rPh>
    <rPh sb="44" eb="47">
      <t>リカイド</t>
    </rPh>
    <rPh sb="48" eb="49">
      <t>ハカ</t>
    </rPh>
    <rPh sb="58" eb="61">
      <t>カイジュギョウ</t>
    </rPh>
    <rPh sb="62" eb="64">
      <t>ショカイ</t>
    </rPh>
    <rPh sb="65" eb="67">
      <t>チュウカン</t>
    </rPh>
    <rPh sb="68" eb="70">
      <t>サイシュウ</t>
    </rPh>
    <rPh sb="70" eb="71">
      <t>カイ</t>
    </rPh>
    <rPh sb="73" eb="74">
      <t>カイ</t>
    </rPh>
    <rPh sb="74" eb="76">
      <t>ジッシ</t>
    </rPh>
    <rPh sb="87" eb="89">
      <t>ケッカ</t>
    </rPh>
    <rPh sb="90" eb="92">
      <t>ショカイ</t>
    </rPh>
    <rPh sb="97" eb="99">
      <t>ケッカ</t>
    </rPh>
    <rPh sb="100" eb="101">
      <t>クラ</t>
    </rPh>
    <rPh sb="103" eb="105">
      <t>サイシュウ</t>
    </rPh>
    <rPh sb="110" eb="112">
      <t>ケッカ</t>
    </rPh>
    <rPh sb="125" eb="127">
      <t>テイド</t>
    </rPh>
    <rPh sb="127" eb="129">
      <t>ゾウカ</t>
    </rPh>
    <rPh sb="134" eb="136">
      <t>ケッカ</t>
    </rPh>
    <rPh sb="145" eb="147">
      <t>ケッカ</t>
    </rPh>
    <rPh sb="150" eb="151">
      <t>ホン</t>
    </rPh>
    <rPh sb="156" eb="160">
      <t>ヒッシュウカモク</t>
    </rPh>
    <rPh sb="167" eb="169">
      <t>ブンセキ</t>
    </rPh>
    <rPh sb="170" eb="172">
      <t>イチレン</t>
    </rPh>
    <rPh sb="173" eb="174">
      <t>ナガ</t>
    </rPh>
    <rPh sb="176" eb="178">
      <t>タイケン</t>
    </rPh>
    <rPh sb="180" eb="182">
      <t>ナイヨウ</t>
    </rPh>
    <rPh sb="183" eb="184">
      <t>ク</t>
    </rPh>
    <rPh sb="185" eb="186">
      <t>コ</t>
    </rPh>
    <rPh sb="188" eb="190">
      <t>ジョウホウ</t>
    </rPh>
    <rPh sb="195" eb="197">
      <t>エンシュウ</t>
    </rPh>
    <rPh sb="200" eb="202">
      <t>カモク</t>
    </rPh>
    <rPh sb="206" eb="208">
      <t>キノウ</t>
    </rPh>
    <rPh sb="209" eb="211">
      <t>ガクセイ</t>
    </rPh>
    <rPh sb="212" eb="215">
      <t>リカイド</t>
    </rPh>
    <rPh sb="230" eb="232">
      <t>ホンガク</t>
    </rPh>
    <rPh sb="233" eb="236">
      <t>リュウガクセイ</t>
    </rPh>
    <rPh sb="237" eb="238">
      <t>オオ</t>
    </rPh>
    <rPh sb="239" eb="241">
      <t>ザイセキ</t>
    </rPh>
    <rPh sb="246" eb="248">
      <t>コトバ</t>
    </rPh>
    <rPh sb="249" eb="250">
      <t>カベ</t>
    </rPh>
    <rPh sb="262" eb="264">
      <t>ケッカ</t>
    </rPh>
    <rPh sb="265" eb="267">
      <t>ハンエイ</t>
    </rPh>
    <rPh sb="272" eb="275">
      <t>カノウセイ</t>
    </rPh>
    <rPh sb="279" eb="281">
      <t>コンゴ</t>
    </rPh>
    <rPh sb="282" eb="284">
      <t>ジュウブン</t>
    </rPh>
    <rPh sb="285" eb="287">
      <t>ケントウ</t>
    </rPh>
    <rPh sb="288" eb="290">
      <t>カイリョウ</t>
    </rPh>
    <rPh sb="291" eb="293">
      <t>ヒツヨウ</t>
    </rPh>
    <rPh sb="297" eb="298">
      <t>カンガ</t>
    </rPh>
    <rPh sb="303" eb="305">
      <t>イジョウ</t>
    </rPh>
    <rPh sb="308" eb="310">
      <t>ホンガク</t>
    </rPh>
    <rPh sb="314" eb="316">
      <t>ガクセイ</t>
    </rPh>
    <rPh sb="322" eb="323">
      <t>ツウ</t>
    </rPh>
    <rPh sb="325" eb="328">
      <t>シュウジュクド</t>
    </rPh>
    <rPh sb="329" eb="332">
      <t>カシカ</t>
    </rPh>
    <rPh sb="333" eb="335">
      <t>カノウ</t>
    </rPh>
    <rPh sb="341" eb="343">
      <t>ケイケン</t>
    </rPh>
    <rPh sb="344" eb="345">
      <t>タ</t>
    </rPh>
    <rPh sb="345" eb="347">
      <t>カモク</t>
    </rPh>
    <rPh sb="349" eb="351">
      <t>ジッセン</t>
    </rPh>
    <rPh sb="360" eb="362">
      <t>ガクセイ</t>
    </rPh>
    <rPh sb="363" eb="365">
      <t>コウギ</t>
    </rPh>
    <rPh sb="365" eb="367">
      <t>ナイヨウ</t>
    </rPh>
    <rPh sb="368" eb="371">
      <t>リカイド</t>
    </rPh>
    <rPh sb="372" eb="374">
      <t>ハアク</t>
    </rPh>
    <rPh sb="375" eb="377">
      <t>コウギ</t>
    </rPh>
    <rPh sb="387" eb="388">
      <t>イ</t>
    </rPh>
    <rPh sb="393" eb="395">
      <t>カノウ</t>
    </rPh>
    <phoneticPr fontId="1"/>
  </si>
  <si>
    <t>新型コロナ感染防止対策の為、令和2年度は年2回ある履修登録等のオリエンテーションの際に実施する予定であったデータサイエンス教育に関する周知が困難になった。その為、データサイエンス教育に関する周知は、コミュニケーションと自己発見の授業や情報学入門の授業内でのアナウンス及び1年生へのコースガイダンスの際に行った。全学的な履修率に関しては卒業の必修科目が本プログラムの科目に含まれるため100％となるが、修了者を増やす為にはオリエンテーション等の全学生が集まる機会を用いた周知が必要になると考えている。</t>
    <rPh sb="0" eb="2">
      <t>シンガタ</t>
    </rPh>
    <rPh sb="5" eb="7">
      <t>カンセン</t>
    </rPh>
    <rPh sb="7" eb="9">
      <t>ボウシ</t>
    </rPh>
    <rPh sb="9" eb="11">
      <t>タイサク</t>
    </rPh>
    <rPh sb="12" eb="13">
      <t>タメ</t>
    </rPh>
    <rPh sb="14" eb="16">
      <t>レイワ</t>
    </rPh>
    <rPh sb="17" eb="19">
      <t>ネンド</t>
    </rPh>
    <rPh sb="20" eb="21">
      <t>ネン</t>
    </rPh>
    <rPh sb="22" eb="23">
      <t>カイ</t>
    </rPh>
    <rPh sb="41" eb="42">
      <t>サイ</t>
    </rPh>
    <rPh sb="43" eb="45">
      <t>ジッシ</t>
    </rPh>
    <rPh sb="47" eb="49">
      <t>ヨテイ</t>
    </rPh>
    <rPh sb="61" eb="63">
      <t>キョウイク</t>
    </rPh>
    <rPh sb="64" eb="65">
      <t>カン</t>
    </rPh>
    <rPh sb="67" eb="69">
      <t>シュウチ</t>
    </rPh>
    <rPh sb="70" eb="72">
      <t>コンナン</t>
    </rPh>
    <rPh sb="79" eb="80">
      <t>タメ</t>
    </rPh>
    <rPh sb="155" eb="158">
      <t>ゼンガクテキ</t>
    </rPh>
    <rPh sb="159" eb="162">
      <t>リシュウリツ</t>
    </rPh>
    <rPh sb="163" eb="164">
      <t>カン</t>
    </rPh>
    <rPh sb="167" eb="169">
      <t>ソツギョウ</t>
    </rPh>
    <rPh sb="170" eb="174">
      <t>ヒッシュウカモク</t>
    </rPh>
    <rPh sb="175" eb="176">
      <t>ホン</t>
    </rPh>
    <rPh sb="182" eb="184">
      <t>カモク</t>
    </rPh>
    <rPh sb="185" eb="186">
      <t>フク</t>
    </rPh>
    <rPh sb="200" eb="203">
      <t>シュウリョウシャ</t>
    </rPh>
    <rPh sb="204" eb="205">
      <t>フ</t>
    </rPh>
    <rPh sb="207" eb="208">
      <t>タメ</t>
    </rPh>
    <rPh sb="219" eb="220">
      <t>ナド</t>
    </rPh>
    <rPh sb="221" eb="224">
      <t>ゼンガクセイ</t>
    </rPh>
    <rPh sb="225" eb="226">
      <t>アツ</t>
    </rPh>
    <rPh sb="228" eb="230">
      <t>キカイ</t>
    </rPh>
    <rPh sb="231" eb="232">
      <t>モチ</t>
    </rPh>
    <rPh sb="234" eb="236">
      <t>シュウチ</t>
    </rPh>
    <rPh sb="237" eb="239">
      <t>ヒツヨウ</t>
    </rPh>
    <rPh sb="243" eb="244">
      <t>カンガ</t>
    </rPh>
    <phoneticPr fontId="1"/>
  </si>
  <si>
    <t>本プログラム開始時に、福岡県中小企業家同友会の専務理事と本学の取り組みについてお話させて頂いた。まさに中小企業にそのような人材がこれから必要であると好感触を得た。今後同プログラム修了者が就職した後に様々なフィードバックを頂いてよりよい教育プログラムにしていきたいと考えている。</t>
    <rPh sb="0" eb="1">
      <t>ホン</t>
    </rPh>
    <rPh sb="6" eb="8">
      <t>カイシ</t>
    </rPh>
    <rPh sb="8" eb="9">
      <t>ジ</t>
    </rPh>
    <rPh sb="11" eb="14">
      <t>フクオカケン</t>
    </rPh>
    <rPh sb="14" eb="18">
      <t>チュウショウキギョウ</t>
    </rPh>
    <rPh sb="18" eb="19">
      <t>イエ</t>
    </rPh>
    <rPh sb="19" eb="22">
      <t>ドウユウカイ</t>
    </rPh>
    <rPh sb="23" eb="27">
      <t>センムリジ</t>
    </rPh>
    <rPh sb="28" eb="30">
      <t>ホンガク</t>
    </rPh>
    <rPh sb="31" eb="32">
      <t>ト</t>
    </rPh>
    <rPh sb="33" eb="34">
      <t>ク</t>
    </rPh>
    <rPh sb="40" eb="41">
      <t>ハナシ</t>
    </rPh>
    <rPh sb="44" eb="45">
      <t>イタダ</t>
    </rPh>
    <rPh sb="51" eb="55">
      <t>チュウショウキギョウ</t>
    </rPh>
    <rPh sb="61" eb="63">
      <t>ジンザイ</t>
    </rPh>
    <rPh sb="68" eb="70">
      <t>ヒツヨウ</t>
    </rPh>
    <rPh sb="74" eb="77">
      <t>コウカンショク</t>
    </rPh>
    <rPh sb="78" eb="79">
      <t>エ</t>
    </rPh>
    <rPh sb="81" eb="83">
      <t>コンゴ</t>
    </rPh>
    <rPh sb="83" eb="84">
      <t>ドウ</t>
    </rPh>
    <rPh sb="89" eb="92">
      <t>シュウリョウシャ</t>
    </rPh>
    <rPh sb="93" eb="95">
      <t>シュウショク</t>
    </rPh>
    <rPh sb="97" eb="98">
      <t>ノチ</t>
    </rPh>
    <rPh sb="99" eb="101">
      <t>サマザマ</t>
    </rPh>
    <rPh sb="110" eb="111">
      <t>イタダ</t>
    </rPh>
    <rPh sb="117" eb="119">
      <t>キョウイク</t>
    </rPh>
    <rPh sb="132" eb="133">
      <t>カンガ</t>
    </rPh>
    <phoneticPr fontId="1"/>
  </si>
  <si>
    <t>本プログラムは令和元年度入学者カリキュラムよりはじまり、2年生開講科目も必修としている為、令和2年度に初めて修了要件を満たすことができる。その対象学年は令和3年度に3年生となるため、今後の就職活動状況や進路、その後の企業の評価について把握する仕組みについてはこれから構築していく予定である。</t>
    <rPh sb="0" eb="1">
      <t>ホン</t>
    </rPh>
    <rPh sb="7" eb="9">
      <t>レイワ</t>
    </rPh>
    <rPh sb="9" eb="12">
      <t>ガンネンド</t>
    </rPh>
    <rPh sb="12" eb="15">
      <t>ニュウガクシャ</t>
    </rPh>
    <rPh sb="29" eb="31">
      <t>ネンセイ</t>
    </rPh>
    <rPh sb="31" eb="35">
      <t>カイコウカモク</t>
    </rPh>
    <rPh sb="36" eb="38">
      <t>ヒッシュウ</t>
    </rPh>
    <rPh sb="43" eb="44">
      <t>タメ</t>
    </rPh>
    <rPh sb="45" eb="47">
      <t>レイワ</t>
    </rPh>
    <rPh sb="48" eb="50">
      <t>ネンド</t>
    </rPh>
    <rPh sb="51" eb="52">
      <t>ハジ</t>
    </rPh>
    <rPh sb="54" eb="58">
      <t>シュウリョウヨウケン</t>
    </rPh>
    <rPh sb="59" eb="60">
      <t>ミ</t>
    </rPh>
    <rPh sb="71" eb="75">
      <t>タイショウガクネン</t>
    </rPh>
    <rPh sb="76" eb="78">
      <t>レイワ</t>
    </rPh>
    <rPh sb="79" eb="81">
      <t>ネンド</t>
    </rPh>
    <rPh sb="83" eb="85">
      <t>ネンセイ</t>
    </rPh>
    <rPh sb="91" eb="93">
      <t>コンゴ</t>
    </rPh>
    <rPh sb="94" eb="98">
      <t>シュウショクカツドウ</t>
    </rPh>
    <rPh sb="98" eb="100">
      <t>ジョウキョウ</t>
    </rPh>
    <rPh sb="101" eb="103">
      <t>シンロ</t>
    </rPh>
    <rPh sb="106" eb="107">
      <t>ゴ</t>
    </rPh>
    <rPh sb="108" eb="110">
      <t>キギョウ</t>
    </rPh>
    <rPh sb="111" eb="113">
      <t>ヒョウカ</t>
    </rPh>
    <rPh sb="117" eb="119">
      <t>ハアク</t>
    </rPh>
    <rPh sb="121" eb="123">
      <t>シク</t>
    </rPh>
    <rPh sb="133" eb="135">
      <t>コウチク</t>
    </rPh>
    <rPh sb="139" eb="141">
      <t>ヨテイ</t>
    </rPh>
    <phoneticPr fontId="1"/>
  </si>
  <si>
    <t>本学の学生の多くは入学までに数学等理系科目についてあまり学習してきていない。そのような学生に対してどのような内容をどのように講義するとよいかデータサイエンス科目担当教員会議において議論し、その講義内容や実施方法の見直しを毎年考えている。参考となる材料としては、本学FD委員会が実施している授業改善アンケートの学生からのアンケートや講義中における学生の反応等を情報共有をし見直しについて考えている。例えば、情報リテラシー演習においてこれまでは単にWord、Excel、PowerPointの使い方を独立に講義していたものを、自らのタイピング練習の打鍵数のデータを半期の講義期間中毎回取得し、それをExcelを用いてビジュアル化し、Wordを用いてレポート、PowerPointを用いて発表する、といったデータサイエンスの流れを体験できるような構成にした。</t>
    <rPh sb="3" eb="5">
      <t>ガクセイ</t>
    </rPh>
    <rPh sb="6" eb="7">
      <t>オオ</t>
    </rPh>
    <rPh sb="16" eb="17">
      <t>ナド</t>
    </rPh>
    <rPh sb="17" eb="21">
      <t>リケイカモク</t>
    </rPh>
    <rPh sb="43" eb="45">
      <t>ガクセイ</t>
    </rPh>
    <rPh sb="46" eb="47">
      <t>タイ</t>
    </rPh>
    <rPh sb="54" eb="56">
      <t>ナイヨウ</t>
    </rPh>
    <rPh sb="62" eb="64">
      <t>コウギ</t>
    </rPh>
    <rPh sb="78" eb="80">
      <t>カモク</t>
    </rPh>
    <rPh sb="80" eb="84">
      <t>タントウキョウイン</t>
    </rPh>
    <rPh sb="84" eb="86">
      <t>カイギ</t>
    </rPh>
    <rPh sb="90" eb="92">
      <t>ギロン</t>
    </rPh>
    <rPh sb="96" eb="100">
      <t>コウギナイヨウ</t>
    </rPh>
    <rPh sb="101" eb="105">
      <t>ジッシホウホウ</t>
    </rPh>
    <rPh sb="106" eb="108">
      <t>ミナオ</t>
    </rPh>
    <rPh sb="110" eb="112">
      <t>マイトシ</t>
    </rPh>
    <rPh sb="112" eb="113">
      <t>カンガ</t>
    </rPh>
    <rPh sb="118" eb="120">
      <t>サンコウ</t>
    </rPh>
    <rPh sb="123" eb="125">
      <t>ザイリョウ</t>
    </rPh>
    <rPh sb="130" eb="132">
      <t>ホンガク</t>
    </rPh>
    <rPh sb="134" eb="136">
      <t>イイン</t>
    </rPh>
    <rPh sb="136" eb="137">
      <t>カイ</t>
    </rPh>
    <rPh sb="138" eb="140">
      <t>ジッシ</t>
    </rPh>
    <rPh sb="144" eb="146">
      <t>ジュギョウ</t>
    </rPh>
    <rPh sb="146" eb="148">
      <t>カイゼン</t>
    </rPh>
    <rPh sb="154" eb="156">
      <t>ガクセイ</t>
    </rPh>
    <rPh sb="165" eb="168">
      <t>コウギチュウ</t>
    </rPh>
    <rPh sb="172" eb="174">
      <t>ガクセイ</t>
    </rPh>
    <rPh sb="175" eb="177">
      <t>ハンノウ</t>
    </rPh>
    <rPh sb="177" eb="178">
      <t>ナド</t>
    </rPh>
    <rPh sb="179" eb="183">
      <t>ジョウホウキョウユウ</t>
    </rPh>
    <rPh sb="185" eb="187">
      <t>ミナオ</t>
    </rPh>
    <rPh sb="192" eb="193">
      <t>カンガ</t>
    </rPh>
    <rPh sb="198" eb="199">
      <t>タト</t>
    </rPh>
    <rPh sb="202" eb="204">
      <t>ジョウホウ</t>
    </rPh>
    <rPh sb="209" eb="211">
      <t>エンシュウ</t>
    </rPh>
    <rPh sb="220" eb="221">
      <t>タン</t>
    </rPh>
    <rPh sb="244" eb="245">
      <t>ツカ</t>
    </rPh>
    <rPh sb="246" eb="247">
      <t>カタ</t>
    </rPh>
    <rPh sb="248" eb="250">
      <t>ドクリツ</t>
    </rPh>
    <rPh sb="251" eb="253">
      <t>コウギ</t>
    </rPh>
    <rPh sb="261" eb="262">
      <t>ミズカ</t>
    </rPh>
    <rPh sb="269" eb="271">
      <t>レンシュウ</t>
    </rPh>
    <rPh sb="272" eb="274">
      <t>ダケン</t>
    </rPh>
    <rPh sb="274" eb="275">
      <t>スウ</t>
    </rPh>
    <rPh sb="280" eb="282">
      <t>ハンキ</t>
    </rPh>
    <rPh sb="283" eb="285">
      <t>コウギ</t>
    </rPh>
    <rPh sb="285" eb="288">
      <t>キカンチュウ</t>
    </rPh>
    <rPh sb="288" eb="290">
      <t>マイカイ</t>
    </rPh>
    <rPh sb="290" eb="292">
      <t>シュトク</t>
    </rPh>
    <rPh sb="303" eb="304">
      <t>モチ</t>
    </rPh>
    <rPh sb="311" eb="312">
      <t>カ</t>
    </rPh>
    <rPh sb="319" eb="320">
      <t>モチ</t>
    </rPh>
    <rPh sb="338" eb="339">
      <t>モチ</t>
    </rPh>
    <rPh sb="341" eb="343">
      <t>ハッピョウ</t>
    </rPh>
    <rPh sb="359" eb="360">
      <t>ナガ</t>
    </rPh>
    <rPh sb="362" eb="364">
      <t>タイケン</t>
    </rPh>
    <rPh sb="370" eb="372">
      <t>コウセイ</t>
    </rPh>
    <phoneticPr fontId="1"/>
  </si>
  <si>
    <t xml:space="preserve">日常生活や社会の課題を解決するために、社会でデータやAIを活用した新しいビジネス／サービスがどのように生まれてきているのかについて学ぶ。本学経営情報学部の特色を活かして、現代社会における情報システムやIT、ICTの最新動向について実例を交えて自らの生活にどのように密接に関連しているかを理解する。例えば、製造・流通・金融・ビジネスの活用事例や、消費者行動、企業の経営分析などを通して、どのようにデータが利活用されているかについて理解する。
</t>
    <rPh sb="8" eb="10">
      <t>カダイ</t>
    </rPh>
    <rPh sb="11" eb="13">
      <t>カイケツ</t>
    </rPh>
    <rPh sb="19" eb="21">
      <t>シャカイ</t>
    </rPh>
    <rPh sb="51" eb="52">
      <t>ウ</t>
    </rPh>
    <rPh sb="201" eb="204">
      <t>リカツヨウ</t>
    </rPh>
    <rPh sb="214" eb="216">
      <t>リカイ</t>
    </rPh>
    <phoneticPr fontId="1"/>
  </si>
  <si>
    <t xml:space="preserve">日常生活や社会で起きている変化を知り、データやAIを活用した新しいビジネス／サービスについて学ぶ。本学経営情報学部の特色を活かして、現代社会における情報システムやIT、ICTの最新動向について実例を交えて自らの生活とそれらがどのように密接に関連しているかを理解する。例えば、製造・流通・金融・ビジネスにおける活用事例や、消費者行動、企業の経営分析などを通して、多角的に社会の動向を捉える。
</t>
    <rPh sb="49" eb="51">
      <t>ホンガク</t>
    </rPh>
    <rPh sb="51" eb="53">
      <t>ケイエイ</t>
    </rPh>
    <rPh sb="53" eb="55">
      <t>ジョウホウ</t>
    </rPh>
    <rPh sb="55" eb="57">
      <t>ガクブ</t>
    </rPh>
    <rPh sb="58" eb="60">
      <t>トクショク</t>
    </rPh>
    <rPh sb="61" eb="62">
      <t>イ</t>
    </rPh>
    <rPh sb="66" eb="68">
      <t>ゲンダイ</t>
    </rPh>
    <rPh sb="68" eb="70">
      <t>シャカイ</t>
    </rPh>
    <rPh sb="74" eb="76">
      <t>ジョウホウ</t>
    </rPh>
    <rPh sb="88" eb="90">
      <t>サイシン</t>
    </rPh>
    <rPh sb="90" eb="92">
      <t>ドウコウ</t>
    </rPh>
    <rPh sb="96" eb="98">
      <t>ジツレイ</t>
    </rPh>
    <rPh sb="99" eb="100">
      <t>マジ</t>
    </rPh>
    <rPh sb="133" eb="134">
      <t>タト</t>
    </rPh>
    <rPh sb="137" eb="139">
      <t>セイゾウ</t>
    </rPh>
    <rPh sb="140" eb="142">
      <t>リュウツウ</t>
    </rPh>
    <rPh sb="143" eb="145">
      <t>キンユウ</t>
    </rPh>
    <rPh sb="154" eb="156">
      <t>カツヨウ</t>
    </rPh>
    <rPh sb="156" eb="158">
      <t>ジレイ</t>
    </rPh>
    <rPh sb="160" eb="163">
      <t>ショウヒシャ</t>
    </rPh>
    <rPh sb="163" eb="165">
      <t>コウドウ</t>
    </rPh>
    <rPh sb="166" eb="168">
      <t>キギョウ</t>
    </rPh>
    <rPh sb="169" eb="171">
      <t>ケイエイ</t>
    </rPh>
    <rPh sb="171" eb="173">
      <t>ブンセキ</t>
    </rPh>
    <rPh sb="176" eb="177">
      <t>トオ</t>
    </rPh>
    <rPh sb="180" eb="183">
      <t>タカクテキ</t>
    </rPh>
    <rPh sb="184" eb="186">
      <t>シャカイ</t>
    </rPh>
    <rPh sb="187" eb="189">
      <t>ドウコウ</t>
    </rPh>
    <rPh sb="190" eb="191">
      <t>トラ</t>
    </rPh>
    <phoneticPr fontId="1"/>
  </si>
  <si>
    <t>実際のデータを用いた演習を通して、「データを読む、説明する、扱う」といった数理・データサイエンス・AIの基本的な活用方法について学ぶ。例えば、情報リテラシー演習の時間には、毎回の授業中に実施したタイピングデータを各自で収集し、その結果を可視化し、自己分析することによって、数理・データサイエンス・AIの基本的な活用方法を身につける。また、外部ポータルサイトを利用し、２次データの取得・分析を通して、実社会における数理・データサイエンス・AIの基本的な活用方法を理解する。</t>
    <rPh sb="0" eb="2">
      <t>ジッサイ</t>
    </rPh>
    <rPh sb="7" eb="8">
      <t>モチ</t>
    </rPh>
    <rPh sb="10" eb="12">
      <t>エンシュウ</t>
    </rPh>
    <rPh sb="13" eb="14">
      <t>トオ</t>
    </rPh>
    <rPh sb="22" eb="23">
      <t>ヨ</t>
    </rPh>
    <rPh sb="25" eb="27">
      <t>セツメイ</t>
    </rPh>
    <rPh sb="30" eb="31">
      <t>アツカ</t>
    </rPh>
    <rPh sb="37" eb="39">
      <t>スウリ</t>
    </rPh>
    <rPh sb="52" eb="55">
      <t>キホンテキ</t>
    </rPh>
    <rPh sb="56" eb="58">
      <t>カツヨウ</t>
    </rPh>
    <rPh sb="58" eb="60">
      <t>ホウホウ</t>
    </rPh>
    <rPh sb="64" eb="65">
      <t>マナ</t>
    </rPh>
    <rPh sb="67" eb="68">
      <t>タト</t>
    </rPh>
    <rPh sb="71" eb="73">
      <t>ジョウホウ</t>
    </rPh>
    <rPh sb="78" eb="80">
      <t>エンシュウ</t>
    </rPh>
    <rPh sb="81" eb="83">
      <t>ジカン</t>
    </rPh>
    <rPh sb="86" eb="88">
      <t>マイカイ</t>
    </rPh>
    <rPh sb="89" eb="92">
      <t>ジュギョウチュウ</t>
    </rPh>
    <rPh sb="93" eb="95">
      <t>ジッシ</t>
    </rPh>
    <rPh sb="106" eb="108">
      <t>カクジ</t>
    </rPh>
    <rPh sb="109" eb="111">
      <t>シュウシュウ</t>
    </rPh>
    <rPh sb="115" eb="117">
      <t>ケッカ</t>
    </rPh>
    <rPh sb="118" eb="121">
      <t>カシカ</t>
    </rPh>
    <rPh sb="123" eb="125">
      <t>ジコ</t>
    </rPh>
    <rPh sb="125" eb="127">
      <t>ブンセキ</t>
    </rPh>
    <rPh sb="136" eb="138">
      <t>スウリ</t>
    </rPh>
    <rPh sb="151" eb="154">
      <t>キホンテキ</t>
    </rPh>
    <rPh sb="155" eb="157">
      <t>カツヨウ</t>
    </rPh>
    <rPh sb="157" eb="159">
      <t>ホウホウ</t>
    </rPh>
    <rPh sb="160" eb="161">
      <t>ミ</t>
    </rPh>
    <rPh sb="169" eb="171">
      <t>ガイブ</t>
    </rPh>
    <rPh sb="179" eb="181">
      <t>リヨウ</t>
    </rPh>
    <rPh sb="184" eb="185">
      <t>ジ</t>
    </rPh>
    <rPh sb="189" eb="191">
      <t>シュトク</t>
    </rPh>
    <rPh sb="192" eb="194">
      <t>ブンセキ</t>
    </rPh>
    <rPh sb="195" eb="196">
      <t>トオ</t>
    </rPh>
    <rPh sb="199" eb="202">
      <t>ジッシャカイ</t>
    </rPh>
    <rPh sb="206" eb="208">
      <t>スウリ</t>
    </rPh>
    <rPh sb="221" eb="224">
      <t>キホンテキ</t>
    </rPh>
    <rPh sb="225" eb="227">
      <t>カツヨウ</t>
    </rPh>
    <rPh sb="227" eb="229">
      <t>ホウホウ</t>
    </rPh>
    <rPh sb="230" eb="232">
      <t>リカイ</t>
    </rPh>
    <phoneticPr fontId="1"/>
  </si>
  <si>
    <t>経営情報学科　准教授　橋爪善光
経営情報学科　准教授　秋吉浩志
情報ネットワーク学科　講師　荒平高章
情報ネットワーク学科　助教　ディンダ・プラマンタ
教務課主査　幸野憲道</t>
    <rPh sb="0" eb="4">
      <t>ケイエイジョウホウ</t>
    </rPh>
    <rPh sb="4" eb="6">
      <t>ガッカ</t>
    </rPh>
    <rPh sb="7" eb="10">
      <t>ジュンキョウジュ</t>
    </rPh>
    <rPh sb="11" eb="13">
      <t>ハシヅメ</t>
    </rPh>
    <rPh sb="13" eb="14">
      <t>ゼン</t>
    </rPh>
    <rPh sb="14" eb="15">
      <t>ヒカリ</t>
    </rPh>
    <rPh sb="16" eb="18">
      <t>ケイエイ</t>
    </rPh>
    <rPh sb="18" eb="20">
      <t>ジョウホウ</t>
    </rPh>
    <rPh sb="20" eb="22">
      <t>ガッカ</t>
    </rPh>
    <rPh sb="23" eb="26">
      <t>ジュンキョウジュ</t>
    </rPh>
    <rPh sb="27" eb="29">
      <t>アキヨシ</t>
    </rPh>
    <rPh sb="29" eb="31">
      <t>コウシ</t>
    </rPh>
    <rPh sb="43" eb="45">
      <t>コウシ</t>
    </rPh>
    <rPh sb="46" eb="48">
      <t>アラヒラ</t>
    </rPh>
    <rPh sb="48" eb="49">
      <t>コウ</t>
    </rPh>
    <rPh sb="49" eb="50">
      <t>ショウ</t>
    </rPh>
    <rPh sb="51" eb="53">
      <t>ジョウホウ</t>
    </rPh>
    <rPh sb="59" eb="61">
      <t>ガッカ</t>
    </rPh>
    <rPh sb="62" eb="64">
      <t>ジョキョウ</t>
    </rPh>
    <rPh sb="76" eb="78">
      <t>キョウム</t>
    </rPh>
    <rPh sb="78" eb="79">
      <t>カ</t>
    </rPh>
    <rPh sb="79" eb="81">
      <t>シュサ</t>
    </rPh>
    <rPh sb="82" eb="84">
      <t>コウノ</t>
    </rPh>
    <rPh sb="84" eb="85">
      <t>ケン</t>
    </rPh>
    <rPh sb="85" eb="86">
      <t>ミチ</t>
    </rPh>
    <phoneticPr fontId="1"/>
  </si>
  <si>
    <t>本学は、教員一人あたりにつく学生数が少ない少人数教育を実施しているため、各教員が担当学生の現状を履修状況を含め把握している。したがって、履修指導については、以前よりきめ細かな指導を行ってきた実績があり、その延長線上に本プログラム認定のための履修指導を行うことは可能である。
また、講義については、講義時間外でのオフィスアワーが設定されており、学生の質問や相談といった就学相談に関する制度は確立されており、講義内容に関するフォロー体制は整っている。また、3，4年生の上級生による学習相談室も週に1回開室しており、多くの学生が気軽に学習指導や質問、相談が出来るような体制を整えている。</t>
    <rPh sb="0" eb="2">
      <t>ホンガク</t>
    </rPh>
    <rPh sb="4" eb="6">
      <t>キョウイン</t>
    </rPh>
    <rPh sb="6" eb="8">
      <t>ヒトリ</t>
    </rPh>
    <rPh sb="14" eb="16">
      <t>ガクセイ</t>
    </rPh>
    <rPh sb="16" eb="17">
      <t>スウ</t>
    </rPh>
    <rPh sb="18" eb="19">
      <t>スク</t>
    </rPh>
    <rPh sb="21" eb="26">
      <t>ショウニンズウキョウイク</t>
    </rPh>
    <rPh sb="27" eb="29">
      <t>ジッシ</t>
    </rPh>
    <rPh sb="36" eb="37">
      <t>カク</t>
    </rPh>
    <rPh sb="37" eb="39">
      <t>キョウイン</t>
    </rPh>
    <rPh sb="40" eb="42">
      <t>タントウ</t>
    </rPh>
    <rPh sb="42" eb="44">
      <t>ガクセイ</t>
    </rPh>
    <rPh sb="45" eb="47">
      <t>ゲンジョウ</t>
    </rPh>
    <rPh sb="48" eb="50">
      <t>リシュウ</t>
    </rPh>
    <rPh sb="50" eb="52">
      <t>ジョウキョウ</t>
    </rPh>
    <rPh sb="53" eb="54">
      <t>フク</t>
    </rPh>
    <rPh sb="55" eb="57">
      <t>ハアク</t>
    </rPh>
    <rPh sb="68" eb="70">
      <t>リシュウ</t>
    </rPh>
    <rPh sb="70" eb="72">
      <t>シドウ</t>
    </rPh>
    <rPh sb="78" eb="80">
      <t>イゼン</t>
    </rPh>
    <rPh sb="84" eb="85">
      <t>コマ</t>
    </rPh>
    <rPh sb="87" eb="89">
      <t>シドウ</t>
    </rPh>
    <rPh sb="90" eb="91">
      <t>オコナ</t>
    </rPh>
    <rPh sb="95" eb="97">
      <t>ジッセキ</t>
    </rPh>
    <rPh sb="103" eb="105">
      <t>エンチョウ</t>
    </rPh>
    <rPh sb="105" eb="107">
      <t>センジョウ</t>
    </rPh>
    <rPh sb="108" eb="109">
      <t>ホン</t>
    </rPh>
    <rPh sb="114" eb="116">
      <t>ニンテイ</t>
    </rPh>
    <rPh sb="120" eb="122">
      <t>リシュウ</t>
    </rPh>
    <rPh sb="122" eb="124">
      <t>シドウ</t>
    </rPh>
    <rPh sb="125" eb="126">
      <t>オコナ</t>
    </rPh>
    <rPh sb="130" eb="132">
      <t>カノウ</t>
    </rPh>
    <rPh sb="140" eb="142">
      <t>コウギ</t>
    </rPh>
    <rPh sb="148" eb="150">
      <t>コウギ</t>
    </rPh>
    <rPh sb="150" eb="152">
      <t>ジカン</t>
    </rPh>
    <rPh sb="152" eb="153">
      <t>ガイ</t>
    </rPh>
    <rPh sb="163" eb="165">
      <t>セッテイ</t>
    </rPh>
    <rPh sb="171" eb="173">
      <t>ガクセイ</t>
    </rPh>
    <rPh sb="174" eb="176">
      <t>シツモン</t>
    </rPh>
    <rPh sb="177" eb="179">
      <t>ソウダン</t>
    </rPh>
    <rPh sb="183" eb="187">
      <t>シュウガクソウダン</t>
    </rPh>
    <rPh sb="188" eb="189">
      <t>カン</t>
    </rPh>
    <rPh sb="191" eb="193">
      <t>セイド</t>
    </rPh>
    <rPh sb="194" eb="196">
      <t>カクリツ</t>
    </rPh>
    <rPh sb="202" eb="204">
      <t>コウギ</t>
    </rPh>
    <rPh sb="204" eb="206">
      <t>ナイヨウ</t>
    </rPh>
    <rPh sb="207" eb="208">
      <t>カン</t>
    </rPh>
    <rPh sb="214" eb="216">
      <t>タイセイ</t>
    </rPh>
    <rPh sb="217" eb="218">
      <t>トトノ</t>
    </rPh>
    <rPh sb="261" eb="263">
      <t>キガル</t>
    </rPh>
    <rPh sb="264" eb="268">
      <t>ガクシュウシドウ</t>
    </rPh>
    <rPh sb="269" eb="271">
      <t>シツモン</t>
    </rPh>
    <rPh sb="272" eb="274">
      <t>ソウダン</t>
    </rPh>
    <rPh sb="275" eb="277">
      <t>デキ</t>
    </rPh>
    <rPh sb="281" eb="283">
      <t>タイセイ</t>
    </rPh>
    <rPh sb="284" eb="285">
      <t>トトノ</t>
    </rPh>
    <phoneticPr fontId="1"/>
  </si>
  <si>
    <t>教務課において、プログラムの履修・修得状況のデータをピックアップし、データサイエンス教育担当者でプログラム履修者数を分析している。履修者数については卒業必修となっている科目も本プログラムの必修科目となっているため、本プログラム対象となる令和元年度入学以降の学生に関してはほぼ100％の学生が履修している。また、本プログラムは2年間かけて修了するプログラムとなっているため、令和2年度が修了者1号の出る年度であり修了要件を満たした学生は1名であった。</t>
    <rPh sb="0" eb="3">
      <t>キョウムカ</t>
    </rPh>
    <rPh sb="14" eb="16">
      <t>リシュウ</t>
    </rPh>
    <rPh sb="17" eb="19">
      <t>シュウトク</t>
    </rPh>
    <rPh sb="19" eb="21">
      <t>ジョウキョウ</t>
    </rPh>
    <rPh sb="42" eb="44">
      <t>キョウイク</t>
    </rPh>
    <rPh sb="44" eb="47">
      <t>タントウシャ</t>
    </rPh>
    <rPh sb="53" eb="55">
      <t>リシュウ</t>
    </rPh>
    <rPh sb="55" eb="56">
      <t>シャ</t>
    </rPh>
    <rPh sb="56" eb="57">
      <t>スウ</t>
    </rPh>
    <rPh sb="58" eb="60">
      <t>ブンセキ</t>
    </rPh>
    <rPh sb="65" eb="69">
      <t>リシュウシャスウ</t>
    </rPh>
    <rPh sb="74" eb="76">
      <t>ソツギョウ</t>
    </rPh>
    <rPh sb="76" eb="78">
      <t>ヒッシュウ</t>
    </rPh>
    <rPh sb="84" eb="86">
      <t>カモク</t>
    </rPh>
    <rPh sb="87" eb="88">
      <t>ホン</t>
    </rPh>
    <rPh sb="94" eb="98">
      <t>ヒッシュウカモク</t>
    </rPh>
    <rPh sb="107" eb="108">
      <t>ホン</t>
    </rPh>
    <rPh sb="113" eb="115">
      <t>タイショウ</t>
    </rPh>
    <rPh sb="118" eb="120">
      <t>レイワ</t>
    </rPh>
    <rPh sb="120" eb="123">
      <t>ガンネンド</t>
    </rPh>
    <rPh sb="123" eb="125">
      <t>ニュウガク</t>
    </rPh>
    <rPh sb="125" eb="127">
      <t>イコウ</t>
    </rPh>
    <rPh sb="128" eb="130">
      <t>ガクセイ</t>
    </rPh>
    <rPh sb="131" eb="132">
      <t>カン</t>
    </rPh>
    <rPh sb="142" eb="144">
      <t>ガクセイ</t>
    </rPh>
    <rPh sb="145" eb="147">
      <t>リシュウ</t>
    </rPh>
    <rPh sb="155" eb="156">
      <t>ホン</t>
    </rPh>
    <rPh sb="163" eb="165">
      <t>ネンカン</t>
    </rPh>
    <rPh sb="168" eb="170">
      <t>シュウリョウ</t>
    </rPh>
    <rPh sb="186" eb="188">
      <t>レイワ</t>
    </rPh>
    <rPh sb="189" eb="191">
      <t>ネンド</t>
    </rPh>
    <rPh sb="192" eb="195">
      <t>シュウリョウシャ</t>
    </rPh>
    <rPh sb="196" eb="197">
      <t>ゴウ</t>
    </rPh>
    <rPh sb="198" eb="199">
      <t>デ</t>
    </rPh>
    <rPh sb="200" eb="202">
      <t>ネンド</t>
    </rPh>
    <rPh sb="214" eb="216">
      <t>ガクセイ</t>
    </rPh>
    <rPh sb="218" eb="219">
      <t>メイ</t>
    </rPh>
    <phoneticPr fontId="1"/>
  </si>
  <si>
    <t>天本昌史</t>
    <rPh sb="0" eb="2">
      <t>アマモト</t>
    </rPh>
    <rPh sb="2" eb="4">
      <t>マサフミ</t>
    </rPh>
    <phoneticPr fontId="1"/>
  </si>
  <si>
    <t>KIIS数理・データサイエンス・AI教育プログラム運営委員会</t>
    <rPh sb="4" eb="6">
      <t>スウリ</t>
    </rPh>
    <rPh sb="18" eb="20">
      <t>キョウイク</t>
    </rPh>
    <rPh sb="25" eb="27">
      <t>ウンエイ</t>
    </rPh>
    <rPh sb="27" eb="30">
      <t>イインカイ</t>
    </rPh>
    <phoneticPr fontId="1"/>
  </si>
  <si>
    <t>KIIS数理・データサイエンス・AI教育プログラム運営委員会規則</t>
    <rPh sb="4" eb="6">
      <t>スウリ</t>
    </rPh>
    <rPh sb="18" eb="20">
      <t>キョウイク</t>
    </rPh>
    <rPh sb="25" eb="27">
      <t>ウンエイ</t>
    </rPh>
    <rPh sb="27" eb="30">
      <t>イインカイ</t>
    </rPh>
    <rPh sb="30" eb="32">
      <t>キソク</t>
    </rPh>
    <phoneticPr fontId="1"/>
  </si>
  <si>
    <r>
      <t xml:space="preserve">科目のほとんどを低学年に設定し、基礎・教養科目の中からデータサイエンス教育に関連のあるものを選定することで、履修者数の確保を図る。
データサイエンスと本学の特色である経営・会計・情報の融合教育は非常に親和性が高く、該当科目を履修することで、データサイエンス教育の認定だけでなく、経営情報学の基礎力を修得できるように工夫することで、多くの学生が積極的に履修をするように働きかける。
各年度の履修率の目標は100％とする。さらに本プログラムの修了者数の目標を以下の通りとする。
令和3年度　10名
令和4年度　20名
令和5年度　30名
令和6年度　40名
令和7年度　50名
</t>
    </r>
    <r>
      <rPr>
        <sz val="12"/>
        <color rgb="FFFF0000"/>
        <rFont val="ＭＳ Ｐゴシック"/>
        <family val="3"/>
        <charset val="128"/>
        <scheme val="minor"/>
      </rPr>
      <t>令和２年度までは、データサイエンス教育担当教員会議において、本学におけるデータサイエンス教育の履修者数向上に向けた検討を行ってきたが、令和3年度より、規則を整備し、名称をKIIS数理・データサイエンス・AI教育プログラム運営委員会に変更するとともに構成員に事務職員を加えたことにより、積極的に学生へデータサイエンス教育へ促す体制が整った。卒</t>
    </r>
    <r>
      <rPr>
        <sz val="12"/>
        <color rgb="FFFF0000"/>
        <rFont val="ＭＳ Ｐゴシック"/>
        <family val="2"/>
        <charset val="128"/>
        <scheme val="minor"/>
      </rPr>
      <t>業必修科目である情報リテラシー演習が本プログラム必修科目となっているため、履修率は100％を達成可能であるが、その1科目で終えることなく他のデータサイエンス教育科目を全学生が履修するよう促していきたい。その為、オリエンテーション等で本プログラムを修了する事のメリットなどを周知し、履修を促進している。また、令和3年度より修了者には修了証を授与することとし、令和4年度以降の修了者数の増加を目指したい。</t>
    </r>
    <rPh sb="0" eb="2">
      <t>カモク</t>
    </rPh>
    <rPh sb="8" eb="11">
      <t>テイガクネン</t>
    </rPh>
    <rPh sb="12" eb="14">
      <t>セッテイ</t>
    </rPh>
    <rPh sb="16" eb="18">
      <t>キソ</t>
    </rPh>
    <rPh sb="19" eb="23">
      <t>キョウヨウカモク</t>
    </rPh>
    <rPh sb="24" eb="25">
      <t>ナカ</t>
    </rPh>
    <rPh sb="35" eb="37">
      <t>キョウイク</t>
    </rPh>
    <rPh sb="38" eb="40">
      <t>カンレン</t>
    </rPh>
    <rPh sb="46" eb="48">
      <t>センテイ</t>
    </rPh>
    <rPh sb="54" eb="56">
      <t>リシュウ</t>
    </rPh>
    <rPh sb="56" eb="57">
      <t>シャ</t>
    </rPh>
    <rPh sb="57" eb="58">
      <t>スウ</t>
    </rPh>
    <rPh sb="59" eb="61">
      <t>カクホ</t>
    </rPh>
    <rPh sb="62" eb="63">
      <t>ハカ</t>
    </rPh>
    <rPh sb="75" eb="77">
      <t>ホンガク</t>
    </rPh>
    <rPh sb="78" eb="80">
      <t>トクショク</t>
    </rPh>
    <rPh sb="83" eb="85">
      <t>ケイエイ</t>
    </rPh>
    <rPh sb="86" eb="88">
      <t>カイケイ</t>
    </rPh>
    <rPh sb="89" eb="91">
      <t>ジョウホウ</t>
    </rPh>
    <rPh sb="92" eb="94">
      <t>ユウゴウ</t>
    </rPh>
    <rPh sb="94" eb="96">
      <t>キョウイク</t>
    </rPh>
    <rPh sb="97" eb="99">
      <t>ヒジョウ</t>
    </rPh>
    <rPh sb="100" eb="103">
      <t>シンワセイ</t>
    </rPh>
    <rPh sb="104" eb="105">
      <t>タカ</t>
    </rPh>
    <rPh sb="107" eb="109">
      <t>ガイトウ</t>
    </rPh>
    <rPh sb="109" eb="111">
      <t>カモク</t>
    </rPh>
    <rPh sb="112" eb="114">
      <t>リシュウ</t>
    </rPh>
    <rPh sb="128" eb="130">
      <t>キョウイク</t>
    </rPh>
    <rPh sb="131" eb="133">
      <t>ニンテイ</t>
    </rPh>
    <rPh sb="139" eb="141">
      <t>ケイエイ</t>
    </rPh>
    <rPh sb="141" eb="143">
      <t>ジョウホウ</t>
    </rPh>
    <rPh sb="143" eb="144">
      <t>ガク</t>
    </rPh>
    <rPh sb="145" eb="147">
      <t>キソ</t>
    </rPh>
    <rPh sb="147" eb="148">
      <t>リョク</t>
    </rPh>
    <rPh sb="149" eb="151">
      <t>シュウトク</t>
    </rPh>
    <rPh sb="157" eb="159">
      <t>クフウ</t>
    </rPh>
    <rPh sb="165" eb="166">
      <t>オオ</t>
    </rPh>
    <rPh sb="168" eb="170">
      <t>ガクセイ</t>
    </rPh>
    <rPh sb="171" eb="174">
      <t>セッキョクテキ</t>
    </rPh>
    <rPh sb="175" eb="177">
      <t>リシュウ</t>
    </rPh>
    <rPh sb="183" eb="184">
      <t>ハタラ</t>
    </rPh>
    <rPh sb="289" eb="291">
      <t>レイワ</t>
    </rPh>
    <rPh sb="292" eb="294">
      <t>ネンド</t>
    </rPh>
    <rPh sb="306" eb="308">
      <t>キョウイク</t>
    </rPh>
    <rPh sb="312" eb="314">
      <t>カイギ</t>
    </rPh>
    <rPh sb="319" eb="321">
      <t>ホンガク</t>
    </rPh>
    <rPh sb="333" eb="335">
      <t>キョウイク</t>
    </rPh>
    <rPh sb="336" eb="339">
      <t>リシュウシャ</t>
    </rPh>
    <rPh sb="339" eb="340">
      <t>スウ</t>
    </rPh>
    <rPh sb="340" eb="342">
      <t>コウジョウ</t>
    </rPh>
    <rPh sb="343" eb="344">
      <t>ム</t>
    </rPh>
    <rPh sb="346" eb="348">
      <t>ケントウ</t>
    </rPh>
    <rPh sb="349" eb="350">
      <t>オコナ</t>
    </rPh>
    <rPh sb="364" eb="366">
      <t>キソク</t>
    </rPh>
    <rPh sb="371" eb="373">
      <t>メイショウ</t>
    </rPh>
    <rPh sb="405" eb="407">
      <t>ヘンコウ</t>
    </rPh>
    <rPh sb="413" eb="416">
      <t>コウセイイン</t>
    </rPh>
    <rPh sb="417" eb="419">
      <t>ジム</t>
    </rPh>
    <rPh sb="419" eb="421">
      <t>ショクイン</t>
    </rPh>
    <rPh sb="422" eb="423">
      <t>クワ</t>
    </rPh>
    <rPh sb="626" eb="627">
      <t>ショウ</t>
    </rPh>
    <phoneticPr fontId="1"/>
  </si>
  <si>
    <t>経営情報学部経営情報学科（社会科学）</t>
    <rPh sb="0" eb="2">
      <t>ケイエイ</t>
    </rPh>
    <rPh sb="2" eb="4">
      <t>ジョウホウ</t>
    </rPh>
    <rPh sb="4" eb="6">
      <t>ガクブ</t>
    </rPh>
    <rPh sb="6" eb="8">
      <t>ケイエイ</t>
    </rPh>
    <rPh sb="8" eb="10">
      <t>ジョウホウ</t>
    </rPh>
    <rPh sb="10" eb="12">
      <t>ガッカ</t>
    </rPh>
    <rPh sb="13" eb="17">
      <t>シャカイカガク</t>
    </rPh>
    <phoneticPr fontId="1"/>
  </si>
  <si>
    <t>経営情報学部情報ネットワーク学科（社会科学）</t>
    <rPh sb="0" eb="2">
      <t>ケイエイ</t>
    </rPh>
    <rPh sb="2" eb="4">
      <t>ジョウホウ</t>
    </rPh>
    <rPh sb="4" eb="6">
      <t>ガクブ</t>
    </rPh>
    <rPh sb="6" eb="8">
      <t>ジョウホウ</t>
    </rPh>
    <rPh sb="14" eb="16">
      <t>ガッカ</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</si>
</sst>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 "/>
  </numFmts>
  <fonts count="17">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272">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Border="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5" xfId="0" applyFont="1" applyBorder="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4" fillId="0" borderId="0" xfId="0" applyFont="1" applyBorder="1" applyAlignment="1">
      <alignment vertical="top" shrinkToFit="1"/>
    </xf>
    <xf numFmtId="0" fontId="2" fillId="0" borderId="0" xfId="0" applyFont="1" applyBorder="1" applyAlignment="1">
      <alignment vertical="top" wrapText="1"/>
    </xf>
    <xf numFmtId="0" fontId="2" fillId="0" borderId="0" xfId="0" applyFont="1" applyBorder="1" applyAlignment="1">
      <alignment vertical="center"/>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176" fontId="9" fillId="0" borderId="0" xfId="0" applyNumberFormat="1" applyFont="1" applyBorder="1">
      <alignment vertical="center"/>
    </xf>
    <xf numFmtId="176" fontId="9" fillId="0" borderId="3" xfId="0" applyNumberFormat="1" applyFont="1" applyBorder="1" applyAlignment="1">
      <alignment vertical="center" shrinkToFit="1"/>
    </xf>
    <xf numFmtId="0" fontId="10" fillId="0" borderId="0" xfId="0" applyFont="1">
      <alignment vertical="center"/>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vertical="center"/>
    </xf>
    <xf numFmtId="0" fontId="9" fillId="0" borderId="10" xfId="0" applyFont="1" applyBorder="1" applyAlignment="1">
      <alignment vertical="center"/>
    </xf>
    <xf numFmtId="0" fontId="9" fillId="0" borderId="5" xfId="0" applyFont="1" applyBorder="1">
      <alignment vertical="center"/>
    </xf>
    <xf numFmtId="176" fontId="9" fillId="0" borderId="0" xfId="0" applyNumberFormat="1" applyFont="1" applyBorder="1" applyAlignment="1">
      <alignment vertical="center" wrapText="1"/>
    </xf>
    <xf numFmtId="0" fontId="9" fillId="0" borderId="0" xfId="0" applyFont="1" applyBorder="1">
      <alignment vertical="center"/>
    </xf>
    <xf numFmtId="176" fontId="9" fillId="0" borderId="5" xfId="0" applyNumberFormat="1" applyFont="1" applyBorder="1" applyAlignment="1">
      <alignment vertical="center"/>
    </xf>
    <xf numFmtId="176" fontId="9" fillId="0" borderId="0" xfId="0" applyNumberFormat="1" applyFont="1" applyAlignment="1">
      <alignment vertical="center" wrapText="1"/>
    </xf>
    <xf numFmtId="0" fontId="9" fillId="0" borderId="0" xfId="0" applyFont="1" applyAlignment="1">
      <alignment horizontal="center" vertical="center"/>
    </xf>
    <xf numFmtId="176" fontId="9" fillId="0" borderId="0" xfId="0" applyNumberFormat="1" applyFont="1" applyAlignment="1">
      <alignment horizontal="left" vertical="center" wrapText="1"/>
    </xf>
    <xf numFmtId="0" fontId="9" fillId="0" borderId="0" xfId="0" applyFont="1" applyAlignment="1">
      <alignment horizontal="right" vertical="center"/>
    </xf>
    <xf numFmtId="0" fontId="9" fillId="0" borderId="6" xfId="0" applyFont="1" applyBorder="1" applyAlignment="1">
      <alignment vertical="center" shrinkToFit="1"/>
    </xf>
    <xf numFmtId="0" fontId="9" fillId="0" borderId="1" xfId="0" applyFont="1" applyBorder="1">
      <alignment vertical="center"/>
    </xf>
    <xf numFmtId="0" fontId="9" fillId="0" borderId="2" xfId="0" applyFont="1" applyBorder="1">
      <alignment vertical="center"/>
    </xf>
    <xf numFmtId="0" fontId="9" fillId="0" borderId="4" xfId="0" applyFont="1" applyBorder="1">
      <alignment vertical="center"/>
    </xf>
    <xf numFmtId="0" fontId="9" fillId="0" borderId="0" xfId="0" applyFont="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21" xfId="0" applyFont="1" applyBorder="1" applyAlignment="1">
      <alignment vertical="top" wrapText="1"/>
    </xf>
    <xf numFmtId="0" fontId="9" fillId="0" borderId="0" xfId="0" applyFont="1" applyAlignment="1">
      <alignment horizontal="center" vertical="center"/>
    </xf>
    <xf numFmtId="0" fontId="10" fillId="0" borderId="10" xfId="0" applyFont="1" applyBorder="1" applyAlignment="1">
      <alignment vertical="center" shrinkToFit="1"/>
    </xf>
    <xf numFmtId="0" fontId="3" fillId="0" borderId="0" xfId="0" applyFont="1" applyAlignment="1">
      <alignment horizontal="center" vertical="center"/>
    </xf>
    <xf numFmtId="0" fontId="3" fillId="0" borderId="0" xfId="0" applyFont="1" applyAlignment="1">
      <alignment vertical="center" wrapText="1"/>
    </xf>
    <xf numFmtId="0" fontId="9" fillId="0" borderId="0" xfId="0" applyFont="1" applyBorder="1" applyAlignment="1">
      <alignment horizontal="center" vertical="center"/>
    </xf>
    <xf numFmtId="0" fontId="9" fillId="0" borderId="0" xfId="0" applyFont="1" applyAlignment="1">
      <alignment horizontal="center" vertical="center"/>
    </xf>
    <xf numFmtId="0" fontId="10" fillId="0" borderId="0" xfId="0" applyFont="1" applyAlignment="1">
      <alignment horizontal="right" vertical="center"/>
    </xf>
    <xf numFmtId="0" fontId="9" fillId="0" borderId="1" xfId="0" applyFont="1" applyBorder="1" applyAlignment="1">
      <alignment vertical="center" shrinkToFit="1"/>
    </xf>
    <xf numFmtId="0" fontId="2" fillId="0" borderId="0" xfId="0" applyFont="1" applyAlignment="1">
      <alignment horizontal="center" vertical="center"/>
    </xf>
    <xf numFmtId="0" fontId="2" fillId="0" borderId="11" xfId="0" applyFont="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2" fillId="0" borderId="1" xfId="0" applyFont="1" applyBorder="1" applyAlignment="1">
      <alignment vertical="center" wrapText="1"/>
    </xf>
    <xf numFmtId="0" fontId="12" fillId="0" borderId="2" xfId="0" applyFont="1" applyBorder="1" applyAlignment="1">
      <alignment horizontal="center" vertical="center" shrinkToFit="1"/>
    </xf>
    <xf numFmtId="0" fontId="10" fillId="0" borderId="0" xfId="0" applyFont="1" applyFill="1">
      <alignment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12" fillId="0" borderId="0" xfId="0" applyFont="1">
      <alignment vertical="center"/>
    </xf>
    <xf numFmtId="0" fontId="12" fillId="0" borderId="1" xfId="0" applyFont="1" applyBorder="1" applyAlignment="1">
      <alignment vertical="center" wrapText="1"/>
    </xf>
    <xf numFmtId="0" fontId="14" fillId="0" borderId="21" xfId="0" applyFont="1" applyBorder="1" applyAlignment="1">
      <alignment vertical="top" shrinkToFit="1"/>
    </xf>
    <xf numFmtId="0" fontId="14" fillId="0" borderId="19" xfId="0" applyFont="1" applyBorder="1" applyAlignment="1">
      <alignment vertical="top" shrinkToFit="1"/>
    </xf>
    <xf numFmtId="0" fontId="2" fillId="0" borderId="2" xfId="0" applyFont="1" applyBorder="1" applyAlignment="1">
      <alignment vertical="center" shrinkToFit="1"/>
    </xf>
    <xf numFmtId="0" fontId="14" fillId="0" borderId="0" xfId="0" applyFont="1" applyBorder="1" applyAlignment="1">
      <alignment vertical="center" shrinkToFit="1"/>
    </xf>
    <xf numFmtId="0" fontId="14" fillId="0" borderId="1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5" fillId="0" borderId="0" xfId="2" applyNumberFormat="1" applyFont="1" applyBorder="1" applyAlignment="1">
      <alignment vertical="center" shrinkToFit="1"/>
    </xf>
    <xf numFmtId="0" fontId="3" fillId="0" borderId="0" xfId="0" applyFont="1" applyAlignment="1">
      <alignment vertical="center" shrinkToFit="1"/>
    </xf>
    <xf numFmtId="0" fontId="16"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0" fontId="3" fillId="0" borderId="27" xfId="0" applyFont="1" applyBorder="1" applyAlignment="1">
      <alignment vertical="center" shrinkToFit="1"/>
    </xf>
    <xf numFmtId="176" fontId="3" fillId="0" borderId="27"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9" fontId="3" fillId="0" borderId="29" xfId="0" applyNumberFormat="1" applyFont="1" applyBorder="1" applyAlignment="1">
      <alignment vertical="center" shrinkToFit="1"/>
    </xf>
    <xf numFmtId="176" fontId="5" fillId="0" borderId="0" xfId="0" applyNumberFormat="1" applyFont="1" applyBorder="1" applyAlignment="1">
      <alignment vertical="center" shrinkToFit="1"/>
    </xf>
    <xf numFmtId="0" fontId="13" fillId="0" borderId="0" xfId="0" applyFont="1" applyBorder="1" applyAlignment="1">
      <alignment vertical="center" shrinkToFit="1"/>
    </xf>
    <xf numFmtId="0" fontId="13" fillId="0" borderId="10" xfId="0" applyFont="1" applyBorder="1" applyAlignment="1">
      <alignment vertical="center" shrinkToFit="1"/>
    </xf>
    <xf numFmtId="0" fontId="2" fillId="0" borderId="0" xfId="0" applyFont="1" applyAlignment="1">
      <alignment horizontal="right" vertical="center"/>
    </xf>
    <xf numFmtId="0" fontId="4" fillId="0" borderId="0" xfId="0" applyFont="1" applyAlignment="1">
      <alignment vertical="top" wrapText="1"/>
    </xf>
    <xf numFmtId="0" fontId="5" fillId="0" borderId="0" xfId="0" applyFont="1" applyAlignment="1">
      <alignment vertical="top" wrapText="1"/>
    </xf>
    <xf numFmtId="0" fontId="13" fillId="0" borderId="2" xfId="0" applyFont="1" applyBorder="1" applyAlignment="1">
      <alignment horizontal="center" vertical="center" shrinkToFit="1"/>
    </xf>
    <xf numFmtId="0" fontId="13" fillId="0" borderId="2" xfId="0" applyFont="1" applyBorder="1" applyAlignment="1">
      <alignment horizontal="center" vertical="center" shrinkToFit="1"/>
    </xf>
    <xf numFmtId="0" fontId="9" fillId="0" borderId="0" xfId="0" applyFont="1" applyBorder="1" applyAlignment="1">
      <alignment vertical="center" shrinkToFit="1"/>
    </xf>
    <xf numFmtId="0" fontId="9" fillId="0" borderId="0" xfId="0" applyFont="1" applyBorder="1" applyAlignment="1">
      <alignment horizontal="center" vertical="center"/>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3" fillId="0" borderId="20" xfId="0" applyFont="1" applyBorder="1" applyAlignment="1">
      <alignment vertical="center" shrinkToFit="1"/>
    </xf>
    <xf numFmtId="0" fontId="3" fillId="0" borderId="0" xfId="0" applyFont="1" applyAlignment="1">
      <alignment horizontal="center" vertical="center"/>
    </xf>
    <xf numFmtId="0" fontId="9" fillId="0" borderId="0" xfId="0" applyFont="1" applyBorder="1" applyAlignment="1">
      <alignment vertical="center" shrinkToFit="1"/>
    </xf>
    <xf numFmtId="176" fontId="13" fillId="0" borderId="2" xfId="0" applyNumberFormat="1" applyFont="1" applyBorder="1" applyAlignment="1">
      <alignment horizontal="center" vertical="center" shrinkToFit="1"/>
    </xf>
    <xf numFmtId="176" fontId="13" fillId="0" borderId="4" xfId="0" applyNumberFormat="1" applyFont="1" applyBorder="1" applyAlignment="1">
      <alignment horizontal="center" vertical="center" shrinkToFit="1"/>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9" fillId="0" borderId="0" xfId="0" applyFont="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9" fillId="0" borderId="0" xfId="0" applyFont="1" applyBorder="1" applyAlignment="1">
      <alignment horizontal="right" vertical="center" shrinkToFit="1"/>
    </xf>
    <xf numFmtId="0" fontId="9" fillId="0" borderId="5" xfId="0" applyFont="1" applyBorder="1" applyAlignment="1">
      <alignment horizontal="right" vertical="center" shrinkToFit="1"/>
    </xf>
    <xf numFmtId="0" fontId="9" fillId="0" borderId="10" xfId="0" applyFont="1" applyBorder="1" applyAlignment="1">
      <alignment horizontal="right" vertical="center" shrinkToFit="1"/>
    </xf>
    <xf numFmtId="0" fontId="10" fillId="0" borderId="0" xfId="0" applyFont="1" applyAlignment="1">
      <alignment horizontal="right" vertical="center"/>
    </xf>
    <xf numFmtId="0" fontId="9" fillId="0" borderId="0" xfId="0" applyFont="1" applyBorder="1" applyAlignment="1">
      <alignment horizontal="right" vertical="center"/>
    </xf>
    <xf numFmtId="0" fontId="9" fillId="0" borderId="10" xfId="0" applyFont="1" applyBorder="1" applyAlignment="1">
      <alignment horizontal="right" vertical="center"/>
    </xf>
    <xf numFmtId="176" fontId="13" fillId="0" borderId="3" xfId="0" applyNumberFormat="1" applyFont="1" applyBorder="1" applyAlignment="1">
      <alignment horizontal="center" vertical="center" shrinkToFit="1"/>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13" fillId="0" borderId="2" xfId="0" applyFont="1"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49" fontId="7" fillId="0" borderId="2" xfId="2" applyNumberFormat="1" applyBorder="1" applyAlignment="1">
      <alignment vertical="center" shrinkToFit="1"/>
    </xf>
    <xf numFmtId="49" fontId="13" fillId="0" borderId="3" xfId="0" applyNumberFormat="1" applyFont="1" applyBorder="1" applyAlignment="1">
      <alignment vertical="center" shrinkToFit="1"/>
    </xf>
    <xf numFmtId="49" fontId="13" fillId="0" borderId="4" xfId="0" applyNumberFormat="1" applyFont="1" applyBorder="1" applyAlignment="1">
      <alignment vertical="center" shrinkToFit="1"/>
    </xf>
    <xf numFmtId="49" fontId="13" fillId="0" borderId="2" xfId="1" applyNumberFormat="1" applyFont="1" applyBorder="1" applyAlignment="1">
      <alignment horizontal="center" vertical="center" shrinkToFit="1"/>
    </xf>
    <xf numFmtId="49" fontId="13" fillId="0" borderId="3" xfId="1" applyNumberFormat="1" applyFont="1" applyBorder="1" applyAlignment="1">
      <alignment horizontal="center" vertical="center" shrinkToFit="1"/>
    </xf>
    <xf numFmtId="49" fontId="13" fillId="0" borderId="4" xfId="1" applyNumberFormat="1" applyFont="1" applyBorder="1" applyAlignment="1">
      <alignment horizontal="center" vertical="center" shrinkToFit="1"/>
    </xf>
    <xf numFmtId="0" fontId="12" fillId="0" borderId="7" xfId="0" applyFont="1" applyBorder="1" applyAlignment="1">
      <alignment vertical="top" wrapText="1"/>
    </xf>
    <xf numFmtId="0" fontId="13" fillId="0" borderId="8" xfId="0" applyFont="1" applyBorder="1" applyAlignment="1">
      <alignment vertical="top" wrapText="1"/>
    </xf>
    <xf numFmtId="0" fontId="13" fillId="0" borderId="9" xfId="0" applyFont="1" applyBorder="1" applyAlignment="1">
      <alignment vertical="top" wrapText="1"/>
    </xf>
    <xf numFmtId="0" fontId="13" fillId="0" borderId="5" xfId="0" applyFont="1" applyBorder="1" applyAlignment="1">
      <alignment vertical="top" wrapText="1"/>
    </xf>
    <xf numFmtId="0" fontId="13" fillId="0" borderId="0" xfId="0" applyFont="1" applyBorder="1" applyAlignment="1">
      <alignment vertical="top" wrapText="1"/>
    </xf>
    <xf numFmtId="0" fontId="13" fillId="0" borderId="10" xfId="0" applyFont="1" applyBorder="1" applyAlignment="1">
      <alignment vertical="top" wrapText="1"/>
    </xf>
    <xf numFmtId="0" fontId="13" fillId="0" borderId="11" xfId="0" applyFont="1" applyBorder="1" applyAlignment="1">
      <alignment vertical="top" wrapText="1"/>
    </xf>
    <xf numFmtId="0" fontId="13" fillId="0" borderId="6" xfId="0" applyFont="1" applyBorder="1" applyAlignment="1">
      <alignment vertical="top" wrapText="1"/>
    </xf>
    <xf numFmtId="0" fontId="13" fillId="0" borderId="12" xfId="0" applyFont="1" applyBorder="1" applyAlignment="1">
      <alignment vertical="top" wrapTex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0" xfId="0" applyFont="1" applyAlignment="1">
      <alignment vertical="center" shrinkToFit="1"/>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15" xfId="0" applyFont="1" applyBorder="1" applyAlignment="1">
      <alignment vertical="center" shrinkToFit="1"/>
    </xf>
    <xf numFmtId="0" fontId="3" fillId="0" borderId="39" xfId="0" applyFont="1" applyBorder="1" applyAlignment="1">
      <alignment vertical="center" shrinkToFit="1"/>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40" xfId="0" applyFont="1" applyBorder="1" applyAlignment="1">
      <alignment vertical="center" shrinkToFit="1"/>
    </xf>
    <xf numFmtId="0" fontId="3" fillId="0" borderId="41" xfId="0" applyFont="1" applyBorder="1" applyAlignment="1">
      <alignment vertical="center" shrinkToFit="1"/>
    </xf>
    <xf numFmtId="0" fontId="2" fillId="0" borderId="0" xfId="0" applyFont="1" applyAlignment="1">
      <alignment horizontal="right" vertical="center"/>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9" xfId="0" applyFont="1" applyBorder="1" applyAlignment="1">
      <alignment horizontal="center" vertical="center"/>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shrinkToFit="1"/>
    </xf>
    <xf numFmtId="0" fontId="2" fillId="0" borderId="2" xfId="0" applyFont="1" applyFill="1" applyBorder="1" applyAlignment="1">
      <alignment horizontal="center" vertical="center" shrinkToFit="1"/>
    </xf>
    <xf numFmtId="0" fontId="2" fillId="0" borderId="3"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16" xfId="0" applyFont="1" applyBorder="1" applyAlignment="1">
      <alignment vertical="center" wrapText="1"/>
    </xf>
    <xf numFmtId="0" fontId="3" fillId="0" borderId="42" xfId="0" applyFont="1" applyBorder="1" applyAlignment="1">
      <alignment vertical="center" wrapText="1"/>
    </xf>
    <xf numFmtId="0" fontId="12" fillId="0" borderId="7"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5" xfId="0" applyFont="1" applyBorder="1" applyAlignment="1">
      <alignment horizontal="left" vertical="top" wrapText="1"/>
    </xf>
    <xf numFmtId="0" fontId="13" fillId="0" borderId="0" xfId="0" applyFont="1" applyBorder="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12" xfId="0" applyFont="1" applyBorder="1" applyAlignment="1">
      <alignment horizontal="left" vertical="top" wrapTex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12" fillId="0" borderId="2" xfId="0" applyFont="1" applyBorder="1" applyAlignment="1">
      <alignment horizontal="center" vertical="center" shrinkToFit="1"/>
    </xf>
    <xf numFmtId="0" fontId="3" fillId="0" borderId="13" xfId="0" applyFont="1" applyBorder="1" applyAlignment="1">
      <alignment vertical="center" wrapText="1"/>
    </xf>
    <xf numFmtId="0" fontId="12" fillId="0" borderId="7" xfId="0" applyFont="1" applyBorder="1" applyAlignment="1">
      <alignment horizontal="left" vertical="top" wrapText="1" shrinkToFit="1"/>
    </xf>
    <xf numFmtId="0" fontId="13" fillId="0" borderId="8" xfId="0" applyFont="1" applyBorder="1" applyAlignment="1">
      <alignment horizontal="left" vertical="top" shrinkToFit="1"/>
    </xf>
    <xf numFmtId="0" fontId="13" fillId="0" borderId="9" xfId="0" applyFont="1" applyBorder="1" applyAlignment="1">
      <alignment horizontal="left" vertical="top" shrinkToFit="1"/>
    </xf>
    <xf numFmtId="0" fontId="13" fillId="0" borderId="5" xfId="0" applyFont="1" applyBorder="1" applyAlignment="1">
      <alignment horizontal="left" vertical="top" shrinkToFit="1"/>
    </xf>
    <xf numFmtId="0" fontId="13" fillId="0" borderId="0" xfId="0" applyFont="1" applyBorder="1" applyAlignment="1">
      <alignment horizontal="left" vertical="top" shrinkToFit="1"/>
    </xf>
    <xf numFmtId="0" fontId="13" fillId="0" borderId="10" xfId="0" applyFont="1" applyBorder="1" applyAlignment="1">
      <alignment horizontal="left" vertical="top" shrinkToFit="1"/>
    </xf>
    <xf numFmtId="0" fontId="13" fillId="0" borderId="11" xfId="0" applyFont="1" applyBorder="1" applyAlignment="1">
      <alignment horizontal="left" vertical="top" shrinkToFit="1"/>
    </xf>
    <xf numFmtId="0" fontId="13" fillId="0" borderId="6" xfId="0" applyFont="1" applyBorder="1" applyAlignment="1">
      <alignment horizontal="left" vertical="top" shrinkToFit="1"/>
    </xf>
    <xf numFmtId="0" fontId="13" fillId="0" borderId="12" xfId="0" applyFont="1" applyBorder="1" applyAlignment="1">
      <alignment horizontal="left" vertical="top" shrinkToFit="1"/>
    </xf>
    <xf numFmtId="0" fontId="2" fillId="0" borderId="0" xfId="0" applyFont="1" applyAlignment="1">
      <alignment horizontal="center" vertical="center"/>
    </xf>
    <xf numFmtId="0" fontId="7" fillId="0" borderId="2" xfId="2" applyBorder="1" applyAlignment="1">
      <alignment vertical="center"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2" fillId="0" borderId="2" xfId="0" applyFont="1" applyBorder="1" applyAlignment="1">
      <alignment vertical="center" shrinkToFit="1"/>
    </xf>
    <xf numFmtId="0" fontId="12" fillId="0" borderId="7" xfId="0" applyFont="1" applyBorder="1" applyAlignment="1">
      <alignment vertical="top" wrapText="1" shrinkToFit="1"/>
    </xf>
    <xf numFmtId="0" fontId="12" fillId="0" borderId="8" xfId="0" applyFont="1" applyBorder="1" applyAlignment="1">
      <alignment vertical="top" wrapText="1" shrinkToFit="1"/>
    </xf>
    <xf numFmtId="0" fontId="12" fillId="0" borderId="9" xfId="0" applyFont="1" applyBorder="1" applyAlignment="1">
      <alignment vertical="top" wrapText="1" shrinkToFit="1"/>
    </xf>
    <xf numFmtId="0" fontId="12" fillId="0" borderId="5" xfId="0" applyFont="1" applyBorder="1" applyAlignment="1">
      <alignment vertical="top" wrapText="1" shrinkToFit="1"/>
    </xf>
    <xf numFmtId="0" fontId="12" fillId="0" borderId="0" xfId="0" applyFont="1" applyBorder="1" applyAlignment="1">
      <alignment vertical="top" wrapText="1" shrinkToFit="1"/>
    </xf>
    <xf numFmtId="0" fontId="12" fillId="0" borderId="10" xfId="0" applyFont="1" applyBorder="1" applyAlignment="1">
      <alignment vertical="top" wrapText="1" shrinkToFit="1"/>
    </xf>
    <xf numFmtId="0" fontId="12" fillId="0" borderId="11" xfId="0" applyFont="1" applyBorder="1" applyAlignment="1">
      <alignment vertical="top" wrapText="1" shrinkToFit="1"/>
    </xf>
    <xf numFmtId="0" fontId="12" fillId="0" borderId="6" xfId="0" applyFont="1" applyBorder="1" applyAlignment="1">
      <alignment vertical="top" wrapText="1" shrinkToFit="1"/>
    </xf>
    <xf numFmtId="0" fontId="12" fillId="0" borderId="12" xfId="0" applyFont="1" applyBorder="1" applyAlignment="1">
      <alignment vertical="top" wrapText="1" shrinkToFit="1"/>
    </xf>
    <xf numFmtId="0" fontId="13" fillId="0" borderId="8" xfId="0" applyFont="1" applyBorder="1" applyAlignment="1">
      <alignment vertical="top"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Border="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2" fillId="0" borderId="6" xfId="0" applyFont="1" applyBorder="1" applyAlignment="1">
      <alignment vertical="center"/>
    </xf>
    <xf numFmtId="0" fontId="2" fillId="0" borderId="0" xfId="0" applyFont="1" applyAlignment="1">
      <alignment vertical="center" shrinkToFit="1"/>
    </xf>
    <xf numFmtId="0" fontId="13" fillId="0" borderId="7" xfId="0" applyFont="1" applyBorder="1" applyAlignment="1">
      <alignment vertical="top" wrapText="1" shrinkToFit="1"/>
    </xf>
    <xf numFmtId="0" fontId="13" fillId="0" borderId="8" xfId="0" applyFont="1" applyBorder="1" applyAlignment="1">
      <alignment vertical="top" wrapText="1" shrinkToFit="1"/>
    </xf>
    <xf numFmtId="0" fontId="13" fillId="0" borderId="9" xfId="0" applyFont="1" applyBorder="1" applyAlignment="1">
      <alignment vertical="top" wrapText="1" shrinkToFit="1"/>
    </xf>
    <xf numFmtId="0" fontId="13" fillId="0" borderId="5" xfId="0" applyFont="1" applyBorder="1" applyAlignment="1">
      <alignment vertical="top" wrapText="1" shrinkToFit="1"/>
    </xf>
    <xf numFmtId="0" fontId="13" fillId="0" borderId="0" xfId="0" applyFont="1" applyBorder="1" applyAlignment="1">
      <alignment vertical="top" wrapText="1" shrinkToFit="1"/>
    </xf>
    <xf numFmtId="0" fontId="13" fillId="0" borderId="10" xfId="0" applyFont="1" applyBorder="1" applyAlignment="1">
      <alignment vertical="top" wrapText="1" shrinkToFit="1"/>
    </xf>
    <xf numFmtId="0" fontId="13" fillId="0" borderId="11" xfId="0" applyFont="1" applyBorder="1" applyAlignment="1">
      <alignment vertical="top" wrapText="1" shrinkToFit="1"/>
    </xf>
    <xf numFmtId="0" fontId="13" fillId="0" borderId="6" xfId="0" applyFont="1" applyBorder="1" applyAlignment="1">
      <alignment vertical="top" wrapText="1" shrinkToFit="1"/>
    </xf>
    <xf numFmtId="0" fontId="13" fillId="0" borderId="12" xfId="0" applyFont="1" applyBorder="1" applyAlignment="1">
      <alignment vertical="top" wrapText="1" shrinkToFit="1"/>
    </xf>
    <xf numFmtId="0" fontId="7" fillId="0" borderId="2" xfId="2" applyBorder="1" applyAlignment="1">
      <alignment horizontal="left" vertical="center" shrinkToFit="1"/>
    </xf>
    <xf numFmtId="0" fontId="14" fillId="0" borderId="3" xfId="0" applyFont="1" applyBorder="1" applyAlignment="1">
      <alignment horizontal="left" vertical="center" shrinkToFit="1"/>
    </xf>
    <xf numFmtId="0" fontId="14" fillId="0" borderId="4" xfId="0" applyFont="1" applyBorder="1" applyAlignment="1">
      <alignment horizontal="left" vertical="center" shrinkToFit="1"/>
    </xf>
    <xf numFmtId="0" fontId="2" fillId="0" borderId="18" xfId="0" applyFont="1" applyBorder="1" applyAlignment="1">
      <alignment vertical="center" wrapText="1"/>
    </xf>
    <xf numFmtId="0" fontId="2" fillId="0" borderId="19" xfId="0" applyFont="1" applyBorder="1" applyAlignment="1">
      <alignment vertical="center" wrapText="1"/>
    </xf>
    <xf numFmtId="0" fontId="13" fillId="0" borderId="20" xfId="0" applyFont="1" applyBorder="1" applyAlignment="1">
      <alignment vertical="top" wrapText="1" shrinkToFit="1"/>
    </xf>
    <xf numFmtId="0" fontId="13" fillId="0" borderId="21" xfId="0" applyFont="1" applyBorder="1" applyAlignment="1">
      <alignment vertical="top" wrapText="1" shrinkToFit="1"/>
    </xf>
    <xf numFmtId="0" fontId="13" fillId="0" borderId="19" xfId="0" applyFont="1" applyBorder="1" applyAlignment="1">
      <alignment vertical="top" wrapText="1" shrinkToFit="1"/>
    </xf>
    <xf numFmtId="0" fontId="4" fillId="0" borderId="0" xfId="0" applyFont="1" applyAlignment="1">
      <alignment vertical="top" wrapText="1"/>
    </xf>
    <xf numFmtId="0" fontId="5" fillId="0" borderId="0" xfId="0" applyFont="1" applyAlignment="1">
      <alignment vertical="top"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xf>
    <xf numFmtId="0" fontId="0" fillId="0" borderId="19" xfId="0" applyBorder="1" applyAlignment="1">
      <alignment vertical="center"/>
    </xf>
    <xf numFmtId="0" fontId="2" fillId="0" borderId="22" xfId="0" applyFont="1" applyBorder="1" applyAlignment="1">
      <alignment vertical="center" wrapText="1"/>
    </xf>
    <xf numFmtId="0" fontId="2" fillId="0" borderId="23" xfId="0" applyFont="1" applyBorder="1" applyAlignment="1">
      <alignment vertical="center" wrapText="1"/>
    </xf>
    <xf numFmtId="0" fontId="13" fillId="0" borderId="24" xfId="0" applyFont="1" applyBorder="1" applyAlignment="1">
      <alignment vertical="top" wrapText="1" shrinkToFit="1"/>
    </xf>
    <xf numFmtId="0" fontId="13" fillId="0" borderId="23" xfId="0" applyFont="1" applyBorder="1" applyAlignment="1">
      <alignment vertical="top" wrapText="1" shrinkToFit="1"/>
    </xf>
    <xf numFmtId="0" fontId="2" fillId="0" borderId="20" xfId="0" applyFont="1" applyBorder="1" applyAlignment="1">
      <alignment vertical="center" wrapText="1"/>
    </xf>
    <xf numFmtId="0" fontId="2" fillId="0" borderId="21"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yomu@kiis.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kiis.ac.jp/general/department/kp/"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kiis.ac.jp/general/guide/koka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7"/>
  <sheetViews>
    <sheetView zoomScaleNormal="100" workbookViewId="0"/>
  </sheetViews>
  <sheetFormatPr defaultColWidth="9" defaultRowHeight="18.75" customHeight="1"/>
  <cols>
    <col min="1" max="1" width="2.5" style="23" customWidth="1"/>
    <col min="2" max="2" width="12.5" style="23" customWidth="1"/>
    <col min="3" max="8" width="6.25" style="23" customWidth="1"/>
    <col min="9" max="9" width="2.5" style="23" customWidth="1"/>
    <col min="10" max="10" width="10" style="23" customWidth="1"/>
    <col min="11" max="11" width="2.5" style="23" customWidth="1"/>
    <col min="12" max="12" width="7.5" style="23" customWidth="1"/>
    <col min="13" max="13" width="2.5" style="23" customWidth="1"/>
    <col min="14" max="14" width="7.5" style="23" customWidth="1"/>
    <col min="15" max="16384" width="9" style="23"/>
  </cols>
  <sheetData>
    <row r="1" spans="1:14" ht="22.5" customHeight="1">
      <c r="M1" s="130" t="s">
        <v>27</v>
      </c>
      <c r="N1" s="130"/>
    </row>
    <row r="2" spans="1:14" ht="22.5" customHeight="1">
      <c r="A2" s="135" t="s">
        <v>125</v>
      </c>
      <c r="B2" s="135"/>
      <c r="C2" s="135"/>
      <c r="D2" s="135"/>
      <c r="E2" s="135"/>
      <c r="F2" s="135"/>
      <c r="G2" s="135"/>
      <c r="H2" s="135"/>
      <c r="I2" s="135"/>
      <c r="J2" s="135"/>
      <c r="K2" s="135"/>
      <c r="L2" s="135"/>
      <c r="M2" s="135"/>
      <c r="N2" s="135"/>
    </row>
    <row r="3" spans="1:14" ht="22.5" customHeight="1"/>
    <row r="4" spans="1:14" ht="22.5" customHeight="1">
      <c r="A4" s="23" t="s">
        <v>7</v>
      </c>
      <c r="B4" s="25" t="s">
        <v>19</v>
      </c>
      <c r="C4" s="120" t="s">
        <v>177</v>
      </c>
      <c r="D4" s="121"/>
      <c r="E4" s="121"/>
      <c r="F4" s="121"/>
      <c r="G4" s="121"/>
      <c r="H4" s="121"/>
      <c r="I4" s="121"/>
      <c r="J4" s="121"/>
      <c r="K4" s="121"/>
      <c r="L4" s="121"/>
      <c r="M4" s="121"/>
      <c r="N4" s="122"/>
    </row>
    <row r="5" spans="1:14" ht="7.5" customHeight="1">
      <c r="B5" s="25"/>
      <c r="C5" s="25"/>
      <c r="D5" s="25"/>
      <c r="E5" s="26"/>
      <c r="F5" s="111"/>
      <c r="G5" s="111"/>
      <c r="H5" s="111"/>
      <c r="I5" s="111"/>
      <c r="J5" s="111"/>
      <c r="K5" s="111"/>
      <c r="L5" s="111"/>
      <c r="M5" s="111"/>
      <c r="N5" s="111"/>
    </row>
    <row r="6" spans="1:14" ht="22.5" customHeight="1">
      <c r="A6" s="23" t="s">
        <v>12</v>
      </c>
      <c r="B6" s="25" t="s">
        <v>53</v>
      </c>
      <c r="C6" s="25"/>
      <c r="D6" s="120" t="s">
        <v>178</v>
      </c>
      <c r="E6" s="121"/>
      <c r="F6" s="121"/>
      <c r="G6" s="121"/>
      <c r="H6" s="121"/>
      <c r="I6" s="121"/>
      <c r="J6" s="121"/>
      <c r="K6" s="121"/>
      <c r="L6" s="121"/>
      <c r="M6" s="121"/>
      <c r="N6" s="122"/>
    </row>
    <row r="7" spans="1:14" ht="7.5" customHeight="1">
      <c r="B7" s="25"/>
      <c r="C7" s="25"/>
      <c r="D7" s="25"/>
      <c r="E7" s="26"/>
      <c r="F7" s="111"/>
      <c r="G7" s="111"/>
      <c r="H7" s="111"/>
      <c r="I7" s="111"/>
      <c r="J7" s="111"/>
      <c r="K7" s="111"/>
      <c r="L7" s="111"/>
      <c r="M7" s="111"/>
      <c r="N7" s="111"/>
    </row>
    <row r="8" spans="1:14" ht="22.5" customHeight="1">
      <c r="A8" s="27" t="s">
        <v>13</v>
      </c>
      <c r="B8" s="28" t="s">
        <v>54</v>
      </c>
      <c r="C8" s="120" t="s">
        <v>179</v>
      </c>
      <c r="D8" s="121"/>
      <c r="E8" s="122"/>
      <c r="F8" s="111"/>
      <c r="G8" s="134"/>
      <c r="H8" s="134"/>
      <c r="I8" s="134"/>
      <c r="J8" s="111"/>
      <c r="K8" s="111"/>
      <c r="L8" s="111"/>
      <c r="M8" s="111"/>
      <c r="N8" s="111"/>
    </row>
    <row r="9" spans="1:14" ht="7.5" customHeight="1">
      <c r="B9" s="25"/>
      <c r="C9" s="25"/>
      <c r="D9" s="25"/>
      <c r="E9" s="26"/>
      <c r="F9" s="111"/>
      <c r="G9" s="111"/>
      <c r="H9" s="111"/>
      <c r="I9" s="111"/>
      <c r="J9" s="111"/>
      <c r="K9" s="111"/>
      <c r="L9" s="111"/>
      <c r="M9" s="111"/>
      <c r="N9" s="111"/>
    </row>
    <row r="10" spans="1:14" ht="22.5" customHeight="1">
      <c r="A10" s="23" t="s">
        <v>16</v>
      </c>
      <c r="B10" s="25" t="s">
        <v>50</v>
      </c>
      <c r="C10" s="120" t="s">
        <v>180</v>
      </c>
      <c r="D10" s="121"/>
      <c r="E10" s="121"/>
      <c r="F10" s="121"/>
      <c r="G10" s="121"/>
      <c r="H10" s="121"/>
      <c r="I10" s="121"/>
      <c r="J10" s="121"/>
      <c r="K10" s="121"/>
      <c r="L10" s="121"/>
      <c r="M10" s="121"/>
      <c r="N10" s="122"/>
    </row>
    <row r="11" spans="1:14" ht="7.5" customHeight="1">
      <c r="B11" s="25"/>
      <c r="C11" s="25"/>
      <c r="D11" s="25"/>
      <c r="E11" s="26"/>
      <c r="F11" s="111"/>
      <c r="G11" s="111"/>
      <c r="H11" s="111"/>
      <c r="I11" s="111"/>
      <c r="J11" s="111"/>
      <c r="K11" s="111"/>
      <c r="L11" s="111"/>
      <c r="M11" s="111"/>
      <c r="N11" s="111"/>
    </row>
    <row r="12" spans="1:14" ht="22.5" customHeight="1">
      <c r="A12" s="23" t="s">
        <v>14</v>
      </c>
      <c r="B12" s="25" t="s">
        <v>121</v>
      </c>
      <c r="C12" s="25"/>
      <c r="D12" s="25"/>
      <c r="E12" s="104"/>
      <c r="F12" s="105"/>
      <c r="G12" s="136" t="s">
        <v>191</v>
      </c>
      <c r="H12" s="137"/>
      <c r="I12" s="137"/>
      <c r="J12" s="137"/>
      <c r="K12" s="137"/>
      <c r="L12" s="137"/>
      <c r="M12" s="137"/>
      <c r="N12" s="138"/>
    </row>
    <row r="13" spans="1:14" ht="7.5" customHeight="1">
      <c r="B13" s="26"/>
      <c r="C13" s="26"/>
      <c r="D13" s="26"/>
      <c r="E13" s="26"/>
      <c r="F13" s="111"/>
      <c r="G13" s="111"/>
      <c r="H13" s="111"/>
      <c r="I13" s="111"/>
      <c r="J13" s="111"/>
      <c r="K13" s="111"/>
      <c r="L13" s="111"/>
      <c r="M13" s="111"/>
      <c r="N13" s="111"/>
    </row>
    <row r="14" spans="1:14" ht="22.5" customHeight="1">
      <c r="A14" s="23" t="s">
        <v>17</v>
      </c>
      <c r="B14" s="26" t="s">
        <v>62</v>
      </c>
      <c r="C14" s="26"/>
      <c r="D14" s="26"/>
      <c r="E14" s="26"/>
      <c r="F14" s="120" t="s">
        <v>181</v>
      </c>
      <c r="G14" s="121"/>
      <c r="H14" s="122"/>
      <c r="I14" s="111"/>
      <c r="J14" s="111"/>
      <c r="K14" s="111"/>
      <c r="L14" s="111"/>
      <c r="M14" s="111"/>
      <c r="N14" s="111"/>
    </row>
    <row r="15" spans="1:14" ht="7.5" customHeight="1">
      <c r="B15" s="26"/>
      <c r="C15" s="26"/>
      <c r="D15" s="26"/>
      <c r="E15" s="26"/>
      <c r="F15" s="111"/>
      <c r="G15" s="111"/>
      <c r="H15" s="111"/>
      <c r="I15" s="111"/>
      <c r="J15" s="111"/>
      <c r="K15" s="111"/>
      <c r="L15" s="111"/>
      <c r="M15" s="111"/>
      <c r="N15" s="111"/>
    </row>
    <row r="16" spans="1:14" ht="22.5" customHeight="1">
      <c r="A16" s="23" t="s">
        <v>15</v>
      </c>
      <c r="B16" s="23" t="s">
        <v>0</v>
      </c>
      <c r="C16" s="131" t="s">
        <v>6</v>
      </c>
      <c r="D16" s="132"/>
      <c r="E16" s="118">
        <v>26</v>
      </c>
      <c r="F16" s="119"/>
      <c r="G16" s="29" t="s">
        <v>10</v>
      </c>
      <c r="I16" s="131" t="s">
        <v>11</v>
      </c>
      <c r="J16" s="132"/>
      <c r="K16" s="118">
        <v>15</v>
      </c>
      <c r="L16" s="133"/>
      <c r="M16" s="119"/>
      <c r="N16" s="30" t="s">
        <v>10</v>
      </c>
    </row>
    <row r="17" spans="1:15" ht="7.5" customHeight="1">
      <c r="F17" s="31"/>
      <c r="G17" s="31"/>
      <c r="H17" s="31"/>
      <c r="I17" s="31"/>
      <c r="J17" s="31"/>
      <c r="K17" s="31"/>
      <c r="L17" s="31"/>
      <c r="M17" s="30"/>
      <c r="N17" s="30"/>
    </row>
    <row r="18" spans="1:15" ht="22.5" customHeight="1">
      <c r="A18" s="23" t="s">
        <v>57</v>
      </c>
      <c r="B18" s="23" t="s">
        <v>85</v>
      </c>
      <c r="F18" s="31"/>
      <c r="G18" s="31"/>
      <c r="H18" s="31"/>
      <c r="I18" s="31"/>
      <c r="J18" s="31"/>
      <c r="K18" s="124">
        <v>11</v>
      </c>
      <c r="L18" s="125"/>
      <c r="M18" s="126"/>
      <c r="N18" s="30" t="s">
        <v>10</v>
      </c>
    </row>
    <row r="19" spans="1:15" ht="7.5" customHeight="1">
      <c r="F19" s="31"/>
      <c r="G19" s="31"/>
      <c r="H19" s="31"/>
      <c r="I19" s="31"/>
      <c r="J19" s="31"/>
      <c r="K19" s="31"/>
      <c r="L19" s="31"/>
      <c r="M19" s="30"/>
      <c r="N19" s="30"/>
    </row>
    <row r="20" spans="1:15" ht="22.5" customHeight="1">
      <c r="A20" s="23" t="s">
        <v>63</v>
      </c>
      <c r="B20" s="23" t="s">
        <v>118</v>
      </c>
      <c r="E20" s="118">
        <v>100</v>
      </c>
      <c r="F20" s="119"/>
      <c r="G20" s="32" t="s">
        <v>24</v>
      </c>
      <c r="H20" s="31"/>
      <c r="K20" s="117"/>
      <c r="L20" s="117"/>
      <c r="M20" s="117"/>
      <c r="N20" s="117"/>
    </row>
    <row r="21" spans="1:15" ht="7.5" customHeight="1">
      <c r="E21" s="21"/>
      <c r="F21" s="31"/>
      <c r="G21" s="31"/>
      <c r="L21" s="112"/>
      <c r="M21" s="112"/>
      <c r="N21" s="33"/>
    </row>
    <row r="22" spans="1:15" ht="22.5" customHeight="1">
      <c r="A22" s="23" t="s">
        <v>26</v>
      </c>
      <c r="B22" s="23" t="s">
        <v>119</v>
      </c>
      <c r="E22" s="21"/>
      <c r="F22" s="31"/>
      <c r="G22" s="31"/>
      <c r="H22" s="23" t="s">
        <v>56</v>
      </c>
      <c r="J22" s="124">
        <v>453</v>
      </c>
      <c r="K22" s="125"/>
      <c r="L22" s="126"/>
      <c r="M22" s="112" t="s">
        <v>10</v>
      </c>
      <c r="N22" s="33"/>
    </row>
    <row r="23" spans="1:15" ht="7.5" customHeight="1">
      <c r="E23" s="21"/>
      <c r="F23" s="31"/>
      <c r="G23" s="31"/>
      <c r="L23" s="112"/>
      <c r="M23" s="112"/>
      <c r="N23" s="33"/>
    </row>
    <row r="24" spans="1:15" ht="22.5" customHeight="1">
      <c r="B24" s="114" t="s">
        <v>20</v>
      </c>
      <c r="C24" s="118">
        <v>129</v>
      </c>
      <c r="D24" s="119"/>
      <c r="E24" s="21" t="s">
        <v>10</v>
      </c>
      <c r="F24" s="31"/>
      <c r="G24" s="123" t="s">
        <v>21</v>
      </c>
      <c r="H24" s="123"/>
      <c r="I24" s="118">
        <v>115</v>
      </c>
      <c r="J24" s="119"/>
      <c r="K24" s="27" t="s">
        <v>10</v>
      </c>
      <c r="M24" s="112"/>
      <c r="N24" s="33"/>
      <c r="O24" s="24"/>
    </row>
    <row r="25" spans="1:15" ht="7.5" customHeight="1">
      <c r="B25" s="114"/>
      <c r="C25" s="22"/>
      <c r="D25" s="22"/>
      <c r="E25" s="21"/>
      <c r="F25" s="31"/>
      <c r="G25" s="112"/>
      <c r="H25" s="112"/>
      <c r="I25" s="22"/>
      <c r="J25" s="22"/>
      <c r="K25" s="27"/>
      <c r="M25" s="112"/>
      <c r="N25" s="33"/>
      <c r="O25" s="24"/>
    </row>
    <row r="26" spans="1:15" ht="22.5" customHeight="1">
      <c r="B26" s="114" t="s">
        <v>22</v>
      </c>
      <c r="C26" s="118">
        <v>111</v>
      </c>
      <c r="D26" s="119"/>
      <c r="E26" s="21" t="s">
        <v>10</v>
      </c>
      <c r="F26" s="31"/>
      <c r="G26" s="123" t="s">
        <v>23</v>
      </c>
      <c r="H26" s="123"/>
      <c r="I26" s="118">
        <v>98</v>
      </c>
      <c r="J26" s="119"/>
      <c r="K26" s="27" t="s">
        <v>10</v>
      </c>
      <c r="M26" s="112"/>
      <c r="N26" s="33"/>
    </row>
    <row r="27" spans="1:15" ht="7.5" customHeight="1">
      <c r="B27" s="114"/>
      <c r="C27" s="22"/>
      <c r="D27" s="22"/>
      <c r="E27" s="21"/>
      <c r="F27" s="31"/>
      <c r="G27" s="112"/>
      <c r="H27" s="112"/>
      <c r="I27" s="22"/>
      <c r="J27" s="22"/>
      <c r="K27" s="27"/>
      <c r="M27" s="112"/>
      <c r="N27" s="33"/>
    </row>
    <row r="28" spans="1:15" ht="22.5" customHeight="1">
      <c r="B28" s="114" t="s">
        <v>51</v>
      </c>
      <c r="C28" s="118"/>
      <c r="D28" s="119"/>
      <c r="E28" s="21" t="s">
        <v>10</v>
      </c>
      <c r="F28" s="31"/>
      <c r="G28" s="123" t="s">
        <v>52</v>
      </c>
      <c r="H28" s="123"/>
      <c r="I28" s="118"/>
      <c r="J28" s="119"/>
      <c r="K28" s="27" t="s">
        <v>10</v>
      </c>
      <c r="M28" s="112"/>
      <c r="N28" s="33"/>
    </row>
    <row r="29" spans="1:15" ht="7.5" customHeight="1">
      <c r="F29" s="31"/>
      <c r="G29" s="31"/>
      <c r="M29" s="35"/>
      <c r="N29" s="35"/>
    </row>
    <row r="30" spans="1:15" ht="22.5" customHeight="1">
      <c r="A30" s="23" t="s">
        <v>117</v>
      </c>
      <c r="B30" s="25" t="s">
        <v>109</v>
      </c>
      <c r="C30" s="25"/>
      <c r="D30" s="25"/>
      <c r="E30" s="25"/>
      <c r="F30" s="27"/>
      <c r="G30" s="111"/>
      <c r="H30" s="111"/>
      <c r="I30" s="111"/>
      <c r="J30" s="37"/>
      <c r="K30" s="37"/>
      <c r="L30" s="37"/>
      <c r="M30" s="37"/>
      <c r="N30" s="37"/>
    </row>
    <row r="31" spans="1:15" s="24" customFormat="1" ht="22.5" customHeight="1">
      <c r="B31" s="127" t="s">
        <v>108</v>
      </c>
      <c r="C31" s="127"/>
      <c r="D31" s="120" t="s">
        <v>196</v>
      </c>
      <c r="E31" s="121"/>
      <c r="F31" s="121"/>
      <c r="G31" s="128" t="s">
        <v>25</v>
      </c>
      <c r="H31" s="127"/>
      <c r="I31" s="129"/>
      <c r="J31" s="120" t="s">
        <v>182</v>
      </c>
      <c r="K31" s="121"/>
      <c r="L31" s="121"/>
      <c r="M31" s="121"/>
      <c r="N31" s="122"/>
    </row>
    <row r="32" spans="1:15" ht="7.5" customHeight="1">
      <c r="F32" s="31"/>
      <c r="G32" s="31"/>
      <c r="M32" s="35"/>
      <c r="N32" s="35"/>
    </row>
    <row r="33" spans="1:14" ht="22.5" customHeight="1">
      <c r="A33" s="23" t="s">
        <v>55</v>
      </c>
      <c r="B33" s="25" t="s">
        <v>122</v>
      </c>
      <c r="C33" s="25"/>
      <c r="D33" s="25"/>
      <c r="E33" s="25"/>
      <c r="F33" s="27"/>
      <c r="G33" s="37"/>
      <c r="H33" s="37"/>
      <c r="I33" s="37"/>
      <c r="J33" s="37"/>
      <c r="K33" s="37"/>
      <c r="L33" s="37"/>
      <c r="M33" s="37"/>
      <c r="N33" s="37"/>
    </row>
    <row r="34" spans="1:14" ht="22.5" customHeight="1">
      <c r="B34" s="120" t="s">
        <v>214</v>
      </c>
      <c r="C34" s="121"/>
      <c r="D34" s="121"/>
      <c r="E34" s="121"/>
      <c r="F34" s="121"/>
      <c r="G34" s="121"/>
      <c r="H34" s="121"/>
      <c r="I34" s="121"/>
      <c r="J34" s="121"/>
      <c r="K34" s="121"/>
      <c r="L34" s="121"/>
      <c r="M34" s="121"/>
      <c r="N34" s="122"/>
    </row>
    <row r="35" spans="1:14" ht="7.5" customHeight="1">
      <c r="B35" s="113"/>
      <c r="C35" s="113"/>
      <c r="D35" s="113"/>
      <c r="E35" s="113"/>
      <c r="F35" s="113"/>
      <c r="G35" s="113"/>
      <c r="H35" s="113"/>
      <c r="I35" s="113"/>
      <c r="J35" s="113"/>
      <c r="K35" s="113"/>
      <c r="L35" s="113"/>
      <c r="M35" s="113"/>
      <c r="N35" s="113"/>
    </row>
    <row r="36" spans="1:14" s="24" customFormat="1" ht="22.5" customHeight="1">
      <c r="B36" s="127" t="s">
        <v>108</v>
      </c>
      <c r="C36" s="127"/>
      <c r="D36" s="120" t="s">
        <v>196</v>
      </c>
      <c r="E36" s="121"/>
      <c r="F36" s="121"/>
      <c r="G36" s="128" t="s">
        <v>25</v>
      </c>
      <c r="H36" s="127"/>
      <c r="I36" s="129"/>
      <c r="J36" s="120" t="s">
        <v>183</v>
      </c>
      <c r="K36" s="121"/>
      <c r="L36" s="121"/>
      <c r="M36" s="121"/>
      <c r="N36" s="122"/>
    </row>
    <row r="37" spans="1:14" ht="7.5" customHeight="1">
      <c r="F37" s="111"/>
      <c r="G37" s="111"/>
      <c r="H37" s="111"/>
      <c r="I37" s="111"/>
      <c r="J37" s="111"/>
      <c r="K37" s="111"/>
      <c r="L37" s="111"/>
      <c r="M37" s="111"/>
      <c r="N37" s="111"/>
    </row>
    <row r="38" spans="1:14" ht="22.5" customHeight="1">
      <c r="A38" s="23" t="s">
        <v>58</v>
      </c>
      <c r="B38" s="23" t="s">
        <v>123</v>
      </c>
      <c r="M38" s="35"/>
      <c r="N38" s="35"/>
    </row>
    <row r="39" spans="1:14" ht="22.5" customHeight="1">
      <c r="B39" s="120" t="s">
        <v>214</v>
      </c>
      <c r="C39" s="121"/>
      <c r="D39" s="121"/>
      <c r="E39" s="121"/>
      <c r="F39" s="121"/>
      <c r="G39" s="121"/>
      <c r="H39" s="121"/>
      <c r="I39" s="121"/>
      <c r="J39" s="121"/>
      <c r="K39" s="121"/>
      <c r="L39" s="121"/>
      <c r="M39" s="121"/>
      <c r="N39" s="122"/>
    </row>
    <row r="40" spans="1:14" ht="7.5" customHeight="1">
      <c r="F40" s="111"/>
      <c r="G40" s="111"/>
      <c r="H40" s="111"/>
      <c r="I40" s="111"/>
      <c r="J40" s="111"/>
      <c r="K40" s="111"/>
      <c r="L40" s="111"/>
      <c r="M40" s="111"/>
      <c r="N40" s="111"/>
    </row>
    <row r="41" spans="1:14" s="24" customFormat="1" ht="22.5" customHeight="1">
      <c r="B41" s="127" t="s">
        <v>108</v>
      </c>
      <c r="C41" s="127"/>
      <c r="D41" s="120" t="s">
        <v>196</v>
      </c>
      <c r="E41" s="121"/>
      <c r="F41" s="121"/>
      <c r="G41" s="128" t="s">
        <v>25</v>
      </c>
      <c r="H41" s="127"/>
      <c r="I41" s="129"/>
      <c r="J41" s="120" t="s">
        <v>183</v>
      </c>
      <c r="K41" s="121"/>
      <c r="L41" s="121"/>
      <c r="M41" s="121"/>
      <c r="N41" s="122"/>
    </row>
    <row r="42" spans="1:14" ht="7.5" customHeight="1">
      <c r="F42" s="111"/>
      <c r="G42" s="111"/>
      <c r="H42" s="111"/>
      <c r="I42" s="111"/>
      <c r="J42" s="111"/>
      <c r="K42" s="111"/>
      <c r="L42" s="111"/>
      <c r="M42" s="111"/>
      <c r="N42" s="111"/>
    </row>
    <row r="43" spans="1:14" ht="22.5" customHeight="1">
      <c r="A43" s="23" t="s">
        <v>64</v>
      </c>
      <c r="B43" s="66" t="s">
        <v>84</v>
      </c>
      <c r="E43" s="53"/>
      <c r="F43" s="120" t="s">
        <v>184</v>
      </c>
      <c r="G43" s="121"/>
      <c r="H43" s="121"/>
      <c r="I43" s="121"/>
      <c r="J43" s="121"/>
      <c r="K43" s="121"/>
      <c r="L43" s="121"/>
      <c r="M43" s="121"/>
      <c r="N43" s="122"/>
    </row>
    <row r="44" spans="1:14" ht="7.5" customHeight="1">
      <c r="F44" s="111"/>
      <c r="G44" s="111"/>
      <c r="H44" s="111"/>
      <c r="I44" s="111"/>
      <c r="J44" s="111"/>
      <c r="K44" s="111"/>
      <c r="L44" s="111"/>
      <c r="M44" s="111"/>
      <c r="N44" s="111"/>
    </row>
    <row r="45" spans="1:14" ht="22.5" customHeight="1">
      <c r="A45" s="23" t="s">
        <v>3</v>
      </c>
    </row>
    <row r="46" spans="1:14" ht="22.5" customHeight="1">
      <c r="B46" s="38" t="s">
        <v>1</v>
      </c>
      <c r="C46" s="136" t="s">
        <v>185</v>
      </c>
      <c r="D46" s="137"/>
      <c r="E46" s="137"/>
      <c r="F46" s="137"/>
      <c r="G46" s="137"/>
      <c r="H46" s="137"/>
      <c r="I46" s="39" t="s">
        <v>2</v>
      </c>
      <c r="J46" s="40"/>
      <c r="K46" s="120" t="s">
        <v>213</v>
      </c>
      <c r="L46" s="121"/>
      <c r="M46" s="121"/>
      <c r="N46" s="122"/>
    </row>
    <row r="47" spans="1:14" ht="22.5" customHeight="1">
      <c r="B47" s="38" t="s">
        <v>5</v>
      </c>
      <c r="C47" s="139" t="s">
        <v>186</v>
      </c>
      <c r="D47" s="140"/>
      <c r="E47" s="140"/>
      <c r="F47" s="140"/>
      <c r="G47" s="140"/>
      <c r="H47" s="141"/>
      <c r="I47" s="39" t="s">
        <v>4</v>
      </c>
      <c r="J47" s="40"/>
      <c r="K47" s="142" t="s">
        <v>187</v>
      </c>
      <c r="L47" s="143"/>
      <c r="M47" s="143"/>
      <c r="N47" s="144"/>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1"/>
  <dataValidations count="2">
    <dataValidation type="list" allowBlank="1" showInputMessage="1" showErrorMessage="1" sqref="C8">
      <formula1>"国立大学, 公立大学, 私立大学, 短期大学, 高等専門学校, その他"</formula1>
    </dataValidation>
    <dataValidation type="list" allowBlank="1" showInputMessage="1" showErrorMessage="1" sqref="F43">
      <formula1>"認定教育プログラム,認定教育プログラムと認定教育プログラム+（プラス）"</formula1>
    </dataValidation>
  </dataValidations>
  <hyperlinks>
    <hyperlink ref="C47"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topLeftCell="A31" zoomScaleNormal="100" workbookViewId="0"/>
  </sheetViews>
  <sheetFormatPr defaultColWidth="9" defaultRowHeight="18.75" customHeight="1"/>
  <cols>
    <col min="1" max="2" width="2.5" style="23" customWidth="1"/>
    <col min="3" max="3" width="20" style="23" customWidth="1"/>
    <col min="4" max="4" width="8.75" style="23" customWidth="1"/>
    <col min="5" max="5" width="7.5" style="23" customWidth="1"/>
    <col min="6" max="6" width="2.5" style="23" customWidth="1"/>
    <col min="7" max="7" width="15" style="23" customWidth="1"/>
    <col min="8" max="8" width="12.5" style="23" customWidth="1"/>
    <col min="9" max="9" width="11.25" style="23" customWidth="1"/>
    <col min="10" max="16384" width="9" style="23"/>
  </cols>
  <sheetData>
    <row r="1" spans="1:9" ht="18.75" customHeight="1">
      <c r="I1" s="58" t="s">
        <v>192</v>
      </c>
    </row>
    <row r="2" spans="1:9" ht="18.75" customHeight="1">
      <c r="G2" s="36" t="s">
        <v>30</v>
      </c>
      <c r="H2" s="157" t="s">
        <v>193</v>
      </c>
      <c r="I2" s="157"/>
    </row>
    <row r="3" spans="1:9" ht="7.5" customHeight="1"/>
    <row r="4" spans="1:9" ht="18.75" customHeight="1">
      <c r="A4" s="135" t="s">
        <v>82</v>
      </c>
      <c r="B4" s="135"/>
      <c r="C4" s="135"/>
      <c r="D4" s="135"/>
      <c r="E4" s="135"/>
      <c r="F4" s="135"/>
      <c r="G4" s="135"/>
      <c r="H4" s="135"/>
      <c r="I4" s="135"/>
    </row>
    <row r="5" spans="1:9" ht="7.5" customHeight="1">
      <c r="C5" s="34"/>
      <c r="D5" s="41"/>
      <c r="E5" s="52"/>
      <c r="F5" s="34"/>
      <c r="G5" s="41"/>
      <c r="H5" s="34"/>
      <c r="I5" s="34"/>
    </row>
    <row r="6" spans="1:9" ht="18.75" customHeight="1">
      <c r="A6" s="23" t="s">
        <v>7</v>
      </c>
      <c r="B6" s="23" t="s">
        <v>94</v>
      </c>
      <c r="C6" s="57"/>
      <c r="D6" s="57"/>
      <c r="E6" s="124" t="s">
        <v>190</v>
      </c>
      <c r="F6" s="125"/>
      <c r="G6" s="125"/>
      <c r="H6" s="125"/>
      <c r="I6" s="126"/>
    </row>
    <row r="7" spans="1:9" ht="7.5" customHeight="1">
      <c r="C7" s="57"/>
      <c r="D7" s="57"/>
      <c r="F7" s="56"/>
      <c r="G7" s="56"/>
      <c r="H7" s="56"/>
      <c r="I7" s="56"/>
    </row>
    <row r="8" spans="1:9" ht="18.75" customHeight="1">
      <c r="A8" s="23" t="s">
        <v>12</v>
      </c>
      <c r="B8" s="23" t="s">
        <v>95</v>
      </c>
      <c r="C8" s="57"/>
      <c r="D8" s="57"/>
      <c r="E8" s="57"/>
      <c r="F8" s="57"/>
      <c r="G8" s="57"/>
      <c r="H8" s="57"/>
      <c r="I8" s="57"/>
    </row>
    <row r="9" spans="1:9" ht="18.75" customHeight="1">
      <c r="B9" s="145" t="s">
        <v>130</v>
      </c>
      <c r="C9" s="146"/>
      <c r="D9" s="146"/>
      <c r="E9" s="146"/>
      <c r="F9" s="146"/>
      <c r="G9" s="146"/>
      <c r="H9" s="146"/>
      <c r="I9" s="147"/>
    </row>
    <row r="10" spans="1:9" ht="18.75" customHeight="1">
      <c r="B10" s="148"/>
      <c r="C10" s="149"/>
      <c r="D10" s="149"/>
      <c r="E10" s="149"/>
      <c r="F10" s="149"/>
      <c r="G10" s="149"/>
      <c r="H10" s="149"/>
      <c r="I10" s="150"/>
    </row>
    <row r="11" spans="1:9" ht="18.75" customHeight="1">
      <c r="B11" s="148"/>
      <c r="C11" s="149"/>
      <c r="D11" s="149"/>
      <c r="E11" s="149"/>
      <c r="F11" s="149"/>
      <c r="G11" s="149"/>
      <c r="H11" s="149"/>
      <c r="I11" s="150"/>
    </row>
    <row r="12" spans="1:9" ht="18.75" customHeight="1">
      <c r="B12" s="148"/>
      <c r="C12" s="149"/>
      <c r="D12" s="149"/>
      <c r="E12" s="149"/>
      <c r="F12" s="149"/>
      <c r="G12" s="149"/>
      <c r="H12" s="149"/>
      <c r="I12" s="150"/>
    </row>
    <row r="13" spans="1:9" ht="18.75" customHeight="1">
      <c r="B13" s="148"/>
      <c r="C13" s="149"/>
      <c r="D13" s="149"/>
      <c r="E13" s="149"/>
      <c r="F13" s="149"/>
      <c r="G13" s="149"/>
      <c r="H13" s="149"/>
      <c r="I13" s="150"/>
    </row>
    <row r="14" spans="1:9" ht="18.75" customHeight="1">
      <c r="B14" s="148"/>
      <c r="C14" s="149"/>
      <c r="D14" s="149"/>
      <c r="E14" s="149"/>
      <c r="F14" s="149"/>
      <c r="G14" s="149"/>
      <c r="H14" s="149"/>
      <c r="I14" s="150"/>
    </row>
    <row r="15" spans="1:9" ht="18.75" customHeight="1">
      <c r="B15" s="148"/>
      <c r="C15" s="149"/>
      <c r="D15" s="149"/>
      <c r="E15" s="149"/>
      <c r="F15" s="149"/>
      <c r="G15" s="149"/>
      <c r="H15" s="149"/>
      <c r="I15" s="150"/>
    </row>
    <row r="16" spans="1:9" ht="18.75" customHeight="1">
      <c r="B16" s="151"/>
      <c r="C16" s="152"/>
      <c r="D16" s="152"/>
      <c r="E16" s="152"/>
      <c r="F16" s="152"/>
      <c r="G16" s="152"/>
      <c r="H16" s="152"/>
      <c r="I16" s="153"/>
    </row>
    <row r="17" spans="1:10" ht="7.5" customHeight="1">
      <c r="C17" s="57"/>
      <c r="D17" s="57"/>
      <c r="E17" s="57"/>
      <c r="F17" s="57"/>
      <c r="G17" s="57"/>
      <c r="H17" s="57"/>
      <c r="I17" s="57"/>
    </row>
    <row r="18" spans="1:10" ht="18.75" customHeight="1">
      <c r="A18" s="34" t="s">
        <v>13</v>
      </c>
      <c r="B18" s="25" t="s">
        <v>96</v>
      </c>
      <c r="C18" s="25"/>
      <c r="D18" s="25"/>
      <c r="E18" s="25"/>
      <c r="F18" s="34"/>
      <c r="G18" s="41"/>
      <c r="H18" s="34"/>
      <c r="I18" s="34"/>
      <c r="J18" s="34"/>
    </row>
    <row r="19" spans="1:10" ht="18.75" customHeight="1">
      <c r="A19" s="158" t="s">
        <v>96</v>
      </c>
      <c r="B19" s="158"/>
      <c r="C19" s="158"/>
      <c r="D19" s="158"/>
      <c r="E19" s="158"/>
      <c r="F19" s="159" t="s">
        <v>96</v>
      </c>
      <c r="G19" s="159"/>
      <c r="H19" s="159"/>
      <c r="I19" s="159"/>
    </row>
    <row r="20" spans="1:10" ht="18.75" customHeight="1">
      <c r="A20" s="59">
        <v>1</v>
      </c>
      <c r="B20" s="136" t="s">
        <v>131</v>
      </c>
      <c r="C20" s="137"/>
      <c r="D20" s="137"/>
      <c r="E20" s="138"/>
      <c r="F20" s="59">
        <v>26</v>
      </c>
      <c r="G20" s="154"/>
      <c r="H20" s="155"/>
      <c r="I20" s="156"/>
    </row>
    <row r="21" spans="1:10" ht="18.75" customHeight="1">
      <c r="A21" s="59">
        <v>2</v>
      </c>
      <c r="B21" s="136" t="s">
        <v>132</v>
      </c>
      <c r="C21" s="137"/>
      <c r="D21" s="137"/>
      <c r="E21" s="138"/>
      <c r="F21" s="59">
        <v>27</v>
      </c>
      <c r="G21" s="154"/>
      <c r="H21" s="155"/>
      <c r="I21" s="156"/>
    </row>
    <row r="22" spans="1:10" ht="18.75" customHeight="1">
      <c r="A22" s="59">
        <v>3</v>
      </c>
      <c r="B22" s="136" t="s">
        <v>133</v>
      </c>
      <c r="C22" s="137"/>
      <c r="D22" s="137"/>
      <c r="E22" s="138"/>
      <c r="F22" s="59">
        <v>28</v>
      </c>
      <c r="G22" s="154"/>
      <c r="H22" s="155"/>
      <c r="I22" s="156"/>
    </row>
    <row r="23" spans="1:10" ht="18.75" customHeight="1">
      <c r="A23" s="59">
        <v>4</v>
      </c>
      <c r="B23" s="136" t="s">
        <v>134</v>
      </c>
      <c r="C23" s="137"/>
      <c r="D23" s="137"/>
      <c r="E23" s="138"/>
      <c r="F23" s="59">
        <v>29</v>
      </c>
      <c r="G23" s="154"/>
      <c r="H23" s="155"/>
      <c r="I23" s="156"/>
    </row>
    <row r="24" spans="1:10" ht="18.75" customHeight="1">
      <c r="A24" s="59">
        <v>5</v>
      </c>
      <c r="B24" s="136" t="s">
        <v>135</v>
      </c>
      <c r="C24" s="137"/>
      <c r="D24" s="137"/>
      <c r="E24" s="138"/>
      <c r="F24" s="59">
        <v>30</v>
      </c>
      <c r="G24" s="154"/>
      <c r="H24" s="155"/>
      <c r="I24" s="156"/>
    </row>
    <row r="25" spans="1:10" ht="18.75" customHeight="1">
      <c r="A25" s="59">
        <v>6</v>
      </c>
      <c r="B25" s="136" t="s">
        <v>136</v>
      </c>
      <c r="C25" s="137"/>
      <c r="D25" s="137"/>
      <c r="E25" s="138"/>
      <c r="F25" s="59">
        <v>31</v>
      </c>
      <c r="G25" s="154"/>
      <c r="H25" s="155"/>
      <c r="I25" s="156"/>
    </row>
    <row r="26" spans="1:10" ht="18.75" customHeight="1">
      <c r="A26" s="59">
        <v>7</v>
      </c>
      <c r="B26" s="136" t="s">
        <v>137</v>
      </c>
      <c r="C26" s="137"/>
      <c r="D26" s="137"/>
      <c r="E26" s="138"/>
      <c r="F26" s="59">
        <v>32</v>
      </c>
      <c r="G26" s="154"/>
      <c r="H26" s="155"/>
      <c r="I26" s="156"/>
    </row>
    <row r="27" spans="1:10" ht="18.75" customHeight="1">
      <c r="A27" s="59">
        <v>8</v>
      </c>
      <c r="B27" s="136" t="s">
        <v>138</v>
      </c>
      <c r="C27" s="137"/>
      <c r="D27" s="137"/>
      <c r="E27" s="138"/>
      <c r="F27" s="59">
        <v>33</v>
      </c>
      <c r="G27" s="154"/>
      <c r="H27" s="155"/>
      <c r="I27" s="156"/>
    </row>
    <row r="28" spans="1:10" ht="18.75" customHeight="1">
      <c r="A28" s="59">
        <v>9</v>
      </c>
      <c r="B28" s="136" t="s">
        <v>139</v>
      </c>
      <c r="C28" s="137"/>
      <c r="D28" s="137"/>
      <c r="E28" s="138"/>
      <c r="F28" s="59">
        <v>34</v>
      </c>
      <c r="G28" s="154"/>
      <c r="H28" s="155"/>
      <c r="I28" s="156"/>
    </row>
    <row r="29" spans="1:10" ht="18.75" customHeight="1">
      <c r="A29" s="59">
        <v>10</v>
      </c>
      <c r="B29" s="136" t="s">
        <v>140</v>
      </c>
      <c r="C29" s="137"/>
      <c r="D29" s="137"/>
      <c r="E29" s="138"/>
      <c r="F29" s="59">
        <v>35</v>
      </c>
      <c r="G29" s="154"/>
      <c r="H29" s="155"/>
      <c r="I29" s="156"/>
    </row>
    <row r="30" spans="1:10" ht="18.75" customHeight="1">
      <c r="A30" s="59">
        <v>11</v>
      </c>
      <c r="B30" s="136" t="s">
        <v>141</v>
      </c>
      <c r="C30" s="137"/>
      <c r="D30" s="137"/>
      <c r="E30" s="138"/>
      <c r="F30" s="59">
        <v>36</v>
      </c>
      <c r="G30" s="154"/>
      <c r="H30" s="155"/>
      <c r="I30" s="156"/>
    </row>
    <row r="31" spans="1:10" ht="18.75" customHeight="1">
      <c r="A31" s="59">
        <v>12</v>
      </c>
      <c r="B31" s="136" t="s">
        <v>142</v>
      </c>
      <c r="C31" s="137"/>
      <c r="D31" s="137"/>
      <c r="E31" s="138"/>
      <c r="F31" s="59">
        <v>37</v>
      </c>
      <c r="G31" s="154"/>
      <c r="H31" s="155"/>
      <c r="I31" s="156"/>
    </row>
    <row r="32" spans="1:10" ht="18.75" customHeight="1">
      <c r="A32" s="59">
        <v>13</v>
      </c>
      <c r="B32" s="154"/>
      <c r="C32" s="155"/>
      <c r="D32" s="155"/>
      <c r="E32" s="156"/>
      <c r="F32" s="59">
        <v>38</v>
      </c>
      <c r="G32" s="154"/>
      <c r="H32" s="155"/>
      <c r="I32" s="156"/>
    </row>
    <row r="33" spans="1:9" ht="18.75" customHeight="1">
      <c r="A33" s="59">
        <v>14</v>
      </c>
      <c r="B33" s="154"/>
      <c r="C33" s="155"/>
      <c r="D33" s="155"/>
      <c r="E33" s="156"/>
      <c r="F33" s="59">
        <v>39</v>
      </c>
      <c r="G33" s="154"/>
      <c r="H33" s="155"/>
      <c r="I33" s="156"/>
    </row>
    <row r="34" spans="1:9" ht="18.75" customHeight="1">
      <c r="A34" s="59">
        <v>15</v>
      </c>
      <c r="B34" s="154"/>
      <c r="C34" s="155"/>
      <c r="D34" s="155"/>
      <c r="E34" s="156"/>
      <c r="F34" s="59">
        <v>40</v>
      </c>
      <c r="G34" s="154"/>
      <c r="H34" s="155"/>
      <c r="I34" s="156"/>
    </row>
    <row r="35" spans="1:9" ht="18.75" customHeight="1">
      <c r="A35" s="59">
        <v>16</v>
      </c>
      <c r="B35" s="154"/>
      <c r="C35" s="155"/>
      <c r="D35" s="155"/>
      <c r="E35" s="156"/>
      <c r="F35" s="59">
        <v>41</v>
      </c>
      <c r="G35" s="154"/>
      <c r="H35" s="155"/>
      <c r="I35" s="156"/>
    </row>
    <row r="36" spans="1:9" ht="18.75" customHeight="1">
      <c r="A36" s="59">
        <v>17</v>
      </c>
      <c r="B36" s="154"/>
      <c r="C36" s="155"/>
      <c r="D36" s="155"/>
      <c r="E36" s="156"/>
      <c r="F36" s="59">
        <v>42</v>
      </c>
      <c r="G36" s="154"/>
      <c r="H36" s="155"/>
      <c r="I36" s="156"/>
    </row>
    <row r="37" spans="1:9" ht="18.75" customHeight="1">
      <c r="A37" s="59">
        <v>18</v>
      </c>
      <c r="B37" s="154"/>
      <c r="C37" s="155"/>
      <c r="D37" s="155"/>
      <c r="E37" s="156"/>
      <c r="F37" s="59">
        <v>43</v>
      </c>
      <c r="G37" s="154"/>
      <c r="H37" s="155"/>
      <c r="I37" s="156"/>
    </row>
    <row r="38" spans="1:9" ht="18.75" customHeight="1">
      <c r="A38" s="59">
        <v>19</v>
      </c>
      <c r="B38" s="154"/>
      <c r="C38" s="155"/>
      <c r="D38" s="155"/>
      <c r="E38" s="156"/>
      <c r="F38" s="59">
        <v>44</v>
      </c>
      <c r="G38" s="154"/>
      <c r="H38" s="155"/>
      <c r="I38" s="156"/>
    </row>
    <row r="39" spans="1:9" ht="18.75" customHeight="1">
      <c r="A39" s="59">
        <v>20</v>
      </c>
      <c r="B39" s="154"/>
      <c r="C39" s="155"/>
      <c r="D39" s="155"/>
      <c r="E39" s="156"/>
      <c r="F39" s="59">
        <v>45</v>
      </c>
      <c r="G39" s="154"/>
      <c r="H39" s="155"/>
      <c r="I39" s="156"/>
    </row>
    <row r="40" spans="1:9" ht="18.75" customHeight="1">
      <c r="A40" s="59">
        <v>21</v>
      </c>
      <c r="B40" s="154"/>
      <c r="C40" s="155"/>
      <c r="D40" s="155"/>
      <c r="E40" s="156"/>
      <c r="F40" s="59">
        <v>46</v>
      </c>
      <c r="G40" s="154"/>
      <c r="H40" s="155"/>
      <c r="I40" s="156"/>
    </row>
    <row r="41" spans="1:9" ht="18.75" customHeight="1">
      <c r="A41" s="59">
        <v>22</v>
      </c>
      <c r="B41" s="154"/>
      <c r="C41" s="155"/>
      <c r="D41" s="155"/>
      <c r="E41" s="156"/>
      <c r="F41" s="59">
        <v>47</v>
      </c>
      <c r="G41" s="154"/>
      <c r="H41" s="155"/>
      <c r="I41" s="156"/>
    </row>
    <row r="42" spans="1:9" ht="18.75" customHeight="1">
      <c r="A42" s="59">
        <v>23</v>
      </c>
      <c r="B42" s="154"/>
      <c r="C42" s="155"/>
      <c r="D42" s="155"/>
      <c r="E42" s="156"/>
      <c r="F42" s="59">
        <v>48</v>
      </c>
      <c r="G42" s="154"/>
      <c r="H42" s="155"/>
      <c r="I42" s="156"/>
    </row>
    <row r="43" spans="1:9" ht="18.75" customHeight="1">
      <c r="A43" s="59">
        <v>24</v>
      </c>
      <c r="B43" s="154"/>
      <c r="C43" s="155"/>
      <c r="D43" s="155"/>
      <c r="E43" s="156"/>
      <c r="F43" s="59">
        <v>49</v>
      </c>
      <c r="G43" s="154"/>
      <c r="H43" s="155"/>
      <c r="I43" s="156"/>
    </row>
    <row r="44" spans="1:9" ht="18.75" customHeight="1">
      <c r="A44" s="59">
        <v>25</v>
      </c>
      <c r="B44" s="154"/>
      <c r="C44" s="155"/>
      <c r="D44" s="155"/>
      <c r="E44" s="156"/>
      <c r="F44" s="59">
        <v>50</v>
      </c>
      <c r="G44" s="154"/>
      <c r="H44" s="155"/>
      <c r="I44" s="156"/>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s>
  <phoneticPr fontId="1"/>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
  <sheetViews>
    <sheetView tabSelected="1" workbookViewId="0">
      <selection activeCell="B8" sqref="B8:C8"/>
    </sheetView>
  </sheetViews>
  <sheetFormatPr defaultRowHeight="18.75" customHeight="1"/>
  <cols>
    <col min="1" max="1" width="2.5" style="1" customWidth="1"/>
    <col min="2" max="2" width="12.5" style="1" customWidth="1"/>
    <col min="3" max="3" width="21" style="1" customWidth="1"/>
    <col min="4" max="18" width="6.25" style="1" customWidth="1"/>
    <col min="19" max="16384" width="9" style="1"/>
  </cols>
  <sheetData>
    <row r="1" spans="1:20" ht="18.75" customHeight="1">
      <c r="F1" s="172" t="s">
        <v>66</v>
      </c>
      <c r="G1" s="172"/>
      <c r="H1" s="172"/>
      <c r="I1" s="172"/>
      <c r="J1" s="172"/>
      <c r="K1" s="172"/>
      <c r="L1" s="172"/>
      <c r="M1" s="172"/>
      <c r="N1" s="172"/>
      <c r="O1" s="172"/>
      <c r="P1" s="172"/>
      <c r="Q1" s="172"/>
      <c r="R1" s="172"/>
    </row>
    <row r="2" spans="1:20" ht="18.75" customHeight="1">
      <c r="D2" s="80"/>
      <c r="E2" s="80"/>
      <c r="F2" s="80"/>
      <c r="G2" s="80"/>
      <c r="H2" s="80"/>
      <c r="I2" s="80"/>
      <c r="J2" s="80"/>
      <c r="K2" s="172" t="s">
        <v>59</v>
      </c>
      <c r="L2" s="172"/>
      <c r="M2" s="183" t="s">
        <v>188</v>
      </c>
      <c r="N2" s="183"/>
      <c r="O2" s="183"/>
      <c r="P2" s="183"/>
      <c r="Q2" s="183"/>
      <c r="R2" s="80"/>
    </row>
    <row r="3" spans="1:20" ht="7.5" customHeight="1"/>
    <row r="4" spans="1:20" ht="18.75" customHeight="1">
      <c r="A4" s="182" t="s">
        <v>116</v>
      </c>
      <c r="B4" s="182"/>
      <c r="C4" s="182"/>
      <c r="D4" s="182"/>
      <c r="E4" s="182"/>
      <c r="F4" s="182"/>
      <c r="G4" s="182"/>
      <c r="H4" s="182"/>
      <c r="I4" s="182"/>
      <c r="J4" s="182"/>
      <c r="K4" s="182"/>
      <c r="L4" s="182"/>
      <c r="M4" s="182"/>
      <c r="N4" s="182"/>
      <c r="O4" s="182"/>
      <c r="P4" s="182"/>
      <c r="Q4" s="182"/>
      <c r="R4" s="182"/>
      <c r="S4" s="5"/>
    </row>
    <row r="5" spans="1:20" ht="7.5" customHeight="1">
      <c r="A5" s="116"/>
      <c r="B5" s="116"/>
      <c r="C5" s="116"/>
      <c r="D5" s="116"/>
      <c r="E5" s="116"/>
      <c r="F5" s="116"/>
      <c r="G5" s="116"/>
      <c r="H5" s="116"/>
      <c r="I5" s="116"/>
      <c r="J5" s="116"/>
      <c r="K5" s="116"/>
      <c r="L5" s="116"/>
      <c r="M5" s="116"/>
      <c r="N5" s="116"/>
      <c r="O5" s="116"/>
      <c r="P5" s="116"/>
      <c r="Q5" s="116"/>
      <c r="R5" s="116"/>
    </row>
    <row r="6" spans="1:20" ht="18.75" customHeight="1">
      <c r="B6" s="166" t="s">
        <v>120</v>
      </c>
      <c r="C6" s="167"/>
      <c r="D6" s="173" t="s">
        <v>83</v>
      </c>
      <c r="E6" s="175" t="s">
        <v>110</v>
      </c>
      <c r="F6" s="175"/>
      <c r="G6" s="175" t="s">
        <v>111</v>
      </c>
      <c r="H6" s="175"/>
      <c r="I6" s="176" t="s">
        <v>112</v>
      </c>
      <c r="J6" s="177"/>
      <c r="K6" s="176" t="s">
        <v>113</v>
      </c>
      <c r="L6" s="177"/>
      <c r="M6" s="176" t="s">
        <v>114</v>
      </c>
      <c r="N6" s="177"/>
      <c r="O6" s="176" t="s">
        <v>115</v>
      </c>
      <c r="P6" s="177"/>
      <c r="Q6" s="178" t="s">
        <v>65</v>
      </c>
      <c r="R6" s="180" t="s">
        <v>60</v>
      </c>
      <c r="T6" s="81"/>
    </row>
    <row r="7" spans="1:20" ht="18.75" customHeight="1">
      <c r="B7" s="168"/>
      <c r="C7" s="169"/>
      <c r="D7" s="174"/>
      <c r="E7" s="42" t="s">
        <v>49</v>
      </c>
      <c r="F7" s="44" t="s">
        <v>48</v>
      </c>
      <c r="G7" s="45" t="s">
        <v>49</v>
      </c>
      <c r="H7" s="43" t="s">
        <v>48</v>
      </c>
      <c r="I7" s="42" t="s">
        <v>49</v>
      </c>
      <c r="J7" s="44" t="s">
        <v>48</v>
      </c>
      <c r="K7" s="45" t="s">
        <v>49</v>
      </c>
      <c r="L7" s="43" t="s">
        <v>48</v>
      </c>
      <c r="M7" s="42" t="s">
        <v>49</v>
      </c>
      <c r="N7" s="44" t="s">
        <v>48</v>
      </c>
      <c r="O7" s="45" t="s">
        <v>49</v>
      </c>
      <c r="P7" s="43" t="s">
        <v>48</v>
      </c>
      <c r="Q7" s="179"/>
      <c r="R7" s="181"/>
      <c r="T7" s="81"/>
    </row>
    <row r="8" spans="1:20" ht="18.75" customHeight="1">
      <c r="A8" s="82"/>
      <c r="B8" s="162" t="s">
        <v>217</v>
      </c>
      <c r="C8" s="163"/>
      <c r="D8" s="83">
        <v>240</v>
      </c>
      <c r="E8" s="84">
        <v>148</v>
      </c>
      <c r="F8" s="85">
        <v>0</v>
      </c>
      <c r="G8" s="86">
        <v>3</v>
      </c>
      <c r="H8" s="87">
        <v>0</v>
      </c>
      <c r="I8" s="84"/>
      <c r="J8" s="85"/>
      <c r="K8" s="86"/>
      <c r="L8" s="87"/>
      <c r="M8" s="84"/>
      <c r="N8" s="85"/>
      <c r="O8" s="86"/>
      <c r="P8" s="87"/>
      <c r="Q8" s="88">
        <f>E8+G8+I8+K8+M8+O8</f>
        <v>151</v>
      </c>
      <c r="R8" s="89">
        <f>Q8/D8</f>
        <v>0.62916666666666665</v>
      </c>
    </row>
    <row r="9" spans="1:20" ht="18.75" customHeight="1">
      <c r="A9" s="82"/>
      <c r="B9" s="160" t="s">
        <v>218</v>
      </c>
      <c r="C9" s="161"/>
      <c r="D9" s="115">
        <v>200</v>
      </c>
      <c r="E9" s="90">
        <v>87</v>
      </c>
      <c r="F9" s="91">
        <v>1</v>
      </c>
      <c r="G9" s="92">
        <v>6</v>
      </c>
      <c r="H9" s="93">
        <v>0</v>
      </c>
      <c r="I9" s="90"/>
      <c r="J9" s="91"/>
      <c r="K9" s="92"/>
      <c r="L9" s="93"/>
      <c r="M9" s="90"/>
      <c r="N9" s="91"/>
      <c r="O9" s="92"/>
      <c r="P9" s="93"/>
      <c r="Q9" s="94">
        <f t="shared" ref="Q9:Q27" si="0">E9+G9+I9+K9+M9+O9</f>
        <v>93</v>
      </c>
      <c r="R9" s="89">
        <f t="shared" ref="R9:R27" si="1">Q9/D9</f>
        <v>0.46500000000000002</v>
      </c>
    </row>
    <row r="10" spans="1:20" ht="18.75" customHeight="1">
      <c r="A10" s="82"/>
      <c r="B10" s="160"/>
      <c r="C10" s="161"/>
      <c r="D10" s="115"/>
      <c r="E10" s="90"/>
      <c r="F10" s="91"/>
      <c r="G10" s="92"/>
      <c r="H10" s="93"/>
      <c r="I10" s="90"/>
      <c r="J10" s="91"/>
      <c r="K10" s="92"/>
      <c r="L10" s="93"/>
      <c r="M10" s="90"/>
      <c r="N10" s="91"/>
      <c r="O10" s="92"/>
      <c r="P10" s="93"/>
      <c r="Q10" s="94">
        <f t="shared" si="0"/>
        <v>0</v>
      </c>
      <c r="R10" s="89" t="e">
        <f t="shared" si="1"/>
        <v>#DIV/0!</v>
      </c>
    </row>
    <row r="11" spans="1:20" ht="18.75" customHeight="1">
      <c r="A11" s="82"/>
      <c r="B11" s="160"/>
      <c r="C11" s="161"/>
      <c r="D11" s="115"/>
      <c r="E11" s="90"/>
      <c r="F11" s="91"/>
      <c r="G11" s="92"/>
      <c r="H11" s="93"/>
      <c r="I11" s="90"/>
      <c r="J11" s="91"/>
      <c r="K11" s="92"/>
      <c r="L11" s="93"/>
      <c r="M11" s="90"/>
      <c r="N11" s="91"/>
      <c r="O11" s="92"/>
      <c r="P11" s="93"/>
      <c r="Q11" s="94">
        <f t="shared" si="0"/>
        <v>0</v>
      </c>
      <c r="R11" s="89" t="e">
        <f t="shared" si="1"/>
        <v>#DIV/0!</v>
      </c>
    </row>
    <row r="12" spans="1:20" ht="18.75" customHeight="1">
      <c r="A12" s="82"/>
      <c r="B12" s="160"/>
      <c r="C12" s="161"/>
      <c r="D12" s="115"/>
      <c r="E12" s="90"/>
      <c r="F12" s="91"/>
      <c r="G12" s="92"/>
      <c r="H12" s="93"/>
      <c r="I12" s="90"/>
      <c r="J12" s="91"/>
      <c r="K12" s="92"/>
      <c r="L12" s="93"/>
      <c r="M12" s="90"/>
      <c r="N12" s="91"/>
      <c r="O12" s="92"/>
      <c r="P12" s="93"/>
      <c r="Q12" s="94">
        <f t="shared" si="0"/>
        <v>0</v>
      </c>
      <c r="R12" s="89" t="e">
        <f t="shared" si="1"/>
        <v>#DIV/0!</v>
      </c>
    </row>
    <row r="13" spans="1:20" ht="18.75" customHeight="1">
      <c r="A13" s="82"/>
      <c r="B13" s="160"/>
      <c r="C13" s="161"/>
      <c r="D13" s="115"/>
      <c r="E13" s="90"/>
      <c r="F13" s="91"/>
      <c r="G13" s="92"/>
      <c r="H13" s="93"/>
      <c r="I13" s="90"/>
      <c r="J13" s="91"/>
      <c r="K13" s="92"/>
      <c r="L13" s="93"/>
      <c r="M13" s="90"/>
      <c r="N13" s="91"/>
      <c r="O13" s="92"/>
      <c r="P13" s="93"/>
      <c r="Q13" s="94">
        <f t="shared" si="0"/>
        <v>0</v>
      </c>
      <c r="R13" s="89" t="e">
        <f t="shared" si="1"/>
        <v>#DIV/0!</v>
      </c>
    </row>
    <row r="14" spans="1:20" ht="18.75" customHeight="1">
      <c r="A14" s="82"/>
      <c r="B14" s="160"/>
      <c r="C14" s="161"/>
      <c r="D14" s="115"/>
      <c r="E14" s="90"/>
      <c r="F14" s="91"/>
      <c r="G14" s="92"/>
      <c r="H14" s="93"/>
      <c r="I14" s="90"/>
      <c r="J14" s="91"/>
      <c r="K14" s="92"/>
      <c r="L14" s="93"/>
      <c r="M14" s="90"/>
      <c r="N14" s="91"/>
      <c r="O14" s="92"/>
      <c r="P14" s="93"/>
      <c r="Q14" s="94">
        <f t="shared" si="0"/>
        <v>0</v>
      </c>
      <c r="R14" s="89" t="e">
        <f t="shared" si="1"/>
        <v>#DIV/0!</v>
      </c>
    </row>
    <row r="15" spans="1:20" ht="18.75" customHeight="1">
      <c r="A15" s="82"/>
      <c r="B15" s="160"/>
      <c r="C15" s="161"/>
      <c r="D15" s="115"/>
      <c r="E15" s="90"/>
      <c r="F15" s="91"/>
      <c r="G15" s="92"/>
      <c r="H15" s="93"/>
      <c r="I15" s="90"/>
      <c r="J15" s="91"/>
      <c r="K15" s="92"/>
      <c r="L15" s="93"/>
      <c r="M15" s="90"/>
      <c r="N15" s="91"/>
      <c r="O15" s="92"/>
      <c r="P15" s="93"/>
      <c r="Q15" s="94">
        <f t="shared" si="0"/>
        <v>0</v>
      </c>
      <c r="R15" s="89" t="e">
        <f t="shared" si="1"/>
        <v>#DIV/0!</v>
      </c>
    </row>
    <row r="16" spans="1:20" ht="18.75" customHeight="1">
      <c r="A16" s="82"/>
      <c r="B16" s="160"/>
      <c r="C16" s="161"/>
      <c r="D16" s="115"/>
      <c r="E16" s="90"/>
      <c r="F16" s="91"/>
      <c r="G16" s="92"/>
      <c r="H16" s="93"/>
      <c r="I16" s="90"/>
      <c r="J16" s="91"/>
      <c r="K16" s="92"/>
      <c r="L16" s="93"/>
      <c r="M16" s="90"/>
      <c r="N16" s="91"/>
      <c r="O16" s="92"/>
      <c r="P16" s="93"/>
      <c r="Q16" s="94">
        <f>E16+G16+I16+K16+M16+O16</f>
        <v>0</v>
      </c>
      <c r="R16" s="89" t="e">
        <f t="shared" si="1"/>
        <v>#DIV/0!</v>
      </c>
    </row>
    <row r="17" spans="1:18" ht="18.75" customHeight="1">
      <c r="A17" s="82"/>
      <c r="B17" s="160"/>
      <c r="C17" s="161"/>
      <c r="D17" s="115"/>
      <c r="E17" s="90"/>
      <c r="F17" s="91"/>
      <c r="G17" s="92"/>
      <c r="H17" s="93"/>
      <c r="I17" s="90"/>
      <c r="J17" s="91"/>
      <c r="K17" s="92"/>
      <c r="L17" s="93"/>
      <c r="M17" s="90"/>
      <c r="N17" s="91"/>
      <c r="O17" s="92"/>
      <c r="P17" s="93"/>
      <c r="Q17" s="94">
        <f t="shared" si="0"/>
        <v>0</v>
      </c>
      <c r="R17" s="89" t="e">
        <f t="shared" si="1"/>
        <v>#DIV/0!</v>
      </c>
    </row>
    <row r="18" spans="1:18" ht="18.75" customHeight="1">
      <c r="A18" s="82"/>
      <c r="B18" s="160"/>
      <c r="C18" s="161"/>
      <c r="D18" s="115"/>
      <c r="E18" s="90"/>
      <c r="F18" s="91"/>
      <c r="G18" s="92"/>
      <c r="H18" s="93"/>
      <c r="I18" s="90"/>
      <c r="J18" s="91"/>
      <c r="K18" s="92"/>
      <c r="L18" s="93"/>
      <c r="M18" s="90"/>
      <c r="N18" s="91"/>
      <c r="O18" s="92"/>
      <c r="P18" s="93"/>
      <c r="Q18" s="94">
        <f t="shared" si="0"/>
        <v>0</v>
      </c>
      <c r="R18" s="89" t="e">
        <f t="shared" si="1"/>
        <v>#DIV/0!</v>
      </c>
    </row>
    <row r="19" spans="1:18" ht="18.75" customHeight="1">
      <c r="A19" s="82"/>
      <c r="B19" s="160"/>
      <c r="C19" s="161"/>
      <c r="D19" s="115"/>
      <c r="E19" s="90"/>
      <c r="F19" s="91"/>
      <c r="G19" s="92"/>
      <c r="H19" s="93"/>
      <c r="I19" s="90"/>
      <c r="J19" s="91"/>
      <c r="K19" s="92"/>
      <c r="L19" s="93"/>
      <c r="M19" s="90"/>
      <c r="N19" s="91"/>
      <c r="O19" s="92"/>
      <c r="P19" s="93"/>
      <c r="Q19" s="94">
        <f t="shared" si="0"/>
        <v>0</v>
      </c>
      <c r="R19" s="89" t="e">
        <f t="shared" si="1"/>
        <v>#DIV/0!</v>
      </c>
    </row>
    <row r="20" spans="1:18" ht="18.75" customHeight="1">
      <c r="A20" s="82"/>
      <c r="B20" s="160"/>
      <c r="C20" s="161"/>
      <c r="D20" s="115"/>
      <c r="E20" s="90"/>
      <c r="F20" s="91"/>
      <c r="G20" s="92"/>
      <c r="H20" s="93"/>
      <c r="I20" s="90"/>
      <c r="J20" s="91"/>
      <c r="K20" s="92"/>
      <c r="L20" s="93"/>
      <c r="M20" s="90"/>
      <c r="N20" s="91"/>
      <c r="O20" s="92"/>
      <c r="P20" s="93"/>
      <c r="Q20" s="94">
        <f t="shared" si="0"/>
        <v>0</v>
      </c>
      <c r="R20" s="89" t="e">
        <f t="shared" si="1"/>
        <v>#DIV/0!</v>
      </c>
    </row>
    <row r="21" spans="1:18" ht="18.75" customHeight="1">
      <c r="A21" s="82"/>
      <c r="B21" s="160"/>
      <c r="C21" s="161"/>
      <c r="D21" s="115"/>
      <c r="E21" s="90"/>
      <c r="F21" s="91"/>
      <c r="G21" s="92"/>
      <c r="H21" s="93"/>
      <c r="I21" s="90"/>
      <c r="J21" s="91"/>
      <c r="K21" s="92"/>
      <c r="L21" s="93"/>
      <c r="M21" s="90"/>
      <c r="N21" s="91"/>
      <c r="O21" s="92"/>
      <c r="P21" s="93"/>
      <c r="Q21" s="94">
        <f t="shared" si="0"/>
        <v>0</v>
      </c>
      <c r="R21" s="89" t="e">
        <f t="shared" si="1"/>
        <v>#DIV/0!</v>
      </c>
    </row>
    <row r="22" spans="1:18" ht="18.75" customHeight="1">
      <c r="A22" s="82"/>
      <c r="B22" s="160"/>
      <c r="C22" s="161"/>
      <c r="D22" s="115"/>
      <c r="E22" s="90"/>
      <c r="F22" s="91"/>
      <c r="G22" s="92"/>
      <c r="H22" s="93"/>
      <c r="I22" s="90"/>
      <c r="J22" s="91"/>
      <c r="K22" s="92"/>
      <c r="L22" s="93"/>
      <c r="M22" s="90"/>
      <c r="N22" s="91"/>
      <c r="O22" s="92"/>
      <c r="P22" s="93"/>
      <c r="Q22" s="94">
        <f t="shared" si="0"/>
        <v>0</v>
      </c>
      <c r="R22" s="89" t="e">
        <f t="shared" si="1"/>
        <v>#DIV/0!</v>
      </c>
    </row>
    <row r="23" spans="1:18" ht="18.75" customHeight="1">
      <c r="A23" s="82"/>
      <c r="B23" s="160"/>
      <c r="C23" s="161"/>
      <c r="D23" s="115"/>
      <c r="E23" s="90"/>
      <c r="F23" s="91"/>
      <c r="G23" s="92"/>
      <c r="H23" s="93"/>
      <c r="I23" s="90"/>
      <c r="J23" s="91"/>
      <c r="K23" s="92"/>
      <c r="L23" s="93"/>
      <c r="M23" s="90"/>
      <c r="N23" s="91"/>
      <c r="O23" s="92"/>
      <c r="P23" s="93"/>
      <c r="Q23" s="94">
        <f t="shared" si="0"/>
        <v>0</v>
      </c>
      <c r="R23" s="89" t="e">
        <f t="shared" si="1"/>
        <v>#DIV/0!</v>
      </c>
    </row>
    <row r="24" spans="1:18" ht="18.75" customHeight="1">
      <c r="A24" s="82"/>
      <c r="B24" s="160"/>
      <c r="C24" s="161"/>
      <c r="D24" s="115"/>
      <c r="E24" s="90"/>
      <c r="F24" s="91"/>
      <c r="G24" s="92"/>
      <c r="H24" s="93"/>
      <c r="I24" s="90"/>
      <c r="J24" s="91"/>
      <c r="K24" s="92"/>
      <c r="L24" s="93"/>
      <c r="M24" s="90"/>
      <c r="N24" s="91"/>
      <c r="O24" s="92"/>
      <c r="P24" s="93"/>
      <c r="Q24" s="94">
        <f t="shared" si="0"/>
        <v>0</v>
      </c>
      <c r="R24" s="89" t="e">
        <f t="shared" si="1"/>
        <v>#DIV/0!</v>
      </c>
    </row>
    <row r="25" spans="1:18" ht="18.75" customHeight="1">
      <c r="A25" s="82"/>
      <c r="B25" s="160"/>
      <c r="C25" s="161"/>
      <c r="D25" s="115"/>
      <c r="E25" s="90"/>
      <c r="F25" s="91"/>
      <c r="G25" s="92"/>
      <c r="H25" s="93"/>
      <c r="I25" s="90"/>
      <c r="J25" s="91"/>
      <c r="K25" s="92"/>
      <c r="L25" s="93"/>
      <c r="M25" s="90"/>
      <c r="N25" s="91"/>
      <c r="O25" s="92"/>
      <c r="P25" s="93"/>
      <c r="Q25" s="94">
        <f t="shared" si="0"/>
        <v>0</v>
      </c>
      <c r="R25" s="89" t="e">
        <f t="shared" si="1"/>
        <v>#DIV/0!</v>
      </c>
    </row>
    <row r="26" spans="1:18" ht="18.75" customHeight="1">
      <c r="A26" s="82"/>
      <c r="B26" s="160"/>
      <c r="C26" s="161"/>
      <c r="D26" s="115"/>
      <c r="E26" s="90"/>
      <c r="F26" s="91"/>
      <c r="G26" s="92"/>
      <c r="H26" s="93"/>
      <c r="I26" s="90"/>
      <c r="J26" s="91"/>
      <c r="K26" s="92"/>
      <c r="L26" s="93"/>
      <c r="M26" s="90"/>
      <c r="N26" s="91"/>
      <c r="O26" s="92"/>
      <c r="P26" s="93"/>
      <c r="Q26" s="94">
        <f t="shared" si="0"/>
        <v>0</v>
      </c>
      <c r="R26" s="89" t="e">
        <f t="shared" si="1"/>
        <v>#DIV/0!</v>
      </c>
    </row>
    <row r="27" spans="1:18" ht="18.75" customHeight="1" thickBot="1">
      <c r="A27" s="82"/>
      <c r="B27" s="170"/>
      <c r="C27" s="171"/>
      <c r="D27" s="83"/>
      <c r="E27" s="84"/>
      <c r="F27" s="85"/>
      <c r="G27" s="86"/>
      <c r="H27" s="87"/>
      <c r="I27" s="84"/>
      <c r="J27" s="85"/>
      <c r="K27" s="86"/>
      <c r="L27" s="87"/>
      <c r="M27" s="84"/>
      <c r="N27" s="85"/>
      <c r="O27" s="86"/>
      <c r="P27" s="87"/>
      <c r="Q27" s="95">
        <f t="shared" si="0"/>
        <v>0</v>
      </c>
      <c r="R27" s="89" t="e">
        <f t="shared" si="1"/>
        <v>#DIV/0!</v>
      </c>
    </row>
    <row r="28" spans="1:18" ht="18.75" customHeight="1" thickTop="1">
      <c r="A28" s="82"/>
      <c r="B28" s="164" t="s">
        <v>61</v>
      </c>
      <c r="C28" s="165"/>
      <c r="D28" s="96">
        <f t="shared" ref="D28:Q28" si="2">SUM(D8:D27)</f>
        <v>440</v>
      </c>
      <c r="E28" s="97">
        <f t="shared" si="2"/>
        <v>235</v>
      </c>
      <c r="F28" s="98">
        <f t="shared" si="2"/>
        <v>1</v>
      </c>
      <c r="G28" s="99">
        <f t="shared" si="2"/>
        <v>9</v>
      </c>
      <c r="H28" s="100">
        <f t="shared" si="2"/>
        <v>0</v>
      </c>
      <c r="I28" s="97">
        <f t="shared" si="2"/>
        <v>0</v>
      </c>
      <c r="J28" s="98">
        <f t="shared" si="2"/>
        <v>0</v>
      </c>
      <c r="K28" s="99">
        <f t="shared" si="2"/>
        <v>0</v>
      </c>
      <c r="L28" s="100">
        <f t="shared" si="2"/>
        <v>0</v>
      </c>
      <c r="M28" s="97">
        <f t="shared" si="2"/>
        <v>0</v>
      </c>
      <c r="N28" s="98">
        <f t="shared" si="2"/>
        <v>0</v>
      </c>
      <c r="O28" s="99">
        <f t="shared" si="2"/>
        <v>0</v>
      </c>
      <c r="P28" s="100">
        <f t="shared" si="2"/>
        <v>0</v>
      </c>
      <c r="Q28" s="101">
        <f t="shared" si="2"/>
        <v>244</v>
      </c>
      <c r="R28" s="102">
        <f>Q28/D28</f>
        <v>0.55454545454545456</v>
      </c>
    </row>
    <row r="29" spans="1:18" ht="6.75" customHeight="1">
      <c r="A29" s="82"/>
      <c r="B29" s="82"/>
      <c r="C29" s="82"/>
      <c r="D29" s="103"/>
      <c r="E29" s="103"/>
      <c r="F29" s="103"/>
      <c r="G29" s="103"/>
      <c r="H29" s="103"/>
      <c r="I29" s="103"/>
      <c r="J29" s="103"/>
      <c r="K29" s="103"/>
      <c r="L29" s="103"/>
      <c r="M29" s="103"/>
      <c r="N29" s="103"/>
      <c r="O29" s="103"/>
      <c r="P29" s="103"/>
      <c r="Q29" s="103"/>
      <c r="R29" s="103"/>
    </row>
  </sheetData>
  <mergeCells count="35">
    <mergeCell ref="F1:R1"/>
    <mergeCell ref="K2:L2"/>
    <mergeCell ref="D6:D7"/>
    <mergeCell ref="E6:F6"/>
    <mergeCell ref="G6:H6"/>
    <mergeCell ref="I6:J6"/>
    <mergeCell ref="K6:L6"/>
    <mergeCell ref="M6:N6"/>
    <mergeCell ref="O6:P6"/>
    <mergeCell ref="Q6:Q7"/>
    <mergeCell ref="R6:R7"/>
    <mergeCell ref="A4:R4"/>
    <mergeCell ref="M2:Q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B18:C18"/>
    <mergeCell ref="B8:C8"/>
    <mergeCell ref="B9:C9"/>
    <mergeCell ref="B10:C10"/>
    <mergeCell ref="B11:C11"/>
    <mergeCell ref="B12:C1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8"/>
  <sheetViews>
    <sheetView zoomScale="85" zoomScaleNormal="85" workbookViewId="0"/>
  </sheetViews>
  <sheetFormatPr defaultColWidth="9" defaultRowHeight="14.2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c r="G1" s="47" t="s">
        <v>194</v>
      </c>
    </row>
    <row r="2" spans="1:7" ht="18.75" customHeight="1">
      <c r="F2" s="47" t="s">
        <v>68</v>
      </c>
      <c r="G2" s="1" t="s">
        <v>193</v>
      </c>
    </row>
    <row r="3" spans="1:7" ht="18.75" customHeight="1">
      <c r="A3" s="215" t="s">
        <v>87</v>
      </c>
      <c r="B3" s="215"/>
      <c r="C3" s="215"/>
      <c r="D3" s="215"/>
      <c r="E3" s="215"/>
      <c r="F3" s="215"/>
      <c r="G3" s="215"/>
    </row>
    <row r="4" spans="1:7" ht="18.75" customHeight="1">
      <c r="A4" s="1" t="s">
        <v>7</v>
      </c>
      <c r="B4" s="1" t="s">
        <v>86</v>
      </c>
    </row>
    <row r="5" spans="1:7" s="46" customFormat="1" ht="18.75" customHeight="1">
      <c r="B5" s="63" t="s">
        <v>67</v>
      </c>
      <c r="C5" s="187" t="s">
        <v>99</v>
      </c>
      <c r="D5" s="188"/>
      <c r="E5" s="188"/>
      <c r="F5" s="188"/>
      <c r="G5" s="189"/>
    </row>
    <row r="6" spans="1:7" s="60" customFormat="1" ht="45" customHeight="1">
      <c r="B6" s="190" t="s">
        <v>102</v>
      </c>
      <c r="C6" s="192" t="s">
        <v>208</v>
      </c>
      <c r="D6" s="193"/>
      <c r="E6" s="193"/>
      <c r="F6" s="193"/>
      <c r="G6" s="194"/>
    </row>
    <row r="7" spans="1:7" s="60" customFormat="1" ht="45" customHeight="1">
      <c r="B7" s="191"/>
      <c r="C7" s="195"/>
      <c r="D7" s="196"/>
      <c r="E7" s="196"/>
      <c r="F7" s="196"/>
      <c r="G7" s="197"/>
    </row>
    <row r="8" spans="1:7" s="60" customFormat="1" ht="45" customHeight="1">
      <c r="B8" s="191"/>
      <c r="C8" s="195"/>
      <c r="D8" s="196"/>
      <c r="E8" s="196"/>
      <c r="F8" s="196"/>
      <c r="G8" s="197"/>
    </row>
    <row r="9" spans="1:7" s="60" customFormat="1" ht="45" customHeight="1">
      <c r="B9" s="191"/>
      <c r="C9" s="198"/>
      <c r="D9" s="199"/>
      <c r="E9" s="199"/>
      <c r="F9" s="199"/>
      <c r="G9" s="200"/>
    </row>
    <row r="10" spans="1:7" s="62" customFormat="1" ht="18.75" customHeight="1">
      <c r="B10" s="191"/>
      <c r="C10" s="61" t="s">
        <v>100</v>
      </c>
      <c r="D10" s="184" t="s">
        <v>101</v>
      </c>
      <c r="E10" s="185"/>
      <c r="F10" s="185"/>
      <c r="G10" s="186"/>
    </row>
    <row r="11" spans="1:7" s="60" customFormat="1" ht="18.75" customHeight="1">
      <c r="B11" s="191"/>
      <c r="C11" s="65" t="s">
        <v>144</v>
      </c>
      <c r="D11" s="120" t="s">
        <v>169</v>
      </c>
      <c r="E11" s="121"/>
      <c r="F11" s="121"/>
      <c r="G11" s="122"/>
    </row>
    <row r="12" spans="1:7" s="62" customFormat="1" ht="18.75" customHeight="1">
      <c r="B12" s="191"/>
      <c r="C12" s="110" t="s">
        <v>145</v>
      </c>
      <c r="D12" s="120" t="s">
        <v>170</v>
      </c>
      <c r="E12" s="121"/>
      <c r="F12" s="121"/>
      <c r="G12" s="122"/>
    </row>
    <row r="13" spans="1:7" s="62" customFormat="1" ht="18.75" customHeight="1">
      <c r="B13" s="191"/>
      <c r="C13" s="110" t="s">
        <v>146</v>
      </c>
      <c r="D13" s="120" t="s">
        <v>155</v>
      </c>
      <c r="E13" s="121"/>
      <c r="F13" s="121"/>
      <c r="G13" s="122"/>
    </row>
    <row r="14" spans="1:7" s="62" customFormat="1" ht="18.75" customHeight="1">
      <c r="B14" s="191"/>
      <c r="C14" s="110" t="s">
        <v>147</v>
      </c>
      <c r="D14" s="120" t="s">
        <v>171</v>
      </c>
      <c r="E14" s="121"/>
      <c r="F14" s="121"/>
      <c r="G14" s="122"/>
    </row>
    <row r="15" spans="1:7" s="67" customFormat="1" ht="18.75" customHeight="1">
      <c r="B15" s="191"/>
      <c r="C15" s="110" t="s">
        <v>148</v>
      </c>
      <c r="D15" s="124" t="s">
        <v>156</v>
      </c>
      <c r="E15" s="125"/>
      <c r="F15" s="125"/>
      <c r="G15" s="126"/>
    </row>
    <row r="16" spans="1:7" s="67" customFormat="1" ht="18.75" customHeight="1">
      <c r="B16" s="191"/>
      <c r="C16" s="110" t="s">
        <v>149</v>
      </c>
      <c r="D16" s="124" t="s">
        <v>157</v>
      </c>
      <c r="E16" s="125"/>
      <c r="F16" s="125"/>
      <c r="G16" s="126"/>
    </row>
    <row r="17" spans="2:7" s="67" customFormat="1" ht="18.75" customHeight="1">
      <c r="B17" s="191"/>
      <c r="C17" s="110" t="s">
        <v>150</v>
      </c>
      <c r="D17" s="124" t="s">
        <v>158</v>
      </c>
      <c r="E17" s="125"/>
      <c r="F17" s="125"/>
      <c r="G17" s="126"/>
    </row>
    <row r="18" spans="2:7" s="67" customFormat="1" ht="18.75" customHeight="1">
      <c r="B18" s="191"/>
      <c r="C18" s="68"/>
      <c r="D18" s="187"/>
      <c r="E18" s="188"/>
      <c r="F18" s="188"/>
      <c r="G18" s="189"/>
    </row>
    <row r="19" spans="2:7" s="67" customFormat="1" ht="18.75" customHeight="1">
      <c r="B19" s="191"/>
      <c r="C19" s="68"/>
      <c r="D19" s="187"/>
      <c r="E19" s="188"/>
      <c r="F19" s="188"/>
      <c r="G19" s="189"/>
    </row>
    <row r="20" spans="2:7" s="67" customFormat="1" ht="18.75" customHeight="1">
      <c r="B20" s="191"/>
      <c r="C20" s="68"/>
      <c r="D20" s="187"/>
      <c r="E20" s="188"/>
      <c r="F20" s="188"/>
      <c r="G20" s="189"/>
    </row>
    <row r="21" spans="2:7" s="67" customFormat="1" ht="18.75" customHeight="1">
      <c r="B21" s="191"/>
      <c r="C21" s="68"/>
      <c r="D21" s="187"/>
      <c r="E21" s="188"/>
      <c r="F21" s="188"/>
      <c r="G21" s="189"/>
    </row>
    <row r="22" spans="2:7" s="67" customFormat="1" ht="18.75" customHeight="1">
      <c r="B22" s="191"/>
      <c r="C22" s="68"/>
      <c r="D22" s="187"/>
      <c r="E22" s="188"/>
      <c r="F22" s="188"/>
      <c r="G22" s="189"/>
    </row>
    <row r="23" spans="2:7" s="67" customFormat="1" ht="18.75" customHeight="1">
      <c r="B23" s="191"/>
      <c r="C23" s="68"/>
      <c r="D23" s="187"/>
      <c r="E23" s="188"/>
      <c r="F23" s="188"/>
      <c r="G23" s="189"/>
    </row>
    <row r="24" spans="2:7" s="62" customFormat="1" ht="18.75" customHeight="1">
      <c r="B24" s="191"/>
      <c r="C24" s="63"/>
      <c r="D24" s="187"/>
      <c r="E24" s="188"/>
      <c r="F24" s="188"/>
      <c r="G24" s="189"/>
    </row>
    <row r="25" spans="2:7" ht="18.75" customHeight="1">
      <c r="B25" s="190" t="s">
        <v>103</v>
      </c>
      <c r="C25" s="187" t="s">
        <v>99</v>
      </c>
      <c r="D25" s="188"/>
      <c r="E25" s="188"/>
      <c r="F25" s="188"/>
      <c r="G25" s="189"/>
    </row>
    <row r="26" spans="2:7" ht="37.5" customHeight="1">
      <c r="B26" s="191"/>
      <c r="C26" s="206" t="s">
        <v>207</v>
      </c>
      <c r="D26" s="207"/>
      <c r="E26" s="207"/>
      <c r="F26" s="207"/>
      <c r="G26" s="208"/>
    </row>
    <row r="27" spans="2:7" ht="37.5" customHeight="1">
      <c r="B27" s="191"/>
      <c r="C27" s="209"/>
      <c r="D27" s="210"/>
      <c r="E27" s="210"/>
      <c r="F27" s="210"/>
      <c r="G27" s="211"/>
    </row>
    <row r="28" spans="2:7" ht="37.5" customHeight="1">
      <c r="B28" s="191"/>
      <c r="C28" s="209"/>
      <c r="D28" s="210"/>
      <c r="E28" s="210"/>
      <c r="F28" s="210"/>
      <c r="G28" s="211"/>
    </row>
    <row r="29" spans="2:7" ht="37.5" customHeight="1">
      <c r="B29" s="191"/>
      <c r="C29" s="209"/>
      <c r="D29" s="210"/>
      <c r="E29" s="210"/>
      <c r="F29" s="210"/>
      <c r="G29" s="211"/>
    </row>
    <row r="30" spans="2:7" ht="37.5" customHeight="1">
      <c r="B30" s="191"/>
      <c r="C30" s="212"/>
      <c r="D30" s="213"/>
      <c r="E30" s="213"/>
      <c r="F30" s="213"/>
      <c r="G30" s="214"/>
    </row>
    <row r="31" spans="2:7" ht="18.75" customHeight="1">
      <c r="B31" s="191"/>
      <c r="C31" s="61" t="s">
        <v>100</v>
      </c>
      <c r="D31" s="187" t="s">
        <v>101</v>
      </c>
      <c r="E31" s="188"/>
      <c r="F31" s="188"/>
      <c r="G31" s="189"/>
    </row>
    <row r="32" spans="2:7" ht="18.75" customHeight="1">
      <c r="B32" s="191"/>
      <c r="C32" s="65" t="s">
        <v>144</v>
      </c>
      <c r="D32" s="204" t="s">
        <v>172</v>
      </c>
      <c r="E32" s="121"/>
      <c r="F32" s="121"/>
      <c r="G32" s="122"/>
    </row>
    <row r="33" spans="2:7" ht="18.75" customHeight="1">
      <c r="B33" s="191"/>
      <c r="C33" s="109" t="s">
        <v>145</v>
      </c>
      <c r="D33" s="120" t="s">
        <v>170</v>
      </c>
      <c r="E33" s="121"/>
      <c r="F33" s="121"/>
      <c r="G33" s="122"/>
    </row>
    <row r="34" spans="2:7" ht="18.75" customHeight="1">
      <c r="B34" s="191"/>
      <c r="C34" s="109" t="s">
        <v>146</v>
      </c>
      <c r="D34" s="120" t="s">
        <v>155</v>
      </c>
      <c r="E34" s="121"/>
      <c r="F34" s="121"/>
      <c r="G34" s="122"/>
    </row>
    <row r="35" spans="2:7" ht="18.75" customHeight="1">
      <c r="B35" s="191"/>
      <c r="C35" s="109" t="s">
        <v>147</v>
      </c>
      <c r="D35" s="204" t="s">
        <v>159</v>
      </c>
      <c r="E35" s="121"/>
      <c r="F35" s="121"/>
      <c r="G35" s="122"/>
    </row>
    <row r="36" spans="2:7" ht="18.75" customHeight="1">
      <c r="B36" s="191"/>
      <c r="C36" s="109" t="s">
        <v>148</v>
      </c>
      <c r="D36" s="204" t="s">
        <v>160</v>
      </c>
      <c r="E36" s="121"/>
      <c r="F36" s="121"/>
      <c r="G36" s="122"/>
    </row>
    <row r="37" spans="2:7" ht="18.75" customHeight="1">
      <c r="B37" s="191"/>
      <c r="C37" s="109" t="s">
        <v>149</v>
      </c>
      <c r="D37" s="124" t="s">
        <v>157</v>
      </c>
      <c r="E37" s="125"/>
      <c r="F37" s="125"/>
      <c r="G37" s="126"/>
    </row>
    <row r="38" spans="2:7" ht="18.75" customHeight="1">
      <c r="B38" s="191"/>
      <c r="C38" s="109" t="s">
        <v>150</v>
      </c>
      <c r="D38" s="124" t="s">
        <v>158</v>
      </c>
      <c r="E38" s="125"/>
      <c r="F38" s="125"/>
      <c r="G38" s="126"/>
    </row>
    <row r="39" spans="2:7" ht="18.75" customHeight="1">
      <c r="B39" s="191"/>
      <c r="C39" s="63"/>
      <c r="D39" s="201"/>
      <c r="E39" s="202"/>
      <c r="F39" s="202"/>
      <c r="G39" s="203"/>
    </row>
    <row r="40" spans="2:7" ht="18.75" customHeight="1">
      <c r="B40" s="191"/>
      <c r="C40" s="63"/>
      <c r="D40" s="201"/>
      <c r="E40" s="202"/>
      <c r="F40" s="202"/>
      <c r="G40" s="203"/>
    </row>
    <row r="41" spans="2:7" ht="18.75" customHeight="1">
      <c r="B41" s="191"/>
      <c r="C41" s="63"/>
      <c r="D41" s="201"/>
      <c r="E41" s="202"/>
      <c r="F41" s="202"/>
      <c r="G41" s="203"/>
    </row>
    <row r="42" spans="2:7" ht="18.75" customHeight="1">
      <c r="B42" s="191"/>
      <c r="C42" s="63"/>
      <c r="D42" s="201"/>
      <c r="E42" s="202"/>
      <c r="F42" s="202"/>
      <c r="G42" s="203"/>
    </row>
    <row r="43" spans="2:7" ht="18.75" customHeight="1">
      <c r="B43" s="191"/>
      <c r="C43" s="63"/>
      <c r="D43" s="201"/>
      <c r="E43" s="202"/>
      <c r="F43" s="202"/>
      <c r="G43" s="203"/>
    </row>
    <row r="44" spans="2:7" ht="18.75" customHeight="1">
      <c r="B44" s="191"/>
      <c r="C44" s="63"/>
      <c r="D44" s="201"/>
      <c r="E44" s="202"/>
      <c r="F44" s="202"/>
      <c r="G44" s="203"/>
    </row>
    <row r="45" spans="2:7" ht="18.75" customHeight="1">
      <c r="B45" s="191"/>
      <c r="C45" s="63"/>
      <c r="D45" s="201"/>
      <c r="E45" s="202"/>
      <c r="F45" s="202"/>
      <c r="G45" s="203"/>
    </row>
    <row r="46" spans="2:7" ht="18.75" customHeight="1">
      <c r="B46" s="191"/>
      <c r="C46" s="63"/>
      <c r="D46" s="201"/>
      <c r="E46" s="202"/>
      <c r="F46" s="202"/>
      <c r="G46" s="203"/>
    </row>
    <row r="47" spans="2:7" ht="18.75" customHeight="1">
      <c r="B47" s="191"/>
      <c r="C47" s="63"/>
      <c r="D47" s="201"/>
      <c r="E47" s="202"/>
      <c r="F47" s="202"/>
      <c r="G47" s="203"/>
    </row>
    <row r="48" spans="2:7" ht="18.75" customHeight="1">
      <c r="B48" s="191"/>
      <c r="C48" s="63"/>
      <c r="D48" s="201"/>
      <c r="E48" s="202"/>
      <c r="F48" s="202"/>
      <c r="G48" s="203"/>
    </row>
    <row r="49" spans="2:7" ht="18.75" customHeight="1">
      <c r="B49" s="205"/>
      <c r="C49" s="63"/>
      <c r="D49" s="201"/>
      <c r="E49" s="202"/>
      <c r="F49" s="202"/>
      <c r="G49" s="203"/>
    </row>
    <row r="50" spans="2:7" ht="18.75" customHeight="1">
      <c r="B50" s="190" t="s">
        <v>105</v>
      </c>
      <c r="C50" s="187" t="s">
        <v>99</v>
      </c>
      <c r="D50" s="188"/>
      <c r="E50" s="188"/>
      <c r="F50" s="188"/>
      <c r="G50" s="189"/>
    </row>
    <row r="51" spans="2:7" ht="37.5" customHeight="1">
      <c r="B51" s="191"/>
      <c r="C51" s="192" t="s">
        <v>168</v>
      </c>
      <c r="D51" s="193"/>
      <c r="E51" s="193"/>
      <c r="F51" s="193"/>
      <c r="G51" s="194"/>
    </row>
    <row r="52" spans="2:7" ht="37.5" customHeight="1">
      <c r="B52" s="191"/>
      <c r="C52" s="195"/>
      <c r="D52" s="196"/>
      <c r="E52" s="196"/>
      <c r="F52" s="196"/>
      <c r="G52" s="197"/>
    </row>
    <row r="53" spans="2:7" ht="37.5" customHeight="1">
      <c r="B53" s="191"/>
      <c r="C53" s="195"/>
      <c r="D53" s="196"/>
      <c r="E53" s="196"/>
      <c r="F53" s="196"/>
      <c r="G53" s="197"/>
    </row>
    <row r="54" spans="2:7" ht="37.5" customHeight="1">
      <c r="B54" s="191"/>
      <c r="C54" s="195"/>
      <c r="D54" s="196"/>
      <c r="E54" s="196"/>
      <c r="F54" s="196"/>
      <c r="G54" s="197"/>
    </row>
    <row r="55" spans="2:7" ht="37.5" customHeight="1">
      <c r="B55" s="191"/>
      <c r="C55" s="198"/>
      <c r="D55" s="199"/>
      <c r="E55" s="199"/>
      <c r="F55" s="199"/>
      <c r="G55" s="200"/>
    </row>
    <row r="56" spans="2:7" ht="18.75" customHeight="1">
      <c r="B56" s="191"/>
      <c r="C56" s="61" t="s">
        <v>100</v>
      </c>
      <c r="D56" s="187" t="s">
        <v>101</v>
      </c>
      <c r="E56" s="188"/>
      <c r="F56" s="188"/>
      <c r="G56" s="189"/>
    </row>
    <row r="57" spans="2:7" ht="18.75" customHeight="1">
      <c r="B57" s="191"/>
      <c r="C57" s="65" t="s">
        <v>143</v>
      </c>
      <c r="D57" s="204" t="s">
        <v>173</v>
      </c>
      <c r="E57" s="121"/>
      <c r="F57" s="121"/>
      <c r="G57" s="122"/>
    </row>
    <row r="58" spans="2:7" ht="18.75" customHeight="1">
      <c r="B58" s="191"/>
      <c r="C58" s="109" t="s">
        <v>151</v>
      </c>
      <c r="D58" s="204" t="s">
        <v>161</v>
      </c>
      <c r="E58" s="121"/>
      <c r="F58" s="121"/>
      <c r="G58" s="122"/>
    </row>
    <row r="59" spans="2:7" ht="18.75" customHeight="1">
      <c r="B59" s="191"/>
      <c r="C59" s="109" t="s">
        <v>145</v>
      </c>
      <c r="D59" s="120" t="s">
        <v>170</v>
      </c>
      <c r="E59" s="121"/>
      <c r="F59" s="121"/>
      <c r="G59" s="122"/>
    </row>
    <row r="60" spans="2:7" ht="18.75" customHeight="1">
      <c r="B60" s="191"/>
      <c r="C60" s="109" t="s">
        <v>146</v>
      </c>
      <c r="D60" s="120" t="s">
        <v>165</v>
      </c>
      <c r="E60" s="121"/>
      <c r="F60" s="121"/>
      <c r="G60" s="122"/>
    </row>
    <row r="61" spans="2:7" ht="18.75" customHeight="1">
      <c r="B61" s="191"/>
      <c r="C61" s="65" t="s">
        <v>132</v>
      </c>
      <c r="D61" s="204" t="s">
        <v>167</v>
      </c>
      <c r="E61" s="121"/>
      <c r="F61" s="121"/>
      <c r="G61" s="122"/>
    </row>
    <row r="62" spans="2:7" ht="18.75" customHeight="1">
      <c r="B62" s="191"/>
      <c r="C62" s="109" t="s">
        <v>148</v>
      </c>
      <c r="D62" s="204" t="s">
        <v>160</v>
      </c>
      <c r="E62" s="121"/>
      <c r="F62" s="121"/>
      <c r="G62" s="122"/>
    </row>
    <row r="63" spans="2:7" ht="18.75" customHeight="1">
      <c r="B63" s="191"/>
      <c r="C63" s="109" t="s">
        <v>149</v>
      </c>
      <c r="D63" s="124" t="s">
        <v>157</v>
      </c>
      <c r="E63" s="125"/>
      <c r="F63" s="125"/>
      <c r="G63" s="126"/>
    </row>
    <row r="64" spans="2:7" ht="18.75" customHeight="1">
      <c r="B64" s="191"/>
      <c r="C64" s="109" t="s">
        <v>150</v>
      </c>
      <c r="D64" s="124" t="s">
        <v>158</v>
      </c>
      <c r="E64" s="125"/>
      <c r="F64" s="125"/>
      <c r="G64" s="126"/>
    </row>
    <row r="65" spans="2:7" ht="18.75" customHeight="1">
      <c r="B65" s="191"/>
      <c r="C65" s="73"/>
      <c r="D65" s="201"/>
      <c r="E65" s="202"/>
      <c r="F65" s="202"/>
      <c r="G65" s="203"/>
    </row>
    <row r="66" spans="2:7" ht="18.75" customHeight="1">
      <c r="B66" s="191"/>
      <c r="C66" s="73"/>
      <c r="D66" s="201"/>
      <c r="E66" s="202"/>
      <c r="F66" s="202"/>
      <c r="G66" s="203"/>
    </row>
    <row r="67" spans="2:7" ht="18.75" customHeight="1">
      <c r="B67" s="191"/>
      <c r="C67" s="73"/>
      <c r="D67" s="201"/>
      <c r="E67" s="202"/>
      <c r="F67" s="202"/>
      <c r="G67" s="203"/>
    </row>
    <row r="68" spans="2:7" ht="18.75" customHeight="1">
      <c r="B68" s="191"/>
      <c r="C68" s="73"/>
      <c r="D68" s="201"/>
      <c r="E68" s="202"/>
      <c r="F68" s="202"/>
      <c r="G68" s="203"/>
    </row>
    <row r="69" spans="2:7" ht="18.75" customHeight="1">
      <c r="B69" s="191"/>
      <c r="C69" s="73"/>
      <c r="D69" s="201"/>
      <c r="E69" s="202"/>
      <c r="F69" s="202"/>
      <c r="G69" s="203"/>
    </row>
    <row r="70" spans="2:7" ht="18.75" customHeight="1">
      <c r="B70" s="191"/>
      <c r="C70" s="73"/>
      <c r="D70" s="201"/>
      <c r="E70" s="202"/>
      <c r="F70" s="202"/>
      <c r="G70" s="203"/>
    </row>
    <row r="71" spans="2:7" ht="18.75" customHeight="1">
      <c r="B71" s="191"/>
      <c r="C71" s="73"/>
      <c r="D71" s="201"/>
      <c r="E71" s="202"/>
      <c r="F71" s="202"/>
      <c r="G71" s="203"/>
    </row>
    <row r="72" spans="2:7" ht="18.75" customHeight="1">
      <c r="B72" s="191"/>
      <c r="C72" s="73"/>
      <c r="D72" s="201"/>
      <c r="E72" s="202"/>
      <c r="F72" s="202"/>
      <c r="G72" s="203"/>
    </row>
    <row r="73" spans="2:7" ht="18.75" customHeight="1">
      <c r="B73" s="191"/>
      <c r="C73" s="63"/>
      <c r="D73" s="201"/>
      <c r="E73" s="202"/>
      <c r="F73" s="202"/>
      <c r="G73" s="203"/>
    </row>
    <row r="74" spans="2:7" ht="18.75" customHeight="1">
      <c r="B74" s="191"/>
      <c r="C74" s="63"/>
      <c r="D74" s="201"/>
      <c r="E74" s="202"/>
      <c r="F74" s="202"/>
      <c r="G74" s="203"/>
    </row>
    <row r="75" spans="2:7" ht="18.75" customHeight="1">
      <c r="B75" s="190" t="s">
        <v>104</v>
      </c>
      <c r="C75" s="187" t="s">
        <v>99</v>
      </c>
      <c r="D75" s="188"/>
      <c r="E75" s="188"/>
      <c r="F75" s="188"/>
      <c r="G75" s="189"/>
    </row>
    <row r="76" spans="2:7" ht="37.5" customHeight="1">
      <c r="B76" s="191"/>
      <c r="C76" s="192" t="s">
        <v>200</v>
      </c>
      <c r="D76" s="193"/>
      <c r="E76" s="193"/>
      <c r="F76" s="193"/>
      <c r="G76" s="194"/>
    </row>
    <row r="77" spans="2:7" ht="37.5" customHeight="1">
      <c r="B77" s="191"/>
      <c r="C77" s="195"/>
      <c r="D77" s="196"/>
      <c r="E77" s="196"/>
      <c r="F77" s="196"/>
      <c r="G77" s="197"/>
    </row>
    <row r="78" spans="2:7" ht="37.5" customHeight="1">
      <c r="B78" s="191"/>
      <c r="C78" s="195"/>
      <c r="D78" s="196"/>
      <c r="E78" s="196"/>
      <c r="F78" s="196"/>
      <c r="G78" s="197"/>
    </row>
    <row r="79" spans="2:7" ht="37.5" customHeight="1">
      <c r="B79" s="191"/>
      <c r="C79" s="195"/>
      <c r="D79" s="196"/>
      <c r="E79" s="196"/>
      <c r="F79" s="196"/>
      <c r="G79" s="197"/>
    </row>
    <row r="80" spans="2:7" ht="37.5" customHeight="1">
      <c r="B80" s="191"/>
      <c r="C80" s="198"/>
      <c r="D80" s="199"/>
      <c r="E80" s="199"/>
      <c r="F80" s="199"/>
      <c r="G80" s="200"/>
    </row>
    <row r="81" spans="2:7" ht="18.75" customHeight="1">
      <c r="B81" s="191"/>
      <c r="C81" s="61" t="s">
        <v>100</v>
      </c>
      <c r="D81" s="187" t="s">
        <v>101</v>
      </c>
      <c r="E81" s="188"/>
      <c r="F81" s="188"/>
      <c r="G81" s="189"/>
    </row>
    <row r="82" spans="2:7" ht="18.75" customHeight="1">
      <c r="B82" s="191"/>
      <c r="C82" s="65" t="s">
        <v>143</v>
      </c>
      <c r="D82" s="120" t="s">
        <v>162</v>
      </c>
      <c r="E82" s="121"/>
      <c r="F82" s="121"/>
      <c r="G82" s="122"/>
    </row>
    <row r="83" spans="2:7" ht="18.75" customHeight="1">
      <c r="B83" s="191"/>
      <c r="C83" s="109" t="s">
        <v>152</v>
      </c>
      <c r="D83" s="120" t="s">
        <v>163</v>
      </c>
      <c r="E83" s="121"/>
      <c r="F83" s="121"/>
      <c r="G83" s="122"/>
    </row>
    <row r="84" spans="2:7" ht="18.75" customHeight="1">
      <c r="B84" s="191"/>
      <c r="C84" s="65" t="s">
        <v>142</v>
      </c>
      <c r="D84" s="120" t="s">
        <v>166</v>
      </c>
      <c r="E84" s="121"/>
      <c r="F84" s="121"/>
      <c r="G84" s="122"/>
    </row>
    <row r="85" spans="2:7" ht="18.75" customHeight="1">
      <c r="B85" s="191"/>
      <c r="C85" s="73"/>
      <c r="D85" s="201"/>
      <c r="E85" s="202"/>
      <c r="F85" s="202"/>
      <c r="G85" s="203"/>
    </row>
    <row r="86" spans="2:7" ht="18.75" customHeight="1">
      <c r="B86" s="191"/>
      <c r="C86" s="73"/>
      <c r="D86" s="201"/>
      <c r="E86" s="202"/>
      <c r="F86" s="202"/>
      <c r="G86" s="203"/>
    </row>
    <row r="87" spans="2:7" ht="18.75" customHeight="1">
      <c r="B87" s="191"/>
      <c r="C87" s="73"/>
      <c r="D87" s="201"/>
      <c r="E87" s="202"/>
      <c r="F87" s="202"/>
      <c r="G87" s="203"/>
    </row>
    <row r="88" spans="2:7" ht="18.75" customHeight="1">
      <c r="B88" s="191"/>
      <c r="C88" s="73"/>
      <c r="D88" s="201"/>
      <c r="E88" s="202"/>
      <c r="F88" s="202"/>
      <c r="G88" s="203"/>
    </row>
    <row r="89" spans="2:7" ht="18.75" customHeight="1">
      <c r="B89" s="191"/>
      <c r="C89" s="73"/>
      <c r="D89" s="201"/>
      <c r="E89" s="202"/>
      <c r="F89" s="202"/>
      <c r="G89" s="203"/>
    </row>
    <row r="90" spans="2:7" ht="18.75" customHeight="1">
      <c r="B90" s="191"/>
      <c r="C90" s="73"/>
      <c r="D90" s="201"/>
      <c r="E90" s="202"/>
      <c r="F90" s="202"/>
      <c r="G90" s="203"/>
    </row>
    <row r="91" spans="2:7" ht="18.75" customHeight="1">
      <c r="B91" s="191"/>
      <c r="C91" s="73"/>
      <c r="D91" s="201"/>
      <c r="E91" s="202"/>
      <c r="F91" s="202"/>
      <c r="G91" s="203"/>
    </row>
    <row r="92" spans="2:7" ht="18.75" customHeight="1">
      <c r="B92" s="191"/>
      <c r="C92" s="73"/>
      <c r="D92" s="201"/>
      <c r="E92" s="202"/>
      <c r="F92" s="202"/>
      <c r="G92" s="203"/>
    </row>
    <row r="93" spans="2:7" ht="18.75" customHeight="1">
      <c r="B93" s="191"/>
      <c r="C93" s="73"/>
      <c r="D93" s="201"/>
      <c r="E93" s="202"/>
      <c r="F93" s="202"/>
      <c r="G93" s="203"/>
    </row>
    <row r="94" spans="2:7" ht="18.75" customHeight="1">
      <c r="B94" s="191"/>
      <c r="C94" s="73"/>
      <c r="D94" s="201"/>
      <c r="E94" s="202"/>
      <c r="F94" s="202"/>
      <c r="G94" s="203"/>
    </row>
    <row r="95" spans="2:7" ht="18.75" customHeight="1">
      <c r="B95" s="191"/>
      <c r="C95" s="73"/>
      <c r="D95" s="201"/>
      <c r="E95" s="202"/>
      <c r="F95" s="202"/>
      <c r="G95" s="203"/>
    </row>
    <row r="96" spans="2:7" ht="18.75" customHeight="1">
      <c r="B96" s="191"/>
      <c r="C96" s="73"/>
      <c r="D96" s="201"/>
      <c r="E96" s="202"/>
      <c r="F96" s="202"/>
      <c r="G96" s="203"/>
    </row>
    <row r="97" spans="2:7" ht="18.75" customHeight="1">
      <c r="B97" s="191"/>
      <c r="C97" s="73"/>
      <c r="D97" s="201"/>
      <c r="E97" s="202"/>
      <c r="F97" s="202"/>
      <c r="G97" s="203"/>
    </row>
    <row r="98" spans="2:7" ht="18.75" customHeight="1">
      <c r="B98" s="191"/>
      <c r="C98" s="73"/>
      <c r="D98" s="201"/>
      <c r="E98" s="202"/>
      <c r="F98" s="202"/>
      <c r="G98" s="203"/>
    </row>
    <row r="99" spans="2:7" ht="18.75" customHeight="1">
      <c r="B99" s="191"/>
      <c r="C99" s="63"/>
      <c r="D99" s="201"/>
      <c r="E99" s="202"/>
      <c r="F99" s="202"/>
      <c r="G99" s="203"/>
    </row>
    <row r="100" spans="2:7" ht="18.75" customHeight="1">
      <c r="B100" s="190" t="s">
        <v>106</v>
      </c>
      <c r="C100" s="187" t="s">
        <v>99</v>
      </c>
      <c r="D100" s="188"/>
      <c r="E100" s="188"/>
      <c r="F100" s="188"/>
      <c r="G100" s="189"/>
    </row>
    <row r="101" spans="2:7" ht="37.5" customHeight="1">
      <c r="B101" s="191"/>
      <c r="C101" s="192" t="s">
        <v>209</v>
      </c>
      <c r="D101" s="193"/>
      <c r="E101" s="193"/>
      <c r="F101" s="193"/>
      <c r="G101" s="194"/>
    </row>
    <row r="102" spans="2:7" ht="37.5" customHeight="1">
      <c r="B102" s="191"/>
      <c r="C102" s="195"/>
      <c r="D102" s="196"/>
      <c r="E102" s="196"/>
      <c r="F102" s="196"/>
      <c r="G102" s="197"/>
    </row>
    <row r="103" spans="2:7" ht="37.5" customHeight="1">
      <c r="B103" s="191"/>
      <c r="C103" s="195"/>
      <c r="D103" s="196"/>
      <c r="E103" s="196"/>
      <c r="F103" s="196"/>
      <c r="G103" s="197"/>
    </row>
    <row r="104" spans="2:7" ht="37.5" customHeight="1">
      <c r="B104" s="191"/>
      <c r="C104" s="195"/>
      <c r="D104" s="196"/>
      <c r="E104" s="196"/>
      <c r="F104" s="196"/>
      <c r="G104" s="197"/>
    </row>
    <row r="105" spans="2:7" ht="37.5" customHeight="1">
      <c r="B105" s="191"/>
      <c r="C105" s="198"/>
      <c r="D105" s="199"/>
      <c r="E105" s="199"/>
      <c r="F105" s="199"/>
      <c r="G105" s="200"/>
    </row>
    <row r="106" spans="2:7" ht="18.75" customHeight="1">
      <c r="B106" s="191"/>
      <c r="C106" s="61" t="s">
        <v>100</v>
      </c>
      <c r="D106" s="187" t="s">
        <v>101</v>
      </c>
      <c r="E106" s="188"/>
      <c r="F106" s="188"/>
      <c r="G106" s="189"/>
    </row>
    <row r="107" spans="2:7" ht="18.75" customHeight="1">
      <c r="B107" s="191"/>
      <c r="C107" s="65" t="s">
        <v>143</v>
      </c>
      <c r="D107" s="204" t="s">
        <v>164</v>
      </c>
      <c r="E107" s="121"/>
      <c r="F107" s="121"/>
      <c r="G107" s="122"/>
    </row>
    <row r="108" spans="2:7" ht="18.75" customHeight="1">
      <c r="B108" s="191"/>
      <c r="C108" s="109" t="s">
        <v>151</v>
      </c>
      <c r="D108" s="120" t="s">
        <v>161</v>
      </c>
      <c r="E108" s="121"/>
      <c r="F108" s="121"/>
      <c r="G108" s="122"/>
    </row>
    <row r="109" spans="2:7" ht="18.75" customHeight="1">
      <c r="B109" s="191"/>
      <c r="C109" s="110" t="s">
        <v>139</v>
      </c>
      <c r="D109" s="124" t="s">
        <v>157</v>
      </c>
      <c r="E109" s="125"/>
      <c r="F109" s="125"/>
      <c r="G109" s="126"/>
    </row>
    <row r="110" spans="2:7" ht="18.75" customHeight="1">
      <c r="B110" s="191"/>
      <c r="C110" s="110" t="s">
        <v>140</v>
      </c>
      <c r="D110" s="124" t="s">
        <v>158</v>
      </c>
      <c r="E110" s="125"/>
      <c r="F110" s="125"/>
      <c r="G110" s="126"/>
    </row>
    <row r="111" spans="2:7" ht="18.75" customHeight="1">
      <c r="B111" s="191"/>
      <c r="C111" s="109"/>
      <c r="D111" s="187"/>
      <c r="E111" s="188"/>
      <c r="F111" s="188"/>
      <c r="G111" s="189"/>
    </row>
    <row r="112" spans="2:7" ht="18.75" customHeight="1">
      <c r="B112" s="191"/>
      <c r="C112" s="109"/>
      <c r="D112" s="187"/>
      <c r="E112" s="188"/>
      <c r="F112" s="188"/>
      <c r="G112" s="189"/>
    </row>
    <row r="113" spans="1:7" ht="18.75" customHeight="1">
      <c r="B113" s="191"/>
      <c r="C113" s="73"/>
      <c r="D113" s="201"/>
      <c r="E113" s="202"/>
      <c r="F113" s="202"/>
      <c r="G113" s="203"/>
    </row>
    <row r="114" spans="1:7" ht="18.75" customHeight="1">
      <c r="B114" s="191"/>
      <c r="C114" s="73"/>
      <c r="D114" s="201"/>
      <c r="E114" s="202"/>
      <c r="F114" s="202"/>
      <c r="G114" s="203"/>
    </row>
    <row r="115" spans="1:7" ht="18.75" customHeight="1">
      <c r="B115" s="191"/>
      <c r="C115" s="73"/>
      <c r="D115" s="201"/>
      <c r="E115" s="202"/>
      <c r="F115" s="202"/>
      <c r="G115" s="203"/>
    </row>
    <row r="116" spans="1:7" ht="18.75" customHeight="1">
      <c r="B116" s="191"/>
      <c r="C116" s="73"/>
      <c r="D116" s="201"/>
      <c r="E116" s="202"/>
      <c r="F116" s="202"/>
      <c r="G116" s="203"/>
    </row>
    <row r="117" spans="1:7" ht="18.75" customHeight="1">
      <c r="B117" s="191"/>
      <c r="C117" s="73"/>
      <c r="D117" s="201"/>
      <c r="E117" s="202"/>
      <c r="F117" s="202"/>
      <c r="G117" s="203"/>
    </row>
    <row r="118" spans="1:7" ht="18.75" customHeight="1">
      <c r="B118" s="191"/>
      <c r="C118" s="73"/>
      <c r="D118" s="201"/>
      <c r="E118" s="202"/>
      <c r="F118" s="202"/>
      <c r="G118" s="203"/>
    </row>
    <row r="119" spans="1:7" ht="18.75" customHeight="1">
      <c r="B119" s="191"/>
      <c r="C119" s="73"/>
      <c r="D119" s="201"/>
      <c r="E119" s="202"/>
      <c r="F119" s="202"/>
      <c r="G119" s="203"/>
    </row>
    <row r="120" spans="1:7" ht="18.75" customHeight="1">
      <c r="B120" s="191"/>
      <c r="C120" s="73"/>
      <c r="D120" s="201"/>
      <c r="E120" s="202"/>
      <c r="F120" s="202"/>
      <c r="G120" s="203"/>
    </row>
    <row r="121" spans="1:7" ht="18.75" customHeight="1">
      <c r="B121" s="191"/>
      <c r="C121" s="73"/>
      <c r="D121" s="201"/>
      <c r="E121" s="202"/>
      <c r="F121" s="202"/>
      <c r="G121" s="203"/>
    </row>
    <row r="122" spans="1:7" ht="18.75" customHeight="1">
      <c r="B122" s="191"/>
      <c r="C122" s="73"/>
      <c r="D122" s="201"/>
      <c r="E122" s="202"/>
      <c r="F122" s="202"/>
      <c r="G122" s="203"/>
    </row>
    <row r="123" spans="1:7" ht="18.75" customHeight="1">
      <c r="B123" s="191"/>
      <c r="C123" s="73"/>
      <c r="D123" s="201"/>
      <c r="E123" s="202"/>
      <c r="F123" s="202"/>
      <c r="G123" s="203"/>
    </row>
    <row r="124" spans="1:7" ht="18.75" customHeight="1">
      <c r="B124" s="191"/>
      <c r="C124" s="63"/>
      <c r="D124" s="201"/>
      <c r="E124" s="202"/>
      <c r="F124" s="202"/>
      <c r="G124" s="203"/>
    </row>
    <row r="125" spans="1:7" ht="18.75" customHeight="1">
      <c r="A125" s="1" t="s">
        <v>12</v>
      </c>
      <c r="B125" s="1" t="s">
        <v>97</v>
      </c>
    </row>
    <row r="126" spans="1:7" ht="22.5" customHeight="1">
      <c r="B126" s="63" t="s">
        <v>67</v>
      </c>
      <c r="C126" s="187" t="s">
        <v>96</v>
      </c>
      <c r="D126" s="188"/>
      <c r="E126" s="188"/>
      <c r="F126" s="188"/>
      <c r="G126" s="189"/>
    </row>
    <row r="127" spans="1:7" ht="45" customHeight="1">
      <c r="B127" s="64" t="s">
        <v>69</v>
      </c>
      <c r="C127" s="220" t="s">
        <v>153</v>
      </c>
      <c r="D127" s="137"/>
      <c r="E127" s="137"/>
      <c r="F127" s="137"/>
      <c r="G127" s="138"/>
    </row>
    <row r="128" spans="1:7" ht="45" customHeight="1">
      <c r="B128" s="64" t="s">
        <v>70</v>
      </c>
      <c r="C128" s="217"/>
      <c r="D128" s="218"/>
      <c r="E128" s="218"/>
      <c r="F128" s="218"/>
      <c r="G128" s="219"/>
    </row>
    <row r="129" spans="1:7" ht="45" customHeight="1">
      <c r="B129" s="64" t="s">
        <v>71</v>
      </c>
      <c r="C129" s="136" t="s">
        <v>154</v>
      </c>
      <c r="D129" s="137"/>
      <c r="E129" s="137"/>
      <c r="F129" s="137"/>
      <c r="G129" s="138"/>
    </row>
    <row r="130" spans="1:7" ht="45" customHeight="1">
      <c r="B130" s="64" t="s">
        <v>72</v>
      </c>
      <c r="C130" s="217"/>
      <c r="D130" s="218"/>
      <c r="E130" s="218"/>
      <c r="F130" s="218"/>
      <c r="G130" s="219"/>
    </row>
    <row r="131" spans="1:7" ht="45" customHeight="1">
      <c r="B131" s="64" t="s">
        <v>73</v>
      </c>
      <c r="C131" s="217"/>
      <c r="D131" s="218"/>
      <c r="E131" s="218"/>
      <c r="F131" s="218"/>
      <c r="G131" s="219"/>
    </row>
    <row r="132" spans="1:7" ht="45" customHeight="1">
      <c r="B132" s="64" t="s">
        <v>74</v>
      </c>
      <c r="C132" s="217"/>
      <c r="D132" s="218"/>
      <c r="E132" s="218"/>
      <c r="F132" s="218"/>
      <c r="G132" s="219"/>
    </row>
    <row r="133" spans="1:7" ht="45" customHeight="1">
      <c r="B133" s="64" t="s">
        <v>75</v>
      </c>
      <c r="C133" s="217"/>
      <c r="D133" s="218"/>
      <c r="E133" s="218"/>
      <c r="F133" s="218"/>
      <c r="G133" s="219"/>
    </row>
    <row r="134" spans="1:7" ht="45" customHeight="1">
      <c r="B134" s="64" t="s">
        <v>76</v>
      </c>
      <c r="C134" s="217"/>
      <c r="D134" s="218"/>
      <c r="E134" s="218"/>
      <c r="F134" s="218"/>
      <c r="G134" s="219"/>
    </row>
    <row r="135" spans="1:7" ht="45" customHeight="1">
      <c r="B135" s="64" t="s">
        <v>77</v>
      </c>
      <c r="C135" s="217"/>
      <c r="D135" s="218"/>
      <c r="E135" s="218"/>
      <c r="F135" s="218"/>
      <c r="G135" s="219"/>
    </row>
    <row r="136" spans="1:7" ht="7.5" customHeight="1"/>
    <row r="137" spans="1:7" ht="18.75" customHeight="1">
      <c r="A137" s="1" t="s">
        <v>90</v>
      </c>
      <c r="B137" s="1" t="s">
        <v>91</v>
      </c>
      <c r="E137" s="216" t="s">
        <v>195</v>
      </c>
      <c r="F137" s="137"/>
      <c r="G137" s="138"/>
    </row>
    <row r="138" spans="1:7" ht="7.5" customHeight="1"/>
    <row r="139" spans="1:7" ht="18.75" customHeight="1">
      <c r="A139" s="1" t="s">
        <v>92</v>
      </c>
      <c r="B139" s="1" t="s">
        <v>93</v>
      </c>
    </row>
    <row r="140" spans="1:7" ht="18.75" customHeight="1">
      <c r="B140" s="145" t="s">
        <v>174</v>
      </c>
      <c r="C140" s="146"/>
      <c r="D140" s="146"/>
      <c r="E140" s="146"/>
      <c r="F140" s="146"/>
      <c r="G140" s="147"/>
    </row>
    <row r="141" spans="1:7" ht="18.75" customHeight="1">
      <c r="B141" s="148"/>
      <c r="C141" s="149"/>
      <c r="D141" s="149"/>
      <c r="E141" s="149"/>
      <c r="F141" s="149"/>
      <c r="G141" s="150"/>
    </row>
    <row r="142" spans="1:7" ht="18.75" customHeight="1">
      <c r="B142" s="151"/>
      <c r="C142" s="152"/>
      <c r="D142" s="152"/>
      <c r="E142" s="152"/>
      <c r="F142" s="152"/>
      <c r="G142" s="153"/>
    </row>
    <row r="143" spans="1:7" ht="18.75" customHeight="1"/>
    <row r="144" spans="1:7" ht="18.75" customHeight="1"/>
    <row r="145" ht="18.75" customHeight="1"/>
    <row r="146" ht="18.75" customHeight="1"/>
    <row r="147" ht="18.75" customHeight="1"/>
    <row r="148" ht="18.75" customHeight="1"/>
  </sheetData>
  <mergeCells count="119">
    <mergeCell ref="D96:G96"/>
    <mergeCell ref="D123:G123"/>
    <mergeCell ref="D119:G119"/>
    <mergeCell ref="D122:G122"/>
    <mergeCell ref="D115:G115"/>
    <mergeCell ref="D116:G116"/>
    <mergeCell ref="D117:G117"/>
    <mergeCell ref="D118:G118"/>
    <mergeCell ref="D107:G107"/>
    <mergeCell ref="D108:G108"/>
    <mergeCell ref="D109:G109"/>
    <mergeCell ref="D110:G110"/>
    <mergeCell ref="D111:G111"/>
    <mergeCell ref="D112:G112"/>
    <mergeCell ref="D113:G113"/>
    <mergeCell ref="D114:G114"/>
    <mergeCell ref="D120:G120"/>
    <mergeCell ref="D121:G121"/>
    <mergeCell ref="D59:G59"/>
    <mergeCell ref="D60:G60"/>
    <mergeCell ref="D61:G61"/>
    <mergeCell ref="D62:G62"/>
    <mergeCell ref="D63:G63"/>
    <mergeCell ref="D64:G64"/>
    <mergeCell ref="D72:G72"/>
    <mergeCell ref="D71:G71"/>
    <mergeCell ref="D98:G98"/>
    <mergeCell ref="D94:G94"/>
    <mergeCell ref="D95:G95"/>
    <mergeCell ref="D90:G90"/>
    <mergeCell ref="D91:G91"/>
    <mergeCell ref="D92:G92"/>
    <mergeCell ref="D93:G93"/>
    <mergeCell ref="D82:G82"/>
    <mergeCell ref="D83:G83"/>
    <mergeCell ref="D84:G84"/>
    <mergeCell ref="D85:G85"/>
    <mergeCell ref="D86:G86"/>
    <mergeCell ref="D87:G87"/>
    <mergeCell ref="D88:G88"/>
    <mergeCell ref="D89:G89"/>
    <mergeCell ref="D97:G97"/>
    <mergeCell ref="A3:G3"/>
    <mergeCell ref="C5:G5"/>
    <mergeCell ref="C6:G9"/>
    <mergeCell ref="B140:G142"/>
    <mergeCell ref="E137:G137"/>
    <mergeCell ref="C126:G126"/>
    <mergeCell ref="C132:G132"/>
    <mergeCell ref="C133:G133"/>
    <mergeCell ref="C134:G134"/>
    <mergeCell ref="C135:G135"/>
    <mergeCell ref="C127:G127"/>
    <mergeCell ref="B6:B24"/>
    <mergeCell ref="C128:G128"/>
    <mergeCell ref="C129:G129"/>
    <mergeCell ref="C130:G130"/>
    <mergeCell ref="C131:G131"/>
    <mergeCell ref="D33:G33"/>
    <mergeCell ref="D34:G34"/>
    <mergeCell ref="D35:G35"/>
    <mergeCell ref="D36:G36"/>
    <mergeCell ref="D37:G37"/>
    <mergeCell ref="D38:G38"/>
    <mergeCell ref="D39:G39"/>
    <mergeCell ref="D40:G40"/>
    <mergeCell ref="B25:B49"/>
    <mergeCell ref="C25:G25"/>
    <mergeCell ref="C26:G30"/>
    <mergeCell ref="D31:G31"/>
    <mergeCell ref="D32:G32"/>
    <mergeCell ref="D41:G41"/>
    <mergeCell ref="D42:G42"/>
    <mergeCell ref="D43:G43"/>
    <mergeCell ref="D44:G44"/>
    <mergeCell ref="D45:G45"/>
    <mergeCell ref="D46:G46"/>
    <mergeCell ref="D47:G47"/>
    <mergeCell ref="D48:G48"/>
    <mergeCell ref="D49:G49"/>
    <mergeCell ref="B50:B74"/>
    <mergeCell ref="C50:G50"/>
    <mergeCell ref="C51:G55"/>
    <mergeCell ref="B75:B99"/>
    <mergeCell ref="C75:G75"/>
    <mergeCell ref="C76:G80"/>
    <mergeCell ref="D81:G81"/>
    <mergeCell ref="D99:G99"/>
    <mergeCell ref="B100:B124"/>
    <mergeCell ref="C100:G100"/>
    <mergeCell ref="C101:G105"/>
    <mergeCell ref="D106:G106"/>
    <mergeCell ref="D124:G124"/>
    <mergeCell ref="D56:G56"/>
    <mergeCell ref="D73:G73"/>
    <mergeCell ref="D74:G74"/>
    <mergeCell ref="D69:G69"/>
    <mergeCell ref="D70:G70"/>
    <mergeCell ref="D65:G65"/>
    <mergeCell ref="D66:G66"/>
    <mergeCell ref="D67:G67"/>
    <mergeCell ref="D68:G68"/>
    <mergeCell ref="D57:G57"/>
    <mergeCell ref="D58:G58"/>
    <mergeCell ref="D10:G10"/>
    <mergeCell ref="D11:G11"/>
    <mergeCell ref="D12:G12"/>
    <mergeCell ref="D13:G13"/>
    <mergeCell ref="D14:G14"/>
    <mergeCell ref="D24:G24"/>
    <mergeCell ref="D23:G23"/>
    <mergeCell ref="D17:G17"/>
    <mergeCell ref="D18:G18"/>
    <mergeCell ref="D15:G15"/>
    <mergeCell ref="D16:G16"/>
    <mergeCell ref="D22:G22"/>
    <mergeCell ref="D19:G19"/>
    <mergeCell ref="D20:G20"/>
    <mergeCell ref="D21:G21"/>
  </mergeCells>
  <phoneticPr fontId="1"/>
  <hyperlinks>
    <hyperlink ref="E137" r:id="rId1"/>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9"/>
  <sheetViews>
    <sheetView showZeros="0" zoomScaleNormal="100" workbookViewId="0"/>
  </sheetViews>
  <sheetFormatPr defaultColWidth="11.375" defaultRowHeight="18.75" customHeight="1"/>
  <cols>
    <col min="1" max="1" width="2.75" style="2" customWidth="1"/>
    <col min="2" max="2" width="54.25" style="1" customWidth="1"/>
    <col min="3" max="3" width="1.25" style="1" customWidth="1"/>
    <col min="4" max="4" width="22.5" style="1" customWidth="1"/>
    <col min="5" max="5" width="6.25" style="1" customWidth="1"/>
    <col min="6" max="16384" width="11.375" style="1"/>
  </cols>
  <sheetData>
    <row r="1" spans="1:5" ht="18.75" customHeight="1">
      <c r="E1" s="48" t="s">
        <v>98</v>
      </c>
    </row>
    <row r="2" spans="1:5" ht="18.75" customHeight="1">
      <c r="B2" s="48" t="s">
        <v>81</v>
      </c>
      <c r="C2" s="48" t="s">
        <v>8</v>
      </c>
      <c r="D2" s="239" t="s">
        <v>129</v>
      </c>
      <c r="E2" s="239"/>
    </row>
    <row r="3" spans="1:5" ht="7.5" customHeight="1">
      <c r="B3" s="48"/>
      <c r="C3" s="48"/>
      <c r="D3" s="49"/>
      <c r="E3" s="49"/>
    </row>
    <row r="4" spans="1:5" ht="18.75" customHeight="1">
      <c r="B4" s="182" t="s">
        <v>78</v>
      </c>
      <c r="C4" s="182"/>
      <c r="D4" s="182"/>
      <c r="E4" s="182"/>
    </row>
    <row r="5" spans="1:5" ht="7.5" customHeight="1">
      <c r="B5" s="50"/>
      <c r="C5" s="50"/>
      <c r="D5" s="50"/>
      <c r="E5" s="50"/>
    </row>
    <row r="6" spans="1:5" ht="18.75" customHeight="1">
      <c r="A6" s="14" t="s">
        <v>7</v>
      </c>
      <c r="B6" s="5" t="s">
        <v>89</v>
      </c>
      <c r="C6" s="54"/>
      <c r="D6" s="54"/>
      <c r="E6" s="54"/>
    </row>
    <row r="7" spans="1:5" ht="18.75" customHeight="1">
      <c r="A7" s="14"/>
      <c r="B7" s="136" t="s">
        <v>215</v>
      </c>
      <c r="C7" s="137"/>
      <c r="D7" s="137"/>
      <c r="E7" s="138"/>
    </row>
    <row r="8" spans="1:5" ht="7.5" customHeight="1">
      <c r="B8" s="116"/>
      <c r="C8" s="116"/>
      <c r="D8" s="116"/>
      <c r="E8" s="116"/>
    </row>
    <row r="9" spans="1:5" s="5" customFormat="1" ht="18.75" customHeight="1">
      <c r="A9" s="14" t="s">
        <v>12</v>
      </c>
      <c r="B9" s="14" t="s">
        <v>43</v>
      </c>
      <c r="C9" s="14"/>
      <c r="D9" s="14"/>
      <c r="E9" s="14"/>
    </row>
    <row r="10" spans="1:5" s="10" customFormat="1" ht="18.75" customHeight="1">
      <c r="A10" s="9"/>
      <c r="B10" s="240" t="s">
        <v>189</v>
      </c>
      <c r="C10" s="230"/>
      <c r="D10" s="230"/>
      <c r="E10" s="231"/>
    </row>
    <row r="11" spans="1:5" s="10" customFormat="1" ht="18.75" customHeight="1">
      <c r="A11" s="9"/>
      <c r="B11" s="232"/>
      <c r="C11" s="233"/>
      <c r="D11" s="233"/>
      <c r="E11" s="234"/>
    </row>
    <row r="12" spans="1:5" s="10" customFormat="1" ht="18.75" customHeight="1">
      <c r="A12" s="9"/>
      <c r="B12" s="232"/>
      <c r="C12" s="233"/>
      <c r="D12" s="233"/>
      <c r="E12" s="234"/>
    </row>
    <row r="13" spans="1:5" s="10" customFormat="1" ht="18.75" customHeight="1">
      <c r="A13" s="9"/>
      <c r="B13" s="232"/>
      <c r="C13" s="233"/>
      <c r="D13" s="233"/>
      <c r="E13" s="234"/>
    </row>
    <row r="14" spans="1:5" s="10" customFormat="1" ht="18.75" customHeight="1">
      <c r="A14" s="9"/>
      <c r="B14" s="235"/>
      <c r="C14" s="236"/>
      <c r="D14" s="236"/>
      <c r="E14" s="237"/>
    </row>
    <row r="15" spans="1:5" s="10" customFormat="1" ht="7.5" customHeight="1">
      <c r="A15" s="9"/>
      <c r="B15" s="9"/>
      <c r="C15" s="9"/>
      <c r="D15" s="9"/>
      <c r="E15" s="9"/>
    </row>
    <row r="16" spans="1:5" s="5" customFormat="1" ht="18.75" customHeight="1">
      <c r="A16" s="11" t="s">
        <v>13</v>
      </c>
      <c r="B16" s="11" t="s">
        <v>18</v>
      </c>
      <c r="C16" s="11"/>
      <c r="D16" s="11"/>
      <c r="E16" s="11"/>
    </row>
    <row r="17" spans="1:5" s="10" customFormat="1" ht="18.75" customHeight="1">
      <c r="A17" s="9"/>
      <c r="B17" s="240" t="s">
        <v>210</v>
      </c>
      <c r="C17" s="241"/>
      <c r="D17" s="241"/>
      <c r="E17" s="242"/>
    </row>
    <row r="18" spans="1:5" s="10" customFormat="1" ht="18.75" customHeight="1">
      <c r="A18" s="9"/>
      <c r="B18" s="243"/>
      <c r="C18" s="244"/>
      <c r="D18" s="244"/>
      <c r="E18" s="245"/>
    </row>
    <row r="19" spans="1:5" s="10" customFormat="1" ht="18.75" customHeight="1">
      <c r="A19" s="9"/>
      <c r="B19" s="243"/>
      <c r="C19" s="244"/>
      <c r="D19" s="244"/>
      <c r="E19" s="245"/>
    </row>
    <row r="20" spans="1:5" s="10" customFormat="1" ht="18.75" customHeight="1">
      <c r="A20" s="9"/>
      <c r="B20" s="243"/>
      <c r="C20" s="244"/>
      <c r="D20" s="244"/>
      <c r="E20" s="245"/>
    </row>
    <row r="21" spans="1:5" s="10" customFormat="1" ht="18.75" customHeight="1">
      <c r="A21" s="9"/>
      <c r="B21" s="243"/>
      <c r="C21" s="244"/>
      <c r="D21" s="244"/>
      <c r="E21" s="245"/>
    </row>
    <row r="22" spans="1:5" s="10" customFormat="1" ht="18.75" customHeight="1">
      <c r="A22" s="9"/>
      <c r="B22" s="243"/>
      <c r="C22" s="244"/>
      <c r="D22" s="244"/>
      <c r="E22" s="245"/>
    </row>
    <row r="23" spans="1:5" s="10" customFormat="1" ht="9.75" customHeight="1">
      <c r="A23" s="9"/>
      <c r="B23" s="243"/>
      <c r="C23" s="244"/>
      <c r="D23" s="244"/>
      <c r="E23" s="245"/>
    </row>
    <row r="24" spans="1:5" s="10" customFormat="1" ht="6" customHeight="1">
      <c r="A24" s="9"/>
      <c r="B24" s="243"/>
      <c r="C24" s="244"/>
      <c r="D24" s="244"/>
      <c r="E24" s="245"/>
    </row>
    <row r="25" spans="1:5" s="10" customFormat="1" ht="18.75" customHeight="1">
      <c r="A25" s="9"/>
      <c r="B25" s="246"/>
      <c r="C25" s="247"/>
      <c r="D25" s="247"/>
      <c r="E25" s="248"/>
    </row>
    <row r="26" spans="1:5" ht="15" customHeight="1">
      <c r="A26" s="8"/>
      <c r="B26" s="8"/>
      <c r="C26" s="8"/>
      <c r="D26" s="8"/>
      <c r="E26" s="8"/>
    </row>
    <row r="27" spans="1:5" s="5" customFormat="1" ht="18.75" customHeight="1">
      <c r="A27" s="14" t="s">
        <v>16</v>
      </c>
      <c r="B27" s="14" t="s">
        <v>28</v>
      </c>
      <c r="C27" s="14"/>
      <c r="D27" s="14"/>
      <c r="E27" s="14"/>
    </row>
    <row r="28" spans="1:5" s="5" customFormat="1" ht="18.75" customHeight="1">
      <c r="A28" s="14"/>
      <c r="B28" s="221" t="s">
        <v>216</v>
      </c>
      <c r="C28" s="230"/>
      <c r="D28" s="230"/>
      <c r="E28" s="231"/>
    </row>
    <row r="29" spans="1:5" s="5" customFormat="1" ht="18.75" customHeight="1">
      <c r="A29" s="14"/>
      <c r="B29" s="232"/>
      <c r="C29" s="233"/>
      <c r="D29" s="233"/>
      <c r="E29" s="234"/>
    </row>
    <row r="30" spans="1:5" s="5" customFormat="1" ht="18.75" customHeight="1">
      <c r="A30" s="14"/>
      <c r="B30" s="232"/>
      <c r="C30" s="233"/>
      <c r="D30" s="233"/>
      <c r="E30" s="234"/>
    </row>
    <row r="31" spans="1:5" s="5" customFormat="1" ht="18.75" customHeight="1">
      <c r="A31" s="14"/>
      <c r="B31" s="232"/>
      <c r="C31" s="233"/>
      <c r="D31" s="233"/>
      <c r="E31" s="234"/>
    </row>
    <row r="32" spans="1:5" s="5" customFormat="1" ht="18.75" customHeight="1">
      <c r="A32" s="14"/>
      <c r="B32" s="232"/>
      <c r="C32" s="233"/>
      <c r="D32" s="233"/>
      <c r="E32" s="234"/>
    </row>
    <row r="33" spans="1:5" s="5" customFormat="1" ht="18.75" customHeight="1">
      <c r="A33" s="14"/>
      <c r="B33" s="232"/>
      <c r="C33" s="233"/>
      <c r="D33" s="233"/>
      <c r="E33" s="234"/>
    </row>
    <row r="34" spans="1:5" s="5" customFormat="1" ht="18.75" customHeight="1">
      <c r="A34" s="14"/>
      <c r="B34" s="232"/>
      <c r="C34" s="233"/>
      <c r="D34" s="233"/>
      <c r="E34" s="234"/>
    </row>
    <row r="35" spans="1:5" s="5" customFormat="1" ht="18.75" customHeight="1">
      <c r="A35" s="14"/>
      <c r="B35" s="232"/>
      <c r="C35" s="233"/>
      <c r="D35" s="233"/>
      <c r="E35" s="234"/>
    </row>
    <row r="36" spans="1:5" s="5" customFormat="1" ht="18.75" customHeight="1">
      <c r="A36" s="14"/>
      <c r="B36" s="232"/>
      <c r="C36" s="233"/>
      <c r="D36" s="233"/>
      <c r="E36" s="234"/>
    </row>
    <row r="37" spans="1:5" s="5" customFormat="1" ht="18.75" customHeight="1">
      <c r="A37" s="14"/>
      <c r="B37" s="232"/>
      <c r="C37" s="233"/>
      <c r="D37" s="233"/>
      <c r="E37" s="234"/>
    </row>
    <row r="38" spans="1:5" s="5" customFormat="1" ht="18.75" customHeight="1">
      <c r="A38" s="14"/>
      <c r="B38" s="232"/>
      <c r="C38" s="233"/>
      <c r="D38" s="233"/>
      <c r="E38" s="234"/>
    </row>
    <row r="39" spans="1:5" s="5" customFormat="1" ht="18.75" customHeight="1">
      <c r="A39" s="14"/>
      <c r="B39" s="232"/>
      <c r="C39" s="233"/>
      <c r="D39" s="233"/>
      <c r="E39" s="234"/>
    </row>
    <row r="40" spans="1:5" s="5" customFormat="1" ht="18.75" customHeight="1">
      <c r="A40" s="14"/>
      <c r="B40" s="232"/>
      <c r="C40" s="233"/>
      <c r="D40" s="233"/>
      <c r="E40" s="234"/>
    </row>
    <row r="41" spans="1:5" s="5" customFormat="1" ht="18.75" customHeight="1">
      <c r="A41" s="14"/>
      <c r="B41" s="232"/>
      <c r="C41" s="233"/>
      <c r="D41" s="233"/>
      <c r="E41" s="234"/>
    </row>
    <row r="42" spans="1:5" ht="18.75" customHeight="1">
      <c r="A42" s="8"/>
      <c r="B42" s="232"/>
      <c r="C42" s="233"/>
      <c r="D42" s="233"/>
      <c r="E42" s="234"/>
    </row>
    <row r="43" spans="1:5" ht="60" customHeight="1">
      <c r="A43" s="8"/>
      <c r="B43" s="235"/>
      <c r="C43" s="236"/>
      <c r="D43" s="236"/>
      <c r="E43" s="237"/>
    </row>
    <row r="44" spans="1:5" s="5" customFormat="1" ht="18.75" customHeight="1">
      <c r="A44" s="7" t="s">
        <v>14</v>
      </c>
      <c r="B44" s="14" t="s">
        <v>79</v>
      </c>
      <c r="C44" s="7"/>
      <c r="D44" s="7"/>
      <c r="E44" s="7"/>
    </row>
    <row r="45" spans="1:5" ht="18.75" customHeight="1">
      <c r="A45" s="8"/>
      <c r="B45" s="221" t="s">
        <v>198</v>
      </c>
      <c r="C45" s="241"/>
      <c r="D45" s="241"/>
      <c r="E45" s="242"/>
    </row>
    <row r="46" spans="1:5" ht="18.75" customHeight="1">
      <c r="A46" s="8"/>
      <c r="B46" s="243"/>
      <c r="C46" s="244"/>
      <c r="D46" s="244"/>
      <c r="E46" s="245"/>
    </row>
    <row r="47" spans="1:5" ht="18.75" customHeight="1">
      <c r="A47" s="8"/>
      <c r="B47" s="243"/>
      <c r="C47" s="244"/>
      <c r="D47" s="244"/>
      <c r="E47" s="245"/>
    </row>
    <row r="48" spans="1:5" ht="18.75" customHeight="1">
      <c r="A48" s="8"/>
      <c r="B48" s="243"/>
      <c r="C48" s="244"/>
      <c r="D48" s="244"/>
      <c r="E48" s="245"/>
    </row>
    <row r="49" spans="1:5" ht="18.75" customHeight="1">
      <c r="A49" s="8"/>
      <c r="B49" s="243"/>
      <c r="C49" s="244"/>
      <c r="D49" s="244"/>
      <c r="E49" s="245"/>
    </row>
    <row r="50" spans="1:5" ht="18.75" customHeight="1">
      <c r="A50" s="8"/>
      <c r="B50" s="246"/>
      <c r="C50" s="247"/>
      <c r="D50" s="247"/>
      <c r="E50" s="248"/>
    </row>
    <row r="51" spans="1:5" ht="7.5" customHeight="1">
      <c r="A51" s="8"/>
      <c r="B51" s="8"/>
      <c r="C51" s="8"/>
      <c r="D51" s="8"/>
      <c r="E51" s="8"/>
    </row>
    <row r="52" spans="1:5" s="5" customFormat="1" ht="18.75" customHeight="1">
      <c r="A52" s="14" t="s">
        <v>17</v>
      </c>
      <c r="B52" s="14" t="s">
        <v>88</v>
      </c>
      <c r="C52" s="14"/>
      <c r="D52" s="14"/>
      <c r="E52" s="14"/>
    </row>
    <row r="53" spans="1:5" s="5" customFormat="1" ht="18.75" customHeight="1">
      <c r="A53" s="14"/>
      <c r="B53" s="221" t="s">
        <v>201</v>
      </c>
      <c r="C53" s="230"/>
      <c r="D53" s="230"/>
      <c r="E53" s="231"/>
    </row>
    <row r="54" spans="1:5" s="5" customFormat="1" ht="18.75" customHeight="1">
      <c r="A54" s="14"/>
      <c r="B54" s="232"/>
      <c r="C54" s="233"/>
      <c r="D54" s="233"/>
      <c r="E54" s="234"/>
    </row>
    <row r="55" spans="1:5" s="5" customFormat="1" ht="18.75" customHeight="1">
      <c r="A55" s="14"/>
      <c r="B55" s="232"/>
      <c r="C55" s="233"/>
      <c r="D55" s="233"/>
      <c r="E55" s="234"/>
    </row>
    <row r="56" spans="1:5" s="5" customFormat="1" ht="18.75" customHeight="1">
      <c r="A56" s="14"/>
      <c r="B56" s="232"/>
      <c r="C56" s="233"/>
      <c r="D56" s="233"/>
      <c r="E56" s="234"/>
    </row>
    <row r="57" spans="1:5" s="5" customFormat="1" ht="18.75" customHeight="1">
      <c r="A57" s="14"/>
      <c r="B57" s="232"/>
      <c r="C57" s="233"/>
      <c r="D57" s="233"/>
      <c r="E57" s="234"/>
    </row>
    <row r="58" spans="1:5" s="5" customFormat="1" ht="18.75" customHeight="1">
      <c r="A58" s="14"/>
      <c r="B58" s="232"/>
      <c r="C58" s="233"/>
      <c r="D58" s="233"/>
      <c r="E58" s="234"/>
    </row>
    <row r="59" spans="1:5" s="5" customFormat="1" ht="18.75" customHeight="1">
      <c r="A59" s="14"/>
      <c r="B59" s="232"/>
      <c r="C59" s="233"/>
      <c r="D59" s="233"/>
      <c r="E59" s="234"/>
    </row>
    <row r="60" spans="1:5" s="5" customFormat="1" ht="18.75" customHeight="1">
      <c r="A60" s="14"/>
      <c r="B60" s="232"/>
      <c r="C60" s="233"/>
      <c r="D60" s="233"/>
      <c r="E60" s="234"/>
    </row>
    <row r="61" spans="1:5" s="5" customFormat="1" ht="18.75" customHeight="1">
      <c r="A61" s="14"/>
      <c r="B61" s="232"/>
      <c r="C61" s="233"/>
      <c r="D61" s="233"/>
      <c r="E61" s="234"/>
    </row>
    <row r="62" spans="1:5" s="5" customFormat="1" ht="18.75" customHeight="1">
      <c r="A62" s="14"/>
      <c r="B62" s="232"/>
      <c r="C62" s="233"/>
      <c r="D62" s="233"/>
      <c r="E62" s="234"/>
    </row>
    <row r="63" spans="1:5" ht="33.75" customHeight="1">
      <c r="A63" s="8"/>
      <c r="B63" s="235"/>
      <c r="C63" s="236"/>
      <c r="D63" s="236"/>
      <c r="E63" s="237"/>
    </row>
    <row r="64" spans="1:5" ht="7.5" customHeight="1">
      <c r="A64" s="8"/>
      <c r="B64" s="8"/>
      <c r="C64" s="8"/>
      <c r="D64" s="8"/>
      <c r="E64" s="8"/>
    </row>
    <row r="65" spans="1:5" s="5" customFormat="1" ht="18.75" customHeight="1">
      <c r="A65" s="14" t="s">
        <v>15</v>
      </c>
      <c r="B65" s="14" t="s">
        <v>31</v>
      </c>
      <c r="C65" s="14"/>
      <c r="D65" s="14"/>
      <c r="E65" s="14"/>
    </row>
    <row r="66" spans="1:5" s="5" customFormat="1" ht="18.75" customHeight="1">
      <c r="A66" s="14"/>
      <c r="B66" s="221" t="s">
        <v>126</v>
      </c>
      <c r="C66" s="230"/>
      <c r="D66" s="230"/>
      <c r="E66" s="231"/>
    </row>
    <row r="67" spans="1:5" s="5" customFormat="1" ht="18.75" customHeight="1">
      <c r="A67" s="14"/>
      <c r="B67" s="232"/>
      <c r="C67" s="233"/>
      <c r="D67" s="233"/>
      <c r="E67" s="234"/>
    </row>
    <row r="68" spans="1:5" s="5" customFormat="1" ht="18.75" customHeight="1">
      <c r="A68" s="14"/>
      <c r="B68" s="232"/>
      <c r="C68" s="233"/>
      <c r="D68" s="233"/>
      <c r="E68" s="234"/>
    </row>
    <row r="69" spans="1:5" s="5" customFormat="1" ht="18.75" customHeight="1">
      <c r="A69" s="14"/>
      <c r="B69" s="232"/>
      <c r="C69" s="233"/>
      <c r="D69" s="233"/>
      <c r="E69" s="234"/>
    </row>
    <row r="70" spans="1:5" s="5" customFormat="1" ht="18.75" customHeight="1">
      <c r="A70" s="14"/>
      <c r="B70" s="232"/>
      <c r="C70" s="233"/>
      <c r="D70" s="233"/>
      <c r="E70" s="234"/>
    </row>
    <row r="71" spans="1:5" s="5" customFormat="1" ht="18.75" customHeight="1">
      <c r="A71" s="14"/>
      <c r="B71" s="232"/>
      <c r="C71" s="233"/>
      <c r="D71" s="233"/>
      <c r="E71" s="234"/>
    </row>
    <row r="72" spans="1:5" s="5" customFormat="1" ht="18.75" customHeight="1">
      <c r="A72" s="14"/>
      <c r="B72" s="232"/>
      <c r="C72" s="233"/>
      <c r="D72" s="233"/>
      <c r="E72" s="234"/>
    </row>
    <row r="73" spans="1:5" ht="18.75" customHeight="1">
      <c r="A73" s="8"/>
      <c r="B73" s="235"/>
      <c r="C73" s="236"/>
      <c r="D73" s="236"/>
      <c r="E73" s="237"/>
    </row>
    <row r="74" spans="1:5" ht="7.5" customHeight="1">
      <c r="A74" s="8"/>
      <c r="B74" s="8"/>
      <c r="C74" s="8"/>
      <c r="D74" s="8"/>
      <c r="E74" s="8"/>
    </row>
    <row r="75" spans="1:5" s="5" customFormat="1" ht="18.75" customHeight="1">
      <c r="A75" s="14" t="s">
        <v>57</v>
      </c>
      <c r="B75" s="238" t="s">
        <v>124</v>
      </c>
      <c r="C75" s="238"/>
      <c r="D75" s="238"/>
      <c r="E75" s="238"/>
    </row>
    <row r="76" spans="1:5" ht="18.75" customHeight="1">
      <c r="A76" s="8"/>
      <c r="B76" s="221" t="s">
        <v>211</v>
      </c>
      <c r="C76" s="222"/>
      <c r="D76" s="222"/>
      <c r="E76" s="223"/>
    </row>
    <row r="77" spans="1:5" ht="18.75" customHeight="1">
      <c r="A77" s="8"/>
      <c r="B77" s="224"/>
      <c r="C77" s="225"/>
      <c r="D77" s="225"/>
      <c r="E77" s="226"/>
    </row>
    <row r="78" spans="1:5" ht="18.75" customHeight="1">
      <c r="A78" s="8"/>
      <c r="B78" s="224"/>
      <c r="C78" s="225"/>
      <c r="D78" s="225"/>
      <c r="E78" s="226"/>
    </row>
    <row r="79" spans="1:5" ht="18.75" customHeight="1">
      <c r="A79" s="8"/>
      <c r="B79" s="224"/>
      <c r="C79" s="225"/>
      <c r="D79" s="225"/>
      <c r="E79" s="226"/>
    </row>
    <row r="80" spans="1:5" ht="18.75" customHeight="1">
      <c r="A80" s="8"/>
      <c r="B80" s="224"/>
      <c r="C80" s="225"/>
      <c r="D80" s="225"/>
      <c r="E80" s="226"/>
    </row>
    <row r="81" spans="1:5" ht="18.75" customHeight="1">
      <c r="A81" s="8"/>
      <c r="B81" s="224"/>
      <c r="C81" s="225"/>
      <c r="D81" s="225"/>
      <c r="E81" s="226"/>
    </row>
    <row r="82" spans="1:5" ht="18.75" customHeight="1">
      <c r="A82" s="8"/>
      <c r="B82" s="224"/>
      <c r="C82" s="225"/>
      <c r="D82" s="225"/>
      <c r="E82" s="226"/>
    </row>
    <row r="83" spans="1:5" ht="18.75" customHeight="1">
      <c r="A83" s="8"/>
      <c r="B83" s="224"/>
      <c r="C83" s="225"/>
      <c r="D83" s="225"/>
      <c r="E83" s="226"/>
    </row>
    <row r="84" spans="1:5" ht="18.75" customHeight="1">
      <c r="A84" s="8"/>
      <c r="B84" s="227"/>
      <c r="C84" s="228"/>
      <c r="D84" s="228"/>
      <c r="E84" s="229"/>
    </row>
    <row r="85" spans="1:5" ht="7.5" customHeight="1">
      <c r="A85" s="8"/>
      <c r="B85" s="12"/>
      <c r="C85" s="12"/>
      <c r="D85" s="12"/>
      <c r="E85" s="12"/>
    </row>
    <row r="86" spans="1:5" ht="18.75" customHeight="1">
      <c r="A86" s="8"/>
      <c r="B86" s="8"/>
      <c r="C86" s="8"/>
      <c r="D86" s="8"/>
      <c r="E86" s="8"/>
    </row>
    <row r="87" spans="1:5" ht="18.75" customHeight="1">
      <c r="A87" s="8"/>
      <c r="B87" s="8"/>
      <c r="C87" s="8"/>
      <c r="D87" s="8"/>
      <c r="E87" s="8"/>
    </row>
    <row r="88" spans="1:5" ht="18.75" customHeight="1">
      <c r="A88" s="8"/>
      <c r="B88" s="8"/>
      <c r="C88" s="8"/>
      <c r="D88" s="8"/>
      <c r="E88" s="8"/>
    </row>
    <row r="89" spans="1:5" ht="18.75" customHeight="1">
      <c r="A89" s="8"/>
      <c r="B89" s="8"/>
      <c r="C89" s="8"/>
      <c r="D89" s="8"/>
      <c r="E89" s="8"/>
    </row>
    <row r="90" spans="1:5" ht="18.75" customHeight="1">
      <c r="A90" s="8"/>
      <c r="B90" s="8"/>
      <c r="C90" s="8"/>
      <c r="D90" s="8"/>
      <c r="E90" s="8"/>
    </row>
    <row r="91" spans="1:5" ht="18.75" customHeight="1">
      <c r="A91" s="8"/>
      <c r="B91" s="8"/>
      <c r="C91" s="8"/>
      <c r="D91" s="8"/>
      <c r="E91" s="8"/>
    </row>
    <row r="92" spans="1:5" ht="18.75" customHeight="1">
      <c r="A92" s="8"/>
      <c r="B92" s="8"/>
      <c r="C92" s="8"/>
      <c r="D92" s="8"/>
      <c r="E92" s="8"/>
    </row>
    <row r="93" spans="1:5" ht="18.75" customHeight="1">
      <c r="A93" s="8"/>
      <c r="B93" s="8"/>
      <c r="C93" s="8"/>
      <c r="D93" s="8"/>
      <c r="E93" s="8"/>
    </row>
    <row r="94" spans="1:5" ht="18.75" customHeight="1">
      <c r="A94" s="8"/>
      <c r="B94" s="8"/>
      <c r="C94" s="8"/>
      <c r="D94" s="8"/>
      <c r="E94" s="8"/>
    </row>
    <row r="95" spans="1:5" ht="18.75" customHeight="1">
      <c r="A95" s="8"/>
      <c r="B95" s="8"/>
      <c r="C95" s="8"/>
      <c r="D95" s="8"/>
      <c r="E95" s="8"/>
    </row>
    <row r="96" spans="1:5" ht="18.75" customHeight="1">
      <c r="A96" s="8"/>
      <c r="B96" s="8"/>
      <c r="C96" s="8"/>
      <c r="D96" s="8"/>
      <c r="E96" s="8"/>
    </row>
    <row r="97" spans="1:5" ht="18.75" customHeight="1">
      <c r="A97" s="8"/>
      <c r="B97" s="8"/>
      <c r="C97" s="8"/>
      <c r="D97" s="8"/>
      <c r="E97" s="8"/>
    </row>
    <row r="98" spans="1:5" ht="14.25">
      <c r="A98" s="8"/>
      <c r="B98" s="8"/>
      <c r="C98" s="8"/>
      <c r="D98" s="8"/>
      <c r="E98" s="8"/>
    </row>
    <row r="99" spans="1:5" ht="7.5" customHeight="1">
      <c r="A99" s="4"/>
      <c r="B99" s="4"/>
      <c r="C99" s="4"/>
      <c r="D99" s="4"/>
      <c r="E99" s="4"/>
    </row>
  </sheetData>
  <mergeCells count="11">
    <mergeCell ref="B76:E84"/>
    <mergeCell ref="B53:E63"/>
    <mergeCell ref="B66:E73"/>
    <mergeCell ref="B75:E75"/>
    <mergeCell ref="D2:E2"/>
    <mergeCell ref="B4:E4"/>
    <mergeCell ref="B10:E14"/>
    <mergeCell ref="B17:E25"/>
    <mergeCell ref="B28:E43"/>
    <mergeCell ref="B45:E50"/>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showZeros="0" zoomScaleNormal="100" workbookViewId="0"/>
  </sheetViews>
  <sheetFormatPr defaultColWidth="11.375" defaultRowHeight="22.5" customHeight="1"/>
  <cols>
    <col min="1" max="3" width="2.5" style="1" customWidth="1"/>
    <col min="4" max="4" width="22.5" style="1" customWidth="1"/>
    <col min="5" max="5" width="21.25" style="1" customWidth="1"/>
    <col min="6" max="7" width="7.5" style="1" customWidth="1"/>
    <col min="8" max="8" width="32.5" style="1" customWidth="1"/>
    <col min="9" max="9" width="24.875" style="1" customWidth="1"/>
    <col min="10" max="10" width="6.25" style="1" customWidth="1"/>
    <col min="11" max="11" width="4.125" style="1" customWidth="1"/>
    <col min="12" max="16384" width="11.375" style="1"/>
  </cols>
  <sheetData>
    <row r="1" spans="1:10" ht="18.75" customHeight="1">
      <c r="J1" s="106" t="s">
        <v>9</v>
      </c>
    </row>
    <row r="2" spans="1:10" ht="18.75" customHeight="1">
      <c r="D2" s="106"/>
      <c r="H2" s="106" t="s">
        <v>29</v>
      </c>
      <c r="I2" s="239" t="s">
        <v>128</v>
      </c>
      <c r="J2" s="239"/>
    </row>
    <row r="3" spans="1:10" ht="18.75" customHeight="1">
      <c r="A3" s="182" t="s">
        <v>47</v>
      </c>
      <c r="B3" s="182"/>
      <c r="C3" s="182"/>
      <c r="D3" s="182"/>
      <c r="E3" s="182"/>
      <c r="F3" s="182"/>
      <c r="G3" s="182"/>
      <c r="H3" s="182"/>
      <c r="I3" s="182"/>
      <c r="J3" s="182"/>
    </row>
    <row r="4" spans="1:10" ht="7.5" customHeight="1">
      <c r="B4" s="107"/>
      <c r="C4" s="107"/>
      <c r="D4" s="257"/>
      <c r="E4" s="258"/>
      <c r="F4" s="258"/>
      <c r="G4" s="258"/>
      <c r="H4" s="258"/>
      <c r="I4" s="258"/>
      <c r="J4" s="258"/>
    </row>
    <row r="5" spans="1:10" ht="18.75" customHeight="1">
      <c r="A5" s="1" t="s">
        <v>7</v>
      </c>
      <c r="B5" s="5" t="s">
        <v>45</v>
      </c>
      <c r="C5" s="107"/>
      <c r="D5" s="107"/>
      <c r="E5" s="108"/>
      <c r="F5" s="108"/>
      <c r="G5" s="108"/>
      <c r="H5" s="108"/>
      <c r="I5" s="108"/>
      <c r="J5" s="108"/>
    </row>
    <row r="6" spans="1:10" ht="18.75" customHeight="1">
      <c r="B6" s="187" t="s">
        <v>42</v>
      </c>
      <c r="C6" s="188"/>
      <c r="D6" s="189"/>
      <c r="E6" s="259" t="s">
        <v>44</v>
      </c>
      <c r="F6" s="259"/>
      <c r="G6" s="259"/>
      <c r="H6" s="259"/>
      <c r="I6" s="259"/>
      <c r="J6" s="260"/>
    </row>
    <row r="7" spans="1:10" ht="18.75" customHeight="1">
      <c r="B7" s="6" t="s">
        <v>32</v>
      </c>
      <c r="C7" s="8"/>
      <c r="D7" s="18"/>
      <c r="E7" s="3"/>
      <c r="F7" s="3"/>
      <c r="G7" s="3"/>
      <c r="H7" s="3"/>
      <c r="I7" s="15"/>
      <c r="J7" s="16"/>
    </row>
    <row r="8" spans="1:10" ht="73.5" customHeight="1">
      <c r="B8" s="17"/>
      <c r="C8" s="252" t="s">
        <v>33</v>
      </c>
      <c r="D8" s="253"/>
      <c r="E8" s="254" t="s">
        <v>212</v>
      </c>
      <c r="F8" s="255"/>
      <c r="G8" s="255"/>
      <c r="H8" s="255"/>
      <c r="I8" s="255"/>
      <c r="J8" s="256"/>
    </row>
    <row r="9" spans="1:10" ht="66.75" customHeight="1">
      <c r="B9" s="17"/>
      <c r="C9" s="264" t="s">
        <v>34</v>
      </c>
      <c r="D9" s="265"/>
      <c r="E9" s="254" t="s">
        <v>176</v>
      </c>
      <c r="F9" s="255"/>
      <c r="G9" s="255"/>
      <c r="H9" s="255"/>
      <c r="I9" s="255"/>
      <c r="J9" s="256"/>
    </row>
    <row r="10" spans="1:10" ht="120.75" customHeight="1">
      <c r="B10" s="17"/>
      <c r="C10" s="252" t="s">
        <v>35</v>
      </c>
      <c r="D10" s="253"/>
      <c r="E10" s="254" t="s">
        <v>202</v>
      </c>
      <c r="F10" s="255"/>
      <c r="G10" s="255"/>
      <c r="H10" s="255"/>
      <c r="I10" s="255"/>
      <c r="J10" s="256"/>
    </row>
    <row r="11" spans="1:10" ht="63" customHeight="1">
      <c r="B11" s="17"/>
      <c r="C11" s="252" t="s">
        <v>36</v>
      </c>
      <c r="D11" s="253"/>
      <c r="E11" s="254" t="s">
        <v>175</v>
      </c>
      <c r="F11" s="255"/>
      <c r="G11" s="255"/>
      <c r="H11" s="255"/>
      <c r="I11" s="255"/>
      <c r="J11" s="256"/>
    </row>
    <row r="12" spans="1:10" ht="91.5" customHeight="1">
      <c r="B12" s="17"/>
      <c r="C12" s="252" t="s">
        <v>37</v>
      </c>
      <c r="D12" s="253"/>
      <c r="E12" s="254" t="s">
        <v>203</v>
      </c>
      <c r="F12" s="255"/>
      <c r="G12" s="255"/>
      <c r="H12" s="255"/>
      <c r="I12" s="255"/>
      <c r="J12" s="256"/>
    </row>
    <row r="13" spans="1:10" ht="18.75" customHeight="1">
      <c r="B13" s="20" t="s">
        <v>38</v>
      </c>
      <c r="C13" s="51"/>
      <c r="D13" s="19"/>
      <c r="E13" s="71"/>
      <c r="F13" s="71"/>
      <c r="G13" s="71"/>
      <c r="H13" s="71"/>
      <c r="I13" s="71"/>
      <c r="J13" s="72"/>
    </row>
    <row r="14" spans="1:10" ht="75" customHeight="1">
      <c r="B14" s="17"/>
      <c r="C14" s="252" t="s">
        <v>39</v>
      </c>
      <c r="D14" s="253"/>
      <c r="E14" s="255" t="s">
        <v>205</v>
      </c>
      <c r="F14" s="255"/>
      <c r="G14" s="255"/>
      <c r="H14" s="255"/>
      <c r="I14" s="255"/>
      <c r="J14" s="256"/>
    </row>
    <row r="15" spans="1:10" ht="84" customHeight="1">
      <c r="B15" s="17"/>
      <c r="C15" s="266" t="s">
        <v>40</v>
      </c>
      <c r="D15" s="267"/>
      <c r="E15" s="268" t="s">
        <v>204</v>
      </c>
      <c r="F15" s="268"/>
      <c r="G15" s="268"/>
      <c r="H15" s="268"/>
      <c r="I15" s="268"/>
      <c r="J15" s="269"/>
    </row>
    <row r="16" spans="1:10" ht="83.25" customHeight="1">
      <c r="B16" s="270" t="s">
        <v>41</v>
      </c>
      <c r="C16" s="271"/>
      <c r="D16" s="253"/>
      <c r="E16" s="255" t="s">
        <v>127</v>
      </c>
      <c r="F16" s="255"/>
      <c r="G16" s="255"/>
      <c r="H16" s="255"/>
      <c r="I16" s="255"/>
      <c r="J16" s="256"/>
    </row>
    <row r="17" spans="1:10" ht="116.25" customHeight="1">
      <c r="A17" s="69"/>
      <c r="B17" s="261" t="s">
        <v>80</v>
      </c>
      <c r="C17" s="262"/>
      <c r="D17" s="263"/>
      <c r="E17" s="247" t="s">
        <v>206</v>
      </c>
      <c r="F17" s="247"/>
      <c r="G17" s="247"/>
      <c r="H17" s="247"/>
      <c r="I17" s="247"/>
      <c r="J17" s="248"/>
    </row>
    <row r="18" spans="1:10" ht="7.5" customHeight="1">
      <c r="B18" s="107"/>
      <c r="C18" s="107"/>
      <c r="D18" s="107"/>
      <c r="E18" s="108"/>
      <c r="F18" s="108"/>
      <c r="G18" s="108"/>
      <c r="H18" s="108"/>
      <c r="I18" s="108"/>
      <c r="J18" s="108"/>
    </row>
    <row r="19" spans="1:10" ht="18.75" customHeight="1">
      <c r="B19" s="5"/>
      <c r="C19" s="107"/>
      <c r="D19" s="107"/>
      <c r="E19" s="108"/>
      <c r="F19" s="55"/>
      <c r="G19" s="55"/>
      <c r="H19" s="79" t="s">
        <v>107</v>
      </c>
      <c r="I19" s="74"/>
      <c r="J19" s="75"/>
    </row>
    <row r="20" spans="1:10" ht="18.75" customHeight="1">
      <c r="A20" s="3" t="s">
        <v>12</v>
      </c>
      <c r="B20" s="76" t="s">
        <v>46</v>
      </c>
      <c r="C20" s="77"/>
      <c r="D20" s="77"/>
      <c r="E20" s="78"/>
      <c r="F20" s="70" t="s">
        <v>197</v>
      </c>
      <c r="G20" s="55"/>
      <c r="H20" s="249" t="s">
        <v>199</v>
      </c>
      <c r="I20" s="250"/>
      <c r="J20" s="251"/>
    </row>
    <row r="21" spans="1:10" ht="22.5" customHeight="1">
      <c r="B21" s="107"/>
      <c r="C21" s="107"/>
      <c r="D21" s="107"/>
      <c r="E21" s="108"/>
      <c r="F21" s="108"/>
      <c r="G21" s="108"/>
      <c r="H21" s="108"/>
      <c r="I21" s="108"/>
      <c r="J21" s="108"/>
    </row>
    <row r="22" spans="1:10" ht="22.5" customHeight="1">
      <c r="B22" s="107"/>
      <c r="C22" s="107"/>
      <c r="D22" s="107"/>
      <c r="E22" s="108"/>
      <c r="F22" s="108"/>
      <c r="G22" s="108"/>
      <c r="H22" s="108"/>
      <c r="I22" s="108"/>
      <c r="J22" s="108"/>
    </row>
    <row r="23" spans="1:10" ht="22.5" customHeight="1">
      <c r="B23" s="107"/>
      <c r="C23" s="107"/>
      <c r="D23" s="107"/>
      <c r="E23" s="108"/>
      <c r="F23" s="108"/>
      <c r="G23" s="108"/>
      <c r="H23" s="108"/>
      <c r="I23" s="108"/>
      <c r="J23" s="108"/>
    </row>
    <row r="24" spans="1:10" ht="22.5" customHeight="1">
      <c r="B24" s="107"/>
      <c r="C24" s="107"/>
      <c r="D24" s="107"/>
      <c r="E24" s="108"/>
      <c r="F24" s="108"/>
      <c r="G24" s="108"/>
      <c r="H24" s="108"/>
      <c r="I24" s="108"/>
      <c r="J24" s="108"/>
    </row>
    <row r="25" spans="1:10" ht="22.5" customHeight="1">
      <c r="B25" s="107"/>
      <c r="C25" s="107"/>
      <c r="D25" s="107"/>
      <c r="E25" s="108"/>
      <c r="F25" s="108"/>
      <c r="G25" s="108"/>
      <c r="H25" s="108"/>
      <c r="I25" s="108"/>
      <c r="J25" s="108"/>
    </row>
    <row r="26" spans="1:10" ht="22.5" customHeight="1">
      <c r="B26" s="13"/>
      <c r="C26" s="13"/>
      <c r="D26" s="13"/>
      <c r="E26" s="13"/>
      <c r="F26" s="13"/>
      <c r="G26" s="13"/>
      <c r="H26" s="13"/>
      <c r="I26" s="13"/>
      <c r="J26" s="13"/>
    </row>
    <row r="27" spans="1:10" ht="22.5" customHeight="1">
      <c r="B27" s="13"/>
      <c r="C27" s="13"/>
      <c r="D27" s="13"/>
      <c r="E27" s="13"/>
      <c r="F27" s="13"/>
      <c r="G27" s="13"/>
      <c r="H27" s="13"/>
      <c r="I27" s="13"/>
      <c r="J27" s="13"/>
    </row>
    <row r="28" spans="1:10" ht="22.5" customHeight="1">
      <c r="B28" s="13"/>
      <c r="C28" s="13"/>
      <c r="D28" s="13"/>
      <c r="E28" s="13"/>
      <c r="F28" s="13"/>
      <c r="G28" s="13"/>
      <c r="H28" s="13"/>
      <c r="I28" s="13"/>
      <c r="J28" s="13"/>
    </row>
  </sheetData>
  <mergeCells count="24">
    <mergeCell ref="E15:J15"/>
    <mergeCell ref="B16:D16"/>
    <mergeCell ref="E16:J16"/>
    <mergeCell ref="E9:J9"/>
    <mergeCell ref="C10:D10"/>
    <mergeCell ref="E10:J10"/>
    <mergeCell ref="C11:D11"/>
    <mergeCell ref="E11:J11"/>
    <mergeCell ref="H20:J20"/>
    <mergeCell ref="C12:D12"/>
    <mergeCell ref="E12:J12"/>
    <mergeCell ref="I2:J2"/>
    <mergeCell ref="A3:J3"/>
    <mergeCell ref="D4:J4"/>
    <mergeCell ref="B6:D6"/>
    <mergeCell ref="E6:J6"/>
    <mergeCell ref="C8:D8"/>
    <mergeCell ref="E8:J8"/>
    <mergeCell ref="E17:J17"/>
    <mergeCell ref="B17:D17"/>
    <mergeCell ref="C9:D9"/>
    <mergeCell ref="C14:D14"/>
    <mergeCell ref="E14:J14"/>
    <mergeCell ref="C15:D15"/>
  </mergeCells>
  <phoneticPr fontId="1"/>
  <dataValidations count="2">
    <dataValidation type="list" allowBlank="1" showInputMessage="1" showErrorMessage="1" sqref="F20">
      <formula1>"有,無,予定"</formula1>
    </dataValidation>
    <dataValidation type="list" allowBlank="1" showInputMessage="1" showErrorMessage="1" sqref="F19:G19">
      <formula1>#REF!</formula1>
    </dataValidation>
  </dataValidations>
  <hyperlinks>
    <hyperlink ref="H20"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5</vt:i4>
      </vt:variant>
    </vt:vector>
  </HeadingPairs>
  <TitlesOfParts>
    <vt:vector size="11" baseType="lpstr">
      <vt:lpstr>様式１　大学等概要</vt:lpstr>
      <vt:lpstr>様式２　プログラムを構成する授業科目</vt:lpstr>
      <vt:lpstr>様式３　履修者等数の実績</vt:lpstr>
      <vt:lpstr>様式4　プログラムの授業内容・概要</vt:lpstr>
      <vt:lpstr>様式５　教育の質・履修者数を向上させるための体制・計画</vt:lpstr>
      <vt:lpstr>様式６　自己点検・評価</vt:lpstr>
      <vt:lpstr>'様式１　大学等概要'!Print_Area</vt:lpstr>
      <vt:lpstr>'様式２　プログラムを構成する授業科目'!Print_Area</vt:lpstr>
      <vt:lpstr>'様式３　履修者等数の実績'!Print_Area</vt:lpstr>
      <vt:lpstr>'様式５　教育の質・履修者数を向上させるための体制・計画'!Print_Area</vt:lpstr>
      <vt:lpstr>'様式６　自己点検・評価'!Print_Area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kiis-HP</cp:lastModifiedBy>
  <cp:lastPrinted>2021-05-10T07:15:25Z</cp:lastPrinted>
  <dcterms:created xsi:type="dcterms:W3CDTF">2011-06-14T05:32:50Z</dcterms:created>
  <dcterms:modified xsi:type="dcterms:W3CDTF">2021-07-13T03:22:55Z</dcterms:modified>
</cp:coreProperties>
</file>