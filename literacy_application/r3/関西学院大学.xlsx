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11 総合企画部\60 個別課題\IBMとの連携\2021文科省数理・DS・AI教育プログラム認定制度\申請書（最終版）\"/>
    </mc:Choice>
  </mc:AlternateContent>
  <bookViews>
    <workbookView xWindow="0" yWindow="0" windowWidth="20490" windowHeight="7530" tabRatio="885" firstSheet="3" activeTab="6"/>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62913"/>
</workbook>
</file>

<file path=xl/calcChain.xml><?xml version="1.0" encoding="utf-8"?>
<calcChain xmlns="http://schemas.openxmlformats.org/spreadsheetml/2006/main">
  <c r="Q18" i="31" l="1"/>
  <c r="Q17" i="31"/>
  <c r="Q16" i="31"/>
  <c r="Q15" i="31"/>
  <c r="Q14" i="31"/>
  <c r="Q13" i="31"/>
  <c r="Q12" i="31"/>
  <c r="Q11" i="31"/>
  <c r="Q10" i="31"/>
  <c r="Q9" i="31"/>
  <c r="Q8" i="31"/>
  <c r="D17" i="31" l="1"/>
  <c r="D15" i="31"/>
  <c r="H9" i="31" l="1"/>
  <c r="D18" i="31" l="1"/>
  <c r="D16" i="31"/>
  <c r="D14" i="31"/>
  <c r="D13" i="31"/>
  <c r="D12" i="31"/>
  <c r="D11" i="31"/>
  <c r="D10" i="31"/>
  <c r="D9" i="31"/>
  <c r="D8" i="31"/>
  <c r="R20" i="31" l="1"/>
  <c r="R21" i="31"/>
  <c r="R22" i="31"/>
  <c r="R23" i="31"/>
  <c r="R24" i="31"/>
  <c r="R25" i="31"/>
  <c r="R26" i="31"/>
  <c r="R27" i="31"/>
  <c r="R16" i="31" l="1"/>
  <c r="P28" i="31" l="1"/>
  <c r="O28" i="31"/>
  <c r="N28" i="31"/>
  <c r="M28" i="31"/>
  <c r="L28" i="31"/>
  <c r="K28" i="31"/>
  <c r="J28" i="31"/>
  <c r="I28" i="31"/>
  <c r="H28" i="31"/>
  <c r="G28" i="31"/>
  <c r="F28" i="31"/>
  <c r="E28" i="31"/>
  <c r="D28" i="31"/>
  <c r="Q27" i="31"/>
  <c r="Q26" i="31"/>
  <c r="Q25" i="31"/>
  <c r="Q24" i="31"/>
  <c r="Q23" i="31"/>
  <c r="Q22" i="31"/>
  <c r="Q21" i="31"/>
  <c r="Q20" i="31"/>
  <c r="Q19" i="31"/>
  <c r="R19" i="31" s="1"/>
  <c r="R18" i="31"/>
  <c r="R17" i="31"/>
  <c r="R15" i="31"/>
  <c r="R14" i="31"/>
  <c r="R13" i="31"/>
  <c r="R12" i="31"/>
  <c r="R11" i="31"/>
  <c r="R10" i="31"/>
  <c r="R9" i="31"/>
  <c r="Q28" i="31" l="1"/>
  <c r="R28" i="31" s="1"/>
  <c r="R8" i="31"/>
</calcChain>
</file>

<file path=xl/sharedStrings.xml><?xml version="1.0" encoding="utf-8"?>
<sst xmlns="http://schemas.openxmlformats.org/spreadsheetml/2006/main" count="351" uniqueCount="239">
  <si>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</si>
  <si>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</si>
  <si>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</si>
  <si>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</si>
  <si>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</si>
  <si>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</si>
  <si>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</si>
  <si>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</si>
  <si>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</si>
  <si>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</si>
  <si>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</si>
  <si>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</si>
  <si>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</si>
  <si>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</si>
  <si>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</si>
  <si>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</si>
  <si>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</si>
  <si>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</si>
  <si>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</si>
  <si>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</si>
  <si>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</si>
  <si>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</si>
  <si>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</si>
  <si>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</si>
  <si>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</si>
  <si>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</si>
  <si>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</si>
  <si>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</si>
  <si>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</si>
  <si>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</si>
  <si>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</si>
  <si>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</si>
  <si>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</si>
  <si>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</si>
  <si>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</si>
  <si>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</si>
  <si>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</si>
  <si>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</si>
  <si>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</si>
  <si>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</si>
  <si>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</si>
  <si>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</si>
  <si>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</si>
  <si>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</si>
  <si>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</si>
  <si>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</si>
  <si>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</si>
  <si>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</si>
  <si>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</si>
  <si>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</si>
  <si>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</si>
  <si>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</si>
  <si>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</si>
  <si>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</si>
  <si>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</si>
  <si>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</si>
  <si>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</si>
  <si>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</si>
  <si>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</si>
  <si>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</si>
  <si>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</si>
  <si>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</si>
  <si>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</si>
  <si>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</si>
  <si>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</si>
  <si>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</si>
  <si>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</si>
  <si>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</si>
  <si>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</si>
  <si>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</si>
  <si>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</si>
  <si>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</si>
  <si>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</si>
  <si>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</si>
  <si>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</si>
  <si>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</si>
  <si>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</si>
  <si>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</si>
  <si>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</si>
  <si>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</si>
  <si>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</si>
  <si>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</si>
  <si>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</si>
  <si>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</si>
  <si>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</si>
  <si>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</si>
  <si>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</si>
  <si>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</si>
  <si>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</si>
  <si>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</si>
  <si>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</si>
  <si>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</si>
  <si>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</si>
  <si>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</si>
  <si>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</si>
  <si>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</si>
  <si>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</si>
  <si>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</si>
  <si>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</si>
  <si>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</si>
  <si>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</si>
  <si>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</si>
  <si>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</si>
  <si>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</si>
  <si>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</si>
  <si>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</si>
  <si>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</si>
  <si>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</si>
  <si>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</si>
  <si>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</si>
  <si>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</si>
  <si>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</si>
  <si>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</si>
  <si>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</si>
  <si>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</si>
  <si>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</si>
  <si>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</si>
  <si>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</si>
  <si>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</si>
  <si>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</si>
  <si>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</si>
  <si>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</si>
  <si>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</si>
  <si>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</si>
  <si>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</si>
  <si>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</si>
  <si>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</si>
  <si>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</si>
  <si>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</si>
  <si>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</si>
  <si>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</si>
  <si>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</si>
  <si>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</si>
  <si>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</si>
  <si>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関西学院大学</t>
    <rPh sb="0" eb="2">
      <t>カンサイ</t>
    </rPh>
    <rPh sb="2" eb="4">
      <t>ガクイン</t>
    </rPh>
    <rPh sb="4" eb="6">
      <t>ダイガク</t>
    </rPh>
    <phoneticPr fontId="1"/>
  </si>
  <si>
    <t>学校法人　関西学院</t>
    <rPh sb="0" eb="2">
      <t>ガッコウ</t>
    </rPh>
    <rPh sb="2" eb="4">
      <t>ホウジン</t>
    </rPh>
    <rPh sb="5" eb="7">
      <t>カンサイ</t>
    </rPh>
    <rPh sb="7" eb="9">
      <t>ガクイン</t>
    </rPh>
    <phoneticPr fontId="1"/>
  </si>
  <si>
    <t>私立大学</t>
  </si>
  <si>
    <t>兵庫県西宮市上ケ原一番町１－１５５</t>
    <rPh sb="0" eb="3">
      <t>ヒョウゴケン</t>
    </rPh>
    <rPh sb="3" eb="6">
      <t>ニシノミヤシ</t>
    </rPh>
    <rPh sb="6" eb="9">
      <t>ウエガハラ</t>
    </rPh>
    <rPh sb="9" eb="10">
      <t>イチ</t>
    </rPh>
    <rPh sb="10" eb="11">
      <t>バン</t>
    </rPh>
    <rPh sb="11" eb="12">
      <t>マチ</t>
    </rPh>
    <phoneticPr fontId="1"/>
  </si>
  <si>
    <t>巳波　弘佳</t>
    <rPh sb="0" eb="1">
      <t>ミ</t>
    </rPh>
    <rPh sb="1" eb="2">
      <t>ナミ</t>
    </rPh>
    <rPh sb="3" eb="4">
      <t>ヒロシ</t>
    </rPh>
    <rPh sb="4" eb="5">
      <t>カ</t>
    </rPh>
    <phoneticPr fontId="1"/>
  </si>
  <si>
    <t>全学ＡＩ活用人材教育部会</t>
    <phoneticPr fontId="1"/>
  </si>
  <si>
    <t>全学AI活用人材教育部会長</t>
    <rPh sb="0" eb="2">
      <t>ゼンガク</t>
    </rPh>
    <rPh sb="4" eb="6">
      <t>カツヨウ</t>
    </rPh>
    <rPh sb="6" eb="8">
      <t>ジンザイ</t>
    </rPh>
    <rPh sb="8" eb="10">
      <t>キョウイク</t>
    </rPh>
    <rPh sb="10" eb="11">
      <t>ブ</t>
    </rPh>
    <rPh sb="11" eb="12">
      <t>カイ</t>
    </rPh>
    <rPh sb="12" eb="13">
      <t>オサ</t>
    </rPh>
    <phoneticPr fontId="1"/>
  </si>
  <si>
    <t>総合企画部</t>
    <rPh sb="0" eb="2">
      <t>ソウゴウ</t>
    </rPh>
    <rPh sb="2" eb="4">
      <t>キカク</t>
    </rPh>
    <rPh sb="4" eb="5">
      <t>ブ</t>
    </rPh>
    <phoneticPr fontId="1"/>
  </si>
  <si>
    <t>皿谷　敦</t>
    <rPh sb="0" eb="2">
      <t>サラタニ</t>
    </rPh>
    <rPh sb="3" eb="4">
      <t>アツシ</t>
    </rPh>
    <phoneticPr fontId="1"/>
  </si>
  <si>
    <t>saraya@kwansei.ac.jp</t>
    <phoneticPr fontId="1"/>
  </si>
  <si>
    <t>0798-54-6883</t>
    <phoneticPr fontId="1"/>
  </si>
  <si>
    <t>学部・学科によって、修了要件は相違しない</t>
  </si>
  <si>
    <t>令和元年度</t>
    <rPh sb="0" eb="2">
      <t>レイワ</t>
    </rPh>
    <rPh sb="2" eb="3">
      <t>モト</t>
    </rPh>
    <rPh sb="3" eb="5">
      <t>ネンド</t>
    </rPh>
    <phoneticPr fontId="1"/>
  </si>
  <si>
    <t>AI活用入門</t>
    <rPh sb="2" eb="4">
      <t>カツヨウ</t>
    </rPh>
    <rPh sb="4" eb="6">
      <t>ニュウモン</t>
    </rPh>
    <phoneticPr fontId="1"/>
  </si>
  <si>
    <t>認定教育プログラムと認定教育プログラム+（プラス）</t>
  </si>
  <si>
    <t>共通教育センター規程</t>
    <rPh sb="0" eb="2">
      <t>キョウツウ</t>
    </rPh>
    <rPh sb="2" eb="4">
      <t>キョウイク</t>
    </rPh>
    <rPh sb="8" eb="10">
      <t>キテイ</t>
    </rPh>
    <phoneticPr fontId="1"/>
  </si>
  <si>
    <t xml:space="preserve">共通教育センターの下にある「全学ＡＩ活用人材教育部会」は、共通教育センター規程に基づき、運営される。
共通教育センターは、その規程第2条より、本学の教育目的に従い、「全学共通教育プログラム」を統一的に提供するとともに、推進・改善することを目的とする。
「全学AI活用人材教育部会」は、その規程第9条より、全学科目のAI活用人材育成科目に関する施策を企画・立案し、科目運営を行うための常設の部会である。
</t>
    <rPh sb="0" eb="2">
      <t>キョウツウ</t>
    </rPh>
    <rPh sb="2" eb="4">
      <t>キョウイク</t>
    </rPh>
    <rPh sb="9" eb="10">
      <t>シタ</t>
    </rPh>
    <rPh sb="14" eb="16">
      <t>ゼンガク</t>
    </rPh>
    <rPh sb="29" eb="31">
      <t>キョウツウ</t>
    </rPh>
    <rPh sb="31" eb="33">
      <t>キョウイク</t>
    </rPh>
    <rPh sb="37" eb="39">
      <t>キテイ</t>
    </rPh>
    <rPh sb="40" eb="41">
      <t>モト</t>
    </rPh>
    <rPh sb="44" eb="46">
      <t>ウンエイ</t>
    </rPh>
    <rPh sb="51" eb="53">
      <t>キョウツウ</t>
    </rPh>
    <rPh sb="53" eb="55">
      <t>キョウイク</t>
    </rPh>
    <rPh sb="63" eb="65">
      <t>キテイ</t>
    </rPh>
    <rPh sb="65" eb="66">
      <t>ダイ</t>
    </rPh>
    <rPh sb="67" eb="68">
      <t>ジョウ</t>
    </rPh>
    <rPh sb="127" eb="129">
      <t>ゼンガク</t>
    </rPh>
    <rPh sb="131" eb="133">
      <t>カツヨウ</t>
    </rPh>
    <rPh sb="133" eb="135">
      <t>ジンザイ</t>
    </rPh>
    <rPh sb="135" eb="137">
      <t>キョウイク</t>
    </rPh>
    <rPh sb="137" eb="138">
      <t>ブ</t>
    </rPh>
    <rPh sb="138" eb="139">
      <t>カイ</t>
    </rPh>
    <rPh sb="144" eb="146">
      <t>キテイ</t>
    </rPh>
    <rPh sb="146" eb="147">
      <t>ダイ</t>
    </rPh>
    <rPh sb="148" eb="149">
      <t>ジョウ</t>
    </rPh>
    <phoneticPr fontId="1"/>
  </si>
  <si>
    <t>関西学院大学学長補佐</t>
    <rPh sb="0" eb="2">
      <t>カンサイ</t>
    </rPh>
    <rPh sb="2" eb="4">
      <t>ガクイン</t>
    </rPh>
    <rPh sb="4" eb="6">
      <t>ダイガク</t>
    </rPh>
    <rPh sb="6" eb="8">
      <t>ガクチョウ</t>
    </rPh>
    <rPh sb="8" eb="10">
      <t>ホサ</t>
    </rPh>
    <phoneticPr fontId="1"/>
  </si>
  <si>
    <t>神学部（人文科学）</t>
    <rPh sb="0" eb="1">
      <t>カミ</t>
    </rPh>
    <rPh sb="1" eb="3">
      <t>ガクブ</t>
    </rPh>
    <rPh sb="4" eb="6">
      <t>ジンブン</t>
    </rPh>
    <rPh sb="6" eb="8">
      <t>カガク</t>
    </rPh>
    <phoneticPr fontId="1"/>
  </si>
  <si>
    <t>文学部（人文科学）</t>
    <rPh sb="0" eb="3">
      <t>ブンガクブ</t>
    </rPh>
    <rPh sb="4" eb="6">
      <t>ジンブン</t>
    </rPh>
    <rPh sb="6" eb="8">
      <t>カガク</t>
    </rPh>
    <phoneticPr fontId="1"/>
  </si>
  <si>
    <t>社会学部（社会科学）</t>
    <rPh sb="0" eb="2">
      <t>シャカイ</t>
    </rPh>
    <rPh sb="2" eb="4">
      <t>ガクブ</t>
    </rPh>
    <rPh sb="5" eb="7">
      <t>シャカイ</t>
    </rPh>
    <rPh sb="7" eb="9">
      <t>カガク</t>
    </rPh>
    <phoneticPr fontId="1"/>
  </si>
  <si>
    <t>法学部（社会科学）</t>
    <rPh sb="0" eb="3">
      <t>ホウガクブ</t>
    </rPh>
    <rPh sb="4" eb="6">
      <t>シャカイ</t>
    </rPh>
    <rPh sb="6" eb="8">
      <t>カガク</t>
    </rPh>
    <phoneticPr fontId="1"/>
  </si>
  <si>
    <t>経済学部（社会科学）</t>
    <rPh sb="0" eb="2">
      <t>ケイザイ</t>
    </rPh>
    <rPh sb="2" eb="4">
      <t>ガクブ</t>
    </rPh>
    <rPh sb="5" eb="7">
      <t>シャカイ</t>
    </rPh>
    <rPh sb="7" eb="9">
      <t>カガク</t>
    </rPh>
    <phoneticPr fontId="1"/>
  </si>
  <si>
    <t>商学部（社会科学）</t>
    <rPh sb="0" eb="2">
      <t>ショウガク</t>
    </rPh>
    <rPh sb="2" eb="3">
      <t>ブ</t>
    </rPh>
    <rPh sb="4" eb="6">
      <t>シャカイ</t>
    </rPh>
    <rPh sb="6" eb="8">
      <t>カガク</t>
    </rPh>
    <phoneticPr fontId="1"/>
  </si>
  <si>
    <t>理工学部（理学、工学）</t>
    <rPh sb="0" eb="2">
      <t>リコウ</t>
    </rPh>
    <rPh sb="2" eb="4">
      <t>ガクブ</t>
    </rPh>
    <rPh sb="5" eb="7">
      <t>リガク</t>
    </rPh>
    <rPh sb="8" eb="10">
      <t>コウガク</t>
    </rPh>
    <phoneticPr fontId="1"/>
  </si>
  <si>
    <t>総合政策学部（社会科学）</t>
    <rPh sb="0" eb="2">
      <t>ソウゴウ</t>
    </rPh>
    <rPh sb="2" eb="4">
      <t>セイサク</t>
    </rPh>
    <rPh sb="4" eb="6">
      <t>ガクブ</t>
    </rPh>
    <rPh sb="7" eb="9">
      <t>シャカイ</t>
    </rPh>
    <rPh sb="9" eb="11">
      <t>カガク</t>
    </rPh>
    <phoneticPr fontId="1"/>
  </si>
  <si>
    <t>人間福祉学部（社会科学）</t>
    <rPh sb="0" eb="2">
      <t>ニンゲン</t>
    </rPh>
    <rPh sb="2" eb="4">
      <t>フクシ</t>
    </rPh>
    <rPh sb="4" eb="6">
      <t>ガクブ</t>
    </rPh>
    <rPh sb="7" eb="9">
      <t>シャカイ</t>
    </rPh>
    <rPh sb="9" eb="11">
      <t>カガク</t>
    </rPh>
    <phoneticPr fontId="1"/>
  </si>
  <si>
    <t>教育学部（教育）</t>
    <rPh sb="0" eb="2">
      <t>キョウイク</t>
    </rPh>
    <rPh sb="2" eb="4">
      <t>ガクブ</t>
    </rPh>
    <rPh sb="5" eb="7">
      <t>キョウイク</t>
    </rPh>
    <phoneticPr fontId="1"/>
  </si>
  <si>
    <t>国際学部（人文科学）</t>
    <rPh sb="0" eb="2">
      <t>コクサイ</t>
    </rPh>
    <rPh sb="2" eb="4">
      <t>ガクブ</t>
    </rPh>
    <rPh sb="5" eb="7">
      <t>ジンブン</t>
    </rPh>
    <rPh sb="7" eb="9">
      <t>カガク</t>
    </rPh>
    <phoneticPr fontId="1"/>
  </si>
  <si>
    <t>様式４</t>
    <rPh sb="0" eb="2">
      <t>ヨウシキ</t>
    </rPh>
    <phoneticPr fontId="1"/>
  </si>
  <si>
    <t>様式２</t>
    <rPh sb="0" eb="2">
      <t>ヨウシキ</t>
    </rPh>
    <phoneticPr fontId="1"/>
  </si>
  <si>
    <t>有</t>
  </si>
  <si>
    <t>https://www.kwansei.ac.jp/a_affairs/a_affairs_018161.html</t>
    <phoneticPr fontId="1"/>
  </si>
  <si>
    <t>AI活用人材育成プログラム</t>
    <rPh sb="2" eb="6">
      <t>カツヨウジンザイ</t>
    </rPh>
    <rPh sb="6" eb="8">
      <t>イクセイ</t>
    </rPh>
    <phoneticPr fontId="1"/>
  </si>
  <si>
    <t>1. （AIスキル）AIに関する知識を保持し、実際のアプリケーション開発ができるようになる。
2. （プログラミングスキル）ソフトウェア、ハードウェア、ネットワークに関する知識を保持し、実際のシステム開発ができるようになる。
3. （プロジェクトマネジメントスキル）IT関連のプロジェクトにおいて、コスト、コミュニケーション、時間、人的資源等の要素を統合的に管理できるようになる。
4. （統計解析スキル：データ分析手法）統計解析に用いられる多様な分析手法に関する知識を保持し、データを意味ある形に加工し、適したツールを選出して統計解析を遂行できるようになる。
5. （統計解析スキル：数学・統計知識）情報処理、統計学などの情報処理系の知識を保持し、活用できるようになる。
6. （ビジネス基礎スキル）コミュニケーション力、論理的思考力、課題解決力といった、業種や業界の垣根を越えて適用する、ポータビリティのある力を身につける。</t>
    <rPh sb="19" eb="21">
      <t>ホジ</t>
    </rPh>
    <rPh sb="23" eb="25">
      <t>ジッサイ</t>
    </rPh>
    <rPh sb="34" eb="36">
      <t>カイハツ</t>
    </rPh>
    <rPh sb="83" eb="84">
      <t>カン</t>
    </rPh>
    <rPh sb="86" eb="88">
      <t>チシキ</t>
    </rPh>
    <rPh sb="89" eb="91">
      <t>ホジ</t>
    </rPh>
    <rPh sb="93" eb="95">
      <t>ジッサイ</t>
    </rPh>
    <rPh sb="100" eb="102">
      <t>カイハツ</t>
    </rPh>
    <rPh sb="135" eb="137">
      <t>カンレン</t>
    </rPh>
    <rPh sb="163" eb="165">
      <t>ジカン</t>
    </rPh>
    <rPh sb="166" eb="170">
      <t>ジンテキシゲン</t>
    </rPh>
    <rPh sb="170" eb="171">
      <t>トウ</t>
    </rPh>
    <rPh sb="172" eb="174">
      <t>ヨウソ</t>
    </rPh>
    <rPh sb="175" eb="178">
      <t>トウゴウテキ</t>
    </rPh>
    <rPh sb="179" eb="181">
      <t>カンリ</t>
    </rPh>
    <rPh sb="195" eb="197">
      <t>トウケイ</t>
    </rPh>
    <rPh sb="197" eb="199">
      <t>カイセキ</t>
    </rPh>
    <rPh sb="206" eb="210">
      <t>ブンセキシュホウ</t>
    </rPh>
    <rPh sb="211" eb="215">
      <t>トウケイカイセキ</t>
    </rPh>
    <rPh sb="216" eb="217">
      <t>モチ</t>
    </rPh>
    <rPh sb="221" eb="223">
      <t>タヨウ</t>
    </rPh>
    <rPh sb="224" eb="228">
      <t>ブンセキシュホウ</t>
    </rPh>
    <rPh sb="229" eb="230">
      <t>カン</t>
    </rPh>
    <rPh sb="232" eb="234">
      <t>チシキ</t>
    </rPh>
    <rPh sb="235" eb="237">
      <t>ホジ</t>
    </rPh>
    <rPh sb="243" eb="245">
      <t>イミ</t>
    </rPh>
    <rPh sb="247" eb="248">
      <t>カタチ</t>
    </rPh>
    <rPh sb="249" eb="251">
      <t>カコウ</t>
    </rPh>
    <rPh sb="253" eb="254">
      <t>テキ</t>
    </rPh>
    <rPh sb="260" eb="262">
      <t>センシュツ</t>
    </rPh>
    <rPh sb="264" eb="268">
      <t>トウケイカイセキ</t>
    </rPh>
    <rPh sb="269" eb="271">
      <t>スイコウ</t>
    </rPh>
    <rPh sb="285" eb="289">
      <t>トウケイカイセキ</t>
    </rPh>
    <rPh sb="293" eb="295">
      <t>スウガク</t>
    </rPh>
    <rPh sb="296" eb="300">
      <t>トウケイチシキ</t>
    </rPh>
    <rPh sb="301" eb="305">
      <t>ジョウホウショリ</t>
    </rPh>
    <rPh sb="306" eb="309">
      <t>トウケイガク</t>
    </rPh>
    <rPh sb="312" eb="317">
      <t>ジョウホウショリケイ</t>
    </rPh>
    <rPh sb="318" eb="320">
      <t>チシキ</t>
    </rPh>
    <rPh sb="321" eb="323">
      <t>ホジ</t>
    </rPh>
    <rPh sb="325" eb="327">
      <t>カツヨウ</t>
    </rPh>
    <rPh sb="345" eb="347">
      <t>キソ</t>
    </rPh>
    <rPh sb="360" eb="361">
      <t>チカラ</t>
    </rPh>
    <rPh sb="362" eb="368">
      <t>ロンリテキシコウリョク</t>
    </rPh>
    <rPh sb="369" eb="374">
      <t>カダイカイケツリョク</t>
    </rPh>
    <rPh sb="379" eb="381">
      <t>ギョウシュ</t>
    </rPh>
    <rPh sb="382" eb="384">
      <t>ギョウカイ</t>
    </rPh>
    <rPh sb="385" eb="387">
      <t>カキネ</t>
    </rPh>
    <rPh sb="388" eb="389">
      <t>コ</t>
    </rPh>
    <rPh sb="391" eb="393">
      <t>テキヨウ</t>
    </rPh>
    <rPh sb="406" eb="407">
      <t>チカラ</t>
    </rPh>
    <rPh sb="408" eb="409">
      <t>ミ</t>
    </rPh>
    <phoneticPr fontId="1"/>
  </si>
  <si>
    <t>以下に挙げた各種ツールを活用した積極的な情報発信により、学生の認知率と履修意欲を高めている。
・新入生に対しては、合格手続きとあわせて、合格者サイト（K.G.合格者Navi）上で情報提供、履修推奨を行っている。
・在学生に対しては、学内電子掲示板（教学webサービス）を通じて、情報提供、履修推奨を行っている。
・本学公式のアカウントにて、TwitterとFacebookに情報を投稿し、認知率を高めている。
・シラバスを公開していることに加え、受験生も閲覧可能な特設サイトを設けている。
また、令和3年度以降の完全e-Learning化（フルオンライン・オンデマンド）により、希望する学生全員が履修可能な体制を整えている。</t>
    <rPh sb="1" eb="2">
      <t>シタ</t>
    </rPh>
    <rPh sb="3" eb="4">
      <t>ア</t>
    </rPh>
    <rPh sb="91" eb="93">
      <t>テイキョウ</t>
    </rPh>
    <rPh sb="96" eb="98">
      <t>スイショウ</t>
    </rPh>
    <rPh sb="141" eb="143">
      <t>テイキョウ</t>
    </rPh>
    <rPh sb="146" eb="148">
      <t>スイショウ</t>
    </rPh>
    <rPh sb="211" eb="213">
      <t>コウカイ</t>
    </rPh>
    <rPh sb="220" eb="221">
      <t>クワ</t>
    </rPh>
    <phoneticPr fontId="1"/>
  </si>
  <si>
    <t>共通教育センターの下にある「全学ＡＩ活用人材教育部会」において定期的に議論している。
以下、議論の具体的な内容である。
・科目の履修希望者数とクラス定員数との差異を分析し、開講クラス数や定員数の増、完全e-Learning化を検討した。例えば、「AI活用入門」科目の定員数は、令和元年度480人から令和2年度900人へ拡大した。令和3年度は、完全e-Learning化して、希望者全員が履修できるように改善した。
・履修者と修了者の差異を定性的、定量的に分析し、授業計画の改善に取り組んでいる。</t>
    <rPh sb="31" eb="34">
      <t>テイキテキ</t>
    </rPh>
    <rPh sb="118" eb="119">
      <t>タト</t>
    </rPh>
    <rPh sb="125" eb="129">
      <t>カツヨウニュウモン</t>
    </rPh>
    <rPh sb="130" eb="132">
      <t>カモク</t>
    </rPh>
    <rPh sb="133" eb="136">
      <t>テイインカズ</t>
    </rPh>
    <rPh sb="159" eb="161">
      <t>カクダイ</t>
    </rPh>
    <rPh sb="164" eb="166">
      <t>レイワ</t>
    </rPh>
    <rPh sb="167" eb="169">
      <t>ネンド</t>
    </rPh>
    <rPh sb="171" eb="173">
      <t>カンゼン</t>
    </rPh>
    <rPh sb="183" eb="184">
      <t>カ</t>
    </rPh>
    <rPh sb="187" eb="192">
      <t>キボウシャゼンイン</t>
    </rPh>
    <rPh sb="193" eb="195">
      <t>リシュウ</t>
    </rPh>
    <rPh sb="201" eb="203">
      <t>カイゼン</t>
    </rPh>
    <rPh sb="210" eb="211">
      <t>シャ</t>
    </rPh>
    <rPh sb="212" eb="215">
      <t>シュウリョウシャ</t>
    </rPh>
    <rPh sb="216" eb="218">
      <t>サイ</t>
    </rPh>
    <rPh sb="236" eb="238">
      <t>カイゼン</t>
    </rPh>
    <rPh sb="239" eb="240">
      <t>ト</t>
    </rPh>
    <rPh sb="241" eb="242">
      <t>ク</t>
    </rPh>
    <phoneticPr fontId="1"/>
  </si>
  <si>
    <t>開講クラスごとに最終授業時に実施している全学共通の「授業調査」を活用し、授業のわかりやすさに関する複数の項目で確認している。この調査で得られた情報を授業担当者が分析し、「全学ＡＩ活用人材教育部会」にて授業改善等の対応を図っている。
令和3年度より、一部の科目は完全なe-Learning形式（フルオンライン・オンデマンド）で、繰り返し復習が可能となる、ナレーションによる説明、講師の解説、デモ動画、オンラインでの演習、時間制限のワーク等によって、学修成果を最大化する、質の高い学修体験を実現している。</t>
    <rPh sb="36" eb="38">
      <t>ジュギョウ</t>
    </rPh>
    <rPh sb="124" eb="126">
      <t>イチブ</t>
    </rPh>
    <rPh sb="127" eb="129">
      <t>カモク</t>
    </rPh>
    <rPh sb="163" eb="164">
      <t>ク</t>
    </rPh>
    <rPh sb="165" eb="166">
      <t>カエ</t>
    </rPh>
    <rPh sb="167" eb="169">
      <t>フクシュウ</t>
    </rPh>
    <rPh sb="170" eb="172">
      <t>カノウ</t>
    </rPh>
    <rPh sb="217" eb="218">
      <t>ナド</t>
    </rPh>
    <rPh sb="228" eb="231">
      <t>サイダイカ</t>
    </rPh>
    <phoneticPr fontId="1"/>
  </si>
  <si>
    <t>AI活用導入演習Ａ</t>
    <rPh sb="2" eb="4">
      <t>カツヨウ</t>
    </rPh>
    <rPh sb="4" eb="6">
      <t>ドウニュウ</t>
    </rPh>
    <rPh sb="6" eb="8">
      <t>エンシュウ</t>
    </rPh>
    <phoneticPr fontId="1"/>
  </si>
  <si>
    <t>AI活用導入演習Ｂ</t>
    <rPh sb="2" eb="4">
      <t>カツヨウ</t>
    </rPh>
    <rPh sb="4" eb="6">
      <t>ドウニュウ</t>
    </rPh>
    <rPh sb="6" eb="8">
      <t>エンシュウ</t>
    </rPh>
    <phoneticPr fontId="1"/>
  </si>
  <si>
    <t>AI活用実践演習A（JavaによるWebアプリケーションデザイン）</t>
    <phoneticPr fontId="1"/>
  </si>
  <si>
    <t>AI活用実践演習B（Pythonによる機械学習・深層学習）</t>
    <phoneticPr fontId="1"/>
  </si>
  <si>
    <t>AI活用実践演習C（Webデザイン）</t>
    <phoneticPr fontId="1"/>
  </si>
  <si>
    <t>AI活用データサイエンス実践演習Ⅰ</t>
    <phoneticPr fontId="1"/>
  </si>
  <si>
    <t>AI活用データサイエンス実践演習Ⅱ</t>
    <phoneticPr fontId="1"/>
  </si>
  <si>
    <t>AI活用発展演習Ⅰ</t>
    <phoneticPr fontId="1"/>
  </si>
  <si>
    <t>AI活用導入演習A</t>
    <rPh sb="2" eb="4">
      <t>カツヨウ</t>
    </rPh>
    <rPh sb="4" eb="6">
      <t>ドウニュウ</t>
    </rPh>
    <rPh sb="6" eb="8">
      <t>エンシュウ</t>
    </rPh>
    <phoneticPr fontId="1"/>
  </si>
  <si>
    <t>AI活用導入演習B</t>
    <rPh sb="2" eb="4">
      <t>カツヨウ</t>
    </rPh>
    <rPh sb="4" eb="6">
      <t>ドウニュウ</t>
    </rPh>
    <rPh sb="6" eb="8">
      <t>エンシュウ</t>
    </rPh>
    <phoneticPr fontId="1"/>
  </si>
  <si>
    <t>データ活用実践（教師あり学修）</t>
    <rPh sb="3" eb="5">
      <t>カツヨウ</t>
    </rPh>
    <rPh sb="5" eb="7">
      <t>ジッセン</t>
    </rPh>
    <rPh sb="8" eb="10">
      <t>キョウシ</t>
    </rPh>
    <phoneticPr fontId="1"/>
  </si>
  <si>
    <t>授業時間内外で学修指導、質問を受け付ける具体的な仕組み</t>
    <rPh sb="20" eb="23">
      <t>グタイテキ</t>
    </rPh>
    <phoneticPr fontId="1"/>
  </si>
  <si>
    <t>・受講に必要なPC環境（OS・スペック等を含む推奨PC）をシラバスや履修推奨告知文に記載し、学生が履修前に確認可能としている。
・推奨PCについては、関学生協において学生特別価格で販売している。
・授業補佐（Student Assistant）を雇用し、履修者からの質問対応などを行っている。
・学修管理システム「LUNA」の掲示板機能を活用し、質疑応答や学生同士が議論できる仕組みを整えている。
なお、令和3年度以降は、完全e-Learning化に対応するため、さらにサポート体制を強化している。
・受講期間内であれば24時間学修可能な仕組みとしている。
・プログラミングを含むワーク時におけるトラブル（インストール方法、アカウント制限等）に関しては、補足動画を付与することで、PC初心者に向けた支援を行う。
・24時間対応の「TA（Teaching Assistant）チャットボット」の導入や、授業補佐・担当教員によるメール回答等、履修者からの質問を受け付け、速やかに回答する仕組みを整えている。</t>
    <rPh sb="34" eb="36">
      <t>リシュウ</t>
    </rPh>
    <rPh sb="36" eb="38">
      <t>スイショウ</t>
    </rPh>
    <rPh sb="38" eb="41">
      <t>コクチブン</t>
    </rPh>
    <rPh sb="85" eb="87">
      <t>トクベツ</t>
    </rPh>
    <rPh sb="87" eb="89">
      <t>カカク</t>
    </rPh>
    <rPh sb="99" eb="101">
      <t>ジュギョウ</t>
    </rPh>
    <rPh sb="101" eb="103">
      <t>ホサ</t>
    </rPh>
    <rPh sb="123" eb="125">
      <t>コヨウ</t>
    </rPh>
    <rPh sb="127" eb="129">
      <t>リシュウ</t>
    </rPh>
    <rPh sb="129" eb="130">
      <t>シャ</t>
    </rPh>
    <rPh sb="133" eb="135">
      <t>シツモン</t>
    </rPh>
    <rPh sb="135" eb="137">
      <t>タイオウ</t>
    </rPh>
    <rPh sb="140" eb="141">
      <t>オコナ</t>
    </rPh>
    <rPh sb="173" eb="175">
      <t>シツギ</t>
    </rPh>
    <rPh sb="175" eb="177">
      <t>オウトウ</t>
    </rPh>
    <rPh sb="203" eb="205">
      <t>レイワ</t>
    </rPh>
    <rPh sb="206" eb="208">
      <t>ネンド</t>
    </rPh>
    <rPh sb="208" eb="210">
      <t>イコウ</t>
    </rPh>
    <rPh sb="212" eb="214">
      <t>カンゼン</t>
    </rPh>
    <rPh sb="226" eb="228">
      <t>タイオウ</t>
    </rPh>
    <rPh sb="240" eb="242">
      <t>タイセイ</t>
    </rPh>
    <rPh sb="243" eb="245">
      <t>キョウカ</t>
    </rPh>
    <rPh sb="252" eb="254">
      <t>ジュコウ</t>
    </rPh>
    <rPh sb="254" eb="256">
      <t>キカン</t>
    </rPh>
    <rPh sb="256" eb="257">
      <t>ウチ</t>
    </rPh>
    <rPh sb="263" eb="265">
      <t>ジカン</t>
    </rPh>
    <rPh sb="267" eb="269">
      <t>カノウ</t>
    </rPh>
    <rPh sb="270" eb="272">
      <t>シク</t>
    </rPh>
    <rPh sb="289" eb="290">
      <t>フク</t>
    </rPh>
    <rPh sb="323" eb="324">
      <t>カン</t>
    </rPh>
    <rPh sb="328" eb="330">
      <t>ホソク</t>
    </rPh>
    <rPh sb="330" eb="332">
      <t>ドウガ</t>
    </rPh>
    <rPh sb="333" eb="335">
      <t>フヨ</t>
    </rPh>
    <rPh sb="343" eb="346">
      <t>ショシンシャ</t>
    </rPh>
    <rPh sb="347" eb="348">
      <t>ム</t>
    </rPh>
    <rPh sb="350" eb="352">
      <t>シエン</t>
    </rPh>
    <rPh sb="353" eb="354">
      <t>オコナ</t>
    </rPh>
    <rPh sb="360" eb="362">
      <t>ジカン</t>
    </rPh>
    <rPh sb="362" eb="364">
      <t>タイオウ</t>
    </rPh>
    <rPh sb="406" eb="408">
      <t>タントウ</t>
    </rPh>
    <rPh sb="408" eb="410">
      <t>キョウイン</t>
    </rPh>
    <rPh sb="416" eb="418">
      <t>カイトウ</t>
    </rPh>
    <rPh sb="418" eb="419">
      <t>トウ</t>
    </rPh>
    <phoneticPr fontId="1"/>
  </si>
  <si>
    <t>開講クラスごとに最終授業時に実施している全学共通の「授業調査」を活用し、学生の学修成果の修得状況を把握している。特に、講義内容やプログラミングを含むワークに関する項目を重点的に確認している。
令和3年度以降は、学修プラットフォーム上でのプログラム独自アンケート（回答必須）を導入し、より多角的に学修成果の修得状況を尋ねている。
これらの調査・アンケートで得られた情報を授業担当者が分析し、「全学ＡＩ活用人材教育部会」にて授業改善等の対応を図っている。</t>
    <rPh sb="20" eb="24">
      <t>ゼンガクキョウツウ</t>
    </rPh>
    <rPh sb="39" eb="41">
      <t>ガクシュウ</t>
    </rPh>
    <rPh sb="41" eb="43">
      <t>セイカ</t>
    </rPh>
    <rPh sb="44" eb="48">
      <t>シュウトクジョウキョウ</t>
    </rPh>
    <rPh sb="123" eb="125">
      <t>ドクジ</t>
    </rPh>
    <rPh sb="144" eb="145">
      <t>カド</t>
    </rPh>
    <rPh sb="149" eb="151">
      <t>セイカ</t>
    </rPh>
    <rPh sb="152" eb="156">
      <t>シュウトクジョウキョウ</t>
    </rPh>
    <rPh sb="157" eb="158">
      <t>タズ</t>
    </rPh>
    <rPh sb="219" eb="220">
      <t>ハカ</t>
    </rPh>
    <phoneticPr fontId="1"/>
  </si>
  <si>
    <t>開講クラスごとに最終授業時に実施している全学共通の「授業調査」を活用し、学修内容の理解度に関する複数の項目で確認している。
令和3年度以降は、学修プラットフォーム上でのプログラム独自アンケート（回答必須）を導入し、より多角的に理解状況を尋ねている。
これらの調査・アンケートで得られた情報を授業担当者が分析し、「全学ＡＩ活用人材教育部会」にて授業改善等の対応を図っている。</t>
    <rPh sb="41" eb="44">
      <t>リカイド</t>
    </rPh>
    <rPh sb="45" eb="46">
      <t>カン</t>
    </rPh>
    <rPh sb="48" eb="50">
      <t>フクスウ</t>
    </rPh>
    <rPh sb="54" eb="56">
      <t>カクニン</t>
    </rPh>
    <rPh sb="89" eb="91">
      <t>ドクジ</t>
    </rPh>
    <rPh sb="110" eb="111">
      <t>カド</t>
    </rPh>
    <rPh sb="118" eb="119">
      <t>タズ</t>
    </rPh>
    <rPh sb="180" eb="181">
      <t>ハカ</t>
    </rPh>
    <phoneticPr fontId="1"/>
  </si>
  <si>
    <t>受験生向けAI活用人材育成プログラム紹介サイトを立ち上げ、優秀修了者の体験・コメントを掲載することで、文系学生でも学べる上に、専門知識に生かせる旨を紹介し、履修を推奨している。
令和3年度以降は、学修プラットフォームの機能である「トークボード」を活用し、受講生コミュニティの形成を促し、「ハッカソン」等学生ら自身が立案したプログラミングコンテストへの参画を呼び掛ける予定である。このハッカソン等へ公募する学生チームの支援を行うと共に、特設サイトでの紹介等の広報活動を展開する。</t>
    <rPh sb="0" eb="3">
      <t>ジュケンセイ</t>
    </rPh>
    <rPh sb="3" eb="4">
      <t>ム</t>
    </rPh>
    <rPh sb="7" eb="9">
      <t>カツヨウ</t>
    </rPh>
    <rPh sb="9" eb="11">
      <t>ジンザイ</t>
    </rPh>
    <rPh sb="11" eb="13">
      <t>イクセイ</t>
    </rPh>
    <rPh sb="18" eb="20">
      <t>ショウカイ</t>
    </rPh>
    <rPh sb="24" eb="25">
      <t>タ</t>
    </rPh>
    <rPh sb="26" eb="27">
      <t>ア</t>
    </rPh>
    <rPh sb="35" eb="37">
      <t>タイケン</t>
    </rPh>
    <rPh sb="51" eb="53">
      <t>ブンケイ</t>
    </rPh>
    <rPh sb="53" eb="55">
      <t>ガクセイ</t>
    </rPh>
    <rPh sb="57" eb="58">
      <t>マナ</t>
    </rPh>
    <rPh sb="60" eb="61">
      <t>ウエ</t>
    </rPh>
    <rPh sb="63" eb="65">
      <t>センモン</t>
    </rPh>
    <rPh sb="65" eb="67">
      <t>チシキ</t>
    </rPh>
    <rPh sb="68" eb="69">
      <t>イ</t>
    </rPh>
    <rPh sb="72" eb="73">
      <t>ムネ</t>
    </rPh>
    <rPh sb="74" eb="76">
      <t>ショウカイ</t>
    </rPh>
    <rPh sb="78" eb="80">
      <t>リシュウ</t>
    </rPh>
    <rPh sb="81" eb="83">
      <t>スイショウ</t>
    </rPh>
    <rPh sb="233" eb="235">
      <t>テンカイ</t>
    </rPh>
    <phoneticPr fontId="1"/>
  </si>
  <si>
    <t>令和元年度の開講以来、以下の取組みにより学生への学修支援を行っている。
・授業補佐（Student Assistant）を雇用し、授業内で履修者からの質問対応やソフトウェアインストール時のトラブル対処などを行っている。
・学修管理システム「LUNA」の掲示板機能を活用し、質疑応答や学生同士が議論できる仕組みを整えている。
・最終授業時に実施している「授業調査」を活用し、授業内容やプログラミングを含むワークに関する項目を重点的に、学生の理解度を把握・確認している。
また、令和3年度以降は完全e-Learning（フルオンライン・オンデマンド）としての開講に併せて以下の取組みを行い、多くの受講生がとまどう点を、きめ細かにサポートできる仕組みを構築している。
・日本IBM社と共同し独自開発した「TA（Teaching Assistant）チャットボット」により、受講生は24時間いつでも質問し回答を得ることが可能である。TAチャットボットにて回答できなかった質問については、授業補佐や授業担当教員へ質問するよう誘導する仕組みとしており、基礎的な質問をTAチャットボットで答えることで、高度な質問に担当教員が丁寧に答えられる体制を整えた。
・TAチャットボットの他、学修プラットフォームの機能である「トークボード」システムにより、受講生は質問を投稿し、1両日中に授業補佐や担当教員からの回答を得ることができる。トークボードの投稿内容は他の受講生も閲覧・発言でき、受講生同士で教えあい学びあうコミュニケーションツールとしての活用を促している。
・プログラミングを含むワーク時におけるトラブル（インストール方法、アカウント制限、エラー対処等）に関して、補足動画を付与しており、PC初心者に向けた支援を行っている。</t>
    <rPh sb="65" eb="68">
      <t>ジュギョウナイ</t>
    </rPh>
    <rPh sb="92" eb="93">
      <t>ジ</t>
    </rPh>
    <rPh sb="98" eb="100">
      <t>タイショ</t>
    </rPh>
    <rPh sb="163" eb="165">
      <t>サイシュウ</t>
    </rPh>
    <rPh sb="165" eb="167">
      <t>ジュギョウ</t>
    </rPh>
    <rPh sb="167" eb="168">
      <t>トキ</t>
    </rPh>
    <rPh sb="169" eb="171">
      <t>ジッシ</t>
    </rPh>
    <rPh sb="176" eb="178">
      <t>ジュギョウ</t>
    </rPh>
    <rPh sb="178" eb="180">
      <t>チョウサ</t>
    </rPh>
    <rPh sb="471" eb="474">
      <t>キソテキ</t>
    </rPh>
    <rPh sb="475" eb="477">
      <t>シツモン</t>
    </rPh>
    <rPh sb="488" eb="489">
      <t>コタ</t>
    </rPh>
    <rPh sb="495" eb="497">
      <t>コウド</t>
    </rPh>
    <rPh sb="498" eb="500">
      <t>シツモン</t>
    </rPh>
    <rPh sb="501" eb="503">
      <t>タントウ</t>
    </rPh>
    <rPh sb="503" eb="505">
      <t>キョウイン</t>
    </rPh>
    <rPh sb="506" eb="508">
      <t>テイネイ</t>
    </rPh>
    <rPh sb="509" eb="510">
      <t>コタ</t>
    </rPh>
    <rPh sb="514" eb="516">
      <t>タイセイ</t>
    </rPh>
    <rPh sb="517" eb="518">
      <t>トトノ</t>
    </rPh>
    <rPh sb="583" eb="585">
      <t>ジュギョウ</t>
    </rPh>
    <rPh sb="585" eb="587">
      <t>ホサ</t>
    </rPh>
    <rPh sb="598" eb="599">
      <t>エ</t>
    </rPh>
    <rPh sb="628" eb="630">
      <t>ハツゲン</t>
    </rPh>
    <rPh sb="633" eb="638">
      <t>ジュコウセイドウシ</t>
    </rPh>
    <rPh sb="639" eb="640">
      <t>オシ</t>
    </rPh>
    <rPh sb="643" eb="644">
      <t>マナ</t>
    </rPh>
    <rPh sb="663" eb="665">
      <t>カツヨウ</t>
    </rPh>
    <rPh sb="666" eb="667">
      <t>ウナガ</t>
    </rPh>
    <phoneticPr fontId="1"/>
  </si>
  <si>
    <t xml:space="preserve">各年度の履修者数の目標を以下のとおりとする。（　）内は履修率。
令和3年度　4,000人（17.5%）
令和4年度　4,000人（17.5%）
令和5年度　4,000人（17.5%）
令和6年度　4,000人（17.5%）
令和7年度　4,000人（17.5%）
令和元・2年度は、対面授業であったため、開講クラス数・クラス定員に制限を設けていた。
例えば、最初に履修することが義務付けられている「AI活用入門」において、
履修総希望者数；令和元年度1,539人、令和2年度1,848人
履修者数；令和元年度480人、令和2年度856人　であった。
令和3年度より、完全なe-Learning形式（フルオンライン・オンデマンドで、ナレーションによる説明、講師の解説、デモ動画、オンラインでの演習、時間制限のワーク、ランダムテスト等の多様な機能を有するプラットフォームで、質の高い学修体験を実現）として開講することで上記制限はなくなり、すべての希望者が履修可能となる。令和3年度春学期の履修者数は2,071人であり、秋学期も同程度の履修希望者がいると考えられることから、毎年4,000人の履修者を見込み、収容定員22,870人中16,000人が履修する計画である。
</t>
    <rPh sb="177" eb="178">
      <t>タト</t>
    </rPh>
    <rPh sb="181" eb="183">
      <t>サイショ</t>
    </rPh>
    <rPh sb="184" eb="186">
      <t>リシュウ</t>
    </rPh>
    <rPh sb="191" eb="194">
      <t>ギムヅ</t>
    </rPh>
    <rPh sb="203" eb="205">
      <t>カツヨウ</t>
    </rPh>
    <rPh sb="205" eb="207">
      <t>ニュウモン</t>
    </rPh>
    <rPh sb="214" eb="216">
      <t>リシュウ</t>
    </rPh>
    <rPh sb="216" eb="217">
      <t>ソウ</t>
    </rPh>
    <phoneticPr fontId="1"/>
  </si>
  <si>
    <t xml:space="preserve">・文系理系を問わず、AI活用に係る事例・技術等を幅広く学び、AI・データサイエンスの知識を学生がそれぞれの専門分野に生かせるよう設計した教育プログラムであり、大学生全員を対象とした授業内容となっている。
・最初に受講が義務付けられている「AI活用入門」は、2つのキャンパス（西宮上ケ原、神戸三田）にて対面授業として、6クラス開講した。特に令和元年度はLAN設備の関係上、大教室にて実施できなかったが、設備の増強により令和2年度のクラス定員をほぼ倍増させた。
なお、令和3年度から完全e-Learning（フルオンライン・オンデマンド）として開講することで、時間割上の授業重複や教室定員などの履修上の制約がなくなることに加え、履修した学生が学びたいタイミング・場所で受講できるなど、自由度の高い学修スタイルが可能となる。
</t>
    <rPh sb="6" eb="7">
      <t>ト</t>
    </rPh>
    <rPh sb="68" eb="70">
      <t>キョウイク</t>
    </rPh>
    <rPh sb="103" eb="105">
      <t>サイショ</t>
    </rPh>
    <rPh sb="106" eb="108">
      <t>ジュコウ</t>
    </rPh>
    <rPh sb="109" eb="112">
      <t>ギムヅ</t>
    </rPh>
    <rPh sb="121" eb="125">
      <t>カツヨウニュウモン</t>
    </rPh>
    <rPh sb="167" eb="168">
      <t>トク</t>
    </rPh>
    <rPh sb="169" eb="171">
      <t>レイワ</t>
    </rPh>
    <rPh sb="171" eb="173">
      <t>ガンネン</t>
    </rPh>
    <rPh sb="173" eb="174">
      <t>ド</t>
    </rPh>
    <rPh sb="178" eb="180">
      <t>セツビ</t>
    </rPh>
    <rPh sb="181" eb="184">
      <t>カンケイジョウ</t>
    </rPh>
    <rPh sb="185" eb="188">
      <t>ダイキョウシツ</t>
    </rPh>
    <rPh sb="190" eb="192">
      <t>ジッシ</t>
    </rPh>
    <rPh sb="200" eb="202">
      <t>セツビ</t>
    </rPh>
    <rPh sb="203" eb="205">
      <t>ゾウキョウ</t>
    </rPh>
    <rPh sb="208" eb="210">
      <t>レイワ</t>
    </rPh>
    <rPh sb="211" eb="213">
      <t>ネンド</t>
    </rPh>
    <rPh sb="217" eb="219">
      <t>テイイン</t>
    </rPh>
    <rPh sb="222" eb="224">
      <t>バイゾウ</t>
    </rPh>
    <rPh sb="310" eb="311">
      <t>クワ</t>
    </rPh>
    <rPh sb="313" eb="315">
      <t>リシュウ</t>
    </rPh>
    <rPh sb="330" eb="332">
      <t>バショ</t>
    </rPh>
    <rPh sb="343" eb="344">
      <t>ド</t>
    </rPh>
    <rPh sb="345" eb="346">
      <t>タカ</t>
    </rPh>
    <phoneticPr fontId="1"/>
  </si>
  <si>
    <r>
      <t>第4次産業</t>
    </r>
    <r>
      <rPr>
        <sz val="12"/>
        <color theme="1"/>
        <rFont val="Microsoft JhengHei UI"/>
        <family val="3"/>
        <charset val="134"/>
      </rPr>
      <t>⾰</t>
    </r>
    <r>
      <rPr>
        <sz val="12"/>
        <color theme="1"/>
        <rFont val="ＭＳ Ｐゴシック"/>
        <family val="3"/>
        <charset val="128"/>
        <scheme val="minor"/>
      </rPr>
      <t>命、Society5.0において、AIやデータサイエンスの重要性とAI活用人材の必要性（第2回）</t>
    </r>
    <rPh sb="0" eb="1">
      <t>ダイ</t>
    </rPh>
    <rPh sb="2" eb="3">
      <t>ジ</t>
    </rPh>
    <rPh sb="3" eb="5">
      <t>サンギョウ</t>
    </rPh>
    <rPh sb="6" eb="7">
      <t>イノチ</t>
    </rPh>
    <rPh sb="35" eb="38">
      <t>ジュウヨウセイ</t>
    </rPh>
    <rPh sb="41" eb="43">
      <t>カツヨウ</t>
    </rPh>
    <rPh sb="43" eb="45">
      <t>ジンザイ</t>
    </rPh>
    <rPh sb="46" eb="48">
      <t>ヒツヨウ</t>
    </rPh>
    <rPh sb="48" eb="49">
      <t>セイ</t>
    </rPh>
    <rPh sb="50" eb="51">
      <t>ダイ</t>
    </rPh>
    <rPh sb="52" eb="53">
      <t>カイ</t>
    </rPh>
    <phoneticPr fontId="1"/>
  </si>
  <si>
    <r>
      <rPr>
        <sz val="12"/>
        <color theme="1"/>
        <rFont val="Microsoft JhengHei UI"/>
        <family val="3"/>
        <charset val="134"/>
      </rPr>
      <t>⼈⼯</t>
    </r>
    <r>
      <rPr>
        <sz val="12"/>
        <color theme="1"/>
        <rFont val="ＭＳ Ｐゴシック"/>
        <family val="3"/>
        <charset val="128"/>
        <scheme val="minor"/>
      </rPr>
      <t>知能の歴史と必要性（第3回）</t>
    </r>
    <rPh sb="8" eb="11">
      <t>ヒツヨウセイ</t>
    </rPh>
    <phoneticPr fontId="1"/>
  </si>
  <si>
    <t>調査データ、実験データ、人の行動ログデータ、IoTのログデータ、文章・画像/動画・音声/音楽など、様々な構造化データ・非構造化データがあり、それらを取り扱うための様々な技術について学び（モデルカリキュラム導入1-2に該当）、製造・物流・販売・マーケティング・サービスなど様々な分野で、仮説検証・知識発見・原因究明・計画策定・判断支援・活動代替・新規生成などでそれらが活用されている事例を学ぶ（モデルカリキュラム導入1-3、1-5に該当）。</t>
    <phoneticPr fontId="1"/>
  </si>
  <si>
    <t>AI活用入門</t>
  </si>
  <si>
    <t>AI活用データサイエンス実践演習I</t>
    <rPh sb="2" eb="4">
      <t>カツヨウ</t>
    </rPh>
    <rPh sb="12" eb="14">
      <t>ジッセン</t>
    </rPh>
    <rPh sb="14" eb="16">
      <t>エンシュウ</t>
    </rPh>
    <phoneticPr fontId="1"/>
  </si>
  <si>
    <t>APIを用いたAIアプリ開発の概要を学ぶ（第5回）</t>
    <rPh sb="4" eb="5">
      <t>モチ</t>
    </rPh>
    <rPh sb="12" eb="14">
      <t>カイハツ</t>
    </rPh>
    <rPh sb="15" eb="17">
      <t>ガイヨウ</t>
    </rPh>
    <rPh sb="18" eb="19">
      <t>マナ</t>
    </rPh>
    <phoneticPr fontId="1"/>
  </si>
  <si>
    <t>データサイエンスを活用した課題解決を学ぶ（第6回）</t>
    <rPh sb="9" eb="11">
      <t>カツヨウ</t>
    </rPh>
    <rPh sb="13" eb="15">
      <t>カダイ</t>
    </rPh>
    <rPh sb="15" eb="17">
      <t>カイケツ</t>
    </rPh>
    <rPh sb="18" eb="19">
      <t>マナ</t>
    </rPh>
    <phoneticPr fontId="1"/>
  </si>
  <si>
    <t>統計解析の基礎である、数学・統計の基礎知識を学ぶ（第7回）</t>
  </si>
  <si>
    <t>言語解析系のAI技術と、APIを活用した様々な事例を学ぶ（第1回）</t>
    <rPh sb="0" eb="2">
      <t>ゲンゴ</t>
    </rPh>
    <rPh sb="2" eb="4">
      <t>カイセキ</t>
    </rPh>
    <rPh sb="8" eb="10">
      <t>ギジュツ</t>
    </rPh>
    <rPh sb="16" eb="18">
      <t>カツヨウ</t>
    </rPh>
    <rPh sb="20" eb="22">
      <t>サマザマ</t>
    </rPh>
    <rPh sb="23" eb="25">
      <t>ジレイ</t>
    </rPh>
    <rPh sb="26" eb="27">
      <t>マナ</t>
    </rPh>
    <rPh sb="29" eb="30">
      <t>ダイ</t>
    </rPh>
    <rPh sb="31" eb="32">
      <t>カイ</t>
    </rPh>
    <phoneticPr fontId="1"/>
  </si>
  <si>
    <t>音声認識系のAI技術を学ぶ（第1回）</t>
    <rPh sb="8" eb="10">
      <t>ギジュツ</t>
    </rPh>
    <rPh sb="11" eb="12">
      <t>マナ</t>
    </rPh>
    <phoneticPr fontId="1"/>
  </si>
  <si>
    <t>音声認識系のAIの活用事例を学ぶ（第4回）</t>
    <rPh sb="9" eb="11">
      <t>カツヨウ</t>
    </rPh>
    <rPh sb="11" eb="13">
      <t>ジレイ</t>
    </rPh>
    <rPh sb="14" eb="15">
      <t>マナ</t>
    </rPh>
    <phoneticPr fontId="1"/>
  </si>
  <si>
    <t>画像/動画認識系のAI技術を学ぶ（第6回）</t>
    <rPh sb="0" eb="2">
      <t>ガゾウ</t>
    </rPh>
    <rPh sb="3" eb="5">
      <t>ドウガ</t>
    </rPh>
    <rPh sb="11" eb="13">
      <t>ギジュツ</t>
    </rPh>
    <rPh sb="14" eb="15">
      <t>マナ</t>
    </rPh>
    <phoneticPr fontId="1"/>
  </si>
  <si>
    <t>画像/動画認識系のAIの活用事例を学ぶ（第8回）</t>
    <rPh sb="0" eb="2">
      <t>ガゾウ</t>
    </rPh>
    <rPh sb="3" eb="5">
      <t>ドウガ</t>
    </rPh>
    <phoneticPr fontId="1"/>
  </si>
  <si>
    <t>様々なAIやデータサイエンスに関する技術を学ぶ。具体的には、深層学習を含む機械学習、探索、ルールベース、強化学習などのアルゴリズムの考え方など、予測・クラスタリング・パターン発見や、言語・画像/動画・音声/音楽など非構造化データの処理のための技術や、CRISP-DMなどデータ分析プロセスを学ぶ（モデルカリキュラム導入1-4に該当）。また、流通・製造・金融・サービス・インフラ・公共・ヘルスケアなどでAIやデータサイエンスが活用されている事例を学ぶ（モデルカリキュラム導入1-5、1-3に該当）。</t>
    <phoneticPr fontId="1"/>
  </si>
  <si>
    <t>統計解析の分析ツールを学ぶ（第8回）</t>
    <rPh sb="14" eb="15">
      <t>ダイ</t>
    </rPh>
    <rPh sb="16" eb="17">
      <t>カイ</t>
    </rPh>
    <phoneticPr fontId="1"/>
  </si>
  <si>
    <t>AI技術とそれらのビジネスへの様々な活用事例を学ぶ（第4回）</t>
    <rPh sb="12" eb="13">
      <t>マナ</t>
    </rPh>
    <rPh sb="15" eb="17">
      <t>サマザマ</t>
    </rPh>
    <rPh sb="26" eb="27">
      <t>ダイ</t>
    </rPh>
    <rPh sb="28" eb="29">
      <t>カイ</t>
    </rPh>
    <phoneticPr fontId="1"/>
  </si>
  <si>
    <t>AI技術とそれらのビジネスへの様々な活用事例を学ぶ（第4回）</t>
    <rPh sb="12" eb="13">
      <t>マナ</t>
    </rPh>
    <rPh sb="15" eb="17">
      <t>サマザマ</t>
    </rPh>
    <phoneticPr fontId="1"/>
  </si>
  <si>
    <t>AI活用データサイエンス実践演習II</t>
    <rPh sb="2" eb="4">
      <t>カツヨウ</t>
    </rPh>
    <rPh sb="12" eb="14">
      <t>ジッセン</t>
    </rPh>
    <rPh sb="14" eb="16">
      <t>エンシュウ</t>
    </rPh>
    <phoneticPr fontId="1"/>
  </si>
  <si>
    <t>AI活用発展演習I</t>
    <rPh sb="2" eb="4">
      <t>カツヨウ</t>
    </rPh>
    <rPh sb="4" eb="6">
      <t>ハッテン</t>
    </rPh>
    <rPh sb="6" eb="8">
      <t>エンシュウ</t>
    </rPh>
    <phoneticPr fontId="1"/>
  </si>
  <si>
    <r>
      <t>Webアプリケーションの動作の仕組み、開発のために必要なプログラミング</t>
    </r>
    <r>
      <rPr>
        <sz val="12"/>
        <color theme="1"/>
        <rFont val="Microsoft JhengHei UI"/>
        <family val="2"/>
        <charset val="134"/>
      </rPr>
      <t>⾔</t>
    </r>
    <r>
      <rPr>
        <sz val="12"/>
        <color theme="1"/>
        <rFont val="ＭＳ Ｐゴシック"/>
        <family val="2"/>
        <charset val="128"/>
        <scheme val="minor"/>
      </rPr>
      <t>語Javaの基礎、オブジェクト指向の考え</t>
    </r>
    <r>
      <rPr>
        <sz val="12"/>
        <color theme="1"/>
        <rFont val="Microsoft JhengHei UI"/>
        <family val="2"/>
        <charset val="134"/>
      </rPr>
      <t>⽅</t>
    </r>
    <r>
      <rPr>
        <sz val="12"/>
        <color theme="1"/>
        <rFont val="ＭＳ Ｐゴシック"/>
        <family val="2"/>
        <charset val="128"/>
        <scheme val="minor"/>
      </rPr>
      <t>に基づくシステム開発プロセスやソフトウェアテスト技法を学ぶ（第1回～第12回）</t>
    </r>
    <rPh sb="12" eb="14">
      <t>ドウサ</t>
    </rPh>
    <rPh sb="15" eb="17">
      <t>シク</t>
    </rPh>
    <rPh sb="19" eb="21">
      <t>カイハツ</t>
    </rPh>
    <rPh sb="25" eb="27">
      <t>ヒツヨウ</t>
    </rPh>
    <rPh sb="36" eb="37">
      <t>ゴ</t>
    </rPh>
    <rPh sb="42" eb="44">
      <t>キソ</t>
    </rPh>
    <rPh sb="51" eb="53">
      <t>シコウ</t>
    </rPh>
    <rPh sb="54" eb="55">
      <t>カンガ</t>
    </rPh>
    <rPh sb="58" eb="59">
      <t>モト</t>
    </rPh>
    <rPh sb="65" eb="67">
      <t>カイハツ</t>
    </rPh>
    <rPh sb="81" eb="83">
      <t>ギホウ</t>
    </rPh>
    <rPh sb="84" eb="85">
      <t>マナ</t>
    </rPh>
    <rPh sb="91" eb="92">
      <t>ダイ</t>
    </rPh>
    <rPh sb="94" eb="95">
      <t>カイ</t>
    </rPh>
    <phoneticPr fontId="1"/>
  </si>
  <si>
    <t>深層学習を含む機械学習、探索、ルールベース、強化学習などにおける様々なアルゴリズム、統計解析における様々な概念（平均・分散・相関係数など）や検定など、AIやデータサイエンスにおける概念やアルゴリズムを学び、またそれを活用するためにAPIを用いたAIアプリ開発スキル、Python/Javaなどを用いたプログラミングスキル、統計解析ソフトウェアR/R studioやSPSSスキルも学ぶ（モデルカリキュラム基礎2-1、基礎2-2、基礎2-3に該当）。さらに、これらを総合的に活用できるために問題解決フレームワークや、ソフトウェアを用いた可視化も含む適切な説明手法（モデルカリキュラム基礎2-2に該当）やUI/UXについても学び、PBLによって現実の課題を解決する知識とスキルを修得する。</t>
    <rPh sb="296" eb="298">
      <t>ガイトウ</t>
    </rPh>
    <phoneticPr fontId="1"/>
  </si>
  <si>
    <t>言語解析系のAI技術と、APIを活用した様々な事例・技術・開発手法を学ぶ（第1～9回）</t>
    <rPh sb="0" eb="2">
      <t>ゲンゴ</t>
    </rPh>
    <rPh sb="2" eb="4">
      <t>カイセキ</t>
    </rPh>
    <rPh sb="8" eb="10">
      <t>ギジュツ</t>
    </rPh>
    <rPh sb="16" eb="18">
      <t>カツヨウ</t>
    </rPh>
    <rPh sb="20" eb="22">
      <t>サマザマ</t>
    </rPh>
    <rPh sb="23" eb="25">
      <t>ジレイ</t>
    </rPh>
    <rPh sb="26" eb="28">
      <t>ギジュツ</t>
    </rPh>
    <rPh sb="29" eb="31">
      <t>カイハツ</t>
    </rPh>
    <rPh sb="31" eb="33">
      <t>シュホウ</t>
    </rPh>
    <rPh sb="34" eb="35">
      <t>マナ</t>
    </rPh>
    <rPh sb="37" eb="38">
      <t>ダイ</t>
    </rPh>
    <rPh sb="41" eb="42">
      <t>カイ</t>
    </rPh>
    <phoneticPr fontId="1"/>
  </si>
  <si>
    <t>音声認識系・画像/動画認識系のAI技術と、APIを活用した様々な事例・技術・開発手法を学ぶ（第1～11回）</t>
    <rPh sb="6" eb="8">
      <t>ガゾウ</t>
    </rPh>
    <rPh sb="9" eb="11">
      <t>ドウガ</t>
    </rPh>
    <rPh sb="11" eb="13">
      <t>ニンシキ</t>
    </rPh>
    <rPh sb="13" eb="14">
      <t>ケイ</t>
    </rPh>
    <rPh sb="17" eb="19">
      <t>ギジュツ</t>
    </rPh>
    <rPh sb="25" eb="27">
      <t>カツヨウ</t>
    </rPh>
    <rPh sb="29" eb="31">
      <t>サマザマ</t>
    </rPh>
    <rPh sb="32" eb="34">
      <t>ジレイ</t>
    </rPh>
    <rPh sb="35" eb="37">
      <t>ギジュツ</t>
    </rPh>
    <rPh sb="38" eb="40">
      <t>カイハツ</t>
    </rPh>
    <rPh sb="40" eb="42">
      <t>シュホウ</t>
    </rPh>
    <rPh sb="43" eb="44">
      <t>マナ</t>
    </rPh>
    <phoneticPr fontId="1"/>
  </si>
  <si>
    <t>データサイエンスにおける概念やアルゴリズムを学び、またそれを活用するための統計解析ソフトウェアR/R studioやSPSSスキル、課題を分析するための問題解決フレームワークも学ぶ（第1～11回）</t>
    <rPh sb="66" eb="68">
      <t>カダイ</t>
    </rPh>
    <rPh sb="69" eb="71">
      <t>ブンセキ</t>
    </rPh>
    <rPh sb="76" eb="80">
      <t>モンダイカイケツ</t>
    </rPh>
    <phoneticPr fontId="1"/>
  </si>
  <si>
    <t>問題解決フレームワークやデータ分析を通して課題を適切に把握し、それをソフトウェアを用いて分析した結果を適切に可視化しストーリーを構造化して示すための方法について学ぶ（第1～4回）</t>
    <rPh sb="18" eb="19">
      <t>トオ</t>
    </rPh>
    <rPh sb="21" eb="23">
      <t>カダイ</t>
    </rPh>
    <rPh sb="24" eb="26">
      <t>テキセツ</t>
    </rPh>
    <rPh sb="27" eb="29">
      <t>ハアク</t>
    </rPh>
    <rPh sb="41" eb="42">
      <t>モチ</t>
    </rPh>
    <rPh sb="44" eb="46">
      <t>ブンセキ</t>
    </rPh>
    <rPh sb="48" eb="50">
      <t>ケッカ</t>
    </rPh>
    <rPh sb="64" eb="67">
      <t>コウゾウカ</t>
    </rPh>
    <rPh sb="69" eb="70">
      <t>シメ</t>
    </rPh>
    <rPh sb="80" eb="81">
      <t>マナ</t>
    </rPh>
    <phoneticPr fontId="1"/>
  </si>
  <si>
    <r>
      <t>機械学習や深層学習の仕組みを学ぶ。さらに、プログラミング</t>
    </r>
    <r>
      <rPr>
        <sz val="12"/>
        <color theme="1"/>
        <rFont val="Microsoft JhengHei UI"/>
        <family val="2"/>
        <charset val="134"/>
      </rPr>
      <t>⾔</t>
    </r>
    <r>
      <rPr>
        <sz val="12"/>
        <color theme="1"/>
        <rFont val="ＭＳ Ｐゴシック"/>
        <family val="2"/>
        <charset val="128"/>
        <scheme val="minor"/>
      </rPr>
      <t>語Pythonの基礎を学んで、機械学習や深層学習に関するプログラミングを</t>
    </r>
    <r>
      <rPr>
        <sz val="12"/>
        <color theme="1"/>
        <rFont val="Microsoft JhengHei UI"/>
        <family val="2"/>
        <charset val="134"/>
      </rPr>
      <t>⾏</t>
    </r>
    <r>
      <rPr>
        <sz val="12"/>
        <color theme="1"/>
        <rFont val="ＭＳ Ｐゴシック"/>
        <family val="2"/>
        <charset val="128"/>
        <scheme val="minor"/>
      </rPr>
      <t>う（第1～15回）</t>
    </r>
    <rPh sb="0" eb="2">
      <t>キカイ</t>
    </rPh>
    <rPh sb="2" eb="4">
      <t>ガクシュウ</t>
    </rPh>
    <rPh sb="5" eb="7">
      <t>シンソウ</t>
    </rPh>
    <rPh sb="7" eb="9">
      <t>ガクシュウ</t>
    </rPh>
    <rPh sb="10" eb="12">
      <t>シク</t>
    </rPh>
    <rPh sb="14" eb="15">
      <t>マナ</t>
    </rPh>
    <rPh sb="29" eb="30">
      <t>ゴ</t>
    </rPh>
    <rPh sb="37" eb="39">
      <t>キソ</t>
    </rPh>
    <rPh sb="40" eb="41">
      <t>マナ</t>
    </rPh>
    <rPh sb="44" eb="46">
      <t>キカイ</t>
    </rPh>
    <rPh sb="46" eb="48">
      <t>ガクシュウ</t>
    </rPh>
    <rPh sb="49" eb="51">
      <t>シンソウ</t>
    </rPh>
    <rPh sb="51" eb="53">
      <t>ガクシュウ</t>
    </rPh>
    <rPh sb="54" eb="55">
      <t>カン</t>
    </rPh>
    <phoneticPr fontId="1"/>
  </si>
  <si>
    <t>AIを利⽤したアプリケーションの開発を⾏ってソリューションを提⾔するプロジェクト型演習を⾏う（第1～14回）</t>
    <phoneticPr fontId="1"/>
  </si>
  <si>
    <t>AI活用入門、AI活用データサイエンス実践演習Ⅰ</t>
    <rPh sb="2" eb="4">
      <t>カツヨウ</t>
    </rPh>
    <rPh sb="4" eb="6">
      <t>ニュウモン</t>
    </rPh>
    <rPh sb="9" eb="11">
      <t>カツヨウ</t>
    </rPh>
    <rPh sb="19" eb="21">
      <t>ジッセン</t>
    </rPh>
    <rPh sb="21" eb="23">
      <t>エンシュウ</t>
    </rPh>
    <phoneticPr fontId="1"/>
  </si>
  <si>
    <t>AI活用入門、AI活用データサイエンス実践演習Ⅰ、AI活用データサイエンス実践演習Ⅱ</t>
    <rPh sb="27" eb="29">
      <t>カツヨウ</t>
    </rPh>
    <rPh sb="37" eb="39">
      <t>ジッセン</t>
    </rPh>
    <rPh sb="39" eb="41">
      <t>エンシュウ</t>
    </rPh>
    <phoneticPr fontId="1"/>
  </si>
  <si>
    <r>
      <t>AI活</t>
    </r>
    <r>
      <rPr>
        <sz val="12"/>
        <color theme="1"/>
        <rFont val="Microsoft JhengHei"/>
        <family val="2"/>
        <charset val="136"/>
      </rPr>
      <t>⽤</t>
    </r>
    <r>
      <rPr>
        <sz val="12"/>
        <color theme="1"/>
        <rFont val="ＭＳ Ｐゴシック"/>
        <family val="3"/>
        <charset val="128"/>
        <scheme val="minor"/>
      </rPr>
      <t>実践演習C（Ｗｅｂデザイン）、AI活用発展演習Ⅰ</t>
    </r>
    <rPh sb="21" eb="23">
      <t>カツヨウ</t>
    </rPh>
    <rPh sb="23" eb="25">
      <t>ハッテン</t>
    </rPh>
    <rPh sb="25" eb="27">
      <t>エンシュウ</t>
    </rPh>
    <phoneticPr fontId="1"/>
  </si>
  <si>
    <t>AI活用入門、AI活用データサイエンス実践演習Ⅰ、AI活用実践演習A（JavaによるWebアプリケーションデザイン）、AI活用実践演習B（Pythonによる機械学習・深層学習）</t>
    <rPh sb="2" eb="4">
      <t>カツヨウ</t>
    </rPh>
    <rPh sb="4" eb="6">
      <t>ニュウモン</t>
    </rPh>
    <rPh sb="9" eb="11">
      <t>カツヨウ</t>
    </rPh>
    <rPh sb="19" eb="21">
      <t>ジッセン</t>
    </rPh>
    <rPh sb="21" eb="23">
      <t>エンシュウ</t>
    </rPh>
    <phoneticPr fontId="1"/>
  </si>
  <si>
    <t>https://www.kwansei.ac.jp/a_affairs/a_affairs_m_004640.html</t>
    <phoneticPr fontId="1"/>
  </si>
  <si>
    <t xml:space="preserve">共通教育センター規程第9条2項より、
全学AI活用人材教育部会は、次の各号の委員をもって構成する。
1　センター長；　　　　　　　　　　　　　中野　康人　社会学部教授、教務機構副機構長
2　センター副長(1名)(部会長)；　　　巳波　弘佳　理工学部教授、教務機構副機構長
3　センター教員(1名)；　　　　　　　　 西野　均　　共通教育センター教授
4　教務機構事務部長または次長；　川浦　良介　教務機構事務部長
5　部会長が指名した委員；　　　　　 小野　宏　　総合企画部長
</t>
    <rPh sb="14" eb="15">
      <t>コウ</t>
    </rPh>
    <phoneticPr fontId="1"/>
  </si>
  <si>
    <t xml:space="preserve">・本学の学修管理システム「LUNA」を活用し、毎授業別のオンライン教材による予習・復習、課題提出に加え、授業担当者との質疑応答を可能な形としている。
・教室内に授業補佐を配置し、プログラミングを含むワーク時におけるトラブルや履修者からの質問対応等を行っている。
なお、令和3年度以降は完全e-Learning化に対応して、きめ細かにサポートできる仕組みを構築している。
・日本IBM社と共同し独自開発した「TAチャットボット」により、受講生は24時間いつでも質問し回答が得られる。なお、回答できなかった質問は、授業補佐や授業担当教員へ質問するよう誘導している。
・TAチャットボットの他、学修プラットフォームの機能である「トークボード」システムにより、受講生は質問を投稿し、1両日中に授業補佐らによる回答が得られる。トークボードの投稿内容は他の受講生も閲覧でき、受講者同士で教えあい、学びあうコミュニケーションツールとなっている。
</t>
    <phoneticPr fontId="1"/>
  </si>
  <si>
    <t xml:space="preserve">令和元・2年度は、対面授業として開講し、開講クラス数・定員数を設けていたため、履修者数が限定的であった。例えば、最初に履修することが義務付けられている「AI活用入門」においては、
履修総希望者数；令和元年度1,539人、令和2年度1,848人
履修者数；令和元年度480人、令和2年度856人　であった。
令和3年度より、完全e-Learningとして開講し、クラス数・定員数の制約がなくなるため、履修希望者全員が履修可能となった。なお、令和3年度春学期履修者数は2,071人であり、秋学期も同数の履修希望者がいると考えられることから、毎年約4,000人の履修者数を見込んでおり、3年後には本学収容定員22,870人中16,000人（約7割）が履修した経験を持つ計画である。
</t>
    <rPh sb="270" eb="271">
      <t>ヤク</t>
    </rPh>
    <rPh sb="291" eb="293">
      <t>ネンゴ</t>
    </rPh>
    <rPh sb="317" eb="318">
      <t>ヤク</t>
    </rPh>
    <rPh sb="319" eb="320">
      <t>ワリ</t>
    </rPh>
    <rPh sb="326" eb="328">
      <t>ケイケン</t>
    </rPh>
    <rPh sb="329" eb="330">
      <t>モ</t>
    </rPh>
    <phoneticPr fontId="1"/>
  </si>
  <si>
    <t xml:space="preserve">「AI活用入門」では、産業構造の変化や今後必要とされるスキルなど社会背景に関する知識を学ぶことで、その意義を理解させている。また、Google・Apple・IBMなどリーディングカンパニーのAI技術が、日常生活に密着していることを学ぶことで、好奇心を促す講義内容としている。
加えて、履修生有志による授業外プロジェクト（本学付属小・中学生に簡単なプログラミングを教えたり、特定の企業と連携して、その課題解決に取り組む）を複数立ち上げ、実社会の課題解決に貢献できると感じることで学ぶ意欲の向上を図っている。
</t>
    <rPh sb="43" eb="44">
      <t>マナ</t>
    </rPh>
    <rPh sb="51" eb="53">
      <t>イギ</t>
    </rPh>
    <rPh sb="54" eb="56">
      <t>リカイ</t>
    </rPh>
    <rPh sb="121" eb="124">
      <t>コウキシン</t>
    </rPh>
    <rPh sb="125" eb="126">
      <t>ウナガ</t>
    </rPh>
    <rPh sb="127" eb="131">
      <t>コウギナイヨウ</t>
    </rPh>
    <rPh sb="138" eb="139">
      <t>クワ</t>
    </rPh>
    <rPh sb="142" eb="144">
      <t>リシュウ</t>
    </rPh>
    <rPh sb="144" eb="145">
      <t>ナマ</t>
    </rPh>
    <rPh sb="145" eb="147">
      <t>ユウシ</t>
    </rPh>
    <rPh sb="150" eb="152">
      <t>ジュギョウ</t>
    </rPh>
    <rPh sb="152" eb="153">
      <t>ガイ</t>
    </rPh>
    <rPh sb="160" eb="162">
      <t>ホンガク</t>
    </rPh>
    <rPh sb="162" eb="164">
      <t>フゾク</t>
    </rPh>
    <rPh sb="164" eb="165">
      <t>ショウ</t>
    </rPh>
    <rPh sb="166" eb="168">
      <t>チュウガク</t>
    </rPh>
    <rPh sb="168" eb="169">
      <t>ナマ</t>
    </rPh>
    <rPh sb="170" eb="172">
      <t>カンタン</t>
    </rPh>
    <rPh sb="181" eb="182">
      <t>オシ</t>
    </rPh>
    <rPh sb="186" eb="188">
      <t>トクテイ</t>
    </rPh>
    <rPh sb="189" eb="191">
      <t>キギョウ</t>
    </rPh>
    <rPh sb="192" eb="194">
      <t>レンケイ</t>
    </rPh>
    <rPh sb="199" eb="201">
      <t>カダイ</t>
    </rPh>
    <rPh sb="201" eb="203">
      <t>カイケツ</t>
    </rPh>
    <rPh sb="204" eb="205">
      <t>ト</t>
    </rPh>
    <rPh sb="206" eb="207">
      <t>ク</t>
    </rPh>
    <rPh sb="210" eb="212">
      <t>フクスウ</t>
    </rPh>
    <rPh sb="212" eb="213">
      <t>タ</t>
    </rPh>
    <rPh sb="214" eb="215">
      <t>ア</t>
    </rPh>
    <rPh sb="217" eb="218">
      <t>ジツ</t>
    </rPh>
    <rPh sb="218" eb="220">
      <t>シャカイ</t>
    </rPh>
    <rPh sb="221" eb="223">
      <t>カダイ</t>
    </rPh>
    <rPh sb="223" eb="225">
      <t>カイケツ</t>
    </rPh>
    <rPh sb="226" eb="228">
      <t>コウケン</t>
    </rPh>
    <rPh sb="238" eb="239">
      <t>マナ</t>
    </rPh>
    <rPh sb="240" eb="242">
      <t>イヨク</t>
    </rPh>
    <rPh sb="243" eb="245">
      <t>コウジョウ</t>
    </rPh>
    <rPh sb="246" eb="247">
      <t>ハカ</t>
    </rPh>
    <phoneticPr fontId="1"/>
  </si>
  <si>
    <t xml:space="preserve">「AI活用人材育成プログラム」は、本学と日本IBM社とが共同プロジェクトとして、平成29年から2年をかけて開発した。日本IBM社で企業の課題解決に取り組むコンサルタントや基礎研究所の研究員らと本学教員が教材作成やカリキュラム設計に取り組み、毎回100分間の全14回の授業ごとに、5分ごとの授業設計書を作成するとともに、教授内容やスライド教材を整理して、当該分野の教員誰もが共通の内容を共通の方法で教えられるようにしている。
令和元年度に開講後も、この日本IBM社との連携によって、AIの社会実装の事例など最新情報・トピックス等を組込み、授業内容の定期的なアップデートを行っている。
令和3年度以降、完全e-Learning（フルオンライン・オンデマンド）によって、企業、自治体、社会人一般等にも提供することで、日本国内で2030年には79万人不足すると言われている「AI人材」の育成に大きく寄与するとともに、他大学に提供が可能となることによって、政府による「AI戦略2019」に掲げている年間社会人100万人、大学生・高専生50万人がリテラシーレベルの数理・データサイエンス・AIを修得するという目標に貢献する。
なお、本プログラムは、以下のメディアなどにも取り上げられており、注目が集まっている。
・IBM『Think Summit Japan』講演会　令和2（2020)年9月3日発表
　https://www.kwansei.ac.jp/news/detail/4193
・第5回関西教育ICT展　「これからの教育機関に求められる『AI基礎教育』の進め方」セミナー　令和2（2020）年10月29日発表
　https://project.nikkeibp.co.jp/pc/atcl/19/06/21/00003/111000145/
・東洋経済オンライン『education特集』　令和3（2021）年2月27日掲載
　https://toyokeizai.net/articles/-/412399
・日本経済団体連合会『Society 5.0時代の学びⅡ～EdTechを通じた自律的な学びへ～』　令和3（2021）年3月16日掲載、事例8
　http://www.keidanren.or.jp/policy/2021/027.html
</t>
    <rPh sb="3" eb="5">
      <t>カツヨウ</t>
    </rPh>
    <rPh sb="5" eb="7">
      <t>ジンザイ</t>
    </rPh>
    <rPh sb="7" eb="9">
      <t>イクセイ</t>
    </rPh>
    <rPh sb="17" eb="19">
      <t>ホンガク</t>
    </rPh>
    <rPh sb="20" eb="22">
      <t>ニホン</t>
    </rPh>
    <rPh sb="25" eb="26">
      <t>シャ</t>
    </rPh>
    <rPh sb="28" eb="30">
      <t>キョウドウ</t>
    </rPh>
    <rPh sb="40" eb="42">
      <t>ヘイセイ</t>
    </rPh>
    <rPh sb="44" eb="45">
      <t>ネン</t>
    </rPh>
    <rPh sb="48" eb="49">
      <t>ネン</t>
    </rPh>
    <rPh sb="53" eb="55">
      <t>カイハツ</t>
    </rPh>
    <rPh sb="58" eb="60">
      <t>ニホン</t>
    </rPh>
    <rPh sb="63" eb="64">
      <t>シャ</t>
    </rPh>
    <rPh sb="65" eb="67">
      <t>キギョウ</t>
    </rPh>
    <rPh sb="68" eb="70">
      <t>カダイ</t>
    </rPh>
    <rPh sb="70" eb="72">
      <t>カイケツ</t>
    </rPh>
    <rPh sb="73" eb="74">
      <t>ト</t>
    </rPh>
    <rPh sb="75" eb="76">
      <t>ク</t>
    </rPh>
    <rPh sb="85" eb="87">
      <t>キソ</t>
    </rPh>
    <rPh sb="87" eb="90">
      <t>ケンキュウショ</t>
    </rPh>
    <rPh sb="91" eb="94">
      <t>ケンキュウイン</t>
    </rPh>
    <rPh sb="96" eb="98">
      <t>ホンガク</t>
    </rPh>
    <rPh sb="98" eb="100">
      <t>キョウイン</t>
    </rPh>
    <rPh sb="101" eb="103">
      <t>キョウザイ</t>
    </rPh>
    <rPh sb="103" eb="105">
      <t>サクセイ</t>
    </rPh>
    <rPh sb="112" eb="114">
      <t>セッケイ</t>
    </rPh>
    <rPh sb="115" eb="116">
      <t>ト</t>
    </rPh>
    <rPh sb="117" eb="118">
      <t>ク</t>
    </rPh>
    <rPh sb="125" eb="127">
      <t>フンカン</t>
    </rPh>
    <rPh sb="128" eb="129">
      <t>ゼン</t>
    </rPh>
    <rPh sb="131" eb="132">
      <t>カイ</t>
    </rPh>
    <rPh sb="133" eb="135">
      <t>ジュギョウ</t>
    </rPh>
    <rPh sb="140" eb="141">
      <t>フン</t>
    </rPh>
    <rPh sb="144" eb="146">
      <t>ジュギョウ</t>
    </rPh>
    <rPh sb="146" eb="149">
      <t>セッケイショ</t>
    </rPh>
    <rPh sb="150" eb="152">
      <t>サクセイ</t>
    </rPh>
    <rPh sb="159" eb="161">
      <t>キョウジュ</t>
    </rPh>
    <rPh sb="161" eb="163">
      <t>ナイヨウ</t>
    </rPh>
    <rPh sb="168" eb="170">
      <t>キョウザイ</t>
    </rPh>
    <rPh sb="171" eb="173">
      <t>セイリ</t>
    </rPh>
    <rPh sb="176" eb="178">
      <t>トウガイ</t>
    </rPh>
    <rPh sb="178" eb="180">
      <t>ブンヤ</t>
    </rPh>
    <rPh sb="181" eb="183">
      <t>キョウイン</t>
    </rPh>
    <rPh sb="183" eb="184">
      <t>ダレ</t>
    </rPh>
    <rPh sb="186" eb="188">
      <t>キョウツウ</t>
    </rPh>
    <rPh sb="189" eb="191">
      <t>ナイヨウ</t>
    </rPh>
    <rPh sb="192" eb="194">
      <t>キョウツウ</t>
    </rPh>
    <rPh sb="195" eb="197">
      <t>ホウホウ</t>
    </rPh>
    <rPh sb="198" eb="199">
      <t>オシ</t>
    </rPh>
    <rPh sb="212" eb="214">
      <t>レイワ</t>
    </rPh>
    <rPh sb="214" eb="216">
      <t>ガンネン</t>
    </rPh>
    <rPh sb="216" eb="217">
      <t>ド</t>
    </rPh>
    <rPh sb="218" eb="220">
      <t>カイコウ</t>
    </rPh>
    <rPh sb="220" eb="221">
      <t>ノチ</t>
    </rPh>
    <rPh sb="243" eb="247">
      <t>シャカイジッソウ</t>
    </rPh>
    <rPh sb="248" eb="250">
      <t>ジレイ</t>
    </rPh>
    <rPh sb="292" eb="294">
      <t>レイワ</t>
    </rPh>
    <rPh sb="295" eb="297">
      <t>ネンド</t>
    </rPh>
    <rPh sb="297" eb="299">
      <t>イコウ</t>
    </rPh>
    <rPh sb="333" eb="335">
      <t>キギョウ</t>
    </rPh>
    <rPh sb="336" eb="339">
      <t>ジチタイ</t>
    </rPh>
    <rPh sb="340" eb="342">
      <t>シャカイ</t>
    </rPh>
    <rPh sb="342" eb="343">
      <t>ジン</t>
    </rPh>
    <rPh sb="343" eb="345">
      <t>イッパン</t>
    </rPh>
    <rPh sb="345" eb="346">
      <t>トウ</t>
    </rPh>
    <rPh sb="348" eb="350">
      <t>テイキョウ</t>
    </rPh>
    <rPh sb="356" eb="360">
      <t>ニホンコクナイ</t>
    </rPh>
    <rPh sb="365" eb="366">
      <t>ネン</t>
    </rPh>
    <rPh sb="370" eb="372">
      <t>マンニン</t>
    </rPh>
    <rPh sb="372" eb="374">
      <t>フソク</t>
    </rPh>
    <rPh sb="377" eb="378">
      <t>イ</t>
    </rPh>
    <rPh sb="386" eb="388">
      <t>ジンザイ</t>
    </rPh>
    <rPh sb="390" eb="392">
      <t>イクセイ</t>
    </rPh>
    <rPh sb="393" eb="394">
      <t>オオ</t>
    </rPh>
    <rPh sb="396" eb="398">
      <t>キヨ</t>
    </rPh>
    <rPh sb="424" eb="426">
      <t>セイフ</t>
    </rPh>
    <rPh sb="445" eb="447">
      <t>ネンカン</t>
    </rPh>
    <rPh sb="447" eb="449">
      <t>シャカイ</t>
    </rPh>
    <rPh sb="449" eb="450">
      <t>ジン</t>
    </rPh>
    <rPh sb="453" eb="455">
      <t>マンニン</t>
    </rPh>
    <rPh sb="456" eb="459">
      <t>ダイガクセイ</t>
    </rPh>
    <rPh sb="460" eb="463">
      <t>コウセンナマ</t>
    </rPh>
    <rPh sb="465" eb="467">
      <t>マンニン</t>
    </rPh>
    <rPh sb="477" eb="479">
      <t>スウリ</t>
    </rPh>
    <rPh sb="492" eb="494">
      <t>シュウトク</t>
    </rPh>
    <rPh sb="499" eb="501">
      <t>モクヒョウ</t>
    </rPh>
    <rPh sb="502" eb="504">
      <t>コウケン</t>
    </rPh>
    <rPh sb="512" eb="513">
      <t>ホン</t>
    </rPh>
    <rPh sb="520" eb="522">
      <t>イカ</t>
    </rPh>
    <rPh sb="531" eb="532">
      <t>ト</t>
    </rPh>
    <rPh sb="533" eb="534">
      <t>ア</t>
    </rPh>
    <rPh sb="541" eb="543">
      <t>チュウモク</t>
    </rPh>
    <rPh sb="544" eb="545">
      <t>アツ</t>
    </rPh>
    <rPh sb="580" eb="582">
      <t>レイワ</t>
    </rPh>
    <rPh sb="688" eb="690">
      <t>レイワ</t>
    </rPh>
    <rPh sb="697" eb="698">
      <t>ネン</t>
    </rPh>
    <rPh sb="700" eb="701">
      <t>ガツ</t>
    </rPh>
    <rPh sb="703" eb="704">
      <t>ニチ</t>
    </rPh>
    <rPh sb="704" eb="706">
      <t>ハッピョウ</t>
    </rPh>
    <rPh sb="774" eb="776">
      <t>トウヨウ</t>
    </rPh>
    <rPh sb="776" eb="778">
      <t>ケイザイ</t>
    </rPh>
    <rPh sb="793" eb="795">
      <t>トクシュウ</t>
    </rPh>
    <rPh sb="797" eb="799">
      <t>レイワ</t>
    </rPh>
    <rPh sb="806" eb="807">
      <t>ネン</t>
    </rPh>
    <rPh sb="808" eb="809">
      <t>ガツ</t>
    </rPh>
    <rPh sb="811" eb="812">
      <t>ニチ</t>
    </rPh>
    <rPh sb="812" eb="814">
      <t>ケイサイ</t>
    </rPh>
    <rPh sb="858" eb="860">
      <t>ニホン</t>
    </rPh>
    <rPh sb="860" eb="862">
      <t>ケイザイ</t>
    </rPh>
    <rPh sb="862" eb="864">
      <t>ダンタイ</t>
    </rPh>
    <rPh sb="864" eb="867">
      <t>レンゴウカイ</t>
    </rPh>
    <rPh sb="906" eb="908">
      <t>レイワ</t>
    </rPh>
    <rPh sb="915" eb="916">
      <t>ネン</t>
    </rPh>
    <rPh sb="917" eb="918">
      <t>ガツ</t>
    </rPh>
    <rPh sb="920" eb="921">
      <t>ニチ</t>
    </rPh>
    <rPh sb="921" eb="923">
      <t>ケイサイ</t>
    </rPh>
    <rPh sb="924" eb="926">
      <t>ジレイ</t>
    </rPh>
    <phoneticPr fontId="1"/>
  </si>
  <si>
    <t>AI活用人材とは、AI・データサイエンス関連の知識を持ち、それを活用して、現実の諸問題を解決できる能力を有する人材と定義し、特に「AI活用入門」では、AI活用人材として社会で活躍するための基礎的な知識を修得することを目的とする。
人工知能の歴史を紐解きながら、第4次産業革命、Society5.0において、AI、ビッグデータ、IoTなどが鍵となってAIやデータサイエンスの重要性が高まっていること（モデルカリキュラム導入1-1に該当）、またそれを活用できるAI活用人材の必要性を学ぶとともに、様々なAI技術とその応用例に触れることで、日常生活に密着していることを学ぶ（モデルカリキュラム導入1-6に該当）。</t>
    <phoneticPr fontId="1"/>
  </si>
  <si>
    <t>データサイエンスの重要性を理解し、統計解析の基礎概念とその活用事例を学ぶ（第1～4回）</t>
    <rPh sb="9" eb="12">
      <t>ジュウヨウセイ</t>
    </rPh>
    <rPh sb="13" eb="15">
      <t>リカイ</t>
    </rPh>
    <rPh sb="17" eb="19">
      <t>トウケイ</t>
    </rPh>
    <rPh sb="19" eb="21">
      <t>カイセキ</t>
    </rPh>
    <rPh sb="22" eb="24">
      <t>キソ</t>
    </rPh>
    <rPh sb="24" eb="26">
      <t>ガイネン</t>
    </rPh>
    <rPh sb="29" eb="31">
      <t>カツヨウ</t>
    </rPh>
    <rPh sb="30" eb="31">
      <t>ヨウ</t>
    </rPh>
    <rPh sb="41" eb="42">
      <t>カイ</t>
    </rPh>
    <phoneticPr fontId="1"/>
  </si>
  <si>
    <t>AIやデータサイエンスがビジネスに活用されていることを示した後、それらを活用するために留意すべき事項（個人情報の取り扱いやセキュリティ、データ利用の際に必要なモラルや倫理、情報漏洩リスクとその対策など）について併せて学ぶ（モデルカリキュラム心得3-1、心得3-2に該当）。</t>
    <phoneticPr fontId="1"/>
  </si>
  <si>
    <t>UI/UXデザインの考え⽅、HTML, CSS, JavaScriptの基礎を学ぶ。さらに、テーマに応じたWebページを開発する（第1～12回）</t>
    <phoneticPr fontId="1"/>
  </si>
  <si>
    <t>AI活用入門、AI活用データサイエンス実践演習Ⅰ</t>
    <phoneticPr fontId="1"/>
  </si>
  <si>
    <t>AI活用入門、AI活用導入演習A</t>
    <rPh sb="9" eb="11">
      <t>カツヨウ</t>
    </rPh>
    <rPh sb="11" eb="13">
      <t>ドウニュウ</t>
    </rPh>
    <rPh sb="13" eb="15">
      <t>エンシュウ</t>
    </rPh>
    <phoneticPr fontId="1"/>
  </si>
  <si>
    <t>AI活用入門、AI活用導入演習B</t>
    <rPh sb="9" eb="11">
      <t>カツヨウ</t>
    </rPh>
    <rPh sb="11" eb="13">
      <t>ドウニュウ</t>
    </rPh>
    <rPh sb="13" eb="15">
      <t>エンシュウ</t>
    </rPh>
    <phoneticPr fontId="1"/>
  </si>
  <si>
    <t>本学は学生個人と紐づけた卒業生調査を卒業後55年目まで実施し、「IR分析基盤システム」にデータを集積している。これを活用して、本プログラム修了生の進路や活躍状況を分析していく。
令和3年度からは、本プログラムのAI活用入門、AI活用アプリケーションデザイン入門（旧：AI活用導入演習A）、AI活用データサイエンス入門（旧：AI活用データサイエンス実践演習Ⅰ）を、大学授業と同一内容にて企業等に提供する。その修了者を対象に、受講者アンケートを実施することで、実社会における本プログラムの評価等を分析することが可能となる。また、その結果を本学学生に紹介することで、本プログラムを修了する意義を示すことができる。</t>
    <rPh sb="0" eb="2">
      <t>ホンガク</t>
    </rPh>
    <rPh sb="3" eb="7">
      <t>ガクセイコジン</t>
    </rPh>
    <rPh sb="8" eb="9">
      <t>ヒモ</t>
    </rPh>
    <rPh sb="48" eb="50">
      <t>シュウセキ</t>
    </rPh>
    <rPh sb="58" eb="60">
      <t>カツヨウ</t>
    </rPh>
    <rPh sb="63" eb="64">
      <t>ホン</t>
    </rPh>
    <rPh sb="71" eb="72">
      <t>ナマ</t>
    </rPh>
    <rPh sb="81" eb="83">
      <t>ブンセキ</t>
    </rPh>
    <rPh sb="89" eb="91">
      <t>レイワ</t>
    </rPh>
    <rPh sb="92" eb="94">
      <t>ネンド</t>
    </rPh>
    <rPh sb="131" eb="132">
      <t>キュウ</t>
    </rPh>
    <rPh sb="135" eb="137">
      <t>カツヨウ</t>
    </rPh>
    <rPh sb="137" eb="139">
      <t>ドウニュウ</t>
    </rPh>
    <rPh sb="139" eb="141">
      <t>エンシュウ</t>
    </rPh>
    <rPh sb="159" eb="160">
      <t>キュウ</t>
    </rPh>
    <rPh sb="163" eb="165">
      <t>カツヨウ</t>
    </rPh>
    <rPh sb="173" eb="175">
      <t>ジッセン</t>
    </rPh>
    <rPh sb="175" eb="177">
      <t>エンシュウ</t>
    </rPh>
    <rPh sb="192" eb="194">
      <t>キギョウ</t>
    </rPh>
    <rPh sb="194" eb="195">
      <t>トウ</t>
    </rPh>
    <rPh sb="235" eb="236">
      <t>ホン</t>
    </rPh>
    <rPh sb="242" eb="244">
      <t>ヒョウカ</t>
    </rPh>
    <phoneticPr fontId="1"/>
  </si>
  <si>
    <t xml:space="preserve">本プログラムは本学と日本IBM社が共同で開発しており、日々加速度的に進歩するIT分野について、担当教員だけでなく、最前線で企業課題の解決に取り組む日本IBMのコンサルタントや基礎研究所の研究者と連携しながら、教材内容や授業計画を作成するとともにメンテナンスを毎年実施している。
令和3年度からは、本プログラムのAI活用入門、AI活用アプリケーションデザイン入門（旧：AI活用導入演習A）、AI活用データサイエンス入門（旧：AI活用データサイエンス実践演習Ⅰ）を、大学授業と同一内容にて企業等に提供する。その修了者を対象に、受講者アンケートを実施することで、実社会における本プログラムの評価等を分析することが可能となる。
</t>
    <rPh sb="0" eb="1">
      <t>ホン</t>
    </rPh>
    <rPh sb="7" eb="9">
      <t>ホンガク</t>
    </rPh>
    <rPh sb="40" eb="42">
      <t>ブンヤ</t>
    </rPh>
    <rPh sb="61" eb="63">
      <t>キギョウ</t>
    </rPh>
    <rPh sb="63" eb="65">
      <t>カダイ</t>
    </rPh>
    <rPh sb="66" eb="68">
      <t>カイケツ</t>
    </rPh>
    <rPh sb="69" eb="70">
      <t>ト</t>
    </rPh>
    <rPh sb="71" eb="72">
      <t>ク</t>
    </rPh>
    <rPh sb="87" eb="89">
      <t>キソ</t>
    </rPh>
    <rPh sb="89" eb="92">
      <t>ケンキュウショ</t>
    </rPh>
    <rPh sb="93" eb="96">
      <t>ケンキュウシャ</t>
    </rPh>
    <rPh sb="114" eb="116">
      <t>サクセイ</t>
    </rPh>
    <rPh sb="223" eb="225">
      <t>ジッセン</t>
    </rPh>
    <rPh sb="225" eb="227">
      <t>エンシュウ</t>
    </rPh>
    <phoneticPr fontId="1"/>
  </si>
  <si>
    <t xml:space="preserve">
【令和元年度以降】
プログラムを構成する下記9科目合計18単位を取得すること。
</t>
    <rPh sb="2" eb="4">
      <t>レイワ</t>
    </rPh>
    <rPh sb="4" eb="5">
      <t>モト</t>
    </rPh>
    <rPh sb="5" eb="7">
      <t>ネンド</t>
    </rPh>
    <rPh sb="7" eb="9">
      <t>イコウ</t>
    </rPh>
    <rPh sb="18" eb="20">
      <t>コウセイ</t>
    </rPh>
    <rPh sb="22" eb="24">
      <t>カキ</t>
    </rPh>
    <rPh sb="25" eb="27">
      <t>カモク</t>
    </rPh>
    <rPh sb="27" eb="29">
      <t>ゴウケイ</t>
    </rPh>
    <rPh sb="31" eb="33">
      <t>タンイ</t>
    </rPh>
    <rPh sb="34" eb="36">
      <t>シュトク</t>
    </rPh>
    <phoneticPr fontId="1"/>
  </si>
  <si>
    <t xml:space="preserve">10科目で構成される本プログラムは、AI・データサイエンス関連の知識を活用して現実の諸問題を解決できる「AI活用人材」を育成することを目的とする。文系理系を問わず、AI・IT・データサイエンス・ビジネスの知識・スキルとともに実ビジネス視点を身につけることで、それぞれの専門分野の学びに生かせるよう設計している。
最初の履修を義務付けている「AI活用入門」は、AIに係る技術、歴史、事例、ツール等を幅広く学び、基礎的な知識とスキルを修得するもので、「数理・データサイエンス・AI教育プログラム（リテラシーレベル）」の要件である5項目すべてをカバーしている。
「AI活用導入演習Ａ，Ｂ」はAIの各機能（言語・画像・音声等）の利用法について、「AI活用実践演習A，B，C」はJava、Python、html等プログラミング言語やユーザーインターフェース・デザインについて、「AIデータサイエンス実践演習Ⅰ，Ⅱ」はデータ解析に関する知識と技術についてそれぞれ学び、AI活用人材として活躍するのに実践的な知識とスキルを修得する。「AI活用発展演習Ⅰ，Ⅱ」（Ⅱは令和3年度新規開講）は、企業・自治体と連携し、それぞれが抱える現実の課題に対してAIを活用した解決策を提案するプロジェクト型演習を行う。
なお、令和3年度より、入門系３科目は完全なe-Learning形式（フルオンライン・オンデマンド）に転換し、いつでもどこでも何度でも受講可能な自由度の高い学修スタイルを実現している。また、ナレーションによる説明、講師の解説、デモ動画、オンラインでの演習、時間制限のワーク、ランダムテスト等の多様な機能を有するプラットフォームを活用することにより、受講者に対して質の高い学修体験を提供している。
</t>
    <rPh sb="238" eb="240">
      <t>キョウイク</t>
    </rPh>
    <rPh sb="475" eb="477">
      <t>レイワ</t>
    </rPh>
    <rPh sb="478" eb="480">
      <t>ネンド</t>
    </rPh>
    <rPh sb="480" eb="482">
      <t>シンキ</t>
    </rPh>
    <rPh sb="482" eb="484">
      <t>カイコウ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</si>
</sst>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7"/>
      <color theme="1"/>
      <name val="ＭＳ Ｐゴシック"/>
      <family val="3"/>
      <charset val="128"/>
      <scheme val="minor"/>
    </font>
    <font>
      <sz val="11"/>
      <color theme="1"/>
      <name val="ＭＳ Ｐゴシック"/>
      <family val="3"/>
      <charset val="128"/>
      <scheme val="minor"/>
    </font>
    <font>
      <u/>
      <sz val="11"/>
      <color theme="1"/>
      <name val="ＭＳ Ｐゴシック"/>
      <family val="3"/>
      <charset val="128"/>
      <scheme val="minor"/>
    </font>
    <font>
      <sz val="12"/>
      <color theme="1"/>
      <name val="Microsoft JhengHei UI"/>
      <family val="3"/>
      <charset val="134"/>
    </font>
    <font>
      <sz val="12"/>
      <color theme="1"/>
      <name val="Microsoft JhengHei UI"/>
      <family val="2"/>
      <charset val="134"/>
    </font>
    <font>
      <sz val="12"/>
      <color theme="1"/>
      <name val="Microsoft JhengHei"/>
      <family val="2"/>
      <charset val="136"/>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09">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pplyAlignment="1">
      <alignment vertical="center"/>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5" fillId="0" borderId="0" xfId="0" applyFont="1" applyBorder="1" applyAlignment="1">
      <alignment vertical="top" wrapText="1"/>
    </xf>
    <xf numFmtId="0" fontId="5" fillId="0" borderId="10" xfId="0" applyFont="1" applyBorder="1" applyAlignment="1">
      <alignment vertical="top" wrapText="1"/>
    </xf>
    <xf numFmtId="0" fontId="9" fillId="0" borderId="11" xfId="0" applyFont="1" applyBorder="1" applyAlignment="1">
      <alignment horizontal="center" vertical="center"/>
    </xf>
    <xf numFmtId="0" fontId="9" fillId="0" borderId="12"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32" xfId="0" applyFont="1" applyBorder="1" applyAlignment="1">
      <alignment horizontal="center" vertical="center"/>
    </xf>
    <xf numFmtId="0" fontId="3" fillId="0" borderId="0" xfId="0" applyFont="1" applyAlignment="1">
      <alignment vertical="center" wrapText="1"/>
    </xf>
    <xf numFmtId="0" fontId="3" fillId="0" borderId="0" xfId="0" applyFont="1" applyFill="1" applyBorder="1" applyAlignment="1">
      <alignment vertical="center"/>
    </xf>
    <xf numFmtId="0" fontId="5" fillId="0" borderId="0" xfId="0" applyFont="1" applyFill="1" applyBorder="1" applyAlignment="1">
      <alignment vertical="top" wrapText="1"/>
    </xf>
    <xf numFmtId="0" fontId="3" fillId="0" borderId="0" xfId="0" applyFont="1" applyAlignment="1">
      <alignment horizontal="center" vertical="center"/>
    </xf>
    <xf numFmtId="0" fontId="3" fillId="0" borderId="0" xfId="0" applyFont="1" applyAlignment="1">
      <alignment vertical="center" shrinkToFit="1"/>
    </xf>
    <xf numFmtId="0" fontId="10" fillId="0" borderId="0" xfId="0" applyFont="1">
      <alignment vertical="center"/>
    </xf>
    <xf numFmtId="0" fontId="3" fillId="0" borderId="0"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3" fillId="0" borderId="11" xfId="0" applyFont="1" applyBorder="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horizontal="left" vertical="center"/>
    </xf>
    <xf numFmtId="0" fontId="3" fillId="0" borderId="0" xfId="0" applyFont="1" applyBorder="1" applyAlignment="1">
      <alignment vertical="center"/>
    </xf>
    <xf numFmtId="0" fontId="3" fillId="0" borderId="10" xfId="0" applyFont="1" applyBorder="1" applyAlignment="1">
      <alignment vertical="center"/>
    </xf>
    <xf numFmtId="0" fontId="3" fillId="0" borderId="10" xfId="0" applyFont="1" applyBorder="1" applyAlignment="1">
      <alignment vertical="center" shrinkToFit="1"/>
    </xf>
    <xf numFmtId="0" fontId="3" fillId="0" borderId="5" xfId="0" applyFont="1" applyBorder="1">
      <alignment vertical="center"/>
    </xf>
    <xf numFmtId="176" fontId="3" fillId="0" borderId="0" xfId="0" applyNumberFormat="1" applyFont="1" applyBorder="1" applyAlignment="1">
      <alignment vertical="center" wrapText="1"/>
    </xf>
    <xf numFmtId="0" fontId="3" fillId="0" borderId="0" xfId="0" applyFont="1" applyBorder="1">
      <alignment vertical="center"/>
    </xf>
    <xf numFmtId="176" fontId="3" fillId="0" borderId="5" xfId="0" applyNumberFormat="1" applyFont="1" applyBorder="1" applyAlignment="1">
      <alignment vertical="center"/>
    </xf>
    <xf numFmtId="176" fontId="3" fillId="0" borderId="0" xfId="0" applyNumberFormat="1" applyFont="1" applyBorder="1">
      <alignment vertical="center"/>
    </xf>
    <xf numFmtId="0" fontId="3" fillId="0" borderId="0" xfId="0" applyFont="1" applyBorder="1" applyAlignment="1">
      <alignment horizontal="center" vertical="center"/>
    </xf>
    <xf numFmtId="176" fontId="3" fillId="0" borderId="0" xfId="0" applyNumberFormat="1" applyFont="1" applyAlignment="1">
      <alignment vertical="center" wrapText="1"/>
    </xf>
    <xf numFmtId="176" fontId="3" fillId="0" borderId="3" xfId="0" applyNumberFormat="1" applyFont="1" applyBorder="1" applyAlignment="1">
      <alignment vertical="center" shrinkToFit="1"/>
    </xf>
    <xf numFmtId="176" fontId="3" fillId="0" borderId="0" xfId="0" applyNumberFormat="1" applyFont="1" applyAlignment="1">
      <alignment horizontal="left" vertical="center" wrapText="1"/>
    </xf>
    <xf numFmtId="0" fontId="3" fillId="0" borderId="6" xfId="0" applyFont="1" applyBorder="1" applyAlignment="1">
      <alignment vertical="center" shrinkToFit="1"/>
    </xf>
    <xf numFmtId="0" fontId="3" fillId="0" borderId="0" xfId="0" applyFont="1" applyBorder="1" applyAlignment="1">
      <alignment horizontal="center" vertical="center" shrinkToFit="1"/>
    </xf>
    <xf numFmtId="0" fontId="3" fillId="0" borderId="0" xfId="0" applyFont="1" applyFill="1">
      <alignment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0" xfId="0" applyFont="1" applyAlignment="1">
      <alignment horizontal="right" vertical="center"/>
    </xf>
    <xf numFmtId="0" fontId="3" fillId="0" borderId="1" xfId="0" applyFont="1" applyBorder="1" applyAlignment="1">
      <alignment vertical="center" shrinkToFit="1"/>
    </xf>
    <xf numFmtId="0" fontId="3" fillId="0" borderId="2" xfId="0" applyFont="1" applyBorder="1" applyAlignment="1">
      <alignment vertical="center" shrinkToFit="1"/>
    </xf>
    <xf numFmtId="0" fontId="3" fillId="0" borderId="2" xfId="0" applyFont="1" applyBorder="1" applyAlignment="1">
      <alignment horizontal="center" vertical="center" shrinkToFit="1"/>
    </xf>
    <xf numFmtId="0" fontId="3" fillId="0" borderId="1" xfId="0" applyFont="1" applyBorder="1" applyAlignment="1">
      <alignment vertical="center" wrapText="1"/>
    </xf>
    <xf numFmtId="0" fontId="5" fillId="0" borderId="0" xfId="0" applyFont="1" applyBorder="1" applyAlignment="1">
      <alignment vertical="top" shrinkToFit="1"/>
    </xf>
    <xf numFmtId="0" fontId="5" fillId="0" borderId="0" xfId="0" applyFont="1" applyBorder="1" applyAlignment="1">
      <alignment vertical="center" wrapText="1"/>
    </xf>
    <xf numFmtId="0" fontId="5" fillId="0" borderId="5" xfId="0" applyFont="1" applyBorder="1" applyAlignment="1">
      <alignment vertical="top" wrapText="1"/>
    </xf>
    <xf numFmtId="0" fontId="3" fillId="0" borderId="17" xfId="0" applyFont="1" applyBorder="1">
      <alignment vertical="center"/>
    </xf>
    <xf numFmtId="0" fontId="5" fillId="0" borderId="21" xfId="0" applyFont="1" applyBorder="1" applyAlignment="1">
      <alignment vertical="top" wrapText="1"/>
    </xf>
    <xf numFmtId="0" fontId="5" fillId="0" borderId="19" xfId="0" applyFont="1" applyBorder="1" applyAlignment="1">
      <alignment vertical="top" wrapText="1"/>
    </xf>
    <xf numFmtId="0" fontId="5" fillId="0" borderId="21" xfId="0" applyFont="1" applyBorder="1" applyAlignment="1">
      <alignment vertical="top" shrinkToFit="1"/>
    </xf>
    <xf numFmtId="0" fontId="5" fillId="0" borderId="19" xfId="0" applyFont="1" applyBorder="1" applyAlignment="1">
      <alignment vertical="top" shrinkToFit="1"/>
    </xf>
    <xf numFmtId="0" fontId="10" fillId="0" borderId="0" xfId="2" applyNumberFormat="1" applyFont="1" applyBorder="1" applyAlignment="1">
      <alignment vertical="center" shrinkToFit="1"/>
    </xf>
    <xf numFmtId="0" fontId="5" fillId="0" borderId="0" xfId="0" applyFont="1" applyBorder="1" applyAlignment="1">
      <alignment vertical="center" shrinkToFit="1"/>
    </xf>
    <xf numFmtId="0" fontId="5" fillId="0" borderId="10" xfId="0" applyFont="1" applyBorder="1" applyAlignment="1">
      <alignment vertical="center" shrinkToFit="1"/>
    </xf>
    <xf numFmtId="0" fontId="3" fillId="0" borderId="2" xfId="0" applyFont="1" applyBorder="1" applyAlignment="1">
      <alignment horizontal="center" vertical="center" shrinkToFit="1"/>
    </xf>
    <xf numFmtId="49" fontId="11"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3" fillId="0" borderId="0" xfId="0" applyFont="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0"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10" xfId="0" applyFont="1" applyBorder="1" applyAlignment="1">
      <alignment horizontal="righ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0" xfId="0" applyFont="1" applyAlignment="1">
      <alignment horizontal="right" vertical="center"/>
    </xf>
    <xf numFmtId="0" fontId="3" fillId="0" borderId="0" xfId="0" applyFont="1" applyBorder="1" applyAlignment="1">
      <alignment horizontal="right" vertical="center"/>
    </xf>
    <xf numFmtId="0" fontId="3" fillId="0" borderId="10" xfId="0" applyFont="1" applyBorder="1" applyAlignment="1">
      <alignment horizontal="right" vertical="center"/>
    </xf>
    <xf numFmtId="176" fontId="3" fillId="0" borderId="3" xfId="0" applyNumberFormat="1" applyFont="1" applyBorder="1" applyAlignment="1">
      <alignment horizontal="center" vertical="center" shrinkToFit="1"/>
    </xf>
    <xf numFmtId="0" fontId="3" fillId="0" borderId="0" xfId="0" applyFont="1" applyBorder="1" applyAlignment="1">
      <alignment horizontal="center" vertical="center" shrinkToFit="1"/>
    </xf>
    <xf numFmtId="0" fontId="3" fillId="0" borderId="0" xfId="0" applyFont="1" applyAlignment="1">
      <alignment horizontal="center" vertical="center"/>
    </xf>
    <xf numFmtId="0" fontId="3" fillId="0" borderId="4" xfId="0" applyFont="1" applyBorder="1" applyAlignment="1">
      <alignment vertical="center" shrinkToFit="1"/>
    </xf>
    <xf numFmtId="0" fontId="3" fillId="0" borderId="0" xfId="0" applyFont="1" applyBorder="1" applyAlignment="1">
      <alignment vertical="center" shrinkToFit="1"/>
    </xf>
    <xf numFmtId="3" fontId="3" fillId="0" borderId="2" xfId="0" applyNumberFormat="1" applyFont="1" applyBorder="1" applyAlignment="1">
      <alignment horizontal="center" vertical="center"/>
    </xf>
    <xf numFmtId="0" fontId="3" fillId="0" borderId="0" xfId="0" applyFont="1" applyAlignment="1">
      <alignment vertical="center" shrinkToFit="1"/>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9" fillId="0" borderId="16" xfId="0" applyFont="1" applyBorder="1" applyAlignment="1">
      <alignment horizontal="center" vertical="center" wrapText="1"/>
    </xf>
    <xf numFmtId="0" fontId="9"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lef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wrapText="1"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5"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7" fillId="0" borderId="2" xfId="2" applyBorder="1" applyAlignment="1">
      <alignment vertical="center" shrinkToFit="1"/>
    </xf>
    <xf numFmtId="0" fontId="2" fillId="0" borderId="2"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Border="1" applyAlignment="1">
      <alignment horizontal="left" vertical="top" shrinkToFit="1"/>
    </xf>
    <xf numFmtId="0" fontId="3" fillId="0" borderId="10" xfId="0" applyFont="1" applyBorder="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6" xfId="0" applyFont="1" applyBorder="1" applyAlignment="1">
      <alignment vertical="center"/>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11" fillId="0" borderId="2" xfId="2" applyFont="1" applyBorder="1" applyAlignment="1">
      <alignment horizontal="left" vertical="center" shrinkToFit="1"/>
    </xf>
    <xf numFmtId="0" fontId="5" fillId="0" borderId="3" xfId="0" applyFont="1" applyBorder="1" applyAlignment="1">
      <alignment horizontal="left" vertical="center" shrinkToFit="1"/>
    </xf>
    <xf numFmtId="0" fontId="5" fillId="0" borderId="4" xfId="0" applyFont="1" applyBorder="1" applyAlignment="1">
      <alignment horizontal="left" vertical="center" shrinkToFi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5" fillId="0" borderId="0" xfId="0" applyFont="1" applyAlignment="1">
      <alignment vertical="top"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18" xfId="0" applyFont="1" applyBorder="1" applyAlignment="1">
      <alignment vertical="center"/>
    </xf>
    <xf numFmtId="0" fontId="10" fillId="0" borderId="19" xfId="0" applyFont="1" applyBorder="1" applyAlignment="1">
      <alignment vertical="center"/>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top" wrapText="1" shrinkToFit="1"/>
    </xf>
    <xf numFmtId="0" fontId="3" fillId="0" borderId="23" xfId="0" applyFont="1" applyBorder="1" applyAlignment="1">
      <alignment vertical="top" wrapText="1" shrinkToFit="1"/>
    </xf>
    <xf numFmtId="0" fontId="3" fillId="0" borderId="20" xfId="0" applyFont="1" applyBorder="1" applyAlignment="1">
      <alignment vertical="center" wrapText="1"/>
    </xf>
    <xf numFmtId="0" fontId="3"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raya@kwansei.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wansei.ac.jp/a_affairs/a_affairs_m_004640.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wansei.ac.jp/a_affairs/a_affairs_018161.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Normal="100" workbookViewId="0">
      <selection activeCell="R30" sqref="R30"/>
    </sheetView>
  </sheetViews>
  <sheetFormatPr defaultColWidth="9" defaultRowHeight="18.75" customHeight="1" x14ac:dyDescent="0.15"/>
  <cols>
    <col min="1" max="1" width="2.5" style="1" customWidth="1"/>
    <col min="2" max="2" width="12.5" style="1" customWidth="1"/>
    <col min="3" max="8" width="6.25" style="1" customWidth="1"/>
    <col min="9" max="9" width="2.5" style="1" customWidth="1"/>
    <col min="10" max="10" width="10" style="1" customWidth="1"/>
    <col min="11" max="11" width="2.5" style="1" customWidth="1"/>
    <col min="12" max="12" width="7.5" style="1" customWidth="1"/>
    <col min="13" max="13" width="2.5" style="1" customWidth="1"/>
    <col min="14" max="14" width="7.5" style="1" customWidth="1"/>
    <col min="15" max="16384" width="9" style="1"/>
  </cols>
  <sheetData>
    <row r="1" spans="1:14" ht="22.5" customHeight="1" x14ac:dyDescent="0.15">
      <c r="M1" s="99" t="s">
        <v>29</v>
      </c>
      <c r="N1" s="99"/>
    </row>
    <row r="2" spans="1:14" ht="22.5" customHeight="1" x14ac:dyDescent="0.15">
      <c r="A2" s="104" t="s">
        <v>133</v>
      </c>
      <c r="B2" s="104"/>
      <c r="C2" s="104"/>
      <c r="D2" s="104"/>
      <c r="E2" s="104"/>
      <c r="F2" s="104"/>
      <c r="G2" s="104"/>
      <c r="H2" s="104"/>
      <c r="I2" s="104"/>
      <c r="J2" s="104"/>
      <c r="K2" s="104"/>
      <c r="L2" s="104"/>
      <c r="M2" s="104"/>
      <c r="N2" s="104"/>
    </row>
    <row r="3" spans="1:14" ht="22.5" customHeight="1" x14ac:dyDescent="0.15"/>
    <row r="4" spans="1:14" ht="22.5" customHeight="1" x14ac:dyDescent="0.15">
      <c r="A4" s="1" t="s">
        <v>7</v>
      </c>
      <c r="B4" s="3" t="s">
        <v>20</v>
      </c>
      <c r="C4" s="86" t="s">
        <v>134</v>
      </c>
      <c r="D4" s="87"/>
      <c r="E4" s="87"/>
      <c r="F4" s="87"/>
      <c r="G4" s="87"/>
      <c r="H4" s="87"/>
      <c r="I4" s="87"/>
      <c r="J4" s="87"/>
      <c r="K4" s="87"/>
      <c r="L4" s="87"/>
      <c r="M4" s="87"/>
      <c r="N4" s="88"/>
    </row>
    <row r="5" spans="1:14" ht="7.5" customHeight="1" x14ac:dyDescent="0.15">
      <c r="B5" s="3"/>
      <c r="C5" s="3"/>
      <c r="D5" s="3"/>
      <c r="E5" s="43"/>
      <c r="F5" s="19"/>
      <c r="G5" s="19"/>
      <c r="H5" s="19"/>
      <c r="I5" s="19"/>
      <c r="J5" s="19"/>
      <c r="K5" s="19"/>
      <c r="L5" s="19"/>
      <c r="M5" s="19"/>
      <c r="N5" s="19"/>
    </row>
    <row r="6" spans="1:14" ht="22.5" customHeight="1" x14ac:dyDescent="0.15">
      <c r="A6" s="1" t="s">
        <v>56</v>
      </c>
      <c r="B6" s="3" t="s">
        <v>57</v>
      </c>
      <c r="C6" s="3"/>
      <c r="D6" s="86" t="s">
        <v>135</v>
      </c>
      <c r="E6" s="87"/>
      <c r="F6" s="87"/>
      <c r="G6" s="87"/>
      <c r="H6" s="87"/>
      <c r="I6" s="87"/>
      <c r="J6" s="87"/>
      <c r="K6" s="87"/>
      <c r="L6" s="87"/>
      <c r="M6" s="87"/>
      <c r="N6" s="88"/>
    </row>
    <row r="7" spans="1:14" ht="7.5" customHeight="1" x14ac:dyDescent="0.15">
      <c r="B7" s="3"/>
      <c r="C7" s="3"/>
      <c r="D7" s="3"/>
      <c r="E7" s="43"/>
      <c r="F7" s="19"/>
      <c r="G7" s="19"/>
      <c r="H7" s="19"/>
      <c r="I7" s="19"/>
      <c r="J7" s="19"/>
      <c r="K7" s="19"/>
      <c r="L7" s="19"/>
      <c r="M7" s="19"/>
      <c r="N7" s="19"/>
    </row>
    <row r="8" spans="1:14" ht="22.5" customHeight="1" x14ac:dyDescent="0.15">
      <c r="A8" s="44" t="s">
        <v>13</v>
      </c>
      <c r="B8" s="45" t="s">
        <v>58</v>
      </c>
      <c r="C8" s="86" t="s">
        <v>136</v>
      </c>
      <c r="D8" s="87"/>
      <c r="E8" s="88"/>
      <c r="F8" s="19"/>
      <c r="G8" s="103"/>
      <c r="H8" s="103"/>
      <c r="I8" s="103"/>
      <c r="J8" s="19"/>
      <c r="K8" s="19"/>
      <c r="L8" s="19"/>
      <c r="M8" s="19"/>
      <c r="N8" s="19"/>
    </row>
    <row r="9" spans="1:14" ht="7.5" customHeight="1" x14ac:dyDescent="0.15">
      <c r="B9" s="3"/>
      <c r="C9" s="3"/>
      <c r="D9" s="3"/>
      <c r="E9" s="43"/>
      <c r="F9" s="19"/>
      <c r="G9" s="19"/>
      <c r="H9" s="19"/>
      <c r="I9" s="19"/>
      <c r="J9" s="19"/>
      <c r="K9" s="19"/>
      <c r="L9" s="19"/>
      <c r="M9" s="19"/>
      <c r="N9" s="19"/>
    </row>
    <row r="10" spans="1:14" ht="22.5" customHeight="1" x14ac:dyDescent="0.15">
      <c r="A10" s="1" t="s">
        <v>17</v>
      </c>
      <c r="B10" s="3" t="s">
        <v>53</v>
      </c>
      <c r="C10" s="86" t="s">
        <v>137</v>
      </c>
      <c r="D10" s="87"/>
      <c r="E10" s="87"/>
      <c r="F10" s="87"/>
      <c r="G10" s="87"/>
      <c r="H10" s="87"/>
      <c r="I10" s="87"/>
      <c r="J10" s="87"/>
      <c r="K10" s="87"/>
      <c r="L10" s="87"/>
      <c r="M10" s="87"/>
      <c r="N10" s="88"/>
    </row>
    <row r="11" spans="1:14" ht="7.5" customHeight="1" x14ac:dyDescent="0.15">
      <c r="B11" s="3"/>
      <c r="C11" s="3"/>
      <c r="D11" s="3"/>
      <c r="E11" s="43"/>
      <c r="F11" s="19"/>
      <c r="G11" s="19"/>
      <c r="H11" s="19"/>
      <c r="I11" s="19"/>
      <c r="J11" s="19"/>
      <c r="K11" s="19"/>
      <c r="L11" s="19"/>
      <c r="M11" s="19"/>
      <c r="N11" s="19"/>
    </row>
    <row r="12" spans="1:14" ht="22.5" customHeight="1" x14ac:dyDescent="0.15">
      <c r="A12" s="1" t="s">
        <v>14</v>
      </c>
      <c r="B12" s="3" t="s">
        <v>130</v>
      </c>
      <c r="C12" s="3"/>
      <c r="D12" s="3"/>
      <c r="E12" s="19"/>
      <c r="F12" s="46"/>
      <c r="G12" s="91" t="s">
        <v>167</v>
      </c>
      <c r="H12" s="92"/>
      <c r="I12" s="92"/>
      <c r="J12" s="92"/>
      <c r="K12" s="92"/>
      <c r="L12" s="92"/>
      <c r="M12" s="92"/>
      <c r="N12" s="105"/>
    </row>
    <row r="13" spans="1:14" ht="7.5" customHeight="1" x14ac:dyDescent="0.15">
      <c r="B13" s="43"/>
      <c r="C13" s="43"/>
      <c r="D13" s="43"/>
      <c r="E13" s="43"/>
      <c r="F13" s="19"/>
      <c r="G13" s="19"/>
      <c r="H13" s="19"/>
      <c r="I13" s="19"/>
      <c r="J13" s="19"/>
      <c r="K13" s="19"/>
      <c r="L13" s="19"/>
      <c r="M13" s="19"/>
      <c r="N13" s="19"/>
    </row>
    <row r="14" spans="1:14" ht="22.5" customHeight="1" x14ac:dyDescent="0.15">
      <c r="A14" s="1" t="s">
        <v>68</v>
      </c>
      <c r="B14" s="43" t="s">
        <v>69</v>
      </c>
      <c r="C14" s="43"/>
      <c r="D14" s="43"/>
      <c r="E14" s="43"/>
      <c r="F14" s="86" t="s">
        <v>146</v>
      </c>
      <c r="G14" s="87"/>
      <c r="H14" s="88"/>
      <c r="I14" s="19"/>
      <c r="J14" s="19"/>
      <c r="K14" s="19"/>
      <c r="L14" s="19"/>
      <c r="M14" s="19"/>
      <c r="N14" s="19"/>
    </row>
    <row r="15" spans="1:14" ht="7.5" customHeight="1" x14ac:dyDescent="0.15">
      <c r="B15" s="43"/>
      <c r="C15" s="43"/>
      <c r="D15" s="43"/>
      <c r="E15" s="43"/>
      <c r="F15" s="19"/>
      <c r="G15" s="19"/>
      <c r="H15" s="19"/>
      <c r="I15" s="19"/>
      <c r="J15" s="19"/>
      <c r="K15" s="19"/>
      <c r="L15" s="19"/>
      <c r="M15" s="19"/>
      <c r="N15" s="19"/>
    </row>
    <row r="16" spans="1:14" ht="22.5" customHeight="1" x14ac:dyDescent="0.15">
      <c r="A16" s="1" t="s">
        <v>15</v>
      </c>
      <c r="B16" s="1" t="s">
        <v>0</v>
      </c>
      <c r="C16" s="100" t="s">
        <v>6</v>
      </c>
      <c r="D16" s="101"/>
      <c r="E16" s="89">
        <v>696</v>
      </c>
      <c r="F16" s="90"/>
      <c r="G16" s="47" t="s">
        <v>10</v>
      </c>
      <c r="I16" s="100" t="s">
        <v>11</v>
      </c>
      <c r="J16" s="101"/>
      <c r="K16" s="89">
        <v>1069</v>
      </c>
      <c r="L16" s="102"/>
      <c r="M16" s="90"/>
      <c r="N16" s="48" t="s">
        <v>10</v>
      </c>
    </row>
    <row r="17" spans="1:15" ht="7.5" customHeight="1" x14ac:dyDescent="0.15">
      <c r="F17" s="49"/>
      <c r="G17" s="49"/>
      <c r="H17" s="49"/>
      <c r="I17" s="49"/>
      <c r="J17" s="49"/>
      <c r="K17" s="49"/>
      <c r="L17" s="49"/>
      <c r="M17" s="48"/>
      <c r="N17" s="48"/>
    </row>
    <row r="18" spans="1:15" ht="22.5" customHeight="1" x14ac:dyDescent="0.15">
      <c r="A18" s="1" t="s">
        <v>62</v>
      </c>
      <c r="B18" s="1" t="s">
        <v>91</v>
      </c>
      <c r="F18" s="49"/>
      <c r="G18" s="49"/>
      <c r="H18" s="49"/>
      <c r="I18" s="49"/>
      <c r="J18" s="49"/>
      <c r="K18" s="96">
        <v>4</v>
      </c>
      <c r="L18" s="97"/>
      <c r="M18" s="98"/>
      <c r="N18" s="48" t="s">
        <v>60</v>
      </c>
    </row>
    <row r="19" spans="1:15" ht="7.5" customHeight="1" x14ac:dyDescent="0.15">
      <c r="F19" s="49"/>
      <c r="G19" s="49"/>
      <c r="H19" s="49"/>
      <c r="I19" s="49"/>
      <c r="J19" s="49"/>
      <c r="K19" s="49"/>
      <c r="L19" s="49"/>
      <c r="M19" s="48"/>
      <c r="N19" s="48"/>
    </row>
    <row r="20" spans="1:15" ht="22.5" customHeight="1" x14ac:dyDescent="0.15">
      <c r="A20" s="1" t="s">
        <v>70</v>
      </c>
      <c r="B20" s="1" t="s">
        <v>127</v>
      </c>
      <c r="E20" s="89">
        <v>5700</v>
      </c>
      <c r="F20" s="90"/>
      <c r="G20" s="50" t="s">
        <v>25</v>
      </c>
      <c r="H20" s="49"/>
      <c r="K20" s="106"/>
      <c r="L20" s="106"/>
      <c r="M20" s="106"/>
      <c r="N20" s="106"/>
    </row>
    <row r="21" spans="1:15" ht="7.5" customHeight="1" x14ac:dyDescent="0.15">
      <c r="E21" s="51"/>
      <c r="F21" s="49"/>
      <c r="G21" s="49"/>
      <c r="L21" s="52"/>
      <c r="M21" s="52"/>
      <c r="N21" s="53"/>
    </row>
    <row r="22" spans="1:15" ht="22.5" customHeight="1" x14ac:dyDescent="0.15">
      <c r="A22" s="1" t="s">
        <v>28</v>
      </c>
      <c r="B22" s="1" t="s">
        <v>128</v>
      </c>
      <c r="E22" s="51"/>
      <c r="F22" s="49"/>
      <c r="G22" s="49"/>
      <c r="H22" s="1" t="s">
        <v>61</v>
      </c>
      <c r="J22" s="107">
        <v>23885</v>
      </c>
      <c r="K22" s="97"/>
      <c r="L22" s="98"/>
      <c r="M22" s="52" t="s">
        <v>60</v>
      </c>
      <c r="N22" s="53"/>
    </row>
    <row r="23" spans="1:15" ht="7.5" customHeight="1" x14ac:dyDescent="0.15">
      <c r="E23" s="51"/>
      <c r="F23" s="49"/>
      <c r="G23" s="49"/>
      <c r="L23" s="52"/>
      <c r="M23" s="52"/>
      <c r="N23" s="53"/>
    </row>
    <row r="24" spans="1:15" ht="22.5" customHeight="1" x14ac:dyDescent="0.15">
      <c r="B24" s="41" t="s">
        <v>21</v>
      </c>
      <c r="C24" s="89">
        <v>5790</v>
      </c>
      <c r="D24" s="90"/>
      <c r="E24" s="51" t="s">
        <v>26</v>
      </c>
      <c r="F24" s="49"/>
      <c r="G24" s="85" t="s">
        <v>22</v>
      </c>
      <c r="H24" s="85"/>
      <c r="I24" s="89">
        <v>5489</v>
      </c>
      <c r="J24" s="90"/>
      <c r="K24" s="44" t="s">
        <v>26</v>
      </c>
      <c r="M24" s="52"/>
      <c r="N24" s="53"/>
      <c r="O24" s="5"/>
    </row>
    <row r="25" spans="1:15" ht="7.5" customHeight="1" x14ac:dyDescent="0.15">
      <c r="B25" s="41"/>
      <c r="C25" s="54"/>
      <c r="D25" s="54"/>
      <c r="E25" s="51"/>
      <c r="F25" s="49"/>
      <c r="G25" s="52"/>
      <c r="H25" s="52"/>
      <c r="I25" s="54"/>
      <c r="J25" s="54"/>
      <c r="K25" s="44"/>
      <c r="M25" s="52"/>
      <c r="N25" s="53"/>
      <c r="O25" s="5"/>
    </row>
    <row r="26" spans="1:15" ht="22.5" customHeight="1" x14ac:dyDescent="0.15">
      <c r="B26" s="41" t="s">
        <v>23</v>
      </c>
      <c r="C26" s="89">
        <v>5578</v>
      </c>
      <c r="D26" s="90"/>
      <c r="E26" s="51" t="s">
        <v>26</v>
      </c>
      <c r="F26" s="49"/>
      <c r="G26" s="85" t="s">
        <v>24</v>
      </c>
      <c r="H26" s="85"/>
      <c r="I26" s="89">
        <v>7028</v>
      </c>
      <c r="J26" s="90"/>
      <c r="K26" s="44" t="s">
        <v>26</v>
      </c>
      <c r="M26" s="52"/>
      <c r="N26" s="53"/>
    </row>
    <row r="27" spans="1:15" ht="7.5" customHeight="1" x14ac:dyDescent="0.15">
      <c r="B27" s="41"/>
      <c r="C27" s="54"/>
      <c r="D27" s="54"/>
      <c r="E27" s="51"/>
      <c r="F27" s="49"/>
      <c r="G27" s="52"/>
      <c r="H27" s="52"/>
      <c r="I27" s="54"/>
      <c r="J27" s="54"/>
      <c r="K27" s="44"/>
      <c r="M27" s="52"/>
      <c r="N27" s="53"/>
    </row>
    <row r="28" spans="1:15" ht="22.5" customHeight="1" x14ac:dyDescent="0.15">
      <c r="B28" s="41" t="s">
        <v>54</v>
      </c>
      <c r="C28" s="89">
        <v>0</v>
      </c>
      <c r="D28" s="90"/>
      <c r="E28" s="51" t="s">
        <v>10</v>
      </c>
      <c r="F28" s="49"/>
      <c r="G28" s="85" t="s">
        <v>55</v>
      </c>
      <c r="H28" s="85"/>
      <c r="I28" s="89">
        <v>0</v>
      </c>
      <c r="J28" s="90"/>
      <c r="K28" s="44" t="s">
        <v>10</v>
      </c>
      <c r="M28" s="52"/>
      <c r="N28" s="53"/>
    </row>
    <row r="29" spans="1:15" ht="7.5" customHeight="1" x14ac:dyDescent="0.15">
      <c r="F29" s="49"/>
      <c r="G29" s="49"/>
      <c r="M29" s="55"/>
      <c r="N29" s="55"/>
    </row>
    <row r="30" spans="1:15" ht="22.5" customHeight="1" x14ac:dyDescent="0.15">
      <c r="A30" s="1" t="s">
        <v>126</v>
      </c>
      <c r="B30" s="3" t="s">
        <v>117</v>
      </c>
      <c r="C30" s="3"/>
      <c r="D30" s="3"/>
      <c r="E30" s="3"/>
      <c r="F30" s="44"/>
      <c r="G30" s="19"/>
      <c r="H30" s="19"/>
      <c r="I30" s="19"/>
      <c r="J30" s="56"/>
      <c r="K30" s="56"/>
      <c r="L30" s="56"/>
      <c r="M30" s="56"/>
      <c r="N30" s="56"/>
    </row>
    <row r="31" spans="1:15" s="5" customFormat="1" ht="22.5" customHeight="1" x14ac:dyDescent="0.15">
      <c r="B31" s="93" t="s">
        <v>116</v>
      </c>
      <c r="C31" s="93"/>
      <c r="D31" s="86" t="s">
        <v>138</v>
      </c>
      <c r="E31" s="87"/>
      <c r="F31" s="87"/>
      <c r="G31" s="94" t="s">
        <v>27</v>
      </c>
      <c r="H31" s="93"/>
      <c r="I31" s="95"/>
      <c r="J31" s="86" t="s">
        <v>151</v>
      </c>
      <c r="K31" s="87"/>
      <c r="L31" s="87"/>
      <c r="M31" s="87"/>
      <c r="N31" s="88"/>
    </row>
    <row r="32" spans="1:15" ht="7.5" customHeight="1" x14ac:dyDescent="0.15">
      <c r="F32" s="49"/>
      <c r="G32" s="49"/>
      <c r="M32" s="55"/>
      <c r="N32" s="55"/>
    </row>
    <row r="33" spans="1:14" ht="22.5" customHeight="1" x14ac:dyDescent="0.15">
      <c r="A33" s="1" t="s">
        <v>59</v>
      </c>
      <c r="B33" s="3" t="s">
        <v>131</v>
      </c>
      <c r="C33" s="3"/>
      <c r="D33" s="3"/>
      <c r="E33" s="3"/>
      <c r="F33" s="44"/>
      <c r="G33" s="56"/>
      <c r="H33" s="56"/>
      <c r="I33" s="56"/>
      <c r="J33" s="56"/>
      <c r="K33" s="56"/>
      <c r="L33" s="56"/>
      <c r="M33" s="56"/>
      <c r="N33" s="56"/>
    </row>
    <row r="34" spans="1:14" ht="22.5" customHeight="1" x14ac:dyDescent="0.15">
      <c r="B34" s="86" t="s">
        <v>139</v>
      </c>
      <c r="C34" s="87"/>
      <c r="D34" s="87"/>
      <c r="E34" s="87"/>
      <c r="F34" s="87"/>
      <c r="G34" s="87"/>
      <c r="H34" s="87"/>
      <c r="I34" s="87"/>
      <c r="J34" s="87"/>
      <c r="K34" s="87"/>
      <c r="L34" s="87"/>
      <c r="M34" s="87"/>
      <c r="N34" s="88"/>
    </row>
    <row r="35" spans="1:14" ht="7.5" customHeight="1" x14ac:dyDescent="0.15">
      <c r="B35" s="57"/>
      <c r="C35" s="57"/>
      <c r="D35" s="57"/>
      <c r="E35" s="57"/>
      <c r="F35" s="57"/>
      <c r="G35" s="57"/>
      <c r="H35" s="57"/>
      <c r="I35" s="57"/>
      <c r="J35" s="57"/>
      <c r="K35" s="57"/>
      <c r="L35" s="57"/>
      <c r="M35" s="57"/>
      <c r="N35" s="57"/>
    </row>
    <row r="36" spans="1:14" s="5" customFormat="1" ht="22.5" customHeight="1" x14ac:dyDescent="0.15">
      <c r="B36" s="93" t="s">
        <v>116</v>
      </c>
      <c r="C36" s="93"/>
      <c r="D36" s="86" t="s">
        <v>138</v>
      </c>
      <c r="E36" s="87"/>
      <c r="F36" s="87"/>
      <c r="G36" s="94" t="s">
        <v>64</v>
      </c>
      <c r="H36" s="93"/>
      <c r="I36" s="95"/>
      <c r="J36" s="86" t="s">
        <v>140</v>
      </c>
      <c r="K36" s="87"/>
      <c r="L36" s="87"/>
      <c r="M36" s="87"/>
      <c r="N36" s="88"/>
    </row>
    <row r="37" spans="1:14" ht="7.5" customHeight="1" x14ac:dyDescent="0.15">
      <c r="F37" s="19"/>
      <c r="G37" s="19"/>
      <c r="H37" s="19"/>
      <c r="I37" s="19"/>
      <c r="J37" s="19"/>
      <c r="K37" s="19"/>
      <c r="L37" s="19"/>
      <c r="M37" s="19"/>
      <c r="N37" s="19"/>
    </row>
    <row r="38" spans="1:14" ht="22.5" customHeight="1" x14ac:dyDescent="0.15">
      <c r="A38" s="1" t="s">
        <v>63</v>
      </c>
      <c r="B38" s="1" t="s">
        <v>132</v>
      </c>
      <c r="M38" s="55"/>
      <c r="N38" s="55"/>
    </row>
    <row r="39" spans="1:14" ht="22.5" customHeight="1" x14ac:dyDescent="0.15">
      <c r="B39" s="86" t="s">
        <v>139</v>
      </c>
      <c r="C39" s="87"/>
      <c r="D39" s="87"/>
      <c r="E39" s="87"/>
      <c r="F39" s="87"/>
      <c r="G39" s="87"/>
      <c r="H39" s="87"/>
      <c r="I39" s="87"/>
      <c r="J39" s="87"/>
      <c r="K39" s="87"/>
      <c r="L39" s="87"/>
      <c r="M39" s="87"/>
      <c r="N39" s="88"/>
    </row>
    <row r="40" spans="1:14" ht="7.5" customHeight="1" x14ac:dyDescent="0.15">
      <c r="F40" s="19"/>
      <c r="G40" s="19"/>
      <c r="H40" s="19"/>
      <c r="I40" s="19"/>
      <c r="J40" s="19"/>
      <c r="K40" s="19"/>
      <c r="L40" s="19"/>
      <c r="M40" s="19"/>
      <c r="N40" s="19"/>
    </row>
    <row r="41" spans="1:14" s="5" customFormat="1" ht="22.5" customHeight="1" x14ac:dyDescent="0.15">
      <c r="B41" s="93" t="s">
        <v>116</v>
      </c>
      <c r="C41" s="93"/>
      <c r="D41" s="86" t="s">
        <v>138</v>
      </c>
      <c r="E41" s="87"/>
      <c r="F41" s="87"/>
      <c r="G41" s="94" t="s">
        <v>64</v>
      </c>
      <c r="H41" s="93"/>
      <c r="I41" s="95"/>
      <c r="J41" s="86" t="s">
        <v>140</v>
      </c>
      <c r="K41" s="87"/>
      <c r="L41" s="87"/>
      <c r="M41" s="87"/>
      <c r="N41" s="88"/>
    </row>
    <row r="42" spans="1:14" ht="7.5" customHeight="1" x14ac:dyDescent="0.15">
      <c r="F42" s="19"/>
      <c r="G42" s="19"/>
      <c r="H42" s="19"/>
      <c r="I42" s="19"/>
      <c r="J42" s="19"/>
      <c r="K42" s="19"/>
      <c r="L42" s="19"/>
      <c r="M42" s="19"/>
      <c r="N42" s="19"/>
    </row>
    <row r="43" spans="1:14" ht="22.5" customHeight="1" x14ac:dyDescent="0.15">
      <c r="A43" s="1" t="s">
        <v>71</v>
      </c>
      <c r="B43" s="58" t="s">
        <v>90</v>
      </c>
      <c r="E43" s="46"/>
      <c r="F43" s="86" t="s">
        <v>148</v>
      </c>
      <c r="G43" s="87"/>
      <c r="H43" s="87"/>
      <c r="I43" s="87"/>
      <c r="J43" s="87"/>
      <c r="K43" s="87"/>
      <c r="L43" s="87"/>
      <c r="M43" s="87"/>
      <c r="N43" s="88"/>
    </row>
    <row r="44" spans="1:14" ht="7.5" customHeight="1" x14ac:dyDescent="0.15">
      <c r="F44" s="19"/>
      <c r="G44" s="19"/>
      <c r="H44" s="19"/>
      <c r="I44" s="19"/>
      <c r="J44" s="19"/>
      <c r="K44" s="19"/>
      <c r="L44" s="19"/>
      <c r="M44" s="19"/>
      <c r="N44" s="19"/>
    </row>
    <row r="45" spans="1:14" ht="22.5" customHeight="1" x14ac:dyDescent="0.15">
      <c r="A45" s="1" t="s">
        <v>3</v>
      </c>
    </row>
    <row r="46" spans="1:14" ht="22.5" customHeight="1" x14ac:dyDescent="0.15">
      <c r="B46" s="59" t="s">
        <v>1</v>
      </c>
      <c r="C46" s="91" t="s">
        <v>141</v>
      </c>
      <c r="D46" s="92"/>
      <c r="E46" s="92"/>
      <c r="F46" s="92"/>
      <c r="G46" s="92"/>
      <c r="H46" s="92"/>
      <c r="I46" s="60" t="s">
        <v>2</v>
      </c>
      <c r="J46" s="61"/>
      <c r="K46" s="86" t="s">
        <v>142</v>
      </c>
      <c r="L46" s="87"/>
      <c r="M46" s="87"/>
      <c r="N46" s="88"/>
    </row>
    <row r="47" spans="1:14" ht="22.5" customHeight="1" x14ac:dyDescent="0.15">
      <c r="B47" s="59" t="s">
        <v>5</v>
      </c>
      <c r="C47" s="79" t="s">
        <v>143</v>
      </c>
      <c r="D47" s="80"/>
      <c r="E47" s="80"/>
      <c r="F47" s="80"/>
      <c r="G47" s="80"/>
      <c r="H47" s="81"/>
      <c r="I47" s="60" t="s">
        <v>4</v>
      </c>
      <c r="J47" s="61"/>
      <c r="K47" s="82" t="s">
        <v>144</v>
      </c>
      <c r="L47" s="83"/>
      <c r="M47" s="83"/>
      <c r="N47" s="84"/>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7" zoomScaleNormal="100" workbookViewId="0">
      <selection activeCell="B9" sqref="B9:I16"/>
    </sheetView>
  </sheetViews>
  <sheetFormatPr defaultColWidth="9" defaultRowHeight="18.75" customHeight="1" x14ac:dyDescent="0.15"/>
  <cols>
    <col min="1" max="2" width="2.5" style="1" customWidth="1"/>
    <col min="3" max="3" width="20" style="1" customWidth="1"/>
    <col min="4" max="4" width="8.75" style="1" customWidth="1"/>
    <col min="5" max="5" width="7.5" style="1" customWidth="1"/>
    <col min="6" max="6" width="2.5" style="1" customWidth="1"/>
    <col min="7" max="7" width="15" style="1" customWidth="1"/>
    <col min="8" max="8" width="12.5" style="1" customWidth="1"/>
    <col min="9" max="9" width="11.25" style="1" customWidth="1"/>
    <col min="10" max="16384" width="9" style="1"/>
  </cols>
  <sheetData>
    <row r="1" spans="1:9" ht="18.75" customHeight="1" x14ac:dyDescent="0.15">
      <c r="I1" s="40" t="s">
        <v>164</v>
      </c>
    </row>
    <row r="2" spans="1:9" ht="18.75" customHeight="1" x14ac:dyDescent="0.15">
      <c r="G2" s="62" t="s">
        <v>32</v>
      </c>
      <c r="H2" s="108" t="s">
        <v>134</v>
      </c>
      <c r="I2" s="108"/>
    </row>
    <row r="3" spans="1:9" ht="7.5" customHeight="1" x14ac:dyDescent="0.15"/>
    <row r="4" spans="1:9" ht="18.75" customHeight="1" x14ac:dyDescent="0.15">
      <c r="A4" s="104" t="s">
        <v>88</v>
      </c>
      <c r="B4" s="104"/>
      <c r="C4" s="104"/>
      <c r="D4" s="104"/>
      <c r="E4" s="104"/>
      <c r="F4" s="104"/>
      <c r="G4" s="104"/>
      <c r="H4" s="104"/>
      <c r="I4" s="104"/>
    </row>
    <row r="5" spans="1:9" ht="7.5" customHeight="1" x14ac:dyDescent="0.15">
      <c r="C5" s="41"/>
      <c r="D5" s="41"/>
      <c r="E5" s="41"/>
      <c r="F5" s="41"/>
      <c r="G5" s="41"/>
      <c r="H5" s="41"/>
      <c r="I5" s="41"/>
    </row>
    <row r="6" spans="1:9" ht="18.75" customHeight="1" x14ac:dyDescent="0.15">
      <c r="A6" s="1" t="s">
        <v>7</v>
      </c>
      <c r="B6" s="1" t="s">
        <v>102</v>
      </c>
      <c r="C6" s="41"/>
      <c r="D6" s="41"/>
      <c r="E6" s="96" t="s">
        <v>145</v>
      </c>
      <c r="F6" s="97"/>
      <c r="G6" s="97"/>
      <c r="H6" s="97"/>
      <c r="I6" s="98"/>
    </row>
    <row r="7" spans="1:9" ht="7.5" customHeight="1" x14ac:dyDescent="0.15">
      <c r="C7" s="41"/>
      <c r="D7" s="41"/>
      <c r="F7" s="52"/>
      <c r="G7" s="52"/>
      <c r="H7" s="52"/>
      <c r="I7" s="52"/>
    </row>
    <row r="8" spans="1:9" ht="18.75" customHeight="1" x14ac:dyDescent="0.15">
      <c r="A8" s="1" t="s">
        <v>12</v>
      </c>
      <c r="B8" s="1" t="s">
        <v>103</v>
      </c>
      <c r="C8" s="41"/>
      <c r="D8" s="41"/>
      <c r="E8" s="41"/>
      <c r="F8" s="41"/>
      <c r="G8" s="41"/>
      <c r="H8" s="41"/>
      <c r="I8" s="41"/>
    </row>
    <row r="9" spans="1:9" ht="18.75" customHeight="1" x14ac:dyDescent="0.15">
      <c r="B9" s="111" t="s">
        <v>237</v>
      </c>
      <c r="C9" s="112"/>
      <c r="D9" s="112"/>
      <c r="E9" s="112"/>
      <c r="F9" s="112"/>
      <c r="G9" s="112"/>
      <c r="H9" s="112"/>
      <c r="I9" s="113"/>
    </row>
    <row r="10" spans="1:9" ht="18.75" customHeight="1" x14ac:dyDescent="0.15">
      <c r="B10" s="114"/>
      <c r="C10" s="115"/>
      <c r="D10" s="115"/>
      <c r="E10" s="115"/>
      <c r="F10" s="115"/>
      <c r="G10" s="115"/>
      <c r="H10" s="115"/>
      <c r="I10" s="116"/>
    </row>
    <row r="11" spans="1:9" ht="18.75" customHeight="1" x14ac:dyDescent="0.15">
      <c r="B11" s="114"/>
      <c r="C11" s="115"/>
      <c r="D11" s="115"/>
      <c r="E11" s="115"/>
      <c r="F11" s="115"/>
      <c r="G11" s="115"/>
      <c r="H11" s="115"/>
      <c r="I11" s="116"/>
    </row>
    <row r="12" spans="1:9" ht="18.75" customHeight="1" x14ac:dyDescent="0.15">
      <c r="B12" s="114"/>
      <c r="C12" s="115"/>
      <c r="D12" s="115"/>
      <c r="E12" s="115"/>
      <c r="F12" s="115"/>
      <c r="G12" s="115"/>
      <c r="H12" s="115"/>
      <c r="I12" s="116"/>
    </row>
    <row r="13" spans="1:9" ht="18.75" customHeight="1" x14ac:dyDescent="0.15">
      <c r="B13" s="114"/>
      <c r="C13" s="115"/>
      <c r="D13" s="115"/>
      <c r="E13" s="115"/>
      <c r="F13" s="115"/>
      <c r="G13" s="115"/>
      <c r="H13" s="115"/>
      <c r="I13" s="116"/>
    </row>
    <row r="14" spans="1:9" ht="18.75" customHeight="1" x14ac:dyDescent="0.15">
      <c r="B14" s="114"/>
      <c r="C14" s="115"/>
      <c r="D14" s="115"/>
      <c r="E14" s="115"/>
      <c r="F14" s="115"/>
      <c r="G14" s="115"/>
      <c r="H14" s="115"/>
      <c r="I14" s="116"/>
    </row>
    <row r="15" spans="1:9" ht="18.75" customHeight="1" x14ac:dyDescent="0.15">
      <c r="B15" s="114"/>
      <c r="C15" s="115"/>
      <c r="D15" s="115"/>
      <c r="E15" s="115"/>
      <c r="F15" s="115"/>
      <c r="G15" s="115"/>
      <c r="H15" s="115"/>
      <c r="I15" s="116"/>
    </row>
    <row r="16" spans="1:9" ht="18.75" customHeight="1" x14ac:dyDescent="0.15">
      <c r="B16" s="117"/>
      <c r="C16" s="118"/>
      <c r="D16" s="118"/>
      <c r="E16" s="118"/>
      <c r="F16" s="118"/>
      <c r="G16" s="118"/>
      <c r="H16" s="118"/>
      <c r="I16" s="119"/>
    </row>
    <row r="17" spans="1:10" ht="7.5" customHeight="1" x14ac:dyDescent="0.15">
      <c r="C17" s="41"/>
      <c r="D17" s="41"/>
      <c r="E17" s="41"/>
      <c r="F17" s="41"/>
      <c r="G17" s="41"/>
      <c r="H17" s="41"/>
      <c r="I17" s="41"/>
    </row>
    <row r="18" spans="1:10" ht="18.75" customHeight="1" x14ac:dyDescent="0.15">
      <c r="A18" s="41" t="s">
        <v>13</v>
      </c>
      <c r="B18" s="3" t="s">
        <v>104</v>
      </c>
      <c r="C18" s="3"/>
      <c r="D18" s="3"/>
      <c r="E18" s="3"/>
      <c r="F18" s="41"/>
      <c r="G18" s="41"/>
      <c r="H18" s="41"/>
      <c r="I18" s="41"/>
      <c r="J18" s="41"/>
    </row>
    <row r="19" spans="1:10" ht="18.75" customHeight="1" x14ac:dyDescent="0.15">
      <c r="A19" s="109" t="s">
        <v>104</v>
      </c>
      <c r="B19" s="109"/>
      <c r="C19" s="109"/>
      <c r="D19" s="109"/>
      <c r="E19" s="109"/>
      <c r="F19" s="110" t="s">
        <v>104</v>
      </c>
      <c r="G19" s="110"/>
      <c r="H19" s="110"/>
      <c r="I19" s="110"/>
    </row>
    <row r="20" spans="1:10" ht="18.75" customHeight="1" x14ac:dyDescent="0.15">
      <c r="A20" s="63">
        <v>1</v>
      </c>
      <c r="B20" s="91" t="s">
        <v>147</v>
      </c>
      <c r="C20" s="92"/>
      <c r="D20" s="92"/>
      <c r="E20" s="105"/>
      <c r="F20" s="63">
        <v>26</v>
      </c>
      <c r="G20" s="91"/>
      <c r="H20" s="92"/>
      <c r="I20" s="105"/>
    </row>
    <row r="21" spans="1:10" ht="18.75" customHeight="1" x14ac:dyDescent="0.15">
      <c r="A21" s="63">
        <v>2</v>
      </c>
      <c r="B21" s="91" t="s">
        <v>172</v>
      </c>
      <c r="C21" s="92"/>
      <c r="D21" s="92"/>
      <c r="E21" s="105"/>
      <c r="F21" s="63">
        <v>27</v>
      </c>
      <c r="G21" s="91"/>
      <c r="H21" s="92"/>
      <c r="I21" s="105"/>
    </row>
    <row r="22" spans="1:10" ht="18.75" customHeight="1" x14ac:dyDescent="0.15">
      <c r="A22" s="63">
        <v>3</v>
      </c>
      <c r="B22" s="91" t="s">
        <v>173</v>
      </c>
      <c r="C22" s="92"/>
      <c r="D22" s="92"/>
      <c r="E22" s="105"/>
      <c r="F22" s="63">
        <v>28</v>
      </c>
      <c r="G22" s="91"/>
      <c r="H22" s="92"/>
      <c r="I22" s="105"/>
    </row>
    <row r="23" spans="1:10" ht="18.75" customHeight="1" x14ac:dyDescent="0.15">
      <c r="A23" s="63">
        <v>4</v>
      </c>
      <c r="B23" s="91" t="s">
        <v>174</v>
      </c>
      <c r="C23" s="92"/>
      <c r="D23" s="92"/>
      <c r="E23" s="105"/>
      <c r="F23" s="63">
        <v>29</v>
      </c>
      <c r="G23" s="91"/>
      <c r="H23" s="92"/>
      <c r="I23" s="105"/>
    </row>
    <row r="24" spans="1:10" ht="18.75" customHeight="1" x14ac:dyDescent="0.15">
      <c r="A24" s="63">
        <v>5</v>
      </c>
      <c r="B24" s="91" t="s">
        <v>175</v>
      </c>
      <c r="C24" s="92"/>
      <c r="D24" s="92"/>
      <c r="E24" s="105"/>
      <c r="F24" s="63">
        <v>30</v>
      </c>
      <c r="G24" s="91"/>
      <c r="H24" s="92"/>
      <c r="I24" s="105"/>
    </row>
    <row r="25" spans="1:10" ht="18.75" customHeight="1" x14ac:dyDescent="0.15">
      <c r="A25" s="63">
        <v>6</v>
      </c>
      <c r="B25" s="91" t="s">
        <v>176</v>
      </c>
      <c r="C25" s="92"/>
      <c r="D25" s="92"/>
      <c r="E25" s="105"/>
      <c r="F25" s="63">
        <v>31</v>
      </c>
      <c r="G25" s="91"/>
      <c r="H25" s="92"/>
      <c r="I25" s="105"/>
    </row>
    <row r="26" spans="1:10" ht="18.75" customHeight="1" x14ac:dyDescent="0.15">
      <c r="A26" s="63">
        <v>7</v>
      </c>
      <c r="B26" s="91" t="s">
        <v>177</v>
      </c>
      <c r="C26" s="92"/>
      <c r="D26" s="92"/>
      <c r="E26" s="105"/>
      <c r="F26" s="63">
        <v>32</v>
      </c>
      <c r="G26" s="91"/>
      <c r="H26" s="92"/>
      <c r="I26" s="105"/>
    </row>
    <row r="27" spans="1:10" ht="18.75" customHeight="1" x14ac:dyDescent="0.15">
      <c r="A27" s="63">
        <v>8</v>
      </c>
      <c r="B27" s="91" t="s">
        <v>178</v>
      </c>
      <c r="C27" s="92"/>
      <c r="D27" s="92"/>
      <c r="E27" s="105"/>
      <c r="F27" s="63">
        <v>33</v>
      </c>
      <c r="G27" s="91"/>
      <c r="H27" s="92"/>
      <c r="I27" s="105"/>
    </row>
    <row r="28" spans="1:10" ht="18.75" customHeight="1" x14ac:dyDescent="0.15">
      <c r="A28" s="63">
        <v>9</v>
      </c>
      <c r="B28" s="91" t="s">
        <v>179</v>
      </c>
      <c r="C28" s="92"/>
      <c r="D28" s="92"/>
      <c r="E28" s="105"/>
      <c r="F28" s="63">
        <v>34</v>
      </c>
      <c r="G28" s="91"/>
      <c r="H28" s="92"/>
      <c r="I28" s="105"/>
    </row>
    <row r="29" spans="1:10" ht="18.75" customHeight="1" x14ac:dyDescent="0.15">
      <c r="A29" s="63">
        <v>10</v>
      </c>
      <c r="B29" s="91"/>
      <c r="C29" s="92"/>
      <c r="D29" s="92"/>
      <c r="E29" s="105"/>
      <c r="F29" s="63">
        <v>35</v>
      </c>
      <c r="G29" s="91"/>
      <c r="H29" s="92"/>
      <c r="I29" s="105"/>
    </row>
    <row r="30" spans="1:10" ht="18.75" customHeight="1" x14ac:dyDescent="0.15">
      <c r="A30" s="63">
        <v>11</v>
      </c>
      <c r="B30" s="91"/>
      <c r="C30" s="92"/>
      <c r="D30" s="92"/>
      <c r="E30" s="105"/>
      <c r="F30" s="63">
        <v>36</v>
      </c>
      <c r="G30" s="91"/>
      <c r="H30" s="92"/>
      <c r="I30" s="105"/>
    </row>
    <row r="31" spans="1:10" ht="18.75" customHeight="1" x14ac:dyDescent="0.15">
      <c r="A31" s="63">
        <v>12</v>
      </c>
      <c r="B31" s="91"/>
      <c r="C31" s="92"/>
      <c r="D31" s="92"/>
      <c r="E31" s="105"/>
      <c r="F31" s="63">
        <v>37</v>
      </c>
      <c r="G31" s="91"/>
      <c r="H31" s="92"/>
      <c r="I31" s="105"/>
    </row>
    <row r="32" spans="1:10" ht="18.75" customHeight="1" x14ac:dyDescent="0.15">
      <c r="A32" s="63">
        <v>13</v>
      </c>
      <c r="B32" s="91"/>
      <c r="C32" s="92"/>
      <c r="D32" s="92"/>
      <c r="E32" s="105"/>
      <c r="F32" s="63">
        <v>38</v>
      </c>
      <c r="G32" s="91"/>
      <c r="H32" s="92"/>
      <c r="I32" s="105"/>
    </row>
    <row r="33" spans="1:9" ht="18.75" customHeight="1" x14ac:dyDescent="0.15">
      <c r="A33" s="63">
        <v>14</v>
      </c>
      <c r="B33" s="91"/>
      <c r="C33" s="92"/>
      <c r="D33" s="92"/>
      <c r="E33" s="105"/>
      <c r="F33" s="63">
        <v>39</v>
      </c>
      <c r="G33" s="91"/>
      <c r="H33" s="92"/>
      <c r="I33" s="105"/>
    </row>
    <row r="34" spans="1:9" ht="18.75" customHeight="1" x14ac:dyDescent="0.15">
      <c r="A34" s="63">
        <v>15</v>
      </c>
      <c r="B34" s="91"/>
      <c r="C34" s="92"/>
      <c r="D34" s="92"/>
      <c r="E34" s="105"/>
      <c r="F34" s="63">
        <v>40</v>
      </c>
      <c r="G34" s="91"/>
      <c r="H34" s="92"/>
      <c r="I34" s="105"/>
    </row>
    <row r="35" spans="1:9" ht="18.75" customHeight="1" x14ac:dyDescent="0.15">
      <c r="A35" s="63">
        <v>16</v>
      </c>
      <c r="B35" s="91"/>
      <c r="C35" s="92"/>
      <c r="D35" s="92"/>
      <c r="E35" s="105"/>
      <c r="F35" s="63">
        <v>41</v>
      </c>
      <c r="G35" s="91"/>
      <c r="H35" s="92"/>
      <c r="I35" s="105"/>
    </row>
    <row r="36" spans="1:9" ht="18.75" customHeight="1" x14ac:dyDescent="0.15">
      <c r="A36" s="63">
        <v>17</v>
      </c>
      <c r="B36" s="91"/>
      <c r="C36" s="92"/>
      <c r="D36" s="92"/>
      <c r="E36" s="105"/>
      <c r="F36" s="63">
        <v>42</v>
      </c>
      <c r="G36" s="91"/>
      <c r="H36" s="92"/>
      <c r="I36" s="105"/>
    </row>
    <row r="37" spans="1:9" ht="18.75" customHeight="1" x14ac:dyDescent="0.15">
      <c r="A37" s="63">
        <v>18</v>
      </c>
      <c r="B37" s="91"/>
      <c r="C37" s="92"/>
      <c r="D37" s="92"/>
      <c r="E37" s="105"/>
      <c r="F37" s="63">
        <v>43</v>
      </c>
      <c r="G37" s="91"/>
      <c r="H37" s="92"/>
      <c r="I37" s="105"/>
    </row>
    <row r="38" spans="1:9" ht="18.75" customHeight="1" x14ac:dyDescent="0.15">
      <c r="A38" s="63">
        <v>19</v>
      </c>
      <c r="B38" s="91"/>
      <c r="C38" s="92"/>
      <c r="D38" s="92"/>
      <c r="E38" s="105"/>
      <c r="F38" s="63">
        <v>44</v>
      </c>
      <c r="G38" s="91"/>
      <c r="H38" s="92"/>
      <c r="I38" s="105"/>
    </row>
    <row r="39" spans="1:9" ht="18.75" customHeight="1" x14ac:dyDescent="0.15">
      <c r="A39" s="63">
        <v>20</v>
      </c>
      <c r="B39" s="91"/>
      <c r="C39" s="92"/>
      <c r="D39" s="92"/>
      <c r="E39" s="105"/>
      <c r="F39" s="63">
        <v>45</v>
      </c>
      <c r="G39" s="91"/>
      <c r="H39" s="92"/>
      <c r="I39" s="105"/>
    </row>
    <row r="40" spans="1:9" ht="18.75" customHeight="1" x14ac:dyDescent="0.15">
      <c r="A40" s="63">
        <v>21</v>
      </c>
      <c r="B40" s="91"/>
      <c r="C40" s="92"/>
      <c r="D40" s="92"/>
      <c r="E40" s="105"/>
      <c r="F40" s="63">
        <v>46</v>
      </c>
      <c r="G40" s="91"/>
      <c r="H40" s="92"/>
      <c r="I40" s="105"/>
    </row>
    <row r="41" spans="1:9" ht="18.75" customHeight="1" x14ac:dyDescent="0.15">
      <c r="A41" s="63">
        <v>22</v>
      </c>
      <c r="B41" s="91"/>
      <c r="C41" s="92"/>
      <c r="D41" s="92"/>
      <c r="E41" s="105"/>
      <c r="F41" s="63">
        <v>47</v>
      </c>
      <c r="G41" s="91"/>
      <c r="H41" s="92"/>
      <c r="I41" s="105"/>
    </row>
    <row r="42" spans="1:9" ht="18.75" customHeight="1" x14ac:dyDescent="0.15">
      <c r="A42" s="63">
        <v>23</v>
      </c>
      <c r="B42" s="91"/>
      <c r="C42" s="92"/>
      <c r="D42" s="92"/>
      <c r="E42" s="105"/>
      <c r="F42" s="63">
        <v>48</v>
      </c>
      <c r="G42" s="91"/>
      <c r="H42" s="92"/>
      <c r="I42" s="105"/>
    </row>
    <row r="43" spans="1:9" ht="18.75" customHeight="1" x14ac:dyDescent="0.15">
      <c r="A43" s="63">
        <v>24</v>
      </c>
      <c r="B43" s="91"/>
      <c r="C43" s="92"/>
      <c r="D43" s="92"/>
      <c r="E43" s="105"/>
      <c r="F43" s="63">
        <v>49</v>
      </c>
      <c r="G43" s="91"/>
      <c r="H43" s="92"/>
      <c r="I43" s="105"/>
    </row>
    <row r="44" spans="1:9" ht="18.75" customHeight="1" x14ac:dyDescent="0.15">
      <c r="A44" s="63">
        <v>25</v>
      </c>
      <c r="B44" s="91"/>
      <c r="C44" s="92"/>
      <c r="D44" s="92"/>
      <c r="E44" s="105"/>
      <c r="F44" s="63">
        <v>50</v>
      </c>
      <c r="G44" s="91"/>
      <c r="H44" s="92"/>
      <c r="I44" s="105"/>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Q28" sqref="Q28"/>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99" t="s">
        <v>73</v>
      </c>
      <c r="G1" s="99"/>
      <c r="H1" s="99"/>
      <c r="I1" s="99"/>
      <c r="J1" s="99"/>
      <c r="K1" s="99"/>
      <c r="L1" s="99"/>
      <c r="M1" s="99"/>
      <c r="N1" s="99"/>
      <c r="O1" s="99"/>
      <c r="P1" s="99"/>
      <c r="Q1" s="99"/>
      <c r="R1" s="99"/>
    </row>
    <row r="2" spans="1:20" ht="18.75" customHeight="1" x14ac:dyDescent="0.15">
      <c r="D2" s="17"/>
      <c r="E2" s="17"/>
      <c r="F2" s="17"/>
      <c r="G2" s="17"/>
      <c r="H2" s="17"/>
      <c r="I2" s="17"/>
      <c r="J2" s="17"/>
      <c r="K2" s="99" t="s">
        <v>65</v>
      </c>
      <c r="L2" s="99"/>
      <c r="M2" s="129" t="s">
        <v>134</v>
      </c>
      <c r="N2" s="129"/>
      <c r="O2" s="129"/>
      <c r="P2" s="129"/>
      <c r="Q2" s="129"/>
      <c r="R2" s="129"/>
    </row>
    <row r="3" spans="1:20" ht="7.5" customHeight="1" x14ac:dyDescent="0.15"/>
    <row r="4" spans="1:20" ht="18.75" customHeight="1" x14ac:dyDescent="0.15">
      <c r="A4" s="104" t="s">
        <v>124</v>
      </c>
      <c r="B4" s="104"/>
      <c r="C4" s="104"/>
      <c r="D4" s="104"/>
      <c r="E4" s="104"/>
      <c r="F4" s="104"/>
      <c r="G4" s="104"/>
      <c r="H4" s="104"/>
      <c r="I4" s="104"/>
      <c r="J4" s="104"/>
      <c r="K4" s="104"/>
      <c r="L4" s="104"/>
      <c r="M4" s="104"/>
      <c r="N4" s="104"/>
      <c r="O4" s="104"/>
      <c r="P4" s="104"/>
      <c r="Q4" s="104"/>
      <c r="R4" s="104"/>
      <c r="S4" s="3"/>
    </row>
    <row r="5" spans="1:20" ht="7.5" customHeight="1" x14ac:dyDescent="0.15">
      <c r="A5" s="16"/>
      <c r="B5" s="16"/>
      <c r="C5" s="16"/>
      <c r="D5" s="16"/>
      <c r="E5" s="16"/>
      <c r="F5" s="16"/>
      <c r="G5" s="16"/>
      <c r="H5" s="16"/>
      <c r="I5" s="16"/>
      <c r="J5" s="16"/>
      <c r="K5" s="16"/>
      <c r="L5" s="16"/>
      <c r="M5" s="16"/>
      <c r="N5" s="16"/>
      <c r="O5" s="16"/>
      <c r="P5" s="16"/>
      <c r="Q5" s="16"/>
      <c r="R5" s="16"/>
    </row>
    <row r="6" spans="1:20" ht="18.75" customHeight="1" x14ac:dyDescent="0.15">
      <c r="B6" s="132" t="s">
        <v>129</v>
      </c>
      <c r="C6" s="133"/>
      <c r="D6" s="120" t="s">
        <v>89</v>
      </c>
      <c r="E6" s="122" t="s">
        <v>118</v>
      </c>
      <c r="F6" s="122"/>
      <c r="G6" s="122" t="s">
        <v>119</v>
      </c>
      <c r="H6" s="122"/>
      <c r="I6" s="123" t="s">
        <v>120</v>
      </c>
      <c r="J6" s="124"/>
      <c r="K6" s="123" t="s">
        <v>121</v>
      </c>
      <c r="L6" s="124"/>
      <c r="M6" s="123" t="s">
        <v>122</v>
      </c>
      <c r="N6" s="124"/>
      <c r="O6" s="123" t="s">
        <v>123</v>
      </c>
      <c r="P6" s="124"/>
      <c r="Q6" s="125" t="s">
        <v>72</v>
      </c>
      <c r="R6" s="127" t="s">
        <v>66</v>
      </c>
      <c r="T6" s="18"/>
    </row>
    <row r="7" spans="1:20" ht="18.75" customHeight="1" x14ac:dyDescent="0.15">
      <c r="B7" s="134"/>
      <c r="C7" s="135"/>
      <c r="D7" s="121"/>
      <c r="E7" s="9" t="s">
        <v>52</v>
      </c>
      <c r="F7" s="11" t="s">
        <v>51</v>
      </c>
      <c r="G7" s="12" t="s">
        <v>52</v>
      </c>
      <c r="H7" s="10" t="s">
        <v>51</v>
      </c>
      <c r="I7" s="9" t="s">
        <v>52</v>
      </c>
      <c r="J7" s="11" t="s">
        <v>51</v>
      </c>
      <c r="K7" s="12" t="s">
        <v>52</v>
      </c>
      <c r="L7" s="10" t="s">
        <v>51</v>
      </c>
      <c r="M7" s="9" t="s">
        <v>52</v>
      </c>
      <c r="N7" s="11" t="s">
        <v>51</v>
      </c>
      <c r="O7" s="12" t="s">
        <v>52</v>
      </c>
      <c r="P7" s="10" t="s">
        <v>51</v>
      </c>
      <c r="Q7" s="126"/>
      <c r="R7" s="128"/>
      <c r="T7" s="18"/>
    </row>
    <row r="8" spans="1:20" ht="18.75" customHeight="1" x14ac:dyDescent="0.15">
      <c r="A8" s="19"/>
      <c r="B8" s="140" t="s">
        <v>152</v>
      </c>
      <c r="C8" s="141"/>
      <c r="D8" s="20">
        <f>30*4</f>
        <v>120</v>
      </c>
      <c r="E8" s="20">
        <v>2</v>
      </c>
      <c r="F8" s="21">
        <v>2</v>
      </c>
      <c r="G8" s="22">
        <v>2</v>
      </c>
      <c r="H8" s="23">
        <v>2</v>
      </c>
      <c r="I8" s="20"/>
      <c r="J8" s="21"/>
      <c r="K8" s="22"/>
      <c r="L8" s="23"/>
      <c r="M8" s="20"/>
      <c r="N8" s="21"/>
      <c r="O8" s="22"/>
      <c r="P8" s="23"/>
      <c r="Q8" s="24">
        <f t="shared" ref="Q8:Q18" si="0">E8+G8+I8+K8+M8+O8</f>
        <v>4</v>
      </c>
      <c r="R8" s="25">
        <f>Q8/D8</f>
        <v>3.3333333333333333E-2</v>
      </c>
    </row>
    <row r="9" spans="1:20" ht="18.75" customHeight="1" x14ac:dyDescent="0.15">
      <c r="A9" s="19"/>
      <c r="B9" s="136" t="s">
        <v>153</v>
      </c>
      <c r="C9" s="137"/>
      <c r="D9" s="26">
        <f>770*4</f>
        <v>3080</v>
      </c>
      <c r="E9" s="26">
        <v>65</v>
      </c>
      <c r="F9" s="27">
        <v>61</v>
      </c>
      <c r="G9" s="28">
        <v>19</v>
      </c>
      <c r="H9" s="29">
        <f>20-4</f>
        <v>16</v>
      </c>
      <c r="I9" s="26"/>
      <c r="J9" s="27"/>
      <c r="K9" s="28"/>
      <c r="L9" s="29"/>
      <c r="M9" s="26"/>
      <c r="N9" s="27"/>
      <c r="O9" s="28"/>
      <c r="P9" s="29"/>
      <c r="Q9" s="30">
        <f t="shared" si="0"/>
        <v>84</v>
      </c>
      <c r="R9" s="25">
        <f t="shared" ref="R9:R27" si="1">Q9/D9</f>
        <v>2.7272727272727271E-2</v>
      </c>
    </row>
    <row r="10" spans="1:20" ht="18.75" customHeight="1" x14ac:dyDescent="0.15">
      <c r="A10" s="19"/>
      <c r="B10" s="136" t="s">
        <v>154</v>
      </c>
      <c r="C10" s="137"/>
      <c r="D10" s="26">
        <f>650*4</f>
        <v>2600</v>
      </c>
      <c r="E10" s="26">
        <v>83</v>
      </c>
      <c r="F10" s="27">
        <v>72</v>
      </c>
      <c r="G10" s="28">
        <v>37</v>
      </c>
      <c r="H10" s="29">
        <v>35</v>
      </c>
      <c r="I10" s="26"/>
      <c r="J10" s="27"/>
      <c r="K10" s="28"/>
      <c r="L10" s="29"/>
      <c r="M10" s="26"/>
      <c r="N10" s="27"/>
      <c r="O10" s="28"/>
      <c r="P10" s="29"/>
      <c r="Q10" s="30">
        <f t="shared" si="0"/>
        <v>120</v>
      </c>
      <c r="R10" s="25">
        <f t="shared" si="1"/>
        <v>4.6153846153846156E-2</v>
      </c>
    </row>
    <row r="11" spans="1:20" ht="18.75" customHeight="1" x14ac:dyDescent="0.15">
      <c r="A11" s="19"/>
      <c r="B11" s="136" t="s">
        <v>155</v>
      </c>
      <c r="C11" s="137"/>
      <c r="D11" s="26">
        <f>680*4</f>
        <v>2720</v>
      </c>
      <c r="E11" s="26">
        <v>103</v>
      </c>
      <c r="F11" s="27">
        <v>100</v>
      </c>
      <c r="G11" s="28">
        <v>82</v>
      </c>
      <c r="H11" s="29">
        <v>74</v>
      </c>
      <c r="I11" s="26"/>
      <c r="J11" s="27"/>
      <c r="K11" s="28"/>
      <c r="L11" s="29"/>
      <c r="M11" s="26"/>
      <c r="N11" s="27"/>
      <c r="O11" s="28"/>
      <c r="P11" s="29"/>
      <c r="Q11" s="30">
        <f t="shared" si="0"/>
        <v>185</v>
      </c>
      <c r="R11" s="25">
        <f t="shared" si="1"/>
        <v>6.8014705882352935E-2</v>
      </c>
    </row>
    <row r="12" spans="1:20" ht="18.75" customHeight="1" x14ac:dyDescent="0.15">
      <c r="A12" s="19"/>
      <c r="B12" s="136" t="s">
        <v>156</v>
      </c>
      <c r="C12" s="137"/>
      <c r="D12" s="26">
        <f>680*4</f>
        <v>2720</v>
      </c>
      <c r="E12" s="26">
        <v>311</v>
      </c>
      <c r="F12" s="27">
        <v>298</v>
      </c>
      <c r="G12" s="28">
        <v>136</v>
      </c>
      <c r="H12" s="29">
        <v>123</v>
      </c>
      <c r="I12" s="26"/>
      <c r="J12" s="27"/>
      <c r="K12" s="28"/>
      <c r="L12" s="29"/>
      <c r="M12" s="26"/>
      <c r="N12" s="27"/>
      <c r="O12" s="28"/>
      <c r="P12" s="29"/>
      <c r="Q12" s="30">
        <f t="shared" si="0"/>
        <v>447</v>
      </c>
      <c r="R12" s="25">
        <f t="shared" si="1"/>
        <v>0.16433823529411765</v>
      </c>
    </row>
    <row r="13" spans="1:20" ht="18.75" customHeight="1" x14ac:dyDescent="0.15">
      <c r="A13" s="19"/>
      <c r="B13" s="136" t="s">
        <v>157</v>
      </c>
      <c r="C13" s="137"/>
      <c r="D13" s="26">
        <f>650*4</f>
        <v>2600</v>
      </c>
      <c r="E13" s="26">
        <v>130</v>
      </c>
      <c r="F13" s="27">
        <v>126</v>
      </c>
      <c r="G13" s="28">
        <v>66</v>
      </c>
      <c r="H13" s="29">
        <v>64</v>
      </c>
      <c r="I13" s="26"/>
      <c r="J13" s="27"/>
      <c r="K13" s="28"/>
      <c r="L13" s="29"/>
      <c r="M13" s="26"/>
      <c r="N13" s="27"/>
      <c r="O13" s="28"/>
      <c r="P13" s="29"/>
      <c r="Q13" s="30">
        <f t="shared" si="0"/>
        <v>196</v>
      </c>
      <c r="R13" s="25">
        <f t="shared" si="1"/>
        <v>7.5384615384615383E-2</v>
      </c>
    </row>
    <row r="14" spans="1:20" ht="18.75" customHeight="1" x14ac:dyDescent="0.15">
      <c r="A14" s="19"/>
      <c r="B14" s="136" t="s">
        <v>158</v>
      </c>
      <c r="C14" s="137"/>
      <c r="D14" s="26">
        <f>700*4</f>
        <v>2800</v>
      </c>
      <c r="E14" s="26">
        <v>301</v>
      </c>
      <c r="F14" s="27">
        <v>287</v>
      </c>
      <c r="G14" s="28">
        <v>107</v>
      </c>
      <c r="H14" s="29">
        <v>103</v>
      </c>
      <c r="I14" s="26"/>
      <c r="J14" s="27"/>
      <c r="K14" s="28"/>
      <c r="L14" s="29"/>
      <c r="M14" s="26"/>
      <c r="N14" s="27"/>
      <c r="O14" s="28"/>
      <c r="P14" s="29"/>
      <c r="Q14" s="30">
        <f t="shared" si="0"/>
        <v>408</v>
      </c>
      <c r="R14" s="25">
        <f t="shared" si="1"/>
        <v>0.14571428571428571</v>
      </c>
    </row>
    <row r="15" spans="1:20" ht="18.75" customHeight="1" x14ac:dyDescent="0.15">
      <c r="A15" s="19"/>
      <c r="B15" s="136" t="s">
        <v>159</v>
      </c>
      <c r="C15" s="137"/>
      <c r="D15" s="26">
        <f>605*4</f>
        <v>2420</v>
      </c>
      <c r="E15" s="26">
        <v>209</v>
      </c>
      <c r="F15" s="27">
        <v>185</v>
      </c>
      <c r="G15" s="28">
        <v>134</v>
      </c>
      <c r="H15" s="29">
        <v>120</v>
      </c>
      <c r="I15" s="26"/>
      <c r="J15" s="27"/>
      <c r="K15" s="28"/>
      <c r="L15" s="29"/>
      <c r="M15" s="26"/>
      <c r="N15" s="27"/>
      <c r="O15" s="28"/>
      <c r="P15" s="29"/>
      <c r="Q15" s="30">
        <f t="shared" si="0"/>
        <v>343</v>
      </c>
      <c r="R15" s="25">
        <f t="shared" si="1"/>
        <v>0.14173553719008264</v>
      </c>
    </row>
    <row r="16" spans="1:20" ht="18.75" customHeight="1" x14ac:dyDescent="0.15">
      <c r="A16" s="19"/>
      <c r="B16" s="136" t="s">
        <v>160</v>
      </c>
      <c r="C16" s="137"/>
      <c r="D16" s="26">
        <f>300*4</f>
        <v>1200</v>
      </c>
      <c r="E16" s="26">
        <v>37</v>
      </c>
      <c r="F16" s="27">
        <v>34</v>
      </c>
      <c r="G16" s="28">
        <v>20</v>
      </c>
      <c r="H16" s="29">
        <v>16</v>
      </c>
      <c r="I16" s="26"/>
      <c r="J16" s="27"/>
      <c r="K16" s="28"/>
      <c r="L16" s="29"/>
      <c r="M16" s="26"/>
      <c r="N16" s="27"/>
      <c r="O16" s="28"/>
      <c r="P16" s="29"/>
      <c r="Q16" s="30">
        <f t="shared" si="0"/>
        <v>57</v>
      </c>
      <c r="R16" s="25">
        <f t="shared" si="1"/>
        <v>4.7500000000000001E-2</v>
      </c>
    </row>
    <row r="17" spans="1:18" ht="18.75" customHeight="1" x14ac:dyDescent="0.15">
      <c r="A17" s="19"/>
      <c r="B17" s="136" t="s">
        <v>161</v>
      </c>
      <c r="C17" s="137"/>
      <c r="D17" s="26">
        <f>352.5*4</f>
        <v>1410</v>
      </c>
      <c r="E17" s="26">
        <v>6</v>
      </c>
      <c r="F17" s="27">
        <v>3</v>
      </c>
      <c r="G17" s="28">
        <v>16</v>
      </c>
      <c r="H17" s="29">
        <v>12</v>
      </c>
      <c r="I17" s="26"/>
      <c r="J17" s="27"/>
      <c r="K17" s="28"/>
      <c r="L17" s="29"/>
      <c r="M17" s="26"/>
      <c r="N17" s="27"/>
      <c r="O17" s="28"/>
      <c r="P17" s="29"/>
      <c r="Q17" s="30">
        <f t="shared" si="0"/>
        <v>22</v>
      </c>
      <c r="R17" s="25">
        <f t="shared" si="1"/>
        <v>1.5602836879432624E-2</v>
      </c>
    </row>
    <row r="18" spans="1:18" ht="18.75" customHeight="1" x14ac:dyDescent="0.15">
      <c r="A18" s="19"/>
      <c r="B18" s="136" t="s">
        <v>162</v>
      </c>
      <c r="C18" s="137"/>
      <c r="D18" s="26">
        <f>300*4</f>
        <v>1200</v>
      </c>
      <c r="E18" s="26">
        <v>58</v>
      </c>
      <c r="F18" s="27">
        <v>52</v>
      </c>
      <c r="G18" s="28">
        <v>18</v>
      </c>
      <c r="H18" s="29">
        <v>17</v>
      </c>
      <c r="I18" s="26"/>
      <c r="J18" s="27"/>
      <c r="K18" s="28"/>
      <c r="L18" s="29"/>
      <c r="M18" s="26"/>
      <c r="N18" s="27"/>
      <c r="O18" s="28"/>
      <c r="P18" s="29"/>
      <c r="Q18" s="30">
        <f t="shared" si="0"/>
        <v>76</v>
      </c>
      <c r="R18" s="25">
        <f t="shared" si="1"/>
        <v>6.3333333333333339E-2</v>
      </c>
    </row>
    <row r="19" spans="1:18" ht="18.75" customHeight="1" x14ac:dyDescent="0.15">
      <c r="A19" s="19"/>
      <c r="B19" s="136"/>
      <c r="C19" s="137"/>
      <c r="D19" s="26"/>
      <c r="E19" s="26"/>
      <c r="F19" s="27"/>
      <c r="G19" s="28"/>
      <c r="H19" s="29"/>
      <c r="I19" s="26"/>
      <c r="J19" s="27"/>
      <c r="K19" s="28"/>
      <c r="L19" s="29"/>
      <c r="M19" s="26"/>
      <c r="N19" s="27"/>
      <c r="O19" s="28"/>
      <c r="P19" s="29"/>
      <c r="Q19" s="30">
        <f t="shared" ref="Q19:Q27" si="2">E19+G19+I19+K19+M19+O19</f>
        <v>0</v>
      </c>
      <c r="R19" s="25" t="e">
        <f t="shared" si="1"/>
        <v>#DIV/0!</v>
      </c>
    </row>
    <row r="20" spans="1:18" ht="18.75" customHeight="1" x14ac:dyDescent="0.15">
      <c r="A20" s="19"/>
      <c r="B20" s="136"/>
      <c r="C20" s="137"/>
      <c r="D20" s="26"/>
      <c r="E20" s="26"/>
      <c r="F20" s="27"/>
      <c r="G20" s="28"/>
      <c r="H20" s="29"/>
      <c r="I20" s="26"/>
      <c r="J20" s="27"/>
      <c r="K20" s="28"/>
      <c r="L20" s="29"/>
      <c r="M20" s="26"/>
      <c r="N20" s="27"/>
      <c r="O20" s="28"/>
      <c r="P20" s="29"/>
      <c r="Q20" s="30">
        <f t="shared" si="2"/>
        <v>0</v>
      </c>
      <c r="R20" s="25" t="e">
        <f t="shared" si="1"/>
        <v>#DIV/0!</v>
      </c>
    </row>
    <row r="21" spans="1:18" ht="18.75" customHeight="1" x14ac:dyDescent="0.15">
      <c r="A21" s="19"/>
      <c r="B21" s="136"/>
      <c r="C21" s="137"/>
      <c r="D21" s="26"/>
      <c r="E21" s="26"/>
      <c r="F21" s="27"/>
      <c r="G21" s="28"/>
      <c r="H21" s="29"/>
      <c r="I21" s="26"/>
      <c r="J21" s="27"/>
      <c r="K21" s="28"/>
      <c r="L21" s="29"/>
      <c r="M21" s="26"/>
      <c r="N21" s="27"/>
      <c r="O21" s="28"/>
      <c r="P21" s="29"/>
      <c r="Q21" s="30">
        <f t="shared" si="2"/>
        <v>0</v>
      </c>
      <c r="R21" s="25" t="e">
        <f t="shared" si="1"/>
        <v>#DIV/0!</v>
      </c>
    </row>
    <row r="22" spans="1:18" ht="18.75" customHeight="1" x14ac:dyDescent="0.15">
      <c r="A22" s="19"/>
      <c r="B22" s="136"/>
      <c r="C22" s="137"/>
      <c r="D22" s="26"/>
      <c r="E22" s="26"/>
      <c r="F22" s="27"/>
      <c r="G22" s="28"/>
      <c r="H22" s="29"/>
      <c r="I22" s="26"/>
      <c r="J22" s="27"/>
      <c r="K22" s="28"/>
      <c r="L22" s="29"/>
      <c r="M22" s="26"/>
      <c r="N22" s="27"/>
      <c r="O22" s="28"/>
      <c r="P22" s="29"/>
      <c r="Q22" s="30">
        <f t="shared" si="2"/>
        <v>0</v>
      </c>
      <c r="R22" s="25" t="e">
        <f t="shared" si="1"/>
        <v>#DIV/0!</v>
      </c>
    </row>
    <row r="23" spans="1:18" ht="18.75" customHeight="1" x14ac:dyDescent="0.15">
      <c r="A23" s="19"/>
      <c r="B23" s="136"/>
      <c r="C23" s="137"/>
      <c r="D23" s="26"/>
      <c r="E23" s="26"/>
      <c r="F23" s="27"/>
      <c r="G23" s="28"/>
      <c r="H23" s="29"/>
      <c r="I23" s="26"/>
      <c r="J23" s="27"/>
      <c r="K23" s="28"/>
      <c r="L23" s="29"/>
      <c r="M23" s="26"/>
      <c r="N23" s="27"/>
      <c r="O23" s="28"/>
      <c r="P23" s="29"/>
      <c r="Q23" s="30">
        <f t="shared" si="2"/>
        <v>0</v>
      </c>
      <c r="R23" s="25" t="e">
        <f t="shared" si="1"/>
        <v>#DIV/0!</v>
      </c>
    </row>
    <row r="24" spans="1:18" ht="18.75" customHeight="1" x14ac:dyDescent="0.15">
      <c r="A24" s="19"/>
      <c r="B24" s="136"/>
      <c r="C24" s="137"/>
      <c r="D24" s="26"/>
      <c r="E24" s="26"/>
      <c r="F24" s="27"/>
      <c r="G24" s="28"/>
      <c r="H24" s="29"/>
      <c r="I24" s="26"/>
      <c r="J24" s="27"/>
      <c r="K24" s="28"/>
      <c r="L24" s="29"/>
      <c r="M24" s="26"/>
      <c r="N24" s="27"/>
      <c r="O24" s="28"/>
      <c r="P24" s="29"/>
      <c r="Q24" s="30">
        <f t="shared" si="2"/>
        <v>0</v>
      </c>
      <c r="R24" s="25" t="e">
        <f t="shared" si="1"/>
        <v>#DIV/0!</v>
      </c>
    </row>
    <row r="25" spans="1:18" ht="18.75" customHeight="1" x14ac:dyDescent="0.15">
      <c r="A25" s="19"/>
      <c r="B25" s="136"/>
      <c r="C25" s="137"/>
      <c r="D25" s="26"/>
      <c r="E25" s="26"/>
      <c r="F25" s="27"/>
      <c r="G25" s="28"/>
      <c r="H25" s="29"/>
      <c r="I25" s="26"/>
      <c r="J25" s="27"/>
      <c r="K25" s="28"/>
      <c r="L25" s="29"/>
      <c r="M25" s="26"/>
      <c r="N25" s="27"/>
      <c r="O25" s="28"/>
      <c r="P25" s="29"/>
      <c r="Q25" s="30">
        <f t="shared" si="2"/>
        <v>0</v>
      </c>
      <c r="R25" s="25" t="e">
        <f t="shared" si="1"/>
        <v>#DIV/0!</v>
      </c>
    </row>
    <row r="26" spans="1:18" ht="18.75" customHeight="1" x14ac:dyDescent="0.15">
      <c r="A26" s="19"/>
      <c r="B26" s="136"/>
      <c r="C26" s="137"/>
      <c r="D26" s="26"/>
      <c r="E26" s="26"/>
      <c r="F26" s="27"/>
      <c r="G26" s="28"/>
      <c r="H26" s="29"/>
      <c r="I26" s="26"/>
      <c r="J26" s="27"/>
      <c r="K26" s="28"/>
      <c r="L26" s="29"/>
      <c r="M26" s="26"/>
      <c r="N26" s="27"/>
      <c r="O26" s="28"/>
      <c r="P26" s="29"/>
      <c r="Q26" s="30">
        <f t="shared" si="2"/>
        <v>0</v>
      </c>
      <c r="R26" s="25" t="e">
        <f t="shared" si="1"/>
        <v>#DIV/0!</v>
      </c>
    </row>
    <row r="27" spans="1:18" ht="18.75" customHeight="1" thickBot="1" x14ac:dyDescent="0.2">
      <c r="A27" s="19"/>
      <c r="B27" s="138"/>
      <c r="C27" s="139"/>
      <c r="D27" s="20"/>
      <c r="E27" s="20"/>
      <c r="F27" s="21"/>
      <c r="G27" s="22"/>
      <c r="H27" s="23"/>
      <c r="I27" s="20"/>
      <c r="J27" s="21"/>
      <c r="K27" s="22"/>
      <c r="L27" s="23"/>
      <c r="M27" s="20"/>
      <c r="N27" s="21"/>
      <c r="O27" s="22"/>
      <c r="P27" s="23"/>
      <c r="Q27" s="31">
        <f t="shared" si="2"/>
        <v>0</v>
      </c>
      <c r="R27" s="25" t="e">
        <f t="shared" si="1"/>
        <v>#DIV/0!</v>
      </c>
    </row>
    <row r="28" spans="1:18" ht="18.75" customHeight="1" thickTop="1" x14ac:dyDescent="0.15">
      <c r="A28" s="19"/>
      <c r="B28" s="130" t="s">
        <v>67</v>
      </c>
      <c r="C28" s="131"/>
      <c r="D28" s="32">
        <f t="shared" ref="D28:Q28" si="3">SUM(D8:D27)</f>
        <v>22870</v>
      </c>
      <c r="E28" s="32">
        <f t="shared" si="3"/>
        <v>1305</v>
      </c>
      <c r="F28" s="33">
        <f t="shared" si="3"/>
        <v>1220</v>
      </c>
      <c r="G28" s="34">
        <f t="shared" si="3"/>
        <v>637</v>
      </c>
      <c r="H28" s="35">
        <f t="shared" si="3"/>
        <v>582</v>
      </c>
      <c r="I28" s="32">
        <f t="shared" si="3"/>
        <v>0</v>
      </c>
      <c r="J28" s="33">
        <f t="shared" si="3"/>
        <v>0</v>
      </c>
      <c r="K28" s="34">
        <f t="shared" si="3"/>
        <v>0</v>
      </c>
      <c r="L28" s="35">
        <f t="shared" si="3"/>
        <v>0</v>
      </c>
      <c r="M28" s="32">
        <f t="shared" si="3"/>
        <v>0</v>
      </c>
      <c r="N28" s="33">
        <f t="shared" si="3"/>
        <v>0</v>
      </c>
      <c r="O28" s="34">
        <f t="shared" si="3"/>
        <v>0</v>
      </c>
      <c r="P28" s="35">
        <f t="shared" si="3"/>
        <v>0</v>
      </c>
      <c r="Q28" s="36">
        <f t="shared" si="3"/>
        <v>1942</v>
      </c>
      <c r="R28" s="37">
        <f>Q28/D28</f>
        <v>8.4914735461303015E-2</v>
      </c>
    </row>
    <row r="29" spans="1:18" ht="6.75" customHeight="1" x14ac:dyDescent="0.15">
      <c r="A29" s="19"/>
      <c r="B29" s="19"/>
      <c r="C29" s="19"/>
      <c r="D29" s="38"/>
      <c r="E29" s="38"/>
      <c r="F29" s="38"/>
      <c r="G29" s="38"/>
      <c r="H29" s="38"/>
      <c r="I29" s="38"/>
      <c r="J29" s="38"/>
      <c r="K29" s="38"/>
      <c r="L29" s="38"/>
      <c r="M29" s="38"/>
      <c r="N29" s="38"/>
      <c r="O29" s="38"/>
      <c r="P29" s="38"/>
      <c r="Q29" s="38"/>
      <c r="R29" s="38"/>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R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3"/>
  <sheetViews>
    <sheetView topLeftCell="A110" zoomScaleNormal="100" workbookViewId="0">
      <selection activeCell="C119" sqref="C119"/>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40" t="s">
        <v>163</v>
      </c>
    </row>
    <row r="2" spans="1:7" ht="18.75" customHeight="1" x14ac:dyDescent="0.15">
      <c r="F2" s="40" t="s">
        <v>75</v>
      </c>
      <c r="G2" s="1" t="s">
        <v>134</v>
      </c>
    </row>
    <row r="3" spans="1:7" ht="18.75" customHeight="1" x14ac:dyDescent="0.15">
      <c r="A3" s="104" t="s">
        <v>95</v>
      </c>
      <c r="B3" s="104"/>
      <c r="C3" s="104"/>
      <c r="D3" s="104"/>
      <c r="E3" s="104"/>
      <c r="F3" s="104"/>
      <c r="G3" s="104"/>
    </row>
    <row r="4" spans="1:7" ht="18.75" customHeight="1" x14ac:dyDescent="0.15">
      <c r="A4" s="1" t="s">
        <v>7</v>
      </c>
      <c r="B4" s="1" t="s">
        <v>94</v>
      </c>
    </row>
    <row r="5" spans="1:7" s="41" customFormat="1" ht="18.75" customHeight="1" x14ac:dyDescent="0.15">
      <c r="B5" s="64" t="s">
        <v>74</v>
      </c>
      <c r="C5" s="96" t="s">
        <v>107</v>
      </c>
      <c r="D5" s="97"/>
      <c r="E5" s="97"/>
      <c r="F5" s="97"/>
      <c r="G5" s="98"/>
    </row>
    <row r="6" spans="1:7" s="41" customFormat="1" ht="45" customHeight="1" x14ac:dyDescent="0.15">
      <c r="B6" s="166" t="s">
        <v>110</v>
      </c>
      <c r="C6" s="145" t="s">
        <v>228</v>
      </c>
      <c r="D6" s="146"/>
      <c r="E6" s="146"/>
      <c r="F6" s="146"/>
      <c r="G6" s="147"/>
    </row>
    <row r="7" spans="1:7" s="41" customFormat="1" ht="45" customHeight="1" x14ac:dyDescent="0.15">
      <c r="B7" s="167"/>
      <c r="C7" s="148"/>
      <c r="D7" s="149"/>
      <c r="E7" s="149"/>
      <c r="F7" s="149"/>
      <c r="G7" s="150"/>
    </row>
    <row r="8" spans="1:7" s="41" customFormat="1" ht="45" customHeight="1" x14ac:dyDescent="0.15">
      <c r="B8" s="167"/>
      <c r="C8" s="148"/>
      <c r="D8" s="149"/>
      <c r="E8" s="149"/>
      <c r="F8" s="149"/>
      <c r="G8" s="150"/>
    </row>
    <row r="9" spans="1:7" s="41" customFormat="1" ht="45" customHeight="1" x14ac:dyDescent="0.15">
      <c r="B9" s="167"/>
      <c r="C9" s="151"/>
      <c r="D9" s="152"/>
      <c r="E9" s="152"/>
      <c r="F9" s="152"/>
      <c r="G9" s="153"/>
    </row>
    <row r="10" spans="1:7" s="41" customFormat="1" ht="18.75" customHeight="1" x14ac:dyDescent="0.15">
      <c r="B10" s="167"/>
      <c r="C10" s="39" t="s">
        <v>108</v>
      </c>
      <c r="D10" s="178" t="s">
        <v>109</v>
      </c>
      <c r="E10" s="179"/>
      <c r="F10" s="179"/>
      <c r="G10" s="180"/>
    </row>
    <row r="11" spans="1:7" s="41" customFormat="1" ht="18.75" customHeight="1" x14ac:dyDescent="0.15">
      <c r="B11" s="167"/>
      <c r="C11" s="65" t="s">
        <v>147</v>
      </c>
      <c r="D11" s="142" t="s">
        <v>191</v>
      </c>
      <c r="E11" s="143"/>
      <c r="F11" s="143"/>
      <c r="G11" s="144"/>
    </row>
    <row r="12" spans="1:7" s="41" customFormat="1" ht="18.75" customHeight="1" x14ac:dyDescent="0.15">
      <c r="B12" s="167"/>
      <c r="C12" s="78" t="s">
        <v>147</v>
      </c>
      <c r="D12" s="142" t="s">
        <v>192</v>
      </c>
      <c r="E12" s="143"/>
      <c r="F12" s="143"/>
      <c r="G12" s="144"/>
    </row>
    <row r="13" spans="1:7" s="41" customFormat="1" ht="18.75" customHeight="1" x14ac:dyDescent="0.15">
      <c r="B13" s="167"/>
      <c r="C13" s="78" t="s">
        <v>147</v>
      </c>
      <c r="D13" s="142" t="s">
        <v>207</v>
      </c>
      <c r="E13" s="143"/>
      <c r="F13" s="143"/>
      <c r="G13" s="144"/>
    </row>
    <row r="14" spans="1:7" s="41" customFormat="1" ht="18.75" customHeight="1" x14ac:dyDescent="0.15">
      <c r="B14" s="167"/>
      <c r="C14" s="65"/>
      <c r="D14" s="86"/>
      <c r="E14" s="87"/>
      <c r="F14" s="87"/>
      <c r="G14" s="88"/>
    </row>
    <row r="15" spans="1:7" s="41" customFormat="1" ht="18.75" customHeight="1" x14ac:dyDescent="0.15">
      <c r="B15" s="167"/>
      <c r="C15" s="64"/>
      <c r="D15" s="96"/>
      <c r="E15" s="97"/>
      <c r="F15" s="97"/>
      <c r="G15" s="98"/>
    </row>
    <row r="16" spans="1:7" s="41" customFormat="1" ht="18.75" customHeight="1" x14ac:dyDescent="0.15">
      <c r="B16" s="167"/>
      <c r="C16" s="64"/>
      <c r="D16" s="96"/>
      <c r="E16" s="97"/>
      <c r="F16" s="97"/>
      <c r="G16" s="98"/>
    </row>
    <row r="17" spans="2:7" s="41" customFormat="1" ht="18.75" customHeight="1" x14ac:dyDescent="0.15">
      <c r="B17" s="167"/>
      <c r="C17" s="64"/>
      <c r="D17" s="96"/>
      <c r="E17" s="97"/>
      <c r="F17" s="97"/>
      <c r="G17" s="98"/>
    </row>
    <row r="18" spans="2:7" s="41" customFormat="1" ht="18.75" customHeight="1" x14ac:dyDescent="0.15">
      <c r="B18" s="167"/>
      <c r="C18" s="64"/>
      <c r="D18" s="96"/>
      <c r="E18" s="97"/>
      <c r="F18" s="97"/>
      <c r="G18" s="98"/>
    </row>
    <row r="19" spans="2:7" s="41" customFormat="1" ht="18.75" customHeight="1" x14ac:dyDescent="0.15">
      <c r="B19" s="167"/>
      <c r="C19" s="64"/>
      <c r="D19" s="96"/>
      <c r="E19" s="97"/>
      <c r="F19" s="97"/>
      <c r="G19" s="98"/>
    </row>
    <row r="20" spans="2:7" s="41" customFormat="1" ht="18.75" customHeight="1" x14ac:dyDescent="0.15">
      <c r="B20" s="167"/>
      <c r="C20" s="64"/>
      <c r="D20" s="96"/>
      <c r="E20" s="97"/>
      <c r="F20" s="97"/>
      <c r="G20" s="98"/>
    </row>
    <row r="21" spans="2:7" s="41" customFormat="1" ht="18.75" customHeight="1" x14ac:dyDescent="0.15">
      <c r="B21" s="167"/>
      <c r="C21" s="64"/>
      <c r="D21" s="96"/>
      <c r="E21" s="97"/>
      <c r="F21" s="97"/>
      <c r="G21" s="98"/>
    </row>
    <row r="22" spans="2:7" s="41" customFormat="1" ht="18.75" customHeight="1" x14ac:dyDescent="0.15">
      <c r="B22" s="167"/>
      <c r="C22" s="64"/>
      <c r="D22" s="96"/>
      <c r="E22" s="97"/>
      <c r="F22" s="97"/>
      <c r="G22" s="98"/>
    </row>
    <row r="23" spans="2:7" s="41" customFormat="1" ht="18.75" customHeight="1" x14ac:dyDescent="0.15">
      <c r="B23" s="167"/>
      <c r="C23" s="64"/>
      <c r="D23" s="96"/>
      <c r="E23" s="97"/>
      <c r="F23" s="97"/>
      <c r="G23" s="98"/>
    </row>
    <row r="24" spans="2:7" s="41" customFormat="1" ht="18.75" customHeight="1" x14ac:dyDescent="0.15">
      <c r="B24" s="167"/>
      <c r="C24" s="64"/>
      <c r="D24" s="96"/>
      <c r="E24" s="97"/>
      <c r="F24" s="97"/>
      <c r="G24" s="98"/>
    </row>
    <row r="25" spans="2:7" s="41" customFormat="1" ht="18.75" customHeight="1" x14ac:dyDescent="0.15">
      <c r="B25" s="167"/>
      <c r="C25" s="64"/>
      <c r="D25" s="96"/>
      <c r="E25" s="97"/>
      <c r="F25" s="97"/>
      <c r="G25" s="98"/>
    </row>
    <row r="26" spans="2:7" ht="18.75" customHeight="1" x14ac:dyDescent="0.15">
      <c r="B26" s="166" t="s">
        <v>111</v>
      </c>
      <c r="C26" s="96" t="s">
        <v>107</v>
      </c>
      <c r="D26" s="97"/>
      <c r="E26" s="97"/>
      <c r="F26" s="97"/>
      <c r="G26" s="98"/>
    </row>
    <row r="27" spans="2:7" ht="37.5" customHeight="1" x14ac:dyDescent="0.15">
      <c r="B27" s="167"/>
      <c r="C27" s="169" t="s">
        <v>193</v>
      </c>
      <c r="D27" s="170"/>
      <c r="E27" s="170"/>
      <c r="F27" s="170"/>
      <c r="G27" s="171"/>
    </row>
    <row r="28" spans="2:7" ht="37.5" customHeight="1" x14ac:dyDescent="0.15">
      <c r="B28" s="167"/>
      <c r="C28" s="172"/>
      <c r="D28" s="173"/>
      <c r="E28" s="173"/>
      <c r="F28" s="173"/>
      <c r="G28" s="174"/>
    </row>
    <row r="29" spans="2:7" ht="37.5" customHeight="1" x14ac:dyDescent="0.15">
      <c r="B29" s="167"/>
      <c r="C29" s="172"/>
      <c r="D29" s="173"/>
      <c r="E29" s="173"/>
      <c r="F29" s="173"/>
      <c r="G29" s="174"/>
    </row>
    <row r="30" spans="2:7" ht="37.5" customHeight="1" x14ac:dyDescent="0.15">
      <c r="B30" s="167"/>
      <c r="C30" s="172"/>
      <c r="D30" s="173"/>
      <c r="E30" s="173"/>
      <c r="F30" s="173"/>
      <c r="G30" s="174"/>
    </row>
    <row r="31" spans="2:7" ht="37.5" customHeight="1" x14ac:dyDescent="0.15">
      <c r="B31" s="167"/>
      <c r="C31" s="175"/>
      <c r="D31" s="176"/>
      <c r="E31" s="176"/>
      <c r="F31" s="176"/>
      <c r="G31" s="177"/>
    </row>
    <row r="32" spans="2:7" ht="18.75" customHeight="1" x14ac:dyDescent="0.15">
      <c r="B32" s="167"/>
      <c r="C32" s="39" t="s">
        <v>108</v>
      </c>
      <c r="D32" s="96" t="s">
        <v>109</v>
      </c>
      <c r="E32" s="97"/>
      <c r="F32" s="97"/>
      <c r="G32" s="98"/>
    </row>
    <row r="33" spans="2:7" ht="18.75" customHeight="1" x14ac:dyDescent="0.15">
      <c r="B33" s="167"/>
      <c r="C33" s="65" t="s">
        <v>194</v>
      </c>
      <c r="D33" s="142" t="s">
        <v>206</v>
      </c>
      <c r="E33" s="143"/>
      <c r="F33" s="143"/>
      <c r="G33" s="144"/>
    </row>
    <row r="34" spans="2:7" ht="18.75" customHeight="1" x14ac:dyDescent="0.15">
      <c r="B34" s="167"/>
      <c r="C34" s="65" t="s">
        <v>194</v>
      </c>
      <c r="D34" s="142" t="s">
        <v>196</v>
      </c>
      <c r="E34" s="143"/>
      <c r="F34" s="143"/>
      <c r="G34" s="144"/>
    </row>
    <row r="35" spans="2:7" ht="18.75" customHeight="1" x14ac:dyDescent="0.15">
      <c r="B35" s="167"/>
      <c r="C35" s="65" t="s">
        <v>194</v>
      </c>
      <c r="D35" s="142" t="s">
        <v>197</v>
      </c>
      <c r="E35" s="143"/>
      <c r="F35" s="143"/>
      <c r="G35" s="144"/>
    </row>
    <row r="36" spans="2:7" ht="18.75" customHeight="1" x14ac:dyDescent="0.15">
      <c r="B36" s="167"/>
      <c r="C36" s="78" t="s">
        <v>194</v>
      </c>
      <c r="D36" s="142" t="s">
        <v>198</v>
      </c>
      <c r="E36" s="143"/>
      <c r="F36" s="143"/>
      <c r="G36" s="144"/>
    </row>
    <row r="37" spans="2:7" ht="18.75" customHeight="1" x14ac:dyDescent="0.15">
      <c r="B37" s="167"/>
      <c r="C37" s="78" t="s">
        <v>180</v>
      </c>
      <c r="D37" s="142" t="s">
        <v>199</v>
      </c>
      <c r="E37" s="143"/>
      <c r="F37" s="143"/>
      <c r="G37" s="144"/>
    </row>
    <row r="38" spans="2:7" ht="18.75" customHeight="1" x14ac:dyDescent="0.15">
      <c r="B38" s="167"/>
      <c r="C38" s="78" t="s">
        <v>181</v>
      </c>
      <c r="D38" s="142" t="s">
        <v>200</v>
      </c>
      <c r="E38" s="143"/>
      <c r="F38" s="143"/>
      <c r="G38" s="144"/>
    </row>
    <row r="39" spans="2:7" ht="18.75" customHeight="1" x14ac:dyDescent="0.15">
      <c r="B39" s="167"/>
      <c r="C39" s="78" t="s">
        <v>181</v>
      </c>
      <c r="D39" s="142" t="s">
        <v>201</v>
      </c>
      <c r="E39" s="143"/>
      <c r="F39" s="143"/>
      <c r="G39" s="144"/>
    </row>
    <row r="40" spans="2:7" ht="18.75" customHeight="1" x14ac:dyDescent="0.15">
      <c r="B40" s="167"/>
      <c r="C40" s="78" t="s">
        <v>181</v>
      </c>
      <c r="D40" s="142" t="s">
        <v>202</v>
      </c>
      <c r="E40" s="143"/>
      <c r="F40" s="143"/>
      <c r="G40" s="144"/>
    </row>
    <row r="41" spans="2:7" ht="18.75" customHeight="1" x14ac:dyDescent="0.15">
      <c r="B41" s="167"/>
      <c r="C41" s="78" t="s">
        <v>181</v>
      </c>
      <c r="D41" s="142" t="s">
        <v>203</v>
      </c>
      <c r="E41" s="143"/>
      <c r="F41" s="143"/>
      <c r="G41" s="144"/>
    </row>
    <row r="42" spans="2:7" ht="18.75" customHeight="1" x14ac:dyDescent="0.15">
      <c r="B42" s="167"/>
      <c r="C42" s="78" t="s">
        <v>195</v>
      </c>
      <c r="D42" s="142" t="s">
        <v>229</v>
      </c>
      <c r="E42" s="143"/>
      <c r="F42" s="143"/>
      <c r="G42" s="144"/>
    </row>
    <row r="43" spans="2:7" ht="18.75" customHeight="1" x14ac:dyDescent="0.15">
      <c r="B43" s="167"/>
      <c r="C43" s="64"/>
      <c r="D43" s="86"/>
      <c r="E43" s="87"/>
      <c r="F43" s="87"/>
      <c r="G43" s="88"/>
    </row>
    <row r="44" spans="2:7" ht="18.75" customHeight="1" x14ac:dyDescent="0.15">
      <c r="B44" s="167"/>
      <c r="C44" s="64"/>
      <c r="D44" s="86"/>
      <c r="E44" s="87"/>
      <c r="F44" s="87"/>
      <c r="G44" s="88"/>
    </row>
    <row r="45" spans="2:7" ht="18.75" customHeight="1" x14ac:dyDescent="0.15">
      <c r="B45" s="167"/>
      <c r="C45" s="64"/>
      <c r="D45" s="86"/>
      <c r="E45" s="87"/>
      <c r="F45" s="87"/>
      <c r="G45" s="88"/>
    </row>
    <row r="46" spans="2:7" ht="18.75" customHeight="1" x14ac:dyDescent="0.15">
      <c r="B46" s="167"/>
      <c r="C46" s="64"/>
      <c r="D46" s="86"/>
      <c r="E46" s="87"/>
      <c r="F46" s="87"/>
      <c r="G46" s="88"/>
    </row>
    <row r="47" spans="2:7" ht="18.75" customHeight="1" x14ac:dyDescent="0.15">
      <c r="B47" s="167"/>
      <c r="C47" s="64"/>
      <c r="D47" s="86"/>
      <c r="E47" s="87"/>
      <c r="F47" s="87"/>
      <c r="G47" s="88"/>
    </row>
    <row r="48" spans="2:7" ht="18.75" customHeight="1" x14ac:dyDescent="0.15">
      <c r="B48" s="167"/>
      <c r="C48" s="64"/>
      <c r="D48" s="86"/>
      <c r="E48" s="87"/>
      <c r="F48" s="87"/>
      <c r="G48" s="88"/>
    </row>
    <row r="49" spans="2:7" ht="18.75" customHeight="1" x14ac:dyDescent="0.15">
      <c r="B49" s="167"/>
      <c r="C49" s="64"/>
      <c r="D49" s="86"/>
      <c r="E49" s="87"/>
      <c r="F49" s="87"/>
      <c r="G49" s="88"/>
    </row>
    <row r="50" spans="2:7" ht="18.75" customHeight="1" x14ac:dyDescent="0.15">
      <c r="B50" s="168"/>
      <c r="C50" s="64"/>
      <c r="D50" s="86"/>
      <c r="E50" s="87"/>
      <c r="F50" s="87"/>
      <c r="G50" s="88"/>
    </row>
    <row r="51" spans="2:7" ht="18.75" customHeight="1" x14ac:dyDescent="0.15">
      <c r="B51" s="166" t="s">
        <v>113</v>
      </c>
      <c r="C51" s="96" t="s">
        <v>107</v>
      </c>
      <c r="D51" s="97"/>
      <c r="E51" s="97"/>
      <c r="F51" s="97"/>
      <c r="G51" s="98"/>
    </row>
    <row r="52" spans="2:7" ht="37.5" customHeight="1" x14ac:dyDescent="0.15">
      <c r="B52" s="167"/>
      <c r="C52" s="169" t="s">
        <v>204</v>
      </c>
      <c r="D52" s="170"/>
      <c r="E52" s="170"/>
      <c r="F52" s="170"/>
      <c r="G52" s="171"/>
    </row>
    <row r="53" spans="2:7" ht="37.5" customHeight="1" x14ac:dyDescent="0.15">
      <c r="B53" s="167"/>
      <c r="C53" s="172"/>
      <c r="D53" s="173"/>
      <c r="E53" s="173"/>
      <c r="F53" s="173"/>
      <c r="G53" s="174"/>
    </row>
    <row r="54" spans="2:7" ht="37.5" customHeight="1" x14ac:dyDescent="0.15">
      <c r="B54" s="167"/>
      <c r="C54" s="172"/>
      <c r="D54" s="173"/>
      <c r="E54" s="173"/>
      <c r="F54" s="173"/>
      <c r="G54" s="174"/>
    </row>
    <row r="55" spans="2:7" ht="37.5" customHeight="1" x14ac:dyDescent="0.15">
      <c r="B55" s="167"/>
      <c r="C55" s="172"/>
      <c r="D55" s="173"/>
      <c r="E55" s="173"/>
      <c r="F55" s="173"/>
      <c r="G55" s="174"/>
    </row>
    <row r="56" spans="2:7" ht="37.5" customHeight="1" x14ac:dyDescent="0.15">
      <c r="B56" s="167"/>
      <c r="C56" s="175"/>
      <c r="D56" s="176"/>
      <c r="E56" s="176"/>
      <c r="F56" s="176"/>
      <c r="G56" s="177"/>
    </row>
    <row r="57" spans="2:7" ht="18.75" customHeight="1" x14ac:dyDescent="0.15">
      <c r="B57" s="167"/>
      <c r="C57" s="39" t="s">
        <v>108</v>
      </c>
      <c r="D57" s="96" t="s">
        <v>109</v>
      </c>
      <c r="E57" s="97"/>
      <c r="F57" s="97"/>
      <c r="G57" s="98"/>
    </row>
    <row r="58" spans="2:7" ht="18.75" customHeight="1" x14ac:dyDescent="0.15">
      <c r="B58" s="167"/>
      <c r="C58" s="78" t="s">
        <v>194</v>
      </c>
      <c r="D58" s="142" t="s">
        <v>206</v>
      </c>
      <c r="E58" s="143"/>
      <c r="F58" s="143"/>
      <c r="G58" s="144"/>
    </row>
    <row r="59" spans="2:7" ht="18.75" customHeight="1" x14ac:dyDescent="0.15">
      <c r="B59" s="167"/>
      <c r="C59" s="78" t="s">
        <v>194</v>
      </c>
      <c r="D59" s="142" t="s">
        <v>196</v>
      </c>
      <c r="E59" s="143"/>
      <c r="F59" s="143"/>
      <c r="G59" s="144"/>
    </row>
    <row r="60" spans="2:7" ht="18.75" customHeight="1" x14ac:dyDescent="0.15">
      <c r="B60" s="167"/>
      <c r="C60" s="78" t="s">
        <v>194</v>
      </c>
      <c r="D60" s="142" t="s">
        <v>197</v>
      </c>
      <c r="E60" s="143"/>
      <c r="F60" s="143"/>
      <c r="G60" s="144"/>
    </row>
    <row r="61" spans="2:7" ht="18.75" customHeight="1" x14ac:dyDescent="0.15">
      <c r="B61" s="167"/>
      <c r="C61" s="78" t="s">
        <v>194</v>
      </c>
      <c r="D61" s="142" t="s">
        <v>198</v>
      </c>
      <c r="E61" s="143"/>
      <c r="F61" s="143"/>
      <c r="G61" s="144"/>
    </row>
    <row r="62" spans="2:7" ht="18.75" customHeight="1" x14ac:dyDescent="0.15">
      <c r="B62" s="167"/>
      <c r="C62" s="78" t="s">
        <v>194</v>
      </c>
      <c r="D62" s="142" t="s">
        <v>205</v>
      </c>
      <c r="E62" s="143"/>
      <c r="F62" s="143"/>
      <c r="G62" s="144"/>
    </row>
    <row r="63" spans="2:7" ht="18.75" customHeight="1" x14ac:dyDescent="0.15">
      <c r="B63" s="167"/>
      <c r="C63" s="78" t="s">
        <v>180</v>
      </c>
      <c r="D63" s="142" t="s">
        <v>199</v>
      </c>
      <c r="E63" s="143"/>
      <c r="F63" s="143"/>
      <c r="G63" s="144"/>
    </row>
    <row r="64" spans="2:7" ht="18.75" customHeight="1" x14ac:dyDescent="0.15">
      <c r="B64" s="167"/>
      <c r="C64" s="78" t="s">
        <v>181</v>
      </c>
      <c r="D64" s="142" t="s">
        <v>200</v>
      </c>
      <c r="E64" s="143"/>
      <c r="F64" s="143"/>
      <c r="G64" s="144"/>
    </row>
    <row r="65" spans="2:7" ht="18.75" customHeight="1" x14ac:dyDescent="0.15">
      <c r="B65" s="167"/>
      <c r="C65" s="78" t="s">
        <v>181</v>
      </c>
      <c r="D65" s="142" t="s">
        <v>201</v>
      </c>
      <c r="E65" s="143"/>
      <c r="F65" s="143"/>
      <c r="G65" s="144"/>
    </row>
    <row r="66" spans="2:7" ht="18.75" customHeight="1" x14ac:dyDescent="0.15">
      <c r="B66" s="167"/>
      <c r="C66" s="78" t="s">
        <v>181</v>
      </c>
      <c r="D66" s="142" t="s">
        <v>202</v>
      </c>
      <c r="E66" s="143"/>
      <c r="F66" s="143"/>
      <c r="G66" s="144"/>
    </row>
    <row r="67" spans="2:7" ht="18.75" customHeight="1" x14ac:dyDescent="0.15">
      <c r="B67" s="167"/>
      <c r="C67" s="78" t="s">
        <v>181</v>
      </c>
      <c r="D67" s="142" t="s">
        <v>203</v>
      </c>
      <c r="E67" s="143"/>
      <c r="F67" s="143"/>
      <c r="G67" s="144"/>
    </row>
    <row r="68" spans="2:7" ht="18.75" customHeight="1" x14ac:dyDescent="0.15">
      <c r="B68" s="167"/>
      <c r="C68" s="78" t="s">
        <v>195</v>
      </c>
      <c r="D68" s="142" t="s">
        <v>229</v>
      </c>
      <c r="E68" s="143"/>
      <c r="F68" s="143"/>
      <c r="G68" s="144"/>
    </row>
    <row r="69" spans="2:7" ht="18.75" customHeight="1" x14ac:dyDescent="0.15">
      <c r="B69" s="167"/>
      <c r="C69" s="64"/>
      <c r="D69" s="86"/>
      <c r="E69" s="87"/>
      <c r="F69" s="87"/>
      <c r="G69" s="88"/>
    </row>
    <row r="70" spans="2:7" ht="18.75" customHeight="1" x14ac:dyDescent="0.15">
      <c r="B70" s="167"/>
      <c r="C70" s="64"/>
      <c r="D70" s="86"/>
      <c r="E70" s="87"/>
      <c r="F70" s="87"/>
      <c r="G70" s="88"/>
    </row>
    <row r="71" spans="2:7" ht="18.75" customHeight="1" x14ac:dyDescent="0.15">
      <c r="B71" s="167"/>
      <c r="C71" s="64"/>
      <c r="D71" s="86"/>
      <c r="E71" s="87"/>
      <c r="F71" s="87"/>
      <c r="G71" s="88"/>
    </row>
    <row r="72" spans="2:7" ht="18.75" customHeight="1" x14ac:dyDescent="0.15">
      <c r="B72" s="167"/>
      <c r="C72" s="64"/>
      <c r="D72" s="86"/>
      <c r="E72" s="87"/>
      <c r="F72" s="87"/>
      <c r="G72" s="88"/>
    </row>
    <row r="73" spans="2:7" ht="18.75" customHeight="1" x14ac:dyDescent="0.15">
      <c r="B73" s="167"/>
      <c r="C73" s="64"/>
      <c r="D73" s="86"/>
      <c r="E73" s="87"/>
      <c r="F73" s="87"/>
      <c r="G73" s="88"/>
    </row>
    <row r="74" spans="2:7" ht="18.75" customHeight="1" x14ac:dyDescent="0.15">
      <c r="B74" s="167"/>
      <c r="C74" s="64"/>
      <c r="D74" s="86"/>
      <c r="E74" s="87"/>
      <c r="F74" s="87"/>
      <c r="G74" s="88"/>
    </row>
    <row r="75" spans="2:7" ht="18.75" customHeight="1" x14ac:dyDescent="0.15">
      <c r="B75" s="167"/>
      <c r="C75" s="64"/>
      <c r="D75" s="86"/>
      <c r="E75" s="87"/>
      <c r="F75" s="87"/>
      <c r="G75" s="88"/>
    </row>
    <row r="76" spans="2:7" ht="18.75" customHeight="1" x14ac:dyDescent="0.15">
      <c r="B76" s="166" t="s">
        <v>112</v>
      </c>
      <c r="C76" s="96" t="s">
        <v>107</v>
      </c>
      <c r="D76" s="97"/>
      <c r="E76" s="97"/>
      <c r="F76" s="97"/>
      <c r="G76" s="98"/>
    </row>
    <row r="77" spans="2:7" ht="37.5" customHeight="1" x14ac:dyDescent="0.15">
      <c r="B77" s="167"/>
      <c r="C77" s="169" t="s">
        <v>230</v>
      </c>
      <c r="D77" s="170"/>
      <c r="E77" s="170"/>
      <c r="F77" s="170"/>
      <c r="G77" s="171"/>
    </row>
    <row r="78" spans="2:7" ht="37.5" customHeight="1" x14ac:dyDescent="0.15">
      <c r="B78" s="167"/>
      <c r="C78" s="172"/>
      <c r="D78" s="173"/>
      <c r="E78" s="173"/>
      <c r="F78" s="173"/>
      <c r="G78" s="174"/>
    </row>
    <row r="79" spans="2:7" ht="37.5" customHeight="1" x14ac:dyDescent="0.15">
      <c r="B79" s="167"/>
      <c r="C79" s="172"/>
      <c r="D79" s="173"/>
      <c r="E79" s="173"/>
      <c r="F79" s="173"/>
      <c r="G79" s="174"/>
    </row>
    <row r="80" spans="2:7" ht="37.5" customHeight="1" x14ac:dyDescent="0.15">
      <c r="B80" s="167"/>
      <c r="C80" s="172"/>
      <c r="D80" s="173"/>
      <c r="E80" s="173"/>
      <c r="F80" s="173"/>
      <c r="G80" s="174"/>
    </row>
    <row r="81" spans="2:7" ht="37.5" customHeight="1" x14ac:dyDescent="0.15">
      <c r="B81" s="167"/>
      <c r="C81" s="175"/>
      <c r="D81" s="176"/>
      <c r="E81" s="176"/>
      <c r="F81" s="176"/>
      <c r="G81" s="177"/>
    </row>
    <row r="82" spans="2:7" ht="18.75" customHeight="1" x14ac:dyDescent="0.15">
      <c r="B82" s="167"/>
      <c r="C82" s="39" t="s">
        <v>108</v>
      </c>
      <c r="D82" s="96" t="s">
        <v>109</v>
      </c>
      <c r="E82" s="97"/>
      <c r="F82" s="97"/>
      <c r="G82" s="98"/>
    </row>
    <row r="83" spans="2:7" ht="18.75" customHeight="1" x14ac:dyDescent="0.15">
      <c r="B83" s="167"/>
      <c r="C83" s="65" t="s">
        <v>147</v>
      </c>
      <c r="D83" s="142" t="s">
        <v>206</v>
      </c>
      <c r="E83" s="143"/>
      <c r="F83" s="143"/>
      <c r="G83" s="144"/>
    </row>
    <row r="84" spans="2:7" ht="18.75" customHeight="1" x14ac:dyDescent="0.15">
      <c r="B84" s="167"/>
      <c r="C84" s="64"/>
      <c r="D84" s="86"/>
      <c r="E84" s="87"/>
      <c r="F84" s="87"/>
      <c r="G84" s="88"/>
    </row>
    <row r="85" spans="2:7" ht="18.75" customHeight="1" x14ac:dyDescent="0.15">
      <c r="B85" s="167"/>
      <c r="C85" s="64"/>
      <c r="D85" s="86"/>
      <c r="E85" s="87"/>
      <c r="F85" s="87"/>
      <c r="G85" s="88"/>
    </row>
    <row r="86" spans="2:7" ht="18.75" customHeight="1" x14ac:dyDescent="0.15">
      <c r="B86" s="167"/>
      <c r="C86" s="64"/>
      <c r="D86" s="86"/>
      <c r="E86" s="87"/>
      <c r="F86" s="87"/>
      <c r="G86" s="88"/>
    </row>
    <row r="87" spans="2:7" ht="18.75" customHeight="1" x14ac:dyDescent="0.15">
      <c r="B87" s="167"/>
      <c r="C87" s="64"/>
      <c r="D87" s="86"/>
      <c r="E87" s="87"/>
      <c r="F87" s="87"/>
      <c r="G87" s="88"/>
    </row>
    <row r="88" spans="2:7" ht="18.75" customHeight="1" x14ac:dyDescent="0.15">
      <c r="B88" s="167"/>
      <c r="C88" s="64"/>
      <c r="D88" s="86"/>
      <c r="E88" s="87"/>
      <c r="F88" s="87"/>
      <c r="G88" s="88"/>
    </row>
    <row r="89" spans="2:7" ht="18.75" customHeight="1" x14ac:dyDescent="0.15">
      <c r="B89" s="167"/>
      <c r="C89" s="64"/>
      <c r="D89" s="86"/>
      <c r="E89" s="87"/>
      <c r="F89" s="87"/>
      <c r="G89" s="88"/>
    </row>
    <row r="90" spans="2:7" ht="18.75" customHeight="1" x14ac:dyDescent="0.15">
      <c r="B90" s="167"/>
      <c r="C90" s="64"/>
      <c r="D90" s="86"/>
      <c r="E90" s="87"/>
      <c r="F90" s="87"/>
      <c r="G90" s="88"/>
    </row>
    <row r="91" spans="2:7" ht="18.75" customHeight="1" x14ac:dyDescent="0.15">
      <c r="B91" s="167"/>
      <c r="C91" s="64"/>
      <c r="D91" s="86"/>
      <c r="E91" s="87"/>
      <c r="F91" s="87"/>
      <c r="G91" s="88"/>
    </row>
    <row r="92" spans="2:7" ht="18.75" customHeight="1" x14ac:dyDescent="0.15">
      <c r="B92" s="167"/>
      <c r="C92" s="64"/>
      <c r="D92" s="86"/>
      <c r="E92" s="87"/>
      <c r="F92" s="87"/>
      <c r="G92" s="88"/>
    </row>
    <row r="93" spans="2:7" ht="18.75" customHeight="1" x14ac:dyDescent="0.15">
      <c r="B93" s="167"/>
      <c r="C93" s="64"/>
      <c r="D93" s="86"/>
      <c r="E93" s="87"/>
      <c r="F93" s="87"/>
      <c r="G93" s="88"/>
    </row>
    <row r="94" spans="2:7" ht="18.75" customHeight="1" x14ac:dyDescent="0.15">
      <c r="B94" s="167"/>
      <c r="C94" s="64"/>
      <c r="D94" s="86"/>
      <c r="E94" s="87"/>
      <c r="F94" s="87"/>
      <c r="G94" s="88"/>
    </row>
    <row r="95" spans="2:7" ht="18.75" customHeight="1" x14ac:dyDescent="0.15">
      <c r="B95" s="167"/>
      <c r="C95" s="64"/>
      <c r="D95" s="86"/>
      <c r="E95" s="87"/>
      <c r="F95" s="87"/>
      <c r="G95" s="88"/>
    </row>
    <row r="96" spans="2:7" ht="18.75" customHeight="1" x14ac:dyDescent="0.15">
      <c r="B96" s="167"/>
      <c r="C96" s="64"/>
      <c r="D96" s="86"/>
      <c r="E96" s="87"/>
      <c r="F96" s="87"/>
      <c r="G96" s="88"/>
    </row>
    <row r="97" spans="2:7" ht="18.75" customHeight="1" x14ac:dyDescent="0.15">
      <c r="B97" s="167"/>
      <c r="C97" s="64"/>
      <c r="D97" s="86"/>
      <c r="E97" s="87"/>
      <c r="F97" s="87"/>
      <c r="G97" s="88"/>
    </row>
    <row r="98" spans="2:7" ht="18.75" customHeight="1" x14ac:dyDescent="0.15">
      <c r="B98" s="167"/>
      <c r="C98" s="64"/>
      <c r="D98" s="86"/>
      <c r="E98" s="87"/>
      <c r="F98" s="87"/>
      <c r="G98" s="88"/>
    </row>
    <row r="99" spans="2:7" ht="18.75" customHeight="1" x14ac:dyDescent="0.15">
      <c r="B99" s="167"/>
      <c r="C99" s="64"/>
      <c r="D99" s="86"/>
      <c r="E99" s="87"/>
      <c r="F99" s="87"/>
      <c r="G99" s="88"/>
    </row>
    <row r="100" spans="2:7" ht="18.75" customHeight="1" x14ac:dyDescent="0.15">
      <c r="B100" s="167"/>
      <c r="C100" s="64"/>
      <c r="D100" s="86"/>
      <c r="E100" s="87"/>
      <c r="F100" s="87"/>
      <c r="G100" s="88"/>
    </row>
    <row r="101" spans="2:7" ht="18.75" customHeight="1" x14ac:dyDescent="0.15">
      <c r="B101" s="166" t="s">
        <v>114</v>
      </c>
      <c r="C101" s="96" t="s">
        <v>107</v>
      </c>
      <c r="D101" s="97"/>
      <c r="E101" s="97"/>
      <c r="F101" s="97"/>
      <c r="G101" s="98"/>
    </row>
    <row r="102" spans="2:7" ht="37.5" customHeight="1" x14ac:dyDescent="0.15">
      <c r="B102" s="167"/>
      <c r="C102" s="169" t="s">
        <v>211</v>
      </c>
      <c r="D102" s="170"/>
      <c r="E102" s="170"/>
      <c r="F102" s="170"/>
      <c r="G102" s="171"/>
    </row>
    <row r="103" spans="2:7" ht="37.5" customHeight="1" x14ac:dyDescent="0.15">
      <c r="B103" s="167"/>
      <c r="C103" s="172"/>
      <c r="D103" s="173"/>
      <c r="E103" s="173"/>
      <c r="F103" s="173"/>
      <c r="G103" s="174"/>
    </row>
    <row r="104" spans="2:7" ht="37.5" customHeight="1" x14ac:dyDescent="0.15">
      <c r="B104" s="167"/>
      <c r="C104" s="172"/>
      <c r="D104" s="173"/>
      <c r="E104" s="173"/>
      <c r="F104" s="173"/>
      <c r="G104" s="174"/>
    </row>
    <row r="105" spans="2:7" ht="37.5" customHeight="1" x14ac:dyDescent="0.15">
      <c r="B105" s="167"/>
      <c r="C105" s="172"/>
      <c r="D105" s="173"/>
      <c r="E105" s="173"/>
      <c r="F105" s="173"/>
      <c r="G105" s="174"/>
    </row>
    <row r="106" spans="2:7" ht="37.5" customHeight="1" x14ac:dyDescent="0.15">
      <c r="B106" s="167"/>
      <c r="C106" s="175"/>
      <c r="D106" s="176"/>
      <c r="E106" s="176"/>
      <c r="F106" s="176"/>
      <c r="G106" s="177"/>
    </row>
    <row r="107" spans="2:7" ht="18.75" customHeight="1" x14ac:dyDescent="0.15">
      <c r="B107" s="167"/>
      <c r="C107" s="39" t="s">
        <v>108</v>
      </c>
      <c r="D107" s="96" t="s">
        <v>109</v>
      </c>
      <c r="E107" s="97"/>
      <c r="F107" s="97"/>
      <c r="G107" s="98"/>
    </row>
    <row r="108" spans="2:7" ht="18.75" customHeight="1" x14ac:dyDescent="0.15">
      <c r="B108" s="167"/>
      <c r="C108" s="78" t="s">
        <v>194</v>
      </c>
      <c r="D108" s="142" t="s">
        <v>196</v>
      </c>
      <c r="E108" s="143"/>
      <c r="F108" s="143"/>
      <c r="G108" s="144"/>
    </row>
    <row r="109" spans="2:7" ht="18.75" customHeight="1" x14ac:dyDescent="0.15">
      <c r="B109" s="167"/>
      <c r="C109" s="78" t="s">
        <v>194</v>
      </c>
      <c r="D109" s="142" t="s">
        <v>197</v>
      </c>
      <c r="E109" s="143"/>
      <c r="F109" s="143"/>
      <c r="G109" s="144"/>
    </row>
    <row r="110" spans="2:7" ht="18.75" customHeight="1" x14ac:dyDescent="0.15">
      <c r="B110" s="167"/>
      <c r="C110" s="78" t="s">
        <v>194</v>
      </c>
      <c r="D110" s="142" t="s">
        <v>198</v>
      </c>
      <c r="E110" s="143"/>
      <c r="F110" s="143"/>
      <c r="G110" s="144"/>
    </row>
    <row r="111" spans="2:7" ht="18.75" customHeight="1" x14ac:dyDescent="0.15">
      <c r="B111" s="167"/>
      <c r="C111" s="78" t="s">
        <v>194</v>
      </c>
      <c r="D111" s="142" t="s">
        <v>205</v>
      </c>
      <c r="E111" s="143"/>
      <c r="F111" s="143"/>
      <c r="G111" s="144"/>
    </row>
    <row r="112" spans="2:7" ht="18.75" customHeight="1" x14ac:dyDescent="0.15">
      <c r="B112" s="167"/>
      <c r="C112" s="78" t="s">
        <v>180</v>
      </c>
      <c r="D112" s="142" t="s">
        <v>212</v>
      </c>
      <c r="E112" s="143"/>
      <c r="F112" s="143"/>
      <c r="G112" s="144"/>
    </row>
    <row r="113" spans="1:7" ht="18.75" customHeight="1" x14ac:dyDescent="0.15">
      <c r="B113" s="167"/>
      <c r="C113" s="78" t="s">
        <v>181</v>
      </c>
      <c r="D113" s="142" t="s">
        <v>213</v>
      </c>
      <c r="E113" s="143"/>
      <c r="F113" s="143"/>
      <c r="G113" s="144"/>
    </row>
    <row r="114" spans="1:7" ht="18.75" customHeight="1" x14ac:dyDescent="0.15">
      <c r="B114" s="167"/>
      <c r="C114" s="78" t="s">
        <v>195</v>
      </c>
      <c r="D114" s="142" t="s">
        <v>214</v>
      </c>
      <c r="E114" s="143"/>
      <c r="F114" s="143"/>
      <c r="G114" s="144"/>
    </row>
    <row r="115" spans="1:7" ht="18.75" customHeight="1" x14ac:dyDescent="0.15">
      <c r="B115" s="167"/>
      <c r="C115" s="78" t="s">
        <v>208</v>
      </c>
      <c r="D115" s="142" t="s">
        <v>215</v>
      </c>
      <c r="E115" s="143"/>
      <c r="F115" s="143"/>
      <c r="G115" s="144"/>
    </row>
    <row r="116" spans="1:7" ht="18.75" customHeight="1" x14ac:dyDescent="0.15">
      <c r="B116" s="167"/>
      <c r="C116" s="78" t="s">
        <v>174</v>
      </c>
      <c r="D116" s="142" t="s">
        <v>210</v>
      </c>
      <c r="E116" s="143"/>
      <c r="F116" s="143"/>
      <c r="G116" s="144"/>
    </row>
    <row r="117" spans="1:7" ht="18.75" customHeight="1" x14ac:dyDescent="0.15">
      <c r="B117" s="167"/>
      <c r="C117" s="78" t="s">
        <v>175</v>
      </c>
      <c r="D117" s="142" t="s">
        <v>216</v>
      </c>
      <c r="E117" s="143"/>
      <c r="F117" s="143"/>
      <c r="G117" s="144"/>
    </row>
    <row r="118" spans="1:7" ht="18.75" customHeight="1" x14ac:dyDescent="0.15">
      <c r="B118" s="167"/>
      <c r="C118" s="78" t="s">
        <v>176</v>
      </c>
      <c r="D118" s="142" t="s">
        <v>231</v>
      </c>
      <c r="E118" s="143"/>
      <c r="F118" s="143"/>
      <c r="G118" s="144"/>
    </row>
    <row r="119" spans="1:7" ht="18.75" customHeight="1" x14ac:dyDescent="0.15">
      <c r="B119" s="167"/>
      <c r="C119" s="78" t="s">
        <v>209</v>
      </c>
      <c r="D119" s="142" t="s">
        <v>217</v>
      </c>
      <c r="E119" s="143"/>
      <c r="F119" s="143"/>
      <c r="G119" s="144"/>
    </row>
    <row r="120" spans="1:7" ht="18.75" customHeight="1" x14ac:dyDescent="0.15">
      <c r="B120" s="167"/>
      <c r="C120" s="64"/>
      <c r="D120" s="86"/>
      <c r="E120" s="87"/>
      <c r="F120" s="87"/>
      <c r="G120" s="88"/>
    </row>
    <row r="121" spans="1:7" ht="18.75" customHeight="1" x14ac:dyDescent="0.15">
      <c r="B121" s="167"/>
      <c r="C121" s="64"/>
      <c r="D121" s="86"/>
      <c r="E121" s="87"/>
      <c r="F121" s="87"/>
      <c r="G121" s="88"/>
    </row>
    <row r="122" spans="1:7" ht="18.75" customHeight="1" x14ac:dyDescent="0.15">
      <c r="B122" s="167"/>
      <c r="C122" s="64"/>
      <c r="D122" s="86"/>
      <c r="E122" s="87"/>
      <c r="F122" s="87"/>
      <c r="G122" s="88"/>
    </row>
    <row r="123" spans="1:7" ht="18.75" customHeight="1" x14ac:dyDescent="0.15">
      <c r="B123" s="167"/>
      <c r="C123" s="64"/>
      <c r="D123" s="86"/>
      <c r="E123" s="87"/>
      <c r="F123" s="87"/>
      <c r="G123" s="88"/>
    </row>
    <row r="124" spans="1:7" ht="18.75" customHeight="1" x14ac:dyDescent="0.15">
      <c r="B124" s="167"/>
      <c r="C124" s="64"/>
      <c r="D124" s="86"/>
      <c r="E124" s="87"/>
      <c r="F124" s="87"/>
      <c r="G124" s="88"/>
    </row>
    <row r="125" spans="1:7" ht="18.75" customHeight="1" x14ac:dyDescent="0.15">
      <c r="B125" s="168"/>
      <c r="C125" s="64"/>
      <c r="D125" s="86"/>
      <c r="E125" s="87"/>
      <c r="F125" s="87"/>
      <c r="G125" s="88"/>
    </row>
    <row r="126" spans="1:7" ht="18.75" customHeight="1" x14ac:dyDescent="0.15">
      <c r="A126" s="1" t="s">
        <v>12</v>
      </c>
      <c r="B126" s="1" t="s">
        <v>105</v>
      </c>
    </row>
    <row r="127" spans="1:7" ht="22.5" customHeight="1" x14ac:dyDescent="0.15">
      <c r="B127" s="64" t="s">
        <v>74</v>
      </c>
      <c r="C127" s="96" t="s">
        <v>104</v>
      </c>
      <c r="D127" s="97"/>
      <c r="E127" s="97"/>
      <c r="F127" s="97"/>
      <c r="G127" s="98"/>
    </row>
    <row r="128" spans="1:7" ht="37.5" customHeight="1" x14ac:dyDescent="0.15">
      <c r="B128" s="66" t="s">
        <v>76</v>
      </c>
      <c r="C128" s="91" t="s">
        <v>218</v>
      </c>
      <c r="D128" s="92"/>
      <c r="E128" s="92"/>
      <c r="F128" s="92"/>
      <c r="G128" s="105"/>
    </row>
    <row r="129" spans="1:7" ht="37.5" customHeight="1" x14ac:dyDescent="0.15">
      <c r="B129" s="66" t="s">
        <v>77</v>
      </c>
      <c r="C129" s="91" t="s">
        <v>194</v>
      </c>
      <c r="D129" s="92"/>
      <c r="E129" s="92"/>
      <c r="F129" s="92"/>
      <c r="G129" s="105"/>
    </row>
    <row r="130" spans="1:7" ht="37.5" customHeight="1" x14ac:dyDescent="0.15">
      <c r="B130" s="66" t="s">
        <v>78</v>
      </c>
      <c r="C130" s="91" t="s">
        <v>194</v>
      </c>
      <c r="D130" s="92"/>
      <c r="E130" s="92"/>
      <c r="F130" s="92"/>
      <c r="G130" s="105"/>
    </row>
    <row r="131" spans="1:7" ht="37.5" customHeight="1" x14ac:dyDescent="0.15">
      <c r="B131" s="66" t="s">
        <v>79</v>
      </c>
      <c r="C131" s="91" t="s">
        <v>232</v>
      </c>
      <c r="D131" s="92"/>
      <c r="E131" s="92"/>
      <c r="F131" s="92"/>
      <c r="G131" s="105"/>
    </row>
    <row r="132" spans="1:7" ht="37.5" customHeight="1" x14ac:dyDescent="0.15">
      <c r="B132" s="66" t="s">
        <v>80</v>
      </c>
      <c r="C132" s="91" t="s">
        <v>233</v>
      </c>
      <c r="D132" s="92"/>
      <c r="E132" s="92"/>
      <c r="F132" s="92"/>
      <c r="G132" s="105"/>
    </row>
    <row r="133" spans="1:7" ht="37.5" customHeight="1" x14ac:dyDescent="0.15">
      <c r="B133" s="66" t="s">
        <v>81</v>
      </c>
      <c r="C133" s="91" t="s">
        <v>234</v>
      </c>
      <c r="D133" s="92"/>
      <c r="E133" s="92"/>
      <c r="F133" s="92"/>
      <c r="G133" s="105"/>
    </row>
    <row r="134" spans="1:7" ht="37.5" customHeight="1" x14ac:dyDescent="0.15">
      <c r="B134" s="66" t="s">
        <v>82</v>
      </c>
      <c r="C134" s="165" t="s">
        <v>221</v>
      </c>
      <c r="D134" s="92"/>
      <c r="E134" s="92"/>
      <c r="F134" s="92"/>
      <c r="G134" s="105"/>
    </row>
    <row r="135" spans="1:7" ht="37.5" customHeight="1" x14ac:dyDescent="0.15">
      <c r="B135" s="66" t="s">
        <v>182</v>
      </c>
      <c r="C135" s="91" t="s">
        <v>219</v>
      </c>
      <c r="D135" s="92"/>
      <c r="E135" s="92"/>
      <c r="F135" s="92"/>
      <c r="G135" s="105"/>
    </row>
    <row r="136" spans="1:7" ht="37.5" customHeight="1" x14ac:dyDescent="0.15">
      <c r="B136" s="66" t="s">
        <v>83</v>
      </c>
      <c r="C136" s="91" t="s">
        <v>220</v>
      </c>
      <c r="D136" s="92"/>
      <c r="E136" s="92"/>
      <c r="F136" s="92"/>
      <c r="G136" s="105"/>
    </row>
    <row r="137" spans="1:7" ht="7.5" customHeight="1" x14ac:dyDescent="0.15"/>
    <row r="138" spans="1:7" ht="18.75" customHeight="1" x14ac:dyDescent="0.15">
      <c r="A138" s="1" t="s">
        <v>98</v>
      </c>
      <c r="B138" s="1" t="s">
        <v>99</v>
      </c>
      <c r="E138" s="164" t="s">
        <v>222</v>
      </c>
      <c r="F138" s="92"/>
      <c r="G138" s="105"/>
    </row>
    <row r="139" spans="1:7" ht="7.5" customHeight="1" x14ac:dyDescent="0.15"/>
    <row r="140" spans="1:7" ht="18.75" customHeight="1" x14ac:dyDescent="0.15">
      <c r="A140" s="1" t="s">
        <v>100</v>
      </c>
      <c r="B140" s="1" t="s">
        <v>101</v>
      </c>
    </row>
    <row r="141" spans="1:7" ht="18.75" customHeight="1" x14ac:dyDescent="0.15">
      <c r="B141" s="154" t="s">
        <v>168</v>
      </c>
      <c r="C141" s="155"/>
      <c r="D141" s="155"/>
      <c r="E141" s="155"/>
      <c r="F141" s="155"/>
      <c r="G141" s="156"/>
    </row>
    <row r="142" spans="1:7" ht="18.75" customHeight="1" x14ac:dyDescent="0.15">
      <c r="B142" s="157"/>
      <c r="C142" s="158"/>
      <c r="D142" s="158"/>
      <c r="E142" s="158"/>
      <c r="F142" s="158"/>
      <c r="G142" s="159"/>
    </row>
    <row r="143" spans="1:7" ht="18.75" customHeight="1" x14ac:dyDescent="0.15">
      <c r="B143" s="157"/>
      <c r="C143" s="158"/>
      <c r="D143" s="158"/>
      <c r="E143" s="158"/>
      <c r="F143" s="158"/>
      <c r="G143" s="159"/>
    </row>
    <row r="144" spans="1:7" ht="18.75" customHeight="1" x14ac:dyDescent="0.15">
      <c r="B144" s="157"/>
      <c r="C144" s="158"/>
      <c r="D144" s="158"/>
      <c r="E144" s="158"/>
      <c r="F144" s="158"/>
      <c r="G144" s="159"/>
    </row>
    <row r="145" spans="2:7" ht="18.75" customHeight="1" x14ac:dyDescent="0.15">
      <c r="B145" s="160"/>
      <c r="C145" s="158"/>
      <c r="D145" s="158"/>
      <c r="E145" s="158"/>
      <c r="F145" s="158"/>
      <c r="G145" s="159"/>
    </row>
    <row r="146" spans="2:7" ht="18.75" customHeight="1" x14ac:dyDescent="0.15">
      <c r="B146" s="160"/>
      <c r="C146" s="158"/>
      <c r="D146" s="158"/>
      <c r="E146" s="158"/>
      <c r="F146" s="158"/>
      <c r="G146" s="159"/>
    </row>
    <row r="147" spans="2:7" ht="18.75" customHeight="1" x14ac:dyDescent="0.15">
      <c r="B147" s="161"/>
      <c r="C147" s="162"/>
      <c r="D147" s="162"/>
      <c r="E147" s="162"/>
      <c r="F147" s="162"/>
      <c r="G147" s="163"/>
    </row>
    <row r="148" spans="2:7" ht="18.75" customHeight="1" x14ac:dyDescent="0.15"/>
    <row r="149" spans="2:7" ht="18.75" customHeight="1" x14ac:dyDescent="0.15"/>
    <row r="150" spans="2:7" ht="18.75" customHeight="1" x14ac:dyDescent="0.15"/>
    <row r="151" spans="2:7" ht="18.75" customHeight="1" x14ac:dyDescent="0.15"/>
    <row r="152" spans="2:7" ht="18.75" customHeight="1" x14ac:dyDescent="0.15"/>
    <row r="153" spans="2:7"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7"/>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topLeftCell="A29" zoomScaleNormal="100" workbookViewId="0">
      <selection activeCell="B1" sqref="B1"/>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40" t="s">
        <v>106</v>
      </c>
    </row>
    <row r="2" spans="1:5" ht="18.75" customHeight="1" x14ac:dyDescent="0.15">
      <c r="B2" s="40" t="s">
        <v>87</v>
      </c>
      <c r="C2" s="40" t="s">
        <v>8</v>
      </c>
      <c r="D2" s="108" t="s">
        <v>134</v>
      </c>
      <c r="E2" s="108"/>
    </row>
    <row r="3" spans="1:5" ht="7.5" customHeight="1" x14ac:dyDescent="0.15">
      <c r="B3" s="40"/>
      <c r="C3" s="40"/>
      <c r="D3" s="41"/>
      <c r="E3" s="41"/>
    </row>
    <row r="4" spans="1:5" ht="18.75" customHeight="1" x14ac:dyDescent="0.15">
      <c r="B4" s="104" t="s">
        <v>84</v>
      </c>
      <c r="C4" s="104"/>
      <c r="D4" s="104"/>
      <c r="E4" s="104"/>
    </row>
    <row r="5" spans="1:5" ht="7.5" customHeight="1" x14ac:dyDescent="0.15">
      <c r="B5" s="41"/>
      <c r="C5" s="41"/>
      <c r="D5" s="41"/>
      <c r="E5" s="41"/>
    </row>
    <row r="6" spans="1:5" ht="18.75" customHeight="1" x14ac:dyDescent="0.15">
      <c r="A6" s="44" t="s">
        <v>7</v>
      </c>
      <c r="B6" s="3" t="s">
        <v>97</v>
      </c>
      <c r="C6" s="41"/>
      <c r="D6" s="41"/>
      <c r="E6" s="41"/>
    </row>
    <row r="7" spans="1:5" ht="18.75" customHeight="1" x14ac:dyDescent="0.15">
      <c r="A7" s="44"/>
      <c r="B7" s="91" t="s">
        <v>149</v>
      </c>
      <c r="C7" s="92"/>
      <c r="D7" s="92"/>
      <c r="E7" s="105"/>
    </row>
    <row r="8" spans="1:5" ht="7.5" customHeight="1" x14ac:dyDescent="0.15">
      <c r="B8" s="41"/>
      <c r="C8" s="41"/>
      <c r="D8" s="41"/>
      <c r="E8" s="41"/>
    </row>
    <row r="9" spans="1:5" s="3" customFormat="1" ht="18.75" customHeight="1" x14ac:dyDescent="0.15">
      <c r="A9" s="44" t="s">
        <v>12</v>
      </c>
      <c r="B9" s="44" t="s">
        <v>46</v>
      </c>
      <c r="C9" s="44"/>
      <c r="D9" s="44"/>
      <c r="E9" s="44"/>
    </row>
    <row r="10" spans="1:5" s="5" customFormat="1" ht="18.75" customHeight="1" x14ac:dyDescent="0.15">
      <c r="A10" s="4"/>
      <c r="B10" s="154" t="s">
        <v>150</v>
      </c>
      <c r="C10" s="155"/>
      <c r="D10" s="155"/>
      <c r="E10" s="156"/>
    </row>
    <row r="11" spans="1:5" s="5" customFormat="1" ht="18.75" customHeight="1" x14ac:dyDescent="0.15">
      <c r="A11" s="4"/>
      <c r="B11" s="160"/>
      <c r="C11" s="158"/>
      <c r="D11" s="158"/>
      <c r="E11" s="159"/>
    </row>
    <row r="12" spans="1:5" s="5" customFormat="1" ht="18.75" customHeight="1" x14ac:dyDescent="0.15">
      <c r="A12" s="4"/>
      <c r="B12" s="160"/>
      <c r="C12" s="158"/>
      <c r="D12" s="158"/>
      <c r="E12" s="159"/>
    </row>
    <row r="13" spans="1:5" s="5" customFormat="1" ht="18.75" customHeight="1" x14ac:dyDescent="0.15">
      <c r="A13" s="4"/>
      <c r="B13" s="160"/>
      <c r="C13" s="158"/>
      <c r="D13" s="158"/>
      <c r="E13" s="159"/>
    </row>
    <row r="14" spans="1:5" s="5" customFormat="1" ht="18.75" customHeight="1" x14ac:dyDescent="0.15">
      <c r="A14" s="4"/>
      <c r="B14" s="161"/>
      <c r="C14" s="162"/>
      <c r="D14" s="162"/>
      <c r="E14" s="163"/>
    </row>
    <row r="15" spans="1:5" s="5" customFormat="1" ht="7.5" customHeight="1" x14ac:dyDescent="0.15">
      <c r="A15" s="4"/>
      <c r="B15" s="4"/>
      <c r="C15" s="4"/>
      <c r="D15" s="4"/>
      <c r="E15" s="4"/>
    </row>
    <row r="16" spans="1:5" s="3" customFormat="1" ht="18.75" customHeight="1" x14ac:dyDescent="0.15">
      <c r="A16" s="6" t="s">
        <v>13</v>
      </c>
      <c r="B16" s="6" t="s">
        <v>19</v>
      </c>
      <c r="C16" s="6"/>
      <c r="D16" s="6"/>
      <c r="E16" s="6"/>
    </row>
    <row r="17" spans="1:5" s="5" customFormat="1" ht="18.75" customHeight="1" x14ac:dyDescent="0.15">
      <c r="A17" s="4"/>
      <c r="B17" s="154" t="s">
        <v>223</v>
      </c>
      <c r="C17" s="155"/>
      <c r="D17" s="155"/>
      <c r="E17" s="156"/>
    </row>
    <row r="18" spans="1:5" s="5" customFormat="1" ht="18.75" customHeight="1" x14ac:dyDescent="0.15">
      <c r="A18" s="4"/>
      <c r="B18" s="160"/>
      <c r="C18" s="158"/>
      <c r="D18" s="158"/>
      <c r="E18" s="159"/>
    </row>
    <row r="19" spans="1:5" s="5" customFormat="1" ht="18.75" customHeight="1" x14ac:dyDescent="0.15">
      <c r="A19" s="4"/>
      <c r="B19" s="160"/>
      <c r="C19" s="158"/>
      <c r="D19" s="158"/>
      <c r="E19" s="159"/>
    </row>
    <row r="20" spans="1:5" s="5" customFormat="1" ht="18.75" customHeight="1" x14ac:dyDescent="0.15">
      <c r="A20" s="4"/>
      <c r="B20" s="160"/>
      <c r="C20" s="158"/>
      <c r="D20" s="158"/>
      <c r="E20" s="159"/>
    </row>
    <row r="21" spans="1:5" s="5" customFormat="1" ht="18.75" customHeight="1" x14ac:dyDescent="0.15">
      <c r="A21" s="4"/>
      <c r="B21" s="160"/>
      <c r="C21" s="158"/>
      <c r="D21" s="158"/>
      <c r="E21" s="159"/>
    </row>
    <row r="22" spans="1:5" s="5" customFormat="1" ht="18.75" customHeight="1" x14ac:dyDescent="0.15">
      <c r="A22" s="4"/>
      <c r="B22" s="160"/>
      <c r="C22" s="158"/>
      <c r="D22" s="158"/>
      <c r="E22" s="159"/>
    </row>
    <row r="23" spans="1:5" s="5" customFormat="1" ht="18.75" customHeight="1" x14ac:dyDescent="0.15">
      <c r="A23" s="4"/>
      <c r="B23" s="160"/>
      <c r="C23" s="158"/>
      <c r="D23" s="158"/>
      <c r="E23" s="159"/>
    </row>
    <row r="24" spans="1:5" s="5" customFormat="1" ht="18.75" customHeight="1" x14ac:dyDescent="0.15">
      <c r="A24" s="4"/>
      <c r="B24" s="160"/>
      <c r="C24" s="158"/>
      <c r="D24" s="158"/>
      <c r="E24" s="159"/>
    </row>
    <row r="25" spans="1:5" s="5" customFormat="1" ht="18.75" customHeight="1" x14ac:dyDescent="0.15">
      <c r="A25" s="4"/>
      <c r="B25" s="160"/>
      <c r="C25" s="158"/>
      <c r="D25" s="158"/>
      <c r="E25" s="159"/>
    </row>
    <row r="26" spans="1:5" s="5" customFormat="1" ht="18.75" customHeight="1" x14ac:dyDescent="0.15">
      <c r="A26" s="4"/>
      <c r="B26" s="160"/>
      <c r="C26" s="158"/>
      <c r="D26" s="158"/>
      <c r="E26" s="159"/>
    </row>
    <row r="27" spans="1:5" s="5" customFormat="1" ht="18.75" customHeight="1" x14ac:dyDescent="0.15">
      <c r="A27" s="4"/>
      <c r="B27" s="160"/>
      <c r="C27" s="158"/>
      <c r="D27" s="158"/>
      <c r="E27" s="159"/>
    </row>
    <row r="28" spans="1:5" s="5" customFormat="1" ht="18.75" customHeight="1" x14ac:dyDescent="0.15">
      <c r="A28" s="4"/>
      <c r="B28" s="161"/>
      <c r="C28" s="162"/>
      <c r="D28" s="162"/>
      <c r="E28" s="163"/>
    </row>
    <row r="29" spans="1:5" ht="7.5" customHeight="1" x14ac:dyDescent="0.15">
      <c r="A29" s="7"/>
      <c r="B29" s="7"/>
      <c r="C29" s="7"/>
      <c r="D29" s="7"/>
      <c r="E29" s="7"/>
    </row>
    <row r="30" spans="1:5" s="3" customFormat="1" ht="18.75" customHeight="1" x14ac:dyDescent="0.15">
      <c r="A30" s="44" t="s">
        <v>17</v>
      </c>
      <c r="B30" s="44" t="s">
        <v>30</v>
      </c>
      <c r="C30" s="44"/>
      <c r="D30" s="44"/>
      <c r="E30" s="44"/>
    </row>
    <row r="31" spans="1:5" s="3" customFormat="1" ht="18.75" customHeight="1" x14ac:dyDescent="0.15">
      <c r="A31" s="44"/>
      <c r="B31" s="154" t="s">
        <v>189</v>
      </c>
      <c r="C31" s="155"/>
      <c r="D31" s="155"/>
      <c r="E31" s="156"/>
    </row>
    <row r="32" spans="1:5" s="3" customFormat="1" ht="18.75" customHeight="1" x14ac:dyDescent="0.15">
      <c r="A32" s="44"/>
      <c r="B32" s="160"/>
      <c r="C32" s="158"/>
      <c r="D32" s="158"/>
      <c r="E32" s="159"/>
    </row>
    <row r="33" spans="1:5" s="3" customFormat="1" ht="18.75" customHeight="1" x14ac:dyDescent="0.15">
      <c r="A33" s="44"/>
      <c r="B33" s="160"/>
      <c r="C33" s="158"/>
      <c r="D33" s="158"/>
      <c r="E33" s="159"/>
    </row>
    <row r="34" spans="1:5" s="3" customFormat="1" ht="18.75" customHeight="1" x14ac:dyDescent="0.15">
      <c r="A34" s="44"/>
      <c r="B34" s="160"/>
      <c r="C34" s="158"/>
      <c r="D34" s="158"/>
      <c r="E34" s="159"/>
    </row>
    <row r="35" spans="1:5" s="3" customFormat="1" ht="18.75" customHeight="1" x14ac:dyDescent="0.15">
      <c r="A35" s="44"/>
      <c r="B35" s="160"/>
      <c r="C35" s="158"/>
      <c r="D35" s="158"/>
      <c r="E35" s="159"/>
    </row>
    <row r="36" spans="1:5" s="3" customFormat="1" ht="18.75" customHeight="1" x14ac:dyDescent="0.15">
      <c r="A36" s="44"/>
      <c r="B36" s="160"/>
      <c r="C36" s="158"/>
      <c r="D36" s="158"/>
      <c r="E36" s="159"/>
    </row>
    <row r="37" spans="1:5" s="3" customFormat="1" ht="18.75" customHeight="1" x14ac:dyDescent="0.15">
      <c r="A37" s="44"/>
      <c r="B37" s="160"/>
      <c r="C37" s="158"/>
      <c r="D37" s="158"/>
      <c r="E37" s="159"/>
    </row>
    <row r="38" spans="1:5" s="3" customFormat="1" ht="18.75" customHeight="1" x14ac:dyDescent="0.15">
      <c r="A38" s="44"/>
      <c r="B38" s="160"/>
      <c r="C38" s="158"/>
      <c r="D38" s="158"/>
      <c r="E38" s="159"/>
    </row>
    <row r="39" spans="1:5" s="3" customFormat="1" ht="18.75" customHeight="1" x14ac:dyDescent="0.15">
      <c r="A39" s="44"/>
      <c r="B39" s="160"/>
      <c r="C39" s="158"/>
      <c r="D39" s="158"/>
      <c r="E39" s="159"/>
    </row>
    <row r="40" spans="1:5" s="3" customFormat="1" ht="18.75" customHeight="1" x14ac:dyDescent="0.15">
      <c r="A40" s="44"/>
      <c r="B40" s="160"/>
      <c r="C40" s="158"/>
      <c r="D40" s="158"/>
      <c r="E40" s="159"/>
    </row>
    <row r="41" spans="1:5" s="3" customFormat="1" ht="18.75" customHeight="1" x14ac:dyDescent="0.15">
      <c r="A41" s="44"/>
      <c r="B41" s="160"/>
      <c r="C41" s="158"/>
      <c r="D41" s="158"/>
      <c r="E41" s="159"/>
    </row>
    <row r="42" spans="1:5" s="3" customFormat="1" ht="18.75" customHeight="1" x14ac:dyDescent="0.15">
      <c r="A42" s="44"/>
      <c r="B42" s="160"/>
      <c r="C42" s="158"/>
      <c r="D42" s="158"/>
      <c r="E42" s="159"/>
    </row>
    <row r="43" spans="1:5" s="3" customFormat="1" ht="18.75" customHeight="1" x14ac:dyDescent="0.15">
      <c r="A43" s="44"/>
      <c r="B43" s="160"/>
      <c r="C43" s="158"/>
      <c r="D43" s="158"/>
      <c r="E43" s="159"/>
    </row>
    <row r="44" spans="1:5" s="3" customFormat="1" ht="18.75" customHeight="1" x14ac:dyDescent="0.15">
      <c r="A44" s="44"/>
      <c r="B44" s="160"/>
      <c r="C44" s="158"/>
      <c r="D44" s="158"/>
      <c r="E44" s="159"/>
    </row>
    <row r="45" spans="1:5" ht="18.75" customHeight="1" x14ac:dyDescent="0.15">
      <c r="A45" s="7"/>
      <c r="B45" s="160"/>
      <c r="C45" s="158"/>
      <c r="D45" s="158"/>
      <c r="E45" s="159"/>
    </row>
    <row r="46" spans="1:5" ht="18.75" customHeight="1" x14ac:dyDescent="0.15">
      <c r="A46" s="7"/>
      <c r="B46" s="161"/>
      <c r="C46" s="162"/>
      <c r="D46" s="162"/>
      <c r="E46" s="163"/>
    </row>
    <row r="47" spans="1:5" s="3" customFormat="1" ht="18.75" customHeight="1" x14ac:dyDescent="0.15">
      <c r="A47" s="6" t="s">
        <v>14</v>
      </c>
      <c r="B47" s="44" t="s">
        <v>85</v>
      </c>
      <c r="C47" s="6"/>
      <c r="D47" s="6"/>
      <c r="E47" s="6"/>
    </row>
    <row r="48" spans="1:5" ht="18.75" customHeight="1" x14ac:dyDescent="0.15">
      <c r="A48" s="7"/>
      <c r="B48" s="154" t="s">
        <v>190</v>
      </c>
      <c r="C48" s="182"/>
      <c r="D48" s="182"/>
      <c r="E48" s="183"/>
    </row>
    <row r="49" spans="1:5" ht="18.75" customHeight="1" x14ac:dyDescent="0.15">
      <c r="A49" s="7"/>
      <c r="B49" s="157"/>
      <c r="C49" s="184"/>
      <c r="D49" s="184"/>
      <c r="E49" s="185"/>
    </row>
    <row r="50" spans="1:5" ht="18.75" customHeight="1" x14ac:dyDescent="0.15">
      <c r="A50" s="7"/>
      <c r="B50" s="157"/>
      <c r="C50" s="184"/>
      <c r="D50" s="184"/>
      <c r="E50" s="185"/>
    </row>
    <row r="51" spans="1:5" ht="18.75" customHeight="1" x14ac:dyDescent="0.15">
      <c r="A51" s="7"/>
      <c r="B51" s="157"/>
      <c r="C51" s="184"/>
      <c r="D51" s="184"/>
      <c r="E51" s="185"/>
    </row>
    <row r="52" spans="1:5" ht="18.75" customHeight="1" x14ac:dyDescent="0.15">
      <c r="A52" s="7"/>
      <c r="B52" s="157"/>
      <c r="C52" s="184"/>
      <c r="D52" s="184"/>
      <c r="E52" s="185"/>
    </row>
    <row r="53" spans="1:5" ht="18.75" customHeight="1" x14ac:dyDescent="0.15">
      <c r="A53" s="7"/>
      <c r="B53" s="157"/>
      <c r="C53" s="184"/>
      <c r="D53" s="184"/>
      <c r="E53" s="185"/>
    </row>
    <row r="54" spans="1:5" ht="18.75" customHeight="1" x14ac:dyDescent="0.15">
      <c r="A54" s="7"/>
      <c r="B54" s="157"/>
      <c r="C54" s="184"/>
      <c r="D54" s="184"/>
      <c r="E54" s="185"/>
    </row>
    <row r="55" spans="1:5" ht="18.75" customHeight="1" x14ac:dyDescent="0.15">
      <c r="A55" s="7"/>
      <c r="B55" s="157"/>
      <c r="C55" s="184"/>
      <c r="D55" s="184"/>
      <c r="E55" s="185"/>
    </row>
    <row r="56" spans="1:5" ht="18.75" customHeight="1" x14ac:dyDescent="0.15">
      <c r="A56" s="7"/>
      <c r="B56" s="157"/>
      <c r="C56" s="184"/>
      <c r="D56" s="184"/>
      <c r="E56" s="185"/>
    </row>
    <row r="57" spans="1:5" ht="18.75" customHeight="1" x14ac:dyDescent="0.15">
      <c r="A57" s="7"/>
      <c r="B57" s="157"/>
      <c r="C57" s="184"/>
      <c r="D57" s="184"/>
      <c r="E57" s="185"/>
    </row>
    <row r="58" spans="1:5" ht="18.75" customHeight="1" x14ac:dyDescent="0.15">
      <c r="A58" s="7"/>
      <c r="B58" s="157"/>
      <c r="C58" s="184"/>
      <c r="D58" s="184"/>
      <c r="E58" s="185"/>
    </row>
    <row r="59" spans="1:5" ht="18.75" customHeight="1" x14ac:dyDescent="0.15">
      <c r="A59" s="7"/>
      <c r="B59" s="157"/>
      <c r="C59" s="184"/>
      <c r="D59" s="184"/>
      <c r="E59" s="185"/>
    </row>
    <row r="60" spans="1:5" ht="18.75" customHeight="1" x14ac:dyDescent="0.15">
      <c r="A60" s="7"/>
      <c r="B60" s="157"/>
      <c r="C60" s="184"/>
      <c r="D60" s="184"/>
      <c r="E60" s="185"/>
    </row>
    <row r="61" spans="1:5" ht="18.75" customHeight="1" x14ac:dyDescent="0.15">
      <c r="A61" s="7"/>
      <c r="B61" s="157"/>
      <c r="C61" s="184"/>
      <c r="D61" s="184"/>
      <c r="E61" s="185"/>
    </row>
    <row r="62" spans="1:5" ht="18.75" customHeight="1" x14ac:dyDescent="0.15">
      <c r="A62" s="7"/>
      <c r="B62" s="157"/>
      <c r="C62" s="184"/>
      <c r="D62" s="184"/>
      <c r="E62" s="185"/>
    </row>
    <row r="63" spans="1:5" ht="18.75" customHeight="1" x14ac:dyDescent="0.15">
      <c r="A63" s="7"/>
      <c r="B63" s="157"/>
      <c r="C63" s="184"/>
      <c r="D63" s="184"/>
      <c r="E63" s="185"/>
    </row>
    <row r="64" spans="1:5" ht="18.75" customHeight="1" x14ac:dyDescent="0.15">
      <c r="A64" s="7"/>
      <c r="B64" s="157"/>
      <c r="C64" s="184"/>
      <c r="D64" s="184"/>
      <c r="E64" s="185"/>
    </row>
    <row r="65" spans="1:5" ht="18.75" customHeight="1" x14ac:dyDescent="0.15">
      <c r="A65" s="7"/>
      <c r="B65" s="157"/>
      <c r="C65" s="184"/>
      <c r="D65" s="184"/>
      <c r="E65" s="185"/>
    </row>
    <row r="66" spans="1:5" ht="18.75" customHeight="1" x14ac:dyDescent="0.15">
      <c r="A66" s="7"/>
      <c r="B66" s="157"/>
      <c r="C66" s="184"/>
      <c r="D66" s="184"/>
      <c r="E66" s="185"/>
    </row>
    <row r="67" spans="1:5" ht="18.75" customHeight="1" x14ac:dyDescent="0.15">
      <c r="A67" s="7"/>
      <c r="B67" s="157"/>
      <c r="C67" s="184"/>
      <c r="D67" s="184"/>
      <c r="E67" s="185"/>
    </row>
    <row r="68" spans="1:5" ht="18.75" customHeight="1" x14ac:dyDescent="0.15">
      <c r="A68" s="7"/>
      <c r="B68" s="186"/>
      <c r="C68" s="187"/>
      <c r="D68" s="187"/>
      <c r="E68" s="188"/>
    </row>
    <row r="69" spans="1:5" ht="7.5" customHeight="1" x14ac:dyDescent="0.15">
      <c r="A69" s="7"/>
      <c r="B69" s="7"/>
      <c r="C69" s="7"/>
      <c r="D69" s="7"/>
      <c r="E69" s="7"/>
    </row>
    <row r="70" spans="1:5" s="3" customFormat="1" ht="18.75" customHeight="1" x14ac:dyDescent="0.15">
      <c r="A70" s="44" t="s">
        <v>18</v>
      </c>
      <c r="B70" s="44" t="s">
        <v>96</v>
      </c>
      <c r="C70" s="44"/>
      <c r="D70" s="44"/>
      <c r="E70" s="44"/>
    </row>
    <row r="71" spans="1:5" s="3" customFormat="1" ht="18.75" customHeight="1" x14ac:dyDescent="0.15">
      <c r="A71" s="44"/>
      <c r="B71" s="154" t="s">
        <v>169</v>
      </c>
      <c r="C71" s="155"/>
      <c r="D71" s="155"/>
      <c r="E71" s="156"/>
    </row>
    <row r="72" spans="1:5" s="3" customFormat="1" ht="18.75" customHeight="1" x14ac:dyDescent="0.15">
      <c r="A72" s="44"/>
      <c r="B72" s="160"/>
      <c r="C72" s="158"/>
      <c r="D72" s="158"/>
      <c r="E72" s="159"/>
    </row>
    <row r="73" spans="1:5" s="3" customFormat="1" ht="18.75" customHeight="1" x14ac:dyDescent="0.15">
      <c r="A73" s="44"/>
      <c r="B73" s="160"/>
      <c r="C73" s="158"/>
      <c r="D73" s="158"/>
      <c r="E73" s="159"/>
    </row>
    <row r="74" spans="1:5" s="3" customFormat="1" ht="18.75" customHeight="1" x14ac:dyDescent="0.15">
      <c r="A74" s="44"/>
      <c r="B74" s="160"/>
      <c r="C74" s="158"/>
      <c r="D74" s="158"/>
      <c r="E74" s="159"/>
    </row>
    <row r="75" spans="1:5" s="3" customFormat="1" ht="18.75" customHeight="1" x14ac:dyDescent="0.15">
      <c r="A75" s="44"/>
      <c r="B75" s="160"/>
      <c r="C75" s="158"/>
      <c r="D75" s="158"/>
      <c r="E75" s="159"/>
    </row>
    <row r="76" spans="1:5" s="3" customFormat="1" ht="18.75" customHeight="1" x14ac:dyDescent="0.15">
      <c r="A76" s="44"/>
      <c r="B76" s="160"/>
      <c r="C76" s="158"/>
      <c r="D76" s="158"/>
      <c r="E76" s="159"/>
    </row>
    <row r="77" spans="1:5" s="3" customFormat="1" ht="18.75" customHeight="1" x14ac:dyDescent="0.15">
      <c r="A77" s="44"/>
      <c r="B77" s="160"/>
      <c r="C77" s="158"/>
      <c r="D77" s="158"/>
      <c r="E77" s="159"/>
    </row>
    <row r="78" spans="1:5" s="3" customFormat="1" ht="18.75" customHeight="1" x14ac:dyDescent="0.15">
      <c r="A78" s="44"/>
      <c r="B78" s="160"/>
      <c r="C78" s="158"/>
      <c r="D78" s="158"/>
      <c r="E78" s="159"/>
    </row>
    <row r="79" spans="1:5" s="3" customFormat="1" ht="18.75" customHeight="1" x14ac:dyDescent="0.15">
      <c r="A79" s="44"/>
      <c r="B79" s="160"/>
      <c r="C79" s="158"/>
      <c r="D79" s="158"/>
      <c r="E79" s="159"/>
    </row>
    <row r="80" spans="1:5" s="3" customFormat="1" ht="18.75" customHeight="1" x14ac:dyDescent="0.15">
      <c r="A80" s="44"/>
      <c r="B80" s="160"/>
      <c r="C80" s="158"/>
      <c r="D80" s="158"/>
      <c r="E80" s="159"/>
    </row>
    <row r="81" spans="1:5" s="3" customFormat="1" ht="18.75" customHeight="1" x14ac:dyDescent="0.15">
      <c r="A81" s="44"/>
      <c r="B81" s="160"/>
      <c r="C81" s="158"/>
      <c r="D81" s="158"/>
      <c r="E81" s="159"/>
    </row>
    <row r="82" spans="1:5" s="3" customFormat="1" ht="18.75" customHeight="1" x14ac:dyDescent="0.15">
      <c r="A82" s="44"/>
      <c r="B82" s="160"/>
      <c r="C82" s="158"/>
      <c r="D82" s="158"/>
      <c r="E82" s="159"/>
    </row>
    <row r="83" spans="1:5" s="3" customFormat="1" ht="18.75" customHeight="1" x14ac:dyDescent="0.15">
      <c r="A83" s="44"/>
      <c r="B83" s="160"/>
      <c r="C83" s="158"/>
      <c r="D83" s="158"/>
      <c r="E83" s="159"/>
    </row>
    <row r="84" spans="1:5" s="3" customFormat="1" ht="18.75" customHeight="1" x14ac:dyDescent="0.15">
      <c r="A84" s="44"/>
      <c r="B84" s="160"/>
      <c r="C84" s="158"/>
      <c r="D84" s="158"/>
      <c r="E84" s="159"/>
    </row>
    <row r="85" spans="1:5" s="3" customFormat="1" ht="18.75" customHeight="1" x14ac:dyDescent="0.15">
      <c r="A85" s="44"/>
      <c r="B85" s="160"/>
      <c r="C85" s="158"/>
      <c r="D85" s="158"/>
      <c r="E85" s="159"/>
    </row>
    <row r="86" spans="1:5" s="3" customFormat="1" ht="18.75" customHeight="1" x14ac:dyDescent="0.15">
      <c r="A86" s="44"/>
      <c r="B86" s="160"/>
      <c r="C86" s="158"/>
      <c r="D86" s="158"/>
      <c r="E86" s="159"/>
    </row>
    <row r="87" spans="1:5" s="3" customFormat="1" ht="18.75" customHeight="1" x14ac:dyDescent="0.15">
      <c r="A87" s="44"/>
      <c r="B87" s="160"/>
      <c r="C87" s="158"/>
      <c r="D87" s="158"/>
      <c r="E87" s="159"/>
    </row>
    <row r="88" spans="1:5" ht="18.75" customHeight="1" x14ac:dyDescent="0.15">
      <c r="A88" s="7"/>
      <c r="B88" s="160"/>
      <c r="C88" s="158"/>
      <c r="D88" s="158"/>
      <c r="E88" s="159"/>
    </row>
    <row r="89" spans="1:5" ht="18.75" customHeight="1" x14ac:dyDescent="0.15">
      <c r="A89" s="7"/>
      <c r="B89" s="161"/>
      <c r="C89" s="162"/>
      <c r="D89" s="162"/>
      <c r="E89" s="163"/>
    </row>
    <row r="90" spans="1:5" ht="7.5" customHeight="1" x14ac:dyDescent="0.15">
      <c r="A90" s="7"/>
      <c r="B90" s="7"/>
      <c r="C90" s="7"/>
      <c r="D90" s="7"/>
      <c r="E90" s="7"/>
    </row>
    <row r="91" spans="1:5" s="3" customFormat="1" ht="18.75" customHeight="1" x14ac:dyDescent="0.15">
      <c r="A91" s="44" t="s">
        <v>15</v>
      </c>
      <c r="B91" s="44" t="s">
        <v>34</v>
      </c>
      <c r="C91" s="44"/>
      <c r="D91" s="44"/>
      <c r="E91" s="44"/>
    </row>
    <row r="92" spans="1:5" s="3" customFormat="1" ht="18.75" customHeight="1" x14ac:dyDescent="0.15">
      <c r="A92" s="44"/>
      <c r="B92" s="154" t="s">
        <v>184</v>
      </c>
      <c r="C92" s="155"/>
      <c r="D92" s="155"/>
      <c r="E92" s="156"/>
    </row>
    <row r="93" spans="1:5" s="3" customFormat="1" ht="18.75" customHeight="1" x14ac:dyDescent="0.15">
      <c r="A93" s="44"/>
      <c r="B93" s="160"/>
      <c r="C93" s="158"/>
      <c r="D93" s="158"/>
      <c r="E93" s="159"/>
    </row>
    <row r="94" spans="1:5" s="3" customFormat="1" ht="18.75" customHeight="1" x14ac:dyDescent="0.15">
      <c r="A94" s="44"/>
      <c r="B94" s="160"/>
      <c r="C94" s="158"/>
      <c r="D94" s="158"/>
      <c r="E94" s="159"/>
    </row>
    <row r="95" spans="1:5" s="3" customFormat="1" ht="18.75" customHeight="1" x14ac:dyDescent="0.15">
      <c r="A95" s="44"/>
      <c r="B95" s="160"/>
      <c r="C95" s="158"/>
      <c r="D95" s="158"/>
      <c r="E95" s="159"/>
    </row>
    <row r="96" spans="1:5" s="3" customFormat="1" ht="18.75" customHeight="1" x14ac:dyDescent="0.15">
      <c r="A96" s="44"/>
      <c r="B96" s="160"/>
      <c r="C96" s="158"/>
      <c r="D96" s="158"/>
      <c r="E96" s="159"/>
    </row>
    <row r="97" spans="1:5" s="3" customFormat="1" ht="18.75" customHeight="1" x14ac:dyDescent="0.15">
      <c r="A97" s="44"/>
      <c r="B97" s="160"/>
      <c r="C97" s="158"/>
      <c r="D97" s="158"/>
      <c r="E97" s="159"/>
    </row>
    <row r="98" spans="1:5" s="3" customFormat="1" ht="18.75" customHeight="1" x14ac:dyDescent="0.15">
      <c r="A98" s="44"/>
      <c r="B98" s="160"/>
      <c r="C98" s="158"/>
      <c r="D98" s="158"/>
      <c r="E98" s="159"/>
    </row>
    <row r="99" spans="1:5" s="3" customFormat="1" ht="18.75" customHeight="1" x14ac:dyDescent="0.15">
      <c r="A99" s="44"/>
      <c r="B99" s="160"/>
      <c r="C99" s="158"/>
      <c r="D99" s="158"/>
      <c r="E99" s="159"/>
    </row>
    <row r="100" spans="1:5" s="3" customFormat="1" ht="18.75" customHeight="1" x14ac:dyDescent="0.15">
      <c r="A100" s="44"/>
      <c r="B100" s="160"/>
      <c r="C100" s="158"/>
      <c r="D100" s="158"/>
      <c r="E100" s="159"/>
    </row>
    <row r="101" spans="1:5" s="3" customFormat="1" ht="18.75" customHeight="1" x14ac:dyDescent="0.15">
      <c r="A101" s="44"/>
      <c r="B101" s="160"/>
      <c r="C101" s="158"/>
      <c r="D101" s="158"/>
      <c r="E101" s="159"/>
    </row>
    <row r="102" spans="1:5" s="3" customFormat="1" ht="18.75" customHeight="1" x14ac:dyDescent="0.15">
      <c r="A102" s="44"/>
      <c r="B102" s="160"/>
      <c r="C102" s="158"/>
      <c r="D102" s="158"/>
      <c r="E102" s="159"/>
    </row>
    <row r="103" spans="1:5" s="3" customFormat="1" ht="18.75" customHeight="1" x14ac:dyDescent="0.15">
      <c r="A103" s="44"/>
      <c r="B103" s="160"/>
      <c r="C103" s="158"/>
      <c r="D103" s="158"/>
      <c r="E103" s="159"/>
    </row>
    <row r="104" spans="1:5" s="3" customFormat="1" ht="18.75" customHeight="1" x14ac:dyDescent="0.15">
      <c r="A104" s="44"/>
      <c r="B104" s="160"/>
      <c r="C104" s="158"/>
      <c r="D104" s="158"/>
      <c r="E104" s="159"/>
    </row>
    <row r="105" spans="1:5" s="3" customFormat="1" ht="18.75" customHeight="1" x14ac:dyDescent="0.15">
      <c r="A105" s="44"/>
      <c r="B105" s="160"/>
      <c r="C105" s="158"/>
      <c r="D105" s="158"/>
      <c r="E105" s="159"/>
    </row>
    <row r="106" spans="1:5" s="3" customFormat="1" ht="18.75" customHeight="1" x14ac:dyDescent="0.15">
      <c r="A106" s="44"/>
      <c r="B106" s="160"/>
      <c r="C106" s="158"/>
      <c r="D106" s="158"/>
      <c r="E106" s="159"/>
    </row>
    <row r="107" spans="1:5" s="3" customFormat="1" ht="18.75" customHeight="1" x14ac:dyDescent="0.15">
      <c r="A107" s="44"/>
      <c r="B107" s="160"/>
      <c r="C107" s="158"/>
      <c r="D107" s="158"/>
      <c r="E107" s="159"/>
    </row>
    <row r="108" spans="1:5" s="3" customFormat="1" ht="18.75" customHeight="1" x14ac:dyDescent="0.15">
      <c r="A108" s="44"/>
      <c r="B108" s="160"/>
      <c r="C108" s="158"/>
      <c r="D108" s="158"/>
      <c r="E108" s="159"/>
    </row>
    <row r="109" spans="1:5" s="3" customFormat="1" ht="18.75" customHeight="1" x14ac:dyDescent="0.15">
      <c r="A109" s="44"/>
      <c r="B109" s="160"/>
      <c r="C109" s="158"/>
      <c r="D109" s="158"/>
      <c r="E109" s="159"/>
    </row>
    <row r="110" spans="1:5" ht="18.75" customHeight="1" x14ac:dyDescent="0.15">
      <c r="A110" s="7"/>
      <c r="B110" s="160"/>
      <c r="C110" s="158"/>
      <c r="D110" s="158"/>
      <c r="E110" s="159"/>
    </row>
    <row r="111" spans="1:5" ht="18.75" customHeight="1" x14ac:dyDescent="0.15">
      <c r="A111" s="7"/>
      <c r="B111" s="161"/>
      <c r="C111" s="162"/>
      <c r="D111" s="162"/>
      <c r="E111" s="163"/>
    </row>
    <row r="112" spans="1:5" ht="7.5" customHeight="1" x14ac:dyDescent="0.15">
      <c r="A112" s="7"/>
      <c r="B112" s="7"/>
      <c r="C112" s="7"/>
      <c r="D112" s="7"/>
      <c r="E112" s="7"/>
    </row>
    <row r="113" spans="1:5" s="3" customFormat="1" ht="18.75" customHeight="1" x14ac:dyDescent="0.15">
      <c r="A113" s="44" t="s">
        <v>62</v>
      </c>
      <c r="B113" s="181" t="s">
        <v>183</v>
      </c>
      <c r="C113" s="181"/>
      <c r="D113" s="181"/>
      <c r="E113" s="181"/>
    </row>
    <row r="114" spans="1:5" ht="18.75" customHeight="1" x14ac:dyDescent="0.15">
      <c r="A114" s="7"/>
      <c r="B114" s="154" t="s">
        <v>224</v>
      </c>
      <c r="C114" s="155"/>
      <c r="D114" s="155"/>
      <c r="E114" s="156"/>
    </row>
    <row r="115" spans="1:5" ht="18.75" customHeight="1" x14ac:dyDescent="0.15">
      <c r="A115" s="7"/>
      <c r="B115" s="160"/>
      <c r="C115" s="158"/>
      <c r="D115" s="158"/>
      <c r="E115" s="159"/>
    </row>
    <row r="116" spans="1:5" ht="18.75" customHeight="1" x14ac:dyDescent="0.15">
      <c r="A116" s="7"/>
      <c r="B116" s="160"/>
      <c r="C116" s="158"/>
      <c r="D116" s="158"/>
      <c r="E116" s="159"/>
    </row>
    <row r="117" spans="1:5" ht="18.75" customHeight="1" x14ac:dyDescent="0.15">
      <c r="A117" s="7"/>
      <c r="B117" s="160"/>
      <c r="C117" s="158"/>
      <c r="D117" s="158"/>
      <c r="E117" s="159"/>
    </row>
    <row r="118" spans="1:5" ht="18.75" customHeight="1" x14ac:dyDescent="0.15">
      <c r="A118" s="7"/>
      <c r="B118" s="160"/>
      <c r="C118" s="158"/>
      <c r="D118" s="158"/>
      <c r="E118" s="159"/>
    </row>
    <row r="119" spans="1:5" ht="18.75" customHeight="1" x14ac:dyDescent="0.15">
      <c r="A119" s="7"/>
      <c r="B119" s="160"/>
      <c r="C119" s="158"/>
      <c r="D119" s="158"/>
      <c r="E119" s="159"/>
    </row>
    <row r="120" spans="1:5" ht="18.75" customHeight="1" x14ac:dyDescent="0.15">
      <c r="A120" s="7"/>
      <c r="B120" s="160"/>
      <c r="C120" s="158"/>
      <c r="D120" s="158"/>
      <c r="E120" s="159"/>
    </row>
    <row r="121" spans="1:5" ht="18.75" customHeight="1" x14ac:dyDescent="0.15">
      <c r="A121" s="7"/>
      <c r="B121" s="160"/>
      <c r="C121" s="158"/>
      <c r="D121" s="158"/>
      <c r="E121" s="159"/>
    </row>
    <row r="122" spans="1:5" ht="18.75" customHeight="1" x14ac:dyDescent="0.15">
      <c r="A122" s="7"/>
      <c r="B122" s="160"/>
      <c r="C122" s="158"/>
      <c r="D122" s="158"/>
      <c r="E122" s="159"/>
    </row>
    <row r="123" spans="1:5" ht="18.75" customHeight="1" x14ac:dyDescent="0.15">
      <c r="A123" s="7"/>
      <c r="B123" s="160"/>
      <c r="C123" s="158"/>
      <c r="D123" s="158"/>
      <c r="E123" s="159"/>
    </row>
    <row r="124" spans="1:5" ht="18.75" customHeight="1" x14ac:dyDescent="0.15">
      <c r="A124" s="7"/>
      <c r="B124" s="160"/>
      <c r="C124" s="158"/>
      <c r="D124" s="158"/>
      <c r="E124" s="159"/>
    </row>
    <row r="125" spans="1:5" ht="18.75" customHeight="1" x14ac:dyDescent="0.15">
      <c r="A125" s="7"/>
      <c r="B125" s="160"/>
      <c r="C125" s="158"/>
      <c r="D125" s="158"/>
      <c r="E125" s="159"/>
    </row>
    <row r="126" spans="1:5" ht="18.75" customHeight="1" x14ac:dyDescent="0.15">
      <c r="A126" s="7"/>
      <c r="B126" s="160"/>
      <c r="C126" s="158"/>
      <c r="D126" s="158"/>
      <c r="E126" s="159"/>
    </row>
    <row r="127" spans="1:5" ht="18.75" customHeight="1" x14ac:dyDescent="0.15">
      <c r="A127" s="7"/>
      <c r="B127" s="160"/>
      <c r="C127" s="158"/>
      <c r="D127" s="158"/>
      <c r="E127" s="159"/>
    </row>
    <row r="128" spans="1:5" ht="18.75" customHeight="1" x14ac:dyDescent="0.15">
      <c r="A128" s="7"/>
      <c r="B128" s="160"/>
      <c r="C128" s="158"/>
      <c r="D128" s="158"/>
      <c r="E128" s="159"/>
    </row>
    <row r="129" spans="1:5" ht="18.75" customHeight="1" x14ac:dyDescent="0.15">
      <c r="A129" s="7"/>
      <c r="B129" s="160"/>
      <c r="C129" s="158"/>
      <c r="D129" s="158"/>
      <c r="E129" s="159"/>
    </row>
    <row r="130" spans="1:5" ht="18.75" customHeight="1" x14ac:dyDescent="0.15">
      <c r="A130" s="7"/>
      <c r="B130" s="160"/>
      <c r="C130" s="158"/>
      <c r="D130" s="158"/>
      <c r="E130" s="159"/>
    </row>
    <row r="131" spans="1:5" ht="18.75" customHeight="1" x14ac:dyDescent="0.15">
      <c r="A131" s="7"/>
      <c r="B131" s="160"/>
      <c r="C131" s="158"/>
      <c r="D131" s="158"/>
      <c r="E131" s="159"/>
    </row>
    <row r="132" spans="1:5" ht="18.75" customHeight="1" x14ac:dyDescent="0.15">
      <c r="A132" s="7"/>
      <c r="B132" s="160"/>
      <c r="C132" s="158"/>
      <c r="D132" s="158"/>
      <c r="E132" s="159"/>
    </row>
    <row r="133" spans="1:5" ht="18.75" customHeight="1" x14ac:dyDescent="0.15">
      <c r="A133" s="7"/>
      <c r="B133" s="161"/>
      <c r="C133" s="162"/>
      <c r="D133" s="162"/>
      <c r="E133" s="163"/>
    </row>
    <row r="134" spans="1:5" ht="7.5" customHeight="1" x14ac:dyDescent="0.15">
      <c r="A134" s="7"/>
      <c r="B134" s="67"/>
      <c r="C134" s="67"/>
      <c r="D134" s="67"/>
      <c r="E134" s="67"/>
    </row>
    <row r="135" spans="1:5" ht="18.75" customHeight="1" x14ac:dyDescent="0.15">
      <c r="A135" s="7"/>
      <c r="B135" s="7"/>
      <c r="C135" s="7"/>
      <c r="D135" s="7"/>
      <c r="E135" s="7"/>
    </row>
    <row r="136" spans="1:5" ht="18.75" customHeight="1" x14ac:dyDescent="0.15">
      <c r="A136" s="7"/>
      <c r="B136" s="7"/>
      <c r="C136" s="7"/>
      <c r="D136" s="7"/>
      <c r="E136" s="7"/>
    </row>
    <row r="137" spans="1:5" ht="18.75" customHeight="1" x14ac:dyDescent="0.15">
      <c r="A137" s="7"/>
      <c r="B137" s="7"/>
      <c r="C137" s="7"/>
      <c r="D137" s="7"/>
      <c r="E137" s="7"/>
    </row>
    <row r="138" spans="1:5" ht="18.75" customHeight="1" x14ac:dyDescent="0.15">
      <c r="A138" s="7"/>
      <c r="B138" s="7"/>
      <c r="C138" s="7"/>
      <c r="D138" s="7"/>
      <c r="E138" s="7"/>
    </row>
    <row r="139" spans="1:5" ht="18.75" customHeight="1" x14ac:dyDescent="0.15">
      <c r="A139" s="7"/>
      <c r="B139" s="7"/>
      <c r="C139" s="7"/>
      <c r="D139" s="7"/>
      <c r="E139" s="7"/>
    </row>
    <row r="140" spans="1:5" ht="18.75" customHeight="1" x14ac:dyDescent="0.15">
      <c r="A140" s="7"/>
      <c r="B140" s="7"/>
      <c r="C140" s="7"/>
      <c r="D140" s="7"/>
      <c r="E140" s="7"/>
    </row>
    <row r="141" spans="1:5" ht="18.75" customHeight="1" x14ac:dyDescent="0.15">
      <c r="A141" s="7"/>
      <c r="B141" s="7"/>
      <c r="C141" s="7"/>
      <c r="D141" s="7"/>
      <c r="E141" s="7"/>
    </row>
    <row r="142" spans="1:5" ht="18.75" customHeight="1" x14ac:dyDescent="0.15">
      <c r="A142" s="7"/>
      <c r="B142" s="7"/>
      <c r="C142" s="7"/>
      <c r="D142" s="7"/>
      <c r="E142" s="7"/>
    </row>
    <row r="143" spans="1:5" ht="18.75" customHeight="1" x14ac:dyDescent="0.15">
      <c r="A143" s="7"/>
      <c r="B143" s="7"/>
      <c r="C143" s="7"/>
      <c r="D143" s="7"/>
      <c r="E143" s="7"/>
    </row>
    <row r="144" spans="1:5" ht="18.75" customHeight="1" x14ac:dyDescent="0.15">
      <c r="A144" s="7"/>
      <c r="B144" s="7"/>
      <c r="C144" s="7"/>
      <c r="D144" s="7"/>
      <c r="E144" s="7"/>
    </row>
    <row r="145" spans="1:5" ht="18.75" customHeight="1" x14ac:dyDescent="0.15">
      <c r="A145" s="7"/>
      <c r="B145" s="7"/>
      <c r="C145" s="7"/>
      <c r="D145" s="7"/>
      <c r="E145" s="7"/>
    </row>
    <row r="146" spans="1:5" ht="18.75" customHeight="1" x14ac:dyDescent="0.15">
      <c r="A146" s="7"/>
      <c r="B146" s="7"/>
      <c r="C146" s="7"/>
      <c r="D146" s="7"/>
      <c r="E146" s="7"/>
    </row>
    <row r="147" spans="1:5" ht="14.25" x14ac:dyDescent="0.15">
      <c r="A147" s="7"/>
      <c r="B147" s="7"/>
      <c r="C147" s="7"/>
      <c r="D147" s="7"/>
      <c r="E147" s="7"/>
    </row>
    <row r="148" spans="1:5" ht="7.5" customHeight="1" x14ac:dyDescent="0.15">
      <c r="A148" s="68"/>
      <c r="B148" s="68"/>
      <c r="C148" s="68"/>
      <c r="D148" s="68"/>
      <c r="E148" s="68"/>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8" zoomScaleNormal="100" workbookViewId="0">
      <selection activeCell="G5" sqref="G5"/>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40" t="s">
        <v>9</v>
      </c>
    </row>
    <row r="2" spans="1:10" ht="18.75" customHeight="1" x14ac:dyDescent="0.15">
      <c r="D2" s="40"/>
      <c r="H2" s="40" t="s">
        <v>31</v>
      </c>
      <c r="I2" s="108" t="s">
        <v>134</v>
      </c>
      <c r="J2" s="108"/>
    </row>
    <row r="3" spans="1:10" ht="18.75" customHeight="1" x14ac:dyDescent="0.15">
      <c r="A3" s="104" t="s">
        <v>50</v>
      </c>
      <c r="B3" s="104"/>
      <c r="C3" s="104"/>
      <c r="D3" s="104"/>
      <c r="E3" s="104"/>
      <c r="F3" s="104"/>
      <c r="G3" s="104"/>
      <c r="H3" s="104"/>
      <c r="I3" s="104"/>
      <c r="J3" s="104"/>
    </row>
    <row r="4" spans="1:10" ht="7.5" customHeight="1" x14ac:dyDescent="0.15">
      <c r="B4" s="42"/>
      <c r="C4" s="42"/>
      <c r="D4" s="197"/>
      <c r="E4" s="197"/>
      <c r="F4" s="197"/>
      <c r="G4" s="197"/>
      <c r="H4" s="197"/>
      <c r="I4" s="197"/>
      <c r="J4" s="197"/>
    </row>
    <row r="5" spans="1:10" ht="18.75" customHeight="1" x14ac:dyDescent="0.15">
      <c r="A5" s="1" t="s">
        <v>7</v>
      </c>
      <c r="B5" s="3" t="s">
        <v>48</v>
      </c>
      <c r="C5" s="42"/>
      <c r="D5" s="42"/>
      <c r="E5" s="42"/>
      <c r="F5" s="42"/>
      <c r="G5" s="42"/>
      <c r="H5" s="42"/>
      <c r="I5" s="42"/>
      <c r="J5" s="42"/>
    </row>
    <row r="6" spans="1:10" ht="18.75" customHeight="1" x14ac:dyDescent="0.15">
      <c r="B6" s="96" t="s">
        <v>45</v>
      </c>
      <c r="C6" s="97"/>
      <c r="D6" s="98"/>
      <c r="E6" s="97" t="s">
        <v>47</v>
      </c>
      <c r="F6" s="97"/>
      <c r="G6" s="97"/>
      <c r="H6" s="97"/>
      <c r="I6" s="97"/>
      <c r="J6" s="98"/>
    </row>
    <row r="7" spans="1:10" ht="18.75" customHeight="1" x14ac:dyDescent="0.15">
      <c r="B7" s="47" t="s">
        <v>35</v>
      </c>
      <c r="C7" s="7"/>
      <c r="D7" s="8"/>
      <c r="E7" s="49"/>
      <c r="F7" s="49"/>
      <c r="G7" s="49"/>
      <c r="H7" s="49"/>
      <c r="I7" s="7"/>
      <c r="J7" s="8"/>
    </row>
    <row r="8" spans="1:10" ht="202.5" customHeight="1" x14ac:dyDescent="0.15">
      <c r="B8" s="69"/>
      <c r="C8" s="192" t="s">
        <v>36</v>
      </c>
      <c r="D8" s="193"/>
      <c r="E8" s="194" t="s">
        <v>170</v>
      </c>
      <c r="F8" s="195"/>
      <c r="G8" s="195"/>
      <c r="H8" s="195"/>
      <c r="I8" s="195"/>
      <c r="J8" s="196"/>
    </row>
    <row r="9" spans="1:10" ht="202.5" customHeight="1" x14ac:dyDescent="0.15">
      <c r="B9" s="69"/>
      <c r="C9" s="201" t="s">
        <v>37</v>
      </c>
      <c r="D9" s="202"/>
      <c r="E9" s="194" t="s">
        <v>185</v>
      </c>
      <c r="F9" s="195"/>
      <c r="G9" s="195"/>
      <c r="H9" s="195"/>
      <c r="I9" s="195"/>
      <c r="J9" s="196"/>
    </row>
    <row r="10" spans="1:10" ht="172.5" customHeight="1" x14ac:dyDescent="0.15">
      <c r="B10" s="69"/>
      <c r="C10" s="192" t="s">
        <v>38</v>
      </c>
      <c r="D10" s="193"/>
      <c r="E10" s="194" t="s">
        <v>186</v>
      </c>
      <c r="F10" s="195"/>
      <c r="G10" s="195"/>
      <c r="H10" s="195"/>
      <c r="I10" s="195"/>
      <c r="J10" s="196"/>
    </row>
    <row r="11" spans="1:10" ht="172.5" customHeight="1" x14ac:dyDescent="0.15">
      <c r="B11" s="69"/>
      <c r="C11" s="192" t="s">
        <v>39</v>
      </c>
      <c r="D11" s="193"/>
      <c r="E11" s="194" t="s">
        <v>187</v>
      </c>
      <c r="F11" s="195"/>
      <c r="G11" s="195"/>
      <c r="H11" s="195"/>
      <c r="I11" s="195"/>
      <c r="J11" s="196"/>
    </row>
    <row r="12" spans="1:10" ht="172.5" customHeight="1" x14ac:dyDescent="0.15">
      <c r="B12" s="69"/>
      <c r="C12" s="192" t="s">
        <v>40</v>
      </c>
      <c r="D12" s="193"/>
      <c r="E12" s="194" t="s">
        <v>225</v>
      </c>
      <c r="F12" s="195"/>
      <c r="G12" s="195"/>
      <c r="H12" s="195"/>
      <c r="I12" s="195"/>
      <c r="J12" s="196"/>
    </row>
    <row r="13" spans="1:10" ht="18.75" customHeight="1" x14ac:dyDescent="0.15">
      <c r="B13" s="70" t="s">
        <v>41</v>
      </c>
      <c r="C13" s="71"/>
      <c r="D13" s="72"/>
      <c r="E13" s="73"/>
      <c r="F13" s="73"/>
      <c r="G13" s="73"/>
      <c r="H13" s="73"/>
      <c r="I13" s="73"/>
      <c r="J13" s="74"/>
    </row>
    <row r="14" spans="1:10" ht="255" customHeight="1" x14ac:dyDescent="0.15">
      <c r="B14" s="69"/>
      <c r="C14" s="192" t="s">
        <v>42</v>
      </c>
      <c r="D14" s="193"/>
      <c r="E14" s="195" t="s">
        <v>235</v>
      </c>
      <c r="F14" s="195"/>
      <c r="G14" s="195"/>
      <c r="H14" s="195"/>
      <c r="I14" s="195"/>
      <c r="J14" s="196"/>
    </row>
    <row r="15" spans="1:10" ht="255" customHeight="1" x14ac:dyDescent="0.15">
      <c r="B15" s="69"/>
      <c r="C15" s="203" t="s">
        <v>43</v>
      </c>
      <c r="D15" s="204"/>
      <c r="E15" s="205" t="s">
        <v>236</v>
      </c>
      <c r="F15" s="205"/>
      <c r="G15" s="205"/>
      <c r="H15" s="205"/>
      <c r="I15" s="205"/>
      <c r="J15" s="206"/>
    </row>
    <row r="16" spans="1:10" ht="232.5" customHeight="1" x14ac:dyDescent="0.15">
      <c r="B16" s="207" t="s">
        <v>44</v>
      </c>
      <c r="C16" s="208"/>
      <c r="D16" s="193"/>
      <c r="E16" s="195" t="s">
        <v>226</v>
      </c>
      <c r="F16" s="195"/>
      <c r="G16" s="195"/>
      <c r="H16" s="195"/>
      <c r="I16" s="195"/>
      <c r="J16" s="196"/>
    </row>
    <row r="17" spans="1:10" ht="232.5" customHeight="1" x14ac:dyDescent="0.15">
      <c r="A17" s="5"/>
      <c r="B17" s="198" t="s">
        <v>86</v>
      </c>
      <c r="C17" s="199"/>
      <c r="D17" s="200"/>
      <c r="E17" s="187" t="s">
        <v>171</v>
      </c>
      <c r="F17" s="187"/>
      <c r="G17" s="187"/>
      <c r="H17" s="187"/>
      <c r="I17" s="187"/>
      <c r="J17" s="188"/>
    </row>
    <row r="18" spans="1:10" ht="7.5" customHeight="1" x14ac:dyDescent="0.15">
      <c r="B18" s="42"/>
      <c r="C18" s="42"/>
      <c r="D18" s="42"/>
      <c r="E18" s="42"/>
      <c r="F18" s="42"/>
      <c r="G18" s="42"/>
      <c r="H18" s="42"/>
      <c r="I18" s="42"/>
      <c r="J18" s="42"/>
    </row>
    <row r="19" spans="1:10" ht="18.75" customHeight="1" x14ac:dyDescent="0.15">
      <c r="B19" s="3"/>
      <c r="C19" s="42"/>
      <c r="D19" s="42"/>
      <c r="E19" s="42"/>
      <c r="F19" s="13"/>
      <c r="G19" s="13"/>
      <c r="H19" s="75" t="s">
        <v>115</v>
      </c>
      <c r="I19" s="76"/>
      <c r="J19" s="77"/>
    </row>
    <row r="20" spans="1:10" ht="18.75" customHeight="1" x14ac:dyDescent="0.15">
      <c r="A20" s="49" t="s">
        <v>12</v>
      </c>
      <c r="B20" s="14" t="s">
        <v>49</v>
      </c>
      <c r="C20" s="15"/>
      <c r="D20" s="15"/>
      <c r="E20" s="15"/>
      <c r="F20" s="66" t="s">
        <v>165</v>
      </c>
      <c r="G20" s="13"/>
      <c r="H20" s="189" t="s">
        <v>166</v>
      </c>
      <c r="I20" s="190"/>
      <c r="J20" s="191"/>
    </row>
    <row r="21" spans="1:10" ht="22.5" customHeight="1" x14ac:dyDescent="0.15">
      <c r="B21" s="42"/>
      <c r="C21" s="42"/>
      <c r="D21" s="42"/>
      <c r="E21" s="42"/>
      <c r="F21" s="42"/>
      <c r="G21" s="42"/>
      <c r="H21" s="42"/>
      <c r="I21" s="42"/>
      <c r="J21" s="42"/>
    </row>
    <row r="22" spans="1:10" ht="22.5" customHeight="1" x14ac:dyDescent="0.15">
      <c r="B22" s="42"/>
      <c r="C22" s="42"/>
      <c r="D22" s="42"/>
      <c r="E22" s="42"/>
      <c r="F22" s="42"/>
      <c r="G22" s="42"/>
      <c r="H22" s="42"/>
      <c r="I22" s="42"/>
      <c r="J22" s="42"/>
    </row>
    <row r="23" spans="1:10" ht="22.5" customHeight="1" x14ac:dyDescent="0.15">
      <c r="B23" s="42"/>
      <c r="C23" s="42"/>
      <c r="D23" s="42"/>
      <c r="E23" s="42"/>
      <c r="F23" s="42"/>
      <c r="G23" s="42"/>
      <c r="H23" s="42"/>
      <c r="I23" s="42"/>
      <c r="J23" s="42"/>
    </row>
    <row r="24" spans="1:10" ht="22.5" customHeight="1" x14ac:dyDescent="0.15">
      <c r="B24" s="42"/>
      <c r="C24" s="42"/>
      <c r="D24" s="42"/>
      <c r="E24" s="42"/>
      <c r="F24" s="42"/>
      <c r="G24" s="42"/>
      <c r="H24" s="42"/>
      <c r="I24" s="42"/>
      <c r="J24" s="42"/>
    </row>
    <row r="25" spans="1:10" ht="22.5" customHeight="1" x14ac:dyDescent="0.15">
      <c r="B25" s="42"/>
      <c r="C25" s="42"/>
      <c r="D25" s="42"/>
      <c r="E25" s="42"/>
      <c r="F25" s="42"/>
      <c r="G25" s="42"/>
      <c r="H25" s="42"/>
      <c r="I25" s="42"/>
      <c r="J25" s="42"/>
    </row>
    <row r="26" spans="1:10" ht="22.5" customHeight="1" x14ac:dyDescent="0.15">
      <c r="B26" s="4"/>
      <c r="C26" s="4"/>
      <c r="D26" s="4"/>
      <c r="E26" s="4"/>
      <c r="F26" s="4"/>
      <c r="G26" s="4"/>
      <c r="H26" s="4"/>
      <c r="I26" s="4"/>
      <c r="J26" s="4"/>
    </row>
    <row r="27" spans="1:10" ht="22.5" customHeight="1" x14ac:dyDescent="0.15">
      <c r="B27" s="4"/>
      <c r="C27" s="4"/>
      <c r="D27" s="4"/>
      <c r="E27" s="4"/>
      <c r="F27" s="4"/>
      <c r="G27" s="4"/>
      <c r="H27" s="4"/>
      <c r="I27" s="4"/>
      <c r="J27" s="4"/>
    </row>
    <row r="28" spans="1:10" ht="22.5" customHeight="1" x14ac:dyDescent="0.15">
      <c r="B28" s="4"/>
      <c r="C28" s="4"/>
      <c r="D28" s="4"/>
      <c r="E28" s="4"/>
      <c r="F28" s="4"/>
      <c r="G28" s="4"/>
      <c r="H28" s="4"/>
      <c r="I28" s="4"/>
      <c r="J28" s="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disablePrompts="1"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tabSelected="1" topLeftCell="A7" workbookViewId="0">
      <selection activeCell="B7" sqref="B7:F44"/>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99" t="s">
        <v>16</v>
      </c>
      <c r="F1" s="99"/>
    </row>
    <row r="2" spans="1:6" ht="18.75" customHeight="1" x14ac:dyDescent="0.15">
      <c r="C2" s="62" t="s">
        <v>87</v>
      </c>
      <c r="D2" s="62" t="s">
        <v>8</v>
      </c>
      <c r="E2" s="104" t="s">
        <v>134</v>
      </c>
      <c r="F2" s="104"/>
    </row>
    <row r="3" spans="1:6" ht="7.5" customHeight="1" x14ac:dyDescent="0.15">
      <c r="C3" s="62"/>
      <c r="D3" s="62"/>
      <c r="E3" s="41"/>
      <c r="F3" s="41"/>
    </row>
    <row r="4" spans="1:6" ht="18.75" customHeight="1" x14ac:dyDescent="0.15">
      <c r="A4" s="104" t="s">
        <v>125</v>
      </c>
      <c r="B4" s="104"/>
      <c r="C4" s="104"/>
      <c r="D4" s="104"/>
      <c r="E4" s="104"/>
      <c r="F4" s="104"/>
    </row>
    <row r="5" spans="1:6" ht="7.5" customHeight="1" x14ac:dyDescent="0.15">
      <c r="A5" s="41"/>
      <c r="B5" s="41"/>
      <c r="C5" s="41"/>
      <c r="D5" s="41"/>
      <c r="E5" s="41"/>
      <c r="F5" s="41"/>
    </row>
    <row r="6" spans="1:6" ht="18.75" customHeight="1" x14ac:dyDescent="0.15">
      <c r="A6" s="41" t="s">
        <v>7</v>
      </c>
      <c r="B6" s="3" t="s">
        <v>33</v>
      </c>
      <c r="C6" s="41"/>
      <c r="D6" s="41"/>
      <c r="E6" s="41"/>
      <c r="F6" s="41"/>
    </row>
    <row r="7" spans="1:6" ht="18.75" customHeight="1" x14ac:dyDescent="0.15">
      <c r="A7" s="41"/>
      <c r="B7" s="154" t="s">
        <v>238</v>
      </c>
      <c r="C7" s="155"/>
      <c r="D7" s="155"/>
      <c r="E7" s="155"/>
      <c r="F7" s="156"/>
    </row>
    <row r="8" spans="1:6" ht="18.75" customHeight="1" x14ac:dyDescent="0.15">
      <c r="A8" s="41"/>
      <c r="B8" s="160"/>
      <c r="C8" s="158"/>
      <c r="D8" s="158"/>
      <c r="E8" s="158"/>
      <c r="F8" s="159"/>
    </row>
    <row r="9" spans="1:6" ht="18.75" customHeight="1" x14ac:dyDescent="0.15">
      <c r="A9" s="41"/>
      <c r="B9" s="160"/>
      <c r="C9" s="158"/>
      <c r="D9" s="158"/>
      <c r="E9" s="158"/>
      <c r="F9" s="159"/>
    </row>
    <row r="10" spans="1:6" ht="18.75" customHeight="1" x14ac:dyDescent="0.15">
      <c r="A10" s="41"/>
      <c r="B10" s="160"/>
      <c r="C10" s="158"/>
      <c r="D10" s="158"/>
      <c r="E10" s="158"/>
      <c r="F10" s="159"/>
    </row>
    <row r="11" spans="1:6" ht="18.75" customHeight="1" x14ac:dyDescent="0.15">
      <c r="A11" s="41"/>
      <c r="B11" s="160"/>
      <c r="C11" s="158"/>
      <c r="D11" s="158"/>
      <c r="E11" s="158"/>
      <c r="F11" s="159"/>
    </row>
    <row r="12" spans="1:6" ht="18.75" customHeight="1" x14ac:dyDescent="0.15">
      <c r="A12" s="41"/>
      <c r="B12" s="160"/>
      <c r="C12" s="158"/>
      <c r="D12" s="158"/>
      <c r="E12" s="158"/>
      <c r="F12" s="159"/>
    </row>
    <row r="13" spans="1:6" ht="18.75" customHeight="1" x14ac:dyDescent="0.15">
      <c r="A13" s="41"/>
      <c r="B13" s="160"/>
      <c r="C13" s="158"/>
      <c r="D13" s="158"/>
      <c r="E13" s="158"/>
      <c r="F13" s="159"/>
    </row>
    <row r="14" spans="1:6" ht="18.75" customHeight="1" x14ac:dyDescent="0.15">
      <c r="A14" s="41"/>
      <c r="B14" s="160"/>
      <c r="C14" s="158"/>
      <c r="D14" s="158"/>
      <c r="E14" s="158"/>
      <c r="F14" s="159"/>
    </row>
    <row r="15" spans="1:6" ht="18.75" customHeight="1" x14ac:dyDescent="0.15">
      <c r="A15" s="41"/>
      <c r="B15" s="160"/>
      <c r="C15" s="158"/>
      <c r="D15" s="158"/>
      <c r="E15" s="158"/>
      <c r="F15" s="159"/>
    </row>
    <row r="16" spans="1:6" ht="18.75" customHeight="1" x14ac:dyDescent="0.15">
      <c r="A16" s="41"/>
      <c r="B16" s="160"/>
      <c r="C16" s="158"/>
      <c r="D16" s="158"/>
      <c r="E16" s="158"/>
      <c r="F16" s="159"/>
    </row>
    <row r="17" spans="1:6" ht="18.75" customHeight="1" x14ac:dyDescent="0.15">
      <c r="A17" s="41"/>
      <c r="B17" s="160"/>
      <c r="C17" s="158"/>
      <c r="D17" s="158"/>
      <c r="E17" s="158"/>
      <c r="F17" s="159"/>
    </row>
    <row r="18" spans="1:6" ht="18.75" customHeight="1" x14ac:dyDescent="0.15">
      <c r="A18" s="41"/>
      <c r="B18" s="160"/>
      <c r="C18" s="158"/>
      <c r="D18" s="158"/>
      <c r="E18" s="158"/>
      <c r="F18" s="159"/>
    </row>
    <row r="19" spans="1:6" ht="18.75" customHeight="1" x14ac:dyDescent="0.15">
      <c r="A19" s="41"/>
      <c r="B19" s="160"/>
      <c r="C19" s="158"/>
      <c r="D19" s="158"/>
      <c r="E19" s="158"/>
      <c r="F19" s="159"/>
    </row>
    <row r="20" spans="1:6" ht="18.75" customHeight="1" x14ac:dyDescent="0.15">
      <c r="A20" s="41"/>
      <c r="B20" s="160"/>
      <c r="C20" s="158"/>
      <c r="D20" s="158"/>
      <c r="E20" s="158"/>
      <c r="F20" s="159"/>
    </row>
    <row r="21" spans="1:6" ht="18.75" customHeight="1" x14ac:dyDescent="0.15">
      <c r="A21" s="41"/>
      <c r="B21" s="160"/>
      <c r="C21" s="158"/>
      <c r="D21" s="158"/>
      <c r="E21" s="158"/>
      <c r="F21" s="159"/>
    </row>
    <row r="22" spans="1:6" ht="18.75" customHeight="1" x14ac:dyDescent="0.15">
      <c r="A22" s="41"/>
      <c r="B22" s="160"/>
      <c r="C22" s="158"/>
      <c r="D22" s="158"/>
      <c r="E22" s="158"/>
      <c r="F22" s="159"/>
    </row>
    <row r="23" spans="1:6" ht="18.75" customHeight="1" x14ac:dyDescent="0.15">
      <c r="A23" s="41"/>
      <c r="B23" s="160"/>
      <c r="C23" s="158"/>
      <c r="D23" s="158"/>
      <c r="E23" s="158"/>
      <c r="F23" s="159"/>
    </row>
    <row r="24" spans="1:6" ht="18.75" customHeight="1" x14ac:dyDescent="0.15">
      <c r="A24" s="41"/>
      <c r="B24" s="160"/>
      <c r="C24" s="158"/>
      <c r="D24" s="158"/>
      <c r="E24" s="158"/>
      <c r="F24" s="159"/>
    </row>
    <row r="25" spans="1:6" ht="18.75" customHeight="1" x14ac:dyDescent="0.15">
      <c r="A25" s="41"/>
      <c r="B25" s="160"/>
      <c r="C25" s="158"/>
      <c r="D25" s="158"/>
      <c r="E25" s="158"/>
      <c r="F25" s="159"/>
    </row>
    <row r="26" spans="1:6" ht="18.75" customHeight="1" x14ac:dyDescent="0.15">
      <c r="A26" s="41"/>
      <c r="B26" s="160"/>
      <c r="C26" s="158"/>
      <c r="D26" s="158"/>
      <c r="E26" s="158"/>
      <c r="F26" s="159"/>
    </row>
    <row r="27" spans="1:6" ht="18.75" customHeight="1" x14ac:dyDescent="0.15">
      <c r="A27" s="41"/>
      <c r="B27" s="160"/>
      <c r="C27" s="158"/>
      <c r="D27" s="158"/>
      <c r="E27" s="158"/>
      <c r="F27" s="159"/>
    </row>
    <row r="28" spans="1:6" ht="18.75" customHeight="1" x14ac:dyDescent="0.15">
      <c r="A28" s="41"/>
      <c r="B28" s="160"/>
      <c r="C28" s="158"/>
      <c r="D28" s="158"/>
      <c r="E28" s="158"/>
      <c r="F28" s="159"/>
    </row>
    <row r="29" spans="1:6" ht="18.75" customHeight="1" x14ac:dyDescent="0.15">
      <c r="A29" s="41"/>
      <c r="B29" s="160"/>
      <c r="C29" s="158"/>
      <c r="D29" s="158"/>
      <c r="E29" s="158"/>
      <c r="F29" s="159"/>
    </row>
    <row r="30" spans="1:6" ht="18.75" customHeight="1" x14ac:dyDescent="0.15">
      <c r="A30" s="41"/>
      <c r="B30" s="160"/>
      <c r="C30" s="158"/>
      <c r="D30" s="158"/>
      <c r="E30" s="158"/>
      <c r="F30" s="159"/>
    </row>
    <row r="31" spans="1:6" ht="18.75" customHeight="1" x14ac:dyDescent="0.15">
      <c r="A31" s="41"/>
      <c r="B31" s="160"/>
      <c r="C31" s="158"/>
      <c r="D31" s="158"/>
      <c r="E31" s="158"/>
      <c r="F31" s="159"/>
    </row>
    <row r="32" spans="1:6" ht="18.75" customHeight="1" x14ac:dyDescent="0.15">
      <c r="A32" s="41"/>
      <c r="B32" s="160"/>
      <c r="C32" s="158"/>
      <c r="D32" s="158"/>
      <c r="E32" s="158"/>
      <c r="F32" s="159"/>
    </row>
    <row r="33" spans="1:6" ht="18.75" customHeight="1" x14ac:dyDescent="0.15">
      <c r="A33" s="41"/>
      <c r="B33" s="160"/>
      <c r="C33" s="158"/>
      <c r="D33" s="158"/>
      <c r="E33" s="158"/>
      <c r="F33" s="159"/>
    </row>
    <row r="34" spans="1:6" ht="18.75" customHeight="1" x14ac:dyDescent="0.15">
      <c r="A34" s="41"/>
      <c r="B34" s="160"/>
      <c r="C34" s="158"/>
      <c r="D34" s="158"/>
      <c r="E34" s="158"/>
      <c r="F34" s="159"/>
    </row>
    <row r="35" spans="1:6" ht="18.75" customHeight="1" x14ac:dyDescent="0.15">
      <c r="A35" s="41"/>
      <c r="B35" s="160"/>
      <c r="C35" s="158"/>
      <c r="D35" s="158"/>
      <c r="E35" s="158"/>
      <c r="F35" s="159"/>
    </row>
    <row r="36" spans="1:6" ht="18.75" customHeight="1" x14ac:dyDescent="0.15">
      <c r="A36" s="41"/>
      <c r="B36" s="160"/>
      <c r="C36" s="158"/>
      <c r="D36" s="158"/>
      <c r="E36" s="158"/>
      <c r="F36" s="159"/>
    </row>
    <row r="37" spans="1:6" ht="18.75" customHeight="1" x14ac:dyDescent="0.15">
      <c r="A37" s="41"/>
      <c r="B37" s="160"/>
      <c r="C37" s="158"/>
      <c r="D37" s="158"/>
      <c r="E37" s="158"/>
      <c r="F37" s="159"/>
    </row>
    <row r="38" spans="1:6" ht="18.75" customHeight="1" x14ac:dyDescent="0.15">
      <c r="A38" s="41"/>
      <c r="B38" s="160"/>
      <c r="C38" s="158"/>
      <c r="D38" s="158"/>
      <c r="E38" s="158"/>
      <c r="F38" s="159"/>
    </row>
    <row r="39" spans="1:6" ht="18.75" customHeight="1" x14ac:dyDescent="0.15">
      <c r="A39" s="41"/>
      <c r="B39" s="160"/>
      <c r="C39" s="158"/>
      <c r="D39" s="158"/>
      <c r="E39" s="158"/>
      <c r="F39" s="159"/>
    </row>
    <row r="40" spans="1:6" ht="18.75" customHeight="1" x14ac:dyDescent="0.15">
      <c r="A40" s="41"/>
      <c r="B40" s="160"/>
      <c r="C40" s="158"/>
      <c r="D40" s="158"/>
      <c r="E40" s="158"/>
      <c r="F40" s="159"/>
    </row>
    <row r="41" spans="1:6" ht="18.75" customHeight="1" x14ac:dyDescent="0.15">
      <c r="A41" s="41"/>
      <c r="B41" s="160"/>
      <c r="C41" s="158"/>
      <c r="D41" s="158"/>
      <c r="E41" s="158"/>
      <c r="F41" s="159"/>
    </row>
    <row r="42" spans="1:6" ht="18.75" customHeight="1" x14ac:dyDescent="0.15">
      <c r="A42" s="41"/>
      <c r="B42" s="160"/>
      <c r="C42" s="158"/>
      <c r="D42" s="158"/>
      <c r="E42" s="158"/>
      <c r="F42" s="159"/>
    </row>
    <row r="43" spans="1:6" ht="18.75" customHeight="1" x14ac:dyDescent="0.15">
      <c r="A43" s="41"/>
      <c r="B43" s="160"/>
      <c r="C43" s="158"/>
      <c r="D43" s="158"/>
      <c r="E43" s="158"/>
      <c r="F43" s="159"/>
    </row>
    <row r="44" spans="1:6" ht="18.75" customHeight="1" x14ac:dyDescent="0.15">
      <c r="A44" s="41"/>
      <c r="B44" s="161"/>
      <c r="C44" s="162"/>
      <c r="D44" s="162"/>
      <c r="E44" s="162"/>
      <c r="F44" s="163"/>
    </row>
    <row r="45" spans="1:6" ht="18.75" customHeight="1" x14ac:dyDescent="0.15">
      <c r="A45" s="41" t="s">
        <v>12</v>
      </c>
      <c r="B45" s="3" t="s">
        <v>92</v>
      </c>
      <c r="C45" s="41"/>
      <c r="D45" s="41"/>
      <c r="E45" s="41"/>
      <c r="F45" s="41"/>
    </row>
    <row r="46" spans="1:6" ht="18.75" customHeight="1" x14ac:dyDescent="0.15">
      <c r="A46" s="41"/>
      <c r="B46" s="154" t="s">
        <v>188</v>
      </c>
      <c r="C46" s="155"/>
      <c r="D46" s="155"/>
      <c r="E46" s="155"/>
      <c r="F46" s="156"/>
    </row>
    <row r="47" spans="1:6" ht="18.75" customHeight="1" x14ac:dyDescent="0.15">
      <c r="A47" s="41"/>
      <c r="B47" s="160"/>
      <c r="C47" s="158"/>
      <c r="D47" s="158"/>
      <c r="E47" s="158"/>
      <c r="F47" s="159"/>
    </row>
    <row r="48" spans="1:6" ht="18.75" customHeight="1" x14ac:dyDescent="0.15">
      <c r="A48" s="41"/>
      <c r="B48" s="160"/>
      <c r="C48" s="158"/>
      <c r="D48" s="158"/>
      <c r="E48" s="158"/>
      <c r="F48" s="159"/>
    </row>
    <row r="49" spans="1:6" ht="18.75" customHeight="1" x14ac:dyDescent="0.15">
      <c r="A49" s="41"/>
      <c r="B49" s="160"/>
      <c r="C49" s="158"/>
      <c r="D49" s="158"/>
      <c r="E49" s="158"/>
      <c r="F49" s="159"/>
    </row>
    <row r="50" spans="1:6" ht="18.75" customHeight="1" x14ac:dyDescent="0.15">
      <c r="A50" s="41"/>
      <c r="B50" s="160"/>
      <c r="C50" s="158"/>
      <c r="D50" s="158"/>
      <c r="E50" s="158"/>
      <c r="F50" s="159"/>
    </row>
    <row r="51" spans="1:6" ht="18.75" customHeight="1" x14ac:dyDescent="0.15">
      <c r="A51" s="41"/>
      <c r="B51" s="160"/>
      <c r="C51" s="158"/>
      <c r="D51" s="158"/>
      <c r="E51" s="158"/>
      <c r="F51" s="159"/>
    </row>
    <row r="52" spans="1:6" ht="18.75" customHeight="1" x14ac:dyDescent="0.15">
      <c r="A52" s="41"/>
      <c r="B52" s="160"/>
      <c r="C52" s="158"/>
      <c r="D52" s="158"/>
      <c r="E52" s="158"/>
      <c r="F52" s="159"/>
    </row>
    <row r="53" spans="1:6" ht="18.75" customHeight="1" x14ac:dyDescent="0.15">
      <c r="A53" s="41"/>
      <c r="B53" s="160"/>
      <c r="C53" s="158"/>
      <c r="D53" s="158"/>
      <c r="E53" s="158"/>
      <c r="F53" s="159"/>
    </row>
    <row r="54" spans="1:6" ht="18.75" customHeight="1" x14ac:dyDescent="0.15">
      <c r="A54" s="41"/>
      <c r="B54" s="160"/>
      <c r="C54" s="158"/>
      <c r="D54" s="158"/>
      <c r="E54" s="158"/>
      <c r="F54" s="159"/>
    </row>
    <row r="55" spans="1:6" ht="18.75" customHeight="1" x14ac:dyDescent="0.15">
      <c r="A55" s="41"/>
      <c r="B55" s="160"/>
      <c r="C55" s="158"/>
      <c r="D55" s="158"/>
      <c r="E55" s="158"/>
      <c r="F55" s="159"/>
    </row>
    <row r="56" spans="1:6" ht="18.75" customHeight="1" x14ac:dyDescent="0.15">
      <c r="A56" s="41"/>
      <c r="B56" s="160"/>
      <c r="C56" s="158"/>
      <c r="D56" s="158"/>
      <c r="E56" s="158"/>
      <c r="F56" s="159"/>
    </row>
    <row r="57" spans="1:6" ht="18.75" customHeight="1" x14ac:dyDescent="0.15">
      <c r="A57" s="41"/>
      <c r="B57" s="160"/>
      <c r="C57" s="158"/>
      <c r="D57" s="158"/>
      <c r="E57" s="158"/>
      <c r="F57" s="159"/>
    </row>
    <row r="58" spans="1:6" ht="18.75" customHeight="1" x14ac:dyDescent="0.15">
      <c r="A58" s="41"/>
      <c r="B58" s="160"/>
      <c r="C58" s="158"/>
      <c r="D58" s="158"/>
      <c r="E58" s="158"/>
      <c r="F58" s="159"/>
    </row>
    <row r="59" spans="1:6" ht="18.75" customHeight="1" x14ac:dyDescent="0.15">
      <c r="A59" s="41"/>
      <c r="B59" s="160"/>
      <c r="C59" s="158"/>
      <c r="D59" s="158"/>
      <c r="E59" s="158"/>
      <c r="F59" s="159"/>
    </row>
    <row r="60" spans="1:6" ht="18.75" customHeight="1" x14ac:dyDescent="0.15">
      <c r="A60" s="41"/>
      <c r="B60" s="160"/>
      <c r="C60" s="158"/>
      <c r="D60" s="158"/>
      <c r="E60" s="158"/>
      <c r="F60" s="159"/>
    </row>
    <row r="61" spans="1:6" ht="18.75" customHeight="1" x14ac:dyDescent="0.15">
      <c r="A61" s="41"/>
      <c r="B61" s="160"/>
      <c r="C61" s="158"/>
      <c r="D61" s="158"/>
      <c r="E61" s="158"/>
      <c r="F61" s="159"/>
    </row>
    <row r="62" spans="1:6" ht="18.75" customHeight="1" x14ac:dyDescent="0.15">
      <c r="A62" s="41"/>
      <c r="B62" s="160"/>
      <c r="C62" s="158"/>
      <c r="D62" s="158"/>
      <c r="E62" s="158"/>
      <c r="F62" s="159"/>
    </row>
    <row r="63" spans="1:6" ht="18.75" customHeight="1" x14ac:dyDescent="0.15">
      <c r="A63" s="41"/>
      <c r="B63" s="160"/>
      <c r="C63" s="158"/>
      <c r="D63" s="158"/>
      <c r="E63" s="158"/>
      <c r="F63" s="159"/>
    </row>
    <row r="64" spans="1:6" ht="18.75" customHeight="1" x14ac:dyDescent="0.15">
      <c r="A64" s="41"/>
      <c r="B64" s="160"/>
      <c r="C64" s="158"/>
      <c r="D64" s="158"/>
      <c r="E64" s="158"/>
      <c r="F64" s="159"/>
    </row>
    <row r="65" spans="1:6" ht="18.75" customHeight="1" x14ac:dyDescent="0.15">
      <c r="A65" s="41"/>
      <c r="B65" s="160"/>
      <c r="C65" s="158"/>
      <c r="D65" s="158"/>
      <c r="E65" s="158"/>
      <c r="F65" s="159"/>
    </row>
    <row r="66" spans="1:6" ht="18.75" customHeight="1" x14ac:dyDescent="0.15">
      <c r="A66" s="41"/>
      <c r="B66" s="160"/>
      <c r="C66" s="158"/>
      <c r="D66" s="158"/>
      <c r="E66" s="158"/>
      <c r="F66" s="159"/>
    </row>
    <row r="67" spans="1:6" ht="18.75" customHeight="1" x14ac:dyDescent="0.15">
      <c r="A67" s="41"/>
      <c r="B67" s="160"/>
      <c r="C67" s="158"/>
      <c r="D67" s="158"/>
      <c r="E67" s="158"/>
      <c r="F67" s="159"/>
    </row>
    <row r="68" spans="1:6" ht="18.75" customHeight="1" x14ac:dyDescent="0.15">
      <c r="A68" s="41"/>
      <c r="B68" s="160"/>
      <c r="C68" s="158"/>
      <c r="D68" s="158"/>
      <c r="E68" s="158"/>
      <c r="F68" s="159"/>
    </row>
    <row r="69" spans="1:6" ht="18.75" customHeight="1" x14ac:dyDescent="0.15">
      <c r="A69" s="41"/>
      <c r="B69" s="160"/>
      <c r="C69" s="158"/>
      <c r="D69" s="158"/>
      <c r="E69" s="158"/>
      <c r="F69" s="159"/>
    </row>
    <row r="70" spans="1:6" ht="18.75" customHeight="1" x14ac:dyDescent="0.15">
      <c r="A70" s="41"/>
      <c r="B70" s="160"/>
      <c r="C70" s="158"/>
      <c r="D70" s="158"/>
      <c r="E70" s="158"/>
      <c r="F70" s="159"/>
    </row>
    <row r="71" spans="1:6" ht="18.75" customHeight="1" x14ac:dyDescent="0.15">
      <c r="A71" s="41"/>
      <c r="B71" s="160"/>
      <c r="C71" s="158"/>
      <c r="D71" s="158"/>
      <c r="E71" s="158"/>
      <c r="F71" s="159"/>
    </row>
    <row r="72" spans="1:6" ht="18.75" customHeight="1" x14ac:dyDescent="0.15">
      <c r="A72" s="41"/>
      <c r="B72" s="160"/>
      <c r="C72" s="158"/>
      <c r="D72" s="158"/>
      <c r="E72" s="158"/>
      <c r="F72" s="159"/>
    </row>
    <row r="73" spans="1:6" ht="18.75" customHeight="1" x14ac:dyDescent="0.15">
      <c r="A73" s="41"/>
      <c r="B73" s="160"/>
      <c r="C73" s="158"/>
      <c r="D73" s="158"/>
      <c r="E73" s="158"/>
      <c r="F73" s="159"/>
    </row>
    <row r="74" spans="1:6" ht="18.75" customHeight="1" x14ac:dyDescent="0.15">
      <c r="A74" s="41"/>
      <c r="B74" s="160"/>
      <c r="C74" s="158"/>
      <c r="D74" s="158"/>
      <c r="E74" s="158"/>
      <c r="F74" s="159"/>
    </row>
    <row r="75" spans="1:6" ht="18.75" customHeight="1" x14ac:dyDescent="0.15">
      <c r="A75" s="41"/>
      <c r="B75" s="160"/>
      <c r="C75" s="158"/>
      <c r="D75" s="158"/>
      <c r="E75" s="158"/>
      <c r="F75" s="159"/>
    </row>
    <row r="76" spans="1:6" ht="18.75" customHeight="1" x14ac:dyDescent="0.15">
      <c r="A76" s="41"/>
      <c r="B76" s="160"/>
      <c r="C76" s="158"/>
      <c r="D76" s="158"/>
      <c r="E76" s="158"/>
      <c r="F76" s="159"/>
    </row>
    <row r="77" spans="1:6" ht="18.75" customHeight="1" x14ac:dyDescent="0.15">
      <c r="A77" s="41"/>
      <c r="B77" s="160"/>
      <c r="C77" s="158"/>
      <c r="D77" s="158"/>
      <c r="E77" s="158"/>
      <c r="F77" s="159"/>
    </row>
    <row r="78" spans="1:6" ht="18.75" customHeight="1" x14ac:dyDescent="0.15">
      <c r="A78" s="41"/>
      <c r="B78" s="160"/>
      <c r="C78" s="158"/>
      <c r="D78" s="158"/>
      <c r="E78" s="158"/>
      <c r="F78" s="159"/>
    </row>
    <row r="79" spans="1:6" ht="18.75" customHeight="1" x14ac:dyDescent="0.15">
      <c r="A79" s="41"/>
      <c r="B79" s="160"/>
      <c r="C79" s="158"/>
      <c r="D79" s="158"/>
      <c r="E79" s="158"/>
      <c r="F79" s="159"/>
    </row>
    <row r="80" spans="1:6" ht="18.75" customHeight="1" x14ac:dyDescent="0.15">
      <c r="A80" s="41"/>
      <c r="B80" s="160"/>
      <c r="C80" s="158"/>
      <c r="D80" s="158"/>
      <c r="E80" s="158"/>
      <c r="F80" s="159"/>
    </row>
    <row r="81" spans="1:6" ht="18.75" customHeight="1" x14ac:dyDescent="0.15">
      <c r="A81" s="41"/>
      <c r="B81" s="160"/>
      <c r="C81" s="158"/>
      <c r="D81" s="158"/>
      <c r="E81" s="158"/>
      <c r="F81" s="159"/>
    </row>
    <row r="82" spans="1:6" ht="18.75" customHeight="1" x14ac:dyDescent="0.15">
      <c r="A82" s="41"/>
      <c r="B82" s="160"/>
      <c r="C82" s="158"/>
      <c r="D82" s="158"/>
      <c r="E82" s="158"/>
      <c r="F82" s="159"/>
    </row>
    <row r="83" spans="1:6" ht="18.75" customHeight="1" x14ac:dyDescent="0.15">
      <c r="A83" s="41"/>
      <c r="B83" s="160"/>
      <c r="C83" s="158"/>
      <c r="D83" s="158"/>
      <c r="E83" s="158"/>
      <c r="F83" s="159"/>
    </row>
    <row r="84" spans="1:6" ht="18.75" customHeight="1" x14ac:dyDescent="0.15">
      <c r="A84" s="41"/>
      <c r="B84" s="160"/>
      <c r="C84" s="158"/>
      <c r="D84" s="158"/>
      <c r="E84" s="158"/>
      <c r="F84" s="159"/>
    </row>
    <row r="85" spans="1:6" ht="18.75" customHeight="1" x14ac:dyDescent="0.15">
      <c r="A85" s="41"/>
      <c r="B85" s="160"/>
      <c r="C85" s="158"/>
      <c r="D85" s="158"/>
      <c r="E85" s="158"/>
      <c r="F85" s="159"/>
    </row>
    <row r="86" spans="1:6" ht="18.75" customHeight="1" x14ac:dyDescent="0.15">
      <c r="A86" s="41"/>
      <c r="B86" s="160"/>
      <c r="C86" s="158"/>
      <c r="D86" s="158"/>
      <c r="E86" s="158"/>
      <c r="F86" s="159"/>
    </row>
    <row r="87" spans="1:6" ht="18.75" customHeight="1" x14ac:dyDescent="0.15">
      <c r="A87" s="41"/>
      <c r="B87" s="161"/>
      <c r="C87" s="162"/>
      <c r="D87" s="162"/>
      <c r="E87" s="162"/>
      <c r="F87" s="163"/>
    </row>
    <row r="88" spans="1:6" s="3" customFormat="1" ht="18.75" customHeight="1" x14ac:dyDescent="0.15">
      <c r="A88" s="3" t="s">
        <v>13</v>
      </c>
      <c r="B88" s="3" t="s">
        <v>93</v>
      </c>
    </row>
    <row r="89" spans="1:6" ht="18.75" customHeight="1" x14ac:dyDescent="0.15">
      <c r="A89" s="41"/>
      <c r="B89" s="154" t="s">
        <v>227</v>
      </c>
      <c r="C89" s="155"/>
      <c r="D89" s="155"/>
      <c r="E89" s="155"/>
      <c r="F89" s="156"/>
    </row>
    <row r="90" spans="1:6" ht="18.75" customHeight="1" x14ac:dyDescent="0.15">
      <c r="A90" s="41"/>
      <c r="B90" s="160"/>
      <c r="C90" s="158"/>
      <c r="D90" s="158"/>
      <c r="E90" s="158"/>
      <c r="F90" s="159"/>
    </row>
    <row r="91" spans="1:6" ht="18.75" customHeight="1" x14ac:dyDescent="0.15">
      <c r="A91" s="41"/>
      <c r="B91" s="160"/>
      <c r="C91" s="158"/>
      <c r="D91" s="158"/>
      <c r="E91" s="158"/>
      <c r="F91" s="159"/>
    </row>
    <row r="92" spans="1:6" ht="18.75" customHeight="1" x14ac:dyDescent="0.15">
      <c r="A92" s="41"/>
      <c r="B92" s="160"/>
      <c r="C92" s="158"/>
      <c r="D92" s="158"/>
      <c r="E92" s="158"/>
      <c r="F92" s="159"/>
    </row>
    <row r="93" spans="1:6" ht="18.75" customHeight="1" x14ac:dyDescent="0.15">
      <c r="A93" s="41"/>
      <c r="B93" s="160"/>
      <c r="C93" s="158"/>
      <c r="D93" s="158"/>
      <c r="E93" s="158"/>
      <c r="F93" s="159"/>
    </row>
    <row r="94" spans="1:6" ht="18.75" customHeight="1" x14ac:dyDescent="0.15">
      <c r="A94" s="41"/>
      <c r="B94" s="160"/>
      <c r="C94" s="158"/>
      <c r="D94" s="158"/>
      <c r="E94" s="158"/>
      <c r="F94" s="159"/>
    </row>
    <row r="95" spans="1:6" ht="18.75" customHeight="1" x14ac:dyDescent="0.15">
      <c r="A95" s="41"/>
      <c r="B95" s="160"/>
      <c r="C95" s="158"/>
      <c r="D95" s="158"/>
      <c r="E95" s="158"/>
      <c r="F95" s="159"/>
    </row>
    <row r="96" spans="1:6" ht="18.75" customHeight="1" x14ac:dyDescent="0.15">
      <c r="A96" s="41"/>
      <c r="B96" s="160"/>
      <c r="C96" s="158"/>
      <c r="D96" s="158"/>
      <c r="E96" s="158"/>
      <c r="F96" s="159"/>
    </row>
    <row r="97" spans="1:6" ht="18.75" customHeight="1" x14ac:dyDescent="0.15">
      <c r="A97" s="41"/>
      <c r="B97" s="160"/>
      <c r="C97" s="158"/>
      <c r="D97" s="158"/>
      <c r="E97" s="158"/>
      <c r="F97" s="159"/>
    </row>
    <row r="98" spans="1:6" ht="18.75" customHeight="1" x14ac:dyDescent="0.15">
      <c r="A98" s="41"/>
      <c r="B98" s="160"/>
      <c r="C98" s="158"/>
      <c r="D98" s="158"/>
      <c r="E98" s="158"/>
      <c r="F98" s="159"/>
    </row>
    <row r="99" spans="1:6" ht="18.75" customHeight="1" x14ac:dyDescent="0.15">
      <c r="A99" s="41"/>
      <c r="B99" s="160"/>
      <c r="C99" s="158"/>
      <c r="D99" s="158"/>
      <c r="E99" s="158"/>
      <c r="F99" s="159"/>
    </row>
    <row r="100" spans="1:6" ht="18.75" customHeight="1" x14ac:dyDescent="0.15">
      <c r="A100" s="41"/>
      <c r="B100" s="160"/>
      <c r="C100" s="158"/>
      <c r="D100" s="158"/>
      <c r="E100" s="158"/>
      <c r="F100" s="159"/>
    </row>
    <row r="101" spans="1:6" ht="18.75" customHeight="1" x14ac:dyDescent="0.15">
      <c r="A101" s="41"/>
      <c r="B101" s="160"/>
      <c r="C101" s="158"/>
      <c r="D101" s="158"/>
      <c r="E101" s="158"/>
      <c r="F101" s="159"/>
    </row>
    <row r="102" spans="1:6" ht="18.75" customHeight="1" x14ac:dyDescent="0.15">
      <c r="A102" s="41"/>
      <c r="B102" s="160"/>
      <c r="C102" s="158"/>
      <c r="D102" s="158"/>
      <c r="E102" s="158"/>
      <c r="F102" s="159"/>
    </row>
    <row r="103" spans="1:6" ht="18.75" customHeight="1" x14ac:dyDescent="0.15">
      <c r="A103" s="41"/>
      <c r="B103" s="160"/>
      <c r="C103" s="158"/>
      <c r="D103" s="158"/>
      <c r="E103" s="158"/>
      <c r="F103" s="159"/>
    </row>
    <row r="104" spans="1:6" ht="18.75" customHeight="1" x14ac:dyDescent="0.15">
      <c r="A104" s="41"/>
      <c r="B104" s="160"/>
      <c r="C104" s="158"/>
      <c r="D104" s="158"/>
      <c r="E104" s="158"/>
      <c r="F104" s="159"/>
    </row>
    <row r="105" spans="1:6" ht="18.75" customHeight="1" x14ac:dyDescent="0.15">
      <c r="A105" s="41"/>
      <c r="B105" s="160"/>
      <c r="C105" s="158"/>
      <c r="D105" s="158"/>
      <c r="E105" s="158"/>
      <c r="F105" s="159"/>
    </row>
    <row r="106" spans="1:6" ht="18.75" customHeight="1" x14ac:dyDescent="0.15">
      <c r="A106" s="41"/>
      <c r="B106" s="160"/>
      <c r="C106" s="158"/>
      <c r="D106" s="158"/>
      <c r="E106" s="158"/>
      <c r="F106" s="159"/>
    </row>
    <row r="107" spans="1:6" ht="18.75" customHeight="1" x14ac:dyDescent="0.15">
      <c r="A107" s="41"/>
      <c r="B107" s="160"/>
      <c r="C107" s="158"/>
      <c r="D107" s="158"/>
      <c r="E107" s="158"/>
      <c r="F107" s="159"/>
    </row>
    <row r="108" spans="1:6" ht="18.75" customHeight="1" x14ac:dyDescent="0.15">
      <c r="A108" s="41"/>
      <c r="B108" s="160"/>
      <c r="C108" s="158"/>
      <c r="D108" s="158"/>
      <c r="E108" s="158"/>
      <c r="F108" s="159"/>
    </row>
    <row r="109" spans="1:6" ht="18.75" customHeight="1" x14ac:dyDescent="0.15">
      <c r="A109" s="41"/>
      <c r="B109" s="160"/>
      <c r="C109" s="158"/>
      <c r="D109" s="158"/>
      <c r="E109" s="158"/>
      <c r="F109" s="159"/>
    </row>
    <row r="110" spans="1:6" ht="18.75" customHeight="1" x14ac:dyDescent="0.15">
      <c r="A110" s="41"/>
      <c r="B110" s="160"/>
      <c r="C110" s="158"/>
      <c r="D110" s="158"/>
      <c r="E110" s="158"/>
      <c r="F110" s="159"/>
    </row>
    <row r="111" spans="1:6" ht="18.75" customHeight="1" x14ac:dyDescent="0.15">
      <c r="A111" s="41"/>
      <c r="B111" s="160"/>
      <c r="C111" s="158"/>
      <c r="D111" s="158"/>
      <c r="E111" s="158"/>
      <c r="F111" s="159"/>
    </row>
    <row r="112" spans="1:6" ht="18.75" customHeight="1" x14ac:dyDescent="0.15">
      <c r="A112" s="41"/>
      <c r="B112" s="160"/>
      <c r="C112" s="158"/>
      <c r="D112" s="158"/>
      <c r="E112" s="158"/>
      <c r="F112" s="159"/>
    </row>
    <row r="113" spans="1:6" ht="18.75" customHeight="1" x14ac:dyDescent="0.15">
      <c r="A113" s="41"/>
      <c r="B113" s="160"/>
      <c r="C113" s="158"/>
      <c r="D113" s="158"/>
      <c r="E113" s="158"/>
      <c r="F113" s="159"/>
    </row>
    <row r="114" spans="1:6" ht="18.75" customHeight="1" x14ac:dyDescent="0.15">
      <c r="A114" s="41"/>
      <c r="B114" s="160"/>
      <c r="C114" s="158"/>
      <c r="D114" s="158"/>
      <c r="E114" s="158"/>
      <c r="F114" s="159"/>
    </row>
    <row r="115" spans="1:6" ht="18.75" customHeight="1" x14ac:dyDescent="0.15">
      <c r="A115" s="41"/>
      <c r="B115" s="160"/>
      <c r="C115" s="158"/>
      <c r="D115" s="158"/>
      <c r="E115" s="158"/>
      <c r="F115" s="159"/>
    </row>
    <row r="116" spans="1:6" ht="18.75" customHeight="1" x14ac:dyDescent="0.15">
      <c r="A116" s="41"/>
      <c r="B116" s="160"/>
      <c r="C116" s="158"/>
      <c r="D116" s="158"/>
      <c r="E116" s="158"/>
      <c r="F116" s="159"/>
    </row>
    <row r="117" spans="1:6" ht="18.75" customHeight="1" x14ac:dyDescent="0.15">
      <c r="A117" s="41"/>
      <c r="B117" s="160"/>
      <c r="C117" s="158"/>
      <c r="D117" s="158"/>
      <c r="E117" s="158"/>
      <c r="F117" s="159"/>
    </row>
    <row r="118" spans="1:6" ht="18.75" customHeight="1" x14ac:dyDescent="0.15">
      <c r="A118" s="41"/>
      <c r="B118" s="160"/>
      <c r="C118" s="158"/>
      <c r="D118" s="158"/>
      <c r="E118" s="158"/>
      <c r="F118" s="159"/>
    </row>
    <row r="119" spans="1:6" ht="18.75" customHeight="1" x14ac:dyDescent="0.15">
      <c r="A119" s="41"/>
      <c r="B119" s="160"/>
      <c r="C119" s="158"/>
      <c r="D119" s="158"/>
      <c r="E119" s="158"/>
      <c r="F119" s="159"/>
    </row>
    <row r="120" spans="1:6" ht="18.75" customHeight="1" x14ac:dyDescent="0.15">
      <c r="A120" s="41"/>
      <c r="B120" s="160"/>
      <c r="C120" s="158"/>
      <c r="D120" s="158"/>
      <c r="E120" s="158"/>
      <c r="F120" s="159"/>
    </row>
    <row r="121" spans="1:6" ht="18.75" customHeight="1" x14ac:dyDescent="0.15">
      <c r="A121" s="41"/>
      <c r="B121" s="160"/>
      <c r="C121" s="158"/>
      <c r="D121" s="158"/>
      <c r="E121" s="158"/>
      <c r="F121" s="159"/>
    </row>
    <row r="122" spans="1:6" ht="18.75" customHeight="1" x14ac:dyDescent="0.15">
      <c r="A122" s="41"/>
      <c r="B122" s="160"/>
      <c r="C122" s="158"/>
      <c r="D122" s="158"/>
      <c r="E122" s="158"/>
      <c r="F122" s="159"/>
    </row>
    <row r="123" spans="1:6" ht="18.75" customHeight="1" x14ac:dyDescent="0.15">
      <c r="A123" s="41"/>
      <c r="B123" s="160"/>
      <c r="C123" s="158"/>
      <c r="D123" s="158"/>
      <c r="E123" s="158"/>
      <c r="F123" s="159"/>
    </row>
    <row r="124" spans="1:6" ht="18.75" customHeight="1" x14ac:dyDescent="0.15">
      <c r="A124" s="41"/>
      <c r="B124" s="160"/>
      <c r="C124" s="158"/>
      <c r="D124" s="158"/>
      <c r="E124" s="158"/>
      <c r="F124" s="159"/>
    </row>
    <row r="125" spans="1:6" ht="18.75" customHeight="1" x14ac:dyDescent="0.15">
      <c r="A125" s="41"/>
      <c r="B125" s="160"/>
      <c r="C125" s="158"/>
      <c r="D125" s="158"/>
      <c r="E125" s="158"/>
      <c r="F125" s="159"/>
    </row>
    <row r="126" spans="1:6" ht="18.75" customHeight="1" x14ac:dyDescent="0.15">
      <c r="A126" s="41"/>
      <c r="B126" s="160"/>
      <c r="C126" s="158"/>
      <c r="D126" s="158"/>
      <c r="E126" s="158"/>
      <c r="F126" s="159"/>
    </row>
    <row r="127" spans="1:6" ht="18.75" customHeight="1" x14ac:dyDescent="0.15">
      <c r="A127" s="41"/>
      <c r="B127" s="160"/>
      <c r="C127" s="158"/>
      <c r="D127" s="158"/>
      <c r="E127" s="158"/>
      <c r="F127" s="159"/>
    </row>
    <row r="128" spans="1:6" ht="18.75" customHeight="1" x14ac:dyDescent="0.15">
      <c r="A128" s="41"/>
      <c r="B128" s="160"/>
      <c r="C128" s="158"/>
      <c r="D128" s="158"/>
      <c r="E128" s="158"/>
      <c r="F128" s="159"/>
    </row>
    <row r="129" spans="1:6" ht="18.75" customHeight="1" x14ac:dyDescent="0.15">
      <c r="A129" s="41"/>
      <c r="B129" s="160"/>
      <c r="C129" s="158"/>
      <c r="D129" s="158"/>
      <c r="E129" s="158"/>
      <c r="F129" s="159"/>
    </row>
    <row r="130" spans="1:6" ht="18.75" customHeight="1" x14ac:dyDescent="0.15">
      <c r="A130" s="41"/>
      <c r="B130" s="161"/>
      <c r="C130" s="162"/>
      <c r="D130" s="162"/>
      <c r="E130" s="162"/>
      <c r="F130" s="163"/>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皿谷　敦</cp:lastModifiedBy>
  <cp:lastPrinted>2021-05-14T02:21:25Z</cp:lastPrinted>
  <dcterms:created xsi:type="dcterms:W3CDTF">2011-06-14T05:32:50Z</dcterms:created>
  <dcterms:modified xsi:type="dcterms:W3CDTF">2021-07-13T02:11:17Z</dcterms:modified>
</cp:coreProperties>
</file>