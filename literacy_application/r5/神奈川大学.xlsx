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Z\Box\【部署】企画政策部_教学改革推進課\04_その他教学政策等\02_数理・データサイエンス・AI教育\認定申請\00_提出ファイル\【修正版】01.神奈川大学_リテラシー\"/>
    </mc:Choice>
  </mc:AlternateContent>
  <bookViews>
    <workbookView xWindow="-105" yWindow="-105" windowWidth="23250" windowHeight="12570"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workbook>
</file>

<file path=xl/calcChain.xml><?xml version="1.0" encoding="utf-8"?>
<calcChain xmlns="http://schemas.openxmlformats.org/spreadsheetml/2006/main">
  <c r="F49" i="41" l="1"/>
  <c r="F50" i="41" l="1"/>
  <c r="C50" i="41" l="1"/>
  <c r="I49" i="41"/>
  <c r="L12" i="40" l="1"/>
  <c r="O12" i="40"/>
  <c r="L13" i="40"/>
  <c r="O13" i="40"/>
  <c r="L14" i="40"/>
  <c r="O14" i="40"/>
  <c r="L15" i="40"/>
  <c r="O15" i="40"/>
  <c r="L16" i="40"/>
  <c r="O16" i="40"/>
  <c r="L17" i="40"/>
  <c r="O17" i="40"/>
  <c r="L18" i="40"/>
  <c r="O18" i="40"/>
  <c r="L19" i="40"/>
  <c r="O19" i="40"/>
  <c r="L20" i="40"/>
  <c r="O20" i="40"/>
  <c r="R12" i="40"/>
  <c r="U12" i="40"/>
  <c r="R13" i="40"/>
  <c r="U13" i="40"/>
  <c r="R14" i="40"/>
  <c r="U14" i="40"/>
  <c r="R15" i="40"/>
  <c r="U15" i="40"/>
  <c r="R16" i="40"/>
  <c r="U16" i="40"/>
  <c r="R17" i="40"/>
  <c r="U17" i="40"/>
  <c r="R18" i="40"/>
  <c r="U18" i="40"/>
  <c r="R19" i="40"/>
  <c r="U19" i="40"/>
  <c r="R20" i="40"/>
  <c r="U20" i="40"/>
  <c r="X12" i="40"/>
  <c r="AA12" i="40"/>
  <c r="X13" i="40"/>
  <c r="AA13" i="40"/>
  <c r="X14" i="40"/>
  <c r="AA14" i="40"/>
  <c r="X15" i="40"/>
  <c r="AA15" i="40"/>
  <c r="X16" i="40"/>
  <c r="AA16" i="40"/>
  <c r="X17" i="40"/>
  <c r="AA17" i="40"/>
  <c r="X18" i="40"/>
  <c r="AA18" i="40"/>
  <c r="X19" i="40"/>
  <c r="AA19" i="40"/>
  <c r="X20" i="40"/>
  <c r="AA20" i="40"/>
  <c r="AD12" i="40"/>
  <c r="AG12" i="40"/>
  <c r="AD13" i="40"/>
  <c r="AG13" i="40"/>
  <c r="AD14" i="40"/>
  <c r="AG14" i="40"/>
  <c r="AD15" i="40"/>
  <c r="AG15" i="40"/>
  <c r="AD16" i="40"/>
  <c r="AG16" i="40"/>
  <c r="AD17" i="40"/>
  <c r="AG17" i="40"/>
  <c r="AD18" i="40"/>
  <c r="AG18" i="40"/>
  <c r="AD19" i="40"/>
  <c r="AG19" i="40"/>
  <c r="AD20" i="40"/>
  <c r="AG20" i="40"/>
  <c r="AJ12" i="40"/>
  <c r="AM12" i="40"/>
  <c r="AJ13" i="40"/>
  <c r="AM13" i="40"/>
  <c r="AJ14" i="40"/>
  <c r="AM14" i="40"/>
  <c r="AJ15" i="40"/>
  <c r="AM15" i="40"/>
  <c r="AJ16" i="40"/>
  <c r="AM16" i="40"/>
  <c r="AJ17" i="40"/>
  <c r="AM17" i="40"/>
  <c r="AJ18" i="40"/>
  <c r="AM18" i="40"/>
  <c r="AJ19" i="40"/>
  <c r="AM19" i="40"/>
  <c r="AJ20" i="40"/>
  <c r="AM20" i="40"/>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32" i="40" l="1"/>
  <c r="AA32" i="40"/>
  <c r="AJ32" i="40"/>
  <c r="AM32" i="40"/>
  <c r="AG32" i="40"/>
  <c r="AD32" i="40"/>
  <c r="X32" i="40"/>
  <c r="R32" i="40"/>
  <c r="U32" i="40"/>
  <c r="L32" i="40"/>
  <c r="K32" i="40" l="1"/>
  <c r="J32" i="40"/>
  <c r="I31" i="40"/>
  <c r="I30" i="40"/>
  <c r="I29" i="40"/>
  <c r="I28" i="40"/>
  <c r="I27" i="40"/>
  <c r="I26" i="40"/>
  <c r="I25" i="40"/>
  <c r="I24" i="40"/>
  <c r="I23" i="40"/>
  <c r="I22" i="40"/>
  <c r="I21" i="40"/>
  <c r="G32" i="40"/>
  <c r="H32" i="40"/>
  <c r="AP13" i="40"/>
  <c r="AP14" i="40"/>
  <c r="AP15" i="40"/>
  <c r="AP16" i="40"/>
  <c r="AP17" i="40"/>
  <c r="AP18" i="40"/>
  <c r="AP19" i="40"/>
  <c r="AP20" i="40"/>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<sst xmlns="http://schemas.openxmlformats.org/spreadsheetml/2006/main" count="309" uniqueCount="182">
  <si>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</si>
  <si>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</si>
  <si>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</si>
  <si>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</si>
  <si>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</si>
  <si>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</si>
  <si>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</si>
  <si>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</si>
  <si>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</si>
  <si>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</si>
  <si>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</si>
  <si>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</si>
  <si>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</si>
  <si>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</si>
  <si>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</si>
  <si>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</si>
  <si>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</si>
  <si>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</si>
  <si>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</si>
  <si>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</si>
  <si>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</si>
  <si>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</si>
  <si>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</si>
  <si>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</si>
  <si>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</si>
  <si>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</si>
  <si>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</si>
  <si>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</si>
  <si>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</si>
  <si>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</si>
  <si>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</si>
  <si>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</si>
  <si>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</si>
  <si>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</si>
  <si>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</si>
  <si>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</si>
  <si>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</si>
  <si>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</si>
  <si>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</si>
  <si>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</si>
  <si>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</si>
  <si>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</si>
  <si>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</si>
  <si>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</si>
  <si>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</si>
  <si>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</si>
  <si>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</si>
  <si>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</si>
  <si>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</si>
  <si>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</si>
  <si>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</si>
  <si>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</si>
  <si>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</si>
  <si>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</si>
  <si>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</si>
  <si>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</si>
  <si>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</si>
  <si>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</si>
  <si>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</si>
  <si>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</si>
  <si>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</si>
  <si>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</si>
  <si>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</si>
  <si>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</si>
  <si>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</si>
  <si>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</si>
  <si>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</si>
  <si>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</si>
  <si>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</si>
  <si>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</si>
  <si>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</si>
  <si>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</si>
  <si>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</si>
  <si>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</si>
  <si>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</si>
  <si>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</si>
  <si>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</si>
  <si>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</si>
  <si>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</si>
  <si>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</si>
  <si>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</si>
  <si>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</si>
  <si>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</si>
  <si>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</si>
  <si>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</si>
  <si>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</si>
  <si>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</si>
  <si>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</si>
  <si>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</si>
  <si>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</si>
  <si>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</si>
  <si>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</si>
  <si>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</si>
  <si>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</si>
  <si>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</si>
  <si>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</si>
  <si>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</si>
  <si>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</si>
  <si>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</si>
  <si>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</si>
  <si>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</si>
  <si>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</si>
  <si>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</si>
  <si>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</si>
  <si>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</si>
  <si>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</si>
  <si>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</si>
  <si>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</si>
  <si>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</si>
  <si>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</si>
  <si>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</si>
  <si>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</si>
  <si>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</si>
  <si>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</si>
  <si>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</si>
  <si>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</si>
  <si>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</si>
  <si>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</si>
  <si>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</si>
  <si>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</si>
  <si>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</si>
  <si>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</si>
  <si>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</si>
  <si>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</si>
  <si>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神奈川大学</t>
    <rPh sb="0" eb="5">
      <t>カナ</t>
    </rPh>
    <phoneticPr fontId="1"/>
  </si>
  <si>
    <t>共通教養データサイエンスプログラム</t>
    <phoneticPr fontId="1"/>
  </si>
  <si>
    <t>学部・学科によって、修了要件は相違しない</t>
  </si>
  <si>
    <t>教養データサイエンス</t>
    <phoneticPr fontId="1"/>
  </si>
  <si>
    <t>○</t>
  </si>
  <si>
    <t>教養データサイエンス</t>
    <phoneticPr fontId="1"/>
  </si>
  <si>
    <t>FYS</t>
    <phoneticPr fontId="1"/>
  </si>
  <si>
    <t>西野　晃徳</t>
    <phoneticPr fontId="1"/>
  </si>
  <si>
    <t>データサイエンス推進協議会</t>
    <phoneticPr fontId="1"/>
  </si>
  <si>
    <t>林　憲玉</t>
    <phoneticPr fontId="1"/>
  </si>
  <si>
    <t>データサイエンス推進協議会代表・副学長</t>
    <phoneticPr fontId="1"/>
  </si>
  <si>
    <t>神奈川大学「データサイエンス推進協議会」設置要綱</t>
    <phoneticPr fontId="1"/>
  </si>
  <si>
    <t>　プログラム修得要件科目の「教養データサイエンス」では、LMSにより授業内容の理解度・知識定着度を確認する演習課題を実施し、及び自由記述を受け付けることで、履修者の細かな疑問をも確認し、それを履修者全体と共有しながら丁寧に回答をしている。
　また、授業担当者と履修者との交流を充実させるため、対面での質問受付コーナー（ヘルプデスク）やオフィスアワーを設置するほか、授業担当者への相談を行うための連絡手段をシラバス上に明示することで、履修者が孤立せず、授業担当者が質問対応や履修上の相談に対応できる体制を整備している。</t>
    <phoneticPr fontId="1"/>
  </si>
  <si>
    <t>データサイエンス推進協議会　点検・評価ワーキンググループ</t>
    <phoneticPr fontId="1"/>
  </si>
  <si>
    <t>林　憲玉</t>
    <phoneticPr fontId="1"/>
  </si>
  <si>
    <t xml:space="preserve">　「教養データサイエンス」では、LMSにより授業ごとに履修者への授業内容の理解度・知識定着度を確認する演習課題を実施し、また自由記述を受け付けることで、授業担当者、履修者双方で学修成果・状況を確認しているが、その内容から一定の学修成果が窺える。
　また「FYS」（初年次教育科目）では、授業の理解度や授業内容等の改善のための授業アンケートを毎年度実施（2021年度よりWeb方式）しており、学生の学修成果の可視化にも活用している。アンケートのほぼ全ての設問において、「とてもそう思う」及び「そう思う」等の肯定的回答が80％前後あることからも、情報を読み解く力を含めた実践的知識としてのスタディー・スキルの習得について、学修成果があったことが窺える。
</t>
    <phoneticPr fontId="1"/>
  </si>
  <si>
    <t>法学部</t>
    <rPh sb="0" eb="3">
      <t>ホウガクブ</t>
    </rPh>
    <phoneticPr fontId="1"/>
  </si>
  <si>
    <t>経営学部</t>
    <rPh sb="0" eb="2">
      <t>ケイエイ</t>
    </rPh>
    <rPh sb="2" eb="4">
      <t>ガクブ</t>
    </rPh>
    <phoneticPr fontId="1"/>
  </si>
  <si>
    <t>人間科学部</t>
    <rPh sb="0" eb="2">
      <t>ニンゲン</t>
    </rPh>
    <rPh sb="2" eb="4">
      <t>カガク</t>
    </rPh>
    <rPh sb="4" eb="5">
      <t>ブ</t>
    </rPh>
    <phoneticPr fontId="1"/>
  </si>
  <si>
    <t>理学部</t>
    <rPh sb="0" eb="3">
      <t>リガクブ</t>
    </rPh>
    <phoneticPr fontId="1"/>
  </si>
  <si>
    <t>令和４</t>
    <rPh sb="0" eb="2">
      <t>レイワ</t>
    </rPh>
    <phoneticPr fontId="1"/>
  </si>
  <si>
    <t>データサイエンス推進協議会幹事・共通教養教育センター副所長</t>
    <phoneticPr fontId="1"/>
  </si>
  <si>
    <t>※年次進行中の収容定員を記載</t>
    <rPh sb="1" eb="3">
      <t>ネンジ</t>
    </rPh>
    <rPh sb="3" eb="6">
      <t>シンコウチュウ</t>
    </rPh>
    <rPh sb="7" eb="9">
      <t>シュウヨウ</t>
    </rPh>
    <rPh sb="9" eb="11">
      <t>テイイン</t>
    </rPh>
    <rPh sb="12" eb="14">
      <t>キサイ</t>
    </rPh>
    <phoneticPr fontId="1"/>
  </si>
  <si>
    <r>
      <t>建築学部</t>
    </r>
    <r>
      <rPr>
        <vertAlign val="superscript"/>
        <sz val="12"/>
        <color theme="1"/>
        <rFont val="ＭＳ Ｐゴシック"/>
        <family val="3"/>
        <charset val="128"/>
        <scheme val="minor"/>
      </rPr>
      <t>※</t>
    </r>
    <rPh sb="0" eb="2">
      <t>ケンチク</t>
    </rPh>
    <rPh sb="2" eb="4">
      <t>ガクブ</t>
    </rPh>
    <phoneticPr fontId="1"/>
  </si>
  <si>
    <r>
      <t>経済学部</t>
    </r>
    <r>
      <rPr>
        <vertAlign val="superscript"/>
        <sz val="12"/>
        <color theme="1"/>
        <rFont val="ＭＳ Ｐゴシック"/>
        <family val="3"/>
        <charset val="128"/>
        <scheme val="minor"/>
      </rPr>
      <t>※</t>
    </r>
    <rPh sb="0" eb="2">
      <t>ケイザイ</t>
    </rPh>
    <rPh sb="2" eb="4">
      <t>ガクブ</t>
    </rPh>
    <phoneticPr fontId="1"/>
  </si>
  <si>
    <r>
      <t>外国語学部</t>
    </r>
    <r>
      <rPr>
        <vertAlign val="superscript"/>
        <sz val="12"/>
        <color theme="1"/>
        <rFont val="ＭＳ Ｐゴシック"/>
        <family val="3"/>
        <charset val="128"/>
        <scheme val="minor"/>
      </rPr>
      <t>※</t>
    </r>
    <rPh sb="0" eb="3">
      <t>ガイコクゴ</t>
    </rPh>
    <rPh sb="3" eb="5">
      <t>ガクブ</t>
    </rPh>
    <phoneticPr fontId="1"/>
  </si>
  <si>
    <r>
      <t>国際日本学部</t>
    </r>
    <r>
      <rPr>
        <vertAlign val="superscript"/>
        <sz val="12"/>
        <color theme="1"/>
        <rFont val="ＭＳ Ｐゴシック"/>
        <family val="3"/>
        <charset val="128"/>
        <scheme val="minor"/>
      </rPr>
      <t>※</t>
    </r>
    <rPh sb="0" eb="2">
      <t>コクサイ</t>
    </rPh>
    <rPh sb="2" eb="4">
      <t>ニホン</t>
    </rPh>
    <rPh sb="4" eb="6">
      <t>ガクブ</t>
    </rPh>
    <phoneticPr fontId="1"/>
  </si>
  <si>
    <r>
      <t>工学部</t>
    </r>
    <r>
      <rPr>
        <vertAlign val="superscript"/>
        <sz val="12"/>
        <color theme="1"/>
        <rFont val="ＭＳ Ｐゴシック"/>
        <family val="3"/>
        <charset val="128"/>
        <scheme val="minor"/>
      </rPr>
      <t>※</t>
    </r>
    <rPh sb="0" eb="3">
      <t>コウガクブ</t>
    </rPh>
    <phoneticPr fontId="1"/>
  </si>
  <si>
    <t>　文系・理系を問わず、これからの時代を生きるうえで最重要の知識・スキルである数理・データサイエンス・ＡＩに関する基礎知識を理解し、データの活用によって人々の役に立ち、社会を変革する考え方を学び、データを活用した説得力のあるコミュニケーション能力を身に付ける。</t>
  </si>
  <si>
    <t>（１）現在進行中の社会変化（第４次産業革命、Society 5.0、データ駆動型社会等）に深く寄与しているものであり、それが自らの生活と密接に結びついている</t>
    <phoneticPr fontId="1"/>
  </si>
  <si>
    <t xml:space="preserve">データサイエンス推進協議会（申請時現在）
代表　林　  憲玉　（副学長 / 工学部教授）
幹事　秋吉 政徳　（情報学部設置準備委員会委員長 / 工学部教授）
幹事　西野 晃徳　（共通教養教育センター副所長 / 工学部准教授）
　　　　山崎 友彰　（経営学部准教授）
　　　　兵頭 　 昌　（経済学部准教授）
　　　　森田 麻登　（人間科学部助教）
　　　　斉藤 和巳　（情報学部設置準備委員会委員 / 理学部教授）
　　　　松澤 和光　（工学部教授 / 「教養データサイエンス」授業担当）
　　　　片桐 英樹　（工学部教授）
</t>
    <rPh sb="8" eb="10">
      <t>スイシン</t>
    </rPh>
    <rPh sb="10" eb="13">
      <t>キョウギカイ</t>
    </rPh>
    <rPh sb="21" eb="23">
      <t>ダイヒョウ</t>
    </rPh>
    <rPh sb="45" eb="47">
      <t>カンジ</t>
    </rPh>
    <rPh sb="59" eb="61">
      <t>セッチ</t>
    </rPh>
    <rPh sb="61" eb="63">
      <t>ジュンビ</t>
    </rPh>
    <rPh sb="63" eb="66">
      <t>イインカイ</t>
    </rPh>
    <rPh sb="66" eb="68">
      <t>イイン</t>
    </rPh>
    <rPh sb="68" eb="69">
      <t>チョウ</t>
    </rPh>
    <rPh sb="79" eb="81">
      <t>カンジ</t>
    </rPh>
    <phoneticPr fontId="1"/>
  </si>
  <si>
    <t>プログラムを構成する「FYS」（初年次教育科目）及び「教養データサイエンス」（計２科目４単位）を修得すること。</t>
    <phoneticPr fontId="1"/>
  </si>
  <si>
    <t>　2019年６月に政府はＡＩ戦略2019を発表し、デジタル社会の「読み・書き・そろばん」である「数理・データサイエンス・ＡＩ」の基礎などの必要な力を全ての国民が育むべきだとしている。数理・データサイエンス・ＡＩに関する知識及び技術については、データサイエンスを取り巻く社会情勢の中で、本学として当該分野の教育研究を急ぎ推進する必要性があるものと考える。また、本学の魅力の一つとして学内外に継続的な発信を行うためにも、全学的に協議、推進する母体組織として「データサイエンス推進協議会」を設置する。</t>
    <phoneticPr fontId="1"/>
  </si>
  <si>
    <t xml:space="preserve">　履修要覧や大学公式Ｗｅｂサイトにて本プログラムの目的、履修者の到達目標等の詳細を明示している。また、履修要覧配付時に本プログラムの詳細を示したチラシを同封し、学生用ポータルサイトを通じて周知もしている。
</t>
    <phoneticPr fontId="1"/>
  </si>
  <si>
    <t>（４）活用に当たっての様々な留意事項（ELSI、個人情報、データ倫理、ＡＩ社会原則等）を考慮し、情報セキュリティや情報漏洩等、データを守る上での留意事項への理解をする</t>
    <phoneticPr fontId="1"/>
  </si>
  <si>
    <t>　「教養データサイエンス」では、個別の専門用語の断片的な知識ではなく、身近な例を基に技術や社会の大きな流れを把握できる授業構成となっており、基礎的な事項から履修者が参考書やインターネットを活用して積極的に知識の習得ができるよう授業が展開されている。また、授業動画をオンデマンド配信しており、受講生はいつでも・どこからでも授業内容を振り返ることができ、履修者が自身で知識・理解度を深める機会を提供している。
　また「FYS」（初年次教育科目）では、学部ごとにクラスを編成し、少人数制の授業を対面授業形式で実施している。授業内容だけではなく、授業における他の履修者とのコミュニケーションや繋がりの機会を多くつくることで、授業の学ぶ楽しさ、さらにはデータサイエンスに必要な素養だけでなく、大学で学ぶ意義を創出している。</t>
    <phoneticPr fontId="1"/>
  </si>
  <si>
    <t xml:space="preserve">　⑧のとおり、本プログラム対象科目の２科目は、いずれも全学対象の共通教養科目として各キャンパスで開講している。文系・理系を問わず、これからの時代を生きる上で必須の知識が理解できるだけではなく、データをどう活用すれば人々の役に立ち社会を変革していけるか、基礎となる考え方を身に付けることを目的に、これらを科学技術の専門に偏ることなくどの分野の学生にも分かりやすい授業内容として構成している。
　また、各キャンパスにて対面とオンラインでの実施形態を確保し、履修者が履修方法を時間割によって選択ができるよう考慮している。なお、いずれの履修者もオンデマンドで受講することも可能としている。
</t>
    <phoneticPr fontId="1"/>
  </si>
  <si>
    <t>　年次進行中の収容定員に対する履修率については、以下の履修者数の実績及び目標に基づくものとする。
　令和４年度　2,081名（実績）
　令和５年度　2,200名
　令和６年度　2,300名
　令和７年度　2,400名
　令和８年度  2,500名
　目標を実現するために、以下のような取組を実施・計画している。
　本プログラム対象科目の２科目は、いずれも全学対象の共通教養科目として主に１年次を対象に開講しており、当該対象年次の学生数に対する履修率が少なくとも50％を達成するよう必要なコマ数を配置のうえ時間割編成を行っている。
　なお、履修者との交流を充実させるため、対面での質問受付コーナー（ヘルプデスク）を開設する予定である。
　また、本プログラムの学修の成果を可視化し、自身のキャリア等の証明として活用できるよう、修了者に対する電子証明書「オープンバッジ（オープンバッジネットワーク財団）」の発行を予定している。</t>
    <rPh sb="1" eb="3">
      <t>ネンジ</t>
    </rPh>
    <rPh sb="3" eb="6">
      <t>シンコウチュウ</t>
    </rPh>
    <rPh sb="7" eb="9">
      <t>シュウヨウ</t>
    </rPh>
    <rPh sb="9" eb="11">
      <t>テイイン</t>
    </rPh>
    <rPh sb="12" eb="13">
      <t>タイ</t>
    </rPh>
    <rPh sb="15" eb="17">
      <t>リシュウ</t>
    </rPh>
    <rPh sb="17" eb="18">
      <t>リツ</t>
    </rPh>
    <rPh sb="24" eb="26">
      <t>イカ</t>
    </rPh>
    <rPh sb="27" eb="29">
      <t>リシュウ</t>
    </rPh>
    <rPh sb="29" eb="30">
      <t>シャ</t>
    </rPh>
    <rPh sb="30" eb="31">
      <t>スウ</t>
    </rPh>
    <rPh sb="32" eb="34">
      <t>ジッセキ</t>
    </rPh>
    <rPh sb="34" eb="35">
      <t>オヨ</t>
    </rPh>
    <rPh sb="36" eb="38">
      <t>モクヒョウ</t>
    </rPh>
    <rPh sb="39" eb="40">
      <t>モト</t>
    </rPh>
    <rPh sb="63" eb="65">
      <t>ジッセキ</t>
    </rPh>
    <rPh sb="209" eb="211">
      <t>トウガイ</t>
    </rPh>
    <rPh sb="211" eb="213">
      <t>タイショウ</t>
    </rPh>
    <rPh sb="213" eb="215">
      <t>ネンジ</t>
    </rPh>
    <phoneticPr fontId="1"/>
  </si>
  <si>
    <t>　教務システムによりクラスごとの履修者数を把握できる。また、対面授業では出席管理システムにおいて、オンライン授業では接続記録において、出席者数を把握し、最終的にはオンデンマンド受講者の視聴記録を加えることで各回の出席者も把握できている。
　履修状況について、プログラム修得要件科目２科目のうち「FYS」（初年次教育科目）は全学的な必修科目のため、入学者全員が履修している。
　また、選択科目となる「教養データサイエンス」は、全学対象の共通教養科目として主に１年次を対象に開講しているが、履修者は、全学部にわたって分布しており、学部又は学科の違いによる大きな偏りもなく、履修対象年次の学生のうち半数近くが履修している。なお、単位修得状況についても、一部演習問題の提出不足による不合格者が見られるものの、文系・理系を問わず、科学技術に関する予備知識や数理的科目の学習経験が無くても理解できる内容で授業を構成しているため、学部又は学科による偏りは見られない。</t>
    <rPh sb="350" eb="352">
      <t>ブンケイ</t>
    </rPh>
    <rPh sb="353" eb="355">
      <t>リケイ</t>
    </rPh>
    <rPh sb="356" eb="357">
      <t>ト</t>
    </rPh>
    <phoneticPr fontId="1"/>
  </si>
  <si>
    <t>　「教養データサイエンス」では、LMSによる毎回の演習課題の提出時に自由記述欄を設けており、出席者の半数程度からの書き込みを確認できている。そのほとんどの履修者から「分かりやすい」「役に立つ」「面白い」とのコメントが確認されており、授業内容への理解度の高さが窺える。
　また「FYS」（初年次教育科目）では、毎年度実施する授業アンケートの集計結果を教員間で共有している。自由記述回答において「知らなかったでは済まされないことが学べた」などの意見もあり、クラス単位での少人数制の授業実施であることからも、授業への理解度を向上するための授業体制を整備している。</t>
    <rPh sb="46" eb="49">
      <t>シュッセキシャ</t>
    </rPh>
    <phoneticPr fontId="1"/>
  </si>
  <si>
    <t>　本プログラムは、令和４年度入学者から適用するものとして開設しているため、本プログラムを修了した卒業生はいないが、今後、就職課が実施する「最終進路確認票（卒業生調査）」での回答結果から、本プログラム修了者の進路先を確認し、進路先での活躍や評価を調査するための仕組みづくりを検討することになっている。</t>
    <rPh sb="1" eb="2">
      <t>ホン</t>
    </rPh>
    <phoneticPr fontId="1"/>
  </si>
  <si>
    <t xml:space="preserve">　本プログラムは、令和４年度入学者から適用するものとして開設しているため、産業界等の外部から評価を得られる段階ではないが、今後は外部の大学評価委員による評価の機会を含めて提言を得るものとし、本プログラムの内容等の改善に活かしていくことが望まれる。
</t>
    <rPh sb="1" eb="2">
      <t>ホン</t>
    </rPh>
    <phoneticPr fontId="1"/>
  </si>
  <si>
    <t>　プログラム修得要件科目の「教養データサイエンス」では、文系・理系を問わず、科学技術に関する予備知識や数理的科目の学習経験が無くても理解できる内容で授業を構成するとともに、授業毎に前回の授業の振り返りのための時間を設けている。さらに、授業の動画、授業資料を学内LMSに掲載し、何度でも授業内容の復習を可能にすることで、できる限り多くの履修者が科目の修得ができるような仕組みをつくっている。
　また、もう一方のプログラム修得要件科目「FYS」（初年次教育科目）では、学部ごとにクラスを編成し、少人数体制で授業を実施することでより細やかな履修・学修指導体制を整えるとともに、本学独自の初年次ゼミナールテキストにて、本申請書の様式１で示したプログラム構成に必要な要素を大学生活における他の重要な事項とともに展開している。
　なお、オンライン授業をするための授業環境整備として、遠隔授業用の教室を学内に設けている。</t>
    <phoneticPr fontId="1"/>
  </si>
  <si>
    <t>　本プログラムは令和４年度から開設し、新設科目である「教養データサイエンス」は主に１年次を対象に開講しており、当該対象年次の学生数に対する履修率が少なくとも50％を達成するように必要なコマ数を配置のうえ時間割編成を行っている。履修者数は概ね確保できたものと考えられる。
　今後は、履修者との交流を充実させるため、対面での質問受付コーナー（ヘルプデスク）の開設や、プログラム修了者に対する電子証明書「オープンバッジ（オープンバッジネットワーク財団）」の発行の準備を予定しており、履修率向上に向けた取組を行っている。</t>
    <rPh sb="39" eb="40">
      <t>オモ</t>
    </rPh>
    <phoneticPr fontId="1"/>
  </si>
  <si>
    <t>　「教養データサイエンス」　では、文系・理系を問わず、科学技術に関する予備知識や数理的科目の学習経験が無くても理解できるよう、身近な例を基に分かりやすく丁寧な説明をするための資料で授業を実施している。さらに授業ごとに前回の授業内容を振り返る時間を設け知識の定着を促すとともに、履修者のコメントを共有することで、他の履修者の疑問等からも自身の知識・理解度を客観的に知ることができ、自身の学修成果を把握する工夫の一つとなっている。
　また「FYS」（初年次教育科目）では、学部ごとにクラスを編成し、少人数制の授業実施をすることで、授業担当者と履修者、履修者同士のコミュニケーション（アクティブラーニング）が容易にでき、授業内容の理解度や向上していることが窺える。クラス毎のGPCA（Grade Point Class Average）や授業アンケートの集計結果を教員間で共有し、授業内容や成績評価の水準を維持している。</t>
    <phoneticPr fontId="1"/>
  </si>
  <si>
    <t>　「教養データサイエンス」では、最終回の授業時にLMSを通じて「改善点など率直な感想」を全員に確認しているが、改善を求められた内容はごく少数であり、ほとんどは絶賛に値する内容であることから、後輩等の他の学生への推奨度は高いことが窺える。
　さらに「FYS」（初年次教育科目）については、毎年度実施する授業アンケートにおいて、授業の他の学生への推奨度と関連した設問として「この授業を履修して良かったと思いますか」があり、「とてもそう思う」「そう思う」と回答した者が78.8％であった。自由記述回答においては「苦手だったパソコンの使い方に慣れることができてよかった」などの意見があり、データサイエンスに必要な情報リテラシーの要素と大学生活を向上するための要素が相関し、他の授業への橋渡しの役割を担う科目となっているものと理解できる。</t>
    <phoneticPr fontId="1"/>
  </si>
  <si>
    <t>⑩ プログラムを構成する授業の内容</t>
    <phoneticPr fontId="1"/>
  </si>
  <si>
    <t xml:space="preserve">・ビッグデータ、IoT、AI、ロボット「教養データサイエンス」（１・２・３回目）
・データ量の増加、計算機の処理性能の向上、AIの非連続的進化「教養データサイエンス」（２・３回目）
・第4次産業革命、Society 5.0、データ駆動型社会「教養データサイエンス」（２回目）
・複数技術を組み合わせたAIサービス「教養データサイエンス」（８回目）
・人間の知的活動とAIの関係性「教養データサイエンス」（２・３回目）
・データを起点としたものの見方、人間の知的活動を起点としたものの見方（１・２回目）
</t>
    <rPh sb="20" eb="22">
      <t>キョウヨウ</t>
    </rPh>
    <rPh sb="37" eb="38">
      <t>カイ</t>
    </rPh>
    <rPh sb="38" eb="39">
      <t>メ</t>
    </rPh>
    <rPh sb="170" eb="172">
      <t>カイメ</t>
    </rPh>
    <rPh sb="242" eb="243">
      <t>カタ</t>
    </rPh>
    <rPh sb="247" eb="249">
      <t>カイメ</t>
    </rPh>
    <phoneticPr fontId="1"/>
  </si>
  <si>
    <t xml:space="preserve">・AI等を活用した新しいビジネスモデル(シェアリングエコノミー、商品のレコメンデーションなど)「教養データサイエンス」（８・１３回目）
・AI最新技術の活用例（深層生成モデル、敵対的生成ネットワーク、強化学習、転移学習など）「教養データサイエンス」（１３回目）
</t>
    <rPh sb="64" eb="65">
      <t>カイ</t>
    </rPh>
    <phoneticPr fontId="1"/>
  </si>
  <si>
    <t xml:space="preserve">・調査データ、実験データ、人の行動ログデータ、機械の稼働ログデータなど「教養データサイエンス」（７・８回目）
・構造化データ、非構造化データ（文章、画像/動画、音声/音楽など）「教養データサイエンス」（２・８回目）
・データ作成（ビッグデータとアノテーション）「教養データサイエンス」（２・３回目）
・データのオープン化（オープンデータ）「教養データサイエンス」（１２回目）
</t>
    <rPh sb="51" eb="53">
      <t>カイメ</t>
    </rPh>
    <rPh sb="184" eb="186">
      <t>カイメ</t>
    </rPh>
    <phoneticPr fontId="1"/>
  </si>
  <si>
    <t xml:space="preserve">・データ・AI活用領域の広がり(生産、消費、文化活動など)「教養データサイエンス」（３・１２・１３回目）
・研究開発、調達、製造、物流、販売、マーケティング、サービスなど「教養データサイエンス」（２・３・８回目）
・仮説検証、知識発見、原因究明、計画策定、判断支援、活動代替、新規生成など「教養データサイエンス」（９・１０回目）
</t>
    <rPh sb="161" eb="163">
      <t>カイメ</t>
    </rPh>
    <phoneticPr fontId="1"/>
  </si>
  <si>
    <t xml:space="preserve">・ELSI（Ethical, Legal and Social Issues）「教養データサイエンス」（１１回目）
・個人情報保護、EU一般データ保護規則(GDPR)、忘れられる権利、オプトアウト「ＦＹＳ」（４回目）・「教養データサイエンス」（１１回目）
・データ倫理：データのねつ造、改ざん、盗用、プライバシー保護「ＦＹＳ」（４回目）・「教養データサイエンス」（１１回目）
・AI社会原則（公平性、説明責任、透明性、人間中心の判断）「教養データサイエンス」（１１回目）
・データバイアス、アルゴリズムバイアス「教養データサイエンス」（１１回目）
・AIサービスの責任論「教養データサイエンス」（１１回目）
・データ・AI活用における負の事例紹介「教養データサイエンス」（１１回目）
</t>
    <rPh sb="165" eb="167">
      <t>カイメ</t>
    </rPh>
    <phoneticPr fontId="1"/>
  </si>
  <si>
    <t xml:space="preserve">・情報セキュリティ：機密性、完全性、可用性「教養データサイエンス」（１２回目）
・匿名加工情報、暗号化、パスワード、悪意ある情報搾取「教養データサイエンス」（１２回目）
・情報漏洩等によるセキュリティ事故の事例紹介「ＦＹＳ」（４回目）・「教養データサイエンス」（１２回目）
</t>
    <phoneticPr fontId="1"/>
  </si>
  <si>
    <t xml:space="preserve">・データの種類（量的変数、質的変数）「教養データサイエンス」（４回目）
・データの分布(ヒストグラム)と代表値（平均値、中央値、最頻値）「教養データサイエンス」（４回目）
・代表値の性質の違い（実社会では平均値＝最頻値でないことが多い）「教養データサイエンス」（４・９回目）
・データのばらつき（分散、標準偏差、偏差値）「教養データサイエンス」（４・９回目）
・観測データに含まれる誤差の扱い「教養データサイエンス」（４回目）
・打ち切りや脱落を含むデータ、層別の必要なデータ「教養データサイエンス」（４回目）
・相関と因果（相関係数、擬似相関、交絡）「教養データサイエンス」（５・９回目）
・母集団と標本抽出（国勢調査、アンケート調査、全数調査、単純無作為抽出、層別抽出、多段抽出）「教養データサイエンス」（７回目）
・統計情報の正しい理解（誇張表現に惑わされない）「教養データサイエンス」（５・９・１０回目）
</t>
    <rPh sb="356" eb="357">
      <t>カイ</t>
    </rPh>
    <rPh sb="357" eb="358">
      <t>メ</t>
    </rPh>
    <phoneticPr fontId="1"/>
  </si>
  <si>
    <t xml:space="preserve">・データ表現（棒グラフ、折線グラフ、散布図、ヒートマップ）「教養データサイエンス」（５・６・９・１０回目）
・データの図表表現（チャート化）「教養データサイエンス」（６回目）
・不適切なグラフ表現（チャートジャンク、不必要な視覚的要素）「教養データサイエンス」（６回目）
・優れた可視化事例の紹介（可視化することによって新たな気づきがあった事例など）「教養データサイエンス」（６・９・１０回目）
</t>
    <phoneticPr fontId="1"/>
  </si>
  <si>
    <t xml:space="preserve">・データの集計（和、平均）「教養データサイエンス」（６回目）
・データ解析ツール（スプレッドシート）「教養データサイエンス」（６・７・８・９回目）
・表形式のデータ（csv）「教養データサイエンス」（６回目）
</t>
    <phoneticPr fontId="1"/>
  </si>
  <si>
    <t xml:space="preserve">・データ解析：予測、グルーピング、パターン発見、最適化、シミュレーション・データ同化など「教養データサイエンス」（７回目）
・データ可視化：複合グラフ、2軸グラフ、多次元の可視化、関係性の可視化、地図上の可視化、挙動・軌跡の可視化、リアルタイム可視化など「教養データサイエンス」（６回目）
・非構造化データ処理：言語処理、画像/動画処理、音声/音楽処理など「教養データサイエンス」（３・８回目）
・特化型AIと汎用AI、今のAIで出来ることと出来ないこと、AIとビッグデータ「教養データサイエンス」（３・１３回目）
・認識技術、ルールベース、自動化技術「教養データサイエンス」（３回目）
</t>
    <rPh sb="194" eb="196">
      <t>カイメ</t>
    </rPh>
    <rPh sb="254" eb="256">
      <t>カイメ</t>
    </rPh>
    <phoneticPr fontId="1"/>
  </si>
  <si>
    <t xml:space="preserve">・データサイエンスのサイクル（課題抽出と定式化、データの取得・管理・加工、探索的データ解析、データ解析と推論、結果の共有・伝達、課題解決に向けた提案）「教養データサイエンス」（７・９回目）
・流通、製造、金融、サービス、インフラ、公共、ヘルスケア等におけるデータ・AI利活用事例紹介「教養データサイエンス」（８・１０回目）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</si>
</sst>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z val="12"/>
      <color rgb="FFFF0000"/>
      <name val="ＭＳ Ｐゴシック"/>
      <family val="3"/>
      <charset val="128"/>
      <scheme val="minor"/>
    </font>
    <font>
      <sz val="12"/>
      <color rgb="FFFF0000"/>
      <name val="ＭＳ Ｐゴシック"/>
      <family val="2"/>
      <charset val="128"/>
      <scheme val="minor"/>
    </font>
    <font>
      <sz val="11"/>
      <color rgb="FFFF0000"/>
      <name val="ＭＳ Ｐゴシック"/>
      <family val="3"/>
      <charset val="128"/>
      <scheme val="minor"/>
    </font>
    <font>
      <u/>
      <sz val="11"/>
      <color theme="10"/>
      <name val="ＭＳ Ｐゴシック"/>
      <family val="2"/>
      <charset val="128"/>
      <scheme val="minor"/>
    </font>
    <font>
      <u/>
      <sz val="11"/>
      <color rgb="FFFF0000"/>
      <name val="ＭＳ Ｐゴシック"/>
      <family val="3"/>
      <charset val="128"/>
      <scheme val="minor"/>
    </font>
    <font>
      <vertAlign val="superscript"/>
      <sz val="12"/>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6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diagonalUp="1">
      <left style="dotted">
        <color auto="1"/>
      </left>
      <right/>
      <top style="thin">
        <color auto="1"/>
      </top>
      <bottom/>
      <diagonal style="dotted">
        <color auto="1"/>
      </diagonal>
    </border>
    <border diagonalUp="1">
      <left style="hair">
        <color auto="1"/>
      </left>
      <right style="thin">
        <color auto="1"/>
      </right>
      <top style="thin">
        <color auto="1"/>
      </top>
      <bottom/>
      <diagonal style="dotted">
        <color auto="1"/>
      </diagonal>
    </border>
    <border diagonalUp="1">
      <left style="dotted">
        <color auto="1"/>
      </left>
      <right/>
      <top style="hair">
        <color auto="1"/>
      </top>
      <bottom style="hair">
        <color auto="1"/>
      </bottom>
      <diagonal style="dotted">
        <color auto="1"/>
      </diagonal>
    </border>
    <border diagonalUp="1">
      <left style="hair">
        <color auto="1"/>
      </left>
      <right style="thin">
        <color auto="1"/>
      </right>
      <top style="hair">
        <color auto="1"/>
      </top>
      <bottom style="hair">
        <color auto="1"/>
      </bottom>
      <diagonal style="dotted">
        <color auto="1"/>
      </diagonal>
    </border>
  </borders>
  <cellStyleXfs count="4">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xf numFmtId="0" fontId="15" fillId="0" borderId="0" applyNumberFormat="0" applyFill="0" applyBorder="0" applyAlignment="0" applyProtection="0">
      <alignment vertical="center"/>
    </xf>
  </cellStyleXfs>
  <cellXfs count="313">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2" xfId="0" applyNumberFormat="1" applyFont="1" applyBorder="1" applyAlignment="1">
      <alignment vertical="center" shrinkToFit="1"/>
    </xf>
    <xf numFmtId="9" fontId="2" fillId="0" borderId="26"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2"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7"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1" xfId="0" applyFont="1" applyBorder="1" applyAlignment="1">
      <alignment horizontal="center" vertical="center"/>
    </xf>
    <xf numFmtId="0" fontId="9" fillId="0" borderId="52" xfId="0" applyFont="1" applyBorder="1" applyAlignment="1">
      <alignment horizontal="center" vertical="center"/>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2"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0" xfId="0" applyFont="1" applyAlignment="1">
      <alignment horizontal="center" vertical="center" shrinkToFit="1"/>
    </xf>
    <xf numFmtId="49" fontId="3" fillId="0" borderId="47" xfId="0" applyNumberFormat="1" applyFont="1" applyBorder="1" applyAlignment="1">
      <alignment horizontal="center" vertical="center"/>
    </xf>
    <xf numFmtId="49" fontId="3" fillId="0" borderId="48"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28" xfId="0" applyNumberFormat="1" applyFont="1" applyBorder="1" applyAlignment="1">
      <alignment horizontal="center" vertical="center"/>
    </xf>
    <xf numFmtId="49" fontId="3" fillId="0" borderId="46" xfId="0" applyNumberFormat="1" applyFont="1" applyBorder="1" applyAlignment="1">
      <alignment horizontal="center" vertical="center"/>
    </xf>
    <xf numFmtId="49" fontId="3" fillId="0" borderId="31"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9"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3" xfId="2" applyFont="1" applyBorder="1" applyAlignment="1">
      <alignment vertical="center" shrinkToFit="1"/>
    </xf>
    <xf numFmtId="38" fontId="2" fillId="0" borderId="29" xfId="2" applyFont="1" applyBorder="1" applyAlignment="1">
      <alignment vertical="center" shrinkToFit="1"/>
    </xf>
    <xf numFmtId="38" fontId="2" fillId="0" borderId="22"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6" xfId="2" applyFont="1" applyBorder="1" applyAlignment="1">
      <alignment vertical="center" shrinkToFit="1"/>
    </xf>
    <xf numFmtId="38" fontId="2" fillId="0" borderId="54" xfId="2" applyFont="1" applyBorder="1" applyAlignment="1">
      <alignment vertical="center" shrinkToFit="1"/>
    </xf>
    <xf numFmtId="38" fontId="2" fillId="0" borderId="31"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5" xfId="2" applyFont="1" applyBorder="1" applyAlignment="1">
      <alignment vertical="center" shrinkToFit="1"/>
    </xf>
    <xf numFmtId="38" fontId="2" fillId="0" borderId="50" xfId="2" applyFont="1" applyBorder="1" applyAlignment="1">
      <alignment vertical="center" shrinkToFit="1"/>
    </xf>
    <xf numFmtId="38" fontId="2" fillId="0" borderId="27" xfId="2" applyFont="1" applyBorder="1" applyAlignment="1">
      <alignment vertical="center" shrinkToFit="1"/>
    </xf>
    <xf numFmtId="38" fontId="2" fillId="0" borderId="25" xfId="2" applyFont="1" applyBorder="1" applyAlignment="1">
      <alignment vertical="center" shrinkToFit="1"/>
    </xf>
    <xf numFmtId="38" fontId="2" fillId="0" borderId="24" xfId="2" applyFont="1" applyBorder="1" applyAlignment="1">
      <alignment vertical="center" shrinkToFit="1"/>
    </xf>
    <xf numFmtId="38" fontId="2" fillId="0" borderId="57" xfId="2" applyFont="1" applyBorder="1" applyAlignment="1">
      <alignment vertical="center" shrinkToFit="1"/>
    </xf>
    <xf numFmtId="38" fontId="2" fillId="0" borderId="32" xfId="2" applyFont="1" applyBorder="1" applyAlignment="1">
      <alignment vertical="center" shrinkToFit="1"/>
    </xf>
    <xf numFmtId="0" fontId="13" fillId="0" borderId="0" xfId="0" applyFont="1">
      <alignment vertical="center"/>
    </xf>
    <xf numFmtId="0" fontId="14" fillId="0" borderId="0" xfId="0" applyFont="1" applyAlignment="1">
      <alignment horizontal="left" vertical="center"/>
    </xf>
    <xf numFmtId="0" fontId="12" fillId="0" borderId="0" xfId="0" applyFont="1">
      <alignment vertical="center"/>
    </xf>
    <xf numFmtId="176" fontId="2" fillId="0" borderId="1" xfId="0" applyNumberFormat="1" applyFont="1" applyFill="1" applyBorder="1" applyAlignment="1">
      <alignment horizontal="center" vertical="center" shrinkToFit="1"/>
    </xf>
    <xf numFmtId="38" fontId="2" fillId="0" borderId="22" xfId="2" applyFont="1" applyFill="1" applyBorder="1" applyAlignment="1">
      <alignment vertical="center" shrinkToFit="1"/>
    </xf>
    <xf numFmtId="0" fontId="12" fillId="0" borderId="0" xfId="0" applyFont="1" applyAlignment="1">
      <alignment horizontal="right" vertical="center"/>
    </xf>
    <xf numFmtId="0" fontId="16" fillId="0" borderId="0" xfId="3" applyFont="1">
      <alignment vertical="center"/>
    </xf>
    <xf numFmtId="0" fontId="2" fillId="0" borderId="0" xfId="0" applyFont="1" applyFill="1">
      <alignment vertical="center"/>
    </xf>
    <xf numFmtId="0" fontId="2" fillId="0" borderId="0" xfId="0" applyFont="1" applyFill="1" applyAlignment="1">
      <alignment horizontal="center" vertical="center"/>
    </xf>
    <xf numFmtId="0" fontId="2" fillId="0" borderId="0" xfId="0" applyFont="1" applyFill="1" applyAlignment="1">
      <alignment horizontal="right" vertical="center"/>
    </xf>
    <xf numFmtId="0" fontId="2" fillId="0" borderId="0" xfId="0" applyFont="1" applyFill="1" applyAlignment="1">
      <alignment horizontal="left" vertical="center"/>
    </xf>
    <xf numFmtId="0" fontId="3" fillId="0" borderId="4" xfId="0" applyFont="1" applyFill="1" applyBorder="1" applyAlignment="1">
      <alignment horizontal="center" vertical="center" shrinkToFit="1"/>
    </xf>
    <xf numFmtId="0" fontId="2" fillId="0" borderId="14" xfId="0" applyFont="1" applyFill="1" applyBorder="1" applyAlignment="1">
      <alignment horizontal="center" vertical="center" shrinkToFit="1"/>
    </xf>
    <xf numFmtId="0" fontId="2" fillId="0" borderId="22" xfId="0" applyFont="1" applyFill="1" applyBorder="1" applyAlignment="1">
      <alignment horizontal="center" vertical="center" shrinkToFit="1"/>
    </xf>
    <xf numFmtId="0" fontId="2" fillId="0" borderId="13" xfId="0" applyFont="1" applyFill="1" applyBorder="1" applyAlignment="1">
      <alignment horizontal="center" vertical="center" shrinkToFit="1"/>
    </xf>
    <xf numFmtId="0" fontId="2" fillId="0" borderId="0" xfId="0" applyFont="1" applyFill="1" applyAlignment="1">
      <alignment vertical="top" wrapText="1"/>
    </xf>
    <xf numFmtId="49" fontId="3" fillId="0" borderId="1" xfId="0" applyNumberFormat="1" applyFont="1" applyFill="1" applyBorder="1" applyAlignment="1">
      <alignment horizontal="center" vertical="center"/>
    </xf>
    <xf numFmtId="0" fontId="2" fillId="0" borderId="39" xfId="0" applyFont="1" applyFill="1" applyBorder="1" applyAlignment="1">
      <alignment horizontal="center" vertical="center" shrinkToFit="1"/>
    </xf>
    <xf numFmtId="0" fontId="2" fillId="0" borderId="0" xfId="0" applyFont="1" applyFill="1" applyAlignment="1">
      <alignment horizontal="center" vertical="center" shrinkToFit="1"/>
    </xf>
    <xf numFmtId="9" fontId="2" fillId="0" borderId="15" xfId="0" applyNumberFormat="1" applyFont="1" applyBorder="1" applyAlignment="1">
      <alignment vertical="center" shrinkToFit="1"/>
    </xf>
    <xf numFmtId="0" fontId="15" fillId="0" borderId="0" xfId="3">
      <alignment vertical="center"/>
    </xf>
    <xf numFmtId="0" fontId="2" fillId="0" borderId="1" xfId="0" applyFont="1" applyFill="1" applyBorder="1" applyAlignment="1">
      <alignment horizontal="center" vertical="center" shrinkToFit="1"/>
    </xf>
    <xf numFmtId="0" fontId="2" fillId="0" borderId="0" xfId="0" applyFont="1" applyAlignment="1">
      <alignment vertical="center" wrapText="1"/>
    </xf>
    <xf numFmtId="0" fontId="2" fillId="0" borderId="0" xfId="0" applyFont="1">
      <alignment vertical="center"/>
    </xf>
    <xf numFmtId="0" fontId="2" fillId="0" borderId="1" xfId="0" applyFont="1" applyFill="1" applyBorder="1" applyAlignment="1">
      <alignment horizontal="center" vertical="center" wrapText="1" shrinkToFit="1"/>
    </xf>
    <xf numFmtId="9" fontId="2" fillId="0" borderId="1" xfId="0" applyNumberFormat="1" applyFont="1" applyFill="1" applyBorder="1" applyAlignment="1">
      <alignment horizontal="center" vertical="center" shrinkToFit="1"/>
    </xf>
    <xf numFmtId="38" fontId="2" fillId="0" borderId="59" xfId="2" applyFont="1" applyBorder="1" applyAlignment="1">
      <alignment vertical="center" shrinkToFit="1"/>
    </xf>
    <xf numFmtId="38" fontId="2" fillId="0" borderId="60" xfId="2" applyFont="1" applyBorder="1" applyAlignment="1">
      <alignment vertical="center" shrinkToFit="1"/>
    </xf>
    <xf numFmtId="38" fontId="2" fillId="0" borderId="61" xfId="2" applyFont="1" applyBorder="1" applyAlignment="1">
      <alignment vertical="center" shrinkToFit="1"/>
    </xf>
    <xf numFmtId="38" fontId="2" fillId="0" borderId="62" xfId="2" applyFont="1" applyBorder="1" applyAlignment="1">
      <alignment vertical="center" shrinkToFit="1"/>
    </xf>
    <xf numFmtId="0" fontId="2" fillId="0" borderId="0" xfId="0" applyFont="1" applyAlignment="1">
      <alignment vertical="center"/>
    </xf>
    <xf numFmtId="0" fontId="11" fillId="0" borderId="0" xfId="0" applyFont="1">
      <alignment vertical="center"/>
    </xf>
    <xf numFmtId="0" fontId="11" fillId="0" borderId="0" xfId="0" applyFont="1" applyAlignment="1">
      <alignment horizontal="right" vertical="center"/>
    </xf>
    <xf numFmtId="0" fontId="11" fillId="0" borderId="1" xfId="0" applyFont="1" applyBorder="1" applyAlignment="1">
      <alignment horizontal="center" vertical="center"/>
    </xf>
    <xf numFmtId="0" fontId="18" fillId="0" borderId="0" xfId="0" applyFont="1" applyAlignment="1">
      <alignment horizontal="center" vertical="center"/>
    </xf>
    <xf numFmtId="0" fontId="11" fillId="0" borderId="0" xfId="0" applyFont="1" applyAlignment="1">
      <alignment horizontal="left" vertical="center"/>
    </xf>
    <xf numFmtId="0" fontId="11" fillId="0" borderId="0" xfId="0" applyFont="1" applyAlignment="1">
      <alignment horizontal="center" vertical="center"/>
    </xf>
    <xf numFmtId="0" fontId="11" fillId="0" borderId="1" xfId="0" applyFont="1" applyBorder="1" applyAlignment="1">
      <alignment horizontal="left" vertical="center" shrinkToFit="1"/>
    </xf>
    <xf numFmtId="0" fontId="19" fillId="0" borderId="0" xfId="0" applyFont="1" applyAlignment="1">
      <alignment vertical="top" wrapText="1"/>
    </xf>
    <xf numFmtId="0" fontId="11" fillId="2" borderId="5" xfId="0" applyFont="1" applyFill="1" applyBorder="1">
      <alignment vertical="center"/>
    </xf>
    <xf numFmtId="0" fontId="19" fillId="2" borderId="0" xfId="0" applyFont="1" applyFill="1" applyAlignment="1">
      <alignment vertical="top" wrapText="1"/>
    </xf>
    <xf numFmtId="0" fontId="19" fillId="2" borderId="10" xfId="0" applyFont="1" applyFill="1" applyBorder="1" applyAlignment="1">
      <alignment vertical="top" wrapText="1"/>
    </xf>
    <xf numFmtId="0" fontId="11" fillId="2" borderId="0" xfId="0" applyFont="1" applyFill="1">
      <alignment vertical="center"/>
    </xf>
    <xf numFmtId="0" fontId="19" fillId="2" borderId="5" xfId="0" applyFont="1" applyFill="1" applyBorder="1" applyAlignment="1">
      <alignment vertical="top" wrapText="1"/>
    </xf>
    <xf numFmtId="0" fontId="19" fillId="2" borderId="11" xfId="0" applyFont="1" applyFill="1" applyBorder="1" applyAlignment="1">
      <alignment vertical="top" wrapText="1"/>
    </xf>
    <xf numFmtId="0" fontId="19" fillId="2" borderId="41" xfId="0" applyFont="1" applyFill="1" applyBorder="1" applyAlignment="1">
      <alignment vertical="top" wrapText="1"/>
    </xf>
    <xf numFmtId="0" fontId="19" fillId="2" borderId="42" xfId="0" applyFont="1" applyFill="1" applyBorder="1" applyAlignment="1">
      <alignment vertical="top" wrapText="1"/>
    </xf>
    <xf numFmtId="0" fontId="19" fillId="2" borderId="41" xfId="0" applyFont="1" applyFill="1" applyBorder="1" applyAlignment="1">
      <alignment vertical="top" shrinkToFit="1"/>
    </xf>
    <xf numFmtId="0" fontId="19" fillId="2" borderId="42" xfId="0" applyFont="1" applyFill="1" applyBorder="1" applyAlignment="1">
      <alignment vertical="top" shrinkToFit="1"/>
    </xf>
    <xf numFmtId="0" fontId="11" fillId="0" borderId="0" xfId="0" applyFont="1" applyAlignment="1">
      <alignment vertical="top" wrapText="1"/>
    </xf>
    <xf numFmtId="0" fontId="2" fillId="0" borderId="0" xfId="0" applyFont="1" applyAlignment="1">
      <alignment vertical="top"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3" xfId="0" applyFont="1" applyBorder="1" applyAlignment="1">
      <alignment vertical="center" shrinkToFit="1"/>
    </xf>
    <xf numFmtId="0" fontId="2" fillId="0" borderId="35"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horizontal="right" vertical="center"/>
    </xf>
    <xf numFmtId="0" fontId="5" fillId="0" borderId="2" xfId="0" applyFont="1" applyFill="1" applyBorder="1" applyAlignment="1">
      <alignment horizontal="center" vertical="center" shrinkToFit="1"/>
    </xf>
    <xf numFmtId="0" fontId="5" fillId="0" borderId="3" xfId="0" applyFont="1" applyFill="1" applyBorder="1" applyAlignment="1">
      <alignment horizontal="center" vertical="center" shrinkToFit="1"/>
    </xf>
    <xf numFmtId="0" fontId="5" fillId="0" borderId="4" xfId="0" applyFont="1" applyFill="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6" xfId="0" applyFont="1" applyBorder="1" applyAlignment="1">
      <alignment horizontal="center"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0" fillId="3" borderId="36" xfId="0" applyFont="1" applyFill="1" applyBorder="1" applyAlignment="1">
      <alignment horizontal="left" vertical="top" wrapText="1" shrinkToFit="1"/>
    </xf>
    <xf numFmtId="0" fontId="20" fillId="3" borderId="37" xfId="0" applyFont="1" applyFill="1" applyBorder="1" applyAlignment="1">
      <alignment horizontal="left" vertical="top" shrinkToFit="1"/>
    </xf>
    <xf numFmtId="0" fontId="20" fillId="3" borderId="38" xfId="0" applyFont="1" applyFill="1" applyBorder="1" applyAlignment="1">
      <alignment horizontal="left" vertical="top" shrinkToFit="1"/>
    </xf>
    <xf numFmtId="0" fontId="20" fillId="3" borderId="35" xfId="0" applyFont="1" applyFill="1" applyBorder="1" applyAlignment="1">
      <alignment horizontal="left" vertical="top" wrapText="1" shrinkToFit="1"/>
    </xf>
    <xf numFmtId="0" fontId="20" fillId="3" borderId="34" xfId="0" applyFont="1" applyFill="1" applyBorder="1" applyAlignment="1">
      <alignment horizontal="left" vertical="top" wrapText="1" shrinkToFit="1"/>
    </xf>
    <xf numFmtId="0" fontId="20" fillId="3" borderId="6" xfId="0" applyFont="1" applyFill="1" applyBorder="1" applyAlignment="1">
      <alignment horizontal="left" vertical="top" wrapText="1" shrinkToFit="1"/>
    </xf>
    <xf numFmtId="0" fontId="20" fillId="3" borderId="12" xfId="0" applyFont="1" applyFill="1" applyBorder="1" applyAlignment="1">
      <alignment horizontal="left" vertical="top" wrapText="1" shrinkToFit="1"/>
    </xf>
    <xf numFmtId="0" fontId="20" fillId="3" borderId="37" xfId="0" applyFont="1" applyFill="1" applyBorder="1" applyAlignment="1">
      <alignment horizontal="left" vertical="top" wrapText="1" shrinkToFit="1"/>
    </xf>
    <xf numFmtId="0" fontId="20" fillId="3" borderId="38" xfId="0" applyFont="1" applyFill="1" applyBorder="1" applyAlignment="1">
      <alignment horizontal="left" vertical="top" wrapText="1" shrinkToFit="1"/>
    </xf>
    <xf numFmtId="0" fontId="20" fillId="3" borderId="19" xfId="0" applyFont="1" applyFill="1" applyBorder="1" applyAlignment="1">
      <alignment vertical="top" wrapText="1" shrinkToFit="1"/>
    </xf>
    <xf numFmtId="0" fontId="20" fillId="3" borderId="20" xfId="0" applyFont="1" applyFill="1" applyBorder="1" applyAlignment="1">
      <alignment vertical="top" wrapText="1" shrinkToFit="1"/>
    </xf>
    <xf numFmtId="0" fontId="20" fillId="3" borderId="18" xfId="0" applyFont="1" applyFill="1" applyBorder="1" applyAlignment="1">
      <alignment vertical="top"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4" xfId="0" applyFont="1" applyBorder="1" applyAlignment="1">
      <alignment vertical="center" wrapText="1"/>
    </xf>
    <xf numFmtId="0" fontId="3" fillId="0" borderId="45" xfId="0" applyFont="1" applyBorder="1" applyAlignment="1">
      <alignment vertical="center" wrapText="1"/>
    </xf>
    <xf numFmtId="0" fontId="3" fillId="0" borderId="30" xfId="0" applyFont="1" applyBorder="1" applyAlignment="1">
      <alignment vertical="center" wrapText="1"/>
    </xf>
    <xf numFmtId="0" fontId="20" fillId="3" borderId="35" xfId="0" applyFont="1" applyFill="1" applyBorder="1" applyAlignment="1">
      <alignment vertical="top" wrapText="1" shrinkToFit="1"/>
    </xf>
    <xf numFmtId="0" fontId="20" fillId="3" borderId="34" xfId="0" applyFont="1" applyFill="1" applyBorder="1" applyAlignment="1">
      <alignment vertical="top" wrapText="1" shrinkToFit="1"/>
    </xf>
    <xf numFmtId="0" fontId="20" fillId="3" borderId="6" xfId="0" applyFont="1" applyFill="1" applyBorder="1" applyAlignment="1">
      <alignment vertical="top" wrapText="1" shrinkToFit="1"/>
    </xf>
    <xf numFmtId="0" fontId="20" fillId="3" borderId="12" xfId="0" applyFont="1" applyFill="1" applyBorder="1" applyAlignment="1">
      <alignment vertical="top" wrapText="1" shrinkToFit="1"/>
    </xf>
    <xf numFmtId="0" fontId="20" fillId="3" borderId="8" xfId="0" applyFont="1" applyFill="1" applyBorder="1" applyAlignment="1">
      <alignment horizontal="left" vertical="top" wrapText="1" shrinkToFit="1"/>
    </xf>
    <xf numFmtId="0" fontId="20" fillId="3" borderId="9" xfId="0" applyFont="1" applyFill="1" applyBorder="1" applyAlignment="1">
      <alignment horizontal="left" vertical="top" wrapText="1"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0" fillId="3" borderId="33" xfId="0" applyFont="1" applyFill="1" applyBorder="1" applyAlignment="1">
      <alignment horizontal="left" vertical="top" wrapText="1" shrinkToFit="1"/>
    </xf>
    <xf numFmtId="0" fontId="2" fillId="0" borderId="3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34" xfId="0" applyFont="1" applyBorder="1" applyAlignment="1">
      <alignment horizontal="center" vertical="center" shrinkToFit="1"/>
    </xf>
    <xf numFmtId="0" fontId="5" fillId="0" borderId="16" xfId="0" applyFont="1" applyBorder="1" applyAlignment="1">
      <alignment horizontal="center" vertical="center"/>
    </xf>
    <xf numFmtId="0" fontId="5" fillId="0" borderId="21"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49"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7" fillId="0" borderId="11" xfId="0" applyFont="1" applyFill="1" applyBorder="1" applyAlignment="1">
      <alignment horizontal="center" vertical="center"/>
    </xf>
    <xf numFmtId="0" fontId="8" fillId="0" borderId="15"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Fill="1" applyBorder="1" applyAlignment="1">
      <alignment horizontal="center" vertical="center"/>
    </xf>
    <xf numFmtId="0" fontId="7" fillId="0" borderId="10" xfId="0" applyFont="1" applyFill="1" applyBorder="1" applyAlignment="1">
      <alignment horizontal="center" vertical="center"/>
    </xf>
    <xf numFmtId="0" fontId="7" fillId="0" borderId="12" xfId="0" applyFont="1" applyFill="1" applyBorder="1" applyAlignment="1">
      <alignment horizontal="center" vertical="center"/>
    </xf>
    <xf numFmtId="0" fontId="7" fillId="0" borderId="15"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Fill="1" applyBorder="1" applyAlignment="1">
      <alignment horizontal="center" vertical="center" wrapText="1" shrinkToFit="1"/>
    </xf>
    <xf numFmtId="9" fontId="2" fillId="0" borderId="1" xfId="0" applyNumberFormat="1" applyFont="1" applyFill="1" applyBorder="1" applyAlignment="1">
      <alignment horizontal="center" vertical="center" shrinkToFit="1"/>
    </xf>
    <xf numFmtId="0" fontId="11" fillId="0" borderId="7" xfId="0" applyFont="1" applyFill="1" applyBorder="1" applyAlignment="1">
      <alignment horizontal="left" vertical="top" wrapText="1"/>
    </xf>
    <xf numFmtId="0" fontId="11" fillId="0" borderId="8" xfId="0" applyFont="1" applyFill="1" applyBorder="1" applyAlignment="1">
      <alignment horizontal="left" vertical="top" wrapText="1"/>
    </xf>
    <xf numFmtId="0" fontId="11" fillId="0" borderId="9" xfId="0" applyFont="1" applyFill="1" applyBorder="1" applyAlignment="1">
      <alignment horizontal="left" vertical="top" wrapText="1"/>
    </xf>
    <xf numFmtId="0" fontId="11" fillId="0" borderId="5" xfId="0" applyFont="1" applyFill="1" applyBorder="1" applyAlignment="1">
      <alignment horizontal="left" vertical="top" wrapText="1"/>
    </xf>
    <xf numFmtId="0" fontId="11" fillId="0" borderId="0" xfId="0" applyFont="1" applyFill="1" applyAlignment="1">
      <alignment horizontal="left" vertical="top" wrapText="1"/>
    </xf>
    <xf numFmtId="0" fontId="11" fillId="0" borderId="10" xfId="0" applyFont="1" applyFill="1" applyBorder="1" applyAlignment="1">
      <alignment horizontal="left" vertical="top" wrapText="1"/>
    </xf>
    <xf numFmtId="0" fontId="11" fillId="0" borderId="11" xfId="0" applyFont="1" applyFill="1" applyBorder="1" applyAlignment="1">
      <alignment horizontal="left" vertical="top" wrapText="1"/>
    </xf>
    <xf numFmtId="0" fontId="11" fillId="0" borderId="6" xfId="0" applyFont="1" applyFill="1" applyBorder="1" applyAlignment="1">
      <alignment horizontal="left" vertical="top" wrapText="1"/>
    </xf>
    <xf numFmtId="0" fontId="11" fillId="0" borderId="12" xfId="0" applyFont="1" applyFill="1" applyBorder="1" applyAlignment="1">
      <alignment horizontal="left" vertical="top" wrapText="1"/>
    </xf>
    <xf numFmtId="0" fontId="11" fillId="0" borderId="7" xfId="0" applyFont="1" applyFill="1" applyBorder="1" applyAlignment="1">
      <alignment vertical="top" wrapText="1" shrinkToFit="1"/>
    </xf>
    <xf numFmtId="0" fontId="11" fillId="0" borderId="8" xfId="0" applyFont="1" applyFill="1" applyBorder="1" applyAlignment="1">
      <alignment vertical="top" wrapText="1" shrinkToFit="1"/>
    </xf>
    <xf numFmtId="0" fontId="11" fillId="0" borderId="9" xfId="0" applyFont="1" applyFill="1" applyBorder="1" applyAlignment="1">
      <alignment vertical="top" shrinkToFit="1"/>
    </xf>
    <xf numFmtId="0" fontId="11" fillId="0" borderId="5" xfId="0" applyFont="1" applyFill="1" applyBorder="1" applyAlignment="1">
      <alignment vertical="top" shrinkToFit="1"/>
    </xf>
    <xf numFmtId="0" fontId="11" fillId="0" borderId="0" xfId="0" applyFont="1" applyFill="1" applyAlignment="1">
      <alignment vertical="top" shrinkToFit="1"/>
    </xf>
    <xf numFmtId="0" fontId="11" fillId="0" borderId="10" xfId="0" applyFont="1" applyFill="1" applyBorder="1" applyAlignment="1">
      <alignment vertical="top" shrinkToFit="1"/>
    </xf>
    <xf numFmtId="0" fontId="11" fillId="0" borderId="11" xfId="0" applyFont="1" applyFill="1" applyBorder="1" applyAlignment="1">
      <alignment vertical="top" shrinkToFit="1"/>
    </xf>
    <xf numFmtId="0" fontId="11" fillId="0" borderId="6" xfId="0" applyFont="1" applyFill="1" applyBorder="1" applyAlignment="1">
      <alignment vertical="top" shrinkToFit="1"/>
    </xf>
    <xf numFmtId="0" fontId="11" fillId="0" borderId="12" xfId="0" applyFont="1" applyFill="1" applyBorder="1" applyAlignment="1">
      <alignment vertical="top" shrinkToFit="1"/>
    </xf>
    <xf numFmtId="0" fontId="2" fillId="0" borderId="0" xfId="0" applyFont="1">
      <alignment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Fill="1" applyBorder="1" applyAlignment="1">
      <alignment horizontal="center" vertical="center" shrinkToFit="1"/>
    </xf>
    <xf numFmtId="0" fontId="2" fillId="0" borderId="3"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2" fillId="0" borderId="7" xfId="0" applyFont="1" applyFill="1" applyBorder="1" applyAlignment="1">
      <alignment vertical="top" wrapText="1" shrinkToFit="1"/>
    </xf>
    <xf numFmtId="0" fontId="2" fillId="0" borderId="8" xfId="0" applyFont="1" applyFill="1" applyBorder="1" applyAlignment="1">
      <alignment vertical="top" wrapText="1" shrinkToFit="1"/>
    </xf>
    <xf numFmtId="0" fontId="2" fillId="0" borderId="9" xfId="0" applyFont="1" applyFill="1" applyBorder="1" applyAlignment="1">
      <alignment vertical="top" shrinkToFit="1"/>
    </xf>
    <xf numFmtId="0" fontId="2" fillId="0" borderId="5" xfId="0" applyFont="1" applyFill="1" applyBorder="1" applyAlignment="1">
      <alignment vertical="top" wrapText="1" shrinkToFit="1"/>
    </xf>
    <xf numFmtId="0" fontId="2" fillId="0" borderId="0" xfId="0" applyFont="1" applyFill="1" applyAlignment="1">
      <alignment vertical="top" wrapText="1" shrinkToFit="1"/>
    </xf>
    <xf numFmtId="0" fontId="2" fillId="0" borderId="10" xfId="0" applyFont="1" applyFill="1" applyBorder="1" applyAlignment="1">
      <alignment vertical="top" shrinkToFit="1"/>
    </xf>
    <xf numFmtId="0" fontId="2" fillId="0" borderId="5" xfId="0" applyFont="1" applyFill="1" applyBorder="1" applyAlignment="1">
      <alignment vertical="top" shrinkToFit="1"/>
    </xf>
    <xf numFmtId="0" fontId="2" fillId="0" borderId="0" xfId="0" applyFont="1" applyFill="1" applyAlignment="1">
      <alignment vertical="top" shrinkToFit="1"/>
    </xf>
    <xf numFmtId="0" fontId="2" fillId="0" borderId="11" xfId="0" applyFont="1" applyFill="1" applyBorder="1" applyAlignment="1">
      <alignment vertical="top" shrinkToFit="1"/>
    </xf>
    <xf numFmtId="0" fontId="2" fillId="0" borderId="6" xfId="0" applyFont="1" applyFill="1" applyBorder="1" applyAlignment="1">
      <alignment vertical="top" shrinkToFit="1"/>
    </xf>
    <xf numFmtId="0" fontId="2" fillId="0" borderId="12" xfId="0" applyFont="1" applyFill="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shrinkToFit="1"/>
    </xf>
    <xf numFmtId="0" fontId="5" fillId="0" borderId="4" xfId="0" applyFont="1" applyBorder="1" applyAlignment="1">
      <alignment horizontal="left" vertical="center" shrinkToFit="1"/>
    </xf>
    <xf numFmtId="0" fontId="10" fillId="0" borderId="2" xfId="0" applyFont="1" applyFill="1" applyBorder="1" applyAlignment="1">
      <alignment horizontal="left" vertical="center" wrapText="1"/>
    </xf>
    <xf numFmtId="0" fontId="10" fillId="0" borderId="4" xfId="0" applyFont="1" applyFill="1" applyBorder="1" applyAlignment="1">
      <alignment horizontal="left" vertical="center"/>
    </xf>
    <xf numFmtId="0" fontId="2" fillId="0" borderId="0" xfId="0" applyFont="1" applyAlignment="1">
      <alignment horizontal="center" vertical="center"/>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11" fillId="0" borderId="6" xfId="0" applyFont="1" applyFill="1" applyBorder="1" applyAlignment="1">
      <alignment vertical="top" wrapText="1" shrinkToFit="1"/>
    </xf>
    <xf numFmtId="0" fontId="11" fillId="0" borderId="12" xfId="0" applyFont="1" applyFill="1" applyBorder="1" applyAlignment="1">
      <alignment vertical="top" wrapText="1" shrinkToFit="1"/>
    </xf>
    <xf numFmtId="0" fontId="11" fillId="0" borderId="17" xfId="0" applyFont="1" applyBorder="1" applyAlignment="1">
      <alignment vertical="center" wrapText="1"/>
    </xf>
    <xf numFmtId="0" fontId="11" fillId="0" borderId="18" xfId="0" applyFont="1" applyBorder="1" applyAlignment="1">
      <alignment vertical="center" wrapText="1"/>
    </xf>
    <xf numFmtId="0" fontId="11" fillId="0" borderId="20" xfId="0" applyFont="1" applyFill="1" applyBorder="1" applyAlignment="1">
      <alignment vertical="top" wrapText="1" shrinkToFit="1"/>
    </xf>
    <xf numFmtId="0" fontId="11" fillId="0" borderId="18" xfId="0" applyFont="1" applyFill="1" applyBorder="1" applyAlignment="1">
      <alignment vertical="top" wrapText="1" shrinkToFit="1"/>
    </xf>
    <xf numFmtId="0" fontId="11" fillId="0" borderId="58" xfId="0" applyFont="1" applyBorder="1" applyAlignment="1">
      <alignment vertical="center" wrapText="1"/>
    </xf>
    <xf numFmtId="0" fontId="11" fillId="0" borderId="38" xfId="0" applyFont="1" applyBorder="1" applyAlignment="1">
      <alignment vertical="center" wrapText="1"/>
    </xf>
    <xf numFmtId="0" fontId="11" fillId="0" borderId="37" xfId="0" applyFont="1" applyFill="1" applyBorder="1" applyAlignment="1">
      <alignment vertical="top" wrapText="1" shrinkToFit="1"/>
    </xf>
    <xf numFmtId="0" fontId="11" fillId="0" borderId="38" xfId="0" applyFont="1" applyFill="1" applyBorder="1" applyAlignment="1">
      <alignment vertical="top" wrapText="1" shrinkToFit="1"/>
    </xf>
    <xf numFmtId="0" fontId="11" fillId="0" borderId="40" xfId="0" applyFont="1" applyBorder="1" applyAlignment="1">
      <alignment vertical="center" wrapText="1"/>
    </xf>
    <xf numFmtId="0" fontId="11" fillId="0" borderId="41" xfId="0" applyFont="1" applyBorder="1" applyAlignment="1">
      <alignment vertical="center" wrapText="1"/>
    </xf>
    <xf numFmtId="0" fontId="11" fillId="0" borderId="42" xfId="0" applyFont="1" applyBorder="1" applyAlignment="1">
      <alignment vertical="center" wrapText="1"/>
    </xf>
    <xf numFmtId="0" fontId="11" fillId="0" borderId="41" xfId="0" applyFont="1" applyBorder="1" applyAlignment="1">
      <alignment vertical="top" wrapText="1" shrinkToFit="1"/>
    </xf>
    <xf numFmtId="0" fontId="11" fillId="0" borderId="42" xfId="0" applyFont="1" applyBorder="1" applyAlignment="1">
      <alignment vertical="top" wrapText="1" shrinkToFit="1"/>
    </xf>
    <xf numFmtId="0" fontId="11" fillId="0" borderId="19" xfId="0" applyFont="1" applyFill="1" applyBorder="1" applyAlignment="1">
      <alignment vertical="top" wrapText="1" shrinkToFit="1"/>
    </xf>
    <xf numFmtId="0" fontId="11" fillId="0" borderId="19" xfId="0" applyFont="1" applyBorder="1" applyAlignment="1">
      <alignment vertical="top" wrapText="1" shrinkToFi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11" fillId="0" borderId="36" xfId="0" applyFont="1" applyFill="1" applyBorder="1" applyAlignment="1">
      <alignment vertical="top" wrapText="1" shrinkToFit="1"/>
    </xf>
    <xf numFmtId="0" fontId="11" fillId="0" borderId="17" xfId="0" applyFont="1" applyBorder="1">
      <alignment vertical="center"/>
    </xf>
    <xf numFmtId="0" fontId="20" fillId="0" borderId="18" xfId="0" applyFont="1" applyBorder="1">
      <alignment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cellXfs>
  <cellStyles count="4">
    <cellStyle name="パーセント" xfId="1" builtinId="5"/>
    <cellStyle name="ハイパーリンク" xfId="3" builtinId="8"/>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zoomScaleNormal="100" zoomScaleSheetLayoutView="100" workbookViewId="0"/>
  </sheetViews>
  <sheetFormatPr defaultColWidth="9" defaultRowHeight="18.75" customHeight="1" x14ac:dyDescent="0.15"/>
  <cols>
    <col min="1" max="1" width="2.5" style="1" customWidth="1"/>
    <col min="2" max="2" width="16.5" style="1" customWidth="1"/>
    <col min="3" max="6" width="5.625" style="1" customWidth="1"/>
    <col min="7" max="7" width="5.625" style="74" customWidth="1"/>
    <col min="8" max="19" width="5.625" style="1" customWidth="1"/>
    <col min="20" max="20" width="90.5" style="1" customWidth="1"/>
    <col min="21" max="21" width="3.625" style="1" customWidth="1"/>
    <col min="22" max="22" width="48.625" style="1" customWidth="1"/>
    <col min="23" max="16384" width="9" style="1"/>
  </cols>
  <sheetData>
    <row r="1" spans="1:22" ht="18.600000000000001" customHeight="1" x14ac:dyDescent="0.15">
      <c r="R1" s="137" t="s">
        <v>12</v>
      </c>
      <c r="S1" s="137"/>
      <c r="T1" s="2" t="s">
        <v>108</v>
      </c>
    </row>
    <row r="2" spans="1:22" ht="18.75" customHeight="1" x14ac:dyDescent="0.15">
      <c r="B2" s="32" t="s">
        <v>107</v>
      </c>
      <c r="C2" s="130" t="s">
        <v>124</v>
      </c>
      <c r="D2" s="131"/>
      <c r="E2" s="131"/>
      <c r="F2" s="131"/>
      <c r="G2" s="131"/>
      <c r="H2" s="131"/>
      <c r="I2" s="132"/>
      <c r="J2" s="33"/>
      <c r="K2" s="6"/>
      <c r="L2" s="6"/>
      <c r="M2" s="6"/>
      <c r="N2" s="6"/>
      <c r="O2" s="6"/>
      <c r="P2" s="6"/>
      <c r="Q2" s="6"/>
      <c r="R2" s="6"/>
      <c r="S2" s="6"/>
    </row>
    <row r="3" spans="1:22" ht="18.75" customHeight="1" x14ac:dyDescent="0.15">
      <c r="B3" s="32" t="s">
        <v>101</v>
      </c>
      <c r="C3" s="130" t="s">
        <v>125</v>
      </c>
      <c r="D3" s="131"/>
      <c r="E3" s="131"/>
      <c r="F3" s="131"/>
      <c r="G3" s="131"/>
      <c r="H3" s="131"/>
      <c r="I3" s="132"/>
      <c r="J3" s="33"/>
      <c r="K3" s="6"/>
      <c r="L3" s="6"/>
      <c r="M3" s="6"/>
      <c r="N3" s="6"/>
      <c r="O3" s="6"/>
      <c r="P3" s="6"/>
      <c r="Q3" s="6"/>
      <c r="R3" s="6"/>
      <c r="S3" s="6"/>
    </row>
    <row r="4" spans="1:22" ht="15" customHeight="1" x14ac:dyDescent="0.15">
      <c r="K4" s="33"/>
      <c r="L4" s="34"/>
      <c r="M4" s="34"/>
      <c r="N4" s="34"/>
      <c r="O4" s="34"/>
      <c r="P4" s="34"/>
      <c r="Q4" s="34"/>
      <c r="R4" s="34"/>
      <c r="S4" s="34"/>
    </row>
    <row r="5" spans="1:22" ht="18" customHeight="1" x14ac:dyDescent="0.15">
      <c r="A5" s="141" t="s">
        <v>39</v>
      </c>
      <c r="B5" s="141"/>
      <c r="C5" s="141"/>
      <c r="D5" s="141"/>
      <c r="E5" s="141"/>
      <c r="F5" s="141"/>
      <c r="G5" s="141"/>
      <c r="H5" s="141"/>
      <c r="I5" s="141"/>
      <c r="J5" s="141"/>
      <c r="K5" s="141"/>
      <c r="L5" s="141"/>
      <c r="M5" s="141"/>
      <c r="N5" s="141"/>
      <c r="O5" s="141"/>
      <c r="P5" s="141"/>
      <c r="Q5" s="141"/>
      <c r="R5" s="141"/>
      <c r="S5" s="141"/>
    </row>
    <row r="6" spans="1:22" ht="15" customHeight="1" x14ac:dyDescent="0.15">
      <c r="B6" s="3"/>
      <c r="C6" s="3"/>
      <c r="D6" s="3"/>
      <c r="E6" s="3"/>
      <c r="F6" s="3"/>
      <c r="G6" s="75"/>
      <c r="H6" s="3"/>
      <c r="I6" s="3"/>
      <c r="J6" s="3"/>
      <c r="K6" s="3"/>
      <c r="L6" s="3"/>
      <c r="M6" s="3"/>
      <c r="N6" s="3"/>
      <c r="O6" s="3"/>
      <c r="P6" s="3"/>
      <c r="Q6" s="3"/>
      <c r="R6" s="3"/>
      <c r="S6" s="3"/>
    </row>
    <row r="7" spans="1:22" ht="18" customHeight="1" x14ac:dyDescent="0.15">
      <c r="A7" s="1" t="s">
        <v>122</v>
      </c>
      <c r="C7" s="3"/>
      <c r="J7" s="35" t="s">
        <v>106</v>
      </c>
      <c r="K7" s="151" t="s">
        <v>126</v>
      </c>
      <c r="L7" s="152"/>
      <c r="M7" s="152"/>
      <c r="N7" s="152"/>
      <c r="O7" s="152"/>
      <c r="P7" s="152"/>
      <c r="Q7" s="152"/>
      <c r="R7" s="152"/>
      <c r="S7" s="153"/>
    </row>
    <row r="8" spans="1:22" ht="6" customHeight="1" x14ac:dyDescent="0.15">
      <c r="B8" s="3"/>
      <c r="C8" s="3"/>
      <c r="D8" s="3"/>
      <c r="E8" s="3"/>
      <c r="F8" s="3"/>
      <c r="G8" s="75"/>
      <c r="H8" s="3"/>
      <c r="I8" s="3"/>
      <c r="J8" s="3"/>
      <c r="K8" s="10"/>
      <c r="L8" s="3"/>
      <c r="M8" s="3"/>
      <c r="N8" s="3"/>
      <c r="O8" s="3"/>
      <c r="P8" s="3"/>
      <c r="Q8" s="3"/>
      <c r="R8" s="3"/>
      <c r="S8" s="3"/>
    </row>
    <row r="9" spans="1:22" ht="18" customHeight="1" x14ac:dyDescent="0.15">
      <c r="B9" s="118"/>
      <c r="C9" s="119"/>
      <c r="D9" s="119"/>
      <c r="E9" s="119"/>
      <c r="F9" s="119"/>
      <c r="G9" s="119"/>
      <c r="H9" s="119"/>
      <c r="I9" s="119"/>
      <c r="J9" s="119"/>
      <c r="K9" s="119"/>
      <c r="L9" s="119"/>
      <c r="M9" s="119"/>
      <c r="N9" s="119"/>
      <c r="O9" s="119"/>
      <c r="P9" s="119"/>
      <c r="Q9" s="119"/>
      <c r="R9" s="119"/>
      <c r="S9" s="120"/>
    </row>
    <row r="10" spans="1:22" ht="18" customHeight="1" x14ac:dyDescent="0.15">
      <c r="B10" s="121"/>
      <c r="C10" s="122"/>
      <c r="D10" s="122"/>
      <c r="E10" s="122"/>
      <c r="F10" s="122"/>
      <c r="G10" s="122"/>
      <c r="H10" s="122"/>
      <c r="I10" s="122"/>
      <c r="J10" s="122"/>
      <c r="K10" s="122"/>
      <c r="L10" s="122"/>
      <c r="M10" s="122"/>
      <c r="N10" s="122"/>
      <c r="O10" s="122"/>
      <c r="P10" s="122"/>
      <c r="Q10" s="122"/>
      <c r="R10" s="122"/>
      <c r="S10" s="123"/>
    </row>
    <row r="11" spans="1:22" ht="6" customHeight="1" x14ac:dyDescent="0.15">
      <c r="B11" s="3"/>
      <c r="C11" s="3"/>
      <c r="D11" s="3"/>
      <c r="E11" s="3"/>
      <c r="F11" s="3"/>
      <c r="G11" s="75"/>
      <c r="H11" s="3"/>
      <c r="I11" s="3"/>
      <c r="J11" s="3"/>
      <c r="K11" s="10"/>
      <c r="L11" s="3"/>
      <c r="M11" s="3"/>
      <c r="N11" s="3"/>
      <c r="O11" s="3"/>
      <c r="P11" s="3"/>
      <c r="Q11" s="3"/>
      <c r="R11" s="3"/>
      <c r="S11" s="3"/>
    </row>
    <row r="12" spans="1:22" ht="18" customHeight="1" x14ac:dyDescent="0.15">
      <c r="A12" s="1" t="s">
        <v>110</v>
      </c>
      <c r="B12" s="3"/>
      <c r="C12" s="3"/>
      <c r="D12" s="33"/>
      <c r="E12" s="33"/>
      <c r="F12" s="33"/>
      <c r="G12" s="76"/>
      <c r="H12" s="33"/>
      <c r="I12" s="33"/>
      <c r="J12" s="33"/>
      <c r="K12" s="36"/>
      <c r="L12" s="36"/>
      <c r="M12" s="36"/>
      <c r="N12" s="36"/>
      <c r="O12" s="36"/>
      <c r="P12" s="36"/>
      <c r="Q12" s="36"/>
      <c r="R12" s="36"/>
      <c r="S12" s="36"/>
    </row>
    <row r="13" spans="1:22" ht="18" customHeight="1" x14ac:dyDescent="0.15">
      <c r="B13" s="142" t="s">
        <v>155</v>
      </c>
      <c r="C13" s="143"/>
      <c r="D13" s="143"/>
      <c r="E13" s="143"/>
      <c r="F13" s="143"/>
      <c r="G13" s="143"/>
      <c r="H13" s="143"/>
      <c r="I13" s="143"/>
      <c r="J13" s="143"/>
      <c r="K13" s="143"/>
      <c r="L13" s="143"/>
      <c r="M13" s="143"/>
      <c r="N13" s="143"/>
      <c r="O13" s="143"/>
      <c r="P13" s="143"/>
      <c r="Q13" s="143"/>
      <c r="R13" s="143"/>
      <c r="S13" s="144"/>
      <c r="V13" s="1" t="s">
        <v>102</v>
      </c>
    </row>
    <row r="14" spans="1:22" ht="18" customHeight="1" x14ac:dyDescent="0.15">
      <c r="B14" s="145"/>
      <c r="C14" s="146"/>
      <c r="D14" s="146"/>
      <c r="E14" s="146"/>
      <c r="F14" s="146"/>
      <c r="G14" s="146"/>
      <c r="H14" s="146"/>
      <c r="I14" s="146"/>
      <c r="J14" s="146"/>
      <c r="K14" s="146"/>
      <c r="L14" s="146"/>
      <c r="M14" s="146"/>
      <c r="N14" s="146"/>
      <c r="O14" s="146"/>
      <c r="P14" s="146"/>
      <c r="Q14" s="146"/>
      <c r="R14" s="146"/>
      <c r="S14" s="147"/>
      <c r="V14" s="1" t="s">
        <v>109</v>
      </c>
    </row>
    <row r="15" spans="1:22" ht="18" customHeight="1" x14ac:dyDescent="0.15">
      <c r="B15" s="145"/>
      <c r="C15" s="146"/>
      <c r="D15" s="146"/>
      <c r="E15" s="146"/>
      <c r="F15" s="146"/>
      <c r="G15" s="146"/>
      <c r="H15" s="146"/>
      <c r="I15" s="146"/>
      <c r="J15" s="146"/>
      <c r="K15" s="146"/>
      <c r="L15" s="146"/>
      <c r="M15" s="146"/>
      <c r="N15" s="146"/>
      <c r="O15" s="146"/>
      <c r="P15" s="146"/>
      <c r="Q15" s="146"/>
      <c r="R15" s="146"/>
      <c r="S15" s="147"/>
      <c r="V15" s="1" t="s">
        <v>121</v>
      </c>
    </row>
    <row r="16" spans="1:22" ht="18" customHeight="1" x14ac:dyDescent="0.15">
      <c r="B16" s="145"/>
      <c r="C16" s="146"/>
      <c r="D16" s="146"/>
      <c r="E16" s="146"/>
      <c r="F16" s="146"/>
      <c r="G16" s="146"/>
      <c r="H16" s="146"/>
      <c r="I16" s="146"/>
      <c r="J16" s="146"/>
      <c r="K16" s="146"/>
      <c r="L16" s="146"/>
      <c r="M16" s="146"/>
      <c r="N16" s="146"/>
      <c r="O16" s="146"/>
      <c r="P16" s="146"/>
      <c r="Q16" s="146"/>
      <c r="R16" s="146"/>
      <c r="S16" s="147"/>
      <c r="V16" s="1" t="s">
        <v>123</v>
      </c>
    </row>
    <row r="17" spans="1:20" ht="18" customHeight="1" x14ac:dyDescent="0.15">
      <c r="B17" s="145"/>
      <c r="C17" s="146"/>
      <c r="D17" s="146"/>
      <c r="E17" s="146"/>
      <c r="F17" s="146"/>
      <c r="G17" s="146"/>
      <c r="H17" s="146"/>
      <c r="I17" s="146"/>
      <c r="J17" s="146"/>
      <c r="K17" s="146"/>
      <c r="L17" s="146"/>
      <c r="M17" s="146"/>
      <c r="N17" s="146"/>
      <c r="O17" s="146"/>
      <c r="P17" s="146"/>
      <c r="Q17" s="146"/>
      <c r="R17" s="146"/>
      <c r="S17" s="147"/>
    </row>
    <row r="18" spans="1:20" ht="18" customHeight="1" x14ac:dyDescent="0.15">
      <c r="B18" s="148"/>
      <c r="C18" s="149"/>
      <c r="D18" s="149"/>
      <c r="E18" s="149"/>
      <c r="F18" s="149"/>
      <c r="G18" s="149"/>
      <c r="H18" s="149"/>
      <c r="I18" s="149"/>
      <c r="J18" s="149"/>
      <c r="K18" s="149"/>
      <c r="L18" s="149"/>
      <c r="M18" s="149"/>
      <c r="N18" s="149"/>
      <c r="O18" s="149"/>
      <c r="P18" s="149"/>
      <c r="Q18" s="149"/>
      <c r="R18" s="149"/>
      <c r="S18" s="150"/>
    </row>
    <row r="19" spans="1:20" ht="7.5" customHeight="1" x14ac:dyDescent="0.15">
      <c r="B19" s="3"/>
      <c r="C19" s="3"/>
      <c r="D19" s="3"/>
      <c r="E19" s="3"/>
      <c r="F19" s="3"/>
      <c r="G19" s="75"/>
      <c r="H19" s="3"/>
      <c r="I19" s="3"/>
      <c r="J19" s="3"/>
      <c r="K19" s="3"/>
      <c r="L19" s="3"/>
      <c r="M19" s="3"/>
      <c r="N19" s="3"/>
      <c r="O19" s="3"/>
      <c r="P19" s="3"/>
      <c r="Q19" s="3"/>
      <c r="R19" s="3"/>
      <c r="S19" s="3"/>
    </row>
    <row r="20" spans="1:20" ht="19.899999999999999" customHeight="1" x14ac:dyDescent="0.15">
      <c r="B20" s="1" t="s">
        <v>111</v>
      </c>
      <c r="C20" s="130">
        <v>4</v>
      </c>
      <c r="D20" s="132"/>
      <c r="E20" s="37" t="s">
        <v>94</v>
      </c>
      <c r="G20" s="77"/>
      <c r="H20" s="3"/>
      <c r="I20" s="3"/>
      <c r="J20" s="33" t="s">
        <v>119</v>
      </c>
      <c r="K20" s="138" t="s">
        <v>123</v>
      </c>
      <c r="L20" s="139"/>
      <c r="M20" s="139"/>
      <c r="N20" s="139"/>
      <c r="O20" s="139"/>
      <c r="P20" s="139"/>
      <c r="Q20" s="139"/>
      <c r="R20" s="139"/>
      <c r="S20" s="140"/>
      <c r="T20" s="68"/>
    </row>
    <row r="21" spans="1:20" ht="7.5" customHeight="1" x14ac:dyDescent="0.15">
      <c r="B21" s="3"/>
      <c r="C21" s="3"/>
      <c r="D21" s="3"/>
      <c r="E21" s="3"/>
      <c r="F21" s="3"/>
      <c r="G21" s="75"/>
      <c r="H21" s="3"/>
      <c r="I21" s="3"/>
      <c r="J21" s="3"/>
      <c r="K21" s="3"/>
      <c r="L21" s="3"/>
      <c r="M21" s="3"/>
      <c r="N21" s="3"/>
      <c r="O21" s="3"/>
      <c r="P21" s="3"/>
      <c r="Q21" s="3"/>
      <c r="R21" s="3"/>
      <c r="S21" s="3"/>
    </row>
    <row r="22" spans="1:20" ht="18" customHeight="1" x14ac:dyDescent="0.15">
      <c r="A22" s="133" t="s">
        <v>112</v>
      </c>
      <c r="B22" s="133"/>
      <c r="C22" s="133"/>
      <c r="D22" s="133"/>
      <c r="E22" s="133"/>
      <c r="F22" s="133"/>
      <c r="G22" s="133"/>
      <c r="H22" s="133"/>
      <c r="I22" s="133"/>
      <c r="J22" s="133"/>
      <c r="K22" s="133"/>
      <c r="L22" s="133"/>
      <c r="M22" s="133"/>
      <c r="N22" s="133"/>
      <c r="O22" s="133"/>
      <c r="P22" s="133"/>
      <c r="Q22" s="133"/>
      <c r="R22" s="133"/>
      <c r="S22" s="133"/>
    </row>
    <row r="23" spans="1:20" ht="18" customHeight="1" x14ac:dyDescent="0.15">
      <c r="A23" s="133"/>
      <c r="B23" s="133"/>
      <c r="C23" s="133"/>
      <c r="D23" s="133"/>
      <c r="E23" s="133"/>
      <c r="F23" s="133"/>
      <c r="G23" s="133"/>
      <c r="H23" s="133"/>
      <c r="I23" s="133"/>
      <c r="J23" s="133"/>
      <c r="K23" s="133"/>
      <c r="L23" s="133"/>
      <c r="M23" s="133"/>
      <c r="N23" s="133"/>
      <c r="O23" s="133"/>
      <c r="P23" s="133"/>
      <c r="Q23" s="133"/>
      <c r="R23" s="133"/>
      <c r="S23" s="133"/>
    </row>
    <row r="24" spans="1:20" ht="18" customHeight="1" x14ac:dyDescent="0.15">
      <c r="B24" s="130" t="s">
        <v>54</v>
      </c>
      <c r="C24" s="131"/>
      <c r="D24" s="131"/>
      <c r="E24" s="132"/>
      <c r="F24" s="46" t="s">
        <v>79</v>
      </c>
      <c r="G24" s="78" t="s">
        <v>83</v>
      </c>
      <c r="H24" s="20" t="s">
        <v>57</v>
      </c>
      <c r="I24" s="20" t="s">
        <v>60</v>
      </c>
      <c r="J24" s="130" t="s">
        <v>54</v>
      </c>
      <c r="K24" s="131"/>
      <c r="L24" s="131"/>
      <c r="M24" s="131"/>
      <c r="N24" s="131"/>
      <c r="O24" s="132"/>
      <c r="P24" s="46" t="s">
        <v>79</v>
      </c>
      <c r="Q24" s="45" t="s">
        <v>83</v>
      </c>
      <c r="R24" s="20" t="s">
        <v>57</v>
      </c>
      <c r="S24" s="20" t="s">
        <v>60</v>
      </c>
    </row>
    <row r="25" spans="1:20" ht="18" customHeight="1" x14ac:dyDescent="0.15">
      <c r="B25" s="134" t="s">
        <v>127</v>
      </c>
      <c r="C25" s="135"/>
      <c r="D25" s="135"/>
      <c r="E25" s="136"/>
      <c r="F25" s="21">
        <v>2</v>
      </c>
      <c r="G25" s="79" t="s">
        <v>128</v>
      </c>
      <c r="H25" s="21" t="s">
        <v>128</v>
      </c>
      <c r="I25" s="21" t="s">
        <v>128</v>
      </c>
      <c r="J25" s="134"/>
      <c r="K25" s="135"/>
      <c r="L25" s="135"/>
      <c r="M25" s="135"/>
      <c r="N25" s="135"/>
      <c r="O25" s="136"/>
      <c r="P25" s="21"/>
      <c r="Q25" s="21"/>
      <c r="R25" s="21"/>
      <c r="S25" s="21"/>
      <c r="T25" s="68"/>
    </row>
    <row r="26" spans="1:20" ht="18" customHeight="1" x14ac:dyDescent="0.15">
      <c r="B26" s="124"/>
      <c r="C26" s="125"/>
      <c r="D26" s="125"/>
      <c r="E26" s="126"/>
      <c r="F26" s="22"/>
      <c r="G26" s="80"/>
      <c r="H26" s="22"/>
      <c r="I26" s="22"/>
      <c r="J26" s="124"/>
      <c r="K26" s="125"/>
      <c r="L26" s="125"/>
      <c r="M26" s="125"/>
      <c r="N26" s="125"/>
      <c r="O26" s="126"/>
      <c r="P26" s="22"/>
      <c r="Q26" s="22"/>
      <c r="R26" s="22"/>
      <c r="S26" s="22"/>
    </row>
    <row r="27" spans="1:20" ht="18" customHeight="1" x14ac:dyDescent="0.15">
      <c r="B27" s="124"/>
      <c r="C27" s="125"/>
      <c r="D27" s="125"/>
      <c r="E27" s="126"/>
      <c r="F27" s="22"/>
      <c r="G27" s="80"/>
      <c r="H27" s="22"/>
      <c r="I27" s="22"/>
      <c r="J27" s="124"/>
      <c r="K27" s="125"/>
      <c r="L27" s="125"/>
      <c r="M27" s="125"/>
      <c r="N27" s="125"/>
      <c r="O27" s="126"/>
      <c r="P27" s="22"/>
      <c r="Q27" s="22"/>
      <c r="R27" s="22"/>
      <c r="S27" s="22"/>
    </row>
    <row r="28" spans="1:20" ht="18" customHeight="1" x14ac:dyDescent="0.15">
      <c r="B28" s="124"/>
      <c r="C28" s="125"/>
      <c r="D28" s="125"/>
      <c r="E28" s="126"/>
      <c r="F28" s="22"/>
      <c r="G28" s="80"/>
      <c r="H28" s="22"/>
      <c r="I28" s="22"/>
      <c r="J28" s="124"/>
      <c r="K28" s="125"/>
      <c r="L28" s="125"/>
      <c r="M28" s="125"/>
      <c r="N28" s="125"/>
      <c r="O28" s="126"/>
      <c r="P28" s="22"/>
      <c r="Q28" s="22"/>
      <c r="R28" s="22"/>
      <c r="S28" s="22"/>
    </row>
    <row r="29" spans="1:20" ht="18" customHeight="1" x14ac:dyDescent="0.15">
      <c r="B29" s="124"/>
      <c r="C29" s="125"/>
      <c r="D29" s="125"/>
      <c r="E29" s="126"/>
      <c r="F29" s="22"/>
      <c r="G29" s="80"/>
      <c r="H29" s="22"/>
      <c r="I29" s="22"/>
      <c r="J29" s="124"/>
      <c r="K29" s="125"/>
      <c r="L29" s="125"/>
      <c r="M29" s="125"/>
      <c r="N29" s="125"/>
      <c r="O29" s="126"/>
      <c r="P29" s="22"/>
      <c r="Q29" s="22"/>
      <c r="R29" s="22"/>
      <c r="S29" s="22"/>
    </row>
    <row r="30" spans="1:20" ht="18" customHeight="1" x14ac:dyDescent="0.15">
      <c r="A30" s="3"/>
      <c r="B30" s="124"/>
      <c r="C30" s="125"/>
      <c r="D30" s="125"/>
      <c r="E30" s="126"/>
      <c r="F30" s="22"/>
      <c r="G30" s="80"/>
      <c r="H30" s="22"/>
      <c r="I30" s="22"/>
      <c r="J30" s="124"/>
      <c r="K30" s="125"/>
      <c r="L30" s="125"/>
      <c r="M30" s="125"/>
      <c r="N30" s="125"/>
      <c r="O30" s="126"/>
      <c r="P30" s="22"/>
      <c r="Q30" s="22"/>
      <c r="R30" s="22"/>
      <c r="S30" s="22"/>
    </row>
    <row r="31" spans="1:20" ht="18" customHeight="1" x14ac:dyDescent="0.15">
      <c r="A31" s="3"/>
      <c r="B31" s="127"/>
      <c r="C31" s="128"/>
      <c r="D31" s="128"/>
      <c r="E31" s="129"/>
      <c r="F31" s="23"/>
      <c r="G31" s="81"/>
      <c r="H31" s="24"/>
      <c r="I31" s="24"/>
      <c r="J31" s="127"/>
      <c r="K31" s="128"/>
      <c r="L31" s="128"/>
      <c r="M31" s="128"/>
      <c r="N31" s="128"/>
      <c r="O31" s="129"/>
      <c r="P31" s="23"/>
      <c r="Q31" s="23"/>
      <c r="R31" s="24"/>
      <c r="S31" s="24"/>
    </row>
    <row r="32" spans="1:20" ht="7.5" customHeight="1" x14ac:dyDescent="0.15">
      <c r="A32" s="3"/>
      <c r="B32" s="6"/>
      <c r="C32" s="6"/>
      <c r="D32" s="3"/>
      <c r="E32" s="3"/>
      <c r="F32" s="3"/>
      <c r="G32" s="75"/>
      <c r="H32" s="6"/>
      <c r="I32" s="6"/>
      <c r="J32" s="6"/>
      <c r="K32" s="6"/>
      <c r="L32" s="6"/>
      <c r="M32" s="6"/>
      <c r="N32" s="6"/>
      <c r="O32" s="6"/>
      <c r="P32" s="6"/>
      <c r="Q32" s="6"/>
      <c r="R32" s="6"/>
      <c r="S32" s="3"/>
    </row>
    <row r="33" spans="1:19" ht="18" customHeight="1" x14ac:dyDescent="0.15">
      <c r="A33" s="133" t="s">
        <v>113</v>
      </c>
      <c r="B33" s="133"/>
      <c r="C33" s="133"/>
      <c r="D33" s="133"/>
      <c r="E33" s="133"/>
      <c r="F33" s="133"/>
      <c r="G33" s="133"/>
      <c r="H33" s="133"/>
      <c r="I33" s="133"/>
      <c r="J33" s="133"/>
      <c r="K33" s="133"/>
      <c r="L33" s="133"/>
      <c r="M33" s="133"/>
      <c r="N33" s="133"/>
      <c r="O33" s="133"/>
      <c r="P33" s="133"/>
      <c r="Q33" s="133"/>
      <c r="R33" s="133"/>
      <c r="S33" s="133"/>
    </row>
    <row r="34" spans="1:19" ht="18" customHeight="1" x14ac:dyDescent="0.15">
      <c r="A34" s="133"/>
      <c r="B34" s="133"/>
      <c r="C34" s="133"/>
      <c r="D34" s="133"/>
      <c r="E34" s="133"/>
      <c r="F34" s="133"/>
      <c r="G34" s="133"/>
      <c r="H34" s="133"/>
      <c r="I34" s="133"/>
      <c r="J34" s="133"/>
      <c r="K34" s="133"/>
      <c r="L34" s="133"/>
      <c r="M34" s="133"/>
      <c r="N34" s="133"/>
      <c r="O34" s="133"/>
      <c r="P34" s="133"/>
      <c r="Q34" s="133"/>
      <c r="R34" s="133"/>
      <c r="S34" s="133"/>
    </row>
    <row r="35" spans="1:19" ht="18" customHeight="1" x14ac:dyDescent="0.15">
      <c r="B35" s="130" t="s">
        <v>54</v>
      </c>
      <c r="C35" s="131"/>
      <c r="D35" s="131"/>
      <c r="E35" s="132"/>
      <c r="F35" s="46" t="s">
        <v>79</v>
      </c>
      <c r="G35" s="78" t="s">
        <v>83</v>
      </c>
      <c r="H35" s="20" t="s">
        <v>71</v>
      </c>
      <c r="I35" s="20" t="s">
        <v>72</v>
      </c>
      <c r="J35" s="130" t="s">
        <v>54</v>
      </c>
      <c r="K35" s="131"/>
      <c r="L35" s="131"/>
      <c r="M35" s="131"/>
      <c r="N35" s="131"/>
      <c r="O35" s="132"/>
      <c r="P35" s="46" t="s">
        <v>79</v>
      </c>
      <c r="Q35" s="45" t="s">
        <v>83</v>
      </c>
      <c r="R35" s="20" t="s">
        <v>71</v>
      </c>
      <c r="S35" s="20" t="s">
        <v>72</v>
      </c>
    </row>
    <row r="36" spans="1:19" ht="18" customHeight="1" x14ac:dyDescent="0.15">
      <c r="B36" s="134" t="s">
        <v>129</v>
      </c>
      <c r="C36" s="135"/>
      <c r="D36" s="135"/>
      <c r="E36" s="136"/>
      <c r="F36" s="21">
        <v>2</v>
      </c>
      <c r="G36" s="79" t="s">
        <v>128</v>
      </c>
      <c r="H36" s="21" t="s">
        <v>128</v>
      </c>
      <c r="I36" s="21" t="s">
        <v>128</v>
      </c>
      <c r="J36" s="134"/>
      <c r="K36" s="135"/>
      <c r="L36" s="135"/>
      <c r="M36" s="135"/>
      <c r="N36" s="135"/>
      <c r="O36" s="136"/>
      <c r="P36" s="21"/>
      <c r="Q36" s="21"/>
      <c r="R36" s="21"/>
      <c r="S36" s="21"/>
    </row>
    <row r="37" spans="1:19" ht="18" customHeight="1" x14ac:dyDescent="0.15">
      <c r="B37" s="124"/>
      <c r="C37" s="125"/>
      <c r="D37" s="125"/>
      <c r="E37" s="126"/>
      <c r="F37" s="22"/>
      <c r="G37" s="80"/>
      <c r="H37" s="22"/>
      <c r="I37" s="22"/>
      <c r="J37" s="124"/>
      <c r="K37" s="125"/>
      <c r="L37" s="125"/>
      <c r="M37" s="125"/>
      <c r="N37" s="125"/>
      <c r="O37" s="126"/>
      <c r="P37" s="22"/>
      <c r="Q37" s="22"/>
      <c r="R37" s="22"/>
      <c r="S37" s="22"/>
    </row>
    <row r="38" spans="1:19" ht="18" customHeight="1" x14ac:dyDescent="0.15">
      <c r="B38" s="124"/>
      <c r="C38" s="125"/>
      <c r="D38" s="125"/>
      <c r="E38" s="126"/>
      <c r="F38" s="22"/>
      <c r="G38" s="80"/>
      <c r="H38" s="22"/>
      <c r="I38" s="22"/>
      <c r="J38" s="124"/>
      <c r="K38" s="125"/>
      <c r="L38" s="125"/>
      <c r="M38" s="125"/>
      <c r="N38" s="125"/>
      <c r="O38" s="126"/>
      <c r="P38" s="22"/>
      <c r="Q38" s="22"/>
      <c r="R38" s="22"/>
      <c r="S38" s="22"/>
    </row>
    <row r="39" spans="1:19" ht="18" customHeight="1" x14ac:dyDescent="0.15">
      <c r="B39" s="124"/>
      <c r="C39" s="125"/>
      <c r="D39" s="125"/>
      <c r="E39" s="126"/>
      <c r="F39" s="22"/>
      <c r="G39" s="80"/>
      <c r="H39" s="22"/>
      <c r="I39" s="22"/>
      <c r="J39" s="124"/>
      <c r="K39" s="125"/>
      <c r="L39" s="125"/>
      <c r="M39" s="125"/>
      <c r="N39" s="125"/>
      <c r="O39" s="126"/>
      <c r="P39" s="22"/>
      <c r="Q39" s="22"/>
      <c r="R39" s="22"/>
      <c r="S39" s="22"/>
    </row>
    <row r="40" spans="1:19" ht="18" customHeight="1" x14ac:dyDescent="0.15">
      <c r="B40" s="124"/>
      <c r="C40" s="125"/>
      <c r="D40" s="125"/>
      <c r="E40" s="126"/>
      <c r="F40" s="22"/>
      <c r="G40" s="80"/>
      <c r="H40" s="22"/>
      <c r="I40" s="22"/>
      <c r="J40" s="124"/>
      <c r="K40" s="125"/>
      <c r="L40" s="125"/>
      <c r="M40" s="125"/>
      <c r="N40" s="125"/>
      <c r="O40" s="126"/>
      <c r="P40" s="22"/>
      <c r="Q40" s="22"/>
      <c r="R40" s="22"/>
      <c r="S40" s="22"/>
    </row>
    <row r="41" spans="1:19" ht="18" customHeight="1" x14ac:dyDescent="0.15">
      <c r="B41" s="124"/>
      <c r="C41" s="125"/>
      <c r="D41" s="125"/>
      <c r="E41" s="126"/>
      <c r="F41" s="22"/>
      <c r="G41" s="80"/>
      <c r="H41" s="22"/>
      <c r="I41" s="22"/>
      <c r="J41" s="124"/>
      <c r="K41" s="125"/>
      <c r="L41" s="125"/>
      <c r="M41" s="125"/>
      <c r="N41" s="125"/>
      <c r="O41" s="126"/>
      <c r="P41" s="22"/>
      <c r="Q41" s="22"/>
      <c r="R41" s="22"/>
      <c r="S41" s="22"/>
    </row>
    <row r="42" spans="1:19" ht="18" customHeight="1" x14ac:dyDescent="0.15">
      <c r="B42" s="127"/>
      <c r="C42" s="128"/>
      <c r="D42" s="128"/>
      <c r="E42" s="129"/>
      <c r="F42" s="23"/>
      <c r="G42" s="81"/>
      <c r="H42" s="24"/>
      <c r="I42" s="24"/>
      <c r="J42" s="127"/>
      <c r="K42" s="128"/>
      <c r="L42" s="128"/>
      <c r="M42" s="128"/>
      <c r="N42" s="128"/>
      <c r="O42" s="129"/>
      <c r="P42" s="23"/>
      <c r="Q42" s="23"/>
      <c r="R42" s="24"/>
      <c r="S42" s="24"/>
    </row>
    <row r="43" spans="1:19" ht="7.5" customHeight="1" x14ac:dyDescent="0.15">
      <c r="A43" s="3"/>
      <c r="B43" s="6"/>
      <c r="C43" s="6"/>
      <c r="D43" s="3"/>
      <c r="E43" s="3"/>
      <c r="F43" s="3"/>
      <c r="G43" s="75"/>
      <c r="H43" s="6"/>
      <c r="I43" s="6"/>
      <c r="J43" s="6"/>
      <c r="K43" s="6"/>
      <c r="L43" s="6"/>
      <c r="M43" s="6"/>
      <c r="N43" s="6"/>
      <c r="O43" s="6"/>
      <c r="P43" s="6"/>
      <c r="Q43" s="6"/>
      <c r="R43" s="6"/>
      <c r="S43" s="3"/>
    </row>
    <row r="44" spans="1:19" ht="18" customHeight="1" x14ac:dyDescent="0.15">
      <c r="A44" s="133" t="s">
        <v>114</v>
      </c>
      <c r="B44" s="133"/>
      <c r="C44" s="133"/>
      <c r="D44" s="133"/>
      <c r="E44" s="133"/>
      <c r="F44" s="133"/>
      <c r="G44" s="133"/>
      <c r="H44" s="133"/>
      <c r="I44" s="133"/>
      <c r="J44" s="133"/>
      <c r="K44" s="133"/>
      <c r="L44" s="133"/>
      <c r="M44" s="133"/>
      <c r="N44" s="133"/>
      <c r="O44" s="133"/>
      <c r="P44" s="133"/>
      <c r="Q44" s="133"/>
      <c r="R44" s="133"/>
      <c r="S44" s="133"/>
    </row>
    <row r="45" spans="1:19" ht="18" customHeight="1" x14ac:dyDescent="0.15">
      <c r="A45" s="133"/>
      <c r="B45" s="133"/>
      <c r="C45" s="133"/>
      <c r="D45" s="133"/>
      <c r="E45" s="133"/>
      <c r="F45" s="133"/>
      <c r="G45" s="133"/>
      <c r="H45" s="133"/>
      <c r="I45" s="133"/>
      <c r="J45" s="133"/>
      <c r="K45" s="133"/>
      <c r="L45" s="133"/>
      <c r="M45" s="133"/>
      <c r="N45" s="133"/>
      <c r="O45" s="133"/>
      <c r="P45" s="133"/>
      <c r="Q45" s="133"/>
      <c r="R45" s="133"/>
      <c r="S45" s="133"/>
    </row>
    <row r="46" spans="1:19" ht="18" customHeight="1" x14ac:dyDescent="0.15">
      <c r="B46" s="130" t="s">
        <v>54</v>
      </c>
      <c r="C46" s="131"/>
      <c r="D46" s="131"/>
      <c r="E46" s="132"/>
      <c r="F46" s="46" t="s">
        <v>79</v>
      </c>
      <c r="G46" s="78" t="s">
        <v>83</v>
      </c>
      <c r="H46" s="20" t="s">
        <v>73</v>
      </c>
      <c r="I46" s="20" t="s">
        <v>74</v>
      </c>
      <c r="J46" s="130" t="s">
        <v>54</v>
      </c>
      <c r="K46" s="131"/>
      <c r="L46" s="131"/>
      <c r="M46" s="131"/>
      <c r="N46" s="131"/>
      <c r="O46" s="132"/>
      <c r="P46" s="46" t="s">
        <v>79</v>
      </c>
      <c r="Q46" s="45" t="s">
        <v>83</v>
      </c>
      <c r="R46" s="20" t="s">
        <v>73</v>
      </c>
      <c r="S46" s="20" t="s">
        <v>74</v>
      </c>
    </row>
    <row r="47" spans="1:19" ht="18" customHeight="1" x14ac:dyDescent="0.15">
      <c r="A47" s="3"/>
      <c r="B47" s="134" t="s">
        <v>129</v>
      </c>
      <c r="C47" s="135"/>
      <c r="D47" s="135"/>
      <c r="E47" s="136"/>
      <c r="F47" s="21">
        <v>2</v>
      </c>
      <c r="G47" s="79" t="s">
        <v>128</v>
      </c>
      <c r="H47" s="21" t="s">
        <v>128</v>
      </c>
      <c r="I47" s="21" t="s">
        <v>128</v>
      </c>
      <c r="J47" s="134"/>
      <c r="K47" s="135"/>
      <c r="L47" s="135"/>
      <c r="M47" s="135"/>
      <c r="N47" s="135"/>
      <c r="O47" s="136"/>
      <c r="P47" s="21"/>
      <c r="Q47" s="21"/>
      <c r="R47" s="21"/>
      <c r="S47" s="21"/>
    </row>
    <row r="48" spans="1:19" ht="18" customHeight="1" x14ac:dyDescent="0.15">
      <c r="A48" s="3"/>
      <c r="B48" s="124"/>
      <c r="C48" s="125"/>
      <c r="D48" s="125"/>
      <c r="E48" s="126"/>
      <c r="F48" s="22"/>
      <c r="G48" s="80"/>
      <c r="H48" s="22"/>
      <c r="I48" s="22"/>
      <c r="J48" s="124"/>
      <c r="K48" s="125"/>
      <c r="L48" s="125"/>
      <c r="M48" s="125"/>
      <c r="N48" s="125"/>
      <c r="O48" s="126"/>
      <c r="P48" s="22"/>
      <c r="Q48" s="22"/>
      <c r="R48" s="22"/>
      <c r="S48" s="22"/>
    </row>
    <row r="49" spans="1:19" ht="18" customHeight="1" x14ac:dyDescent="0.15">
      <c r="A49" s="3"/>
      <c r="B49" s="124"/>
      <c r="C49" s="125"/>
      <c r="D49" s="125"/>
      <c r="E49" s="126"/>
      <c r="F49" s="22"/>
      <c r="G49" s="80"/>
      <c r="H49" s="22"/>
      <c r="I49" s="22"/>
      <c r="J49" s="124"/>
      <c r="K49" s="125"/>
      <c r="L49" s="125"/>
      <c r="M49" s="125"/>
      <c r="N49" s="125"/>
      <c r="O49" s="126"/>
      <c r="P49" s="22"/>
      <c r="Q49" s="22"/>
      <c r="R49" s="22"/>
      <c r="S49" s="22"/>
    </row>
    <row r="50" spans="1:19" ht="18" customHeight="1" x14ac:dyDescent="0.15">
      <c r="A50" s="3"/>
      <c r="B50" s="124"/>
      <c r="C50" s="125"/>
      <c r="D50" s="125"/>
      <c r="E50" s="126"/>
      <c r="F50" s="22"/>
      <c r="G50" s="80"/>
      <c r="H50" s="22"/>
      <c r="I50" s="22"/>
      <c r="J50" s="124"/>
      <c r="K50" s="125"/>
      <c r="L50" s="125"/>
      <c r="M50" s="125"/>
      <c r="N50" s="125"/>
      <c r="O50" s="126"/>
      <c r="P50" s="22"/>
      <c r="Q50" s="22"/>
      <c r="R50" s="22"/>
      <c r="S50" s="22"/>
    </row>
    <row r="51" spans="1:19" ht="18" customHeight="1" x14ac:dyDescent="0.15">
      <c r="A51" s="3"/>
      <c r="B51" s="124"/>
      <c r="C51" s="125"/>
      <c r="D51" s="125"/>
      <c r="E51" s="126"/>
      <c r="F51" s="22"/>
      <c r="G51" s="80"/>
      <c r="H51" s="22"/>
      <c r="I51" s="22"/>
      <c r="J51" s="124"/>
      <c r="K51" s="125"/>
      <c r="L51" s="125"/>
      <c r="M51" s="125"/>
      <c r="N51" s="125"/>
      <c r="O51" s="126"/>
      <c r="P51" s="22"/>
      <c r="Q51" s="22"/>
      <c r="R51" s="22"/>
      <c r="S51" s="22"/>
    </row>
    <row r="52" spans="1:19" ht="18" customHeight="1" x14ac:dyDescent="0.15">
      <c r="A52" s="3"/>
      <c r="B52" s="124"/>
      <c r="C52" s="125"/>
      <c r="D52" s="125"/>
      <c r="E52" s="126"/>
      <c r="F52" s="22"/>
      <c r="G52" s="80"/>
      <c r="H52" s="22"/>
      <c r="I52" s="22"/>
      <c r="J52" s="124"/>
      <c r="K52" s="125"/>
      <c r="L52" s="125"/>
      <c r="M52" s="125"/>
      <c r="N52" s="125"/>
      <c r="O52" s="126"/>
      <c r="P52" s="22"/>
      <c r="Q52" s="22"/>
      <c r="R52" s="22"/>
      <c r="S52" s="22"/>
    </row>
    <row r="53" spans="1:19" ht="18" customHeight="1" x14ac:dyDescent="0.15">
      <c r="A53" s="3"/>
      <c r="B53" s="127"/>
      <c r="C53" s="128"/>
      <c r="D53" s="128"/>
      <c r="E53" s="129"/>
      <c r="F53" s="23"/>
      <c r="G53" s="81"/>
      <c r="H53" s="24"/>
      <c r="I53" s="24"/>
      <c r="J53" s="127"/>
      <c r="K53" s="128"/>
      <c r="L53" s="128"/>
      <c r="M53" s="128"/>
      <c r="N53" s="128"/>
      <c r="O53" s="129"/>
      <c r="P53" s="23"/>
      <c r="Q53" s="23"/>
      <c r="R53" s="24"/>
      <c r="S53" s="24"/>
    </row>
    <row r="54" spans="1:19" ht="7.5" customHeight="1" x14ac:dyDescent="0.15">
      <c r="B54" s="15"/>
      <c r="C54" s="15"/>
      <c r="D54" s="15"/>
      <c r="E54" s="15"/>
      <c r="F54" s="15"/>
      <c r="G54" s="82"/>
      <c r="H54" s="15"/>
      <c r="I54" s="15"/>
      <c r="J54" s="15"/>
      <c r="K54" s="15"/>
      <c r="L54" s="15"/>
      <c r="M54" s="15"/>
      <c r="N54" s="15"/>
      <c r="O54" s="15"/>
      <c r="P54" s="15"/>
      <c r="Q54" s="15"/>
      <c r="R54" s="15"/>
    </row>
    <row r="55" spans="1:19" ht="18" customHeight="1" x14ac:dyDescent="0.15">
      <c r="A55" s="133" t="s">
        <v>115</v>
      </c>
      <c r="B55" s="133"/>
      <c r="C55" s="133"/>
      <c r="D55" s="133"/>
      <c r="E55" s="133"/>
      <c r="F55" s="133"/>
      <c r="G55" s="133"/>
      <c r="H55" s="133"/>
      <c r="I55" s="133"/>
      <c r="J55" s="133"/>
      <c r="K55" s="133"/>
      <c r="L55" s="133"/>
      <c r="M55" s="133"/>
      <c r="N55" s="133"/>
      <c r="O55" s="133"/>
      <c r="P55" s="133"/>
      <c r="Q55" s="133"/>
      <c r="R55" s="133"/>
      <c r="S55" s="133"/>
    </row>
    <row r="56" spans="1:19" ht="18" customHeight="1" x14ac:dyDescent="0.15">
      <c r="A56" s="133"/>
      <c r="B56" s="133"/>
      <c r="C56" s="133"/>
      <c r="D56" s="133"/>
      <c r="E56" s="133"/>
      <c r="F56" s="133"/>
      <c r="G56" s="133"/>
      <c r="H56" s="133"/>
      <c r="I56" s="133"/>
      <c r="J56" s="133"/>
      <c r="K56" s="133"/>
      <c r="L56" s="133"/>
      <c r="M56" s="133"/>
      <c r="N56" s="133"/>
      <c r="O56" s="133"/>
      <c r="P56" s="133"/>
      <c r="Q56" s="133"/>
      <c r="R56" s="133"/>
      <c r="S56" s="133"/>
    </row>
    <row r="57" spans="1:19" ht="18" customHeight="1" x14ac:dyDescent="0.15">
      <c r="B57" s="130" t="s">
        <v>54</v>
      </c>
      <c r="C57" s="131"/>
      <c r="D57" s="131"/>
      <c r="E57" s="132"/>
      <c r="F57" s="46" t="s">
        <v>79</v>
      </c>
      <c r="G57" s="78" t="s">
        <v>83</v>
      </c>
      <c r="H57" s="20" t="s">
        <v>59</v>
      </c>
      <c r="I57" s="20" t="s">
        <v>61</v>
      </c>
      <c r="J57" s="130" t="s">
        <v>54</v>
      </c>
      <c r="K57" s="131"/>
      <c r="L57" s="131"/>
      <c r="M57" s="131"/>
      <c r="N57" s="131"/>
      <c r="O57" s="132"/>
      <c r="P57" s="46" t="s">
        <v>79</v>
      </c>
      <c r="Q57" s="45" t="s">
        <v>83</v>
      </c>
      <c r="R57" s="20" t="s">
        <v>59</v>
      </c>
      <c r="S57" s="20" t="s">
        <v>61</v>
      </c>
    </row>
    <row r="58" spans="1:19" ht="18" customHeight="1" x14ac:dyDescent="0.15">
      <c r="A58" s="3"/>
      <c r="B58" s="134" t="s">
        <v>130</v>
      </c>
      <c r="C58" s="135"/>
      <c r="D58" s="135"/>
      <c r="E58" s="136"/>
      <c r="F58" s="21">
        <v>2</v>
      </c>
      <c r="G58" s="79" t="s">
        <v>128</v>
      </c>
      <c r="H58" s="21" t="s">
        <v>128</v>
      </c>
      <c r="I58" s="21" t="s">
        <v>128</v>
      </c>
      <c r="J58" s="134"/>
      <c r="K58" s="135"/>
      <c r="L58" s="135"/>
      <c r="M58" s="135"/>
      <c r="N58" s="135"/>
      <c r="O58" s="136"/>
      <c r="P58" s="21"/>
      <c r="Q58" s="21"/>
      <c r="R58" s="21"/>
      <c r="S58" s="21"/>
    </row>
    <row r="59" spans="1:19" ht="18" customHeight="1" x14ac:dyDescent="0.15">
      <c r="A59" s="3"/>
      <c r="B59" s="124" t="s">
        <v>129</v>
      </c>
      <c r="C59" s="125"/>
      <c r="D59" s="125"/>
      <c r="E59" s="126"/>
      <c r="F59" s="22">
        <v>2</v>
      </c>
      <c r="G59" s="80" t="s">
        <v>128</v>
      </c>
      <c r="H59" s="22" t="s">
        <v>128</v>
      </c>
      <c r="I59" s="22" t="s">
        <v>128</v>
      </c>
      <c r="J59" s="124"/>
      <c r="K59" s="125"/>
      <c r="L59" s="125"/>
      <c r="M59" s="125"/>
      <c r="N59" s="125"/>
      <c r="O59" s="126"/>
      <c r="P59" s="22"/>
      <c r="Q59" s="22"/>
      <c r="R59" s="22"/>
      <c r="S59" s="22"/>
    </row>
    <row r="60" spans="1:19" ht="18" customHeight="1" x14ac:dyDescent="0.15">
      <c r="A60" s="3"/>
      <c r="B60" s="124"/>
      <c r="C60" s="125"/>
      <c r="D60" s="125"/>
      <c r="E60" s="126"/>
      <c r="F60" s="22"/>
      <c r="G60" s="80"/>
      <c r="H60" s="22"/>
      <c r="I60" s="22"/>
      <c r="J60" s="124"/>
      <c r="K60" s="125"/>
      <c r="L60" s="125"/>
      <c r="M60" s="125"/>
      <c r="N60" s="125"/>
      <c r="O60" s="126"/>
      <c r="P60" s="22"/>
      <c r="Q60" s="22"/>
      <c r="R60" s="22"/>
      <c r="S60" s="22"/>
    </row>
    <row r="61" spans="1:19" ht="18" customHeight="1" x14ac:dyDescent="0.15">
      <c r="A61" s="3"/>
      <c r="B61" s="124"/>
      <c r="C61" s="125"/>
      <c r="D61" s="125"/>
      <c r="E61" s="126"/>
      <c r="F61" s="22"/>
      <c r="G61" s="80"/>
      <c r="H61" s="22"/>
      <c r="I61" s="22"/>
      <c r="J61" s="124"/>
      <c r="K61" s="125"/>
      <c r="L61" s="125"/>
      <c r="M61" s="125"/>
      <c r="N61" s="125"/>
      <c r="O61" s="126"/>
      <c r="P61" s="22"/>
      <c r="Q61" s="22"/>
      <c r="R61" s="22"/>
      <c r="S61" s="22"/>
    </row>
    <row r="62" spans="1:19" ht="18" customHeight="1" x14ac:dyDescent="0.15">
      <c r="A62" s="3"/>
      <c r="B62" s="124"/>
      <c r="C62" s="125"/>
      <c r="D62" s="125"/>
      <c r="E62" s="126"/>
      <c r="F62" s="22"/>
      <c r="G62" s="80"/>
      <c r="H62" s="22"/>
      <c r="I62" s="22"/>
      <c r="J62" s="124"/>
      <c r="K62" s="125"/>
      <c r="L62" s="125"/>
      <c r="M62" s="125"/>
      <c r="N62" s="125"/>
      <c r="O62" s="126"/>
      <c r="P62" s="22"/>
      <c r="Q62" s="22"/>
      <c r="R62" s="22"/>
      <c r="S62" s="22"/>
    </row>
    <row r="63" spans="1:19" ht="18" customHeight="1" x14ac:dyDescent="0.15">
      <c r="A63" s="3"/>
      <c r="B63" s="124"/>
      <c r="C63" s="125"/>
      <c r="D63" s="125"/>
      <c r="E63" s="126"/>
      <c r="F63" s="22"/>
      <c r="G63" s="80"/>
      <c r="H63" s="22"/>
      <c r="I63" s="22"/>
      <c r="J63" s="124"/>
      <c r="K63" s="125"/>
      <c r="L63" s="125"/>
      <c r="M63" s="125"/>
      <c r="N63" s="125"/>
      <c r="O63" s="126"/>
      <c r="P63" s="22"/>
      <c r="Q63" s="22"/>
      <c r="R63" s="22"/>
      <c r="S63" s="22"/>
    </row>
    <row r="64" spans="1:19" ht="18" customHeight="1" x14ac:dyDescent="0.15">
      <c r="A64" s="3"/>
      <c r="B64" s="127"/>
      <c r="C64" s="128"/>
      <c r="D64" s="128"/>
      <c r="E64" s="129"/>
      <c r="F64" s="23"/>
      <c r="G64" s="81"/>
      <c r="H64" s="24"/>
      <c r="I64" s="24"/>
      <c r="J64" s="127"/>
      <c r="K64" s="128"/>
      <c r="L64" s="128"/>
      <c r="M64" s="128"/>
      <c r="N64" s="128"/>
      <c r="O64" s="129"/>
      <c r="P64" s="23"/>
      <c r="Q64" s="23"/>
      <c r="R64" s="24"/>
      <c r="S64" s="24"/>
    </row>
    <row r="65" spans="1:19" ht="7.5" customHeight="1" x14ac:dyDescent="0.15">
      <c r="B65" s="15"/>
      <c r="C65" s="15"/>
      <c r="D65" s="15"/>
      <c r="E65" s="15"/>
      <c r="F65" s="15"/>
      <c r="G65" s="82"/>
      <c r="H65" s="15"/>
      <c r="I65" s="15"/>
      <c r="J65" s="15"/>
      <c r="K65" s="15"/>
      <c r="L65" s="15"/>
      <c r="M65" s="15"/>
      <c r="N65" s="15"/>
      <c r="O65" s="15"/>
      <c r="P65" s="15"/>
      <c r="Q65" s="15"/>
      <c r="R65" s="15"/>
    </row>
    <row r="66" spans="1:19" ht="18" customHeight="1" x14ac:dyDescent="0.15">
      <c r="A66" s="133" t="s">
        <v>116</v>
      </c>
      <c r="B66" s="133"/>
      <c r="C66" s="133"/>
      <c r="D66" s="133"/>
      <c r="E66" s="133"/>
      <c r="F66" s="133"/>
      <c r="G66" s="133"/>
      <c r="H66" s="133"/>
      <c r="I66" s="133"/>
      <c r="J66" s="133"/>
      <c r="K66" s="133"/>
      <c r="L66" s="133"/>
      <c r="M66" s="133"/>
      <c r="N66" s="133"/>
      <c r="O66" s="133"/>
      <c r="P66" s="133"/>
      <c r="Q66" s="133"/>
      <c r="R66" s="133"/>
      <c r="S66" s="133"/>
    </row>
    <row r="67" spans="1:19" ht="18" customHeight="1" x14ac:dyDescent="0.15">
      <c r="A67" s="133"/>
      <c r="B67" s="133"/>
      <c r="C67" s="133"/>
      <c r="D67" s="133"/>
      <c r="E67" s="133"/>
      <c r="F67" s="133"/>
      <c r="G67" s="133"/>
      <c r="H67" s="133"/>
      <c r="I67" s="133"/>
      <c r="J67" s="133"/>
      <c r="K67" s="133"/>
      <c r="L67" s="133"/>
      <c r="M67" s="133"/>
      <c r="N67" s="133"/>
      <c r="O67" s="133"/>
      <c r="P67" s="133"/>
      <c r="Q67" s="133"/>
      <c r="R67" s="133"/>
      <c r="S67" s="133"/>
    </row>
    <row r="68" spans="1:19" ht="18" customHeight="1" x14ac:dyDescent="0.15">
      <c r="B68" s="130" t="s">
        <v>54</v>
      </c>
      <c r="C68" s="131"/>
      <c r="D68" s="131"/>
      <c r="E68" s="46" t="s">
        <v>79</v>
      </c>
      <c r="F68" s="45" t="s">
        <v>83</v>
      </c>
      <c r="G68" s="83" t="s">
        <v>100</v>
      </c>
      <c r="H68" s="20" t="s">
        <v>75</v>
      </c>
      <c r="I68" s="20" t="s">
        <v>76</v>
      </c>
      <c r="J68" s="130" t="s">
        <v>54</v>
      </c>
      <c r="K68" s="131"/>
      <c r="L68" s="131"/>
      <c r="M68" s="131"/>
      <c r="N68" s="132"/>
      <c r="O68" s="46" t="s">
        <v>79</v>
      </c>
      <c r="P68" s="45" t="s">
        <v>83</v>
      </c>
      <c r="Q68" s="20" t="s">
        <v>100</v>
      </c>
      <c r="R68" s="20" t="s">
        <v>75</v>
      </c>
      <c r="S68" s="20" t="s">
        <v>76</v>
      </c>
    </row>
    <row r="69" spans="1:19" ht="18" customHeight="1" x14ac:dyDescent="0.15">
      <c r="A69" s="3"/>
      <c r="B69" s="134" t="s">
        <v>129</v>
      </c>
      <c r="C69" s="135"/>
      <c r="D69" s="135"/>
      <c r="E69" s="21">
        <v>2</v>
      </c>
      <c r="F69" s="79" t="s">
        <v>128</v>
      </c>
      <c r="G69" s="79" t="s">
        <v>128</v>
      </c>
      <c r="H69" s="21" t="s">
        <v>128</v>
      </c>
      <c r="I69" s="21" t="s">
        <v>128</v>
      </c>
      <c r="J69" s="134"/>
      <c r="K69" s="135"/>
      <c r="L69" s="135"/>
      <c r="M69" s="135"/>
      <c r="N69" s="136"/>
      <c r="O69" s="21"/>
      <c r="P69" s="21"/>
      <c r="Q69" s="21"/>
      <c r="R69" s="21"/>
      <c r="S69" s="21"/>
    </row>
    <row r="70" spans="1:19" ht="18" customHeight="1" x14ac:dyDescent="0.15">
      <c r="A70" s="3"/>
      <c r="B70" s="124"/>
      <c r="C70" s="125"/>
      <c r="D70" s="125"/>
      <c r="E70" s="22"/>
      <c r="F70" s="22"/>
      <c r="G70" s="80"/>
      <c r="H70" s="22"/>
      <c r="I70" s="22"/>
      <c r="J70" s="124"/>
      <c r="K70" s="125"/>
      <c r="L70" s="125"/>
      <c r="M70" s="125"/>
      <c r="N70" s="126"/>
      <c r="O70" s="22"/>
      <c r="P70" s="22"/>
      <c r="Q70" s="22"/>
      <c r="R70" s="22"/>
      <c r="S70" s="22"/>
    </row>
    <row r="71" spans="1:19" ht="18" customHeight="1" x14ac:dyDescent="0.15">
      <c r="A71" s="3"/>
      <c r="B71" s="124"/>
      <c r="C71" s="125"/>
      <c r="D71" s="125"/>
      <c r="E71" s="22"/>
      <c r="F71" s="22"/>
      <c r="G71" s="80"/>
      <c r="H71" s="22"/>
      <c r="I71" s="22"/>
      <c r="J71" s="124"/>
      <c r="K71" s="125"/>
      <c r="L71" s="125"/>
      <c r="M71" s="125"/>
      <c r="N71" s="126"/>
      <c r="O71" s="22"/>
      <c r="P71" s="22"/>
      <c r="Q71" s="22"/>
      <c r="R71" s="22"/>
      <c r="S71" s="22"/>
    </row>
    <row r="72" spans="1:19" ht="18" customHeight="1" x14ac:dyDescent="0.15">
      <c r="A72" s="3"/>
      <c r="B72" s="124"/>
      <c r="C72" s="125"/>
      <c r="D72" s="125"/>
      <c r="E72" s="22"/>
      <c r="F72" s="22"/>
      <c r="G72" s="80"/>
      <c r="H72" s="22"/>
      <c r="I72" s="22"/>
      <c r="J72" s="124"/>
      <c r="K72" s="125"/>
      <c r="L72" s="125"/>
      <c r="M72" s="125"/>
      <c r="N72" s="126"/>
      <c r="O72" s="22"/>
      <c r="P72" s="22"/>
      <c r="Q72" s="22"/>
      <c r="R72" s="22"/>
      <c r="S72" s="22"/>
    </row>
    <row r="73" spans="1:19" ht="18" customHeight="1" x14ac:dyDescent="0.15">
      <c r="A73" s="3"/>
      <c r="B73" s="124"/>
      <c r="C73" s="125"/>
      <c r="D73" s="125"/>
      <c r="E73" s="22"/>
      <c r="F73" s="22"/>
      <c r="G73" s="80"/>
      <c r="H73" s="22"/>
      <c r="I73" s="22"/>
      <c r="J73" s="124"/>
      <c r="K73" s="125"/>
      <c r="L73" s="125"/>
      <c r="M73" s="125"/>
      <c r="N73" s="126"/>
      <c r="O73" s="22"/>
      <c r="P73" s="22"/>
      <c r="Q73" s="22"/>
      <c r="R73" s="22"/>
      <c r="S73" s="22"/>
    </row>
    <row r="74" spans="1:19" ht="18" customHeight="1" x14ac:dyDescent="0.15">
      <c r="A74" s="3"/>
      <c r="B74" s="124"/>
      <c r="C74" s="125"/>
      <c r="D74" s="125"/>
      <c r="E74" s="22"/>
      <c r="F74" s="22"/>
      <c r="G74" s="80"/>
      <c r="H74" s="22"/>
      <c r="I74" s="22"/>
      <c r="J74" s="124"/>
      <c r="K74" s="125"/>
      <c r="L74" s="125"/>
      <c r="M74" s="125"/>
      <c r="N74" s="126"/>
      <c r="O74" s="22"/>
      <c r="P74" s="22"/>
      <c r="Q74" s="22"/>
      <c r="R74" s="22"/>
      <c r="S74" s="22"/>
    </row>
    <row r="75" spans="1:19" ht="18" customHeight="1" x14ac:dyDescent="0.15">
      <c r="A75" s="3"/>
      <c r="B75" s="127"/>
      <c r="C75" s="128"/>
      <c r="D75" s="128"/>
      <c r="E75" s="23"/>
      <c r="F75" s="23"/>
      <c r="G75" s="84"/>
      <c r="H75" s="24"/>
      <c r="I75" s="24"/>
      <c r="J75" s="127"/>
      <c r="K75" s="128"/>
      <c r="L75" s="128"/>
      <c r="M75" s="128"/>
      <c r="N75" s="129"/>
      <c r="O75" s="23"/>
      <c r="P75" s="23"/>
      <c r="Q75" s="24"/>
      <c r="R75" s="24"/>
      <c r="S75" s="24"/>
    </row>
    <row r="76" spans="1:19" ht="7.5" customHeight="1" x14ac:dyDescent="0.15">
      <c r="B76" s="15"/>
      <c r="C76" s="15"/>
      <c r="D76" s="15"/>
      <c r="E76" s="15"/>
      <c r="F76" s="15"/>
      <c r="G76" s="82"/>
      <c r="H76" s="15"/>
      <c r="I76" s="15"/>
      <c r="J76" s="15"/>
      <c r="K76" s="15"/>
      <c r="L76" s="15"/>
      <c r="M76" s="15"/>
      <c r="N76" s="15"/>
      <c r="O76" s="15"/>
      <c r="P76" s="15"/>
      <c r="Q76" s="15"/>
      <c r="R76" s="15"/>
    </row>
    <row r="77" spans="1:19" ht="18" customHeight="1" x14ac:dyDescent="0.15">
      <c r="A77" s="1" t="s">
        <v>117</v>
      </c>
      <c r="H77" s="3"/>
      <c r="I77" s="3"/>
      <c r="J77" s="3"/>
      <c r="K77" s="3"/>
      <c r="L77" s="3"/>
      <c r="M77" s="3"/>
      <c r="N77" s="3"/>
      <c r="O77" s="3"/>
      <c r="P77" s="3"/>
      <c r="Q77" s="3"/>
      <c r="R77" s="3"/>
      <c r="S77" s="3"/>
    </row>
    <row r="78" spans="1:19" ht="18" customHeight="1" x14ac:dyDescent="0.15">
      <c r="B78" s="130" t="s">
        <v>54</v>
      </c>
      <c r="C78" s="131"/>
      <c r="D78" s="131"/>
      <c r="E78" s="132"/>
      <c r="F78" s="130" t="s">
        <v>81</v>
      </c>
      <c r="G78" s="131"/>
      <c r="H78" s="131"/>
      <c r="I78" s="132"/>
      <c r="J78" s="175" t="s">
        <v>54</v>
      </c>
      <c r="K78" s="176"/>
      <c r="L78" s="176"/>
      <c r="M78" s="176"/>
      <c r="N78" s="176"/>
      <c r="O78" s="177"/>
      <c r="P78" s="130" t="s">
        <v>81</v>
      </c>
      <c r="Q78" s="131"/>
      <c r="R78" s="131"/>
      <c r="S78" s="132"/>
    </row>
    <row r="79" spans="1:19" ht="18" customHeight="1" x14ac:dyDescent="0.15">
      <c r="A79" s="3"/>
      <c r="B79" s="134"/>
      <c r="C79" s="135"/>
      <c r="D79" s="135"/>
      <c r="E79" s="136"/>
      <c r="F79" s="190"/>
      <c r="G79" s="191"/>
      <c r="H79" s="191"/>
      <c r="I79" s="192"/>
      <c r="J79" s="134"/>
      <c r="K79" s="135"/>
      <c r="L79" s="135"/>
      <c r="M79" s="135"/>
      <c r="N79" s="135"/>
      <c r="O79" s="136"/>
      <c r="P79" s="190"/>
      <c r="Q79" s="191"/>
      <c r="R79" s="191"/>
      <c r="S79" s="192"/>
    </row>
    <row r="80" spans="1:19" ht="18" customHeight="1" x14ac:dyDescent="0.15">
      <c r="A80" s="3"/>
      <c r="B80" s="124"/>
      <c r="C80" s="125"/>
      <c r="D80" s="125"/>
      <c r="E80" s="126"/>
      <c r="F80" s="160"/>
      <c r="G80" s="161"/>
      <c r="H80" s="161"/>
      <c r="I80" s="162"/>
      <c r="J80" s="124"/>
      <c r="K80" s="125"/>
      <c r="L80" s="125"/>
      <c r="M80" s="125"/>
      <c r="N80" s="125"/>
      <c r="O80" s="126"/>
      <c r="P80" s="160"/>
      <c r="Q80" s="161"/>
      <c r="R80" s="161"/>
      <c r="S80" s="162"/>
    </row>
    <row r="81" spans="1:21" ht="18" customHeight="1" x14ac:dyDescent="0.15">
      <c r="A81" s="3"/>
      <c r="B81" s="124"/>
      <c r="C81" s="125"/>
      <c r="D81" s="125"/>
      <c r="E81" s="126"/>
      <c r="F81" s="160"/>
      <c r="G81" s="161"/>
      <c r="H81" s="161"/>
      <c r="I81" s="162"/>
      <c r="J81" s="124"/>
      <c r="K81" s="125"/>
      <c r="L81" s="125"/>
      <c r="M81" s="125"/>
      <c r="N81" s="125"/>
      <c r="O81" s="126"/>
      <c r="P81" s="160"/>
      <c r="Q81" s="161"/>
      <c r="R81" s="161"/>
      <c r="S81" s="162"/>
    </row>
    <row r="82" spans="1:21" ht="18" customHeight="1" x14ac:dyDescent="0.15">
      <c r="A82" s="3"/>
      <c r="B82" s="124"/>
      <c r="C82" s="125"/>
      <c r="D82" s="125"/>
      <c r="E82" s="126"/>
      <c r="F82" s="160"/>
      <c r="G82" s="161"/>
      <c r="H82" s="161"/>
      <c r="I82" s="162"/>
      <c r="J82" s="124"/>
      <c r="K82" s="125"/>
      <c r="L82" s="125"/>
      <c r="M82" s="125"/>
      <c r="N82" s="125"/>
      <c r="O82" s="126"/>
      <c r="P82" s="160"/>
      <c r="Q82" s="161"/>
      <c r="R82" s="161"/>
      <c r="S82" s="162"/>
    </row>
    <row r="83" spans="1:21" ht="18" customHeight="1" x14ac:dyDescent="0.15">
      <c r="A83" s="3"/>
      <c r="B83" s="124"/>
      <c r="C83" s="125"/>
      <c r="D83" s="125"/>
      <c r="E83" s="126"/>
      <c r="F83" s="160"/>
      <c r="G83" s="161"/>
      <c r="H83" s="161"/>
      <c r="I83" s="162"/>
      <c r="J83" s="124"/>
      <c r="K83" s="125"/>
      <c r="L83" s="125"/>
      <c r="M83" s="125"/>
      <c r="N83" s="125"/>
      <c r="O83" s="126"/>
      <c r="P83" s="160"/>
      <c r="Q83" s="161"/>
      <c r="R83" s="161"/>
      <c r="S83" s="162"/>
    </row>
    <row r="84" spans="1:21" ht="18" customHeight="1" x14ac:dyDescent="0.15">
      <c r="A84" s="3"/>
      <c r="B84" s="124"/>
      <c r="C84" s="125"/>
      <c r="D84" s="125"/>
      <c r="E84" s="126"/>
      <c r="F84" s="160"/>
      <c r="G84" s="161"/>
      <c r="H84" s="161"/>
      <c r="I84" s="162"/>
      <c r="J84" s="124"/>
      <c r="K84" s="125"/>
      <c r="L84" s="125"/>
      <c r="M84" s="125"/>
      <c r="N84" s="125"/>
      <c r="O84" s="126"/>
      <c r="P84" s="160"/>
      <c r="Q84" s="161"/>
      <c r="R84" s="161"/>
      <c r="S84" s="162"/>
    </row>
    <row r="85" spans="1:21" ht="18" customHeight="1" x14ac:dyDescent="0.15">
      <c r="A85" s="3"/>
      <c r="B85" s="127"/>
      <c r="C85" s="128"/>
      <c r="D85" s="128"/>
      <c r="E85" s="129"/>
      <c r="F85" s="157"/>
      <c r="G85" s="158"/>
      <c r="H85" s="158"/>
      <c r="I85" s="159"/>
      <c r="J85" s="127"/>
      <c r="K85" s="128"/>
      <c r="L85" s="128"/>
      <c r="M85" s="128"/>
      <c r="N85" s="128"/>
      <c r="O85" s="129"/>
      <c r="P85" s="157"/>
      <c r="Q85" s="158"/>
      <c r="R85" s="158"/>
      <c r="S85" s="159"/>
    </row>
    <row r="86" spans="1:21" ht="18" customHeight="1" x14ac:dyDescent="0.15">
      <c r="A86" s="3"/>
      <c r="B86" s="6"/>
      <c r="C86" s="6"/>
      <c r="D86" s="6"/>
      <c r="E86" s="6"/>
      <c r="F86" s="25"/>
      <c r="G86" s="85"/>
      <c r="H86" s="25"/>
      <c r="I86" s="25"/>
      <c r="J86" s="6"/>
      <c r="K86" s="6"/>
      <c r="L86" s="6"/>
      <c r="M86" s="6"/>
      <c r="N86" s="6"/>
      <c r="O86" s="6"/>
      <c r="P86" s="25"/>
      <c r="Q86" s="25"/>
      <c r="R86" s="25"/>
      <c r="S86" s="25"/>
    </row>
    <row r="87" spans="1:21" ht="18.75" customHeight="1" x14ac:dyDescent="0.15">
      <c r="A87" s="1" t="s">
        <v>170</v>
      </c>
    </row>
    <row r="88" spans="1:21" ht="18.75" customHeight="1" x14ac:dyDescent="0.15">
      <c r="B88" s="187" t="s">
        <v>55</v>
      </c>
      <c r="C88" s="188"/>
      <c r="D88" s="131" t="s">
        <v>56</v>
      </c>
      <c r="E88" s="131"/>
      <c r="F88" s="131"/>
      <c r="G88" s="131"/>
      <c r="H88" s="131"/>
      <c r="I88" s="131"/>
      <c r="J88" s="131"/>
      <c r="K88" s="131"/>
      <c r="L88" s="131"/>
      <c r="M88" s="131"/>
      <c r="N88" s="131"/>
      <c r="O88" s="131"/>
      <c r="P88" s="131"/>
      <c r="Q88" s="131"/>
      <c r="R88" s="131"/>
      <c r="S88" s="132"/>
      <c r="U88" s="87"/>
    </row>
    <row r="89" spans="1:21" ht="108" customHeight="1" x14ac:dyDescent="0.15">
      <c r="B89" s="178" t="s">
        <v>153</v>
      </c>
      <c r="C89" s="26" t="s">
        <v>57</v>
      </c>
      <c r="D89" s="189" t="s">
        <v>171</v>
      </c>
      <c r="E89" s="166"/>
      <c r="F89" s="166"/>
      <c r="G89" s="166"/>
      <c r="H89" s="166"/>
      <c r="I89" s="166"/>
      <c r="J89" s="166"/>
      <c r="K89" s="166"/>
      <c r="L89" s="166"/>
      <c r="M89" s="166"/>
      <c r="N89" s="166"/>
      <c r="O89" s="166"/>
      <c r="P89" s="166"/>
      <c r="Q89" s="166"/>
      <c r="R89" s="166"/>
      <c r="S89" s="167"/>
      <c r="T89" s="117"/>
    </row>
    <row r="90" spans="1:21" ht="83.25" customHeight="1" x14ac:dyDescent="0.15">
      <c r="B90" s="180"/>
      <c r="C90" s="27" t="s">
        <v>77</v>
      </c>
      <c r="D90" s="163" t="s">
        <v>172</v>
      </c>
      <c r="E90" s="164"/>
      <c r="F90" s="164"/>
      <c r="G90" s="164"/>
      <c r="H90" s="164"/>
      <c r="I90" s="164"/>
      <c r="J90" s="164"/>
      <c r="K90" s="164"/>
      <c r="L90" s="164"/>
      <c r="M90" s="164"/>
      <c r="N90" s="164"/>
      <c r="O90" s="164"/>
      <c r="P90" s="164"/>
      <c r="Q90" s="164"/>
      <c r="R90" s="164"/>
      <c r="S90" s="165"/>
      <c r="T90" s="117"/>
    </row>
    <row r="91" spans="1:21" ht="93.75" customHeight="1" x14ac:dyDescent="0.15">
      <c r="B91" s="178" t="s">
        <v>62</v>
      </c>
      <c r="C91" s="28" t="s">
        <v>71</v>
      </c>
      <c r="D91" s="166" t="s">
        <v>173</v>
      </c>
      <c r="E91" s="166"/>
      <c r="F91" s="166"/>
      <c r="G91" s="166"/>
      <c r="H91" s="166"/>
      <c r="I91" s="166"/>
      <c r="J91" s="166"/>
      <c r="K91" s="166"/>
      <c r="L91" s="166"/>
      <c r="M91" s="166"/>
      <c r="N91" s="166"/>
      <c r="O91" s="166"/>
      <c r="P91" s="166"/>
      <c r="Q91" s="166"/>
      <c r="R91" s="166"/>
      <c r="S91" s="167"/>
      <c r="T91" s="117"/>
    </row>
    <row r="92" spans="1:21" ht="82.5" customHeight="1" x14ac:dyDescent="0.15">
      <c r="B92" s="179"/>
      <c r="C92" s="29" t="s">
        <v>72</v>
      </c>
      <c r="D92" s="170" t="s">
        <v>174</v>
      </c>
      <c r="E92" s="164"/>
      <c r="F92" s="164"/>
      <c r="G92" s="164"/>
      <c r="H92" s="164"/>
      <c r="I92" s="164"/>
      <c r="J92" s="164"/>
      <c r="K92" s="164"/>
      <c r="L92" s="164"/>
      <c r="M92" s="164"/>
      <c r="N92" s="164"/>
      <c r="O92" s="164"/>
      <c r="P92" s="164"/>
      <c r="Q92" s="164"/>
      <c r="R92" s="164"/>
      <c r="S92" s="165"/>
      <c r="T92" s="117"/>
    </row>
    <row r="93" spans="1:21" ht="152.25" customHeight="1" x14ac:dyDescent="0.15">
      <c r="B93" s="178" t="s">
        <v>63</v>
      </c>
      <c r="C93" s="28" t="s">
        <v>73</v>
      </c>
      <c r="D93" s="166" t="s">
        <v>180</v>
      </c>
      <c r="E93" s="166"/>
      <c r="F93" s="166"/>
      <c r="G93" s="166"/>
      <c r="H93" s="166"/>
      <c r="I93" s="166"/>
      <c r="J93" s="166"/>
      <c r="K93" s="166"/>
      <c r="L93" s="166"/>
      <c r="M93" s="166"/>
      <c r="N93" s="166"/>
      <c r="O93" s="166"/>
      <c r="P93" s="166"/>
      <c r="Q93" s="166"/>
      <c r="R93" s="166"/>
      <c r="S93" s="167"/>
      <c r="T93" s="117"/>
    </row>
    <row r="94" spans="1:21" ht="83.25" customHeight="1" x14ac:dyDescent="0.15">
      <c r="B94" s="179"/>
      <c r="C94" s="30" t="s">
        <v>74</v>
      </c>
      <c r="D94" s="168" t="s">
        <v>181</v>
      </c>
      <c r="E94" s="168"/>
      <c r="F94" s="168"/>
      <c r="G94" s="168"/>
      <c r="H94" s="168"/>
      <c r="I94" s="168"/>
      <c r="J94" s="168"/>
      <c r="K94" s="168"/>
      <c r="L94" s="168"/>
      <c r="M94" s="168"/>
      <c r="N94" s="168"/>
      <c r="O94" s="168"/>
      <c r="P94" s="168"/>
      <c r="Q94" s="168"/>
      <c r="R94" s="168"/>
      <c r="S94" s="169"/>
      <c r="T94" s="117"/>
    </row>
    <row r="95" spans="1:21" ht="151.5" customHeight="1" x14ac:dyDescent="0.15">
      <c r="B95" s="178" t="s">
        <v>158</v>
      </c>
      <c r="C95" s="26" t="s">
        <v>59</v>
      </c>
      <c r="D95" s="185" t="s">
        <v>175</v>
      </c>
      <c r="E95" s="185"/>
      <c r="F95" s="185"/>
      <c r="G95" s="185"/>
      <c r="H95" s="185"/>
      <c r="I95" s="185"/>
      <c r="J95" s="185"/>
      <c r="K95" s="185"/>
      <c r="L95" s="185"/>
      <c r="M95" s="185"/>
      <c r="N95" s="185"/>
      <c r="O95" s="185"/>
      <c r="P95" s="185"/>
      <c r="Q95" s="185"/>
      <c r="R95" s="185"/>
      <c r="S95" s="186"/>
      <c r="T95" s="117"/>
    </row>
    <row r="96" spans="1:21" ht="72.75" customHeight="1" x14ac:dyDescent="0.15">
      <c r="B96" s="179"/>
      <c r="C96" s="29" t="s">
        <v>61</v>
      </c>
      <c r="D96" s="170" t="s">
        <v>176</v>
      </c>
      <c r="E96" s="170"/>
      <c r="F96" s="170"/>
      <c r="G96" s="170"/>
      <c r="H96" s="170"/>
      <c r="I96" s="170"/>
      <c r="J96" s="170"/>
      <c r="K96" s="170"/>
      <c r="L96" s="170"/>
      <c r="M96" s="170"/>
      <c r="N96" s="170"/>
      <c r="O96" s="170"/>
      <c r="P96" s="170"/>
      <c r="Q96" s="170"/>
      <c r="R96" s="170"/>
      <c r="S96" s="171"/>
      <c r="T96" s="117"/>
    </row>
    <row r="97" spans="1:20" ht="166.5" customHeight="1" x14ac:dyDescent="0.15">
      <c r="B97" s="178" t="s">
        <v>78</v>
      </c>
      <c r="C97" s="28" t="s">
        <v>58</v>
      </c>
      <c r="D97" s="181" t="s">
        <v>177</v>
      </c>
      <c r="E97" s="181"/>
      <c r="F97" s="181"/>
      <c r="G97" s="181"/>
      <c r="H97" s="181"/>
      <c r="I97" s="181"/>
      <c r="J97" s="181"/>
      <c r="K97" s="181"/>
      <c r="L97" s="181"/>
      <c r="M97" s="181"/>
      <c r="N97" s="181"/>
      <c r="O97" s="181"/>
      <c r="P97" s="181"/>
      <c r="Q97" s="181"/>
      <c r="R97" s="181"/>
      <c r="S97" s="182"/>
      <c r="T97" s="117"/>
    </row>
    <row r="98" spans="1:20" ht="96" customHeight="1" x14ac:dyDescent="0.15">
      <c r="B98" s="180"/>
      <c r="C98" s="31" t="s">
        <v>75</v>
      </c>
      <c r="D98" s="172" t="s">
        <v>178</v>
      </c>
      <c r="E98" s="173"/>
      <c r="F98" s="173"/>
      <c r="G98" s="173"/>
      <c r="H98" s="173"/>
      <c r="I98" s="173"/>
      <c r="J98" s="173"/>
      <c r="K98" s="173"/>
      <c r="L98" s="173"/>
      <c r="M98" s="173"/>
      <c r="N98" s="173"/>
      <c r="O98" s="173"/>
      <c r="P98" s="173"/>
      <c r="Q98" s="173"/>
      <c r="R98" s="173"/>
      <c r="S98" s="174"/>
      <c r="T98" s="117"/>
    </row>
    <row r="99" spans="1:20" ht="67.5" customHeight="1" x14ac:dyDescent="0.15">
      <c r="B99" s="179"/>
      <c r="C99" s="30" t="s">
        <v>76</v>
      </c>
      <c r="D99" s="183" t="s">
        <v>179</v>
      </c>
      <c r="E99" s="183"/>
      <c r="F99" s="183"/>
      <c r="G99" s="183"/>
      <c r="H99" s="183"/>
      <c r="I99" s="183"/>
      <c r="J99" s="183"/>
      <c r="K99" s="183"/>
      <c r="L99" s="183"/>
      <c r="M99" s="183"/>
      <c r="N99" s="183"/>
      <c r="O99" s="183"/>
      <c r="P99" s="183"/>
      <c r="Q99" s="183"/>
      <c r="R99" s="183"/>
      <c r="S99" s="184"/>
      <c r="T99" s="117"/>
    </row>
    <row r="100" spans="1:20" ht="6" customHeight="1" x14ac:dyDescent="0.15"/>
    <row r="101" spans="1:20" ht="18.75" customHeight="1" x14ac:dyDescent="0.15">
      <c r="A101" s="1" t="s">
        <v>118</v>
      </c>
    </row>
    <row r="102" spans="1:20" ht="81.75" customHeight="1" x14ac:dyDescent="0.15">
      <c r="B102" s="154" t="s">
        <v>152</v>
      </c>
      <c r="C102" s="155"/>
      <c r="D102" s="155"/>
      <c r="E102" s="155"/>
      <c r="F102" s="155"/>
      <c r="G102" s="155"/>
      <c r="H102" s="155"/>
      <c r="I102" s="155"/>
      <c r="J102" s="155"/>
      <c r="K102" s="155"/>
      <c r="L102" s="155"/>
      <c r="M102" s="155"/>
      <c r="N102" s="155"/>
      <c r="O102" s="155"/>
      <c r="P102" s="155"/>
      <c r="Q102" s="155"/>
      <c r="R102" s="155"/>
      <c r="S102" s="156"/>
    </row>
    <row r="110" spans="1:20"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AM2" sqref="AM2:AQ2"/>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105</v>
      </c>
    </row>
    <row r="2" spans="1:45" ht="18" customHeight="1" x14ac:dyDescent="0.15">
      <c r="K2" s="33"/>
      <c r="Q2" s="33"/>
      <c r="W2" s="33"/>
      <c r="AC2" s="33"/>
      <c r="AI2" s="33"/>
      <c r="AL2" s="33" t="s">
        <v>107</v>
      </c>
      <c r="AM2" s="196" t="str">
        <f>'様式１　プログラムを構成する授業科目'!C2</f>
        <v>神奈川大学</v>
      </c>
      <c r="AN2" s="196"/>
      <c r="AO2" s="196"/>
      <c r="AP2" s="196"/>
      <c r="AQ2" s="196"/>
    </row>
    <row r="3" spans="1:45" ht="18" customHeight="1" x14ac:dyDescent="0.15">
      <c r="A3" s="141" t="s">
        <v>48</v>
      </c>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82</v>
      </c>
      <c r="C5" s="197" t="s">
        <v>144</v>
      </c>
      <c r="D5" s="198"/>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80</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99" t="s">
        <v>45</v>
      </c>
      <c r="C9" s="214" t="s">
        <v>85</v>
      </c>
      <c r="D9" s="202" t="s">
        <v>47</v>
      </c>
      <c r="E9" s="205" t="s">
        <v>40</v>
      </c>
      <c r="F9" s="195" t="s">
        <v>84</v>
      </c>
      <c r="G9" s="195"/>
      <c r="H9" s="195"/>
      <c r="I9" s="195"/>
      <c r="J9" s="195"/>
      <c r="K9" s="195"/>
      <c r="L9" s="195" t="s">
        <v>49</v>
      </c>
      <c r="M9" s="195"/>
      <c r="N9" s="195"/>
      <c r="O9" s="195"/>
      <c r="P9" s="195"/>
      <c r="Q9" s="195"/>
      <c r="R9" s="195" t="s">
        <v>50</v>
      </c>
      <c r="S9" s="195"/>
      <c r="T9" s="195"/>
      <c r="U9" s="195"/>
      <c r="V9" s="195"/>
      <c r="W9" s="195"/>
      <c r="X9" s="195" t="s">
        <v>99</v>
      </c>
      <c r="Y9" s="195"/>
      <c r="Z9" s="195"/>
      <c r="AA9" s="195"/>
      <c r="AB9" s="195"/>
      <c r="AC9" s="195"/>
      <c r="AD9" s="195" t="s">
        <v>51</v>
      </c>
      <c r="AE9" s="195"/>
      <c r="AF9" s="195"/>
      <c r="AG9" s="195"/>
      <c r="AH9" s="195"/>
      <c r="AI9" s="195"/>
      <c r="AJ9" s="195" t="s">
        <v>52</v>
      </c>
      <c r="AK9" s="195"/>
      <c r="AL9" s="195"/>
      <c r="AM9" s="195"/>
      <c r="AN9" s="195"/>
      <c r="AO9" s="195"/>
      <c r="AP9" s="208" t="s">
        <v>35</v>
      </c>
      <c r="AQ9" s="211" t="s">
        <v>32</v>
      </c>
      <c r="AS9" s="2"/>
    </row>
    <row r="10" spans="1:45" ht="16.899999999999999" customHeight="1" x14ac:dyDescent="0.15">
      <c r="B10" s="200"/>
      <c r="C10" s="215"/>
      <c r="D10" s="203"/>
      <c r="E10" s="206"/>
      <c r="F10" s="193" t="s">
        <v>95</v>
      </c>
      <c r="G10" s="194"/>
      <c r="H10" s="194"/>
      <c r="I10" s="193" t="s">
        <v>29</v>
      </c>
      <c r="J10" s="194"/>
      <c r="K10" s="194"/>
      <c r="L10" s="193" t="s">
        <v>95</v>
      </c>
      <c r="M10" s="194"/>
      <c r="N10" s="194"/>
      <c r="O10" s="193" t="s">
        <v>29</v>
      </c>
      <c r="P10" s="194"/>
      <c r="Q10" s="194"/>
      <c r="R10" s="193" t="s">
        <v>95</v>
      </c>
      <c r="S10" s="194"/>
      <c r="T10" s="194"/>
      <c r="U10" s="193" t="s">
        <v>29</v>
      </c>
      <c r="V10" s="194"/>
      <c r="W10" s="194"/>
      <c r="X10" s="193" t="s">
        <v>95</v>
      </c>
      <c r="Y10" s="194"/>
      <c r="Z10" s="194"/>
      <c r="AA10" s="193" t="s">
        <v>29</v>
      </c>
      <c r="AB10" s="194"/>
      <c r="AC10" s="194"/>
      <c r="AD10" s="193" t="s">
        <v>95</v>
      </c>
      <c r="AE10" s="194"/>
      <c r="AF10" s="194"/>
      <c r="AG10" s="193" t="s">
        <v>29</v>
      </c>
      <c r="AH10" s="194"/>
      <c r="AI10" s="194"/>
      <c r="AJ10" s="193" t="s">
        <v>95</v>
      </c>
      <c r="AK10" s="194"/>
      <c r="AL10" s="194"/>
      <c r="AM10" s="193" t="s">
        <v>29</v>
      </c>
      <c r="AN10" s="194"/>
      <c r="AO10" s="194"/>
      <c r="AP10" s="209"/>
      <c r="AQ10" s="212"/>
      <c r="AS10" s="2"/>
    </row>
    <row r="11" spans="1:45" ht="18" customHeight="1" x14ac:dyDescent="0.15">
      <c r="B11" s="201"/>
      <c r="C11" s="216"/>
      <c r="D11" s="204"/>
      <c r="E11" s="207"/>
      <c r="F11" s="17" t="s">
        <v>96</v>
      </c>
      <c r="G11" s="18" t="s">
        <v>97</v>
      </c>
      <c r="H11" s="19" t="s">
        <v>98</v>
      </c>
      <c r="I11" s="17" t="s">
        <v>96</v>
      </c>
      <c r="J11" s="18" t="s">
        <v>97</v>
      </c>
      <c r="K11" s="19" t="s">
        <v>98</v>
      </c>
      <c r="L11" s="17" t="s">
        <v>96</v>
      </c>
      <c r="M11" s="18" t="s">
        <v>97</v>
      </c>
      <c r="N11" s="19" t="s">
        <v>98</v>
      </c>
      <c r="O11" s="17" t="s">
        <v>96</v>
      </c>
      <c r="P11" s="18" t="s">
        <v>97</v>
      </c>
      <c r="Q11" s="19" t="s">
        <v>98</v>
      </c>
      <c r="R11" s="17" t="s">
        <v>96</v>
      </c>
      <c r="S11" s="18" t="s">
        <v>97</v>
      </c>
      <c r="T11" s="19" t="s">
        <v>98</v>
      </c>
      <c r="U11" s="17" t="s">
        <v>96</v>
      </c>
      <c r="V11" s="18" t="s">
        <v>97</v>
      </c>
      <c r="W11" s="19" t="s">
        <v>98</v>
      </c>
      <c r="X11" s="17" t="s">
        <v>96</v>
      </c>
      <c r="Y11" s="18" t="s">
        <v>97</v>
      </c>
      <c r="Z11" s="19" t="s">
        <v>98</v>
      </c>
      <c r="AA11" s="17" t="s">
        <v>96</v>
      </c>
      <c r="AB11" s="18" t="s">
        <v>97</v>
      </c>
      <c r="AC11" s="19" t="s">
        <v>98</v>
      </c>
      <c r="AD11" s="17" t="s">
        <v>96</v>
      </c>
      <c r="AE11" s="18" t="s">
        <v>97</v>
      </c>
      <c r="AF11" s="19" t="s">
        <v>98</v>
      </c>
      <c r="AG11" s="17" t="s">
        <v>96</v>
      </c>
      <c r="AH11" s="18" t="s">
        <v>97</v>
      </c>
      <c r="AI11" s="19" t="s">
        <v>98</v>
      </c>
      <c r="AJ11" s="17" t="s">
        <v>96</v>
      </c>
      <c r="AK11" s="18" t="s">
        <v>97</v>
      </c>
      <c r="AL11" s="19" t="s">
        <v>98</v>
      </c>
      <c r="AM11" s="17" t="s">
        <v>96</v>
      </c>
      <c r="AN11" s="18" t="s">
        <v>97</v>
      </c>
      <c r="AO11" s="19" t="s">
        <v>98</v>
      </c>
      <c r="AP11" s="210"/>
      <c r="AQ11" s="213"/>
      <c r="AS11" s="2"/>
    </row>
    <row r="12" spans="1:45" ht="18" customHeight="1" x14ac:dyDescent="0.15">
      <c r="A12" s="6"/>
      <c r="B12" s="11" t="s">
        <v>140</v>
      </c>
      <c r="C12" s="47">
        <v>2483</v>
      </c>
      <c r="D12" s="48">
        <v>600</v>
      </c>
      <c r="E12" s="49">
        <v>2400</v>
      </c>
      <c r="F12" s="49">
        <v>319</v>
      </c>
      <c r="G12" s="93"/>
      <c r="H12" s="94"/>
      <c r="I12" s="49">
        <v>304</v>
      </c>
      <c r="J12" s="93"/>
      <c r="K12" s="94"/>
      <c r="L12" s="49">
        <f>M12+N12</f>
        <v>0</v>
      </c>
      <c r="M12" s="50"/>
      <c r="N12" s="51"/>
      <c r="O12" s="49">
        <f>P12+Q12</f>
        <v>0</v>
      </c>
      <c r="P12" s="50"/>
      <c r="Q12" s="51"/>
      <c r="R12" s="49">
        <f>S12+T12</f>
        <v>0</v>
      </c>
      <c r="S12" s="50"/>
      <c r="T12" s="51"/>
      <c r="U12" s="49">
        <f>V12+W12</f>
        <v>0</v>
      </c>
      <c r="V12" s="50"/>
      <c r="W12" s="51"/>
      <c r="X12" s="49">
        <f>Y12+Z12</f>
        <v>0</v>
      </c>
      <c r="Y12" s="50"/>
      <c r="Z12" s="51"/>
      <c r="AA12" s="49">
        <f>AB12+AC12</f>
        <v>0</v>
      </c>
      <c r="AB12" s="50"/>
      <c r="AC12" s="51"/>
      <c r="AD12" s="49">
        <f>AE12+AF12</f>
        <v>0</v>
      </c>
      <c r="AE12" s="50"/>
      <c r="AF12" s="51"/>
      <c r="AG12" s="49">
        <f>AH12+AI12</f>
        <v>0</v>
      </c>
      <c r="AH12" s="50"/>
      <c r="AI12" s="51"/>
      <c r="AJ12" s="49">
        <f>AK12+AL12</f>
        <v>0</v>
      </c>
      <c r="AK12" s="50"/>
      <c r="AL12" s="51"/>
      <c r="AM12" s="49">
        <f>AN12+AO12</f>
        <v>0</v>
      </c>
      <c r="AN12" s="50"/>
      <c r="AO12" s="51"/>
      <c r="AP12" s="48">
        <f>F12+L12+R12+X12+AD12+AJ12</f>
        <v>319</v>
      </c>
      <c r="AQ12" s="86">
        <f>AP12/E12</f>
        <v>0.13291666666666666</v>
      </c>
    </row>
    <row r="13" spans="1:45" ht="18" customHeight="1" x14ac:dyDescent="0.15">
      <c r="A13" s="6"/>
      <c r="B13" s="12" t="s">
        <v>148</v>
      </c>
      <c r="C13" s="52">
        <v>4033</v>
      </c>
      <c r="D13" s="53">
        <v>950</v>
      </c>
      <c r="E13" s="54">
        <v>3950</v>
      </c>
      <c r="F13" s="55">
        <v>488</v>
      </c>
      <c r="G13" s="95"/>
      <c r="H13" s="96"/>
      <c r="I13" s="55">
        <v>452</v>
      </c>
      <c r="J13" s="95"/>
      <c r="K13" s="96"/>
      <c r="L13" s="55">
        <f t="shared" ref="L13:L31" si="0">M13+N13</f>
        <v>0</v>
      </c>
      <c r="M13" s="56"/>
      <c r="N13" s="57"/>
      <c r="O13" s="55">
        <f t="shared" ref="O13:O31" si="1">P13+Q13</f>
        <v>0</v>
      </c>
      <c r="P13" s="56"/>
      <c r="Q13" s="57"/>
      <c r="R13" s="55">
        <f t="shared" ref="R13:R31" si="2">S13+T13</f>
        <v>0</v>
      </c>
      <c r="S13" s="56"/>
      <c r="T13" s="57"/>
      <c r="U13" s="55">
        <f t="shared" ref="U13:U31" si="3">V13+W13</f>
        <v>0</v>
      </c>
      <c r="V13" s="56"/>
      <c r="W13" s="57"/>
      <c r="X13" s="55">
        <f t="shared" ref="X13:X31" si="4">Y13+Z13</f>
        <v>0</v>
      </c>
      <c r="Y13" s="56"/>
      <c r="Z13" s="57"/>
      <c r="AA13" s="55">
        <f t="shared" ref="AA13:AA31" si="5">AB13+AC13</f>
        <v>0</v>
      </c>
      <c r="AB13" s="56"/>
      <c r="AC13" s="57"/>
      <c r="AD13" s="55">
        <f t="shared" ref="AD13:AD31" si="6">AE13+AF13</f>
        <v>0</v>
      </c>
      <c r="AE13" s="56"/>
      <c r="AF13" s="57"/>
      <c r="AG13" s="55">
        <f t="shared" ref="AG13:AG31" si="7">AH13+AI13</f>
        <v>0</v>
      </c>
      <c r="AH13" s="56"/>
      <c r="AI13" s="57"/>
      <c r="AJ13" s="55">
        <f t="shared" ref="AJ13:AJ31" si="8">AK13+AL13</f>
        <v>0</v>
      </c>
      <c r="AK13" s="56"/>
      <c r="AL13" s="57"/>
      <c r="AM13" s="55">
        <f t="shared" ref="AM13:AM31" si="9">AN13+AO13</f>
        <v>0</v>
      </c>
      <c r="AN13" s="56"/>
      <c r="AO13" s="57"/>
      <c r="AP13" s="53">
        <f t="shared" ref="AP13:AP31" si="10">F13+L13+R13+X13+AD13+AJ13</f>
        <v>488</v>
      </c>
      <c r="AQ13" s="8">
        <f t="shared" ref="AQ13:AQ32" si="11">AP13/E13</f>
        <v>0.12354430379746835</v>
      </c>
    </row>
    <row r="14" spans="1:45" ht="18" customHeight="1" x14ac:dyDescent="0.15">
      <c r="A14" s="6"/>
      <c r="B14" s="12" t="s">
        <v>141</v>
      </c>
      <c r="C14" s="52">
        <v>2140</v>
      </c>
      <c r="D14" s="53">
        <v>530</v>
      </c>
      <c r="E14" s="54">
        <v>2120</v>
      </c>
      <c r="F14" s="55">
        <v>307</v>
      </c>
      <c r="G14" s="95"/>
      <c r="H14" s="96"/>
      <c r="I14" s="55">
        <v>265</v>
      </c>
      <c r="J14" s="95"/>
      <c r="K14" s="96"/>
      <c r="L14" s="55">
        <f t="shared" si="0"/>
        <v>0</v>
      </c>
      <c r="M14" s="56"/>
      <c r="N14" s="57"/>
      <c r="O14" s="55">
        <f t="shared" si="1"/>
        <v>0</v>
      </c>
      <c r="P14" s="56"/>
      <c r="Q14" s="57"/>
      <c r="R14" s="55">
        <f t="shared" si="2"/>
        <v>0</v>
      </c>
      <c r="S14" s="56"/>
      <c r="T14" s="57"/>
      <c r="U14" s="55">
        <f t="shared" si="3"/>
        <v>0</v>
      </c>
      <c r="V14" s="56"/>
      <c r="W14" s="57"/>
      <c r="X14" s="55">
        <f t="shared" si="4"/>
        <v>0</v>
      </c>
      <c r="Y14" s="56"/>
      <c r="Z14" s="57"/>
      <c r="AA14" s="55">
        <f t="shared" si="5"/>
        <v>0</v>
      </c>
      <c r="AB14" s="56"/>
      <c r="AC14" s="57"/>
      <c r="AD14" s="55">
        <f t="shared" si="6"/>
        <v>0</v>
      </c>
      <c r="AE14" s="56"/>
      <c r="AF14" s="57"/>
      <c r="AG14" s="55">
        <f t="shared" si="7"/>
        <v>0</v>
      </c>
      <c r="AH14" s="56"/>
      <c r="AI14" s="57"/>
      <c r="AJ14" s="55">
        <f t="shared" si="8"/>
        <v>0</v>
      </c>
      <c r="AK14" s="56"/>
      <c r="AL14" s="57"/>
      <c r="AM14" s="55">
        <f t="shared" si="9"/>
        <v>0</v>
      </c>
      <c r="AN14" s="56"/>
      <c r="AO14" s="57"/>
      <c r="AP14" s="53">
        <f t="shared" si="10"/>
        <v>307</v>
      </c>
      <c r="AQ14" s="8">
        <f t="shared" si="11"/>
        <v>0.14481132075471698</v>
      </c>
    </row>
    <row r="15" spans="1:45" ht="18" customHeight="1" x14ac:dyDescent="0.15">
      <c r="A15" s="6"/>
      <c r="B15" s="12" t="s">
        <v>149</v>
      </c>
      <c r="C15" s="71">
        <v>1587</v>
      </c>
      <c r="D15" s="53">
        <v>350</v>
      </c>
      <c r="E15" s="54">
        <v>1500</v>
      </c>
      <c r="F15" s="55">
        <v>183</v>
      </c>
      <c r="G15" s="95"/>
      <c r="H15" s="96"/>
      <c r="I15" s="55">
        <v>164</v>
      </c>
      <c r="J15" s="95"/>
      <c r="K15" s="96"/>
      <c r="L15" s="55">
        <f t="shared" si="0"/>
        <v>0</v>
      </c>
      <c r="M15" s="56"/>
      <c r="N15" s="57"/>
      <c r="O15" s="55">
        <f t="shared" si="1"/>
        <v>0</v>
      </c>
      <c r="P15" s="56"/>
      <c r="Q15" s="57"/>
      <c r="R15" s="55">
        <f t="shared" si="2"/>
        <v>0</v>
      </c>
      <c r="S15" s="56"/>
      <c r="T15" s="57"/>
      <c r="U15" s="55">
        <f t="shared" si="3"/>
        <v>0</v>
      </c>
      <c r="V15" s="56"/>
      <c r="W15" s="57"/>
      <c r="X15" s="55">
        <f t="shared" si="4"/>
        <v>0</v>
      </c>
      <c r="Y15" s="56"/>
      <c r="Z15" s="57"/>
      <c r="AA15" s="55">
        <f t="shared" si="5"/>
        <v>0</v>
      </c>
      <c r="AB15" s="56"/>
      <c r="AC15" s="57"/>
      <c r="AD15" s="55">
        <f t="shared" si="6"/>
        <v>0</v>
      </c>
      <c r="AE15" s="56"/>
      <c r="AF15" s="57"/>
      <c r="AG15" s="55">
        <f t="shared" si="7"/>
        <v>0</v>
      </c>
      <c r="AH15" s="56"/>
      <c r="AI15" s="57"/>
      <c r="AJ15" s="55">
        <f t="shared" si="8"/>
        <v>0</v>
      </c>
      <c r="AK15" s="56"/>
      <c r="AL15" s="57"/>
      <c r="AM15" s="55">
        <f t="shared" si="9"/>
        <v>0</v>
      </c>
      <c r="AN15" s="56"/>
      <c r="AO15" s="57"/>
      <c r="AP15" s="53">
        <f t="shared" si="10"/>
        <v>183</v>
      </c>
      <c r="AQ15" s="8">
        <f t="shared" si="11"/>
        <v>0.122</v>
      </c>
    </row>
    <row r="16" spans="1:45" ht="18" customHeight="1" x14ac:dyDescent="0.15">
      <c r="A16" s="6"/>
      <c r="B16" s="12" t="s">
        <v>150</v>
      </c>
      <c r="C16" s="71">
        <v>936</v>
      </c>
      <c r="D16" s="53">
        <v>300</v>
      </c>
      <c r="E16" s="54">
        <v>900</v>
      </c>
      <c r="F16" s="55">
        <v>125</v>
      </c>
      <c r="G16" s="95"/>
      <c r="H16" s="96"/>
      <c r="I16" s="55">
        <v>116</v>
      </c>
      <c r="J16" s="95"/>
      <c r="K16" s="96"/>
      <c r="L16" s="55">
        <f t="shared" si="0"/>
        <v>0</v>
      </c>
      <c r="M16" s="56"/>
      <c r="N16" s="57"/>
      <c r="O16" s="55">
        <f t="shared" si="1"/>
        <v>0</v>
      </c>
      <c r="P16" s="56"/>
      <c r="Q16" s="57"/>
      <c r="R16" s="55">
        <f t="shared" si="2"/>
        <v>0</v>
      </c>
      <c r="S16" s="56"/>
      <c r="T16" s="57"/>
      <c r="U16" s="55">
        <f t="shared" si="3"/>
        <v>0</v>
      </c>
      <c r="V16" s="56"/>
      <c r="W16" s="57"/>
      <c r="X16" s="55">
        <f t="shared" si="4"/>
        <v>0</v>
      </c>
      <c r="Y16" s="56"/>
      <c r="Z16" s="57"/>
      <c r="AA16" s="55">
        <f t="shared" si="5"/>
        <v>0</v>
      </c>
      <c r="AB16" s="56"/>
      <c r="AC16" s="57"/>
      <c r="AD16" s="55">
        <f t="shared" si="6"/>
        <v>0</v>
      </c>
      <c r="AE16" s="56"/>
      <c r="AF16" s="57"/>
      <c r="AG16" s="55">
        <f t="shared" si="7"/>
        <v>0</v>
      </c>
      <c r="AH16" s="56"/>
      <c r="AI16" s="57"/>
      <c r="AJ16" s="55">
        <f t="shared" si="8"/>
        <v>0</v>
      </c>
      <c r="AK16" s="56"/>
      <c r="AL16" s="57"/>
      <c r="AM16" s="55">
        <f t="shared" si="9"/>
        <v>0</v>
      </c>
      <c r="AN16" s="56"/>
      <c r="AO16" s="57"/>
      <c r="AP16" s="53">
        <f t="shared" si="10"/>
        <v>125</v>
      </c>
      <c r="AQ16" s="8">
        <f t="shared" si="11"/>
        <v>0.1388888888888889</v>
      </c>
    </row>
    <row r="17" spans="1:43" ht="18" customHeight="1" x14ac:dyDescent="0.15">
      <c r="A17" s="6"/>
      <c r="B17" s="12" t="s">
        <v>142</v>
      </c>
      <c r="C17" s="71">
        <v>1233</v>
      </c>
      <c r="D17" s="53">
        <v>300</v>
      </c>
      <c r="E17" s="54">
        <v>1200</v>
      </c>
      <c r="F17" s="55">
        <v>120</v>
      </c>
      <c r="G17" s="95"/>
      <c r="H17" s="96"/>
      <c r="I17" s="55">
        <v>109</v>
      </c>
      <c r="J17" s="95"/>
      <c r="K17" s="96"/>
      <c r="L17" s="55">
        <f t="shared" si="0"/>
        <v>0</v>
      </c>
      <c r="M17" s="56"/>
      <c r="N17" s="57"/>
      <c r="O17" s="55">
        <f t="shared" si="1"/>
        <v>0</v>
      </c>
      <c r="P17" s="56"/>
      <c r="Q17" s="57"/>
      <c r="R17" s="55">
        <f t="shared" si="2"/>
        <v>0</v>
      </c>
      <c r="S17" s="56"/>
      <c r="T17" s="57"/>
      <c r="U17" s="55">
        <f t="shared" si="3"/>
        <v>0</v>
      </c>
      <c r="V17" s="56"/>
      <c r="W17" s="57"/>
      <c r="X17" s="55">
        <f t="shared" si="4"/>
        <v>0</v>
      </c>
      <c r="Y17" s="56"/>
      <c r="Z17" s="57"/>
      <c r="AA17" s="55">
        <f t="shared" si="5"/>
        <v>0</v>
      </c>
      <c r="AB17" s="56"/>
      <c r="AC17" s="57"/>
      <c r="AD17" s="55">
        <f t="shared" si="6"/>
        <v>0</v>
      </c>
      <c r="AE17" s="56"/>
      <c r="AF17" s="57"/>
      <c r="AG17" s="55">
        <f t="shared" si="7"/>
        <v>0</v>
      </c>
      <c r="AH17" s="56"/>
      <c r="AI17" s="57"/>
      <c r="AJ17" s="55">
        <f t="shared" si="8"/>
        <v>0</v>
      </c>
      <c r="AK17" s="56"/>
      <c r="AL17" s="57"/>
      <c r="AM17" s="55">
        <f t="shared" si="9"/>
        <v>0</v>
      </c>
      <c r="AN17" s="56"/>
      <c r="AO17" s="57"/>
      <c r="AP17" s="53">
        <f t="shared" si="10"/>
        <v>120</v>
      </c>
      <c r="AQ17" s="8">
        <f t="shared" si="11"/>
        <v>0.1</v>
      </c>
    </row>
    <row r="18" spans="1:43" ht="18" customHeight="1" x14ac:dyDescent="0.15">
      <c r="A18" s="6"/>
      <c r="B18" s="12" t="s">
        <v>143</v>
      </c>
      <c r="C18" s="71">
        <v>1564</v>
      </c>
      <c r="D18" s="53">
        <v>400</v>
      </c>
      <c r="E18" s="54">
        <v>1600</v>
      </c>
      <c r="F18" s="55">
        <v>119</v>
      </c>
      <c r="G18" s="95"/>
      <c r="H18" s="96"/>
      <c r="I18" s="55">
        <v>109</v>
      </c>
      <c r="J18" s="95"/>
      <c r="K18" s="96"/>
      <c r="L18" s="55">
        <f t="shared" si="0"/>
        <v>0</v>
      </c>
      <c r="M18" s="56"/>
      <c r="N18" s="57"/>
      <c r="O18" s="55">
        <f t="shared" si="1"/>
        <v>0</v>
      </c>
      <c r="P18" s="56"/>
      <c r="Q18" s="57"/>
      <c r="R18" s="55">
        <f t="shared" si="2"/>
        <v>0</v>
      </c>
      <c r="S18" s="56"/>
      <c r="T18" s="57"/>
      <c r="U18" s="55">
        <f t="shared" si="3"/>
        <v>0</v>
      </c>
      <c r="V18" s="56"/>
      <c r="W18" s="57"/>
      <c r="X18" s="55">
        <f t="shared" si="4"/>
        <v>0</v>
      </c>
      <c r="Y18" s="56"/>
      <c r="Z18" s="57"/>
      <c r="AA18" s="55">
        <f t="shared" si="5"/>
        <v>0</v>
      </c>
      <c r="AB18" s="56"/>
      <c r="AC18" s="57"/>
      <c r="AD18" s="55">
        <f t="shared" si="6"/>
        <v>0</v>
      </c>
      <c r="AE18" s="56"/>
      <c r="AF18" s="57"/>
      <c r="AG18" s="55">
        <f t="shared" si="7"/>
        <v>0</v>
      </c>
      <c r="AH18" s="56"/>
      <c r="AI18" s="57"/>
      <c r="AJ18" s="55">
        <f t="shared" si="8"/>
        <v>0</v>
      </c>
      <c r="AK18" s="56"/>
      <c r="AL18" s="57"/>
      <c r="AM18" s="55">
        <f t="shared" si="9"/>
        <v>0</v>
      </c>
      <c r="AN18" s="56"/>
      <c r="AO18" s="57"/>
      <c r="AP18" s="53">
        <f t="shared" si="10"/>
        <v>119</v>
      </c>
      <c r="AQ18" s="8">
        <f t="shared" si="11"/>
        <v>7.4374999999999997E-2</v>
      </c>
    </row>
    <row r="19" spans="1:43" ht="18" customHeight="1" x14ac:dyDescent="0.15">
      <c r="A19" s="6"/>
      <c r="B19" s="12" t="s">
        <v>151</v>
      </c>
      <c r="C19" s="71">
        <v>3174</v>
      </c>
      <c r="D19" s="53">
        <v>705</v>
      </c>
      <c r="E19" s="54">
        <v>3255</v>
      </c>
      <c r="F19" s="55">
        <v>347</v>
      </c>
      <c r="G19" s="95"/>
      <c r="H19" s="96"/>
      <c r="I19" s="55">
        <v>332</v>
      </c>
      <c r="J19" s="95"/>
      <c r="K19" s="96"/>
      <c r="L19" s="55">
        <f t="shared" si="0"/>
        <v>0</v>
      </c>
      <c r="M19" s="56"/>
      <c r="N19" s="57"/>
      <c r="O19" s="55">
        <f t="shared" si="1"/>
        <v>0</v>
      </c>
      <c r="P19" s="56"/>
      <c r="Q19" s="57"/>
      <c r="R19" s="55">
        <f t="shared" si="2"/>
        <v>0</v>
      </c>
      <c r="S19" s="56"/>
      <c r="T19" s="57"/>
      <c r="U19" s="55">
        <f t="shared" si="3"/>
        <v>0</v>
      </c>
      <c r="V19" s="56"/>
      <c r="W19" s="57"/>
      <c r="X19" s="55">
        <f t="shared" si="4"/>
        <v>0</v>
      </c>
      <c r="Y19" s="56"/>
      <c r="Z19" s="57"/>
      <c r="AA19" s="55">
        <f t="shared" si="5"/>
        <v>0</v>
      </c>
      <c r="AB19" s="56"/>
      <c r="AC19" s="57"/>
      <c r="AD19" s="55">
        <f t="shared" si="6"/>
        <v>0</v>
      </c>
      <c r="AE19" s="56"/>
      <c r="AF19" s="57"/>
      <c r="AG19" s="55">
        <f t="shared" si="7"/>
        <v>0</v>
      </c>
      <c r="AH19" s="56"/>
      <c r="AI19" s="57"/>
      <c r="AJ19" s="55">
        <f t="shared" si="8"/>
        <v>0</v>
      </c>
      <c r="AK19" s="56"/>
      <c r="AL19" s="57"/>
      <c r="AM19" s="55">
        <f t="shared" si="9"/>
        <v>0</v>
      </c>
      <c r="AN19" s="56"/>
      <c r="AO19" s="57"/>
      <c r="AP19" s="53">
        <f t="shared" si="10"/>
        <v>347</v>
      </c>
      <c r="AQ19" s="8">
        <f t="shared" si="11"/>
        <v>0.10660522273425499</v>
      </c>
    </row>
    <row r="20" spans="1:43" ht="18" customHeight="1" x14ac:dyDescent="0.15">
      <c r="A20" s="6"/>
      <c r="B20" s="12" t="s">
        <v>147</v>
      </c>
      <c r="C20" s="52">
        <v>204</v>
      </c>
      <c r="D20" s="53">
        <v>200</v>
      </c>
      <c r="E20" s="54">
        <v>200</v>
      </c>
      <c r="F20" s="55">
        <v>73</v>
      </c>
      <c r="G20" s="95"/>
      <c r="H20" s="96"/>
      <c r="I20" s="55">
        <v>71</v>
      </c>
      <c r="J20" s="95"/>
      <c r="K20" s="96"/>
      <c r="L20" s="55">
        <f t="shared" si="0"/>
        <v>0</v>
      </c>
      <c r="M20" s="56"/>
      <c r="N20" s="57"/>
      <c r="O20" s="55">
        <f t="shared" si="1"/>
        <v>0</v>
      </c>
      <c r="P20" s="56"/>
      <c r="Q20" s="57"/>
      <c r="R20" s="55">
        <f t="shared" si="2"/>
        <v>0</v>
      </c>
      <c r="S20" s="56"/>
      <c r="T20" s="57"/>
      <c r="U20" s="55">
        <f t="shared" si="3"/>
        <v>0</v>
      </c>
      <c r="V20" s="56"/>
      <c r="W20" s="57"/>
      <c r="X20" s="55">
        <f t="shared" si="4"/>
        <v>0</v>
      </c>
      <c r="Y20" s="56"/>
      <c r="Z20" s="57"/>
      <c r="AA20" s="55">
        <f t="shared" si="5"/>
        <v>0</v>
      </c>
      <c r="AB20" s="56"/>
      <c r="AC20" s="57"/>
      <c r="AD20" s="55">
        <f t="shared" si="6"/>
        <v>0</v>
      </c>
      <c r="AE20" s="56"/>
      <c r="AF20" s="57"/>
      <c r="AG20" s="55">
        <f t="shared" si="7"/>
        <v>0</v>
      </c>
      <c r="AH20" s="56"/>
      <c r="AI20" s="57"/>
      <c r="AJ20" s="55">
        <f t="shared" si="8"/>
        <v>0</v>
      </c>
      <c r="AK20" s="56"/>
      <c r="AL20" s="57"/>
      <c r="AM20" s="55">
        <f t="shared" si="9"/>
        <v>0</v>
      </c>
      <c r="AN20" s="56"/>
      <c r="AO20" s="57"/>
      <c r="AP20" s="53">
        <f t="shared" si="10"/>
        <v>73</v>
      </c>
      <c r="AQ20" s="8">
        <f t="shared" si="11"/>
        <v>0.36499999999999999</v>
      </c>
    </row>
    <row r="21" spans="1:43" ht="18" customHeight="1" x14ac:dyDescent="0.15">
      <c r="A21" s="6"/>
      <c r="B21" s="12" t="s">
        <v>146</v>
      </c>
      <c r="C21" s="52"/>
      <c r="D21" s="53"/>
      <c r="E21" s="54"/>
      <c r="F21" s="55">
        <f t="shared" ref="F21:F31" si="12">G21+H21</f>
        <v>0</v>
      </c>
      <c r="G21" s="56"/>
      <c r="H21" s="57"/>
      <c r="I21" s="55">
        <f t="shared" ref="I21:I31" si="13">J21+K21</f>
        <v>0</v>
      </c>
      <c r="J21" s="56"/>
      <c r="K21" s="57"/>
      <c r="L21" s="55">
        <f t="shared" si="0"/>
        <v>0</v>
      </c>
      <c r="M21" s="56"/>
      <c r="N21" s="57"/>
      <c r="O21" s="55">
        <f t="shared" si="1"/>
        <v>0</v>
      </c>
      <c r="P21" s="56"/>
      <c r="Q21" s="57"/>
      <c r="R21" s="55">
        <f t="shared" si="2"/>
        <v>0</v>
      </c>
      <c r="S21" s="56"/>
      <c r="T21" s="57"/>
      <c r="U21" s="55">
        <f t="shared" si="3"/>
        <v>0</v>
      </c>
      <c r="V21" s="56"/>
      <c r="W21" s="57"/>
      <c r="X21" s="55">
        <f t="shared" si="4"/>
        <v>0</v>
      </c>
      <c r="Y21" s="56"/>
      <c r="Z21" s="57"/>
      <c r="AA21" s="55">
        <f t="shared" si="5"/>
        <v>0</v>
      </c>
      <c r="AB21" s="56"/>
      <c r="AC21" s="57"/>
      <c r="AD21" s="55">
        <f t="shared" si="6"/>
        <v>0</v>
      </c>
      <c r="AE21" s="56"/>
      <c r="AF21" s="57"/>
      <c r="AG21" s="55">
        <f t="shared" si="7"/>
        <v>0</v>
      </c>
      <c r="AH21" s="56"/>
      <c r="AI21" s="57"/>
      <c r="AJ21" s="55">
        <f t="shared" si="8"/>
        <v>0</v>
      </c>
      <c r="AK21" s="56"/>
      <c r="AL21" s="57"/>
      <c r="AM21" s="55">
        <f t="shared" si="9"/>
        <v>0</v>
      </c>
      <c r="AN21" s="56"/>
      <c r="AO21" s="57"/>
      <c r="AP21" s="53">
        <f t="shared" si="10"/>
        <v>0</v>
      </c>
      <c r="AQ21" s="8" t="e">
        <f t="shared" si="11"/>
        <v>#DIV/0!</v>
      </c>
    </row>
    <row r="22" spans="1:43" ht="18" customHeight="1" x14ac:dyDescent="0.15">
      <c r="A22" s="6"/>
      <c r="B22" s="12"/>
      <c r="C22" s="52"/>
      <c r="D22" s="53"/>
      <c r="E22" s="54"/>
      <c r="F22" s="55">
        <f t="shared" si="12"/>
        <v>0</v>
      </c>
      <c r="G22" s="56"/>
      <c r="H22" s="57"/>
      <c r="I22" s="55">
        <f t="shared" si="13"/>
        <v>0</v>
      </c>
      <c r="J22" s="56"/>
      <c r="K22" s="57"/>
      <c r="L22" s="55">
        <f t="shared" si="0"/>
        <v>0</v>
      </c>
      <c r="M22" s="56"/>
      <c r="N22" s="57"/>
      <c r="O22" s="55">
        <f t="shared" si="1"/>
        <v>0</v>
      </c>
      <c r="P22" s="56"/>
      <c r="Q22" s="57"/>
      <c r="R22" s="55">
        <f t="shared" si="2"/>
        <v>0</v>
      </c>
      <c r="S22" s="56"/>
      <c r="T22" s="57"/>
      <c r="U22" s="55">
        <f t="shared" si="3"/>
        <v>0</v>
      </c>
      <c r="V22" s="56"/>
      <c r="W22" s="57"/>
      <c r="X22" s="55">
        <f t="shared" si="4"/>
        <v>0</v>
      </c>
      <c r="Y22" s="56"/>
      <c r="Z22" s="57"/>
      <c r="AA22" s="55">
        <f t="shared" si="5"/>
        <v>0</v>
      </c>
      <c r="AB22" s="56"/>
      <c r="AC22" s="57"/>
      <c r="AD22" s="55">
        <f t="shared" si="6"/>
        <v>0</v>
      </c>
      <c r="AE22" s="56"/>
      <c r="AF22" s="57"/>
      <c r="AG22" s="55">
        <f t="shared" si="7"/>
        <v>0</v>
      </c>
      <c r="AH22" s="56"/>
      <c r="AI22" s="57"/>
      <c r="AJ22" s="55">
        <f t="shared" si="8"/>
        <v>0</v>
      </c>
      <c r="AK22" s="56"/>
      <c r="AL22" s="57"/>
      <c r="AM22" s="55">
        <f t="shared" si="9"/>
        <v>0</v>
      </c>
      <c r="AN22" s="56"/>
      <c r="AO22" s="57"/>
      <c r="AP22" s="53">
        <f t="shared" si="10"/>
        <v>0</v>
      </c>
      <c r="AQ22" s="8" t="e">
        <f t="shared" si="11"/>
        <v>#DIV/0!</v>
      </c>
    </row>
    <row r="23" spans="1:43" ht="18" customHeight="1" x14ac:dyDescent="0.15">
      <c r="A23" s="6"/>
      <c r="B23" s="12"/>
      <c r="C23" s="52"/>
      <c r="D23" s="53"/>
      <c r="E23" s="54"/>
      <c r="F23" s="55">
        <f t="shared" si="12"/>
        <v>0</v>
      </c>
      <c r="G23" s="56"/>
      <c r="H23" s="57"/>
      <c r="I23" s="55">
        <f t="shared" si="13"/>
        <v>0</v>
      </c>
      <c r="J23" s="56"/>
      <c r="K23" s="57"/>
      <c r="L23" s="55">
        <f t="shared" si="0"/>
        <v>0</v>
      </c>
      <c r="M23" s="56"/>
      <c r="N23" s="57"/>
      <c r="O23" s="55">
        <f t="shared" si="1"/>
        <v>0</v>
      </c>
      <c r="P23" s="56"/>
      <c r="Q23" s="57"/>
      <c r="R23" s="55">
        <f t="shared" si="2"/>
        <v>0</v>
      </c>
      <c r="S23" s="56"/>
      <c r="T23" s="57"/>
      <c r="U23" s="55">
        <f t="shared" si="3"/>
        <v>0</v>
      </c>
      <c r="V23" s="56"/>
      <c r="W23" s="57"/>
      <c r="X23" s="55">
        <f t="shared" si="4"/>
        <v>0</v>
      </c>
      <c r="Y23" s="56"/>
      <c r="Z23" s="57"/>
      <c r="AA23" s="55">
        <f t="shared" si="5"/>
        <v>0</v>
      </c>
      <c r="AB23" s="56"/>
      <c r="AC23" s="57"/>
      <c r="AD23" s="55">
        <f t="shared" si="6"/>
        <v>0</v>
      </c>
      <c r="AE23" s="56"/>
      <c r="AF23" s="57"/>
      <c r="AG23" s="55">
        <f t="shared" si="7"/>
        <v>0</v>
      </c>
      <c r="AH23" s="56"/>
      <c r="AI23" s="57"/>
      <c r="AJ23" s="55">
        <f t="shared" si="8"/>
        <v>0</v>
      </c>
      <c r="AK23" s="56"/>
      <c r="AL23" s="57"/>
      <c r="AM23" s="55">
        <f t="shared" si="9"/>
        <v>0</v>
      </c>
      <c r="AN23" s="56"/>
      <c r="AO23" s="57"/>
      <c r="AP23" s="53">
        <f t="shared" si="10"/>
        <v>0</v>
      </c>
      <c r="AQ23" s="8" t="e">
        <f t="shared" si="11"/>
        <v>#DIV/0!</v>
      </c>
    </row>
    <row r="24" spans="1:43" ht="18" customHeight="1" x14ac:dyDescent="0.15">
      <c r="A24" s="6"/>
      <c r="B24" s="12"/>
      <c r="C24" s="52"/>
      <c r="D24" s="53"/>
      <c r="E24" s="54"/>
      <c r="F24" s="55">
        <f t="shared" si="12"/>
        <v>0</v>
      </c>
      <c r="G24" s="56"/>
      <c r="H24" s="57"/>
      <c r="I24" s="55">
        <f t="shared" si="13"/>
        <v>0</v>
      </c>
      <c r="J24" s="56"/>
      <c r="K24" s="57"/>
      <c r="L24" s="55">
        <f t="shared" si="0"/>
        <v>0</v>
      </c>
      <c r="M24" s="56"/>
      <c r="N24" s="57"/>
      <c r="O24" s="55">
        <f t="shared" si="1"/>
        <v>0</v>
      </c>
      <c r="P24" s="56"/>
      <c r="Q24" s="57"/>
      <c r="R24" s="55">
        <f t="shared" si="2"/>
        <v>0</v>
      </c>
      <c r="S24" s="56"/>
      <c r="T24" s="57"/>
      <c r="U24" s="55">
        <f t="shared" si="3"/>
        <v>0</v>
      </c>
      <c r="V24" s="56"/>
      <c r="W24" s="57"/>
      <c r="X24" s="55">
        <f t="shared" si="4"/>
        <v>0</v>
      </c>
      <c r="Y24" s="56"/>
      <c r="Z24" s="57"/>
      <c r="AA24" s="55">
        <f t="shared" si="5"/>
        <v>0</v>
      </c>
      <c r="AB24" s="56"/>
      <c r="AC24" s="57"/>
      <c r="AD24" s="55">
        <f t="shared" si="6"/>
        <v>0</v>
      </c>
      <c r="AE24" s="56"/>
      <c r="AF24" s="57"/>
      <c r="AG24" s="55">
        <f t="shared" si="7"/>
        <v>0</v>
      </c>
      <c r="AH24" s="56"/>
      <c r="AI24" s="57"/>
      <c r="AJ24" s="55">
        <f t="shared" si="8"/>
        <v>0</v>
      </c>
      <c r="AK24" s="56"/>
      <c r="AL24" s="57"/>
      <c r="AM24" s="55">
        <f t="shared" si="9"/>
        <v>0</v>
      </c>
      <c r="AN24" s="56"/>
      <c r="AO24" s="57"/>
      <c r="AP24" s="53">
        <f t="shared" si="10"/>
        <v>0</v>
      </c>
      <c r="AQ24" s="8" t="e">
        <f t="shared" si="11"/>
        <v>#DIV/0!</v>
      </c>
    </row>
    <row r="25" spans="1:43" ht="18" customHeight="1" x14ac:dyDescent="0.15">
      <c r="A25" s="6"/>
      <c r="B25" s="12"/>
      <c r="C25" s="52"/>
      <c r="D25" s="53"/>
      <c r="E25" s="54"/>
      <c r="F25" s="55">
        <f t="shared" si="12"/>
        <v>0</v>
      </c>
      <c r="G25" s="56"/>
      <c r="H25" s="57"/>
      <c r="I25" s="55">
        <f t="shared" si="13"/>
        <v>0</v>
      </c>
      <c r="J25" s="56"/>
      <c r="K25" s="57"/>
      <c r="L25" s="55">
        <f t="shared" si="0"/>
        <v>0</v>
      </c>
      <c r="M25" s="56"/>
      <c r="N25" s="57"/>
      <c r="O25" s="55">
        <f t="shared" si="1"/>
        <v>0</v>
      </c>
      <c r="P25" s="56"/>
      <c r="Q25" s="57"/>
      <c r="R25" s="55">
        <f t="shared" si="2"/>
        <v>0</v>
      </c>
      <c r="S25" s="56"/>
      <c r="T25" s="57"/>
      <c r="U25" s="55">
        <f t="shared" si="3"/>
        <v>0</v>
      </c>
      <c r="V25" s="56"/>
      <c r="W25" s="57"/>
      <c r="X25" s="55">
        <f t="shared" si="4"/>
        <v>0</v>
      </c>
      <c r="Y25" s="56"/>
      <c r="Z25" s="57"/>
      <c r="AA25" s="55">
        <f t="shared" si="5"/>
        <v>0</v>
      </c>
      <c r="AB25" s="56"/>
      <c r="AC25" s="57"/>
      <c r="AD25" s="55">
        <f t="shared" si="6"/>
        <v>0</v>
      </c>
      <c r="AE25" s="56"/>
      <c r="AF25" s="57"/>
      <c r="AG25" s="55">
        <f t="shared" si="7"/>
        <v>0</v>
      </c>
      <c r="AH25" s="56"/>
      <c r="AI25" s="57"/>
      <c r="AJ25" s="55">
        <f t="shared" si="8"/>
        <v>0</v>
      </c>
      <c r="AK25" s="56"/>
      <c r="AL25" s="57"/>
      <c r="AM25" s="55">
        <f t="shared" si="9"/>
        <v>0</v>
      </c>
      <c r="AN25" s="56"/>
      <c r="AO25" s="57"/>
      <c r="AP25" s="53">
        <f t="shared" si="10"/>
        <v>0</v>
      </c>
      <c r="AQ25" s="8" t="e">
        <f t="shared" si="11"/>
        <v>#DIV/0!</v>
      </c>
    </row>
    <row r="26" spans="1:43" ht="18" customHeight="1" x14ac:dyDescent="0.15">
      <c r="A26" s="6"/>
      <c r="B26" s="12"/>
      <c r="C26" s="52"/>
      <c r="D26" s="53"/>
      <c r="E26" s="54"/>
      <c r="F26" s="55">
        <f t="shared" si="12"/>
        <v>0</v>
      </c>
      <c r="G26" s="56"/>
      <c r="H26" s="57"/>
      <c r="I26" s="55">
        <f t="shared" si="13"/>
        <v>0</v>
      </c>
      <c r="J26" s="56"/>
      <c r="K26" s="57"/>
      <c r="L26" s="55">
        <f t="shared" si="0"/>
        <v>0</v>
      </c>
      <c r="M26" s="56"/>
      <c r="N26" s="57"/>
      <c r="O26" s="55">
        <f t="shared" si="1"/>
        <v>0</v>
      </c>
      <c r="P26" s="56"/>
      <c r="Q26" s="57"/>
      <c r="R26" s="55">
        <f t="shared" si="2"/>
        <v>0</v>
      </c>
      <c r="S26" s="56"/>
      <c r="T26" s="57"/>
      <c r="U26" s="55">
        <f t="shared" si="3"/>
        <v>0</v>
      </c>
      <c r="V26" s="56"/>
      <c r="W26" s="57"/>
      <c r="X26" s="55">
        <f t="shared" si="4"/>
        <v>0</v>
      </c>
      <c r="Y26" s="56"/>
      <c r="Z26" s="57"/>
      <c r="AA26" s="55">
        <f t="shared" si="5"/>
        <v>0</v>
      </c>
      <c r="AB26" s="56"/>
      <c r="AC26" s="57"/>
      <c r="AD26" s="55">
        <f t="shared" si="6"/>
        <v>0</v>
      </c>
      <c r="AE26" s="56"/>
      <c r="AF26" s="57"/>
      <c r="AG26" s="55">
        <f t="shared" si="7"/>
        <v>0</v>
      </c>
      <c r="AH26" s="56"/>
      <c r="AI26" s="57"/>
      <c r="AJ26" s="55">
        <f t="shared" si="8"/>
        <v>0</v>
      </c>
      <c r="AK26" s="56"/>
      <c r="AL26" s="57"/>
      <c r="AM26" s="55">
        <f t="shared" si="9"/>
        <v>0</v>
      </c>
      <c r="AN26" s="56"/>
      <c r="AO26" s="57"/>
      <c r="AP26" s="53">
        <f t="shared" si="10"/>
        <v>0</v>
      </c>
      <c r="AQ26" s="8" t="e">
        <f t="shared" si="11"/>
        <v>#DIV/0!</v>
      </c>
    </row>
    <row r="27" spans="1:43" ht="18" customHeight="1" x14ac:dyDescent="0.15">
      <c r="A27" s="6"/>
      <c r="B27" s="12"/>
      <c r="C27" s="52"/>
      <c r="D27" s="53"/>
      <c r="E27" s="54"/>
      <c r="F27" s="55">
        <f t="shared" si="12"/>
        <v>0</v>
      </c>
      <c r="G27" s="56"/>
      <c r="H27" s="57"/>
      <c r="I27" s="55">
        <f t="shared" si="13"/>
        <v>0</v>
      </c>
      <c r="J27" s="56"/>
      <c r="K27" s="57"/>
      <c r="L27" s="55">
        <f t="shared" si="0"/>
        <v>0</v>
      </c>
      <c r="M27" s="56"/>
      <c r="N27" s="57"/>
      <c r="O27" s="55">
        <f t="shared" si="1"/>
        <v>0</v>
      </c>
      <c r="P27" s="56"/>
      <c r="Q27" s="57"/>
      <c r="R27" s="55">
        <f t="shared" si="2"/>
        <v>0</v>
      </c>
      <c r="S27" s="56"/>
      <c r="T27" s="57"/>
      <c r="U27" s="55">
        <f t="shared" si="3"/>
        <v>0</v>
      </c>
      <c r="V27" s="56"/>
      <c r="W27" s="57"/>
      <c r="X27" s="55">
        <f t="shared" si="4"/>
        <v>0</v>
      </c>
      <c r="Y27" s="56"/>
      <c r="Z27" s="57"/>
      <c r="AA27" s="55">
        <f t="shared" si="5"/>
        <v>0</v>
      </c>
      <c r="AB27" s="56"/>
      <c r="AC27" s="57"/>
      <c r="AD27" s="55">
        <f t="shared" si="6"/>
        <v>0</v>
      </c>
      <c r="AE27" s="56"/>
      <c r="AF27" s="57"/>
      <c r="AG27" s="55">
        <f t="shared" si="7"/>
        <v>0</v>
      </c>
      <c r="AH27" s="56"/>
      <c r="AI27" s="57"/>
      <c r="AJ27" s="55">
        <f t="shared" si="8"/>
        <v>0</v>
      </c>
      <c r="AK27" s="56"/>
      <c r="AL27" s="57"/>
      <c r="AM27" s="55">
        <f t="shared" si="9"/>
        <v>0</v>
      </c>
      <c r="AN27" s="56"/>
      <c r="AO27" s="57"/>
      <c r="AP27" s="53">
        <f t="shared" si="10"/>
        <v>0</v>
      </c>
      <c r="AQ27" s="8" t="e">
        <f t="shared" si="11"/>
        <v>#DIV/0!</v>
      </c>
    </row>
    <row r="28" spans="1:43" ht="18" customHeight="1" x14ac:dyDescent="0.15">
      <c r="A28" s="6"/>
      <c r="B28" s="12"/>
      <c r="C28" s="52"/>
      <c r="D28" s="53"/>
      <c r="E28" s="54"/>
      <c r="F28" s="55">
        <f t="shared" si="12"/>
        <v>0</v>
      </c>
      <c r="G28" s="56"/>
      <c r="H28" s="57"/>
      <c r="I28" s="55">
        <f t="shared" si="13"/>
        <v>0</v>
      </c>
      <c r="J28" s="56"/>
      <c r="K28" s="57"/>
      <c r="L28" s="55">
        <f t="shared" si="0"/>
        <v>0</v>
      </c>
      <c r="M28" s="56"/>
      <c r="N28" s="57"/>
      <c r="O28" s="55">
        <f t="shared" si="1"/>
        <v>0</v>
      </c>
      <c r="P28" s="56"/>
      <c r="Q28" s="57"/>
      <c r="R28" s="55">
        <f t="shared" si="2"/>
        <v>0</v>
      </c>
      <c r="S28" s="56"/>
      <c r="T28" s="57"/>
      <c r="U28" s="55">
        <f t="shared" si="3"/>
        <v>0</v>
      </c>
      <c r="V28" s="56"/>
      <c r="W28" s="57"/>
      <c r="X28" s="55">
        <f t="shared" si="4"/>
        <v>0</v>
      </c>
      <c r="Y28" s="56"/>
      <c r="Z28" s="57"/>
      <c r="AA28" s="55">
        <f t="shared" si="5"/>
        <v>0</v>
      </c>
      <c r="AB28" s="56"/>
      <c r="AC28" s="57"/>
      <c r="AD28" s="55">
        <f t="shared" si="6"/>
        <v>0</v>
      </c>
      <c r="AE28" s="56"/>
      <c r="AF28" s="57"/>
      <c r="AG28" s="55">
        <f t="shared" si="7"/>
        <v>0</v>
      </c>
      <c r="AH28" s="56"/>
      <c r="AI28" s="57"/>
      <c r="AJ28" s="55">
        <f t="shared" si="8"/>
        <v>0</v>
      </c>
      <c r="AK28" s="56"/>
      <c r="AL28" s="57"/>
      <c r="AM28" s="55">
        <f t="shared" si="9"/>
        <v>0</v>
      </c>
      <c r="AN28" s="56"/>
      <c r="AO28" s="57"/>
      <c r="AP28" s="53">
        <f t="shared" si="10"/>
        <v>0</v>
      </c>
      <c r="AQ28" s="8" t="e">
        <f t="shared" si="11"/>
        <v>#DIV/0!</v>
      </c>
    </row>
    <row r="29" spans="1:43" ht="18" customHeight="1" x14ac:dyDescent="0.15">
      <c r="A29" s="6"/>
      <c r="B29" s="12"/>
      <c r="C29" s="52"/>
      <c r="D29" s="58"/>
      <c r="E29" s="54"/>
      <c r="F29" s="55">
        <f t="shared" si="12"/>
        <v>0</v>
      </c>
      <c r="G29" s="56"/>
      <c r="H29" s="57"/>
      <c r="I29" s="55">
        <f t="shared" si="13"/>
        <v>0</v>
      </c>
      <c r="J29" s="56"/>
      <c r="K29" s="57"/>
      <c r="L29" s="55">
        <f t="shared" si="0"/>
        <v>0</v>
      </c>
      <c r="M29" s="56"/>
      <c r="N29" s="57"/>
      <c r="O29" s="55">
        <f t="shared" si="1"/>
        <v>0</v>
      </c>
      <c r="P29" s="56"/>
      <c r="Q29" s="57"/>
      <c r="R29" s="55">
        <f t="shared" si="2"/>
        <v>0</v>
      </c>
      <c r="S29" s="56"/>
      <c r="T29" s="57"/>
      <c r="U29" s="55">
        <f t="shared" si="3"/>
        <v>0</v>
      </c>
      <c r="V29" s="56"/>
      <c r="W29" s="57"/>
      <c r="X29" s="55">
        <f t="shared" si="4"/>
        <v>0</v>
      </c>
      <c r="Y29" s="56"/>
      <c r="Z29" s="57"/>
      <c r="AA29" s="55">
        <f t="shared" si="5"/>
        <v>0</v>
      </c>
      <c r="AB29" s="56"/>
      <c r="AC29" s="57"/>
      <c r="AD29" s="55">
        <f t="shared" si="6"/>
        <v>0</v>
      </c>
      <c r="AE29" s="56"/>
      <c r="AF29" s="57"/>
      <c r="AG29" s="55">
        <f t="shared" si="7"/>
        <v>0</v>
      </c>
      <c r="AH29" s="56"/>
      <c r="AI29" s="57"/>
      <c r="AJ29" s="55">
        <f t="shared" si="8"/>
        <v>0</v>
      </c>
      <c r="AK29" s="56"/>
      <c r="AL29" s="57"/>
      <c r="AM29" s="55">
        <f t="shared" si="9"/>
        <v>0</v>
      </c>
      <c r="AN29" s="56"/>
      <c r="AO29" s="57"/>
      <c r="AP29" s="58">
        <f t="shared" si="10"/>
        <v>0</v>
      </c>
      <c r="AQ29" s="8" t="e">
        <f t="shared" si="11"/>
        <v>#DIV/0!</v>
      </c>
    </row>
    <row r="30" spans="1:43" ht="18" customHeight="1" x14ac:dyDescent="0.15">
      <c r="A30" s="6"/>
      <c r="B30" s="12"/>
      <c r="C30" s="52"/>
      <c r="D30" s="58"/>
      <c r="E30" s="54"/>
      <c r="F30" s="55">
        <f t="shared" si="12"/>
        <v>0</v>
      </c>
      <c r="G30" s="56"/>
      <c r="H30" s="57"/>
      <c r="I30" s="55">
        <f t="shared" si="13"/>
        <v>0</v>
      </c>
      <c r="J30" s="56"/>
      <c r="K30" s="57"/>
      <c r="L30" s="55">
        <f t="shared" si="0"/>
        <v>0</v>
      </c>
      <c r="M30" s="56"/>
      <c r="N30" s="57"/>
      <c r="O30" s="55">
        <f t="shared" si="1"/>
        <v>0</v>
      </c>
      <c r="P30" s="56"/>
      <c r="Q30" s="57"/>
      <c r="R30" s="55">
        <f t="shared" si="2"/>
        <v>0</v>
      </c>
      <c r="S30" s="56"/>
      <c r="T30" s="57"/>
      <c r="U30" s="55">
        <f t="shared" si="3"/>
        <v>0</v>
      </c>
      <c r="V30" s="56"/>
      <c r="W30" s="57"/>
      <c r="X30" s="55">
        <f t="shared" si="4"/>
        <v>0</v>
      </c>
      <c r="Y30" s="56"/>
      <c r="Z30" s="57"/>
      <c r="AA30" s="55">
        <f t="shared" si="5"/>
        <v>0</v>
      </c>
      <c r="AB30" s="56"/>
      <c r="AC30" s="57"/>
      <c r="AD30" s="55">
        <f t="shared" si="6"/>
        <v>0</v>
      </c>
      <c r="AE30" s="56"/>
      <c r="AF30" s="57"/>
      <c r="AG30" s="55">
        <f t="shared" si="7"/>
        <v>0</v>
      </c>
      <c r="AH30" s="56"/>
      <c r="AI30" s="57"/>
      <c r="AJ30" s="55">
        <f t="shared" si="8"/>
        <v>0</v>
      </c>
      <c r="AK30" s="56"/>
      <c r="AL30" s="57"/>
      <c r="AM30" s="55">
        <f t="shared" si="9"/>
        <v>0</v>
      </c>
      <c r="AN30" s="56"/>
      <c r="AO30" s="57"/>
      <c r="AP30" s="58">
        <f t="shared" si="10"/>
        <v>0</v>
      </c>
      <c r="AQ30" s="8" t="e">
        <f t="shared" si="11"/>
        <v>#DIV/0!</v>
      </c>
    </row>
    <row r="31" spans="1:43" ht="18" customHeight="1" thickBot="1" x14ac:dyDescent="0.2">
      <c r="A31" s="6"/>
      <c r="B31" s="13"/>
      <c r="C31" s="47"/>
      <c r="D31" s="59"/>
      <c r="E31" s="49"/>
      <c r="F31" s="49">
        <f t="shared" si="12"/>
        <v>0</v>
      </c>
      <c r="G31" s="60"/>
      <c r="H31" s="61"/>
      <c r="I31" s="49">
        <f t="shared" si="13"/>
        <v>0</v>
      </c>
      <c r="J31" s="60"/>
      <c r="K31" s="61"/>
      <c r="L31" s="49">
        <f t="shared" si="0"/>
        <v>0</v>
      </c>
      <c r="M31" s="60"/>
      <c r="N31" s="61"/>
      <c r="O31" s="49">
        <f t="shared" si="1"/>
        <v>0</v>
      </c>
      <c r="P31" s="60"/>
      <c r="Q31" s="61"/>
      <c r="R31" s="49">
        <f t="shared" si="2"/>
        <v>0</v>
      </c>
      <c r="S31" s="60"/>
      <c r="T31" s="61"/>
      <c r="U31" s="49">
        <f t="shared" si="3"/>
        <v>0</v>
      </c>
      <c r="V31" s="60"/>
      <c r="W31" s="61"/>
      <c r="X31" s="49">
        <f t="shared" si="4"/>
        <v>0</v>
      </c>
      <c r="Y31" s="60"/>
      <c r="Z31" s="61"/>
      <c r="AA31" s="49">
        <f t="shared" si="5"/>
        <v>0</v>
      </c>
      <c r="AB31" s="60"/>
      <c r="AC31" s="61"/>
      <c r="AD31" s="49">
        <f t="shared" si="6"/>
        <v>0</v>
      </c>
      <c r="AE31" s="60"/>
      <c r="AF31" s="61"/>
      <c r="AG31" s="49">
        <f t="shared" si="7"/>
        <v>0</v>
      </c>
      <c r="AH31" s="60"/>
      <c r="AI31" s="61"/>
      <c r="AJ31" s="49">
        <f t="shared" si="8"/>
        <v>0</v>
      </c>
      <c r="AK31" s="60"/>
      <c r="AL31" s="61"/>
      <c r="AM31" s="49">
        <f t="shared" si="9"/>
        <v>0</v>
      </c>
      <c r="AN31" s="60"/>
      <c r="AO31" s="61"/>
      <c r="AP31" s="59">
        <f t="shared" si="10"/>
        <v>0</v>
      </c>
      <c r="AQ31" s="7" t="e">
        <f t="shared" si="11"/>
        <v>#DIV/0!</v>
      </c>
    </row>
    <row r="32" spans="1:43" ht="18" customHeight="1" thickTop="1" x14ac:dyDescent="0.15">
      <c r="B32" s="14" t="s">
        <v>33</v>
      </c>
      <c r="C32" s="62">
        <f t="shared" ref="C32:H32" si="14">SUM(C12:C31)</f>
        <v>17354</v>
      </c>
      <c r="D32" s="63">
        <f t="shared" si="14"/>
        <v>4335</v>
      </c>
      <c r="E32" s="64">
        <f t="shared" si="14"/>
        <v>17125</v>
      </c>
      <c r="F32" s="64">
        <f t="shared" si="14"/>
        <v>2081</v>
      </c>
      <c r="G32" s="65">
        <f t="shared" si="14"/>
        <v>0</v>
      </c>
      <c r="H32" s="66">
        <f t="shared" si="14"/>
        <v>0</v>
      </c>
      <c r="I32" s="64">
        <f t="shared" ref="I32:N32" si="15">SUM(I12:I31)</f>
        <v>1922</v>
      </c>
      <c r="J32" s="65">
        <f t="shared" si="15"/>
        <v>0</v>
      </c>
      <c r="K32" s="66">
        <f t="shared" si="15"/>
        <v>0</v>
      </c>
      <c r="L32" s="64">
        <f t="shared" si="15"/>
        <v>0</v>
      </c>
      <c r="M32" s="65">
        <f t="shared" si="15"/>
        <v>0</v>
      </c>
      <c r="N32" s="66">
        <f t="shared" si="15"/>
        <v>0</v>
      </c>
      <c r="O32" s="64">
        <f t="shared" ref="O32:T32" si="16">SUM(O12:O31)</f>
        <v>0</v>
      </c>
      <c r="P32" s="65">
        <f t="shared" si="16"/>
        <v>0</v>
      </c>
      <c r="Q32" s="66">
        <f t="shared" si="16"/>
        <v>0</v>
      </c>
      <c r="R32" s="64">
        <f t="shared" si="16"/>
        <v>0</v>
      </c>
      <c r="S32" s="65">
        <f t="shared" si="16"/>
        <v>0</v>
      </c>
      <c r="T32" s="66">
        <f t="shared" si="16"/>
        <v>0</v>
      </c>
      <c r="U32" s="64">
        <f t="shared" ref="U32:AI32" si="17">SUM(U12:U31)</f>
        <v>0</v>
      </c>
      <c r="V32" s="65">
        <f t="shared" si="17"/>
        <v>0</v>
      </c>
      <c r="W32" s="66">
        <f t="shared" si="17"/>
        <v>0</v>
      </c>
      <c r="X32" s="64">
        <f t="shared" si="17"/>
        <v>0</v>
      </c>
      <c r="Y32" s="65">
        <f t="shared" si="17"/>
        <v>0</v>
      </c>
      <c r="Z32" s="66">
        <f t="shared" si="17"/>
        <v>0</v>
      </c>
      <c r="AA32" s="64">
        <f t="shared" si="17"/>
        <v>0</v>
      </c>
      <c r="AB32" s="65">
        <f t="shared" si="17"/>
        <v>0</v>
      </c>
      <c r="AC32" s="66">
        <f t="shared" si="17"/>
        <v>0</v>
      </c>
      <c r="AD32" s="64">
        <f t="shared" si="17"/>
        <v>0</v>
      </c>
      <c r="AE32" s="65">
        <f t="shared" si="17"/>
        <v>0</v>
      </c>
      <c r="AF32" s="66">
        <f t="shared" si="17"/>
        <v>0</v>
      </c>
      <c r="AG32" s="64">
        <f t="shared" si="17"/>
        <v>0</v>
      </c>
      <c r="AH32" s="65">
        <f t="shared" si="17"/>
        <v>0</v>
      </c>
      <c r="AI32" s="66">
        <f t="shared" si="17"/>
        <v>0</v>
      </c>
      <c r="AJ32" s="64">
        <f t="shared" ref="AJ32:AO32" si="18">SUM(AJ12:AJ31)</f>
        <v>0</v>
      </c>
      <c r="AK32" s="65">
        <f t="shared" si="18"/>
        <v>0</v>
      </c>
      <c r="AL32" s="66">
        <f t="shared" si="18"/>
        <v>0</v>
      </c>
      <c r="AM32" s="64">
        <f t="shared" si="18"/>
        <v>0</v>
      </c>
      <c r="AN32" s="65">
        <f t="shared" si="18"/>
        <v>0</v>
      </c>
      <c r="AO32" s="66">
        <f t="shared" si="18"/>
        <v>0</v>
      </c>
      <c r="AP32" s="63">
        <f>SUM(AP12:AP31)</f>
        <v>2081</v>
      </c>
      <c r="AQ32" s="9">
        <f t="shared" si="11"/>
        <v>0.12151824817518248</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zoomScaleNormal="100" zoomScaleSheetLayoutView="100" workbookViewId="0">
      <selection activeCell="H2" sqref="H2:I2"/>
    </sheetView>
  </sheetViews>
  <sheetFormatPr defaultColWidth="11.375" defaultRowHeight="18.75" customHeight="1" x14ac:dyDescent="0.15"/>
  <cols>
    <col min="1" max="1" width="2.75" style="38"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10" ht="18.75" customHeight="1" x14ac:dyDescent="0.15">
      <c r="A1" s="38" t="s">
        <v>64</v>
      </c>
      <c r="I1" s="33" t="s">
        <v>104</v>
      </c>
    </row>
    <row r="2" spans="1:10" ht="18.75" customHeight="1" x14ac:dyDescent="0.15">
      <c r="G2" s="33" t="s">
        <v>107</v>
      </c>
      <c r="H2" s="130" t="str">
        <f>'様式１　プログラムを構成する授業科目'!C2</f>
        <v>神奈川大学</v>
      </c>
      <c r="I2" s="132"/>
    </row>
    <row r="3" spans="1:10" ht="18.75" customHeight="1" x14ac:dyDescent="0.15">
      <c r="G3" s="33"/>
      <c r="H3" s="10"/>
      <c r="I3" s="10"/>
    </row>
    <row r="4" spans="1:10" ht="18.600000000000001" customHeight="1" x14ac:dyDescent="0.15">
      <c r="A4" s="141" t="s">
        <v>36</v>
      </c>
      <c r="B4" s="141"/>
      <c r="C4" s="141"/>
      <c r="D4" s="141"/>
      <c r="E4" s="141"/>
      <c r="F4" s="141"/>
      <c r="G4" s="141"/>
      <c r="H4" s="141"/>
      <c r="I4" s="141"/>
    </row>
    <row r="5" spans="1:10" ht="13.15" customHeight="1" x14ac:dyDescent="0.15">
      <c r="B5" s="3"/>
      <c r="C5" s="3"/>
      <c r="D5" s="3"/>
      <c r="E5" s="3"/>
      <c r="F5" s="3"/>
      <c r="G5" s="3"/>
      <c r="H5" s="3"/>
      <c r="I5" s="3"/>
    </row>
    <row r="6" spans="1:10" ht="18" customHeight="1" x14ac:dyDescent="0.15">
      <c r="A6" s="1" t="s">
        <v>0</v>
      </c>
      <c r="B6" s="10" t="s">
        <v>89</v>
      </c>
      <c r="C6" s="284" t="s">
        <v>90</v>
      </c>
      <c r="D6" s="284"/>
      <c r="E6" s="32">
        <v>504</v>
      </c>
      <c r="F6" s="3" t="s">
        <v>1</v>
      </c>
      <c r="G6" s="3" t="s">
        <v>2</v>
      </c>
      <c r="H6" s="32">
        <v>980</v>
      </c>
      <c r="I6" s="10" t="s">
        <v>1</v>
      </c>
    </row>
    <row r="7" spans="1:10" ht="12" customHeight="1" x14ac:dyDescent="0.15">
      <c r="C7" s="2"/>
      <c r="D7" s="2"/>
      <c r="E7" s="2"/>
      <c r="F7" s="2"/>
      <c r="G7" s="2"/>
      <c r="H7" s="2"/>
      <c r="I7" s="39"/>
    </row>
    <row r="8" spans="1:10" ht="18" customHeight="1" x14ac:dyDescent="0.15">
      <c r="A8" s="1" t="s">
        <v>3</v>
      </c>
      <c r="B8" s="10" t="s">
        <v>91</v>
      </c>
      <c r="E8" s="3"/>
      <c r="F8" s="3"/>
      <c r="G8" s="3"/>
      <c r="H8" s="88">
        <v>201</v>
      </c>
      <c r="I8" s="10" t="s">
        <v>1</v>
      </c>
      <c r="J8" s="67"/>
    </row>
    <row r="9" spans="1:10" ht="9" customHeight="1" x14ac:dyDescent="0.15">
      <c r="B9" s="3"/>
      <c r="C9" s="3"/>
      <c r="D9" s="3"/>
      <c r="E9" s="3"/>
      <c r="F9" s="3"/>
      <c r="G9" s="3"/>
      <c r="H9" s="3"/>
      <c r="I9" s="3"/>
    </row>
    <row r="10" spans="1:10" ht="18" customHeight="1" x14ac:dyDescent="0.15">
      <c r="A10" s="1" t="s">
        <v>4</v>
      </c>
      <c r="B10" s="10" t="s">
        <v>92</v>
      </c>
      <c r="C10" s="3"/>
      <c r="D10" s="3"/>
      <c r="E10" s="3"/>
      <c r="F10" s="3"/>
      <c r="G10" s="3"/>
      <c r="H10" s="3"/>
      <c r="I10" s="3"/>
    </row>
    <row r="11" spans="1:10" ht="18" customHeight="1" x14ac:dyDescent="0.15">
      <c r="B11" s="33" t="s">
        <v>43</v>
      </c>
      <c r="C11" s="130" t="s">
        <v>131</v>
      </c>
      <c r="D11" s="152"/>
      <c r="E11" s="153"/>
      <c r="F11" s="39"/>
      <c r="G11" s="33" t="s">
        <v>10</v>
      </c>
      <c r="H11" s="282" t="s">
        <v>145</v>
      </c>
      <c r="I11" s="283"/>
      <c r="J11" s="67"/>
    </row>
    <row r="12" spans="1:10" ht="10.15" customHeight="1" x14ac:dyDescent="0.15">
      <c r="B12" s="33"/>
      <c r="C12" s="10"/>
      <c r="D12" s="39"/>
      <c r="E12" s="39"/>
      <c r="F12" s="39"/>
      <c r="G12" s="33"/>
      <c r="H12" s="10"/>
      <c r="I12" s="39"/>
    </row>
    <row r="13" spans="1:10" ht="18" customHeight="1" x14ac:dyDescent="0.15">
      <c r="A13" s="1" t="s">
        <v>7</v>
      </c>
      <c r="B13" s="10" t="s">
        <v>86</v>
      </c>
      <c r="C13" s="3"/>
      <c r="D13" s="3"/>
      <c r="E13" s="3"/>
      <c r="F13" s="3"/>
      <c r="G13" s="3"/>
      <c r="H13" s="3"/>
      <c r="I13" s="3"/>
    </row>
    <row r="14" spans="1:10" ht="18" customHeight="1" x14ac:dyDescent="0.15">
      <c r="B14" s="130" t="s">
        <v>132</v>
      </c>
      <c r="C14" s="152"/>
      <c r="D14" s="152"/>
      <c r="E14" s="152"/>
      <c r="F14" s="152"/>
      <c r="G14" s="152"/>
      <c r="H14" s="152"/>
      <c r="I14" s="153"/>
    </row>
    <row r="15" spans="1:10" ht="9" customHeight="1" x14ac:dyDescent="0.15">
      <c r="B15" s="3"/>
      <c r="C15" s="3"/>
      <c r="D15" s="3"/>
      <c r="E15" s="3"/>
      <c r="F15" s="3"/>
      <c r="G15" s="3"/>
      <c r="H15" s="3"/>
      <c r="I15" s="3"/>
    </row>
    <row r="16" spans="1:10" ht="18" customHeight="1" x14ac:dyDescent="0.15">
      <c r="B16" s="33" t="s">
        <v>43</v>
      </c>
      <c r="C16" s="130" t="s">
        <v>133</v>
      </c>
      <c r="D16" s="152"/>
      <c r="E16" s="153"/>
      <c r="F16" s="39"/>
      <c r="G16" s="33" t="s">
        <v>10</v>
      </c>
      <c r="H16" s="280" t="s">
        <v>134</v>
      </c>
      <c r="I16" s="281"/>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63" t="s">
        <v>135</v>
      </c>
      <c r="C19" s="264"/>
      <c r="D19" s="264"/>
      <c r="E19" s="264"/>
      <c r="F19" s="264"/>
      <c r="G19" s="264"/>
      <c r="H19" s="264"/>
      <c r="I19" s="265"/>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266" t="s">
        <v>156</v>
      </c>
      <c r="C22" s="267"/>
      <c r="D22" s="267"/>
      <c r="E22" s="267"/>
      <c r="F22" s="267"/>
      <c r="G22" s="267"/>
      <c r="H22" s="267"/>
      <c r="I22" s="268"/>
    </row>
    <row r="23" spans="1:9" ht="18.75" customHeight="1" x14ac:dyDescent="0.15">
      <c r="A23" s="15"/>
      <c r="B23" s="269"/>
      <c r="C23" s="270"/>
      <c r="D23" s="270"/>
      <c r="E23" s="270"/>
      <c r="F23" s="270"/>
      <c r="G23" s="270"/>
      <c r="H23" s="270"/>
      <c r="I23" s="271"/>
    </row>
    <row r="24" spans="1:9" ht="18.75" customHeight="1" x14ac:dyDescent="0.15">
      <c r="A24" s="15"/>
      <c r="B24" s="269"/>
      <c r="C24" s="270"/>
      <c r="D24" s="270"/>
      <c r="E24" s="270"/>
      <c r="F24" s="270"/>
      <c r="G24" s="270"/>
      <c r="H24" s="270"/>
      <c r="I24" s="271"/>
    </row>
    <row r="25" spans="1:9" ht="18.75" customHeight="1" x14ac:dyDescent="0.15">
      <c r="A25" s="15"/>
      <c r="B25" s="269"/>
      <c r="C25" s="270"/>
      <c r="D25" s="270"/>
      <c r="E25" s="270"/>
      <c r="F25" s="270"/>
      <c r="G25" s="270"/>
      <c r="H25" s="270"/>
      <c r="I25" s="271"/>
    </row>
    <row r="26" spans="1:9" ht="18.75" customHeight="1" x14ac:dyDescent="0.15">
      <c r="A26" s="15"/>
      <c r="B26" s="269"/>
      <c r="C26" s="270"/>
      <c r="D26" s="270"/>
      <c r="E26" s="270"/>
      <c r="F26" s="270"/>
      <c r="G26" s="270"/>
      <c r="H26" s="270"/>
      <c r="I26" s="271"/>
    </row>
    <row r="27" spans="1:9" ht="18.75" customHeight="1" x14ac:dyDescent="0.15">
      <c r="A27" s="15"/>
      <c r="B27" s="269"/>
      <c r="C27" s="270"/>
      <c r="D27" s="270"/>
      <c r="E27" s="270"/>
      <c r="F27" s="270"/>
      <c r="G27" s="270"/>
      <c r="H27" s="270"/>
      <c r="I27" s="271"/>
    </row>
    <row r="28" spans="1:9" ht="18.75" customHeight="1" x14ac:dyDescent="0.15">
      <c r="A28" s="15"/>
      <c r="B28" s="269"/>
      <c r="C28" s="270"/>
      <c r="D28" s="270"/>
      <c r="E28" s="270"/>
      <c r="F28" s="270"/>
      <c r="G28" s="270"/>
      <c r="H28" s="270"/>
      <c r="I28" s="271"/>
    </row>
    <row r="29" spans="1:9" ht="18.75" customHeight="1" x14ac:dyDescent="0.15">
      <c r="A29" s="15"/>
      <c r="B29" s="269"/>
      <c r="C29" s="270"/>
      <c r="D29" s="270"/>
      <c r="E29" s="270"/>
      <c r="F29" s="270"/>
      <c r="G29" s="270"/>
      <c r="H29" s="270"/>
      <c r="I29" s="271"/>
    </row>
    <row r="30" spans="1:9" ht="18.75" customHeight="1" x14ac:dyDescent="0.15">
      <c r="A30" s="15"/>
      <c r="B30" s="272"/>
      <c r="C30" s="273"/>
      <c r="D30" s="273"/>
      <c r="E30" s="273"/>
      <c r="F30" s="273"/>
      <c r="G30" s="273"/>
      <c r="H30" s="273"/>
      <c r="I30" s="271"/>
    </row>
    <row r="31" spans="1:9" ht="18.75" customHeight="1" x14ac:dyDescent="0.15">
      <c r="A31" s="15"/>
      <c r="B31" s="272"/>
      <c r="C31" s="273"/>
      <c r="D31" s="273"/>
      <c r="E31" s="273"/>
      <c r="F31" s="273"/>
      <c r="G31" s="273"/>
      <c r="H31" s="273"/>
      <c r="I31" s="271"/>
    </row>
    <row r="32" spans="1:9" ht="18.75" customHeight="1" x14ac:dyDescent="0.15">
      <c r="A32" s="15"/>
      <c r="B32" s="274"/>
      <c r="C32" s="275"/>
      <c r="D32" s="275"/>
      <c r="E32" s="275"/>
      <c r="F32" s="275"/>
      <c r="G32" s="275"/>
      <c r="H32" s="275"/>
      <c r="I32" s="276"/>
    </row>
    <row r="33" spans="1:10" ht="7.5" customHeight="1" x14ac:dyDescent="0.15">
      <c r="A33" s="15"/>
      <c r="B33" s="15"/>
      <c r="C33" s="15"/>
      <c r="D33" s="15"/>
      <c r="E33" s="15"/>
      <c r="F33" s="15"/>
      <c r="G33" s="15"/>
      <c r="H33" s="15"/>
      <c r="I33" s="15"/>
    </row>
    <row r="34" spans="1:10" ht="18.75" customHeight="1" x14ac:dyDescent="0.15">
      <c r="A34" s="16" t="s">
        <v>6</v>
      </c>
      <c r="B34" s="16" t="s">
        <v>9</v>
      </c>
      <c r="C34" s="10"/>
      <c r="D34" s="16"/>
      <c r="E34" s="16"/>
      <c r="F34" s="16"/>
      <c r="G34" s="16"/>
      <c r="H34" s="16"/>
      <c r="I34" s="16"/>
    </row>
    <row r="35" spans="1:10" ht="18.75" customHeight="1" x14ac:dyDescent="0.15">
      <c r="A35" s="15"/>
      <c r="B35" s="266" t="s">
        <v>154</v>
      </c>
      <c r="C35" s="267"/>
      <c r="D35" s="267"/>
      <c r="E35" s="267"/>
      <c r="F35" s="267"/>
      <c r="G35" s="267"/>
      <c r="H35" s="267"/>
      <c r="I35" s="268"/>
      <c r="J35" s="68"/>
    </row>
    <row r="36" spans="1:10" ht="18.75" customHeight="1" x14ac:dyDescent="0.15">
      <c r="A36" s="15"/>
      <c r="B36" s="272"/>
      <c r="C36" s="273"/>
      <c r="D36" s="273"/>
      <c r="E36" s="273"/>
      <c r="F36" s="273"/>
      <c r="G36" s="273"/>
      <c r="H36" s="273"/>
      <c r="I36" s="271"/>
    </row>
    <row r="37" spans="1:10" ht="18.75" customHeight="1" x14ac:dyDescent="0.15">
      <c r="A37" s="15"/>
      <c r="B37" s="272"/>
      <c r="C37" s="273"/>
      <c r="D37" s="273"/>
      <c r="E37" s="273"/>
      <c r="F37" s="273"/>
      <c r="G37" s="273"/>
      <c r="H37" s="273"/>
      <c r="I37" s="271"/>
    </row>
    <row r="38" spans="1:10" ht="18.75" customHeight="1" x14ac:dyDescent="0.15">
      <c r="A38" s="15"/>
      <c r="B38" s="272"/>
      <c r="C38" s="273"/>
      <c r="D38" s="273"/>
      <c r="E38" s="273"/>
      <c r="F38" s="273"/>
      <c r="G38" s="273"/>
      <c r="H38" s="273"/>
      <c r="I38" s="271"/>
    </row>
    <row r="39" spans="1:10" ht="18.75" customHeight="1" x14ac:dyDescent="0.15">
      <c r="A39" s="15"/>
      <c r="B39" s="272"/>
      <c r="C39" s="273"/>
      <c r="D39" s="273"/>
      <c r="E39" s="273"/>
      <c r="F39" s="273"/>
      <c r="G39" s="273"/>
      <c r="H39" s="273"/>
      <c r="I39" s="271"/>
    </row>
    <row r="40" spans="1:10" ht="18.75" customHeight="1" x14ac:dyDescent="0.15">
      <c r="A40" s="15"/>
      <c r="B40" s="272"/>
      <c r="C40" s="273"/>
      <c r="D40" s="273"/>
      <c r="E40" s="273"/>
      <c r="F40" s="273"/>
      <c r="G40" s="273"/>
      <c r="H40" s="273"/>
      <c r="I40" s="271"/>
    </row>
    <row r="41" spans="1:10" ht="18.75" customHeight="1" x14ac:dyDescent="0.15">
      <c r="A41" s="15"/>
      <c r="B41" s="272"/>
      <c r="C41" s="273"/>
      <c r="D41" s="273"/>
      <c r="E41" s="273"/>
      <c r="F41" s="273"/>
      <c r="G41" s="273"/>
      <c r="H41" s="273"/>
      <c r="I41" s="271"/>
    </row>
    <row r="42" spans="1:10" ht="18.75" customHeight="1" x14ac:dyDescent="0.15">
      <c r="A42" s="15"/>
      <c r="B42" s="272"/>
      <c r="C42" s="273"/>
      <c r="D42" s="273"/>
      <c r="E42" s="273"/>
      <c r="F42" s="273"/>
      <c r="G42" s="273"/>
      <c r="H42" s="273"/>
      <c r="I42" s="271"/>
    </row>
    <row r="43" spans="1:10" ht="18.75" customHeight="1" x14ac:dyDescent="0.15">
      <c r="A43" s="15"/>
      <c r="B43" s="272"/>
      <c r="C43" s="273"/>
      <c r="D43" s="273"/>
      <c r="E43" s="273"/>
      <c r="F43" s="273"/>
      <c r="G43" s="273"/>
      <c r="H43" s="273"/>
      <c r="I43" s="271"/>
    </row>
    <row r="44" spans="1:10" ht="18.75" customHeight="1" x14ac:dyDescent="0.15">
      <c r="A44" s="15"/>
      <c r="B44" s="272"/>
      <c r="C44" s="273"/>
      <c r="D44" s="273"/>
      <c r="E44" s="273"/>
      <c r="F44" s="273"/>
      <c r="G44" s="273"/>
      <c r="H44" s="273"/>
      <c r="I44" s="271"/>
    </row>
    <row r="45" spans="1:10" ht="18.75" customHeight="1" x14ac:dyDescent="0.15">
      <c r="A45" s="15"/>
      <c r="B45" s="272"/>
      <c r="C45" s="273"/>
      <c r="D45" s="273"/>
      <c r="E45" s="273"/>
      <c r="F45" s="273"/>
      <c r="G45" s="273"/>
      <c r="H45" s="273"/>
      <c r="I45" s="271"/>
    </row>
    <row r="46" spans="1:10" ht="18.75" customHeight="1" x14ac:dyDescent="0.15">
      <c r="A46" s="15"/>
      <c r="B46" s="274"/>
      <c r="C46" s="275"/>
      <c r="D46" s="275"/>
      <c r="E46" s="275"/>
      <c r="F46" s="275"/>
      <c r="G46" s="275"/>
      <c r="H46" s="275"/>
      <c r="I46" s="276"/>
    </row>
    <row r="47" spans="1:10" ht="7.5" customHeight="1" x14ac:dyDescent="0.15">
      <c r="A47" s="4"/>
      <c r="B47" s="4"/>
      <c r="C47" s="4"/>
      <c r="D47" s="4"/>
      <c r="E47" s="4"/>
      <c r="F47" s="4"/>
      <c r="G47" s="4"/>
      <c r="H47" s="4"/>
      <c r="I47" s="4"/>
    </row>
    <row r="48" spans="1:10" ht="18.75" customHeight="1" x14ac:dyDescent="0.15">
      <c r="A48" s="1" t="s">
        <v>31</v>
      </c>
      <c r="B48" s="1" t="s">
        <v>120</v>
      </c>
    </row>
    <row r="49" spans="1:15" s="3" customFormat="1" ht="18.75" customHeight="1" x14ac:dyDescent="0.15">
      <c r="B49" s="40" t="s">
        <v>87</v>
      </c>
      <c r="C49" s="233">
        <f>'様式２ 履修者等数の実績'!AQ32</f>
        <v>0.12151824817518248</v>
      </c>
      <c r="D49" s="233"/>
      <c r="E49" s="91" t="s">
        <v>65</v>
      </c>
      <c r="F49" s="233">
        <f>(2081+2200)/17230</f>
        <v>0.24846198491004062</v>
      </c>
      <c r="G49" s="233"/>
      <c r="H49" s="91" t="s">
        <v>66</v>
      </c>
      <c r="I49" s="92">
        <f>(2081+2200+2300)/17285</f>
        <v>0.38073474110500433</v>
      </c>
      <c r="J49" s="69"/>
      <c r="M49" s="1"/>
      <c r="N49" s="41"/>
    </row>
    <row r="50" spans="1:15" s="3" customFormat="1" ht="18.75" customHeight="1" x14ac:dyDescent="0.15">
      <c r="B50" s="42" t="s">
        <v>67</v>
      </c>
      <c r="C50" s="234">
        <f>(2081+2200+2300+2400)/17340</f>
        <v>0.51793540945790084</v>
      </c>
      <c r="D50" s="234"/>
      <c r="E50" s="88" t="s">
        <v>88</v>
      </c>
      <c r="F50" s="234">
        <f>(2200+2300+2400+2500)/17340</f>
        <v>0.54209919261822381</v>
      </c>
      <c r="G50" s="234"/>
      <c r="H50" s="88" t="s">
        <v>68</v>
      </c>
      <c r="I50" s="70">
        <v>17125</v>
      </c>
      <c r="J50" s="69"/>
      <c r="M50" s="1"/>
      <c r="N50" s="41"/>
    </row>
    <row r="51" spans="1:15" ht="18.75" customHeight="1" x14ac:dyDescent="0.15">
      <c r="A51" s="1"/>
      <c r="B51" s="277" t="s">
        <v>69</v>
      </c>
      <c r="C51" s="278"/>
      <c r="D51" s="278"/>
      <c r="E51" s="278"/>
      <c r="F51" s="278"/>
      <c r="G51" s="278"/>
      <c r="H51" s="278"/>
      <c r="I51" s="279"/>
      <c r="J51" s="72"/>
      <c r="K51" s="87"/>
      <c r="N51" s="41"/>
      <c r="O51" s="3"/>
    </row>
    <row r="52" spans="1:15" ht="18.75" customHeight="1" x14ac:dyDescent="0.15">
      <c r="A52" s="1"/>
      <c r="B52" s="235" t="s">
        <v>161</v>
      </c>
      <c r="C52" s="236"/>
      <c r="D52" s="236"/>
      <c r="E52" s="236"/>
      <c r="F52" s="236"/>
      <c r="G52" s="236"/>
      <c r="H52" s="236"/>
      <c r="I52" s="237"/>
      <c r="K52" s="73"/>
      <c r="N52" s="41"/>
      <c r="O52" s="3"/>
    </row>
    <row r="53" spans="1:15" ht="18.75" customHeight="1" x14ac:dyDescent="0.15">
      <c r="A53" s="1"/>
      <c r="B53" s="238"/>
      <c r="C53" s="239"/>
      <c r="D53" s="239"/>
      <c r="E53" s="239"/>
      <c r="F53" s="239"/>
      <c r="G53" s="239"/>
      <c r="H53" s="239"/>
      <c r="I53" s="240"/>
      <c r="K53" s="73"/>
      <c r="N53" s="41"/>
      <c r="O53" s="3"/>
    </row>
    <row r="54" spans="1:15" ht="18.75" customHeight="1" x14ac:dyDescent="0.15">
      <c r="A54" s="1"/>
      <c r="B54" s="238"/>
      <c r="C54" s="239"/>
      <c r="D54" s="239"/>
      <c r="E54" s="239"/>
      <c r="F54" s="239"/>
      <c r="G54" s="239"/>
      <c r="H54" s="239"/>
      <c r="I54" s="240"/>
    </row>
    <row r="55" spans="1:15" ht="18.75" customHeight="1" x14ac:dyDescent="0.15">
      <c r="A55" s="1"/>
      <c r="B55" s="238"/>
      <c r="C55" s="239"/>
      <c r="D55" s="239"/>
      <c r="E55" s="239"/>
      <c r="F55" s="239"/>
      <c r="G55" s="239"/>
      <c r="H55" s="239"/>
      <c r="I55" s="240"/>
      <c r="J55" s="69"/>
    </row>
    <row r="56" spans="1:15" ht="18.75" customHeight="1" x14ac:dyDescent="0.15">
      <c r="A56" s="1"/>
      <c r="B56" s="238"/>
      <c r="C56" s="239"/>
      <c r="D56" s="239"/>
      <c r="E56" s="239"/>
      <c r="F56" s="239"/>
      <c r="G56" s="239"/>
      <c r="H56" s="239"/>
      <c r="I56" s="240"/>
      <c r="J56" s="69"/>
    </row>
    <row r="57" spans="1:15" ht="18.75" customHeight="1" x14ac:dyDescent="0.15">
      <c r="A57" s="1"/>
      <c r="B57" s="238"/>
      <c r="C57" s="239"/>
      <c r="D57" s="239"/>
      <c r="E57" s="239"/>
      <c r="F57" s="239"/>
      <c r="G57" s="239"/>
      <c r="H57" s="239"/>
      <c r="I57" s="240"/>
    </row>
    <row r="58" spans="1:15" ht="18.75" customHeight="1" x14ac:dyDescent="0.15">
      <c r="A58" s="1"/>
      <c r="B58" s="238"/>
      <c r="C58" s="239"/>
      <c r="D58" s="239"/>
      <c r="E58" s="239"/>
      <c r="F58" s="239"/>
      <c r="G58" s="239"/>
      <c r="H58" s="239"/>
      <c r="I58" s="240"/>
    </row>
    <row r="59" spans="1:15" ht="18.75" customHeight="1" x14ac:dyDescent="0.15">
      <c r="A59" s="1"/>
      <c r="B59" s="238"/>
      <c r="C59" s="239"/>
      <c r="D59" s="239"/>
      <c r="E59" s="239"/>
      <c r="F59" s="239"/>
      <c r="G59" s="239"/>
      <c r="H59" s="239"/>
      <c r="I59" s="240"/>
      <c r="J59" s="90"/>
    </row>
    <row r="60" spans="1:15" ht="18.75" customHeight="1" x14ac:dyDescent="0.15">
      <c r="A60" s="1"/>
      <c r="B60" s="238"/>
      <c r="C60" s="239"/>
      <c r="D60" s="239"/>
      <c r="E60" s="239"/>
      <c r="F60" s="239"/>
      <c r="G60" s="239"/>
      <c r="H60" s="239"/>
      <c r="I60" s="240"/>
    </row>
    <row r="61" spans="1:15" ht="18.75" customHeight="1" x14ac:dyDescent="0.15">
      <c r="A61" s="1"/>
      <c r="B61" s="238"/>
      <c r="C61" s="239"/>
      <c r="D61" s="239"/>
      <c r="E61" s="239"/>
      <c r="F61" s="239"/>
      <c r="G61" s="239"/>
      <c r="H61" s="239"/>
      <c r="I61" s="240"/>
    </row>
    <row r="62" spans="1:15" ht="18.75" customHeight="1" x14ac:dyDescent="0.15">
      <c r="A62" s="1"/>
      <c r="B62" s="238"/>
      <c r="C62" s="239"/>
      <c r="D62" s="239"/>
      <c r="E62" s="239"/>
      <c r="F62" s="239"/>
      <c r="G62" s="239"/>
      <c r="H62" s="239"/>
      <c r="I62" s="240"/>
    </row>
    <row r="63" spans="1:15" ht="59.25" customHeight="1" x14ac:dyDescent="0.15">
      <c r="A63" s="1"/>
      <c r="B63" s="241"/>
      <c r="C63" s="242"/>
      <c r="D63" s="242"/>
      <c r="E63" s="242"/>
      <c r="F63" s="242"/>
      <c r="G63" s="242"/>
      <c r="H63" s="242"/>
      <c r="I63" s="243"/>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217" t="s">
        <v>160</v>
      </c>
      <c r="C66" s="218"/>
      <c r="D66" s="218"/>
      <c r="E66" s="218"/>
      <c r="F66" s="218"/>
      <c r="G66" s="218"/>
      <c r="H66" s="218"/>
      <c r="I66" s="219"/>
    </row>
    <row r="67" spans="1:9" ht="18.75" customHeight="1" x14ac:dyDescent="0.15">
      <c r="A67" s="4"/>
      <c r="B67" s="220"/>
      <c r="C67" s="221"/>
      <c r="D67" s="221"/>
      <c r="E67" s="221"/>
      <c r="F67" s="221"/>
      <c r="G67" s="221"/>
      <c r="H67" s="221"/>
      <c r="I67" s="222"/>
    </row>
    <row r="68" spans="1:9" ht="18.75" customHeight="1" x14ac:dyDescent="0.15">
      <c r="A68" s="4"/>
      <c r="B68" s="220"/>
      <c r="C68" s="221"/>
      <c r="D68" s="221"/>
      <c r="E68" s="221"/>
      <c r="F68" s="221"/>
      <c r="G68" s="221"/>
      <c r="H68" s="221"/>
      <c r="I68" s="222"/>
    </row>
    <row r="69" spans="1:9" ht="18.75" customHeight="1" x14ac:dyDescent="0.15">
      <c r="A69" s="4"/>
      <c r="B69" s="220"/>
      <c r="C69" s="221"/>
      <c r="D69" s="221"/>
      <c r="E69" s="221"/>
      <c r="F69" s="221"/>
      <c r="G69" s="221"/>
      <c r="H69" s="221"/>
      <c r="I69" s="222"/>
    </row>
    <row r="70" spans="1:9" ht="18.75" customHeight="1" x14ac:dyDescent="0.15">
      <c r="A70" s="4"/>
      <c r="B70" s="220"/>
      <c r="C70" s="221"/>
      <c r="D70" s="221"/>
      <c r="E70" s="221"/>
      <c r="F70" s="221"/>
      <c r="G70" s="221"/>
      <c r="H70" s="221"/>
      <c r="I70" s="222"/>
    </row>
    <row r="71" spans="1:9" ht="18.75" customHeight="1" x14ac:dyDescent="0.15">
      <c r="A71" s="4"/>
      <c r="B71" s="220"/>
      <c r="C71" s="221"/>
      <c r="D71" s="221"/>
      <c r="E71" s="221"/>
      <c r="F71" s="221"/>
      <c r="G71" s="221"/>
      <c r="H71" s="221"/>
      <c r="I71" s="222"/>
    </row>
    <row r="72" spans="1:9" ht="18.75" customHeight="1" x14ac:dyDescent="0.15">
      <c r="A72" s="4"/>
      <c r="B72" s="220"/>
      <c r="C72" s="221"/>
      <c r="D72" s="221"/>
      <c r="E72" s="221"/>
      <c r="F72" s="221"/>
      <c r="G72" s="221"/>
      <c r="H72" s="221"/>
      <c r="I72" s="222"/>
    </row>
    <row r="73" spans="1:9" ht="18.75" customHeight="1" x14ac:dyDescent="0.15">
      <c r="A73" s="4"/>
      <c r="B73" s="220"/>
      <c r="C73" s="221"/>
      <c r="D73" s="221"/>
      <c r="E73" s="221"/>
      <c r="F73" s="221"/>
      <c r="G73" s="221"/>
      <c r="H73" s="221"/>
      <c r="I73" s="222"/>
    </row>
    <row r="74" spans="1:9" ht="18.75" customHeight="1" x14ac:dyDescent="0.15">
      <c r="A74" s="4"/>
      <c r="B74" s="220"/>
      <c r="C74" s="221"/>
      <c r="D74" s="221"/>
      <c r="E74" s="221"/>
      <c r="F74" s="221"/>
      <c r="G74" s="221"/>
      <c r="H74" s="221"/>
      <c r="I74" s="222"/>
    </row>
    <row r="75" spans="1:9" ht="18.75" customHeight="1" x14ac:dyDescent="0.15">
      <c r="A75" s="4"/>
      <c r="B75" s="220"/>
      <c r="C75" s="221"/>
      <c r="D75" s="221"/>
      <c r="E75" s="221"/>
      <c r="F75" s="221"/>
      <c r="G75" s="221"/>
      <c r="H75" s="221"/>
      <c r="I75" s="222"/>
    </row>
    <row r="76" spans="1:9" ht="18.75" customHeight="1" x14ac:dyDescent="0.15">
      <c r="A76" s="4"/>
      <c r="B76" s="220"/>
      <c r="C76" s="221"/>
      <c r="D76" s="221"/>
      <c r="E76" s="221"/>
      <c r="F76" s="221"/>
      <c r="G76" s="221"/>
      <c r="H76" s="221"/>
      <c r="I76" s="222"/>
    </row>
    <row r="77" spans="1:9" ht="18.75" customHeight="1" x14ac:dyDescent="0.15">
      <c r="A77" s="4"/>
      <c r="B77" s="223"/>
      <c r="C77" s="224"/>
      <c r="D77" s="224"/>
      <c r="E77" s="224"/>
      <c r="F77" s="224"/>
      <c r="G77" s="224"/>
      <c r="H77" s="224"/>
      <c r="I77" s="225"/>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217" t="s">
        <v>157</v>
      </c>
      <c r="C80" s="218"/>
      <c r="D80" s="218"/>
      <c r="E80" s="218"/>
      <c r="F80" s="218"/>
      <c r="G80" s="218"/>
      <c r="H80" s="218"/>
      <c r="I80" s="226"/>
    </row>
    <row r="81" spans="1:10" ht="18.75" customHeight="1" x14ac:dyDescent="0.15">
      <c r="A81" s="1"/>
      <c r="B81" s="227"/>
      <c r="C81" s="228"/>
      <c r="D81" s="228"/>
      <c r="E81" s="228"/>
      <c r="F81" s="228"/>
      <c r="G81" s="228"/>
      <c r="H81" s="228"/>
      <c r="I81" s="229"/>
    </row>
    <row r="82" spans="1:10" ht="18.75" customHeight="1" x14ac:dyDescent="0.15">
      <c r="A82" s="1"/>
      <c r="B82" s="227"/>
      <c r="C82" s="228"/>
      <c r="D82" s="228"/>
      <c r="E82" s="228"/>
      <c r="F82" s="228"/>
      <c r="G82" s="228"/>
      <c r="H82" s="228"/>
      <c r="I82" s="229"/>
    </row>
    <row r="83" spans="1:10" ht="18.75" customHeight="1" x14ac:dyDescent="0.15">
      <c r="A83" s="1"/>
      <c r="B83" s="227"/>
      <c r="C83" s="228"/>
      <c r="D83" s="228"/>
      <c r="E83" s="228"/>
      <c r="F83" s="228"/>
      <c r="G83" s="228"/>
      <c r="H83" s="228"/>
      <c r="I83" s="229"/>
    </row>
    <row r="84" spans="1:10" ht="18.75" customHeight="1" x14ac:dyDescent="0.15">
      <c r="A84" s="1"/>
      <c r="B84" s="227"/>
      <c r="C84" s="228"/>
      <c r="D84" s="228"/>
      <c r="E84" s="228"/>
      <c r="F84" s="228"/>
      <c r="G84" s="228"/>
      <c r="H84" s="228"/>
      <c r="I84" s="229"/>
    </row>
    <row r="85" spans="1:10" ht="18.75" customHeight="1" x14ac:dyDescent="0.15">
      <c r="A85" s="1"/>
      <c r="B85" s="227"/>
      <c r="C85" s="228"/>
      <c r="D85" s="228"/>
      <c r="E85" s="228"/>
      <c r="F85" s="228"/>
      <c r="G85" s="228"/>
      <c r="H85" s="228"/>
      <c r="I85" s="229"/>
    </row>
    <row r="86" spans="1:10" ht="18.75" customHeight="1" x14ac:dyDescent="0.15">
      <c r="A86" s="1"/>
      <c r="B86" s="227"/>
      <c r="C86" s="228"/>
      <c r="D86" s="228"/>
      <c r="E86" s="228"/>
      <c r="F86" s="228"/>
      <c r="G86" s="228"/>
      <c r="H86" s="228"/>
      <c r="I86" s="229"/>
    </row>
    <row r="87" spans="1:10" ht="18.75" customHeight="1" x14ac:dyDescent="0.15">
      <c r="A87" s="1"/>
      <c r="B87" s="227"/>
      <c r="C87" s="228"/>
      <c r="D87" s="228"/>
      <c r="E87" s="228"/>
      <c r="F87" s="228"/>
      <c r="G87" s="228"/>
      <c r="H87" s="228"/>
      <c r="I87" s="229"/>
    </row>
    <row r="88" spans="1:10" ht="18.75" customHeight="1" x14ac:dyDescent="0.15">
      <c r="A88" s="1"/>
      <c r="B88" s="227"/>
      <c r="C88" s="228"/>
      <c r="D88" s="228"/>
      <c r="E88" s="228"/>
      <c r="F88" s="228"/>
      <c r="G88" s="228"/>
      <c r="H88" s="228"/>
      <c r="I88" s="229"/>
    </row>
    <row r="89" spans="1:10" ht="18.75" customHeight="1" x14ac:dyDescent="0.15">
      <c r="A89" s="1"/>
      <c r="B89" s="227"/>
      <c r="C89" s="228"/>
      <c r="D89" s="228"/>
      <c r="E89" s="228"/>
      <c r="F89" s="228"/>
      <c r="G89" s="228"/>
      <c r="H89" s="228"/>
      <c r="I89" s="229"/>
    </row>
    <row r="90" spans="1:10" ht="18.75" customHeight="1" x14ac:dyDescent="0.15">
      <c r="A90" s="4"/>
      <c r="B90" s="227"/>
      <c r="C90" s="228"/>
      <c r="D90" s="228"/>
      <c r="E90" s="228"/>
      <c r="F90" s="228"/>
      <c r="G90" s="228"/>
      <c r="H90" s="228"/>
      <c r="I90" s="229"/>
    </row>
    <row r="91" spans="1:10" ht="5.0999999999999996" customHeight="1" x14ac:dyDescent="0.15">
      <c r="A91" s="4"/>
      <c r="B91" s="230"/>
      <c r="C91" s="231"/>
      <c r="D91" s="231"/>
      <c r="E91" s="231"/>
      <c r="F91" s="231"/>
      <c r="G91" s="231"/>
      <c r="H91" s="231"/>
      <c r="I91" s="232"/>
    </row>
    <row r="92" spans="1:10" ht="7.5" customHeight="1" x14ac:dyDescent="0.15">
      <c r="A92" s="4"/>
      <c r="B92" s="4"/>
      <c r="C92" s="4"/>
      <c r="D92" s="4"/>
      <c r="E92" s="4"/>
      <c r="F92" s="4"/>
      <c r="G92" s="4"/>
      <c r="H92" s="4"/>
      <c r="I92" s="4"/>
    </row>
    <row r="93" spans="1:10" ht="18.75" customHeight="1" x14ac:dyDescent="0.15">
      <c r="A93" s="1" t="s">
        <v>44</v>
      </c>
      <c r="B93" s="1" t="s">
        <v>13</v>
      </c>
    </row>
    <row r="94" spans="1:10" ht="18.75" customHeight="1" x14ac:dyDescent="0.15">
      <c r="A94" s="1"/>
      <c r="B94" s="244" t="s">
        <v>166</v>
      </c>
      <c r="C94" s="245"/>
      <c r="D94" s="245"/>
      <c r="E94" s="245"/>
      <c r="F94" s="245"/>
      <c r="G94" s="245"/>
      <c r="H94" s="245"/>
      <c r="I94" s="246"/>
      <c r="J94" s="90"/>
    </row>
    <row r="95" spans="1:10" ht="18.75" customHeight="1" x14ac:dyDescent="0.15">
      <c r="A95" s="1"/>
      <c r="B95" s="247"/>
      <c r="C95" s="248"/>
      <c r="D95" s="248"/>
      <c r="E95" s="248"/>
      <c r="F95" s="248"/>
      <c r="G95" s="248"/>
      <c r="H95" s="248"/>
      <c r="I95" s="249"/>
    </row>
    <row r="96" spans="1:10" ht="18.75" customHeight="1" x14ac:dyDescent="0.15">
      <c r="A96" s="1"/>
      <c r="B96" s="247"/>
      <c r="C96" s="248"/>
      <c r="D96" s="248"/>
      <c r="E96" s="248"/>
      <c r="F96" s="248"/>
      <c r="G96" s="248"/>
      <c r="H96" s="248"/>
      <c r="I96" s="249"/>
    </row>
    <row r="97" spans="1:9" ht="18.75" customHeight="1" x14ac:dyDescent="0.15">
      <c r="A97" s="1"/>
      <c r="B97" s="247"/>
      <c r="C97" s="248"/>
      <c r="D97" s="248"/>
      <c r="E97" s="248"/>
      <c r="F97" s="248"/>
      <c r="G97" s="248"/>
      <c r="H97" s="248"/>
      <c r="I97" s="249"/>
    </row>
    <row r="98" spans="1:9" ht="18.75" customHeight="1" x14ac:dyDescent="0.15">
      <c r="A98" s="1"/>
      <c r="B98" s="247"/>
      <c r="C98" s="248"/>
      <c r="D98" s="248"/>
      <c r="E98" s="248"/>
      <c r="F98" s="248"/>
      <c r="G98" s="248"/>
      <c r="H98" s="248"/>
      <c r="I98" s="249"/>
    </row>
    <row r="99" spans="1:9" ht="18.75" customHeight="1" x14ac:dyDescent="0.15">
      <c r="A99" s="1"/>
      <c r="B99" s="247"/>
      <c r="C99" s="248"/>
      <c r="D99" s="248"/>
      <c r="E99" s="248"/>
      <c r="F99" s="248"/>
      <c r="G99" s="248"/>
      <c r="H99" s="248"/>
      <c r="I99" s="249"/>
    </row>
    <row r="100" spans="1:9" ht="18.75" customHeight="1" x14ac:dyDescent="0.15">
      <c r="A100" s="1"/>
      <c r="B100" s="247"/>
      <c r="C100" s="248"/>
      <c r="D100" s="248"/>
      <c r="E100" s="248"/>
      <c r="F100" s="248"/>
      <c r="G100" s="248"/>
      <c r="H100" s="248"/>
      <c r="I100" s="249"/>
    </row>
    <row r="101" spans="1:9" ht="18.75" customHeight="1" x14ac:dyDescent="0.15">
      <c r="A101" s="1"/>
      <c r="B101" s="247"/>
      <c r="C101" s="248"/>
      <c r="D101" s="248"/>
      <c r="E101" s="248"/>
      <c r="F101" s="248"/>
      <c r="G101" s="248"/>
      <c r="H101" s="248"/>
      <c r="I101" s="249"/>
    </row>
    <row r="102" spans="1:9" ht="18.75" customHeight="1" x14ac:dyDescent="0.15">
      <c r="A102" s="1"/>
      <c r="B102" s="247"/>
      <c r="C102" s="248"/>
      <c r="D102" s="248"/>
      <c r="E102" s="248"/>
      <c r="F102" s="248"/>
      <c r="G102" s="248"/>
      <c r="H102" s="248"/>
      <c r="I102" s="249"/>
    </row>
    <row r="103" spans="1:9" ht="18.75" customHeight="1" x14ac:dyDescent="0.15">
      <c r="A103" s="1"/>
      <c r="B103" s="247"/>
      <c r="C103" s="248"/>
      <c r="D103" s="248"/>
      <c r="E103" s="248"/>
      <c r="F103" s="248"/>
      <c r="G103" s="248"/>
      <c r="H103" s="248"/>
      <c r="I103" s="249"/>
    </row>
    <row r="104" spans="1:9" ht="18.75" customHeight="1" x14ac:dyDescent="0.15">
      <c r="A104" s="1"/>
      <c r="B104" s="247"/>
      <c r="C104" s="248"/>
      <c r="D104" s="248"/>
      <c r="E104" s="248"/>
      <c r="F104" s="248"/>
      <c r="G104" s="248"/>
      <c r="H104" s="248"/>
      <c r="I104" s="249"/>
    </row>
    <row r="105" spans="1:9" ht="18.75" customHeight="1" x14ac:dyDescent="0.15">
      <c r="A105" s="4"/>
      <c r="B105" s="250"/>
      <c r="C105" s="251"/>
      <c r="D105" s="251"/>
      <c r="E105" s="251"/>
      <c r="F105" s="251"/>
      <c r="G105" s="251"/>
      <c r="H105" s="251"/>
      <c r="I105" s="252"/>
    </row>
    <row r="106" spans="1:9" ht="7.5" customHeight="1" x14ac:dyDescent="0.15">
      <c r="A106" s="4"/>
      <c r="B106" s="4"/>
      <c r="C106" s="4"/>
      <c r="D106" s="4"/>
      <c r="E106" s="4"/>
      <c r="F106" s="4"/>
      <c r="G106" s="4"/>
      <c r="H106" s="4"/>
      <c r="I106" s="4"/>
    </row>
    <row r="107" spans="1:9" ht="18.75" customHeight="1" x14ac:dyDescent="0.15">
      <c r="A107" s="1" t="s">
        <v>30</v>
      </c>
      <c r="B107" s="253" t="s">
        <v>46</v>
      </c>
      <c r="C107" s="253"/>
      <c r="D107" s="253"/>
      <c r="E107" s="253"/>
      <c r="F107" s="253"/>
      <c r="G107" s="253"/>
      <c r="H107" s="253"/>
      <c r="I107" s="253"/>
    </row>
    <row r="108" spans="1:9" ht="18.75" customHeight="1" x14ac:dyDescent="0.15">
      <c r="A108" s="4"/>
      <c r="B108" s="254" t="s">
        <v>136</v>
      </c>
      <c r="C108" s="255"/>
      <c r="D108" s="255"/>
      <c r="E108" s="255"/>
      <c r="F108" s="255"/>
      <c r="G108" s="255"/>
      <c r="H108" s="255"/>
      <c r="I108" s="256"/>
    </row>
    <row r="109" spans="1:9" ht="18.75" customHeight="1" x14ac:dyDescent="0.15">
      <c r="A109" s="4"/>
      <c r="B109" s="257"/>
      <c r="C109" s="258"/>
      <c r="D109" s="258"/>
      <c r="E109" s="258"/>
      <c r="F109" s="258"/>
      <c r="G109" s="258"/>
      <c r="H109" s="258"/>
      <c r="I109" s="259"/>
    </row>
    <row r="110" spans="1:9" ht="18.75" customHeight="1" x14ac:dyDescent="0.15">
      <c r="A110" s="4"/>
      <c r="B110" s="257"/>
      <c r="C110" s="258"/>
      <c r="D110" s="258"/>
      <c r="E110" s="258"/>
      <c r="F110" s="258"/>
      <c r="G110" s="258"/>
      <c r="H110" s="258"/>
      <c r="I110" s="259"/>
    </row>
    <row r="111" spans="1:9" ht="18.75" customHeight="1" x14ac:dyDescent="0.15">
      <c r="A111" s="4"/>
      <c r="B111" s="257"/>
      <c r="C111" s="258"/>
      <c r="D111" s="258"/>
      <c r="E111" s="258"/>
      <c r="F111" s="258"/>
      <c r="G111" s="258"/>
      <c r="H111" s="258"/>
      <c r="I111" s="259"/>
    </row>
    <row r="112" spans="1:9" ht="18.75" customHeight="1" x14ac:dyDescent="0.15">
      <c r="A112" s="4"/>
      <c r="B112" s="257"/>
      <c r="C112" s="258"/>
      <c r="D112" s="258"/>
      <c r="E112" s="258"/>
      <c r="F112" s="258"/>
      <c r="G112" s="258"/>
      <c r="H112" s="258"/>
      <c r="I112" s="259"/>
    </row>
    <row r="113" spans="1:9" ht="18.75" customHeight="1" x14ac:dyDescent="0.15">
      <c r="A113" s="4"/>
      <c r="B113" s="257"/>
      <c r="C113" s="258"/>
      <c r="D113" s="258"/>
      <c r="E113" s="258"/>
      <c r="F113" s="258"/>
      <c r="G113" s="258"/>
      <c r="H113" s="258"/>
      <c r="I113" s="259"/>
    </row>
    <row r="114" spans="1:9" ht="18.75" customHeight="1" x14ac:dyDescent="0.15">
      <c r="A114" s="4"/>
      <c r="B114" s="257"/>
      <c r="C114" s="258"/>
      <c r="D114" s="258"/>
      <c r="E114" s="258"/>
      <c r="F114" s="258"/>
      <c r="G114" s="258"/>
      <c r="H114" s="258"/>
      <c r="I114" s="259"/>
    </row>
    <row r="115" spans="1:9" ht="18.75" customHeight="1" x14ac:dyDescent="0.15">
      <c r="A115" s="4"/>
      <c r="B115" s="257"/>
      <c r="C115" s="258"/>
      <c r="D115" s="258"/>
      <c r="E115" s="258"/>
      <c r="F115" s="258"/>
      <c r="G115" s="258"/>
      <c r="H115" s="258"/>
      <c r="I115" s="259"/>
    </row>
    <row r="116" spans="1:9" ht="18.75" customHeight="1" x14ac:dyDescent="0.15">
      <c r="A116" s="4"/>
      <c r="B116" s="257"/>
      <c r="C116" s="258"/>
      <c r="D116" s="258"/>
      <c r="E116" s="258"/>
      <c r="F116" s="258"/>
      <c r="G116" s="258"/>
      <c r="H116" s="258"/>
      <c r="I116" s="259"/>
    </row>
    <row r="117" spans="1:9" ht="18.75" customHeight="1" x14ac:dyDescent="0.15">
      <c r="A117" s="4"/>
      <c r="B117" s="257"/>
      <c r="C117" s="258"/>
      <c r="D117" s="258"/>
      <c r="E117" s="258"/>
      <c r="F117" s="258"/>
      <c r="G117" s="258"/>
      <c r="H117" s="258"/>
      <c r="I117" s="259"/>
    </row>
    <row r="118" spans="1:9" ht="18.75" customHeight="1" x14ac:dyDescent="0.15">
      <c r="A118" s="4"/>
      <c r="B118" s="257"/>
      <c r="C118" s="258"/>
      <c r="D118" s="258"/>
      <c r="E118" s="258"/>
      <c r="F118" s="258"/>
      <c r="G118" s="258"/>
      <c r="H118" s="258"/>
      <c r="I118" s="259"/>
    </row>
    <row r="119" spans="1:9" ht="18.75" customHeight="1" x14ac:dyDescent="0.15">
      <c r="A119" s="4"/>
      <c r="B119" s="260"/>
      <c r="C119" s="261"/>
      <c r="D119" s="261"/>
      <c r="E119" s="261"/>
      <c r="F119" s="261"/>
      <c r="G119" s="261"/>
      <c r="H119" s="261"/>
      <c r="I119" s="262"/>
    </row>
    <row r="120" spans="1:9" ht="7.5" customHeight="1" x14ac:dyDescent="0.15">
      <c r="A120" s="4"/>
      <c r="B120" s="43"/>
      <c r="C120" s="43"/>
      <c r="D120" s="43"/>
      <c r="E120" s="43"/>
      <c r="F120" s="43"/>
      <c r="G120" s="43"/>
      <c r="H120" s="43"/>
      <c r="I120" s="43"/>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4"/>
      <c r="B134" s="44"/>
      <c r="C134" s="44"/>
      <c r="D134" s="44"/>
      <c r="E134" s="44"/>
      <c r="F134" s="44"/>
      <c r="G134" s="44"/>
      <c r="H134" s="44"/>
      <c r="I134" s="44"/>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0"/>
  <sheetViews>
    <sheetView showZeros="0" view="pageBreakPreview" zoomScale="85" zoomScaleNormal="100" zoomScaleSheetLayoutView="85" workbookViewId="0">
      <selection activeCell="I2" sqref="I2"/>
    </sheetView>
  </sheetViews>
  <sheetFormatPr defaultColWidth="11.375" defaultRowHeight="22.5" customHeight="1" x14ac:dyDescent="0.15"/>
  <cols>
    <col min="1" max="1" width="2.75" style="1" customWidth="1"/>
    <col min="2" max="3" width="2.75" style="98" customWidth="1"/>
    <col min="4" max="4" width="22.25" style="98" customWidth="1"/>
    <col min="5" max="5" width="30.75" style="98" customWidth="1"/>
    <col min="6" max="7" width="7.75" style="98" customWidth="1"/>
    <col min="8" max="9" width="30.75" style="98" customWidth="1"/>
    <col min="10" max="10" width="4.125" style="1" customWidth="1"/>
    <col min="11" max="16384" width="11.375" style="1"/>
  </cols>
  <sheetData>
    <row r="1" spans="1:11" ht="18.75" customHeight="1" x14ac:dyDescent="0.15">
      <c r="A1" s="1" t="s">
        <v>70</v>
      </c>
      <c r="I1" s="99" t="s">
        <v>103</v>
      </c>
    </row>
    <row r="2" spans="1:11" ht="18.75" customHeight="1" x14ac:dyDescent="0.15">
      <c r="H2" s="99" t="s">
        <v>107</v>
      </c>
      <c r="I2" s="100" t="str">
        <f>'様式１　プログラムを構成する授業科目'!C2</f>
        <v>神奈川大学</v>
      </c>
    </row>
    <row r="3" spans="1:11" ht="18.75" customHeight="1" x14ac:dyDescent="0.15">
      <c r="A3" s="141" t="s">
        <v>28</v>
      </c>
      <c r="B3" s="141"/>
      <c r="C3" s="141"/>
      <c r="D3" s="141"/>
      <c r="E3" s="141"/>
      <c r="F3" s="141"/>
      <c r="G3" s="141"/>
      <c r="H3" s="141"/>
      <c r="I3" s="141"/>
    </row>
    <row r="4" spans="1:11" ht="18.75" customHeight="1" x14ac:dyDescent="0.15">
      <c r="A4" s="5"/>
      <c r="B4" s="101"/>
      <c r="C4" s="101"/>
      <c r="D4" s="101"/>
      <c r="E4" s="101"/>
      <c r="F4" s="101"/>
      <c r="G4" s="101"/>
      <c r="H4" s="101"/>
      <c r="I4" s="101"/>
    </row>
    <row r="5" spans="1:11" ht="18.75" customHeight="1" x14ac:dyDescent="0.15">
      <c r="A5" s="1" t="s">
        <v>0</v>
      </c>
      <c r="B5" s="102" t="s">
        <v>93</v>
      </c>
      <c r="C5" s="101"/>
      <c r="D5" s="101"/>
      <c r="E5" s="101"/>
      <c r="F5" s="101"/>
      <c r="G5" s="101"/>
      <c r="H5" s="101"/>
      <c r="I5" s="101"/>
    </row>
    <row r="6" spans="1:11" ht="26.25" customHeight="1" x14ac:dyDescent="0.15">
      <c r="A6" s="5"/>
      <c r="B6" s="310" t="s">
        <v>137</v>
      </c>
      <c r="C6" s="311"/>
      <c r="D6" s="311"/>
      <c r="E6" s="311"/>
      <c r="F6" s="311"/>
      <c r="G6" s="311"/>
      <c r="H6" s="312"/>
      <c r="I6" s="103"/>
    </row>
    <row r="7" spans="1:11" ht="9" customHeight="1" x14ac:dyDescent="0.15">
      <c r="A7" s="5"/>
      <c r="B7" s="102"/>
      <c r="C7" s="102"/>
      <c r="D7" s="102"/>
      <c r="E7" s="102"/>
      <c r="F7" s="102"/>
      <c r="G7" s="102"/>
      <c r="H7" s="102"/>
      <c r="I7" s="103"/>
    </row>
    <row r="8" spans="1:11" ht="18.75" customHeight="1" x14ac:dyDescent="0.15">
      <c r="A8" s="5"/>
      <c r="B8" s="103"/>
      <c r="C8" s="103"/>
      <c r="D8" s="99" t="s">
        <v>43</v>
      </c>
      <c r="E8" s="100" t="s">
        <v>138</v>
      </c>
      <c r="F8" s="103"/>
      <c r="G8" s="99" t="s">
        <v>10</v>
      </c>
      <c r="H8" s="104" t="s">
        <v>134</v>
      </c>
      <c r="I8" s="103"/>
    </row>
    <row r="9" spans="1:11" ht="7.5" customHeight="1" x14ac:dyDescent="0.15">
      <c r="A9" s="5"/>
      <c r="B9" s="101"/>
      <c r="C9" s="101"/>
      <c r="D9" s="101"/>
      <c r="E9" s="101"/>
      <c r="F9" s="101"/>
      <c r="G9" s="101"/>
      <c r="H9" s="101"/>
      <c r="I9" s="101"/>
    </row>
    <row r="10" spans="1:11" ht="18.75" customHeight="1" x14ac:dyDescent="0.15">
      <c r="A10" s="1" t="s">
        <v>3</v>
      </c>
      <c r="B10" s="98" t="s">
        <v>27</v>
      </c>
      <c r="C10" s="105"/>
      <c r="D10" s="105"/>
      <c r="E10" s="105"/>
      <c r="F10" s="105"/>
      <c r="G10" s="105"/>
      <c r="H10" s="105"/>
      <c r="I10" s="105"/>
    </row>
    <row r="11" spans="1:11" ht="18.75" customHeight="1" x14ac:dyDescent="0.15">
      <c r="B11" s="310" t="s">
        <v>24</v>
      </c>
      <c r="C11" s="311"/>
      <c r="D11" s="312"/>
      <c r="E11" s="311" t="s">
        <v>26</v>
      </c>
      <c r="F11" s="311"/>
      <c r="G11" s="311"/>
      <c r="H11" s="311"/>
      <c r="I11" s="312"/>
    </row>
    <row r="12" spans="1:11" ht="26.25" customHeight="1" x14ac:dyDescent="0.15">
      <c r="B12" s="106" t="s">
        <v>14</v>
      </c>
      <c r="C12" s="107"/>
      <c r="D12" s="108"/>
      <c r="E12" s="109"/>
      <c r="F12" s="109"/>
      <c r="G12" s="109"/>
      <c r="H12" s="109"/>
      <c r="I12" s="108"/>
    </row>
    <row r="13" spans="1:11" ht="210.75" customHeight="1" x14ac:dyDescent="0.15">
      <c r="B13" s="110"/>
      <c r="C13" s="290" t="s">
        <v>15</v>
      </c>
      <c r="D13" s="291"/>
      <c r="E13" s="303" t="s">
        <v>162</v>
      </c>
      <c r="F13" s="292"/>
      <c r="G13" s="292"/>
      <c r="H13" s="292"/>
      <c r="I13" s="293"/>
      <c r="K13" s="90"/>
    </row>
    <row r="14" spans="1:11" ht="210.75" customHeight="1" x14ac:dyDescent="0.15">
      <c r="B14" s="110"/>
      <c r="C14" s="308" t="s">
        <v>16</v>
      </c>
      <c r="D14" s="309"/>
      <c r="E14" s="304" t="s">
        <v>139</v>
      </c>
      <c r="F14" s="305"/>
      <c r="G14" s="305"/>
      <c r="H14" s="305"/>
      <c r="I14" s="306"/>
    </row>
    <row r="15" spans="1:11" ht="210.75" customHeight="1" x14ac:dyDescent="0.15">
      <c r="B15" s="110"/>
      <c r="C15" s="290" t="s">
        <v>17</v>
      </c>
      <c r="D15" s="291"/>
      <c r="E15" s="303" t="s">
        <v>163</v>
      </c>
      <c r="F15" s="292"/>
      <c r="G15" s="292"/>
      <c r="H15" s="292"/>
      <c r="I15" s="293"/>
      <c r="K15" s="89"/>
    </row>
    <row r="16" spans="1:11" ht="210.75" customHeight="1" x14ac:dyDescent="0.15">
      <c r="B16" s="110"/>
      <c r="C16" s="290" t="s">
        <v>18</v>
      </c>
      <c r="D16" s="291"/>
      <c r="E16" s="304" t="s">
        <v>169</v>
      </c>
      <c r="F16" s="305"/>
      <c r="G16" s="305"/>
      <c r="H16" s="305"/>
      <c r="I16" s="306"/>
    </row>
    <row r="17" spans="2:13" ht="210.75" customHeight="1" x14ac:dyDescent="0.15">
      <c r="B17" s="111"/>
      <c r="C17" s="294" t="s">
        <v>19</v>
      </c>
      <c r="D17" s="295"/>
      <c r="E17" s="307" t="s">
        <v>167</v>
      </c>
      <c r="F17" s="296"/>
      <c r="G17" s="296"/>
      <c r="H17" s="296"/>
      <c r="I17" s="297"/>
      <c r="K17" s="97"/>
      <c r="L17" s="90"/>
      <c r="M17" s="89"/>
    </row>
    <row r="18" spans="2:13" ht="24" customHeight="1" x14ac:dyDescent="0.15">
      <c r="B18" s="106" t="s">
        <v>20</v>
      </c>
      <c r="C18" s="112"/>
      <c r="D18" s="113"/>
      <c r="E18" s="114"/>
      <c r="F18" s="114"/>
      <c r="G18" s="114"/>
      <c r="H18" s="114"/>
      <c r="I18" s="115"/>
    </row>
    <row r="19" spans="2:13" ht="218.25" customHeight="1" x14ac:dyDescent="0.15">
      <c r="B19" s="110"/>
      <c r="C19" s="290" t="s">
        <v>21</v>
      </c>
      <c r="D19" s="291"/>
      <c r="E19" s="292" t="s">
        <v>164</v>
      </c>
      <c r="F19" s="292"/>
      <c r="G19" s="292"/>
      <c r="H19" s="292"/>
      <c r="I19" s="293"/>
    </row>
    <row r="20" spans="2:13" ht="218.25" customHeight="1" x14ac:dyDescent="0.15">
      <c r="B20" s="111"/>
      <c r="C20" s="294" t="s">
        <v>22</v>
      </c>
      <c r="D20" s="295"/>
      <c r="E20" s="296" t="s">
        <v>165</v>
      </c>
      <c r="F20" s="296"/>
      <c r="G20" s="296"/>
      <c r="H20" s="296"/>
      <c r="I20" s="297"/>
    </row>
    <row r="21" spans="2:13" ht="218.25" customHeight="1" x14ac:dyDescent="0.15">
      <c r="B21" s="298" t="s">
        <v>23</v>
      </c>
      <c r="C21" s="299"/>
      <c r="D21" s="300"/>
      <c r="E21" s="301" t="s">
        <v>159</v>
      </c>
      <c r="F21" s="301"/>
      <c r="G21" s="301"/>
      <c r="H21" s="301"/>
      <c r="I21" s="302"/>
    </row>
    <row r="22" spans="2:13" ht="218.25" customHeight="1" x14ac:dyDescent="0.15">
      <c r="B22" s="285" t="s">
        <v>38</v>
      </c>
      <c r="C22" s="286"/>
      <c r="D22" s="287"/>
      <c r="E22" s="288" t="s">
        <v>168</v>
      </c>
      <c r="F22" s="288"/>
      <c r="G22" s="288"/>
      <c r="H22" s="288"/>
      <c r="I22" s="289"/>
      <c r="K22" s="90"/>
    </row>
    <row r="23" spans="2:13" ht="22.5" customHeight="1" x14ac:dyDescent="0.15">
      <c r="B23" s="105"/>
      <c r="C23" s="105"/>
      <c r="D23" s="105"/>
      <c r="E23" s="105"/>
      <c r="F23" s="105"/>
      <c r="G23" s="105"/>
      <c r="H23" s="105"/>
      <c r="I23" s="105"/>
    </row>
    <row r="24" spans="2:13" ht="22.5" customHeight="1" x14ac:dyDescent="0.15">
      <c r="B24" s="105"/>
      <c r="C24" s="105"/>
      <c r="D24" s="105"/>
      <c r="E24" s="105"/>
      <c r="F24" s="105"/>
      <c r="G24" s="105"/>
      <c r="H24" s="105"/>
      <c r="I24" s="105"/>
    </row>
    <row r="25" spans="2:13" ht="22.5" customHeight="1" x14ac:dyDescent="0.15">
      <c r="B25" s="105"/>
      <c r="C25" s="105"/>
      <c r="D25" s="105"/>
      <c r="E25" s="105"/>
      <c r="F25" s="105"/>
      <c r="G25" s="105"/>
      <c r="H25" s="105"/>
      <c r="I25" s="105"/>
    </row>
    <row r="26" spans="2:13" ht="22.5" customHeight="1" x14ac:dyDescent="0.15">
      <c r="B26" s="105"/>
      <c r="C26" s="105"/>
      <c r="D26" s="105"/>
      <c r="E26" s="105"/>
      <c r="F26" s="105"/>
      <c r="G26" s="105"/>
      <c r="H26" s="105"/>
      <c r="I26" s="105"/>
    </row>
    <row r="27" spans="2:13" ht="22.5" customHeight="1" x14ac:dyDescent="0.15">
      <c r="B27" s="105"/>
      <c r="C27" s="105"/>
      <c r="D27" s="105"/>
      <c r="E27" s="105"/>
      <c r="F27" s="105"/>
      <c r="G27" s="105"/>
      <c r="H27" s="105"/>
      <c r="I27" s="105"/>
    </row>
    <row r="28" spans="2:13" ht="22.5" customHeight="1" x14ac:dyDescent="0.15">
      <c r="B28" s="116"/>
      <c r="C28" s="116"/>
      <c r="D28" s="116"/>
      <c r="E28" s="116"/>
      <c r="F28" s="116"/>
      <c r="G28" s="116"/>
      <c r="H28" s="116"/>
      <c r="I28" s="116"/>
    </row>
    <row r="29" spans="2:13" ht="22.5" customHeight="1" x14ac:dyDescent="0.15">
      <c r="B29" s="116"/>
      <c r="C29" s="116"/>
      <c r="D29" s="116"/>
      <c r="E29" s="116"/>
      <c r="F29" s="116"/>
      <c r="G29" s="116"/>
      <c r="H29" s="116"/>
      <c r="I29" s="116"/>
    </row>
    <row r="30" spans="2:13" ht="22.5" customHeight="1" x14ac:dyDescent="0.15">
      <c r="B30" s="116"/>
      <c r="C30" s="116"/>
      <c r="D30" s="116"/>
      <c r="E30" s="116"/>
      <c r="F30" s="116"/>
      <c r="G30" s="116"/>
      <c r="H30" s="116"/>
      <c r="I30" s="116"/>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吉岡 卓哉(fs111817vb)</cp:lastModifiedBy>
  <cp:lastPrinted>2023-05-12T00:34:21Z</cp:lastPrinted>
  <dcterms:created xsi:type="dcterms:W3CDTF">2011-06-14T05:32:50Z</dcterms:created>
  <dcterms:modified xsi:type="dcterms:W3CDTF">2023-05-12T00:34:32Z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