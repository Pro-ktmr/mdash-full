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defaultThemeVersion="124226"/>
  <mc:AlternateContent xmlns:mc="http://schemas.openxmlformats.org/markup-compatibility/2006">
    <mc:Choice Requires="x15">
      <x15ac:absPath xmlns:x15ac="http://schemas.microsoft.com/office/spreadsheetml/2010/11/ac" url="C:\Users\小池　訓文\Desktop\避難1\★数理科学教育\01_文科省申請\R5.8申請書類修正一式\"/>
    </mc:Choice>
  </mc:AlternateContent>
  <xr:revisionPtr revIDLastSave="0" documentId="8_{3ECF4342-9139-490C-8775-BA7409AB3215}" xr6:coauthVersionLast="47" xr6:coauthVersionMax="47" xr10:uidLastSave="{00000000-0000-0000-0000-000000000000}"/>
  <bookViews>
    <workbookView xWindow="-120" yWindow="-120" windowWidth="29040" windowHeight="15720" tabRatio="885" xr2:uid="{00000000-000D-0000-FFFF-FFFF00000000}"/>
  </bookViews>
  <sheets>
    <sheet name="様式１ー１　プログラムを構成する授業科目" sheetId="59" r:id="rId1"/>
    <sheet name="様式１ー２　プログラムを構成する授業科目" sheetId="58" r:id="rId2"/>
    <sheet name="様式１ー３　プログラムを構成する授業科目" sheetId="57" r:id="rId3"/>
    <sheet name="様式１ー４　プログラムを構成する授業科目" sheetId="56" r:id="rId4"/>
    <sheet name="様式１ー５　プログラムを構成する授業科目" sheetId="55" r:id="rId5"/>
    <sheet name="様式１ー6　プログラムを構成する授業科目" sheetId="54" r:id="rId6"/>
    <sheet name="様式１ー7　プログラムを構成する授業科目" sheetId="53" r:id="rId7"/>
    <sheet name="様式２ 履修者等数の実績" sheetId="60" r:id="rId8"/>
    <sheet name="様式３ 教育の質・履修者数を向上させるための体制・計画" sheetId="62" r:id="rId9"/>
    <sheet name="様式４　自己点検・評価" sheetId="61" r:id="rId10"/>
  </sheets>
  <definedNames>
    <definedName name="_xlnm._FilterDatabase" localSheetId="0" hidden="1">'様式１ー１　プログラムを構成する授業科目'!$V$14:$V$16</definedName>
    <definedName name="_xlnm._FilterDatabase" localSheetId="1" hidden="1">'様式１ー２　プログラムを構成する授業科目'!$V$14:$V$16</definedName>
    <definedName name="_xlnm._FilterDatabase" localSheetId="2" hidden="1">'様式１ー３　プログラムを構成する授業科目'!$V$14:$V$16</definedName>
    <definedName name="_xlnm._FilterDatabase" localSheetId="3" hidden="1">'様式１ー４　プログラムを構成する授業科目'!$V$14:$V$16</definedName>
    <definedName name="_xlnm._FilterDatabase" localSheetId="4" hidden="1">'様式１ー５　プログラムを構成する授業科目'!$V$14:$V$16</definedName>
    <definedName name="_xlnm._FilterDatabase" localSheetId="5" hidden="1">'様式１ー6　プログラムを構成する授業科目'!$V$14:$V$16</definedName>
    <definedName name="_xlnm._FilterDatabase" localSheetId="6" hidden="1">'様式１ー7　プログラムを構成する授業科目'!$V$14:$V$16</definedName>
    <definedName name="_xlnm._FilterDatabase" localSheetId="7" hidden="1">'様式２ 履修者等数の実績'!#REF!</definedName>
    <definedName name="_xlnm.Print_Area" localSheetId="0">'様式１ー１　プログラムを構成する授業科目'!$A$1:$S$102</definedName>
    <definedName name="_xlnm.Print_Area" localSheetId="1">'様式１ー２　プログラムを構成する授業科目'!$A$1:$S$102</definedName>
    <definedName name="_xlnm.Print_Area" localSheetId="2">'様式１ー３　プログラムを構成する授業科目'!$A$1:$S$102</definedName>
    <definedName name="_xlnm.Print_Area" localSheetId="3">'様式１ー４　プログラムを構成する授業科目'!$A$1:$S$102</definedName>
    <definedName name="_xlnm.Print_Area" localSheetId="4">'様式１ー５　プログラムを構成する授業科目'!$A$1:$S$102</definedName>
    <definedName name="_xlnm.Print_Area" localSheetId="5">'様式１ー6　プログラムを構成する授業科目'!$A$1:$S$102</definedName>
    <definedName name="_xlnm.Print_Area" localSheetId="6">'様式１ー7　プログラムを構成する授業科目'!$A$1:$S$102</definedName>
    <definedName name="_xlnm.Print_Area" localSheetId="7">'様式２ 履修者等数の実績'!$A$1:$AQ$32</definedName>
    <definedName name="_xlnm.Print_Area" localSheetId="8">'様式３ 教育の質・履修者数を向上させるための体制・計画'!$A$1:$I$120</definedName>
    <definedName name="_xlnm.Print_Area" localSheetId="9">'様式４　自己点検・評価'!$A$1:$I$22</definedName>
    <definedName name="_xlnm.Print_Titles" localSheetId="9">'様式４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53" l="1"/>
  <c r="C2" i="53"/>
  <c r="C3" i="54"/>
  <c r="C2" i="54"/>
  <c r="C3" i="55"/>
  <c r="C2" i="55"/>
  <c r="C3" i="56"/>
  <c r="C2" i="56"/>
  <c r="C3" i="57"/>
  <c r="C2" i="57"/>
  <c r="C3" i="58"/>
  <c r="C2" i="58"/>
  <c r="I2" i="61"/>
  <c r="H2" i="62"/>
  <c r="AM2" i="60"/>
  <c r="I50" i="62" l="1"/>
  <c r="AO32" i="60"/>
  <c r="AN32" i="60"/>
  <c r="AL32" i="60"/>
  <c r="AK32" i="60"/>
  <c r="AJ32" i="60"/>
  <c r="AI32" i="60"/>
  <c r="AH32" i="60"/>
  <c r="AF32" i="60"/>
  <c r="AE32" i="60"/>
  <c r="AC32" i="60"/>
  <c r="AB32" i="60"/>
  <c r="Z32" i="60"/>
  <c r="Y32" i="60"/>
  <c r="W32" i="60"/>
  <c r="V32" i="60"/>
  <c r="T32" i="60"/>
  <c r="S32" i="60"/>
  <c r="Q32" i="60"/>
  <c r="P32" i="60"/>
  <c r="N32" i="60"/>
  <c r="M32" i="60"/>
  <c r="L32" i="60"/>
  <c r="K32" i="60"/>
  <c r="J32" i="60"/>
  <c r="H32" i="60"/>
  <c r="G32" i="60"/>
  <c r="E32" i="60"/>
  <c r="D32" i="60"/>
  <c r="C32" i="60"/>
  <c r="AM31" i="60"/>
  <c r="AJ31" i="60"/>
  <c r="AG31" i="60"/>
  <c r="AD31" i="60"/>
  <c r="AA31" i="60"/>
  <c r="X31" i="60"/>
  <c r="U31" i="60"/>
  <c r="R31" i="60"/>
  <c r="O31" i="60"/>
  <c r="L31" i="60"/>
  <c r="I31" i="60"/>
  <c r="F31" i="60"/>
  <c r="AP31" i="60" s="1"/>
  <c r="AQ31" i="60" s="1"/>
  <c r="AM30" i="60"/>
  <c r="AJ30" i="60"/>
  <c r="AG30" i="60"/>
  <c r="AD30" i="60"/>
  <c r="AA30" i="60"/>
  <c r="X30" i="60"/>
  <c r="U30" i="60"/>
  <c r="R30" i="60"/>
  <c r="O30" i="60"/>
  <c r="L30" i="60"/>
  <c r="I30" i="60"/>
  <c r="F30" i="60"/>
  <c r="AP30" i="60" s="1"/>
  <c r="AQ30" i="60" s="1"/>
  <c r="AM29" i="60"/>
  <c r="AJ29" i="60"/>
  <c r="AG29" i="60"/>
  <c r="AD29" i="60"/>
  <c r="AA29" i="60"/>
  <c r="X29" i="60"/>
  <c r="U29" i="60"/>
  <c r="R29" i="60"/>
  <c r="AP29" i="60" s="1"/>
  <c r="AQ29" i="60" s="1"/>
  <c r="O29" i="60"/>
  <c r="L29" i="60"/>
  <c r="I29" i="60"/>
  <c r="F29" i="60"/>
  <c r="AM28" i="60"/>
  <c r="AJ28" i="60"/>
  <c r="AG28" i="60"/>
  <c r="AD28" i="60"/>
  <c r="AA28" i="60"/>
  <c r="X28" i="60"/>
  <c r="U28" i="60"/>
  <c r="R28" i="60"/>
  <c r="O28" i="60"/>
  <c r="L28" i="60"/>
  <c r="AP28" i="60" s="1"/>
  <c r="AQ28" i="60" s="1"/>
  <c r="I28" i="60"/>
  <c r="F28" i="60"/>
  <c r="AM27" i="60"/>
  <c r="AJ27" i="60"/>
  <c r="AG27" i="60"/>
  <c r="AD27" i="60"/>
  <c r="AA27" i="60"/>
  <c r="X27" i="60"/>
  <c r="U27" i="60"/>
  <c r="R27" i="60"/>
  <c r="O27" i="60"/>
  <c r="L27" i="60"/>
  <c r="I27" i="60"/>
  <c r="F27" i="60"/>
  <c r="AP27" i="60" s="1"/>
  <c r="AQ27" i="60" s="1"/>
  <c r="AM26" i="60"/>
  <c r="AJ26" i="60"/>
  <c r="AG26" i="60"/>
  <c r="AD26" i="60"/>
  <c r="AA26" i="60"/>
  <c r="X26" i="60"/>
  <c r="U26" i="60"/>
  <c r="R26" i="60"/>
  <c r="O26" i="60"/>
  <c r="L26" i="60"/>
  <c r="I26" i="60"/>
  <c r="F26" i="60"/>
  <c r="AP26" i="60" s="1"/>
  <c r="AQ26" i="60" s="1"/>
  <c r="AM25" i="60"/>
  <c r="AJ25" i="60"/>
  <c r="AG25" i="60"/>
  <c r="AD25" i="60"/>
  <c r="AA25" i="60"/>
  <c r="X25" i="60"/>
  <c r="U25" i="60"/>
  <c r="R25" i="60"/>
  <c r="AP25" i="60" s="1"/>
  <c r="AQ25" i="60" s="1"/>
  <c r="O25" i="60"/>
  <c r="L25" i="60"/>
  <c r="I25" i="60"/>
  <c r="F25" i="60"/>
  <c r="AM24" i="60"/>
  <c r="AJ24" i="60"/>
  <c r="AG24" i="60"/>
  <c r="AD24" i="60"/>
  <c r="AA24" i="60"/>
  <c r="X24" i="60"/>
  <c r="U24" i="60"/>
  <c r="R24" i="60"/>
  <c r="O24" i="60"/>
  <c r="L24" i="60"/>
  <c r="AP24" i="60" s="1"/>
  <c r="AQ24" i="60" s="1"/>
  <c r="I24" i="60"/>
  <c r="F24" i="60"/>
  <c r="AM23" i="60"/>
  <c r="AJ23" i="60"/>
  <c r="AG23" i="60"/>
  <c r="AD23" i="60"/>
  <c r="AA23" i="60"/>
  <c r="X23" i="60"/>
  <c r="U23" i="60"/>
  <c r="R23" i="60"/>
  <c r="O23" i="60"/>
  <c r="L23" i="60"/>
  <c r="I23" i="60"/>
  <c r="F23" i="60"/>
  <c r="AP23" i="60" s="1"/>
  <c r="AQ23" i="60" s="1"/>
  <c r="AM22" i="60"/>
  <c r="AJ22" i="60"/>
  <c r="AG22" i="60"/>
  <c r="AD22" i="60"/>
  <c r="AA22" i="60"/>
  <c r="X22" i="60"/>
  <c r="U22" i="60"/>
  <c r="R22" i="60"/>
  <c r="O22" i="60"/>
  <c r="L22" i="60"/>
  <c r="I22" i="60"/>
  <c r="F22" i="60"/>
  <c r="AP22" i="60" s="1"/>
  <c r="AQ22" i="60" s="1"/>
  <c r="AP21" i="60"/>
  <c r="AQ21" i="60" s="1"/>
  <c r="AM21" i="60"/>
  <c r="AJ21" i="60"/>
  <c r="AG21" i="60"/>
  <c r="AD21" i="60"/>
  <c r="AA21" i="60"/>
  <c r="X21" i="60"/>
  <c r="U21" i="60"/>
  <c r="R21" i="60"/>
  <c r="O21" i="60"/>
  <c r="L21" i="60"/>
  <c r="I21" i="60"/>
  <c r="F21" i="60"/>
  <c r="AM20" i="60"/>
  <c r="AJ20" i="60"/>
  <c r="AG20" i="60"/>
  <c r="AD20" i="60"/>
  <c r="AA20" i="60"/>
  <c r="X20" i="60"/>
  <c r="U20" i="60"/>
  <c r="R20" i="60"/>
  <c r="O20" i="60"/>
  <c r="L20" i="60"/>
  <c r="AP20" i="60" s="1"/>
  <c r="AQ20" i="60" s="1"/>
  <c r="I20" i="60"/>
  <c r="F20" i="60"/>
  <c r="AM19" i="60"/>
  <c r="AJ19" i="60"/>
  <c r="AG19" i="60"/>
  <c r="AD19" i="60"/>
  <c r="AA19" i="60"/>
  <c r="X19" i="60"/>
  <c r="U19" i="60"/>
  <c r="R19" i="60"/>
  <c r="O19" i="60"/>
  <c r="L19" i="60"/>
  <c r="I19" i="60"/>
  <c r="F19" i="60"/>
  <c r="AP19" i="60" s="1"/>
  <c r="AQ19" i="60" s="1"/>
  <c r="AM18" i="60"/>
  <c r="AJ18" i="60"/>
  <c r="AG18" i="60"/>
  <c r="AD18" i="60"/>
  <c r="AA18" i="60"/>
  <c r="X18" i="60"/>
  <c r="U18" i="60"/>
  <c r="R18" i="60"/>
  <c r="O18" i="60"/>
  <c r="L18" i="60"/>
  <c r="I18" i="60"/>
  <c r="F18" i="60"/>
  <c r="AP18" i="60" s="1"/>
  <c r="AQ18" i="60" s="1"/>
  <c r="AP17" i="60"/>
  <c r="AQ17" i="60" s="1"/>
  <c r="AM17" i="60"/>
  <c r="AJ17" i="60"/>
  <c r="AG17" i="60"/>
  <c r="AD17" i="60"/>
  <c r="AA17" i="60"/>
  <c r="X17" i="60"/>
  <c r="U17" i="60"/>
  <c r="R17" i="60"/>
  <c r="O17" i="60"/>
  <c r="L17" i="60"/>
  <c r="I17" i="60"/>
  <c r="F17" i="60"/>
  <c r="AM16" i="60"/>
  <c r="AJ16" i="60"/>
  <c r="AG16" i="60"/>
  <c r="AD16" i="60"/>
  <c r="AA16" i="60"/>
  <c r="X16" i="60"/>
  <c r="U16" i="60"/>
  <c r="R16" i="60"/>
  <c r="O16" i="60"/>
  <c r="L16" i="60"/>
  <c r="AP16" i="60" s="1"/>
  <c r="AQ16" i="60" s="1"/>
  <c r="I16" i="60"/>
  <c r="F16" i="60"/>
  <c r="AM15" i="60"/>
  <c r="AJ15" i="60"/>
  <c r="AG15" i="60"/>
  <c r="AD15" i="60"/>
  <c r="AD32" i="60" s="1"/>
  <c r="AA15" i="60"/>
  <c r="X15" i="60"/>
  <c r="U15" i="60"/>
  <c r="R15" i="60"/>
  <c r="O15" i="60"/>
  <c r="L15" i="60"/>
  <c r="I15" i="60"/>
  <c r="F15" i="60"/>
  <c r="F32" i="60" s="1"/>
  <c r="AM14" i="60"/>
  <c r="AJ14" i="60"/>
  <c r="AG14" i="60"/>
  <c r="AD14" i="60"/>
  <c r="AA14" i="60"/>
  <c r="X14" i="60"/>
  <c r="U14" i="60"/>
  <c r="U32" i="60" s="1"/>
  <c r="R14" i="60"/>
  <c r="O14" i="60"/>
  <c r="L14" i="60"/>
  <c r="I14" i="60"/>
  <c r="F14" i="60"/>
  <c r="AP14" i="60" s="1"/>
  <c r="AQ14" i="60" s="1"/>
  <c r="AP13" i="60"/>
  <c r="AQ13" i="60" s="1"/>
  <c r="AM13" i="60"/>
  <c r="AJ13" i="60"/>
  <c r="AG13" i="60"/>
  <c r="AD13" i="60"/>
  <c r="AA13" i="60"/>
  <c r="X13" i="60"/>
  <c r="U13" i="60"/>
  <c r="R13" i="60"/>
  <c r="O13" i="60"/>
  <c r="L13" i="60"/>
  <c r="I13" i="60"/>
  <c r="F13" i="60"/>
  <c r="AM12" i="60"/>
  <c r="AM32" i="60" s="1"/>
  <c r="AJ12" i="60"/>
  <c r="AG12" i="60"/>
  <c r="AG32" i="60" s="1"/>
  <c r="AD12" i="60"/>
  <c r="AA12" i="60"/>
  <c r="AA32" i="60" s="1"/>
  <c r="X12" i="60"/>
  <c r="X32" i="60" s="1"/>
  <c r="U12" i="60"/>
  <c r="R12" i="60"/>
  <c r="R32" i="60" s="1"/>
  <c r="O12" i="60"/>
  <c r="O32" i="60" s="1"/>
  <c r="L12" i="60"/>
  <c r="AP12" i="60" s="1"/>
  <c r="I12" i="60"/>
  <c r="F12" i="60"/>
  <c r="I32" i="60" l="1"/>
  <c r="AQ12" i="60"/>
  <c r="AP15" i="60"/>
  <c r="AQ15" i="60" s="1"/>
  <c r="AP32" i="60" l="1"/>
  <c r="AQ32" i="60" s="1"/>
  <c r="C49" i="62" s="1"/>
</calcChain>
</file>

<file path=xl/sharedStrings.xml><?xml version="1.0" encoding="utf-8"?>
<sst xmlns="http://schemas.openxmlformats.org/spreadsheetml/2006/main" count="1211" uniqueCount="312">
  <si>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</si>
  <si>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</si>
  <si>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</si>
  <si>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</si>
  <si>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</si>
  <si>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</si>
  <si>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</si>
  <si>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</si>
  <si>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</si>
  <si>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</si>
  <si>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</si>
  <si>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</si>
  <si>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</si>
  <si>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</si>
  <si>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</si>
  <si>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</si>
  <si>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</si>
  <si>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</si>
  <si>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</si>
  <si>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</si>
  <si>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</si>
  <si>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</si>
  <si>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</si>
  <si>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</si>
  <si>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</si>
  <si>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</si>
  <si>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</si>
  <si>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</si>
  <si>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</si>
  <si>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</si>
  <si>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</si>
  <si>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</si>
  <si>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</si>
  <si>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</si>
  <si>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</si>
  <si>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</si>
  <si>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</si>
  <si>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</si>
  <si>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</si>
  <si>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</si>
  <si>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</si>
  <si>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</si>
  <si>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</si>
  <si>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</si>
  <si>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</si>
  <si>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</si>
  <si>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</si>
  <si>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</si>
  <si>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</si>
  <si>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</si>
  <si>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</si>
  <si>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</si>
  <si>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</si>
  <si>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</si>
  <si>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</si>
  <si>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</si>
  <si>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</si>
  <si>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</si>
  <si>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</si>
  <si>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</si>
  <si>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</si>
  <si>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</si>
  <si>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</si>
  <si>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</si>
  <si>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</si>
  <si>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</si>
  <si>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</si>
  <si>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</si>
  <si>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</si>
  <si>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</si>
  <si>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</si>
  <si>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</si>
  <si>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</si>
  <si>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</si>
  <si>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</si>
  <si>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</si>
  <si>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</si>
  <si>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</si>
  <si>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</si>
  <si>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</si>
  <si>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</si>
  <si>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</si>
  <si>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</si>
  <si>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</si>
  <si>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</si>
  <si>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</si>
  <si>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</si>
  <si>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</si>
  <si>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</si>
  <si>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</si>
  <si>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</si>
  <si>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</si>
  <si>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</si>
  <si>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</si>
  <si>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</si>
  <si>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</si>
  <si>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</si>
  <si>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</si>
  <si>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</si>
  <si>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</si>
  <si>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</si>
  <si>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</si>
  <si>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</si>
  <si>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</si>
  <si>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</si>
  <si>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</si>
  <si>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</si>
  <si>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</si>
  <si>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</si>
  <si>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</si>
  <si>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</si>
  <si>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</si>
  <si>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</si>
  <si>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</si>
  <si>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</si>
  <si>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</si>
  <si>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</si>
  <si>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</si>
  <si>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</si>
  <si>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</si>
  <si>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</si>
  <si>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</si>
  <si>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</si>
  <si>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</si>
  <si>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</si>
  <si>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</si>
  <si>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順天堂大学</t>
    <phoneticPr fontId="1"/>
  </si>
  <si>
    <t>数理・データサイエンス・AI教育プログラム</t>
    <phoneticPr fontId="1"/>
  </si>
  <si>
    <t>学部・学科によって、修了要件は相違する</t>
  </si>
  <si>
    <t>医学部</t>
    <rPh sb="0" eb="3">
      <t>イガクブ</t>
    </rPh>
    <phoneticPr fontId="1"/>
  </si>
  <si>
    <t>データサイエンス基礎</t>
  </si>
  <si>
    <t>○</t>
  </si>
  <si>
    <t>医療の経営学</t>
  </si>
  <si>
    <t>医療社会学</t>
  </si>
  <si>
    <t>情報処理Ⅰ</t>
  </si>
  <si>
    <t>統計に基づいた科学的実証の実際</t>
  </si>
  <si>
    <t>医事ニュースを読み解く統計学</t>
  </si>
  <si>
    <t>科学研究のための基礎</t>
  </si>
  <si>
    <t>統計解析への数学</t>
    <rPh sb="0" eb="4">
      <t>トウケイカイセキ</t>
    </rPh>
    <rPh sb="6" eb="8">
      <t>スウガク</t>
    </rPh>
    <phoneticPr fontId="1"/>
  </si>
  <si>
    <t>4-1統計および数理基礎</t>
  </si>
  <si>
    <t>4‐3データ構造とプログラミング基礎</t>
  </si>
  <si>
    <t>シェアリングエコノミー、AIを活用した新たなビジネスモデル、AIの最新の活用例「データサイエンス基礎」（6回目）</t>
    <phoneticPr fontId="1"/>
  </si>
  <si>
    <t>1次データと2次データ、オープンデータ、構造化データと非構造化データ、データの作成と収集「データサイエンス基礎」（2回目）</t>
    <phoneticPr fontId="1"/>
  </si>
  <si>
    <t>データ・AIの活用領域の進展、製造、物流、販売、マーケティング、サービス等での活用、仮説検証、知識発見、原因究明、判断支援等、「データサイエンス基礎」（3回目）</t>
    <phoneticPr fontId="1"/>
  </si>
  <si>
    <t>データサイエンスのサイクル、探索的データ解析、流通、製造、金融、インフラ、ヘルスケア等への利活用「データサイエンス基礎」（5回目）
AI・ロボット・IoTが医療に及ぼす影響「医療社会学」（9回目）</t>
    <phoneticPr fontId="1"/>
  </si>
  <si>
    <t>これからのデータ駆動型社会において必要とされる、数理・データサイエンス・AIに関して、社会での活用の状況を知り、これからの社会にとって新たな価値を生み出す技術であることを理解するとともに、それらの利活用に関する知識と技術を身に付ける。また、データやAIを扱う上での留意事項やデータを守るための技術を身に付けるとともにそのための倫理観を育成する。さらに、データサイエンスの技術の基礎となる基本的なデータの扱いについてその技術をプログラミング等を通して身に付ける。</t>
    <phoneticPr fontId="1"/>
  </si>
  <si>
    <t>様式１－１</t>
    <rPh sb="0" eb="2">
      <t>ヨウシキ</t>
    </rPh>
    <phoneticPr fontId="1"/>
  </si>
  <si>
    <t>スポーツ健康科学部</t>
    <phoneticPr fontId="1"/>
  </si>
  <si>
    <t>情報処理演習【新カリ】</t>
    <rPh sb="7" eb="8">
      <t>シン</t>
    </rPh>
    <phoneticPr fontId="1"/>
  </si>
  <si>
    <t>様式１－２</t>
    <rPh sb="0" eb="2">
      <t>ヨウシキ</t>
    </rPh>
    <phoneticPr fontId="1"/>
  </si>
  <si>
    <t>データサイエンスのための数学【新カリ】</t>
  </si>
  <si>
    <t>統計学【新カリ】</t>
  </si>
  <si>
    <t>スポーツ情報科学【新カリ】</t>
  </si>
  <si>
    <t>情報処理演習【新カリ】</t>
    <rPh sb="0" eb="4">
      <t>ジョウホウショリ</t>
    </rPh>
    <rPh sb="4" eb="6">
      <t>エンシュウ</t>
    </rPh>
    <phoneticPr fontId="1"/>
  </si>
  <si>
    <t>その他</t>
  </si>
  <si>
    <t>社会の変化について、ビッグデータ、IoT、AI、ロボット、データの増加、コンピュータの進歩、Society5.0、データ駆動型社会、人間の知的活動とAI「情報処理演習【新カリ】」（2回目）</t>
    <rPh sb="77" eb="81">
      <t>ジョウホウショリ</t>
    </rPh>
    <rPh sb="81" eb="83">
      <t>エンシュウ</t>
    </rPh>
    <rPh sb="84" eb="85">
      <t>シン</t>
    </rPh>
    <rPh sb="91" eb="93">
      <t>カイメ</t>
    </rPh>
    <phoneticPr fontId="1"/>
  </si>
  <si>
    <t>データ・AI活用の最近の状況について、AIを活用した新たなビジネスモデル、AIの最新の活用例「情報処理演習【新カリ】」（7回目）</t>
    <rPh sb="54" eb="55">
      <t>シン</t>
    </rPh>
    <phoneticPr fontId="1"/>
  </si>
  <si>
    <t>社会におけるデータの活用として、1次データと2次データ、オープンデータ、構造化データと非構造化データ、データの作成と収集「情報処理演習【新カリ】」（3回目）</t>
    <rPh sb="68" eb="69">
      <t>シン</t>
    </rPh>
    <phoneticPr fontId="1"/>
  </si>
  <si>
    <t>データ・AIの活用領域の進展、製造、物流、販売、マーケティング、サービス等での活用、仮説検証、知識発見、原因究明、判断支援等「データサイエンスのための数学【新カリ】」（6回目）</t>
  </si>
  <si>
    <t>データ解析(分類、予測)、シミュレーション、データの可視化、AIでできること、認識技術、自動化「データサイエンスのための数学【新カリ】」（14回目）</t>
  </si>
  <si>
    <t>データ・AIを活用する上での留意事項について、個人情報保護法とGDPRなどの国際動向、データに関する情報モラル「情報処理演習【新カリ】」（5回目）</t>
    <rPh sb="63" eb="64">
      <t>シン</t>
    </rPh>
    <phoneticPr fontId="1"/>
  </si>
  <si>
    <t>講義の授業形態で行われる。近年のICTの発達により、多様な分野の様々な種類のデータが容易に収集・活用できるようになっている中で、データの扱いに当たって必須となる数理・データサイエンス・AIの知識について身に付けることを目標とする。また、スポーツ健康科学の分野で基本的な数学の知識を活用し、論理的に思考できる能力を高めることを目指す。</t>
    <rPh sb="162" eb="164">
      <t>メザ</t>
    </rPh>
    <phoneticPr fontId="1"/>
  </si>
  <si>
    <t>様式１－３</t>
    <rPh sb="0" eb="2">
      <t>ヨウシキ</t>
    </rPh>
    <phoneticPr fontId="1"/>
  </si>
  <si>
    <t>医療看護学部</t>
    <rPh sb="0" eb="2">
      <t>イリョウ</t>
    </rPh>
    <rPh sb="2" eb="6">
      <t>カンゴガクブ</t>
    </rPh>
    <phoneticPr fontId="1"/>
  </si>
  <si>
    <r>
      <t xml:space="preserve">医療看護学部においては、基本的には次の2つのコア科目を修了したことで、教育プログラムの修了要件としている。
また、項目2-1、2-2、2-3に関してはコア科目以外の必要な科目の組合せの修了でもプログラムの修了を認めることとする。
コア科目：情報科学、統計学
</t>
    </r>
    <r>
      <rPr>
        <sz val="12"/>
        <rFont val="ＭＳ Ｐゴシック"/>
        <family val="3"/>
        <charset val="128"/>
        <scheme val="minor"/>
      </rPr>
      <t>項目1-3、1-4に関しては、2022年度は「情報科学」においてオンデマンドビデオにより対応した。</t>
    </r>
    <rPh sb="77" eb="81">
      <t>カモクイガイ</t>
    </rPh>
    <rPh sb="129" eb="131">
      <t>コウモク</t>
    </rPh>
    <rPh sb="139" eb="140">
      <t>カン</t>
    </rPh>
    <rPh sb="148" eb="150">
      <t>ネンド</t>
    </rPh>
    <rPh sb="152" eb="156">
      <t>ジョウホウカガク</t>
    </rPh>
    <rPh sb="173" eb="175">
      <t>タイオウ</t>
    </rPh>
    <phoneticPr fontId="1"/>
  </si>
  <si>
    <t>情報科学</t>
  </si>
  <si>
    <t>統計演習</t>
  </si>
  <si>
    <t>統計学</t>
  </si>
  <si>
    <t>保健統計</t>
  </si>
  <si>
    <t>統計学</t>
    <rPh sb="0" eb="3">
      <t>トウケイガク</t>
    </rPh>
    <phoneticPr fontId="1"/>
  </si>
  <si>
    <t>統計演習</t>
    <rPh sb="0" eb="4">
      <t>トウケイエンシュウ</t>
    </rPh>
    <phoneticPr fontId="1"/>
  </si>
  <si>
    <t>ビッグデータ、IoT、AI、ロボット、データの増加、コンピュータの進歩、Society5.0、データ駆動型社会、人間の知的活動とAI「情報科学」（2回目）</t>
    <rPh sb="67" eb="71">
      <t>ジョウホウカガク</t>
    </rPh>
    <rPh sb="74" eb="76">
      <t>カイメ</t>
    </rPh>
    <phoneticPr fontId="1"/>
  </si>
  <si>
    <t>AIを活用した新たなビジネスモデル、AIの最新の活用例「情報科学」（4回目）</t>
  </si>
  <si>
    <t>データ・AIの活用領域の進展、製造、物流、販売、マーケティング、サービス等での活用、仮説検証、知識発見、原因究明、判断支援等「情報科学」(オンデマンドビデオ)</t>
    <rPh sb="63" eb="65">
      <t>ジョウホウ</t>
    </rPh>
    <rPh sb="65" eb="67">
      <t>カガク</t>
    </rPh>
    <phoneticPr fontId="1"/>
  </si>
  <si>
    <t>データ解析(分類、予測)、シミュレーション、データの可視化、AIでできること、認識技術、自動化「情報科学」(オンデマンドビデオ)</t>
  </si>
  <si>
    <t>データ駆動型社会のリスクとその対策、情報漏洩と情報セキュリティ「情報科学」（14回目）</t>
  </si>
  <si>
    <t>実際にパソコンを使用し､コンピュータの仕組みと操作方法から始め、インターネットを活用した情報収集の仕方､情報を整理するための基礎的な文書処理や数値処理の仕方を習得する。注目の高まっているAI（人工知能）技術が、どのように医療看護の分野で利用されているかも紹介する。　　　　　
さらに医療の現場に特有なデータ処理である、生体信号・医用画像のコンピュータ処理に関して、その基礎的な考え方を学ぶと共にコンピュータ実習を通し生きた知識を身につける。</t>
  </si>
  <si>
    <t>様式１－４</t>
    <rPh sb="0" eb="2">
      <t>ヨウシキ</t>
    </rPh>
    <phoneticPr fontId="1"/>
  </si>
  <si>
    <t>保健看護学部</t>
    <rPh sb="0" eb="2">
      <t>ホケン</t>
    </rPh>
    <rPh sb="2" eb="6">
      <t>カンゴガクブ</t>
    </rPh>
    <phoneticPr fontId="1"/>
  </si>
  <si>
    <t>情報処理</t>
  </si>
  <si>
    <t>疫学・保健統計Ⅱ</t>
    <rPh sb="3" eb="5">
      <t>ホケン</t>
    </rPh>
    <phoneticPr fontId="1"/>
  </si>
  <si>
    <t>疫学・保健統計Ⅰ</t>
    <rPh sb="3" eb="5">
      <t>ホケン</t>
    </rPh>
    <phoneticPr fontId="1"/>
  </si>
  <si>
    <t>情報処理</t>
    <rPh sb="0" eb="4">
      <t>ジョウホウショリ</t>
    </rPh>
    <phoneticPr fontId="1"/>
  </si>
  <si>
    <t>4‐6画像解析</t>
  </si>
  <si>
    <t>ビッグデータ、IoT、AI、ロボット、データの増加、コンピュータの進歩、Society5.0、データ駆動型社会、人間の知的活動とAI「情報処理」（1回目）</t>
    <rPh sb="67" eb="71">
      <t>ジョウホウショリ</t>
    </rPh>
    <rPh sb="74" eb="76">
      <t>カイメ</t>
    </rPh>
    <phoneticPr fontId="1"/>
  </si>
  <si>
    <t>AIを活用した新たなビジネスモデル、AIの最新の活用例「情報処理」（6回目）</t>
    <rPh sb="28" eb="32">
      <t>ジョウホウショリ</t>
    </rPh>
    <rPh sb="35" eb="37">
      <t>カイメ</t>
    </rPh>
    <phoneticPr fontId="1"/>
  </si>
  <si>
    <t>1次データと2次データ、オープンデータ、構造化データと非構造化データ、データの作成と収集「情報処理」（2回目）</t>
  </si>
  <si>
    <t>データ・AIの活用領域の進展、製造、物流、販売、マーケティング、サービス等での活用、仮説検証、知識発見、原因究明、判断支援等「情報処理」（3回目）</t>
  </si>
  <si>
    <t>データ解析(分類、予測)、シミュレーション、データの可視化、AIでできること、認識技術、自動化「情報処理」（4回目）</t>
  </si>
  <si>
    <t>データサイエンスのサイクル、探索的データ解析、流通、製造、金融、インフラ、ヘルスケア等への利活用「情報処理」（5回目）</t>
    <rPh sb="49" eb="53">
      <t>ジョウホウショリ</t>
    </rPh>
    <rPh sb="56" eb="58">
      <t>カイメ</t>
    </rPh>
    <phoneticPr fontId="1"/>
  </si>
  <si>
    <t>個人情報保護法とGDPRなどの国際動向、データに関する情報モラル「情報処理」（7回目）</t>
    <rPh sb="33" eb="37">
      <t>ジョウホウショリ</t>
    </rPh>
    <rPh sb="40" eb="42">
      <t>カイメ</t>
    </rPh>
    <phoneticPr fontId="1"/>
  </si>
  <si>
    <t>１．数理・データサイエンス・AIによる社会変化と身の回りの生活について理解する。
２．数理・データサイエンス・AIで扱うデータとその活用範囲と問題解決について理解する。
３．数理・データサイエンス・AIの様々な適用領域と価値の創出について理解する。
４．数理・データサイエンス・AIにおける情報セキュリティとデータを守るための留意事項について理解する。</t>
  </si>
  <si>
    <t>様式１－５</t>
    <rPh sb="0" eb="2">
      <t>ヨウシキ</t>
    </rPh>
    <phoneticPr fontId="1"/>
  </si>
  <si>
    <t>国際教養学部</t>
    <rPh sb="0" eb="4">
      <t>コクサイキョウヨウ</t>
    </rPh>
    <rPh sb="4" eb="6">
      <t>ガクブ</t>
    </rPh>
    <phoneticPr fontId="1"/>
  </si>
  <si>
    <t>ICTリテラシー</t>
  </si>
  <si>
    <t>わかりやすい統計</t>
  </si>
  <si>
    <t>疫学・統計</t>
  </si>
  <si>
    <t>社会調査法</t>
  </si>
  <si>
    <t>量的調査演習</t>
  </si>
  <si>
    <t>質的（フィールド）調査演習</t>
  </si>
  <si>
    <t>ビッグデータ、IoT、AI、ロボット、データの増加、コンピュータの進歩、Society5.0、データ駆動型社会、人間の知的活動とAI「ICTリテラシー」（1回目）</t>
    <rPh sb="78" eb="80">
      <t>カイメ</t>
    </rPh>
    <phoneticPr fontId="1"/>
  </si>
  <si>
    <t>AIを活用した新たなビジネスモデル、AIの最新の活用例「ICTリテラシー」（6回目）</t>
  </si>
  <si>
    <t>データ・AIの活用領域の進展、製造、物流、販売、マーケティング、サービス等での活用、仮説検証、知識発見、原因究明、判断支援等「ICTリテラシー」（3回目）</t>
  </si>
  <si>
    <t>データ解析(分類、予測)、シミュレーション、データの可視化、AIでできること、認識技術、自動化「ICTリテラシー」（4回目）</t>
  </si>
  <si>
    <t>データサイエンスのサイクル、探索的データ解析、流通、製造、金融、インフラ、ヘルスケア等への利活用「ICTリテラシー」（5回目）</t>
  </si>
  <si>
    <t>個人情報保護法とGDPRなどの国際動向、データに関する情報モラル「ICTリテラシー」（7回目）</t>
  </si>
  <si>
    <t>データ駆動型社会のリスクとその対策、情報漏洩と情報セキュリティ「ICTリテラシー」（8回目）</t>
  </si>
  <si>
    <t>データ駆動型社会において必要とされる数理・データサイエンス・AIが社会で活用されている状況を知り、それらがこれからの社会において新たな価値を生み出し得る技術であることを理解するとともに、利活用に関する知識と技術を身に付ける。また、データやAIを扱う上での留意事項やデータあるいは利用者を守るための技術を身に付けるとともに、そのための倫理観を育成する。さらに、データサイエンスの基礎となる情報処理や情報通信の技術(ICT)をプログラミング等を通して身に付ける。</t>
  </si>
  <si>
    <t>様式１－６</t>
    <rPh sb="0" eb="2">
      <t>ヨウシキ</t>
    </rPh>
    <phoneticPr fontId="1"/>
  </si>
  <si>
    <t>情報科学</t>
    <rPh sb="0" eb="4">
      <t>ジョウホウカガク</t>
    </rPh>
    <phoneticPr fontId="1"/>
  </si>
  <si>
    <t>情報科学</t>
    <rPh sb="0" eb="2">
      <t>ジョウホウ</t>
    </rPh>
    <rPh sb="2" eb="4">
      <t>カガク</t>
    </rPh>
    <phoneticPr fontId="1"/>
  </si>
  <si>
    <t>4‐8データ活用実践（教師あり学習）</t>
  </si>
  <si>
    <t>4‐9データ活用実践（教師なし学習）</t>
  </si>
  <si>
    <t>4‐2アルゴリズム基礎</t>
  </si>
  <si>
    <t>ビッグデータ、IoT、AI、ロボット、データの増加、コンピュータの進歩、Society5.0、データ駆動型社会、人間の知的活動とAI「情報科学」（オンデマンドビデオ）</t>
    <rPh sb="67" eb="71">
      <t>ジョウホウカガク</t>
    </rPh>
    <phoneticPr fontId="1"/>
  </si>
  <si>
    <t>AIを活用した新たなビジネスモデル、AIの最新の活用例「情報科学」（オンデマンドビデオ）</t>
  </si>
  <si>
    <t>一次データと二次データ、構造化データと非構造化データ等、データの後利用に必要な技術、現代社会のデータ活用事例「情報科学」（7回目）</t>
  </si>
  <si>
    <t>データ・AIの活用領域の進展、製造、物流、販売、マーケティング、サービス等での活用、仮説検証、知識発見、原因究明、判断支援等「情報科学」（オンデマンドビデオ）</t>
  </si>
  <si>
    <t>セキュリティの考え方とその技術、セキュリティに関する法律「情報科学」（4、7回目）</t>
    <rPh sb="29" eb="33">
      <t>ジョウホウカガク</t>
    </rPh>
    <rPh sb="38" eb="40">
      <t>カイメ</t>
    </rPh>
    <phoneticPr fontId="1"/>
  </si>
  <si>
    <t>様式１－７</t>
    <rPh sb="0" eb="2">
      <t>ヨウシキ</t>
    </rPh>
    <phoneticPr fontId="1"/>
  </si>
  <si>
    <t>情報科学基礎演習</t>
    <rPh sb="0" eb="4">
      <t>ジョウホウカガク</t>
    </rPh>
    <rPh sb="4" eb="8">
      <t>キソエンシュウ</t>
    </rPh>
    <phoneticPr fontId="1"/>
  </si>
  <si>
    <t>情報科学概論</t>
    <rPh sb="4" eb="6">
      <t>ガイロン</t>
    </rPh>
    <phoneticPr fontId="1"/>
  </si>
  <si>
    <t>ビッグデータ、IoT、AI、ロボット、データの増加、コンピュータの進歩、Society5.0、データ駆動型社会、人間の知的活動とAI「情報科学基礎演習」（オンデマンドビデオ）</t>
  </si>
  <si>
    <t>AIを活用した新たなビジネスモデル、AIの最新の活用例「情報科学基礎演習」（オンデマンドビデオ）</t>
    <rPh sb="28" eb="30">
      <t>ジョウホウ</t>
    </rPh>
    <rPh sb="30" eb="32">
      <t>カガク</t>
    </rPh>
    <rPh sb="32" eb="34">
      <t>キソ</t>
    </rPh>
    <rPh sb="34" eb="36">
      <t>エンシュウ</t>
    </rPh>
    <phoneticPr fontId="1"/>
  </si>
  <si>
    <t>1次データと2次データ、オープンデータ、構造化データと非構造化データ、データの作成と収集「情報科学基礎演習」（オンデマンドビデオ）</t>
  </si>
  <si>
    <t>データ・AIの活用領域の進展、製造、物流、販売、マーケティング、サービス等での活用、仮説検証、知識発見、原因究明、判断支援等「情報科学基礎演習」（オンデマンドビデオ）</t>
  </si>
  <si>
    <t>データ解析(分類、予測)、シミュレーション、データの可視化、AIでできること、認識技術、自動化「情報科学基礎演習」（オンデマンドビデオ）</t>
  </si>
  <si>
    <t>データサイエンスのサイクル、探索的データ解析、流通、製造、金融、インフラ、ヘルスケア等への利活用「情報科学基礎演習」（オンデマンドビデオ）</t>
  </si>
  <si>
    <t>4‐4時系列データ解析</t>
  </si>
  <si>
    <t>令和４</t>
    <rPh sb="0" eb="2">
      <t>レイワ</t>
    </rPh>
    <phoneticPr fontId="1"/>
  </si>
  <si>
    <t>スポーツ健康科学部</t>
    <rPh sb="4" eb="9">
      <t>ケンコウカガクブ</t>
    </rPh>
    <phoneticPr fontId="1"/>
  </si>
  <si>
    <t>医療看護学部</t>
    <rPh sb="0" eb="6">
      <t>イリョウカンゴガクブ</t>
    </rPh>
    <phoneticPr fontId="1"/>
  </si>
  <si>
    <t>保健看護学部</t>
    <rPh sb="0" eb="6">
      <t>ホケンカンゴガクブ</t>
    </rPh>
    <phoneticPr fontId="1"/>
  </si>
  <si>
    <t>国際教養学部</t>
    <rPh sb="0" eb="6">
      <t>コクサイキョウヨウガクブ</t>
    </rPh>
    <phoneticPr fontId="1"/>
  </si>
  <si>
    <t>保健医療学部</t>
    <rPh sb="0" eb="4">
      <t>ホケンイリョウ</t>
    </rPh>
    <rPh sb="4" eb="6">
      <t>ガクブ</t>
    </rPh>
    <phoneticPr fontId="1"/>
  </si>
  <si>
    <t>医療科学部</t>
    <rPh sb="0" eb="5">
      <t>イリョウカガクブ</t>
    </rPh>
    <phoneticPr fontId="1"/>
  </si>
  <si>
    <t>木南　英紀</t>
    <rPh sb="0" eb="2">
      <t>コミナミ</t>
    </rPh>
    <rPh sb="3" eb="5">
      <t>ヒデキ</t>
    </rPh>
    <phoneticPr fontId="1"/>
  </si>
  <si>
    <t>数理・データ科学教育研究センター長</t>
    <rPh sb="0" eb="2">
      <t>スウリ</t>
    </rPh>
    <rPh sb="6" eb="8">
      <t>カガク</t>
    </rPh>
    <rPh sb="8" eb="12">
      <t>キョウイクケンキュウ</t>
    </rPh>
    <rPh sb="16" eb="17">
      <t>チョウ</t>
    </rPh>
    <phoneticPr fontId="1"/>
  </si>
  <si>
    <t>数理・データ科学教育研究センター管理運営規程、数理・データ科学教育研究センター数理科学教育管理委員会細則</t>
    <rPh sb="0" eb="2">
      <t>スウリ</t>
    </rPh>
    <rPh sb="6" eb="8">
      <t>カガク</t>
    </rPh>
    <rPh sb="8" eb="12">
      <t>キョウイクケンキュウ</t>
    </rPh>
    <rPh sb="16" eb="22">
      <t>カンリウンエイキテイ</t>
    </rPh>
    <rPh sb="23" eb="25">
      <t>スウリ</t>
    </rPh>
    <rPh sb="29" eb="31">
      <t>カガク</t>
    </rPh>
    <rPh sb="31" eb="35">
      <t>キョウイクケンキュウ</t>
    </rPh>
    <rPh sb="39" eb="45">
      <t>スウリカガクキョウイク</t>
    </rPh>
    <rPh sb="45" eb="52">
      <t>カンリイインカイサイソク</t>
    </rPh>
    <phoneticPr fontId="1"/>
  </si>
  <si>
    <t>本学では、全学における数理科学教育（数学・統計学のほか、その応用として諸科学を数理的に研究する数理科学に関する教育をいう。）の充実や質の向上を図るとともに、数理科学に関連する教育・研究を推進するため、2022年4月に「順天堂大学数理・データ科学教育研究センター」（以下「センター」）を設置し、教育体制の整備を推進している。
さらに、本プログラムの実施に関する実務的事項を審議するため、センターの下に「数理科学教育管理委員会」を設置し、各学部で本プログラムの授業科目を担当する専任教員を構成員として、授業計画の策定や実施、履修指導、ファカルティ・ディベロップメントに関する事項等について検討を行っている。</t>
    <phoneticPr fontId="1"/>
  </si>
  <si>
    <t>１．数理・データ科学教育研究センター
　木南　英紀　　センター長（学長特別補佐）
　大橋　真也　　特任教授
２．数理科学教育管理委員会
　木南　英紀　　管理委員長（数理・データ科学教育研究センター長）
　川村　浩之　　管理委員（医学部、准教授）
　廣津　信義　　管理委員（スポーツ健康科学部、教授）　
　長瀬　雅子　　管理委員（医療看護学部、先任准教授）
　石塚　淳子　　管理委員（保健看護学部、教授）
　白山　芳久　　管理委員（国際教養学部、准教授）
　野尻　宗子　　管理委員（保健医療学部、准教授）
　佐藤　正一　　管理委員（医療科学部、教授）
　大橋　真也　　管理委員（数理・データ科学教育研究センター、特任教授）</t>
    <phoneticPr fontId="1"/>
  </si>
  <si>
    <t>本学では、上記の通り、学部毎にそれぞれの特性や専門性に応じた科目でプログラムを構成しているが、どの学部の学生でもリテラシーレベルの知識・スキルを必ず修得できるよう、センターで学内共通のオンデマンド教材を開発し、各学部のプログラム担当教員に講義での活用を推奨している。
令和４年度は、こうしたオンデマンド教材を、講義の中だけでなく学生の準備学習や反復学習に活用する取組も進んでおり、今後は希望する学生がオンデマンド教材を視聴して自主的に学習できる環境を整備する予定である。</t>
    <phoneticPr fontId="1"/>
  </si>
  <si>
    <t>本学では、プログラムを周知する手段として、専用のWebサイトによる情報掲載のほか、授業支援システムを通じた情報提供を行い、全ての学生がプログラムについて情報を得ることができるようにしている。
新入生に対しては、センターでプログラムを紹介するリーフレットを作成し、各学部のオリエンテーションやガイダンスの機会に周知している。プログラム担当教員よりデータサイエンスを学ぶ意義や重要性、履修・修了要件等を説明し、学生の興味・関心が高まるよう取り組んでいる。
さらに、センターが中心となり、学部横断的なコンペティションやシンポジウム、各種セミナーやワークショップ等を定期的に開催していく計画である。イベントを通じて本プログラムの周知を図るとともに、データサイエンスに触れる機会を増やすことで学生の認知度を高めていく方針である。</t>
    <phoneticPr fontId="1"/>
  </si>
  <si>
    <t>各学部の教務課に履修相談窓口を設け、学生に対する個別カウンセリングを実施している。また、演習科目では担当教員に加えてティーチング・アシスタント（TA）を配置しており、学生に対してきめ細かいサポート・指導を行っている。現状では学生の規模に対するTAの数が不足しており、更なるTAの拡充について引き続き検討していく。</t>
    <phoneticPr fontId="1"/>
  </si>
  <si>
    <t>プログラムの各科目についてオフィスアワーを設置するとともに、メールや授業支援システムを通じて学生が教員にいつでも質問・相談できる体制を確保している。また、希望する学生、あるいは基礎学力が不足する学生などに対し、自主参加の勉強会を設けるなど、きめ細かく対応している。
さらに、学生は準備学習や復習の用途でオンデマンド教材を視聴することが可能であり、学生が自主的に学習できる体制を構築している。講義動画については、一部の科目でアーカイブ化を開始し学生にも提供しているが、今後は全てのプログラムでアーカイブ化を進め、学生のプログラムの修得に資するよう仕組みを整備していく方針である。</t>
    <phoneticPr fontId="1"/>
  </si>
  <si>
    <t>数理科学教育点検・評価委員会</t>
    <phoneticPr fontId="1"/>
  </si>
  <si>
    <t>木南　英紀</t>
    <rPh sb="0" eb="2">
      <t>コミナミ</t>
    </rPh>
    <rPh sb="3" eb="5">
      <t>エイキ</t>
    </rPh>
    <phoneticPr fontId="1"/>
  </si>
  <si>
    <t>数理科学教育点検・評価委員長</t>
  </si>
  <si>
    <t>令和４年度プログラムの点検・評価では、以下の点が指摘されている。
・学生の履修意欲を高め学修成果を可視化するため、できるだけ早い時期に、プログラム修了生に対する修了証の整備が望まれる。
・また、修了証の発行に合わせ、プログラム修了生に対するアンケートを行い、教育研究や臨床現場でのスキルの活用、資格試験合格等の成果などを追跡することを通じて、学修成果を測っていくことが望まれる。
これを受けて、センターでは、令和５年度中の修了証の発行に向けて準備を開始するほか、プログラム修了者に対するアンケートについても検討を進める。</t>
    <rPh sb="19" eb="21">
      <t>イカ</t>
    </rPh>
    <rPh sb="22" eb="23">
      <t>テン</t>
    </rPh>
    <rPh sb="24" eb="26">
      <t>シテキ</t>
    </rPh>
    <rPh sb="87" eb="88">
      <t>ノゾ</t>
    </rPh>
    <rPh sb="117" eb="118">
      <t>タイ</t>
    </rPh>
    <rPh sb="194" eb="195">
      <t>ウ</t>
    </rPh>
    <rPh sb="205" eb="207">
      <t>レイワ</t>
    </rPh>
    <rPh sb="208" eb="210">
      <t>ネンド</t>
    </rPh>
    <rPh sb="210" eb="211">
      <t>チュウ</t>
    </rPh>
    <rPh sb="216" eb="218">
      <t>ハッコウ</t>
    </rPh>
    <rPh sb="219" eb="220">
      <t>ム</t>
    </rPh>
    <rPh sb="222" eb="224">
      <t>ジュンビ</t>
    </rPh>
    <rPh sb="225" eb="227">
      <t>カイシ</t>
    </rPh>
    <rPh sb="237" eb="240">
      <t>シュウリョウシャ</t>
    </rPh>
    <rPh sb="241" eb="242">
      <t>タイ</t>
    </rPh>
    <rPh sb="254" eb="256">
      <t>ケントウ</t>
    </rPh>
    <rPh sb="257" eb="258">
      <t>スス</t>
    </rPh>
    <phoneticPr fontId="1"/>
  </si>
  <si>
    <t>センターが中心となり、学生や担当教員に対する授業評価アンケートを実施し分析することにより、プログラムに対する学生の理解度・満足度を把握している。
令和４年度プログラムの点検・評価では、以下の点が指摘されている。
・アンケートによれば、学部や科目毎にばらつきは見られるものの、理解度や満足度に関する設問において履修学生の7割以上から肯定的評価を得られた。
これを受けて、センターでは、引き続き高い理解度や満足度を得られるよう、各学部の取組を整理し、FDなどを通じて効果的な実践方法の共有を図っていく。また、オンデマンド教材についても、担当教員の意見を踏まえながら改善を図り、更なる活用を促していく。</t>
    <rPh sb="57" eb="60">
      <t>リカイド</t>
    </rPh>
    <rPh sb="182" eb="183">
      <t>ウケ</t>
    </rPh>
    <rPh sb="218" eb="220">
      <t>トリクミ</t>
    </rPh>
    <phoneticPr fontId="1"/>
  </si>
  <si>
    <t>後輩他への推奨度に関しては、現時点では把握できていない。今後、センターが中心となってプログラム修了生に対するアンケートを通じて他の学生への推奨度を把握し、専用ウェブサイトへの掲載などにより修了生の声を発信していくこととする。</t>
    <rPh sb="36" eb="38">
      <t>チュウシン</t>
    </rPh>
    <rPh sb="77" eb="79">
      <t>センヨウ</t>
    </rPh>
    <rPh sb="87" eb="89">
      <t>ケイサイ</t>
    </rPh>
    <phoneticPr fontId="1"/>
  </si>
  <si>
    <t>令和４年度にプログラムを開始したばかりであり、現時点では修了生が卒業していない。今後、センターが中心となり、各種アンケートを通じてプログラム修了生の進路、活躍状況等を把握し、評価することとする。</t>
    <rPh sb="0" eb="2">
      <t>レイワ</t>
    </rPh>
    <rPh sb="3" eb="5">
      <t>ネンド</t>
    </rPh>
    <rPh sb="23" eb="26">
      <t>ゲンジテン</t>
    </rPh>
    <rPh sb="48" eb="50">
      <t>チュウシン</t>
    </rPh>
    <phoneticPr fontId="1"/>
  </si>
  <si>
    <t>令和４年度にプログラムを開始したばかりであり、現時点では本プログラムに対する外部意見を得られていない。今後、大学全体の「外部評価プロセス」を活用しながら、本プログラムの妥当性・有効性に関する意見を収集する予定である。
また、センターでは、令和５年度以降、企業と連携したコンペティションやセミナー等を企画する予定であり、そうした機会を通じて企業から本プログラムの評価を得ることとする。</t>
    <rPh sb="0" eb="2">
      <t>レイワ</t>
    </rPh>
    <rPh sb="3" eb="5">
      <t>ネンド</t>
    </rPh>
    <rPh sb="43" eb="44">
      <t>エ</t>
    </rPh>
    <rPh sb="54" eb="56">
      <t>ダイガク</t>
    </rPh>
    <rPh sb="98" eb="100">
      <t>シュウシュウ</t>
    </rPh>
    <rPh sb="102" eb="104">
      <t>ヨテイ</t>
    </rPh>
    <rPh sb="184" eb="185">
      <t>エ</t>
    </rPh>
    <phoneticPr fontId="1"/>
  </si>
  <si>
    <t>令和４年度プログラムの点検・評価では、以下の点が指摘されている。
・アンケ―ト結果によれば、「授業から知的な刺激を受け、その分野や関連分野のことをもっと知りたいと思ったか」の質問で、７割以上の学生が肯定的に評価しており、概ね「学ぶ楽しさ」「学ぶ意義」を教える授業となっていると評価できる。
・学生の興味・関心を更に引き出すため、より発展的なプログラムに導く必要がある。そのため、発展科目や応用プログラム（応用基礎レベル）の開発・展開が望まれる。
これを踏まえ、センター、数理科学教育管理委員会が中心となり、数理・データサイエンス・AIの発展科目の整備及び応用プログラムの開講に向けて検討する。</t>
    <rPh sb="19" eb="21">
      <t>イカ</t>
    </rPh>
    <rPh sb="22" eb="23">
      <t>テン</t>
    </rPh>
    <rPh sb="24" eb="26">
      <t>シテキ</t>
    </rPh>
    <rPh sb="39" eb="41">
      <t>ケッカ</t>
    </rPh>
    <rPh sb="155" eb="156">
      <t>サラ</t>
    </rPh>
    <rPh sb="166" eb="168">
      <t>ハッテン</t>
    </rPh>
    <rPh sb="202" eb="206">
      <t>オウヨウキソ</t>
    </rPh>
    <rPh sb="211" eb="213">
      <t>カイハツ</t>
    </rPh>
    <rPh sb="227" eb="228">
      <t>フ</t>
    </rPh>
    <rPh sb="236" eb="242">
      <t>スウリカガクキョウイク</t>
    </rPh>
    <rPh sb="242" eb="247">
      <t>カンリイインカイ</t>
    </rPh>
    <rPh sb="248" eb="250">
      <t>チュウシン</t>
    </rPh>
    <rPh sb="254" eb="256">
      <t>スウリ</t>
    </rPh>
    <rPh sb="269" eb="273">
      <t>ハッテンカモク</t>
    </rPh>
    <rPh sb="274" eb="276">
      <t>セイビ</t>
    </rPh>
    <rPh sb="276" eb="277">
      <t>オヨ</t>
    </rPh>
    <rPh sb="278" eb="280">
      <t>オウヨウ</t>
    </rPh>
    <rPh sb="286" eb="288">
      <t>カイコウ</t>
    </rPh>
    <rPh sb="289" eb="290">
      <t>ム</t>
    </rPh>
    <phoneticPr fontId="1"/>
  </si>
  <si>
    <r>
      <t xml:space="preserve">令和４年度プログラムの点検・評価では、以下の点が指摘されている。
・アンケート結果によれば、「授業の分かりやすさ」「理解や技能の獲得を助けるための工夫」に関する質問で、約８割の学生が肯定的に評価しており、「分かりやすい」授業となっていると評価できる。
</t>
    </r>
    <r>
      <rPr>
        <sz val="12"/>
        <rFont val="ＭＳ Ｐゴシック"/>
        <family val="3"/>
        <charset val="128"/>
        <scheme val="minor"/>
      </rPr>
      <t>これを受けて、センターでは</t>
    </r>
    <r>
      <rPr>
        <sz val="12"/>
        <color theme="1"/>
        <rFont val="ＭＳ Ｐゴシック"/>
        <family val="3"/>
        <charset val="128"/>
        <scheme val="minor"/>
      </rPr>
      <t>各学部の取組を整理し、FDなどを通じて効果的な実践を促していく。また、センターが作成するオンデマンド教材についても、担当教員の意見を踏まえながら改善を図り、更なる活用を促していく。</t>
    </r>
    <rPh sb="39" eb="41">
      <t>ケッカ</t>
    </rPh>
    <rPh sb="50" eb="51">
      <t>ブン</t>
    </rPh>
    <rPh sb="103" eb="104">
      <t>ブン</t>
    </rPh>
    <rPh sb="130" eb="131">
      <t>ウ</t>
    </rPh>
    <rPh sb="144" eb="146">
      <t>トリクミ</t>
    </rPh>
    <phoneticPr fontId="1"/>
  </si>
  <si>
    <t>順天堂大学数理・データ科学教育研究センター、数理科学教育管理委員会</t>
    <phoneticPr fontId="1"/>
  </si>
  <si>
    <t>保健医療学部</t>
    <phoneticPr fontId="1"/>
  </si>
  <si>
    <t>臨床検査学科:3
臨床工学科:4</t>
    <rPh sb="0" eb="4">
      <t>リンショウケンサ</t>
    </rPh>
    <rPh sb="4" eb="6">
      <t>ガッカ</t>
    </rPh>
    <rPh sb="9" eb="11">
      <t>リンショウ</t>
    </rPh>
    <rPh sb="11" eb="12">
      <t>コウ</t>
    </rPh>
    <rPh sb="12" eb="14">
      <t>ガッカ</t>
    </rPh>
    <phoneticPr fontId="1"/>
  </si>
  <si>
    <t>個人情報保護法とGDPRなどの国際動向、データに関する情報モラル「情報科学概論」（オンデマンドビデオ）
ELSI、個人情報保護、GDPR「医用情報処理工学」(13回目)</t>
    <phoneticPr fontId="1"/>
  </si>
  <si>
    <t>医用画像情報学</t>
    <phoneticPr fontId="1"/>
  </si>
  <si>
    <t>医用画像工学</t>
    <phoneticPr fontId="1"/>
  </si>
  <si>
    <t>医用情報処理工学</t>
    <rPh sb="0" eb="2">
      <t>イヨウ</t>
    </rPh>
    <rPh sb="2" eb="6">
      <t>ジョウホウショリ</t>
    </rPh>
    <rPh sb="6" eb="8">
      <t>コウガク</t>
    </rPh>
    <phoneticPr fontId="1"/>
  </si>
  <si>
    <t>臨床統計学演習</t>
    <phoneticPr fontId="1"/>
  </si>
  <si>
    <t>医用情報処理工学演習</t>
    <phoneticPr fontId="1"/>
  </si>
  <si>
    <t>臨床統計学</t>
    <phoneticPr fontId="1"/>
  </si>
  <si>
    <t>情報セキュリティの構成要素、暗号と電子署名、セキュリティを確保する方法「情報科学概論」（6回目）
暗号化、セキュリティ対策「医用情報処理工学」(12回目)</t>
    <rPh sb="36" eb="40">
      <t>ジョウホウカガク</t>
    </rPh>
    <rPh sb="40" eb="42">
      <t>ガイロン</t>
    </rPh>
    <rPh sb="45" eb="47">
      <t>カイメ</t>
    </rPh>
    <phoneticPr fontId="1"/>
  </si>
  <si>
    <t>データ解析(分類、予測)、シミュレーション、データの可視化、AIでできること、認識技術、自動化「情報科学」（オンデマンドビデオ）</t>
    <phoneticPr fontId="1"/>
  </si>
  <si>
    <t>個人情報保護法とGDPRなどの国際動向、データに関する情報モラル「情報科学」（オンデマンドビデオ）</t>
    <phoneticPr fontId="1"/>
  </si>
  <si>
    <t>Excelを使って統計グラフの作成、Excelデータによる散布図「統計学」（8、9回目）</t>
    <rPh sb="33" eb="36">
      <t>トウケイガク</t>
    </rPh>
    <rPh sb="41" eb="43">
      <t>カイメ</t>
    </rPh>
    <phoneticPr fontId="1"/>
  </si>
  <si>
    <t>1次データと2次データ、オープンデータ、構造化データと非構造化データ、データの作成と収集「ICTリテラシー」（2回目）</t>
    <rPh sb="56" eb="58">
      <t>カイメ</t>
    </rPh>
    <phoneticPr fontId="1"/>
  </si>
  <si>
    <t>データの集計、並び替え「ICTリテラシー」（13、14回目）
調査データの基礎集計・分析方法「量的調査演習」（12回目）
データの分析「質的（フィールド）調査演習」（11回目）</t>
    <rPh sb="47" eb="49">
      <t>リョウテキ</t>
    </rPh>
    <rPh sb="49" eb="51">
      <t>チョウサ</t>
    </rPh>
    <rPh sb="51" eb="53">
      <t>エンシュウ</t>
    </rPh>
    <rPh sb="57" eb="59">
      <t>カイメ</t>
    </rPh>
    <rPh sb="65" eb="67">
      <t>ブンセキ</t>
    </rPh>
    <phoneticPr fontId="1"/>
  </si>
  <si>
    <t>グラフ作成用高水準作図関数、 グラフ装飾用低水準作図関数、 確率(密度)関数のグラフ「情報処理」（10回目）
データの可視化、不適切なグラフとは「統計学」（10、11回目）
グラフ「疫学・保健統計Ⅰ」（9回目）
グラフ「疫学・保健統計Ⅱ」（10回目）</t>
    <rPh sb="43" eb="47">
      <t>ジョウホウショリ</t>
    </rPh>
    <rPh sb="51" eb="53">
      <t>カイメ</t>
    </rPh>
    <rPh sb="73" eb="76">
      <t>トウケイガク</t>
    </rPh>
    <rPh sb="83" eb="85">
      <t>カイメ</t>
    </rPh>
    <rPh sb="91" eb="93">
      <t>エキガク</t>
    </rPh>
    <rPh sb="94" eb="96">
      <t>ホケン</t>
    </rPh>
    <rPh sb="96" eb="98">
      <t>トウケイ</t>
    </rPh>
    <rPh sb="102" eb="104">
      <t>カイメ</t>
    </rPh>
    <rPh sb="113" eb="115">
      <t>ホケン</t>
    </rPh>
    <phoneticPr fontId="1"/>
  </si>
  <si>
    <t>データサイエンスのサイクル、探索的データ解析、流通、製造、金融、インフラ、ヘルスケア等への利活用「情報科学」（12回目）</t>
    <phoneticPr fontId="1"/>
  </si>
  <si>
    <t>個人情報保護法とGDPRなどの国際動向、データに関する情報モラル「情報科学」（13回目）</t>
    <phoneticPr fontId="1"/>
  </si>
  <si>
    <t>Excelによる表やグラフの作成「情報科学」（3、4回目）
度数分布表、ヒストグラム、箱ヒゲ図、データの分類、集計や図示の方法「統計学」（2回目）
図表作成、分布の図示「統計演習」（3、4、10回目）
グラフ「保健統計」（3回目）</t>
    <rPh sb="52" eb="54">
      <t>ブンルイ</t>
    </rPh>
    <rPh sb="55" eb="57">
      <t>シュウケイ</t>
    </rPh>
    <rPh sb="58" eb="60">
      <t>ズシ</t>
    </rPh>
    <rPh sb="61" eb="63">
      <t>ホウホウ</t>
    </rPh>
    <rPh sb="79" eb="81">
      <t>ブンプ</t>
    </rPh>
    <rPh sb="82" eb="84">
      <t>ズシ</t>
    </rPh>
    <rPh sb="85" eb="87">
      <t>トウケイ</t>
    </rPh>
    <rPh sb="87" eb="89">
      <t>エンシュウ</t>
    </rPh>
    <rPh sb="97" eb="99">
      <t>カイメ</t>
    </rPh>
    <rPh sb="105" eb="107">
      <t>ホケン</t>
    </rPh>
    <rPh sb="107" eb="109">
      <t>トウケイ</t>
    </rPh>
    <rPh sb="112" eb="114">
      <t>カイメ</t>
    </rPh>
    <phoneticPr fontId="1"/>
  </si>
  <si>
    <t>分析ツール、ピボットテーブルの作成「情報科学基礎演習」（9回目）
集計「臨床統計学」(5回目)</t>
    <phoneticPr fontId="1"/>
  </si>
  <si>
    <t>質的データと量的データ(尺度)、基本統計量、誤差、欠損値、外れ値、因果と相関、分割表、散布図相関行列、データの正しい理解「ICTリテラシー」（9、10回目）
統計データの種類、質的データ、交絡因子「わかりやすい統計」（1、2回目）
量的調査と質的調査「社会調査法」（6回目）
質的調査「質的（フィールド）調査演習」（1-3回目）
国勢調査、人口静態統計「疫学・統計」（3回目）</t>
    <rPh sb="112" eb="114">
      <t>カイメ</t>
    </rPh>
    <rPh sb="126" eb="131">
      <t>シャカイチョウサホウ</t>
    </rPh>
    <rPh sb="134" eb="136">
      <t>カイメ</t>
    </rPh>
    <rPh sb="143" eb="145">
      <t>シツテキ</t>
    </rPh>
    <rPh sb="152" eb="154">
      <t>チョウサ</t>
    </rPh>
    <rPh sb="154" eb="156">
      <t>エンシュウ</t>
    </rPh>
    <rPh sb="161" eb="163">
      <t>カイメ</t>
    </rPh>
    <phoneticPr fontId="1"/>
  </si>
  <si>
    <t>データの可視化、不適切なグラフとは「ICTリテラシー」（11、12回目）
様々なグラフの使い分け「わかりやすい統計」（1回目）
データのグラフ化（見える化）、目的にあったグラフを作成する「疫学・統計」（11回目）</t>
    <rPh sb="60" eb="62">
      <t>カイメ</t>
    </rPh>
    <phoneticPr fontId="1"/>
  </si>
  <si>
    <t>平均値、中央値、最頻値、割合、率、四分位範囲、分散、標準偏差、量的変数、質的データ、量的データ、基本統計量、誤差、欠損値、外れ値、因果と相関、分割表、散布図、相関行列「統計学」（1、2、8、9回目）
人口動態統計、国勢調査、健康指標、統計量「疫学・保健統計Ⅰ」（3、9回目）
調査データの精度と誤差、統計的性質、標本抽出「疫学・保健統計Ⅱ」（9、10回目）</t>
    <rPh sb="84" eb="87">
      <t>トウケイガク</t>
    </rPh>
    <rPh sb="96" eb="98">
      <t>カイメ</t>
    </rPh>
    <rPh sb="114" eb="116">
      <t>エキガク</t>
    </rPh>
    <rPh sb="117" eb="119">
      <t>ホケン</t>
    </rPh>
    <rPh sb="127" eb="129">
      <t>カイメ</t>
    </rPh>
    <rPh sb="149" eb="151">
      <t>エキガク</t>
    </rPh>
    <rPh sb="152" eb="154">
      <t>ホケン</t>
    </rPh>
    <phoneticPr fontId="1"/>
  </si>
  <si>
    <t>データの集計、並び替え「統計学」（12、13回目）</t>
    <rPh sb="12" eb="15">
      <t>トウケイガク</t>
    </rPh>
    <rPh sb="22" eb="24">
      <t>カイメ</t>
    </rPh>
    <phoneticPr fontId="1"/>
  </si>
  <si>
    <t>データ駆動型社会のリスクとその対策、情報漏洩と情報セキュリティ「情報処理」（7回目）</t>
    <rPh sb="3" eb="8">
      <t>クドウガタシャカイ</t>
    </rPh>
    <rPh sb="15" eb="17">
      <t>タイサク</t>
    </rPh>
    <rPh sb="18" eb="22">
      <t>ジョウホウロウエイ</t>
    </rPh>
    <rPh sb="23" eb="25">
      <t>ジョウホウ</t>
    </rPh>
    <rPh sb="32" eb="36">
      <t>ジョウホウショリ</t>
    </rPh>
    <rPh sb="39" eb="41">
      <t>カイメ</t>
    </rPh>
    <phoneticPr fontId="1"/>
  </si>
  <si>
    <t>平均、分散「情報科学」（5回目）
量的データ、質的データ、名義尺度(変数)、順序尺度(変数)、間隔尺度(変数)、比率尺度(変数)、平均値、中央値、最頻値、分位数、パーセンタイル、範囲、標準偏差、分散「統計学」（1、2回目）
データの性質「保健統計」（2回目）</t>
    <rPh sb="100" eb="103">
      <t>トウケイガク</t>
    </rPh>
    <rPh sb="108" eb="110">
      <t>カイメ</t>
    </rPh>
    <rPh sb="119" eb="121">
      <t>ホケン</t>
    </rPh>
    <rPh sb="121" eb="123">
      <t>トウケイ</t>
    </rPh>
    <rPh sb="126" eb="128">
      <t>カイメ</t>
    </rPh>
    <phoneticPr fontId="1"/>
  </si>
  <si>
    <t>データの分類、集計や図示の方法「統計学」（2回目）
並べ替え、関数「統計演習」（3、4回目）</t>
    <rPh sb="16" eb="19">
      <t>トウケイガク</t>
    </rPh>
    <rPh sb="22" eb="24">
      <t>カイメ</t>
    </rPh>
    <rPh sb="34" eb="36">
      <t>トウケイ</t>
    </rPh>
    <rPh sb="36" eb="38">
      <t>エンシュウ</t>
    </rPh>
    <rPh sb="43" eb="45">
      <t>カイメ</t>
    </rPh>
    <phoneticPr fontId="1"/>
  </si>
  <si>
    <t>AIの利活用の現場について、データサイエンスのサイクル、探索的データ解析、流通、製造、金融、インフラ、ヘルスケア等への利活用「情報処理演習【新カリ】」（4回目）</t>
    <rPh sb="70" eb="71">
      <t>シン</t>
    </rPh>
    <phoneticPr fontId="1"/>
  </si>
  <si>
    <t>データを守るための留意事項として、データ駆動型社会のリスクとその対策、情報漏洩と情報セキュリティ「情報処理演習【新カリ】」（6回目）</t>
    <rPh sb="56" eb="57">
      <t>シン</t>
    </rPh>
    <phoneticPr fontId="1"/>
  </si>
  <si>
    <t>質的データと量的データ(尺度)、基本統計量、誤差、欠損値、外れ値、因果と相関、分割表、散布図相関行列、データの正しい理解「情報処理演習【新カリ】」（8、9回目）
メジアン、モード、平均値、分散、標準偏差「統計学【新カリ】」（4回目）</t>
    <rPh sb="68" eb="69">
      <t>シン</t>
    </rPh>
    <phoneticPr fontId="1"/>
  </si>
  <si>
    <t>データを集計して、表にまとめる「情報処理演習【新カリ】」（3回目）
データ収集、データ集計・分析、発表スライドの作成 、発表方法の検討「スポーツ情報科学【新カリ】」（5、9、10回目）</t>
    <rPh sb="23" eb="24">
      <t>シン</t>
    </rPh>
    <phoneticPr fontId="1"/>
  </si>
  <si>
    <t>データ解析(分類、予測)、シミュレーション、データの可視化、AIでできること、認識技術、自動化「データサイエンス基礎」（3、4回目）</t>
    <phoneticPr fontId="1"/>
  </si>
  <si>
    <t>ELSI、個人情報保護法とGDPRなどの国際動向、データに関する情報モラル「データサイエンス基礎」（7回目）</t>
    <phoneticPr fontId="1"/>
  </si>
  <si>
    <t>データ駆動型社会のリスクとその対策、情報漏洩と情報セキュリティ「データサイエンス基礎」（8回目）</t>
    <phoneticPr fontId="1"/>
  </si>
  <si>
    <t>データの種類とグラフ「統計解析への数学」（1回目）
散布図、不適切なグラフ表現「情報処理Ⅰ」（2回目）</t>
    <phoneticPr fontId="1"/>
  </si>
  <si>
    <t>度数分布表、ヒストグラム、統計量、外れ値、標準化、クロス集計表、相関係数、層別、交絡因子「統計解析への数学」（1、2回目）
データの種類（質的データ、量的データ）、平均値、標準偏差、四分位数、度数分布表、ヒストグラム 、クロス集計表、層別、相関と因果（相関係数、疑似相関、交絡）、相関係数行列、「情報処理Ⅰ」（1、2回目）
散布図、相関係数「情報処理Ⅱ」（1回目）
交絡因子「医事ニュースを読み解く統計学」（2、4回目）
精度と確度、誤差「科学研究のための基礎」（3、8回目）
人口静態統計、人口動態統計「疫学・統計学」（5回目）</t>
    <phoneticPr fontId="1"/>
  </si>
  <si>
    <t>並べ替えとフィルター、データの抽出、量的データの比較、外れ値、様々な代表値と散布度の性質の違い「情報処理Ⅰ」（2回目）
Excelを使った統計解析「統計に基づいた科学的実証の実際」（4回目）</t>
    <phoneticPr fontId="1"/>
  </si>
  <si>
    <t>ビッグデータ、IoT、AI、ロボット、データの増加、コンピュータの進歩、Society5.0、データ駆動型社会、人間の知的活動とAI「データサイエンス基礎」（1回目）
人工知能、AI、ビックデータ、IoT「医療の経営学」（9回目）</t>
    <phoneticPr fontId="1"/>
  </si>
  <si>
    <t>疫学・統計学</t>
    <rPh sb="0" eb="2">
      <t>エキガク</t>
    </rPh>
    <rPh sb="3" eb="6">
      <t>トウケイガク</t>
    </rPh>
    <phoneticPr fontId="1"/>
  </si>
  <si>
    <t>質的データと量的データ(尺度)、基本統計量、誤差、因果と相関、分割表、散布図相関行列、データの正しい理解「臨床統計学演習」（オンデマンドビデオ）
母集団、標本、誤差、交絡、データの種類、基本統計量「臨床統計学」(3、4、5、6回目)</t>
    <rPh sb="53" eb="55">
      <t>リンショウ</t>
    </rPh>
    <rPh sb="55" eb="58">
      <t>トウケイガク</t>
    </rPh>
    <rPh sb="58" eb="60">
      <t>エンシュウ</t>
    </rPh>
    <phoneticPr fontId="1"/>
  </si>
  <si>
    <t>図表の作成方法「情報科学基礎演習」（8回目）
データの可視化、不適切なグラフとは「情報科学基礎演習」（オンデマンドビデオ）
グラフ「医用情報処理工学演習」(2回目)</t>
    <rPh sb="8" eb="10">
      <t>ジョウホウ</t>
    </rPh>
    <rPh sb="10" eb="12">
      <t>カガク</t>
    </rPh>
    <rPh sb="12" eb="14">
      <t>キソ</t>
    </rPh>
    <rPh sb="14" eb="16">
      <t>エンシュウ</t>
    </rPh>
    <rPh sb="19" eb="21">
      <t>カイメ</t>
    </rPh>
    <rPh sb="41" eb="49">
      <t>ジョウホウカガクキソエンシュウ</t>
    </rPh>
    <rPh sb="68" eb="70">
      <t>ジョウホウ</t>
    </rPh>
    <phoneticPr fontId="1"/>
  </si>
  <si>
    <r>
      <t>医学部においては、基本的には次の2つのコア科目を修了したことで、教育プログラムの修了要件としている。
また、項目2-1、2-2、2-3に関してはコア科目以外の必要な科目の組合せの修了でもプログラムの修了を認めることとする。
コア科目：データサイエンス基礎、</t>
    </r>
    <r>
      <rPr>
        <sz val="12"/>
        <rFont val="ＭＳ Ｐゴシック"/>
        <family val="3"/>
        <charset val="128"/>
        <scheme val="minor"/>
      </rPr>
      <t>情報処理Ⅰ</t>
    </r>
    <rPh sb="128" eb="132">
      <t>ジョウホウショリ</t>
    </rPh>
    <phoneticPr fontId="1"/>
  </si>
  <si>
    <t>保健医療学部理学療法学科及び診療放射線学科においては、次の2つのコア科目を修了したことで、教育プログラムの修了要件としている。
コア科目：情報科学、統計学
項目1-1、1-6、1-3、1-4、3-1に関しては、2022年度は「情報科学」においてオンデマンドビデオにより対応した。</t>
    <rPh sb="6" eb="12">
      <t>リガクリョウホウガッカ</t>
    </rPh>
    <rPh sb="12" eb="13">
      <t>オヨ</t>
    </rPh>
    <rPh sb="14" eb="16">
      <t>シンリョウ</t>
    </rPh>
    <rPh sb="16" eb="19">
      <t>ホウシャセン</t>
    </rPh>
    <rPh sb="19" eb="21">
      <t>ガッカ</t>
    </rPh>
    <rPh sb="78" eb="80">
      <t>コウモク</t>
    </rPh>
    <rPh sb="105" eb="107">
      <t>ネンド</t>
    </rPh>
    <rPh sb="130" eb="132">
      <t>タイオウ</t>
    </rPh>
    <phoneticPr fontId="1"/>
  </si>
  <si>
    <t xml:space="preserve">医療科学部は2022年度より開設された学部であり、4年次までの科目でプログラムの内容を満たしていく予定である。
臨床検査学科では、情報科学基礎演習、情報科学概論、臨床統計学演習の3科目を修了したことで、教育プログラムの修了要件としている。2022年度は、項目1-1～1-6、2-2に関しては「情報科学基礎演習」、3-1に関しては「情報科学概論」、2-1に関しては「臨床統計学演習」において、オンデマンドビデオにより対応した。
臨床工学科では、情報科学基礎演習、医用情報処理工学、臨床統計学の3科目を修了したことで、教育プログラムの修了要件としている。2022年度は、項目1-1～1-6、2-2に関しては「情報科学基礎演習」において、オンデマンドビデオにより対応した。
</t>
    <rPh sb="19" eb="21">
      <t>ガクブ</t>
    </rPh>
    <rPh sb="26" eb="28">
      <t>ネンジ</t>
    </rPh>
    <rPh sb="31" eb="33">
      <t>カモク</t>
    </rPh>
    <rPh sb="40" eb="42">
      <t>ナイヨウ</t>
    </rPh>
    <rPh sb="43" eb="44">
      <t>ミ</t>
    </rPh>
    <rPh sb="49" eb="51">
      <t>ヨテイ</t>
    </rPh>
    <rPh sb="56" eb="62">
      <t>リンショウケンサガッカ</t>
    </rPh>
    <rPh sb="90" eb="92">
      <t>カモク</t>
    </rPh>
    <rPh sb="123" eb="125">
      <t>ネンド</t>
    </rPh>
    <rPh sb="127" eb="129">
      <t>コウモク</t>
    </rPh>
    <rPh sb="150" eb="154">
      <t>キソエンシュウ</t>
    </rPh>
    <rPh sb="160" eb="161">
      <t>カン</t>
    </rPh>
    <rPh sb="165" eb="167">
      <t>ジョウホウ</t>
    </rPh>
    <rPh sb="167" eb="169">
      <t>カガク</t>
    </rPh>
    <rPh sb="169" eb="171">
      <t>ガイロン</t>
    </rPh>
    <rPh sb="177" eb="178">
      <t>カン</t>
    </rPh>
    <rPh sb="182" eb="189">
      <t>リンショウトウケイガクエンシュウ</t>
    </rPh>
    <rPh sb="213" eb="218">
      <t>リンショウコウガクカ</t>
    </rPh>
    <rPh sb="239" eb="244">
      <t>リンショウトウケイガク</t>
    </rPh>
    <rPh sb="246" eb="248">
      <t>カモク</t>
    </rPh>
    <rPh sb="279" eb="281">
      <t>ネンド</t>
    </rPh>
    <phoneticPr fontId="1"/>
  </si>
  <si>
    <r>
      <t>本学では、医療系大学という特質上、各学部の特性や専門性に合わせた科目でプログラムを構成している。
(1)国際教養学部、医療科学部においては、リテラシープログラムの修得に必須となる科目（以下「コア科目」）を全て必修化しており、卒業までに全員がプログラム履修者・修了者となる予定である。
(2</t>
    </r>
    <r>
      <rPr>
        <sz val="12"/>
        <rFont val="ＭＳ Ｐゴシック"/>
        <family val="3"/>
        <charset val="128"/>
        <scheme val="minor"/>
      </rPr>
      <t>)医学部、</t>
    </r>
    <r>
      <rPr>
        <sz val="12"/>
        <color theme="1"/>
        <rFont val="ＭＳ Ｐゴシック"/>
        <family val="3"/>
        <charset val="128"/>
        <scheme val="minor"/>
      </rPr>
      <t>スポーツ健康科学部、医療看護学部、保健看護学部、保健医療学部においては、コア科目で必修ではない科目があるが、学生に対する広報や履修指導により選択科目においても高い履修率を確保している。引き続きこうした取組を通じ、履修率を維持・向上させる計画である。
(3)なお、医療看護学部については、令和６年度よりコア科目を必修化する予定である。</t>
    </r>
    <rPh sb="145" eb="148">
      <t>イガクブ</t>
    </rPh>
    <phoneticPr fontId="1"/>
  </si>
  <si>
    <t>令和４年度プログラムの点検・評価では、以下の点が指摘されている。
・令和４年度の履修者数は1,595名（全学生の25.4％）となったが、プログラム適用対象となった１年生の履修率は89.8％と、開講初年度としては概ね良い結果となった。
・国際教養学部、医療科学部ではコア科目の必修化により全ての学生が修了することができるが、その他の学部では選択科目となっているため、引き続き履修率の向上に努める必要がある。
これを受けて、数理・データ科学教育研究センター（以下、センター）では、学生の関心を高めプログラムの履修を促すため新入生向けリーフレットを作成し、ガイダンスを通じた周知や履修指導を実施している。</t>
    <rPh sb="0" eb="2">
      <t>レイワ</t>
    </rPh>
    <rPh sb="105" eb="106">
      <t>オオム</t>
    </rPh>
    <rPh sb="107" eb="108">
      <t>ヨ</t>
    </rPh>
    <rPh sb="186" eb="189">
      <t>リシュウリツ</t>
    </rPh>
    <rPh sb="190" eb="192">
      <t>コウジョウ</t>
    </rPh>
    <phoneticPr fontId="1"/>
  </si>
  <si>
    <t>国際教養学部、医療科学部においては、リテラシープログラムの修得に必須となる科目（コア科目）を全て必修化しており、卒業までに全員がプログラム修了者となる予定である。
医学部、スポーツ健康科学部、医療看護学部、保健看護学部、保健医療学部においては、コア科目が必修でない科目があるが、令和４年度は選択科目で高い履修率（20～100％）を確保している。引き続き学生に対する広報や履修指導を行い、履修率の維持・向上を図る必要がある。
なお、医療看護学部については、令和６年度にコア科目を必修化する予定である。全てのコア科目の必修化に向けて引き続き検討することとする。</t>
    <rPh sb="42" eb="44">
      <t>カモク</t>
    </rPh>
    <rPh sb="82" eb="85">
      <t>イガクブ</t>
    </rPh>
    <rPh sb="139" eb="141">
      <t>レイワ</t>
    </rPh>
    <rPh sb="142" eb="144">
      <t>ネンド</t>
    </rPh>
    <rPh sb="150" eb="151">
      <t>タカ</t>
    </rPh>
    <rPh sb="152" eb="155">
      <t>リシュウリツ</t>
    </rPh>
    <rPh sb="190" eb="191">
      <t>オコナ</t>
    </rPh>
    <rPh sb="203" eb="204">
      <t>ハカ</t>
    </rPh>
    <rPh sb="205" eb="207">
      <t>ヒツヨウ</t>
    </rPh>
    <rPh sb="227" eb="229">
      <t>レイワ</t>
    </rPh>
    <rPh sb="230" eb="232">
      <t>ネンド</t>
    </rPh>
    <rPh sb="254" eb="256">
      <t>カモク</t>
    </rPh>
    <rPh sb="257" eb="260">
      <t>ヒッシュウカ</t>
    </rPh>
    <rPh sb="261" eb="262">
      <t>ム</t>
    </rPh>
    <rPh sb="264" eb="265">
      <t>ヒ</t>
    </rPh>
    <rPh sb="266" eb="267">
      <t>ツヅ</t>
    </rPh>
    <rPh sb="268" eb="270">
      <t>ケントウ</t>
    </rPh>
    <phoneticPr fontId="1"/>
  </si>
  <si>
    <t>分布の代表値、箱ひげ図・外れ値・ヒストグラム・散布図、分布の中心の指標として、平均値、中央値、最頻値、割合、率を理解する、ばらつきの指標として、範囲(レンジ)、四分位範囲、分散、標準偏差といった基本統計量「統計学」（1回目）</t>
    <rPh sb="103" eb="106">
      <t>トウケイガク</t>
    </rPh>
    <rPh sb="109" eb="111">
      <t>カイメ</t>
    </rPh>
    <phoneticPr fontId="1"/>
  </si>
  <si>
    <t>スポーツ健康科学部においては、次の2つのコア科目を修了したことで、教育プログラムの修了要件としている。
コア科目：情報処理演習【新カリ】、データサイエンスのための数学【新カリ】</t>
    <phoneticPr fontId="1"/>
  </si>
  <si>
    <t>保健看護学部においては、次の2つのコア科目を修了したことで、教育プログラムの修了要件としている。
コア科目：情報処理、統計学</t>
    <rPh sb="59" eb="62">
      <t>トウケイガク</t>
    </rPh>
    <phoneticPr fontId="1"/>
  </si>
  <si>
    <t>国際教養学部においては、次の1つのコア科目を修了したことで、教育プログラムの修了要件としている。
コア科目：ICTリテラシー</t>
    <phoneticPr fontId="1"/>
  </si>
  <si>
    <t>情報処理Ⅱ</t>
    <phoneticPr fontId="1"/>
  </si>
  <si>
    <t>データ表現（棒グラフ、折線グラフ、散布図、ヒートマップ）、データの図表表現（チャート化）、データの比較（条件をそろえた比較、処理の前後での比較、A/Bテスト)、不適切なグラフ表現（チャートジャンク、不必要な視覚的要素）、優れた可視化事例の紹介（可視化することによって新たな気づきがあった事例など）「情報処理演習【新カリ】」（4、10回目）</t>
    <rPh sb="156" eb="157">
      <t>シン</t>
    </rPh>
    <phoneticPr fontId="1"/>
  </si>
  <si>
    <t>調査データ、実験データ、人の行動ログデータ、機械の稼働ログデータなど、1次データ、2次データ、データのメタ化、構造化データ、非構造化データ（文章、画像/動画、音声/音楽など）、データ作成（ビッグデータとアノテーション）、データのオープン化（オープンデータ）「情報科学」（3回目）</t>
  </si>
  <si>
    <t>流通、製造、金融、サービス、インフラ、公共、ヘルスケア等におけるデータ・AI利活用事例紹介「情報科学」（1、7回目）</t>
    <phoneticPr fontId="1"/>
  </si>
  <si>
    <t>データの集計（和、平均）、データの並び替え、ランキング、データ解析ツール（スプレッドシート）、表形式のデータ（csv）「統計学」（8、9回目）</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</si>
</sst>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trike/>
      <sz val="12"/>
      <color rgb="FFFF0000"/>
      <name val="ＭＳ Ｐゴシック"/>
      <family val="3"/>
      <charset val="128"/>
      <scheme val="minor"/>
    </font>
    <font>
      <sz val="8"/>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9" fontId="2" fillId="0" borderId="15" xfId="0" applyNumberFormat="1" applyFont="1" applyBorder="1" applyAlignment="1">
      <alignment vertical="center" shrinkToFit="1"/>
    </xf>
    <xf numFmtId="0" fontId="12" fillId="0" borderId="23" xfId="0" applyFont="1" applyBorder="1" applyAlignment="1">
      <alignment horizontal="center" vertical="center" shrinkToFit="1"/>
    </xf>
    <xf numFmtId="0" fontId="12" fillId="0" borderId="14" xfId="0" applyFont="1" applyBorder="1" applyAlignment="1">
      <alignment horizontal="center" vertical="center" shrinkToFit="1"/>
    </xf>
    <xf numFmtId="38" fontId="11" fillId="0" borderId="54" xfId="2" applyFont="1" applyBorder="1" applyAlignment="1">
      <alignment vertical="center" shrinkToFit="1"/>
    </xf>
    <xf numFmtId="38" fontId="11" fillId="0" borderId="30" xfId="2" applyFont="1" applyBorder="1" applyAlignment="1">
      <alignment vertical="center" shrinkToFit="1"/>
    </xf>
    <xf numFmtId="38" fontId="11" fillId="0" borderId="55" xfId="2" applyFont="1" applyBorder="1" applyAlignment="1">
      <alignment vertical="center" shrinkToFit="1"/>
    </xf>
    <xf numFmtId="38" fontId="11" fillId="0" borderId="32" xfId="2" applyFont="1" applyBorder="1" applyAlignment="1">
      <alignment vertical="center" shrinkToFi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0" borderId="36" xfId="0" applyFont="1" applyBorder="1" applyAlignment="1">
      <alignment vertical="center" wrapText="1"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wrapText="1"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22" xfId="0" applyFont="1" applyBorder="1" applyAlignment="1">
      <alignment horizontal="left" vertical="center" wrapText="1"/>
    </xf>
    <xf numFmtId="0" fontId="2" fillId="0" borderId="21" xfId="0" applyFont="1" applyBorder="1" applyAlignment="1">
      <alignment horizontal="left" vertical="center" wrapText="1"/>
    </xf>
    <xf numFmtId="0" fontId="2" fillId="0" borderId="36" xfId="0" applyFont="1" applyBorder="1" applyAlignment="1">
      <alignment horizontal="left" vertical="center" wrapText="1"/>
    </xf>
    <xf numFmtId="0" fontId="2" fillId="0" borderId="35" xfId="0" applyFont="1" applyBorder="1" applyAlignment="1">
      <alignment horizontal="left" vertical="center" wrapText="1"/>
    </xf>
    <xf numFmtId="0" fontId="2" fillId="0" borderId="38" xfId="0" applyFont="1" applyBorder="1" applyAlignment="1">
      <alignment horizontal="left" vertical="center" wrapText="1"/>
    </xf>
    <xf numFmtId="0" fontId="2" fillId="0" borderId="39" xfId="0" applyFont="1" applyBorder="1" applyAlignment="1">
      <alignment horizontal="left" vertical="center" wrapText="1"/>
    </xf>
    <xf numFmtId="0" fontId="2" fillId="0" borderId="19" xfId="0" applyFont="1" applyBorder="1" applyAlignment="1">
      <alignment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4" xfId="0" applyFont="1" applyBorder="1" applyAlignment="1">
      <alignment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vertical="center" wrapTex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0" xfId="0" applyFont="1" applyAlignment="1">
      <alignment horizontal="right"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12" fillId="0" borderId="19" xfId="0" applyFont="1" applyBorder="1" applyAlignment="1">
      <alignment vertical="center" shrinkToFit="1"/>
    </xf>
    <xf numFmtId="0" fontId="12" fillId="0" borderId="20" xfId="0" applyFont="1" applyBorder="1" applyAlignment="1">
      <alignment vertical="center" shrinkToFit="1"/>
    </xf>
    <xf numFmtId="0" fontId="12" fillId="0" borderId="18" xfId="0" applyFont="1" applyBorder="1" applyAlignment="1">
      <alignment vertical="center" shrinkToFit="1"/>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11" fillId="0" borderId="0" xfId="0" applyFont="1" applyAlignment="1">
      <alignment horizontal="right" vertical="center"/>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1" xfId="0" applyFont="1" applyBorder="1" applyAlignment="1">
      <alignment horizontal="left" vertical="center" wrapText="1"/>
    </xf>
    <xf numFmtId="0" fontId="11" fillId="0" borderId="6" xfId="0" applyFont="1" applyBorder="1" applyAlignment="1">
      <alignment horizontal="left" vertical="center" wrapText="1"/>
    </xf>
    <xf numFmtId="0" fontId="11" fillId="0" borderId="12" xfId="0" applyFont="1" applyBorder="1" applyAlignment="1">
      <alignment horizontal="left" vertical="center" wrapText="1"/>
    </xf>
    <xf numFmtId="0" fontId="11" fillId="0" borderId="34" xfId="0" applyFont="1" applyBorder="1" applyAlignment="1">
      <alignment vertical="center" shrinkToFit="1"/>
    </xf>
    <xf numFmtId="0" fontId="11" fillId="0" borderId="36" xfId="0" applyFont="1" applyBorder="1" applyAlignment="1">
      <alignment vertical="center" shrinkToFit="1"/>
    </xf>
    <xf numFmtId="0" fontId="11" fillId="0" borderId="35" xfId="0" applyFont="1" applyBorder="1" applyAlignment="1">
      <alignment vertical="center" shrinkToFit="1"/>
    </xf>
    <xf numFmtId="0" fontId="13" fillId="0" borderId="2" xfId="0" applyFont="1" applyBorder="1" applyAlignment="1">
      <alignment horizontal="center" vertical="center" wrapText="1"/>
    </xf>
    <xf numFmtId="0" fontId="13" fillId="0" borderId="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9" fontId="2" fillId="0" borderId="1" xfId="0" applyNumberFormat="1" applyFont="1" applyBorder="1" applyAlignment="1">
      <alignment horizontal="center" vertical="center" wrapText="1" shrinkToFit="1"/>
    </xf>
    <xf numFmtId="0" fontId="2" fillId="0" borderId="0" xfId="0" applyFont="1" applyAlignment="1">
      <alignment horizontal="center"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5" fillId="0" borderId="3" xfId="0" applyFont="1" applyBorder="1">
      <alignment vertical="center"/>
    </xf>
    <xf numFmtId="0" fontId="5" fillId="0" borderId="4" xfId="0" applyFont="1" applyBorder="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9" fontId="2" fillId="0" borderId="1" xfId="0" applyNumberFormat="1" applyFont="1" applyBorder="1" applyAlignment="1">
      <alignment horizontal="center" vertical="center"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cellXfs>
  <cellStyles count="3">
    <cellStyle name="パーセント" xfId="1" builtinId="5"/>
    <cellStyle name="桁区切り" xfId="2" builtinId="6"/>
    <cellStyle name="標準" xfId="0" builtinId="0"/>
  </cellStyles>
  <dxfs count="7">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A5016-E002-41A1-84F8-8E8F18C7AEE3}">
  <sheetPr>
    <pageSetUpPr fitToPage="1"/>
  </sheetPr>
  <dimension ref="A1:V110"/>
  <sheetViews>
    <sheetView showZeros="0" tabSelected="1" view="pageBreakPreview" zoomScaleNormal="100" zoomScaleSheetLayoutView="100" workbookViewId="0">
      <selection activeCell="T2" sqref="T2"/>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57" t="s">
        <v>146</v>
      </c>
      <c r="S1" s="157"/>
      <c r="T1" s="2" t="s">
        <v>109</v>
      </c>
    </row>
    <row r="2" spans="1:22" ht="18.75" customHeight="1" x14ac:dyDescent="0.15">
      <c r="B2" s="32" t="s">
        <v>108</v>
      </c>
      <c r="C2" s="136" t="s">
        <v>126</v>
      </c>
      <c r="D2" s="116"/>
      <c r="E2" s="116"/>
      <c r="F2" s="116"/>
      <c r="G2" s="116"/>
      <c r="H2" s="116"/>
      <c r="I2" s="117"/>
      <c r="J2" s="33"/>
      <c r="K2" s="6"/>
      <c r="L2" s="6"/>
      <c r="M2" s="6"/>
      <c r="N2" s="6"/>
      <c r="O2" s="6"/>
      <c r="P2" s="6"/>
      <c r="Q2" s="6"/>
      <c r="R2" s="6"/>
      <c r="S2" s="6"/>
    </row>
    <row r="3" spans="1:22" ht="18.75" customHeight="1" x14ac:dyDescent="0.15">
      <c r="B3" s="32" t="s">
        <v>102</v>
      </c>
      <c r="C3" s="136" t="s">
        <v>127</v>
      </c>
      <c r="D3" s="116"/>
      <c r="E3" s="116"/>
      <c r="F3" s="116"/>
      <c r="G3" s="116"/>
      <c r="H3" s="116"/>
      <c r="I3" s="117"/>
      <c r="J3" s="33"/>
      <c r="K3" s="6"/>
      <c r="L3" s="6"/>
      <c r="M3" s="6"/>
      <c r="N3" s="6"/>
      <c r="O3" s="6"/>
      <c r="P3" s="6"/>
      <c r="Q3" s="6"/>
      <c r="R3" s="6"/>
      <c r="S3" s="6"/>
    </row>
    <row r="4" spans="1:22" ht="15" customHeight="1" x14ac:dyDescent="0.15">
      <c r="K4" s="33"/>
      <c r="L4" s="35"/>
      <c r="M4" s="35"/>
      <c r="N4" s="35"/>
      <c r="O4" s="35"/>
      <c r="P4" s="35"/>
      <c r="Q4" s="35"/>
      <c r="R4" s="35"/>
      <c r="S4" s="35"/>
    </row>
    <row r="5" spans="1:22" ht="18" customHeight="1" x14ac:dyDescent="0.15">
      <c r="A5" s="158" t="s">
        <v>38</v>
      </c>
      <c r="B5" s="158"/>
      <c r="C5" s="158"/>
      <c r="D5" s="158"/>
      <c r="E5" s="158"/>
      <c r="F5" s="158"/>
      <c r="G5" s="158"/>
      <c r="H5" s="158"/>
      <c r="I5" s="158"/>
      <c r="J5" s="158"/>
      <c r="K5" s="158"/>
      <c r="L5" s="158"/>
      <c r="M5" s="158"/>
      <c r="N5" s="158"/>
      <c r="O5" s="158"/>
      <c r="P5" s="158"/>
      <c r="Q5" s="158"/>
      <c r="R5" s="158"/>
      <c r="S5" s="158"/>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6" t="s">
        <v>107</v>
      </c>
      <c r="K7" s="159" t="s">
        <v>128</v>
      </c>
      <c r="L7" s="160"/>
      <c r="M7" s="160"/>
      <c r="N7" s="160"/>
      <c r="O7" s="160"/>
      <c r="P7" s="160"/>
      <c r="Q7" s="160"/>
      <c r="R7" s="160"/>
      <c r="S7" s="161"/>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62" t="s">
        <v>129</v>
      </c>
      <c r="C9" s="118"/>
      <c r="D9" s="118"/>
      <c r="E9" s="118"/>
      <c r="F9" s="118"/>
      <c r="G9" s="118"/>
      <c r="H9" s="118"/>
      <c r="I9" s="118"/>
      <c r="J9" s="118"/>
      <c r="K9" s="118"/>
      <c r="L9" s="118"/>
      <c r="M9" s="118"/>
      <c r="N9" s="118"/>
      <c r="O9" s="118"/>
      <c r="P9" s="118"/>
      <c r="Q9" s="118"/>
      <c r="R9" s="118"/>
      <c r="S9" s="119"/>
    </row>
    <row r="10" spans="1:22" ht="18" customHeight="1" x14ac:dyDescent="0.15">
      <c r="B10" s="163"/>
      <c r="C10" s="164"/>
      <c r="D10" s="164"/>
      <c r="E10" s="164"/>
      <c r="F10" s="164"/>
      <c r="G10" s="164"/>
      <c r="H10" s="164"/>
      <c r="I10" s="164"/>
      <c r="J10" s="164"/>
      <c r="K10" s="164"/>
      <c r="L10" s="164"/>
      <c r="M10" s="164"/>
      <c r="N10" s="164"/>
      <c r="O10" s="164"/>
      <c r="P10" s="164"/>
      <c r="Q10" s="164"/>
      <c r="R10" s="164"/>
      <c r="S10" s="165"/>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111</v>
      </c>
      <c r="B12" s="3"/>
      <c r="C12" s="3"/>
      <c r="D12" s="33"/>
      <c r="E12" s="33"/>
      <c r="F12" s="33"/>
      <c r="G12" s="33"/>
      <c r="H12" s="33"/>
      <c r="I12" s="33"/>
      <c r="J12" s="33"/>
      <c r="K12" s="37"/>
      <c r="L12" s="37"/>
      <c r="M12" s="37"/>
      <c r="N12" s="37"/>
      <c r="O12" s="37"/>
      <c r="P12" s="37"/>
      <c r="Q12" s="37"/>
      <c r="R12" s="37"/>
      <c r="S12" s="37"/>
    </row>
    <row r="13" spans="1:22" ht="18" customHeight="1" x14ac:dyDescent="0.15">
      <c r="B13" s="145" t="s">
        <v>297</v>
      </c>
      <c r="C13" s="146"/>
      <c r="D13" s="146"/>
      <c r="E13" s="146"/>
      <c r="F13" s="146"/>
      <c r="G13" s="146"/>
      <c r="H13" s="146"/>
      <c r="I13" s="146"/>
      <c r="J13" s="146"/>
      <c r="K13" s="146"/>
      <c r="L13" s="146"/>
      <c r="M13" s="146"/>
      <c r="N13" s="146"/>
      <c r="O13" s="146"/>
      <c r="P13" s="146"/>
      <c r="Q13" s="146"/>
      <c r="R13" s="146"/>
      <c r="S13" s="147"/>
      <c r="V13" s="1" t="s">
        <v>103</v>
      </c>
    </row>
    <row r="14" spans="1:22" ht="18" customHeight="1" x14ac:dyDescent="0.15">
      <c r="B14" s="148"/>
      <c r="C14" s="149"/>
      <c r="D14" s="149"/>
      <c r="E14" s="149"/>
      <c r="F14" s="149"/>
      <c r="G14" s="149"/>
      <c r="H14" s="149"/>
      <c r="I14" s="149"/>
      <c r="J14" s="149"/>
      <c r="K14" s="149"/>
      <c r="L14" s="149"/>
      <c r="M14" s="149"/>
      <c r="N14" s="149"/>
      <c r="O14" s="149"/>
      <c r="P14" s="149"/>
      <c r="Q14" s="149"/>
      <c r="R14" s="149"/>
      <c r="S14" s="150"/>
      <c r="V14" s="1" t="s">
        <v>110</v>
      </c>
    </row>
    <row r="15" spans="1:22" ht="18" customHeight="1" x14ac:dyDescent="0.15">
      <c r="B15" s="148"/>
      <c r="C15" s="149"/>
      <c r="D15" s="149"/>
      <c r="E15" s="149"/>
      <c r="F15" s="149"/>
      <c r="G15" s="149"/>
      <c r="H15" s="149"/>
      <c r="I15" s="149"/>
      <c r="J15" s="149"/>
      <c r="K15" s="149"/>
      <c r="L15" s="149"/>
      <c r="M15" s="149"/>
      <c r="N15" s="149"/>
      <c r="O15" s="149"/>
      <c r="P15" s="149"/>
      <c r="Q15" s="149"/>
      <c r="R15" s="149"/>
      <c r="S15" s="150"/>
      <c r="V15" s="1" t="s">
        <v>123</v>
      </c>
    </row>
    <row r="16" spans="1:22" ht="18" customHeight="1" x14ac:dyDescent="0.15">
      <c r="B16" s="148"/>
      <c r="C16" s="149"/>
      <c r="D16" s="149"/>
      <c r="E16" s="149"/>
      <c r="F16" s="149"/>
      <c r="G16" s="149"/>
      <c r="H16" s="149"/>
      <c r="I16" s="149"/>
      <c r="J16" s="149"/>
      <c r="K16" s="149"/>
      <c r="L16" s="149"/>
      <c r="M16" s="149"/>
      <c r="N16" s="149"/>
      <c r="O16" s="149"/>
      <c r="P16" s="149"/>
      <c r="Q16" s="149"/>
      <c r="R16" s="149"/>
      <c r="S16" s="150"/>
      <c r="V16" s="1" t="s">
        <v>125</v>
      </c>
    </row>
    <row r="17" spans="1:19" ht="18" customHeight="1" x14ac:dyDescent="0.15">
      <c r="B17" s="148"/>
      <c r="C17" s="149"/>
      <c r="D17" s="149"/>
      <c r="E17" s="149"/>
      <c r="F17" s="149"/>
      <c r="G17" s="149"/>
      <c r="H17" s="149"/>
      <c r="I17" s="149"/>
      <c r="J17" s="149"/>
      <c r="K17" s="149"/>
      <c r="L17" s="149"/>
      <c r="M17" s="149"/>
      <c r="N17" s="149"/>
      <c r="O17" s="149"/>
      <c r="P17" s="149"/>
      <c r="Q17" s="149"/>
      <c r="R17" s="149"/>
      <c r="S17" s="150"/>
    </row>
    <row r="18" spans="1:19" ht="18" customHeight="1" x14ac:dyDescent="0.15">
      <c r="B18" s="151"/>
      <c r="C18" s="152"/>
      <c r="D18" s="152"/>
      <c r="E18" s="152"/>
      <c r="F18" s="152"/>
      <c r="G18" s="152"/>
      <c r="H18" s="152"/>
      <c r="I18" s="152"/>
      <c r="J18" s="152"/>
      <c r="K18" s="152"/>
      <c r="L18" s="152"/>
      <c r="M18" s="152"/>
      <c r="N18" s="152"/>
      <c r="O18" s="152"/>
      <c r="P18" s="152"/>
      <c r="Q18" s="152"/>
      <c r="R18" s="152"/>
      <c r="S18" s="153"/>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136">
        <v>2</v>
      </c>
      <c r="D20" s="117"/>
      <c r="E20" s="38" t="s">
        <v>95</v>
      </c>
      <c r="G20" s="10"/>
      <c r="H20" s="3"/>
      <c r="I20" s="3"/>
      <c r="J20" s="33" t="s">
        <v>121</v>
      </c>
      <c r="K20" s="154" t="s">
        <v>110</v>
      </c>
      <c r="L20" s="155"/>
      <c r="M20" s="155"/>
      <c r="N20" s="155"/>
      <c r="O20" s="155"/>
      <c r="P20" s="155"/>
      <c r="Q20" s="155"/>
      <c r="R20" s="155"/>
      <c r="S20" s="156"/>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44" t="s">
        <v>113</v>
      </c>
      <c r="B22" s="144"/>
      <c r="C22" s="144"/>
      <c r="D22" s="144"/>
      <c r="E22" s="144"/>
      <c r="F22" s="144"/>
      <c r="G22" s="144"/>
      <c r="H22" s="144"/>
      <c r="I22" s="144"/>
      <c r="J22" s="144"/>
      <c r="K22" s="144"/>
      <c r="L22" s="144"/>
      <c r="M22" s="144"/>
      <c r="N22" s="144"/>
      <c r="O22" s="144"/>
      <c r="P22" s="144"/>
      <c r="Q22" s="144"/>
      <c r="R22" s="144"/>
      <c r="S22" s="144"/>
    </row>
    <row r="23" spans="1:19" ht="18" customHeight="1" x14ac:dyDescent="0.15">
      <c r="A23" s="144"/>
      <c r="B23" s="144"/>
      <c r="C23" s="144"/>
      <c r="D23" s="144"/>
      <c r="E23" s="144"/>
      <c r="F23" s="144"/>
      <c r="G23" s="144"/>
      <c r="H23" s="144"/>
      <c r="I23" s="144"/>
      <c r="J23" s="144"/>
      <c r="K23" s="144"/>
      <c r="L23" s="144"/>
      <c r="M23" s="144"/>
      <c r="N23" s="144"/>
      <c r="O23" s="144"/>
      <c r="P23" s="144"/>
      <c r="Q23" s="144"/>
      <c r="R23" s="144"/>
      <c r="S23" s="144"/>
    </row>
    <row r="24" spans="1:19" ht="18" customHeight="1" x14ac:dyDescent="0.15">
      <c r="B24" s="136" t="s">
        <v>53</v>
      </c>
      <c r="C24" s="116"/>
      <c r="D24" s="116"/>
      <c r="E24" s="117"/>
      <c r="F24" s="59" t="s">
        <v>80</v>
      </c>
      <c r="G24" s="58" t="s">
        <v>84</v>
      </c>
      <c r="H24" s="20" t="s">
        <v>56</v>
      </c>
      <c r="I24" s="20" t="s">
        <v>59</v>
      </c>
      <c r="J24" s="136" t="s">
        <v>53</v>
      </c>
      <c r="K24" s="116"/>
      <c r="L24" s="116"/>
      <c r="M24" s="116"/>
      <c r="N24" s="116"/>
      <c r="O24" s="117"/>
      <c r="P24" s="59" t="s">
        <v>80</v>
      </c>
      <c r="Q24" s="58" t="s">
        <v>84</v>
      </c>
      <c r="R24" s="20" t="s">
        <v>56</v>
      </c>
      <c r="S24" s="20" t="s">
        <v>59</v>
      </c>
    </row>
    <row r="25" spans="1:19" ht="18" customHeight="1" x14ac:dyDescent="0.15">
      <c r="B25" s="140" t="s">
        <v>130</v>
      </c>
      <c r="C25" s="91"/>
      <c r="D25" s="91"/>
      <c r="E25" s="92"/>
      <c r="F25" s="21">
        <v>1</v>
      </c>
      <c r="G25" s="21" t="s">
        <v>131</v>
      </c>
      <c r="H25" s="21" t="s">
        <v>131</v>
      </c>
      <c r="I25" s="21" t="s">
        <v>131</v>
      </c>
      <c r="J25" s="140"/>
      <c r="K25" s="91"/>
      <c r="L25" s="91"/>
      <c r="M25" s="91"/>
      <c r="N25" s="91"/>
      <c r="O25" s="92"/>
      <c r="P25" s="21"/>
      <c r="Q25" s="21"/>
      <c r="R25" s="21"/>
      <c r="S25" s="21"/>
    </row>
    <row r="26" spans="1:19" ht="18" customHeight="1" x14ac:dyDescent="0.15">
      <c r="B26" s="126" t="s">
        <v>132</v>
      </c>
      <c r="C26" s="94"/>
      <c r="D26" s="94"/>
      <c r="E26" s="95"/>
      <c r="F26" s="22">
        <v>1</v>
      </c>
      <c r="G26" s="22"/>
      <c r="H26" s="22" t="s">
        <v>131</v>
      </c>
      <c r="I26" s="22"/>
      <c r="J26" s="126"/>
      <c r="K26" s="94"/>
      <c r="L26" s="94"/>
      <c r="M26" s="94"/>
      <c r="N26" s="94"/>
      <c r="O26" s="95"/>
      <c r="P26" s="22"/>
      <c r="Q26" s="22"/>
      <c r="R26" s="22"/>
      <c r="S26" s="22"/>
    </row>
    <row r="27" spans="1:19" ht="18" customHeight="1" x14ac:dyDescent="0.15">
      <c r="B27" s="126"/>
      <c r="C27" s="94"/>
      <c r="D27" s="94"/>
      <c r="E27" s="95"/>
      <c r="F27" s="22"/>
      <c r="G27" s="22"/>
      <c r="H27" s="22"/>
      <c r="I27" s="22"/>
      <c r="J27" s="126"/>
      <c r="K27" s="94"/>
      <c r="L27" s="94"/>
      <c r="M27" s="94"/>
      <c r="N27" s="94"/>
      <c r="O27" s="95"/>
      <c r="P27" s="22"/>
      <c r="Q27" s="22"/>
      <c r="R27" s="22"/>
      <c r="S27" s="22"/>
    </row>
    <row r="28" spans="1:19" ht="18" customHeight="1" x14ac:dyDescent="0.15">
      <c r="B28" s="126"/>
      <c r="C28" s="94"/>
      <c r="D28" s="94"/>
      <c r="E28" s="95"/>
      <c r="F28" s="22"/>
      <c r="G28" s="22"/>
      <c r="H28" s="22"/>
      <c r="I28" s="22"/>
      <c r="J28" s="126"/>
      <c r="K28" s="94"/>
      <c r="L28" s="94"/>
      <c r="M28" s="94"/>
      <c r="N28" s="94"/>
      <c r="O28" s="95"/>
      <c r="P28" s="22"/>
      <c r="Q28" s="22"/>
      <c r="R28" s="22"/>
      <c r="S28" s="22"/>
    </row>
    <row r="29" spans="1:19" ht="18" customHeight="1" x14ac:dyDescent="0.15">
      <c r="B29" s="126"/>
      <c r="C29" s="94"/>
      <c r="D29" s="94"/>
      <c r="E29" s="95"/>
      <c r="F29" s="22"/>
      <c r="G29" s="22"/>
      <c r="H29" s="22"/>
      <c r="I29" s="22"/>
      <c r="J29" s="126"/>
      <c r="K29" s="94"/>
      <c r="L29" s="94"/>
      <c r="M29" s="94"/>
      <c r="N29" s="94"/>
      <c r="O29" s="95"/>
      <c r="P29" s="22"/>
      <c r="Q29" s="22"/>
      <c r="R29" s="22"/>
      <c r="S29" s="22"/>
    </row>
    <row r="30" spans="1:19" ht="18" customHeight="1" x14ac:dyDescent="0.15">
      <c r="A30" s="3"/>
      <c r="B30" s="126"/>
      <c r="C30" s="94"/>
      <c r="D30" s="94"/>
      <c r="E30" s="95"/>
      <c r="F30" s="22"/>
      <c r="G30" s="22"/>
      <c r="H30" s="22"/>
      <c r="I30" s="22"/>
      <c r="J30" s="126"/>
      <c r="K30" s="94"/>
      <c r="L30" s="94"/>
      <c r="M30" s="94"/>
      <c r="N30" s="94"/>
      <c r="O30" s="95"/>
      <c r="P30" s="22"/>
      <c r="Q30" s="22"/>
      <c r="R30" s="22"/>
      <c r="S30" s="22"/>
    </row>
    <row r="31" spans="1:19" ht="18" customHeight="1" x14ac:dyDescent="0.15">
      <c r="A31" s="3"/>
      <c r="B31" s="130"/>
      <c r="C31" s="131"/>
      <c r="D31" s="131"/>
      <c r="E31" s="132"/>
      <c r="F31" s="23"/>
      <c r="G31" s="23"/>
      <c r="H31" s="24"/>
      <c r="I31" s="24"/>
      <c r="J31" s="130"/>
      <c r="K31" s="131"/>
      <c r="L31" s="131"/>
      <c r="M31" s="131"/>
      <c r="N31" s="131"/>
      <c r="O31" s="132"/>
      <c r="P31" s="23"/>
      <c r="Q31" s="23"/>
      <c r="R31" s="24"/>
      <c r="S31" s="24"/>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44" t="s">
        <v>114</v>
      </c>
      <c r="B33" s="144"/>
      <c r="C33" s="144"/>
      <c r="D33" s="144"/>
      <c r="E33" s="144"/>
      <c r="F33" s="144"/>
      <c r="G33" s="144"/>
      <c r="H33" s="144"/>
      <c r="I33" s="144"/>
      <c r="J33" s="144"/>
      <c r="K33" s="144"/>
      <c r="L33" s="144"/>
      <c r="M33" s="144"/>
      <c r="N33" s="144"/>
      <c r="O33" s="144"/>
      <c r="P33" s="144"/>
      <c r="Q33" s="144"/>
      <c r="R33" s="144"/>
      <c r="S33" s="144"/>
    </row>
    <row r="34" spans="1:19" ht="18" customHeight="1" x14ac:dyDescent="0.15">
      <c r="A34" s="144"/>
      <c r="B34" s="144"/>
      <c r="C34" s="144"/>
      <c r="D34" s="144"/>
      <c r="E34" s="144"/>
      <c r="F34" s="144"/>
      <c r="G34" s="144"/>
      <c r="H34" s="144"/>
      <c r="I34" s="144"/>
      <c r="J34" s="144"/>
      <c r="K34" s="144"/>
      <c r="L34" s="144"/>
      <c r="M34" s="144"/>
      <c r="N34" s="144"/>
      <c r="O34" s="144"/>
      <c r="P34" s="144"/>
      <c r="Q34" s="144"/>
      <c r="R34" s="144"/>
      <c r="S34" s="144"/>
    </row>
    <row r="35" spans="1:19" ht="18" customHeight="1" x14ac:dyDescent="0.15">
      <c r="B35" s="136" t="s">
        <v>53</v>
      </c>
      <c r="C35" s="116"/>
      <c r="D35" s="116"/>
      <c r="E35" s="117"/>
      <c r="F35" s="59" t="s">
        <v>80</v>
      </c>
      <c r="G35" s="58" t="s">
        <v>84</v>
      </c>
      <c r="H35" s="20" t="s">
        <v>71</v>
      </c>
      <c r="I35" s="20" t="s">
        <v>72</v>
      </c>
      <c r="J35" s="136" t="s">
        <v>53</v>
      </c>
      <c r="K35" s="116"/>
      <c r="L35" s="116"/>
      <c r="M35" s="116"/>
      <c r="N35" s="116"/>
      <c r="O35" s="117"/>
      <c r="P35" s="59" t="s">
        <v>80</v>
      </c>
      <c r="Q35" s="58" t="s">
        <v>84</v>
      </c>
      <c r="R35" s="20" t="s">
        <v>71</v>
      </c>
      <c r="S35" s="20" t="s">
        <v>72</v>
      </c>
    </row>
    <row r="36" spans="1:19" ht="18" customHeight="1" x14ac:dyDescent="0.15">
      <c r="B36" s="140" t="s">
        <v>130</v>
      </c>
      <c r="C36" s="91"/>
      <c r="D36" s="91"/>
      <c r="E36" s="92"/>
      <c r="F36" s="21">
        <v>1</v>
      </c>
      <c r="G36" s="21" t="s">
        <v>131</v>
      </c>
      <c r="H36" s="21" t="s">
        <v>131</v>
      </c>
      <c r="I36" s="21" t="s">
        <v>131</v>
      </c>
      <c r="J36" s="140"/>
      <c r="K36" s="91"/>
      <c r="L36" s="91"/>
      <c r="M36" s="91"/>
      <c r="N36" s="91"/>
      <c r="O36" s="92"/>
      <c r="P36" s="21"/>
      <c r="Q36" s="21"/>
      <c r="R36" s="21"/>
      <c r="S36" s="21"/>
    </row>
    <row r="37" spans="1:19" ht="18" customHeight="1" x14ac:dyDescent="0.15">
      <c r="B37" s="126"/>
      <c r="C37" s="94"/>
      <c r="D37" s="94"/>
      <c r="E37" s="95"/>
      <c r="F37" s="22"/>
      <c r="G37" s="22"/>
      <c r="H37" s="22"/>
      <c r="I37" s="22"/>
      <c r="J37" s="126"/>
      <c r="K37" s="94"/>
      <c r="L37" s="94"/>
      <c r="M37" s="94"/>
      <c r="N37" s="94"/>
      <c r="O37" s="95"/>
      <c r="P37" s="22"/>
      <c r="Q37" s="22"/>
      <c r="R37" s="22"/>
      <c r="S37" s="22"/>
    </row>
    <row r="38" spans="1:19" ht="18" customHeight="1" x14ac:dyDescent="0.15">
      <c r="B38" s="126"/>
      <c r="C38" s="94"/>
      <c r="D38" s="94"/>
      <c r="E38" s="95"/>
      <c r="F38" s="22"/>
      <c r="G38" s="22"/>
      <c r="H38" s="22"/>
      <c r="I38" s="22"/>
      <c r="J38" s="126"/>
      <c r="K38" s="94"/>
      <c r="L38" s="94"/>
      <c r="M38" s="94"/>
      <c r="N38" s="94"/>
      <c r="O38" s="95"/>
      <c r="P38" s="22"/>
      <c r="Q38" s="22"/>
      <c r="R38" s="22"/>
      <c r="S38" s="22"/>
    </row>
    <row r="39" spans="1:19" ht="18" customHeight="1" x14ac:dyDescent="0.15">
      <c r="B39" s="126"/>
      <c r="C39" s="94"/>
      <c r="D39" s="94"/>
      <c r="E39" s="95"/>
      <c r="F39" s="22"/>
      <c r="G39" s="22"/>
      <c r="H39" s="22"/>
      <c r="I39" s="22"/>
      <c r="J39" s="126"/>
      <c r="K39" s="94"/>
      <c r="L39" s="94"/>
      <c r="M39" s="94"/>
      <c r="N39" s="94"/>
      <c r="O39" s="95"/>
      <c r="P39" s="22"/>
      <c r="Q39" s="22"/>
      <c r="R39" s="22"/>
      <c r="S39" s="22"/>
    </row>
    <row r="40" spans="1:19" ht="18" customHeight="1" x14ac:dyDescent="0.15">
      <c r="B40" s="126"/>
      <c r="C40" s="94"/>
      <c r="D40" s="94"/>
      <c r="E40" s="95"/>
      <c r="F40" s="22"/>
      <c r="G40" s="22"/>
      <c r="H40" s="22"/>
      <c r="I40" s="22"/>
      <c r="J40" s="126"/>
      <c r="K40" s="94"/>
      <c r="L40" s="94"/>
      <c r="M40" s="94"/>
      <c r="N40" s="94"/>
      <c r="O40" s="95"/>
      <c r="P40" s="22"/>
      <c r="Q40" s="22"/>
      <c r="R40" s="22"/>
      <c r="S40" s="22"/>
    </row>
    <row r="41" spans="1:19" ht="18" customHeight="1" x14ac:dyDescent="0.15">
      <c r="B41" s="126"/>
      <c r="C41" s="94"/>
      <c r="D41" s="94"/>
      <c r="E41" s="95"/>
      <c r="F41" s="22"/>
      <c r="G41" s="22"/>
      <c r="H41" s="22"/>
      <c r="I41" s="22"/>
      <c r="J41" s="126"/>
      <c r="K41" s="94"/>
      <c r="L41" s="94"/>
      <c r="M41" s="94"/>
      <c r="N41" s="94"/>
      <c r="O41" s="95"/>
      <c r="P41" s="22"/>
      <c r="Q41" s="22"/>
      <c r="R41" s="22"/>
      <c r="S41" s="22"/>
    </row>
    <row r="42" spans="1:19" ht="18" customHeight="1" x14ac:dyDescent="0.15">
      <c r="B42" s="130"/>
      <c r="C42" s="131"/>
      <c r="D42" s="131"/>
      <c r="E42" s="132"/>
      <c r="F42" s="23"/>
      <c r="G42" s="23"/>
      <c r="H42" s="24"/>
      <c r="I42" s="24"/>
      <c r="J42" s="130"/>
      <c r="K42" s="131"/>
      <c r="L42" s="131"/>
      <c r="M42" s="131"/>
      <c r="N42" s="131"/>
      <c r="O42" s="132"/>
      <c r="P42" s="23"/>
      <c r="Q42" s="23"/>
      <c r="R42" s="24"/>
      <c r="S42" s="24"/>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44" t="s">
        <v>115</v>
      </c>
      <c r="B44" s="144"/>
      <c r="C44" s="144"/>
      <c r="D44" s="144"/>
      <c r="E44" s="144"/>
      <c r="F44" s="144"/>
      <c r="G44" s="144"/>
      <c r="H44" s="144"/>
      <c r="I44" s="144"/>
      <c r="J44" s="144"/>
      <c r="K44" s="144"/>
      <c r="L44" s="144"/>
      <c r="M44" s="144"/>
      <c r="N44" s="144"/>
      <c r="O44" s="144"/>
      <c r="P44" s="144"/>
      <c r="Q44" s="144"/>
      <c r="R44" s="144"/>
      <c r="S44" s="144"/>
    </row>
    <row r="45" spans="1:19" ht="18" customHeight="1" x14ac:dyDescent="0.15">
      <c r="A45" s="144"/>
      <c r="B45" s="144"/>
      <c r="C45" s="144"/>
      <c r="D45" s="144"/>
      <c r="E45" s="144"/>
      <c r="F45" s="144"/>
      <c r="G45" s="144"/>
      <c r="H45" s="144"/>
      <c r="I45" s="144"/>
      <c r="J45" s="144"/>
      <c r="K45" s="144"/>
      <c r="L45" s="144"/>
      <c r="M45" s="144"/>
      <c r="N45" s="144"/>
      <c r="O45" s="144"/>
      <c r="P45" s="144"/>
      <c r="Q45" s="144"/>
      <c r="R45" s="144"/>
      <c r="S45" s="144"/>
    </row>
    <row r="46" spans="1:19" ht="18" customHeight="1" x14ac:dyDescent="0.15">
      <c r="B46" s="136" t="s">
        <v>53</v>
      </c>
      <c r="C46" s="116"/>
      <c r="D46" s="116"/>
      <c r="E46" s="117"/>
      <c r="F46" s="59" t="s">
        <v>80</v>
      </c>
      <c r="G46" s="58" t="s">
        <v>84</v>
      </c>
      <c r="H46" s="20" t="s">
        <v>73</v>
      </c>
      <c r="I46" s="20" t="s">
        <v>74</v>
      </c>
      <c r="J46" s="136" t="s">
        <v>53</v>
      </c>
      <c r="K46" s="116"/>
      <c r="L46" s="116"/>
      <c r="M46" s="116"/>
      <c r="N46" s="116"/>
      <c r="O46" s="117"/>
      <c r="P46" s="59" t="s">
        <v>80</v>
      </c>
      <c r="Q46" s="58" t="s">
        <v>84</v>
      </c>
      <c r="R46" s="20" t="s">
        <v>73</v>
      </c>
      <c r="S46" s="20" t="s">
        <v>74</v>
      </c>
    </row>
    <row r="47" spans="1:19" ht="18" customHeight="1" x14ac:dyDescent="0.15">
      <c r="A47" s="3"/>
      <c r="B47" s="140" t="s">
        <v>130</v>
      </c>
      <c r="C47" s="91"/>
      <c r="D47" s="91"/>
      <c r="E47" s="92"/>
      <c r="F47" s="21">
        <v>1</v>
      </c>
      <c r="G47" s="21" t="s">
        <v>131</v>
      </c>
      <c r="H47" s="21" t="s">
        <v>131</v>
      </c>
      <c r="I47" s="21" t="s">
        <v>131</v>
      </c>
      <c r="J47" s="140"/>
      <c r="K47" s="91"/>
      <c r="L47" s="91"/>
      <c r="M47" s="91"/>
      <c r="N47" s="91"/>
      <c r="O47" s="92"/>
      <c r="P47" s="21"/>
      <c r="Q47" s="21"/>
      <c r="R47" s="21"/>
      <c r="S47" s="21"/>
    </row>
    <row r="48" spans="1:19" ht="18" customHeight="1" x14ac:dyDescent="0.15">
      <c r="A48" s="3"/>
      <c r="B48" s="126" t="s">
        <v>133</v>
      </c>
      <c r="C48" s="94"/>
      <c r="D48" s="94"/>
      <c r="E48" s="95"/>
      <c r="F48" s="22">
        <v>1</v>
      </c>
      <c r="G48" s="22"/>
      <c r="H48" s="22"/>
      <c r="I48" s="22" t="s">
        <v>131</v>
      </c>
      <c r="J48" s="126"/>
      <c r="K48" s="94"/>
      <c r="L48" s="94"/>
      <c r="M48" s="94"/>
      <c r="N48" s="94"/>
      <c r="O48" s="95"/>
      <c r="P48" s="22"/>
      <c r="Q48" s="22"/>
      <c r="R48" s="22"/>
      <c r="S48" s="22"/>
    </row>
    <row r="49" spans="1:19" ht="18" customHeight="1" x14ac:dyDescent="0.15">
      <c r="A49" s="3"/>
      <c r="B49" s="126"/>
      <c r="C49" s="94"/>
      <c r="D49" s="94"/>
      <c r="E49" s="95"/>
      <c r="F49" s="22"/>
      <c r="G49" s="22"/>
      <c r="H49" s="22"/>
      <c r="I49" s="22"/>
      <c r="J49" s="126"/>
      <c r="K49" s="94"/>
      <c r="L49" s="94"/>
      <c r="M49" s="94"/>
      <c r="N49" s="94"/>
      <c r="O49" s="95"/>
      <c r="P49" s="22"/>
      <c r="Q49" s="22"/>
      <c r="R49" s="22"/>
      <c r="S49" s="22"/>
    </row>
    <row r="50" spans="1:19" ht="18" customHeight="1" x14ac:dyDescent="0.15">
      <c r="A50" s="3"/>
      <c r="B50" s="126"/>
      <c r="C50" s="94"/>
      <c r="D50" s="94"/>
      <c r="E50" s="95"/>
      <c r="F50" s="22"/>
      <c r="G50" s="22"/>
      <c r="H50" s="22"/>
      <c r="I50" s="22"/>
      <c r="J50" s="126"/>
      <c r="K50" s="94"/>
      <c r="L50" s="94"/>
      <c r="M50" s="94"/>
      <c r="N50" s="94"/>
      <c r="O50" s="95"/>
      <c r="P50" s="22"/>
      <c r="Q50" s="22"/>
      <c r="R50" s="22"/>
      <c r="S50" s="22"/>
    </row>
    <row r="51" spans="1:19" ht="18" customHeight="1" x14ac:dyDescent="0.15">
      <c r="A51" s="3"/>
      <c r="B51" s="126"/>
      <c r="C51" s="94"/>
      <c r="D51" s="94"/>
      <c r="E51" s="95"/>
      <c r="F51" s="22"/>
      <c r="G51" s="22"/>
      <c r="H51" s="22"/>
      <c r="I51" s="22"/>
      <c r="J51" s="126"/>
      <c r="K51" s="94"/>
      <c r="L51" s="94"/>
      <c r="M51" s="94"/>
      <c r="N51" s="94"/>
      <c r="O51" s="95"/>
      <c r="P51" s="22"/>
      <c r="Q51" s="22"/>
      <c r="R51" s="22"/>
      <c r="S51" s="22"/>
    </row>
    <row r="52" spans="1:19" ht="18" customHeight="1" x14ac:dyDescent="0.15">
      <c r="A52" s="3"/>
      <c r="B52" s="126"/>
      <c r="C52" s="94"/>
      <c r="D52" s="94"/>
      <c r="E52" s="95"/>
      <c r="F52" s="22"/>
      <c r="G52" s="22"/>
      <c r="H52" s="22"/>
      <c r="I52" s="22"/>
      <c r="J52" s="126"/>
      <c r="K52" s="94"/>
      <c r="L52" s="94"/>
      <c r="M52" s="94"/>
      <c r="N52" s="94"/>
      <c r="O52" s="95"/>
      <c r="P52" s="22"/>
      <c r="Q52" s="22"/>
      <c r="R52" s="22"/>
      <c r="S52" s="22"/>
    </row>
    <row r="53" spans="1:19" ht="18" customHeight="1" x14ac:dyDescent="0.15">
      <c r="A53" s="3"/>
      <c r="B53" s="130"/>
      <c r="C53" s="131"/>
      <c r="D53" s="131"/>
      <c r="E53" s="132"/>
      <c r="F53" s="23"/>
      <c r="G53" s="23"/>
      <c r="H53" s="24"/>
      <c r="I53" s="24"/>
      <c r="J53" s="130"/>
      <c r="K53" s="131"/>
      <c r="L53" s="131"/>
      <c r="M53" s="131"/>
      <c r="N53" s="131"/>
      <c r="O53" s="132"/>
      <c r="P53" s="23"/>
      <c r="Q53" s="23"/>
      <c r="R53" s="24"/>
      <c r="S53" s="24"/>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44" t="s">
        <v>116</v>
      </c>
      <c r="B55" s="144"/>
      <c r="C55" s="144"/>
      <c r="D55" s="144"/>
      <c r="E55" s="144"/>
      <c r="F55" s="144"/>
      <c r="G55" s="144"/>
      <c r="H55" s="144"/>
      <c r="I55" s="144"/>
      <c r="J55" s="144"/>
      <c r="K55" s="144"/>
      <c r="L55" s="144"/>
      <c r="M55" s="144"/>
      <c r="N55" s="144"/>
      <c r="O55" s="144"/>
      <c r="P55" s="144"/>
      <c r="Q55" s="144"/>
      <c r="R55" s="144"/>
      <c r="S55" s="144"/>
    </row>
    <row r="56" spans="1:19" ht="18" customHeight="1" x14ac:dyDescent="0.15">
      <c r="A56" s="144"/>
      <c r="B56" s="144"/>
      <c r="C56" s="144"/>
      <c r="D56" s="144"/>
      <c r="E56" s="144"/>
      <c r="F56" s="144"/>
      <c r="G56" s="144"/>
      <c r="H56" s="144"/>
      <c r="I56" s="144"/>
      <c r="J56" s="144"/>
      <c r="K56" s="144"/>
      <c r="L56" s="144"/>
      <c r="M56" s="144"/>
      <c r="N56" s="144"/>
      <c r="O56" s="144"/>
      <c r="P56" s="144"/>
      <c r="Q56" s="144"/>
      <c r="R56" s="144"/>
      <c r="S56" s="144"/>
    </row>
    <row r="57" spans="1:19" ht="18" customHeight="1" x14ac:dyDescent="0.15">
      <c r="B57" s="136" t="s">
        <v>53</v>
      </c>
      <c r="C57" s="116"/>
      <c r="D57" s="116"/>
      <c r="E57" s="117"/>
      <c r="F57" s="59" t="s">
        <v>80</v>
      </c>
      <c r="G57" s="58" t="s">
        <v>84</v>
      </c>
      <c r="H57" s="20" t="s">
        <v>58</v>
      </c>
      <c r="I57" s="20" t="s">
        <v>60</v>
      </c>
      <c r="J57" s="136" t="s">
        <v>53</v>
      </c>
      <c r="K57" s="116"/>
      <c r="L57" s="116"/>
      <c r="M57" s="116"/>
      <c r="N57" s="116"/>
      <c r="O57" s="117"/>
      <c r="P57" s="59" t="s">
        <v>80</v>
      </c>
      <c r="Q57" s="58" t="s">
        <v>84</v>
      </c>
      <c r="R57" s="20" t="s">
        <v>58</v>
      </c>
      <c r="S57" s="20" t="s">
        <v>60</v>
      </c>
    </row>
    <row r="58" spans="1:19" ht="18" customHeight="1" x14ac:dyDescent="0.15">
      <c r="A58" s="3"/>
      <c r="B58" s="140" t="s">
        <v>130</v>
      </c>
      <c r="C58" s="91"/>
      <c r="D58" s="91"/>
      <c r="E58" s="92"/>
      <c r="F58" s="21">
        <v>1</v>
      </c>
      <c r="G58" s="21" t="s">
        <v>131</v>
      </c>
      <c r="H58" s="21" t="s">
        <v>131</v>
      </c>
      <c r="I58" s="21" t="s">
        <v>131</v>
      </c>
      <c r="J58" s="140"/>
      <c r="K58" s="91"/>
      <c r="L58" s="91"/>
      <c r="M58" s="91"/>
      <c r="N58" s="91"/>
      <c r="O58" s="92"/>
      <c r="P58" s="21"/>
      <c r="Q58" s="21"/>
      <c r="R58" s="21"/>
      <c r="S58" s="21"/>
    </row>
    <row r="59" spans="1:19" ht="18" customHeight="1" x14ac:dyDescent="0.15">
      <c r="A59" s="3"/>
      <c r="B59" s="126"/>
      <c r="C59" s="94"/>
      <c r="D59" s="94"/>
      <c r="E59" s="95"/>
      <c r="F59" s="22"/>
      <c r="G59" s="22"/>
      <c r="H59" s="22"/>
      <c r="I59" s="22"/>
      <c r="J59" s="126"/>
      <c r="K59" s="94"/>
      <c r="L59" s="94"/>
      <c r="M59" s="94"/>
      <c r="N59" s="94"/>
      <c r="O59" s="95"/>
      <c r="P59" s="22"/>
      <c r="Q59" s="22"/>
      <c r="R59" s="22"/>
      <c r="S59" s="22"/>
    </row>
    <row r="60" spans="1:19" ht="18" customHeight="1" x14ac:dyDescent="0.15">
      <c r="A60" s="3"/>
      <c r="B60" s="126"/>
      <c r="C60" s="94"/>
      <c r="D60" s="94"/>
      <c r="E60" s="95"/>
      <c r="F60" s="22"/>
      <c r="G60" s="22"/>
      <c r="H60" s="22"/>
      <c r="I60" s="22"/>
      <c r="J60" s="126"/>
      <c r="K60" s="94"/>
      <c r="L60" s="94"/>
      <c r="M60" s="94"/>
      <c r="N60" s="94"/>
      <c r="O60" s="95"/>
      <c r="P60" s="22"/>
      <c r="Q60" s="22"/>
      <c r="R60" s="22"/>
      <c r="S60" s="22"/>
    </row>
    <row r="61" spans="1:19" ht="18" customHeight="1" x14ac:dyDescent="0.15">
      <c r="A61" s="3"/>
      <c r="B61" s="126"/>
      <c r="C61" s="94"/>
      <c r="D61" s="94"/>
      <c r="E61" s="95"/>
      <c r="F61" s="22"/>
      <c r="G61" s="22"/>
      <c r="H61" s="22"/>
      <c r="I61" s="22"/>
      <c r="J61" s="126"/>
      <c r="K61" s="94"/>
      <c r="L61" s="94"/>
      <c r="M61" s="94"/>
      <c r="N61" s="94"/>
      <c r="O61" s="95"/>
      <c r="P61" s="22"/>
      <c r="Q61" s="22"/>
      <c r="R61" s="22"/>
      <c r="S61" s="22"/>
    </row>
    <row r="62" spans="1:19" ht="18" customHeight="1" x14ac:dyDescent="0.15">
      <c r="A62" s="3"/>
      <c r="B62" s="126"/>
      <c r="C62" s="94"/>
      <c r="D62" s="94"/>
      <c r="E62" s="95"/>
      <c r="F62" s="22"/>
      <c r="G62" s="22"/>
      <c r="H62" s="22"/>
      <c r="I62" s="22"/>
      <c r="J62" s="126"/>
      <c r="K62" s="94"/>
      <c r="L62" s="94"/>
      <c r="M62" s="94"/>
      <c r="N62" s="94"/>
      <c r="O62" s="95"/>
      <c r="P62" s="22"/>
      <c r="Q62" s="22"/>
      <c r="R62" s="22"/>
      <c r="S62" s="22"/>
    </row>
    <row r="63" spans="1:19" ht="18" customHeight="1" x14ac:dyDescent="0.15">
      <c r="A63" s="3"/>
      <c r="B63" s="126"/>
      <c r="C63" s="94"/>
      <c r="D63" s="94"/>
      <c r="E63" s="95"/>
      <c r="F63" s="22"/>
      <c r="G63" s="22"/>
      <c r="H63" s="22"/>
      <c r="I63" s="22"/>
      <c r="J63" s="126"/>
      <c r="K63" s="94"/>
      <c r="L63" s="94"/>
      <c r="M63" s="94"/>
      <c r="N63" s="94"/>
      <c r="O63" s="95"/>
      <c r="P63" s="22"/>
      <c r="Q63" s="22"/>
      <c r="R63" s="22"/>
      <c r="S63" s="22"/>
    </row>
    <row r="64" spans="1:19" ht="18" customHeight="1" x14ac:dyDescent="0.15">
      <c r="A64" s="3"/>
      <c r="B64" s="130"/>
      <c r="C64" s="131"/>
      <c r="D64" s="131"/>
      <c r="E64" s="132"/>
      <c r="F64" s="23"/>
      <c r="G64" s="23"/>
      <c r="H64" s="24"/>
      <c r="I64" s="24"/>
      <c r="J64" s="130"/>
      <c r="K64" s="131"/>
      <c r="L64" s="131"/>
      <c r="M64" s="131"/>
      <c r="N64" s="131"/>
      <c r="O64" s="132"/>
      <c r="P64" s="23"/>
      <c r="Q64" s="23"/>
      <c r="R64" s="24"/>
      <c r="S64" s="24"/>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44" t="s">
        <v>117</v>
      </c>
      <c r="B66" s="144"/>
      <c r="C66" s="144"/>
      <c r="D66" s="144"/>
      <c r="E66" s="144"/>
      <c r="F66" s="144"/>
      <c r="G66" s="144"/>
      <c r="H66" s="144"/>
      <c r="I66" s="144"/>
      <c r="J66" s="144"/>
      <c r="K66" s="144"/>
      <c r="L66" s="144"/>
      <c r="M66" s="144"/>
      <c r="N66" s="144"/>
      <c r="O66" s="144"/>
      <c r="P66" s="144"/>
      <c r="Q66" s="144"/>
      <c r="R66" s="144"/>
      <c r="S66" s="144"/>
    </row>
    <row r="67" spans="1:19" ht="18" customHeight="1" x14ac:dyDescent="0.15">
      <c r="A67" s="144"/>
      <c r="B67" s="144"/>
      <c r="C67" s="144"/>
      <c r="D67" s="144"/>
      <c r="E67" s="144"/>
      <c r="F67" s="144"/>
      <c r="G67" s="144"/>
      <c r="H67" s="144"/>
      <c r="I67" s="144"/>
      <c r="J67" s="144"/>
      <c r="K67" s="144"/>
      <c r="L67" s="144"/>
      <c r="M67" s="144"/>
      <c r="N67" s="144"/>
      <c r="O67" s="144"/>
      <c r="P67" s="144"/>
      <c r="Q67" s="144"/>
      <c r="R67" s="144"/>
      <c r="S67" s="144"/>
    </row>
    <row r="68" spans="1:19" ht="18" customHeight="1" x14ac:dyDescent="0.15">
      <c r="B68" s="136" t="s">
        <v>53</v>
      </c>
      <c r="C68" s="116"/>
      <c r="D68" s="116"/>
      <c r="E68" s="59" t="s">
        <v>80</v>
      </c>
      <c r="F68" s="58" t="s">
        <v>84</v>
      </c>
      <c r="G68" s="20" t="s">
        <v>101</v>
      </c>
      <c r="H68" s="20" t="s">
        <v>75</v>
      </c>
      <c r="I68" s="20" t="s">
        <v>76</v>
      </c>
      <c r="J68" s="136" t="s">
        <v>53</v>
      </c>
      <c r="K68" s="116"/>
      <c r="L68" s="116"/>
      <c r="M68" s="116"/>
      <c r="N68" s="117"/>
      <c r="O68" s="59" t="s">
        <v>80</v>
      </c>
      <c r="P68" s="58" t="s">
        <v>84</v>
      </c>
      <c r="Q68" s="20" t="s">
        <v>101</v>
      </c>
      <c r="R68" s="20" t="s">
        <v>75</v>
      </c>
      <c r="S68" s="20" t="s">
        <v>76</v>
      </c>
    </row>
    <row r="69" spans="1:19" ht="18" customHeight="1" x14ac:dyDescent="0.15">
      <c r="A69" s="3"/>
      <c r="B69" s="140" t="s">
        <v>134</v>
      </c>
      <c r="C69" s="91"/>
      <c r="D69" s="91"/>
      <c r="E69" s="21">
        <v>1</v>
      </c>
      <c r="F69" s="21" t="s">
        <v>131</v>
      </c>
      <c r="G69" s="21" t="s">
        <v>131</v>
      </c>
      <c r="H69" s="21" t="s">
        <v>131</v>
      </c>
      <c r="I69" s="21" t="s">
        <v>131</v>
      </c>
      <c r="J69" s="140"/>
      <c r="K69" s="91"/>
      <c r="L69" s="91"/>
      <c r="M69" s="91"/>
      <c r="N69" s="92"/>
      <c r="O69" s="21"/>
      <c r="P69" s="21"/>
      <c r="Q69" s="21"/>
      <c r="R69" s="21"/>
      <c r="S69" s="21"/>
    </row>
    <row r="70" spans="1:19" ht="18" customHeight="1" x14ac:dyDescent="0.15">
      <c r="A70" s="3"/>
      <c r="B70" s="126" t="s">
        <v>307</v>
      </c>
      <c r="C70" s="94"/>
      <c r="D70" s="94"/>
      <c r="E70" s="22">
        <v>1</v>
      </c>
      <c r="F70" s="22"/>
      <c r="G70" s="22" t="s">
        <v>131</v>
      </c>
      <c r="H70" s="22"/>
      <c r="I70" s="22"/>
      <c r="J70" s="126"/>
      <c r="K70" s="94"/>
      <c r="L70" s="94"/>
      <c r="M70" s="94"/>
      <c r="N70" s="95"/>
      <c r="O70" s="22"/>
      <c r="P70" s="22"/>
      <c r="Q70" s="22"/>
      <c r="R70" s="22"/>
      <c r="S70" s="22"/>
    </row>
    <row r="71" spans="1:19" ht="18" customHeight="1" x14ac:dyDescent="0.15">
      <c r="A71" s="3"/>
      <c r="B71" s="126" t="s">
        <v>138</v>
      </c>
      <c r="C71" s="94"/>
      <c r="D71" s="94"/>
      <c r="E71" s="22">
        <v>1</v>
      </c>
      <c r="F71" s="22"/>
      <c r="G71" s="22" t="s">
        <v>131</v>
      </c>
      <c r="H71" s="22" t="s">
        <v>131</v>
      </c>
      <c r="I71" s="22"/>
      <c r="J71" s="126"/>
      <c r="K71" s="94"/>
      <c r="L71" s="94"/>
      <c r="M71" s="94"/>
      <c r="N71" s="95"/>
      <c r="O71" s="22"/>
      <c r="P71" s="22"/>
      <c r="Q71" s="22"/>
      <c r="R71" s="22"/>
      <c r="S71" s="22"/>
    </row>
    <row r="72" spans="1:19" ht="18" customHeight="1" x14ac:dyDescent="0.15">
      <c r="A72" s="3"/>
      <c r="B72" s="126" t="s">
        <v>135</v>
      </c>
      <c r="C72" s="94"/>
      <c r="D72" s="94"/>
      <c r="E72" s="22">
        <v>1</v>
      </c>
      <c r="F72" s="22"/>
      <c r="G72" s="22"/>
      <c r="H72" s="22"/>
      <c r="I72" s="22" t="s">
        <v>131</v>
      </c>
      <c r="J72" s="126"/>
      <c r="K72" s="94"/>
      <c r="L72" s="94"/>
      <c r="M72" s="94"/>
      <c r="N72" s="95"/>
      <c r="O72" s="22"/>
      <c r="P72" s="22"/>
      <c r="Q72" s="22"/>
      <c r="R72" s="22"/>
      <c r="S72" s="22"/>
    </row>
    <row r="73" spans="1:19" ht="18" customHeight="1" x14ac:dyDescent="0.15">
      <c r="A73" s="3"/>
      <c r="B73" s="126" t="s">
        <v>136</v>
      </c>
      <c r="C73" s="94"/>
      <c r="D73" s="94"/>
      <c r="E73" s="22">
        <v>1</v>
      </c>
      <c r="F73" s="22"/>
      <c r="G73" s="22" t="s">
        <v>131</v>
      </c>
      <c r="H73" s="22"/>
      <c r="I73" s="22"/>
      <c r="J73" s="126"/>
      <c r="K73" s="94"/>
      <c r="L73" s="94"/>
      <c r="M73" s="94"/>
      <c r="N73" s="95"/>
      <c r="O73" s="22"/>
      <c r="P73" s="22"/>
      <c r="Q73" s="22"/>
      <c r="R73" s="22"/>
      <c r="S73" s="22"/>
    </row>
    <row r="74" spans="1:19" ht="18" customHeight="1" x14ac:dyDescent="0.15">
      <c r="A74" s="3"/>
      <c r="B74" s="126" t="s">
        <v>137</v>
      </c>
      <c r="C74" s="94"/>
      <c r="D74" s="94"/>
      <c r="E74" s="22">
        <v>1</v>
      </c>
      <c r="F74" s="22"/>
      <c r="G74" s="22" t="s">
        <v>131</v>
      </c>
      <c r="H74" s="22"/>
      <c r="I74" s="22"/>
      <c r="J74" s="126"/>
      <c r="K74" s="94"/>
      <c r="L74" s="94"/>
      <c r="M74" s="94"/>
      <c r="N74" s="95"/>
      <c r="O74" s="22"/>
      <c r="P74" s="22"/>
      <c r="Q74" s="22"/>
      <c r="R74" s="22"/>
      <c r="S74" s="22"/>
    </row>
    <row r="75" spans="1:19" ht="18" customHeight="1" x14ac:dyDescent="0.15">
      <c r="A75" s="3"/>
      <c r="B75" s="130" t="s">
        <v>294</v>
      </c>
      <c r="C75" s="131"/>
      <c r="D75" s="131"/>
      <c r="E75" s="23">
        <v>1</v>
      </c>
      <c r="F75" s="23"/>
      <c r="G75" s="24" t="s">
        <v>131</v>
      </c>
      <c r="H75" s="24"/>
      <c r="I75" s="24"/>
      <c r="J75" s="130"/>
      <c r="K75" s="131"/>
      <c r="L75" s="131"/>
      <c r="M75" s="131"/>
      <c r="N75" s="132"/>
      <c r="O75" s="23"/>
      <c r="P75" s="23"/>
      <c r="Q75" s="24"/>
      <c r="R75" s="24"/>
      <c r="S75" s="24"/>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118</v>
      </c>
      <c r="H77" s="3"/>
      <c r="I77" s="3"/>
      <c r="J77" s="3"/>
      <c r="K77" s="3"/>
      <c r="L77" s="3"/>
      <c r="M77" s="3"/>
      <c r="N77" s="3"/>
      <c r="O77" s="3"/>
      <c r="P77" s="3"/>
      <c r="Q77" s="3"/>
      <c r="R77" s="3"/>
      <c r="S77" s="3"/>
    </row>
    <row r="78" spans="1:19" ht="18" customHeight="1" x14ac:dyDescent="0.15">
      <c r="B78" s="136" t="s">
        <v>53</v>
      </c>
      <c r="C78" s="116"/>
      <c r="D78" s="116"/>
      <c r="E78" s="117"/>
      <c r="F78" s="136" t="s">
        <v>82</v>
      </c>
      <c r="G78" s="116"/>
      <c r="H78" s="116"/>
      <c r="I78" s="117"/>
      <c r="J78" s="137" t="s">
        <v>53</v>
      </c>
      <c r="K78" s="138"/>
      <c r="L78" s="138"/>
      <c r="M78" s="138"/>
      <c r="N78" s="138"/>
      <c r="O78" s="139"/>
      <c r="P78" s="136" t="s">
        <v>82</v>
      </c>
      <c r="Q78" s="116"/>
      <c r="R78" s="116"/>
      <c r="S78" s="117"/>
    </row>
    <row r="79" spans="1:19" ht="18" customHeight="1" x14ac:dyDescent="0.15">
      <c r="A79" s="3"/>
      <c r="B79" s="140" t="s">
        <v>307</v>
      </c>
      <c r="C79" s="91"/>
      <c r="D79" s="91"/>
      <c r="E79" s="92"/>
      <c r="F79" s="141" t="s">
        <v>140</v>
      </c>
      <c r="G79" s="142"/>
      <c r="H79" s="142"/>
      <c r="I79" s="143"/>
      <c r="J79" s="140"/>
      <c r="K79" s="91"/>
      <c r="L79" s="91"/>
      <c r="M79" s="91"/>
      <c r="N79" s="91"/>
      <c r="O79" s="92"/>
      <c r="P79" s="141"/>
      <c r="Q79" s="142"/>
      <c r="R79" s="142"/>
      <c r="S79" s="143"/>
    </row>
    <row r="80" spans="1:19" ht="18" customHeight="1" x14ac:dyDescent="0.15">
      <c r="A80" s="3"/>
      <c r="B80" s="126" t="s">
        <v>138</v>
      </c>
      <c r="C80" s="94"/>
      <c r="D80" s="94"/>
      <c r="E80" s="95"/>
      <c r="F80" s="127" t="s">
        <v>139</v>
      </c>
      <c r="G80" s="128"/>
      <c r="H80" s="128"/>
      <c r="I80" s="129"/>
      <c r="J80" s="126"/>
      <c r="K80" s="94"/>
      <c r="L80" s="94"/>
      <c r="M80" s="94"/>
      <c r="N80" s="94"/>
      <c r="O80" s="95"/>
      <c r="P80" s="127"/>
      <c r="Q80" s="128"/>
      <c r="R80" s="128"/>
      <c r="S80" s="129"/>
    </row>
    <row r="81" spans="1:19" ht="18" customHeight="1" x14ac:dyDescent="0.15">
      <c r="A81" s="3"/>
      <c r="B81" s="126"/>
      <c r="C81" s="94"/>
      <c r="D81" s="94"/>
      <c r="E81" s="95"/>
      <c r="F81" s="127"/>
      <c r="G81" s="128"/>
      <c r="H81" s="128"/>
      <c r="I81" s="129"/>
      <c r="J81" s="126"/>
      <c r="K81" s="94"/>
      <c r="L81" s="94"/>
      <c r="M81" s="94"/>
      <c r="N81" s="94"/>
      <c r="O81" s="95"/>
      <c r="P81" s="127"/>
      <c r="Q81" s="128"/>
      <c r="R81" s="128"/>
      <c r="S81" s="129"/>
    </row>
    <row r="82" spans="1:19" ht="18" customHeight="1" x14ac:dyDescent="0.15">
      <c r="A82" s="3"/>
      <c r="B82" s="126"/>
      <c r="C82" s="94"/>
      <c r="D82" s="94"/>
      <c r="E82" s="95"/>
      <c r="F82" s="127"/>
      <c r="G82" s="128"/>
      <c r="H82" s="128"/>
      <c r="I82" s="129"/>
      <c r="J82" s="126"/>
      <c r="K82" s="94"/>
      <c r="L82" s="94"/>
      <c r="M82" s="94"/>
      <c r="N82" s="94"/>
      <c r="O82" s="95"/>
      <c r="P82" s="127"/>
      <c r="Q82" s="128"/>
      <c r="R82" s="128"/>
      <c r="S82" s="129"/>
    </row>
    <row r="83" spans="1:19" ht="18" customHeight="1" x14ac:dyDescent="0.15">
      <c r="A83" s="3"/>
      <c r="B83" s="126"/>
      <c r="C83" s="94"/>
      <c r="D83" s="94"/>
      <c r="E83" s="95"/>
      <c r="F83" s="127"/>
      <c r="G83" s="128"/>
      <c r="H83" s="128"/>
      <c r="I83" s="129"/>
      <c r="J83" s="126"/>
      <c r="K83" s="94"/>
      <c r="L83" s="94"/>
      <c r="M83" s="94"/>
      <c r="N83" s="94"/>
      <c r="O83" s="95"/>
      <c r="P83" s="127"/>
      <c r="Q83" s="128"/>
      <c r="R83" s="128"/>
      <c r="S83" s="129"/>
    </row>
    <row r="84" spans="1:19" ht="18" customHeight="1" x14ac:dyDescent="0.15">
      <c r="A84" s="3"/>
      <c r="B84" s="126"/>
      <c r="C84" s="94"/>
      <c r="D84" s="94"/>
      <c r="E84" s="95"/>
      <c r="F84" s="127"/>
      <c r="G84" s="128"/>
      <c r="H84" s="128"/>
      <c r="I84" s="129"/>
      <c r="J84" s="126"/>
      <c r="K84" s="94"/>
      <c r="L84" s="94"/>
      <c r="M84" s="94"/>
      <c r="N84" s="94"/>
      <c r="O84" s="95"/>
      <c r="P84" s="127"/>
      <c r="Q84" s="128"/>
      <c r="R84" s="128"/>
      <c r="S84" s="129"/>
    </row>
    <row r="85" spans="1:19" ht="18" customHeight="1" x14ac:dyDescent="0.15">
      <c r="A85" s="3"/>
      <c r="B85" s="130"/>
      <c r="C85" s="131"/>
      <c r="D85" s="131"/>
      <c r="E85" s="132"/>
      <c r="F85" s="133"/>
      <c r="G85" s="134"/>
      <c r="H85" s="134"/>
      <c r="I85" s="135"/>
      <c r="J85" s="130"/>
      <c r="K85" s="131"/>
      <c r="L85" s="131"/>
      <c r="M85" s="131"/>
      <c r="N85" s="131"/>
      <c r="O85" s="132"/>
      <c r="P85" s="133"/>
      <c r="Q85" s="134"/>
      <c r="R85" s="134"/>
      <c r="S85" s="135"/>
    </row>
    <row r="86" spans="1:19" ht="18" customHeight="1" x14ac:dyDescent="0.15">
      <c r="A86" s="3"/>
      <c r="B86" s="6"/>
      <c r="C86" s="6"/>
      <c r="D86" s="6"/>
      <c r="E86" s="6"/>
      <c r="F86" s="25"/>
      <c r="G86" s="25"/>
      <c r="H86" s="25"/>
      <c r="I86" s="25"/>
      <c r="J86" s="6"/>
      <c r="K86" s="6"/>
      <c r="L86" s="6"/>
      <c r="M86" s="6"/>
      <c r="N86" s="6"/>
      <c r="O86" s="6"/>
      <c r="P86" s="25"/>
      <c r="Q86" s="25"/>
      <c r="R86" s="25"/>
      <c r="S86" s="25"/>
    </row>
    <row r="87" spans="1:19" ht="18.75" customHeight="1" x14ac:dyDescent="0.15">
      <c r="A87" s="1" t="s">
        <v>119</v>
      </c>
    </row>
    <row r="88" spans="1:19" ht="18.75" customHeight="1" x14ac:dyDescent="0.15">
      <c r="B88" s="114" t="s">
        <v>54</v>
      </c>
      <c r="C88" s="115"/>
      <c r="D88" s="116" t="s">
        <v>55</v>
      </c>
      <c r="E88" s="116"/>
      <c r="F88" s="116"/>
      <c r="G88" s="116"/>
      <c r="H88" s="116"/>
      <c r="I88" s="116"/>
      <c r="J88" s="116"/>
      <c r="K88" s="116"/>
      <c r="L88" s="116"/>
      <c r="M88" s="116"/>
      <c r="N88" s="116"/>
      <c r="O88" s="116"/>
      <c r="P88" s="116"/>
      <c r="Q88" s="116"/>
      <c r="R88" s="116"/>
      <c r="S88" s="117"/>
    </row>
    <row r="89" spans="1:19" ht="97.5" customHeight="1" x14ac:dyDescent="0.15">
      <c r="B89" s="87" t="s">
        <v>61</v>
      </c>
      <c r="C89" s="26" t="s">
        <v>56</v>
      </c>
      <c r="D89" s="118" t="s">
        <v>293</v>
      </c>
      <c r="E89" s="118"/>
      <c r="F89" s="118"/>
      <c r="G89" s="118"/>
      <c r="H89" s="118"/>
      <c r="I89" s="118"/>
      <c r="J89" s="118"/>
      <c r="K89" s="118"/>
      <c r="L89" s="118"/>
      <c r="M89" s="118"/>
      <c r="N89" s="118"/>
      <c r="O89" s="118"/>
      <c r="P89" s="118"/>
      <c r="Q89" s="118"/>
      <c r="R89" s="118"/>
      <c r="S89" s="119"/>
    </row>
    <row r="90" spans="1:19" ht="97.5" customHeight="1" x14ac:dyDescent="0.15">
      <c r="B90" s="88"/>
      <c r="C90" s="27" t="s">
        <v>77</v>
      </c>
      <c r="D90" s="120" t="s">
        <v>141</v>
      </c>
      <c r="E90" s="120"/>
      <c r="F90" s="120"/>
      <c r="G90" s="120"/>
      <c r="H90" s="120"/>
      <c r="I90" s="120"/>
      <c r="J90" s="120"/>
      <c r="K90" s="120"/>
      <c r="L90" s="120"/>
      <c r="M90" s="120"/>
      <c r="N90" s="120"/>
      <c r="O90" s="120"/>
      <c r="P90" s="120"/>
      <c r="Q90" s="120"/>
      <c r="R90" s="120"/>
      <c r="S90" s="121"/>
    </row>
    <row r="91" spans="1:19" ht="97.5" customHeight="1" x14ac:dyDescent="0.15">
      <c r="B91" s="87" t="s">
        <v>62</v>
      </c>
      <c r="C91" s="28" t="s">
        <v>71</v>
      </c>
      <c r="D91" s="122" t="s">
        <v>142</v>
      </c>
      <c r="E91" s="122"/>
      <c r="F91" s="122"/>
      <c r="G91" s="122"/>
      <c r="H91" s="122"/>
      <c r="I91" s="122"/>
      <c r="J91" s="122"/>
      <c r="K91" s="122"/>
      <c r="L91" s="122"/>
      <c r="M91" s="122"/>
      <c r="N91" s="122"/>
      <c r="O91" s="122"/>
      <c r="P91" s="122"/>
      <c r="Q91" s="122"/>
      <c r="R91" s="122"/>
      <c r="S91" s="123"/>
    </row>
    <row r="92" spans="1:19" ht="97.5" customHeight="1" x14ac:dyDescent="0.15">
      <c r="B92" s="89"/>
      <c r="C92" s="29" t="s">
        <v>72</v>
      </c>
      <c r="D92" s="124" t="s">
        <v>143</v>
      </c>
      <c r="E92" s="124"/>
      <c r="F92" s="124"/>
      <c r="G92" s="124"/>
      <c r="H92" s="124"/>
      <c r="I92" s="124"/>
      <c r="J92" s="124"/>
      <c r="K92" s="124"/>
      <c r="L92" s="124"/>
      <c r="M92" s="124"/>
      <c r="N92" s="124"/>
      <c r="O92" s="124"/>
      <c r="P92" s="124"/>
      <c r="Q92" s="124"/>
      <c r="R92" s="124"/>
      <c r="S92" s="125"/>
    </row>
    <row r="93" spans="1:19" ht="97.5" customHeight="1" x14ac:dyDescent="0.15">
      <c r="B93" s="87" t="s">
        <v>63</v>
      </c>
      <c r="C93" s="28" t="s">
        <v>73</v>
      </c>
      <c r="D93" s="102" t="s">
        <v>287</v>
      </c>
      <c r="E93" s="103"/>
      <c r="F93" s="103"/>
      <c r="G93" s="103"/>
      <c r="H93" s="103"/>
      <c r="I93" s="103"/>
      <c r="J93" s="103"/>
      <c r="K93" s="103"/>
      <c r="L93" s="103"/>
      <c r="M93" s="103"/>
      <c r="N93" s="103"/>
      <c r="O93" s="103"/>
      <c r="P93" s="103"/>
      <c r="Q93" s="103"/>
      <c r="R93" s="103"/>
      <c r="S93" s="104"/>
    </row>
    <row r="94" spans="1:19" ht="97.5" customHeight="1" x14ac:dyDescent="0.15">
      <c r="B94" s="89"/>
      <c r="C94" s="30" t="s">
        <v>74</v>
      </c>
      <c r="D94" s="105" t="s">
        <v>144</v>
      </c>
      <c r="E94" s="106"/>
      <c r="F94" s="106"/>
      <c r="G94" s="106"/>
      <c r="H94" s="106"/>
      <c r="I94" s="106"/>
      <c r="J94" s="106"/>
      <c r="K94" s="106"/>
      <c r="L94" s="106"/>
      <c r="M94" s="106"/>
      <c r="N94" s="106"/>
      <c r="O94" s="106"/>
      <c r="P94" s="106"/>
      <c r="Q94" s="106"/>
      <c r="R94" s="106"/>
      <c r="S94" s="107"/>
    </row>
    <row r="95" spans="1:19" ht="97.5" customHeight="1" x14ac:dyDescent="0.15">
      <c r="B95" s="87" t="s">
        <v>78</v>
      </c>
      <c r="C95" s="26" t="s">
        <v>58</v>
      </c>
      <c r="D95" s="108" t="s">
        <v>288</v>
      </c>
      <c r="E95" s="109"/>
      <c r="F95" s="109"/>
      <c r="G95" s="109"/>
      <c r="H95" s="109"/>
      <c r="I95" s="109"/>
      <c r="J95" s="109"/>
      <c r="K95" s="109"/>
      <c r="L95" s="109"/>
      <c r="M95" s="109"/>
      <c r="N95" s="109"/>
      <c r="O95" s="109"/>
      <c r="P95" s="109"/>
      <c r="Q95" s="109"/>
      <c r="R95" s="109"/>
      <c r="S95" s="110"/>
    </row>
    <row r="96" spans="1:19" ht="97.5" customHeight="1" x14ac:dyDescent="0.15">
      <c r="B96" s="89"/>
      <c r="C96" s="29" t="s">
        <v>60</v>
      </c>
      <c r="D96" s="111" t="s">
        <v>289</v>
      </c>
      <c r="E96" s="112"/>
      <c r="F96" s="112"/>
      <c r="G96" s="112"/>
      <c r="H96" s="112"/>
      <c r="I96" s="112"/>
      <c r="J96" s="112"/>
      <c r="K96" s="112"/>
      <c r="L96" s="112"/>
      <c r="M96" s="112"/>
      <c r="N96" s="112"/>
      <c r="O96" s="112"/>
      <c r="P96" s="112"/>
      <c r="Q96" s="112"/>
      <c r="R96" s="112"/>
      <c r="S96" s="113"/>
    </row>
    <row r="97" spans="1:19" ht="155.25" customHeight="1" x14ac:dyDescent="0.15">
      <c r="B97" s="87" t="s">
        <v>79</v>
      </c>
      <c r="C97" s="28" t="s">
        <v>57</v>
      </c>
      <c r="D97" s="90" t="s">
        <v>291</v>
      </c>
      <c r="E97" s="91"/>
      <c r="F97" s="91"/>
      <c r="G97" s="91"/>
      <c r="H97" s="91"/>
      <c r="I97" s="91"/>
      <c r="J97" s="91"/>
      <c r="K97" s="91"/>
      <c r="L97" s="91"/>
      <c r="M97" s="91"/>
      <c r="N97" s="91"/>
      <c r="O97" s="91"/>
      <c r="P97" s="91"/>
      <c r="Q97" s="91"/>
      <c r="R97" s="91"/>
      <c r="S97" s="92"/>
    </row>
    <row r="98" spans="1:19" ht="106.5" customHeight="1" x14ac:dyDescent="0.15">
      <c r="B98" s="88"/>
      <c r="C98" s="31" t="s">
        <v>75</v>
      </c>
      <c r="D98" s="93" t="s">
        <v>290</v>
      </c>
      <c r="E98" s="94"/>
      <c r="F98" s="94"/>
      <c r="G98" s="94"/>
      <c r="H98" s="94"/>
      <c r="I98" s="94"/>
      <c r="J98" s="94"/>
      <c r="K98" s="94"/>
      <c r="L98" s="94"/>
      <c r="M98" s="94"/>
      <c r="N98" s="94"/>
      <c r="O98" s="94"/>
      <c r="P98" s="94"/>
      <c r="Q98" s="94"/>
      <c r="R98" s="94"/>
      <c r="S98" s="95"/>
    </row>
    <row r="99" spans="1:19" ht="142.5" customHeight="1" x14ac:dyDescent="0.15">
      <c r="B99" s="89"/>
      <c r="C99" s="30" t="s">
        <v>76</v>
      </c>
      <c r="D99" s="96" t="s">
        <v>292</v>
      </c>
      <c r="E99" s="97"/>
      <c r="F99" s="97"/>
      <c r="G99" s="97"/>
      <c r="H99" s="97"/>
      <c r="I99" s="97"/>
      <c r="J99" s="97"/>
      <c r="K99" s="97"/>
      <c r="L99" s="97"/>
      <c r="M99" s="97"/>
      <c r="N99" s="97"/>
      <c r="O99" s="97"/>
      <c r="P99" s="97"/>
      <c r="Q99" s="97"/>
      <c r="R99" s="97"/>
      <c r="S99" s="98"/>
    </row>
    <row r="100" spans="1:19" ht="6" customHeight="1" x14ac:dyDescent="0.15"/>
    <row r="101" spans="1:19" ht="18.75" customHeight="1" x14ac:dyDescent="0.15">
      <c r="A101" s="1" t="s">
        <v>120</v>
      </c>
    </row>
    <row r="102" spans="1:19" ht="81.75" customHeight="1" x14ac:dyDescent="0.15">
      <c r="B102" s="99" t="s">
        <v>145</v>
      </c>
      <c r="C102" s="100"/>
      <c r="D102" s="100"/>
      <c r="E102" s="100"/>
      <c r="F102" s="100"/>
      <c r="G102" s="100"/>
      <c r="H102" s="100"/>
      <c r="I102" s="100"/>
      <c r="J102" s="100"/>
      <c r="K102" s="100"/>
      <c r="L102" s="100"/>
      <c r="M102" s="100"/>
      <c r="N102" s="100"/>
      <c r="O102" s="100"/>
      <c r="P102" s="100"/>
      <c r="Q102" s="100"/>
      <c r="R102" s="100"/>
      <c r="S102" s="101"/>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6" priority="1">
      <formula>$K$7="学部・学科によって、修了要件は相違しない"</formula>
    </cfRule>
  </conditionalFormatting>
  <dataValidations count="5">
    <dataValidation type="list" allowBlank="1" showInputMessage="1" showErrorMessage="1" sqref="K20:S20" xr:uid="{B2B924DA-D95E-4104-9E77-805C6E00F7D2}">
      <formula1>$V$14:$V$16</formula1>
    </dataValidation>
    <dataValidation type="list" allowBlank="1" showInputMessage="1" showErrorMessage="1" sqref="F79:F86 P79:P86 G79:I80 G83:I86 Q83:S86 Q79:S80" xr:uid="{22BE8741-B038-464A-B066-1895E1C2C604}">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7D9DE57E-A86D-4491-8F1E-B895235FBBD0}">
      <formula1>"学部・学科によって、修了要件は相違する,学部・学科によって、修了要件は相違しない"</formula1>
    </dataValidation>
    <dataValidation type="list" allowBlank="1" showInputMessage="1" showErrorMessage="1" sqref="S32 S43 D32:G32 D43:G43" xr:uid="{92996A63-85B6-423F-AA54-BAA94D952AB6}">
      <formula1>"全学開講,一部開講"</formula1>
    </dataValidation>
    <dataValidation type="list" allowBlank="1" showInputMessage="1" showErrorMessage="1" sqref="G25:I31 Q25:S31 G36:I42 Q36:S42 G47:I53 Q47:S53 G58:I64 Q58:S64 F69:I75 P69:S75" xr:uid="{79388D97-52F2-4353-AAD9-CDBCC8C9F710}">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horizontalDpi="1200" verticalDpi="1200"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BFB79-B6EC-4963-B82E-B31D1BD38646}">
  <sheetPr>
    <pageSetUpPr fitToPage="1"/>
  </sheetPr>
  <dimension ref="A1:V110"/>
  <sheetViews>
    <sheetView showZeros="0" view="pageBreakPreview" zoomScaleNormal="100" zoomScaleSheetLayoutView="100" workbookViewId="0">
      <selection activeCell="S2" sqref="S2"/>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57" t="s">
        <v>149</v>
      </c>
      <c r="S1" s="157"/>
      <c r="T1" s="2" t="s">
        <v>109</v>
      </c>
    </row>
    <row r="2" spans="1:22" ht="18.75" customHeight="1" x14ac:dyDescent="0.15">
      <c r="B2" s="32" t="s">
        <v>108</v>
      </c>
      <c r="C2" s="136" t="str">
        <f>'様式１ー１　プログラムを構成する授業科目'!C2</f>
        <v>順天堂大学</v>
      </c>
      <c r="D2" s="116"/>
      <c r="E2" s="116"/>
      <c r="F2" s="116"/>
      <c r="G2" s="116"/>
      <c r="H2" s="116"/>
      <c r="I2" s="117"/>
      <c r="J2" s="33"/>
      <c r="K2" s="6"/>
      <c r="L2" s="6"/>
      <c r="M2" s="6"/>
      <c r="N2" s="6"/>
      <c r="O2" s="6"/>
      <c r="P2" s="6"/>
      <c r="Q2" s="6"/>
      <c r="R2" s="6"/>
      <c r="S2" s="6"/>
    </row>
    <row r="3" spans="1:22" ht="18.75" customHeight="1" x14ac:dyDescent="0.15">
      <c r="B3" s="32" t="s">
        <v>102</v>
      </c>
      <c r="C3" s="136" t="str">
        <f>'様式１ー１　プログラムを構成する授業科目'!C3</f>
        <v>数理・データサイエンス・AI教育プログラム</v>
      </c>
      <c r="D3" s="116"/>
      <c r="E3" s="116"/>
      <c r="F3" s="116"/>
      <c r="G3" s="116"/>
      <c r="H3" s="116"/>
      <c r="I3" s="117"/>
      <c r="J3" s="33"/>
      <c r="K3" s="6"/>
      <c r="L3" s="6"/>
      <c r="M3" s="6"/>
      <c r="N3" s="6"/>
      <c r="O3" s="6"/>
      <c r="P3" s="6"/>
      <c r="Q3" s="6"/>
      <c r="R3" s="6"/>
      <c r="S3" s="6"/>
    </row>
    <row r="4" spans="1:22" ht="15" customHeight="1" x14ac:dyDescent="0.15">
      <c r="K4" s="33"/>
      <c r="L4" s="35"/>
      <c r="M4" s="35"/>
      <c r="N4" s="35"/>
      <c r="O4" s="35"/>
      <c r="P4" s="35"/>
      <c r="Q4" s="35"/>
      <c r="R4" s="35"/>
      <c r="S4" s="35"/>
    </row>
    <row r="5" spans="1:22" ht="18" customHeight="1" x14ac:dyDescent="0.15">
      <c r="A5" s="158" t="s">
        <v>38</v>
      </c>
      <c r="B5" s="158"/>
      <c r="C5" s="158"/>
      <c r="D5" s="158"/>
      <c r="E5" s="158"/>
      <c r="F5" s="158"/>
      <c r="G5" s="158"/>
      <c r="H5" s="158"/>
      <c r="I5" s="158"/>
      <c r="J5" s="158"/>
      <c r="K5" s="158"/>
      <c r="L5" s="158"/>
      <c r="M5" s="158"/>
      <c r="N5" s="158"/>
      <c r="O5" s="158"/>
      <c r="P5" s="158"/>
      <c r="Q5" s="158"/>
      <c r="R5" s="158"/>
      <c r="S5" s="158"/>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6" t="s">
        <v>107</v>
      </c>
      <c r="K7" s="159" t="s">
        <v>128</v>
      </c>
      <c r="L7" s="160"/>
      <c r="M7" s="160"/>
      <c r="N7" s="160"/>
      <c r="O7" s="160"/>
      <c r="P7" s="160"/>
      <c r="Q7" s="160"/>
      <c r="R7" s="160"/>
      <c r="S7" s="161"/>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62" t="s">
        <v>147</v>
      </c>
      <c r="C9" s="118"/>
      <c r="D9" s="118"/>
      <c r="E9" s="118"/>
      <c r="F9" s="118"/>
      <c r="G9" s="118"/>
      <c r="H9" s="118"/>
      <c r="I9" s="118"/>
      <c r="J9" s="118"/>
      <c r="K9" s="118"/>
      <c r="L9" s="118"/>
      <c r="M9" s="118"/>
      <c r="N9" s="118"/>
      <c r="O9" s="118"/>
      <c r="P9" s="118"/>
      <c r="Q9" s="118"/>
      <c r="R9" s="118"/>
      <c r="S9" s="119"/>
    </row>
    <row r="10" spans="1:22" ht="18" customHeight="1" x14ac:dyDescent="0.15">
      <c r="B10" s="163"/>
      <c r="C10" s="164"/>
      <c r="D10" s="164"/>
      <c r="E10" s="164"/>
      <c r="F10" s="164"/>
      <c r="G10" s="164"/>
      <c r="H10" s="164"/>
      <c r="I10" s="164"/>
      <c r="J10" s="164"/>
      <c r="K10" s="164"/>
      <c r="L10" s="164"/>
      <c r="M10" s="164"/>
      <c r="N10" s="164"/>
      <c r="O10" s="164"/>
      <c r="P10" s="164"/>
      <c r="Q10" s="164"/>
      <c r="R10" s="164"/>
      <c r="S10" s="165"/>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111</v>
      </c>
      <c r="B12" s="3"/>
      <c r="C12" s="3"/>
      <c r="D12" s="33"/>
      <c r="E12" s="33"/>
      <c r="F12" s="33"/>
      <c r="G12" s="33"/>
      <c r="H12" s="33"/>
      <c r="I12" s="33"/>
      <c r="J12" s="33"/>
      <c r="K12" s="37"/>
      <c r="L12" s="37"/>
      <c r="M12" s="37"/>
      <c r="N12" s="37"/>
      <c r="O12" s="37"/>
      <c r="P12" s="37"/>
      <c r="Q12" s="37"/>
      <c r="R12" s="37"/>
      <c r="S12" s="37"/>
    </row>
    <row r="13" spans="1:22" ht="18" customHeight="1" x14ac:dyDescent="0.15">
      <c r="B13" s="145" t="s">
        <v>304</v>
      </c>
      <c r="C13" s="146"/>
      <c r="D13" s="146"/>
      <c r="E13" s="146"/>
      <c r="F13" s="146"/>
      <c r="G13" s="146"/>
      <c r="H13" s="146"/>
      <c r="I13" s="146"/>
      <c r="J13" s="146"/>
      <c r="K13" s="146"/>
      <c r="L13" s="146"/>
      <c r="M13" s="146"/>
      <c r="N13" s="146"/>
      <c r="O13" s="146"/>
      <c r="P13" s="146"/>
      <c r="Q13" s="146"/>
      <c r="R13" s="146"/>
      <c r="S13" s="147"/>
      <c r="V13" s="1" t="s">
        <v>103</v>
      </c>
    </row>
    <row r="14" spans="1:22" ht="18" customHeight="1" x14ac:dyDescent="0.15">
      <c r="B14" s="148"/>
      <c r="C14" s="149"/>
      <c r="D14" s="149"/>
      <c r="E14" s="149"/>
      <c r="F14" s="149"/>
      <c r="G14" s="149"/>
      <c r="H14" s="149"/>
      <c r="I14" s="149"/>
      <c r="J14" s="149"/>
      <c r="K14" s="149"/>
      <c r="L14" s="149"/>
      <c r="M14" s="149"/>
      <c r="N14" s="149"/>
      <c r="O14" s="149"/>
      <c r="P14" s="149"/>
      <c r="Q14" s="149"/>
      <c r="R14" s="149"/>
      <c r="S14" s="150"/>
      <c r="V14" s="1" t="s">
        <v>110</v>
      </c>
    </row>
    <row r="15" spans="1:22" ht="18" customHeight="1" x14ac:dyDescent="0.15">
      <c r="B15" s="148"/>
      <c r="C15" s="149"/>
      <c r="D15" s="149"/>
      <c r="E15" s="149"/>
      <c r="F15" s="149"/>
      <c r="G15" s="149"/>
      <c r="H15" s="149"/>
      <c r="I15" s="149"/>
      <c r="J15" s="149"/>
      <c r="K15" s="149"/>
      <c r="L15" s="149"/>
      <c r="M15" s="149"/>
      <c r="N15" s="149"/>
      <c r="O15" s="149"/>
      <c r="P15" s="149"/>
      <c r="Q15" s="149"/>
      <c r="R15" s="149"/>
      <c r="S15" s="150"/>
      <c r="V15" s="1" t="s">
        <v>123</v>
      </c>
    </row>
    <row r="16" spans="1:22" ht="18" customHeight="1" x14ac:dyDescent="0.15">
      <c r="B16" s="148"/>
      <c r="C16" s="149"/>
      <c r="D16" s="149"/>
      <c r="E16" s="149"/>
      <c r="F16" s="149"/>
      <c r="G16" s="149"/>
      <c r="H16" s="149"/>
      <c r="I16" s="149"/>
      <c r="J16" s="149"/>
      <c r="K16" s="149"/>
      <c r="L16" s="149"/>
      <c r="M16" s="149"/>
      <c r="N16" s="149"/>
      <c r="O16" s="149"/>
      <c r="P16" s="149"/>
      <c r="Q16" s="149"/>
      <c r="R16" s="149"/>
      <c r="S16" s="150"/>
      <c r="V16" s="1" t="s">
        <v>125</v>
      </c>
    </row>
    <row r="17" spans="1:19" ht="18" customHeight="1" x14ac:dyDescent="0.15">
      <c r="B17" s="148"/>
      <c r="C17" s="149"/>
      <c r="D17" s="149"/>
      <c r="E17" s="149"/>
      <c r="F17" s="149"/>
      <c r="G17" s="149"/>
      <c r="H17" s="149"/>
      <c r="I17" s="149"/>
      <c r="J17" s="149"/>
      <c r="K17" s="149"/>
      <c r="L17" s="149"/>
      <c r="M17" s="149"/>
      <c r="N17" s="149"/>
      <c r="O17" s="149"/>
      <c r="P17" s="149"/>
      <c r="Q17" s="149"/>
      <c r="R17" s="149"/>
      <c r="S17" s="150"/>
    </row>
    <row r="18" spans="1:19" ht="18" customHeight="1" x14ac:dyDescent="0.15">
      <c r="B18" s="151"/>
      <c r="C18" s="152"/>
      <c r="D18" s="152"/>
      <c r="E18" s="152"/>
      <c r="F18" s="152"/>
      <c r="G18" s="152"/>
      <c r="H18" s="152"/>
      <c r="I18" s="152"/>
      <c r="J18" s="152"/>
      <c r="K18" s="152"/>
      <c r="L18" s="152"/>
      <c r="M18" s="152"/>
      <c r="N18" s="152"/>
      <c r="O18" s="152"/>
      <c r="P18" s="152"/>
      <c r="Q18" s="152"/>
      <c r="R18" s="152"/>
      <c r="S18" s="153"/>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136">
        <v>4</v>
      </c>
      <c r="D20" s="117"/>
      <c r="E20" s="38" t="s">
        <v>95</v>
      </c>
      <c r="G20" s="10"/>
      <c r="H20" s="3"/>
      <c r="I20" s="3"/>
      <c r="J20" s="33" t="s">
        <v>121</v>
      </c>
      <c r="K20" s="154" t="s">
        <v>125</v>
      </c>
      <c r="L20" s="155"/>
      <c r="M20" s="155"/>
      <c r="N20" s="155"/>
      <c r="O20" s="155"/>
      <c r="P20" s="155"/>
      <c r="Q20" s="155"/>
      <c r="R20" s="155"/>
      <c r="S20" s="156"/>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44" t="s">
        <v>113</v>
      </c>
      <c r="B22" s="144"/>
      <c r="C22" s="144"/>
      <c r="D22" s="144"/>
      <c r="E22" s="144"/>
      <c r="F22" s="144"/>
      <c r="G22" s="144"/>
      <c r="H22" s="144"/>
      <c r="I22" s="144"/>
      <c r="J22" s="144"/>
      <c r="K22" s="144"/>
      <c r="L22" s="144"/>
      <c r="M22" s="144"/>
      <c r="N22" s="144"/>
      <c r="O22" s="144"/>
      <c r="P22" s="144"/>
      <c r="Q22" s="144"/>
      <c r="R22" s="144"/>
      <c r="S22" s="144"/>
    </row>
    <row r="23" spans="1:19" ht="18" customHeight="1" x14ac:dyDescent="0.15">
      <c r="A23" s="144"/>
      <c r="B23" s="144"/>
      <c r="C23" s="144"/>
      <c r="D23" s="144"/>
      <c r="E23" s="144"/>
      <c r="F23" s="144"/>
      <c r="G23" s="144"/>
      <c r="H23" s="144"/>
      <c r="I23" s="144"/>
      <c r="J23" s="144"/>
      <c r="K23" s="144"/>
      <c r="L23" s="144"/>
      <c r="M23" s="144"/>
      <c r="N23" s="144"/>
      <c r="O23" s="144"/>
      <c r="P23" s="144"/>
      <c r="Q23" s="144"/>
      <c r="R23" s="144"/>
      <c r="S23" s="144"/>
    </row>
    <row r="24" spans="1:19" ht="18" customHeight="1" x14ac:dyDescent="0.15">
      <c r="B24" s="136" t="s">
        <v>53</v>
      </c>
      <c r="C24" s="116"/>
      <c r="D24" s="116"/>
      <c r="E24" s="117"/>
      <c r="F24" s="59" t="s">
        <v>80</v>
      </c>
      <c r="G24" s="58" t="s">
        <v>84</v>
      </c>
      <c r="H24" s="20" t="s">
        <v>56</v>
      </c>
      <c r="I24" s="20" t="s">
        <v>59</v>
      </c>
      <c r="J24" s="136" t="s">
        <v>53</v>
      </c>
      <c r="K24" s="116"/>
      <c r="L24" s="116"/>
      <c r="M24" s="116"/>
      <c r="N24" s="116"/>
      <c r="O24" s="117"/>
      <c r="P24" s="59" t="s">
        <v>80</v>
      </c>
      <c r="Q24" s="58" t="s">
        <v>84</v>
      </c>
      <c r="R24" s="20" t="s">
        <v>56</v>
      </c>
      <c r="S24" s="20" t="s">
        <v>59</v>
      </c>
    </row>
    <row r="25" spans="1:19" ht="18" customHeight="1" x14ac:dyDescent="0.15">
      <c r="B25" s="140" t="s">
        <v>148</v>
      </c>
      <c r="C25" s="91"/>
      <c r="D25" s="91"/>
      <c r="E25" s="92"/>
      <c r="F25" s="21">
        <v>2</v>
      </c>
      <c r="G25" s="21" t="s">
        <v>131</v>
      </c>
      <c r="H25" s="21" t="s">
        <v>131</v>
      </c>
      <c r="I25" s="21" t="s">
        <v>131</v>
      </c>
      <c r="J25" s="140"/>
      <c r="K25" s="91"/>
      <c r="L25" s="91"/>
      <c r="M25" s="91"/>
      <c r="N25" s="91"/>
      <c r="O25" s="92"/>
      <c r="P25" s="21"/>
      <c r="Q25" s="21"/>
      <c r="R25" s="21"/>
      <c r="S25" s="21"/>
    </row>
    <row r="26" spans="1:19" ht="18" customHeight="1" x14ac:dyDescent="0.15">
      <c r="B26" s="126"/>
      <c r="C26" s="94"/>
      <c r="D26" s="94"/>
      <c r="E26" s="95"/>
      <c r="F26" s="22"/>
      <c r="G26" s="22"/>
      <c r="H26" s="22"/>
      <c r="I26" s="22"/>
      <c r="J26" s="126"/>
      <c r="K26" s="94"/>
      <c r="L26" s="94"/>
      <c r="M26" s="94"/>
      <c r="N26" s="94"/>
      <c r="O26" s="95"/>
      <c r="P26" s="22"/>
      <c r="Q26" s="22"/>
      <c r="R26" s="22"/>
      <c r="S26" s="22"/>
    </row>
    <row r="27" spans="1:19" ht="18" customHeight="1" x14ac:dyDescent="0.15">
      <c r="B27" s="126"/>
      <c r="C27" s="94"/>
      <c r="D27" s="94"/>
      <c r="E27" s="95"/>
      <c r="F27" s="22"/>
      <c r="G27" s="22"/>
      <c r="H27" s="22"/>
      <c r="I27" s="22"/>
      <c r="J27" s="126"/>
      <c r="K27" s="94"/>
      <c r="L27" s="94"/>
      <c r="M27" s="94"/>
      <c r="N27" s="94"/>
      <c r="O27" s="95"/>
      <c r="P27" s="22"/>
      <c r="Q27" s="22"/>
      <c r="R27" s="22"/>
      <c r="S27" s="22"/>
    </row>
    <row r="28" spans="1:19" ht="18" customHeight="1" x14ac:dyDescent="0.15">
      <c r="B28" s="126"/>
      <c r="C28" s="94"/>
      <c r="D28" s="94"/>
      <c r="E28" s="95"/>
      <c r="F28" s="22"/>
      <c r="G28" s="22"/>
      <c r="H28" s="22"/>
      <c r="I28" s="22"/>
      <c r="J28" s="126"/>
      <c r="K28" s="94"/>
      <c r="L28" s="94"/>
      <c r="M28" s="94"/>
      <c r="N28" s="94"/>
      <c r="O28" s="95"/>
      <c r="P28" s="22"/>
      <c r="Q28" s="22"/>
      <c r="R28" s="22"/>
      <c r="S28" s="22"/>
    </row>
    <row r="29" spans="1:19" ht="18" customHeight="1" x14ac:dyDescent="0.15">
      <c r="B29" s="126"/>
      <c r="C29" s="94"/>
      <c r="D29" s="94"/>
      <c r="E29" s="95"/>
      <c r="F29" s="22"/>
      <c r="G29" s="22"/>
      <c r="H29" s="22"/>
      <c r="I29" s="22"/>
      <c r="J29" s="126"/>
      <c r="K29" s="94"/>
      <c r="L29" s="94"/>
      <c r="M29" s="94"/>
      <c r="N29" s="94"/>
      <c r="O29" s="95"/>
      <c r="P29" s="22"/>
      <c r="Q29" s="22"/>
      <c r="R29" s="22"/>
      <c r="S29" s="22"/>
    </row>
    <row r="30" spans="1:19" ht="18" customHeight="1" x14ac:dyDescent="0.15">
      <c r="A30" s="3"/>
      <c r="B30" s="126"/>
      <c r="C30" s="94"/>
      <c r="D30" s="94"/>
      <c r="E30" s="95"/>
      <c r="F30" s="22"/>
      <c r="G30" s="22"/>
      <c r="H30" s="22"/>
      <c r="I30" s="22"/>
      <c r="J30" s="126"/>
      <c r="K30" s="94"/>
      <c r="L30" s="94"/>
      <c r="M30" s="94"/>
      <c r="N30" s="94"/>
      <c r="O30" s="95"/>
      <c r="P30" s="22"/>
      <c r="Q30" s="22"/>
      <c r="R30" s="22"/>
      <c r="S30" s="22"/>
    </row>
    <row r="31" spans="1:19" ht="18" customHeight="1" x14ac:dyDescent="0.15">
      <c r="A31" s="3"/>
      <c r="B31" s="130"/>
      <c r="C31" s="131"/>
      <c r="D31" s="131"/>
      <c r="E31" s="132"/>
      <c r="F31" s="23"/>
      <c r="G31" s="23"/>
      <c r="H31" s="24"/>
      <c r="I31" s="24"/>
      <c r="J31" s="130"/>
      <c r="K31" s="131"/>
      <c r="L31" s="131"/>
      <c r="M31" s="131"/>
      <c r="N31" s="131"/>
      <c r="O31" s="132"/>
      <c r="P31" s="23"/>
      <c r="Q31" s="23"/>
      <c r="R31" s="24"/>
      <c r="S31" s="24"/>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44" t="s">
        <v>114</v>
      </c>
      <c r="B33" s="144"/>
      <c r="C33" s="144"/>
      <c r="D33" s="144"/>
      <c r="E33" s="144"/>
      <c r="F33" s="144"/>
      <c r="G33" s="144"/>
      <c r="H33" s="144"/>
      <c r="I33" s="144"/>
      <c r="J33" s="144"/>
      <c r="K33" s="144"/>
      <c r="L33" s="144"/>
      <c r="M33" s="144"/>
      <c r="N33" s="144"/>
      <c r="O33" s="144"/>
      <c r="P33" s="144"/>
      <c r="Q33" s="144"/>
      <c r="R33" s="144"/>
      <c r="S33" s="144"/>
    </row>
    <row r="34" spans="1:19" ht="18" customHeight="1" x14ac:dyDescent="0.15">
      <c r="A34" s="144"/>
      <c r="B34" s="144"/>
      <c r="C34" s="144"/>
      <c r="D34" s="144"/>
      <c r="E34" s="144"/>
      <c r="F34" s="144"/>
      <c r="G34" s="144"/>
      <c r="H34" s="144"/>
      <c r="I34" s="144"/>
      <c r="J34" s="144"/>
      <c r="K34" s="144"/>
      <c r="L34" s="144"/>
      <c r="M34" s="144"/>
      <c r="N34" s="144"/>
      <c r="O34" s="144"/>
      <c r="P34" s="144"/>
      <c r="Q34" s="144"/>
      <c r="R34" s="144"/>
      <c r="S34" s="144"/>
    </row>
    <row r="35" spans="1:19" ht="18" customHeight="1" x14ac:dyDescent="0.15">
      <c r="B35" s="136" t="s">
        <v>53</v>
      </c>
      <c r="C35" s="116"/>
      <c r="D35" s="116"/>
      <c r="E35" s="117"/>
      <c r="F35" s="59" t="s">
        <v>80</v>
      </c>
      <c r="G35" s="58" t="s">
        <v>84</v>
      </c>
      <c r="H35" s="20" t="s">
        <v>71</v>
      </c>
      <c r="I35" s="20" t="s">
        <v>72</v>
      </c>
      <c r="J35" s="136" t="s">
        <v>53</v>
      </c>
      <c r="K35" s="116"/>
      <c r="L35" s="116"/>
      <c r="M35" s="116"/>
      <c r="N35" s="116"/>
      <c r="O35" s="117"/>
      <c r="P35" s="59" t="s">
        <v>80</v>
      </c>
      <c r="Q35" s="58" t="s">
        <v>84</v>
      </c>
      <c r="R35" s="20" t="s">
        <v>71</v>
      </c>
      <c r="S35" s="20" t="s">
        <v>72</v>
      </c>
    </row>
    <row r="36" spans="1:19" ht="18" customHeight="1" x14ac:dyDescent="0.15">
      <c r="B36" s="140" t="s">
        <v>148</v>
      </c>
      <c r="C36" s="91"/>
      <c r="D36" s="91"/>
      <c r="E36" s="92"/>
      <c r="F36" s="21">
        <v>2</v>
      </c>
      <c r="G36" s="21" t="s">
        <v>131</v>
      </c>
      <c r="H36" s="21" t="s">
        <v>131</v>
      </c>
      <c r="I36" s="21"/>
      <c r="J36" s="140"/>
      <c r="K36" s="91"/>
      <c r="L36" s="91"/>
      <c r="M36" s="91"/>
      <c r="N36" s="91"/>
      <c r="O36" s="92"/>
      <c r="P36" s="21"/>
      <c r="Q36" s="21"/>
      <c r="R36" s="21"/>
      <c r="S36" s="21"/>
    </row>
    <row r="37" spans="1:19" ht="18" customHeight="1" x14ac:dyDescent="0.15">
      <c r="B37" s="126" t="s">
        <v>150</v>
      </c>
      <c r="C37" s="94"/>
      <c r="D37" s="94"/>
      <c r="E37" s="95"/>
      <c r="F37" s="22">
        <v>2</v>
      </c>
      <c r="G37" s="22" t="s">
        <v>131</v>
      </c>
      <c r="H37" s="22"/>
      <c r="I37" s="22" t="s">
        <v>131</v>
      </c>
      <c r="J37" s="126"/>
      <c r="K37" s="94"/>
      <c r="L37" s="94"/>
      <c r="M37" s="94"/>
      <c r="N37" s="94"/>
      <c r="O37" s="95"/>
      <c r="P37" s="22"/>
      <c r="Q37" s="22"/>
      <c r="R37" s="22"/>
      <c r="S37" s="22"/>
    </row>
    <row r="38" spans="1:19" ht="18" customHeight="1" x14ac:dyDescent="0.15">
      <c r="B38" s="126"/>
      <c r="C38" s="94"/>
      <c r="D38" s="94"/>
      <c r="E38" s="95"/>
      <c r="F38" s="22"/>
      <c r="G38" s="22"/>
      <c r="H38" s="22"/>
      <c r="I38" s="22"/>
      <c r="J38" s="126"/>
      <c r="K38" s="94"/>
      <c r="L38" s="94"/>
      <c r="M38" s="94"/>
      <c r="N38" s="94"/>
      <c r="O38" s="95"/>
      <c r="P38" s="22"/>
      <c r="Q38" s="22"/>
      <c r="R38" s="22"/>
      <c r="S38" s="22"/>
    </row>
    <row r="39" spans="1:19" ht="18" customHeight="1" x14ac:dyDescent="0.15">
      <c r="B39" s="126"/>
      <c r="C39" s="94"/>
      <c r="D39" s="94"/>
      <c r="E39" s="95"/>
      <c r="F39" s="22"/>
      <c r="G39" s="22"/>
      <c r="H39" s="22"/>
      <c r="I39" s="22"/>
      <c r="J39" s="126"/>
      <c r="K39" s="94"/>
      <c r="L39" s="94"/>
      <c r="M39" s="94"/>
      <c r="N39" s="94"/>
      <c r="O39" s="95"/>
      <c r="P39" s="22"/>
      <c r="Q39" s="22"/>
      <c r="R39" s="22"/>
      <c r="S39" s="22"/>
    </row>
    <row r="40" spans="1:19" ht="18" customHeight="1" x14ac:dyDescent="0.15">
      <c r="B40" s="126"/>
      <c r="C40" s="94"/>
      <c r="D40" s="94"/>
      <c r="E40" s="95"/>
      <c r="F40" s="22"/>
      <c r="G40" s="22"/>
      <c r="H40" s="22"/>
      <c r="I40" s="22"/>
      <c r="J40" s="126"/>
      <c r="K40" s="94"/>
      <c r="L40" s="94"/>
      <c r="M40" s="94"/>
      <c r="N40" s="94"/>
      <c r="O40" s="95"/>
      <c r="P40" s="22"/>
      <c r="Q40" s="22"/>
      <c r="R40" s="22"/>
      <c r="S40" s="22"/>
    </row>
    <row r="41" spans="1:19" ht="18" customHeight="1" x14ac:dyDescent="0.15">
      <c r="B41" s="126"/>
      <c r="C41" s="94"/>
      <c r="D41" s="94"/>
      <c r="E41" s="95"/>
      <c r="F41" s="22"/>
      <c r="G41" s="22"/>
      <c r="H41" s="22"/>
      <c r="I41" s="22"/>
      <c r="J41" s="126"/>
      <c r="K41" s="94"/>
      <c r="L41" s="94"/>
      <c r="M41" s="94"/>
      <c r="N41" s="94"/>
      <c r="O41" s="95"/>
      <c r="P41" s="22"/>
      <c r="Q41" s="22"/>
      <c r="R41" s="22"/>
      <c r="S41" s="22"/>
    </row>
    <row r="42" spans="1:19" ht="18" customHeight="1" x14ac:dyDescent="0.15">
      <c r="B42" s="130"/>
      <c r="C42" s="131"/>
      <c r="D42" s="131"/>
      <c r="E42" s="132"/>
      <c r="F42" s="23"/>
      <c r="G42" s="23"/>
      <c r="H42" s="24"/>
      <c r="I42" s="24"/>
      <c r="J42" s="130"/>
      <c r="K42" s="131"/>
      <c r="L42" s="131"/>
      <c r="M42" s="131"/>
      <c r="N42" s="131"/>
      <c r="O42" s="132"/>
      <c r="P42" s="23"/>
      <c r="Q42" s="23"/>
      <c r="R42" s="24"/>
      <c r="S42" s="24"/>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44" t="s">
        <v>115</v>
      </c>
      <c r="B44" s="144"/>
      <c r="C44" s="144"/>
      <c r="D44" s="144"/>
      <c r="E44" s="144"/>
      <c r="F44" s="144"/>
      <c r="G44" s="144"/>
      <c r="H44" s="144"/>
      <c r="I44" s="144"/>
      <c r="J44" s="144"/>
      <c r="K44" s="144"/>
      <c r="L44" s="144"/>
      <c r="M44" s="144"/>
      <c r="N44" s="144"/>
      <c r="O44" s="144"/>
      <c r="P44" s="144"/>
      <c r="Q44" s="144"/>
      <c r="R44" s="144"/>
      <c r="S44" s="144"/>
    </row>
    <row r="45" spans="1:19" ht="18" customHeight="1" x14ac:dyDescent="0.15">
      <c r="A45" s="144"/>
      <c r="B45" s="144"/>
      <c r="C45" s="144"/>
      <c r="D45" s="144"/>
      <c r="E45" s="144"/>
      <c r="F45" s="144"/>
      <c r="G45" s="144"/>
      <c r="H45" s="144"/>
      <c r="I45" s="144"/>
      <c r="J45" s="144"/>
      <c r="K45" s="144"/>
      <c r="L45" s="144"/>
      <c r="M45" s="144"/>
      <c r="N45" s="144"/>
      <c r="O45" s="144"/>
      <c r="P45" s="144"/>
      <c r="Q45" s="144"/>
      <c r="R45" s="144"/>
      <c r="S45" s="144"/>
    </row>
    <row r="46" spans="1:19" ht="18" customHeight="1" x14ac:dyDescent="0.15">
      <c r="B46" s="136" t="s">
        <v>53</v>
      </c>
      <c r="C46" s="116"/>
      <c r="D46" s="116"/>
      <c r="E46" s="117"/>
      <c r="F46" s="59" t="s">
        <v>80</v>
      </c>
      <c r="G46" s="58" t="s">
        <v>84</v>
      </c>
      <c r="H46" s="20" t="s">
        <v>73</v>
      </c>
      <c r="I46" s="20" t="s">
        <v>74</v>
      </c>
      <c r="J46" s="136" t="s">
        <v>53</v>
      </c>
      <c r="K46" s="116"/>
      <c r="L46" s="116"/>
      <c r="M46" s="116"/>
      <c r="N46" s="116"/>
      <c r="O46" s="117"/>
      <c r="P46" s="59" t="s">
        <v>80</v>
      </c>
      <c r="Q46" s="58" t="s">
        <v>84</v>
      </c>
      <c r="R46" s="20" t="s">
        <v>73</v>
      </c>
      <c r="S46" s="20" t="s">
        <v>74</v>
      </c>
    </row>
    <row r="47" spans="1:19" ht="18" customHeight="1" x14ac:dyDescent="0.15">
      <c r="A47" s="3"/>
      <c r="B47" s="140" t="s">
        <v>148</v>
      </c>
      <c r="C47" s="91"/>
      <c r="D47" s="91"/>
      <c r="E47" s="92"/>
      <c r="F47" s="21">
        <v>2</v>
      </c>
      <c r="G47" s="21" t="s">
        <v>131</v>
      </c>
      <c r="H47" s="21"/>
      <c r="I47" s="21" t="s">
        <v>131</v>
      </c>
      <c r="J47" s="140"/>
      <c r="K47" s="91"/>
      <c r="L47" s="91"/>
      <c r="M47" s="91"/>
      <c r="N47" s="91"/>
      <c r="O47" s="92"/>
      <c r="P47" s="21"/>
      <c r="Q47" s="21"/>
      <c r="R47" s="21"/>
      <c r="S47" s="21"/>
    </row>
    <row r="48" spans="1:19" ht="18" customHeight="1" x14ac:dyDescent="0.15">
      <c r="A48" s="3"/>
      <c r="B48" s="126" t="s">
        <v>150</v>
      </c>
      <c r="C48" s="94"/>
      <c r="D48" s="94"/>
      <c r="E48" s="95"/>
      <c r="F48" s="22">
        <v>2</v>
      </c>
      <c r="G48" s="22" t="s">
        <v>131</v>
      </c>
      <c r="H48" s="22" t="s">
        <v>131</v>
      </c>
      <c r="I48" s="22"/>
      <c r="J48" s="126"/>
      <c r="K48" s="94"/>
      <c r="L48" s="94"/>
      <c r="M48" s="94"/>
      <c r="N48" s="94"/>
      <c r="O48" s="95"/>
      <c r="P48" s="22"/>
      <c r="Q48" s="22"/>
      <c r="R48" s="22"/>
      <c r="S48" s="22"/>
    </row>
    <row r="49" spans="1:19" ht="18" customHeight="1" x14ac:dyDescent="0.15">
      <c r="A49" s="3"/>
      <c r="B49" s="126"/>
      <c r="C49" s="94"/>
      <c r="D49" s="94"/>
      <c r="E49" s="95"/>
      <c r="F49" s="22"/>
      <c r="G49" s="22"/>
      <c r="H49" s="22"/>
      <c r="I49" s="22"/>
      <c r="J49" s="126"/>
      <c r="K49" s="94"/>
      <c r="L49" s="94"/>
      <c r="M49" s="94"/>
      <c r="N49" s="94"/>
      <c r="O49" s="95"/>
      <c r="P49" s="22"/>
      <c r="Q49" s="22"/>
      <c r="R49" s="22"/>
      <c r="S49" s="22"/>
    </row>
    <row r="50" spans="1:19" ht="18" customHeight="1" x14ac:dyDescent="0.15">
      <c r="A50" s="3"/>
      <c r="B50" s="126"/>
      <c r="C50" s="94"/>
      <c r="D50" s="94"/>
      <c r="E50" s="95"/>
      <c r="F50" s="22"/>
      <c r="G50" s="22"/>
      <c r="H50" s="22"/>
      <c r="I50" s="22"/>
      <c r="J50" s="126"/>
      <c r="K50" s="94"/>
      <c r="L50" s="94"/>
      <c r="M50" s="94"/>
      <c r="N50" s="94"/>
      <c r="O50" s="95"/>
      <c r="P50" s="22"/>
      <c r="Q50" s="22"/>
      <c r="R50" s="22"/>
      <c r="S50" s="22"/>
    </row>
    <row r="51" spans="1:19" ht="18" customHeight="1" x14ac:dyDescent="0.15">
      <c r="A51" s="3"/>
      <c r="B51" s="126"/>
      <c r="C51" s="94"/>
      <c r="D51" s="94"/>
      <c r="E51" s="95"/>
      <c r="F51" s="22"/>
      <c r="G51" s="22"/>
      <c r="H51" s="22"/>
      <c r="I51" s="22"/>
      <c r="J51" s="126"/>
      <c r="K51" s="94"/>
      <c r="L51" s="94"/>
      <c r="M51" s="94"/>
      <c r="N51" s="94"/>
      <c r="O51" s="95"/>
      <c r="P51" s="22"/>
      <c r="Q51" s="22"/>
      <c r="R51" s="22"/>
      <c r="S51" s="22"/>
    </row>
    <row r="52" spans="1:19" ht="18" customHeight="1" x14ac:dyDescent="0.15">
      <c r="A52" s="3"/>
      <c r="B52" s="126"/>
      <c r="C52" s="94"/>
      <c r="D52" s="94"/>
      <c r="E52" s="95"/>
      <c r="F52" s="22"/>
      <c r="G52" s="22"/>
      <c r="H52" s="22"/>
      <c r="I52" s="22"/>
      <c r="J52" s="126"/>
      <c r="K52" s="94"/>
      <c r="L52" s="94"/>
      <c r="M52" s="94"/>
      <c r="N52" s="94"/>
      <c r="O52" s="95"/>
      <c r="P52" s="22"/>
      <c r="Q52" s="22"/>
      <c r="R52" s="22"/>
      <c r="S52" s="22"/>
    </row>
    <row r="53" spans="1:19" ht="18" customHeight="1" x14ac:dyDescent="0.15">
      <c r="A53" s="3"/>
      <c r="B53" s="130"/>
      <c r="C53" s="131"/>
      <c r="D53" s="131"/>
      <c r="E53" s="132"/>
      <c r="F53" s="23"/>
      <c r="G53" s="23"/>
      <c r="H53" s="24"/>
      <c r="I53" s="24"/>
      <c r="J53" s="130"/>
      <c r="K53" s="131"/>
      <c r="L53" s="131"/>
      <c r="M53" s="131"/>
      <c r="N53" s="131"/>
      <c r="O53" s="132"/>
      <c r="P53" s="23"/>
      <c r="Q53" s="23"/>
      <c r="R53" s="24"/>
      <c r="S53" s="24"/>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44" t="s">
        <v>116</v>
      </c>
      <c r="B55" s="144"/>
      <c r="C55" s="144"/>
      <c r="D55" s="144"/>
      <c r="E55" s="144"/>
      <c r="F55" s="144"/>
      <c r="G55" s="144"/>
      <c r="H55" s="144"/>
      <c r="I55" s="144"/>
      <c r="J55" s="144"/>
      <c r="K55" s="144"/>
      <c r="L55" s="144"/>
      <c r="M55" s="144"/>
      <c r="N55" s="144"/>
      <c r="O55" s="144"/>
      <c r="P55" s="144"/>
      <c r="Q55" s="144"/>
      <c r="R55" s="144"/>
      <c r="S55" s="144"/>
    </row>
    <row r="56" spans="1:19" ht="18" customHeight="1" x14ac:dyDescent="0.15">
      <c r="A56" s="144"/>
      <c r="B56" s="144"/>
      <c r="C56" s="144"/>
      <c r="D56" s="144"/>
      <c r="E56" s="144"/>
      <c r="F56" s="144"/>
      <c r="G56" s="144"/>
      <c r="H56" s="144"/>
      <c r="I56" s="144"/>
      <c r="J56" s="144"/>
      <c r="K56" s="144"/>
      <c r="L56" s="144"/>
      <c r="M56" s="144"/>
      <c r="N56" s="144"/>
      <c r="O56" s="144"/>
      <c r="P56" s="144"/>
      <c r="Q56" s="144"/>
      <c r="R56" s="144"/>
      <c r="S56" s="144"/>
    </row>
    <row r="57" spans="1:19" ht="18" customHeight="1" x14ac:dyDescent="0.15">
      <c r="B57" s="136" t="s">
        <v>53</v>
      </c>
      <c r="C57" s="116"/>
      <c r="D57" s="116"/>
      <c r="E57" s="117"/>
      <c r="F57" s="59" t="s">
        <v>80</v>
      </c>
      <c r="G57" s="58" t="s">
        <v>84</v>
      </c>
      <c r="H57" s="20" t="s">
        <v>58</v>
      </c>
      <c r="I57" s="20" t="s">
        <v>60</v>
      </c>
      <c r="J57" s="136" t="s">
        <v>53</v>
      </c>
      <c r="K57" s="116"/>
      <c r="L57" s="116"/>
      <c r="M57" s="116"/>
      <c r="N57" s="116"/>
      <c r="O57" s="117"/>
      <c r="P57" s="59" t="s">
        <v>80</v>
      </c>
      <c r="Q57" s="58" t="s">
        <v>84</v>
      </c>
      <c r="R57" s="20" t="s">
        <v>58</v>
      </c>
      <c r="S57" s="20" t="s">
        <v>60</v>
      </c>
    </row>
    <row r="58" spans="1:19" ht="18" customHeight="1" x14ac:dyDescent="0.15">
      <c r="A58" s="3"/>
      <c r="B58" s="140" t="s">
        <v>148</v>
      </c>
      <c r="C58" s="91"/>
      <c r="D58" s="91"/>
      <c r="E58" s="92"/>
      <c r="F58" s="21">
        <v>2</v>
      </c>
      <c r="G58" s="21" t="s">
        <v>131</v>
      </c>
      <c r="H58" s="21" t="s">
        <v>131</v>
      </c>
      <c r="I58" s="21" t="s">
        <v>131</v>
      </c>
      <c r="J58" s="140"/>
      <c r="K58" s="91"/>
      <c r="L58" s="91"/>
      <c r="M58" s="91"/>
      <c r="N58" s="91"/>
      <c r="O58" s="92"/>
      <c r="P58" s="21"/>
      <c r="Q58" s="21"/>
      <c r="R58" s="21"/>
      <c r="S58" s="21"/>
    </row>
    <row r="59" spans="1:19" ht="18" customHeight="1" x14ac:dyDescent="0.15">
      <c r="A59" s="3"/>
      <c r="B59" s="126"/>
      <c r="C59" s="94"/>
      <c r="D59" s="94"/>
      <c r="E59" s="95"/>
      <c r="F59" s="22"/>
      <c r="G59" s="22"/>
      <c r="H59" s="22"/>
      <c r="I59" s="22"/>
      <c r="J59" s="126"/>
      <c r="K59" s="94"/>
      <c r="L59" s="94"/>
      <c r="M59" s="94"/>
      <c r="N59" s="94"/>
      <c r="O59" s="95"/>
      <c r="P59" s="22"/>
      <c r="Q59" s="22"/>
      <c r="R59" s="22"/>
      <c r="S59" s="22"/>
    </row>
    <row r="60" spans="1:19" ht="18" customHeight="1" x14ac:dyDescent="0.15">
      <c r="A60" s="3"/>
      <c r="B60" s="126"/>
      <c r="C60" s="94"/>
      <c r="D60" s="94"/>
      <c r="E60" s="95"/>
      <c r="F60" s="22"/>
      <c r="G60" s="22"/>
      <c r="H60" s="22"/>
      <c r="I60" s="22"/>
      <c r="J60" s="126"/>
      <c r="K60" s="94"/>
      <c r="L60" s="94"/>
      <c r="M60" s="94"/>
      <c r="N60" s="94"/>
      <c r="O60" s="95"/>
      <c r="P60" s="22"/>
      <c r="Q60" s="22"/>
      <c r="R60" s="22"/>
      <c r="S60" s="22"/>
    </row>
    <row r="61" spans="1:19" ht="18" customHeight="1" x14ac:dyDescent="0.15">
      <c r="A61" s="3"/>
      <c r="B61" s="126"/>
      <c r="C61" s="94"/>
      <c r="D61" s="94"/>
      <c r="E61" s="95"/>
      <c r="F61" s="22"/>
      <c r="G61" s="22"/>
      <c r="H61" s="22"/>
      <c r="I61" s="22"/>
      <c r="J61" s="126"/>
      <c r="K61" s="94"/>
      <c r="L61" s="94"/>
      <c r="M61" s="94"/>
      <c r="N61" s="94"/>
      <c r="O61" s="95"/>
      <c r="P61" s="22"/>
      <c r="Q61" s="22"/>
      <c r="R61" s="22"/>
      <c r="S61" s="22"/>
    </row>
    <row r="62" spans="1:19" ht="18" customHeight="1" x14ac:dyDescent="0.15">
      <c r="A62" s="3"/>
      <c r="B62" s="126"/>
      <c r="C62" s="94"/>
      <c r="D62" s="94"/>
      <c r="E62" s="95"/>
      <c r="F62" s="22"/>
      <c r="G62" s="22"/>
      <c r="H62" s="22"/>
      <c r="I62" s="22"/>
      <c r="J62" s="126"/>
      <c r="K62" s="94"/>
      <c r="L62" s="94"/>
      <c r="M62" s="94"/>
      <c r="N62" s="94"/>
      <c r="O62" s="95"/>
      <c r="P62" s="22"/>
      <c r="Q62" s="22"/>
      <c r="R62" s="22"/>
      <c r="S62" s="22"/>
    </row>
    <row r="63" spans="1:19" ht="18" customHeight="1" x14ac:dyDescent="0.15">
      <c r="A63" s="3"/>
      <c r="B63" s="126"/>
      <c r="C63" s="94"/>
      <c r="D63" s="94"/>
      <c r="E63" s="95"/>
      <c r="F63" s="22"/>
      <c r="G63" s="22"/>
      <c r="H63" s="22"/>
      <c r="I63" s="22"/>
      <c r="J63" s="126"/>
      <c r="K63" s="94"/>
      <c r="L63" s="94"/>
      <c r="M63" s="94"/>
      <c r="N63" s="94"/>
      <c r="O63" s="95"/>
      <c r="P63" s="22"/>
      <c r="Q63" s="22"/>
      <c r="R63" s="22"/>
      <c r="S63" s="22"/>
    </row>
    <row r="64" spans="1:19" ht="18" customHeight="1" x14ac:dyDescent="0.15">
      <c r="A64" s="3"/>
      <c r="B64" s="130"/>
      <c r="C64" s="131"/>
      <c r="D64" s="131"/>
      <c r="E64" s="132"/>
      <c r="F64" s="23"/>
      <c r="G64" s="23"/>
      <c r="H64" s="24"/>
      <c r="I64" s="24"/>
      <c r="J64" s="130"/>
      <c r="K64" s="131"/>
      <c r="L64" s="131"/>
      <c r="M64" s="131"/>
      <c r="N64" s="131"/>
      <c r="O64" s="132"/>
      <c r="P64" s="23"/>
      <c r="Q64" s="23"/>
      <c r="R64" s="24"/>
      <c r="S64" s="24"/>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44" t="s">
        <v>117</v>
      </c>
      <c r="B66" s="144"/>
      <c r="C66" s="144"/>
      <c r="D66" s="144"/>
      <c r="E66" s="144"/>
      <c r="F66" s="144"/>
      <c r="G66" s="144"/>
      <c r="H66" s="144"/>
      <c r="I66" s="144"/>
      <c r="J66" s="144"/>
      <c r="K66" s="144"/>
      <c r="L66" s="144"/>
      <c r="M66" s="144"/>
      <c r="N66" s="144"/>
      <c r="O66" s="144"/>
      <c r="P66" s="144"/>
      <c r="Q66" s="144"/>
      <c r="R66" s="144"/>
      <c r="S66" s="144"/>
    </row>
    <row r="67" spans="1:19" ht="18" customHeight="1" x14ac:dyDescent="0.15">
      <c r="A67" s="144"/>
      <c r="B67" s="144"/>
      <c r="C67" s="144"/>
      <c r="D67" s="144"/>
      <c r="E67" s="144"/>
      <c r="F67" s="144"/>
      <c r="G67" s="144"/>
      <c r="H67" s="144"/>
      <c r="I67" s="144"/>
      <c r="J67" s="144"/>
      <c r="K67" s="144"/>
      <c r="L67" s="144"/>
      <c r="M67" s="144"/>
      <c r="N67" s="144"/>
      <c r="O67" s="144"/>
      <c r="P67" s="144"/>
      <c r="Q67" s="144"/>
      <c r="R67" s="144"/>
      <c r="S67" s="144"/>
    </row>
    <row r="68" spans="1:19" ht="18" customHeight="1" x14ac:dyDescent="0.15">
      <c r="B68" s="136" t="s">
        <v>53</v>
      </c>
      <c r="C68" s="116"/>
      <c r="D68" s="116"/>
      <c r="E68" s="59" t="s">
        <v>80</v>
      </c>
      <c r="F68" s="58" t="s">
        <v>84</v>
      </c>
      <c r="G68" s="20" t="s">
        <v>101</v>
      </c>
      <c r="H68" s="20" t="s">
        <v>75</v>
      </c>
      <c r="I68" s="20" t="s">
        <v>76</v>
      </c>
      <c r="J68" s="136" t="s">
        <v>53</v>
      </c>
      <c r="K68" s="116"/>
      <c r="L68" s="116"/>
      <c r="M68" s="116"/>
      <c r="N68" s="117"/>
      <c r="O68" s="59" t="s">
        <v>80</v>
      </c>
      <c r="P68" s="58" t="s">
        <v>84</v>
      </c>
      <c r="Q68" s="20" t="s">
        <v>101</v>
      </c>
      <c r="R68" s="20" t="s">
        <v>75</v>
      </c>
      <c r="S68" s="20" t="s">
        <v>76</v>
      </c>
    </row>
    <row r="69" spans="1:19" ht="18" customHeight="1" x14ac:dyDescent="0.15">
      <c r="A69" s="3"/>
      <c r="B69" s="140" t="s">
        <v>148</v>
      </c>
      <c r="C69" s="91"/>
      <c r="D69" s="91"/>
      <c r="E69" s="21">
        <v>2</v>
      </c>
      <c r="F69" s="21" t="s">
        <v>131</v>
      </c>
      <c r="G69" s="21" t="s">
        <v>131</v>
      </c>
      <c r="H69" s="21" t="s">
        <v>131</v>
      </c>
      <c r="I69" s="21" t="s">
        <v>131</v>
      </c>
      <c r="J69" s="140"/>
      <c r="K69" s="91"/>
      <c r="L69" s="91"/>
      <c r="M69" s="91"/>
      <c r="N69" s="92"/>
      <c r="O69" s="21"/>
      <c r="P69" s="21"/>
      <c r="Q69" s="21"/>
      <c r="R69" s="21"/>
      <c r="S69" s="21"/>
    </row>
    <row r="70" spans="1:19" ht="18" customHeight="1" x14ac:dyDescent="0.15">
      <c r="A70" s="3"/>
      <c r="B70" s="126" t="s">
        <v>151</v>
      </c>
      <c r="C70" s="94"/>
      <c r="D70" s="94"/>
      <c r="E70" s="22">
        <v>2</v>
      </c>
      <c r="F70" s="22"/>
      <c r="G70" s="22" t="s">
        <v>131</v>
      </c>
      <c r="H70" s="22"/>
      <c r="I70" s="22"/>
      <c r="J70" s="126"/>
      <c r="K70" s="94"/>
      <c r="L70" s="94"/>
      <c r="M70" s="94"/>
      <c r="N70" s="95"/>
      <c r="O70" s="22"/>
      <c r="P70" s="22"/>
      <c r="Q70" s="22"/>
      <c r="R70" s="22"/>
      <c r="S70" s="22"/>
    </row>
    <row r="71" spans="1:19" ht="18" customHeight="1" x14ac:dyDescent="0.15">
      <c r="A71" s="3"/>
      <c r="B71" s="126" t="s">
        <v>152</v>
      </c>
      <c r="C71" s="94"/>
      <c r="D71" s="94"/>
      <c r="E71" s="22">
        <v>2</v>
      </c>
      <c r="F71" s="22"/>
      <c r="G71" s="22"/>
      <c r="H71" s="22"/>
      <c r="I71" s="22" t="s">
        <v>131</v>
      </c>
      <c r="J71" s="126"/>
      <c r="K71" s="94"/>
      <c r="L71" s="94"/>
      <c r="M71" s="94"/>
      <c r="N71" s="95"/>
      <c r="O71" s="22"/>
      <c r="P71" s="22"/>
      <c r="Q71" s="22"/>
      <c r="R71" s="22"/>
      <c r="S71" s="22"/>
    </row>
    <row r="72" spans="1:19" ht="18" customHeight="1" x14ac:dyDescent="0.15">
      <c r="A72" s="3"/>
      <c r="B72" s="126"/>
      <c r="C72" s="94"/>
      <c r="D72" s="94"/>
      <c r="E72" s="22"/>
      <c r="F72" s="22"/>
      <c r="G72" s="22"/>
      <c r="H72" s="22"/>
      <c r="I72" s="22"/>
      <c r="J72" s="126"/>
      <c r="K72" s="94"/>
      <c r="L72" s="94"/>
      <c r="M72" s="94"/>
      <c r="N72" s="95"/>
      <c r="O72" s="22"/>
      <c r="P72" s="22"/>
      <c r="Q72" s="22"/>
      <c r="R72" s="22"/>
      <c r="S72" s="22"/>
    </row>
    <row r="73" spans="1:19" ht="18" customHeight="1" x14ac:dyDescent="0.15">
      <c r="A73" s="3"/>
      <c r="B73" s="126"/>
      <c r="C73" s="94"/>
      <c r="D73" s="94"/>
      <c r="E73" s="22"/>
      <c r="F73" s="22"/>
      <c r="G73" s="22"/>
      <c r="H73" s="22"/>
      <c r="I73" s="22"/>
      <c r="J73" s="126"/>
      <c r="K73" s="94"/>
      <c r="L73" s="94"/>
      <c r="M73" s="94"/>
      <c r="N73" s="95"/>
      <c r="O73" s="22"/>
      <c r="P73" s="22"/>
      <c r="Q73" s="22"/>
      <c r="R73" s="22"/>
      <c r="S73" s="22"/>
    </row>
    <row r="74" spans="1:19" ht="18" customHeight="1" x14ac:dyDescent="0.15">
      <c r="A74" s="3"/>
      <c r="B74" s="126"/>
      <c r="C74" s="94"/>
      <c r="D74" s="94"/>
      <c r="E74" s="22"/>
      <c r="F74" s="22"/>
      <c r="G74" s="22"/>
      <c r="H74" s="22"/>
      <c r="I74" s="22"/>
      <c r="J74" s="126"/>
      <c r="K74" s="94"/>
      <c r="L74" s="94"/>
      <c r="M74" s="94"/>
      <c r="N74" s="95"/>
      <c r="O74" s="22"/>
      <c r="P74" s="22"/>
      <c r="Q74" s="22"/>
      <c r="R74" s="22"/>
      <c r="S74" s="22"/>
    </row>
    <row r="75" spans="1:19" ht="18" customHeight="1" x14ac:dyDescent="0.15">
      <c r="A75" s="3"/>
      <c r="B75" s="130"/>
      <c r="C75" s="131"/>
      <c r="D75" s="131"/>
      <c r="E75" s="23"/>
      <c r="F75" s="23"/>
      <c r="G75" s="24"/>
      <c r="H75" s="24"/>
      <c r="I75" s="24"/>
      <c r="J75" s="130"/>
      <c r="K75" s="131"/>
      <c r="L75" s="131"/>
      <c r="M75" s="131"/>
      <c r="N75" s="132"/>
      <c r="O75" s="23"/>
      <c r="P75" s="23"/>
      <c r="Q75" s="24"/>
      <c r="R75" s="24"/>
      <c r="S75" s="24"/>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118</v>
      </c>
      <c r="H77" s="3"/>
      <c r="I77" s="3"/>
      <c r="J77" s="3"/>
      <c r="K77" s="3"/>
      <c r="L77" s="3"/>
      <c r="M77" s="3"/>
      <c r="N77" s="3"/>
      <c r="O77" s="3"/>
      <c r="P77" s="3"/>
      <c r="Q77" s="3"/>
      <c r="R77" s="3"/>
      <c r="S77" s="3"/>
    </row>
    <row r="78" spans="1:19" ht="18" customHeight="1" x14ac:dyDescent="0.15">
      <c r="B78" s="136" t="s">
        <v>53</v>
      </c>
      <c r="C78" s="116"/>
      <c r="D78" s="116"/>
      <c r="E78" s="117"/>
      <c r="F78" s="136" t="s">
        <v>82</v>
      </c>
      <c r="G78" s="116"/>
      <c r="H78" s="116"/>
      <c r="I78" s="117"/>
      <c r="J78" s="137" t="s">
        <v>53</v>
      </c>
      <c r="K78" s="138"/>
      <c r="L78" s="138"/>
      <c r="M78" s="138"/>
      <c r="N78" s="138"/>
      <c r="O78" s="139"/>
      <c r="P78" s="136" t="s">
        <v>82</v>
      </c>
      <c r="Q78" s="116"/>
      <c r="R78" s="116"/>
      <c r="S78" s="117"/>
    </row>
    <row r="79" spans="1:19" ht="18" customHeight="1" x14ac:dyDescent="0.15">
      <c r="A79" s="3"/>
      <c r="B79" s="140" t="s">
        <v>153</v>
      </c>
      <c r="C79" s="91"/>
      <c r="D79" s="91"/>
      <c r="E79" s="92"/>
      <c r="F79" s="141" t="s">
        <v>140</v>
      </c>
      <c r="G79" s="142"/>
      <c r="H79" s="142"/>
      <c r="I79" s="143"/>
      <c r="J79" s="140"/>
      <c r="K79" s="91"/>
      <c r="L79" s="91"/>
      <c r="M79" s="91"/>
      <c r="N79" s="91"/>
      <c r="O79" s="92"/>
      <c r="P79" s="141"/>
      <c r="Q79" s="142"/>
      <c r="R79" s="142"/>
      <c r="S79" s="143"/>
    </row>
    <row r="80" spans="1:19" ht="18" customHeight="1" x14ac:dyDescent="0.15">
      <c r="A80" s="3"/>
      <c r="B80" s="126" t="s">
        <v>150</v>
      </c>
      <c r="C80" s="94"/>
      <c r="D80" s="94"/>
      <c r="E80" s="95"/>
      <c r="F80" s="127" t="s">
        <v>139</v>
      </c>
      <c r="G80" s="128"/>
      <c r="H80" s="128"/>
      <c r="I80" s="129"/>
      <c r="J80" s="126"/>
      <c r="K80" s="94"/>
      <c r="L80" s="94"/>
      <c r="M80" s="94"/>
      <c r="N80" s="94"/>
      <c r="O80" s="95"/>
      <c r="P80" s="127"/>
      <c r="Q80" s="128"/>
      <c r="R80" s="128"/>
      <c r="S80" s="129"/>
    </row>
    <row r="81" spans="1:19" ht="18" customHeight="1" x14ac:dyDescent="0.15">
      <c r="A81" s="3"/>
      <c r="B81" s="126" t="s">
        <v>151</v>
      </c>
      <c r="C81" s="94"/>
      <c r="D81" s="94"/>
      <c r="E81" s="95"/>
      <c r="F81" s="127" t="s">
        <v>139</v>
      </c>
      <c r="G81" s="128"/>
      <c r="H81" s="128"/>
      <c r="I81" s="129"/>
      <c r="J81" s="126"/>
      <c r="K81" s="94"/>
      <c r="L81" s="94"/>
      <c r="M81" s="94"/>
      <c r="N81" s="94"/>
      <c r="O81" s="95"/>
      <c r="P81" s="127"/>
      <c r="Q81" s="128"/>
      <c r="R81" s="128"/>
      <c r="S81" s="129"/>
    </row>
    <row r="82" spans="1:19" ht="18" customHeight="1" x14ac:dyDescent="0.15">
      <c r="A82" s="3"/>
      <c r="B82" s="126" t="s">
        <v>152</v>
      </c>
      <c r="C82" s="94"/>
      <c r="D82" s="94"/>
      <c r="E82" s="95"/>
      <c r="F82" s="127" t="s">
        <v>154</v>
      </c>
      <c r="G82" s="128"/>
      <c r="H82" s="128"/>
      <c r="I82" s="129"/>
      <c r="J82" s="126"/>
      <c r="K82" s="94"/>
      <c r="L82" s="94"/>
      <c r="M82" s="94"/>
      <c r="N82" s="94"/>
      <c r="O82" s="95"/>
      <c r="P82" s="127"/>
      <c r="Q82" s="128"/>
      <c r="R82" s="128"/>
      <c r="S82" s="129"/>
    </row>
    <row r="83" spans="1:19" ht="18" customHeight="1" x14ac:dyDescent="0.15">
      <c r="A83" s="3"/>
      <c r="B83" s="126"/>
      <c r="C83" s="94"/>
      <c r="D83" s="94"/>
      <c r="E83" s="95"/>
      <c r="F83" s="127"/>
      <c r="G83" s="128"/>
      <c r="H83" s="128"/>
      <c r="I83" s="129"/>
      <c r="J83" s="126"/>
      <c r="K83" s="94"/>
      <c r="L83" s="94"/>
      <c r="M83" s="94"/>
      <c r="N83" s="94"/>
      <c r="O83" s="95"/>
      <c r="P83" s="127"/>
      <c r="Q83" s="128"/>
      <c r="R83" s="128"/>
      <c r="S83" s="129"/>
    </row>
    <row r="84" spans="1:19" ht="18" customHeight="1" x14ac:dyDescent="0.15">
      <c r="A84" s="3"/>
      <c r="B84" s="126"/>
      <c r="C84" s="94"/>
      <c r="D84" s="94"/>
      <c r="E84" s="95"/>
      <c r="F84" s="127"/>
      <c r="G84" s="128"/>
      <c r="H84" s="128"/>
      <c r="I84" s="129"/>
      <c r="J84" s="126"/>
      <c r="K84" s="94"/>
      <c r="L84" s="94"/>
      <c r="M84" s="94"/>
      <c r="N84" s="94"/>
      <c r="O84" s="95"/>
      <c r="P84" s="127"/>
      <c r="Q84" s="128"/>
      <c r="R84" s="128"/>
      <c r="S84" s="129"/>
    </row>
    <row r="85" spans="1:19" ht="18" customHeight="1" x14ac:dyDescent="0.15">
      <c r="A85" s="3"/>
      <c r="B85" s="130"/>
      <c r="C85" s="131"/>
      <c r="D85" s="131"/>
      <c r="E85" s="132"/>
      <c r="F85" s="133"/>
      <c r="G85" s="134"/>
      <c r="H85" s="134"/>
      <c r="I85" s="135"/>
      <c r="J85" s="130"/>
      <c r="K85" s="131"/>
      <c r="L85" s="131"/>
      <c r="M85" s="131"/>
      <c r="N85" s="131"/>
      <c r="O85" s="132"/>
      <c r="P85" s="133"/>
      <c r="Q85" s="134"/>
      <c r="R85" s="134"/>
      <c r="S85" s="135"/>
    </row>
    <row r="86" spans="1:19" ht="18" customHeight="1" x14ac:dyDescent="0.15">
      <c r="A86" s="3"/>
      <c r="B86" s="6"/>
      <c r="C86" s="6"/>
      <c r="D86" s="6"/>
      <c r="E86" s="6"/>
      <c r="F86" s="25"/>
      <c r="G86" s="25"/>
      <c r="H86" s="25"/>
      <c r="I86" s="25"/>
      <c r="J86" s="6"/>
      <c r="K86" s="6"/>
      <c r="L86" s="6"/>
      <c r="M86" s="6"/>
      <c r="N86" s="6"/>
      <c r="O86" s="6"/>
      <c r="P86" s="25"/>
      <c r="Q86" s="25"/>
      <c r="R86" s="25"/>
      <c r="S86" s="25"/>
    </row>
    <row r="87" spans="1:19" ht="18.75" customHeight="1" x14ac:dyDescent="0.15">
      <c r="A87" s="1" t="s">
        <v>119</v>
      </c>
    </row>
    <row r="88" spans="1:19" ht="18.75" customHeight="1" x14ac:dyDescent="0.15">
      <c r="B88" s="114" t="s">
        <v>54</v>
      </c>
      <c r="C88" s="115"/>
      <c r="D88" s="116" t="s">
        <v>55</v>
      </c>
      <c r="E88" s="116"/>
      <c r="F88" s="116"/>
      <c r="G88" s="116"/>
      <c r="H88" s="116"/>
      <c r="I88" s="116"/>
      <c r="J88" s="116"/>
      <c r="K88" s="116"/>
      <c r="L88" s="116"/>
      <c r="M88" s="116"/>
      <c r="N88" s="116"/>
      <c r="O88" s="116"/>
      <c r="P88" s="116"/>
      <c r="Q88" s="116"/>
      <c r="R88" s="116"/>
      <c r="S88" s="117"/>
    </row>
    <row r="89" spans="1:19" ht="97.5" customHeight="1" x14ac:dyDescent="0.15">
      <c r="B89" s="87" t="s">
        <v>61</v>
      </c>
      <c r="C89" s="26" t="s">
        <v>56</v>
      </c>
      <c r="D89" s="118" t="s">
        <v>155</v>
      </c>
      <c r="E89" s="118"/>
      <c r="F89" s="118"/>
      <c r="G89" s="118"/>
      <c r="H89" s="118"/>
      <c r="I89" s="118"/>
      <c r="J89" s="118"/>
      <c r="K89" s="118"/>
      <c r="L89" s="118"/>
      <c r="M89" s="118"/>
      <c r="N89" s="118"/>
      <c r="O89" s="118"/>
      <c r="P89" s="118"/>
      <c r="Q89" s="118"/>
      <c r="R89" s="118"/>
      <c r="S89" s="119"/>
    </row>
    <row r="90" spans="1:19" ht="97.5" customHeight="1" x14ac:dyDescent="0.15">
      <c r="B90" s="88"/>
      <c r="C90" s="27" t="s">
        <v>77</v>
      </c>
      <c r="D90" s="120" t="s">
        <v>156</v>
      </c>
      <c r="E90" s="120"/>
      <c r="F90" s="120"/>
      <c r="G90" s="120"/>
      <c r="H90" s="120"/>
      <c r="I90" s="120"/>
      <c r="J90" s="120"/>
      <c r="K90" s="120"/>
      <c r="L90" s="120"/>
      <c r="M90" s="120"/>
      <c r="N90" s="120"/>
      <c r="O90" s="120"/>
      <c r="P90" s="120"/>
      <c r="Q90" s="120"/>
      <c r="R90" s="120"/>
      <c r="S90" s="121"/>
    </row>
    <row r="91" spans="1:19" ht="97.5" customHeight="1" x14ac:dyDescent="0.15">
      <c r="B91" s="87" t="s">
        <v>62</v>
      </c>
      <c r="C91" s="28" t="s">
        <v>71</v>
      </c>
      <c r="D91" s="122" t="s">
        <v>157</v>
      </c>
      <c r="E91" s="122"/>
      <c r="F91" s="122"/>
      <c r="G91" s="122"/>
      <c r="H91" s="122"/>
      <c r="I91" s="122"/>
      <c r="J91" s="122"/>
      <c r="K91" s="122"/>
      <c r="L91" s="122"/>
      <c r="M91" s="122"/>
      <c r="N91" s="122"/>
      <c r="O91" s="122"/>
      <c r="P91" s="122"/>
      <c r="Q91" s="122"/>
      <c r="R91" s="122"/>
      <c r="S91" s="123"/>
    </row>
    <row r="92" spans="1:19" ht="97.5" customHeight="1" x14ac:dyDescent="0.15">
      <c r="B92" s="89"/>
      <c r="C92" s="29" t="s">
        <v>72</v>
      </c>
      <c r="D92" s="124" t="s">
        <v>158</v>
      </c>
      <c r="E92" s="124"/>
      <c r="F92" s="124"/>
      <c r="G92" s="124"/>
      <c r="H92" s="124"/>
      <c r="I92" s="124"/>
      <c r="J92" s="124"/>
      <c r="K92" s="124"/>
      <c r="L92" s="124"/>
      <c r="M92" s="124"/>
      <c r="N92" s="124"/>
      <c r="O92" s="124"/>
      <c r="P92" s="124"/>
      <c r="Q92" s="124"/>
      <c r="R92" s="124"/>
      <c r="S92" s="125"/>
    </row>
    <row r="93" spans="1:19" ht="97.5" customHeight="1" x14ac:dyDescent="0.15">
      <c r="B93" s="87" t="s">
        <v>63</v>
      </c>
      <c r="C93" s="28" t="s">
        <v>73</v>
      </c>
      <c r="D93" s="102" t="s">
        <v>159</v>
      </c>
      <c r="E93" s="103"/>
      <c r="F93" s="103"/>
      <c r="G93" s="103"/>
      <c r="H93" s="103"/>
      <c r="I93" s="103"/>
      <c r="J93" s="103"/>
      <c r="K93" s="103"/>
      <c r="L93" s="103"/>
      <c r="M93" s="103"/>
      <c r="N93" s="103"/>
      <c r="O93" s="103"/>
      <c r="P93" s="103"/>
      <c r="Q93" s="103"/>
      <c r="R93" s="103"/>
      <c r="S93" s="104"/>
    </row>
    <row r="94" spans="1:19" ht="97.5" customHeight="1" x14ac:dyDescent="0.15">
      <c r="B94" s="89"/>
      <c r="C94" s="30" t="s">
        <v>74</v>
      </c>
      <c r="D94" s="105" t="s">
        <v>283</v>
      </c>
      <c r="E94" s="106"/>
      <c r="F94" s="106"/>
      <c r="G94" s="106"/>
      <c r="H94" s="106"/>
      <c r="I94" s="106"/>
      <c r="J94" s="106"/>
      <c r="K94" s="106"/>
      <c r="L94" s="106"/>
      <c r="M94" s="106"/>
      <c r="N94" s="106"/>
      <c r="O94" s="106"/>
      <c r="P94" s="106"/>
      <c r="Q94" s="106"/>
      <c r="R94" s="106"/>
      <c r="S94" s="107"/>
    </row>
    <row r="95" spans="1:19" ht="97.5" customHeight="1" x14ac:dyDescent="0.15">
      <c r="B95" s="87" t="s">
        <v>78</v>
      </c>
      <c r="C95" s="26" t="s">
        <v>58</v>
      </c>
      <c r="D95" s="108" t="s">
        <v>160</v>
      </c>
      <c r="E95" s="109"/>
      <c r="F95" s="109"/>
      <c r="G95" s="109"/>
      <c r="H95" s="109"/>
      <c r="I95" s="109"/>
      <c r="J95" s="109"/>
      <c r="K95" s="109"/>
      <c r="L95" s="109"/>
      <c r="M95" s="109"/>
      <c r="N95" s="109"/>
      <c r="O95" s="109"/>
      <c r="P95" s="109"/>
      <c r="Q95" s="109"/>
      <c r="R95" s="109"/>
      <c r="S95" s="110"/>
    </row>
    <row r="96" spans="1:19" ht="97.5" customHeight="1" x14ac:dyDescent="0.15">
      <c r="B96" s="89"/>
      <c r="C96" s="29" t="s">
        <v>60</v>
      </c>
      <c r="D96" s="111" t="s">
        <v>284</v>
      </c>
      <c r="E96" s="112"/>
      <c r="F96" s="112"/>
      <c r="G96" s="112"/>
      <c r="H96" s="112"/>
      <c r="I96" s="112"/>
      <c r="J96" s="112"/>
      <c r="K96" s="112"/>
      <c r="L96" s="112"/>
      <c r="M96" s="112"/>
      <c r="N96" s="112"/>
      <c r="O96" s="112"/>
      <c r="P96" s="112"/>
      <c r="Q96" s="112"/>
      <c r="R96" s="112"/>
      <c r="S96" s="113"/>
    </row>
    <row r="97" spans="1:19" ht="98.25" customHeight="1" x14ac:dyDescent="0.15">
      <c r="B97" s="87" t="s">
        <v>79</v>
      </c>
      <c r="C97" s="28" t="s">
        <v>57</v>
      </c>
      <c r="D97" s="90" t="s">
        <v>285</v>
      </c>
      <c r="E97" s="91"/>
      <c r="F97" s="91"/>
      <c r="G97" s="91"/>
      <c r="H97" s="91"/>
      <c r="I97" s="91"/>
      <c r="J97" s="91"/>
      <c r="K97" s="91"/>
      <c r="L97" s="91"/>
      <c r="M97" s="91"/>
      <c r="N97" s="91"/>
      <c r="O97" s="91"/>
      <c r="P97" s="91"/>
      <c r="Q97" s="91"/>
      <c r="R97" s="91"/>
      <c r="S97" s="92"/>
    </row>
    <row r="98" spans="1:19" ht="97.5" customHeight="1" x14ac:dyDescent="0.15">
      <c r="B98" s="88"/>
      <c r="C98" s="31" t="s">
        <v>75</v>
      </c>
      <c r="D98" s="93" t="s">
        <v>308</v>
      </c>
      <c r="E98" s="94"/>
      <c r="F98" s="94"/>
      <c r="G98" s="94"/>
      <c r="H98" s="94"/>
      <c r="I98" s="94"/>
      <c r="J98" s="94"/>
      <c r="K98" s="94"/>
      <c r="L98" s="94"/>
      <c r="M98" s="94"/>
      <c r="N98" s="94"/>
      <c r="O98" s="94"/>
      <c r="P98" s="94"/>
      <c r="Q98" s="94"/>
      <c r="R98" s="94"/>
      <c r="S98" s="95"/>
    </row>
    <row r="99" spans="1:19" ht="97.5" customHeight="1" x14ac:dyDescent="0.15">
      <c r="B99" s="89"/>
      <c r="C99" s="30" t="s">
        <v>76</v>
      </c>
      <c r="D99" s="96" t="s">
        <v>286</v>
      </c>
      <c r="E99" s="97"/>
      <c r="F99" s="97"/>
      <c r="G99" s="97"/>
      <c r="H99" s="97"/>
      <c r="I99" s="97"/>
      <c r="J99" s="97"/>
      <c r="K99" s="97"/>
      <c r="L99" s="97"/>
      <c r="M99" s="97"/>
      <c r="N99" s="97"/>
      <c r="O99" s="97"/>
      <c r="P99" s="97"/>
      <c r="Q99" s="97"/>
      <c r="R99" s="97"/>
      <c r="S99" s="98"/>
    </row>
    <row r="100" spans="1:19" ht="6" customHeight="1" x14ac:dyDescent="0.15"/>
    <row r="101" spans="1:19" ht="18.75" customHeight="1" x14ac:dyDescent="0.15">
      <c r="A101" s="1" t="s">
        <v>120</v>
      </c>
    </row>
    <row r="102" spans="1:19" ht="81.75" customHeight="1" x14ac:dyDescent="0.15">
      <c r="B102" s="99" t="s">
        <v>161</v>
      </c>
      <c r="C102" s="100"/>
      <c r="D102" s="100"/>
      <c r="E102" s="100"/>
      <c r="F102" s="100"/>
      <c r="G102" s="100"/>
      <c r="H102" s="100"/>
      <c r="I102" s="100"/>
      <c r="J102" s="100"/>
      <c r="K102" s="100"/>
      <c r="L102" s="100"/>
      <c r="M102" s="100"/>
      <c r="N102" s="100"/>
      <c r="O102" s="100"/>
      <c r="P102" s="100"/>
      <c r="Q102" s="100"/>
      <c r="R102" s="100"/>
      <c r="S102" s="101"/>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5"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17568A0F-52B4-4A9F-A213-37D103396C06}">
      <formula1>"○"</formula1>
    </dataValidation>
    <dataValidation type="list" allowBlank="1" showInputMessage="1" showErrorMessage="1" sqref="S32 S43 D32:G32 D43:G43" xr:uid="{70BE328C-7328-4239-AD82-4E4A03D45B63}">
      <formula1>"全学開講,一部開講"</formula1>
    </dataValidation>
    <dataValidation type="list" allowBlank="1" showInputMessage="1" showErrorMessage="1" sqref="K7 K12" xr:uid="{42363A82-E4C3-4F20-B989-047D23E95D94}">
      <formula1>"学部・学科によって、修了要件は相違する,学部・学科によって、修了要件は相違しない"</formula1>
    </dataValidation>
    <dataValidation type="list" allowBlank="1" showInputMessage="1" showErrorMessage="1" sqref="F79:F86 P79:P86 G79:I80 G83:I86 Q83:S86 Q79:S80" xr:uid="{1E25AF3B-011B-45F7-87FF-5D47A1E52FA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49DA6371-FE48-408B-87F3-58703EB35D68}">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horizontalDpi="1200" verticalDpi="1200"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C9DD2-70AE-42A2-949B-8EBB734A8398}">
  <sheetPr>
    <pageSetUpPr fitToPage="1"/>
  </sheetPr>
  <dimension ref="A1:V110"/>
  <sheetViews>
    <sheetView showZeros="0" view="pageBreakPreview" zoomScaleNormal="100" zoomScaleSheetLayoutView="100" workbookViewId="0">
      <selection activeCell="U5" sqref="U5"/>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57" t="s">
        <v>162</v>
      </c>
      <c r="S1" s="157"/>
      <c r="T1" s="2" t="s">
        <v>109</v>
      </c>
    </row>
    <row r="2" spans="1:22" ht="18.75" customHeight="1" x14ac:dyDescent="0.15">
      <c r="B2" s="32" t="s">
        <v>108</v>
      </c>
      <c r="C2" s="136" t="str">
        <f>'様式１ー１　プログラムを構成する授業科目'!C2</f>
        <v>順天堂大学</v>
      </c>
      <c r="D2" s="116"/>
      <c r="E2" s="116"/>
      <c r="F2" s="116"/>
      <c r="G2" s="116"/>
      <c r="H2" s="116"/>
      <c r="I2" s="117"/>
      <c r="J2" s="33"/>
      <c r="K2" s="6"/>
      <c r="L2" s="6"/>
      <c r="M2" s="6"/>
      <c r="N2" s="6"/>
      <c r="O2" s="6"/>
      <c r="P2" s="6"/>
      <c r="Q2" s="6"/>
      <c r="R2" s="6"/>
      <c r="S2" s="6"/>
    </row>
    <row r="3" spans="1:22" ht="18.75" customHeight="1" x14ac:dyDescent="0.15">
      <c r="B3" s="32" t="s">
        <v>102</v>
      </c>
      <c r="C3" s="136" t="str">
        <f>'様式１ー１　プログラムを構成する授業科目'!C3</f>
        <v>数理・データサイエンス・AI教育プログラム</v>
      </c>
      <c r="D3" s="116"/>
      <c r="E3" s="116"/>
      <c r="F3" s="116"/>
      <c r="G3" s="116"/>
      <c r="H3" s="116"/>
      <c r="I3" s="117"/>
      <c r="J3" s="33"/>
      <c r="K3" s="6"/>
      <c r="L3" s="6"/>
      <c r="M3" s="6"/>
      <c r="N3" s="6"/>
      <c r="O3" s="6"/>
      <c r="P3" s="6"/>
      <c r="Q3" s="6"/>
      <c r="R3" s="6"/>
      <c r="S3" s="6"/>
    </row>
    <row r="4" spans="1:22" ht="15" customHeight="1" x14ac:dyDescent="0.15">
      <c r="K4" s="33"/>
      <c r="L4" s="35"/>
      <c r="M4" s="35"/>
      <c r="N4" s="35"/>
      <c r="O4" s="35"/>
      <c r="P4" s="35"/>
      <c r="Q4" s="35"/>
      <c r="R4" s="35"/>
      <c r="S4" s="35"/>
    </row>
    <row r="5" spans="1:22" ht="18" customHeight="1" x14ac:dyDescent="0.15">
      <c r="A5" s="158" t="s">
        <v>38</v>
      </c>
      <c r="B5" s="158"/>
      <c r="C5" s="158"/>
      <c r="D5" s="158"/>
      <c r="E5" s="158"/>
      <c r="F5" s="158"/>
      <c r="G5" s="158"/>
      <c r="H5" s="158"/>
      <c r="I5" s="158"/>
      <c r="J5" s="158"/>
      <c r="K5" s="158"/>
      <c r="L5" s="158"/>
      <c r="M5" s="158"/>
      <c r="N5" s="158"/>
      <c r="O5" s="158"/>
      <c r="P5" s="158"/>
      <c r="Q5" s="158"/>
      <c r="R5" s="158"/>
      <c r="S5" s="158"/>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6" t="s">
        <v>107</v>
      </c>
      <c r="K7" s="159" t="s">
        <v>128</v>
      </c>
      <c r="L7" s="160"/>
      <c r="M7" s="160"/>
      <c r="N7" s="160"/>
      <c r="O7" s="160"/>
      <c r="P7" s="160"/>
      <c r="Q7" s="160"/>
      <c r="R7" s="160"/>
      <c r="S7" s="161"/>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62" t="s">
        <v>163</v>
      </c>
      <c r="C9" s="118"/>
      <c r="D9" s="118"/>
      <c r="E9" s="118"/>
      <c r="F9" s="118"/>
      <c r="G9" s="118"/>
      <c r="H9" s="118"/>
      <c r="I9" s="118"/>
      <c r="J9" s="118"/>
      <c r="K9" s="118"/>
      <c r="L9" s="118"/>
      <c r="M9" s="118"/>
      <c r="N9" s="118"/>
      <c r="O9" s="118"/>
      <c r="P9" s="118"/>
      <c r="Q9" s="118"/>
      <c r="R9" s="118"/>
      <c r="S9" s="119"/>
    </row>
    <row r="10" spans="1:22" ht="18" customHeight="1" x14ac:dyDescent="0.15">
      <c r="B10" s="163"/>
      <c r="C10" s="164"/>
      <c r="D10" s="164"/>
      <c r="E10" s="164"/>
      <c r="F10" s="164"/>
      <c r="G10" s="164"/>
      <c r="H10" s="164"/>
      <c r="I10" s="164"/>
      <c r="J10" s="164"/>
      <c r="K10" s="164"/>
      <c r="L10" s="164"/>
      <c r="M10" s="164"/>
      <c r="N10" s="164"/>
      <c r="O10" s="164"/>
      <c r="P10" s="164"/>
      <c r="Q10" s="164"/>
      <c r="R10" s="164"/>
      <c r="S10" s="165"/>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111</v>
      </c>
      <c r="B12" s="3"/>
      <c r="C12" s="3"/>
      <c r="D12" s="33"/>
      <c r="E12" s="33"/>
      <c r="F12" s="33"/>
      <c r="G12" s="33"/>
      <c r="H12" s="33"/>
      <c r="I12" s="33"/>
      <c r="J12" s="33"/>
      <c r="K12" s="37"/>
      <c r="L12" s="37"/>
      <c r="M12" s="37"/>
      <c r="N12" s="37"/>
      <c r="O12" s="37"/>
      <c r="P12" s="37"/>
      <c r="Q12" s="37"/>
      <c r="R12" s="37"/>
      <c r="S12" s="37"/>
    </row>
    <row r="13" spans="1:22" ht="18" customHeight="1" x14ac:dyDescent="0.15">
      <c r="B13" s="145" t="s">
        <v>164</v>
      </c>
      <c r="C13" s="146"/>
      <c r="D13" s="146"/>
      <c r="E13" s="146"/>
      <c r="F13" s="146"/>
      <c r="G13" s="146"/>
      <c r="H13" s="146"/>
      <c r="I13" s="146"/>
      <c r="J13" s="146"/>
      <c r="K13" s="146"/>
      <c r="L13" s="146"/>
      <c r="M13" s="146"/>
      <c r="N13" s="146"/>
      <c r="O13" s="146"/>
      <c r="P13" s="146"/>
      <c r="Q13" s="146"/>
      <c r="R13" s="146"/>
      <c r="S13" s="147"/>
      <c r="V13" s="1" t="s">
        <v>103</v>
      </c>
    </row>
    <row r="14" spans="1:22" ht="18" customHeight="1" x14ac:dyDescent="0.15">
      <c r="B14" s="148"/>
      <c r="C14" s="149"/>
      <c r="D14" s="149"/>
      <c r="E14" s="149"/>
      <c r="F14" s="149"/>
      <c r="G14" s="149"/>
      <c r="H14" s="149"/>
      <c r="I14" s="149"/>
      <c r="J14" s="149"/>
      <c r="K14" s="149"/>
      <c r="L14" s="149"/>
      <c r="M14" s="149"/>
      <c r="N14" s="149"/>
      <c r="O14" s="149"/>
      <c r="P14" s="149"/>
      <c r="Q14" s="149"/>
      <c r="R14" s="149"/>
      <c r="S14" s="150"/>
      <c r="V14" s="1" t="s">
        <v>110</v>
      </c>
    </row>
    <row r="15" spans="1:22" ht="18" customHeight="1" x14ac:dyDescent="0.15">
      <c r="B15" s="148"/>
      <c r="C15" s="149"/>
      <c r="D15" s="149"/>
      <c r="E15" s="149"/>
      <c r="F15" s="149"/>
      <c r="G15" s="149"/>
      <c r="H15" s="149"/>
      <c r="I15" s="149"/>
      <c r="J15" s="149"/>
      <c r="K15" s="149"/>
      <c r="L15" s="149"/>
      <c r="M15" s="149"/>
      <c r="N15" s="149"/>
      <c r="O15" s="149"/>
      <c r="P15" s="149"/>
      <c r="Q15" s="149"/>
      <c r="R15" s="149"/>
      <c r="S15" s="150"/>
      <c r="V15" s="1" t="s">
        <v>123</v>
      </c>
    </row>
    <row r="16" spans="1:22" ht="18" customHeight="1" x14ac:dyDescent="0.15">
      <c r="B16" s="148"/>
      <c r="C16" s="149"/>
      <c r="D16" s="149"/>
      <c r="E16" s="149"/>
      <c r="F16" s="149"/>
      <c r="G16" s="149"/>
      <c r="H16" s="149"/>
      <c r="I16" s="149"/>
      <c r="J16" s="149"/>
      <c r="K16" s="149"/>
      <c r="L16" s="149"/>
      <c r="M16" s="149"/>
      <c r="N16" s="149"/>
      <c r="O16" s="149"/>
      <c r="P16" s="149"/>
      <c r="Q16" s="149"/>
      <c r="R16" s="149"/>
      <c r="S16" s="150"/>
      <c r="V16" s="1" t="s">
        <v>125</v>
      </c>
    </row>
    <row r="17" spans="1:19" ht="18" customHeight="1" x14ac:dyDescent="0.15">
      <c r="B17" s="148"/>
      <c r="C17" s="149"/>
      <c r="D17" s="149"/>
      <c r="E17" s="149"/>
      <c r="F17" s="149"/>
      <c r="G17" s="149"/>
      <c r="H17" s="149"/>
      <c r="I17" s="149"/>
      <c r="J17" s="149"/>
      <c r="K17" s="149"/>
      <c r="L17" s="149"/>
      <c r="M17" s="149"/>
      <c r="N17" s="149"/>
      <c r="O17" s="149"/>
      <c r="P17" s="149"/>
      <c r="Q17" s="149"/>
      <c r="R17" s="149"/>
      <c r="S17" s="150"/>
    </row>
    <row r="18" spans="1:19" ht="18" customHeight="1" x14ac:dyDescent="0.15">
      <c r="B18" s="151"/>
      <c r="C18" s="152"/>
      <c r="D18" s="152"/>
      <c r="E18" s="152"/>
      <c r="F18" s="152"/>
      <c r="G18" s="152"/>
      <c r="H18" s="152"/>
      <c r="I18" s="152"/>
      <c r="J18" s="152"/>
      <c r="K18" s="152"/>
      <c r="L18" s="152"/>
      <c r="M18" s="152"/>
      <c r="N18" s="152"/>
      <c r="O18" s="152"/>
      <c r="P18" s="152"/>
      <c r="Q18" s="152"/>
      <c r="R18" s="152"/>
      <c r="S18" s="153"/>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136">
        <v>2</v>
      </c>
      <c r="D20" s="117"/>
      <c r="E20" s="38" t="s">
        <v>95</v>
      </c>
      <c r="G20" s="10"/>
      <c r="H20" s="3"/>
      <c r="I20" s="3"/>
      <c r="J20" s="33" t="s">
        <v>121</v>
      </c>
      <c r="K20" s="154" t="s">
        <v>123</v>
      </c>
      <c r="L20" s="155"/>
      <c r="M20" s="155"/>
      <c r="N20" s="155"/>
      <c r="O20" s="155"/>
      <c r="P20" s="155"/>
      <c r="Q20" s="155"/>
      <c r="R20" s="155"/>
      <c r="S20" s="156"/>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44" t="s">
        <v>113</v>
      </c>
      <c r="B22" s="144"/>
      <c r="C22" s="144"/>
      <c r="D22" s="144"/>
      <c r="E22" s="144"/>
      <c r="F22" s="144"/>
      <c r="G22" s="144"/>
      <c r="H22" s="144"/>
      <c r="I22" s="144"/>
      <c r="J22" s="144"/>
      <c r="K22" s="144"/>
      <c r="L22" s="144"/>
      <c r="M22" s="144"/>
      <c r="N22" s="144"/>
      <c r="O22" s="144"/>
      <c r="P22" s="144"/>
      <c r="Q22" s="144"/>
      <c r="R22" s="144"/>
      <c r="S22" s="144"/>
    </row>
    <row r="23" spans="1:19" ht="18" customHeight="1" x14ac:dyDescent="0.15">
      <c r="A23" s="144"/>
      <c r="B23" s="144"/>
      <c r="C23" s="144"/>
      <c r="D23" s="144"/>
      <c r="E23" s="144"/>
      <c r="F23" s="144"/>
      <c r="G23" s="144"/>
      <c r="H23" s="144"/>
      <c r="I23" s="144"/>
      <c r="J23" s="144"/>
      <c r="K23" s="144"/>
      <c r="L23" s="144"/>
      <c r="M23" s="144"/>
      <c r="N23" s="144"/>
      <c r="O23" s="144"/>
      <c r="P23" s="144"/>
      <c r="Q23" s="144"/>
      <c r="R23" s="144"/>
      <c r="S23" s="144"/>
    </row>
    <row r="24" spans="1:19" ht="18" customHeight="1" x14ac:dyDescent="0.15">
      <c r="B24" s="136" t="s">
        <v>53</v>
      </c>
      <c r="C24" s="116"/>
      <c r="D24" s="116"/>
      <c r="E24" s="117"/>
      <c r="F24" s="59" t="s">
        <v>80</v>
      </c>
      <c r="G24" s="58" t="s">
        <v>84</v>
      </c>
      <c r="H24" s="20" t="s">
        <v>56</v>
      </c>
      <c r="I24" s="20" t="s">
        <v>59</v>
      </c>
      <c r="J24" s="136" t="s">
        <v>53</v>
      </c>
      <c r="K24" s="116"/>
      <c r="L24" s="116"/>
      <c r="M24" s="116"/>
      <c r="N24" s="116"/>
      <c r="O24" s="117"/>
      <c r="P24" s="59" t="s">
        <v>80</v>
      </c>
      <c r="Q24" s="58" t="s">
        <v>84</v>
      </c>
      <c r="R24" s="20" t="s">
        <v>56</v>
      </c>
      <c r="S24" s="20" t="s">
        <v>59</v>
      </c>
    </row>
    <row r="25" spans="1:19" ht="18" customHeight="1" x14ac:dyDescent="0.15">
      <c r="B25" s="140" t="s">
        <v>165</v>
      </c>
      <c r="C25" s="91"/>
      <c r="D25" s="91"/>
      <c r="E25" s="92"/>
      <c r="F25" s="21">
        <v>1</v>
      </c>
      <c r="G25" s="21" t="s">
        <v>131</v>
      </c>
      <c r="H25" s="21" t="s">
        <v>131</v>
      </c>
      <c r="I25" s="21" t="s">
        <v>131</v>
      </c>
      <c r="J25" s="140"/>
      <c r="K25" s="91"/>
      <c r="L25" s="91"/>
      <c r="M25" s="91"/>
      <c r="N25" s="91"/>
      <c r="O25" s="92"/>
      <c r="P25" s="21"/>
      <c r="Q25" s="21"/>
      <c r="R25" s="21"/>
      <c r="S25" s="21"/>
    </row>
    <row r="26" spans="1:19" ht="18" customHeight="1" x14ac:dyDescent="0.15">
      <c r="B26" s="126"/>
      <c r="C26" s="94"/>
      <c r="D26" s="94"/>
      <c r="E26" s="95"/>
      <c r="F26" s="22"/>
      <c r="G26" s="22"/>
      <c r="H26" s="22"/>
      <c r="I26" s="22"/>
      <c r="J26" s="126"/>
      <c r="K26" s="94"/>
      <c r="L26" s="94"/>
      <c r="M26" s="94"/>
      <c r="N26" s="94"/>
      <c r="O26" s="95"/>
      <c r="P26" s="22"/>
      <c r="Q26" s="22"/>
      <c r="R26" s="22"/>
      <c r="S26" s="22"/>
    </row>
    <row r="27" spans="1:19" ht="18" customHeight="1" x14ac:dyDescent="0.15">
      <c r="B27" s="126"/>
      <c r="C27" s="94"/>
      <c r="D27" s="94"/>
      <c r="E27" s="95"/>
      <c r="F27" s="22"/>
      <c r="G27" s="22"/>
      <c r="H27" s="22"/>
      <c r="I27" s="22"/>
      <c r="J27" s="126"/>
      <c r="K27" s="94"/>
      <c r="L27" s="94"/>
      <c r="M27" s="94"/>
      <c r="N27" s="94"/>
      <c r="O27" s="95"/>
      <c r="P27" s="22"/>
      <c r="Q27" s="22"/>
      <c r="R27" s="22"/>
      <c r="S27" s="22"/>
    </row>
    <row r="28" spans="1:19" ht="18" customHeight="1" x14ac:dyDescent="0.15">
      <c r="B28" s="126"/>
      <c r="C28" s="94"/>
      <c r="D28" s="94"/>
      <c r="E28" s="95"/>
      <c r="F28" s="22"/>
      <c r="G28" s="22"/>
      <c r="H28" s="22"/>
      <c r="I28" s="22"/>
      <c r="J28" s="126"/>
      <c r="K28" s="94"/>
      <c r="L28" s="94"/>
      <c r="M28" s="94"/>
      <c r="N28" s="94"/>
      <c r="O28" s="95"/>
      <c r="P28" s="22"/>
      <c r="Q28" s="22"/>
      <c r="R28" s="22"/>
      <c r="S28" s="22"/>
    </row>
    <row r="29" spans="1:19" ht="18" customHeight="1" x14ac:dyDescent="0.15">
      <c r="B29" s="126"/>
      <c r="C29" s="94"/>
      <c r="D29" s="94"/>
      <c r="E29" s="95"/>
      <c r="F29" s="22"/>
      <c r="G29" s="22"/>
      <c r="H29" s="22"/>
      <c r="I29" s="22"/>
      <c r="J29" s="126"/>
      <c r="K29" s="94"/>
      <c r="L29" s="94"/>
      <c r="M29" s="94"/>
      <c r="N29" s="94"/>
      <c r="O29" s="95"/>
      <c r="P29" s="22"/>
      <c r="Q29" s="22"/>
      <c r="R29" s="22"/>
      <c r="S29" s="22"/>
    </row>
    <row r="30" spans="1:19" ht="18" customHeight="1" x14ac:dyDescent="0.15">
      <c r="A30" s="3"/>
      <c r="B30" s="126"/>
      <c r="C30" s="94"/>
      <c r="D30" s="94"/>
      <c r="E30" s="95"/>
      <c r="F30" s="22"/>
      <c r="G30" s="22"/>
      <c r="H30" s="22"/>
      <c r="I30" s="22"/>
      <c r="J30" s="126"/>
      <c r="K30" s="94"/>
      <c r="L30" s="94"/>
      <c r="M30" s="94"/>
      <c r="N30" s="94"/>
      <c r="O30" s="95"/>
      <c r="P30" s="22"/>
      <c r="Q30" s="22"/>
      <c r="R30" s="22"/>
      <c r="S30" s="22"/>
    </row>
    <row r="31" spans="1:19" ht="18" customHeight="1" x14ac:dyDescent="0.15">
      <c r="A31" s="3"/>
      <c r="B31" s="130"/>
      <c r="C31" s="131"/>
      <c r="D31" s="131"/>
      <c r="E31" s="132"/>
      <c r="F31" s="23"/>
      <c r="G31" s="23"/>
      <c r="H31" s="24"/>
      <c r="I31" s="24"/>
      <c r="J31" s="130"/>
      <c r="K31" s="131"/>
      <c r="L31" s="131"/>
      <c r="M31" s="131"/>
      <c r="N31" s="131"/>
      <c r="O31" s="132"/>
      <c r="P31" s="23"/>
      <c r="Q31" s="23"/>
      <c r="R31" s="24"/>
      <c r="S31" s="24"/>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44" t="s">
        <v>114</v>
      </c>
      <c r="B33" s="144"/>
      <c r="C33" s="144"/>
      <c r="D33" s="144"/>
      <c r="E33" s="144"/>
      <c r="F33" s="144"/>
      <c r="G33" s="144"/>
      <c r="H33" s="144"/>
      <c r="I33" s="144"/>
      <c r="J33" s="144"/>
      <c r="K33" s="144"/>
      <c r="L33" s="144"/>
      <c r="M33" s="144"/>
      <c r="N33" s="144"/>
      <c r="O33" s="144"/>
      <c r="P33" s="144"/>
      <c r="Q33" s="144"/>
      <c r="R33" s="144"/>
      <c r="S33" s="144"/>
    </row>
    <row r="34" spans="1:19" ht="18" customHeight="1" x14ac:dyDescent="0.15">
      <c r="A34" s="144"/>
      <c r="B34" s="144"/>
      <c r="C34" s="144"/>
      <c r="D34" s="144"/>
      <c r="E34" s="144"/>
      <c r="F34" s="144"/>
      <c r="G34" s="144"/>
      <c r="H34" s="144"/>
      <c r="I34" s="144"/>
      <c r="J34" s="144"/>
      <c r="K34" s="144"/>
      <c r="L34" s="144"/>
      <c r="M34" s="144"/>
      <c r="N34" s="144"/>
      <c r="O34" s="144"/>
      <c r="P34" s="144"/>
      <c r="Q34" s="144"/>
      <c r="R34" s="144"/>
      <c r="S34" s="144"/>
    </row>
    <row r="35" spans="1:19" ht="18" customHeight="1" x14ac:dyDescent="0.15">
      <c r="B35" s="136" t="s">
        <v>53</v>
      </c>
      <c r="C35" s="116"/>
      <c r="D35" s="116"/>
      <c r="E35" s="117"/>
      <c r="F35" s="59" t="s">
        <v>80</v>
      </c>
      <c r="G35" s="58" t="s">
        <v>84</v>
      </c>
      <c r="H35" s="20" t="s">
        <v>71</v>
      </c>
      <c r="I35" s="20" t="s">
        <v>72</v>
      </c>
      <c r="J35" s="136" t="s">
        <v>53</v>
      </c>
      <c r="K35" s="116"/>
      <c r="L35" s="116"/>
      <c r="M35" s="116"/>
      <c r="N35" s="116"/>
      <c r="O35" s="117"/>
      <c r="P35" s="59" t="s">
        <v>80</v>
      </c>
      <c r="Q35" s="58" t="s">
        <v>84</v>
      </c>
      <c r="R35" s="20" t="s">
        <v>71</v>
      </c>
      <c r="S35" s="20" t="s">
        <v>72</v>
      </c>
    </row>
    <row r="36" spans="1:19" ht="18" customHeight="1" x14ac:dyDescent="0.15">
      <c r="B36" s="140" t="s">
        <v>165</v>
      </c>
      <c r="C36" s="91"/>
      <c r="D36" s="91"/>
      <c r="E36" s="92"/>
      <c r="F36" s="21">
        <v>1</v>
      </c>
      <c r="G36" s="21" t="s">
        <v>131</v>
      </c>
      <c r="H36" s="21" t="s">
        <v>131</v>
      </c>
      <c r="I36" s="21" t="s">
        <v>131</v>
      </c>
      <c r="J36" s="140"/>
      <c r="K36" s="91"/>
      <c r="L36" s="91"/>
      <c r="M36" s="91"/>
      <c r="N36" s="91"/>
      <c r="O36" s="92"/>
      <c r="P36" s="21"/>
      <c r="Q36" s="21"/>
      <c r="R36" s="21"/>
      <c r="S36" s="21"/>
    </row>
    <row r="37" spans="1:19" ht="18" customHeight="1" x14ac:dyDescent="0.15">
      <c r="B37" s="126"/>
      <c r="C37" s="94"/>
      <c r="D37" s="94"/>
      <c r="E37" s="95"/>
      <c r="F37" s="22"/>
      <c r="G37" s="22"/>
      <c r="H37" s="22"/>
      <c r="I37" s="22"/>
      <c r="J37" s="126"/>
      <c r="K37" s="94"/>
      <c r="L37" s="94"/>
      <c r="M37" s="94"/>
      <c r="N37" s="94"/>
      <c r="O37" s="95"/>
      <c r="P37" s="22"/>
      <c r="Q37" s="22"/>
      <c r="R37" s="22"/>
      <c r="S37" s="22"/>
    </row>
    <row r="38" spans="1:19" ht="18" customHeight="1" x14ac:dyDescent="0.15">
      <c r="B38" s="126"/>
      <c r="C38" s="94"/>
      <c r="D38" s="94"/>
      <c r="E38" s="95"/>
      <c r="F38" s="22"/>
      <c r="G38" s="22"/>
      <c r="H38" s="22"/>
      <c r="I38" s="22"/>
      <c r="J38" s="126"/>
      <c r="K38" s="94"/>
      <c r="L38" s="94"/>
      <c r="M38" s="94"/>
      <c r="N38" s="94"/>
      <c r="O38" s="95"/>
      <c r="P38" s="22"/>
      <c r="Q38" s="22"/>
      <c r="R38" s="22"/>
      <c r="S38" s="22"/>
    </row>
    <row r="39" spans="1:19" ht="18" customHeight="1" x14ac:dyDescent="0.15">
      <c r="B39" s="126"/>
      <c r="C39" s="94"/>
      <c r="D39" s="94"/>
      <c r="E39" s="95"/>
      <c r="F39" s="22"/>
      <c r="G39" s="22"/>
      <c r="H39" s="22"/>
      <c r="I39" s="22"/>
      <c r="J39" s="126"/>
      <c r="K39" s="94"/>
      <c r="L39" s="94"/>
      <c r="M39" s="94"/>
      <c r="N39" s="94"/>
      <c r="O39" s="95"/>
      <c r="P39" s="22"/>
      <c r="Q39" s="22"/>
      <c r="R39" s="22"/>
      <c r="S39" s="22"/>
    </row>
    <row r="40" spans="1:19" ht="18" customHeight="1" x14ac:dyDescent="0.15">
      <c r="B40" s="126"/>
      <c r="C40" s="94"/>
      <c r="D40" s="94"/>
      <c r="E40" s="95"/>
      <c r="F40" s="22"/>
      <c r="G40" s="22"/>
      <c r="H40" s="22"/>
      <c r="I40" s="22"/>
      <c r="J40" s="126"/>
      <c r="K40" s="94"/>
      <c r="L40" s="94"/>
      <c r="M40" s="94"/>
      <c r="N40" s="94"/>
      <c r="O40" s="95"/>
      <c r="P40" s="22"/>
      <c r="Q40" s="22"/>
      <c r="R40" s="22"/>
      <c r="S40" s="22"/>
    </row>
    <row r="41" spans="1:19" ht="18" customHeight="1" x14ac:dyDescent="0.15">
      <c r="B41" s="126"/>
      <c r="C41" s="94"/>
      <c r="D41" s="94"/>
      <c r="E41" s="95"/>
      <c r="F41" s="22"/>
      <c r="G41" s="22"/>
      <c r="H41" s="22"/>
      <c r="I41" s="22"/>
      <c r="J41" s="126"/>
      <c r="K41" s="94"/>
      <c r="L41" s="94"/>
      <c r="M41" s="94"/>
      <c r="N41" s="94"/>
      <c r="O41" s="95"/>
      <c r="P41" s="22"/>
      <c r="Q41" s="22"/>
      <c r="R41" s="22"/>
      <c r="S41" s="22"/>
    </row>
    <row r="42" spans="1:19" ht="18" customHeight="1" x14ac:dyDescent="0.15">
      <c r="B42" s="130"/>
      <c r="C42" s="131"/>
      <c r="D42" s="131"/>
      <c r="E42" s="132"/>
      <c r="F42" s="23"/>
      <c r="G42" s="23"/>
      <c r="H42" s="24"/>
      <c r="I42" s="24"/>
      <c r="J42" s="130"/>
      <c r="K42" s="131"/>
      <c r="L42" s="131"/>
      <c r="M42" s="131"/>
      <c r="N42" s="131"/>
      <c r="O42" s="132"/>
      <c r="P42" s="23"/>
      <c r="Q42" s="23"/>
      <c r="R42" s="24"/>
      <c r="S42" s="24"/>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44" t="s">
        <v>115</v>
      </c>
      <c r="B44" s="144"/>
      <c r="C44" s="144"/>
      <c r="D44" s="144"/>
      <c r="E44" s="144"/>
      <c r="F44" s="144"/>
      <c r="G44" s="144"/>
      <c r="H44" s="144"/>
      <c r="I44" s="144"/>
      <c r="J44" s="144"/>
      <c r="K44" s="144"/>
      <c r="L44" s="144"/>
      <c r="M44" s="144"/>
      <c r="N44" s="144"/>
      <c r="O44" s="144"/>
      <c r="P44" s="144"/>
      <c r="Q44" s="144"/>
      <c r="R44" s="144"/>
      <c r="S44" s="144"/>
    </row>
    <row r="45" spans="1:19" ht="18" customHeight="1" x14ac:dyDescent="0.15">
      <c r="A45" s="144"/>
      <c r="B45" s="144"/>
      <c r="C45" s="144"/>
      <c r="D45" s="144"/>
      <c r="E45" s="144"/>
      <c r="F45" s="144"/>
      <c r="G45" s="144"/>
      <c r="H45" s="144"/>
      <c r="I45" s="144"/>
      <c r="J45" s="144"/>
      <c r="K45" s="144"/>
      <c r="L45" s="144"/>
      <c r="M45" s="144"/>
      <c r="N45" s="144"/>
      <c r="O45" s="144"/>
      <c r="P45" s="144"/>
      <c r="Q45" s="144"/>
      <c r="R45" s="144"/>
      <c r="S45" s="144"/>
    </row>
    <row r="46" spans="1:19" ht="18" customHeight="1" x14ac:dyDescent="0.15">
      <c r="B46" s="136" t="s">
        <v>53</v>
      </c>
      <c r="C46" s="116"/>
      <c r="D46" s="116"/>
      <c r="E46" s="117"/>
      <c r="F46" s="59" t="s">
        <v>80</v>
      </c>
      <c r="G46" s="58" t="s">
        <v>84</v>
      </c>
      <c r="H46" s="20" t="s">
        <v>73</v>
      </c>
      <c r="I46" s="20" t="s">
        <v>74</v>
      </c>
      <c r="J46" s="136" t="s">
        <v>53</v>
      </c>
      <c r="K46" s="116"/>
      <c r="L46" s="116"/>
      <c r="M46" s="116"/>
      <c r="N46" s="116"/>
      <c r="O46" s="117"/>
      <c r="P46" s="59" t="s">
        <v>80</v>
      </c>
      <c r="Q46" s="58" t="s">
        <v>84</v>
      </c>
      <c r="R46" s="20" t="s">
        <v>73</v>
      </c>
      <c r="S46" s="20" t="s">
        <v>74</v>
      </c>
    </row>
    <row r="47" spans="1:19" ht="18" customHeight="1" x14ac:dyDescent="0.15">
      <c r="A47" s="3"/>
      <c r="B47" s="140" t="s">
        <v>165</v>
      </c>
      <c r="C47" s="91"/>
      <c r="D47" s="91"/>
      <c r="E47" s="92"/>
      <c r="F47" s="21">
        <v>1</v>
      </c>
      <c r="G47" s="21" t="s">
        <v>131</v>
      </c>
      <c r="H47" s="21" t="s">
        <v>131</v>
      </c>
      <c r="I47" s="21" t="s">
        <v>131</v>
      </c>
      <c r="J47" s="140"/>
      <c r="K47" s="91"/>
      <c r="L47" s="91"/>
      <c r="M47" s="91"/>
      <c r="N47" s="91"/>
      <c r="O47" s="92"/>
      <c r="P47" s="21"/>
      <c r="Q47" s="21"/>
      <c r="R47" s="21"/>
      <c r="S47" s="21"/>
    </row>
    <row r="48" spans="1:19" ht="18" customHeight="1" x14ac:dyDescent="0.15">
      <c r="A48" s="3"/>
      <c r="B48" s="126"/>
      <c r="C48" s="94"/>
      <c r="D48" s="94"/>
      <c r="E48" s="95"/>
      <c r="F48" s="22"/>
      <c r="G48" s="22"/>
      <c r="H48" s="22"/>
      <c r="I48" s="22"/>
      <c r="J48" s="126"/>
      <c r="K48" s="94"/>
      <c r="L48" s="94"/>
      <c r="M48" s="94"/>
      <c r="N48" s="94"/>
      <c r="O48" s="95"/>
      <c r="P48" s="22"/>
      <c r="Q48" s="22"/>
      <c r="R48" s="22"/>
      <c r="S48" s="22"/>
    </row>
    <row r="49" spans="1:19" ht="18" customHeight="1" x14ac:dyDescent="0.15">
      <c r="A49" s="3"/>
      <c r="B49" s="126"/>
      <c r="C49" s="94"/>
      <c r="D49" s="94"/>
      <c r="E49" s="95"/>
      <c r="F49" s="22"/>
      <c r="G49" s="22"/>
      <c r="H49" s="22"/>
      <c r="I49" s="22"/>
      <c r="J49" s="126"/>
      <c r="K49" s="94"/>
      <c r="L49" s="94"/>
      <c r="M49" s="94"/>
      <c r="N49" s="94"/>
      <c r="O49" s="95"/>
      <c r="P49" s="22"/>
      <c r="Q49" s="22"/>
      <c r="R49" s="22"/>
      <c r="S49" s="22"/>
    </row>
    <row r="50" spans="1:19" ht="18" customHeight="1" x14ac:dyDescent="0.15">
      <c r="A50" s="3"/>
      <c r="B50" s="126"/>
      <c r="C50" s="94"/>
      <c r="D50" s="94"/>
      <c r="E50" s="95"/>
      <c r="F50" s="22"/>
      <c r="G50" s="22"/>
      <c r="H50" s="22"/>
      <c r="I50" s="22"/>
      <c r="J50" s="126"/>
      <c r="K50" s="94"/>
      <c r="L50" s="94"/>
      <c r="M50" s="94"/>
      <c r="N50" s="94"/>
      <c r="O50" s="95"/>
      <c r="P50" s="22"/>
      <c r="Q50" s="22"/>
      <c r="R50" s="22"/>
      <c r="S50" s="22"/>
    </row>
    <row r="51" spans="1:19" ht="18" customHeight="1" x14ac:dyDescent="0.15">
      <c r="A51" s="3"/>
      <c r="B51" s="126"/>
      <c r="C51" s="94"/>
      <c r="D51" s="94"/>
      <c r="E51" s="95"/>
      <c r="F51" s="22"/>
      <c r="G51" s="22"/>
      <c r="H51" s="22"/>
      <c r="I51" s="22"/>
      <c r="J51" s="126"/>
      <c r="K51" s="94"/>
      <c r="L51" s="94"/>
      <c r="M51" s="94"/>
      <c r="N51" s="94"/>
      <c r="O51" s="95"/>
      <c r="P51" s="22"/>
      <c r="Q51" s="22"/>
      <c r="R51" s="22"/>
      <c r="S51" s="22"/>
    </row>
    <row r="52" spans="1:19" ht="18" customHeight="1" x14ac:dyDescent="0.15">
      <c r="A52" s="3"/>
      <c r="B52" s="126"/>
      <c r="C52" s="94"/>
      <c r="D52" s="94"/>
      <c r="E52" s="95"/>
      <c r="F52" s="22"/>
      <c r="G52" s="22"/>
      <c r="H52" s="22"/>
      <c r="I52" s="22"/>
      <c r="J52" s="126"/>
      <c r="K52" s="94"/>
      <c r="L52" s="94"/>
      <c r="M52" s="94"/>
      <c r="N52" s="94"/>
      <c r="O52" s="95"/>
      <c r="P52" s="22"/>
      <c r="Q52" s="22"/>
      <c r="R52" s="22"/>
      <c r="S52" s="22"/>
    </row>
    <row r="53" spans="1:19" ht="18" customHeight="1" x14ac:dyDescent="0.15">
      <c r="A53" s="3"/>
      <c r="B53" s="130"/>
      <c r="C53" s="131"/>
      <c r="D53" s="131"/>
      <c r="E53" s="132"/>
      <c r="F53" s="23"/>
      <c r="G53" s="23"/>
      <c r="H53" s="24"/>
      <c r="I53" s="24"/>
      <c r="J53" s="130"/>
      <c r="K53" s="131"/>
      <c r="L53" s="131"/>
      <c r="M53" s="131"/>
      <c r="N53" s="131"/>
      <c r="O53" s="132"/>
      <c r="P53" s="23"/>
      <c r="Q53" s="23"/>
      <c r="R53" s="24"/>
      <c r="S53" s="24"/>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44" t="s">
        <v>116</v>
      </c>
      <c r="B55" s="144"/>
      <c r="C55" s="144"/>
      <c r="D55" s="144"/>
      <c r="E55" s="144"/>
      <c r="F55" s="144"/>
      <c r="G55" s="144"/>
      <c r="H55" s="144"/>
      <c r="I55" s="144"/>
      <c r="J55" s="144"/>
      <c r="K55" s="144"/>
      <c r="L55" s="144"/>
      <c r="M55" s="144"/>
      <c r="N55" s="144"/>
      <c r="O55" s="144"/>
      <c r="P55" s="144"/>
      <c r="Q55" s="144"/>
      <c r="R55" s="144"/>
      <c r="S55" s="144"/>
    </row>
    <row r="56" spans="1:19" ht="18" customHeight="1" x14ac:dyDescent="0.15">
      <c r="A56" s="144"/>
      <c r="B56" s="144"/>
      <c r="C56" s="144"/>
      <c r="D56" s="144"/>
      <c r="E56" s="144"/>
      <c r="F56" s="144"/>
      <c r="G56" s="144"/>
      <c r="H56" s="144"/>
      <c r="I56" s="144"/>
      <c r="J56" s="144"/>
      <c r="K56" s="144"/>
      <c r="L56" s="144"/>
      <c r="M56" s="144"/>
      <c r="N56" s="144"/>
      <c r="O56" s="144"/>
      <c r="P56" s="144"/>
      <c r="Q56" s="144"/>
      <c r="R56" s="144"/>
      <c r="S56" s="144"/>
    </row>
    <row r="57" spans="1:19" ht="18" customHeight="1" x14ac:dyDescent="0.15">
      <c r="B57" s="136" t="s">
        <v>53</v>
      </c>
      <c r="C57" s="116"/>
      <c r="D57" s="116"/>
      <c r="E57" s="117"/>
      <c r="F57" s="59" t="s">
        <v>80</v>
      </c>
      <c r="G57" s="58" t="s">
        <v>84</v>
      </c>
      <c r="H57" s="20" t="s">
        <v>58</v>
      </c>
      <c r="I57" s="20" t="s">
        <v>60</v>
      </c>
      <c r="J57" s="136" t="s">
        <v>53</v>
      </c>
      <c r="K57" s="116"/>
      <c r="L57" s="116"/>
      <c r="M57" s="116"/>
      <c r="N57" s="116"/>
      <c r="O57" s="117"/>
      <c r="P57" s="59" t="s">
        <v>80</v>
      </c>
      <c r="Q57" s="58" t="s">
        <v>84</v>
      </c>
      <c r="R57" s="20" t="s">
        <v>58</v>
      </c>
      <c r="S57" s="20" t="s">
        <v>60</v>
      </c>
    </row>
    <row r="58" spans="1:19" ht="18" customHeight="1" x14ac:dyDescent="0.15">
      <c r="A58" s="3"/>
      <c r="B58" s="140" t="s">
        <v>165</v>
      </c>
      <c r="C58" s="91"/>
      <c r="D58" s="91"/>
      <c r="E58" s="92"/>
      <c r="F58" s="21">
        <v>1</v>
      </c>
      <c r="G58" s="21" t="s">
        <v>131</v>
      </c>
      <c r="H58" s="21" t="s">
        <v>131</v>
      </c>
      <c r="I58" s="21" t="s">
        <v>131</v>
      </c>
      <c r="J58" s="140"/>
      <c r="K58" s="91"/>
      <c r="L58" s="91"/>
      <c r="M58" s="91"/>
      <c r="N58" s="91"/>
      <c r="O58" s="92"/>
      <c r="P58" s="21"/>
      <c r="Q58" s="21"/>
      <c r="R58" s="21"/>
      <c r="S58" s="21"/>
    </row>
    <row r="59" spans="1:19" ht="18" customHeight="1" x14ac:dyDescent="0.15">
      <c r="A59" s="3"/>
      <c r="B59" s="126"/>
      <c r="C59" s="94"/>
      <c r="D59" s="94"/>
      <c r="E59" s="95"/>
      <c r="F59" s="22"/>
      <c r="G59" s="22"/>
      <c r="H59" s="22"/>
      <c r="I59" s="22"/>
      <c r="J59" s="126"/>
      <c r="K59" s="94"/>
      <c r="L59" s="94"/>
      <c r="M59" s="94"/>
      <c r="N59" s="94"/>
      <c r="O59" s="95"/>
      <c r="P59" s="22"/>
      <c r="Q59" s="22"/>
      <c r="R59" s="22"/>
      <c r="S59" s="22"/>
    </row>
    <row r="60" spans="1:19" ht="18" customHeight="1" x14ac:dyDescent="0.15">
      <c r="A60" s="3"/>
      <c r="B60" s="126"/>
      <c r="C60" s="94"/>
      <c r="D60" s="94"/>
      <c r="E60" s="95"/>
      <c r="F60" s="22"/>
      <c r="G60" s="22"/>
      <c r="H60" s="22"/>
      <c r="I60" s="22"/>
      <c r="J60" s="126"/>
      <c r="K60" s="94"/>
      <c r="L60" s="94"/>
      <c r="M60" s="94"/>
      <c r="N60" s="94"/>
      <c r="O60" s="95"/>
      <c r="P60" s="22"/>
      <c r="Q60" s="22"/>
      <c r="R60" s="22"/>
      <c r="S60" s="22"/>
    </row>
    <row r="61" spans="1:19" ht="18" customHeight="1" x14ac:dyDescent="0.15">
      <c r="A61" s="3"/>
      <c r="B61" s="126"/>
      <c r="C61" s="94"/>
      <c r="D61" s="94"/>
      <c r="E61" s="95"/>
      <c r="F61" s="22"/>
      <c r="G61" s="22"/>
      <c r="H61" s="22"/>
      <c r="I61" s="22"/>
      <c r="J61" s="126"/>
      <c r="K61" s="94"/>
      <c r="L61" s="94"/>
      <c r="M61" s="94"/>
      <c r="N61" s="94"/>
      <c r="O61" s="95"/>
      <c r="P61" s="22"/>
      <c r="Q61" s="22"/>
      <c r="R61" s="22"/>
      <c r="S61" s="22"/>
    </row>
    <row r="62" spans="1:19" ht="18" customHeight="1" x14ac:dyDescent="0.15">
      <c r="A62" s="3"/>
      <c r="B62" s="126"/>
      <c r="C62" s="94"/>
      <c r="D62" s="94"/>
      <c r="E62" s="95"/>
      <c r="F62" s="22"/>
      <c r="G62" s="22"/>
      <c r="H62" s="22"/>
      <c r="I62" s="22"/>
      <c r="J62" s="126"/>
      <c r="K62" s="94"/>
      <c r="L62" s="94"/>
      <c r="M62" s="94"/>
      <c r="N62" s="94"/>
      <c r="O62" s="95"/>
      <c r="P62" s="22"/>
      <c r="Q62" s="22"/>
      <c r="R62" s="22"/>
      <c r="S62" s="22"/>
    </row>
    <row r="63" spans="1:19" ht="18" customHeight="1" x14ac:dyDescent="0.15">
      <c r="A63" s="3"/>
      <c r="B63" s="126"/>
      <c r="C63" s="94"/>
      <c r="D63" s="94"/>
      <c r="E63" s="95"/>
      <c r="F63" s="22"/>
      <c r="G63" s="22"/>
      <c r="H63" s="22"/>
      <c r="I63" s="22"/>
      <c r="J63" s="126"/>
      <c r="K63" s="94"/>
      <c r="L63" s="94"/>
      <c r="M63" s="94"/>
      <c r="N63" s="94"/>
      <c r="O63" s="95"/>
      <c r="P63" s="22"/>
      <c r="Q63" s="22"/>
      <c r="R63" s="22"/>
      <c r="S63" s="22"/>
    </row>
    <row r="64" spans="1:19" ht="18" customHeight="1" x14ac:dyDescent="0.15">
      <c r="A64" s="3"/>
      <c r="B64" s="130"/>
      <c r="C64" s="131"/>
      <c r="D64" s="131"/>
      <c r="E64" s="132"/>
      <c r="F64" s="23"/>
      <c r="G64" s="23"/>
      <c r="H64" s="24"/>
      <c r="I64" s="24"/>
      <c r="J64" s="130"/>
      <c r="K64" s="131"/>
      <c r="L64" s="131"/>
      <c r="M64" s="131"/>
      <c r="N64" s="131"/>
      <c r="O64" s="132"/>
      <c r="P64" s="23"/>
      <c r="Q64" s="23"/>
      <c r="R64" s="24"/>
      <c r="S64" s="24"/>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44" t="s">
        <v>117</v>
      </c>
      <c r="B66" s="144"/>
      <c r="C66" s="144"/>
      <c r="D66" s="144"/>
      <c r="E66" s="144"/>
      <c r="F66" s="144"/>
      <c r="G66" s="144"/>
      <c r="H66" s="144"/>
      <c r="I66" s="144"/>
      <c r="J66" s="144"/>
      <c r="K66" s="144"/>
      <c r="L66" s="144"/>
      <c r="M66" s="144"/>
      <c r="N66" s="144"/>
      <c r="O66" s="144"/>
      <c r="P66" s="144"/>
      <c r="Q66" s="144"/>
      <c r="R66" s="144"/>
      <c r="S66" s="144"/>
    </row>
    <row r="67" spans="1:19" ht="18" customHeight="1" x14ac:dyDescent="0.15">
      <c r="A67" s="144"/>
      <c r="B67" s="144"/>
      <c r="C67" s="144"/>
      <c r="D67" s="144"/>
      <c r="E67" s="144"/>
      <c r="F67" s="144"/>
      <c r="G67" s="144"/>
      <c r="H67" s="144"/>
      <c r="I67" s="144"/>
      <c r="J67" s="144"/>
      <c r="K67" s="144"/>
      <c r="L67" s="144"/>
      <c r="M67" s="144"/>
      <c r="N67" s="144"/>
      <c r="O67" s="144"/>
      <c r="P67" s="144"/>
      <c r="Q67" s="144"/>
      <c r="R67" s="144"/>
      <c r="S67" s="144"/>
    </row>
    <row r="68" spans="1:19" ht="18" customHeight="1" x14ac:dyDescent="0.15">
      <c r="B68" s="136" t="s">
        <v>53</v>
      </c>
      <c r="C68" s="116"/>
      <c r="D68" s="116"/>
      <c r="E68" s="59" t="s">
        <v>80</v>
      </c>
      <c r="F68" s="58" t="s">
        <v>84</v>
      </c>
      <c r="G68" s="20" t="s">
        <v>101</v>
      </c>
      <c r="H68" s="20" t="s">
        <v>75</v>
      </c>
      <c r="I68" s="20" t="s">
        <v>76</v>
      </c>
      <c r="J68" s="136" t="s">
        <v>53</v>
      </c>
      <c r="K68" s="116"/>
      <c r="L68" s="116"/>
      <c r="M68" s="116"/>
      <c r="N68" s="117"/>
      <c r="O68" s="59" t="s">
        <v>80</v>
      </c>
      <c r="P68" s="58" t="s">
        <v>84</v>
      </c>
      <c r="Q68" s="20" t="s">
        <v>101</v>
      </c>
      <c r="R68" s="20" t="s">
        <v>75</v>
      </c>
      <c r="S68" s="20" t="s">
        <v>76</v>
      </c>
    </row>
    <row r="69" spans="1:19" ht="18" customHeight="1" x14ac:dyDescent="0.15">
      <c r="A69" s="3"/>
      <c r="B69" s="140" t="s">
        <v>165</v>
      </c>
      <c r="C69" s="91"/>
      <c r="D69" s="91"/>
      <c r="E69" s="21">
        <v>1</v>
      </c>
      <c r="F69" s="21" t="s">
        <v>131</v>
      </c>
      <c r="G69" s="21" t="s">
        <v>131</v>
      </c>
      <c r="H69" s="21" t="s">
        <v>131</v>
      </c>
      <c r="I69" s="21"/>
      <c r="J69" s="140"/>
      <c r="K69" s="91"/>
      <c r="L69" s="91"/>
      <c r="M69" s="91"/>
      <c r="N69" s="92"/>
      <c r="O69" s="21"/>
      <c r="P69" s="21"/>
      <c r="Q69" s="21"/>
      <c r="R69" s="21"/>
      <c r="S69" s="21"/>
    </row>
    <row r="70" spans="1:19" ht="18" customHeight="1" x14ac:dyDescent="0.15">
      <c r="A70" s="3"/>
      <c r="B70" s="126" t="s">
        <v>167</v>
      </c>
      <c r="C70" s="94"/>
      <c r="D70" s="94"/>
      <c r="E70" s="22">
        <v>1</v>
      </c>
      <c r="F70" s="22" t="s">
        <v>131</v>
      </c>
      <c r="G70" s="22" t="s">
        <v>131</v>
      </c>
      <c r="H70" s="22" t="s">
        <v>131</v>
      </c>
      <c r="I70" s="22" t="s">
        <v>131</v>
      </c>
      <c r="J70" s="126"/>
      <c r="K70" s="94"/>
      <c r="L70" s="94"/>
      <c r="M70" s="94"/>
      <c r="N70" s="95"/>
      <c r="O70" s="22"/>
      <c r="P70" s="22"/>
      <c r="Q70" s="22"/>
      <c r="R70" s="22"/>
      <c r="S70" s="22"/>
    </row>
    <row r="71" spans="1:19" ht="18" customHeight="1" x14ac:dyDescent="0.15">
      <c r="A71" s="3"/>
      <c r="B71" s="126" t="s">
        <v>166</v>
      </c>
      <c r="C71" s="94"/>
      <c r="D71" s="94"/>
      <c r="E71" s="22">
        <v>1</v>
      </c>
      <c r="F71" s="22"/>
      <c r="G71" s="22"/>
      <c r="H71" s="22" t="s">
        <v>131</v>
      </c>
      <c r="I71" s="22" t="s">
        <v>131</v>
      </c>
      <c r="J71" s="126"/>
      <c r="K71" s="94"/>
      <c r="L71" s="94"/>
      <c r="M71" s="94"/>
      <c r="N71" s="95"/>
      <c r="O71" s="22"/>
      <c r="P71" s="22"/>
      <c r="Q71" s="22"/>
      <c r="R71" s="22"/>
      <c r="S71" s="22"/>
    </row>
    <row r="72" spans="1:19" ht="18" customHeight="1" x14ac:dyDescent="0.15">
      <c r="A72" s="3"/>
      <c r="B72" s="126" t="s">
        <v>168</v>
      </c>
      <c r="C72" s="94"/>
      <c r="D72" s="94"/>
      <c r="E72" s="22">
        <v>2</v>
      </c>
      <c r="F72" s="22"/>
      <c r="G72" s="22" t="s">
        <v>131</v>
      </c>
      <c r="H72" s="22" t="s">
        <v>131</v>
      </c>
      <c r="I72" s="22"/>
      <c r="J72" s="126"/>
      <c r="K72" s="94"/>
      <c r="L72" s="94"/>
      <c r="M72" s="94"/>
      <c r="N72" s="95"/>
      <c r="O72" s="22"/>
      <c r="P72" s="22"/>
      <c r="Q72" s="22"/>
      <c r="R72" s="22"/>
      <c r="S72" s="22"/>
    </row>
    <row r="73" spans="1:19" ht="18" customHeight="1" x14ac:dyDescent="0.15">
      <c r="A73" s="3"/>
      <c r="B73" s="126"/>
      <c r="C73" s="94"/>
      <c r="D73" s="94"/>
      <c r="E73" s="22"/>
      <c r="F73" s="22"/>
      <c r="G73" s="22"/>
      <c r="H73" s="22"/>
      <c r="I73" s="22"/>
      <c r="J73" s="126"/>
      <c r="K73" s="94"/>
      <c r="L73" s="94"/>
      <c r="M73" s="94"/>
      <c r="N73" s="95"/>
      <c r="O73" s="22"/>
      <c r="P73" s="22"/>
      <c r="Q73" s="22"/>
      <c r="R73" s="22"/>
      <c r="S73" s="22"/>
    </row>
    <row r="74" spans="1:19" ht="18" customHeight="1" x14ac:dyDescent="0.15">
      <c r="A74" s="3"/>
      <c r="B74" s="126"/>
      <c r="C74" s="94"/>
      <c r="D74" s="94"/>
      <c r="E74" s="22"/>
      <c r="F74" s="22"/>
      <c r="G74" s="22"/>
      <c r="H74" s="22"/>
      <c r="I74" s="22"/>
      <c r="J74" s="126"/>
      <c r="K74" s="94"/>
      <c r="L74" s="94"/>
      <c r="M74" s="94"/>
      <c r="N74" s="95"/>
      <c r="O74" s="22"/>
      <c r="P74" s="22"/>
      <c r="Q74" s="22"/>
      <c r="R74" s="22"/>
      <c r="S74" s="22"/>
    </row>
    <row r="75" spans="1:19" ht="18" customHeight="1" x14ac:dyDescent="0.15">
      <c r="A75" s="3"/>
      <c r="B75" s="130"/>
      <c r="C75" s="131"/>
      <c r="D75" s="131"/>
      <c r="E75" s="23"/>
      <c r="F75" s="23"/>
      <c r="G75" s="24"/>
      <c r="H75" s="24"/>
      <c r="I75" s="24"/>
      <c r="J75" s="130"/>
      <c r="K75" s="131"/>
      <c r="L75" s="131"/>
      <c r="M75" s="131"/>
      <c r="N75" s="132"/>
      <c r="O75" s="23"/>
      <c r="P75" s="23"/>
      <c r="Q75" s="24"/>
      <c r="R75" s="24"/>
      <c r="S75" s="24"/>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118</v>
      </c>
      <c r="H77" s="3"/>
      <c r="I77" s="3"/>
      <c r="J77" s="3"/>
      <c r="K77" s="3"/>
      <c r="L77" s="3"/>
      <c r="M77" s="3"/>
      <c r="N77" s="3"/>
      <c r="O77" s="3"/>
      <c r="P77" s="3"/>
      <c r="Q77" s="3"/>
      <c r="R77" s="3"/>
      <c r="S77" s="3"/>
    </row>
    <row r="78" spans="1:19" ht="18" customHeight="1" x14ac:dyDescent="0.15">
      <c r="B78" s="136" t="s">
        <v>53</v>
      </c>
      <c r="C78" s="116"/>
      <c r="D78" s="116"/>
      <c r="E78" s="117"/>
      <c r="F78" s="136" t="s">
        <v>82</v>
      </c>
      <c r="G78" s="116"/>
      <c r="H78" s="116"/>
      <c r="I78" s="117"/>
      <c r="J78" s="137" t="s">
        <v>53</v>
      </c>
      <c r="K78" s="138"/>
      <c r="L78" s="138"/>
      <c r="M78" s="138"/>
      <c r="N78" s="138"/>
      <c r="O78" s="139"/>
      <c r="P78" s="136" t="s">
        <v>82</v>
      </c>
      <c r="Q78" s="116"/>
      <c r="R78" s="116"/>
      <c r="S78" s="117"/>
    </row>
    <row r="79" spans="1:19" ht="18" customHeight="1" x14ac:dyDescent="0.15">
      <c r="A79" s="3"/>
      <c r="B79" s="140" t="s">
        <v>169</v>
      </c>
      <c r="C79" s="91"/>
      <c r="D79" s="91"/>
      <c r="E79" s="92"/>
      <c r="F79" s="141" t="s">
        <v>139</v>
      </c>
      <c r="G79" s="142"/>
      <c r="H79" s="142"/>
      <c r="I79" s="143"/>
      <c r="J79" s="140"/>
      <c r="K79" s="91"/>
      <c r="L79" s="91"/>
      <c r="M79" s="91"/>
      <c r="N79" s="91"/>
      <c r="O79" s="92"/>
      <c r="P79" s="141"/>
      <c r="Q79" s="142"/>
      <c r="R79" s="142"/>
      <c r="S79" s="143"/>
    </row>
    <row r="80" spans="1:19" ht="18" customHeight="1" x14ac:dyDescent="0.15">
      <c r="A80" s="3"/>
      <c r="B80" s="126" t="s">
        <v>170</v>
      </c>
      <c r="C80" s="94"/>
      <c r="D80" s="94"/>
      <c r="E80" s="95"/>
      <c r="F80" s="127" t="s">
        <v>139</v>
      </c>
      <c r="G80" s="128"/>
      <c r="H80" s="128"/>
      <c r="I80" s="129"/>
      <c r="J80" s="126"/>
      <c r="K80" s="94"/>
      <c r="L80" s="94"/>
      <c r="M80" s="94"/>
      <c r="N80" s="94"/>
      <c r="O80" s="95"/>
      <c r="P80" s="127"/>
      <c r="Q80" s="128"/>
      <c r="R80" s="128"/>
      <c r="S80" s="129"/>
    </row>
    <row r="81" spans="1:19" ht="18" customHeight="1" x14ac:dyDescent="0.15">
      <c r="A81" s="3"/>
      <c r="B81" s="126"/>
      <c r="C81" s="94"/>
      <c r="D81" s="94"/>
      <c r="E81" s="95"/>
      <c r="F81" s="127"/>
      <c r="G81" s="128"/>
      <c r="H81" s="128"/>
      <c r="I81" s="129"/>
      <c r="J81" s="126"/>
      <c r="K81" s="94"/>
      <c r="L81" s="94"/>
      <c r="M81" s="94"/>
      <c r="N81" s="94"/>
      <c r="O81" s="95"/>
      <c r="P81" s="127"/>
      <c r="Q81" s="128"/>
      <c r="R81" s="128"/>
      <c r="S81" s="129"/>
    </row>
    <row r="82" spans="1:19" ht="18" customHeight="1" x14ac:dyDescent="0.15">
      <c r="A82" s="3"/>
      <c r="B82" s="126"/>
      <c r="C82" s="94"/>
      <c r="D82" s="94"/>
      <c r="E82" s="95"/>
      <c r="F82" s="127"/>
      <c r="G82" s="128"/>
      <c r="H82" s="128"/>
      <c r="I82" s="129"/>
      <c r="J82" s="126"/>
      <c r="K82" s="94"/>
      <c r="L82" s="94"/>
      <c r="M82" s="94"/>
      <c r="N82" s="94"/>
      <c r="O82" s="95"/>
      <c r="P82" s="127"/>
      <c r="Q82" s="128"/>
      <c r="R82" s="128"/>
      <c r="S82" s="129"/>
    </row>
    <row r="83" spans="1:19" ht="18" customHeight="1" x14ac:dyDescent="0.15">
      <c r="A83" s="3"/>
      <c r="B83" s="126"/>
      <c r="C83" s="94"/>
      <c r="D83" s="94"/>
      <c r="E83" s="95"/>
      <c r="F83" s="127"/>
      <c r="G83" s="128"/>
      <c r="H83" s="128"/>
      <c r="I83" s="129"/>
      <c r="J83" s="126"/>
      <c r="K83" s="94"/>
      <c r="L83" s="94"/>
      <c r="M83" s="94"/>
      <c r="N83" s="94"/>
      <c r="O83" s="95"/>
      <c r="P83" s="127"/>
      <c r="Q83" s="128"/>
      <c r="R83" s="128"/>
      <c r="S83" s="129"/>
    </row>
    <row r="84" spans="1:19" ht="18" customHeight="1" x14ac:dyDescent="0.15">
      <c r="A84" s="3"/>
      <c r="B84" s="126"/>
      <c r="C84" s="94"/>
      <c r="D84" s="94"/>
      <c r="E84" s="95"/>
      <c r="F84" s="127"/>
      <c r="G84" s="128"/>
      <c r="H84" s="128"/>
      <c r="I84" s="129"/>
      <c r="J84" s="126"/>
      <c r="K84" s="94"/>
      <c r="L84" s="94"/>
      <c r="M84" s="94"/>
      <c r="N84" s="94"/>
      <c r="O84" s="95"/>
      <c r="P84" s="127"/>
      <c r="Q84" s="128"/>
      <c r="R84" s="128"/>
      <c r="S84" s="129"/>
    </row>
    <row r="85" spans="1:19" ht="18" customHeight="1" x14ac:dyDescent="0.15">
      <c r="A85" s="3"/>
      <c r="B85" s="130"/>
      <c r="C85" s="131"/>
      <c r="D85" s="131"/>
      <c r="E85" s="132"/>
      <c r="F85" s="133"/>
      <c r="G85" s="134"/>
      <c r="H85" s="134"/>
      <c r="I85" s="135"/>
      <c r="J85" s="130"/>
      <c r="K85" s="131"/>
      <c r="L85" s="131"/>
      <c r="M85" s="131"/>
      <c r="N85" s="131"/>
      <c r="O85" s="132"/>
      <c r="P85" s="133"/>
      <c r="Q85" s="134"/>
      <c r="R85" s="134"/>
      <c r="S85" s="135"/>
    </row>
    <row r="86" spans="1:19" ht="18" customHeight="1" x14ac:dyDescent="0.15">
      <c r="A86" s="3"/>
      <c r="B86" s="6"/>
      <c r="C86" s="6"/>
      <c r="D86" s="6"/>
      <c r="E86" s="6"/>
      <c r="F86" s="25"/>
      <c r="G86" s="25"/>
      <c r="H86" s="25"/>
      <c r="I86" s="25"/>
      <c r="J86" s="6"/>
      <c r="K86" s="6"/>
      <c r="L86" s="6"/>
      <c r="M86" s="6"/>
      <c r="N86" s="6"/>
      <c r="O86" s="6"/>
      <c r="P86" s="25"/>
      <c r="Q86" s="25"/>
      <c r="R86" s="25"/>
      <c r="S86" s="25"/>
    </row>
    <row r="87" spans="1:19" ht="18.75" customHeight="1" x14ac:dyDescent="0.15">
      <c r="A87" s="1" t="s">
        <v>119</v>
      </c>
    </row>
    <row r="88" spans="1:19" ht="18.75" customHeight="1" x14ac:dyDescent="0.15">
      <c r="B88" s="114" t="s">
        <v>54</v>
      </c>
      <c r="C88" s="115"/>
      <c r="D88" s="116" t="s">
        <v>55</v>
      </c>
      <c r="E88" s="116"/>
      <c r="F88" s="116"/>
      <c r="G88" s="116"/>
      <c r="H88" s="116"/>
      <c r="I88" s="116"/>
      <c r="J88" s="116"/>
      <c r="K88" s="116"/>
      <c r="L88" s="116"/>
      <c r="M88" s="116"/>
      <c r="N88" s="116"/>
      <c r="O88" s="116"/>
      <c r="P88" s="116"/>
      <c r="Q88" s="116"/>
      <c r="R88" s="116"/>
      <c r="S88" s="117"/>
    </row>
    <row r="89" spans="1:19" ht="97.5" customHeight="1" x14ac:dyDescent="0.15">
      <c r="B89" s="87" t="s">
        <v>61</v>
      </c>
      <c r="C89" s="26" t="s">
        <v>56</v>
      </c>
      <c r="D89" s="118" t="s">
        <v>171</v>
      </c>
      <c r="E89" s="118"/>
      <c r="F89" s="118"/>
      <c r="G89" s="118"/>
      <c r="H89" s="118"/>
      <c r="I89" s="118"/>
      <c r="J89" s="118"/>
      <c r="K89" s="118"/>
      <c r="L89" s="118"/>
      <c r="M89" s="118"/>
      <c r="N89" s="118"/>
      <c r="O89" s="118"/>
      <c r="P89" s="118"/>
      <c r="Q89" s="118"/>
      <c r="R89" s="118"/>
      <c r="S89" s="119"/>
    </row>
    <row r="90" spans="1:19" ht="97.5" customHeight="1" x14ac:dyDescent="0.15">
      <c r="B90" s="88"/>
      <c r="C90" s="27" t="s">
        <v>77</v>
      </c>
      <c r="D90" s="120" t="s">
        <v>172</v>
      </c>
      <c r="E90" s="120"/>
      <c r="F90" s="120"/>
      <c r="G90" s="120"/>
      <c r="H90" s="120"/>
      <c r="I90" s="120"/>
      <c r="J90" s="120"/>
      <c r="K90" s="120"/>
      <c r="L90" s="120"/>
      <c r="M90" s="120"/>
      <c r="N90" s="120"/>
      <c r="O90" s="120"/>
      <c r="P90" s="120"/>
      <c r="Q90" s="120"/>
      <c r="R90" s="120"/>
      <c r="S90" s="121"/>
    </row>
    <row r="91" spans="1:19" ht="97.5" customHeight="1" x14ac:dyDescent="0.15">
      <c r="B91" s="87" t="s">
        <v>62</v>
      </c>
      <c r="C91" s="28" t="s">
        <v>71</v>
      </c>
      <c r="D91" s="122" t="s">
        <v>309</v>
      </c>
      <c r="E91" s="122"/>
      <c r="F91" s="122"/>
      <c r="G91" s="122"/>
      <c r="H91" s="122"/>
      <c r="I91" s="122"/>
      <c r="J91" s="122"/>
      <c r="K91" s="122"/>
      <c r="L91" s="122"/>
      <c r="M91" s="122"/>
      <c r="N91" s="122"/>
      <c r="O91" s="122"/>
      <c r="P91" s="122"/>
      <c r="Q91" s="122"/>
      <c r="R91" s="122"/>
      <c r="S91" s="123"/>
    </row>
    <row r="92" spans="1:19" ht="97.5" customHeight="1" x14ac:dyDescent="0.15">
      <c r="B92" s="89"/>
      <c r="C92" s="29" t="s">
        <v>72</v>
      </c>
      <c r="D92" s="124" t="s">
        <v>173</v>
      </c>
      <c r="E92" s="124"/>
      <c r="F92" s="124"/>
      <c r="G92" s="124"/>
      <c r="H92" s="124"/>
      <c r="I92" s="124"/>
      <c r="J92" s="124"/>
      <c r="K92" s="124"/>
      <c r="L92" s="124"/>
      <c r="M92" s="124"/>
      <c r="N92" s="124"/>
      <c r="O92" s="124"/>
      <c r="P92" s="124"/>
      <c r="Q92" s="124"/>
      <c r="R92" s="124"/>
      <c r="S92" s="125"/>
    </row>
    <row r="93" spans="1:19" ht="97.5" customHeight="1" x14ac:dyDescent="0.15">
      <c r="B93" s="87" t="s">
        <v>63</v>
      </c>
      <c r="C93" s="28" t="s">
        <v>73</v>
      </c>
      <c r="D93" s="102" t="s">
        <v>174</v>
      </c>
      <c r="E93" s="103"/>
      <c r="F93" s="103"/>
      <c r="G93" s="103"/>
      <c r="H93" s="103"/>
      <c r="I93" s="103"/>
      <c r="J93" s="103"/>
      <c r="K93" s="103"/>
      <c r="L93" s="103"/>
      <c r="M93" s="103"/>
      <c r="N93" s="103"/>
      <c r="O93" s="103"/>
      <c r="P93" s="103"/>
      <c r="Q93" s="103"/>
      <c r="R93" s="103"/>
      <c r="S93" s="104"/>
    </row>
    <row r="94" spans="1:19" ht="97.5" customHeight="1" x14ac:dyDescent="0.15">
      <c r="B94" s="89"/>
      <c r="C94" s="30" t="s">
        <v>74</v>
      </c>
      <c r="D94" s="105" t="s">
        <v>272</v>
      </c>
      <c r="E94" s="106"/>
      <c r="F94" s="106"/>
      <c r="G94" s="106"/>
      <c r="H94" s="106"/>
      <c r="I94" s="106"/>
      <c r="J94" s="106"/>
      <c r="K94" s="106"/>
      <c r="L94" s="106"/>
      <c r="M94" s="106"/>
      <c r="N94" s="106"/>
      <c r="O94" s="106"/>
      <c r="P94" s="106"/>
      <c r="Q94" s="106"/>
      <c r="R94" s="106"/>
      <c r="S94" s="107"/>
    </row>
    <row r="95" spans="1:19" ht="97.5" customHeight="1" x14ac:dyDescent="0.15">
      <c r="B95" s="87" t="s">
        <v>78</v>
      </c>
      <c r="C95" s="26" t="s">
        <v>58</v>
      </c>
      <c r="D95" s="108" t="s">
        <v>273</v>
      </c>
      <c r="E95" s="109"/>
      <c r="F95" s="109"/>
      <c r="G95" s="109"/>
      <c r="H95" s="109"/>
      <c r="I95" s="109"/>
      <c r="J95" s="109"/>
      <c r="K95" s="109"/>
      <c r="L95" s="109"/>
      <c r="M95" s="109"/>
      <c r="N95" s="109"/>
      <c r="O95" s="109"/>
      <c r="P95" s="109"/>
      <c r="Q95" s="109"/>
      <c r="R95" s="109"/>
      <c r="S95" s="110"/>
    </row>
    <row r="96" spans="1:19" ht="97.5" customHeight="1" x14ac:dyDescent="0.15">
      <c r="B96" s="89"/>
      <c r="C96" s="29" t="s">
        <v>60</v>
      </c>
      <c r="D96" s="111" t="s">
        <v>175</v>
      </c>
      <c r="E96" s="112"/>
      <c r="F96" s="112"/>
      <c r="G96" s="112"/>
      <c r="H96" s="112"/>
      <c r="I96" s="112"/>
      <c r="J96" s="112"/>
      <c r="K96" s="112"/>
      <c r="L96" s="112"/>
      <c r="M96" s="112"/>
      <c r="N96" s="112"/>
      <c r="O96" s="112"/>
      <c r="P96" s="112"/>
      <c r="Q96" s="112"/>
      <c r="R96" s="112"/>
      <c r="S96" s="113"/>
    </row>
    <row r="97" spans="1:19" ht="127.5" customHeight="1" x14ac:dyDescent="0.15">
      <c r="B97" s="87" t="s">
        <v>79</v>
      </c>
      <c r="C97" s="28" t="s">
        <v>57</v>
      </c>
      <c r="D97" s="90" t="s">
        <v>281</v>
      </c>
      <c r="E97" s="91"/>
      <c r="F97" s="91"/>
      <c r="G97" s="91"/>
      <c r="H97" s="91"/>
      <c r="I97" s="91"/>
      <c r="J97" s="91"/>
      <c r="K97" s="91"/>
      <c r="L97" s="91"/>
      <c r="M97" s="91"/>
      <c r="N97" s="91"/>
      <c r="O97" s="91"/>
      <c r="P97" s="91"/>
      <c r="Q97" s="91"/>
      <c r="R97" s="91"/>
      <c r="S97" s="92"/>
    </row>
    <row r="98" spans="1:19" ht="97.5" customHeight="1" x14ac:dyDescent="0.15">
      <c r="B98" s="88"/>
      <c r="C98" s="31" t="s">
        <v>75</v>
      </c>
      <c r="D98" s="93" t="s">
        <v>274</v>
      </c>
      <c r="E98" s="94"/>
      <c r="F98" s="94"/>
      <c r="G98" s="94"/>
      <c r="H98" s="94"/>
      <c r="I98" s="94"/>
      <c r="J98" s="94"/>
      <c r="K98" s="94"/>
      <c r="L98" s="94"/>
      <c r="M98" s="94"/>
      <c r="N98" s="94"/>
      <c r="O98" s="94"/>
      <c r="P98" s="94"/>
      <c r="Q98" s="94"/>
      <c r="R98" s="94"/>
      <c r="S98" s="95"/>
    </row>
    <row r="99" spans="1:19" ht="97.5" customHeight="1" x14ac:dyDescent="0.15">
      <c r="B99" s="89"/>
      <c r="C99" s="30" t="s">
        <v>76</v>
      </c>
      <c r="D99" s="96" t="s">
        <v>282</v>
      </c>
      <c r="E99" s="97"/>
      <c r="F99" s="97"/>
      <c r="G99" s="97"/>
      <c r="H99" s="97"/>
      <c r="I99" s="97"/>
      <c r="J99" s="97"/>
      <c r="K99" s="97"/>
      <c r="L99" s="97"/>
      <c r="M99" s="97"/>
      <c r="N99" s="97"/>
      <c r="O99" s="97"/>
      <c r="P99" s="97"/>
      <c r="Q99" s="97"/>
      <c r="R99" s="97"/>
      <c r="S99" s="98"/>
    </row>
    <row r="100" spans="1:19" ht="6" customHeight="1" x14ac:dyDescent="0.15"/>
    <row r="101" spans="1:19" ht="18.75" customHeight="1" x14ac:dyDescent="0.15">
      <c r="A101" s="1" t="s">
        <v>120</v>
      </c>
    </row>
    <row r="102" spans="1:19" ht="81.75" customHeight="1" x14ac:dyDescent="0.15">
      <c r="B102" s="99" t="s">
        <v>176</v>
      </c>
      <c r="C102" s="100"/>
      <c r="D102" s="100"/>
      <c r="E102" s="100"/>
      <c r="F102" s="100"/>
      <c r="G102" s="100"/>
      <c r="H102" s="100"/>
      <c r="I102" s="100"/>
      <c r="J102" s="100"/>
      <c r="K102" s="100"/>
      <c r="L102" s="100"/>
      <c r="M102" s="100"/>
      <c r="N102" s="100"/>
      <c r="O102" s="100"/>
      <c r="P102" s="100"/>
      <c r="Q102" s="100"/>
      <c r="R102" s="100"/>
      <c r="S102" s="101"/>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4" priority="1">
      <formula>$K$7="学部・学科によって、修了要件は相違しない"</formula>
    </cfRule>
  </conditionalFormatting>
  <dataValidations count="5">
    <dataValidation type="list" allowBlank="1" showInputMessage="1" showErrorMessage="1" sqref="K20:S20" xr:uid="{D5D152C3-A750-496C-B5C3-06EEC3D21255}">
      <formula1>$V$14:$V$16</formula1>
    </dataValidation>
    <dataValidation type="list" allowBlank="1" showInputMessage="1" showErrorMessage="1" sqref="F79:F86 P79:P86 G79:I80 G83:I86 Q83:S86 Q79:S80" xr:uid="{2064285A-CF9B-4B93-ACA4-0911427D7F04}">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010737B0-2C38-4CF1-A729-A1793EAE1D88}">
      <formula1>"学部・学科によって、修了要件は相違する,学部・学科によって、修了要件は相違しない"</formula1>
    </dataValidation>
    <dataValidation type="list" allowBlank="1" showInputMessage="1" showErrorMessage="1" sqref="S32 S43 D32:G32 D43:G43" xr:uid="{2ADE7EC3-A202-4F45-B831-C24059C23136}">
      <formula1>"全学開講,一部開講"</formula1>
    </dataValidation>
    <dataValidation type="list" allowBlank="1" showInputMessage="1" showErrorMessage="1" sqref="G25:I31 Q25:S31 G36:I42 Q36:S42 G47:I53 Q47:S53 G58:I64 Q58:S64 F69:I75 P69:S75" xr:uid="{5D4F8645-AB54-43AD-8CCB-C002620D17B7}">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horizontalDpi="1200" verticalDpi="1200" r:id="rId1"/>
  <headerFooter>
    <oddHeader>&amp;C数理・データサイエンス・AI教育プログラム認定制度【リテラシーレベル】</oddHeader>
  </headerFooter>
  <rowBreaks count="2" manualBreakCount="2">
    <brk id="65" max="18" man="1"/>
    <brk id="94"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25867-6ECE-4D7C-ACCA-8B394CFF8213}">
  <sheetPr>
    <pageSetUpPr fitToPage="1"/>
  </sheetPr>
  <dimension ref="A1:V110"/>
  <sheetViews>
    <sheetView showZeros="0" view="pageBreakPreview" zoomScaleNormal="100" zoomScaleSheetLayoutView="100" workbookViewId="0">
      <selection activeCell="T5" sqref="T5"/>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57" t="s">
        <v>177</v>
      </c>
      <c r="S1" s="157"/>
      <c r="T1" s="2" t="s">
        <v>109</v>
      </c>
    </row>
    <row r="2" spans="1:22" ht="18.75" customHeight="1" x14ac:dyDescent="0.15">
      <c r="B2" s="32" t="s">
        <v>108</v>
      </c>
      <c r="C2" s="136" t="str">
        <f>'様式１ー１　プログラムを構成する授業科目'!C2</f>
        <v>順天堂大学</v>
      </c>
      <c r="D2" s="116"/>
      <c r="E2" s="116"/>
      <c r="F2" s="116"/>
      <c r="G2" s="116"/>
      <c r="H2" s="116"/>
      <c r="I2" s="117"/>
      <c r="J2" s="33"/>
      <c r="K2" s="6"/>
      <c r="L2" s="6"/>
      <c r="M2" s="6"/>
      <c r="N2" s="6"/>
      <c r="O2" s="6"/>
      <c r="P2" s="6"/>
      <c r="Q2" s="6"/>
      <c r="R2" s="6"/>
      <c r="S2" s="6"/>
    </row>
    <row r="3" spans="1:22" ht="18.75" customHeight="1" x14ac:dyDescent="0.15">
      <c r="B3" s="32" t="s">
        <v>102</v>
      </c>
      <c r="C3" s="136" t="str">
        <f>'様式１ー１　プログラムを構成する授業科目'!C3</f>
        <v>数理・データサイエンス・AI教育プログラム</v>
      </c>
      <c r="D3" s="116"/>
      <c r="E3" s="116"/>
      <c r="F3" s="116"/>
      <c r="G3" s="116"/>
      <c r="H3" s="116"/>
      <c r="I3" s="117"/>
      <c r="J3" s="33"/>
      <c r="K3" s="6"/>
      <c r="L3" s="6"/>
      <c r="M3" s="6"/>
      <c r="N3" s="6"/>
      <c r="O3" s="6"/>
      <c r="P3" s="6"/>
      <c r="Q3" s="6"/>
      <c r="R3" s="6"/>
      <c r="S3" s="6"/>
    </row>
    <row r="4" spans="1:22" ht="15" customHeight="1" x14ac:dyDescent="0.15">
      <c r="K4" s="33"/>
      <c r="L4" s="35"/>
      <c r="M4" s="35"/>
      <c r="N4" s="35"/>
      <c r="O4" s="35"/>
      <c r="P4" s="35"/>
      <c r="Q4" s="35"/>
      <c r="R4" s="35"/>
      <c r="S4" s="35"/>
    </row>
    <row r="5" spans="1:22" ht="18" customHeight="1" x14ac:dyDescent="0.15">
      <c r="A5" s="158" t="s">
        <v>38</v>
      </c>
      <c r="B5" s="158"/>
      <c r="C5" s="158"/>
      <c r="D5" s="158"/>
      <c r="E5" s="158"/>
      <c r="F5" s="158"/>
      <c r="G5" s="158"/>
      <c r="H5" s="158"/>
      <c r="I5" s="158"/>
      <c r="J5" s="158"/>
      <c r="K5" s="158"/>
      <c r="L5" s="158"/>
      <c r="M5" s="158"/>
      <c r="N5" s="158"/>
      <c r="O5" s="158"/>
      <c r="P5" s="158"/>
      <c r="Q5" s="158"/>
      <c r="R5" s="158"/>
      <c r="S5" s="158"/>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6" t="s">
        <v>107</v>
      </c>
      <c r="K7" s="159" t="s">
        <v>128</v>
      </c>
      <c r="L7" s="160"/>
      <c r="M7" s="160"/>
      <c r="N7" s="160"/>
      <c r="O7" s="160"/>
      <c r="P7" s="160"/>
      <c r="Q7" s="160"/>
      <c r="R7" s="160"/>
      <c r="S7" s="161"/>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62" t="s">
        <v>178</v>
      </c>
      <c r="C9" s="118"/>
      <c r="D9" s="118"/>
      <c r="E9" s="118"/>
      <c r="F9" s="118"/>
      <c r="G9" s="118"/>
      <c r="H9" s="118"/>
      <c r="I9" s="118"/>
      <c r="J9" s="118"/>
      <c r="K9" s="118"/>
      <c r="L9" s="118"/>
      <c r="M9" s="118"/>
      <c r="N9" s="118"/>
      <c r="O9" s="118"/>
      <c r="P9" s="118"/>
      <c r="Q9" s="118"/>
      <c r="R9" s="118"/>
      <c r="S9" s="119"/>
    </row>
    <row r="10" spans="1:22" ht="18" customHeight="1" x14ac:dyDescent="0.15">
      <c r="B10" s="163"/>
      <c r="C10" s="164"/>
      <c r="D10" s="164"/>
      <c r="E10" s="164"/>
      <c r="F10" s="164"/>
      <c r="G10" s="164"/>
      <c r="H10" s="164"/>
      <c r="I10" s="164"/>
      <c r="J10" s="164"/>
      <c r="K10" s="164"/>
      <c r="L10" s="164"/>
      <c r="M10" s="164"/>
      <c r="N10" s="164"/>
      <c r="O10" s="164"/>
      <c r="P10" s="164"/>
      <c r="Q10" s="164"/>
      <c r="R10" s="164"/>
      <c r="S10" s="165"/>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111</v>
      </c>
      <c r="B12" s="3"/>
      <c r="C12" s="3"/>
      <c r="D12" s="33"/>
      <c r="E12" s="33"/>
      <c r="F12" s="33"/>
      <c r="G12" s="33"/>
      <c r="H12" s="33"/>
      <c r="I12" s="33"/>
      <c r="J12" s="33"/>
      <c r="K12" s="37"/>
      <c r="L12" s="37"/>
      <c r="M12" s="37"/>
      <c r="N12" s="37"/>
      <c r="O12" s="37"/>
      <c r="P12" s="37"/>
      <c r="Q12" s="37"/>
      <c r="R12" s="37"/>
      <c r="S12" s="37"/>
    </row>
    <row r="13" spans="1:22" ht="18" customHeight="1" x14ac:dyDescent="0.15">
      <c r="B13" s="145" t="s">
        <v>305</v>
      </c>
      <c r="C13" s="146"/>
      <c r="D13" s="146"/>
      <c r="E13" s="146"/>
      <c r="F13" s="146"/>
      <c r="G13" s="146"/>
      <c r="H13" s="146"/>
      <c r="I13" s="146"/>
      <c r="J13" s="146"/>
      <c r="K13" s="146"/>
      <c r="L13" s="146"/>
      <c r="M13" s="146"/>
      <c r="N13" s="146"/>
      <c r="O13" s="146"/>
      <c r="P13" s="146"/>
      <c r="Q13" s="146"/>
      <c r="R13" s="146"/>
      <c r="S13" s="147"/>
      <c r="V13" s="1" t="s">
        <v>103</v>
      </c>
    </row>
    <row r="14" spans="1:22" ht="18" customHeight="1" x14ac:dyDescent="0.15">
      <c r="B14" s="148"/>
      <c r="C14" s="149"/>
      <c r="D14" s="149"/>
      <c r="E14" s="149"/>
      <c r="F14" s="149"/>
      <c r="G14" s="149"/>
      <c r="H14" s="149"/>
      <c r="I14" s="149"/>
      <c r="J14" s="149"/>
      <c r="K14" s="149"/>
      <c r="L14" s="149"/>
      <c r="M14" s="149"/>
      <c r="N14" s="149"/>
      <c r="O14" s="149"/>
      <c r="P14" s="149"/>
      <c r="Q14" s="149"/>
      <c r="R14" s="149"/>
      <c r="S14" s="150"/>
      <c r="V14" s="1" t="s">
        <v>110</v>
      </c>
    </row>
    <row r="15" spans="1:22" ht="18" customHeight="1" x14ac:dyDescent="0.15">
      <c r="B15" s="148"/>
      <c r="C15" s="149"/>
      <c r="D15" s="149"/>
      <c r="E15" s="149"/>
      <c r="F15" s="149"/>
      <c r="G15" s="149"/>
      <c r="H15" s="149"/>
      <c r="I15" s="149"/>
      <c r="J15" s="149"/>
      <c r="K15" s="149"/>
      <c r="L15" s="149"/>
      <c r="M15" s="149"/>
      <c r="N15" s="149"/>
      <c r="O15" s="149"/>
      <c r="P15" s="149"/>
      <c r="Q15" s="149"/>
      <c r="R15" s="149"/>
      <c r="S15" s="150"/>
      <c r="V15" s="1" t="s">
        <v>123</v>
      </c>
    </row>
    <row r="16" spans="1:22" ht="18" customHeight="1" x14ac:dyDescent="0.15">
      <c r="B16" s="148"/>
      <c r="C16" s="149"/>
      <c r="D16" s="149"/>
      <c r="E16" s="149"/>
      <c r="F16" s="149"/>
      <c r="G16" s="149"/>
      <c r="H16" s="149"/>
      <c r="I16" s="149"/>
      <c r="J16" s="149"/>
      <c r="K16" s="149"/>
      <c r="L16" s="149"/>
      <c r="M16" s="149"/>
      <c r="N16" s="149"/>
      <c r="O16" s="149"/>
      <c r="P16" s="149"/>
      <c r="Q16" s="149"/>
      <c r="R16" s="149"/>
      <c r="S16" s="150"/>
      <c r="V16" s="1" t="s">
        <v>125</v>
      </c>
    </row>
    <row r="17" spans="1:19" ht="18" customHeight="1" x14ac:dyDescent="0.15">
      <c r="B17" s="148"/>
      <c r="C17" s="149"/>
      <c r="D17" s="149"/>
      <c r="E17" s="149"/>
      <c r="F17" s="149"/>
      <c r="G17" s="149"/>
      <c r="H17" s="149"/>
      <c r="I17" s="149"/>
      <c r="J17" s="149"/>
      <c r="K17" s="149"/>
      <c r="L17" s="149"/>
      <c r="M17" s="149"/>
      <c r="N17" s="149"/>
      <c r="O17" s="149"/>
      <c r="P17" s="149"/>
      <c r="Q17" s="149"/>
      <c r="R17" s="149"/>
      <c r="S17" s="150"/>
    </row>
    <row r="18" spans="1:19" ht="18" customHeight="1" x14ac:dyDescent="0.15">
      <c r="B18" s="151"/>
      <c r="C18" s="152"/>
      <c r="D18" s="152"/>
      <c r="E18" s="152"/>
      <c r="F18" s="152"/>
      <c r="G18" s="152"/>
      <c r="H18" s="152"/>
      <c r="I18" s="152"/>
      <c r="J18" s="152"/>
      <c r="K18" s="152"/>
      <c r="L18" s="152"/>
      <c r="M18" s="152"/>
      <c r="N18" s="152"/>
      <c r="O18" s="152"/>
      <c r="P18" s="152"/>
      <c r="Q18" s="152"/>
      <c r="R18" s="152"/>
      <c r="S18" s="153"/>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136">
        <v>1</v>
      </c>
      <c r="D20" s="117"/>
      <c r="E20" s="38" t="s">
        <v>95</v>
      </c>
      <c r="G20" s="10"/>
      <c r="H20" s="3"/>
      <c r="I20" s="3"/>
      <c r="J20" s="33" t="s">
        <v>121</v>
      </c>
      <c r="K20" s="154" t="s">
        <v>125</v>
      </c>
      <c r="L20" s="155"/>
      <c r="M20" s="155"/>
      <c r="N20" s="155"/>
      <c r="O20" s="155"/>
      <c r="P20" s="155"/>
      <c r="Q20" s="155"/>
      <c r="R20" s="155"/>
      <c r="S20" s="156"/>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44" t="s">
        <v>113</v>
      </c>
      <c r="B22" s="144"/>
      <c r="C22" s="144"/>
      <c r="D22" s="144"/>
      <c r="E22" s="144"/>
      <c r="F22" s="144"/>
      <c r="G22" s="144"/>
      <c r="H22" s="144"/>
      <c r="I22" s="144"/>
      <c r="J22" s="144"/>
      <c r="K22" s="144"/>
      <c r="L22" s="144"/>
      <c r="M22" s="144"/>
      <c r="N22" s="144"/>
      <c r="O22" s="144"/>
      <c r="P22" s="144"/>
      <c r="Q22" s="144"/>
      <c r="R22" s="144"/>
      <c r="S22" s="144"/>
    </row>
    <row r="23" spans="1:19" ht="18" customHeight="1" x14ac:dyDescent="0.15">
      <c r="A23" s="144"/>
      <c r="B23" s="144"/>
      <c r="C23" s="144"/>
      <c r="D23" s="144"/>
      <c r="E23" s="144"/>
      <c r="F23" s="144"/>
      <c r="G23" s="144"/>
      <c r="H23" s="144"/>
      <c r="I23" s="144"/>
      <c r="J23" s="144"/>
      <c r="K23" s="144"/>
      <c r="L23" s="144"/>
      <c r="M23" s="144"/>
      <c r="N23" s="144"/>
      <c r="O23" s="144"/>
      <c r="P23" s="144"/>
      <c r="Q23" s="144"/>
      <c r="R23" s="144"/>
      <c r="S23" s="144"/>
    </row>
    <row r="24" spans="1:19" ht="18" customHeight="1" x14ac:dyDescent="0.15">
      <c r="B24" s="136" t="s">
        <v>53</v>
      </c>
      <c r="C24" s="116"/>
      <c r="D24" s="116"/>
      <c r="E24" s="117"/>
      <c r="F24" s="59" t="s">
        <v>80</v>
      </c>
      <c r="G24" s="58" t="s">
        <v>84</v>
      </c>
      <c r="H24" s="20" t="s">
        <v>56</v>
      </c>
      <c r="I24" s="20" t="s">
        <v>59</v>
      </c>
      <c r="J24" s="136" t="s">
        <v>53</v>
      </c>
      <c r="K24" s="116"/>
      <c r="L24" s="116"/>
      <c r="M24" s="116"/>
      <c r="N24" s="116"/>
      <c r="O24" s="117"/>
      <c r="P24" s="59" t="s">
        <v>80</v>
      </c>
      <c r="Q24" s="58" t="s">
        <v>84</v>
      </c>
      <c r="R24" s="20" t="s">
        <v>56</v>
      </c>
      <c r="S24" s="20" t="s">
        <v>59</v>
      </c>
    </row>
    <row r="25" spans="1:19" ht="18" customHeight="1" x14ac:dyDescent="0.15">
      <c r="B25" s="140" t="s">
        <v>179</v>
      </c>
      <c r="C25" s="91"/>
      <c r="D25" s="91"/>
      <c r="E25" s="92"/>
      <c r="F25" s="21">
        <v>1</v>
      </c>
      <c r="G25" s="21" t="s">
        <v>131</v>
      </c>
      <c r="H25" s="21" t="s">
        <v>131</v>
      </c>
      <c r="I25" s="21" t="s">
        <v>131</v>
      </c>
      <c r="J25" s="140"/>
      <c r="K25" s="91"/>
      <c r="L25" s="91"/>
      <c r="M25" s="91"/>
      <c r="N25" s="91"/>
      <c r="O25" s="92"/>
      <c r="P25" s="21"/>
      <c r="Q25" s="21"/>
      <c r="R25" s="21"/>
      <c r="S25" s="21"/>
    </row>
    <row r="26" spans="1:19" ht="18" customHeight="1" x14ac:dyDescent="0.15">
      <c r="B26" s="126"/>
      <c r="C26" s="94"/>
      <c r="D26" s="94"/>
      <c r="E26" s="95"/>
      <c r="F26" s="22"/>
      <c r="G26" s="22"/>
      <c r="H26" s="22"/>
      <c r="I26" s="22"/>
      <c r="J26" s="126"/>
      <c r="K26" s="94"/>
      <c r="L26" s="94"/>
      <c r="M26" s="94"/>
      <c r="N26" s="94"/>
      <c r="O26" s="95"/>
      <c r="P26" s="22"/>
      <c r="Q26" s="22"/>
      <c r="R26" s="22"/>
      <c r="S26" s="22"/>
    </row>
    <row r="27" spans="1:19" ht="18" customHeight="1" x14ac:dyDescent="0.15">
      <c r="B27" s="126"/>
      <c r="C27" s="94"/>
      <c r="D27" s="94"/>
      <c r="E27" s="95"/>
      <c r="F27" s="22"/>
      <c r="G27" s="22"/>
      <c r="H27" s="22"/>
      <c r="I27" s="22"/>
      <c r="J27" s="126"/>
      <c r="K27" s="94"/>
      <c r="L27" s="94"/>
      <c r="M27" s="94"/>
      <c r="N27" s="94"/>
      <c r="O27" s="95"/>
      <c r="P27" s="22"/>
      <c r="Q27" s="22"/>
      <c r="R27" s="22"/>
      <c r="S27" s="22"/>
    </row>
    <row r="28" spans="1:19" ht="18" customHeight="1" x14ac:dyDescent="0.15">
      <c r="B28" s="126"/>
      <c r="C28" s="94"/>
      <c r="D28" s="94"/>
      <c r="E28" s="95"/>
      <c r="F28" s="22"/>
      <c r="G28" s="22"/>
      <c r="H28" s="22"/>
      <c r="I28" s="22"/>
      <c r="J28" s="126"/>
      <c r="K28" s="94"/>
      <c r="L28" s="94"/>
      <c r="M28" s="94"/>
      <c r="N28" s="94"/>
      <c r="O28" s="95"/>
      <c r="P28" s="22"/>
      <c r="Q28" s="22"/>
      <c r="R28" s="22"/>
      <c r="S28" s="22"/>
    </row>
    <row r="29" spans="1:19" ht="18" customHeight="1" x14ac:dyDescent="0.15">
      <c r="B29" s="126"/>
      <c r="C29" s="94"/>
      <c r="D29" s="94"/>
      <c r="E29" s="95"/>
      <c r="F29" s="22"/>
      <c r="G29" s="22"/>
      <c r="H29" s="22"/>
      <c r="I29" s="22"/>
      <c r="J29" s="126"/>
      <c r="K29" s="94"/>
      <c r="L29" s="94"/>
      <c r="M29" s="94"/>
      <c r="N29" s="94"/>
      <c r="O29" s="95"/>
      <c r="P29" s="22"/>
      <c r="Q29" s="22"/>
      <c r="R29" s="22"/>
      <c r="S29" s="22"/>
    </row>
    <row r="30" spans="1:19" ht="18" customHeight="1" x14ac:dyDescent="0.15">
      <c r="A30" s="3"/>
      <c r="B30" s="126"/>
      <c r="C30" s="94"/>
      <c r="D30" s="94"/>
      <c r="E30" s="95"/>
      <c r="F30" s="22"/>
      <c r="G30" s="22"/>
      <c r="H30" s="22"/>
      <c r="I30" s="22"/>
      <c r="J30" s="126"/>
      <c r="K30" s="94"/>
      <c r="L30" s="94"/>
      <c r="M30" s="94"/>
      <c r="N30" s="94"/>
      <c r="O30" s="95"/>
      <c r="P30" s="22"/>
      <c r="Q30" s="22"/>
      <c r="R30" s="22"/>
      <c r="S30" s="22"/>
    </row>
    <row r="31" spans="1:19" ht="18" customHeight="1" x14ac:dyDescent="0.15">
      <c r="A31" s="3"/>
      <c r="B31" s="130"/>
      <c r="C31" s="131"/>
      <c r="D31" s="131"/>
      <c r="E31" s="132"/>
      <c r="F31" s="23"/>
      <c r="G31" s="23"/>
      <c r="H31" s="24"/>
      <c r="I31" s="24"/>
      <c r="J31" s="130"/>
      <c r="K31" s="131"/>
      <c r="L31" s="131"/>
      <c r="M31" s="131"/>
      <c r="N31" s="131"/>
      <c r="O31" s="132"/>
      <c r="P31" s="23"/>
      <c r="Q31" s="23"/>
      <c r="R31" s="24"/>
      <c r="S31" s="24"/>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44" t="s">
        <v>114</v>
      </c>
      <c r="B33" s="144"/>
      <c r="C33" s="144"/>
      <c r="D33" s="144"/>
      <c r="E33" s="144"/>
      <c r="F33" s="144"/>
      <c r="G33" s="144"/>
      <c r="H33" s="144"/>
      <c r="I33" s="144"/>
      <c r="J33" s="144"/>
      <c r="K33" s="144"/>
      <c r="L33" s="144"/>
      <c r="M33" s="144"/>
      <c r="N33" s="144"/>
      <c r="O33" s="144"/>
      <c r="P33" s="144"/>
      <c r="Q33" s="144"/>
      <c r="R33" s="144"/>
      <c r="S33" s="144"/>
    </row>
    <row r="34" spans="1:19" ht="18" customHeight="1" x14ac:dyDescent="0.15">
      <c r="A34" s="144"/>
      <c r="B34" s="144"/>
      <c r="C34" s="144"/>
      <c r="D34" s="144"/>
      <c r="E34" s="144"/>
      <c r="F34" s="144"/>
      <c r="G34" s="144"/>
      <c r="H34" s="144"/>
      <c r="I34" s="144"/>
      <c r="J34" s="144"/>
      <c r="K34" s="144"/>
      <c r="L34" s="144"/>
      <c r="M34" s="144"/>
      <c r="N34" s="144"/>
      <c r="O34" s="144"/>
      <c r="P34" s="144"/>
      <c r="Q34" s="144"/>
      <c r="R34" s="144"/>
      <c r="S34" s="144"/>
    </row>
    <row r="35" spans="1:19" ht="18" customHeight="1" x14ac:dyDescent="0.15">
      <c r="B35" s="136" t="s">
        <v>53</v>
      </c>
      <c r="C35" s="116"/>
      <c r="D35" s="116"/>
      <c r="E35" s="117"/>
      <c r="F35" s="59" t="s">
        <v>80</v>
      </c>
      <c r="G35" s="58" t="s">
        <v>84</v>
      </c>
      <c r="H35" s="20" t="s">
        <v>71</v>
      </c>
      <c r="I35" s="20" t="s">
        <v>72</v>
      </c>
      <c r="J35" s="136" t="s">
        <v>53</v>
      </c>
      <c r="K35" s="116"/>
      <c r="L35" s="116"/>
      <c r="M35" s="116"/>
      <c r="N35" s="116"/>
      <c r="O35" s="117"/>
      <c r="P35" s="59" t="s">
        <v>80</v>
      </c>
      <c r="Q35" s="58" t="s">
        <v>84</v>
      </c>
      <c r="R35" s="20" t="s">
        <v>71</v>
      </c>
      <c r="S35" s="20" t="s">
        <v>72</v>
      </c>
    </row>
    <row r="36" spans="1:19" ht="18" customHeight="1" x14ac:dyDescent="0.15">
      <c r="B36" s="140" t="s">
        <v>179</v>
      </c>
      <c r="C36" s="91"/>
      <c r="D36" s="91"/>
      <c r="E36" s="92"/>
      <c r="F36" s="21">
        <v>1</v>
      </c>
      <c r="G36" s="21" t="s">
        <v>131</v>
      </c>
      <c r="H36" s="21" t="s">
        <v>131</v>
      </c>
      <c r="I36" s="21" t="s">
        <v>131</v>
      </c>
      <c r="J36" s="140"/>
      <c r="K36" s="91"/>
      <c r="L36" s="91"/>
      <c r="M36" s="91"/>
      <c r="N36" s="91"/>
      <c r="O36" s="92"/>
      <c r="P36" s="21"/>
      <c r="Q36" s="21"/>
      <c r="R36" s="21"/>
      <c r="S36" s="21"/>
    </row>
    <row r="37" spans="1:19" ht="18" customHeight="1" x14ac:dyDescent="0.15">
      <c r="B37" s="126"/>
      <c r="C37" s="94"/>
      <c r="D37" s="94"/>
      <c r="E37" s="95"/>
      <c r="F37" s="22"/>
      <c r="G37" s="22"/>
      <c r="H37" s="22"/>
      <c r="I37" s="22"/>
      <c r="J37" s="126"/>
      <c r="K37" s="94"/>
      <c r="L37" s="94"/>
      <c r="M37" s="94"/>
      <c r="N37" s="94"/>
      <c r="O37" s="95"/>
      <c r="P37" s="22"/>
      <c r="Q37" s="22"/>
      <c r="R37" s="22"/>
      <c r="S37" s="22"/>
    </row>
    <row r="38" spans="1:19" ht="18" customHeight="1" x14ac:dyDescent="0.15">
      <c r="B38" s="126"/>
      <c r="C38" s="94"/>
      <c r="D38" s="94"/>
      <c r="E38" s="95"/>
      <c r="F38" s="22"/>
      <c r="G38" s="22"/>
      <c r="H38" s="22"/>
      <c r="I38" s="22"/>
      <c r="J38" s="126"/>
      <c r="K38" s="94"/>
      <c r="L38" s="94"/>
      <c r="M38" s="94"/>
      <c r="N38" s="94"/>
      <c r="O38" s="95"/>
      <c r="P38" s="22"/>
      <c r="Q38" s="22"/>
      <c r="R38" s="22"/>
      <c r="S38" s="22"/>
    </row>
    <row r="39" spans="1:19" ht="18" customHeight="1" x14ac:dyDescent="0.15">
      <c r="B39" s="126"/>
      <c r="C39" s="94"/>
      <c r="D39" s="94"/>
      <c r="E39" s="95"/>
      <c r="F39" s="22"/>
      <c r="G39" s="22"/>
      <c r="H39" s="22"/>
      <c r="I39" s="22"/>
      <c r="J39" s="126"/>
      <c r="K39" s="94"/>
      <c r="L39" s="94"/>
      <c r="M39" s="94"/>
      <c r="N39" s="94"/>
      <c r="O39" s="95"/>
      <c r="P39" s="22"/>
      <c r="Q39" s="22"/>
      <c r="R39" s="22"/>
      <c r="S39" s="22"/>
    </row>
    <row r="40" spans="1:19" ht="18" customHeight="1" x14ac:dyDescent="0.15">
      <c r="B40" s="126"/>
      <c r="C40" s="94"/>
      <c r="D40" s="94"/>
      <c r="E40" s="95"/>
      <c r="F40" s="22"/>
      <c r="G40" s="22"/>
      <c r="H40" s="22"/>
      <c r="I40" s="22"/>
      <c r="J40" s="126"/>
      <c r="K40" s="94"/>
      <c r="L40" s="94"/>
      <c r="M40" s="94"/>
      <c r="N40" s="94"/>
      <c r="O40" s="95"/>
      <c r="P40" s="22"/>
      <c r="Q40" s="22"/>
      <c r="R40" s="22"/>
      <c r="S40" s="22"/>
    </row>
    <row r="41" spans="1:19" ht="18" customHeight="1" x14ac:dyDescent="0.15">
      <c r="B41" s="126"/>
      <c r="C41" s="94"/>
      <c r="D41" s="94"/>
      <c r="E41" s="95"/>
      <c r="F41" s="22"/>
      <c r="G41" s="22"/>
      <c r="H41" s="22"/>
      <c r="I41" s="22"/>
      <c r="J41" s="126"/>
      <c r="K41" s="94"/>
      <c r="L41" s="94"/>
      <c r="M41" s="94"/>
      <c r="N41" s="94"/>
      <c r="O41" s="95"/>
      <c r="P41" s="22"/>
      <c r="Q41" s="22"/>
      <c r="R41" s="22"/>
      <c r="S41" s="22"/>
    </row>
    <row r="42" spans="1:19" ht="18" customHeight="1" x14ac:dyDescent="0.15">
      <c r="B42" s="130"/>
      <c r="C42" s="131"/>
      <c r="D42" s="131"/>
      <c r="E42" s="132"/>
      <c r="F42" s="23"/>
      <c r="G42" s="23"/>
      <c r="H42" s="24"/>
      <c r="I42" s="24"/>
      <c r="J42" s="130"/>
      <c r="K42" s="131"/>
      <c r="L42" s="131"/>
      <c r="M42" s="131"/>
      <c r="N42" s="131"/>
      <c r="O42" s="132"/>
      <c r="P42" s="23"/>
      <c r="Q42" s="23"/>
      <c r="R42" s="24"/>
      <c r="S42" s="24"/>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44" t="s">
        <v>115</v>
      </c>
      <c r="B44" s="144"/>
      <c r="C44" s="144"/>
      <c r="D44" s="144"/>
      <c r="E44" s="144"/>
      <c r="F44" s="144"/>
      <c r="G44" s="144"/>
      <c r="H44" s="144"/>
      <c r="I44" s="144"/>
      <c r="J44" s="144"/>
      <c r="K44" s="144"/>
      <c r="L44" s="144"/>
      <c r="M44" s="144"/>
      <c r="N44" s="144"/>
      <c r="O44" s="144"/>
      <c r="P44" s="144"/>
      <c r="Q44" s="144"/>
      <c r="R44" s="144"/>
      <c r="S44" s="144"/>
    </row>
    <row r="45" spans="1:19" ht="18" customHeight="1" x14ac:dyDescent="0.15">
      <c r="A45" s="144"/>
      <c r="B45" s="144"/>
      <c r="C45" s="144"/>
      <c r="D45" s="144"/>
      <c r="E45" s="144"/>
      <c r="F45" s="144"/>
      <c r="G45" s="144"/>
      <c r="H45" s="144"/>
      <c r="I45" s="144"/>
      <c r="J45" s="144"/>
      <c r="K45" s="144"/>
      <c r="L45" s="144"/>
      <c r="M45" s="144"/>
      <c r="N45" s="144"/>
      <c r="O45" s="144"/>
      <c r="P45" s="144"/>
      <c r="Q45" s="144"/>
      <c r="R45" s="144"/>
      <c r="S45" s="144"/>
    </row>
    <row r="46" spans="1:19" ht="18" customHeight="1" x14ac:dyDescent="0.15">
      <c r="B46" s="136" t="s">
        <v>53</v>
      </c>
      <c r="C46" s="116"/>
      <c r="D46" s="116"/>
      <c r="E46" s="117"/>
      <c r="F46" s="59" t="s">
        <v>80</v>
      </c>
      <c r="G46" s="58" t="s">
        <v>84</v>
      </c>
      <c r="H46" s="20" t="s">
        <v>73</v>
      </c>
      <c r="I46" s="20" t="s">
        <v>74</v>
      </c>
      <c r="J46" s="136" t="s">
        <v>53</v>
      </c>
      <c r="K46" s="116"/>
      <c r="L46" s="116"/>
      <c r="M46" s="116"/>
      <c r="N46" s="116"/>
      <c r="O46" s="117"/>
      <c r="P46" s="59" t="s">
        <v>80</v>
      </c>
      <c r="Q46" s="58" t="s">
        <v>84</v>
      </c>
      <c r="R46" s="20" t="s">
        <v>73</v>
      </c>
      <c r="S46" s="20" t="s">
        <v>74</v>
      </c>
    </row>
    <row r="47" spans="1:19" ht="18" customHeight="1" x14ac:dyDescent="0.15">
      <c r="A47" s="3"/>
      <c r="B47" s="140" t="s">
        <v>179</v>
      </c>
      <c r="C47" s="91"/>
      <c r="D47" s="91"/>
      <c r="E47" s="92"/>
      <c r="F47" s="21">
        <v>1</v>
      </c>
      <c r="G47" s="21" t="s">
        <v>131</v>
      </c>
      <c r="H47" s="21" t="s">
        <v>131</v>
      </c>
      <c r="I47" s="21" t="s">
        <v>131</v>
      </c>
      <c r="J47" s="140"/>
      <c r="K47" s="91"/>
      <c r="L47" s="91"/>
      <c r="M47" s="91"/>
      <c r="N47" s="91"/>
      <c r="O47" s="92"/>
      <c r="P47" s="21"/>
      <c r="Q47" s="21"/>
      <c r="R47" s="21"/>
      <c r="S47" s="21"/>
    </row>
    <row r="48" spans="1:19" ht="18" customHeight="1" x14ac:dyDescent="0.15">
      <c r="A48" s="3"/>
      <c r="B48" s="126"/>
      <c r="C48" s="94"/>
      <c r="D48" s="94"/>
      <c r="E48" s="95"/>
      <c r="F48" s="22"/>
      <c r="G48" s="22"/>
      <c r="H48" s="22"/>
      <c r="I48" s="22"/>
      <c r="J48" s="126"/>
      <c r="K48" s="94"/>
      <c r="L48" s="94"/>
      <c r="M48" s="94"/>
      <c r="N48" s="94"/>
      <c r="O48" s="95"/>
      <c r="P48" s="22"/>
      <c r="Q48" s="22"/>
      <c r="R48" s="22"/>
      <c r="S48" s="22"/>
    </row>
    <row r="49" spans="1:19" ht="18" customHeight="1" x14ac:dyDescent="0.15">
      <c r="A49" s="3"/>
      <c r="B49" s="126"/>
      <c r="C49" s="94"/>
      <c r="D49" s="94"/>
      <c r="E49" s="95"/>
      <c r="F49" s="22"/>
      <c r="G49" s="22"/>
      <c r="H49" s="22"/>
      <c r="I49" s="22"/>
      <c r="J49" s="126"/>
      <c r="K49" s="94"/>
      <c r="L49" s="94"/>
      <c r="M49" s="94"/>
      <c r="N49" s="94"/>
      <c r="O49" s="95"/>
      <c r="P49" s="22"/>
      <c r="Q49" s="22"/>
      <c r="R49" s="22"/>
      <c r="S49" s="22"/>
    </row>
    <row r="50" spans="1:19" ht="18" customHeight="1" x14ac:dyDescent="0.15">
      <c r="A50" s="3"/>
      <c r="B50" s="126"/>
      <c r="C50" s="94"/>
      <c r="D50" s="94"/>
      <c r="E50" s="95"/>
      <c r="F50" s="22"/>
      <c r="G50" s="22"/>
      <c r="H50" s="22"/>
      <c r="I50" s="22"/>
      <c r="J50" s="126"/>
      <c r="K50" s="94"/>
      <c r="L50" s="94"/>
      <c r="M50" s="94"/>
      <c r="N50" s="94"/>
      <c r="O50" s="95"/>
      <c r="P50" s="22"/>
      <c r="Q50" s="22"/>
      <c r="R50" s="22"/>
      <c r="S50" s="22"/>
    </row>
    <row r="51" spans="1:19" ht="18" customHeight="1" x14ac:dyDescent="0.15">
      <c r="A51" s="3"/>
      <c r="B51" s="126"/>
      <c r="C51" s="94"/>
      <c r="D51" s="94"/>
      <c r="E51" s="95"/>
      <c r="F51" s="22"/>
      <c r="G51" s="22"/>
      <c r="H51" s="22"/>
      <c r="I51" s="22"/>
      <c r="J51" s="126"/>
      <c r="K51" s="94"/>
      <c r="L51" s="94"/>
      <c r="M51" s="94"/>
      <c r="N51" s="94"/>
      <c r="O51" s="95"/>
      <c r="P51" s="22"/>
      <c r="Q51" s="22"/>
      <c r="R51" s="22"/>
      <c r="S51" s="22"/>
    </row>
    <row r="52" spans="1:19" ht="18" customHeight="1" x14ac:dyDescent="0.15">
      <c r="A52" s="3"/>
      <c r="B52" s="126"/>
      <c r="C52" s="94"/>
      <c r="D52" s="94"/>
      <c r="E52" s="95"/>
      <c r="F52" s="22"/>
      <c r="G52" s="22"/>
      <c r="H52" s="22"/>
      <c r="I52" s="22"/>
      <c r="J52" s="126"/>
      <c r="K52" s="94"/>
      <c r="L52" s="94"/>
      <c r="M52" s="94"/>
      <c r="N52" s="94"/>
      <c r="O52" s="95"/>
      <c r="P52" s="22"/>
      <c r="Q52" s="22"/>
      <c r="R52" s="22"/>
      <c r="S52" s="22"/>
    </row>
    <row r="53" spans="1:19" ht="18" customHeight="1" x14ac:dyDescent="0.15">
      <c r="A53" s="3"/>
      <c r="B53" s="130"/>
      <c r="C53" s="131"/>
      <c r="D53" s="131"/>
      <c r="E53" s="132"/>
      <c r="F53" s="23"/>
      <c r="G53" s="23"/>
      <c r="H53" s="24"/>
      <c r="I53" s="24"/>
      <c r="J53" s="130"/>
      <c r="K53" s="131"/>
      <c r="L53" s="131"/>
      <c r="M53" s="131"/>
      <c r="N53" s="131"/>
      <c r="O53" s="132"/>
      <c r="P53" s="23"/>
      <c r="Q53" s="23"/>
      <c r="R53" s="24"/>
      <c r="S53" s="24"/>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44" t="s">
        <v>116</v>
      </c>
      <c r="B55" s="144"/>
      <c r="C55" s="144"/>
      <c r="D55" s="144"/>
      <c r="E55" s="144"/>
      <c r="F55" s="144"/>
      <c r="G55" s="144"/>
      <c r="H55" s="144"/>
      <c r="I55" s="144"/>
      <c r="J55" s="144"/>
      <c r="K55" s="144"/>
      <c r="L55" s="144"/>
      <c r="M55" s="144"/>
      <c r="N55" s="144"/>
      <c r="O55" s="144"/>
      <c r="P55" s="144"/>
      <c r="Q55" s="144"/>
      <c r="R55" s="144"/>
      <c r="S55" s="144"/>
    </row>
    <row r="56" spans="1:19" ht="18" customHeight="1" x14ac:dyDescent="0.15">
      <c r="A56" s="144"/>
      <c r="B56" s="144"/>
      <c r="C56" s="144"/>
      <c r="D56" s="144"/>
      <c r="E56" s="144"/>
      <c r="F56" s="144"/>
      <c r="G56" s="144"/>
      <c r="H56" s="144"/>
      <c r="I56" s="144"/>
      <c r="J56" s="144"/>
      <c r="K56" s="144"/>
      <c r="L56" s="144"/>
      <c r="M56" s="144"/>
      <c r="N56" s="144"/>
      <c r="O56" s="144"/>
      <c r="P56" s="144"/>
      <c r="Q56" s="144"/>
      <c r="R56" s="144"/>
      <c r="S56" s="144"/>
    </row>
    <row r="57" spans="1:19" ht="18" customHeight="1" x14ac:dyDescent="0.15">
      <c r="B57" s="136" t="s">
        <v>53</v>
      </c>
      <c r="C57" s="116"/>
      <c r="D57" s="116"/>
      <c r="E57" s="117"/>
      <c r="F57" s="59" t="s">
        <v>80</v>
      </c>
      <c r="G57" s="58" t="s">
        <v>84</v>
      </c>
      <c r="H57" s="20" t="s">
        <v>58</v>
      </c>
      <c r="I57" s="20" t="s">
        <v>60</v>
      </c>
      <c r="J57" s="136" t="s">
        <v>53</v>
      </c>
      <c r="K57" s="116"/>
      <c r="L57" s="116"/>
      <c r="M57" s="116"/>
      <c r="N57" s="116"/>
      <c r="O57" s="117"/>
      <c r="P57" s="59" t="s">
        <v>80</v>
      </c>
      <c r="Q57" s="58" t="s">
        <v>84</v>
      </c>
      <c r="R57" s="20" t="s">
        <v>58</v>
      </c>
      <c r="S57" s="20" t="s">
        <v>60</v>
      </c>
    </row>
    <row r="58" spans="1:19" ht="18" customHeight="1" x14ac:dyDescent="0.15">
      <c r="A58" s="3"/>
      <c r="B58" s="140" t="s">
        <v>179</v>
      </c>
      <c r="C58" s="91"/>
      <c r="D58" s="91"/>
      <c r="E58" s="92"/>
      <c r="F58" s="21">
        <v>1</v>
      </c>
      <c r="G58" s="21" t="s">
        <v>131</v>
      </c>
      <c r="H58" s="21" t="s">
        <v>131</v>
      </c>
      <c r="I58" s="21" t="s">
        <v>131</v>
      </c>
      <c r="J58" s="140"/>
      <c r="K58" s="91"/>
      <c r="L58" s="91"/>
      <c r="M58" s="91"/>
      <c r="N58" s="91"/>
      <c r="O58" s="92"/>
      <c r="P58" s="21"/>
      <c r="Q58" s="21"/>
      <c r="R58" s="21"/>
      <c r="S58" s="21"/>
    </row>
    <row r="59" spans="1:19" ht="18" customHeight="1" x14ac:dyDescent="0.15">
      <c r="A59" s="3"/>
      <c r="B59" s="126"/>
      <c r="C59" s="94"/>
      <c r="D59" s="94"/>
      <c r="E59" s="95"/>
      <c r="F59" s="22"/>
      <c r="G59" s="22"/>
      <c r="H59" s="22"/>
      <c r="I59" s="22"/>
      <c r="J59" s="126"/>
      <c r="K59" s="94"/>
      <c r="L59" s="94"/>
      <c r="M59" s="94"/>
      <c r="N59" s="94"/>
      <c r="O59" s="95"/>
      <c r="P59" s="22"/>
      <c r="Q59" s="22"/>
      <c r="R59" s="22"/>
      <c r="S59" s="22"/>
    </row>
    <row r="60" spans="1:19" ht="18" customHeight="1" x14ac:dyDescent="0.15">
      <c r="A60" s="3"/>
      <c r="B60" s="126"/>
      <c r="C60" s="94"/>
      <c r="D60" s="94"/>
      <c r="E60" s="95"/>
      <c r="F60" s="22"/>
      <c r="G60" s="22"/>
      <c r="H60" s="22"/>
      <c r="I60" s="22"/>
      <c r="J60" s="126"/>
      <c r="K60" s="94"/>
      <c r="L60" s="94"/>
      <c r="M60" s="94"/>
      <c r="N60" s="94"/>
      <c r="O60" s="95"/>
      <c r="P60" s="22"/>
      <c r="Q60" s="22"/>
      <c r="R60" s="22"/>
      <c r="S60" s="22"/>
    </row>
    <row r="61" spans="1:19" ht="18" customHeight="1" x14ac:dyDescent="0.15">
      <c r="A61" s="3"/>
      <c r="B61" s="126"/>
      <c r="C61" s="94"/>
      <c r="D61" s="94"/>
      <c r="E61" s="95"/>
      <c r="F61" s="22"/>
      <c r="G61" s="22"/>
      <c r="H61" s="22"/>
      <c r="I61" s="22"/>
      <c r="J61" s="126"/>
      <c r="K61" s="94"/>
      <c r="L61" s="94"/>
      <c r="M61" s="94"/>
      <c r="N61" s="94"/>
      <c r="O61" s="95"/>
      <c r="P61" s="22"/>
      <c r="Q61" s="22"/>
      <c r="R61" s="22"/>
      <c r="S61" s="22"/>
    </row>
    <row r="62" spans="1:19" ht="18" customHeight="1" x14ac:dyDescent="0.15">
      <c r="A62" s="3"/>
      <c r="B62" s="126"/>
      <c r="C62" s="94"/>
      <c r="D62" s="94"/>
      <c r="E62" s="95"/>
      <c r="F62" s="22"/>
      <c r="G62" s="22"/>
      <c r="H62" s="22"/>
      <c r="I62" s="22"/>
      <c r="J62" s="126"/>
      <c r="K62" s="94"/>
      <c r="L62" s="94"/>
      <c r="M62" s="94"/>
      <c r="N62" s="94"/>
      <c r="O62" s="95"/>
      <c r="P62" s="22"/>
      <c r="Q62" s="22"/>
      <c r="R62" s="22"/>
      <c r="S62" s="22"/>
    </row>
    <row r="63" spans="1:19" ht="18" customHeight="1" x14ac:dyDescent="0.15">
      <c r="A63" s="3"/>
      <c r="B63" s="126"/>
      <c r="C63" s="94"/>
      <c r="D63" s="94"/>
      <c r="E63" s="95"/>
      <c r="F63" s="22"/>
      <c r="G63" s="22"/>
      <c r="H63" s="22"/>
      <c r="I63" s="22"/>
      <c r="J63" s="126"/>
      <c r="K63" s="94"/>
      <c r="L63" s="94"/>
      <c r="M63" s="94"/>
      <c r="N63" s="94"/>
      <c r="O63" s="95"/>
      <c r="P63" s="22"/>
      <c r="Q63" s="22"/>
      <c r="R63" s="22"/>
      <c r="S63" s="22"/>
    </row>
    <row r="64" spans="1:19" ht="18" customHeight="1" x14ac:dyDescent="0.15">
      <c r="A64" s="3"/>
      <c r="B64" s="130"/>
      <c r="C64" s="131"/>
      <c r="D64" s="131"/>
      <c r="E64" s="132"/>
      <c r="F64" s="23"/>
      <c r="G64" s="23"/>
      <c r="H64" s="24"/>
      <c r="I64" s="24"/>
      <c r="J64" s="130"/>
      <c r="K64" s="131"/>
      <c r="L64" s="131"/>
      <c r="M64" s="131"/>
      <c r="N64" s="131"/>
      <c r="O64" s="132"/>
      <c r="P64" s="23"/>
      <c r="Q64" s="23"/>
      <c r="R64" s="24"/>
      <c r="S64" s="24"/>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44" t="s">
        <v>117</v>
      </c>
      <c r="B66" s="144"/>
      <c r="C66" s="144"/>
      <c r="D66" s="144"/>
      <c r="E66" s="144"/>
      <c r="F66" s="144"/>
      <c r="G66" s="144"/>
      <c r="H66" s="144"/>
      <c r="I66" s="144"/>
      <c r="J66" s="144"/>
      <c r="K66" s="144"/>
      <c r="L66" s="144"/>
      <c r="M66" s="144"/>
      <c r="N66" s="144"/>
      <c r="O66" s="144"/>
      <c r="P66" s="144"/>
      <c r="Q66" s="144"/>
      <c r="R66" s="144"/>
      <c r="S66" s="144"/>
    </row>
    <row r="67" spans="1:19" ht="18" customHeight="1" x14ac:dyDescent="0.15">
      <c r="A67" s="144"/>
      <c r="B67" s="144"/>
      <c r="C67" s="144"/>
      <c r="D67" s="144"/>
      <c r="E67" s="144"/>
      <c r="F67" s="144"/>
      <c r="G67" s="144"/>
      <c r="H67" s="144"/>
      <c r="I67" s="144"/>
      <c r="J67" s="144"/>
      <c r="K67" s="144"/>
      <c r="L67" s="144"/>
      <c r="M67" s="144"/>
      <c r="N67" s="144"/>
      <c r="O67" s="144"/>
      <c r="P67" s="144"/>
      <c r="Q67" s="144"/>
      <c r="R67" s="144"/>
      <c r="S67" s="144"/>
    </row>
    <row r="68" spans="1:19" ht="18" customHeight="1" x14ac:dyDescent="0.15">
      <c r="B68" s="136" t="s">
        <v>53</v>
      </c>
      <c r="C68" s="116"/>
      <c r="D68" s="116"/>
      <c r="E68" s="59" t="s">
        <v>80</v>
      </c>
      <c r="F68" s="58" t="s">
        <v>84</v>
      </c>
      <c r="G68" s="20" t="s">
        <v>101</v>
      </c>
      <c r="H68" s="20" t="s">
        <v>75</v>
      </c>
      <c r="I68" s="20" t="s">
        <v>76</v>
      </c>
      <c r="J68" s="136" t="s">
        <v>53</v>
      </c>
      <c r="K68" s="116"/>
      <c r="L68" s="116"/>
      <c r="M68" s="116"/>
      <c r="N68" s="117"/>
      <c r="O68" s="59" t="s">
        <v>80</v>
      </c>
      <c r="P68" s="58" t="s">
        <v>84</v>
      </c>
      <c r="Q68" s="20" t="s">
        <v>101</v>
      </c>
      <c r="R68" s="20" t="s">
        <v>75</v>
      </c>
      <c r="S68" s="20" t="s">
        <v>76</v>
      </c>
    </row>
    <row r="69" spans="1:19" ht="18" customHeight="1" x14ac:dyDescent="0.15">
      <c r="A69" s="3"/>
      <c r="B69" s="140" t="s">
        <v>179</v>
      </c>
      <c r="C69" s="91"/>
      <c r="D69" s="91"/>
      <c r="E69" s="21">
        <v>1</v>
      </c>
      <c r="F69" s="21" t="s">
        <v>131</v>
      </c>
      <c r="G69" s="21"/>
      <c r="H69" s="21" t="s">
        <v>131</v>
      </c>
      <c r="I69" s="21"/>
      <c r="J69" s="140"/>
      <c r="K69" s="91"/>
      <c r="L69" s="91"/>
      <c r="M69" s="91"/>
      <c r="N69" s="92"/>
      <c r="O69" s="21"/>
      <c r="P69" s="21"/>
      <c r="Q69" s="21"/>
      <c r="R69" s="21"/>
      <c r="S69" s="21"/>
    </row>
    <row r="70" spans="1:19" ht="18" customHeight="1" x14ac:dyDescent="0.15">
      <c r="A70" s="3"/>
      <c r="B70" s="126" t="s">
        <v>167</v>
      </c>
      <c r="C70" s="94"/>
      <c r="D70" s="94"/>
      <c r="E70" s="22">
        <v>1</v>
      </c>
      <c r="F70" s="22" t="s">
        <v>131</v>
      </c>
      <c r="G70" s="22" t="s">
        <v>131</v>
      </c>
      <c r="H70" s="22" t="s">
        <v>131</v>
      </c>
      <c r="I70" s="22" t="s">
        <v>131</v>
      </c>
      <c r="J70" s="126"/>
      <c r="K70" s="94"/>
      <c r="L70" s="94"/>
      <c r="M70" s="94"/>
      <c r="N70" s="95"/>
      <c r="O70" s="22"/>
      <c r="P70" s="22"/>
      <c r="Q70" s="22"/>
      <c r="R70" s="22"/>
      <c r="S70" s="22"/>
    </row>
    <row r="71" spans="1:19" ht="18" customHeight="1" x14ac:dyDescent="0.15">
      <c r="A71" s="3"/>
      <c r="B71" s="126" t="s">
        <v>181</v>
      </c>
      <c r="C71" s="94"/>
      <c r="D71" s="94"/>
      <c r="E71" s="22">
        <v>2</v>
      </c>
      <c r="F71" s="22"/>
      <c r="G71" s="22" t="s">
        <v>131</v>
      </c>
      <c r="H71" s="22" t="s">
        <v>131</v>
      </c>
      <c r="I71" s="22"/>
      <c r="J71" s="126"/>
      <c r="K71" s="94"/>
      <c r="L71" s="94"/>
      <c r="M71" s="94"/>
      <c r="N71" s="95"/>
      <c r="O71" s="22"/>
      <c r="P71" s="22"/>
      <c r="Q71" s="22"/>
      <c r="R71" s="22"/>
      <c r="S71" s="22"/>
    </row>
    <row r="72" spans="1:19" ht="18" customHeight="1" x14ac:dyDescent="0.15">
      <c r="A72" s="3"/>
      <c r="B72" s="126" t="s">
        <v>180</v>
      </c>
      <c r="C72" s="94"/>
      <c r="D72" s="94"/>
      <c r="E72" s="22">
        <v>2</v>
      </c>
      <c r="F72" s="22"/>
      <c r="G72" s="22" t="s">
        <v>131</v>
      </c>
      <c r="H72" s="22" t="s">
        <v>131</v>
      </c>
      <c r="I72" s="22"/>
      <c r="J72" s="126"/>
      <c r="K72" s="94"/>
      <c r="L72" s="94"/>
      <c r="M72" s="94"/>
      <c r="N72" s="95"/>
      <c r="O72" s="22"/>
      <c r="P72" s="22"/>
      <c r="Q72" s="22"/>
      <c r="R72" s="22"/>
      <c r="S72" s="22"/>
    </row>
    <row r="73" spans="1:19" ht="18" customHeight="1" x14ac:dyDescent="0.15">
      <c r="A73" s="3"/>
      <c r="B73" s="126"/>
      <c r="C73" s="94"/>
      <c r="D73" s="94"/>
      <c r="E73" s="22"/>
      <c r="F73" s="22"/>
      <c r="G73" s="22"/>
      <c r="H73" s="22"/>
      <c r="I73" s="22"/>
      <c r="J73" s="126"/>
      <c r="K73" s="94"/>
      <c r="L73" s="94"/>
      <c r="M73" s="94"/>
      <c r="N73" s="95"/>
      <c r="O73" s="22"/>
      <c r="P73" s="22"/>
      <c r="Q73" s="22"/>
      <c r="R73" s="22"/>
      <c r="S73" s="22"/>
    </row>
    <row r="74" spans="1:19" ht="18" customHeight="1" x14ac:dyDescent="0.15">
      <c r="A74" s="3"/>
      <c r="B74" s="126"/>
      <c r="C74" s="94"/>
      <c r="D74" s="94"/>
      <c r="E74" s="22"/>
      <c r="F74" s="22"/>
      <c r="G74" s="22"/>
      <c r="H74" s="22"/>
      <c r="I74" s="22"/>
      <c r="J74" s="126"/>
      <c r="K74" s="94"/>
      <c r="L74" s="94"/>
      <c r="M74" s="94"/>
      <c r="N74" s="95"/>
      <c r="O74" s="22"/>
      <c r="P74" s="22"/>
      <c r="Q74" s="22"/>
      <c r="R74" s="22"/>
      <c r="S74" s="22"/>
    </row>
    <row r="75" spans="1:19" ht="18" customHeight="1" x14ac:dyDescent="0.15">
      <c r="A75" s="3"/>
      <c r="B75" s="130"/>
      <c r="C75" s="131"/>
      <c r="D75" s="131"/>
      <c r="E75" s="23"/>
      <c r="F75" s="23"/>
      <c r="G75" s="24"/>
      <c r="H75" s="24"/>
      <c r="I75" s="24"/>
      <c r="J75" s="130"/>
      <c r="K75" s="131"/>
      <c r="L75" s="131"/>
      <c r="M75" s="131"/>
      <c r="N75" s="132"/>
      <c r="O75" s="23"/>
      <c r="P75" s="23"/>
      <c r="Q75" s="24"/>
      <c r="R75" s="24"/>
      <c r="S75" s="24"/>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118</v>
      </c>
      <c r="H77" s="3"/>
      <c r="I77" s="3"/>
      <c r="J77" s="3"/>
      <c r="K77" s="3"/>
      <c r="L77" s="3"/>
      <c r="M77" s="3"/>
      <c r="N77" s="3"/>
      <c r="O77" s="3"/>
      <c r="P77" s="3"/>
      <c r="Q77" s="3"/>
      <c r="R77" s="3"/>
      <c r="S77" s="3"/>
    </row>
    <row r="78" spans="1:19" ht="18" customHeight="1" x14ac:dyDescent="0.15">
      <c r="B78" s="136" t="s">
        <v>53</v>
      </c>
      <c r="C78" s="116"/>
      <c r="D78" s="116"/>
      <c r="E78" s="117"/>
      <c r="F78" s="136" t="s">
        <v>82</v>
      </c>
      <c r="G78" s="116"/>
      <c r="H78" s="116"/>
      <c r="I78" s="117"/>
      <c r="J78" s="137" t="s">
        <v>53</v>
      </c>
      <c r="K78" s="138"/>
      <c r="L78" s="138"/>
      <c r="M78" s="138"/>
      <c r="N78" s="138"/>
      <c r="O78" s="139"/>
      <c r="P78" s="136" t="s">
        <v>82</v>
      </c>
      <c r="Q78" s="116"/>
      <c r="R78" s="116"/>
      <c r="S78" s="117"/>
    </row>
    <row r="79" spans="1:19" ht="18" customHeight="1" x14ac:dyDescent="0.15">
      <c r="A79" s="3"/>
      <c r="B79" s="140" t="s">
        <v>182</v>
      </c>
      <c r="C79" s="91"/>
      <c r="D79" s="91"/>
      <c r="E79" s="92"/>
      <c r="F79" s="141" t="s">
        <v>183</v>
      </c>
      <c r="G79" s="142"/>
      <c r="H79" s="142"/>
      <c r="I79" s="143"/>
      <c r="J79" s="140"/>
      <c r="K79" s="91"/>
      <c r="L79" s="91"/>
      <c r="M79" s="91"/>
      <c r="N79" s="91"/>
      <c r="O79" s="92"/>
      <c r="P79" s="141"/>
      <c r="Q79" s="142"/>
      <c r="R79" s="142"/>
      <c r="S79" s="143"/>
    </row>
    <row r="80" spans="1:19" ht="18" customHeight="1" x14ac:dyDescent="0.15">
      <c r="A80" s="3"/>
      <c r="B80" s="126" t="s">
        <v>169</v>
      </c>
      <c r="C80" s="94"/>
      <c r="D80" s="94"/>
      <c r="E80" s="95"/>
      <c r="F80" s="127" t="s">
        <v>139</v>
      </c>
      <c r="G80" s="128"/>
      <c r="H80" s="128"/>
      <c r="I80" s="129"/>
      <c r="J80" s="126"/>
      <c r="K80" s="94"/>
      <c r="L80" s="94"/>
      <c r="M80" s="94"/>
      <c r="N80" s="94"/>
      <c r="O80" s="95"/>
      <c r="P80" s="127"/>
      <c r="Q80" s="128"/>
      <c r="R80" s="128"/>
      <c r="S80" s="129"/>
    </row>
    <row r="81" spans="1:19" ht="18" customHeight="1" x14ac:dyDescent="0.15">
      <c r="A81" s="3"/>
      <c r="B81" s="126"/>
      <c r="C81" s="94"/>
      <c r="D81" s="94"/>
      <c r="E81" s="95"/>
      <c r="F81" s="127"/>
      <c r="G81" s="128"/>
      <c r="H81" s="128"/>
      <c r="I81" s="129"/>
      <c r="J81" s="126"/>
      <c r="K81" s="94"/>
      <c r="L81" s="94"/>
      <c r="M81" s="94"/>
      <c r="N81" s="94"/>
      <c r="O81" s="95"/>
      <c r="P81" s="127"/>
      <c r="Q81" s="128"/>
      <c r="R81" s="128"/>
      <c r="S81" s="129"/>
    </row>
    <row r="82" spans="1:19" ht="18" customHeight="1" x14ac:dyDescent="0.15">
      <c r="A82" s="3"/>
      <c r="B82" s="126"/>
      <c r="C82" s="94"/>
      <c r="D82" s="94"/>
      <c r="E82" s="95"/>
      <c r="F82" s="127"/>
      <c r="G82" s="128"/>
      <c r="H82" s="128"/>
      <c r="I82" s="129"/>
      <c r="J82" s="126"/>
      <c r="K82" s="94"/>
      <c r="L82" s="94"/>
      <c r="M82" s="94"/>
      <c r="N82" s="94"/>
      <c r="O82" s="95"/>
      <c r="P82" s="127"/>
      <c r="Q82" s="128"/>
      <c r="R82" s="128"/>
      <c r="S82" s="129"/>
    </row>
    <row r="83" spans="1:19" ht="18" customHeight="1" x14ac:dyDescent="0.15">
      <c r="A83" s="3"/>
      <c r="B83" s="126"/>
      <c r="C83" s="94"/>
      <c r="D83" s="94"/>
      <c r="E83" s="95"/>
      <c r="F83" s="127"/>
      <c r="G83" s="128"/>
      <c r="H83" s="128"/>
      <c r="I83" s="129"/>
      <c r="J83" s="126"/>
      <c r="K83" s="94"/>
      <c r="L83" s="94"/>
      <c r="M83" s="94"/>
      <c r="N83" s="94"/>
      <c r="O83" s="95"/>
      <c r="P83" s="127"/>
      <c r="Q83" s="128"/>
      <c r="R83" s="128"/>
      <c r="S83" s="129"/>
    </row>
    <row r="84" spans="1:19" ht="18" customHeight="1" x14ac:dyDescent="0.15">
      <c r="A84" s="3"/>
      <c r="B84" s="126"/>
      <c r="C84" s="94"/>
      <c r="D84" s="94"/>
      <c r="E84" s="95"/>
      <c r="F84" s="127"/>
      <c r="G84" s="128"/>
      <c r="H84" s="128"/>
      <c r="I84" s="129"/>
      <c r="J84" s="126"/>
      <c r="K84" s="94"/>
      <c r="L84" s="94"/>
      <c r="M84" s="94"/>
      <c r="N84" s="94"/>
      <c r="O84" s="95"/>
      <c r="P84" s="127"/>
      <c r="Q84" s="128"/>
      <c r="R84" s="128"/>
      <c r="S84" s="129"/>
    </row>
    <row r="85" spans="1:19" ht="18" customHeight="1" x14ac:dyDescent="0.15">
      <c r="A85" s="3"/>
      <c r="B85" s="130"/>
      <c r="C85" s="131"/>
      <c r="D85" s="131"/>
      <c r="E85" s="132"/>
      <c r="F85" s="133"/>
      <c r="G85" s="134"/>
      <c r="H85" s="134"/>
      <c r="I85" s="135"/>
      <c r="J85" s="130"/>
      <c r="K85" s="131"/>
      <c r="L85" s="131"/>
      <c r="M85" s="131"/>
      <c r="N85" s="131"/>
      <c r="O85" s="132"/>
      <c r="P85" s="133"/>
      <c r="Q85" s="134"/>
      <c r="R85" s="134"/>
      <c r="S85" s="135"/>
    </row>
    <row r="86" spans="1:19" ht="18" customHeight="1" x14ac:dyDescent="0.15">
      <c r="A86" s="3"/>
      <c r="B86" s="6"/>
      <c r="C86" s="6"/>
      <c r="D86" s="6"/>
      <c r="E86" s="6"/>
      <c r="F86" s="25"/>
      <c r="G86" s="25"/>
      <c r="H86" s="25"/>
      <c r="I86" s="25"/>
      <c r="J86" s="6"/>
      <c r="K86" s="6"/>
      <c r="L86" s="6"/>
      <c r="M86" s="6"/>
      <c r="N86" s="6"/>
      <c r="O86" s="6"/>
      <c r="P86" s="25"/>
      <c r="Q86" s="25"/>
      <c r="R86" s="25"/>
      <c r="S86" s="25"/>
    </row>
    <row r="87" spans="1:19" ht="18.75" customHeight="1" x14ac:dyDescent="0.15">
      <c r="A87" s="1" t="s">
        <v>119</v>
      </c>
    </row>
    <row r="88" spans="1:19" ht="18.75" customHeight="1" x14ac:dyDescent="0.15">
      <c r="B88" s="114" t="s">
        <v>54</v>
      </c>
      <c r="C88" s="115"/>
      <c r="D88" s="116" t="s">
        <v>55</v>
      </c>
      <c r="E88" s="116"/>
      <c r="F88" s="116"/>
      <c r="G88" s="116"/>
      <c r="H88" s="116"/>
      <c r="I88" s="116"/>
      <c r="J88" s="116"/>
      <c r="K88" s="116"/>
      <c r="L88" s="116"/>
      <c r="M88" s="116"/>
      <c r="N88" s="116"/>
      <c r="O88" s="116"/>
      <c r="P88" s="116"/>
      <c r="Q88" s="116"/>
      <c r="R88" s="116"/>
      <c r="S88" s="117"/>
    </row>
    <row r="89" spans="1:19" ht="97.5" customHeight="1" x14ac:dyDescent="0.15">
      <c r="B89" s="87" t="s">
        <v>61</v>
      </c>
      <c r="C89" s="26" t="s">
        <v>56</v>
      </c>
      <c r="D89" s="118" t="s">
        <v>184</v>
      </c>
      <c r="E89" s="118"/>
      <c r="F89" s="118"/>
      <c r="G89" s="118"/>
      <c r="H89" s="118"/>
      <c r="I89" s="118"/>
      <c r="J89" s="118"/>
      <c r="K89" s="118"/>
      <c r="L89" s="118"/>
      <c r="M89" s="118"/>
      <c r="N89" s="118"/>
      <c r="O89" s="118"/>
      <c r="P89" s="118"/>
      <c r="Q89" s="118"/>
      <c r="R89" s="118"/>
      <c r="S89" s="119"/>
    </row>
    <row r="90" spans="1:19" ht="97.5" customHeight="1" x14ac:dyDescent="0.15">
      <c r="B90" s="88"/>
      <c r="C90" s="27" t="s">
        <v>77</v>
      </c>
      <c r="D90" s="120" t="s">
        <v>185</v>
      </c>
      <c r="E90" s="120"/>
      <c r="F90" s="120"/>
      <c r="G90" s="120"/>
      <c r="H90" s="120"/>
      <c r="I90" s="120"/>
      <c r="J90" s="120"/>
      <c r="K90" s="120"/>
      <c r="L90" s="120"/>
      <c r="M90" s="120"/>
      <c r="N90" s="120"/>
      <c r="O90" s="120"/>
      <c r="P90" s="120"/>
      <c r="Q90" s="120"/>
      <c r="R90" s="120"/>
      <c r="S90" s="121"/>
    </row>
    <row r="91" spans="1:19" ht="97.5" customHeight="1" x14ac:dyDescent="0.15">
      <c r="B91" s="87" t="s">
        <v>62</v>
      </c>
      <c r="C91" s="28" t="s">
        <v>71</v>
      </c>
      <c r="D91" s="122" t="s">
        <v>186</v>
      </c>
      <c r="E91" s="122"/>
      <c r="F91" s="122"/>
      <c r="G91" s="122"/>
      <c r="H91" s="122"/>
      <c r="I91" s="122"/>
      <c r="J91" s="122"/>
      <c r="K91" s="122"/>
      <c r="L91" s="122"/>
      <c r="M91" s="122"/>
      <c r="N91" s="122"/>
      <c r="O91" s="122"/>
      <c r="P91" s="122"/>
      <c r="Q91" s="122"/>
      <c r="R91" s="122"/>
      <c r="S91" s="123"/>
    </row>
    <row r="92" spans="1:19" ht="97.5" customHeight="1" x14ac:dyDescent="0.15">
      <c r="B92" s="89"/>
      <c r="C92" s="29" t="s">
        <v>72</v>
      </c>
      <c r="D92" s="124" t="s">
        <v>187</v>
      </c>
      <c r="E92" s="124"/>
      <c r="F92" s="124"/>
      <c r="G92" s="124"/>
      <c r="H92" s="124"/>
      <c r="I92" s="124"/>
      <c r="J92" s="124"/>
      <c r="K92" s="124"/>
      <c r="L92" s="124"/>
      <c r="M92" s="124"/>
      <c r="N92" s="124"/>
      <c r="O92" s="124"/>
      <c r="P92" s="124"/>
      <c r="Q92" s="124"/>
      <c r="R92" s="124"/>
      <c r="S92" s="125"/>
    </row>
    <row r="93" spans="1:19" ht="97.5" customHeight="1" x14ac:dyDescent="0.15">
      <c r="B93" s="87" t="s">
        <v>63</v>
      </c>
      <c r="C93" s="28" t="s">
        <v>73</v>
      </c>
      <c r="D93" s="102" t="s">
        <v>188</v>
      </c>
      <c r="E93" s="103"/>
      <c r="F93" s="103"/>
      <c r="G93" s="103"/>
      <c r="H93" s="103"/>
      <c r="I93" s="103"/>
      <c r="J93" s="103"/>
      <c r="K93" s="103"/>
      <c r="L93" s="103"/>
      <c r="M93" s="103"/>
      <c r="N93" s="103"/>
      <c r="O93" s="103"/>
      <c r="P93" s="103"/>
      <c r="Q93" s="103"/>
      <c r="R93" s="103"/>
      <c r="S93" s="104"/>
    </row>
    <row r="94" spans="1:19" ht="97.5" customHeight="1" x14ac:dyDescent="0.15">
      <c r="B94" s="89"/>
      <c r="C94" s="30" t="s">
        <v>74</v>
      </c>
      <c r="D94" s="105" t="s">
        <v>189</v>
      </c>
      <c r="E94" s="106"/>
      <c r="F94" s="106"/>
      <c r="G94" s="106"/>
      <c r="H94" s="106"/>
      <c r="I94" s="106"/>
      <c r="J94" s="106"/>
      <c r="K94" s="106"/>
      <c r="L94" s="106"/>
      <c r="M94" s="106"/>
      <c r="N94" s="106"/>
      <c r="O94" s="106"/>
      <c r="P94" s="106"/>
      <c r="Q94" s="106"/>
      <c r="R94" s="106"/>
      <c r="S94" s="107"/>
    </row>
    <row r="95" spans="1:19" ht="97.5" customHeight="1" x14ac:dyDescent="0.15">
      <c r="B95" s="87" t="s">
        <v>78</v>
      </c>
      <c r="C95" s="26" t="s">
        <v>58</v>
      </c>
      <c r="D95" s="108" t="s">
        <v>190</v>
      </c>
      <c r="E95" s="109"/>
      <c r="F95" s="109"/>
      <c r="G95" s="109"/>
      <c r="H95" s="109"/>
      <c r="I95" s="109"/>
      <c r="J95" s="109"/>
      <c r="K95" s="109"/>
      <c r="L95" s="109"/>
      <c r="M95" s="109"/>
      <c r="N95" s="109"/>
      <c r="O95" s="109"/>
      <c r="P95" s="109"/>
      <c r="Q95" s="109"/>
      <c r="R95" s="109"/>
      <c r="S95" s="110"/>
    </row>
    <row r="96" spans="1:19" ht="97.5" customHeight="1" x14ac:dyDescent="0.15">
      <c r="B96" s="89"/>
      <c r="C96" s="29" t="s">
        <v>60</v>
      </c>
      <c r="D96" s="111" t="s">
        <v>280</v>
      </c>
      <c r="E96" s="112"/>
      <c r="F96" s="112"/>
      <c r="G96" s="112"/>
      <c r="H96" s="112"/>
      <c r="I96" s="112"/>
      <c r="J96" s="112"/>
      <c r="K96" s="112"/>
      <c r="L96" s="112"/>
      <c r="M96" s="112"/>
      <c r="N96" s="112"/>
      <c r="O96" s="112"/>
      <c r="P96" s="112"/>
      <c r="Q96" s="112"/>
      <c r="R96" s="112"/>
      <c r="S96" s="113"/>
    </row>
    <row r="97" spans="1:19" ht="142.5" customHeight="1" x14ac:dyDescent="0.15">
      <c r="B97" s="87" t="s">
        <v>79</v>
      </c>
      <c r="C97" s="28" t="s">
        <v>57</v>
      </c>
      <c r="D97" s="90" t="s">
        <v>278</v>
      </c>
      <c r="E97" s="91"/>
      <c r="F97" s="91"/>
      <c r="G97" s="91"/>
      <c r="H97" s="91"/>
      <c r="I97" s="91"/>
      <c r="J97" s="91"/>
      <c r="K97" s="91"/>
      <c r="L97" s="91"/>
      <c r="M97" s="91"/>
      <c r="N97" s="91"/>
      <c r="O97" s="91"/>
      <c r="P97" s="91"/>
      <c r="Q97" s="91"/>
      <c r="R97" s="91"/>
      <c r="S97" s="92"/>
    </row>
    <row r="98" spans="1:19" ht="112.5" customHeight="1" x14ac:dyDescent="0.15">
      <c r="B98" s="88"/>
      <c r="C98" s="31" t="s">
        <v>75</v>
      </c>
      <c r="D98" s="93" t="s">
        <v>271</v>
      </c>
      <c r="E98" s="94"/>
      <c r="F98" s="94"/>
      <c r="G98" s="94"/>
      <c r="H98" s="94"/>
      <c r="I98" s="94"/>
      <c r="J98" s="94"/>
      <c r="K98" s="94"/>
      <c r="L98" s="94"/>
      <c r="M98" s="94"/>
      <c r="N98" s="94"/>
      <c r="O98" s="94"/>
      <c r="P98" s="94"/>
      <c r="Q98" s="94"/>
      <c r="R98" s="94"/>
      <c r="S98" s="95"/>
    </row>
    <row r="99" spans="1:19" ht="97.5" customHeight="1" x14ac:dyDescent="0.15">
      <c r="B99" s="89"/>
      <c r="C99" s="30" t="s">
        <v>76</v>
      </c>
      <c r="D99" s="96" t="s">
        <v>279</v>
      </c>
      <c r="E99" s="97"/>
      <c r="F99" s="97"/>
      <c r="G99" s="97"/>
      <c r="H99" s="97"/>
      <c r="I99" s="97"/>
      <c r="J99" s="97"/>
      <c r="K99" s="97"/>
      <c r="L99" s="97"/>
      <c r="M99" s="97"/>
      <c r="N99" s="97"/>
      <c r="O99" s="97"/>
      <c r="P99" s="97"/>
      <c r="Q99" s="97"/>
      <c r="R99" s="97"/>
      <c r="S99" s="98"/>
    </row>
    <row r="100" spans="1:19" ht="6" customHeight="1" x14ac:dyDescent="0.15"/>
    <row r="101" spans="1:19" ht="18.75" customHeight="1" x14ac:dyDescent="0.15">
      <c r="A101" s="1" t="s">
        <v>120</v>
      </c>
    </row>
    <row r="102" spans="1:19" ht="81.75" customHeight="1" x14ac:dyDescent="0.15">
      <c r="B102" s="99" t="s">
        <v>191</v>
      </c>
      <c r="C102" s="100"/>
      <c r="D102" s="100"/>
      <c r="E102" s="100"/>
      <c r="F102" s="100"/>
      <c r="G102" s="100"/>
      <c r="H102" s="100"/>
      <c r="I102" s="100"/>
      <c r="J102" s="100"/>
      <c r="K102" s="100"/>
      <c r="L102" s="100"/>
      <c r="M102" s="100"/>
      <c r="N102" s="100"/>
      <c r="O102" s="100"/>
      <c r="P102" s="100"/>
      <c r="Q102" s="100"/>
      <c r="R102" s="100"/>
      <c r="S102" s="101"/>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3"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27EDBDE3-32D1-4E45-8D4F-39A34134C829}">
      <formula1>"○"</formula1>
    </dataValidation>
    <dataValidation type="list" allowBlank="1" showInputMessage="1" showErrorMessage="1" sqref="S32 S43 D32:G32 D43:G43" xr:uid="{A3149EDA-44BA-4F6F-BD0B-D3F8D83BD312}">
      <formula1>"全学開講,一部開講"</formula1>
    </dataValidation>
    <dataValidation type="list" allowBlank="1" showInputMessage="1" showErrorMessage="1" sqref="K7 K12" xr:uid="{7E4F0B4B-5C7C-4C77-8FAF-4A818FD01D1F}">
      <formula1>"学部・学科によって、修了要件は相違する,学部・学科によって、修了要件は相違しない"</formula1>
    </dataValidation>
    <dataValidation type="list" allowBlank="1" showInputMessage="1" showErrorMessage="1" sqref="F79:F86 P79:P86 G79:I80 G83:I86 Q83:S86 Q79:S80" xr:uid="{5CBB5AED-1CD5-47EA-A513-3507B48C043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334F946D-A5E9-4C34-BBF9-B966A34DD9FF}">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horizontalDpi="1200" verticalDpi="1200" r:id="rId1"/>
  <headerFooter>
    <oddHeader>&amp;C数理・データサイエンス・AI教育プログラム認定制度【リテラシーレベル】</oddHeader>
  </headerFooter>
  <rowBreaks count="2" manualBreakCount="2">
    <brk id="65" max="18" man="1"/>
    <brk id="94"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E6D83-B4F3-4F40-8A1A-76D4D987ECEE}">
  <sheetPr>
    <pageSetUpPr fitToPage="1"/>
  </sheetPr>
  <dimension ref="A1:V110"/>
  <sheetViews>
    <sheetView showZeros="0" view="pageBreakPreview" zoomScaleNormal="100" zoomScaleSheetLayoutView="100" workbookViewId="0">
      <selection activeCell="U6" sqref="U6"/>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57" t="s">
        <v>192</v>
      </c>
      <c r="S1" s="157"/>
      <c r="T1" s="2" t="s">
        <v>109</v>
      </c>
    </row>
    <row r="2" spans="1:22" ht="18.75" customHeight="1" x14ac:dyDescent="0.15">
      <c r="B2" s="32" t="s">
        <v>108</v>
      </c>
      <c r="C2" s="136" t="str">
        <f>'様式１ー１　プログラムを構成する授業科目'!C2</f>
        <v>順天堂大学</v>
      </c>
      <c r="D2" s="116"/>
      <c r="E2" s="116"/>
      <c r="F2" s="116"/>
      <c r="G2" s="116"/>
      <c r="H2" s="116"/>
      <c r="I2" s="117"/>
      <c r="J2" s="33"/>
      <c r="K2" s="6"/>
      <c r="L2" s="6"/>
      <c r="M2" s="6"/>
      <c r="N2" s="6"/>
      <c r="O2" s="6"/>
      <c r="P2" s="6"/>
      <c r="Q2" s="6"/>
      <c r="R2" s="6"/>
      <c r="S2" s="6"/>
    </row>
    <row r="3" spans="1:22" ht="18.75" customHeight="1" x14ac:dyDescent="0.15">
      <c r="B3" s="32" t="s">
        <v>102</v>
      </c>
      <c r="C3" s="136" t="str">
        <f>'様式１ー１　プログラムを構成する授業科目'!C3</f>
        <v>数理・データサイエンス・AI教育プログラム</v>
      </c>
      <c r="D3" s="116"/>
      <c r="E3" s="116"/>
      <c r="F3" s="116"/>
      <c r="G3" s="116"/>
      <c r="H3" s="116"/>
      <c r="I3" s="117"/>
      <c r="J3" s="33"/>
      <c r="K3" s="6"/>
      <c r="L3" s="6"/>
      <c r="M3" s="6"/>
      <c r="N3" s="6"/>
      <c r="O3" s="6"/>
      <c r="P3" s="6"/>
      <c r="Q3" s="6"/>
      <c r="R3" s="6"/>
      <c r="S3" s="6"/>
    </row>
    <row r="4" spans="1:22" ht="15" customHeight="1" x14ac:dyDescent="0.15">
      <c r="K4" s="33"/>
      <c r="L4" s="35"/>
      <c r="M4" s="35"/>
      <c r="N4" s="35"/>
      <c r="O4" s="35"/>
      <c r="P4" s="35"/>
      <c r="Q4" s="35"/>
      <c r="R4" s="35"/>
      <c r="S4" s="35"/>
    </row>
    <row r="5" spans="1:22" ht="18" customHeight="1" x14ac:dyDescent="0.15">
      <c r="A5" s="158" t="s">
        <v>38</v>
      </c>
      <c r="B5" s="158"/>
      <c r="C5" s="158"/>
      <c r="D5" s="158"/>
      <c r="E5" s="158"/>
      <c r="F5" s="158"/>
      <c r="G5" s="158"/>
      <c r="H5" s="158"/>
      <c r="I5" s="158"/>
      <c r="J5" s="158"/>
      <c r="K5" s="158"/>
      <c r="L5" s="158"/>
      <c r="M5" s="158"/>
      <c r="N5" s="158"/>
      <c r="O5" s="158"/>
      <c r="P5" s="158"/>
      <c r="Q5" s="158"/>
      <c r="R5" s="158"/>
      <c r="S5" s="158"/>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6" t="s">
        <v>107</v>
      </c>
      <c r="K7" s="159" t="s">
        <v>128</v>
      </c>
      <c r="L7" s="160"/>
      <c r="M7" s="160"/>
      <c r="N7" s="160"/>
      <c r="O7" s="160"/>
      <c r="P7" s="160"/>
      <c r="Q7" s="160"/>
      <c r="R7" s="160"/>
      <c r="S7" s="161"/>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62" t="s">
        <v>193</v>
      </c>
      <c r="C9" s="118"/>
      <c r="D9" s="118"/>
      <c r="E9" s="118"/>
      <c r="F9" s="118"/>
      <c r="G9" s="118"/>
      <c r="H9" s="118"/>
      <c r="I9" s="118"/>
      <c r="J9" s="118"/>
      <c r="K9" s="118"/>
      <c r="L9" s="118"/>
      <c r="M9" s="118"/>
      <c r="N9" s="118"/>
      <c r="O9" s="118"/>
      <c r="P9" s="118"/>
      <c r="Q9" s="118"/>
      <c r="R9" s="118"/>
      <c r="S9" s="119"/>
    </row>
    <row r="10" spans="1:22" ht="18" customHeight="1" x14ac:dyDescent="0.15">
      <c r="B10" s="163"/>
      <c r="C10" s="164"/>
      <c r="D10" s="164"/>
      <c r="E10" s="164"/>
      <c r="F10" s="164"/>
      <c r="G10" s="164"/>
      <c r="H10" s="164"/>
      <c r="I10" s="164"/>
      <c r="J10" s="164"/>
      <c r="K10" s="164"/>
      <c r="L10" s="164"/>
      <c r="M10" s="164"/>
      <c r="N10" s="164"/>
      <c r="O10" s="164"/>
      <c r="P10" s="164"/>
      <c r="Q10" s="164"/>
      <c r="R10" s="164"/>
      <c r="S10" s="165"/>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111</v>
      </c>
      <c r="B12" s="3"/>
      <c r="C12" s="3"/>
      <c r="D12" s="33"/>
      <c r="E12" s="33"/>
      <c r="F12" s="33"/>
      <c r="G12" s="33"/>
      <c r="H12" s="33"/>
      <c r="I12" s="33"/>
      <c r="J12" s="33"/>
      <c r="K12" s="37"/>
      <c r="L12" s="37"/>
      <c r="M12" s="37"/>
      <c r="N12" s="37"/>
      <c r="O12" s="37"/>
      <c r="P12" s="37"/>
      <c r="Q12" s="37"/>
      <c r="R12" s="37"/>
      <c r="S12" s="37"/>
    </row>
    <row r="13" spans="1:22" ht="18" customHeight="1" x14ac:dyDescent="0.15">
      <c r="B13" s="145" t="s">
        <v>306</v>
      </c>
      <c r="C13" s="146"/>
      <c r="D13" s="146"/>
      <c r="E13" s="146"/>
      <c r="F13" s="146"/>
      <c r="G13" s="146"/>
      <c r="H13" s="146"/>
      <c r="I13" s="146"/>
      <c r="J13" s="146"/>
      <c r="K13" s="146"/>
      <c r="L13" s="146"/>
      <c r="M13" s="146"/>
      <c r="N13" s="146"/>
      <c r="O13" s="146"/>
      <c r="P13" s="146"/>
      <c r="Q13" s="146"/>
      <c r="R13" s="146"/>
      <c r="S13" s="147"/>
      <c r="V13" s="1" t="s">
        <v>103</v>
      </c>
    </row>
    <row r="14" spans="1:22" ht="18" customHeight="1" x14ac:dyDescent="0.15">
      <c r="B14" s="148"/>
      <c r="C14" s="149"/>
      <c r="D14" s="149"/>
      <c r="E14" s="149"/>
      <c r="F14" s="149"/>
      <c r="G14" s="149"/>
      <c r="H14" s="149"/>
      <c r="I14" s="149"/>
      <c r="J14" s="149"/>
      <c r="K14" s="149"/>
      <c r="L14" s="149"/>
      <c r="M14" s="149"/>
      <c r="N14" s="149"/>
      <c r="O14" s="149"/>
      <c r="P14" s="149"/>
      <c r="Q14" s="149"/>
      <c r="R14" s="149"/>
      <c r="S14" s="150"/>
      <c r="V14" s="1" t="s">
        <v>110</v>
      </c>
    </row>
    <row r="15" spans="1:22" ht="18" customHeight="1" x14ac:dyDescent="0.15">
      <c r="B15" s="148"/>
      <c r="C15" s="149"/>
      <c r="D15" s="149"/>
      <c r="E15" s="149"/>
      <c r="F15" s="149"/>
      <c r="G15" s="149"/>
      <c r="H15" s="149"/>
      <c r="I15" s="149"/>
      <c r="J15" s="149"/>
      <c r="K15" s="149"/>
      <c r="L15" s="149"/>
      <c r="M15" s="149"/>
      <c r="N15" s="149"/>
      <c r="O15" s="149"/>
      <c r="P15" s="149"/>
      <c r="Q15" s="149"/>
      <c r="R15" s="149"/>
      <c r="S15" s="150"/>
      <c r="V15" s="1" t="s">
        <v>123</v>
      </c>
    </row>
    <row r="16" spans="1:22" ht="18" customHeight="1" x14ac:dyDescent="0.15">
      <c r="B16" s="148"/>
      <c r="C16" s="149"/>
      <c r="D16" s="149"/>
      <c r="E16" s="149"/>
      <c r="F16" s="149"/>
      <c r="G16" s="149"/>
      <c r="H16" s="149"/>
      <c r="I16" s="149"/>
      <c r="J16" s="149"/>
      <c r="K16" s="149"/>
      <c r="L16" s="149"/>
      <c r="M16" s="149"/>
      <c r="N16" s="149"/>
      <c r="O16" s="149"/>
      <c r="P16" s="149"/>
      <c r="Q16" s="149"/>
      <c r="R16" s="149"/>
      <c r="S16" s="150"/>
      <c r="V16" s="1" t="s">
        <v>125</v>
      </c>
    </row>
    <row r="17" spans="1:19" ht="18" customHeight="1" x14ac:dyDescent="0.15">
      <c r="B17" s="148"/>
      <c r="C17" s="149"/>
      <c r="D17" s="149"/>
      <c r="E17" s="149"/>
      <c r="F17" s="149"/>
      <c r="G17" s="149"/>
      <c r="H17" s="149"/>
      <c r="I17" s="149"/>
      <c r="J17" s="149"/>
      <c r="K17" s="149"/>
      <c r="L17" s="149"/>
      <c r="M17" s="149"/>
      <c r="N17" s="149"/>
      <c r="O17" s="149"/>
      <c r="P17" s="149"/>
      <c r="Q17" s="149"/>
      <c r="R17" s="149"/>
      <c r="S17" s="150"/>
    </row>
    <row r="18" spans="1:19" ht="18" customHeight="1" x14ac:dyDescent="0.15">
      <c r="B18" s="151"/>
      <c r="C18" s="152"/>
      <c r="D18" s="152"/>
      <c r="E18" s="152"/>
      <c r="F18" s="152"/>
      <c r="G18" s="152"/>
      <c r="H18" s="152"/>
      <c r="I18" s="152"/>
      <c r="J18" s="152"/>
      <c r="K18" s="152"/>
      <c r="L18" s="152"/>
      <c r="M18" s="152"/>
      <c r="N18" s="152"/>
      <c r="O18" s="152"/>
      <c r="P18" s="152"/>
      <c r="Q18" s="152"/>
      <c r="R18" s="152"/>
      <c r="S18" s="153"/>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136">
        <v>2</v>
      </c>
      <c r="D20" s="117"/>
      <c r="E20" s="38" t="s">
        <v>95</v>
      </c>
      <c r="G20" s="10"/>
      <c r="H20" s="3"/>
      <c r="I20" s="3"/>
      <c r="J20" s="33" t="s">
        <v>121</v>
      </c>
      <c r="K20" s="154" t="s">
        <v>110</v>
      </c>
      <c r="L20" s="155"/>
      <c r="M20" s="155"/>
      <c r="N20" s="155"/>
      <c r="O20" s="155"/>
      <c r="P20" s="155"/>
      <c r="Q20" s="155"/>
      <c r="R20" s="155"/>
      <c r="S20" s="156"/>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44" t="s">
        <v>113</v>
      </c>
      <c r="B22" s="144"/>
      <c r="C22" s="144"/>
      <c r="D22" s="144"/>
      <c r="E22" s="144"/>
      <c r="F22" s="144"/>
      <c r="G22" s="144"/>
      <c r="H22" s="144"/>
      <c r="I22" s="144"/>
      <c r="J22" s="144"/>
      <c r="K22" s="144"/>
      <c r="L22" s="144"/>
      <c r="M22" s="144"/>
      <c r="N22" s="144"/>
      <c r="O22" s="144"/>
      <c r="P22" s="144"/>
      <c r="Q22" s="144"/>
      <c r="R22" s="144"/>
      <c r="S22" s="144"/>
    </row>
    <row r="23" spans="1:19" ht="18" customHeight="1" x14ac:dyDescent="0.15">
      <c r="A23" s="144"/>
      <c r="B23" s="144"/>
      <c r="C23" s="144"/>
      <c r="D23" s="144"/>
      <c r="E23" s="144"/>
      <c r="F23" s="144"/>
      <c r="G23" s="144"/>
      <c r="H23" s="144"/>
      <c r="I23" s="144"/>
      <c r="J23" s="144"/>
      <c r="K23" s="144"/>
      <c r="L23" s="144"/>
      <c r="M23" s="144"/>
      <c r="N23" s="144"/>
      <c r="O23" s="144"/>
      <c r="P23" s="144"/>
      <c r="Q23" s="144"/>
      <c r="R23" s="144"/>
      <c r="S23" s="144"/>
    </row>
    <row r="24" spans="1:19" ht="18" customHeight="1" x14ac:dyDescent="0.15">
      <c r="B24" s="136" t="s">
        <v>53</v>
      </c>
      <c r="C24" s="116"/>
      <c r="D24" s="116"/>
      <c r="E24" s="117"/>
      <c r="F24" s="59" t="s">
        <v>80</v>
      </c>
      <c r="G24" s="58" t="s">
        <v>84</v>
      </c>
      <c r="H24" s="20" t="s">
        <v>56</v>
      </c>
      <c r="I24" s="20" t="s">
        <v>59</v>
      </c>
      <c r="J24" s="136" t="s">
        <v>53</v>
      </c>
      <c r="K24" s="116"/>
      <c r="L24" s="116"/>
      <c r="M24" s="116"/>
      <c r="N24" s="116"/>
      <c r="O24" s="117"/>
      <c r="P24" s="59" t="s">
        <v>80</v>
      </c>
      <c r="Q24" s="58" t="s">
        <v>84</v>
      </c>
      <c r="R24" s="20" t="s">
        <v>56</v>
      </c>
      <c r="S24" s="20" t="s">
        <v>59</v>
      </c>
    </row>
    <row r="25" spans="1:19" ht="18" customHeight="1" x14ac:dyDescent="0.15">
      <c r="B25" s="140" t="s">
        <v>194</v>
      </c>
      <c r="C25" s="91"/>
      <c r="D25" s="91"/>
      <c r="E25" s="92"/>
      <c r="F25" s="21">
        <v>2</v>
      </c>
      <c r="G25" s="21" t="s">
        <v>131</v>
      </c>
      <c r="H25" s="21" t="s">
        <v>131</v>
      </c>
      <c r="I25" s="21" t="s">
        <v>131</v>
      </c>
      <c r="J25" s="140"/>
      <c r="K25" s="91"/>
      <c r="L25" s="91"/>
      <c r="M25" s="91"/>
      <c r="N25" s="91"/>
      <c r="O25" s="92"/>
      <c r="P25" s="21"/>
      <c r="Q25" s="21"/>
      <c r="R25" s="21"/>
      <c r="S25" s="21"/>
    </row>
    <row r="26" spans="1:19" ht="18" customHeight="1" x14ac:dyDescent="0.15">
      <c r="B26" s="126"/>
      <c r="C26" s="94"/>
      <c r="D26" s="94"/>
      <c r="E26" s="95"/>
      <c r="F26" s="22"/>
      <c r="G26" s="22"/>
      <c r="H26" s="22"/>
      <c r="I26" s="22"/>
      <c r="J26" s="126"/>
      <c r="K26" s="94"/>
      <c r="L26" s="94"/>
      <c r="M26" s="94"/>
      <c r="N26" s="94"/>
      <c r="O26" s="95"/>
      <c r="P26" s="22"/>
      <c r="Q26" s="22"/>
      <c r="R26" s="22"/>
      <c r="S26" s="22"/>
    </row>
    <row r="27" spans="1:19" ht="18" customHeight="1" x14ac:dyDescent="0.15">
      <c r="B27" s="126"/>
      <c r="C27" s="94"/>
      <c r="D27" s="94"/>
      <c r="E27" s="95"/>
      <c r="F27" s="22"/>
      <c r="G27" s="22"/>
      <c r="H27" s="22"/>
      <c r="I27" s="22"/>
      <c r="J27" s="126"/>
      <c r="K27" s="94"/>
      <c r="L27" s="94"/>
      <c r="M27" s="94"/>
      <c r="N27" s="94"/>
      <c r="O27" s="95"/>
      <c r="P27" s="22"/>
      <c r="Q27" s="22"/>
      <c r="R27" s="22"/>
      <c r="S27" s="22"/>
    </row>
    <row r="28" spans="1:19" ht="18" customHeight="1" x14ac:dyDescent="0.15">
      <c r="B28" s="126"/>
      <c r="C28" s="94"/>
      <c r="D28" s="94"/>
      <c r="E28" s="95"/>
      <c r="F28" s="22"/>
      <c r="G28" s="22"/>
      <c r="H28" s="22"/>
      <c r="I28" s="22"/>
      <c r="J28" s="126"/>
      <c r="K28" s="94"/>
      <c r="L28" s="94"/>
      <c r="M28" s="94"/>
      <c r="N28" s="94"/>
      <c r="O28" s="95"/>
      <c r="P28" s="22"/>
      <c r="Q28" s="22"/>
      <c r="R28" s="22"/>
      <c r="S28" s="22"/>
    </row>
    <row r="29" spans="1:19" ht="18" customHeight="1" x14ac:dyDescent="0.15">
      <c r="B29" s="126"/>
      <c r="C29" s="94"/>
      <c r="D29" s="94"/>
      <c r="E29" s="95"/>
      <c r="F29" s="22"/>
      <c r="G29" s="22"/>
      <c r="H29" s="22"/>
      <c r="I29" s="22"/>
      <c r="J29" s="126"/>
      <c r="K29" s="94"/>
      <c r="L29" s="94"/>
      <c r="M29" s="94"/>
      <c r="N29" s="94"/>
      <c r="O29" s="95"/>
      <c r="P29" s="22"/>
      <c r="Q29" s="22"/>
      <c r="R29" s="22"/>
      <c r="S29" s="22"/>
    </row>
    <row r="30" spans="1:19" ht="18" customHeight="1" x14ac:dyDescent="0.15">
      <c r="A30" s="3"/>
      <c r="B30" s="126"/>
      <c r="C30" s="94"/>
      <c r="D30" s="94"/>
      <c r="E30" s="95"/>
      <c r="F30" s="22"/>
      <c r="G30" s="22"/>
      <c r="H30" s="22"/>
      <c r="I30" s="22"/>
      <c r="J30" s="126"/>
      <c r="K30" s="94"/>
      <c r="L30" s="94"/>
      <c r="M30" s="94"/>
      <c r="N30" s="94"/>
      <c r="O30" s="95"/>
      <c r="P30" s="22"/>
      <c r="Q30" s="22"/>
      <c r="R30" s="22"/>
      <c r="S30" s="22"/>
    </row>
    <row r="31" spans="1:19" ht="18" customHeight="1" x14ac:dyDescent="0.15">
      <c r="A31" s="3"/>
      <c r="B31" s="130"/>
      <c r="C31" s="131"/>
      <c r="D31" s="131"/>
      <c r="E31" s="132"/>
      <c r="F31" s="23"/>
      <c r="G31" s="23"/>
      <c r="H31" s="24"/>
      <c r="I31" s="24"/>
      <c r="J31" s="130"/>
      <c r="K31" s="131"/>
      <c r="L31" s="131"/>
      <c r="M31" s="131"/>
      <c r="N31" s="131"/>
      <c r="O31" s="132"/>
      <c r="P31" s="23"/>
      <c r="Q31" s="23"/>
      <c r="R31" s="24"/>
      <c r="S31" s="24"/>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44" t="s">
        <v>114</v>
      </c>
      <c r="B33" s="144"/>
      <c r="C33" s="144"/>
      <c r="D33" s="144"/>
      <c r="E33" s="144"/>
      <c r="F33" s="144"/>
      <c r="G33" s="144"/>
      <c r="H33" s="144"/>
      <c r="I33" s="144"/>
      <c r="J33" s="144"/>
      <c r="K33" s="144"/>
      <c r="L33" s="144"/>
      <c r="M33" s="144"/>
      <c r="N33" s="144"/>
      <c r="O33" s="144"/>
      <c r="P33" s="144"/>
      <c r="Q33" s="144"/>
      <c r="R33" s="144"/>
      <c r="S33" s="144"/>
    </row>
    <row r="34" spans="1:19" ht="18" customHeight="1" x14ac:dyDescent="0.15">
      <c r="A34" s="144"/>
      <c r="B34" s="144"/>
      <c r="C34" s="144"/>
      <c r="D34" s="144"/>
      <c r="E34" s="144"/>
      <c r="F34" s="144"/>
      <c r="G34" s="144"/>
      <c r="H34" s="144"/>
      <c r="I34" s="144"/>
      <c r="J34" s="144"/>
      <c r="K34" s="144"/>
      <c r="L34" s="144"/>
      <c r="M34" s="144"/>
      <c r="N34" s="144"/>
      <c r="O34" s="144"/>
      <c r="P34" s="144"/>
      <c r="Q34" s="144"/>
      <c r="R34" s="144"/>
      <c r="S34" s="144"/>
    </row>
    <row r="35" spans="1:19" ht="18" customHeight="1" x14ac:dyDescent="0.15">
      <c r="B35" s="136" t="s">
        <v>53</v>
      </c>
      <c r="C35" s="116"/>
      <c r="D35" s="116"/>
      <c r="E35" s="117"/>
      <c r="F35" s="59" t="s">
        <v>80</v>
      </c>
      <c r="G35" s="58" t="s">
        <v>84</v>
      </c>
      <c r="H35" s="20" t="s">
        <v>71</v>
      </c>
      <c r="I35" s="20" t="s">
        <v>72</v>
      </c>
      <c r="J35" s="136" t="s">
        <v>53</v>
      </c>
      <c r="K35" s="116"/>
      <c r="L35" s="116"/>
      <c r="M35" s="116"/>
      <c r="N35" s="116"/>
      <c r="O35" s="117"/>
      <c r="P35" s="59" t="s">
        <v>80</v>
      </c>
      <c r="Q35" s="58" t="s">
        <v>84</v>
      </c>
      <c r="R35" s="20" t="s">
        <v>71</v>
      </c>
      <c r="S35" s="20" t="s">
        <v>72</v>
      </c>
    </row>
    <row r="36" spans="1:19" ht="18" customHeight="1" x14ac:dyDescent="0.15">
      <c r="B36" s="140" t="s">
        <v>194</v>
      </c>
      <c r="C36" s="91"/>
      <c r="D36" s="91"/>
      <c r="E36" s="92"/>
      <c r="F36" s="21">
        <v>2</v>
      </c>
      <c r="G36" s="21" t="s">
        <v>131</v>
      </c>
      <c r="H36" s="21" t="s">
        <v>131</v>
      </c>
      <c r="I36" s="21" t="s">
        <v>131</v>
      </c>
      <c r="J36" s="140"/>
      <c r="K36" s="91"/>
      <c r="L36" s="91"/>
      <c r="M36" s="91"/>
      <c r="N36" s="91"/>
      <c r="O36" s="92"/>
      <c r="P36" s="21"/>
      <c r="Q36" s="21"/>
      <c r="R36" s="21"/>
      <c r="S36" s="21"/>
    </row>
    <row r="37" spans="1:19" ht="18" customHeight="1" x14ac:dyDescent="0.15">
      <c r="B37" s="126"/>
      <c r="C37" s="94"/>
      <c r="D37" s="94"/>
      <c r="E37" s="95"/>
      <c r="F37" s="22"/>
      <c r="G37" s="22"/>
      <c r="H37" s="22"/>
      <c r="I37" s="22"/>
      <c r="J37" s="126"/>
      <c r="K37" s="94"/>
      <c r="L37" s="94"/>
      <c r="M37" s="94"/>
      <c r="N37" s="94"/>
      <c r="O37" s="95"/>
      <c r="P37" s="22"/>
      <c r="Q37" s="22"/>
      <c r="R37" s="22"/>
      <c r="S37" s="22"/>
    </row>
    <row r="38" spans="1:19" ht="18" customHeight="1" x14ac:dyDescent="0.15">
      <c r="B38" s="126"/>
      <c r="C38" s="94"/>
      <c r="D38" s="94"/>
      <c r="E38" s="95"/>
      <c r="F38" s="22"/>
      <c r="G38" s="22"/>
      <c r="H38" s="22"/>
      <c r="I38" s="22"/>
      <c r="J38" s="126"/>
      <c r="K38" s="94"/>
      <c r="L38" s="94"/>
      <c r="M38" s="94"/>
      <c r="N38" s="94"/>
      <c r="O38" s="95"/>
      <c r="P38" s="22"/>
      <c r="Q38" s="22"/>
      <c r="R38" s="22"/>
      <c r="S38" s="22"/>
    </row>
    <row r="39" spans="1:19" ht="18" customHeight="1" x14ac:dyDescent="0.15">
      <c r="B39" s="126"/>
      <c r="C39" s="94"/>
      <c r="D39" s="94"/>
      <c r="E39" s="95"/>
      <c r="F39" s="22"/>
      <c r="G39" s="22"/>
      <c r="H39" s="22"/>
      <c r="I39" s="22"/>
      <c r="J39" s="126"/>
      <c r="K39" s="94"/>
      <c r="L39" s="94"/>
      <c r="M39" s="94"/>
      <c r="N39" s="94"/>
      <c r="O39" s="95"/>
      <c r="P39" s="22"/>
      <c r="Q39" s="22"/>
      <c r="R39" s="22"/>
      <c r="S39" s="22"/>
    </row>
    <row r="40" spans="1:19" ht="18" customHeight="1" x14ac:dyDescent="0.15">
      <c r="B40" s="126"/>
      <c r="C40" s="94"/>
      <c r="D40" s="94"/>
      <c r="E40" s="95"/>
      <c r="F40" s="22"/>
      <c r="G40" s="22"/>
      <c r="H40" s="22"/>
      <c r="I40" s="22"/>
      <c r="J40" s="126"/>
      <c r="K40" s="94"/>
      <c r="L40" s="94"/>
      <c r="M40" s="94"/>
      <c r="N40" s="94"/>
      <c r="O40" s="95"/>
      <c r="P40" s="22"/>
      <c r="Q40" s="22"/>
      <c r="R40" s="22"/>
      <c r="S40" s="22"/>
    </row>
    <row r="41" spans="1:19" ht="18" customHeight="1" x14ac:dyDescent="0.15">
      <c r="B41" s="126"/>
      <c r="C41" s="94"/>
      <c r="D41" s="94"/>
      <c r="E41" s="95"/>
      <c r="F41" s="22"/>
      <c r="G41" s="22"/>
      <c r="H41" s="22"/>
      <c r="I41" s="22"/>
      <c r="J41" s="126"/>
      <c r="K41" s="94"/>
      <c r="L41" s="94"/>
      <c r="M41" s="94"/>
      <c r="N41" s="94"/>
      <c r="O41" s="95"/>
      <c r="P41" s="22"/>
      <c r="Q41" s="22"/>
      <c r="R41" s="22"/>
      <c r="S41" s="22"/>
    </row>
    <row r="42" spans="1:19" ht="18" customHeight="1" x14ac:dyDescent="0.15">
      <c r="B42" s="130"/>
      <c r="C42" s="131"/>
      <c r="D42" s="131"/>
      <c r="E42" s="132"/>
      <c r="F42" s="23"/>
      <c r="G42" s="23"/>
      <c r="H42" s="24"/>
      <c r="I42" s="24"/>
      <c r="J42" s="130"/>
      <c r="K42" s="131"/>
      <c r="L42" s="131"/>
      <c r="M42" s="131"/>
      <c r="N42" s="131"/>
      <c r="O42" s="132"/>
      <c r="P42" s="23"/>
      <c r="Q42" s="23"/>
      <c r="R42" s="24"/>
      <c r="S42" s="24"/>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44" t="s">
        <v>115</v>
      </c>
      <c r="B44" s="144"/>
      <c r="C44" s="144"/>
      <c r="D44" s="144"/>
      <c r="E44" s="144"/>
      <c r="F44" s="144"/>
      <c r="G44" s="144"/>
      <c r="H44" s="144"/>
      <c r="I44" s="144"/>
      <c r="J44" s="144"/>
      <c r="K44" s="144"/>
      <c r="L44" s="144"/>
      <c r="M44" s="144"/>
      <c r="N44" s="144"/>
      <c r="O44" s="144"/>
      <c r="P44" s="144"/>
      <c r="Q44" s="144"/>
      <c r="R44" s="144"/>
      <c r="S44" s="144"/>
    </row>
    <row r="45" spans="1:19" ht="18" customHeight="1" x14ac:dyDescent="0.15">
      <c r="A45" s="144"/>
      <c r="B45" s="144"/>
      <c r="C45" s="144"/>
      <c r="D45" s="144"/>
      <c r="E45" s="144"/>
      <c r="F45" s="144"/>
      <c r="G45" s="144"/>
      <c r="H45" s="144"/>
      <c r="I45" s="144"/>
      <c r="J45" s="144"/>
      <c r="K45" s="144"/>
      <c r="L45" s="144"/>
      <c r="M45" s="144"/>
      <c r="N45" s="144"/>
      <c r="O45" s="144"/>
      <c r="P45" s="144"/>
      <c r="Q45" s="144"/>
      <c r="R45" s="144"/>
      <c r="S45" s="144"/>
    </row>
    <row r="46" spans="1:19" ht="18" customHeight="1" x14ac:dyDescent="0.15">
      <c r="B46" s="136" t="s">
        <v>53</v>
      </c>
      <c r="C46" s="116"/>
      <c r="D46" s="116"/>
      <c r="E46" s="117"/>
      <c r="F46" s="59" t="s">
        <v>80</v>
      </c>
      <c r="G46" s="58" t="s">
        <v>84</v>
      </c>
      <c r="H46" s="20" t="s">
        <v>73</v>
      </c>
      <c r="I46" s="20" t="s">
        <v>74</v>
      </c>
      <c r="J46" s="136" t="s">
        <v>53</v>
      </c>
      <c r="K46" s="116"/>
      <c r="L46" s="116"/>
      <c r="M46" s="116"/>
      <c r="N46" s="116"/>
      <c r="O46" s="117"/>
      <c r="P46" s="59" t="s">
        <v>80</v>
      </c>
      <c r="Q46" s="58" t="s">
        <v>84</v>
      </c>
      <c r="R46" s="20" t="s">
        <v>73</v>
      </c>
      <c r="S46" s="20" t="s">
        <v>74</v>
      </c>
    </row>
    <row r="47" spans="1:19" ht="18" customHeight="1" x14ac:dyDescent="0.15">
      <c r="A47" s="3"/>
      <c r="B47" s="140" t="s">
        <v>194</v>
      </c>
      <c r="C47" s="91"/>
      <c r="D47" s="91"/>
      <c r="E47" s="92"/>
      <c r="F47" s="21">
        <v>2</v>
      </c>
      <c r="G47" s="21" t="s">
        <v>131</v>
      </c>
      <c r="H47" s="21" t="s">
        <v>131</v>
      </c>
      <c r="I47" s="21" t="s">
        <v>131</v>
      </c>
      <c r="J47" s="140"/>
      <c r="K47" s="91"/>
      <c r="L47" s="91"/>
      <c r="M47" s="91"/>
      <c r="N47" s="91"/>
      <c r="O47" s="92"/>
      <c r="P47" s="21"/>
      <c r="Q47" s="21"/>
      <c r="R47" s="21"/>
      <c r="S47" s="21"/>
    </row>
    <row r="48" spans="1:19" ht="18" customHeight="1" x14ac:dyDescent="0.15">
      <c r="A48" s="3"/>
      <c r="B48" s="126"/>
      <c r="C48" s="94"/>
      <c r="D48" s="94"/>
      <c r="E48" s="95"/>
      <c r="F48" s="22"/>
      <c r="G48" s="22"/>
      <c r="H48" s="22"/>
      <c r="I48" s="22"/>
      <c r="J48" s="126"/>
      <c r="K48" s="94"/>
      <c r="L48" s="94"/>
      <c r="M48" s="94"/>
      <c r="N48" s="94"/>
      <c r="O48" s="95"/>
      <c r="P48" s="22"/>
      <c r="Q48" s="22"/>
      <c r="R48" s="22"/>
      <c r="S48" s="22"/>
    </row>
    <row r="49" spans="1:19" ht="18" customHeight="1" x14ac:dyDescent="0.15">
      <c r="A49" s="3"/>
      <c r="B49" s="126"/>
      <c r="C49" s="94"/>
      <c r="D49" s="94"/>
      <c r="E49" s="95"/>
      <c r="F49" s="22"/>
      <c r="G49" s="22"/>
      <c r="H49" s="22"/>
      <c r="I49" s="22"/>
      <c r="J49" s="126"/>
      <c r="K49" s="94"/>
      <c r="L49" s="94"/>
      <c r="M49" s="94"/>
      <c r="N49" s="94"/>
      <c r="O49" s="95"/>
      <c r="P49" s="22"/>
      <c r="Q49" s="22"/>
      <c r="R49" s="22"/>
      <c r="S49" s="22"/>
    </row>
    <row r="50" spans="1:19" ht="18" customHeight="1" x14ac:dyDescent="0.15">
      <c r="A50" s="3"/>
      <c r="B50" s="126"/>
      <c r="C50" s="94"/>
      <c r="D50" s="94"/>
      <c r="E50" s="95"/>
      <c r="F50" s="22"/>
      <c r="G50" s="22"/>
      <c r="H50" s="22"/>
      <c r="I50" s="22"/>
      <c r="J50" s="126"/>
      <c r="K50" s="94"/>
      <c r="L50" s="94"/>
      <c r="M50" s="94"/>
      <c r="N50" s="94"/>
      <c r="O50" s="95"/>
      <c r="P50" s="22"/>
      <c r="Q50" s="22"/>
      <c r="R50" s="22"/>
      <c r="S50" s="22"/>
    </row>
    <row r="51" spans="1:19" ht="18" customHeight="1" x14ac:dyDescent="0.15">
      <c r="A51" s="3"/>
      <c r="B51" s="126"/>
      <c r="C51" s="94"/>
      <c r="D51" s="94"/>
      <c r="E51" s="95"/>
      <c r="F51" s="22"/>
      <c r="G51" s="22"/>
      <c r="H51" s="22"/>
      <c r="I51" s="22"/>
      <c r="J51" s="126"/>
      <c r="K51" s="94"/>
      <c r="L51" s="94"/>
      <c r="M51" s="94"/>
      <c r="N51" s="94"/>
      <c r="O51" s="95"/>
      <c r="P51" s="22"/>
      <c r="Q51" s="22"/>
      <c r="R51" s="22"/>
      <c r="S51" s="22"/>
    </row>
    <row r="52" spans="1:19" ht="18" customHeight="1" x14ac:dyDescent="0.15">
      <c r="A52" s="3"/>
      <c r="B52" s="126"/>
      <c r="C52" s="94"/>
      <c r="D52" s="94"/>
      <c r="E52" s="95"/>
      <c r="F52" s="22"/>
      <c r="G52" s="22"/>
      <c r="H52" s="22"/>
      <c r="I52" s="22"/>
      <c r="J52" s="126"/>
      <c r="K52" s="94"/>
      <c r="L52" s="94"/>
      <c r="M52" s="94"/>
      <c r="N52" s="94"/>
      <c r="O52" s="95"/>
      <c r="P52" s="22"/>
      <c r="Q52" s="22"/>
      <c r="R52" s="22"/>
      <c r="S52" s="22"/>
    </row>
    <row r="53" spans="1:19" ht="18" customHeight="1" x14ac:dyDescent="0.15">
      <c r="A53" s="3"/>
      <c r="B53" s="130"/>
      <c r="C53" s="131"/>
      <c r="D53" s="131"/>
      <c r="E53" s="132"/>
      <c r="F53" s="23"/>
      <c r="G53" s="23"/>
      <c r="H53" s="24"/>
      <c r="I53" s="24"/>
      <c r="J53" s="130"/>
      <c r="K53" s="131"/>
      <c r="L53" s="131"/>
      <c r="M53" s="131"/>
      <c r="N53" s="131"/>
      <c r="O53" s="132"/>
      <c r="P53" s="23"/>
      <c r="Q53" s="23"/>
      <c r="R53" s="24"/>
      <c r="S53" s="24"/>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44" t="s">
        <v>116</v>
      </c>
      <c r="B55" s="144"/>
      <c r="C55" s="144"/>
      <c r="D55" s="144"/>
      <c r="E55" s="144"/>
      <c r="F55" s="144"/>
      <c r="G55" s="144"/>
      <c r="H55" s="144"/>
      <c r="I55" s="144"/>
      <c r="J55" s="144"/>
      <c r="K55" s="144"/>
      <c r="L55" s="144"/>
      <c r="M55" s="144"/>
      <c r="N55" s="144"/>
      <c r="O55" s="144"/>
      <c r="P55" s="144"/>
      <c r="Q55" s="144"/>
      <c r="R55" s="144"/>
      <c r="S55" s="144"/>
    </row>
    <row r="56" spans="1:19" ht="18" customHeight="1" x14ac:dyDescent="0.15">
      <c r="A56" s="144"/>
      <c r="B56" s="144"/>
      <c r="C56" s="144"/>
      <c r="D56" s="144"/>
      <c r="E56" s="144"/>
      <c r="F56" s="144"/>
      <c r="G56" s="144"/>
      <c r="H56" s="144"/>
      <c r="I56" s="144"/>
      <c r="J56" s="144"/>
      <c r="K56" s="144"/>
      <c r="L56" s="144"/>
      <c r="M56" s="144"/>
      <c r="N56" s="144"/>
      <c r="O56" s="144"/>
      <c r="P56" s="144"/>
      <c r="Q56" s="144"/>
      <c r="R56" s="144"/>
      <c r="S56" s="144"/>
    </row>
    <row r="57" spans="1:19" ht="18" customHeight="1" x14ac:dyDescent="0.15">
      <c r="B57" s="136" t="s">
        <v>53</v>
      </c>
      <c r="C57" s="116"/>
      <c r="D57" s="116"/>
      <c r="E57" s="117"/>
      <c r="F57" s="59" t="s">
        <v>80</v>
      </c>
      <c r="G57" s="58" t="s">
        <v>84</v>
      </c>
      <c r="H57" s="20" t="s">
        <v>58</v>
      </c>
      <c r="I57" s="20" t="s">
        <v>60</v>
      </c>
      <c r="J57" s="136" t="s">
        <v>53</v>
      </c>
      <c r="K57" s="116"/>
      <c r="L57" s="116"/>
      <c r="M57" s="116"/>
      <c r="N57" s="116"/>
      <c r="O57" s="117"/>
      <c r="P57" s="59" t="s">
        <v>80</v>
      </c>
      <c r="Q57" s="58" t="s">
        <v>84</v>
      </c>
      <c r="R57" s="20" t="s">
        <v>58</v>
      </c>
      <c r="S57" s="20" t="s">
        <v>60</v>
      </c>
    </row>
    <row r="58" spans="1:19" ht="18" customHeight="1" x14ac:dyDescent="0.15">
      <c r="A58" s="3"/>
      <c r="B58" s="140" t="s">
        <v>194</v>
      </c>
      <c r="C58" s="91"/>
      <c r="D58" s="91"/>
      <c r="E58" s="92"/>
      <c r="F58" s="21">
        <v>2</v>
      </c>
      <c r="G58" s="21" t="s">
        <v>131</v>
      </c>
      <c r="H58" s="21" t="s">
        <v>131</v>
      </c>
      <c r="I58" s="21" t="s">
        <v>131</v>
      </c>
      <c r="J58" s="140"/>
      <c r="K58" s="91"/>
      <c r="L58" s="91"/>
      <c r="M58" s="91"/>
      <c r="N58" s="91"/>
      <c r="O58" s="92"/>
      <c r="P58" s="21"/>
      <c r="Q58" s="21"/>
      <c r="R58" s="21"/>
      <c r="S58" s="21"/>
    </row>
    <row r="59" spans="1:19" ht="18" customHeight="1" x14ac:dyDescent="0.15">
      <c r="A59" s="3"/>
      <c r="B59" s="126"/>
      <c r="C59" s="94"/>
      <c r="D59" s="94"/>
      <c r="E59" s="95"/>
      <c r="F59" s="22"/>
      <c r="G59" s="22"/>
      <c r="H59" s="22"/>
      <c r="I59" s="22"/>
      <c r="J59" s="126"/>
      <c r="K59" s="94"/>
      <c r="L59" s="94"/>
      <c r="M59" s="94"/>
      <c r="N59" s="94"/>
      <c r="O59" s="95"/>
      <c r="P59" s="22"/>
      <c r="Q59" s="22"/>
      <c r="R59" s="22"/>
      <c r="S59" s="22"/>
    </row>
    <row r="60" spans="1:19" ht="18" customHeight="1" x14ac:dyDescent="0.15">
      <c r="A60" s="3"/>
      <c r="B60" s="126"/>
      <c r="C60" s="94"/>
      <c r="D60" s="94"/>
      <c r="E60" s="95"/>
      <c r="F60" s="22"/>
      <c r="G60" s="22"/>
      <c r="H60" s="22"/>
      <c r="I60" s="22"/>
      <c r="J60" s="126"/>
      <c r="K60" s="94"/>
      <c r="L60" s="94"/>
      <c r="M60" s="94"/>
      <c r="N60" s="94"/>
      <c r="O60" s="95"/>
      <c r="P60" s="22"/>
      <c r="Q60" s="22"/>
      <c r="R60" s="22"/>
      <c r="S60" s="22"/>
    </row>
    <row r="61" spans="1:19" ht="18" customHeight="1" x14ac:dyDescent="0.15">
      <c r="A61" s="3"/>
      <c r="B61" s="126"/>
      <c r="C61" s="94"/>
      <c r="D61" s="94"/>
      <c r="E61" s="95"/>
      <c r="F61" s="22"/>
      <c r="G61" s="22"/>
      <c r="H61" s="22"/>
      <c r="I61" s="22"/>
      <c r="J61" s="126"/>
      <c r="K61" s="94"/>
      <c r="L61" s="94"/>
      <c r="M61" s="94"/>
      <c r="N61" s="94"/>
      <c r="O61" s="95"/>
      <c r="P61" s="22"/>
      <c r="Q61" s="22"/>
      <c r="R61" s="22"/>
      <c r="S61" s="22"/>
    </row>
    <row r="62" spans="1:19" ht="18" customHeight="1" x14ac:dyDescent="0.15">
      <c r="A62" s="3"/>
      <c r="B62" s="126"/>
      <c r="C62" s="94"/>
      <c r="D62" s="94"/>
      <c r="E62" s="95"/>
      <c r="F62" s="22"/>
      <c r="G62" s="22"/>
      <c r="H62" s="22"/>
      <c r="I62" s="22"/>
      <c r="J62" s="126"/>
      <c r="K62" s="94"/>
      <c r="L62" s="94"/>
      <c r="M62" s="94"/>
      <c r="N62" s="94"/>
      <c r="O62" s="95"/>
      <c r="P62" s="22"/>
      <c r="Q62" s="22"/>
      <c r="R62" s="22"/>
      <c r="S62" s="22"/>
    </row>
    <row r="63" spans="1:19" ht="18" customHeight="1" x14ac:dyDescent="0.15">
      <c r="A63" s="3"/>
      <c r="B63" s="126"/>
      <c r="C63" s="94"/>
      <c r="D63" s="94"/>
      <c r="E63" s="95"/>
      <c r="F63" s="22"/>
      <c r="G63" s="22"/>
      <c r="H63" s="22"/>
      <c r="I63" s="22"/>
      <c r="J63" s="126"/>
      <c r="K63" s="94"/>
      <c r="L63" s="94"/>
      <c r="M63" s="94"/>
      <c r="N63" s="94"/>
      <c r="O63" s="95"/>
      <c r="P63" s="22"/>
      <c r="Q63" s="22"/>
      <c r="R63" s="22"/>
      <c r="S63" s="22"/>
    </row>
    <row r="64" spans="1:19" ht="18" customHeight="1" x14ac:dyDescent="0.15">
      <c r="A64" s="3"/>
      <c r="B64" s="130"/>
      <c r="C64" s="131"/>
      <c r="D64" s="131"/>
      <c r="E64" s="132"/>
      <c r="F64" s="23"/>
      <c r="G64" s="23"/>
      <c r="H64" s="24"/>
      <c r="I64" s="24"/>
      <c r="J64" s="130"/>
      <c r="K64" s="131"/>
      <c r="L64" s="131"/>
      <c r="M64" s="131"/>
      <c r="N64" s="131"/>
      <c r="O64" s="132"/>
      <c r="P64" s="23"/>
      <c r="Q64" s="23"/>
      <c r="R64" s="24"/>
      <c r="S64" s="24"/>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44" t="s">
        <v>117</v>
      </c>
      <c r="B66" s="144"/>
      <c r="C66" s="144"/>
      <c r="D66" s="144"/>
      <c r="E66" s="144"/>
      <c r="F66" s="144"/>
      <c r="G66" s="144"/>
      <c r="H66" s="144"/>
      <c r="I66" s="144"/>
      <c r="J66" s="144"/>
      <c r="K66" s="144"/>
      <c r="L66" s="144"/>
      <c r="M66" s="144"/>
      <c r="N66" s="144"/>
      <c r="O66" s="144"/>
      <c r="P66" s="144"/>
      <c r="Q66" s="144"/>
      <c r="R66" s="144"/>
      <c r="S66" s="144"/>
    </row>
    <row r="67" spans="1:19" ht="18" customHeight="1" x14ac:dyDescent="0.15">
      <c r="A67" s="144"/>
      <c r="B67" s="144"/>
      <c r="C67" s="144"/>
      <c r="D67" s="144"/>
      <c r="E67" s="144"/>
      <c r="F67" s="144"/>
      <c r="G67" s="144"/>
      <c r="H67" s="144"/>
      <c r="I67" s="144"/>
      <c r="J67" s="144"/>
      <c r="K67" s="144"/>
      <c r="L67" s="144"/>
      <c r="M67" s="144"/>
      <c r="N67" s="144"/>
      <c r="O67" s="144"/>
      <c r="P67" s="144"/>
      <c r="Q67" s="144"/>
      <c r="R67" s="144"/>
      <c r="S67" s="144"/>
    </row>
    <row r="68" spans="1:19" ht="18" customHeight="1" x14ac:dyDescent="0.15">
      <c r="B68" s="136" t="s">
        <v>53</v>
      </c>
      <c r="C68" s="116"/>
      <c r="D68" s="116"/>
      <c r="E68" s="59" t="s">
        <v>80</v>
      </c>
      <c r="F68" s="58" t="s">
        <v>84</v>
      </c>
      <c r="G68" s="20" t="s">
        <v>101</v>
      </c>
      <c r="H68" s="20" t="s">
        <v>75</v>
      </c>
      <c r="I68" s="20" t="s">
        <v>76</v>
      </c>
      <c r="J68" s="136" t="s">
        <v>53</v>
      </c>
      <c r="K68" s="116"/>
      <c r="L68" s="116"/>
      <c r="M68" s="116"/>
      <c r="N68" s="117"/>
      <c r="O68" s="59" t="s">
        <v>80</v>
      </c>
      <c r="P68" s="58" t="s">
        <v>84</v>
      </c>
      <c r="Q68" s="20" t="s">
        <v>101</v>
      </c>
      <c r="R68" s="20" t="s">
        <v>75</v>
      </c>
      <c r="S68" s="20" t="s">
        <v>76</v>
      </c>
    </row>
    <row r="69" spans="1:19" ht="18" customHeight="1" x14ac:dyDescent="0.15">
      <c r="A69" s="3"/>
      <c r="B69" s="140" t="s">
        <v>194</v>
      </c>
      <c r="C69" s="91"/>
      <c r="D69" s="91"/>
      <c r="E69" s="21">
        <v>2</v>
      </c>
      <c r="F69" s="21" t="s">
        <v>131</v>
      </c>
      <c r="G69" s="21" t="s">
        <v>131</v>
      </c>
      <c r="H69" s="21" t="s">
        <v>131</v>
      </c>
      <c r="I69" s="21" t="s">
        <v>131</v>
      </c>
      <c r="J69" s="140"/>
      <c r="K69" s="91"/>
      <c r="L69" s="91"/>
      <c r="M69" s="91"/>
      <c r="N69" s="92"/>
      <c r="O69" s="21"/>
      <c r="P69" s="21"/>
      <c r="Q69" s="21"/>
      <c r="R69" s="21"/>
      <c r="S69" s="21"/>
    </row>
    <row r="70" spans="1:19" ht="18" customHeight="1" x14ac:dyDescent="0.15">
      <c r="A70" s="3"/>
      <c r="B70" s="126" t="s">
        <v>195</v>
      </c>
      <c r="C70" s="94"/>
      <c r="D70" s="94"/>
      <c r="E70" s="22">
        <v>2</v>
      </c>
      <c r="F70" s="22"/>
      <c r="G70" s="22" t="s">
        <v>131</v>
      </c>
      <c r="H70" s="22" t="s">
        <v>131</v>
      </c>
      <c r="I70" s="22"/>
      <c r="J70" s="126"/>
      <c r="K70" s="94"/>
      <c r="L70" s="94"/>
      <c r="M70" s="94"/>
      <c r="N70" s="95"/>
      <c r="O70" s="22"/>
      <c r="P70" s="22"/>
      <c r="Q70" s="22"/>
      <c r="R70" s="22"/>
      <c r="S70" s="22"/>
    </row>
    <row r="71" spans="1:19" ht="18" customHeight="1" x14ac:dyDescent="0.15">
      <c r="A71" s="3"/>
      <c r="B71" s="126" t="s">
        <v>196</v>
      </c>
      <c r="C71" s="94"/>
      <c r="D71" s="94"/>
      <c r="E71" s="22">
        <v>2</v>
      </c>
      <c r="F71" s="22"/>
      <c r="G71" s="22" t="s">
        <v>131</v>
      </c>
      <c r="H71" s="22" t="s">
        <v>131</v>
      </c>
      <c r="I71" s="22"/>
      <c r="J71" s="126"/>
      <c r="K71" s="94"/>
      <c r="L71" s="94"/>
      <c r="M71" s="94"/>
      <c r="N71" s="95"/>
      <c r="O71" s="22"/>
      <c r="P71" s="22"/>
      <c r="Q71" s="22"/>
      <c r="R71" s="22"/>
      <c r="S71" s="22"/>
    </row>
    <row r="72" spans="1:19" ht="18" customHeight="1" x14ac:dyDescent="0.15">
      <c r="A72" s="3"/>
      <c r="B72" s="126" t="s">
        <v>197</v>
      </c>
      <c r="C72" s="94"/>
      <c r="D72" s="94"/>
      <c r="E72" s="22">
        <v>2</v>
      </c>
      <c r="F72" s="22"/>
      <c r="G72" s="22" t="s">
        <v>131</v>
      </c>
      <c r="H72" s="22"/>
      <c r="I72" s="22"/>
      <c r="J72" s="126"/>
      <c r="K72" s="94"/>
      <c r="L72" s="94"/>
      <c r="M72" s="94"/>
      <c r="N72" s="95"/>
      <c r="O72" s="22"/>
      <c r="P72" s="22"/>
      <c r="Q72" s="22"/>
      <c r="R72" s="22"/>
      <c r="S72" s="22"/>
    </row>
    <row r="73" spans="1:19" ht="18" customHeight="1" x14ac:dyDescent="0.15">
      <c r="A73" s="3"/>
      <c r="B73" s="126" t="s">
        <v>198</v>
      </c>
      <c r="C73" s="94"/>
      <c r="D73" s="94"/>
      <c r="E73" s="22">
        <v>2</v>
      </c>
      <c r="F73" s="22"/>
      <c r="G73" s="22"/>
      <c r="H73" s="22"/>
      <c r="I73" s="22" t="s">
        <v>131</v>
      </c>
      <c r="J73" s="126"/>
      <c r="K73" s="94"/>
      <c r="L73" s="94"/>
      <c r="M73" s="94"/>
      <c r="N73" s="95"/>
      <c r="O73" s="22"/>
      <c r="P73" s="22"/>
      <c r="Q73" s="22"/>
      <c r="R73" s="22"/>
      <c r="S73" s="22"/>
    </row>
    <row r="74" spans="1:19" ht="18" customHeight="1" x14ac:dyDescent="0.15">
      <c r="A74" s="3"/>
      <c r="B74" s="126" t="s">
        <v>199</v>
      </c>
      <c r="C74" s="94"/>
      <c r="D74" s="94"/>
      <c r="E74" s="22">
        <v>2</v>
      </c>
      <c r="F74" s="22"/>
      <c r="G74" s="22" t="s">
        <v>131</v>
      </c>
      <c r="H74" s="22"/>
      <c r="I74" s="22" t="s">
        <v>131</v>
      </c>
      <c r="J74" s="126"/>
      <c r="K74" s="94"/>
      <c r="L74" s="94"/>
      <c r="M74" s="94"/>
      <c r="N74" s="95"/>
      <c r="O74" s="22"/>
      <c r="P74" s="22"/>
      <c r="Q74" s="22"/>
      <c r="R74" s="22"/>
      <c r="S74" s="22"/>
    </row>
    <row r="75" spans="1:19" ht="18" customHeight="1" x14ac:dyDescent="0.15">
      <c r="A75" s="3"/>
      <c r="B75" s="130"/>
      <c r="C75" s="131"/>
      <c r="D75" s="131"/>
      <c r="E75" s="23"/>
      <c r="F75" s="23"/>
      <c r="G75" s="24"/>
      <c r="H75" s="24"/>
      <c r="I75" s="24"/>
      <c r="J75" s="130"/>
      <c r="K75" s="131"/>
      <c r="L75" s="131"/>
      <c r="M75" s="131"/>
      <c r="N75" s="132"/>
      <c r="O75" s="23"/>
      <c r="P75" s="23"/>
      <c r="Q75" s="24"/>
      <c r="R75" s="24"/>
      <c r="S75" s="24"/>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118</v>
      </c>
      <c r="H77" s="3"/>
      <c r="I77" s="3"/>
      <c r="J77" s="3"/>
      <c r="K77" s="3"/>
      <c r="L77" s="3"/>
      <c r="M77" s="3"/>
      <c r="N77" s="3"/>
      <c r="O77" s="3"/>
      <c r="P77" s="3"/>
      <c r="Q77" s="3"/>
      <c r="R77" s="3"/>
      <c r="S77" s="3"/>
    </row>
    <row r="78" spans="1:19" ht="18" customHeight="1" x14ac:dyDescent="0.15">
      <c r="B78" s="136" t="s">
        <v>53</v>
      </c>
      <c r="C78" s="116"/>
      <c r="D78" s="116"/>
      <c r="E78" s="117"/>
      <c r="F78" s="136" t="s">
        <v>82</v>
      </c>
      <c r="G78" s="116"/>
      <c r="H78" s="116"/>
      <c r="I78" s="117"/>
      <c r="J78" s="137" t="s">
        <v>53</v>
      </c>
      <c r="K78" s="138"/>
      <c r="L78" s="138"/>
      <c r="M78" s="138"/>
      <c r="N78" s="138"/>
      <c r="O78" s="139"/>
      <c r="P78" s="136" t="s">
        <v>82</v>
      </c>
      <c r="Q78" s="116"/>
      <c r="R78" s="116"/>
      <c r="S78" s="117"/>
    </row>
    <row r="79" spans="1:19" ht="18" customHeight="1" x14ac:dyDescent="0.15">
      <c r="A79" s="3"/>
      <c r="B79" s="140"/>
      <c r="C79" s="91"/>
      <c r="D79" s="91"/>
      <c r="E79" s="92"/>
      <c r="F79" s="141"/>
      <c r="G79" s="142"/>
      <c r="H79" s="142"/>
      <c r="I79" s="143"/>
      <c r="J79" s="140"/>
      <c r="K79" s="91"/>
      <c r="L79" s="91"/>
      <c r="M79" s="91"/>
      <c r="N79" s="91"/>
      <c r="O79" s="92"/>
      <c r="P79" s="141"/>
      <c r="Q79" s="142"/>
      <c r="R79" s="142"/>
      <c r="S79" s="143"/>
    </row>
    <row r="80" spans="1:19" ht="18" customHeight="1" x14ac:dyDescent="0.15">
      <c r="A80" s="3"/>
      <c r="B80" s="126"/>
      <c r="C80" s="94"/>
      <c r="D80" s="94"/>
      <c r="E80" s="95"/>
      <c r="F80" s="127"/>
      <c r="G80" s="128"/>
      <c r="H80" s="128"/>
      <c r="I80" s="129"/>
      <c r="J80" s="126"/>
      <c r="K80" s="94"/>
      <c r="L80" s="94"/>
      <c r="M80" s="94"/>
      <c r="N80" s="94"/>
      <c r="O80" s="95"/>
      <c r="P80" s="127"/>
      <c r="Q80" s="128"/>
      <c r="R80" s="128"/>
      <c r="S80" s="129"/>
    </row>
    <row r="81" spans="1:19" ht="18" customHeight="1" x14ac:dyDescent="0.15">
      <c r="A81" s="3"/>
      <c r="B81" s="126"/>
      <c r="C81" s="94"/>
      <c r="D81" s="94"/>
      <c r="E81" s="95"/>
      <c r="F81" s="127"/>
      <c r="G81" s="128"/>
      <c r="H81" s="128"/>
      <c r="I81" s="129"/>
      <c r="J81" s="126"/>
      <c r="K81" s="94"/>
      <c r="L81" s="94"/>
      <c r="M81" s="94"/>
      <c r="N81" s="94"/>
      <c r="O81" s="95"/>
      <c r="P81" s="127"/>
      <c r="Q81" s="128"/>
      <c r="R81" s="128"/>
      <c r="S81" s="129"/>
    </row>
    <row r="82" spans="1:19" ht="18" customHeight="1" x14ac:dyDescent="0.15">
      <c r="A82" s="3"/>
      <c r="B82" s="126"/>
      <c r="C82" s="94"/>
      <c r="D82" s="94"/>
      <c r="E82" s="95"/>
      <c r="F82" s="127"/>
      <c r="G82" s="128"/>
      <c r="H82" s="128"/>
      <c r="I82" s="129"/>
      <c r="J82" s="126"/>
      <c r="K82" s="94"/>
      <c r="L82" s="94"/>
      <c r="M82" s="94"/>
      <c r="N82" s="94"/>
      <c r="O82" s="95"/>
      <c r="P82" s="127"/>
      <c r="Q82" s="128"/>
      <c r="R82" s="128"/>
      <c r="S82" s="129"/>
    </row>
    <row r="83" spans="1:19" ht="18" customHeight="1" x14ac:dyDescent="0.15">
      <c r="A83" s="3"/>
      <c r="B83" s="126"/>
      <c r="C83" s="94"/>
      <c r="D83" s="94"/>
      <c r="E83" s="95"/>
      <c r="F83" s="127"/>
      <c r="G83" s="128"/>
      <c r="H83" s="128"/>
      <c r="I83" s="129"/>
      <c r="J83" s="126"/>
      <c r="K83" s="94"/>
      <c r="L83" s="94"/>
      <c r="M83" s="94"/>
      <c r="N83" s="94"/>
      <c r="O83" s="95"/>
      <c r="P83" s="127"/>
      <c r="Q83" s="128"/>
      <c r="R83" s="128"/>
      <c r="S83" s="129"/>
    </row>
    <row r="84" spans="1:19" ht="18" customHeight="1" x14ac:dyDescent="0.15">
      <c r="A84" s="3"/>
      <c r="B84" s="126"/>
      <c r="C84" s="94"/>
      <c r="D84" s="94"/>
      <c r="E84" s="95"/>
      <c r="F84" s="127"/>
      <c r="G84" s="128"/>
      <c r="H84" s="128"/>
      <c r="I84" s="129"/>
      <c r="J84" s="126"/>
      <c r="K84" s="94"/>
      <c r="L84" s="94"/>
      <c r="M84" s="94"/>
      <c r="N84" s="94"/>
      <c r="O84" s="95"/>
      <c r="P84" s="127"/>
      <c r="Q84" s="128"/>
      <c r="R84" s="128"/>
      <c r="S84" s="129"/>
    </row>
    <row r="85" spans="1:19" ht="18" customHeight="1" x14ac:dyDescent="0.15">
      <c r="A85" s="3"/>
      <c r="B85" s="130"/>
      <c r="C85" s="131"/>
      <c r="D85" s="131"/>
      <c r="E85" s="132"/>
      <c r="F85" s="133"/>
      <c r="G85" s="134"/>
      <c r="H85" s="134"/>
      <c r="I85" s="135"/>
      <c r="J85" s="130"/>
      <c r="K85" s="131"/>
      <c r="L85" s="131"/>
      <c r="M85" s="131"/>
      <c r="N85" s="131"/>
      <c r="O85" s="132"/>
      <c r="P85" s="133"/>
      <c r="Q85" s="134"/>
      <c r="R85" s="134"/>
      <c r="S85" s="135"/>
    </row>
    <row r="86" spans="1:19" ht="18" customHeight="1" x14ac:dyDescent="0.15">
      <c r="A86" s="3"/>
      <c r="B86" s="6"/>
      <c r="C86" s="6"/>
      <c r="D86" s="6"/>
      <c r="E86" s="6"/>
      <c r="F86" s="25"/>
      <c r="G86" s="25"/>
      <c r="H86" s="25"/>
      <c r="I86" s="25"/>
      <c r="J86" s="6"/>
      <c r="K86" s="6"/>
      <c r="L86" s="6"/>
      <c r="M86" s="6"/>
      <c r="N86" s="6"/>
      <c r="O86" s="6"/>
      <c r="P86" s="25"/>
      <c r="Q86" s="25"/>
      <c r="R86" s="25"/>
      <c r="S86" s="25"/>
    </row>
    <row r="87" spans="1:19" ht="18.75" customHeight="1" x14ac:dyDescent="0.15">
      <c r="A87" s="1" t="s">
        <v>119</v>
      </c>
    </row>
    <row r="88" spans="1:19" ht="18.75" customHeight="1" x14ac:dyDescent="0.15">
      <c r="B88" s="114" t="s">
        <v>54</v>
      </c>
      <c r="C88" s="115"/>
      <c r="D88" s="116" t="s">
        <v>55</v>
      </c>
      <c r="E88" s="116"/>
      <c r="F88" s="116"/>
      <c r="G88" s="116"/>
      <c r="H88" s="116"/>
      <c r="I88" s="116"/>
      <c r="J88" s="116"/>
      <c r="K88" s="116"/>
      <c r="L88" s="116"/>
      <c r="M88" s="116"/>
      <c r="N88" s="116"/>
      <c r="O88" s="116"/>
      <c r="P88" s="116"/>
      <c r="Q88" s="116"/>
      <c r="R88" s="116"/>
      <c r="S88" s="117"/>
    </row>
    <row r="89" spans="1:19" ht="97.5" customHeight="1" x14ac:dyDescent="0.15">
      <c r="B89" s="87" t="s">
        <v>61</v>
      </c>
      <c r="C89" s="26" t="s">
        <v>56</v>
      </c>
      <c r="D89" s="118" t="s">
        <v>200</v>
      </c>
      <c r="E89" s="118"/>
      <c r="F89" s="118"/>
      <c r="G89" s="118"/>
      <c r="H89" s="118"/>
      <c r="I89" s="118"/>
      <c r="J89" s="118"/>
      <c r="K89" s="118"/>
      <c r="L89" s="118"/>
      <c r="M89" s="118"/>
      <c r="N89" s="118"/>
      <c r="O89" s="118"/>
      <c r="P89" s="118"/>
      <c r="Q89" s="118"/>
      <c r="R89" s="118"/>
      <c r="S89" s="119"/>
    </row>
    <row r="90" spans="1:19" ht="97.5" customHeight="1" x14ac:dyDescent="0.15">
      <c r="B90" s="88"/>
      <c r="C90" s="27" t="s">
        <v>77</v>
      </c>
      <c r="D90" s="120" t="s">
        <v>201</v>
      </c>
      <c r="E90" s="120"/>
      <c r="F90" s="120"/>
      <c r="G90" s="120"/>
      <c r="H90" s="120"/>
      <c r="I90" s="120"/>
      <c r="J90" s="120"/>
      <c r="K90" s="120"/>
      <c r="L90" s="120"/>
      <c r="M90" s="120"/>
      <c r="N90" s="120"/>
      <c r="O90" s="120"/>
      <c r="P90" s="120"/>
      <c r="Q90" s="120"/>
      <c r="R90" s="120"/>
      <c r="S90" s="121"/>
    </row>
    <row r="91" spans="1:19" ht="97.5" customHeight="1" x14ac:dyDescent="0.15">
      <c r="B91" s="87" t="s">
        <v>62</v>
      </c>
      <c r="C91" s="28" t="s">
        <v>71</v>
      </c>
      <c r="D91" s="122" t="s">
        <v>269</v>
      </c>
      <c r="E91" s="122"/>
      <c r="F91" s="122"/>
      <c r="G91" s="122"/>
      <c r="H91" s="122"/>
      <c r="I91" s="122"/>
      <c r="J91" s="122"/>
      <c r="K91" s="122"/>
      <c r="L91" s="122"/>
      <c r="M91" s="122"/>
      <c r="N91" s="122"/>
      <c r="O91" s="122"/>
      <c r="P91" s="122"/>
      <c r="Q91" s="122"/>
      <c r="R91" s="122"/>
      <c r="S91" s="123"/>
    </row>
    <row r="92" spans="1:19" ht="97.5" customHeight="1" x14ac:dyDescent="0.15">
      <c r="B92" s="89"/>
      <c r="C92" s="29" t="s">
        <v>72</v>
      </c>
      <c r="D92" s="124" t="s">
        <v>202</v>
      </c>
      <c r="E92" s="124"/>
      <c r="F92" s="124"/>
      <c r="G92" s="124"/>
      <c r="H92" s="124"/>
      <c r="I92" s="124"/>
      <c r="J92" s="124"/>
      <c r="K92" s="124"/>
      <c r="L92" s="124"/>
      <c r="M92" s="124"/>
      <c r="N92" s="124"/>
      <c r="O92" s="124"/>
      <c r="P92" s="124"/>
      <c r="Q92" s="124"/>
      <c r="R92" s="124"/>
      <c r="S92" s="125"/>
    </row>
    <row r="93" spans="1:19" ht="97.5" customHeight="1" x14ac:dyDescent="0.15">
      <c r="B93" s="87" t="s">
        <v>63</v>
      </c>
      <c r="C93" s="28" t="s">
        <v>73</v>
      </c>
      <c r="D93" s="102" t="s">
        <v>203</v>
      </c>
      <c r="E93" s="103"/>
      <c r="F93" s="103"/>
      <c r="G93" s="103"/>
      <c r="H93" s="103"/>
      <c r="I93" s="103"/>
      <c r="J93" s="103"/>
      <c r="K93" s="103"/>
      <c r="L93" s="103"/>
      <c r="M93" s="103"/>
      <c r="N93" s="103"/>
      <c r="O93" s="103"/>
      <c r="P93" s="103"/>
      <c r="Q93" s="103"/>
      <c r="R93" s="103"/>
      <c r="S93" s="104"/>
    </row>
    <row r="94" spans="1:19" ht="97.5" customHeight="1" x14ac:dyDescent="0.15">
      <c r="B94" s="89"/>
      <c r="C94" s="30" t="s">
        <v>74</v>
      </c>
      <c r="D94" s="105" t="s">
        <v>204</v>
      </c>
      <c r="E94" s="106"/>
      <c r="F94" s="106"/>
      <c r="G94" s="106"/>
      <c r="H94" s="106"/>
      <c r="I94" s="106"/>
      <c r="J94" s="106"/>
      <c r="K94" s="106"/>
      <c r="L94" s="106"/>
      <c r="M94" s="106"/>
      <c r="N94" s="106"/>
      <c r="O94" s="106"/>
      <c r="P94" s="106"/>
      <c r="Q94" s="106"/>
      <c r="R94" s="106"/>
      <c r="S94" s="107"/>
    </row>
    <row r="95" spans="1:19" ht="97.5" customHeight="1" x14ac:dyDescent="0.15">
      <c r="B95" s="87" t="s">
        <v>78</v>
      </c>
      <c r="C95" s="26" t="s">
        <v>58</v>
      </c>
      <c r="D95" s="108" t="s">
        <v>205</v>
      </c>
      <c r="E95" s="109"/>
      <c r="F95" s="109"/>
      <c r="G95" s="109"/>
      <c r="H95" s="109"/>
      <c r="I95" s="109"/>
      <c r="J95" s="109"/>
      <c r="K95" s="109"/>
      <c r="L95" s="109"/>
      <c r="M95" s="109"/>
      <c r="N95" s="109"/>
      <c r="O95" s="109"/>
      <c r="P95" s="109"/>
      <c r="Q95" s="109"/>
      <c r="R95" s="109"/>
      <c r="S95" s="110"/>
    </row>
    <row r="96" spans="1:19" ht="97.5" customHeight="1" x14ac:dyDescent="0.15">
      <c r="B96" s="89"/>
      <c r="C96" s="29" t="s">
        <v>60</v>
      </c>
      <c r="D96" s="111" t="s">
        <v>206</v>
      </c>
      <c r="E96" s="112"/>
      <c r="F96" s="112"/>
      <c r="G96" s="112"/>
      <c r="H96" s="112"/>
      <c r="I96" s="112"/>
      <c r="J96" s="112"/>
      <c r="K96" s="112"/>
      <c r="L96" s="112"/>
      <c r="M96" s="112"/>
      <c r="N96" s="112"/>
      <c r="O96" s="112"/>
      <c r="P96" s="112"/>
      <c r="Q96" s="112"/>
      <c r="R96" s="112"/>
      <c r="S96" s="113"/>
    </row>
    <row r="97" spans="1:19" ht="135" customHeight="1" x14ac:dyDescent="0.15">
      <c r="B97" s="87" t="s">
        <v>79</v>
      </c>
      <c r="C97" s="28" t="s">
        <v>57</v>
      </c>
      <c r="D97" s="90" t="s">
        <v>276</v>
      </c>
      <c r="E97" s="91"/>
      <c r="F97" s="91"/>
      <c r="G97" s="91"/>
      <c r="H97" s="91"/>
      <c r="I97" s="91"/>
      <c r="J97" s="91"/>
      <c r="K97" s="91"/>
      <c r="L97" s="91"/>
      <c r="M97" s="91"/>
      <c r="N97" s="91"/>
      <c r="O97" s="91"/>
      <c r="P97" s="91"/>
      <c r="Q97" s="91"/>
      <c r="R97" s="91"/>
      <c r="S97" s="92"/>
    </row>
    <row r="98" spans="1:19" ht="135" customHeight="1" x14ac:dyDescent="0.15">
      <c r="B98" s="88"/>
      <c r="C98" s="31" t="s">
        <v>75</v>
      </c>
      <c r="D98" s="93" t="s">
        <v>277</v>
      </c>
      <c r="E98" s="94"/>
      <c r="F98" s="94"/>
      <c r="G98" s="94"/>
      <c r="H98" s="94"/>
      <c r="I98" s="94"/>
      <c r="J98" s="94"/>
      <c r="K98" s="94"/>
      <c r="L98" s="94"/>
      <c r="M98" s="94"/>
      <c r="N98" s="94"/>
      <c r="O98" s="94"/>
      <c r="P98" s="94"/>
      <c r="Q98" s="94"/>
      <c r="R98" s="94"/>
      <c r="S98" s="95"/>
    </row>
    <row r="99" spans="1:19" ht="105" customHeight="1" x14ac:dyDescent="0.15">
      <c r="B99" s="89"/>
      <c r="C99" s="30" t="s">
        <v>76</v>
      </c>
      <c r="D99" s="96" t="s">
        <v>270</v>
      </c>
      <c r="E99" s="97"/>
      <c r="F99" s="97"/>
      <c r="G99" s="97"/>
      <c r="H99" s="97"/>
      <c r="I99" s="97"/>
      <c r="J99" s="97"/>
      <c r="K99" s="97"/>
      <c r="L99" s="97"/>
      <c r="M99" s="97"/>
      <c r="N99" s="97"/>
      <c r="O99" s="97"/>
      <c r="P99" s="97"/>
      <c r="Q99" s="97"/>
      <c r="R99" s="97"/>
      <c r="S99" s="98"/>
    </row>
    <row r="100" spans="1:19" ht="6" customHeight="1" x14ac:dyDescent="0.15"/>
    <row r="101" spans="1:19" ht="18.75" customHeight="1" x14ac:dyDescent="0.15">
      <c r="A101" s="1" t="s">
        <v>120</v>
      </c>
    </row>
    <row r="102" spans="1:19" ht="81.75" customHeight="1" x14ac:dyDescent="0.15">
      <c r="B102" s="99" t="s">
        <v>207</v>
      </c>
      <c r="C102" s="100"/>
      <c r="D102" s="100"/>
      <c r="E102" s="100"/>
      <c r="F102" s="100"/>
      <c r="G102" s="100"/>
      <c r="H102" s="100"/>
      <c r="I102" s="100"/>
      <c r="J102" s="100"/>
      <c r="K102" s="100"/>
      <c r="L102" s="100"/>
      <c r="M102" s="100"/>
      <c r="N102" s="100"/>
      <c r="O102" s="100"/>
      <c r="P102" s="100"/>
      <c r="Q102" s="100"/>
      <c r="R102" s="100"/>
      <c r="S102" s="101"/>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2" priority="1">
      <formula>$K$7="学部・学科によって、修了要件は相違しない"</formula>
    </cfRule>
  </conditionalFormatting>
  <dataValidations count="5">
    <dataValidation type="list" allowBlank="1" showInputMessage="1" showErrorMessage="1" sqref="K20:S20" xr:uid="{0730A573-9FE3-4DD9-93D6-8B4BE6D01DD2}">
      <formula1>$V$14:$V$16</formula1>
    </dataValidation>
    <dataValidation type="list" allowBlank="1" showInputMessage="1" showErrorMessage="1" sqref="F79:F86 P79:P86 G79:I80 G83:I86 Q83:S86 Q79:S80" xr:uid="{A361214D-0809-4C82-952F-F1CE7CD435D4}">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ED32D9D7-A7FE-4576-9429-FF1E1037CB48}">
      <formula1>"学部・学科によって、修了要件は相違する,学部・学科によって、修了要件は相違しない"</formula1>
    </dataValidation>
    <dataValidation type="list" allowBlank="1" showInputMessage="1" showErrorMessage="1" sqref="S32 S43 D32:G32 D43:G43" xr:uid="{F8B013CE-9CCE-4C58-97BE-96F1159F7E9B}">
      <formula1>"全学開講,一部開講"</formula1>
    </dataValidation>
    <dataValidation type="list" allowBlank="1" showInputMessage="1" showErrorMessage="1" sqref="G25:I31 Q25:S31 G36:I42 Q36:S42 G47:I53 Q47:S53 G58:I64 Q58:S64 F69:I75 P69:S75" xr:uid="{7EF62CEB-7B1C-493A-AF92-27E72754D63B}">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horizontalDpi="1200" verticalDpi="1200" r:id="rId1"/>
  <headerFooter>
    <oddHeader>&amp;C数理・データサイエンス・AI教育プログラム認定制度【リテラシーレベル】</oddHeader>
  </headerFooter>
  <rowBreaks count="2" manualBreakCount="2">
    <brk id="65" max="18" man="1"/>
    <brk id="94" max="1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A72AB-02C1-4B1E-90F0-BE0C43BE73AD}">
  <sheetPr>
    <pageSetUpPr fitToPage="1"/>
  </sheetPr>
  <dimension ref="A1:V110"/>
  <sheetViews>
    <sheetView showZeros="0" view="pageBreakPreview" zoomScaleNormal="100" zoomScaleSheetLayoutView="100" workbookViewId="0">
      <selection activeCell="S2" sqref="S2"/>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78" t="s">
        <v>208</v>
      </c>
      <c r="S1" s="178"/>
      <c r="T1" s="2" t="s">
        <v>109</v>
      </c>
    </row>
    <row r="2" spans="1:22" ht="18.75" customHeight="1" x14ac:dyDescent="0.15">
      <c r="B2" s="32" t="s">
        <v>108</v>
      </c>
      <c r="C2" s="136" t="str">
        <f>'様式１ー１　プログラムを構成する授業科目'!C2</f>
        <v>順天堂大学</v>
      </c>
      <c r="D2" s="116"/>
      <c r="E2" s="116"/>
      <c r="F2" s="116"/>
      <c r="G2" s="116"/>
      <c r="H2" s="116"/>
      <c r="I2" s="117"/>
      <c r="J2" s="33"/>
      <c r="K2" s="6"/>
      <c r="L2" s="6"/>
      <c r="M2" s="6"/>
      <c r="N2" s="6"/>
      <c r="O2" s="6"/>
      <c r="P2" s="6"/>
      <c r="Q2" s="6"/>
      <c r="R2" s="6"/>
      <c r="S2" s="6"/>
    </row>
    <row r="3" spans="1:22" ht="18.75" customHeight="1" x14ac:dyDescent="0.15">
      <c r="B3" s="32" t="s">
        <v>102</v>
      </c>
      <c r="C3" s="136" t="str">
        <f>'様式１ー１　プログラムを構成する授業科目'!C3</f>
        <v>数理・データサイエンス・AI教育プログラム</v>
      </c>
      <c r="D3" s="116"/>
      <c r="E3" s="116"/>
      <c r="F3" s="116"/>
      <c r="G3" s="116"/>
      <c r="H3" s="116"/>
      <c r="I3" s="117"/>
      <c r="J3" s="33"/>
      <c r="K3" s="6"/>
      <c r="L3" s="6"/>
      <c r="M3" s="6"/>
      <c r="N3" s="6"/>
      <c r="O3" s="6"/>
      <c r="P3" s="6"/>
      <c r="Q3" s="6"/>
      <c r="R3" s="6"/>
      <c r="S3" s="6"/>
    </row>
    <row r="4" spans="1:22" ht="15" customHeight="1" x14ac:dyDescent="0.15">
      <c r="K4" s="33"/>
      <c r="L4" s="35"/>
      <c r="M4" s="35"/>
      <c r="N4" s="35"/>
      <c r="O4" s="35"/>
      <c r="P4" s="35"/>
      <c r="Q4" s="35"/>
      <c r="R4" s="35"/>
      <c r="S4" s="35"/>
    </row>
    <row r="5" spans="1:22" ht="18" customHeight="1" x14ac:dyDescent="0.15">
      <c r="A5" s="158" t="s">
        <v>38</v>
      </c>
      <c r="B5" s="158"/>
      <c r="C5" s="158"/>
      <c r="D5" s="158"/>
      <c r="E5" s="158"/>
      <c r="F5" s="158"/>
      <c r="G5" s="158"/>
      <c r="H5" s="158"/>
      <c r="I5" s="158"/>
      <c r="J5" s="158"/>
      <c r="K5" s="158"/>
      <c r="L5" s="158"/>
      <c r="M5" s="158"/>
      <c r="N5" s="158"/>
      <c r="O5" s="158"/>
      <c r="P5" s="158"/>
      <c r="Q5" s="158"/>
      <c r="R5" s="158"/>
      <c r="S5" s="158"/>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6" t="s">
        <v>107</v>
      </c>
      <c r="K7" s="159" t="s">
        <v>128</v>
      </c>
      <c r="L7" s="160"/>
      <c r="M7" s="160"/>
      <c r="N7" s="160"/>
      <c r="O7" s="160"/>
      <c r="P7" s="160"/>
      <c r="Q7" s="160"/>
      <c r="R7" s="160"/>
      <c r="S7" s="161"/>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79" t="s">
        <v>256</v>
      </c>
      <c r="C9" s="180"/>
      <c r="D9" s="180"/>
      <c r="E9" s="180"/>
      <c r="F9" s="180"/>
      <c r="G9" s="180"/>
      <c r="H9" s="180"/>
      <c r="I9" s="180"/>
      <c r="J9" s="180"/>
      <c r="K9" s="180"/>
      <c r="L9" s="180"/>
      <c r="M9" s="180"/>
      <c r="N9" s="180"/>
      <c r="O9" s="180"/>
      <c r="P9" s="180"/>
      <c r="Q9" s="180"/>
      <c r="R9" s="180"/>
      <c r="S9" s="181"/>
    </row>
    <row r="10" spans="1:22" ht="18" customHeight="1" x14ac:dyDescent="0.15">
      <c r="B10" s="182"/>
      <c r="C10" s="183"/>
      <c r="D10" s="183"/>
      <c r="E10" s="183"/>
      <c r="F10" s="183"/>
      <c r="G10" s="183"/>
      <c r="H10" s="183"/>
      <c r="I10" s="183"/>
      <c r="J10" s="183"/>
      <c r="K10" s="183"/>
      <c r="L10" s="183"/>
      <c r="M10" s="183"/>
      <c r="N10" s="183"/>
      <c r="O10" s="183"/>
      <c r="P10" s="183"/>
      <c r="Q10" s="183"/>
      <c r="R10" s="183"/>
      <c r="S10" s="184"/>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111</v>
      </c>
      <c r="B12" s="3"/>
      <c r="C12" s="3"/>
      <c r="D12" s="33"/>
      <c r="E12" s="33"/>
      <c r="F12" s="33"/>
      <c r="G12" s="33"/>
      <c r="H12" s="33"/>
      <c r="I12" s="33"/>
      <c r="J12" s="33"/>
      <c r="K12" s="37"/>
      <c r="L12" s="37"/>
      <c r="M12" s="37"/>
      <c r="N12" s="37"/>
      <c r="O12" s="37"/>
      <c r="P12" s="37"/>
      <c r="Q12" s="37"/>
      <c r="R12" s="37"/>
      <c r="S12" s="37"/>
    </row>
    <row r="13" spans="1:22" ht="18" customHeight="1" x14ac:dyDescent="0.15">
      <c r="B13" s="169" t="s">
        <v>298</v>
      </c>
      <c r="C13" s="170"/>
      <c r="D13" s="170"/>
      <c r="E13" s="170"/>
      <c r="F13" s="170"/>
      <c r="G13" s="170"/>
      <c r="H13" s="170"/>
      <c r="I13" s="170"/>
      <c r="J13" s="170"/>
      <c r="K13" s="170"/>
      <c r="L13" s="170"/>
      <c r="M13" s="170"/>
      <c r="N13" s="170"/>
      <c r="O13" s="170"/>
      <c r="P13" s="170"/>
      <c r="Q13" s="170"/>
      <c r="R13" s="170"/>
      <c r="S13" s="171"/>
      <c r="V13" s="1" t="s">
        <v>103</v>
      </c>
    </row>
    <row r="14" spans="1:22" ht="18" customHeight="1" x14ac:dyDescent="0.15">
      <c r="B14" s="172"/>
      <c r="C14" s="173"/>
      <c r="D14" s="173"/>
      <c r="E14" s="173"/>
      <c r="F14" s="173"/>
      <c r="G14" s="173"/>
      <c r="H14" s="173"/>
      <c r="I14" s="173"/>
      <c r="J14" s="173"/>
      <c r="K14" s="173"/>
      <c r="L14" s="173"/>
      <c r="M14" s="173"/>
      <c r="N14" s="173"/>
      <c r="O14" s="173"/>
      <c r="P14" s="173"/>
      <c r="Q14" s="173"/>
      <c r="R14" s="173"/>
      <c r="S14" s="174"/>
      <c r="V14" s="1" t="s">
        <v>110</v>
      </c>
    </row>
    <row r="15" spans="1:22" ht="18" customHeight="1" x14ac:dyDescent="0.15">
      <c r="B15" s="172"/>
      <c r="C15" s="173"/>
      <c r="D15" s="173"/>
      <c r="E15" s="173"/>
      <c r="F15" s="173"/>
      <c r="G15" s="173"/>
      <c r="H15" s="173"/>
      <c r="I15" s="173"/>
      <c r="J15" s="173"/>
      <c r="K15" s="173"/>
      <c r="L15" s="173"/>
      <c r="M15" s="173"/>
      <c r="N15" s="173"/>
      <c r="O15" s="173"/>
      <c r="P15" s="173"/>
      <c r="Q15" s="173"/>
      <c r="R15" s="173"/>
      <c r="S15" s="174"/>
      <c r="V15" s="1" t="s">
        <v>123</v>
      </c>
    </row>
    <row r="16" spans="1:22" ht="18" customHeight="1" x14ac:dyDescent="0.15">
      <c r="B16" s="172"/>
      <c r="C16" s="173"/>
      <c r="D16" s="173"/>
      <c r="E16" s="173"/>
      <c r="F16" s="173"/>
      <c r="G16" s="173"/>
      <c r="H16" s="173"/>
      <c r="I16" s="173"/>
      <c r="J16" s="173"/>
      <c r="K16" s="173"/>
      <c r="L16" s="173"/>
      <c r="M16" s="173"/>
      <c r="N16" s="173"/>
      <c r="O16" s="173"/>
      <c r="P16" s="173"/>
      <c r="Q16" s="173"/>
      <c r="R16" s="173"/>
      <c r="S16" s="174"/>
      <c r="V16" s="1" t="s">
        <v>125</v>
      </c>
    </row>
    <row r="17" spans="1:19" ht="18" customHeight="1" x14ac:dyDescent="0.15">
      <c r="B17" s="172"/>
      <c r="C17" s="173"/>
      <c r="D17" s="173"/>
      <c r="E17" s="173"/>
      <c r="F17" s="173"/>
      <c r="G17" s="173"/>
      <c r="H17" s="173"/>
      <c r="I17" s="173"/>
      <c r="J17" s="173"/>
      <c r="K17" s="173"/>
      <c r="L17" s="173"/>
      <c r="M17" s="173"/>
      <c r="N17" s="173"/>
      <c r="O17" s="173"/>
      <c r="P17" s="173"/>
      <c r="Q17" s="173"/>
      <c r="R17" s="173"/>
      <c r="S17" s="174"/>
    </row>
    <row r="18" spans="1:19" ht="18" customHeight="1" x14ac:dyDescent="0.15">
      <c r="B18" s="175"/>
      <c r="C18" s="176"/>
      <c r="D18" s="176"/>
      <c r="E18" s="176"/>
      <c r="F18" s="176"/>
      <c r="G18" s="176"/>
      <c r="H18" s="176"/>
      <c r="I18" s="176"/>
      <c r="J18" s="176"/>
      <c r="K18" s="176"/>
      <c r="L18" s="176"/>
      <c r="M18" s="176"/>
      <c r="N18" s="176"/>
      <c r="O18" s="176"/>
      <c r="P18" s="176"/>
      <c r="Q18" s="176"/>
      <c r="R18" s="176"/>
      <c r="S18" s="177"/>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136">
        <v>3</v>
      </c>
      <c r="D20" s="117"/>
      <c r="E20" s="38" t="s">
        <v>95</v>
      </c>
      <c r="G20" s="10"/>
      <c r="H20" s="3"/>
      <c r="I20" s="3"/>
      <c r="J20" s="33" t="s">
        <v>121</v>
      </c>
      <c r="K20" s="154" t="s">
        <v>125</v>
      </c>
      <c r="L20" s="155"/>
      <c r="M20" s="155"/>
      <c r="N20" s="155"/>
      <c r="O20" s="155"/>
      <c r="P20" s="155"/>
      <c r="Q20" s="155"/>
      <c r="R20" s="155"/>
      <c r="S20" s="156"/>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44" t="s">
        <v>113</v>
      </c>
      <c r="B22" s="144"/>
      <c r="C22" s="144"/>
      <c r="D22" s="144"/>
      <c r="E22" s="144"/>
      <c r="F22" s="144"/>
      <c r="G22" s="144"/>
      <c r="H22" s="144"/>
      <c r="I22" s="144"/>
      <c r="J22" s="144"/>
      <c r="K22" s="144"/>
      <c r="L22" s="144"/>
      <c r="M22" s="144"/>
      <c r="N22" s="144"/>
      <c r="O22" s="144"/>
      <c r="P22" s="144"/>
      <c r="Q22" s="144"/>
      <c r="R22" s="144"/>
      <c r="S22" s="144"/>
    </row>
    <row r="23" spans="1:19" ht="18" customHeight="1" x14ac:dyDescent="0.15">
      <c r="A23" s="144"/>
      <c r="B23" s="144"/>
      <c r="C23" s="144"/>
      <c r="D23" s="144"/>
      <c r="E23" s="144"/>
      <c r="F23" s="144"/>
      <c r="G23" s="144"/>
      <c r="H23" s="144"/>
      <c r="I23" s="144"/>
      <c r="J23" s="144"/>
      <c r="K23" s="144"/>
      <c r="L23" s="144"/>
      <c r="M23" s="144"/>
      <c r="N23" s="144"/>
      <c r="O23" s="144"/>
      <c r="P23" s="144"/>
      <c r="Q23" s="144"/>
      <c r="R23" s="144"/>
      <c r="S23" s="144"/>
    </row>
    <row r="24" spans="1:19" ht="18" customHeight="1" x14ac:dyDescent="0.15">
      <c r="B24" s="136" t="s">
        <v>53</v>
      </c>
      <c r="C24" s="116"/>
      <c r="D24" s="116"/>
      <c r="E24" s="117"/>
      <c r="F24" s="59" t="s">
        <v>80</v>
      </c>
      <c r="G24" s="58" t="s">
        <v>84</v>
      </c>
      <c r="H24" s="20" t="s">
        <v>56</v>
      </c>
      <c r="I24" s="20" t="s">
        <v>59</v>
      </c>
      <c r="J24" s="136" t="s">
        <v>53</v>
      </c>
      <c r="K24" s="116"/>
      <c r="L24" s="116"/>
      <c r="M24" s="116"/>
      <c r="N24" s="116"/>
      <c r="O24" s="117"/>
      <c r="P24" s="59" t="s">
        <v>80</v>
      </c>
      <c r="Q24" s="58" t="s">
        <v>84</v>
      </c>
      <c r="R24" s="20" t="s">
        <v>56</v>
      </c>
      <c r="S24" s="20" t="s">
        <v>59</v>
      </c>
    </row>
    <row r="25" spans="1:19" ht="18" customHeight="1" x14ac:dyDescent="0.15">
      <c r="B25" s="140" t="s">
        <v>209</v>
      </c>
      <c r="C25" s="91"/>
      <c r="D25" s="91"/>
      <c r="E25" s="92"/>
      <c r="F25" s="21">
        <v>1</v>
      </c>
      <c r="G25" s="21" t="s">
        <v>131</v>
      </c>
      <c r="H25" s="21" t="s">
        <v>131</v>
      </c>
      <c r="I25" s="21" t="s">
        <v>131</v>
      </c>
      <c r="J25" s="140"/>
      <c r="K25" s="91"/>
      <c r="L25" s="91"/>
      <c r="M25" s="91"/>
      <c r="N25" s="91"/>
      <c r="O25" s="92"/>
      <c r="P25" s="21"/>
      <c r="Q25" s="21"/>
      <c r="R25" s="21"/>
      <c r="S25" s="21"/>
    </row>
    <row r="26" spans="1:19" ht="18" customHeight="1" x14ac:dyDescent="0.15">
      <c r="B26" s="126"/>
      <c r="C26" s="94"/>
      <c r="D26" s="94"/>
      <c r="E26" s="95"/>
      <c r="F26" s="22"/>
      <c r="G26" s="22"/>
      <c r="H26" s="22"/>
      <c r="I26" s="22"/>
      <c r="J26" s="126"/>
      <c r="K26" s="94"/>
      <c r="L26" s="94"/>
      <c r="M26" s="94"/>
      <c r="N26" s="94"/>
      <c r="O26" s="95"/>
      <c r="P26" s="22"/>
      <c r="Q26" s="22"/>
      <c r="R26" s="22"/>
      <c r="S26" s="22"/>
    </row>
    <row r="27" spans="1:19" ht="18" customHeight="1" x14ac:dyDescent="0.15">
      <c r="B27" s="126"/>
      <c r="C27" s="94"/>
      <c r="D27" s="94"/>
      <c r="E27" s="95"/>
      <c r="F27" s="22"/>
      <c r="G27" s="22"/>
      <c r="H27" s="22"/>
      <c r="I27" s="22"/>
      <c r="J27" s="126"/>
      <c r="K27" s="94"/>
      <c r="L27" s="94"/>
      <c r="M27" s="94"/>
      <c r="N27" s="94"/>
      <c r="O27" s="95"/>
      <c r="P27" s="22"/>
      <c r="Q27" s="22"/>
      <c r="R27" s="22"/>
      <c r="S27" s="22"/>
    </row>
    <row r="28" spans="1:19" ht="18" customHeight="1" x14ac:dyDescent="0.15">
      <c r="B28" s="126"/>
      <c r="C28" s="94"/>
      <c r="D28" s="94"/>
      <c r="E28" s="95"/>
      <c r="F28" s="22"/>
      <c r="G28" s="22"/>
      <c r="H28" s="22"/>
      <c r="I28" s="22"/>
      <c r="J28" s="126"/>
      <c r="K28" s="94"/>
      <c r="L28" s="94"/>
      <c r="M28" s="94"/>
      <c r="N28" s="94"/>
      <c r="O28" s="95"/>
      <c r="P28" s="22"/>
      <c r="Q28" s="22"/>
      <c r="R28" s="22"/>
      <c r="S28" s="22"/>
    </row>
    <row r="29" spans="1:19" ht="18" customHeight="1" x14ac:dyDescent="0.15">
      <c r="B29" s="126"/>
      <c r="C29" s="94"/>
      <c r="D29" s="94"/>
      <c r="E29" s="95"/>
      <c r="F29" s="22"/>
      <c r="G29" s="22"/>
      <c r="H29" s="22"/>
      <c r="I29" s="22"/>
      <c r="J29" s="126"/>
      <c r="K29" s="94"/>
      <c r="L29" s="94"/>
      <c r="M29" s="94"/>
      <c r="N29" s="94"/>
      <c r="O29" s="95"/>
      <c r="P29" s="22"/>
      <c r="Q29" s="22"/>
      <c r="R29" s="22"/>
      <c r="S29" s="22"/>
    </row>
    <row r="30" spans="1:19" ht="18" customHeight="1" x14ac:dyDescent="0.15">
      <c r="A30" s="3"/>
      <c r="B30" s="126"/>
      <c r="C30" s="94"/>
      <c r="D30" s="94"/>
      <c r="E30" s="95"/>
      <c r="F30" s="22"/>
      <c r="G30" s="22"/>
      <c r="H30" s="22"/>
      <c r="I30" s="22"/>
      <c r="J30" s="126"/>
      <c r="K30" s="94"/>
      <c r="L30" s="94"/>
      <c r="M30" s="94"/>
      <c r="N30" s="94"/>
      <c r="O30" s="95"/>
      <c r="P30" s="22"/>
      <c r="Q30" s="22"/>
      <c r="R30" s="22"/>
      <c r="S30" s="22"/>
    </row>
    <row r="31" spans="1:19" ht="18" customHeight="1" x14ac:dyDescent="0.15">
      <c r="A31" s="3"/>
      <c r="B31" s="130"/>
      <c r="C31" s="131"/>
      <c r="D31" s="131"/>
      <c r="E31" s="132"/>
      <c r="F31" s="23"/>
      <c r="G31" s="23"/>
      <c r="H31" s="24"/>
      <c r="I31" s="24"/>
      <c r="J31" s="130"/>
      <c r="K31" s="131"/>
      <c r="L31" s="131"/>
      <c r="M31" s="131"/>
      <c r="N31" s="131"/>
      <c r="O31" s="132"/>
      <c r="P31" s="23"/>
      <c r="Q31" s="23"/>
      <c r="R31" s="24"/>
      <c r="S31" s="24"/>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44" t="s">
        <v>114</v>
      </c>
      <c r="B33" s="144"/>
      <c r="C33" s="144"/>
      <c r="D33" s="144"/>
      <c r="E33" s="144"/>
      <c r="F33" s="144"/>
      <c r="G33" s="144"/>
      <c r="H33" s="144"/>
      <c r="I33" s="144"/>
      <c r="J33" s="144"/>
      <c r="K33" s="144"/>
      <c r="L33" s="144"/>
      <c r="M33" s="144"/>
      <c r="N33" s="144"/>
      <c r="O33" s="144"/>
      <c r="P33" s="144"/>
      <c r="Q33" s="144"/>
      <c r="R33" s="144"/>
      <c r="S33" s="144"/>
    </row>
    <row r="34" spans="1:19" ht="18" customHeight="1" x14ac:dyDescent="0.15">
      <c r="A34" s="144"/>
      <c r="B34" s="144"/>
      <c r="C34" s="144"/>
      <c r="D34" s="144"/>
      <c r="E34" s="144"/>
      <c r="F34" s="144"/>
      <c r="G34" s="144"/>
      <c r="H34" s="144"/>
      <c r="I34" s="144"/>
      <c r="J34" s="144"/>
      <c r="K34" s="144"/>
      <c r="L34" s="144"/>
      <c r="M34" s="144"/>
      <c r="N34" s="144"/>
      <c r="O34" s="144"/>
      <c r="P34" s="144"/>
      <c r="Q34" s="144"/>
      <c r="R34" s="144"/>
      <c r="S34" s="144"/>
    </row>
    <row r="35" spans="1:19" ht="18" customHeight="1" x14ac:dyDescent="0.15">
      <c r="B35" s="136" t="s">
        <v>53</v>
      </c>
      <c r="C35" s="116"/>
      <c r="D35" s="116"/>
      <c r="E35" s="117"/>
      <c r="F35" s="59" t="s">
        <v>80</v>
      </c>
      <c r="G35" s="58" t="s">
        <v>84</v>
      </c>
      <c r="H35" s="20" t="s">
        <v>71</v>
      </c>
      <c r="I35" s="20" t="s">
        <v>72</v>
      </c>
      <c r="J35" s="136" t="s">
        <v>53</v>
      </c>
      <c r="K35" s="116"/>
      <c r="L35" s="116"/>
      <c r="M35" s="116"/>
      <c r="N35" s="116"/>
      <c r="O35" s="117"/>
      <c r="P35" s="59" t="s">
        <v>80</v>
      </c>
      <c r="Q35" s="58" t="s">
        <v>84</v>
      </c>
      <c r="R35" s="20" t="s">
        <v>71</v>
      </c>
      <c r="S35" s="20" t="s">
        <v>72</v>
      </c>
    </row>
    <row r="36" spans="1:19" ht="18" customHeight="1" x14ac:dyDescent="0.15">
      <c r="B36" s="140" t="s">
        <v>209</v>
      </c>
      <c r="C36" s="91"/>
      <c r="D36" s="91"/>
      <c r="E36" s="92"/>
      <c r="F36" s="21">
        <v>1</v>
      </c>
      <c r="G36" s="21" t="s">
        <v>131</v>
      </c>
      <c r="H36" s="21" t="s">
        <v>131</v>
      </c>
      <c r="I36" s="21" t="s">
        <v>131</v>
      </c>
      <c r="J36" s="140"/>
      <c r="K36" s="91"/>
      <c r="L36" s="91"/>
      <c r="M36" s="91"/>
      <c r="N36" s="91"/>
      <c r="O36" s="92"/>
      <c r="P36" s="21"/>
      <c r="Q36" s="21"/>
      <c r="R36" s="21"/>
      <c r="S36" s="21"/>
    </row>
    <row r="37" spans="1:19" ht="18" customHeight="1" x14ac:dyDescent="0.15">
      <c r="B37" s="126"/>
      <c r="C37" s="94"/>
      <c r="D37" s="94"/>
      <c r="E37" s="95"/>
      <c r="F37" s="22"/>
      <c r="G37" s="22"/>
      <c r="H37" s="22"/>
      <c r="I37" s="22"/>
      <c r="J37" s="126"/>
      <c r="K37" s="94"/>
      <c r="L37" s="94"/>
      <c r="M37" s="94"/>
      <c r="N37" s="94"/>
      <c r="O37" s="95"/>
      <c r="P37" s="22"/>
      <c r="Q37" s="22"/>
      <c r="R37" s="22"/>
      <c r="S37" s="22"/>
    </row>
    <row r="38" spans="1:19" ht="18" customHeight="1" x14ac:dyDescent="0.15">
      <c r="B38" s="126"/>
      <c r="C38" s="94"/>
      <c r="D38" s="94"/>
      <c r="E38" s="95"/>
      <c r="F38" s="22"/>
      <c r="G38" s="22"/>
      <c r="H38" s="22"/>
      <c r="I38" s="22"/>
      <c r="J38" s="126"/>
      <c r="K38" s="94"/>
      <c r="L38" s="94"/>
      <c r="M38" s="94"/>
      <c r="N38" s="94"/>
      <c r="O38" s="95"/>
      <c r="P38" s="22"/>
      <c r="Q38" s="22"/>
      <c r="R38" s="22"/>
      <c r="S38" s="22"/>
    </row>
    <row r="39" spans="1:19" ht="18" customHeight="1" x14ac:dyDescent="0.15">
      <c r="B39" s="126"/>
      <c r="C39" s="94"/>
      <c r="D39" s="94"/>
      <c r="E39" s="95"/>
      <c r="F39" s="22"/>
      <c r="G39" s="22"/>
      <c r="H39" s="22"/>
      <c r="I39" s="22"/>
      <c r="J39" s="126"/>
      <c r="K39" s="94"/>
      <c r="L39" s="94"/>
      <c r="M39" s="94"/>
      <c r="N39" s="94"/>
      <c r="O39" s="95"/>
      <c r="P39" s="22"/>
      <c r="Q39" s="22"/>
      <c r="R39" s="22"/>
      <c r="S39" s="22"/>
    </row>
    <row r="40" spans="1:19" ht="18" customHeight="1" x14ac:dyDescent="0.15">
      <c r="B40" s="126"/>
      <c r="C40" s="94"/>
      <c r="D40" s="94"/>
      <c r="E40" s="95"/>
      <c r="F40" s="22"/>
      <c r="G40" s="22"/>
      <c r="H40" s="22"/>
      <c r="I40" s="22"/>
      <c r="J40" s="126"/>
      <c r="K40" s="94"/>
      <c r="L40" s="94"/>
      <c r="M40" s="94"/>
      <c r="N40" s="94"/>
      <c r="O40" s="95"/>
      <c r="P40" s="22"/>
      <c r="Q40" s="22"/>
      <c r="R40" s="22"/>
      <c r="S40" s="22"/>
    </row>
    <row r="41" spans="1:19" ht="18" customHeight="1" x14ac:dyDescent="0.15">
      <c r="B41" s="126"/>
      <c r="C41" s="94"/>
      <c r="D41" s="94"/>
      <c r="E41" s="95"/>
      <c r="F41" s="22"/>
      <c r="G41" s="22"/>
      <c r="H41" s="22"/>
      <c r="I41" s="22"/>
      <c r="J41" s="126"/>
      <c r="K41" s="94"/>
      <c r="L41" s="94"/>
      <c r="M41" s="94"/>
      <c r="N41" s="94"/>
      <c r="O41" s="95"/>
      <c r="P41" s="22"/>
      <c r="Q41" s="22"/>
      <c r="R41" s="22"/>
      <c r="S41" s="22"/>
    </row>
    <row r="42" spans="1:19" ht="18" customHeight="1" x14ac:dyDescent="0.15">
      <c r="B42" s="130"/>
      <c r="C42" s="131"/>
      <c r="D42" s="131"/>
      <c r="E42" s="132"/>
      <c r="F42" s="23"/>
      <c r="G42" s="23"/>
      <c r="H42" s="24"/>
      <c r="I42" s="24"/>
      <c r="J42" s="130"/>
      <c r="K42" s="131"/>
      <c r="L42" s="131"/>
      <c r="M42" s="131"/>
      <c r="N42" s="131"/>
      <c r="O42" s="132"/>
      <c r="P42" s="23"/>
      <c r="Q42" s="23"/>
      <c r="R42" s="24"/>
      <c r="S42" s="24"/>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44" t="s">
        <v>115</v>
      </c>
      <c r="B44" s="144"/>
      <c r="C44" s="144"/>
      <c r="D44" s="144"/>
      <c r="E44" s="144"/>
      <c r="F44" s="144"/>
      <c r="G44" s="144"/>
      <c r="H44" s="144"/>
      <c r="I44" s="144"/>
      <c r="J44" s="144"/>
      <c r="K44" s="144"/>
      <c r="L44" s="144"/>
      <c r="M44" s="144"/>
      <c r="N44" s="144"/>
      <c r="O44" s="144"/>
      <c r="P44" s="144"/>
      <c r="Q44" s="144"/>
      <c r="R44" s="144"/>
      <c r="S44" s="144"/>
    </row>
    <row r="45" spans="1:19" ht="18" customHeight="1" x14ac:dyDescent="0.15">
      <c r="A45" s="144"/>
      <c r="B45" s="144"/>
      <c r="C45" s="144"/>
      <c r="D45" s="144"/>
      <c r="E45" s="144"/>
      <c r="F45" s="144"/>
      <c r="G45" s="144"/>
      <c r="H45" s="144"/>
      <c r="I45" s="144"/>
      <c r="J45" s="144"/>
      <c r="K45" s="144"/>
      <c r="L45" s="144"/>
      <c r="M45" s="144"/>
      <c r="N45" s="144"/>
      <c r="O45" s="144"/>
      <c r="P45" s="144"/>
      <c r="Q45" s="144"/>
      <c r="R45" s="144"/>
      <c r="S45" s="144"/>
    </row>
    <row r="46" spans="1:19" ht="18" customHeight="1" x14ac:dyDescent="0.15">
      <c r="B46" s="136" t="s">
        <v>53</v>
      </c>
      <c r="C46" s="116"/>
      <c r="D46" s="116"/>
      <c r="E46" s="117"/>
      <c r="F46" s="59" t="s">
        <v>80</v>
      </c>
      <c r="G46" s="58" t="s">
        <v>84</v>
      </c>
      <c r="H46" s="20" t="s">
        <v>73</v>
      </c>
      <c r="I46" s="20" t="s">
        <v>74</v>
      </c>
      <c r="J46" s="136" t="s">
        <v>53</v>
      </c>
      <c r="K46" s="116"/>
      <c r="L46" s="116"/>
      <c r="M46" s="116"/>
      <c r="N46" s="116"/>
      <c r="O46" s="117"/>
      <c r="P46" s="59" t="s">
        <v>80</v>
      </c>
      <c r="Q46" s="58" t="s">
        <v>84</v>
      </c>
      <c r="R46" s="20" t="s">
        <v>73</v>
      </c>
      <c r="S46" s="20" t="s">
        <v>74</v>
      </c>
    </row>
    <row r="47" spans="1:19" ht="18" customHeight="1" x14ac:dyDescent="0.15">
      <c r="A47" s="3"/>
      <c r="B47" s="140" t="s">
        <v>209</v>
      </c>
      <c r="C47" s="91"/>
      <c r="D47" s="91"/>
      <c r="E47" s="92"/>
      <c r="F47" s="21">
        <v>1</v>
      </c>
      <c r="G47" s="21" t="s">
        <v>131</v>
      </c>
      <c r="H47" s="21" t="s">
        <v>131</v>
      </c>
      <c r="I47" s="21" t="s">
        <v>131</v>
      </c>
      <c r="J47" s="140"/>
      <c r="K47" s="91"/>
      <c r="L47" s="91"/>
      <c r="M47" s="91"/>
      <c r="N47" s="91"/>
      <c r="O47" s="92"/>
      <c r="P47" s="21"/>
      <c r="Q47" s="21"/>
      <c r="R47" s="21"/>
      <c r="S47" s="21"/>
    </row>
    <row r="48" spans="1:19" ht="18" customHeight="1" x14ac:dyDescent="0.15">
      <c r="A48" s="3"/>
      <c r="B48" s="166"/>
      <c r="C48" s="167"/>
      <c r="D48" s="167"/>
      <c r="E48" s="168"/>
      <c r="F48" s="81"/>
      <c r="G48" s="81"/>
      <c r="H48" s="81"/>
      <c r="I48" s="81"/>
      <c r="J48" s="126"/>
      <c r="K48" s="94"/>
      <c r="L48" s="94"/>
      <c r="M48" s="94"/>
      <c r="N48" s="94"/>
      <c r="O48" s="95"/>
      <c r="P48" s="22"/>
      <c r="Q48" s="22"/>
      <c r="R48" s="22"/>
      <c r="S48" s="22"/>
    </row>
    <row r="49" spans="1:19" ht="18" customHeight="1" x14ac:dyDescent="0.15">
      <c r="A49" s="3"/>
      <c r="B49" s="166"/>
      <c r="C49" s="167"/>
      <c r="D49" s="167"/>
      <c r="E49" s="168"/>
      <c r="F49" s="81"/>
      <c r="G49" s="81"/>
      <c r="H49" s="81"/>
      <c r="I49" s="81"/>
      <c r="J49" s="126"/>
      <c r="K49" s="94"/>
      <c r="L49" s="94"/>
      <c r="M49" s="94"/>
      <c r="N49" s="94"/>
      <c r="O49" s="95"/>
      <c r="P49" s="22"/>
      <c r="Q49" s="22"/>
      <c r="R49" s="22"/>
      <c r="S49" s="22"/>
    </row>
    <row r="50" spans="1:19" ht="18" customHeight="1" x14ac:dyDescent="0.15">
      <c r="A50" s="3"/>
      <c r="B50" s="126"/>
      <c r="C50" s="94"/>
      <c r="D50" s="94"/>
      <c r="E50" s="95"/>
      <c r="F50" s="22"/>
      <c r="G50" s="22"/>
      <c r="H50" s="22"/>
      <c r="I50" s="22"/>
      <c r="J50" s="126"/>
      <c r="K50" s="94"/>
      <c r="L50" s="94"/>
      <c r="M50" s="94"/>
      <c r="N50" s="94"/>
      <c r="O50" s="95"/>
      <c r="P50" s="22"/>
      <c r="Q50" s="22"/>
      <c r="R50" s="22"/>
      <c r="S50" s="22"/>
    </row>
    <row r="51" spans="1:19" ht="18" customHeight="1" x14ac:dyDescent="0.15">
      <c r="A51" s="3"/>
      <c r="B51" s="126"/>
      <c r="C51" s="94"/>
      <c r="D51" s="94"/>
      <c r="E51" s="95"/>
      <c r="F51" s="22"/>
      <c r="G51" s="22"/>
      <c r="H51" s="22"/>
      <c r="I51" s="22"/>
      <c r="J51" s="126"/>
      <c r="K51" s="94"/>
      <c r="L51" s="94"/>
      <c r="M51" s="94"/>
      <c r="N51" s="94"/>
      <c r="O51" s="95"/>
      <c r="P51" s="22"/>
      <c r="Q51" s="22"/>
      <c r="R51" s="22"/>
      <c r="S51" s="22"/>
    </row>
    <row r="52" spans="1:19" ht="18" customHeight="1" x14ac:dyDescent="0.15">
      <c r="A52" s="3"/>
      <c r="B52" s="126"/>
      <c r="C52" s="94"/>
      <c r="D52" s="94"/>
      <c r="E52" s="95"/>
      <c r="F52" s="22"/>
      <c r="G52" s="22"/>
      <c r="H52" s="22"/>
      <c r="I52" s="22"/>
      <c r="J52" s="126"/>
      <c r="K52" s="94"/>
      <c r="L52" s="94"/>
      <c r="M52" s="94"/>
      <c r="N52" s="94"/>
      <c r="O52" s="95"/>
      <c r="P52" s="22"/>
      <c r="Q52" s="22"/>
      <c r="R52" s="22"/>
      <c r="S52" s="22"/>
    </row>
    <row r="53" spans="1:19" ht="18" customHeight="1" x14ac:dyDescent="0.15">
      <c r="A53" s="3"/>
      <c r="B53" s="130"/>
      <c r="C53" s="131"/>
      <c r="D53" s="131"/>
      <c r="E53" s="132"/>
      <c r="F53" s="23"/>
      <c r="G53" s="23"/>
      <c r="H53" s="24"/>
      <c r="I53" s="24"/>
      <c r="J53" s="130"/>
      <c r="K53" s="131"/>
      <c r="L53" s="131"/>
      <c r="M53" s="131"/>
      <c r="N53" s="131"/>
      <c r="O53" s="132"/>
      <c r="P53" s="23"/>
      <c r="Q53" s="23"/>
      <c r="R53" s="24"/>
      <c r="S53" s="24"/>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44" t="s">
        <v>116</v>
      </c>
      <c r="B55" s="144"/>
      <c r="C55" s="144"/>
      <c r="D55" s="144"/>
      <c r="E55" s="144"/>
      <c r="F55" s="144"/>
      <c r="G55" s="144"/>
      <c r="H55" s="144"/>
      <c r="I55" s="144"/>
      <c r="J55" s="144"/>
      <c r="K55" s="144"/>
      <c r="L55" s="144"/>
      <c r="M55" s="144"/>
      <c r="N55" s="144"/>
      <c r="O55" s="144"/>
      <c r="P55" s="144"/>
      <c r="Q55" s="144"/>
      <c r="R55" s="144"/>
      <c r="S55" s="144"/>
    </row>
    <row r="56" spans="1:19" ht="18" customHeight="1" x14ac:dyDescent="0.15">
      <c r="A56" s="144"/>
      <c r="B56" s="144"/>
      <c r="C56" s="144"/>
      <c r="D56" s="144"/>
      <c r="E56" s="144"/>
      <c r="F56" s="144"/>
      <c r="G56" s="144"/>
      <c r="H56" s="144"/>
      <c r="I56" s="144"/>
      <c r="J56" s="144"/>
      <c r="K56" s="144"/>
      <c r="L56" s="144"/>
      <c r="M56" s="144"/>
      <c r="N56" s="144"/>
      <c r="O56" s="144"/>
      <c r="P56" s="144"/>
      <c r="Q56" s="144"/>
      <c r="R56" s="144"/>
      <c r="S56" s="144"/>
    </row>
    <row r="57" spans="1:19" ht="18" customHeight="1" x14ac:dyDescent="0.15">
      <c r="B57" s="136" t="s">
        <v>53</v>
      </c>
      <c r="C57" s="116"/>
      <c r="D57" s="116"/>
      <c r="E57" s="117"/>
      <c r="F57" s="59" t="s">
        <v>80</v>
      </c>
      <c r="G57" s="58" t="s">
        <v>84</v>
      </c>
      <c r="H57" s="20" t="s">
        <v>58</v>
      </c>
      <c r="I57" s="20" t="s">
        <v>60</v>
      </c>
      <c r="J57" s="136" t="s">
        <v>53</v>
      </c>
      <c r="K57" s="116"/>
      <c r="L57" s="116"/>
      <c r="M57" s="116"/>
      <c r="N57" s="116"/>
      <c r="O57" s="117"/>
      <c r="P57" s="59" t="s">
        <v>80</v>
      </c>
      <c r="Q57" s="58" t="s">
        <v>84</v>
      </c>
      <c r="R57" s="20" t="s">
        <v>58</v>
      </c>
      <c r="S57" s="20" t="s">
        <v>60</v>
      </c>
    </row>
    <row r="58" spans="1:19" ht="18" customHeight="1" x14ac:dyDescent="0.15">
      <c r="A58" s="3"/>
      <c r="B58" s="140" t="s">
        <v>209</v>
      </c>
      <c r="C58" s="91"/>
      <c r="D58" s="91"/>
      <c r="E58" s="92"/>
      <c r="F58" s="21">
        <v>1</v>
      </c>
      <c r="G58" s="21" t="s">
        <v>131</v>
      </c>
      <c r="H58" s="21" t="s">
        <v>131</v>
      </c>
      <c r="I58" s="21" t="s">
        <v>131</v>
      </c>
      <c r="J58" s="140"/>
      <c r="K58" s="91"/>
      <c r="L58" s="91"/>
      <c r="M58" s="91"/>
      <c r="N58" s="91"/>
      <c r="O58" s="92"/>
      <c r="P58" s="21"/>
      <c r="Q58" s="21"/>
      <c r="R58" s="21"/>
      <c r="S58" s="21"/>
    </row>
    <row r="59" spans="1:19" ht="18" customHeight="1" x14ac:dyDescent="0.15">
      <c r="A59" s="3"/>
      <c r="B59" s="166"/>
      <c r="C59" s="167"/>
      <c r="D59" s="167"/>
      <c r="E59" s="168"/>
      <c r="F59" s="81"/>
      <c r="G59" s="81"/>
      <c r="H59" s="81"/>
      <c r="I59" s="81"/>
      <c r="J59" s="126"/>
      <c r="K59" s="94"/>
      <c r="L59" s="94"/>
      <c r="M59" s="94"/>
      <c r="N59" s="94"/>
      <c r="O59" s="95"/>
      <c r="P59" s="22"/>
      <c r="Q59" s="22"/>
      <c r="R59" s="22"/>
      <c r="S59" s="22"/>
    </row>
    <row r="60" spans="1:19" ht="18" customHeight="1" x14ac:dyDescent="0.15">
      <c r="A60" s="3"/>
      <c r="B60" s="166"/>
      <c r="C60" s="167"/>
      <c r="D60" s="167"/>
      <c r="E60" s="168"/>
      <c r="F60" s="81"/>
      <c r="G60" s="81"/>
      <c r="H60" s="81"/>
      <c r="I60" s="81"/>
      <c r="J60" s="126"/>
      <c r="K60" s="94"/>
      <c r="L60" s="94"/>
      <c r="M60" s="94"/>
      <c r="N60" s="94"/>
      <c r="O60" s="95"/>
      <c r="P60" s="22"/>
      <c r="Q60" s="22"/>
      <c r="R60" s="22"/>
      <c r="S60" s="22"/>
    </row>
    <row r="61" spans="1:19" ht="18" customHeight="1" x14ac:dyDescent="0.15">
      <c r="A61" s="3"/>
      <c r="B61" s="126"/>
      <c r="C61" s="94"/>
      <c r="D61" s="94"/>
      <c r="E61" s="95"/>
      <c r="F61" s="22"/>
      <c r="G61" s="22"/>
      <c r="H61" s="22"/>
      <c r="I61" s="22"/>
      <c r="J61" s="126"/>
      <c r="K61" s="94"/>
      <c r="L61" s="94"/>
      <c r="M61" s="94"/>
      <c r="N61" s="94"/>
      <c r="O61" s="95"/>
      <c r="P61" s="22"/>
      <c r="Q61" s="22"/>
      <c r="R61" s="22"/>
      <c r="S61" s="22"/>
    </row>
    <row r="62" spans="1:19" ht="18" customHeight="1" x14ac:dyDescent="0.15">
      <c r="A62" s="3"/>
      <c r="B62" s="126"/>
      <c r="C62" s="94"/>
      <c r="D62" s="94"/>
      <c r="E62" s="95"/>
      <c r="F62" s="22"/>
      <c r="G62" s="22"/>
      <c r="H62" s="22"/>
      <c r="I62" s="22"/>
      <c r="J62" s="126"/>
      <c r="K62" s="94"/>
      <c r="L62" s="94"/>
      <c r="M62" s="94"/>
      <c r="N62" s="94"/>
      <c r="O62" s="95"/>
      <c r="P62" s="22"/>
      <c r="Q62" s="22"/>
      <c r="R62" s="22"/>
      <c r="S62" s="22"/>
    </row>
    <row r="63" spans="1:19" ht="18" customHeight="1" x14ac:dyDescent="0.15">
      <c r="A63" s="3"/>
      <c r="B63" s="126"/>
      <c r="C63" s="94"/>
      <c r="D63" s="94"/>
      <c r="E63" s="95"/>
      <c r="F63" s="22"/>
      <c r="G63" s="22"/>
      <c r="H63" s="22"/>
      <c r="I63" s="22"/>
      <c r="J63" s="126"/>
      <c r="K63" s="94"/>
      <c r="L63" s="94"/>
      <c r="M63" s="94"/>
      <c r="N63" s="94"/>
      <c r="O63" s="95"/>
      <c r="P63" s="22"/>
      <c r="Q63" s="22"/>
      <c r="R63" s="22"/>
      <c r="S63" s="22"/>
    </row>
    <row r="64" spans="1:19" ht="18" customHeight="1" x14ac:dyDescent="0.15">
      <c r="A64" s="3"/>
      <c r="B64" s="130"/>
      <c r="C64" s="131"/>
      <c r="D64" s="131"/>
      <c r="E64" s="132"/>
      <c r="F64" s="23"/>
      <c r="G64" s="23"/>
      <c r="H64" s="24"/>
      <c r="I64" s="24"/>
      <c r="J64" s="130"/>
      <c r="K64" s="131"/>
      <c r="L64" s="131"/>
      <c r="M64" s="131"/>
      <c r="N64" s="131"/>
      <c r="O64" s="132"/>
      <c r="P64" s="23"/>
      <c r="Q64" s="23"/>
      <c r="R64" s="24"/>
      <c r="S64" s="24"/>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44" t="s">
        <v>117</v>
      </c>
      <c r="B66" s="144"/>
      <c r="C66" s="144"/>
      <c r="D66" s="144"/>
      <c r="E66" s="144"/>
      <c r="F66" s="144"/>
      <c r="G66" s="144"/>
      <c r="H66" s="144"/>
      <c r="I66" s="144"/>
      <c r="J66" s="144"/>
      <c r="K66" s="144"/>
      <c r="L66" s="144"/>
      <c r="M66" s="144"/>
      <c r="N66" s="144"/>
      <c r="O66" s="144"/>
      <c r="P66" s="144"/>
      <c r="Q66" s="144"/>
      <c r="R66" s="144"/>
      <c r="S66" s="144"/>
    </row>
    <row r="67" spans="1:19" ht="18" customHeight="1" x14ac:dyDescent="0.15">
      <c r="A67" s="144"/>
      <c r="B67" s="144"/>
      <c r="C67" s="144"/>
      <c r="D67" s="144"/>
      <c r="E67" s="144"/>
      <c r="F67" s="144"/>
      <c r="G67" s="144"/>
      <c r="H67" s="144"/>
      <c r="I67" s="144"/>
      <c r="J67" s="144"/>
      <c r="K67" s="144"/>
      <c r="L67" s="144"/>
      <c r="M67" s="144"/>
      <c r="N67" s="144"/>
      <c r="O67" s="144"/>
      <c r="P67" s="144"/>
      <c r="Q67" s="144"/>
      <c r="R67" s="144"/>
      <c r="S67" s="144"/>
    </row>
    <row r="68" spans="1:19" ht="18" customHeight="1" x14ac:dyDescent="0.15">
      <c r="B68" s="136" t="s">
        <v>53</v>
      </c>
      <c r="C68" s="116"/>
      <c r="D68" s="116"/>
      <c r="E68" s="59" t="s">
        <v>80</v>
      </c>
      <c r="F68" s="58" t="s">
        <v>84</v>
      </c>
      <c r="G68" s="20" t="s">
        <v>101</v>
      </c>
      <c r="H68" s="20" t="s">
        <v>75</v>
      </c>
      <c r="I68" s="20" t="s">
        <v>76</v>
      </c>
      <c r="J68" s="136" t="s">
        <v>53</v>
      </c>
      <c r="K68" s="116"/>
      <c r="L68" s="116"/>
      <c r="M68" s="116"/>
      <c r="N68" s="117"/>
      <c r="O68" s="59" t="s">
        <v>80</v>
      </c>
      <c r="P68" s="58" t="s">
        <v>84</v>
      </c>
      <c r="Q68" s="20" t="s">
        <v>101</v>
      </c>
      <c r="R68" s="20" t="s">
        <v>75</v>
      </c>
      <c r="S68" s="20" t="s">
        <v>76</v>
      </c>
    </row>
    <row r="69" spans="1:19" ht="18" customHeight="1" x14ac:dyDescent="0.15">
      <c r="A69" s="3"/>
      <c r="B69" s="140" t="s">
        <v>169</v>
      </c>
      <c r="C69" s="91"/>
      <c r="D69" s="91"/>
      <c r="E69" s="21">
        <v>2</v>
      </c>
      <c r="F69" s="21" t="s">
        <v>131</v>
      </c>
      <c r="G69" s="21" t="s">
        <v>131</v>
      </c>
      <c r="H69" s="21" t="s">
        <v>131</v>
      </c>
      <c r="I69" s="21" t="s">
        <v>131</v>
      </c>
      <c r="J69" s="140"/>
      <c r="K69" s="91"/>
      <c r="L69" s="91"/>
      <c r="M69" s="91"/>
      <c r="N69" s="92"/>
      <c r="O69" s="21"/>
      <c r="P69" s="21"/>
      <c r="Q69" s="21"/>
      <c r="R69" s="21"/>
      <c r="S69" s="21"/>
    </row>
    <row r="70" spans="1:19" ht="18" customHeight="1" x14ac:dyDescent="0.15">
      <c r="A70" s="3"/>
      <c r="B70" s="126"/>
      <c r="C70" s="94"/>
      <c r="D70" s="94"/>
      <c r="E70" s="22"/>
      <c r="F70" s="22"/>
      <c r="G70" s="22"/>
      <c r="H70" s="22"/>
      <c r="I70" s="22"/>
      <c r="J70" s="126"/>
      <c r="K70" s="94"/>
      <c r="L70" s="94"/>
      <c r="M70" s="94"/>
      <c r="N70" s="95"/>
      <c r="O70" s="22"/>
      <c r="P70" s="22"/>
      <c r="Q70" s="22"/>
      <c r="R70" s="22"/>
      <c r="S70" s="22"/>
    </row>
    <row r="71" spans="1:19" ht="18" customHeight="1" x14ac:dyDescent="0.15">
      <c r="A71" s="3"/>
      <c r="B71" s="126"/>
      <c r="C71" s="94"/>
      <c r="D71" s="94"/>
      <c r="E71" s="22"/>
      <c r="F71" s="22"/>
      <c r="G71" s="22"/>
      <c r="H71" s="22"/>
      <c r="I71" s="22"/>
      <c r="J71" s="126"/>
      <c r="K71" s="94"/>
      <c r="L71" s="94"/>
      <c r="M71" s="94"/>
      <c r="N71" s="95"/>
      <c r="O71" s="22"/>
      <c r="P71" s="22"/>
      <c r="Q71" s="22"/>
      <c r="R71" s="22"/>
      <c r="S71" s="22"/>
    </row>
    <row r="72" spans="1:19" ht="18" customHeight="1" x14ac:dyDescent="0.15">
      <c r="A72" s="3"/>
      <c r="B72" s="126"/>
      <c r="C72" s="94"/>
      <c r="D72" s="94"/>
      <c r="E72" s="22"/>
      <c r="F72" s="22"/>
      <c r="G72" s="22"/>
      <c r="H72" s="22"/>
      <c r="I72" s="22"/>
      <c r="J72" s="126"/>
      <c r="K72" s="94"/>
      <c r="L72" s="94"/>
      <c r="M72" s="94"/>
      <c r="N72" s="95"/>
      <c r="O72" s="22"/>
      <c r="P72" s="22"/>
      <c r="Q72" s="22"/>
      <c r="R72" s="22"/>
      <c r="S72" s="22"/>
    </row>
    <row r="73" spans="1:19" ht="18" customHeight="1" x14ac:dyDescent="0.15">
      <c r="A73" s="3"/>
      <c r="B73" s="126"/>
      <c r="C73" s="94"/>
      <c r="D73" s="94"/>
      <c r="E73" s="22"/>
      <c r="F73" s="22"/>
      <c r="G73" s="22"/>
      <c r="H73" s="22"/>
      <c r="I73" s="22"/>
      <c r="J73" s="126"/>
      <c r="K73" s="94"/>
      <c r="L73" s="94"/>
      <c r="M73" s="94"/>
      <c r="N73" s="95"/>
      <c r="O73" s="22"/>
      <c r="P73" s="22"/>
      <c r="Q73" s="22"/>
      <c r="R73" s="22"/>
      <c r="S73" s="22"/>
    </row>
    <row r="74" spans="1:19" ht="18" customHeight="1" x14ac:dyDescent="0.15">
      <c r="A74" s="3"/>
      <c r="B74" s="126"/>
      <c r="C74" s="94"/>
      <c r="D74" s="94"/>
      <c r="E74" s="22"/>
      <c r="F74" s="22"/>
      <c r="G74" s="22"/>
      <c r="H74" s="22"/>
      <c r="I74" s="22"/>
      <c r="J74" s="126"/>
      <c r="K74" s="94"/>
      <c r="L74" s="94"/>
      <c r="M74" s="94"/>
      <c r="N74" s="95"/>
      <c r="O74" s="22"/>
      <c r="P74" s="22"/>
      <c r="Q74" s="22"/>
      <c r="R74" s="22"/>
      <c r="S74" s="22"/>
    </row>
    <row r="75" spans="1:19" ht="18" customHeight="1" x14ac:dyDescent="0.15">
      <c r="A75" s="3"/>
      <c r="B75" s="130"/>
      <c r="C75" s="131"/>
      <c r="D75" s="131"/>
      <c r="E75" s="23"/>
      <c r="F75" s="23"/>
      <c r="G75" s="24"/>
      <c r="H75" s="24"/>
      <c r="I75" s="24"/>
      <c r="J75" s="130"/>
      <c r="K75" s="131"/>
      <c r="L75" s="131"/>
      <c r="M75" s="131"/>
      <c r="N75" s="132"/>
      <c r="O75" s="23"/>
      <c r="P75" s="23"/>
      <c r="Q75" s="24"/>
      <c r="R75" s="24"/>
      <c r="S75" s="24"/>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118</v>
      </c>
      <c r="H77" s="3"/>
      <c r="I77" s="3"/>
      <c r="J77" s="3"/>
      <c r="K77" s="3"/>
      <c r="L77" s="3"/>
      <c r="M77" s="3"/>
      <c r="N77" s="3"/>
      <c r="O77" s="3"/>
      <c r="P77" s="3"/>
      <c r="Q77" s="3"/>
      <c r="R77" s="3"/>
      <c r="S77" s="3"/>
    </row>
    <row r="78" spans="1:19" ht="18" customHeight="1" x14ac:dyDescent="0.15">
      <c r="B78" s="136" t="s">
        <v>53</v>
      </c>
      <c r="C78" s="116"/>
      <c r="D78" s="116"/>
      <c r="E78" s="117"/>
      <c r="F78" s="136" t="s">
        <v>82</v>
      </c>
      <c r="G78" s="116"/>
      <c r="H78" s="116"/>
      <c r="I78" s="117"/>
      <c r="J78" s="137" t="s">
        <v>53</v>
      </c>
      <c r="K78" s="138"/>
      <c r="L78" s="138"/>
      <c r="M78" s="138"/>
      <c r="N78" s="138"/>
      <c r="O78" s="139"/>
      <c r="P78" s="136" t="s">
        <v>82</v>
      </c>
      <c r="Q78" s="116"/>
      <c r="R78" s="116"/>
      <c r="S78" s="117"/>
    </row>
    <row r="79" spans="1:19" ht="18" customHeight="1" x14ac:dyDescent="0.15">
      <c r="A79" s="3"/>
      <c r="B79" s="140" t="s">
        <v>169</v>
      </c>
      <c r="C79" s="91"/>
      <c r="D79" s="91"/>
      <c r="E79" s="92"/>
      <c r="F79" s="141" t="s">
        <v>140</v>
      </c>
      <c r="G79" s="142"/>
      <c r="H79" s="142"/>
      <c r="I79" s="143"/>
      <c r="J79" s="140"/>
      <c r="K79" s="91"/>
      <c r="L79" s="91"/>
      <c r="M79" s="91"/>
      <c r="N79" s="91"/>
      <c r="O79" s="92"/>
      <c r="P79" s="141"/>
      <c r="Q79" s="142"/>
      <c r="R79" s="142"/>
      <c r="S79" s="143"/>
    </row>
    <row r="80" spans="1:19" ht="18" customHeight="1" x14ac:dyDescent="0.15">
      <c r="A80" s="3"/>
      <c r="B80" s="126" t="s">
        <v>169</v>
      </c>
      <c r="C80" s="94"/>
      <c r="D80" s="94"/>
      <c r="E80" s="95"/>
      <c r="F80" s="127" t="s">
        <v>211</v>
      </c>
      <c r="G80" s="128"/>
      <c r="H80" s="128"/>
      <c r="I80" s="129"/>
      <c r="J80" s="126"/>
      <c r="K80" s="94"/>
      <c r="L80" s="94"/>
      <c r="M80" s="94"/>
      <c r="N80" s="94"/>
      <c r="O80" s="95"/>
      <c r="P80" s="127"/>
      <c r="Q80" s="128"/>
      <c r="R80" s="128"/>
      <c r="S80" s="129"/>
    </row>
    <row r="81" spans="1:19" ht="18" customHeight="1" x14ac:dyDescent="0.15">
      <c r="A81" s="3"/>
      <c r="B81" s="126" t="s">
        <v>167</v>
      </c>
      <c r="C81" s="94"/>
      <c r="D81" s="94"/>
      <c r="E81" s="95"/>
      <c r="F81" s="127" t="s">
        <v>212</v>
      </c>
      <c r="G81" s="128"/>
      <c r="H81" s="128"/>
      <c r="I81" s="129"/>
      <c r="J81" s="126"/>
      <c r="K81" s="94"/>
      <c r="L81" s="94"/>
      <c r="M81" s="94"/>
      <c r="N81" s="94"/>
      <c r="O81" s="95"/>
      <c r="P81" s="127"/>
      <c r="Q81" s="128"/>
      <c r="R81" s="128"/>
      <c r="S81" s="129"/>
    </row>
    <row r="82" spans="1:19" ht="18" customHeight="1" x14ac:dyDescent="0.15">
      <c r="A82" s="3"/>
      <c r="B82" s="126" t="s">
        <v>210</v>
      </c>
      <c r="C82" s="94"/>
      <c r="D82" s="94"/>
      <c r="E82" s="95"/>
      <c r="F82" s="127" t="s">
        <v>213</v>
      </c>
      <c r="G82" s="128"/>
      <c r="H82" s="128"/>
      <c r="I82" s="129"/>
      <c r="J82" s="126"/>
      <c r="K82" s="94"/>
      <c r="L82" s="94"/>
      <c r="M82" s="94"/>
      <c r="N82" s="94"/>
      <c r="O82" s="95"/>
      <c r="P82" s="127"/>
      <c r="Q82" s="128"/>
      <c r="R82" s="128"/>
      <c r="S82" s="129"/>
    </row>
    <row r="83" spans="1:19" ht="18" customHeight="1" x14ac:dyDescent="0.15">
      <c r="A83" s="3"/>
      <c r="B83" s="126" t="s">
        <v>259</v>
      </c>
      <c r="C83" s="94"/>
      <c r="D83" s="94"/>
      <c r="E83" s="95"/>
      <c r="F83" s="127" t="s">
        <v>183</v>
      </c>
      <c r="G83" s="128"/>
      <c r="H83" s="128"/>
      <c r="I83" s="129"/>
      <c r="J83" s="126"/>
      <c r="K83" s="94"/>
      <c r="L83" s="94"/>
      <c r="M83" s="94"/>
      <c r="N83" s="94"/>
      <c r="O83" s="95"/>
      <c r="P83" s="127"/>
      <c r="Q83" s="128"/>
      <c r="R83" s="128"/>
      <c r="S83" s="129"/>
    </row>
    <row r="84" spans="1:19" ht="18" customHeight="1" x14ac:dyDescent="0.15">
      <c r="A84" s="3"/>
      <c r="B84" s="126" t="s">
        <v>260</v>
      </c>
      <c r="C84" s="94"/>
      <c r="D84" s="94"/>
      <c r="E84" s="95"/>
      <c r="F84" s="127" t="s">
        <v>183</v>
      </c>
      <c r="G84" s="128"/>
      <c r="H84" s="128"/>
      <c r="I84" s="129"/>
      <c r="J84" s="126"/>
      <c r="K84" s="94"/>
      <c r="L84" s="94"/>
      <c r="M84" s="94"/>
      <c r="N84" s="94"/>
      <c r="O84" s="95"/>
      <c r="P84" s="127"/>
      <c r="Q84" s="128"/>
      <c r="R84" s="128"/>
      <c r="S84" s="129"/>
    </row>
    <row r="85" spans="1:19" ht="18" customHeight="1" x14ac:dyDescent="0.15">
      <c r="A85" s="3"/>
      <c r="B85" s="130"/>
      <c r="C85" s="131"/>
      <c r="D85" s="131"/>
      <c r="E85" s="132"/>
      <c r="F85" s="133"/>
      <c r="G85" s="134"/>
      <c r="H85" s="134"/>
      <c r="I85" s="135"/>
      <c r="J85" s="130"/>
      <c r="K85" s="131"/>
      <c r="L85" s="131"/>
      <c r="M85" s="131"/>
      <c r="N85" s="131"/>
      <c r="O85" s="132"/>
      <c r="P85" s="133"/>
      <c r="Q85" s="134"/>
      <c r="R85" s="134"/>
      <c r="S85" s="135"/>
    </row>
    <row r="86" spans="1:19" ht="18" customHeight="1" x14ac:dyDescent="0.15">
      <c r="A86" s="3"/>
      <c r="B86" s="6"/>
      <c r="C86" s="6"/>
      <c r="D86" s="6"/>
      <c r="E86" s="6"/>
      <c r="F86" s="25"/>
      <c r="G86" s="25"/>
      <c r="H86" s="25"/>
      <c r="I86" s="25"/>
      <c r="J86" s="6"/>
      <c r="K86" s="6"/>
      <c r="L86" s="6"/>
      <c r="M86" s="6"/>
      <c r="N86" s="6"/>
      <c r="O86" s="6"/>
      <c r="P86" s="25"/>
      <c r="Q86" s="25"/>
      <c r="R86" s="25"/>
      <c r="S86" s="25"/>
    </row>
    <row r="87" spans="1:19" ht="18.75" customHeight="1" x14ac:dyDescent="0.15">
      <c r="A87" s="1" t="s">
        <v>119</v>
      </c>
    </row>
    <row r="88" spans="1:19" ht="18.75" customHeight="1" x14ac:dyDescent="0.15">
      <c r="B88" s="114" t="s">
        <v>54</v>
      </c>
      <c r="C88" s="115"/>
      <c r="D88" s="116" t="s">
        <v>55</v>
      </c>
      <c r="E88" s="116"/>
      <c r="F88" s="116"/>
      <c r="G88" s="116"/>
      <c r="H88" s="116"/>
      <c r="I88" s="116"/>
      <c r="J88" s="116"/>
      <c r="K88" s="116"/>
      <c r="L88" s="116"/>
      <c r="M88" s="116"/>
      <c r="N88" s="116"/>
      <c r="O88" s="116"/>
      <c r="P88" s="116"/>
      <c r="Q88" s="116"/>
      <c r="R88" s="116"/>
      <c r="S88" s="117"/>
    </row>
    <row r="89" spans="1:19" ht="97.5" customHeight="1" x14ac:dyDescent="0.15">
      <c r="B89" s="87" t="s">
        <v>61</v>
      </c>
      <c r="C89" s="26" t="s">
        <v>56</v>
      </c>
      <c r="D89" s="118" t="s">
        <v>214</v>
      </c>
      <c r="E89" s="118"/>
      <c r="F89" s="118"/>
      <c r="G89" s="118"/>
      <c r="H89" s="118"/>
      <c r="I89" s="118"/>
      <c r="J89" s="118"/>
      <c r="K89" s="118"/>
      <c r="L89" s="118"/>
      <c r="M89" s="118"/>
      <c r="N89" s="118"/>
      <c r="O89" s="118"/>
      <c r="P89" s="118"/>
      <c r="Q89" s="118"/>
      <c r="R89" s="118"/>
      <c r="S89" s="119"/>
    </row>
    <row r="90" spans="1:19" ht="97.5" customHeight="1" x14ac:dyDescent="0.15">
      <c r="B90" s="88"/>
      <c r="C90" s="27" t="s">
        <v>77</v>
      </c>
      <c r="D90" s="120" t="s">
        <v>215</v>
      </c>
      <c r="E90" s="120"/>
      <c r="F90" s="120"/>
      <c r="G90" s="120"/>
      <c r="H90" s="120"/>
      <c r="I90" s="120"/>
      <c r="J90" s="120"/>
      <c r="K90" s="120"/>
      <c r="L90" s="120"/>
      <c r="M90" s="120"/>
      <c r="N90" s="120"/>
      <c r="O90" s="120"/>
      <c r="P90" s="120"/>
      <c r="Q90" s="120"/>
      <c r="R90" s="120"/>
      <c r="S90" s="121"/>
    </row>
    <row r="91" spans="1:19" ht="97.5" customHeight="1" x14ac:dyDescent="0.15">
      <c r="B91" s="87" t="s">
        <v>62</v>
      </c>
      <c r="C91" s="28" t="s">
        <v>71</v>
      </c>
      <c r="D91" s="122" t="s">
        <v>216</v>
      </c>
      <c r="E91" s="122"/>
      <c r="F91" s="122"/>
      <c r="G91" s="122"/>
      <c r="H91" s="122"/>
      <c r="I91" s="122"/>
      <c r="J91" s="122"/>
      <c r="K91" s="122"/>
      <c r="L91" s="122"/>
      <c r="M91" s="122"/>
      <c r="N91" s="122"/>
      <c r="O91" s="122"/>
      <c r="P91" s="122"/>
      <c r="Q91" s="122"/>
      <c r="R91" s="122"/>
      <c r="S91" s="123"/>
    </row>
    <row r="92" spans="1:19" ht="97.5" customHeight="1" x14ac:dyDescent="0.15">
      <c r="B92" s="89"/>
      <c r="C92" s="29" t="s">
        <v>72</v>
      </c>
      <c r="D92" s="124" t="s">
        <v>217</v>
      </c>
      <c r="E92" s="124"/>
      <c r="F92" s="124"/>
      <c r="G92" s="124"/>
      <c r="H92" s="124"/>
      <c r="I92" s="124"/>
      <c r="J92" s="124"/>
      <c r="K92" s="124"/>
      <c r="L92" s="124"/>
      <c r="M92" s="124"/>
      <c r="N92" s="124"/>
      <c r="O92" s="124"/>
      <c r="P92" s="124"/>
      <c r="Q92" s="124"/>
      <c r="R92" s="124"/>
      <c r="S92" s="125"/>
    </row>
    <row r="93" spans="1:19" ht="97.5" customHeight="1" x14ac:dyDescent="0.15">
      <c r="B93" s="87" t="s">
        <v>63</v>
      </c>
      <c r="C93" s="28" t="s">
        <v>73</v>
      </c>
      <c r="D93" s="102" t="s">
        <v>266</v>
      </c>
      <c r="E93" s="103"/>
      <c r="F93" s="103"/>
      <c r="G93" s="103"/>
      <c r="H93" s="103"/>
      <c r="I93" s="103"/>
      <c r="J93" s="103"/>
      <c r="K93" s="103"/>
      <c r="L93" s="103"/>
      <c r="M93" s="103"/>
      <c r="N93" s="103"/>
      <c r="O93" s="103"/>
      <c r="P93" s="103"/>
      <c r="Q93" s="103"/>
      <c r="R93" s="103"/>
      <c r="S93" s="104"/>
    </row>
    <row r="94" spans="1:19" ht="97.5" customHeight="1" x14ac:dyDescent="0.15">
      <c r="B94" s="89"/>
      <c r="C94" s="30" t="s">
        <v>74</v>
      </c>
      <c r="D94" s="105" t="s">
        <v>310</v>
      </c>
      <c r="E94" s="106"/>
      <c r="F94" s="106"/>
      <c r="G94" s="106"/>
      <c r="H94" s="106"/>
      <c r="I94" s="106"/>
      <c r="J94" s="106"/>
      <c r="K94" s="106"/>
      <c r="L94" s="106"/>
      <c r="M94" s="106"/>
      <c r="N94" s="106"/>
      <c r="O94" s="106"/>
      <c r="P94" s="106"/>
      <c r="Q94" s="106"/>
      <c r="R94" s="106"/>
      <c r="S94" s="107"/>
    </row>
    <row r="95" spans="1:19" ht="97.5" customHeight="1" x14ac:dyDescent="0.15">
      <c r="B95" s="87" t="s">
        <v>78</v>
      </c>
      <c r="C95" s="26" t="s">
        <v>58</v>
      </c>
      <c r="D95" s="108" t="s">
        <v>267</v>
      </c>
      <c r="E95" s="109"/>
      <c r="F95" s="109"/>
      <c r="G95" s="109"/>
      <c r="H95" s="109"/>
      <c r="I95" s="109"/>
      <c r="J95" s="109"/>
      <c r="K95" s="109"/>
      <c r="L95" s="109"/>
      <c r="M95" s="109"/>
      <c r="N95" s="109"/>
      <c r="O95" s="109"/>
      <c r="P95" s="109"/>
      <c r="Q95" s="109"/>
      <c r="R95" s="109"/>
      <c r="S95" s="110"/>
    </row>
    <row r="96" spans="1:19" ht="97.5" customHeight="1" x14ac:dyDescent="0.15">
      <c r="B96" s="89"/>
      <c r="C96" s="29" t="s">
        <v>60</v>
      </c>
      <c r="D96" s="111" t="s">
        <v>218</v>
      </c>
      <c r="E96" s="112"/>
      <c r="F96" s="112"/>
      <c r="G96" s="112"/>
      <c r="H96" s="112"/>
      <c r="I96" s="112"/>
      <c r="J96" s="112"/>
      <c r="K96" s="112"/>
      <c r="L96" s="112"/>
      <c r="M96" s="112"/>
      <c r="N96" s="112"/>
      <c r="O96" s="112"/>
      <c r="P96" s="112"/>
      <c r="Q96" s="112"/>
      <c r="R96" s="112"/>
      <c r="S96" s="113"/>
    </row>
    <row r="97" spans="1:19" ht="97.5" customHeight="1" x14ac:dyDescent="0.15">
      <c r="B97" s="87" t="s">
        <v>79</v>
      </c>
      <c r="C97" s="28" t="s">
        <v>57</v>
      </c>
      <c r="D97" s="90" t="s">
        <v>303</v>
      </c>
      <c r="E97" s="91"/>
      <c r="F97" s="91"/>
      <c r="G97" s="91"/>
      <c r="H97" s="91"/>
      <c r="I97" s="91"/>
      <c r="J97" s="91"/>
      <c r="K97" s="91"/>
      <c r="L97" s="91"/>
      <c r="M97" s="91"/>
      <c r="N97" s="91"/>
      <c r="O97" s="91"/>
      <c r="P97" s="91"/>
      <c r="Q97" s="91"/>
      <c r="R97" s="91"/>
      <c r="S97" s="92"/>
    </row>
    <row r="98" spans="1:19" ht="97.5" customHeight="1" x14ac:dyDescent="0.15">
      <c r="B98" s="88"/>
      <c r="C98" s="31" t="s">
        <v>75</v>
      </c>
      <c r="D98" s="93" t="s">
        <v>268</v>
      </c>
      <c r="E98" s="94"/>
      <c r="F98" s="94"/>
      <c r="G98" s="94"/>
      <c r="H98" s="94"/>
      <c r="I98" s="94"/>
      <c r="J98" s="94"/>
      <c r="K98" s="94"/>
      <c r="L98" s="94"/>
      <c r="M98" s="94"/>
      <c r="N98" s="94"/>
      <c r="O98" s="94"/>
      <c r="P98" s="94"/>
      <c r="Q98" s="94"/>
      <c r="R98" s="94"/>
      <c r="S98" s="95"/>
    </row>
    <row r="99" spans="1:19" ht="97.5" customHeight="1" x14ac:dyDescent="0.15">
      <c r="B99" s="89"/>
      <c r="C99" s="30" t="s">
        <v>76</v>
      </c>
      <c r="D99" s="96" t="s">
        <v>311</v>
      </c>
      <c r="E99" s="97"/>
      <c r="F99" s="97"/>
      <c r="G99" s="97"/>
      <c r="H99" s="97"/>
      <c r="I99" s="97"/>
      <c r="J99" s="97"/>
      <c r="K99" s="97"/>
      <c r="L99" s="97"/>
      <c r="M99" s="97"/>
      <c r="N99" s="97"/>
      <c r="O99" s="97"/>
      <c r="P99" s="97"/>
      <c r="Q99" s="97"/>
      <c r="R99" s="97"/>
      <c r="S99" s="98"/>
    </row>
    <row r="100" spans="1:19" ht="6" customHeight="1" x14ac:dyDescent="0.15"/>
    <row r="101" spans="1:19" ht="18.75" customHeight="1" x14ac:dyDescent="0.15">
      <c r="A101" s="1" t="s">
        <v>120</v>
      </c>
    </row>
    <row r="102" spans="1:19" ht="81.75" customHeight="1" x14ac:dyDescent="0.15">
      <c r="B102" s="99" t="s">
        <v>191</v>
      </c>
      <c r="C102" s="100"/>
      <c r="D102" s="100"/>
      <c r="E102" s="100"/>
      <c r="F102" s="100"/>
      <c r="G102" s="100"/>
      <c r="H102" s="100"/>
      <c r="I102" s="100"/>
      <c r="J102" s="100"/>
      <c r="K102" s="100"/>
      <c r="L102" s="100"/>
      <c r="M102" s="100"/>
      <c r="N102" s="100"/>
      <c r="O102" s="100"/>
      <c r="P102" s="100"/>
      <c r="Q102" s="100"/>
      <c r="R102" s="100"/>
      <c r="S102" s="101"/>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8C8F7C81-88CC-469E-B436-EB0DBD72A43D}">
      <formula1>"○"</formula1>
    </dataValidation>
    <dataValidation type="list" allowBlank="1" showInputMessage="1" showErrorMessage="1" sqref="S32 S43 D32:G32 D43:G43" xr:uid="{F9DBFE74-3E35-4B22-B9A5-CF3BBC759B19}">
      <formula1>"全学開講,一部開講"</formula1>
    </dataValidation>
    <dataValidation type="list" allowBlank="1" showInputMessage="1" showErrorMessage="1" sqref="K7 K12" xr:uid="{1275C665-8885-4236-BB1B-83D82B3A9ABD}">
      <formula1>"学部・学科によって、修了要件は相違する,学部・学科によって、修了要件は相違しない"</formula1>
    </dataValidation>
    <dataValidation type="list" allowBlank="1" showInputMessage="1" showErrorMessage="1" sqref="F79:F86 P79:P86 G79:I80 G83:I86 Q83:S86 Q79:S80" xr:uid="{4E12C276-828D-4F1F-A2A6-8679027EC68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6A3AE5B8-05CF-41A4-ADCF-B812893E5279}">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horizontalDpi="1200" verticalDpi="1200" r:id="rId1"/>
  <headerFooter>
    <oddHeader>&amp;C数理・データサイエンス・AI教育プログラム認定制度【リテラシーレベル】</oddHeader>
  </headerFooter>
  <rowBreaks count="2" manualBreakCount="2">
    <brk id="65" max="18" man="1"/>
    <brk id="94" max="1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173FF-4911-47C4-8269-D28F363D7A88}">
  <sheetPr>
    <pageSetUpPr fitToPage="1"/>
  </sheetPr>
  <dimension ref="A1:V110"/>
  <sheetViews>
    <sheetView showZeros="0" view="pageBreakPreview" zoomScaleNormal="100" zoomScaleSheetLayoutView="100" workbookViewId="0">
      <selection activeCell="T2" sqref="T2"/>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78" t="s">
        <v>219</v>
      </c>
      <c r="S1" s="178"/>
      <c r="T1" s="2" t="s">
        <v>109</v>
      </c>
    </row>
    <row r="2" spans="1:22" ht="18.75" customHeight="1" x14ac:dyDescent="0.15">
      <c r="B2" s="32" t="s">
        <v>108</v>
      </c>
      <c r="C2" s="136" t="str">
        <f>'様式１ー１　プログラムを構成する授業科目'!C2</f>
        <v>順天堂大学</v>
      </c>
      <c r="D2" s="116"/>
      <c r="E2" s="116"/>
      <c r="F2" s="116"/>
      <c r="G2" s="116"/>
      <c r="H2" s="116"/>
      <c r="I2" s="117"/>
      <c r="J2" s="33"/>
      <c r="K2" s="6"/>
      <c r="L2" s="6"/>
      <c r="M2" s="6"/>
      <c r="N2" s="6"/>
      <c r="O2" s="6"/>
      <c r="P2" s="6"/>
      <c r="Q2" s="6"/>
      <c r="R2" s="6"/>
      <c r="S2" s="6"/>
    </row>
    <row r="3" spans="1:22" ht="18.75" customHeight="1" x14ac:dyDescent="0.15">
      <c r="B3" s="32" t="s">
        <v>102</v>
      </c>
      <c r="C3" s="136" t="str">
        <f>'様式１ー１　プログラムを構成する授業科目'!C3</f>
        <v>数理・データサイエンス・AI教育プログラム</v>
      </c>
      <c r="D3" s="116"/>
      <c r="E3" s="116"/>
      <c r="F3" s="116"/>
      <c r="G3" s="116"/>
      <c r="H3" s="116"/>
      <c r="I3" s="117"/>
      <c r="J3" s="33"/>
      <c r="K3" s="6"/>
      <c r="L3" s="6"/>
      <c r="M3" s="6"/>
      <c r="N3" s="6"/>
      <c r="O3" s="6"/>
      <c r="P3" s="6"/>
      <c r="Q3" s="6"/>
      <c r="R3" s="6"/>
      <c r="S3" s="6"/>
    </row>
    <row r="4" spans="1:22" ht="15" customHeight="1" x14ac:dyDescent="0.15">
      <c r="K4" s="33"/>
      <c r="L4" s="35"/>
      <c r="M4" s="35"/>
      <c r="N4" s="35"/>
      <c r="O4" s="35"/>
      <c r="P4" s="35"/>
      <c r="Q4" s="35"/>
      <c r="R4" s="35"/>
      <c r="S4" s="35"/>
    </row>
    <row r="5" spans="1:22" ht="18" customHeight="1" x14ac:dyDescent="0.15">
      <c r="A5" s="158" t="s">
        <v>38</v>
      </c>
      <c r="B5" s="158"/>
      <c r="C5" s="158"/>
      <c r="D5" s="158"/>
      <c r="E5" s="158"/>
      <c r="F5" s="158"/>
      <c r="G5" s="158"/>
      <c r="H5" s="158"/>
      <c r="I5" s="158"/>
      <c r="J5" s="158"/>
      <c r="K5" s="158"/>
      <c r="L5" s="158"/>
      <c r="M5" s="158"/>
      <c r="N5" s="158"/>
      <c r="O5" s="158"/>
      <c r="P5" s="158"/>
      <c r="Q5" s="158"/>
      <c r="R5" s="158"/>
      <c r="S5" s="158"/>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6" t="s">
        <v>107</v>
      </c>
      <c r="K7" s="159" t="s">
        <v>128</v>
      </c>
      <c r="L7" s="160"/>
      <c r="M7" s="160"/>
      <c r="N7" s="160"/>
      <c r="O7" s="160"/>
      <c r="P7" s="160"/>
      <c r="Q7" s="160"/>
      <c r="R7" s="160"/>
      <c r="S7" s="161"/>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79" t="s">
        <v>235</v>
      </c>
      <c r="C9" s="180"/>
      <c r="D9" s="180"/>
      <c r="E9" s="180"/>
      <c r="F9" s="180"/>
      <c r="G9" s="180"/>
      <c r="H9" s="180"/>
      <c r="I9" s="180"/>
      <c r="J9" s="180"/>
      <c r="K9" s="180"/>
      <c r="L9" s="180"/>
      <c r="M9" s="180"/>
      <c r="N9" s="180"/>
      <c r="O9" s="180"/>
      <c r="P9" s="180"/>
      <c r="Q9" s="180"/>
      <c r="R9" s="180"/>
      <c r="S9" s="181"/>
    </row>
    <row r="10" spans="1:22" ht="18" customHeight="1" x14ac:dyDescent="0.15">
      <c r="B10" s="182"/>
      <c r="C10" s="183"/>
      <c r="D10" s="183"/>
      <c r="E10" s="183"/>
      <c r="F10" s="183"/>
      <c r="G10" s="183"/>
      <c r="H10" s="183"/>
      <c r="I10" s="183"/>
      <c r="J10" s="183"/>
      <c r="K10" s="183"/>
      <c r="L10" s="183"/>
      <c r="M10" s="183"/>
      <c r="N10" s="183"/>
      <c r="O10" s="183"/>
      <c r="P10" s="183"/>
      <c r="Q10" s="183"/>
      <c r="R10" s="183"/>
      <c r="S10" s="184"/>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111</v>
      </c>
      <c r="B12" s="3"/>
      <c r="C12" s="3"/>
      <c r="D12" s="33"/>
      <c r="E12" s="33"/>
      <c r="F12" s="33"/>
      <c r="G12" s="33"/>
      <c r="H12" s="33"/>
      <c r="I12" s="33"/>
      <c r="J12" s="33"/>
      <c r="K12" s="37"/>
      <c r="L12" s="37"/>
      <c r="M12" s="37"/>
      <c r="N12" s="37"/>
      <c r="O12" s="37"/>
      <c r="P12" s="37"/>
      <c r="Q12" s="37"/>
      <c r="R12" s="37"/>
      <c r="S12" s="37"/>
    </row>
    <row r="13" spans="1:22" ht="18" customHeight="1" x14ac:dyDescent="0.15">
      <c r="B13" s="169" t="s">
        <v>299</v>
      </c>
      <c r="C13" s="170"/>
      <c r="D13" s="170"/>
      <c r="E13" s="170"/>
      <c r="F13" s="170"/>
      <c r="G13" s="170"/>
      <c r="H13" s="170"/>
      <c r="I13" s="170"/>
      <c r="J13" s="170"/>
      <c r="K13" s="170"/>
      <c r="L13" s="170"/>
      <c r="M13" s="170"/>
      <c r="N13" s="170"/>
      <c r="O13" s="170"/>
      <c r="P13" s="170"/>
      <c r="Q13" s="170"/>
      <c r="R13" s="170"/>
      <c r="S13" s="171"/>
      <c r="V13" s="1" t="s">
        <v>103</v>
      </c>
    </row>
    <row r="14" spans="1:22" ht="18" customHeight="1" x14ac:dyDescent="0.15">
      <c r="B14" s="172"/>
      <c r="C14" s="173"/>
      <c r="D14" s="173"/>
      <c r="E14" s="173"/>
      <c r="F14" s="173"/>
      <c r="G14" s="173"/>
      <c r="H14" s="173"/>
      <c r="I14" s="173"/>
      <c r="J14" s="173"/>
      <c r="K14" s="173"/>
      <c r="L14" s="173"/>
      <c r="M14" s="173"/>
      <c r="N14" s="173"/>
      <c r="O14" s="173"/>
      <c r="P14" s="173"/>
      <c r="Q14" s="173"/>
      <c r="R14" s="173"/>
      <c r="S14" s="174"/>
      <c r="V14" s="1" t="s">
        <v>110</v>
      </c>
    </row>
    <row r="15" spans="1:22" ht="18" customHeight="1" x14ac:dyDescent="0.15">
      <c r="B15" s="172"/>
      <c r="C15" s="173"/>
      <c r="D15" s="173"/>
      <c r="E15" s="173"/>
      <c r="F15" s="173"/>
      <c r="G15" s="173"/>
      <c r="H15" s="173"/>
      <c r="I15" s="173"/>
      <c r="J15" s="173"/>
      <c r="K15" s="173"/>
      <c r="L15" s="173"/>
      <c r="M15" s="173"/>
      <c r="N15" s="173"/>
      <c r="O15" s="173"/>
      <c r="P15" s="173"/>
      <c r="Q15" s="173"/>
      <c r="R15" s="173"/>
      <c r="S15" s="174"/>
      <c r="V15" s="1" t="s">
        <v>123</v>
      </c>
    </row>
    <row r="16" spans="1:22" ht="18" customHeight="1" x14ac:dyDescent="0.15">
      <c r="B16" s="172"/>
      <c r="C16" s="173"/>
      <c r="D16" s="173"/>
      <c r="E16" s="173"/>
      <c r="F16" s="173"/>
      <c r="G16" s="173"/>
      <c r="H16" s="173"/>
      <c r="I16" s="173"/>
      <c r="J16" s="173"/>
      <c r="K16" s="173"/>
      <c r="L16" s="173"/>
      <c r="M16" s="173"/>
      <c r="N16" s="173"/>
      <c r="O16" s="173"/>
      <c r="P16" s="173"/>
      <c r="Q16" s="173"/>
      <c r="R16" s="173"/>
      <c r="S16" s="174"/>
      <c r="V16" s="1" t="s">
        <v>125</v>
      </c>
    </row>
    <row r="17" spans="1:19" ht="18" customHeight="1" x14ac:dyDescent="0.15">
      <c r="B17" s="172"/>
      <c r="C17" s="173"/>
      <c r="D17" s="173"/>
      <c r="E17" s="173"/>
      <c r="F17" s="173"/>
      <c r="G17" s="173"/>
      <c r="H17" s="173"/>
      <c r="I17" s="173"/>
      <c r="J17" s="173"/>
      <c r="K17" s="173"/>
      <c r="L17" s="173"/>
      <c r="M17" s="173"/>
      <c r="N17" s="173"/>
      <c r="O17" s="173"/>
      <c r="P17" s="173"/>
      <c r="Q17" s="173"/>
      <c r="R17" s="173"/>
      <c r="S17" s="174"/>
    </row>
    <row r="18" spans="1:19" ht="18" customHeight="1" x14ac:dyDescent="0.15">
      <c r="B18" s="175"/>
      <c r="C18" s="176"/>
      <c r="D18" s="176"/>
      <c r="E18" s="176"/>
      <c r="F18" s="176"/>
      <c r="G18" s="176"/>
      <c r="H18" s="176"/>
      <c r="I18" s="176"/>
      <c r="J18" s="176"/>
      <c r="K18" s="176"/>
      <c r="L18" s="176"/>
      <c r="M18" s="176"/>
      <c r="N18" s="176"/>
      <c r="O18" s="176"/>
      <c r="P18" s="176"/>
      <c r="Q18" s="176"/>
      <c r="R18" s="176"/>
      <c r="S18" s="177"/>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188" t="s">
        <v>257</v>
      </c>
      <c r="D20" s="189"/>
      <c r="E20" s="38" t="s">
        <v>95</v>
      </c>
      <c r="G20" s="10"/>
      <c r="H20" s="3"/>
      <c r="I20" s="3"/>
      <c r="J20" s="33" t="s">
        <v>121</v>
      </c>
      <c r="K20" s="154" t="s">
        <v>110</v>
      </c>
      <c r="L20" s="155"/>
      <c r="M20" s="155"/>
      <c r="N20" s="155"/>
      <c r="O20" s="155"/>
      <c r="P20" s="155"/>
      <c r="Q20" s="155"/>
      <c r="R20" s="155"/>
      <c r="S20" s="156"/>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44" t="s">
        <v>113</v>
      </c>
      <c r="B22" s="144"/>
      <c r="C22" s="144"/>
      <c r="D22" s="144"/>
      <c r="E22" s="144"/>
      <c r="F22" s="144"/>
      <c r="G22" s="144"/>
      <c r="H22" s="144"/>
      <c r="I22" s="144"/>
      <c r="J22" s="144"/>
      <c r="K22" s="144"/>
      <c r="L22" s="144"/>
      <c r="M22" s="144"/>
      <c r="N22" s="144"/>
      <c r="O22" s="144"/>
      <c r="P22" s="144"/>
      <c r="Q22" s="144"/>
      <c r="R22" s="144"/>
      <c r="S22" s="144"/>
    </row>
    <row r="23" spans="1:19" ht="18" customHeight="1" x14ac:dyDescent="0.15">
      <c r="A23" s="144"/>
      <c r="B23" s="144"/>
      <c r="C23" s="144"/>
      <c r="D23" s="144"/>
      <c r="E23" s="144"/>
      <c r="F23" s="144"/>
      <c r="G23" s="144"/>
      <c r="H23" s="144"/>
      <c r="I23" s="144"/>
      <c r="J23" s="144"/>
      <c r="K23" s="144"/>
      <c r="L23" s="144"/>
      <c r="M23" s="144"/>
      <c r="N23" s="144"/>
      <c r="O23" s="144"/>
      <c r="P23" s="144"/>
      <c r="Q23" s="144"/>
      <c r="R23" s="144"/>
      <c r="S23" s="144"/>
    </row>
    <row r="24" spans="1:19" ht="18" customHeight="1" x14ac:dyDescent="0.15">
      <c r="B24" s="136" t="s">
        <v>53</v>
      </c>
      <c r="C24" s="116"/>
      <c r="D24" s="116"/>
      <c r="E24" s="117"/>
      <c r="F24" s="59" t="s">
        <v>80</v>
      </c>
      <c r="G24" s="58" t="s">
        <v>84</v>
      </c>
      <c r="H24" s="20" t="s">
        <v>56</v>
      </c>
      <c r="I24" s="20" t="s">
        <v>59</v>
      </c>
      <c r="J24" s="136" t="s">
        <v>53</v>
      </c>
      <c r="K24" s="116"/>
      <c r="L24" s="116"/>
      <c r="M24" s="116"/>
      <c r="N24" s="116"/>
      <c r="O24" s="117"/>
      <c r="P24" s="59" t="s">
        <v>80</v>
      </c>
      <c r="Q24" s="58" t="s">
        <v>84</v>
      </c>
      <c r="R24" s="20" t="s">
        <v>56</v>
      </c>
      <c r="S24" s="20" t="s">
        <v>59</v>
      </c>
    </row>
    <row r="25" spans="1:19" ht="18" customHeight="1" x14ac:dyDescent="0.15">
      <c r="B25" s="185" t="s">
        <v>220</v>
      </c>
      <c r="C25" s="186"/>
      <c r="D25" s="186"/>
      <c r="E25" s="187"/>
      <c r="F25" s="21">
        <v>1</v>
      </c>
      <c r="G25" s="21" t="s">
        <v>131</v>
      </c>
      <c r="H25" s="21" t="s">
        <v>131</v>
      </c>
      <c r="I25" s="21" t="s">
        <v>131</v>
      </c>
      <c r="J25" s="140"/>
      <c r="K25" s="91"/>
      <c r="L25" s="91"/>
      <c r="M25" s="91"/>
      <c r="N25" s="91"/>
      <c r="O25" s="92"/>
      <c r="P25" s="21"/>
      <c r="Q25" s="21"/>
      <c r="R25" s="21"/>
      <c r="S25" s="21"/>
    </row>
    <row r="26" spans="1:19" ht="18" customHeight="1" x14ac:dyDescent="0.15">
      <c r="B26" s="126"/>
      <c r="C26" s="94"/>
      <c r="D26" s="94"/>
      <c r="E26" s="95"/>
      <c r="F26" s="22"/>
      <c r="G26" s="22"/>
      <c r="H26" s="22"/>
      <c r="I26" s="22"/>
      <c r="J26" s="126"/>
      <c r="K26" s="94"/>
      <c r="L26" s="94"/>
      <c r="M26" s="94"/>
      <c r="N26" s="94"/>
      <c r="O26" s="95"/>
      <c r="P26" s="22"/>
      <c r="Q26" s="22"/>
      <c r="R26" s="22"/>
      <c r="S26" s="22"/>
    </row>
    <row r="27" spans="1:19" ht="18" customHeight="1" x14ac:dyDescent="0.15">
      <c r="B27" s="126"/>
      <c r="C27" s="94"/>
      <c r="D27" s="94"/>
      <c r="E27" s="95"/>
      <c r="F27" s="22"/>
      <c r="G27" s="22"/>
      <c r="H27" s="22"/>
      <c r="I27" s="22"/>
      <c r="J27" s="126"/>
      <c r="K27" s="94"/>
      <c r="L27" s="94"/>
      <c r="M27" s="94"/>
      <c r="N27" s="94"/>
      <c r="O27" s="95"/>
      <c r="P27" s="22"/>
      <c r="Q27" s="22"/>
      <c r="R27" s="22"/>
      <c r="S27" s="22"/>
    </row>
    <row r="28" spans="1:19" ht="18" customHeight="1" x14ac:dyDescent="0.15">
      <c r="B28" s="126"/>
      <c r="C28" s="94"/>
      <c r="D28" s="94"/>
      <c r="E28" s="95"/>
      <c r="F28" s="22"/>
      <c r="G28" s="22"/>
      <c r="H28" s="22"/>
      <c r="I28" s="22"/>
      <c r="J28" s="126"/>
      <c r="K28" s="94"/>
      <c r="L28" s="94"/>
      <c r="M28" s="94"/>
      <c r="N28" s="94"/>
      <c r="O28" s="95"/>
      <c r="P28" s="22"/>
      <c r="Q28" s="22"/>
      <c r="R28" s="22"/>
      <c r="S28" s="22"/>
    </row>
    <row r="29" spans="1:19" ht="18" customHeight="1" x14ac:dyDescent="0.15">
      <c r="B29" s="126"/>
      <c r="C29" s="94"/>
      <c r="D29" s="94"/>
      <c r="E29" s="95"/>
      <c r="F29" s="22"/>
      <c r="G29" s="22"/>
      <c r="H29" s="22"/>
      <c r="I29" s="22"/>
      <c r="J29" s="126"/>
      <c r="K29" s="94"/>
      <c r="L29" s="94"/>
      <c r="M29" s="94"/>
      <c r="N29" s="94"/>
      <c r="O29" s="95"/>
      <c r="P29" s="22"/>
      <c r="Q29" s="22"/>
      <c r="R29" s="22"/>
      <c r="S29" s="22"/>
    </row>
    <row r="30" spans="1:19" ht="18" customHeight="1" x14ac:dyDescent="0.15">
      <c r="A30" s="3"/>
      <c r="B30" s="126"/>
      <c r="C30" s="94"/>
      <c r="D30" s="94"/>
      <c r="E30" s="95"/>
      <c r="F30" s="22"/>
      <c r="G30" s="22"/>
      <c r="H30" s="22"/>
      <c r="I30" s="22"/>
      <c r="J30" s="126"/>
      <c r="K30" s="94"/>
      <c r="L30" s="94"/>
      <c r="M30" s="94"/>
      <c r="N30" s="94"/>
      <c r="O30" s="95"/>
      <c r="P30" s="22"/>
      <c r="Q30" s="22"/>
      <c r="R30" s="22"/>
      <c r="S30" s="22"/>
    </row>
    <row r="31" spans="1:19" ht="18" customHeight="1" x14ac:dyDescent="0.15">
      <c r="A31" s="3"/>
      <c r="B31" s="130"/>
      <c r="C31" s="131"/>
      <c r="D31" s="131"/>
      <c r="E31" s="132"/>
      <c r="F31" s="23"/>
      <c r="G31" s="23"/>
      <c r="H31" s="24"/>
      <c r="I31" s="24"/>
      <c r="J31" s="130"/>
      <c r="K31" s="131"/>
      <c r="L31" s="131"/>
      <c r="M31" s="131"/>
      <c r="N31" s="131"/>
      <c r="O31" s="132"/>
      <c r="P31" s="23"/>
      <c r="Q31" s="23"/>
      <c r="R31" s="24"/>
      <c r="S31" s="24"/>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44" t="s">
        <v>114</v>
      </c>
      <c r="B33" s="144"/>
      <c r="C33" s="144"/>
      <c r="D33" s="144"/>
      <c r="E33" s="144"/>
      <c r="F33" s="144"/>
      <c r="G33" s="144"/>
      <c r="H33" s="144"/>
      <c r="I33" s="144"/>
      <c r="J33" s="144"/>
      <c r="K33" s="144"/>
      <c r="L33" s="144"/>
      <c r="M33" s="144"/>
      <c r="N33" s="144"/>
      <c r="O33" s="144"/>
      <c r="P33" s="144"/>
      <c r="Q33" s="144"/>
      <c r="R33" s="144"/>
      <c r="S33" s="144"/>
    </row>
    <row r="34" spans="1:19" ht="18" customHeight="1" x14ac:dyDescent="0.15">
      <c r="A34" s="144"/>
      <c r="B34" s="144"/>
      <c r="C34" s="144"/>
      <c r="D34" s="144"/>
      <c r="E34" s="144"/>
      <c r="F34" s="144"/>
      <c r="G34" s="144"/>
      <c r="H34" s="144"/>
      <c r="I34" s="144"/>
      <c r="J34" s="144"/>
      <c r="K34" s="144"/>
      <c r="L34" s="144"/>
      <c r="M34" s="144"/>
      <c r="N34" s="144"/>
      <c r="O34" s="144"/>
      <c r="P34" s="144"/>
      <c r="Q34" s="144"/>
      <c r="R34" s="144"/>
      <c r="S34" s="144"/>
    </row>
    <row r="35" spans="1:19" ht="18" customHeight="1" x14ac:dyDescent="0.15">
      <c r="B35" s="136" t="s">
        <v>53</v>
      </c>
      <c r="C35" s="116"/>
      <c r="D35" s="116"/>
      <c r="E35" s="117"/>
      <c r="F35" s="59" t="s">
        <v>80</v>
      </c>
      <c r="G35" s="58" t="s">
        <v>84</v>
      </c>
      <c r="H35" s="20" t="s">
        <v>71</v>
      </c>
      <c r="I35" s="20" t="s">
        <v>72</v>
      </c>
      <c r="J35" s="136" t="s">
        <v>53</v>
      </c>
      <c r="K35" s="116"/>
      <c r="L35" s="116"/>
      <c r="M35" s="116"/>
      <c r="N35" s="116"/>
      <c r="O35" s="117"/>
      <c r="P35" s="59" t="s">
        <v>80</v>
      </c>
      <c r="Q35" s="58" t="s">
        <v>84</v>
      </c>
      <c r="R35" s="20" t="s">
        <v>71</v>
      </c>
      <c r="S35" s="20" t="s">
        <v>72</v>
      </c>
    </row>
    <row r="36" spans="1:19" ht="18" customHeight="1" x14ac:dyDescent="0.15">
      <c r="B36" s="185" t="s">
        <v>220</v>
      </c>
      <c r="C36" s="186"/>
      <c r="D36" s="186"/>
      <c r="E36" s="187"/>
      <c r="F36" s="21">
        <v>1</v>
      </c>
      <c r="G36" s="21" t="s">
        <v>131</v>
      </c>
      <c r="H36" s="21" t="s">
        <v>131</v>
      </c>
      <c r="I36" s="21" t="s">
        <v>131</v>
      </c>
      <c r="J36" s="140"/>
      <c r="K36" s="91"/>
      <c r="L36" s="91"/>
      <c r="M36" s="91"/>
      <c r="N36" s="91"/>
      <c r="O36" s="92"/>
      <c r="P36" s="21"/>
      <c r="Q36" s="21"/>
      <c r="R36" s="21"/>
      <c r="S36" s="21"/>
    </row>
    <row r="37" spans="1:19" ht="18" customHeight="1" x14ac:dyDescent="0.15">
      <c r="B37" s="126"/>
      <c r="C37" s="94"/>
      <c r="D37" s="94"/>
      <c r="E37" s="95"/>
      <c r="F37" s="22"/>
      <c r="G37" s="22"/>
      <c r="H37" s="22"/>
      <c r="I37" s="22"/>
      <c r="J37" s="126"/>
      <c r="K37" s="94"/>
      <c r="L37" s="94"/>
      <c r="M37" s="94"/>
      <c r="N37" s="94"/>
      <c r="O37" s="95"/>
      <c r="P37" s="22"/>
      <c r="Q37" s="22"/>
      <c r="R37" s="22"/>
      <c r="S37" s="22"/>
    </row>
    <row r="38" spans="1:19" ht="18" customHeight="1" x14ac:dyDescent="0.15">
      <c r="B38" s="126"/>
      <c r="C38" s="94"/>
      <c r="D38" s="94"/>
      <c r="E38" s="95"/>
      <c r="F38" s="22"/>
      <c r="G38" s="22"/>
      <c r="H38" s="22"/>
      <c r="I38" s="22"/>
      <c r="J38" s="126"/>
      <c r="K38" s="94"/>
      <c r="L38" s="94"/>
      <c r="M38" s="94"/>
      <c r="N38" s="94"/>
      <c r="O38" s="95"/>
      <c r="P38" s="22"/>
      <c r="Q38" s="22"/>
      <c r="R38" s="22"/>
      <c r="S38" s="22"/>
    </row>
    <row r="39" spans="1:19" ht="18" customHeight="1" x14ac:dyDescent="0.15">
      <c r="B39" s="126"/>
      <c r="C39" s="94"/>
      <c r="D39" s="94"/>
      <c r="E39" s="95"/>
      <c r="F39" s="22"/>
      <c r="G39" s="22"/>
      <c r="H39" s="22"/>
      <c r="I39" s="22"/>
      <c r="J39" s="126"/>
      <c r="K39" s="94"/>
      <c r="L39" s="94"/>
      <c r="M39" s="94"/>
      <c r="N39" s="94"/>
      <c r="O39" s="95"/>
      <c r="P39" s="22"/>
      <c r="Q39" s="22"/>
      <c r="R39" s="22"/>
      <c r="S39" s="22"/>
    </row>
    <row r="40" spans="1:19" ht="18" customHeight="1" x14ac:dyDescent="0.15">
      <c r="B40" s="126"/>
      <c r="C40" s="94"/>
      <c r="D40" s="94"/>
      <c r="E40" s="95"/>
      <c r="F40" s="22"/>
      <c r="G40" s="22"/>
      <c r="H40" s="22"/>
      <c r="I40" s="22"/>
      <c r="J40" s="126"/>
      <c r="K40" s="94"/>
      <c r="L40" s="94"/>
      <c r="M40" s="94"/>
      <c r="N40" s="94"/>
      <c r="O40" s="95"/>
      <c r="P40" s="22"/>
      <c r="Q40" s="22"/>
      <c r="R40" s="22"/>
      <c r="S40" s="22"/>
    </row>
    <row r="41" spans="1:19" ht="18" customHeight="1" x14ac:dyDescent="0.15">
      <c r="B41" s="126"/>
      <c r="C41" s="94"/>
      <c r="D41" s="94"/>
      <c r="E41" s="95"/>
      <c r="F41" s="22"/>
      <c r="G41" s="22"/>
      <c r="H41" s="22"/>
      <c r="I41" s="22"/>
      <c r="J41" s="126"/>
      <c r="K41" s="94"/>
      <c r="L41" s="94"/>
      <c r="M41" s="94"/>
      <c r="N41" s="94"/>
      <c r="O41" s="95"/>
      <c r="P41" s="22"/>
      <c r="Q41" s="22"/>
      <c r="R41" s="22"/>
      <c r="S41" s="22"/>
    </row>
    <row r="42" spans="1:19" ht="18" customHeight="1" x14ac:dyDescent="0.15">
      <c r="B42" s="130"/>
      <c r="C42" s="131"/>
      <c r="D42" s="131"/>
      <c r="E42" s="132"/>
      <c r="F42" s="23"/>
      <c r="G42" s="23"/>
      <c r="H42" s="24"/>
      <c r="I42" s="24"/>
      <c r="J42" s="130"/>
      <c r="K42" s="131"/>
      <c r="L42" s="131"/>
      <c r="M42" s="131"/>
      <c r="N42" s="131"/>
      <c r="O42" s="132"/>
      <c r="P42" s="23"/>
      <c r="Q42" s="23"/>
      <c r="R42" s="24"/>
      <c r="S42" s="24"/>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44" t="s">
        <v>115</v>
      </c>
      <c r="B44" s="144"/>
      <c r="C44" s="144"/>
      <c r="D44" s="144"/>
      <c r="E44" s="144"/>
      <c r="F44" s="144"/>
      <c r="G44" s="144"/>
      <c r="H44" s="144"/>
      <c r="I44" s="144"/>
      <c r="J44" s="144"/>
      <c r="K44" s="144"/>
      <c r="L44" s="144"/>
      <c r="M44" s="144"/>
      <c r="N44" s="144"/>
      <c r="O44" s="144"/>
      <c r="P44" s="144"/>
      <c r="Q44" s="144"/>
      <c r="R44" s="144"/>
      <c r="S44" s="144"/>
    </row>
    <row r="45" spans="1:19" ht="18" customHeight="1" x14ac:dyDescent="0.15">
      <c r="A45" s="144"/>
      <c r="B45" s="144"/>
      <c r="C45" s="144"/>
      <c r="D45" s="144"/>
      <c r="E45" s="144"/>
      <c r="F45" s="144"/>
      <c r="G45" s="144"/>
      <c r="H45" s="144"/>
      <c r="I45" s="144"/>
      <c r="J45" s="144"/>
      <c r="K45" s="144"/>
      <c r="L45" s="144"/>
      <c r="M45" s="144"/>
      <c r="N45" s="144"/>
      <c r="O45" s="144"/>
      <c r="P45" s="144"/>
      <c r="Q45" s="144"/>
      <c r="R45" s="144"/>
      <c r="S45" s="144"/>
    </row>
    <row r="46" spans="1:19" ht="18" customHeight="1" x14ac:dyDescent="0.15">
      <c r="B46" s="136" t="s">
        <v>53</v>
      </c>
      <c r="C46" s="116"/>
      <c r="D46" s="116"/>
      <c r="E46" s="117"/>
      <c r="F46" s="59" t="s">
        <v>80</v>
      </c>
      <c r="G46" s="58" t="s">
        <v>84</v>
      </c>
      <c r="H46" s="20" t="s">
        <v>73</v>
      </c>
      <c r="I46" s="20" t="s">
        <v>74</v>
      </c>
      <c r="J46" s="136" t="s">
        <v>53</v>
      </c>
      <c r="K46" s="116"/>
      <c r="L46" s="116"/>
      <c r="M46" s="116"/>
      <c r="N46" s="116"/>
      <c r="O46" s="117"/>
      <c r="P46" s="59" t="s">
        <v>80</v>
      </c>
      <c r="Q46" s="58" t="s">
        <v>84</v>
      </c>
      <c r="R46" s="20" t="s">
        <v>73</v>
      </c>
      <c r="S46" s="20" t="s">
        <v>74</v>
      </c>
    </row>
    <row r="47" spans="1:19" ht="18" customHeight="1" x14ac:dyDescent="0.15">
      <c r="A47" s="3"/>
      <c r="B47" s="185" t="s">
        <v>220</v>
      </c>
      <c r="C47" s="186"/>
      <c r="D47" s="186"/>
      <c r="E47" s="187"/>
      <c r="F47" s="21">
        <v>1</v>
      </c>
      <c r="G47" s="21" t="s">
        <v>131</v>
      </c>
      <c r="H47" s="21" t="s">
        <v>131</v>
      </c>
      <c r="I47" s="21" t="s">
        <v>131</v>
      </c>
      <c r="J47" s="140"/>
      <c r="K47" s="91"/>
      <c r="L47" s="91"/>
      <c r="M47" s="91"/>
      <c r="N47" s="91"/>
      <c r="O47" s="92"/>
      <c r="P47" s="21"/>
      <c r="Q47" s="21"/>
      <c r="R47" s="21"/>
      <c r="S47" s="21"/>
    </row>
    <row r="48" spans="1:19" ht="18" customHeight="1" x14ac:dyDescent="0.15">
      <c r="A48" s="3"/>
      <c r="B48" s="126"/>
      <c r="C48" s="94"/>
      <c r="D48" s="94"/>
      <c r="E48" s="95"/>
      <c r="F48" s="22"/>
      <c r="G48" s="22"/>
      <c r="H48" s="22"/>
      <c r="I48" s="22"/>
      <c r="J48" s="126"/>
      <c r="K48" s="94"/>
      <c r="L48" s="94"/>
      <c r="M48" s="94"/>
      <c r="N48" s="94"/>
      <c r="O48" s="95"/>
      <c r="P48" s="22"/>
      <c r="Q48" s="22"/>
      <c r="R48" s="22"/>
      <c r="S48" s="22"/>
    </row>
    <row r="49" spans="1:19" ht="18" customHeight="1" x14ac:dyDescent="0.15">
      <c r="A49" s="3"/>
      <c r="B49" s="126"/>
      <c r="C49" s="94"/>
      <c r="D49" s="94"/>
      <c r="E49" s="95"/>
      <c r="F49" s="22"/>
      <c r="G49" s="22"/>
      <c r="H49" s="22"/>
      <c r="I49" s="22"/>
      <c r="J49" s="126"/>
      <c r="K49" s="94"/>
      <c r="L49" s="94"/>
      <c r="M49" s="94"/>
      <c r="N49" s="94"/>
      <c r="O49" s="95"/>
      <c r="P49" s="22"/>
      <c r="Q49" s="22"/>
      <c r="R49" s="22"/>
      <c r="S49" s="22"/>
    </row>
    <row r="50" spans="1:19" ht="18" customHeight="1" x14ac:dyDescent="0.15">
      <c r="A50" s="3"/>
      <c r="B50" s="126"/>
      <c r="C50" s="94"/>
      <c r="D50" s="94"/>
      <c r="E50" s="95"/>
      <c r="F50" s="22"/>
      <c r="G50" s="22"/>
      <c r="H50" s="22"/>
      <c r="I50" s="22"/>
      <c r="J50" s="126"/>
      <c r="K50" s="94"/>
      <c r="L50" s="94"/>
      <c r="M50" s="94"/>
      <c r="N50" s="94"/>
      <c r="O50" s="95"/>
      <c r="P50" s="22"/>
      <c r="Q50" s="22"/>
      <c r="R50" s="22"/>
      <c r="S50" s="22"/>
    </row>
    <row r="51" spans="1:19" ht="18" customHeight="1" x14ac:dyDescent="0.15">
      <c r="A51" s="3"/>
      <c r="B51" s="126"/>
      <c r="C51" s="94"/>
      <c r="D51" s="94"/>
      <c r="E51" s="95"/>
      <c r="F51" s="22"/>
      <c r="G51" s="22"/>
      <c r="H51" s="22"/>
      <c r="I51" s="22"/>
      <c r="J51" s="126"/>
      <c r="K51" s="94"/>
      <c r="L51" s="94"/>
      <c r="M51" s="94"/>
      <c r="N51" s="94"/>
      <c r="O51" s="95"/>
      <c r="P51" s="22"/>
      <c r="Q51" s="22"/>
      <c r="R51" s="22"/>
      <c r="S51" s="22"/>
    </row>
    <row r="52" spans="1:19" ht="18" customHeight="1" x14ac:dyDescent="0.15">
      <c r="A52" s="3"/>
      <c r="B52" s="126"/>
      <c r="C52" s="94"/>
      <c r="D52" s="94"/>
      <c r="E52" s="95"/>
      <c r="F52" s="22"/>
      <c r="G52" s="22"/>
      <c r="H52" s="22"/>
      <c r="I52" s="22"/>
      <c r="J52" s="126"/>
      <c r="K52" s="94"/>
      <c r="L52" s="94"/>
      <c r="M52" s="94"/>
      <c r="N52" s="94"/>
      <c r="O52" s="95"/>
      <c r="P52" s="22"/>
      <c r="Q52" s="22"/>
      <c r="R52" s="22"/>
      <c r="S52" s="22"/>
    </row>
    <row r="53" spans="1:19" ht="18" customHeight="1" x14ac:dyDescent="0.15">
      <c r="A53" s="3"/>
      <c r="B53" s="130"/>
      <c r="C53" s="131"/>
      <c r="D53" s="131"/>
      <c r="E53" s="132"/>
      <c r="F53" s="23"/>
      <c r="G53" s="23"/>
      <c r="H53" s="24"/>
      <c r="I53" s="24"/>
      <c r="J53" s="130"/>
      <c r="K53" s="131"/>
      <c r="L53" s="131"/>
      <c r="M53" s="131"/>
      <c r="N53" s="131"/>
      <c r="O53" s="132"/>
      <c r="P53" s="23"/>
      <c r="Q53" s="23"/>
      <c r="R53" s="24"/>
      <c r="S53" s="24"/>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44" t="s">
        <v>116</v>
      </c>
      <c r="B55" s="144"/>
      <c r="C55" s="144"/>
      <c r="D55" s="144"/>
      <c r="E55" s="144"/>
      <c r="F55" s="144"/>
      <c r="G55" s="144"/>
      <c r="H55" s="144"/>
      <c r="I55" s="144"/>
      <c r="J55" s="144"/>
      <c r="K55" s="144"/>
      <c r="L55" s="144"/>
      <c r="M55" s="144"/>
      <c r="N55" s="144"/>
      <c r="O55" s="144"/>
      <c r="P55" s="144"/>
      <c r="Q55" s="144"/>
      <c r="R55" s="144"/>
      <c r="S55" s="144"/>
    </row>
    <row r="56" spans="1:19" ht="18" customHeight="1" x14ac:dyDescent="0.15">
      <c r="A56" s="144"/>
      <c r="B56" s="144"/>
      <c r="C56" s="144"/>
      <c r="D56" s="144"/>
      <c r="E56" s="144"/>
      <c r="F56" s="144"/>
      <c r="G56" s="144"/>
      <c r="H56" s="144"/>
      <c r="I56" s="144"/>
      <c r="J56" s="144"/>
      <c r="K56" s="144"/>
      <c r="L56" s="144"/>
      <c r="M56" s="144"/>
      <c r="N56" s="144"/>
      <c r="O56" s="144"/>
      <c r="P56" s="144"/>
      <c r="Q56" s="144"/>
      <c r="R56" s="144"/>
      <c r="S56" s="144"/>
    </row>
    <row r="57" spans="1:19" ht="18" customHeight="1" x14ac:dyDescent="0.15">
      <c r="B57" s="136" t="s">
        <v>53</v>
      </c>
      <c r="C57" s="116"/>
      <c r="D57" s="116"/>
      <c r="E57" s="117"/>
      <c r="F57" s="59" t="s">
        <v>80</v>
      </c>
      <c r="G57" s="58" t="s">
        <v>84</v>
      </c>
      <c r="H57" s="20" t="s">
        <v>58</v>
      </c>
      <c r="I57" s="20" t="s">
        <v>60</v>
      </c>
      <c r="J57" s="136" t="s">
        <v>53</v>
      </c>
      <c r="K57" s="116"/>
      <c r="L57" s="116"/>
      <c r="M57" s="116"/>
      <c r="N57" s="116"/>
      <c r="O57" s="117"/>
      <c r="P57" s="59" t="s">
        <v>80</v>
      </c>
      <c r="Q57" s="58" t="s">
        <v>84</v>
      </c>
      <c r="R57" s="20" t="s">
        <v>58</v>
      </c>
      <c r="S57" s="20" t="s">
        <v>60</v>
      </c>
    </row>
    <row r="58" spans="1:19" ht="18" customHeight="1" x14ac:dyDescent="0.15">
      <c r="A58" s="3"/>
      <c r="B58" s="140" t="s">
        <v>221</v>
      </c>
      <c r="C58" s="91"/>
      <c r="D58" s="91"/>
      <c r="E58" s="92"/>
      <c r="F58" s="21">
        <v>1</v>
      </c>
      <c r="G58" s="82"/>
      <c r="H58" s="21" t="s">
        <v>131</v>
      </c>
      <c r="I58" s="21" t="s">
        <v>131</v>
      </c>
      <c r="J58" s="140"/>
      <c r="K58" s="91"/>
      <c r="L58" s="91"/>
      <c r="M58" s="91"/>
      <c r="N58" s="91"/>
      <c r="O58" s="92"/>
      <c r="P58" s="21"/>
      <c r="Q58" s="21"/>
      <c r="R58" s="21"/>
      <c r="S58" s="21"/>
    </row>
    <row r="59" spans="1:19" ht="18" customHeight="1" x14ac:dyDescent="0.15">
      <c r="A59" s="3"/>
      <c r="B59" s="126" t="s">
        <v>261</v>
      </c>
      <c r="C59" s="94"/>
      <c r="D59" s="94"/>
      <c r="E59" s="95"/>
      <c r="F59" s="22">
        <v>2</v>
      </c>
      <c r="G59" s="81"/>
      <c r="H59" s="22" t="s">
        <v>131</v>
      </c>
      <c r="I59" s="22" t="s">
        <v>131</v>
      </c>
      <c r="J59" s="126"/>
      <c r="K59" s="94"/>
      <c r="L59" s="94"/>
      <c r="M59" s="94"/>
      <c r="N59" s="94"/>
      <c r="O59" s="95"/>
      <c r="P59" s="22"/>
      <c r="Q59" s="22"/>
      <c r="R59" s="22"/>
      <c r="S59" s="22"/>
    </row>
    <row r="60" spans="1:19" ht="18" customHeight="1" x14ac:dyDescent="0.15">
      <c r="A60" s="3"/>
      <c r="B60" s="126"/>
      <c r="C60" s="94"/>
      <c r="D60" s="94"/>
      <c r="E60" s="95"/>
      <c r="F60" s="22"/>
      <c r="G60" s="22"/>
      <c r="H60" s="22"/>
      <c r="I60" s="22"/>
      <c r="J60" s="126"/>
      <c r="K60" s="94"/>
      <c r="L60" s="94"/>
      <c r="M60" s="94"/>
      <c r="N60" s="94"/>
      <c r="O60" s="95"/>
      <c r="P60" s="22"/>
      <c r="Q60" s="22"/>
      <c r="R60" s="22"/>
      <c r="S60" s="22"/>
    </row>
    <row r="61" spans="1:19" ht="18" customHeight="1" x14ac:dyDescent="0.15">
      <c r="A61" s="3"/>
      <c r="B61" s="126"/>
      <c r="C61" s="94"/>
      <c r="D61" s="94"/>
      <c r="E61" s="95"/>
      <c r="F61" s="22"/>
      <c r="G61" s="22"/>
      <c r="H61" s="22"/>
      <c r="I61" s="22"/>
      <c r="J61" s="126"/>
      <c r="K61" s="94"/>
      <c r="L61" s="94"/>
      <c r="M61" s="94"/>
      <c r="N61" s="94"/>
      <c r="O61" s="95"/>
      <c r="P61" s="22"/>
      <c r="Q61" s="22"/>
      <c r="R61" s="22"/>
      <c r="S61" s="22"/>
    </row>
    <row r="62" spans="1:19" ht="18" customHeight="1" x14ac:dyDescent="0.15">
      <c r="A62" s="3"/>
      <c r="B62" s="126"/>
      <c r="C62" s="94"/>
      <c r="D62" s="94"/>
      <c r="E62" s="95"/>
      <c r="F62" s="22"/>
      <c r="G62" s="22"/>
      <c r="H62" s="22"/>
      <c r="I62" s="22"/>
      <c r="J62" s="126"/>
      <c r="K62" s="94"/>
      <c r="L62" s="94"/>
      <c r="M62" s="94"/>
      <c r="N62" s="94"/>
      <c r="O62" s="95"/>
      <c r="P62" s="22"/>
      <c r="Q62" s="22"/>
      <c r="R62" s="22"/>
      <c r="S62" s="22"/>
    </row>
    <row r="63" spans="1:19" ht="18" customHeight="1" x14ac:dyDescent="0.15">
      <c r="A63" s="3"/>
      <c r="B63" s="126"/>
      <c r="C63" s="94"/>
      <c r="D63" s="94"/>
      <c r="E63" s="95"/>
      <c r="F63" s="22"/>
      <c r="G63" s="22"/>
      <c r="H63" s="22"/>
      <c r="I63" s="22"/>
      <c r="J63" s="126"/>
      <c r="K63" s="94"/>
      <c r="L63" s="94"/>
      <c r="M63" s="94"/>
      <c r="N63" s="94"/>
      <c r="O63" s="95"/>
      <c r="P63" s="22"/>
      <c r="Q63" s="22"/>
      <c r="R63" s="22"/>
      <c r="S63" s="22"/>
    </row>
    <row r="64" spans="1:19" ht="18" customHeight="1" x14ac:dyDescent="0.15">
      <c r="A64" s="3"/>
      <c r="B64" s="130"/>
      <c r="C64" s="131"/>
      <c r="D64" s="131"/>
      <c r="E64" s="132"/>
      <c r="F64" s="23"/>
      <c r="G64" s="23"/>
      <c r="H64" s="24"/>
      <c r="I64" s="24"/>
      <c r="J64" s="130"/>
      <c r="K64" s="131"/>
      <c r="L64" s="131"/>
      <c r="M64" s="131"/>
      <c r="N64" s="131"/>
      <c r="O64" s="132"/>
      <c r="P64" s="23"/>
      <c r="Q64" s="23"/>
      <c r="R64" s="24"/>
      <c r="S64" s="24"/>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44" t="s">
        <v>117</v>
      </c>
      <c r="B66" s="144"/>
      <c r="C66" s="144"/>
      <c r="D66" s="144"/>
      <c r="E66" s="144"/>
      <c r="F66" s="144"/>
      <c r="G66" s="144"/>
      <c r="H66" s="144"/>
      <c r="I66" s="144"/>
      <c r="J66" s="144"/>
      <c r="K66" s="144"/>
      <c r="L66" s="144"/>
      <c r="M66" s="144"/>
      <c r="N66" s="144"/>
      <c r="O66" s="144"/>
      <c r="P66" s="144"/>
      <c r="Q66" s="144"/>
      <c r="R66" s="144"/>
      <c r="S66" s="144"/>
    </row>
    <row r="67" spans="1:19" ht="18" customHeight="1" x14ac:dyDescent="0.15">
      <c r="A67" s="144"/>
      <c r="B67" s="144"/>
      <c r="C67" s="144"/>
      <c r="D67" s="144"/>
      <c r="E67" s="144"/>
      <c r="F67" s="144"/>
      <c r="G67" s="144"/>
      <c r="H67" s="144"/>
      <c r="I67" s="144"/>
      <c r="J67" s="144"/>
      <c r="K67" s="144"/>
      <c r="L67" s="144"/>
      <c r="M67" s="144"/>
      <c r="N67" s="144"/>
      <c r="O67" s="144"/>
      <c r="P67" s="144"/>
      <c r="Q67" s="144"/>
      <c r="R67" s="144"/>
      <c r="S67" s="144"/>
    </row>
    <row r="68" spans="1:19" ht="18" customHeight="1" x14ac:dyDescent="0.15">
      <c r="B68" s="136" t="s">
        <v>53</v>
      </c>
      <c r="C68" s="116"/>
      <c r="D68" s="116"/>
      <c r="E68" s="59" t="s">
        <v>80</v>
      </c>
      <c r="F68" s="58" t="s">
        <v>84</v>
      </c>
      <c r="G68" s="20" t="s">
        <v>101</v>
      </c>
      <c r="H68" s="20" t="s">
        <v>75</v>
      </c>
      <c r="I68" s="20" t="s">
        <v>76</v>
      </c>
      <c r="J68" s="136" t="s">
        <v>53</v>
      </c>
      <c r="K68" s="116"/>
      <c r="L68" s="116"/>
      <c r="M68" s="116"/>
      <c r="N68" s="117"/>
      <c r="O68" s="59" t="s">
        <v>80</v>
      </c>
      <c r="P68" s="58" t="s">
        <v>84</v>
      </c>
      <c r="Q68" s="20" t="s">
        <v>101</v>
      </c>
      <c r="R68" s="20" t="s">
        <v>75</v>
      </c>
      <c r="S68" s="20" t="s">
        <v>76</v>
      </c>
    </row>
    <row r="69" spans="1:19" ht="18" customHeight="1" x14ac:dyDescent="0.15">
      <c r="A69" s="3"/>
      <c r="B69" s="185" t="s">
        <v>220</v>
      </c>
      <c r="C69" s="186"/>
      <c r="D69" s="186"/>
      <c r="E69" s="21">
        <v>1</v>
      </c>
      <c r="F69" s="21" t="s">
        <v>131</v>
      </c>
      <c r="G69" s="21"/>
      <c r="H69" s="21" t="s">
        <v>131</v>
      </c>
      <c r="I69" s="21" t="s">
        <v>131</v>
      </c>
      <c r="J69" s="140"/>
      <c r="K69" s="91"/>
      <c r="L69" s="91"/>
      <c r="M69" s="91"/>
      <c r="N69" s="92"/>
      <c r="O69" s="21"/>
      <c r="P69" s="21"/>
      <c r="Q69" s="21"/>
      <c r="R69" s="21"/>
      <c r="S69" s="21"/>
    </row>
    <row r="70" spans="1:19" ht="18" customHeight="1" x14ac:dyDescent="0.15">
      <c r="A70" s="3"/>
      <c r="B70" s="126" t="s">
        <v>262</v>
      </c>
      <c r="C70" s="94"/>
      <c r="D70" s="94"/>
      <c r="E70" s="22">
        <v>1</v>
      </c>
      <c r="F70" s="81"/>
      <c r="G70" s="22" t="s">
        <v>131</v>
      </c>
      <c r="H70" s="22"/>
      <c r="I70" s="81"/>
      <c r="J70" s="126"/>
      <c r="K70" s="94"/>
      <c r="L70" s="94"/>
      <c r="M70" s="94"/>
      <c r="N70" s="95"/>
      <c r="O70" s="22"/>
      <c r="P70" s="22"/>
      <c r="Q70" s="22"/>
      <c r="R70" s="22"/>
      <c r="S70" s="22"/>
    </row>
    <row r="71" spans="1:19" ht="18" customHeight="1" x14ac:dyDescent="0.15">
      <c r="A71" s="3"/>
      <c r="B71" s="126" t="s">
        <v>263</v>
      </c>
      <c r="C71" s="94"/>
      <c r="D71" s="94"/>
      <c r="E71" s="22">
        <v>1</v>
      </c>
      <c r="F71" s="81"/>
      <c r="G71" s="81"/>
      <c r="H71" s="22" t="s">
        <v>131</v>
      </c>
      <c r="I71" s="22"/>
      <c r="J71" s="126"/>
      <c r="K71" s="94"/>
      <c r="L71" s="94"/>
      <c r="M71" s="94"/>
      <c r="N71" s="95"/>
      <c r="O71" s="22"/>
      <c r="P71" s="22"/>
      <c r="Q71" s="22"/>
      <c r="R71" s="22"/>
      <c r="S71" s="22"/>
    </row>
    <row r="72" spans="1:19" ht="18" customHeight="1" x14ac:dyDescent="0.15">
      <c r="A72" s="3"/>
      <c r="B72" s="126" t="s">
        <v>264</v>
      </c>
      <c r="C72" s="94"/>
      <c r="D72" s="94"/>
      <c r="E72" s="22">
        <v>2</v>
      </c>
      <c r="F72" s="22"/>
      <c r="G72" s="22" t="s">
        <v>131</v>
      </c>
      <c r="H72" s="22"/>
      <c r="I72" s="22" t="s">
        <v>131</v>
      </c>
      <c r="J72" s="126"/>
      <c r="K72" s="94"/>
      <c r="L72" s="94"/>
      <c r="M72" s="94"/>
      <c r="N72" s="95"/>
      <c r="O72" s="22"/>
      <c r="P72" s="22"/>
      <c r="Q72" s="22"/>
      <c r="R72" s="22"/>
      <c r="S72" s="22"/>
    </row>
    <row r="73" spans="1:19" ht="18" customHeight="1" x14ac:dyDescent="0.15">
      <c r="A73" s="3"/>
      <c r="B73" s="126"/>
      <c r="C73" s="94"/>
      <c r="D73" s="94"/>
      <c r="E73" s="22"/>
      <c r="F73" s="22"/>
      <c r="G73" s="22"/>
      <c r="H73" s="22"/>
      <c r="I73" s="22"/>
      <c r="J73" s="126"/>
      <c r="K73" s="94"/>
      <c r="L73" s="94"/>
      <c r="M73" s="94"/>
      <c r="N73" s="95"/>
      <c r="O73" s="22"/>
      <c r="P73" s="22"/>
      <c r="Q73" s="22"/>
      <c r="R73" s="22"/>
      <c r="S73" s="22"/>
    </row>
    <row r="74" spans="1:19" ht="18" customHeight="1" x14ac:dyDescent="0.15">
      <c r="A74" s="3"/>
      <c r="B74" s="126"/>
      <c r="C74" s="94"/>
      <c r="D74" s="94"/>
      <c r="E74" s="22"/>
      <c r="F74" s="22"/>
      <c r="G74" s="22"/>
      <c r="H74" s="22"/>
      <c r="I74" s="22"/>
      <c r="J74" s="126"/>
      <c r="K74" s="94"/>
      <c r="L74" s="94"/>
      <c r="M74" s="94"/>
      <c r="N74" s="95"/>
      <c r="O74" s="22"/>
      <c r="P74" s="22"/>
      <c r="Q74" s="22"/>
      <c r="R74" s="22"/>
      <c r="S74" s="22"/>
    </row>
    <row r="75" spans="1:19" ht="18" customHeight="1" x14ac:dyDescent="0.15">
      <c r="A75" s="3"/>
      <c r="B75" s="130"/>
      <c r="C75" s="131"/>
      <c r="D75" s="131"/>
      <c r="E75" s="23"/>
      <c r="F75" s="23"/>
      <c r="G75" s="24"/>
      <c r="H75" s="24"/>
      <c r="I75" s="24"/>
      <c r="J75" s="130"/>
      <c r="K75" s="131"/>
      <c r="L75" s="131"/>
      <c r="M75" s="131"/>
      <c r="N75" s="132"/>
      <c r="O75" s="23"/>
      <c r="P75" s="23"/>
      <c r="Q75" s="24"/>
      <c r="R75" s="24"/>
      <c r="S75" s="24"/>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118</v>
      </c>
      <c r="H77" s="3"/>
      <c r="I77" s="3"/>
      <c r="J77" s="3"/>
      <c r="K77" s="3"/>
      <c r="L77" s="3"/>
      <c r="M77" s="3"/>
      <c r="N77" s="3"/>
      <c r="O77" s="3"/>
      <c r="P77" s="3"/>
      <c r="Q77" s="3"/>
      <c r="R77" s="3"/>
      <c r="S77" s="3"/>
    </row>
    <row r="78" spans="1:19" ht="18" customHeight="1" x14ac:dyDescent="0.15">
      <c r="B78" s="136" t="s">
        <v>53</v>
      </c>
      <c r="C78" s="116"/>
      <c r="D78" s="116"/>
      <c r="E78" s="117"/>
      <c r="F78" s="136" t="s">
        <v>82</v>
      </c>
      <c r="G78" s="116"/>
      <c r="H78" s="116"/>
      <c r="I78" s="117"/>
      <c r="J78" s="137" t="s">
        <v>53</v>
      </c>
      <c r="K78" s="138"/>
      <c r="L78" s="138"/>
      <c r="M78" s="138"/>
      <c r="N78" s="138"/>
      <c r="O78" s="139"/>
      <c r="P78" s="136" t="s">
        <v>82</v>
      </c>
      <c r="Q78" s="116"/>
      <c r="R78" s="116"/>
      <c r="S78" s="117"/>
    </row>
    <row r="79" spans="1:19" ht="18" customHeight="1" x14ac:dyDescent="0.15">
      <c r="A79" s="3"/>
      <c r="B79" s="140" t="s">
        <v>262</v>
      </c>
      <c r="C79" s="91"/>
      <c r="D79" s="91"/>
      <c r="E79" s="92"/>
      <c r="F79" s="141" t="s">
        <v>139</v>
      </c>
      <c r="G79" s="142"/>
      <c r="H79" s="142"/>
      <c r="I79" s="143"/>
      <c r="J79" s="140"/>
      <c r="K79" s="91"/>
      <c r="L79" s="91"/>
      <c r="M79" s="91"/>
      <c r="N79" s="91"/>
      <c r="O79" s="92"/>
      <c r="P79" s="141"/>
      <c r="Q79" s="142"/>
      <c r="R79" s="142"/>
      <c r="S79" s="143"/>
    </row>
    <row r="80" spans="1:19" ht="18" customHeight="1" x14ac:dyDescent="0.15">
      <c r="A80" s="3"/>
      <c r="B80" s="126" t="s">
        <v>263</v>
      </c>
      <c r="C80" s="94"/>
      <c r="D80" s="94"/>
      <c r="E80" s="95"/>
      <c r="F80" s="127" t="s">
        <v>140</v>
      </c>
      <c r="G80" s="128"/>
      <c r="H80" s="128"/>
      <c r="I80" s="129"/>
      <c r="J80" s="126"/>
      <c r="K80" s="94"/>
      <c r="L80" s="94"/>
      <c r="M80" s="94"/>
      <c r="N80" s="94"/>
      <c r="O80" s="95"/>
      <c r="P80" s="127"/>
      <c r="Q80" s="128"/>
      <c r="R80" s="128"/>
      <c r="S80" s="129"/>
    </row>
    <row r="81" spans="1:19" ht="18" customHeight="1" x14ac:dyDescent="0.15">
      <c r="A81" s="3"/>
      <c r="B81" s="126" t="s">
        <v>263</v>
      </c>
      <c r="C81" s="94"/>
      <c r="D81" s="94"/>
      <c r="E81" s="95"/>
      <c r="F81" s="127" t="s">
        <v>228</v>
      </c>
      <c r="G81" s="128"/>
      <c r="H81" s="128"/>
      <c r="I81" s="129"/>
      <c r="J81" s="126"/>
      <c r="K81" s="94"/>
      <c r="L81" s="94"/>
      <c r="M81" s="94"/>
      <c r="N81" s="94"/>
      <c r="O81" s="95"/>
      <c r="P81" s="127"/>
      <c r="Q81" s="128"/>
      <c r="R81" s="128"/>
      <c r="S81" s="129"/>
    </row>
    <row r="82" spans="1:19" ht="18" customHeight="1" x14ac:dyDescent="0.15">
      <c r="A82" s="3"/>
      <c r="B82" s="126"/>
      <c r="C82" s="94"/>
      <c r="D82" s="94"/>
      <c r="E82" s="95"/>
      <c r="F82" s="127"/>
      <c r="G82" s="128"/>
      <c r="H82" s="128"/>
      <c r="I82" s="129"/>
      <c r="J82" s="126"/>
      <c r="K82" s="94"/>
      <c r="L82" s="94"/>
      <c r="M82" s="94"/>
      <c r="N82" s="94"/>
      <c r="O82" s="95"/>
      <c r="P82" s="127"/>
      <c r="Q82" s="128"/>
      <c r="R82" s="128"/>
      <c r="S82" s="129"/>
    </row>
    <row r="83" spans="1:19" ht="18" customHeight="1" x14ac:dyDescent="0.15">
      <c r="A83" s="3"/>
      <c r="B83" s="126"/>
      <c r="C83" s="94"/>
      <c r="D83" s="94"/>
      <c r="E83" s="95"/>
      <c r="F83" s="127"/>
      <c r="G83" s="128"/>
      <c r="H83" s="128"/>
      <c r="I83" s="129"/>
      <c r="J83" s="126"/>
      <c r="K83" s="94"/>
      <c r="L83" s="94"/>
      <c r="M83" s="94"/>
      <c r="N83" s="94"/>
      <c r="O83" s="95"/>
      <c r="P83" s="127"/>
      <c r="Q83" s="128"/>
      <c r="R83" s="128"/>
      <c r="S83" s="129"/>
    </row>
    <row r="84" spans="1:19" ht="18" customHeight="1" x14ac:dyDescent="0.15">
      <c r="A84" s="3"/>
      <c r="B84" s="126"/>
      <c r="C84" s="94"/>
      <c r="D84" s="94"/>
      <c r="E84" s="95"/>
      <c r="F84" s="127"/>
      <c r="G84" s="128"/>
      <c r="H84" s="128"/>
      <c r="I84" s="129"/>
      <c r="J84" s="126"/>
      <c r="K84" s="94"/>
      <c r="L84" s="94"/>
      <c r="M84" s="94"/>
      <c r="N84" s="94"/>
      <c r="O84" s="95"/>
      <c r="P84" s="127"/>
      <c r="Q84" s="128"/>
      <c r="R84" s="128"/>
      <c r="S84" s="129"/>
    </row>
    <row r="85" spans="1:19" ht="18" customHeight="1" x14ac:dyDescent="0.15">
      <c r="A85" s="3"/>
      <c r="B85" s="130"/>
      <c r="C85" s="131"/>
      <c r="D85" s="131"/>
      <c r="E85" s="132"/>
      <c r="F85" s="133"/>
      <c r="G85" s="134"/>
      <c r="H85" s="134"/>
      <c r="I85" s="135"/>
      <c r="J85" s="130"/>
      <c r="K85" s="131"/>
      <c r="L85" s="131"/>
      <c r="M85" s="131"/>
      <c r="N85" s="131"/>
      <c r="O85" s="132"/>
      <c r="P85" s="133"/>
      <c r="Q85" s="134"/>
      <c r="R85" s="134"/>
      <c r="S85" s="135"/>
    </row>
    <row r="86" spans="1:19" ht="18" customHeight="1" x14ac:dyDescent="0.15">
      <c r="A86" s="3"/>
      <c r="B86" s="6"/>
      <c r="C86" s="6"/>
      <c r="D86" s="6"/>
      <c r="E86" s="6"/>
      <c r="F86" s="25"/>
      <c r="G86" s="25"/>
      <c r="H86" s="25"/>
      <c r="I86" s="25"/>
      <c r="J86" s="6"/>
      <c r="K86" s="6"/>
      <c r="L86" s="6"/>
      <c r="M86" s="6"/>
      <c r="N86" s="6"/>
      <c r="O86" s="6"/>
      <c r="P86" s="25"/>
      <c r="Q86" s="25"/>
      <c r="R86" s="25"/>
      <c r="S86" s="25"/>
    </row>
    <row r="87" spans="1:19" ht="18.75" customHeight="1" x14ac:dyDescent="0.15">
      <c r="A87" s="1" t="s">
        <v>119</v>
      </c>
    </row>
    <row r="88" spans="1:19" ht="18.75" customHeight="1" x14ac:dyDescent="0.15">
      <c r="B88" s="114" t="s">
        <v>54</v>
      </c>
      <c r="C88" s="115"/>
      <c r="D88" s="116" t="s">
        <v>55</v>
      </c>
      <c r="E88" s="116"/>
      <c r="F88" s="116"/>
      <c r="G88" s="116"/>
      <c r="H88" s="116"/>
      <c r="I88" s="116"/>
      <c r="J88" s="116"/>
      <c r="K88" s="116"/>
      <c r="L88" s="116"/>
      <c r="M88" s="116"/>
      <c r="N88" s="116"/>
      <c r="O88" s="116"/>
      <c r="P88" s="116"/>
      <c r="Q88" s="116"/>
      <c r="R88" s="116"/>
      <c r="S88" s="117"/>
    </row>
    <row r="89" spans="1:19" ht="97.5" customHeight="1" x14ac:dyDescent="0.15">
      <c r="B89" s="87" t="s">
        <v>61</v>
      </c>
      <c r="C89" s="26" t="s">
        <v>56</v>
      </c>
      <c r="D89" s="118" t="s">
        <v>222</v>
      </c>
      <c r="E89" s="118"/>
      <c r="F89" s="118"/>
      <c r="G89" s="118"/>
      <c r="H89" s="118"/>
      <c r="I89" s="118"/>
      <c r="J89" s="118"/>
      <c r="K89" s="118"/>
      <c r="L89" s="118"/>
      <c r="M89" s="118"/>
      <c r="N89" s="118"/>
      <c r="O89" s="118"/>
      <c r="P89" s="118"/>
      <c r="Q89" s="118"/>
      <c r="R89" s="118"/>
      <c r="S89" s="119"/>
    </row>
    <row r="90" spans="1:19" ht="97.5" customHeight="1" x14ac:dyDescent="0.15">
      <c r="B90" s="88"/>
      <c r="C90" s="27" t="s">
        <v>77</v>
      </c>
      <c r="D90" s="120" t="s">
        <v>223</v>
      </c>
      <c r="E90" s="120"/>
      <c r="F90" s="120"/>
      <c r="G90" s="120"/>
      <c r="H90" s="120"/>
      <c r="I90" s="120"/>
      <c r="J90" s="120"/>
      <c r="K90" s="120"/>
      <c r="L90" s="120"/>
      <c r="M90" s="120"/>
      <c r="N90" s="120"/>
      <c r="O90" s="120"/>
      <c r="P90" s="120"/>
      <c r="Q90" s="120"/>
      <c r="R90" s="120"/>
      <c r="S90" s="121"/>
    </row>
    <row r="91" spans="1:19" ht="97.5" customHeight="1" x14ac:dyDescent="0.15">
      <c r="B91" s="87" t="s">
        <v>62</v>
      </c>
      <c r="C91" s="28" t="s">
        <v>71</v>
      </c>
      <c r="D91" s="122" t="s">
        <v>224</v>
      </c>
      <c r="E91" s="122"/>
      <c r="F91" s="122"/>
      <c r="G91" s="122"/>
      <c r="H91" s="122"/>
      <c r="I91" s="122"/>
      <c r="J91" s="122"/>
      <c r="K91" s="122"/>
      <c r="L91" s="122"/>
      <c r="M91" s="122"/>
      <c r="N91" s="122"/>
      <c r="O91" s="122"/>
      <c r="P91" s="122"/>
      <c r="Q91" s="122"/>
      <c r="R91" s="122"/>
      <c r="S91" s="123"/>
    </row>
    <row r="92" spans="1:19" ht="97.5" customHeight="1" x14ac:dyDescent="0.15">
      <c r="B92" s="89"/>
      <c r="C92" s="29" t="s">
        <v>72</v>
      </c>
      <c r="D92" s="124" t="s">
        <v>225</v>
      </c>
      <c r="E92" s="124"/>
      <c r="F92" s="124"/>
      <c r="G92" s="124"/>
      <c r="H92" s="124"/>
      <c r="I92" s="124"/>
      <c r="J92" s="124"/>
      <c r="K92" s="124"/>
      <c r="L92" s="124"/>
      <c r="M92" s="124"/>
      <c r="N92" s="124"/>
      <c r="O92" s="124"/>
      <c r="P92" s="124"/>
      <c r="Q92" s="124"/>
      <c r="R92" s="124"/>
      <c r="S92" s="125"/>
    </row>
    <row r="93" spans="1:19" ht="97.5" customHeight="1" x14ac:dyDescent="0.15">
      <c r="B93" s="87" t="s">
        <v>63</v>
      </c>
      <c r="C93" s="28" t="s">
        <v>73</v>
      </c>
      <c r="D93" s="102" t="s">
        <v>226</v>
      </c>
      <c r="E93" s="103"/>
      <c r="F93" s="103"/>
      <c r="G93" s="103"/>
      <c r="H93" s="103"/>
      <c r="I93" s="103"/>
      <c r="J93" s="103"/>
      <c r="K93" s="103"/>
      <c r="L93" s="103"/>
      <c r="M93" s="103"/>
      <c r="N93" s="103"/>
      <c r="O93" s="103"/>
      <c r="P93" s="103"/>
      <c r="Q93" s="103"/>
      <c r="R93" s="103"/>
      <c r="S93" s="104"/>
    </row>
    <row r="94" spans="1:19" ht="97.5" customHeight="1" x14ac:dyDescent="0.15">
      <c r="B94" s="89"/>
      <c r="C94" s="30" t="s">
        <v>74</v>
      </c>
      <c r="D94" s="105" t="s">
        <v>227</v>
      </c>
      <c r="E94" s="106"/>
      <c r="F94" s="106"/>
      <c r="G94" s="106"/>
      <c r="H94" s="106"/>
      <c r="I94" s="106"/>
      <c r="J94" s="106"/>
      <c r="K94" s="106"/>
      <c r="L94" s="106"/>
      <c r="M94" s="106"/>
      <c r="N94" s="106"/>
      <c r="O94" s="106"/>
      <c r="P94" s="106"/>
      <c r="Q94" s="106"/>
      <c r="R94" s="106"/>
      <c r="S94" s="107"/>
    </row>
    <row r="95" spans="1:19" ht="97.5" customHeight="1" x14ac:dyDescent="0.15">
      <c r="B95" s="87" t="s">
        <v>78</v>
      </c>
      <c r="C95" s="26" t="s">
        <v>58</v>
      </c>
      <c r="D95" s="108" t="s">
        <v>258</v>
      </c>
      <c r="E95" s="109"/>
      <c r="F95" s="109"/>
      <c r="G95" s="109"/>
      <c r="H95" s="109"/>
      <c r="I95" s="109"/>
      <c r="J95" s="109"/>
      <c r="K95" s="109"/>
      <c r="L95" s="109"/>
      <c r="M95" s="109"/>
      <c r="N95" s="109"/>
      <c r="O95" s="109"/>
      <c r="P95" s="109"/>
      <c r="Q95" s="109"/>
      <c r="R95" s="109"/>
      <c r="S95" s="110"/>
    </row>
    <row r="96" spans="1:19" ht="97.5" customHeight="1" x14ac:dyDescent="0.15">
      <c r="B96" s="89"/>
      <c r="C96" s="29" t="s">
        <v>60</v>
      </c>
      <c r="D96" s="111" t="s">
        <v>265</v>
      </c>
      <c r="E96" s="112"/>
      <c r="F96" s="112"/>
      <c r="G96" s="112"/>
      <c r="H96" s="112"/>
      <c r="I96" s="112"/>
      <c r="J96" s="112"/>
      <c r="K96" s="112"/>
      <c r="L96" s="112"/>
      <c r="M96" s="112"/>
      <c r="N96" s="112"/>
      <c r="O96" s="112"/>
      <c r="P96" s="112"/>
      <c r="Q96" s="112"/>
      <c r="R96" s="112"/>
      <c r="S96" s="113"/>
    </row>
    <row r="97" spans="1:19" ht="97.5" customHeight="1" x14ac:dyDescent="0.15">
      <c r="B97" s="87" t="s">
        <v>79</v>
      </c>
      <c r="C97" s="28" t="s">
        <v>57</v>
      </c>
      <c r="D97" s="90" t="s">
        <v>295</v>
      </c>
      <c r="E97" s="91"/>
      <c r="F97" s="91"/>
      <c r="G97" s="91"/>
      <c r="H97" s="91"/>
      <c r="I97" s="91"/>
      <c r="J97" s="91"/>
      <c r="K97" s="91"/>
      <c r="L97" s="91"/>
      <c r="M97" s="91"/>
      <c r="N97" s="91"/>
      <c r="O97" s="91"/>
      <c r="P97" s="91"/>
      <c r="Q97" s="91"/>
      <c r="R97" s="91"/>
      <c r="S97" s="92"/>
    </row>
    <row r="98" spans="1:19" ht="97.5" customHeight="1" x14ac:dyDescent="0.15">
      <c r="B98" s="88"/>
      <c r="C98" s="31" t="s">
        <v>75</v>
      </c>
      <c r="D98" s="93" t="s">
        <v>296</v>
      </c>
      <c r="E98" s="94"/>
      <c r="F98" s="94"/>
      <c r="G98" s="94"/>
      <c r="H98" s="94"/>
      <c r="I98" s="94"/>
      <c r="J98" s="94"/>
      <c r="K98" s="94"/>
      <c r="L98" s="94"/>
      <c r="M98" s="94"/>
      <c r="N98" s="94"/>
      <c r="O98" s="94"/>
      <c r="P98" s="94"/>
      <c r="Q98" s="94"/>
      <c r="R98" s="94"/>
      <c r="S98" s="95"/>
    </row>
    <row r="99" spans="1:19" ht="100.5" customHeight="1" x14ac:dyDescent="0.15">
      <c r="B99" s="89"/>
      <c r="C99" s="30" t="s">
        <v>76</v>
      </c>
      <c r="D99" s="96" t="s">
        <v>275</v>
      </c>
      <c r="E99" s="97"/>
      <c r="F99" s="97"/>
      <c r="G99" s="97"/>
      <c r="H99" s="97"/>
      <c r="I99" s="97"/>
      <c r="J99" s="97"/>
      <c r="K99" s="97"/>
      <c r="L99" s="97"/>
      <c r="M99" s="97"/>
      <c r="N99" s="97"/>
      <c r="O99" s="97"/>
      <c r="P99" s="97"/>
      <c r="Q99" s="97"/>
      <c r="R99" s="97"/>
      <c r="S99" s="98"/>
    </row>
    <row r="100" spans="1:19" ht="6" customHeight="1" x14ac:dyDescent="0.15"/>
    <row r="101" spans="1:19" ht="18.75" customHeight="1" x14ac:dyDescent="0.15">
      <c r="A101" s="1" t="s">
        <v>120</v>
      </c>
    </row>
    <row r="102" spans="1:19" ht="81.75" customHeight="1" x14ac:dyDescent="0.15">
      <c r="B102" s="99" t="s">
        <v>191</v>
      </c>
      <c r="C102" s="100"/>
      <c r="D102" s="100"/>
      <c r="E102" s="100"/>
      <c r="F102" s="100"/>
      <c r="G102" s="100"/>
      <c r="H102" s="100"/>
      <c r="I102" s="100"/>
      <c r="J102" s="100"/>
      <c r="K102" s="100"/>
      <c r="L102" s="100"/>
      <c r="M102" s="100"/>
      <c r="N102" s="100"/>
      <c r="O102" s="100"/>
      <c r="P102" s="100"/>
      <c r="Q102" s="100"/>
      <c r="R102" s="100"/>
      <c r="S102" s="101"/>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626AAEEE-531C-42F9-AD6A-6A4687546B16}">
      <formula1>"○"</formula1>
    </dataValidation>
    <dataValidation type="list" allowBlank="1" showInputMessage="1" showErrorMessage="1" sqref="S32 S43 D32:G32 D43:G43" xr:uid="{E67A43FD-E4DC-43A6-A14C-0A3D1C6C99E5}">
      <formula1>"全学開講,一部開講"</formula1>
    </dataValidation>
    <dataValidation type="list" allowBlank="1" showInputMessage="1" showErrorMessage="1" sqref="K7 K12" xr:uid="{96437595-3F0C-42B6-ADBF-DCC1542EA931}">
      <formula1>"学部・学科によって、修了要件は相違する,学部・学科によって、修了要件は相違しない"</formula1>
    </dataValidation>
    <dataValidation type="list" allowBlank="1" showInputMessage="1" showErrorMessage="1" sqref="F79:F86 P79:P86 G79:I80 G83:I86 Q83:S86 Q79:S80" xr:uid="{3BBDA716-E4F4-4A86-A1BA-1FF56E98034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37E2EEC5-FC3F-40C1-AF2F-9E23D1A9B00F}">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horizontalDpi="1200" verticalDpi="1200" r:id="rId1"/>
  <headerFooter>
    <oddHeader>&amp;C数理・データサイエンス・AI教育プログラム認定制度【リテラシーレベル】</oddHeader>
  </headerFooter>
  <rowBreaks count="2" manualBreakCount="2">
    <brk id="65" max="18" man="1"/>
    <brk id="94" max="1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E39F9-6E75-484D-AE83-17C1872B8D52}">
  <sheetPr>
    <pageSetUpPr fitToPage="1"/>
  </sheetPr>
  <dimension ref="A1:AS32"/>
  <sheetViews>
    <sheetView view="pageBreakPreview" zoomScaleNormal="100" zoomScaleSheetLayoutView="100" workbookViewId="0">
      <selection activeCell="AO1" sqref="AO1"/>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106</v>
      </c>
    </row>
    <row r="2" spans="1:45" ht="18" customHeight="1" x14ac:dyDescent="0.15">
      <c r="K2" s="33"/>
      <c r="Q2" s="33"/>
      <c r="W2" s="33"/>
      <c r="AC2" s="33"/>
      <c r="AI2" s="33"/>
      <c r="AL2" s="33" t="s">
        <v>108</v>
      </c>
      <c r="AM2" s="199" t="str">
        <f>'様式１ー１　プログラムを構成する授業科目'!C2</f>
        <v>順天堂大学</v>
      </c>
      <c r="AN2" s="199"/>
      <c r="AO2" s="199"/>
      <c r="AP2" s="199"/>
      <c r="AQ2" s="199"/>
    </row>
    <row r="3" spans="1:45" ht="18" customHeight="1" x14ac:dyDescent="0.15">
      <c r="A3" s="158" t="s">
        <v>47</v>
      </c>
      <c r="B3" s="158"/>
      <c r="C3" s="158"/>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83</v>
      </c>
      <c r="C5" s="200" t="s">
        <v>229</v>
      </c>
      <c r="D5" s="201"/>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202" t="s">
        <v>44</v>
      </c>
      <c r="C9" s="205" t="s">
        <v>86</v>
      </c>
      <c r="D9" s="208" t="s">
        <v>46</v>
      </c>
      <c r="E9" s="211" t="s">
        <v>39</v>
      </c>
      <c r="F9" s="192" t="s">
        <v>85</v>
      </c>
      <c r="G9" s="192"/>
      <c r="H9" s="192"/>
      <c r="I9" s="192"/>
      <c r="J9" s="192"/>
      <c r="K9" s="192"/>
      <c r="L9" s="192" t="s">
        <v>48</v>
      </c>
      <c r="M9" s="192"/>
      <c r="N9" s="192"/>
      <c r="O9" s="192"/>
      <c r="P9" s="192"/>
      <c r="Q9" s="192"/>
      <c r="R9" s="192" t="s">
        <v>49</v>
      </c>
      <c r="S9" s="192"/>
      <c r="T9" s="192"/>
      <c r="U9" s="192"/>
      <c r="V9" s="192"/>
      <c r="W9" s="192"/>
      <c r="X9" s="192" t="s">
        <v>100</v>
      </c>
      <c r="Y9" s="192"/>
      <c r="Z9" s="192"/>
      <c r="AA9" s="192"/>
      <c r="AB9" s="192"/>
      <c r="AC9" s="192"/>
      <c r="AD9" s="192" t="s">
        <v>50</v>
      </c>
      <c r="AE9" s="192"/>
      <c r="AF9" s="192"/>
      <c r="AG9" s="192"/>
      <c r="AH9" s="192"/>
      <c r="AI9" s="192"/>
      <c r="AJ9" s="192" t="s">
        <v>51</v>
      </c>
      <c r="AK9" s="192"/>
      <c r="AL9" s="192"/>
      <c r="AM9" s="192"/>
      <c r="AN9" s="192"/>
      <c r="AO9" s="192"/>
      <c r="AP9" s="193" t="s">
        <v>34</v>
      </c>
      <c r="AQ9" s="196" t="s">
        <v>31</v>
      </c>
      <c r="AS9" s="2"/>
    </row>
    <row r="10" spans="1:45" ht="16.899999999999999" customHeight="1" x14ac:dyDescent="0.15">
      <c r="B10" s="203"/>
      <c r="C10" s="206"/>
      <c r="D10" s="209"/>
      <c r="E10" s="212"/>
      <c r="F10" s="190" t="s">
        <v>96</v>
      </c>
      <c r="G10" s="191"/>
      <c r="H10" s="191"/>
      <c r="I10" s="190" t="s">
        <v>28</v>
      </c>
      <c r="J10" s="191"/>
      <c r="K10" s="191"/>
      <c r="L10" s="190" t="s">
        <v>96</v>
      </c>
      <c r="M10" s="191"/>
      <c r="N10" s="191"/>
      <c r="O10" s="190" t="s">
        <v>28</v>
      </c>
      <c r="P10" s="191"/>
      <c r="Q10" s="191"/>
      <c r="R10" s="190" t="s">
        <v>96</v>
      </c>
      <c r="S10" s="191"/>
      <c r="T10" s="191"/>
      <c r="U10" s="190" t="s">
        <v>28</v>
      </c>
      <c r="V10" s="191"/>
      <c r="W10" s="191"/>
      <c r="X10" s="190" t="s">
        <v>96</v>
      </c>
      <c r="Y10" s="191"/>
      <c r="Z10" s="191"/>
      <c r="AA10" s="190" t="s">
        <v>28</v>
      </c>
      <c r="AB10" s="191"/>
      <c r="AC10" s="191"/>
      <c r="AD10" s="190" t="s">
        <v>96</v>
      </c>
      <c r="AE10" s="191"/>
      <c r="AF10" s="191"/>
      <c r="AG10" s="190" t="s">
        <v>28</v>
      </c>
      <c r="AH10" s="191"/>
      <c r="AI10" s="191"/>
      <c r="AJ10" s="190" t="s">
        <v>96</v>
      </c>
      <c r="AK10" s="191"/>
      <c r="AL10" s="191"/>
      <c r="AM10" s="190" t="s">
        <v>28</v>
      </c>
      <c r="AN10" s="191"/>
      <c r="AO10" s="191"/>
      <c r="AP10" s="194"/>
      <c r="AQ10" s="197"/>
      <c r="AS10" s="2"/>
    </row>
    <row r="11" spans="1:45" ht="18" customHeight="1" x14ac:dyDescent="0.15">
      <c r="B11" s="204"/>
      <c r="C11" s="207"/>
      <c r="D11" s="210"/>
      <c r="E11" s="213"/>
      <c r="F11" s="17" t="s">
        <v>97</v>
      </c>
      <c r="G11" s="18" t="s">
        <v>98</v>
      </c>
      <c r="H11" s="19" t="s">
        <v>99</v>
      </c>
      <c r="I11" s="17" t="s">
        <v>97</v>
      </c>
      <c r="J11" s="18" t="s">
        <v>98</v>
      </c>
      <c r="K11" s="19" t="s">
        <v>99</v>
      </c>
      <c r="L11" s="17" t="s">
        <v>97</v>
      </c>
      <c r="M11" s="18" t="s">
        <v>98</v>
      </c>
      <c r="N11" s="19" t="s">
        <v>99</v>
      </c>
      <c r="O11" s="17" t="s">
        <v>97</v>
      </c>
      <c r="P11" s="18" t="s">
        <v>98</v>
      </c>
      <c r="Q11" s="19" t="s">
        <v>99</v>
      </c>
      <c r="R11" s="17" t="s">
        <v>97</v>
      </c>
      <c r="S11" s="18" t="s">
        <v>98</v>
      </c>
      <c r="T11" s="19" t="s">
        <v>99</v>
      </c>
      <c r="U11" s="17" t="s">
        <v>97</v>
      </c>
      <c r="V11" s="18" t="s">
        <v>98</v>
      </c>
      <c r="W11" s="19" t="s">
        <v>99</v>
      </c>
      <c r="X11" s="17" t="s">
        <v>97</v>
      </c>
      <c r="Y11" s="18" t="s">
        <v>98</v>
      </c>
      <c r="Z11" s="19" t="s">
        <v>99</v>
      </c>
      <c r="AA11" s="17" t="s">
        <v>97</v>
      </c>
      <c r="AB11" s="18" t="s">
        <v>98</v>
      </c>
      <c r="AC11" s="19" t="s">
        <v>99</v>
      </c>
      <c r="AD11" s="17" t="s">
        <v>97</v>
      </c>
      <c r="AE11" s="18" t="s">
        <v>98</v>
      </c>
      <c r="AF11" s="19" t="s">
        <v>99</v>
      </c>
      <c r="AG11" s="17" t="s">
        <v>97</v>
      </c>
      <c r="AH11" s="18" t="s">
        <v>98</v>
      </c>
      <c r="AI11" s="19" t="s">
        <v>99</v>
      </c>
      <c r="AJ11" s="17" t="s">
        <v>97</v>
      </c>
      <c r="AK11" s="18" t="s">
        <v>98</v>
      </c>
      <c r="AL11" s="19" t="s">
        <v>99</v>
      </c>
      <c r="AM11" s="17" t="s">
        <v>97</v>
      </c>
      <c r="AN11" s="18" t="s">
        <v>98</v>
      </c>
      <c r="AO11" s="19" t="s">
        <v>99</v>
      </c>
      <c r="AP11" s="195"/>
      <c r="AQ11" s="198"/>
      <c r="AS11" s="2"/>
    </row>
    <row r="12" spans="1:45" ht="18" customHeight="1" x14ac:dyDescent="0.15">
      <c r="A12" s="6"/>
      <c r="B12" s="11" t="s">
        <v>129</v>
      </c>
      <c r="C12" s="60">
        <v>828</v>
      </c>
      <c r="D12" s="61">
        <v>138</v>
      </c>
      <c r="E12" s="62">
        <v>826</v>
      </c>
      <c r="F12" s="62">
        <f>G12+H12</f>
        <v>138</v>
      </c>
      <c r="G12" s="63">
        <v>68</v>
      </c>
      <c r="H12" s="64">
        <v>70</v>
      </c>
      <c r="I12" s="62">
        <f>J12+K12</f>
        <v>138</v>
      </c>
      <c r="J12" s="83">
        <v>68</v>
      </c>
      <c r="K12" s="84">
        <v>70</v>
      </c>
      <c r="L12" s="62">
        <f>M12+N12</f>
        <v>0</v>
      </c>
      <c r="M12" s="63"/>
      <c r="N12" s="64"/>
      <c r="O12" s="62">
        <f>P12+Q12</f>
        <v>0</v>
      </c>
      <c r="P12" s="63"/>
      <c r="Q12" s="64"/>
      <c r="R12" s="62">
        <f>S12+T12</f>
        <v>0</v>
      </c>
      <c r="S12" s="63"/>
      <c r="T12" s="64"/>
      <c r="U12" s="62">
        <f>V12+W12</f>
        <v>0</v>
      </c>
      <c r="V12" s="63"/>
      <c r="W12" s="64"/>
      <c r="X12" s="62">
        <f>Y12+Z12</f>
        <v>0</v>
      </c>
      <c r="Y12" s="63"/>
      <c r="Z12" s="64"/>
      <c r="AA12" s="62">
        <f>AB12+AC12</f>
        <v>0</v>
      </c>
      <c r="AB12" s="63"/>
      <c r="AC12" s="64"/>
      <c r="AD12" s="62">
        <f>AE12+AF12</f>
        <v>0</v>
      </c>
      <c r="AE12" s="63"/>
      <c r="AF12" s="64"/>
      <c r="AG12" s="62">
        <f>AH12+AI12</f>
        <v>0</v>
      </c>
      <c r="AH12" s="63"/>
      <c r="AI12" s="64"/>
      <c r="AJ12" s="62">
        <f>AK12+AL12</f>
        <v>0</v>
      </c>
      <c r="AK12" s="63"/>
      <c r="AL12" s="64"/>
      <c r="AM12" s="62">
        <f>AN12+AO12</f>
        <v>0</v>
      </c>
      <c r="AN12" s="63"/>
      <c r="AO12" s="64"/>
      <c r="AP12" s="61">
        <f>F12+L12+R12+X12+AD12+AJ12</f>
        <v>138</v>
      </c>
      <c r="AQ12" s="80">
        <f t="shared" ref="AQ12:AQ32" si="0">AP12/E12</f>
        <v>0.16707021791767554</v>
      </c>
    </row>
    <row r="13" spans="1:45" ht="18" customHeight="1" x14ac:dyDescent="0.15">
      <c r="A13" s="6"/>
      <c r="B13" s="12" t="s">
        <v>230</v>
      </c>
      <c r="C13" s="65">
        <v>2045</v>
      </c>
      <c r="D13" s="66">
        <v>600</v>
      </c>
      <c r="E13" s="67">
        <v>2020</v>
      </c>
      <c r="F13" s="68">
        <f t="shared" ref="F13:F31" si="1">G13+H13</f>
        <v>617</v>
      </c>
      <c r="G13" s="69">
        <v>394</v>
      </c>
      <c r="H13" s="70">
        <v>223</v>
      </c>
      <c r="I13" s="68">
        <f t="shared" ref="I13:I31" si="2">J13+K13</f>
        <v>226</v>
      </c>
      <c r="J13" s="85">
        <v>122</v>
      </c>
      <c r="K13" s="86">
        <v>104</v>
      </c>
      <c r="L13" s="68">
        <f t="shared" ref="L13:L31" si="3">M13+N13</f>
        <v>0</v>
      </c>
      <c r="M13" s="69"/>
      <c r="N13" s="70"/>
      <c r="O13" s="68">
        <f t="shared" ref="O13:O31" si="4">P13+Q13</f>
        <v>0</v>
      </c>
      <c r="P13" s="69"/>
      <c r="Q13" s="70"/>
      <c r="R13" s="68">
        <f t="shared" ref="R13:R31" si="5">S13+T13</f>
        <v>0</v>
      </c>
      <c r="S13" s="69"/>
      <c r="T13" s="70"/>
      <c r="U13" s="68">
        <f t="shared" ref="U13:U31" si="6">V13+W13</f>
        <v>0</v>
      </c>
      <c r="V13" s="69"/>
      <c r="W13" s="70"/>
      <c r="X13" s="68">
        <f t="shared" ref="X13:X31" si="7">Y13+Z13</f>
        <v>0</v>
      </c>
      <c r="Y13" s="69"/>
      <c r="Z13" s="70"/>
      <c r="AA13" s="68">
        <f t="shared" ref="AA13:AA31" si="8">AB13+AC13</f>
        <v>0</v>
      </c>
      <c r="AB13" s="69"/>
      <c r="AC13" s="70"/>
      <c r="AD13" s="68">
        <f t="shared" ref="AD13:AD31" si="9">AE13+AF13</f>
        <v>0</v>
      </c>
      <c r="AE13" s="69"/>
      <c r="AF13" s="70"/>
      <c r="AG13" s="68">
        <f t="shared" ref="AG13:AG31" si="10">AH13+AI13</f>
        <v>0</v>
      </c>
      <c r="AH13" s="69"/>
      <c r="AI13" s="70"/>
      <c r="AJ13" s="68">
        <f t="shared" ref="AJ13:AJ31" si="11">AK13+AL13</f>
        <v>0</v>
      </c>
      <c r="AK13" s="69"/>
      <c r="AL13" s="70"/>
      <c r="AM13" s="68">
        <f t="shared" ref="AM13:AM31" si="12">AN13+AO13</f>
        <v>0</v>
      </c>
      <c r="AN13" s="69"/>
      <c r="AO13" s="70"/>
      <c r="AP13" s="66">
        <f t="shared" ref="AP13:AP31" si="13">F13+L13+R13+X13+AD13+AJ13</f>
        <v>617</v>
      </c>
      <c r="AQ13" s="8">
        <f t="shared" si="0"/>
        <v>0.30544554455445544</v>
      </c>
    </row>
    <row r="14" spans="1:45" ht="18" customHeight="1" x14ac:dyDescent="0.15">
      <c r="A14" s="6"/>
      <c r="B14" s="12" t="s">
        <v>231</v>
      </c>
      <c r="C14" s="65">
        <v>814</v>
      </c>
      <c r="D14" s="66">
        <v>220</v>
      </c>
      <c r="E14" s="67">
        <v>820</v>
      </c>
      <c r="F14" s="68">
        <f t="shared" si="1"/>
        <v>174</v>
      </c>
      <c r="G14" s="69">
        <v>11</v>
      </c>
      <c r="H14" s="70">
        <v>163</v>
      </c>
      <c r="I14" s="68">
        <f t="shared" si="2"/>
        <v>0</v>
      </c>
      <c r="J14" s="85">
        <v>0</v>
      </c>
      <c r="K14" s="86">
        <v>0</v>
      </c>
      <c r="L14" s="68">
        <f t="shared" si="3"/>
        <v>0</v>
      </c>
      <c r="M14" s="69"/>
      <c r="N14" s="70"/>
      <c r="O14" s="68">
        <f t="shared" si="4"/>
        <v>0</v>
      </c>
      <c r="P14" s="69"/>
      <c r="Q14" s="70"/>
      <c r="R14" s="68">
        <f t="shared" si="5"/>
        <v>0</v>
      </c>
      <c r="S14" s="69"/>
      <c r="T14" s="70"/>
      <c r="U14" s="68">
        <f t="shared" si="6"/>
        <v>0</v>
      </c>
      <c r="V14" s="69"/>
      <c r="W14" s="70"/>
      <c r="X14" s="68">
        <f t="shared" si="7"/>
        <v>0</v>
      </c>
      <c r="Y14" s="69"/>
      <c r="Z14" s="70"/>
      <c r="AA14" s="68">
        <f t="shared" si="8"/>
        <v>0</v>
      </c>
      <c r="AB14" s="69"/>
      <c r="AC14" s="70"/>
      <c r="AD14" s="68">
        <f t="shared" si="9"/>
        <v>0</v>
      </c>
      <c r="AE14" s="69"/>
      <c r="AF14" s="70"/>
      <c r="AG14" s="68">
        <f t="shared" si="10"/>
        <v>0</v>
      </c>
      <c r="AH14" s="69"/>
      <c r="AI14" s="70"/>
      <c r="AJ14" s="68">
        <f t="shared" si="11"/>
        <v>0</v>
      </c>
      <c r="AK14" s="69"/>
      <c r="AL14" s="70"/>
      <c r="AM14" s="68">
        <f t="shared" si="12"/>
        <v>0</v>
      </c>
      <c r="AN14" s="69"/>
      <c r="AO14" s="70"/>
      <c r="AP14" s="66">
        <f t="shared" si="13"/>
        <v>174</v>
      </c>
      <c r="AQ14" s="8">
        <f t="shared" si="0"/>
        <v>0.21219512195121951</v>
      </c>
    </row>
    <row r="15" spans="1:45" ht="18" customHeight="1" x14ac:dyDescent="0.15">
      <c r="A15" s="6"/>
      <c r="B15" s="12" t="s">
        <v>232</v>
      </c>
      <c r="C15" s="65">
        <v>506</v>
      </c>
      <c r="D15" s="66">
        <v>130</v>
      </c>
      <c r="E15" s="67">
        <v>490</v>
      </c>
      <c r="F15" s="68">
        <f t="shared" si="1"/>
        <v>134</v>
      </c>
      <c r="G15" s="69">
        <v>13</v>
      </c>
      <c r="H15" s="70">
        <v>121</v>
      </c>
      <c r="I15" s="68">
        <f t="shared" si="2"/>
        <v>133</v>
      </c>
      <c r="J15" s="85">
        <v>13</v>
      </c>
      <c r="K15" s="86">
        <v>120</v>
      </c>
      <c r="L15" s="68">
        <f t="shared" si="3"/>
        <v>0</v>
      </c>
      <c r="M15" s="69"/>
      <c r="N15" s="70"/>
      <c r="O15" s="68">
        <f t="shared" si="4"/>
        <v>0</v>
      </c>
      <c r="P15" s="69"/>
      <c r="Q15" s="70"/>
      <c r="R15" s="68">
        <f t="shared" si="5"/>
        <v>0</v>
      </c>
      <c r="S15" s="69"/>
      <c r="T15" s="70"/>
      <c r="U15" s="68">
        <f t="shared" si="6"/>
        <v>0</v>
      </c>
      <c r="V15" s="69"/>
      <c r="W15" s="70"/>
      <c r="X15" s="68">
        <f t="shared" si="7"/>
        <v>0</v>
      </c>
      <c r="Y15" s="69"/>
      <c r="Z15" s="70"/>
      <c r="AA15" s="68">
        <f t="shared" si="8"/>
        <v>0</v>
      </c>
      <c r="AB15" s="69"/>
      <c r="AC15" s="70"/>
      <c r="AD15" s="68">
        <f t="shared" si="9"/>
        <v>0</v>
      </c>
      <c r="AE15" s="69"/>
      <c r="AF15" s="70"/>
      <c r="AG15" s="68">
        <f t="shared" si="10"/>
        <v>0</v>
      </c>
      <c r="AH15" s="69"/>
      <c r="AI15" s="70"/>
      <c r="AJ15" s="68">
        <f t="shared" si="11"/>
        <v>0</v>
      </c>
      <c r="AK15" s="69"/>
      <c r="AL15" s="70"/>
      <c r="AM15" s="68">
        <f t="shared" si="12"/>
        <v>0</v>
      </c>
      <c r="AN15" s="69"/>
      <c r="AO15" s="70"/>
      <c r="AP15" s="66">
        <f t="shared" si="13"/>
        <v>134</v>
      </c>
      <c r="AQ15" s="8">
        <f t="shared" si="0"/>
        <v>0.27346938775510204</v>
      </c>
    </row>
    <row r="16" spans="1:45" ht="18" customHeight="1" x14ac:dyDescent="0.15">
      <c r="A16" s="6"/>
      <c r="B16" s="12" t="s">
        <v>233</v>
      </c>
      <c r="C16" s="65">
        <v>945</v>
      </c>
      <c r="D16" s="66">
        <v>240</v>
      </c>
      <c r="E16" s="67">
        <v>960</v>
      </c>
      <c r="F16" s="68">
        <f t="shared" si="1"/>
        <v>227</v>
      </c>
      <c r="G16" s="69">
        <v>104</v>
      </c>
      <c r="H16" s="70">
        <v>123</v>
      </c>
      <c r="I16" s="68">
        <f t="shared" si="2"/>
        <v>181</v>
      </c>
      <c r="J16" s="69">
        <v>81</v>
      </c>
      <c r="K16" s="70">
        <v>100</v>
      </c>
      <c r="L16" s="68">
        <f t="shared" si="3"/>
        <v>0</v>
      </c>
      <c r="M16" s="69"/>
      <c r="N16" s="70"/>
      <c r="O16" s="68">
        <f t="shared" si="4"/>
        <v>0</v>
      </c>
      <c r="P16" s="69"/>
      <c r="Q16" s="70"/>
      <c r="R16" s="68">
        <f t="shared" si="5"/>
        <v>0</v>
      </c>
      <c r="S16" s="69"/>
      <c r="T16" s="70"/>
      <c r="U16" s="68">
        <f t="shared" si="6"/>
        <v>0</v>
      </c>
      <c r="V16" s="69"/>
      <c r="W16" s="70"/>
      <c r="X16" s="68">
        <f t="shared" si="7"/>
        <v>0</v>
      </c>
      <c r="Y16" s="69"/>
      <c r="Z16" s="70"/>
      <c r="AA16" s="68">
        <f t="shared" si="8"/>
        <v>0</v>
      </c>
      <c r="AB16" s="69"/>
      <c r="AC16" s="70"/>
      <c r="AD16" s="68">
        <f t="shared" si="9"/>
        <v>0</v>
      </c>
      <c r="AE16" s="69"/>
      <c r="AF16" s="70"/>
      <c r="AG16" s="68">
        <f t="shared" si="10"/>
        <v>0</v>
      </c>
      <c r="AH16" s="69"/>
      <c r="AI16" s="70"/>
      <c r="AJ16" s="68">
        <f t="shared" si="11"/>
        <v>0</v>
      </c>
      <c r="AK16" s="69"/>
      <c r="AL16" s="70"/>
      <c r="AM16" s="68">
        <f t="shared" si="12"/>
        <v>0</v>
      </c>
      <c r="AN16" s="69"/>
      <c r="AO16" s="70"/>
      <c r="AP16" s="66">
        <f t="shared" si="13"/>
        <v>227</v>
      </c>
      <c r="AQ16" s="8">
        <f t="shared" si="0"/>
        <v>0.23645833333333333</v>
      </c>
    </row>
    <row r="17" spans="1:43" ht="18" customHeight="1" x14ac:dyDescent="0.15">
      <c r="A17" s="6"/>
      <c r="B17" s="12" t="s">
        <v>234</v>
      </c>
      <c r="C17" s="65">
        <v>961</v>
      </c>
      <c r="D17" s="66">
        <v>240</v>
      </c>
      <c r="E17" s="67">
        <v>960</v>
      </c>
      <c r="F17" s="68">
        <f t="shared" si="1"/>
        <v>123</v>
      </c>
      <c r="G17" s="69">
        <v>54</v>
      </c>
      <c r="H17" s="70">
        <v>69</v>
      </c>
      <c r="I17" s="68">
        <f t="shared" si="2"/>
        <v>23</v>
      </c>
      <c r="J17" s="69">
        <v>11</v>
      </c>
      <c r="K17" s="70">
        <v>12</v>
      </c>
      <c r="L17" s="68">
        <f t="shared" si="3"/>
        <v>0</v>
      </c>
      <c r="M17" s="69"/>
      <c r="N17" s="70"/>
      <c r="O17" s="68">
        <f t="shared" si="4"/>
        <v>0</v>
      </c>
      <c r="P17" s="69"/>
      <c r="Q17" s="70"/>
      <c r="R17" s="68">
        <f t="shared" si="5"/>
        <v>0</v>
      </c>
      <c r="S17" s="69"/>
      <c r="T17" s="70"/>
      <c r="U17" s="68">
        <f t="shared" si="6"/>
        <v>0</v>
      </c>
      <c r="V17" s="69"/>
      <c r="W17" s="70"/>
      <c r="X17" s="68">
        <f t="shared" si="7"/>
        <v>0</v>
      </c>
      <c r="Y17" s="69"/>
      <c r="Z17" s="70"/>
      <c r="AA17" s="68">
        <f t="shared" si="8"/>
        <v>0</v>
      </c>
      <c r="AB17" s="69"/>
      <c r="AC17" s="70"/>
      <c r="AD17" s="68">
        <f t="shared" si="9"/>
        <v>0</v>
      </c>
      <c r="AE17" s="69"/>
      <c r="AF17" s="70"/>
      <c r="AG17" s="68">
        <f t="shared" si="10"/>
        <v>0</v>
      </c>
      <c r="AH17" s="69"/>
      <c r="AI17" s="70"/>
      <c r="AJ17" s="68">
        <f t="shared" si="11"/>
        <v>0</v>
      </c>
      <c r="AK17" s="69"/>
      <c r="AL17" s="70"/>
      <c r="AM17" s="68">
        <f t="shared" si="12"/>
        <v>0</v>
      </c>
      <c r="AN17" s="69"/>
      <c r="AO17" s="70"/>
      <c r="AP17" s="66">
        <f t="shared" si="13"/>
        <v>123</v>
      </c>
      <c r="AQ17" s="8">
        <f t="shared" si="0"/>
        <v>0.12812499999999999</v>
      </c>
    </row>
    <row r="18" spans="1:43" ht="18" customHeight="1" x14ac:dyDescent="0.15">
      <c r="A18" s="6"/>
      <c r="B18" s="12" t="s">
        <v>235</v>
      </c>
      <c r="C18" s="65">
        <v>182</v>
      </c>
      <c r="D18" s="66">
        <v>180</v>
      </c>
      <c r="E18" s="67">
        <v>180</v>
      </c>
      <c r="F18" s="68">
        <f t="shared" si="1"/>
        <v>182</v>
      </c>
      <c r="G18" s="69">
        <v>47</v>
      </c>
      <c r="H18" s="70">
        <v>135</v>
      </c>
      <c r="I18" s="68">
        <f t="shared" si="2"/>
        <v>111</v>
      </c>
      <c r="J18" s="69">
        <v>19</v>
      </c>
      <c r="K18" s="70">
        <v>92</v>
      </c>
      <c r="L18" s="68">
        <f t="shared" si="3"/>
        <v>0</v>
      </c>
      <c r="M18" s="69"/>
      <c r="N18" s="70"/>
      <c r="O18" s="68">
        <f t="shared" si="4"/>
        <v>0</v>
      </c>
      <c r="P18" s="69"/>
      <c r="Q18" s="70"/>
      <c r="R18" s="68">
        <f t="shared" si="5"/>
        <v>0</v>
      </c>
      <c r="S18" s="69"/>
      <c r="T18" s="70"/>
      <c r="U18" s="68">
        <f t="shared" si="6"/>
        <v>0</v>
      </c>
      <c r="V18" s="69"/>
      <c r="W18" s="70"/>
      <c r="X18" s="68">
        <f t="shared" si="7"/>
        <v>0</v>
      </c>
      <c r="Y18" s="69"/>
      <c r="Z18" s="70"/>
      <c r="AA18" s="68">
        <f t="shared" si="8"/>
        <v>0</v>
      </c>
      <c r="AB18" s="69"/>
      <c r="AC18" s="70"/>
      <c r="AD18" s="68">
        <f t="shared" si="9"/>
        <v>0</v>
      </c>
      <c r="AE18" s="69"/>
      <c r="AF18" s="70"/>
      <c r="AG18" s="68">
        <f t="shared" si="10"/>
        <v>0</v>
      </c>
      <c r="AH18" s="69"/>
      <c r="AI18" s="70"/>
      <c r="AJ18" s="68">
        <f t="shared" si="11"/>
        <v>0</v>
      </c>
      <c r="AK18" s="69"/>
      <c r="AL18" s="70"/>
      <c r="AM18" s="68">
        <f t="shared" si="12"/>
        <v>0</v>
      </c>
      <c r="AN18" s="69"/>
      <c r="AO18" s="70"/>
      <c r="AP18" s="66">
        <f t="shared" si="13"/>
        <v>182</v>
      </c>
      <c r="AQ18" s="8">
        <f t="shared" si="0"/>
        <v>1.0111111111111111</v>
      </c>
    </row>
    <row r="19" spans="1:43" ht="18" customHeight="1" x14ac:dyDescent="0.15">
      <c r="A19" s="6"/>
      <c r="B19" s="12"/>
      <c r="C19" s="65"/>
      <c r="D19" s="66"/>
      <c r="E19" s="67"/>
      <c r="F19" s="68">
        <f t="shared" si="1"/>
        <v>0</v>
      </c>
      <c r="G19" s="69"/>
      <c r="H19" s="70"/>
      <c r="I19" s="68">
        <f t="shared" si="2"/>
        <v>0</v>
      </c>
      <c r="J19" s="69"/>
      <c r="K19" s="70"/>
      <c r="L19" s="68">
        <f t="shared" si="3"/>
        <v>0</v>
      </c>
      <c r="M19" s="69"/>
      <c r="N19" s="70"/>
      <c r="O19" s="68">
        <f t="shared" si="4"/>
        <v>0</v>
      </c>
      <c r="P19" s="69"/>
      <c r="Q19" s="70"/>
      <c r="R19" s="68">
        <f t="shared" si="5"/>
        <v>0</v>
      </c>
      <c r="S19" s="69"/>
      <c r="T19" s="70"/>
      <c r="U19" s="68">
        <f t="shared" si="6"/>
        <v>0</v>
      </c>
      <c r="V19" s="69"/>
      <c r="W19" s="70"/>
      <c r="X19" s="68">
        <f t="shared" si="7"/>
        <v>0</v>
      </c>
      <c r="Y19" s="69"/>
      <c r="Z19" s="70"/>
      <c r="AA19" s="68">
        <f t="shared" si="8"/>
        <v>0</v>
      </c>
      <c r="AB19" s="69"/>
      <c r="AC19" s="70"/>
      <c r="AD19" s="68">
        <f t="shared" si="9"/>
        <v>0</v>
      </c>
      <c r="AE19" s="69"/>
      <c r="AF19" s="70"/>
      <c r="AG19" s="68">
        <f t="shared" si="10"/>
        <v>0</v>
      </c>
      <c r="AH19" s="69"/>
      <c r="AI19" s="70"/>
      <c r="AJ19" s="68">
        <f t="shared" si="11"/>
        <v>0</v>
      </c>
      <c r="AK19" s="69"/>
      <c r="AL19" s="70"/>
      <c r="AM19" s="68">
        <f t="shared" si="12"/>
        <v>0</v>
      </c>
      <c r="AN19" s="69"/>
      <c r="AO19" s="70"/>
      <c r="AP19" s="66">
        <f t="shared" si="13"/>
        <v>0</v>
      </c>
      <c r="AQ19" s="8" t="e">
        <f t="shared" si="0"/>
        <v>#DIV/0!</v>
      </c>
    </row>
    <row r="20" spans="1:43" ht="18" customHeight="1" x14ac:dyDescent="0.15">
      <c r="A20" s="6"/>
      <c r="B20" s="12"/>
      <c r="C20" s="65"/>
      <c r="D20" s="66"/>
      <c r="E20" s="67"/>
      <c r="F20" s="68">
        <f t="shared" si="1"/>
        <v>0</v>
      </c>
      <c r="G20" s="69"/>
      <c r="H20" s="70"/>
      <c r="I20" s="68">
        <f t="shared" si="2"/>
        <v>0</v>
      </c>
      <c r="J20" s="69"/>
      <c r="K20" s="70"/>
      <c r="L20" s="68">
        <f t="shared" si="3"/>
        <v>0</v>
      </c>
      <c r="M20" s="69"/>
      <c r="N20" s="70"/>
      <c r="O20" s="68">
        <f t="shared" si="4"/>
        <v>0</v>
      </c>
      <c r="P20" s="69"/>
      <c r="Q20" s="70"/>
      <c r="R20" s="68">
        <f t="shared" si="5"/>
        <v>0</v>
      </c>
      <c r="S20" s="69"/>
      <c r="T20" s="70"/>
      <c r="U20" s="68">
        <f t="shared" si="6"/>
        <v>0</v>
      </c>
      <c r="V20" s="69"/>
      <c r="W20" s="70"/>
      <c r="X20" s="68">
        <f t="shared" si="7"/>
        <v>0</v>
      </c>
      <c r="Y20" s="69"/>
      <c r="Z20" s="70"/>
      <c r="AA20" s="68">
        <f t="shared" si="8"/>
        <v>0</v>
      </c>
      <c r="AB20" s="69"/>
      <c r="AC20" s="70"/>
      <c r="AD20" s="68">
        <f t="shared" si="9"/>
        <v>0</v>
      </c>
      <c r="AE20" s="69"/>
      <c r="AF20" s="70"/>
      <c r="AG20" s="68">
        <f t="shared" si="10"/>
        <v>0</v>
      </c>
      <c r="AH20" s="69"/>
      <c r="AI20" s="70"/>
      <c r="AJ20" s="68">
        <f t="shared" si="11"/>
        <v>0</v>
      </c>
      <c r="AK20" s="69"/>
      <c r="AL20" s="70"/>
      <c r="AM20" s="68">
        <f t="shared" si="12"/>
        <v>0</v>
      </c>
      <c r="AN20" s="69"/>
      <c r="AO20" s="70"/>
      <c r="AP20" s="66">
        <f t="shared" si="13"/>
        <v>0</v>
      </c>
      <c r="AQ20" s="8" t="e">
        <f t="shared" si="0"/>
        <v>#DIV/0!</v>
      </c>
    </row>
    <row r="21" spans="1:43" ht="18" customHeight="1" x14ac:dyDescent="0.15">
      <c r="A21" s="6"/>
      <c r="B21" s="12"/>
      <c r="C21" s="65"/>
      <c r="D21" s="66"/>
      <c r="E21" s="67"/>
      <c r="F21" s="68">
        <f t="shared" si="1"/>
        <v>0</v>
      </c>
      <c r="G21" s="69"/>
      <c r="H21" s="70"/>
      <c r="I21" s="68">
        <f t="shared" si="2"/>
        <v>0</v>
      </c>
      <c r="J21" s="69"/>
      <c r="K21" s="70"/>
      <c r="L21" s="68">
        <f t="shared" si="3"/>
        <v>0</v>
      </c>
      <c r="M21" s="69"/>
      <c r="N21" s="70"/>
      <c r="O21" s="68">
        <f t="shared" si="4"/>
        <v>0</v>
      </c>
      <c r="P21" s="69"/>
      <c r="Q21" s="70"/>
      <c r="R21" s="68">
        <f t="shared" si="5"/>
        <v>0</v>
      </c>
      <c r="S21" s="69"/>
      <c r="T21" s="70"/>
      <c r="U21" s="68">
        <f t="shared" si="6"/>
        <v>0</v>
      </c>
      <c r="V21" s="69"/>
      <c r="W21" s="70"/>
      <c r="X21" s="68">
        <f t="shared" si="7"/>
        <v>0</v>
      </c>
      <c r="Y21" s="69"/>
      <c r="Z21" s="70"/>
      <c r="AA21" s="68">
        <f t="shared" si="8"/>
        <v>0</v>
      </c>
      <c r="AB21" s="69"/>
      <c r="AC21" s="70"/>
      <c r="AD21" s="68">
        <f t="shared" si="9"/>
        <v>0</v>
      </c>
      <c r="AE21" s="69"/>
      <c r="AF21" s="70"/>
      <c r="AG21" s="68">
        <f t="shared" si="10"/>
        <v>0</v>
      </c>
      <c r="AH21" s="69"/>
      <c r="AI21" s="70"/>
      <c r="AJ21" s="68">
        <f t="shared" si="11"/>
        <v>0</v>
      </c>
      <c r="AK21" s="69"/>
      <c r="AL21" s="70"/>
      <c r="AM21" s="68">
        <f t="shared" si="12"/>
        <v>0</v>
      </c>
      <c r="AN21" s="69"/>
      <c r="AO21" s="70"/>
      <c r="AP21" s="66">
        <f t="shared" si="13"/>
        <v>0</v>
      </c>
      <c r="AQ21" s="8" t="e">
        <f t="shared" si="0"/>
        <v>#DIV/0!</v>
      </c>
    </row>
    <row r="22" spans="1:43" ht="18" customHeight="1" x14ac:dyDescent="0.15">
      <c r="A22" s="6"/>
      <c r="B22" s="12"/>
      <c r="C22" s="65"/>
      <c r="D22" s="66"/>
      <c r="E22" s="67"/>
      <c r="F22" s="68">
        <f t="shared" si="1"/>
        <v>0</v>
      </c>
      <c r="G22" s="69"/>
      <c r="H22" s="70"/>
      <c r="I22" s="68">
        <f t="shared" si="2"/>
        <v>0</v>
      </c>
      <c r="J22" s="69"/>
      <c r="K22" s="70"/>
      <c r="L22" s="68">
        <f t="shared" si="3"/>
        <v>0</v>
      </c>
      <c r="M22" s="69"/>
      <c r="N22" s="70"/>
      <c r="O22" s="68">
        <f t="shared" si="4"/>
        <v>0</v>
      </c>
      <c r="P22" s="69"/>
      <c r="Q22" s="70"/>
      <c r="R22" s="68">
        <f t="shared" si="5"/>
        <v>0</v>
      </c>
      <c r="S22" s="69"/>
      <c r="T22" s="70"/>
      <c r="U22" s="68">
        <f t="shared" si="6"/>
        <v>0</v>
      </c>
      <c r="V22" s="69"/>
      <c r="W22" s="70"/>
      <c r="X22" s="68">
        <f t="shared" si="7"/>
        <v>0</v>
      </c>
      <c r="Y22" s="69"/>
      <c r="Z22" s="70"/>
      <c r="AA22" s="68">
        <f t="shared" si="8"/>
        <v>0</v>
      </c>
      <c r="AB22" s="69"/>
      <c r="AC22" s="70"/>
      <c r="AD22" s="68">
        <f t="shared" si="9"/>
        <v>0</v>
      </c>
      <c r="AE22" s="69"/>
      <c r="AF22" s="70"/>
      <c r="AG22" s="68">
        <f t="shared" si="10"/>
        <v>0</v>
      </c>
      <c r="AH22" s="69"/>
      <c r="AI22" s="70"/>
      <c r="AJ22" s="68">
        <f t="shared" si="11"/>
        <v>0</v>
      </c>
      <c r="AK22" s="69"/>
      <c r="AL22" s="70"/>
      <c r="AM22" s="68">
        <f t="shared" si="12"/>
        <v>0</v>
      </c>
      <c r="AN22" s="69"/>
      <c r="AO22" s="70"/>
      <c r="AP22" s="66">
        <f t="shared" si="13"/>
        <v>0</v>
      </c>
      <c r="AQ22" s="8" t="e">
        <f t="shared" si="0"/>
        <v>#DIV/0!</v>
      </c>
    </row>
    <row r="23" spans="1:43" ht="18" customHeight="1" x14ac:dyDescent="0.15">
      <c r="A23" s="6"/>
      <c r="B23" s="12"/>
      <c r="C23" s="65"/>
      <c r="D23" s="66"/>
      <c r="E23" s="67"/>
      <c r="F23" s="68">
        <f t="shared" si="1"/>
        <v>0</v>
      </c>
      <c r="G23" s="69"/>
      <c r="H23" s="70"/>
      <c r="I23" s="68">
        <f t="shared" si="2"/>
        <v>0</v>
      </c>
      <c r="J23" s="69"/>
      <c r="K23" s="70"/>
      <c r="L23" s="68">
        <f t="shared" si="3"/>
        <v>0</v>
      </c>
      <c r="M23" s="69"/>
      <c r="N23" s="70"/>
      <c r="O23" s="68">
        <f t="shared" si="4"/>
        <v>0</v>
      </c>
      <c r="P23" s="69"/>
      <c r="Q23" s="70"/>
      <c r="R23" s="68">
        <f t="shared" si="5"/>
        <v>0</v>
      </c>
      <c r="S23" s="69"/>
      <c r="T23" s="70"/>
      <c r="U23" s="68">
        <f t="shared" si="6"/>
        <v>0</v>
      </c>
      <c r="V23" s="69"/>
      <c r="W23" s="70"/>
      <c r="X23" s="68">
        <f t="shared" si="7"/>
        <v>0</v>
      </c>
      <c r="Y23" s="69"/>
      <c r="Z23" s="70"/>
      <c r="AA23" s="68">
        <f t="shared" si="8"/>
        <v>0</v>
      </c>
      <c r="AB23" s="69"/>
      <c r="AC23" s="70"/>
      <c r="AD23" s="68">
        <f t="shared" si="9"/>
        <v>0</v>
      </c>
      <c r="AE23" s="69"/>
      <c r="AF23" s="70"/>
      <c r="AG23" s="68">
        <f t="shared" si="10"/>
        <v>0</v>
      </c>
      <c r="AH23" s="69"/>
      <c r="AI23" s="70"/>
      <c r="AJ23" s="68">
        <f t="shared" si="11"/>
        <v>0</v>
      </c>
      <c r="AK23" s="69"/>
      <c r="AL23" s="70"/>
      <c r="AM23" s="68">
        <f t="shared" si="12"/>
        <v>0</v>
      </c>
      <c r="AN23" s="69"/>
      <c r="AO23" s="70"/>
      <c r="AP23" s="66">
        <f t="shared" si="13"/>
        <v>0</v>
      </c>
      <c r="AQ23" s="8" t="e">
        <f t="shared" si="0"/>
        <v>#DIV/0!</v>
      </c>
    </row>
    <row r="24" spans="1:43" ht="18" customHeight="1" x14ac:dyDescent="0.15">
      <c r="A24" s="6"/>
      <c r="B24" s="12"/>
      <c r="C24" s="65"/>
      <c r="D24" s="66"/>
      <c r="E24" s="67"/>
      <c r="F24" s="68">
        <f t="shared" si="1"/>
        <v>0</v>
      </c>
      <c r="G24" s="69"/>
      <c r="H24" s="70"/>
      <c r="I24" s="68">
        <f t="shared" si="2"/>
        <v>0</v>
      </c>
      <c r="J24" s="69"/>
      <c r="K24" s="70"/>
      <c r="L24" s="68">
        <f t="shared" si="3"/>
        <v>0</v>
      </c>
      <c r="M24" s="69"/>
      <c r="N24" s="70"/>
      <c r="O24" s="68">
        <f t="shared" si="4"/>
        <v>0</v>
      </c>
      <c r="P24" s="69"/>
      <c r="Q24" s="70"/>
      <c r="R24" s="68">
        <f t="shared" si="5"/>
        <v>0</v>
      </c>
      <c r="S24" s="69"/>
      <c r="T24" s="70"/>
      <c r="U24" s="68">
        <f t="shared" si="6"/>
        <v>0</v>
      </c>
      <c r="V24" s="69"/>
      <c r="W24" s="70"/>
      <c r="X24" s="68">
        <f t="shared" si="7"/>
        <v>0</v>
      </c>
      <c r="Y24" s="69"/>
      <c r="Z24" s="70"/>
      <c r="AA24" s="68">
        <f t="shared" si="8"/>
        <v>0</v>
      </c>
      <c r="AB24" s="69"/>
      <c r="AC24" s="70"/>
      <c r="AD24" s="68">
        <f t="shared" si="9"/>
        <v>0</v>
      </c>
      <c r="AE24" s="69"/>
      <c r="AF24" s="70"/>
      <c r="AG24" s="68">
        <f t="shared" si="10"/>
        <v>0</v>
      </c>
      <c r="AH24" s="69"/>
      <c r="AI24" s="70"/>
      <c r="AJ24" s="68">
        <f t="shared" si="11"/>
        <v>0</v>
      </c>
      <c r="AK24" s="69"/>
      <c r="AL24" s="70"/>
      <c r="AM24" s="68">
        <f t="shared" si="12"/>
        <v>0</v>
      </c>
      <c r="AN24" s="69"/>
      <c r="AO24" s="70"/>
      <c r="AP24" s="66">
        <f t="shared" si="13"/>
        <v>0</v>
      </c>
      <c r="AQ24" s="8" t="e">
        <f t="shared" si="0"/>
        <v>#DIV/0!</v>
      </c>
    </row>
    <row r="25" spans="1:43" ht="18" customHeight="1" x14ac:dyDescent="0.15">
      <c r="A25" s="6"/>
      <c r="B25" s="12"/>
      <c r="C25" s="65"/>
      <c r="D25" s="66"/>
      <c r="E25" s="67"/>
      <c r="F25" s="68">
        <f t="shared" si="1"/>
        <v>0</v>
      </c>
      <c r="G25" s="69"/>
      <c r="H25" s="70"/>
      <c r="I25" s="68">
        <f t="shared" si="2"/>
        <v>0</v>
      </c>
      <c r="J25" s="69"/>
      <c r="K25" s="70"/>
      <c r="L25" s="68">
        <f t="shared" si="3"/>
        <v>0</v>
      </c>
      <c r="M25" s="69"/>
      <c r="N25" s="70"/>
      <c r="O25" s="68">
        <f t="shared" si="4"/>
        <v>0</v>
      </c>
      <c r="P25" s="69"/>
      <c r="Q25" s="70"/>
      <c r="R25" s="68">
        <f t="shared" si="5"/>
        <v>0</v>
      </c>
      <c r="S25" s="69"/>
      <c r="T25" s="70"/>
      <c r="U25" s="68">
        <f t="shared" si="6"/>
        <v>0</v>
      </c>
      <c r="V25" s="69"/>
      <c r="W25" s="70"/>
      <c r="X25" s="68">
        <f t="shared" si="7"/>
        <v>0</v>
      </c>
      <c r="Y25" s="69"/>
      <c r="Z25" s="70"/>
      <c r="AA25" s="68">
        <f t="shared" si="8"/>
        <v>0</v>
      </c>
      <c r="AB25" s="69"/>
      <c r="AC25" s="70"/>
      <c r="AD25" s="68">
        <f t="shared" si="9"/>
        <v>0</v>
      </c>
      <c r="AE25" s="69"/>
      <c r="AF25" s="70"/>
      <c r="AG25" s="68">
        <f t="shared" si="10"/>
        <v>0</v>
      </c>
      <c r="AH25" s="69"/>
      <c r="AI25" s="70"/>
      <c r="AJ25" s="68">
        <f t="shared" si="11"/>
        <v>0</v>
      </c>
      <c r="AK25" s="69"/>
      <c r="AL25" s="70"/>
      <c r="AM25" s="68">
        <f t="shared" si="12"/>
        <v>0</v>
      </c>
      <c r="AN25" s="69"/>
      <c r="AO25" s="70"/>
      <c r="AP25" s="66">
        <f t="shared" si="13"/>
        <v>0</v>
      </c>
      <c r="AQ25" s="8" t="e">
        <f t="shared" si="0"/>
        <v>#DIV/0!</v>
      </c>
    </row>
    <row r="26" spans="1:43" ht="18" customHeight="1" x14ac:dyDescent="0.15">
      <c r="A26" s="6"/>
      <c r="B26" s="12"/>
      <c r="C26" s="65"/>
      <c r="D26" s="66"/>
      <c r="E26" s="67"/>
      <c r="F26" s="68">
        <f t="shared" si="1"/>
        <v>0</v>
      </c>
      <c r="G26" s="69"/>
      <c r="H26" s="70"/>
      <c r="I26" s="68">
        <f t="shared" si="2"/>
        <v>0</v>
      </c>
      <c r="J26" s="69"/>
      <c r="K26" s="70"/>
      <c r="L26" s="68">
        <f t="shared" si="3"/>
        <v>0</v>
      </c>
      <c r="M26" s="69"/>
      <c r="N26" s="70"/>
      <c r="O26" s="68">
        <f t="shared" si="4"/>
        <v>0</v>
      </c>
      <c r="P26" s="69"/>
      <c r="Q26" s="70"/>
      <c r="R26" s="68">
        <f t="shared" si="5"/>
        <v>0</v>
      </c>
      <c r="S26" s="69"/>
      <c r="T26" s="70"/>
      <c r="U26" s="68">
        <f t="shared" si="6"/>
        <v>0</v>
      </c>
      <c r="V26" s="69"/>
      <c r="W26" s="70"/>
      <c r="X26" s="68">
        <f t="shared" si="7"/>
        <v>0</v>
      </c>
      <c r="Y26" s="69"/>
      <c r="Z26" s="70"/>
      <c r="AA26" s="68">
        <f t="shared" si="8"/>
        <v>0</v>
      </c>
      <c r="AB26" s="69"/>
      <c r="AC26" s="70"/>
      <c r="AD26" s="68">
        <f t="shared" si="9"/>
        <v>0</v>
      </c>
      <c r="AE26" s="69"/>
      <c r="AF26" s="70"/>
      <c r="AG26" s="68">
        <f t="shared" si="10"/>
        <v>0</v>
      </c>
      <c r="AH26" s="69"/>
      <c r="AI26" s="70"/>
      <c r="AJ26" s="68">
        <f t="shared" si="11"/>
        <v>0</v>
      </c>
      <c r="AK26" s="69"/>
      <c r="AL26" s="70"/>
      <c r="AM26" s="68">
        <f t="shared" si="12"/>
        <v>0</v>
      </c>
      <c r="AN26" s="69"/>
      <c r="AO26" s="70"/>
      <c r="AP26" s="66">
        <f t="shared" si="13"/>
        <v>0</v>
      </c>
      <c r="AQ26" s="8" t="e">
        <f t="shared" si="0"/>
        <v>#DIV/0!</v>
      </c>
    </row>
    <row r="27" spans="1:43" ht="18" customHeight="1" x14ac:dyDescent="0.15">
      <c r="A27" s="6"/>
      <c r="B27" s="12"/>
      <c r="C27" s="65"/>
      <c r="D27" s="66"/>
      <c r="E27" s="67"/>
      <c r="F27" s="68">
        <f t="shared" si="1"/>
        <v>0</v>
      </c>
      <c r="G27" s="69"/>
      <c r="H27" s="70"/>
      <c r="I27" s="68">
        <f t="shared" si="2"/>
        <v>0</v>
      </c>
      <c r="J27" s="69"/>
      <c r="K27" s="70"/>
      <c r="L27" s="68">
        <f t="shared" si="3"/>
        <v>0</v>
      </c>
      <c r="M27" s="69"/>
      <c r="N27" s="70"/>
      <c r="O27" s="68">
        <f t="shared" si="4"/>
        <v>0</v>
      </c>
      <c r="P27" s="69"/>
      <c r="Q27" s="70"/>
      <c r="R27" s="68">
        <f t="shared" si="5"/>
        <v>0</v>
      </c>
      <c r="S27" s="69"/>
      <c r="T27" s="70"/>
      <c r="U27" s="68">
        <f t="shared" si="6"/>
        <v>0</v>
      </c>
      <c r="V27" s="69"/>
      <c r="W27" s="70"/>
      <c r="X27" s="68">
        <f t="shared" si="7"/>
        <v>0</v>
      </c>
      <c r="Y27" s="69"/>
      <c r="Z27" s="70"/>
      <c r="AA27" s="68">
        <f t="shared" si="8"/>
        <v>0</v>
      </c>
      <c r="AB27" s="69"/>
      <c r="AC27" s="70"/>
      <c r="AD27" s="68">
        <f t="shared" si="9"/>
        <v>0</v>
      </c>
      <c r="AE27" s="69"/>
      <c r="AF27" s="70"/>
      <c r="AG27" s="68">
        <f t="shared" si="10"/>
        <v>0</v>
      </c>
      <c r="AH27" s="69"/>
      <c r="AI27" s="70"/>
      <c r="AJ27" s="68">
        <f t="shared" si="11"/>
        <v>0</v>
      </c>
      <c r="AK27" s="69"/>
      <c r="AL27" s="70"/>
      <c r="AM27" s="68">
        <f t="shared" si="12"/>
        <v>0</v>
      </c>
      <c r="AN27" s="69"/>
      <c r="AO27" s="70"/>
      <c r="AP27" s="66">
        <f t="shared" si="13"/>
        <v>0</v>
      </c>
      <c r="AQ27" s="8" t="e">
        <f t="shared" si="0"/>
        <v>#DIV/0!</v>
      </c>
    </row>
    <row r="28" spans="1:43" ht="18" customHeight="1" x14ac:dyDescent="0.15">
      <c r="A28" s="6"/>
      <c r="B28" s="12"/>
      <c r="C28" s="65"/>
      <c r="D28" s="66"/>
      <c r="E28" s="67"/>
      <c r="F28" s="68">
        <f t="shared" si="1"/>
        <v>0</v>
      </c>
      <c r="G28" s="69"/>
      <c r="H28" s="70"/>
      <c r="I28" s="68">
        <f t="shared" si="2"/>
        <v>0</v>
      </c>
      <c r="J28" s="69"/>
      <c r="K28" s="70"/>
      <c r="L28" s="68">
        <f t="shared" si="3"/>
        <v>0</v>
      </c>
      <c r="M28" s="69"/>
      <c r="N28" s="70"/>
      <c r="O28" s="68">
        <f t="shared" si="4"/>
        <v>0</v>
      </c>
      <c r="P28" s="69"/>
      <c r="Q28" s="70"/>
      <c r="R28" s="68">
        <f t="shared" si="5"/>
        <v>0</v>
      </c>
      <c r="S28" s="69"/>
      <c r="T28" s="70"/>
      <c r="U28" s="68">
        <f t="shared" si="6"/>
        <v>0</v>
      </c>
      <c r="V28" s="69"/>
      <c r="W28" s="70"/>
      <c r="X28" s="68">
        <f t="shared" si="7"/>
        <v>0</v>
      </c>
      <c r="Y28" s="69"/>
      <c r="Z28" s="70"/>
      <c r="AA28" s="68">
        <f t="shared" si="8"/>
        <v>0</v>
      </c>
      <c r="AB28" s="69"/>
      <c r="AC28" s="70"/>
      <c r="AD28" s="68">
        <f t="shared" si="9"/>
        <v>0</v>
      </c>
      <c r="AE28" s="69"/>
      <c r="AF28" s="70"/>
      <c r="AG28" s="68">
        <f t="shared" si="10"/>
        <v>0</v>
      </c>
      <c r="AH28" s="69"/>
      <c r="AI28" s="70"/>
      <c r="AJ28" s="68">
        <f t="shared" si="11"/>
        <v>0</v>
      </c>
      <c r="AK28" s="69"/>
      <c r="AL28" s="70"/>
      <c r="AM28" s="68">
        <f t="shared" si="12"/>
        <v>0</v>
      </c>
      <c r="AN28" s="69"/>
      <c r="AO28" s="70"/>
      <c r="AP28" s="66">
        <f t="shared" si="13"/>
        <v>0</v>
      </c>
      <c r="AQ28" s="8" t="e">
        <f t="shared" si="0"/>
        <v>#DIV/0!</v>
      </c>
    </row>
    <row r="29" spans="1:43" ht="18" customHeight="1" x14ac:dyDescent="0.15">
      <c r="A29" s="6"/>
      <c r="B29" s="12"/>
      <c r="C29" s="65"/>
      <c r="D29" s="71"/>
      <c r="E29" s="67"/>
      <c r="F29" s="68">
        <f t="shared" si="1"/>
        <v>0</v>
      </c>
      <c r="G29" s="69"/>
      <c r="H29" s="70"/>
      <c r="I29" s="68">
        <f t="shared" si="2"/>
        <v>0</v>
      </c>
      <c r="J29" s="69"/>
      <c r="K29" s="70"/>
      <c r="L29" s="68">
        <f t="shared" si="3"/>
        <v>0</v>
      </c>
      <c r="M29" s="69"/>
      <c r="N29" s="70"/>
      <c r="O29" s="68">
        <f t="shared" si="4"/>
        <v>0</v>
      </c>
      <c r="P29" s="69"/>
      <c r="Q29" s="70"/>
      <c r="R29" s="68">
        <f t="shared" si="5"/>
        <v>0</v>
      </c>
      <c r="S29" s="69"/>
      <c r="T29" s="70"/>
      <c r="U29" s="68">
        <f t="shared" si="6"/>
        <v>0</v>
      </c>
      <c r="V29" s="69"/>
      <c r="W29" s="70"/>
      <c r="X29" s="68">
        <f t="shared" si="7"/>
        <v>0</v>
      </c>
      <c r="Y29" s="69"/>
      <c r="Z29" s="70"/>
      <c r="AA29" s="68">
        <f t="shared" si="8"/>
        <v>0</v>
      </c>
      <c r="AB29" s="69"/>
      <c r="AC29" s="70"/>
      <c r="AD29" s="68">
        <f t="shared" si="9"/>
        <v>0</v>
      </c>
      <c r="AE29" s="69"/>
      <c r="AF29" s="70"/>
      <c r="AG29" s="68">
        <f t="shared" si="10"/>
        <v>0</v>
      </c>
      <c r="AH29" s="69"/>
      <c r="AI29" s="70"/>
      <c r="AJ29" s="68">
        <f t="shared" si="11"/>
        <v>0</v>
      </c>
      <c r="AK29" s="69"/>
      <c r="AL29" s="70"/>
      <c r="AM29" s="68">
        <f t="shared" si="12"/>
        <v>0</v>
      </c>
      <c r="AN29" s="69"/>
      <c r="AO29" s="70"/>
      <c r="AP29" s="71">
        <f t="shared" si="13"/>
        <v>0</v>
      </c>
      <c r="AQ29" s="8" t="e">
        <f t="shared" si="0"/>
        <v>#DIV/0!</v>
      </c>
    </row>
    <row r="30" spans="1:43" ht="18" customHeight="1" x14ac:dyDescent="0.15">
      <c r="A30" s="6"/>
      <c r="B30" s="12"/>
      <c r="C30" s="65"/>
      <c r="D30" s="71"/>
      <c r="E30" s="67"/>
      <c r="F30" s="68">
        <f t="shared" si="1"/>
        <v>0</v>
      </c>
      <c r="G30" s="69"/>
      <c r="H30" s="70"/>
      <c r="I30" s="68">
        <f t="shared" si="2"/>
        <v>0</v>
      </c>
      <c r="J30" s="69"/>
      <c r="K30" s="70"/>
      <c r="L30" s="68">
        <f t="shared" si="3"/>
        <v>0</v>
      </c>
      <c r="M30" s="69"/>
      <c r="N30" s="70"/>
      <c r="O30" s="68">
        <f t="shared" si="4"/>
        <v>0</v>
      </c>
      <c r="P30" s="69"/>
      <c r="Q30" s="70"/>
      <c r="R30" s="68">
        <f t="shared" si="5"/>
        <v>0</v>
      </c>
      <c r="S30" s="69"/>
      <c r="T30" s="70"/>
      <c r="U30" s="68">
        <f t="shared" si="6"/>
        <v>0</v>
      </c>
      <c r="V30" s="69"/>
      <c r="W30" s="70"/>
      <c r="X30" s="68">
        <f t="shared" si="7"/>
        <v>0</v>
      </c>
      <c r="Y30" s="69"/>
      <c r="Z30" s="70"/>
      <c r="AA30" s="68">
        <f t="shared" si="8"/>
        <v>0</v>
      </c>
      <c r="AB30" s="69"/>
      <c r="AC30" s="70"/>
      <c r="AD30" s="68">
        <f t="shared" si="9"/>
        <v>0</v>
      </c>
      <c r="AE30" s="69"/>
      <c r="AF30" s="70"/>
      <c r="AG30" s="68">
        <f t="shared" si="10"/>
        <v>0</v>
      </c>
      <c r="AH30" s="69"/>
      <c r="AI30" s="70"/>
      <c r="AJ30" s="68">
        <f t="shared" si="11"/>
        <v>0</v>
      </c>
      <c r="AK30" s="69"/>
      <c r="AL30" s="70"/>
      <c r="AM30" s="68">
        <f t="shared" si="12"/>
        <v>0</v>
      </c>
      <c r="AN30" s="69"/>
      <c r="AO30" s="70"/>
      <c r="AP30" s="71">
        <f t="shared" si="13"/>
        <v>0</v>
      </c>
      <c r="AQ30" s="8" t="e">
        <f t="shared" si="0"/>
        <v>#DIV/0!</v>
      </c>
    </row>
    <row r="31" spans="1:43" ht="18" customHeight="1" thickBot="1" x14ac:dyDescent="0.2">
      <c r="A31" s="6"/>
      <c r="B31" s="13"/>
      <c r="C31" s="60"/>
      <c r="D31" s="72"/>
      <c r="E31" s="62"/>
      <c r="F31" s="62">
        <f t="shared" si="1"/>
        <v>0</v>
      </c>
      <c r="G31" s="73"/>
      <c r="H31" s="74"/>
      <c r="I31" s="62">
        <f t="shared" si="2"/>
        <v>0</v>
      </c>
      <c r="J31" s="73"/>
      <c r="K31" s="74"/>
      <c r="L31" s="62">
        <f t="shared" si="3"/>
        <v>0</v>
      </c>
      <c r="M31" s="73"/>
      <c r="N31" s="74"/>
      <c r="O31" s="62">
        <f t="shared" si="4"/>
        <v>0</v>
      </c>
      <c r="P31" s="73"/>
      <c r="Q31" s="74"/>
      <c r="R31" s="62">
        <f t="shared" si="5"/>
        <v>0</v>
      </c>
      <c r="S31" s="73"/>
      <c r="T31" s="74"/>
      <c r="U31" s="62">
        <f t="shared" si="6"/>
        <v>0</v>
      </c>
      <c r="V31" s="73"/>
      <c r="W31" s="74"/>
      <c r="X31" s="62">
        <f t="shared" si="7"/>
        <v>0</v>
      </c>
      <c r="Y31" s="73"/>
      <c r="Z31" s="74"/>
      <c r="AA31" s="62">
        <f t="shared" si="8"/>
        <v>0</v>
      </c>
      <c r="AB31" s="73"/>
      <c r="AC31" s="74"/>
      <c r="AD31" s="62">
        <f t="shared" si="9"/>
        <v>0</v>
      </c>
      <c r="AE31" s="73"/>
      <c r="AF31" s="74"/>
      <c r="AG31" s="62">
        <f t="shared" si="10"/>
        <v>0</v>
      </c>
      <c r="AH31" s="73"/>
      <c r="AI31" s="74"/>
      <c r="AJ31" s="62">
        <f t="shared" si="11"/>
        <v>0</v>
      </c>
      <c r="AK31" s="73"/>
      <c r="AL31" s="74"/>
      <c r="AM31" s="62">
        <f t="shared" si="12"/>
        <v>0</v>
      </c>
      <c r="AN31" s="73"/>
      <c r="AO31" s="74"/>
      <c r="AP31" s="72">
        <f t="shared" si="13"/>
        <v>0</v>
      </c>
      <c r="AQ31" s="7" t="e">
        <f t="shared" si="0"/>
        <v>#DIV/0!</v>
      </c>
    </row>
    <row r="32" spans="1:43" ht="18" customHeight="1" thickTop="1" x14ac:dyDescent="0.15">
      <c r="B32" s="14" t="s">
        <v>32</v>
      </c>
      <c r="C32" s="75">
        <f t="shared" ref="C32:AP32" si="14">SUM(C12:C31)</f>
        <v>6281</v>
      </c>
      <c r="D32" s="76">
        <f t="shared" si="14"/>
        <v>1748</v>
      </c>
      <c r="E32" s="77">
        <f t="shared" si="14"/>
        <v>6256</v>
      </c>
      <c r="F32" s="77">
        <f t="shared" si="14"/>
        <v>1595</v>
      </c>
      <c r="G32" s="78">
        <f t="shared" si="14"/>
        <v>691</v>
      </c>
      <c r="H32" s="79">
        <f t="shared" si="14"/>
        <v>904</v>
      </c>
      <c r="I32" s="77">
        <f t="shared" si="14"/>
        <v>812</v>
      </c>
      <c r="J32" s="78">
        <f t="shared" si="14"/>
        <v>314</v>
      </c>
      <c r="K32" s="79">
        <f t="shared" si="14"/>
        <v>498</v>
      </c>
      <c r="L32" s="77">
        <f t="shared" si="14"/>
        <v>0</v>
      </c>
      <c r="M32" s="78">
        <f t="shared" si="14"/>
        <v>0</v>
      </c>
      <c r="N32" s="79">
        <f t="shared" si="14"/>
        <v>0</v>
      </c>
      <c r="O32" s="77">
        <f t="shared" si="14"/>
        <v>0</v>
      </c>
      <c r="P32" s="78">
        <f t="shared" si="14"/>
        <v>0</v>
      </c>
      <c r="Q32" s="79">
        <f t="shared" si="14"/>
        <v>0</v>
      </c>
      <c r="R32" s="77">
        <f t="shared" si="14"/>
        <v>0</v>
      </c>
      <c r="S32" s="78">
        <f t="shared" si="14"/>
        <v>0</v>
      </c>
      <c r="T32" s="79">
        <f t="shared" si="14"/>
        <v>0</v>
      </c>
      <c r="U32" s="77">
        <f t="shared" si="14"/>
        <v>0</v>
      </c>
      <c r="V32" s="78">
        <f t="shared" si="14"/>
        <v>0</v>
      </c>
      <c r="W32" s="79">
        <f t="shared" si="14"/>
        <v>0</v>
      </c>
      <c r="X32" s="77">
        <f t="shared" si="14"/>
        <v>0</v>
      </c>
      <c r="Y32" s="78">
        <f t="shared" si="14"/>
        <v>0</v>
      </c>
      <c r="Z32" s="79">
        <f t="shared" si="14"/>
        <v>0</v>
      </c>
      <c r="AA32" s="77">
        <f t="shared" si="14"/>
        <v>0</v>
      </c>
      <c r="AB32" s="78">
        <f t="shared" si="14"/>
        <v>0</v>
      </c>
      <c r="AC32" s="79">
        <f t="shared" si="14"/>
        <v>0</v>
      </c>
      <c r="AD32" s="77">
        <f t="shared" si="14"/>
        <v>0</v>
      </c>
      <c r="AE32" s="78">
        <f t="shared" si="14"/>
        <v>0</v>
      </c>
      <c r="AF32" s="79">
        <f t="shared" si="14"/>
        <v>0</v>
      </c>
      <c r="AG32" s="77">
        <f t="shared" si="14"/>
        <v>0</v>
      </c>
      <c r="AH32" s="78">
        <f t="shared" si="14"/>
        <v>0</v>
      </c>
      <c r="AI32" s="79">
        <f t="shared" si="14"/>
        <v>0</v>
      </c>
      <c r="AJ32" s="77">
        <f t="shared" si="14"/>
        <v>0</v>
      </c>
      <c r="AK32" s="78">
        <f t="shared" si="14"/>
        <v>0</v>
      </c>
      <c r="AL32" s="79">
        <f t="shared" si="14"/>
        <v>0</v>
      </c>
      <c r="AM32" s="77">
        <f t="shared" si="14"/>
        <v>0</v>
      </c>
      <c r="AN32" s="78">
        <f t="shared" si="14"/>
        <v>0</v>
      </c>
      <c r="AO32" s="79">
        <f t="shared" si="14"/>
        <v>0</v>
      </c>
      <c r="AP32" s="76">
        <f t="shared" si="14"/>
        <v>1595</v>
      </c>
      <c r="AQ32" s="9">
        <f t="shared" si="0"/>
        <v>0.25495524296675193</v>
      </c>
    </row>
  </sheetData>
  <mergeCells count="27">
    <mergeCell ref="AM2:AQ2"/>
    <mergeCell ref="A3:AQ3"/>
    <mergeCell ref="C5:D5"/>
    <mergeCell ref="B9:B11"/>
    <mergeCell ref="C9:C11"/>
    <mergeCell ref="D9:D11"/>
    <mergeCell ref="E9:E11"/>
    <mergeCell ref="F9:K9"/>
    <mergeCell ref="L9:Q9"/>
    <mergeCell ref="R9:W9"/>
    <mergeCell ref="F10:H10"/>
    <mergeCell ref="I10:K10"/>
    <mergeCell ref="L10:N10"/>
    <mergeCell ref="O10:Q10"/>
    <mergeCell ref="R10:T10"/>
    <mergeCell ref="X9:AC9"/>
    <mergeCell ref="AD9:AI9"/>
    <mergeCell ref="AJ9:AO9"/>
    <mergeCell ref="AP9:AP11"/>
    <mergeCell ref="AQ9:AQ11"/>
    <mergeCell ref="AM10:AO10"/>
    <mergeCell ref="AJ10:AL10"/>
    <mergeCell ref="U10:W10"/>
    <mergeCell ref="X10:Z10"/>
    <mergeCell ref="AA10:AC10"/>
    <mergeCell ref="AD10:AF10"/>
    <mergeCell ref="AG10:AI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horizontalDpi="1200" verticalDpi="1200" r:id="rId1"/>
  <headerFooter>
    <oddHeader>&amp;C数理・データサイエンス・AI教育プログラム認定制度【リテラシーレベル】</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B5335-8FCC-4488-9510-3733CE938D84}">
  <sheetPr>
    <pageSetUpPr fitToPage="1"/>
  </sheetPr>
  <dimension ref="A1:O134"/>
  <sheetViews>
    <sheetView showZeros="0" view="pageBreakPreview" zoomScaleNormal="100" zoomScaleSheetLayoutView="100" workbookViewId="0">
      <selection activeCell="J2" sqref="J2"/>
    </sheetView>
  </sheetViews>
  <sheetFormatPr defaultColWidth="11.375" defaultRowHeight="18.75" customHeight="1" x14ac:dyDescent="0.15"/>
  <cols>
    <col min="1" max="1" width="2.75" style="39"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9" t="s">
        <v>64</v>
      </c>
      <c r="I1" s="33" t="s">
        <v>105</v>
      </c>
    </row>
    <row r="2" spans="1:9" ht="18.75" customHeight="1" x14ac:dyDescent="0.15">
      <c r="G2" s="33" t="s">
        <v>108</v>
      </c>
      <c r="H2" s="136" t="str">
        <f>'様式１ー１　プログラムを構成する授業科目'!C2</f>
        <v>順天堂大学</v>
      </c>
      <c r="I2" s="117"/>
    </row>
    <row r="3" spans="1:9" ht="18.75" customHeight="1" x14ac:dyDescent="0.15">
      <c r="G3" s="33"/>
      <c r="H3" s="10"/>
      <c r="I3" s="10"/>
    </row>
    <row r="4" spans="1:9" ht="18.600000000000001" customHeight="1" x14ac:dyDescent="0.15">
      <c r="A4" s="158" t="s">
        <v>35</v>
      </c>
      <c r="B4" s="158"/>
      <c r="C4" s="158"/>
      <c r="D4" s="158"/>
      <c r="E4" s="158"/>
      <c r="F4" s="158"/>
      <c r="G4" s="158"/>
      <c r="H4" s="158"/>
      <c r="I4" s="158"/>
    </row>
    <row r="5" spans="1:9" ht="13.15" customHeight="1" x14ac:dyDescent="0.15">
      <c r="B5" s="3"/>
      <c r="C5" s="3"/>
      <c r="D5" s="3"/>
      <c r="E5" s="3"/>
      <c r="F5" s="3"/>
      <c r="G5" s="3"/>
      <c r="H5" s="3"/>
      <c r="I5" s="3"/>
    </row>
    <row r="6" spans="1:9" ht="18" customHeight="1" x14ac:dyDescent="0.15">
      <c r="A6" s="1" t="s">
        <v>0</v>
      </c>
      <c r="B6" s="10" t="s">
        <v>90</v>
      </c>
      <c r="C6" s="215" t="s">
        <v>91</v>
      </c>
      <c r="D6" s="215"/>
      <c r="E6" s="32">
        <v>1871</v>
      </c>
      <c r="F6" s="3" t="s">
        <v>1</v>
      </c>
      <c r="G6" s="3" t="s">
        <v>2</v>
      </c>
      <c r="H6" s="32">
        <v>3192</v>
      </c>
      <c r="I6" s="10" t="s">
        <v>1</v>
      </c>
    </row>
    <row r="7" spans="1:9" ht="12" customHeight="1" x14ac:dyDescent="0.15">
      <c r="C7" s="2"/>
      <c r="D7" s="2"/>
      <c r="E7" s="2"/>
      <c r="F7" s="2"/>
      <c r="G7" s="2"/>
      <c r="H7" s="2"/>
      <c r="I7" s="40"/>
    </row>
    <row r="8" spans="1:9" ht="18" customHeight="1" x14ac:dyDescent="0.15">
      <c r="A8" s="1" t="s">
        <v>3</v>
      </c>
      <c r="B8" s="10" t="s">
        <v>92</v>
      </c>
      <c r="E8" s="3"/>
      <c r="F8" s="3"/>
      <c r="G8" s="3"/>
      <c r="H8" s="32">
        <v>51</v>
      </c>
      <c r="I8" s="10" t="s">
        <v>1</v>
      </c>
    </row>
    <row r="9" spans="1:9" ht="9" customHeight="1" x14ac:dyDescent="0.15">
      <c r="B9" s="3"/>
      <c r="C9" s="3"/>
      <c r="D9" s="3"/>
      <c r="E9" s="3"/>
      <c r="F9" s="3"/>
      <c r="G9" s="3"/>
      <c r="H9" s="3"/>
      <c r="I9" s="3"/>
    </row>
    <row r="10" spans="1:9" ht="18" customHeight="1" x14ac:dyDescent="0.15">
      <c r="A10" s="1" t="s">
        <v>4</v>
      </c>
      <c r="B10" s="10" t="s">
        <v>93</v>
      </c>
      <c r="C10" s="3"/>
      <c r="D10" s="3"/>
      <c r="E10" s="3"/>
      <c r="F10" s="3"/>
      <c r="G10" s="3"/>
      <c r="H10" s="3"/>
      <c r="I10" s="3"/>
    </row>
    <row r="11" spans="1:9" ht="18" customHeight="1" x14ac:dyDescent="0.15">
      <c r="B11" s="33" t="s">
        <v>42</v>
      </c>
      <c r="C11" s="216" t="s">
        <v>236</v>
      </c>
      <c r="D11" s="217"/>
      <c r="E11" s="218"/>
      <c r="F11" s="40"/>
      <c r="G11" s="33" t="s">
        <v>10</v>
      </c>
      <c r="H11" s="219" t="s">
        <v>237</v>
      </c>
      <c r="I11" s="220"/>
    </row>
    <row r="12" spans="1:9" ht="10.15" customHeight="1" x14ac:dyDescent="0.15">
      <c r="B12" s="33"/>
      <c r="C12" s="10"/>
      <c r="D12" s="40"/>
      <c r="E12" s="40"/>
      <c r="F12" s="40"/>
      <c r="G12" s="33"/>
      <c r="H12" s="10"/>
      <c r="I12" s="40"/>
    </row>
    <row r="13" spans="1:9" ht="18" customHeight="1" x14ac:dyDescent="0.15">
      <c r="A13" s="1" t="s">
        <v>7</v>
      </c>
      <c r="B13" s="10" t="s">
        <v>87</v>
      </c>
      <c r="C13" s="3"/>
      <c r="D13" s="3"/>
      <c r="E13" s="3"/>
      <c r="F13" s="3"/>
      <c r="G13" s="3"/>
      <c r="H13" s="3"/>
      <c r="I13" s="3"/>
    </row>
    <row r="14" spans="1:9" ht="18" customHeight="1" x14ac:dyDescent="0.15">
      <c r="B14" s="216" t="s">
        <v>255</v>
      </c>
      <c r="C14" s="221"/>
      <c r="D14" s="221"/>
      <c r="E14" s="221"/>
      <c r="F14" s="221"/>
      <c r="G14" s="221"/>
      <c r="H14" s="221"/>
      <c r="I14" s="222"/>
    </row>
    <row r="15" spans="1:9" ht="9" customHeight="1" x14ac:dyDescent="0.15">
      <c r="B15" s="3"/>
      <c r="C15" s="3"/>
      <c r="D15" s="3"/>
      <c r="E15" s="3"/>
      <c r="F15" s="3"/>
      <c r="G15" s="3"/>
      <c r="H15" s="3"/>
      <c r="I15" s="3"/>
    </row>
    <row r="16" spans="1:9" ht="18" customHeight="1" x14ac:dyDescent="0.15">
      <c r="B16" s="33" t="s">
        <v>42</v>
      </c>
      <c r="C16" s="216" t="s">
        <v>236</v>
      </c>
      <c r="D16" s="217"/>
      <c r="E16" s="218"/>
      <c r="F16" s="40"/>
      <c r="G16" s="33" t="s">
        <v>10</v>
      </c>
      <c r="H16" s="219" t="s">
        <v>237</v>
      </c>
      <c r="I16" s="220"/>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23" t="s">
        <v>238</v>
      </c>
      <c r="C19" s="224"/>
      <c r="D19" s="224"/>
      <c r="E19" s="224"/>
      <c r="F19" s="224"/>
      <c r="G19" s="224"/>
      <c r="H19" s="224"/>
      <c r="I19" s="225"/>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5"/>
      <c r="B22" s="226" t="s">
        <v>239</v>
      </c>
      <c r="C22" s="227"/>
      <c r="D22" s="227"/>
      <c r="E22" s="227"/>
      <c r="F22" s="227"/>
      <c r="G22" s="227"/>
      <c r="H22" s="227"/>
      <c r="I22" s="228"/>
    </row>
    <row r="23" spans="1:9" ht="18.75" customHeight="1" x14ac:dyDescent="0.15">
      <c r="A23" s="15"/>
      <c r="B23" s="229"/>
      <c r="C23" s="230"/>
      <c r="D23" s="230"/>
      <c r="E23" s="230"/>
      <c r="F23" s="230"/>
      <c r="G23" s="230"/>
      <c r="H23" s="230"/>
      <c r="I23" s="231"/>
    </row>
    <row r="24" spans="1:9" ht="18.75" customHeight="1" x14ac:dyDescent="0.15">
      <c r="A24" s="15"/>
      <c r="B24" s="229"/>
      <c r="C24" s="230"/>
      <c r="D24" s="230"/>
      <c r="E24" s="230"/>
      <c r="F24" s="230"/>
      <c r="G24" s="230"/>
      <c r="H24" s="230"/>
      <c r="I24" s="231"/>
    </row>
    <row r="25" spans="1:9" ht="18.75" customHeight="1" x14ac:dyDescent="0.15">
      <c r="A25" s="15"/>
      <c r="B25" s="229"/>
      <c r="C25" s="230"/>
      <c r="D25" s="230"/>
      <c r="E25" s="230"/>
      <c r="F25" s="230"/>
      <c r="G25" s="230"/>
      <c r="H25" s="230"/>
      <c r="I25" s="231"/>
    </row>
    <row r="26" spans="1:9" ht="18.75" customHeight="1" x14ac:dyDescent="0.15">
      <c r="A26" s="15"/>
      <c r="B26" s="229"/>
      <c r="C26" s="230"/>
      <c r="D26" s="230"/>
      <c r="E26" s="230"/>
      <c r="F26" s="230"/>
      <c r="G26" s="230"/>
      <c r="H26" s="230"/>
      <c r="I26" s="231"/>
    </row>
    <row r="27" spans="1:9" ht="18.75" customHeight="1" x14ac:dyDescent="0.15">
      <c r="A27" s="15"/>
      <c r="B27" s="229"/>
      <c r="C27" s="230"/>
      <c r="D27" s="230"/>
      <c r="E27" s="230"/>
      <c r="F27" s="230"/>
      <c r="G27" s="230"/>
      <c r="H27" s="230"/>
      <c r="I27" s="231"/>
    </row>
    <row r="28" spans="1:9" ht="18.75" customHeight="1" x14ac:dyDescent="0.15">
      <c r="A28" s="15"/>
      <c r="B28" s="229"/>
      <c r="C28" s="230"/>
      <c r="D28" s="230"/>
      <c r="E28" s="230"/>
      <c r="F28" s="230"/>
      <c r="G28" s="230"/>
      <c r="H28" s="230"/>
      <c r="I28" s="231"/>
    </row>
    <row r="29" spans="1:9" ht="18.75" customHeight="1" x14ac:dyDescent="0.15">
      <c r="A29" s="15"/>
      <c r="B29" s="229"/>
      <c r="C29" s="230"/>
      <c r="D29" s="230"/>
      <c r="E29" s="230"/>
      <c r="F29" s="230"/>
      <c r="G29" s="230"/>
      <c r="H29" s="230"/>
      <c r="I29" s="231"/>
    </row>
    <row r="30" spans="1:9" ht="18.75" customHeight="1" x14ac:dyDescent="0.15">
      <c r="A30" s="15"/>
      <c r="B30" s="232"/>
      <c r="C30" s="233"/>
      <c r="D30" s="233"/>
      <c r="E30" s="233"/>
      <c r="F30" s="233"/>
      <c r="G30" s="233"/>
      <c r="H30" s="233"/>
      <c r="I30" s="231"/>
    </row>
    <row r="31" spans="1:9" ht="18.75" customHeight="1" x14ac:dyDescent="0.15">
      <c r="A31" s="15"/>
      <c r="B31" s="232"/>
      <c r="C31" s="233"/>
      <c r="D31" s="233"/>
      <c r="E31" s="233"/>
      <c r="F31" s="233"/>
      <c r="G31" s="233"/>
      <c r="H31" s="233"/>
      <c r="I31" s="231"/>
    </row>
    <row r="32" spans="1:9" ht="18.75" customHeight="1" x14ac:dyDescent="0.15">
      <c r="A32" s="15"/>
      <c r="B32" s="234"/>
      <c r="C32" s="235"/>
      <c r="D32" s="235"/>
      <c r="E32" s="235"/>
      <c r="F32" s="235"/>
      <c r="G32" s="235"/>
      <c r="H32" s="235"/>
      <c r="I32" s="236"/>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26" t="s">
        <v>240</v>
      </c>
      <c r="C35" s="227"/>
      <c r="D35" s="227"/>
      <c r="E35" s="227"/>
      <c r="F35" s="227"/>
      <c r="G35" s="227"/>
      <c r="H35" s="227"/>
      <c r="I35" s="228"/>
    </row>
    <row r="36" spans="1:9" ht="18.75" customHeight="1" x14ac:dyDescent="0.15">
      <c r="A36" s="15"/>
      <c r="B36" s="232"/>
      <c r="C36" s="233"/>
      <c r="D36" s="233"/>
      <c r="E36" s="233"/>
      <c r="F36" s="233"/>
      <c r="G36" s="233"/>
      <c r="H36" s="233"/>
      <c r="I36" s="231"/>
    </row>
    <row r="37" spans="1:9" ht="18.75" customHeight="1" x14ac:dyDescent="0.15">
      <c r="A37" s="15"/>
      <c r="B37" s="232"/>
      <c r="C37" s="233"/>
      <c r="D37" s="233"/>
      <c r="E37" s="233"/>
      <c r="F37" s="233"/>
      <c r="G37" s="233"/>
      <c r="H37" s="233"/>
      <c r="I37" s="231"/>
    </row>
    <row r="38" spans="1:9" ht="18.75" customHeight="1" x14ac:dyDescent="0.15">
      <c r="A38" s="15"/>
      <c r="B38" s="232"/>
      <c r="C38" s="233"/>
      <c r="D38" s="233"/>
      <c r="E38" s="233"/>
      <c r="F38" s="233"/>
      <c r="G38" s="233"/>
      <c r="H38" s="233"/>
      <c r="I38" s="231"/>
    </row>
    <row r="39" spans="1:9" ht="18.75" customHeight="1" x14ac:dyDescent="0.15">
      <c r="A39" s="15"/>
      <c r="B39" s="232"/>
      <c r="C39" s="233"/>
      <c r="D39" s="233"/>
      <c r="E39" s="233"/>
      <c r="F39" s="233"/>
      <c r="G39" s="233"/>
      <c r="H39" s="233"/>
      <c r="I39" s="231"/>
    </row>
    <row r="40" spans="1:9" ht="18.75" customHeight="1" x14ac:dyDescent="0.15">
      <c r="A40" s="15"/>
      <c r="B40" s="232"/>
      <c r="C40" s="233"/>
      <c r="D40" s="233"/>
      <c r="E40" s="233"/>
      <c r="F40" s="233"/>
      <c r="G40" s="233"/>
      <c r="H40" s="233"/>
      <c r="I40" s="231"/>
    </row>
    <row r="41" spans="1:9" ht="18.75" customHeight="1" x14ac:dyDescent="0.15">
      <c r="A41" s="15"/>
      <c r="B41" s="232"/>
      <c r="C41" s="233"/>
      <c r="D41" s="233"/>
      <c r="E41" s="233"/>
      <c r="F41" s="233"/>
      <c r="G41" s="233"/>
      <c r="H41" s="233"/>
      <c r="I41" s="231"/>
    </row>
    <row r="42" spans="1:9" ht="18.75" customHeight="1" x14ac:dyDescent="0.15">
      <c r="A42" s="15"/>
      <c r="B42" s="232"/>
      <c r="C42" s="233"/>
      <c r="D42" s="233"/>
      <c r="E42" s="233"/>
      <c r="F42" s="233"/>
      <c r="G42" s="233"/>
      <c r="H42" s="233"/>
      <c r="I42" s="231"/>
    </row>
    <row r="43" spans="1:9" ht="18.75" customHeight="1" x14ac:dyDescent="0.15">
      <c r="A43" s="15"/>
      <c r="B43" s="232"/>
      <c r="C43" s="233"/>
      <c r="D43" s="233"/>
      <c r="E43" s="233"/>
      <c r="F43" s="233"/>
      <c r="G43" s="233"/>
      <c r="H43" s="233"/>
      <c r="I43" s="231"/>
    </row>
    <row r="44" spans="1:9" ht="18.75" customHeight="1" x14ac:dyDescent="0.15">
      <c r="A44" s="15"/>
      <c r="B44" s="232"/>
      <c r="C44" s="233"/>
      <c r="D44" s="233"/>
      <c r="E44" s="233"/>
      <c r="F44" s="233"/>
      <c r="G44" s="233"/>
      <c r="H44" s="233"/>
      <c r="I44" s="231"/>
    </row>
    <row r="45" spans="1:9" ht="18.75" customHeight="1" x14ac:dyDescent="0.15">
      <c r="A45" s="15"/>
      <c r="B45" s="232"/>
      <c r="C45" s="233"/>
      <c r="D45" s="233"/>
      <c r="E45" s="233"/>
      <c r="F45" s="233"/>
      <c r="G45" s="233"/>
      <c r="H45" s="233"/>
      <c r="I45" s="231"/>
    </row>
    <row r="46" spans="1:9" ht="18.75" customHeight="1" x14ac:dyDescent="0.15">
      <c r="A46" s="15"/>
      <c r="B46" s="234"/>
      <c r="C46" s="235"/>
      <c r="D46" s="235"/>
      <c r="E46" s="235"/>
      <c r="F46" s="235"/>
      <c r="G46" s="235"/>
      <c r="H46" s="235"/>
      <c r="I46" s="236"/>
    </row>
    <row r="47" spans="1:9" ht="7.5" customHeight="1" x14ac:dyDescent="0.15">
      <c r="A47" s="4"/>
      <c r="B47" s="4"/>
      <c r="C47" s="4"/>
      <c r="D47" s="4"/>
      <c r="E47" s="4"/>
      <c r="F47" s="4"/>
      <c r="G47" s="4"/>
      <c r="H47" s="4"/>
      <c r="I47" s="4"/>
    </row>
    <row r="48" spans="1:9" ht="18.75" customHeight="1" x14ac:dyDescent="0.15">
      <c r="A48" s="1" t="s">
        <v>30</v>
      </c>
      <c r="B48" s="1" t="s">
        <v>122</v>
      </c>
    </row>
    <row r="49" spans="1:15" s="3" customFormat="1" ht="18.75" customHeight="1" x14ac:dyDescent="0.15">
      <c r="B49" s="41" t="s">
        <v>88</v>
      </c>
      <c r="C49" s="214">
        <f>'様式２ 履修者等数の実績'!AQ32</f>
        <v>0.25495524296675193</v>
      </c>
      <c r="D49" s="214"/>
      <c r="E49" s="41" t="s">
        <v>65</v>
      </c>
      <c r="F49" s="214">
        <v>0.5</v>
      </c>
      <c r="G49" s="214"/>
      <c r="H49" s="41" t="s">
        <v>66</v>
      </c>
      <c r="I49" s="42">
        <v>0.7</v>
      </c>
      <c r="J49" s="1"/>
      <c r="M49" s="1"/>
      <c r="N49" s="43"/>
    </row>
    <row r="50" spans="1:15" s="3" customFormat="1" ht="18.75" customHeight="1" x14ac:dyDescent="0.15">
      <c r="B50" s="44" t="s">
        <v>67</v>
      </c>
      <c r="C50" s="238">
        <v>0.9</v>
      </c>
      <c r="D50" s="238"/>
      <c r="E50" s="44" t="s">
        <v>89</v>
      </c>
      <c r="F50" s="238">
        <v>0.95</v>
      </c>
      <c r="G50" s="238"/>
      <c r="H50" s="44" t="s">
        <v>68</v>
      </c>
      <c r="I50" s="45">
        <f>'様式２ 履修者等数の実績'!E32</f>
        <v>6256</v>
      </c>
      <c r="J50" s="1"/>
      <c r="M50" s="1"/>
      <c r="N50" s="43"/>
    </row>
    <row r="51" spans="1:15" ht="18.75" customHeight="1" x14ac:dyDescent="0.15">
      <c r="A51" s="1"/>
      <c r="B51" s="239" t="s">
        <v>69</v>
      </c>
      <c r="C51" s="240"/>
      <c r="D51" s="240"/>
      <c r="E51" s="240"/>
      <c r="F51" s="240"/>
      <c r="G51" s="240"/>
      <c r="H51" s="240"/>
      <c r="I51" s="241"/>
      <c r="N51" s="43"/>
      <c r="O51" s="3"/>
    </row>
    <row r="52" spans="1:15" ht="18.75" customHeight="1" x14ac:dyDescent="0.15">
      <c r="A52" s="1"/>
      <c r="B52" s="242" t="s">
        <v>300</v>
      </c>
      <c r="C52" s="243"/>
      <c r="D52" s="243"/>
      <c r="E52" s="243"/>
      <c r="F52" s="243"/>
      <c r="G52" s="243"/>
      <c r="H52" s="243"/>
      <c r="I52" s="244"/>
      <c r="N52" s="43"/>
      <c r="O52" s="3"/>
    </row>
    <row r="53" spans="1:15" ht="18.75" customHeight="1" x14ac:dyDescent="0.15">
      <c r="A53" s="1"/>
      <c r="B53" s="245"/>
      <c r="C53" s="246"/>
      <c r="D53" s="246"/>
      <c r="E53" s="246"/>
      <c r="F53" s="246"/>
      <c r="G53" s="246"/>
      <c r="H53" s="246"/>
      <c r="I53" s="247"/>
      <c r="N53" s="43"/>
      <c r="O53" s="3"/>
    </row>
    <row r="54" spans="1:15" ht="18.75" customHeight="1" x14ac:dyDescent="0.15">
      <c r="A54" s="1"/>
      <c r="B54" s="245"/>
      <c r="C54" s="246"/>
      <c r="D54" s="246"/>
      <c r="E54" s="246"/>
      <c r="F54" s="246"/>
      <c r="G54" s="246"/>
      <c r="H54" s="246"/>
      <c r="I54" s="247"/>
    </row>
    <row r="55" spans="1:15" ht="18.75" customHeight="1" x14ac:dyDescent="0.15">
      <c r="A55" s="1"/>
      <c r="B55" s="245"/>
      <c r="C55" s="246"/>
      <c r="D55" s="246"/>
      <c r="E55" s="246"/>
      <c r="F55" s="246"/>
      <c r="G55" s="246"/>
      <c r="H55" s="246"/>
      <c r="I55" s="247"/>
    </row>
    <row r="56" spans="1:15" ht="18.75" customHeight="1" x14ac:dyDescent="0.15">
      <c r="A56" s="1"/>
      <c r="B56" s="245"/>
      <c r="C56" s="246"/>
      <c r="D56" s="246"/>
      <c r="E56" s="246"/>
      <c r="F56" s="246"/>
      <c r="G56" s="246"/>
      <c r="H56" s="246"/>
      <c r="I56" s="247"/>
    </row>
    <row r="57" spans="1:15" ht="18.75" customHeight="1" x14ac:dyDescent="0.15">
      <c r="A57" s="1"/>
      <c r="B57" s="245"/>
      <c r="C57" s="246"/>
      <c r="D57" s="246"/>
      <c r="E57" s="246"/>
      <c r="F57" s="246"/>
      <c r="G57" s="246"/>
      <c r="H57" s="246"/>
      <c r="I57" s="247"/>
    </row>
    <row r="58" spans="1:15" ht="18.75" customHeight="1" x14ac:dyDescent="0.15">
      <c r="A58" s="1"/>
      <c r="B58" s="245"/>
      <c r="C58" s="246"/>
      <c r="D58" s="246"/>
      <c r="E58" s="246"/>
      <c r="F58" s="246"/>
      <c r="G58" s="246"/>
      <c r="H58" s="246"/>
      <c r="I58" s="247"/>
    </row>
    <row r="59" spans="1:15" ht="18.75" customHeight="1" x14ac:dyDescent="0.15">
      <c r="A59" s="1"/>
      <c r="B59" s="245"/>
      <c r="C59" s="246"/>
      <c r="D59" s="246"/>
      <c r="E59" s="246"/>
      <c r="F59" s="246"/>
      <c r="G59" s="246"/>
      <c r="H59" s="246"/>
      <c r="I59" s="247"/>
    </row>
    <row r="60" spans="1:15" ht="18.75" customHeight="1" x14ac:dyDescent="0.15">
      <c r="A60" s="1"/>
      <c r="B60" s="245"/>
      <c r="C60" s="246"/>
      <c r="D60" s="246"/>
      <c r="E60" s="246"/>
      <c r="F60" s="246"/>
      <c r="G60" s="246"/>
      <c r="H60" s="246"/>
      <c r="I60" s="247"/>
    </row>
    <row r="61" spans="1:15" ht="18.75" customHeight="1" x14ac:dyDescent="0.15">
      <c r="A61" s="1"/>
      <c r="B61" s="245"/>
      <c r="C61" s="246"/>
      <c r="D61" s="246"/>
      <c r="E61" s="246"/>
      <c r="F61" s="246"/>
      <c r="G61" s="246"/>
      <c r="H61" s="246"/>
      <c r="I61" s="247"/>
    </row>
    <row r="62" spans="1:15" ht="18.75" customHeight="1" x14ac:dyDescent="0.15">
      <c r="A62" s="1"/>
      <c r="B62" s="245"/>
      <c r="C62" s="246"/>
      <c r="D62" s="246"/>
      <c r="E62" s="246"/>
      <c r="F62" s="246"/>
      <c r="G62" s="246"/>
      <c r="H62" s="246"/>
      <c r="I62" s="247"/>
    </row>
    <row r="63" spans="1:15" ht="18.75" customHeight="1" x14ac:dyDescent="0.15">
      <c r="A63" s="1"/>
      <c r="B63" s="248"/>
      <c r="C63" s="249"/>
      <c r="D63" s="249"/>
      <c r="E63" s="249"/>
      <c r="F63" s="249"/>
      <c r="G63" s="249"/>
      <c r="H63" s="249"/>
      <c r="I63" s="250"/>
    </row>
    <row r="64" spans="1:15" ht="7.5" customHeight="1" x14ac:dyDescent="0.15">
      <c r="A64" s="15"/>
      <c r="B64" s="15"/>
      <c r="C64" s="15"/>
      <c r="D64" s="15"/>
      <c r="E64" s="15"/>
      <c r="F64" s="15"/>
      <c r="G64" s="15"/>
      <c r="H64" s="15"/>
      <c r="I64" s="15"/>
    </row>
    <row r="65" spans="1:9" ht="18.75" customHeight="1" x14ac:dyDescent="0.15">
      <c r="A65" s="16" t="s">
        <v>33</v>
      </c>
      <c r="B65" s="1" t="s">
        <v>36</v>
      </c>
      <c r="I65" s="16"/>
    </row>
    <row r="66" spans="1:9" ht="18.75" customHeight="1" x14ac:dyDescent="0.15">
      <c r="A66" s="4"/>
      <c r="B66" s="251" t="s">
        <v>241</v>
      </c>
      <c r="C66" s="252"/>
      <c r="D66" s="252"/>
      <c r="E66" s="252"/>
      <c r="F66" s="252"/>
      <c r="G66" s="252"/>
      <c r="H66" s="252"/>
      <c r="I66" s="253"/>
    </row>
    <row r="67" spans="1:9" ht="18.75" customHeight="1" x14ac:dyDescent="0.15">
      <c r="A67" s="4"/>
      <c r="B67" s="254"/>
      <c r="C67" s="255"/>
      <c r="D67" s="255"/>
      <c r="E67" s="255"/>
      <c r="F67" s="255"/>
      <c r="G67" s="255"/>
      <c r="H67" s="255"/>
      <c r="I67" s="256"/>
    </row>
    <row r="68" spans="1:9" ht="18.75" customHeight="1" x14ac:dyDescent="0.15">
      <c r="A68" s="4"/>
      <c r="B68" s="254"/>
      <c r="C68" s="255"/>
      <c r="D68" s="255"/>
      <c r="E68" s="255"/>
      <c r="F68" s="255"/>
      <c r="G68" s="255"/>
      <c r="H68" s="255"/>
      <c r="I68" s="256"/>
    </row>
    <row r="69" spans="1:9" ht="18.75" customHeight="1" x14ac:dyDescent="0.15">
      <c r="A69" s="4"/>
      <c r="B69" s="254"/>
      <c r="C69" s="255"/>
      <c r="D69" s="255"/>
      <c r="E69" s="255"/>
      <c r="F69" s="255"/>
      <c r="G69" s="255"/>
      <c r="H69" s="255"/>
      <c r="I69" s="256"/>
    </row>
    <row r="70" spans="1:9" ht="18.75" customHeight="1" x14ac:dyDescent="0.15">
      <c r="A70" s="4"/>
      <c r="B70" s="254"/>
      <c r="C70" s="255"/>
      <c r="D70" s="255"/>
      <c r="E70" s="255"/>
      <c r="F70" s="255"/>
      <c r="G70" s="255"/>
      <c r="H70" s="255"/>
      <c r="I70" s="256"/>
    </row>
    <row r="71" spans="1:9" ht="18.75" customHeight="1" x14ac:dyDescent="0.15">
      <c r="A71" s="4"/>
      <c r="B71" s="254"/>
      <c r="C71" s="255"/>
      <c r="D71" s="255"/>
      <c r="E71" s="255"/>
      <c r="F71" s="255"/>
      <c r="G71" s="255"/>
      <c r="H71" s="255"/>
      <c r="I71" s="256"/>
    </row>
    <row r="72" spans="1:9" ht="18.75" customHeight="1" x14ac:dyDescent="0.15">
      <c r="A72" s="4"/>
      <c r="B72" s="254"/>
      <c r="C72" s="255"/>
      <c r="D72" s="255"/>
      <c r="E72" s="255"/>
      <c r="F72" s="255"/>
      <c r="G72" s="255"/>
      <c r="H72" s="255"/>
      <c r="I72" s="256"/>
    </row>
    <row r="73" spans="1:9" ht="18.75" customHeight="1" x14ac:dyDescent="0.15">
      <c r="A73" s="4"/>
      <c r="B73" s="254"/>
      <c r="C73" s="255"/>
      <c r="D73" s="255"/>
      <c r="E73" s="255"/>
      <c r="F73" s="255"/>
      <c r="G73" s="255"/>
      <c r="H73" s="255"/>
      <c r="I73" s="256"/>
    </row>
    <row r="74" spans="1:9" ht="18.75" customHeight="1" x14ac:dyDescent="0.15">
      <c r="A74" s="4"/>
      <c r="B74" s="254"/>
      <c r="C74" s="255"/>
      <c r="D74" s="255"/>
      <c r="E74" s="255"/>
      <c r="F74" s="255"/>
      <c r="G74" s="255"/>
      <c r="H74" s="255"/>
      <c r="I74" s="256"/>
    </row>
    <row r="75" spans="1:9" ht="18.75" customHeight="1" x14ac:dyDescent="0.15">
      <c r="A75" s="4"/>
      <c r="B75" s="254"/>
      <c r="C75" s="255"/>
      <c r="D75" s="255"/>
      <c r="E75" s="255"/>
      <c r="F75" s="255"/>
      <c r="G75" s="255"/>
      <c r="H75" s="255"/>
      <c r="I75" s="256"/>
    </row>
    <row r="76" spans="1:9" ht="18.75" customHeight="1" x14ac:dyDescent="0.15">
      <c r="A76" s="4"/>
      <c r="B76" s="254"/>
      <c r="C76" s="255"/>
      <c r="D76" s="255"/>
      <c r="E76" s="255"/>
      <c r="F76" s="255"/>
      <c r="G76" s="255"/>
      <c r="H76" s="255"/>
      <c r="I76" s="256"/>
    </row>
    <row r="77" spans="1:9" ht="18.75" customHeight="1" x14ac:dyDescent="0.15">
      <c r="A77" s="4"/>
      <c r="B77" s="257"/>
      <c r="C77" s="258"/>
      <c r="D77" s="258"/>
      <c r="E77" s="258"/>
      <c r="F77" s="258"/>
      <c r="G77" s="258"/>
      <c r="H77" s="258"/>
      <c r="I77" s="259"/>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251" t="s">
        <v>242</v>
      </c>
      <c r="C80" s="252"/>
      <c r="D80" s="252"/>
      <c r="E80" s="252"/>
      <c r="F80" s="252"/>
      <c r="G80" s="252"/>
      <c r="H80" s="252"/>
      <c r="I80" s="260"/>
    </row>
    <row r="81" spans="1:9" ht="18.75" customHeight="1" x14ac:dyDescent="0.15">
      <c r="A81" s="1"/>
      <c r="B81" s="261"/>
      <c r="C81" s="262"/>
      <c r="D81" s="262"/>
      <c r="E81" s="262"/>
      <c r="F81" s="262"/>
      <c r="G81" s="262"/>
      <c r="H81" s="262"/>
      <c r="I81" s="263"/>
    </row>
    <row r="82" spans="1:9" ht="18.75" customHeight="1" x14ac:dyDescent="0.15">
      <c r="A82" s="1"/>
      <c r="B82" s="261"/>
      <c r="C82" s="262"/>
      <c r="D82" s="262"/>
      <c r="E82" s="262"/>
      <c r="F82" s="262"/>
      <c r="G82" s="262"/>
      <c r="H82" s="262"/>
      <c r="I82" s="263"/>
    </row>
    <row r="83" spans="1:9" ht="18.75" customHeight="1" x14ac:dyDescent="0.15">
      <c r="A83" s="1"/>
      <c r="B83" s="261"/>
      <c r="C83" s="262"/>
      <c r="D83" s="262"/>
      <c r="E83" s="262"/>
      <c r="F83" s="262"/>
      <c r="G83" s="262"/>
      <c r="H83" s="262"/>
      <c r="I83" s="263"/>
    </row>
    <row r="84" spans="1:9" ht="18.75" customHeight="1" x14ac:dyDescent="0.15">
      <c r="A84" s="1"/>
      <c r="B84" s="261"/>
      <c r="C84" s="262"/>
      <c r="D84" s="262"/>
      <c r="E84" s="262"/>
      <c r="F84" s="262"/>
      <c r="G84" s="262"/>
      <c r="H84" s="262"/>
      <c r="I84" s="263"/>
    </row>
    <row r="85" spans="1:9" ht="18.75" customHeight="1" x14ac:dyDescent="0.15">
      <c r="A85" s="1"/>
      <c r="B85" s="261"/>
      <c r="C85" s="262"/>
      <c r="D85" s="262"/>
      <c r="E85" s="262"/>
      <c r="F85" s="262"/>
      <c r="G85" s="262"/>
      <c r="H85" s="262"/>
      <c r="I85" s="263"/>
    </row>
    <row r="86" spans="1:9" ht="18.75" customHeight="1" x14ac:dyDescent="0.15">
      <c r="A86" s="1"/>
      <c r="B86" s="261"/>
      <c r="C86" s="262"/>
      <c r="D86" s="262"/>
      <c r="E86" s="262"/>
      <c r="F86" s="262"/>
      <c r="G86" s="262"/>
      <c r="H86" s="262"/>
      <c r="I86" s="263"/>
    </row>
    <row r="87" spans="1:9" ht="18.75" customHeight="1" x14ac:dyDescent="0.15">
      <c r="A87" s="1"/>
      <c r="B87" s="261"/>
      <c r="C87" s="262"/>
      <c r="D87" s="262"/>
      <c r="E87" s="262"/>
      <c r="F87" s="262"/>
      <c r="G87" s="262"/>
      <c r="H87" s="262"/>
      <c r="I87" s="263"/>
    </row>
    <row r="88" spans="1:9" ht="18.75" customHeight="1" x14ac:dyDescent="0.15">
      <c r="A88" s="1"/>
      <c r="B88" s="261"/>
      <c r="C88" s="262"/>
      <c r="D88" s="262"/>
      <c r="E88" s="262"/>
      <c r="F88" s="262"/>
      <c r="G88" s="262"/>
      <c r="H88" s="262"/>
      <c r="I88" s="263"/>
    </row>
    <row r="89" spans="1:9" ht="18.75" customHeight="1" x14ac:dyDescent="0.15">
      <c r="A89" s="1"/>
      <c r="B89" s="261"/>
      <c r="C89" s="262"/>
      <c r="D89" s="262"/>
      <c r="E89" s="262"/>
      <c r="F89" s="262"/>
      <c r="G89" s="262"/>
      <c r="H89" s="262"/>
      <c r="I89" s="263"/>
    </row>
    <row r="90" spans="1:9" ht="18.75" customHeight="1" x14ac:dyDescent="0.15">
      <c r="A90" s="4"/>
      <c r="B90" s="261"/>
      <c r="C90" s="262"/>
      <c r="D90" s="262"/>
      <c r="E90" s="262"/>
      <c r="F90" s="262"/>
      <c r="G90" s="262"/>
      <c r="H90" s="262"/>
      <c r="I90" s="263"/>
    </row>
    <row r="91" spans="1:9" ht="18.75" customHeight="1" x14ac:dyDescent="0.15">
      <c r="A91" s="4"/>
      <c r="B91" s="264"/>
      <c r="C91" s="265"/>
      <c r="D91" s="265"/>
      <c r="E91" s="265"/>
      <c r="F91" s="265"/>
      <c r="G91" s="265"/>
      <c r="H91" s="265"/>
      <c r="I91" s="266"/>
    </row>
    <row r="92" spans="1:9" ht="7.5" customHeight="1" x14ac:dyDescent="0.15">
      <c r="A92" s="4"/>
      <c r="B92" s="4"/>
      <c r="C92" s="4"/>
      <c r="D92" s="4"/>
      <c r="E92" s="4"/>
      <c r="F92" s="4"/>
      <c r="G92" s="4"/>
      <c r="H92" s="4"/>
      <c r="I92" s="4"/>
    </row>
    <row r="93" spans="1:9" ht="18.75" customHeight="1" x14ac:dyDescent="0.15">
      <c r="A93" s="1" t="s">
        <v>43</v>
      </c>
      <c r="B93" s="1" t="s">
        <v>12</v>
      </c>
    </row>
    <row r="94" spans="1:9" ht="18.75" customHeight="1" x14ac:dyDescent="0.15">
      <c r="A94" s="1"/>
      <c r="B94" s="226" t="s">
        <v>243</v>
      </c>
      <c r="C94" s="227"/>
      <c r="D94" s="227"/>
      <c r="E94" s="227"/>
      <c r="F94" s="227"/>
      <c r="G94" s="227"/>
      <c r="H94" s="227"/>
      <c r="I94" s="228"/>
    </row>
    <row r="95" spans="1:9" ht="18.75" customHeight="1" x14ac:dyDescent="0.15">
      <c r="A95" s="1"/>
      <c r="B95" s="232"/>
      <c r="C95" s="233"/>
      <c r="D95" s="233"/>
      <c r="E95" s="233"/>
      <c r="F95" s="233"/>
      <c r="G95" s="233"/>
      <c r="H95" s="233"/>
      <c r="I95" s="231"/>
    </row>
    <row r="96" spans="1:9" ht="18.75" customHeight="1" x14ac:dyDescent="0.15">
      <c r="A96" s="1"/>
      <c r="B96" s="232"/>
      <c r="C96" s="233"/>
      <c r="D96" s="233"/>
      <c r="E96" s="233"/>
      <c r="F96" s="233"/>
      <c r="G96" s="233"/>
      <c r="H96" s="233"/>
      <c r="I96" s="231"/>
    </row>
    <row r="97" spans="1:9" ht="18.75" customHeight="1" x14ac:dyDescent="0.15">
      <c r="A97" s="1"/>
      <c r="B97" s="232"/>
      <c r="C97" s="233"/>
      <c r="D97" s="233"/>
      <c r="E97" s="233"/>
      <c r="F97" s="233"/>
      <c r="G97" s="233"/>
      <c r="H97" s="233"/>
      <c r="I97" s="231"/>
    </row>
    <row r="98" spans="1:9" ht="18.75" customHeight="1" x14ac:dyDescent="0.15">
      <c r="A98" s="1"/>
      <c r="B98" s="232"/>
      <c r="C98" s="233"/>
      <c r="D98" s="233"/>
      <c r="E98" s="233"/>
      <c r="F98" s="233"/>
      <c r="G98" s="233"/>
      <c r="H98" s="233"/>
      <c r="I98" s="231"/>
    </row>
    <row r="99" spans="1:9" ht="18.75" customHeight="1" x14ac:dyDescent="0.15">
      <c r="A99" s="1"/>
      <c r="B99" s="232"/>
      <c r="C99" s="233"/>
      <c r="D99" s="233"/>
      <c r="E99" s="233"/>
      <c r="F99" s="233"/>
      <c r="G99" s="233"/>
      <c r="H99" s="233"/>
      <c r="I99" s="231"/>
    </row>
    <row r="100" spans="1:9" ht="18.75" customHeight="1" x14ac:dyDescent="0.15">
      <c r="A100" s="1"/>
      <c r="B100" s="232"/>
      <c r="C100" s="233"/>
      <c r="D100" s="233"/>
      <c r="E100" s="233"/>
      <c r="F100" s="233"/>
      <c r="G100" s="233"/>
      <c r="H100" s="233"/>
      <c r="I100" s="231"/>
    </row>
    <row r="101" spans="1:9" ht="18.75" customHeight="1" x14ac:dyDescent="0.15">
      <c r="A101" s="1"/>
      <c r="B101" s="232"/>
      <c r="C101" s="233"/>
      <c r="D101" s="233"/>
      <c r="E101" s="233"/>
      <c r="F101" s="233"/>
      <c r="G101" s="233"/>
      <c r="H101" s="233"/>
      <c r="I101" s="231"/>
    </row>
    <row r="102" spans="1:9" ht="18.75" customHeight="1" x14ac:dyDescent="0.15">
      <c r="A102" s="1"/>
      <c r="B102" s="232"/>
      <c r="C102" s="233"/>
      <c r="D102" s="233"/>
      <c r="E102" s="233"/>
      <c r="F102" s="233"/>
      <c r="G102" s="233"/>
      <c r="H102" s="233"/>
      <c r="I102" s="231"/>
    </row>
    <row r="103" spans="1:9" ht="18.75" customHeight="1" x14ac:dyDescent="0.15">
      <c r="A103" s="1"/>
      <c r="B103" s="232"/>
      <c r="C103" s="233"/>
      <c r="D103" s="233"/>
      <c r="E103" s="233"/>
      <c r="F103" s="233"/>
      <c r="G103" s="233"/>
      <c r="H103" s="233"/>
      <c r="I103" s="231"/>
    </row>
    <row r="104" spans="1:9" ht="18.75" customHeight="1" x14ac:dyDescent="0.15">
      <c r="A104" s="1"/>
      <c r="B104" s="232"/>
      <c r="C104" s="233"/>
      <c r="D104" s="233"/>
      <c r="E104" s="233"/>
      <c r="F104" s="233"/>
      <c r="G104" s="233"/>
      <c r="H104" s="233"/>
      <c r="I104" s="231"/>
    </row>
    <row r="105" spans="1:9" ht="18.75" customHeight="1" x14ac:dyDescent="0.15">
      <c r="A105" s="4"/>
      <c r="B105" s="234"/>
      <c r="C105" s="235"/>
      <c r="D105" s="235"/>
      <c r="E105" s="235"/>
      <c r="F105" s="235"/>
      <c r="G105" s="235"/>
      <c r="H105" s="235"/>
      <c r="I105" s="236"/>
    </row>
    <row r="106" spans="1:9" ht="7.5" customHeight="1" x14ac:dyDescent="0.15">
      <c r="A106" s="4"/>
      <c r="B106" s="4"/>
      <c r="C106" s="4"/>
      <c r="D106" s="4"/>
      <c r="E106" s="4"/>
      <c r="F106" s="4"/>
      <c r="G106" s="4"/>
      <c r="H106" s="4"/>
      <c r="I106" s="4"/>
    </row>
    <row r="107" spans="1:9" ht="18.75" customHeight="1" x14ac:dyDescent="0.15">
      <c r="A107" s="1" t="s">
        <v>29</v>
      </c>
      <c r="B107" s="237" t="s">
        <v>45</v>
      </c>
      <c r="C107" s="237"/>
      <c r="D107" s="237"/>
      <c r="E107" s="237"/>
      <c r="F107" s="237"/>
      <c r="G107" s="237"/>
      <c r="H107" s="237"/>
      <c r="I107" s="237"/>
    </row>
    <row r="108" spans="1:9" ht="18.75" customHeight="1" x14ac:dyDescent="0.15">
      <c r="A108" s="4"/>
      <c r="B108" s="226" t="s">
        <v>244</v>
      </c>
      <c r="C108" s="227"/>
      <c r="D108" s="227"/>
      <c r="E108" s="227"/>
      <c r="F108" s="227"/>
      <c r="G108" s="227"/>
      <c r="H108" s="227"/>
      <c r="I108" s="228"/>
    </row>
    <row r="109" spans="1:9" ht="18.75" customHeight="1" x14ac:dyDescent="0.15">
      <c r="A109" s="4"/>
      <c r="B109" s="232"/>
      <c r="C109" s="233"/>
      <c r="D109" s="233"/>
      <c r="E109" s="233"/>
      <c r="F109" s="233"/>
      <c r="G109" s="233"/>
      <c r="H109" s="233"/>
      <c r="I109" s="231"/>
    </row>
    <row r="110" spans="1:9" ht="18.75" customHeight="1" x14ac:dyDescent="0.15">
      <c r="A110" s="4"/>
      <c r="B110" s="232"/>
      <c r="C110" s="233"/>
      <c r="D110" s="233"/>
      <c r="E110" s="233"/>
      <c r="F110" s="233"/>
      <c r="G110" s="233"/>
      <c r="H110" s="233"/>
      <c r="I110" s="231"/>
    </row>
    <row r="111" spans="1:9" ht="18.75" customHeight="1" x14ac:dyDescent="0.15">
      <c r="A111" s="4"/>
      <c r="B111" s="232"/>
      <c r="C111" s="233"/>
      <c r="D111" s="233"/>
      <c r="E111" s="233"/>
      <c r="F111" s="233"/>
      <c r="G111" s="233"/>
      <c r="H111" s="233"/>
      <c r="I111" s="231"/>
    </row>
    <row r="112" spans="1:9" ht="18.75" customHeight="1" x14ac:dyDescent="0.15">
      <c r="A112" s="4"/>
      <c r="B112" s="232"/>
      <c r="C112" s="233"/>
      <c r="D112" s="233"/>
      <c r="E112" s="233"/>
      <c r="F112" s="233"/>
      <c r="G112" s="233"/>
      <c r="H112" s="233"/>
      <c r="I112" s="231"/>
    </row>
    <row r="113" spans="1:9" ht="18.75" customHeight="1" x14ac:dyDescent="0.15">
      <c r="A113" s="4"/>
      <c r="B113" s="232"/>
      <c r="C113" s="233"/>
      <c r="D113" s="233"/>
      <c r="E113" s="233"/>
      <c r="F113" s="233"/>
      <c r="G113" s="233"/>
      <c r="H113" s="233"/>
      <c r="I113" s="231"/>
    </row>
    <row r="114" spans="1:9" ht="18.75" customHeight="1" x14ac:dyDescent="0.15">
      <c r="A114" s="4"/>
      <c r="B114" s="232"/>
      <c r="C114" s="233"/>
      <c r="D114" s="233"/>
      <c r="E114" s="233"/>
      <c r="F114" s="233"/>
      <c r="G114" s="233"/>
      <c r="H114" s="233"/>
      <c r="I114" s="231"/>
    </row>
    <row r="115" spans="1:9" ht="18.75" customHeight="1" x14ac:dyDescent="0.15">
      <c r="A115" s="4"/>
      <c r="B115" s="232"/>
      <c r="C115" s="233"/>
      <c r="D115" s="233"/>
      <c r="E115" s="233"/>
      <c r="F115" s="233"/>
      <c r="G115" s="233"/>
      <c r="H115" s="233"/>
      <c r="I115" s="231"/>
    </row>
    <row r="116" spans="1:9" ht="18.75" customHeight="1" x14ac:dyDescent="0.15">
      <c r="A116" s="4"/>
      <c r="B116" s="232"/>
      <c r="C116" s="233"/>
      <c r="D116" s="233"/>
      <c r="E116" s="233"/>
      <c r="F116" s="233"/>
      <c r="G116" s="233"/>
      <c r="H116" s="233"/>
      <c r="I116" s="231"/>
    </row>
    <row r="117" spans="1:9" ht="18.75" customHeight="1" x14ac:dyDescent="0.15">
      <c r="A117" s="4"/>
      <c r="B117" s="232"/>
      <c r="C117" s="233"/>
      <c r="D117" s="233"/>
      <c r="E117" s="233"/>
      <c r="F117" s="233"/>
      <c r="G117" s="233"/>
      <c r="H117" s="233"/>
      <c r="I117" s="231"/>
    </row>
    <row r="118" spans="1:9" ht="18.75" customHeight="1" x14ac:dyDescent="0.15">
      <c r="A118" s="4"/>
      <c r="B118" s="232"/>
      <c r="C118" s="233"/>
      <c r="D118" s="233"/>
      <c r="E118" s="233"/>
      <c r="F118" s="233"/>
      <c r="G118" s="233"/>
      <c r="H118" s="233"/>
      <c r="I118" s="231"/>
    </row>
    <row r="119" spans="1:9" ht="18.75" customHeight="1" x14ac:dyDescent="0.15">
      <c r="A119" s="4"/>
      <c r="B119" s="234"/>
      <c r="C119" s="235"/>
      <c r="D119" s="235"/>
      <c r="E119" s="235"/>
      <c r="F119" s="235"/>
      <c r="G119" s="235"/>
      <c r="H119" s="235"/>
      <c r="I119" s="236"/>
    </row>
    <row r="120" spans="1:9" ht="7.5" customHeight="1" x14ac:dyDescent="0.15">
      <c r="A120" s="4"/>
      <c r="B120" s="46"/>
      <c r="C120" s="46"/>
      <c r="D120" s="46"/>
      <c r="E120" s="46"/>
      <c r="F120" s="46"/>
      <c r="G120" s="46"/>
      <c r="H120" s="46"/>
      <c r="I120" s="46"/>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7"/>
      <c r="B134" s="47"/>
      <c r="C134" s="47"/>
      <c r="D134" s="47"/>
      <c r="E134" s="47"/>
      <c r="F134" s="47"/>
      <c r="G134" s="47"/>
      <c r="H134" s="47"/>
      <c r="I134" s="47"/>
    </row>
  </sheetData>
  <mergeCells count="22">
    <mergeCell ref="B94:I105"/>
    <mergeCell ref="B107:I107"/>
    <mergeCell ref="B108:I119"/>
    <mergeCell ref="C50:D50"/>
    <mergeCell ref="F50:G50"/>
    <mergeCell ref="B51:I51"/>
    <mergeCell ref="B52:I63"/>
    <mergeCell ref="B66:I77"/>
    <mergeCell ref="B80:I91"/>
    <mergeCell ref="C49:D49"/>
    <mergeCell ref="F49:G49"/>
    <mergeCell ref="H2:I2"/>
    <mergeCell ref="A4:I4"/>
    <mergeCell ref="C6:D6"/>
    <mergeCell ref="C11:E11"/>
    <mergeCell ref="H11:I11"/>
    <mergeCell ref="B14:I14"/>
    <mergeCell ref="C16:E16"/>
    <mergeCell ref="H16:I16"/>
    <mergeCell ref="B19:I19"/>
    <mergeCell ref="B22:I32"/>
    <mergeCell ref="B35:I46"/>
  </mergeCells>
  <phoneticPr fontId="1"/>
  <printOptions horizontalCentered="1"/>
  <pageMargins left="0.59055118110236227" right="0.59055118110236227" top="0.78740157480314965" bottom="0.39370078740157483" header="0.31496062992125984" footer="0.19685039370078741"/>
  <pageSetup paperSize="9" fitToHeight="0" orientation="portrait" horizontalDpi="1200" verticalDpi="1200" r:id="rId1"/>
  <headerFooter>
    <oddHeader>&amp;C数理・データサイエンス・AI教育プログラム認定制度【リテラシーレベル】</oddHeader>
  </headerFooter>
  <rowBreaks count="2" manualBreakCount="2">
    <brk id="47" max="9" man="1"/>
    <brk id="92" max="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F2AF0-5707-4DBA-977F-7B91AC68B647}">
  <sheetPr>
    <pageSetUpPr fitToPage="1"/>
  </sheetPr>
  <dimension ref="A1:I30"/>
  <sheetViews>
    <sheetView showZeros="0" view="pageBreakPreview" zoomScaleNormal="100" zoomScaleSheetLayoutView="100" workbookViewId="0">
      <selection activeCell="J2" sqref="J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70</v>
      </c>
      <c r="I1" s="33" t="s">
        <v>104</v>
      </c>
    </row>
    <row r="2" spans="1:9" ht="18.75" customHeight="1" x14ac:dyDescent="0.15">
      <c r="H2" s="33" t="s">
        <v>108</v>
      </c>
      <c r="I2" s="32" t="str">
        <f>'様式１ー１　プログラムを構成する授業科目'!C2</f>
        <v>順天堂大学</v>
      </c>
    </row>
    <row r="3" spans="1:9" ht="18.75" customHeight="1" x14ac:dyDescent="0.15">
      <c r="A3" s="158" t="s">
        <v>27</v>
      </c>
      <c r="B3" s="158"/>
      <c r="C3" s="158"/>
      <c r="D3" s="158"/>
      <c r="E3" s="158"/>
      <c r="F3" s="158"/>
      <c r="G3" s="158"/>
      <c r="H3" s="158"/>
      <c r="I3" s="158"/>
    </row>
    <row r="4" spans="1:9" ht="18.75" customHeight="1" x14ac:dyDescent="0.15">
      <c r="A4" s="5"/>
      <c r="B4" s="5"/>
      <c r="C4" s="5"/>
      <c r="D4" s="5"/>
      <c r="E4" s="5"/>
      <c r="F4" s="5"/>
      <c r="G4" s="5"/>
      <c r="H4" s="5"/>
      <c r="I4" s="5"/>
    </row>
    <row r="5" spans="1:9" ht="18.75" customHeight="1" x14ac:dyDescent="0.15">
      <c r="A5" s="1" t="s">
        <v>0</v>
      </c>
      <c r="B5" s="10" t="s">
        <v>94</v>
      </c>
      <c r="C5" s="5"/>
      <c r="D5" s="5"/>
      <c r="E5" s="5"/>
      <c r="F5" s="5"/>
      <c r="G5" s="5"/>
      <c r="H5" s="5"/>
      <c r="I5" s="5"/>
    </row>
    <row r="6" spans="1:9" ht="26.25" customHeight="1" x14ac:dyDescent="0.15">
      <c r="A6" s="5"/>
      <c r="B6" s="216" t="s">
        <v>245</v>
      </c>
      <c r="C6" s="267"/>
      <c r="D6" s="267"/>
      <c r="E6" s="267"/>
      <c r="F6" s="267"/>
      <c r="G6" s="267"/>
      <c r="H6" s="268"/>
      <c r="I6" s="3"/>
    </row>
    <row r="7" spans="1:9" ht="9" customHeight="1" x14ac:dyDescent="0.15">
      <c r="A7" s="5"/>
      <c r="B7" s="10"/>
      <c r="C7" s="10"/>
      <c r="D7" s="10"/>
      <c r="E7" s="10"/>
      <c r="F7" s="10"/>
      <c r="G7" s="10"/>
      <c r="H7" s="10"/>
      <c r="I7" s="3"/>
    </row>
    <row r="8" spans="1:9" ht="18.75" customHeight="1" x14ac:dyDescent="0.15">
      <c r="A8" s="5"/>
      <c r="B8" s="3"/>
      <c r="C8" s="3"/>
      <c r="D8" s="33" t="s">
        <v>42</v>
      </c>
      <c r="E8" s="34" t="s">
        <v>246</v>
      </c>
      <c r="F8" s="3"/>
      <c r="G8" s="33" t="s">
        <v>10</v>
      </c>
      <c r="H8" s="34" t="s">
        <v>247</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136" t="s">
        <v>23</v>
      </c>
      <c r="C11" s="116"/>
      <c r="D11" s="117"/>
      <c r="E11" s="116" t="s">
        <v>25</v>
      </c>
      <c r="F11" s="116"/>
      <c r="G11" s="116"/>
      <c r="H11" s="116"/>
      <c r="I11" s="117"/>
    </row>
    <row r="12" spans="1:9" ht="26.25" customHeight="1" x14ac:dyDescent="0.15">
      <c r="B12" s="48" t="s">
        <v>13</v>
      </c>
      <c r="C12" s="55"/>
      <c r="D12" s="49"/>
      <c r="E12" s="56"/>
      <c r="F12" s="56"/>
      <c r="G12" s="56"/>
      <c r="H12" s="56"/>
      <c r="I12" s="49"/>
    </row>
    <row r="13" spans="1:9" ht="210.75" customHeight="1" x14ac:dyDescent="0.15">
      <c r="B13" s="50"/>
      <c r="C13" s="269" t="s">
        <v>14</v>
      </c>
      <c r="D13" s="270"/>
      <c r="E13" s="271" t="s">
        <v>301</v>
      </c>
      <c r="F13" s="272"/>
      <c r="G13" s="272"/>
      <c r="H13" s="272"/>
      <c r="I13" s="273"/>
    </row>
    <row r="14" spans="1:9" ht="210.75" customHeight="1" x14ac:dyDescent="0.15">
      <c r="B14" s="50"/>
      <c r="C14" s="274" t="s">
        <v>15</v>
      </c>
      <c r="D14" s="275"/>
      <c r="E14" s="271" t="s">
        <v>248</v>
      </c>
      <c r="F14" s="272"/>
      <c r="G14" s="272"/>
      <c r="H14" s="272"/>
      <c r="I14" s="273"/>
    </row>
    <row r="15" spans="1:9" ht="210.75" customHeight="1" x14ac:dyDescent="0.15">
      <c r="B15" s="50"/>
      <c r="C15" s="269" t="s">
        <v>16</v>
      </c>
      <c r="D15" s="270"/>
      <c r="E15" s="271" t="s">
        <v>249</v>
      </c>
      <c r="F15" s="272"/>
      <c r="G15" s="272"/>
      <c r="H15" s="272"/>
      <c r="I15" s="273"/>
    </row>
    <row r="16" spans="1:9" ht="210.75" customHeight="1" x14ac:dyDescent="0.15">
      <c r="B16" s="50"/>
      <c r="C16" s="269" t="s">
        <v>17</v>
      </c>
      <c r="D16" s="270"/>
      <c r="E16" s="271" t="s">
        <v>250</v>
      </c>
      <c r="F16" s="272"/>
      <c r="G16" s="272"/>
      <c r="H16" s="272"/>
      <c r="I16" s="273"/>
    </row>
    <row r="17" spans="2:9" ht="210.75" customHeight="1" x14ac:dyDescent="0.15">
      <c r="B17" s="51"/>
      <c r="C17" s="286" t="s">
        <v>18</v>
      </c>
      <c r="D17" s="287"/>
      <c r="E17" s="288" t="s">
        <v>302</v>
      </c>
      <c r="F17" s="289"/>
      <c r="G17" s="289"/>
      <c r="H17" s="289"/>
      <c r="I17" s="290"/>
    </row>
    <row r="18" spans="2:9" ht="24" customHeight="1" x14ac:dyDescent="0.15">
      <c r="B18" s="48" t="s">
        <v>19</v>
      </c>
      <c r="C18" s="52"/>
      <c r="D18" s="53"/>
      <c r="E18" s="54"/>
      <c r="F18" s="54"/>
      <c r="G18" s="54"/>
      <c r="H18" s="54"/>
      <c r="I18" s="57"/>
    </row>
    <row r="19" spans="2:9" ht="218.25" customHeight="1" x14ac:dyDescent="0.15">
      <c r="B19" s="50"/>
      <c r="C19" s="269" t="s">
        <v>20</v>
      </c>
      <c r="D19" s="270"/>
      <c r="E19" s="272" t="s">
        <v>251</v>
      </c>
      <c r="F19" s="272"/>
      <c r="G19" s="272"/>
      <c r="H19" s="272"/>
      <c r="I19" s="273"/>
    </row>
    <row r="20" spans="2:9" ht="218.25" customHeight="1" x14ac:dyDescent="0.15">
      <c r="B20" s="51"/>
      <c r="C20" s="286" t="s">
        <v>21</v>
      </c>
      <c r="D20" s="287"/>
      <c r="E20" s="289" t="s">
        <v>252</v>
      </c>
      <c r="F20" s="289"/>
      <c r="G20" s="289"/>
      <c r="H20" s="289"/>
      <c r="I20" s="290"/>
    </row>
    <row r="21" spans="2:9" ht="218.25" customHeight="1" x14ac:dyDescent="0.15">
      <c r="B21" s="276" t="s">
        <v>22</v>
      </c>
      <c r="C21" s="277"/>
      <c r="D21" s="278"/>
      <c r="E21" s="279" t="s">
        <v>253</v>
      </c>
      <c r="F21" s="279"/>
      <c r="G21" s="279"/>
      <c r="H21" s="279"/>
      <c r="I21" s="280"/>
    </row>
    <row r="22" spans="2:9" ht="218.25" customHeight="1" x14ac:dyDescent="0.15">
      <c r="B22" s="281" t="s">
        <v>37</v>
      </c>
      <c r="C22" s="282"/>
      <c r="D22" s="283"/>
      <c r="E22" s="284" t="s">
        <v>254</v>
      </c>
      <c r="F22" s="284"/>
      <c r="G22" s="284"/>
      <c r="H22" s="284"/>
      <c r="I22" s="285"/>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1:D21"/>
    <mergeCell ref="E21:I21"/>
    <mergeCell ref="B22:D22"/>
    <mergeCell ref="E22:I22"/>
    <mergeCell ref="C17:D17"/>
    <mergeCell ref="E17:I17"/>
    <mergeCell ref="C19:D19"/>
    <mergeCell ref="E19:I19"/>
    <mergeCell ref="C20:D20"/>
    <mergeCell ref="E20:I20"/>
    <mergeCell ref="C14:D14"/>
    <mergeCell ref="E14:I14"/>
    <mergeCell ref="C15:D15"/>
    <mergeCell ref="E15:I15"/>
    <mergeCell ref="C16:D16"/>
    <mergeCell ref="E16:I16"/>
    <mergeCell ref="A3:I3"/>
    <mergeCell ref="B6:H6"/>
    <mergeCell ref="B11:D11"/>
    <mergeCell ref="E11:I11"/>
    <mergeCell ref="C13:D13"/>
    <mergeCell ref="E13:I13"/>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horizontalDpi="1200" verticalDpi="1200"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11</vt:i4>
      </vt:variant>
    </vt:vector>
  </HeadingPairs>
  <TitlesOfParts>
    <vt:vector size="21" baseType="lpstr">
      <vt:lpstr>様式１ー１　プログラムを構成する授業科目</vt:lpstr>
      <vt:lpstr>様式１ー２　プログラムを構成する授業科目</vt:lpstr>
      <vt:lpstr>様式１ー３　プログラムを構成する授業科目</vt:lpstr>
      <vt:lpstr>様式１ー４　プログラムを構成する授業科目</vt:lpstr>
      <vt:lpstr>様式１ー５　プログラムを構成する授業科目</vt:lpstr>
      <vt:lpstr>様式１ー6　プログラムを構成する授業科目</vt:lpstr>
      <vt:lpstr>様式１ー7　プログラムを構成する授業科目</vt:lpstr>
      <vt:lpstr>様式２ 履修者等数の実績</vt:lpstr>
      <vt:lpstr>様式３ 教育の質・履修者数を向上させるための体制・計画</vt:lpstr>
      <vt:lpstr>様式４　自己点検・評価</vt:lpstr>
      <vt:lpstr>'様式１ー１　プログラムを構成する授業科目'!Print_Area</vt:lpstr>
      <vt:lpstr>'様式１ー２　プログラムを構成する授業科目'!Print_Area</vt:lpstr>
      <vt:lpstr>'様式１ー３　プログラムを構成する授業科目'!Print_Area</vt:lpstr>
      <vt:lpstr>'様式１ー４　プログラムを構成する授業科目'!Print_Area</vt:lpstr>
      <vt:lpstr>'様式１ー５　プログラムを構成する授業科目'!Print_Area</vt:lpstr>
      <vt:lpstr>'様式１ー6　プログラムを構成する授業科目'!Print_Area</vt:lpstr>
      <vt:lpstr>'様式１ー7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小池　訓文</cp:lastModifiedBy>
  <cp:lastPrinted>2023-08-08T00:37:59Z</cp:lastPrinted>
  <dcterms:created xsi:type="dcterms:W3CDTF">2011-06-14T05:32:50Z</dcterms:created>
  <dcterms:modified xsi:type="dcterms:W3CDTF">2023-08-08T00:55:12Z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