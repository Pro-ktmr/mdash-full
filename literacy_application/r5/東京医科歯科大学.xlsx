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gakkik039\Downloads\"/>
    </mc:Choice>
  </mc:AlternateContent>
  <bookViews>
    <workbookView xWindow="0" yWindow="0" windowWidth="28800" windowHeight="1221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G32" i="40"/>
  <c r="H32" i="40"/>
  <c r="AP13" i="40"/>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<sst xmlns="http://schemas.openxmlformats.org/spreadsheetml/2006/main" count="307" uniqueCount="175">
  <si>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</si>
  <si>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</si>
  <si>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</si>
  <si>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東京医科歯科大学</t>
  </si>
  <si>
    <t>プログラム名</t>
    <rPh sb="5" eb="6">
      <t>メイ</t>
    </rPh>
    <phoneticPr fontId="1"/>
  </si>
  <si>
    <t>医療系データサイエンス入門</t>
  </si>
  <si>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</si>
  <si>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</si>
  <si>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</si>
  <si>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</si>
  <si>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③ 修了要件</t>
    <phoneticPr fontId="1"/>
  </si>
  <si>
    <t>プログラムを構成する下記科目群を全て履修し、所定の単位を取得すること
・医療とAI・ビッグデータ入門</t>
  </si>
  <si>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</si>
  <si>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</si>
  <si>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</si>
  <si>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</si>
  <si>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</si>
  <si>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</si>
  <si>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</si>
  <si>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</si>
  <si>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</si>
  <si>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</si>
  <si>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</si>
  <si>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</si>
  <si>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</si>
  <si>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医療とAI・ビッグデータ入門</t>
  </si>
  <si>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</si>
  <si>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</si>
  <si>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</si>
  <si>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</si>
  <si>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</si>
  <si>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</si>
  <si>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</si>
  <si>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</si>
  <si>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</si>
  <si>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</si>
  <si>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</si>
  <si>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</si>
  <si>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</si>
  <si>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</si>
  <si>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</si>
  <si>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</si>
  <si>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</si>
  <si>
    <t>4‐2アルゴリズム基礎</t>
  </si>
  <si>
    <t>4‐3データ構造とプログラミング基礎</t>
  </si>
  <si>
    <t>4‐6画像解析</t>
  </si>
  <si>
    <t>4‐8データ活用実践（教師あり学習）</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</si>
  <si>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</si>
  <si>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</si>
  <si>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</si>
  <si>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</si>
  <si>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・ビッグデータ、IoT、AI、ロボット「医療とAI・ビッグデータ入門」（1回目)
・データ量の増加、計算機の処理性能の向上、AIの非連続的進化「医療とAI・ビッグデータ入門」（1回目）</t>
  </si>
  <si>
    <t>1-6</t>
    <phoneticPr fontId="1"/>
  </si>
  <si>
    <t>・AI最新技術の活用例（深層生成モデル、敵対的生成ネットワーク、強化学習、転移学習など）
「医療とAI・ビッグデータ入門」（2回目、5回目、6回目）</t>
  </si>
  <si>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</si>
  <si>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
「医療とAI・ビッグデータ入門」（3回目、6回目）
・データ作成（ビッグデータとアノテーション）
「医療とAI・ビッグデータ入門」（5回目、6回目）</t>
  </si>
  <si>
    <t>・データ・AI活用領域の広がり（生産、消費、文化活動など）
「医療とAI・ビッグデータ入門」（2回目）
・仮説検証、知識発見、原因究明、計画策定、判断支援、活動代替、新規生成など
「医療とAI・ビッグデータ入門」（5回目、6回目）</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</si>
  <si>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</si>
  <si>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・データ解析：予測、グルーピング、パターン発見、最適化、シミュレーション・データ同化など
「医療とAI・ビッグデータ入門」（6回目）
・データ可視化：複合グラフ、2軸グラフ、多次元の可視化、関係性の可視化、地図上の可視化、挙動・軌跡の可視化、リアルタイム可視化など
「医療とAI・ビッグデータ入門」（2回目、6回目）</t>
  </si>
  <si>
    <t>・流通、製造、金融、サービス、インフラ、公共、ヘルスケア等におけるデータ・AI利活用事例紹介
「医療とAI・ビッグデータ入門」(2回目、6回目)</t>
  </si>
  <si>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</si>
  <si>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</si>
  <si>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</si>
  <si>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・データの種類「医療とAI・ビッグデータ入門」(９回目)
・データの分布「医療とAI・ビッグデータ入門」(１０回目)
・データのばらつき「医療とAI・ビッグデータ入門」(１２回目)
・相関と因果「医療とAI・ビッグデータ入門」(１０回目)</t>
  </si>
  <si>
    <t>・データ表現「医療とAI・ビッグデータ入門」(8回目)
・データの図表表現「医療とAI・ビッグデータ入門」(10回目)
・優れた可視化事例の紹介「医療とAI・ビッグデータ入門」(13回目)</t>
  </si>
  <si>
    <t>・データの集計（和、平均）「医療とAI・ビッグデータ入門」(7回目)
・表形式のデータ（csv）「医療とAI・ビッグデータ入門」(7回目、10回目、12回目、13回目)</t>
  </si>
  <si>
    <t>⑪ プログラムの学修成果（学生等が身に付けられる能力等）</t>
    <phoneticPr fontId="1"/>
  </si>
  <si>
    <t>・社会におけるデータ・AI利活用に関する知識と医療分野におけるデータ利活用の実例を知識として身に付けることができる。
・実臨床のデータを用いた統計解析を通じてデータを適切に読み解く能力と解析に必要な統計学的知識を身に付けることができる。
・医療画像での深層学習を体験することで、AIの基本的な仕組みとプログラミングの基礎知識を習得することができる。</t>
  </si>
  <si>
    <t>様式２</t>
    <phoneticPr fontId="1"/>
  </si>
  <si>
    <t>プログラムの履修者数等の実績について</t>
    <phoneticPr fontId="1"/>
  </si>
  <si>
    <t>①プログラム開設年度</t>
    <rPh sb="6" eb="8">
      <t>カイセツ</t>
    </rPh>
    <rPh sb="8" eb="10">
      <t>ネンド</t>
    </rPh>
    <phoneticPr fontId="1"/>
  </si>
  <si>
    <t>令和３</t>
    <rPh sb="0" eb="2">
      <t>レイワ</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</si>
  <si>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</si>
  <si>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</si>
  <si>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</si>
  <si>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</si>
  <si>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</si>
  <si>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</si>
  <si>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</si>
  <si>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</si>
  <si>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</si>
  <si>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</si>
  <si>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</si>
  <si>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</si>
  <si>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</si>
  <si>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</si>
  <si>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</si>
  <si>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</si>
  <si>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</si>
  <si>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</si>
  <si>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</si>
  <si>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医学部</t>
    <rPh sb="0" eb="3">
      <t>イガクブ</t>
    </rPh>
    <phoneticPr fontId="1"/>
  </si>
  <si>
    <t>歯学部</t>
    <rPh sb="0" eb="3">
      <t>シガクブ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</si>
  <si>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</si>
  <si>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</si>
  <si>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</si>
  <si>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</si>
  <si>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</si>
  <si>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</si>
  <si>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</si>
  <si>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</si>
  <si>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</si>
  <si>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</si>
  <si>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</si>
  <si>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</si>
  <si>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</si>
  <si>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</si>
  <si>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木下　淳博</t>
  </si>
  <si>
    <t>（役職名）</t>
    <rPh sb="1" eb="4">
      <t>ヤクショクメイ</t>
    </rPh>
    <phoneticPr fontId="1"/>
  </si>
  <si>
    <t>統合教育機構　教授</t>
  </si>
  <si>
    <t>④</t>
    <phoneticPr fontId="1"/>
  </si>
  <si>
    <t>プログラムを改善・進化させるための体制（委員会・組織等）</t>
    <phoneticPr fontId="1"/>
  </si>
  <si>
    <t>統合教育機構運営委員会（統計・データサイエンスWG）</t>
  </si>
  <si>
    <t>⑤</t>
    <phoneticPr fontId="1"/>
  </si>
  <si>
    <t>プログラムを改善・進化させるための体制を定める規則名称</t>
    <phoneticPr fontId="1"/>
  </si>
  <si>
    <t>「カリキュラム運営会議」および「統計・データサイエンスWG」設置に係る議事要旨等</t>
    <phoneticPr fontId="1"/>
  </si>
  <si>
    <t>⑥</t>
    <phoneticPr fontId="1"/>
  </si>
  <si>
    <t>体制の目的</t>
    <rPh sb="0" eb="2">
      <t>タイセイ</t>
    </rPh>
    <rPh sb="3" eb="5">
      <t>モクテキ</t>
    </rPh>
    <phoneticPr fontId="1"/>
  </si>
  <si>
    <t>　統合教育機構内のカリキュラム運営会議では、全学的なカリキュラム改善を行っており、その下に統計・データサイエンスWGを設置して、本プログラムの改善・進化を行っている。同WGでは、リテラシーレベルの目的に即した教育コンテンツを整備するため、各学科・専攻の統計・データサイエンス関連科目担当者と綿密な調整を行っている。
　M&amp;Dデータ科学センターはAI・ビッグデータ研究部門、メディカル統計数理研究部門、データ科学アルゴリズム設計・解析部門で構成され、Society5.0時代の医歯学研究・医療・教育をデータサイエンス面で推進している。統計・データサイエンスWGにも同センターの教員を加え、リテラシーレベルの教育プログラムの開発や、データ活用で実社会の課題を解決できる人材の育成を目的として活動している。</t>
    <phoneticPr fontId="1"/>
  </si>
  <si>
    <t>⑦</t>
    <phoneticPr fontId="1"/>
  </si>
  <si>
    <t>具体的な構成員</t>
    <rPh sb="0" eb="3">
      <t>グタイテキ</t>
    </rPh>
    <rPh sb="4" eb="7">
      <t>コウセイイン</t>
    </rPh>
    <phoneticPr fontId="1"/>
  </si>
  <si>
    <t xml:space="preserve">【統合教育機構　カリキュラム運営会議の構成員】
統合教育機構長：理事 若林則幸、教授 高田和生、教授 新田浩、教授 木下淳博、教授 秋田恵一、教授 藤井達夫、特任助教 須藤毅顕、医学科：教授 山脇正永、講師 山口久美子、看護学専攻：教授 田中真琴、検査技術学専攻：教授 角勇樹、教授 齋藤良一、歯学科：准教授 鶴田潤、口腔保健衛生学専攻：助教 伊藤奏、口腔保健工学専攻：教授 金澤学、教養部：教授 檜枝　光憲、教授 畔柳　和代、教授 中林　潤
【統計・データサイエンスWGの構成員】 
統合教育機構 事業推進部門：教授 木下淳博（座長）
大学院医歯学総合研究科 臨床統計学分野：教授 平川晃弘
大学院医歯学総合研究科 呼吸器・神経系解析学分野：教授 角　勇樹
統合教育機構 教養教育部門：教授 中林　潤
M&amp;Dデータ科学センター AI・ビッグデータ研究部門 AI技術開発分野：教授 Park Heewon
大学院保健衛生学研究科 ：教育教授 森田久美子
統合教育機構 教養教育部門：准教授 徳永伸一
統合教育機構 教学IR部門：特任助教　須藤毅顕、特任助教　曹日丹、特任助教　石丸 美穂
大学院医歯学総合研究科 口腔デジタルプロセス学分野：助教　𡈽田優美
大学院医歯学総合研究科 生涯口腔保健衛生学分野：講師　松田 悠平
</t>
    <rPh sb="243" eb="247">
      <t>トウゴウキョウイク</t>
    </rPh>
    <rPh sb="247" eb="249">
      <t>キコウ</t>
    </rPh>
    <rPh sb="250" eb="254">
      <t>ジギョウスイシン</t>
    </rPh>
    <rPh sb="254" eb="256">
      <t>ブモン</t>
    </rPh>
    <rPh sb="269" eb="272">
      <t>ダイガクイン</t>
    </rPh>
    <rPh sb="272" eb="275">
      <t>イシガク</t>
    </rPh>
    <rPh sb="275" eb="280">
      <t>ソウゴウケンキュウカ</t>
    </rPh>
    <rPh sb="403" eb="406">
      <t>ダイガクイン</t>
    </rPh>
    <rPh sb="406" eb="410">
      <t>ホケンエイセイ</t>
    </rPh>
    <rPh sb="410" eb="411">
      <t>ガク</t>
    </rPh>
    <rPh sb="411" eb="414">
      <t>ケンキュウカ</t>
    </rPh>
    <rPh sb="494" eb="497">
      <t>ダイガクイン</t>
    </rPh>
    <rPh sb="497" eb="500">
      <t>イシガク</t>
    </rPh>
    <rPh sb="500" eb="504">
      <t>ソウゴウケンキュウ</t>
    </rPh>
    <rPh sb="504" eb="505">
      <t>カ</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</si>
  <si>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</si>
  <si>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</si>
  <si>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</si>
  <si>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</si>
  <si>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</si>
  <si>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</si>
  <si>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</si>
  <si>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</si>
  <si>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</si>
  <si>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令和4年度に「医療とAI・ビッグデータ入門」は、全学部、全学科・専攻の1年生の必修科目とし、その他の全学科・専攻の全学年および東京工業大学、一橋大学、東京外国語大学（以下「4大学連合」）の学生に対しては自由科目とし、医療系の卒業生に必須のデータサイエンス・AI教育を実施した。また、2年生以上にはオンデマンドで自由科目として履修できるようにし、将来医療従事者になる学生全員に履修機会を与えている。
　全学的な履修の効率化を図るために、各科目責任者が選定していたプログラミング言語や実施プラットフォームを、できる限り全学で統一した。また、インストールや基本事項のマニュアルを非同期コンテンツとして提供し、学生がいつでも予習・復習できるようにした。さらに、設定している各演習の日程と、課題提出締め切り日程等の間に、個別学習指導や質疑応答のためのオンラインサポートの仕組みを導入し、脱落の防止や学修意欲の向上を図っている。</t>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</si>
  <si>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</si>
  <si>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</si>
  <si>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医療とAI・ビッグデータ入門」が開講した令和3年度は、医学科・歯学科・検査学専攻の1年生のみ必修科目であったが、令和4年度より1年生全学科・専攻の必修科目とし、他学科・専攻の全学生、および4大学連合の学生も、希望する学生全員が自由科目としてオンデマンドで受講できるようにした。同科目開始前に、必要なソフトウェアのインストールマニュアル、プログラミングの基礎に関するオンデマンド教材等をLMS上に用意して周知し、より多くの学生が選択するよう促した。
　</t>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</si>
  <si>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</si>
  <si>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</si>
  <si>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r>
      <t xml:space="preserve">　令和4年度より「医療とAI・ビッグデータ入門」は全学科・専攻1年生の必修科目としてシラバスで周知している。2年生以上の学生、および4大学連合の学生に対しては、自由科目としてシラバスで周知するだけでなく、本プログラム専用のwebサイト(https://www.tmd.ac.jp/labs/education/ds/)を開設し、科目内容や教材の一部を公開することでより多くの学生が履修しやすい環境を整備した。さらに自由科目対象学生（他学科・専攻及び2年生以上）に対しては全学メールでの周知を数回行い履修率の向上に努めた。また、令和4年度からはデータサイエンスを学ぶために必要な数学の基礎知識を補うための科目「AI・データサイエンスのための数学」を全学科必修科目として新設した。
</t>
    </r>
    <r>
      <rPr>
        <sz val="12"/>
        <color rgb="FFFF0000"/>
        <rFont val="ＭＳ Ｐゴシック"/>
        <family val="3"/>
        <charset val="128"/>
        <scheme val="minor"/>
      </rPr>
      <t>　</t>
    </r>
    <phoneticPr fontId="1"/>
  </si>
  <si>
    <t>⑪</t>
    <phoneticPr fontId="1"/>
  </si>
  <si>
    <t>できる限り多くの学生が履修・修得できるようなサポート体制</t>
    <rPh sb="26" eb="28">
      <t>タイセイ</t>
    </rPh>
    <phoneticPr fontId="1"/>
  </si>
  <si>
    <t>　「医療とAI・ビッグデータ入門」では入学間もない1年生や、他大学の文系の学生なども履修しやすくするため、本科目の開始前に、演習に必要なソフトウェアのインストールマニュアル、プログラミング基礎の非同期型コンテンツをLMS上に用意するとともに、事前準備のトラブルに対しての質問などに随時対応できるように専任の教員を担当させた。加えて授業の録画動画も随時公開することで、オンデマンドで履修する学生だけでなく、同期型で履修する学生にも、いつでも復習可能な環境を提供した。
　令和4年度からは「医療とAI・ビッグデータ入門」に加えて、「AI・データサイエンスのための数学」というデータサイエンスに必要な数学に特化した科目を全学科必修科目として新設し、「医療とAI・ビッグデータ入門」と並行して受講できるようにカリキュラムを構成することにより、学生のデータサイエンスの修得を向上させる工夫を行っている。</t>
    <rPh sb="390" eb="391">
      <t>オコナ</t>
    </rPh>
    <phoneticPr fontId="1"/>
  </si>
  <si>
    <t>⑫</t>
    <phoneticPr fontId="1"/>
  </si>
  <si>
    <t>授業時間内外で学習指導、質問を受け付ける具体的な仕組み</t>
    <rPh sb="20" eb="23">
      <t>グタイテキ</t>
    </rPh>
    <phoneticPr fontId="1"/>
  </si>
  <si>
    <t>　「医療とAI・ビッグデータ入門」の演習はZoomを用いた遠隔授業で実施し、補助教員を10人以上配置した。演習の説明後は、学生と補助教員を均等に割り振り、ブレイクアウトルームを使用したグループワークを行って、１方向の授業にならないようにした。
　さらに1時間×4回の質問時間を授業時間外に設けることで、次の演習を開始する際の学生の足並みを揃える工夫を行った。設定した質問時間以外でも、専任の教員が随時メールで返答する体制を整備した。今後は過去の質問事項を蓄積し、Q&amp;AとしてLMS上に公開する予定であ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</si>
  <si>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</si>
  <si>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</si>
  <si>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</si>
  <si>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</si>
  <si>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統計・データサイエンスWG</t>
  </si>
  <si>
    <t>木下 淳博</t>
  </si>
  <si>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</si>
  <si>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</si>
  <si>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</si>
  <si>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</si>
  <si>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</si>
  <si>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xml:space="preserve">演習課題を毎回提出させることで、学生の履修・修得状況と課題達成状況を把握できた。授業後アンケートの結果から、学生の理解度を把握でき、約7割が授業内容と教員対応に満足できたことが分かった。
また、アンケートに「WebClassに演習課題があって授業の復習がしやすかったです」との回答があったことから、授業後にアップロードした授業動画が、演習課題の実施や復習に役立ったと思われる。各自のペース、時間で演習・復習できた点も高い評価につながったと思われる。
なお、学生からの評価を統計・データサイエンスWGや担当教員にフィードバックし、本プログラムの改善に役立てている。
</t>
    <rPh sb="6" eb="7">
      <t>カイ</t>
    </rPh>
    <rPh sb="16" eb="18">
      <t>ガクセイ</t>
    </rPh>
    <rPh sb="22" eb="24">
      <t>シュウトク</t>
    </rPh>
    <rPh sb="29" eb="31">
      <t>タッセイ</t>
    </rPh>
    <rPh sb="54" eb="56">
      <t>ガクセイ</t>
    </rPh>
    <rPh sb="57" eb="60">
      <t>リカイド</t>
    </rPh>
    <rPh sb="61" eb="63">
      <t>ハアク</t>
    </rPh>
    <rPh sb="88" eb="89">
      <t>ワ</t>
    </rPh>
    <rPh sb="167" eb="169">
      <t>エンシュウ</t>
    </rPh>
    <rPh sb="169" eb="171">
      <t>カダイ</t>
    </rPh>
    <rPh sb="172" eb="174">
      <t>ジッシ</t>
    </rPh>
    <rPh sb="175" eb="177">
      <t>フクシュウ</t>
    </rPh>
    <rPh sb="178" eb="180">
      <t>ヤクダ</t>
    </rPh>
    <rPh sb="183" eb="184">
      <t>オモ</t>
    </rPh>
    <rPh sb="201" eb="203">
      <t>フクシュウ</t>
    </rPh>
    <rPh sb="206" eb="207">
      <t>テン</t>
    </rPh>
    <rPh sb="208" eb="209">
      <t>タカ</t>
    </rPh>
    <rPh sb="210" eb="212">
      <t>ヒョウカ</t>
    </rPh>
    <rPh sb="219" eb="220">
      <t>オモ</t>
    </rPh>
    <rPh sb="228" eb="230">
      <t>ガクセイ</t>
    </rPh>
    <rPh sb="233" eb="235">
      <t>ヒョウカ</t>
    </rPh>
    <rPh sb="250" eb="252">
      <t>タントウ</t>
    </rPh>
    <rPh sb="252" eb="254">
      <t>キョウイン</t>
    </rPh>
    <rPh sb="274" eb="276">
      <t>ヤクダ</t>
    </rPh>
    <phoneticPr fontId="1"/>
  </si>
  <si>
    <t>学修成果</t>
    <rPh sb="0" eb="2">
      <t>ガクシュウ</t>
    </rPh>
    <rPh sb="2" eb="4">
      <t>セイカ</t>
    </rPh>
    <phoneticPr fontId="1"/>
  </si>
  <si>
    <t xml:space="preserve">全学共通の科目別授業評価アンケートにより、科目の到達目標に対する学生の達成度（自己評価）や授業評価、学習の自己評価等を把握している。結果を統合教育機構内で可視化、分析し、担当教員にフィードバックすることで、本教育プログラムの評価・改善に活用している。
科目終了後の評価アンケートで、「この科目の学習内容は適切だった」に対して74.4%の学生が肯定的に、「この科目の成績評価の方法は適切だった」に対して70.0%の学生が肯定的に、「この科目の到達目標を達成できたと思う」に対して58.8%が肯定的に回答した。単位取得者はほぼすべての課題を適切に提出できたことから、一定の学修成果があったと思われる。
				</t>
    <rPh sb="281" eb="283">
      <t>イッテイ</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</si>
  <si>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</si>
  <si>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xml:space="preserve">「この授業では、能動的な学習（アクティブラーニング）を多く取り入れていた」に対して78.4%（125人中98人）の学生が肯定的に回答し、「この授業では教員は学生に自ら考え、分析、理解するよう促した」に対して86.4%（125人中108人）の学生が肯定的に回答した。学生がこのように評価したことから、学生による授業内容の理解度は十分高かったと思われる。さらに、自由記述で「分からない人のためのzoom会が用意されていた」などの肯定的な指摘があり、理解を促す取組を学生が評価していることがわかる。
本科目はデータサイエンスへの動機付けを最大の目標としているため、概ね満足する結果が得られた。
</t>
    <rPh sb="132" eb="134">
      <t>ガクセイ</t>
    </rPh>
    <rPh sb="140" eb="142">
      <t>ヒョウカ</t>
    </rPh>
    <rPh sb="149" eb="151">
      <t>ガクセイ</t>
    </rPh>
    <rPh sb="154" eb="156">
      <t>ジュギョウ</t>
    </rPh>
    <rPh sb="156" eb="158">
      <t>ナイヨウ</t>
    </rPh>
    <rPh sb="159" eb="162">
      <t>リカイド</t>
    </rPh>
    <rPh sb="163" eb="165">
      <t>ジュウブン</t>
    </rPh>
    <rPh sb="165" eb="166">
      <t>タカ</t>
    </rPh>
    <rPh sb="170" eb="171">
      <t>オモ</t>
    </rPh>
    <rPh sb="212" eb="215">
      <t>コウテイテキ</t>
    </rPh>
    <rPh sb="216" eb="218">
      <t>シテキ</t>
    </rPh>
    <rPh sb="227" eb="229">
      <t>トリクミ</t>
    </rPh>
    <rPh sb="230" eb="232">
      <t>ガクセイ</t>
    </rPh>
    <rPh sb="233" eb="235">
      <t>ヒョウカ</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</si>
  <si>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</si>
  <si>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医療とAI・ビッグデータ入門」のアンケートに「履修する際のアドバイスがあればお願い致します」という設問を設けた。回答に「データサイエンスの基礎からしっかり学べると思います」「とてもわかりやすく説明していただけてすべての基礎となる授業でした」「実際に自分の手を動かしてプログラミングを実行することができる点はとても面白かったと思う」などがあったことから、後輩や未履修者への推奨度は高いと思われる。自らPython使ってプログラミングを体験できたことが、学ぶ楽しさにつながり、推奨できる授業と感じたと思われる。</t>
    <rPh sb="58" eb="60">
      <t>カイトウ</t>
    </rPh>
    <rPh sb="178" eb="180">
      <t>コウハイ</t>
    </rPh>
    <rPh sb="181" eb="184">
      <t>ミリシュウ</t>
    </rPh>
    <rPh sb="184" eb="185">
      <t>シャ</t>
    </rPh>
    <rPh sb="187" eb="189">
      <t>スイショウ</t>
    </rPh>
    <rPh sb="189" eb="190">
      <t>ド</t>
    </rPh>
    <rPh sb="191" eb="192">
      <t>タカ</t>
    </rPh>
    <rPh sb="194" eb="195">
      <t>オモ</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</si>
  <si>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</si>
  <si>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xml:space="preserve">本教育プログラムを構成する「医療とAI・ビッグデータ入門」は令和４年度から全学科必修科目となり、令和８年度には、履修率が１００％となる。
また、本教育プログラムの推進・改善を担う「統計・データサイエンスWG」を毎週実施するとともに、全学科・専攻における数理・データサイエンス・AI教育を推進・普及させるために、①データサイエンス関連科目担当者全員による到達目標の整理ならびに授業内容の共有、②各専門分野からの観点も取り入れた効率化の検討を行い、学生の履修率向上を目指している。履修者数は2021年度から2022年度に6.7％上昇した（267名→285名）。
</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</si>
  <si>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</si>
  <si>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</si>
  <si>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学では、卒業時に「卒業時大学評価アンケート」を、卒後3年に「卒後3年大学評価アンケート」を実施し、さらに各学科・専攻の同窓会と連携して、全卒業生に対する「卒業生進路アンケート」を実施（医・歯学科は2019年度から3年に1回、看護・検査・衛生・工学専攻は2022年度から実施）しており、本教育プログラムを修了した卒業生の進路や活躍状況、卒業生から見た大学評価の実態が把握でき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</si>
  <si>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</si>
  <si>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株式会社Preferred Networks、システムバイオロジー研究機構、オリコン株式会社でデータサイエンス関連業務に従事する管理職/研究員の方に対して本プログラムの外部評価を得た。
「概要の理解と学習の動機付けを促すには十分すぎるほどである」「第一線で活躍している専門家による講義も取り入れており、医学・歯学分野におけるデータ解析の現場において必要不可欠な知識を習得するための導入として適切である」などの評価を得た一方で、日々進化するAI技術を本プログラムで網羅することが困難なため、戦略的にどのAI技術をどのレベルまで講義すべきか検討すべきという意見を得た。</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</si>
  <si>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</si>
  <si>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本科目では動機付けを最大の目標としている。前半の講義では、本学M&amp;Dデータ科学センターの教員によるデータサイエンスの最前線の研究内容だけでなく、民間企業の視点及び社会の現状を踏まえた内容を意識して富士通研究所の研究員によるAIの社会応用の講義も取り入れた。また後半ではデータサイエンスの体験を重視したプログラミング演習を取り入れている。具体的にはPythonを用いた機械学習、深層学習を受講学生自身のPCで実行させ、演習の最後には医療分野への応用を実体験させるため、Covid-19肺炎のX線画像を用いた深層学習による画像分類の演習を実施した。
　</t>
    <rPh sb="44" eb="46">
      <t>キョウイン</t>
    </rPh>
    <rPh sb="105" eb="108">
      <t>ケンキュウイン</t>
    </rPh>
    <rPh sb="195" eb="197">
      <t>ガクセイ</t>
    </rPh>
    <rPh sb="197" eb="199">
      <t>ジシン</t>
    </rPh>
    <rPh sb="203" eb="205">
      <t>ジッコウ</t>
    </rPh>
    <rPh sb="224" eb="225">
      <t>ジツ</t>
    </rPh>
    <rPh sb="225" eb="227">
      <t>タイケン</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</si>
  <si>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</si>
  <si>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xml:space="preserve">令和4年度は、LMSに授業の資料や動画を掲載し、オンデマンドでも受講可能とした。「医療とAI・ビッグデータ入門」の演習時間では、Zoomのブレイクアウトルームにて学生を小グループに割り振り、各グループに教員を配置することで学生の進捗状況を把握しつつ、質問に対応した。また、令和5年度からは、全学科・専攻の1年生を対象とした「AI・データサイエンスのための数学」によってデータサイエンス教育の強化を図ることとした。授業後アンケートに、「とてもわかりやすく説明していただけてすべての基礎となる授業でした。真剣にきいておけばそれ以降の土台となるように感じました」など肯定的な回答があった。
</t>
    <phoneticPr fontId="1"/>
  </si>
  <si>
    <t xml:space="preserve">
・データ倫理（プライバシー保護等）「医療とAI・ビッグデータ入門」(2回目）
・AI社会原則（公平性等）「医療とAI・ビッグデータ入門」(2回目）
・データバイアス、アルゴリズムバイアス「医療とAI・ビッグデータ入門」(2回目）</t>
    <phoneticPr fontId="1"/>
  </si>
  <si>
    <t xml:space="preserve">
・情報セキュリティ「医療とAI・ビッグデータ入門」(1回目）
・匿名加工情報、暗号化、パスワード等「医療とAI・ビッグデータ入門」(1回目）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</si>
</sst>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2"/>
      <color rgb="FF000000"/>
      <name val="ＭＳ Ｐゴシック"/>
      <family val="3"/>
      <charset val="128"/>
    </font>
    <font>
      <sz val="12"/>
      <color theme="1"/>
      <name val="ＭＳ Ｐゴシック"/>
      <family val="3"/>
      <charset val="128"/>
    </font>
    <font>
      <sz val="12"/>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Up="1">
      <left style="dotted">
        <color auto="1"/>
      </left>
      <right style="hair">
        <color auto="1"/>
      </right>
      <top style="thin">
        <color auto="1"/>
      </top>
      <bottom style="hair">
        <color auto="1"/>
      </bottom>
      <diagonal style="thin">
        <color auto="1"/>
      </diagonal>
    </border>
    <border diagonalUp="1">
      <left style="hair">
        <color auto="1"/>
      </left>
      <right style="thin">
        <color auto="1"/>
      </right>
      <top style="thin">
        <color auto="1"/>
      </top>
      <bottom style="hair">
        <color auto="1"/>
      </bottom>
      <diagonal style="hair">
        <color auto="1"/>
      </diagonal>
    </border>
    <border diagonalUp="1">
      <left style="dotted">
        <color auto="1"/>
      </left>
      <right style="hair">
        <color auto="1"/>
      </right>
      <top style="hair">
        <color auto="1"/>
      </top>
      <bottom style="hair">
        <color auto="1"/>
      </bottom>
      <diagonal style="thin">
        <color auto="1"/>
      </diagonal>
    </border>
    <border diagonalUp="1">
      <left style="hair">
        <color auto="1"/>
      </left>
      <right style="thin">
        <color auto="1"/>
      </right>
      <top style="hair">
        <color auto="1"/>
      </top>
      <bottom style="hair">
        <color auto="1"/>
      </bottom>
      <diagonal style="hair">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61" xfId="2" applyFont="1" applyBorder="1" applyAlignment="1">
      <alignment vertical="center" shrinkToFit="1"/>
    </xf>
    <xf numFmtId="38" fontId="2" fillId="0" borderId="62" xfId="2" applyFont="1" applyBorder="1" applyAlignment="1">
      <alignment vertical="center" shrinkToFit="1"/>
    </xf>
    <xf numFmtId="38" fontId="2" fillId="0" borderId="63" xfId="2" applyFont="1" applyBorder="1" applyAlignment="1">
      <alignment vertical="center" shrinkToFit="1"/>
    </xf>
    <xf numFmtId="38" fontId="2" fillId="0" borderId="64" xfId="2"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pplyAlignme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4" fillId="0" borderId="6"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14" fillId="0" borderId="42" xfId="0" applyFont="1" applyBorder="1" applyAlignment="1">
      <alignment vertical="top" wrapText="1" shrinkToFi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14" fillId="0" borderId="19" xfId="0" applyFont="1" applyBorder="1" applyAlignment="1">
      <alignment vertical="top" wrapText="1" shrinkToFit="1"/>
    </xf>
    <xf numFmtId="0" fontId="13" fillId="0" borderId="37" xfId="0" applyFont="1" applyBorder="1" applyAlignment="1">
      <alignment vertical="top" wrapText="1" shrinkToFit="1"/>
    </xf>
    <xf numFmtId="0" fontId="11" fillId="0" borderId="38" xfId="0" applyFont="1" applyBorder="1" applyAlignment="1">
      <alignment vertical="top" wrapText="1" shrinkToFit="1"/>
    </xf>
    <xf numFmtId="0" fontId="11" fillId="0" borderId="39" xfId="0" applyFont="1" applyBorder="1" applyAlignment="1">
      <alignment vertical="top" wrapText="1" shrinkToFit="1"/>
    </xf>
    <xf numFmtId="0" fontId="2" fillId="0" borderId="17" xfId="0" applyFont="1" applyBorder="1" applyAlignment="1">
      <alignment vertical="center"/>
    </xf>
    <xf numFmtId="0" fontId="5" fillId="0" borderId="18" xfId="0" applyFont="1" applyBorder="1" applyAlignment="1">
      <alignment vertical="center"/>
    </xf>
    <xf numFmtId="0" fontId="15" fillId="0" borderId="19" xfId="0" applyFont="1" applyBorder="1" applyAlignment="1">
      <alignment vertical="top" wrapText="1" shrinkToFit="1"/>
    </xf>
    <xf numFmtId="0" fontId="12" fillId="0" borderId="20" xfId="0" applyFont="1" applyBorder="1" applyAlignment="1">
      <alignment vertical="top" wrapText="1" shrinkToFit="1"/>
    </xf>
    <xf numFmtId="0" fontId="12"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3" fillId="0" borderId="8" xfId="0" applyFont="1" applyFill="1" applyBorder="1" applyAlignment="1">
      <alignment horizontal="left" vertical="center" wrapText="1" shrinkToFit="1"/>
    </xf>
    <xf numFmtId="0" fontId="2" fillId="0" borderId="8" xfId="0" applyFont="1" applyFill="1" applyBorder="1" applyAlignment="1">
      <alignment horizontal="left" vertical="center" shrinkToFit="1"/>
    </xf>
    <xf numFmtId="0" fontId="2" fillId="0" borderId="9" xfId="0" applyFont="1" applyFill="1" applyBorder="1" applyAlignment="1">
      <alignment horizontal="left" vertical="center" shrinkToFit="1"/>
    </xf>
    <xf numFmtId="0" fontId="13" fillId="0" borderId="38" xfId="0" applyFont="1" applyFill="1" applyBorder="1" applyAlignment="1">
      <alignment horizontal="left" vertical="center" wrapText="1" shrinkToFit="1"/>
    </xf>
    <xf numFmtId="0" fontId="2" fillId="0" borderId="38" xfId="0" applyFont="1" applyFill="1" applyBorder="1" applyAlignment="1">
      <alignment horizontal="left" vertical="center" shrinkToFit="1"/>
    </xf>
    <xf numFmtId="0" fontId="2" fillId="0" borderId="39" xfId="0" applyFont="1" applyFill="1" applyBorder="1" applyAlignment="1">
      <alignment horizontal="lef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Normal="100" zoomScaleSheetLayoutView="100" workbookViewId="0">
      <selection activeCell="D95" sqref="D95:S9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5" t="s">
        <v>0</v>
      </c>
      <c r="S1" s="105"/>
      <c r="T1" s="2" t="s">
        <v>1</v>
      </c>
    </row>
    <row r="2" spans="1:22" ht="18.75" customHeight="1" x14ac:dyDescent="0.15">
      <c r="B2" s="34" t="s">
        <v>2</v>
      </c>
      <c r="C2" s="98" t="s">
        <v>3</v>
      </c>
      <c r="D2" s="99"/>
      <c r="E2" s="99"/>
      <c r="F2" s="99"/>
      <c r="G2" s="99"/>
      <c r="H2" s="99"/>
      <c r="I2" s="100"/>
      <c r="J2" s="35"/>
      <c r="K2" s="6"/>
      <c r="L2" s="6"/>
      <c r="M2" s="6"/>
      <c r="N2" s="6"/>
      <c r="O2" s="6"/>
      <c r="P2" s="6"/>
      <c r="Q2" s="6"/>
      <c r="R2" s="6"/>
      <c r="S2" s="6"/>
    </row>
    <row r="3" spans="1:22" ht="18.75" customHeight="1" x14ac:dyDescent="0.15">
      <c r="B3" s="34" t="s">
        <v>4</v>
      </c>
      <c r="C3" s="98" t="s">
        <v>5</v>
      </c>
      <c r="D3" s="99"/>
      <c r="E3" s="99"/>
      <c r="F3" s="99"/>
      <c r="G3" s="99"/>
      <c r="H3" s="99"/>
      <c r="I3" s="100"/>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09" t="s">
        <v>6</v>
      </c>
      <c r="B5" s="109"/>
      <c r="C5" s="109"/>
      <c r="D5" s="109"/>
      <c r="E5" s="109"/>
      <c r="F5" s="109"/>
      <c r="G5" s="109"/>
      <c r="H5" s="109"/>
      <c r="I5" s="109"/>
      <c r="J5" s="109"/>
      <c r="K5" s="109"/>
      <c r="L5" s="109"/>
      <c r="M5" s="109"/>
      <c r="N5" s="109"/>
      <c r="O5" s="109"/>
      <c r="P5" s="109"/>
      <c r="Q5" s="109"/>
      <c r="R5" s="109"/>
      <c r="S5" s="109"/>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7</v>
      </c>
      <c r="C7" s="3"/>
      <c r="J7" s="38" t="s">
        <v>8</v>
      </c>
      <c r="K7" s="119" t="s">
        <v>9</v>
      </c>
      <c r="L7" s="120"/>
      <c r="M7" s="120"/>
      <c r="N7" s="120"/>
      <c r="O7" s="120"/>
      <c r="P7" s="120"/>
      <c r="Q7" s="120"/>
      <c r="R7" s="120"/>
      <c r="S7" s="12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6"/>
      <c r="C9" s="87"/>
      <c r="D9" s="87"/>
      <c r="E9" s="87"/>
      <c r="F9" s="87"/>
      <c r="G9" s="87"/>
      <c r="H9" s="87"/>
      <c r="I9" s="87"/>
      <c r="J9" s="87"/>
      <c r="K9" s="87"/>
      <c r="L9" s="87"/>
      <c r="M9" s="87"/>
      <c r="N9" s="87"/>
      <c r="O9" s="87"/>
      <c r="P9" s="87"/>
      <c r="Q9" s="87"/>
      <c r="R9" s="87"/>
      <c r="S9" s="88"/>
    </row>
    <row r="10" spans="1:22" ht="18" customHeight="1" x14ac:dyDescent="0.15">
      <c r="B10" s="89"/>
      <c r="C10" s="90"/>
      <c r="D10" s="90"/>
      <c r="E10" s="90"/>
      <c r="F10" s="90"/>
      <c r="G10" s="90"/>
      <c r="H10" s="90"/>
      <c r="I10" s="90"/>
      <c r="J10" s="90"/>
      <c r="K10" s="90"/>
      <c r="L10" s="90"/>
      <c r="M10" s="90"/>
      <c r="N10" s="90"/>
      <c r="O10" s="90"/>
      <c r="P10" s="90"/>
      <c r="Q10" s="90"/>
      <c r="R10" s="90"/>
      <c r="S10" s="91"/>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10</v>
      </c>
      <c r="B12" s="3"/>
      <c r="C12" s="3"/>
      <c r="D12" s="35"/>
      <c r="E12" s="35"/>
      <c r="F12" s="35"/>
      <c r="G12" s="35"/>
      <c r="H12" s="35"/>
      <c r="I12" s="35"/>
      <c r="J12" s="35"/>
      <c r="K12" s="39"/>
      <c r="L12" s="39"/>
      <c r="M12" s="39"/>
      <c r="N12" s="39"/>
      <c r="O12" s="39"/>
      <c r="P12" s="39"/>
      <c r="Q12" s="39"/>
      <c r="R12" s="39"/>
      <c r="S12" s="39"/>
    </row>
    <row r="13" spans="1:22" ht="18" customHeight="1" x14ac:dyDescent="0.15">
      <c r="B13" s="110" t="s">
        <v>11</v>
      </c>
      <c r="C13" s="111"/>
      <c r="D13" s="111"/>
      <c r="E13" s="111"/>
      <c r="F13" s="111"/>
      <c r="G13" s="111"/>
      <c r="H13" s="111"/>
      <c r="I13" s="111"/>
      <c r="J13" s="111"/>
      <c r="K13" s="111"/>
      <c r="L13" s="111"/>
      <c r="M13" s="111"/>
      <c r="N13" s="111"/>
      <c r="O13" s="111"/>
      <c r="P13" s="111"/>
      <c r="Q13" s="111"/>
      <c r="R13" s="111"/>
      <c r="S13" s="112"/>
      <c r="V13" s="1" t="s">
        <v>12</v>
      </c>
    </row>
    <row r="14" spans="1:22" ht="18" customHeight="1" x14ac:dyDescent="0.15">
      <c r="B14" s="113"/>
      <c r="C14" s="114"/>
      <c r="D14" s="114"/>
      <c r="E14" s="114"/>
      <c r="F14" s="114"/>
      <c r="G14" s="114"/>
      <c r="H14" s="114"/>
      <c r="I14" s="114"/>
      <c r="J14" s="114"/>
      <c r="K14" s="114"/>
      <c r="L14" s="114"/>
      <c r="M14" s="114"/>
      <c r="N14" s="114"/>
      <c r="O14" s="114"/>
      <c r="P14" s="114"/>
      <c r="Q14" s="114"/>
      <c r="R14" s="114"/>
      <c r="S14" s="115"/>
      <c r="V14" s="1" t="s">
        <v>13</v>
      </c>
    </row>
    <row r="15" spans="1:22" ht="18" customHeight="1" x14ac:dyDescent="0.15">
      <c r="B15" s="113"/>
      <c r="C15" s="114"/>
      <c r="D15" s="114"/>
      <c r="E15" s="114"/>
      <c r="F15" s="114"/>
      <c r="G15" s="114"/>
      <c r="H15" s="114"/>
      <c r="I15" s="114"/>
      <c r="J15" s="114"/>
      <c r="K15" s="114"/>
      <c r="L15" s="114"/>
      <c r="M15" s="114"/>
      <c r="N15" s="114"/>
      <c r="O15" s="114"/>
      <c r="P15" s="114"/>
      <c r="Q15" s="114"/>
      <c r="R15" s="114"/>
      <c r="S15" s="115"/>
      <c r="V15" s="1" t="s">
        <v>14</v>
      </c>
    </row>
    <row r="16" spans="1:22" ht="18" customHeight="1" x14ac:dyDescent="0.15">
      <c r="B16" s="113"/>
      <c r="C16" s="114"/>
      <c r="D16" s="114"/>
      <c r="E16" s="114"/>
      <c r="F16" s="114"/>
      <c r="G16" s="114"/>
      <c r="H16" s="114"/>
      <c r="I16" s="114"/>
      <c r="J16" s="114"/>
      <c r="K16" s="114"/>
      <c r="L16" s="114"/>
      <c r="M16" s="114"/>
      <c r="N16" s="114"/>
      <c r="O16" s="114"/>
      <c r="P16" s="114"/>
      <c r="Q16" s="114"/>
      <c r="R16" s="114"/>
      <c r="S16" s="115"/>
      <c r="V16" s="1" t="s">
        <v>15</v>
      </c>
    </row>
    <row r="17" spans="1:19" ht="18" customHeight="1" x14ac:dyDescent="0.15">
      <c r="B17" s="113"/>
      <c r="C17" s="114"/>
      <c r="D17" s="114"/>
      <c r="E17" s="114"/>
      <c r="F17" s="114"/>
      <c r="G17" s="114"/>
      <c r="H17" s="114"/>
      <c r="I17" s="114"/>
      <c r="J17" s="114"/>
      <c r="K17" s="114"/>
      <c r="L17" s="114"/>
      <c r="M17" s="114"/>
      <c r="N17" s="114"/>
      <c r="O17" s="114"/>
      <c r="P17" s="114"/>
      <c r="Q17" s="114"/>
      <c r="R17" s="114"/>
      <c r="S17" s="115"/>
    </row>
    <row r="18" spans="1:19" ht="18" customHeight="1" x14ac:dyDescent="0.15">
      <c r="B18" s="116"/>
      <c r="C18" s="117"/>
      <c r="D18" s="117"/>
      <c r="E18" s="117"/>
      <c r="F18" s="117"/>
      <c r="G18" s="117"/>
      <c r="H18" s="117"/>
      <c r="I18" s="117"/>
      <c r="J18" s="117"/>
      <c r="K18" s="117"/>
      <c r="L18" s="117"/>
      <c r="M18" s="117"/>
      <c r="N18" s="117"/>
      <c r="O18" s="117"/>
      <c r="P18" s="117"/>
      <c r="Q18" s="117"/>
      <c r="R18" s="117"/>
      <c r="S18" s="118"/>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16</v>
      </c>
      <c r="C20" s="98">
        <v>1</v>
      </c>
      <c r="D20" s="100"/>
      <c r="E20" s="40" t="s">
        <v>17</v>
      </c>
      <c r="G20" s="10"/>
      <c r="H20" s="3"/>
      <c r="I20" s="3"/>
      <c r="J20" s="35" t="s">
        <v>18</v>
      </c>
      <c r="K20" s="106" t="s">
        <v>13</v>
      </c>
      <c r="L20" s="107"/>
      <c r="M20" s="107"/>
      <c r="N20" s="107"/>
      <c r="O20" s="107"/>
      <c r="P20" s="107"/>
      <c r="Q20" s="107"/>
      <c r="R20" s="107"/>
      <c r="S20" s="108"/>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1" t="s">
        <v>19</v>
      </c>
      <c r="B22" s="101"/>
      <c r="C22" s="101"/>
      <c r="D22" s="101"/>
      <c r="E22" s="101"/>
      <c r="F22" s="101"/>
      <c r="G22" s="101"/>
      <c r="H22" s="101"/>
      <c r="I22" s="101"/>
      <c r="J22" s="101"/>
      <c r="K22" s="101"/>
      <c r="L22" s="101"/>
      <c r="M22" s="101"/>
      <c r="N22" s="101"/>
      <c r="O22" s="101"/>
      <c r="P22" s="101"/>
      <c r="Q22" s="101"/>
      <c r="R22" s="101"/>
      <c r="S22" s="101"/>
    </row>
    <row r="23" spans="1:19" ht="18" customHeight="1" x14ac:dyDescent="0.15">
      <c r="A23" s="101"/>
      <c r="B23" s="101"/>
      <c r="C23" s="101"/>
      <c r="D23" s="101"/>
      <c r="E23" s="101"/>
      <c r="F23" s="101"/>
      <c r="G23" s="101"/>
      <c r="H23" s="101"/>
      <c r="I23" s="101"/>
      <c r="J23" s="101"/>
      <c r="K23" s="101"/>
      <c r="L23" s="101"/>
      <c r="M23" s="101"/>
      <c r="N23" s="101"/>
      <c r="O23" s="101"/>
      <c r="P23" s="101"/>
      <c r="Q23" s="101"/>
      <c r="R23" s="101"/>
      <c r="S23" s="101"/>
    </row>
    <row r="24" spans="1:19" ht="18" customHeight="1" x14ac:dyDescent="0.15">
      <c r="B24" s="98" t="s">
        <v>20</v>
      </c>
      <c r="C24" s="99"/>
      <c r="D24" s="99"/>
      <c r="E24" s="100"/>
      <c r="F24" s="61" t="s">
        <v>21</v>
      </c>
      <c r="G24" s="60" t="s">
        <v>22</v>
      </c>
      <c r="H24" s="22" t="s">
        <v>23</v>
      </c>
      <c r="I24" s="22" t="s">
        <v>24</v>
      </c>
      <c r="J24" s="98" t="s">
        <v>20</v>
      </c>
      <c r="K24" s="99"/>
      <c r="L24" s="99"/>
      <c r="M24" s="99"/>
      <c r="N24" s="99"/>
      <c r="O24" s="100"/>
      <c r="P24" s="61" t="s">
        <v>21</v>
      </c>
      <c r="Q24" s="60" t="s">
        <v>22</v>
      </c>
      <c r="R24" s="22" t="s">
        <v>23</v>
      </c>
      <c r="S24" s="22" t="s">
        <v>24</v>
      </c>
    </row>
    <row r="25" spans="1:19" ht="18" customHeight="1" x14ac:dyDescent="0.15">
      <c r="B25" s="102" t="s">
        <v>25</v>
      </c>
      <c r="C25" s="103"/>
      <c r="D25" s="103"/>
      <c r="E25" s="104"/>
      <c r="F25" s="23">
        <v>1</v>
      </c>
      <c r="G25" s="23" t="s">
        <v>26</v>
      </c>
      <c r="H25" s="23" t="s">
        <v>26</v>
      </c>
      <c r="I25" s="23" t="s">
        <v>26</v>
      </c>
      <c r="J25" s="102"/>
      <c r="K25" s="103"/>
      <c r="L25" s="103"/>
      <c r="M25" s="103"/>
      <c r="N25" s="103"/>
      <c r="O25" s="104"/>
      <c r="P25" s="23"/>
      <c r="Q25" s="23"/>
      <c r="R25" s="23"/>
      <c r="S25" s="23"/>
    </row>
    <row r="26" spans="1:19" ht="18" customHeight="1" x14ac:dyDescent="0.15">
      <c r="B26" s="92"/>
      <c r="C26" s="93"/>
      <c r="D26" s="93"/>
      <c r="E26" s="94"/>
      <c r="F26" s="24"/>
      <c r="G26" s="24"/>
      <c r="H26" s="24"/>
      <c r="I26" s="24"/>
      <c r="J26" s="92"/>
      <c r="K26" s="93"/>
      <c r="L26" s="93"/>
      <c r="M26" s="93"/>
      <c r="N26" s="93"/>
      <c r="O26" s="94"/>
      <c r="P26" s="24"/>
      <c r="Q26" s="24"/>
      <c r="R26" s="24"/>
      <c r="S26" s="24"/>
    </row>
    <row r="27" spans="1:19" ht="18" customHeight="1" x14ac:dyDescent="0.15">
      <c r="B27" s="92"/>
      <c r="C27" s="93"/>
      <c r="D27" s="93"/>
      <c r="E27" s="94"/>
      <c r="F27" s="24"/>
      <c r="G27" s="24"/>
      <c r="H27" s="24"/>
      <c r="I27" s="24"/>
      <c r="J27" s="92"/>
      <c r="K27" s="93"/>
      <c r="L27" s="93"/>
      <c r="M27" s="93"/>
      <c r="N27" s="93"/>
      <c r="O27" s="94"/>
      <c r="P27" s="24"/>
      <c r="Q27" s="24"/>
      <c r="R27" s="24"/>
      <c r="S27" s="24"/>
    </row>
    <row r="28" spans="1:19" ht="18" customHeight="1" x14ac:dyDescent="0.15">
      <c r="B28" s="92"/>
      <c r="C28" s="93"/>
      <c r="D28" s="93"/>
      <c r="E28" s="94"/>
      <c r="F28" s="24"/>
      <c r="G28" s="24"/>
      <c r="H28" s="24"/>
      <c r="I28" s="24"/>
      <c r="J28" s="92"/>
      <c r="K28" s="93"/>
      <c r="L28" s="93"/>
      <c r="M28" s="93"/>
      <c r="N28" s="93"/>
      <c r="O28" s="94"/>
      <c r="P28" s="24"/>
      <c r="Q28" s="24"/>
      <c r="R28" s="24"/>
      <c r="S28" s="24"/>
    </row>
    <row r="29" spans="1:19" ht="18" customHeight="1" x14ac:dyDescent="0.15">
      <c r="B29" s="92"/>
      <c r="C29" s="93"/>
      <c r="D29" s="93"/>
      <c r="E29" s="94"/>
      <c r="F29" s="24"/>
      <c r="G29" s="24"/>
      <c r="H29" s="24"/>
      <c r="I29" s="24"/>
      <c r="J29" s="92"/>
      <c r="K29" s="93"/>
      <c r="L29" s="93"/>
      <c r="M29" s="93"/>
      <c r="N29" s="93"/>
      <c r="O29" s="94"/>
      <c r="P29" s="24"/>
      <c r="Q29" s="24"/>
      <c r="R29" s="24"/>
      <c r="S29" s="24"/>
    </row>
    <row r="30" spans="1:19" ht="18" customHeight="1" x14ac:dyDescent="0.15">
      <c r="A30" s="3"/>
      <c r="B30" s="92"/>
      <c r="C30" s="93"/>
      <c r="D30" s="93"/>
      <c r="E30" s="94"/>
      <c r="F30" s="24"/>
      <c r="G30" s="24"/>
      <c r="H30" s="24"/>
      <c r="I30" s="24"/>
      <c r="J30" s="92"/>
      <c r="K30" s="93"/>
      <c r="L30" s="93"/>
      <c r="M30" s="93"/>
      <c r="N30" s="93"/>
      <c r="O30" s="94"/>
      <c r="P30" s="24"/>
      <c r="Q30" s="24"/>
      <c r="R30" s="24"/>
      <c r="S30" s="24"/>
    </row>
    <row r="31" spans="1:19" ht="18" customHeight="1" x14ac:dyDescent="0.15">
      <c r="A31" s="3"/>
      <c r="B31" s="95"/>
      <c r="C31" s="96"/>
      <c r="D31" s="96"/>
      <c r="E31" s="97"/>
      <c r="F31" s="25"/>
      <c r="G31" s="25"/>
      <c r="H31" s="26"/>
      <c r="I31" s="26"/>
      <c r="J31" s="95"/>
      <c r="K31" s="96"/>
      <c r="L31" s="96"/>
      <c r="M31" s="96"/>
      <c r="N31" s="96"/>
      <c r="O31" s="97"/>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1" t="s">
        <v>27</v>
      </c>
      <c r="B33" s="101"/>
      <c r="C33" s="101"/>
      <c r="D33" s="101"/>
      <c r="E33" s="101"/>
      <c r="F33" s="101"/>
      <c r="G33" s="101"/>
      <c r="H33" s="101"/>
      <c r="I33" s="101"/>
      <c r="J33" s="101"/>
      <c r="K33" s="101"/>
      <c r="L33" s="101"/>
      <c r="M33" s="101"/>
      <c r="N33" s="101"/>
      <c r="O33" s="101"/>
      <c r="P33" s="101"/>
      <c r="Q33" s="101"/>
      <c r="R33" s="101"/>
      <c r="S33" s="101"/>
    </row>
    <row r="34" spans="1:19" ht="18" customHeight="1" x14ac:dyDescent="0.15">
      <c r="A34" s="101"/>
      <c r="B34" s="101"/>
      <c r="C34" s="101"/>
      <c r="D34" s="101"/>
      <c r="E34" s="101"/>
      <c r="F34" s="101"/>
      <c r="G34" s="101"/>
      <c r="H34" s="101"/>
      <c r="I34" s="101"/>
      <c r="J34" s="101"/>
      <c r="K34" s="101"/>
      <c r="L34" s="101"/>
      <c r="M34" s="101"/>
      <c r="N34" s="101"/>
      <c r="O34" s="101"/>
      <c r="P34" s="101"/>
      <c r="Q34" s="101"/>
      <c r="R34" s="101"/>
      <c r="S34" s="101"/>
    </row>
    <row r="35" spans="1:19" ht="18" customHeight="1" x14ac:dyDescent="0.15">
      <c r="B35" s="98" t="s">
        <v>20</v>
      </c>
      <c r="C35" s="99"/>
      <c r="D35" s="99"/>
      <c r="E35" s="100"/>
      <c r="F35" s="61" t="s">
        <v>21</v>
      </c>
      <c r="G35" s="60" t="s">
        <v>22</v>
      </c>
      <c r="H35" s="22" t="s">
        <v>28</v>
      </c>
      <c r="I35" s="22" t="s">
        <v>29</v>
      </c>
      <c r="J35" s="98" t="s">
        <v>20</v>
      </c>
      <c r="K35" s="99"/>
      <c r="L35" s="99"/>
      <c r="M35" s="99"/>
      <c r="N35" s="99"/>
      <c r="O35" s="100"/>
      <c r="P35" s="61" t="s">
        <v>21</v>
      </c>
      <c r="Q35" s="60" t="s">
        <v>22</v>
      </c>
      <c r="R35" s="22" t="s">
        <v>28</v>
      </c>
      <c r="S35" s="22" t="s">
        <v>29</v>
      </c>
    </row>
    <row r="36" spans="1:19" ht="18" customHeight="1" x14ac:dyDescent="0.15">
      <c r="B36" s="102" t="s">
        <v>25</v>
      </c>
      <c r="C36" s="103"/>
      <c r="D36" s="103"/>
      <c r="E36" s="104"/>
      <c r="F36" s="23">
        <v>1</v>
      </c>
      <c r="G36" s="23" t="s">
        <v>26</v>
      </c>
      <c r="H36" s="23" t="s">
        <v>26</v>
      </c>
      <c r="I36" s="23" t="s">
        <v>26</v>
      </c>
      <c r="J36" s="102"/>
      <c r="K36" s="103"/>
      <c r="L36" s="103"/>
      <c r="M36" s="103"/>
      <c r="N36" s="103"/>
      <c r="O36" s="104"/>
      <c r="P36" s="23"/>
      <c r="Q36" s="23"/>
      <c r="R36" s="23"/>
      <c r="S36" s="23"/>
    </row>
    <row r="37" spans="1:19" ht="18" customHeight="1" x14ac:dyDescent="0.15">
      <c r="B37" s="92"/>
      <c r="C37" s="93"/>
      <c r="D37" s="93"/>
      <c r="E37" s="94"/>
      <c r="F37" s="24"/>
      <c r="G37" s="24"/>
      <c r="H37" s="24"/>
      <c r="I37" s="24"/>
      <c r="J37" s="92"/>
      <c r="K37" s="93"/>
      <c r="L37" s="93"/>
      <c r="M37" s="93"/>
      <c r="N37" s="93"/>
      <c r="O37" s="94"/>
      <c r="P37" s="24"/>
      <c r="Q37" s="24"/>
      <c r="R37" s="24"/>
      <c r="S37" s="24"/>
    </row>
    <row r="38" spans="1:19" ht="18" customHeight="1" x14ac:dyDescent="0.15">
      <c r="B38" s="92"/>
      <c r="C38" s="93"/>
      <c r="D38" s="93"/>
      <c r="E38" s="94"/>
      <c r="F38" s="24"/>
      <c r="G38" s="24"/>
      <c r="H38" s="24"/>
      <c r="I38" s="24"/>
      <c r="J38" s="92"/>
      <c r="K38" s="93"/>
      <c r="L38" s="93"/>
      <c r="M38" s="93"/>
      <c r="N38" s="93"/>
      <c r="O38" s="94"/>
      <c r="P38" s="24"/>
      <c r="Q38" s="24"/>
      <c r="R38" s="24"/>
      <c r="S38" s="24"/>
    </row>
    <row r="39" spans="1:19" ht="18" customHeight="1" x14ac:dyDescent="0.15">
      <c r="B39" s="92"/>
      <c r="C39" s="93"/>
      <c r="D39" s="93"/>
      <c r="E39" s="94"/>
      <c r="F39" s="24"/>
      <c r="G39" s="24"/>
      <c r="H39" s="24"/>
      <c r="I39" s="24"/>
      <c r="J39" s="92"/>
      <c r="K39" s="93"/>
      <c r="L39" s="93"/>
      <c r="M39" s="93"/>
      <c r="N39" s="93"/>
      <c r="O39" s="94"/>
      <c r="P39" s="24"/>
      <c r="Q39" s="24"/>
      <c r="R39" s="24"/>
      <c r="S39" s="24"/>
    </row>
    <row r="40" spans="1:19" ht="18" customHeight="1" x14ac:dyDescent="0.15">
      <c r="B40" s="92"/>
      <c r="C40" s="93"/>
      <c r="D40" s="93"/>
      <c r="E40" s="94"/>
      <c r="F40" s="24"/>
      <c r="G40" s="24"/>
      <c r="H40" s="24"/>
      <c r="I40" s="24"/>
      <c r="J40" s="92"/>
      <c r="K40" s="93"/>
      <c r="L40" s="93"/>
      <c r="M40" s="93"/>
      <c r="N40" s="93"/>
      <c r="O40" s="94"/>
      <c r="P40" s="24"/>
      <c r="Q40" s="24"/>
      <c r="R40" s="24"/>
      <c r="S40" s="24"/>
    </row>
    <row r="41" spans="1:19" ht="18" customHeight="1" x14ac:dyDescent="0.15">
      <c r="B41" s="92"/>
      <c r="C41" s="93"/>
      <c r="D41" s="93"/>
      <c r="E41" s="94"/>
      <c r="F41" s="24"/>
      <c r="G41" s="24"/>
      <c r="H41" s="24"/>
      <c r="I41" s="24"/>
      <c r="J41" s="92"/>
      <c r="K41" s="93"/>
      <c r="L41" s="93"/>
      <c r="M41" s="93"/>
      <c r="N41" s="93"/>
      <c r="O41" s="94"/>
      <c r="P41" s="24"/>
      <c r="Q41" s="24"/>
      <c r="R41" s="24"/>
      <c r="S41" s="24"/>
    </row>
    <row r="42" spans="1:19" ht="18" customHeight="1" x14ac:dyDescent="0.15">
      <c r="B42" s="95"/>
      <c r="C42" s="96"/>
      <c r="D42" s="96"/>
      <c r="E42" s="97"/>
      <c r="F42" s="25"/>
      <c r="G42" s="25"/>
      <c r="H42" s="26"/>
      <c r="I42" s="26"/>
      <c r="J42" s="95"/>
      <c r="K42" s="96"/>
      <c r="L42" s="96"/>
      <c r="M42" s="96"/>
      <c r="N42" s="96"/>
      <c r="O42" s="97"/>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1" t="s">
        <v>30</v>
      </c>
      <c r="B44" s="101"/>
      <c r="C44" s="101"/>
      <c r="D44" s="101"/>
      <c r="E44" s="101"/>
      <c r="F44" s="101"/>
      <c r="G44" s="101"/>
      <c r="H44" s="101"/>
      <c r="I44" s="101"/>
      <c r="J44" s="101"/>
      <c r="K44" s="101"/>
      <c r="L44" s="101"/>
      <c r="M44" s="101"/>
      <c r="N44" s="101"/>
      <c r="O44" s="101"/>
      <c r="P44" s="101"/>
      <c r="Q44" s="101"/>
      <c r="R44" s="101"/>
      <c r="S44" s="101"/>
    </row>
    <row r="45" spans="1:19" ht="18" customHeight="1" x14ac:dyDescent="0.15">
      <c r="A45" s="101"/>
      <c r="B45" s="101"/>
      <c r="C45" s="101"/>
      <c r="D45" s="101"/>
      <c r="E45" s="101"/>
      <c r="F45" s="101"/>
      <c r="G45" s="101"/>
      <c r="H45" s="101"/>
      <c r="I45" s="101"/>
      <c r="J45" s="101"/>
      <c r="K45" s="101"/>
      <c r="L45" s="101"/>
      <c r="M45" s="101"/>
      <c r="N45" s="101"/>
      <c r="O45" s="101"/>
      <c r="P45" s="101"/>
      <c r="Q45" s="101"/>
      <c r="R45" s="101"/>
      <c r="S45" s="101"/>
    </row>
    <row r="46" spans="1:19" ht="18" customHeight="1" x14ac:dyDescent="0.15">
      <c r="B46" s="98" t="s">
        <v>20</v>
      </c>
      <c r="C46" s="99"/>
      <c r="D46" s="99"/>
      <c r="E46" s="100"/>
      <c r="F46" s="61" t="s">
        <v>21</v>
      </c>
      <c r="G46" s="60" t="s">
        <v>22</v>
      </c>
      <c r="H46" s="22" t="s">
        <v>31</v>
      </c>
      <c r="I46" s="22" t="s">
        <v>32</v>
      </c>
      <c r="J46" s="98" t="s">
        <v>20</v>
      </c>
      <c r="K46" s="99"/>
      <c r="L46" s="99"/>
      <c r="M46" s="99"/>
      <c r="N46" s="99"/>
      <c r="O46" s="100"/>
      <c r="P46" s="61" t="s">
        <v>21</v>
      </c>
      <c r="Q46" s="60" t="s">
        <v>22</v>
      </c>
      <c r="R46" s="22" t="s">
        <v>31</v>
      </c>
      <c r="S46" s="22" t="s">
        <v>32</v>
      </c>
    </row>
    <row r="47" spans="1:19" ht="18" customHeight="1" x14ac:dyDescent="0.15">
      <c r="A47" s="3"/>
      <c r="B47" s="102" t="s">
        <v>25</v>
      </c>
      <c r="C47" s="103"/>
      <c r="D47" s="103"/>
      <c r="E47" s="104"/>
      <c r="F47" s="23">
        <v>1</v>
      </c>
      <c r="G47" s="23" t="s">
        <v>26</v>
      </c>
      <c r="H47" s="23" t="s">
        <v>26</v>
      </c>
      <c r="I47" s="23" t="s">
        <v>26</v>
      </c>
      <c r="J47" s="102"/>
      <c r="K47" s="103"/>
      <c r="L47" s="103"/>
      <c r="M47" s="103"/>
      <c r="N47" s="103"/>
      <c r="O47" s="104"/>
      <c r="P47" s="23"/>
      <c r="Q47" s="23"/>
      <c r="R47" s="23"/>
      <c r="S47" s="23"/>
    </row>
    <row r="48" spans="1:19" ht="18" customHeight="1" x14ac:dyDescent="0.15">
      <c r="A48" s="3"/>
      <c r="B48" s="92"/>
      <c r="C48" s="93"/>
      <c r="D48" s="93"/>
      <c r="E48" s="94"/>
      <c r="F48" s="24"/>
      <c r="G48" s="24"/>
      <c r="H48" s="24"/>
      <c r="I48" s="24"/>
      <c r="J48" s="92"/>
      <c r="K48" s="93"/>
      <c r="L48" s="93"/>
      <c r="M48" s="93"/>
      <c r="N48" s="93"/>
      <c r="O48" s="94"/>
      <c r="P48" s="24"/>
      <c r="Q48" s="24"/>
      <c r="R48" s="24"/>
      <c r="S48" s="24"/>
    </row>
    <row r="49" spans="1:19" ht="18" customHeight="1" x14ac:dyDescent="0.15">
      <c r="A49" s="3"/>
      <c r="B49" s="92"/>
      <c r="C49" s="93"/>
      <c r="D49" s="93"/>
      <c r="E49" s="94"/>
      <c r="F49" s="24"/>
      <c r="G49" s="24"/>
      <c r="H49" s="24"/>
      <c r="I49" s="24"/>
      <c r="J49" s="92"/>
      <c r="K49" s="93"/>
      <c r="L49" s="93"/>
      <c r="M49" s="93"/>
      <c r="N49" s="93"/>
      <c r="O49" s="94"/>
      <c r="P49" s="24"/>
      <c r="Q49" s="24"/>
      <c r="R49" s="24"/>
      <c r="S49" s="24"/>
    </row>
    <row r="50" spans="1:19" ht="18" customHeight="1" x14ac:dyDescent="0.15">
      <c r="A50" s="3"/>
      <c r="B50" s="92"/>
      <c r="C50" s="93"/>
      <c r="D50" s="93"/>
      <c r="E50" s="94"/>
      <c r="F50" s="24"/>
      <c r="G50" s="24"/>
      <c r="H50" s="24"/>
      <c r="I50" s="24"/>
      <c r="J50" s="92"/>
      <c r="K50" s="93"/>
      <c r="L50" s="93"/>
      <c r="M50" s="93"/>
      <c r="N50" s="93"/>
      <c r="O50" s="94"/>
      <c r="P50" s="24"/>
      <c r="Q50" s="24"/>
      <c r="R50" s="24"/>
      <c r="S50" s="24"/>
    </row>
    <row r="51" spans="1:19" ht="18" customHeight="1" x14ac:dyDescent="0.15">
      <c r="A51" s="3"/>
      <c r="B51" s="92"/>
      <c r="C51" s="93"/>
      <c r="D51" s="93"/>
      <c r="E51" s="94"/>
      <c r="F51" s="24"/>
      <c r="G51" s="24"/>
      <c r="H51" s="24"/>
      <c r="I51" s="24"/>
      <c r="J51" s="92"/>
      <c r="K51" s="93"/>
      <c r="L51" s="93"/>
      <c r="M51" s="93"/>
      <c r="N51" s="93"/>
      <c r="O51" s="94"/>
      <c r="P51" s="24"/>
      <c r="Q51" s="24"/>
      <c r="R51" s="24"/>
      <c r="S51" s="24"/>
    </row>
    <row r="52" spans="1:19" ht="18" customHeight="1" x14ac:dyDescent="0.15">
      <c r="A52" s="3"/>
      <c r="B52" s="92"/>
      <c r="C52" s="93"/>
      <c r="D52" s="93"/>
      <c r="E52" s="94"/>
      <c r="F52" s="24"/>
      <c r="G52" s="24"/>
      <c r="H52" s="24"/>
      <c r="I52" s="24"/>
      <c r="J52" s="92"/>
      <c r="K52" s="93"/>
      <c r="L52" s="93"/>
      <c r="M52" s="93"/>
      <c r="N52" s="93"/>
      <c r="O52" s="94"/>
      <c r="P52" s="24"/>
      <c r="Q52" s="24"/>
      <c r="R52" s="24"/>
      <c r="S52" s="24"/>
    </row>
    <row r="53" spans="1:19" ht="18" customHeight="1" x14ac:dyDescent="0.15">
      <c r="A53" s="3"/>
      <c r="B53" s="95"/>
      <c r="C53" s="96"/>
      <c r="D53" s="96"/>
      <c r="E53" s="97"/>
      <c r="F53" s="25"/>
      <c r="G53" s="25"/>
      <c r="H53" s="26"/>
      <c r="I53" s="26"/>
      <c r="J53" s="95"/>
      <c r="K53" s="96"/>
      <c r="L53" s="96"/>
      <c r="M53" s="96"/>
      <c r="N53" s="96"/>
      <c r="O53" s="97"/>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1" t="s">
        <v>33</v>
      </c>
      <c r="B55" s="101"/>
      <c r="C55" s="101"/>
      <c r="D55" s="101"/>
      <c r="E55" s="101"/>
      <c r="F55" s="101"/>
      <c r="G55" s="101"/>
      <c r="H55" s="101"/>
      <c r="I55" s="101"/>
      <c r="J55" s="101"/>
      <c r="K55" s="101"/>
      <c r="L55" s="101"/>
      <c r="M55" s="101"/>
      <c r="N55" s="101"/>
      <c r="O55" s="101"/>
      <c r="P55" s="101"/>
      <c r="Q55" s="101"/>
      <c r="R55" s="101"/>
      <c r="S55" s="101"/>
    </row>
    <row r="56" spans="1:19" ht="18" customHeight="1" x14ac:dyDescent="0.15">
      <c r="A56" s="101"/>
      <c r="B56" s="101"/>
      <c r="C56" s="101"/>
      <c r="D56" s="101"/>
      <c r="E56" s="101"/>
      <c r="F56" s="101"/>
      <c r="G56" s="101"/>
      <c r="H56" s="101"/>
      <c r="I56" s="101"/>
      <c r="J56" s="101"/>
      <c r="K56" s="101"/>
      <c r="L56" s="101"/>
      <c r="M56" s="101"/>
      <c r="N56" s="101"/>
      <c r="O56" s="101"/>
      <c r="P56" s="101"/>
      <c r="Q56" s="101"/>
      <c r="R56" s="101"/>
      <c r="S56" s="101"/>
    </row>
    <row r="57" spans="1:19" ht="18" customHeight="1" x14ac:dyDescent="0.15">
      <c r="B57" s="98" t="s">
        <v>20</v>
      </c>
      <c r="C57" s="99"/>
      <c r="D57" s="99"/>
      <c r="E57" s="100"/>
      <c r="F57" s="61" t="s">
        <v>21</v>
      </c>
      <c r="G57" s="60" t="s">
        <v>22</v>
      </c>
      <c r="H57" s="22" t="s">
        <v>34</v>
      </c>
      <c r="I57" s="22" t="s">
        <v>35</v>
      </c>
      <c r="J57" s="98" t="s">
        <v>20</v>
      </c>
      <c r="K57" s="99"/>
      <c r="L57" s="99"/>
      <c r="M57" s="99"/>
      <c r="N57" s="99"/>
      <c r="O57" s="100"/>
      <c r="P57" s="61" t="s">
        <v>21</v>
      </c>
      <c r="Q57" s="60" t="s">
        <v>22</v>
      </c>
      <c r="R57" s="22" t="s">
        <v>34</v>
      </c>
      <c r="S57" s="22" t="s">
        <v>35</v>
      </c>
    </row>
    <row r="58" spans="1:19" ht="18" customHeight="1" x14ac:dyDescent="0.15">
      <c r="A58" s="3"/>
      <c r="B58" s="102" t="s">
        <v>25</v>
      </c>
      <c r="C58" s="103"/>
      <c r="D58" s="103"/>
      <c r="E58" s="104"/>
      <c r="F58" s="23">
        <v>1</v>
      </c>
      <c r="G58" s="23" t="s">
        <v>26</v>
      </c>
      <c r="H58" s="23" t="s">
        <v>26</v>
      </c>
      <c r="I58" s="23" t="s">
        <v>26</v>
      </c>
      <c r="J58" s="102"/>
      <c r="K58" s="103"/>
      <c r="L58" s="103"/>
      <c r="M58" s="103"/>
      <c r="N58" s="103"/>
      <c r="O58" s="104"/>
      <c r="P58" s="23"/>
      <c r="Q58" s="23"/>
      <c r="R58" s="23"/>
      <c r="S58" s="23"/>
    </row>
    <row r="59" spans="1:19" ht="18" customHeight="1" x14ac:dyDescent="0.15">
      <c r="A59" s="3"/>
      <c r="B59" s="92"/>
      <c r="C59" s="93"/>
      <c r="D59" s="93"/>
      <c r="E59" s="94"/>
      <c r="F59" s="24"/>
      <c r="G59" s="24"/>
      <c r="H59" s="24"/>
      <c r="I59" s="24"/>
      <c r="J59" s="92"/>
      <c r="K59" s="93"/>
      <c r="L59" s="93"/>
      <c r="M59" s="93"/>
      <c r="N59" s="93"/>
      <c r="O59" s="94"/>
      <c r="P59" s="24"/>
      <c r="Q59" s="24"/>
      <c r="R59" s="24"/>
      <c r="S59" s="24"/>
    </row>
    <row r="60" spans="1:19" ht="18" customHeight="1" x14ac:dyDescent="0.15">
      <c r="A60" s="3"/>
      <c r="B60" s="92"/>
      <c r="C60" s="93"/>
      <c r="D60" s="93"/>
      <c r="E60" s="94"/>
      <c r="F60" s="24"/>
      <c r="G60" s="24"/>
      <c r="H60" s="24"/>
      <c r="I60" s="24"/>
      <c r="J60" s="92"/>
      <c r="K60" s="93"/>
      <c r="L60" s="93"/>
      <c r="M60" s="93"/>
      <c r="N60" s="93"/>
      <c r="O60" s="94"/>
      <c r="P60" s="24"/>
      <c r="Q60" s="24"/>
      <c r="R60" s="24"/>
      <c r="S60" s="24"/>
    </row>
    <row r="61" spans="1:19" ht="18" customHeight="1" x14ac:dyDescent="0.15">
      <c r="A61" s="3"/>
      <c r="B61" s="92"/>
      <c r="C61" s="93"/>
      <c r="D61" s="93"/>
      <c r="E61" s="94"/>
      <c r="F61" s="24"/>
      <c r="G61" s="24"/>
      <c r="H61" s="24"/>
      <c r="I61" s="24"/>
      <c r="J61" s="92"/>
      <c r="K61" s="93"/>
      <c r="L61" s="93"/>
      <c r="M61" s="93"/>
      <c r="N61" s="93"/>
      <c r="O61" s="94"/>
      <c r="P61" s="24"/>
      <c r="Q61" s="24"/>
      <c r="R61" s="24"/>
      <c r="S61" s="24"/>
    </row>
    <row r="62" spans="1:19" ht="18" customHeight="1" x14ac:dyDescent="0.15">
      <c r="A62" s="3"/>
      <c r="B62" s="92"/>
      <c r="C62" s="93"/>
      <c r="D62" s="93"/>
      <c r="E62" s="94"/>
      <c r="F62" s="24"/>
      <c r="G62" s="24"/>
      <c r="H62" s="24"/>
      <c r="I62" s="24"/>
      <c r="J62" s="92"/>
      <c r="K62" s="93"/>
      <c r="L62" s="93"/>
      <c r="M62" s="93"/>
      <c r="N62" s="93"/>
      <c r="O62" s="94"/>
      <c r="P62" s="24"/>
      <c r="Q62" s="24"/>
      <c r="R62" s="24"/>
      <c r="S62" s="24"/>
    </row>
    <row r="63" spans="1:19" ht="18" customHeight="1" x14ac:dyDescent="0.15">
      <c r="A63" s="3"/>
      <c r="B63" s="92"/>
      <c r="C63" s="93"/>
      <c r="D63" s="93"/>
      <c r="E63" s="94"/>
      <c r="F63" s="24"/>
      <c r="G63" s="24"/>
      <c r="H63" s="24"/>
      <c r="I63" s="24"/>
      <c r="J63" s="92"/>
      <c r="K63" s="93"/>
      <c r="L63" s="93"/>
      <c r="M63" s="93"/>
      <c r="N63" s="93"/>
      <c r="O63" s="94"/>
      <c r="P63" s="24"/>
      <c r="Q63" s="24"/>
      <c r="R63" s="24"/>
      <c r="S63" s="24"/>
    </row>
    <row r="64" spans="1:19" ht="18" customHeight="1" x14ac:dyDescent="0.15">
      <c r="A64" s="3"/>
      <c r="B64" s="95"/>
      <c r="C64" s="96"/>
      <c r="D64" s="96"/>
      <c r="E64" s="97"/>
      <c r="F64" s="25"/>
      <c r="G64" s="25"/>
      <c r="H64" s="26"/>
      <c r="I64" s="26"/>
      <c r="J64" s="95"/>
      <c r="K64" s="96"/>
      <c r="L64" s="96"/>
      <c r="M64" s="96"/>
      <c r="N64" s="96"/>
      <c r="O64" s="97"/>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1" t="s">
        <v>36</v>
      </c>
      <c r="B66" s="101"/>
      <c r="C66" s="101"/>
      <c r="D66" s="101"/>
      <c r="E66" s="101"/>
      <c r="F66" s="101"/>
      <c r="G66" s="101"/>
      <c r="H66" s="101"/>
      <c r="I66" s="101"/>
      <c r="J66" s="101"/>
      <c r="K66" s="101"/>
      <c r="L66" s="101"/>
      <c r="M66" s="101"/>
      <c r="N66" s="101"/>
      <c r="O66" s="101"/>
      <c r="P66" s="101"/>
      <c r="Q66" s="101"/>
      <c r="R66" s="101"/>
      <c r="S66" s="101"/>
    </row>
    <row r="67" spans="1:19" ht="18" customHeight="1" x14ac:dyDescent="0.15">
      <c r="A67" s="101"/>
      <c r="B67" s="101"/>
      <c r="C67" s="101"/>
      <c r="D67" s="101"/>
      <c r="E67" s="101"/>
      <c r="F67" s="101"/>
      <c r="G67" s="101"/>
      <c r="H67" s="101"/>
      <c r="I67" s="101"/>
      <c r="J67" s="101"/>
      <c r="K67" s="101"/>
      <c r="L67" s="101"/>
      <c r="M67" s="101"/>
      <c r="N67" s="101"/>
      <c r="O67" s="101"/>
      <c r="P67" s="101"/>
      <c r="Q67" s="101"/>
      <c r="R67" s="101"/>
      <c r="S67" s="101"/>
    </row>
    <row r="68" spans="1:19" ht="18" customHeight="1" x14ac:dyDescent="0.15">
      <c r="B68" s="98" t="s">
        <v>20</v>
      </c>
      <c r="C68" s="99"/>
      <c r="D68" s="99"/>
      <c r="E68" s="61" t="s">
        <v>21</v>
      </c>
      <c r="F68" s="60" t="s">
        <v>22</v>
      </c>
      <c r="G68" s="22" t="s">
        <v>37</v>
      </c>
      <c r="H68" s="22" t="s">
        <v>38</v>
      </c>
      <c r="I68" s="22" t="s">
        <v>39</v>
      </c>
      <c r="J68" s="98" t="s">
        <v>20</v>
      </c>
      <c r="K68" s="99"/>
      <c r="L68" s="99"/>
      <c r="M68" s="99"/>
      <c r="N68" s="100"/>
      <c r="O68" s="61" t="s">
        <v>21</v>
      </c>
      <c r="P68" s="60" t="s">
        <v>22</v>
      </c>
      <c r="Q68" s="22" t="s">
        <v>37</v>
      </c>
      <c r="R68" s="22" t="s">
        <v>38</v>
      </c>
      <c r="S68" s="22" t="s">
        <v>39</v>
      </c>
    </row>
    <row r="69" spans="1:19" ht="18" customHeight="1" x14ac:dyDescent="0.15">
      <c r="A69" s="3"/>
      <c r="B69" s="102" t="s">
        <v>25</v>
      </c>
      <c r="C69" s="103"/>
      <c r="D69" s="103"/>
      <c r="E69" s="23">
        <v>1</v>
      </c>
      <c r="F69" s="23" t="s">
        <v>26</v>
      </c>
      <c r="G69" s="23" t="s">
        <v>26</v>
      </c>
      <c r="H69" s="23" t="s">
        <v>26</v>
      </c>
      <c r="I69" s="23" t="s">
        <v>26</v>
      </c>
      <c r="J69" s="102"/>
      <c r="K69" s="103"/>
      <c r="L69" s="103"/>
      <c r="M69" s="103"/>
      <c r="N69" s="104"/>
      <c r="O69" s="23"/>
      <c r="P69" s="23"/>
      <c r="Q69" s="23"/>
      <c r="R69" s="23"/>
      <c r="S69" s="23"/>
    </row>
    <row r="70" spans="1:19" ht="18" customHeight="1" x14ac:dyDescent="0.15">
      <c r="A70" s="3"/>
      <c r="B70" s="92"/>
      <c r="C70" s="93"/>
      <c r="D70" s="93"/>
      <c r="E70" s="24"/>
      <c r="F70" s="24"/>
      <c r="G70" s="24"/>
      <c r="H70" s="24"/>
      <c r="I70" s="24"/>
      <c r="J70" s="92"/>
      <c r="K70" s="93"/>
      <c r="L70" s="93"/>
      <c r="M70" s="93"/>
      <c r="N70" s="94"/>
      <c r="O70" s="24"/>
      <c r="P70" s="24"/>
      <c r="Q70" s="24"/>
      <c r="R70" s="24"/>
      <c r="S70" s="24"/>
    </row>
    <row r="71" spans="1:19" ht="18" customHeight="1" x14ac:dyDescent="0.15">
      <c r="A71" s="3"/>
      <c r="B71" s="92"/>
      <c r="C71" s="93"/>
      <c r="D71" s="93"/>
      <c r="E71" s="24"/>
      <c r="F71" s="24"/>
      <c r="G71" s="24"/>
      <c r="H71" s="24"/>
      <c r="I71" s="24"/>
      <c r="J71" s="92"/>
      <c r="K71" s="93"/>
      <c r="L71" s="93"/>
      <c r="M71" s="93"/>
      <c r="N71" s="94"/>
      <c r="O71" s="24"/>
      <c r="P71" s="24"/>
      <c r="Q71" s="24"/>
      <c r="R71" s="24"/>
      <c r="S71" s="24"/>
    </row>
    <row r="72" spans="1:19" ht="18" customHeight="1" x14ac:dyDescent="0.15">
      <c r="A72" s="3"/>
      <c r="B72" s="92"/>
      <c r="C72" s="93"/>
      <c r="D72" s="93"/>
      <c r="E72" s="24"/>
      <c r="F72" s="24"/>
      <c r="G72" s="24"/>
      <c r="H72" s="24"/>
      <c r="I72" s="24"/>
      <c r="J72" s="92"/>
      <c r="K72" s="93"/>
      <c r="L72" s="93"/>
      <c r="M72" s="93"/>
      <c r="N72" s="94"/>
      <c r="O72" s="24"/>
      <c r="P72" s="24"/>
      <c r="Q72" s="24"/>
      <c r="R72" s="24"/>
      <c r="S72" s="24"/>
    </row>
    <row r="73" spans="1:19" ht="18" customHeight="1" x14ac:dyDescent="0.15">
      <c r="A73" s="3"/>
      <c r="B73" s="92"/>
      <c r="C73" s="93"/>
      <c r="D73" s="93"/>
      <c r="E73" s="24"/>
      <c r="F73" s="24"/>
      <c r="G73" s="24"/>
      <c r="H73" s="24"/>
      <c r="I73" s="24"/>
      <c r="J73" s="92"/>
      <c r="K73" s="93"/>
      <c r="L73" s="93"/>
      <c r="M73" s="93"/>
      <c r="N73" s="94"/>
      <c r="O73" s="24"/>
      <c r="P73" s="24"/>
      <c r="Q73" s="24"/>
      <c r="R73" s="24"/>
      <c r="S73" s="24"/>
    </row>
    <row r="74" spans="1:19" ht="18" customHeight="1" x14ac:dyDescent="0.15">
      <c r="A74" s="3"/>
      <c r="B74" s="92"/>
      <c r="C74" s="93"/>
      <c r="D74" s="93"/>
      <c r="E74" s="24"/>
      <c r="F74" s="24"/>
      <c r="G74" s="24"/>
      <c r="H74" s="24"/>
      <c r="I74" s="24"/>
      <c r="J74" s="92"/>
      <c r="K74" s="93"/>
      <c r="L74" s="93"/>
      <c r="M74" s="93"/>
      <c r="N74" s="94"/>
      <c r="O74" s="24"/>
      <c r="P74" s="24"/>
      <c r="Q74" s="24"/>
      <c r="R74" s="24"/>
      <c r="S74" s="24"/>
    </row>
    <row r="75" spans="1:19" ht="18" customHeight="1" x14ac:dyDescent="0.15">
      <c r="A75" s="3"/>
      <c r="B75" s="95"/>
      <c r="C75" s="96"/>
      <c r="D75" s="96"/>
      <c r="E75" s="25"/>
      <c r="F75" s="25"/>
      <c r="G75" s="26"/>
      <c r="H75" s="26"/>
      <c r="I75" s="26"/>
      <c r="J75" s="95"/>
      <c r="K75" s="96"/>
      <c r="L75" s="96"/>
      <c r="M75" s="96"/>
      <c r="N75" s="97"/>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40</v>
      </c>
      <c r="H77" s="3"/>
      <c r="I77" s="3"/>
      <c r="J77" s="3"/>
      <c r="K77" s="3"/>
      <c r="L77" s="3"/>
      <c r="M77" s="3"/>
      <c r="N77" s="3"/>
      <c r="O77" s="3"/>
      <c r="P77" s="3"/>
      <c r="Q77" s="3"/>
      <c r="R77" s="3"/>
      <c r="S77" s="3"/>
    </row>
    <row r="78" spans="1:19" ht="18" customHeight="1" x14ac:dyDescent="0.15">
      <c r="B78" s="98" t="s">
        <v>20</v>
      </c>
      <c r="C78" s="99"/>
      <c r="D78" s="99"/>
      <c r="E78" s="100"/>
      <c r="F78" s="98" t="s">
        <v>41</v>
      </c>
      <c r="G78" s="99"/>
      <c r="H78" s="99"/>
      <c r="I78" s="100"/>
      <c r="J78" s="144" t="s">
        <v>20</v>
      </c>
      <c r="K78" s="145"/>
      <c r="L78" s="145"/>
      <c r="M78" s="145"/>
      <c r="N78" s="145"/>
      <c r="O78" s="146"/>
      <c r="P78" s="98" t="s">
        <v>41</v>
      </c>
      <c r="Q78" s="99"/>
      <c r="R78" s="99"/>
      <c r="S78" s="100"/>
    </row>
    <row r="79" spans="1:19" ht="18" customHeight="1" x14ac:dyDescent="0.15">
      <c r="A79" s="3"/>
      <c r="B79" s="102" t="s">
        <v>25</v>
      </c>
      <c r="C79" s="103"/>
      <c r="D79" s="103"/>
      <c r="E79" s="104"/>
      <c r="F79" s="159" t="s">
        <v>42</v>
      </c>
      <c r="G79" s="160"/>
      <c r="H79" s="160"/>
      <c r="I79" s="161"/>
      <c r="J79" s="102"/>
      <c r="K79" s="103"/>
      <c r="L79" s="103"/>
      <c r="M79" s="103"/>
      <c r="N79" s="103"/>
      <c r="O79" s="104"/>
      <c r="P79" s="159"/>
      <c r="Q79" s="160"/>
      <c r="R79" s="160"/>
      <c r="S79" s="161"/>
    </row>
    <row r="80" spans="1:19" ht="18" customHeight="1" x14ac:dyDescent="0.15">
      <c r="A80" s="3"/>
      <c r="B80" s="92" t="s">
        <v>25</v>
      </c>
      <c r="C80" s="93"/>
      <c r="D80" s="93"/>
      <c r="E80" s="94"/>
      <c r="F80" s="128" t="s">
        <v>43</v>
      </c>
      <c r="G80" s="129"/>
      <c r="H80" s="129"/>
      <c r="I80" s="130"/>
      <c r="J80" s="92"/>
      <c r="K80" s="93"/>
      <c r="L80" s="93"/>
      <c r="M80" s="93"/>
      <c r="N80" s="93"/>
      <c r="O80" s="94"/>
      <c r="P80" s="128"/>
      <c r="Q80" s="129"/>
      <c r="R80" s="129"/>
      <c r="S80" s="130"/>
    </row>
    <row r="81" spans="1:19" ht="18" customHeight="1" x14ac:dyDescent="0.15">
      <c r="A81" s="3"/>
      <c r="B81" s="92" t="s">
        <v>25</v>
      </c>
      <c r="C81" s="93"/>
      <c r="D81" s="93"/>
      <c r="E81" s="94"/>
      <c r="F81" s="128" t="s">
        <v>44</v>
      </c>
      <c r="G81" s="129"/>
      <c r="H81" s="129"/>
      <c r="I81" s="130"/>
      <c r="J81" s="92"/>
      <c r="K81" s="93"/>
      <c r="L81" s="93"/>
      <c r="M81" s="93"/>
      <c r="N81" s="93"/>
      <c r="O81" s="94"/>
      <c r="P81" s="128"/>
      <c r="Q81" s="129"/>
      <c r="R81" s="129"/>
      <c r="S81" s="130"/>
    </row>
    <row r="82" spans="1:19" ht="18" customHeight="1" x14ac:dyDescent="0.15">
      <c r="A82" s="3"/>
      <c r="B82" s="92" t="s">
        <v>25</v>
      </c>
      <c r="C82" s="93"/>
      <c r="D82" s="93"/>
      <c r="E82" s="94"/>
      <c r="F82" s="128" t="s">
        <v>45</v>
      </c>
      <c r="G82" s="129"/>
      <c r="H82" s="129"/>
      <c r="I82" s="130"/>
      <c r="J82" s="92"/>
      <c r="K82" s="93"/>
      <c r="L82" s="93"/>
      <c r="M82" s="93"/>
      <c r="N82" s="93"/>
      <c r="O82" s="94"/>
      <c r="P82" s="128"/>
      <c r="Q82" s="129"/>
      <c r="R82" s="129"/>
      <c r="S82" s="130"/>
    </row>
    <row r="83" spans="1:19" ht="18" customHeight="1" x14ac:dyDescent="0.15">
      <c r="A83" s="3"/>
      <c r="B83" s="92" t="s">
        <v>25</v>
      </c>
      <c r="C83" s="93"/>
      <c r="D83" s="93"/>
      <c r="E83" s="94"/>
      <c r="F83" s="128" t="s">
        <v>46</v>
      </c>
      <c r="G83" s="129"/>
      <c r="H83" s="129"/>
      <c r="I83" s="130"/>
      <c r="J83" s="92"/>
      <c r="K83" s="93"/>
      <c r="L83" s="93"/>
      <c r="M83" s="93"/>
      <c r="N83" s="93"/>
      <c r="O83" s="94"/>
      <c r="P83" s="128"/>
      <c r="Q83" s="129"/>
      <c r="R83" s="129"/>
      <c r="S83" s="130"/>
    </row>
    <row r="84" spans="1:19" ht="18" customHeight="1" x14ac:dyDescent="0.15">
      <c r="A84" s="3"/>
      <c r="B84" s="92"/>
      <c r="C84" s="93"/>
      <c r="D84" s="93"/>
      <c r="E84" s="94"/>
      <c r="F84" s="128"/>
      <c r="G84" s="129"/>
      <c r="H84" s="129"/>
      <c r="I84" s="130"/>
      <c r="J84" s="92"/>
      <c r="K84" s="93"/>
      <c r="L84" s="93"/>
      <c r="M84" s="93"/>
      <c r="N84" s="93"/>
      <c r="O84" s="94"/>
      <c r="P84" s="128"/>
      <c r="Q84" s="129"/>
      <c r="R84" s="129"/>
      <c r="S84" s="130"/>
    </row>
    <row r="85" spans="1:19" ht="18" customHeight="1" x14ac:dyDescent="0.15">
      <c r="A85" s="3"/>
      <c r="B85" s="95"/>
      <c r="C85" s="96"/>
      <c r="D85" s="96"/>
      <c r="E85" s="97"/>
      <c r="F85" s="125"/>
      <c r="G85" s="126"/>
      <c r="H85" s="126"/>
      <c r="I85" s="127"/>
      <c r="J85" s="95"/>
      <c r="K85" s="96"/>
      <c r="L85" s="96"/>
      <c r="M85" s="96"/>
      <c r="N85" s="96"/>
      <c r="O85" s="97"/>
      <c r="P85" s="125"/>
      <c r="Q85" s="126"/>
      <c r="R85" s="126"/>
      <c r="S85" s="127"/>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47</v>
      </c>
    </row>
    <row r="88" spans="1:19" ht="18.75" customHeight="1" x14ac:dyDescent="0.15">
      <c r="B88" s="154" t="s">
        <v>48</v>
      </c>
      <c r="C88" s="155"/>
      <c r="D88" s="99" t="s">
        <v>49</v>
      </c>
      <c r="E88" s="99"/>
      <c r="F88" s="99"/>
      <c r="G88" s="99"/>
      <c r="H88" s="99"/>
      <c r="I88" s="99"/>
      <c r="J88" s="99"/>
      <c r="K88" s="99"/>
      <c r="L88" s="99"/>
      <c r="M88" s="99"/>
      <c r="N88" s="99"/>
      <c r="O88" s="99"/>
      <c r="P88" s="99"/>
      <c r="Q88" s="99"/>
      <c r="R88" s="99"/>
      <c r="S88" s="100"/>
    </row>
    <row r="89" spans="1:19" ht="97.5" customHeight="1" x14ac:dyDescent="0.15">
      <c r="B89" s="147" t="s">
        <v>50</v>
      </c>
      <c r="C89" s="28" t="s">
        <v>23</v>
      </c>
      <c r="D89" s="156" t="s">
        <v>51</v>
      </c>
      <c r="E89" s="157"/>
      <c r="F89" s="157"/>
      <c r="G89" s="157"/>
      <c r="H89" s="157"/>
      <c r="I89" s="157"/>
      <c r="J89" s="157"/>
      <c r="K89" s="157"/>
      <c r="L89" s="157"/>
      <c r="M89" s="157"/>
      <c r="N89" s="157"/>
      <c r="O89" s="157"/>
      <c r="P89" s="157"/>
      <c r="Q89" s="157"/>
      <c r="R89" s="157"/>
      <c r="S89" s="158"/>
    </row>
    <row r="90" spans="1:19" ht="97.5" customHeight="1" x14ac:dyDescent="0.15">
      <c r="B90" s="149"/>
      <c r="C90" s="29" t="s">
        <v>52</v>
      </c>
      <c r="D90" s="131" t="s">
        <v>53</v>
      </c>
      <c r="E90" s="132"/>
      <c r="F90" s="132"/>
      <c r="G90" s="132"/>
      <c r="H90" s="132"/>
      <c r="I90" s="132"/>
      <c r="J90" s="132"/>
      <c r="K90" s="132"/>
      <c r="L90" s="132"/>
      <c r="M90" s="132"/>
      <c r="N90" s="132"/>
      <c r="O90" s="132"/>
      <c r="P90" s="132"/>
      <c r="Q90" s="132"/>
      <c r="R90" s="132"/>
      <c r="S90" s="133"/>
    </row>
    <row r="91" spans="1:19" ht="97.5" customHeight="1" x14ac:dyDescent="0.15">
      <c r="B91" s="147" t="s">
        <v>54</v>
      </c>
      <c r="C91" s="30" t="s">
        <v>28</v>
      </c>
      <c r="D91" s="134" t="s">
        <v>55</v>
      </c>
      <c r="E91" s="135"/>
      <c r="F91" s="135"/>
      <c r="G91" s="135"/>
      <c r="H91" s="135"/>
      <c r="I91" s="135"/>
      <c r="J91" s="135"/>
      <c r="K91" s="135"/>
      <c r="L91" s="135"/>
      <c r="M91" s="135"/>
      <c r="N91" s="135"/>
      <c r="O91" s="135"/>
      <c r="P91" s="135"/>
      <c r="Q91" s="135"/>
      <c r="R91" s="135"/>
      <c r="S91" s="136"/>
    </row>
    <row r="92" spans="1:19" ht="97.5" customHeight="1" x14ac:dyDescent="0.15">
      <c r="B92" s="148"/>
      <c r="C92" s="31" t="s">
        <v>29</v>
      </c>
      <c r="D92" s="140" t="s">
        <v>56</v>
      </c>
      <c r="E92" s="141"/>
      <c r="F92" s="141"/>
      <c r="G92" s="141"/>
      <c r="H92" s="141"/>
      <c r="I92" s="141"/>
      <c r="J92" s="141"/>
      <c r="K92" s="141"/>
      <c r="L92" s="141"/>
      <c r="M92" s="141"/>
      <c r="N92" s="141"/>
      <c r="O92" s="141"/>
      <c r="P92" s="141"/>
      <c r="Q92" s="141"/>
      <c r="R92" s="141"/>
      <c r="S92" s="142"/>
    </row>
    <row r="93" spans="1:19" ht="97.5" customHeight="1" x14ac:dyDescent="0.15">
      <c r="B93" s="147" t="s">
        <v>57</v>
      </c>
      <c r="C93" s="30" t="s">
        <v>31</v>
      </c>
      <c r="D93" s="134" t="s">
        <v>58</v>
      </c>
      <c r="E93" s="135"/>
      <c r="F93" s="135"/>
      <c r="G93" s="135"/>
      <c r="H93" s="135"/>
      <c r="I93" s="135"/>
      <c r="J93" s="135"/>
      <c r="K93" s="135"/>
      <c r="L93" s="135"/>
      <c r="M93" s="135"/>
      <c r="N93" s="135"/>
      <c r="O93" s="135"/>
      <c r="P93" s="135"/>
      <c r="Q93" s="135"/>
      <c r="R93" s="135"/>
      <c r="S93" s="136"/>
    </row>
    <row r="94" spans="1:19" ht="97.5" customHeight="1" x14ac:dyDescent="0.15">
      <c r="B94" s="148"/>
      <c r="C94" s="32" t="s">
        <v>32</v>
      </c>
      <c r="D94" s="137" t="s">
        <v>59</v>
      </c>
      <c r="E94" s="138"/>
      <c r="F94" s="138"/>
      <c r="G94" s="138"/>
      <c r="H94" s="138"/>
      <c r="I94" s="138"/>
      <c r="J94" s="138"/>
      <c r="K94" s="138"/>
      <c r="L94" s="138"/>
      <c r="M94" s="138"/>
      <c r="N94" s="138"/>
      <c r="O94" s="138"/>
      <c r="P94" s="138"/>
      <c r="Q94" s="138"/>
      <c r="R94" s="138"/>
      <c r="S94" s="139"/>
    </row>
    <row r="95" spans="1:19" ht="97.5" customHeight="1" x14ac:dyDescent="0.15">
      <c r="B95" s="147" t="s">
        <v>60</v>
      </c>
      <c r="C95" s="28" t="s">
        <v>34</v>
      </c>
      <c r="D95" s="268" t="s">
        <v>173</v>
      </c>
      <c r="E95" s="269"/>
      <c r="F95" s="269"/>
      <c r="G95" s="269"/>
      <c r="H95" s="269"/>
      <c r="I95" s="269"/>
      <c r="J95" s="269"/>
      <c r="K95" s="269"/>
      <c r="L95" s="269"/>
      <c r="M95" s="269"/>
      <c r="N95" s="269"/>
      <c r="O95" s="269"/>
      <c r="P95" s="269"/>
      <c r="Q95" s="269"/>
      <c r="R95" s="269"/>
      <c r="S95" s="270"/>
    </row>
    <row r="96" spans="1:19" ht="97.5" customHeight="1" x14ac:dyDescent="0.15">
      <c r="B96" s="148"/>
      <c r="C96" s="31" t="s">
        <v>35</v>
      </c>
      <c r="D96" s="271" t="s">
        <v>174</v>
      </c>
      <c r="E96" s="272"/>
      <c r="F96" s="272"/>
      <c r="G96" s="272"/>
      <c r="H96" s="272"/>
      <c r="I96" s="272"/>
      <c r="J96" s="272"/>
      <c r="K96" s="272"/>
      <c r="L96" s="272"/>
      <c r="M96" s="272"/>
      <c r="N96" s="272"/>
      <c r="O96" s="272"/>
      <c r="P96" s="272"/>
      <c r="Q96" s="272"/>
      <c r="R96" s="272"/>
      <c r="S96" s="273"/>
    </row>
    <row r="97" spans="1:19" ht="97.5" customHeight="1" x14ac:dyDescent="0.15">
      <c r="B97" s="147" t="s">
        <v>61</v>
      </c>
      <c r="C97" s="30" t="s">
        <v>62</v>
      </c>
      <c r="D97" s="150" t="s">
        <v>63</v>
      </c>
      <c r="E97" s="103"/>
      <c r="F97" s="103"/>
      <c r="G97" s="103"/>
      <c r="H97" s="103"/>
      <c r="I97" s="103"/>
      <c r="J97" s="103"/>
      <c r="K97" s="103"/>
      <c r="L97" s="103"/>
      <c r="M97" s="103"/>
      <c r="N97" s="103"/>
      <c r="O97" s="103"/>
      <c r="P97" s="103"/>
      <c r="Q97" s="103"/>
      <c r="R97" s="103"/>
      <c r="S97" s="104"/>
    </row>
    <row r="98" spans="1:19" ht="97.5" customHeight="1" x14ac:dyDescent="0.15">
      <c r="B98" s="149"/>
      <c r="C98" s="33" t="s">
        <v>38</v>
      </c>
      <c r="D98" s="143" t="s">
        <v>64</v>
      </c>
      <c r="E98" s="93"/>
      <c r="F98" s="93"/>
      <c r="G98" s="93"/>
      <c r="H98" s="93"/>
      <c r="I98" s="93"/>
      <c r="J98" s="93"/>
      <c r="K98" s="93"/>
      <c r="L98" s="93"/>
      <c r="M98" s="93"/>
      <c r="N98" s="93"/>
      <c r="O98" s="93"/>
      <c r="P98" s="93"/>
      <c r="Q98" s="93"/>
      <c r="R98" s="93"/>
      <c r="S98" s="94"/>
    </row>
    <row r="99" spans="1:19" ht="97.5" customHeight="1" x14ac:dyDescent="0.15">
      <c r="B99" s="148"/>
      <c r="C99" s="32" t="s">
        <v>39</v>
      </c>
      <c r="D99" s="151" t="s">
        <v>65</v>
      </c>
      <c r="E99" s="152"/>
      <c r="F99" s="152"/>
      <c r="G99" s="152"/>
      <c r="H99" s="152"/>
      <c r="I99" s="152"/>
      <c r="J99" s="152"/>
      <c r="K99" s="152"/>
      <c r="L99" s="152"/>
      <c r="M99" s="152"/>
      <c r="N99" s="152"/>
      <c r="O99" s="152"/>
      <c r="P99" s="152"/>
      <c r="Q99" s="152"/>
      <c r="R99" s="152"/>
      <c r="S99" s="153"/>
    </row>
    <row r="100" spans="1:19" ht="6" customHeight="1" x14ac:dyDescent="0.15"/>
    <row r="101" spans="1:19" ht="18.75" customHeight="1" x14ac:dyDescent="0.15">
      <c r="A101" s="1" t="s">
        <v>66</v>
      </c>
    </row>
    <row r="102" spans="1:19" ht="81.75" customHeight="1" x14ac:dyDescent="0.15">
      <c r="B102" s="122" t="s">
        <v>67</v>
      </c>
      <c r="C102" s="123"/>
      <c r="D102" s="123"/>
      <c r="E102" s="123"/>
      <c r="F102" s="123"/>
      <c r="G102" s="123"/>
      <c r="H102" s="123"/>
      <c r="I102" s="123"/>
      <c r="J102" s="123"/>
      <c r="K102" s="123"/>
      <c r="L102" s="123"/>
      <c r="M102" s="123"/>
      <c r="N102" s="123"/>
      <c r="O102" s="123"/>
      <c r="P102" s="123"/>
      <c r="Q102" s="123"/>
      <c r="R102" s="123"/>
      <c r="S102" s="124"/>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G12" sqref="G1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68</v>
      </c>
    </row>
    <row r="2" spans="1:45" ht="18" customHeight="1" x14ac:dyDescent="0.15">
      <c r="K2" s="35"/>
      <c r="Q2" s="35"/>
      <c r="W2" s="35"/>
      <c r="AC2" s="35"/>
      <c r="AI2" s="35"/>
      <c r="AL2" s="35" t="s">
        <v>2</v>
      </c>
      <c r="AM2" s="165" t="str">
        <f>'様式１　プログラムを構成する授業科目'!C2</f>
        <v>東京医科歯科大学</v>
      </c>
      <c r="AN2" s="165"/>
      <c r="AO2" s="165"/>
      <c r="AP2" s="165"/>
      <c r="AQ2" s="165"/>
    </row>
    <row r="3" spans="1:45" ht="18" customHeight="1" x14ac:dyDescent="0.15">
      <c r="A3" s="109" t="s">
        <v>69</v>
      </c>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70</v>
      </c>
      <c r="C5" s="166" t="s">
        <v>71</v>
      </c>
      <c r="D5" s="167"/>
      <c r="E5" s="3" t="s">
        <v>72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73</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8" t="s">
        <v>74</v>
      </c>
      <c r="C9" s="183" t="s">
        <v>75</v>
      </c>
      <c r="D9" s="171" t="s">
        <v>76</v>
      </c>
      <c r="E9" s="174" t="s">
        <v>77</v>
      </c>
      <c r="F9" s="164" t="s">
        <v>78</v>
      </c>
      <c r="G9" s="164"/>
      <c r="H9" s="164"/>
      <c r="I9" s="164"/>
      <c r="J9" s="164"/>
      <c r="K9" s="164"/>
      <c r="L9" s="164" t="s">
        <v>79</v>
      </c>
      <c r="M9" s="164"/>
      <c r="N9" s="164"/>
      <c r="O9" s="164"/>
      <c r="P9" s="164"/>
      <c r="Q9" s="164"/>
      <c r="R9" s="164" t="s">
        <v>80</v>
      </c>
      <c r="S9" s="164"/>
      <c r="T9" s="164"/>
      <c r="U9" s="164"/>
      <c r="V9" s="164"/>
      <c r="W9" s="164"/>
      <c r="X9" s="164" t="s">
        <v>81</v>
      </c>
      <c r="Y9" s="164"/>
      <c r="Z9" s="164"/>
      <c r="AA9" s="164"/>
      <c r="AB9" s="164"/>
      <c r="AC9" s="164"/>
      <c r="AD9" s="164" t="s">
        <v>82</v>
      </c>
      <c r="AE9" s="164"/>
      <c r="AF9" s="164"/>
      <c r="AG9" s="164"/>
      <c r="AH9" s="164"/>
      <c r="AI9" s="164"/>
      <c r="AJ9" s="164" t="s">
        <v>83</v>
      </c>
      <c r="AK9" s="164"/>
      <c r="AL9" s="164"/>
      <c r="AM9" s="164"/>
      <c r="AN9" s="164"/>
      <c r="AO9" s="164"/>
      <c r="AP9" s="177" t="s">
        <v>84</v>
      </c>
      <c r="AQ9" s="180" t="s">
        <v>85</v>
      </c>
      <c r="AS9" s="2"/>
    </row>
    <row r="10" spans="1:45" ht="16.899999999999999" customHeight="1" x14ac:dyDescent="0.15">
      <c r="B10" s="169"/>
      <c r="C10" s="184"/>
      <c r="D10" s="172"/>
      <c r="E10" s="175"/>
      <c r="F10" s="162" t="s">
        <v>86</v>
      </c>
      <c r="G10" s="163"/>
      <c r="H10" s="163"/>
      <c r="I10" s="162" t="s">
        <v>87</v>
      </c>
      <c r="J10" s="163"/>
      <c r="K10" s="163"/>
      <c r="L10" s="162" t="s">
        <v>86</v>
      </c>
      <c r="M10" s="163"/>
      <c r="N10" s="163"/>
      <c r="O10" s="162" t="s">
        <v>87</v>
      </c>
      <c r="P10" s="163"/>
      <c r="Q10" s="163"/>
      <c r="R10" s="162" t="s">
        <v>86</v>
      </c>
      <c r="S10" s="163"/>
      <c r="T10" s="163"/>
      <c r="U10" s="162" t="s">
        <v>87</v>
      </c>
      <c r="V10" s="163"/>
      <c r="W10" s="163"/>
      <c r="X10" s="162" t="s">
        <v>86</v>
      </c>
      <c r="Y10" s="163"/>
      <c r="Z10" s="163"/>
      <c r="AA10" s="162" t="s">
        <v>87</v>
      </c>
      <c r="AB10" s="163"/>
      <c r="AC10" s="163"/>
      <c r="AD10" s="162" t="s">
        <v>86</v>
      </c>
      <c r="AE10" s="163"/>
      <c r="AF10" s="163"/>
      <c r="AG10" s="162" t="s">
        <v>87</v>
      </c>
      <c r="AH10" s="163"/>
      <c r="AI10" s="163"/>
      <c r="AJ10" s="162" t="s">
        <v>86</v>
      </c>
      <c r="AK10" s="163"/>
      <c r="AL10" s="163"/>
      <c r="AM10" s="162" t="s">
        <v>87</v>
      </c>
      <c r="AN10" s="163"/>
      <c r="AO10" s="163"/>
      <c r="AP10" s="178"/>
      <c r="AQ10" s="181"/>
      <c r="AS10" s="2"/>
    </row>
    <row r="11" spans="1:45" ht="18" customHeight="1" x14ac:dyDescent="0.15">
      <c r="B11" s="170"/>
      <c r="C11" s="185"/>
      <c r="D11" s="173"/>
      <c r="E11" s="176"/>
      <c r="F11" s="17" t="s">
        <v>88</v>
      </c>
      <c r="G11" s="18" t="s">
        <v>89</v>
      </c>
      <c r="H11" s="19" t="s">
        <v>90</v>
      </c>
      <c r="I11" s="17" t="s">
        <v>88</v>
      </c>
      <c r="J11" s="18" t="s">
        <v>89</v>
      </c>
      <c r="K11" s="19" t="s">
        <v>90</v>
      </c>
      <c r="L11" s="17" t="s">
        <v>88</v>
      </c>
      <c r="M11" s="18" t="s">
        <v>89</v>
      </c>
      <c r="N11" s="19" t="s">
        <v>90</v>
      </c>
      <c r="O11" s="17" t="s">
        <v>88</v>
      </c>
      <c r="P11" s="18" t="s">
        <v>89</v>
      </c>
      <c r="Q11" s="19" t="s">
        <v>90</v>
      </c>
      <c r="R11" s="17" t="s">
        <v>88</v>
      </c>
      <c r="S11" s="18" t="s">
        <v>89</v>
      </c>
      <c r="T11" s="19" t="s">
        <v>90</v>
      </c>
      <c r="U11" s="17" t="s">
        <v>88</v>
      </c>
      <c r="V11" s="18" t="s">
        <v>89</v>
      </c>
      <c r="W11" s="19" t="s">
        <v>90</v>
      </c>
      <c r="X11" s="17" t="s">
        <v>88</v>
      </c>
      <c r="Y11" s="18" t="s">
        <v>89</v>
      </c>
      <c r="Z11" s="19" t="s">
        <v>90</v>
      </c>
      <c r="AA11" s="17" t="s">
        <v>88</v>
      </c>
      <c r="AB11" s="18" t="s">
        <v>89</v>
      </c>
      <c r="AC11" s="19" t="s">
        <v>90</v>
      </c>
      <c r="AD11" s="17" t="s">
        <v>88</v>
      </c>
      <c r="AE11" s="18" t="s">
        <v>89</v>
      </c>
      <c r="AF11" s="19" t="s">
        <v>90</v>
      </c>
      <c r="AG11" s="17" t="s">
        <v>88</v>
      </c>
      <c r="AH11" s="18" t="s">
        <v>89</v>
      </c>
      <c r="AI11" s="19" t="s">
        <v>90</v>
      </c>
      <c r="AJ11" s="17" t="s">
        <v>88</v>
      </c>
      <c r="AK11" s="18" t="s">
        <v>89</v>
      </c>
      <c r="AL11" s="19" t="s">
        <v>90</v>
      </c>
      <c r="AM11" s="17" t="s">
        <v>88</v>
      </c>
      <c r="AN11" s="18" t="s">
        <v>89</v>
      </c>
      <c r="AO11" s="19" t="s">
        <v>90</v>
      </c>
      <c r="AP11" s="179"/>
      <c r="AQ11" s="182"/>
      <c r="AS11" s="2"/>
    </row>
    <row r="12" spans="1:45" ht="18" customHeight="1" x14ac:dyDescent="0.15">
      <c r="A12" s="6"/>
      <c r="B12" s="11" t="s">
        <v>91</v>
      </c>
      <c r="C12" s="62">
        <v>1018</v>
      </c>
      <c r="D12" s="63">
        <v>190</v>
      </c>
      <c r="E12" s="64">
        <v>988</v>
      </c>
      <c r="F12" s="64">
        <v>197</v>
      </c>
      <c r="G12" s="82"/>
      <c r="H12" s="83"/>
      <c r="I12" s="64">
        <v>195</v>
      </c>
      <c r="J12" s="82"/>
      <c r="K12" s="83"/>
      <c r="L12" s="64">
        <v>194</v>
      </c>
      <c r="M12" s="82"/>
      <c r="N12" s="83"/>
      <c r="O12" s="64">
        <v>187</v>
      </c>
      <c r="P12" s="82"/>
      <c r="Q12" s="83"/>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391</v>
      </c>
      <c r="AQ12" s="21">
        <f t="shared" ref="AQ12:AQ32" si="0">AP12/E12</f>
        <v>0.395748987854251</v>
      </c>
    </row>
    <row r="13" spans="1:45" ht="18" customHeight="1" x14ac:dyDescent="0.15">
      <c r="A13" s="6"/>
      <c r="B13" s="12" t="s">
        <v>92</v>
      </c>
      <c r="C13" s="67">
        <v>465</v>
      </c>
      <c r="D13" s="68">
        <v>85</v>
      </c>
      <c r="E13" s="69">
        <v>461</v>
      </c>
      <c r="F13" s="70">
        <v>88</v>
      </c>
      <c r="G13" s="84"/>
      <c r="H13" s="85"/>
      <c r="I13" s="70">
        <v>83</v>
      </c>
      <c r="J13" s="84"/>
      <c r="K13" s="85"/>
      <c r="L13" s="70">
        <v>73</v>
      </c>
      <c r="M13" s="84"/>
      <c r="N13" s="85"/>
      <c r="O13" s="70">
        <v>70</v>
      </c>
      <c r="P13" s="84"/>
      <c r="Q13" s="85"/>
      <c r="R13" s="70">
        <f t="shared" ref="R13:R31" si="1">S13+T13</f>
        <v>0</v>
      </c>
      <c r="S13" s="71"/>
      <c r="T13" s="72"/>
      <c r="U13" s="70">
        <f t="shared" ref="U13:U31" si="2">V13+W13</f>
        <v>0</v>
      </c>
      <c r="V13" s="71"/>
      <c r="W13" s="72"/>
      <c r="X13" s="70">
        <f t="shared" ref="X13:X31" si="3">Y13+Z13</f>
        <v>0</v>
      </c>
      <c r="Y13" s="71"/>
      <c r="Z13" s="72"/>
      <c r="AA13" s="70">
        <f t="shared" ref="AA13:AA31" si="4">AB13+AC13</f>
        <v>0</v>
      </c>
      <c r="AB13" s="71"/>
      <c r="AC13" s="72"/>
      <c r="AD13" s="70">
        <f t="shared" ref="AD13:AD31" si="5">AE13+AF13</f>
        <v>0</v>
      </c>
      <c r="AE13" s="71"/>
      <c r="AF13" s="72"/>
      <c r="AG13" s="70">
        <f t="shared" ref="AG13:AG31" si="6">AH13+AI13</f>
        <v>0</v>
      </c>
      <c r="AH13" s="71"/>
      <c r="AI13" s="72"/>
      <c r="AJ13" s="70">
        <f t="shared" ref="AJ13:AJ31" si="7">AK13+AL13</f>
        <v>0</v>
      </c>
      <c r="AK13" s="71"/>
      <c r="AL13" s="72"/>
      <c r="AM13" s="70">
        <f t="shared" ref="AM13:AM31" si="8">AN13+AO13</f>
        <v>0</v>
      </c>
      <c r="AN13" s="71"/>
      <c r="AO13" s="72"/>
      <c r="AP13" s="68">
        <f t="shared" ref="AP13:AP31" si="9">F13+L13+R13+X13+AD13+AJ13</f>
        <v>161</v>
      </c>
      <c r="AQ13" s="20">
        <f t="shared" si="0"/>
        <v>0.34924078091106292</v>
      </c>
    </row>
    <row r="14" spans="1:45" ht="18" customHeight="1" x14ac:dyDescent="0.15">
      <c r="A14" s="6"/>
      <c r="B14" s="12"/>
      <c r="C14" s="67"/>
      <c r="D14" s="68"/>
      <c r="E14" s="69"/>
      <c r="F14" s="70">
        <f t="shared" ref="F14:F31" si="10">G14+H14</f>
        <v>0</v>
      </c>
      <c r="G14" s="71"/>
      <c r="H14" s="72"/>
      <c r="I14" s="70">
        <f t="shared" ref="I14:I31" si="11">J14+K14</f>
        <v>0</v>
      </c>
      <c r="J14" s="71"/>
      <c r="K14" s="72"/>
      <c r="L14" s="70">
        <f t="shared" ref="L14:L31" si="12">M14+N14</f>
        <v>0</v>
      </c>
      <c r="M14" s="71"/>
      <c r="N14" s="72"/>
      <c r="O14" s="70">
        <f t="shared" ref="O14:O31" si="13">P14+Q14</f>
        <v>0</v>
      </c>
      <c r="P14" s="71"/>
      <c r="Q14" s="72"/>
      <c r="R14" s="70">
        <f t="shared" si="1"/>
        <v>0</v>
      </c>
      <c r="S14" s="71"/>
      <c r="T14" s="72"/>
      <c r="U14" s="70">
        <f t="shared" si="2"/>
        <v>0</v>
      </c>
      <c r="V14" s="71"/>
      <c r="W14" s="72"/>
      <c r="X14" s="70">
        <f t="shared" si="3"/>
        <v>0</v>
      </c>
      <c r="Y14" s="71"/>
      <c r="Z14" s="72"/>
      <c r="AA14" s="70">
        <f t="shared" si="4"/>
        <v>0</v>
      </c>
      <c r="AB14" s="71"/>
      <c r="AC14" s="72"/>
      <c r="AD14" s="70">
        <f t="shared" si="5"/>
        <v>0</v>
      </c>
      <c r="AE14" s="71"/>
      <c r="AF14" s="72"/>
      <c r="AG14" s="70">
        <f t="shared" si="6"/>
        <v>0</v>
      </c>
      <c r="AH14" s="71"/>
      <c r="AI14" s="72"/>
      <c r="AJ14" s="70">
        <f t="shared" si="7"/>
        <v>0</v>
      </c>
      <c r="AK14" s="71"/>
      <c r="AL14" s="72"/>
      <c r="AM14" s="70">
        <f t="shared" si="8"/>
        <v>0</v>
      </c>
      <c r="AN14" s="71"/>
      <c r="AO14" s="72"/>
      <c r="AP14" s="68">
        <f t="shared" si="9"/>
        <v>0</v>
      </c>
      <c r="AQ14" s="8" t="e">
        <f t="shared" si="0"/>
        <v>#DIV/0!</v>
      </c>
    </row>
    <row r="15" spans="1:45" ht="18" customHeight="1" x14ac:dyDescent="0.15">
      <c r="A15" s="6"/>
      <c r="B15" s="12"/>
      <c r="C15" s="67"/>
      <c r="D15" s="68"/>
      <c r="E15" s="69"/>
      <c r="F15" s="70">
        <f t="shared" si="10"/>
        <v>0</v>
      </c>
      <c r="G15" s="71"/>
      <c r="H15" s="72"/>
      <c r="I15" s="70">
        <f t="shared" si="11"/>
        <v>0</v>
      </c>
      <c r="J15" s="71"/>
      <c r="K15" s="72"/>
      <c r="L15" s="70">
        <f t="shared" si="12"/>
        <v>0</v>
      </c>
      <c r="M15" s="71"/>
      <c r="N15" s="72"/>
      <c r="O15" s="70">
        <f t="shared" si="13"/>
        <v>0</v>
      </c>
      <c r="P15" s="71"/>
      <c r="Q15" s="72"/>
      <c r="R15" s="70">
        <f t="shared" si="1"/>
        <v>0</v>
      </c>
      <c r="S15" s="71"/>
      <c r="T15" s="72"/>
      <c r="U15" s="70">
        <f t="shared" si="2"/>
        <v>0</v>
      </c>
      <c r="V15" s="71"/>
      <c r="W15" s="72"/>
      <c r="X15" s="70">
        <f t="shared" si="3"/>
        <v>0</v>
      </c>
      <c r="Y15" s="71"/>
      <c r="Z15" s="72"/>
      <c r="AA15" s="70">
        <f t="shared" si="4"/>
        <v>0</v>
      </c>
      <c r="AB15" s="71"/>
      <c r="AC15" s="72"/>
      <c r="AD15" s="70">
        <f t="shared" si="5"/>
        <v>0</v>
      </c>
      <c r="AE15" s="71"/>
      <c r="AF15" s="72"/>
      <c r="AG15" s="70">
        <f t="shared" si="6"/>
        <v>0</v>
      </c>
      <c r="AH15" s="71"/>
      <c r="AI15" s="72"/>
      <c r="AJ15" s="70">
        <f t="shared" si="7"/>
        <v>0</v>
      </c>
      <c r="AK15" s="71"/>
      <c r="AL15" s="72"/>
      <c r="AM15" s="70">
        <f t="shared" si="8"/>
        <v>0</v>
      </c>
      <c r="AN15" s="71"/>
      <c r="AO15" s="72"/>
      <c r="AP15" s="68">
        <f t="shared" si="9"/>
        <v>0</v>
      </c>
      <c r="AQ15" s="8" t="e">
        <f t="shared" si="0"/>
        <v>#DIV/0!</v>
      </c>
    </row>
    <row r="16" spans="1:45" ht="18" customHeight="1" x14ac:dyDescent="0.15">
      <c r="A16" s="6"/>
      <c r="B16" s="12"/>
      <c r="C16" s="67"/>
      <c r="D16" s="68"/>
      <c r="E16" s="69"/>
      <c r="F16" s="70">
        <f t="shared" si="10"/>
        <v>0</v>
      </c>
      <c r="G16" s="71"/>
      <c r="H16" s="72"/>
      <c r="I16" s="70">
        <f t="shared" si="11"/>
        <v>0</v>
      </c>
      <c r="J16" s="71"/>
      <c r="K16" s="72"/>
      <c r="L16" s="70">
        <f t="shared" si="12"/>
        <v>0</v>
      </c>
      <c r="M16" s="71"/>
      <c r="N16" s="72"/>
      <c r="O16" s="70">
        <f t="shared" si="13"/>
        <v>0</v>
      </c>
      <c r="P16" s="71"/>
      <c r="Q16" s="72"/>
      <c r="R16" s="70">
        <f t="shared" si="1"/>
        <v>0</v>
      </c>
      <c r="S16" s="71"/>
      <c r="T16" s="72"/>
      <c r="U16" s="70">
        <f t="shared" si="2"/>
        <v>0</v>
      </c>
      <c r="V16" s="71"/>
      <c r="W16" s="72"/>
      <c r="X16" s="70">
        <f t="shared" si="3"/>
        <v>0</v>
      </c>
      <c r="Y16" s="71"/>
      <c r="Z16" s="72"/>
      <c r="AA16" s="70">
        <f t="shared" si="4"/>
        <v>0</v>
      </c>
      <c r="AB16" s="71"/>
      <c r="AC16" s="72"/>
      <c r="AD16" s="70">
        <f t="shared" si="5"/>
        <v>0</v>
      </c>
      <c r="AE16" s="71"/>
      <c r="AF16" s="72"/>
      <c r="AG16" s="70">
        <f t="shared" si="6"/>
        <v>0</v>
      </c>
      <c r="AH16" s="71"/>
      <c r="AI16" s="72"/>
      <c r="AJ16" s="70">
        <f t="shared" si="7"/>
        <v>0</v>
      </c>
      <c r="AK16" s="71"/>
      <c r="AL16" s="72"/>
      <c r="AM16" s="70">
        <f t="shared" si="8"/>
        <v>0</v>
      </c>
      <c r="AN16" s="71"/>
      <c r="AO16" s="72"/>
      <c r="AP16" s="68">
        <f t="shared" si="9"/>
        <v>0</v>
      </c>
      <c r="AQ16" s="8" t="e">
        <f t="shared" si="0"/>
        <v>#DIV/0!</v>
      </c>
    </row>
    <row r="17" spans="1:43" ht="18" customHeight="1" x14ac:dyDescent="0.15">
      <c r="A17" s="6"/>
      <c r="B17" s="12"/>
      <c r="C17" s="67"/>
      <c r="D17" s="68"/>
      <c r="E17" s="69"/>
      <c r="F17" s="70">
        <f t="shared" si="10"/>
        <v>0</v>
      </c>
      <c r="G17" s="71"/>
      <c r="H17" s="72"/>
      <c r="I17" s="70">
        <f t="shared" si="11"/>
        <v>0</v>
      </c>
      <c r="J17" s="71"/>
      <c r="K17" s="72"/>
      <c r="L17" s="70">
        <f t="shared" si="12"/>
        <v>0</v>
      </c>
      <c r="M17" s="71"/>
      <c r="N17" s="72"/>
      <c r="O17" s="70">
        <f t="shared" si="13"/>
        <v>0</v>
      </c>
      <c r="P17" s="71"/>
      <c r="Q17" s="72"/>
      <c r="R17" s="70">
        <f t="shared" si="1"/>
        <v>0</v>
      </c>
      <c r="S17" s="71"/>
      <c r="T17" s="72"/>
      <c r="U17" s="70">
        <f t="shared" si="2"/>
        <v>0</v>
      </c>
      <c r="V17" s="71"/>
      <c r="W17" s="72"/>
      <c r="X17" s="70">
        <f t="shared" si="3"/>
        <v>0</v>
      </c>
      <c r="Y17" s="71"/>
      <c r="Z17" s="72"/>
      <c r="AA17" s="70">
        <f t="shared" si="4"/>
        <v>0</v>
      </c>
      <c r="AB17" s="71"/>
      <c r="AC17" s="72"/>
      <c r="AD17" s="70">
        <f t="shared" si="5"/>
        <v>0</v>
      </c>
      <c r="AE17" s="71"/>
      <c r="AF17" s="72"/>
      <c r="AG17" s="70">
        <f t="shared" si="6"/>
        <v>0</v>
      </c>
      <c r="AH17" s="71"/>
      <c r="AI17" s="72"/>
      <c r="AJ17" s="70">
        <f t="shared" si="7"/>
        <v>0</v>
      </c>
      <c r="AK17" s="71"/>
      <c r="AL17" s="72"/>
      <c r="AM17" s="70">
        <f t="shared" si="8"/>
        <v>0</v>
      </c>
      <c r="AN17" s="71"/>
      <c r="AO17" s="72"/>
      <c r="AP17" s="68">
        <f t="shared" si="9"/>
        <v>0</v>
      </c>
      <c r="AQ17" s="8" t="e">
        <f t="shared" si="0"/>
        <v>#DIV/0!</v>
      </c>
    </row>
    <row r="18" spans="1:43" ht="18" customHeight="1" x14ac:dyDescent="0.15">
      <c r="A18" s="6"/>
      <c r="B18" s="12"/>
      <c r="C18" s="67"/>
      <c r="D18" s="68"/>
      <c r="E18" s="69"/>
      <c r="F18" s="70">
        <f t="shared" si="10"/>
        <v>0</v>
      </c>
      <c r="G18" s="71"/>
      <c r="H18" s="72"/>
      <c r="I18" s="70">
        <f t="shared" si="11"/>
        <v>0</v>
      </c>
      <c r="J18" s="71"/>
      <c r="K18" s="72"/>
      <c r="L18" s="70">
        <f t="shared" si="12"/>
        <v>0</v>
      </c>
      <c r="M18" s="71"/>
      <c r="N18" s="72"/>
      <c r="O18" s="70">
        <f t="shared" si="13"/>
        <v>0</v>
      </c>
      <c r="P18" s="71"/>
      <c r="Q18" s="72"/>
      <c r="R18" s="70">
        <f t="shared" si="1"/>
        <v>0</v>
      </c>
      <c r="S18" s="71"/>
      <c r="T18" s="72"/>
      <c r="U18" s="70">
        <f t="shared" si="2"/>
        <v>0</v>
      </c>
      <c r="V18" s="71"/>
      <c r="W18" s="72"/>
      <c r="X18" s="70">
        <f t="shared" si="3"/>
        <v>0</v>
      </c>
      <c r="Y18" s="71"/>
      <c r="Z18" s="72"/>
      <c r="AA18" s="70">
        <f t="shared" si="4"/>
        <v>0</v>
      </c>
      <c r="AB18" s="71"/>
      <c r="AC18" s="72"/>
      <c r="AD18" s="70">
        <f t="shared" si="5"/>
        <v>0</v>
      </c>
      <c r="AE18" s="71"/>
      <c r="AF18" s="72"/>
      <c r="AG18" s="70">
        <f t="shared" si="6"/>
        <v>0</v>
      </c>
      <c r="AH18" s="71"/>
      <c r="AI18" s="72"/>
      <c r="AJ18" s="70">
        <f t="shared" si="7"/>
        <v>0</v>
      </c>
      <c r="AK18" s="71"/>
      <c r="AL18" s="72"/>
      <c r="AM18" s="70">
        <f t="shared" si="8"/>
        <v>0</v>
      </c>
      <c r="AN18" s="71"/>
      <c r="AO18" s="72"/>
      <c r="AP18" s="68">
        <f t="shared" si="9"/>
        <v>0</v>
      </c>
      <c r="AQ18" s="8" t="e">
        <f t="shared" si="0"/>
        <v>#DIV/0!</v>
      </c>
    </row>
    <row r="19" spans="1:43" ht="18" customHeight="1" x14ac:dyDescent="0.15">
      <c r="A19" s="6"/>
      <c r="B19" s="12"/>
      <c r="C19" s="67"/>
      <c r="D19" s="68"/>
      <c r="E19" s="69"/>
      <c r="F19" s="70">
        <f t="shared" si="10"/>
        <v>0</v>
      </c>
      <c r="G19" s="71"/>
      <c r="H19" s="72"/>
      <c r="I19" s="70">
        <f t="shared" si="11"/>
        <v>0</v>
      </c>
      <c r="J19" s="71"/>
      <c r="K19" s="72"/>
      <c r="L19" s="70">
        <f t="shared" si="12"/>
        <v>0</v>
      </c>
      <c r="M19" s="71"/>
      <c r="N19" s="72"/>
      <c r="O19" s="70">
        <f t="shared" si="13"/>
        <v>0</v>
      </c>
      <c r="P19" s="71"/>
      <c r="Q19" s="72"/>
      <c r="R19" s="70">
        <f t="shared" si="1"/>
        <v>0</v>
      </c>
      <c r="S19" s="71"/>
      <c r="T19" s="72"/>
      <c r="U19" s="70">
        <f t="shared" si="2"/>
        <v>0</v>
      </c>
      <c r="V19" s="71"/>
      <c r="W19" s="72"/>
      <c r="X19" s="70">
        <f t="shared" si="3"/>
        <v>0</v>
      </c>
      <c r="Y19" s="71"/>
      <c r="Z19" s="72"/>
      <c r="AA19" s="70">
        <f t="shared" si="4"/>
        <v>0</v>
      </c>
      <c r="AB19" s="71"/>
      <c r="AC19" s="72"/>
      <c r="AD19" s="70">
        <f t="shared" si="5"/>
        <v>0</v>
      </c>
      <c r="AE19" s="71"/>
      <c r="AF19" s="72"/>
      <c r="AG19" s="70">
        <f t="shared" si="6"/>
        <v>0</v>
      </c>
      <c r="AH19" s="71"/>
      <c r="AI19" s="72"/>
      <c r="AJ19" s="70">
        <f t="shared" si="7"/>
        <v>0</v>
      </c>
      <c r="AK19" s="71"/>
      <c r="AL19" s="72"/>
      <c r="AM19" s="70">
        <f t="shared" si="8"/>
        <v>0</v>
      </c>
      <c r="AN19" s="71"/>
      <c r="AO19" s="72"/>
      <c r="AP19" s="68">
        <f t="shared" si="9"/>
        <v>0</v>
      </c>
      <c r="AQ19" s="8" t="e">
        <f t="shared" si="0"/>
        <v>#DIV/0!</v>
      </c>
    </row>
    <row r="20" spans="1:43" ht="18" customHeight="1" x14ac:dyDescent="0.15">
      <c r="A20" s="6"/>
      <c r="B20" s="12"/>
      <c r="C20" s="67"/>
      <c r="D20" s="68"/>
      <c r="E20" s="69"/>
      <c r="F20" s="70">
        <f t="shared" si="10"/>
        <v>0</v>
      </c>
      <c r="G20" s="71"/>
      <c r="H20" s="72"/>
      <c r="I20" s="70">
        <f t="shared" si="11"/>
        <v>0</v>
      </c>
      <c r="J20" s="71"/>
      <c r="K20" s="72"/>
      <c r="L20" s="70">
        <f t="shared" si="12"/>
        <v>0</v>
      </c>
      <c r="M20" s="71"/>
      <c r="N20" s="72"/>
      <c r="O20" s="70">
        <f t="shared" si="13"/>
        <v>0</v>
      </c>
      <c r="P20" s="71"/>
      <c r="Q20" s="72"/>
      <c r="R20" s="70">
        <f t="shared" si="1"/>
        <v>0</v>
      </c>
      <c r="S20" s="71"/>
      <c r="T20" s="72"/>
      <c r="U20" s="70">
        <f t="shared" si="2"/>
        <v>0</v>
      </c>
      <c r="V20" s="71"/>
      <c r="W20" s="72"/>
      <c r="X20" s="70">
        <f t="shared" si="3"/>
        <v>0</v>
      </c>
      <c r="Y20" s="71"/>
      <c r="Z20" s="72"/>
      <c r="AA20" s="70">
        <f t="shared" si="4"/>
        <v>0</v>
      </c>
      <c r="AB20" s="71"/>
      <c r="AC20" s="72"/>
      <c r="AD20" s="70">
        <f t="shared" si="5"/>
        <v>0</v>
      </c>
      <c r="AE20" s="71"/>
      <c r="AF20" s="72"/>
      <c r="AG20" s="70">
        <f t="shared" si="6"/>
        <v>0</v>
      </c>
      <c r="AH20" s="71"/>
      <c r="AI20" s="72"/>
      <c r="AJ20" s="70">
        <f t="shared" si="7"/>
        <v>0</v>
      </c>
      <c r="AK20" s="71"/>
      <c r="AL20" s="72"/>
      <c r="AM20" s="70">
        <f t="shared" si="8"/>
        <v>0</v>
      </c>
      <c r="AN20" s="71"/>
      <c r="AO20" s="72"/>
      <c r="AP20" s="68">
        <f t="shared" si="9"/>
        <v>0</v>
      </c>
      <c r="AQ20" s="8" t="e">
        <f t="shared" si="0"/>
        <v>#DIV/0!</v>
      </c>
    </row>
    <row r="21" spans="1:43" ht="18" customHeight="1" x14ac:dyDescent="0.15">
      <c r="A21" s="6"/>
      <c r="B21" s="12"/>
      <c r="C21" s="67"/>
      <c r="D21" s="68"/>
      <c r="E21" s="69"/>
      <c r="F21" s="70">
        <f t="shared" si="10"/>
        <v>0</v>
      </c>
      <c r="G21" s="71"/>
      <c r="H21" s="72"/>
      <c r="I21" s="70">
        <f t="shared" si="11"/>
        <v>0</v>
      </c>
      <c r="J21" s="71"/>
      <c r="K21" s="72"/>
      <c r="L21" s="70">
        <f t="shared" si="12"/>
        <v>0</v>
      </c>
      <c r="M21" s="71"/>
      <c r="N21" s="72"/>
      <c r="O21" s="70">
        <f t="shared" si="13"/>
        <v>0</v>
      </c>
      <c r="P21" s="71"/>
      <c r="Q21" s="72"/>
      <c r="R21" s="70">
        <f t="shared" si="1"/>
        <v>0</v>
      </c>
      <c r="S21" s="71"/>
      <c r="T21" s="72"/>
      <c r="U21" s="70">
        <f t="shared" si="2"/>
        <v>0</v>
      </c>
      <c r="V21" s="71"/>
      <c r="W21" s="72"/>
      <c r="X21" s="70">
        <f t="shared" si="3"/>
        <v>0</v>
      </c>
      <c r="Y21" s="71"/>
      <c r="Z21" s="72"/>
      <c r="AA21" s="70">
        <f t="shared" si="4"/>
        <v>0</v>
      </c>
      <c r="AB21" s="71"/>
      <c r="AC21" s="72"/>
      <c r="AD21" s="70">
        <f t="shared" si="5"/>
        <v>0</v>
      </c>
      <c r="AE21" s="71"/>
      <c r="AF21" s="72"/>
      <c r="AG21" s="70">
        <f t="shared" si="6"/>
        <v>0</v>
      </c>
      <c r="AH21" s="71"/>
      <c r="AI21" s="72"/>
      <c r="AJ21" s="70">
        <f t="shared" si="7"/>
        <v>0</v>
      </c>
      <c r="AK21" s="71"/>
      <c r="AL21" s="72"/>
      <c r="AM21" s="70">
        <f t="shared" si="8"/>
        <v>0</v>
      </c>
      <c r="AN21" s="71"/>
      <c r="AO21" s="72"/>
      <c r="AP21" s="68">
        <f t="shared" si="9"/>
        <v>0</v>
      </c>
      <c r="AQ21" s="8" t="e">
        <f t="shared" si="0"/>
        <v>#DIV/0!</v>
      </c>
    </row>
    <row r="22" spans="1:43" ht="18" customHeight="1" x14ac:dyDescent="0.15">
      <c r="A22" s="6"/>
      <c r="B22" s="12"/>
      <c r="C22" s="67"/>
      <c r="D22" s="68"/>
      <c r="E22" s="69"/>
      <c r="F22" s="70">
        <f t="shared" si="10"/>
        <v>0</v>
      </c>
      <c r="G22" s="71"/>
      <c r="H22" s="72"/>
      <c r="I22" s="70">
        <f t="shared" si="11"/>
        <v>0</v>
      </c>
      <c r="J22" s="71"/>
      <c r="K22" s="72"/>
      <c r="L22" s="70">
        <f t="shared" si="12"/>
        <v>0</v>
      </c>
      <c r="M22" s="71"/>
      <c r="N22" s="72"/>
      <c r="O22" s="70">
        <f t="shared" si="13"/>
        <v>0</v>
      </c>
      <c r="P22" s="71"/>
      <c r="Q22" s="72"/>
      <c r="R22" s="70">
        <f t="shared" si="1"/>
        <v>0</v>
      </c>
      <c r="S22" s="71"/>
      <c r="T22" s="72"/>
      <c r="U22" s="70">
        <f t="shared" si="2"/>
        <v>0</v>
      </c>
      <c r="V22" s="71"/>
      <c r="W22" s="72"/>
      <c r="X22" s="70">
        <f t="shared" si="3"/>
        <v>0</v>
      </c>
      <c r="Y22" s="71"/>
      <c r="Z22" s="72"/>
      <c r="AA22" s="70">
        <f t="shared" si="4"/>
        <v>0</v>
      </c>
      <c r="AB22" s="71"/>
      <c r="AC22" s="72"/>
      <c r="AD22" s="70">
        <f t="shared" si="5"/>
        <v>0</v>
      </c>
      <c r="AE22" s="71"/>
      <c r="AF22" s="72"/>
      <c r="AG22" s="70">
        <f t="shared" si="6"/>
        <v>0</v>
      </c>
      <c r="AH22" s="71"/>
      <c r="AI22" s="72"/>
      <c r="AJ22" s="70">
        <f t="shared" si="7"/>
        <v>0</v>
      </c>
      <c r="AK22" s="71"/>
      <c r="AL22" s="72"/>
      <c r="AM22" s="70">
        <f t="shared" si="8"/>
        <v>0</v>
      </c>
      <c r="AN22" s="71"/>
      <c r="AO22" s="72"/>
      <c r="AP22" s="68">
        <f t="shared" si="9"/>
        <v>0</v>
      </c>
      <c r="AQ22" s="8" t="e">
        <f t="shared" si="0"/>
        <v>#DIV/0!</v>
      </c>
    </row>
    <row r="23" spans="1:43" ht="18" customHeight="1" x14ac:dyDescent="0.15">
      <c r="A23" s="6"/>
      <c r="B23" s="12"/>
      <c r="C23" s="67"/>
      <c r="D23" s="68"/>
      <c r="E23" s="69"/>
      <c r="F23" s="70">
        <f t="shared" si="10"/>
        <v>0</v>
      </c>
      <c r="G23" s="71"/>
      <c r="H23" s="72"/>
      <c r="I23" s="70">
        <f t="shared" si="11"/>
        <v>0</v>
      </c>
      <c r="J23" s="71"/>
      <c r="K23" s="72"/>
      <c r="L23" s="70">
        <f t="shared" si="12"/>
        <v>0</v>
      </c>
      <c r="M23" s="71"/>
      <c r="N23" s="72"/>
      <c r="O23" s="70">
        <f t="shared" si="13"/>
        <v>0</v>
      </c>
      <c r="P23" s="71"/>
      <c r="Q23" s="72"/>
      <c r="R23" s="70">
        <f t="shared" si="1"/>
        <v>0</v>
      </c>
      <c r="S23" s="71"/>
      <c r="T23" s="72"/>
      <c r="U23" s="70">
        <f t="shared" si="2"/>
        <v>0</v>
      </c>
      <c r="V23" s="71"/>
      <c r="W23" s="72"/>
      <c r="X23" s="70">
        <f t="shared" si="3"/>
        <v>0</v>
      </c>
      <c r="Y23" s="71"/>
      <c r="Z23" s="72"/>
      <c r="AA23" s="70">
        <f t="shared" si="4"/>
        <v>0</v>
      </c>
      <c r="AB23" s="71"/>
      <c r="AC23" s="72"/>
      <c r="AD23" s="70">
        <f t="shared" si="5"/>
        <v>0</v>
      </c>
      <c r="AE23" s="71"/>
      <c r="AF23" s="72"/>
      <c r="AG23" s="70">
        <f t="shared" si="6"/>
        <v>0</v>
      </c>
      <c r="AH23" s="71"/>
      <c r="AI23" s="72"/>
      <c r="AJ23" s="70">
        <f t="shared" si="7"/>
        <v>0</v>
      </c>
      <c r="AK23" s="71"/>
      <c r="AL23" s="72"/>
      <c r="AM23" s="70">
        <f t="shared" si="8"/>
        <v>0</v>
      </c>
      <c r="AN23" s="71"/>
      <c r="AO23" s="72"/>
      <c r="AP23" s="68">
        <f t="shared" si="9"/>
        <v>0</v>
      </c>
      <c r="AQ23" s="8" t="e">
        <f t="shared" si="0"/>
        <v>#DIV/0!</v>
      </c>
    </row>
    <row r="24" spans="1:43" ht="18" customHeight="1" x14ac:dyDescent="0.15">
      <c r="A24" s="6"/>
      <c r="B24" s="12"/>
      <c r="C24" s="67"/>
      <c r="D24" s="68"/>
      <c r="E24" s="69"/>
      <c r="F24" s="70">
        <f t="shared" si="10"/>
        <v>0</v>
      </c>
      <c r="G24" s="71"/>
      <c r="H24" s="72"/>
      <c r="I24" s="70">
        <f t="shared" si="11"/>
        <v>0</v>
      </c>
      <c r="J24" s="71"/>
      <c r="K24" s="72"/>
      <c r="L24" s="70">
        <f t="shared" si="12"/>
        <v>0</v>
      </c>
      <c r="M24" s="71"/>
      <c r="N24" s="72"/>
      <c r="O24" s="70">
        <f t="shared" si="13"/>
        <v>0</v>
      </c>
      <c r="P24" s="71"/>
      <c r="Q24" s="72"/>
      <c r="R24" s="70">
        <f t="shared" si="1"/>
        <v>0</v>
      </c>
      <c r="S24" s="71"/>
      <c r="T24" s="72"/>
      <c r="U24" s="70">
        <f t="shared" si="2"/>
        <v>0</v>
      </c>
      <c r="V24" s="71"/>
      <c r="W24" s="72"/>
      <c r="X24" s="70">
        <f t="shared" si="3"/>
        <v>0</v>
      </c>
      <c r="Y24" s="71"/>
      <c r="Z24" s="72"/>
      <c r="AA24" s="70">
        <f t="shared" si="4"/>
        <v>0</v>
      </c>
      <c r="AB24" s="71"/>
      <c r="AC24" s="72"/>
      <c r="AD24" s="70">
        <f t="shared" si="5"/>
        <v>0</v>
      </c>
      <c r="AE24" s="71"/>
      <c r="AF24" s="72"/>
      <c r="AG24" s="70">
        <f t="shared" si="6"/>
        <v>0</v>
      </c>
      <c r="AH24" s="71"/>
      <c r="AI24" s="72"/>
      <c r="AJ24" s="70">
        <f t="shared" si="7"/>
        <v>0</v>
      </c>
      <c r="AK24" s="71"/>
      <c r="AL24" s="72"/>
      <c r="AM24" s="70">
        <f t="shared" si="8"/>
        <v>0</v>
      </c>
      <c r="AN24" s="71"/>
      <c r="AO24" s="72"/>
      <c r="AP24" s="68">
        <f t="shared" si="9"/>
        <v>0</v>
      </c>
      <c r="AQ24" s="8" t="e">
        <f t="shared" si="0"/>
        <v>#DIV/0!</v>
      </c>
    </row>
    <row r="25" spans="1:43" ht="18" customHeight="1" x14ac:dyDescent="0.15">
      <c r="A25" s="6"/>
      <c r="B25" s="12"/>
      <c r="C25" s="67"/>
      <c r="D25" s="68"/>
      <c r="E25" s="69"/>
      <c r="F25" s="70">
        <f t="shared" si="10"/>
        <v>0</v>
      </c>
      <c r="G25" s="71"/>
      <c r="H25" s="72"/>
      <c r="I25" s="70">
        <f t="shared" si="11"/>
        <v>0</v>
      </c>
      <c r="J25" s="71"/>
      <c r="K25" s="72"/>
      <c r="L25" s="70">
        <f t="shared" si="12"/>
        <v>0</v>
      </c>
      <c r="M25" s="71"/>
      <c r="N25" s="72"/>
      <c r="O25" s="70">
        <f t="shared" si="13"/>
        <v>0</v>
      </c>
      <c r="P25" s="71"/>
      <c r="Q25" s="72"/>
      <c r="R25" s="70">
        <f t="shared" si="1"/>
        <v>0</v>
      </c>
      <c r="S25" s="71"/>
      <c r="T25" s="72"/>
      <c r="U25" s="70">
        <f t="shared" si="2"/>
        <v>0</v>
      </c>
      <c r="V25" s="71"/>
      <c r="W25" s="72"/>
      <c r="X25" s="70">
        <f t="shared" si="3"/>
        <v>0</v>
      </c>
      <c r="Y25" s="71"/>
      <c r="Z25" s="72"/>
      <c r="AA25" s="70">
        <f t="shared" si="4"/>
        <v>0</v>
      </c>
      <c r="AB25" s="71"/>
      <c r="AC25" s="72"/>
      <c r="AD25" s="70">
        <f t="shared" si="5"/>
        <v>0</v>
      </c>
      <c r="AE25" s="71"/>
      <c r="AF25" s="72"/>
      <c r="AG25" s="70">
        <f t="shared" si="6"/>
        <v>0</v>
      </c>
      <c r="AH25" s="71"/>
      <c r="AI25" s="72"/>
      <c r="AJ25" s="70">
        <f t="shared" si="7"/>
        <v>0</v>
      </c>
      <c r="AK25" s="71"/>
      <c r="AL25" s="72"/>
      <c r="AM25" s="70">
        <f t="shared" si="8"/>
        <v>0</v>
      </c>
      <c r="AN25" s="71"/>
      <c r="AO25" s="72"/>
      <c r="AP25" s="68">
        <f t="shared" si="9"/>
        <v>0</v>
      </c>
      <c r="AQ25" s="8" t="e">
        <f t="shared" si="0"/>
        <v>#DIV/0!</v>
      </c>
    </row>
    <row r="26" spans="1:43" ht="18" customHeight="1" x14ac:dyDescent="0.15">
      <c r="A26" s="6"/>
      <c r="B26" s="12"/>
      <c r="C26" s="67"/>
      <c r="D26" s="68"/>
      <c r="E26" s="69"/>
      <c r="F26" s="70">
        <f t="shared" si="10"/>
        <v>0</v>
      </c>
      <c r="G26" s="71"/>
      <c r="H26" s="72"/>
      <c r="I26" s="70">
        <f t="shared" si="11"/>
        <v>0</v>
      </c>
      <c r="J26" s="71"/>
      <c r="K26" s="72"/>
      <c r="L26" s="70">
        <f t="shared" si="12"/>
        <v>0</v>
      </c>
      <c r="M26" s="71"/>
      <c r="N26" s="72"/>
      <c r="O26" s="70">
        <f t="shared" si="13"/>
        <v>0</v>
      </c>
      <c r="P26" s="71"/>
      <c r="Q26" s="72"/>
      <c r="R26" s="70">
        <f t="shared" si="1"/>
        <v>0</v>
      </c>
      <c r="S26" s="71"/>
      <c r="T26" s="72"/>
      <c r="U26" s="70">
        <f t="shared" si="2"/>
        <v>0</v>
      </c>
      <c r="V26" s="71"/>
      <c r="W26" s="72"/>
      <c r="X26" s="70">
        <f t="shared" si="3"/>
        <v>0</v>
      </c>
      <c r="Y26" s="71"/>
      <c r="Z26" s="72"/>
      <c r="AA26" s="70">
        <f t="shared" si="4"/>
        <v>0</v>
      </c>
      <c r="AB26" s="71"/>
      <c r="AC26" s="72"/>
      <c r="AD26" s="70">
        <f t="shared" si="5"/>
        <v>0</v>
      </c>
      <c r="AE26" s="71"/>
      <c r="AF26" s="72"/>
      <c r="AG26" s="70">
        <f t="shared" si="6"/>
        <v>0</v>
      </c>
      <c r="AH26" s="71"/>
      <c r="AI26" s="72"/>
      <c r="AJ26" s="70">
        <f t="shared" si="7"/>
        <v>0</v>
      </c>
      <c r="AK26" s="71"/>
      <c r="AL26" s="72"/>
      <c r="AM26" s="70">
        <f t="shared" si="8"/>
        <v>0</v>
      </c>
      <c r="AN26" s="71"/>
      <c r="AO26" s="72"/>
      <c r="AP26" s="68">
        <f t="shared" si="9"/>
        <v>0</v>
      </c>
      <c r="AQ26" s="8" t="e">
        <f t="shared" si="0"/>
        <v>#DIV/0!</v>
      </c>
    </row>
    <row r="27" spans="1:43" ht="18" customHeight="1" x14ac:dyDescent="0.15">
      <c r="A27" s="6"/>
      <c r="B27" s="12"/>
      <c r="C27" s="67"/>
      <c r="D27" s="68"/>
      <c r="E27" s="69"/>
      <c r="F27" s="70">
        <f t="shared" si="10"/>
        <v>0</v>
      </c>
      <c r="G27" s="71"/>
      <c r="H27" s="72"/>
      <c r="I27" s="70">
        <f t="shared" si="11"/>
        <v>0</v>
      </c>
      <c r="J27" s="71"/>
      <c r="K27" s="72"/>
      <c r="L27" s="70">
        <f t="shared" si="12"/>
        <v>0</v>
      </c>
      <c r="M27" s="71"/>
      <c r="N27" s="72"/>
      <c r="O27" s="70">
        <f t="shared" si="13"/>
        <v>0</v>
      </c>
      <c r="P27" s="71"/>
      <c r="Q27" s="72"/>
      <c r="R27" s="70">
        <f t="shared" si="1"/>
        <v>0</v>
      </c>
      <c r="S27" s="71"/>
      <c r="T27" s="72"/>
      <c r="U27" s="70">
        <f t="shared" si="2"/>
        <v>0</v>
      </c>
      <c r="V27" s="71"/>
      <c r="W27" s="72"/>
      <c r="X27" s="70">
        <f t="shared" si="3"/>
        <v>0</v>
      </c>
      <c r="Y27" s="71"/>
      <c r="Z27" s="72"/>
      <c r="AA27" s="70">
        <f t="shared" si="4"/>
        <v>0</v>
      </c>
      <c r="AB27" s="71"/>
      <c r="AC27" s="72"/>
      <c r="AD27" s="70">
        <f t="shared" si="5"/>
        <v>0</v>
      </c>
      <c r="AE27" s="71"/>
      <c r="AF27" s="72"/>
      <c r="AG27" s="70">
        <f t="shared" si="6"/>
        <v>0</v>
      </c>
      <c r="AH27" s="71"/>
      <c r="AI27" s="72"/>
      <c r="AJ27" s="70">
        <f t="shared" si="7"/>
        <v>0</v>
      </c>
      <c r="AK27" s="71"/>
      <c r="AL27" s="72"/>
      <c r="AM27" s="70">
        <f t="shared" si="8"/>
        <v>0</v>
      </c>
      <c r="AN27" s="71"/>
      <c r="AO27" s="72"/>
      <c r="AP27" s="68">
        <f t="shared" si="9"/>
        <v>0</v>
      </c>
      <c r="AQ27" s="8" t="e">
        <f t="shared" si="0"/>
        <v>#DIV/0!</v>
      </c>
    </row>
    <row r="28" spans="1:43" ht="18" customHeight="1" x14ac:dyDescent="0.15">
      <c r="A28" s="6"/>
      <c r="B28" s="12"/>
      <c r="C28" s="67"/>
      <c r="D28" s="68"/>
      <c r="E28" s="69"/>
      <c r="F28" s="70">
        <f t="shared" si="10"/>
        <v>0</v>
      </c>
      <c r="G28" s="71"/>
      <c r="H28" s="72"/>
      <c r="I28" s="70">
        <f t="shared" si="11"/>
        <v>0</v>
      </c>
      <c r="J28" s="71"/>
      <c r="K28" s="72"/>
      <c r="L28" s="70">
        <f t="shared" si="12"/>
        <v>0</v>
      </c>
      <c r="M28" s="71"/>
      <c r="N28" s="72"/>
      <c r="O28" s="70">
        <f t="shared" si="13"/>
        <v>0</v>
      </c>
      <c r="P28" s="71"/>
      <c r="Q28" s="72"/>
      <c r="R28" s="70">
        <f t="shared" si="1"/>
        <v>0</v>
      </c>
      <c r="S28" s="71"/>
      <c r="T28" s="72"/>
      <c r="U28" s="70">
        <f t="shared" si="2"/>
        <v>0</v>
      </c>
      <c r="V28" s="71"/>
      <c r="W28" s="72"/>
      <c r="X28" s="70">
        <f t="shared" si="3"/>
        <v>0</v>
      </c>
      <c r="Y28" s="71"/>
      <c r="Z28" s="72"/>
      <c r="AA28" s="70">
        <f t="shared" si="4"/>
        <v>0</v>
      </c>
      <c r="AB28" s="71"/>
      <c r="AC28" s="72"/>
      <c r="AD28" s="70">
        <f t="shared" si="5"/>
        <v>0</v>
      </c>
      <c r="AE28" s="71"/>
      <c r="AF28" s="72"/>
      <c r="AG28" s="70">
        <f t="shared" si="6"/>
        <v>0</v>
      </c>
      <c r="AH28" s="71"/>
      <c r="AI28" s="72"/>
      <c r="AJ28" s="70">
        <f t="shared" si="7"/>
        <v>0</v>
      </c>
      <c r="AK28" s="71"/>
      <c r="AL28" s="72"/>
      <c r="AM28" s="70">
        <f t="shared" si="8"/>
        <v>0</v>
      </c>
      <c r="AN28" s="71"/>
      <c r="AO28" s="72"/>
      <c r="AP28" s="68">
        <f t="shared" si="9"/>
        <v>0</v>
      </c>
      <c r="AQ28" s="8" t="e">
        <f t="shared" si="0"/>
        <v>#DIV/0!</v>
      </c>
    </row>
    <row r="29" spans="1:43" ht="18" customHeight="1" x14ac:dyDescent="0.15">
      <c r="A29" s="6"/>
      <c r="B29" s="12"/>
      <c r="C29" s="67"/>
      <c r="D29" s="73"/>
      <c r="E29" s="69"/>
      <c r="F29" s="70">
        <f t="shared" si="10"/>
        <v>0</v>
      </c>
      <c r="G29" s="71"/>
      <c r="H29" s="72"/>
      <c r="I29" s="70">
        <f t="shared" si="11"/>
        <v>0</v>
      </c>
      <c r="J29" s="71"/>
      <c r="K29" s="72"/>
      <c r="L29" s="70">
        <f t="shared" si="12"/>
        <v>0</v>
      </c>
      <c r="M29" s="71"/>
      <c r="N29" s="72"/>
      <c r="O29" s="70">
        <f t="shared" si="13"/>
        <v>0</v>
      </c>
      <c r="P29" s="71"/>
      <c r="Q29" s="72"/>
      <c r="R29" s="70">
        <f t="shared" si="1"/>
        <v>0</v>
      </c>
      <c r="S29" s="71"/>
      <c r="T29" s="72"/>
      <c r="U29" s="70">
        <f t="shared" si="2"/>
        <v>0</v>
      </c>
      <c r="V29" s="71"/>
      <c r="W29" s="72"/>
      <c r="X29" s="70">
        <f t="shared" si="3"/>
        <v>0</v>
      </c>
      <c r="Y29" s="71"/>
      <c r="Z29" s="72"/>
      <c r="AA29" s="70">
        <f t="shared" si="4"/>
        <v>0</v>
      </c>
      <c r="AB29" s="71"/>
      <c r="AC29" s="72"/>
      <c r="AD29" s="70">
        <f t="shared" si="5"/>
        <v>0</v>
      </c>
      <c r="AE29" s="71"/>
      <c r="AF29" s="72"/>
      <c r="AG29" s="70">
        <f t="shared" si="6"/>
        <v>0</v>
      </c>
      <c r="AH29" s="71"/>
      <c r="AI29" s="72"/>
      <c r="AJ29" s="70">
        <f t="shared" si="7"/>
        <v>0</v>
      </c>
      <c r="AK29" s="71"/>
      <c r="AL29" s="72"/>
      <c r="AM29" s="70">
        <f t="shared" si="8"/>
        <v>0</v>
      </c>
      <c r="AN29" s="71"/>
      <c r="AO29" s="72"/>
      <c r="AP29" s="73">
        <f t="shared" si="9"/>
        <v>0</v>
      </c>
      <c r="AQ29" s="8" t="e">
        <f t="shared" si="0"/>
        <v>#DIV/0!</v>
      </c>
    </row>
    <row r="30" spans="1:43" ht="18" customHeight="1" x14ac:dyDescent="0.15">
      <c r="A30" s="6"/>
      <c r="B30" s="12"/>
      <c r="C30" s="67"/>
      <c r="D30" s="73"/>
      <c r="E30" s="69"/>
      <c r="F30" s="70">
        <f t="shared" si="10"/>
        <v>0</v>
      </c>
      <c r="G30" s="71"/>
      <c r="H30" s="72"/>
      <c r="I30" s="70">
        <f t="shared" si="11"/>
        <v>0</v>
      </c>
      <c r="J30" s="71"/>
      <c r="K30" s="72"/>
      <c r="L30" s="70">
        <f t="shared" si="12"/>
        <v>0</v>
      </c>
      <c r="M30" s="71"/>
      <c r="N30" s="72"/>
      <c r="O30" s="70">
        <f t="shared" si="13"/>
        <v>0</v>
      </c>
      <c r="P30" s="71"/>
      <c r="Q30" s="72"/>
      <c r="R30" s="70">
        <f t="shared" si="1"/>
        <v>0</v>
      </c>
      <c r="S30" s="71"/>
      <c r="T30" s="72"/>
      <c r="U30" s="70">
        <f t="shared" si="2"/>
        <v>0</v>
      </c>
      <c r="V30" s="71"/>
      <c r="W30" s="72"/>
      <c r="X30" s="70">
        <f t="shared" si="3"/>
        <v>0</v>
      </c>
      <c r="Y30" s="71"/>
      <c r="Z30" s="72"/>
      <c r="AA30" s="70">
        <f t="shared" si="4"/>
        <v>0</v>
      </c>
      <c r="AB30" s="71"/>
      <c r="AC30" s="72"/>
      <c r="AD30" s="70">
        <f t="shared" si="5"/>
        <v>0</v>
      </c>
      <c r="AE30" s="71"/>
      <c r="AF30" s="72"/>
      <c r="AG30" s="70">
        <f t="shared" si="6"/>
        <v>0</v>
      </c>
      <c r="AH30" s="71"/>
      <c r="AI30" s="72"/>
      <c r="AJ30" s="70">
        <f t="shared" si="7"/>
        <v>0</v>
      </c>
      <c r="AK30" s="71"/>
      <c r="AL30" s="72"/>
      <c r="AM30" s="70">
        <f t="shared" si="8"/>
        <v>0</v>
      </c>
      <c r="AN30" s="71"/>
      <c r="AO30" s="72"/>
      <c r="AP30" s="73">
        <f t="shared" si="9"/>
        <v>0</v>
      </c>
      <c r="AQ30" s="8" t="e">
        <f t="shared" si="0"/>
        <v>#DIV/0!</v>
      </c>
    </row>
    <row r="31" spans="1:43" ht="18" customHeight="1" thickBot="1" x14ac:dyDescent="0.2">
      <c r="A31" s="6"/>
      <c r="B31" s="13"/>
      <c r="C31" s="62"/>
      <c r="D31" s="74"/>
      <c r="E31" s="64"/>
      <c r="F31" s="64">
        <f t="shared" si="10"/>
        <v>0</v>
      </c>
      <c r="G31" s="75"/>
      <c r="H31" s="76"/>
      <c r="I31" s="64">
        <f t="shared" si="11"/>
        <v>0</v>
      </c>
      <c r="J31" s="75"/>
      <c r="K31" s="76"/>
      <c r="L31" s="64">
        <f t="shared" si="12"/>
        <v>0</v>
      </c>
      <c r="M31" s="75"/>
      <c r="N31" s="76"/>
      <c r="O31" s="64">
        <f t="shared" si="13"/>
        <v>0</v>
      </c>
      <c r="P31" s="75"/>
      <c r="Q31" s="76"/>
      <c r="R31" s="64">
        <f t="shared" si="1"/>
        <v>0</v>
      </c>
      <c r="S31" s="75"/>
      <c r="T31" s="76"/>
      <c r="U31" s="64">
        <f t="shared" si="2"/>
        <v>0</v>
      </c>
      <c r="V31" s="75"/>
      <c r="W31" s="76"/>
      <c r="X31" s="64">
        <f t="shared" si="3"/>
        <v>0</v>
      </c>
      <c r="Y31" s="75"/>
      <c r="Z31" s="76"/>
      <c r="AA31" s="64">
        <f t="shared" si="4"/>
        <v>0</v>
      </c>
      <c r="AB31" s="75"/>
      <c r="AC31" s="76"/>
      <c r="AD31" s="64">
        <f t="shared" si="5"/>
        <v>0</v>
      </c>
      <c r="AE31" s="75"/>
      <c r="AF31" s="76"/>
      <c r="AG31" s="64">
        <f t="shared" si="6"/>
        <v>0</v>
      </c>
      <c r="AH31" s="75"/>
      <c r="AI31" s="76"/>
      <c r="AJ31" s="64">
        <f t="shared" si="7"/>
        <v>0</v>
      </c>
      <c r="AK31" s="75"/>
      <c r="AL31" s="76"/>
      <c r="AM31" s="64">
        <f t="shared" si="8"/>
        <v>0</v>
      </c>
      <c r="AN31" s="75"/>
      <c r="AO31" s="76"/>
      <c r="AP31" s="74">
        <f t="shared" si="9"/>
        <v>0</v>
      </c>
      <c r="AQ31" s="7" t="e">
        <f t="shared" si="0"/>
        <v>#DIV/0!</v>
      </c>
    </row>
    <row r="32" spans="1:43" ht="18" customHeight="1" thickTop="1" x14ac:dyDescent="0.15">
      <c r="B32" s="14" t="s">
        <v>93</v>
      </c>
      <c r="C32" s="77">
        <f t="shared" ref="C32" si="14">SUM(C12:C31)</f>
        <v>1483</v>
      </c>
      <c r="D32" s="78">
        <f t="shared" ref="D32:AP32" si="15">SUM(D12:D31)</f>
        <v>275</v>
      </c>
      <c r="E32" s="79">
        <f t="shared" si="15"/>
        <v>1449</v>
      </c>
      <c r="F32" s="79">
        <f t="shared" si="15"/>
        <v>285</v>
      </c>
      <c r="G32" s="80">
        <f t="shared" si="15"/>
        <v>0</v>
      </c>
      <c r="H32" s="81">
        <f t="shared" si="15"/>
        <v>0</v>
      </c>
      <c r="I32" s="79">
        <f t="shared" ref="I32:N32" si="16">SUM(I12:I31)</f>
        <v>278</v>
      </c>
      <c r="J32" s="80">
        <f t="shared" si="16"/>
        <v>0</v>
      </c>
      <c r="K32" s="81">
        <f t="shared" si="16"/>
        <v>0</v>
      </c>
      <c r="L32" s="79">
        <f t="shared" si="16"/>
        <v>267</v>
      </c>
      <c r="M32" s="80">
        <f t="shared" si="16"/>
        <v>0</v>
      </c>
      <c r="N32" s="81">
        <f t="shared" si="16"/>
        <v>0</v>
      </c>
      <c r="O32" s="79">
        <f t="shared" ref="O32:T32" si="17">SUM(O12:O31)</f>
        <v>257</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552</v>
      </c>
      <c r="AQ32" s="9">
        <f t="shared" si="0"/>
        <v>0.38095238095238093</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13" zoomScaleNormal="100" zoomScaleSheetLayoutView="100" workbookViewId="0">
      <selection activeCell="J39" sqref="J39"/>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94</v>
      </c>
      <c r="I1" s="35" t="s">
        <v>95</v>
      </c>
    </row>
    <row r="2" spans="1:9" ht="18.75" customHeight="1" x14ac:dyDescent="0.15">
      <c r="G2" s="35" t="s">
        <v>2</v>
      </c>
      <c r="H2" s="98" t="str">
        <f>'様式１　プログラムを構成する授業科目'!C2</f>
        <v>東京医科歯科大学</v>
      </c>
      <c r="I2" s="100"/>
    </row>
    <row r="3" spans="1:9" ht="18.75" customHeight="1" x14ac:dyDescent="0.15">
      <c r="G3" s="35"/>
      <c r="H3" s="10"/>
      <c r="I3" s="10"/>
    </row>
    <row r="4" spans="1:9" ht="18.600000000000001" customHeight="1" x14ac:dyDescent="0.15">
      <c r="A4" s="109" t="s">
        <v>96</v>
      </c>
      <c r="B4" s="109"/>
      <c r="C4" s="109"/>
      <c r="D4" s="109"/>
      <c r="E4" s="109"/>
      <c r="F4" s="109"/>
      <c r="G4" s="109"/>
      <c r="H4" s="109"/>
      <c r="I4" s="109"/>
    </row>
    <row r="5" spans="1:9" ht="13.15" customHeight="1" x14ac:dyDescent="0.15">
      <c r="B5" s="3"/>
      <c r="C5" s="3"/>
      <c r="D5" s="3"/>
      <c r="E5" s="3"/>
      <c r="F5" s="3"/>
      <c r="G5" s="3"/>
      <c r="H5" s="3"/>
      <c r="I5" s="3"/>
    </row>
    <row r="6" spans="1:9" ht="18" customHeight="1" x14ac:dyDescent="0.15">
      <c r="A6" s="1" t="s">
        <v>97</v>
      </c>
      <c r="B6" s="10" t="s">
        <v>98</v>
      </c>
      <c r="C6" s="236" t="s">
        <v>99</v>
      </c>
      <c r="D6" s="236"/>
      <c r="E6" s="34">
        <v>853</v>
      </c>
      <c r="F6" s="3" t="s">
        <v>100</v>
      </c>
      <c r="G6" s="3" t="s">
        <v>101</v>
      </c>
      <c r="H6" s="34">
        <v>1718</v>
      </c>
      <c r="I6" s="10" t="s">
        <v>100</v>
      </c>
    </row>
    <row r="7" spans="1:9" ht="12" customHeight="1" x14ac:dyDescent="0.15">
      <c r="C7" s="2"/>
      <c r="D7" s="2"/>
      <c r="E7" s="2"/>
      <c r="F7" s="2"/>
      <c r="G7" s="2"/>
      <c r="H7" s="2"/>
      <c r="I7" s="42"/>
    </row>
    <row r="8" spans="1:9" ht="18" customHeight="1" x14ac:dyDescent="0.15">
      <c r="A8" s="1" t="s">
        <v>102</v>
      </c>
      <c r="B8" s="10" t="s">
        <v>103</v>
      </c>
      <c r="E8" s="3"/>
      <c r="F8" s="3"/>
      <c r="G8" s="3"/>
      <c r="H8" s="34">
        <v>22</v>
      </c>
      <c r="I8" s="10" t="s">
        <v>100</v>
      </c>
    </row>
    <row r="9" spans="1:9" ht="9" customHeight="1" x14ac:dyDescent="0.15">
      <c r="B9" s="3"/>
      <c r="C9" s="3"/>
      <c r="D9" s="3"/>
      <c r="E9" s="3"/>
      <c r="F9" s="3"/>
      <c r="G9" s="3"/>
      <c r="H9" s="3"/>
      <c r="I9" s="3"/>
    </row>
    <row r="10" spans="1:9" ht="18" customHeight="1" x14ac:dyDescent="0.15">
      <c r="A10" s="1" t="s">
        <v>104</v>
      </c>
      <c r="B10" s="10" t="s">
        <v>105</v>
      </c>
      <c r="C10" s="3"/>
      <c r="D10" s="3"/>
      <c r="E10" s="3"/>
      <c r="F10" s="3"/>
      <c r="G10" s="3"/>
      <c r="H10" s="3"/>
      <c r="I10" s="3"/>
    </row>
    <row r="11" spans="1:9" ht="18" customHeight="1" x14ac:dyDescent="0.15">
      <c r="B11" s="35" t="s">
        <v>106</v>
      </c>
      <c r="C11" s="231" t="s">
        <v>107</v>
      </c>
      <c r="D11" s="234"/>
      <c r="E11" s="235"/>
      <c r="F11" s="42"/>
      <c r="G11" s="35" t="s">
        <v>108</v>
      </c>
      <c r="H11" s="231" t="s">
        <v>109</v>
      </c>
      <c r="I11" s="235"/>
    </row>
    <row r="12" spans="1:9" ht="10.15" customHeight="1" x14ac:dyDescent="0.15">
      <c r="B12" s="35"/>
      <c r="C12" s="10"/>
      <c r="D12" s="42"/>
      <c r="E12" s="42"/>
      <c r="F12" s="42"/>
      <c r="G12" s="35"/>
      <c r="H12" s="10"/>
      <c r="I12" s="42"/>
    </row>
    <row r="13" spans="1:9" ht="18" customHeight="1" x14ac:dyDescent="0.15">
      <c r="A13" s="1" t="s">
        <v>110</v>
      </c>
      <c r="B13" s="10" t="s">
        <v>111</v>
      </c>
      <c r="C13" s="3"/>
      <c r="D13" s="3"/>
      <c r="E13" s="3"/>
      <c r="F13" s="3"/>
      <c r="G13" s="3"/>
      <c r="H13" s="3"/>
      <c r="I13" s="3"/>
    </row>
    <row r="14" spans="1:9" ht="18" customHeight="1" x14ac:dyDescent="0.15">
      <c r="B14" s="231" t="s">
        <v>112</v>
      </c>
      <c r="C14" s="232"/>
      <c r="D14" s="232"/>
      <c r="E14" s="232"/>
      <c r="F14" s="232"/>
      <c r="G14" s="232"/>
      <c r="H14" s="232"/>
      <c r="I14" s="233"/>
    </row>
    <row r="15" spans="1:9" ht="9" customHeight="1" x14ac:dyDescent="0.15">
      <c r="B15" s="3"/>
      <c r="C15" s="3"/>
      <c r="D15" s="3"/>
      <c r="E15" s="3"/>
      <c r="F15" s="3"/>
      <c r="G15" s="3"/>
      <c r="H15" s="3"/>
      <c r="I15" s="3"/>
    </row>
    <row r="16" spans="1:9" ht="18" customHeight="1" x14ac:dyDescent="0.15">
      <c r="B16" s="35" t="s">
        <v>106</v>
      </c>
      <c r="C16" s="231" t="s">
        <v>107</v>
      </c>
      <c r="D16" s="234"/>
      <c r="E16" s="235"/>
      <c r="F16" s="42"/>
      <c r="G16" s="35" t="s">
        <v>108</v>
      </c>
      <c r="H16" s="231" t="s">
        <v>109</v>
      </c>
      <c r="I16" s="235"/>
    </row>
    <row r="17" spans="1:9" ht="18" customHeight="1" x14ac:dyDescent="0.15">
      <c r="B17" s="3"/>
      <c r="C17" s="3"/>
      <c r="D17" s="3"/>
      <c r="E17" s="3"/>
      <c r="F17" s="3"/>
      <c r="G17" s="3"/>
      <c r="H17" s="3"/>
      <c r="I17" s="3"/>
    </row>
    <row r="18" spans="1:9" ht="18.75" customHeight="1" x14ac:dyDescent="0.15">
      <c r="A18" s="1" t="s">
        <v>113</v>
      </c>
      <c r="B18" s="1" t="s">
        <v>114</v>
      </c>
      <c r="I18" s="3"/>
    </row>
    <row r="19" spans="1:9" ht="18.75" customHeight="1" x14ac:dyDescent="0.15">
      <c r="A19" s="1"/>
      <c r="B19" s="223" t="s">
        <v>115</v>
      </c>
      <c r="C19" s="224"/>
      <c r="D19" s="224"/>
      <c r="E19" s="224"/>
      <c r="F19" s="224"/>
      <c r="G19" s="224"/>
      <c r="H19" s="224"/>
      <c r="I19" s="225"/>
    </row>
    <row r="20" spans="1:9" ht="7.5" customHeight="1" x14ac:dyDescent="0.15">
      <c r="B20" s="3"/>
      <c r="C20" s="3"/>
      <c r="D20" s="3"/>
      <c r="E20" s="3"/>
      <c r="F20" s="3"/>
      <c r="G20" s="3"/>
      <c r="H20" s="3"/>
      <c r="I20" s="3"/>
    </row>
    <row r="21" spans="1:9" ht="18.75" customHeight="1" x14ac:dyDescent="0.15">
      <c r="A21" s="1" t="s">
        <v>116</v>
      </c>
      <c r="B21" s="1" t="s">
        <v>117</v>
      </c>
    </row>
    <row r="22" spans="1:9" ht="18.75" customHeight="1" x14ac:dyDescent="0.15">
      <c r="A22" s="15"/>
      <c r="B22" s="213" t="s">
        <v>118</v>
      </c>
      <c r="C22" s="214"/>
      <c r="D22" s="214"/>
      <c r="E22" s="214"/>
      <c r="F22" s="214"/>
      <c r="G22" s="214"/>
      <c r="H22" s="214"/>
      <c r="I22" s="215"/>
    </row>
    <row r="23" spans="1:9" ht="18.75" customHeight="1" x14ac:dyDescent="0.15">
      <c r="A23" s="15"/>
      <c r="B23" s="226"/>
      <c r="C23" s="227"/>
      <c r="D23" s="227"/>
      <c r="E23" s="227"/>
      <c r="F23" s="227"/>
      <c r="G23" s="227"/>
      <c r="H23" s="227"/>
      <c r="I23" s="218"/>
    </row>
    <row r="24" spans="1:9" ht="18.75" customHeight="1" x14ac:dyDescent="0.15">
      <c r="A24" s="15"/>
      <c r="B24" s="226"/>
      <c r="C24" s="227"/>
      <c r="D24" s="227"/>
      <c r="E24" s="227"/>
      <c r="F24" s="227"/>
      <c r="G24" s="227"/>
      <c r="H24" s="227"/>
      <c r="I24" s="218"/>
    </row>
    <row r="25" spans="1:9" ht="18.75" customHeight="1" x14ac:dyDescent="0.15">
      <c r="A25" s="15"/>
      <c r="B25" s="226"/>
      <c r="C25" s="227"/>
      <c r="D25" s="227"/>
      <c r="E25" s="227"/>
      <c r="F25" s="227"/>
      <c r="G25" s="227"/>
      <c r="H25" s="227"/>
      <c r="I25" s="218"/>
    </row>
    <row r="26" spans="1:9" ht="18.75" customHeight="1" x14ac:dyDescent="0.15">
      <c r="A26" s="15"/>
      <c r="B26" s="226"/>
      <c r="C26" s="227"/>
      <c r="D26" s="227"/>
      <c r="E26" s="227"/>
      <c r="F26" s="227"/>
      <c r="G26" s="227"/>
      <c r="H26" s="227"/>
      <c r="I26" s="218"/>
    </row>
    <row r="27" spans="1:9" ht="18.75" customHeight="1" x14ac:dyDescent="0.15">
      <c r="A27" s="15"/>
      <c r="B27" s="226"/>
      <c r="C27" s="227"/>
      <c r="D27" s="227"/>
      <c r="E27" s="227"/>
      <c r="F27" s="227"/>
      <c r="G27" s="227"/>
      <c r="H27" s="227"/>
      <c r="I27" s="218"/>
    </row>
    <row r="28" spans="1:9" ht="18.75" customHeight="1" x14ac:dyDescent="0.15">
      <c r="A28" s="15"/>
      <c r="B28" s="226"/>
      <c r="C28" s="227"/>
      <c r="D28" s="227"/>
      <c r="E28" s="227"/>
      <c r="F28" s="227"/>
      <c r="G28" s="227"/>
      <c r="H28" s="227"/>
      <c r="I28" s="218"/>
    </row>
    <row r="29" spans="1:9" ht="18.75" customHeight="1" x14ac:dyDescent="0.15">
      <c r="A29" s="15"/>
      <c r="B29" s="226"/>
      <c r="C29" s="227"/>
      <c r="D29" s="227"/>
      <c r="E29" s="227"/>
      <c r="F29" s="227"/>
      <c r="G29" s="227"/>
      <c r="H29" s="227"/>
      <c r="I29" s="218"/>
    </row>
    <row r="30" spans="1:9" ht="18.75" customHeight="1" x14ac:dyDescent="0.15">
      <c r="A30" s="15"/>
      <c r="B30" s="216"/>
      <c r="C30" s="217"/>
      <c r="D30" s="217"/>
      <c r="E30" s="217"/>
      <c r="F30" s="217"/>
      <c r="G30" s="217"/>
      <c r="H30" s="217"/>
      <c r="I30" s="218"/>
    </row>
    <row r="31" spans="1:9" ht="18.75" customHeight="1" x14ac:dyDescent="0.15">
      <c r="A31" s="15"/>
      <c r="B31" s="216"/>
      <c r="C31" s="217"/>
      <c r="D31" s="217"/>
      <c r="E31" s="217"/>
      <c r="F31" s="217"/>
      <c r="G31" s="217"/>
      <c r="H31" s="217"/>
      <c r="I31" s="218"/>
    </row>
    <row r="32" spans="1:9" ht="18.75" customHeight="1" x14ac:dyDescent="0.15">
      <c r="A32" s="15"/>
      <c r="B32" s="219"/>
      <c r="C32" s="220"/>
      <c r="D32" s="220"/>
      <c r="E32" s="220"/>
      <c r="F32" s="220"/>
      <c r="G32" s="220"/>
      <c r="H32" s="220"/>
      <c r="I32" s="221"/>
    </row>
    <row r="33" spans="1:9" ht="7.5" customHeight="1" x14ac:dyDescent="0.15">
      <c r="A33" s="15"/>
      <c r="B33" s="15"/>
      <c r="C33" s="15"/>
      <c r="D33" s="15"/>
      <c r="E33" s="15"/>
      <c r="F33" s="15"/>
      <c r="G33" s="15"/>
      <c r="H33" s="15"/>
      <c r="I33" s="15"/>
    </row>
    <row r="34" spans="1:9" ht="18.75" customHeight="1" x14ac:dyDescent="0.15">
      <c r="A34" s="16" t="s">
        <v>119</v>
      </c>
      <c r="B34" s="16" t="s">
        <v>120</v>
      </c>
      <c r="C34" s="10"/>
      <c r="D34" s="16"/>
      <c r="E34" s="16"/>
      <c r="F34" s="16"/>
      <c r="G34" s="16"/>
      <c r="H34" s="16"/>
      <c r="I34" s="16"/>
    </row>
    <row r="35" spans="1:9" ht="18.75" customHeight="1" x14ac:dyDescent="0.15">
      <c r="A35" s="15"/>
      <c r="B35" s="213" t="s">
        <v>121</v>
      </c>
      <c r="C35" s="214"/>
      <c r="D35" s="214"/>
      <c r="E35" s="214"/>
      <c r="F35" s="214"/>
      <c r="G35" s="214"/>
      <c r="H35" s="214"/>
      <c r="I35" s="215"/>
    </row>
    <row r="36" spans="1:9" ht="18.75" customHeight="1" x14ac:dyDescent="0.15">
      <c r="A36" s="15"/>
      <c r="B36" s="216"/>
      <c r="C36" s="217"/>
      <c r="D36" s="217"/>
      <c r="E36" s="217"/>
      <c r="F36" s="217"/>
      <c r="G36" s="217"/>
      <c r="H36" s="217"/>
      <c r="I36" s="218"/>
    </row>
    <row r="37" spans="1:9" ht="18.75" customHeight="1" x14ac:dyDescent="0.15">
      <c r="A37" s="15"/>
      <c r="B37" s="216"/>
      <c r="C37" s="217"/>
      <c r="D37" s="217"/>
      <c r="E37" s="217"/>
      <c r="F37" s="217"/>
      <c r="G37" s="217"/>
      <c r="H37" s="217"/>
      <c r="I37" s="218"/>
    </row>
    <row r="38" spans="1:9" ht="18.75" customHeight="1" x14ac:dyDescent="0.15">
      <c r="A38" s="15"/>
      <c r="B38" s="216"/>
      <c r="C38" s="217"/>
      <c r="D38" s="217"/>
      <c r="E38" s="217"/>
      <c r="F38" s="217"/>
      <c r="G38" s="217"/>
      <c r="H38" s="217"/>
      <c r="I38" s="218"/>
    </row>
    <row r="39" spans="1:9" ht="18.75" customHeight="1" x14ac:dyDescent="0.15">
      <c r="A39" s="15"/>
      <c r="B39" s="216"/>
      <c r="C39" s="217"/>
      <c r="D39" s="217"/>
      <c r="E39" s="217"/>
      <c r="F39" s="217"/>
      <c r="G39" s="217"/>
      <c r="H39" s="217"/>
      <c r="I39" s="218"/>
    </row>
    <row r="40" spans="1:9" ht="18.75" customHeight="1" x14ac:dyDescent="0.15">
      <c r="A40" s="15"/>
      <c r="B40" s="216"/>
      <c r="C40" s="217"/>
      <c r="D40" s="217"/>
      <c r="E40" s="217"/>
      <c r="F40" s="217"/>
      <c r="G40" s="217"/>
      <c r="H40" s="217"/>
      <c r="I40" s="218"/>
    </row>
    <row r="41" spans="1:9" ht="18.75" customHeight="1" x14ac:dyDescent="0.15">
      <c r="A41" s="15"/>
      <c r="B41" s="216"/>
      <c r="C41" s="217"/>
      <c r="D41" s="217"/>
      <c r="E41" s="217"/>
      <c r="F41" s="217"/>
      <c r="G41" s="217"/>
      <c r="H41" s="217"/>
      <c r="I41" s="218"/>
    </row>
    <row r="42" spans="1:9" ht="18.75" customHeight="1" x14ac:dyDescent="0.15">
      <c r="A42" s="15"/>
      <c r="B42" s="216"/>
      <c r="C42" s="217"/>
      <c r="D42" s="217"/>
      <c r="E42" s="217"/>
      <c r="F42" s="217"/>
      <c r="G42" s="217"/>
      <c r="H42" s="217"/>
      <c r="I42" s="218"/>
    </row>
    <row r="43" spans="1:9" ht="18.75" customHeight="1" x14ac:dyDescent="0.15">
      <c r="A43" s="15"/>
      <c r="B43" s="216"/>
      <c r="C43" s="217"/>
      <c r="D43" s="217"/>
      <c r="E43" s="217"/>
      <c r="F43" s="217"/>
      <c r="G43" s="217"/>
      <c r="H43" s="217"/>
      <c r="I43" s="218"/>
    </row>
    <row r="44" spans="1:9" ht="18.75" customHeight="1" x14ac:dyDescent="0.15">
      <c r="A44" s="15"/>
      <c r="B44" s="216"/>
      <c r="C44" s="217"/>
      <c r="D44" s="217"/>
      <c r="E44" s="217"/>
      <c r="F44" s="217"/>
      <c r="G44" s="217"/>
      <c r="H44" s="217"/>
      <c r="I44" s="218"/>
    </row>
    <row r="45" spans="1:9" ht="18.75" customHeight="1" x14ac:dyDescent="0.15">
      <c r="A45" s="15"/>
      <c r="B45" s="216"/>
      <c r="C45" s="217"/>
      <c r="D45" s="217"/>
      <c r="E45" s="217"/>
      <c r="F45" s="217"/>
      <c r="G45" s="217"/>
      <c r="H45" s="217"/>
      <c r="I45" s="218"/>
    </row>
    <row r="46" spans="1:9" ht="44.25" customHeight="1" x14ac:dyDescent="0.15">
      <c r="A46" s="15"/>
      <c r="B46" s="219"/>
      <c r="C46" s="220"/>
      <c r="D46" s="220"/>
      <c r="E46" s="220"/>
      <c r="F46" s="220"/>
      <c r="G46" s="220"/>
      <c r="H46" s="220"/>
      <c r="I46" s="221"/>
    </row>
    <row r="47" spans="1:9" ht="7.5" customHeight="1" x14ac:dyDescent="0.15">
      <c r="A47" s="4"/>
      <c r="B47" s="4"/>
      <c r="C47" s="4"/>
      <c r="D47" s="4"/>
      <c r="E47" s="4"/>
      <c r="F47" s="4"/>
      <c r="G47" s="4"/>
      <c r="H47" s="4"/>
      <c r="I47" s="4"/>
    </row>
    <row r="48" spans="1:9" ht="18.75" customHeight="1" x14ac:dyDescent="0.15">
      <c r="A48" s="1" t="s">
        <v>122</v>
      </c>
      <c r="B48" s="1" t="s">
        <v>123</v>
      </c>
    </row>
    <row r="49" spans="1:15" s="3" customFormat="1" ht="18.75" customHeight="1" x14ac:dyDescent="0.15">
      <c r="B49" s="43" t="s">
        <v>124</v>
      </c>
      <c r="C49" s="202">
        <f>'様式２ 履修者等数の実績'!AQ32</f>
        <v>0.38095238095238093</v>
      </c>
      <c r="D49" s="202"/>
      <c r="E49" s="43" t="s">
        <v>125</v>
      </c>
      <c r="F49" s="202">
        <v>0.56999999999999995</v>
      </c>
      <c r="G49" s="202"/>
      <c r="H49" s="43" t="s">
        <v>126</v>
      </c>
      <c r="I49" s="44">
        <v>0.75</v>
      </c>
      <c r="J49" s="1"/>
      <c r="M49" s="1"/>
      <c r="N49" s="45"/>
    </row>
    <row r="50" spans="1:15" s="3" customFormat="1" ht="18.75" customHeight="1" x14ac:dyDescent="0.15">
      <c r="B50" s="46" t="s">
        <v>127</v>
      </c>
      <c r="C50" s="203">
        <v>0.9</v>
      </c>
      <c r="D50" s="203"/>
      <c r="E50" s="46" t="s">
        <v>128</v>
      </c>
      <c r="F50" s="203">
        <v>1</v>
      </c>
      <c r="G50" s="203"/>
      <c r="H50" s="46" t="s">
        <v>129</v>
      </c>
      <c r="I50" s="47">
        <f>'様式２ 履修者等数の実績'!E32</f>
        <v>1449</v>
      </c>
      <c r="J50" s="1"/>
      <c r="M50" s="1"/>
      <c r="N50" s="45"/>
    </row>
    <row r="51" spans="1:15" ht="18.75" customHeight="1" x14ac:dyDescent="0.15">
      <c r="A51" s="1"/>
      <c r="B51" s="228" t="s">
        <v>130</v>
      </c>
      <c r="C51" s="229"/>
      <c r="D51" s="229"/>
      <c r="E51" s="229"/>
      <c r="F51" s="229"/>
      <c r="G51" s="229"/>
      <c r="H51" s="229"/>
      <c r="I51" s="230"/>
      <c r="N51" s="45"/>
      <c r="O51" s="3"/>
    </row>
    <row r="52" spans="1:15" ht="18.75" customHeight="1" x14ac:dyDescent="0.15">
      <c r="A52" s="1"/>
      <c r="B52" s="204" t="s">
        <v>131</v>
      </c>
      <c r="C52" s="205"/>
      <c r="D52" s="205"/>
      <c r="E52" s="205"/>
      <c r="F52" s="205"/>
      <c r="G52" s="205"/>
      <c r="H52" s="205"/>
      <c r="I52" s="206"/>
      <c r="N52" s="45"/>
      <c r="O52" s="3"/>
    </row>
    <row r="53" spans="1:15" ht="18.75" customHeight="1" x14ac:dyDescent="0.15">
      <c r="A53" s="1"/>
      <c r="B53" s="207"/>
      <c r="C53" s="208"/>
      <c r="D53" s="208"/>
      <c r="E53" s="208"/>
      <c r="F53" s="208"/>
      <c r="G53" s="208"/>
      <c r="H53" s="208"/>
      <c r="I53" s="209"/>
      <c r="N53" s="45"/>
      <c r="O53" s="3"/>
    </row>
    <row r="54" spans="1:15" ht="18.75" customHeight="1" x14ac:dyDescent="0.15">
      <c r="A54" s="1"/>
      <c r="B54" s="207"/>
      <c r="C54" s="208"/>
      <c r="D54" s="208"/>
      <c r="E54" s="208"/>
      <c r="F54" s="208"/>
      <c r="G54" s="208"/>
      <c r="H54" s="208"/>
      <c r="I54" s="209"/>
    </row>
    <row r="55" spans="1:15" ht="18.75" customHeight="1" x14ac:dyDescent="0.15">
      <c r="A55" s="1"/>
      <c r="B55" s="207"/>
      <c r="C55" s="208"/>
      <c r="D55" s="208"/>
      <c r="E55" s="208"/>
      <c r="F55" s="208"/>
      <c r="G55" s="208"/>
      <c r="H55" s="208"/>
      <c r="I55" s="209"/>
    </row>
    <row r="56" spans="1:15" ht="18.75" customHeight="1" x14ac:dyDescent="0.15">
      <c r="A56" s="1"/>
      <c r="B56" s="207"/>
      <c r="C56" s="208"/>
      <c r="D56" s="208"/>
      <c r="E56" s="208"/>
      <c r="F56" s="208"/>
      <c r="G56" s="208"/>
      <c r="H56" s="208"/>
      <c r="I56" s="209"/>
    </row>
    <row r="57" spans="1:15" ht="18.75" customHeight="1" x14ac:dyDescent="0.15">
      <c r="A57" s="1"/>
      <c r="B57" s="207"/>
      <c r="C57" s="208"/>
      <c r="D57" s="208"/>
      <c r="E57" s="208"/>
      <c r="F57" s="208"/>
      <c r="G57" s="208"/>
      <c r="H57" s="208"/>
      <c r="I57" s="209"/>
    </row>
    <row r="58" spans="1:15" ht="18.75" customHeight="1" x14ac:dyDescent="0.15">
      <c r="A58" s="1"/>
      <c r="B58" s="207"/>
      <c r="C58" s="208"/>
      <c r="D58" s="208"/>
      <c r="E58" s="208"/>
      <c r="F58" s="208"/>
      <c r="G58" s="208"/>
      <c r="H58" s="208"/>
      <c r="I58" s="209"/>
    </row>
    <row r="59" spans="1:15" ht="18.75" customHeight="1" x14ac:dyDescent="0.15">
      <c r="A59" s="1"/>
      <c r="B59" s="207"/>
      <c r="C59" s="208"/>
      <c r="D59" s="208"/>
      <c r="E59" s="208"/>
      <c r="F59" s="208"/>
      <c r="G59" s="208"/>
      <c r="H59" s="208"/>
      <c r="I59" s="209"/>
    </row>
    <row r="60" spans="1:15" ht="18.75" customHeight="1" x14ac:dyDescent="0.15">
      <c r="A60" s="1"/>
      <c r="B60" s="207"/>
      <c r="C60" s="208"/>
      <c r="D60" s="208"/>
      <c r="E60" s="208"/>
      <c r="F60" s="208"/>
      <c r="G60" s="208"/>
      <c r="H60" s="208"/>
      <c r="I60" s="209"/>
    </row>
    <row r="61" spans="1:15" ht="18.75" customHeight="1" x14ac:dyDescent="0.15">
      <c r="A61" s="1"/>
      <c r="B61" s="207"/>
      <c r="C61" s="208"/>
      <c r="D61" s="208"/>
      <c r="E61" s="208"/>
      <c r="F61" s="208"/>
      <c r="G61" s="208"/>
      <c r="H61" s="208"/>
      <c r="I61" s="209"/>
    </row>
    <row r="62" spans="1:15" ht="18.75" customHeight="1" x14ac:dyDescent="0.15">
      <c r="A62" s="1"/>
      <c r="B62" s="207"/>
      <c r="C62" s="208"/>
      <c r="D62" s="208"/>
      <c r="E62" s="208"/>
      <c r="F62" s="208"/>
      <c r="G62" s="208"/>
      <c r="H62" s="208"/>
      <c r="I62" s="209"/>
    </row>
    <row r="63" spans="1:15" ht="18.75" customHeight="1" x14ac:dyDescent="0.15">
      <c r="A63" s="1"/>
      <c r="B63" s="210"/>
      <c r="C63" s="211"/>
      <c r="D63" s="211"/>
      <c r="E63" s="211"/>
      <c r="F63" s="211"/>
      <c r="G63" s="211"/>
      <c r="H63" s="211"/>
      <c r="I63" s="212"/>
    </row>
    <row r="64" spans="1:15" ht="7.5" customHeight="1" x14ac:dyDescent="0.15">
      <c r="A64" s="15"/>
      <c r="B64" s="15"/>
      <c r="C64" s="15"/>
      <c r="D64" s="15"/>
      <c r="E64" s="15"/>
      <c r="F64" s="15"/>
      <c r="G64" s="15"/>
      <c r="H64" s="15"/>
      <c r="I64" s="15"/>
    </row>
    <row r="65" spans="1:9" ht="18.75" customHeight="1" x14ac:dyDescent="0.15">
      <c r="A65" s="16" t="s">
        <v>132</v>
      </c>
      <c r="B65" s="1" t="s">
        <v>133</v>
      </c>
      <c r="I65" s="16"/>
    </row>
    <row r="66" spans="1:9" ht="18.75" customHeight="1" x14ac:dyDescent="0.15">
      <c r="A66" s="4"/>
      <c r="B66" s="186" t="s">
        <v>134</v>
      </c>
      <c r="C66" s="187"/>
      <c r="D66" s="187"/>
      <c r="E66" s="187"/>
      <c r="F66" s="187"/>
      <c r="G66" s="187"/>
      <c r="H66" s="187"/>
      <c r="I66" s="188"/>
    </row>
    <row r="67" spans="1:9" ht="18.75" customHeight="1" x14ac:dyDescent="0.15">
      <c r="A67" s="4"/>
      <c r="B67" s="189"/>
      <c r="C67" s="190"/>
      <c r="D67" s="190"/>
      <c r="E67" s="190"/>
      <c r="F67" s="190"/>
      <c r="G67" s="190"/>
      <c r="H67" s="190"/>
      <c r="I67" s="191"/>
    </row>
    <row r="68" spans="1:9" ht="18.75" customHeight="1" x14ac:dyDescent="0.15">
      <c r="A68" s="4"/>
      <c r="B68" s="189"/>
      <c r="C68" s="190"/>
      <c r="D68" s="190"/>
      <c r="E68" s="190"/>
      <c r="F68" s="190"/>
      <c r="G68" s="190"/>
      <c r="H68" s="190"/>
      <c r="I68" s="191"/>
    </row>
    <row r="69" spans="1:9" ht="18.75" customHeight="1" x14ac:dyDescent="0.15">
      <c r="A69" s="4"/>
      <c r="B69" s="189"/>
      <c r="C69" s="190"/>
      <c r="D69" s="190"/>
      <c r="E69" s="190"/>
      <c r="F69" s="190"/>
      <c r="G69" s="190"/>
      <c r="H69" s="190"/>
      <c r="I69" s="191"/>
    </row>
    <row r="70" spans="1:9" ht="18.75" customHeight="1" x14ac:dyDescent="0.15">
      <c r="A70" s="4"/>
      <c r="B70" s="189"/>
      <c r="C70" s="190"/>
      <c r="D70" s="190"/>
      <c r="E70" s="190"/>
      <c r="F70" s="190"/>
      <c r="G70" s="190"/>
      <c r="H70" s="190"/>
      <c r="I70" s="191"/>
    </row>
    <row r="71" spans="1:9" ht="18.75" customHeight="1" x14ac:dyDescent="0.15">
      <c r="A71" s="4"/>
      <c r="B71" s="189"/>
      <c r="C71" s="190"/>
      <c r="D71" s="190"/>
      <c r="E71" s="190"/>
      <c r="F71" s="190"/>
      <c r="G71" s="190"/>
      <c r="H71" s="190"/>
      <c r="I71" s="191"/>
    </row>
    <row r="72" spans="1:9" ht="18.75" customHeight="1" x14ac:dyDescent="0.15">
      <c r="A72" s="4"/>
      <c r="B72" s="189"/>
      <c r="C72" s="190"/>
      <c r="D72" s="190"/>
      <c r="E72" s="190"/>
      <c r="F72" s="190"/>
      <c r="G72" s="190"/>
      <c r="H72" s="190"/>
      <c r="I72" s="191"/>
    </row>
    <row r="73" spans="1:9" ht="18.75" customHeight="1" x14ac:dyDescent="0.15">
      <c r="A73" s="4"/>
      <c r="B73" s="189"/>
      <c r="C73" s="190"/>
      <c r="D73" s="190"/>
      <c r="E73" s="190"/>
      <c r="F73" s="190"/>
      <c r="G73" s="190"/>
      <c r="H73" s="190"/>
      <c r="I73" s="191"/>
    </row>
    <row r="74" spans="1:9" ht="18.75" customHeight="1" x14ac:dyDescent="0.15">
      <c r="A74" s="4"/>
      <c r="B74" s="189"/>
      <c r="C74" s="190"/>
      <c r="D74" s="190"/>
      <c r="E74" s="190"/>
      <c r="F74" s="190"/>
      <c r="G74" s="190"/>
      <c r="H74" s="190"/>
      <c r="I74" s="191"/>
    </row>
    <row r="75" spans="1:9" ht="18.75" customHeight="1" x14ac:dyDescent="0.15">
      <c r="A75" s="4"/>
      <c r="B75" s="189"/>
      <c r="C75" s="190"/>
      <c r="D75" s="190"/>
      <c r="E75" s="190"/>
      <c r="F75" s="190"/>
      <c r="G75" s="190"/>
      <c r="H75" s="190"/>
      <c r="I75" s="191"/>
    </row>
    <row r="76" spans="1:9" ht="18.75" customHeight="1" x14ac:dyDescent="0.15">
      <c r="A76" s="4"/>
      <c r="B76" s="189"/>
      <c r="C76" s="190"/>
      <c r="D76" s="190"/>
      <c r="E76" s="190"/>
      <c r="F76" s="190"/>
      <c r="G76" s="190"/>
      <c r="H76" s="190"/>
      <c r="I76" s="191"/>
    </row>
    <row r="77" spans="1:9" ht="18.75" customHeight="1" x14ac:dyDescent="0.15">
      <c r="A77" s="4"/>
      <c r="B77" s="192"/>
      <c r="C77" s="193"/>
      <c r="D77" s="193"/>
      <c r="E77" s="193"/>
      <c r="F77" s="193"/>
      <c r="G77" s="193"/>
      <c r="H77" s="193"/>
      <c r="I77" s="194"/>
    </row>
    <row r="78" spans="1:9" ht="7.5" customHeight="1" x14ac:dyDescent="0.15">
      <c r="A78" s="4"/>
      <c r="B78" s="4"/>
      <c r="C78" s="4"/>
      <c r="D78" s="4"/>
      <c r="E78" s="4"/>
      <c r="F78" s="4"/>
      <c r="G78" s="4"/>
      <c r="H78" s="4"/>
      <c r="I78" s="4"/>
    </row>
    <row r="79" spans="1:9" ht="18.75" customHeight="1" x14ac:dyDescent="0.15">
      <c r="A79" s="1" t="s">
        <v>135</v>
      </c>
      <c r="B79" s="1" t="s">
        <v>136</v>
      </c>
    </row>
    <row r="80" spans="1:9" ht="18.75" customHeight="1" x14ac:dyDescent="0.15">
      <c r="A80" s="1"/>
      <c r="B80" s="186" t="s">
        <v>137</v>
      </c>
      <c r="C80" s="187"/>
      <c r="D80" s="187"/>
      <c r="E80" s="187"/>
      <c r="F80" s="187"/>
      <c r="G80" s="187"/>
      <c r="H80" s="187"/>
      <c r="I80" s="195"/>
    </row>
    <row r="81" spans="1:9" ht="18.75" customHeight="1" x14ac:dyDescent="0.15">
      <c r="A81" s="1"/>
      <c r="B81" s="196"/>
      <c r="C81" s="197"/>
      <c r="D81" s="197"/>
      <c r="E81" s="197"/>
      <c r="F81" s="197"/>
      <c r="G81" s="197"/>
      <c r="H81" s="197"/>
      <c r="I81" s="198"/>
    </row>
    <row r="82" spans="1:9" ht="18.75" customHeight="1" x14ac:dyDescent="0.15">
      <c r="A82" s="1"/>
      <c r="B82" s="196"/>
      <c r="C82" s="197"/>
      <c r="D82" s="197"/>
      <c r="E82" s="197"/>
      <c r="F82" s="197"/>
      <c r="G82" s="197"/>
      <c r="H82" s="197"/>
      <c r="I82" s="198"/>
    </row>
    <row r="83" spans="1:9" ht="18.75" customHeight="1" x14ac:dyDescent="0.15">
      <c r="A83" s="1"/>
      <c r="B83" s="196"/>
      <c r="C83" s="197"/>
      <c r="D83" s="197"/>
      <c r="E83" s="197"/>
      <c r="F83" s="197"/>
      <c r="G83" s="197"/>
      <c r="H83" s="197"/>
      <c r="I83" s="198"/>
    </row>
    <row r="84" spans="1:9" ht="18.75" customHeight="1" x14ac:dyDescent="0.15">
      <c r="A84" s="1"/>
      <c r="B84" s="196"/>
      <c r="C84" s="197"/>
      <c r="D84" s="197"/>
      <c r="E84" s="197"/>
      <c r="F84" s="197"/>
      <c r="G84" s="197"/>
      <c r="H84" s="197"/>
      <c r="I84" s="198"/>
    </row>
    <row r="85" spans="1:9" ht="18.75" customHeight="1" x14ac:dyDescent="0.15">
      <c r="A85" s="1"/>
      <c r="B85" s="196"/>
      <c r="C85" s="197"/>
      <c r="D85" s="197"/>
      <c r="E85" s="197"/>
      <c r="F85" s="197"/>
      <c r="G85" s="197"/>
      <c r="H85" s="197"/>
      <c r="I85" s="198"/>
    </row>
    <row r="86" spans="1:9" ht="18.75" customHeight="1" x14ac:dyDescent="0.15">
      <c r="A86" s="1"/>
      <c r="B86" s="196"/>
      <c r="C86" s="197"/>
      <c r="D86" s="197"/>
      <c r="E86" s="197"/>
      <c r="F86" s="197"/>
      <c r="G86" s="197"/>
      <c r="H86" s="197"/>
      <c r="I86" s="198"/>
    </row>
    <row r="87" spans="1:9" ht="18.75" customHeight="1" x14ac:dyDescent="0.15">
      <c r="A87" s="1"/>
      <c r="B87" s="196"/>
      <c r="C87" s="197"/>
      <c r="D87" s="197"/>
      <c r="E87" s="197"/>
      <c r="F87" s="197"/>
      <c r="G87" s="197"/>
      <c r="H87" s="197"/>
      <c r="I87" s="198"/>
    </row>
    <row r="88" spans="1:9" ht="18.75" customHeight="1" x14ac:dyDescent="0.15">
      <c r="A88" s="1"/>
      <c r="B88" s="196"/>
      <c r="C88" s="197"/>
      <c r="D88" s="197"/>
      <c r="E88" s="197"/>
      <c r="F88" s="197"/>
      <c r="G88" s="197"/>
      <c r="H88" s="197"/>
      <c r="I88" s="198"/>
    </row>
    <row r="89" spans="1:9" ht="18.75" customHeight="1" x14ac:dyDescent="0.15">
      <c r="A89" s="1"/>
      <c r="B89" s="196"/>
      <c r="C89" s="197"/>
      <c r="D89" s="197"/>
      <c r="E89" s="197"/>
      <c r="F89" s="197"/>
      <c r="G89" s="197"/>
      <c r="H89" s="197"/>
      <c r="I89" s="198"/>
    </row>
    <row r="90" spans="1:9" ht="18.75" customHeight="1" x14ac:dyDescent="0.15">
      <c r="A90" s="4"/>
      <c r="B90" s="196"/>
      <c r="C90" s="197"/>
      <c r="D90" s="197"/>
      <c r="E90" s="197"/>
      <c r="F90" s="197"/>
      <c r="G90" s="197"/>
      <c r="H90" s="197"/>
      <c r="I90" s="198"/>
    </row>
    <row r="91" spans="1:9" ht="18.75" customHeight="1" x14ac:dyDescent="0.15">
      <c r="A91" s="4"/>
      <c r="B91" s="199"/>
      <c r="C91" s="200"/>
      <c r="D91" s="200"/>
      <c r="E91" s="200"/>
      <c r="F91" s="200"/>
      <c r="G91" s="200"/>
      <c r="H91" s="200"/>
      <c r="I91" s="201"/>
    </row>
    <row r="92" spans="1:9" ht="7.5" customHeight="1" x14ac:dyDescent="0.15">
      <c r="A92" s="4"/>
      <c r="B92" s="4"/>
      <c r="C92" s="4"/>
      <c r="D92" s="4"/>
      <c r="E92" s="4"/>
      <c r="F92" s="4"/>
      <c r="G92" s="4"/>
      <c r="H92" s="4"/>
      <c r="I92" s="4"/>
    </row>
    <row r="93" spans="1:9" ht="18.75" customHeight="1" x14ac:dyDescent="0.15">
      <c r="A93" s="1" t="s">
        <v>138</v>
      </c>
      <c r="B93" s="1" t="s">
        <v>139</v>
      </c>
    </row>
    <row r="94" spans="1:9" ht="18.75" customHeight="1" x14ac:dyDescent="0.15">
      <c r="A94" s="1"/>
      <c r="B94" s="213" t="s">
        <v>140</v>
      </c>
      <c r="C94" s="214"/>
      <c r="D94" s="214"/>
      <c r="E94" s="214"/>
      <c r="F94" s="214"/>
      <c r="G94" s="214"/>
      <c r="H94" s="214"/>
      <c r="I94" s="215"/>
    </row>
    <row r="95" spans="1:9" ht="18.75" customHeight="1" x14ac:dyDescent="0.15">
      <c r="A95" s="1"/>
      <c r="B95" s="216"/>
      <c r="C95" s="217"/>
      <c r="D95" s="217"/>
      <c r="E95" s="217"/>
      <c r="F95" s="217"/>
      <c r="G95" s="217"/>
      <c r="H95" s="217"/>
      <c r="I95" s="218"/>
    </row>
    <row r="96" spans="1:9" ht="18.75" customHeight="1" x14ac:dyDescent="0.15">
      <c r="A96" s="1"/>
      <c r="B96" s="216"/>
      <c r="C96" s="217"/>
      <c r="D96" s="217"/>
      <c r="E96" s="217"/>
      <c r="F96" s="217"/>
      <c r="G96" s="217"/>
      <c r="H96" s="217"/>
      <c r="I96" s="218"/>
    </row>
    <row r="97" spans="1:9" ht="18.75" customHeight="1" x14ac:dyDescent="0.15">
      <c r="A97" s="1"/>
      <c r="B97" s="216"/>
      <c r="C97" s="217"/>
      <c r="D97" s="217"/>
      <c r="E97" s="217"/>
      <c r="F97" s="217"/>
      <c r="G97" s="217"/>
      <c r="H97" s="217"/>
      <c r="I97" s="218"/>
    </row>
    <row r="98" spans="1:9" ht="18.75" customHeight="1" x14ac:dyDescent="0.15">
      <c r="A98" s="1"/>
      <c r="B98" s="216"/>
      <c r="C98" s="217"/>
      <c r="D98" s="217"/>
      <c r="E98" s="217"/>
      <c r="F98" s="217"/>
      <c r="G98" s="217"/>
      <c r="H98" s="217"/>
      <c r="I98" s="218"/>
    </row>
    <row r="99" spans="1:9" ht="18.75" customHeight="1" x14ac:dyDescent="0.15">
      <c r="A99" s="1"/>
      <c r="B99" s="216"/>
      <c r="C99" s="217"/>
      <c r="D99" s="217"/>
      <c r="E99" s="217"/>
      <c r="F99" s="217"/>
      <c r="G99" s="217"/>
      <c r="H99" s="217"/>
      <c r="I99" s="218"/>
    </row>
    <row r="100" spans="1:9" ht="18.75" customHeight="1" x14ac:dyDescent="0.15">
      <c r="A100" s="1"/>
      <c r="B100" s="216"/>
      <c r="C100" s="217"/>
      <c r="D100" s="217"/>
      <c r="E100" s="217"/>
      <c r="F100" s="217"/>
      <c r="G100" s="217"/>
      <c r="H100" s="217"/>
      <c r="I100" s="218"/>
    </row>
    <row r="101" spans="1:9" ht="18.75" customHeight="1" x14ac:dyDescent="0.15">
      <c r="A101" s="1"/>
      <c r="B101" s="216"/>
      <c r="C101" s="217"/>
      <c r="D101" s="217"/>
      <c r="E101" s="217"/>
      <c r="F101" s="217"/>
      <c r="G101" s="217"/>
      <c r="H101" s="217"/>
      <c r="I101" s="218"/>
    </row>
    <row r="102" spans="1:9" ht="18.75" customHeight="1" x14ac:dyDescent="0.15">
      <c r="A102" s="1"/>
      <c r="B102" s="216"/>
      <c r="C102" s="217"/>
      <c r="D102" s="217"/>
      <c r="E102" s="217"/>
      <c r="F102" s="217"/>
      <c r="G102" s="217"/>
      <c r="H102" s="217"/>
      <c r="I102" s="218"/>
    </row>
    <row r="103" spans="1:9" ht="18.75" customHeight="1" x14ac:dyDescent="0.15">
      <c r="A103" s="1"/>
      <c r="B103" s="216"/>
      <c r="C103" s="217"/>
      <c r="D103" s="217"/>
      <c r="E103" s="217"/>
      <c r="F103" s="217"/>
      <c r="G103" s="217"/>
      <c r="H103" s="217"/>
      <c r="I103" s="218"/>
    </row>
    <row r="104" spans="1:9" ht="18.75" customHeight="1" x14ac:dyDescent="0.15">
      <c r="A104" s="1"/>
      <c r="B104" s="216"/>
      <c r="C104" s="217"/>
      <c r="D104" s="217"/>
      <c r="E104" s="217"/>
      <c r="F104" s="217"/>
      <c r="G104" s="217"/>
      <c r="H104" s="217"/>
      <c r="I104" s="218"/>
    </row>
    <row r="105" spans="1:9" ht="18.75" customHeight="1" x14ac:dyDescent="0.15">
      <c r="A105" s="4"/>
      <c r="B105" s="219"/>
      <c r="C105" s="220"/>
      <c r="D105" s="220"/>
      <c r="E105" s="220"/>
      <c r="F105" s="220"/>
      <c r="G105" s="220"/>
      <c r="H105" s="220"/>
      <c r="I105" s="221"/>
    </row>
    <row r="106" spans="1:9" ht="7.5" customHeight="1" x14ac:dyDescent="0.15">
      <c r="A106" s="4"/>
      <c r="B106" s="4"/>
      <c r="C106" s="4"/>
      <c r="D106" s="4"/>
      <c r="E106" s="4"/>
      <c r="F106" s="4"/>
      <c r="G106" s="4"/>
      <c r="H106" s="4"/>
      <c r="I106" s="4"/>
    </row>
    <row r="107" spans="1:9" ht="18.75" customHeight="1" x14ac:dyDescent="0.15">
      <c r="A107" s="1" t="s">
        <v>141</v>
      </c>
      <c r="B107" s="222" t="s">
        <v>142</v>
      </c>
      <c r="C107" s="222"/>
      <c r="D107" s="222"/>
      <c r="E107" s="222"/>
      <c r="F107" s="222"/>
      <c r="G107" s="222"/>
      <c r="H107" s="222"/>
      <c r="I107" s="222"/>
    </row>
    <row r="108" spans="1:9" ht="18.75" customHeight="1" x14ac:dyDescent="0.15">
      <c r="A108" s="4"/>
      <c r="B108" s="213" t="s">
        <v>143</v>
      </c>
      <c r="C108" s="214"/>
      <c r="D108" s="214"/>
      <c r="E108" s="214"/>
      <c r="F108" s="214"/>
      <c r="G108" s="214"/>
      <c r="H108" s="214"/>
      <c r="I108" s="215"/>
    </row>
    <row r="109" spans="1:9" ht="18.75" customHeight="1" x14ac:dyDescent="0.15">
      <c r="A109" s="4"/>
      <c r="B109" s="216"/>
      <c r="C109" s="217"/>
      <c r="D109" s="217"/>
      <c r="E109" s="217"/>
      <c r="F109" s="217"/>
      <c r="G109" s="217"/>
      <c r="H109" s="217"/>
      <c r="I109" s="218"/>
    </row>
    <row r="110" spans="1:9" ht="18.75" customHeight="1" x14ac:dyDescent="0.15">
      <c r="A110" s="4"/>
      <c r="B110" s="216"/>
      <c r="C110" s="217"/>
      <c r="D110" s="217"/>
      <c r="E110" s="217"/>
      <c r="F110" s="217"/>
      <c r="G110" s="217"/>
      <c r="H110" s="217"/>
      <c r="I110" s="218"/>
    </row>
    <row r="111" spans="1:9" ht="18.75" customHeight="1" x14ac:dyDescent="0.15">
      <c r="A111" s="4"/>
      <c r="B111" s="216"/>
      <c r="C111" s="217"/>
      <c r="D111" s="217"/>
      <c r="E111" s="217"/>
      <c r="F111" s="217"/>
      <c r="G111" s="217"/>
      <c r="H111" s="217"/>
      <c r="I111" s="218"/>
    </row>
    <row r="112" spans="1:9" ht="18.75" customHeight="1" x14ac:dyDescent="0.15">
      <c r="A112" s="4"/>
      <c r="B112" s="216"/>
      <c r="C112" s="217"/>
      <c r="D112" s="217"/>
      <c r="E112" s="217"/>
      <c r="F112" s="217"/>
      <c r="G112" s="217"/>
      <c r="H112" s="217"/>
      <c r="I112" s="218"/>
    </row>
    <row r="113" spans="1:9" ht="18.75" customHeight="1" x14ac:dyDescent="0.15">
      <c r="A113" s="4"/>
      <c r="B113" s="216"/>
      <c r="C113" s="217"/>
      <c r="D113" s="217"/>
      <c r="E113" s="217"/>
      <c r="F113" s="217"/>
      <c r="G113" s="217"/>
      <c r="H113" s="217"/>
      <c r="I113" s="218"/>
    </row>
    <row r="114" spans="1:9" ht="18.75" customHeight="1" x14ac:dyDescent="0.15">
      <c r="A114" s="4"/>
      <c r="B114" s="216"/>
      <c r="C114" s="217"/>
      <c r="D114" s="217"/>
      <c r="E114" s="217"/>
      <c r="F114" s="217"/>
      <c r="G114" s="217"/>
      <c r="H114" s="217"/>
      <c r="I114" s="218"/>
    </row>
    <row r="115" spans="1:9" ht="18.75" customHeight="1" x14ac:dyDescent="0.15">
      <c r="A115" s="4"/>
      <c r="B115" s="216"/>
      <c r="C115" s="217"/>
      <c r="D115" s="217"/>
      <c r="E115" s="217"/>
      <c r="F115" s="217"/>
      <c r="G115" s="217"/>
      <c r="H115" s="217"/>
      <c r="I115" s="218"/>
    </row>
    <row r="116" spans="1:9" ht="18.75" customHeight="1" x14ac:dyDescent="0.15">
      <c r="A116" s="4"/>
      <c r="B116" s="216"/>
      <c r="C116" s="217"/>
      <c r="D116" s="217"/>
      <c r="E116" s="217"/>
      <c r="F116" s="217"/>
      <c r="G116" s="217"/>
      <c r="H116" s="217"/>
      <c r="I116" s="218"/>
    </row>
    <row r="117" spans="1:9" ht="18.75" customHeight="1" x14ac:dyDescent="0.15">
      <c r="A117" s="4"/>
      <c r="B117" s="216"/>
      <c r="C117" s="217"/>
      <c r="D117" s="217"/>
      <c r="E117" s="217"/>
      <c r="F117" s="217"/>
      <c r="G117" s="217"/>
      <c r="H117" s="217"/>
      <c r="I117" s="218"/>
    </row>
    <row r="118" spans="1:9" ht="18.75" customHeight="1" x14ac:dyDescent="0.15">
      <c r="A118" s="4"/>
      <c r="B118" s="216"/>
      <c r="C118" s="217"/>
      <c r="D118" s="217"/>
      <c r="E118" s="217"/>
      <c r="F118" s="217"/>
      <c r="G118" s="217"/>
      <c r="H118" s="217"/>
      <c r="I118" s="218"/>
    </row>
    <row r="119" spans="1:9" ht="18.75" customHeight="1" x14ac:dyDescent="0.15">
      <c r="A119" s="4"/>
      <c r="B119" s="219"/>
      <c r="C119" s="220"/>
      <c r="D119" s="220"/>
      <c r="E119" s="220"/>
      <c r="F119" s="220"/>
      <c r="G119" s="220"/>
      <c r="H119" s="220"/>
      <c r="I119" s="221"/>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7" zoomScale="77" zoomScaleNormal="100" zoomScaleSheetLayoutView="77" workbookViewId="0">
      <selection activeCell="M13" sqref="M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144</v>
      </c>
      <c r="I1" s="35" t="s">
        <v>145</v>
      </c>
    </row>
    <row r="2" spans="1:9" ht="18.75" customHeight="1" x14ac:dyDescent="0.15">
      <c r="H2" s="35" t="s">
        <v>2</v>
      </c>
      <c r="I2" s="34" t="str">
        <f>'様式１　プログラムを構成する授業科目'!C2</f>
        <v>東京医科歯科大学</v>
      </c>
    </row>
    <row r="3" spans="1:9" ht="18.75" customHeight="1" x14ac:dyDescent="0.15">
      <c r="A3" s="109" t="s">
        <v>146</v>
      </c>
      <c r="B3" s="109"/>
      <c r="C3" s="109"/>
      <c r="D3" s="109"/>
      <c r="E3" s="109"/>
      <c r="F3" s="109"/>
      <c r="G3" s="109"/>
      <c r="H3" s="109"/>
      <c r="I3" s="109"/>
    </row>
    <row r="4" spans="1:9" ht="18.75" customHeight="1" x14ac:dyDescent="0.15">
      <c r="A4" s="5"/>
      <c r="B4" s="5"/>
      <c r="C4" s="5"/>
      <c r="D4" s="5"/>
      <c r="E4" s="5"/>
      <c r="F4" s="5"/>
      <c r="G4" s="5"/>
      <c r="H4" s="5"/>
      <c r="I4" s="5"/>
    </row>
    <row r="5" spans="1:9" ht="18.75" customHeight="1" x14ac:dyDescent="0.15">
      <c r="A5" s="1" t="s">
        <v>97</v>
      </c>
      <c r="B5" s="10" t="s">
        <v>147</v>
      </c>
      <c r="C5" s="5"/>
      <c r="D5" s="5"/>
      <c r="E5" s="5"/>
      <c r="F5" s="5"/>
      <c r="G5" s="5"/>
      <c r="H5" s="5"/>
      <c r="I5" s="5"/>
    </row>
    <row r="6" spans="1:9" ht="26.25" customHeight="1" x14ac:dyDescent="0.15">
      <c r="A6" s="5"/>
      <c r="B6" s="231" t="s">
        <v>148</v>
      </c>
      <c r="C6" s="266"/>
      <c r="D6" s="266"/>
      <c r="E6" s="266"/>
      <c r="F6" s="266"/>
      <c r="G6" s="266"/>
      <c r="H6" s="267"/>
      <c r="I6" s="3"/>
    </row>
    <row r="7" spans="1:9" ht="9" customHeight="1" x14ac:dyDescent="0.15">
      <c r="A7" s="5"/>
      <c r="B7" s="10"/>
      <c r="C7" s="10"/>
      <c r="D7" s="10"/>
      <c r="E7" s="10"/>
      <c r="F7" s="10"/>
      <c r="G7" s="10"/>
      <c r="H7" s="10"/>
      <c r="I7" s="3"/>
    </row>
    <row r="8" spans="1:9" ht="18.75" customHeight="1" x14ac:dyDescent="0.15">
      <c r="A8" s="5"/>
      <c r="B8" s="3"/>
      <c r="C8" s="3"/>
      <c r="D8" s="35" t="s">
        <v>106</v>
      </c>
      <c r="E8" s="36" t="s">
        <v>149</v>
      </c>
      <c r="F8" s="3"/>
      <c r="G8" s="35" t="s">
        <v>108</v>
      </c>
      <c r="H8" s="36" t="s">
        <v>109</v>
      </c>
      <c r="I8" s="3"/>
    </row>
    <row r="9" spans="1:9" ht="7.5" customHeight="1" x14ac:dyDescent="0.15">
      <c r="A9" s="5"/>
      <c r="B9" s="5"/>
      <c r="C9" s="5"/>
      <c r="D9" s="5"/>
      <c r="E9" s="5"/>
      <c r="F9" s="5"/>
      <c r="G9" s="5"/>
      <c r="H9" s="5"/>
      <c r="I9" s="5"/>
    </row>
    <row r="10" spans="1:9" ht="18.75" customHeight="1" x14ac:dyDescent="0.15">
      <c r="A10" s="1" t="s">
        <v>102</v>
      </c>
      <c r="B10" s="1" t="s">
        <v>150</v>
      </c>
      <c r="C10" s="4"/>
      <c r="D10" s="4"/>
      <c r="E10" s="4"/>
      <c r="F10" s="4"/>
      <c r="G10" s="4"/>
      <c r="H10" s="4"/>
      <c r="I10" s="4"/>
    </row>
    <row r="11" spans="1:9" ht="18.75" customHeight="1" x14ac:dyDescent="0.15">
      <c r="B11" s="98" t="s">
        <v>151</v>
      </c>
      <c r="C11" s="99"/>
      <c r="D11" s="100"/>
      <c r="E11" s="99" t="s">
        <v>152</v>
      </c>
      <c r="F11" s="99"/>
      <c r="G11" s="99"/>
      <c r="H11" s="99"/>
      <c r="I11" s="100"/>
    </row>
    <row r="12" spans="1:9" ht="26.25" customHeight="1" x14ac:dyDescent="0.15">
      <c r="B12" s="50" t="s">
        <v>153</v>
      </c>
      <c r="C12" s="57"/>
      <c r="D12" s="51"/>
      <c r="E12" s="58"/>
      <c r="F12" s="58"/>
      <c r="G12" s="58"/>
      <c r="H12" s="58"/>
      <c r="I12" s="51"/>
    </row>
    <row r="13" spans="1:9" ht="210.75" customHeight="1" x14ac:dyDescent="0.15">
      <c r="B13" s="52"/>
      <c r="C13" s="243" t="s">
        <v>154</v>
      </c>
      <c r="D13" s="244"/>
      <c r="E13" s="263" t="s">
        <v>155</v>
      </c>
      <c r="F13" s="264"/>
      <c r="G13" s="264"/>
      <c r="H13" s="264"/>
      <c r="I13" s="265"/>
    </row>
    <row r="14" spans="1:9" ht="210.75" customHeight="1" x14ac:dyDescent="0.15">
      <c r="B14" s="52"/>
      <c r="C14" s="261" t="s">
        <v>156</v>
      </c>
      <c r="D14" s="262"/>
      <c r="E14" s="263" t="s">
        <v>157</v>
      </c>
      <c r="F14" s="264"/>
      <c r="G14" s="264"/>
      <c r="H14" s="264"/>
      <c r="I14" s="265"/>
    </row>
    <row r="15" spans="1:9" ht="210.75" customHeight="1" x14ac:dyDescent="0.15">
      <c r="B15" s="52"/>
      <c r="C15" s="243" t="s">
        <v>158</v>
      </c>
      <c r="D15" s="244"/>
      <c r="E15" s="257" t="s">
        <v>159</v>
      </c>
      <c r="F15" s="245"/>
      <c r="G15" s="245"/>
      <c r="H15" s="245"/>
      <c r="I15" s="246"/>
    </row>
    <row r="16" spans="1:9" ht="210.75" customHeight="1" x14ac:dyDescent="0.15">
      <c r="B16" s="52"/>
      <c r="C16" s="243" t="s">
        <v>160</v>
      </c>
      <c r="D16" s="244"/>
      <c r="E16" s="257" t="s">
        <v>161</v>
      </c>
      <c r="F16" s="245"/>
      <c r="G16" s="245"/>
      <c r="H16" s="245"/>
      <c r="I16" s="246"/>
    </row>
    <row r="17" spans="2:9" ht="210.75" customHeight="1" x14ac:dyDescent="0.15">
      <c r="B17" s="53"/>
      <c r="C17" s="247" t="s">
        <v>162</v>
      </c>
      <c r="D17" s="248"/>
      <c r="E17" s="258" t="s">
        <v>163</v>
      </c>
      <c r="F17" s="259"/>
      <c r="G17" s="259"/>
      <c r="H17" s="259"/>
      <c r="I17" s="260"/>
    </row>
    <row r="18" spans="2:9" ht="24" customHeight="1" x14ac:dyDescent="0.15">
      <c r="B18" s="50" t="s">
        <v>164</v>
      </c>
      <c r="C18" s="54"/>
      <c r="D18" s="55"/>
      <c r="E18" s="56"/>
      <c r="F18" s="56"/>
      <c r="G18" s="56"/>
      <c r="H18" s="56"/>
      <c r="I18" s="59"/>
    </row>
    <row r="19" spans="2:9" ht="210.75" customHeight="1" x14ac:dyDescent="0.15">
      <c r="B19" s="52"/>
      <c r="C19" s="243" t="s">
        <v>165</v>
      </c>
      <c r="D19" s="244"/>
      <c r="E19" s="245" t="s">
        <v>166</v>
      </c>
      <c r="F19" s="245"/>
      <c r="G19" s="245"/>
      <c r="H19" s="245"/>
      <c r="I19" s="246"/>
    </row>
    <row r="20" spans="2:9" ht="210.75" customHeight="1" x14ac:dyDescent="0.15">
      <c r="B20" s="53"/>
      <c r="C20" s="247" t="s">
        <v>167</v>
      </c>
      <c r="D20" s="248"/>
      <c r="E20" s="249" t="s">
        <v>168</v>
      </c>
      <c r="F20" s="249"/>
      <c r="G20" s="249"/>
      <c r="H20" s="249"/>
      <c r="I20" s="250"/>
    </row>
    <row r="21" spans="2:9" ht="210.75" customHeight="1" x14ac:dyDescent="0.15">
      <c r="B21" s="251" t="s">
        <v>169</v>
      </c>
      <c r="C21" s="252"/>
      <c r="D21" s="253"/>
      <c r="E21" s="254" t="s">
        <v>170</v>
      </c>
      <c r="F21" s="255"/>
      <c r="G21" s="255"/>
      <c r="H21" s="255"/>
      <c r="I21" s="256"/>
    </row>
    <row r="22" spans="2:9" ht="210.75" customHeight="1" x14ac:dyDescent="0.15">
      <c r="B22" s="237" t="s">
        <v>171</v>
      </c>
      <c r="C22" s="238"/>
      <c r="D22" s="239"/>
      <c r="E22" s="240" t="s">
        <v>172</v>
      </c>
      <c r="F22" s="241"/>
      <c r="G22" s="241"/>
      <c r="H22" s="241"/>
      <c r="I22" s="242"/>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74597ED3F9DF04396CDAF7ADD5042AD" ma:contentTypeVersion="14" ma:contentTypeDescription="新しいドキュメントを作成します。" ma:contentTypeScope="" ma:versionID="2287041a799c1bbef836b240661fc627">
  <xsd:schema xmlns:xsd="http://www.w3.org/2001/XMLSchema" xmlns:xs="http://www.w3.org/2001/XMLSchema" xmlns:p="http://schemas.microsoft.com/office/2006/metadata/properties" xmlns:ns2="3bedeca0-c2ed-4417-b266-8522ee8d026f" xmlns:ns3="f06b4c2f-2c82-42f4-a7b1-f551fd148232" targetNamespace="http://schemas.microsoft.com/office/2006/metadata/properties" ma:root="true" ma:fieldsID="1a75affca6276c09ef4f018b9b5be355" ns2:_="" ns3:_="">
    <xsd:import namespace="3bedeca0-c2ed-4417-b266-8522ee8d026f"/>
    <xsd:import namespace="f06b4c2f-2c82-42f4-a7b1-f551fd14823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edeca0-c2ed-4417-b266-8522ee8d02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64d63cec-adaa-4823-9f5f-a031abd4e23f"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06b4c2f-2c82-42f4-a7b1-f551fd148232"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324322fb-54ae-441b-a0be-81c7a9c24d11}" ma:internalName="TaxCatchAll" ma:showField="CatchAllData" ma:web="f06b4c2f-2c82-42f4-a7b1-f551fd1482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f06b4c2f-2c82-42f4-a7b1-f551fd148232">
      <UserInfo>
        <DisplayName>曹　日丹</DisplayName>
        <AccountId>62</AccountId>
        <AccountType/>
      </UserInfo>
    </SharedWithUsers>
    <TaxCatchAll xmlns="f06b4c2f-2c82-42f4-a7b1-f551fd148232" xsi:nil="true"/>
    <lcf76f155ced4ddcb4097134ff3c332f xmlns="3bedeca0-c2ed-4417-b266-8522ee8d026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810980-501D-41D9-8954-5713B3D2B2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edeca0-c2ed-4417-b266-8522ee8d026f"/>
    <ds:schemaRef ds:uri="f06b4c2f-2c82-42f4-a7b1-f551fd1482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E082F3-8818-4E73-A5E7-53A947223714}">
  <ds:schemaRefs>
    <ds:schemaRef ds:uri="http://schemas.microsoft.com/office/2006/metadata/properties"/>
    <ds:schemaRef ds:uri="http://schemas.microsoft.com/office/infopath/2007/PartnerControls"/>
    <ds:schemaRef ds:uri="f06b4c2f-2c82-42f4-a7b1-f551fd148232"/>
    <ds:schemaRef ds:uri="3bedeca0-c2ed-4417-b266-8522ee8d026f"/>
  </ds:schemaRefs>
</ds:datastoreItem>
</file>

<file path=customXml/itemProps3.xml><?xml version="1.0" encoding="utf-8"?>
<ds:datastoreItem xmlns:ds="http://schemas.openxmlformats.org/officeDocument/2006/customXml" ds:itemID="{D32D9865-E982-4AA0-9BE0-D398B672C5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gakkik039</cp:lastModifiedBy>
  <cp:revision/>
  <dcterms:created xsi:type="dcterms:W3CDTF">2011-06-14T05:32:50Z</dcterms:created>
  <dcterms:modified xsi:type="dcterms:W3CDTF">2023-06-19T01:09:18Z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0x010100E74597ED3F9DF04396CDAF7ADD5042AD</vt:lpwstr>
  </property>
  <property fmtid="{D5CDD505-2E9C-101B-9397-08002B2CF9AE}" pid="10" name="MediaServiceImageTags">
    <vt:lpwstr/>
  </property>
</Properties>
</file>