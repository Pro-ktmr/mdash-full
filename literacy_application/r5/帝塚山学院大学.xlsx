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tgfs.tezukayama.ac.jp\Share\大学事務局\B004_教学課\01_教育課程\02_カリキュラム\数理・データサイエンス・AI教育プログラム申請\●修正データ\"/>
    </mc:Choice>
  </mc:AlternateContent>
  <xr:revisionPtr revIDLastSave="0" documentId="13_ncr:1_{AE738F76-07B2-4AB2-A1EC-24B05E276B89}" xr6:coauthVersionLast="36" xr6:coauthVersionMax="47" xr10:uidLastSave="{00000000-0000-0000-0000-000000000000}"/>
  <bookViews>
    <workbookView xWindow="0" yWindow="0" windowWidth="19770" windowHeight="102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P3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Q32" i="40" l="1"/>
  <c r="C49" i="41" s="1"/>
</calcChain>
</file>

<file path=xl/sharedStrings.xml><?xml version="1.0" encoding="utf-8"?>
<sst xmlns="http://schemas.openxmlformats.org/spreadsheetml/2006/main" count="297" uniqueCount="171">
  <si>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</si>
  <si>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</si>
  <si>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</si>
  <si>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</si>
  <si>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</si>
  <si>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</si>
  <si>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</si>
  <si>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</si>
  <si>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</si>
  <si>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</si>
  <si>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</si>
  <si>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</si>
  <si>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</si>
  <si>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</si>
  <si>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</si>
  <si>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</si>
  <si>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</si>
  <si>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</si>
  <si>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</si>
  <si>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</si>
  <si>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</si>
  <si>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</si>
  <si>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</si>
  <si>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</si>
  <si>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</si>
  <si>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</si>
  <si>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</si>
  <si>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</si>
  <si>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</si>
  <si>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</si>
  <si>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</si>
  <si>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</si>
  <si>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</si>
  <si>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</si>
  <si>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</si>
  <si>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</si>
  <si>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</si>
  <si>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</si>
  <si>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</si>
  <si>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</si>
  <si>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</si>
  <si>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</si>
  <si>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</si>
  <si>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</si>
  <si>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</si>
  <si>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</si>
  <si>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</si>
  <si>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</si>
  <si>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</si>
  <si>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</si>
  <si>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</si>
  <si>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</si>
  <si>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</si>
  <si>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</si>
  <si>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</si>
  <si>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</si>
  <si>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</si>
  <si>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</si>
  <si>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</si>
  <si>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</si>
  <si>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</si>
  <si>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</si>
  <si>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</si>
  <si>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</si>
  <si>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</si>
  <si>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</si>
  <si>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</si>
  <si>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</si>
  <si>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</si>
  <si>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</si>
  <si>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</si>
  <si>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</si>
  <si>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</si>
  <si>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</si>
  <si>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</si>
  <si>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</si>
  <si>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</si>
  <si>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</si>
  <si>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</si>
  <si>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</si>
  <si>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</si>
  <si>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</si>
  <si>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</si>
  <si>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</si>
  <si>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</si>
  <si>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</si>
  <si>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</si>
  <si>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</si>
  <si>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</si>
  <si>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</si>
  <si>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</si>
  <si>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</si>
  <si>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</si>
  <si>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</si>
  <si>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</si>
  <si>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</si>
  <si>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</si>
  <si>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</si>
  <si>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</si>
  <si>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</si>
  <si>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</si>
  <si>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</si>
  <si>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</si>
  <si>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</si>
  <si>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</si>
  <si>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</si>
  <si>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</si>
  <si>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</si>
  <si>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</si>
  <si>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</si>
  <si>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</si>
  <si>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</si>
  <si>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</si>
  <si>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</si>
  <si>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</si>
  <si>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</si>
  <si>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</si>
  <si>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</si>
  <si>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</si>
  <si>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</si>
  <si>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</si>
  <si>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</si>
  <si>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</si>
  <si>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</si>
  <si>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</si>
  <si>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</si>
  <si>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</si>
  <si>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帝塚山学院大学</t>
  </si>
  <si>
    <t>数理・データサイエンス・AI教育プログラム</t>
  </si>
  <si>
    <t>学部・学科によって、修了要件は相違しない</t>
    <phoneticPr fontId="1"/>
  </si>
  <si>
    <t>基盤教育科目として全学に開講されている「データサイエンス・AI概論」1科目（2単位）を履修し、単位を修得することを本学の「数理・データサイエンス・AI教育プログラム」プログラムの修了要件とする。</t>
    <phoneticPr fontId="1"/>
  </si>
  <si>
    <t>データサイエンス・AI概論</t>
  </si>
  <si>
    <t>○</t>
  </si>
  <si>
    <t>○</t>
    <phoneticPr fontId="1"/>
  </si>
  <si>
    <t>リベラルアーツ学部</t>
    <rPh sb="7" eb="9">
      <t>ガクブ</t>
    </rPh>
    <phoneticPr fontId="1"/>
  </si>
  <si>
    <t>人間学部</t>
    <rPh sb="0" eb="2">
      <t>ニンゲン</t>
    </rPh>
    <rPh sb="2" eb="4">
      <t>ガクブ</t>
    </rPh>
    <phoneticPr fontId="1"/>
  </si>
  <si>
    <t>令和4</t>
    <rPh sb="0" eb="2">
      <t>レイワ</t>
    </rPh>
    <phoneticPr fontId="1"/>
  </si>
  <si>
    <t>西川　隆蔵</t>
  </si>
  <si>
    <t>教学委員長</t>
  </si>
  <si>
    <t>基盤教育機構</t>
  </si>
  <si>
    <t>渡邊　隆弘</t>
  </si>
  <si>
    <t>機構長</t>
  </si>
  <si>
    <t>帝塚山学院大学基盤教育機構規程</t>
    <rPh sb="0" eb="3">
      <t>テヅカヤマ</t>
    </rPh>
    <rPh sb="3" eb="5">
      <t>ガクイン</t>
    </rPh>
    <rPh sb="5" eb="7">
      <t>ダイガク</t>
    </rPh>
    <rPh sb="7" eb="9">
      <t>キバン</t>
    </rPh>
    <rPh sb="9" eb="11">
      <t>キョウイク</t>
    </rPh>
    <rPh sb="11" eb="13">
      <t>キコウ</t>
    </rPh>
    <rPh sb="13" eb="15">
      <t>キテイ</t>
    </rPh>
    <phoneticPr fontId="1"/>
  </si>
  <si>
    <t>　令和4年度よりスタートしたプログラムであることから、まだ卒業生を輩出しておらず、評価することができないが、令和7年度にはプログラムを履修した学生が初めて卒業するため、その後に卒業生アンケート等を通して評価を行う予定である。</t>
  </si>
  <si>
    <t xml:space="preserve">　各人の専攻に関わらず、データサイエンス・AIに関する基本知識を持っていることが、これからの社会を生き抜く上で不可欠になるため、その基礎を身につけ、実社会で実践できるようになることをプログラムの目的としている。
　プログラムでは、身近にある様々なデータを実際に扱うことで、学び始めたばかりの学生にも親しみやすく興味を持たせる工夫をしている。グループワークや個別のワークを通して最新の技術を体験しながら学び、成果発表までを能動的に行うことで、学生の好奇心と達成感を高めるよう工夫している。
</t>
  </si>
  <si>
    <t>基盤教育機構は、本学が定める教育方針に基づき、本学の基盤教育の実施機関として、各学位プログラムと連携し、基盤教育に係る教育課程の企画及び円滑な実施を図るとともに、本学の教育の質保証及び地域社会に求められる人材育成機能の強化を支援、推進している。数理・データサイエンス・AI教育の推進にあたっては、教学委員会および関連ワーキンググループと連携し、プログラムを改善・進化させるための検討・分析を行い、PDCAサイクルに沿った教育改善を推進する。</t>
    <rPh sb="148" eb="150">
      <t>キョウガク</t>
    </rPh>
    <rPh sb="150" eb="153">
      <t>イインカイ</t>
    </rPh>
    <rPh sb="156" eb="158">
      <t>カンレン</t>
    </rPh>
    <phoneticPr fontId="1"/>
  </si>
  <si>
    <t>　本学のプログラムで開設する科目は選択科目であるが、基盤教育機構および学科の履修推奨科目として学期ごとのガイダンスにおいて特別に時間をとって学生への周知を行う。
　周知の際には教員からの説明にとどまらず、プログラム修了学生が本プログラムを受講した感想や成果、今後専門にどのように活かせると感じたか等、プログラムの有益性について学生の目線で紹介をすることで、未履修学生に本プログラムを身近に感じてもらうと同時に、履修への関心や意欲を喚起する。
　また、本プログラムの修了生には、オープンバッジによる修了証を発行することを周知し、プログラムの受講により身につけた力を、デジタル証明書をもって学内外へアピールすることができる点についても説明し、履修意欲を高める。
　本プログラムが１回生配当科目であることから、大学ホームページや大学案内においても紹介するとともに、令和５年度より発行する入学予定者向け冊子Welcome Bookにプログラムの紹介を掲載し、入学予定者の関心を喚起し、入学後の履修につなげる。</t>
    <phoneticPr fontId="1"/>
  </si>
  <si>
    <t>　本プログラムの制度やカリキュラム上の位置づけについては、大学ホームページや学生要覧において全学生に周知している。授業内容については、毎年度3月下旬に公開されるWebシラバスにおいて確認することができる。
　履修登録前または期間中に実施するガイダンスにおいて、本プログラムについて時間をとって説明をし、基盤教育機構・学科推奨科目として履修を推奨する。
　学生が使用するポータルサイトのトップページに本プログラムについての説明資料のリンクを置くことで、履修を検討している学生が本プログラムの情報にアクセスしやすい環境を整える。</t>
    <phoneticPr fontId="1"/>
  </si>
  <si>
    <t>　ガイダンス期間やガイダンス期間に設けているアドバイジング・デイにおいて、教職員が履修相談を行う。
　毎回の授業においては、ミニレポートを実施し、個々の学生の理解度やフォローが必要な内容の把握、次回の授業の改善に役立てる。
　履修や授業に関する相談・質問対応は、授業担当教員のオフィスアワーや本学が使用しているLMS（WebClass）を活用する。LMSの機能を活用することで、学生個々のレポートのフィードバックやメッセージ機能を活用した個別のサポート、履修生全体へのフィードバックや学生間の意見の共有、共同作業が可能となる。
　本学では全学的にBYODを推進しており、本プログラムの受講生・修了生が授業内外、学内のどこでも使用できるフリーWi-Fiや、自学自習に活用できるICTコモンズの設置、ICT関係の相談窓口の設置といったICT環境の整備及び授業支援を積極的に進めている。</t>
    <rPh sb="14" eb="16">
      <t>キカン</t>
    </rPh>
    <rPh sb="17" eb="18">
      <t>モウ</t>
    </rPh>
    <rPh sb="257" eb="259">
      <t>カノウ</t>
    </rPh>
    <phoneticPr fontId="1"/>
  </si>
  <si>
    <t>　授業時間内での直接指導やフォローはもちろん、授業時間外には、オフィスアワーやLMS（WebClass）を通した学生からの質問対応、個別指導等のフォロー・サポート体制を整えている。
　今後は本プログラムについてもSAの体制を整え、授業時間内の学習指導やフォローの体制をより整備して、充実した学習支援を実施することを検討する。</t>
    <rPh sb="157" eb="159">
      <t>ケントウ</t>
    </rPh>
    <phoneticPr fontId="1"/>
  </si>
  <si>
    <t>　授業毎に実施するミニレポートにより、毎回の授業における学生の学修成果および次回授業へ向けた改善点を確認している。プログラムの終盤では、学んだ内容をもとに課題を設定し、解決策をまとめて成果発表するグループワークを実施するとともに、最終回にはLMSを活用したオンライン上の到達度の確認を行い、学修成果を確認している。
　また、基盤教育機構、教学委員会および関連ワーキンググループにおいて、プログラムの単位修得率、成績分布の状況を共有し、学修成果の評価と今後に向けた改善方策を検討している。</t>
    <phoneticPr fontId="1"/>
  </si>
  <si>
    <t>　授業アンケートでは、他の学生への推奨度を問う設問は設定されていないが、授業アンケートの結果、92.5％の学生が本プログラムに対して高い満足度を示していることから、一定の評価を受けたと考えている。今後、新学期ガイダンスにおいて、実際にプログラムを終えた学生がガイダンスに登壇し、推奨科目として科目の紹介を行い、他の学生への履修を勧めていく予定である。</t>
    <phoneticPr fontId="1"/>
  </si>
  <si>
    <t>　プログラム終了時に、履修者全員を対象にした授業アンケートを実施し、基盤教育機構、授業担当者、教学委員会および関連ワーキンググループにおいて結果を共有し、授業改善につなげている。今後は本学のアセスメントプランの項目に組み込み、全学的なPDCAサイクルの中でプログラムの改善に取り組む予定である。
　　また、プログラムの進捗に伴い、学期ごとに行っている授業受講に関する学生アンケートおよび卒業時調査、卒業後調査等を活用し、学生のニーズをふまえたプログラムの改善を図っていく。</t>
    <rPh sb="47" eb="49">
      <t>キョウガク</t>
    </rPh>
    <rPh sb="49" eb="52">
      <t>イインカイ</t>
    </rPh>
    <rPh sb="55" eb="57">
      <t>カンレン</t>
    </rPh>
    <phoneticPr fontId="1"/>
  </si>
  <si>
    <t>　次年度以降、毎年1％ずつの履修者増を目指す。本プログラムが1回生配当科目であることから、大学案内や入学予定者へ配布する冊子においてプログラムの紹介を行うとともに、各学期のガイダンスにおいて、各学科の専門性とのつながりをふまえながら、活発な広報活動を行い、履修率の向上に取り組む。</t>
    <phoneticPr fontId="1"/>
  </si>
  <si>
    <t>　授業アンケートや各種の評価、企業との意見交換、授業公開等の取り組みを通して、学生にとってよりわかりやすい授業の検討を行っている。また、今後は学内のアセスメントプランの項目に組み込み、全学的な内部質保証システムに従って自己点検・評価をしていく。</t>
    <phoneticPr fontId="1"/>
  </si>
  <si>
    <t>・データサイエンス・AIの基礎を理解し、利用に際して留意すべき点を説明できる。
・データ・AIがどのように活用されているかを理解し、実社会での意思決定等に活用されていることを説明できる。
・データの可視化・分析の基本を修得し、実データを用いた応用ができる。</t>
    <phoneticPr fontId="1"/>
  </si>
  <si>
    <t>　全学開講の科目であることから、全ての学生が履修可能な時間割設定をするとともに、履修生過多の場合には、クラス増により希望する学生全員が受講可能となるよう対応する。
　文系理系を問わず、全ての学生が履修することを想定し、学科に偏らない事例設定で授業を進める。
　学生から履修相談を受けたアドバイザー・ゼミ担当教員や職員が、適切に履修指導ができるよう、本プログラムの制度や成果を学内会議で共有する。また、プログラム修了学生が、修得した力を各自の専門の学びへ活用できるよう、学科との情報共有・意見交換を行う。</t>
    <rPh sb="165" eb="167">
      <t>シドウ</t>
    </rPh>
    <phoneticPr fontId="1"/>
  </si>
  <si>
    <t xml:space="preserve">　　本プログラムは基盤教育科目（選択科目）として、2022年度以降入学生を対象に全学に開講している。本年度の履修・修得状況は以下のとおりである。
　また、プログラム終了時に行った授業アンケート（回答率85％）の結果概要は別紙のとおりであり、おおむね高評価を受けたと考えられる。
　プログラムの履修・修得状況および授業アンケートの結果は基盤教育機構、教学委員会および関連ワーキンググループに報告がなされ、ワーキングを通して各学科に共有されている。
</t>
    <rPh sb="184" eb="186">
      <t>キョウガク</t>
    </rPh>
    <rPh sb="186" eb="189">
      <t>イインカイ</t>
    </rPh>
    <rPh sb="192" eb="194">
      <t>カンレン</t>
    </rPh>
    <phoneticPr fontId="1"/>
  </si>
  <si>
    <t>　大学の自己点検・評価および認証評価による評価の機会、また、AI事業を展開している企業との意見交換を通して、本プログラムの改善に反映させていく。企業との意見交換では、具体的に以下の意見が得られた。
①プログラム全体への意見
　初学者の学生が多い中、最終のアウトプットとして非常に良いアウトプットが複数提出されている。通常の講義とは異なり、短期間での実施であったため、知識の忘却が始まる前に学習を進めていくことができたのが良いアウトプットにつながったと推察する。本プログラムで学ぶ内容は、学部、学科に関係なく、今後万人にとって必要な知識となっていくことから、多くの学生にとって受講が必要な領域であると考える。
②今後の改善点
　今後はアウトプットの提出にとどまらず、グループごと、もしくは選抜したグループにて発表する時間をプログラム内に設け、他の学生の意見を取り入れていくことが必要であると考える。また、2年次、3年次で履修する授業との関連をプログラム内に設計することで、関連授業科目との接続を図り、知識の定着や応用を目指すことも必要だと考える。</t>
    <phoneticPr fontId="1"/>
  </si>
  <si>
    <t>＜基盤教育機構＞
　渡邊　隆弘（基盤教育機構長、教務部長、基盤教育機構　教授）
　戸上　良弘（基盤教育機構　教授）
　小松　久美子（基盤教育機構　准教授）
　原邊　祥弘（基盤教育機構　専任講師）
＜教学委員会＞
　喜家村　奨（リベラルアーツ学部　教授）
　（関連ワーキンググループ）
　　広瀬　隆（人間科学部　教授）
　　田中　仁（人間科学部　専任講師）
　　原邊　祥弘（基盤教育機構　専任講師）
　　平井　伸哉（総務部　ICT課　職員）
　　森　美香子（教学センター　教学課　職員）</t>
    <rPh sb="100" eb="102">
      <t>キョウガク</t>
    </rPh>
    <rPh sb="102" eb="105">
      <t>イインカイ</t>
    </rPh>
    <rPh sb="130" eb="132">
      <t>カンレン</t>
    </rPh>
    <phoneticPr fontId="1"/>
  </si>
  <si>
    <t>・ビッグデータ、IoT、AI、ロボット　「データサイエンス・AI概論」（1回目、2回目）
・データ量の増加、計算機の処理性能の向上、ＡＩの非連続的進化　「データサイエンス・AI概論」（1回目、2回目）
・第4次産業革命、Society 5.0、データ駆動型社会　「データサイエンス・AI概論」（1回目、2回目）
・複数技術を組み合わせたAIサービス　「データサイエンス・AI概論」（1回目、2回目）
・人間の知的活動とAIの関係性　「データサイエンス・AI概論」（1回目、2回目）
・データを起点としたものの見方　「データサイエンス・AI概論」（1回目、2回目）</t>
    <rPh sb="32" eb="34">
      <t>ガイロン</t>
    </rPh>
    <rPh sb="37" eb="39">
      <t>カイメ</t>
    </rPh>
    <rPh sb="41" eb="43">
      <t>カイメ</t>
    </rPh>
    <rPh sb="49" eb="50">
      <t>リョウ</t>
    </rPh>
    <rPh sb="51" eb="53">
      <t>ゾウカ</t>
    </rPh>
    <rPh sb="54" eb="56">
      <t>ケイサン</t>
    </rPh>
    <rPh sb="102" eb="103">
      <t>ダイ</t>
    </rPh>
    <rPh sb="104" eb="105">
      <t>ツギ</t>
    </rPh>
    <rPh sb="105" eb="107">
      <t>サンギョウ</t>
    </rPh>
    <rPh sb="107" eb="109">
      <t>カクメイ</t>
    </rPh>
    <rPh sb="125" eb="128">
      <t>クドウガタ</t>
    </rPh>
    <rPh sb="128" eb="130">
      <t>シャカイ</t>
    </rPh>
    <rPh sb="157" eb="159">
      <t>フクスウ</t>
    </rPh>
    <rPh sb="159" eb="161">
      <t>ギジュツ</t>
    </rPh>
    <rPh sb="162" eb="163">
      <t>ク</t>
    </rPh>
    <rPh sb="164" eb="165">
      <t>ア</t>
    </rPh>
    <rPh sb="201" eb="203">
      <t>ニンゲン</t>
    </rPh>
    <rPh sb="204" eb="206">
      <t>チテキ</t>
    </rPh>
    <rPh sb="206" eb="208">
      <t>カツドウ</t>
    </rPh>
    <rPh sb="212" eb="215">
      <t>カンケイセイ</t>
    </rPh>
    <rPh sb="246" eb="248">
      <t>キテン</t>
    </rPh>
    <rPh sb="254" eb="256">
      <t>ミカタ</t>
    </rPh>
    <phoneticPr fontId="1"/>
  </si>
  <si>
    <t>・AI等を活用した新しいビジネスモデル　「データサイエンス・AI概論」（3回目）
・AI最新技術の活用例　「データサイエンス・AI概論」（3回目）</t>
    <rPh sb="3" eb="4">
      <t>ナド</t>
    </rPh>
    <rPh sb="5" eb="7">
      <t>カツヨウ</t>
    </rPh>
    <rPh sb="9" eb="10">
      <t>アタラ</t>
    </rPh>
    <rPh sb="44" eb="46">
      <t>サイシン</t>
    </rPh>
    <rPh sb="46" eb="48">
      <t>ギジュツ</t>
    </rPh>
    <rPh sb="49" eb="52">
      <t>カツヨウレイ</t>
    </rPh>
    <phoneticPr fontId="1"/>
  </si>
  <si>
    <t>・調査データ、実験データ、人の行動ログデータ、機械の稼働ログデータなど　「データサイエンス・AI概論」（4回目）
・1次データ、2次データ、データのメタ化　「データサイエンス・AI概論」（4回目）
・構造化データ、非構造化データ　「データサイエンス・AI概論」（4回目）
・データ作成　「データサイエンス・AI概論」（4回目）
・データのオープン化　「データサイエンス・AI概論」（4回目）</t>
    <rPh sb="140" eb="142">
      <t>サクセイ</t>
    </rPh>
    <phoneticPr fontId="1"/>
  </si>
  <si>
    <t>・データ・AI活用領域の広がり　「データサイエンス・AI概論」（5回目）
・研究開発、調達、製造、物流、販売、マーケティング、サービスなど　「データサイエンス・AI概論」（5回目）
・仮説検証、知識発見、原因究明、計画策定、判断支援、活動代替、新規生成など　「データサイエンス・AI概論」（5回目）</t>
    <rPh sb="7" eb="9">
      <t>カツヨウ</t>
    </rPh>
    <rPh sb="9" eb="11">
      <t>リョウイキ</t>
    </rPh>
    <rPh sb="12" eb="13">
      <t>ヒロ</t>
    </rPh>
    <rPh sb="38" eb="42">
      <t>ケンキュウカイハツ</t>
    </rPh>
    <rPh sb="43" eb="45">
      <t>チョウタツ</t>
    </rPh>
    <rPh sb="46" eb="48">
      <t>セイゾウ</t>
    </rPh>
    <rPh sb="49" eb="51">
      <t>ブツリュウ</t>
    </rPh>
    <rPh sb="52" eb="54">
      <t>ハンバイ</t>
    </rPh>
    <rPh sb="92" eb="96">
      <t>カセツケンショウ</t>
    </rPh>
    <rPh sb="97" eb="99">
      <t>チシキ</t>
    </rPh>
    <rPh sb="99" eb="101">
      <t>ハッケン</t>
    </rPh>
    <rPh sb="102" eb="104">
      <t>ゲンイン</t>
    </rPh>
    <rPh sb="104" eb="106">
      <t>キュウメイ</t>
    </rPh>
    <rPh sb="107" eb="109">
      <t>ケイカク</t>
    </rPh>
    <rPh sb="109" eb="111">
      <t>サクテイ</t>
    </rPh>
    <rPh sb="112" eb="114">
      <t>ハンダン</t>
    </rPh>
    <rPh sb="114" eb="116">
      <t>シエン</t>
    </rPh>
    <rPh sb="117" eb="119">
      <t>カツドウ</t>
    </rPh>
    <rPh sb="119" eb="121">
      <t>ダイタイ</t>
    </rPh>
    <rPh sb="122" eb="124">
      <t>シンキ</t>
    </rPh>
    <rPh sb="124" eb="126">
      <t>セイセイ</t>
    </rPh>
    <phoneticPr fontId="1"/>
  </si>
  <si>
    <t>・データ解析：予測、グルーピング、パターン発見、最適化、シミュレーション・データ同化など　「データサイエンス・AI概論」（6回目）
・データ可視化：複合グラフ、2軸グラフ、多次元の可視化、関係性の可視化、地図上の可視化、挙動・軌跡の可視化、リアルタイム可視化など　「データサイエンス・AI概論」（6回目）
・非構造化データ処理：言語処理、画像／動画処理、音声／音楽処理など　「データサイエンス・AI概論」（6回目）
・特化型AIと汎用AI、今のAIで出来ることと出来ないこと、AIとビッグデータ　「データサイエンス・AI概論」（6回目）
・認識技術、ルールベース、自動化技術　「データサイエンス・AI概論」（6回目）</t>
    <rPh sb="4" eb="6">
      <t>カイセキ</t>
    </rPh>
    <rPh sb="7" eb="9">
      <t>ヨソク</t>
    </rPh>
    <rPh sb="21" eb="23">
      <t>ハッケン</t>
    </rPh>
    <rPh sb="24" eb="27">
      <t>サイテキカ</t>
    </rPh>
    <rPh sb="40" eb="42">
      <t>ドウカ</t>
    </rPh>
    <rPh sb="70" eb="73">
      <t>カシカ</t>
    </rPh>
    <rPh sb="74" eb="76">
      <t>フクゴウ</t>
    </rPh>
    <rPh sb="81" eb="82">
      <t>ジク</t>
    </rPh>
    <rPh sb="86" eb="89">
      <t>タジゲン</t>
    </rPh>
    <rPh sb="90" eb="93">
      <t>カシカ</t>
    </rPh>
    <rPh sb="94" eb="97">
      <t>カンケイセイ</t>
    </rPh>
    <rPh sb="98" eb="101">
      <t>カシカ</t>
    </rPh>
    <rPh sb="102" eb="105">
      <t>チズジョウ</t>
    </rPh>
    <rPh sb="106" eb="109">
      <t>カシカ</t>
    </rPh>
    <rPh sb="110" eb="112">
      <t>キョドウ</t>
    </rPh>
    <rPh sb="113" eb="115">
      <t>キセキ</t>
    </rPh>
    <rPh sb="116" eb="119">
      <t>カシカ</t>
    </rPh>
    <rPh sb="126" eb="129">
      <t>カシカ</t>
    </rPh>
    <rPh sb="154" eb="155">
      <t>ヒ</t>
    </rPh>
    <rPh sb="155" eb="158">
      <t>コウゾウカ</t>
    </rPh>
    <rPh sb="161" eb="163">
      <t>ショリ</t>
    </rPh>
    <rPh sb="164" eb="166">
      <t>ゲンゴ</t>
    </rPh>
    <rPh sb="166" eb="168">
      <t>ショリ</t>
    </rPh>
    <rPh sb="169" eb="171">
      <t>ガゾウ</t>
    </rPh>
    <rPh sb="172" eb="174">
      <t>ドウガ</t>
    </rPh>
    <rPh sb="174" eb="176">
      <t>ショリ</t>
    </rPh>
    <rPh sb="177" eb="179">
      <t>オンセイ</t>
    </rPh>
    <rPh sb="180" eb="182">
      <t>オンガク</t>
    </rPh>
    <rPh sb="182" eb="184">
      <t>ショリ</t>
    </rPh>
    <rPh sb="209" eb="212">
      <t>トッカガタ</t>
    </rPh>
    <rPh sb="215" eb="217">
      <t>ハンヨウ</t>
    </rPh>
    <rPh sb="220" eb="221">
      <t>イマ</t>
    </rPh>
    <rPh sb="225" eb="227">
      <t>デキ</t>
    </rPh>
    <rPh sb="231" eb="233">
      <t>デキ</t>
    </rPh>
    <rPh sb="270" eb="272">
      <t>ニンシキ</t>
    </rPh>
    <rPh sb="272" eb="274">
      <t>ギジュツ</t>
    </rPh>
    <rPh sb="282" eb="285">
      <t>ジドウカ</t>
    </rPh>
    <rPh sb="285" eb="287">
      <t>ギジュツ</t>
    </rPh>
    <phoneticPr fontId="1"/>
  </si>
  <si>
    <t>・データサイエンスのサイクル　「データサイエンス・AI概論」（7回目）
・サービス、インフラ等におけるデータ・AI活用事例紹介　「データサイエンス・AI概論」（7回目）</t>
    <rPh sb="46" eb="47">
      <t>ナド</t>
    </rPh>
    <rPh sb="57" eb="59">
      <t>カツヨウ</t>
    </rPh>
    <rPh sb="59" eb="61">
      <t>ジレイ</t>
    </rPh>
    <rPh sb="61" eb="63">
      <t>ショウカイ</t>
    </rPh>
    <phoneticPr fontId="1"/>
  </si>
  <si>
    <t>・ELSI（Ethical, Legal and Social Issues）　「データサイエンス・AI概論」（11回目）
・個人情報保護、EU一般データ保護規則（GDPR)、忘れられる権利、オプトアウト　「データサイエンス・AI概論」（11回目）
・データ倫理：データのねつ造、改ざん、盗用、プライバシー保護　「データサイエンス・AI概論」（11回目）
・AI社会原則　「データサイエンス・AI概論」（11回目）
・データバイアス　「データサイエンス・AI概論」（11回目）
・AIサービスの責任論　「データサイエンス・AI概論」（11回目）
・データ・AI活用における負の事例紹介　「データサイエンス・AI概論」（11回目）</t>
    <rPh sb="63" eb="67">
      <t>コジンジョウホウ</t>
    </rPh>
    <rPh sb="67" eb="69">
      <t>ホゴ</t>
    </rPh>
    <rPh sb="72" eb="74">
      <t>イッパン</t>
    </rPh>
    <rPh sb="77" eb="79">
      <t>ホゴ</t>
    </rPh>
    <rPh sb="79" eb="81">
      <t>キソク</t>
    </rPh>
    <rPh sb="88" eb="89">
      <t>ワス</t>
    </rPh>
    <rPh sb="93" eb="95">
      <t>ケンリ</t>
    </rPh>
    <rPh sb="129" eb="131">
      <t>リンリ</t>
    </rPh>
    <rPh sb="138" eb="139">
      <t>ゾウ</t>
    </rPh>
    <rPh sb="140" eb="141">
      <t>カイ</t>
    </rPh>
    <rPh sb="144" eb="146">
      <t>トウヨウ</t>
    </rPh>
    <rPh sb="153" eb="155">
      <t>ホゴ</t>
    </rPh>
    <rPh sb="181" eb="183">
      <t>シャカイ</t>
    </rPh>
    <rPh sb="183" eb="185">
      <t>ゲンソク</t>
    </rPh>
    <rPh sb="247" eb="250">
      <t>セキニンロン</t>
    </rPh>
    <rPh sb="280" eb="282">
      <t>カツヨウ</t>
    </rPh>
    <rPh sb="286" eb="287">
      <t>フ</t>
    </rPh>
    <rPh sb="288" eb="290">
      <t>ジレイ</t>
    </rPh>
    <rPh sb="290" eb="292">
      <t>ショウカイ</t>
    </rPh>
    <phoneticPr fontId="1"/>
  </si>
  <si>
    <t>・情報セキュリティ：機密性、完全性、可用性　「データサイエンス・AI概論」（12回目）
・匿名加工情報、暗号化　「データサイエンス・AI概論」（12回目）
・情報漏洩等によるセキュリティ事故の事例紹介　「データサイエンス・AI概論」（12回目）</t>
    <rPh sb="1" eb="3">
      <t>ジョウホウ</t>
    </rPh>
    <rPh sb="10" eb="11">
      <t>キ</t>
    </rPh>
    <rPh sb="11" eb="12">
      <t>ミツ</t>
    </rPh>
    <rPh sb="12" eb="13">
      <t>セイ</t>
    </rPh>
    <rPh sb="14" eb="17">
      <t>カンゼンセイ</t>
    </rPh>
    <rPh sb="18" eb="21">
      <t>カヨウセイ</t>
    </rPh>
    <rPh sb="45" eb="47">
      <t>トクメイ</t>
    </rPh>
    <rPh sb="47" eb="49">
      <t>カコウ</t>
    </rPh>
    <rPh sb="49" eb="51">
      <t>ジョウホウ</t>
    </rPh>
    <rPh sb="52" eb="55">
      <t>アンゴウカ</t>
    </rPh>
    <rPh sb="79" eb="81">
      <t>ジョウホウ</t>
    </rPh>
    <rPh sb="81" eb="83">
      <t>ロウエイ</t>
    </rPh>
    <rPh sb="83" eb="84">
      <t>ナド</t>
    </rPh>
    <rPh sb="93" eb="95">
      <t>ジコ</t>
    </rPh>
    <rPh sb="96" eb="98">
      <t>ジレイ</t>
    </rPh>
    <rPh sb="98" eb="100">
      <t>ショウカイ</t>
    </rPh>
    <phoneticPr fontId="1"/>
  </si>
  <si>
    <t>・データの種類　「データサイエンス・AI概論」（8回目）
・データの分布（ヒストグラム）と代表値　「データサイエンス・AI概論」（8回目）
・代表値の性質の違い　「データサイエンス・AI概論」（8回目）
・データのばらつき　「データサイエンス・AI概論」（8回目）
・観測データに含まれる誤差の扱い　「データサイエンス・AI概論」（8回目）
・相関と因果　「データサイエンス・AI概論」（8回目）
・母集団と標本抽出　「データサイエンス・AI概論」（8回目）
・クロス集計表　「データサイエンス・AI概論」（8回目）
・統計情報の正しい理解　「データサイエンス・AI概論」（8回目）</t>
    <rPh sb="5" eb="7">
      <t>シュルイ</t>
    </rPh>
    <rPh sb="34" eb="36">
      <t>ブンプ</t>
    </rPh>
    <rPh sb="45" eb="47">
      <t>ダイヒョウ</t>
    </rPh>
    <rPh sb="47" eb="48">
      <t>チ</t>
    </rPh>
    <rPh sb="134" eb="136">
      <t>カンソク</t>
    </rPh>
    <rPh sb="140" eb="141">
      <t>フク</t>
    </rPh>
    <rPh sb="144" eb="146">
      <t>ゴサ</t>
    </rPh>
    <rPh sb="147" eb="148">
      <t>アツカ</t>
    </rPh>
    <rPh sb="172" eb="174">
      <t>ソウカン</t>
    </rPh>
    <rPh sb="175" eb="177">
      <t>インガ</t>
    </rPh>
    <rPh sb="200" eb="203">
      <t>ボシュウダン</t>
    </rPh>
    <rPh sb="204" eb="206">
      <t>ヒョウホン</t>
    </rPh>
    <rPh sb="206" eb="208">
      <t>チュウシュツ</t>
    </rPh>
    <rPh sb="234" eb="237">
      <t>シュウケイヒョウ</t>
    </rPh>
    <rPh sb="260" eb="262">
      <t>トウケイ</t>
    </rPh>
    <rPh sb="262" eb="264">
      <t>ジョウホウ</t>
    </rPh>
    <rPh sb="265" eb="266">
      <t>タダ</t>
    </rPh>
    <rPh sb="268" eb="270">
      <t>リカイ</t>
    </rPh>
    <phoneticPr fontId="1"/>
  </si>
  <si>
    <r>
      <t xml:space="preserve">・データ表現　「データサイエンス・AI概論」（9回目）
・データの図表表現　「データサイエンス・AI概論」（9回目）
・データの比較　「データサイエンス・AI概論」（9回目）
・不適切なグラフ表現　「データサイエンス・AI概論」（9回目）
</t>
    </r>
    <r>
      <rPr>
        <sz val="12"/>
        <rFont val="ＭＳ Ｐゴシック"/>
        <family val="3"/>
        <charset val="128"/>
        <scheme val="minor"/>
      </rPr>
      <t>・優れた可視化事例の紹介　「データサイエンス・AI概論」（9回目）</t>
    </r>
    <rPh sb="4" eb="6">
      <t>ヒョウゲン</t>
    </rPh>
    <rPh sb="33" eb="35">
      <t>ズヒョウ</t>
    </rPh>
    <rPh sb="35" eb="37">
      <t>ヒョウゲン</t>
    </rPh>
    <rPh sb="64" eb="66">
      <t>ヒカク</t>
    </rPh>
    <rPh sb="89" eb="92">
      <t>フテキセツ</t>
    </rPh>
    <rPh sb="96" eb="98">
      <t>ヒョウゲン</t>
    </rPh>
    <rPh sb="121" eb="122">
      <t>スグ</t>
    </rPh>
    <rPh sb="124" eb="127">
      <t>カシカ</t>
    </rPh>
    <rPh sb="127" eb="129">
      <t>ジレイ</t>
    </rPh>
    <rPh sb="130" eb="132">
      <t>ショウカイ</t>
    </rPh>
    <phoneticPr fontId="1"/>
  </si>
  <si>
    <t>・データの集計　「データサイエンス・AI概論」（10回目、13回目、14回目）
・データの並び替え、ランキング　「データサイエンス・AI概論」（10回目、13回目、14回目）
・データの解析ツール　「データサイエンス・AI概論」（10回目、13回目、14回目）
・表形式のデータ　「データサイエンス・AI概論」（10回目、13回目、14回目）</t>
    <rPh sb="5" eb="7">
      <t>シュウケイ</t>
    </rPh>
    <rPh sb="31" eb="33">
      <t>カイメ</t>
    </rPh>
    <rPh sb="36" eb="38">
      <t>カイメ</t>
    </rPh>
    <rPh sb="45" eb="46">
      <t>ナラ</t>
    </rPh>
    <rPh sb="47" eb="48">
      <t>カ</t>
    </rPh>
    <rPh sb="93" eb="95">
      <t>カイセキ</t>
    </rPh>
    <rPh sb="132" eb="133">
      <t>ヒョウ</t>
    </rPh>
    <rPh sb="133" eb="135">
      <t>ケイシキ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</si>
</sst>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14"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38" fontId="2" fillId="0" borderId="49" xfId="2" applyFont="1" applyFill="1" applyBorder="1" applyAlignment="1">
      <alignment vertical="center" shrinkToFit="1"/>
    </xf>
    <xf numFmtId="38" fontId="2" fillId="0" borderId="0" xfId="2" applyFont="1" applyFill="1" applyAlignment="1">
      <alignment vertical="center" shrinkToFit="1"/>
    </xf>
    <xf numFmtId="38" fontId="2" fillId="0" borderId="22" xfId="2" applyFont="1" applyFill="1" applyBorder="1" applyAlignment="1">
      <alignment vertical="center" shrinkToFit="1"/>
    </xf>
    <xf numFmtId="38" fontId="2" fillId="0" borderId="20" xfId="2" applyFont="1" applyFill="1" applyBorder="1" applyAlignment="1">
      <alignment vertical="center" shrinkToFit="1"/>
    </xf>
    <xf numFmtId="9" fontId="2" fillId="0" borderId="22" xfId="0" applyNumberFormat="1" applyFont="1" applyBorder="1" applyAlignment="1">
      <alignment vertical="center" shrinkToFit="1"/>
    </xf>
    <xf numFmtId="9" fontId="2" fillId="0" borderId="15" xfId="0" applyNumberFormat="1" applyFont="1" applyBorder="1" applyAlignment="1">
      <alignment vertical="center" shrinkToFit="1"/>
    </xf>
    <xf numFmtId="0" fontId="2" fillId="0" borderId="1" xfId="0" applyFont="1" applyBorder="1" applyAlignment="1">
      <alignment horizontal="left" vertical="center"/>
    </xf>
    <xf numFmtId="0" fontId="2" fillId="0" borderId="1" xfId="0" applyFont="1" applyBorder="1" applyAlignment="1">
      <alignment horizontal="left" vertical="center"/>
    </xf>
    <xf numFmtId="0" fontId="11" fillId="0" borderId="0" xfId="0" applyFont="1">
      <alignment vertical="center"/>
    </xf>
    <xf numFmtId="49" fontId="12" fillId="0" borderId="47" xfId="0" applyNumberFormat="1" applyFont="1" applyBorder="1" applyAlignment="1">
      <alignment horizontal="center" vertical="center"/>
    </xf>
    <xf numFmtId="49" fontId="12" fillId="0" borderId="48" xfId="0" applyNumberFormat="1" applyFont="1" applyBorder="1" applyAlignment="1">
      <alignment horizontal="center" vertical="center"/>
    </xf>
    <xf numFmtId="49" fontId="12" fillId="0" borderId="43" xfId="0" applyNumberFormat="1" applyFont="1" applyBorder="1" applyAlignment="1">
      <alignment horizontal="center" vertical="center"/>
    </xf>
    <xf numFmtId="49" fontId="12" fillId="0" borderId="28" xfId="0" applyNumberFormat="1" applyFont="1" applyBorder="1" applyAlignment="1">
      <alignment horizontal="center" vertical="center"/>
    </xf>
    <xf numFmtId="49" fontId="12" fillId="0" borderId="46" xfId="0" applyNumberFormat="1" applyFont="1" applyBorder="1" applyAlignment="1">
      <alignment horizontal="center" vertical="center"/>
    </xf>
    <xf numFmtId="49" fontId="12" fillId="0" borderId="31" xfId="0" applyNumberFormat="1" applyFont="1" applyBorder="1" applyAlignment="1">
      <alignment horizontal="center" vertical="center"/>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11" fillId="0" borderId="33"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11" fillId="0" borderId="34"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11" fillId="0" borderId="33" xfId="0" applyFont="1" applyBorder="1" applyAlignment="1">
      <alignment vertical="center" wrapText="1" shrinkToFit="1"/>
    </xf>
    <xf numFmtId="0" fontId="11" fillId="0" borderId="35" xfId="0" applyFont="1" applyBorder="1" applyAlignment="1">
      <alignment vertical="center" wrapText="1" shrinkToFit="1"/>
    </xf>
    <xf numFmtId="0" fontId="11" fillId="0" borderId="34" xfId="0" applyFont="1" applyBorder="1" applyAlignment="1">
      <alignment vertical="center" wrapText="1" shrinkToFit="1"/>
    </xf>
    <xf numFmtId="0" fontId="2" fillId="0" borderId="36" xfId="0" applyFont="1" applyBorder="1" applyAlignment="1">
      <alignment vertical="center" wrapText="1" shrinkToFit="1"/>
    </xf>
    <xf numFmtId="0" fontId="2" fillId="0" borderId="37" xfId="0" applyFont="1" applyBorder="1" applyAlignment="1">
      <alignment vertical="center" wrapText="1" shrinkToFit="1"/>
    </xf>
    <xf numFmtId="0" fontId="2" fillId="0" borderId="38" xfId="0" applyFont="1" applyBorder="1" applyAlignment="1">
      <alignment vertical="center"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44" xfId="0" applyFont="1" applyBorder="1" applyAlignment="1">
      <alignment vertical="center" wrapText="1"/>
    </xf>
    <xf numFmtId="0" fontId="12" fillId="0" borderId="45" xfId="0" applyFont="1" applyBorder="1" applyAlignment="1">
      <alignment vertical="center" wrapText="1"/>
    </xf>
    <xf numFmtId="0" fontId="12" fillId="0" borderId="3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9" fontId="2" fillId="0" borderId="1" xfId="0" applyNumberFormat="1" applyFont="1" applyBorder="1" applyAlignment="1">
      <alignment horizontal="center" vertical="center" wrapText="1"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0" xfId="0" applyFont="1">
      <alignment vertical="center"/>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9"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107156</xdr:colOff>
      <xdr:row>13</xdr:row>
      <xdr:rowOff>988219</xdr:rowOff>
    </xdr:from>
    <xdr:to>
      <xdr:col>7</xdr:col>
      <xdr:colOff>58786</xdr:colOff>
      <xdr:row>13</xdr:row>
      <xdr:rowOff>2680947</xdr:rowOff>
    </xdr:to>
    <xdr:pic>
      <xdr:nvPicPr>
        <xdr:cNvPr id="3" name="図 2">
          <a:extLst>
            <a:ext uri="{FF2B5EF4-FFF2-40B4-BE49-F238E27FC236}">
              <a16:creationId xmlns:a16="http://schemas.microsoft.com/office/drawing/2014/main" id="{39C4ACA5-93A9-4961-9E29-CFFDAD3757A2}"/>
            </a:ext>
          </a:extLst>
        </xdr:cNvPr>
        <xdr:cNvPicPr>
          <a:picLocks noChangeAspect="1"/>
        </xdr:cNvPicPr>
      </xdr:nvPicPr>
      <xdr:blipFill>
        <a:blip xmlns:r="http://schemas.openxmlformats.org/officeDocument/2006/relationships" r:embed="rId1"/>
        <a:stretch>
          <a:fillRect/>
        </a:stretch>
      </xdr:blipFill>
      <xdr:spPr>
        <a:xfrm>
          <a:off x="2440781" y="6881813"/>
          <a:ext cx="3487786" cy="1692728"/>
        </a:xfrm>
        <a:prstGeom prst="rect">
          <a:avLst/>
        </a:prstGeom>
      </xdr:spPr>
    </xdr:pic>
    <xdr:clientData/>
  </xdr:twoCellAnchor>
  <xdr:twoCellAnchor editAs="oneCell">
    <xdr:from>
      <xdr:col>4</xdr:col>
      <xdr:colOff>133350</xdr:colOff>
      <xdr:row>12</xdr:row>
      <xdr:rowOff>400050</xdr:rowOff>
    </xdr:from>
    <xdr:to>
      <xdr:col>7</xdr:col>
      <xdr:colOff>1162049</xdr:colOff>
      <xdr:row>12</xdr:row>
      <xdr:rowOff>2116512</xdr:rowOff>
    </xdr:to>
    <xdr:pic>
      <xdr:nvPicPr>
        <xdr:cNvPr id="5" name="図 4">
          <a:extLst>
            <a:ext uri="{FF2B5EF4-FFF2-40B4-BE49-F238E27FC236}">
              <a16:creationId xmlns:a16="http://schemas.microsoft.com/office/drawing/2014/main" id="{EC710CF8-AE96-42A6-AFE3-3D3F08AC7E65}"/>
            </a:ext>
          </a:extLst>
        </xdr:cNvPr>
        <xdr:cNvPicPr>
          <a:picLocks noChangeAspect="1"/>
        </xdr:cNvPicPr>
      </xdr:nvPicPr>
      <xdr:blipFill>
        <a:blip xmlns:r="http://schemas.openxmlformats.org/officeDocument/2006/relationships" r:embed="rId2"/>
        <a:stretch>
          <a:fillRect/>
        </a:stretch>
      </xdr:blipFill>
      <xdr:spPr>
        <a:xfrm>
          <a:off x="2457450" y="3181350"/>
          <a:ext cx="4552949" cy="171646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L2" sqref="L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7" t="s">
        <v>12</v>
      </c>
      <c r="S1" s="137"/>
      <c r="T1" s="2" t="s">
        <v>110</v>
      </c>
    </row>
    <row r="2" spans="1:22" ht="18.75" customHeight="1" x14ac:dyDescent="0.15">
      <c r="B2" s="25" t="s">
        <v>109</v>
      </c>
      <c r="C2" s="112" t="s">
        <v>127</v>
      </c>
      <c r="D2" s="113"/>
      <c r="E2" s="113"/>
      <c r="F2" s="113"/>
      <c r="G2" s="113"/>
      <c r="H2" s="113"/>
      <c r="I2" s="114"/>
      <c r="J2" s="26"/>
      <c r="K2" s="6"/>
      <c r="L2" s="6"/>
      <c r="M2" s="6"/>
      <c r="N2" s="6"/>
      <c r="O2" s="6"/>
      <c r="P2" s="6"/>
      <c r="Q2" s="6"/>
      <c r="R2" s="6"/>
      <c r="S2" s="6"/>
    </row>
    <row r="3" spans="1:22" ht="18.75" customHeight="1" x14ac:dyDescent="0.15">
      <c r="B3" s="25" t="s">
        <v>103</v>
      </c>
      <c r="C3" s="112" t="s">
        <v>128</v>
      </c>
      <c r="D3" s="113"/>
      <c r="E3" s="113"/>
      <c r="F3" s="113"/>
      <c r="G3" s="113"/>
      <c r="H3" s="113"/>
      <c r="I3" s="114"/>
      <c r="J3" s="26"/>
      <c r="K3" s="6"/>
      <c r="L3" s="6"/>
      <c r="M3" s="6"/>
      <c r="N3" s="6"/>
      <c r="O3" s="6"/>
      <c r="P3" s="6"/>
      <c r="Q3" s="6"/>
      <c r="R3" s="6"/>
      <c r="S3" s="6"/>
    </row>
    <row r="4" spans="1:22" ht="15" customHeight="1" x14ac:dyDescent="0.15">
      <c r="K4" s="26"/>
      <c r="L4" s="27"/>
      <c r="M4" s="27"/>
      <c r="N4" s="27"/>
      <c r="O4" s="27"/>
      <c r="P4" s="27"/>
      <c r="Q4" s="27"/>
      <c r="R4" s="27"/>
      <c r="S4" s="27"/>
    </row>
    <row r="5" spans="1:22" ht="18" customHeight="1" x14ac:dyDescent="0.15">
      <c r="A5" s="141" t="s">
        <v>39</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28" t="s">
        <v>108</v>
      </c>
      <c r="K7" s="115" t="s">
        <v>129</v>
      </c>
      <c r="L7" s="116"/>
      <c r="M7" s="116"/>
      <c r="N7" s="116"/>
      <c r="O7" s="116"/>
      <c r="P7" s="116"/>
      <c r="Q7" s="116"/>
      <c r="R7" s="116"/>
      <c r="S7" s="11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21"/>
      <c r="C9" s="122"/>
      <c r="D9" s="122"/>
      <c r="E9" s="122"/>
      <c r="F9" s="122"/>
      <c r="G9" s="122"/>
      <c r="H9" s="122"/>
      <c r="I9" s="122"/>
      <c r="J9" s="122"/>
      <c r="K9" s="122"/>
      <c r="L9" s="122"/>
      <c r="M9" s="122"/>
      <c r="N9" s="122"/>
      <c r="O9" s="122"/>
      <c r="P9" s="122"/>
      <c r="Q9" s="122"/>
      <c r="R9" s="122"/>
      <c r="S9" s="123"/>
    </row>
    <row r="10" spans="1:22" ht="18" customHeight="1" x14ac:dyDescent="0.15">
      <c r="B10" s="124"/>
      <c r="C10" s="125"/>
      <c r="D10" s="125"/>
      <c r="E10" s="125"/>
      <c r="F10" s="125"/>
      <c r="G10" s="125"/>
      <c r="H10" s="125"/>
      <c r="I10" s="125"/>
      <c r="J10" s="125"/>
      <c r="K10" s="125"/>
      <c r="L10" s="125"/>
      <c r="M10" s="125"/>
      <c r="N10" s="125"/>
      <c r="O10" s="125"/>
      <c r="P10" s="125"/>
      <c r="Q10" s="125"/>
      <c r="R10" s="125"/>
      <c r="S10" s="12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26"/>
      <c r="E12" s="26"/>
      <c r="F12" s="26"/>
      <c r="G12" s="26"/>
      <c r="H12" s="26"/>
      <c r="I12" s="26"/>
      <c r="J12" s="26"/>
      <c r="K12" s="29"/>
      <c r="L12" s="29"/>
      <c r="M12" s="29"/>
      <c r="N12" s="29"/>
      <c r="O12" s="29"/>
      <c r="P12" s="29"/>
      <c r="Q12" s="29"/>
      <c r="R12" s="29"/>
      <c r="S12" s="29"/>
    </row>
    <row r="13" spans="1:22" ht="18" customHeight="1" x14ac:dyDescent="0.15">
      <c r="B13" s="142" t="s">
        <v>130</v>
      </c>
      <c r="C13" s="143"/>
      <c r="D13" s="143"/>
      <c r="E13" s="143"/>
      <c r="F13" s="143"/>
      <c r="G13" s="143"/>
      <c r="H13" s="143"/>
      <c r="I13" s="143"/>
      <c r="J13" s="143"/>
      <c r="K13" s="143"/>
      <c r="L13" s="143"/>
      <c r="M13" s="143"/>
      <c r="N13" s="143"/>
      <c r="O13" s="143"/>
      <c r="P13" s="143"/>
      <c r="Q13" s="143"/>
      <c r="R13" s="143"/>
      <c r="S13" s="144"/>
      <c r="V13" s="1" t="s">
        <v>104</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111</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124</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126</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12">
        <v>2</v>
      </c>
      <c r="D20" s="114"/>
      <c r="E20" s="30" t="s">
        <v>96</v>
      </c>
      <c r="G20" s="10"/>
      <c r="H20" s="3"/>
      <c r="I20" s="3"/>
      <c r="J20" s="26" t="s">
        <v>122</v>
      </c>
      <c r="K20" s="138" t="s">
        <v>126</v>
      </c>
      <c r="L20" s="139"/>
      <c r="M20" s="139"/>
      <c r="N20" s="139"/>
      <c r="O20" s="139"/>
      <c r="P20" s="139"/>
      <c r="Q20" s="139"/>
      <c r="R20" s="139"/>
      <c r="S20" s="140"/>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33" t="s">
        <v>114</v>
      </c>
      <c r="B22" s="133"/>
      <c r="C22" s="133"/>
      <c r="D22" s="133"/>
      <c r="E22" s="133"/>
      <c r="F22" s="133"/>
      <c r="G22" s="133"/>
      <c r="H22" s="133"/>
      <c r="I22" s="133"/>
      <c r="J22" s="133"/>
      <c r="K22" s="133"/>
      <c r="L22" s="133"/>
      <c r="M22" s="133"/>
      <c r="N22" s="133"/>
      <c r="O22" s="133"/>
      <c r="P22" s="133"/>
      <c r="Q22" s="133"/>
      <c r="R22" s="133"/>
      <c r="S22" s="133"/>
    </row>
    <row r="23" spans="1:19" ht="18" customHeight="1" x14ac:dyDescent="0.15">
      <c r="A23" s="133"/>
      <c r="B23" s="133"/>
      <c r="C23" s="133"/>
      <c r="D23" s="133"/>
      <c r="E23" s="133"/>
      <c r="F23" s="133"/>
      <c r="G23" s="133"/>
      <c r="H23" s="133"/>
      <c r="I23" s="133"/>
      <c r="J23" s="133"/>
      <c r="K23" s="133"/>
      <c r="L23" s="133"/>
      <c r="M23" s="133"/>
      <c r="N23" s="133"/>
      <c r="O23" s="133"/>
      <c r="P23" s="133"/>
      <c r="Q23" s="133"/>
      <c r="R23" s="133"/>
      <c r="S23" s="133"/>
    </row>
    <row r="24" spans="1:19" ht="18" customHeight="1" x14ac:dyDescent="0.15">
      <c r="B24" s="112" t="s">
        <v>54</v>
      </c>
      <c r="C24" s="113"/>
      <c r="D24" s="113"/>
      <c r="E24" s="114"/>
      <c r="F24" s="51" t="s">
        <v>81</v>
      </c>
      <c r="G24" s="50" t="s">
        <v>85</v>
      </c>
      <c r="H24" s="19" t="s">
        <v>57</v>
      </c>
      <c r="I24" s="19" t="s">
        <v>60</v>
      </c>
      <c r="J24" s="112" t="s">
        <v>54</v>
      </c>
      <c r="K24" s="113"/>
      <c r="L24" s="113"/>
      <c r="M24" s="113"/>
      <c r="N24" s="113"/>
      <c r="O24" s="114"/>
      <c r="P24" s="51" t="s">
        <v>81</v>
      </c>
      <c r="Q24" s="50" t="s">
        <v>85</v>
      </c>
      <c r="R24" s="19" t="s">
        <v>57</v>
      </c>
      <c r="S24" s="19" t="s">
        <v>60</v>
      </c>
    </row>
    <row r="25" spans="1:19" ht="18" customHeight="1" x14ac:dyDescent="0.15">
      <c r="B25" s="118" t="s">
        <v>131</v>
      </c>
      <c r="C25" s="119"/>
      <c r="D25" s="119"/>
      <c r="E25" s="120"/>
      <c r="F25" s="72">
        <v>2</v>
      </c>
      <c r="G25" s="72" t="s">
        <v>132</v>
      </c>
      <c r="H25" s="72" t="s">
        <v>133</v>
      </c>
      <c r="I25" s="72" t="s">
        <v>132</v>
      </c>
      <c r="J25" s="118"/>
      <c r="K25" s="119"/>
      <c r="L25" s="119"/>
      <c r="M25" s="119"/>
      <c r="N25" s="119"/>
      <c r="O25" s="120"/>
      <c r="P25" s="20"/>
      <c r="Q25" s="20"/>
      <c r="R25" s="20"/>
      <c r="S25" s="20"/>
    </row>
    <row r="26" spans="1:19" ht="18" customHeight="1" x14ac:dyDescent="0.15">
      <c r="B26" s="127"/>
      <c r="C26" s="128"/>
      <c r="D26" s="128"/>
      <c r="E26" s="129"/>
      <c r="F26" s="21"/>
      <c r="G26" s="21"/>
      <c r="H26" s="21"/>
      <c r="I26" s="21"/>
      <c r="J26" s="127"/>
      <c r="K26" s="128"/>
      <c r="L26" s="128"/>
      <c r="M26" s="128"/>
      <c r="N26" s="128"/>
      <c r="O26" s="129"/>
      <c r="P26" s="21"/>
      <c r="Q26" s="21"/>
      <c r="R26" s="21"/>
      <c r="S26" s="21"/>
    </row>
    <row r="27" spans="1:19" ht="18" customHeight="1" x14ac:dyDescent="0.15">
      <c r="B27" s="127"/>
      <c r="C27" s="128"/>
      <c r="D27" s="128"/>
      <c r="E27" s="129"/>
      <c r="F27" s="21"/>
      <c r="G27" s="21"/>
      <c r="H27" s="21"/>
      <c r="I27" s="21"/>
      <c r="J27" s="127"/>
      <c r="K27" s="128"/>
      <c r="L27" s="128"/>
      <c r="M27" s="128"/>
      <c r="N27" s="128"/>
      <c r="O27" s="129"/>
      <c r="P27" s="21"/>
      <c r="Q27" s="21"/>
      <c r="R27" s="21"/>
      <c r="S27" s="21"/>
    </row>
    <row r="28" spans="1:19" ht="18" customHeight="1" x14ac:dyDescent="0.15">
      <c r="B28" s="127"/>
      <c r="C28" s="128"/>
      <c r="D28" s="128"/>
      <c r="E28" s="129"/>
      <c r="F28" s="21"/>
      <c r="G28" s="21"/>
      <c r="H28" s="21"/>
      <c r="I28" s="21"/>
      <c r="J28" s="127"/>
      <c r="K28" s="128"/>
      <c r="L28" s="128"/>
      <c r="M28" s="128"/>
      <c r="N28" s="128"/>
      <c r="O28" s="129"/>
      <c r="P28" s="21"/>
      <c r="Q28" s="21"/>
      <c r="R28" s="21"/>
      <c r="S28" s="21"/>
    </row>
    <row r="29" spans="1:19" ht="18" customHeight="1" x14ac:dyDescent="0.15">
      <c r="B29" s="127"/>
      <c r="C29" s="128"/>
      <c r="D29" s="128"/>
      <c r="E29" s="129"/>
      <c r="F29" s="21"/>
      <c r="G29" s="21"/>
      <c r="H29" s="21"/>
      <c r="I29" s="21"/>
      <c r="J29" s="127"/>
      <c r="K29" s="128"/>
      <c r="L29" s="128"/>
      <c r="M29" s="128"/>
      <c r="N29" s="128"/>
      <c r="O29" s="129"/>
      <c r="P29" s="21"/>
      <c r="Q29" s="21"/>
      <c r="R29" s="21"/>
      <c r="S29" s="21"/>
    </row>
    <row r="30" spans="1:19" ht="18" customHeight="1" x14ac:dyDescent="0.15">
      <c r="A30" s="3"/>
      <c r="B30" s="127"/>
      <c r="C30" s="128"/>
      <c r="D30" s="128"/>
      <c r="E30" s="129"/>
      <c r="F30" s="21"/>
      <c r="G30" s="21"/>
      <c r="H30" s="21"/>
      <c r="I30" s="21"/>
      <c r="J30" s="127"/>
      <c r="K30" s="128"/>
      <c r="L30" s="128"/>
      <c r="M30" s="128"/>
      <c r="N30" s="128"/>
      <c r="O30" s="129"/>
      <c r="P30" s="21"/>
      <c r="Q30" s="21"/>
      <c r="R30" s="21"/>
      <c r="S30" s="21"/>
    </row>
    <row r="31" spans="1:19" ht="18" customHeight="1" x14ac:dyDescent="0.15">
      <c r="A31" s="3"/>
      <c r="B31" s="130"/>
      <c r="C31" s="131"/>
      <c r="D31" s="131"/>
      <c r="E31" s="132"/>
      <c r="F31" s="22"/>
      <c r="G31" s="22"/>
      <c r="H31" s="23"/>
      <c r="I31" s="23"/>
      <c r="J31" s="130"/>
      <c r="K31" s="131"/>
      <c r="L31" s="131"/>
      <c r="M31" s="131"/>
      <c r="N31" s="131"/>
      <c r="O31" s="132"/>
      <c r="P31" s="22"/>
      <c r="Q31" s="22"/>
      <c r="R31" s="23"/>
      <c r="S31" s="23"/>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33" t="s">
        <v>115</v>
      </c>
      <c r="B33" s="133"/>
      <c r="C33" s="133"/>
      <c r="D33" s="133"/>
      <c r="E33" s="133"/>
      <c r="F33" s="133"/>
      <c r="G33" s="133"/>
      <c r="H33" s="133"/>
      <c r="I33" s="133"/>
      <c r="J33" s="133"/>
      <c r="K33" s="133"/>
      <c r="L33" s="133"/>
      <c r="M33" s="133"/>
      <c r="N33" s="133"/>
      <c r="O33" s="133"/>
      <c r="P33" s="133"/>
      <c r="Q33" s="133"/>
      <c r="R33" s="133"/>
      <c r="S33" s="133"/>
    </row>
    <row r="34" spans="1:19" ht="18" customHeight="1" x14ac:dyDescent="0.15">
      <c r="A34" s="133"/>
      <c r="B34" s="133"/>
      <c r="C34" s="133"/>
      <c r="D34" s="133"/>
      <c r="E34" s="133"/>
      <c r="F34" s="133"/>
      <c r="G34" s="133"/>
      <c r="H34" s="133"/>
      <c r="I34" s="133"/>
      <c r="J34" s="133"/>
      <c r="K34" s="133"/>
      <c r="L34" s="133"/>
      <c r="M34" s="133"/>
      <c r="N34" s="133"/>
      <c r="O34" s="133"/>
      <c r="P34" s="133"/>
      <c r="Q34" s="133"/>
      <c r="R34" s="133"/>
      <c r="S34" s="133"/>
    </row>
    <row r="35" spans="1:19" ht="18" customHeight="1" x14ac:dyDescent="0.15">
      <c r="B35" s="112" t="s">
        <v>54</v>
      </c>
      <c r="C35" s="113"/>
      <c r="D35" s="113"/>
      <c r="E35" s="114"/>
      <c r="F35" s="51" t="s">
        <v>81</v>
      </c>
      <c r="G35" s="50" t="s">
        <v>85</v>
      </c>
      <c r="H35" s="19" t="s">
        <v>72</v>
      </c>
      <c r="I35" s="19" t="s">
        <v>73</v>
      </c>
      <c r="J35" s="112" t="s">
        <v>54</v>
      </c>
      <c r="K35" s="113"/>
      <c r="L35" s="113"/>
      <c r="M35" s="113"/>
      <c r="N35" s="113"/>
      <c r="O35" s="114"/>
      <c r="P35" s="51" t="s">
        <v>81</v>
      </c>
      <c r="Q35" s="50" t="s">
        <v>85</v>
      </c>
      <c r="R35" s="19" t="s">
        <v>72</v>
      </c>
      <c r="S35" s="19" t="s">
        <v>73</v>
      </c>
    </row>
    <row r="36" spans="1:19" ht="18" customHeight="1" x14ac:dyDescent="0.15">
      <c r="B36" s="118" t="s">
        <v>131</v>
      </c>
      <c r="C36" s="119"/>
      <c r="D36" s="119"/>
      <c r="E36" s="120"/>
      <c r="F36" s="73">
        <v>2</v>
      </c>
      <c r="G36" s="73" t="s">
        <v>132</v>
      </c>
      <c r="H36" s="73" t="s">
        <v>132</v>
      </c>
      <c r="I36" s="73" t="s">
        <v>132</v>
      </c>
      <c r="J36" s="118"/>
      <c r="K36" s="119"/>
      <c r="L36" s="119"/>
      <c r="M36" s="119"/>
      <c r="N36" s="119"/>
      <c r="O36" s="120"/>
      <c r="P36" s="20"/>
      <c r="Q36" s="20"/>
      <c r="R36" s="20"/>
      <c r="S36" s="20"/>
    </row>
    <row r="37" spans="1:19" ht="18" customHeight="1" x14ac:dyDescent="0.15">
      <c r="B37" s="127"/>
      <c r="C37" s="128"/>
      <c r="D37" s="128"/>
      <c r="E37" s="129"/>
      <c r="F37" s="21"/>
      <c r="G37" s="21"/>
      <c r="H37" s="21"/>
      <c r="I37" s="21"/>
      <c r="J37" s="127"/>
      <c r="K37" s="128"/>
      <c r="L37" s="128"/>
      <c r="M37" s="128"/>
      <c r="N37" s="128"/>
      <c r="O37" s="129"/>
      <c r="P37" s="21"/>
      <c r="Q37" s="21"/>
      <c r="R37" s="21"/>
      <c r="S37" s="21"/>
    </row>
    <row r="38" spans="1:19" ht="18" customHeight="1" x14ac:dyDescent="0.15">
      <c r="B38" s="127"/>
      <c r="C38" s="128"/>
      <c r="D38" s="128"/>
      <c r="E38" s="129"/>
      <c r="F38" s="21"/>
      <c r="G38" s="21"/>
      <c r="H38" s="21"/>
      <c r="I38" s="21"/>
      <c r="J38" s="127"/>
      <c r="K38" s="128"/>
      <c r="L38" s="128"/>
      <c r="M38" s="128"/>
      <c r="N38" s="128"/>
      <c r="O38" s="129"/>
      <c r="P38" s="21"/>
      <c r="Q38" s="21"/>
      <c r="R38" s="21"/>
      <c r="S38" s="21"/>
    </row>
    <row r="39" spans="1:19" ht="18" customHeight="1" x14ac:dyDescent="0.15">
      <c r="B39" s="127"/>
      <c r="C39" s="128"/>
      <c r="D39" s="128"/>
      <c r="E39" s="129"/>
      <c r="F39" s="21"/>
      <c r="G39" s="21"/>
      <c r="H39" s="21"/>
      <c r="I39" s="21"/>
      <c r="J39" s="127"/>
      <c r="K39" s="128"/>
      <c r="L39" s="128"/>
      <c r="M39" s="128"/>
      <c r="N39" s="128"/>
      <c r="O39" s="129"/>
      <c r="P39" s="21"/>
      <c r="Q39" s="21"/>
      <c r="R39" s="21"/>
      <c r="S39" s="21"/>
    </row>
    <row r="40" spans="1:19" ht="18" customHeight="1" x14ac:dyDescent="0.15">
      <c r="B40" s="127"/>
      <c r="C40" s="128"/>
      <c r="D40" s="128"/>
      <c r="E40" s="129"/>
      <c r="F40" s="21"/>
      <c r="G40" s="21"/>
      <c r="H40" s="21"/>
      <c r="I40" s="21"/>
      <c r="J40" s="127"/>
      <c r="K40" s="128"/>
      <c r="L40" s="128"/>
      <c r="M40" s="128"/>
      <c r="N40" s="128"/>
      <c r="O40" s="129"/>
      <c r="P40" s="21"/>
      <c r="Q40" s="21"/>
      <c r="R40" s="21"/>
      <c r="S40" s="21"/>
    </row>
    <row r="41" spans="1:19" ht="18" customHeight="1" x14ac:dyDescent="0.15">
      <c r="B41" s="127"/>
      <c r="C41" s="128"/>
      <c r="D41" s="128"/>
      <c r="E41" s="129"/>
      <c r="F41" s="21"/>
      <c r="G41" s="21"/>
      <c r="H41" s="21"/>
      <c r="I41" s="21"/>
      <c r="J41" s="127"/>
      <c r="K41" s="128"/>
      <c r="L41" s="128"/>
      <c r="M41" s="128"/>
      <c r="N41" s="128"/>
      <c r="O41" s="129"/>
      <c r="P41" s="21"/>
      <c r="Q41" s="21"/>
      <c r="R41" s="21"/>
      <c r="S41" s="21"/>
    </row>
    <row r="42" spans="1:19" ht="18" customHeight="1" x14ac:dyDescent="0.15">
      <c r="B42" s="130"/>
      <c r="C42" s="131"/>
      <c r="D42" s="131"/>
      <c r="E42" s="132"/>
      <c r="F42" s="22"/>
      <c r="G42" s="22"/>
      <c r="H42" s="23"/>
      <c r="I42" s="23"/>
      <c r="J42" s="130"/>
      <c r="K42" s="131"/>
      <c r="L42" s="131"/>
      <c r="M42" s="131"/>
      <c r="N42" s="131"/>
      <c r="O42" s="132"/>
      <c r="P42" s="22"/>
      <c r="Q42" s="22"/>
      <c r="R42" s="23"/>
      <c r="S42" s="23"/>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33" t="s">
        <v>116</v>
      </c>
      <c r="B44" s="133"/>
      <c r="C44" s="133"/>
      <c r="D44" s="133"/>
      <c r="E44" s="133"/>
      <c r="F44" s="133"/>
      <c r="G44" s="133"/>
      <c r="H44" s="133"/>
      <c r="I44" s="133"/>
      <c r="J44" s="133"/>
      <c r="K44" s="133"/>
      <c r="L44" s="133"/>
      <c r="M44" s="133"/>
      <c r="N44" s="133"/>
      <c r="O44" s="133"/>
      <c r="P44" s="133"/>
      <c r="Q44" s="133"/>
      <c r="R44" s="133"/>
      <c r="S44" s="133"/>
    </row>
    <row r="45" spans="1:19" ht="18" customHeight="1" x14ac:dyDescent="0.15">
      <c r="A45" s="133"/>
      <c r="B45" s="133"/>
      <c r="C45" s="133"/>
      <c r="D45" s="133"/>
      <c r="E45" s="133"/>
      <c r="F45" s="133"/>
      <c r="G45" s="133"/>
      <c r="H45" s="133"/>
      <c r="I45" s="133"/>
      <c r="J45" s="133"/>
      <c r="K45" s="133"/>
      <c r="L45" s="133"/>
      <c r="M45" s="133"/>
      <c r="N45" s="133"/>
      <c r="O45" s="133"/>
      <c r="P45" s="133"/>
      <c r="Q45" s="133"/>
      <c r="R45" s="133"/>
      <c r="S45" s="133"/>
    </row>
    <row r="46" spans="1:19" ht="18" customHeight="1" x14ac:dyDescent="0.15">
      <c r="B46" s="112" t="s">
        <v>54</v>
      </c>
      <c r="C46" s="113"/>
      <c r="D46" s="113"/>
      <c r="E46" s="114"/>
      <c r="F46" s="51" t="s">
        <v>81</v>
      </c>
      <c r="G46" s="50" t="s">
        <v>85</v>
      </c>
      <c r="H46" s="19" t="s">
        <v>74</v>
      </c>
      <c r="I46" s="19" t="s">
        <v>75</v>
      </c>
      <c r="J46" s="112" t="s">
        <v>54</v>
      </c>
      <c r="K46" s="113"/>
      <c r="L46" s="113"/>
      <c r="M46" s="113"/>
      <c r="N46" s="113"/>
      <c r="O46" s="114"/>
      <c r="P46" s="51" t="s">
        <v>81</v>
      </c>
      <c r="Q46" s="50" t="s">
        <v>85</v>
      </c>
      <c r="R46" s="19" t="s">
        <v>74</v>
      </c>
      <c r="S46" s="19" t="s">
        <v>75</v>
      </c>
    </row>
    <row r="47" spans="1:19" ht="18" customHeight="1" x14ac:dyDescent="0.15">
      <c r="A47" s="3"/>
      <c r="B47" s="118" t="s">
        <v>131</v>
      </c>
      <c r="C47" s="119"/>
      <c r="D47" s="119"/>
      <c r="E47" s="120"/>
      <c r="F47" s="74">
        <v>2</v>
      </c>
      <c r="G47" s="74" t="s">
        <v>132</v>
      </c>
      <c r="H47" s="74" t="s">
        <v>132</v>
      </c>
      <c r="I47" s="74" t="s">
        <v>132</v>
      </c>
      <c r="J47" s="118"/>
      <c r="K47" s="119"/>
      <c r="L47" s="119"/>
      <c r="M47" s="119"/>
      <c r="N47" s="119"/>
      <c r="O47" s="120"/>
      <c r="P47" s="20"/>
      <c r="Q47" s="20"/>
      <c r="R47" s="20"/>
      <c r="S47" s="20"/>
    </row>
    <row r="48" spans="1:19" ht="18" customHeight="1" x14ac:dyDescent="0.15">
      <c r="A48" s="3"/>
      <c r="B48" s="127"/>
      <c r="C48" s="128"/>
      <c r="D48" s="128"/>
      <c r="E48" s="129"/>
      <c r="F48" s="21"/>
      <c r="G48" s="21"/>
      <c r="H48" s="21"/>
      <c r="I48" s="21"/>
      <c r="J48" s="127"/>
      <c r="K48" s="128"/>
      <c r="L48" s="128"/>
      <c r="M48" s="128"/>
      <c r="N48" s="128"/>
      <c r="O48" s="129"/>
      <c r="P48" s="21"/>
      <c r="Q48" s="21"/>
      <c r="R48" s="21"/>
      <c r="S48" s="21"/>
    </row>
    <row r="49" spans="1:19" ht="18" customHeight="1" x14ac:dyDescent="0.15">
      <c r="A49" s="3"/>
      <c r="B49" s="127"/>
      <c r="C49" s="128"/>
      <c r="D49" s="128"/>
      <c r="E49" s="129"/>
      <c r="F49" s="21"/>
      <c r="G49" s="21"/>
      <c r="H49" s="21"/>
      <c r="I49" s="21"/>
      <c r="J49" s="127"/>
      <c r="K49" s="128"/>
      <c r="L49" s="128"/>
      <c r="M49" s="128"/>
      <c r="N49" s="128"/>
      <c r="O49" s="129"/>
      <c r="P49" s="21"/>
      <c r="Q49" s="21"/>
      <c r="R49" s="21"/>
      <c r="S49" s="21"/>
    </row>
    <row r="50" spans="1:19" ht="18" customHeight="1" x14ac:dyDescent="0.15">
      <c r="A50" s="3"/>
      <c r="B50" s="127"/>
      <c r="C50" s="128"/>
      <c r="D50" s="128"/>
      <c r="E50" s="129"/>
      <c r="F50" s="21"/>
      <c r="G50" s="21"/>
      <c r="H50" s="21"/>
      <c r="I50" s="21"/>
      <c r="J50" s="127"/>
      <c r="K50" s="128"/>
      <c r="L50" s="128"/>
      <c r="M50" s="128"/>
      <c r="N50" s="128"/>
      <c r="O50" s="129"/>
      <c r="P50" s="21"/>
      <c r="Q50" s="21"/>
      <c r="R50" s="21"/>
      <c r="S50" s="21"/>
    </row>
    <row r="51" spans="1:19" ht="18" customHeight="1" x14ac:dyDescent="0.15">
      <c r="A51" s="3"/>
      <c r="B51" s="127"/>
      <c r="C51" s="128"/>
      <c r="D51" s="128"/>
      <c r="E51" s="129"/>
      <c r="F51" s="21"/>
      <c r="G51" s="21"/>
      <c r="H51" s="21"/>
      <c r="I51" s="21"/>
      <c r="J51" s="127"/>
      <c r="K51" s="128"/>
      <c r="L51" s="128"/>
      <c r="M51" s="128"/>
      <c r="N51" s="128"/>
      <c r="O51" s="129"/>
      <c r="P51" s="21"/>
      <c r="Q51" s="21"/>
      <c r="R51" s="21"/>
      <c r="S51" s="21"/>
    </row>
    <row r="52" spans="1:19" ht="18" customHeight="1" x14ac:dyDescent="0.15">
      <c r="A52" s="3"/>
      <c r="B52" s="127"/>
      <c r="C52" s="128"/>
      <c r="D52" s="128"/>
      <c r="E52" s="129"/>
      <c r="F52" s="21"/>
      <c r="G52" s="21"/>
      <c r="H52" s="21"/>
      <c r="I52" s="21"/>
      <c r="J52" s="127"/>
      <c r="K52" s="128"/>
      <c r="L52" s="128"/>
      <c r="M52" s="128"/>
      <c r="N52" s="128"/>
      <c r="O52" s="129"/>
      <c r="P52" s="21"/>
      <c r="Q52" s="21"/>
      <c r="R52" s="21"/>
      <c r="S52" s="21"/>
    </row>
    <row r="53" spans="1:19" ht="18" customHeight="1" x14ac:dyDescent="0.15">
      <c r="A53" s="3"/>
      <c r="B53" s="130"/>
      <c r="C53" s="131"/>
      <c r="D53" s="131"/>
      <c r="E53" s="132"/>
      <c r="F53" s="22"/>
      <c r="G53" s="22"/>
      <c r="H53" s="23"/>
      <c r="I53" s="23"/>
      <c r="J53" s="130"/>
      <c r="K53" s="131"/>
      <c r="L53" s="131"/>
      <c r="M53" s="131"/>
      <c r="N53" s="131"/>
      <c r="O53" s="132"/>
      <c r="P53" s="22"/>
      <c r="Q53" s="22"/>
      <c r="R53" s="23"/>
      <c r="S53" s="23"/>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33" t="s">
        <v>117</v>
      </c>
      <c r="B55" s="133"/>
      <c r="C55" s="133"/>
      <c r="D55" s="133"/>
      <c r="E55" s="133"/>
      <c r="F55" s="133"/>
      <c r="G55" s="133"/>
      <c r="H55" s="133"/>
      <c r="I55" s="133"/>
      <c r="J55" s="133"/>
      <c r="K55" s="133"/>
      <c r="L55" s="133"/>
      <c r="M55" s="133"/>
      <c r="N55" s="133"/>
      <c r="O55" s="133"/>
      <c r="P55" s="133"/>
      <c r="Q55" s="133"/>
      <c r="R55" s="133"/>
      <c r="S55" s="133"/>
    </row>
    <row r="56" spans="1:19" ht="18" customHeight="1" x14ac:dyDescent="0.15">
      <c r="A56" s="133"/>
      <c r="B56" s="133"/>
      <c r="C56" s="133"/>
      <c r="D56" s="133"/>
      <c r="E56" s="133"/>
      <c r="F56" s="133"/>
      <c r="G56" s="133"/>
      <c r="H56" s="133"/>
      <c r="I56" s="133"/>
      <c r="J56" s="133"/>
      <c r="K56" s="133"/>
      <c r="L56" s="133"/>
      <c r="M56" s="133"/>
      <c r="N56" s="133"/>
      <c r="O56" s="133"/>
      <c r="P56" s="133"/>
      <c r="Q56" s="133"/>
      <c r="R56" s="133"/>
      <c r="S56" s="133"/>
    </row>
    <row r="57" spans="1:19" ht="18" customHeight="1" x14ac:dyDescent="0.15">
      <c r="B57" s="112" t="s">
        <v>54</v>
      </c>
      <c r="C57" s="113"/>
      <c r="D57" s="113"/>
      <c r="E57" s="114"/>
      <c r="F57" s="51" t="s">
        <v>81</v>
      </c>
      <c r="G57" s="50" t="s">
        <v>85</v>
      </c>
      <c r="H57" s="19" t="s">
        <v>59</v>
      </c>
      <c r="I57" s="19" t="s">
        <v>61</v>
      </c>
      <c r="J57" s="112" t="s">
        <v>54</v>
      </c>
      <c r="K57" s="113"/>
      <c r="L57" s="113"/>
      <c r="M57" s="113"/>
      <c r="N57" s="113"/>
      <c r="O57" s="114"/>
      <c r="P57" s="51" t="s">
        <v>81</v>
      </c>
      <c r="Q57" s="50" t="s">
        <v>85</v>
      </c>
      <c r="R57" s="19" t="s">
        <v>59</v>
      </c>
      <c r="S57" s="19" t="s">
        <v>61</v>
      </c>
    </row>
    <row r="58" spans="1:19" ht="18" customHeight="1" x14ac:dyDescent="0.15">
      <c r="A58" s="3"/>
      <c r="B58" s="118" t="s">
        <v>131</v>
      </c>
      <c r="C58" s="119"/>
      <c r="D58" s="119"/>
      <c r="E58" s="120"/>
      <c r="F58" s="75">
        <v>2</v>
      </c>
      <c r="G58" s="75" t="s">
        <v>132</v>
      </c>
      <c r="H58" s="75" t="s">
        <v>132</v>
      </c>
      <c r="I58" s="75" t="s">
        <v>132</v>
      </c>
      <c r="J58" s="118"/>
      <c r="K58" s="119"/>
      <c r="L58" s="119"/>
      <c r="M58" s="119"/>
      <c r="N58" s="119"/>
      <c r="O58" s="120"/>
      <c r="P58" s="20"/>
      <c r="Q58" s="20"/>
      <c r="R58" s="20"/>
      <c r="S58" s="20"/>
    </row>
    <row r="59" spans="1:19" ht="18" customHeight="1" x14ac:dyDescent="0.15">
      <c r="A59" s="3"/>
      <c r="B59" s="127"/>
      <c r="C59" s="128"/>
      <c r="D59" s="128"/>
      <c r="E59" s="129"/>
      <c r="F59" s="21"/>
      <c r="G59" s="21"/>
      <c r="H59" s="21"/>
      <c r="I59" s="21"/>
      <c r="J59" s="127"/>
      <c r="K59" s="128"/>
      <c r="L59" s="128"/>
      <c r="M59" s="128"/>
      <c r="N59" s="128"/>
      <c r="O59" s="129"/>
      <c r="P59" s="21"/>
      <c r="Q59" s="21"/>
      <c r="R59" s="21"/>
      <c r="S59" s="21"/>
    </row>
    <row r="60" spans="1:19" ht="18" customHeight="1" x14ac:dyDescent="0.15">
      <c r="A60" s="3"/>
      <c r="B60" s="127"/>
      <c r="C60" s="128"/>
      <c r="D60" s="128"/>
      <c r="E60" s="129"/>
      <c r="F60" s="21"/>
      <c r="G60" s="21"/>
      <c r="H60" s="21"/>
      <c r="I60" s="21"/>
      <c r="J60" s="127"/>
      <c r="K60" s="128"/>
      <c r="L60" s="128"/>
      <c r="M60" s="128"/>
      <c r="N60" s="128"/>
      <c r="O60" s="129"/>
      <c r="P60" s="21"/>
      <c r="Q60" s="21"/>
      <c r="R60" s="21"/>
      <c r="S60" s="21"/>
    </row>
    <row r="61" spans="1:19" ht="18" customHeight="1" x14ac:dyDescent="0.15">
      <c r="A61" s="3"/>
      <c r="B61" s="127"/>
      <c r="C61" s="128"/>
      <c r="D61" s="128"/>
      <c r="E61" s="129"/>
      <c r="F61" s="21"/>
      <c r="G61" s="21"/>
      <c r="H61" s="21"/>
      <c r="I61" s="21"/>
      <c r="J61" s="127"/>
      <c r="K61" s="128"/>
      <c r="L61" s="128"/>
      <c r="M61" s="128"/>
      <c r="N61" s="128"/>
      <c r="O61" s="129"/>
      <c r="P61" s="21"/>
      <c r="Q61" s="21"/>
      <c r="R61" s="21"/>
      <c r="S61" s="21"/>
    </row>
    <row r="62" spans="1:19" ht="18" customHeight="1" x14ac:dyDescent="0.15">
      <c r="A62" s="3"/>
      <c r="B62" s="127"/>
      <c r="C62" s="128"/>
      <c r="D62" s="128"/>
      <c r="E62" s="129"/>
      <c r="F62" s="21"/>
      <c r="G62" s="21"/>
      <c r="H62" s="21"/>
      <c r="I62" s="21"/>
      <c r="J62" s="127"/>
      <c r="K62" s="128"/>
      <c r="L62" s="128"/>
      <c r="M62" s="128"/>
      <c r="N62" s="128"/>
      <c r="O62" s="129"/>
      <c r="P62" s="21"/>
      <c r="Q62" s="21"/>
      <c r="R62" s="21"/>
      <c r="S62" s="21"/>
    </row>
    <row r="63" spans="1:19" ht="18" customHeight="1" x14ac:dyDescent="0.15">
      <c r="A63" s="3"/>
      <c r="B63" s="127"/>
      <c r="C63" s="128"/>
      <c r="D63" s="128"/>
      <c r="E63" s="129"/>
      <c r="F63" s="21"/>
      <c r="G63" s="21"/>
      <c r="H63" s="21"/>
      <c r="I63" s="21"/>
      <c r="J63" s="127"/>
      <c r="K63" s="128"/>
      <c r="L63" s="128"/>
      <c r="M63" s="128"/>
      <c r="N63" s="128"/>
      <c r="O63" s="129"/>
      <c r="P63" s="21"/>
      <c r="Q63" s="21"/>
      <c r="R63" s="21"/>
      <c r="S63" s="21"/>
    </row>
    <row r="64" spans="1:19" ht="18" customHeight="1" x14ac:dyDescent="0.15">
      <c r="A64" s="3"/>
      <c r="B64" s="130"/>
      <c r="C64" s="131"/>
      <c r="D64" s="131"/>
      <c r="E64" s="132"/>
      <c r="F64" s="22"/>
      <c r="G64" s="22"/>
      <c r="H64" s="23"/>
      <c r="I64" s="23"/>
      <c r="J64" s="130"/>
      <c r="K64" s="131"/>
      <c r="L64" s="131"/>
      <c r="M64" s="131"/>
      <c r="N64" s="131"/>
      <c r="O64" s="132"/>
      <c r="P64" s="22"/>
      <c r="Q64" s="22"/>
      <c r="R64" s="23"/>
      <c r="S64" s="23"/>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33" t="s">
        <v>118</v>
      </c>
      <c r="B66" s="133"/>
      <c r="C66" s="133"/>
      <c r="D66" s="133"/>
      <c r="E66" s="133"/>
      <c r="F66" s="133"/>
      <c r="G66" s="133"/>
      <c r="H66" s="133"/>
      <c r="I66" s="133"/>
      <c r="J66" s="133"/>
      <c r="K66" s="133"/>
      <c r="L66" s="133"/>
      <c r="M66" s="133"/>
      <c r="N66" s="133"/>
      <c r="O66" s="133"/>
      <c r="P66" s="133"/>
      <c r="Q66" s="133"/>
      <c r="R66" s="133"/>
      <c r="S66" s="133"/>
    </row>
    <row r="67" spans="1:19" ht="18" customHeight="1" x14ac:dyDescent="0.15">
      <c r="A67" s="133"/>
      <c r="B67" s="133"/>
      <c r="C67" s="133"/>
      <c r="D67" s="133"/>
      <c r="E67" s="133"/>
      <c r="F67" s="133"/>
      <c r="G67" s="133"/>
      <c r="H67" s="133"/>
      <c r="I67" s="133"/>
      <c r="J67" s="133"/>
      <c r="K67" s="133"/>
      <c r="L67" s="133"/>
      <c r="M67" s="133"/>
      <c r="N67" s="133"/>
      <c r="O67" s="133"/>
      <c r="P67" s="133"/>
      <c r="Q67" s="133"/>
      <c r="R67" s="133"/>
      <c r="S67" s="133"/>
    </row>
    <row r="68" spans="1:19" ht="18" customHeight="1" x14ac:dyDescent="0.15">
      <c r="B68" s="112" t="s">
        <v>54</v>
      </c>
      <c r="C68" s="113"/>
      <c r="D68" s="113"/>
      <c r="E68" s="51" t="s">
        <v>81</v>
      </c>
      <c r="F68" s="50" t="s">
        <v>85</v>
      </c>
      <c r="G68" s="19" t="s">
        <v>102</v>
      </c>
      <c r="H68" s="19" t="s">
        <v>76</v>
      </c>
      <c r="I68" s="19" t="s">
        <v>77</v>
      </c>
      <c r="J68" s="112" t="s">
        <v>54</v>
      </c>
      <c r="K68" s="113"/>
      <c r="L68" s="113"/>
      <c r="M68" s="113"/>
      <c r="N68" s="114"/>
      <c r="O68" s="51" t="s">
        <v>81</v>
      </c>
      <c r="P68" s="50" t="s">
        <v>85</v>
      </c>
      <c r="Q68" s="19" t="s">
        <v>102</v>
      </c>
      <c r="R68" s="19" t="s">
        <v>76</v>
      </c>
      <c r="S68" s="19" t="s">
        <v>77</v>
      </c>
    </row>
    <row r="69" spans="1:19" ht="18" customHeight="1" x14ac:dyDescent="0.15">
      <c r="A69" s="3"/>
      <c r="B69" s="118" t="s">
        <v>131</v>
      </c>
      <c r="C69" s="119"/>
      <c r="D69" s="120"/>
      <c r="E69" s="76">
        <v>2</v>
      </c>
      <c r="F69" s="76" t="s">
        <v>132</v>
      </c>
      <c r="G69" s="76" t="s">
        <v>132</v>
      </c>
      <c r="H69" s="76" t="s">
        <v>132</v>
      </c>
      <c r="I69" s="76" t="s">
        <v>132</v>
      </c>
      <c r="J69" s="118"/>
      <c r="K69" s="119"/>
      <c r="L69" s="119"/>
      <c r="M69" s="119"/>
      <c r="N69" s="120"/>
      <c r="O69" s="20"/>
      <c r="P69" s="20"/>
      <c r="Q69" s="20"/>
      <c r="R69" s="20"/>
      <c r="S69" s="20"/>
    </row>
    <row r="70" spans="1:19" ht="18" customHeight="1" x14ac:dyDescent="0.15">
      <c r="A70" s="3"/>
      <c r="B70" s="127"/>
      <c r="C70" s="128"/>
      <c r="D70" s="128"/>
      <c r="E70" s="21"/>
      <c r="F70" s="21"/>
      <c r="G70" s="21"/>
      <c r="H70" s="21"/>
      <c r="I70" s="21"/>
      <c r="J70" s="127"/>
      <c r="K70" s="128"/>
      <c r="L70" s="128"/>
      <c r="M70" s="128"/>
      <c r="N70" s="129"/>
      <c r="O70" s="21"/>
      <c r="P70" s="21"/>
      <c r="Q70" s="21"/>
      <c r="R70" s="21"/>
      <c r="S70" s="21"/>
    </row>
    <row r="71" spans="1:19" ht="18" customHeight="1" x14ac:dyDescent="0.15">
      <c r="A71" s="3"/>
      <c r="B71" s="127"/>
      <c r="C71" s="128"/>
      <c r="D71" s="128"/>
      <c r="E71" s="21"/>
      <c r="F71" s="21"/>
      <c r="G71" s="21"/>
      <c r="H71" s="21"/>
      <c r="I71" s="21"/>
      <c r="J71" s="127"/>
      <c r="K71" s="128"/>
      <c r="L71" s="128"/>
      <c r="M71" s="128"/>
      <c r="N71" s="129"/>
      <c r="O71" s="21"/>
      <c r="P71" s="21"/>
      <c r="Q71" s="21"/>
      <c r="R71" s="21"/>
      <c r="S71" s="21"/>
    </row>
    <row r="72" spans="1:19" ht="18" customHeight="1" x14ac:dyDescent="0.15">
      <c r="A72" s="3"/>
      <c r="B72" s="127"/>
      <c r="C72" s="128"/>
      <c r="D72" s="128"/>
      <c r="E72" s="21"/>
      <c r="F72" s="21"/>
      <c r="G72" s="21"/>
      <c r="H72" s="21"/>
      <c r="I72" s="21"/>
      <c r="J72" s="127"/>
      <c r="K72" s="128"/>
      <c r="L72" s="128"/>
      <c r="M72" s="128"/>
      <c r="N72" s="129"/>
      <c r="O72" s="21"/>
      <c r="P72" s="21"/>
      <c r="Q72" s="21"/>
      <c r="R72" s="21"/>
      <c r="S72" s="21"/>
    </row>
    <row r="73" spans="1:19" ht="18" customHeight="1" x14ac:dyDescent="0.15">
      <c r="A73" s="3"/>
      <c r="B73" s="127"/>
      <c r="C73" s="128"/>
      <c r="D73" s="128"/>
      <c r="E73" s="21"/>
      <c r="F73" s="21"/>
      <c r="G73" s="21"/>
      <c r="H73" s="21"/>
      <c r="I73" s="21"/>
      <c r="J73" s="127"/>
      <c r="K73" s="128"/>
      <c r="L73" s="128"/>
      <c r="M73" s="128"/>
      <c r="N73" s="129"/>
      <c r="O73" s="21"/>
      <c r="P73" s="21"/>
      <c r="Q73" s="21"/>
      <c r="R73" s="21"/>
      <c r="S73" s="21"/>
    </row>
    <row r="74" spans="1:19" ht="18" customHeight="1" x14ac:dyDescent="0.15">
      <c r="A74" s="3"/>
      <c r="B74" s="127"/>
      <c r="C74" s="128"/>
      <c r="D74" s="128"/>
      <c r="E74" s="21"/>
      <c r="F74" s="21"/>
      <c r="G74" s="21"/>
      <c r="H74" s="21"/>
      <c r="I74" s="21"/>
      <c r="J74" s="127"/>
      <c r="K74" s="128"/>
      <c r="L74" s="128"/>
      <c r="M74" s="128"/>
      <c r="N74" s="129"/>
      <c r="O74" s="21"/>
      <c r="P74" s="21"/>
      <c r="Q74" s="21"/>
      <c r="R74" s="21"/>
      <c r="S74" s="21"/>
    </row>
    <row r="75" spans="1:19" ht="18" customHeight="1" x14ac:dyDescent="0.15">
      <c r="A75" s="3"/>
      <c r="B75" s="130"/>
      <c r="C75" s="131"/>
      <c r="D75" s="131"/>
      <c r="E75" s="22"/>
      <c r="F75" s="22"/>
      <c r="G75" s="23"/>
      <c r="H75" s="23"/>
      <c r="I75" s="23"/>
      <c r="J75" s="130"/>
      <c r="K75" s="131"/>
      <c r="L75" s="131"/>
      <c r="M75" s="131"/>
      <c r="N75" s="132"/>
      <c r="O75" s="22"/>
      <c r="P75" s="22"/>
      <c r="Q75" s="23"/>
      <c r="R75" s="23"/>
      <c r="S75" s="23"/>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112" t="s">
        <v>54</v>
      </c>
      <c r="C78" s="113"/>
      <c r="D78" s="113"/>
      <c r="E78" s="114"/>
      <c r="F78" s="112" t="s">
        <v>83</v>
      </c>
      <c r="G78" s="113"/>
      <c r="H78" s="113"/>
      <c r="I78" s="114"/>
      <c r="J78" s="154" t="s">
        <v>54</v>
      </c>
      <c r="K78" s="155"/>
      <c r="L78" s="155"/>
      <c r="M78" s="155"/>
      <c r="N78" s="155"/>
      <c r="O78" s="156"/>
      <c r="P78" s="112" t="s">
        <v>83</v>
      </c>
      <c r="Q78" s="113"/>
      <c r="R78" s="113"/>
      <c r="S78" s="114"/>
    </row>
    <row r="79" spans="1:19" ht="18" customHeight="1" x14ac:dyDescent="0.15">
      <c r="A79" s="3"/>
      <c r="B79" s="118"/>
      <c r="C79" s="119"/>
      <c r="D79" s="119"/>
      <c r="E79" s="120"/>
      <c r="F79" s="162"/>
      <c r="G79" s="163"/>
      <c r="H79" s="163"/>
      <c r="I79" s="164"/>
      <c r="J79" s="118"/>
      <c r="K79" s="119"/>
      <c r="L79" s="119"/>
      <c r="M79" s="119"/>
      <c r="N79" s="119"/>
      <c r="O79" s="120"/>
      <c r="P79" s="162"/>
      <c r="Q79" s="163"/>
      <c r="R79" s="163"/>
      <c r="S79" s="164"/>
    </row>
    <row r="80" spans="1:19" ht="18" customHeight="1" x14ac:dyDescent="0.15">
      <c r="A80" s="3"/>
      <c r="B80" s="127"/>
      <c r="C80" s="128"/>
      <c r="D80" s="128"/>
      <c r="E80" s="129"/>
      <c r="F80" s="151"/>
      <c r="G80" s="152"/>
      <c r="H80" s="152"/>
      <c r="I80" s="153"/>
      <c r="J80" s="127"/>
      <c r="K80" s="128"/>
      <c r="L80" s="128"/>
      <c r="M80" s="128"/>
      <c r="N80" s="128"/>
      <c r="O80" s="129"/>
      <c r="P80" s="151"/>
      <c r="Q80" s="152"/>
      <c r="R80" s="152"/>
      <c r="S80" s="153"/>
    </row>
    <row r="81" spans="1:19" ht="18" customHeight="1" x14ac:dyDescent="0.15">
      <c r="A81" s="3"/>
      <c r="B81" s="127"/>
      <c r="C81" s="128"/>
      <c r="D81" s="128"/>
      <c r="E81" s="129"/>
      <c r="F81" s="151"/>
      <c r="G81" s="152"/>
      <c r="H81" s="152"/>
      <c r="I81" s="153"/>
      <c r="J81" s="127"/>
      <c r="K81" s="128"/>
      <c r="L81" s="128"/>
      <c r="M81" s="128"/>
      <c r="N81" s="128"/>
      <c r="O81" s="129"/>
      <c r="P81" s="151"/>
      <c r="Q81" s="152"/>
      <c r="R81" s="152"/>
      <c r="S81" s="153"/>
    </row>
    <row r="82" spans="1:19" ht="18" customHeight="1" x14ac:dyDescent="0.15">
      <c r="A82" s="3"/>
      <c r="B82" s="127"/>
      <c r="C82" s="128"/>
      <c r="D82" s="128"/>
      <c r="E82" s="129"/>
      <c r="F82" s="151"/>
      <c r="G82" s="152"/>
      <c r="H82" s="152"/>
      <c r="I82" s="153"/>
      <c r="J82" s="127"/>
      <c r="K82" s="128"/>
      <c r="L82" s="128"/>
      <c r="M82" s="128"/>
      <c r="N82" s="128"/>
      <c r="O82" s="129"/>
      <c r="P82" s="151"/>
      <c r="Q82" s="152"/>
      <c r="R82" s="152"/>
      <c r="S82" s="153"/>
    </row>
    <row r="83" spans="1:19" ht="18" customHeight="1" x14ac:dyDescent="0.15">
      <c r="A83" s="3"/>
      <c r="B83" s="127"/>
      <c r="C83" s="128"/>
      <c r="D83" s="128"/>
      <c r="E83" s="129"/>
      <c r="F83" s="151"/>
      <c r="G83" s="152"/>
      <c r="H83" s="152"/>
      <c r="I83" s="153"/>
      <c r="J83" s="127"/>
      <c r="K83" s="128"/>
      <c r="L83" s="128"/>
      <c r="M83" s="128"/>
      <c r="N83" s="128"/>
      <c r="O83" s="129"/>
      <c r="P83" s="151"/>
      <c r="Q83" s="152"/>
      <c r="R83" s="152"/>
      <c r="S83" s="153"/>
    </row>
    <row r="84" spans="1:19" ht="18" customHeight="1" x14ac:dyDescent="0.15">
      <c r="A84" s="3"/>
      <c r="B84" s="127"/>
      <c r="C84" s="128"/>
      <c r="D84" s="128"/>
      <c r="E84" s="129"/>
      <c r="F84" s="151"/>
      <c r="G84" s="152"/>
      <c r="H84" s="152"/>
      <c r="I84" s="153"/>
      <c r="J84" s="127"/>
      <c r="K84" s="128"/>
      <c r="L84" s="128"/>
      <c r="M84" s="128"/>
      <c r="N84" s="128"/>
      <c r="O84" s="129"/>
      <c r="P84" s="151"/>
      <c r="Q84" s="152"/>
      <c r="R84" s="152"/>
      <c r="S84" s="153"/>
    </row>
    <row r="85" spans="1:19" ht="18" customHeight="1" x14ac:dyDescent="0.15">
      <c r="A85" s="3"/>
      <c r="B85" s="130"/>
      <c r="C85" s="131"/>
      <c r="D85" s="131"/>
      <c r="E85" s="132"/>
      <c r="F85" s="134"/>
      <c r="G85" s="135"/>
      <c r="H85" s="135"/>
      <c r="I85" s="136"/>
      <c r="J85" s="130"/>
      <c r="K85" s="131"/>
      <c r="L85" s="131"/>
      <c r="M85" s="131"/>
      <c r="N85" s="131"/>
      <c r="O85" s="132"/>
      <c r="P85" s="134"/>
      <c r="Q85" s="135"/>
      <c r="R85" s="135"/>
      <c r="S85" s="136"/>
    </row>
    <row r="86" spans="1:19" ht="18" customHeight="1" x14ac:dyDescent="0.15">
      <c r="A86" s="3"/>
      <c r="B86" s="6"/>
      <c r="C86" s="6"/>
      <c r="D86" s="6"/>
      <c r="E86" s="6"/>
      <c r="F86" s="24"/>
      <c r="G86" s="24"/>
      <c r="H86" s="24"/>
      <c r="I86" s="24"/>
      <c r="J86" s="6"/>
      <c r="K86" s="6"/>
      <c r="L86" s="6"/>
      <c r="M86" s="6"/>
      <c r="N86" s="6"/>
      <c r="O86" s="6"/>
      <c r="P86" s="24"/>
      <c r="Q86" s="24"/>
      <c r="R86" s="24"/>
      <c r="S86" s="24"/>
    </row>
    <row r="87" spans="1:19" ht="18.75" customHeight="1" x14ac:dyDescent="0.15">
      <c r="A87" s="1" t="s">
        <v>120</v>
      </c>
    </row>
    <row r="88" spans="1:19" ht="18.75" customHeight="1" x14ac:dyDescent="0.15">
      <c r="B88" s="160" t="s">
        <v>55</v>
      </c>
      <c r="C88" s="161"/>
      <c r="D88" s="113" t="s">
        <v>56</v>
      </c>
      <c r="E88" s="113"/>
      <c r="F88" s="113"/>
      <c r="G88" s="113"/>
      <c r="H88" s="113"/>
      <c r="I88" s="113"/>
      <c r="J88" s="113"/>
      <c r="K88" s="113"/>
      <c r="L88" s="113"/>
      <c r="M88" s="113"/>
      <c r="N88" s="113"/>
      <c r="O88" s="113"/>
      <c r="P88" s="113"/>
      <c r="Q88" s="113"/>
      <c r="R88" s="113"/>
      <c r="S88" s="114"/>
    </row>
    <row r="89" spans="1:19" s="87" customFormat="1" ht="120" customHeight="1" x14ac:dyDescent="0.15">
      <c r="B89" s="157" t="s">
        <v>62</v>
      </c>
      <c r="C89" s="88" t="s">
        <v>57</v>
      </c>
      <c r="D89" s="97" t="s">
        <v>160</v>
      </c>
      <c r="E89" s="98"/>
      <c r="F89" s="98"/>
      <c r="G89" s="98"/>
      <c r="H89" s="98"/>
      <c r="I89" s="98"/>
      <c r="J89" s="98"/>
      <c r="K89" s="98"/>
      <c r="L89" s="98"/>
      <c r="M89" s="98"/>
      <c r="N89" s="98"/>
      <c r="O89" s="98"/>
      <c r="P89" s="98"/>
      <c r="Q89" s="98"/>
      <c r="R89" s="98"/>
      <c r="S89" s="99"/>
    </row>
    <row r="90" spans="1:19" s="87" customFormat="1" ht="60" customHeight="1" x14ac:dyDescent="0.15">
      <c r="B90" s="158"/>
      <c r="C90" s="89" t="s">
        <v>78</v>
      </c>
      <c r="D90" s="94" t="s">
        <v>161</v>
      </c>
      <c r="E90" s="95"/>
      <c r="F90" s="95"/>
      <c r="G90" s="95"/>
      <c r="H90" s="95"/>
      <c r="I90" s="95"/>
      <c r="J90" s="95"/>
      <c r="K90" s="95"/>
      <c r="L90" s="95"/>
      <c r="M90" s="95"/>
      <c r="N90" s="95"/>
      <c r="O90" s="95"/>
      <c r="P90" s="95"/>
      <c r="Q90" s="95"/>
      <c r="R90" s="95"/>
      <c r="S90" s="96"/>
    </row>
    <row r="91" spans="1:19" s="87" customFormat="1" ht="99.95" customHeight="1" x14ac:dyDescent="0.15">
      <c r="B91" s="157" t="s">
        <v>63</v>
      </c>
      <c r="C91" s="90" t="s">
        <v>72</v>
      </c>
      <c r="D91" s="97" t="s">
        <v>162</v>
      </c>
      <c r="E91" s="98"/>
      <c r="F91" s="98"/>
      <c r="G91" s="98"/>
      <c r="H91" s="98"/>
      <c r="I91" s="98"/>
      <c r="J91" s="98"/>
      <c r="K91" s="98"/>
      <c r="L91" s="98"/>
      <c r="M91" s="98"/>
      <c r="N91" s="98"/>
      <c r="O91" s="98"/>
      <c r="P91" s="98"/>
      <c r="Q91" s="98"/>
      <c r="R91" s="98"/>
      <c r="S91" s="99"/>
    </row>
    <row r="92" spans="1:19" s="87" customFormat="1" ht="80.099999999999994" customHeight="1" x14ac:dyDescent="0.15">
      <c r="B92" s="158"/>
      <c r="C92" s="91" t="s">
        <v>73</v>
      </c>
      <c r="D92" s="94" t="s">
        <v>163</v>
      </c>
      <c r="E92" s="95"/>
      <c r="F92" s="95"/>
      <c r="G92" s="95"/>
      <c r="H92" s="95"/>
      <c r="I92" s="95"/>
      <c r="J92" s="95"/>
      <c r="K92" s="95"/>
      <c r="L92" s="95"/>
      <c r="M92" s="95"/>
      <c r="N92" s="95"/>
      <c r="O92" s="95"/>
      <c r="P92" s="95"/>
      <c r="Q92" s="95"/>
      <c r="R92" s="95"/>
      <c r="S92" s="96"/>
    </row>
    <row r="93" spans="1:19" s="87" customFormat="1" ht="140.1" customHeight="1" x14ac:dyDescent="0.15">
      <c r="B93" s="157" t="s">
        <v>64</v>
      </c>
      <c r="C93" s="90" t="s">
        <v>74</v>
      </c>
      <c r="D93" s="97" t="s">
        <v>164</v>
      </c>
      <c r="E93" s="98"/>
      <c r="F93" s="98"/>
      <c r="G93" s="98"/>
      <c r="H93" s="98"/>
      <c r="I93" s="98"/>
      <c r="J93" s="98"/>
      <c r="K93" s="98"/>
      <c r="L93" s="98"/>
      <c r="M93" s="98"/>
      <c r="N93" s="98"/>
      <c r="O93" s="98"/>
      <c r="P93" s="98"/>
      <c r="Q93" s="98"/>
      <c r="R93" s="98"/>
      <c r="S93" s="99"/>
    </row>
    <row r="94" spans="1:19" s="87" customFormat="1" ht="60" customHeight="1" x14ac:dyDescent="0.15">
      <c r="B94" s="158"/>
      <c r="C94" s="92" t="s">
        <v>75</v>
      </c>
      <c r="D94" s="94" t="s">
        <v>165</v>
      </c>
      <c r="E94" s="95"/>
      <c r="F94" s="95"/>
      <c r="G94" s="95"/>
      <c r="H94" s="95"/>
      <c r="I94" s="95"/>
      <c r="J94" s="95"/>
      <c r="K94" s="95"/>
      <c r="L94" s="95"/>
      <c r="M94" s="95"/>
      <c r="N94" s="95"/>
      <c r="O94" s="95"/>
      <c r="P94" s="95"/>
      <c r="Q94" s="95"/>
      <c r="R94" s="95"/>
      <c r="S94" s="96"/>
    </row>
    <row r="95" spans="1:19" s="87" customFormat="1" ht="140.1" customHeight="1" x14ac:dyDescent="0.15">
      <c r="B95" s="157" t="s">
        <v>79</v>
      </c>
      <c r="C95" s="88" t="s">
        <v>59</v>
      </c>
      <c r="D95" s="97" t="s">
        <v>166</v>
      </c>
      <c r="E95" s="98"/>
      <c r="F95" s="98"/>
      <c r="G95" s="98"/>
      <c r="H95" s="98"/>
      <c r="I95" s="98"/>
      <c r="J95" s="98"/>
      <c r="K95" s="98"/>
      <c r="L95" s="98"/>
      <c r="M95" s="98"/>
      <c r="N95" s="98"/>
      <c r="O95" s="98"/>
      <c r="P95" s="98"/>
      <c r="Q95" s="98"/>
      <c r="R95" s="98"/>
      <c r="S95" s="99"/>
    </row>
    <row r="96" spans="1:19" s="87" customFormat="1" ht="60" customHeight="1" x14ac:dyDescent="0.15">
      <c r="B96" s="158"/>
      <c r="C96" s="91" t="s">
        <v>61</v>
      </c>
      <c r="D96" s="94" t="s">
        <v>167</v>
      </c>
      <c r="E96" s="95"/>
      <c r="F96" s="95"/>
      <c r="G96" s="95"/>
      <c r="H96" s="95"/>
      <c r="I96" s="95"/>
      <c r="J96" s="95"/>
      <c r="K96" s="95"/>
      <c r="L96" s="95"/>
      <c r="M96" s="95"/>
      <c r="N96" s="95"/>
      <c r="O96" s="95"/>
      <c r="P96" s="95"/>
      <c r="Q96" s="95"/>
      <c r="R96" s="95"/>
      <c r="S96" s="96"/>
    </row>
    <row r="97" spans="1:19" s="87" customFormat="1" ht="140.1" customHeight="1" x14ac:dyDescent="0.15">
      <c r="B97" s="157" t="s">
        <v>80</v>
      </c>
      <c r="C97" s="90" t="s">
        <v>58</v>
      </c>
      <c r="D97" s="103" t="s">
        <v>168</v>
      </c>
      <c r="E97" s="104"/>
      <c r="F97" s="104"/>
      <c r="G97" s="104"/>
      <c r="H97" s="104"/>
      <c r="I97" s="104"/>
      <c r="J97" s="104"/>
      <c r="K97" s="104"/>
      <c r="L97" s="104"/>
      <c r="M97" s="104"/>
      <c r="N97" s="104"/>
      <c r="O97" s="104"/>
      <c r="P97" s="104"/>
      <c r="Q97" s="104"/>
      <c r="R97" s="104"/>
      <c r="S97" s="105"/>
    </row>
    <row r="98" spans="1:19" s="87" customFormat="1" ht="99.95" customHeight="1" x14ac:dyDescent="0.15">
      <c r="B98" s="159"/>
      <c r="C98" s="93" t="s">
        <v>76</v>
      </c>
      <c r="D98" s="100" t="s">
        <v>169</v>
      </c>
      <c r="E98" s="101"/>
      <c r="F98" s="101"/>
      <c r="G98" s="101"/>
      <c r="H98" s="101"/>
      <c r="I98" s="101"/>
      <c r="J98" s="101"/>
      <c r="K98" s="101"/>
      <c r="L98" s="101"/>
      <c r="M98" s="101"/>
      <c r="N98" s="101"/>
      <c r="O98" s="101"/>
      <c r="P98" s="101"/>
      <c r="Q98" s="101"/>
      <c r="R98" s="101"/>
      <c r="S98" s="102"/>
    </row>
    <row r="99" spans="1:19" s="87" customFormat="1" ht="80.099999999999994" customHeight="1" x14ac:dyDescent="0.15">
      <c r="B99" s="158"/>
      <c r="C99" s="92" t="s">
        <v>77</v>
      </c>
      <c r="D99" s="106" t="s">
        <v>170</v>
      </c>
      <c r="E99" s="107"/>
      <c r="F99" s="107"/>
      <c r="G99" s="107"/>
      <c r="H99" s="107"/>
      <c r="I99" s="107"/>
      <c r="J99" s="107"/>
      <c r="K99" s="107"/>
      <c r="L99" s="107"/>
      <c r="M99" s="107"/>
      <c r="N99" s="107"/>
      <c r="O99" s="107"/>
      <c r="P99" s="107"/>
      <c r="Q99" s="107"/>
      <c r="R99" s="107"/>
      <c r="S99" s="108"/>
    </row>
    <row r="100" spans="1:19" ht="6" customHeight="1" x14ac:dyDescent="0.15"/>
    <row r="101" spans="1:19" ht="18.75" customHeight="1" x14ac:dyDescent="0.15">
      <c r="A101" s="1" t="s">
        <v>121</v>
      </c>
    </row>
    <row r="102" spans="1:19" ht="81.75" customHeight="1" x14ac:dyDescent="0.15">
      <c r="B102" s="109" t="s">
        <v>155</v>
      </c>
      <c r="C102" s="110"/>
      <c r="D102" s="110"/>
      <c r="E102" s="110"/>
      <c r="F102" s="110"/>
      <c r="G102" s="110"/>
      <c r="H102" s="110"/>
      <c r="I102" s="110"/>
      <c r="J102" s="110"/>
      <c r="K102" s="110"/>
      <c r="L102" s="110"/>
      <c r="M102" s="110"/>
      <c r="N102" s="110"/>
      <c r="O102" s="110"/>
      <c r="P102" s="110"/>
      <c r="Q102" s="110"/>
      <c r="R102" s="110"/>
      <c r="S102" s="111"/>
    </row>
    <row r="110" spans="1:19" ht="18" customHeight="1" x14ac:dyDescent="0.15"/>
  </sheetData>
  <mergeCells count="145">
    <mergeCell ref="B97:B99"/>
    <mergeCell ref="B95:B96"/>
    <mergeCell ref="J73:N73"/>
    <mergeCell ref="J74:N74"/>
    <mergeCell ref="B49:E49"/>
    <mergeCell ref="A55:S56"/>
    <mergeCell ref="J75:N75"/>
    <mergeCell ref="J85:O85"/>
    <mergeCell ref="B88:C88"/>
    <mergeCell ref="D88:S88"/>
    <mergeCell ref="J79:O79"/>
    <mergeCell ref="P79:S79"/>
    <mergeCell ref="P78:S78"/>
    <mergeCell ref="B79:E79"/>
    <mergeCell ref="J59:O59"/>
    <mergeCell ref="B78:E78"/>
    <mergeCell ref="F79:I79"/>
    <mergeCell ref="P81:S81"/>
    <mergeCell ref="P82:S82"/>
    <mergeCell ref="B91:B92"/>
    <mergeCell ref="J57:O57"/>
    <mergeCell ref="J58:O58"/>
    <mergeCell ref="B71:D71"/>
    <mergeCell ref="B72:D7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D90:S90"/>
    <mergeCell ref="D89:S89"/>
    <mergeCell ref="D91:S91"/>
    <mergeCell ref="D92:S92"/>
    <mergeCell ref="D94:S94"/>
    <mergeCell ref="D93:S93"/>
    <mergeCell ref="P85:S85"/>
    <mergeCell ref="B80:E80"/>
    <mergeCell ref="F80:I80"/>
    <mergeCell ref="J80:O80"/>
    <mergeCell ref="B60:E60"/>
    <mergeCell ref="B61:E61"/>
    <mergeCell ref="B62:E62"/>
    <mergeCell ref="B63:E63"/>
    <mergeCell ref="B64:E64"/>
    <mergeCell ref="J46:O46"/>
    <mergeCell ref="F78:I78"/>
    <mergeCell ref="J78:O78"/>
    <mergeCell ref="B70:D70"/>
    <mergeCell ref="J53:O53"/>
    <mergeCell ref="B69:D69"/>
    <mergeCell ref="J47:O47"/>
    <mergeCell ref="J48:O48"/>
    <mergeCell ref="J49:O49"/>
    <mergeCell ref="J50:O50"/>
    <mergeCell ref="J51:O51"/>
    <mergeCell ref="J52:O52"/>
    <mergeCell ref="A66:S67"/>
    <mergeCell ref="P80:S80"/>
    <mergeCell ref="B83:E83"/>
    <mergeCell ref="F83:I83"/>
    <mergeCell ref="J83:O83"/>
    <mergeCell ref="P83:S83"/>
    <mergeCell ref="B81:E81"/>
    <mergeCell ref="B84:E84"/>
    <mergeCell ref="F84:I84"/>
    <mergeCell ref="J84:O84"/>
    <mergeCell ref="P84:S84"/>
    <mergeCell ref="B85:E85"/>
    <mergeCell ref="F85:I85"/>
    <mergeCell ref="R1:S1"/>
    <mergeCell ref="B24:E24"/>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A5:S5"/>
    <mergeCell ref="B13:S18"/>
    <mergeCell ref="A22:S23"/>
    <mergeCell ref="B52:E52"/>
    <mergeCell ref="B53:E53"/>
    <mergeCell ref="A33:S34"/>
    <mergeCell ref="B35:E35"/>
    <mergeCell ref="B37:E37"/>
    <mergeCell ref="B57:E57"/>
    <mergeCell ref="B59:E59"/>
    <mergeCell ref="B46:E46"/>
    <mergeCell ref="B48:E48"/>
    <mergeCell ref="J35:O35"/>
    <mergeCell ref="J36:O36"/>
    <mergeCell ref="J37:O37"/>
    <mergeCell ref="J38:O38"/>
    <mergeCell ref="B38:E38"/>
    <mergeCell ref="B39:E39"/>
    <mergeCell ref="B40:E40"/>
    <mergeCell ref="B41:E41"/>
    <mergeCell ref="B42:E42"/>
    <mergeCell ref="J39:O39"/>
    <mergeCell ref="J40:O40"/>
    <mergeCell ref="J41:O41"/>
    <mergeCell ref="J42:O42"/>
    <mergeCell ref="A44:S45"/>
    <mergeCell ref="D96:S96"/>
    <mergeCell ref="D95:S95"/>
    <mergeCell ref="D98:S98"/>
    <mergeCell ref="D97:S97"/>
    <mergeCell ref="D99:S99"/>
    <mergeCell ref="B102:S102"/>
    <mergeCell ref="C2:I2"/>
    <mergeCell ref="C3:I3"/>
    <mergeCell ref="K7:S7"/>
    <mergeCell ref="C20:D20"/>
    <mergeCell ref="B25:E25"/>
    <mergeCell ref="B36:E36"/>
    <mergeCell ref="B47:E47"/>
    <mergeCell ref="B58:E58"/>
    <mergeCell ref="B9:S10"/>
    <mergeCell ref="J60:O60"/>
    <mergeCell ref="J61:O61"/>
    <mergeCell ref="J62:O62"/>
    <mergeCell ref="J63:O63"/>
    <mergeCell ref="J64:O64"/>
    <mergeCell ref="B68:D68"/>
    <mergeCell ref="J68:N68"/>
    <mergeCell ref="B50:E50"/>
    <mergeCell ref="B51:E51"/>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C1" zoomScaleNormal="100" zoomScaleSheetLayoutView="100" workbookViewId="0">
      <selection activeCell="Q38" sqref="Q38"/>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6"/>
      <c r="Q2" s="26"/>
      <c r="W2" s="26"/>
      <c r="AC2" s="26"/>
      <c r="AI2" s="26"/>
      <c r="AL2" s="26" t="s">
        <v>109</v>
      </c>
      <c r="AM2" s="165" t="str">
        <f>'様式１　プログラムを構成する授業科目'!C2</f>
        <v>帝塚山学院大学</v>
      </c>
      <c r="AN2" s="165"/>
      <c r="AO2" s="165"/>
      <c r="AP2" s="165"/>
      <c r="AQ2" s="165"/>
    </row>
    <row r="3" spans="1:45" ht="18" customHeight="1" x14ac:dyDescent="0.15">
      <c r="A3" s="141" t="s">
        <v>48</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7" t="s">
        <v>136</v>
      </c>
      <c r="D5" s="18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45</v>
      </c>
      <c r="C9" s="184" t="s">
        <v>87</v>
      </c>
      <c r="D9" s="172" t="s">
        <v>47</v>
      </c>
      <c r="E9" s="175" t="s">
        <v>40</v>
      </c>
      <c r="F9" s="168" t="s">
        <v>86</v>
      </c>
      <c r="G9" s="168"/>
      <c r="H9" s="168"/>
      <c r="I9" s="168"/>
      <c r="J9" s="168"/>
      <c r="K9" s="168"/>
      <c r="L9" s="168" t="s">
        <v>49</v>
      </c>
      <c r="M9" s="168"/>
      <c r="N9" s="168"/>
      <c r="O9" s="168"/>
      <c r="P9" s="168"/>
      <c r="Q9" s="168"/>
      <c r="R9" s="168" t="s">
        <v>50</v>
      </c>
      <c r="S9" s="168"/>
      <c r="T9" s="168"/>
      <c r="U9" s="168"/>
      <c r="V9" s="168"/>
      <c r="W9" s="168"/>
      <c r="X9" s="168" t="s">
        <v>101</v>
      </c>
      <c r="Y9" s="168"/>
      <c r="Z9" s="168"/>
      <c r="AA9" s="168"/>
      <c r="AB9" s="168"/>
      <c r="AC9" s="168"/>
      <c r="AD9" s="168" t="s">
        <v>51</v>
      </c>
      <c r="AE9" s="168"/>
      <c r="AF9" s="168"/>
      <c r="AG9" s="168"/>
      <c r="AH9" s="168"/>
      <c r="AI9" s="168"/>
      <c r="AJ9" s="168" t="s">
        <v>52</v>
      </c>
      <c r="AK9" s="168"/>
      <c r="AL9" s="168"/>
      <c r="AM9" s="168"/>
      <c r="AN9" s="168"/>
      <c r="AO9" s="168"/>
      <c r="AP9" s="178" t="s">
        <v>35</v>
      </c>
      <c r="AQ9" s="181" t="s">
        <v>32</v>
      </c>
      <c r="AS9" s="2"/>
    </row>
    <row r="10" spans="1:45" ht="16.899999999999999" customHeight="1" x14ac:dyDescent="0.15">
      <c r="B10" s="170"/>
      <c r="C10" s="185"/>
      <c r="D10" s="173"/>
      <c r="E10" s="176"/>
      <c r="F10" s="166" t="s">
        <v>97</v>
      </c>
      <c r="G10" s="167"/>
      <c r="H10" s="167"/>
      <c r="I10" s="166" t="s">
        <v>29</v>
      </c>
      <c r="J10" s="167"/>
      <c r="K10" s="167"/>
      <c r="L10" s="166" t="s">
        <v>97</v>
      </c>
      <c r="M10" s="167"/>
      <c r="N10" s="167"/>
      <c r="O10" s="166" t="s">
        <v>29</v>
      </c>
      <c r="P10" s="167"/>
      <c r="Q10" s="167"/>
      <c r="R10" s="166" t="s">
        <v>97</v>
      </c>
      <c r="S10" s="167"/>
      <c r="T10" s="167"/>
      <c r="U10" s="166" t="s">
        <v>29</v>
      </c>
      <c r="V10" s="167"/>
      <c r="W10" s="167"/>
      <c r="X10" s="166" t="s">
        <v>97</v>
      </c>
      <c r="Y10" s="167"/>
      <c r="Z10" s="167"/>
      <c r="AA10" s="166" t="s">
        <v>29</v>
      </c>
      <c r="AB10" s="167"/>
      <c r="AC10" s="167"/>
      <c r="AD10" s="166" t="s">
        <v>97</v>
      </c>
      <c r="AE10" s="167"/>
      <c r="AF10" s="167"/>
      <c r="AG10" s="166" t="s">
        <v>29</v>
      </c>
      <c r="AH10" s="167"/>
      <c r="AI10" s="167"/>
      <c r="AJ10" s="166" t="s">
        <v>97</v>
      </c>
      <c r="AK10" s="167"/>
      <c r="AL10" s="167"/>
      <c r="AM10" s="166" t="s">
        <v>29</v>
      </c>
      <c r="AN10" s="167"/>
      <c r="AO10" s="167"/>
      <c r="AP10" s="179"/>
      <c r="AQ10" s="182"/>
      <c r="AS10" s="2"/>
    </row>
    <row r="11" spans="1:45" ht="18" customHeight="1" x14ac:dyDescent="0.15">
      <c r="B11" s="171"/>
      <c r="C11" s="186"/>
      <c r="D11" s="174"/>
      <c r="E11" s="177"/>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80"/>
      <c r="AQ11" s="183"/>
      <c r="AS11" s="2"/>
    </row>
    <row r="12" spans="1:45" ht="18" customHeight="1" x14ac:dyDescent="0.15">
      <c r="A12" s="6"/>
      <c r="B12" s="77" t="s">
        <v>134</v>
      </c>
      <c r="C12" s="79">
        <v>597</v>
      </c>
      <c r="D12" s="79">
        <v>120</v>
      </c>
      <c r="E12" s="80">
        <v>480</v>
      </c>
      <c r="F12" s="54">
        <v>33</v>
      </c>
      <c r="G12" s="55">
        <v>5</v>
      </c>
      <c r="H12" s="56">
        <v>28</v>
      </c>
      <c r="I12" s="54">
        <f>J12+K12</f>
        <v>0</v>
      </c>
      <c r="J12" s="55"/>
      <c r="K12" s="56"/>
      <c r="L12" s="54">
        <f>M12+N12</f>
        <v>0</v>
      </c>
      <c r="M12" s="55"/>
      <c r="N12" s="56"/>
      <c r="O12" s="54">
        <f>P12+Q12</f>
        <v>0</v>
      </c>
      <c r="P12" s="55"/>
      <c r="Q12" s="56"/>
      <c r="R12" s="54">
        <f>S12+T12</f>
        <v>0</v>
      </c>
      <c r="S12" s="55"/>
      <c r="T12" s="56"/>
      <c r="U12" s="54">
        <f>V12+W12</f>
        <v>0</v>
      </c>
      <c r="V12" s="55"/>
      <c r="W12" s="56"/>
      <c r="X12" s="54">
        <f>Y12+Z12</f>
        <v>0</v>
      </c>
      <c r="Y12" s="55"/>
      <c r="Z12" s="56"/>
      <c r="AA12" s="54">
        <f>AB12+AC12</f>
        <v>0</v>
      </c>
      <c r="AB12" s="55"/>
      <c r="AC12" s="56"/>
      <c r="AD12" s="54">
        <f>AE12+AF12</f>
        <v>0</v>
      </c>
      <c r="AE12" s="55"/>
      <c r="AF12" s="56"/>
      <c r="AG12" s="54">
        <f>AH12+AI12</f>
        <v>0</v>
      </c>
      <c r="AH12" s="55"/>
      <c r="AI12" s="56"/>
      <c r="AJ12" s="54">
        <f>AK12+AL12</f>
        <v>0</v>
      </c>
      <c r="AK12" s="55"/>
      <c r="AL12" s="56"/>
      <c r="AM12" s="54">
        <f>AN12+AO12</f>
        <v>0</v>
      </c>
      <c r="AN12" s="55"/>
      <c r="AO12" s="56"/>
      <c r="AP12" s="53">
        <f>F12+L12+R12+X12+AD12+AJ12</f>
        <v>33</v>
      </c>
      <c r="AQ12" s="84">
        <f t="shared" ref="AQ12:AQ32" si="0">AP12/E12</f>
        <v>6.8750000000000006E-2</v>
      </c>
    </row>
    <row r="13" spans="1:45" ht="18" customHeight="1" x14ac:dyDescent="0.15">
      <c r="A13" s="6"/>
      <c r="B13" s="78" t="s">
        <v>135</v>
      </c>
      <c r="C13" s="81">
        <v>1154</v>
      </c>
      <c r="D13" s="81">
        <v>250</v>
      </c>
      <c r="E13" s="82">
        <v>1080</v>
      </c>
      <c r="F13" s="60">
        <v>28</v>
      </c>
      <c r="G13" s="61">
        <v>11</v>
      </c>
      <c r="H13" s="62">
        <v>17</v>
      </c>
      <c r="I13" s="60">
        <f t="shared" ref="I13:I31" si="1">J13+K13</f>
        <v>0</v>
      </c>
      <c r="J13" s="61"/>
      <c r="K13" s="62"/>
      <c r="L13" s="60">
        <f t="shared" ref="L13:L31" si="2">M13+N13</f>
        <v>0</v>
      </c>
      <c r="M13" s="61"/>
      <c r="N13" s="62"/>
      <c r="O13" s="60">
        <f t="shared" ref="O13:O31" si="3">P13+Q13</f>
        <v>0</v>
      </c>
      <c r="P13" s="61"/>
      <c r="Q13" s="62"/>
      <c r="R13" s="60">
        <f t="shared" ref="R13:R31" si="4">S13+T13</f>
        <v>0</v>
      </c>
      <c r="S13" s="61"/>
      <c r="T13" s="62"/>
      <c r="U13" s="60">
        <f t="shared" ref="U13:U31" si="5">V13+W13</f>
        <v>0</v>
      </c>
      <c r="V13" s="61"/>
      <c r="W13" s="62"/>
      <c r="X13" s="60">
        <f t="shared" ref="X13:X31" si="6">Y13+Z13</f>
        <v>0</v>
      </c>
      <c r="Y13" s="61"/>
      <c r="Z13" s="62"/>
      <c r="AA13" s="60">
        <f t="shared" ref="AA13:AA31" si="7">AB13+AC13</f>
        <v>0</v>
      </c>
      <c r="AB13" s="61"/>
      <c r="AC13" s="62"/>
      <c r="AD13" s="60">
        <f t="shared" ref="AD13:AD31" si="8">AE13+AF13</f>
        <v>0</v>
      </c>
      <c r="AE13" s="61"/>
      <c r="AF13" s="62"/>
      <c r="AG13" s="60">
        <f t="shared" ref="AG13:AG31" si="9">AH13+AI13</f>
        <v>0</v>
      </c>
      <c r="AH13" s="61"/>
      <c r="AI13" s="62"/>
      <c r="AJ13" s="60">
        <f t="shared" ref="AJ13:AJ31" si="10">AK13+AL13</f>
        <v>0</v>
      </c>
      <c r="AK13" s="61"/>
      <c r="AL13" s="62"/>
      <c r="AM13" s="60">
        <f t="shared" ref="AM13:AM31" si="11">AN13+AO13</f>
        <v>0</v>
      </c>
      <c r="AN13" s="61"/>
      <c r="AO13" s="62"/>
      <c r="AP13" s="58">
        <f t="shared" ref="AP13:AP31" si="12">F13+L13+R13+X13+AD13+AJ13</f>
        <v>28</v>
      </c>
      <c r="AQ13" s="83">
        <f t="shared" si="0"/>
        <v>2.5925925925925925E-2</v>
      </c>
    </row>
    <row r="14" spans="1:45" ht="18" customHeight="1" x14ac:dyDescent="0.15">
      <c r="A14" s="6"/>
      <c r="B14" s="11"/>
      <c r="C14" s="57"/>
      <c r="D14" s="58"/>
      <c r="E14" s="59"/>
      <c r="F14" s="60">
        <f t="shared" ref="F14:F31" si="13">G14+H14</f>
        <v>0</v>
      </c>
      <c r="G14" s="61"/>
      <c r="H14" s="62"/>
      <c r="I14" s="60">
        <f t="shared" si="1"/>
        <v>0</v>
      </c>
      <c r="J14" s="61"/>
      <c r="K14" s="62"/>
      <c r="L14" s="60">
        <f t="shared" si="2"/>
        <v>0</v>
      </c>
      <c r="M14" s="61"/>
      <c r="N14" s="62"/>
      <c r="O14" s="60">
        <f t="shared" si="3"/>
        <v>0</v>
      </c>
      <c r="P14" s="61"/>
      <c r="Q14" s="62"/>
      <c r="R14" s="60">
        <f t="shared" si="4"/>
        <v>0</v>
      </c>
      <c r="S14" s="61"/>
      <c r="T14" s="62"/>
      <c r="U14" s="60">
        <f t="shared" si="5"/>
        <v>0</v>
      </c>
      <c r="V14" s="61"/>
      <c r="W14" s="62"/>
      <c r="X14" s="60">
        <f t="shared" si="6"/>
        <v>0</v>
      </c>
      <c r="Y14" s="61"/>
      <c r="Z14" s="62"/>
      <c r="AA14" s="60">
        <f t="shared" si="7"/>
        <v>0</v>
      </c>
      <c r="AB14" s="61"/>
      <c r="AC14" s="62"/>
      <c r="AD14" s="60">
        <f t="shared" si="8"/>
        <v>0</v>
      </c>
      <c r="AE14" s="61"/>
      <c r="AF14" s="62"/>
      <c r="AG14" s="60">
        <f t="shared" si="9"/>
        <v>0</v>
      </c>
      <c r="AH14" s="61"/>
      <c r="AI14" s="62"/>
      <c r="AJ14" s="60">
        <f t="shared" si="10"/>
        <v>0</v>
      </c>
      <c r="AK14" s="61"/>
      <c r="AL14" s="62"/>
      <c r="AM14" s="60">
        <f t="shared" si="11"/>
        <v>0</v>
      </c>
      <c r="AN14" s="61"/>
      <c r="AO14" s="62"/>
      <c r="AP14" s="58">
        <f t="shared" si="12"/>
        <v>0</v>
      </c>
      <c r="AQ14" s="8" t="e">
        <f t="shared" si="0"/>
        <v>#DIV/0!</v>
      </c>
    </row>
    <row r="15" spans="1:45" ht="18" customHeight="1" x14ac:dyDescent="0.15">
      <c r="A15" s="6"/>
      <c r="B15" s="11"/>
      <c r="C15" s="57"/>
      <c r="D15" s="58"/>
      <c r="E15" s="59"/>
      <c r="F15" s="60">
        <f t="shared" si="13"/>
        <v>0</v>
      </c>
      <c r="G15" s="61"/>
      <c r="H15" s="62"/>
      <c r="I15" s="60">
        <f t="shared" si="1"/>
        <v>0</v>
      </c>
      <c r="J15" s="61"/>
      <c r="K15" s="62"/>
      <c r="L15" s="60">
        <f t="shared" si="2"/>
        <v>0</v>
      </c>
      <c r="M15" s="61"/>
      <c r="N15" s="62"/>
      <c r="O15" s="60">
        <f t="shared" si="3"/>
        <v>0</v>
      </c>
      <c r="P15" s="61"/>
      <c r="Q15" s="62"/>
      <c r="R15" s="60">
        <f t="shared" si="4"/>
        <v>0</v>
      </c>
      <c r="S15" s="61"/>
      <c r="T15" s="62"/>
      <c r="U15" s="60">
        <f t="shared" si="5"/>
        <v>0</v>
      </c>
      <c r="V15" s="61"/>
      <c r="W15" s="62"/>
      <c r="X15" s="60">
        <f t="shared" si="6"/>
        <v>0</v>
      </c>
      <c r="Y15" s="61"/>
      <c r="Z15" s="62"/>
      <c r="AA15" s="60">
        <f t="shared" si="7"/>
        <v>0</v>
      </c>
      <c r="AB15" s="61"/>
      <c r="AC15" s="62"/>
      <c r="AD15" s="60">
        <f t="shared" si="8"/>
        <v>0</v>
      </c>
      <c r="AE15" s="61"/>
      <c r="AF15" s="62"/>
      <c r="AG15" s="60">
        <f t="shared" si="9"/>
        <v>0</v>
      </c>
      <c r="AH15" s="61"/>
      <c r="AI15" s="62"/>
      <c r="AJ15" s="60">
        <f t="shared" si="10"/>
        <v>0</v>
      </c>
      <c r="AK15" s="61"/>
      <c r="AL15" s="62"/>
      <c r="AM15" s="60">
        <f t="shared" si="11"/>
        <v>0</v>
      </c>
      <c r="AN15" s="61"/>
      <c r="AO15" s="62"/>
      <c r="AP15" s="58">
        <f t="shared" si="12"/>
        <v>0</v>
      </c>
      <c r="AQ15" s="8" t="e">
        <f t="shared" si="0"/>
        <v>#DIV/0!</v>
      </c>
    </row>
    <row r="16" spans="1:45" ht="18" customHeight="1" x14ac:dyDescent="0.15">
      <c r="A16" s="6"/>
      <c r="B16" s="11"/>
      <c r="C16" s="57"/>
      <c r="D16" s="58"/>
      <c r="E16" s="59"/>
      <c r="F16" s="60">
        <f t="shared" si="13"/>
        <v>0</v>
      </c>
      <c r="G16" s="61"/>
      <c r="H16" s="62"/>
      <c r="I16" s="60">
        <f t="shared" si="1"/>
        <v>0</v>
      </c>
      <c r="J16" s="61"/>
      <c r="K16" s="62"/>
      <c r="L16" s="60">
        <f t="shared" si="2"/>
        <v>0</v>
      </c>
      <c r="M16" s="61"/>
      <c r="N16" s="62"/>
      <c r="O16" s="60">
        <f t="shared" si="3"/>
        <v>0</v>
      </c>
      <c r="P16" s="61"/>
      <c r="Q16" s="62"/>
      <c r="R16" s="60">
        <f t="shared" si="4"/>
        <v>0</v>
      </c>
      <c r="S16" s="61"/>
      <c r="T16" s="62"/>
      <c r="U16" s="60">
        <f t="shared" si="5"/>
        <v>0</v>
      </c>
      <c r="V16" s="61"/>
      <c r="W16" s="62"/>
      <c r="X16" s="60">
        <f t="shared" si="6"/>
        <v>0</v>
      </c>
      <c r="Y16" s="61"/>
      <c r="Z16" s="62"/>
      <c r="AA16" s="60">
        <f t="shared" si="7"/>
        <v>0</v>
      </c>
      <c r="AB16" s="61"/>
      <c r="AC16" s="62"/>
      <c r="AD16" s="60">
        <f t="shared" si="8"/>
        <v>0</v>
      </c>
      <c r="AE16" s="61"/>
      <c r="AF16" s="62"/>
      <c r="AG16" s="60">
        <f t="shared" si="9"/>
        <v>0</v>
      </c>
      <c r="AH16" s="61"/>
      <c r="AI16" s="62"/>
      <c r="AJ16" s="60">
        <f t="shared" si="10"/>
        <v>0</v>
      </c>
      <c r="AK16" s="61"/>
      <c r="AL16" s="62"/>
      <c r="AM16" s="60">
        <f t="shared" si="11"/>
        <v>0</v>
      </c>
      <c r="AN16" s="61"/>
      <c r="AO16" s="62"/>
      <c r="AP16" s="58">
        <f t="shared" si="12"/>
        <v>0</v>
      </c>
      <c r="AQ16" s="8" t="e">
        <f t="shared" si="0"/>
        <v>#DIV/0!</v>
      </c>
    </row>
    <row r="17" spans="1:43" ht="18" customHeight="1" x14ac:dyDescent="0.15">
      <c r="A17" s="6"/>
      <c r="B17" s="11"/>
      <c r="C17" s="57"/>
      <c r="D17" s="58"/>
      <c r="E17" s="59"/>
      <c r="F17" s="60">
        <f t="shared" si="13"/>
        <v>0</v>
      </c>
      <c r="G17" s="61"/>
      <c r="H17" s="62"/>
      <c r="I17" s="60">
        <f t="shared" si="1"/>
        <v>0</v>
      </c>
      <c r="J17" s="61"/>
      <c r="K17" s="62"/>
      <c r="L17" s="60">
        <f t="shared" si="2"/>
        <v>0</v>
      </c>
      <c r="M17" s="61"/>
      <c r="N17" s="62"/>
      <c r="O17" s="60">
        <f t="shared" si="3"/>
        <v>0</v>
      </c>
      <c r="P17" s="61"/>
      <c r="Q17" s="62"/>
      <c r="R17" s="60">
        <f t="shared" si="4"/>
        <v>0</v>
      </c>
      <c r="S17" s="61"/>
      <c r="T17" s="62"/>
      <c r="U17" s="60">
        <f t="shared" si="5"/>
        <v>0</v>
      </c>
      <c r="V17" s="61"/>
      <c r="W17" s="62"/>
      <c r="X17" s="60">
        <f t="shared" si="6"/>
        <v>0</v>
      </c>
      <c r="Y17" s="61"/>
      <c r="Z17" s="62"/>
      <c r="AA17" s="60">
        <f t="shared" si="7"/>
        <v>0</v>
      </c>
      <c r="AB17" s="61"/>
      <c r="AC17" s="62"/>
      <c r="AD17" s="60">
        <f t="shared" si="8"/>
        <v>0</v>
      </c>
      <c r="AE17" s="61"/>
      <c r="AF17" s="62"/>
      <c r="AG17" s="60">
        <f t="shared" si="9"/>
        <v>0</v>
      </c>
      <c r="AH17" s="61"/>
      <c r="AI17" s="62"/>
      <c r="AJ17" s="60">
        <f t="shared" si="10"/>
        <v>0</v>
      </c>
      <c r="AK17" s="61"/>
      <c r="AL17" s="62"/>
      <c r="AM17" s="60">
        <f t="shared" si="11"/>
        <v>0</v>
      </c>
      <c r="AN17" s="61"/>
      <c r="AO17" s="62"/>
      <c r="AP17" s="58">
        <f t="shared" si="12"/>
        <v>0</v>
      </c>
      <c r="AQ17" s="8" t="e">
        <f t="shared" si="0"/>
        <v>#DIV/0!</v>
      </c>
    </row>
    <row r="18" spans="1:43" ht="18" customHeight="1" x14ac:dyDescent="0.15">
      <c r="A18" s="6"/>
      <c r="B18" s="11"/>
      <c r="C18" s="57"/>
      <c r="D18" s="58"/>
      <c r="E18" s="59"/>
      <c r="F18" s="60">
        <f t="shared" si="13"/>
        <v>0</v>
      </c>
      <c r="G18" s="61"/>
      <c r="H18" s="62"/>
      <c r="I18" s="60">
        <f t="shared" si="1"/>
        <v>0</v>
      </c>
      <c r="J18" s="61"/>
      <c r="K18" s="62"/>
      <c r="L18" s="60">
        <f t="shared" si="2"/>
        <v>0</v>
      </c>
      <c r="M18" s="61"/>
      <c r="N18" s="62"/>
      <c r="O18" s="60">
        <f t="shared" si="3"/>
        <v>0</v>
      </c>
      <c r="P18" s="61"/>
      <c r="Q18" s="62"/>
      <c r="R18" s="60">
        <f t="shared" si="4"/>
        <v>0</v>
      </c>
      <c r="S18" s="61"/>
      <c r="T18" s="62"/>
      <c r="U18" s="60">
        <f t="shared" si="5"/>
        <v>0</v>
      </c>
      <c r="V18" s="61"/>
      <c r="W18" s="62"/>
      <c r="X18" s="60">
        <f t="shared" si="6"/>
        <v>0</v>
      </c>
      <c r="Y18" s="61"/>
      <c r="Z18" s="62"/>
      <c r="AA18" s="60">
        <f t="shared" si="7"/>
        <v>0</v>
      </c>
      <c r="AB18" s="61"/>
      <c r="AC18" s="62"/>
      <c r="AD18" s="60">
        <f t="shared" si="8"/>
        <v>0</v>
      </c>
      <c r="AE18" s="61"/>
      <c r="AF18" s="62"/>
      <c r="AG18" s="60">
        <f t="shared" si="9"/>
        <v>0</v>
      </c>
      <c r="AH18" s="61"/>
      <c r="AI18" s="62"/>
      <c r="AJ18" s="60">
        <f t="shared" si="10"/>
        <v>0</v>
      </c>
      <c r="AK18" s="61"/>
      <c r="AL18" s="62"/>
      <c r="AM18" s="60">
        <f t="shared" si="11"/>
        <v>0</v>
      </c>
      <c r="AN18" s="61"/>
      <c r="AO18" s="62"/>
      <c r="AP18" s="58">
        <f t="shared" si="12"/>
        <v>0</v>
      </c>
      <c r="AQ18" s="8" t="e">
        <f t="shared" si="0"/>
        <v>#DIV/0!</v>
      </c>
    </row>
    <row r="19" spans="1:43" ht="18" customHeight="1" x14ac:dyDescent="0.15">
      <c r="A19" s="6"/>
      <c r="B19" s="11"/>
      <c r="C19" s="57"/>
      <c r="D19" s="58"/>
      <c r="E19" s="59"/>
      <c r="F19" s="60">
        <f t="shared" si="13"/>
        <v>0</v>
      </c>
      <c r="G19" s="61"/>
      <c r="H19" s="62"/>
      <c r="I19" s="60">
        <f t="shared" si="1"/>
        <v>0</v>
      </c>
      <c r="J19" s="61"/>
      <c r="K19" s="62"/>
      <c r="L19" s="60">
        <f t="shared" si="2"/>
        <v>0</v>
      </c>
      <c r="M19" s="61"/>
      <c r="N19" s="62"/>
      <c r="O19" s="60">
        <f t="shared" si="3"/>
        <v>0</v>
      </c>
      <c r="P19" s="61"/>
      <c r="Q19" s="62"/>
      <c r="R19" s="60">
        <f t="shared" si="4"/>
        <v>0</v>
      </c>
      <c r="S19" s="61"/>
      <c r="T19" s="62"/>
      <c r="U19" s="60">
        <f t="shared" si="5"/>
        <v>0</v>
      </c>
      <c r="V19" s="61"/>
      <c r="W19" s="62"/>
      <c r="X19" s="60">
        <f t="shared" si="6"/>
        <v>0</v>
      </c>
      <c r="Y19" s="61"/>
      <c r="Z19" s="62"/>
      <c r="AA19" s="60">
        <f t="shared" si="7"/>
        <v>0</v>
      </c>
      <c r="AB19" s="61"/>
      <c r="AC19" s="62"/>
      <c r="AD19" s="60">
        <f t="shared" si="8"/>
        <v>0</v>
      </c>
      <c r="AE19" s="61"/>
      <c r="AF19" s="62"/>
      <c r="AG19" s="60">
        <f t="shared" si="9"/>
        <v>0</v>
      </c>
      <c r="AH19" s="61"/>
      <c r="AI19" s="62"/>
      <c r="AJ19" s="60">
        <f t="shared" si="10"/>
        <v>0</v>
      </c>
      <c r="AK19" s="61"/>
      <c r="AL19" s="62"/>
      <c r="AM19" s="60">
        <f t="shared" si="11"/>
        <v>0</v>
      </c>
      <c r="AN19" s="61"/>
      <c r="AO19" s="62"/>
      <c r="AP19" s="58">
        <f t="shared" si="12"/>
        <v>0</v>
      </c>
      <c r="AQ19" s="8" t="e">
        <f t="shared" si="0"/>
        <v>#DIV/0!</v>
      </c>
    </row>
    <row r="20" spans="1:43" ht="18" customHeight="1" x14ac:dyDescent="0.15">
      <c r="A20" s="6"/>
      <c r="B20" s="11"/>
      <c r="C20" s="57"/>
      <c r="D20" s="58"/>
      <c r="E20" s="59"/>
      <c r="F20" s="60">
        <f t="shared" si="13"/>
        <v>0</v>
      </c>
      <c r="G20" s="61"/>
      <c r="H20" s="62"/>
      <c r="I20" s="60">
        <f t="shared" si="1"/>
        <v>0</v>
      </c>
      <c r="J20" s="61"/>
      <c r="K20" s="62"/>
      <c r="L20" s="60">
        <f t="shared" si="2"/>
        <v>0</v>
      </c>
      <c r="M20" s="61"/>
      <c r="N20" s="62"/>
      <c r="O20" s="60">
        <f t="shared" si="3"/>
        <v>0</v>
      </c>
      <c r="P20" s="61"/>
      <c r="Q20" s="62"/>
      <c r="R20" s="60">
        <f t="shared" si="4"/>
        <v>0</v>
      </c>
      <c r="S20" s="61"/>
      <c r="T20" s="62"/>
      <c r="U20" s="60">
        <f t="shared" si="5"/>
        <v>0</v>
      </c>
      <c r="V20" s="61"/>
      <c r="W20" s="62"/>
      <c r="X20" s="60">
        <f t="shared" si="6"/>
        <v>0</v>
      </c>
      <c r="Y20" s="61"/>
      <c r="Z20" s="62"/>
      <c r="AA20" s="60">
        <f t="shared" si="7"/>
        <v>0</v>
      </c>
      <c r="AB20" s="61"/>
      <c r="AC20" s="62"/>
      <c r="AD20" s="60">
        <f t="shared" si="8"/>
        <v>0</v>
      </c>
      <c r="AE20" s="61"/>
      <c r="AF20" s="62"/>
      <c r="AG20" s="60">
        <f t="shared" si="9"/>
        <v>0</v>
      </c>
      <c r="AH20" s="61"/>
      <c r="AI20" s="62"/>
      <c r="AJ20" s="60">
        <f t="shared" si="10"/>
        <v>0</v>
      </c>
      <c r="AK20" s="61"/>
      <c r="AL20" s="62"/>
      <c r="AM20" s="60">
        <f t="shared" si="11"/>
        <v>0</v>
      </c>
      <c r="AN20" s="61"/>
      <c r="AO20" s="62"/>
      <c r="AP20" s="58">
        <f t="shared" si="12"/>
        <v>0</v>
      </c>
      <c r="AQ20" s="8" t="e">
        <f t="shared" si="0"/>
        <v>#DIV/0!</v>
      </c>
    </row>
    <row r="21" spans="1:43" ht="18" customHeight="1" x14ac:dyDescent="0.15">
      <c r="A21" s="6"/>
      <c r="B21" s="11"/>
      <c r="C21" s="57"/>
      <c r="D21" s="58"/>
      <c r="E21" s="59"/>
      <c r="F21" s="60">
        <f t="shared" si="13"/>
        <v>0</v>
      </c>
      <c r="G21" s="61"/>
      <c r="H21" s="62"/>
      <c r="I21" s="60">
        <f t="shared" si="1"/>
        <v>0</v>
      </c>
      <c r="J21" s="61"/>
      <c r="K21" s="62"/>
      <c r="L21" s="60">
        <f t="shared" si="2"/>
        <v>0</v>
      </c>
      <c r="M21" s="61"/>
      <c r="N21" s="62"/>
      <c r="O21" s="60">
        <f t="shared" si="3"/>
        <v>0</v>
      </c>
      <c r="P21" s="61"/>
      <c r="Q21" s="62"/>
      <c r="R21" s="60">
        <f t="shared" si="4"/>
        <v>0</v>
      </c>
      <c r="S21" s="61"/>
      <c r="T21" s="62"/>
      <c r="U21" s="60">
        <f t="shared" si="5"/>
        <v>0</v>
      </c>
      <c r="V21" s="61"/>
      <c r="W21" s="62"/>
      <c r="X21" s="60">
        <f t="shared" si="6"/>
        <v>0</v>
      </c>
      <c r="Y21" s="61"/>
      <c r="Z21" s="62"/>
      <c r="AA21" s="60">
        <f t="shared" si="7"/>
        <v>0</v>
      </c>
      <c r="AB21" s="61"/>
      <c r="AC21" s="62"/>
      <c r="AD21" s="60">
        <f t="shared" si="8"/>
        <v>0</v>
      </c>
      <c r="AE21" s="61"/>
      <c r="AF21" s="62"/>
      <c r="AG21" s="60">
        <f t="shared" si="9"/>
        <v>0</v>
      </c>
      <c r="AH21" s="61"/>
      <c r="AI21" s="62"/>
      <c r="AJ21" s="60">
        <f t="shared" si="10"/>
        <v>0</v>
      </c>
      <c r="AK21" s="61"/>
      <c r="AL21" s="62"/>
      <c r="AM21" s="60">
        <f t="shared" si="11"/>
        <v>0</v>
      </c>
      <c r="AN21" s="61"/>
      <c r="AO21" s="62"/>
      <c r="AP21" s="58">
        <f t="shared" si="12"/>
        <v>0</v>
      </c>
      <c r="AQ21" s="8" t="e">
        <f t="shared" si="0"/>
        <v>#DIV/0!</v>
      </c>
    </row>
    <row r="22" spans="1:43" ht="18" customHeight="1" x14ac:dyDescent="0.15">
      <c r="A22" s="6"/>
      <c r="B22" s="11"/>
      <c r="C22" s="57"/>
      <c r="D22" s="58"/>
      <c r="E22" s="59"/>
      <c r="F22" s="60">
        <f t="shared" si="13"/>
        <v>0</v>
      </c>
      <c r="G22" s="61"/>
      <c r="H22" s="62"/>
      <c r="I22" s="60">
        <f t="shared" si="1"/>
        <v>0</v>
      </c>
      <c r="J22" s="61"/>
      <c r="K22" s="62"/>
      <c r="L22" s="60">
        <f t="shared" si="2"/>
        <v>0</v>
      </c>
      <c r="M22" s="61"/>
      <c r="N22" s="62"/>
      <c r="O22" s="60">
        <f t="shared" si="3"/>
        <v>0</v>
      </c>
      <c r="P22" s="61"/>
      <c r="Q22" s="62"/>
      <c r="R22" s="60">
        <f t="shared" si="4"/>
        <v>0</v>
      </c>
      <c r="S22" s="61"/>
      <c r="T22" s="62"/>
      <c r="U22" s="60">
        <f t="shared" si="5"/>
        <v>0</v>
      </c>
      <c r="V22" s="61"/>
      <c r="W22" s="62"/>
      <c r="X22" s="60">
        <f t="shared" si="6"/>
        <v>0</v>
      </c>
      <c r="Y22" s="61"/>
      <c r="Z22" s="62"/>
      <c r="AA22" s="60">
        <f t="shared" si="7"/>
        <v>0</v>
      </c>
      <c r="AB22" s="61"/>
      <c r="AC22" s="62"/>
      <c r="AD22" s="60">
        <f t="shared" si="8"/>
        <v>0</v>
      </c>
      <c r="AE22" s="61"/>
      <c r="AF22" s="62"/>
      <c r="AG22" s="60">
        <f t="shared" si="9"/>
        <v>0</v>
      </c>
      <c r="AH22" s="61"/>
      <c r="AI22" s="62"/>
      <c r="AJ22" s="60">
        <f t="shared" si="10"/>
        <v>0</v>
      </c>
      <c r="AK22" s="61"/>
      <c r="AL22" s="62"/>
      <c r="AM22" s="60">
        <f t="shared" si="11"/>
        <v>0</v>
      </c>
      <c r="AN22" s="61"/>
      <c r="AO22" s="62"/>
      <c r="AP22" s="58">
        <f t="shared" si="12"/>
        <v>0</v>
      </c>
      <c r="AQ22" s="8" t="e">
        <f t="shared" si="0"/>
        <v>#DIV/0!</v>
      </c>
    </row>
    <row r="23" spans="1:43" ht="18" customHeight="1" x14ac:dyDescent="0.15">
      <c r="A23" s="6"/>
      <c r="B23" s="11"/>
      <c r="C23" s="57"/>
      <c r="D23" s="58"/>
      <c r="E23" s="59"/>
      <c r="F23" s="60">
        <f t="shared" si="13"/>
        <v>0</v>
      </c>
      <c r="G23" s="61"/>
      <c r="H23" s="62"/>
      <c r="I23" s="60">
        <f t="shared" si="1"/>
        <v>0</v>
      </c>
      <c r="J23" s="61"/>
      <c r="K23" s="62"/>
      <c r="L23" s="60">
        <f t="shared" si="2"/>
        <v>0</v>
      </c>
      <c r="M23" s="61"/>
      <c r="N23" s="62"/>
      <c r="O23" s="60">
        <f t="shared" si="3"/>
        <v>0</v>
      </c>
      <c r="P23" s="61"/>
      <c r="Q23" s="62"/>
      <c r="R23" s="60">
        <f t="shared" si="4"/>
        <v>0</v>
      </c>
      <c r="S23" s="61"/>
      <c r="T23" s="62"/>
      <c r="U23" s="60">
        <f t="shared" si="5"/>
        <v>0</v>
      </c>
      <c r="V23" s="61"/>
      <c r="W23" s="62"/>
      <c r="X23" s="60">
        <f t="shared" si="6"/>
        <v>0</v>
      </c>
      <c r="Y23" s="61"/>
      <c r="Z23" s="62"/>
      <c r="AA23" s="60">
        <f t="shared" si="7"/>
        <v>0</v>
      </c>
      <c r="AB23" s="61"/>
      <c r="AC23" s="62"/>
      <c r="AD23" s="60">
        <f t="shared" si="8"/>
        <v>0</v>
      </c>
      <c r="AE23" s="61"/>
      <c r="AF23" s="62"/>
      <c r="AG23" s="60">
        <f t="shared" si="9"/>
        <v>0</v>
      </c>
      <c r="AH23" s="61"/>
      <c r="AI23" s="62"/>
      <c r="AJ23" s="60">
        <f t="shared" si="10"/>
        <v>0</v>
      </c>
      <c r="AK23" s="61"/>
      <c r="AL23" s="62"/>
      <c r="AM23" s="60">
        <f t="shared" si="11"/>
        <v>0</v>
      </c>
      <c r="AN23" s="61"/>
      <c r="AO23" s="62"/>
      <c r="AP23" s="58">
        <f t="shared" si="12"/>
        <v>0</v>
      </c>
      <c r="AQ23" s="8" t="e">
        <f t="shared" si="0"/>
        <v>#DIV/0!</v>
      </c>
    </row>
    <row r="24" spans="1:43" ht="18" customHeight="1" x14ac:dyDescent="0.15">
      <c r="A24" s="6"/>
      <c r="B24" s="11"/>
      <c r="C24" s="57"/>
      <c r="D24" s="58"/>
      <c r="E24" s="59"/>
      <c r="F24" s="60">
        <f t="shared" si="13"/>
        <v>0</v>
      </c>
      <c r="G24" s="61"/>
      <c r="H24" s="62"/>
      <c r="I24" s="60">
        <f t="shared" si="1"/>
        <v>0</v>
      </c>
      <c r="J24" s="61"/>
      <c r="K24" s="62"/>
      <c r="L24" s="60">
        <f t="shared" si="2"/>
        <v>0</v>
      </c>
      <c r="M24" s="61"/>
      <c r="N24" s="62"/>
      <c r="O24" s="60">
        <f t="shared" si="3"/>
        <v>0</v>
      </c>
      <c r="P24" s="61"/>
      <c r="Q24" s="62"/>
      <c r="R24" s="60">
        <f t="shared" si="4"/>
        <v>0</v>
      </c>
      <c r="S24" s="61"/>
      <c r="T24" s="62"/>
      <c r="U24" s="60">
        <f t="shared" si="5"/>
        <v>0</v>
      </c>
      <c r="V24" s="61"/>
      <c r="W24" s="62"/>
      <c r="X24" s="60">
        <f t="shared" si="6"/>
        <v>0</v>
      </c>
      <c r="Y24" s="61"/>
      <c r="Z24" s="62"/>
      <c r="AA24" s="60">
        <f t="shared" si="7"/>
        <v>0</v>
      </c>
      <c r="AB24" s="61"/>
      <c r="AC24" s="62"/>
      <c r="AD24" s="60">
        <f t="shared" si="8"/>
        <v>0</v>
      </c>
      <c r="AE24" s="61"/>
      <c r="AF24" s="62"/>
      <c r="AG24" s="60">
        <f t="shared" si="9"/>
        <v>0</v>
      </c>
      <c r="AH24" s="61"/>
      <c r="AI24" s="62"/>
      <c r="AJ24" s="60">
        <f t="shared" si="10"/>
        <v>0</v>
      </c>
      <c r="AK24" s="61"/>
      <c r="AL24" s="62"/>
      <c r="AM24" s="60">
        <f t="shared" si="11"/>
        <v>0</v>
      </c>
      <c r="AN24" s="61"/>
      <c r="AO24" s="62"/>
      <c r="AP24" s="58">
        <f t="shared" si="12"/>
        <v>0</v>
      </c>
      <c r="AQ24" s="8" t="e">
        <f t="shared" si="0"/>
        <v>#DIV/0!</v>
      </c>
    </row>
    <row r="25" spans="1:43" ht="18" customHeight="1" x14ac:dyDescent="0.15">
      <c r="A25" s="6"/>
      <c r="B25" s="11"/>
      <c r="C25" s="57"/>
      <c r="D25" s="58"/>
      <c r="E25" s="59"/>
      <c r="F25" s="60">
        <f t="shared" si="13"/>
        <v>0</v>
      </c>
      <c r="G25" s="61"/>
      <c r="H25" s="62"/>
      <c r="I25" s="60">
        <f t="shared" si="1"/>
        <v>0</v>
      </c>
      <c r="J25" s="61"/>
      <c r="K25" s="62"/>
      <c r="L25" s="60">
        <f t="shared" si="2"/>
        <v>0</v>
      </c>
      <c r="M25" s="61"/>
      <c r="N25" s="62"/>
      <c r="O25" s="60">
        <f t="shared" si="3"/>
        <v>0</v>
      </c>
      <c r="P25" s="61"/>
      <c r="Q25" s="62"/>
      <c r="R25" s="60">
        <f t="shared" si="4"/>
        <v>0</v>
      </c>
      <c r="S25" s="61"/>
      <c r="T25" s="62"/>
      <c r="U25" s="60">
        <f t="shared" si="5"/>
        <v>0</v>
      </c>
      <c r="V25" s="61"/>
      <c r="W25" s="62"/>
      <c r="X25" s="60">
        <f t="shared" si="6"/>
        <v>0</v>
      </c>
      <c r="Y25" s="61"/>
      <c r="Z25" s="62"/>
      <c r="AA25" s="60">
        <f t="shared" si="7"/>
        <v>0</v>
      </c>
      <c r="AB25" s="61"/>
      <c r="AC25" s="62"/>
      <c r="AD25" s="60">
        <f t="shared" si="8"/>
        <v>0</v>
      </c>
      <c r="AE25" s="61"/>
      <c r="AF25" s="62"/>
      <c r="AG25" s="60">
        <f t="shared" si="9"/>
        <v>0</v>
      </c>
      <c r="AH25" s="61"/>
      <c r="AI25" s="62"/>
      <c r="AJ25" s="60">
        <f t="shared" si="10"/>
        <v>0</v>
      </c>
      <c r="AK25" s="61"/>
      <c r="AL25" s="62"/>
      <c r="AM25" s="60">
        <f t="shared" si="11"/>
        <v>0</v>
      </c>
      <c r="AN25" s="61"/>
      <c r="AO25" s="62"/>
      <c r="AP25" s="58">
        <f t="shared" si="12"/>
        <v>0</v>
      </c>
      <c r="AQ25" s="8" t="e">
        <f t="shared" si="0"/>
        <v>#DIV/0!</v>
      </c>
    </row>
    <row r="26" spans="1:43" ht="18" customHeight="1" x14ac:dyDescent="0.15">
      <c r="A26" s="6"/>
      <c r="B26" s="11"/>
      <c r="C26" s="57"/>
      <c r="D26" s="58"/>
      <c r="E26" s="59"/>
      <c r="F26" s="60">
        <f t="shared" si="13"/>
        <v>0</v>
      </c>
      <c r="G26" s="61"/>
      <c r="H26" s="62"/>
      <c r="I26" s="60">
        <f t="shared" si="1"/>
        <v>0</v>
      </c>
      <c r="J26" s="61"/>
      <c r="K26" s="62"/>
      <c r="L26" s="60">
        <f t="shared" si="2"/>
        <v>0</v>
      </c>
      <c r="M26" s="61"/>
      <c r="N26" s="62"/>
      <c r="O26" s="60">
        <f t="shared" si="3"/>
        <v>0</v>
      </c>
      <c r="P26" s="61"/>
      <c r="Q26" s="62"/>
      <c r="R26" s="60">
        <f t="shared" si="4"/>
        <v>0</v>
      </c>
      <c r="S26" s="61"/>
      <c r="T26" s="62"/>
      <c r="U26" s="60">
        <f t="shared" si="5"/>
        <v>0</v>
      </c>
      <c r="V26" s="61"/>
      <c r="W26" s="62"/>
      <c r="X26" s="60">
        <f t="shared" si="6"/>
        <v>0</v>
      </c>
      <c r="Y26" s="61"/>
      <c r="Z26" s="62"/>
      <c r="AA26" s="60">
        <f t="shared" si="7"/>
        <v>0</v>
      </c>
      <c r="AB26" s="61"/>
      <c r="AC26" s="62"/>
      <c r="AD26" s="60">
        <f t="shared" si="8"/>
        <v>0</v>
      </c>
      <c r="AE26" s="61"/>
      <c r="AF26" s="62"/>
      <c r="AG26" s="60">
        <f t="shared" si="9"/>
        <v>0</v>
      </c>
      <c r="AH26" s="61"/>
      <c r="AI26" s="62"/>
      <c r="AJ26" s="60">
        <f t="shared" si="10"/>
        <v>0</v>
      </c>
      <c r="AK26" s="61"/>
      <c r="AL26" s="62"/>
      <c r="AM26" s="60">
        <f t="shared" si="11"/>
        <v>0</v>
      </c>
      <c r="AN26" s="61"/>
      <c r="AO26" s="62"/>
      <c r="AP26" s="58">
        <f t="shared" si="12"/>
        <v>0</v>
      </c>
      <c r="AQ26" s="8" t="e">
        <f t="shared" si="0"/>
        <v>#DIV/0!</v>
      </c>
    </row>
    <row r="27" spans="1:43" ht="18" customHeight="1" x14ac:dyDescent="0.15">
      <c r="A27" s="6"/>
      <c r="B27" s="11"/>
      <c r="C27" s="57"/>
      <c r="D27" s="58"/>
      <c r="E27" s="59"/>
      <c r="F27" s="60">
        <f t="shared" si="13"/>
        <v>0</v>
      </c>
      <c r="G27" s="61"/>
      <c r="H27" s="62"/>
      <c r="I27" s="60">
        <f t="shared" si="1"/>
        <v>0</v>
      </c>
      <c r="J27" s="61"/>
      <c r="K27" s="62"/>
      <c r="L27" s="60">
        <f t="shared" si="2"/>
        <v>0</v>
      </c>
      <c r="M27" s="61"/>
      <c r="N27" s="62"/>
      <c r="O27" s="60">
        <f t="shared" si="3"/>
        <v>0</v>
      </c>
      <c r="P27" s="61"/>
      <c r="Q27" s="62"/>
      <c r="R27" s="60">
        <f t="shared" si="4"/>
        <v>0</v>
      </c>
      <c r="S27" s="61"/>
      <c r="T27" s="62"/>
      <c r="U27" s="60">
        <f t="shared" si="5"/>
        <v>0</v>
      </c>
      <c r="V27" s="61"/>
      <c r="W27" s="62"/>
      <c r="X27" s="60">
        <f t="shared" si="6"/>
        <v>0</v>
      </c>
      <c r="Y27" s="61"/>
      <c r="Z27" s="62"/>
      <c r="AA27" s="60">
        <f t="shared" si="7"/>
        <v>0</v>
      </c>
      <c r="AB27" s="61"/>
      <c r="AC27" s="62"/>
      <c r="AD27" s="60">
        <f t="shared" si="8"/>
        <v>0</v>
      </c>
      <c r="AE27" s="61"/>
      <c r="AF27" s="62"/>
      <c r="AG27" s="60">
        <f t="shared" si="9"/>
        <v>0</v>
      </c>
      <c r="AH27" s="61"/>
      <c r="AI27" s="62"/>
      <c r="AJ27" s="60">
        <f t="shared" si="10"/>
        <v>0</v>
      </c>
      <c r="AK27" s="61"/>
      <c r="AL27" s="62"/>
      <c r="AM27" s="60">
        <f t="shared" si="11"/>
        <v>0</v>
      </c>
      <c r="AN27" s="61"/>
      <c r="AO27" s="62"/>
      <c r="AP27" s="58">
        <f t="shared" si="12"/>
        <v>0</v>
      </c>
      <c r="AQ27" s="8" t="e">
        <f t="shared" si="0"/>
        <v>#DIV/0!</v>
      </c>
    </row>
    <row r="28" spans="1:43" ht="18" customHeight="1" x14ac:dyDescent="0.15">
      <c r="A28" s="6"/>
      <c r="B28" s="11"/>
      <c r="C28" s="57"/>
      <c r="D28" s="58"/>
      <c r="E28" s="59"/>
      <c r="F28" s="60">
        <f t="shared" si="13"/>
        <v>0</v>
      </c>
      <c r="G28" s="61"/>
      <c r="H28" s="62"/>
      <c r="I28" s="60">
        <f t="shared" si="1"/>
        <v>0</v>
      </c>
      <c r="J28" s="61"/>
      <c r="K28" s="62"/>
      <c r="L28" s="60">
        <f t="shared" si="2"/>
        <v>0</v>
      </c>
      <c r="M28" s="61"/>
      <c r="N28" s="62"/>
      <c r="O28" s="60">
        <f t="shared" si="3"/>
        <v>0</v>
      </c>
      <c r="P28" s="61"/>
      <c r="Q28" s="62"/>
      <c r="R28" s="60">
        <f t="shared" si="4"/>
        <v>0</v>
      </c>
      <c r="S28" s="61"/>
      <c r="T28" s="62"/>
      <c r="U28" s="60">
        <f t="shared" si="5"/>
        <v>0</v>
      </c>
      <c r="V28" s="61"/>
      <c r="W28" s="62"/>
      <c r="X28" s="60">
        <f t="shared" si="6"/>
        <v>0</v>
      </c>
      <c r="Y28" s="61"/>
      <c r="Z28" s="62"/>
      <c r="AA28" s="60">
        <f t="shared" si="7"/>
        <v>0</v>
      </c>
      <c r="AB28" s="61"/>
      <c r="AC28" s="62"/>
      <c r="AD28" s="60">
        <f t="shared" si="8"/>
        <v>0</v>
      </c>
      <c r="AE28" s="61"/>
      <c r="AF28" s="62"/>
      <c r="AG28" s="60">
        <f t="shared" si="9"/>
        <v>0</v>
      </c>
      <c r="AH28" s="61"/>
      <c r="AI28" s="62"/>
      <c r="AJ28" s="60">
        <f t="shared" si="10"/>
        <v>0</v>
      </c>
      <c r="AK28" s="61"/>
      <c r="AL28" s="62"/>
      <c r="AM28" s="60">
        <f t="shared" si="11"/>
        <v>0</v>
      </c>
      <c r="AN28" s="61"/>
      <c r="AO28" s="62"/>
      <c r="AP28" s="58">
        <f t="shared" si="12"/>
        <v>0</v>
      </c>
      <c r="AQ28" s="8" t="e">
        <f t="shared" si="0"/>
        <v>#DIV/0!</v>
      </c>
    </row>
    <row r="29" spans="1:43" ht="18" customHeight="1" x14ac:dyDescent="0.15">
      <c r="A29" s="6"/>
      <c r="B29" s="11"/>
      <c r="C29" s="57"/>
      <c r="D29" s="63"/>
      <c r="E29" s="59"/>
      <c r="F29" s="60">
        <f t="shared" si="13"/>
        <v>0</v>
      </c>
      <c r="G29" s="61"/>
      <c r="H29" s="62"/>
      <c r="I29" s="60">
        <f t="shared" si="1"/>
        <v>0</v>
      </c>
      <c r="J29" s="61"/>
      <c r="K29" s="62"/>
      <c r="L29" s="60">
        <f t="shared" si="2"/>
        <v>0</v>
      </c>
      <c r="M29" s="61"/>
      <c r="N29" s="62"/>
      <c r="O29" s="60">
        <f t="shared" si="3"/>
        <v>0</v>
      </c>
      <c r="P29" s="61"/>
      <c r="Q29" s="62"/>
      <c r="R29" s="60">
        <f t="shared" si="4"/>
        <v>0</v>
      </c>
      <c r="S29" s="61"/>
      <c r="T29" s="62"/>
      <c r="U29" s="60">
        <f t="shared" si="5"/>
        <v>0</v>
      </c>
      <c r="V29" s="61"/>
      <c r="W29" s="62"/>
      <c r="X29" s="60">
        <f t="shared" si="6"/>
        <v>0</v>
      </c>
      <c r="Y29" s="61"/>
      <c r="Z29" s="62"/>
      <c r="AA29" s="60">
        <f t="shared" si="7"/>
        <v>0</v>
      </c>
      <c r="AB29" s="61"/>
      <c r="AC29" s="62"/>
      <c r="AD29" s="60">
        <f t="shared" si="8"/>
        <v>0</v>
      </c>
      <c r="AE29" s="61"/>
      <c r="AF29" s="62"/>
      <c r="AG29" s="60">
        <f t="shared" si="9"/>
        <v>0</v>
      </c>
      <c r="AH29" s="61"/>
      <c r="AI29" s="62"/>
      <c r="AJ29" s="60">
        <f t="shared" si="10"/>
        <v>0</v>
      </c>
      <c r="AK29" s="61"/>
      <c r="AL29" s="62"/>
      <c r="AM29" s="60">
        <f t="shared" si="11"/>
        <v>0</v>
      </c>
      <c r="AN29" s="61"/>
      <c r="AO29" s="62"/>
      <c r="AP29" s="63">
        <f t="shared" si="12"/>
        <v>0</v>
      </c>
      <c r="AQ29" s="8" t="e">
        <f t="shared" si="0"/>
        <v>#DIV/0!</v>
      </c>
    </row>
    <row r="30" spans="1:43" ht="18" customHeight="1" x14ac:dyDescent="0.15">
      <c r="A30" s="6"/>
      <c r="B30" s="11"/>
      <c r="C30" s="57"/>
      <c r="D30" s="63"/>
      <c r="E30" s="59"/>
      <c r="F30" s="60">
        <f t="shared" si="13"/>
        <v>0</v>
      </c>
      <c r="G30" s="61"/>
      <c r="H30" s="62"/>
      <c r="I30" s="60">
        <f t="shared" si="1"/>
        <v>0</v>
      </c>
      <c r="J30" s="61"/>
      <c r="K30" s="62"/>
      <c r="L30" s="60">
        <f t="shared" si="2"/>
        <v>0</v>
      </c>
      <c r="M30" s="61"/>
      <c r="N30" s="62"/>
      <c r="O30" s="60">
        <f t="shared" si="3"/>
        <v>0</v>
      </c>
      <c r="P30" s="61"/>
      <c r="Q30" s="62"/>
      <c r="R30" s="60">
        <f t="shared" si="4"/>
        <v>0</v>
      </c>
      <c r="S30" s="61"/>
      <c r="T30" s="62"/>
      <c r="U30" s="60">
        <f t="shared" si="5"/>
        <v>0</v>
      </c>
      <c r="V30" s="61"/>
      <c r="W30" s="62"/>
      <c r="X30" s="60">
        <f t="shared" si="6"/>
        <v>0</v>
      </c>
      <c r="Y30" s="61"/>
      <c r="Z30" s="62"/>
      <c r="AA30" s="60">
        <f t="shared" si="7"/>
        <v>0</v>
      </c>
      <c r="AB30" s="61"/>
      <c r="AC30" s="62"/>
      <c r="AD30" s="60">
        <f t="shared" si="8"/>
        <v>0</v>
      </c>
      <c r="AE30" s="61"/>
      <c r="AF30" s="62"/>
      <c r="AG30" s="60">
        <f t="shared" si="9"/>
        <v>0</v>
      </c>
      <c r="AH30" s="61"/>
      <c r="AI30" s="62"/>
      <c r="AJ30" s="60">
        <f t="shared" si="10"/>
        <v>0</v>
      </c>
      <c r="AK30" s="61"/>
      <c r="AL30" s="62"/>
      <c r="AM30" s="60">
        <f t="shared" si="11"/>
        <v>0</v>
      </c>
      <c r="AN30" s="61"/>
      <c r="AO30" s="62"/>
      <c r="AP30" s="63">
        <f t="shared" si="12"/>
        <v>0</v>
      </c>
      <c r="AQ30" s="8" t="e">
        <f t="shared" si="0"/>
        <v>#DIV/0!</v>
      </c>
    </row>
    <row r="31" spans="1:43" ht="18" customHeight="1" thickBot="1" x14ac:dyDescent="0.2">
      <c r="A31" s="6"/>
      <c r="B31" s="12"/>
      <c r="C31" s="52"/>
      <c r="D31" s="64"/>
      <c r="E31" s="54"/>
      <c r="F31" s="54">
        <f t="shared" si="13"/>
        <v>0</v>
      </c>
      <c r="G31" s="65"/>
      <c r="H31" s="66"/>
      <c r="I31" s="54">
        <f t="shared" si="1"/>
        <v>0</v>
      </c>
      <c r="J31" s="65"/>
      <c r="K31" s="66"/>
      <c r="L31" s="54">
        <f t="shared" si="2"/>
        <v>0</v>
      </c>
      <c r="M31" s="65"/>
      <c r="N31" s="66"/>
      <c r="O31" s="54">
        <f t="shared" si="3"/>
        <v>0</v>
      </c>
      <c r="P31" s="65"/>
      <c r="Q31" s="66"/>
      <c r="R31" s="54">
        <f t="shared" si="4"/>
        <v>0</v>
      </c>
      <c r="S31" s="65"/>
      <c r="T31" s="66"/>
      <c r="U31" s="54">
        <f t="shared" si="5"/>
        <v>0</v>
      </c>
      <c r="V31" s="65"/>
      <c r="W31" s="66"/>
      <c r="X31" s="54">
        <f t="shared" si="6"/>
        <v>0</v>
      </c>
      <c r="Y31" s="65"/>
      <c r="Z31" s="66"/>
      <c r="AA31" s="54">
        <f t="shared" si="7"/>
        <v>0</v>
      </c>
      <c r="AB31" s="65"/>
      <c r="AC31" s="66"/>
      <c r="AD31" s="54">
        <f t="shared" si="8"/>
        <v>0</v>
      </c>
      <c r="AE31" s="65"/>
      <c r="AF31" s="66"/>
      <c r="AG31" s="54">
        <f t="shared" si="9"/>
        <v>0</v>
      </c>
      <c r="AH31" s="65"/>
      <c r="AI31" s="66"/>
      <c r="AJ31" s="54">
        <f t="shared" si="10"/>
        <v>0</v>
      </c>
      <c r="AK31" s="65"/>
      <c r="AL31" s="66"/>
      <c r="AM31" s="54">
        <f t="shared" si="11"/>
        <v>0</v>
      </c>
      <c r="AN31" s="65"/>
      <c r="AO31" s="66"/>
      <c r="AP31" s="64">
        <f t="shared" si="12"/>
        <v>0</v>
      </c>
      <c r="AQ31" s="7" t="e">
        <f t="shared" si="0"/>
        <v>#DIV/0!</v>
      </c>
    </row>
    <row r="32" spans="1:43" ht="18" customHeight="1" thickTop="1" x14ac:dyDescent="0.15">
      <c r="B32" s="13" t="s">
        <v>33</v>
      </c>
      <c r="C32" s="67">
        <f t="shared" ref="C32" si="14">SUM(C12:C31)</f>
        <v>1751</v>
      </c>
      <c r="D32" s="68">
        <f t="shared" ref="D32:AP32" si="15">SUM(D12:D31)</f>
        <v>370</v>
      </c>
      <c r="E32" s="69">
        <f t="shared" si="15"/>
        <v>1560</v>
      </c>
      <c r="F32" s="69">
        <f t="shared" si="15"/>
        <v>61</v>
      </c>
      <c r="G32" s="70">
        <f t="shared" si="15"/>
        <v>16</v>
      </c>
      <c r="H32" s="71">
        <f t="shared" si="15"/>
        <v>45</v>
      </c>
      <c r="I32" s="69">
        <f t="shared" ref="I32:N32" si="16">SUM(I12:I31)</f>
        <v>0</v>
      </c>
      <c r="J32" s="70">
        <f t="shared" si="16"/>
        <v>0</v>
      </c>
      <c r="K32" s="71">
        <f t="shared" si="16"/>
        <v>0</v>
      </c>
      <c r="L32" s="69">
        <f t="shared" si="16"/>
        <v>0</v>
      </c>
      <c r="M32" s="70">
        <f t="shared" si="16"/>
        <v>0</v>
      </c>
      <c r="N32" s="71">
        <f t="shared" si="16"/>
        <v>0</v>
      </c>
      <c r="O32" s="69">
        <f t="shared" ref="O32:T32" si="17">SUM(O12:O31)</f>
        <v>0</v>
      </c>
      <c r="P32" s="70">
        <f t="shared" si="17"/>
        <v>0</v>
      </c>
      <c r="Q32" s="71">
        <f t="shared" si="17"/>
        <v>0</v>
      </c>
      <c r="R32" s="69">
        <f t="shared" si="17"/>
        <v>0</v>
      </c>
      <c r="S32" s="70">
        <f t="shared" si="17"/>
        <v>0</v>
      </c>
      <c r="T32" s="71">
        <f t="shared" si="17"/>
        <v>0</v>
      </c>
      <c r="U32" s="69">
        <f t="shared" ref="U32:AI32" si="18">SUM(U12:U31)</f>
        <v>0</v>
      </c>
      <c r="V32" s="70">
        <f t="shared" si="18"/>
        <v>0</v>
      </c>
      <c r="W32" s="71">
        <f t="shared" si="18"/>
        <v>0</v>
      </c>
      <c r="X32" s="69">
        <f t="shared" si="18"/>
        <v>0</v>
      </c>
      <c r="Y32" s="70">
        <f t="shared" si="18"/>
        <v>0</v>
      </c>
      <c r="Z32" s="71">
        <f t="shared" si="18"/>
        <v>0</v>
      </c>
      <c r="AA32" s="69">
        <f t="shared" si="18"/>
        <v>0</v>
      </c>
      <c r="AB32" s="70">
        <f t="shared" si="18"/>
        <v>0</v>
      </c>
      <c r="AC32" s="71">
        <f t="shared" si="18"/>
        <v>0</v>
      </c>
      <c r="AD32" s="69">
        <f t="shared" si="18"/>
        <v>0</v>
      </c>
      <c r="AE32" s="70">
        <f t="shared" si="18"/>
        <v>0</v>
      </c>
      <c r="AF32" s="71">
        <f t="shared" si="18"/>
        <v>0</v>
      </c>
      <c r="AG32" s="69">
        <f t="shared" si="18"/>
        <v>0</v>
      </c>
      <c r="AH32" s="70">
        <f t="shared" si="18"/>
        <v>0</v>
      </c>
      <c r="AI32" s="71">
        <f t="shared" si="18"/>
        <v>0</v>
      </c>
      <c r="AJ32" s="69">
        <f t="shared" ref="AJ32:AO32" si="19">SUM(AJ12:AJ31)</f>
        <v>0</v>
      </c>
      <c r="AK32" s="70">
        <f t="shared" si="19"/>
        <v>0</v>
      </c>
      <c r="AL32" s="71">
        <f t="shared" si="19"/>
        <v>0</v>
      </c>
      <c r="AM32" s="69">
        <f t="shared" si="19"/>
        <v>0</v>
      </c>
      <c r="AN32" s="70">
        <f t="shared" si="19"/>
        <v>0</v>
      </c>
      <c r="AO32" s="71">
        <f t="shared" si="19"/>
        <v>0</v>
      </c>
      <c r="AP32" s="67">
        <f t="shared" si="15"/>
        <v>61</v>
      </c>
      <c r="AQ32" s="9">
        <f t="shared" si="0"/>
        <v>3.9102564102564102E-2</v>
      </c>
    </row>
  </sheetData>
  <mergeCells count="27">
    <mergeCell ref="C5:D5"/>
    <mergeCell ref="AD9:AI9"/>
    <mergeCell ref="AD10:AF10"/>
    <mergeCell ref="AG10:AI10"/>
    <mergeCell ref="AJ9:AO9"/>
    <mergeCell ref="AJ10:AL10"/>
    <mergeCell ref="AM10:AO10"/>
    <mergeCell ref="L9:Q9"/>
    <mergeCell ref="L10:N10"/>
    <mergeCell ref="O10:Q10"/>
    <mergeCell ref="R9:W9"/>
    <mergeCell ref="AM2:AQ2"/>
    <mergeCell ref="R10:T10"/>
    <mergeCell ref="U10:W10"/>
    <mergeCell ref="X9:AC9"/>
    <mergeCell ref="X10:Z10"/>
    <mergeCell ref="AA10:AC10"/>
    <mergeCell ref="A3:AQ3"/>
    <mergeCell ref="B9:B11"/>
    <mergeCell ref="D9:D11"/>
    <mergeCell ref="E9:E11"/>
    <mergeCell ref="F9:K9"/>
    <mergeCell ref="AP9:AP11"/>
    <mergeCell ref="AQ9:AQ11"/>
    <mergeCell ref="C9:C11"/>
    <mergeCell ref="F10:H10"/>
    <mergeCell ref="I10:K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J10" sqref="J10"/>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65</v>
      </c>
      <c r="I1" s="26" t="s">
        <v>106</v>
      </c>
    </row>
    <row r="2" spans="1:9" ht="18.75" customHeight="1" x14ac:dyDescent="0.15">
      <c r="G2" s="26" t="s">
        <v>109</v>
      </c>
      <c r="H2" s="112" t="str">
        <f>'様式１　プログラムを構成する授業科目'!C2</f>
        <v>帝塚山学院大学</v>
      </c>
      <c r="I2" s="114"/>
    </row>
    <row r="3" spans="1:9" ht="18.75" customHeight="1" x14ac:dyDescent="0.15">
      <c r="G3" s="26"/>
      <c r="H3" s="10"/>
      <c r="I3" s="10"/>
    </row>
    <row r="4" spans="1:9" ht="18.600000000000001" customHeight="1" x14ac:dyDescent="0.15">
      <c r="A4" s="141" t="s">
        <v>36</v>
      </c>
      <c r="B4" s="141"/>
      <c r="C4" s="141"/>
      <c r="D4" s="141"/>
      <c r="E4" s="141"/>
      <c r="F4" s="141"/>
      <c r="G4" s="141"/>
      <c r="H4" s="141"/>
      <c r="I4" s="141"/>
    </row>
    <row r="5" spans="1:9" ht="13.15" customHeight="1" x14ac:dyDescent="0.15">
      <c r="B5" s="3"/>
      <c r="C5" s="3"/>
      <c r="D5" s="3"/>
      <c r="E5" s="3"/>
      <c r="F5" s="3"/>
      <c r="G5" s="3"/>
      <c r="H5" s="3"/>
      <c r="I5" s="3"/>
    </row>
    <row r="6" spans="1:9" ht="18" customHeight="1" x14ac:dyDescent="0.15">
      <c r="A6" s="1" t="s">
        <v>0</v>
      </c>
      <c r="B6" s="10" t="s">
        <v>91</v>
      </c>
      <c r="C6" s="192" t="s">
        <v>92</v>
      </c>
      <c r="D6" s="192"/>
      <c r="E6" s="25">
        <v>70</v>
      </c>
      <c r="F6" s="3" t="s">
        <v>1</v>
      </c>
      <c r="G6" s="3" t="s">
        <v>2</v>
      </c>
      <c r="H6" s="25">
        <v>144</v>
      </c>
      <c r="I6" s="10" t="s">
        <v>1</v>
      </c>
    </row>
    <row r="7" spans="1:9" ht="12" customHeight="1" x14ac:dyDescent="0.15">
      <c r="C7" s="2"/>
      <c r="D7" s="2"/>
      <c r="E7" s="2"/>
      <c r="F7" s="2"/>
      <c r="G7" s="2"/>
      <c r="H7" s="2"/>
      <c r="I7" s="32"/>
    </row>
    <row r="8" spans="1:9" ht="18" customHeight="1" x14ac:dyDescent="0.15">
      <c r="A8" s="1" t="s">
        <v>3</v>
      </c>
      <c r="B8" s="10" t="s">
        <v>93</v>
      </c>
      <c r="E8" s="3"/>
      <c r="F8" s="3"/>
      <c r="G8" s="3"/>
      <c r="H8" s="25">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6" t="s">
        <v>43</v>
      </c>
      <c r="C11" s="195" t="s">
        <v>137</v>
      </c>
      <c r="D11" s="196"/>
      <c r="E11" s="197"/>
      <c r="F11" s="32"/>
      <c r="G11" s="26" t="s">
        <v>10</v>
      </c>
      <c r="H11" s="195" t="s">
        <v>138</v>
      </c>
      <c r="I11" s="197"/>
    </row>
    <row r="12" spans="1:9" ht="10.15" customHeight="1" x14ac:dyDescent="0.15">
      <c r="B12" s="26"/>
      <c r="C12" s="10"/>
      <c r="D12" s="32"/>
      <c r="E12" s="32"/>
      <c r="F12" s="32"/>
      <c r="G12" s="26"/>
      <c r="H12" s="10"/>
      <c r="I12" s="32"/>
    </row>
    <row r="13" spans="1:9" ht="18" customHeight="1" x14ac:dyDescent="0.15">
      <c r="A13" s="1" t="s">
        <v>7</v>
      </c>
      <c r="B13" s="10" t="s">
        <v>88</v>
      </c>
      <c r="C13" s="3"/>
      <c r="D13" s="3"/>
      <c r="E13" s="3"/>
      <c r="F13" s="3"/>
      <c r="G13" s="3"/>
      <c r="H13" s="3"/>
      <c r="I13" s="3"/>
    </row>
    <row r="14" spans="1:9" ht="18" customHeight="1" x14ac:dyDescent="0.15">
      <c r="B14" s="195" t="s">
        <v>139</v>
      </c>
      <c r="C14" s="198"/>
      <c r="D14" s="198"/>
      <c r="E14" s="198"/>
      <c r="F14" s="198"/>
      <c r="G14" s="198"/>
      <c r="H14" s="198"/>
      <c r="I14" s="199"/>
    </row>
    <row r="15" spans="1:9" ht="9" customHeight="1" x14ac:dyDescent="0.15">
      <c r="B15" s="3"/>
      <c r="C15" s="3"/>
      <c r="D15" s="3"/>
      <c r="E15" s="3"/>
      <c r="F15" s="3"/>
      <c r="G15" s="3"/>
      <c r="H15" s="3"/>
      <c r="I15" s="3"/>
    </row>
    <row r="16" spans="1:9" ht="18" customHeight="1" x14ac:dyDescent="0.15">
      <c r="B16" s="26" t="s">
        <v>43</v>
      </c>
      <c r="C16" s="195" t="s">
        <v>140</v>
      </c>
      <c r="D16" s="196"/>
      <c r="E16" s="197"/>
      <c r="F16" s="32"/>
      <c r="G16" s="26" t="s">
        <v>10</v>
      </c>
      <c r="H16" s="195" t="s">
        <v>141</v>
      </c>
      <c r="I16" s="197"/>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09" t="s">
        <v>142</v>
      </c>
      <c r="C19" s="210"/>
      <c r="D19" s="210"/>
      <c r="E19" s="210"/>
      <c r="F19" s="210"/>
      <c r="G19" s="210"/>
      <c r="H19" s="210"/>
      <c r="I19" s="21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0" t="s">
        <v>145</v>
      </c>
      <c r="C22" s="201"/>
      <c r="D22" s="201"/>
      <c r="E22" s="201"/>
      <c r="F22" s="201"/>
      <c r="G22" s="201"/>
      <c r="H22" s="201"/>
      <c r="I22" s="202"/>
    </row>
    <row r="23" spans="1:9" ht="18.75" customHeight="1" x14ac:dyDescent="0.15">
      <c r="A23" s="14"/>
      <c r="B23" s="212"/>
      <c r="C23" s="213"/>
      <c r="D23" s="213"/>
      <c r="E23" s="213"/>
      <c r="F23" s="213"/>
      <c r="G23" s="213"/>
      <c r="H23" s="213"/>
      <c r="I23" s="205"/>
    </row>
    <row r="24" spans="1:9" ht="18.75" customHeight="1" x14ac:dyDescent="0.15">
      <c r="A24" s="14"/>
      <c r="B24" s="212"/>
      <c r="C24" s="213"/>
      <c r="D24" s="213"/>
      <c r="E24" s="213"/>
      <c r="F24" s="213"/>
      <c r="G24" s="213"/>
      <c r="H24" s="213"/>
      <c r="I24" s="205"/>
    </row>
    <row r="25" spans="1:9" ht="18.75" customHeight="1" x14ac:dyDescent="0.15">
      <c r="A25" s="14"/>
      <c r="B25" s="212"/>
      <c r="C25" s="213"/>
      <c r="D25" s="213"/>
      <c r="E25" s="213"/>
      <c r="F25" s="213"/>
      <c r="G25" s="213"/>
      <c r="H25" s="213"/>
      <c r="I25" s="205"/>
    </row>
    <row r="26" spans="1:9" ht="18.75" customHeight="1" x14ac:dyDescent="0.15">
      <c r="A26" s="14"/>
      <c r="B26" s="212"/>
      <c r="C26" s="213"/>
      <c r="D26" s="213"/>
      <c r="E26" s="213"/>
      <c r="F26" s="213"/>
      <c r="G26" s="213"/>
      <c r="H26" s="213"/>
      <c r="I26" s="205"/>
    </row>
    <row r="27" spans="1:9" ht="18.75" customHeight="1" x14ac:dyDescent="0.15">
      <c r="A27" s="14"/>
      <c r="B27" s="212"/>
      <c r="C27" s="213"/>
      <c r="D27" s="213"/>
      <c r="E27" s="213"/>
      <c r="F27" s="213"/>
      <c r="G27" s="213"/>
      <c r="H27" s="213"/>
      <c r="I27" s="205"/>
    </row>
    <row r="28" spans="1:9" ht="18.75" customHeight="1" x14ac:dyDescent="0.15">
      <c r="A28" s="14"/>
      <c r="B28" s="212"/>
      <c r="C28" s="213"/>
      <c r="D28" s="213"/>
      <c r="E28" s="213"/>
      <c r="F28" s="213"/>
      <c r="G28" s="213"/>
      <c r="H28" s="213"/>
      <c r="I28" s="205"/>
    </row>
    <row r="29" spans="1:9" ht="18.75" customHeight="1" x14ac:dyDescent="0.15">
      <c r="A29" s="14"/>
      <c r="B29" s="212"/>
      <c r="C29" s="213"/>
      <c r="D29" s="213"/>
      <c r="E29" s="213"/>
      <c r="F29" s="213"/>
      <c r="G29" s="213"/>
      <c r="H29" s="213"/>
      <c r="I29" s="205"/>
    </row>
    <row r="30" spans="1:9" ht="18.75" customHeight="1" x14ac:dyDescent="0.15">
      <c r="A30" s="14"/>
      <c r="B30" s="203"/>
      <c r="C30" s="204"/>
      <c r="D30" s="204"/>
      <c r="E30" s="204"/>
      <c r="F30" s="204"/>
      <c r="G30" s="204"/>
      <c r="H30" s="204"/>
      <c r="I30" s="205"/>
    </row>
    <row r="31" spans="1:9" ht="18.75" customHeight="1" x14ac:dyDescent="0.15">
      <c r="A31" s="14"/>
      <c r="B31" s="203"/>
      <c r="C31" s="204"/>
      <c r="D31" s="204"/>
      <c r="E31" s="204"/>
      <c r="F31" s="204"/>
      <c r="G31" s="204"/>
      <c r="H31" s="204"/>
      <c r="I31" s="205"/>
    </row>
    <row r="32" spans="1:9" ht="18.75" customHeight="1" x14ac:dyDescent="0.15">
      <c r="A32" s="14"/>
      <c r="B32" s="206"/>
      <c r="C32" s="207"/>
      <c r="D32" s="207"/>
      <c r="E32" s="207"/>
      <c r="F32" s="207"/>
      <c r="G32" s="207"/>
      <c r="H32" s="207"/>
      <c r="I32" s="20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0" t="s">
        <v>159</v>
      </c>
      <c r="C35" s="201"/>
      <c r="D35" s="201"/>
      <c r="E35" s="201"/>
      <c r="F35" s="201"/>
      <c r="G35" s="201"/>
      <c r="H35" s="201"/>
      <c r="I35" s="202"/>
    </row>
    <row r="36" spans="1:9" ht="18.75" customHeight="1" x14ac:dyDescent="0.15">
      <c r="A36" s="14"/>
      <c r="B36" s="203"/>
      <c r="C36" s="204"/>
      <c r="D36" s="204"/>
      <c r="E36" s="204"/>
      <c r="F36" s="204"/>
      <c r="G36" s="204"/>
      <c r="H36" s="204"/>
      <c r="I36" s="205"/>
    </row>
    <row r="37" spans="1:9" ht="18.75" customHeight="1" x14ac:dyDescent="0.15">
      <c r="A37" s="14"/>
      <c r="B37" s="203"/>
      <c r="C37" s="204"/>
      <c r="D37" s="204"/>
      <c r="E37" s="204"/>
      <c r="F37" s="204"/>
      <c r="G37" s="204"/>
      <c r="H37" s="204"/>
      <c r="I37" s="205"/>
    </row>
    <row r="38" spans="1:9" ht="18.75" customHeight="1" x14ac:dyDescent="0.15">
      <c r="A38" s="14"/>
      <c r="B38" s="203"/>
      <c r="C38" s="204"/>
      <c r="D38" s="204"/>
      <c r="E38" s="204"/>
      <c r="F38" s="204"/>
      <c r="G38" s="204"/>
      <c r="H38" s="204"/>
      <c r="I38" s="205"/>
    </row>
    <row r="39" spans="1:9" ht="18.75" customHeight="1" x14ac:dyDescent="0.15">
      <c r="A39" s="14"/>
      <c r="B39" s="203"/>
      <c r="C39" s="204"/>
      <c r="D39" s="204"/>
      <c r="E39" s="204"/>
      <c r="F39" s="204"/>
      <c r="G39" s="204"/>
      <c r="H39" s="204"/>
      <c r="I39" s="205"/>
    </row>
    <row r="40" spans="1:9" ht="18.75" customHeight="1" x14ac:dyDescent="0.15">
      <c r="A40" s="14"/>
      <c r="B40" s="203"/>
      <c r="C40" s="204"/>
      <c r="D40" s="204"/>
      <c r="E40" s="204"/>
      <c r="F40" s="204"/>
      <c r="G40" s="204"/>
      <c r="H40" s="204"/>
      <c r="I40" s="205"/>
    </row>
    <row r="41" spans="1:9" ht="18.75" customHeight="1" x14ac:dyDescent="0.15">
      <c r="A41" s="14"/>
      <c r="B41" s="203"/>
      <c r="C41" s="204"/>
      <c r="D41" s="204"/>
      <c r="E41" s="204"/>
      <c r="F41" s="204"/>
      <c r="G41" s="204"/>
      <c r="H41" s="204"/>
      <c r="I41" s="205"/>
    </row>
    <row r="42" spans="1:9" ht="18.75" customHeight="1" x14ac:dyDescent="0.15">
      <c r="A42" s="14"/>
      <c r="B42" s="203"/>
      <c r="C42" s="204"/>
      <c r="D42" s="204"/>
      <c r="E42" s="204"/>
      <c r="F42" s="204"/>
      <c r="G42" s="204"/>
      <c r="H42" s="204"/>
      <c r="I42" s="205"/>
    </row>
    <row r="43" spans="1:9" ht="18.75" customHeight="1" x14ac:dyDescent="0.15">
      <c r="A43" s="14"/>
      <c r="B43" s="203"/>
      <c r="C43" s="204"/>
      <c r="D43" s="204"/>
      <c r="E43" s="204"/>
      <c r="F43" s="204"/>
      <c r="G43" s="204"/>
      <c r="H43" s="204"/>
      <c r="I43" s="205"/>
    </row>
    <row r="44" spans="1:9" ht="18.75" customHeight="1" x14ac:dyDescent="0.15">
      <c r="A44" s="14"/>
      <c r="B44" s="203"/>
      <c r="C44" s="204"/>
      <c r="D44" s="204"/>
      <c r="E44" s="204"/>
      <c r="F44" s="204"/>
      <c r="G44" s="204"/>
      <c r="H44" s="204"/>
      <c r="I44" s="205"/>
    </row>
    <row r="45" spans="1:9" ht="18.75" customHeight="1" x14ac:dyDescent="0.15">
      <c r="A45" s="14"/>
      <c r="B45" s="203"/>
      <c r="C45" s="204"/>
      <c r="D45" s="204"/>
      <c r="E45" s="204"/>
      <c r="F45" s="204"/>
      <c r="G45" s="204"/>
      <c r="H45" s="204"/>
      <c r="I45" s="205"/>
    </row>
    <row r="46" spans="1:9" ht="18.75" customHeight="1" x14ac:dyDescent="0.15">
      <c r="A46" s="14"/>
      <c r="B46" s="206"/>
      <c r="C46" s="207"/>
      <c r="D46" s="207"/>
      <c r="E46" s="207"/>
      <c r="F46" s="207"/>
      <c r="G46" s="207"/>
      <c r="H46" s="207"/>
      <c r="I46" s="208"/>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33" t="s">
        <v>89</v>
      </c>
      <c r="C49" s="194">
        <f>'様式２ 履修者等数の実績'!AQ32</f>
        <v>3.9102564102564102E-2</v>
      </c>
      <c r="D49" s="194"/>
      <c r="E49" s="33" t="s">
        <v>66</v>
      </c>
      <c r="F49" s="194">
        <v>0.05</v>
      </c>
      <c r="G49" s="194"/>
      <c r="H49" s="33" t="s">
        <v>67</v>
      </c>
      <c r="I49" s="34">
        <v>0.06</v>
      </c>
      <c r="J49" s="1"/>
      <c r="M49" s="1"/>
      <c r="N49" s="35"/>
    </row>
    <row r="50" spans="1:15" s="3" customFormat="1" ht="18.75" customHeight="1" x14ac:dyDescent="0.15">
      <c r="B50" s="36" t="s">
        <v>68</v>
      </c>
      <c r="C50" s="193">
        <v>7.0000000000000007E-2</v>
      </c>
      <c r="D50" s="193"/>
      <c r="E50" s="36" t="s">
        <v>90</v>
      </c>
      <c r="F50" s="193">
        <v>0.08</v>
      </c>
      <c r="G50" s="193"/>
      <c r="H50" s="36" t="s">
        <v>69</v>
      </c>
      <c r="I50" s="37">
        <f>'様式２ 履修者等数の実績'!E32</f>
        <v>1560</v>
      </c>
      <c r="J50" s="1"/>
      <c r="M50" s="1"/>
      <c r="N50" s="35"/>
    </row>
    <row r="51" spans="1:15" ht="18.75" customHeight="1" x14ac:dyDescent="0.15">
      <c r="A51" s="1"/>
      <c r="B51" s="189" t="s">
        <v>70</v>
      </c>
      <c r="C51" s="190"/>
      <c r="D51" s="190"/>
      <c r="E51" s="190"/>
      <c r="F51" s="190"/>
      <c r="G51" s="190"/>
      <c r="H51" s="190"/>
      <c r="I51" s="191"/>
      <c r="N51" s="35"/>
      <c r="O51" s="3"/>
    </row>
    <row r="52" spans="1:15" ht="18.75" customHeight="1" x14ac:dyDescent="0.15">
      <c r="A52" s="1"/>
      <c r="B52" s="214" t="s">
        <v>146</v>
      </c>
      <c r="C52" s="215"/>
      <c r="D52" s="215"/>
      <c r="E52" s="215"/>
      <c r="F52" s="215"/>
      <c r="G52" s="215"/>
      <c r="H52" s="215"/>
      <c r="I52" s="216"/>
      <c r="N52" s="35"/>
      <c r="O52" s="3"/>
    </row>
    <row r="53" spans="1:15" ht="18.75" customHeight="1" x14ac:dyDescent="0.15">
      <c r="A53" s="1"/>
      <c r="B53" s="217"/>
      <c r="C53" s="218"/>
      <c r="D53" s="218"/>
      <c r="E53" s="218"/>
      <c r="F53" s="218"/>
      <c r="G53" s="218"/>
      <c r="H53" s="218"/>
      <c r="I53" s="219"/>
      <c r="N53" s="35"/>
      <c r="O53" s="3"/>
    </row>
    <row r="54" spans="1:15" ht="18.75" customHeight="1" x14ac:dyDescent="0.15">
      <c r="A54" s="1"/>
      <c r="B54" s="217"/>
      <c r="C54" s="218"/>
      <c r="D54" s="218"/>
      <c r="E54" s="218"/>
      <c r="F54" s="218"/>
      <c r="G54" s="218"/>
      <c r="H54" s="218"/>
      <c r="I54" s="219"/>
    </row>
    <row r="55" spans="1:15" ht="18.75" customHeight="1" x14ac:dyDescent="0.15">
      <c r="A55" s="1"/>
      <c r="B55" s="217"/>
      <c r="C55" s="218"/>
      <c r="D55" s="218"/>
      <c r="E55" s="218"/>
      <c r="F55" s="218"/>
      <c r="G55" s="218"/>
      <c r="H55" s="218"/>
      <c r="I55" s="219"/>
    </row>
    <row r="56" spans="1:15" ht="18.75" customHeight="1" x14ac:dyDescent="0.15">
      <c r="A56" s="1"/>
      <c r="B56" s="217"/>
      <c r="C56" s="218"/>
      <c r="D56" s="218"/>
      <c r="E56" s="218"/>
      <c r="F56" s="218"/>
      <c r="G56" s="218"/>
      <c r="H56" s="218"/>
      <c r="I56" s="219"/>
    </row>
    <row r="57" spans="1:15" ht="18.75" customHeight="1" x14ac:dyDescent="0.15">
      <c r="A57" s="1"/>
      <c r="B57" s="217"/>
      <c r="C57" s="218"/>
      <c r="D57" s="218"/>
      <c r="E57" s="218"/>
      <c r="F57" s="218"/>
      <c r="G57" s="218"/>
      <c r="H57" s="218"/>
      <c r="I57" s="219"/>
    </row>
    <row r="58" spans="1:15" ht="18.75" customHeight="1" x14ac:dyDescent="0.15">
      <c r="A58" s="1"/>
      <c r="B58" s="217"/>
      <c r="C58" s="218"/>
      <c r="D58" s="218"/>
      <c r="E58" s="218"/>
      <c r="F58" s="218"/>
      <c r="G58" s="218"/>
      <c r="H58" s="218"/>
      <c r="I58" s="219"/>
    </row>
    <row r="59" spans="1:15" ht="18.75" customHeight="1" x14ac:dyDescent="0.15">
      <c r="A59" s="1"/>
      <c r="B59" s="217"/>
      <c r="C59" s="218"/>
      <c r="D59" s="218"/>
      <c r="E59" s="218"/>
      <c r="F59" s="218"/>
      <c r="G59" s="218"/>
      <c r="H59" s="218"/>
      <c r="I59" s="219"/>
    </row>
    <row r="60" spans="1:15" ht="18.75" customHeight="1" x14ac:dyDescent="0.15">
      <c r="A60" s="1"/>
      <c r="B60" s="217"/>
      <c r="C60" s="218"/>
      <c r="D60" s="218"/>
      <c r="E60" s="218"/>
      <c r="F60" s="218"/>
      <c r="G60" s="218"/>
      <c r="H60" s="218"/>
      <c r="I60" s="219"/>
    </row>
    <row r="61" spans="1:15" ht="18.75" customHeight="1" x14ac:dyDescent="0.15">
      <c r="A61" s="1"/>
      <c r="B61" s="217"/>
      <c r="C61" s="218"/>
      <c r="D61" s="218"/>
      <c r="E61" s="218"/>
      <c r="F61" s="218"/>
      <c r="G61" s="218"/>
      <c r="H61" s="218"/>
      <c r="I61" s="219"/>
    </row>
    <row r="62" spans="1:15" ht="18.75" customHeight="1" x14ac:dyDescent="0.15">
      <c r="A62" s="1"/>
      <c r="B62" s="217"/>
      <c r="C62" s="218"/>
      <c r="D62" s="218"/>
      <c r="E62" s="218"/>
      <c r="F62" s="218"/>
      <c r="G62" s="218"/>
      <c r="H62" s="218"/>
      <c r="I62" s="219"/>
    </row>
    <row r="63" spans="1:15" ht="18.75" customHeight="1" x14ac:dyDescent="0.15">
      <c r="A63" s="1"/>
      <c r="B63" s="220"/>
      <c r="C63" s="221"/>
      <c r="D63" s="221"/>
      <c r="E63" s="221"/>
      <c r="F63" s="221"/>
      <c r="G63" s="221"/>
      <c r="H63" s="221"/>
      <c r="I63" s="22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23" t="s">
        <v>156</v>
      </c>
      <c r="C66" s="224"/>
      <c r="D66" s="224"/>
      <c r="E66" s="224"/>
      <c r="F66" s="224"/>
      <c r="G66" s="224"/>
      <c r="H66" s="224"/>
      <c r="I66" s="225"/>
    </row>
    <row r="67" spans="1:9" ht="18.75" customHeight="1" x14ac:dyDescent="0.15">
      <c r="A67" s="4"/>
      <c r="B67" s="226"/>
      <c r="C67" s="227"/>
      <c r="D67" s="227"/>
      <c r="E67" s="227"/>
      <c r="F67" s="227"/>
      <c r="G67" s="227"/>
      <c r="H67" s="227"/>
      <c r="I67" s="228"/>
    </row>
    <row r="68" spans="1:9" ht="18.75" customHeight="1" x14ac:dyDescent="0.15">
      <c r="A68" s="4"/>
      <c r="B68" s="226"/>
      <c r="C68" s="227"/>
      <c r="D68" s="227"/>
      <c r="E68" s="227"/>
      <c r="F68" s="227"/>
      <c r="G68" s="227"/>
      <c r="H68" s="227"/>
      <c r="I68" s="228"/>
    </row>
    <row r="69" spans="1:9" ht="18.75" customHeight="1" x14ac:dyDescent="0.15">
      <c r="A69" s="4"/>
      <c r="B69" s="226"/>
      <c r="C69" s="227"/>
      <c r="D69" s="227"/>
      <c r="E69" s="227"/>
      <c r="F69" s="227"/>
      <c r="G69" s="227"/>
      <c r="H69" s="227"/>
      <c r="I69" s="228"/>
    </row>
    <row r="70" spans="1:9" ht="18.75" customHeight="1" x14ac:dyDescent="0.15">
      <c r="A70" s="4"/>
      <c r="B70" s="226"/>
      <c r="C70" s="227"/>
      <c r="D70" s="227"/>
      <c r="E70" s="227"/>
      <c r="F70" s="227"/>
      <c r="G70" s="227"/>
      <c r="H70" s="227"/>
      <c r="I70" s="228"/>
    </row>
    <row r="71" spans="1:9" ht="18.75" customHeight="1" x14ac:dyDescent="0.15">
      <c r="A71" s="4"/>
      <c r="B71" s="226"/>
      <c r="C71" s="227"/>
      <c r="D71" s="227"/>
      <c r="E71" s="227"/>
      <c r="F71" s="227"/>
      <c r="G71" s="227"/>
      <c r="H71" s="227"/>
      <c r="I71" s="228"/>
    </row>
    <row r="72" spans="1:9" ht="18.75" customHeight="1" x14ac:dyDescent="0.15">
      <c r="A72" s="4"/>
      <c r="B72" s="226"/>
      <c r="C72" s="227"/>
      <c r="D72" s="227"/>
      <c r="E72" s="227"/>
      <c r="F72" s="227"/>
      <c r="G72" s="227"/>
      <c r="H72" s="227"/>
      <c r="I72" s="228"/>
    </row>
    <row r="73" spans="1:9" ht="18.75" customHeight="1" x14ac:dyDescent="0.15">
      <c r="A73" s="4"/>
      <c r="B73" s="226"/>
      <c r="C73" s="227"/>
      <c r="D73" s="227"/>
      <c r="E73" s="227"/>
      <c r="F73" s="227"/>
      <c r="G73" s="227"/>
      <c r="H73" s="227"/>
      <c r="I73" s="228"/>
    </row>
    <row r="74" spans="1:9" ht="18.75" customHeight="1" x14ac:dyDescent="0.15">
      <c r="A74" s="4"/>
      <c r="B74" s="226"/>
      <c r="C74" s="227"/>
      <c r="D74" s="227"/>
      <c r="E74" s="227"/>
      <c r="F74" s="227"/>
      <c r="G74" s="227"/>
      <c r="H74" s="227"/>
      <c r="I74" s="228"/>
    </row>
    <row r="75" spans="1:9" ht="18.75" customHeight="1" x14ac:dyDescent="0.15">
      <c r="A75" s="4"/>
      <c r="B75" s="226"/>
      <c r="C75" s="227"/>
      <c r="D75" s="227"/>
      <c r="E75" s="227"/>
      <c r="F75" s="227"/>
      <c r="G75" s="227"/>
      <c r="H75" s="227"/>
      <c r="I75" s="228"/>
    </row>
    <row r="76" spans="1:9" ht="18.75" customHeight="1" x14ac:dyDescent="0.15">
      <c r="A76" s="4"/>
      <c r="B76" s="226"/>
      <c r="C76" s="227"/>
      <c r="D76" s="227"/>
      <c r="E76" s="227"/>
      <c r="F76" s="227"/>
      <c r="G76" s="227"/>
      <c r="H76" s="227"/>
      <c r="I76" s="228"/>
    </row>
    <row r="77" spans="1:9" ht="18.75" customHeight="1" x14ac:dyDescent="0.15">
      <c r="A77" s="4"/>
      <c r="B77" s="229"/>
      <c r="C77" s="230"/>
      <c r="D77" s="230"/>
      <c r="E77" s="230"/>
      <c r="F77" s="230"/>
      <c r="G77" s="230"/>
      <c r="H77" s="230"/>
      <c r="I77" s="231"/>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23" t="s">
        <v>147</v>
      </c>
      <c r="C80" s="224"/>
      <c r="D80" s="224"/>
      <c r="E80" s="224"/>
      <c r="F80" s="224"/>
      <c r="G80" s="224"/>
      <c r="H80" s="224"/>
      <c r="I80" s="233"/>
    </row>
    <row r="81" spans="1:9" ht="18.75" customHeight="1" x14ac:dyDescent="0.15">
      <c r="A81" s="1"/>
      <c r="B81" s="234"/>
      <c r="C81" s="235"/>
      <c r="D81" s="235"/>
      <c r="E81" s="235"/>
      <c r="F81" s="235"/>
      <c r="G81" s="235"/>
      <c r="H81" s="235"/>
      <c r="I81" s="236"/>
    </row>
    <row r="82" spans="1:9" ht="18.75" customHeight="1" x14ac:dyDescent="0.15">
      <c r="A82" s="1"/>
      <c r="B82" s="234"/>
      <c r="C82" s="235"/>
      <c r="D82" s="235"/>
      <c r="E82" s="235"/>
      <c r="F82" s="235"/>
      <c r="G82" s="235"/>
      <c r="H82" s="235"/>
      <c r="I82" s="236"/>
    </row>
    <row r="83" spans="1:9" ht="18.75" customHeight="1" x14ac:dyDescent="0.15">
      <c r="A83" s="1"/>
      <c r="B83" s="234"/>
      <c r="C83" s="235"/>
      <c r="D83" s="235"/>
      <c r="E83" s="235"/>
      <c r="F83" s="235"/>
      <c r="G83" s="235"/>
      <c r="H83" s="235"/>
      <c r="I83" s="236"/>
    </row>
    <row r="84" spans="1:9" ht="18.75" customHeight="1" x14ac:dyDescent="0.15">
      <c r="A84" s="1"/>
      <c r="B84" s="234"/>
      <c r="C84" s="235"/>
      <c r="D84" s="235"/>
      <c r="E84" s="235"/>
      <c r="F84" s="235"/>
      <c r="G84" s="235"/>
      <c r="H84" s="235"/>
      <c r="I84" s="236"/>
    </row>
    <row r="85" spans="1:9" ht="18.75" customHeight="1" x14ac:dyDescent="0.15">
      <c r="A85" s="1"/>
      <c r="B85" s="234"/>
      <c r="C85" s="235"/>
      <c r="D85" s="235"/>
      <c r="E85" s="235"/>
      <c r="F85" s="235"/>
      <c r="G85" s="235"/>
      <c r="H85" s="235"/>
      <c r="I85" s="236"/>
    </row>
    <row r="86" spans="1:9" ht="18.75" customHeight="1" x14ac:dyDescent="0.15">
      <c r="A86" s="1"/>
      <c r="B86" s="234"/>
      <c r="C86" s="235"/>
      <c r="D86" s="235"/>
      <c r="E86" s="235"/>
      <c r="F86" s="235"/>
      <c r="G86" s="235"/>
      <c r="H86" s="235"/>
      <c r="I86" s="236"/>
    </row>
    <row r="87" spans="1:9" ht="18.75" customHeight="1" x14ac:dyDescent="0.15">
      <c r="A87" s="1"/>
      <c r="B87" s="234"/>
      <c r="C87" s="235"/>
      <c r="D87" s="235"/>
      <c r="E87" s="235"/>
      <c r="F87" s="235"/>
      <c r="G87" s="235"/>
      <c r="H87" s="235"/>
      <c r="I87" s="236"/>
    </row>
    <row r="88" spans="1:9" ht="18.75" customHeight="1" x14ac:dyDescent="0.15">
      <c r="A88" s="1"/>
      <c r="B88" s="234"/>
      <c r="C88" s="235"/>
      <c r="D88" s="235"/>
      <c r="E88" s="235"/>
      <c r="F88" s="235"/>
      <c r="G88" s="235"/>
      <c r="H88" s="235"/>
      <c r="I88" s="236"/>
    </row>
    <row r="89" spans="1:9" ht="18.75" customHeight="1" x14ac:dyDescent="0.15">
      <c r="A89" s="1"/>
      <c r="B89" s="234"/>
      <c r="C89" s="235"/>
      <c r="D89" s="235"/>
      <c r="E89" s="235"/>
      <c r="F89" s="235"/>
      <c r="G89" s="235"/>
      <c r="H89" s="235"/>
      <c r="I89" s="236"/>
    </row>
    <row r="90" spans="1:9" ht="18.75" customHeight="1" x14ac:dyDescent="0.15">
      <c r="A90" s="4"/>
      <c r="B90" s="234"/>
      <c r="C90" s="235"/>
      <c r="D90" s="235"/>
      <c r="E90" s="235"/>
      <c r="F90" s="235"/>
      <c r="G90" s="235"/>
      <c r="H90" s="235"/>
      <c r="I90" s="236"/>
    </row>
    <row r="91" spans="1:9" ht="18.75" customHeight="1" x14ac:dyDescent="0.15">
      <c r="A91" s="4"/>
      <c r="B91" s="237"/>
      <c r="C91" s="238"/>
      <c r="D91" s="238"/>
      <c r="E91" s="238"/>
      <c r="F91" s="238"/>
      <c r="G91" s="238"/>
      <c r="H91" s="238"/>
      <c r="I91" s="239"/>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0" t="s">
        <v>148</v>
      </c>
      <c r="C94" s="201"/>
      <c r="D94" s="201"/>
      <c r="E94" s="201"/>
      <c r="F94" s="201"/>
      <c r="G94" s="201"/>
      <c r="H94" s="201"/>
      <c r="I94" s="202"/>
    </row>
    <row r="95" spans="1:9" ht="18.75" customHeight="1" x14ac:dyDescent="0.15">
      <c r="A95" s="1"/>
      <c r="B95" s="203"/>
      <c r="C95" s="204"/>
      <c r="D95" s="204"/>
      <c r="E95" s="204"/>
      <c r="F95" s="204"/>
      <c r="G95" s="204"/>
      <c r="H95" s="204"/>
      <c r="I95" s="205"/>
    </row>
    <row r="96" spans="1:9" ht="18.75" customHeight="1" x14ac:dyDescent="0.15">
      <c r="A96" s="1"/>
      <c r="B96" s="203"/>
      <c r="C96" s="204"/>
      <c r="D96" s="204"/>
      <c r="E96" s="204"/>
      <c r="F96" s="204"/>
      <c r="G96" s="204"/>
      <c r="H96" s="204"/>
      <c r="I96" s="205"/>
    </row>
    <row r="97" spans="1:9" ht="18.75" customHeight="1" x14ac:dyDescent="0.15">
      <c r="A97" s="1"/>
      <c r="B97" s="203"/>
      <c r="C97" s="204"/>
      <c r="D97" s="204"/>
      <c r="E97" s="204"/>
      <c r="F97" s="204"/>
      <c r="G97" s="204"/>
      <c r="H97" s="204"/>
      <c r="I97" s="205"/>
    </row>
    <row r="98" spans="1:9" ht="18.75" customHeight="1" x14ac:dyDescent="0.15">
      <c r="A98" s="1"/>
      <c r="B98" s="203"/>
      <c r="C98" s="204"/>
      <c r="D98" s="204"/>
      <c r="E98" s="204"/>
      <c r="F98" s="204"/>
      <c r="G98" s="204"/>
      <c r="H98" s="204"/>
      <c r="I98" s="205"/>
    </row>
    <row r="99" spans="1:9" ht="18.75" customHeight="1" x14ac:dyDescent="0.15">
      <c r="A99" s="1"/>
      <c r="B99" s="203"/>
      <c r="C99" s="204"/>
      <c r="D99" s="204"/>
      <c r="E99" s="204"/>
      <c r="F99" s="204"/>
      <c r="G99" s="204"/>
      <c r="H99" s="204"/>
      <c r="I99" s="205"/>
    </row>
    <row r="100" spans="1:9" ht="18.75" customHeight="1" x14ac:dyDescent="0.15">
      <c r="A100" s="1"/>
      <c r="B100" s="203"/>
      <c r="C100" s="204"/>
      <c r="D100" s="204"/>
      <c r="E100" s="204"/>
      <c r="F100" s="204"/>
      <c r="G100" s="204"/>
      <c r="H100" s="204"/>
      <c r="I100" s="205"/>
    </row>
    <row r="101" spans="1:9" ht="18.75" customHeight="1" x14ac:dyDescent="0.15">
      <c r="A101" s="1"/>
      <c r="B101" s="203"/>
      <c r="C101" s="204"/>
      <c r="D101" s="204"/>
      <c r="E101" s="204"/>
      <c r="F101" s="204"/>
      <c r="G101" s="204"/>
      <c r="H101" s="204"/>
      <c r="I101" s="205"/>
    </row>
    <row r="102" spans="1:9" ht="18.75" customHeight="1" x14ac:dyDescent="0.15">
      <c r="A102" s="1"/>
      <c r="B102" s="203"/>
      <c r="C102" s="204"/>
      <c r="D102" s="204"/>
      <c r="E102" s="204"/>
      <c r="F102" s="204"/>
      <c r="G102" s="204"/>
      <c r="H102" s="204"/>
      <c r="I102" s="205"/>
    </row>
    <row r="103" spans="1:9" ht="18.75" customHeight="1" x14ac:dyDescent="0.15">
      <c r="A103" s="1"/>
      <c r="B103" s="203"/>
      <c r="C103" s="204"/>
      <c r="D103" s="204"/>
      <c r="E103" s="204"/>
      <c r="F103" s="204"/>
      <c r="G103" s="204"/>
      <c r="H103" s="204"/>
      <c r="I103" s="205"/>
    </row>
    <row r="104" spans="1:9" ht="18.75" customHeight="1" x14ac:dyDescent="0.15">
      <c r="A104" s="1"/>
      <c r="B104" s="203"/>
      <c r="C104" s="204"/>
      <c r="D104" s="204"/>
      <c r="E104" s="204"/>
      <c r="F104" s="204"/>
      <c r="G104" s="204"/>
      <c r="H104" s="204"/>
      <c r="I104" s="205"/>
    </row>
    <row r="105" spans="1:9" ht="18.75" customHeight="1" x14ac:dyDescent="0.15">
      <c r="A105" s="4"/>
      <c r="B105" s="206"/>
      <c r="C105" s="207"/>
      <c r="D105" s="207"/>
      <c r="E105" s="207"/>
      <c r="F105" s="207"/>
      <c r="G105" s="207"/>
      <c r="H105" s="207"/>
      <c r="I105" s="208"/>
    </row>
    <row r="106" spans="1:9" ht="7.5" customHeight="1" x14ac:dyDescent="0.15">
      <c r="A106" s="4"/>
      <c r="B106" s="4"/>
      <c r="C106" s="4"/>
      <c r="D106" s="4"/>
      <c r="E106" s="4"/>
      <c r="F106" s="4"/>
      <c r="G106" s="4"/>
      <c r="H106" s="4"/>
      <c r="I106" s="4"/>
    </row>
    <row r="107" spans="1:9" ht="18.75" customHeight="1" x14ac:dyDescent="0.15">
      <c r="A107" s="1" t="s">
        <v>30</v>
      </c>
      <c r="B107" s="232" t="s">
        <v>46</v>
      </c>
      <c r="C107" s="232"/>
      <c r="D107" s="232"/>
      <c r="E107" s="232"/>
      <c r="F107" s="232"/>
      <c r="G107" s="232"/>
      <c r="H107" s="232"/>
      <c r="I107" s="232"/>
    </row>
    <row r="108" spans="1:9" ht="18.75" customHeight="1" x14ac:dyDescent="0.15">
      <c r="A108" s="4"/>
      <c r="B108" s="200" t="s">
        <v>149</v>
      </c>
      <c r="C108" s="201"/>
      <c r="D108" s="201"/>
      <c r="E108" s="201"/>
      <c r="F108" s="201"/>
      <c r="G108" s="201"/>
      <c r="H108" s="201"/>
      <c r="I108" s="202"/>
    </row>
    <row r="109" spans="1:9" ht="18.75" customHeight="1" x14ac:dyDescent="0.15">
      <c r="A109" s="4"/>
      <c r="B109" s="203"/>
      <c r="C109" s="204"/>
      <c r="D109" s="204"/>
      <c r="E109" s="204"/>
      <c r="F109" s="204"/>
      <c r="G109" s="204"/>
      <c r="H109" s="204"/>
      <c r="I109" s="205"/>
    </row>
    <row r="110" spans="1:9" ht="18.75" customHeight="1" x14ac:dyDescent="0.15">
      <c r="A110" s="4"/>
      <c r="B110" s="203"/>
      <c r="C110" s="204"/>
      <c r="D110" s="204"/>
      <c r="E110" s="204"/>
      <c r="F110" s="204"/>
      <c r="G110" s="204"/>
      <c r="H110" s="204"/>
      <c r="I110" s="205"/>
    </row>
    <row r="111" spans="1:9" ht="18.75" customHeight="1" x14ac:dyDescent="0.15">
      <c r="A111" s="4"/>
      <c r="B111" s="203"/>
      <c r="C111" s="204"/>
      <c r="D111" s="204"/>
      <c r="E111" s="204"/>
      <c r="F111" s="204"/>
      <c r="G111" s="204"/>
      <c r="H111" s="204"/>
      <c r="I111" s="205"/>
    </row>
    <row r="112" spans="1:9" ht="18.75" customHeight="1" x14ac:dyDescent="0.15">
      <c r="A112" s="4"/>
      <c r="B112" s="203"/>
      <c r="C112" s="204"/>
      <c r="D112" s="204"/>
      <c r="E112" s="204"/>
      <c r="F112" s="204"/>
      <c r="G112" s="204"/>
      <c r="H112" s="204"/>
      <c r="I112" s="205"/>
    </row>
    <row r="113" spans="1:9" ht="18.75" customHeight="1" x14ac:dyDescent="0.15">
      <c r="A113" s="4"/>
      <c r="B113" s="203"/>
      <c r="C113" s="204"/>
      <c r="D113" s="204"/>
      <c r="E113" s="204"/>
      <c r="F113" s="204"/>
      <c r="G113" s="204"/>
      <c r="H113" s="204"/>
      <c r="I113" s="205"/>
    </row>
    <row r="114" spans="1:9" ht="18.75" customHeight="1" x14ac:dyDescent="0.15">
      <c r="A114" s="4"/>
      <c r="B114" s="203"/>
      <c r="C114" s="204"/>
      <c r="D114" s="204"/>
      <c r="E114" s="204"/>
      <c r="F114" s="204"/>
      <c r="G114" s="204"/>
      <c r="H114" s="204"/>
      <c r="I114" s="205"/>
    </row>
    <row r="115" spans="1:9" ht="18.75" customHeight="1" x14ac:dyDescent="0.15">
      <c r="A115" s="4"/>
      <c r="B115" s="203"/>
      <c r="C115" s="204"/>
      <c r="D115" s="204"/>
      <c r="E115" s="204"/>
      <c r="F115" s="204"/>
      <c r="G115" s="204"/>
      <c r="H115" s="204"/>
      <c r="I115" s="205"/>
    </row>
    <row r="116" spans="1:9" ht="18.75" customHeight="1" x14ac:dyDescent="0.15">
      <c r="A116" s="4"/>
      <c r="B116" s="203"/>
      <c r="C116" s="204"/>
      <c r="D116" s="204"/>
      <c r="E116" s="204"/>
      <c r="F116" s="204"/>
      <c r="G116" s="204"/>
      <c r="H116" s="204"/>
      <c r="I116" s="205"/>
    </row>
    <row r="117" spans="1:9" ht="18.75" customHeight="1" x14ac:dyDescent="0.15">
      <c r="A117" s="4"/>
      <c r="B117" s="203"/>
      <c r="C117" s="204"/>
      <c r="D117" s="204"/>
      <c r="E117" s="204"/>
      <c r="F117" s="204"/>
      <c r="G117" s="204"/>
      <c r="H117" s="204"/>
      <c r="I117" s="205"/>
    </row>
    <row r="118" spans="1:9" ht="18.75" customHeight="1" x14ac:dyDescent="0.15">
      <c r="A118" s="4"/>
      <c r="B118" s="203"/>
      <c r="C118" s="204"/>
      <c r="D118" s="204"/>
      <c r="E118" s="204"/>
      <c r="F118" s="204"/>
      <c r="G118" s="204"/>
      <c r="H118" s="204"/>
      <c r="I118" s="205"/>
    </row>
    <row r="119" spans="1:9" ht="18.75" customHeight="1" x14ac:dyDescent="0.15">
      <c r="A119" s="4"/>
      <c r="B119" s="206"/>
      <c r="C119" s="207"/>
      <c r="D119" s="207"/>
      <c r="E119" s="207"/>
      <c r="F119" s="207"/>
      <c r="G119" s="207"/>
      <c r="H119" s="207"/>
      <c r="I119" s="208"/>
    </row>
    <row r="120" spans="1:9" ht="7.5" customHeight="1" x14ac:dyDescent="0.15">
      <c r="A120" s="4"/>
      <c r="B120" s="38"/>
      <c r="C120" s="38"/>
      <c r="D120" s="38"/>
      <c r="E120" s="38"/>
      <c r="F120" s="38"/>
      <c r="G120" s="38"/>
      <c r="H120" s="38"/>
      <c r="I120" s="3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9"/>
      <c r="B134" s="39"/>
      <c r="C134" s="39"/>
      <c r="D134" s="39"/>
      <c r="E134" s="39"/>
      <c r="F134" s="39"/>
      <c r="G134" s="39"/>
      <c r="H134" s="39"/>
      <c r="I134" s="39"/>
    </row>
  </sheetData>
  <mergeCells count="22">
    <mergeCell ref="B94:I105"/>
    <mergeCell ref="B108:I119"/>
    <mergeCell ref="B19:I19"/>
    <mergeCell ref="B22:I32"/>
    <mergeCell ref="B35:I46"/>
    <mergeCell ref="B52:I63"/>
    <mergeCell ref="B66:I77"/>
    <mergeCell ref="B107:I107"/>
    <mergeCell ref="B80:I91"/>
    <mergeCell ref="H2:I2"/>
    <mergeCell ref="A4:I4"/>
    <mergeCell ref="B51:I51"/>
    <mergeCell ref="C6:D6"/>
    <mergeCell ref="F50:G50"/>
    <mergeCell ref="C49:D49"/>
    <mergeCell ref="C50:D50"/>
    <mergeCell ref="F49:G49"/>
    <mergeCell ref="C11:E11"/>
    <mergeCell ref="H11:I11"/>
    <mergeCell ref="B14:I14"/>
    <mergeCell ref="C16:E16"/>
    <mergeCell ref="H16:I1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K20" sqref="K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6" t="s">
        <v>105</v>
      </c>
    </row>
    <row r="2" spans="1:9" ht="18.75" customHeight="1" x14ac:dyDescent="0.15">
      <c r="H2" s="26" t="s">
        <v>109</v>
      </c>
      <c r="I2" s="25" t="str">
        <f>'様式１　プログラムを構成する授業科目'!C2</f>
        <v>帝塚山学院大学</v>
      </c>
    </row>
    <row r="3" spans="1:9" ht="18.75" customHeight="1" x14ac:dyDescent="0.15">
      <c r="A3" s="141" t="s">
        <v>28</v>
      </c>
      <c r="B3" s="141"/>
      <c r="C3" s="141"/>
      <c r="D3" s="141"/>
      <c r="E3" s="141"/>
      <c r="F3" s="141"/>
      <c r="G3" s="141"/>
      <c r="H3" s="141"/>
      <c r="I3" s="141"/>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95" t="s">
        <v>139</v>
      </c>
      <c r="C6" s="262"/>
      <c r="D6" s="262"/>
      <c r="E6" s="262"/>
      <c r="F6" s="262"/>
      <c r="G6" s="262"/>
      <c r="H6" s="263"/>
      <c r="I6" s="3"/>
    </row>
    <row r="7" spans="1:9" ht="9" customHeight="1" x14ac:dyDescent="0.15">
      <c r="A7" s="5"/>
      <c r="B7" s="10"/>
      <c r="C7" s="10"/>
      <c r="D7" s="10"/>
      <c r="E7" s="10"/>
      <c r="F7" s="10"/>
      <c r="G7" s="10"/>
      <c r="H7" s="10"/>
      <c r="I7" s="3"/>
    </row>
    <row r="8" spans="1:9" ht="18.75" customHeight="1" x14ac:dyDescent="0.15">
      <c r="A8" s="5"/>
      <c r="B8" s="3"/>
      <c r="C8" s="3"/>
      <c r="D8" s="26" t="s">
        <v>43</v>
      </c>
      <c r="E8" s="85" t="s">
        <v>140</v>
      </c>
      <c r="F8" s="3"/>
      <c r="G8" s="26" t="s">
        <v>10</v>
      </c>
      <c r="H8" s="86" t="s">
        <v>141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12" t="s">
        <v>24</v>
      </c>
      <c r="C11" s="113"/>
      <c r="D11" s="114"/>
      <c r="E11" s="113" t="s">
        <v>26</v>
      </c>
      <c r="F11" s="113"/>
      <c r="G11" s="113"/>
      <c r="H11" s="113"/>
      <c r="I11" s="114"/>
    </row>
    <row r="12" spans="1:9" ht="26.25" customHeight="1" x14ac:dyDescent="0.15">
      <c r="B12" s="40" t="s">
        <v>14</v>
      </c>
      <c r="C12" s="47"/>
      <c r="D12" s="41"/>
      <c r="E12" s="48"/>
      <c r="F12" s="48"/>
      <c r="G12" s="48"/>
      <c r="H12" s="48"/>
      <c r="I12" s="41"/>
    </row>
    <row r="13" spans="1:9" ht="245.1" customHeight="1" x14ac:dyDescent="0.15">
      <c r="B13" s="42"/>
      <c r="C13" s="243" t="s">
        <v>15</v>
      </c>
      <c r="D13" s="244"/>
      <c r="E13" s="258" t="s">
        <v>157</v>
      </c>
      <c r="F13" s="250"/>
      <c r="G13" s="250"/>
      <c r="H13" s="250"/>
      <c r="I13" s="251"/>
    </row>
    <row r="14" spans="1:9" ht="219.95" customHeight="1" x14ac:dyDescent="0.15">
      <c r="B14" s="42"/>
      <c r="C14" s="260" t="s">
        <v>16</v>
      </c>
      <c r="D14" s="261"/>
      <c r="E14" s="258" t="s">
        <v>150</v>
      </c>
      <c r="F14" s="250"/>
      <c r="G14" s="250"/>
      <c r="H14" s="250"/>
      <c r="I14" s="251"/>
    </row>
    <row r="15" spans="1:9" ht="210.75" customHeight="1" x14ac:dyDescent="0.15">
      <c r="B15" s="42"/>
      <c r="C15" s="243" t="s">
        <v>17</v>
      </c>
      <c r="D15" s="244"/>
      <c r="E15" s="258" t="s">
        <v>152</v>
      </c>
      <c r="F15" s="250"/>
      <c r="G15" s="250"/>
      <c r="H15" s="250"/>
      <c r="I15" s="251"/>
    </row>
    <row r="16" spans="1:9" ht="210.75" customHeight="1" x14ac:dyDescent="0.15">
      <c r="B16" s="42"/>
      <c r="C16" s="243" t="s">
        <v>18</v>
      </c>
      <c r="D16" s="244"/>
      <c r="E16" s="258" t="s">
        <v>151</v>
      </c>
      <c r="F16" s="250"/>
      <c r="G16" s="250"/>
      <c r="H16" s="250"/>
      <c r="I16" s="251"/>
    </row>
    <row r="17" spans="2:9" ht="210.75" customHeight="1" x14ac:dyDescent="0.15">
      <c r="B17" s="43"/>
      <c r="C17" s="245" t="s">
        <v>19</v>
      </c>
      <c r="D17" s="246"/>
      <c r="E17" s="259" t="s">
        <v>153</v>
      </c>
      <c r="F17" s="252"/>
      <c r="G17" s="252"/>
      <c r="H17" s="252"/>
      <c r="I17" s="253"/>
    </row>
    <row r="18" spans="2:9" ht="24" customHeight="1" x14ac:dyDescent="0.15">
      <c r="B18" s="40" t="s">
        <v>20</v>
      </c>
      <c r="C18" s="44"/>
      <c r="D18" s="45"/>
      <c r="E18" s="46"/>
      <c r="F18" s="46"/>
      <c r="G18" s="46"/>
      <c r="H18" s="46"/>
      <c r="I18" s="49"/>
    </row>
    <row r="19" spans="2:9" ht="218.25" customHeight="1" x14ac:dyDescent="0.15">
      <c r="B19" s="42"/>
      <c r="C19" s="243" t="s">
        <v>21</v>
      </c>
      <c r="D19" s="244"/>
      <c r="E19" s="250" t="s">
        <v>143</v>
      </c>
      <c r="F19" s="250"/>
      <c r="G19" s="250"/>
      <c r="H19" s="250"/>
      <c r="I19" s="251"/>
    </row>
    <row r="20" spans="2:9" ht="218.25" customHeight="1" x14ac:dyDescent="0.15">
      <c r="B20" s="43"/>
      <c r="C20" s="245" t="s">
        <v>22</v>
      </c>
      <c r="D20" s="246"/>
      <c r="E20" s="252" t="s">
        <v>158</v>
      </c>
      <c r="F20" s="252"/>
      <c r="G20" s="252"/>
      <c r="H20" s="252"/>
      <c r="I20" s="253"/>
    </row>
    <row r="21" spans="2:9" ht="218.25" customHeight="1" x14ac:dyDescent="0.15">
      <c r="B21" s="247" t="s">
        <v>23</v>
      </c>
      <c r="C21" s="248"/>
      <c r="D21" s="249"/>
      <c r="E21" s="254" t="s">
        <v>144</v>
      </c>
      <c r="F21" s="254"/>
      <c r="G21" s="254"/>
      <c r="H21" s="254"/>
      <c r="I21" s="255"/>
    </row>
    <row r="22" spans="2:9" ht="218.25" customHeight="1" x14ac:dyDescent="0.15">
      <c r="B22" s="240" t="s">
        <v>38</v>
      </c>
      <c r="C22" s="241"/>
      <c r="D22" s="242"/>
      <c r="E22" s="256" t="s">
        <v>154</v>
      </c>
      <c r="F22" s="256"/>
      <c r="G22" s="256"/>
      <c r="H22" s="256"/>
      <c r="I22" s="25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A3:I3"/>
    <mergeCell ref="B11:D11"/>
    <mergeCell ref="E11:I11"/>
    <mergeCell ref="C13:D13"/>
    <mergeCell ref="B6:H6"/>
    <mergeCell ref="E13:I13"/>
    <mergeCell ref="E14:I14"/>
    <mergeCell ref="C15:D15"/>
    <mergeCell ref="C16:D16"/>
    <mergeCell ref="C17:D17"/>
    <mergeCell ref="E15:I15"/>
    <mergeCell ref="E16:I16"/>
    <mergeCell ref="E17:I17"/>
    <mergeCell ref="B22:D22"/>
    <mergeCell ref="C19:D19"/>
    <mergeCell ref="C20:D20"/>
    <mergeCell ref="B21:D21"/>
    <mergeCell ref="E19:I19"/>
    <mergeCell ref="E20:I20"/>
    <mergeCell ref="E21:I21"/>
    <mergeCell ref="E22:I22"/>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2023-06-23T07:41:12Z</cp:lastPrinted>
  <dcterms:created xsi:type="dcterms:W3CDTF">2011-06-14T05:32:50Z</dcterms:created>
  <dcterms:modified xsi:type="dcterms:W3CDTF">2023-06-26T00:36:21Z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