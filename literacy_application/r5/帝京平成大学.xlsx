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fileSharing readOnlyRecommended="1" userName="小倉　彩夏" algorithmName="SHA-512" hashValue="1BTeZgj9tdcT241hS6aCkYHoGDKVSczT64tH8Tnn1f9MKNTLca7yIImIcZI8/cHILIZKLN4IUZjKe0UUZmCZwA==" saltValue="+V594w7dvCSZoBwIgY1GqA==" spinCount="100000"/>
  <workbookPr filterPrivacy="1" defaultThemeVersion="124226"/>
  <xr:revisionPtr revIDLastSave="0" documentId="13_ncr:10001_{B35B5867-D81F-4592-9A05-55ABA972FB09}" xr6:coauthVersionLast="47" xr6:coauthVersionMax="47" xr10:uidLastSave="{00000000-0000-0000-0000-000000000000}"/>
  <bookViews>
    <workbookView xWindow="-105" yWindow="0" windowWidth="14610" windowHeight="15585" tabRatio="885" xr2:uid="{00000000-000D-0000-FFFF-FFFF00000000}"/>
  </bookViews>
  <sheets>
    <sheet name="様式１　プログラムを構成する授業科目" sheetId="43"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<sst xmlns="http://schemas.openxmlformats.org/spreadsheetml/2006/main" count="326" uniqueCount="177">
  <si>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</si>
  <si>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</si>
  <si>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</si>
  <si>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</si>
  <si>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</si>
  <si>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</si>
  <si>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</si>
  <si>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</si>
  <si>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</si>
  <si>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</si>
  <si>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</si>
  <si>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</si>
  <si>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</si>
  <si>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</si>
  <si>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</si>
  <si>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</si>
  <si>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</si>
  <si>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</si>
  <si>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</si>
  <si>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</si>
  <si>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</si>
  <si>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</si>
  <si>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</si>
  <si>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</si>
  <si>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</si>
  <si>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</si>
  <si>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</si>
  <si>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</si>
  <si>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</si>
  <si>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</si>
  <si>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</si>
  <si>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</si>
  <si>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</si>
  <si>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</si>
  <si>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</si>
  <si>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</si>
  <si>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</si>
  <si>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</si>
  <si>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</si>
  <si>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</si>
  <si>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</si>
  <si>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</si>
  <si>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</si>
  <si>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</si>
  <si>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</si>
  <si>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</si>
  <si>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</si>
  <si>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</si>
  <si>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</si>
  <si>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</si>
  <si>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</si>
  <si>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</si>
  <si>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</si>
  <si>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</si>
  <si>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</si>
  <si>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</si>
  <si>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</si>
  <si>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</si>
  <si>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</si>
  <si>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</si>
  <si>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</si>
  <si>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</si>
  <si>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</si>
  <si>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</si>
  <si>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</si>
  <si>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</si>
  <si>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</si>
  <si>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</si>
  <si>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</si>
  <si>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</si>
  <si>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</si>
  <si>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</si>
  <si>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</si>
  <si>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</si>
  <si>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</si>
  <si>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</si>
  <si>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</si>
  <si>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</si>
  <si>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</si>
  <si>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</si>
  <si>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</si>
  <si>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</si>
  <si>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</si>
  <si>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</si>
  <si>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</si>
  <si>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</si>
  <si>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</si>
  <si>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</si>
  <si>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</si>
  <si>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</si>
  <si>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</si>
  <si>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</si>
  <si>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</si>
  <si>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</si>
  <si>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</si>
  <si>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</si>
  <si>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</si>
  <si>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</si>
  <si>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</si>
  <si>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</si>
  <si>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</si>
  <si>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</si>
  <si>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</si>
  <si>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</si>
  <si>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</si>
  <si>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</si>
  <si>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</si>
  <si>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</si>
  <si>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</si>
  <si>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</si>
  <si>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</si>
  <si>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</si>
  <si>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</si>
  <si>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</si>
  <si>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</si>
  <si>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</si>
  <si>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</si>
  <si>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</si>
  <si>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</si>
  <si>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</si>
  <si>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</si>
  <si>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</si>
  <si>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</si>
  <si>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</si>
  <si>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</si>
  <si>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</si>
  <si>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帝京平成大学</t>
    <rPh sb="0" eb="4">
      <t>テイキョウヘイセイ</t>
    </rPh>
    <rPh sb="4" eb="6">
      <t>ダイガク</t>
    </rPh>
    <phoneticPr fontId="1"/>
  </si>
  <si>
    <t>数理・データサイエンス・ＡＩリテラシー教育プログラム</t>
  </si>
  <si>
    <t>学部・学科によって、修了要件は相違しない</t>
  </si>
  <si>
    <t>情報リテラシー演習・ＤＳ概論</t>
    <phoneticPr fontId="1"/>
  </si>
  <si>
    <t>○</t>
  </si>
  <si>
    <t>コンピュータ演習</t>
    <phoneticPr fontId="1"/>
  </si>
  <si>
    <t>コンピュータ演習Ⅰ</t>
    <phoneticPr fontId="1"/>
  </si>
  <si>
    <t>・データサイエンスやAIが現代社会の様々な分野で利用されていることを理解し、多数の実例を挙げることができるようになる。
・データやAIの特性を理解し、実際に利活用する際に生じる可能性がある問題を予測することができる。
・情報セキュリティや情報モラルについて理解し、データやAIを利活用する際に適切に行動できる。
・統計の基礎を習得し、データの種類や基本統計量の意味を説明することができる。
・Excelを利用して実データの基本統計量の算出や、表やグラフとして可視化を行うことができる。</t>
    <phoneticPr fontId="1"/>
  </si>
  <si>
    <t>人文社会学部</t>
    <rPh sb="0" eb="2">
      <t>ジンブン</t>
    </rPh>
    <rPh sb="2" eb="4">
      <t>シャカイ</t>
    </rPh>
    <rPh sb="4" eb="6">
      <t>ガクブ</t>
    </rPh>
    <phoneticPr fontId="1"/>
  </si>
  <si>
    <t>健康メディカル学部</t>
    <rPh sb="0" eb="2">
      <t>ケンコウ</t>
    </rPh>
    <rPh sb="7" eb="9">
      <t>ガクブ</t>
    </rPh>
    <phoneticPr fontId="1"/>
  </si>
  <si>
    <t>ヒューマンケア学部</t>
    <rPh sb="7" eb="9">
      <t>ガクブ</t>
    </rPh>
    <phoneticPr fontId="1"/>
  </si>
  <si>
    <t>薬学部</t>
    <rPh sb="0" eb="3">
      <t>ヤクガクブ</t>
    </rPh>
    <phoneticPr fontId="1"/>
  </si>
  <si>
    <t>健康医療スポーツ学部</t>
    <rPh sb="0" eb="2">
      <t>ケンコウ</t>
    </rPh>
    <rPh sb="2" eb="4">
      <t>イリョウ</t>
    </rPh>
    <rPh sb="8" eb="10">
      <t>ガクブ</t>
    </rPh>
    <phoneticPr fontId="1"/>
  </si>
  <si>
    <t>斧　康雄</t>
  </si>
  <si>
    <t>副学長</t>
    <rPh sb="0" eb="3">
      <t>フクガクチョウ</t>
    </rPh>
    <phoneticPr fontId="1"/>
  </si>
  <si>
    <t>教学マネジメント室　教育開発部門</t>
    <rPh sb="0" eb="2">
      <t>キョウガク</t>
    </rPh>
    <rPh sb="8" eb="9">
      <t>シツ</t>
    </rPh>
    <phoneticPr fontId="1"/>
  </si>
  <si>
    <t>市川　毅</t>
    <rPh sb="0" eb="2">
      <t>イチカワ</t>
    </rPh>
    <rPh sb="3" eb="4">
      <t>タケシ</t>
    </rPh>
    <phoneticPr fontId="1"/>
  </si>
  <si>
    <t>教学マネジメント室　教育開発部門長</t>
    <rPh sb="10" eb="12">
      <t>キョウイク</t>
    </rPh>
    <rPh sb="12" eb="14">
      <t>カイハツ</t>
    </rPh>
    <rPh sb="14" eb="16">
      <t>ブモン</t>
    </rPh>
    <rPh sb="16" eb="17">
      <t>チョウ</t>
    </rPh>
    <phoneticPr fontId="1"/>
  </si>
  <si>
    <t>帝京平成大学教学マネジメント室規程</t>
  </si>
  <si>
    <t>教学マネジメント室　教育開発部門</t>
    <rPh sb="0" eb="2">
      <t>キョウガク</t>
    </rPh>
    <rPh sb="8" eb="9">
      <t>シツ</t>
    </rPh>
    <rPh sb="10" eb="12">
      <t>キョウイク</t>
    </rPh>
    <rPh sb="12" eb="14">
      <t>カイハツ</t>
    </rPh>
    <rPh sb="14" eb="16">
      <t>ブモン</t>
    </rPh>
    <phoneticPr fontId="1"/>
  </si>
  <si>
    <t>教学マネジメント室　教育開発部門長</t>
    <rPh sb="0" eb="2">
      <t>キョウガク</t>
    </rPh>
    <rPh sb="8" eb="9">
      <t>シツ</t>
    </rPh>
    <rPh sb="10" eb="12">
      <t>キョウイク</t>
    </rPh>
    <rPh sb="12" eb="14">
      <t>カイハツ</t>
    </rPh>
    <rPh sb="14" eb="16">
      <t>ブモン</t>
    </rPh>
    <rPh sb="16" eb="17">
      <t>チョウ</t>
    </rPh>
    <phoneticPr fontId="1"/>
  </si>
  <si>
    <t>当プログラムの科目は全学必修ではあるが、授業クラスは学科・コースごとに分かれているため、受講学生が所属する学科・コースに関連する事例（動画や記事）等を紹介するなどして、学生が興味・関心を抱くよう工夫をしている。また、演習ではコンピュータ利用の楽しさを感じさせたり、在学中や卒業後の利用場面を想起させるような練習問題も実施している。</t>
    <phoneticPr fontId="1"/>
  </si>
  <si>
    <t>全学必修科目としていることから、受講者の中には数学が苦手な学生が多数いることを前提とし、データサイエンスやAIの重要性を認識させることと、それらに興味・関心を持たせてより高度な関連授業の履修を促すことを主眼とした授業内容としている。また、「学生による授業評価」アンケートの結果をもとに学生の理解度を把握し、それに応じてスチューデント・アシスタント(SA)の補充や共通教材の開発などの授業サポートを行っている。約25名の担当教員には、FD研修による支援を行うとともに、シラバスや教材の共有により全クラスの教授水準を一定以上に保っている。また、各担当教員の専門分野における問題意識を受講学生に伝える自由度も持たせることにより、各教員の継続的な工夫を引き出し、活きた授業とするよう配慮している。</t>
    <phoneticPr fontId="1"/>
  </si>
  <si>
    <t>人文社会学部 経営学科 通信教育課程</t>
    <phoneticPr fontId="1"/>
  </si>
  <si>
    <t>プログラムに該当する、「情報リテラシー演習・ＤＳ概論」「コンピュータ演習」「コンピュータ演習Ⅰ」は全学必修科目として開講し、全ての学生が当該プログラムを履修・修得できる体制としている。
本プログラムは令和4年度より初年次教育として必修科目にて実施しているため、プログラム開始から4年後に履修率100％となる見込みである。</t>
    <rPh sb="93" eb="94">
      <t>ホン</t>
    </rPh>
    <rPh sb="100" eb="102">
      <t>レイワ</t>
    </rPh>
    <rPh sb="103" eb="105">
      <t>ネンド</t>
    </rPh>
    <rPh sb="107" eb="110">
      <t>ショネンジ</t>
    </rPh>
    <rPh sb="110" eb="112">
      <t>キョウイク</t>
    </rPh>
    <rPh sb="115" eb="119">
      <t>ヒッシュウカモク</t>
    </rPh>
    <rPh sb="121" eb="123">
      <t>ジッシ</t>
    </rPh>
    <rPh sb="135" eb="137">
      <t>カイシ</t>
    </rPh>
    <rPh sb="140" eb="142">
      <t>ネンゴ</t>
    </rPh>
    <rPh sb="143" eb="146">
      <t>リシュウリツ</t>
    </rPh>
    <rPh sb="153" eb="155">
      <t>ミコ</t>
    </rPh>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</si>
  <si>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</si>
  <si>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⑧のとおり、当該科目は全学必修科目として開講、初年次教育として通年または半期30回にて履修を行うカリキュラムとなっている。</t>
    <rPh sb="40" eb="41">
      <t>カイ</t>
    </rPh>
    <phoneticPr fontId="1"/>
  </si>
  <si>
    <t>⑧のとおり、当該科目は全学必修科目として開講、通年または半期30回にて履修を行うカリキュラムとなっている。また、全学必修科目であるフレッシュセミナーにて必ず履修するように指導を行っている。</t>
    <rPh sb="32" eb="33">
      <t>カイ</t>
    </rPh>
    <phoneticPr fontId="1"/>
  </si>
  <si>
    <t>⑧のとおり、当該科目は全学必修科目として開講しており、通年もしくは半期で30回の履修を行うカリキュラムとなっている。授業は1クラス30〜40名の受講生に対して1名または2名の教員が担当して実施し、授業中にきめ細かい説明や質問の対応を可能としている。さらに当該科目を成績A以上で単位取得した学生から募ったスチューデント・アシスタント（SA）を各クラスに１〜２名配置し、受講者目線でのサポートも行っている。受講に必要なインフラとして、外部提携先ノートPCの購入推奨（価格の割引や保障メリットあり）や学内および演習室内のLAN/WiFi、Microsoft365の無償利用（全学生分のライセンスを大学が一括契約）といった環境整備・提供を行っている。コンピュータ演習室における高速インターネット・アクセス環境も提供し、当該科目の補助教材として学外の動画等も視聴できるようにしている。</t>
    <rPh sb="38" eb="39">
      <t>カイ</t>
    </rPh>
    <rPh sb="85" eb="86">
      <t>メイ</t>
    </rPh>
    <rPh sb="215" eb="220">
      <t>ガイブテイケイサキ</t>
    </rPh>
    <rPh sb="226" eb="230">
      <t>コウニュウスイショウ</t>
    </rPh>
    <rPh sb="234" eb="236">
      <t>ワリビキ</t>
    </rPh>
    <phoneticPr fontId="1"/>
  </si>
  <si>
    <t>基本は対面授業を実施し、1クラス30〜40名の受講生に対して教員1名または2名とSA1〜2名を配置し説明や質問対応を実施している。授業における課題提出や小テストの実施とフィードバックは学修支援システムmanabaを介して行っている。授業時間外の指導の仕組みとして、質問対応のために教員が居室に待機しているオフィスアワーを設置している。また、manabaの掲示板機能やMicrosoft Teams、電子メール等を用いたオンライン・コミュニケーションを実施している。緊急事態宣言などで対面授業ができなくなったときには、これらのオンライン・コミュニケーション手段を活用したオンデマンド型オンライン授業コンテンツも用意している。</t>
    <rPh sb="38" eb="39">
      <t>メイ</t>
    </rPh>
    <phoneticPr fontId="1"/>
  </si>
  <si>
    <t>全学で必修科目となっているため、全学生が履修する仕組みとなっている。授業終了後に教務チームが単位修得率を集計し、教学マネジメント室教育開発部門がその結果を踏まえて改善活動を実施している。必修科目のため単位を修得できなかった学生は全て次年度に再履修する仕組みとなっている。単位修得率が低下した場合には講義内容の見直しや授業サポートの強化を検討予定だが、現時点では適正な範囲であると認識されている。</t>
    <rPh sb="56" eb="58">
      <t>キョウガク</t>
    </rPh>
    <rPh sb="64" eb="65">
      <t>シツ</t>
    </rPh>
    <rPh sb="65" eb="71">
      <t>キョウイクカイハツブモン</t>
    </rPh>
    <phoneticPr fontId="1"/>
  </si>
  <si>
    <t>単位修得状況と同様に、授業終了後に教務チームが成績分布や平均GPA、「学生による授業評価」アンケートを集計している。分析と改善の活動はクラスレベル（教員レベル）、学科・コースレベル、全学レベルの3レベルで実施している。教員レベルでは、各クラスの担当教員が成績分布と「学生による授業評価」アンケートの内容を分析し、必要に応じて次年度の改善活動を立案し、ティーチング・ポートフォリオ等で学内に公開している。学科・コースレベルでは、同一学科・コース内の成績分布や平均GPAをクラスごとに比較しクラス間の成績平準化を行うとともに、学科・コースに特有の問題について担当教員間で議論する機会を作っている。全学レベルについては、教学マネジメント室教育開発部門が全学的な成績分布等を踏まえて次年度の授業の共通シラバスや教材のあり方を検討している。</t>
    <phoneticPr fontId="1"/>
  </si>
  <si>
    <t>授業の終盤に、FD委員会が主導する「学生による授業評価」アンケートを、教務チームが実施している。各クラスの担当教員はリフレクション・シートを作成し、アンケート結果から学生の理解度等を分析した結果や次年度の改善策を記載して学生を含め学内に公開している。また、これら授業評価アンケートの結果やリフレクション・シートの集計を踏まえ、教学マネジメント室教育開発部門は次年度の授業の共通シラバスや教材の改善・改良に取り組んでいる。</t>
    <phoneticPr fontId="1"/>
  </si>
  <si>
    <t>本プログラムを構成する授業はすべて必修科目であるため推奨・勧誘活動は特に行っていないが、「学生による授業評価」アンケートとそれに対する改善策を含むリフレクション・シートは、後輩等他の学生にも公開している。また、「学生による授業評価」アンケート等の結果の概要は、教学マネジメント室教育開発部門が本学ホームページで公開している。</t>
    <phoneticPr fontId="1"/>
  </si>
  <si>
    <t>当該教育プログラムにかかる科目については全学必修科目として開講している。</t>
    <rPh sb="2" eb="4">
      <t>キョウイク</t>
    </rPh>
    <phoneticPr fontId="1"/>
  </si>
  <si>
    <t>当該プログラムは令和4年度１年生より実施を開始したため、単位を修得して卒業した学生は現時点ではまだいない。本学の就職支援室が毎年、卒業後1年以上経過の卒業生とその就職先にアンケートを実施しており、例年約25％の就職先から回答を得ている。現時点では学生の就職先企業向けアンケートの質問項目には卒業生のITリテラシー（基本的PCスキル）に関するものしかないが、本プログラム修了者が卒業後1年程度経過したタイミングで、データサイエンス・AIに関するアンケート項目も追加する予定である。</t>
    <rPh sb="56" eb="58">
      <t>シュウショク</t>
    </rPh>
    <phoneticPr fontId="1"/>
  </si>
  <si>
    <t>本プログラムの授業科目の担当教員には産業界出身の教員を積極的に割り当て、本学の建学の精神でも謳われている実学教育に通じるよう、授業内容を継続的に見直すこととしている。また、私立大学情報教育協会（私情協）の活動を通して他大学のデータサイエンス関連の教育・授業の情報を入手し、ベンチマークを行うことにより本学のプログラムの内容を継続的に見直す。</t>
    <rPh sb="54" eb="56">
      <t>キョウイク</t>
    </rPh>
    <phoneticPr fontId="1"/>
  </si>
  <si>
    <t>・藤川　健一　 教学マネジメント室 室長
　　　　　　　　　人文社会学部 学部長
　　　　　         人文社会学部 経営学科 学科長
                    人文社会学部 経営学科 経営コース 教授
教育開発部門構成員
・市川　毅　　　 教育開発部門長
　　　　　　　　　 人文社会学部 経営学科 経営コース 教授
・蜂屋　孝太郎 人文社会学部 経営学科 経営情報コース 教授
・大東　眞理　  人文社会学部 人間文化学科 グローバルコミュニケーションコース 教授
・奥井　智一朗 人文社会学部 児童学科 小学校・特別支援コース 教授
・馬場　宏輝　　健康医療スポーツ学部 医療スポーツ学科 トレーナー・スポーツコース 教授
・加藤　浩人　　人文社会学部 経営学科 経営コース 准教授
・吉岡　剛志　　人文社会学部 経営学科 経営情報コース 准教授
・後藤　哲史　　健康メディカル学部 医療科学科 臨床工学コース 准教授</t>
    <rPh sb="335" eb="336">
      <t>ヒト</t>
    </rPh>
    <rPh sb="409" eb="411">
      <t>ガッカ</t>
    </rPh>
    <phoneticPr fontId="1"/>
  </si>
  <si>
    <t>教学マネジメント室は、次の各号に定める事業の実施を通して、本学における内部質保証の進展を支援することを目的とする。
（１）教育の質の改善・保証に関するマネジメント
（２）体系的・組織的な教育開発の支援
（３）教育研究及び管理運営等に係るデータの収集・分析・公表
（４）自己点検・評価の運営及び管理
（５）本学の運営に関する意思決定支援及び提言
（６）中長期計画の策定及び評価の支援
（７）機関別認証評価及び分野別外部評価受審に関する業務の運営及び管理
※令和４年度１０月１日より、プログラムを改善・進化させるための体制組織名称が「教育開発・学修支援機構」から「教学マネジメント室」へ改組。自己点検・評価を教学マネジメント室として実施しているため現体制名称にて記載。「教育開発・学修支援機構」の責任者は④記載の市川毅教育開発部門長のため運営体制に変更なし。</t>
    <rPh sb="228" eb="230">
      <t>レイワ</t>
    </rPh>
    <rPh sb="231" eb="233">
      <t>ネンド</t>
    </rPh>
    <rPh sb="235" eb="236">
      <t>ツキ</t>
    </rPh>
    <rPh sb="237" eb="238">
      <t>ニチ</t>
    </rPh>
    <rPh sb="247" eb="249">
      <t>カイゼン</t>
    </rPh>
    <rPh sb="250" eb="252">
      <t>シンカ</t>
    </rPh>
    <rPh sb="258" eb="260">
      <t>タイセイ</t>
    </rPh>
    <rPh sb="260" eb="262">
      <t>ソシキ</t>
    </rPh>
    <rPh sb="262" eb="264">
      <t>メイショウ</t>
    </rPh>
    <rPh sb="266" eb="270">
      <t>キョウイクカイハツ</t>
    </rPh>
    <rPh sb="271" eb="275">
      <t>ガクシュウシエン</t>
    </rPh>
    <rPh sb="275" eb="277">
      <t>キコウ</t>
    </rPh>
    <rPh sb="281" eb="283">
      <t>キョウガク</t>
    </rPh>
    <rPh sb="289" eb="290">
      <t>シツ</t>
    </rPh>
    <rPh sb="292" eb="294">
      <t>カイソ</t>
    </rPh>
    <rPh sb="334" eb="338">
      <t>キョウイクカイハツ</t>
    </rPh>
    <rPh sb="339" eb="345">
      <t>ガクシュウシエンキコウ</t>
    </rPh>
    <rPh sb="347" eb="350">
      <t>セキニンシャ</t>
    </rPh>
    <rPh sb="352" eb="354">
      <t>キサイ</t>
    </rPh>
    <rPh sb="355" eb="357">
      <t>イチカワ</t>
    </rPh>
    <rPh sb="357" eb="358">
      <t>タケシ</t>
    </rPh>
    <rPh sb="358" eb="362">
      <t>キョウイクカイハツ</t>
    </rPh>
    <rPh sb="362" eb="365">
      <t>ブモンチョウ</t>
    </rPh>
    <rPh sb="373" eb="375">
      <t>ヘンコウ</t>
    </rPh>
    <phoneticPr fontId="1"/>
  </si>
  <si>
    <t>下記の④〜⑧で示された授業科目（情報リテラシー演習・DS概論、コンピュータ演習、コンピュータ演習Ⅰ）の中から、必ず1科目を履修し単位を習得すること。
※コンピュータ演習は学科によって授業形態が通年、半期と異なります。</t>
    <rPh sb="16" eb="18">
      <t>ジョウホウ</t>
    </rPh>
    <rPh sb="23" eb="25">
      <t>エンシュウ</t>
    </rPh>
    <rPh sb="28" eb="30">
      <t>ガイロン</t>
    </rPh>
    <rPh sb="37" eb="39">
      <t>エンシュウ</t>
    </rPh>
    <rPh sb="46" eb="48">
      <t>エンシュウ</t>
    </rPh>
    <rPh sb="82" eb="84">
      <t>エンシュウ</t>
    </rPh>
    <rPh sb="85" eb="87">
      <t>ガッカ</t>
    </rPh>
    <rPh sb="91" eb="95">
      <t>ジュギョウケイタイ</t>
    </rPh>
    <rPh sb="96" eb="98">
      <t>ツウネン</t>
    </rPh>
    <rPh sb="99" eb="101">
      <t>ハンキ</t>
    </rPh>
    <rPh sb="102" eb="103">
      <t>コト</t>
    </rPh>
    <phoneticPr fontId="1"/>
  </si>
  <si>
    <t>・人間の知的活動とAIの関係性、計算機の処理性能の向上、ビッグデータ、loT、AI、ロボット、データ量の増加、AIの非連続的進化、第4次産業革命、Society 5.0、データ駆動型社会、データを起点としたものの見方「情報リテラシー演習・ＤＳ概論」(2回目～4回目)
・人間の知的活動とAIの関係性、計算機の処理性能の向上、ビッグデータ、loT、AI、ロボット、データ量の増加、AIの非連続的進化、第4次産業革命、Society 5.0、データ駆動型社会、データを起点としたものの見方「コンピュータ演習」(3回目～7回目)※通年授業
・人間の知的活動とAIの関係性、計算機の処理性能の向上、ビッグデータ、loT、AI、ロボット、データ量の増加、AIの非連続的進化、第4次産業革命、Society 5.0、データ駆動型社会、データを起点としたものの見方「コンピュータ演習」(2回目～4回目)※半期授業
・人間の知的活動とAIの関係性、計算機の処理性能の向上、ビッグデータ、loT、AI、ロボット、データ量の増加、AIの非連続的進化、第4次産業革命、Society 5.0、データ駆動型社会、データを起点としたものの見方「コンピュータ演習Ⅰ」(2回目～4回目)</t>
    <rPh sb="1" eb="3">
      <t>ニンゲン</t>
    </rPh>
    <rPh sb="4" eb="6">
      <t>チテキ</t>
    </rPh>
    <rPh sb="6" eb="8">
      <t>カツドウ</t>
    </rPh>
    <rPh sb="12" eb="15">
      <t>カンケイセイ</t>
    </rPh>
    <rPh sb="16" eb="19">
      <t>ケイサンキ</t>
    </rPh>
    <rPh sb="20" eb="22">
      <t>ショリ</t>
    </rPh>
    <rPh sb="22" eb="24">
      <t>セイノウ</t>
    </rPh>
    <rPh sb="25" eb="27">
      <t>コウジョウ</t>
    </rPh>
    <rPh sb="50" eb="51">
      <t>リョウ</t>
    </rPh>
    <rPh sb="52" eb="54">
      <t>ゾウカ</t>
    </rPh>
    <rPh sb="126" eb="128">
      <t>カイメ</t>
    </rPh>
    <rPh sb="130" eb="132">
      <t>カイメ</t>
    </rPh>
    <rPh sb="262" eb="264">
      <t>ツウネン</t>
    </rPh>
    <rPh sb="264" eb="266">
      <t>ジュギョウ</t>
    </rPh>
    <rPh sb="395" eb="397">
      <t>ハンキ</t>
    </rPh>
    <rPh sb="397" eb="399">
      <t>ジュギョウ</t>
    </rPh>
    <phoneticPr fontId="1"/>
  </si>
  <si>
    <t>・AI等を活用した新しいビジネスモデル(シェアリングエコノミーなど)、AI最新技術の活用例「情報リテラシー演習・ＤＳ概論」(7回目)
・AI等を活用した新しいビジネスモデル(シェアリングエコノミーなど)、AI最新技術の活用例「コンピュータ演習」(13回目・14回目)※通年授業
・AI等を活用した新しいビジネスモデル(シェアリングエコノミーなど)、AI最新技術の活用例「コンピュータ演習」(7回目)※半期授業
・AI等を活用した新しいビジネスモデル(シェアリングエコノミーなど)、AI最新技術の活用例「コンピュータ演習Ⅰ」(7回目)</t>
    <rPh sb="3" eb="4">
      <t>トウ</t>
    </rPh>
    <rPh sb="5" eb="7">
      <t>カツヨウ</t>
    </rPh>
    <rPh sb="9" eb="10">
      <t>アタラ</t>
    </rPh>
    <rPh sb="37" eb="39">
      <t>サイシン</t>
    </rPh>
    <rPh sb="39" eb="41">
      <t>ギジュツ</t>
    </rPh>
    <rPh sb="42" eb="45">
      <t>カツヨウレイ</t>
    </rPh>
    <rPh sb="63" eb="65">
      <t>カイメ</t>
    </rPh>
    <rPh sb="125" eb="127">
      <t>カイメ</t>
    </rPh>
    <rPh sb="130" eb="132">
      <t>カイメ</t>
    </rPh>
    <rPh sb="134" eb="136">
      <t>ツウネン</t>
    </rPh>
    <rPh sb="136" eb="138">
      <t>ジュギョウ</t>
    </rPh>
    <rPh sb="200" eb="202">
      <t>ハンキ</t>
    </rPh>
    <rPh sb="202" eb="204">
      <t>ジュギョウ</t>
    </rPh>
    <phoneticPr fontId="1"/>
  </si>
  <si>
    <t>・人の行動ログデータ、機械の稼働ログデータ、1次データ、2次データ、データのメタ化、構造化データ、非構造化データ、データのオープン化（オープンデータ）「情報リテラシー演習・ＤＳ概論」(4回目～6回目)
・人の行動ログデータ、機械の稼働ログデータ、1次データ、2次データ、データのメタ化、構造化データ、非構造化データ、データのオープン化（オープンデータ）「コンピュータ演習」(8回目～11回目)※通年授業
・人の行動ログデータ、機械の稼働ログデータ、1次データ、2次データ、データのメタ化、構造化データ、非構造化データ、データのオープン化（オープンデータ）「コンピュータ演習」(4回目～6回目)※半期授業
・人の行動ログデータ、機械の稼働ログデータ、1次データ、2次データ、データのメタ化、構造化データ、非構造化データ、データのオープン化（オープンデータ）「コンピュータ演習Ⅰ」(4回目～6回目)</t>
    <rPh sb="1" eb="2">
      <t>ヒト</t>
    </rPh>
    <rPh sb="3" eb="5">
      <t>コウドウ</t>
    </rPh>
    <rPh sb="11" eb="13">
      <t>キカイ</t>
    </rPh>
    <rPh sb="14" eb="16">
      <t>カドウ</t>
    </rPh>
    <rPh sb="23" eb="24">
      <t>ツギ</t>
    </rPh>
    <rPh sb="29" eb="30">
      <t>ジ</t>
    </rPh>
    <rPh sb="40" eb="41">
      <t>バ</t>
    </rPh>
    <rPh sb="42" eb="44">
      <t>コウゾウ</t>
    </rPh>
    <rPh sb="44" eb="45">
      <t>バ</t>
    </rPh>
    <rPh sb="93" eb="95">
      <t>カイメ</t>
    </rPh>
    <rPh sb="97" eb="99">
      <t>カイメ</t>
    </rPh>
    <rPh sb="188" eb="190">
      <t>カイメ</t>
    </rPh>
    <rPh sb="193" eb="195">
      <t>カイメ</t>
    </rPh>
    <rPh sb="197" eb="199">
      <t>ツウネン</t>
    </rPh>
    <rPh sb="199" eb="201">
      <t>ジュギョウ</t>
    </rPh>
    <rPh sb="297" eb="299">
      <t>ハンキ</t>
    </rPh>
    <rPh sb="299" eb="301">
      <t>ジュギョウ</t>
    </rPh>
    <phoneticPr fontId="1"/>
  </si>
  <si>
    <t>・データ・AI活用領域の広がり、製造、物流、販売、マーケティング、サービスなど、仮設検証、知識発見、原因究明、判断支援、活動代替「情報リテラシー演習・ＤＳ概論」(3回目、4回目、6回目、7回目)
・データ・AI活用領域の広がり、製造、物流、販売、マーケティング、サービスなど、仮設検証、知識発見、原因究明、判断支援、活動代替「コンピュータ演習」(6回目、8回目、12回目、13回目)※通年授業
・データ・AI活用領域の広がり、製造、物流、販売、マーケティング、サービスなど、仮設検証、知識発見、原因究明、判断支援、活動代替「コンピュータ演習」(3回目、4回目、6回目、7回目)※半期授業
・データ・AI活用領域の広がり、製造、物流、販売、マーケティング、サービスなど、仮設検証、知識発見、原因究明、判断支援、活動代替「コンピュータ演習Ⅰ」(3回目、4回目、6回目、7回目)</t>
    <rPh sb="7" eb="11">
      <t>カツヨウリョウイキ</t>
    </rPh>
    <rPh sb="12" eb="13">
      <t>ヒロ</t>
    </rPh>
    <rPh sb="16" eb="18">
      <t>セイゾウ</t>
    </rPh>
    <rPh sb="19" eb="21">
      <t>ブツリュウ</t>
    </rPh>
    <rPh sb="22" eb="24">
      <t>ハンバイ</t>
    </rPh>
    <rPh sb="40" eb="42">
      <t>カセツ</t>
    </rPh>
    <rPh sb="42" eb="44">
      <t>ケンショウ</t>
    </rPh>
    <rPh sb="45" eb="49">
      <t>チシキハッケン</t>
    </rPh>
    <rPh sb="50" eb="52">
      <t>ゲンイン</t>
    </rPh>
    <rPh sb="52" eb="54">
      <t>キュウメイ</t>
    </rPh>
    <rPh sb="55" eb="57">
      <t>ハンダン</t>
    </rPh>
    <rPh sb="57" eb="59">
      <t>シエン</t>
    </rPh>
    <rPh sb="60" eb="62">
      <t>カツドウ</t>
    </rPh>
    <rPh sb="62" eb="64">
      <t>ダイガ</t>
    </rPh>
    <rPh sb="82" eb="84">
      <t>カイメ</t>
    </rPh>
    <rPh sb="86" eb="88">
      <t>カイメ</t>
    </rPh>
    <rPh sb="90" eb="92">
      <t>カイメ</t>
    </rPh>
    <rPh sb="94" eb="96">
      <t>カイメ</t>
    </rPh>
    <rPh sb="174" eb="176">
      <t>カイメ</t>
    </rPh>
    <rPh sb="178" eb="180">
      <t>カイメ</t>
    </rPh>
    <rPh sb="183" eb="185">
      <t>カイメ</t>
    </rPh>
    <rPh sb="188" eb="190">
      <t>カイメ</t>
    </rPh>
    <rPh sb="192" eb="194">
      <t>ツウネン</t>
    </rPh>
    <rPh sb="194" eb="196">
      <t>ジュギョウ</t>
    </rPh>
    <rPh sb="289" eb="291">
      <t>ハンキ</t>
    </rPh>
    <rPh sb="291" eb="293">
      <t>ジュギョウ</t>
    </rPh>
    <phoneticPr fontId="1"/>
  </si>
  <si>
    <t>・データ解析、データ可視化、非構造化データ処理、特化型AIと汎用AI、今のAIで出来ることと出来ないこと、AIとビッグデータ、認識記述、ルールベース「情報リテラシー演習・ＤＳ概論」(2回目、8回目、9回目)
・データ解析、データ可視化、非構造化データ処理、特化型AIと汎用AI、今のAIで出来ることと出来ないこと、AIとビッグデータ、認識記述、ルールベース「コンピュータ演習」(4回目、15回目～18回目)※通年授業
・データ解析、データ可視化、非構造化データ処理、特化型AIと汎用AI、今のAIで出来ることと出来ないこと、AIとビッグデータ、認識記述、ルールベース「コンピュータ演習」(2回目、8回目、9回目)※半期授業
・データ解析、データ可視化、非構造化データ処理、特化型AIと汎用AI、今のAIで出来ることと出来ないこと、AIとビッグデータ、認識記述、ルールベース「コンピュータ演習Ⅰ」(2回目、8回目、9回目)</t>
    <rPh sb="4" eb="6">
      <t>カイセキ</t>
    </rPh>
    <rPh sb="10" eb="13">
      <t>カシカ</t>
    </rPh>
    <rPh sb="14" eb="17">
      <t>ヒコウゾウ</t>
    </rPh>
    <rPh sb="17" eb="18">
      <t>カ</t>
    </rPh>
    <rPh sb="21" eb="23">
      <t>ショリ</t>
    </rPh>
    <rPh sb="24" eb="27">
      <t>トッカガタ</t>
    </rPh>
    <rPh sb="30" eb="32">
      <t>ハンヨウ</t>
    </rPh>
    <rPh sb="35" eb="36">
      <t>イマ</t>
    </rPh>
    <rPh sb="40" eb="42">
      <t>デキ</t>
    </rPh>
    <rPh sb="46" eb="48">
      <t>デキ</t>
    </rPh>
    <rPh sb="63" eb="65">
      <t>ニンシキ</t>
    </rPh>
    <rPh sb="65" eb="67">
      <t>キジュツ</t>
    </rPh>
    <rPh sb="92" eb="94">
      <t>カイメ</t>
    </rPh>
    <rPh sb="96" eb="98">
      <t>カイメ</t>
    </rPh>
    <rPh sb="100" eb="102">
      <t>カイメ</t>
    </rPh>
    <rPh sb="190" eb="192">
      <t>カイメ</t>
    </rPh>
    <rPh sb="195" eb="196">
      <t>カイ</t>
    </rPh>
    <rPh sb="196" eb="197">
      <t>メ</t>
    </rPh>
    <rPh sb="200" eb="201">
      <t>カイ</t>
    </rPh>
    <rPh sb="201" eb="202">
      <t>メ</t>
    </rPh>
    <rPh sb="204" eb="206">
      <t>ツウネン</t>
    </rPh>
    <rPh sb="206" eb="208">
      <t>ジュギョウ</t>
    </rPh>
    <rPh sb="307" eb="309">
      <t>ハンキ</t>
    </rPh>
    <rPh sb="309" eb="311">
      <t>ジュギョウ</t>
    </rPh>
    <phoneticPr fontId="1"/>
  </si>
  <si>
    <t>・流通、製造、金融、サービス、インフラ、公共、ヘルスケア等におけるデータAI活用事例紹介「情報リテラシー演習・ＤＳ概論」(7回目)
・流通、製造、金融、サービス、インフラ、公共、ヘルスケア等におけるデータAI活用事例紹介「コンピュータ演習」(13回目)※通年授業
・流通、製造、金融、サービス、インフラ、公共、ヘルスケア等におけるデータAI活用事例紹介「コンピュータ演習」(7回目)※半期授業
・流通、製造、金融、サービス、インフラ、公共、ヘルスケア等におけるデータAI活用事例紹介「コンピュータ演習Ⅰ」(7回目)</t>
    <rPh sb="1" eb="3">
      <t>リュウツウ</t>
    </rPh>
    <rPh sb="4" eb="6">
      <t>セイゾウ</t>
    </rPh>
    <rPh sb="7" eb="9">
      <t>キンユウ</t>
    </rPh>
    <rPh sb="20" eb="22">
      <t>コウキョウ</t>
    </rPh>
    <rPh sb="28" eb="29">
      <t>ナド</t>
    </rPh>
    <rPh sb="38" eb="40">
      <t>カツヨウ</t>
    </rPh>
    <rPh sb="40" eb="44">
      <t>ジレイショウカイ</t>
    </rPh>
    <rPh sb="62" eb="64">
      <t>カイメ</t>
    </rPh>
    <rPh sb="123" eb="125">
      <t>カイメ</t>
    </rPh>
    <rPh sb="127" eb="129">
      <t>ツウネン</t>
    </rPh>
    <rPh sb="129" eb="131">
      <t>ジュギョウ</t>
    </rPh>
    <rPh sb="183" eb="185">
      <t>エンシュウ</t>
    </rPh>
    <rPh sb="192" eb="194">
      <t>ハンキ</t>
    </rPh>
    <rPh sb="194" eb="196">
      <t>ジュギョウ</t>
    </rPh>
    <rPh sb="254" eb="256">
      <t>カイメ</t>
    </rPh>
    <phoneticPr fontId="1"/>
  </si>
  <si>
    <t>・個人情報保護、データ・AI活用における負の事例紹介、GDPR、忘れられる権利、ELSI、オプトアウト、データ倫理：データのねつ造、改ざん、盗用、プライバシー保護、AI社会原則、データバイアス、アルゴリズムバイアス、AIサービスの責任論「情報リテラシー演習・ＤＳ概論」(13回目)
・個人情報保護、データ・AI活用における負の事例紹介、GDPR、忘れられる権利、ELSI、オプトアウト、データ倫理：データのねつ造、改ざん、盗用、プライバシー保護、AI社会原則、データバイアス、アルゴリズムバイアス、AIサービスの責任論「コンピュータ演習」(24回目～26回目)※通年授業
・個人情報保護、データ・AI活用における負の事例紹介、GDPR、忘れられる権利、ELSI、オプトアウト、データ倫理：データのねつ造、改ざん、盗用、プライバシー保護、AI社会原則、データバイアス、アルゴリズムバイアス、AIサービスの責任論「コンピュータ演習」(13回目)※半期授業
・個人情報保護、データ・AI活用における負の事例紹介、GDPR、忘れられる権利、ELSI、オプトアウト、データ倫理：データのねつ造、改ざん、盗用、プライバシー保護、AI社会原則、データバイアス、アルゴリズムバイアス、AIサービスの責任論「コンピュータ演習Ⅰ」(13回目)</t>
    <rPh sb="1" eb="5">
      <t>コジンジョウホウ</t>
    </rPh>
    <rPh sb="5" eb="7">
      <t>ホゴ</t>
    </rPh>
    <rPh sb="14" eb="16">
      <t>カツヨウ</t>
    </rPh>
    <rPh sb="20" eb="21">
      <t>フ</t>
    </rPh>
    <rPh sb="22" eb="26">
      <t>ジレイショウカイ</t>
    </rPh>
    <rPh sb="32" eb="33">
      <t>ワス</t>
    </rPh>
    <rPh sb="37" eb="39">
      <t>ケンリ</t>
    </rPh>
    <rPh sb="84" eb="86">
      <t>シャカイ</t>
    </rPh>
    <rPh sb="86" eb="88">
      <t>ゲンソク</t>
    </rPh>
    <rPh sb="137" eb="138">
      <t>カイ</t>
    </rPh>
    <rPh sb="138" eb="139">
      <t>メ</t>
    </rPh>
    <rPh sb="421" eb="423">
      <t>ハンキ</t>
    </rPh>
    <rPh sb="423" eb="425">
      <t>ジュギョウ</t>
    </rPh>
    <rPh sb="558" eb="560">
      <t>カイメ</t>
    </rPh>
    <phoneticPr fontId="1"/>
  </si>
  <si>
    <t>・情報セキュリティ、匿名加工情報、暗号化、情報漏洩等によるセキュリティ事故の事例紹介「情報リテラシー演習・ＤＳ概論」(14回目)
・情報セキュリティ、匿名加工情報、暗号化、情報漏洩等によるセキュリティ事故の事例紹介「コンピュータ演習」(27回目～29回目)※通年授業
・情報セキュリティ、匿名加工情報、暗号化、情報漏洩等によるセキュリティ事故の事例紹介「コンピュータ演習」(14回目)※半期授業
・情報セキュリティ、匿名加工情報、暗号化、情報漏洩等によるセキュリティ事故の事例紹介「コンピュータ演習Ⅰ」(14回目)</t>
    <rPh sb="1" eb="3">
      <t>ジョウホウ</t>
    </rPh>
    <rPh sb="10" eb="12">
      <t>トクメイ</t>
    </rPh>
    <rPh sb="12" eb="14">
      <t>カコウ</t>
    </rPh>
    <rPh sb="14" eb="16">
      <t>ジョウホウ</t>
    </rPh>
    <rPh sb="17" eb="20">
      <t>アンゴウカ</t>
    </rPh>
    <rPh sb="21" eb="25">
      <t>ジョウホウロウエイ</t>
    </rPh>
    <rPh sb="25" eb="26">
      <t>ナド</t>
    </rPh>
    <rPh sb="35" eb="37">
      <t>ジコ</t>
    </rPh>
    <rPh sb="38" eb="42">
      <t>ジレイショウカイ</t>
    </rPh>
    <rPh sb="61" eb="63">
      <t>カイメ</t>
    </rPh>
    <rPh sb="120" eb="122">
      <t>カイメ</t>
    </rPh>
    <rPh sb="125" eb="127">
      <t>カイメ</t>
    </rPh>
    <rPh sb="129" eb="131">
      <t>ツウネン</t>
    </rPh>
    <rPh sb="131" eb="133">
      <t>ジュギョウ</t>
    </rPh>
    <rPh sb="193" eb="195">
      <t>ハンキ</t>
    </rPh>
    <rPh sb="195" eb="197">
      <t>ジュギョウ</t>
    </rPh>
    <rPh sb="254" eb="256">
      <t>カイメ</t>
    </rPh>
    <phoneticPr fontId="1"/>
  </si>
  <si>
    <t>・データの種類、データの分布と代表値(平均値、中央値、最頻値)、代表値の性質の違い（実社会では平均値＝最頻値でないことが多い）、データのばらつき(分散、標準偏差、偏差値)、打ち切りや脱落を含むデータ、相関と因果（相関係数、擬似相関、交絡）、母集団と標本抽出、クロス集計表、相関関係数行列、統計情報の正しい理解「情報リテラシー演習・ＤＳ概論」(10回目～12回目)
・データの種類、データの分布と代表値(平均値、中央値、最頻値)、代表値の性質の違い（実社会では平均値＝最頻値でないことが多い）、データのばらつき(分散、標準偏差、偏差値)、打ち切りや脱落を含むデータ、相関と因果（相関係数、擬似相関、交絡）、母集団と標本抽出、クロス集計表、相関関係数行列、統計情報の正しい理解「コンピュータ演習」(20回目～22回目、24回目～26回目)※通年授業
・データの種類、データの分布と代表値(平均値、中央値、最頻値)、代表値の性質の違い（実社会では平均値＝最頻値でないことが多い）、データのばらつき(分散、標準偏差、偏差値)、打ち切りや脱落を含むデータ、相関と因果（相関係数、擬似相関、交絡）、母集団と標本抽出、クロス集計表、相関関係数行列、統計情報の正しい理解「コンピュータ演習Ⅰ」(10回目～12回目)※半期授業
・データの種類、データの分布と代表値(平均値、中央値、最頻値)、代表値の性質の違い（実社会では平均値＝最頻値でないことが多い）、データのばらつき(分散、標準偏差、偏差値)、打ち切りや脱落を含むデータ、相関と因果（相関係数、擬似相関、交絡）、母集団と標本抽出、クロス集計表、相関関係数行列、統計情報の正しい理解「コンピュータ演習Ⅰ」(10回目～12回目)</t>
    <rPh sb="5" eb="7">
      <t>シュルイ</t>
    </rPh>
    <rPh sb="12" eb="14">
      <t>ブンプ</t>
    </rPh>
    <rPh sb="15" eb="18">
      <t>ダイヒョウチ</t>
    </rPh>
    <rPh sb="19" eb="22">
      <t>ヘイキンチ</t>
    </rPh>
    <rPh sb="23" eb="26">
      <t>チュウオウチ</t>
    </rPh>
    <rPh sb="27" eb="30">
      <t>サイヒンチ</t>
    </rPh>
    <rPh sb="73" eb="75">
      <t>ブンサン</t>
    </rPh>
    <rPh sb="76" eb="80">
      <t>ヒョウジュンヘンサ</t>
    </rPh>
    <rPh sb="81" eb="84">
      <t>ヘンサチ</t>
    </rPh>
    <rPh sb="120" eb="123">
      <t>ボシュウダン</t>
    </rPh>
    <rPh sb="124" eb="128">
      <t>ヒョウホンチュウシュツ</t>
    </rPh>
    <rPh sb="132" eb="135">
      <t>シュウケイヒョウ</t>
    </rPh>
    <rPh sb="136" eb="140">
      <t>ソウカンカンケイ</t>
    </rPh>
    <rPh sb="140" eb="143">
      <t>スウギョウレツ</t>
    </rPh>
    <rPh sb="144" eb="146">
      <t>トウケイ</t>
    </rPh>
    <rPh sb="146" eb="148">
      <t>ジョウホウ</t>
    </rPh>
    <rPh sb="149" eb="150">
      <t>タダ</t>
    </rPh>
    <rPh sb="152" eb="154">
      <t>リカイ</t>
    </rPh>
    <rPh sb="173" eb="175">
      <t>カイメ</t>
    </rPh>
    <rPh sb="178" eb="180">
      <t>カイメ</t>
    </rPh>
    <rPh sb="349" eb="351">
      <t>カイメ</t>
    </rPh>
    <rPh sb="354" eb="356">
      <t>カイメ</t>
    </rPh>
    <rPh sb="359" eb="360">
      <t>カイ</t>
    </rPh>
    <rPh sb="360" eb="361">
      <t>メ</t>
    </rPh>
    <rPh sb="364" eb="365">
      <t>カイ</t>
    </rPh>
    <rPh sb="365" eb="366">
      <t>メ</t>
    </rPh>
    <rPh sb="368" eb="370">
      <t>ツウネン</t>
    </rPh>
    <rPh sb="370" eb="372">
      <t>ジュギョウ</t>
    </rPh>
    <rPh sb="550" eb="552">
      <t>ハンキ</t>
    </rPh>
    <rPh sb="552" eb="554">
      <t>ジュギョウ</t>
    </rPh>
    <phoneticPr fontId="1"/>
  </si>
  <si>
    <t>・データ表現、データの図表表現、データの比較、不適切なグラフ表現、優れた可視化事例の紹介（可視化することによって新たな気づきがあった事例など）「情報リテラシー演習・ＤＳ概論」(12回目)
・データ表現、データの図表表現、データの比較、不適切なグラフ表現、優れた可視化事例の紹介（可視化することによって新たな気づきがあった事例など）「コンピュータ演習」(22回目、23回目)※通年授業
・データ表現、データの図表表現、データの比較、不適切なグラフ表現、優れた可視化事例の紹介（可視化することによって新たな気づきがあった事例など）「コンピュータ演習」(12回目)※半期授業
・データ表現、データの図表表現、データの比較、不適切なグラフ表現、優れた可視化事例の紹介（可視化することによって新たな気づきがあった事例など）「コンピュータ演習Ⅰ」(12回目)</t>
    <rPh sb="4" eb="6">
      <t>ヒョウゲン</t>
    </rPh>
    <rPh sb="11" eb="15">
      <t>ズヒョウヒョウゲン</t>
    </rPh>
    <rPh sb="20" eb="22">
      <t>ヒカク</t>
    </rPh>
    <rPh sb="23" eb="26">
      <t>フテキセツ</t>
    </rPh>
    <rPh sb="30" eb="32">
      <t>ヒョウゲン</t>
    </rPh>
    <rPh sb="90" eb="92">
      <t>カイメ</t>
    </rPh>
    <rPh sb="178" eb="180">
      <t>カイメ</t>
    </rPh>
    <rPh sb="183" eb="185">
      <t>カイメ</t>
    </rPh>
    <rPh sb="187" eb="189">
      <t>ツウネン</t>
    </rPh>
    <rPh sb="189" eb="191">
      <t>ジュギョウ</t>
    </rPh>
    <rPh sb="280" eb="282">
      <t>ハンキ</t>
    </rPh>
    <rPh sb="282" eb="284">
      <t>ジュギョウ</t>
    </rPh>
    <rPh sb="370" eb="372">
      <t>カイメ</t>
    </rPh>
    <phoneticPr fontId="1"/>
  </si>
  <si>
    <t>・データの集計、データ解析ツール（スプレッドシート）、表形式のデータ（csv）「情報リテラシー演習・ＤＳ概論」(5回目、7～12回目)
・データの集計、データ解析ツール（スプレッドシート）、表形式のデータ（csv）「コンピュータ演習」(9回目、13回目～22回目)※通年授業
・データの集計、データ解析ツール（スプレッドシート）、表形式のデータ（csv）「コンピュータ演習」(5回目、7～12回目)※半期授業
・データの集計、データ解析ツール（スプレッドシート）、表形式のデータ（csv）「コンピュータ演習Ⅰ」(5回目、7～12回目)</t>
    <rPh sb="5" eb="7">
      <t>シュウケイ</t>
    </rPh>
    <rPh sb="57" eb="59">
      <t>カイメ</t>
    </rPh>
    <rPh sb="64" eb="66">
      <t>カイメ</t>
    </rPh>
    <rPh sb="119" eb="121">
      <t>カイメ</t>
    </rPh>
    <rPh sb="124" eb="126">
      <t>カイメ</t>
    </rPh>
    <rPh sb="129" eb="131">
      <t>カイメ</t>
    </rPh>
    <rPh sb="133" eb="135">
      <t>ツウネン</t>
    </rPh>
    <rPh sb="135" eb="137">
      <t>ジュギョウ</t>
    </rPh>
    <rPh sb="200" eb="202">
      <t>ハンキ</t>
    </rPh>
    <rPh sb="202" eb="204">
      <t>ジュギョウ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</si>
</sst>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12"/>
      <name val="ＭＳ Ｐゴシック"/>
      <family val="3"/>
      <charset val="128"/>
      <scheme val="minor"/>
    </font>
    <font>
      <sz val="11"/>
      <name val="ＭＳ Ｐゴシック"/>
      <family val="3"/>
      <charset val="128"/>
      <scheme val="minor"/>
    </font>
    <font>
      <sz val="10"/>
      <name val="ＭＳ Ｐゴシック"/>
      <family val="3"/>
      <charset val="128"/>
      <scheme val="minor"/>
    </font>
    <font>
      <sz val="9"/>
      <name val="ＭＳ Ｐゴシック"/>
      <family val="3"/>
      <charset val="128"/>
      <scheme val="minor"/>
    </font>
    <font>
      <sz val="6"/>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right style="thin">
        <color auto="1"/>
      </right>
      <top style="hair">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9" fontId="2" fillId="0" borderId="59"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46"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9" fontId="2" fillId="0" borderId="0" xfId="1" applyFont="1" applyAlignment="1">
      <alignment horizontal="center" vertical="center"/>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0" xfId="0" applyFont="1" applyFill="1" applyAlignment="1">
      <alignment vertical="top" wrapTex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0" fontId="10" fillId="0" borderId="1" xfId="0" applyFont="1" applyBorder="1" applyAlignment="1">
      <alignment horizontal="center" vertical="center" wrapText="1" shrinkToFit="1"/>
    </xf>
    <xf numFmtId="9" fontId="10" fillId="0" borderId="1" xfId="0" applyNumberFormat="1" applyFont="1" applyBorder="1" applyAlignment="1">
      <alignment horizontal="center" vertical="center" shrinkToFit="1"/>
    </xf>
    <xf numFmtId="0" fontId="10" fillId="0" borderId="1" xfId="0" applyFont="1" applyBorder="1" applyAlignment="1">
      <alignment horizontal="center" vertical="center" shrinkToFit="1"/>
    </xf>
    <xf numFmtId="176" fontId="10" fillId="0" borderId="1" xfId="0" applyNumberFormat="1" applyFont="1" applyBorder="1" applyAlignment="1">
      <alignment horizontal="center" vertical="center" shrinkToFit="1"/>
    </xf>
    <xf numFmtId="9" fontId="2" fillId="0" borderId="14" xfId="0" applyNumberFormat="1" applyFont="1" applyBorder="1" applyAlignment="1">
      <alignment vertical="center" shrinkToFit="1"/>
    </xf>
    <xf numFmtId="0" fontId="10" fillId="0" borderId="0" xfId="0" applyFont="1">
      <alignment vertical="center"/>
    </xf>
    <xf numFmtId="0" fontId="10" fillId="0" borderId="0" xfId="0" applyFont="1" applyAlignment="1">
      <alignment horizontal="right" vertical="center"/>
    </xf>
    <xf numFmtId="0" fontId="10" fillId="0" borderId="0" xfId="0" applyFont="1" applyAlignment="1">
      <alignment horizontal="left" vertical="center"/>
    </xf>
    <xf numFmtId="0" fontId="10" fillId="0" borderId="0" xfId="0" applyFont="1" applyAlignment="1">
      <alignment horizontal="center" vertical="center"/>
    </xf>
    <xf numFmtId="0" fontId="10" fillId="0" borderId="1" xfId="0" applyFont="1" applyBorder="1" applyAlignment="1">
      <alignment horizontal="center" vertical="center"/>
    </xf>
    <xf numFmtId="0" fontId="11" fillId="0" borderId="0" xfId="0" applyFont="1">
      <alignment vertical="center"/>
    </xf>
    <xf numFmtId="0" fontId="11" fillId="0" borderId="0" xfId="0" applyFont="1" applyAlignment="1">
      <alignment horizontal="left" vertical="center"/>
    </xf>
    <xf numFmtId="0" fontId="10" fillId="0" borderId="0" xfId="0" applyFont="1" applyAlignment="1">
      <alignment vertical="top" wrapText="1"/>
    </xf>
    <xf numFmtId="0" fontId="10" fillId="0" borderId="0" xfId="0" applyFont="1" applyAlignment="1">
      <alignment vertical="center" wrapText="1"/>
    </xf>
    <xf numFmtId="0" fontId="13" fillId="0" borderId="0" xfId="0" applyFont="1" applyAlignment="1">
      <alignment vertical="top" wrapText="1"/>
    </xf>
    <xf numFmtId="0" fontId="13" fillId="0" borderId="0" xfId="0" applyFont="1" applyAlignment="1">
      <alignment vertical="top" shrinkToFit="1"/>
    </xf>
    <xf numFmtId="0" fontId="13" fillId="0" borderId="0" xfId="0" applyFont="1" applyAlignment="1">
      <alignment vertical="center" wrapText="1"/>
    </xf>
    <xf numFmtId="0" fontId="15" fillId="0" borderId="0" xfId="0" applyFont="1" applyAlignment="1">
      <alignment horizontal="center" vertical="center"/>
    </xf>
    <xf numFmtId="0" fontId="10" fillId="0" borderId="1" xfId="0" applyFont="1" applyBorder="1" applyAlignment="1">
      <alignment horizontal="left" vertical="center"/>
    </xf>
    <xf numFmtId="0" fontId="10" fillId="2" borderId="0" xfId="0" applyFont="1" applyFill="1">
      <alignment vertical="center"/>
    </xf>
    <xf numFmtId="0" fontId="13" fillId="2" borderId="10" xfId="0" applyFont="1" applyFill="1" applyBorder="1" applyAlignment="1">
      <alignment vertical="top" wrapText="1"/>
    </xf>
    <xf numFmtId="0" fontId="13" fillId="2" borderId="41" xfId="0" applyFont="1" applyFill="1" applyBorder="1" applyAlignment="1">
      <alignment vertical="top" shrinkToFit="1"/>
    </xf>
    <xf numFmtId="0" fontId="13" fillId="2" borderId="42" xfId="0" applyFont="1" applyFill="1" applyBorder="1" applyAlignment="1">
      <alignment vertical="top" shrinkToFit="1"/>
    </xf>
    <xf numFmtId="38" fontId="2" fillId="0" borderId="0" xfId="2" applyFont="1" applyFill="1" applyAlignment="1">
      <alignment vertical="center" shrinkToFit="1"/>
    </xf>
    <xf numFmtId="38" fontId="2" fillId="0" borderId="5" xfId="2" applyFont="1" applyFill="1" applyBorder="1" applyAlignment="1">
      <alignmen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0" fontId="12" fillId="0" borderId="1" xfId="0" applyFont="1" applyBorder="1" applyAlignment="1">
      <alignment horizontal="left" vertical="center"/>
    </xf>
    <xf numFmtId="0" fontId="3" fillId="0" borderId="44" xfId="0" applyFont="1" applyBorder="1" applyAlignment="1">
      <alignment vertical="center" wrapText="1"/>
    </xf>
    <xf numFmtId="0" fontId="3" fillId="0" borderId="30" xfId="0" applyFont="1" applyBorder="1" applyAlignment="1">
      <alignment vertical="center" wrapText="1"/>
    </xf>
    <xf numFmtId="0" fontId="3" fillId="0" borderId="45" xfId="0" applyFont="1" applyBorder="1" applyAlignment="1">
      <alignment vertical="center" wrapText="1"/>
    </xf>
    <xf numFmtId="0" fontId="2" fillId="0" borderId="35" xfId="0" applyFont="1" applyBorder="1" applyAlignment="1">
      <alignment vertical="center" wrapText="1"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19" xfId="0" applyFont="1" applyBorder="1" applyAlignment="1">
      <alignment vertical="center" wrapText="1"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5" xfId="0" applyFont="1" applyBorder="1" applyAlignment="1">
      <alignment horizontal="left" vertical="center" wrapText="1" shrinkToFit="1"/>
    </xf>
    <xf numFmtId="0" fontId="2" fillId="0" borderId="35" xfId="0" applyFont="1" applyBorder="1" applyAlignment="1">
      <alignment horizontal="left" vertical="center" shrinkToFit="1"/>
    </xf>
    <xf numFmtId="0" fontId="2" fillId="0" borderId="34"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37" xfId="0" applyFont="1" applyBorder="1" applyAlignment="1">
      <alignment horizontal="left" vertical="center" wrapText="1" shrinkToFit="1"/>
    </xf>
    <xf numFmtId="0" fontId="2" fillId="0" borderId="37" xfId="0" applyFont="1" applyBorder="1" applyAlignment="1">
      <alignment horizontal="left" vertical="center" shrinkToFit="1"/>
    </xf>
    <xf numFmtId="0" fontId="2" fillId="0" borderId="38"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1" xfId="0" applyFont="1" applyBorder="1" applyAlignment="1">
      <alignment horizontal="left" vertical="center" wrapText="1" shrinkToFit="1"/>
    </xf>
    <xf numFmtId="0" fontId="2" fillId="0" borderId="21" xfId="0" applyFont="1" applyBorder="1" applyAlignment="1">
      <alignment horizontal="left" vertical="center" shrinkToFit="1"/>
    </xf>
    <xf numFmtId="0" fontId="2" fillId="0" borderId="60" xfId="0" applyFont="1" applyBorder="1" applyAlignment="1">
      <alignment horizontal="left" vertical="center" shrinkToFit="1"/>
    </xf>
    <xf numFmtId="0" fontId="2" fillId="0" borderId="19" xfId="0" applyFont="1" applyBorder="1" applyAlignment="1">
      <alignment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3" xfId="0" applyFont="1" applyBorder="1" applyAlignment="1">
      <alignment vertical="center"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0" xfId="0" applyFont="1" applyAlignment="1">
      <alignment vertical="center" wrapText="1"/>
    </xf>
    <xf numFmtId="0" fontId="10" fillId="0" borderId="7" xfId="0" applyFont="1" applyBorder="1" applyAlignment="1">
      <alignment horizontal="left" vertical="top" wrapText="1" shrinkToFit="1"/>
    </xf>
    <xf numFmtId="0" fontId="10" fillId="0" borderId="8" xfId="0" applyFont="1" applyBorder="1" applyAlignment="1">
      <alignment horizontal="left" vertical="top" wrapText="1" shrinkToFit="1"/>
    </xf>
    <xf numFmtId="0" fontId="10" fillId="0" borderId="9" xfId="0" applyFont="1" applyBorder="1" applyAlignment="1">
      <alignment horizontal="left" vertical="top" wrapText="1" shrinkToFit="1"/>
    </xf>
    <xf numFmtId="0" fontId="10" fillId="0" borderId="5" xfId="0" applyFont="1" applyBorder="1" applyAlignment="1">
      <alignment horizontal="left" vertical="top" wrapText="1" shrinkToFit="1"/>
    </xf>
    <xf numFmtId="0" fontId="10" fillId="0" borderId="0" xfId="0" applyFont="1" applyAlignment="1">
      <alignment horizontal="left" vertical="top" wrapText="1" shrinkToFit="1"/>
    </xf>
    <xf numFmtId="0" fontId="10" fillId="0" borderId="10" xfId="0" applyFont="1" applyBorder="1" applyAlignment="1">
      <alignment horizontal="left" vertical="top" wrapText="1" shrinkToFit="1"/>
    </xf>
    <xf numFmtId="0" fontId="10" fillId="0" borderId="11" xfId="0" applyFont="1" applyBorder="1" applyAlignment="1">
      <alignment horizontal="left" vertical="top" wrapText="1" shrinkToFit="1"/>
    </xf>
    <xf numFmtId="0" fontId="10" fillId="0" borderId="6" xfId="0" applyFont="1" applyBorder="1" applyAlignment="1">
      <alignment horizontal="left" vertical="top" wrapText="1" shrinkToFit="1"/>
    </xf>
    <xf numFmtId="0" fontId="10" fillId="0" borderId="12" xfId="0" applyFont="1" applyBorder="1" applyAlignment="1">
      <alignment horizontal="left" vertical="top" wrapText="1"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horizontal="righ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10" fillId="0" borderId="7" xfId="0" applyFont="1" applyBorder="1" applyAlignment="1">
      <alignment vertical="top" wrapText="1"/>
    </xf>
    <xf numFmtId="0" fontId="10" fillId="0" borderId="8" xfId="0" applyFont="1" applyBorder="1" applyAlignment="1">
      <alignment vertical="top" wrapText="1"/>
    </xf>
    <xf numFmtId="0" fontId="10" fillId="0" borderId="9" xfId="0" applyFont="1" applyBorder="1" applyAlignment="1">
      <alignment vertical="top" wrapText="1"/>
    </xf>
    <xf numFmtId="0" fontId="10" fillId="0" borderId="5" xfId="0" applyFont="1" applyBorder="1" applyAlignment="1">
      <alignment vertical="top" wrapText="1"/>
    </xf>
    <xf numFmtId="0" fontId="10" fillId="0" borderId="0" xfId="0" applyFont="1" applyAlignment="1">
      <alignment vertical="top" wrapText="1"/>
    </xf>
    <xf numFmtId="0" fontId="10" fillId="0" borderId="10" xfId="0" applyFont="1" applyBorder="1" applyAlignment="1">
      <alignment vertical="top" wrapText="1"/>
    </xf>
    <xf numFmtId="0" fontId="10" fillId="0" borderId="11" xfId="0" applyFont="1" applyBorder="1" applyAlignment="1">
      <alignment vertical="top" wrapText="1"/>
    </xf>
    <xf numFmtId="0" fontId="10" fillId="0" borderId="6" xfId="0" applyFont="1" applyBorder="1" applyAlignment="1">
      <alignment vertical="top" wrapText="1"/>
    </xf>
    <xf numFmtId="0" fontId="10" fillId="0" borderId="12" xfId="0" applyFont="1" applyBorder="1" applyAlignment="1">
      <alignment vertical="top" wrapText="1"/>
    </xf>
    <xf numFmtId="0" fontId="10" fillId="0" borderId="9" xfId="0" applyFont="1" applyBorder="1" applyAlignment="1">
      <alignment vertical="top"/>
    </xf>
    <xf numFmtId="0" fontId="10" fillId="0" borderId="5" xfId="0" applyFont="1" applyBorder="1" applyAlignment="1">
      <alignment vertical="top"/>
    </xf>
    <xf numFmtId="0" fontId="10" fillId="0" borderId="0" xfId="0" applyFont="1" applyAlignment="1">
      <alignment vertical="top"/>
    </xf>
    <xf numFmtId="0" fontId="10" fillId="0" borderId="10" xfId="0" applyFont="1" applyBorder="1" applyAlignment="1">
      <alignment vertical="top"/>
    </xf>
    <xf numFmtId="0" fontId="10" fillId="0" borderId="11" xfId="0" applyFont="1" applyBorder="1" applyAlignment="1">
      <alignment vertical="top"/>
    </xf>
    <xf numFmtId="0" fontId="10" fillId="0" borderId="6" xfId="0" applyFont="1" applyBorder="1" applyAlignment="1">
      <alignment vertical="top"/>
    </xf>
    <xf numFmtId="0" fontId="10" fillId="0" borderId="12" xfId="0" applyFont="1" applyBorder="1" applyAlignment="1">
      <alignment vertical="top"/>
    </xf>
    <xf numFmtId="9" fontId="10" fillId="0" borderId="1" xfId="0" applyNumberFormat="1" applyFont="1" applyBorder="1" applyAlignment="1">
      <alignment horizontal="center" vertical="center" wrapText="1" shrinkToFit="1"/>
    </xf>
    <xf numFmtId="9" fontId="10" fillId="0" borderId="1" xfId="0" applyNumberFormat="1" applyFont="1" applyBorder="1" applyAlignment="1">
      <alignment horizontal="center" vertical="center" shrinkToFit="1"/>
    </xf>
    <xf numFmtId="0" fontId="10" fillId="0" borderId="7"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10" fillId="0" borderId="5" xfId="0" applyFont="1" applyBorder="1" applyAlignment="1">
      <alignment horizontal="left" vertical="top" wrapText="1"/>
    </xf>
    <xf numFmtId="0" fontId="10" fillId="0" borderId="0" xfId="0" applyFont="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10" fillId="0" borderId="6" xfId="0" applyFont="1" applyBorder="1" applyAlignment="1">
      <alignment horizontal="left" vertical="top" wrapText="1"/>
    </xf>
    <xf numFmtId="0" fontId="10" fillId="0" borderId="12" xfId="0" applyFont="1" applyBorder="1" applyAlignment="1">
      <alignment horizontal="left" vertical="top" wrapText="1"/>
    </xf>
    <xf numFmtId="0" fontId="10" fillId="0" borderId="7" xfId="0" applyFont="1" applyBorder="1" applyAlignment="1">
      <alignment vertical="top" wrapText="1" shrinkToFit="1"/>
    </xf>
    <xf numFmtId="0" fontId="10" fillId="0" borderId="8" xfId="0" applyFont="1" applyBorder="1" applyAlignment="1">
      <alignment vertical="top" wrapText="1" shrinkToFit="1"/>
    </xf>
    <xf numFmtId="0" fontId="10" fillId="0" borderId="9" xfId="0" applyFont="1" applyBorder="1" applyAlignment="1">
      <alignment vertical="top" shrinkToFit="1"/>
    </xf>
    <xf numFmtId="0" fontId="10" fillId="0" borderId="5" xfId="0" applyFont="1" applyBorder="1" applyAlignment="1">
      <alignment vertical="top" shrinkToFit="1"/>
    </xf>
    <xf numFmtId="0" fontId="10" fillId="0" borderId="0" xfId="0" applyFont="1" applyAlignment="1">
      <alignment vertical="top" shrinkToFit="1"/>
    </xf>
    <xf numFmtId="0" fontId="10" fillId="0" borderId="10" xfId="0" applyFont="1" applyBorder="1" applyAlignment="1">
      <alignment vertical="top" shrinkToFit="1"/>
    </xf>
    <xf numFmtId="0" fontId="10" fillId="0" borderId="11" xfId="0" applyFont="1" applyBorder="1" applyAlignment="1">
      <alignment vertical="top" shrinkToFit="1"/>
    </xf>
    <xf numFmtId="0" fontId="10" fillId="0" borderId="6" xfId="0" applyFont="1" applyBorder="1" applyAlignment="1">
      <alignment vertical="top" shrinkToFit="1"/>
    </xf>
    <xf numFmtId="0" fontId="10" fillId="0" borderId="12" xfId="0" applyFont="1" applyBorder="1" applyAlignment="1">
      <alignment vertical="top" shrinkToFit="1"/>
    </xf>
    <xf numFmtId="0" fontId="10" fillId="0" borderId="0" xfId="0" applyFont="1">
      <alignment vertical="center"/>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0" fillId="0" borderId="2" xfId="0" applyFont="1" applyBorder="1" applyAlignment="1">
      <alignment vertical="center" shrinkToFit="1"/>
    </xf>
    <xf numFmtId="0" fontId="10" fillId="0" borderId="3" xfId="0" applyFont="1" applyBorder="1" applyAlignment="1">
      <alignment vertical="center" shrinkToFit="1"/>
    </xf>
    <xf numFmtId="0" fontId="10" fillId="0" borderId="4" xfId="0" applyFont="1" applyBorder="1" applyAlignment="1">
      <alignment vertical="center" shrinkToFit="1"/>
    </xf>
    <xf numFmtId="0" fontId="10" fillId="0" borderId="5" xfId="0" applyFont="1" applyBorder="1" applyAlignment="1">
      <alignment vertical="top" wrapText="1" shrinkToFit="1"/>
    </xf>
    <xf numFmtId="0" fontId="10" fillId="0" borderId="0" xfId="0" applyFont="1" applyAlignment="1">
      <alignment vertical="top" wrapText="1" shrinkToFit="1"/>
    </xf>
    <xf numFmtId="0" fontId="10" fillId="2" borderId="5" xfId="0" applyFont="1" applyFill="1" applyBorder="1" applyAlignment="1">
      <alignment horizontal="center" vertical="center" shrinkToFit="1"/>
    </xf>
    <xf numFmtId="0" fontId="10" fillId="2" borderId="0" xfId="0" applyFont="1" applyFill="1" applyAlignment="1">
      <alignment horizontal="center" vertical="center" shrinkToFit="1"/>
    </xf>
    <xf numFmtId="0" fontId="10" fillId="2" borderId="10" xfId="0" applyFont="1" applyFill="1" applyBorder="1" applyAlignment="1">
      <alignment horizontal="center" vertical="center" shrinkToFit="1"/>
    </xf>
    <xf numFmtId="0" fontId="10" fillId="0" borderId="2" xfId="0" applyFont="1" applyBorder="1" applyAlignment="1">
      <alignment horizontal="left" vertical="center"/>
    </xf>
    <xf numFmtId="0" fontId="11" fillId="0" borderId="3" xfId="0" applyFont="1" applyBorder="1">
      <alignment vertical="center"/>
    </xf>
    <xf numFmtId="0" fontId="11" fillId="0" borderId="4" xfId="0" applyFont="1" applyBorder="1">
      <alignment vertical="center"/>
    </xf>
    <xf numFmtId="0" fontId="11" fillId="0" borderId="3" xfId="0" applyFont="1" applyBorder="1" applyAlignment="1">
      <alignment horizontal="left" vertical="center"/>
    </xf>
    <xf numFmtId="0" fontId="11" fillId="0" borderId="4" xfId="0" applyFont="1" applyBorder="1" applyAlignment="1">
      <alignment horizontal="left" vertical="center"/>
    </xf>
    <xf numFmtId="0" fontId="12" fillId="0" borderId="2" xfId="0" applyFont="1" applyBorder="1" applyAlignment="1">
      <alignment horizontal="left" vertical="center"/>
    </xf>
    <xf numFmtId="0" fontId="12" fillId="0" borderId="4" xfId="0" applyFont="1" applyBorder="1" applyAlignment="1">
      <alignment horizontal="left" vertical="center"/>
    </xf>
    <xf numFmtId="0" fontId="10"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0" fillId="0" borderId="6" xfId="0" applyFont="1" applyBorder="1" applyAlignment="1">
      <alignment vertical="top" wrapText="1" shrinkToFit="1"/>
    </xf>
    <xf numFmtId="0" fontId="10"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10" fillId="0" borderId="20" xfId="0" applyFont="1" applyBorder="1" applyAlignment="1">
      <alignment vertical="top" wrapText="1" shrinkToFit="1"/>
    </xf>
    <xf numFmtId="0" fontId="10" fillId="0" borderId="18" xfId="0" applyFont="1" applyBorder="1" applyAlignment="1">
      <alignment vertical="top" wrapText="1" shrinkToFit="1"/>
    </xf>
    <xf numFmtId="0" fontId="2" fillId="0" borderId="58" xfId="0" applyFont="1" applyBorder="1" applyAlignment="1">
      <alignment vertical="center" wrapText="1"/>
    </xf>
    <xf numFmtId="0" fontId="2" fillId="0" borderId="38" xfId="0" applyFont="1" applyBorder="1" applyAlignment="1">
      <alignment vertical="center" wrapText="1"/>
    </xf>
    <xf numFmtId="0" fontId="10" fillId="0" borderId="37" xfId="0" applyFont="1" applyBorder="1" applyAlignment="1">
      <alignment vertical="top" wrapText="1" shrinkToFit="1"/>
    </xf>
    <xf numFmtId="0" fontId="10" fillId="0" borderId="38" xfId="0" applyFont="1" applyBorder="1" applyAlignment="1">
      <alignment vertical="top" wrapText="1" shrinkToFi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10" fillId="0" borderId="41" xfId="0" applyFont="1" applyBorder="1" applyAlignment="1">
      <alignment vertical="top" wrapText="1" shrinkToFit="1"/>
    </xf>
    <xf numFmtId="0" fontId="10" fillId="0" borderId="42" xfId="0" applyFont="1" applyBorder="1" applyAlignment="1">
      <alignment vertical="top" wrapText="1" shrinkToFit="1"/>
    </xf>
    <xf numFmtId="0" fontId="10" fillId="0" borderId="19" xfId="0" applyFont="1" applyBorder="1" applyAlignment="1">
      <alignment vertical="top" wrapText="1" shrinkToFit="1"/>
    </xf>
    <xf numFmtId="0" fontId="10" fillId="0" borderId="36"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10" fillId="0" borderId="3"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5AB3A-A0D4-4108-933E-D1028C256801}">
  <sheetPr>
    <pageSetUpPr fitToPage="1"/>
  </sheetPr>
  <dimension ref="A1:V110"/>
  <sheetViews>
    <sheetView showZeros="0" tabSelected="1" view="pageBreakPreview" zoomScale="90" zoomScaleNormal="100" zoomScaleSheetLayoutView="90" workbookViewId="0">
      <selection activeCell="D93" sqref="D93:S93"/>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64" t="s">
        <v>12</v>
      </c>
      <c r="S1" s="164"/>
      <c r="T1" s="2" t="s">
        <v>110</v>
      </c>
    </row>
    <row r="2" spans="1:22" ht="18.75" customHeight="1" x14ac:dyDescent="0.15">
      <c r="B2" s="33" t="s">
        <v>109</v>
      </c>
      <c r="C2" s="143" t="s">
        <v>126</v>
      </c>
      <c r="D2" s="128"/>
      <c r="E2" s="128"/>
      <c r="F2" s="128"/>
      <c r="G2" s="128"/>
      <c r="H2" s="128"/>
      <c r="I2" s="129"/>
      <c r="J2" s="34"/>
      <c r="K2" s="6"/>
      <c r="L2" s="6"/>
      <c r="M2" s="6"/>
      <c r="N2" s="6"/>
      <c r="O2" s="6"/>
      <c r="P2" s="6"/>
      <c r="Q2" s="6"/>
      <c r="R2" s="6"/>
      <c r="S2" s="6"/>
    </row>
    <row r="3" spans="1:22" ht="18.75" customHeight="1" x14ac:dyDescent="0.15">
      <c r="B3" s="33" t="s">
        <v>103</v>
      </c>
      <c r="C3" s="165" t="s">
        <v>127</v>
      </c>
      <c r="D3" s="166"/>
      <c r="E3" s="166"/>
      <c r="F3" s="166"/>
      <c r="G3" s="166"/>
      <c r="H3" s="166"/>
      <c r="I3" s="167"/>
      <c r="J3" s="34"/>
      <c r="K3" s="6"/>
      <c r="L3" s="6"/>
      <c r="M3" s="6"/>
      <c r="N3" s="6"/>
      <c r="O3" s="6"/>
      <c r="P3" s="6"/>
      <c r="Q3" s="6"/>
      <c r="R3" s="6"/>
      <c r="S3" s="6"/>
    </row>
    <row r="4" spans="1:22" ht="15" customHeight="1" x14ac:dyDescent="0.15">
      <c r="K4" s="34"/>
      <c r="L4" s="35"/>
      <c r="M4" s="35"/>
      <c r="N4" s="35"/>
      <c r="O4" s="35"/>
      <c r="P4" s="35"/>
      <c r="Q4" s="35"/>
      <c r="R4" s="35"/>
      <c r="S4" s="35"/>
    </row>
    <row r="5" spans="1:22" ht="18" customHeight="1" x14ac:dyDescent="0.15">
      <c r="A5" s="168" t="s">
        <v>39</v>
      </c>
      <c r="B5" s="168"/>
      <c r="C5" s="168"/>
      <c r="D5" s="168"/>
      <c r="E5" s="168"/>
      <c r="F5" s="168"/>
      <c r="G5" s="168"/>
      <c r="H5" s="168"/>
      <c r="I5" s="168"/>
      <c r="J5" s="168"/>
      <c r="K5" s="168"/>
      <c r="L5" s="168"/>
      <c r="M5" s="168"/>
      <c r="N5" s="168"/>
      <c r="O5" s="168"/>
      <c r="P5" s="168"/>
      <c r="Q5" s="168"/>
      <c r="R5" s="168"/>
      <c r="S5" s="168"/>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6" t="s">
        <v>108</v>
      </c>
      <c r="K7" s="169" t="s">
        <v>128</v>
      </c>
      <c r="L7" s="170"/>
      <c r="M7" s="170"/>
      <c r="N7" s="170"/>
      <c r="O7" s="170"/>
      <c r="P7" s="170"/>
      <c r="Q7" s="170"/>
      <c r="R7" s="170"/>
      <c r="S7" s="171"/>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72"/>
      <c r="C9" s="173"/>
      <c r="D9" s="173"/>
      <c r="E9" s="173"/>
      <c r="F9" s="173"/>
      <c r="G9" s="173"/>
      <c r="H9" s="173"/>
      <c r="I9" s="173"/>
      <c r="J9" s="173"/>
      <c r="K9" s="173"/>
      <c r="L9" s="173"/>
      <c r="M9" s="173"/>
      <c r="N9" s="173"/>
      <c r="O9" s="173"/>
      <c r="P9" s="173"/>
      <c r="Q9" s="173"/>
      <c r="R9" s="173"/>
      <c r="S9" s="174"/>
    </row>
    <row r="10" spans="1:22" ht="18" customHeight="1" x14ac:dyDescent="0.15">
      <c r="B10" s="175"/>
      <c r="C10" s="176"/>
      <c r="D10" s="176"/>
      <c r="E10" s="176"/>
      <c r="F10" s="176"/>
      <c r="G10" s="176"/>
      <c r="H10" s="176"/>
      <c r="I10" s="176"/>
      <c r="J10" s="176"/>
      <c r="K10" s="176"/>
      <c r="L10" s="176"/>
      <c r="M10" s="176"/>
      <c r="N10" s="176"/>
      <c r="O10" s="176"/>
      <c r="P10" s="176"/>
      <c r="Q10" s="176"/>
      <c r="R10" s="176"/>
      <c r="S10" s="177"/>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4"/>
      <c r="E12" s="34"/>
      <c r="F12" s="34"/>
      <c r="G12" s="34"/>
      <c r="H12" s="34"/>
      <c r="I12" s="34"/>
      <c r="J12" s="34"/>
      <c r="K12" s="37"/>
      <c r="L12" s="37"/>
      <c r="M12" s="37"/>
      <c r="N12" s="37"/>
      <c r="O12" s="37"/>
      <c r="P12" s="37"/>
      <c r="Q12" s="37"/>
      <c r="R12" s="37"/>
      <c r="S12" s="37"/>
    </row>
    <row r="13" spans="1:22" ht="18" customHeight="1" x14ac:dyDescent="0.15">
      <c r="B13" s="152" t="s">
        <v>165</v>
      </c>
      <c r="C13" s="153"/>
      <c r="D13" s="153"/>
      <c r="E13" s="153"/>
      <c r="F13" s="153"/>
      <c r="G13" s="153"/>
      <c r="H13" s="153"/>
      <c r="I13" s="153"/>
      <c r="J13" s="153"/>
      <c r="K13" s="153"/>
      <c r="L13" s="153"/>
      <c r="M13" s="153"/>
      <c r="N13" s="153"/>
      <c r="O13" s="153"/>
      <c r="P13" s="153"/>
      <c r="Q13" s="153"/>
      <c r="R13" s="153"/>
      <c r="S13" s="154"/>
      <c r="V13" s="1" t="s">
        <v>104</v>
      </c>
    </row>
    <row r="14" spans="1:22" ht="18" customHeight="1" x14ac:dyDescent="0.15">
      <c r="B14" s="155"/>
      <c r="C14" s="156"/>
      <c r="D14" s="156"/>
      <c r="E14" s="156"/>
      <c r="F14" s="156"/>
      <c r="G14" s="156"/>
      <c r="H14" s="156"/>
      <c r="I14" s="156"/>
      <c r="J14" s="156"/>
      <c r="K14" s="156"/>
      <c r="L14" s="156"/>
      <c r="M14" s="156"/>
      <c r="N14" s="156"/>
      <c r="O14" s="156"/>
      <c r="P14" s="156"/>
      <c r="Q14" s="156"/>
      <c r="R14" s="156"/>
      <c r="S14" s="157"/>
      <c r="V14" s="1" t="s">
        <v>111</v>
      </c>
    </row>
    <row r="15" spans="1:22" ht="18" customHeight="1" x14ac:dyDescent="0.15">
      <c r="B15" s="155"/>
      <c r="C15" s="156"/>
      <c r="D15" s="156"/>
      <c r="E15" s="156"/>
      <c r="F15" s="156"/>
      <c r="G15" s="156"/>
      <c r="H15" s="156"/>
      <c r="I15" s="156"/>
      <c r="J15" s="156"/>
      <c r="K15" s="156"/>
      <c r="L15" s="156"/>
      <c r="M15" s="156"/>
      <c r="N15" s="156"/>
      <c r="O15" s="156"/>
      <c r="P15" s="156"/>
      <c r="Q15" s="156"/>
      <c r="R15" s="156"/>
      <c r="S15" s="157"/>
      <c r="V15" s="1" t="s">
        <v>123</v>
      </c>
    </row>
    <row r="16" spans="1:22" ht="18" customHeight="1" x14ac:dyDescent="0.15">
      <c r="B16" s="155"/>
      <c r="C16" s="156"/>
      <c r="D16" s="156"/>
      <c r="E16" s="156"/>
      <c r="F16" s="156"/>
      <c r="G16" s="156"/>
      <c r="H16" s="156"/>
      <c r="I16" s="156"/>
      <c r="J16" s="156"/>
      <c r="K16" s="156"/>
      <c r="L16" s="156"/>
      <c r="M16" s="156"/>
      <c r="N16" s="156"/>
      <c r="O16" s="156"/>
      <c r="P16" s="156"/>
      <c r="Q16" s="156"/>
      <c r="R16" s="156"/>
      <c r="S16" s="157"/>
      <c r="V16" s="1" t="s">
        <v>125</v>
      </c>
    </row>
    <row r="17" spans="1:19" ht="18" customHeight="1" x14ac:dyDescent="0.15">
      <c r="B17" s="155"/>
      <c r="C17" s="156"/>
      <c r="D17" s="156"/>
      <c r="E17" s="156"/>
      <c r="F17" s="156"/>
      <c r="G17" s="156"/>
      <c r="H17" s="156"/>
      <c r="I17" s="156"/>
      <c r="J17" s="156"/>
      <c r="K17" s="156"/>
      <c r="L17" s="156"/>
      <c r="M17" s="156"/>
      <c r="N17" s="156"/>
      <c r="O17" s="156"/>
      <c r="P17" s="156"/>
      <c r="Q17" s="156"/>
      <c r="R17" s="156"/>
      <c r="S17" s="157"/>
    </row>
    <row r="18" spans="1:19" ht="18" customHeight="1" x14ac:dyDescent="0.15">
      <c r="B18" s="158"/>
      <c r="C18" s="159"/>
      <c r="D18" s="159"/>
      <c r="E18" s="159"/>
      <c r="F18" s="159"/>
      <c r="G18" s="159"/>
      <c r="H18" s="159"/>
      <c r="I18" s="159"/>
      <c r="J18" s="159"/>
      <c r="K18" s="159"/>
      <c r="L18" s="159"/>
      <c r="M18" s="159"/>
      <c r="N18" s="159"/>
      <c r="O18" s="159"/>
      <c r="P18" s="159"/>
      <c r="Q18" s="159"/>
      <c r="R18" s="159"/>
      <c r="S18" s="160"/>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143">
        <v>2</v>
      </c>
      <c r="D20" s="129"/>
      <c r="E20" s="38" t="s">
        <v>96</v>
      </c>
      <c r="G20" s="10"/>
      <c r="H20" s="3"/>
      <c r="I20" s="3"/>
      <c r="J20" s="34" t="s">
        <v>122</v>
      </c>
      <c r="K20" s="161" t="s">
        <v>111</v>
      </c>
      <c r="L20" s="162"/>
      <c r="M20" s="162"/>
      <c r="N20" s="162"/>
      <c r="O20" s="162"/>
      <c r="P20" s="162"/>
      <c r="Q20" s="162"/>
      <c r="R20" s="162"/>
      <c r="S20" s="163"/>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51" t="s">
        <v>114</v>
      </c>
      <c r="B22" s="151"/>
      <c r="C22" s="151"/>
      <c r="D22" s="151"/>
      <c r="E22" s="151"/>
      <c r="F22" s="151"/>
      <c r="G22" s="151"/>
      <c r="H22" s="151"/>
      <c r="I22" s="151"/>
      <c r="J22" s="151"/>
      <c r="K22" s="151"/>
      <c r="L22" s="151"/>
      <c r="M22" s="151"/>
      <c r="N22" s="151"/>
      <c r="O22" s="151"/>
      <c r="P22" s="151"/>
      <c r="Q22" s="151"/>
      <c r="R22" s="151"/>
      <c r="S22" s="151"/>
    </row>
    <row r="23" spans="1:19" ht="18" customHeight="1" x14ac:dyDescent="0.15">
      <c r="A23" s="151"/>
      <c r="B23" s="151"/>
      <c r="C23" s="151"/>
      <c r="D23" s="151"/>
      <c r="E23" s="151"/>
      <c r="F23" s="151"/>
      <c r="G23" s="151"/>
      <c r="H23" s="151"/>
      <c r="I23" s="151"/>
      <c r="J23" s="151"/>
      <c r="K23" s="151"/>
      <c r="L23" s="151"/>
      <c r="M23" s="151"/>
      <c r="N23" s="151"/>
      <c r="O23" s="151"/>
      <c r="P23" s="151"/>
      <c r="Q23" s="151"/>
      <c r="R23" s="151"/>
      <c r="S23" s="151"/>
    </row>
    <row r="24" spans="1:19" ht="18" customHeight="1" x14ac:dyDescent="0.15">
      <c r="B24" s="143" t="s">
        <v>54</v>
      </c>
      <c r="C24" s="128"/>
      <c r="D24" s="128"/>
      <c r="E24" s="129"/>
      <c r="F24" s="50" t="s">
        <v>81</v>
      </c>
      <c r="G24" s="49" t="s">
        <v>85</v>
      </c>
      <c r="H24" s="21" t="s">
        <v>57</v>
      </c>
      <c r="I24" s="21" t="s">
        <v>60</v>
      </c>
      <c r="J24" s="143" t="s">
        <v>54</v>
      </c>
      <c r="K24" s="128"/>
      <c r="L24" s="128"/>
      <c r="M24" s="128"/>
      <c r="N24" s="128"/>
      <c r="O24" s="129"/>
      <c r="P24" s="50" t="s">
        <v>81</v>
      </c>
      <c r="Q24" s="49" t="s">
        <v>85</v>
      </c>
      <c r="R24" s="21" t="s">
        <v>57</v>
      </c>
      <c r="S24" s="21" t="s">
        <v>60</v>
      </c>
    </row>
    <row r="25" spans="1:19" ht="18" customHeight="1" x14ac:dyDescent="0.15">
      <c r="B25" s="147" t="s">
        <v>129</v>
      </c>
      <c r="C25" s="103"/>
      <c r="D25" s="103"/>
      <c r="E25" s="104"/>
      <c r="F25" s="22">
        <v>2</v>
      </c>
      <c r="G25" s="22"/>
      <c r="H25" s="22" t="s">
        <v>130</v>
      </c>
      <c r="I25" s="22" t="s">
        <v>130</v>
      </c>
      <c r="J25" s="147"/>
      <c r="K25" s="103"/>
      <c r="L25" s="103"/>
      <c r="M25" s="103"/>
      <c r="N25" s="103"/>
      <c r="O25" s="104"/>
      <c r="P25" s="22"/>
      <c r="Q25" s="22"/>
      <c r="R25" s="22"/>
      <c r="S25" s="22"/>
    </row>
    <row r="26" spans="1:19" ht="18" customHeight="1" x14ac:dyDescent="0.15">
      <c r="B26" s="133" t="s">
        <v>131</v>
      </c>
      <c r="C26" s="106"/>
      <c r="D26" s="106"/>
      <c r="E26" s="107"/>
      <c r="F26" s="23">
        <v>2</v>
      </c>
      <c r="G26" s="23"/>
      <c r="H26" s="23" t="s">
        <v>130</v>
      </c>
      <c r="I26" s="23" t="s">
        <v>130</v>
      </c>
      <c r="J26" s="133"/>
      <c r="K26" s="106"/>
      <c r="L26" s="106"/>
      <c r="M26" s="106"/>
      <c r="N26" s="106"/>
      <c r="O26" s="107"/>
      <c r="P26" s="23"/>
      <c r="Q26" s="23"/>
      <c r="R26" s="23"/>
      <c r="S26" s="23"/>
    </row>
    <row r="27" spans="1:19" ht="18" customHeight="1" x14ac:dyDescent="0.15">
      <c r="B27" s="133" t="s">
        <v>132</v>
      </c>
      <c r="C27" s="106"/>
      <c r="D27" s="106"/>
      <c r="E27" s="107"/>
      <c r="F27" s="23">
        <v>2</v>
      </c>
      <c r="G27" s="23"/>
      <c r="H27" s="23" t="s">
        <v>130</v>
      </c>
      <c r="I27" s="23" t="s">
        <v>130</v>
      </c>
      <c r="J27" s="133"/>
      <c r="K27" s="106"/>
      <c r="L27" s="106"/>
      <c r="M27" s="106"/>
      <c r="N27" s="106"/>
      <c r="O27" s="107"/>
      <c r="P27" s="23"/>
      <c r="Q27" s="23"/>
      <c r="R27" s="23"/>
      <c r="S27" s="23"/>
    </row>
    <row r="28" spans="1:19" ht="18" customHeight="1" x14ac:dyDescent="0.15">
      <c r="B28" s="133"/>
      <c r="C28" s="106"/>
      <c r="D28" s="106"/>
      <c r="E28" s="107"/>
      <c r="F28" s="23"/>
      <c r="G28" s="23"/>
      <c r="H28" s="23"/>
      <c r="I28" s="23"/>
      <c r="J28" s="133"/>
      <c r="K28" s="106"/>
      <c r="L28" s="106"/>
      <c r="M28" s="106"/>
      <c r="N28" s="106"/>
      <c r="O28" s="107"/>
      <c r="P28" s="23"/>
      <c r="Q28" s="23"/>
      <c r="R28" s="23"/>
      <c r="S28" s="23"/>
    </row>
    <row r="29" spans="1:19" ht="18" customHeight="1" x14ac:dyDescent="0.15">
      <c r="B29" s="133"/>
      <c r="C29" s="106"/>
      <c r="D29" s="106"/>
      <c r="E29" s="107"/>
      <c r="F29" s="23"/>
      <c r="G29" s="23"/>
      <c r="H29" s="23"/>
      <c r="I29" s="23"/>
      <c r="J29" s="133"/>
      <c r="K29" s="106"/>
      <c r="L29" s="106"/>
      <c r="M29" s="106"/>
      <c r="N29" s="106"/>
      <c r="O29" s="107"/>
      <c r="P29" s="23"/>
      <c r="Q29" s="23"/>
      <c r="R29" s="23"/>
      <c r="S29" s="23"/>
    </row>
    <row r="30" spans="1:19" ht="18" customHeight="1" x14ac:dyDescent="0.15">
      <c r="A30" s="3"/>
      <c r="B30" s="133"/>
      <c r="C30" s="106"/>
      <c r="D30" s="106"/>
      <c r="E30" s="107"/>
      <c r="F30" s="23"/>
      <c r="G30" s="23"/>
      <c r="H30" s="23"/>
      <c r="I30" s="23"/>
      <c r="J30" s="133"/>
      <c r="K30" s="106"/>
      <c r="L30" s="106"/>
      <c r="M30" s="106"/>
      <c r="N30" s="106"/>
      <c r="O30" s="107"/>
      <c r="P30" s="23"/>
      <c r="Q30" s="23"/>
      <c r="R30" s="23"/>
      <c r="S30" s="23"/>
    </row>
    <row r="31" spans="1:19" ht="18" customHeight="1" x14ac:dyDescent="0.15">
      <c r="A31" s="3"/>
      <c r="B31" s="137"/>
      <c r="C31" s="138"/>
      <c r="D31" s="138"/>
      <c r="E31" s="139"/>
      <c r="F31" s="24"/>
      <c r="G31" s="24"/>
      <c r="H31" s="25"/>
      <c r="I31" s="25"/>
      <c r="J31" s="137"/>
      <c r="K31" s="138"/>
      <c r="L31" s="138"/>
      <c r="M31" s="138"/>
      <c r="N31" s="138"/>
      <c r="O31" s="139"/>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51" t="s">
        <v>115</v>
      </c>
      <c r="B33" s="151"/>
      <c r="C33" s="151"/>
      <c r="D33" s="151"/>
      <c r="E33" s="151"/>
      <c r="F33" s="151"/>
      <c r="G33" s="151"/>
      <c r="H33" s="151"/>
      <c r="I33" s="151"/>
      <c r="J33" s="151"/>
      <c r="K33" s="151"/>
      <c r="L33" s="151"/>
      <c r="M33" s="151"/>
      <c r="N33" s="151"/>
      <c r="O33" s="151"/>
      <c r="P33" s="151"/>
      <c r="Q33" s="151"/>
      <c r="R33" s="151"/>
      <c r="S33" s="151"/>
    </row>
    <row r="34" spans="1:19" ht="18" customHeight="1" x14ac:dyDescent="0.15">
      <c r="A34" s="151"/>
      <c r="B34" s="151"/>
      <c r="C34" s="151"/>
      <c r="D34" s="151"/>
      <c r="E34" s="151"/>
      <c r="F34" s="151"/>
      <c r="G34" s="151"/>
      <c r="H34" s="151"/>
      <c r="I34" s="151"/>
      <c r="J34" s="151"/>
      <c r="K34" s="151"/>
      <c r="L34" s="151"/>
      <c r="M34" s="151"/>
      <c r="N34" s="151"/>
      <c r="O34" s="151"/>
      <c r="P34" s="151"/>
      <c r="Q34" s="151"/>
      <c r="R34" s="151"/>
      <c r="S34" s="151"/>
    </row>
    <row r="35" spans="1:19" ht="18" customHeight="1" x14ac:dyDescent="0.15">
      <c r="B35" s="143" t="s">
        <v>54</v>
      </c>
      <c r="C35" s="128"/>
      <c r="D35" s="128"/>
      <c r="E35" s="129"/>
      <c r="F35" s="50" t="s">
        <v>81</v>
      </c>
      <c r="G35" s="49" t="s">
        <v>85</v>
      </c>
      <c r="H35" s="21" t="s">
        <v>72</v>
      </c>
      <c r="I35" s="21" t="s">
        <v>73</v>
      </c>
      <c r="J35" s="143" t="s">
        <v>54</v>
      </c>
      <c r="K35" s="128"/>
      <c r="L35" s="128"/>
      <c r="M35" s="128"/>
      <c r="N35" s="128"/>
      <c r="O35" s="129"/>
      <c r="P35" s="50" t="s">
        <v>81</v>
      </c>
      <c r="Q35" s="49" t="s">
        <v>85</v>
      </c>
      <c r="R35" s="21" t="s">
        <v>72</v>
      </c>
      <c r="S35" s="21" t="s">
        <v>73</v>
      </c>
    </row>
    <row r="36" spans="1:19" ht="18" customHeight="1" x14ac:dyDescent="0.15">
      <c r="B36" s="147" t="s">
        <v>129</v>
      </c>
      <c r="C36" s="103"/>
      <c r="D36" s="103"/>
      <c r="E36" s="104"/>
      <c r="F36" s="22">
        <v>2</v>
      </c>
      <c r="G36" s="22"/>
      <c r="H36" s="22" t="s">
        <v>130</v>
      </c>
      <c r="I36" s="22" t="s">
        <v>130</v>
      </c>
      <c r="J36" s="147"/>
      <c r="K36" s="103"/>
      <c r="L36" s="103"/>
      <c r="M36" s="103"/>
      <c r="N36" s="103"/>
      <c r="O36" s="104"/>
      <c r="P36" s="22"/>
      <c r="Q36" s="22"/>
      <c r="R36" s="22"/>
      <c r="S36" s="22"/>
    </row>
    <row r="37" spans="1:19" ht="18" customHeight="1" x14ac:dyDescent="0.15">
      <c r="B37" s="133" t="s">
        <v>131</v>
      </c>
      <c r="C37" s="106"/>
      <c r="D37" s="106"/>
      <c r="E37" s="107"/>
      <c r="F37" s="23">
        <v>2</v>
      </c>
      <c r="G37" s="23"/>
      <c r="H37" s="23" t="s">
        <v>130</v>
      </c>
      <c r="I37" s="23" t="s">
        <v>130</v>
      </c>
      <c r="J37" s="133"/>
      <c r="K37" s="106"/>
      <c r="L37" s="106"/>
      <c r="M37" s="106"/>
      <c r="N37" s="106"/>
      <c r="O37" s="107"/>
      <c r="P37" s="23"/>
      <c r="Q37" s="23"/>
      <c r="R37" s="23"/>
      <c r="S37" s="23"/>
    </row>
    <row r="38" spans="1:19" ht="18" customHeight="1" x14ac:dyDescent="0.15">
      <c r="B38" s="133" t="s">
        <v>132</v>
      </c>
      <c r="C38" s="106"/>
      <c r="D38" s="106"/>
      <c r="E38" s="107"/>
      <c r="F38" s="23">
        <v>2</v>
      </c>
      <c r="G38" s="23"/>
      <c r="H38" s="23" t="s">
        <v>130</v>
      </c>
      <c r="I38" s="23" t="s">
        <v>130</v>
      </c>
      <c r="J38" s="133"/>
      <c r="K38" s="106"/>
      <c r="L38" s="106"/>
      <c r="M38" s="106"/>
      <c r="N38" s="106"/>
      <c r="O38" s="107"/>
      <c r="P38" s="23"/>
      <c r="Q38" s="23"/>
      <c r="R38" s="23"/>
      <c r="S38" s="23"/>
    </row>
    <row r="39" spans="1:19" ht="18" customHeight="1" x14ac:dyDescent="0.15">
      <c r="B39" s="133"/>
      <c r="C39" s="106"/>
      <c r="D39" s="106"/>
      <c r="E39" s="107"/>
      <c r="F39" s="23"/>
      <c r="G39" s="23"/>
      <c r="H39" s="23"/>
      <c r="I39" s="23"/>
      <c r="J39" s="133"/>
      <c r="K39" s="106"/>
      <c r="L39" s="106"/>
      <c r="M39" s="106"/>
      <c r="N39" s="106"/>
      <c r="O39" s="107"/>
      <c r="P39" s="23"/>
      <c r="Q39" s="23"/>
      <c r="R39" s="23"/>
      <c r="S39" s="23"/>
    </row>
    <row r="40" spans="1:19" ht="18" customHeight="1" x14ac:dyDescent="0.15">
      <c r="B40" s="133"/>
      <c r="C40" s="106"/>
      <c r="D40" s="106"/>
      <c r="E40" s="107"/>
      <c r="F40" s="23"/>
      <c r="G40" s="23"/>
      <c r="H40" s="23"/>
      <c r="I40" s="23"/>
      <c r="J40" s="133"/>
      <c r="K40" s="106"/>
      <c r="L40" s="106"/>
      <c r="M40" s="106"/>
      <c r="N40" s="106"/>
      <c r="O40" s="107"/>
      <c r="P40" s="23"/>
      <c r="Q40" s="23"/>
      <c r="R40" s="23"/>
      <c r="S40" s="23"/>
    </row>
    <row r="41" spans="1:19" ht="18" customHeight="1" x14ac:dyDescent="0.15">
      <c r="B41" s="133"/>
      <c r="C41" s="106"/>
      <c r="D41" s="106"/>
      <c r="E41" s="107"/>
      <c r="F41" s="23"/>
      <c r="G41" s="23"/>
      <c r="H41" s="23"/>
      <c r="I41" s="23"/>
      <c r="J41" s="133"/>
      <c r="K41" s="106"/>
      <c r="L41" s="106"/>
      <c r="M41" s="106"/>
      <c r="N41" s="106"/>
      <c r="O41" s="107"/>
      <c r="P41" s="23"/>
      <c r="Q41" s="23"/>
      <c r="R41" s="23"/>
      <c r="S41" s="23"/>
    </row>
    <row r="42" spans="1:19" ht="18" customHeight="1" x14ac:dyDescent="0.15">
      <c r="B42" s="137"/>
      <c r="C42" s="138"/>
      <c r="D42" s="138"/>
      <c r="E42" s="139"/>
      <c r="F42" s="24"/>
      <c r="G42" s="24"/>
      <c r="H42" s="25"/>
      <c r="I42" s="25"/>
      <c r="J42" s="137"/>
      <c r="K42" s="138"/>
      <c r="L42" s="138"/>
      <c r="M42" s="138"/>
      <c r="N42" s="138"/>
      <c r="O42" s="139"/>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51" t="s">
        <v>116</v>
      </c>
      <c r="B44" s="151"/>
      <c r="C44" s="151"/>
      <c r="D44" s="151"/>
      <c r="E44" s="151"/>
      <c r="F44" s="151"/>
      <c r="G44" s="151"/>
      <c r="H44" s="151"/>
      <c r="I44" s="151"/>
      <c r="J44" s="151"/>
      <c r="K44" s="151"/>
      <c r="L44" s="151"/>
      <c r="M44" s="151"/>
      <c r="N44" s="151"/>
      <c r="O44" s="151"/>
      <c r="P44" s="151"/>
      <c r="Q44" s="151"/>
      <c r="R44" s="151"/>
      <c r="S44" s="151"/>
    </row>
    <row r="45" spans="1:19" ht="18" customHeight="1" x14ac:dyDescent="0.15">
      <c r="A45" s="151"/>
      <c r="B45" s="151"/>
      <c r="C45" s="151"/>
      <c r="D45" s="151"/>
      <c r="E45" s="151"/>
      <c r="F45" s="151"/>
      <c r="G45" s="151"/>
      <c r="H45" s="151"/>
      <c r="I45" s="151"/>
      <c r="J45" s="151"/>
      <c r="K45" s="151"/>
      <c r="L45" s="151"/>
      <c r="M45" s="151"/>
      <c r="N45" s="151"/>
      <c r="O45" s="151"/>
      <c r="P45" s="151"/>
      <c r="Q45" s="151"/>
      <c r="R45" s="151"/>
      <c r="S45" s="151"/>
    </row>
    <row r="46" spans="1:19" ht="18" customHeight="1" x14ac:dyDescent="0.15">
      <c r="B46" s="143" t="s">
        <v>54</v>
      </c>
      <c r="C46" s="128"/>
      <c r="D46" s="128"/>
      <c r="E46" s="129"/>
      <c r="F46" s="50" t="s">
        <v>81</v>
      </c>
      <c r="G46" s="49" t="s">
        <v>85</v>
      </c>
      <c r="H46" s="21" t="s">
        <v>74</v>
      </c>
      <c r="I46" s="21" t="s">
        <v>75</v>
      </c>
      <c r="J46" s="143" t="s">
        <v>54</v>
      </c>
      <c r="K46" s="128"/>
      <c r="L46" s="128"/>
      <c r="M46" s="128"/>
      <c r="N46" s="128"/>
      <c r="O46" s="129"/>
      <c r="P46" s="50" t="s">
        <v>81</v>
      </c>
      <c r="Q46" s="49" t="s">
        <v>85</v>
      </c>
      <c r="R46" s="21" t="s">
        <v>74</v>
      </c>
      <c r="S46" s="21" t="s">
        <v>75</v>
      </c>
    </row>
    <row r="47" spans="1:19" ht="18" customHeight="1" x14ac:dyDescent="0.15">
      <c r="A47" s="3"/>
      <c r="B47" s="147" t="s">
        <v>129</v>
      </c>
      <c r="C47" s="103"/>
      <c r="D47" s="103"/>
      <c r="E47" s="104"/>
      <c r="F47" s="22">
        <v>2</v>
      </c>
      <c r="G47" s="22"/>
      <c r="H47" s="22" t="s">
        <v>130</v>
      </c>
      <c r="I47" s="22" t="s">
        <v>130</v>
      </c>
      <c r="J47" s="147"/>
      <c r="K47" s="103"/>
      <c r="L47" s="103"/>
      <c r="M47" s="103"/>
      <c r="N47" s="103"/>
      <c r="O47" s="104"/>
      <c r="P47" s="22"/>
      <c r="Q47" s="22"/>
      <c r="R47" s="22"/>
      <c r="S47" s="22"/>
    </row>
    <row r="48" spans="1:19" ht="18" customHeight="1" x14ac:dyDescent="0.15">
      <c r="A48" s="3"/>
      <c r="B48" s="133" t="s">
        <v>131</v>
      </c>
      <c r="C48" s="106"/>
      <c r="D48" s="106"/>
      <c r="E48" s="107"/>
      <c r="F48" s="23">
        <v>2</v>
      </c>
      <c r="G48" s="23"/>
      <c r="H48" s="23" t="s">
        <v>130</v>
      </c>
      <c r="I48" s="23" t="s">
        <v>130</v>
      </c>
      <c r="J48" s="133"/>
      <c r="K48" s="106"/>
      <c r="L48" s="106"/>
      <c r="M48" s="106"/>
      <c r="N48" s="106"/>
      <c r="O48" s="107"/>
      <c r="P48" s="23"/>
      <c r="Q48" s="23"/>
      <c r="R48" s="23"/>
      <c r="S48" s="23"/>
    </row>
    <row r="49" spans="1:19" ht="18" customHeight="1" x14ac:dyDescent="0.15">
      <c r="A49" s="3"/>
      <c r="B49" s="133" t="s">
        <v>132</v>
      </c>
      <c r="C49" s="106"/>
      <c r="D49" s="106"/>
      <c r="E49" s="107"/>
      <c r="F49" s="23">
        <v>2</v>
      </c>
      <c r="G49" s="23"/>
      <c r="H49" s="23" t="s">
        <v>130</v>
      </c>
      <c r="I49" s="23" t="s">
        <v>130</v>
      </c>
      <c r="J49" s="133"/>
      <c r="K49" s="106"/>
      <c r="L49" s="106"/>
      <c r="M49" s="106"/>
      <c r="N49" s="106"/>
      <c r="O49" s="107"/>
      <c r="P49" s="23"/>
      <c r="Q49" s="23"/>
      <c r="R49" s="23"/>
      <c r="S49" s="23"/>
    </row>
    <row r="50" spans="1:19" ht="18" customHeight="1" x14ac:dyDescent="0.15">
      <c r="A50" s="3"/>
      <c r="B50" s="133"/>
      <c r="C50" s="106"/>
      <c r="D50" s="106"/>
      <c r="E50" s="107"/>
      <c r="F50" s="23"/>
      <c r="G50" s="23"/>
      <c r="H50" s="23"/>
      <c r="I50" s="23"/>
      <c r="J50" s="133"/>
      <c r="K50" s="106"/>
      <c r="L50" s="106"/>
      <c r="M50" s="106"/>
      <c r="N50" s="106"/>
      <c r="O50" s="107"/>
      <c r="P50" s="23"/>
      <c r="Q50" s="23"/>
      <c r="R50" s="23"/>
      <c r="S50" s="23"/>
    </row>
    <row r="51" spans="1:19" ht="18" customHeight="1" x14ac:dyDescent="0.15">
      <c r="A51" s="3"/>
      <c r="B51" s="133"/>
      <c r="C51" s="106"/>
      <c r="D51" s="106"/>
      <c r="E51" s="107"/>
      <c r="F51" s="23"/>
      <c r="G51" s="23"/>
      <c r="H51" s="23"/>
      <c r="I51" s="23"/>
      <c r="J51" s="133"/>
      <c r="K51" s="106"/>
      <c r="L51" s="106"/>
      <c r="M51" s="106"/>
      <c r="N51" s="106"/>
      <c r="O51" s="107"/>
      <c r="P51" s="23"/>
      <c r="Q51" s="23"/>
      <c r="R51" s="23"/>
      <c r="S51" s="23"/>
    </row>
    <row r="52" spans="1:19" ht="18" customHeight="1" x14ac:dyDescent="0.15">
      <c r="A52" s="3"/>
      <c r="B52" s="133"/>
      <c r="C52" s="106"/>
      <c r="D52" s="106"/>
      <c r="E52" s="107"/>
      <c r="F52" s="23"/>
      <c r="G52" s="23"/>
      <c r="H52" s="23"/>
      <c r="I52" s="23"/>
      <c r="J52" s="133"/>
      <c r="K52" s="106"/>
      <c r="L52" s="106"/>
      <c r="M52" s="106"/>
      <c r="N52" s="106"/>
      <c r="O52" s="107"/>
      <c r="P52" s="23"/>
      <c r="Q52" s="23"/>
      <c r="R52" s="23"/>
      <c r="S52" s="23"/>
    </row>
    <row r="53" spans="1:19" ht="18" customHeight="1" x14ac:dyDescent="0.15">
      <c r="A53" s="3"/>
      <c r="B53" s="137"/>
      <c r="C53" s="138"/>
      <c r="D53" s="138"/>
      <c r="E53" s="139"/>
      <c r="F53" s="24"/>
      <c r="G53" s="24"/>
      <c r="H53" s="25"/>
      <c r="I53" s="25"/>
      <c r="J53" s="137"/>
      <c r="K53" s="138"/>
      <c r="L53" s="138"/>
      <c r="M53" s="138"/>
      <c r="N53" s="138"/>
      <c r="O53" s="139"/>
      <c r="P53" s="24"/>
      <c r="Q53" s="24"/>
      <c r="R53" s="25"/>
      <c r="S53" s="25"/>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51" t="s">
        <v>117</v>
      </c>
      <c r="B55" s="151"/>
      <c r="C55" s="151"/>
      <c r="D55" s="151"/>
      <c r="E55" s="151"/>
      <c r="F55" s="151"/>
      <c r="G55" s="151"/>
      <c r="H55" s="151"/>
      <c r="I55" s="151"/>
      <c r="J55" s="151"/>
      <c r="K55" s="151"/>
      <c r="L55" s="151"/>
      <c r="M55" s="151"/>
      <c r="N55" s="151"/>
      <c r="O55" s="151"/>
      <c r="P55" s="151"/>
      <c r="Q55" s="151"/>
      <c r="R55" s="151"/>
      <c r="S55" s="151"/>
    </row>
    <row r="56" spans="1:19" ht="18" customHeight="1" x14ac:dyDescent="0.15">
      <c r="A56" s="151"/>
      <c r="B56" s="151"/>
      <c r="C56" s="151"/>
      <c r="D56" s="151"/>
      <c r="E56" s="151"/>
      <c r="F56" s="151"/>
      <c r="G56" s="151"/>
      <c r="H56" s="151"/>
      <c r="I56" s="151"/>
      <c r="J56" s="151"/>
      <c r="K56" s="151"/>
      <c r="L56" s="151"/>
      <c r="M56" s="151"/>
      <c r="N56" s="151"/>
      <c r="O56" s="151"/>
      <c r="P56" s="151"/>
      <c r="Q56" s="151"/>
      <c r="R56" s="151"/>
      <c r="S56" s="151"/>
    </row>
    <row r="57" spans="1:19" ht="18" customHeight="1" x14ac:dyDescent="0.15">
      <c r="B57" s="143" t="s">
        <v>54</v>
      </c>
      <c r="C57" s="128"/>
      <c r="D57" s="128"/>
      <c r="E57" s="129"/>
      <c r="F57" s="50" t="s">
        <v>81</v>
      </c>
      <c r="G57" s="49" t="s">
        <v>85</v>
      </c>
      <c r="H57" s="21" t="s">
        <v>59</v>
      </c>
      <c r="I57" s="21" t="s">
        <v>61</v>
      </c>
      <c r="J57" s="143" t="s">
        <v>54</v>
      </c>
      <c r="K57" s="128"/>
      <c r="L57" s="128"/>
      <c r="M57" s="128"/>
      <c r="N57" s="128"/>
      <c r="O57" s="129"/>
      <c r="P57" s="50" t="s">
        <v>81</v>
      </c>
      <c r="Q57" s="49" t="s">
        <v>85</v>
      </c>
      <c r="R57" s="21" t="s">
        <v>59</v>
      </c>
      <c r="S57" s="21" t="s">
        <v>61</v>
      </c>
    </row>
    <row r="58" spans="1:19" ht="18" customHeight="1" x14ac:dyDescent="0.15">
      <c r="A58" s="3"/>
      <c r="B58" s="147" t="s">
        <v>129</v>
      </c>
      <c r="C58" s="103"/>
      <c r="D58" s="103"/>
      <c r="E58" s="104"/>
      <c r="F58" s="22">
        <v>2</v>
      </c>
      <c r="G58" s="22"/>
      <c r="H58" s="22" t="s">
        <v>130</v>
      </c>
      <c r="I58" s="22" t="s">
        <v>130</v>
      </c>
      <c r="J58" s="147"/>
      <c r="K58" s="103"/>
      <c r="L58" s="103"/>
      <c r="M58" s="103"/>
      <c r="N58" s="103"/>
      <c r="O58" s="104"/>
      <c r="P58" s="22"/>
      <c r="Q58" s="22"/>
      <c r="R58" s="22"/>
      <c r="S58" s="22"/>
    </row>
    <row r="59" spans="1:19" ht="18" customHeight="1" x14ac:dyDescent="0.15">
      <c r="A59" s="3"/>
      <c r="B59" s="133" t="s">
        <v>131</v>
      </c>
      <c r="C59" s="106"/>
      <c r="D59" s="106"/>
      <c r="E59" s="107"/>
      <c r="F59" s="23">
        <v>2</v>
      </c>
      <c r="G59" s="23"/>
      <c r="H59" s="23" t="s">
        <v>130</v>
      </c>
      <c r="I59" s="23" t="s">
        <v>130</v>
      </c>
      <c r="J59" s="133"/>
      <c r="K59" s="106"/>
      <c r="L59" s="106"/>
      <c r="M59" s="106"/>
      <c r="N59" s="106"/>
      <c r="O59" s="107"/>
      <c r="P59" s="23"/>
      <c r="Q59" s="23"/>
      <c r="R59" s="23"/>
      <c r="S59" s="23"/>
    </row>
    <row r="60" spans="1:19" ht="18" customHeight="1" x14ac:dyDescent="0.15">
      <c r="A60" s="3"/>
      <c r="B60" s="133" t="s">
        <v>132</v>
      </c>
      <c r="C60" s="106"/>
      <c r="D60" s="106"/>
      <c r="E60" s="107"/>
      <c r="F60" s="23">
        <v>2</v>
      </c>
      <c r="G60" s="23"/>
      <c r="H60" s="23" t="s">
        <v>130</v>
      </c>
      <c r="I60" s="23" t="s">
        <v>130</v>
      </c>
      <c r="J60" s="133"/>
      <c r="K60" s="106"/>
      <c r="L60" s="106"/>
      <c r="M60" s="106"/>
      <c r="N60" s="106"/>
      <c r="O60" s="107"/>
      <c r="P60" s="23"/>
      <c r="Q60" s="23"/>
      <c r="R60" s="23"/>
      <c r="S60" s="23"/>
    </row>
    <row r="61" spans="1:19" ht="18" customHeight="1" x14ac:dyDescent="0.15">
      <c r="A61" s="3"/>
      <c r="B61" s="133"/>
      <c r="C61" s="106"/>
      <c r="D61" s="106"/>
      <c r="E61" s="107"/>
      <c r="F61" s="23"/>
      <c r="G61" s="23"/>
      <c r="H61" s="23"/>
      <c r="I61" s="23"/>
      <c r="J61" s="133"/>
      <c r="K61" s="106"/>
      <c r="L61" s="106"/>
      <c r="M61" s="106"/>
      <c r="N61" s="106"/>
      <c r="O61" s="107"/>
      <c r="P61" s="23"/>
      <c r="Q61" s="23"/>
      <c r="R61" s="23"/>
      <c r="S61" s="23"/>
    </row>
    <row r="62" spans="1:19" ht="18" customHeight="1" x14ac:dyDescent="0.15">
      <c r="A62" s="3"/>
      <c r="B62" s="133"/>
      <c r="C62" s="106"/>
      <c r="D62" s="106"/>
      <c r="E62" s="107"/>
      <c r="F62" s="23"/>
      <c r="G62" s="23"/>
      <c r="H62" s="23"/>
      <c r="I62" s="23"/>
      <c r="J62" s="133"/>
      <c r="K62" s="106"/>
      <c r="L62" s="106"/>
      <c r="M62" s="106"/>
      <c r="N62" s="106"/>
      <c r="O62" s="107"/>
      <c r="P62" s="23"/>
      <c r="Q62" s="23"/>
      <c r="R62" s="23"/>
      <c r="S62" s="23"/>
    </row>
    <row r="63" spans="1:19" ht="18" customHeight="1" x14ac:dyDescent="0.15">
      <c r="A63" s="3"/>
      <c r="B63" s="133"/>
      <c r="C63" s="106"/>
      <c r="D63" s="106"/>
      <c r="E63" s="107"/>
      <c r="F63" s="23"/>
      <c r="G63" s="23"/>
      <c r="H63" s="23"/>
      <c r="I63" s="23"/>
      <c r="J63" s="133"/>
      <c r="K63" s="106"/>
      <c r="L63" s="106"/>
      <c r="M63" s="106"/>
      <c r="N63" s="106"/>
      <c r="O63" s="107"/>
      <c r="P63" s="23"/>
      <c r="Q63" s="23"/>
      <c r="R63" s="23"/>
      <c r="S63" s="23"/>
    </row>
    <row r="64" spans="1:19" ht="18" customHeight="1" x14ac:dyDescent="0.15">
      <c r="A64" s="3"/>
      <c r="B64" s="137"/>
      <c r="C64" s="138"/>
      <c r="D64" s="138"/>
      <c r="E64" s="139"/>
      <c r="F64" s="24"/>
      <c r="G64" s="24"/>
      <c r="H64" s="25"/>
      <c r="I64" s="25"/>
      <c r="J64" s="137"/>
      <c r="K64" s="138"/>
      <c r="L64" s="138"/>
      <c r="M64" s="138"/>
      <c r="N64" s="138"/>
      <c r="O64" s="139"/>
      <c r="P64" s="24"/>
      <c r="Q64" s="24"/>
      <c r="R64" s="25"/>
      <c r="S64" s="25"/>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51" t="s">
        <v>118</v>
      </c>
      <c r="B66" s="151"/>
      <c r="C66" s="151"/>
      <c r="D66" s="151"/>
      <c r="E66" s="151"/>
      <c r="F66" s="151"/>
      <c r="G66" s="151"/>
      <c r="H66" s="151"/>
      <c r="I66" s="151"/>
      <c r="J66" s="151"/>
      <c r="K66" s="151"/>
      <c r="L66" s="151"/>
      <c r="M66" s="151"/>
      <c r="N66" s="151"/>
      <c r="O66" s="151"/>
      <c r="P66" s="151"/>
      <c r="Q66" s="151"/>
      <c r="R66" s="151"/>
      <c r="S66" s="151"/>
    </row>
    <row r="67" spans="1:19" ht="18" customHeight="1" x14ac:dyDescent="0.15">
      <c r="A67" s="151"/>
      <c r="B67" s="151"/>
      <c r="C67" s="151"/>
      <c r="D67" s="151"/>
      <c r="E67" s="151"/>
      <c r="F67" s="151"/>
      <c r="G67" s="151"/>
      <c r="H67" s="151"/>
      <c r="I67" s="151"/>
      <c r="J67" s="151"/>
      <c r="K67" s="151"/>
      <c r="L67" s="151"/>
      <c r="M67" s="151"/>
      <c r="N67" s="151"/>
      <c r="O67" s="151"/>
      <c r="P67" s="151"/>
      <c r="Q67" s="151"/>
      <c r="R67" s="151"/>
      <c r="S67" s="151"/>
    </row>
    <row r="68" spans="1:19" ht="18" customHeight="1" x14ac:dyDescent="0.15">
      <c r="B68" s="143" t="s">
        <v>54</v>
      </c>
      <c r="C68" s="128"/>
      <c r="D68" s="128"/>
      <c r="E68" s="50" t="s">
        <v>81</v>
      </c>
      <c r="F68" s="49" t="s">
        <v>85</v>
      </c>
      <c r="G68" s="21" t="s">
        <v>102</v>
      </c>
      <c r="H68" s="21" t="s">
        <v>76</v>
      </c>
      <c r="I68" s="21" t="s">
        <v>77</v>
      </c>
      <c r="J68" s="143" t="s">
        <v>54</v>
      </c>
      <c r="K68" s="128"/>
      <c r="L68" s="128"/>
      <c r="M68" s="128"/>
      <c r="N68" s="129"/>
      <c r="O68" s="50" t="s">
        <v>81</v>
      </c>
      <c r="P68" s="49" t="s">
        <v>85</v>
      </c>
      <c r="Q68" s="21" t="s">
        <v>102</v>
      </c>
      <c r="R68" s="21" t="s">
        <v>76</v>
      </c>
      <c r="S68" s="21" t="s">
        <v>77</v>
      </c>
    </row>
    <row r="69" spans="1:19" ht="18" customHeight="1" x14ac:dyDescent="0.15">
      <c r="A69" s="3"/>
      <c r="B69" s="147" t="s">
        <v>129</v>
      </c>
      <c r="C69" s="103"/>
      <c r="D69" s="104"/>
      <c r="E69" s="22">
        <v>2</v>
      </c>
      <c r="F69" s="22"/>
      <c r="G69" s="22" t="s">
        <v>130</v>
      </c>
      <c r="H69" s="22" t="s">
        <v>130</v>
      </c>
      <c r="I69" s="22" t="s">
        <v>130</v>
      </c>
      <c r="J69" s="147"/>
      <c r="K69" s="103"/>
      <c r="L69" s="103"/>
      <c r="M69" s="103"/>
      <c r="N69" s="104"/>
      <c r="O69" s="22"/>
      <c r="P69" s="22"/>
      <c r="Q69" s="22"/>
      <c r="R69" s="22"/>
      <c r="S69" s="22"/>
    </row>
    <row r="70" spans="1:19" ht="18" customHeight="1" x14ac:dyDescent="0.15">
      <c r="A70" s="3"/>
      <c r="B70" s="133" t="s">
        <v>131</v>
      </c>
      <c r="C70" s="106"/>
      <c r="D70" s="107"/>
      <c r="E70" s="23">
        <v>2</v>
      </c>
      <c r="F70" s="23"/>
      <c r="G70" s="23" t="s">
        <v>130</v>
      </c>
      <c r="H70" s="23" t="s">
        <v>130</v>
      </c>
      <c r="I70" s="23" t="s">
        <v>130</v>
      </c>
      <c r="J70" s="133"/>
      <c r="K70" s="106"/>
      <c r="L70" s="106"/>
      <c r="M70" s="106"/>
      <c r="N70" s="107"/>
      <c r="O70" s="23"/>
      <c r="P70" s="23"/>
      <c r="Q70" s="23"/>
      <c r="R70" s="23"/>
      <c r="S70" s="23"/>
    </row>
    <row r="71" spans="1:19" ht="18" customHeight="1" x14ac:dyDescent="0.15">
      <c r="A71" s="3"/>
      <c r="B71" s="133" t="s">
        <v>132</v>
      </c>
      <c r="C71" s="106"/>
      <c r="D71" s="107"/>
      <c r="E71" s="23">
        <v>2</v>
      </c>
      <c r="F71" s="23"/>
      <c r="G71" s="23" t="s">
        <v>130</v>
      </c>
      <c r="H71" s="23" t="s">
        <v>130</v>
      </c>
      <c r="I71" s="23" t="s">
        <v>130</v>
      </c>
      <c r="J71" s="133"/>
      <c r="K71" s="106"/>
      <c r="L71" s="106"/>
      <c r="M71" s="106"/>
      <c r="N71" s="107"/>
      <c r="O71" s="23"/>
      <c r="P71" s="23"/>
      <c r="Q71" s="23"/>
      <c r="R71" s="23"/>
      <c r="S71" s="23"/>
    </row>
    <row r="72" spans="1:19" ht="18" customHeight="1" x14ac:dyDescent="0.15">
      <c r="A72" s="3"/>
      <c r="B72" s="133"/>
      <c r="C72" s="106"/>
      <c r="D72" s="106"/>
      <c r="E72" s="23"/>
      <c r="F72" s="23"/>
      <c r="G72" s="23"/>
      <c r="H72" s="23"/>
      <c r="I72" s="23"/>
      <c r="J72" s="133"/>
      <c r="K72" s="106"/>
      <c r="L72" s="106"/>
      <c r="M72" s="106"/>
      <c r="N72" s="107"/>
      <c r="O72" s="23"/>
      <c r="P72" s="23"/>
      <c r="Q72" s="23"/>
      <c r="R72" s="23"/>
      <c r="S72" s="23"/>
    </row>
    <row r="73" spans="1:19" ht="18" customHeight="1" x14ac:dyDescent="0.15">
      <c r="A73" s="3"/>
      <c r="B73" s="133"/>
      <c r="C73" s="106"/>
      <c r="D73" s="106"/>
      <c r="E73" s="23"/>
      <c r="F73" s="23"/>
      <c r="G73" s="23"/>
      <c r="H73" s="23"/>
      <c r="I73" s="23"/>
      <c r="J73" s="133"/>
      <c r="K73" s="106"/>
      <c r="L73" s="106"/>
      <c r="M73" s="106"/>
      <c r="N73" s="107"/>
      <c r="O73" s="23"/>
      <c r="P73" s="23"/>
      <c r="Q73" s="23"/>
      <c r="R73" s="23"/>
      <c r="S73" s="23"/>
    </row>
    <row r="74" spans="1:19" ht="18" customHeight="1" x14ac:dyDescent="0.15">
      <c r="A74" s="3"/>
      <c r="B74" s="133"/>
      <c r="C74" s="106"/>
      <c r="D74" s="106"/>
      <c r="E74" s="23"/>
      <c r="F74" s="23"/>
      <c r="G74" s="23"/>
      <c r="H74" s="23"/>
      <c r="I74" s="23"/>
      <c r="J74" s="133"/>
      <c r="K74" s="106"/>
      <c r="L74" s="106"/>
      <c r="M74" s="106"/>
      <c r="N74" s="107"/>
      <c r="O74" s="23"/>
      <c r="P74" s="23"/>
      <c r="Q74" s="23"/>
      <c r="R74" s="23"/>
      <c r="S74" s="23"/>
    </row>
    <row r="75" spans="1:19" ht="18" customHeight="1" x14ac:dyDescent="0.15">
      <c r="A75" s="3"/>
      <c r="B75" s="137"/>
      <c r="C75" s="138"/>
      <c r="D75" s="138"/>
      <c r="E75" s="24"/>
      <c r="F75" s="24"/>
      <c r="G75" s="25"/>
      <c r="H75" s="25"/>
      <c r="I75" s="25"/>
      <c r="J75" s="137"/>
      <c r="K75" s="138"/>
      <c r="L75" s="138"/>
      <c r="M75" s="138"/>
      <c r="N75" s="139"/>
      <c r="O75" s="24"/>
      <c r="P75" s="24"/>
      <c r="Q75" s="25"/>
      <c r="R75" s="25"/>
      <c r="S75" s="25"/>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143" t="s">
        <v>54</v>
      </c>
      <c r="C78" s="128"/>
      <c r="D78" s="128"/>
      <c r="E78" s="129"/>
      <c r="F78" s="143" t="s">
        <v>83</v>
      </c>
      <c r="G78" s="128"/>
      <c r="H78" s="128"/>
      <c r="I78" s="129"/>
      <c r="J78" s="144" t="s">
        <v>54</v>
      </c>
      <c r="K78" s="145"/>
      <c r="L78" s="145"/>
      <c r="M78" s="145"/>
      <c r="N78" s="145"/>
      <c r="O78" s="146"/>
      <c r="P78" s="143" t="s">
        <v>83</v>
      </c>
      <c r="Q78" s="128"/>
      <c r="R78" s="128"/>
      <c r="S78" s="129"/>
    </row>
    <row r="79" spans="1:19" ht="18" customHeight="1" x14ac:dyDescent="0.15">
      <c r="A79" s="3"/>
      <c r="B79" s="147"/>
      <c r="C79" s="103"/>
      <c r="D79" s="103"/>
      <c r="E79" s="104"/>
      <c r="F79" s="148"/>
      <c r="G79" s="149"/>
      <c r="H79" s="149"/>
      <c r="I79" s="150"/>
      <c r="J79" s="147"/>
      <c r="K79" s="103"/>
      <c r="L79" s="103"/>
      <c r="M79" s="103"/>
      <c r="N79" s="103"/>
      <c r="O79" s="104"/>
      <c r="P79" s="148"/>
      <c r="Q79" s="149"/>
      <c r="R79" s="149"/>
      <c r="S79" s="150"/>
    </row>
    <row r="80" spans="1:19" ht="18" customHeight="1" x14ac:dyDescent="0.15">
      <c r="A80" s="3"/>
      <c r="B80" s="133"/>
      <c r="C80" s="106"/>
      <c r="D80" s="106"/>
      <c r="E80" s="107"/>
      <c r="F80" s="134"/>
      <c r="G80" s="135"/>
      <c r="H80" s="135"/>
      <c r="I80" s="136"/>
      <c r="J80" s="133"/>
      <c r="K80" s="106"/>
      <c r="L80" s="106"/>
      <c r="M80" s="106"/>
      <c r="N80" s="106"/>
      <c r="O80" s="107"/>
      <c r="P80" s="134"/>
      <c r="Q80" s="135"/>
      <c r="R80" s="135"/>
      <c r="S80" s="136"/>
    </row>
    <row r="81" spans="1:19" ht="18" customHeight="1" x14ac:dyDescent="0.15">
      <c r="A81" s="3"/>
      <c r="B81" s="133"/>
      <c r="C81" s="106"/>
      <c r="D81" s="106"/>
      <c r="E81" s="107"/>
      <c r="F81" s="134"/>
      <c r="G81" s="135"/>
      <c r="H81" s="135"/>
      <c r="I81" s="136"/>
      <c r="J81" s="133"/>
      <c r="K81" s="106"/>
      <c r="L81" s="106"/>
      <c r="M81" s="106"/>
      <c r="N81" s="106"/>
      <c r="O81" s="107"/>
      <c r="P81" s="134"/>
      <c r="Q81" s="135"/>
      <c r="R81" s="135"/>
      <c r="S81" s="136"/>
    </row>
    <row r="82" spans="1:19" ht="18" customHeight="1" x14ac:dyDescent="0.15">
      <c r="A82" s="3"/>
      <c r="B82" s="133"/>
      <c r="C82" s="106"/>
      <c r="D82" s="106"/>
      <c r="E82" s="107"/>
      <c r="F82" s="134"/>
      <c r="G82" s="135"/>
      <c r="H82" s="135"/>
      <c r="I82" s="136"/>
      <c r="J82" s="133"/>
      <c r="K82" s="106"/>
      <c r="L82" s="106"/>
      <c r="M82" s="106"/>
      <c r="N82" s="106"/>
      <c r="O82" s="107"/>
      <c r="P82" s="134"/>
      <c r="Q82" s="135"/>
      <c r="R82" s="135"/>
      <c r="S82" s="136"/>
    </row>
    <row r="83" spans="1:19" ht="18" customHeight="1" x14ac:dyDescent="0.15">
      <c r="A83" s="3"/>
      <c r="B83" s="133"/>
      <c r="C83" s="106"/>
      <c r="D83" s="106"/>
      <c r="E83" s="107"/>
      <c r="F83" s="134"/>
      <c r="G83" s="135"/>
      <c r="H83" s="135"/>
      <c r="I83" s="136"/>
      <c r="J83" s="133"/>
      <c r="K83" s="106"/>
      <c r="L83" s="106"/>
      <c r="M83" s="106"/>
      <c r="N83" s="106"/>
      <c r="O83" s="107"/>
      <c r="P83" s="134"/>
      <c r="Q83" s="135"/>
      <c r="R83" s="135"/>
      <c r="S83" s="136"/>
    </row>
    <row r="84" spans="1:19" ht="18" customHeight="1" x14ac:dyDescent="0.15">
      <c r="A84" s="3"/>
      <c r="B84" s="133"/>
      <c r="C84" s="106"/>
      <c r="D84" s="106"/>
      <c r="E84" s="107"/>
      <c r="F84" s="134"/>
      <c r="G84" s="135"/>
      <c r="H84" s="135"/>
      <c r="I84" s="136"/>
      <c r="J84" s="133"/>
      <c r="K84" s="106"/>
      <c r="L84" s="106"/>
      <c r="M84" s="106"/>
      <c r="N84" s="106"/>
      <c r="O84" s="107"/>
      <c r="P84" s="134"/>
      <c r="Q84" s="135"/>
      <c r="R84" s="135"/>
      <c r="S84" s="136"/>
    </row>
    <row r="85" spans="1:19" ht="18" customHeight="1" x14ac:dyDescent="0.15">
      <c r="A85" s="3"/>
      <c r="B85" s="137"/>
      <c r="C85" s="138"/>
      <c r="D85" s="138"/>
      <c r="E85" s="139"/>
      <c r="F85" s="140"/>
      <c r="G85" s="141"/>
      <c r="H85" s="141"/>
      <c r="I85" s="142"/>
      <c r="J85" s="137"/>
      <c r="K85" s="138"/>
      <c r="L85" s="138"/>
      <c r="M85" s="138"/>
      <c r="N85" s="138"/>
      <c r="O85" s="139"/>
      <c r="P85" s="140"/>
      <c r="Q85" s="141"/>
      <c r="R85" s="141"/>
      <c r="S85" s="142"/>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120</v>
      </c>
    </row>
    <row r="88" spans="1:19" ht="18.75" customHeight="1" x14ac:dyDescent="0.15">
      <c r="B88" s="126" t="s">
        <v>55</v>
      </c>
      <c r="C88" s="127"/>
      <c r="D88" s="128" t="s">
        <v>56</v>
      </c>
      <c r="E88" s="128"/>
      <c r="F88" s="128"/>
      <c r="G88" s="128"/>
      <c r="H88" s="128"/>
      <c r="I88" s="128"/>
      <c r="J88" s="128"/>
      <c r="K88" s="128"/>
      <c r="L88" s="128"/>
      <c r="M88" s="128"/>
      <c r="N88" s="128"/>
      <c r="O88" s="128"/>
      <c r="P88" s="128"/>
      <c r="Q88" s="128"/>
      <c r="R88" s="128"/>
      <c r="S88" s="129"/>
    </row>
    <row r="89" spans="1:19" ht="191.25" customHeight="1" x14ac:dyDescent="0.15">
      <c r="B89" s="99" t="s">
        <v>62</v>
      </c>
      <c r="C89" s="27" t="s">
        <v>57</v>
      </c>
      <c r="D89" s="120" t="s">
        <v>166</v>
      </c>
      <c r="E89" s="121"/>
      <c r="F89" s="121"/>
      <c r="G89" s="121"/>
      <c r="H89" s="121"/>
      <c r="I89" s="121"/>
      <c r="J89" s="121"/>
      <c r="K89" s="121"/>
      <c r="L89" s="121"/>
      <c r="M89" s="121"/>
      <c r="N89" s="121"/>
      <c r="O89" s="121"/>
      <c r="P89" s="121"/>
      <c r="Q89" s="121"/>
      <c r="R89" s="121"/>
      <c r="S89" s="122"/>
    </row>
    <row r="90" spans="1:19" ht="134.25" customHeight="1" x14ac:dyDescent="0.15">
      <c r="B90" s="100"/>
      <c r="C90" s="28" t="s">
        <v>78</v>
      </c>
      <c r="D90" s="130" t="s">
        <v>167</v>
      </c>
      <c r="E90" s="131"/>
      <c r="F90" s="131"/>
      <c r="G90" s="131"/>
      <c r="H90" s="131"/>
      <c r="I90" s="131"/>
      <c r="J90" s="131"/>
      <c r="K90" s="131"/>
      <c r="L90" s="131"/>
      <c r="M90" s="131"/>
      <c r="N90" s="131"/>
      <c r="O90" s="131"/>
      <c r="P90" s="131"/>
      <c r="Q90" s="131"/>
      <c r="R90" s="131"/>
      <c r="S90" s="132"/>
    </row>
    <row r="91" spans="1:19" ht="180.75" customHeight="1" x14ac:dyDescent="0.15">
      <c r="B91" s="99" t="s">
        <v>63</v>
      </c>
      <c r="C91" s="29" t="s">
        <v>72</v>
      </c>
      <c r="D91" s="114" t="s">
        <v>168</v>
      </c>
      <c r="E91" s="115"/>
      <c r="F91" s="115"/>
      <c r="G91" s="115"/>
      <c r="H91" s="115"/>
      <c r="I91" s="115"/>
      <c r="J91" s="115"/>
      <c r="K91" s="115"/>
      <c r="L91" s="115"/>
      <c r="M91" s="115"/>
      <c r="N91" s="115"/>
      <c r="O91" s="115"/>
      <c r="P91" s="115"/>
      <c r="Q91" s="115"/>
      <c r="R91" s="115"/>
      <c r="S91" s="116"/>
    </row>
    <row r="92" spans="1:19" ht="168" customHeight="1" x14ac:dyDescent="0.15">
      <c r="B92" s="101"/>
      <c r="C92" s="30" t="s">
        <v>73</v>
      </c>
      <c r="D92" s="123" t="s">
        <v>169</v>
      </c>
      <c r="E92" s="124"/>
      <c r="F92" s="124"/>
      <c r="G92" s="124"/>
      <c r="H92" s="124"/>
      <c r="I92" s="124"/>
      <c r="J92" s="124"/>
      <c r="K92" s="124"/>
      <c r="L92" s="124"/>
      <c r="M92" s="124"/>
      <c r="N92" s="124"/>
      <c r="O92" s="124"/>
      <c r="P92" s="124"/>
      <c r="Q92" s="124"/>
      <c r="R92" s="124"/>
      <c r="S92" s="125"/>
    </row>
    <row r="93" spans="1:19" ht="162.75" customHeight="1" x14ac:dyDescent="0.15">
      <c r="B93" s="99" t="s">
        <v>64</v>
      </c>
      <c r="C93" s="29" t="s">
        <v>74</v>
      </c>
      <c r="D93" s="114" t="s">
        <v>170</v>
      </c>
      <c r="E93" s="115"/>
      <c r="F93" s="115"/>
      <c r="G93" s="115"/>
      <c r="H93" s="115"/>
      <c r="I93" s="115"/>
      <c r="J93" s="115"/>
      <c r="K93" s="115"/>
      <c r="L93" s="115"/>
      <c r="M93" s="115"/>
      <c r="N93" s="115"/>
      <c r="O93" s="115"/>
      <c r="P93" s="115"/>
      <c r="Q93" s="115"/>
      <c r="R93" s="115"/>
      <c r="S93" s="116"/>
    </row>
    <row r="94" spans="1:19" ht="127.5" customHeight="1" x14ac:dyDescent="0.15">
      <c r="B94" s="101"/>
      <c r="C94" s="31" t="s">
        <v>75</v>
      </c>
      <c r="D94" s="117" t="s">
        <v>171</v>
      </c>
      <c r="E94" s="118"/>
      <c r="F94" s="118"/>
      <c r="G94" s="118"/>
      <c r="H94" s="118"/>
      <c r="I94" s="118"/>
      <c r="J94" s="118"/>
      <c r="K94" s="118"/>
      <c r="L94" s="118"/>
      <c r="M94" s="118"/>
      <c r="N94" s="118"/>
      <c r="O94" s="118"/>
      <c r="P94" s="118"/>
      <c r="Q94" s="118"/>
      <c r="R94" s="118"/>
      <c r="S94" s="119"/>
    </row>
    <row r="95" spans="1:19" ht="188.25" customHeight="1" x14ac:dyDescent="0.15">
      <c r="B95" s="99" t="s">
        <v>79</v>
      </c>
      <c r="C95" s="27" t="s">
        <v>59</v>
      </c>
      <c r="D95" s="120" t="s">
        <v>172</v>
      </c>
      <c r="E95" s="121"/>
      <c r="F95" s="121"/>
      <c r="G95" s="121"/>
      <c r="H95" s="121"/>
      <c r="I95" s="121"/>
      <c r="J95" s="121"/>
      <c r="K95" s="121"/>
      <c r="L95" s="121"/>
      <c r="M95" s="121"/>
      <c r="N95" s="121"/>
      <c r="O95" s="121"/>
      <c r="P95" s="121"/>
      <c r="Q95" s="121"/>
      <c r="R95" s="121"/>
      <c r="S95" s="122"/>
    </row>
    <row r="96" spans="1:19" ht="129.75" customHeight="1" x14ac:dyDescent="0.15">
      <c r="B96" s="101"/>
      <c r="C96" s="30" t="s">
        <v>61</v>
      </c>
      <c r="D96" s="123" t="s">
        <v>173</v>
      </c>
      <c r="E96" s="124"/>
      <c r="F96" s="124"/>
      <c r="G96" s="124"/>
      <c r="H96" s="124"/>
      <c r="I96" s="124"/>
      <c r="J96" s="124"/>
      <c r="K96" s="124"/>
      <c r="L96" s="124"/>
      <c r="M96" s="124"/>
      <c r="N96" s="124"/>
      <c r="O96" s="124"/>
      <c r="P96" s="124"/>
      <c r="Q96" s="124"/>
      <c r="R96" s="124"/>
      <c r="S96" s="125"/>
    </row>
    <row r="97" spans="1:19" ht="259.5" customHeight="1" x14ac:dyDescent="0.15">
      <c r="B97" s="99" t="s">
        <v>80</v>
      </c>
      <c r="C97" s="29" t="s">
        <v>58</v>
      </c>
      <c r="D97" s="102" t="s">
        <v>174</v>
      </c>
      <c r="E97" s="103"/>
      <c r="F97" s="103"/>
      <c r="G97" s="103"/>
      <c r="H97" s="103"/>
      <c r="I97" s="103"/>
      <c r="J97" s="103"/>
      <c r="K97" s="103"/>
      <c r="L97" s="103"/>
      <c r="M97" s="103"/>
      <c r="N97" s="103"/>
      <c r="O97" s="103"/>
      <c r="P97" s="103"/>
      <c r="Q97" s="103"/>
      <c r="R97" s="103"/>
      <c r="S97" s="104"/>
    </row>
    <row r="98" spans="1:19" ht="132.75" customHeight="1" x14ac:dyDescent="0.15">
      <c r="B98" s="100"/>
      <c r="C98" s="32" t="s">
        <v>76</v>
      </c>
      <c r="D98" s="105" t="s">
        <v>175</v>
      </c>
      <c r="E98" s="106"/>
      <c r="F98" s="106"/>
      <c r="G98" s="106"/>
      <c r="H98" s="106"/>
      <c r="I98" s="106"/>
      <c r="J98" s="106"/>
      <c r="K98" s="106"/>
      <c r="L98" s="106"/>
      <c r="M98" s="106"/>
      <c r="N98" s="106"/>
      <c r="O98" s="106"/>
      <c r="P98" s="106"/>
      <c r="Q98" s="106"/>
      <c r="R98" s="106"/>
      <c r="S98" s="107"/>
    </row>
    <row r="99" spans="1:19" ht="128.25" customHeight="1" x14ac:dyDescent="0.15">
      <c r="B99" s="101"/>
      <c r="C99" s="31" t="s">
        <v>77</v>
      </c>
      <c r="D99" s="108" t="s">
        <v>176</v>
      </c>
      <c r="E99" s="109"/>
      <c r="F99" s="109"/>
      <c r="G99" s="109"/>
      <c r="H99" s="109"/>
      <c r="I99" s="109"/>
      <c r="J99" s="109"/>
      <c r="K99" s="109"/>
      <c r="L99" s="109"/>
      <c r="M99" s="109"/>
      <c r="N99" s="109"/>
      <c r="O99" s="109"/>
      <c r="P99" s="109"/>
      <c r="Q99" s="109"/>
      <c r="R99" s="109"/>
      <c r="S99" s="110"/>
    </row>
    <row r="100" spans="1:19" ht="6" customHeight="1" x14ac:dyDescent="0.15"/>
    <row r="101" spans="1:19" ht="18.75" customHeight="1" x14ac:dyDescent="0.15">
      <c r="A101" s="1" t="s">
        <v>121</v>
      </c>
    </row>
    <row r="102" spans="1:19" ht="99.75" customHeight="1" x14ac:dyDescent="0.15">
      <c r="B102" s="111" t="s">
        <v>133</v>
      </c>
      <c r="C102" s="112"/>
      <c r="D102" s="112"/>
      <c r="E102" s="112"/>
      <c r="F102" s="112"/>
      <c r="G102" s="112"/>
      <c r="H102" s="112"/>
      <c r="I102" s="112"/>
      <c r="J102" s="112"/>
      <c r="K102" s="112"/>
      <c r="L102" s="112"/>
      <c r="M102" s="112"/>
      <c r="N102" s="112"/>
      <c r="O102" s="112"/>
      <c r="P102" s="112"/>
      <c r="Q102" s="112"/>
      <c r="R102" s="112"/>
      <c r="S102" s="113"/>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P69:S75 Q25:S31 G25:I31 Q36:S42 G36:I42 Q47:S53 G47:I53 Q58:S64 G58:I64 F69:I75" xr:uid="{83C86630-CD71-4ACD-83C9-9DFB0C17490B}">
      <formula1>"○"</formula1>
    </dataValidation>
    <dataValidation type="list" allowBlank="1" showInputMessage="1" showErrorMessage="1" sqref="S32 S43 D32:G32 D43:G43" xr:uid="{F4CE1FFA-3419-4394-AD5D-1C05971D2175}">
      <formula1>"全学開講,一部開講"</formula1>
    </dataValidation>
    <dataValidation type="list" allowBlank="1" showInputMessage="1" showErrorMessage="1" sqref="K7 K12" xr:uid="{C7273B0C-C40E-4A15-8D07-846A831585AE}">
      <formula1>"学部・学科によって、修了要件は相違する,学部・学科によって、修了要件は相違しない"</formula1>
    </dataValidation>
    <dataValidation type="list" allowBlank="1" showInputMessage="1" showErrorMessage="1" sqref="F79:F86 P79:P86 G79:I80 G83:I86 Q83:S86 Q79:S80" xr:uid="{52A82233-FA28-4803-83B1-4F54D7C4A30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4384657A-02A1-4029-B34F-2AB422B55DDF}">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3" manualBreakCount="3">
    <brk id="65" max="16383" man="1"/>
    <brk id="92" max="16383" man="1"/>
    <brk id="99"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AP32" sqref="AP3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4"/>
      <c r="Q2" s="34"/>
      <c r="W2" s="34"/>
      <c r="AC2" s="34"/>
      <c r="AI2" s="34"/>
      <c r="AL2" s="34" t="s">
        <v>109</v>
      </c>
      <c r="AM2" s="181" t="e">
        <f>#REF!</f>
        <v>#REF!</v>
      </c>
      <c r="AN2" s="181"/>
      <c r="AO2" s="181"/>
      <c r="AP2" s="181"/>
      <c r="AQ2" s="181"/>
    </row>
    <row r="3" spans="1:45" ht="18" customHeight="1" x14ac:dyDescent="0.15">
      <c r="A3" s="168" t="s">
        <v>48</v>
      </c>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82">
        <v>2022</v>
      </c>
      <c r="D5" s="183"/>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84" t="s">
        <v>45</v>
      </c>
      <c r="C9" s="199" t="s">
        <v>87</v>
      </c>
      <c r="D9" s="187" t="s">
        <v>47</v>
      </c>
      <c r="E9" s="190" t="s">
        <v>40</v>
      </c>
      <c r="F9" s="180" t="s">
        <v>86</v>
      </c>
      <c r="G9" s="180"/>
      <c r="H9" s="180"/>
      <c r="I9" s="180"/>
      <c r="J9" s="180"/>
      <c r="K9" s="180"/>
      <c r="L9" s="180" t="s">
        <v>49</v>
      </c>
      <c r="M9" s="180"/>
      <c r="N9" s="180"/>
      <c r="O9" s="180"/>
      <c r="P9" s="180"/>
      <c r="Q9" s="180"/>
      <c r="R9" s="180" t="s">
        <v>50</v>
      </c>
      <c r="S9" s="180"/>
      <c r="T9" s="180"/>
      <c r="U9" s="180"/>
      <c r="V9" s="180"/>
      <c r="W9" s="180"/>
      <c r="X9" s="180" t="s">
        <v>101</v>
      </c>
      <c r="Y9" s="180"/>
      <c r="Z9" s="180"/>
      <c r="AA9" s="180"/>
      <c r="AB9" s="180"/>
      <c r="AC9" s="180"/>
      <c r="AD9" s="180" t="s">
        <v>51</v>
      </c>
      <c r="AE9" s="180"/>
      <c r="AF9" s="180"/>
      <c r="AG9" s="180"/>
      <c r="AH9" s="180"/>
      <c r="AI9" s="180"/>
      <c r="AJ9" s="180" t="s">
        <v>52</v>
      </c>
      <c r="AK9" s="180"/>
      <c r="AL9" s="180"/>
      <c r="AM9" s="180"/>
      <c r="AN9" s="180"/>
      <c r="AO9" s="180"/>
      <c r="AP9" s="193" t="s">
        <v>35</v>
      </c>
      <c r="AQ9" s="196" t="s">
        <v>32</v>
      </c>
      <c r="AS9" s="2"/>
    </row>
    <row r="10" spans="1:45" ht="16.899999999999999" customHeight="1" x14ac:dyDescent="0.15">
      <c r="B10" s="185"/>
      <c r="C10" s="200"/>
      <c r="D10" s="188"/>
      <c r="E10" s="191"/>
      <c r="F10" s="178" t="s">
        <v>97</v>
      </c>
      <c r="G10" s="179"/>
      <c r="H10" s="179"/>
      <c r="I10" s="178" t="s">
        <v>29</v>
      </c>
      <c r="J10" s="179"/>
      <c r="K10" s="179"/>
      <c r="L10" s="178" t="s">
        <v>97</v>
      </c>
      <c r="M10" s="179"/>
      <c r="N10" s="179"/>
      <c r="O10" s="178" t="s">
        <v>29</v>
      </c>
      <c r="P10" s="179"/>
      <c r="Q10" s="179"/>
      <c r="R10" s="178" t="s">
        <v>97</v>
      </c>
      <c r="S10" s="179"/>
      <c r="T10" s="179"/>
      <c r="U10" s="178" t="s">
        <v>29</v>
      </c>
      <c r="V10" s="179"/>
      <c r="W10" s="179"/>
      <c r="X10" s="178" t="s">
        <v>97</v>
      </c>
      <c r="Y10" s="179"/>
      <c r="Z10" s="179"/>
      <c r="AA10" s="178" t="s">
        <v>29</v>
      </c>
      <c r="AB10" s="179"/>
      <c r="AC10" s="179"/>
      <c r="AD10" s="178" t="s">
        <v>97</v>
      </c>
      <c r="AE10" s="179"/>
      <c r="AF10" s="179"/>
      <c r="AG10" s="178" t="s">
        <v>29</v>
      </c>
      <c r="AH10" s="179"/>
      <c r="AI10" s="179"/>
      <c r="AJ10" s="178" t="s">
        <v>97</v>
      </c>
      <c r="AK10" s="179"/>
      <c r="AL10" s="179"/>
      <c r="AM10" s="178" t="s">
        <v>29</v>
      </c>
      <c r="AN10" s="179"/>
      <c r="AO10" s="179"/>
      <c r="AP10" s="194"/>
      <c r="AQ10" s="197"/>
      <c r="AS10" s="2"/>
    </row>
    <row r="11" spans="1:45" ht="18" customHeight="1" x14ac:dyDescent="0.15">
      <c r="B11" s="186"/>
      <c r="C11" s="201"/>
      <c r="D11" s="189"/>
      <c r="E11" s="192"/>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95"/>
      <c r="AQ11" s="198"/>
      <c r="AS11" s="2"/>
    </row>
    <row r="12" spans="1:45" ht="18" customHeight="1" x14ac:dyDescent="0.15">
      <c r="A12" s="6"/>
      <c r="B12" s="11" t="s">
        <v>134</v>
      </c>
      <c r="C12" s="51">
        <v>3497</v>
      </c>
      <c r="D12" s="94">
        <v>943</v>
      </c>
      <c r="E12" s="95">
        <v>3422</v>
      </c>
      <c r="F12" s="53">
        <f>G12+H12</f>
        <v>912</v>
      </c>
      <c r="G12" s="54">
        <v>514</v>
      </c>
      <c r="H12" s="55">
        <v>398</v>
      </c>
      <c r="I12" s="53">
        <f>J12+K12</f>
        <v>827</v>
      </c>
      <c r="J12" s="54">
        <v>458</v>
      </c>
      <c r="K12" s="55">
        <v>369</v>
      </c>
      <c r="L12" s="53">
        <f>M12+N12</f>
        <v>0</v>
      </c>
      <c r="M12" s="54"/>
      <c r="N12" s="55"/>
      <c r="O12" s="53">
        <f>P12+Q12</f>
        <v>0</v>
      </c>
      <c r="P12" s="54"/>
      <c r="Q12" s="55"/>
      <c r="R12" s="53">
        <f>S12+T12</f>
        <v>0</v>
      </c>
      <c r="S12" s="54"/>
      <c r="T12" s="55"/>
      <c r="U12" s="53">
        <f>V12+W12</f>
        <v>0</v>
      </c>
      <c r="V12" s="54"/>
      <c r="W12" s="55"/>
      <c r="X12" s="53">
        <f>Y12+Z12</f>
        <v>0</v>
      </c>
      <c r="Y12" s="54"/>
      <c r="Z12" s="55"/>
      <c r="AA12" s="53">
        <f>AB12+AC12</f>
        <v>0</v>
      </c>
      <c r="AB12" s="54"/>
      <c r="AC12" s="55"/>
      <c r="AD12" s="53">
        <f>AE12+AF12</f>
        <v>0</v>
      </c>
      <c r="AE12" s="54"/>
      <c r="AF12" s="55"/>
      <c r="AG12" s="53">
        <f>AH12+AI12</f>
        <v>0</v>
      </c>
      <c r="AH12" s="54"/>
      <c r="AI12" s="55"/>
      <c r="AJ12" s="53">
        <f>AK12+AL12</f>
        <v>0</v>
      </c>
      <c r="AK12" s="54"/>
      <c r="AL12" s="55"/>
      <c r="AM12" s="53">
        <f>AN12+AO12</f>
        <v>0</v>
      </c>
      <c r="AN12" s="54"/>
      <c r="AO12" s="55"/>
      <c r="AP12" s="52">
        <f>F12+L12+R12+X12+AD12+AJ12</f>
        <v>912</v>
      </c>
      <c r="AQ12" s="75">
        <f t="shared" ref="AQ12:AQ32" si="0">AP12/E12</f>
        <v>0.26651081239041496</v>
      </c>
    </row>
    <row r="13" spans="1:45" ht="18" customHeight="1" x14ac:dyDescent="0.15">
      <c r="A13" s="6"/>
      <c r="B13" s="12" t="s">
        <v>135</v>
      </c>
      <c r="C13" s="56">
        <v>2278</v>
      </c>
      <c r="D13" s="96">
        <v>593</v>
      </c>
      <c r="E13" s="97">
        <v>2377</v>
      </c>
      <c r="F13" s="59">
        <f t="shared" ref="F13:F31" si="1">G13+H13</f>
        <v>615</v>
      </c>
      <c r="G13" s="60">
        <v>325</v>
      </c>
      <c r="H13" s="61">
        <v>290</v>
      </c>
      <c r="I13" s="59">
        <f t="shared" ref="I13:I31" si="2">J13+K13</f>
        <v>579</v>
      </c>
      <c r="J13" s="60">
        <v>306</v>
      </c>
      <c r="K13" s="61">
        <v>273</v>
      </c>
      <c r="L13" s="59">
        <f t="shared" ref="L13:L31" si="3">M13+N13</f>
        <v>0</v>
      </c>
      <c r="M13" s="60"/>
      <c r="N13" s="61"/>
      <c r="O13" s="59">
        <f t="shared" ref="O13:O31" si="4">P13+Q13</f>
        <v>0</v>
      </c>
      <c r="P13" s="60"/>
      <c r="Q13" s="61"/>
      <c r="R13" s="59">
        <f t="shared" ref="R13:R31" si="5">S13+T13</f>
        <v>0</v>
      </c>
      <c r="S13" s="60"/>
      <c r="T13" s="61"/>
      <c r="U13" s="59">
        <f t="shared" ref="U13:U31" si="6">V13+W13</f>
        <v>0</v>
      </c>
      <c r="V13" s="60"/>
      <c r="W13" s="61"/>
      <c r="X13" s="59">
        <f t="shared" ref="X13:X31" si="7">Y13+Z13</f>
        <v>0</v>
      </c>
      <c r="Y13" s="60"/>
      <c r="Z13" s="61"/>
      <c r="AA13" s="59">
        <f t="shared" ref="AA13:AA31" si="8">AB13+AC13</f>
        <v>0</v>
      </c>
      <c r="AB13" s="60"/>
      <c r="AC13" s="61"/>
      <c r="AD13" s="59">
        <f t="shared" ref="AD13:AD31" si="9">AE13+AF13</f>
        <v>0</v>
      </c>
      <c r="AE13" s="60"/>
      <c r="AF13" s="61"/>
      <c r="AG13" s="59">
        <f t="shared" ref="AG13:AG31" si="10">AH13+AI13</f>
        <v>0</v>
      </c>
      <c r="AH13" s="60"/>
      <c r="AI13" s="61"/>
      <c r="AJ13" s="59">
        <f t="shared" ref="AJ13:AJ31" si="11">AK13+AL13</f>
        <v>0</v>
      </c>
      <c r="AK13" s="60"/>
      <c r="AL13" s="61"/>
      <c r="AM13" s="59">
        <f t="shared" ref="AM13:AM31" si="12">AN13+AO13</f>
        <v>0</v>
      </c>
      <c r="AN13" s="60"/>
      <c r="AO13" s="61"/>
      <c r="AP13" s="57">
        <f t="shared" ref="AP13:AP31" si="13">F13+L13+R13+X13+AD13+AJ13</f>
        <v>615</v>
      </c>
      <c r="AQ13" s="20">
        <f t="shared" si="0"/>
        <v>0.25872949095498526</v>
      </c>
    </row>
    <row r="14" spans="1:45" ht="18" customHeight="1" x14ac:dyDescent="0.15">
      <c r="A14" s="6"/>
      <c r="B14" s="12" t="s">
        <v>136</v>
      </c>
      <c r="C14" s="56">
        <v>1302</v>
      </c>
      <c r="D14" s="96">
        <v>337</v>
      </c>
      <c r="E14" s="97">
        <v>1352</v>
      </c>
      <c r="F14" s="59">
        <f t="shared" si="1"/>
        <v>350</v>
      </c>
      <c r="G14" s="60">
        <v>188</v>
      </c>
      <c r="H14" s="61">
        <v>162</v>
      </c>
      <c r="I14" s="59">
        <f t="shared" si="2"/>
        <v>340</v>
      </c>
      <c r="J14" s="60">
        <v>179</v>
      </c>
      <c r="K14" s="61">
        <v>161</v>
      </c>
      <c r="L14" s="59">
        <f t="shared" si="3"/>
        <v>0</v>
      </c>
      <c r="M14" s="60"/>
      <c r="N14" s="61"/>
      <c r="O14" s="59">
        <f t="shared" si="4"/>
        <v>0</v>
      </c>
      <c r="P14" s="60"/>
      <c r="Q14" s="61"/>
      <c r="R14" s="59">
        <f t="shared" si="5"/>
        <v>0</v>
      </c>
      <c r="S14" s="60"/>
      <c r="T14" s="61"/>
      <c r="U14" s="59">
        <f t="shared" si="6"/>
        <v>0</v>
      </c>
      <c r="V14" s="60"/>
      <c r="W14" s="61"/>
      <c r="X14" s="59">
        <f t="shared" si="7"/>
        <v>0</v>
      </c>
      <c r="Y14" s="60"/>
      <c r="Z14" s="61"/>
      <c r="AA14" s="59">
        <f t="shared" si="8"/>
        <v>0</v>
      </c>
      <c r="AB14" s="60"/>
      <c r="AC14" s="61"/>
      <c r="AD14" s="59">
        <f t="shared" si="9"/>
        <v>0</v>
      </c>
      <c r="AE14" s="60"/>
      <c r="AF14" s="61"/>
      <c r="AG14" s="59">
        <f t="shared" si="10"/>
        <v>0</v>
      </c>
      <c r="AH14" s="60"/>
      <c r="AI14" s="61"/>
      <c r="AJ14" s="59">
        <f t="shared" si="11"/>
        <v>0</v>
      </c>
      <c r="AK14" s="60"/>
      <c r="AL14" s="61"/>
      <c r="AM14" s="59">
        <f t="shared" si="12"/>
        <v>0</v>
      </c>
      <c r="AN14" s="60"/>
      <c r="AO14" s="61"/>
      <c r="AP14" s="57">
        <f t="shared" si="13"/>
        <v>350</v>
      </c>
      <c r="AQ14" s="8">
        <f t="shared" si="0"/>
        <v>0.2588757396449704</v>
      </c>
    </row>
    <row r="15" spans="1:45" ht="18" customHeight="1" x14ac:dyDescent="0.15">
      <c r="A15" s="6"/>
      <c r="B15" s="12" t="s">
        <v>137</v>
      </c>
      <c r="C15" s="56">
        <v>1256</v>
      </c>
      <c r="D15" s="96">
        <v>200</v>
      </c>
      <c r="E15" s="97">
        <v>1402</v>
      </c>
      <c r="F15" s="59">
        <f t="shared" si="1"/>
        <v>204</v>
      </c>
      <c r="G15" s="60">
        <v>93</v>
      </c>
      <c r="H15" s="61">
        <v>111</v>
      </c>
      <c r="I15" s="59">
        <f t="shared" si="2"/>
        <v>200</v>
      </c>
      <c r="J15" s="60">
        <v>90</v>
      </c>
      <c r="K15" s="61">
        <v>110</v>
      </c>
      <c r="L15" s="59">
        <f t="shared" si="3"/>
        <v>0</v>
      </c>
      <c r="M15" s="60"/>
      <c r="N15" s="61"/>
      <c r="O15" s="59">
        <f t="shared" si="4"/>
        <v>0</v>
      </c>
      <c r="P15" s="60"/>
      <c r="Q15" s="61"/>
      <c r="R15" s="59">
        <f t="shared" si="5"/>
        <v>0</v>
      </c>
      <c r="S15" s="60"/>
      <c r="T15" s="61"/>
      <c r="U15" s="59">
        <f t="shared" si="6"/>
        <v>0</v>
      </c>
      <c r="V15" s="60"/>
      <c r="W15" s="61"/>
      <c r="X15" s="59">
        <f t="shared" si="7"/>
        <v>0</v>
      </c>
      <c r="Y15" s="60"/>
      <c r="Z15" s="61"/>
      <c r="AA15" s="59">
        <f t="shared" si="8"/>
        <v>0</v>
      </c>
      <c r="AB15" s="60"/>
      <c r="AC15" s="61"/>
      <c r="AD15" s="59">
        <f t="shared" si="9"/>
        <v>0</v>
      </c>
      <c r="AE15" s="60"/>
      <c r="AF15" s="61"/>
      <c r="AG15" s="59">
        <f t="shared" si="10"/>
        <v>0</v>
      </c>
      <c r="AH15" s="60"/>
      <c r="AI15" s="61"/>
      <c r="AJ15" s="59">
        <f t="shared" si="11"/>
        <v>0</v>
      </c>
      <c r="AK15" s="60"/>
      <c r="AL15" s="61"/>
      <c r="AM15" s="59">
        <f t="shared" si="12"/>
        <v>0</v>
      </c>
      <c r="AN15" s="60"/>
      <c r="AO15" s="61"/>
      <c r="AP15" s="57">
        <f t="shared" si="13"/>
        <v>204</v>
      </c>
      <c r="AQ15" s="8">
        <f t="shared" si="0"/>
        <v>0.14550641940085593</v>
      </c>
    </row>
    <row r="16" spans="1:45" ht="18" customHeight="1" x14ac:dyDescent="0.15">
      <c r="A16" s="6"/>
      <c r="B16" s="12" t="s">
        <v>138</v>
      </c>
      <c r="C16" s="56">
        <v>1938</v>
      </c>
      <c r="D16" s="96">
        <v>585</v>
      </c>
      <c r="E16" s="97">
        <v>2100</v>
      </c>
      <c r="F16" s="59">
        <f t="shared" si="1"/>
        <v>562</v>
      </c>
      <c r="G16" s="60">
        <v>343</v>
      </c>
      <c r="H16" s="61">
        <v>219</v>
      </c>
      <c r="I16" s="59">
        <f t="shared" si="2"/>
        <v>510</v>
      </c>
      <c r="J16" s="60">
        <v>303</v>
      </c>
      <c r="K16" s="61">
        <v>207</v>
      </c>
      <c r="L16" s="59">
        <f t="shared" si="3"/>
        <v>0</v>
      </c>
      <c r="M16" s="60"/>
      <c r="N16" s="61"/>
      <c r="O16" s="59">
        <f t="shared" si="4"/>
        <v>0</v>
      </c>
      <c r="P16" s="60"/>
      <c r="Q16" s="61"/>
      <c r="R16" s="59">
        <f t="shared" si="5"/>
        <v>0</v>
      </c>
      <c r="S16" s="60"/>
      <c r="T16" s="61"/>
      <c r="U16" s="59">
        <f t="shared" si="6"/>
        <v>0</v>
      </c>
      <c r="V16" s="60"/>
      <c r="W16" s="61"/>
      <c r="X16" s="59">
        <f t="shared" si="7"/>
        <v>0</v>
      </c>
      <c r="Y16" s="60"/>
      <c r="Z16" s="61"/>
      <c r="AA16" s="59">
        <f t="shared" si="8"/>
        <v>0</v>
      </c>
      <c r="AB16" s="60"/>
      <c r="AC16" s="61"/>
      <c r="AD16" s="59">
        <f t="shared" si="9"/>
        <v>0</v>
      </c>
      <c r="AE16" s="60"/>
      <c r="AF16" s="61"/>
      <c r="AG16" s="59">
        <f t="shared" si="10"/>
        <v>0</v>
      </c>
      <c r="AH16" s="60"/>
      <c r="AI16" s="61"/>
      <c r="AJ16" s="59">
        <f t="shared" si="11"/>
        <v>0</v>
      </c>
      <c r="AK16" s="60"/>
      <c r="AL16" s="61"/>
      <c r="AM16" s="59">
        <f t="shared" si="12"/>
        <v>0</v>
      </c>
      <c r="AN16" s="60"/>
      <c r="AO16" s="61"/>
      <c r="AP16" s="57">
        <f t="shared" si="13"/>
        <v>562</v>
      </c>
      <c r="AQ16" s="8">
        <f t="shared" si="0"/>
        <v>0.26761904761904765</v>
      </c>
    </row>
    <row r="17" spans="1:43" ht="18" customHeight="1" x14ac:dyDescent="0.15">
      <c r="A17" s="6"/>
      <c r="B17" s="12" t="s">
        <v>149</v>
      </c>
      <c r="C17" s="56">
        <v>241</v>
      </c>
      <c r="D17" s="96">
        <v>220</v>
      </c>
      <c r="E17" s="97">
        <v>1000</v>
      </c>
      <c r="F17" s="59">
        <f t="shared" si="1"/>
        <v>13</v>
      </c>
      <c r="G17" s="60">
        <v>7</v>
      </c>
      <c r="H17" s="61">
        <v>6</v>
      </c>
      <c r="I17" s="59">
        <f t="shared" si="2"/>
        <v>12</v>
      </c>
      <c r="J17" s="60">
        <v>6</v>
      </c>
      <c r="K17" s="61">
        <v>6</v>
      </c>
      <c r="L17" s="59">
        <f t="shared" si="3"/>
        <v>0</v>
      </c>
      <c r="M17" s="60"/>
      <c r="N17" s="61"/>
      <c r="O17" s="59">
        <f t="shared" si="4"/>
        <v>0</v>
      </c>
      <c r="P17" s="60"/>
      <c r="Q17" s="61"/>
      <c r="R17" s="59">
        <f t="shared" si="5"/>
        <v>0</v>
      </c>
      <c r="S17" s="60"/>
      <c r="T17" s="61"/>
      <c r="U17" s="59">
        <f t="shared" si="6"/>
        <v>0</v>
      </c>
      <c r="V17" s="60"/>
      <c r="W17" s="61"/>
      <c r="X17" s="59">
        <f t="shared" si="7"/>
        <v>0</v>
      </c>
      <c r="Y17" s="60"/>
      <c r="Z17" s="61"/>
      <c r="AA17" s="59">
        <f t="shared" si="8"/>
        <v>0</v>
      </c>
      <c r="AB17" s="60"/>
      <c r="AC17" s="61"/>
      <c r="AD17" s="59">
        <f t="shared" si="9"/>
        <v>0</v>
      </c>
      <c r="AE17" s="60"/>
      <c r="AF17" s="61"/>
      <c r="AG17" s="59">
        <f t="shared" si="10"/>
        <v>0</v>
      </c>
      <c r="AH17" s="60"/>
      <c r="AI17" s="61"/>
      <c r="AJ17" s="59">
        <f t="shared" si="11"/>
        <v>0</v>
      </c>
      <c r="AK17" s="60"/>
      <c r="AL17" s="61"/>
      <c r="AM17" s="59">
        <f t="shared" si="12"/>
        <v>0</v>
      </c>
      <c r="AN17" s="60"/>
      <c r="AO17" s="61"/>
      <c r="AP17" s="57">
        <f t="shared" si="13"/>
        <v>13</v>
      </c>
      <c r="AQ17" s="8">
        <f t="shared" si="0"/>
        <v>1.2999999999999999E-2</v>
      </c>
    </row>
    <row r="18" spans="1:43" ht="18" customHeight="1" x14ac:dyDescent="0.15">
      <c r="A18" s="6"/>
      <c r="B18" s="12"/>
      <c r="C18" s="56"/>
      <c r="D18" s="57"/>
      <c r="E18" s="58"/>
      <c r="F18" s="59">
        <f t="shared" si="1"/>
        <v>0</v>
      </c>
      <c r="G18" s="60"/>
      <c r="H18" s="61"/>
      <c r="I18" s="59">
        <f t="shared" si="2"/>
        <v>0</v>
      </c>
      <c r="J18" s="60"/>
      <c r="K18" s="61"/>
      <c r="L18" s="59">
        <f t="shared" si="3"/>
        <v>0</v>
      </c>
      <c r="M18" s="60"/>
      <c r="N18" s="61"/>
      <c r="O18" s="59">
        <f t="shared" si="4"/>
        <v>0</v>
      </c>
      <c r="P18" s="60"/>
      <c r="Q18" s="61"/>
      <c r="R18" s="59">
        <f t="shared" si="5"/>
        <v>0</v>
      </c>
      <c r="S18" s="60"/>
      <c r="T18" s="61"/>
      <c r="U18" s="59">
        <f t="shared" si="6"/>
        <v>0</v>
      </c>
      <c r="V18" s="60"/>
      <c r="W18" s="61"/>
      <c r="X18" s="59">
        <f t="shared" si="7"/>
        <v>0</v>
      </c>
      <c r="Y18" s="60"/>
      <c r="Z18" s="61"/>
      <c r="AA18" s="59">
        <f t="shared" si="8"/>
        <v>0</v>
      </c>
      <c r="AB18" s="60"/>
      <c r="AC18" s="61"/>
      <c r="AD18" s="59">
        <f t="shared" si="9"/>
        <v>0</v>
      </c>
      <c r="AE18" s="60"/>
      <c r="AF18" s="61"/>
      <c r="AG18" s="59">
        <f t="shared" si="10"/>
        <v>0</v>
      </c>
      <c r="AH18" s="60"/>
      <c r="AI18" s="61"/>
      <c r="AJ18" s="59">
        <f t="shared" si="11"/>
        <v>0</v>
      </c>
      <c r="AK18" s="60"/>
      <c r="AL18" s="61"/>
      <c r="AM18" s="59">
        <f t="shared" si="12"/>
        <v>0</v>
      </c>
      <c r="AN18" s="60"/>
      <c r="AO18" s="61"/>
      <c r="AP18" s="57">
        <f t="shared" si="13"/>
        <v>0</v>
      </c>
      <c r="AQ18" s="8" t="e">
        <f t="shared" si="0"/>
        <v>#DIV/0!</v>
      </c>
    </row>
    <row r="19" spans="1:43" ht="18" customHeight="1" x14ac:dyDescent="0.15">
      <c r="A19" s="6"/>
      <c r="B19" s="12"/>
      <c r="C19" s="56"/>
      <c r="D19" s="57"/>
      <c r="E19" s="58"/>
      <c r="F19" s="59">
        <f t="shared" si="1"/>
        <v>0</v>
      </c>
      <c r="G19" s="60"/>
      <c r="H19" s="61"/>
      <c r="I19" s="59">
        <f t="shared" si="2"/>
        <v>0</v>
      </c>
      <c r="J19" s="60"/>
      <c r="K19" s="61"/>
      <c r="L19" s="59">
        <f t="shared" si="3"/>
        <v>0</v>
      </c>
      <c r="M19" s="60"/>
      <c r="N19" s="61"/>
      <c r="O19" s="59">
        <f t="shared" si="4"/>
        <v>0</v>
      </c>
      <c r="P19" s="60"/>
      <c r="Q19" s="61"/>
      <c r="R19" s="59">
        <f t="shared" si="5"/>
        <v>0</v>
      </c>
      <c r="S19" s="60"/>
      <c r="T19" s="61"/>
      <c r="U19" s="59">
        <f t="shared" si="6"/>
        <v>0</v>
      </c>
      <c r="V19" s="60"/>
      <c r="W19" s="61"/>
      <c r="X19" s="59">
        <f t="shared" si="7"/>
        <v>0</v>
      </c>
      <c r="Y19" s="60"/>
      <c r="Z19" s="61"/>
      <c r="AA19" s="59">
        <f t="shared" si="8"/>
        <v>0</v>
      </c>
      <c r="AB19" s="60"/>
      <c r="AC19" s="61"/>
      <c r="AD19" s="59">
        <f t="shared" si="9"/>
        <v>0</v>
      </c>
      <c r="AE19" s="60"/>
      <c r="AF19" s="61"/>
      <c r="AG19" s="59">
        <f t="shared" si="10"/>
        <v>0</v>
      </c>
      <c r="AH19" s="60"/>
      <c r="AI19" s="61"/>
      <c r="AJ19" s="59">
        <f t="shared" si="11"/>
        <v>0</v>
      </c>
      <c r="AK19" s="60"/>
      <c r="AL19" s="61"/>
      <c r="AM19" s="59">
        <f t="shared" si="12"/>
        <v>0</v>
      </c>
      <c r="AN19" s="60"/>
      <c r="AO19" s="61"/>
      <c r="AP19" s="57">
        <f t="shared" si="13"/>
        <v>0</v>
      </c>
      <c r="AQ19" s="8" t="e">
        <f t="shared" si="0"/>
        <v>#DIV/0!</v>
      </c>
    </row>
    <row r="20" spans="1:43" ht="18" customHeight="1" x14ac:dyDescent="0.15">
      <c r="A20" s="6"/>
      <c r="B20" s="12"/>
      <c r="C20" s="56"/>
      <c r="D20" s="57"/>
      <c r="E20" s="58"/>
      <c r="F20" s="59">
        <f t="shared" si="1"/>
        <v>0</v>
      </c>
      <c r="G20" s="60"/>
      <c r="H20" s="61"/>
      <c r="I20" s="59">
        <f t="shared" si="2"/>
        <v>0</v>
      </c>
      <c r="J20" s="60"/>
      <c r="K20" s="61"/>
      <c r="L20" s="59">
        <f t="shared" si="3"/>
        <v>0</v>
      </c>
      <c r="M20" s="60"/>
      <c r="N20" s="61"/>
      <c r="O20" s="59">
        <f t="shared" si="4"/>
        <v>0</v>
      </c>
      <c r="P20" s="60"/>
      <c r="Q20" s="61"/>
      <c r="R20" s="59">
        <f t="shared" si="5"/>
        <v>0</v>
      </c>
      <c r="S20" s="60"/>
      <c r="T20" s="61"/>
      <c r="U20" s="59">
        <f t="shared" si="6"/>
        <v>0</v>
      </c>
      <c r="V20" s="60"/>
      <c r="W20" s="61"/>
      <c r="X20" s="59">
        <f t="shared" si="7"/>
        <v>0</v>
      </c>
      <c r="Y20" s="60"/>
      <c r="Z20" s="61"/>
      <c r="AA20" s="59">
        <f t="shared" si="8"/>
        <v>0</v>
      </c>
      <c r="AB20" s="60"/>
      <c r="AC20" s="61"/>
      <c r="AD20" s="59">
        <f t="shared" si="9"/>
        <v>0</v>
      </c>
      <c r="AE20" s="60"/>
      <c r="AF20" s="61"/>
      <c r="AG20" s="59">
        <f t="shared" si="10"/>
        <v>0</v>
      </c>
      <c r="AH20" s="60"/>
      <c r="AI20" s="61"/>
      <c r="AJ20" s="59">
        <f t="shared" si="11"/>
        <v>0</v>
      </c>
      <c r="AK20" s="60"/>
      <c r="AL20" s="61"/>
      <c r="AM20" s="59">
        <f t="shared" si="12"/>
        <v>0</v>
      </c>
      <c r="AN20" s="60"/>
      <c r="AO20" s="61"/>
      <c r="AP20" s="57">
        <f t="shared" si="13"/>
        <v>0</v>
      </c>
      <c r="AQ20" s="8" t="e">
        <f t="shared" si="0"/>
        <v>#DIV/0!</v>
      </c>
    </row>
    <row r="21" spans="1:43" ht="18" customHeight="1" x14ac:dyDescent="0.15">
      <c r="A21" s="6"/>
      <c r="B21" s="12"/>
      <c r="C21" s="56"/>
      <c r="D21" s="57"/>
      <c r="E21" s="58"/>
      <c r="F21" s="59">
        <f t="shared" si="1"/>
        <v>0</v>
      </c>
      <c r="G21" s="60"/>
      <c r="H21" s="61"/>
      <c r="I21" s="59">
        <f t="shared" si="2"/>
        <v>0</v>
      </c>
      <c r="J21" s="60"/>
      <c r="K21" s="61"/>
      <c r="L21" s="59">
        <f t="shared" si="3"/>
        <v>0</v>
      </c>
      <c r="M21" s="60"/>
      <c r="N21" s="61"/>
      <c r="O21" s="59">
        <f t="shared" si="4"/>
        <v>0</v>
      </c>
      <c r="P21" s="60"/>
      <c r="Q21" s="61"/>
      <c r="R21" s="59">
        <f t="shared" si="5"/>
        <v>0</v>
      </c>
      <c r="S21" s="60"/>
      <c r="T21" s="61"/>
      <c r="U21" s="59">
        <f t="shared" si="6"/>
        <v>0</v>
      </c>
      <c r="V21" s="60"/>
      <c r="W21" s="61"/>
      <c r="X21" s="59">
        <f t="shared" si="7"/>
        <v>0</v>
      </c>
      <c r="Y21" s="60"/>
      <c r="Z21" s="61"/>
      <c r="AA21" s="59">
        <f t="shared" si="8"/>
        <v>0</v>
      </c>
      <c r="AB21" s="60"/>
      <c r="AC21" s="61"/>
      <c r="AD21" s="59">
        <f t="shared" si="9"/>
        <v>0</v>
      </c>
      <c r="AE21" s="60"/>
      <c r="AF21" s="61"/>
      <c r="AG21" s="59">
        <f t="shared" si="10"/>
        <v>0</v>
      </c>
      <c r="AH21" s="60"/>
      <c r="AI21" s="61"/>
      <c r="AJ21" s="59">
        <f t="shared" si="11"/>
        <v>0</v>
      </c>
      <c r="AK21" s="60"/>
      <c r="AL21" s="61"/>
      <c r="AM21" s="59">
        <f t="shared" si="12"/>
        <v>0</v>
      </c>
      <c r="AN21" s="60"/>
      <c r="AO21" s="61"/>
      <c r="AP21" s="57">
        <f t="shared" si="13"/>
        <v>0</v>
      </c>
      <c r="AQ21" s="8" t="e">
        <f t="shared" si="0"/>
        <v>#DIV/0!</v>
      </c>
    </row>
    <row r="22" spans="1:43" ht="18" customHeight="1" x14ac:dyDescent="0.15">
      <c r="A22" s="6"/>
      <c r="B22" s="12"/>
      <c r="C22" s="56"/>
      <c r="D22" s="57"/>
      <c r="E22" s="58"/>
      <c r="F22" s="59">
        <f t="shared" si="1"/>
        <v>0</v>
      </c>
      <c r="G22" s="60"/>
      <c r="H22" s="61"/>
      <c r="I22" s="59">
        <f t="shared" si="2"/>
        <v>0</v>
      </c>
      <c r="J22" s="60"/>
      <c r="K22" s="61"/>
      <c r="L22" s="59">
        <f t="shared" si="3"/>
        <v>0</v>
      </c>
      <c r="M22" s="60"/>
      <c r="N22" s="61"/>
      <c r="O22" s="59">
        <f t="shared" si="4"/>
        <v>0</v>
      </c>
      <c r="P22" s="60"/>
      <c r="Q22" s="61"/>
      <c r="R22" s="59">
        <f t="shared" si="5"/>
        <v>0</v>
      </c>
      <c r="S22" s="60"/>
      <c r="T22" s="61"/>
      <c r="U22" s="59">
        <f t="shared" si="6"/>
        <v>0</v>
      </c>
      <c r="V22" s="60"/>
      <c r="W22" s="61"/>
      <c r="X22" s="59">
        <f t="shared" si="7"/>
        <v>0</v>
      </c>
      <c r="Y22" s="60"/>
      <c r="Z22" s="61"/>
      <c r="AA22" s="59">
        <f t="shared" si="8"/>
        <v>0</v>
      </c>
      <c r="AB22" s="60"/>
      <c r="AC22" s="61"/>
      <c r="AD22" s="59">
        <f t="shared" si="9"/>
        <v>0</v>
      </c>
      <c r="AE22" s="60"/>
      <c r="AF22" s="61"/>
      <c r="AG22" s="59">
        <f t="shared" si="10"/>
        <v>0</v>
      </c>
      <c r="AH22" s="60"/>
      <c r="AI22" s="61"/>
      <c r="AJ22" s="59">
        <f t="shared" si="11"/>
        <v>0</v>
      </c>
      <c r="AK22" s="60"/>
      <c r="AL22" s="61"/>
      <c r="AM22" s="59">
        <f t="shared" si="12"/>
        <v>0</v>
      </c>
      <c r="AN22" s="60"/>
      <c r="AO22" s="61"/>
      <c r="AP22" s="57">
        <f t="shared" si="13"/>
        <v>0</v>
      </c>
      <c r="AQ22" s="8" t="e">
        <f t="shared" si="0"/>
        <v>#DIV/0!</v>
      </c>
    </row>
    <row r="23" spans="1:43" ht="18" customHeight="1" x14ac:dyDescent="0.15">
      <c r="A23" s="6"/>
      <c r="B23" s="12"/>
      <c r="C23" s="56"/>
      <c r="D23" s="57"/>
      <c r="E23" s="58"/>
      <c r="F23" s="59">
        <f t="shared" si="1"/>
        <v>0</v>
      </c>
      <c r="G23" s="60"/>
      <c r="H23" s="61"/>
      <c r="I23" s="59">
        <f t="shared" si="2"/>
        <v>0</v>
      </c>
      <c r="J23" s="60"/>
      <c r="K23" s="61"/>
      <c r="L23" s="59">
        <f t="shared" si="3"/>
        <v>0</v>
      </c>
      <c r="M23" s="60"/>
      <c r="N23" s="61"/>
      <c r="O23" s="59">
        <f t="shared" si="4"/>
        <v>0</v>
      </c>
      <c r="P23" s="60"/>
      <c r="Q23" s="61"/>
      <c r="R23" s="59">
        <f t="shared" si="5"/>
        <v>0</v>
      </c>
      <c r="S23" s="60"/>
      <c r="T23" s="61"/>
      <c r="U23" s="59">
        <f t="shared" si="6"/>
        <v>0</v>
      </c>
      <c r="V23" s="60"/>
      <c r="W23" s="61"/>
      <c r="X23" s="59">
        <f t="shared" si="7"/>
        <v>0</v>
      </c>
      <c r="Y23" s="60"/>
      <c r="Z23" s="61"/>
      <c r="AA23" s="59">
        <f t="shared" si="8"/>
        <v>0</v>
      </c>
      <c r="AB23" s="60"/>
      <c r="AC23" s="61"/>
      <c r="AD23" s="59">
        <f t="shared" si="9"/>
        <v>0</v>
      </c>
      <c r="AE23" s="60"/>
      <c r="AF23" s="61"/>
      <c r="AG23" s="59">
        <f t="shared" si="10"/>
        <v>0</v>
      </c>
      <c r="AH23" s="60"/>
      <c r="AI23" s="61"/>
      <c r="AJ23" s="59">
        <f t="shared" si="11"/>
        <v>0</v>
      </c>
      <c r="AK23" s="60"/>
      <c r="AL23" s="61"/>
      <c r="AM23" s="59">
        <f t="shared" si="12"/>
        <v>0</v>
      </c>
      <c r="AN23" s="60"/>
      <c r="AO23" s="61"/>
      <c r="AP23" s="57">
        <f t="shared" si="13"/>
        <v>0</v>
      </c>
      <c r="AQ23" s="8" t="e">
        <f t="shared" si="0"/>
        <v>#DIV/0!</v>
      </c>
    </row>
    <row r="24" spans="1:43" ht="18" customHeight="1" x14ac:dyDescent="0.15">
      <c r="A24" s="6"/>
      <c r="B24" s="12"/>
      <c r="C24" s="56"/>
      <c r="D24" s="57"/>
      <c r="E24" s="58"/>
      <c r="F24" s="59">
        <f t="shared" si="1"/>
        <v>0</v>
      </c>
      <c r="G24" s="60"/>
      <c r="H24" s="61"/>
      <c r="I24" s="59">
        <f t="shared" si="2"/>
        <v>0</v>
      </c>
      <c r="J24" s="60"/>
      <c r="K24" s="61"/>
      <c r="L24" s="59">
        <f t="shared" si="3"/>
        <v>0</v>
      </c>
      <c r="M24" s="60"/>
      <c r="N24" s="61"/>
      <c r="O24" s="59">
        <f t="shared" si="4"/>
        <v>0</v>
      </c>
      <c r="P24" s="60"/>
      <c r="Q24" s="61"/>
      <c r="R24" s="59">
        <f t="shared" si="5"/>
        <v>0</v>
      </c>
      <c r="S24" s="60"/>
      <c r="T24" s="61"/>
      <c r="U24" s="59">
        <f t="shared" si="6"/>
        <v>0</v>
      </c>
      <c r="V24" s="60"/>
      <c r="W24" s="61"/>
      <c r="X24" s="59">
        <f t="shared" si="7"/>
        <v>0</v>
      </c>
      <c r="Y24" s="60"/>
      <c r="Z24" s="61"/>
      <c r="AA24" s="59">
        <f t="shared" si="8"/>
        <v>0</v>
      </c>
      <c r="AB24" s="60"/>
      <c r="AC24" s="61"/>
      <c r="AD24" s="59">
        <f t="shared" si="9"/>
        <v>0</v>
      </c>
      <c r="AE24" s="60"/>
      <c r="AF24" s="61"/>
      <c r="AG24" s="59">
        <f t="shared" si="10"/>
        <v>0</v>
      </c>
      <c r="AH24" s="60"/>
      <c r="AI24" s="61"/>
      <c r="AJ24" s="59">
        <f t="shared" si="11"/>
        <v>0</v>
      </c>
      <c r="AK24" s="60"/>
      <c r="AL24" s="61"/>
      <c r="AM24" s="59">
        <f t="shared" si="12"/>
        <v>0</v>
      </c>
      <c r="AN24" s="60"/>
      <c r="AO24" s="61"/>
      <c r="AP24" s="57">
        <f t="shared" si="13"/>
        <v>0</v>
      </c>
      <c r="AQ24" s="8" t="e">
        <f t="shared" si="0"/>
        <v>#DIV/0!</v>
      </c>
    </row>
    <row r="25" spans="1:43" ht="18" customHeight="1" x14ac:dyDescent="0.15">
      <c r="A25" s="6"/>
      <c r="B25" s="12"/>
      <c r="C25" s="56"/>
      <c r="D25" s="57"/>
      <c r="E25" s="58"/>
      <c r="F25" s="59">
        <f t="shared" si="1"/>
        <v>0</v>
      </c>
      <c r="G25" s="60"/>
      <c r="H25" s="61"/>
      <c r="I25" s="59">
        <f t="shared" si="2"/>
        <v>0</v>
      </c>
      <c r="J25" s="60"/>
      <c r="K25" s="61"/>
      <c r="L25" s="59">
        <f t="shared" si="3"/>
        <v>0</v>
      </c>
      <c r="M25" s="60"/>
      <c r="N25" s="61"/>
      <c r="O25" s="59">
        <f t="shared" si="4"/>
        <v>0</v>
      </c>
      <c r="P25" s="60"/>
      <c r="Q25" s="61"/>
      <c r="R25" s="59">
        <f t="shared" si="5"/>
        <v>0</v>
      </c>
      <c r="S25" s="60"/>
      <c r="T25" s="61"/>
      <c r="U25" s="59">
        <f t="shared" si="6"/>
        <v>0</v>
      </c>
      <c r="V25" s="60"/>
      <c r="W25" s="61"/>
      <c r="X25" s="59">
        <f t="shared" si="7"/>
        <v>0</v>
      </c>
      <c r="Y25" s="60"/>
      <c r="Z25" s="61"/>
      <c r="AA25" s="59">
        <f t="shared" si="8"/>
        <v>0</v>
      </c>
      <c r="AB25" s="60"/>
      <c r="AC25" s="61"/>
      <c r="AD25" s="59">
        <f t="shared" si="9"/>
        <v>0</v>
      </c>
      <c r="AE25" s="60"/>
      <c r="AF25" s="61"/>
      <c r="AG25" s="59">
        <f t="shared" si="10"/>
        <v>0</v>
      </c>
      <c r="AH25" s="60"/>
      <c r="AI25" s="61"/>
      <c r="AJ25" s="59">
        <f t="shared" si="11"/>
        <v>0</v>
      </c>
      <c r="AK25" s="60"/>
      <c r="AL25" s="61"/>
      <c r="AM25" s="59">
        <f t="shared" si="12"/>
        <v>0</v>
      </c>
      <c r="AN25" s="60"/>
      <c r="AO25" s="61"/>
      <c r="AP25" s="57">
        <f t="shared" si="13"/>
        <v>0</v>
      </c>
      <c r="AQ25" s="8" t="e">
        <f t="shared" si="0"/>
        <v>#DIV/0!</v>
      </c>
    </row>
    <row r="26" spans="1:43" ht="18" customHeight="1" x14ac:dyDescent="0.15">
      <c r="A26" s="6"/>
      <c r="B26" s="12"/>
      <c r="C26" s="56"/>
      <c r="D26" s="57"/>
      <c r="E26" s="58"/>
      <c r="F26" s="59">
        <f t="shared" si="1"/>
        <v>0</v>
      </c>
      <c r="G26" s="60"/>
      <c r="H26" s="61"/>
      <c r="I26" s="59">
        <f t="shared" si="2"/>
        <v>0</v>
      </c>
      <c r="J26" s="60"/>
      <c r="K26" s="61"/>
      <c r="L26" s="59">
        <f t="shared" si="3"/>
        <v>0</v>
      </c>
      <c r="M26" s="60"/>
      <c r="N26" s="61"/>
      <c r="O26" s="59">
        <f t="shared" si="4"/>
        <v>0</v>
      </c>
      <c r="P26" s="60"/>
      <c r="Q26" s="61"/>
      <c r="R26" s="59">
        <f t="shared" si="5"/>
        <v>0</v>
      </c>
      <c r="S26" s="60"/>
      <c r="T26" s="61"/>
      <c r="U26" s="59">
        <f t="shared" si="6"/>
        <v>0</v>
      </c>
      <c r="V26" s="60"/>
      <c r="W26" s="61"/>
      <c r="X26" s="59">
        <f t="shared" si="7"/>
        <v>0</v>
      </c>
      <c r="Y26" s="60"/>
      <c r="Z26" s="61"/>
      <c r="AA26" s="59">
        <f t="shared" si="8"/>
        <v>0</v>
      </c>
      <c r="AB26" s="60"/>
      <c r="AC26" s="61"/>
      <c r="AD26" s="59">
        <f t="shared" si="9"/>
        <v>0</v>
      </c>
      <c r="AE26" s="60"/>
      <c r="AF26" s="61"/>
      <c r="AG26" s="59">
        <f t="shared" si="10"/>
        <v>0</v>
      </c>
      <c r="AH26" s="60"/>
      <c r="AI26" s="61"/>
      <c r="AJ26" s="59">
        <f t="shared" si="11"/>
        <v>0</v>
      </c>
      <c r="AK26" s="60"/>
      <c r="AL26" s="61"/>
      <c r="AM26" s="59">
        <f t="shared" si="12"/>
        <v>0</v>
      </c>
      <c r="AN26" s="60"/>
      <c r="AO26" s="61"/>
      <c r="AP26" s="57">
        <f t="shared" si="13"/>
        <v>0</v>
      </c>
      <c r="AQ26" s="8" t="e">
        <f t="shared" si="0"/>
        <v>#DIV/0!</v>
      </c>
    </row>
    <row r="27" spans="1:43" ht="18" customHeight="1" x14ac:dyDescent="0.15">
      <c r="A27" s="6"/>
      <c r="B27" s="12"/>
      <c r="C27" s="56"/>
      <c r="D27" s="57"/>
      <c r="E27" s="58"/>
      <c r="F27" s="59">
        <f t="shared" si="1"/>
        <v>0</v>
      </c>
      <c r="G27" s="60"/>
      <c r="H27" s="61"/>
      <c r="I27" s="59">
        <f t="shared" si="2"/>
        <v>0</v>
      </c>
      <c r="J27" s="60"/>
      <c r="K27" s="61"/>
      <c r="L27" s="59">
        <f t="shared" si="3"/>
        <v>0</v>
      </c>
      <c r="M27" s="60"/>
      <c r="N27" s="61"/>
      <c r="O27" s="59">
        <f t="shared" si="4"/>
        <v>0</v>
      </c>
      <c r="P27" s="60"/>
      <c r="Q27" s="61"/>
      <c r="R27" s="59">
        <f t="shared" si="5"/>
        <v>0</v>
      </c>
      <c r="S27" s="60"/>
      <c r="T27" s="61"/>
      <c r="U27" s="59">
        <f t="shared" si="6"/>
        <v>0</v>
      </c>
      <c r="V27" s="60"/>
      <c r="W27" s="61"/>
      <c r="X27" s="59">
        <f t="shared" si="7"/>
        <v>0</v>
      </c>
      <c r="Y27" s="60"/>
      <c r="Z27" s="61"/>
      <c r="AA27" s="59">
        <f t="shared" si="8"/>
        <v>0</v>
      </c>
      <c r="AB27" s="60"/>
      <c r="AC27" s="61"/>
      <c r="AD27" s="59">
        <f t="shared" si="9"/>
        <v>0</v>
      </c>
      <c r="AE27" s="60"/>
      <c r="AF27" s="61"/>
      <c r="AG27" s="59">
        <f t="shared" si="10"/>
        <v>0</v>
      </c>
      <c r="AH27" s="60"/>
      <c r="AI27" s="61"/>
      <c r="AJ27" s="59">
        <f t="shared" si="11"/>
        <v>0</v>
      </c>
      <c r="AK27" s="60"/>
      <c r="AL27" s="61"/>
      <c r="AM27" s="59">
        <f t="shared" si="12"/>
        <v>0</v>
      </c>
      <c r="AN27" s="60"/>
      <c r="AO27" s="61"/>
      <c r="AP27" s="57">
        <f t="shared" si="13"/>
        <v>0</v>
      </c>
      <c r="AQ27" s="8" t="e">
        <f t="shared" si="0"/>
        <v>#DIV/0!</v>
      </c>
    </row>
    <row r="28" spans="1:43" ht="18" customHeight="1" x14ac:dyDescent="0.15">
      <c r="A28" s="6"/>
      <c r="B28" s="12"/>
      <c r="C28" s="56"/>
      <c r="D28" s="57"/>
      <c r="E28" s="58"/>
      <c r="F28" s="59">
        <f t="shared" si="1"/>
        <v>0</v>
      </c>
      <c r="G28" s="60"/>
      <c r="H28" s="61"/>
      <c r="I28" s="59">
        <f t="shared" si="2"/>
        <v>0</v>
      </c>
      <c r="J28" s="60"/>
      <c r="K28" s="61"/>
      <c r="L28" s="59">
        <f t="shared" si="3"/>
        <v>0</v>
      </c>
      <c r="M28" s="60"/>
      <c r="N28" s="61"/>
      <c r="O28" s="59">
        <f t="shared" si="4"/>
        <v>0</v>
      </c>
      <c r="P28" s="60"/>
      <c r="Q28" s="61"/>
      <c r="R28" s="59">
        <f t="shared" si="5"/>
        <v>0</v>
      </c>
      <c r="S28" s="60"/>
      <c r="T28" s="61"/>
      <c r="U28" s="59">
        <f t="shared" si="6"/>
        <v>0</v>
      </c>
      <c r="V28" s="60"/>
      <c r="W28" s="61"/>
      <c r="X28" s="59">
        <f t="shared" si="7"/>
        <v>0</v>
      </c>
      <c r="Y28" s="60"/>
      <c r="Z28" s="61"/>
      <c r="AA28" s="59">
        <f t="shared" si="8"/>
        <v>0</v>
      </c>
      <c r="AB28" s="60"/>
      <c r="AC28" s="61"/>
      <c r="AD28" s="59">
        <f t="shared" si="9"/>
        <v>0</v>
      </c>
      <c r="AE28" s="60"/>
      <c r="AF28" s="61"/>
      <c r="AG28" s="59">
        <f t="shared" si="10"/>
        <v>0</v>
      </c>
      <c r="AH28" s="60"/>
      <c r="AI28" s="61"/>
      <c r="AJ28" s="59">
        <f t="shared" si="11"/>
        <v>0</v>
      </c>
      <c r="AK28" s="60"/>
      <c r="AL28" s="61"/>
      <c r="AM28" s="59">
        <f t="shared" si="12"/>
        <v>0</v>
      </c>
      <c r="AN28" s="60"/>
      <c r="AO28" s="61"/>
      <c r="AP28" s="57">
        <f t="shared" si="13"/>
        <v>0</v>
      </c>
      <c r="AQ28" s="8" t="e">
        <f t="shared" si="0"/>
        <v>#DIV/0!</v>
      </c>
    </row>
    <row r="29" spans="1:43" ht="18" customHeight="1" x14ac:dyDescent="0.15">
      <c r="A29" s="6"/>
      <c r="B29" s="12"/>
      <c r="C29" s="56"/>
      <c r="D29" s="62"/>
      <c r="E29" s="58"/>
      <c r="F29" s="59">
        <f t="shared" si="1"/>
        <v>0</v>
      </c>
      <c r="G29" s="60"/>
      <c r="H29" s="61"/>
      <c r="I29" s="59">
        <f t="shared" si="2"/>
        <v>0</v>
      </c>
      <c r="J29" s="60"/>
      <c r="K29" s="61"/>
      <c r="L29" s="59">
        <f t="shared" si="3"/>
        <v>0</v>
      </c>
      <c r="M29" s="60"/>
      <c r="N29" s="61"/>
      <c r="O29" s="59">
        <f t="shared" si="4"/>
        <v>0</v>
      </c>
      <c r="P29" s="60"/>
      <c r="Q29" s="61"/>
      <c r="R29" s="59">
        <f t="shared" si="5"/>
        <v>0</v>
      </c>
      <c r="S29" s="60"/>
      <c r="T29" s="61"/>
      <c r="U29" s="59">
        <f t="shared" si="6"/>
        <v>0</v>
      </c>
      <c r="V29" s="60"/>
      <c r="W29" s="61"/>
      <c r="X29" s="59">
        <f t="shared" si="7"/>
        <v>0</v>
      </c>
      <c r="Y29" s="60"/>
      <c r="Z29" s="61"/>
      <c r="AA29" s="59">
        <f t="shared" si="8"/>
        <v>0</v>
      </c>
      <c r="AB29" s="60"/>
      <c r="AC29" s="61"/>
      <c r="AD29" s="59">
        <f t="shared" si="9"/>
        <v>0</v>
      </c>
      <c r="AE29" s="60"/>
      <c r="AF29" s="61"/>
      <c r="AG29" s="59">
        <f t="shared" si="10"/>
        <v>0</v>
      </c>
      <c r="AH29" s="60"/>
      <c r="AI29" s="61"/>
      <c r="AJ29" s="59">
        <f t="shared" si="11"/>
        <v>0</v>
      </c>
      <c r="AK29" s="60"/>
      <c r="AL29" s="61"/>
      <c r="AM29" s="59">
        <f t="shared" si="12"/>
        <v>0</v>
      </c>
      <c r="AN29" s="60"/>
      <c r="AO29" s="61"/>
      <c r="AP29" s="62">
        <f t="shared" si="13"/>
        <v>0</v>
      </c>
      <c r="AQ29" s="8" t="e">
        <f t="shared" si="0"/>
        <v>#DIV/0!</v>
      </c>
    </row>
    <row r="30" spans="1:43" ht="18" customHeight="1" x14ac:dyDescent="0.15">
      <c r="A30" s="6"/>
      <c r="B30" s="12"/>
      <c r="C30" s="56"/>
      <c r="D30" s="62"/>
      <c r="E30" s="58"/>
      <c r="F30" s="59">
        <f t="shared" si="1"/>
        <v>0</v>
      </c>
      <c r="G30" s="60"/>
      <c r="H30" s="61"/>
      <c r="I30" s="59">
        <f t="shared" si="2"/>
        <v>0</v>
      </c>
      <c r="J30" s="60"/>
      <c r="K30" s="61"/>
      <c r="L30" s="59">
        <f t="shared" si="3"/>
        <v>0</v>
      </c>
      <c r="M30" s="60"/>
      <c r="N30" s="61"/>
      <c r="O30" s="59">
        <f t="shared" si="4"/>
        <v>0</v>
      </c>
      <c r="P30" s="60"/>
      <c r="Q30" s="61"/>
      <c r="R30" s="59">
        <f t="shared" si="5"/>
        <v>0</v>
      </c>
      <c r="S30" s="60"/>
      <c r="T30" s="61"/>
      <c r="U30" s="59">
        <f t="shared" si="6"/>
        <v>0</v>
      </c>
      <c r="V30" s="60"/>
      <c r="W30" s="61"/>
      <c r="X30" s="59">
        <f t="shared" si="7"/>
        <v>0</v>
      </c>
      <c r="Y30" s="60"/>
      <c r="Z30" s="61"/>
      <c r="AA30" s="59">
        <f t="shared" si="8"/>
        <v>0</v>
      </c>
      <c r="AB30" s="60"/>
      <c r="AC30" s="61"/>
      <c r="AD30" s="59">
        <f t="shared" si="9"/>
        <v>0</v>
      </c>
      <c r="AE30" s="60"/>
      <c r="AF30" s="61"/>
      <c r="AG30" s="59">
        <f t="shared" si="10"/>
        <v>0</v>
      </c>
      <c r="AH30" s="60"/>
      <c r="AI30" s="61"/>
      <c r="AJ30" s="59">
        <f t="shared" si="11"/>
        <v>0</v>
      </c>
      <c r="AK30" s="60"/>
      <c r="AL30" s="61"/>
      <c r="AM30" s="59">
        <f t="shared" si="12"/>
        <v>0</v>
      </c>
      <c r="AN30" s="60"/>
      <c r="AO30" s="61"/>
      <c r="AP30" s="62">
        <f t="shared" si="13"/>
        <v>0</v>
      </c>
      <c r="AQ30" s="8" t="e">
        <f t="shared" si="0"/>
        <v>#DIV/0!</v>
      </c>
    </row>
    <row r="31" spans="1:43" ht="18" customHeight="1" thickBot="1" x14ac:dyDescent="0.2">
      <c r="A31" s="6"/>
      <c r="B31" s="13"/>
      <c r="C31" s="51"/>
      <c r="D31" s="63"/>
      <c r="E31" s="53"/>
      <c r="F31" s="53">
        <f t="shared" si="1"/>
        <v>0</v>
      </c>
      <c r="G31" s="64"/>
      <c r="H31" s="65"/>
      <c r="I31" s="53">
        <f t="shared" si="2"/>
        <v>0</v>
      </c>
      <c r="J31" s="64"/>
      <c r="K31" s="65"/>
      <c r="L31" s="53">
        <f t="shared" si="3"/>
        <v>0</v>
      </c>
      <c r="M31" s="64"/>
      <c r="N31" s="65"/>
      <c r="O31" s="53">
        <f t="shared" si="4"/>
        <v>0</v>
      </c>
      <c r="P31" s="64"/>
      <c r="Q31" s="65"/>
      <c r="R31" s="53">
        <f t="shared" si="5"/>
        <v>0</v>
      </c>
      <c r="S31" s="64"/>
      <c r="T31" s="65"/>
      <c r="U31" s="53">
        <f t="shared" si="6"/>
        <v>0</v>
      </c>
      <c r="V31" s="64"/>
      <c r="W31" s="65"/>
      <c r="X31" s="53">
        <f t="shared" si="7"/>
        <v>0</v>
      </c>
      <c r="Y31" s="64"/>
      <c r="Z31" s="65"/>
      <c r="AA31" s="53">
        <f t="shared" si="8"/>
        <v>0</v>
      </c>
      <c r="AB31" s="64"/>
      <c r="AC31" s="65"/>
      <c r="AD31" s="53">
        <f t="shared" si="9"/>
        <v>0</v>
      </c>
      <c r="AE31" s="64"/>
      <c r="AF31" s="65"/>
      <c r="AG31" s="53">
        <f t="shared" si="10"/>
        <v>0</v>
      </c>
      <c r="AH31" s="64"/>
      <c r="AI31" s="65"/>
      <c r="AJ31" s="53">
        <f t="shared" si="11"/>
        <v>0</v>
      </c>
      <c r="AK31" s="64"/>
      <c r="AL31" s="65"/>
      <c r="AM31" s="53">
        <f t="shared" si="12"/>
        <v>0</v>
      </c>
      <c r="AN31" s="64"/>
      <c r="AO31" s="65"/>
      <c r="AP31" s="63">
        <f t="shared" si="13"/>
        <v>0</v>
      </c>
      <c r="AQ31" s="7" t="e">
        <f t="shared" si="0"/>
        <v>#DIV/0!</v>
      </c>
    </row>
    <row r="32" spans="1:43" ht="18" customHeight="1" thickTop="1" x14ac:dyDescent="0.15">
      <c r="B32" s="14" t="s">
        <v>33</v>
      </c>
      <c r="C32" s="66">
        <f t="shared" ref="C32" si="14">SUM(C12:C31)</f>
        <v>10512</v>
      </c>
      <c r="D32" s="67">
        <f t="shared" ref="D32:AP32" si="15">SUM(D12:D31)</f>
        <v>2878</v>
      </c>
      <c r="E32" s="68">
        <f t="shared" si="15"/>
        <v>11653</v>
      </c>
      <c r="F32" s="68">
        <f t="shared" si="15"/>
        <v>2656</v>
      </c>
      <c r="G32" s="69">
        <f t="shared" si="15"/>
        <v>1470</v>
      </c>
      <c r="H32" s="70">
        <f t="shared" si="15"/>
        <v>1186</v>
      </c>
      <c r="I32" s="68">
        <f t="shared" ref="I32:N32" si="16">SUM(I12:I31)</f>
        <v>2468</v>
      </c>
      <c r="J32" s="69">
        <f t="shared" si="16"/>
        <v>1342</v>
      </c>
      <c r="K32" s="70">
        <f t="shared" si="16"/>
        <v>1126</v>
      </c>
      <c r="L32" s="68">
        <f t="shared" si="16"/>
        <v>0</v>
      </c>
      <c r="M32" s="69">
        <f t="shared" si="16"/>
        <v>0</v>
      </c>
      <c r="N32" s="70">
        <f t="shared" si="16"/>
        <v>0</v>
      </c>
      <c r="O32" s="68">
        <f t="shared" ref="O32:T32" si="17">SUM(O12:O31)</f>
        <v>0</v>
      </c>
      <c r="P32" s="69">
        <f t="shared" si="17"/>
        <v>0</v>
      </c>
      <c r="Q32" s="70">
        <f t="shared" si="17"/>
        <v>0</v>
      </c>
      <c r="R32" s="68">
        <f t="shared" si="17"/>
        <v>0</v>
      </c>
      <c r="S32" s="69">
        <f t="shared" si="17"/>
        <v>0</v>
      </c>
      <c r="T32" s="70">
        <f t="shared" si="17"/>
        <v>0</v>
      </c>
      <c r="U32" s="68">
        <f t="shared" ref="U32:AI32" si="18">SUM(U12:U31)</f>
        <v>0</v>
      </c>
      <c r="V32" s="69">
        <f t="shared" si="18"/>
        <v>0</v>
      </c>
      <c r="W32" s="70">
        <f t="shared" si="18"/>
        <v>0</v>
      </c>
      <c r="X32" s="68">
        <f t="shared" si="18"/>
        <v>0</v>
      </c>
      <c r="Y32" s="69">
        <f t="shared" si="18"/>
        <v>0</v>
      </c>
      <c r="Z32" s="70">
        <f t="shared" si="18"/>
        <v>0</v>
      </c>
      <c r="AA32" s="68">
        <f t="shared" si="18"/>
        <v>0</v>
      </c>
      <c r="AB32" s="69">
        <f t="shared" si="18"/>
        <v>0</v>
      </c>
      <c r="AC32" s="70">
        <f t="shared" si="18"/>
        <v>0</v>
      </c>
      <c r="AD32" s="68">
        <f t="shared" si="18"/>
        <v>0</v>
      </c>
      <c r="AE32" s="69">
        <f t="shared" si="18"/>
        <v>0</v>
      </c>
      <c r="AF32" s="70">
        <f t="shared" si="18"/>
        <v>0</v>
      </c>
      <c r="AG32" s="68">
        <f t="shared" si="18"/>
        <v>0</v>
      </c>
      <c r="AH32" s="69">
        <f t="shared" si="18"/>
        <v>0</v>
      </c>
      <c r="AI32" s="70">
        <f t="shared" si="18"/>
        <v>0</v>
      </c>
      <c r="AJ32" s="68">
        <f t="shared" ref="AJ32:AO32" si="19">SUM(AJ12:AJ31)</f>
        <v>0</v>
      </c>
      <c r="AK32" s="69">
        <f t="shared" si="19"/>
        <v>0</v>
      </c>
      <c r="AL32" s="70">
        <f t="shared" si="19"/>
        <v>0</v>
      </c>
      <c r="AM32" s="68">
        <f t="shared" si="19"/>
        <v>0</v>
      </c>
      <c r="AN32" s="69">
        <f t="shared" si="19"/>
        <v>0</v>
      </c>
      <c r="AO32" s="70">
        <f t="shared" si="19"/>
        <v>0</v>
      </c>
      <c r="AP32" s="67">
        <f t="shared" si="15"/>
        <v>2656</v>
      </c>
      <c r="AQ32" s="9">
        <f t="shared" si="0"/>
        <v>0.22792413970651335</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97" zoomScaleNormal="100" zoomScaleSheetLayoutView="100" workbookViewId="0">
      <selection activeCell="B52" sqref="B52:I63"/>
    </sheetView>
  </sheetViews>
  <sheetFormatPr defaultColWidth="11.375" defaultRowHeight="18.75" customHeight="1" x14ac:dyDescent="0.15"/>
  <cols>
    <col min="1" max="1" width="2.75" style="39" customWidth="1"/>
    <col min="2" max="2" width="16.625" style="76" customWidth="1"/>
    <col min="3" max="3" width="8.875" style="76" customWidth="1"/>
    <col min="4" max="4" width="2.25" style="76" customWidth="1"/>
    <col min="5" max="5" width="16.625" style="76" customWidth="1"/>
    <col min="6" max="6" width="4.375" style="76" customWidth="1"/>
    <col min="7" max="7" width="9" style="76" customWidth="1"/>
    <col min="8" max="8" width="16.625" style="76" customWidth="1"/>
    <col min="9" max="9" width="12.125" style="76" customWidth="1"/>
    <col min="10" max="16384" width="11.375" style="1"/>
  </cols>
  <sheetData>
    <row r="1" spans="1:9" ht="18.75" customHeight="1" x14ac:dyDescent="0.15">
      <c r="A1" s="39" t="s">
        <v>65</v>
      </c>
      <c r="I1" s="77" t="s">
        <v>106</v>
      </c>
    </row>
    <row r="2" spans="1:9" ht="18.75" customHeight="1" x14ac:dyDescent="0.15">
      <c r="G2" s="77" t="s">
        <v>109</v>
      </c>
      <c r="H2" s="239" t="e">
        <f>#REF!</f>
        <v>#REF!</v>
      </c>
      <c r="I2" s="240"/>
    </row>
    <row r="3" spans="1:9" ht="18.75" customHeight="1" x14ac:dyDescent="0.15">
      <c r="G3" s="77"/>
      <c r="H3" s="78"/>
      <c r="I3" s="78"/>
    </row>
    <row r="4" spans="1:9" ht="18.600000000000001" customHeight="1" x14ac:dyDescent="0.15">
      <c r="A4" s="168" t="s">
        <v>36</v>
      </c>
      <c r="B4" s="168"/>
      <c r="C4" s="168"/>
      <c r="D4" s="168"/>
      <c r="E4" s="168"/>
      <c r="F4" s="168"/>
      <c r="G4" s="168"/>
      <c r="H4" s="168"/>
      <c r="I4" s="168"/>
    </row>
    <row r="5" spans="1:9" ht="13.15" customHeight="1" x14ac:dyDescent="0.15">
      <c r="B5" s="79"/>
      <c r="C5" s="79"/>
      <c r="D5" s="79"/>
      <c r="E5" s="79"/>
      <c r="F5" s="79"/>
      <c r="G5" s="79"/>
      <c r="H5" s="79"/>
      <c r="I5" s="79"/>
    </row>
    <row r="6" spans="1:9" ht="18" customHeight="1" x14ac:dyDescent="0.15">
      <c r="A6" s="1" t="s">
        <v>0</v>
      </c>
      <c r="B6" s="78" t="s">
        <v>91</v>
      </c>
      <c r="C6" s="256" t="s">
        <v>92</v>
      </c>
      <c r="D6" s="256"/>
      <c r="E6" s="80">
        <v>519</v>
      </c>
      <c r="F6" s="79"/>
      <c r="G6" s="79" t="s">
        <v>2</v>
      </c>
      <c r="H6" s="80">
        <v>98</v>
      </c>
      <c r="I6" s="78" t="s">
        <v>1</v>
      </c>
    </row>
    <row r="7" spans="1:9" ht="12" customHeight="1" x14ac:dyDescent="0.15">
      <c r="C7" s="81"/>
      <c r="D7" s="81"/>
      <c r="E7" s="81"/>
      <c r="F7" s="81"/>
      <c r="G7" s="81"/>
      <c r="H7" s="81"/>
      <c r="I7" s="82"/>
    </row>
    <row r="8" spans="1:9" ht="18" customHeight="1" x14ac:dyDescent="0.15">
      <c r="A8" s="1" t="s">
        <v>3</v>
      </c>
      <c r="B8" s="78" t="s">
        <v>93</v>
      </c>
      <c r="E8" s="79"/>
      <c r="F8" s="79"/>
      <c r="G8" s="79"/>
      <c r="H8" s="80">
        <v>38</v>
      </c>
      <c r="I8" s="78" t="s">
        <v>1</v>
      </c>
    </row>
    <row r="9" spans="1:9" ht="9" customHeight="1" x14ac:dyDescent="0.15">
      <c r="B9" s="79"/>
      <c r="C9" s="79"/>
      <c r="D9" s="79"/>
      <c r="E9" s="79"/>
      <c r="F9" s="79"/>
      <c r="G9" s="79"/>
      <c r="H9" s="79"/>
      <c r="I9" s="79"/>
    </row>
    <row r="10" spans="1:9" ht="18" customHeight="1" x14ac:dyDescent="0.15">
      <c r="A10" s="1" t="s">
        <v>4</v>
      </c>
      <c r="B10" s="78" t="s">
        <v>94</v>
      </c>
      <c r="C10" s="79"/>
      <c r="D10" s="79"/>
      <c r="E10" s="79"/>
      <c r="F10" s="79"/>
      <c r="G10" s="79"/>
      <c r="H10" s="79"/>
      <c r="I10" s="79"/>
    </row>
    <row r="11" spans="1:9" ht="18" customHeight="1" x14ac:dyDescent="0.15">
      <c r="B11" s="77" t="s">
        <v>43</v>
      </c>
      <c r="C11" s="249" t="s">
        <v>139</v>
      </c>
      <c r="D11" s="252"/>
      <c r="E11" s="253"/>
      <c r="F11" s="82"/>
      <c r="G11" s="77" t="s">
        <v>10</v>
      </c>
      <c r="H11" s="249" t="s">
        <v>140</v>
      </c>
      <c r="I11" s="253"/>
    </row>
    <row r="12" spans="1:9" ht="10.15" customHeight="1" x14ac:dyDescent="0.15">
      <c r="B12" s="77"/>
      <c r="C12" s="78"/>
      <c r="D12" s="82"/>
      <c r="E12" s="82"/>
      <c r="F12" s="82"/>
      <c r="G12" s="77"/>
      <c r="H12" s="78"/>
      <c r="I12" s="82"/>
    </row>
    <row r="13" spans="1:9" ht="18" customHeight="1" x14ac:dyDescent="0.15">
      <c r="A13" s="1" t="s">
        <v>7</v>
      </c>
      <c r="B13" s="78" t="s">
        <v>88</v>
      </c>
      <c r="C13" s="79"/>
      <c r="D13" s="79"/>
      <c r="E13" s="79"/>
      <c r="F13" s="79"/>
      <c r="G13" s="79"/>
      <c r="H13" s="79"/>
      <c r="I13" s="79"/>
    </row>
    <row r="14" spans="1:9" ht="18" customHeight="1" x14ac:dyDescent="0.15">
      <c r="B14" s="249" t="s">
        <v>141</v>
      </c>
      <c r="C14" s="250"/>
      <c r="D14" s="250"/>
      <c r="E14" s="250"/>
      <c r="F14" s="250"/>
      <c r="G14" s="250"/>
      <c r="H14" s="250"/>
      <c r="I14" s="251"/>
    </row>
    <row r="15" spans="1:9" ht="9" customHeight="1" x14ac:dyDescent="0.15">
      <c r="B15" s="79"/>
      <c r="C15" s="79"/>
      <c r="D15" s="79"/>
      <c r="E15" s="79"/>
      <c r="F15" s="79"/>
      <c r="G15" s="79"/>
      <c r="H15" s="79"/>
      <c r="I15" s="79"/>
    </row>
    <row r="16" spans="1:9" ht="18" customHeight="1" x14ac:dyDescent="0.15">
      <c r="B16" s="77" t="s">
        <v>43</v>
      </c>
      <c r="C16" s="249" t="s">
        <v>142</v>
      </c>
      <c r="D16" s="252"/>
      <c r="E16" s="253"/>
      <c r="F16" s="82"/>
      <c r="G16" s="77" t="s">
        <v>10</v>
      </c>
      <c r="H16" s="254" t="s">
        <v>143</v>
      </c>
      <c r="I16" s="255"/>
    </row>
    <row r="17" spans="1:9" ht="18" customHeight="1" x14ac:dyDescent="0.15">
      <c r="B17" s="79"/>
      <c r="C17" s="79"/>
      <c r="D17" s="79"/>
      <c r="E17" s="79"/>
      <c r="F17" s="79"/>
      <c r="G17" s="79"/>
      <c r="H17" s="79"/>
      <c r="I17" s="79"/>
    </row>
    <row r="18" spans="1:9" ht="18.75" customHeight="1" x14ac:dyDescent="0.15">
      <c r="A18" s="1" t="s">
        <v>5</v>
      </c>
      <c r="B18" s="76" t="s">
        <v>42</v>
      </c>
      <c r="I18" s="79"/>
    </row>
    <row r="19" spans="1:9" ht="18.75" customHeight="1" x14ac:dyDescent="0.15">
      <c r="A19" s="1"/>
      <c r="B19" s="241" t="s">
        <v>144</v>
      </c>
      <c r="C19" s="242"/>
      <c r="D19" s="242"/>
      <c r="E19" s="242"/>
      <c r="F19" s="242"/>
      <c r="G19" s="242"/>
      <c r="H19" s="242"/>
      <c r="I19" s="243"/>
    </row>
    <row r="20" spans="1:9" ht="7.5" customHeight="1" x14ac:dyDescent="0.15">
      <c r="B20" s="79"/>
      <c r="C20" s="79"/>
      <c r="D20" s="79"/>
      <c r="E20" s="79"/>
      <c r="F20" s="79"/>
      <c r="G20" s="79"/>
      <c r="H20" s="79"/>
      <c r="I20" s="79"/>
    </row>
    <row r="21" spans="1:9" ht="18.75" customHeight="1" x14ac:dyDescent="0.15">
      <c r="A21" s="1" t="s">
        <v>8</v>
      </c>
      <c r="B21" s="76" t="s">
        <v>25</v>
      </c>
    </row>
    <row r="22" spans="1:9" ht="18.75" customHeight="1" x14ac:dyDescent="0.15">
      <c r="A22" s="15"/>
      <c r="B22" s="229" t="s">
        <v>164</v>
      </c>
      <c r="C22" s="230"/>
      <c r="D22" s="230"/>
      <c r="E22" s="230"/>
      <c r="F22" s="230"/>
      <c r="G22" s="230"/>
      <c r="H22" s="230"/>
      <c r="I22" s="231"/>
    </row>
    <row r="23" spans="1:9" ht="18.75" customHeight="1" x14ac:dyDescent="0.15">
      <c r="A23" s="15"/>
      <c r="B23" s="244"/>
      <c r="C23" s="245"/>
      <c r="D23" s="245"/>
      <c r="E23" s="245"/>
      <c r="F23" s="245"/>
      <c r="G23" s="245"/>
      <c r="H23" s="245"/>
      <c r="I23" s="234"/>
    </row>
    <row r="24" spans="1:9" ht="18.75" customHeight="1" x14ac:dyDescent="0.15">
      <c r="A24" s="15"/>
      <c r="B24" s="244"/>
      <c r="C24" s="245"/>
      <c r="D24" s="245"/>
      <c r="E24" s="245"/>
      <c r="F24" s="245"/>
      <c r="G24" s="245"/>
      <c r="H24" s="245"/>
      <c r="I24" s="234"/>
    </row>
    <row r="25" spans="1:9" ht="18.75" customHeight="1" x14ac:dyDescent="0.15">
      <c r="A25" s="15"/>
      <c r="B25" s="244"/>
      <c r="C25" s="245"/>
      <c r="D25" s="245"/>
      <c r="E25" s="245"/>
      <c r="F25" s="245"/>
      <c r="G25" s="245"/>
      <c r="H25" s="245"/>
      <c r="I25" s="234"/>
    </row>
    <row r="26" spans="1:9" ht="18.75" customHeight="1" x14ac:dyDescent="0.15">
      <c r="A26" s="15"/>
      <c r="B26" s="244"/>
      <c r="C26" s="245"/>
      <c r="D26" s="245"/>
      <c r="E26" s="245"/>
      <c r="F26" s="245"/>
      <c r="G26" s="245"/>
      <c r="H26" s="245"/>
      <c r="I26" s="234"/>
    </row>
    <row r="27" spans="1:9" ht="18.75" customHeight="1" x14ac:dyDescent="0.15">
      <c r="A27" s="15"/>
      <c r="B27" s="244"/>
      <c r="C27" s="245"/>
      <c r="D27" s="245"/>
      <c r="E27" s="245"/>
      <c r="F27" s="245"/>
      <c r="G27" s="245"/>
      <c r="H27" s="245"/>
      <c r="I27" s="234"/>
    </row>
    <row r="28" spans="1:9" ht="18.75" customHeight="1" x14ac:dyDescent="0.15">
      <c r="A28" s="15"/>
      <c r="B28" s="244"/>
      <c r="C28" s="245"/>
      <c r="D28" s="245"/>
      <c r="E28" s="245"/>
      <c r="F28" s="245"/>
      <c r="G28" s="245"/>
      <c r="H28" s="245"/>
      <c r="I28" s="234"/>
    </row>
    <row r="29" spans="1:9" ht="18.75" customHeight="1" x14ac:dyDescent="0.15">
      <c r="A29" s="15"/>
      <c r="B29" s="244"/>
      <c r="C29" s="245"/>
      <c r="D29" s="245"/>
      <c r="E29" s="245"/>
      <c r="F29" s="245"/>
      <c r="G29" s="245"/>
      <c r="H29" s="245"/>
      <c r="I29" s="234"/>
    </row>
    <row r="30" spans="1:9" ht="18.75" customHeight="1" x14ac:dyDescent="0.15">
      <c r="A30" s="15"/>
      <c r="B30" s="232"/>
      <c r="C30" s="233"/>
      <c r="D30" s="233"/>
      <c r="E30" s="233"/>
      <c r="F30" s="233"/>
      <c r="G30" s="233"/>
      <c r="H30" s="233"/>
      <c r="I30" s="234"/>
    </row>
    <row r="31" spans="1:9" ht="18.75" customHeight="1" x14ac:dyDescent="0.15">
      <c r="A31" s="15"/>
      <c r="B31" s="232"/>
      <c r="C31" s="233"/>
      <c r="D31" s="233"/>
      <c r="E31" s="233"/>
      <c r="F31" s="233"/>
      <c r="G31" s="233"/>
      <c r="H31" s="233"/>
      <c r="I31" s="234"/>
    </row>
    <row r="32" spans="1:9" ht="18.75" customHeight="1" x14ac:dyDescent="0.15">
      <c r="A32" s="15"/>
      <c r="B32" s="235"/>
      <c r="C32" s="236"/>
      <c r="D32" s="236"/>
      <c r="E32" s="236"/>
      <c r="F32" s="236"/>
      <c r="G32" s="236"/>
      <c r="H32" s="236"/>
      <c r="I32" s="237"/>
    </row>
    <row r="33" spans="1:9" ht="7.5" customHeight="1" x14ac:dyDescent="0.15">
      <c r="A33" s="15"/>
      <c r="B33" s="83"/>
      <c r="C33" s="83"/>
      <c r="D33" s="83"/>
      <c r="E33" s="83"/>
      <c r="F33" s="83"/>
      <c r="G33" s="83"/>
      <c r="H33" s="83"/>
      <c r="I33" s="83"/>
    </row>
    <row r="34" spans="1:9" ht="18.75" customHeight="1" x14ac:dyDescent="0.15">
      <c r="A34" s="16" t="s">
        <v>6</v>
      </c>
      <c r="B34" s="84" t="s">
        <v>9</v>
      </c>
      <c r="C34" s="78"/>
      <c r="D34" s="84"/>
      <c r="E34" s="84"/>
      <c r="F34" s="84"/>
      <c r="G34" s="84"/>
      <c r="H34" s="84"/>
      <c r="I34" s="84"/>
    </row>
    <row r="35" spans="1:9" ht="18.75" customHeight="1" x14ac:dyDescent="0.15">
      <c r="A35" s="15"/>
      <c r="B35" s="229" t="s">
        <v>163</v>
      </c>
      <c r="C35" s="230"/>
      <c r="D35" s="230"/>
      <c r="E35" s="230"/>
      <c r="F35" s="230"/>
      <c r="G35" s="230"/>
      <c r="H35" s="230"/>
      <c r="I35" s="231"/>
    </row>
    <row r="36" spans="1:9" ht="18.75" customHeight="1" x14ac:dyDescent="0.15">
      <c r="A36" s="15"/>
      <c r="B36" s="232"/>
      <c r="C36" s="233"/>
      <c r="D36" s="233"/>
      <c r="E36" s="233"/>
      <c r="F36" s="233"/>
      <c r="G36" s="233"/>
      <c r="H36" s="233"/>
      <c r="I36" s="234"/>
    </row>
    <row r="37" spans="1:9" ht="18.75" customHeight="1" x14ac:dyDescent="0.15">
      <c r="A37" s="15"/>
      <c r="B37" s="232"/>
      <c r="C37" s="233"/>
      <c r="D37" s="233"/>
      <c r="E37" s="233"/>
      <c r="F37" s="233"/>
      <c r="G37" s="233"/>
      <c r="H37" s="233"/>
      <c r="I37" s="234"/>
    </row>
    <row r="38" spans="1:9" ht="18.75" customHeight="1" x14ac:dyDescent="0.15">
      <c r="A38" s="15"/>
      <c r="B38" s="232"/>
      <c r="C38" s="233"/>
      <c r="D38" s="233"/>
      <c r="E38" s="233"/>
      <c r="F38" s="233"/>
      <c r="G38" s="233"/>
      <c r="H38" s="233"/>
      <c r="I38" s="234"/>
    </row>
    <row r="39" spans="1:9" ht="18.75" customHeight="1" x14ac:dyDescent="0.15">
      <c r="A39" s="15"/>
      <c r="B39" s="232"/>
      <c r="C39" s="233"/>
      <c r="D39" s="233"/>
      <c r="E39" s="233"/>
      <c r="F39" s="233"/>
      <c r="G39" s="233"/>
      <c r="H39" s="233"/>
      <c r="I39" s="234"/>
    </row>
    <row r="40" spans="1:9" ht="18.75" customHeight="1" x14ac:dyDescent="0.15">
      <c r="A40" s="15"/>
      <c r="B40" s="232"/>
      <c r="C40" s="233"/>
      <c r="D40" s="233"/>
      <c r="E40" s="233"/>
      <c r="F40" s="233"/>
      <c r="G40" s="233"/>
      <c r="H40" s="233"/>
      <c r="I40" s="234"/>
    </row>
    <row r="41" spans="1:9" ht="18.75" customHeight="1" x14ac:dyDescent="0.15">
      <c r="A41" s="15"/>
      <c r="B41" s="232"/>
      <c r="C41" s="233"/>
      <c r="D41" s="233"/>
      <c r="E41" s="233"/>
      <c r="F41" s="233"/>
      <c r="G41" s="233"/>
      <c r="H41" s="233"/>
      <c r="I41" s="234"/>
    </row>
    <row r="42" spans="1:9" ht="18.75" customHeight="1" x14ac:dyDescent="0.15">
      <c r="A42" s="15"/>
      <c r="B42" s="232"/>
      <c r="C42" s="233"/>
      <c r="D42" s="233"/>
      <c r="E42" s="233"/>
      <c r="F42" s="233"/>
      <c r="G42" s="233"/>
      <c r="H42" s="233"/>
      <c r="I42" s="234"/>
    </row>
    <row r="43" spans="1:9" ht="18.75" customHeight="1" x14ac:dyDescent="0.15">
      <c r="A43" s="15"/>
      <c r="B43" s="232"/>
      <c r="C43" s="233"/>
      <c r="D43" s="233"/>
      <c r="E43" s="233"/>
      <c r="F43" s="233"/>
      <c r="G43" s="233"/>
      <c r="H43" s="233"/>
      <c r="I43" s="234"/>
    </row>
    <row r="44" spans="1:9" ht="18.75" customHeight="1" x14ac:dyDescent="0.15">
      <c r="A44" s="15"/>
      <c r="B44" s="232"/>
      <c r="C44" s="233"/>
      <c r="D44" s="233"/>
      <c r="E44" s="233"/>
      <c r="F44" s="233"/>
      <c r="G44" s="233"/>
      <c r="H44" s="233"/>
      <c r="I44" s="234"/>
    </row>
    <row r="45" spans="1:9" ht="18.75" customHeight="1" x14ac:dyDescent="0.15">
      <c r="A45" s="15"/>
      <c r="B45" s="232"/>
      <c r="C45" s="233"/>
      <c r="D45" s="233"/>
      <c r="E45" s="233"/>
      <c r="F45" s="233"/>
      <c r="G45" s="233"/>
      <c r="H45" s="233"/>
      <c r="I45" s="234"/>
    </row>
    <row r="46" spans="1:9" ht="18.75" customHeight="1" x14ac:dyDescent="0.15">
      <c r="A46" s="15"/>
      <c r="B46" s="235"/>
      <c r="C46" s="236"/>
      <c r="D46" s="236"/>
      <c r="E46" s="236"/>
      <c r="F46" s="236"/>
      <c r="G46" s="236"/>
      <c r="H46" s="236"/>
      <c r="I46" s="237"/>
    </row>
    <row r="47" spans="1:9" ht="7.5" customHeight="1" x14ac:dyDescent="0.15">
      <c r="A47" s="4"/>
      <c r="B47" s="85"/>
      <c r="C47" s="85"/>
      <c r="D47" s="85"/>
      <c r="E47" s="85"/>
      <c r="F47" s="85"/>
      <c r="G47" s="85"/>
      <c r="H47" s="85"/>
      <c r="I47" s="85"/>
    </row>
    <row r="48" spans="1:9" ht="18.75" customHeight="1" x14ac:dyDescent="0.15">
      <c r="A48" s="1" t="s">
        <v>31</v>
      </c>
      <c r="B48" s="76" t="s">
        <v>151</v>
      </c>
    </row>
    <row r="49" spans="1:15" s="3" customFormat="1" ht="18.75" customHeight="1" x14ac:dyDescent="0.15">
      <c r="B49" s="71" t="s">
        <v>89</v>
      </c>
      <c r="C49" s="218">
        <f>'様式２ 履修者等数の実績'!AQ32</f>
        <v>0.22792413970651335</v>
      </c>
      <c r="D49" s="218"/>
      <c r="E49" s="71" t="s">
        <v>66</v>
      </c>
      <c r="F49" s="218">
        <v>0.5</v>
      </c>
      <c r="G49" s="218"/>
      <c r="H49" s="71" t="s">
        <v>67</v>
      </c>
      <c r="I49" s="72">
        <v>0.75</v>
      </c>
      <c r="J49" s="1"/>
      <c r="M49" s="1"/>
      <c r="N49" s="40"/>
    </row>
    <row r="50" spans="1:15" s="3" customFormat="1" ht="18.75" customHeight="1" x14ac:dyDescent="0.15">
      <c r="B50" s="73" t="s">
        <v>68</v>
      </c>
      <c r="C50" s="219">
        <v>1</v>
      </c>
      <c r="D50" s="219"/>
      <c r="E50" s="73" t="s">
        <v>90</v>
      </c>
      <c r="F50" s="219">
        <v>1</v>
      </c>
      <c r="G50" s="219"/>
      <c r="H50" s="73" t="s">
        <v>69</v>
      </c>
      <c r="I50" s="74">
        <f>'様式２ 履修者等数の実績'!E32</f>
        <v>11653</v>
      </c>
      <c r="J50" s="1"/>
      <c r="M50" s="1"/>
      <c r="N50" s="40"/>
    </row>
    <row r="51" spans="1:15" ht="18.75" customHeight="1" x14ac:dyDescent="0.15">
      <c r="A51" s="1"/>
      <c r="B51" s="246" t="s">
        <v>70</v>
      </c>
      <c r="C51" s="247"/>
      <c r="D51" s="247"/>
      <c r="E51" s="247"/>
      <c r="F51" s="247"/>
      <c r="G51" s="247"/>
      <c r="H51" s="247"/>
      <c r="I51" s="248"/>
      <c r="N51" s="40"/>
      <c r="O51" s="3"/>
    </row>
    <row r="52" spans="1:15" ht="18.75" customHeight="1" x14ac:dyDescent="0.15">
      <c r="A52" s="1"/>
      <c r="B52" s="220" t="s">
        <v>150</v>
      </c>
      <c r="C52" s="221"/>
      <c r="D52" s="221"/>
      <c r="E52" s="221"/>
      <c r="F52" s="221"/>
      <c r="G52" s="221"/>
      <c r="H52" s="221"/>
      <c r="I52" s="222"/>
      <c r="N52" s="40"/>
      <c r="O52" s="3"/>
    </row>
    <row r="53" spans="1:15" ht="18.75" customHeight="1" x14ac:dyDescent="0.15">
      <c r="A53" s="1"/>
      <c r="B53" s="223"/>
      <c r="C53" s="224"/>
      <c r="D53" s="224"/>
      <c r="E53" s="224"/>
      <c r="F53" s="224"/>
      <c r="G53" s="224"/>
      <c r="H53" s="224"/>
      <c r="I53" s="225"/>
      <c r="N53" s="40"/>
      <c r="O53" s="3"/>
    </row>
    <row r="54" spans="1:15" ht="18.75" customHeight="1" x14ac:dyDescent="0.15">
      <c r="A54" s="1"/>
      <c r="B54" s="223"/>
      <c r="C54" s="224"/>
      <c r="D54" s="224"/>
      <c r="E54" s="224"/>
      <c r="F54" s="224"/>
      <c r="G54" s="224"/>
      <c r="H54" s="224"/>
      <c r="I54" s="225"/>
    </row>
    <row r="55" spans="1:15" ht="18.75" customHeight="1" x14ac:dyDescent="0.15">
      <c r="A55" s="1"/>
      <c r="B55" s="223"/>
      <c r="C55" s="224"/>
      <c r="D55" s="224"/>
      <c r="E55" s="224"/>
      <c r="F55" s="224"/>
      <c r="G55" s="224"/>
      <c r="H55" s="224"/>
      <c r="I55" s="225"/>
    </row>
    <row r="56" spans="1:15" ht="18.75" customHeight="1" x14ac:dyDescent="0.15">
      <c r="A56" s="1"/>
      <c r="B56" s="223"/>
      <c r="C56" s="224"/>
      <c r="D56" s="224"/>
      <c r="E56" s="224"/>
      <c r="F56" s="224"/>
      <c r="G56" s="224"/>
      <c r="H56" s="224"/>
      <c r="I56" s="225"/>
    </row>
    <row r="57" spans="1:15" ht="18.75" customHeight="1" x14ac:dyDescent="0.15">
      <c r="A57" s="1"/>
      <c r="B57" s="223"/>
      <c r="C57" s="224"/>
      <c r="D57" s="224"/>
      <c r="E57" s="224"/>
      <c r="F57" s="224"/>
      <c r="G57" s="224"/>
      <c r="H57" s="224"/>
      <c r="I57" s="225"/>
    </row>
    <row r="58" spans="1:15" ht="18.75" customHeight="1" x14ac:dyDescent="0.15">
      <c r="A58" s="1"/>
      <c r="B58" s="223"/>
      <c r="C58" s="224"/>
      <c r="D58" s="224"/>
      <c r="E58" s="224"/>
      <c r="F58" s="224"/>
      <c r="G58" s="224"/>
      <c r="H58" s="224"/>
      <c r="I58" s="225"/>
    </row>
    <row r="59" spans="1:15" ht="18.75" customHeight="1" x14ac:dyDescent="0.15">
      <c r="A59" s="1"/>
      <c r="B59" s="223"/>
      <c r="C59" s="224"/>
      <c r="D59" s="224"/>
      <c r="E59" s="224"/>
      <c r="F59" s="224"/>
      <c r="G59" s="224"/>
      <c r="H59" s="224"/>
      <c r="I59" s="225"/>
    </row>
    <row r="60" spans="1:15" ht="18.75" customHeight="1" x14ac:dyDescent="0.15">
      <c r="A60" s="1"/>
      <c r="B60" s="223"/>
      <c r="C60" s="224"/>
      <c r="D60" s="224"/>
      <c r="E60" s="224"/>
      <c r="F60" s="224"/>
      <c r="G60" s="224"/>
      <c r="H60" s="224"/>
      <c r="I60" s="225"/>
    </row>
    <row r="61" spans="1:15" ht="18.75" customHeight="1" x14ac:dyDescent="0.15">
      <c r="A61" s="1"/>
      <c r="B61" s="223"/>
      <c r="C61" s="224"/>
      <c r="D61" s="224"/>
      <c r="E61" s="224"/>
      <c r="F61" s="224"/>
      <c r="G61" s="224"/>
      <c r="H61" s="224"/>
      <c r="I61" s="225"/>
    </row>
    <row r="62" spans="1:15" ht="18.75" customHeight="1" x14ac:dyDescent="0.15">
      <c r="A62" s="1"/>
      <c r="B62" s="223"/>
      <c r="C62" s="224"/>
      <c r="D62" s="224"/>
      <c r="E62" s="224"/>
      <c r="F62" s="224"/>
      <c r="G62" s="224"/>
      <c r="H62" s="224"/>
      <c r="I62" s="225"/>
    </row>
    <row r="63" spans="1:15" ht="18.75" customHeight="1" x14ac:dyDescent="0.15">
      <c r="A63" s="1"/>
      <c r="B63" s="226"/>
      <c r="C63" s="227"/>
      <c r="D63" s="227"/>
      <c r="E63" s="227"/>
      <c r="F63" s="227"/>
      <c r="G63" s="227"/>
      <c r="H63" s="227"/>
      <c r="I63" s="228"/>
    </row>
    <row r="64" spans="1:15" ht="7.5" customHeight="1" x14ac:dyDescent="0.15">
      <c r="A64" s="15"/>
      <c r="B64" s="83"/>
      <c r="C64" s="83"/>
      <c r="D64" s="83"/>
      <c r="E64" s="83"/>
      <c r="F64" s="83"/>
      <c r="G64" s="83"/>
      <c r="H64" s="83"/>
      <c r="I64" s="83"/>
    </row>
    <row r="65" spans="1:9" ht="18.75" customHeight="1" x14ac:dyDescent="0.15">
      <c r="A65" s="16" t="s">
        <v>34</v>
      </c>
      <c r="B65" s="76" t="s">
        <v>37</v>
      </c>
      <c r="I65" s="84"/>
    </row>
    <row r="66" spans="1:9" ht="18.75" customHeight="1" x14ac:dyDescent="0.15">
      <c r="A66" s="4"/>
      <c r="B66" s="202" t="s">
        <v>152</v>
      </c>
      <c r="C66" s="203"/>
      <c r="D66" s="203"/>
      <c r="E66" s="203"/>
      <c r="F66" s="203"/>
      <c r="G66" s="203"/>
      <c r="H66" s="203"/>
      <c r="I66" s="204"/>
    </row>
    <row r="67" spans="1:9" ht="18.75" customHeight="1" x14ac:dyDescent="0.15">
      <c r="A67" s="4"/>
      <c r="B67" s="205"/>
      <c r="C67" s="206"/>
      <c r="D67" s="206"/>
      <c r="E67" s="206"/>
      <c r="F67" s="206"/>
      <c r="G67" s="206"/>
      <c r="H67" s="206"/>
      <c r="I67" s="207"/>
    </row>
    <row r="68" spans="1:9" ht="18.75" customHeight="1" x14ac:dyDescent="0.15">
      <c r="A68" s="4"/>
      <c r="B68" s="205"/>
      <c r="C68" s="206"/>
      <c r="D68" s="206"/>
      <c r="E68" s="206"/>
      <c r="F68" s="206"/>
      <c r="G68" s="206"/>
      <c r="H68" s="206"/>
      <c r="I68" s="207"/>
    </row>
    <row r="69" spans="1:9" ht="18.75" customHeight="1" x14ac:dyDescent="0.15">
      <c r="A69" s="4"/>
      <c r="B69" s="205"/>
      <c r="C69" s="206"/>
      <c r="D69" s="206"/>
      <c r="E69" s="206"/>
      <c r="F69" s="206"/>
      <c r="G69" s="206"/>
      <c r="H69" s="206"/>
      <c r="I69" s="207"/>
    </row>
    <row r="70" spans="1:9" ht="18.75" customHeight="1" x14ac:dyDescent="0.15">
      <c r="A70" s="4"/>
      <c r="B70" s="205"/>
      <c r="C70" s="206"/>
      <c r="D70" s="206"/>
      <c r="E70" s="206"/>
      <c r="F70" s="206"/>
      <c r="G70" s="206"/>
      <c r="H70" s="206"/>
      <c r="I70" s="207"/>
    </row>
    <row r="71" spans="1:9" ht="18.75" customHeight="1" x14ac:dyDescent="0.15">
      <c r="A71" s="4"/>
      <c r="B71" s="205"/>
      <c r="C71" s="206"/>
      <c r="D71" s="206"/>
      <c r="E71" s="206"/>
      <c r="F71" s="206"/>
      <c r="G71" s="206"/>
      <c r="H71" s="206"/>
      <c r="I71" s="207"/>
    </row>
    <row r="72" spans="1:9" ht="18.75" customHeight="1" x14ac:dyDescent="0.15">
      <c r="A72" s="4"/>
      <c r="B72" s="205"/>
      <c r="C72" s="206"/>
      <c r="D72" s="206"/>
      <c r="E72" s="206"/>
      <c r="F72" s="206"/>
      <c r="G72" s="206"/>
      <c r="H72" s="206"/>
      <c r="I72" s="207"/>
    </row>
    <row r="73" spans="1:9" ht="18.75" customHeight="1" x14ac:dyDescent="0.15">
      <c r="A73" s="4"/>
      <c r="B73" s="205"/>
      <c r="C73" s="206"/>
      <c r="D73" s="206"/>
      <c r="E73" s="206"/>
      <c r="F73" s="206"/>
      <c r="G73" s="206"/>
      <c r="H73" s="206"/>
      <c r="I73" s="207"/>
    </row>
    <row r="74" spans="1:9" ht="18.75" customHeight="1" x14ac:dyDescent="0.15">
      <c r="A74" s="4"/>
      <c r="B74" s="205"/>
      <c r="C74" s="206"/>
      <c r="D74" s="206"/>
      <c r="E74" s="206"/>
      <c r="F74" s="206"/>
      <c r="G74" s="206"/>
      <c r="H74" s="206"/>
      <c r="I74" s="207"/>
    </row>
    <row r="75" spans="1:9" ht="18.75" customHeight="1" x14ac:dyDescent="0.15">
      <c r="A75" s="4"/>
      <c r="B75" s="205"/>
      <c r="C75" s="206"/>
      <c r="D75" s="206"/>
      <c r="E75" s="206"/>
      <c r="F75" s="206"/>
      <c r="G75" s="206"/>
      <c r="H75" s="206"/>
      <c r="I75" s="207"/>
    </row>
    <row r="76" spans="1:9" ht="18.75" customHeight="1" x14ac:dyDescent="0.15">
      <c r="A76" s="4"/>
      <c r="B76" s="205"/>
      <c r="C76" s="206"/>
      <c r="D76" s="206"/>
      <c r="E76" s="206"/>
      <c r="F76" s="206"/>
      <c r="G76" s="206"/>
      <c r="H76" s="206"/>
      <c r="I76" s="207"/>
    </row>
    <row r="77" spans="1:9" ht="18.75" customHeight="1" x14ac:dyDescent="0.15">
      <c r="A77" s="4"/>
      <c r="B77" s="208"/>
      <c r="C77" s="209"/>
      <c r="D77" s="209"/>
      <c r="E77" s="209"/>
      <c r="F77" s="209"/>
      <c r="G77" s="209"/>
      <c r="H77" s="209"/>
      <c r="I77" s="210"/>
    </row>
    <row r="78" spans="1:9" ht="7.5" customHeight="1" x14ac:dyDescent="0.15">
      <c r="A78" s="4"/>
      <c r="B78" s="85"/>
      <c r="C78" s="85"/>
      <c r="D78" s="85"/>
      <c r="E78" s="85"/>
      <c r="F78" s="85"/>
      <c r="G78" s="85"/>
      <c r="H78" s="85"/>
      <c r="I78" s="85"/>
    </row>
    <row r="79" spans="1:9" ht="18.75" customHeight="1" x14ac:dyDescent="0.15">
      <c r="A79" s="1" t="s">
        <v>11</v>
      </c>
      <c r="B79" s="76" t="s">
        <v>41</v>
      </c>
    </row>
    <row r="80" spans="1:9" ht="18.75" customHeight="1" x14ac:dyDescent="0.15">
      <c r="A80" s="1"/>
      <c r="B80" s="202" t="s">
        <v>153</v>
      </c>
      <c r="C80" s="203"/>
      <c r="D80" s="203"/>
      <c r="E80" s="203"/>
      <c r="F80" s="203"/>
      <c r="G80" s="203"/>
      <c r="H80" s="203"/>
      <c r="I80" s="211"/>
    </row>
    <row r="81" spans="1:9" ht="18.75" customHeight="1" x14ac:dyDescent="0.15">
      <c r="A81" s="1"/>
      <c r="B81" s="212"/>
      <c r="C81" s="213"/>
      <c r="D81" s="213"/>
      <c r="E81" s="213"/>
      <c r="F81" s="213"/>
      <c r="G81" s="213"/>
      <c r="H81" s="213"/>
      <c r="I81" s="214"/>
    </row>
    <row r="82" spans="1:9" ht="18.75" customHeight="1" x14ac:dyDescent="0.15">
      <c r="A82" s="1"/>
      <c r="B82" s="212"/>
      <c r="C82" s="213"/>
      <c r="D82" s="213"/>
      <c r="E82" s="213"/>
      <c r="F82" s="213"/>
      <c r="G82" s="213"/>
      <c r="H82" s="213"/>
      <c r="I82" s="214"/>
    </row>
    <row r="83" spans="1:9" ht="18.75" customHeight="1" x14ac:dyDescent="0.15">
      <c r="A83" s="1"/>
      <c r="B83" s="212"/>
      <c r="C83" s="213"/>
      <c r="D83" s="213"/>
      <c r="E83" s="213"/>
      <c r="F83" s="213"/>
      <c r="G83" s="213"/>
      <c r="H83" s="213"/>
      <c r="I83" s="214"/>
    </row>
    <row r="84" spans="1:9" ht="18.75" customHeight="1" x14ac:dyDescent="0.15">
      <c r="A84" s="1"/>
      <c r="B84" s="212"/>
      <c r="C84" s="213"/>
      <c r="D84" s="213"/>
      <c r="E84" s="213"/>
      <c r="F84" s="213"/>
      <c r="G84" s="213"/>
      <c r="H84" s="213"/>
      <c r="I84" s="214"/>
    </row>
    <row r="85" spans="1:9" ht="18.75" customHeight="1" x14ac:dyDescent="0.15">
      <c r="A85" s="1"/>
      <c r="B85" s="212"/>
      <c r="C85" s="213"/>
      <c r="D85" s="213"/>
      <c r="E85" s="213"/>
      <c r="F85" s="213"/>
      <c r="G85" s="213"/>
      <c r="H85" s="213"/>
      <c r="I85" s="214"/>
    </row>
    <row r="86" spans="1:9" ht="18.75" customHeight="1" x14ac:dyDescent="0.15">
      <c r="A86" s="1"/>
      <c r="B86" s="212"/>
      <c r="C86" s="213"/>
      <c r="D86" s="213"/>
      <c r="E86" s="213"/>
      <c r="F86" s="213"/>
      <c r="G86" s="213"/>
      <c r="H86" s="213"/>
      <c r="I86" s="214"/>
    </row>
    <row r="87" spans="1:9" ht="18.75" customHeight="1" x14ac:dyDescent="0.15">
      <c r="A87" s="1"/>
      <c r="B87" s="212"/>
      <c r="C87" s="213"/>
      <c r="D87" s="213"/>
      <c r="E87" s="213"/>
      <c r="F87" s="213"/>
      <c r="G87" s="213"/>
      <c r="H87" s="213"/>
      <c r="I87" s="214"/>
    </row>
    <row r="88" spans="1:9" ht="18.75" customHeight="1" x14ac:dyDescent="0.15">
      <c r="A88" s="1"/>
      <c r="B88" s="212"/>
      <c r="C88" s="213"/>
      <c r="D88" s="213"/>
      <c r="E88" s="213"/>
      <c r="F88" s="213"/>
      <c r="G88" s="213"/>
      <c r="H88" s="213"/>
      <c r="I88" s="214"/>
    </row>
    <row r="89" spans="1:9" ht="18.75" customHeight="1" x14ac:dyDescent="0.15">
      <c r="A89" s="1"/>
      <c r="B89" s="212"/>
      <c r="C89" s="213"/>
      <c r="D89" s="213"/>
      <c r="E89" s="213"/>
      <c r="F89" s="213"/>
      <c r="G89" s="213"/>
      <c r="H89" s="213"/>
      <c r="I89" s="214"/>
    </row>
    <row r="90" spans="1:9" ht="18.75" customHeight="1" x14ac:dyDescent="0.15">
      <c r="A90" s="4"/>
      <c r="B90" s="212"/>
      <c r="C90" s="213"/>
      <c r="D90" s="213"/>
      <c r="E90" s="213"/>
      <c r="F90" s="213"/>
      <c r="G90" s="213"/>
      <c r="H90" s="213"/>
      <c r="I90" s="214"/>
    </row>
    <row r="91" spans="1:9" ht="18.75" customHeight="1" x14ac:dyDescent="0.15">
      <c r="A91" s="4"/>
      <c r="B91" s="215"/>
      <c r="C91" s="216"/>
      <c r="D91" s="216"/>
      <c r="E91" s="216"/>
      <c r="F91" s="216"/>
      <c r="G91" s="216"/>
      <c r="H91" s="216"/>
      <c r="I91" s="217"/>
    </row>
    <row r="92" spans="1:9" ht="7.5" customHeight="1" x14ac:dyDescent="0.15">
      <c r="A92" s="4"/>
      <c r="B92" s="85"/>
      <c r="C92" s="85"/>
      <c r="D92" s="85"/>
      <c r="E92" s="85"/>
      <c r="F92" s="85"/>
      <c r="G92" s="85"/>
      <c r="H92" s="85"/>
      <c r="I92" s="85"/>
    </row>
    <row r="93" spans="1:9" ht="18.75" customHeight="1" x14ac:dyDescent="0.15">
      <c r="A93" s="1" t="s">
        <v>44</v>
      </c>
      <c r="B93" s="76" t="s">
        <v>13</v>
      </c>
    </row>
    <row r="94" spans="1:9" ht="18.75" customHeight="1" x14ac:dyDescent="0.15">
      <c r="A94" s="1"/>
      <c r="B94" s="229" t="s">
        <v>154</v>
      </c>
      <c r="C94" s="230"/>
      <c r="D94" s="230"/>
      <c r="E94" s="230"/>
      <c r="F94" s="230"/>
      <c r="G94" s="230"/>
      <c r="H94" s="230"/>
      <c r="I94" s="231"/>
    </row>
    <row r="95" spans="1:9" ht="18.75" customHeight="1" x14ac:dyDescent="0.15">
      <c r="A95" s="1"/>
      <c r="B95" s="232"/>
      <c r="C95" s="233"/>
      <c r="D95" s="233"/>
      <c r="E95" s="233"/>
      <c r="F95" s="233"/>
      <c r="G95" s="233"/>
      <c r="H95" s="233"/>
      <c r="I95" s="234"/>
    </row>
    <row r="96" spans="1:9" ht="18.75" customHeight="1" x14ac:dyDescent="0.15">
      <c r="A96" s="1"/>
      <c r="B96" s="232"/>
      <c r="C96" s="233"/>
      <c r="D96" s="233"/>
      <c r="E96" s="233"/>
      <c r="F96" s="233"/>
      <c r="G96" s="233"/>
      <c r="H96" s="233"/>
      <c r="I96" s="234"/>
    </row>
    <row r="97" spans="1:9" ht="18.75" customHeight="1" x14ac:dyDescent="0.15">
      <c r="A97" s="1"/>
      <c r="B97" s="232"/>
      <c r="C97" s="233"/>
      <c r="D97" s="233"/>
      <c r="E97" s="233"/>
      <c r="F97" s="233"/>
      <c r="G97" s="233"/>
      <c r="H97" s="233"/>
      <c r="I97" s="234"/>
    </row>
    <row r="98" spans="1:9" ht="18.75" customHeight="1" x14ac:dyDescent="0.15">
      <c r="A98" s="1"/>
      <c r="B98" s="232"/>
      <c r="C98" s="233"/>
      <c r="D98" s="233"/>
      <c r="E98" s="233"/>
      <c r="F98" s="233"/>
      <c r="G98" s="233"/>
      <c r="H98" s="233"/>
      <c r="I98" s="234"/>
    </row>
    <row r="99" spans="1:9" ht="18.75" customHeight="1" x14ac:dyDescent="0.15">
      <c r="A99" s="1"/>
      <c r="B99" s="232"/>
      <c r="C99" s="233"/>
      <c r="D99" s="233"/>
      <c r="E99" s="233"/>
      <c r="F99" s="233"/>
      <c r="G99" s="233"/>
      <c r="H99" s="233"/>
      <c r="I99" s="234"/>
    </row>
    <row r="100" spans="1:9" ht="18.75" customHeight="1" x14ac:dyDescent="0.15">
      <c r="A100" s="1"/>
      <c r="B100" s="232"/>
      <c r="C100" s="233"/>
      <c r="D100" s="233"/>
      <c r="E100" s="233"/>
      <c r="F100" s="233"/>
      <c r="G100" s="233"/>
      <c r="H100" s="233"/>
      <c r="I100" s="234"/>
    </row>
    <row r="101" spans="1:9" ht="18.75" customHeight="1" x14ac:dyDescent="0.15">
      <c r="A101" s="1"/>
      <c r="B101" s="232"/>
      <c r="C101" s="233"/>
      <c r="D101" s="233"/>
      <c r="E101" s="233"/>
      <c r="F101" s="233"/>
      <c r="G101" s="233"/>
      <c r="H101" s="233"/>
      <c r="I101" s="234"/>
    </row>
    <row r="102" spans="1:9" ht="18.75" customHeight="1" x14ac:dyDescent="0.15">
      <c r="A102" s="1"/>
      <c r="B102" s="232"/>
      <c r="C102" s="233"/>
      <c r="D102" s="233"/>
      <c r="E102" s="233"/>
      <c r="F102" s="233"/>
      <c r="G102" s="233"/>
      <c r="H102" s="233"/>
      <c r="I102" s="234"/>
    </row>
    <row r="103" spans="1:9" ht="18.75" customHeight="1" x14ac:dyDescent="0.15">
      <c r="A103" s="1"/>
      <c r="B103" s="232"/>
      <c r="C103" s="233"/>
      <c r="D103" s="233"/>
      <c r="E103" s="233"/>
      <c r="F103" s="233"/>
      <c r="G103" s="233"/>
      <c r="H103" s="233"/>
      <c r="I103" s="234"/>
    </row>
    <row r="104" spans="1:9" ht="18.75" customHeight="1" x14ac:dyDescent="0.15">
      <c r="A104" s="1"/>
      <c r="B104" s="232"/>
      <c r="C104" s="233"/>
      <c r="D104" s="233"/>
      <c r="E104" s="233"/>
      <c r="F104" s="233"/>
      <c r="G104" s="233"/>
      <c r="H104" s="233"/>
      <c r="I104" s="234"/>
    </row>
    <row r="105" spans="1:9" ht="18.75" customHeight="1" x14ac:dyDescent="0.15">
      <c r="A105" s="4"/>
      <c r="B105" s="235"/>
      <c r="C105" s="236"/>
      <c r="D105" s="236"/>
      <c r="E105" s="236"/>
      <c r="F105" s="236"/>
      <c r="G105" s="236"/>
      <c r="H105" s="236"/>
      <c r="I105" s="237"/>
    </row>
    <row r="106" spans="1:9" ht="7.5" customHeight="1" x14ac:dyDescent="0.15">
      <c r="A106" s="4"/>
      <c r="B106" s="85"/>
      <c r="C106" s="85"/>
      <c r="D106" s="85"/>
      <c r="E106" s="85"/>
      <c r="F106" s="85"/>
      <c r="G106" s="85"/>
      <c r="H106" s="85"/>
      <c r="I106" s="85"/>
    </row>
    <row r="107" spans="1:9" ht="18.75" customHeight="1" x14ac:dyDescent="0.15">
      <c r="A107" s="1" t="s">
        <v>30</v>
      </c>
      <c r="B107" s="238" t="s">
        <v>46</v>
      </c>
      <c r="C107" s="238"/>
      <c r="D107" s="238"/>
      <c r="E107" s="238"/>
      <c r="F107" s="238"/>
      <c r="G107" s="238"/>
      <c r="H107" s="238"/>
      <c r="I107" s="238"/>
    </row>
    <row r="108" spans="1:9" ht="18.75" customHeight="1" x14ac:dyDescent="0.15">
      <c r="A108" s="4"/>
      <c r="B108" s="229" t="s">
        <v>155</v>
      </c>
      <c r="C108" s="230"/>
      <c r="D108" s="230"/>
      <c r="E108" s="230"/>
      <c r="F108" s="230"/>
      <c r="G108" s="230"/>
      <c r="H108" s="230"/>
      <c r="I108" s="231"/>
    </row>
    <row r="109" spans="1:9" ht="18.75" customHeight="1" x14ac:dyDescent="0.15">
      <c r="A109" s="4"/>
      <c r="B109" s="232"/>
      <c r="C109" s="233"/>
      <c r="D109" s="233"/>
      <c r="E109" s="233"/>
      <c r="F109" s="233"/>
      <c r="G109" s="233"/>
      <c r="H109" s="233"/>
      <c r="I109" s="234"/>
    </row>
    <row r="110" spans="1:9" ht="18.75" customHeight="1" x14ac:dyDescent="0.15">
      <c r="A110" s="4"/>
      <c r="B110" s="232"/>
      <c r="C110" s="233"/>
      <c r="D110" s="233"/>
      <c r="E110" s="233"/>
      <c r="F110" s="233"/>
      <c r="G110" s="233"/>
      <c r="H110" s="233"/>
      <c r="I110" s="234"/>
    </row>
    <row r="111" spans="1:9" ht="18.75" customHeight="1" x14ac:dyDescent="0.15">
      <c r="A111" s="4"/>
      <c r="B111" s="232"/>
      <c r="C111" s="233"/>
      <c r="D111" s="233"/>
      <c r="E111" s="233"/>
      <c r="F111" s="233"/>
      <c r="G111" s="233"/>
      <c r="H111" s="233"/>
      <c r="I111" s="234"/>
    </row>
    <row r="112" spans="1:9" ht="18.75" customHeight="1" x14ac:dyDescent="0.15">
      <c r="A112" s="4"/>
      <c r="B112" s="232"/>
      <c r="C112" s="233"/>
      <c r="D112" s="233"/>
      <c r="E112" s="233"/>
      <c r="F112" s="233"/>
      <c r="G112" s="233"/>
      <c r="H112" s="233"/>
      <c r="I112" s="234"/>
    </row>
    <row r="113" spans="1:9" ht="18.75" customHeight="1" x14ac:dyDescent="0.15">
      <c r="A113" s="4"/>
      <c r="B113" s="232"/>
      <c r="C113" s="233"/>
      <c r="D113" s="233"/>
      <c r="E113" s="233"/>
      <c r="F113" s="233"/>
      <c r="G113" s="233"/>
      <c r="H113" s="233"/>
      <c r="I113" s="234"/>
    </row>
    <row r="114" spans="1:9" ht="18.75" customHeight="1" x14ac:dyDescent="0.15">
      <c r="A114" s="4"/>
      <c r="B114" s="232"/>
      <c r="C114" s="233"/>
      <c r="D114" s="233"/>
      <c r="E114" s="233"/>
      <c r="F114" s="233"/>
      <c r="G114" s="233"/>
      <c r="H114" s="233"/>
      <c r="I114" s="234"/>
    </row>
    <row r="115" spans="1:9" ht="18.75" customHeight="1" x14ac:dyDescent="0.15">
      <c r="A115" s="4"/>
      <c r="B115" s="232"/>
      <c r="C115" s="233"/>
      <c r="D115" s="233"/>
      <c r="E115" s="233"/>
      <c r="F115" s="233"/>
      <c r="G115" s="233"/>
      <c r="H115" s="233"/>
      <c r="I115" s="234"/>
    </row>
    <row r="116" spans="1:9" ht="18.75" customHeight="1" x14ac:dyDescent="0.15">
      <c r="A116" s="4"/>
      <c r="B116" s="232"/>
      <c r="C116" s="233"/>
      <c r="D116" s="233"/>
      <c r="E116" s="233"/>
      <c r="F116" s="233"/>
      <c r="G116" s="233"/>
      <c r="H116" s="233"/>
      <c r="I116" s="234"/>
    </row>
    <row r="117" spans="1:9" ht="18.75" customHeight="1" x14ac:dyDescent="0.15">
      <c r="A117" s="4"/>
      <c r="B117" s="232"/>
      <c r="C117" s="233"/>
      <c r="D117" s="233"/>
      <c r="E117" s="233"/>
      <c r="F117" s="233"/>
      <c r="G117" s="233"/>
      <c r="H117" s="233"/>
      <c r="I117" s="234"/>
    </row>
    <row r="118" spans="1:9" ht="18.75" customHeight="1" x14ac:dyDescent="0.15">
      <c r="A118" s="4"/>
      <c r="B118" s="232"/>
      <c r="C118" s="233"/>
      <c r="D118" s="233"/>
      <c r="E118" s="233"/>
      <c r="F118" s="233"/>
      <c r="G118" s="233"/>
      <c r="H118" s="233"/>
      <c r="I118" s="234"/>
    </row>
    <row r="119" spans="1:9" ht="18.75" customHeight="1" x14ac:dyDescent="0.15">
      <c r="A119" s="4"/>
      <c r="B119" s="235"/>
      <c r="C119" s="236"/>
      <c r="D119" s="236"/>
      <c r="E119" s="236"/>
      <c r="F119" s="236"/>
      <c r="G119" s="236"/>
      <c r="H119" s="236"/>
      <c r="I119" s="237"/>
    </row>
    <row r="120" spans="1:9" ht="7.5" customHeight="1" x14ac:dyDescent="0.15">
      <c r="A120" s="4"/>
      <c r="B120" s="86"/>
      <c r="C120" s="86"/>
      <c r="D120" s="86"/>
      <c r="E120" s="86"/>
      <c r="F120" s="86"/>
      <c r="G120" s="86"/>
      <c r="H120" s="86"/>
      <c r="I120" s="86"/>
    </row>
    <row r="121" spans="1:9" ht="18.75" customHeight="1" x14ac:dyDescent="0.15">
      <c r="A121" s="4"/>
      <c r="B121" s="85"/>
      <c r="C121" s="85"/>
      <c r="D121" s="85"/>
      <c r="E121" s="85"/>
      <c r="F121" s="85"/>
      <c r="G121" s="85"/>
      <c r="H121" s="85"/>
      <c r="I121" s="85"/>
    </row>
    <row r="122" spans="1:9" ht="18.75" customHeight="1" x14ac:dyDescent="0.15">
      <c r="A122" s="4"/>
      <c r="B122" s="85"/>
      <c r="C122" s="85"/>
      <c r="D122" s="85"/>
      <c r="E122" s="85"/>
      <c r="F122" s="85"/>
      <c r="G122" s="85"/>
      <c r="H122" s="85"/>
      <c r="I122" s="85"/>
    </row>
    <row r="123" spans="1:9" ht="18.75" customHeight="1" x14ac:dyDescent="0.15">
      <c r="A123" s="4"/>
      <c r="B123" s="85"/>
      <c r="C123" s="85"/>
      <c r="D123" s="85"/>
      <c r="E123" s="85"/>
      <c r="F123" s="85"/>
      <c r="G123" s="85"/>
      <c r="H123" s="85"/>
      <c r="I123" s="85"/>
    </row>
    <row r="124" spans="1:9" ht="18.75" customHeight="1" x14ac:dyDescent="0.15">
      <c r="A124" s="4"/>
      <c r="B124" s="85"/>
      <c r="C124" s="85"/>
      <c r="D124" s="85"/>
      <c r="E124" s="85"/>
      <c r="F124" s="85"/>
      <c r="G124" s="85"/>
      <c r="H124" s="85"/>
      <c r="I124" s="85"/>
    </row>
    <row r="125" spans="1:9" ht="18.75" customHeight="1" x14ac:dyDescent="0.15">
      <c r="A125" s="4"/>
      <c r="B125" s="85"/>
      <c r="C125" s="85"/>
      <c r="D125" s="85"/>
      <c r="E125" s="85"/>
      <c r="F125" s="85"/>
      <c r="G125" s="85"/>
      <c r="H125" s="85"/>
      <c r="I125" s="85"/>
    </row>
    <row r="126" spans="1:9" ht="18.75" customHeight="1" x14ac:dyDescent="0.15">
      <c r="A126" s="4"/>
      <c r="B126" s="85"/>
      <c r="C126" s="85"/>
      <c r="D126" s="85"/>
      <c r="E126" s="85"/>
      <c r="F126" s="85"/>
      <c r="G126" s="85"/>
      <c r="H126" s="85"/>
      <c r="I126" s="85"/>
    </row>
    <row r="127" spans="1:9" ht="18.75" customHeight="1" x14ac:dyDescent="0.15">
      <c r="A127" s="4"/>
      <c r="B127" s="85"/>
      <c r="C127" s="85"/>
      <c r="D127" s="85"/>
      <c r="E127" s="85"/>
      <c r="F127" s="85"/>
      <c r="G127" s="85"/>
      <c r="H127" s="85"/>
      <c r="I127" s="85"/>
    </row>
    <row r="128" spans="1:9" ht="18.75" customHeight="1" x14ac:dyDescent="0.15">
      <c r="A128" s="4"/>
      <c r="B128" s="85"/>
      <c r="C128" s="85"/>
      <c r="D128" s="85"/>
      <c r="E128" s="85"/>
      <c r="F128" s="85"/>
      <c r="G128" s="85"/>
      <c r="H128" s="85"/>
      <c r="I128" s="85"/>
    </row>
    <row r="129" spans="1:9" ht="18.75" customHeight="1" x14ac:dyDescent="0.15">
      <c r="A129" s="4"/>
      <c r="B129" s="85"/>
      <c r="C129" s="85"/>
      <c r="D129" s="85"/>
      <c r="E129" s="85"/>
      <c r="F129" s="85"/>
      <c r="G129" s="85"/>
      <c r="H129" s="85"/>
      <c r="I129" s="85"/>
    </row>
    <row r="130" spans="1:9" ht="18.75" customHeight="1" x14ac:dyDescent="0.15">
      <c r="A130" s="4"/>
      <c r="B130" s="85"/>
      <c r="C130" s="85"/>
      <c r="D130" s="85"/>
      <c r="E130" s="85"/>
      <c r="F130" s="85"/>
      <c r="G130" s="85"/>
      <c r="H130" s="85"/>
      <c r="I130" s="85"/>
    </row>
    <row r="131" spans="1:9" ht="18.75" customHeight="1" x14ac:dyDescent="0.15">
      <c r="A131" s="4"/>
      <c r="B131" s="85"/>
      <c r="C131" s="85"/>
      <c r="D131" s="85"/>
      <c r="E131" s="85"/>
      <c r="F131" s="85"/>
      <c r="G131" s="85"/>
      <c r="H131" s="85"/>
      <c r="I131" s="85"/>
    </row>
    <row r="132" spans="1:9" ht="18.75" customHeight="1" x14ac:dyDescent="0.15">
      <c r="A132" s="4"/>
      <c r="B132" s="85"/>
      <c r="C132" s="85"/>
      <c r="D132" s="85"/>
      <c r="E132" s="85"/>
      <c r="F132" s="85"/>
      <c r="G132" s="85"/>
      <c r="H132" s="85"/>
      <c r="I132" s="85"/>
    </row>
    <row r="133" spans="1:9" ht="14.25" x14ac:dyDescent="0.15">
      <c r="A133" s="4"/>
      <c r="B133" s="85"/>
      <c r="C133" s="85"/>
      <c r="D133" s="85"/>
      <c r="E133" s="85"/>
      <c r="F133" s="85"/>
      <c r="G133" s="85"/>
      <c r="H133" s="85"/>
      <c r="I133" s="85"/>
    </row>
    <row r="134" spans="1:9" ht="7.5" customHeight="1" x14ac:dyDescent="0.15">
      <c r="A134" s="41"/>
      <c r="B134" s="87"/>
      <c r="C134" s="87"/>
      <c r="D134" s="87"/>
      <c r="E134" s="87"/>
      <c r="F134" s="87"/>
      <c r="G134" s="87"/>
      <c r="H134" s="87"/>
      <c r="I134" s="87"/>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M12" sqref="M12"/>
    </sheetView>
  </sheetViews>
  <sheetFormatPr defaultColWidth="11.375" defaultRowHeight="22.5" customHeight="1" x14ac:dyDescent="0.15"/>
  <cols>
    <col min="1" max="3" width="2.75" style="1" customWidth="1"/>
    <col min="4" max="4" width="22.25" style="1" customWidth="1"/>
    <col min="5" max="5" width="30.75" style="76" customWidth="1"/>
    <col min="6" max="7" width="7.75" style="76" customWidth="1"/>
    <col min="8" max="9" width="30.75" style="76" customWidth="1"/>
    <col min="10" max="10" width="4.125" style="1" customWidth="1"/>
    <col min="11" max="16384" width="11.375" style="1"/>
  </cols>
  <sheetData>
    <row r="1" spans="1:9" ht="18.75" customHeight="1" x14ac:dyDescent="0.15">
      <c r="A1" s="1" t="s">
        <v>71</v>
      </c>
      <c r="I1" s="77" t="s">
        <v>105</v>
      </c>
    </row>
    <row r="2" spans="1:9" ht="18.75" customHeight="1" x14ac:dyDescent="0.15">
      <c r="H2" s="77" t="s">
        <v>109</v>
      </c>
      <c r="I2" s="80" t="e">
        <f>#REF!</f>
        <v>#REF!</v>
      </c>
    </row>
    <row r="3" spans="1:9" ht="18.75" customHeight="1" x14ac:dyDescent="0.15">
      <c r="A3" s="168" t="s">
        <v>28</v>
      </c>
      <c r="B3" s="168"/>
      <c r="C3" s="168"/>
      <c r="D3" s="168"/>
      <c r="E3" s="168"/>
      <c r="F3" s="168"/>
      <c r="G3" s="168"/>
      <c r="H3" s="168"/>
      <c r="I3" s="168"/>
    </row>
    <row r="4" spans="1:9" ht="18.75" customHeight="1" x14ac:dyDescent="0.15">
      <c r="A4" s="5"/>
      <c r="B4" s="5"/>
      <c r="C4" s="5"/>
      <c r="D4" s="5"/>
      <c r="E4" s="88"/>
      <c r="F4" s="88"/>
      <c r="G4" s="88"/>
      <c r="H4" s="88"/>
      <c r="I4" s="88"/>
    </row>
    <row r="5" spans="1:9" ht="18.75" customHeight="1" x14ac:dyDescent="0.15">
      <c r="A5" s="1" t="s">
        <v>0</v>
      </c>
      <c r="B5" s="10" t="s">
        <v>95</v>
      </c>
      <c r="C5" s="5"/>
      <c r="D5" s="5"/>
      <c r="E5" s="88"/>
      <c r="F5" s="88"/>
      <c r="G5" s="88"/>
      <c r="H5" s="88"/>
      <c r="I5" s="88"/>
    </row>
    <row r="6" spans="1:9" ht="26.25" customHeight="1" x14ac:dyDescent="0.15">
      <c r="A6" s="5"/>
      <c r="B6" s="280" t="s">
        <v>145</v>
      </c>
      <c r="C6" s="281"/>
      <c r="D6" s="281"/>
      <c r="E6" s="281"/>
      <c r="F6" s="281"/>
      <c r="G6" s="281"/>
      <c r="H6" s="282"/>
      <c r="I6" s="79"/>
    </row>
    <row r="7" spans="1:9" ht="9" customHeight="1" x14ac:dyDescent="0.15">
      <c r="A7" s="5"/>
      <c r="B7" s="10"/>
      <c r="C7" s="10"/>
      <c r="D7" s="10"/>
      <c r="E7" s="78"/>
      <c r="F7" s="78"/>
      <c r="G7" s="78"/>
      <c r="H7" s="78"/>
      <c r="I7" s="79"/>
    </row>
    <row r="8" spans="1:9" ht="18.75" customHeight="1" x14ac:dyDescent="0.15">
      <c r="A8" s="5"/>
      <c r="B8" s="3"/>
      <c r="C8" s="3"/>
      <c r="D8" s="34" t="s">
        <v>43</v>
      </c>
      <c r="E8" s="89" t="s">
        <v>142</v>
      </c>
      <c r="F8" s="79"/>
      <c r="G8" s="77" t="s">
        <v>10</v>
      </c>
      <c r="H8" s="98" t="s">
        <v>146</v>
      </c>
      <c r="I8" s="79"/>
    </row>
    <row r="9" spans="1:9" ht="7.5" customHeight="1" x14ac:dyDescent="0.15">
      <c r="A9" s="5"/>
      <c r="B9" s="5"/>
      <c r="C9" s="5"/>
      <c r="D9" s="5"/>
      <c r="E9" s="88"/>
      <c r="F9" s="88"/>
      <c r="G9" s="88"/>
      <c r="H9" s="88"/>
      <c r="I9" s="88"/>
    </row>
    <row r="10" spans="1:9" ht="18.75" customHeight="1" x14ac:dyDescent="0.15">
      <c r="A10" s="1" t="s">
        <v>3</v>
      </c>
      <c r="B10" s="1" t="s">
        <v>27</v>
      </c>
      <c r="C10" s="4"/>
      <c r="D10" s="4"/>
      <c r="E10" s="85"/>
      <c r="F10" s="85"/>
      <c r="G10" s="85"/>
      <c r="H10" s="85"/>
      <c r="I10" s="85"/>
    </row>
    <row r="11" spans="1:9" ht="18.75" customHeight="1" x14ac:dyDescent="0.15">
      <c r="B11" s="143" t="s">
        <v>24</v>
      </c>
      <c r="C11" s="128"/>
      <c r="D11" s="129"/>
      <c r="E11" s="279" t="s">
        <v>26</v>
      </c>
      <c r="F11" s="279"/>
      <c r="G11" s="279"/>
      <c r="H11" s="279"/>
      <c r="I11" s="240"/>
    </row>
    <row r="12" spans="1:9" ht="26.25" customHeight="1" x14ac:dyDescent="0.15">
      <c r="B12" s="42" t="s">
        <v>14</v>
      </c>
      <c r="C12" s="48"/>
      <c r="D12" s="43"/>
      <c r="E12" s="90"/>
      <c r="F12" s="90"/>
      <c r="G12" s="90"/>
      <c r="H12" s="90"/>
      <c r="I12" s="91"/>
    </row>
    <row r="13" spans="1:9" ht="210.75" customHeight="1" x14ac:dyDescent="0.15">
      <c r="B13" s="44"/>
      <c r="C13" s="262" t="s">
        <v>15</v>
      </c>
      <c r="D13" s="263"/>
      <c r="E13" s="275" t="s">
        <v>156</v>
      </c>
      <c r="F13" s="264"/>
      <c r="G13" s="264"/>
      <c r="H13" s="264"/>
      <c r="I13" s="265"/>
    </row>
    <row r="14" spans="1:9" ht="210.75" customHeight="1" x14ac:dyDescent="0.15">
      <c r="B14" s="44"/>
      <c r="C14" s="277" t="s">
        <v>16</v>
      </c>
      <c r="D14" s="278"/>
      <c r="E14" s="275" t="s">
        <v>157</v>
      </c>
      <c r="F14" s="264"/>
      <c r="G14" s="264"/>
      <c r="H14" s="264"/>
      <c r="I14" s="265"/>
    </row>
    <row r="15" spans="1:9" ht="210.75" customHeight="1" x14ac:dyDescent="0.15">
      <c r="B15" s="44"/>
      <c r="C15" s="262" t="s">
        <v>17</v>
      </c>
      <c r="D15" s="263"/>
      <c r="E15" s="275" t="s">
        <v>158</v>
      </c>
      <c r="F15" s="264"/>
      <c r="G15" s="264"/>
      <c r="H15" s="264"/>
      <c r="I15" s="265"/>
    </row>
    <row r="16" spans="1:9" ht="210.75" customHeight="1" x14ac:dyDescent="0.15">
      <c r="B16" s="44"/>
      <c r="C16" s="262" t="s">
        <v>18</v>
      </c>
      <c r="D16" s="263"/>
      <c r="E16" s="275" t="s">
        <v>159</v>
      </c>
      <c r="F16" s="264"/>
      <c r="G16" s="264"/>
      <c r="H16" s="264"/>
      <c r="I16" s="265"/>
    </row>
    <row r="17" spans="2:9" ht="210.75" customHeight="1" x14ac:dyDescent="0.15">
      <c r="B17" s="45"/>
      <c r="C17" s="266" t="s">
        <v>19</v>
      </c>
      <c r="D17" s="267"/>
      <c r="E17" s="276" t="s">
        <v>160</v>
      </c>
      <c r="F17" s="268"/>
      <c r="G17" s="268"/>
      <c r="H17" s="268"/>
      <c r="I17" s="269"/>
    </row>
    <row r="18" spans="2:9" ht="24" customHeight="1" x14ac:dyDescent="0.15">
      <c r="B18" s="42" t="s">
        <v>20</v>
      </c>
      <c r="C18" s="46"/>
      <c r="D18" s="47"/>
      <c r="E18" s="92"/>
      <c r="F18" s="92"/>
      <c r="G18" s="92"/>
      <c r="H18" s="92"/>
      <c r="I18" s="93"/>
    </row>
    <row r="19" spans="2:9" ht="218.25" customHeight="1" x14ac:dyDescent="0.15">
      <c r="B19" s="44"/>
      <c r="C19" s="262" t="s">
        <v>21</v>
      </c>
      <c r="D19" s="263"/>
      <c r="E19" s="264" t="s">
        <v>161</v>
      </c>
      <c r="F19" s="264"/>
      <c r="G19" s="264"/>
      <c r="H19" s="264"/>
      <c r="I19" s="265"/>
    </row>
    <row r="20" spans="2:9" ht="218.25" customHeight="1" x14ac:dyDescent="0.15">
      <c r="B20" s="45"/>
      <c r="C20" s="266" t="s">
        <v>22</v>
      </c>
      <c r="D20" s="267"/>
      <c r="E20" s="268" t="s">
        <v>162</v>
      </c>
      <c r="F20" s="268"/>
      <c r="G20" s="268"/>
      <c r="H20" s="268"/>
      <c r="I20" s="269"/>
    </row>
    <row r="21" spans="2:9" ht="218.25" customHeight="1" x14ac:dyDescent="0.15">
      <c r="B21" s="270" t="s">
        <v>23</v>
      </c>
      <c r="C21" s="271"/>
      <c r="D21" s="272"/>
      <c r="E21" s="273" t="s">
        <v>147</v>
      </c>
      <c r="F21" s="273"/>
      <c r="G21" s="273"/>
      <c r="H21" s="273"/>
      <c r="I21" s="274"/>
    </row>
    <row r="22" spans="2:9" ht="218.25" customHeight="1" x14ac:dyDescent="0.15">
      <c r="B22" s="257" t="s">
        <v>38</v>
      </c>
      <c r="C22" s="258"/>
      <c r="D22" s="259"/>
      <c r="E22" s="260" t="s">
        <v>148</v>
      </c>
      <c r="F22" s="260"/>
      <c r="G22" s="260"/>
      <c r="H22" s="260"/>
      <c r="I22" s="261"/>
    </row>
    <row r="23" spans="2:9" ht="22.5" customHeight="1" x14ac:dyDescent="0.15">
      <c r="B23" s="4"/>
      <c r="C23" s="4"/>
      <c r="D23" s="4"/>
      <c r="E23" s="85"/>
      <c r="F23" s="85"/>
      <c r="G23" s="85"/>
      <c r="H23" s="85"/>
      <c r="I23" s="85"/>
    </row>
    <row r="24" spans="2:9" ht="22.5" customHeight="1" x14ac:dyDescent="0.15">
      <c r="B24" s="4"/>
      <c r="C24" s="4"/>
      <c r="D24" s="4"/>
      <c r="E24" s="85"/>
      <c r="F24" s="85"/>
      <c r="G24" s="85"/>
      <c r="H24" s="85"/>
      <c r="I24" s="85"/>
    </row>
    <row r="25" spans="2:9" ht="22.5" customHeight="1" x14ac:dyDescent="0.15">
      <c r="B25" s="4"/>
      <c r="C25" s="4"/>
      <c r="D25" s="4"/>
      <c r="E25" s="85"/>
      <c r="F25" s="85"/>
      <c r="G25" s="85"/>
      <c r="H25" s="85"/>
      <c r="I25" s="85"/>
    </row>
    <row r="26" spans="2:9" ht="22.5" customHeight="1" x14ac:dyDescent="0.15">
      <c r="B26" s="4"/>
      <c r="C26" s="4"/>
      <c r="D26" s="4"/>
      <c r="E26" s="85"/>
      <c r="F26" s="85"/>
      <c r="G26" s="85"/>
      <c r="H26" s="85"/>
      <c r="I26" s="85"/>
    </row>
    <row r="27" spans="2:9" ht="22.5" customHeight="1" x14ac:dyDescent="0.15">
      <c r="B27" s="4"/>
      <c r="C27" s="4"/>
      <c r="D27" s="4"/>
      <c r="E27" s="85"/>
      <c r="F27" s="85"/>
      <c r="G27" s="85"/>
      <c r="H27" s="85"/>
      <c r="I27" s="85"/>
    </row>
    <row r="28" spans="2:9" ht="22.5" customHeight="1" x14ac:dyDescent="0.15">
      <c r="B28" s="15"/>
      <c r="C28" s="15"/>
      <c r="D28" s="15"/>
      <c r="E28" s="83"/>
      <c r="F28" s="83"/>
      <c r="G28" s="83"/>
      <c r="H28" s="83"/>
      <c r="I28" s="83"/>
    </row>
    <row r="29" spans="2:9" ht="22.5" customHeight="1" x14ac:dyDescent="0.15">
      <c r="B29" s="15"/>
      <c r="C29" s="15"/>
      <c r="D29" s="15"/>
      <c r="E29" s="83"/>
      <c r="F29" s="83"/>
      <c r="G29" s="83"/>
      <c r="H29" s="83"/>
      <c r="I29" s="83"/>
    </row>
    <row r="30" spans="2:9" ht="22.5" customHeight="1" x14ac:dyDescent="0.15">
      <c r="B30" s="15"/>
      <c r="C30" s="15"/>
      <c r="D30" s="15"/>
      <c r="E30" s="83"/>
      <c r="F30" s="83"/>
      <c r="G30" s="83"/>
      <c r="H30" s="83"/>
      <c r="I30" s="83"/>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2023-05-15T02:27:53Z</dcterms:created>
  <dcterms:modified xsi:type="dcterms:W3CDTF">2023-07-12T04:43:27Z</dcterms:modified>
</cp:coreProperties>
</file>