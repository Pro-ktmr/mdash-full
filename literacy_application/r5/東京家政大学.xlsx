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localdoc\Desktop\"/>
    </mc:Choice>
  </mc:AlternateContent>
  <bookViews>
    <workbookView xWindow="0" yWindow="0" windowWidth="22485" windowHeight="822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AQ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5" i="40"/>
  <c r="AQ14" i="40"/>
  <c r="AQ13" i="40"/>
  <c r="AP32" i="40" l="1"/>
  <c r="AQ32" i="40" s="1"/>
  <c r="C49" i="41" s="1"/>
</calcChain>
</file>

<file path=xl/sharedStrings.xml><?xml version="1.0" encoding="utf-8"?>
<sst xmlns="http://schemas.openxmlformats.org/spreadsheetml/2006/main" count="300" uniqueCount="172">
  <si>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</si>
  <si>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</si>
  <si>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</si>
  <si>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</si>
  <si>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</si>
  <si>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</si>
  <si>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</si>
  <si>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</si>
  <si>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</si>
  <si>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</si>
  <si>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</si>
  <si>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</si>
  <si>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</si>
  <si>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</si>
  <si>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</si>
  <si>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</si>
  <si>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</si>
  <si>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</si>
  <si>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</si>
  <si>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</si>
  <si>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</si>
  <si>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</si>
  <si>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</si>
  <si>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</si>
  <si>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</si>
  <si>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</si>
  <si>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</si>
  <si>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</si>
  <si>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</si>
  <si>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</si>
  <si>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</si>
  <si>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</si>
  <si>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</si>
  <si>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</si>
  <si>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</si>
  <si>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</si>
  <si>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</si>
  <si>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</si>
  <si>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</si>
  <si>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</si>
  <si>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</si>
  <si>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</si>
  <si>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</si>
  <si>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</si>
  <si>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</si>
  <si>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</si>
  <si>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</si>
  <si>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</si>
  <si>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</si>
  <si>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</si>
  <si>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</si>
  <si>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</si>
  <si>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</si>
  <si>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</si>
  <si>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</si>
  <si>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</si>
  <si>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</si>
  <si>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</si>
  <si>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</si>
  <si>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</si>
  <si>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</si>
  <si>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</si>
  <si>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</si>
  <si>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</si>
  <si>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</si>
  <si>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</si>
  <si>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</si>
  <si>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</si>
  <si>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</si>
  <si>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</si>
  <si>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</si>
  <si>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</si>
  <si>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</si>
  <si>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</si>
  <si>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</si>
  <si>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</si>
  <si>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</si>
  <si>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</si>
  <si>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</si>
  <si>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</si>
  <si>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</si>
  <si>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</si>
  <si>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</si>
  <si>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</si>
  <si>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</si>
  <si>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</si>
  <si>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</si>
  <si>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</si>
  <si>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</si>
  <si>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</si>
  <si>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</si>
  <si>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</si>
  <si>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</si>
  <si>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</si>
  <si>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</si>
  <si>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</si>
  <si>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</si>
  <si>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</si>
  <si>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</si>
  <si>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</si>
  <si>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</si>
  <si>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</si>
  <si>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</si>
  <si>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</si>
  <si>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</si>
  <si>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</si>
  <si>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</si>
  <si>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</si>
  <si>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</si>
  <si>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</si>
  <si>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</si>
  <si>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</si>
  <si>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</si>
  <si>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</si>
  <si>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</si>
  <si>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</si>
  <si>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</si>
  <si>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</si>
  <si>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</si>
  <si>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</si>
  <si>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</si>
  <si>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</si>
  <si>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</si>
  <si>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</si>
  <si>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</si>
  <si>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</si>
  <si>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</si>
  <si>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東京家政大学</t>
    <rPh sb="0" eb="2">
      <t>トウキョウ</t>
    </rPh>
    <rPh sb="2" eb="4">
      <t>カセイ</t>
    </rPh>
    <rPh sb="4" eb="6">
      <t>ダイガク</t>
    </rPh>
    <phoneticPr fontId="1"/>
  </si>
  <si>
    <t>学部・学科によって、修了要件は相違しない</t>
  </si>
  <si>
    <t>東京家政大学「数理•データサイエンス•AI教育プログラム」（MDACK）</t>
    <phoneticPr fontId="1"/>
  </si>
  <si>
    <t>データサイエンス基礎</t>
    <phoneticPr fontId="1"/>
  </si>
  <si>
    <t>○</t>
  </si>
  <si>
    <t>データサイエンス基礎</t>
    <rPh sb="8" eb="10">
      <t>キソ</t>
    </rPh>
    <phoneticPr fontId="1"/>
  </si>
  <si>
    <t>令和4</t>
    <rPh sb="0" eb="2">
      <t>レイワ</t>
    </rPh>
    <phoneticPr fontId="1"/>
  </si>
  <si>
    <t>家政学部</t>
    <phoneticPr fontId="1"/>
  </si>
  <si>
    <t>栄養学部</t>
    <rPh sb="0" eb="2">
      <t>エイヨウ</t>
    </rPh>
    <rPh sb="2" eb="4">
      <t>ガクブ</t>
    </rPh>
    <phoneticPr fontId="1"/>
  </si>
  <si>
    <t>人文学部</t>
    <rPh sb="0" eb="2">
      <t>ジンブン</t>
    </rPh>
    <rPh sb="2" eb="4">
      <t>ガクブ</t>
    </rPh>
    <phoneticPr fontId="1"/>
  </si>
  <si>
    <t>健康科学部</t>
    <rPh sb="0" eb="2">
      <t>ケンコウ</t>
    </rPh>
    <rPh sb="2" eb="5">
      <t>カガクブ</t>
    </rPh>
    <phoneticPr fontId="1"/>
  </si>
  <si>
    <t>子ども学部</t>
    <phoneticPr fontId="1"/>
  </si>
  <si>
    <t>大西 淳之</t>
    <phoneticPr fontId="1"/>
  </si>
  <si>
    <t>全学データサイエンス教育推進委員会</t>
    <phoneticPr fontId="1"/>
  </si>
  <si>
    <t>プログラムを構成する授業科目「データサイエンス基礎」（2単位）を取得すること。</t>
    <rPh sb="6" eb="8">
      <t>コウセイ</t>
    </rPh>
    <rPh sb="10" eb="12">
      <t>ジュギョウ</t>
    </rPh>
    <rPh sb="12" eb="14">
      <t>カモク</t>
    </rPh>
    <rPh sb="32" eb="34">
      <t>シュトク</t>
    </rPh>
    <phoneticPr fontId="1"/>
  </si>
  <si>
    <t>委員長（兼共通教育推進部長）</t>
    <phoneticPr fontId="1"/>
  </si>
  <si>
    <t>全学データサイエンス教育推進委員会規程</t>
    <phoneticPr fontId="1"/>
  </si>
  <si>
    <t xml:space="preserve">　「全学データサイエンス教育推進委員会」と「学修•教育開発センター」協同で修了生の成績分析を通じ、学修成果およびスキル習得の質保証を図る体制を構築している。今後は修了生の関連専門科目の学修成果との結びつきを追跡し、在学期間全体を通じての学修成果可視化を図ることとしている。
　プログラム学修成果はHP等にて公表し、周知に努めている。目標の習熟度は毎回小テスト等により確認し、成績評価で内容理解・復習する観点を重視することで学修成果の定着を図った。
　授業終了後には2種のアンケートにて理解度等を分析し、プログラム取組の適切性を図っている。アンケート結果については担当者間で共有し、次年度以降の改善検討に用いている。
</t>
    <rPh sb="34" eb="36">
      <t>キョウドウ</t>
    </rPh>
    <rPh sb="173" eb="175">
      <t>マイカイ</t>
    </rPh>
    <rPh sb="179" eb="180">
      <t>トウ</t>
    </rPh>
    <phoneticPr fontId="1"/>
  </si>
  <si>
    <t xml:space="preserve">　本学のホームページ（HP）や学生用のポータルサイト上で「東京家政大学 数理・データサイエンス・AI教育プログラム(MDACK)」およびプログラム基幹科目「データサイエンス基礎」に関する情報（科目紹介動画も含む）を公開し、キャンパスを問わず全学生がMDACK教育プログラムについての情報を得やすい環境を整えている。また、両キャンパス新入生へチラシを配布し、MDACK教育プログラムと「データサイエンス基礎」に関する情報の周知に努めている。令和5～6年度は同様に取組み、令和7年度以降「データサイエンス基礎」の全学部・学科必修科目化に伴い、新たに全学共通教育用のパンフレットによる情報周知を実施する。
　また、プログラム修了者に対して身に付けられる具体的な知識と技能を明示するデジタル修了証（オープンバッジ）を発行する本学独自の認定を実施している。この制度により、修了者は自身の獲得スキルを把握・開示しやすくなり学修促進に繋がると期待される。
</t>
    <phoneticPr fontId="1"/>
  </si>
  <si>
    <t>（令和4年度）　
　委員長、共通教育推進部長、栄養学部　教授　大西 淳之
　情報関連科目部会長、児童学部　講師　天野 美穂子
　コンピューターシステム管理センター所長、人文学部　教授　小池 新　
　子ども支援学科長、子ども支援学部　教授　保坂 遊
　学修・教育開発センター　副課長　神保 正典
　（事務局）共通教育推進部</t>
    <rPh sb="1" eb="3">
      <t>レイワ</t>
    </rPh>
    <rPh sb="4" eb="6">
      <t>ネンド</t>
    </rPh>
    <rPh sb="28" eb="30">
      <t>キョウジュ</t>
    </rPh>
    <rPh sb="53" eb="55">
      <t>コウシ</t>
    </rPh>
    <rPh sb="89" eb="91">
      <t>キョウジュ</t>
    </rPh>
    <rPh sb="104" eb="106">
      <t>ガッカ</t>
    </rPh>
    <rPh sb="113" eb="115">
      <t>ガクブ</t>
    </rPh>
    <rPh sb="116" eb="118">
      <t>キョウジュ</t>
    </rPh>
    <rPh sb="141" eb="143">
      <t>ジンボ</t>
    </rPh>
    <rPh sb="144" eb="145">
      <t>マサ</t>
    </rPh>
    <rPh sb="145" eb="146">
      <t>ノリ</t>
    </rPh>
    <phoneticPr fontId="1"/>
  </si>
  <si>
    <t>　本学の全学的なMDACK教育プログラムが開設されたのは令和4年度（2022年度）であるため、本プログラム修了者の卒業生は現時点ではいない。そのためこの項目に関しては今後の取り組みとなる。
　本学の取組みとして卒業時アンケートおよび採用先ニーズ調査にて卒業生の実態を把握しているため、本プログラム修了生の枠組みでの分析も検討する。</t>
    <rPh sb="96" eb="98">
      <t>ホンガク</t>
    </rPh>
    <rPh sb="99" eb="101">
      <t>トリク</t>
    </rPh>
    <rPh sb="105" eb="107">
      <t>ソツギョウ</t>
    </rPh>
    <rPh sb="107" eb="108">
      <t>ジ</t>
    </rPh>
    <rPh sb="116" eb="118">
      <t>サイヨウ</t>
    </rPh>
    <rPh sb="118" eb="119">
      <t>サキ</t>
    </rPh>
    <rPh sb="122" eb="124">
      <t>チョウサ</t>
    </rPh>
    <rPh sb="126" eb="129">
      <t>ソツギョウセイ</t>
    </rPh>
    <rPh sb="130" eb="132">
      <t>ジッタイ</t>
    </rPh>
    <rPh sb="133" eb="135">
      <t>ハアク</t>
    </rPh>
    <rPh sb="142" eb="143">
      <t>ホン</t>
    </rPh>
    <rPh sb="148" eb="150">
      <t>シュウリョウ</t>
    </rPh>
    <rPh sb="150" eb="151">
      <t>セイ</t>
    </rPh>
    <rPh sb="152" eb="154">
      <t>ワクグ</t>
    </rPh>
    <rPh sb="157" eb="159">
      <t>ブンセキ</t>
    </rPh>
    <rPh sb="160" eb="162">
      <t>ケントウ</t>
    </rPh>
    <phoneticPr fontId="1"/>
  </si>
  <si>
    <t xml:space="preserve">　「データサイエンス基礎」は14回の講義を3人の専任教員が単元毎に担当し、毎回オリジナルの講義内容を動画配信している。
　講義は「データサイエンスが本学すべての学部・学科の学問領域に通底する知識体系である」点や、そもそものデータサイエンスの概念等を最初に丁寧に説明することで、受講生が「データサイエンス基礎」の学修と各学科における専門教育とのつながりや学ぶことの意義を実感できるカリキュラムとしている。
　さらにデータサイエンス初学者であっても、実社会における産業界や研究面での具体的な活用事例を高品質な動画教材で提供・紹介することで、本科目の学ぶ楽しさを実感できる設計となっている。
</t>
    <rPh sb="260" eb="262">
      <t>ショウカイ</t>
    </rPh>
    <phoneticPr fontId="1"/>
  </si>
  <si>
    <t xml:space="preserve">　履修データはシステムを通じIR部門「学修・教育開発センター」にて集約・把握している。学生の授業進度や課題提出状況・質問などはLMSで教員がモニタリングし、適切に介入し授業支援を実施している。令和4年度の履修・修得状況は以下の通り。
・プログラム履修状況
当初50名程度の想定としていたが、応募多数に伴い80名受講枠へ拡大した。全学部より応募があり、広報成果として一定の認知度も獲得できたと評価できる。
・単位修得状況
　プログラム受講者79名に対し、単位取得者は72名（秀51名（70%）、優17名（24%）、良2名（3％）、可3名（3％））であり、リテラシーレベルの内容として概ね適切な成績評価と単位認定が行われたと判断できる。
</t>
    <phoneticPr fontId="1"/>
  </si>
  <si>
    <r>
      <t>　令和4年度「データサイエンス基礎」授業評価アンケート結果では、上記の通り達成度・理解度について学生から高い評価を得ているため、口コミでの推奨が期待できる。また、このようなアンケート結果はHPより教職員学生向けに公開を行うことから、新入生を含めて今後科目を履修する学生が確認可能となる。また修了生には</t>
    </r>
    <r>
      <rPr>
        <sz val="12"/>
        <color theme="1"/>
        <rFont val="ＭＳ Ｐゴシック"/>
        <family val="3"/>
        <charset val="128"/>
        <scheme val="minor"/>
      </rPr>
      <t>ヒアリングを実施し、受講満足度や後輩への推奨度</t>
    </r>
    <r>
      <rPr>
        <sz val="12"/>
        <color theme="1"/>
        <rFont val="ＭＳ Ｐゴシック"/>
        <family val="3"/>
        <charset val="128"/>
        <scheme val="minor"/>
      </rPr>
      <t>が高い旨のコメントを得ている。
　後輩等他の学生への推奨度を測定するアンケートは実施していないため、今後は項目の見直し等を検討する。</t>
    </r>
    <rPh sb="15" eb="17">
      <t>キソ</t>
    </rPh>
    <rPh sb="32" eb="34">
      <t>ジョウキ</t>
    </rPh>
    <rPh sb="35" eb="36">
      <t>トオ</t>
    </rPh>
    <rPh sb="37" eb="39">
      <t>タッセイ</t>
    </rPh>
    <rPh sb="39" eb="40">
      <t>ド</t>
    </rPh>
    <rPh sb="41" eb="44">
      <t>リカイド</t>
    </rPh>
    <rPh sb="91" eb="93">
      <t>ケッカ</t>
    </rPh>
    <rPh sb="98" eb="101">
      <t>キョウショクイン</t>
    </rPh>
    <rPh sb="101" eb="103">
      <t>ガクセイ</t>
    </rPh>
    <rPh sb="103" eb="104">
      <t>ム</t>
    </rPh>
    <rPh sb="106" eb="108">
      <t>コウカイ</t>
    </rPh>
    <rPh sb="109" eb="110">
      <t>オコナ</t>
    </rPh>
    <rPh sb="116" eb="119">
      <t>シンニュウセイ</t>
    </rPh>
    <rPh sb="120" eb="121">
      <t>フク</t>
    </rPh>
    <rPh sb="123" eb="125">
      <t>コンゴ</t>
    </rPh>
    <rPh sb="125" eb="127">
      <t>カモク</t>
    </rPh>
    <rPh sb="128" eb="130">
      <t>リシュウ</t>
    </rPh>
    <rPh sb="132" eb="134">
      <t>ガクセイ</t>
    </rPh>
    <rPh sb="135" eb="137">
      <t>カクニン</t>
    </rPh>
    <rPh sb="137" eb="139">
      <t>カノウ</t>
    </rPh>
    <rPh sb="145" eb="147">
      <t>シュウリョウ</t>
    </rPh>
    <rPh sb="147" eb="148">
      <t>セイ</t>
    </rPh>
    <rPh sb="156" eb="158">
      <t>ジッシ</t>
    </rPh>
    <rPh sb="160" eb="162">
      <t>ジュコウ</t>
    </rPh>
    <rPh sb="162" eb="165">
      <t>マンゾクド</t>
    </rPh>
    <rPh sb="166" eb="168">
      <t>コウハイ</t>
    </rPh>
    <rPh sb="170" eb="172">
      <t>スイショウ</t>
    </rPh>
    <rPh sb="172" eb="173">
      <t>ド</t>
    </rPh>
    <rPh sb="174" eb="175">
      <t>タカ</t>
    </rPh>
    <rPh sb="176" eb="177">
      <t>ムネ</t>
    </rPh>
    <rPh sb="183" eb="184">
      <t>エ</t>
    </rPh>
    <rPh sb="234" eb="236">
      <t>ケントウ</t>
    </rPh>
    <phoneticPr fontId="1"/>
  </si>
  <si>
    <r>
      <t>　本学では毎年「キャリア支援センター」が卒業生の就職先を対象に、企業からみた本学卒業生に対するアンケートを実施している。回答のうちデータサイエンス関連スキルについて分析を実施し、その結果をもとにMDACK教育プログラムで習得させるべき具体的なスキルの洗い出しと「データサイエンス基礎」科目の内容の点検・評価・改善に努める。
　また、担当教員として</t>
    </r>
    <r>
      <rPr>
        <sz val="12"/>
        <rFont val="ＭＳ Ｐゴシック"/>
        <family val="3"/>
        <charset val="128"/>
      </rPr>
      <t>民間企業出身の</t>
    </r>
    <r>
      <rPr>
        <sz val="12"/>
        <rFont val="ＭＳ Ｐゴシック"/>
        <family val="3"/>
        <charset val="128"/>
        <scheme val="minor"/>
      </rPr>
      <t>実務家教員</t>
    </r>
    <r>
      <rPr>
        <sz val="12"/>
        <rFont val="ＭＳ Ｐゴシック"/>
        <family val="3"/>
        <charset val="128"/>
      </rPr>
      <t>も</t>
    </r>
    <r>
      <rPr>
        <sz val="12"/>
        <rFont val="ＭＳ Ｐゴシック"/>
        <family val="3"/>
        <charset val="128"/>
        <scheme val="minor"/>
      </rPr>
      <t>配置し、</t>
    </r>
    <r>
      <rPr>
        <sz val="12"/>
        <rFont val="ＭＳ Ｐゴシック"/>
        <family val="3"/>
        <charset val="128"/>
      </rPr>
      <t>さらに</t>
    </r>
    <r>
      <rPr>
        <sz val="12"/>
        <rFont val="ＭＳ Ｐゴシック"/>
        <family val="3"/>
        <charset val="128"/>
        <scheme val="minor"/>
      </rPr>
      <t>産業界出身</t>
    </r>
    <r>
      <rPr>
        <sz val="12"/>
        <rFont val="ＭＳ Ｐゴシック"/>
        <family val="3"/>
        <charset val="128"/>
      </rPr>
      <t>の本学</t>
    </r>
    <r>
      <rPr>
        <sz val="12"/>
        <rFont val="ＭＳ Ｐゴシック"/>
        <family val="3"/>
        <charset val="128"/>
        <scheme val="minor"/>
      </rPr>
      <t>教員</t>
    </r>
    <r>
      <rPr>
        <sz val="12"/>
        <rFont val="ＭＳ Ｐゴシック"/>
        <family val="3"/>
        <charset val="128"/>
      </rPr>
      <t>にも</t>
    </r>
    <r>
      <rPr>
        <sz val="12"/>
        <rFont val="ＭＳ Ｐゴシック"/>
        <family val="3"/>
        <charset val="128"/>
        <scheme val="minor"/>
      </rPr>
      <t>ゲストスピーカー</t>
    </r>
    <r>
      <rPr>
        <sz val="12"/>
        <rFont val="ＭＳ Ｐゴシック"/>
        <family val="3"/>
        <charset val="128"/>
      </rPr>
      <t>として</t>
    </r>
    <r>
      <rPr>
        <sz val="12"/>
        <rFont val="ＭＳ Ｐゴシック"/>
        <family val="3"/>
        <charset val="128"/>
        <scheme val="minor"/>
      </rPr>
      <t>参画を求めることで、産業界からの視点を含めた教育プログラムを実施している。</t>
    </r>
    <rPh sb="53" eb="55">
      <t>ジッシ</t>
    </rPh>
    <rPh sb="166" eb="168">
      <t>タントウ</t>
    </rPh>
    <rPh sb="168" eb="170">
      <t>キョウイン</t>
    </rPh>
    <rPh sb="173" eb="175">
      <t xml:space="preserve">ミンカン </t>
    </rPh>
    <rPh sb="175" eb="177">
      <t xml:space="preserve">キギョウ </t>
    </rPh>
    <rPh sb="177" eb="179">
      <t xml:space="preserve">シュッシン </t>
    </rPh>
    <rPh sb="180" eb="183">
      <t>ジツムカ</t>
    </rPh>
    <rPh sb="183" eb="185">
      <t>キョウイン</t>
    </rPh>
    <rPh sb="186" eb="188">
      <t>ハイチ</t>
    </rPh>
    <rPh sb="193" eb="195">
      <t>サンギョウ</t>
    </rPh>
    <rPh sb="195" eb="196">
      <t>カイ</t>
    </rPh>
    <rPh sb="196" eb="198">
      <t>シュッシン</t>
    </rPh>
    <rPh sb="199" eb="201">
      <t xml:space="preserve">ホンガク </t>
    </rPh>
    <rPh sb="201" eb="203">
      <t>キョウイン</t>
    </rPh>
    <rPh sb="216" eb="218">
      <t>サンカク</t>
    </rPh>
    <rPh sb="219" eb="220">
      <t>モト</t>
    </rPh>
    <rPh sb="226" eb="229">
      <t>サンギョウカイ</t>
    </rPh>
    <rPh sb="232" eb="234">
      <t>シテン</t>
    </rPh>
    <rPh sb="235" eb="236">
      <t>フク</t>
    </rPh>
    <rPh sb="238" eb="240">
      <t>キョウイク</t>
    </rPh>
    <rPh sb="246" eb="248">
      <t>ジッシ</t>
    </rPh>
    <phoneticPr fontId="1"/>
  </si>
  <si>
    <t xml:space="preserve">　「全学データサイエンス教育推進委員会」と「共通教育推進部」を中心に2キャンパス内全ての学部・学科および教学組織と連携し、全学を通じたMDACK教育プログラムの学修支援体制を実施している。
　キャンパス横断・学問領域横断科目「データサイエンス基礎」は、すべての講義構成（14回分）をフルオンデマンド形式のメディア授業科目とし、学生がいつでも・どこからでも履修できる環境を構築している。また、開講時期を夏期休業期間中の集中講義とすることで、履修登録上も全ての学部・学科の1年次学生が履修可能な設計となっている。
　なお、令和4年度より本学入学の学生にはノートPC携帯を義務付けており、「データサイエンス基礎」はノートPC必携講義内容として位置づけられているため、新1年生の学修形式に対応している。
　開講コマ数に関しては中期計画に基づき令和4～6年度にかけて段階的に増加し、令和7年度には全学必修となり、必ず受講する体制となる。
</t>
    <rPh sb="156" eb="158">
      <t>ジュギョウ</t>
    </rPh>
    <phoneticPr fontId="1"/>
  </si>
  <si>
    <t xml:space="preserve">全学データサイエンス教育推進委員会は以下2点を目的とし、設置された。
①数理・データサイエンス・ＡＩへの学生の関心を高め、かつ、数理・データサイエンス・ＡＩを適切に理解し、それらを活用する基礎的な能力及びそれらを活用して課題を解決するための実践的な能力を育成することを目的とする。
②全学の学生を対象とした数理・データサイエンス・ＡＩに関する体系的な教育を行うために必要な事項を審議し、その教育の管理・運営を担う。
また、上記達成のために審議する具体的事項は以下の通り。
・本プログラムの管理・運営に関すること。
・本プログラム基幹科目としてのデータサイエンス基礎のカリキュラムに関すること。
・本プログラムの自己点検・評価及び改善・進化に向けた取り組みに関すること。
・本プログラムの履修者数・履修率の向上に関すること。
・文部科学省へのプログラム認定申請に関すること。
・その他本プログラムに関すること。
</t>
    <rPh sb="18" eb="20">
      <t>イカ</t>
    </rPh>
    <rPh sb="21" eb="22">
      <t>テン</t>
    </rPh>
    <rPh sb="23" eb="25">
      <t>モクテキ</t>
    </rPh>
    <rPh sb="28" eb="30">
      <t>セッチ</t>
    </rPh>
    <rPh sb="211" eb="213">
      <t>ジョウキ</t>
    </rPh>
    <rPh sb="213" eb="215">
      <t>タッセイ</t>
    </rPh>
    <rPh sb="219" eb="221">
      <t>シンギ</t>
    </rPh>
    <rPh sb="223" eb="226">
      <t>グタイテキ</t>
    </rPh>
    <rPh sb="226" eb="228">
      <t>ジコウ</t>
    </rPh>
    <rPh sb="229" eb="231">
      <t>イカ</t>
    </rPh>
    <rPh sb="232" eb="233">
      <t>トオ</t>
    </rPh>
    <phoneticPr fontId="1"/>
  </si>
  <si>
    <t xml:space="preserve">　PC使用が前提の科目であり、令和4年度より本学入学の学生はノートPC必携を義務付けているため、学修形式は対応している。また、自習等でスポット的にPCが必要となる学生に対して板橋校舎ではPC自習室、PCロッカー、狭山校舎では図書館にて貸し出しPCを用意しており、学生のPCサポートを実施している。
　授業担当者が作成した教材は、LMS（manaba）で共有しており、いつでも閲覧が可能な環境を構築している。また、受講生の履修状況、課題提出などをLMS（manaba等）上で一括して管理し、教員が受講生の進度・理解度・習熟度を的確に把握することにより、それぞれの受講生に応じた適切な指導が可能となっている。
　また、manaba等のシステムに関する疑問に対しても学修・教育開発センターに問い合わせ窓口を設けており、学生のサポートを行う体制を構築している。
</t>
    <rPh sb="3" eb="5">
      <t>シヨウ</t>
    </rPh>
    <rPh sb="6" eb="8">
      <t>ゼンテイ</t>
    </rPh>
    <rPh sb="9" eb="11">
      <t>カモク</t>
    </rPh>
    <rPh sb="63" eb="65">
      <t>ジシュウ</t>
    </rPh>
    <rPh sb="65" eb="66">
      <t>トウ</t>
    </rPh>
    <rPh sb="71" eb="72">
      <t>テキ</t>
    </rPh>
    <rPh sb="76" eb="78">
      <t>ヒツヨウ</t>
    </rPh>
    <rPh sb="81" eb="83">
      <t>ガクセイ</t>
    </rPh>
    <rPh sb="84" eb="85">
      <t>タイ</t>
    </rPh>
    <rPh sb="87" eb="89">
      <t>イタバシ</t>
    </rPh>
    <rPh sb="89" eb="91">
      <t>コウシャ</t>
    </rPh>
    <rPh sb="95" eb="97">
      <t>ジシュウ</t>
    </rPh>
    <rPh sb="97" eb="98">
      <t>シツ</t>
    </rPh>
    <rPh sb="106" eb="108">
      <t>サヤマ</t>
    </rPh>
    <rPh sb="108" eb="110">
      <t>コウシャ</t>
    </rPh>
    <rPh sb="112" eb="115">
      <t>トショカン</t>
    </rPh>
    <rPh sb="117" eb="118">
      <t>カ</t>
    </rPh>
    <rPh sb="119" eb="120">
      <t>ダ</t>
    </rPh>
    <rPh sb="124" eb="126">
      <t>ヨウイ</t>
    </rPh>
    <rPh sb="131" eb="133">
      <t>ガクセイ</t>
    </rPh>
    <rPh sb="141" eb="143">
      <t>ジッシ</t>
    </rPh>
    <rPh sb="212" eb="214">
      <t>ジョウキョウ</t>
    </rPh>
    <rPh sb="232" eb="233">
      <t>トウ</t>
    </rPh>
    <rPh sb="251" eb="253">
      <t>シンド</t>
    </rPh>
    <rPh sb="313" eb="314">
      <t>トウ</t>
    </rPh>
    <rPh sb="320" eb="321">
      <t>カン</t>
    </rPh>
    <rPh sb="323" eb="325">
      <t>ギモン</t>
    </rPh>
    <rPh sb="326" eb="327">
      <t>タイ</t>
    </rPh>
    <rPh sb="330" eb="332">
      <t>ガクシュウ</t>
    </rPh>
    <rPh sb="333" eb="335">
      <t>キョウイク</t>
    </rPh>
    <rPh sb="335" eb="337">
      <t>カイハツ</t>
    </rPh>
    <rPh sb="342" eb="343">
      <t>ト</t>
    </rPh>
    <rPh sb="344" eb="345">
      <t>ア</t>
    </rPh>
    <rPh sb="347" eb="349">
      <t>マドグチ</t>
    </rPh>
    <rPh sb="350" eb="351">
      <t>モウ</t>
    </rPh>
    <rPh sb="364" eb="365">
      <t>オコナ</t>
    </rPh>
    <phoneticPr fontId="1"/>
  </si>
  <si>
    <r>
      <t>　　本学では全開講科目に対して授業評価アンケートを実施しており、学生の理解度と学修到達度を把握することで授業内容の一定水準を維持している。併せて授業改善に繋がる課題点の抽出と次年度に向けた善後策の検討を行っている。
　また、学修•教育開発センターが主催する全学FD研修会（毎年、複数回の実施）を通して「教授法」、「評価法」、「単位の質保証」などの向上に努めている。
　また本科目担当教員</t>
    </r>
    <r>
      <rPr>
        <sz val="12"/>
        <rFont val="ＭＳ Ｐゴシック"/>
        <family val="3"/>
        <charset val="128"/>
      </rPr>
      <t>の中に</t>
    </r>
    <r>
      <rPr>
        <sz val="12"/>
        <rFont val="ＭＳ Ｐゴシック"/>
        <family val="3"/>
        <charset val="128"/>
        <scheme val="minor"/>
      </rPr>
      <t>は「オンデマンド授業の心理的効果」や「メディア授業教材」</t>
    </r>
    <r>
      <rPr>
        <sz val="12"/>
        <rFont val="ＭＳ Ｐゴシック"/>
        <family val="3"/>
        <charset val="128"/>
      </rPr>
      <t>に</t>
    </r>
    <r>
      <rPr>
        <sz val="12"/>
        <rFont val="ＭＳ Ｐゴシック"/>
        <family val="3"/>
        <charset val="128"/>
        <scheme val="minor"/>
      </rPr>
      <t>関する研究をして</t>
    </r>
    <r>
      <rPr>
        <sz val="12"/>
        <rFont val="ＭＳ Ｐゴシック"/>
        <family val="3"/>
        <charset val="128"/>
      </rPr>
      <t>いる者も</t>
    </r>
    <r>
      <rPr>
        <sz val="12"/>
        <rFont val="ＭＳ Ｐゴシック"/>
        <family val="3"/>
        <charset val="128"/>
        <scheme val="minor"/>
      </rPr>
      <t xml:space="preserve">おり、その研究成果はFDとして学内に公開するとともに、本科目の分かりやすい授業設計に活用されている。
</t>
    </r>
    <rPh sb="94" eb="97">
      <t>ゼンゴサク</t>
    </rPh>
    <rPh sb="194" eb="195">
      <t xml:space="preserve">ナカ </t>
    </rPh>
    <rPh sb="207" eb="212">
      <t>シンリテキコウカ</t>
    </rPh>
    <rPh sb="219" eb="221">
      <t>ジュギョウ</t>
    </rPh>
    <rPh sb="221" eb="223">
      <t>キョウザイ</t>
    </rPh>
    <rPh sb="235" eb="236">
      <t>モノ</t>
    </rPh>
    <phoneticPr fontId="1"/>
  </si>
  <si>
    <r>
      <t>　令和4年度より開設された東京家政大学数理・データサイエンス・AI教育プログラム（MDACK）の基幹科目である「データサイエンス基礎」は、全学部・全学科の１年次学生が受講可能としており、その履修率の向上に向けては以下2点の取組を実施している。
①広報・周知
　本科目は全学部1年生を対象とした選択科目として開講をしているため、新1年生向けガイダンス内で継続的に取り上げることにより、認知度向上と履修希望者増を図っている。また、ポータルシステムやチラシ・ポスター・</t>
    </r>
    <r>
      <rPr>
        <sz val="12"/>
        <rFont val="ＭＳ Ｐゴシック"/>
        <family val="3"/>
        <charset val="128"/>
      </rPr>
      <t>ホームページ</t>
    </r>
    <r>
      <rPr>
        <sz val="12"/>
        <rFont val="ＭＳ Ｐゴシック"/>
        <family val="3"/>
        <charset val="128"/>
        <scheme val="minor"/>
      </rPr>
      <t>等を活用した広報活動を展開している。
②カリキュラム変更
　本プログラムは教職課程での要望及び社会的要望を踏まえ、令和6年度からは教職必修科目（対象者約700名）、令和7年度より全学必修科目（対象者約1,600名）にカリキュラムを改訂する中期計画を立案している。これらの計画に基づき、学内の教学支援体制を整備中である。
　上記の実施により、計画に沿った履修率を実現するとともに、令和7年度以降は学年進行に伴い履修率100％を実現できることとなる。</t>
    </r>
    <rPh sb="95" eb="97">
      <t>リシュウ</t>
    </rPh>
    <rPh sb="97" eb="98">
      <t>リツ</t>
    </rPh>
    <rPh sb="99" eb="101">
      <t>コウジョウ</t>
    </rPh>
    <rPh sb="102" eb="103">
      <t>ム</t>
    </rPh>
    <rPh sb="106" eb="108">
      <t>イカ</t>
    </rPh>
    <rPh sb="109" eb="110">
      <t>テン</t>
    </rPh>
    <rPh sb="111" eb="113">
      <t>トリクミ</t>
    </rPh>
    <rPh sb="114" eb="116">
      <t>ジッシ</t>
    </rPh>
    <rPh sb="123" eb="125">
      <t>コウホウ</t>
    </rPh>
    <rPh sb="126" eb="128">
      <t>シュウチ</t>
    </rPh>
    <rPh sb="130" eb="131">
      <t>ホン</t>
    </rPh>
    <rPh sb="131" eb="133">
      <t>カモク</t>
    </rPh>
    <rPh sb="134" eb="137">
      <t>ゼンガクブ</t>
    </rPh>
    <rPh sb="138" eb="140">
      <t>ネンセイ</t>
    </rPh>
    <rPh sb="141" eb="143">
      <t>タイショウ</t>
    </rPh>
    <rPh sb="146" eb="148">
      <t>センタク</t>
    </rPh>
    <rPh sb="148" eb="150">
      <t>カモク</t>
    </rPh>
    <rPh sb="153" eb="155">
      <t>カイコウ</t>
    </rPh>
    <rPh sb="163" eb="164">
      <t>シン</t>
    </rPh>
    <rPh sb="165" eb="167">
      <t>ネンセイ</t>
    </rPh>
    <rPh sb="167" eb="168">
      <t>ム</t>
    </rPh>
    <rPh sb="174" eb="175">
      <t>ナイ</t>
    </rPh>
    <rPh sb="176" eb="179">
      <t>ケイゾクテキ</t>
    </rPh>
    <rPh sb="180" eb="181">
      <t>ト</t>
    </rPh>
    <rPh sb="182" eb="183">
      <t>ア</t>
    </rPh>
    <rPh sb="191" eb="194">
      <t>ニンチド</t>
    </rPh>
    <rPh sb="194" eb="196">
      <t>コウジョウ</t>
    </rPh>
    <rPh sb="197" eb="199">
      <t>リシュウ</t>
    </rPh>
    <rPh sb="199" eb="201">
      <t>キボウ</t>
    </rPh>
    <rPh sb="201" eb="202">
      <t>シャ</t>
    </rPh>
    <rPh sb="239" eb="241">
      <t>カツヨウ</t>
    </rPh>
    <rPh sb="248" eb="250">
      <t>テンカイ</t>
    </rPh>
    <rPh sb="263" eb="265">
      <t>ヘンコウ</t>
    </rPh>
    <rPh sb="267" eb="268">
      <t>ホン</t>
    </rPh>
    <rPh sb="274" eb="276">
      <t>キョウショク</t>
    </rPh>
    <rPh sb="276" eb="278">
      <t>カテイ</t>
    </rPh>
    <rPh sb="280" eb="282">
      <t>ヨウボウ</t>
    </rPh>
    <rPh sb="282" eb="283">
      <t>オヨ</t>
    </rPh>
    <rPh sb="284" eb="287">
      <t>シャカイテキ</t>
    </rPh>
    <rPh sb="287" eb="289">
      <t>ヨウボウ</t>
    </rPh>
    <rPh sb="290" eb="291">
      <t>フ</t>
    </rPh>
    <rPh sb="294" eb="296">
      <t>レイワ</t>
    </rPh>
    <rPh sb="297" eb="299">
      <t>ネンド</t>
    </rPh>
    <rPh sb="302" eb="304">
      <t>キョウショク</t>
    </rPh>
    <rPh sb="304" eb="306">
      <t>ヒッシュウ</t>
    </rPh>
    <rPh sb="306" eb="308">
      <t>カモク</t>
    </rPh>
    <rPh sb="309" eb="311">
      <t>タイショウ</t>
    </rPh>
    <rPh sb="311" eb="312">
      <t>シャ</t>
    </rPh>
    <rPh sb="312" eb="313">
      <t>ヤク</t>
    </rPh>
    <rPh sb="316" eb="317">
      <t>メイ</t>
    </rPh>
    <rPh sb="319" eb="321">
      <t>レイワ</t>
    </rPh>
    <rPh sb="322" eb="324">
      <t>ネンド</t>
    </rPh>
    <rPh sb="326" eb="328">
      <t>ゼンガク</t>
    </rPh>
    <rPh sb="328" eb="330">
      <t>ヒッシュウ</t>
    </rPh>
    <rPh sb="330" eb="332">
      <t>カモク</t>
    </rPh>
    <rPh sb="333" eb="336">
      <t>タイショウシャ</t>
    </rPh>
    <rPh sb="336" eb="337">
      <t>ヤク</t>
    </rPh>
    <rPh sb="342" eb="343">
      <t>メイ</t>
    </rPh>
    <rPh sb="356" eb="358">
      <t>チュウキ</t>
    </rPh>
    <rPh sb="358" eb="360">
      <t>ケイカク</t>
    </rPh>
    <rPh sb="361" eb="363">
      <t>リツアン</t>
    </rPh>
    <rPh sb="372" eb="374">
      <t>ケイカク</t>
    </rPh>
    <rPh sb="375" eb="376">
      <t>モト</t>
    </rPh>
    <rPh sb="398" eb="400">
      <t>ジョウキ</t>
    </rPh>
    <rPh sb="401" eb="403">
      <t>ジッシ</t>
    </rPh>
    <rPh sb="407" eb="409">
      <t>ケイカク</t>
    </rPh>
    <rPh sb="410" eb="411">
      <t>ソ</t>
    </rPh>
    <rPh sb="413" eb="415">
      <t>リシュウ</t>
    </rPh>
    <rPh sb="415" eb="416">
      <t>リツ</t>
    </rPh>
    <rPh sb="417" eb="419">
      <t>ジツゲン</t>
    </rPh>
    <rPh sb="426" eb="428">
      <t>レイワ</t>
    </rPh>
    <rPh sb="429" eb="431">
      <t>ネンド</t>
    </rPh>
    <rPh sb="431" eb="433">
      <t>イコウ</t>
    </rPh>
    <rPh sb="434" eb="436">
      <t>ガクネン</t>
    </rPh>
    <rPh sb="436" eb="438">
      <t>シンコウ</t>
    </rPh>
    <rPh sb="439" eb="440">
      <t>トモナ</t>
    </rPh>
    <rPh sb="441" eb="443">
      <t>リシュウ</t>
    </rPh>
    <rPh sb="443" eb="444">
      <t>リツ</t>
    </rPh>
    <rPh sb="449" eb="451">
      <t>ジツゲン</t>
    </rPh>
    <phoneticPr fontId="1"/>
  </si>
  <si>
    <r>
      <t>　学習指導については、LMS（manaba）の「個別指導コレクション機能」、Micro</t>
    </r>
    <r>
      <rPr>
        <sz val="12"/>
        <rFont val="ＭＳ Ｐゴシック"/>
        <family val="3"/>
        <charset val="128"/>
      </rPr>
      <t>s</t>
    </r>
    <r>
      <rPr>
        <sz val="12"/>
        <rFont val="ＭＳ Ｐゴシック"/>
        <family val="3"/>
        <charset val="128"/>
        <scheme val="minor"/>
      </rPr>
      <t>oft「Teams」等の外部ツールも活用し、学生は随時不明点等をシステムを通じて確認することができ、投稿された質問は担当教員が確認し、</t>
    </r>
    <r>
      <rPr>
        <sz val="12"/>
        <rFont val="ＭＳ Ｐゴシック"/>
        <family val="3"/>
        <charset val="128"/>
      </rPr>
      <t>原則24時間以内に</t>
    </r>
    <r>
      <rPr>
        <sz val="12"/>
        <rFont val="ＭＳ Ｐゴシック"/>
        <family val="3"/>
        <charset val="128"/>
        <scheme val="minor"/>
      </rPr>
      <t>返答する体制を整備している。これには各種システムを通じてICT活用の習熟度を向上する狙いも含まれている。
　また、担当教員のオフィスアワーを活用し、対面による質問も随時受け付けているほか、manaba等のシステムは学修・教育開発センターにメールを含む問い合わせ窓口を設けており、いつでも学生のサポートを行う体制を構築している。</t>
    </r>
    <rPh sb="24" eb="26">
      <t>コベツ</t>
    </rPh>
    <rPh sb="26" eb="28">
      <t>シドウ</t>
    </rPh>
    <rPh sb="34" eb="36">
      <t>キノウ</t>
    </rPh>
    <rPh sb="54" eb="55">
      <t>トウ</t>
    </rPh>
    <rPh sb="56" eb="58">
      <t>ガイブ</t>
    </rPh>
    <rPh sb="62" eb="64">
      <t>カツヨウ</t>
    </rPh>
    <rPh sb="69" eb="71">
      <t>ズイジ</t>
    </rPh>
    <rPh sb="94" eb="96">
      <t>トウコウ</t>
    </rPh>
    <rPh sb="102" eb="104">
      <t>タントウ</t>
    </rPh>
    <rPh sb="104" eb="106">
      <t>キョウイン</t>
    </rPh>
    <rPh sb="107" eb="109">
      <t>カクニン</t>
    </rPh>
    <rPh sb="111" eb="113">
      <t xml:space="preserve">ゲンソク </t>
    </rPh>
    <rPh sb="115" eb="117">
      <t xml:space="preserve">ジカン </t>
    </rPh>
    <rPh sb="117" eb="119">
      <t xml:space="preserve">イナイ </t>
    </rPh>
    <rPh sb="138" eb="140">
      <t>カクシュ</t>
    </rPh>
    <rPh sb="145" eb="146">
      <t>ツウ</t>
    </rPh>
    <rPh sb="151" eb="153">
      <t>カツヨウ</t>
    </rPh>
    <rPh sb="154" eb="156">
      <t>シュウジュク</t>
    </rPh>
    <rPh sb="156" eb="157">
      <t>ド</t>
    </rPh>
    <rPh sb="158" eb="160">
      <t>コウジョウ</t>
    </rPh>
    <rPh sb="162" eb="163">
      <t>ネラ</t>
    </rPh>
    <rPh sb="165" eb="166">
      <t>フク</t>
    </rPh>
    <rPh sb="243" eb="244">
      <t>フク</t>
    </rPh>
    <rPh sb="271" eb="272">
      <t>オコナ</t>
    </rPh>
    <rPh sb="273" eb="275">
      <t>タイセイ</t>
    </rPh>
    <rPh sb="276" eb="278">
      <t>コウチク</t>
    </rPh>
    <phoneticPr fontId="1"/>
  </si>
  <si>
    <t xml:space="preserve">　本学では、全科目に対して授業アンケートを実施している。このアンケート回答結果から各科目に対する受講生の内容理解度を把握している。本プログラムの修了生に対しては、さらに独自のアンケートを実施し、プログラム基幹科目「データサイエンス基礎」に対する理解度、メディア授業の効果、サポート体制についての満足度などについて調査し、次年度以降のプログラム改善に繋げることとしている。
　令和４年度は履修者79名に対し、授業アンケ―トは51名、独自アンケートは55名から回答を得られ、「授業の到達目標の達成度を達成（ほぼ達成）できた」、「授業の内容を理解（ほぼ理解）できた」の回答率の合計が90％以上となっている。
</t>
    <rPh sb="281" eb="283">
      <t>カイトウ</t>
    </rPh>
    <rPh sb="283" eb="284">
      <t>リツ</t>
    </rPh>
    <rPh sb="285" eb="287">
      <t>ゴウケイ</t>
    </rPh>
    <phoneticPr fontId="1"/>
  </si>
  <si>
    <t>　「全学データサイエンス教育推進委員会」が中心となり共通教育推進部と協同で、「データサイエンス基礎」の履修状況の分析、履修率向上に向けた次年度計画の立案、進捗状況の管理を実施する。併せて毎年、本学HPやガイドブック、チラシなどによる新入生向けの広報の実施、分かりやすい「データサイエンス基礎」の科目紹介および履修登録方法に関する動画の更新を行う。各種取り組みを経て、履修希望者の変動をR5年度以降の検証により確認する。なお、令和6年度は小・中・高教職課程希望者必修とすることで約700名、令和7年度には全学必修化により約1600名が履修対象となるため、学年進行に伴い履修率100％となる。</t>
    <rPh sb="125" eb="127">
      <t>ジッシ</t>
    </rPh>
    <rPh sb="128" eb="129">
      <t>ワ</t>
    </rPh>
    <rPh sb="154" eb="160">
      <t>リシュウトウロクホウホウ</t>
    </rPh>
    <rPh sb="161" eb="162">
      <t>カン</t>
    </rPh>
    <rPh sb="170" eb="171">
      <t>オコナ</t>
    </rPh>
    <rPh sb="173" eb="175">
      <t>カクシュ</t>
    </rPh>
    <rPh sb="175" eb="176">
      <t>ト</t>
    </rPh>
    <rPh sb="177" eb="178">
      <t>ク</t>
    </rPh>
    <rPh sb="180" eb="181">
      <t>ヘ</t>
    </rPh>
    <rPh sb="183" eb="185">
      <t>リシュウ</t>
    </rPh>
    <rPh sb="185" eb="188">
      <t>キボウシャ</t>
    </rPh>
    <rPh sb="189" eb="191">
      <t>ヘンドウ</t>
    </rPh>
    <rPh sb="194" eb="196">
      <t>ネンド</t>
    </rPh>
    <rPh sb="196" eb="198">
      <t>イコウ</t>
    </rPh>
    <rPh sb="199" eb="201">
      <t>ケンショウ</t>
    </rPh>
    <rPh sb="204" eb="206">
      <t>カクニン</t>
    </rPh>
    <rPh sb="212" eb="214">
      <t>レイワ</t>
    </rPh>
    <rPh sb="215" eb="217">
      <t>ネンド</t>
    </rPh>
    <rPh sb="218" eb="219">
      <t>ショウ</t>
    </rPh>
    <rPh sb="220" eb="221">
      <t>チュウ</t>
    </rPh>
    <rPh sb="222" eb="223">
      <t>コウ</t>
    </rPh>
    <rPh sb="223" eb="225">
      <t>キョウショク</t>
    </rPh>
    <rPh sb="225" eb="227">
      <t>カテイ</t>
    </rPh>
    <rPh sb="227" eb="230">
      <t>キボウシャ</t>
    </rPh>
    <rPh sb="230" eb="232">
      <t>ヒッシュウ</t>
    </rPh>
    <rPh sb="238" eb="239">
      <t>ヤク</t>
    </rPh>
    <rPh sb="242" eb="243">
      <t>メイ</t>
    </rPh>
    <rPh sb="244" eb="246">
      <t>レイワ</t>
    </rPh>
    <rPh sb="247" eb="249">
      <t>ネンド</t>
    </rPh>
    <rPh sb="251" eb="253">
      <t>ゼンガク</t>
    </rPh>
    <rPh sb="253" eb="256">
      <t>ヒッシュウカ</t>
    </rPh>
    <rPh sb="259" eb="260">
      <t>ヤク</t>
    </rPh>
    <rPh sb="264" eb="265">
      <t>メイ</t>
    </rPh>
    <rPh sb="266" eb="268">
      <t>リシュウ</t>
    </rPh>
    <rPh sb="268" eb="270">
      <t>タイショウ</t>
    </rPh>
    <phoneticPr fontId="1"/>
  </si>
  <si>
    <t>1）数理・データサイエンス・AIに関する基礎的な理解
2）データ・情報の検索、収集に必要な基礎的なスキル
3）データ・情報の基礎的な可視化スキル
4）データ・情報から価値を読み取る基礎的なスキル
5）データ・情報の活用にあたっての基礎的な留意点や倫理観
6）誰一人取り残さない社会（SDGs）の実現化に必要なAI技術に関する基礎的な理解
7）学科専門領域におけるデータサイエンス活用への橋渡し</t>
    <rPh sb="193" eb="195">
      <t>ハシワタ</t>
    </rPh>
    <phoneticPr fontId="1"/>
  </si>
  <si>
    <t>・AI等を活用した新しいビジネスモデル（商品のレコメンデーション） 「データサイエンス基礎」 (第1回目「オリエンテーション:データサイエンスとは」)
・AI最新技術の活用例（強化学習）  「データサイエンス基礎」 (第14回目「現代社会におけるデータ・AIの利活用(5)まとめ、データサイエンスの応用事例」)</t>
    <phoneticPr fontId="1"/>
  </si>
  <si>
    <t>・ビッグデータ、AI、データ量の増加、Society 5.0、データを起点としたものの見方 「データサイエンス基礎」  (第1回目「オリエンテーション:データサイエンスとは」)
・Society5.0、第4次産業革命、複数技術を組み合わせたAIサービス 「データサイエンス基礎」 (第5回目「現代社会におけるデータ・AIの利活用(4)各専門分野での活用事例」)</t>
    <rPh sb="55" eb="57">
      <t>キソ</t>
    </rPh>
    <phoneticPr fontId="1"/>
  </si>
  <si>
    <t>・調査データ、人の行動ログデータ 「データサイエンス基礎」  (第1回目「オリエンテーション:データサイエンスとは」)
・1次データ、2次データ、データのオープン化 「データサイエンス基礎」 (第2回目「現代社会におけるデータ・AIの利活用(1)データの集め方、データの利用」)
・調査データ 「データサイエンス基礎」 (第8回目「データを読む(1)データの種類、代表値、分散」)
・調査データ 「データサイエンス基礎」 (第9回目「データを読む(2)母集団と標本抽出、アンケート調査」)
・実験データ 「データサイエンス基礎」 (第11回目「データを扱う(1) Excelによる記述統計」)
・調査データ 「データサイエンス基礎」 (第12回目「データを扱う(2) Excelによるクロス集計」)
・調査データ 「データサイエンス基礎」 (第13回目「データを扱う(3) 相関分析・散布図」)</t>
    <phoneticPr fontId="1"/>
  </si>
  <si>
    <t>・データ解析：シミュレーション、データ可視化：リアルタイム可視化、地図上の可視化 「データサイエンス基礎」 (第3回目「現代社会におけるデータ・AIの利活用(2)データ・AI利活用のための技術」)</t>
    <phoneticPr fontId="1"/>
  </si>
  <si>
    <r>
      <rPr>
        <sz val="12"/>
        <rFont val="ＭＳ Ｐゴシック"/>
        <family val="3"/>
        <charset val="128"/>
        <scheme val="minor"/>
      </rPr>
      <t xml:space="preserve">・データ・AI利活用事例紹介（公共、ヘルスケアを中心に） 「データサイエンス基礎」 (第5回目「現代社会におけるデータ・AIの利活用(4)各専門分野での活用事例」)
</t>
    </r>
    <r>
      <rPr>
        <sz val="12"/>
        <color theme="1"/>
        <rFont val="ＭＳ Ｐゴシック"/>
        <family val="3"/>
        <charset val="128"/>
        <scheme val="minor"/>
      </rPr>
      <t xml:space="preserve">
・データ・AI利活用事例紹介（教育） 「データサイエンス基礎」 (第6回目「教育におけるデータサイエンス(1) データ活用事例」)
・データ・AI利活用事例紹介（健康、サービス産業） 「データサイエンス基礎」 (第14回目「現代社会におけるデータ・AIの利活用(5)まとめ、データサイエンスの応用事例」)</t>
    </r>
    <phoneticPr fontId="1"/>
  </si>
  <si>
    <t>・データ・AI活用領域の広がり(消費） 「データサイエンス基礎」  (第1回目「オリエンテーション:データサイエンスとは」)
・データ・AI活用領域の広がり（防災を例に）、判断支援（防災を例に） 「データサイエンス基礎」  (第2回目「現代社会におけるデータ・AIの利活用(1)データの集め方、データの利用」)</t>
    <phoneticPr fontId="1"/>
  </si>
  <si>
    <r>
      <rPr>
        <sz val="12"/>
        <rFont val="ＭＳ Ｐゴシック"/>
        <family val="3"/>
        <charset val="128"/>
        <scheme val="minor"/>
      </rPr>
      <t>・プライバシー保護 「データサイエンス基礎」 (第4回目「現代社会におけるデータ・AIの利活用(3)AIリテラシー」)</t>
    </r>
    <r>
      <rPr>
        <sz val="12"/>
        <color rgb="FFFF0000"/>
        <rFont val="ＭＳ Ｐゴシック"/>
        <family val="3"/>
        <charset val="128"/>
        <scheme val="minor"/>
      </rPr>
      <t xml:space="preserve">
</t>
    </r>
    <r>
      <rPr>
        <sz val="12"/>
        <color theme="1"/>
        <rFont val="ＭＳ Ｐゴシック"/>
        <family val="3"/>
        <charset val="128"/>
        <scheme val="minor"/>
      </rPr>
      <t xml:space="preserve">
・個人情報保護、EU一般データ保護規則(GDPR)、忘れられる権利、データ倫理：データのねつ造、改ざん、盗用、プライバシー保護 「データサイエンス基礎」 (第7回目「教育におけるデータサイエンス(2) 個人情報、情報セキュリティー」)</t>
    </r>
    <phoneticPr fontId="1"/>
  </si>
  <si>
    <r>
      <rPr>
        <sz val="12"/>
        <rFont val="ＭＳ Ｐゴシック"/>
        <family val="3"/>
        <charset val="128"/>
        <scheme val="minor"/>
      </rPr>
      <t xml:space="preserve">・情報漏洩等によるセキュリティ事故の事例紹介 「データサイエンス基礎」 (第4回目「現代社会におけるデータ・AIの利活用(3)AIリテラシー」)
</t>
    </r>
    <r>
      <rPr>
        <sz val="12"/>
        <color theme="1"/>
        <rFont val="ＭＳ Ｐゴシック"/>
        <family val="3"/>
        <charset val="128"/>
        <scheme val="minor"/>
      </rPr>
      <t xml:space="preserve">
・情報セキュリティ：機密性、完全性、可用性、匿名加工情報、暗号化、パスワード、情報漏洩等によるセキュリティ事故の事例紹介 「データサイエンス基礎」 (第7回目「教育におけるデータサイエンス(2) 個人情報、情報セキュリティー」)</t>
    </r>
    <phoneticPr fontId="1"/>
  </si>
  <si>
    <t>・データの種類（量的変数、質的変数）、代表値（平均値、中央値、最頻値）、データのばらつき（分散、標準偏差） 「データサイエンス基礎」 (第8回目「データを読む(1)データの種類、代表値、分散」)
・母集団と標本抽出（国勢調査、アンケート調査、全数調査、単純無作為抽出、層別抽出、多段抽出）、統計情報の正しい理解（誇張表現に惑わされない） 「データサイエンス基礎」 (第9回目「データを読む(2)母集団と標本抽出、アンケート調査」)</t>
    <phoneticPr fontId="1"/>
  </si>
  <si>
    <t>・データ表現（棒グラフ、折線グラフ） 「データサイエンス基礎」 (第10回目「データを説明する～データ図表表現」)</t>
    <phoneticPr fontId="1"/>
  </si>
  <si>
    <t>・データの集計(和、平均)、データ解析ツール（スプレッドシート） 「データサイエンス基礎」 (第11回目「データを扱う(1) Excelによる記述統計」)
・データの集計(平均)、データ解析ツール（スプレッドシート） 「データサイエンス基礎」 (第12回目「データを扱う(2) Excelによるクロス集計」)
・データ解析ツール（スプレッドシート） 「データサイエンス基礎」 (第13回目「データを扱う(3) 相関分析・散布図」)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</si>
</sst>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color theme="3" tint="0.39997558519241921"/>
      <name val="ＭＳ Ｐゴシック"/>
      <family val="3"/>
      <charset val="128"/>
      <scheme val="minor"/>
    </font>
    <font>
      <sz val="12"/>
      <name val="ＭＳ Ｐゴシック"/>
      <family val="3"/>
      <charset val="128"/>
    </font>
    <font>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5" fillId="0" borderId="0" xfId="0" applyFont="1" applyAlignment="1">
      <alignment horizontal="left" vertical="center"/>
    </xf>
    <xf numFmtId="0" fontId="2" fillId="0" borderId="0" xfId="0" applyFont="1" applyAlignment="1">
      <alignment vertical="center" wrapText="1"/>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42" xfId="0" applyFont="1" applyBorder="1" applyAlignment="1">
      <alignment vertical="top" shrinkToFit="1"/>
    </xf>
    <xf numFmtId="0" fontId="3" fillId="0" borderId="43" xfId="0" applyFont="1" applyBorder="1" applyAlignment="1">
      <alignment vertical="top" shrinkToFit="1"/>
    </xf>
    <xf numFmtId="0" fontId="12" fillId="0" borderId="0" xfId="0" applyFont="1">
      <alignment vertical="center"/>
    </xf>
    <xf numFmtId="177" fontId="2" fillId="0" borderId="0" xfId="0" applyNumberFormat="1" applyFont="1">
      <alignment vertical="center"/>
    </xf>
    <xf numFmtId="177" fontId="2" fillId="0" borderId="0" xfId="0" applyNumberFormat="1" applyFont="1" applyAlignment="1">
      <alignment horizontal="center" vertical="center"/>
    </xf>
    <xf numFmtId="9" fontId="2" fillId="0" borderId="0" xfId="0" applyNumberFormat="1" applyFont="1">
      <alignmen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22" xfId="0" applyFont="1" applyBorder="1" applyAlignment="1">
      <alignment horizontal="left" vertical="center" wrapText="1"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1"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5" xfId="0" applyFont="1" applyBorder="1" applyAlignment="1">
      <alignment horizontal="center" vertical="center" shrinkToFit="1"/>
    </xf>
    <xf numFmtId="0" fontId="2" fillId="0" borderId="0" xfId="0" applyFont="1" applyAlignment="1">
      <alignment horizontal="center" vertical="center" shrinkToFit="1"/>
    </xf>
    <xf numFmtId="0" fontId="2" fillId="0" borderId="10" xfId="0" applyFont="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11"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36" xfId="0" applyFont="1" applyFill="1" applyBorder="1" applyAlignment="1">
      <alignment horizontal="left" vertical="center" wrapText="1" shrinkToFit="1"/>
    </xf>
    <xf numFmtId="0" fontId="11" fillId="0" borderId="36" xfId="0" applyFont="1" applyFill="1" applyBorder="1" applyAlignment="1">
      <alignment horizontal="left" vertical="center" shrinkToFit="1"/>
    </xf>
    <xf numFmtId="0" fontId="11" fillId="0" borderId="35" xfId="0" applyFont="1" applyFill="1" applyBorder="1" applyAlignment="1">
      <alignment horizontal="left" vertical="center" shrinkToFit="1"/>
    </xf>
    <xf numFmtId="0" fontId="11" fillId="0" borderId="38" xfId="0" applyFont="1" applyBorder="1" applyAlignment="1">
      <alignment horizontal="left" vertical="center" wrapText="1" shrinkToFit="1"/>
    </xf>
    <xf numFmtId="0" fontId="11" fillId="0" borderId="38" xfId="0" applyFont="1" applyBorder="1" applyAlignment="1">
      <alignment horizontal="left" vertical="center" shrinkToFit="1"/>
    </xf>
    <xf numFmtId="0" fontId="11" fillId="0" borderId="39" xfId="0" applyFont="1" applyBorder="1" applyAlignment="1">
      <alignment horizontal="lef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X7" sqref="X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399999999999999" customHeight="1" x14ac:dyDescent="0.15">
      <c r="R1" s="105" t="s">
        <v>12</v>
      </c>
      <c r="S1" s="105"/>
      <c r="T1" s="2" t="s">
        <v>110</v>
      </c>
    </row>
    <row r="2" spans="1:22" ht="18.75" customHeight="1" x14ac:dyDescent="0.15">
      <c r="B2" s="32" t="s">
        <v>109</v>
      </c>
      <c r="C2" s="98" t="s">
        <v>127</v>
      </c>
      <c r="D2" s="99"/>
      <c r="E2" s="99"/>
      <c r="F2" s="99"/>
      <c r="G2" s="99"/>
      <c r="H2" s="99"/>
      <c r="I2" s="100"/>
      <c r="J2" s="33"/>
      <c r="K2" s="6"/>
      <c r="L2" s="6"/>
      <c r="M2" s="6"/>
      <c r="N2" s="6"/>
      <c r="O2" s="6"/>
      <c r="P2" s="6"/>
      <c r="Q2" s="6"/>
      <c r="R2" s="6"/>
      <c r="S2" s="6"/>
    </row>
    <row r="3" spans="1:22" ht="18.75" customHeight="1" x14ac:dyDescent="0.15">
      <c r="B3" s="32" t="s">
        <v>103</v>
      </c>
      <c r="C3" s="109" t="s">
        <v>129</v>
      </c>
      <c r="D3" s="110"/>
      <c r="E3" s="110"/>
      <c r="F3" s="110"/>
      <c r="G3" s="110"/>
      <c r="H3" s="110"/>
      <c r="I3" s="111"/>
      <c r="J3" s="33"/>
      <c r="K3" s="6"/>
      <c r="L3" s="6"/>
      <c r="M3" s="6"/>
      <c r="N3" s="6"/>
      <c r="O3" s="6"/>
      <c r="P3" s="6"/>
      <c r="Q3" s="6"/>
      <c r="R3" s="6"/>
      <c r="S3" s="6"/>
    </row>
    <row r="4" spans="1:22" ht="15" customHeight="1" x14ac:dyDescent="0.15">
      <c r="K4" s="33"/>
      <c r="L4" s="35"/>
      <c r="M4" s="35"/>
      <c r="N4" s="35"/>
      <c r="O4" s="35"/>
      <c r="P4" s="35"/>
      <c r="Q4" s="35"/>
      <c r="R4" s="35"/>
      <c r="S4" s="35"/>
    </row>
    <row r="5" spans="1:22" ht="18" customHeight="1" x14ac:dyDescent="0.15">
      <c r="A5" s="112" t="s">
        <v>39</v>
      </c>
      <c r="B5" s="112"/>
      <c r="C5" s="112"/>
      <c r="D5" s="112"/>
      <c r="E5" s="112"/>
      <c r="F5" s="112"/>
      <c r="G5" s="112"/>
      <c r="H5" s="112"/>
      <c r="I5" s="112"/>
      <c r="J5" s="112"/>
      <c r="K5" s="112"/>
      <c r="L5" s="112"/>
      <c r="M5" s="112"/>
      <c r="N5" s="112"/>
      <c r="O5" s="112"/>
      <c r="P5" s="112"/>
      <c r="Q5" s="112"/>
      <c r="R5" s="112"/>
      <c r="S5" s="112"/>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22" t="s">
        <v>128</v>
      </c>
      <c r="L7" s="123"/>
      <c r="M7" s="123"/>
      <c r="N7" s="123"/>
      <c r="O7" s="123"/>
      <c r="P7" s="123"/>
      <c r="Q7" s="123"/>
      <c r="R7" s="123"/>
      <c r="S7" s="124"/>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6"/>
      <c r="C9" s="87"/>
      <c r="D9" s="87"/>
      <c r="E9" s="87"/>
      <c r="F9" s="87"/>
      <c r="G9" s="87"/>
      <c r="H9" s="87"/>
      <c r="I9" s="87"/>
      <c r="J9" s="87"/>
      <c r="K9" s="87"/>
      <c r="L9" s="87"/>
      <c r="M9" s="87"/>
      <c r="N9" s="87"/>
      <c r="O9" s="87"/>
      <c r="P9" s="87"/>
      <c r="Q9" s="87"/>
      <c r="R9" s="87"/>
      <c r="S9" s="88"/>
    </row>
    <row r="10" spans="1:22" ht="18" customHeight="1" x14ac:dyDescent="0.15">
      <c r="B10" s="89"/>
      <c r="C10" s="90"/>
      <c r="D10" s="90"/>
      <c r="E10" s="90"/>
      <c r="F10" s="90"/>
      <c r="G10" s="90"/>
      <c r="H10" s="90"/>
      <c r="I10" s="90"/>
      <c r="J10" s="90"/>
      <c r="K10" s="90"/>
      <c r="L10" s="90"/>
      <c r="M10" s="90"/>
      <c r="N10" s="90"/>
      <c r="O10" s="90"/>
      <c r="P10" s="90"/>
      <c r="Q10" s="90"/>
      <c r="R10" s="90"/>
      <c r="S10" s="9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3"/>
      <c r="E12" s="33"/>
      <c r="F12" s="33"/>
      <c r="G12" s="33"/>
      <c r="H12" s="33"/>
      <c r="I12" s="33"/>
      <c r="J12" s="33"/>
      <c r="K12" s="37"/>
      <c r="L12" s="37"/>
      <c r="M12" s="37"/>
      <c r="N12" s="37"/>
      <c r="O12" s="37"/>
      <c r="P12" s="37"/>
      <c r="Q12" s="37"/>
      <c r="R12" s="37"/>
      <c r="S12" s="37"/>
    </row>
    <row r="13" spans="1:22" ht="18" customHeight="1" x14ac:dyDescent="0.15">
      <c r="B13" s="113" t="s">
        <v>141</v>
      </c>
      <c r="C13" s="114"/>
      <c r="D13" s="114"/>
      <c r="E13" s="114"/>
      <c r="F13" s="114"/>
      <c r="G13" s="114"/>
      <c r="H13" s="114"/>
      <c r="I13" s="114"/>
      <c r="J13" s="114"/>
      <c r="K13" s="114"/>
      <c r="L13" s="114"/>
      <c r="M13" s="114"/>
      <c r="N13" s="114"/>
      <c r="O13" s="114"/>
      <c r="P13" s="114"/>
      <c r="Q13" s="114"/>
      <c r="R13" s="114"/>
      <c r="S13" s="115"/>
      <c r="V13" s="1" t="s">
        <v>104</v>
      </c>
    </row>
    <row r="14" spans="1:22" ht="18" customHeight="1" x14ac:dyDescent="0.15">
      <c r="B14" s="116"/>
      <c r="C14" s="117"/>
      <c r="D14" s="117"/>
      <c r="E14" s="117"/>
      <c r="F14" s="117"/>
      <c r="G14" s="117"/>
      <c r="H14" s="117"/>
      <c r="I14" s="117"/>
      <c r="J14" s="117"/>
      <c r="K14" s="117"/>
      <c r="L14" s="117"/>
      <c r="M14" s="117"/>
      <c r="N14" s="117"/>
      <c r="O14" s="117"/>
      <c r="P14" s="117"/>
      <c r="Q14" s="117"/>
      <c r="R14" s="117"/>
      <c r="S14" s="118"/>
      <c r="V14" s="1" t="s">
        <v>111</v>
      </c>
    </row>
    <row r="15" spans="1:22" ht="18" customHeight="1" x14ac:dyDescent="0.15">
      <c r="B15" s="116"/>
      <c r="C15" s="117"/>
      <c r="D15" s="117"/>
      <c r="E15" s="117"/>
      <c r="F15" s="117"/>
      <c r="G15" s="117"/>
      <c r="H15" s="117"/>
      <c r="I15" s="117"/>
      <c r="J15" s="117"/>
      <c r="K15" s="117"/>
      <c r="L15" s="117"/>
      <c r="M15" s="117"/>
      <c r="N15" s="117"/>
      <c r="O15" s="117"/>
      <c r="P15" s="117"/>
      <c r="Q15" s="117"/>
      <c r="R15" s="117"/>
      <c r="S15" s="118"/>
      <c r="V15" s="1" t="s">
        <v>124</v>
      </c>
    </row>
    <row r="16" spans="1:22" ht="18" customHeight="1" x14ac:dyDescent="0.15">
      <c r="B16" s="116"/>
      <c r="C16" s="117"/>
      <c r="D16" s="117"/>
      <c r="E16" s="117"/>
      <c r="F16" s="117"/>
      <c r="G16" s="117"/>
      <c r="H16" s="117"/>
      <c r="I16" s="117"/>
      <c r="J16" s="117"/>
      <c r="K16" s="117"/>
      <c r="L16" s="117"/>
      <c r="M16" s="117"/>
      <c r="N16" s="117"/>
      <c r="O16" s="117"/>
      <c r="P16" s="117"/>
      <c r="Q16" s="117"/>
      <c r="R16" s="117"/>
      <c r="S16" s="118"/>
      <c r="V16" s="1" t="s">
        <v>126</v>
      </c>
    </row>
    <row r="17" spans="1:19" ht="18" customHeight="1" x14ac:dyDescent="0.15">
      <c r="B17" s="116"/>
      <c r="C17" s="117"/>
      <c r="D17" s="117"/>
      <c r="E17" s="117"/>
      <c r="F17" s="117"/>
      <c r="G17" s="117"/>
      <c r="H17" s="117"/>
      <c r="I17" s="117"/>
      <c r="J17" s="117"/>
      <c r="K17" s="117"/>
      <c r="L17" s="117"/>
      <c r="M17" s="117"/>
      <c r="N17" s="117"/>
      <c r="O17" s="117"/>
      <c r="P17" s="117"/>
      <c r="Q17" s="117"/>
      <c r="R17" s="117"/>
      <c r="S17" s="118"/>
    </row>
    <row r="18" spans="1:19" ht="18" customHeight="1" x14ac:dyDescent="0.15">
      <c r="B18" s="119"/>
      <c r="C18" s="120"/>
      <c r="D18" s="120"/>
      <c r="E18" s="120"/>
      <c r="F18" s="120"/>
      <c r="G18" s="120"/>
      <c r="H18" s="120"/>
      <c r="I18" s="120"/>
      <c r="J18" s="120"/>
      <c r="K18" s="120"/>
      <c r="L18" s="120"/>
      <c r="M18" s="120"/>
      <c r="N18" s="120"/>
      <c r="O18" s="120"/>
      <c r="P18" s="120"/>
      <c r="Q18" s="120"/>
      <c r="R18" s="120"/>
      <c r="S18" s="12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8">
        <v>2</v>
      </c>
      <c r="D20" s="100"/>
      <c r="E20" s="38" t="s">
        <v>96</v>
      </c>
      <c r="G20" s="10"/>
      <c r="H20" s="3"/>
      <c r="I20" s="3"/>
      <c r="J20" s="33" t="s">
        <v>122</v>
      </c>
      <c r="K20" s="106" t="s">
        <v>124</v>
      </c>
      <c r="L20" s="107"/>
      <c r="M20" s="107"/>
      <c r="N20" s="107"/>
      <c r="O20" s="107"/>
      <c r="P20" s="107"/>
      <c r="Q20" s="107"/>
      <c r="R20" s="107"/>
      <c r="S20" s="10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1" t="s">
        <v>114</v>
      </c>
      <c r="B22" s="101"/>
      <c r="C22" s="101"/>
      <c r="D22" s="101"/>
      <c r="E22" s="101"/>
      <c r="F22" s="101"/>
      <c r="G22" s="101"/>
      <c r="H22" s="101"/>
      <c r="I22" s="101"/>
      <c r="J22" s="101"/>
      <c r="K22" s="101"/>
      <c r="L22" s="101"/>
      <c r="M22" s="101"/>
      <c r="N22" s="101"/>
      <c r="O22" s="101"/>
      <c r="P22" s="101"/>
      <c r="Q22" s="101"/>
      <c r="R22" s="101"/>
      <c r="S22" s="101"/>
    </row>
    <row r="23" spans="1:19" ht="18" customHeight="1" x14ac:dyDescent="0.15">
      <c r="A23" s="101"/>
      <c r="B23" s="101"/>
      <c r="C23" s="101"/>
      <c r="D23" s="101"/>
      <c r="E23" s="101"/>
      <c r="F23" s="101"/>
      <c r="G23" s="101"/>
      <c r="H23" s="101"/>
      <c r="I23" s="101"/>
      <c r="J23" s="101"/>
      <c r="K23" s="101"/>
      <c r="L23" s="101"/>
      <c r="M23" s="101"/>
      <c r="N23" s="101"/>
      <c r="O23" s="101"/>
      <c r="P23" s="101"/>
      <c r="Q23" s="101"/>
      <c r="R23" s="101"/>
      <c r="S23" s="101"/>
    </row>
    <row r="24" spans="1:19" ht="18" customHeight="1" x14ac:dyDescent="0.15">
      <c r="B24" s="98" t="s">
        <v>54</v>
      </c>
      <c r="C24" s="99"/>
      <c r="D24" s="99"/>
      <c r="E24" s="100"/>
      <c r="F24" s="52" t="s">
        <v>81</v>
      </c>
      <c r="G24" s="51" t="s">
        <v>85</v>
      </c>
      <c r="H24" s="20" t="s">
        <v>57</v>
      </c>
      <c r="I24" s="20" t="s">
        <v>60</v>
      </c>
      <c r="J24" s="98" t="s">
        <v>54</v>
      </c>
      <c r="K24" s="99"/>
      <c r="L24" s="99"/>
      <c r="M24" s="99"/>
      <c r="N24" s="99"/>
      <c r="O24" s="100"/>
      <c r="P24" s="52" t="s">
        <v>81</v>
      </c>
      <c r="Q24" s="51" t="s">
        <v>85</v>
      </c>
      <c r="R24" s="20" t="s">
        <v>57</v>
      </c>
      <c r="S24" s="20" t="s">
        <v>60</v>
      </c>
    </row>
    <row r="25" spans="1:19" ht="18" customHeight="1" x14ac:dyDescent="0.15">
      <c r="B25" s="102" t="s">
        <v>130</v>
      </c>
      <c r="C25" s="103"/>
      <c r="D25" s="103"/>
      <c r="E25" s="104"/>
      <c r="F25" s="21">
        <v>2</v>
      </c>
      <c r="G25" s="21" t="s">
        <v>131</v>
      </c>
      <c r="H25" s="21" t="s">
        <v>131</v>
      </c>
      <c r="I25" s="21" t="s">
        <v>131</v>
      </c>
      <c r="J25" s="102"/>
      <c r="K25" s="103"/>
      <c r="L25" s="103"/>
      <c r="M25" s="103"/>
      <c r="N25" s="103"/>
      <c r="O25" s="104"/>
      <c r="P25" s="21"/>
      <c r="Q25" s="21"/>
      <c r="R25" s="21"/>
      <c r="S25" s="21"/>
    </row>
    <row r="26" spans="1:19" ht="18" customHeight="1" x14ac:dyDescent="0.15">
      <c r="B26" s="92"/>
      <c r="C26" s="93"/>
      <c r="D26" s="93"/>
      <c r="E26" s="94"/>
      <c r="F26" s="22"/>
      <c r="G26" s="22"/>
      <c r="H26" s="22"/>
      <c r="I26" s="22"/>
      <c r="J26" s="92"/>
      <c r="K26" s="93"/>
      <c r="L26" s="93"/>
      <c r="M26" s="93"/>
      <c r="N26" s="93"/>
      <c r="O26" s="94"/>
      <c r="P26" s="22"/>
      <c r="Q26" s="22"/>
      <c r="R26" s="22"/>
      <c r="S26" s="22"/>
    </row>
    <row r="27" spans="1:19" ht="18" customHeight="1" x14ac:dyDescent="0.15">
      <c r="B27" s="92"/>
      <c r="C27" s="93"/>
      <c r="D27" s="93"/>
      <c r="E27" s="94"/>
      <c r="F27" s="22"/>
      <c r="G27" s="22"/>
      <c r="H27" s="22"/>
      <c r="I27" s="22"/>
      <c r="J27" s="92"/>
      <c r="K27" s="93"/>
      <c r="L27" s="93"/>
      <c r="M27" s="93"/>
      <c r="N27" s="93"/>
      <c r="O27" s="94"/>
      <c r="P27" s="22"/>
      <c r="Q27" s="22"/>
      <c r="R27" s="22"/>
      <c r="S27" s="22"/>
    </row>
    <row r="28" spans="1:19" ht="18" customHeight="1" x14ac:dyDescent="0.15">
      <c r="B28" s="92"/>
      <c r="C28" s="93"/>
      <c r="D28" s="93"/>
      <c r="E28" s="94"/>
      <c r="F28" s="22"/>
      <c r="G28" s="22"/>
      <c r="H28" s="22"/>
      <c r="I28" s="22"/>
      <c r="J28" s="92"/>
      <c r="K28" s="93"/>
      <c r="L28" s="93"/>
      <c r="M28" s="93"/>
      <c r="N28" s="93"/>
      <c r="O28" s="94"/>
      <c r="P28" s="22"/>
      <c r="Q28" s="22"/>
      <c r="R28" s="22"/>
      <c r="S28" s="22"/>
    </row>
    <row r="29" spans="1:19" ht="18" customHeight="1" x14ac:dyDescent="0.15">
      <c r="B29" s="92"/>
      <c r="C29" s="93"/>
      <c r="D29" s="93"/>
      <c r="E29" s="94"/>
      <c r="F29" s="22"/>
      <c r="G29" s="22"/>
      <c r="H29" s="22"/>
      <c r="I29" s="22"/>
      <c r="J29" s="92"/>
      <c r="K29" s="93"/>
      <c r="L29" s="93"/>
      <c r="M29" s="93"/>
      <c r="N29" s="93"/>
      <c r="O29" s="94"/>
      <c r="P29" s="22"/>
      <c r="Q29" s="22"/>
      <c r="R29" s="22"/>
      <c r="S29" s="22"/>
    </row>
    <row r="30" spans="1:19" ht="18" customHeight="1" x14ac:dyDescent="0.15">
      <c r="A30" s="3"/>
      <c r="B30" s="92"/>
      <c r="C30" s="93"/>
      <c r="D30" s="93"/>
      <c r="E30" s="94"/>
      <c r="F30" s="22"/>
      <c r="G30" s="22"/>
      <c r="H30" s="22"/>
      <c r="I30" s="22"/>
      <c r="J30" s="92"/>
      <c r="K30" s="93"/>
      <c r="L30" s="93"/>
      <c r="M30" s="93"/>
      <c r="N30" s="93"/>
      <c r="O30" s="94"/>
      <c r="P30" s="22"/>
      <c r="Q30" s="22"/>
      <c r="R30" s="22"/>
      <c r="S30" s="22"/>
    </row>
    <row r="31" spans="1:19" ht="18" customHeight="1" x14ac:dyDescent="0.15">
      <c r="A31" s="3"/>
      <c r="B31" s="95"/>
      <c r="C31" s="96"/>
      <c r="D31" s="96"/>
      <c r="E31" s="97"/>
      <c r="F31" s="23"/>
      <c r="G31" s="23"/>
      <c r="H31" s="24"/>
      <c r="I31" s="24"/>
      <c r="J31" s="95"/>
      <c r="K31" s="96"/>
      <c r="L31" s="96"/>
      <c r="M31" s="96"/>
      <c r="N31" s="96"/>
      <c r="O31" s="97"/>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1" t="s">
        <v>115</v>
      </c>
      <c r="B33" s="101"/>
      <c r="C33" s="101"/>
      <c r="D33" s="101"/>
      <c r="E33" s="101"/>
      <c r="F33" s="101"/>
      <c r="G33" s="101"/>
      <c r="H33" s="101"/>
      <c r="I33" s="101"/>
      <c r="J33" s="101"/>
      <c r="K33" s="101"/>
      <c r="L33" s="101"/>
      <c r="M33" s="101"/>
      <c r="N33" s="101"/>
      <c r="O33" s="101"/>
      <c r="P33" s="101"/>
      <c r="Q33" s="101"/>
      <c r="R33" s="101"/>
      <c r="S33" s="101"/>
    </row>
    <row r="34" spans="1:19" ht="18" customHeight="1" x14ac:dyDescent="0.15">
      <c r="A34" s="101"/>
      <c r="B34" s="101"/>
      <c r="C34" s="101"/>
      <c r="D34" s="101"/>
      <c r="E34" s="101"/>
      <c r="F34" s="101"/>
      <c r="G34" s="101"/>
      <c r="H34" s="101"/>
      <c r="I34" s="101"/>
      <c r="J34" s="101"/>
      <c r="K34" s="101"/>
      <c r="L34" s="101"/>
      <c r="M34" s="101"/>
      <c r="N34" s="101"/>
      <c r="O34" s="101"/>
      <c r="P34" s="101"/>
      <c r="Q34" s="101"/>
      <c r="R34" s="101"/>
      <c r="S34" s="101"/>
    </row>
    <row r="35" spans="1:19" ht="18" customHeight="1" x14ac:dyDescent="0.15">
      <c r="B35" s="98" t="s">
        <v>54</v>
      </c>
      <c r="C35" s="99"/>
      <c r="D35" s="99"/>
      <c r="E35" s="100"/>
      <c r="F35" s="52" t="s">
        <v>81</v>
      </c>
      <c r="G35" s="51" t="s">
        <v>85</v>
      </c>
      <c r="H35" s="20" t="s">
        <v>72</v>
      </c>
      <c r="I35" s="20" t="s">
        <v>73</v>
      </c>
      <c r="J35" s="98" t="s">
        <v>54</v>
      </c>
      <c r="K35" s="99"/>
      <c r="L35" s="99"/>
      <c r="M35" s="99"/>
      <c r="N35" s="99"/>
      <c r="O35" s="100"/>
      <c r="P35" s="52" t="s">
        <v>81</v>
      </c>
      <c r="Q35" s="51" t="s">
        <v>85</v>
      </c>
      <c r="R35" s="20" t="s">
        <v>72</v>
      </c>
      <c r="S35" s="20" t="s">
        <v>73</v>
      </c>
    </row>
    <row r="36" spans="1:19" ht="18" customHeight="1" x14ac:dyDescent="0.15">
      <c r="B36" s="102" t="s">
        <v>132</v>
      </c>
      <c r="C36" s="103"/>
      <c r="D36" s="103"/>
      <c r="E36" s="104"/>
      <c r="F36" s="21">
        <v>2</v>
      </c>
      <c r="G36" s="21" t="s">
        <v>131</v>
      </c>
      <c r="H36" s="21" t="s">
        <v>131</v>
      </c>
      <c r="I36" s="21" t="s">
        <v>131</v>
      </c>
      <c r="J36" s="102"/>
      <c r="K36" s="103"/>
      <c r="L36" s="103"/>
      <c r="M36" s="103"/>
      <c r="N36" s="103"/>
      <c r="O36" s="104"/>
      <c r="P36" s="21"/>
      <c r="Q36" s="21"/>
      <c r="R36" s="21"/>
      <c r="S36" s="21"/>
    </row>
    <row r="37" spans="1:19" ht="18" customHeight="1" x14ac:dyDescent="0.15">
      <c r="B37" s="92"/>
      <c r="C37" s="93"/>
      <c r="D37" s="93"/>
      <c r="E37" s="94"/>
      <c r="F37" s="22"/>
      <c r="G37" s="22"/>
      <c r="H37" s="22"/>
      <c r="I37" s="22"/>
      <c r="J37" s="92"/>
      <c r="K37" s="93"/>
      <c r="L37" s="93"/>
      <c r="M37" s="93"/>
      <c r="N37" s="93"/>
      <c r="O37" s="94"/>
      <c r="P37" s="22"/>
      <c r="Q37" s="22"/>
      <c r="R37" s="22"/>
      <c r="S37" s="22"/>
    </row>
    <row r="38" spans="1:19" ht="18" customHeight="1" x14ac:dyDescent="0.15">
      <c r="B38" s="92"/>
      <c r="C38" s="93"/>
      <c r="D38" s="93"/>
      <c r="E38" s="94"/>
      <c r="F38" s="22"/>
      <c r="G38" s="22"/>
      <c r="H38" s="22"/>
      <c r="I38" s="22"/>
      <c r="J38" s="92"/>
      <c r="K38" s="93"/>
      <c r="L38" s="93"/>
      <c r="M38" s="93"/>
      <c r="N38" s="93"/>
      <c r="O38" s="94"/>
      <c r="P38" s="22"/>
      <c r="Q38" s="22"/>
      <c r="R38" s="22"/>
      <c r="S38" s="22"/>
    </row>
    <row r="39" spans="1:19" ht="18" customHeight="1" x14ac:dyDescent="0.15">
      <c r="B39" s="92"/>
      <c r="C39" s="93"/>
      <c r="D39" s="93"/>
      <c r="E39" s="94"/>
      <c r="F39" s="22"/>
      <c r="G39" s="22"/>
      <c r="H39" s="22"/>
      <c r="I39" s="22"/>
      <c r="J39" s="92"/>
      <c r="K39" s="93"/>
      <c r="L39" s="93"/>
      <c r="M39" s="93"/>
      <c r="N39" s="93"/>
      <c r="O39" s="94"/>
      <c r="P39" s="22"/>
      <c r="Q39" s="22"/>
      <c r="R39" s="22"/>
      <c r="S39" s="22"/>
    </row>
    <row r="40" spans="1:19" ht="18" customHeight="1" x14ac:dyDescent="0.15">
      <c r="B40" s="92"/>
      <c r="C40" s="93"/>
      <c r="D40" s="93"/>
      <c r="E40" s="94"/>
      <c r="F40" s="22"/>
      <c r="G40" s="22"/>
      <c r="H40" s="22"/>
      <c r="I40" s="22"/>
      <c r="J40" s="92"/>
      <c r="K40" s="93"/>
      <c r="L40" s="93"/>
      <c r="M40" s="93"/>
      <c r="N40" s="93"/>
      <c r="O40" s="94"/>
      <c r="P40" s="22"/>
      <c r="Q40" s="22"/>
      <c r="R40" s="22"/>
      <c r="S40" s="22"/>
    </row>
    <row r="41" spans="1:19" ht="18" customHeight="1" x14ac:dyDescent="0.15">
      <c r="B41" s="92"/>
      <c r="C41" s="93"/>
      <c r="D41" s="93"/>
      <c r="E41" s="94"/>
      <c r="F41" s="22"/>
      <c r="G41" s="22"/>
      <c r="H41" s="22"/>
      <c r="I41" s="22"/>
      <c r="J41" s="92"/>
      <c r="K41" s="93"/>
      <c r="L41" s="93"/>
      <c r="M41" s="93"/>
      <c r="N41" s="93"/>
      <c r="O41" s="94"/>
      <c r="P41" s="22"/>
      <c r="Q41" s="22"/>
      <c r="R41" s="22"/>
      <c r="S41" s="22"/>
    </row>
    <row r="42" spans="1:19" ht="18" customHeight="1" x14ac:dyDescent="0.15">
      <c r="B42" s="95"/>
      <c r="C42" s="96"/>
      <c r="D42" s="96"/>
      <c r="E42" s="97"/>
      <c r="F42" s="23"/>
      <c r="G42" s="23"/>
      <c r="H42" s="24"/>
      <c r="I42" s="24"/>
      <c r="J42" s="95"/>
      <c r="K42" s="96"/>
      <c r="L42" s="96"/>
      <c r="M42" s="96"/>
      <c r="N42" s="96"/>
      <c r="O42" s="97"/>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1" t="s">
        <v>116</v>
      </c>
      <c r="B44" s="101"/>
      <c r="C44" s="101"/>
      <c r="D44" s="101"/>
      <c r="E44" s="101"/>
      <c r="F44" s="101"/>
      <c r="G44" s="101"/>
      <c r="H44" s="101"/>
      <c r="I44" s="101"/>
      <c r="J44" s="101"/>
      <c r="K44" s="101"/>
      <c r="L44" s="101"/>
      <c r="M44" s="101"/>
      <c r="N44" s="101"/>
      <c r="O44" s="101"/>
      <c r="P44" s="101"/>
      <c r="Q44" s="101"/>
      <c r="R44" s="101"/>
      <c r="S44" s="101"/>
    </row>
    <row r="45" spans="1:19" ht="18" customHeight="1" x14ac:dyDescent="0.15">
      <c r="A45" s="101"/>
      <c r="B45" s="101"/>
      <c r="C45" s="101"/>
      <c r="D45" s="101"/>
      <c r="E45" s="101"/>
      <c r="F45" s="101"/>
      <c r="G45" s="101"/>
      <c r="H45" s="101"/>
      <c r="I45" s="101"/>
      <c r="J45" s="101"/>
      <c r="K45" s="101"/>
      <c r="L45" s="101"/>
      <c r="M45" s="101"/>
      <c r="N45" s="101"/>
      <c r="O45" s="101"/>
      <c r="P45" s="101"/>
      <c r="Q45" s="101"/>
      <c r="R45" s="101"/>
      <c r="S45" s="101"/>
    </row>
    <row r="46" spans="1:19" ht="18" customHeight="1" x14ac:dyDescent="0.15">
      <c r="B46" s="98" t="s">
        <v>54</v>
      </c>
      <c r="C46" s="99"/>
      <c r="D46" s="99"/>
      <c r="E46" s="100"/>
      <c r="F46" s="52" t="s">
        <v>81</v>
      </c>
      <c r="G46" s="51" t="s">
        <v>85</v>
      </c>
      <c r="H46" s="20" t="s">
        <v>74</v>
      </c>
      <c r="I46" s="20" t="s">
        <v>75</v>
      </c>
      <c r="J46" s="98" t="s">
        <v>54</v>
      </c>
      <c r="K46" s="99"/>
      <c r="L46" s="99"/>
      <c r="M46" s="99"/>
      <c r="N46" s="99"/>
      <c r="O46" s="100"/>
      <c r="P46" s="52" t="s">
        <v>81</v>
      </c>
      <c r="Q46" s="51" t="s">
        <v>85</v>
      </c>
      <c r="R46" s="20" t="s">
        <v>74</v>
      </c>
      <c r="S46" s="20" t="s">
        <v>75</v>
      </c>
    </row>
    <row r="47" spans="1:19" ht="18" customHeight="1" x14ac:dyDescent="0.15">
      <c r="A47" s="3"/>
      <c r="B47" s="102" t="s">
        <v>130</v>
      </c>
      <c r="C47" s="103"/>
      <c r="D47" s="103"/>
      <c r="E47" s="104"/>
      <c r="F47" s="21">
        <v>2</v>
      </c>
      <c r="G47" s="21" t="s">
        <v>131</v>
      </c>
      <c r="H47" s="21" t="s">
        <v>131</v>
      </c>
      <c r="I47" s="21" t="s">
        <v>131</v>
      </c>
      <c r="J47" s="102"/>
      <c r="K47" s="103"/>
      <c r="L47" s="103"/>
      <c r="M47" s="103"/>
      <c r="N47" s="103"/>
      <c r="O47" s="104"/>
      <c r="P47" s="21"/>
      <c r="Q47" s="21"/>
      <c r="R47" s="21"/>
      <c r="S47" s="21"/>
    </row>
    <row r="48" spans="1:19" ht="18" customHeight="1" x14ac:dyDescent="0.15">
      <c r="A48" s="3"/>
      <c r="B48" s="92"/>
      <c r="C48" s="93"/>
      <c r="D48" s="93"/>
      <c r="E48" s="94"/>
      <c r="F48" s="22"/>
      <c r="G48" s="22"/>
      <c r="H48" s="22"/>
      <c r="I48" s="22"/>
      <c r="J48" s="92"/>
      <c r="K48" s="93"/>
      <c r="L48" s="93"/>
      <c r="M48" s="93"/>
      <c r="N48" s="93"/>
      <c r="O48" s="94"/>
      <c r="P48" s="22"/>
      <c r="Q48" s="22"/>
      <c r="R48" s="22"/>
      <c r="S48" s="22"/>
    </row>
    <row r="49" spans="1:19" ht="18" customHeight="1" x14ac:dyDescent="0.15">
      <c r="A49" s="3"/>
      <c r="B49" s="92"/>
      <c r="C49" s="93"/>
      <c r="D49" s="93"/>
      <c r="E49" s="94"/>
      <c r="F49" s="22"/>
      <c r="G49" s="22"/>
      <c r="H49" s="22"/>
      <c r="I49" s="22"/>
      <c r="J49" s="92"/>
      <c r="K49" s="93"/>
      <c r="L49" s="93"/>
      <c r="M49" s="93"/>
      <c r="N49" s="93"/>
      <c r="O49" s="94"/>
      <c r="P49" s="22"/>
      <c r="Q49" s="22"/>
      <c r="R49" s="22"/>
      <c r="S49" s="22"/>
    </row>
    <row r="50" spans="1:19" ht="18" customHeight="1" x14ac:dyDescent="0.15">
      <c r="A50" s="3"/>
      <c r="B50" s="92"/>
      <c r="C50" s="93"/>
      <c r="D50" s="93"/>
      <c r="E50" s="94"/>
      <c r="F50" s="22"/>
      <c r="G50" s="22"/>
      <c r="H50" s="22"/>
      <c r="I50" s="22"/>
      <c r="J50" s="92"/>
      <c r="K50" s="93"/>
      <c r="L50" s="93"/>
      <c r="M50" s="93"/>
      <c r="N50" s="93"/>
      <c r="O50" s="94"/>
      <c r="P50" s="22"/>
      <c r="Q50" s="22"/>
      <c r="R50" s="22"/>
      <c r="S50" s="22"/>
    </row>
    <row r="51" spans="1:19" ht="18" customHeight="1" x14ac:dyDescent="0.15">
      <c r="A51" s="3"/>
      <c r="B51" s="92"/>
      <c r="C51" s="93"/>
      <c r="D51" s="93"/>
      <c r="E51" s="94"/>
      <c r="F51" s="22"/>
      <c r="G51" s="22"/>
      <c r="H51" s="22"/>
      <c r="I51" s="22"/>
      <c r="J51" s="92"/>
      <c r="K51" s="93"/>
      <c r="L51" s="93"/>
      <c r="M51" s="93"/>
      <c r="N51" s="93"/>
      <c r="O51" s="94"/>
      <c r="P51" s="22"/>
      <c r="Q51" s="22"/>
      <c r="R51" s="22"/>
      <c r="S51" s="22"/>
    </row>
    <row r="52" spans="1:19" ht="18" customHeight="1" x14ac:dyDescent="0.15">
      <c r="A52" s="3"/>
      <c r="B52" s="92"/>
      <c r="C52" s="93"/>
      <c r="D52" s="93"/>
      <c r="E52" s="94"/>
      <c r="F52" s="22"/>
      <c r="G52" s="22"/>
      <c r="H52" s="22"/>
      <c r="I52" s="22"/>
      <c r="J52" s="92"/>
      <c r="K52" s="93"/>
      <c r="L52" s="93"/>
      <c r="M52" s="93"/>
      <c r="N52" s="93"/>
      <c r="O52" s="94"/>
      <c r="P52" s="22"/>
      <c r="Q52" s="22"/>
      <c r="R52" s="22"/>
      <c r="S52" s="22"/>
    </row>
    <row r="53" spans="1:19" ht="18" customHeight="1" x14ac:dyDescent="0.15">
      <c r="A53" s="3"/>
      <c r="B53" s="95"/>
      <c r="C53" s="96"/>
      <c r="D53" s="96"/>
      <c r="E53" s="97"/>
      <c r="F53" s="23"/>
      <c r="G53" s="23"/>
      <c r="H53" s="24"/>
      <c r="I53" s="24"/>
      <c r="J53" s="95"/>
      <c r="K53" s="96"/>
      <c r="L53" s="96"/>
      <c r="M53" s="96"/>
      <c r="N53" s="96"/>
      <c r="O53" s="97"/>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1" t="s">
        <v>117</v>
      </c>
      <c r="B55" s="101"/>
      <c r="C55" s="101"/>
      <c r="D55" s="101"/>
      <c r="E55" s="101"/>
      <c r="F55" s="101"/>
      <c r="G55" s="101"/>
      <c r="H55" s="101"/>
      <c r="I55" s="101"/>
      <c r="J55" s="101"/>
      <c r="K55" s="101"/>
      <c r="L55" s="101"/>
      <c r="M55" s="101"/>
      <c r="N55" s="101"/>
      <c r="O55" s="101"/>
      <c r="P55" s="101"/>
      <c r="Q55" s="101"/>
      <c r="R55" s="101"/>
      <c r="S55" s="101"/>
    </row>
    <row r="56" spans="1:19" ht="18" customHeight="1" x14ac:dyDescent="0.15">
      <c r="A56" s="101"/>
      <c r="B56" s="101"/>
      <c r="C56" s="101"/>
      <c r="D56" s="101"/>
      <c r="E56" s="101"/>
      <c r="F56" s="101"/>
      <c r="G56" s="101"/>
      <c r="H56" s="101"/>
      <c r="I56" s="101"/>
      <c r="J56" s="101"/>
      <c r="K56" s="101"/>
      <c r="L56" s="101"/>
      <c r="M56" s="101"/>
      <c r="N56" s="101"/>
      <c r="O56" s="101"/>
      <c r="P56" s="101"/>
      <c r="Q56" s="101"/>
      <c r="R56" s="101"/>
      <c r="S56" s="101"/>
    </row>
    <row r="57" spans="1:19" ht="18" customHeight="1" x14ac:dyDescent="0.15">
      <c r="B57" s="98" t="s">
        <v>54</v>
      </c>
      <c r="C57" s="99"/>
      <c r="D57" s="99"/>
      <c r="E57" s="100"/>
      <c r="F57" s="52" t="s">
        <v>81</v>
      </c>
      <c r="G57" s="51" t="s">
        <v>85</v>
      </c>
      <c r="H57" s="20" t="s">
        <v>59</v>
      </c>
      <c r="I57" s="20" t="s">
        <v>61</v>
      </c>
      <c r="J57" s="98" t="s">
        <v>54</v>
      </c>
      <c r="K57" s="99"/>
      <c r="L57" s="99"/>
      <c r="M57" s="99"/>
      <c r="N57" s="99"/>
      <c r="O57" s="100"/>
      <c r="P57" s="52" t="s">
        <v>81</v>
      </c>
      <c r="Q57" s="51" t="s">
        <v>85</v>
      </c>
      <c r="R57" s="20" t="s">
        <v>59</v>
      </c>
      <c r="S57" s="20" t="s">
        <v>61</v>
      </c>
    </row>
    <row r="58" spans="1:19" ht="18" customHeight="1" x14ac:dyDescent="0.15">
      <c r="A58" s="3"/>
      <c r="B58" s="102" t="s">
        <v>130</v>
      </c>
      <c r="C58" s="103"/>
      <c r="D58" s="103"/>
      <c r="E58" s="104"/>
      <c r="F58" s="21">
        <v>2</v>
      </c>
      <c r="G58" s="21" t="s">
        <v>131</v>
      </c>
      <c r="H58" s="21" t="s">
        <v>131</v>
      </c>
      <c r="I58" s="21" t="s">
        <v>131</v>
      </c>
      <c r="J58" s="102"/>
      <c r="K58" s="103"/>
      <c r="L58" s="103"/>
      <c r="M58" s="103"/>
      <c r="N58" s="103"/>
      <c r="O58" s="104"/>
      <c r="P58" s="21"/>
      <c r="Q58" s="21"/>
      <c r="R58" s="21"/>
      <c r="S58" s="21"/>
    </row>
    <row r="59" spans="1:19" ht="18" customHeight="1" x14ac:dyDescent="0.15">
      <c r="A59" s="3"/>
      <c r="B59" s="92"/>
      <c r="C59" s="93"/>
      <c r="D59" s="93"/>
      <c r="E59" s="94"/>
      <c r="F59" s="22"/>
      <c r="G59" s="22"/>
      <c r="H59" s="22"/>
      <c r="I59" s="22"/>
      <c r="J59" s="92"/>
      <c r="K59" s="93"/>
      <c r="L59" s="93"/>
      <c r="M59" s="93"/>
      <c r="N59" s="93"/>
      <c r="O59" s="94"/>
      <c r="P59" s="22"/>
      <c r="Q59" s="22"/>
      <c r="R59" s="22"/>
      <c r="S59" s="22"/>
    </row>
    <row r="60" spans="1:19" ht="18" customHeight="1" x14ac:dyDescent="0.15">
      <c r="A60" s="3"/>
      <c r="B60" s="92"/>
      <c r="C60" s="93"/>
      <c r="D60" s="93"/>
      <c r="E60" s="94"/>
      <c r="F60" s="22"/>
      <c r="G60" s="22"/>
      <c r="H60" s="22"/>
      <c r="I60" s="22"/>
      <c r="J60" s="92"/>
      <c r="K60" s="93"/>
      <c r="L60" s="93"/>
      <c r="M60" s="93"/>
      <c r="N60" s="93"/>
      <c r="O60" s="94"/>
      <c r="P60" s="22"/>
      <c r="Q60" s="22"/>
      <c r="R60" s="22"/>
      <c r="S60" s="22"/>
    </row>
    <row r="61" spans="1:19" ht="18" customHeight="1" x14ac:dyDescent="0.15">
      <c r="A61" s="3"/>
      <c r="B61" s="92"/>
      <c r="C61" s="93"/>
      <c r="D61" s="93"/>
      <c r="E61" s="94"/>
      <c r="F61" s="22"/>
      <c r="G61" s="22"/>
      <c r="H61" s="22"/>
      <c r="I61" s="22"/>
      <c r="J61" s="92"/>
      <c r="K61" s="93"/>
      <c r="L61" s="93"/>
      <c r="M61" s="93"/>
      <c r="N61" s="93"/>
      <c r="O61" s="94"/>
      <c r="P61" s="22"/>
      <c r="Q61" s="22"/>
      <c r="R61" s="22"/>
      <c r="S61" s="22"/>
    </row>
    <row r="62" spans="1:19" ht="18" customHeight="1" x14ac:dyDescent="0.15">
      <c r="A62" s="3"/>
      <c r="B62" s="92"/>
      <c r="C62" s="93"/>
      <c r="D62" s="93"/>
      <c r="E62" s="94"/>
      <c r="F62" s="22"/>
      <c r="G62" s="22"/>
      <c r="H62" s="22"/>
      <c r="I62" s="22"/>
      <c r="J62" s="92"/>
      <c r="K62" s="93"/>
      <c r="L62" s="93"/>
      <c r="M62" s="93"/>
      <c r="N62" s="93"/>
      <c r="O62" s="94"/>
      <c r="P62" s="22"/>
      <c r="Q62" s="22"/>
      <c r="R62" s="22"/>
      <c r="S62" s="22"/>
    </row>
    <row r="63" spans="1:19" ht="18" customHeight="1" x14ac:dyDescent="0.15">
      <c r="A63" s="3"/>
      <c r="B63" s="92"/>
      <c r="C63" s="93"/>
      <c r="D63" s="93"/>
      <c r="E63" s="94"/>
      <c r="F63" s="22"/>
      <c r="G63" s="22"/>
      <c r="H63" s="22"/>
      <c r="I63" s="22"/>
      <c r="J63" s="92"/>
      <c r="K63" s="93"/>
      <c r="L63" s="93"/>
      <c r="M63" s="93"/>
      <c r="N63" s="93"/>
      <c r="O63" s="94"/>
      <c r="P63" s="22"/>
      <c r="Q63" s="22"/>
      <c r="R63" s="22"/>
      <c r="S63" s="22"/>
    </row>
    <row r="64" spans="1:19" ht="18" customHeight="1" x14ac:dyDescent="0.15">
      <c r="A64" s="3"/>
      <c r="B64" s="95"/>
      <c r="C64" s="96"/>
      <c r="D64" s="96"/>
      <c r="E64" s="97"/>
      <c r="F64" s="23"/>
      <c r="G64" s="23"/>
      <c r="H64" s="24"/>
      <c r="I64" s="24"/>
      <c r="J64" s="95"/>
      <c r="K64" s="96"/>
      <c r="L64" s="96"/>
      <c r="M64" s="96"/>
      <c r="N64" s="96"/>
      <c r="O64" s="97"/>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1" t="s">
        <v>118</v>
      </c>
      <c r="B66" s="101"/>
      <c r="C66" s="101"/>
      <c r="D66" s="101"/>
      <c r="E66" s="101"/>
      <c r="F66" s="101"/>
      <c r="G66" s="101"/>
      <c r="H66" s="101"/>
      <c r="I66" s="101"/>
      <c r="J66" s="101"/>
      <c r="K66" s="101"/>
      <c r="L66" s="101"/>
      <c r="M66" s="101"/>
      <c r="N66" s="101"/>
      <c r="O66" s="101"/>
      <c r="P66" s="101"/>
      <c r="Q66" s="101"/>
      <c r="R66" s="101"/>
      <c r="S66" s="101"/>
    </row>
    <row r="67" spans="1:19" ht="18" customHeight="1" x14ac:dyDescent="0.15">
      <c r="A67" s="101"/>
      <c r="B67" s="101"/>
      <c r="C67" s="101"/>
      <c r="D67" s="101"/>
      <c r="E67" s="101"/>
      <c r="F67" s="101"/>
      <c r="G67" s="101"/>
      <c r="H67" s="101"/>
      <c r="I67" s="101"/>
      <c r="J67" s="101"/>
      <c r="K67" s="101"/>
      <c r="L67" s="101"/>
      <c r="M67" s="101"/>
      <c r="N67" s="101"/>
      <c r="O67" s="101"/>
      <c r="P67" s="101"/>
      <c r="Q67" s="101"/>
      <c r="R67" s="101"/>
      <c r="S67" s="101"/>
    </row>
    <row r="68" spans="1:19" ht="18" customHeight="1" x14ac:dyDescent="0.15">
      <c r="B68" s="98" t="s">
        <v>54</v>
      </c>
      <c r="C68" s="99"/>
      <c r="D68" s="99"/>
      <c r="E68" s="52" t="s">
        <v>81</v>
      </c>
      <c r="F68" s="51" t="s">
        <v>85</v>
      </c>
      <c r="G68" s="20" t="s">
        <v>102</v>
      </c>
      <c r="H68" s="20" t="s">
        <v>76</v>
      </c>
      <c r="I68" s="20" t="s">
        <v>77</v>
      </c>
      <c r="J68" s="98" t="s">
        <v>54</v>
      </c>
      <c r="K68" s="99"/>
      <c r="L68" s="99"/>
      <c r="M68" s="99"/>
      <c r="N68" s="100"/>
      <c r="O68" s="52" t="s">
        <v>81</v>
      </c>
      <c r="P68" s="51" t="s">
        <v>85</v>
      </c>
      <c r="Q68" s="20" t="s">
        <v>102</v>
      </c>
      <c r="R68" s="20" t="s">
        <v>76</v>
      </c>
      <c r="S68" s="20" t="s">
        <v>77</v>
      </c>
    </row>
    <row r="69" spans="1:19" ht="18" customHeight="1" x14ac:dyDescent="0.15">
      <c r="A69" s="3"/>
      <c r="B69" s="102" t="s">
        <v>130</v>
      </c>
      <c r="C69" s="103"/>
      <c r="D69" s="103"/>
      <c r="E69" s="21">
        <v>2</v>
      </c>
      <c r="F69" s="21" t="s">
        <v>131</v>
      </c>
      <c r="G69" s="21" t="s">
        <v>131</v>
      </c>
      <c r="H69" s="21" t="s">
        <v>131</v>
      </c>
      <c r="I69" s="21" t="s">
        <v>131</v>
      </c>
      <c r="J69" s="102"/>
      <c r="K69" s="103"/>
      <c r="L69" s="103"/>
      <c r="M69" s="103"/>
      <c r="N69" s="104"/>
      <c r="O69" s="21"/>
      <c r="P69" s="21"/>
      <c r="Q69" s="21"/>
      <c r="R69" s="21"/>
      <c r="S69" s="21"/>
    </row>
    <row r="70" spans="1:19" ht="18" customHeight="1" x14ac:dyDescent="0.15">
      <c r="A70" s="3"/>
      <c r="B70" s="92"/>
      <c r="C70" s="93"/>
      <c r="D70" s="93"/>
      <c r="E70" s="22"/>
      <c r="F70" s="22"/>
      <c r="G70" s="22"/>
      <c r="H70" s="22"/>
      <c r="I70" s="22"/>
      <c r="J70" s="92"/>
      <c r="K70" s="93"/>
      <c r="L70" s="93"/>
      <c r="M70" s="93"/>
      <c r="N70" s="94"/>
      <c r="O70" s="22"/>
      <c r="P70" s="22"/>
      <c r="Q70" s="22"/>
      <c r="R70" s="22"/>
      <c r="S70" s="22"/>
    </row>
    <row r="71" spans="1:19" ht="18" customHeight="1" x14ac:dyDescent="0.15">
      <c r="A71" s="3"/>
      <c r="B71" s="92"/>
      <c r="C71" s="93"/>
      <c r="D71" s="93"/>
      <c r="E71" s="22"/>
      <c r="F71" s="22"/>
      <c r="G71" s="22"/>
      <c r="H71" s="22"/>
      <c r="I71" s="22"/>
      <c r="J71" s="92"/>
      <c r="K71" s="93"/>
      <c r="L71" s="93"/>
      <c r="M71" s="93"/>
      <c r="N71" s="94"/>
      <c r="O71" s="22"/>
      <c r="P71" s="22"/>
      <c r="Q71" s="22"/>
      <c r="R71" s="22"/>
      <c r="S71" s="22"/>
    </row>
    <row r="72" spans="1:19" ht="18" customHeight="1" x14ac:dyDescent="0.15">
      <c r="A72" s="3"/>
      <c r="B72" s="92"/>
      <c r="C72" s="93"/>
      <c r="D72" s="93"/>
      <c r="E72" s="22"/>
      <c r="F72" s="22"/>
      <c r="G72" s="22"/>
      <c r="H72" s="22"/>
      <c r="I72" s="22"/>
      <c r="J72" s="92"/>
      <c r="K72" s="93"/>
      <c r="L72" s="93"/>
      <c r="M72" s="93"/>
      <c r="N72" s="94"/>
      <c r="O72" s="22"/>
      <c r="P72" s="22"/>
      <c r="Q72" s="22"/>
      <c r="R72" s="22"/>
      <c r="S72" s="22"/>
    </row>
    <row r="73" spans="1:19" ht="18" customHeight="1" x14ac:dyDescent="0.15">
      <c r="A73" s="3"/>
      <c r="B73" s="92"/>
      <c r="C73" s="93"/>
      <c r="D73" s="93"/>
      <c r="E73" s="22"/>
      <c r="F73" s="22"/>
      <c r="G73" s="22"/>
      <c r="H73" s="22"/>
      <c r="I73" s="22"/>
      <c r="J73" s="92"/>
      <c r="K73" s="93"/>
      <c r="L73" s="93"/>
      <c r="M73" s="93"/>
      <c r="N73" s="94"/>
      <c r="O73" s="22"/>
      <c r="P73" s="22"/>
      <c r="Q73" s="22"/>
      <c r="R73" s="22"/>
      <c r="S73" s="22"/>
    </row>
    <row r="74" spans="1:19" ht="18" customHeight="1" x14ac:dyDescent="0.15">
      <c r="A74" s="3"/>
      <c r="B74" s="92"/>
      <c r="C74" s="93"/>
      <c r="D74" s="93"/>
      <c r="E74" s="22"/>
      <c r="F74" s="22"/>
      <c r="G74" s="22"/>
      <c r="H74" s="22"/>
      <c r="I74" s="22"/>
      <c r="J74" s="92"/>
      <c r="K74" s="93"/>
      <c r="L74" s="93"/>
      <c r="M74" s="93"/>
      <c r="N74" s="94"/>
      <c r="O74" s="22"/>
      <c r="P74" s="22"/>
      <c r="Q74" s="22"/>
      <c r="R74" s="22"/>
      <c r="S74" s="22"/>
    </row>
    <row r="75" spans="1:19" ht="18" customHeight="1" x14ac:dyDescent="0.15">
      <c r="A75" s="3"/>
      <c r="B75" s="95"/>
      <c r="C75" s="96"/>
      <c r="D75" s="96"/>
      <c r="E75" s="23"/>
      <c r="F75" s="23"/>
      <c r="G75" s="24"/>
      <c r="H75" s="24"/>
      <c r="I75" s="24"/>
      <c r="J75" s="95"/>
      <c r="K75" s="96"/>
      <c r="L75" s="96"/>
      <c r="M75" s="96"/>
      <c r="N75" s="97"/>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8" t="s">
        <v>54</v>
      </c>
      <c r="C78" s="99"/>
      <c r="D78" s="99"/>
      <c r="E78" s="100"/>
      <c r="F78" s="98" t="s">
        <v>83</v>
      </c>
      <c r="G78" s="99"/>
      <c r="H78" s="99"/>
      <c r="I78" s="100"/>
      <c r="J78" s="147" t="s">
        <v>54</v>
      </c>
      <c r="K78" s="148"/>
      <c r="L78" s="148"/>
      <c r="M78" s="148"/>
      <c r="N78" s="148"/>
      <c r="O78" s="149"/>
      <c r="P78" s="98" t="s">
        <v>83</v>
      </c>
      <c r="Q78" s="99"/>
      <c r="R78" s="99"/>
      <c r="S78" s="100"/>
    </row>
    <row r="79" spans="1:19" ht="18" customHeight="1" x14ac:dyDescent="0.15">
      <c r="A79" s="3"/>
      <c r="B79" s="102"/>
      <c r="C79" s="103"/>
      <c r="D79" s="103"/>
      <c r="E79" s="104"/>
      <c r="F79" s="165"/>
      <c r="G79" s="166"/>
      <c r="H79" s="166"/>
      <c r="I79" s="167"/>
      <c r="J79" s="102"/>
      <c r="K79" s="103"/>
      <c r="L79" s="103"/>
      <c r="M79" s="103"/>
      <c r="N79" s="103"/>
      <c r="O79" s="104"/>
      <c r="P79" s="165"/>
      <c r="Q79" s="166"/>
      <c r="R79" s="166"/>
      <c r="S79" s="167"/>
    </row>
    <row r="80" spans="1:19" ht="18" customHeight="1" x14ac:dyDescent="0.15">
      <c r="A80" s="3"/>
      <c r="B80" s="92"/>
      <c r="C80" s="93"/>
      <c r="D80" s="93"/>
      <c r="E80" s="94"/>
      <c r="F80" s="131"/>
      <c r="G80" s="132"/>
      <c r="H80" s="132"/>
      <c r="I80" s="133"/>
      <c r="J80" s="92"/>
      <c r="K80" s="93"/>
      <c r="L80" s="93"/>
      <c r="M80" s="93"/>
      <c r="N80" s="93"/>
      <c r="O80" s="94"/>
      <c r="P80" s="131"/>
      <c r="Q80" s="132"/>
      <c r="R80" s="132"/>
      <c r="S80" s="133"/>
    </row>
    <row r="81" spans="1:19" ht="18" customHeight="1" x14ac:dyDescent="0.15">
      <c r="A81" s="3"/>
      <c r="B81" s="92"/>
      <c r="C81" s="93"/>
      <c r="D81" s="93"/>
      <c r="E81" s="94"/>
      <c r="F81" s="131"/>
      <c r="G81" s="132"/>
      <c r="H81" s="132"/>
      <c r="I81" s="133"/>
      <c r="J81" s="92"/>
      <c r="K81" s="93"/>
      <c r="L81" s="93"/>
      <c r="M81" s="93"/>
      <c r="N81" s="93"/>
      <c r="O81" s="94"/>
      <c r="P81" s="131"/>
      <c r="Q81" s="132"/>
      <c r="R81" s="132"/>
      <c r="S81" s="133"/>
    </row>
    <row r="82" spans="1:19" ht="18" customHeight="1" x14ac:dyDescent="0.15">
      <c r="A82" s="3"/>
      <c r="B82" s="92"/>
      <c r="C82" s="93"/>
      <c r="D82" s="93"/>
      <c r="E82" s="94"/>
      <c r="F82" s="131"/>
      <c r="G82" s="132"/>
      <c r="H82" s="132"/>
      <c r="I82" s="133"/>
      <c r="J82" s="92"/>
      <c r="K82" s="93"/>
      <c r="L82" s="93"/>
      <c r="M82" s="93"/>
      <c r="N82" s="93"/>
      <c r="O82" s="94"/>
      <c r="P82" s="131"/>
      <c r="Q82" s="132"/>
      <c r="R82" s="132"/>
      <c r="S82" s="133"/>
    </row>
    <row r="83" spans="1:19" ht="18" customHeight="1" x14ac:dyDescent="0.15">
      <c r="A83" s="3"/>
      <c r="B83" s="92"/>
      <c r="C83" s="93"/>
      <c r="D83" s="93"/>
      <c r="E83" s="94"/>
      <c r="F83" s="131"/>
      <c r="G83" s="132"/>
      <c r="H83" s="132"/>
      <c r="I83" s="133"/>
      <c r="J83" s="92"/>
      <c r="K83" s="93"/>
      <c r="L83" s="93"/>
      <c r="M83" s="93"/>
      <c r="N83" s="93"/>
      <c r="O83" s="94"/>
      <c r="P83" s="131"/>
      <c r="Q83" s="132"/>
      <c r="R83" s="132"/>
      <c r="S83" s="133"/>
    </row>
    <row r="84" spans="1:19" ht="18" customHeight="1" x14ac:dyDescent="0.15">
      <c r="A84" s="3"/>
      <c r="B84" s="92"/>
      <c r="C84" s="93"/>
      <c r="D84" s="93"/>
      <c r="E84" s="94"/>
      <c r="F84" s="131"/>
      <c r="G84" s="132"/>
      <c r="H84" s="132"/>
      <c r="I84" s="133"/>
      <c r="J84" s="92"/>
      <c r="K84" s="93"/>
      <c r="L84" s="93"/>
      <c r="M84" s="93"/>
      <c r="N84" s="93"/>
      <c r="O84" s="94"/>
      <c r="P84" s="131"/>
      <c r="Q84" s="132"/>
      <c r="R84" s="132"/>
      <c r="S84" s="133"/>
    </row>
    <row r="85" spans="1:19" ht="18" customHeight="1" x14ac:dyDescent="0.15">
      <c r="A85" s="3"/>
      <c r="B85" s="95"/>
      <c r="C85" s="96"/>
      <c r="D85" s="96"/>
      <c r="E85" s="97"/>
      <c r="F85" s="128"/>
      <c r="G85" s="129"/>
      <c r="H85" s="129"/>
      <c r="I85" s="130"/>
      <c r="J85" s="95"/>
      <c r="K85" s="96"/>
      <c r="L85" s="96"/>
      <c r="M85" s="96"/>
      <c r="N85" s="96"/>
      <c r="O85" s="97"/>
      <c r="P85" s="128"/>
      <c r="Q85" s="129"/>
      <c r="R85" s="129"/>
      <c r="S85" s="130"/>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120</v>
      </c>
    </row>
    <row r="88" spans="1:19" ht="18.75" customHeight="1" x14ac:dyDescent="0.15">
      <c r="B88" s="160" t="s">
        <v>55</v>
      </c>
      <c r="C88" s="161"/>
      <c r="D88" s="99" t="s">
        <v>56</v>
      </c>
      <c r="E88" s="99"/>
      <c r="F88" s="99"/>
      <c r="G88" s="99"/>
      <c r="H88" s="99"/>
      <c r="I88" s="99"/>
      <c r="J88" s="99"/>
      <c r="K88" s="99"/>
      <c r="L88" s="99"/>
      <c r="M88" s="99"/>
      <c r="N88" s="99"/>
      <c r="O88" s="99"/>
      <c r="P88" s="99"/>
      <c r="Q88" s="99"/>
      <c r="R88" s="99"/>
      <c r="S88" s="100"/>
    </row>
    <row r="89" spans="1:19" ht="97.5" customHeight="1" x14ac:dyDescent="0.15">
      <c r="B89" s="150" t="s">
        <v>62</v>
      </c>
      <c r="C89" s="26" t="s">
        <v>57</v>
      </c>
      <c r="D89" s="162" t="s">
        <v>162</v>
      </c>
      <c r="E89" s="163"/>
      <c r="F89" s="163"/>
      <c r="G89" s="163"/>
      <c r="H89" s="163"/>
      <c r="I89" s="163"/>
      <c r="J89" s="163"/>
      <c r="K89" s="163"/>
      <c r="L89" s="163"/>
      <c r="M89" s="163"/>
      <c r="N89" s="163"/>
      <c r="O89" s="163"/>
      <c r="P89" s="163"/>
      <c r="Q89" s="163"/>
      <c r="R89" s="163"/>
      <c r="S89" s="164"/>
    </row>
    <row r="90" spans="1:19" ht="97.5" customHeight="1" x14ac:dyDescent="0.15">
      <c r="B90" s="152"/>
      <c r="C90" s="27" t="s">
        <v>78</v>
      </c>
      <c r="D90" s="134" t="s">
        <v>161</v>
      </c>
      <c r="E90" s="135"/>
      <c r="F90" s="135"/>
      <c r="G90" s="135"/>
      <c r="H90" s="135"/>
      <c r="I90" s="135"/>
      <c r="J90" s="135"/>
      <c r="K90" s="135"/>
      <c r="L90" s="135"/>
      <c r="M90" s="135"/>
      <c r="N90" s="135"/>
      <c r="O90" s="135"/>
      <c r="P90" s="135"/>
      <c r="Q90" s="135"/>
      <c r="R90" s="135"/>
      <c r="S90" s="136"/>
    </row>
    <row r="91" spans="1:19" ht="239.25" customHeight="1" x14ac:dyDescent="0.15">
      <c r="B91" s="150" t="s">
        <v>63</v>
      </c>
      <c r="C91" s="28" t="s">
        <v>72</v>
      </c>
      <c r="D91" s="276" t="s">
        <v>163</v>
      </c>
      <c r="E91" s="277"/>
      <c r="F91" s="277"/>
      <c r="G91" s="277"/>
      <c r="H91" s="277"/>
      <c r="I91" s="277"/>
      <c r="J91" s="277"/>
      <c r="K91" s="277"/>
      <c r="L91" s="277"/>
      <c r="M91" s="277"/>
      <c r="N91" s="277"/>
      <c r="O91" s="277"/>
      <c r="P91" s="277"/>
      <c r="Q91" s="277"/>
      <c r="R91" s="277"/>
      <c r="S91" s="278"/>
    </row>
    <row r="92" spans="1:19" ht="93" customHeight="1" x14ac:dyDescent="0.15">
      <c r="B92" s="151"/>
      <c r="C92" s="29" t="s">
        <v>73</v>
      </c>
      <c r="D92" s="279" t="s">
        <v>166</v>
      </c>
      <c r="E92" s="280"/>
      <c r="F92" s="280"/>
      <c r="G92" s="280"/>
      <c r="H92" s="280"/>
      <c r="I92" s="280"/>
      <c r="J92" s="280"/>
      <c r="K92" s="280"/>
      <c r="L92" s="280"/>
      <c r="M92" s="280"/>
      <c r="N92" s="280"/>
      <c r="O92" s="280"/>
      <c r="P92" s="280"/>
      <c r="Q92" s="280"/>
      <c r="R92" s="280"/>
      <c r="S92" s="281"/>
    </row>
    <row r="93" spans="1:19" ht="52.5" customHeight="1" x14ac:dyDescent="0.15">
      <c r="B93" s="150" t="s">
        <v>64</v>
      </c>
      <c r="C93" s="28" t="s">
        <v>74</v>
      </c>
      <c r="D93" s="137" t="s">
        <v>164</v>
      </c>
      <c r="E93" s="138"/>
      <c r="F93" s="138"/>
      <c r="G93" s="138"/>
      <c r="H93" s="138"/>
      <c r="I93" s="138"/>
      <c r="J93" s="138"/>
      <c r="K93" s="138"/>
      <c r="L93" s="138"/>
      <c r="M93" s="138"/>
      <c r="N93" s="138"/>
      <c r="O93" s="138"/>
      <c r="P93" s="138"/>
      <c r="Q93" s="138"/>
      <c r="R93" s="138"/>
      <c r="S93" s="139"/>
    </row>
    <row r="94" spans="1:19" ht="138.75" customHeight="1" x14ac:dyDescent="0.15">
      <c r="B94" s="151"/>
      <c r="C94" s="30" t="s">
        <v>75</v>
      </c>
      <c r="D94" s="140" t="s">
        <v>165</v>
      </c>
      <c r="E94" s="141"/>
      <c r="F94" s="141"/>
      <c r="G94" s="141"/>
      <c r="H94" s="141"/>
      <c r="I94" s="141"/>
      <c r="J94" s="141"/>
      <c r="K94" s="141"/>
      <c r="L94" s="141"/>
      <c r="M94" s="141"/>
      <c r="N94" s="141"/>
      <c r="O94" s="141"/>
      <c r="P94" s="141"/>
      <c r="Q94" s="141"/>
      <c r="R94" s="141"/>
      <c r="S94" s="142"/>
    </row>
    <row r="95" spans="1:19" ht="97.5" customHeight="1" x14ac:dyDescent="0.15">
      <c r="B95" s="150" t="s">
        <v>79</v>
      </c>
      <c r="C95" s="26" t="s">
        <v>59</v>
      </c>
      <c r="D95" s="157" t="s">
        <v>167</v>
      </c>
      <c r="E95" s="158"/>
      <c r="F95" s="158"/>
      <c r="G95" s="158"/>
      <c r="H95" s="158"/>
      <c r="I95" s="158"/>
      <c r="J95" s="158"/>
      <c r="K95" s="158"/>
      <c r="L95" s="158"/>
      <c r="M95" s="158"/>
      <c r="N95" s="158"/>
      <c r="O95" s="158"/>
      <c r="P95" s="158"/>
      <c r="Q95" s="158"/>
      <c r="R95" s="158"/>
      <c r="S95" s="159"/>
    </row>
    <row r="96" spans="1:19" ht="97.5" customHeight="1" x14ac:dyDescent="0.15">
      <c r="B96" s="151"/>
      <c r="C96" s="29" t="s">
        <v>61</v>
      </c>
      <c r="D96" s="143" t="s">
        <v>168</v>
      </c>
      <c r="E96" s="144"/>
      <c r="F96" s="144"/>
      <c r="G96" s="144"/>
      <c r="H96" s="144"/>
      <c r="I96" s="144"/>
      <c r="J96" s="144"/>
      <c r="K96" s="144"/>
      <c r="L96" s="144"/>
      <c r="M96" s="144"/>
      <c r="N96" s="144"/>
      <c r="O96" s="144"/>
      <c r="P96" s="144"/>
      <c r="Q96" s="144"/>
      <c r="R96" s="144"/>
      <c r="S96" s="145"/>
    </row>
    <row r="97" spans="1:19" ht="108.75" customHeight="1" x14ac:dyDescent="0.15">
      <c r="B97" s="150" t="s">
        <v>80</v>
      </c>
      <c r="C97" s="28" t="s">
        <v>58</v>
      </c>
      <c r="D97" s="153" t="s">
        <v>169</v>
      </c>
      <c r="E97" s="103"/>
      <c r="F97" s="103"/>
      <c r="G97" s="103"/>
      <c r="H97" s="103"/>
      <c r="I97" s="103"/>
      <c r="J97" s="103"/>
      <c r="K97" s="103"/>
      <c r="L97" s="103"/>
      <c r="M97" s="103"/>
      <c r="N97" s="103"/>
      <c r="O97" s="103"/>
      <c r="P97" s="103"/>
      <c r="Q97" s="103"/>
      <c r="R97" s="103"/>
      <c r="S97" s="104"/>
    </row>
    <row r="98" spans="1:19" ht="52.5" customHeight="1" x14ac:dyDescent="0.15">
      <c r="B98" s="152"/>
      <c r="C98" s="31" t="s">
        <v>76</v>
      </c>
      <c r="D98" s="146" t="s">
        <v>170</v>
      </c>
      <c r="E98" s="93"/>
      <c r="F98" s="93"/>
      <c r="G98" s="93"/>
      <c r="H98" s="93"/>
      <c r="I98" s="93"/>
      <c r="J98" s="93"/>
      <c r="K98" s="93"/>
      <c r="L98" s="93"/>
      <c r="M98" s="93"/>
      <c r="N98" s="93"/>
      <c r="O98" s="93"/>
      <c r="P98" s="93"/>
      <c r="Q98" s="93"/>
      <c r="R98" s="93"/>
      <c r="S98" s="94"/>
    </row>
    <row r="99" spans="1:19" ht="128.44999999999999" customHeight="1" x14ac:dyDescent="0.15">
      <c r="B99" s="151"/>
      <c r="C99" s="30" t="s">
        <v>77</v>
      </c>
      <c r="D99" s="154" t="s">
        <v>171</v>
      </c>
      <c r="E99" s="155"/>
      <c r="F99" s="155"/>
      <c r="G99" s="155"/>
      <c r="H99" s="155"/>
      <c r="I99" s="155"/>
      <c r="J99" s="155"/>
      <c r="K99" s="155"/>
      <c r="L99" s="155"/>
      <c r="M99" s="155"/>
      <c r="N99" s="155"/>
      <c r="O99" s="155"/>
      <c r="P99" s="155"/>
      <c r="Q99" s="155"/>
      <c r="R99" s="155"/>
      <c r="S99" s="156"/>
    </row>
    <row r="100" spans="1:19" ht="6" customHeight="1" x14ac:dyDescent="0.15"/>
    <row r="101" spans="1:19" ht="18.75" customHeight="1" x14ac:dyDescent="0.15">
      <c r="A101" s="1" t="s">
        <v>121</v>
      </c>
    </row>
    <row r="102" spans="1:19" ht="151.5" customHeight="1" x14ac:dyDescent="0.15">
      <c r="B102" s="125" t="s">
        <v>160</v>
      </c>
      <c r="C102" s="126"/>
      <c r="D102" s="126"/>
      <c r="E102" s="126"/>
      <c r="F102" s="126"/>
      <c r="G102" s="126"/>
      <c r="H102" s="126"/>
      <c r="I102" s="126"/>
      <c r="J102" s="126"/>
      <c r="K102" s="126"/>
      <c r="L102" s="126"/>
      <c r="M102" s="126"/>
      <c r="N102" s="126"/>
      <c r="O102" s="126"/>
      <c r="P102" s="126"/>
      <c r="Q102" s="126"/>
      <c r="R102" s="126"/>
      <c r="S102" s="127"/>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K23" sqref="K23"/>
    </sheetView>
  </sheetViews>
  <sheetFormatPr defaultColWidth="9" defaultRowHeight="18.75" customHeight="1" x14ac:dyDescent="0.15"/>
  <cols>
    <col min="1" max="1" width="2.625" style="1" customWidth="1"/>
    <col min="2" max="2" width="20.625" style="1" customWidth="1"/>
    <col min="3" max="5" width="6.25" style="1" customWidth="1"/>
    <col min="6" max="42" width="4.625" style="1" customWidth="1"/>
    <col min="43" max="43" width="6.625" style="1" customWidth="1"/>
    <col min="44" max="16384" width="9" style="1"/>
  </cols>
  <sheetData>
    <row r="1" spans="1:45" ht="18" customHeight="1" x14ac:dyDescent="0.15">
      <c r="AQ1" s="1" t="s">
        <v>107</v>
      </c>
    </row>
    <row r="2" spans="1:45" ht="18" customHeight="1" x14ac:dyDescent="0.15">
      <c r="K2" s="33"/>
      <c r="Q2" s="33"/>
      <c r="W2" s="33"/>
      <c r="AC2" s="33"/>
      <c r="AI2" s="33"/>
      <c r="AL2" s="33" t="s">
        <v>109</v>
      </c>
      <c r="AM2" s="171" t="str">
        <f>'様式１　プログラムを構成する授業科目'!C2</f>
        <v>東京家政大学</v>
      </c>
      <c r="AN2" s="171"/>
      <c r="AO2" s="171"/>
      <c r="AP2" s="171"/>
      <c r="AQ2" s="171"/>
    </row>
    <row r="3" spans="1:45" ht="18" customHeight="1" x14ac:dyDescent="0.15">
      <c r="A3" s="112" t="s">
        <v>48</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09" t="s">
        <v>133</v>
      </c>
      <c r="D5" s="11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2" t="s">
        <v>45</v>
      </c>
      <c r="C9" s="187" t="s">
        <v>87</v>
      </c>
      <c r="D9" s="175" t="s">
        <v>47</v>
      </c>
      <c r="E9" s="178" t="s">
        <v>40</v>
      </c>
      <c r="F9" s="170" t="s">
        <v>86</v>
      </c>
      <c r="G9" s="170"/>
      <c r="H9" s="170"/>
      <c r="I9" s="170"/>
      <c r="J9" s="170"/>
      <c r="K9" s="170"/>
      <c r="L9" s="170" t="s">
        <v>49</v>
      </c>
      <c r="M9" s="170"/>
      <c r="N9" s="170"/>
      <c r="O9" s="170"/>
      <c r="P9" s="170"/>
      <c r="Q9" s="170"/>
      <c r="R9" s="170" t="s">
        <v>50</v>
      </c>
      <c r="S9" s="170"/>
      <c r="T9" s="170"/>
      <c r="U9" s="170"/>
      <c r="V9" s="170"/>
      <c r="W9" s="170"/>
      <c r="X9" s="170" t="s">
        <v>101</v>
      </c>
      <c r="Y9" s="170"/>
      <c r="Z9" s="170"/>
      <c r="AA9" s="170"/>
      <c r="AB9" s="170"/>
      <c r="AC9" s="170"/>
      <c r="AD9" s="170" t="s">
        <v>51</v>
      </c>
      <c r="AE9" s="170"/>
      <c r="AF9" s="170"/>
      <c r="AG9" s="170"/>
      <c r="AH9" s="170"/>
      <c r="AI9" s="170"/>
      <c r="AJ9" s="170" t="s">
        <v>52</v>
      </c>
      <c r="AK9" s="170"/>
      <c r="AL9" s="170"/>
      <c r="AM9" s="170"/>
      <c r="AN9" s="170"/>
      <c r="AO9" s="170"/>
      <c r="AP9" s="181" t="s">
        <v>35</v>
      </c>
      <c r="AQ9" s="184" t="s">
        <v>32</v>
      </c>
      <c r="AS9" s="2"/>
    </row>
    <row r="10" spans="1:45" ht="16.899999999999999" customHeight="1" x14ac:dyDescent="0.15">
      <c r="B10" s="173"/>
      <c r="C10" s="188"/>
      <c r="D10" s="176"/>
      <c r="E10" s="179"/>
      <c r="F10" s="168" t="s">
        <v>97</v>
      </c>
      <c r="G10" s="169"/>
      <c r="H10" s="169"/>
      <c r="I10" s="168" t="s">
        <v>29</v>
      </c>
      <c r="J10" s="169"/>
      <c r="K10" s="169"/>
      <c r="L10" s="168" t="s">
        <v>97</v>
      </c>
      <c r="M10" s="169"/>
      <c r="N10" s="169"/>
      <c r="O10" s="168" t="s">
        <v>29</v>
      </c>
      <c r="P10" s="169"/>
      <c r="Q10" s="169"/>
      <c r="R10" s="168" t="s">
        <v>97</v>
      </c>
      <c r="S10" s="169"/>
      <c r="T10" s="169"/>
      <c r="U10" s="168" t="s">
        <v>29</v>
      </c>
      <c r="V10" s="169"/>
      <c r="W10" s="169"/>
      <c r="X10" s="168" t="s">
        <v>97</v>
      </c>
      <c r="Y10" s="169"/>
      <c r="Z10" s="169"/>
      <c r="AA10" s="168" t="s">
        <v>29</v>
      </c>
      <c r="AB10" s="169"/>
      <c r="AC10" s="169"/>
      <c r="AD10" s="168" t="s">
        <v>97</v>
      </c>
      <c r="AE10" s="169"/>
      <c r="AF10" s="169"/>
      <c r="AG10" s="168" t="s">
        <v>29</v>
      </c>
      <c r="AH10" s="169"/>
      <c r="AI10" s="169"/>
      <c r="AJ10" s="168" t="s">
        <v>97</v>
      </c>
      <c r="AK10" s="169"/>
      <c r="AL10" s="169"/>
      <c r="AM10" s="168" t="s">
        <v>29</v>
      </c>
      <c r="AN10" s="169"/>
      <c r="AO10" s="169"/>
      <c r="AP10" s="182"/>
      <c r="AQ10" s="185"/>
      <c r="AS10" s="2"/>
    </row>
    <row r="11" spans="1:45" ht="18" customHeight="1" x14ac:dyDescent="0.15">
      <c r="B11" s="174"/>
      <c r="C11" s="189"/>
      <c r="D11" s="177"/>
      <c r="E11" s="180"/>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83"/>
      <c r="AQ11" s="186"/>
      <c r="AS11" s="2"/>
    </row>
    <row r="12" spans="1:45" ht="18" customHeight="1" x14ac:dyDescent="0.15">
      <c r="A12" s="6"/>
      <c r="B12" s="11" t="s">
        <v>134</v>
      </c>
      <c r="C12" s="53">
        <v>3737</v>
      </c>
      <c r="D12" s="54">
        <v>665</v>
      </c>
      <c r="E12" s="55">
        <v>3582</v>
      </c>
      <c r="F12" s="55">
        <f>G12+H12</f>
        <v>25</v>
      </c>
      <c r="G12" s="56"/>
      <c r="H12" s="57">
        <v>25</v>
      </c>
      <c r="I12" s="55">
        <f>J12+K12</f>
        <v>21</v>
      </c>
      <c r="J12" s="56"/>
      <c r="K12" s="57">
        <v>21</v>
      </c>
      <c r="L12" s="55">
        <f>M12+N12</f>
        <v>0</v>
      </c>
      <c r="M12" s="56"/>
      <c r="N12" s="57"/>
      <c r="O12" s="55">
        <f>P12+Q12</f>
        <v>0</v>
      </c>
      <c r="P12" s="56"/>
      <c r="Q12" s="57"/>
      <c r="R12" s="55">
        <f>S12+T12</f>
        <v>0</v>
      </c>
      <c r="S12" s="56"/>
      <c r="T12" s="57"/>
      <c r="U12" s="55">
        <f>V12+W12</f>
        <v>0</v>
      </c>
      <c r="V12" s="56"/>
      <c r="W12" s="57"/>
      <c r="X12" s="55">
        <f>Y12+Z12</f>
        <v>0</v>
      </c>
      <c r="Y12" s="56"/>
      <c r="Z12" s="57"/>
      <c r="AA12" s="55">
        <f>AB12+AC12</f>
        <v>0</v>
      </c>
      <c r="AB12" s="56"/>
      <c r="AC12" s="57"/>
      <c r="AD12" s="55">
        <f>AE12+AF12</f>
        <v>0</v>
      </c>
      <c r="AE12" s="56"/>
      <c r="AF12" s="57"/>
      <c r="AG12" s="55">
        <f>AH12+AI12</f>
        <v>0</v>
      </c>
      <c r="AH12" s="56"/>
      <c r="AI12" s="57"/>
      <c r="AJ12" s="55">
        <f>AK12+AL12</f>
        <v>0</v>
      </c>
      <c r="AK12" s="56"/>
      <c r="AL12" s="57"/>
      <c r="AM12" s="55">
        <f>AN12+AO12</f>
        <v>0</v>
      </c>
      <c r="AN12" s="56"/>
      <c r="AO12" s="57"/>
      <c r="AP12" s="54">
        <f>F12+L12+R12+X12+AD12+AJ12</f>
        <v>25</v>
      </c>
      <c r="AQ12" s="73">
        <f t="shared" ref="AQ12:AQ32" si="0">AP12/E12</f>
        <v>6.9793411501954212E-3</v>
      </c>
    </row>
    <row r="13" spans="1:45" ht="18" customHeight="1" x14ac:dyDescent="0.15">
      <c r="A13" s="6"/>
      <c r="B13" s="12" t="s">
        <v>135</v>
      </c>
      <c r="C13" s="58">
        <v>301</v>
      </c>
      <c r="D13" s="59">
        <v>280</v>
      </c>
      <c r="E13" s="60">
        <v>280</v>
      </c>
      <c r="F13" s="61">
        <f t="shared" ref="F13:F31" si="1">G13+H13</f>
        <v>32</v>
      </c>
      <c r="G13" s="62"/>
      <c r="H13" s="63">
        <v>32</v>
      </c>
      <c r="I13" s="61">
        <f t="shared" ref="I13:I31" si="2">J13+K13</f>
        <v>29</v>
      </c>
      <c r="J13" s="62"/>
      <c r="K13" s="63">
        <v>29</v>
      </c>
      <c r="L13" s="61">
        <f t="shared" ref="L13:L31" si="3">M13+N13</f>
        <v>0</v>
      </c>
      <c r="M13" s="62"/>
      <c r="N13" s="63"/>
      <c r="O13" s="61">
        <f t="shared" ref="O13:O31" si="4">P13+Q13</f>
        <v>0</v>
      </c>
      <c r="P13" s="62"/>
      <c r="Q13" s="63"/>
      <c r="R13" s="61">
        <f t="shared" ref="R13:R31" si="5">S13+T13</f>
        <v>0</v>
      </c>
      <c r="S13" s="62"/>
      <c r="T13" s="63"/>
      <c r="U13" s="61">
        <f t="shared" ref="U13:U31" si="6">V13+W13</f>
        <v>0</v>
      </c>
      <c r="V13" s="62"/>
      <c r="W13" s="63"/>
      <c r="X13" s="61">
        <f t="shared" ref="X13:X31" si="7">Y13+Z13</f>
        <v>0</v>
      </c>
      <c r="Y13" s="62"/>
      <c r="Z13" s="63"/>
      <c r="AA13" s="61">
        <f t="shared" ref="AA13:AA31" si="8">AB13+AC13</f>
        <v>0</v>
      </c>
      <c r="AB13" s="62"/>
      <c r="AC13" s="63"/>
      <c r="AD13" s="61">
        <f t="shared" ref="AD13:AD31" si="9">AE13+AF13</f>
        <v>0</v>
      </c>
      <c r="AE13" s="62"/>
      <c r="AF13" s="63"/>
      <c r="AG13" s="61">
        <f t="shared" ref="AG13:AG31" si="10">AH13+AI13</f>
        <v>0</v>
      </c>
      <c r="AH13" s="62"/>
      <c r="AI13" s="63"/>
      <c r="AJ13" s="61">
        <f t="shared" ref="AJ13:AJ31" si="11">AK13+AL13</f>
        <v>0</v>
      </c>
      <c r="AK13" s="62"/>
      <c r="AL13" s="63"/>
      <c r="AM13" s="61">
        <f t="shared" ref="AM13:AM31" si="12">AN13+AO13</f>
        <v>0</v>
      </c>
      <c r="AN13" s="62"/>
      <c r="AO13" s="63"/>
      <c r="AP13" s="59">
        <f t="shared" ref="AP13:AP31" si="13">F13+L13+R13+X13+AD13+AJ13</f>
        <v>32</v>
      </c>
      <c r="AQ13" s="19">
        <f t="shared" si="0"/>
        <v>0.11428571428571428</v>
      </c>
    </row>
    <row r="14" spans="1:45" ht="18" customHeight="1" x14ac:dyDescent="0.15">
      <c r="A14" s="6"/>
      <c r="B14" s="12" t="s">
        <v>136</v>
      </c>
      <c r="C14" s="58">
        <v>1099</v>
      </c>
      <c r="D14" s="59">
        <v>270</v>
      </c>
      <c r="E14" s="60">
        <v>1110</v>
      </c>
      <c r="F14" s="61">
        <f t="shared" si="1"/>
        <v>17</v>
      </c>
      <c r="G14" s="62"/>
      <c r="H14" s="63">
        <v>17</v>
      </c>
      <c r="I14" s="61">
        <f t="shared" si="2"/>
        <v>17</v>
      </c>
      <c r="J14" s="62"/>
      <c r="K14" s="63">
        <v>17</v>
      </c>
      <c r="L14" s="61">
        <f t="shared" si="3"/>
        <v>0</v>
      </c>
      <c r="M14" s="62"/>
      <c r="N14" s="63"/>
      <c r="O14" s="61">
        <f t="shared" si="4"/>
        <v>0</v>
      </c>
      <c r="P14" s="62"/>
      <c r="Q14" s="63"/>
      <c r="R14" s="61">
        <f t="shared" si="5"/>
        <v>0</v>
      </c>
      <c r="S14" s="62"/>
      <c r="T14" s="63"/>
      <c r="U14" s="61">
        <f t="shared" si="6"/>
        <v>0</v>
      </c>
      <c r="V14" s="62"/>
      <c r="W14" s="63"/>
      <c r="X14" s="61">
        <f t="shared" si="7"/>
        <v>0</v>
      </c>
      <c r="Y14" s="62"/>
      <c r="Z14" s="63"/>
      <c r="AA14" s="61">
        <f t="shared" si="8"/>
        <v>0</v>
      </c>
      <c r="AB14" s="62"/>
      <c r="AC14" s="63"/>
      <c r="AD14" s="61">
        <f t="shared" si="9"/>
        <v>0</v>
      </c>
      <c r="AE14" s="62"/>
      <c r="AF14" s="63"/>
      <c r="AG14" s="61">
        <f t="shared" si="10"/>
        <v>0</v>
      </c>
      <c r="AH14" s="62"/>
      <c r="AI14" s="63"/>
      <c r="AJ14" s="61">
        <f t="shared" si="11"/>
        <v>0</v>
      </c>
      <c r="AK14" s="62"/>
      <c r="AL14" s="63"/>
      <c r="AM14" s="61">
        <f t="shared" si="12"/>
        <v>0</v>
      </c>
      <c r="AN14" s="62"/>
      <c r="AO14" s="63"/>
      <c r="AP14" s="59">
        <f t="shared" si="13"/>
        <v>17</v>
      </c>
      <c r="AQ14" s="8">
        <f t="shared" si="0"/>
        <v>1.5315315315315315E-2</v>
      </c>
    </row>
    <row r="15" spans="1:45" ht="18" customHeight="1" x14ac:dyDescent="0.15">
      <c r="A15" s="6"/>
      <c r="B15" s="12" t="s">
        <v>137</v>
      </c>
      <c r="C15" s="58">
        <v>764</v>
      </c>
      <c r="D15" s="59">
        <v>180</v>
      </c>
      <c r="E15" s="60">
        <v>720</v>
      </c>
      <c r="F15" s="61">
        <f t="shared" si="1"/>
        <v>1</v>
      </c>
      <c r="G15" s="62"/>
      <c r="H15" s="63">
        <v>1</v>
      </c>
      <c r="I15" s="61">
        <f t="shared" si="2"/>
        <v>1</v>
      </c>
      <c r="J15" s="62"/>
      <c r="K15" s="63">
        <v>1</v>
      </c>
      <c r="L15" s="61">
        <f t="shared" si="3"/>
        <v>0</v>
      </c>
      <c r="M15" s="62"/>
      <c r="N15" s="63"/>
      <c r="O15" s="61">
        <f t="shared" si="4"/>
        <v>0</v>
      </c>
      <c r="P15" s="62"/>
      <c r="Q15" s="63"/>
      <c r="R15" s="61">
        <f t="shared" si="5"/>
        <v>0</v>
      </c>
      <c r="S15" s="62"/>
      <c r="T15" s="63"/>
      <c r="U15" s="61">
        <f t="shared" si="6"/>
        <v>0</v>
      </c>
      <c r="V15" s="62"/>
      <c r="W15" s="63"/>
      <c r="X15" s="61">
        <f t="shared" si="7"/>
        <v>0</v>
      </c>
      <c r="Y15" s="62"/>
      <c r="Z15" s="63"/>
      <c r="AA15" s="61">
        <f t="shared" si="8"/>
        <v>0</v>
      </c>
      <c r="AB15" s="62"/>
      <c r="AC15" s="63"/>
      <c r="AD15" s="61">
        <f t="shared" si="9"/>
        <v>0</v>
      </c>
      <c r="AE15" s="62"/>
      <c r="AF15" s="63"/>
      <c r="AG15" s="61">
        <f t="shared" si="10"/>
        <v>0</v>
      </c>
      <c r="AH15" s="62"/>
      <c r="AI15" s="63"/>
      <c r="AJ15" s="61">
        <f t="shared" si="11"/>
        <v>0</v>
      </c>
      <c r="AK15" s="62"/>
      <c r="AL15" s="63"/>
      <c r="AM15" s="61">
        <f t="shared" si="12"/>
        <v>0</v>
      </c>
      <c r="AN15" s="62"/>
      <c r="AO15" s="63"/>
      <c r="AP15" s="59">
        <f t="shared" si="13"/>
        <v>1</v>
      </c>
      <c r="AQ15" s="8">
        <f t="shared" si="0"/>
        <v>1.3888888888888889E-3</v>
      </c>
    </row>
    <row r="16" spans="1:45" ht="18" customHeight="1" x14ac:dyDescent="0.15">
      <c r="A16" s="6"/>
      <c r="B16" s="12" t="s">
        <v>138</v>
      </c>
      <c r="C16" s="58">
        <v>463</v>
      </c>
      <c r="D16" s="59">
        <v>120</v>
      </c>
      <c r="E16" s="60">
        <v>480</v>
      </c>
      <c r="F16" s="61">
        <f t="shared" si="1"/>
        <v>4</v>
      </c>
      <c r="G16" s="62"/>
      <c r="H16" s="63">
        <v>4</v>
      </c>
      <c r="I16" s="61">
        <f t="shared" si="2"/>
        <v>4</v>
      </c>
      <c r="J16" s="62"/>
      <c r="K16" s="63">
        <v>4</v>
      </c>
      <c r="L16" s="61">
        <f t="shared" si="3"/>
        <v>0</v>
      </c>
      <c r="M16" s="62"/>
      <c r="N16" s="63"/>
      <c r="O16" s="61">
        <f t="shared" si="4"/>
        <v>0</v>
      </c>
      <c r="P16" s="62"/>
      <c r="Q16" s="63"/>
      <c r="R16" s="61">
        <f t="shared" si="5"/>
        <v>0</v>
      </c>
      <c r="S16" s="62"/>
      <c r="T16" s="63"/>
      <c r="U16" s="61">
        <f t="shared" si="6"/>
        <v>0</v>
      </c>
      <c r="V16" s="62"/>
      <c r="W16" s="63"/>
      <c r="X16" s="61">
        <f t="shared" si="7"/>
        <v>0</v>
      </c>
      <c r="Y16" s="62"/>
      <c r="Z16" s="63"/>
      <c r="AA16" s="61">
        <f t="shared" si="8"/>
        <v>0</v>
      </c>
      <c r="AB16" s="62"/>
      <c r="AC16" s="63"/>
      <c r="AD16" s="61">
        <f t="shared" si="9"/>
        <v>0</v>
      </c>
      <c r="AE16" s="62"/>
      <c r="AF16" s="63"/>
      <c r="AG16" s="61">
        <f t="shared" si="10"/>
        <v>0</v>
      </c>
      <c r="AH16" s="62"/>
      <c r="AI16" s="63"/>
      <c r="AJ16" s="61">
        <f t="shared" si="11"/>
        <v>0</v>
      </c>
      <c r="AK16" s="62"/>
      <c r="AL16" s="63"/>
      <c r="AM16" s="61">
        <f t="shared" si="12"/>
        <v>0</v>
      </c>
      <c r="AN16" s="62"/>
      <c r="AO16" s="63"/>
      <c r="AP16" s="59">
        <f t="shared" si="13"/>
        <v>4</v>
      </c>
      <c r="AQ16" s="8">
        <f>AP16/E16</f>
        <v>8.3333333333333332E-3</v>
      </c>
    </row>
    <row r="17" spans="1:43" ht="18" customHeight="1" x14ac:dyDescent="0.15">
      <c r="A17" s="6"/>
      <c r="B17" s="12"/>
      <c r="C17" s="58"/>
      <c r="D17" s="59"/>
      <c r="E17" s="60"/>
      <c r="F17" s="61">
        <f t="shared" si="1"/>
        <v>0</v>
      </c>
      <c r="G17" s="62"/>
      <c r="H17" s="63"/>
      <c r="I17" s="61">
        <f t="shared" si="2"/>
        <v>0</v>
      </c>
      <c r="J17" s="62"/>
      <c r="K17" s="63"/>
      <c r="L17" s="61">
        <f t="shared" si="3"/>
        <v>0</v>
      </c>
      <c r="M17" s="62"/>
      <c r="N17" s="63"/>
      <c r="O17" s="61">
        <f t="shared" si="4"/>
        <v>0</v>
      </c>
      <c r="P17" s="62"/>
      <c r="Q17" s="63"/>
      <c r="R17" s="61">
        <f t="shared" si="5"/>
        <v>0</v>
      </c>
      <c r="S17" s="62"/>
      <c r="T17" s="63"/>
      <c r="U17" s="61">
        <f t="shared" si="6"/>
        <v>0</v>
      </c>
      <c r="V17" s="62"/>
      <c r="W17" s="63"/>
      <c r="X17" s="61">
        <f t="shared" si="7"/>
        <v>0</v>
      </c>
      <c r="Y17" s="62"/>
      <c r="Z17" s="63"/>
      <c r="AA17" s="61">
        <f t="shared" si="8"/>
        <v>0</v>
      </c>
      <c r="AB17" s="62"/>
      <c r="AC17" s="63"/>
      <c r="AD17" s="61">
        <f t="shared" si="9"/>
        <v>0</v>
      </c>
      <c r="AE17" s="62"/>
      <c r="AF17" s="63"/>
      <c r="AG17" s="61">
        <f t="shared" si="10"/>
        <v>0</v>
      </c>
      <c r="AH17" s="62"/>
      <c r="AI17" s="63"/>
      <c r="AJ17" s="61">
        <f t="shared" si="11"/>
        <v>0</v>
      </c>
      <c r="AK17" s="62"/>
      <c r="AL17" s="63"/>
      <c r="AM17" s="61">
        <f t="shared" si="12"/>
        <v>0</v>
      </c>
      <c r="AN17" s="62"/>
      <c r="AO17" s="63"/>
      <c r="AP17" s="59">
        <f t="shared" si="13"/>
        <v>0</v>
      </c>
      <c r="AQ17" s="8" t="e">
        <f t="shared" si="0"/>
        <v>#DIV/0!</v>
      </c>
    </row>
    <row r="18" spans="1:43" ht="18" customHeight="1" x14ac:dyDescent="0.15">
      <c r="A18" s="6"/>
      <c r="B18" s="12"/>
      <c r="C18" s="58"/>
      <c r="D18" s="59"/>
      <c r="E18" s="60"/>
      <c r="F18" s="61">
        <f t="shared" si="1"/>
        <v>0</v>
      </c>
      <c r="G18" s="62"/>
      <c r="H18" s="63"/>
      <c r="I18" s="61">
        <f t="shared" si="2"/>
        <v>0</v>
      </c>
      <c r="J18" s="62"/>
      <c r="K18" s="63"/>
      <c r="L18" s="61">
        <f t="shared" si="3"/>
        <v>0</v>
      </c>
      <c r="M18" s="62"/>
      <c r="N18" s="63"/>
      <c r="O18" s="61">
        <f t="shared" si="4"/>
        <v>0</v>
      </c>
      <c r="P18" s="62"/>
      <c r="Q18" s="63"/>
      <c r="R18" s="61">
        <f t="shared" si="5"/>
        <v>0</v>
      </c>
      <c r="S18" s="62"/>
      <c r="T18" s="63"/>
      <c r="U18" s="61">
        <f t="shared" si="6"/>
        <v>0</v>
      </c>
      <c r="V18" s="62"/>
      <c r="W18" s="63"/>
      <c r="X18" s="61">
        <f t="shared" si="7"/>
        <v>0</v>
      </c>
      <c r="Y18" s="62"/>
      <c r="Z18" s="63"/>
      <c r="AA18" s="61">
        <f t="shared" si="8"/>
        <v>0</v>
      </c>
      <c r="AB18" s="62"/>
      <c r="AC18" s="63"/>
      <c r="AD18" s="61">
        <f t="shared" si="9"/>
        <v>0</v>
      </c>
      <c r="AE18" s="62"/>
      <c r="AF18" s="63"/>
      <c r="AG18" s="61">
        <f t="shared" si="10"/>
        <v>0</v>
      </c>
      <c r="AH18" s="62"/>
      <c r="AI18" s="63"/>
      <c r="AJ18" s="61">
        <f t="shared" si="11"/>
        <v>0</v>
      </c>
      <c r="AK18" s="62"/>
      <c r="AL18" s="63"/>
      <c r="AM18" s="61">
        <f t="shared" si="12"/>
        <v>0</v>
      </c>
      <c r="AN18" s="62"/>
      <c r="AO18" s="63"/>
      <c r="AP18" s="59">
        <f t="shared" si="13"/>
        <v>0</v>
      </c>
      <c r="AQ18" s="8" t="e">
        <f t="shared" si="0"/>
        <v>#DIV/0!</v>
      </c>
    </row>
    <row r="19" spans="1:43" ht="18" customHeight="1" x14ac:dyDescent="0.15">
      <c r="A19" s="6"/>
      <c r="B19" s="12"/>
      <c r="C19" s="58"/>
      <c r="D19" s="59"/>
      <c r="E19" s="60"/>
      <c r="F19" s="61">
        <f t="shared" si="1"/>
        <v>0</v>
      </c>
      <c r="G19" s="62"/>
      <c r="H19" s="63"/>
      <c r="I19" s="61">
        <f t="shared" si="2"/>
        <v>0</v>
      </c>
      <c r="J19" s="62"/>
      <c r="K19" s="63"/>
      <c r="L19" s="61">
        <f t="shared" si="3"/>
        <v>0</v>
      </c>
      <c r="M19" s="62"/>
      <c r="N19" s="63"/>
      <c r="O19" s="61">
        <f t="shared" si="4"/>
        <v>0</v>
      </c>
      <c r="P19" s="62"/>
      <c r="Q19" s="63"/>
      <c r="R19" s="61">
        <f t="shared" si="5"/>
        <v>0</v>
      </c>
      <c r="S19" s="62"/>
      <c r="T19" s="63"/>
      <c r="U19" s="61">
        <f t="shared" si="6"/>
        <v>0</v>
      </c>
      <c r="V19" s="62"/>
      <c r="W19" s="63"/>
      <c r="X19" s="61">
        <f t="shared" si="7"/>
        <v>0</v>
      </c>
      <c r="Y19" s="62"/>
      <c r="Z19" s="63"/>
      <c r="AA19" s="61">
        <f t="shared" si="8"/>
        <v>0</v>
      </c>
      <c r="AB19" s="62"/>
      <c r="AC19" s="63"/>
      <c r="AD19" s="61">
        <f t="shared" si="9"/>
        <v>0</v>
      </c>
      <c r="AE19" s="62"/>
      <c r="AF19" s="63"/>
      <c r="AG19" s="61">
        <f t="shared" si="10"/>
        <v>0</v>
      </c>
      <c r="AH19" s="62"/>
      <c r="AI19" s="63"/>
      <c r="AJ19" s="61">
        <f t="shared" si="11"/>
        <v>0</v>
      </c>
      <c r="AK19" s="62"/>
      <c r="AL19" s="63"/>
      <c r="AM19" s="61">
        <f t="shared" si="12"/>
        <v>0</v>
      </c>
      <c r="AN19" s="62"/>
      <c r="AO19" s="63"/>
      <c r="AP19" s="59">
        <f t="shared" si="13"/>
        <v>0</v>
      </c>
      <c r="AQ19" s="8" t="e">
        <f t="shared" si="0"/>
        <v>#DIV/0!</v>
      </c>
    </row>
    <row r="20" spans="1:43" ht="18" customHeight="1" x14ac:dyDescent="0.15">
      <c r="A20" s="6"/>
      <c r="B20" s="12"/>
      <c r="C20" s="58"/>
      <c r="D20" s="59"/>
      <c r="E20" s="60"/>
      <c r="F20" s="61">
        <f t="shared" si="1"/>
        <v>0</v>
      </c>
      <c r="G20" s="62"/>
      <c r="H20" s="63"/>
      <c r="I20" s="61">
        <f t="shared" si="2"/>
        <v>0</v>
      </c>
      <c r="J20" s="62"/>
      <c r="K20" s="63"/>
      <c r="L20" s="61">
        <f t="shared" si="3"/>
        <v>0</v>
      </c>
      <c r="M20" s="62"/>
      <c r="N20" s="63"/>
      <c r="O20" s="61">
        <f t="shared" si="4"/>
        <v>0</v>
      </c>
      <c r="P20" s="62"/>
      <c r="Q20" s="63"/>
      <c r="R20" s="61">
        <f t="shared" si="5"/>
        <v>0</v>
      </c>
      <c r="S20" s="62"/>
      <c r="T20" s="63"/>
      <c r="U20" s="61">
        <f t="shared" si="6"/>
        <v>0</v>
      </c>
      <c r="V20" s="62"/>
      <c r="W20" s="63"/>
      <c r="X20" s="61">
        <f t="shared" si="7"/>
        <v>0</v>
      </c>
      <c r="Y20" s="62"/>
      <c r="Z20" s="63"/>
      <c r="AA20" s="61">
        <f t="shared" si="8"/>
        <v>0</v>
      </c>
      <c r="AB20" s="62"/>
      <c r="AC20" s="63"/>
      <c r="AD20" s="61">
        <f t="shared" si="9"/>
        <v>0</v>
      </c>
      <c r="AE20" s="62"/>
      <c r="AF20" s="63"/>
      <c r="AG20" s="61">
        <f t="shared" si="10"/>
        <v>0</v>
      </c>
      <c r="AH20" s="62"/>
      <c r="AI20" s="63"/>
      <c r="AJ20" s="61">
        <f t="shared" si="11"/>
        <v>0</v>
      </c>
      <c r="AK20" s="62"/>
      <c r="AL20" s="63"/>
      <c r="AM20" s="61">
        <f t="shared" si="12"/>
        <v>0</v>
      </c>
      <c r="AN20" s="62"/>
      <c r="AO20" s="63"/>
      <c r="AP20" s="59">
        <f t="shared" si="13"/>
        <v>0</v>
      </c>
      <c r="AQ20" s="8" t="e">
        <f t="shared" si="0"/>
        <v>#DIV/0!</v>
      </c>
    </row>
    <row r="21" spans="1:43" ht="18" customHeight="1" x14ac:dyDescent="0.15">
      <c r="A21" s="6"/>
      <c r="B21" s="12"/>
      <c r="C21" s="58"/>
      <c r="D21" s="59"/>
      <c r="E21" s="60"/>
      <c r="F21" s="61">
        <f t="shared" si="1"/>
        <v>0</v>
      </c>
      <c r="G21" s="62"/>
      <c r="H21" s="63"/>
      <c r="I21" s="61">
        <f t="shared" si="2"/>
        <v>0</v>
      </c>
      <c r="J21" s="62"/>
      <c r="K21" s="63"/>
      <c r="L21" s="61">
        <f t="shared" si="3"/>
        <v>0</v>
      </c>
      <c r="M21" s="62"/>
      <c r="N21" s="63"/>
      <c r="O21" s="61">
        <f t="shared" si="4"/>
        <v>0</v>
      </c>
      <c r="P21" s="62"/>
      <c r="Q21" s="63"/>
      <c r="R21" s="61">
        <f t="shared" si="5"/>
        <v>0</v>
      </c>
      <c r="S21" s="62"/>
      <c r="T21" s="63"/>
      <c r="U21" s="61">
        <f t="shared" si="6"/>
        <v>0</v>
      </c>
      <c r="V21" s="62"/>
      <c r="W21" s="63"/>
      <c r="X21" s="61">
        <f t="shared" si="7"/>
        <v>0</v>
      </c>
      <c r="Y21" s="62"/>
      <c r="Z21" s="63"/>
      <c r="AA21" s="61">
        <f t="shared" si="8"/>
        <v>0</v>
      </c>
      <c r="AB21" s="62"/>
      <c r="AC21" s="63"/>
      <c r="AD21" s="61">
        <f t="shared" si="9"/>
        <v>0</v>
      </c>
      <c r="AE21" s="62"/>
      <c r="AF21" s="63"/>
      <c r="AG21" s="61">
        <f t="shared" si="10"/>
        <v>0</v>
      </c>
      <c r="AH21" s="62"/>
      <c r="AI21" s="63"/>
      <c r="AJ21" s="61">
        <f t="shared" si="11"/>
        <v>0</v>
      </c>
      <c r="AK21" s="62"/>
      <c r="AL21" s="63"/>
      <c r="AM21" s="61">
        <f t="shared" si="12"/>
        <v>0</v>
      </c>
      <c r="AN21" s="62"/>
      <c r="AO21" s="63"/>
      <c r="AP21" s="59">
        <f t="shared" si="13"/>
        <v>0</v>
      </c>
      <c r="AQ21" s="8" t="e">
        <f t="shared" si="0"/>
        <v>#DIV/0!</v>
      </c>
    </row>
    <row r="22" spans="1:43" ht="18" customHeight="1" x14ac:dyDescent="0.15">
      <c r="A22" s="6"/>
      <c r="B22" s="12"/>
      <c r="C22" s="58"/>
      <c r="D22" s="59"/>
      <c r="E22" s="60"/>
      <c r="F22" s="61">
        <f t="shared" si="1"/>
        <v>0</v>
      </c>
      <c r="G22" s="62"/>
      <c r="H22" s="63"/>
      <c r="I22" s="61">
        <f t="shared" si="2"/>
        <v>0</v>
      </c>
      <c r="J22" s="62"/>
      <c r="K22" s="63"/>
      <c r="L22" s="61">
        <f t="shared" si="3"/>
        <v>0</v>
      </c>
      <c r="M22" s="62"/>
      <c r="N22" s="63"/>
      <c r="O22" s="61">
        <f t="shared" si="4"/>
        <v>0</v>
      </c>
      <c r="P22" s="62"/>
      <c r="Q22" s="63"/>
      <c r="R22" s="61">
        <f t="shared" si="5"/>
        <v>0</v>
      </c>
      <c r="S22" s="62"/>
      <c r="T22" s="63"/>
      <c r="U22" s="61">
        <f t="shared" si="6"/>
        <v>0</v>
      </c>
      <c r="V22" s="62"/>
      <c r="W22" s="63"/>
      <c r="X22" s="61">
        <f t="shared" si="7"/>
        <v>0</v>
      </c>
      <c r="Y22" s="62"/>
      <c r="Z22" s="63"/>
      <c r="AA22" s="61">
        <f t="shared" si="8"/>
        <v>0</v>
      </c>
      <c r="AB22" s="62"/>
      <c r="AC22" s="63"/>
      <c r="AD22" s="61">
        <f t="shared" si="9"/>
        <v>0</v>
      </c>
      <c r="AE22" s="62"/>
      <c r="AF22" s="63"/>
      <c r="AG22" s="61">
        <f t="shared" si="10"/>
        <v>0</v>
      </c>
      <c r="AH22" s="62"/>
      <c r="AI22" s="63"/>
      <c r="AJ22" s="61">
        <f t="shared" si="11"/>
        <v>0</v>
      </c>
      <c r="AK22" s="62"/>
      <c r="AL22" s="63"/>
      <c r="AM22" s="61">
        <f t="shared" si="12"/>
        <v>0</v>
      </c>
      <c r="AN22" s="62"/>
      <c r="AO22" s="63"/>
      <c r="AP22" s="59">
        <f t="shared" si="13"/>
        <v>0</v>
      </c>
      <c r="AQ22" s="8" t="e">
        <f t="shared" si="0"/>
        <v>#DIV/0!</v>
      </c>
    </row>
    <row r="23" spans="1:43" ht="18" customHeight="1" x14ac:dyDescent="0.15">
      <c r="A23" s="6"/>
      <c r="B23" s="12"/>
      <c r="C23" s="58"/>
      <c r="D23" s="59"/>
      <c r="E23" s="60"/>
      <c r="F23" s="61">
        <f t="shared" si="1"/>
        <v>0</v>
      </c>
      <c r="G23" s="62"/>
      <c r="H23" s="63"/>
      <c r="I23" s="61">
        <f t="shared" si="2"/>
        <v>0</v>
      </c>
      <c r="J23" s="62"/>
      <c r="K23" s="63"/>
      <c r="L23" s="61">
        <f t="shared" si="3"/>
        <v>0</v>
      </c>
      <c r="M23" s="62"/>
      <c r="N23" s="63"/>
      <c r="O23" s="61">
        <f t="shared" si="4"/>
        <v>0</v>
      </c>
      <c r="P23" s="62"/>
      <c r="Q23" s="63"/>
      <c r="R23" s="61">
        <f t="shared" si="5"/>
        <v>0</v>
      </c>
      <c r="S23" s="62"/>
      <c r="T23" s="63"/>
      <c r="U23" s="61">
        <f t="shared" si="6"/>
        <v>0</v>
      </c>
      <c r="V23" s="62"/>
      <c r="W23" s="63"/>
      <c r="X23" s="61">
        <f t="shared" si="7"/>
        <v>0</v>
      </c>
      <c r="Y23" s="62"/>
      <c r="Z23" s="63"/>
      <c r="AA23" s="61">
        <f t="shared" si="8"/>
        <v>0</v>
      </c>
      <c r="AB23" s="62"/>
      <c r="AC23" s="63"/>
      <c r="AD23" s="61">
        <f t="shared" si="9"/>
        <v>0</v>
      </c>
      <c r="AE23" s="62"/>
      <c r="AF23" s="63"/>
      <c r="AG23" s="61">
        <f t="shared" si="10"/>
        <v>0</v>
      </c>
      <c r="AH23" s="62"/>
      <c r="AI23" s="63"/>
      <c r="AJ23" s="61">
        <f t="shared" si="11"/>
        <v>0</v>
      </c>
      <c r="AK23" s="62"/>
      <c r="AL23" s="63"/>
      <c r="AM23" s="61">
        <f t="shared" si="12"/>
        <v>0</v>
      </c>
      <c r="AN23" s="62"/>
      <c r="AO23" s="63"/>
      <c r="AP23" s="59">
        <f t="shared" si="13"/>
        <v>0</v>
      </c>
      <c r="AQ23" s="8" t="e">
        <f t="shared" si="0"/>
        <v>#DIV/0!</v>
      </c>
    </row>
    <row r="24" spans="1:43" ht="18" customHeight="1" x14ac:dyDescent="0.15">
      <c r="A24" s="6"/>
      <c r="B24" s="12"/>
      <c r="C24" s="58"/>
      <c r="D24" s="59"/>
      <c r="E24" s="60"/>
      <c r="F24" s="61">
        <f t="shared" si="1"/>
        <v>0</v>
      </c>
      <c r="G24" s="62"/>
      <c r="H24" s="63"/>
      <c r="I24" s="61">
        <f t="shared" si="2"/>
        <v>0</v>
      </c>
      <c r="J24" s="62"/>
      <c r="K24" s="63"/>
      <c r="L24" s="61">
        <f t="shared" si="3"/>
        <v>0</v>
      </c>
      <c r="M24" s="62"/>
      <c r="N24" s="63"/>
      <c r="O24" s="61">
        <f t="shared" si="4"/>
        <v>0</v>
      </c>
      <c r="P24" s="62"/>
      <c r="Q24" s="63"/>
      <c r="R24" s="61">
        <f t="shared" si="5"/>
        <v>0</v>
      </c>
      <c r="S24" s="62"/>
      <c r="T24" s="63"/>
      <c r="U24" s="61">
        <f t="shared" si="6"/>
        <v>0</v>
      </c>
      <c r="V24" s="62"/>
      <c r="W24" s="63"/>
      <c r="X24" s="61">
        <f t="shared" si="7"/>
        <v>0</v>
      </c>
      <c r="Y24" s="62"/>
      <c r="Z24" s="63"/>
      <c r="AA24" s="61">
        <f t="shared" si="8"/>
        <v>0</v>
      </c>
      <c r="AB24" s="62"/>
      <c r="AC24" s="63"/>
      <c r="AD24" s="61">
        <f t="shared" si="9"/>
        <v>0</v>
      </c>
      <c r="AE24" s="62"/>
      <c r="AF24" s="63"/>
      <c r="AG24" s="61">
        <f t="shared" si="10"/>
        <v>0</v>
      </c>
      <c r="AH24" s="62"/>
      <c r="AI24" s="63"/>
      <c r="AJ24" s="61">
        <f t="shared" si="11"/>
        <v>0</v>
      </c>
      <c r="AK24" s="62"/>
      <c r="AL24" s="63"/>
      <c r="AM24" s="61">
        <f t="shared" si="12"/>
        <v>0</v>
      </c>
      <c r="AN24" s="62"/>
      <c r="AO24" s="63"/>
      <c r="AP24" s="59">
        <f t="shared" si="13"/>
        <v>0</v>
      </c>
      <c r="AQ24" s="8" t="e">
        <f t="shared" si="0"/>
        <v>#DIV/0!</v>
      </c>
    </row>
    <row r="25" spans="1:43" ht="18" customHeight="1" x14ac:dyDescent="0.15">
      <c r="A25" s="6"/>
      <c r="B25" s="12"/>
      <c r="C25" s="58"/>
      <c r="D25" s="59"/>
      <c r="E25" s="60"/>
      <c r="F25" s="61">
        <f t="shared" si="1"/>
        <v>0</v>
      </c>
      <c r="G25" s="62"/>
      <c r="H25" s="63"/>
      <c r="I25" s="61">
        <f t="shared" si="2"/>
        <v>0</v>
      </c>
      <c r="J25" s="62"/>
      <c r="K25" s="63"/>
      <c r="L25" s="61">
        <f t="shared" si="3"/>
        <v>0</v>
      </c>
      <c r="M25" s="62"/>
      <c r="N25" s="63"/>
      <c r="O25" s="61">
        <f t="shared" si="4"/>
        <v>0</v>
      </c>
      <c r="P25" s="62"/>
      <c r="Q25" s="63"/>
      <c r="R25" s="61">
        <f t="shared" si="5"/>
        <v>0</v>
      </c>
      <c r="S25" s="62"/>
      <c r="T25" s="63"/>
      <c r="U25" s="61">
        <f t="shared" si="6"/>
        <v>0</v>
      </c>
      <c r="V25" s="62"/>
      <c r="W25" s="63"/>
      <c r="X25" s="61">
        <f t="shared" si="7"/>
        <v>0</v>
      </c>
      <c r="Y25" s="62"/>
      <c r="Z25" s="63"/>
      <c r="AA25" s="61">
        <f t="shared" si="8"/>
        <v>0</v>
      </c>
      <c r="AB25" s="62"/>
      <c r="AC25" s="63"/>
      <c r="AD25" s="61">
        <f t="shared" si="9"/>
        <v>0</v>
      </c>
      <c r="AE25" s="62"/>
      <c r="AF25" s="63"/>
      <c r="AG25" s="61">
        <f t="shared" si="10"/>
        <v>0</v>
      </c>
      <c r="AH25" s="62"/>
      <c r="AI25" s="63"/>
      <c r="AJ25" s="61">
        <f t="shared" si="11"/>
        <v>0</v>
      </c>
      <c r="AK25" s="62"/>
      <c r="AL25" s="63"/>
      <c r="AM25" s="61">
        <f t="shared" si="12"/>
        <v>0</v>
      </c>
      <c r="AN25" s="62"/>
      <c r="AO25" s="63"/>
      <c r="AP25" s="59">
        <f t="shared" si="13"/>
        <v>0</v>
      </c>
      <c r="AQ25" s="8" t="e">
        <f t="shared" si="0"/>
        <v>#DIV/0!</v>
      </c>
    </row>
    <row r="26" spans="1:43" ht="18" customHeight="1" x14ac:dyDescent="0.15">
      <c r="A26" s="6"/>
      <c r="B26" s="12"/>
      <c r="C26" s="58"/>
      <c r="D26" s="59"/>
      <c r="E26" s="60"/>
      <c r="F26" s="61">
        <f t="shared" si="1"/>
        <v>0</v>
      </c>
      <c r="G26" s="62"/>
      <c r="H26" s="63"/>
      <c r="I26" s="61">
        <f t="shared" si="2"/>
        <v>0</v>
      </c>
      <c r="J26" s="62"/>
      <c r="K26" s="63"/>
      <c r="L26" s="61">
        <f t="shared" si="3"/>
        <v>0</v>
      </c>
      <c r="M26" s="62"/>
      <c r="N26" s="63"/>
      <c r="O26" s="61">
        <f t="shared" si="4"/>
        <v>0</v>
      </c>
      <c r="P26" s="62"/>
      <c r="Q26" s="63"/>
      <c r="R26" s="61">
        <f t="shared" si="5"/>
        <v>0</v>
      </c>
      <c r="S26" s="62"/>
      <c r="T26" s="63"/>
      <c r="U26" s="61">
        <f t="shared" si="6"/>
        <v>0</v>
      </c>
      <c r="V26" s="62"/>
      <c r="W26" s="63"/>
      <c r="X26" s="61">
        <f t="shared" si="7"/>
        <v>0</v>
      </c>
      <c r="Y26" s="62"/>
      <c r="Z26" s="63"/>
      <c r="AA26" s="61">
        <f t="shared" si="8"/>
        <v>0</v>
      </c>
      <c r="AB26" s="62"/>
      <c r="AC26" s="63"/>
      <c r="AD26" s="61">
        <f t="shared" si="9"/>
        <v>0</v>
      </c>
      <c r="AE26" s="62"/>
      <c r="AF26" s="63"/>
      <c r="AG26" s="61">
        <f t="shared" si="10"/>
        <v>0</v>
      </c>
      <c r="AH26" s="62"/>
      <c r="AI26" s="63"/>
      <c r="AJ26" s="61">
        <f t="shared" si="11"/>
        <v>0</v>
      </c>
      <c r="AK26" s="62"/>
      <c r="AL26" s="63"/>
      <c r="AM26" s="61">
        <f t="shared" si="12"/>
        <v>0</v>
      </c>
      <c r="AN26" s="62"/>
      <c r="AO26" s="63"/>
      <c r="AP26" s="59">
        <f t="shared" si="13"/>
        <v>0</v>
      </c>
      <c r="AQ26" s="8" t="e">
        <f t="shared" si="0"/>
        <v>#DIV/0!</v>
      </c>
    </row>
    <row r="27" spans="1:43" ht="18" customHeight="1" x14ac:dyDescent="0.15">
      <c r="A27" s="6"/>
      <c r="B27" s="12"/>
      <c r="C27" s="58"/>
      <c r="D27" s="59"/>
      <c r="E27" s="60"/>
      <c r="F27" s="61">
        <f t="shared" si="1"/>
        <v>0</v>
      </c>
      <c r="G27" s="62"/>
      <c r="H27" s="63"/>
      <c r="I27" s="61">
        <f t="shared" si="2"/>
        <v>0</v>
      </c>
      <c r="J27" s="62"/>
      <c r="K27" s="63"/>
      <c r="L27" s="61">
        <f t="shared" si="3"/>
        <v>0</v>
      </c>
      <c r="M27" s="62"/>
      <c r="N27" s="63"/>
      <c r="O27" s="61">
        <f t="shared" si="4"/>
        <v>0</v>
      </c>
      <c r="P27" s="62"/>
      <c r="Q27" s="63"/>
      <c r="R27" s="61">
        <f t="shared" si="5"/>
        <v>0</v>
      </c>
      <c r="S27" s="62"/>
      <c r="T27" s="63"/>
      <c r="U27" s="61">
        <f t="shared" si="6"/>
        <v>0</v>
      </c>
      <c r="V27" s="62"/>
      <c r="W27" s="63"/>
      <c r="X27" s="61">
        <f t="shared" si="7"/>
        <v>0</v>
      </c>
      <c r="Y27" s="62"/>
      <c r="Z27" s="63"/>
      <c r="AA27" s="61">
        <f t="shared" si="8"/>
        <v>0</v>
      </c>
      <c r="AB27" s="62"/>
      <c r="AC27" s="63"/>
      <c r="AD27" s="61">
        <f t="shared" si="9"/>
        <v>0</v>
      </c>
      <c r="AE27" s="62"/>
      <c r="AF27" s="63"/>
      <c r="AG27" s="61">
        <f t="shared" si="10"/>
        <v>0</v>
      </c>
      <c r="AH27" s="62"/>
      <c r="AI27" s="63"/>
      <c r="AJ27" s="61">
        <f t="shared" si="11"/>
        <v>0</v>
      </c>
      <c r="AK27" s="62"/>
      <c r="AL27" s="63"/>
      <c r="AM27" s="61">
        <f t="shared" si="12"/>
        <v>0</v>
      </c>
      <c r="AN27" s="62"/>
      <c r="AO27" s="63"/>
      <c r="AP27" s="59">
        <f t="shared" si="13"/>
        <v>0</v>
      </c>
      <c r="AQ27" s="8" t="e">
        <f t="shared" si="0"/>
        <v>#DIV/0!</v>
      </c>
    </row>
    <row r="28" spans="1:43" ht="18" customHeight="1" x14ac:dyDescent="0.15">
      <c r="A28" s="6"/>
      <c r="B28" s="12"/>
      <c r="C28" s="58"/>
      <c r="D28" s="59"/>
      <c r="E28" s="60"/>
      <c r="F28" s="61">
        <f t="shared" si="1"/>
        <v>0</v>
      </c>
      <c r="G28" s="62"/>
      <c r="H28" s="63"/>
      <c r="I28" s="61">
        <f t="shared" si="2"/>
        <v>0</v>
      </c>
      <c r="J28" s="62"/>
      <c r="K28" s="63"/>
      <c r="L28" s="61">
        <f t="shared" si="3"/>
        <v>0</v>
      </c>
      <c r="M28" s="62"/>
      <c r="N28" s="63"/>
      <c r="O28" s="61">
        <f t="shared" si="4"/>
        <v>0</v>
      </c>
      <c r="P28" s="62"/>
      <c r="Q28" s="63"/>
      <c r="R28" s="61">
        <f t="shared" si="5"/>
        <v>0</v>
      </c>
      <c r="S28" s="62"/>
      <c r="T28" s="63"/>
      <c r="U28" s="61">
        <f t="shared" si="6"/>
        <v>0</v>
      </c>
      <c r="V28" s="62"/>
      <c r="W28" s="63"/>
      <c r="X28" s="61">
        <f t="shared" si="7"/>
        <v>0</v>
      </c>
      <c r="Y28" s="62"/>
      <c r="Z28" s="63"/>
      <c r="AA28" s="61">
        <f t="shared" si="8"/>
        <v>0</v>
      </c>
      <c r="AB28" s="62"/>
      <c r="AC28" s="63"/>
      <c r="AD28" s="61">
        <f t="shared" si="9"/>
        <v>0</v>
      </c>
      <c r="AE28" s="62"/>
      <c r="AF28" s="63"/>
      <c r="AG28" s="61">
        <f t="shared" si="10"/>
        <v>0</v>
      </c>
      <c r="AH28" s="62"/>
      <c r="AI28" s="63"/>
      <c r="AJ28" s="61">
        <f t="shared" si="11"/>
        <v>0</v>
      </c>
      <c r="AK28" s="62"/>
      <c r="AL28" s="63"/>
      <c r="AM28" s="61">
        <f t="shared" si="12"/>
        <v>0</v>
      </c>
      <c r="AN28" s="62"/>
      <c r="AO28" s="63"/>
      <c r="AP28" s="59">
        <f t="shared" si="13"/>
        <v>0</v>
      </c>
      <c r="AQ28" s="8" t="e">
        <f t="shared" si="0"/>
        <v>#DIV/0!</v>
      </c>
    </row>
    <row r="29" spans="1:43" ht="18" customHeight="1" x14ac:dyDescent="0.15">
      <c r="A29" s="6"/>
      <c r="B29" s="12"/>
      <c r="C29" s="58"/>
      <c r="D29" s="64"/>
      <c r="E29" s="60"/>
      <c r="F29" s="61">
        <f t="shared" si="1"/>
        <v>0</v>
      </c>
      <c r="G29" s="62"/>
      <c r="H29" s="63"/>
      <c r="I29" s="61">
        <f t="shared" si="2"/>
        <v>0</v>
      </c>
      <c r="J29" s="62"/>
      <c r="K29" s="63"/>
      <c r="L29" s="61">
        <f t="shared" si="3"/>
        <v>0</v>
      </c>
      <c r="M29" s="62"/>
      <c r="N29" s="63"/>
      <c r="O29" s="61">
        <f t="shared" si="4"/>
        <v>0</v>
      </c>
      <c r="P29" s="62"/>
      <c r="Q29" s="63"/>
      <c r="R29" s="61">
        <f t="shared" si="5"/>
        <v>0</v>
      </c>
      <c r="S29" s="62"/>
      <c r="T29" s="63"/>
      <c r="U29" s="61">
        <f t="shared" si="6"/>
        <v>0</v>
      </c>
      <c r="V29" s="62"/>
      <c r="W29" s="63"/>
      <c r="X29" s="61">
        <f t="shared" si="7"/>
        <v>0</v>
      </c>
      <c r="Y29" s="62"/>
      <c r="Z29" s="63"/>
      <c r="AA29" s="61">
        <f t="shared" si="8"/>
        <v>0</v>
      </c>
      <c r="AB29" s="62"/>
      <c r="AC29" s="63"/>
      <c r="AD29" s="61">
        <f t="shared" si="9"/>
        <v>0</v>
      </c>
      <c r="AE29" s="62"/>
      <c r="AF29" s="63"/>
      <c r="AG29" s="61">
        <f t="shared" si="10"/>
        <v>0</v>
      </c>
      <c r="AH29" s="62"/>
      <c r="AI29" s="63"/>
      <c r="AJ29" s="61">
        <f t="shared" si="11"/>
        <v>0</v>
      </c>
      <c r="AK29" s="62"/>
      <c r="AL29" s="63"/>
      <c r="AM29" s="61">
        <f t="shared" si="12"/>
        <v>0</v>
      </c>
      <c r="AN29" s="62"/>
      <c r="AO29" s="63"/>
      <c r="AP29" s="64">
        <f t="shared" si="13"/>
        <v>0</v>
      </c>
      <c r="AQ29" s="8" t="e">
        <f t="shared" si="0"/>
        <v>#DIV/0!</v>
      </c>
    </row>
    <row r="30" spans="1:43" ht="18" customHeight="1" x14ac:dyDescent="0.15">
      <c r="A30" s="6"/>
      <c r="B30" s="12"/>
      <c r="C30" s="58"/>
      <c r="D30" s="64"/>
      <c r="E30" s="60"/>
      <c r="F30" s="61">
        <f t="shared" si="1"/>
        <v>0</v>
      </c>
      <c r="G30" s="62"/>
      <c r="H30" s="63"/>
      <c r="I30" s="61">
        <f t="shared" si="2"/>
        <v>0</v>
      </c>
      <c r="J30" s="62"/>
      <c r="K30" s="63"/>
      <c r="L30" s="61">
        <f t="shared" si="3"/>
        <v>0</v>
      </c>
      <c r="M30" s="62"/>
      <c r="N30" s="63"/>
      <c r="O30" s="61">
        <f t="shared" si="4"/>
        <v>0</v>
      </c>
      <c r="P30" s="62"/>
      <c r="Q30" s="63"/>
      <c r="R30" s="61">
        <f t="shared" si="5"/>
        <v>0</v>
      </c>
      <c r="S30" s="62"/>
      <c r="T30" s="63"/>
      <c r="U30" s="61">
        <f t="shared" si="6"/>
        <v>0</v>
      </c>
      <c r="V30" s="62"/>
      <c r="W30" s="63"/>
      <c r="X30" s="61">
        <f t="shared" si="7"/>
        <v>0</v>
      </c>
      <c r="Y30" s="62"/>
      <c r="Z30" s="63"/>
      <c r="AA30" s="61">
        <f t="shared" si="8"/>
        <v>0</v>
      </c>
      <c r="AB30" s="62"/>
      <c r="AC30" s="63"/>
      <c r="AD30" s="61">
        <f t="shared" si="9"/>
        <v>0</v>
      </c>
      <c r="AE30" s="62"/>
      <c r="AF30" s="63"/>
      <c r="AG30" s="61">
        <f t="shared" si="10"/>
        <v>0</v>
      </c>
      <c r="AH30" s="62"/>
      <c r="AI30" s="63"/>
      <c r="AJ30" s="61">
        <f t="shared" si="11"/>
        <v>0</v>
      </c>
      <c r="AK30" s="62"/>
      <c r="AL30" s="63"/>
      <c r="AM30" s="61">
        <f t="shared" si="12"/>
        <v>0</v>
      </c>
      <c r="AN30" s="62"/>
      <c r="AO30" s="63"/>
      <c r="AP30" s="64">
        <f t="shared" si="13"/>
        <v>0</v>
      </c>
      <c r="AQ30" s="8" t="e">
        <f t="shared" si="0"/>
        <v>#DIV/0!</v>
      </c>
    </row>
    <row r="31" spans="1:43" ht="18" customHeight="1" thickBot="1" x14ac:dyDescent="0.2">
      <c r="A31" s="6"/>
      <c r="B31" s="13"/>
      <c r="C31" s="53"/>
      <c r="D31" s="65"/>
      <c r="E31" s="55"/>
      <c r="F31" s="55">
        <f t="shared" si="1"/>
        <v>0</v>
      </c>
      <c r="G31" s="66"/>
      <c r="H31" s="67"/>
      <c r="I31" s="55">
        <f t="shared" si="2"/>
        <v>0</v>
      </c>
      <c r="J31" s="66"/>
      <c r="K31" s="67"/>
      <c r="L31" s="55">
        <f t="shared" si="3"/>
        <v>0</v>
      </c>
      <c r="M31" s="66"/>
      <c r="N31" s="67"/>
      <c r="O31" s="55">
        <f t="shared" si="4"/>
        <v>0</v>
      </c>
      <c r="P31" s="66"/>
      <c r="Q31" s="67"/>
      <c r="R31" s="55">
        <f t="shared" si="5"/>
        <v>0</v>
      </c>
      <c r="S31" s="66"/>
      <c r="T31" s="67"/>
      <c r="U31" s="55">
        <f t="shared" si="6"/>
        <v>0</v>
      </c>
      <c r="V31" s="66"/>
      <c r="W31" s="67"/>
      <c r="X31" s="55">
        <f t="shared" si="7"/>
        <v>0</v>
      </c>
      <c r="Y31" s="66"/>
      <c r="Z31" s="67"/>
      <c r="AA31" s="55">
        <f t="shared" si="8"/>
        <v>0</v>
      </c>
      <c r="AB31" s="66"/>
      <c r="AC31" s="67"/>
      <c r="AD31" s="55">
        <f t="shared" si="9"/>
        <v>0</v>
      </c>
      <c r="AE31" s="66"/>
      <c r="AF31" s="67"/>
      <c r="AG31" s="55">
        <f t="shared" si="10"/>
        <v>0</v>
      </c>
      <c r="AH31" s="66"/>
      <c r="AI31" s="67"/>
      <c r="AJ31" s="55">
        <f t="shared" si="11"/>
        <v>0</v>
      </c>
      <c r="AK31" s="66"/>
      <c r="AL31" s="67"/>
      <c r="AM31" s="55">
        <f t="shared" si="12"/>
        <v>0</v>
      </c>
      <c r="AN31" s="66"/>
      <c r="AO31" s="67"/>
      <c r="AP31" s="65">
        <f t="shared" si="13"/>
        <v>0</v>
      </c>
      <c r="AQ31" s="7" t="e">
        <f t="shared" si="0"/>
        <v>#DIV/0!</v>
      </c>
    </row>
    <row r="32" spans="1:43" ht="18" customHeight="1" thickTop="1" x14ac:dyDescent="0.15">
      <c r="B32" s="14" t="s">
        <v>33</v>
      </c>
      <c r="C32" s="68">
        <f t="shared" ref="C32" si="14">SUM(C12:C31)</f>
        <v>6364</v>
      </c>
      <c r="D32" s="69">
        <f t="shared" ref="D32:AP32" si="15">SUM(D12:D31)</f>
        <v>1515</v>
      </c>
      <c r="E32" s="70">
        <f t="shared" si="15"/>
        <v>6172</v>
      </c>
      <c r="F32" s="70">
        <f t="shared" si="15"/>
        <v>79</v>
      </c>
      <c r="G32" s="71">
        <f t="shared" si="15"/>
        <v>0</v>
      </c>
      <c r="H32" s="72">
        <f t="shared" si="15"/>
        <v>79</v>
      </c>
      <c r="I32" s="70">
        <f t="shared" ref="I32:N32" si="16">SUM(I12:I31)</f>
        <v>72</v>
      </c>
      <c r="J32" s="71">
        <f t="shared" si="16"/>
        <v>0</v>
      </c>
      <c r="K32" s="72">
        <f t="shared" si="16"/>
        <v>72</v>
      </c>
      <c r="L32" s="70">
        <f t="shared" si="16"/>
        <v>0</v>
      </c>
      <c r="M32" s="71">
        <f t="shared" si="16"/>
        <v>0</v>
      </c>
      <c r="N32" s="72">
        <f t="shared" si="16"/>
        <v>0</v>
      </c>
      <c r="O32" s="70">
        <f t="shared" ref="O32:T32" si="17">SUM(O12:O31)</f>
        <v>0</v>
      </c>
      <c r="P32" s="71">
        <f t="shared" si="17"/>
        <v>0</v>
      </c>
      <c r="Q32" s="72">
        <f t="shared" si="17"/>
        <v>0</v>
      </c>
      <c r="R32" s="70">
        <f t="shared" si="17"/>
        <v>0</v>
      </c>
      <c r="S32" s="71">
        <f t="shared" si="17"/>
        <v>0</v>
      </c>
      <c r="T32" s="72">
        <f t="shared" si="17"/>
        <v>0</v>
      </c>
      <c r="U32" s="70">
        <f t="shared" ref="U32:AI32" si="18">SUM(U12:U31)</f>
        <v>0</v>
      </c>
      <c r="V32" s="71">
        <f t="shared" si="18"/>
        <v>0</v>
      </c>
      <c r="W32" s="72">
        <f t="shared" si="18"/>
        <v>0</v>
      </c>
      <c r="X32" s="70">
        <f t="shared" si="18"/>
        <v>0</v>
      </c>
      <c r="Y32" s="71">
        <f t="shared" si="18"/>
        <v>0</v>
      </c>
      <c r="Z32" s="72">
        <f t="shared" si="18"/>
        <v>0</v>
      </c>
      <c r="AA32" s="70">
        <f t="shared" si="18"/>
        <v>0</v>
      </c>
      <c r="AB32" s="71">
        <f t="shared" si="18"/>
        <v>0</v>
      </c>
      <c r="AC32" s="72">
        <f t="shared" si="18"/>
        <v>0</v>
      </c>
      <c r="AD32" s="70">
        <f t="shared" si="18"/>
        <v>0</v>
      </c>
      <c r="AE32" s="71">
        <f t="shared" si="18"/>
        <v>0</v>
      </c>
      <c r="AF32" s="72">
        <f t="shared" si="18"/>
        <v>0</v>
      </c>
      <c r="AG32" s="70">
        <f t="shared" si="18"/>
        <v>0</v>
      </c>
      <c r="AH32" s="71">
        <f t="shared" si="18"/>
        <v>0</v>
      </c>
      <c r="AI32" s="72">
        <f t="shared" si="18"/>
        <v>0</v>
      </c>
      <c r="AJ32" s="70">
        <f t="shared" ref="AJ32:AO32" si="19">SUM(AJ12:AJ31)</f>
        <v>0</v>
      </c>
      <c r="AK32" s="71">
        <f t="shared" si="19"/>
        <v>0</v>
      </c>
      <c r="AL32" s="72">
        <f t="shared" si="19"/>
        <v>0</v>
      </c>
      <c r="AM32" s="70">
        <f t="shared" si="19"/>
        <v>0</v>
      </c>
      <c r="AN32" s="71">
        <f t="shared" si="19"/>
        <v>0</v>
      </c>
      <c r="AO32" s="72">
        <f t="shared" si="19"/>
        <v>0</v>
      </c>
      <c r="AP32" s="69">
        <f t="shared" si="15"/>
        <v>79</v>
      </c>
      <c r="AQ32" s="9">
        <f t="shared" si="0"/>
        <v>1.2799740764744005E-2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7" zoomScaleNormal="100" zoomScaleSheetLayoutView="100" workbookViewId="0">
      <selection activeCell="X15" sqref="X15"/>
    </sheetView>
  </sheetViews>
  <sheetFormatPr defaultColWidth="11.375" defaultRowHeight="18.75" customHeight="1" x14ac:dyDescent="0.15"/>
  <cols>
    <col min="1" max="1" width="2.625" style="39" customWidth="1"/>
    <col min="2" max="2" width="16.625" style="1" customWidth="1"/>
    <col min="3" max="3" width="8.625" style="1" customWidth="1"/>
    <col min="4" max="4" width="2.25" style="1" customWidth="1"/>
    <col min="5" max="5" width="16.625" style="1" customWidth="1"/>
    <col min="6" max="6" width="4.375" style="1" customWidth="1"/>
    <col min="7" max="7" width="9" style="1" customWidth="1"/>
    <col min="8" max="8" width="16.625" style="1" customWidth="1"/>
    <col min="9" max="9" width="12.25" style="1" customWidth="1"/>
    <col min="10" max="16384" width="11.375" style="1"/>
  </cols>
  <sheetData>
    <row r="1" spans="1:9" ht="18.75" customHeight="1" x14ac:dyDescent="0.15">
      <c r="A1" s="39" t="s">
        <v>65</v>
      </c>
      <c r="I1" s="33" t="s">
        <v>106</v>
      </c>
    </row>
    <row r="2" spans="1:9" ht="18.75" customHeight="1" x14ac:dyDescent="0.15">
      <c r="G2" s="33" t="s">
        <v>109</v>
      </c>
      <c r="H2" s="98" t="str">
        <f>'様式１　プログラムを構成する授業科目'!C2</f>
        <v>東京家政大学</v>
      </c>
      <c r="I2" s="100"/>
    </row>
    <row r="3" spans="1:9" ht="18.75" customHeight="1" x14ac:dyDescent="0.15">
      <c r="G3" s="33"/>
      <c r="H3" s="10"/>
      <c r="I3" s="10"/>
    </row>
    <row r="4" spans="1:9" ht="18.399999999999999" customHeight="1" x14ac:dyDescent="0.15">
      <c r="A4" s="112" t="s">
        <v>36</v>
      </c>
      <c r="B4" s="112"/>
      <c r="C4" s="112"/>
      <c r="D4" s="112"/>
      <c r="E4" s="112"/>
      <c r="F4" s="112"/>
      <c r="G4" s="112"/>
      <c r="H4" s="112"/>
      <c r="I4" s="112"/>
    </row>
    <row r="5" spans="1:9" ht="13.15" customHeight="1" x14ac:dyDescent="0.15">
      <c r="B5" s="3"/>
      <c r="C5" s="3"/>
      <c r="D5" s="3"/>
      <c r="E5" s="3"/>
      <c r="F5" s="3"/>
      <c r="G5" s="3"/>
      <c r="H5" s="3"/>
      <c r="I5" s="3"/>
    </row>
    <row r="6" spans="1:9" ht="18" customHeight="1" x14ac:dyDescent="0.15">
      <c r="A6" s="1" t="s">
        <v>0</v>
      </c>
      <c r="B6" s="10" t="s">
        <v>91</v>
      </c>
      <c r="C6" s="251" t="s">
        <v>92</v>
      </c>
      <c r="D6" s="251"/>
      <c r="E6" s="32">
        <v>235</v>
      </c>
      <c r="F6" s="3" t="s">
        <v>1</v>
      </c>
      <c r="G6" s="3" t="s">
        <v>2</v>
      </c>
      <c r="H6" s="32">
        <v>485</v>
      </c>
      <c r="I6" s="10" t="s">
        <v>1</v>
      </c>
    </row>
    <row r="7" spans="1:9" ht="12" customHeight="1" x14ac:dyDescent="0.15">
      <c r="C7" s="2"/>
      <c r="D7" s="2"/>
      <c r="E7" s="2"/>
      <c r="F7" s="2"/>
      <c r="G7" s="2"/>
      <c r="H7" s="2"/>
      <c r="I7" s="74"/>
    </row>
    <row r="8" spans="1:9" ht="18" customHeight="1" x14ac:dyDescent="0.15">
      <c r="A8" s="1" t="s">
        <v>3</v>
      </c>
      <c r="B8" s="10" t="s">
        <v>93</v>
      </c>
      <c r="E8" s="3"/>
      <c r="F8" s="3"/>
      <c r="G8" s="3"/>
      <c r="H8" s="32">
        <v>3</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3" t="s">
        <v>43</v>
      </c>
      <c r="C11" s="246" t="s">
        <v>139</v>
      </c>
      <c r="D11" s="249"/>
      <c r="E11" s="250"/>
      <c r="F11" s="74"/>
      <c r="G11" s="33" t="s">
        <v>10</v>
      </c>
      <c r="H11" s="246" t="s">
        <v>142</v>
      </c>
      <c r="I11" s="250"/>
    </row>
    <row r="12" spans="1:9" ht="10.15" customHeight="1" x14ac:dyDescent="0.15">
      <c r="B12" s="33"/>
      <c r="C12" s="10"/>
      <c r="D12" s="74"/>
      <c r="E12" s="74"/>
      <c r="F12" s="74"/>
      <c r="G12" s="33"/>
      <c r="H12" s="10"/>
      <c r="I12" s="74"/>
    </row>
    <row r="13" spans="1:9" ht="18" customHeight="1" x14ac:dyDescent="0.15">
      <c r="A13" s="1" t="s">
        <v>7</v>
      </c>
      <c r="B13" s="10" t="s">
        <v>88</v>
      </c>
      <c r="C13" s="3"/>
      <c r="D13" s="3"/>
      <c r="E13" s="3"/>
      <c r="F13" s="3"/>
      <c r="G13" s="3"/>
      <c r="H13" s="3"/>
      <c r="I13" s="3"/>
    </row>
    <row r="14" spans="1:9" ht="18" customHeight="1" x14ac:dyDescent="0.15">
      <c r="B14" s="246" t="s">
        <v>140</v>
      </c>
      <c r="C14" s="247"/>
      <c r="D14" s="247"/>
      <c r="E14" s="247"/>
      <c r="F14" s="247"/>
      <c r="G14" s="247"/>
      <c r="H14" s="247"/>
      <c r="I14" s="248"/>
    </row>
    <row r="15" spans="1:9" ht="9" customHeight="1" x14ac:dyDescent="0.15">
      <c r="B15" s="3"/>
      <c r="C15" s="3"/>
      <c r="D15" s="3"/>
      <c r="E15" s="3"/>
      <c r="F15" s="3"/>
      <c r="G15" s="3"/>
      <c r="H15" s="3"/>
      <c r="I15" s="3"/>
    </row>
    <row r="16" spans="1:9" ht="18" customHeight="1" x14ac:dyDescent="0.15">
      <c r="B16" s="33" t="s">
        <v>43</v>
      </c>
      <c r="C16" s="246" t="s">
        <v>139</v>
      </c>
      <c r="D16" s="249"/>
      <c r="E16" s="250"/>
      <c r="F16" s="74"/>
      <c r="G16" s="33" t="s">
        <v>10</v>
      </c>
      <c r="H16" s="246" t="s">
        <v>142</v>
      </c>
      <c r="I16" s="250"/>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29" t="s">
        <v>143</v>
      </c>
      <c r="C19" s="230"/>
      <c r="D19" s="230"/>
      <c r="E19" s="230"/>
      <c r="F19" s="230"/>
      <c r="G19" s="230"/>
      <c r="H19" s="230"/>
      <c r="I19" s="23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32" t="s">
        <v>153</v>
      </c>
      <c r="C22" s="233"/>
      <c r="D22" s="233"/>
      <c r="E22" s="233"/>
      <c r="F22" s="233"/>
      <c r="G22" s="233"/>
      <c r="H22" s="233"/>
      <c r="I22" s="234"/>
    </row>
    <row r="23" spans="1:9" ht="18.75" customHeight="1" x14ac:dyDescent="0.15">
      <c r="A23" s="15"/>
      <c r="B23" s="235"/>
      <c r="C23" s="236"/>
      <c r="D23" s="236"/>
      <c r="E23" s="236"/>
      <c r="F23" s="236"/>
      <c r="G23" s="236"/>
      <c r="H23" s="236"/>
      <c r="I23" s="237"/>
    </row>
    <row r="24" spans="1:9" ht="18.75" customHeight="1" x14ac:dyDescent="0.15">
      <c r="A24" s="15"/>
      <c r="B24" s="235"/>
      <c r="C24" s="236"/>
      <c r="D24" s="236"/>
      <c r="E24" s="236"/>
      <c r="F24" s="236"/>
      <c r="G24" s="236"/>
      <c r="H24" s="236"/>
      <c r="I24" s="237"/>
    </row>
    <row r="25" spans="1:9" ht="18.75" customHeight="1" x14ac:dyDescent="0.15">
      <c r="A25" s="15"/>
      <c r="B25" s="235"/>
      <c r="C25" s="236"/>
      <c r="D25" s="236"/>
      <c r="E25" s="236"/>
      <c r="F25" s="236"/>
      <c r="G25" s="236"/>
      <c r="H25" s="236"/>
      <c r="I25" s="237"/>
    </row>
    <row r="26" spans="1:9" ht="18.75" customHeight="1" x14ac:dyDescent="0.15">
      <c r="A26" s="15"/>
      <c r="B26" s="235"/>
      <c r="C26" s="236"/>
      <c r="D26" s="236"/>
      <c r="E26" s="236"/>
      <c r="F26" s="236"/>
      <c r="G26" s="236"/>
      <c r="H26" s="236"/>
      <c r="I26" s="237"/>
    </row>
    <row r="27" spans="1:9" ht="18.75" customHeight="1" x14ac:dyDescent="0.15">
      <c r="A27" s="15"/>
      <c r="B27" s="235"/>
      <c r="C27" s="236"/>
      <c r="D27" s="236"/>
      <c r="E27" s="236"/>
      <c r="F27" s="236"/>
      <c r="G27" s="236"/>
      <c r="H27" s="236"/>
      <c r="I27" s="237"/>
    </row>
    <row r="28" spans="1:9" ht="18.75" customHeight="1" x14ac:dyDescent="0.15">
      <c r="A28" s="15"/>
      <c r="B28" s="235"/>
      <c r="C28" s="236"/>
      <c r="D28" s="236"/>
      <c r="E28" s="236"/>
      <c r="F28" s="236"/>
      <c r="G28" s="236"/>
      <c r="H28" s="236"/>
      <c r="I28" s="237"/>
    </row>
    <row r="29" spans="1:9" ht="18.75" customHeight="1" x14ac:dyDescent="0.15">
      <c r="A29" s="15"/>
      <c r="B29" s="235"/>
      <c r="C29" s="236"/>
      <c r="D29" s="236"/>
      <c r="E29" s="236"/>
      <c r="F29" s="236"/>
      <c r="G29" s="236"/>
      <c r="H29" s="236"/>
      <c r="I29" s="237"/>
    </row>
    <row r="30" spans="1:9" ht="18.75" customHeight="1" x14ac:dyDescent="0.15">
      <c r="A30" s="15"/>
      <c r="B30" s="238"/>
      <c r="C30" s="239"/>
      <c r="D30" s="239"/>
      <c r="E30" s="239"/>
      <c r="F30" s="239"/>
      <c r="G30" s="239"/>
      <c r="H30" s="239"/>
      <c r="I30" s="237"/>
    </row>
    <row r="31" spans="1:9" ht="18.75" customHeight="1" x14ac:dyDescent="0.15">
      <c r="A31" s="15"/>
      <c r="B31" s="238"/>
      <c r="C31" s="239"/>
      <c r="D31" s="239"/>
      <c r="E31" s="239"/>
      <c r="F31" s="239"/>
      <c r="G31" s="239"/>
      <c r="H31" s="239"/>
      <c r="I31" s="237"/>
    </row>
    <row r="32" spans="1:9" ht="18.75" customHeight="1" x14ac:dyDescent="0.15">
      <c r="A32" s="15"/>
      <c r="B32" s="240"/>
      <c r="C32" s="241"/>
      <c r="D32" s="241"/>
      <c r="E32" s="241"/>
      <c r="F32" s="241"/>
      <c r="G32" s="241"/>
      <c r="H32" s="241"/>
      <c r="I32" s="242"/>
    </row>
    <row r="33" spans="1:9" ht="7.5" customHeight="1" x14ac:dyDescent="0.15">
      <c r="A33" s="15"/>
      <c r="B33" s="15"/>
      <c r="C33" s="15"/>
      <c r="D33" s="15"/>
      <c r="E33" s="15"/>
      <c r="F33" s="15"/>
      <c r="G33" s="15"/>
      <c r="H33" s="15"/>
      <c r="I33" s="15"/>
    </row>
    <row r="34" spans="1:9" ht="18.75" customHeight="1" x14ac:dyDescent="0.15">
      <c r="A34" s="75" t="s">
        <v>6</v>
      </c>
      <c r="B34" s="75" t="s">
        <v>9</v>
      </c>
      <c r="C34" s="10"/>
      <c r="D34" s="75"/>
      <c r="E34" s="75"/>
      <c r="F34" s="75"/>
      <c r="G34" s="75"/>
      <c r="H34" s="75"/>
      <c r="I34" s="75"/>
    </row>
    <row r="35" spans="1:9" ht="18.75" customHeight="1" x14ac:dyDescent="0.15">
      <c r="A35" s="15"/>
      <c r="B35" s="232" t="s">
        <v>146</v>
      </c>
      <c r="C35" s="233"/>
      <c r="D35" s="233"/>
      <c r="E35" s="233"/>
      <c r="F35" s="233"/>
      <c r="G35" s="233"/>
      <c r="H35" s="233"/>
      <c r="I35" s="234"/>
    </row>
    <row r="36" spans="1:9" ht="18.75" customHeight="1" x14ac:dyDescent="0.15">
      <c r="A36" s="15"/>
      <c r="B36" s="238"/>
      <c r="C36" s="239"/>
      <c r="D36" s="239"/>
      <c r="E36" s="239"/>
      <c r="F36" s="239"/>
      <c r="G36" s="239"/>
      <c r="H36" s="239"/>
      <c r="I36" s="237"/>
    </row>
    <row r="37" spans="1:9" ht="18.75" customHeight="1" x14ac:dyDescent="0.15">
      <c r="A37" s="15"/>
      <c r="B37" s="238"/>
      <c r="C37" s="239"/>
      <c r="D37" s="239"/>
      <c r="E37" s="239"/>
      <c r="F37" s="239"/>
      <c r="G37" s="239"/>
      <c r="H37" s="239"/>
      <c r="I37" s="237"/>
    </row>
    <row r="38" spans="1:9" ht="18.75" customHeight="1" x14ac:dyDescent="0.15">
      <c r="A38" s="15"/>
      <c r="B38" s="238"/>
      <c r="C38" s="239"/>
      <c r="D38" s="239"/>
      <c r="E38" s="239"/>
      <c r="F38" s="239"/>
      <c r="G38" s="239"/>
      <c r="H38" s="239"/>
      <c r="I38" s="237"/>
    </row>
    <row r="39" spans="1:9" ht="3.75" customHeight="1" x14ac:dyDescent="0.15">
      <c r="A39" s="15"/>
      <c r="B39" s="238"/>
      <c r="C39" s="239"/>
      <c r="D39" s="239"/>
      <c r="E39" s="239"/>
      <c r="F39" s="239"/>
      <c r="G39" s="239"/>
      <c r="H39" s="239"/>
      <c r="I39" s="237"/>
    </row>
    <row r="40" spans="1:9" ht="3.75" customHeight="1" x14ac:dyDescent="0.15">
      <c r="A40" s="15"/>
      <c r="B40" s="238"/>
      <c r="C40" s="239"/>
      <c r="D40" s="239"/>
      <c r="E40" s="239"/>
      <c r="F40" s="239"/>
      <c r="G40" s="239"/>
      <c r="H40" s="239"/>
      <c r="I40" s="237"/>
    </row>
    <row r="41" spans="1:9" ht="3.75" customHeight="1" x14ac:dyDescent="0.15">
      <c r="A41" s="15"/>
      <c r="B41" s="238"/>
      <c r="C41" s="239"/>
      <c r="D41" s="239"/>
      <c r="E41" s="239"/>
      <c r="F41" s="239"/>
      <c r="G41" s="239"/>
      <c r="H41" s="239"/>
      <c r="I41" s="237"/>
    </row>
    <row r="42" spans="1:9" ht="3.75" customHeight="1" x14ac:dyDescent="0.15">
      <c r="A42" s="15"/>
      <c r="B42" s="238"/>
      <c r="C42" s="239"/>
      <c r="D42" s="239"/>
      <c r="E42" s="239"/>
      <c r="F42" s="239"/>
      <c r="G42" s="239"/>
      <c r="H42" s="239"/>
      <c r="I42" s="237"/>
    </row>
    <row r="43" spans="1:9" ht="3.75" customHeight="1" x14ac:dyDescent="0.15">
      <c r="A43" s="15"/>
      <c r="B43" s="238"/>
      <c r="C43" s="239"/>
      <c r="D43" s="239"/>
      <c r="E43" s="239"/>
      <c r="F43" s="239"/>
      <c r="G43" s="239"/>
      <c r="H43" s="239"/>
      <c r="I43" s="237"/>
    </row>
    <row r="44" spans="1:9" ht="3.75" customHeight="1" x14ac:dyDescent="0.15">
      <c r="A44" s="15"/>
      <c r="B44" s="238"/>
      <c r="C44" s="239"/>
      <c r="D44" s="239"/>
      <c r="E44" s="239"/>
      <c r="F44" s="239"/>
      <c r="G44" s="239"/>
      <c r="H44" s="239"/>
      <c r="I44" s="237"/>
    </row>
    <row r="45" spans="1:9" ht="3.75" customHeight="1" x14ac:dyDescent="0.15">
      <c r="A45" s="15"/>
      <c r="B45" s="238"/>
      <c r="C45" s="239"/>
      <c r="D45" s="239"/>
      <c r="E45" s="239"/>
      <c r="F45" s="239"/>
      <c r="G45" s="239"/>
      <c r="H45" s="239"/>
      <c r="I45" s="237"/>
    </row>
    <row r="46" spans="1:9" ht="3.75" customHeight="1" x14ac:dyDescent="0.15">
      <c r="A46" s="15"/>
      <c r="B46" s="240"/>
      <c r="C46" s="241"/>
      <c r="D46" s="241"/>
      <c r="E46" s="241"/>
      <c r="F46" s="241"/>
      <c r="G46" s="241"/>
      <c r="H46" s="241"/>
      <c r="I46" s="24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76" t="s">
        <v>89</v>
      </c>
      <c r="C49" s="208">
        <f>'様式２ 履修者等数の実績'!AQ32</f>
        <v>1.2799740764744005E-2</v>
      </c>
      <c r="D49" s="208"/>
      <c r="E49" s="76" t="s">
        <v>66</v>
      </c>
      <c r="F49" s="208">
        <v>0.04</v>
      </c>
      <c r="G49" s="208"/>
      <c r="H49" s="76" t="s">
        <v>67</v>
      </c>
      <c r="I49" s="77">
        <v>0.15</v>
      </c>
      <c r="J49" s="1"/>
      <c r="M49" s="1"/>
      <c r="N49" s="1"/>
    </row>
    <row r="50" spans="1:15" s="3" customFormat="1" ht="18.75" customHeight="1" x14ac:dyDescent="0.15">
      <c r="B50" s="78" t="s">
        <v>68</v>
      </c>
      <c r="C50" s="209">
        <v>0.41</v>
      </c>
      <c r="D50" s="209"/>
      <c r="E50" s="78" t="s">
        <v>90</v>
      </c>
      <c r="F50" s="209">
        <v>0.66</v>
      </c>
      <c r="G50" s="209"/>
      <c r="H50" s="78" t="s">
        <v>69</v>
      </c>
      <c r="I50" s="79">
        <f>'様式２ 履修者等数の実績'!E32</f>
        <v>6172</v>
      </c>
      <c r="J50" s="1"/>
      <c r="M50" s="1"/>
      <c r="N50" s="1"/>
    </row>
    <row r="51" spans="1:15" ht="18.75" customHeight="1" x14ac:dyDescent="0.15">
      <c r="A51" s="1"/>
      <c r="B51" s="243" t="s">
        <v>70</v>
      </c>
      <c r="C51" s="244"/>
      <c r="D51" s="244"/>
      <c r="E51" s="244"/>
      <c r="F51" s="244"/>
      <c r="G51" s="244"/>
      <c r="H51" s="244"/>
      <c r="I51" s="245"/>
      <c r="K51" s="85"/>
      <c r="L51" s="85"/>
      <c r="M51" s="85"/>
      <c r="N51" s="40"/>
      <c r="O51" s="3"/>
    </row>
    <row r="52" spans="1:15" ht="18.75" customHeight="1" x14ac:dyDescent="0.15">
      <c r="A52" s="1"/>
      <c r="B52" s="210" t="s">
        <v>156</v>
      </c>
      <c r="C52" s="211"/>
      <c r="D52" s="211"/>
      <c r="E52" s="211"/>
      <c r="F52" s="211"/>
      <c r="G52" s="211"/>
      <c r="H52" s="211"/>
      <c r="I52" s="212"/>
      <c r="K52" s="85"/>
      <c r="L52" s="85"/>
      <c r="M52" s="85"/>
      <c r="N52" s="83"/>
      <c r="O52" s="83"/>
    </row>
    <row r="53" spans="1:15" ht="18.75" customHeight="1" x14ac:dyDescent="0.15">
      <c r="A53" s="1"/>
      <c r="B53" s="213"/>
      <c r="C53" s="214"/>
      <c r="D53" s="214"/>
      <c r="E53" s="214"/>
      <c r="F53" s="214"/>
      <c r="G53" s="214"/>
      <c r="H53" s="214"/>
      <c r="I53" s="215"/>
      <c r="M53" s="83"/>
      <c r="N53" s="83"/>
      <c r="O53" s="84"/>
    </row>
    <row r="54" spans="1:15" ht="18.75" customHeight="1" x14ac:dyDescent="0.15">
      <c r="A54" s="1"/>
      <c r="B54" s="213"/>
      <c r="C54" s="214"/>
      <c r="D54" s="214"/>
      <c r="E54" s="214"/>
      <c r="F54" s="214"/>
      <c r="G54" s="214"/>
      <c r="H54" s="214"/>
      <c r="I54" s="215"/>
    </row>
    <row r="55" spans="1:15" ht="18.75" customHeight="1" x14ac:dyDescent="0.15">
      <c r="A55" s="1"/>
      <c r="B55" s="213"/>
      <c r="C55" s="214"/>
      <c r="D55" s="214"/>
      <c r="E55" s="214"/>
      <c r="F55" s="214"/>
      <c r="G55" s="214"/>
      <c r="H55" s="214"/>
      <c r="I55" s="215"/>
    </row>
    <row r="56" spans="1:15" ht="18.75" customHeight="1" x14ac:dyDescent="0.15">
      <c r="A56" s="1"/>
      <c r="B56" s="213"/>
      <c r="C56" s="214"/>
      <c r="D56" s="214"/>
      <c r="E56" s="214"/>
      <c r="F56" s="214"/>
      <c r="G56" s="214"/>
      <c r="H56" s="214"/>
      <c r="I56" s="215"/>
    </row>
    <row r="57" spans="1:15" ht="18.75" customHeight="1" x14ac:dyDescent="0.15">
      <c r="A57" s="1"/>
      <c r="B57" s="213"/>
      <c r="C57" s="214"/>
      <c r="D57" s="214"/>
      <c r="E57" s="214"/>
      <c r="F57" s="214"/>
      <c r="G57" s="214"/>
      <c r="H57" s="214"/>
      <c r="I57" s="215"/>
    </row>
    <row r="58" spans="1:15" ht="18.75" customHeight="1" x14ac:dyDescent="0.15">
      <c r="A58" s="1"/>
      <c r="B58" s="213"/>
      <c r="C58" s="214"/>
      <c r="D58" s="214"/>
      <c r="E58" s="214"/>
      <c r="F58" s="214"/>
      <c r="G58" s="214"/>
      <c r="H58" s="214"/>
      <c r="I58" s="215"/>
    </row>
    <row r="59" spans="1:15" ht="18.75" customHeight="1" x14ac:dyDescent="0.15">
      <c r="A59" s="1"/>
      <c r="B59" s="213"/>
      <c r="C59" s="214"/>
      <c r="D59" s="214"/>
      <c r="E59" s="214"/>
      <c r="F59" s="214"/>
      <c r="G59" s="214"/>
      <c r="H59" s="214"/>
      <c r="I59" s="215"/>
      <c r="J59" s="82"/>
    </row>
    <row r="60" spans="1:15" ht="18.75" customHeight="1" x14ac:dyDescent="0.15">
      <c r="A60" s="1"/>
      <c r="B60" s="213"/>
      <c r="C60" s="214"/>
      <c r="D60" s="214"/>
      <c r="E60" s="214"/>
      <c r="F60" s="214"/>
      <c r="G60" s="214"/>
      <c r="H60" s="214"/>
      <c r="I60" s="215"/>
    </row>
    <row r="61" spans="1:15" ht="14.25" customHeight="1" x14ac:dyDescent="0.15">
      <c r="A61" s="1"/>
      <c r="B61" s="213"/>
      <c r="C61" s="214"/>
      <c r="D61" s="214"/>
      <c r="E61" s="214"/>
      <c r="F61" s="214"/>
      <c r="G61" s="214"/>
      <c r="H61" s="214"/>
      <c r="I61" s="215"/>
    </row>
    <row r="62" spans="1:15" ht="14.25" customHeight="1" x14ac:dyDescent="0.15">
      <c r="A62" s="1"/>
      <c r="B62" s="213"/>
      <c r="C62" s="214"/>
      <c r="D62" s="214"/>
      <c r="E62" s="214"/>
      <c r="F62" s="214"/>
      <c r="G62" s="214"/>
      <c r="H62" s="214"/>
      <c r="I62" s="215"/>
    </row>
    <row r="63" spans="1:15" ht="14.25" customHeight="1" x14ac:dyDescent="0.15">
      <c r="A63" s="1"/>
      <c r="B63" s="216"/>
      <c r="C63" s="217"/>
      <c r="D63" s="217"/>
      <c r="E63" s="217"/>
      <c r="F63" s="217"/>
      <c r="G63" s="217"/>
      <c r="H63" s="217"/>
      <c r="I63" s="218"/>
    </row>
    <row r="64" spans="1:15" ht="7.5" customHeight="1" x14ac:dyDescent="0.15">
      <c r="A64" s="15"/>
      <c r="B64" s="15"/>
      <c r="C64" s="15"/>
      <c r="D64" s="15"/>
      <c r="E64" s="15"/>
      <c r="F64" s="15"/>
      <c r="G64" s="15"/>
      <c r="H64" s="15"/>
      <c r="I64" s="15"/>
    </row>
    <row r="65" spans="1:9" ht="18.75" customHeight="1" x14ac:dyDescent="0.15">
      <c r="A65" s="75" t="s">
        <v>34</v>
      </c>
      <c r="B65" s="1" t="s">
        <v>37</v>
      </c>
      <c r="I65" s="75"/>
    </row>
    <row r="66" spans="1:9" ht="18.75" customHeight="1" x14ac:dyDescent="0.15">
      <c r="A66" s="4"/>
      <c r="B66" s="190" t="s">
        <v>152</v>
      </c>
      <c r="C66" s="191"/>
      <c r="D66" s="191"/>
      <c r="E66" s="191"/>
      <c r="F66" s="191"/>
      <c r="G66" s="191"/>
      <c r="H66" s="191"/>
      <c r="I66" s="192"/>
    </row>
    <row r="67" spans="1:9" ht="18.75" customHeight="1" x14ac:dyDescent="0.15">
      <c r="A67" s="4"/>
      <c r="B67" s="193"/>
      <c r="C67" s="194"/>
      <c r="D67" s="194"/>
      <c r="E67" s="194"/>
      <c r="F67" s="194"/>
      <c r="G67" s="194"/>
      <c r="H67" s="194"/>
      <c r="I67" s="195"/>
    </row>
    <row r="68" spans="1:9" ht="18.75" customHeight="1" x14ac:dyDescent="0.15">
      <c r="A68" s="4"/>
      <c r="B68" s="193"/>
      <c r="C68" s="194"/>
      <c r="D68" s="194"/>
      <c r="E68" s="194"/>
      <c r="F68" s="194"/>
      <c r="G68" s="194"/>
      <c r="H68" s="194"/>
      <c r="I68" s="195"/>
    </row>
    <row r="69" spans="1:9" ht="18.75" customHeight="1" x14ac:dyDescent="0.15">
      <c r="A69" s="4"/>
      <c r="B69" s="193"/>
      <c r="C69" s="194"/>
      <c r="D69" s="194"/>
      <c r="E69" s="194"/>
      <c r="F69" s="194"/>
      <c r="G69" s="194"/>
      <c r="H69" s="194"/>
      <c r="I69" s="195"/>
    </row>
    <row r="70" spans="1:9" ht="18.75" customHeight="1" x14ac:dyDescent="0.15">
      <c r="A70" s="4"/>
      <c r="B70" s="193"/>
      <c r="C70" s="194"/>
      <c r="D70" s="194"/>
      <c r="E70" s="194"/>
      <c r="F70" s="194"/>
      <c r="G70" s="194"/>
      <c r="H70" s="194"/>
      <c r="I70" s="195"/>
    </row>
    <row r="71" spans="1:9" ht="18.75" customHeight="1" x14ac:dyDescent="0.15">
      <c r="A71" s="4"/>
      <c r="B71" s="193"/>
      <c r="C71" s="194"/>
      <c r="D71" s="194"/>
      <c r="E71" s="194"/>
      <c r="F71" s="194"/>
      <c r="G71" s="194"/>
      <c r="H71" s="194"/>
      <c r="I71" s="195"/>
    </row>
    <row r="72" spans="1:9" ht="18.75" customHeight="1" x14ac:dyDescent="0.15">
      <c r="A72" s="4"/>
      <c r="B72" s="193"/>
      <c r="C72" s="194"/>
      <c r="D72" s="194"/>
      <c r="E72" s="194"/>
      <c r="F72" s="194"/>
      <c r="G72" s="194"/>
      <c r="H72" s="194"/>
      <c r="I72" s="195"/>
    </row>
    <row r="73" spans="1:9" ht="18.75" customHeight="1" x14ac:dyDescent="0.15">
      <c r="A73" s="4"/>
      <c r="B73" s="193"/>
      <c r="C73" s="194"/>
      <c r="D73" s="194"/>
      <c r="E73" s="194"/>
      <c r="F73" s="194"/>
      <c r="G73" s="194"/>
      <c r="H73" s="194"/>
      <c r="I73" s="195"/>
    </row>
    <row r="74" spans="1:9" ht="18.75" customHeight="1" x14ac:dyDescent="0.15">
      <c r="A74" s="4"/>
      <c r="B74" s="193"/>
      <c r="C74" s="194"/>
      <c r="D74" s="194"/>
      <c r="E74" s="194"/>
      <c r="F74" s="194"/>
      <c r="G74" s="194"/>
      <c r="H74" s="194"/>
      <c r="I74" s="195"/>
    </row>
    <row r="75" spans="1:9" ht="18.75" customHeight="1" x14ac:dyDescent="0.15">
      <c r="A75" s="4"/>
      <c r="B75" s="193"/>
      <c r="C75" s="194"/>
      <c r="D75" s="194"/>
      <c r="E75" s="194"/>
      <c r="F75" s="194"/>
      <c r="G75" s="194"/>
      <c r="H75" s="194"/>
      <c r="I75" s="195"/>
    </row>
    <row r="76" spans="1:9" ht="9.75" customHeight="1" x14ac:dyDescent="0.15">
      <c r="A76" s="4"/>
      <c r="B76" s="193"/>
      <c r="C76" s="194"/>
      <c r="D76" s="194"/>
      <c r="E76" s="194"/>
      <c r="F76" s="194"/>
      <c r="G76" s="194"/>
      <c r="H76" s="194"/>
      <c r="I76" s="195"/>
    </row>
    <row r="77" spans="1:9" ht="9.75" customHeight="1" x14ac:dyDescent="0.15">
      <c r="A77" s="4"/>
      <c r="B77" s="196"/>
      <c r="C77" s="197"/>
      <c r="D77" s="197"/>
      <c r="E77" s="197"/>
      <c r="F77" s="197"/>
      <c r="G77" s="197"/>
      <c r="H77" s="197"/>
      <c r="I77" s="198"/>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9" t="s">
        <v>145</v>
      </c>
      <c r="C80" s="200"/>
      <c r="D80" s="200"/>
      <c r="E80" s="200"/>
      <c r="F80" s="200"/>
      <c r="G80" s="200"/>
      <c r="H80" s="200"/>
      <c r="I80" s="201"/>
    </row>
    <row r="81" spans="1:9" ht="18.75" customHeight="1" x14ac:dyDescent="0.15">
      <c r="A81" s="1"/>
      <c r="B81" s="202"/>
      <c r="C81" s="203"/>
      <c r="D81" s="203"/>
      <c r="E81" s="203"/>
      <c r="F81" s="203"/>
      <c r="G81" s="203"/>
      <c r="H81" s="203"/>
      <c r="I81" s="204"/>
    </row>
    <row r="82" spans="1:9" ht="18.75" customHeight="1" x14ac:dyDescent="0.15">
      <c r="A82" s="1"/>
      <c r="B82" s="202"/>
      <c r="C82" s="203"/>
      <c r="D82" s="203"/>
      <c r="E82" s="203"/>
      <c r="F82" s="203"/>
      <c r="G82" s="203"/>
      <c r="H82" s="203"/>
      <c r="I82" s="204"/>
    </row>
    <row r="83" spans="1:9" ht="18.75" customHeight="1" x14ac:dyDescent="0.15">
      <c r="A83" s="1"/>
      <c r="B83" s="202"/>
      <c r="C83" s="203"/>
      <c r="D83" s="203"/>
      <c r="E83" s="203"/>
      <c r="F83" s="203"/>
      <c r="G83" s="203"/>
      <c r="H83" s="203"/>
      <c r="I83" s="204"/>
    </row>
    <row r="84" spans="1:9" ht="18.75" customHeight="1" x14ac:dyDescent="0.15">
      <c r="A84" s="1"/>
      <c r="B84" s="202"/>
      <c r="C84" s="203"/>
      <c r="D84" s="203"/>
      <c r="E84" s="203"/>
      <c r="F84" s="203"/>
      <c r="G84" s="203"/>
      <c r="H84" s="203"/>
      <c r="I84" s="204"/>
    </row>
    <row r="85" spans="1:9" ht="18.75" customHeight="1" x14ac:dyDescent="0.15">
      <c r="A85" s="1"/>
      <c r="B85" s="202"/>
      <c r="C85" s="203"/>
      <c r="D85" s="203"/>
      <c r="E85" s="203"/>
      <c r="F85" s="203"/>
      <c r="G85" s="203"/>
      <c r="H85" s="203"/>
      <c r="I85" s="204"/>
    </row>
    <row r="86" spans="1:9" ht="18.75" customHeight="1" x14ac:dyDescent="0.15">
      <c r="A86" s="1"/>
      <c r="B86" s="202"/>
      <c r="C86" s="203"/>
      <c r="D86" s="203"/>
      <c r="E86" s="203"/>
      <c r="F86" s="203"/>
      <c r="G86" s="203"/>
      <c r="H86" s="203"/>
      <c r="I86" s="204"/>
    </row>
    <row r="87" spans="1:9" ht="18.75" customHeight="1" x14ac:dyDescent="0.15">
      <c r="A87" s="1"/>
      <c r="B87" s="202"/>
      <c r="C87" s="203"/>
      <c r="D87" s="203"/>
      <c r="E87" s="203"/>
      <c r="F87" s="203"/>
      <c r="G87" s="203"/>
      <c r="H87" s="203"/>
      <c r="I87" s="204"/>
    </row>
    <row r="88" spans="1:9" ht="18.75" customHeight="1" x14ac:dyDescent="0.15">
      <c r="A88" s="1"/>
      <c r="B88" s="202"/>
      <c r="C88" s="203"/>
      <c r="D88" s="203"/>
      <c r="E88" s="203"/>
      <c r="F88" s="203"/>
      <c r="G88" s="203"/>
      <c r="H88" s="203"/>
      <c r="I88" s="204"/>
    </row>
    <row r="89" spans="1:9" ht="36" customHeight="1" x14ac:dyDescent="0.15">
      <c r="A89" s="1"/>
      <c r="B89" s="202"/>
      <c r="C89" s="203"/>
      <c r="D89" s="203"/>
      <c r="E89" s="203"/>
      <c r="F89" s="203"/>
      <c r="G89" s="203"/>
      <c r="H89" s="203"/>
      <c r="I89" s="204"/>
    </row>
    <row r="90" spans="1:9" ht="18" customHeight="1" x14ac:dyDescent="0.15">
      <c r="A90" s="4"/>
      <c r="B90" s="202"/>
      <c r="C90" s="203"/>
      <c r="D90" s="203"/>
      <c r="E90" s="203"/>
      <c r="F90" s="203"/>
      <c r="G90" s="203"/>
      <c r="H90" s="203"/>
      <c r="I90" s="204"/>
    </row>
    <row r="91" spans="1:9" ht="21" customHeight="1" x14ac:dyDescent="0.15">
      <c r="A91" s="4"/>
      <c r="B91" s="205"/>
      <c r="C91" s="206"/>
      <c r="D91" s="206"/>
      <c r="E91" s="206"/>
      <c r="F91" s="206"/>
      <c r="G91" s="206"/>
      <c r="H91" s="206"/>
      <c r="I91" s="20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9" t="s">
        <v>154</v>
      </c>
      <c r="C94" s="220"/>
      <c r="D94" s="220"/>
      <c r="E94" s="220"/>
      <c r="F94" s="220"/>
      <c r="G94" s="220"/>
      <c r="H94" s="220"/>
      <c r="I94" s="221"/>
    </row>
    <row r="95" spans="1:9" ht="18.75" customHeight="1" x14ac:dyDescent="0.15">
      <c r="A95" s="1"/>
      <c r="B95" s="222"/>
      <c r="C95" s="223"/>
      <c r="D95" s="223"/>
      <c r="E95" s="223"/>
      <c r="F95" s="223"/>
      <c r="G95" s="223"/>
      <c r="H95" s="223"/>
      <c r="I95" s="224"/>
    </row>
    <row r="96" spans="1:9" ht="18.75" customHeight="1" x14ac:dyDescent="0.15">
      <c r="A96" s="1"/>
      <c r="B96" s="222"/>
      <c r="C96" s="223"/>
      <c r="D96" s="223"/>
      <c r="E96" s="223"/>
      <c r="F96" s="223"/>
      <c r="G96" s="223"/>
      <c r="H96" s="223"/>
      <c r="I96" s="224"/>
    </row>
    <row r="97" spans="1:9" ht="18.75" customHeight="1" x14ac:dyDescent="0.15">
      <c r="A97" s="1"/>
      <c r="B97" s="222"/>
      <c r="C97" s="223"/>
      <c r="D97" s="223"/>
      <c r="E97" s="223"/>
      <c r="F97" s="223"/>
      <c r="G97" s="223"/>
      <c r="H97" s="223"/>
      <c r="I97" s="224"/>
    </row>
    <row r="98" spans="1:9" ht="18.75" customHeight="1" x14ac:dyDescent="0.15">
      <c r="A98" s="1"/>
      <c r="B98" s="222"/>
      <c r="C98" s="223"/>
      <c r="D98" s="223"/>
      <c r="E98" s="223"/>
      <c r="F98" s="223"/>
      <c r="G98" s="223"/>
      <c r="H98" s="223"/>
      <c r="I98" s="224"/>
    </row>
    <row r="99" spans="1:9" ht="18.75" customHeight="1" x14ac:dyDescent="0.15">
      <c r="A99" s="1"/>
      <c r="B99" s="222"/>
      <c r="C99" s="223"/>
      <c r="D99" s="223"/>
      <c r="E99" s="223"/>
      <c r="F99" s="223"/>
      <c r="G99" s="223"/>
      <c r="H99" s="223"/>
      <c r="I99" s="224"/>
    </row>
    <row r="100" spans="1:9" ht="18.75" customHeight="1" x14ac:dyDescent="0.15">
      <c r="A100" s="1"/>
      <c r="B100" s="222"/>
      <c r="C100" s="223"/>
      <c r="D100" s="223"/>
      <c r="E100" s="223"/>
      <c r="F100" s="223"/>
      <c r="G100" s="223"/>
      <c r="H100" s="223"/>
      <c r="I100" s="224"/>
    </row>
    <row r="101" spans="1:9" ht="18.75" customHeight="1" x14ac:dyDescent="0.15">
      <c r="A101" s="1"/>
      <c r="B101" s="222"/>
      <c r="C101" s="223"/>
      <c r="D101" s="223"/>
      <c r="E101" s="223"/>
      <c r="F101" s="223"/>
      <c r="G101" s="223"/>
      <c r="H101" s="223"/>
      <c r="I101" s="224"/>
    </row>
    <row r="102" spans="1:9" ht="18.75" customHeight="1" x14ac:dyDescent="0.15">
      <c r="A102" s="1"/>
      <c r="B102" s="222"/>
      <c r="C102" s="223"/>
      <c r="D102" s="223"/>
      <c r="E102" s="223"/>
      <c r="F102" s="223"/>
      <c r="G102" s="223"/>
      <c r="H102" s="223"/>
      <c r="I102" s="224"/>
    </row>
    <row r="103" spans="1:9" ht="18.75" customHeight="1" x14ac:dyDescent="0.15">
      <c r="A103" s="1"/>
      <c r="B103" s="222"/>
      <c r="C103" s="223"/>
      <c r="D103" s="223"/>
      <c r="E103" s="223"/>
      <c r="F103" s="223"/>
      <c r="G103" s="223"/>
      <c r="H103" s="223"/>
      <c r="I103" s="224"/>
    </row>
    <row r="104" spans="1:9" ht="18.75" customHeight="1" x14ac:dyDescent="0.15">
      <c r="A104" s="1"/>
      <c r="B104" s="222"/>
      <c r="C104" s="223"/>
      <c r="D104" s="223"/>
      <c r="E104" s="223"/>
      <c r="F104" s="223"/>
      <c r="G104" s="223"/>
      <c r="H104" s="223"/>
      <c r="I104" s="224"/>
    </row>
    <row r="105" spans="1:9" ht="18.75" customHeight="1" x14ac:dyDescent="0.15">
      <c r="A105" s="4"/>
      <c r="B105" s="225"/>
      <c r="C105" s="226"/>
      <c r="D105" s="226"/>
      <c r="E105" s="226"/>
      <c r="F105" s="226"/>
      <c r="G105" s="226"/>
      <c r="H105" s="226"/>
      <c r="I105" s="227"/>
    </row>
    <row r="106" spans="1:9" ht="7.5" customHeight="1" x14ac:dyDescent="0.15">
      <c r="A106" s="4"/>
      <c r="B106" s="4"/>
      <c r="C106" s="4"/>
      <c r="D106" s="4"/>
      <c r="E106" s="4"/>
      <c r="F106" s="4"/>
      <c r="G106" s="4"/>
      <c r="H106" s="4"/>
      <c r="I106" s="4"/>
    </row>
    <row r="107" spans="1:9" ht="18.75" customHeight="1" x14ac:dyDescent="0.15">
      <c r="A107" s="1" t="s">
        <v>30</v>
      </c>
      <c r="B107" s="228" t="s">
        <v>46</v>
      </c>
      <c r="C107" s="228"/>
      <c r="D107" s="228"/>
      <c r="E107" s="228"/>
      <c r="F107" s="228"/>
      <c r="G107" s="228"/>
      <c r="H107" s="228"/>
      <c r="I107" s="228"/>
    </row>
    <row r="108" spans="1:9" ht="18.75" customHeight="1" x14ac:dyDescent="0.15">
      <c r="A108" s="4"/>
      <c r="B108" s="219" t="s">
        <v>157</v>
      </c>
      <c r="C108" s="220"/>
      <c r="D108" s="220"/>
      <c r="E108" s="220"/>
      <c r="F108" s="220"/>
      <c r="G108" s="220"/>
      <c r="H108" s="220"/>
      <c r="I108" s="221"/>
    </row>
    <row r="109" spans="1:9" ht="18.75" customHeight="1" x14ac:dyDescent="0.15">
      <c r="A109" s="4"/>
      <c r="B109" s="222"/>
      <c r="C109" s="223"/>
      <c r="D109" s="223"/>
      <c r="E109" s="223"/>
      <c r="F109" s="223"/>
      <c r="G109" s="223"/>
      <c r="H109" s="223"/>
      <c r="I109" s="224"/>
    </row>
    <row r="110" spans="1:9" ht="18.75" customHeight="1" x14ac:dyDescent="0.15">
      <c r="A110" s="4"/>
      <c r="B110" s="222"/>
      <c r="C110" s="223"/>
      <c r="D110" s="223"/>
      <c r="E110" s="223"/>
      <c r="F110" s="223"/>
      <c r="G110" s="223"/>
      <c r="H110" s="223"/>
      <c r="I110" s="224"/>
    </row>
    <row r="111" spans="1:9" ht="18.75" customHeight="1" x14ac:dyDescent="0.15">
      <c r="A111" s="4"/>
      <c r="B111" s="222"/>
      <c r="C111" s="223"/>
      <c r="D111" s="223"/>
      <c r="E111" s="223"/>
      <c r="F111" s="223"/>
      <c r="G111" s="223"/>
      <c r="H111" s="223"/>
      <c r="I111" s="224"/>
    </row>
    <row r="112" spans="1:9" ht="18.75" customHeight="1" x14ac:dyDescent="0.15">
      <c r="A112" s="4"/>
      <c r="B112" s="222"/>
      <c r="C112" s="223"/>
      <c r="D112" s="223"/>
      <c r="E112" s="223"/>
      <c r="F112" s="223"/>
      <c r="G112" s="223"/>
      <c r="H112" s="223"/>
      <c r="I112" s="224"/>
    </row>
    <row r="113" spans="1:9" ht="18.75" customHeight="1" x14ac:dyDescent="0.15">
      <c r="A113" s="4"/>
      <c r="B113" s="222"/>
      <c r="C113" s="223"/>
      <c r="D113" s="223"/>
      <c r="E113" s="223"/>
      <c r="F113" s="223"/>
      <c r="G113" s="223"/>
      <c r="H113" s="223"/>
      <c r="I113" s="224"/>
    </row>
    <row r="114" spans="1:9" ht="18.75" customHeight="1" x14ac:dyDescent="0.15">
      <c r="A114" s="4"/>
      <c r="B114" s="222"/>
      <c r="C114" s="223"/>
      <c r="D114" s="223"/>
      <c r="E114" s="223"/>
      <c r="F114" s="223"/>
      <c r="G114" s="223"/>
      <c r="H114" s="223"/>
      <c r="I114" s="224"/>
    </row>
    <row r="115" spans="1:9" ht="18.75" customHeight="1" x14ac:dyDescent="0.15">
      <c r="A115" s="4"/>
      <c r="B115" s="222"/>
      <c r="C115" s="223"/>
      <c r="D115" s="223"/>
      <c r="E115" s="223"/>
      <c r="F115" s="223"/>
      <c r="G115" s="223"/>
      <c r="H115" s="223"/>
      <c r="I115" s="224"/>
    </row>
    <row r="116" spans="1:9" ht="18.75" customHeight="1" x14ac:dyDescent="0.15">
      <c r="A116" s="4"/>
      <c r="B116" s="222"/>
      <c r="C116" s="223"/>
      <c r="D116" s="223"/>
      <c r="E116" s="223"/>
      <c r="F116" s="223"/>
      <c r="G116" s="223"/>
      <c r="H116" s="223"/>
      <c r="I116" s="224"/>
    </row>
    <row r="117" spans="1:9" ht="18.75" customHeight="1" x14ac:dyDescent="0.15">
      <c r="A117" s="4"/>
      <c r="B117" s="222"/>
      <c r="C117" s="223"/>
      <c r="D117" s="223"/>
      <c r="E117" s="223"/>
      <c r="F117" s="223"/>
      <c r="G117" s="223"/>
      <c r="H117" s="223"/>
      <c r="I117" s="224"/>
    </row>
    <row r="118" spans="1:9" ht="18.75" customHeight="1" x14ac:dyDescent="0.15">
      <c r="A118" s="4"/>
      <c r="B118" s="222"/>
      <c r="C118" s="223"/>
      <c r="D118" s="223"/>
      <c r="E118" s="223"/>
      <c r="F118" s="223"/>
      <c r="G118" s="223"/>
      <c r="H118" s="223"/>
      <c r="I118" s="224"/>
    </row>
    <row r="119" spans="1:9" ht="18.75" customHeight="1" x14ac:dyDescent="0.15">
      <c r="A119" s="4"/>
      <c r="B119" s="225"/>
      <c r="C119" s="226"/>
      <c r="D119" s="226"/>
      <c r="E119" s="226"/>
      <c r="F119" s="226"/>
      <c r="G119" s="226"/>
      <c r="H119" s="226"/>
      <c r="I119" s="227"/>
    </row>
    <row r="120" spans="1:9" ht="7.5" customHeight="1" x14ac:dyDescent="0.15">
      <c r="A120" s="4"/>
      <c r="B120" s="41"/>
      <c r="C120" s="41"/>
      <c r="D120" s="41"/>
      <c r="E120" s="41"/>
      <c r="F120" s="41"/>
      <c r="G120" s="41"/>
      <c r="H120" s="41"/>
      <c r="I120" s="41"/>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2"/>
      <c r="B134" s="42"/>
      <c r="C134" s="42"/>
      <c r="D134" s="42"/>
      <c r="E134" s="42"/>
      <c r="F134" s="42"/>
      <c r="G134" s="42"/>
      <c r="H134" s="42"/>
      <c r="I134" s="42"/>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85" zoomScaleNormal="100" zoomScaleSheetLayoutView="85" workbookViewId="0">
      <selection activeCell="X15" sqref="X15"/>
    </sheetView>
  </sheetViews>
  <sheetFormatPr defaultColWidth="11.375" defaultRowHeight="22.5" customHeight="1" x14ac:dyDescent="0.15"/>
  <cols>
    <col min="1" max="3" width="2.625" style="1" customWidth="1"/>
    <col min="4" max="4" width="22.25" style="1" customWidth="1"/>
    <col min="5" max="5" width="30.625" style="1" customWidth="1"/>
    <col min="6" max="7" width="7.625" style="1" customWidth="1"/>
    <col min="8" max="9" width="30.625" style="1" customWidth="1"/>
    <col min="10" max="10" width="4.25" style="1" customWidth="1"/>
    <col min="11" max="16384" width="11.375" style="1"/>
  </cols>
  <sheetData>
    <row r="1" spans="1:9" ht="18.75" customHeight="1" x14ac:dyDescent="0.15">
      <c r="A1" s="1" t="s">
        <v>71</v>
      </c>
      <c r="I1" s="33" t="s">
        <v>105</v>
      </c>
    </row>
    <row r="2" spans="1:9" ht="18.75" customHeight="1" x14ac:dyDescent="0.15">
      <c r="H2" s="33" t="s">
        <v>109</v>
      </c>
      <c r="I2" s="32" t="str">
        <f>'様式１　プログラムを構成する授業科目'!C2</f>
        <v>東京家政大学</v>
      </c>
    </row>
    <row r="3" spans="1:9" ht="18.75" customHeight="1" x14ac:dyDescent="0.15">
      <c r="A3" s="112" t="s">
        <v>28</v>
      </c>
      <c r="B3" s="112"/>
      <c r="C3" s="112"/>
      <c r="D3" s="112"/>
      <c r="E3" s="112"/>
      <c r="F3" s="112"/>
      <c r="G3" s="112"/>
      <c r="H3" s="112"/>
      <c r="I3" s="112"/>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46" t="s">
        <v>140</v>
      </c>
      <c r="C6" s="274"/>
      <c r="D6" s="274"/>
      <c r="E6" s="274"/>
      <c r="F6" s="274"/>
      <c r="G6" s="274"/>
      <c r="H6" s="275"/>
      <c r="I6" s="3"/>
    </row>
    <row r="7" spans="1:9" ht="9" customHeight="1" x14ac:dyDescent="0.15">
      <c r="A7" s="5"/>
      <c r="B7" s="10"/>
      <c r="C7" s="10"/>
      <c r="D7" s="10"/>
      <c r="E7" s="10"/>
      <c r="F7" s="10"/>
      <c r="G7" s="10"/>
      <c r="H7" s="10"/>
      <c r="I7" s="3"/>
    </row>
    <row r="8" spans="1:9" ht="18.75" customHeight="1" x14ac:dyDescent="0.15">
      <c r="A8" s="5"/>
      <c r="B8" s="3"/>
      <c r="C8" s="3"/>
      <c r="D8" s="33" t="s">
        <v>43</v>
      </c>
      <c r="E8" s="34" t="s">
        <v>139</v>
      </c>
      <c r="F8" s="3"/>
      <c r="G8" s="33" t="s">
        <v>10</v>
      </c>
      <c r="H8" s="34" t="s">
        <v>142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43" t="s">
        <v>14</v>
      </c>
      <c r="C12" s="49"/>
      <c r="D12" s="44"/>
      <c r="E12" s="50"/>
      <c r="F12" s="50"/>
      <c r="G12" s="50"/>
      <c r="H12" s="50"/>
      <c r="I12" s="44"/>
    </row>
    <row r="13" spans="1:9" ht="147.75" customHeight="1" x14ac:dyDescent="0.15">
      <c r="B13" s="45"/>
      <c r="C13" s="257" t="s">
        <v>15</v>
      </c>
      <c r="D13" s="258"/>
      <c r="E13" s="270" t="s">
        <v>149</v>
      </c>
      <c r="F13" s="259"/>
      <c r="G13" s="259"/>
      <c r="H13" s="259"/>
      <c r="I13" s="260"/>
    </row>
    <row r="14" spans="1:9" ht="121.5" customHeight="1" x14ac:dyDescent="0.15">
      <c r="B14" s="45"/>
      <c r="C14" s="272" t="s">
        <v>16</v>
      </c>
      <c r="D14" s="273"/>
      <c r="E14" s="270" t="s">
        <v>144</v>
      </c>
      <c r="F14" s="259"/>
      <c r="G14" s="259"/>
      <c r="H14" s="259"/>
      <c r="I14" s="260"/>
    </row>
    <row r="15" spans="1:9" ht="123" customHeight="1" x14ac:dyDescent="0.15">
      <c r="B15" s="45"/>
      <c r="C15" s="257" t="s">
        <v>17</v>
      </c>
      <c r="D15" s="258"/>
      <c r="E15" s="270" t="s">
        <v>158</v>
      </c>
      <c r="F15" s="259"/>
      <c r="G15" s="259"/>
      <c r="H15" s="259"/>
      <c r="I15" s="260"/>
    </row>
    <row r="16" spans="1:9" ht="90.75" customHeight="1" x14ac:dyDescent="0.15">
      <c r="B16" s="45"/>
      <c r="C16" s="257" t="s">
        <v>18</v>
      </c>
      <c r="D16" s="258"/>
      <c r="E16" s="270" t="s">
        <v>150</v>
      </c>
      <c r="F16" s="259"/>
      <c r="G16" s="259"/>
      <c r="H16" s="259"/>
      <c r="I16" s="260"/>
    </row>
    <row r="17" spans="2:9" ht="117.75" customHeight="1" x14ac:dyDescent="0.15">
      <c r="B17" s="46"/>
      <c r="C17" s="261" t="s">
        <v>19</v>
      </c>
      <c r="D17" s="262"/>
      <c r="E17" s="271" t="s">
        <v>159</v>
      </c>
      <c r="F17" s="263"/>
      <c r="G17" s="263"/>
      <c r="H17" s="263"/>
      <c r="I17" s="264"/>
    </row>
    <row r="18" spans="2:9" ht="24" customHeight="1" x14ac:dyDescent="0.15">
      <c r="B18" s="43" t="s">
        <v>20</v>
      </c>
      <c r="C18" s="47"/>
      <c r="D18" s="48"/>
      <c r="E18" s="80"/>
      <c r="F18" s="80"/>
      <c r="G18" s="80"/>
      <c r="H18" s="80"/>
      <c r="I18" s="81"/>
    </row>
    <row r="19" spans="2:9" ht="115.5" customHeight="1" x14ac:dyDescent="0.15">
      <c r="B19" s="45"/>
      <c r="C19" s="257" t="s">
        <v>21</v>
      </c>
      <c r="D19" s="258"/>
      <c r="E19" s="259" t="s">
        <v>147</v>
      </c>
      <c r="F19" s="259"/>
      <c r="G19" s="259"/>
      <c r="H19" s="259"/>
      <c r="I19" s="260"/>
    </row>
    <row r="20" spans="2:9" ht="115.5" customHeight="1" x14ac:dyDescent="0.15">
      <c r="B20" s="46"/>
      <c r="C20" s="261" t="s">
        <v>22</v>
      </c>
      <c r="D20" s="262"/>
      <c r="E20" s="263" t="s">
        <v>151</v>
      </c>
      <c r="F20" s="263"/>
      <c r="G20" s="263"/>
      <c r="H20" s="263"/>
      <c r="I20" s="264"/>
    </row>
    <row r="21" spans="2:9" ht="180" customHeight="1" x14ac:dyDescent="0.15">
      <c r="B21" s="265" t="s">
        <v>23</v>
      </c>
      <c r="C21" s="266"/>
      <c r="D21" s="267"/>
      <c r="E21" s="268" t="s">
        <v>148</v>
      </c>
      <c r="F21" s="268"/>
      <c r="G21" s="268"/>
      <c r="H21" s="268"/>
      <c r="I21" s="269"/>
    </row>
    <row r="22" spans="2:9" ht="218.25" customHeight="1" x14ac:dyDescent="0.15">
      <c r="B22" s="252" t="s">
        <v>38</v>
      </c>
      <c r="C22" s="253"/>
      <c r="D22" s="254"/>
      <c r="E22" s="255" t="s">
        <v>155</v>
      </c>
      <c r="F22" s="255"/>
      <c r="G22" s="255"/>
      <c r="H22" s="255"/>
      <c r="I22" s="25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2023-07-18T05:20:00Z</cp:lastPrinted>
  <dcterms:created xsi:type="dcterms:W3CDTF">2011-06-14T05:32:50Z</dcterms:created>
  <dcterms:modified xsi:type="dcterms:W3CDTF">2023-07-18T06:08:11Z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