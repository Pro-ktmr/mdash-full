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defaultThemeVersion="124226"/>
  <mc:AlternateContent xmlns:mc="http://schemas.openxmlformats.org/markup-compatibility/2006">
    <mc:Choice Requires="x15">
      <x15ac:absPath xmlns:x15ac="http://schemas.microsoft.com/office/spreadsheetml/2010/11/ac" url="C:\Users\user\Desktop\0.　★2023年度申請用\★提出用\★再提出用データ（文科省への申請形式に整理）\★06再提出\"/>
    </mc:Choice>
  </mc:AlternateContent>
  <xr:revisionPtr revIDLastSave="0" documentId="13_ncr:1_{24F39086-41FD-4A33-8FA4-DF95E6994B25}" xr6:coauthVersionLast="36" xr6:coauthVersionMax="36" xr10:uidLastSave="{00000000-0000-0000-0000-000000000000}"/>
  <bookViews>
    <workbookView xWindow="0" yWindow="0" windowWidth="23040" windowHeight="8964"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F13" i="40" l="1"/>
  <c r="F12" i="40"/>
  <c r="H2" i="41" l="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AP13" i="40"/>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<sst xmlns="http://schemas.openxmlformats.org/spreadsheetml/2006/main" count="329" uniqueCount="182">
  <si>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</si>
  <si>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</si>
  <si>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</si>
  <si>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</si>
  <si>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</si>
  <si>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</si>
  <si>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</si>
  <si>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</si>
  <si>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</si>
  <si>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</si>
  <si>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</si>
  <si>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</si>
  <si>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</si>
  <si>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</si>
  <si>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</si>
  <si>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</si>
  <si>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</si>
  <si>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</si>
  <si>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</si>
  <si>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</si>
  <si>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</si>
  <si>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</si>
  <si>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</si>
  <si>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</si>
  <si>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</si>
  <si>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</si>
  <si>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</si>
  <si>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</si>
  <si>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</si>
  <si>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</si>
  <si>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</si>
  <si>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</si>
  <si>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</si>
  <si>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</si>
  <si>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</si>
  <si>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</si>
  <si>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</si>
  <si>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</si>
  <si>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</si>
  <si>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</si>
  <si>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</si>
  <si>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</si>
  <si>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</si>
  <si>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</si>
  <si>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</si>
  <si>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</si>
  <si>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</si>
  <si>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</si>
  <si>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</si>
  <si>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</si>
  <si>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</si>
  <si>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</si>
  <si>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</si>
  <si>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</si>
  <si>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</si>
  <si>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</si>
  <si>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</si>
  <si>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</si>
  <si>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</si>
  <si>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</si>
  <si>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</si>
  <si>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</si>
  <si>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</si>
  <si>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</si>
  <si>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</si>
  <si>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</si>
  <si>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</si>
  <si>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</si>
  <si>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</si>
  <si>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</si>
  <si>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</si>
  <si>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</si>
  <si>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</si>
  <si>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</si>
  <si>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</si>
  <si>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</si>
  <si>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</si>
  <si>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</si>
  <si>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</si>
  <si>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</si>
  <si>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</si>
  <si>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</si>
  <si>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</si>
  <si>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</si>
  <si>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</si>
  <si>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</si>
  <si>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</si>
  <si>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</si>
  <si>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</si>
  <si>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</si>
  <si>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</si>
  <si>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</si>
  <si>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</si>
  <si>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</si>
  <si>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</si>
  <si>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</si>
  <si>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</si>
  <si>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</si>
  <si>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</si>
  <si>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</si>
  <si>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</si>
  <si>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</si>
  <si>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</si>
  <si>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</si>
  <si>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</si>
  <si>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</si>
  <si>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</si>
  <si>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</si>
  <si>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</si>
  <si>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</si>
  <si>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</si>
  <si>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</si>
  <si>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</si>
  <si>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</si>
  <si>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</si>
  <si>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</si>
  <si>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</si>
  <si>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</si>
  <si>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</si>
  <si>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</si>
  <si>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</si>
  <si>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</si>
  <si>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</si>
  <si>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</si>
  <si>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</si>
  <si>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</si>
  <si>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データリテラシー</t>
    <phoneticPr fontId="1"/>
  </si>
  <si>
    <t>AI入門</t>
    <phoneticPr fontId="1"/>
  </si>
  <si>
    <t>情報処理Ⅰ</t>
    <phoneticPr fontId="1"/>
  </si>
  <si>
    <t>経営情報管理</t>
    <phoneticPr fontId="1"/>
  </si>
  <si>
    <t>○</t>
  </si>
  <si>
    <t>学部・学科によって、修了要件は相違しない</t>
  </si>
  <si>
    <t>高崎商科大学</t>
    <rPh sb="0" eb="2">
      <t>タカサキ</t>
    </rPh>
    <rPh sb="2" eb="4">
      <t>ショウカ</t>
    </rPh>
    <rPh sb="4" eb="6">
      <t>ダイガク</t>
    </rPh>
    <phoneticPr fontId="1"/>
  </si>
  <si>
    <t>TUC AI・データサイエンス教育プログラム</t>
    <phoneticPr fontId="1"/>
  </si>
  <si>
    <t>令和4</t>
    <rPh sb="0" eb="2">
      <t>レイワ</t>
    </rPh>
    <phoneticPr fontId="1"/>
  </si>
  <si>
    <t>築　雅之</t>
    <rPh sb="0" eb="1">
      <t>チク</t>
    </rPh>
    <rPh sb="2" eb="3">
      <t>マサ</t>
    </rPh>
    <rPh sb="3" eb="4">
      <t>ユキ</t>
    </rPh>
    <phoneticPr fontId="1"/>
  </si>
  <si>
    <t>データリテラシー</t>
    <phoneticPr fontId="1"/>
  </si>
  <si>
    <t>築　雅之</t>
    <phoneticPr fontId="1"/>
  </si>
  <si>
    <t>副学長</t>
    <rPh sb="0" eb="1">
      <t>フク</t>
    </rPh>
    <phoneticPr fontId="1"/>
  </si>
  <si>
    <t>副学長</t>
    <rPh sb="0" eb="1">
      <t>フク</t>
    </rPh>
    <rPh sb="1" eb="3">
      <t>ガクチョウ</t>
    </rPh>
    <phoneticPr fontId="1"/>
  </si>
  <si>
    <t xml:space="preserve">プログラムを構成する「基礎科目群（下記１）」２単位、「専門教育科目群（下記２～４）」６単位の合計８単位を取得すること。
基礎教育科目群：１．データリテラシー（2単位）
専門教育科目群：２．AI入門（2単位）、３．情報処理Ⅰ（2単位）、４．経営情報管理（2単位）
</t>
    <rPh sb="80" eb="82">
      <t>タンイ</t>
    </rPh>
    <phoneticPr fontId="1"/>
  </si>
  <si>
    <t>AI入門</t>
  </si>
  <si>
    <t>データリテラシー</t>
  </si>
  <si>
    <t>・AIの発達で、社会や人々の生活がどのように変化しているかを理解する能力
・データが社会や人々の生活でどのように活用されているかを理解する能力
・様々な業界におけるデータの活用事例を知ることができる
・セキュリティや倫理、コンプライアンスなどの留意事項を理解する能力
・データの活用を行うための基本的スキルを身に付けられる</t>
    <rPh sb="34" eb="36">
      <t>ノウリョク</t>
    </rPh>
    <rPh sb="69" eb="71">
      <t>ノウリョク</t>
    </rPh>
    <rPh sb="131" eb="133">
      <t>ノウリョク</t>
    </rPh>
    <phoneticPr fontId="1"/>
  </si>
  <si>
    <t>カリキュラム検討委員会・大学教務委員会</t>
    <rPh sb="6" eb="8">
      <t>ケントウ</t>
    </rPh>
    <rPh sb="8" eb="11">
      <t>イインカイ</t>
    </rPh>
    <rPh sb="12" eb="19">
      <t>ダイガクキョウムイインカイ</t>
    </rPh>
    <phoneticPr fontId="1"/>
  </si>
  <si>
    <t>本プログラムを中心とした関連科目の履修状況を分析、カリキュラム全体から本プログラム該当科目の登録状況の把握、調整を行った。より多くの学生が今後も本プログラムを履修できるような時間割となるよう、引き続き対応する。
修得状況については、授業評価アンケートより科目担当者が点検・評価を実施。さらに、その後、カリキュラム検討委員会で確認、次年度の授業への改善を図り、PDCAサイクルを行っている。なお、カリキュラム検討委員会の情報関連科目ワーキンググループにおいて、データサイエンスやAI等の情報を専門とする教員からの意見聴取を行い、本プログラムと本学DPとの接続性などの観点でも点検・評価を実施している。</t>
    <rPh sb="0" eb="1">
      <t>ホン</t>
    </rPh>
    <rPh sb="7" eb="9">
      <t>チュウシン</t>
    </rPh>
    <rPh sb="19" eb="21">
      <t>ジョウキョウ</t>
    </rPh>
    <rPh sb="35" eb="36">
      <t>ホン</t>
    </rPh>
    <rPh sb="41" eb="45">
      <t>ガイトウカモク</t>
    </rPh>
    <rPh sb="69" eb="71">
      <t>コンゴ</t>
    </rPh>
    <rPh sb="72" eb="73">
      <t>ホン</t>
    </rPh>
    <rPh sb="79" eb="81">
      <t>リシュウ</t>
    </rPh>
    <rPh sb="87" eb="90">
      <t>ジカンワリ</t>
    </rPh>
    <rPh sb="96" eb="97">
      <t>ヒ</t>
    </rPh>
    <rPh sb="98" eb="99">
      <t>ツヅ</t>
    </rPh>
    <rPh sb="100" eb="102">
      <t>タイオウ</t>
    </rPh>
    <rPh sb="106" eb="110">
      <t>シュウトクジョウキョウ</t>
    </rPh>
    <rPh sb="127" eb="132">
      <t>カモクタントウシャ</t>
    </rPh>
    <rPh sb="139" eb="141">
      <t>ジッシ</t>
    </rPh>
    <rPh sb="148" eb="149">
      <t>ゴ</t>
    </rPh>
    <rPh sb="156" eb="161">
      <t>ケントウイインカイ</t>
    </rPh>
    <rPh sb="173" eb="175">
      <t>カイゼン</t>
    </rPh>
    <rPh sb="176" eb="177">
      <t>ハカ</t>
    </rPh>
    <rPh sb="188" eb="189">
      <t>オコナ</t>
    </rPh>
    <rPh sb="203" eb="208">
      <t>ケントウイインカイ</t>
    </rPh>
    <rPh sb="209" eb="211">
      <t>ジョウホウ</t>
    </rPh>
    <rPh sb="211" eb="213">
      <t>カンレン</t>
    </rPh>
    <rPh sb="213" eb="215">
      <t>カモク</t>
    </rPh>
    <rPh sb="240" eb="241">
      <t>トウ</t>
    </rPh>
    <rPh sb="242" eb="244">
      <t>ジョウホウ</t>
    </rPh>
    <rPh sb="255" eb="257">
      <t>イケン</t>
    </rPh>
    <rPh sb="257" eb="259">
      <t>チョウシュ</t>
    </rPh>
    <rPh sb="260" eb="261">
      <t>オコナ</t>
    </rPh>
    <rPh sb="263" eb="264">
      <t>ホン</t>
    </rPh>
    <rPh sb="270" eb="272">
      <t>ホンガク</t>
    </rPh>
    <rPh sb="276" eb="278">
      <t>セツゾク</t>
    </rPh>
    <rPh sb="278" eb="279">
      <t>セイ</t>
    </rPh>
    <phoneticPr fontId="1"/>
  </si>
  <si>
    <t>本学では、以下の学修成果を達成できるようなプログラムにて実施している。
①AIの発達で社会や人々の生活がどのように変化しているかを理解する
②データが社会や人々の生活でどのように活用されているかを理解する
③様々な業界におけるデータの活用事例を知る
④セキュリティや倫理、コンプライアンスなどの留意事項を理解する
⑤データの活用を行うための基本的スキルを身に付ける
上記の達成度は、該当する科目における学期中のリポート、学期末の課題等での総合評価により把握が可能である。
また、本プログラム受講後、受講者が「本プログラムの発展系科目にも興味、関心を抱いたか」など、アンケート調査し、結果の推移を観察する予定である。</t>
    <rPh sb="1" eb="2">
      <t>ガク</t>
    </rPh>
    <rPh sb="5" eb="7">
      <t>イカ</t>
    </rPh>
    <rPh sb="8" eb="12">
      <t>ガクシュウセイカ</t>
    </rPh>
    <rPh sb="13" eb="15">
      <t>タッセイ</t>
    </rPh>
    <rPh sb="28" eb="30">
      <t>ジッシ</t>
    </rPh>
    <rPh sb="191" eb="193">
      <t>ガイトウ</t>
    </rPh>
    <rPh sb="195" eb="197">
      <t>カモク</t>
    </rPh>
    <rPh sb="229" eb="231">
      <t>カノウ</t>
    </rPh>
    <rPh sb="239" eb="240">
      <t>ホン</t>
    </rPh>
    <rPh sb="247" eb="248">
      <t>ゴ</t>
    </rPh>
    <rPh sb="249" eb="252">
      <t>ジュコウシャ</t>
    </rPh>
    <rPh sb="254" eb="255">
      <t>ホン</t>
    </rPh>
    <rPh sb="261" eb="263">
      <t>ハッテン</t>
    </rPh>
    <rPh sb="263" eb="264">
      <t>ケイ</t>
    </rPh>
    <rPh sb="268" eb="270">
      <t>キョウミ</t>
    </rPh>
    <rPh sb="274" eb="275">
      <t>イダ</t>
    </rPh>
    <phoneticPr fontId="1"/>
  </si>
  <si>
    <t>全学で実施している授業評価アンケートより、理解度を分析した。本プログラム科目に対するアンケートの有効回答数207件の内、「到達目標を達成（理解）できた」との質問に対して、「そう思う」が45件（21.7％）、「どちらかといえばそう思う」111件（53.6％）、「どちらかといえばそう思わない」8件（3.9％）、「そう思わない」1件（0.5％）であり、8割近くの学生が概ね授業内容を理解していると判断できる。
また、2割程度の理解不足の受講者については、質問の時間等設けるなど、授業運営において改善を行い、理解度の向上を図っていくこととした。</t>
    <rPh sb="0" eb="2">
      <t>ゼンガク</t>
    </rPh>
    <rPh sb="3" eb="5">
      <t>ジッシ</t>
    </rPh>
    <rPh sb="21" eb="24">
      <t>リカイド</t>
    </rPh>
    <rPh sb="30" eb="31">
      <t>ホン</t>
    </rPh>
    <rPh sb="61" eb="65">
      <t>トウタツモクヒョウ</t>
    </rPh>
    <rPh sb="66" eb="68">
      <t>タッセイ</t>
    </rPh>
    <rPh sb="69" eb="71">
      <t>リカイ</t>
    </rPh>
    <rPh sb="78" eb="80">
      <t>シツモン</t>
    </rPh>
    <rPh sb="81" eb="82">
      <t>タイ</t>
    </rPh>
    <rPh sb="88" eb="89">
      <t>オモ</t>
    </rPh>
    <rPh sb="114" eb="115">
      <t>オモ</t>
    </rPh>
    <rPh sb="140" eb="141">
      <t>オモ</t>
    </rPh>
    <rPh sb="157" eb="158">
      <t>オモ</t>
    </rPh>
    <rPh sb="175" eb="176">
      <t>ワリ</t>
    </rPh>
    <rPh sb="176" eb="177">
      <t>チカ</t>
    </rPh>
    <rPh sb="196" eb="198">
      <t>ハンダン</t>
    </rPh>
    <rPh sb="207" eb="208">
      <t>ワリ</t>
    </rPh>
    <rPh sb="208" eb="210">
      <t>テイド</t>
    </rPh>
    <rPh sb="211" eb="213">
      <t>リカイ</t>
    </rPh>
    <rPh sb="213" eb="215">
      <t>フソク</t>
    </rPh>
    <rPh sb="225" eb="227">
      <t>シツモン</t>
    </rPh>
    <rPh sb="228" eb="230">
      <t>ジカン</t>
    </rPh>
    <rPh sb="230" eb="231">
      <t>トウ</t>
    </rPh>
    <rPh sb="231" eb="232">
      <t>モウ</t>
    </rPh>
    <rPh sb="237" eb="239">
      <t>ジュギョウ</t>
    </rPh>
    <rPh sb="239" eb="241">
      <t>ウンエイ</t>
    </rPh>
    <rPh sb="245" eb="247">
      <t>カイゼン</t>
    </rPh>
    <rPh sb="248" eb="249">
      <t>オコナ</t>
    </rPh>
    <rPh sb="251" eb="254">
      <t>リカイド</t>
    </rPh>
    <rPh sb="255" eb="257">
      <t>コウジョウ</t>
    </rPh>
    <rPh sb="258" eb="259">
      <t>ハカ</t>
    </rPh>
    <phoneticPr fontId="1"/>
  </si>
  <si>
    <t>令和４年度より新カリキュラムを策定。そこで全学的なプログラムとして「TUC AI・データサイエンス教育プログラム」を新設。令和4年度では該当科目２科目を対面形式にて開講した。本プログラム１年目であり、該当学生は１年次のみであるが、必修科目を含めたプログラムであり、今年度該当科目はいずれも必修であったため、１年次履修率は１００％となる。しかし、プログラム受講登録者という観点では、まだ３割程度と低い状況であり、本プログラムの周知方法や広報における改善を図る。</t>
    <rPh sb="7" eb="8">
      <t>シン</t>
    </rPh>
    <rPh sb="15" eb="17">
      <t>サクテイ</t>
    </rPh>
    <rPh sb="21" eb="23">
      <t>ゼンガク</t>
    </rPh>
    <rPh sb="23" eb="24">
      <t>テキ</t>
    </rPh>
    <rPh sb="61" eb="63">
      <t>レイワ</t>
    </rPh>
    <rPh sb="64" eb="66">
      <t>ネンド</t>
    </rPh>
    <rPh sb="68" eb="72">
      <t>ガイトウカモク</t>
    </rPh>
    <rPh sb="73" eb="75">
      <t>カモク</t>
    </rPh>
    <rPh sb="87" eb="88">
      <t>ホン</t>
    </rPh>
    <rPh sb="94" eb="96">
      <t>ネンメ</t>
    </rPh>
    <rPh sb="100" eb="104">
      <t>ガイトウガクセイ</t>
    </rPh>
    <rPh sb="106" eb="108">
      <t>ネンジ</t>
    </rPh>
    <rPh sb="115" eb="117">
      <t>ヒッシュウ</t>
    </rPh>
    <rPh sb="117" eb="119">
      <t>カモク</t>
    </rPh>
    <rPh sb="120" eb="121">
      <t>フク</t>
    </rPh>
    <rPh sb="132" eb="135">
      <t>コンネンド</t>
    </rPh>
    <rPh sb="135" eb="137">
      <t>ガイトウ</t>
    </rPh>
    <rPh sb="137" eb="139">
      <t>カモク</t>
    </rPh>
    <rPh sb="144" eb="146">
      <t>ヒッシュウ</t>
    </rPh>
    <rPh sb="154" eb="156">
      <t>ネンジ</t>
    </rPh>
    <rPh sb="177" eb="179">
      <t>ジュコウ</t>
    </rPh>
    <rPh sb="179" eb="181">
      <t>トウロク</t>
    </rPh>
    <rPh sb="181" eb="182">
      <t>シャ</t>
    </rPh>
    <rPh sb="185" eb="187">
      <t>カンテン</t>
    </rPh>
    <rPh sb="193" eb="196">
      <t>ワリテイド</t>
    </rPh>
    <rPh sb="197" eb="198">
      <t>ヒク</t>
    </rPh>
    <rPh sb="199" eb="201">
      <t>ジョウキョウ</t>
    </rPh>
    <rPh sb="205" eb="206">
      <t>ホン</t>
    </rPh>
    <rPh sb="212" eb="214">
      <t>シュウチ</t>
    </rPh>
    <rPh sb="214" eb="216">
      <t>ホウホウ</t>
    </rPh>
    <rPh sb="226" eb="227">
      <t>ハカ</t>
    </rPh>
    <phoneticPr fontId="1"/>
  </si>
  <si>
    <t>築　雅之</t>
    <rPh sb="0" eb="1">
      <t>チク</t>
    </rPh>
    <rPh sb="2" eb="4">
      <t>マサユキ</t>
    </rPh>
    <phoneticPr fontId="1"/>
  </si>
  <si>
    <t>副学長</t>
    <rPh sb="0" eb="3">
      <t>フクガクチョウ</t>
    </rPh>
    <phoneticPr fontId="1"/>
  </si>
  <si>
    <t>カリキュラム検討委員会細則・大学教務委員会細則</t>
    <rPh sb="11" eb="13">
      <t>サイソク</t>
    </rPh>
    <rPh sb="21" eb="23">
      <t>サイソク</t>
    </rPh>
    <phoneticPr fontId="1"/>
  </si>
  <si>
    <t>高崎商科大学</t>
    <rPh sb="0" eb="6">
      <t>タカサキショウカダイガク</t>
    </rPh>
    <phoneticPr fontId="1"/>
  </si>
  <si>
    <t>4‐4時系列データ解析</t>
  </si>
  <si>
    <t>4‐6画像解析</t>
  </si>
  <si>
    <t>カリキュラム検討委員会</t>
    <rPh sb="6" eb="11">
      <t>ケントウイインカイ</t>
    </rPh>
    <phoneticPr fontId="1"/>
  </si>
  <si>
    <t>　カリキュラム検討委員会については、本プログラムのカリキュラム内容の精査や教育の質向上の観点からの再検証を協議・実行するための体制と位置づける。
　大学教務委員会については、オリエンテーションなどの履修者数向上のための仕組みづくりや該当科目の認定単位を踏まえたプログラム履修認定の審査を行うこととする。</t>
    <rPh sb="18" eb="19">
      <t>ホン</t>
    </rPh>
    <rPh sb="31" eb="33">
      <t>ナイヨウ</t>
    </rPh>
    <rPh sb="34" eb="36">
      <t>セイサ</t>
    </rPh>
    <rPh sb="41" eb="43">
      <t>コウジョウ</t>
    </rPh>
    <rPh sb="44" eb="46">
      <t>カンテン</t>
    </rPh>
    <rPh sb="53" eb="55">
      <t>キョウギ</t>
    </rPh>
    <rPh sb="56" eb="58">
      <t>ジッコウ</t>
    </rPh>
    <rPh sb="63" eb="65">
      <t>タイセイ</t>
    </rPh>
    <rPh sb="66" eb="68">
      <t>イチ</t>
    </rPh>
    <rPh sb="116" eb="120">
      <t>ガイトウカモク</t>
    </rPh>
    <rPh sb="121" eb="125">
      <t>ニンテイタンイ</t>
    </rPh>
    <rPh sb="126" eb="127">
      <t>フ</t>
    </rPh>
    <rPh sb="135" eb="137">
      <t>リシュウ</t>
    </rPh>
    <rPh sb="137" eb="139">
      <t>ニンテイ</t>
    </rPh>
    <rPh sb="140" eb="142">
      <t>シンサ</t>
    </rPh>
    <rPh sb="143" eb="144">
      <t>オコナ</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</si>
  <si>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</si>
  <si>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 xml:space="preserve">本プログラムを構成する4科目のうち、2科目は全学必修としており、他2科目については、全学の選択科目としている。また、選択科目について、「情報コース」選択者の卒業要件にも紐づいているため、履修学生の増加を見込んでいる。
なお、令和4年度より現行カリキュラムが適用になっているが、今後のカリキュラムの見直しの際には全学必修を予定としたい。
その他、令和4年度より、対象学生全体に向けた履修ガイダンスや学内Webサイト等で広く学生に周知を行っている。
さらに、令和5年度より、プログラムの申請手続きを緩和し、修了要件を満たしている（必要科目の単位を修得している）場合は、プログラム修了として認定することで、より多くの学生に対して、数理・データサイエンス・AIに関する教育を実施することとする。また、「修了証」の発行および「ディプロマサプリメント」への記載により、第三者に対して当該プログラム修了の事実を明示することが可能となる。
</t>
    <rPh sb="0" eb="1">
      <t>ホン</t>
    </rPh>
    <rPh sb="7" eb="9">
      <t>コウセイ</t>
    </rPh>
    <rPh sb="12" eb="14">
      <t>カモク</t>
    </rPh>
    <rPh sb="19" eb="21">
      <t>カモク</t>
    </rPh>
    <rPh sb="22" eb="24">
      <t>ゼンガク</t>
    </rPh>
    <rPh sb="24" eb="26">
      <t>ヒッシュウ</t>
    </rPh>
    <rPh sb="32" eb="33">
      <t>ホカ</t>
    </rPh>
    <rPh sb="34" eb="36">
      <t>カモク</t>
    </rPh>
    <rPh sb="42" eb="44">
      <t>ゼンガク</t>
    </rPh>
    <rPh sb="45" eb="47">
      <t>センタク</t>
    </rPh>
    <rPh sb="47" eb="49">
      <t>カモク</t>
    </rPh>
    <rPh sb="58" eb="62">
      <t>センタクカモク</t>
    </rPh>
    <rPh sb="68" eb="70">
      <t>ジョウホウ</t>
    </rPh>
    <rPh sb="74" eb="77">
      <t>センタクシャ</t>
    </rPh>
    <rPh sb="78" eb="80">
      <t>ソツギョウ</t>
    </rPh>
    <rPh sb="80" eb="82">
      <t>ヨウケン</t>
    </rPh>
    <rPh sb="84" eb="85">
      <t>ヒモ</t>
    </rPh>
    <rPh sb="93" eb="97">
      <t>リシュウガクセイ</t>
    </rPh>
    <rPh sb="98" eb="100">
      <t>ゾウカ</t>
    </rPh>
    <rPh sb="101" eb="103">
      <t>ミコ</t>
    </rPh>
    <rPh sb="112" eb="114">
      <t>レイワ</t>
    </rPh>
    <rPh sb="115" eb="117">
      <t>ネンド</t>
    </rPh>
    <rPh sb="119" eb="121">
      <t>ゲンコウ</t>
    </rPh>
    <rPh sb="128" eb="130">
      <t>テキヨウ</t>
    </rPh>
    <rPh sb="138" eb="140">
      <t>コンゴ</t>
    </rPh>
    <rPh sb="148" eb="150">
      <t>ミナオ</t>
    </rPh>
    <rPh sb="152" eb="153">
      <t>サイ</t>
    </rPh>
    <rPh sb="155" eb="159">
      <t>ゼンガクヒッシュウ</t>
    </rPh>
    <rPh sb="160" eb="162">
      <t>ヨテイ</t>
    </rPh>
    <rPh sb="170" eb="171">
      <t>ホカ</t>
    </rPh>
    <rPh sb="180" eb="184">
      <t>タイショウガクセイ</t>
    </rPh>
    <rPh sb="184" eb="186">
      <t>ゼンタイ</t>
    </rPh>
    <rPh sb="187" eb="188">
      <t>ム</t>
    </rPh>
    <rPh sb="198" eb="200">
      <t>ガクナイ</t>
    </rPh>
    <rPh sb="208" eb="209">
      <t>ヒロ</t>
    </rPh>
    <rPh sb="213" eb="215">
      <t>シュウチ</t>
    </rPh>
    <rPh sb="216" eb="217">
      <t>オコナ</t>
    </rPh>
    <rPh sb="247" eb="249">
      <t>カンワ</t>
    </rPh>
    <rPh sb="352" eb="354">
      <t>ハッコウ</t>
    </rPh>
    <rPh sb="372" eb="374">
      <t>キサイ</t>
    </rPh>
    <rPh sb="378" eb="379">
      <t>ダイ</t>
    </rPh>
    <rPh sb="379" eb="381">
      <t>サンシャ</t>
    </rPh>
    <rPh sb="382" eb="383">
      <t>タイ</t>
    </rPh>
    <rPh sb="385" eb="387">
      <t>トウガイ</t>
    </rPh>
    <rPh sb="392" eb="394">
      <t>シュウリョウ</t>
    </rPh>
    <rPh sb="395" eb="397">
      <t>ジジツ</t>
    </rPh>
    <rPh sb="398" eb="400">
      <t>メイジ</t>
    </rPh>
    <rPh sb="405" eb="407">
      <t>カノウ</t>
    </rPh>
    <phoneticPr fontId="1"/>
  </si>
  <si>
    <t xml:space="preserve">プログラムを構成する授業科目全てを全学における開講科目としており、学科に関係なく受講が可能な体制を取っている。
また、プログラムを構成する授業科目全てを修得すると「修了証」が発行される旨をガイダンス・オリエンテーションや学内Webポータルサイトを通じて、学生に周知を行い、受講促進を行っている。
</t>
    <rPh sb="10" eb="12">
      <t>ジュギョウ</t>
    </rPh>
    <rPh sb="12" eb="14">
      <t>カモク</t>
    </rPh>
    <rPh sb="14" eb="15">
      <t>スベ</t>
    </rPh>
    <rPh sb="17" eb="19">
      <t>ゼンガク</t>
    </rPh>
    <rPh sb="36" eb="38">
      <t>カンケイ</t>
    </rPh>
    <rPh sb="49" eb="50">
      <t>ト</t>
    </rPh>
    <rPh sb="65" eb="67">
      <t>コウセイ</t>
    </rPh>
    <rPh sb="69" eb="71">
      <t>ジュギョウ</t>
    </rPh>
    <rPh sb="71" eb="73">
      <t>カモク</t>
    </rPh>
    <rPh sb="73" eb="74">
      <t>スベ</t>
    </rPh>
    <rPh sb="76" eb="78">
      <t>シュウトク</t>
    </rPh>
    <rPh sb="82" eb="84">
      <t>シュウリョウ</t>
    </rPh>
    <rPh sb="84" eb="85">
      <t>ショウ</t>
    </rPh>
    <rPh sb="87" eb="89">
      <t>ハッコウ</t>
    </rPh>
    <rPh sb="92" eb="93">
      <t>ムネ</t>
    </rPh>
    <rPh sb="110" eb="112">
      <t>ガクナイ</t>
    </rPh>
    <rPh sb="123" eb="124">
      <t>ツウ</t>
    </rPh>
    <rPh sb="127" eb="129">
      <t>ガクセイ</t>
    </rPh>
    <rPh sb="130" eb="132">
      <t>シュウチ</t>
    </rPh>
    <rPh sb="133" eb="134">
      <t>オコナ</t>
    </rPh>
    <rPh sb="136" eb="138">
      <t>ジュコウ</t>
    </rPh>
    <rPh sb="138" eb="140">
      <t>ソクシン</t>
    </rPh>
    <rPh sb="141" eb="142">
      <t>オコナ</t>
    </rPh>
    <phoneticPr fontId="1"/>
  </si>
  <si>
    <t>プログラムの概要・特徴や修得できる能力・スキルについて、対象学生全体に向けた履修ガイダンスや学内Webポータルサイト等で周知することで、学生が情報を受け取りやすい環境を整備している。また、新入生のオリエンテーション内でも当該プログラムに関する各種案内を全員に配布しており、当該プログラムの有効性等について周知を行っている。
その他、該当科目についてはシラバスや時間割で当該プログラム対象科目であることを明示して履修の便宜を図っている。</t>
    <rPh sb="12" eb="14">
      <t>シュウトク</t>
    </rPh>
    <rPh sb="60" eb="62">
      <t>シュウチ</t>
    </rPh>
    <rPh sb="68" eb="70">
      <t>ガクセイ</t>
    </rPh>
    <rPh sb="71" eb="73">
      <t>ジョウホウ</t>
    </rPh>
    <rPh sb="74" eb="75">
      <t>ウ</t>
    </rPh>
    <rPh sb="76" eb="77">
      <t>ト</t>
    </rPh>
    <rPh sb="81" eb="83">
      <t>カンキョウ</t>
    </rPh>
    <rPh sb="84" eb="86">
      <t>セイビ</t>
    </rPh>
    <rPh sb="94" eb="97">
      <t>シンニュウセイ</t>
    </rPh>
    <rPh sb="107" eb="108">
      <t>ナイ</t>
    </rPh>
    <rPh sb="110" eb="112">
      <t>トウガイ</t>
    </rPh>
    <rPh sb="118" eb="119">
      <t>カン</t>
    </rPh>
    <rPh sb="121" eb="125">
      <t>カクシュアンナイ</t>
    </rPh>
    <rPh sb="126" eb="128">
      <t>ゼンイン</t>
    </rPh>
    <rPh sb="129" eb="131">
      <t>ハイフ</t>
    </rPh>
    <rPh sb="136" eb="138">
      <t>トウガイ</t>
    </rPh>
    <rPh sb="164" eb="165">
      <t>ホカ</t>
    </rPh>
    <rPh sb="166" eb="168">
      <t>ガイトウ</t>
    </rPh>
    <rPh sb="168" eb="170">
      <t>カモク</t>
    </rPh>
    <rPh sb="180" eb="183">
      <t>ジカンワリ</t>
    </rPh>
    <rPh sb="184" eb="186">
      <t>トウガイ</t>
    </rPh>
    <rPh sb="191" eb="193">
      <t>タイショウ</t>
    </rPh>
    <rPh sb="193" eb="195">
      <t>カモク</t>
    </rPh>
    <rPh sb="201" eb="203">
      <t>メイジ</t>
    </rPh>
    <rPh sb="205" eb="207">
      <t>リシュウ</t>
    </rPh>
    <rPh sb="208" eb="210">
      <t>ベンギ</t>
    </rPh>
    <rPh sb="211" eb="212">
      <t>ハカ</t>
    </rPh>
    <phoneticPr fontId="1"/>
  </si>
  <si>
    <t>無償のパソコンやタブレット貸与を実施している他、学内のWi－Fiポイントの増設やパソコン教室を設けて学修環境の充実に努めている。また、定期的に履修相談に応じられる体制を整備している。
その他、プログラム対象科目の担当専任教員4名を含む情報科目担当専任教員全6名が学生の各種相談に応じられる体制を整えている。</t>
    <rPh sb="22" eb="23">
      <t>ホカ</t>
    </rPh>
    <rPh sb="24" eb="26">
      <t>ガクナイ</t>
    </rPh>
    <rPh sb="37" eb="39">
      <t>ゾウセツ</t>
    </rPh>
    <rPh sb="50" eb="52">
      <t>ガクシュウ</t>
    </rPh>
    <rPh sb="67" eb="70">
      <t>テイキテキ</t>
    </rPh>
    <rPh sb="71" eb="75">
      <t>リシュウソウダン</t>
    </rPh>
    <rPh sb="76" eb="77">
      <t>オウ</t>
    </rPh>
    <rPh sb="81" eb="83">
      <t>タイセイ</t>
    </rPh>
    <rPh sb="84" eb="86">
      <t>セイビ</t>
    </rPh>
    <rPh sb="94" eb="95">
      <t>ホカ</t>
    </rPh>
    <rPh sb="101" eb="105">
      <t>タイショウカモク</t>
    </rPh>
    <rPh sb="106" eb="108">
      <t>タントウ</t>
    </rPh>
    <rPh sb="108" eb="110">
      <t>センニン</t>
    </rPh>
    <rPh sb="110" eb="112">
      <t>キョウイン</t>
    </rPh>
    <rPh sb="113" eb="114">
      <t>メイ</t>
    </rPh>
    <rPh sb="115" eb="116">
      <t>フク</t>
    </rPh>
    <rPh sb="117" eb="119">
      <t>ジョウホウ</t>
    </rPh>
    <rPh sb="119" eb="121">
      <t>カモク</t>
    </rPh>
    <rPh sb="127" eb="128">
      <t>ゼン</t>
    </rPh>
    <rPh sb="129" eb="130">
      <t>メイ</t>
    </rPh>
    <rPh sb="131" eb="133">
      <t>ガクセイ</t>
    </rPh>
    <rPh sb="134" eb="136">
      <t>カクシュ</t>
    </rPh>
    <rPh sb="136" eb="138">
      <t>ソウダン</t>
    </rPh>
    <rPh sb="139" eb="140">
      <t>オウ</t>
    </rPh>
    <rPh sb="144" eb="146">
      <t>タイセイ</t>
    </rPh>
    <rPh sb="147" eb="148">
      <t>トトノ</t>
    </rPh>
    <phoneticPr fontId="1"/>
  </si>
  <si>
    <t>授業時間内外関係なく、授業担当教員へ質問できる学内専用の教育用SNSシステムを使用し、履修者からの質問や問い合わせに随時対応をしている。
また、オフィスアワー制度の活用、学内Webポータルシステムを活用し、随時質問を受けられる体制を整備している。</t>
    <rPh sb="0" eb="2">
      <t>ジュギョウ</t>
    </rPh>
    <rPh sb="2" eb="4">
      <t>ジカン</t>
    </rPh>
    <rPh sb="4" eb="5">
      <t>ナイ</t>
    </rPh>
    <rPh sb="5" eb="6">
      <t>ガイ</t>
    </rPh>
    <rPh sb="6" eb="8">
      <t>カンケイ</t>
    </rPh>
    <rPh sb="28" eb="31">
      <t>キョウイクヨウ</t>
    </rPh>
    <rPh sb="39" eb="41">
      <t>シヨウ</t>
    </rPh>
    <rPh sb="58" eb="60">
      <t>ズイジ</t>
    </rPh>
    <rPh sb="79" eb="81">
      <t>セイド</t>
    </rPh>
    <rPh sb="82" eb="84">
      <t>カツヨウ</t>
    </rPh>
    <rPh sb="85" eb="87">
      <t>ガクナイ</t>
    </rPh>
    <rPh sb="99" eb="101">
      <t>カツヨウ</t>
    </rPh>
    <rPh sb="103" eb="105">
      <t>ズイジ</t>
    </rPh>
    <rPh sb="105" eb="107">
      <t>シツモン</t>
    </rPh>
    <rPh sb="108" eb="109">
      <t>ウ</t>
    </rPh>
    <rPh sb="113" eb="115">
      <t>タイセイ</t>
    </rPh>
    <rPh sb="116" eb="118">
      <t>セイビ</t>
    </rPh>
    <phoneticPr fontId="1"/>
  </si>
  <si>
    <t>受講生のプログラム対象科目への授業評価アンケートにおいての学生コメントより、もっと深い知識を学びたい等、有意義である旨の意見が多数あり、本プログラム未受講者（後輩等）への推奨度は高いといえる。しかし、さらなる深い知識という意見の一方、パソコンをもっと使用した実践的な授業を求める声も挙がっており、今後、検討し改善する予定である。
今後は本プログラムに該当する科目の独自アンケートも行い、継続的でかつ有効なデータ収集と分析を行う予定である。</t>
    <rPh sb="0" eb="2">
      <t>ジュコウ</t>
    </rPh>
    <rPh sb="9" eb="13">
      <t>タイショウカモク</t>
    </rPh>
    <rPh sb="41" eb="42">
      <t>フカ</t>
    </rPh>
    <rPh sb="43" eb="45">
      <t>チシキ</t>
    </rPh>
    <rPh sb="46" eb="47">
      <t>マナ</t>
    </rPh>
    <rPh sb="50" eb="51">
      <t>トウ</t>
    </rPh>
    <rPh sb="52" eb="55">
      <t>ユウイギ</t>
    </rPh>
    <rPh sb="58" eb="59">
      <t>ムネ</t>
    </rPh>
    <rPh sb="60" eb="62">
      <t>イケン</t>
    </rPh>
    <rPh sb="68" eb="69">
      <t>ホン</t>
    </rPh>
    <rPh sb="74" eb="78">
      <t>ミジュコウシャ</t>
    </rPh>
    <rPh sb="79" eb="81">
      <t>コウハイ</t>
    </rPh>
    <rPh sb="81" eb="82">
      <t>トウ</t>
    </rPh>
    <rPh sb="104" eb="105">
      <t>フカ</t>
    </rPh>
    <rPh sb="106" eb="108">
      <t>チシキ</t>
    </rPh>
    <rPh sb="111" eb="113">
      <t>イケン</t>
    </rPh>
    <rPh sb="114" eb="116">
      <t>イッポウ</t>
    </rPh>
    <rPh sb="125" eb="127">
      <t>シヨウ</t>
    </rPh>
    <rPh sb="129" eb="131">
      <t>ジッセン</t>
    </rPh>
    <rPh sb="131" eb="132">
      <t>テキ</t>
    </rPh>
    <rPh sb="133" eb="135">
      <t>ジュギョウ</t>
    </rPh>
    <rPh sb="136" eb="137">
      <t>モト</t>
    </rPh>
    <rPh sb="139" eb="140">
      <t>コエ</t>
    </rPh>
    <rPh sb="141" eb="142">
      <t>ア</t>
    </rPh>
    <rPh sb="168" eb="169">
      <t>ホン</t>
    </rPh>
    <rPh sb="175" eb="177">
      <t>ガイトウ</t>
    </rPh>
    <rPh sb="179" eb="181">
      <t>カモク</t>
    </rPh>
    <rPh sb="182" eb="184">
      <t>ドクジ</t>
    </rPh>
    <rPh sb="199" eb="201">
      <t>ユウコウ</t>
    </rPh>
    <phoneticPr fontId="1"/>
  </si>
  <si>
    <t>【カリキュラム検討委員会】
①委員長 副学長　築雅之　➁商学部　経営学科長　准教授　田中敬幸
③商学部　会計学科長　教授　豊田正明　④商学部　教授　渡邉美代子
⑤商学部　教授　佐々木正仁　⑥商学部　准教授　萩原豪
⑦学長補佐　森本圭祐　⑧事務局　課長補佐　遠藤康生
⑨事務局　課長補佐　青木準　⑩事務局　係長　内山淳
⑪事務局　係長　迫田千嘉⑫事務局　係長　登坂駿
【大学教務委員会】
①委員長　経営学科長　准教授　田中敬幸　➁商学部　会計学科長　教授　豊田正明
③商学部　教授　工藤幸一　④商学部　准教授　松元一明
⑤事務局　課長補佐　遠藤康生　⑥事務局　課長補佐　羽鳥広平
⑦事務局　主任　宮寺和也　⑧事務局　主任　須川和美
⑨事務局　係員　進藤彩絵　⑩事務局　係員　長谷川智紀</t>
    <rPh sb="38" eb="39">
      <t>ジュン</t>
    </rPh>
    <rPh sb="160" eb="163">
      <t>ジムキョク</t>
    </rPh>
    <rPh sb="164" eb="166">
      <t>カカリチョウ</t>
    </rPh>
    <rPh sb="167" eb="169">
      <t>サコダ</t>
    </rPh>
    <rPh sb="169" eb="170">
      <t>セン</t>
    </rPh>
    <rPh sb="170" eb="171">
      <t>カ</t>
    </rPh>
    <phoneticPr fontId="1"/>
  </si>
  <si>
    <t>本プログラムは2022年度の入学生より設置されており、まだ修了者は出ていない状況である。本学において情報通信業を希望する学生は一定数おり、2022年度就職実績では全体の5％となっている。特に経営学科においては、モデルコースとして情報コースが設けられており、データサイエンスの知識を活かせる職種を希望する学生も少なくない。しかしながら情報通信業における本学の認知度はまだ低い。そこで、当該プログラムを修得したことがデータサイエンスやAIに関する基礎的知識とスキルを身に付けているひとつの指標として企業へのアピール材料となり、Society5.0社会のビジネス現場において、学生が活躍していくことが期待される。</t>
    <phoneticPr fontId="1"/>
  </si>
  <si>
    <t>2023年度1月に行われた外部評価委員会（産業界、自治体等の有識者で構成）では、本学の情報系分野における専門教育科目でもあり、当該教育プログラムの必修・および選択科目とされている「情報処理」「AI入門」「Adobeクリエイティブデザイン」「WEBデザイン」などの科目について意見交換を行った。その際、教育プログラムに落し込みながら学修できることに対して高い評価をいただいた。さらに外部評価委員会の委員を務める産業界の方々に本教育プログラムについて意見を求め、同プログラムを受講し、知識を身に付けた学生であれば、社会や企業からのニーズも高まり、働く際に即戦力となる得るだろうとの評価も頂いている。</t>
    <rPh sb="148" eb="149">
      <t>サイ</t>
    </rPh>
    <phoneticPr fontId="1"/>
  </si>
  <si>
    <t>当該教育プログラムの必修科目「データリテラシー」は、全1年生の必修科目として配置。データを読み、使い、分析する力がSociety5.0社会のビジネス現場においていかに重要か、学ぶ意義、データ利活用の可能性についても学習している。また「AI入門」ではデジタルトランスフォーメーション（DX）戦略の中で、ビジネス分野において幅広く普及が進む人工知能（AI）について、具体的なケーススタディを通じて理解を深めている。Pythonによる本格的なAIの実装を含む演習を行い、AIを作り実際に動かしてみるため、プログラミング未体験者にも分かりやすく楽しく学ぶことができる。その他、各講義においても、データサイエンスを学ぶ楽しさと意義を理解させる工夫を行っている。</t>
    <phoneticPr fontId="1"/>
  </si>
  <si>
    <t>学生に対して「授業評価アンケート」を各学期末に実施している。同教育プログラムの対象科目全てにおいて授業アンケートを行っており、学生の満足度、授業の分かりやすさ、改善点などの把握に努めている。さらに、授業評価アンケート結果について、科目担当者が点検・評価を行うことで、授業の「分かりやすさ」、授業内容・水準が学生に適切であるかどうか教育の質向上に向けた改善を行っている。令和5年度はさらにカリキュラム検討委員会にて、同教育プログラムの評価と改善について見直しを行うとともに、質の向上に取り組む予定である。</t>
    <phoneticPr fontId="1"/>
  </si>
  <si>
    <r>
      <rPr>
        <b/>
        <sz val="12"/>
        <rFont val="ＭＳ Ｐゴシック"/>
        <family val="3"/>
        <charset val="128"/>
        <scheme val="minor"/>
      </rPr>
      <t>【「経営情報管理」＃12：AIソフトをビジネス課題の解決、未来予測に活用する】</t>
    </r>
    <r>
      <rPr>
        <sz val="12"/>
        <rFont val="ＭＳ Ｐゴシック"/>
        <family val="3"/>
        <charset val="128"/>
        <scheme val="minor"/>
      </rPr>
      <t xml:space="preserve">データ・AI活用領域の広がり、販売、マーケティング
</t>
    </r>
    <r>
      <rPr>
        <b/>
        <sz val="12"/>
        <rFont val="ＭＳ Ｐゴシック"/>
        <family val="3"/>
        <charset val="128"/>
        <scheme val="minor"/>
      </rPr>
      <t>【「経営情報管理」＃14：経営情報管理とAI (4) AI導入の企画案、設計・運用・管理・統制】</t>
    </r>
    <r>
      <rPr>
        <sz val="12"/>
        <rFont val="ＭＳ Ｐゴシック"/>
        <family val="3"/>
        <charset val="128"/>
        <scheme val="minor"/>
      </rPr>
      <t xml:space="preserve">計画策定、判断支援
</t>
    </r>
    <r>
      <rPr>
        <b/>
        <sz val="12"/>
        <rFont val="ＭＳ Ｐゴシック"/>
        <family val="3"/>
        <charset val="128"/>
        <scheme val="minor"/>
      </rPr>
      <t>【「AI入門」＃3：AIの事例紹介】</t>
    </r>
    <r>
      <rPr>
        <sz val="12"/>
        <rFont val="ＭＳ Ｐゴシック"/>
        <family val="3"/>
        <charset val="128"/>
        <scheme val="minor"/>
      </rPr>
      <t>仮説検証、知識発見、原因究明</t>
    </r>
    <phoneticPr fontId="1"/>
  </si>
  <si>
    <r>
      <rPr>
        <b/>
        <sz val="12"/>
        <rFont val="ＭＳ Ｐゴシック"/>
        <family val="3"/>
        <charset val="128"/>
        <scheme val="minor"/>
      </rPr>
      <t>【「AI入門」＃1：イントロダクション、様々なAI】</t>
    </r>
    <r>
      <rPr>
        <sz val="12"/>
        <rFont val="ＭＳ Ｐゴシック"/>
        <family val="3"/>
        <charset val="128"/>
        <scheme val="minor"/>
      </rPr>
      <t>特化型AIと汎用AI、今のAIで出来ることと出来ないこと、AIとビッグデータ</t>
    </r>
    <r>
      <rPr>
        <b/>
        <sz val="12"/>
        <rFont val="ＭＳ Ｐゴシック"/>
        <family val="3"/>
        <charset val="128"/>
        <scheme val="minor"/>
      </rPr>
      <t>【「AI入門」＃3：AIの事例紹介】</t>
    </r>
    <r>
      <rPr>
        <sz val="12"/>
        <rFont val="ＭＳ Ｐゴシック"/>
        <family val="3"/>
        <charset val="128"/>
        <scheme val="minor"/>
      </rPr>
      <t>データ解析、グルーピング、パターン発見</t>
    </r>
    <r>
      <rPr>
        <b/>
        <sz val="12"/>
        <rFont val="ＭＳ Ｐゴシック"/>
        <family val="3"/>
        <charset val="128"/>
        <scheme val="minor"/>
      </rPr>
      <t>【「AI入門」＃12：AI開発実習6: 画像データ認識】</t>
    </r>
    <r>
      <rPr>
        <sz val="12"/>
        <rFont val="ＭＳ Ｐゴシック"/>
        <family val="3"/>
        <charset val="128"/>
        <scheme val="minor"/>
      </rPr>
      <t xml:space="preserve">非構造化データ処理、画像処理
</t>
    </r>
    <r>
      <rPr>
        <b/>
        <sz val="12"/>
        <rFont val="ＭＳ Ｐゴシック"/>
        <family val="3"/>
        <charset val="128"/>
        <scheme val="minor"/>
      </rPr>
      <t>【「データリテラシー」＃5：データから予測する】</t>
    </r>
    <r>
      <rPr>
        <sz val="12"/>
        <rFont val="ＭＳ Ｐゴシック"/>
        <family val="3"/>
        <charset val="128"/>
        <scheme val="minor"/>
      </rPr>
      <t>データ解析、予測</t>
    </r>
    <r>
      <rPr>
        <b/>
        <sz val="12"/>
        <rFont val="ＭＳ Ｐゴシック"/>
        <family val="3"/>
        <charset val="128"/>
        <scheme val="minor"/>
      </rPr>
      <t>【「データリテラシー」＃15：実際の企業等のデータを視覚化し、推論を立てる。推論をもとに分析し、結果について議論する】</t>
    </r>
    <r>
      <rPr>
        <sz val="12"/>
        <rFont val="ＭＳ Ｐゴシック"/>
        <family val="3"/>
        <charset val="128"/>
        <scheme val="minor"/>
      </rPr>
      <t>データ可視化、複合グラフ、2軸グラフ、多次元の可視化、関係性の可視化、地図上の可視化</t>
    </r>
    <rPh sb="139" eb="143">
      <t>ガゾウショリカイメ</t>
    </rPh>
    <phoneticPr fontId="1"/>
  </si>
  <si>
    <r>
      <rPr>
        <b/>
        <sz val="12"/>
        <rFont val="ＭＳ Ｐゴシック"/>
        <family val="3"/>
        <charset val="128"/>
        <scheme val="minor"/>
      </rPr>
      <t>【「AI入門」♯2：ＡIの歴史】</t>
    </r>
    <r>
      <rPr>
        <sz val="12"/>
        <rFont val="ＭＳ Ｐゴシック"/>
        <family val="3"/>
        <charset val="128"/>
        <scheme val="minor"/>
      </rPr>
      <t>人間の知的活動とAIの関係性、データ量の増加、計算機の処理性能の向上、AIの非連続的進化　</t>
    </r>
    <r>
      <rPr>
        <b/>
        <sz val="12"/>
        <rFont val="ＭＳ Ｐゴシック"/>
        <family val="3"/>
        <charset val="128"/>
        <scheme val="minor"/>
      </rPr>
      <t>【「データリテラシー」♯1：データリテラシーの意義、データ利活用の可能性】</t>
    </r>
    <r>
      <rPr>
        <sz val="12"/>
        <rFont val="ＭＳ Ｐゴシック"/>
        <family val="3"/>
        <charset val="128"/>
        <scheme val="minor"/>
      </rPr>
      <t xml:space="preserve">データを起点としたものの見方、人間の知的活動を起点としたものの見方
</t>
    </r>
    <r>
      <rPr>
        <b/>
        <sz val="12"/>
        <rFont val="ＭＳ Ｐゴシック"/>
        <family val="3"/>
        <charset val="128"/>
        <scheme val="minor"/>
      </rPr>
      <t>【「経営情報管理」♯1：情報化・高度情報化・デジタル化を学ぶ】</t>
    </r>
    <r>
      <rPr>
        <sz val="12"/>
        <rFont val="ＭＳ Ｐゴシック"/>
        <family val="3"/>
        <charset val="128"/>
        <scheme val="minor"/>
      </rPr>
      <t>ビッグデータ、IoT、AI、ロボット、第4次産業革命、Society 5.0、データ駆動型社会　</t>
    </r>
    <r>
      <rPr>
        <b/>
        <sz val="12"/>
        <rFont val="ＭＳ Ｐゴシック"/>
        <family val="3"/>
        <charset val="128"/>
        <scheme val="minor"/>
      </rPr>
      <t>【「情報処理Ⅰ」♯2：コンピュータの概要（1）】</t>
    </r>
    <r>
      <rPr>
        <sz val="12"/>
        <rFont val="ＭＳ Ｐゴシック"/>
        <family val="3"/>
        <charset val="128"/>
        <scheme val="minor"/>
      </rPr>
      <t>データ量の増加、計算機の処理性能の向上</t>
    </r>
    <rPh sb="58" eb="60">
      <t>シンカ</t>
    </rPh>
    <rPh sb="213" eb="217">
      <t>ジョウホウショリ</t>
    </rPh>
    <phoneticPr fontId="1"/>
  </si>
  <si>
    <r>
      <rPr>
        <b/>
        <sz val="12"/>
        <rFont val="ＭＳ Ｐゴシック"/>
        <family val="3"/>
        <charset val="128"/>
        <scheme val="minor"/>
      </rPr>
      <t>【「AI入門」＃2：ＡIの歴史】</t>
    </r>
    <r>
      <rPr>
        <sz val="12"/>
        <rFont val="ＭＳ Ｐゴシック"/>
        <family val="3"/>
        <charset val="128"/>
        <scheme val="minor"/>
      </rPr>
      <t xml:space="preserve">AI最新技術の活用例
</t>
    </r>
    <r>
      <rPr>
        <b/>
        <sz val="12"/>
        <rFont val="ＭＳ Ｐゴシック"/>
        <family val="3"/>
        <charset val="128"/>
        <scheme val="minor"/>
      </rPr>
      <t>【「AI入門」＃4：AIの基本１： ディープラーニングと機械学習】</t>
    </r>
    <r>
      <rPr>
        <sz val="12"/>
        <rFont val="ＭＳ Ｐゴシック"/>
        <family val="3"/>
        <charset val="128"/>
        <scheme val="minor"/>
      </rPr>
      <t xml:space="preserve">深層生成モデル、強化学習
</t>
    </r>
    <r>
      <rPr>
        <b/>
        <sz val="12"/>
        <rFont val="ＭＳ Ｐゴシック"/>
        <family val="3"/>
        <charset val="128"/>
        <scheme val="minor"/>
      </rPr>
      <t>【「経営情報管理」＃10：インターネットビジネスの戦略とビジネスモデル】</t>
    </r>
    <r>
      <rPr>
        <sz val="12"/>
        <rFont val="ＭＳ Ｐゴシック"/>
        <family val="3"/>
        <charset val="128"/>
        <scheme val="minor"/>
      </rPr>
      <t>AI等を活用した新しいビジネスモデル</t>
    </r>
    <phoneticPr fontId="1"/>
  </si>
  <si>
    <r>
      <rPr>
        <b/>
        <sz val="12"/>
        <rFont val="ＭＳ Ｐゴシック"/>
        <family val="3"/>
        <charset val="128"/>
        <scheme val="minor"/>
      </rPr>
      <t>【「経営情報管理」＃15：経営情報管理と法的・倫理的課題】</t>
    </r>
    <r>
      <rPr>
        <sz val="12"/>
        <rFont val="ＭＳ Ｐゴシック"/>
        <family val="3"/>
        <charset val="128"/>
        <scheme val="minor"/>
      </rPr>
      <t xml:space="preserve">ELSI
</t>
    </r>
    <r>
      <rPr>
        <b/>
        <sz val="12"/>
        <rFont val="ＭＳ Ｐゴシック"/>
        <family val="3"/>
        <charset val="128"/>
        <scheme val="minor"/>
      </rPr>
      <t>【「AI入門」＃2：ＡIの歴史】</t>
    </r>
    <r>
      <rPr>
        <sz val="12"/>
        <rFont val="ＭＳ Ｐゴシック"/>
        <family val="3"/>
        <charset val="128"/>
        <scheme val="minor"/>
      </rPr>
      <t xml:space="preserve">データ・AI活用における負の事例紹介
</t>
    </r>
    <r>
      <rPr>
        <b/>
        <sz val="12"/>
        <rFont val="ＭＳ Ｐゴシック"/>
        <family val="3"/>
        <charset val="128"/>
        <scheme val="minor"/>
      </rPr>
      <t>【「AI入門」＃15：まとめ（AIが出した結果の評価）】</t>
    </r>
    <r>
      <rPr>
        <sz val="12"/>
        <rFont val="ＭＳ Ｐゴシック"/>
        <family val="3"/>
        <charset val="128"/>
        <scheme val="minor"/>
      </rPr>
      <t xml:space="preserve">データバイアス、アルゴリズムバイアス
</t>
    </r>
    <r>
      <rPr>
        <b/>
        <sz val="12"/>
        <rFont val="ＭＳ Ｐゴシック"/>
        <family val="3"/>
        <charset val="128"/>
        <scheme val="minor"/>
      </rPr>
      <t>【「情報処理Ⅰ」＃11：情報倫理、セキュリティの基礎、個人情報の保護、ユーザ認証、とアクセス管理を学ぶ】</t>
    </r>
    <r>
      <rPr>
        <sz val="12"/>
        <rFont val="ＭＳ Ｐゴシック"/>
        <family val="3"/>
        <charset val="128"/>
        <scheme val="minor"/>
      </rPr>
      <t xml:space="preserve">個人情報保護、EU一般データ保護規則(GDPR)、忘れられる権利、オプトアウト
</t>
    </r>
    <rPh sb="2" eb="8">
      <t>ケイエイジョウホウカンリ</t>
    </rPh>
    <rPh sb="87" eb="88">
      <t>ダ</t>
    </rPh>
    <rPh sb="90" eb="92">
      <t>ケッカ</t>
    </rPh>
    <rPh sb="93" eb="95">
      <t>ヒョウカ</t>
    </rPh>
    <phoneticPr fontId="1"/>
  </si>
  <si>
    <r>
      <rPr>
        <b/>
        <sz val="12"/>
        <rFont val="ＭＳ Ｐゴシック"/>
        <family val="3"/>
        <charset val="128"/>
        <scheme val="minor"/>
      </rPr>
      <t>【「情報処理Ⅰ」＃12：コンピュータウイルス・不正アクセスの概要を学ぶ】</t>
    </r>
    <r>
      <rPr>
        <sz val="12"/>
        <rFont val="ＭＳ Ｐゴシック"/>
        <family val="3"/>
        <charset val="128"/>
        <scheme val="minor"/>
      </rPr>
      <t xml:space="preserve">情報セキュリティ：機密性、完全性、可用性
</t>
    </r>
    <r>
      <rPr>
        <b/>
        <sz val="12"/>
        <rFont val="ＭＳ Ｐゴシック"/>
        <family val="3"/>
        <charset val="128"/>
        <scheme val="minor"/>
      </rPr>
      <t>【「情報処理Ⅰ」＃13：暗号化技術とデジタル署名を学ぶ】</t>
    </r>
    <r>
      <rPr>
        <sz val="12"/>
        <rFont val="ＭＳ Ｐゴシック"/>
        <family val="3"/>
        <charset val="128"/>
        <scheme val="minor"/>
      </rPr>
      <t xml:space="preserve">暗号化
</t>
    </r>
    <r>
      <rPr>
        <b/>
        <sz val="12"/>
        <rFont val="ＭＳ Ｐゴシック"/>
        <family val="3"/>
        <charset val="128"/>
        <scheme val="minor"/>
      </rPr>
      <t>【「情報処理Ⅰ」＃14：著作権、産業財産権、不正アクセス禁止法等インターネット関連法規を学ぶ】</t>
    </r>
    <r>
      <rPr>
        <sz val="12"/>
        <rFont val="ＭＳ Ｐゴシック"/>
        <family val="3"/>
        <charset val="128"/>
        <scheme val="minor"/>
      </rPr>
      <t>情報漏洩等によるセキュリティ事故の事例紹介</t>
    </r>
    <phoneticPr fontId="1"/>
  </si>
  <si>
    <r>
      <rPr>
        <b/>
        <sz val="12"/>
        <rFont val="ＭＳ Ｐゴシック"/>
        <family val="3"/>
        <charset val="128"/>
        <scheme val="minor"/>
      </rPr>
      <t>【「データリテラシー」＃3：データから全体像をつかむためにグラフ化、基本統計量、最頻値について学習する】</t>
    </r>
    <r>
      <rPr>
        <sz val="12"/>
        <rFont val="ＭＳ Ｐゴシック"/>
        <family val="3"/>
        <charset val="128"/>
        <scheme val="minor"/>
      </rPr>
      <t>データ表現（棒グラフ、折線グラフ）、不適切なグラフ表現（チャートジャンク、不必要な視覚的要素）</t>
    </r>
    <r>
      <rPr>
        <b/>
        <sz val="12"/>
        <rFont val="ＭＳ Ｐゴシック"/>
        <family val="3"/>
        <charset val="128"/>
        <scheme val="minor"/>
      </rPr>
      <t>【「データリテラシー」＃4：分散と標準偏差、散布図、相関係数について学習する】</t>
    </r>
    <r>
      <rPr>
        <sz val="12"/>
        <rFont val="ＭＳ Ｐゴシック"/>
        <family val="3"/>
        <charset val="128"/>
        <scheme val="minor"/>
      </rPr>
      <t>データ表現（散布図）</t>
    </r>
    <r>
      <rPr>
        <b/>
        <sz val="12"/>
        <rFont val="ＭＳ Ｐゴシック"/>
        <family val="3"/>
        <charset val="128"/>
        <scheme val="minor"/>
      </rPr>
      <t>【「データリテラシー」＃10：有意水準、t検定について学習する/＃11バラツキの検定、カイ２乗検定、期待値について学習する】</t>
    </r>
    <r>
      <rPr>
        <sz val="12"/>
        <rFont val="ＭＳ Ｐゴシック"/>
        <family val="3"/>
        <charset val="128"/>
        <scheme val="minor"/>
      </rPr>
      <t>データの比較（条件をそろえた比較、処理の前後での比較、A/Bテスト）</t>
    </r>
    <phoneticPr fontId="1"/>
  </si>
  <si>
    <r>
      <rPr>
        <b/>
        <sz val="12"/>
        <rFont val="ＭＳ Ｐゴシック"/>
        <family val="3"/>
        <charset val="128"/>
        <scheme val="minor"/>
      </rPr>
      <t>【「データリテラシー」＃2：データの種類、Excelにおけるデータ処理基礎を学習する】</t>
    </r>
    <r>
      <rPr>
        <sz val="12"/>
        <rFont val="ＭＳ Ｐゴシック"/>
        <family val="3"/>
        <charset val="128"/>
        <scheme val="minor"/>
      </rPr>
      <t xml:space="preserve">データの集計（和、平均）、データの並び替え、ランキング、データ解析ツール（スプレッドシート）、表形式のデータ（csv）
</t>
    </r>
    <r>
      <rPr>
        <b/>
        <sz val="12"/>
        <rFont val="ＭＳ Ｐゴシック"/>
        <family val="3"/>
        <charset val="128"/>
        <scheme val="minor"/>
      </rPr>
      <t>【「データリテラシー」＃12：Google Colaboratoryによるデータ処理/＃13：Google Colaboratoryによる記述統計】</t>
    </r>
    <r>
      <rPr>
        <sz val="12"/>
        <rFont val="ＭＳ Ｐゴシック"/>
        <family val="3"/>
        <charset val="128"/>
        <scheme val="minor"/>
      </rPr>
      <t xml:space="preserve">データの集計（和、平均）、データの並び替え、ランキング、データ解析ツール、表形式のデータ（csv）
</t>
    </r>
    <phoneticPr fontId="1"/>
  </si>
  <si>
    <t>商学部・経営学科</t>
    <rPh sb="0" eb="3">
      <t>ショウガクブ</t>
    </rPh>
    <rPh sb="4" eb="6">
      <t>ケイエイ</t>
    </rPh>
    <rPh sb="6" eb="8">
      <t>ガッカ</t>
    </rPh>
    <phoneticPr fontId="1"/>
  </si>
  <si>
    <t>商学部・会計学科</t>
    <rPh sb="4" eb="6">
      <t>カイケイ</t>
    </rPh>
    <rPh sb="6" eb="8">
      <t>ガッカ</t>
    </rPh>
    <phoneticPr fontId="1"/>
  </si>
  <si>
    <r>
      <rPr>
        <b/>
        <sz val="12"/>
        <rFont val="ＭＳ Ｐゴシック"/>
        <family val="3"/>
        <charset val="128"/>
        <scheme val="minor"/>
      </rPr>
      <t>【「データリテラシー」＃2：データの種類、Excelにおけるデータ処理基礎を学習する】</t>
    </r>
    <r>
      <rPr>
        <sz val="12"/>
        <rFont val="ＭＳ Ｐゴシック"/>
        <family val="3"/>
        <charset val="128"/>
        <scheme val="minor"/>
      </rPr>
      <t xml:space="preserve">調査データ、実験データ、1次データ、2次データ
</t>
    </r>
    <r>
      <rPr>
        <b/>
        <sz val="12"/>
        <rFont val="ＭＳ Ｐゴシック"/>
        <family val="3"/>
        <charset val="128"/>
        <scheme val="minor"/>
      </rPr>
      <t>【「データリテラシー」＃14：実際の企業等のデータを分析するための準備（データ加工等）を行う】</t>
    </r>
    <r>
      <rPr>
        <sz val="12"/>
        <rFont val="ＭＳ Ｐゴシック"/>
        <family val="3"/>
        <charset val="128"/>
        <scheme val="minor"/>
      </rPr>
      <t xml:space="preserve">データ作成（ビッグデータとアノテーション）
</t>
    </r>
    <phoneticPr fontId="1"/>
  </si>
  <si>
    <r>
      <rPr>
        <b/>
        <sz val="12"/>
        <rFont val="ＭＳ Ｐゴシック"/>
        <family val="3"/>
        <charset val="128"/>
        <scheme val="minor"/>
      </rPr>
      <t>【「経営情報管理」＃6：経営情報管理とAI (1) ビジネスAI：多様なAIの採用例から身近なビジネスへの応用を考える】</t>
    </r>
    <r>
      <rPr>
        <sz val="12"/>
        <rFont val="ＭＳ Ｐゴシック"/>
        <family val="3"/>
        <charset val="128"/>
        <scheme val="minor"/>
      </rPr>
      <t xml:space="preserve">流通、製造、金融、サービスにおけるデータ・AI利活用事例紹介
</t>
    </r>
    <r>
      <rPr>
        <b/>
        <sz val="12"/>
        <rFont val="ＭＳ Ｐゴシック"/>
        <family val="3"/>
        <charset val="128"/>
        <scheme val="minor"/>
      </rPr>
      <t>【「データリテラシー」＃14：実際の企業等のデータを分析するための準備（データ加工等）を行う】</t>
    </r>
    <r>
      <rPr>
        <sz val="12"/>
        <rFont val="ＭＳ Ｐゴシック"/>
        <family val="3"/>
        <charset val="128"/>
        <scheme val="minor"/>
      </rPr>
      <t xml:space="preserve">データサイエンスのサイクル（データの取得・管理・加工）
</t>
    </r>
    <r>
      <rPr>
        <b/>
        <sz val="12"/>
        <rFont val="ＭＳ Ｐゴシック"/>
        <family val="3"/>
        <charset val="128"/>
        <scheme val="minor"/>
      </rPr>
      <t>【「データリテラシー」＃15：実際の企業等のデータを視覚化し、推論を立てる】</t>
    </r>
    <r>
      <rPr>
        <sz val="12"/>
        <rFont val="ＭＳ Ｐゴシック"/>
        <family val="3"/>
        <charset val="128"/>
        <scheme val="minor"/>
      </rPr>
      <t>データサイエンスのサイクル（課題抽出と定式化、データ解析と推論、結果の共有・伝達）</t>
    </r>
    <phoneticPr fontId="1"/>
  </si>
  <si>
    <r>
      <rPr>
        <b/>
        <sz val="11"/>
        <rFont val="ＭＳ Ｐゴシック"/>
        <family val="3"/>
        <charset val="128"/>
        <scheme val="minor"/>
      </rPr>
      <t>【「データリテラシー」＃1：データリテラシーの意義、データ利活用の可能性について学習する】</t>
    </r>
    <r>
      <rPr>
        <sz val="11"/>
        <rFont val="ＭＳ Ｐゴシック"/>
        <family val="3"/>
        <charset val="128"/>
        <scheme val="minor"/>
      </rPr>
      <t>統計情報の正しい理解</t>
    </r>
    <r>
      <rPr>
        <b/>
        <sz val="11"/>
        <rFont val="ＭＳ Ｐゴシック"/>
        <family val="3"/>
        <charset val="128"/>
        <scheme val="minor"/>
      </rPr>
      <t>【＃2：データの種類、Excelにおけるデータ処理基礎を学習する】</t>
    </r>
    <r>
      <rPr>
        <sz val="11"/>
        <rFont val="ＭＳ Ｐゴシック"/>
        <family val="3"/>
        <charset val="128"/>
        <scheme val="minor"/>
      </rPr>
      <t>データの種類（量的変数、質的変数）</t>
    </r>
    <r>
      <rPr>
        <b/>
        <sz val="11"/>
        <rFont val="ＭＳ Ｐゴシック"/>
        <family val="3"/>
        <charset val="128"/>
        <scheme val="minor"/>
      </rPr>
      <t>【＃3：データから全体像をつかむためにグラフ化、基本統計量、最頻値について学習する】</t>
    </r>
    <r>
      <rPr>
        <sz val="11"/>
        <rFont val="ＭＳ Ｐゴシック"/>
        <family val="3"/>
        <charset val="128"/>
        <scheme val="minor"/>
      </rPr>
      <t>データの分布(ヒストグラム)と代表値（平均値、中央値、最頻値）、代表値の性質の違い</t>
    </r>
    <r>
      <rPr>
        <b/>
        <sz val="11"/>
        <rFont val="ＭＳ Ｐゴシック"/>
        <family val="3"/>
        <charset val="128"/>
        <scheme val="minor"/>
      </rPr>
      <t>【＃4：分散と標準偏差、散布図、相関係数について学習する】</t>
    </r>
    <r>
      <rPr>
        <sz val="11"/>
        <rFont val="ＭＳ Ｐゴシック"/>
        <family val="3"/>
        <charset val="128"/>
        <scheme val="minor"/>
      </rPr>
      <t>データのばらつき（分散、標準偏差、偏差値）、相関と因果（相関係数、擬似相関）</t>
    </r>
    <r>
      <rPr>
        <b/>
        <sz val="11"/>
        <rFont val="ＭＳ Ｐゴシック"/>
        <family val="3"/>
        <charset val="128"/>
        <scheme val="minor"/>
      </rPr>
      <t>【＃7：標本と母集団を学習する】</t>
    </r>
    <r>
      <rPr>
        <sz val="11"/>
        <rFont val="ＭＳ Ｐゴシック"/>
        <family val="3"/>
        <charset val="128"/>
        <scheme val="minor"/>
      </rPr>
      <t>母集団と標本抽出（国勢調査、アンケート調査、全数調査、単純無作為抽出）</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</si>
</sst>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
      <sz val="6"/>
      <name val="ＭＳ Ｐゴシック"/>
      <family val="3"/>
      <charset val="128"/>
      <scheme val="minor"/>
    </font>
    <font>
      <b/>
      <sz val="12"/>
      <name val="ＭＳ Ｐゴシック"/>
      <family val="3"/>
      <charset val="128"/>
      <scheme val="minor"/>
    </font>
    <font>
      <b/>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3" fillId="0" borderId="0" applyFont="0" applyFill="0" applyBorder="0" applyAlignment="0" applyProtection="0">
      <alignment vertical="center"/>
    </xf>
    <xf numFmtId="38" fontId="3" fillId="0" borderId="0" applyFont="0" applyFill="0" applyBorder="0" applyAlignment="0" applyProtection="0">
      <alignment vertical="center"/>
    </xf>
  </cellStyleXfs>
  <cellXfs count="304">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8" fillId="0" borderId="11" xfId="0" applyFont="1" applyBorder="1" applyAlignment="1">
      <alignment horizontal="center" vertical="center"/>
    </xf>
    <xf numFmtId="0" fontId="8" fillId="0" borderId="52" xfId="0" applyFont="1" applyBorder="1" applyAlignment="1">
      <alignment horizontal="center" vertical="center"/>
    </xf>
    <xf numFmtId="0" fontId="8"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0" fontId="2" fillId="0" borderId="0" xfId="0" applyFont="1" applyAlignment="1">
      <alignment horizontal="right" vertical="center"/>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9" fillId="0" borderId="0" xfId="0" applyFont="1">
      <alignment vertical="center"/>
    </xf>
    <xf numFmtId="0" fontId="10" fillId="0" borderId="0" xfId="0" applyFont="1">
      <alignment vertical="center"/>
    </xf>
    <xf numFmtId="0" fontId="9" fillId="0" borderId="1" xfId="0" applyFont="1" applyBorder="1" applyAlignment="1">
      <alignment horizontal="center" vertical="center"/>
    </xf>
    <xf numFmtId="0" fontId="9" fillId="0" borderId="0" xfId="0" applyFont="1" applyAlignment="1">
      <alignment horizontal="right" vertical="center"/>
    </xf>
    <xf numFmtId="0" fontId="9" fillId="0" borderId="0" xfId="0" applyFont="1" applyAlignment="1">
      <alignment vertical="center" shrinkToFit="1"/>
    </xf>
    <xf numFmtId="0" fontId="9" fillId="0" borderId="0" xfId="0" applyFont="1" applyAlignment="1">
      <alignment horizontal="left" vertical="center" shrinkToFit="1"/>
    </xf>
    <xf numFmtId="0" fontId="9" fillId="0" borderId="0" xfId="0" applyFont="1" applyAlignment="1">
      <alignment horizontal="center" vertical="center"/>
    </xf>
    <xf numFmtId="0" fontId="9" fillId="0" borderId="10" xfId="0" applyFont="1" applyBorder="1" applyAlignment="1">
      <alignment horizontal="right" vertical="center"/>
    </xf>
    <xf numFmtId="0" fontId="9" fillId="0" borderId="0" xfId="0" applyFont="1" applyAlignment="1">
      <alignment horizontal="left" vertical="center"/>
    </xf>
    <xf numFmtId="0" fontId="10" fillId="0" borderId="0" xfId="0" applyFont="1" applyAlignment="1">
      <alignment horizontal="center" vertical="center"/>
    </xf>
    <xf numFmtId="0" fontId="9" fillId="0" borderId="5" xfId="0" applyFont="1" applyBorder="1">
      <alignment vertical="center"/>
    </xf>
    <xf numFmtId="0" fontId="12" fillId="0" borderId="1" xfId="0" applyFont="1" applyBorder="1" applyAlignment="1">
      <alignment horizontal="center" vertical="center" shrinkToFit="1"/>
    </xf>
    <xf numFmtId="0" fontId="12" fillId="0" borderId="4" xfId="0" applyFont="1" applyBorder="1" applyAlignment="1">
      <alignment horizontal="center" vertical="center" shrinkToFit="1"/>
    </xf>
    <xf numFmtId="49" fontId="12" fillId="0" borderId="1" xfId="0" applyNumberFormat="1" applyFont="1" applyBorder="1" applyAlignment="1">
      <alignment horizontal="center" vertical="center"/>
    </xf>
    <xf numFmtId="0" fontId="9" fillId="0" borderId="14"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13" xfId="0" applyFont="1" applyBorder="1" applyAlignment="1">
      <alignment horizontal="center" vertical="center" shrinkToFit="1"/>
    </xf>
    <xf numFmtId="0" fontId="9" fillId="0" borderId="40" xfId="0" applyFont="1" applyBorder="1" applyAlignment="1">
      <alignment horizontal="center" vertical="center" shrinkToFit="1"/>
    </xf>
    <xf numFmtId="0" fontId="9" fillId="0" borderId="0" xfId="0" applyFont="1" applyAlignment="1">
      <alignment vertical="top" wrapText="1"/>
    </xf>
    <xf numFmtId="0" fontId="9" fillId="0" borderId="0" xfId="0" applyFont="1" applyAlignment="1">
      <alignment horizontal="center" vertical="center" shrinkToFit="1"/>
    </xf>
    <xf numFmtId="49" fontId="12" fillId="0" borderId="48" xfId="0" applyNumberFormat="1" applyFont="1" applyBorder="1" applyAlignment="1">
      <alignment horizontal="center" vertical="center"/>
    </xf>
    <xf numFmtId="49" fontId="12" fillId="0" borderId="49" xfId="0" applyNumberFormat="1" applyFont="1" applyBorder="1" applyAlignment="1">
      <alignment horizontal="center" vertical="center"/>
    </xf>
    <xf numFmtId="49" fontId="12" fillId="0" borderId="44" xfId="0" applyNumberFormat="1" applyFont="1" applyBorder="1" applyAlignment="1">
      <alignment horizontal="center" vertical="center"/>
    </xf>
    <xf numFmtId="49" fontId="12" fillId="0" borderId="29" xfId="0" applyNumberFormat="1" applyFont="1" applyBorder="1" applyAlignment="1">
      <alignment horizontal="center" vertical="center"/>
    </xf>
    <xf numFmtId="49" fontId="12" fillId="0" borderId="47" xfId="0" applyNumberFormat="1" applyFont="1" applyBorder="1" applyAlignment="1">
      <alignment horizontal="center" vertical="center"/>
    </xf>
    <xf numFmtId="49" fontId="12" fillId="0" borderId="32" xfId="0" applyNumberFormat="1" applyFont="1" applyBorder="1" applyAlignment="1">
      <alignment horizontal="center" vertical="center"/>
    </xf>
    <xf numFmtId="0" fontId="12" fillId="0" borderId="0" xfId="0" applyFont="1">
      <alignment vertical="center"/>
    </xf>
    <xf numFmtId="0" fontId="9" fillId="0" borderId="1" xfId="0" applyFont="1" applyFill="1" applyBorder="1" applyAlignment="1">
      <alignment horizontal="center" vertical="center"/>
    </xf>
    <xf numFmtId="0" fontId="9" fillId="0" borderId="0" xfId="0" applyFont="1" applyFill="1" applyAlignment="1">
      <alignment horizontal="center" vertical="center"/>
    </xf>
    <xf numFmtId="0" fontId="10" fillId="0" borderId="0" xfId="0" applyFont="1" applyAlignment="1">
      <alignment horizontal="left" vertical="center"/>
    </xf>
    <xf numFmtId="0" fontId="9" fillId="0" borderId="0" xfId="0" applyFont="1" applyAlignment="1">
      <alignment vertical="center" wrapText="1"/>
    </xf>
    <xf numFmtId="0" fontId="12" fillId="0" borderId="0" xfId="0" applyFont="1" applyAlignment="1">
      <alignment vertical="top" wrapText="1"/>
    </xf>
    <xf numFmtId="0" fontId="9" fillId="0" borderId="1" xfId="0" applyFont="1" applyBorder="1" applyAlignment="1">
      <alignment horizontal="center" vertical="center" wrapText="1" shrinkToFit="1"/>
    </xf>
    <xf numFmtId="9" fontId="9" fillId="0" borderId="1" xfId="0" applyNumberFormat="1" applyFont="1" applyBorder="1" applyAlignment="1">
      <alignment horizontal="center" vertical="center" shrinkToFit="1"/>
    </xf>
    <xf numFmtId="9" fontId="9" fillId="0" borderId="0" xfId="1" applyFont="1" applyAlignment="1">
      <alignment horizontal="center" vertical="center"/>
    </xf>
    <xf numFmtId="0" fontId="9" fillId="0" borderId="1" xfId="0" applyFont="1" applyBorder="1" applyAlignment="1">
      <alignment horizontal="center" vertical="center" shrinkToFit="1"/>
    </xf>
    <xf numFmtId="176" fontId="9" fillId="0" borderId="1" xfId="0" applyNumberFormat="1" applyFont="1" applyBorder="1" applyAlignment="1">
      <alignment horizontal="center" vertical="center" shrinkToFit="1"/>
    </xf>
    <xf numFmtId="0" fontId="12" fillId="0" borderId="0" xfId="0" applyFont="1" applyAlignment="1">
      <alignment vertical="top" shrinkToFit="1"/>
    </xf>
    <xf numFmtId="0" fontId="12" fillId="0" borderId="0" xfId="0" applyFont="1" applyAlignment="1">
      <alignment vertical="center" wrapText="1"/>
    </xf>
    <xf numFmtId="0" fontId="9" fillId="0" borderId="0" xfId="0" applyFont="1" applyFill="1">
      <alignment vertical="center"/>
    </xf>
    <xf numFmtId="0" fontId="9" fillId="0" borderId="0" xfId="0" applyFont="1" applyFill="1" applyAlignment="1">
      <alignment horizontal="right" vertical="center"/>
    </xf>
    <xf numFmtId="0" fontId="11" fillId="0" borderId="0" xfId="0" applyFont="1" applyFill="1" applyAlignment="1">
      <alignment horizontal="center" vertical="center"/>
    </xf>
    <xf numFmtId="0" fontId="9" fillId="0" borderId="0" xfId="0" applyFont="1" applyFill="1" applyAlignment="1">
      <alignment horizontal="left" vertical="center"/>
    </xf>
    <xf numFmtId="0" fontId="9" fillId="0" borderId="1" xfId="0" applyFont="1" applyFill="1" applyBorder="1" applyAlignment="1">
      <alignment horizontal="left" vertical="center"/>
    </xf>
    <xf numFmtId="0" fontId="12" fillId="0" borderId="0" xfId="0" applyFont="1" applyFill="1" applyAlignment="1">
      <alignment vertical="top" wrapText="1"/>
    </xf>
    <xf numFmtId="0" fontId="9" fillId="0" borderId="5" xfId="0" applyFont="1" applyFill="1" applyBorder="1">
      <alignment vertical="center"/>
    </xf>
    <xf numFmtId="0" fontId="12" fillId="0" borderId="10" xfId="0" applyFont="1" applyFill="1" applyBorder="1" applyAlignment="1">
      <alignment vertical="top" wrapText="1"/>
    </xf>
    <xf numFmtId="0" fontId="12" fillId="0" borderId="5" xfId="0" applyFont="1" applyFill="1" applyBorder="1" applyAlignment="1">
      <alignment vertical="top" wrapText="1"/>
    </xf>
    <xf numFmtId="0" fontId="12" fillId="0" borderId="11" xfId="0" applyFont="1" applyFill="1" applyBorder="1" applyAlignment="1">
      <alignment vertical="top" wrapText="1"/>
    </xf>
    <xf numFmtId="0" fontId="12" fillId="0" borderId="42" xfId="0" applyFont="1" applyFill="1" applyBorder="1" applyAlignment="1">
      <alignment vertical="top" wrapText="1"/>
    </xf>
    <xf numFmtId="0" fontId="12" fillId="0" borderId="43" xfId="0" applyFont="1" applyFill="1" applyBorder="1" applyAlignment="1">
      <alignment vertical="top" wrapText="1"/>
    </xf>
    <xf numFmtId="0" fontId="12" fillId="0" borderId="42" xfId="0" applyFont="1" applyFill="1" applyBorder="1" applyAlignment="1">
      <alignment vertical="top" shrinkToFit="1"/>
    </xf>
    <xf numFmtId="0" fontId="12" fillId="0" borderId="43" xfId="0" applyFont="1" applyFill="1" applyBorder="1" applyAlignment="1">
      <alignment vertical="top" shrinkToFit="1"/>
    </xf>
    <xf numFmtId="0" fontId="9" fillId="0" borderId="0" xfId="0" applyFont="1" applyFill="1" applyAlignment="1">
      <alignment vertical="top" wrapText="1"/>
    </xf>
    <xf numFmtId="0" fontId="9" fillId="0" borderId="0" xfId="0" applyFont="1" applyAlignment="1">
      <alignment vertical="center" wrapText="1"/>
    </xf>
    <xf numFmtId="0" fontId="10" fillId="0" borderId="0" xfId="0" applyFont="1" applyAlignment="1">
      <alignment vertical="top" shrinkToFit="1"/>
    </xf>
    <xf numFmtId="0" fontId="10" fillId="0" borderId="10" xfId="0" applyFont="1" applyBorder="1" applyAlignment="1">
      <alignment vertical="top" shrinkToFit="1"/>
    </xf>
    <xf numFmtId="0" fontId="10" fillId="0" borderId="0" xfId="0" applyFont="1" applyBorder="1" applyAlignment="1">
      <alignment vertical="top" shrinkToFit="1"/>
    </xf>
    <xf numFmtId="0" fontId="9" fillId="0" borderId="0" xfId="0" applyFont="1" applyBorder="1" applyAlignment="1">
      <alignment vertical="top" wrapText="1"/>
    </xf>
    <xf numFmtId="0" fontId="9" fillId="0" borderId="14" xfId="0" applyFont="1" applyBorder="1" applyAlignment="1">
      <alignment horizontal="left" vertical="center" shrinkToFit="1"/>
    </xf>
    <xf numFmtId="38" fontId="9" fillId="0" borderId="50" xfId="2" applyFont="1" applyBorder="1" applyAlignment="1">
      <alignment vertical="center" shrinkToFit="1"/>
    </xf>
    <xf numFmtId="38" fontId="9" fillId="0" borderId="0" xfId="2" applyFont="1" applyAlignment="1">
      <alignment vertical="center" shrinkToFit="1"/>
    </xf>
    <xf numFmtId="38" fontId="9" fillId="0" borderId="5" xfId="2" applyFont="1" applyBorder="1" applyAlignment="1">
      <alignment vertical="center" shrinkToFit="1"/>
    </xf>
    <xf numFmtId="38" fontId="9" fillId="0" borderId="54" xfId="2" applyFont="1" applyBorder="1" applyAlignment="1">
      <alignment vertical="center" shrinkToFit="1"/>
    </xf>
    <xf numFmtId="38" fontId="9" fillId="0" borderId="30" xfId="2" applyFont="1" applyBorder="1" applyAlignment="1">
      <alignment vertical="center" shrinkToFit="1"/>
    </xf>
    <xf numFmtId="0" fontId="9" fillId="0" borderId="23" xfId="0" applyFont="1" applyBorder="1" applyAlignment="1">
      <alignment horizontal="left" vertical="center" shrinkToFit="1"/>
    </xf>
    <xf numFmtId="38" fontId="9" fillId="0" borderId="23" xfId="2" applyFont="1" applyBorder="1" applyAlignment="1">
      <alignment vertical="center" shrinkToFit="1"/>
    </xf>
    <xf numFmtId="38" fontId="9" fillId="0" borderId="20" xfId="2" applyFont="1" applyBorder="1" applyAlignment="1">
      <alignment vertical="center" shrinkToFit="1"/>
    </xf>
    <xf numFmtId="38" fontId="9" fillId="0" borderId="19" xfId="2" applyFont="1" applyBorder="1" applyAlignment="1">
      <alignment vertical="center" shrinkToFit="1"/>
    </xf>
    <xf numFmtId="38" fontId="9" fillId="0" borderId="57" xfId="2" applyFont="1" applyBorder="1" applyAlignment="1">
      <alignment vertical="center" shrinkToFit="1"/>
    </xf>
    <xf numFmtId="38" fontId="9" fillId="0" borderId="55" xfId="2" applyFont="1" applyBorder="1" applyAlignment="1">
      <alignment vertical="center" shrinkToFit="1"/>
    </xf>
    <xf numFmtId="38" fontId="9" fillId="0" borderId="32" xfId="2" applyFont="1" applyBorder="1" applyAlignment="1">
      <alignment vertical="center" shrinkToFit="1"/>
    </xf>
    <xf numFmtId="0" fontId="9" fillId="0" borderId="34" xfId="0" applyFont="1" applyBorder="1" applyAlignment="1">
      <alignment vertical="center" shrinkToFit="1"/>
    </xf>
    <xf numFmtId="0" fontId="9" fillId="0" borderId="36" xfId="0" applyFont="1" applyBorder="1" applyAlignment="1">
      <alignment vertical="center" shrinkToFit="1"/>
    </xf>
    <xf numFmtId="0" fontId="9" fillId="0" borderId="35" xfId="0" applyFont="1" applyBorder="1" applyAlignment="1">
      <alignment vertical="center"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37" xfId="0" applyFont="1" applyBorder="1" applyAlignment="1">
      <alignment vertical="center" shrinkToFit="1"/>
    </xf>
    <xf numFmtId="0" fontId="9" fillId="0" borderId="38" xfId="0" applyFont="1" applyBorder="1" applyAlignment="1">
      <alignment vertical="center" shrinkToFit="1"/>
    </xf>
    <xf numFmtId="0" fontId="9" fillId="0" borderId="39" xfId="0" applyFont="1" applyBorder="1" applyAlignment="1">
      <alignment vertical="center" shrinkToFit="1"/>
    </xf>
    <xf numFmtId="0" fontId="9" fillId="0" borderId="0" xfId="0" applyFont="1" applyAlignment="1">
      <alignment vertical="center" wrapText="1"/>
    </xf>
    <xf numFmtId="0" fontId="12" fillId="0" borderId="45" xfId="0" applyFont="1" applyBorder="1" applyAlignment="1">
      <alignment vertical="center" wrapText="1"/>
    </xf>
    <xf numFmtId="0" fontId="12" fillId="0" borderId="31" xfId="0" applyFont="1" applyBorder="1" applyAlignment="1">
      <alignment vertical="center" wrapText="1"/>
    </xf>
    <xf numFmtId="0" fontId="12" fillId="0" borderId="46" xfId="0" applyFont="1" applyBorder="1" applyAlignment="1">
      <alignment vertical="center" wrapText="1"/>
    </xf>
    <xf numFmtId="0" fontId="9" fillId="0" borderId="6"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9" fillId="0" borderId="3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2" xfId="0" applyFont="1" applyBorder="1" applyAlignment="1">
      <alignment vertical="center" wrapText="1" shrinkToFit="1"/>
    </xf>
    <xf numFmtId="0" fontId="9" fillId="0" borderId="3" xfId="0" applyFont="1" applyBorder="1" applyAlignment="1">
      <alignment vertical="center" wrapText="1" shrinkToFit="1"/>
    </xf>
    <xf numFmtId="0" fontId="9" fillId="0" borderId="4" xfId="0" applyFont="1" applyBorder="1" applyAlignment="1">
      <alignment vertical="center" wrapText="1" shrinkToFit="1"/>
    </xf>
    <xf numFmtId="0" fontId="9" fillId="0" borderId="37" xfId="0" applyFont="1" applyBorder="1" applyAlignment="1">
      <alignment horizontal="center" vertical="center" shrinkToFit="1"/>
    </xf>
    <xf numFmtId="0" fontId="9" fillId="0" borderId="38" xfId="0" applyFont="1" applyBorder="1" applyAlignment="1">
      <alignment horizontal="center" vertical="center" shrinkToFit="1"/>
    </xf>
    <xf numFmtId="0" fontId="9" fillId="0" borderId="39"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6" xfId="0" applyFont="1" applyBorder="1" applyAlignment="1">
      <alignment horizontal="left" vertical="center" wrapText="1" shrinkToFit="1"/>
    </xf>
    <xf numFmtId="0" fontId="9" fillId="0" borderId="36" xfId="0" applyFont="1" applyBorder="1" applyAlignment="1">
      <alignment horizontal="left" vertical="center" shrinkToFit="1"/>
    </xf>
    <xf numFmtId="0" fontId="9" fillId="0" borderId="35"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38" xfId="0" applyFont="1" applyBorder="1" applyAlignment="1">
      <alignment horizontal="left" vertical="center" wrapText="1" shrinkToFit="1"/>
    </xf>
    <xf numFmtId="0" fontId="9" fillId="0" borderId="38"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19" xfId="0" applyFont="1" applyBorder="1" applyAlignment="1">
      <alignment vertical="center" wrapText="1" shrinkToFit="1"/>
    </xf>
    <xf numFmtId="0" fontId="9" fillId="0" borderId="0" xfId="0" applyFont="1" applyAlignment="1">
      <alignment horizontal="right" vertical="center"/>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11" fillId="0" borderId="0" xfId="0" applyFont="1" applyAlignment="1">
      <alignment horizontal="center" vertical="center"/>
    </xf>
    <xf numFmtId="0" fontId="9" fillId="0" borderId="7" xfId="0" applyFont="1" applyBorder="1" applyAlignment="1">
      <alignment horizontal="left" vertical="top" wrapText="1" shrinkToFit="1"/>
    </xf>
    <xf numFmtId="0" fontId="9" fillId="0" borderId="8" xfId="0" applyFont="1" applyBorder="1" applyAlignment="1">
      <alignment horizontal="left" vertical="top" wrapText="1" shrinkToFit="1"/>
    </xf>
    <xf numFmtId="0" fontId="9" fillId="0" borderId="9" xfId="0" applyFont="1" applyBorder="1" applyAlignment="1">
      <alignment horizontal="left" vertical="top" wrapText="1" shrinkToFit="1"/>
    </xf>
    <xf numFmtId="0" fontId="9" fillId="0" borderId="5" xfId="0" applyFont="1" applyBorder="1" applyAlignment="1">
      <alignment horizontal="left" vertical="top" wrapText="1" shrinkToFit="1"/>
    </xf>
    <xf numFmtId="0" fontId="9" fillId="0" borderId="0" xfId="0" applyFont="1" applyAlignment="1">
      <alignment horizontal="left" vertical="top" wrapText="1" shrinkToFit="1"/>
    </xf>
    <xf numFmtId="0" fontId="9" fillId="0" borderId="10" xfId="0" applyFont="1" applyBorder="1" applyAlignment="1">
      <alignment horizontal="left" vertical="top" wrapText="1" shrinkToFit="1"/>
    </xf>
    <xf numFmtId="0" fontId="9" fillId="0" borderId="11" xfId="0" applyFont="1" applyBorder="1" applyAlignment="1">
      <alignment horizontal="left" vertical="top" wrapText="1" shrinkToFit="1"/>
    </xf>
    <xf numFmtId="0" fontId="9" fillId="0" borderId="6" xfId="0" applyFont="1" applyBorder="1" applyAlignment="1">
      <alignment horizontal="left" vertical="top" wrapText="1" shrinkToFit="1"/>
    </xf>
    <xf numFmtId="0" fontId="9" fillId="0" borderId="12" xfId="0" applyFont="1" applyBorder="1" applyAlignment="1">
      <alignment horizontal="left" vertical="top" wrapText="1" shrinkToFi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11" xfId="0" applyFont="1" applyBorder="1" applyAlignment="1">
      <alignment horizontal="left" vertical="center" wrapText="1"/>
    </xf>
    <xf numFmtId="0" fontId="9" fillId="0" borderId="6" xfId="0" applyFont="1" applyBorder="1" applyAlignment="1">
      <alignment horizontal="left" vertical="center" wrapText="1"/>
    </xf>
    <xf numFmtId="0" fontId="9" fillId="0" borderId="12" xfId="0" applyFont="1" applyBorder="1" applyAlignment="1">
      <alignment horizontal="left" vertical="center" wrapText="1"/>
    </xf>
    <xf numFmtId="0" fontId="9" fillId="0" borderId="34" xfId="0" applyFont="1" applyBorder="1" applyAlignment="1">
      <alignment horizontal="left" vertical="center" shrinkToFit="1"/>
    </xf>
    <xf numFmtId="0" fontId="9" fillId="0" borderId="19" xfId="0" applyFont="1" applyBorder="1" applyAlignment="1">
      <alignment horizontal="left" vertical="center"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2" fillId="0" borderId="14" xfId="0" applyFont="1" applyBorder="1" applyAlignment="1">
      <alignment horizontal="center" vertical="center"/>
    </xf>
    <xf numFmtId="0" fontId="4" fillId="0" borderId="16" xfId="0" applyFont="1" applyBorder="1" applyAlignment="1">
      <alignment horizontal="center" vertical="center"/>
    </xf>
    <xf numFmtId="0" fontId="4" fillId="0" borderId="22" xfId="0" applyFont="1" applyBorder="1" applyAlignment="1">
      <alignment horizontal="center" vertical="center"/>
    </xf>
    <xf numFmtId="0" fontId="2" fillId="0" borderId="1" xfId="0" applyFont="1" applyBorder="1" applyAlignment="1">
      <alignment horizontal="center" vertical="center"/>
    </xf>
    <xf numFmtId="0" fontId="5"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6" fillId="0" borderId="8" xfId="0" applyFont="1" applyBorder="1" applyAlignment="1">
      <alignment horizontal="center" vertical="center" wrapText="1"/>
    </xf>
    <xf numFmtId="0" fontId="6" fillId="0" borderId="0" xfId="0" applyFont="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2" xfId="0" applyFont="1" applyBorder="1" applyAlignment="1">
      <alignment horizontal="center" vertical="center"/>
    </xf>
    <xf numFmtId="0" fontId="6" fillId="0" borderId="15"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13" xfId="0" applyFont="1" applyBorder="1" applyAlignment="1">
      <alignment horizontal="center" vertical="center"/>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9" fillId="0" borderId="0" xfId="0" applyFont="1">
      <alignment vertical="center"/>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xf numFmtId="0" fontId="9" fillId="0" borderId="9" xfId="0" applyFont="1" applyBorder="1" applyAlignment="1">
      <alignment vertical="top"/>
    </xf>
    <xf numFmtId="0" fontId="9" fillId="0" borderId="5" xfId="0" applyFont="1" applyBorder="1" applyAlignment="1">
      <alignment vertical="top"/>
    </xf>
    <xf numFmtId="0" fontId="9" fillId="0" borderId="0" xfId="0" applyFont="1" applyAlignment="1">
      <alignment vertical="top"/>
    </xf>
    <xf numFmtId="0" fontId="9" fillId="0" borderId="10" xfId="0" applyFont="1" applyBorder="1" applyAlignment="1">
      <alignment vertical="top"/>
    </xf>
    <xf numFmtId="0" fontId="9" fillId="0" borderId="11" xfId="0" applyFont="1" applyBorder="1" applyAlignment="1">
      <alignment vertical="top"/>
    </xf>
    <xf numFmtId="0" fontId="9" fillId="0" borderId="6" xfId="0" applyFont="1" applyBorder="1" applyAlignment="1">
      <alignment vertical="top"/>
    </xf>
    <xf numFmtId="0" fontId="9" fillId="0" borderId="12" xfId="0" applyFont="1" applyBorder="1" applyAlignment="1">
      <alignment vertical="top"/>
    </xf>
    <xf numFmtId="0" fontId="9" fillId="0" borderId="2" xfId="0" applyFont="1" applyFill="1" applyBorder="1" applyAlignment="1">
      <alignment vertical="center" shrinkToFit="1"/>
    </xf>
    <xf numFmtId="0" fontId="9" fillId="0" borderId="3" xfId="0" applyFont="1" applyFill="1" applyBorder="1" applyAlignment="1">
      <alignment vertical="center" shrinkToFit="1"/>
    </xf>
    <xf numFmtId="0" fontId="9" fillId="0" borderId="4" xfId="0" applyFont="1" applyFill="1" applyBorder="1" applyAlignment="1">
      <alignment vertical="center" shrinkToFit="1"/>
    </xf>
    <xf numFmtId="0" fontId="9" fillId="2" borderId="5" xfId="0" applyFont="1" applyFill="1" applyBorder="1" applyAlignment="1">
      <alignment horizontal="center" vertical="center" shrinkToFit="1"/>
    </xf>
    <xf numFmtId="0" fontId="9" fillId="2" borderId="0" xfId="0" applyFont="1" applyFill="1" applyAlignment="1">
      <alignment horizontal="center" vertical="center" shrinkToFit="1"/>
    </xf>
    <xf numFmtId="0" fontId="9" fillId="2" borderId="10" xfId="0" applyFont="1" applyFill="1" applyBorder="1" applyAlignment="1">
      <alignment horizontal="center" vertical="center" shrinkToFit="1"/>
    </xf>
    <xf numFmtId="0" fontId="9" fillId="0" borderId="2" xfId="0" applyFont="1" applyBorder="1" applyAlignment="1">
      <alignment horizontal="left" vertical="center"/>
    </xf>
    <xf numFmtId="0" fontId="10" fillId="0" borderId="3" xfId="0" applyFont="1" applyBorder="1">
      <alignment vertical="center"/>
    </xf>
    <xf numFmtId="0" fontId="10" fillId="0" borderId="4" xfId="0" applyFont="1" applyBorder="1">
      <alignment vertical="center"/>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9" fillId="0" borderId="0" xfId="0" applyFont="1" applyAlignment="1">
      <alignment horizontal="center" vertical="center"/>
    </xf>
    <xf numFmtId="9" fontId="9" fillId="0" borderId="1" xfId="0" applyNumberFormat="1" applyFont="1" applyBorder="1" applyAlignment="1">
      <alignment horizontal="center" vertical="center" shrinkToFit="1"/>
    </xf>
    <xf numFmtId="9" fontId="9" fillId="0" borderId="1" xfId="0" applyNumberFormat="1" applyFont="1" applyBorder="1" applyAlignment="1">
      <alignment horizontal="center" vertical="center" wrapText="1" shrinkToFit="1"/>
    </xf>
    <xf numFmtId="0" fontId="9" fillId="0" borderId="7" xfId="0" applyFont="1" applyFill="1" applyBorder="1" applyAlignment="1">
      <alignment horizontal="left" vertical="top" wrapText="1" shrinkToFit="1"/>
    </xf>
    <xf numFmtId="0" fontId="9" fillId="0" borderId="8" xfId="0" applyFont="1" applyFill="1" applyBorder="1" applyAlignment="1">
      <alignment horizontal="left" vertical="top" wrapText="1" shrinkToFit="1"/>
    </xf>
    <xf numFmtId="0" fontId="9" fillId="0" borderId="9" xfId="0" applyFont="1" applyFill="1" applyBorder="1" applyAlignment="1">
      <alignment horizontal="left" vertical="top" wrapText="1" shrinkToFit="1"/>
    </xf>
    <xf numFmtId="0" fontId="9" fillId="0" borderId="5" xfId="0" applyFont="1" applyFill="1" applyBorder="1" applyAlignment="1">
      <alignment horizontal="left" vertical="top" wrapText="1" shrinkToFit="1"/>
    </xf>
    <xf numFmtId="0" fontId="9" fillId="0" borderId="0" xfId="0" applyFont="1" applyFill="1" applyBorder="1" applyAlignment="1">
      <alignment horizontal="left" vertical="top" wrapText="1" shrinkToFit="1"/>
    </xf>
    <xf numFmtId="0" fontId="9" fillId="0" borderId="10" xfId="0" applyFont="1" applyFill="1" applyBorder="1" applyAlignment="1">
      <alignment horizontal="left" vertical="top" wrapText="1" shrinkToFit="1"/>
    </xf>
    <xf numFmtId="0" fontId="9" fillId="0" borderId="11" xfId="0" applyFont="1" applyFill="1" applyBorder="1" applyAlignment="1">
      <alignment horizontal="left" vertical="top" wrapText="1" shrinkToFit="1"/>
    </xf>
    <xf numFmtId="0" fontId="9" fillId="0" borderId="6" xfId="0" applyFont="1" applyFill="1" applyBorder="1" applyAlignment="1">
      <alignment horizontal="left" vertical="top" wrapText="1" shrinkToFit="1"/>
    </xf>
    <xf numFmtId="0" fontId="9" fillId="0" borderId="12" xfId="0" applyFont="1" applyFill="1" applyBorder="1" applyAlignment="1">
      <alignment horizontal="left" vertical="top" wrapText="1" shrinkToFit="1"/>
    </xf>
    <xf numFmtId="0" fontId="9" fillId="0" borderId="0" xfId="0" applyFont="1" applyBorder="1" applyAlignment="1">
      <alignment horizontal="left" vertical="top" wrapText="1" shrinkToFit="1"/>
    </xf>
    <xf numFmtId="0" fontId="9" fillId="0" borderId="17" xfId="0" applyFont="1" applyFill="1" applyBorder="1">
      <alignment vertical="center"/>
    </xf>
    <xf numFmtId="0" fontId="10" fillId="0" borderId="18" xfId="0" applyFont="1" applyFill="1" applyBorder="1">
      <alignment vertical="center"/>
    </xf>
    <xf numFmtId="0" fontId="9" fillId="0" borderId="19" xfId="0" applyFont="1" applyFill="1" applyBorder="1" applyAlignment="1">
      <alignment vertical="top" wrapText="1" shrinkToFit="1"/>
    </xf>
    <xf numFmtId="0" fontId="9" fillId="0" borderId="20" xfId="0" applyFont="1" applyFill="1" applyBorder="1" applyAlignment="1">
      <alignment vertical="top" wrapText="1" shrinkToFit="1"/>
    </xf>
    <xf numFmtId="0" fontId="9" fillId="0" borderId="18" xfId="0" applyFont="1" applyFill="1" applyBorder="1" applyAlignment="1">
      <alignment vertical="top" wrapText="1" shrinkToFit="1"/>
    </xf>
    <xf numFmtId="0" fontId="11" fillId="0" borderId="0" xfId="0" applyFont="1" applyFill="1" applyAlignment="1">
      <alignment horizontal="center" vertical="center"/>
    </xf>
    <xf numFmtId="0" fontId="9" fillId="0" borderId="2"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9" fillId="0" borderId="17" xfId="0" applyFont="1" applyFill="1" applyBorder="1" applyAlignment="1">
      <alignment vertical="center" wrapText="1"/>
    </xf>
    <xf numFmtId="0" fontId="9" fillId="0" borderId="18" xfId="0" applyFont="1" applyFill="1" applyBorder="1" applyAlignment="1">
      <alignment vertical="center" wrapText="1"/>
    </xf>
    <xf numFmtId="0" fontId="9" fillId="0" borderId="2" xfId="0" applyFont="1" applyFill="1" applyBorder="1" applyAlignment="1">
      <alignment horizontal="left" vertical="center"/>
    </xf>
    <xf numFmtId="0" fontId="9" fillId="0" borderId="3" xfId="0" applyFont="1" applyFill="1" applyBorder="1" applyAlignment="1">
      <alignment horizontal="left" vertical="center"/>
    </xf>
    <xf numFmtId="0" fontId="9" fillId="0" borderId="4" xfId="0" applyFont="1" applyFill="1" applyBorder="1" applyAlignment="1">
      <alignment horizontal="left" vertical="center"/>
    </xf>
    <xf numFmtId="0" fontId="9" fillId="0" borderId="59" xfId="0" applyFont="1" applyFill="1" applyBorder="1" applyAlignment="1">
      <alignment vertical="center" wrapText="1"/>
    </xf>
    <xf numFmtId="0" fontId="9" fillId="0" borderId="39" xfId="0" applyFont="1" applyFill="1" applyBorder="1" applyAlignment="1">
      <alignment vertical="center" wrapText="1"/>
    </xf>
    <xf numFmtId="0" fontId="9" fillId="0" borderId="37" xfId="0" applyFont="1" applyFill="1" applyBorder="1" applyAlignment="1">
      <alignment vertical="top" wrapText="1" shrinkToFit="1"/>
    </xf>
    <xf numFmtId="0" fontId="9" fillId="0" borderId="38" xfId="0" applyFont="1" applyFill="1" applyBorder="1" applyAlignment="1">
      <alignment vertical="top" wrapText="1" shrinkToFit="1"/>
    </xf>
    <xf numFmtId="0" fontId="9" fillId="0" borderId="39" xfId="0" applyFont="1" applyFill="1" applyBorder="1" applyAlignment="1">
      <alignment vertical="top" wrapText="1" shrinkToFit="1"/>
    </xf>
    <xf numFmtId="0" fontId="9" fillId="0" borderId="11" xfId="0" applyFont="1" applyFill="1" applyBorder="1" applyAlignment="1">
      <alignment vertical="center" wrapText="1"/>
    </xf>
    <xf numFmtId="0" fontId="9" fillId="0" borderId="6" xfId="0" applyFont="1" applyFill="1" applyBorder="1" applyAlignment="1">
      <alignment vertical="center" wrapText="1"/>
    </xf>
    <xf numFmtId="0" fontId="9" fillId="0" borderId="12" xfId="0" applyFont="1" applyFill="1" applyBorder="1" applyAlignment="1">
      <alignment vertical="center" wrapText="1"/>
    </xf>
    <xf numFmtId="0" fontId="9" fillId="0" borderId="6" xfId="0" applyFont="1" applyFill="1" applyBorder="1" applyAlignment="1">
      <alignment vertical="top" wrapText="1" shrinkToFit="1"/>
    </xf>
    <xf numFmtId="0" fontId="9" fillId="0" borderId="12" xfId="0" applyFont="1" applyFill="1" applyBorder="1" applyAlignment="1">
      <alignment vertical="top" wrapText="1" shrinkToFit="1"/>
    </xf>
    <xf numFmtId="0" fontId="9" fillId="0" borderId="41" xfId="0" applyFont="1" applyFill="1" applyBorder="1" applyAlignment="1">
      <alignment vertical="center" wrapText="1"/>
    </xf>
    <xf numFmtId="0" fontId="9" fillId="0" borderId="42" xfId="0" applyFont="1" applyFill="1" applyBorder="1" applyAlignment="1">
      <alignment vertical="center" wrapText="1"/>
    </xf>
    <xf numFmtId="0" fontId="9" fillId="0" borderId="43" xfId="0" applyFont="1" applyFill="1" applyBorder="1" applyAlignment="1">
      <alignment vertical="center" wrapText="1"/>
    </xf>
    <xf numFmtId="0" fontId="9" fillId="0" borderId="42" xfId="0" applyFont="1" applyFill="1" applyBorder="1" applyAlignment="1">
      <alignment vertical="top" wrapText="1" shrinkToFit="1"/>
    </xf>
    <xf numFmtId="0" fontId="9" fillId="0" borderId="43" xfId="0" applyFont="1" applyFill="1" applyBorder="1" applyAlignment="1">
      <alignment vertical="top" wrapText="1" shrinkToFit="1"/>
    </xf>
    <xf numFmtId="0" fontId="10" fillId="0" borderId="36" xfId="0" applyFont="1" applyBorder="1" applyAlignment="1">
      <alignment vertical="center" wrapText="1" shrinkToFit="1"/>
    </xf>
    <xf numFmtId="0" fontId="10" fillId="0" borderId="36" xfId="0" applyFont="1" applyBorder="1" applyAlignment="1">
      <alignment vertical="center" shrinkToFit="1"/>
    </xf>
    <xf numFmtId="0" fontId="10" fillId="0" borderId="35" xfId="0" applyFont="1" applyBorder="1" applyAlignment="1">
      <alignment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election activeCell="D97" sqref="D97:S97"/>
    </sheetView>
  </sheetViews>
  <sheetFormatPr defaultColWidth="9" defaultRowHeight="18.75" customHeight="1" x14ac:dyDescent="0.2"/>
  <cols>
    <col min="1" max="1" width="2.44140625" style="37" customWidth="1"/>
    <col min="2" max="2" width="16.44140625" style="37" customWidth="1"/>
    <col min="3" max="19" width="5.6640625" style="37" customWidth="1"/>
    <col min="20" max="20" width="9" style="37"/>
    <col min="21" max="21" width="3.6640625" style="37" customWidth="1"/>
    <col min="22" max="22" width="48.6640625" style="37" hidden="1" customWidth="1"/>
    <col min="23" max="16384" width="9" style="37"/>
  </cols>
  <sheetData>
    <row r="1" spans="1:22" ht="18.600000000000001" customHeight="1" x14ac:dyDescent="0.2">
      <c r="R1" s="161" t="s">
        <v>12</v>
      </c>
      <c r="S1" s="161"/>
      <c r="T1" s="38" t="s">
        <v>110</v>
      </c>
    </row>
    <row r="2" spans="1:22" ht="18.75" customHeight="1" x14ac:dyDescent="0.2">
      <c r="B2" s="39" t="s">
        <v>109</v>
      </c>
      <c r="C2" s="115" t="s">
        <v>132</v>
      </c>
      <c r="D2" s="116"/>
      <c r="E2" s="116"/>
      <c r="F2" s="116"/>
      <c r="G2" s="116"/>
      <c r="H2" s="116"/>
      <c r="I2" s="117"/>
      <c r="J2" s="40"/>
      <c r="K2" s="41"/>
      <c r="L2" s="41"/>
      <c r="M2" s="41"/>
      <c r="N2" s="41"/>
      <c r="O2" s="41"/>
      <c r="P2" s="41"/>
      <c r="Q2" s="41"/>
      <c r="R2" s="41"/>
      <c r="S2" s="41"/>
    </row>
    <row r="3" spans="1:22" ht="18.75" customHeight="1" x14ac:dyDescent="0.2">
      <c r="B3" s="39" t="s">
        <v>103</v>
      </c>
      <c r="C3" s="115" t="s">
        <v>133</v>
      </c>
      <c r="D3" s="116"/>
      <c r="E3" s="116"/>
      <c r="F3" s="116"/>
      <c r="G3" s="116"/>
      <c r="H3" s="116"/>
      <c r="I3" s="117"/>
      <c r="J3" s="40"/>
      <c r="K3" s="41"/>
      <c r="L3" s="41"/>
      <c r="M3" s="41"/>
      <c r="N3" s="41"/>
      <c r="O3" s="41"/>
      <c r="P3" s="41"/>
      <c r="Q3" s="41"/>
      <c r="R3" s="41"/>
      <c r="S3" s="41"/>
    </row>
    <row r="4" spans="1:22" ht="15" customHeight="1" x14ac:dyDescent="0.2">
      <c r="K4" s="40"/>
      <c r="L4" s="42"/>
      <c r="M4" s="42"/>
      <c r="N4" s="42"/>
      <c r="O4" s="42"/>
      <c r="P4" s="42"/>
      <c r="Q4" s="42"/>
      <c r="R4" s="42"/>
      <c r="S4" s="42"/>
    </row>
    <row r="5" spans="1:22" ht="18" customHeight="1" x14ac:dyDescent="0.2">
      <c r="A5" s="165" t="s">
        <v>39</v>
      </c>
      <c r="B5" s="165"/>
      <c r="C5" s="165"/>
      <c r="D5" s="165"/>
      <c r="E5" s="165"/>
      <c r="F5" s="165"/>
      <c r="G5" s="165"/>
      <c r="H5" s="165"/>
      <c r="I5" s="165"/>
      <c r="J5" s="165"/>
      <c r="K5" s="165"/>
      <c r="L5" s="165"/>
      <c r="M5" s="165"/>
      <c r="N5" s="165"/>
      <c r="O5" s="165"/>
      <c r="P5" s="165"/>
      <c r="Q5" s="165"/>
      <c r="R5" s="165"/>
      <c r="S5" s="165"/>
    </row>
    <row r="6" spans="1:22" ht="15" customHeight="1" x14ac:dyDescent="0.2">
      <c r="B6" s="43"/>
      <c r="C6" s="43"/>
      <c r="D6" s="43"/>
      <c r="E6" s="43"/>
      <c r="F6" s="43"/>
      <c r="G6" s="43"/>
      <c r="H6" s="43"/>
      <c r="I6" s="43"/>
      <c r="J6" s="43"/>
      <c r="K6" s="43"/>
      <c r="L6" s="43"/>
      <c r="M6" s="43"/>
      <c r="N6" s="43"/>
      <c r="O6" s="43"/>
      <c r="P6" s="43"/>
      <c r="Q6" s="43"/>
      <c r="R6" s="43"/>
      <c r="S6" s="43"/>
    </row>
    <row r="7" spans="1:22" ht="18" customHeight="1" x14ac:dyDescent="0.2">
      <c r="A7" s="37" t="s">
        <v>124</v>
      </c>
      <c r="C7" s="43"/>
      <c r="J7" s="44" t="s">
        <v>108</v>
      </c>
      <c r="K7" s="175" t="s">
        <v>131</v>
      </c>
      <c r="L7" s="176"/>
      <c r="M7" s="176"/>
      <c r="N7" s="176"/>
      <c r="O7" s="176"/>
      <c r="P7" s="176"/>
      <c r="Q7" s="176"/>
      <c r="R7" s="176"/>
      <c r="S7" s="177"/>
    </row>
    <row r="8" spans="1:22" ht="6" customHeight="1" x14ac:dyDescent="0.2">
      <c r="B8" s="43"/>
      <c r="C8" s="43"/>
      <c r="D8" s="43"/>
      <c r="E8" s="43"/>
      <c r="F8" s="43"/>
      <c r="G8" s="43"/>
      <c r="H8" s="43"/>
      <c r="I8" s="43"/>
      <c r="J8" s="43"/>
      <c r="K8" s="45"/>
      <c r="L8" s="43"/>
      <c r="M8" s="43"/>
      <c r="N8" s="43"/>
      <c r="O8" s="43"/>
      <c r="P8" s="43"/>
      <c r="Q8" s="43"/>
      <c r="R8" s="43"/>
      <c r="S8" s="43"/>
    </row>
    <row r="9" spans="1:22" ht="18" customHeight="1" x14ac:dyDescent="0.2">
      <c r="B9" s="178"/>
      <c r="C9" s="179"/>
      <c r="D9" s="179"/>
      <c r="E9" s="179"/>
      <c r="F9" s="179"/>
      <c r="G9" s="179"/>
      <c r="H9" s="179"/>
      <c r="I9" s="179"/>
      <c r="J9" s="179"/>
      <c r="K9" s="179"/>
      <c r="L9" s="179"/>
      <c r="M9" s="179"/>
      <c r="N9" s="179"/>
      <c r="O9" s="179"/>
      <c r="P9" s="179"/>
      <c r="Q9" s="179"/>
      <c r="R9" s="179"/>
      <c r="S9" s="180"/>
    </row>
    <row r="10" spans="1:22" ht="18" customHeight="1" x14ac:dyDescent="0.2">
      <c r="B10" s="181"/>
      <c r="C10" s="182"/>
      <c r="D10" s="182"/>
      <c r="E10" s="182"/>
      <c r="F10" s="182"/>
      <c r="G10" s="182"/>
      <c r="H10" s="182"/>
      <c r="I10" s="182"/>
      <c r="J10" s="182"/>
      <c r="K10" s="182"/>
      <c r="L10" s="182"/>
      <c r="M10" s="182"/>
      <c r="N10" s="182"/>
      <c r="O10" s="182"/>
      <c r="P10" s="182"/>
      <c r="Q10" s="182"/>
      <c r="R10" s="182"/>
      <c r="S10" s="183"/>
    </row>
    <row r="11" spans="1:22" ht="6" customHeight="1" x14ac:dyDescent="0.2">
      <c r="B11" s="43"/>
      <c r="C11" s="43"/>
      <c r="D11" s="43"/>
      <c r="E11" s="43"/>
      <c r="F11" s="43"/>
      <c r="G11" s="43"/>
      <c r="H11" s="43"/>
      <c r="I11" s="43"/>
      <c r="J11" s="43"/>
      <c r="K11" s="45"/>
      <c r="L11" s="43"/>
      <c r="M11" s="43"/>
      <c r="N11" s="43"/>
      <c r="O11" s="43"/>
      <c r="P11" s="43"/>
      <c r="Q11" s="43"/>
      <c r="R11" s="43"/>
      <c r="S11" s="43"/>
    </row>
    <row r="12" spans="1:22" ht="18" customHeight="1" x14ac:dyDescent="0.2">
      <c r="A12" s="37" t="s">
        <v>112</v>
      </c>
      <c r="B12" s="43"/>
      <c r="C12" s="43"/>
      <c r="D12" s="40"/>
      <c r="E12" s="40"/>
      <c r="F12" s="40"/>
      <c r="G12" s="40"/>
      <c r="H12" s="40"/>
      <c r="I12" s="40"/>
      <c r="J12" s="40"/>
      <c r="K12" s="46"/>
      <c r="L12" s="46"/>
      <c r="M12" s="46"/>
      <c r="N12" s="46"/>
      <c r="O12" s="46"/>
      <c r="P12" s="46"/>
      <c r="Q12" s="46"/>
      <c r="R12" s="46"/>
      <c r="S12" s="46"/>
    </row>
    <row r="13" spans="1:22" ht="18" customHeight="1" x14ac:dyDescent="0.2">
      <c r="B13" s="166" t="s">
        <v>140</v>
      </c>
      <c r="C13" s="167"/>
      <c r="D13" s="167"/>
      <c r="E13" s="167"/>
      <c r="F13" s="167"/>
      <c r="G13" s="167"/>
      <c r="H13" s="167"/>
      <c r="I13" s="167"/>
      <c r="J13" s="167"/>
      <c r="K13" s="167"/>
      <c r="L13" s="167"/>
      <c r="M13" s="167"/>
      <c r="N13" s="167"/>
      <c r="O13" s="167"/>
      <c r="P13" s="167"/>
      <c r="Q13" s="167"/>
      <c r="R13" s="167"/>
      <c r="S13" s="168"/>
      <c r="V13" s="37" t="s">
        <v>104</v>
      </c>
    </row>
    <row r="14" spans="1:22" ht="18" customHeight="1" x14ac:dyDescent="0.2">
      <c r="B14" s="169"/>
      <c r="C14" s="170"/>
      <c r="D14" s="170"/>
      <c r="E14" s="170"/>
      <c r="F14" s="170"/>
      <c r="G14" s="170"/>
      <c r="H14" s="170"/>
      <c r="I14" s="170"/>
      <c r="J14" s="170"/>
      <c r="K14" s="170"/>
      <c r="L14" s="170"/>
      <c r="M14" s="170"/>
      <c r="N14" s="170"/>
      <c r="O14" s="170"/>
      <c r="P14" s="170"/>
      <c r="Q14" s="170"/>
      <c r="R14" s="170"/>
      <c r="S14" s="171"/>
      <c r="V14" s="37" t="s">
        <v>111</v>
      </c>
    </row>
    <row r="15" spans="1:22" ht="18" customHeight="1" x14ac:dyDescent="0.2">
      <c r="B15" s="169"/>
      <c r="C15" s="170"/>
      <c r="D15" s="170"/>
      <c r="E15" s="170"/>
      <c r="F15" s="170"/>
      <c r="G15" s="170"/>
      <c r="H15" s="170"/>
      <c r="I15" s="170"/>
      <c r="J15" s="170"/>
      <c r="K15" s="170"/>
      <c r="L15" s="170"/>
      <c r="M15" s="170"/>
      <c r="N15" s="170"/>
      <c r="O15" s="170"/>
      <c r="P15" s="170"/>
      <c r="Q15" s="170"/>
      <c r="R15" s="170"/>
      <c r="S15" s="171"/>
      <c r="V15" s="37" t="s">
        <v>123</v>
      </c>
    </row>
    <row r="16" spans="1:22" ht="18" customHeight="1" x14ac:dyDescent="0.2">
      <c r="B16" s="169"/>
      <c r="C16" s="170"/>
      <c r="D16" s="170"/>
      <c r="E16" s="170"/>
      <c r="F16" s="170"/>
      <c r="G16" s="170"/>
      <c r="H16" s="170"/>
      <c r="I16" s="170"/>
      <c r="J16" s="170"/>
      <c r="K16" s="170"/>
      <c r="L16" s="170"/>
      <c r="M16" s="170"/>
      <c r="N16" s="170"/>
      <c r="O16" s="170"/>
      <c r="P16" s="170"/>
      <c r="Q16" s="170"/>
      <c r="R16" s="170"/>
      <c r="S16" s="171"/>
      <c r="V16" s="37" t="s">
        <v>125</v>
      </c>
    </row>
    <row r="17" spans="1:19" ht="18" customHeight="1" x14ac:dyDescent="0.2">
      <c r="B17" s="169"/>
      <c r="C17" s="170"/>
      <c r="D17" s="170"/>
      <c r="E17" s="170"/>
      <c r="F17" s="170"/>
      <c r="G17" s="170"/>
      <c r="H17" s="170"/>
      <c r="I17" s="170"/>
      <c r="J17" s="170"/>
      <c r="K17" s="170"/>
      <c r="L17" s="170"/>
      <c r="M17" s="170"/>
      <c r="N17" s="170"/>
      <c r="O17" s="170"/>
      <c r="P17" s="170"/>
      <c r="Q17" s="170"/>
      <c r="R17" s="170"/>
      <c r="S17" s="171"/>
    </row>
    <row r="18" spans="1:19" ht="18" customHeight="1" x14ac:dyDescent="0.2">
      <c r="B18" s="172"/>
      <c r="C18" s="173"/>
      <c r="D18" s="173"/>
      <c r="E18" s="173"/>
      <c r="F18" s="173"/>
      <c r="G18" s="173"/>
      <c r="H18" s="173"/>
      <c r="I18" s="173"/>
      <c r="J18" s="173"/>
      <c r="K18" s="173"/>
      <c r="L18" s="173"/>
      <c r="M18" s="173"/>
      <c r="N18" s="173"/>
      <c r="O18" s="173"/>
      <c r="P18" s="173"/>
      <c r="Q18" s="173"/>
      <c r="R18" s="173"/>
      <c r="S18" s="174"/>
    </row>
    <row r="19" spans="1:19" ht="7.5" customHeight="1" x14ac:dyDescent="0.2">
      <c r="B19" s="43"/>
      <c r="C19" s="43"/>
      <c r="D19" s="43"/>
      <c r="E19" s="43"/>
      <c r="F19" s="43"/>
      <c r="G19" s="43"/>
      <c r="H19" s="43"/>
      <c r="I19" s="43"/>
      <c r="J19" s="43"/>
      <c r="K19" s="43"/>
      <c r="L19" s="43"/>
      <c r="M19" s="43"/>
      <c r="N19" s="43"/>
      <c r="O19" s="43"/>
      <c r="P19" s="43"/>
      <c r="Q19" s="43"/>
      <c r="R19" s="43"/>
      <c r="S19" s="43"/>
    </row>
    <row r="20" spans="1:19" ht="19.95" customHeight="1" x14ac:dyDescent="0.2">
      <c r="B20" s="37" t="s">
        <v>113</v>
      </c>
      <c r="C20" s="115">
        <v>8</v>
      </c>
      <c r="D20" s="117"/>
      <c r="E20" s="47" t="s">
        <v>96</v>
      </c>
      <c r="G20" s="45"/>
      <c r="H20" s="43"/>
      <c r="I20" s="43"/>
      <c r="J20" s="40" t="s">
        <v>122</v>
      </c>
      <c r="K20" s="162" t="s">
        <v>125</v>
      </c>
      <c r="L20" s="163"/>
      <c r="M20" s="163"/>
      <c r="N20" s="163"/>
      <c r="O20" s="163"/>
      <c r="P20" s="163"/>
      <c r="Q20" s="163"/>
      <c r="R20" s="163"/>
      <c r="S20" s="164"/>
    </row>
    <row r="21" spans="1:19" ht="7.5" customHeight="1" x14ac:dyDescent="0.2">
      <c r="B21" s="43"/>
      <c r="C21" s="43"/>
      <c r="D21" s="43"/>
      <c r="E21" s="43"/>
      <c r="F21" s="43"/>
      <c r="G21" s="43"/>
      <c r="H21" s="43"/>
      <c r="I21" s="43"/>
      <c r="J21" s="43"/>
      <c r="K21" s="43"/>
      <c r="L21" s="43"/>
      <c r="M21" s="43"/>
      <c r="N21" s="43"/>
      <c r="O21" s="43"/>
      <c r="P21" s="43"/>
      <c r="Q21" s="43"/>
      <c r="R21" s="43"/>
      <c r="S21" s="43"/>
    </row>
    <row r="22" spans="1:19" ht="18" customHeight="1" x14ac:dyDescent="0.2">
      <c r="A22" s="121" t="s">
        <v>114</v>
      </c>
      <c r="B22" s="121"/>
      <c r="C22" s="121"/>
      <c r="D22" s="121"/>
      <c r="E22" s="121"/>
      <c r="F22" s="121"/>
      <c r="G22" s="121"/>
      <c r="H22" s="121"/>
      <c r="I22" s="121"/>
      <c r="J22" s="121"/>
      <c r="K22" s="121"/>
      <c r="L22" s="121"/>
      <c r="M22" s="121"/>
      <c r="N22" s="121"/>
      <c r="O22" s="121"/>
      <c r="P22" s="121"/>
      <c r="Q22" s="121"/>
      <c r="R22" s="121"/>
      <c r="S22" s="121"/>
    </row>
    <row r="23" spans="1:19" ht="18" customHeight="1" x14ac:dyDescent="0.2">
      <c r="A23" s="121"/>
      <c r="B23" s="121"/>
      <c r="C23" s="121"/>
      <c r="D23" s="121"/>
      <c r="E23" s="121"/>
      <c r="F23" s="121"/>
      <c r="G23" s="121"/>
      <c r="H23" s="121"/>
      <c r="I23" s="121"/>
      <c r="J23" s="121"/>
      <c r="K23" s="121"/>
      <c r="L23" s="121"/>
      <c r="M23" s="121"/>
      <c r="N23" s="121"/>
      <c r="O23" s="121"/>
      <c r="P23" s="121"/>
      <c r="Q23" s="121"/>
      <c r="R23" s="121"/>
      <c r="S23" s="121"/>
    </row>
    <row r="24" spans="1:19" ht="18" customHeight="1" x14ac:dyDescent="0.2">
      <c r="B24" s="115" t="s">
        <v>54</v>
      </c>
      <c r="C24" s="116"/>
      <c r="D24" s="116"/>
      <c r="E24" s="117"/>
      <c r="F24" s="48" t="s">
        <v>81</v>
      </c>
      <c r="G24" s="49" t="s">
        <v>85</v>
      </c>
      <c r="H24" s="50" t="s">
        <v>57</v>
      </c>
      <c r="I24" s="50" t="s">
        <v>60</v>
      </c>
      <c r="J24" s="115" t="s">
        <v>54</v>
      </c>
      <c r="K24" s="116"/>
      <c r="L24" s="116"/>
      <c r="M24" s="116"/>
      <c r="N24" s="116"/>
      <c r="O24" s="117"/>
      <c r="P24" s="48" t="s">
        <v>81</v>
      </c>
      <c r="Q24" s="49" t="s">
        <v>85</v>
      </c>
      <c r="R24" s="50" t="s">
        <v>57</v>
      </c>
      <c r="S24" s="50" t="s">
        <v>60</v>
      </c>
    </row>
    <row r="25" spans="1:19" ht="18" customHeight="1" x14ac:dyDescent="0.2">
      <c r="B25" s="109" t="s">
        <v>126</v>
      </c>
      <c r="C25" s="110"/>
      <c r="D25" s="110"/>
      <c r="E25" s="111"/>
      <c r="F25" s="51">
        <v>2</v>
      </c>
      <c r="G25" s="51" t="s">
        <v>130</v>
      </c>
      <c r="H25" s="51" t="s">
        <v>130</v>
      </c>
      <c r="I25" s="51"/>
      <c r="J25" s="109"/>
      <c r="K25" s="110"/>
      <c r="L25" s="110"/>
      <c r="M25" s="110"/>
      <c r="N25" s="110"/>
      <c r="O25" s="111"/>
      <c r="P25" s="51"/>
      <c r="Q25" s="51"/>
      <c r="R25" s="51"/>
      <c r="S25" s="51"/>
    </row>
    <row r="26" spans="1:19" ht="18" customHeight="1" x14ac:dyDescent="0.2">
      <c r="B26" s="112" t="s">
        <v>127</v>
      </c>
      <c r="C26" s="113"/>
      <c r="D26" s="113"/>
      <c r="E26" s="114"/>
      <c r="F26" s="52">
        <v>2</v>
      </c>
      <c r="G26" s="52" t="s">
        <v>130</v>
      </c>
      <c r="H26" s="52" t="s">
        <v>130</v>
      </c>
      <c r="I26" s="52" t="s">
        <v>130</v>
      </c>
      <c r="J26" s="112"/>
      <c r="K26" s="113"/>
      <c r="L26" s="113"/>
      <c r="M26" s="113"/>
      <c r="N26" s="113"/>
      <c r="O26" s="114"/>
      <c r="P26" s="52"/>
      <c r="Q26" s="52"/>
      <c r="R26" s="52"/>
      <c r="S26" s="52"/>
    </row>
    <row r="27" spans="1:19" ht="18" customHeight="1" x14ac:dyDescent="0.2">
      <c r="B27" s="112" t="s">
        <v>128</v>
      </c>
      <c r="C27" s="113"/>
      <c r="D27" s="113"/>
      <c r="E27" s="114"/>
      <c r="F27" s="52">
        <v>2</v>
      </c>
      <c r="G27" s="52" t="s">
        <v>130</v>
      </c>
      <c r="H27" s="52" t="s">
        <v>130</v>
      </c>
      <c r="I27" s="52"/>
      <c r="J27" s="112"/>
      <c r="K27" s="113"/>
      <c r="L27" s="113"/>
      <c r="M27" s="113"/>
      <c r="N27" s="113"/>
      <c r="O27" s="114"/>
      <c r="P27" s="52"/>
      <c r="Q27" s="52"/>
      <c r="R27" s="52"/>
      <c r="S27" s="52"/>
    </row>
    <row r="28" spans="1:19" ht="18" customHeight="1" x14ac:dyDescent="0.2">
      <c r="B28" s="112" t="s">
        <v>129</v>
      </c>
      <c r="C28" s="113"/>
      <c r="D28" s="113"/>
      <c r="E28" s="114"/>
      <c r="F28" s="52">
        <v>2</v>
      </c>
      <c r="G28" s="52" t="s">
        <v>130</v>
      </c>
      <c r="H28" s="52" t="s">
        <v>130</v>
      </c>
      <c r="I28" s="52" t="s">
        <v>130</v>
      </c>
      <c r="J28" s="112"/>
      <c r="K28" s="113"/>
      <c r="L28" s="113"/>
      <c r="M28" s="113"/>
      <c r="N28" s="113"/>
      <c r="O28" s="114"/>
      <c r="P28" s="52"/>
      <c r="Q28" s="52"/>
      <c r="R28" s="52"/>
      <c r="S28" s="52"/>
    </row>
    <row r="29" spans="1:19" ht="18" customHeight="1" x14ac:dyDescent="0.2">
      <c r="B29" s="112"/>
      <c r="C29" s="113"/>
      <c r="D29" s="113"/>
      <c r="E29" s="114"/>
      <c r="F29" s="52"/>
      <c r="G29" s="52"/>
      <c r="H29" s="52"/>
      <c r="I29" s="52"/>
      <c r="J29" s="112"/>
      <c r="K29" s="113"/>
      <c r="L29" s="113"/>
      <c r="M29" s="113"/>
      <c r="N29" s="113"/>
      <c r="O29" s="114"/>
      <c r="P29" s="52"/>
      <c r="Q29" s="52"/>
      <c r="R29" s="52"/>
      <c r="S29" s="52"/>
    </row>
    <row r="30" spans="1:19" ht="18" customHeight="1" x14ac:dyDescent="0.2">
      <c r="A30" s="43"/>
      <c r="B30" s="160"/>
      <c r="C30" s="113"/>
      <c r="D30" s="113"/>
      <c r="E30" s="114"/>
      <c r="F30" s="52"/>
      <c r="G30" s="52"/>
      <c r="H30" s="52"/>
      <c r="I30" s="52"/>
      <c r="J30" s="112"/>
      <c r="K30" s="113"/>
      <c r="L30" s="113"/>
      <c r="M30" s="113"/>
      <c r="N30" s="113"/>
      <c r="O30" s="114"/>
      <c r="P30" s="52"/>
      <c r="Q30" s="52"/>
      <c r="R30" s="52"/>
      <c r="S30" s="52"/>
    </row>
    <row r="31" spans="1:19" ht="18" customHeight="1" x14ac:dyDescent="0.2">
      <c r="A31" s="43"/>
      <c r="B31" s="118"/>
      <c r="C31" s="119"/>
      <c r="D31" s="119"/>
      <c r="E31" s="120"/>
      <c r="F31" s="53"/>
      <c r="G31" s="53"/>
      <c r="H31" s="54"/>
      <c r="I31" s="54"/>
      <c r="J31" s="118"/>
      <c r="K31" s="119"/>
      <c r="L31" s="119"/>
      <c r="M31" s="119"/>
      <c r="N31" s="119"/>
      <c r="O31" s="120"/>
      <c r="P31" s="53"/>
      <c r="Q31" s="53"/>
      <c r="R31" s="54"/>
      <c r="S31" s="54"/>
    </row>
    <row r="32" spans="1:19" ht="7.5" customHeight="1" x14ac:dyDescent="0.2">
      <c r="A32" s="43"/>
      <c r="B32" s="41"/>
      <c r="C32" s="41"/>
      <c r="D32" s="43"/>
      <c r="E32" s="43"/>
      <c r="F32" s="43"/>
      <c r="G32" s="43"/>
      <c r="H32" s="41"/>
      <c r="I32" s="41"/>
      <c r="J32" s="41"/>
      <c r="K32" s="41"/>
      <c r="L32" s="41"/>
      <c r="M32" s="41"/>
      <c r="N32" s="41"/>
      <c r="O32" s="41"/>
      <c r="P32" s="41"/>
      <c r="Q32" s="41"/>
      <c r="R32" s="41"/>
      <c r="S32" s="43"/>
    </row>
    <row r="33" spans="1:19" ht="18" customHeight="1" x14ac:dyDescent="0.2">
      <c r="A33" s="121" t="s">
        <v>115</v>
      </c>
      <c r="B33" s="121"/>
      <c r="C33" s="121"/>
      <c r="D33" s="121"/>
      <c r="E33" s="121"/>
      <c r="F33" s="121"/>
      <c r="G33" s="121"/>
      <c r="H33" s="121"/>
      <c r="I33" s="121"/>
      <c r="J33" s="121"/>
      <c r="K33" s="121"/>
      <c r="L33" s="121"/>
      <c r="M33" s="121"/>
      <c r="N33" s="121"/>
      <c r="O33" s="121"/>
      <c r="P33" s="121"/>
      <c r="Q33" s="121"/>
      <c r="R33" s="121"/>
      <c r="S33" s="121"/>
    </row>
    <row r="34" spans="1:19" ht="18" customHeight="1" x14ac:dyDescent="0.2">
      <c r="A34" s="121"/>
      <c r="B34" s="121"/>
      <c r="C34" s="121"/>
      <c r="D34" s="121"/>
      <c r="E34" s="121"/>
      <c r="F34" s="121"/>
      <c r="G34" s="121"/>
      <c r="H34" s="121"/>
      <c r="I34" s="121"/>
      <c r="J34" s="121"/>
      <c r="K34" s="121"/>
      <c r="L34" s="121"/>
      <c r="M34" s="121"/>
      <c r="N34" s="121"/>
      <c r="O34" s="121"/>
      <c r="P34" s="121"/>
      <c r="Q34" s="121"/>
      <c r="R34" s="121"/>
      <c r="S34" s="121"/>
    </row>
    <row r="35" spans="1:19" ht="18" customHeight="1" x14ac:dyDescent="0.2">
      <c r="B35" s="115" t="s">
        <v>54</v>
      </c>
      <c r="C35" s="116"/>
      <c r="D35" s="116"/>
      <c r="E35" s="117"/>
      <c r="F35" s="48" t="s">
        <v>81</v>
      </c>
      <c r="G35" s="49" t="s">
        <v>85</v>
      </c>
      <c r="H35" s="50" t="s">
        <v>72</v>
      </c>
      <c r="I35" s="50" t="s">
        <v>73</v>
      </c>
      <c r="J35" s="115" t="s">
        <v>54</v>
      </c>
      <c r="K35" s="116"/>
      <c r="L35" s="116"/>
      <c r="M35" s="116"/>
      <c r="N35" s="116"/>
      <c r="O35" s="117"/>
      <c r="P35" s="48" t="s">
        <v>81</v>
      </c>
      <c r="Q35" s="49" t="s">
        <v>85</v>
      </c>
      <c r="R35" s="50" t="s">
        <v>72</v>
      </c>
      <c r="S35" s="50" t="s">
        <v>73</v>
      </c>
    </row>
    <row r="36" spans="1:19" ht="18" customHeight="1" x14ac:dyDescent="0.2">
      <c r="B36" s="109" t="s">
        <v>126</v>
      </c>
      <c r="C36" s="110"/>
      <c r="D36" s="110"/>
      <c r="E36" s="111"/>
      <c r="F36" s="51">
        <v>2</v>
      </c>
      <c r="G36" s="51" t="s">
        <v>130</v>
      </c>
      <c r="H36" s="51" t="s">
        <v>130</v>
      </c>
      <c r="I36" s="51"/>
      <c r="J36" s="109"/>
      <c r="K36" s="110"/>
      <c r="L36" s="110"/>
      <c r="M36" s="110"/>
      <c r="N36" s="110"/>
      <c r="O36" s="111"/>
      <c r="P36" s="51"/>
      <c r="Q36" s="51"/>
      <c r="R36" s="51"/>
      <c r="S36" s="51"/>
    </row>
    <row r="37" spans="1:19" ht="18" customHeight="1" x14ac:dyDescent="0.2">
      <c r="B37" s="112" t="s">
        <v>127</v>
      </c>
      <c r="C37" s="113"/>
      <c r="D37" s="113"/>
      <c r="E37" s="114"/>
      <c r="F37" s="52">
        <v>2</v>
      </c>
      <c r="G37" s="52" t="s">
        <v>130</v>
      </c>
      <c r="H37" s="52"/>
      <c r="I37" s="52" t="s">
        <v>130</v>
      </c>
      <c r="J37" s="112"/>
      <c r="K37" s="113"/>
      <c r="L37" s="113"/>
      <c r="M37" s="113"/>
      <c r="N37" s="113"/>
      <c r="O37" s="114"/>
      <c r="P37" s="52"/>
      <c r="Q37" s="52"/>
      <c r="R37" s="52"/>
      <c r="S37" s="52"/>
    </row>
    <row r="38" spans="1:19" ht="18" customHeight="1" x14ac:dyDescent="0.2">
      <c r="B38" s="112" t="s">
        <v>129</v>
      </c>
      <c r="C38" s="113"/>
      <c r="D38" s="113"/>
      <c r="E38" s="114"/>
      <c r="F38" s="52">
        <v>2</v>
      </c>
      <c r="G38" s="52" t="s">
        <v>130</v>
      </c>
      <c r="H38" s="52"/>
      <c r="I38" s="52" t="s">
        <v>130</v>
      </c>
      <c r="J38" s="112"/>
      <c r="K38" s="113"/>
      <c r="L38" s="113"/>
      <c r="M38" s="113"/>
      <c r="N38" s="113"/>
      <c r="O38" s="114"/>
      <c r="P38" s="52"/>
      <c r="Q38" s="52"/>
      <c r="R38" s="52"/>
      <c r="S38" s="52"/>
    </row>
    <row r="39" spans="1:19" ht="18" customHeight="1" x14ac:dyDescent="0.2">
      <c r="B39" s="112"/>
      <c r="C39" s="113"/>
      <c r="D39" s="113"/>
      <c r="E39" s="114"/>
      <c r="F39" s="52"/>
      <c r="G39" s="52"/>
      <c r="H39" s="52"/>
      <c r="I39" s="52"/>
      <c r="J39" s="112"/>
      <c r="K39" s="113"/>
      <c r="L39" s="113"/>
      <c r="M39" s="113"/>
      <c r="N39" s="113"/>
      <c r="O39" s="114"/>
      <c r="P39" s="52"/>
      <c r="Q39" s="52"/>
      <c r="R39" s="52"/>
      <c r="S39" s="52"/>
    </row>
    <row r="40" spans="1:19" ht="18" customHeight="1" x14ac:dyDescent="0.2">
      <c r="B40" s="112"/>
      <c r="C40" s="113"/>
      <c r="D40" s="113"/>
      <c r="E40" s="114"/>
      <c r="F40" s="52"/>
      <c r="G40" s="52"/>
      <c r="H40" s="52"/>
      <c r="I40" s="52"/>
      <c r="J40" s="112"/>
      <c r="K40" s="113"/>
      <c r="L40" s="113"/>
      <c r="M40" s="113"/>
      <c r="N40" s="113"/>
      <c r="O40" s="114"/>
      <c r="P40" s="52"/>
      <c r="Q40" s="52"/>
      <c r="R40" s="52"/>
      <c r="S40" s="52"/>
    </row>
    <row r="41" spans="1:19" ht="18" customHeight="1" x14ac:dyDescent="0.2">
      <c r="B41" s="112"/>
      <c r="C41" s="113"/>
      <c r="D41" s="113"/>
      <c r="E41" s="114"/>
      <c r="F41" s="52"/>
      <c r="G41" s="52"/>
      <c r="H41" s="52"/>
      <c r="I41" s="52"/>
      <c r="J41" s="112"/>
      <c r="K41" s="113"/>
      <c r="L41" s="113"/>
      <c r="M41" s="113"/>
      <c r="N41" s="113"/>
      <c r="O41" s="114"/>
      <c r="P41" s="52"/>
      <c r="Q41" s="52"/>
      <c r="R41" s="52"/>
      <c r="S41" s="52"/>
    </row>
    <row r="42" spans="1:19" ht="18" customHeight="1" x14ac:dyDescent="0.2">
      <c r="B42" s="118"/>
      <c r="C42" s="119"/>
      <c r="D42" s="119"/>
      <c r="E42" s="120"/>
      <c r="F42" s="53"/>
      <c r="G42" s="53"/>
      <c r="H42" s="54"/>
      <c r="I42" s="54"/>
      <c r="J42" s="118"/>
      <c r="K42" s="119"/>
      <c r="L42" s="119"/>
      <c r="M42" s="119"/>
      <c r="N42" s="119"/>
      <c r="O42" s="120"/>
      <c r="P42" s="53"/>
      <c r="Q42" s="53"/>
      <c r="R42" s="54"/>
      <c r="S42" s="54"/>
    </row>
    <row r="43" spans="1:19" ht="7.5" customHeight="1" x14ac:dyDescent="0.2">
      <c r="A43" s="43"/>
      <c r="B43" s="41"/>
      <c r="C43" s="41"/>
      <c r="D43" s="43"/>
      <c r="E43" s="43"/>
      <c r="F43" s="43"/>
      <c r="G43" s="43"/>
      <c r="H43" s="41"/>
      <c r="I43" s="41"/>
      <c r="J43" s="41"/>
      <c r="K43" s="41"/>
      <c r="L43" s="41"/>
      <c r="M43" s="41"/>
      <c r="N43" s="41"/>
      <c r="O43" s="41"/>
      <c r="P43" s="41"/>
      <c r="Q43" s="41"/>
      <c r="R43" s="41"/>
      <c r="S43" s="43"/>
    </row>
    <row r="44" spans="1:19" ht="18" customHeight="1" x14ac:dyDescent="0.2">
      <c r="A44" s="121" t="s">
        <v>116</v>
      </c>
      <c r="B44" s="121"/>
      <c r="C44" s="121"/>
      <c r="D44" s="121"/>
      <c r="E44" s="121"/>
      <c r="F44" s="121"/>
      <c r="G44" s="121"/>
      <c r="H44" s="121"/>
      <c r="I44" s="121"/>
      <c r="J44" s="121"/>
      <c r="K44" s="121"/>
      <c r="L44" s="121"/>
      <c r="M44" s="121"/>
      <c r="N44" s="121"/>
      <c r="O44" s="121"/>
      <c r="P44" s="121"/>
      <c r="Q44" s="121"/>
      <c r="R44" s="121"/>
      <c r="S44" s="121"/>
    </row>
    <row r="45" spans="1:19" ht="18" customHeight="1" x14ac:dyDescent="0.2">
      <c r="A45" s="121"/>
      <c r="B45" s="121"/>
      <c r="C45" s="121"/>
      <c r="D45" s="121"/>
      <c r="E45" s="121"/>
      <c r="F45" s="121"/>
      <c r="G45" s="121"/>
      <c r="H45" s="121"/>
      <c r="I45" s="121"/>
      <c r="J45" s="121"/>
      <c r="K45" s="121"/>
      <c r="L45" s="121"/>
      <c r="M45" s="121"/>
      <c r="N45" s="121"/>
      <c r="O45" s="121"/>
      <c r="P45" s="121"/>
      <c r="Q45" s="121"/>
      <c r="R45" s="121"/>
      <c r="S45" s="121"/>
    </row>
    <row r="46" spans="1:19" ht="18" customHeight="1" x14ac:dyDescent="0.2">
      <c r="B46" s="115" t="s">
        <v>54</v>
      </c>
      <c r="C46" s="116"/>
      <c r="D46" s="116"/>
      <c r="E46" s="117"/>
      <c r="F46" s="48" t="s">
        <v>81</v>
      </c>
      <c r="G46" s="49" t="s">
        <v>85</v>
      </c>
      <c r="H46" s="50" t="s">
        <v>74</v>
      </c>
      <c r="I46" s="50" t="s">
        <v>75</v>
      </c>
      <c r="J46" s="115" t="s">
        <v>54</v>
      </c>
      <c r="K46" s="116"/>
      <c r="L46" s="116"/>
      <c r="M46" s="116"/>
      <c r="N46" s="116"/>
      <c r="O46" s="117"/>
      <c r="P46" s="48" t="s">
        <v>81</v>
      </c>
      <c r="Q46" s="49" t="s">
        <v>85</v>
      </c>
      <c r="R46" s="50" t="s">
        <v>74</v>
      </c>
      <c r="S46" s="50" t="s">
        <v>75</v>
      </c>
    </row>
    <row r="47" spans="1:19" ht="18" customHeight="1" x14ac:dyDescent="0.2">
      <c r="A47" s="43"/>
      <c r="B47" s="109" t="s">
        <v>126</v>
      </c>
      <c r="C47" s="110"/>
      <c r="D47" s="110"/>
      <c r="E47" s="111"/>
      <c r="F47" s="51">
        <v>2</v>
      </c>
      <c r="G47" s="51" t="s">
        <v>130</v>
      </c>
      <c r="H47" s="51" t="s">
        <v>130</v>
      </c>
      <c r="I47" s="51" t="s">
        <v>130</v>
      </c>
      <c r="J47" s="109"/>
      <c r="K47" s="110"/>
      <c r="L47" s="110"/>
      <c r="M47" s="110"/>
      <c r="N47" s="110"/>
      <c r="O47" s="111"/>
      <c r="P47" s="51"/>
      <c r="Q47" s="51"/>
      <c r="R47" s="51"/>
      <c r="S47" s="51"/>
    </row>
    <row r="48" spans="1:19" ht="18" customHeight="1" x14ac:dyDescent="0.2">
      <c r="A48" s="43"/>
      <c r="B48" s="112" t="s">
        <v>127</v>
      </c>
      <c r="C48" s="113"/>
      <c r="D48" s="113"/>
      <c r="E48" s="114"/>
      <c r="F48" s="52">
        <v>2</v>
      </c>
      <c r="G48" s="52" t="s">
        <v>130</v>
      </c>
      <c r="H48" s="52" t="s">
        <v>130</v>
      </c>
      <c r="I48" s="52"/>
      <c r="J48" s="112"/>
      <c r="K48" s="113"/>
      <c r="L48" s="113"/>
      <c r="M48" s="113"/>
      <c r="N48" s="113"/>
      <c r="O48" s="114"/>
      <c r="P48" s="52"/>
      <c r="Q48" s="52"/>
      <c r="R48" s="52"/>
      <c r="S48" s="52"/>
    </row>
    <row r="49" spans="1:19" ht="18" customHeight="1" x14ac:dyDescent="0.2">
      <c r="A49" s="43"/>
      <c r="B49" s="112" t="s">
        <v>129</v>
      </c>
      <c r="C49" s="113"/>
      <c r="D49" s="113"/>
      <c r="E49" s="114"/>
      <c r="F49" s="52">
        <v>2</v>
      </c>
      <c r="G49" s="52" t="s">
        <v>130</v>
      </c>
      <c r="H49" s="52"/>
      <c r="I49" s="52" t="s">
        <v>130</v>
      </c>
      <c r="J49" s="112"/>
      <c r="K49" s="113"/>
      <c r="L49" s="113"/>
      <c r="M49" s="113"/>
      <c r="N49" s="113"/>
      <c r="O49" s="114"/>
      <c r="P49" s="52"/>
      <c r="Q49" s="52"/>
      <c r="R49" s="52"/>
      <c r="S49" s="52"/>
    </row>
    <row r="50" spans="1:19" ht="18" customHeight="1" x14ac:dyDescent="0.2">
      <c r="A50" s="43"/>
      <c r="B50" s="112"/>
      <c r="C50" s="113"/>
      <c r="D50" s="113"/>
      <c r="E50" s="114"/>
      <c r="F50" s="52"/>
      <c r="G50" s="52"/>
      <c r="H50" s="52"/>
      <c r="I50" s="52"/>
      <c r="J50" s="112"/>
      <c r="K50" s="113"/>
      <c r="L50" s="113"/>
      <c r="M50" s="113"/>
      <c r="N50" s="113"/>
      <c r="O50" s="114"/>
      <c r="P50" s="52"/>
      <c r="Q50" s="52"/>
      <c r="R50" s="52"/>
      <c r="S50" s="52"/>
    </row>
    <row r="51" spans="1:19" ht="18" customHeight="1" x14ac:dyDescent="0.2">
      <c r="A51" s="43"/>
      <c r="B51" s="112"/>
      <c r="C51" s="113"/>
      <c r="D51" s="113"/>
      <c r="E51" s="114"/>
      <c r="F51" s="52"/>
      <c r="G51" s="52"/>
      <c r="H51" s="52"/>
      <c r="I51" s="52"/>
      <c r="J51" s="112"/>
      <c r="K51" s="113"/>
      <c r="L51" s="113"/>
      <c r="M51" s="113"/>
      <c r="N51" s="113"/>
      <c r="O51" s="114"/>
      <c r="P51" s="52"/>
      <c r="Q51" s="52"/>
      <c r="R51" s="52"/>
      <c r="S51" s="52"/>
    </row>
    <row r="52" spans="1:19" ht="18" customHeight="1" x14ac:dyDescent="0.2">
      <c r="A52" s="43"/>
      <c r="B52" s="112"/>
      <c r="C52" s="113"/>
      <c r="D52" s="113"/>
      <c r="E52" s="114"/>
      <c r="F52" s="52"/>
      <c r="G52" s="52"/>
      <c r="H52" s="52"/>
      <c r="I52" s="52"/>
      <c r="J52" s="112"/>
      <c r="K52" s="113"/>
      <c r="L52" s="113"/>
      <c r="M52" s="113"/>
      <c r="N52" s="113"/>
      <c r="O52" s="114"/>
      <c r="P52" s="52"/>
      <c r="Q52" s="52"/>
      <c r="R52" s="52"/>
      <c r="S52" s="52"/>
    </row>
    <row r="53" spans="1:19" ht="18" customHeight="1" x14ac:dyDescent="0.2">
      <c r="A53" s="43"/>
      <c r="B53" s="118"/>
      <c r="C53" s="119"/>
      <c r="D53" s="119"/>
      <c r="E53" s="120"/>
      <c r="F53" s="53"/>
      <c r="G53" s="53"/>
      <c r="H53" s="54"/>
      <c r="I53" s="54"/>
      <c r="J53" s="118"/>
      <c r="K53" s="119"/>
      <c r="L53" s="119"/>
      <c r="M53" s="119"/>
      <c r="N53" s="119"/>
      <c r="O53" s="120"/>
      <c r="P53" s="53"/>
      <c r="Q53" s="53"/>
      <c r="R53" s="54"/>
      <c r="S53" s="54"/>
    </row>
    <row r="54" spans="1:19" ht="7.5" customHeight="1" x14ac:dyDescent="0.2">
      <c r="B54" s="55"/>
      <c r="C54" s="55"/>
      <c r="D54" s="55"/>
      <c r="E54" s="55"/>
      <c r="F54" s="55"/>
      <c r="G54" s="55"/>
      <c r="H54" s="55"/>
      <c r="I54" s="55"/>
      <c r="J54" s="55"/>
      <c r="K54" s="55"/>
      <c r="L54" s="55"/>
      <c r="M54" s="55"/>
      <c r="N54" s="55"/>
      <c r="O54" s="55"/>
      <c r="P54" s="55"/>
      <c r="Q54" s="55"/>
      <c r="R54" s="55"/>
    </row>
    <row r="55" spans="1:19" ht="18" customHeight="1" x14ac:dyDescent="0.2">
      <c r="A55" s="121" t="s">
        <v>117</v>
      </c>
      <c r="B55" s="121"/>
      <c r="C55" s="121"/>
      <c r="D55" s="121"/>
      <c r="E55" s="121"/>
      <c r="F55" s="121"/>
      <c r="G55" s="121"/>
      <c r="H55" s="121"/>
      <c r="I55" s="121"/>
      <c r="J55" s="121"/>
      <c r="K55" s="121"/>
      <c r="L55" s="121"/>
      <c r="M55" s="121"/>
      <c r="N55" s="121"/>
      <c r="O55" s="121"/>
      <c r="P55" s="121"/>
      <c r="Q55" s="121"/>
      <c r="R55" s="121"/>
      <c r="S55" s="121"/>
    </row>
    <row r="56" spans="1:19" ht="18" customHeight="1" x14ac:dyDescent="0.2">
      <c r="A56" s="121"/>
      <c r="B56" s="121"/>
      <c r="C56" s="121"/>
      <c r="D56" s="121"/>
      <c r="E56" s="121"/>
      <c r="F56" s="121"/>
      <c r="G56" s="121"/>
      <c r="H56" s="121"/>
      <c r="I56" s="121"/>
      <c r="J56" s="121"/>
      <c r="K56" s="121"/>
      <c r="L56" s="121"/>
      <c r="M56" s="121"/>
      <c r="N56" s="121"/>
      <c r="O56" s="121"/>
      <c r="P56" s="121"/>
      <c r="Q56" s="121"/>
      <c r="R56" s="121"/>
      <c r="S56" s="121"/>
    </row>
    <row r="57" spans="1:19" ht="18" customHeight="1" x14ac:dyDescent="0.2">
      <c r="B57" s="115" t="s">
        <v>54</v>
      </c>
      <c r="C57" s="116"/>
      <c r="D57" s="116"/>
      <c r="E57" s="117"/>
      <c r="F57" s="48" t="s">
        <v>81</v>
      </c>
      <c r="G57" s="49" t="s">
        <v>85</v>
      </c>
      <c r="H57" s="50" t="s">
        <v>59</v>
      </c>
      <c r="I57" s="50" t="s">
        <v>61</v>
      </c>
      <c r="J57" s="115" t="s">
        <v>54</v>
      </c>
      <c r="K57" s="116"/>
      <c r="L57" s="116"/>
      <c r="M57" s="116"/>
      <c r="N57" s="116"/>
      <c r="O57" s="117"/>
      <c r="P57" s="48" t="s">
        <v>81</v>
      </c>
      <c r="Q57" s="49" t="s">
        <v>85</v>
      </c>
      <c r="R57" s="50" t="s">
        <v>59</v>
      </c>
      <c r="S57" s="50" t="s">
        <v>61</v>
      </c>
    </row>
    <row r="58" spans="1:19" ht="18" customHeight="1" x14ac:dyDescent="0.2">
      <c r="A58" s="43"/>
      <c r="B58" s="184" t="s">
        <v>127</v>
      </c>
      <c r="C58" s="152"/>
      <c r="D58" s="152"/>
      <c r="E58" s="153"/>
      <c r="F58" s="52">
        <v>2</v>
      </c>
      <c r="G58" s="52" t="s">
        <v>130</v>
      </c>
      <c r="H58" s="52" t="s">
        <v>130</v>
      </c>
      <c r="I58" s="52"/>
      <c r="J58" s="109"/>
      <c r="K58" s="110"/>
      <c r="L58" s="110"/>
      <c r="M58" s="110"/>
      <c r="N58" s="110"/>
      <c r="O58" s="111"/>
      <c r="P58" s="51"/>
      <c r="Q58" s="51"/>
      <c r="R58" s="51"/>
      <c r="S58" s="51"/>
    </row>
    <row r="59" spans="1:19" ht="18" customHeight="1" x14ac:dyDescent="0.2">
      <c r="A59" s="43"/>
      <c r="B59" s="185" t="s">
        <v>128</v>
      </c>
      <c r="C59" s="186"/>
      <c r="D59" s="186"/>
      <c r="E59" s="187"/>
      <c r="F59" s="52">
        <v>2</v>
      </c>
      <c r="G59" s="52" t="s">
        <v>130</v>
      </c>
      <c r="H59" s="52" t="s">
        <v>130</v>
      </c>
      <c r="I59" s="52" t="s">
        <v>130</v>
      </c>
      <c r="J59" s="112"/>
      <c r="K59" s="113"/>
      <c r="L59" s="113"/>
      <c r="M59" s="113"/>
      <c r="N59" s="113"/>
      <c r="O59" s="114"/>
      <c r="P59" s="52"/>
      <c r="Q59" s="52"/>
      <c r="R59" s="52"/>
      <c r="S59" s="52"/>
    </row>
    <row r="60" spans="1:19" ht="18" customHeight="1" x14ac:dyDescent="0.2">
      <c r="A60" s="43"/>
      <c r="B60" s="112" t="s">
        <v>129</v>
      </c>
      <c r="C60" s="113"/>
      <c r="D60" s="113"/>
      <c r="E60" s="114"/>
      <c r="F60" s="52">
        <v>2</v>
      </c>
      <c r="G60" s="52" t="s">
        <v>130</v>
      </c>
      <c r="H60" s="52" t="s">
        <v>130</v>
      </c>
      <c r="I60" s="52"/>
      <c r="J60" s="112"/>
      <c r="K60" s="113"/>
      <c r="L60" s="113"/>
      <c r="M60" s="113"/>
      <c r="N60" s="113"/>
      <c r="O60" s="114"/>
      <c r="P60" s="52"/>
      <c r="Q60" s="52"/>
      <c r="R60" s="52"/>
      <c r="S60" s="52"/>
    </row>
    <row r="61" spans="1:19" ht="18" customHeight="1" x14ac:dyDescent="0.2">
      <c r="A61" s="43"/>
      <c r="B61" s="112"/>
      <c r="C61" s="113"/>
      <c r="D61" s="113"/>
      <c r="E61" s="114"/>
      <c r="F61" s="52"/>
      <c r="G61" s="52"/>
      <c r="H61" s="52"/>
      <c r="I61" s="52"/>
      <c r="J61" s="112"/>
      <c r="K61" s="113"/>
      <c r="L61" s="113"/>
      <c r="M61" s="113"/>
      <c r="N61" s="113"/>
      <c r="O61" s="114"/>
      <c r="P61" s="52"/>
      <c r="Q61" s="52"/>
      <c r="R61" s="52"/>
      <c r="S61" s="52"/>
    </row>
    <row r="62" spans="1:19" ht="18" customHeight="1" x14ac:dyDescent="0.2">
      <c r="A62" s="43"/>
      <c r="B62" s="112"/>
      <c r="C62" s="113"/>
      <c r="D62" s="113"/>
      <c r="E62" s="114"/>
      <c r="F62" s="52"/>
      <c r="G62" s="52"/>
      <c r="H62" s="52"/>
      <c r="I62" s="52"/>
      <c r="J62" s="112"/>
      <c r="K62" s="113"/>
      <c r="L62" s="113"/>
      <c r="M62" s="113"/>
      <c r="N62" s="113"/>
      <c r="O62" s="114"/>
      <c r="P62" s="52"/>
      <c r="Q62" s="52"/>
      <c r="R62" s="52"/>
      <c r="S62" s="52"/>
    </row>
    <row r="63" spans="1:19" ht="18" customHeight="1" x14ac:dyDescent="0.2">
      <c r="A63" s="43"/>
      <c r="B63" s="112"/>
      <c r="C63" s="113"/>
      <c r="D63" s="113"/>
      <c r="E63" s="114"/>
      <c r="F63" s="52"/>
      <c r="G63" s="52"/>
      <c r="H63" s="52"/>
      <c r="I63" s="52"/>
      <c r="J63" s="112"/>
      <c r="K63" s="113"/>
      <c r="L63" s="113"/>
      <c r="M63" s="113"/>
      <c r="N63" s="113"/>
      <c r="O63" s="114"/>
      <c r="P63" s="52"/>
      <c r="Q63" s="52"/>
      <c r="R63" s="52"/>
      <c r="S63" s="52"/>
    </row>
    <row r="64" spans="1:19" ht="18" customHeight="1" x14ac:dyDescent="0.2">
      <c r="A64" s="43"/>
      <c r="B64" s="118"/>
      <c r="C64" s="119"/>
      <c r="D64" s="119"/>
      <c r="E64" s="120"/>
      <c r="F64" s="53"/>
      <c r="G64" s="53"/>
      <c r="H64" s="54"/>
      <c r="I64" s="54"/>
      <c r="J64" s="118"/>
      <c r="K64" s="119"/>
      <c r="L64" s="119"/>
      <c r="M64" s="119"/>
      <c r="N64" s="119"/>
      <c r="O64" s="120"/>
      <c r="P64" s="53"/>
      <c r="Q64" s="53"/>
      <c r="R64" s="54"/>
      <c r="S64" s="54"/>
    </row>
    <row r="65" spans="1:19" ht="7.5" customHeight="1" x14ac:dyDescent="0.2">
      <c r="B65" s="55"/>
      <c r="C65" s="55"/>
      <c r="D65" s="55"/>
      <c r="E65" s="55"/>
      <c r="F65" s="55"/>
      <c r="G65" s="55"/>
      <c r="H65" s="55"/>
      <c r="I65" s="55"/>
      <c r="J65" s="55"/>
      <c r="K65" s="55"/>
      <c r="L65" s="55"/>
      <c r="M65" s="55"/>
      <c r="N65" s="55"/>
      <c r="O65" s="55"/>
      <c r="P65" s="55"/>
      <c r="Q65" s="55"/>
      <c r="R65" s="55"/>
    </row>
    <row r="66" spans="1:19" ht="18" customHeight="1" x14ac:dyDescent="0.2">
      <c r="A66" s="121" t="s">
        <v>118</v>
      </c>
      <c r="B66" s="121"/>
      <c r="C66" s="121"/>
      <c r="D66" s="121"/>
      <c r="E66" s="121"/>
      <c r="F66" s="121"/>
      <c r="G66" s="121"/>
      <c r="H66" s="121"/>
      <c r="I66" s="121"/>
      <c r="J66" s="121"/>
      <c r="K66" s="121"/>
      <c r="L66" s="121"/>
      <c r="M66" s="121"/>
      <c r="N66" s="121"/>
      <c r="O66" s="121"/>
      <c r="P66" s="121"/>
      <c r="Q66" s="121"/>
      <c r="R66" s="121"/>
      <c r="S66" s="121"/>
    </row>
    <row r="67" spans="1:19" ht="18" customHeight="1" x14ac:dyDescent="0.2">
      <c r="A67" s="121"/>
      <c r="B67" s="121"/>
      <c r="C67" s="121"/>
      <c r="D67" s="121"/>
      <c r="E67" s="121"/>
      <c r="F67" s="121"/>
      <c r="G67" s="121"/>
      <c r="H67" s="121"/>
      <c r="I67" s="121"/>
      <c r="J67" s="121"/>
      <c r="K67" s="121"/>
      <c r="L67" s="121"/>
      <c r="M67" s="121"/>
      <c r="N67" s="121"/>
      <c r="O67" s="121"/>
      <c r="P67" s="121"/>
      <c r="Q67" s="121"/>
      <c r="R67" s="121"/>
      <c r="S67" s="121"/>
    </row>
    <row r="68" spans="1:19" ht="18" customHeight="1" x14ac:dyDescent="0.2">
      <c r="B68" s="115" t="s">
        <v>54</v>
      </c>
      <c r="C68" s="116"/>
      <c r="D68" s="116"/>
      <c r="E68" s="48" t="s">
        <v>81</v>
      </c>
      <c r="F68" s="49" t="s">
        <v>85</v>
      </c>
      <c r="G68" s="50" t="s">
        <v>102</v>
      </c>
      <c r="H68" s="50" t="s">
        <v>76</v>
      </c>
      <c r="I68" s="50" t="s">
        <v>77</v>
      </c>
      <c r="J68" s="115" t="s">
        <v>54</v>
      </c>
      <c r="K68" s="116"/>
      <c r="L68" s="116"/>
      <c r="M68" s="116"/>
      <c r="N68" s="117"/>
      <c r="O68" s="48" t="s">
        <v>81</v>
      </c>
      <c r="P68" s="49" t="s">
        <v>85</v>
      </c>
      <c r="Q68" s="50" t="s">
        <v>102</v>
      </c>
      <c r="R68" s="50" t="s">
        <v>76</v>
      </c>
      <c r="S68" s="50" t="s">
        <v>77</v>
      </c>
    </row>
    <row r="69" spans="1:19" ht="18" customHeight="1" x14ac:dyDescent="0.2">
      <c r="A69" s="43"/>
      <c r="B69" s="109" t="s">
        <v>136</v>
      </c>
      <c r="C69" s="110"/>
      <c r="D69" s="111"/>
      <c r="E69" s="51">
        <v>2</v>
      </c>
      <c r="F69" s="51" t="s">
        <v>130</v>
      </c>
      <c r="G69" s="51" t="s">
        <v>130</v>
      </c>
      <c r="H69" s="51" t="s">
        <v>130</v>
      </c>
      <c r="I69" s="51" t="s">
        <v>130</v>
      </c>
      <c r="J69" s="109"/>
      <c r="K69" s="110"/>
      <c r="L69" s="110"/>
      <c r="M69" s="110"/>
      <c r="N69" s="111"/>
      <c r="O69" s="51"/>
      <c r="P69" s="51"/>
      <c r="Q69" s="51"/>
      <c r="R69" s="51"/>
      <c r="S69" s="51"/>
    </row>
    <row r="70" spans="1:19" ht="18" customHeight="1" x14ac:dyDescent="0.2">
      <c r="A70" s="43"/>
      <c r="B70" s="112"/>
      <c r="C70" s="113"/>
      <c r="D70" s="114"/>
      <c r="E70" s="52"/>
      <c r="F70" s="52"/>
      <c r="G70" s="52"/>
      <c r="H70" s="52"/>
      <c r="I70" s="52"/>
      <c r="J70" s="112"/>
      <c r="K70" s="113"/>
      <c r="L70" s="113"/>
      <c r="M70" s="113"/>
      <c r="N70" s="114"/>
      <c r="O70" s="52"/>
      <c r="P70" s="52"/>
      <c r="Q70" s="52"/>
      <c r="R70" s="52"/>
      <c r="S70" s="52"/>
    </row>
    <row r="71" spans="1:19" ht="18" customHeight="1" x14ac:dyDescent="0.2">
      <c r="A71" s="43"/>
      <c r="B71" s="112"/>
      <c r="C71" s="113"/>
      <c r="D71" s="114"/>
      <c r="E71" s="52"/>
      <c r="F71" s="52"/>
      <c r="G71" s="52"/>
      <c r="H71" s="52"/>
      <c r="I71" s="52"/>
      <c r="J71" s="112"/>
      <c r="K71" s="113"/>
      <c r="L71" s="113"/>
      <c r="M71" s="113"/>
      <c r="N71" s="114"/>
      <c r="O71" s="52"/>
      <c r="P71" s="52"/>
      <c r="Q71" s="52"/>
      <c r="R71" s="52"/>
      <c r="S71" s="52"/>
    </row>
    <row r="72" spans="1:19" ht="18" customHeight="1" x14ac:dyDescent="0.2">
      <c r="A72" s="43"/>
      <c r="B72" s="112"/>
      <c r="C72" s="113"/>
      <c r="D72" s="114"/>
      <c r="E72" s="52"/>
      <c r="F72" s="52"/>
      <c r="G72" s="52"/>
      <c r="H72" s="52"/>
      <c r="I72" s="52"/>
      <c r="J72" s="112"/>
      <c r="K72" s="113"/>
      <c r="L72" s="113"/>
      <c r="M72" s="113"/>
      <c r="N72" s="114"/>
      <c r="O72" s="52"/>
      <c r="P72" s="52"/>
      <c r="Q72" s="52"/>
      <c r="R72" s="52"/>
      <c r="S72" s="52"/>
    </row>
    <row r="73" spans="1:19" ht="18" customHeight="1" x14ac:dyDescent="0.2">
      <c r="A73" s="43"/>
      <c r="B73" s="112"/>
      <c r="C73" s="113"/>
      <c r="D73" s="113"/>
      <c r="E73" s="52"/>
      <c r="F73" s="52"/>
      <c r="G73" s="52"/>
      <c r="H73" s="52"/>
      <c r="I73" s="52"/>
      <c r="J73" s="112"/>
      <c r="K73" s="113"/>
      <c r="L73" s="113"/>
      <c r="M73" s="113"/>
      <c r="N73" s="114"/>
      <c r="O73" s="52"/>
      <c r="P73" s="52"/>
      <c r="Q73" s="52"/>
      <c r="R73" s="52"/>
      <c r="S73" s="52"/>
    </row>
    <row r="74" spans="1:19" ht="18" customHeight="1" x14ac:dyDescent="0.2">
      <c r="A74" s="43"/>
      <c r="B74" s="112"/>
      <c r="C74" s="113"/>
      <c r="D74" s="113"/>
      <c r="E74" s="52"/>
      <c r="F74" s="52"/>
      <c r="G74" s="52"/>
      <c r="H74" s="52"/>
      <c r="I74" s="52"/>
      <c r="J74" s="112"/>
      <c r="K74" s="113"/>
      <c r="L74" s="113"/>
      <c r="M74" s="113"/>
      <c r="N74" s="114"/>
      <c r="O74" s="52"/>
      <c r="P74" s="52"/>
      <c r="Q74" s="52"/>
      <c r="R74" s="52"/>
      <c r="S74" s="52"/>
    </row>
    <row r="75" spans="1:19" ht="18" customHeight="1" x14ac:dyDescent="0.2">
      <c r="A75" s="43"/>
      <c r="B75" s="118"/>
      <c r="C75" s="119"/>
      <c r="D75" s="119"/>
      <c r="E75" s="53"/>
      <c r="F75" s="53"/>
      <c r="G75" s="54"/>
      <c r="H75" s="54"/>
      <c r="I75" s="54"/>
      <c r="J75" s="118"/>
      <c r="K75" s="119"/>
      <c r="L75" s="119"/>
      <c r="M75" s="119"/>
      <c r="N75" s="120"/>
      <c r="O75" s="53"/>
      <c r="P75" s="53"/>
      <c r="Q75" s="54"/>
      <c r="R75" s="54"/>
      <c r="S75" s="54"/>
    </row>
    <row r="76" spans="1:19" ht="7.5" customHeight="1" x14ac:dyDescent="0.2">
      <c r="B76" s="55"/>
      <c r="C76" s="55"/>
      <c r="D76" s="55"/>
      <c r="E76" s="55"/>
      <c r="F76" s="55"/>
      <c r="G76" s="55"/>
      <c r="H76" s="55"/>
      <c r="I76" s="55"/>
      <c r="J76" s="55"/>
      <c r="K76" s="55"/>
      <c r="L76" s="55"/>
      <c r="M76" s="55"/>
      <c r="N76" s="55"/>
      <c r="O76" s="55"/>
      <c r="P76" s="55"/>
      <c r="Q76" s="55"/>
      <c r="R76" s="55"/>
    </row>
    <row r="77" spans="1:19" ht="18" customHeight="1" x14ac:dyDescent="0.2">
      <c r="A77" s="37" t="s">
        <v>119</v>
      </c>
      <c r="H77" s="43"/>
      <c r="I77" s="43"/>
      <c r="J77" s="43"/>
      <c r="K77" s="43"/>
      <c r="L77" s="43"/>
      <c r="M77" s="43"/>
      <c r="N77" s="43"/>
      <c r="O77" s="43"/>
      <c r="P77" s="43"/>
      <c r="Q77" s="43"/>
      <c r="R77" s="43"/>
      <c r="S77" s="43"/>
    </row>
    <row r="78" spans="1:19" ht="18" customHeight="1" x14ac:dyDescent="0.2">
      <c r="B78" s="115" t="s">
        <v>54</v>
      </c>
      <c r="C78" s="116"/>
      <c r="D78" s="116"/>
      <c r="E78" s="117"/>
      <c r="F78" s="115" t="s">
        <v>83</v>
      </c>
      <c r="G78" s="116"/>
      <c r="H78" s="116"/>
      <c r="I78" s="117"/>
      <c r="J78" s="139" t="s">
        <v>54</v>
      </c>
      <c r="K78" s="140"/>
      <c r="L78" s="140"/>
      <c r="M78" s="140"/>
      <c r="N78" s="140"/>
      <c r="O78" s="141"/>
      <c r="P78" s="115" t="s">
        <v>83</v>
      </c>
      <c r="Q78" s="116"/>
      <c r="R78" s="116"/>
      <c r="S78" s="117"/>
    </row>
    <row r="79" spans="1:19" ht="18" customHeight="1" x14ac:dyDescent="0.2">
      <c r="A79" s="43"/>
      <c r="B79" s="109" t="s">
        <v>142</v>
      </c>
      <c r="C79" s="110"/>
      <c r="D79" s="110"/>
      <c r="E79" s="111"/>
      <c r="F79" s="133" t="s">
        <v>153</v>
      </c>
      <c r="G79" s="134"/>
      <c r="H79" s="134"/>
      <c r="I79" s="135"/>
      <c r="J79" s="109"/>
      <c r="K79" s="110"/>
      <c r="L79" s="110"/>
      <c r="M79" s="110"/>
      <c r="N79" s="110"/>
      <c r="O79" s="111"/>
      <c r="P79" s="133"/>
      <c r="Q79" s="134"/>
      <c r="R79" s="134"/>
      <c r="S79" s="135"/>
    </row>
    <row r="80" spans="1:19" ht="18" customHeight="1" x14ac:dyDescent="0.2">
      <c r="A80" s="43"/>
      <c r="B80" s="112" t="s">
        <v>141</v>
      </c>
      <c r="C80" s="113"/>
      <c r="D80" s="113"/>
      <c r="E80" s="114"/>
      <c r="F80" s="136" t="s">
        <v>154</v>
      </c>
      <c r="G80" s="137"/>
      <c r="H80" s="137"/>
      <c r="I80" s="138"/>
      <c r="J80" s="112"/>
      <c r="K80" s="113"/>
      <c r="L80" s="113"/>
      <c r="M80" s="113"/>
      <c r="N80" s="113"/>
      <c r="O80" s="114"/>
      <c r="P80" s="136"/>
      <c r="Q80" s="137"/>
      <c r="R80" s="137"/>
      <c r="S80" s="138"/>
    </row>
    <row r="81" spans="1:19" ht="18" customHeight="1" x14ac:dyDescent="0.2">
      <c r="A81" s="43"/>
      <c r="B81" s="112"/>
      <c r="C81" s="113"/>
      <c r="D81" s="113"/>
      <c r="E81" s="114"/>
      <c r="F81" s="136"/>
      <c r="G81" s="137"/>
      <c r="H81" s="137"/>
      <c r="I81" s="138"/>
      <c r="J81" s="112"/>
      <c r="K81" s="113"/>
      <c r="L81" s="113"/>
      <c r="M81" s="113"/>
      <c r="N81" s="113"/>
      <c r="O81" s="114"/>
      <c r="P81" s="136"/>
      <c r="Q81" s="137"/>
      <c r="R81" s="137"/>
      <c r="S81" s="138"/>
    </row>
    <row r="82" spans="1:19" ht="18" customHeight="1" x14ac:dyDescent="0.2">
      <c r="A82" s="43"/>
      <c r="B82" s="112"/>
      <c r="C82" s="113"/>
      <c r="D82" s="113"/>
      <c r="E82" s="114"/>
      <c r="F82" s="136"/>
      <c r="G82" s="137"/>
      <c r="H82" s="137"/>
      <c r="I82" s="138"/>
      <c r="J82" s="112"/>
      <c r="K82" s="113"/>
      <c r="L82" s="113"/>
      <c r="M82" s="113"/>
      <c r="N82" s="113"/>
      <c r="O82" s="114"/>
      <c r="P82" s="136"/>
      <c r="Q82" s="137"/>
      <c r="R82" s="137"/>
      <c r="S82" s="138"/>
    </row>
    <row r="83" spans="1:19" ht="18" customHeight="1" x14ac:dyDescent="0.2">
      <c r="A83" s="43"/>
      <c r="B83" s="112"/>
      <c r="C83" s="113"/>
      <c r="D83" s="113"/>
      <c r="E83" s="114"/>
      <c r="F83" s="136"/>
      <c r="G83" s="137"/>
      <c r="H83" s="137"/>
      <c r="I83" s="138"/>
      <c r="J83" s="112"/>
      <c r="K83" s="113"/>
      <c r="L83" s="113"/>
      <c r="M83" s="113"/>
      <c r="N83" s="113"/>
      <c r="O83" s="114"/>
      <c r="P83" s="136"/>
      <c r="Q83" s="137"/>
      <c r="R83" s="137"/>
      <c r="S83" s="138"/>
    </row>
    <row r="84" spans="1:19" ht="18" customHeight="1" x14ac:dyDescent="0.2">
      <c r="A84" s="43"/>
      <c r="B84" s="112"/>
      <c r="C84" s="113"/>
      <c r="D84" s="113"/>
      <c r="E84" s="114"/>
      <c r="F84" s="136"/>
      <c r="G84" s="137"/>
      <c r="H84" s="137"/>
      <c r="I84" s="138"/>
      <c r="J84" s="112"/>
      <c r="K84" s="113"/>
      <c r="L84" s="113"/>
      <c r="M84" s="113"/>
      <c r="N84" s="113"/>
      <c r="O84" s="114"/>
      <c r="P84" s="136"/>
      <c r="Q84" s="137"/>
      <c r="R84" s="137"/>
      <c r="S84" s="138"/>
    </row>
    <row r="85" spans="1:19" ht="18" customHeight="1" x14ac:dyDescent="0.2">
      <c r="A85" s="43"/>
      <c r="B85" s="118"/>
      <c r="C85" s="119"/>
      <c r="D85" s="119"/>
      <c r="E85" s="120"/>
      <c r="F85" s="145"/>
      <c r="G85" s="146"/>
      <c r="H85" s="146"/>
      <c r="I85" s="147"/>
      <c r="J85" s="118"/>
      <c r="K85" s="119"/>
      <c r="L85" s="119"/>
      <c r="M85" s="119"/>
      <c r="N85" s="119"/>
      <c r="O85" s="120"/>
      <c r="P85" s="145"/>
      <c r="Q85" s="146"/>
      <c r="R85" s="146"/>
      <c r="S85" s="147"/>
    </row>
    <row r="86" spans="1:19" ht="18" customHeight="1" x14ac:dyDescent="0.2">
      <c r="A86" s="43"/>
      <c r="B86" s="41"/>
      <c r="C86" s="41"/>
      <c r="D86" s="41"/>
      <c r="E86" s="41"/>
      <c r="F86" s="56"/>
      <c r="G86" s="56"/>
      <c r="H86" s="56"/>
      <c r="I86" s="56"/>
      <c r="J86" s="41"/>
      <c r="K86" s="41"/>
      <c r="L86" s="41"/>
      <c r="M86" s="41"/>
      <c r="N86" s="41"/>
      <c r="O86" s="41"/>
      <c r="P86" s="56"/>
      <c r="Q86" s="56"/>
      <c r="R86" s="56"/>
      <c r="S86" s="56"/>
    </row>
    <row r="87" spans="1:19" ht="18.75" customHeight="1" x14ac:dyDescent="0.2">
      <c r="A87" s="37" t="s">
        <v>120</v>
      </c>
    </row>
    <row r="88" spans="1:19" ht="18.75" customHeight="1" x14ac:dyDescent="0.2">
      <c r="B88" s="131" t="s">
        <v>55</v>
      </c>
      <c r="C88" s="132"/>
      <c r="D88" s="116" t="s">
        <v>56</v>
      </c>
      <c r="E88" s="116"/>
      <c r="F88" s="116"/>
      <c r="G88" s="116"/>
      <c r="H88" s="116"/>
      <c r="I88" s="116"/>
      <c r="J88" s="116"/>
      <c r="K88" s="116"/>
      <c r="L88" s="116"/>
      <c r="M88" s="116"/>
      <c r="N88" s="116"/>
      <c r="O88" s="116"/>
      <c r="P88" s="116"/>
      <c r="Q88" s="116"/>
      <c r="R88" s="116"/>
      <c r="S88" s="117"/>
    </row>
    <row r="89" spans="1:19" ht="97.5" customHeight="1" x14ac:dyDescent="0.2">
      <c r="B89" s="122" t="s">
        <v>62</v>
      </c>
      <c r="C89" s="57" t="s">
        <v>57</v>
      </c>
      <c r="D89" s="128" t="s">
        <v>171</v>
      </c>
      <c r="E89" s="129"/>
      <c r="F89" s="129"/>
      <c r="G89" s="129"/>
      <c r="H89" s="129"/>
      <c r="I89" s="129"/>
      <c r="J89" s="129"/>
      <c r="K89" s="129"/>
      <c r="L89" s="129"/>
      <c r="M89" s="129"/>
      <c r="N89" s="129"/>
      <c r="O89" s="129"/>
      <c r="P89" s="129"/>
      <c r="Q89" s="129"/>
      <c r="R89" s="129"/>
      <c r="S89" s="130"/>
    </row>
    <row r="90" spans="1:19" ht="97.5" customHeight="1" x14ac:dyDescent="0.2">
      <c r="B90" s="123"/>
      <c r="C90" s="58" t="s">
        <v>78</v>
      </c>
      <c r="D90" s="148" t="s">
        <v>172</v>
      </c>
      <c r="E90" s="149"/>
      <c r="F90" s="149"/>
      <c r="G90" s="149"/>
      <c r="H90" s="149"/>
      <c r="I90" s="149"/>
      <c r="J90" s="149"/>
      <c r="K90" s="149"/>
      <c r="L90" s="149"/>
      <c r="M90" s="149"/>
      <c r="N90" s="149"/>
      <c r="O90" s="149"/>
      <c r="P90" s="149"/>
      <c r="Q90" s="149"/>
      <c r="R90" s="149"/>
      <c r="S90" s="150"/>
    </row>
    <row r="91" spans="1:19" ht="97.5" customHeight="1" x14ac:dyDescent="0.2">
      <c r="B91" s="122" t="s">
        <v>63</v>
      </c>
      <c r="C91" s="59" t="s">
        <v>72</v>
      </c>
      <c r="D91" s="151" t="s">
        <v>179</v>
      </c>
      <c r="E91" s="152"/>
      <c r="F91" s="152"/>
      <c r="G91" s="152"/>
      <c r="H91" s="152"/>
      <c r="I91" s="152"/>
      <c r="J91" s="152"/>
      <c r="K91" s="152"/>
      <c r="L91" s="152"/>
      <c r="M91" s="152"/>
      <c r="N91" s="152"/>
      <c r="O91" s="152"/>
      <c r="P91" s="152"/>
      <c r="Q91" s="152"/>
      <c r="R91" s="152"/>
      <c r="S91" s="153"/>
    </row>
    <row r="92" spans="1:19" ht="97.5" customHeight="1" x14ac:dyDescent="0.2">
      <c r="B92" s="124"/>
      <c r="C92" s="60" t="s">
        <v>73</v>
      </c>
      <c r="D92" s="157" t="s">
        <v>169</v>
      </c>
      <c r="E92" s="158"/>
      <c r="F92" s="158"/>
      <c r="G92" s="158"/>
      <c r="H92" s="158"/>
      <c r="I92" s="158"/>
      <c r="J92" s="158"/>
      <c r="K92" s="158"/>
      <c r="L92" s="158"/>
      <c r="M92" s="158"/>
      <c r="N92" s="158"/>
      <c r="O92" s="158"/>
      <c r="P92" s="158"/>
      <c r="Q92" s="158"/>
      <c r="R92" s="158"/>
      <c r="S92" s="159"/>
    </row>
    <row r="93" spans="1:19" ht="97.5" customHeight="1" x14ac:dyDescent="0.2">
      <c r="B93" s="122" t="s">
        <v>64</v>
      </c>
      <c r="C93" s="59" t="s">
        <v>74</v>
      </c>
      <c r="D93" s="151" t="s">
        <v>170</v>
      </c>
      <c r="E93" s="152"/>
      <c r="F93" s="152"/>
      <c r="G93" s="152"/>
      <c r="H93" s="152"/>
      <c r="I93" s="152"/>
      <c r="J93" s="152"/>
      <c r="K93" s="152"/>
      <c r="L93" s="152"/>
      <c r="M93" s="152"/>
      <c r="N93" s="152"/>
      <c r="O93" s="152"/>
      <c r="P93" s="152"/>
      <c r="Q93" s="152"/>
      <c r="R93" s="152"/>
      <c r="S93" s="153"/>
    </row>
    <row r="94" spans="1:19" ht="97.5" customHeight="1" x14ac:dyDescent="0.2">
      <c r="B94" s="124"/>
      <c r="C94" s="61" t="s">
        <v>75</v>
      </c>
      <c r="D94" s="154" t="s">
        <v>180</v>
      </c>
      <c r="E94" s="155"/>
      <c r="F94" s="155"/>
      <c r="G94" s="155"/>
      <c r="H94" s="155"/>
      <c r="I94" s="155"/>
      <c r="J94" s="155"/>
      <c r="K94" s="155"/>
      <c r="L94" s="155"/>
      <c r="M94" s="155"/>
      <c r="N94" s="155"/>
      <c r="O94" s="155"/>
      <c r="P94" s="155"/>
      <c r="Q94" s="155"/>
      <c r="R94" s="155"/>
      <c r="S94" s="156"/>
    </row>
    <row r="95" spans="1:19" ht="97.5" customHeight="1" x14ac:dyDescent="0.2">
      <c r="B95" s="122" t="s">
        <v>79</v>
      </c>
      <c r="C95" s="57" t="s">
        <v>59</v>
      </c>
      <c r="D95" s="128" t="s">
        <v>173</v>
      </c>
      <c r="E95" s="129"/>
      <c r="F95" s="129"/>
      <c r="G95" s="129"/>
      <c r="H95" s="129"/>
      <c r="I95" s="129"/>
      <c r="J95" s="129"/>
      <c r="K95" s="129"/>
      <c r="L95" s="129"/>
      <c r="M95" s="129"/>
      <c r="N95" s="129"/>
      <c r="O95" s="129"/>
      <c r="P95" s="129"/>
      <c r="Q95" s="129"/>
      <c r="R95" s="129"/>
      <c r="S95" s="130"/>
    </row>
    <row r="96" spans="1:19" ht="97.5" customHeight="1" x14ac:dyDescent="0.2">
      <c r="B96" s="124"/>
      <c r="C96" s="60" t="s">
        <v>61</v>
      </c>
      <c r="D96" s="157" t="s">
        <v>174</v>
      </c>
      <c r="E96" s="158"/>
      <c r="F96" s="158"/>
      <c r="G96" s="158"/>
      <c r="H96" s="158"/>
      <c r="I96" s="158"/>
      <c r="J96" s="158"/>
      <c r="K96" s="158"/>
      <c r="L96" s="158"/>
      <c r="M96" s="158"/>
      <c r="N96" s="158"/>
      <c r="O96" s="158"/>
      <c r="P96" s="158"/>
      <c r="Q96" s="158"/>
      <c r="R96" s="158"/>
      <c r="S96" s="159"/>
    </row>
    <row r="97" spans="1:19" ht="97.5" customHeight="1" x14ac:dyDescent="0.2">
      <c r="B97" s="122" t="s">
        <v>80</v>
      </c>
      <c r="C97" s="59" t="s">
        <v>58</v>
      </c>
      <c r="D97" s="301" t="s">
        <v>181</v>
      </c>
      <c r="E97" s="302"/>
      <c r="F97" s="302"/>
      <c r="G97" s="302"/>
      <c r="H97" s="302"/>
      <c r="I97" s="302"/>
      <c r="J97" s="302"/>
      <c r="K97" s="302"/>
      <c r="L97" s="302"/>
      <c r="M97" s="302"/>
      <c r="N97" s="302"/>
      <c r="O97" s="302"/>
      <c r="P97" s="302"/>
      <c r="Q97" s="302"/>
      <c r="R97" s="302"/>
      <c r="S97" s="303"/>
    </row>
    <row r="98" spans="1:19" ht="97.5" customHeight="1" x14ac:dyDescent="0.2">
      <c r="B98" s="123"/>
      <c r="C98" s="62" t="s">
        <v>76</v>
      </c>
      <c r="D98" s="160" t="s">
        <v>175</v>
      </c>
      <c r="E98" s="113"/>
      <c r="F98" s="113"/>
      <c r="G98" s="113"/>
      <c r="H98" s="113"/>
      <c r="I98" s="113"/>
      <c r="J98" s="113"/>
      <c r="K98" s="113"/>
      <c r="L98" s="113"/>
      <c r="M98" s="113"/>
      <c r="N98" s="113"/>
      <c r="O98" s="113"/>
      <c r="P98" s="113"/>
      <c r="Q98" s="113"/>
      <c r="R98" s="113"/>
      <c r="S98" s="114"/>
    </row>
    <row r="99" spans="1:19" ht="97.5" customHeight="1" x14ac:dyDescent="0.2">
      <c r="B99" s="124"/>
      <c r="C99" s="61" t="s">
        <v>77</v>
      </c>
      <c r="D99" s="125" t="s">
        <v>176</v>
      </c>
      <c r="E99" s="126"/>
      <c r="F99" s="126"/>
      <c r="G99" s="126"/>
      <c r="H99" s="126"/>
      <c r="I99" s="126"/>
      <c r="J99" s="126"/>
      <c r="K99" s="126"/>
      <c r="L99" s="126"/>
      <c r="M99" s="126"/>
      <c r="N99" s="126"/>
      <c r="O99" s="126"/>
      <c r="P99" s="126"/>
      <c r="Q99" s="126"/>
      <c r="R99" s="126"/>
      <c r="S99" s="127"/>
    </row>
    <row r="100" spans="1:19" ht="6" customHeight="1" x14ac:dyDescent="0.2"/>
    <row r="101" spans="1:19" ht="18.75" customHeight="1" x14ac:dyDescent="0.2">
      <c r="A101" s="37" t="s">
        <v>121</v>
      </c>
    </row>
    <row r="102" spans="1:19" ht="81.75" customHeight="1" x14ac:dyDescent="0.2">
      <c r="B102" s="142" t="s">
        <v>143</v>
      </c>
      <c r="C102" s="143"/>
      <c r="D102" s="143"/>
      <c r="E102" s="143"/>
      <c r="F102" s="143"/>
      <c r="G102" s="143"/>
      <c r="H102" s="143"/>
      <c r="I102" s="143"/>
      <c r="J102" s="143"/>
      <c r="K102" s="143"/>
      <c r="L102" s="143"/>
      <c r="M102" s="143"/>
      <c r="N102" s="143"/>
      <c r="O102" s="143"/>
      <c r="P102" s="143"/>
      <c r="Q102" s="143"/>
      <c r="R102" s="143"/>
      <c r="S102" s="144"/>
    </row>
    <row r="110" spans="1:19" ht="18" customHeight="1" x14ac:dyDescent="0.2"/>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F69:I75 Q47:S53 G36:I42 Q58:S64 G47:I53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I5" sqref="I5"/>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16"/>
      <c r="Q2" s="16"/>
      <c r="W2" s="16"/>
      <c r="AC2" s="16"/>
      <c r="AI2" s="16"/>
      <c r="AL2" s="16" t="s">
        <v>109</v>
      </c>
      <c r="AM2" s="191" t="str">
        <f>'様式１　プログラムを構成する授業科目'!C2</f>
        <v>高崎商科大学</v>
      </c>
      <c r="AN2" s="191"/>
      <c r="AO2" s="191"/>
      <c r="AP2" s="191"/>
      <c r="AQ2" s="191"/>
    </row>
    <row r="3" spans="1:45" ht="18" customHeight="1" x14ac:dyDescent="0.2">
      <c r="A3" s="192" t="s">
        <v>48</v>
      </c>
      <c r="B3" s="192"/>
      <c r="C3" s="192"/>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93" t="s">
        <v>134</v>
      </c>
      <c r="D5" s="194"/>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4"/>
      <c r="AQ5" s="4"/>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95" t="s">
        <v>45</v>
      </c>
      <c r="C9" s="210" t="s">
        <v>87</v>
      </c>
      <c r="D9" s="198" t="s">
        <v>47</v>
      </c>
      <c r="E9" s="201" t="s">
        <v>40</v>
      </c>
      <c r="F9" s="188" t="s">
        <v>86</v>
      </c>
      <c r="G9" s="188"/>
      <c r="H9" s="188"/>
      <c r="I9" s="188"/>
      <c r="J9" s="188"/>
      <c r="K9" s="188"/>
      <c r="L9" s="188" t="s">
        <v>49</v>
      </c>
      <c r="M9" s="188"/>
      <c r="N9" s="188"/>
      <c r="O9" s="188"/>
      <c r="P9" s="188"/>
      <c r="Q9" s="188"/>
      <c r="R9" s="188" t="s">
        <v>50</v>
      </c>
      <c r="S9" s="188"/>
      <c r="T9" s="188"/>
      <c r="U9" s="188"/>
      <c r="V9" s="188"/>
      <c r="W9" s="188"/>
      <c r="X9" s="188" t="s">
        <v>101</v>
      </c>
      <c r="Y9" s="188"/>
      <c r="Z9" s="188"/>
      <c r="AA9" s="188"/>
      <c r="AB9" s="188"/>
      <c r="AC9" s="188"/>
      <c r="AD9" s="188" t="s">
        <v>51</v>
      </c>
      <c r="AE9" s="188"/>
      <c r="AF9" s="188"/>
      <c r="AG9" s="188"/>
      <c r="AH9" s="188"/>
      <c r="AI9" s="188"/>
      <c r="AJ9" s="188" t="s">
        <v>52</v>
      </c>
      <c r="AK9" s="188"/>
      <c r="AL9" s="188"/>
      <c r="AM9" s="188"/>
      <c r="AN9" s="188"/>
      <c r="AO9" s="188"/>
      <c r="AP9" s="204" t="s">
        <v>35</v>
      </c>
      <c r="AQ9" s="207" t="s">
        <v>32</v>
      </c>
      <c r="AS9" s="2"/>
    </row>
    <row r="10" spans="1:45" ht="16.95" customHeight="1" x14ac:dyDescent="0.2">
      <c r="B10" s="196"/>
      <c r="C10" s="211"/>
      <c r="D10" s="199"/>
      <c r="E10" s="202"/>
      <c r="F10" s="189" t="s">
        <v>97</v>
      </c>
      <c r="G10" s="190"/>
      <c r="H10" s="190"/>
      <c r="I10" s="189" t="s">
        <v>29</v>
      </c>
      <c r="J10" s="190"/>
      <c r="K10" s="190"/>
      <c r="L10" s="189" t="s">
        <v>97</v>
      </c>
      <c r="M10" s="190"/>
      <c r="N10" s="190"/>
      <c r="O10" s="189" t="s">
        <v>29</v>
      </c>
      <c r="P10" s="190"/>
      <c r="Q10" s="190"/>
      <c r="R10" s="189" t="s">
        <v>97</v>
      </c>
      <c r="S10" s="190"/>
      <c r="T10" s="190"/>
      <c r="U10" s="189" t="s">
        <v>29</v>
      </c>
      <c r="V10" s="190"/>
      <c r="W10" s="190"/>
      <c r="X10" s="189" t="s">
        <v>97</v>
      </c>
      <c r="Y10" s="190"/>
      <c r="Z10" s="190"/>
      <c r="AA10" s="189" t="s">
        <v>29</v>
      </c>
      <c r="AB10" s="190"/>
      <c r="AC10" s="190"/>
      <c r="AD10" s="189" t="s">
        <v>97</v>
      </c>
      <c r="AE10" s="190"/>
      <c r="AF10" s="190"/>
      <c r="AG10" s="189" t="s">
        <v>29</v>
      </c>
      <c r="AH10" s="190"/>
      <c r="AI10" s="190"/>
      <c r="AJ10" s="189" t="s">
        <v>97</v>
      </c>
      <c r="AK10" s="190"/>
      <c r="AL10" s="190"/>
      <c r="AM10" s="189" t="s">
        <v>29</v>
      </c>
      <c r="AN10" s="190"/>
      <c r="AO10" s="190"/>
      <c r="AP10" s="205"/>
      <c r="AQ10" s="208"/>
      <c r="AS10" s="2"/>
    </row>
    <row r="11" spans="1:45" ht="18" customHeight="1" x14ac:dyDescent="0.2">
      <c r="B11" s="197"/>
      <c r="C11" s="212"/>
      <c r="D11" s="200"/>
      <c r="E11" s="203"/>
      <c r="F11" s="11" t="s">
        <v>98</v>
      </c>
      <c r="G11" s="12" t="s">
        <v>99</v>
      </c>
      <c r="H11" s="13" t="s">
        <v>100</v>
      </c>
      <c r="I11" s="11" t="s">
        <v>98</v>
      </c>
      <c r="J11" s="12" t="s">
        <v>99</v>
      </c>
      <c r="K11" s="13" t="s">
        <v>100</v>
      </c>
      <c r="L11" s="11" t="s">
        <v>98</v>
      </c>
      <c r="M11" s="12" t="s">
        <v>99</v>
      </c>
      <c r="N11" s="13" t="s">
        <v>100</v>
      </c>
      <c r="O11" s="11" t="s">
        <v>98</v>
      </c>
      <c r="P11" s="12" t="s">
        <v>99</v>
      </c>
      <c r="Q11" s="13" t="s">
        <v>100</v>
      </c>
      <c r="R11" s="11" t="s">
        <v>98</v>
      </c>
      <c r="S11" s="12" t="s">
        <v>99</v>
      </c>
      <c r="T11" s="13" t="s">
        <v>100</v>
      </c>
      <c r="U11" s="11" t="s">
        <v>98</v>
      </c>
      <c r="V11" s="12" t="s">
        <v>99</v>
      </c>
      <c r="W11" s="13" t="s">
        <v>100</v>
      </c>
      <c r="X11" s="11" t="s">
        <v>98</v>
      </c>
      <c r="Y11" s="12" t="s">
        <v>99</v>
      </c>
      <c r="Z11" s="13" t="s">
        <v>100</v>
      </c>
      <c r="AA11" s="11" t="s">
        <v>98</v>
      </c>
      <c r="AB11" s="12" t="s">
        <v>99</v>
      </c>
      <c r="AC11" s="13" t="s">
        <v>100</v>
      </c>
      <c r="AD11" s="11" t="s">
        <v>98</v>
      </c>
      <c r="AE11" s="12" t="s">
        <v>99</v>
      </c>
      <c r="AF11" s="13" t="s">
        <v>100</v>
      </c>
      <c r="AG11" s="11" t="s">
        <v>98</v>
      </c>
      <c r="AH11" s="12" t="s">
        <v>99</v>
      </c>
      <c r="AI11" s="13" t="s">
        <v>100</v>
      </c>
      <c r="AJ11" s="11" t="s">
        <v>98</v>
      </c>
      <c r="AK11" s="12" t="s">
        <v>99</v>
      </c>
      <c r="AL11" s="13" t="s">
        <v>100</v>
      </c>
      <c r="AM11" s="11" t="s">
        <v>98</v>
      </c>
      <c r="AN11" s="12" t="s">
        <v>99</v>
      </c>
      <c r="AO11" s="13" t="s">
        <v>100</v>
      </c>
      <c r="AP11" s="206"/>
      <c r="AQ11" s="209"/>
      <c r="AS11" s="2"/>
    </row>
    <row r="12" spans="1:45" ht="18" customHeight="1" x14ac:dyDescent="0.2">
      <c r="A12" s="4"/>
      <c r="B12" s="96" t="s">
        <v>177</v>
      </c>
      <c r="C12" s="97">
        <v>591</v>
      </c>
      <c r="D12" s="98">
        <v>130</v>
      </c>
      <c r="E12" s="99">
        <v>520</v>
      </c>
      <c r="F12" s="99">
        <f>G12+H12</f>
        <v>38</v>
      </c>
      <c r="G12" s="100">
        <v>29</v>
      </c>
      <c r="H12" s="101">
        <v>9</v>
      </c>
      <c r="I12" s="19">
        <f>J12+K12</f>
        <v>0</v>
      </c>
      <c r="J12" s="20">
        <v>0</v>
      </c>
      <c r="K12" s="21">
        <v>0</v>
      </c>
      <c r="L12" s="19">
        <f>M12+N12</f>
        <v>0</v>
      </c>
      <c r="M12" s="20"/>
      <c r="N12" s="21"/>
      <c r="O12" s="19">
        <f>P12+Q12</f>
        <v>0</v>
      </c>
      <c r="P12" s="20"/>
      <c r="Q12" s="21"/>
      <c r="R12" s="19">
        <f>S12+T12</f>
        <v>0</v>
      </c>
      <c r="S12" s="20"/>
      <c r="T12" s="21"/>
      <c r="U12" s="19">
        <f>V12+W12</f>
        <v>0</v>
      </c>
      <c r="V12" s="20"/>
      <c r="W12" s="21"/>
      <c r="X12" s="19">
        <f>Y12+Z12</f>
        <v>0</v>
      </c>
      <c r="Y12" s="20"/>
      <c r="Z12" s="21"/>
      <c r="AA12" s="19">
        <f>AB12+AC12</f>
        <v>0</v>
      </c>
      <c r="AB12" s="20"/>
      <c r="AC12" s="21"/>
      <c r="AD12" s="19">
        <f>AE12+AF12</f>
        <v>0</v>
      </c>
      <c r="AE12" s="20"/>
      <c r="AF12" s="21"/>
      <c r="AG12" s="19">
        <f>AH12+AI12</f>
        <v>0</v>
      </c>
      <c r="AH12" s="20"/>
      <c r="AI12" s="21"/>
      <c r="AJ12" s="19">
        <f>AK12+AL12</f>
        <v>0</v>
      </c>
      <c r="AK12" s="20"/>
      <c r="AL12" s="21"/>
      <c r="AM12" s="19">
        <f>AN12+AO12</f>
        <v>0</v>
      </c>
      <c r="AN12" s="20"/>
      <c r="AO12" s="21"/>
      <c r="AP12" s="18">
        <f>F12+L12+R12+X12+AD12+AJ12</f>
        <v>38</v>
      </c>
      <c r="AQ12" s="15">
        <f t="shared" ref="AQ12:AQ32" si="0">AP12/E12</f>
        <v>7.3076923076923081E-2</v>
      </c>
    </row>
    <row r="13" spans="1:45" ht="18" customHeight="1" x14ac:dyDescent="0.2">
      <c r="A13" s="4"/>
      <c r="B13" s="102" t="s">
        <v>178</v>
      </c>
      <c r="C13" s="103">
        <v>293</v>
      </c>
      <c r="D13" s="104">
        <v>70</v>
      </c>
      <c r="E13" s="105">
        <v>280</v>
      </c>
      <c r="F13" s="106">
        <f t="shared" ref="F13" si="1">G13+H13</f>
        <v>19</v>
      </c>
      <c r="G13" s="107">
        <v>10</v>
      </c>
      <c r="H13" s="108">
        <v>9</v>
      </c>
      <c r="I13" s="25">
        <f t="shared" ref="I13:I31" si="2">J13+K13</f>
        <v>0</v>
      </c>
      <c r="J13" s="26"/>
      <c r="K13" s="27"/>
      <c r="L13" s="25">
        <f t="shared" ref="L13:L31" si="3">M13+N13</f>
        <v>0</v>
      </c>
      <c r="M13" s="26"/>
      <c r="N13" s="27"/>
      <c r="O13" s="25">
        <f t="shared" ref="O13:O31" si="4">P13+Q13</f>
        <v>0</v>
      </c>
      <c r="P13" s="26"/>
      <c r="Q13" s="27"/>
      <c r="R13" s="25">
        <f t="shared" ref="R13:R31" si="5">S13+T13</f>
        <v>0</v>
      </c>
      <c r="S13" s="26"/>
      <c r="T13" s="27"/>
      <c r="U13" s="25">
        <f t="shared" ref="U13:U31" si="6">V13+W13</f>
        <v>0</v>
      </c>
      <c r="V13" s="26"/>
      <c r="W13" s="27"/>
      <c r="X13" s="25">
        <f t="shared" ref="X13:X31" si="7">Y13+Z13</f>
        <v>0</v>
      </c>
      <c r="Y13" s="26"/>
      <c r="Z13" s="27"/>
      <c r="AA13" s="25">
        <f t="shared" ref="AA13:AA31" si="8">AB13+AC13</f>
        <v>0</v>
      </c>
      <c r="AB13" s="26"/>
      <c r="AC13" s="27"/>
      <c r="AD13" s="25">
        <f t="shared" ref="AD13:AD31" si="9">AE13+AF13</f>
        <v>0</v>
      </c>
      <c r="AE13" s="26"/>
      <c r="AF13" s="27"/>
      <c r="AG13" s="25">
        <f t="shared" ref="AG13:AG31" si="10">AH13+AI13</f>
        <v>0</v>
      </c>
      <c r="AH13" s="26"/>
      <c r="AI13" s="27"/>
      <c r="AJ13" s="25">
        <f t="shared" ref="AJ13:AJ31" si="11">AK13+AL13</f>
        <v>0</v>
      </c>
      <c r="AK13" s="26"/>
      <c r="AL13" s="27"/>
      <c r="AM13" s="25">
        <f t="shared" ref="AM13:AM31" si="12">AN13+AO13</f>
        <v>0</v>
      </c>
      <c r="AN13" s="26"/>
      <c r="AO13" s="27"/>
      <c r="AP13" s="23">
        <f t="shared" ref="AP13:AP31" si="13">F13+L13+R13+X13+AD13+AJ13</f>
        <v>19</v>
      </c>
      <c r="AQ13" s="14">
        <f t="shared" si="0"/>
        <v>6.7857142857142852E-2</v>
      </c>
    </row>
    <row r="14" spans="1:45" ht="18" customHeight="1" x14ac:dyDescent="0.2">
      <c r="A14" s="4"/>
      <c r="B14" s="8"/>
      <c r="C14" s="22"/>
      <c r="D14" s="23"/>
      <c r="E14" s="24"/>
      <c r="F14" s="25">
        <f t="shared" ref="F14:F31" si="14">G14+H14</f>
        <v>0</v>
      </c>
      <c r="G14" s="26"/>
      <c r="H14" s="27"/>
      <c r="I14" s="25">
        <f t="shared" si="2"/>
        <v>0</v>
      </c>
      <c r="J14" s="26"/>
      <c r="K14" s="27"/>
      <c r="L14" s="25">
        <f t="shared" si="3"/>
        <v>0</v>
      </c>
      <c r="M14" s="26"/>
      <c r="N14" s="27"/>
      <c r="O14" s="25">
        <f t="shared" si="4"/>
        <v>0</v>
      </c>
      <c r="P14" s="26"/>
      <c r="Q14" s="27"/>
      <c r="R14" s="25">
        <f t="shared" si="5"/>
        <v>0</v>
      </c>
      <c r="S14" s="26"/>
      <c r="T14" s="27"/>
      <c r="U14" s="25">
        <f t="shared" si="6"/>
        <v>0</v>
      </c>
      <c r="V14" s="26"/>
      <c r="W14" s="27"/>
      <c r="X14" s="25">
        <f t="shared" si="7"/>
        <v>0</v>
      </c>
      <c r="Y14" s="26"/>
      <c r="Z14" s="27"/>
      <c r="AA14" s="25">
        <f t="shared" si="8"/>
        <v>0</v>
      </c>
      <c r="AB14" s="26"/>
      <c r="AC14" s="27"/>
      <c r="AD14" s="25">
        <f t="shared" si="9"/>
        <v>0</v>
      </c>
      <c r="AE14" s="26"/>
      <c r="AF14" s="27"/>
      <c r="AG14" s="25">
        <f t="shared" si="10"/>
        <v>0</v>
      </c>
      <c r="AH14" s="26"/>
      <c r="AI14" s="27"/>
      <c r="AJ14" s="25">
        <f t="shared" si="11"/>
        <v>0</v>
      </c>
      <c r="AK14" s="26"/>
      <c r="AL14" s="27"/>
      <c r="AM14" s="25">
        <f t="shared" si="12"/>
        <v>0</v>
      </c>
      <c r="AN14" s="26"/>
      <c r="AO14" s="27"/>
      <c r="AP14" s="23">
        <f t="shared" si="13"/>
        <v>0</v>
      </c>
      <c r="AQ14" s="6" t="e">
        <f t="shared" si="0"/>
        <v>#DIV/0!</v>
      </c>
    </row>
    <row r="15" spans="1:45" ht="18" customHeight="1" x14ac:dyDescent="0.2">
      <c r="A15" s="4"/>
      <c r="B15" s="8"/>
      <c r="C15" s="22"/>
      <c r="D15" s="23"/>
      <c r="E15" s="24"/>
      <c r="F15" s="25">
        <f t="shared" si="14"/>
        <v>0</v>
      </c>
      <c r="G15" s="26"/>
      <c r="H15" s="27"/>
      <c r="I15" s="25">
        <f t="shared" si="2"/>
        <v>0</v>
      </c>
      <c r="J15" s="26"/>
      <c r="K15" s="27"/>
      <c r="L15" s="25">
        <f t="shared" si="3"/>
        <v>0</v>
      </c>
      <c r="M15" s="26"/>
      <c r="N15" s="27"/>
      <c r="O15" s="25">
        <f t="shared" si="4"/>
        <v>0</v>
      </c>
      <c r="P15" s="26"/>
      <c r="Q15" s="27"/>
      <c r="R15" s="25">
        <f t="shared" si="5"/>
        <v>0</v>
      </c>
      <c r="S15" s="26"/>
      <c r="T15" s="27"/>
      <c r="U15" s="25">
        <f t="shared" si="6"/>
        <v>0</v>
      </c>
      <c r="V15" s="26"/>
      <c r="W15" s="27"/>
      <c r="X15" s="25">
        <f t="shared" si="7"/>
        <v>0</v>
      </c>
      <c r="Y15" s="26"/>
      <c r="Z15" s="27"/>
      <c r="AA15" s="25">
        <f t="shared" si="8"/>
        <v>0</v>
      </c>
      <c r="AB15" s="26"/>
      <c r="AC15" s="27"/>
      <c r="AD15" s="25">
        <f t="shared" si="9"/>
        <v>0</v>
      </c>
      <c r="AE15" s="26"/>
      <c r="AF15" s="27"/>
      <c r="AG15" s="25">
        <f t="shared" si="10"/>
        <v>0</v>
      </c>
      <c r="AH15" s="26"/>
      <c r="AI15" s="27"/>
      <c r="AJ15" s="25">
        <f t="shared" si="11"/>
        <v>0</v>
      </c>
      <c r="AK15" s="26"/>
      <c r="AL15" s="27"/>
      <c r="AM15" s="25">
        <f t="shared" si="12"/>
        <v>0</v>
      </c>
      <c r="AN15" s="26"/>
      <c r="AO15" s="27"/>
      <c r="AP15" s="23">
        <f t="shared" si="13"/>
        <v>0</v>
      </c>
      <c r="AQ15" s="6" t="e">
        <f t="shared" si="0"/>
        <v>#DIV/0!</v>
      </c>
    </row>
    <row r="16" spans="1:45" ht="18" customHeight="1" x14ac:dyDescent="0.2">
      <c r="A16" s="4"/>
      <c r="B16" s="8"/>
      <c r="C16" s="22"/>
      <c r="D16" s="23"/>
      <c r="E16" s="24"/>
      <c r="F16" s="25">
        <f t="shared" si="14"/>
        <v>0</v>
      </c>
      <c r="G16" s="26"/>
      <c r="H16" s="27"/>
      <c r="I16" s="25">
        <f t="shared" si="2"/>
        <v>0</v>
      </c>
      <c r="J16" s="26"/>
      <c r="K16" s="27"/>
      <c r="L16" s="25">
        <f t="shared" si="3"/>
        <v>0</v>
      </c>
      <c r="M16" s="26"/>
      <c r="N16" s="27"/>
      <c r="O16" s="25">
        <f t="shared" si="4"/>
        <v>0</v>
      </c>
      <c r="P16" s="26"/>
      <c r="Q16" s="27"/>
      <c r="R16" s="25">
        <f t="shared" si="5"/>
        <v>0</v>
      </c>
      <c r="S16" s="26"/>
      <c r="T16" s="27"/>
      <c r="U16" s="25">
        <f t="shared" si="6"/>
        <v>0</v>
      </c>
      <c r="V16" s="26"/>
      <c r="W16" s="27"/>
      <c r="X16" s="25">
        <f t="shared" si="7"/>
        <v>0</v>
      </c>
      <c r="Y16" s="26"/>
      <c r="Z16" s="27"/>
      <c r="AA16" s="25">
        <f t="shared" si="8"/>
        <v>0</v>
      </c>
      <c r="AB16" s="26"/>
      <c r="AC16" s="27"/>
      <c r="AD16" s="25">
        <f t="shared" si="9"/>
        <v>0</v>
      </c>
      <c r="AE16" s="26"/>
      <c r="AF16" s="27"/>
      <c r="AG16" s="25">
        <f t="shared" si="10"/>
        <v>0</v>
      </c>
      <c r="AH16" s="26"/>
      <c r="AI16" s="27"/>
      <c r="AJ16" s="25">
        <f t="shared" si="11"/>
        <v>0</v>
      </c>
      <c r="AK16" s="26"/>
      <c r="AL16" s="27"/>
      <c r="AM16" s="25">
        <f t="shared" si="12"/>
        <v>0</v>
      </c>
      <c r="AN16" s="26"/>
      <c r="AO16" s="27"/>
      <c r="AP16" s="23">
        <f t="shared" si="13"/>
        <v>0</v>
      </c>
      <c r="AQ16" s="6" t="e">
        <f t="shared" si="0"/>
        <v>#DIV/0!</v>
      </c>
    </row>
    <row r="17" spans="1:43" ht="18" customHeight="1" x14ac:dyDescent="0.2">
      <c r="A17" s="4"/>
      <c r="B17" s="8"/>
      <c r="C17" s="22"/>
      <c r="D17" s="23"/>
      <c r="E17" s="24"/>
      <c r="F17" s="25">
        <f t="shared" si="14"/>
        <v>0</v>
      </c>
      <c r="G17" s="26"/>
      <c r="H17" s="27"/>
      <c r="I17" s="25">
        <f t="shared" si="2"/>
        <v>0</v>
      </c>
      <c r="J17" s="26"/>
      <c r="K17" s="27"/>
      <c r="L17" s="25">
        <f t="shared" si="3"/>
        <v>0</v>
      </c>
      <c r="M17" s="26"/>
      <c r="N17" s="27"/>
      <c r="O17" s="25">
        <f t="shared" si="4"/>
        <v>0</v>
      </c>
      <c r="P17" s="26"/>
      <c r="Q17" s="27"/>
      <c r="R17" s="25">
        <f t="shared" si="5"/>
        <v>0</v>
      </c>
      <c r="S17" s="26"/>
      <c r="T17" s="27"/>
      <c r="U17" s="25">
        <f t="shared" si="6"/>
        <v>0</v>
      </c>
      <c r="V17" s="26"/>
      <c r="W17" s="27"/>
      <c r="X17" s="25">
        <f t="shared" si="7"/>
        <v>0</v>
      </c>
      <c r="Y17" s="26"/>
      <c r="Z17" s="27"/>
      <c r="AA17" s="25">
        <f t="shared" si="8"/>
        <v>0</v>
      </c>
      <c r="AB17" s="26"/>
      <c r="AC17" s="27"/>
      <c r="AD17" s="25">
        <f t="shared" si="9"/>
        <v>0</v>
      </c>
      <c r="AE17" s="26"/>
      <c r="AF17" s="27"/>
      <c r="AG17" s="25">
        <f t="shared" si="10"/>
        <v>0</v>
      </c>
      <c r="AH17" s="26"/>
      <c r="AI17" s="27"/>
      <c r="AJ17" s="25">
        <f t="shared" si="11"/>
        <v>0</v>
      </c>
      <c r="AK17" s="26"/>
      <c r="AL17" s="27"/>
      <c r="AM17" s="25">
        <f t="shared" si="12"/>
        <v>0</v>
      </c>
      <c r="AN17" s="26"/>
      <c r="AO17" s="27"/>
      <c r="AP17" s="23">
        <f t="shared" si="13"/>
        <v>0</v>
      </c>
      <c r="AQ17" s="6" t="e">
        <f t="shared" si="0"/>
        <v>#DIV/0!</v>
      </c>
    </row>
    <row r="18" spans="1:43" ht="18" customHeight="1" x14ac:dyDescent="0.2">
      <c r="A18" s="4"/>
      <c r="B18" s="8"/>
      <c r="C18" s="22"/>
      <c r="D18" s="23"/>
      <c r="E18" s="24"/>
      <c r="F18" s="25">
        <f t="shared" si="14"/>
        <v>0</v>
      </c>
      <c r="G18" s="26"/>
      <c r="H18" s="27"/>
      <c r="I18" s="25">
        <f t="shared" si="2"/>
        <v>0</v>
      </c>
      <c r="J18" s="26"/>
      <c r="K18" s="27"/>
      <c r="L18" s="25">
        <f t="shared" si="3"/>
        <v>0</v>
      </c>
      <c r="M18" s="26"/>
      <c r="N18" s="27"/>
      <c r="O18" s="25">
        <f t="shared" si="4"/>
        <v>0</v>
      </c>
      <c r="P18" s="26"/>
      <c r="Q18" s="27"/>
      <c r="R18" s="25">
        <f t="shared" si="5"/>
        <v>0</v>
      </c>
      <c r="S18" s="26"/>
      <c r="T18" s="27"/>
      <c r="U18" s="25">
        <f t="shared" si="6"/>
        <v>0</v>
      </c>
      <c r="V18" s="26"/>
      <c r="W18" s="27"/>
      <c r="X18" s="25">
        <f t="shared" si="7"/>
        <v>0</v>
      </c>
      <c r="Y18" s="26"/>
      <c r="Z18" s="27"/>
      <c r="AA18" s="25">
        <f t="shared" si="8"/>
        <v>0</v>
      </c>
      <c r="AB18" s="26"/>
      <c r="AC18" s="27"/>
      <c r="AD18" s="25">
        <f t="shared" si="9"/>
        <v>0</v>
      </c>
      <c r="AE18" s="26"/>
      <c r="AF18" s="27"/>
      <c r="AG18" s="25">
        <f t="shared" si="10"/>
        <v>0</v>
      </c>
      <c r="AH18" s="26"/>
      <c r="AI18" s="27"/>
      <c r="AJ18" s="25">
        <f t="shared" si="11"/>
        <v>0</v>
      </c>
      <c r="AK18" s="26"/>
      <c r="AL18" s="27"/>
      <c r="AM18" s="25">
        <f t="shared" si="12"/>
        <v>0</v>
      </c>
      <c r="AN18" s="26"/>
      <c r="AO18" s="27"/>
      <c r="AP18" s="23">
        <f t="shared" si="13"/>
        <v>0</v>
      </c>
      <c r="AQ18" s="6" t="e">
        <f t="shared" si="0"/>
        <v>#DIV/0!</v>
      </c>
    </row>
    <row r="19" spans="1:43" ht="18" customHeight="1" x14ac:dyDescent="0.2">
      <c r="A19" s="4"/>
      <c r="B19" s="8"/>
      <c r="C19" s="22"/>
      <c r="D19" s="23"/>
      <c r="E19" s="24"/>
      <c r="F19" s="25">
        <f t="shared" si="14"/>
        <v>0</v>
      </c>
      <c r="G19" s="26"/>
      <c r="H19" s="27"/>
      <c r="I19" s="25">
        <f t="shared" si="2"/>
        <v>0</v>
      </c>
      <c r="J19" s="26"/>
      <c r="K19" s="27"/>
      <c r="L19" s="25">
        <f t="shared" si="3"/>
        <v>0</v>
      </c>
      <c r="M19" s="26"/>
      <c r="N19" s="27"/>
      <c r="O19" s="25">
        <f t="shared" si="4"/>
        <v>0</v>
      </c>
      <c r="P19" s="26"/>
      <c r="Q19" s="27"/>
      <c r="R19" s="25">
        <f t="shared" si="5"/>
        <v>0</v>
      </c>
      <c r="S19" s="26"/>
      <c r="T19" s="27"/>
      <c r="U19" s="25">
        <f t="shared" si="6"/>
        <v>0</v>
      </c>
      <c r="V19" s="26"/>
      <c r="W19" s="27"/>
      <c r="X19" s="25">
        <f t="shared" si="7"/>
        <v>0</v>
      </c>
      <c r="Y19" s="26"/>
      <c r="Z19" s="27"/>
      <c r="AA19" s="25">
        <f t="shared" si="8"/>
        <v>0</v>
      </c>
      <c r="AB19" s="26"/>
      <c r="AC19" s="27"/>
      <c r="AD19" s="25">
        <f t="shared" si="9"/>
        <v>0</v>
      </c>
      <c r="AE19" s="26"/>
      <c r="AF19" s="27"/>
      <c r="AG19" s="25">
        <f t="shared" si="10"/>
        <v>0</v>
      </c>
      <c r="AH19" s="26"/>
      <c r="AI19" s="27"/>
      <c r="AJ19" s="25">
        <f t="shared" si="11"/>
        <v>0</v>
      </c>
      <c r="AK19" s="26"/>
      <c r="AL19" s="27"/>
      <c r="AM19" s="25">
        <f t="shared" si="12"/>
        <v>0</v>
      </c>
      <c r="AN19" s="26"/>
      <c r="AO19" s="27"/>
      <c r="AP19" s="23">
        <f t="shared" si="13"/>
        <v>0</v>
      </c>
      <c r="AQ19" s="6" t="e">
        <f t="shared" si="0"/>
        <v>#DIV/0!</v>
      </c>
    </row>
    <row r="20" spans="1:43" ht="18" customHeight="1" x14ac:dyDescent="0.2">
      <c r="A20" s="4"/>
      <c r="B20" s="8"/>
      <c r="C20" s="22"/>
      <c r="D20" s="23"/>
      <c r="E20" s="24"/>
      <c r="F20" s="25">
        <f t="shared" si="14"/>
        <v>0</v>
      </c>
      <c r="G20" s="26"/>
      <c r="H20" s="27"/>
      <c r="I20" s="25">
        <f t="shared" si="2"/>
        <v>0</v>
      </c>
      <c r="J20" s="26"/>
      <c r="K20" s="27"/>
      <c r="L20" s="25">
        <f t="shared" si="3"/>
        <v>0</v>
      </c>
      <c r="M20" s="26"/>
      <c r="N20" s="27"/>
      <c r="O20" s="25">
        <f t="shared" si="4"/>
        <v>0</v>
      </c>
      <c r="P20" s="26"/>
      <c r="Q20" s="27"/>
      <c r="R20" s="25">
        <f t="shared" si="5"/>
        <v>0</v>
      </c>
      <c r="S20" s="26"/>
      <c r="T20" s="27"/>
      <c r="U20" s="25">
        <f t="shared" si="6"/>
        <v>0</v>
      </c>
      <c r="V20" s="26"/>
      <c r="W20" s="27"/>
      <c r="X20" s="25">
        <f t="shared" si="7"/>
        <v>0</v>
      </c>
      <c r="Y20" s="26"/>
      <c r="Z20" s="27"/>
      <c r="AA20" s="25">
        <f t="shared" si="8"/>
        <v>0</v>
      </c>
      <c r="AB20" s="26"/>
      <c r="AC20" s="27"/>
      <c r="AD20" s="25">
        <f t="shared" si="9"/>
        <v>0</v>
      </c>
      <c r="AE20" s="26"/>
      <c r="AF20" s="27"/>
      <c r="AG20" s="25">
        <f t="shared" si="10"/>
        <v>0</v>
      </c>
      <c r="AH20" s="26"/>
      <c r="AI20" s="27"/>
      <c r="AJ20" s="25">
        <f t="shared" si="11"/>
        <v>0</v>
      </c>
      <c r="AK20" s="26"/>
      <c r="AL20" s="27"/>
      <c r="AM20" s="25">
        <f t="shared" si="12"/>
        <v>0</v>
      </c>
      <c r="AN20" s="26"/>
      <c r="AO20" s="27"/>
      <c r="AP20" s="23">
        <f t="shared" si="13"/>
        <v>0</v>
      </c>
      <c r="AQ20" s="6" t="e">
        <f t="shared" si="0"/>
        <v>#DIV/0!</v>
      </c>
    </row>
    <row r="21" spans="1:43" ht="18" customHeight="1" x14ac:dyDescent="0.2">
      <c r="A21" s="4"/>
      <c r="B21" s="8"/>
      <c r="C21" s="22"/>
      <c r="D21" s="23"/>
      <c r="E21" s="24"/>
      <c r="F21" s="25">
        <f t="shared" si="14"/>
        <v>0</v>
      </c>
      <c r="G21" s="26"/>
      <c r="H21" s="27"/>
      <c r="I21" s="25">
        <f t="shared" si="2"/>
        <v>0</v>
      </c>
      <c r="J21" s="26"/>
      <c r="K21" s="27"/>
      <c r="L21" s="25">
        <f t="shared" si="3"/>
        <v>0</v>
      </c>
      <c r="M21" s="26"/>
      <c r="N21" s="27"/>
      <c r="O21" s="25">
        <f t="shared" si="4"/>
        <v>0</v>
      </c>
      <c r="P21" s="26"/>
      <c r="Q21" s="27"/>
      <c r="R21" s="25">
        <f t="shared" si="5"/>
        <v>0</v>
      </c>
      <c r="S21" s="26"/>
      <c r="T21" s="27"/>
      <c r="U21" s="25">
        <f t="shared" si="6"/>
        <v>0</v>
      </c>
      <c r="V21" s="26"/>
      <c r="W21" s="27"/>
      <c r="X21" s="25">
        <f t="shared" si="7"/>
        <v>0</v>
      </c>
      <c r="Y21" s="26"/>
      <c r="Z21" s="27"/>
      <c r="AA21" s="25">
        <f t="shared" si="8"/>
        <v>0</v>
      </c>
      <c r="AB21" s="26"/>
      <c r="AC21" s="27"/>
      <c r="AD21" s="25">
        <f t="shared" si="9"/>
        <v>0</v>
      </c>
      <c r="AE21" s="26"/>
      <c r="AF21" s="27"/>
      <c r="AG21" s="25">
        <f t="shared" si="10"/>
        <v>0</v>
      </c>
      <c r="AH21" s="26"/>
      <c r="AI21" s="27"/>
      <c r="AJ21" s="25">
        <f t="shared" si="11"/>
        <v>0</v>
      </c>
      <c r="AK21" s="26"/>
      <c r="AL21" s="27"/>
      <c r="AM21" s="25">
        <f t="shared" si="12"/>
        <v>0</v>
      </c>
      <c r="AN21" s="26"/>
      <c r="AO21" s="27"/>
      <c r="AP21" s="23">
        <f t="shared" si="13"/>
        <v>0</v>
      </c>
      <c r="AQ21" s="6" t="e">
        <f t="shared" si="0"/>
        <v>#DIV/0!</v>
      </c>
    </row>
    <row r="22" spans="1:43" ht="18" customHeight="1" x14ac:dyDescent="0.2">
      <c r="A22" s="4"/>
      <c r="B22" s="8"/>
      <c r="C22" s="22"/>
      <c r="D22" s="23"/>
      <c r="E22" s="24"/>
      <c r="F22" s="25">
        <f t="shared" si="14"/>
        <v>0</v>
      </c>
      <c r="G22" s="26"/>
      <c r="H22" s="27"/>
      <c r="I22" s="25">
        <f t="shared" si="2"/>
        <v>0</v>
      </c>
      <c r="J22" s="26"/>
      <c r="K22" s="27"/>
      <c r="L22" s="25">
        <f t="shared" si="3"/>
        <v>0</v>
      </c>
      <c r="M22" s="26"/>
      <c r="N22" s="27"/>
      <c r="O22" s="25">
        <f t="shared" si="4"/>
        <v>0</v>
      </c>
      <c r="P22" s="26"/>
      <c r="Q22" s="27"/>
      <c r="R22" s="25">
        <f t="shared" si="5"/>
        <v>0</v>
      </c>
      <c r="S22" s="26"/>
      <c r="T22" s="27"/>
      <c r="U22" s="25">
        <f t="shared" si="6"/>
        <v>0</v>
      </c>
      <c r="V22" s="26"/>
      <c r="W22" s="27"/>
      <c r="X22" s="25">
        <f t="shared" si="7"/>
        <v>0</v>
      </c>
      <c r="Y22" s="26"/>
      <c r="Z22" s="27"/>
      <c r="AA22" s="25">
        <f t="shared" si="8"/>
        <v>0</v>
      </c>
      <c r="AB22" s="26"/>
      <c r="AC22" s="27"/>
      <c r="AD22" s="25">
        <f t="shared" si="9"/>
        <v>0</v>
      </c>
      <c r="AE22" s="26"/>
      <c r="AF22" s="27"/>
      <c r="AG22" s="25">
        <f t="shared" si="10"/>
        <v>0</v>
      </c>
      <c r="AH22" s="26"/>
      <c r="AI22" s="27"/>
      <c r="AJ22" s="25">
        <f t="shared" si="11"/>
        <v>0</v>
      </c>
      <c r="AK22" s="26"/>
      <c r="AL22" s="27"/>
      <c r="AM22" s="25">
        <f t="shared" si="12"/>
        <v>0</v>
      </c>
      <c r="AN22" s="26"/>
      <c r="AO22" s="27"/>
      <c r="AP22" s="23">
        <f t="shared" si="13"/>
        <v>0</v>
      </c>
      <c r="AQ22" s="6" t="e">
        <f t="shared" si="0"/>
        <v>#DIV/0!</v>
      </c>
    </row>
    <row r="23" spans="1:43" ht="18" customHeight="1" x14ac:dyDescent="0.2">
      <c r="A23" s="4"/>
      <c r="B23" s="8"/>
      <c r="C23" s="22"/>
      <c r="D23" s="23"/>
      <c r="E23" s="24"/>
      <c r="F23" s="25">
        <f t="shared" si="14"/>
        <v>0</v>
      </c>
      <c r="G23" s="26"/>
      <c r="H23" s="27"/>
      <c r="I23" s="25">
        <f t="shared" si="2"/>
        <v>0</v>
      </c>
      <c r="J23" s="26"/>
      <c r="K23" s="27"/>
      <c r="L23" s="25">
        <f t="shared" si="3"/>
        <v>0</v>
      </c>
      <c r="M23" s="26"/>
      <c r="N23" s="27"/>
      <c r="O23" s="25">
        <f t="shared" si="4"/>
        <v>0</v>
      </c>
      <c r="P23" s="26"/>
      <c r="Q23" s="27"/>
      <c r="R23" s="25">
        <f t="shared" si="5"/>
        <v>0</v>
      </c>
      <c r="S23" s="26"/>
      <c r="T23" s="27"/>
      <c r="U23" s="25">
        <f t="shared" si="6"/>
        <v>0</v>
      </c>
      <c r="V23" s="26"/>
      <c r="W23" s="27"/>
      <c r="X23" s="25">
        <f t="shared" si="7"/>
        <v>0</v>
      </c>
      <c r="Y23" s="26"/>
      <c r="Z23" s="27"/>
      <c r="AA23" s="25">
        <f t="shared" si="8"/>
        <v>0</v>
      </c>
      <c r="AB23" s="26"/>
      <c r="AC23" s="27"/>
      <c r="AD23" s="25">
        <f t="shared" si="9"/>
        <v>0</v>
      </c>
      <c r="AE23" s="26"/>
      <c r="AF23" s="27"/>
      <c r="AG23" s="25">
        <f t="shared" si="10"/>
        <v>0</v>
      </c>
      <c r="AH23" s="26"/>
      <c r="AI23" s="27"/>
      <c r="AJ23" s="25">
        <f t="shared" si="11"/>
        <v>0</v>
      </c>
      <c r="AK23" s="26"/>
      <c r="AL23" s="27"/>
      <c r="AM23" s="25">
        <f t="shared" si="12"/>
        <v>0</v>
      </c>
      <c r="AN23" s="26"/>
      <c r="AO23" s="27"/>
      <c r="AP23" s="23">
        <f t="shared" si="13"/>
        <v>0</v>
      </c>
      <c r="AQ23" s="6" t="e">
        <f t="shared" si="0"/>
        <v>#DIV/0!</v>
      </c>
    </row>
    <row r="24" spans="1:43" ht="18" customHeight="1" x14ac:dyDescent="0.2">
      <c r="A24" s="4"/>
      <c r="B24" s="8"/>
      <c r="C24" s="22"/>
      <c r="D24" s="23"/>
      <c r="E24" s="24"/>
      <c r="F24" s="25">
        <f t="shared" si="14"/>
        <v>0</v>
      </c>
      <c r="G24" s="26"/>
      <c r="H24" s="27"/>
      <c r="I24" s="25">
        <f t="shared" si="2"/>
        <v>0</v>
      </c>
      <c r="J24" s="26"/>
      <c r="K24" s="27"/>
      <c r="L24" s="25">
        <f t="shared" si="3"/>
        <v>0</v>
      </c>
      <c r="M24" s="26"/>
      <c r="N24" s="27"/>
      <c r="O24" s="25">
        <f t="shared" si="4"/>
        <v>0</v>
      </c>
      <c r="P24" s="26"/>
      <c r="Q24" s="27"/>
      <c r="R24" s="25">
        <f t="shared" si="5"/>
        <v>0</v>
      </c>
      <c r="S24" s="26"/>
      <c r="T24" s="27"/>
      <c r="U24" s="25">
        <f t="shared" si="6"/>
        <v>0</v>
      </c>
      <c r="V24" s="26"/>
      <c r="W24" s="27"/>
      <c r="X24" s="25">
        <f t="shared" si="7"/>
        <v>0</v>
      </c>
      <c r="Y24" s="26"/>
      <c r="Z24" s="27"/>
      <c r="AA24" s="25">
        <f t="shared" si="8"/>
        <v>0</v>
      </c>
      <c r="AB24" s="26"/>
      <c r="AC24" s="27"/>
      <c r="AD24" s="25">
        <f t="shared" si="9"/>
        <v>0</v>
      </c>
      <c r="AE24" s="26"/>
      <c r="AF24" s="27"/>
      <c r="AG24" s="25">
        <f t="shared" si="10"/>
        <v>0</v>
      </c>
      <c r="AH24" s="26"/>
      <c r="AI24" s="27"/>
      <c r="AJ24" s="25">
        <f t="shared" si="11"/>
        <v>0</v>
      </c>
      <c r="AK24" s="26"/>
      <c r="AL24" s="27"/>
      <c r="AM24" s="25">
        <f t="shared" si="12"/>
        <v>0</v>
      </c>
      <c r="AN24" s="26"/>
      <c r="AO24" s="27"/>
      <c r="AP24" s="23">
        <f t="shared" si="13"/>
        <v>0</v>
      </c>
      <c r="AQ24" s="6" t="e">
        <f t="shared" si="0"/>
        <v>#DIV/0!</v>
      </c>
    </row>
    <row r="25" spans="1:43" ht="18" customHeight="1" x14ac:dyDescent="0.2">
      <c r="A25" s="4"/>
      <c r="B25" s="8"/>
      <c r="C25" s="22"/>
      <c r="D25" s="23"/>
      <c r="E25" s="24"/>
      <c r="F25" s="25">
        <f t="shared" si="14"/>
        <v>0</v>
      </c>
      <c r="G25" s="26"/>
      <c r="H25" s="27"/>
      <c r="I25" s="25">
        <f t="shared" si="2"/>
        <v>0</v>
      </c>
      <c r="J25" s="26"/>
      <c r="K25" s="27"/>
      <c r="L25" s="25">
        <f t="shared" si="3"/>
        <v>0</v>
      </c>
      <c r="M25" s="26"/>
      <c r="N25" s="27"/>
      <c r="O25" s="25">
        <f t="shared" si="4"/>
        <v>0</v>
      </c>
      <c r="P25" s="26"/>
      <c r="Q25" s="27"/>
      <c r="R25" s="25">
        <f t="shared" si="5"/>
        <v>0</v>
      </c>
      <c r="S25" s="26"/>
      <c r="T25" s="27"/>
      <c r="U25" s="25">
        <f t="shared" si="6"/>
        <v>0</v>
      </c>
      <c r="V25" s="26"/>
      <c r="W25" s="27"/>
      <c r="X25" s="25">
        <f t="shared" si="7"/>
        <v>0</v>
      </c>
      <c r="Y25" s="26"/>
      <c r="Z25" s="27"/>
      <c r="AA25" s="25">
        <f t="shared" si="8"/>
        <v>0</v>
      </c>
      <c r="AB25" s="26"/>
      <c r="AC25" s="27"/>
      <c r="AD25" s="25">
        <f t="shared" si="9"/>
        <v>0</v>
      </c>
      <c r="AE25" s="26"/>
      <c r="AF25" s="27"/>
      <c r="AG25" s="25">
        <f t="shared" si="10"/>
        <v>0</v>
      </c>
      <c r="AH25" s="26"/>
      <c r="AI25" s="27"/>
      <c r="AJ25" s="25">
        <f t="shared" si="11"/>
        <v>0</v>
      </c>
      <c r="AK25" s="26"/>
      <c r="AL25" s="27"/>
      <c r="AM25" s="25">
        <f t="shared" si="12"/>
        <v>0</v>
      </c>
      <c r="AN25" s="26"/>
      <c r="AO25" s="27"/>
      <c r="AP25" s="23">
        <f t="shared" si="13"/>
        <v>0</v>
      </c>
      <c r="AQ25" s="6" t="e">
        <f t="shared" si="0"/>
        <v>#DIV/0!</v>
      </c>
    </row>
    <row r="26" spans="1:43" ht="18" customHeight="1" x14ac:dyDescent="0.2">
      <c r="A26" s="4"/>
      <c r="B26" s="8"/>
      <c r="C26" s="22"/>
      <c r="D26" s="23"/>
      <c r="E26" s="24"/>
      <c r="F26" s="25">
        <f t="shared" si="14"/>
        <v>0</v>
      </c>
      <c r="G26" s="26"/>
      <c r="H26" s="27"/>
      <c r="I26" s="25">
        <f t="shared" si="2"/>
        <v>0</v>
      </c>
      <c r="J26" s="26"/>
      <c r="K26" s="27"/>
      <c r="L26" s="25">
        <f t="shared" si="3"/>
        <v>0</v>
      </c>
      <c r="M26" s="26"/>
      <c r="N26" s="27"/>
      <c r="O26" s="25">
        <f t="shared" si="4"/>
        <v>0</v>
      </c>
      <c r="P26" s="26"/>
      <c r="Q26" s="27"/>
      <c r="R26" s="25">
        <f t="shared" si="5"/>
        <v>0</v>
      </c>
      <c r="S26" s="26"/>
      <c r="T26" s="27"/>
      <c r="U26" s="25">
        <f t="shared" si="6"/>
        <v>0</v>
      </c>
      <c r="V26" s="26"/>
      <c r="W26" s="27"/>
      <c r="X26" s="25">
        <f t="shared" si="7"/>
        <v>0</v>
      </c>
      <c r="Y26" s="26"/>
      <c r="Z26" s="27"/>
      <c r="AA26" s="25">
        <f t="shared" si="8"/>
        <v>0</v>
      </c>
      <c r="AB26" s="26"/>
      <c r="AC26" s="27"/>
      <c r="AD26" s="25">
        <f t="shared" si="9"/>
        <v>0</v>
      </c>
      <c r="AE26" s="26"/>
      <c r="AF26" s="27"/>
      <c r="AG26" s="25">
        <f t="shared" si="10"/>
        <v>0</v>
      </c>
      <c r="AH26" s="26"/>
      <c r="AI26" s="27"/>
      <c r="AJ26" s="25">
        <f t="shared" si="11"/>
        <v>0</v>
      </c>
      <c r="AK26" s="26"/>
      <c r="AL26" s="27"/>
      <c r="AM26" s="25">
        <f t="shared" si="12"/>
        <v>0</v>
      </c>
      <c r="AN26" s="26"/>
      <c r="AO26" s="27"/>
      <c r="AP26" s="23">
        <f t="shared" si="13"/>
        <v>0</v>
      </c>
      <c r="AQ26" s="6" t="e">
        <f t="shared" si="0"/>
        <v>#DIV/0!</v>
      </c>
    </row>
    <row r="27" spans="1:43" ht="18" customHeight="1" x14ac:dyDescent="0.2">
      <c r="A27" s="4"/>
      <c r="B27" s="8"/>
      <c r="C27" s="22"/>
      <c r="D27" s="23"/>
      <c r="E27" s="24"/>
      <c r="F27" s="25">
        <f t="shared" si="14"/>
        <v>0</v>
      </c>
      <c r="G27" s="26"/>
      <c r="H27" s="27"/>
      <c r="I27" s="25">
        <f t="shared" si="2"/>
        <v>0</v>
      </c>
      <c r="J27" s="26"/>
      <c r="K27" s="27"/>
      <c r="L27" s="25">
        <f t="shared" si="3"/>
        <v>0</v>
      </c>
      <c r="M27" s="26"/>
      <c r="N27" s="27"/>
      <c r="O27" s="25">
        <f t="shared" si="4"/>
        <v>0</v>
      </c>
      <c r="P27" s="26"/>
      <c r="Q27" s="27"/>
      <c r="R27" s="25">
        <f t="shared" si="5"/>
        <v>0</v>
      </c>
      <c r="S27" s="26"/>
      <c r="T27" s="27"/>
      <c r="U27" s="25">
        <f t="shared" si="6"/>
        <v>0</v>
      </c>
      <c r="V27" s="26"/>
      <c r="W27" s="27"/>
      <c r="X27" s="25">
        <f t="shared" si="7"/>
        <v>0</v>
      </c>
      <c r="Y27" s="26"/>
      <c r="Z27" s="27"/>
      <c r="AA27" s="25">
        <f t="shared" si="8"/>
        <v>0</v>
      </c>
      <c r="AB27" s="26"/>
      <c r="AC27" s="27"/>
      <c r="AD27" s="25">
        <f t="shared" si="9"/>
        <v>0</v>
      </c>
      <c r="AE27" s="26"/>
      <c r="AF27" s="27"/>
      <c r="AG27" s="25">
        <f t="shared" si="10"/>
        <v>0</v>
      </c>
      <c r="AH27" s="26"/>
      <c r="AI27" s="27"/>
      <c r="AJ27" s="25">
        <f t="shared" si="11"/>
        <v>0</v>
      </c>
      <c r="AK27" s="26"/>
      <c r="AL27" s="27"/>
      <c r="AM27" s="25">
        <f t="shared" si="12"/>
        <v>0</v>
      </c>
      <c r="AN27" s="26"/>
      <c r="AO27" s="27"/>
      <c r="AP27" s="23">
        <f t="shared" si="13"/>
        <v>0</v>
      </c>
      <c r="AQ27" s="6" t="e">
        <f t="shared" si="0"/>
        <v>#DIV/0!</v>
      </c>
    </row>
    <row r="28" spans="1:43" ht="18" customHeight="1" x14ac:dyDescent="0.2">
      <c r="A28" s="4"/>
      <c r="B28" s="8"/>
      <c r="C28" s="22"/>
      <c r="D28" s="23"/>
      <c r="E28" s="24"/>
      <c r="F28" s="25">
        <f t="shared" si="14"/>
        <v>0</v>
      </c>
      <c r="G28" s="26"/>
      <c r="H28" s="27"/>
      <c r="I28" s="25">
        <f t="shared" si="2"/>
        <v>0</v>
      </c>
      <c r="J28" s="26"/>
      <c r="K28" s="27"/>
      <c r="L28" s="25">
        <f t="shared" si="3"/>
        <v>0</v>
      </c>
      <c r="M28" s="26"/>
      <c r="N28" s="27"/>
      <c r="O28" s="25">
        <f t="shared" si="4"/>
        <v>0</v>
      </c>
      <c r="P28" s="26"/>
      <c r="Q28" s="27"/>
      <c r="R28" s="25">
        <f t="shared" si="5"/>
        <v>0</v>
      </c>
      <c r="S28" s="26"/>
      <c r="T28" s="27"/>
      <c r="U28" s="25">
        <f t="shared" si="6"/>
        <v>0</v>
      </c>
      <c r="V28" s="26"/>
      <c r="W28" s="27"/>
      <c r="X28" s="25">
        <f t="shared" si="7"/>
        <v>0</v>
      </c>
      <c r="Y28" s="26"/>
      <c r="Z28" s="27"/>
      <c r="AA28" s="25">
        <f t="shared" si="8"/>
        <v>0</v>
      </c>
      <c r="AB28" s="26"/>
      <c r="AC28" s="27"/>
      <c r="AD28" s="25">
        <f t="shared" si="9"/>
        <v>0</v>
      </c>
      <c r="AE28" s="26"/>
      <c r="AF28" s="27"/>
      <c r="AG28" s="25">
        <f t="shared" si="10"/>
        <v>0</v>
      </c>
      <c r="AH28" s="26"/>
      <c r="AI28" s="27"/>
      <c r="AJ28" s="25">
        <f t="shared" si="11"/>
        <v>0</v>
      </c>
      <c r="AK28" s="26"/>
      <c r="AL28" s="27"/>
      <c r="AM28" s="25">
        <f t="shared" si="12"/>
        <v>0</v>
      </c>
      <c r="AN28" s="26"/>
      <c r="AO28" s="27"/>
      <c r="AP28" s="23">
        <f t="shared" si="13"/>
        <v>0</v>
      </c>
      <c r="AQ28" s="6" t="e">
        <f t="shared" si="0"/>
        <v>#DIV/0!</v>
      </c>
    </row>
    <row r="29" spans="1:43" ht="18" customHeight="1" x14ac:dyDescent="0.2">
      <c r="A29" s="4"/>
      <c r="B29" s="8"/>
      <c r="C29" s="22"/>
      <c r="D29" s="28"/>
      <c r="E29" s="24"/>
      <c r="F29" s="25">
        <f t="shared" si="14"/>
        <v>0</v>
      </c>
      <c r="G29" s="26"/>
      <c r="H29" s="27"/>
      <c r="I29" s="25">
        <f t="shared" si="2"/>
        <v>0</v>
      </c>
      <c r="J29" s="26"/>
      <c r="K29" s="27"/>
      <c r="L29" s="25">
        <f t="shared" si="3"/>
        <v>0</v>
      </c>
      <c r="M29" s="26"/>
      <c r="N29" s="27"/>
      <c r="O29" s="25">
        <f t="shared" si="4"/>
        <v>0</v>
      </c>
      <c r="P29" s="26"/>
      <c r="Q29" s="27"/>
      <c r="R29" s="25">
        <f t="shared" si="5"/>
        <v>0</v>
      </c>
      <c r="S29" s="26"/>
      <c r="T29" s="27"/>
      <c r="U29" s="25">
        <f t="shared" si="6"/>
        <v>0</v>
      </c>
      <c r="V29" s="26"/>
      <c r="W29" s="27"/>
      <c r="X29" s="25">
        <f t="shared" si="7"/>
        <v>0</v>
      </c>
      <c r="Y29" s="26"/>
      <c r="Z29" s="27"/>
      <c r="AA29" s="25">
        <f t="shared" si="8"/>
        <v>0</v>
      </c>
      <c r="AB29" s="26"/>
      <c r="AC29" s="27"/>
      <c r="AD29" s="25">
        <f t="shared" si="9"/>
        <v>0</v>
      </c>
      <c r="AE29" s="26"/>
      <c r="AF29" s="27"/>
      <c r="AG29" s="25">
        <f t="shared" si="10"/>
        <v>0</v>
      </c>
      <c r="AH29" s="26"/>
      <c r="AI29" s="27"/>
      <c r="AJ29" s="25">
        <f t="shared" si="11"/>
        <v>0</v>
      </c>
      <c r="AK29" s="26"/>
      <c r="AL29" s="27"/>
      <c r="AM29" s="25">
        <f t="shared" si="12"/>
        <v>0</v>
      </c>
      <c r="AN29" s="26"/>
      <c r="AO29" s="27"/>
      <c r="AP29" s="28">
        <f t="shared" si="13"/>
        <v>0</v>
      </c>
      <c r="AQ29" s="6" t="e">
        <f t="shared" si="0"/>
        <v>#DIV/0!</v>
      </c>
    </row>
    <row r="30" spans="1:43" ht="18" customHeight="1" x14ac:dyDescent="0.2">
      <c r="A30" s="4"/>
      <c r="B30" s="8"/>
      <c r="C30" s="22"/>
      <c r="D30" s="28"/>
      <c r="E30" s="24"/>
      <c r="F30" s="25">
        <f t="shared" si="14"/>
        <v>0</v>
      </c>
      <c r="G30" s="26"/>
      <c r="H30" s="27"/>
      <c r="I30" s="25">
        <f t="shared" si="2"/>
        <v>0</v>
      </c>
      <c r="J30" s="26"/>
      <c r="K30" s="27"/>
      <c r="L30" s="25">
        <f t="shared" si="3"/>
        <v>0</v>
      </c>
      <c r="M30" s="26"/>
      <c r="N30" s="27"/>
      <c r="O30" s="25">
        <f t="shared" si="4"/>
        <v>0</v>
      </c>
      <c r="P30" s="26"/>
      <c r="Q30" s="27"/>
      <c r="R30" s="25">
        <f t="shared" si="5"/>
        <v>0</v>
      </c>
      <c r="S30" s="26"/>
      <c r="T30" s="27"/>
      <c r="U30" s="25">
        <f t="shared" si="6"/>
        <v>0</v>
      </c>
      <c r="V30" s="26"/>
      <c r="W30" s="27"/>
      <c r="X30" s="25">
        <f t="shared" si="7"/>
        <v>0</v>
      </c>
      <c r="Y30" s="26"/>
      <c r="Z30" s="27"/>
      <c r="AA30" s="25">
        <f t="shared" si="8"/>
        <v>0</v>
      </c>
      <c r="AB30" s="26"/>
      <c r="AC30" s="27"/>
      <c r="AD30" s="25">
        <f t="shared" si="9"/>
        <v>0</v>
      </c>
      <c r="AE30" s="26"/>
      <c r="AF30" s="27"/>
      <c r="AG30" s="25">
        <f t="shared" si="10"/>
        <v>0</v>
      </c>
      <c r="AH30" s="26"/>
      <c r="AI30" s="27"/>
      <c r="AJ30" s="25">
        <f t="shared" si="11"/>
        <v>0</v>
      </c>
      <c r="AK30" s="26"/>
      <c r="AL30" s="27"/>
      <c r="AM30" s="25">
        <f t="shared" si="12"/>
        <v>0</v>
      </c>
      <c r="AN30" s="26"/>
      <c r="AO30" s="27"/>
      <c r="AP30" s="28">
        <f t="shared" si="13"/>
        <v>0</v>
      </c>
      <c r="AQ30" s="6" t="e">
        <f t="shared" si="0"/>
        <v>#DIV/0!</v>
      </c>
    </row>
    <row r="31" spans="1:43" ht="18" customHeight="1" thickBot="1" x14ac:dyDescent="0.25">
      <c r="A31" s="4"/>
      <c r="B31" s="9"/>
      <c r="C31" s="17"/>
      <c r="D31" s="29"/>
      <c r="E31" s="19"/>
      <c r="F31" s="19">
        <f t="shared" si="14"/>
        <v>0</v>
      </c>
      <c r="G31" s="30"/>
      <c r="H31" s="31"/>
      <c r="I31" s="19">
        <f t="shared" si="2"/>
        <v>0</v>
      </c>
      <c r="J31" s="30"/>
      <c r="K31" s="31"/>
      <c r="L31" s="19">
        <f t="shared" si="3"/>
        <v>0</v>
      </c>
      <c r="M31" s="30"/>
      <c r="N31" s="31"/>
      <c r="O31" s="19">
        <f t="shared" si="4"/>
        <v>0</v>
      </c>
      <c r="P31" s="30"/>
      <c r="Q31" s="31"/>
      <c r="R31" s="19">
        <f t="shared" si="5"/>
        <v>0</v>
      </c>
      <c r="S31" s="30"/>
      <c r="T31" s="31"/>
      <c r="U31" s="19">
        <f t="shared" si="6"/>
        <v>0</v>
      </c>
      <c r="V31" s="30"/>
      <c r="W31" s="31"/>
      <c r="X31" s="19">
        <f t="shared" si="7"/>
        <v>0</v>
      </c>
      <c r="Y31" s="30"/>
      <c r="Z31" s="31"/>
      <c r="AA31" s="19">
        <f t="shared" si="8"/>
        <v>0</v>
      </c>
      <c r="AB31" s="30"/>
      <c r="AC31" s="31"/>
      <c r="AD31" s="19">
        <f t="shared" si="9"/>
        <v>0</v>
      </c>
      <c r="AE31" s="30"/>
      <c r="AF31" s="31"/>
      <c r="AG31" s="19">
        <f t="shared" si="10"/>
        <v>0</v>
      </c>
      <c r="AH31" s="30"/>
      <c r="AI31" s="31"/>
      <c r="AJ31" s="19">
        <f t="shared" si="11"/>
        <v>0</v>
      </c>
      <c r="AK31" s="30"/>
      <c r="AL31" s="31"/>
      <c r="AM31" s="19">
        <f t="shared" si="12"/>
        <v>0</v>
      </c>
      <c r="AN31" s="30"/>
      <c r="AO31" s="31"/>
      <c r="AP31" s="29">
        <f t="shared" si="13"/>
        <v>0</v>
      </c>
      <c r="AQ31" s="5" t="e">
        <f t="shared" si="0"/>
        <v>#DIV/0!</v>
      </c>
    </row>
    <row r="32" spans="1:43" ht="18" customHeight="1" thickTop="1" x14ac:dyDescent="0.2">
      <c r="B32" s="10" t="s">
        <v>33</v>
      </c>
      <c r="C32" s="32">
        <f t="shared" ref="C32" si="15">SUM(C12:C31)</f>
        <v>884</v>
      </c>
      <c r="D32" s="33">
        <f t="shared" ref="D32:AP32" si="16">SUM(D12:D31)</f>
        <v>200</v>
      </c>
      <c r="E32" s="34">
        <f t="shared" si="16"/>
        <v>800</v>
      </c>
      <c r="F32" s="34">
        <f t="shared" si="16"/>
        <v>57</v>
      </c>
      <c r="G32" s="35">
        <f t="shared" si="16"/>
        <v>39</v>
      </c>
      <c r="H32" s="36">
        <f t="shared" si="16"/>
        <v>18</v>
      </c>
      <c r="I32" s="34">
        <f t="shared" ref="I32:N32" si="17">SUM(I12:I31)</f>
        <v>0</v>
      </c>
      <c r="J32" s="35">
        <f t="shared" si="17"/>
        <v>0</v>
      </c>
      <c r="K32" s="36">
        <f t="shared" si="17"/>
        <v>0</v>
      </c>
      <c r="L32" s="34">
        <f t="shared" si="17"/>
        <v>0</v>
      </c>
      <c r="M32" s="35">
        <f t="shared" si="17"/>
        <v>0</v>
      </c>
      <c r="N32" s="36">
        <f t="shared" si="17"/>
        <v>0</v>
      </c>
      <c r="O32" s="34">
        <f t="shared" ref="O32:T32" si="18">SUM(O12:O31)</f>
        <v>0</v>
      </c>
      <c r="P32" s="35">
        <f t="shared" si="18"/>
        <v>0</v>
      </c>
      <c r="Q32" s="36">
        <f t="shared" si="18"/>
        <v>0</v>
      </c>
      <c r="R32" s="34">
        <f t="shared" si="18"/>
        <v>0</v>
      </c>
      <c r="S32" s="35">
        <f t="shared" si="18"/>
        <v>0</v>
      </c>
      <c r="T32" s="36">
        <f t="shared" si="18"/>
        <v>0</v>
      </c>
      <c r="U32" s="34">
        <f t="shared" ref="U32:AI32" si="19">SUM(U12:U31)</f>
        <v>0</v>
      </c>
      <c r="V32" s="35">
        <f t="shared" si="19"/>
        <v>0</v>
      </c>
      <c r="W32" s="36">
        <f t="shared" si="19"/>
        <v>0</v>
      </c>
      <c r="X32" s="34">
        <f t="shared" si="19"/>
        <v>0</v>
      </c>
      <c r="Y32" s="35">
        <f t="shared" si="19"/>
        <v>0</v>
      </c>
      <c r="Z32" s="36">
        <f t="shared" si="19"/>
        <v>0</v>
      </c>
      <c r="AA32" s="34">
        <f t="shared" si="19"/>
        <v>0</v>
      </c>
      <c r="AB32" s="35">
        <f t="shared" si="19"/>
        <v>0</v>
      </c>
      <c r="AC32" s="36">
        <f t="shared" si="19"/>
        <v>0</v>
      </c>
      <c r="AD32" s="34">
        <f t="shared" si="19"/>
        <v>0</v>
      </c>
      <c r="AE32" s="35">
        <f t="shared" si="19"/>
        <v>0</v>
      </c>
      <c r="AF32" s="36">
        <f t="shared" si="19"/>
        <v>0</v>
      </c>
      <c r="AG32" s="34">
        <f t="shared" si="19"/>
        <v>0</v>
      </c>
      <c r="AH32" s="35">
        <f t="shared" si="19"/>
        <v>0</v>
      </c>
      <c r="AI32" s="36">
        <f t="shared" si="19"/>
        <v>0</v>
      </c>
      <c r="AJ32" s="34">
        <f t="shared" ref="AJ32:AO32" si="20">SUM(AJ12:AJ31)</f>
        <v>0</v>
      </c>
      <c r="AK32" s="35">
        <f t="shared" si="20"/>
        <v>0</v>
      </c>
      <c r="AL32" s="36">
        <f t="shared" si="20"/>
        <v>0</v>
      </c>
      <c r="AM32" s="34">
        <f t="shared" si="20"/>
        <v>0</v>
      </c>
      <c r="AN32" s="35">
        <f t="shared" si="20"/>
        <v>0</v>
      </c>
      <c r="AO32" s="36">
        <f t="shared" si="20"/>
        <v>0</v>
      </c>
      <c r="AP32" s="33">
        <f t="shared" si="16"/>
        <v>57</v>
      </c>
      <c r="AQ32" s="7">
        <f t="shared" si="0"/>
        <v>7.1249999999999994E-2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32" zoomScale="90" zoomScaleNormal="100" zoomScaleSheetLayoutView="90" workbookViewId="0">
      <selection activeCell="B35" sqref="B35:I46"/>
    </sheetView>
  </sheetViews>
  <sheetFormatPr defaultColWidth="11.33203125" defaultRowHeight="18.75" customHeight="1" x14ac:dyDescent="0.2"/>
  <cols>
    <col min="1" max="1" width="2.77734375" style="63" customWidth="1"/>
    <col min="2" max="2" width="16.6640625" style="37" customWidth="1"/>
    <col min="3" max="3" width="8.88671875" style="37" customWidth="1"/>
    <col min="4" max="4" width="2.21875" style="37" customWidth="1"/>
    <col min="5" max="5" width="16.6640625" style="37" customWidth="1"/>
    <col min="6" max="6" width="4.33203125" style="37" customWidth="1"/>
    <col min="7" max="7" width="9" style="37" customWidth="1"/>
    <col min="8" max="8" width="16.6640625" style="37" customWidth="1"/>
    <col min="9" max="9" width="12.109375" style="37" customWidth="1"/>
    <col min="10" max="16384" width="11.33203125" style="37"/>
  </cols>
  <sheetData>
    <row r="1" spans="1:9" ht="18.75" customHeight="1" x14ac:dyDescent="0.2">
      <c r="A1" s="63" t="s">
        <v>65</v>
      </c>
      <c r="I1" s="40" t="s">
        <v>106</v>
      </c>
    </row>
    <row r="2" spans="1:9" ht="18.75" customHeight="1" x14ac:dyDescent="0.2">
      <c r="G2" s="40" t="s">
        <v>109</v>
      </c>
      <c r="H2" s="115" t="str">
        <f>'様式１　プログラムを構成する授業科目'!C2</f>
        <v>高崎商科大学</v>
      </c>
      <c r="I2" s="117"/>
    </row>
    <row r="3" spans="1:9" ht="18.75" customHeight="1" x14ac:dyDescent="0.2">
      <c r="G3" s="40"/>
      <c r="H3" s="45"/>
      <c r="I3" s="45"/>
    </row>
    <row r="4" spans="1:9" ht="18.600000000000001" customHeight="1" x14ac:dyDescent="0.2">
      <c r="A4" s="165" t="s">
        <v>36</v>
      </c>
      <c r="B4" s="165"/>
      <c r="C4" s="165"/>
      <c r="D4" s="165"/>
      <c r="E4" s="165"/>
      <c r="F4" s="165"/>
      <c r="G4" s="165"/>
      <c r="H4" s="165"/>
      <c r="I4" s="165"/>
    </row>
    <row r="5" spans="1:9" ht="13.2" customHeight="1" x14ac:dyDescent="0.2">
      <c r="B5" s="43"/>
      <c r="C5" s="43"/>
      <c r="D5" s="43"/>
      <c r="E5" s="43"/>
      <c r="F5" s="43"/>
      <c r="G5" s="43"/>
      <c r="H5" s="43"/>
      <c r="I5" s="43"/>
    </row>
    <row r="6" spans="1:9" ht="18" customHeight="1" x14ac:dyDescent="0.2">
      <c r="A6" s="37" t="s">
        <v>0</v>
      </c>
      <c r="B6" s="45" t="s">
        <v>91</v>
      </c>
      <c r="C6" s="259" t="s">
        <v>92</v>
      </c>
      <c r="D6" s="259"/>
      <c r="E6" s="64">
        <v>29</v>
      </c>
      <c r="F6" s="65" t="s">
        <v>1</v>
      </c>
      <c r="G6" s="65" t="s">
        <v>2</v>
      </c>
      <c r="H6" s="64">
        <v>27</v>
      </c>
      <c r="I6" s="45" t="s">
        <v>1</v>
      </c>
    </row>
    <row r="7" spans="1:9" ht="12" customHeight="1" x14ac:dyDescent="0.2">
      <c r="C7" s="38"/>
      <c r="D7" s="38"/>
      <c r="E7" s="38"/>
      <c r="F7" s="38"/>
      <c r="G7" s="38"/>
      <c r="H7" s="38"/>
      <c r="I7" s="66"/>
    </row>
    <row r="8" spans="1:9" ht="18" customHeight="1" x14ac:dyDescent="0.2">
      <c r="A8" s="37" t="s">
        <v>3</v>
      </c>
      <c r="B8" s="45" t="s">
        <v>93</v>
      </c>
      <c r="E8" s="43"/>
      <c r="F8" s="43"/>
      <c r="G8" s="43"/>
      <c r="H8" s="39">
        <v>5</v>
      </c>
      <c r="I8" s="45" t="s">
        <v>1</v>
      </c>
    </row>
    <row r="9" spans="1:9" ht="9" customHeight="1" x14ac:dyDescent="0.2">
      <c r="B9" s="43"/>
      <c r="C9" s="43"/>
      <c r="D9" s="43"/>
      <c r="E9" s="43"/>
      <c r="F9" s="43"/>
      <c r="G9" s="43"/>
      <c r="H9" s="43"/>
      <c r="I9" s="43"/>
    </row>
    <row r="10" spans="1:9" ht="18" customHeight="1" x14ac:dyDescent="0.2">
      <c r="A10" s="37" t="s">
        <v>4</v>
      </c>
      <c r="B10" s="45" t="s">
        <v>94</v>
      </c>
      <c r="C10" s="43"/>
      <c r="D10" s="43"/>
      <c r="E10" s="43"/>
      <c r="F10" s="43"/>
      <c r="G10" s="43"/>
      <c r="H10" s="43"/>
      <c r="I10" s="43"/>
    </row>
    <row r="11" spans="1:9" ht="18" customHeight="1" x14ac:dyDescent="0.2">
      <c r="B11" s="40" t="s">
        <v>43</v>
      </c>
      <c r="C11" s="254" t="s">
        <v>135</v>
      </c>
      <c r="D11" s="257"/>
      <c r="E11" s="258"/>
      <c r="F11" s="66"/>
      <c r="G11" s="40" t="s">
        <v>10</v>
      </c>
      <c r="H11" s="254" t="s">
        <v>139</v>
      </c>
      <c r="I11" s="258"/>
    </row>
    <row r="12" spans="1:9" ht="10.199999999999999" customHeight="1" x14ac:dyDescent="0.2">
      <c r="B12" s="40"/>
      <c r="C12" s="45"/>
      <c r="D12" s="66"/>
      <c r="E12" s="66"/>
      <c r="F12" s="66"/>
      <c r="G12" s="40"/>
      <c r="H12" s="45"/>
      <c r="I12" s="66"/>
    </row>
    <row r="13" spans="1:9" ht="18" customHeight="1" x14ac:dyDescent="0.2">
      <c r="A13" s="37" t="s">
        <v>7</v>
      </c>
      <c r="B13" s="45" t="s">
        <v>88</v>
      </c>
      <c r="C13" s="43"/>
      <c r="D13" s="43"/>
      <c r="E13" s="43"/>
      <c r="F13" s="43"/>
      <c r="G13" s="43"/>
      <c r="H13" s="43"/>
      <c r="I13" s="43"/>
    </row>
    <row r="14" spans="1:9" ht="18" customHeight="1" x14ac:dyDescent="0.2">
      <c r="B14" s="254" t="s">
        <v>144</v>
      </c>
      <c r="C14" s="255"/>
      <c r="D14" s="255"/>
      <c r="E14" s="255"/>
      <c r="F14" s="255"/>
      <c r="G14" s="255"/>
      <c r="H14" s="255"/>
      <c r="I14" s="256"/>
    </row>
    <row r="15" spans="1:9" ht="9" customHeight="1" x14ac:dyDescent="0.2">
      <c r="B15" s="43"/>
      <c r="C15" s="43"/>
      <c r="D15" s="43"/>
      <c r="E15" s="43"/>
      <c r="F15" s="43"/>
      <c r="G15" s="43"/>
      <c r="H15" s="43"/>
      <c r="I15" s="43"/>
    </row>
    <row r="16" spans="1:9" ht="18" customHeight="1" x14ac:dyDescent="0.2">
      <c r="B16" s="40" t="s">
        <v>43</v>
      </c>
      <c r="C16" s="254" t="s">
        <v>137</v>
      </c>
      <c r="D16" s="257"/>
      <c r="E16" s="258"/>
      <c r="F16" s="66"/>
      <c r="G16" s="40" t="s">
        <v>10</v>
      </c>
      <c r="H16" s="254" t="s">
        <v>138</v>
      </c>
      <c r="I16" s="258"/>
    </row>
    <row r="17" spans="1:9" ht="18" customHeight="1" x14ac:dyDescent="0.2">
      <c r="B17" s="43"/>
      <c r="C17" s="43"/>
      <c r="D17" s="43"/>
      <c r="E17" s="43"/>
      <c r="F17" s="43"/>
      <c r="G17" s="43"/>
      <c r="H17" s="43"/>
      <c r="I17" s="43"/>
    </row>
    <row r="18" spans="1:9" ht="18.75" customHeight="1" x14ac:dyDescent="0.2">
      <c r="A18" s="37" t="s">
        <v>5</v>
      </c>
      <c r="B18" s="37" t="s">
        <v>42</v>
      </c>
      <c r="I18" s="43"/>
    </row>
    <row r="19" spans="1:9" ht="18.75" customHeight="1" x14ac:dyDescent="0.2">
      <c r="A19" s="37"/>
      <c r="B19" s="248" t="s">
        <v>151</v>
      </c>
      <c r="C19" s="249"/>
      <c r="D19" s="249"/>
      <c r="E19" s="249"/>
      <c r="F19" s="249"/>
      <c r="G19" s="249"/>
      <c r="H19" s="249"/>
      <c r="I19" s="250"/>
    </row>
    <row r="20" spans="1:9" ht="7.5" customHeight="1" x14ac:dyDescent="0.2">
      <c r="B20" s="43"/>
      <c r="C20" s="43"/>
      <c r="D20" s="43"/>
      <c r="E20" s="43"/>
      <c r="F20" s="43"/>
      <c r="G20" s="43"/>
      <c r="H20" s="43"/>
      <c r="I20" s="43"/>
    </row>
    <row r="21" spans="1:9" ht="18.75" customHeight="1" x14ac:dyDescent="0.2">
      <c r="A21" s="37" t="s">
        <v>8</v>
      </c>
      <c r="B21" s="37" t="s">
        <v>25</v>
      </c>
    </row>
    <row r="22" spans="1:9" ht="18.75" customHeight="1" x14ac:dyDescent="0.2">
      <c r="A22" s="55"/>
      <c r="B22" s="262" t="s">
        <v>156</v>
      </c>
      <c r="C22" s="263"/>
      <c r="D22" s="263"/>
      <c r="E22" s="263"/>
      <c r="F22" s="263"/>
      <c r="G22" s="263"/>
      <c r="H22" s="263"/>
      <c r="I22" s="264"/>
    </row>
    <row r="23" spans="1:9" ht="18.75" customHeight="1" x14ac:dyDescent="0.2">
      <c r="A23" s="55"/>
      <c r="B23" s="265"/>
      <c r="C23" s="266"/>
      <c r="D23" s="266"/>
      <c r="E23" s="266"/>
      <c r="F23" s="266"/>
      <c r="G23" s="266"/>
      <c r="H23" s="266"/>
      <c r="I23" s="267"/>
    </row>
    <row r="24" spans="1:9" ht="18.600000000000001" customHeight="1" x14ac:dyDescent="0.2">
      <c r="A24" s="55"/>
      <c r="B24" s="265"/>
      <c r="C24" s="266"/>
      <c r="D24" s="266"/>
      <c r="E24" s="266"/>
      <c r="F24" s="266"/>
      <c r="G24" s="266"/>
      <c r="H24" s="266"/>
      <c r="I24" s="267"/>
    </row>
    <row r="25" spans="1:9" ht="18.75" customHeight="1" x14ac:dyDescent="0.2">
      <c r="A25" s="55"/>
      <c r="B25" s="265"/>
      <c r="C25" s="266"/>
      <c r="D25" s="266"/>
      <c r="E25" s="266"/>
      <c r="F25" s="266"/>
      <c r="G25" s="266"/>
      <c r="H25" s="266"/>
      <c r="I25" s="267"/>
    </row>
    <row r="26" spans="1:9" ht="7.5" customHeight="1" x14ac:dyDescent="0.2">
      <c r="A26" s="55"/>
      <c r="B26" s="265"/>
      <c r="C26" s="266"/>
      <c r="D26" s="266"/>
      <c r="E26" s="266"/>
      <c r="F26" s="266"/>
      <c r="G26" s="266"/>
      <c r="H26" s="266"/>
      <c r="I26" s="267"/>
    </row>
    <row r="27" spans="1:9" ht="18.75" customHeight="1" x14ac:dyDescent="0.2">
      <c r="A27" s="67"/>
      <c r="B27" s="265"/>
      <c r="C27" s="266"/>
      <c r="D27" s="266"/>
      <c r="E27" s="266"/>
      <c r="F27" s="266"/>
      <c r="G27" s="266"/>
      <c r="H27" s="266"/>
      <c r="I27" s="267"/>
    </row>
    <row r="28" spans="1:9" ht="18.75" customHeight="1" x14ac:dyDescent="0.2">
      <c r="A28" s="55"/>
      <c r="B28" s="265"/>
      <c r="C28" s="266"/>
      <c r="D28" s="266"/>
      <c r="E28" s="266"/>
      <c r="F28" s="266"/>
      <c r="G28" s="266"/>
      <c r="H28" s="266"/>
      <c r="I28" s="267"/>
    </row>
    <row r="29" spans="1:9" ht="18.75" customHeight="1" x14ac:dyDescent="0.2">
      <c r="A29" s="55"/>
      <c r="B29" s="265"/>
      <c r="C29" s="266"/>
      <c r="D29" s="266"/>
      <c r="E29" s="266"/>
      <c r="F29" s="266"/>
      <c r="G29" s="266"/>
      <c r="H29" s="266"/>
      <c r="I29" s="267"/>
    </row>
    <row r="30" spans="1:9" ht="18.75" customHeight="1" x14ac:dyDescent="0.2">
      <c r="A30" s="55"/>
      <c r="B30" s="265"/>
      <c r="C30" s="266"/>
      <c r="D30" s="266"/>
      <c r="E30" s="266"/>
      <c r="F30" s="266"/>
      <c r="G30" s="266"/>
      <c r="H30" s="266"/>
      <c r="I30" s="267"/>
    </row>
    <row r="31" spans="1:9" ht="18.75" customHeight="1" x14ac:dyDescent="0.2">
      <c r="A31" s="55"/>
      <c r="B31" s="265"/>
      <c r="C31" s="266"/>
      <c r="D31" s="266"/>
      <c r="E31" s="266"/>
      <c r="F31" s="266"/>
      <c r="G31" s="266"/>
      <c r="H31" s="266"/>
      <c r="I31" s="267"/>
    </row>
    <row r="32" spans="1:9" ht="18.75" customHeight="1" x14ac:dyDescent="0.2">
      <c r="A32" s="55"/>
      <c r="B32" s="268"/>
      <c r="C32" s="269"/>
      <c r="D32" s="269"/>
      <c r="E32" s="269"/>
      <c r="F32" s="269"/>
      <c r="G32" s="269"/>
      <c r="H32" s="269"/>
      <c r="I32" s="270"/>
    </row>
    <row r="33" spans="1:9" ht="7.2" customHeight="1" x14ac:dyDescent="0.2">
      <c r="A33" s="95"/>
      <c r="B33" s="94"/>
      <c r="C33" s="92"/>
      <c r="D33" s="92"/>
      <c r="E33" s="92"/>
      <c r="F33" s="92"/>
      <c r="G33" s="92"/>
      <c r="H33" s="92"/>
      <c r="I33" s="93"/>
    </row>
    <row r="34" spans="1:9" ht="18.75" customHeight="1" x14ac:dyDescent="0.2">
      <c r="A34" s="91" t="s">
        <v>6</v>
      </c>
      <c r="B34" s="91" t="s">
        <v>9</v>
      </c>
      <c r="C34" s="92"/>
      <c r="D34" s="92"/>
      <c r="E34" s="92"/>
      <c r="F34" s="92"/>
      <c r="G34" s="92"/>
      <c r="H34" s="92"/>
      <c r="I34" s="93"/>
    </row>
    <row r="35" spans="1:9" ht="18.75" customHeight="1" x14ac:dyDescent="0.2">
      <c r="A35" s="55"/>
      <c r="B35" s="166" t="s">
        <v>164</v>
      </c>
      <c r="C35" s="167"/>
      <c r="D35" s="167"/>
      <c r="E35" s="167"/>
      <c r="F35" s="167"/>
      <c r="G35" s="167"/>
      <c r="H35" s="167"/>
      <c r="I35" s="168"/>
    </row>
    <row r="36" spans="1:9" ht="18.75" customHeight="1" x14ac:dyDescent="0.2">
      <c r="A36" s="55"/>
      <c r="B36" s="169"/>
      <c r="C36" s="271"/>
      <c r="D36" s="271"/>
      <c r="E36" s="271"/>
      <c r="F36" s="271"/>
      <c r="G36" s="271"/>
      <c r="H36" s="271"/>
      <c r="I36" s="171"/>
    </row>
    <row r="37" spans="1:9" ht="18.75" customHeight="1" x14ac:dyDescent="0.2">
      <c r="A37" s="55"/>
      <c r="B37" s="169"/>
      <c r="C37" s="271"/>
      <c r="D37" s="271"/>
      <c r="E37" s="271"/>
      <c r="F37" s="271"/>
      <c r="G37" s="271"/>
      <c r="H37" s="271"/>
      <c r="I37" s="171"/>
    </row>
    <row r="38" spans="1:9" ht="18.75" customHeight="1" x14ac:dyDescent="0.2">
      <c r="A38" s="55"/>
      <c r="B38" s="169"/>
      <c r="C38" s="271"/>
      <c r="D38" s="271"/>
      <c r="E38" s="271"/>
      <c r="F38" s="271"/>
      <c r="G38" s="271"/>
      <c r="H38" s="271"/>
      <c r="I38" s="171"/>
    </row>
    <row r="39" spans="1:9" ht="18.75" customHeight="1" x14ac:dyDescent="0.2">
      <c r="A39" s="55"/>
      <c r="B39" s="169"/>
      <c r="C39" s="271"/>
      <c r="D39" s="271"/>
      <c r="E39" s="271"/>
      <c r="F39" s="271"/>
      <c r="G39" s="271"/>
      <c r="H39" s="271"/>
      <c r="I39" s="171"/>
    </row>
    <row r="40" spans="1:9" ht="18.75" customHeight="1" x14ac:dyDescent="0.2">
      <c r="A40" s="55"/>
      <c r="B40" s="169"/>
      <c r="C40" s="271"/>
      <c r="D40" s="271"/>
      <c r="E40" s="271"/>
      <c r="F40" s="271"/>
      <c r="G40" s="271"/>
      <c r="H40" s="271"/>
      <c r="I40" s="171"/>
    </row>
    <row r="41" spans="1:9" ht="18.75" customHeight="1" x14ac:dyDescent="0.2">
      <c r="A41" s="55"/>
      <c r="B41" s="169"/>
      <c r="C41" s="271"/>
      <c r="D41" s="271"/>
      <c r="E41" s="271"/>
      <c r="F41" s="271"/>
      <c r="G41" s="271"/>
      <c r="H41" s="271"/>
      <c r="I41" s="171"/>
    </row>
    <row r="42" spans="1:9" ht="18.75" customHeight="1" x14ac:dyDescent="0.2">
      <c r="A42" s="55"/>
      <c r="B42" s="169"/>
      <c r="C42" s="271"/>
      <c r="D42" s="271"/>
      <c r="E42" s="271"/>
      <c r="F42" s="271"/>
      <c r="G42" s="271"/>
      <c r="H42" s="271"/>
      <c r="I42" s="171"/>
    </row>
    <row r="43" spans="1:9" ht="18.75" customHeight="1" x14ac:dyDescent="0.2">
      <c r="A43" s="55"/>
      <c r="B43" s="169"/>
      <c r="C43" s="271"/>
      <c r="D43" s="271"/>
      <c r="E43" s="271"/>
      <c r="F43" s="271"/>
      <c r="G43" s="271"/>
      <c r="H43" s="271"/>
      <c r="I43" s="171"/>
    </row>
    <row r="44" spans="1:9" ht="18.75" customHeight="1" x14ac:dyDescent="0.2">
      <c r="A44" s="55"/>
      <c r="B44" s="169"/>
      <c r="C44" s="271"/>
      <c r="D44" s="271"/>
      <c r="E44" s="271"/>
      <c r="F44" s="271"/>
      <c r="G44" s="271"/>
      <c r="H44" s="271"/>
      <c r="I44" s="171"/>
    </row>
    <row r="45" spans="1:9" ht="18.75" customHeight="1" x14ac:dyDescent="0.2">
      <c r="A45" s="55"/>
      <c r="B45" s="169"/>
      <c r="C45" s="271"/>
      <c r="D45" s="271"/>
      <c r="E45" s="271"/>
      <c r="F45" s="271"/>
      <c r="G45" s="271"/>
      <c r="H45" s="271"/>
      <c r="I45" s="171"/>
    </row>
    <row r="46" spans="1:9" ht="18.75" customHeight="1" x14ac:dyDescent="0.2">
      <c r="A46" s="55"/>
      <c r="B46" s="172"/>
      <c r="C46" s="173"/>
      <c r="D46" s="173"/>
      <c r="E46" s="173"/>
      <c r="F46" s="173"/>
      <c r="G46" s="173"/>
      <c r="H46" s="173"/>
      <c r="I46" s="174"/>
    </row>
    <row r="47" spans="1:9" ht="7.5" customHeight="1" x14ac:dyDescent="0.2">
      <c r="A47" s="68"/>
      <c r="B47" s="68"/>
      <c r="C47" s="68"/>
      <c r="D47" s="68"/>
      <c r="E47" s="68"/>
      <c r="F47" s="68"/>
      <c r="G47" s="68"/>
      <c r="H47" s="68"/>
      <c r="I47" s="68"/>
    </row>
    <row r="48" spans="1:9" ht="18.75" customHeight="1" x14ac:dyDescent="0.2">
      <c r="A48" s="37" t="s">
        <v>31</v>
      </c>
      <c r="B48" s="37" t="s">
        <v>157</v>
      </c>
    </row>
    <row r="49" spans="1:15" s="43" customFormat="1" ht="18.75" customHeight="1" x14ac:dyDescent="0.2">
      <c r="B49" s="69" t="s">
        <v>89</v>
      </c>
      <c r="C49" s="261">
        <f>'様式２ 履修者等数の実績'!AQ32</f>
        <v>7.1249999999999994E-2</v>
      </c>
      <c r="D49" s="261"/>
      <c r="E49" s="69" t="s">
        <v>66</v>
      </c>
      <c r="F49" s="261">
        <v>0.5</v>
      </c>
      <c r="G49" s="261"/>
      <c r="H49" s="69" t="s">
        <v>67</v>
      </c>
      <c r="I49" s="70">
        <v>0.75</v>
      </c>
      <c r="J49" s="37"/>
      <c r="M49" s="37"/>
      <c r="N49" s="71"/>
    </row>
    <row r="50" spans="1:15" s="43" customFormat="1" ht="18.75" customHeight="1" x14ac:dyDescent="0.2">
      <c r="B50" s="72" t="s">
        <v>68</v>
      </c>
      <c r="C50" s="260">
        <v>1</v>
      </c>
      <c r="D50" s="260"/>
      <c r="E50" s="72" t="s">
        <v>90</v>
      </c>
      <c r="F50" s="260">
        <v>1</v>
      </c>
      <c r="G50" s="260"/>
      <c r="H50" s="72" t="s">
        <v>69</v>
      </c>
      <c r="I50" s="73">
        <f>'様式２ 履修者等数の実績'!E32</f>
        <v>800</v>
      </c>
      <c r="J50" s="37"/>
      <c r="M50" s="37"/>
      <c r="N50" s="71"/>
    </row>
    <row r="51" spans="1:15" ht="18.75" customHeight="1" x14ac:dyDescent="0.2">
      <c r="A51" s="37"/>
      <c r="B51" s="251" t="s">
        <v>70</v>
      </c>
      <c r="C51" s="252"/>
      <c r="D51" s="252"/>
      <c r="E51" s="252"/>
      <c r="F51" s="252"/>
      <c r="G51" s="252"/>
      <c r="H51" s="252"/>
      <c r="I51" s="253"/>
      <c r="N51" s="71"/>
      <c r="O51" s="43"/>
    </row>
    <row r="52" spans="1:15" ht="18.75" customHeight="1" x14ac:dyDescent="0.2">
      <c r="A52" s="37"/>
      <c r="B52" s="213" t="s">
        <v>158</v>
      </c>
      <c r="C52" s="214"/>
      <c r="D52" s="214"/>
      <c r="E52" s="214"/>
      <c r="F52" s="214"/>
      <c r="G52" s="214"/>
      <c r="H52" s="214"/>
      <c r="I52" s="215"/>
      <c r="N52" s="71"/>
      <c r="O52" s="43"/>
    </row>
    <row r="53" spans="1:15" ht="18.75" customHeight="1" x14ac:dyDescent="0.2">
      <c r="A53" s="37"/>
      <c r="B53" s="216"/>
      <c r="C53" s="217"/>
      <c r="D53" s="217"/>
      <c r="E53" s="217"/>
      <c r="F53" s="217"/>
      <c r="G53" s="217"/>
      <c r="H53" s="217"/>
      <c r="I53" s="218"/>
      <c r="N53" s="71"/>
      <c r="O53" s="43"/>
    </row>
    <row r="54" spans="1:15" ht="18.75" customHeight="1" x14ac:dyDescent="0.2">
      <c r="A54" s="37"/>
      <c r="B54" s="216"/>
      <c r="C54" s="217"/>
      <c r="D54" s="217"/>
      <c r="E54" s="217"/>
      <c r="F54" s="217"/>
      <c r="G54" s="217"/>
      <c r="H54" s="217"/>
      <c r="I54" s="218"/>
    </row>
    <row r="55" spans="1:15" ht="18.75" customHeight="1" x14ac:dyDescent="0.2">
      <c r="A55" s="37"/>
      <c r="B55" s="216"/>
      <c r="C55" s="217"/>
      <c r="D55" s="217"/>
      <c r="E55" s="217"/>
      <c r="F55" s="217"/>
      <c r="G55" s="217"/>
      <c r="H55" s="217"/>
      <c r="I55" s="218"/>
    </row>
    <row r="56" spans="1:15" ht="18.75" customHeight="1" x14ac:dyDescent="0.2">
      <c r="A56" s="37"/>
      <c r="B56" s="216"/>
      <c r="C56" s="217"/>
      <c r="D56" s="217"/>
      <c r="E56" s="217"/>
      <c r="F56" s="217"/>
      <c r="G56" s="217"/>
      <c r="H56" s="217"/>
      <c r="I56" s="218"/>
    </row>
    <row r="57" spans="1:15" ht="18.75" customHeight="1" x14ac:dyDescent="0.2">
      <c r="A57" s="37"/>
      <c r="B57" s="216"/>
      <c r="C57" s="217"/>
      <c r="D57" s="217"/>
      <c r="E57" s="217"/>
      <c r="F57" s="217"/>
      <c r="G57" s="217"/>
      <c r="H57" s="217"/>
      <c r="I57" s="218"/>
    </row>
    <row r="58" spans="1:15" ht="18.75" customHeight="1" x14ac:dyDescent="0.2">
      <c r="A58" s="37"/>
      <c r="B58" s="216"/>
      <c r="C58" s="217"/>
      <c r="D58" s="217"/>
      <c r="E58" s="217"/>
      <c r="F58" s="217"/>
      <c r="G58" s="217"/>
      <c r="H58" s="217"/>
      <c r="I58" s="218"/>
    </row>
    <row r="59" spans="1:15" ht="18.75" customHeight="1" x14ac:dyDescent="0.2">
      <c r="A59" s="37"/>
      <c r="B59" s="216"/>
      <c r="C59" s="217"/>
      <c r="D59" s="217"/>
      <c r="E59" s="217"/>
      <c r="F59" s="217"/>
      <c r="G59" s="217"/>
      <c r="H59" s="217"/>
      <c r="I59" s="218"/>
    </row>
    <row r="60" spans="1:15" ht="18.75" customHeight="1" x14ac:dyDescent="0.2">
      <c r="A60" s="37"/>
      <c r="B60" s="216"/>
      <c r="C60" s="217"/>
      <c r="D60" s="217"/>
      <c r="E60" s="217"/>
      <c r="F60" s="217"/>
      <c r="G60" s="217"/>
      <c r="H60" s="217"/>
      <c r="I60" s="218"/>
    </row>
    <row r="61" spans="1:15" ht="18.75" customHeight="1" x14ac:dyDescent="0.2">
      <c r="A61" s="37"/>
      <c r="B61" s="216"/>
      <c r="C61" s="217"/>
      <c r="D61" s="217"/>
      <c r="E61" s="217"/>
      <c r="F61" s="217"/>
      <c r="G61" s="217"/>
      <c r="H61" s="217"/>
      <c r="I61" s="218"/>
    </row>
    <row r="62" spans="1:15" ht="18.75" customHeight="1" x14ac:dyDescent="0.2">
      <c r="A62" s="37"/>
      <c r="B62" s="216"/>
      <c r="C62" s="217"/>
      <c r="D62" s="217"/>
      <c r="E62" s="217"/>
      <c r="F62" s="217"/>
      <c r="G62" s="217"/>
      <c r="H62" s="217"/>
      <c r="I62" s="218"/>
    </row>
    <row r="63" spans="1:15" ht="18.75" customHeight="1" x14ac:dyDescent="0.2">
      <c r="A63" s="37"/>
      <c r="B63" s="219"/>
      <c r="C63" s="220"/>
      <c r="D63" s="220"/>
      <c r="E63" s="220"/>
      <c r="F63" s="220"/>
      <c r="G63" s="220"/>
      <c r="H63" s="220"/>
      <c r="I63" s="221"/>
    </row>
    <row r="64" spans="1:15" ht="7.5" customHeight="1" x14ac:dyDescent="0.2">
      <c r="A64" s="55"/>
      <c r="B64" s="55"/>
      <c r="C64" s="55"/>
      <c r="D64" s="55"/>
      <c r="E64" s="55"/>
      <c r="F64" s="55"/>
      <c r="G64" s="55"/>
      <c r="H64" s="55"/>
      <c r="I64" s="55"/>
    </row>
    <row r="65" spans="1:9" ht="18.75" customHeight="1" x14ac:dyDescent="0.2">
      <c r="A65" s="67" t="s">
        <v>34</v>
      </c>
      <c r="B65" s="37" t="s">
        <v>37</v>
      </c>
      <c r="I65" s="67"/>
    </row>
    <row r="66" spans="1:9" ht="18.75" customHeight="1" x14ac:dyDescent="0.2">
      <c r="A66" s="68"/>
      <c r="B66" s="232" t="s">
        <v>159</v>
      </c>
      <c r="C66" s="233"/>
      <c r="D66" s="233"/>
      <c r="E66" s="233"/>
      <c r="F66" s="233"/>
      <c r="G66" s="233"/>
      <c r="H66" s="233"/>
      <c r="I66" s="234"/>
    </row>
    <row r="67" spans="1:9" ht="18.75" customHeight="1" x14ac:dyDescent="0.2">
      <c r="A67" s="68"/>
      <c r="B67" s="235"/>
      <c r="C67" s="236"/>
      <c r="D67" s="236"/>
      <c r="E67" s="236"/>
      <c r="F67" s="236"/>
      <c r="G67" s="236"/>
      <c r="H67" s="236"/>
      <c r="I67" s="237"/>
    </row>
    <row r="68" spans="1:9" ht="18.75" customHeight="1" x14ac:dyDescent="0.2">
      <c r="A68" s="68"/>
      <c r="B68" s="235"/>
      <c r="C68" s="236"/>
      <c r="D68" s="236"/>
      <c r="E68" s="236"/>
      <c r="F68" s="236"/>
      <c r="G68" s="236"/>
      <c r="H68" s="236"/>
      <c r="I68" s="237"/>
    </row>
    <row r="69" spans="1:9" ht="18.75" customHeight="1" x14ac:dyDescent="0.2">
      <c r="A69" s="68"/>
      <c r="B69" s="235"/>
      <c r="C69" s="236"/>
      <c r="D69" s="236"/>
      <c r="E69" s="236"/>
      <c r="F69" s="236"/>
      <c r="G69" s="236"/>
      <c r="H69" s="236"/>
      <c r="I69" s="237"/>
    </row>
    <row r="70" spans="1:9" ht="18.75" customHeight="1" x14ac:dyDescent="0.2">
      <c r="A70" s="68"/>
      <c r="B70" s="235"/>
      <c r="C70" s="236"/>
      <c r="D70" s="236"/>
      <c r="E70" s="236"/>
      <c r="F70" s="236"/>
      <c r="G70" s="236"/>
      <c r="H70" s="236"/>
      <c r="I70" s="237"/>
    </row>
    <row r="71" spans="1:9" ht="18.75" customHeight="1" x14ac:dyDescent="0.2">
      <c r="A71" s="68"/>
      <c r="B71" s="235"/>
      <c r="C71" s="236"/>
      <c r="D71" s="236"/>
      <c r="E71" s="236"/>
      <c r="F71" s="236"/>
      <c r="G71" s="236"/>
      <c r="H71" s="236"/>
      <c r="I71" s="237"/>
    </row>
    <row r="72" spans="1:9" ht="18.75" customHeight="1" x14ac:dyDescent="0.2">
      <c r="A72" s="68"/>
      <c r="B72" s="235"/>
      <c r="C72" s="236"/>
      <c r="D72" s="236"/>
      <c r="E72" s="236"/>
      <c r="F72" s="236"/>
      <c r="G72" s="236"/>
      <c r="H72" s="236"/>
      <c r="I72" s="237"/>
    </row>
    <row r="73" spans="1:9" ht="18.75" customHeight="1" x14ac:dyDescent="0.2">
      <c r="A73" s="68"/>
      <c r="B73" s="235"/>
      <c r="C73" s="236"/>
      <c r="D73" s="236"/>
      <c r="E73" s="236"/>
      <c r="F73" s="236"/>
      <c r="G73" s="236"/>
      <c r="H73" s="236"/>
      <c r="I73" s="237"/>
    </row>
    <row r="74" spans="1:9" ht="18.75" customHeight="1" x14ac:dyDescent="0.2">
      <c r="A74" s="68"/>
      <c r="B74" s="235"/>
      <c r="C74" s="236"/>
      <c r="D74" s="236"/>
      <c r="E74" s="236"/>
      <c r="F74" s="236"/>
      <c r="G74" s="236"/>
      <c r="H74" s="236"/>
      <c r="I74" s="237"/>
    </row>
    <row r="75" spans="1:9" ht="18.75" customHeight="1" x14ac:dyDescent="0.2">
      <c r="A75" s="68"/>
      <c r="B75" s="235"/>
      <c r="C75" s="236"/>
      <c r="D75" s="236"/>
      <c r="E75" s="236"/>
      <c r="F75" s="236"/>
      <c r="G75" s="236"/>
      <c r="H75" s="236"/>
      <c r="I75" s="237"/>
    </row>
    <row r="76" spans="1:9" ht="18.75" customHeight="1" x14ac:dyDescent="0.2">
      <c r="A76" s="68"/>
      <c r="B76" s="235"/>
      <c r="C76" s="236"/>
      <c r="D76" s="236"/>
      <c r="E76" s="236"/>
      <c r="F76" s="236"/>
      <c r="G76" s="236"/>
      <c r="H76" s="236"/>
      <c r="I76" s="237"/>
    </row>
    <row r="77" spans="1:9" ht="18.75" customHeight="1" x14ac:dyDescent="0.2">
      <c r="A77" s="68"/>
      <c r="B77" s="238"/>
      <c r="C77" s="239"/>
      <c r="D77" s="239"/>
      <c r="E77" s="239"/>
      <c r="F77" s="239"/>
      <c r="G77" s="239"/>
      <c r="H77" s="239"/>
      <c r="I77" s="240"/>
    </row>
    <row r="78" spans="1:9" ht="7.5" customHeight="1" x14ac:dyDescent="0.2">
      <c r="A78" s="68"/>
      <c r="B78" s="68"/>
      <c r="C78" s="68"/>
      <c r="D78" s="68"/>
      <c r="E78" s="68"/>
      <c r="F78" s="68"/>
      <c r="G78" s="68"/>
      <c r="H78" s="68"/>
      <c r="I78" s="68"/>
    </row>
    <row r="79" spans="1:9" ht="18.75" customHeight="1" x14ac:dyDescent="0.2">
      <c r="A79" s="37" t="s">
        <v>11</v>
      </c>
      <c r="B79" s="37" t="s">
        <v>41</v>
      </c>
    </row>
    <row r="80" spans="1:9" ht="18.75" customHeight="1" x14ac:dyDescent="0.2">
      <c r="A80" s="37"/>
      <c r="B80" s="232" t="s">
        <v>160</v>
      </c>
      <c r="C80" s="233"/>
      <c r="D80" s="233"/>
      <c r="E80" s="233"/>
      <c r="F80" s="233"/>
      <c r="G80" s="233"/>
      <c r="H80" s="233"/>
      <c r="I80" s="241"/>
    </row>
    <row r="81" spans="1:9" ht="18.75" customHeight="1" x14ac:dyDescent="0.2">
      <c r="A81" s="37"/>
      <c r="B81" s="242"/>
      <c r="C81" s="243"/>
      <c r="D81" s="243"/>
      <c r="E81" s="243"/>
      <c r="F81" s="243"/>
      <c r="G81" s="243"/>
      <c r="H81" s="243"/>
      <c r="I81" s="244"/>
    </row>
    <row r="82" spans="1:9" ht="18.75" customHeight="1" x14ac:dyDescent="0.2">
      <c r="A82" s="37"/>
      <c r="B82" s="242"/>
      <c r="C82" s="243"/>
      <c r="D82" s="243"/>
      <c r="E82" s="243"/>
      <c r="F82" s="243"/>
      <c r="G82" s="243"/>
      <c r="H82" s="243"/>
      <c r="I82" s="244"/>
    </row>
    <row r="83" spans="1:9" ht="18.75" customHeight="1" x14ac:dyDescent="0.2">
      <c r="A83" s="37"/>
      <c r="B83" s="242"/>
      <c r="C83" s="243"/>
      <c r="D83" s="243"/>
      <c r="E83" s="243"/>
      <c r="F83" s="243"/>
      <c r="G83" s="243"/>
      <c r="H83" s="243"/>
      <c r="I83" s="244"/>
    </row>
    <row r="84" spans="1:9" ht="18.75" customHeight="1" x14ac:dyDescent="0.2">
      <c r="A84" s="37"/>
      <c r="B84" s="242"/>
      <c r="C84" s="243"/>
      <c r="D84" s="243"/>
      <c r="E84" s="243"/>
      <c r="F84" s="243"/>
      <c r="G84" s="243"/>
      <c r="H84" s="243"/>
      <c r="I84" s="244"/>
    </row>
    <row r="85" spans="1:9" ht="18.75" customHeight="1" x14ac:dyDescent="0.2">
      <c r="A85" s="37"/>
      <c r="B85" s="242"/>
      <c r="C85" s="243"/>
      <c r="D85" s="243"/>
      <c r="E85" s="243"/>
      <c r="F85" s="243"/>
      <c r="G85" s="243"/>
      <c r="H85" s="243"/>
      <c r="I85" s="244"/>
    </row>
    <row r="86" spans="1:9" ht="18.75" customHeight="1" x14ac:dyDescent="0.2">
      <c r="A86" s="37"/>
      <c r="B86" s="242"/>
      <c r="C86" s="243"/>
      <c r="D86" s="243"/>
      <c r="E86" s="243"/>
      <c r="F86" s="243"/>
      <c r="G86" s="243"/>
      <c r="H86" s="243"/>
      <c r="I86" s="244"/>
    </row>
    <row r="87" spans="1:9" ht="18.75" customHeight="1" x14ac:dyDescent="0.2">
      <c r="A87" s="37"/>
      <c r="B87" s="242"/>
      <c r="C87" s="243"/>
      <c r="D87" s="243"/>
      <c r="E87" s="243"/>
      <c r="F87" s="243"/>
      <c r="G87" s="243"/>
      <c r="H87" s="243"/>
      <c r="I87" s="244"/>
    </row>
    <row r="88" spans="1:9" ht="18.75" customHeight="1" x14ac:dyDescent="0.2">
      <c r="A88" s="37"/>
      <c r="B88" s="242"/>
      <c r="C88" s="243"/>
      <c r="D88" s="243"/>
      <c r="E88" s="243"/>
      <c r="F88" s="243"/>
      <c r="G88" s="243"/>
      <c r="H88" s="243"/>
      <c r="I88" s="244"/>
    </row>
    <row r="89" spans="1:9" ht="18.75" customHeight="1" x14ac:dyDescent="0.2">
      <c r="A89" s="37"/>
      <c r="B89" s="242"/>
      <c r="C89" s="243"/>
      <c r="D89" s="243"/>
      <c r="E89" s="243"/>
      <c r="F89" s="243"/>
      <c r="G89" s="243"/>
      <c r="H89" s="243"/>
      <c r="I89" s="244"/>
    </row>
    <row r="90" spans="1:9" ht="18.75" customHeight="1" x14ac:dyDescent="0.2">
      <c r="A90" s="68"/>
      <c r="B90" s="242"/>
      <c r="C90" s="243"/>
      <c r="D90" s="243"/>
      <c r="E90" s="243"/>
      <c r="F90" s="243"/>
      <c r="G90" s="243"/>
      <c r="H90" s="243"/>
      <c r="I90" s="244"/>
    </row>
    <row r="91" spans="1:9" ht="18.75" customHeight="1" x14ac:dyDescent="0.2">
      <c r="A91" s="68"/>
      <c r="B91" s="245"/>
      <c r="C91" s="246"/>
      <c r="D91" s="246"/>
      <c r="E91" s="246"/>
      <c r="F91" s="246"/>
      <c r="G91" s="246"/>
      <c r="H91" s="246"/>
      <c r="I91" s="247"/>
    </row>
    <row r="92" spans="1:9" ht="7.5" customHeight="1" x14ac:dyDescent="0.2">
      <c r="A92" s="68"/>
      <c r="B92" s="68"/>
      <c r="C92" s="68"/>
      <c r="D92" s="68"/>
      <c r="E92" s="68"/>
      <c r="F92" s="68"/>
      <c r="G92" s="68"/>
      <c r="H92" s="68"/>
      <c r="I92" s="68"/>
    </row>
    <row r="93" spans="1:9" ht="18.75" customHeight="1" x14ac:dyDescent="0.2">
      <c r="A93" s="37" t="s">
        <v>44</v>
      </c>
      <c r="B93" s="37" t="s">
        <v>13</v>
      </c>
    </row>
    <row r="94" spans="1:9" ht="18.75" customHeight="1" x14ac:dyDescent="0.2">
      <c r="A94" s="37"/>
      <c r="B94" s="222" t="s">
        <v>161</v>
      </c>
      <c r="C94" s="223"/>
      <c r="D94" s="223"/>
      <c r="E94" s="223"/>
      <c r="F94" s="223"/>
      <c r="G94" s="223"/>
      <c r="H94" s="223"/>
      <c r="I94" s="224"/>
    </row>
    <row r="95" spans="1:9" ht="18.75" customHeight="1" x14ac:dyDescent="0.2">
      <c r="A95" s="37"/>
      <c r="B95" s="225"/>
      <c r="C95" s="226"/>
      <c r="D95" s="226"/>
      <c r="E95" s="226"/>
      <c r="F95" s="226"/>
      <c r="G95" s="226"/>
      <c r="H95" s="226"/>
      <c r="I95" s="227"/>
    </row>
    <row r="96" spans="1:9" ht="18.75" customHeight="1" x14ac:dyDescent="0.2">
      <c r="A96" s="37"/>
      <c r="B96" s="225"/>
      <c r="C96" s="226"/>
      <c r="D96" s="226"/>
      <c r="E96" s="226"/>
      <c r="F96" s="226"/>
      <c r="G96" s="226"/>
      <c r="H96" s="226"/>
      <c r="I96" s="227"/>
    </row>
    <row r="97" spans="1:9" ht="18.75" customHeight="1" x14ac:dyDescent="0.2">
      <c r="A97" s="37"/>
      <c r="B97" s="225"/>
      <c r="C97" s="226"/>
      <c r="D97" s="226"/>
      <c r="E97" s="226"/>
      <c r="F97" s="226"/>
      <c r="G97" s="226"/>
      <c r="H97" s="226"/>
      <c r="I97" s="227"/>
    </row>
    <row r="98" spans="1:9" ht="18.75" customHeight="1" x14ac:dyDescent="0.2">
      <c r="A98" s="37"/>
      <c r="B98" s="225"/>
      <c r="C98" s="226"/>
      <c r="D98" s="226"/>
      <c r="E98" s="226"/>
      <c r="F98" s="226"/>
      <c r="G98" s="226"/>
      <c r="H98" s="226"/>
      <c r="I98" s="227"/>
    </row>
    <row r="99" spans="1:9" ht="18.75" customHeight="1" x14ac:dyDescent="0.2">
      <c r="A99" s="37"/>
      <c r="B99" s="225"/>
      <c r="C99" s="226"/>
      <c r="D99" s="226"/>
      <c r="E99" s="226"/>
      <c r="F99" s="226"/>
      <c r="G99" s="226"/>
      <c r="H99" s="226"/>
      <c r="I99" s="227"/>
    </row>
    <row r="100" spans="1:9" ht="18.75" customHeight="1" x14ac:dyDescent="0.2">
      <c r="A100" s="37"/>
      <c r="B100" s="225"/>
      <c r="C100" s="226"/>
      <c r="D100" s="226"/>
      <c r="E100" s="226"/>
      <c r="F100" s="226"/>
      <c r="G100" s="226"/>
      <c r="H100" s="226"/>
      <c r="I100" s="227"/>
    </row>
    <row r="101" spans="1:9" ht="18.75" customHeight="1" x14ac:dyDescent="0.2">
      <c r="A101" s="37"/>
      <c r="B101" s="225"/>
      <c r="C101" s="226"/>
      <c r="D101" s="226"/>
      <c r="E101" s="226"/>
      <c r="F101" s="226"/>
      <c r="G101" s="226"/>
      <c r="H101" s="226"/>
      <c r="I101" s="227"/>
    </row>
    <row r="102" spans="1:9" ht="18.75" customHeight="1" x14ac:dyDescent="0.2">
      <c r="A102" s="37"/>
      <c r="B102" s="225"/>
      <c r="C102" s="226"/>
      <c r="D102" s="226"/>
      <c r="E102" s="226"/>
      <c r="F102" s="226"/>
      <c r="G102" s="226"/>
      <c r="H102" s="226"/>
      <c r="I102" s="227"/>
    </row>
    <row r="103" spans="1:9" ht="18.75" customHeight="1" x14ac:dyDescent="0.2">
      <c r="A103" s="37"/>
      <c r="B103" s="225"/>
      <c r="C103" s="226"/>
      <c r="D103" s="226"/>
      <c r="E103" s="226"/>
      <c r="F103" s="226"/>
      <c r="G103" s="226"/>
      <c r="H103" s="226"/>
      <c r="I103" s="227"/>
    </row>
    <row r="104" spans="1:9" ht="18.75" customHeight="1" x14ac:dyDescent="0.2">
      <c r="A104" s="37"/>
      <c r="B104" s="225"/>
      <c r="C104" s="226"/>
      <c r="D104" s="226"/>
      <c r="E104" s="226"/>
      <c r="F104" s="226"/>
      <c r="G104" s="226"/>
      <c r="H104" s="226"/>
      <c r="I104" s="227"/>
    </row>
    <row r="105" spans="1:9" ht="18.75" customHeight="1" x14ac:dyDescent="0.2">
      <c r="A105" s="68"/>
      <c r="B105" s="228"/>
      <c r="C105" s="229"/>
      <c r="D105" s="229"/>
      <c r="E105" s="229"/>
      <c r="F105" s="229"/>
      <c r="G105" s="229"/>
      <c r="H105" s="229"/>
      <c r="I105" s="230"/>
    </row>
    <row r="106" spans="1:9" ht="7.5" customHeight="1" x14ac:dyDescent="0.2">
      <c r="A106" s="68"/>
      <c r="B106" s="68"/>
      <c r="C106" s="68"/>
      <c r="D106" s="68"/>
      <c r="E106" s="68"/>
      <c r="F106" s="68"/>
      <c r="G106" s="68"/>
      <c r="H106" s="68"/>
      <c r="I106" s="68"/>
    </row>
    <row r="107" spans="1:9" ht="18.75" customHeight="1" x14ac:dyDescent="0.2">
      <c r="A107" s="37" t="s">
        <v>30</v>
      </c>
      <c r="B107" s="231" t="s">
        <v>46</v>
      </c>
      <c r="C107" s="231"/>
      <c r="D107" s="231"/>
      <c r="E107" s="231"/>
      <c r="F107" s="231"/>
      <c r="G107" s="231"/>
      <c r="H107" s="231"/>
      <c r="I107" s="231"/>
    </row>
    <row r="108" spans="1:9" ht="18.75" customHeight="1" x14ac:dyDescent="0.2">
      <c r="A108" s="68"/>
      <c r="B108" s="222" t="s">
        <v>162</v>
      </c>
      <c r="C108" s="223"/>
      <c r="D108" s="223"/>
      <c r="E108" s="223"/>
      <c r="F108" s="223"/>
      <c r="G108" s="223"/>
      <c r="H108" s="223"/>
      <c r="I108" s="224"/>
    </row>
    <row r="109" spans="1:9" ht="18.75" customHeight="1" x14ac:dyDescent="0.2">
      <c r="A109" s="68"/>
      <c r="B109" s="225"/>
      <c r="C109" s="226"/>
      <c r="D109" s="226"/>
      <c r="E109" s="226"/>
      <c r="F109" s="226"/>
      <c r="G109" s="226"/>
      <c r="H109" s="226"/>
      <c r="I109" s="227"/>
    </row>
    <row r="110" spans="1:9" ht="18.75" customHeight="1" x14ac:dyDescent="0.2">
      <c r="A110" s="68"/>
      <c r="B110" s="225"/>
      <c r="C110" s="226"/>
      <c r="D110" s="226"/>
      <c r="E110" s="226"/>
      <c r="F110" s="226"/>
      <c r="G110" s="226"/>
      <c r="H110" s="226"/>
      <c r="I110" s="227"/>
    </row>
    <row r="111" spans="1:9" ht="18.75" customHeight="1" x14ac:dyDescent="0.2">
      <c r="A111" s="68"/>
      <c r="B111" s="225"/>
      <c r="C111" s="226"/>
      <c r="D111" s="226"/>
      <c r="E111" s="226"/>
      <c r="F111" s="226"/>
      <c r="G111" s="226"/>
      <c r="H111" s="226"/>
      <c r="I111" s="227"/>
    </row>
    <row r="112" spans="1:9" ht="18.75" customHeight="1" x14ac:dyDescent="0.2">
      <c r="A112" s="68"/>
      <c r="B112" s="225"/>
      <c r="C112" s="226"/>
      <c r="D112" s="226"/>
      <c r="E112" s="226"/>
      <c r="F112" s="226"/>
      <c r="G112" s="226"/>
      <c r="H112" s="226"/>
      <c r="I112" s="227"/>
    </row>
    <row r="113" spans="1:9" ht="18.75" customHeight="1" x14ac:dyDescent="0.2">
      <c r="A113" s="68"/>
      <c r="B113" s="225"/>
      <c r="C113" s="226"/>
      <c r="D113" s="226"/>
      <c r="E113" s="226"/>
      <c r="F113" s="226"/>
      <c r="G113" s="226"/>
      <c r="H113" s="226"/>
      <c r="I113" s="227"/>
    </row>
    <row r="114" spans="1:9" ht="18.75" customHeight="1" x14ac:dyDescent="0.2">
      <c r="A114" s="68"/>
      <c r="B114" s="225"/>
      <c r="C114" s="226"/>
      <c r="D114" s="226"/>
      <c r="E114" s="226"/>
      <c r="F114" s="226"/>
      <c r="G114" s="226"/>
      <c r="H114" s="226"/>
      <c r="I114" s="227"/>
    </row>
    <row r="115" spans="1:9" ht="18.75" customHeight="1" x14ac:dyDescent="0.2">
      <c r="A115" s="68"/>
      <c r="B115" s="225"/>
      <c r="C115" s="226"/>
      <c r="D115" s="226"/>
      <c r="E115" s="226"/>
      <c r="F115" s="226"/>
      <c r="G115" s="226"/>
      <c r="H115" s="226"/>
      <c r="I115" s="227"/>
    </row>
    <row r="116" spans="1:9" ht="18.75" customHeight="1" x14ac:dyDescent="0.2">
      <c r="A116" s="68"/>
      <c r="B116" s="225"/>
      <c r="C116" s="226"/>
      <c r="D116" s="226"/>
      <c r="E116" s="226"/>
      <c r="F116" s="226"/>
      <c r="G116" s="226"/>
      <c r="H116" s="226"/>
      <c r="I116" s="227"/>
    </row>
    <row r="117" spans="1:9" ht="18.75" customHeight="1" x14ac:dyDescent="0.2">
      <c r="A117" s="68"/>
      <c r="B117" s="225"/>
      <c r="C117" s="226"/>
      <c r="D117" s="226"/>
      <c r="E117" s="226"/>
      <c r="F117" s="226"/>
      <c r="G117" s="226"/>
      <c r="H117" s="226"/>
      <c r="I117" s="227"/>
    </row>
    <row r="118" spans="1:9" ht="18.75" customHeight="1" x14ac:dyDescent="0.2">
      <c r="A118" s="68"/>
      <c r="B118" s="225"/>
      <c r="C118" s="226"/>
      <c r="D118" s="226"/>
      <c r="E118" s="226"/>
      <c r="F118" s="226"/>
      <c r="G118" s="226"/>
      <c r="H118" s="226"/>
      <c r="I118" s="227"/>
    </row>
    <row r="119" spans="1:9" ht="18.75" customHeight="1" x14ac:dyDescent="0.2">
      <c r="A119" s="68"/>
      <c r="B119" s="228"/>
      <c r="C119" s="229"/>
      <c r="D119" s="229"/>
      <c r="E119" s="229"/>
      <c r="F119" s="229"/>
      <c r="G119" s="229"/>
      <c r="H119" s="229"/>
      <c r="I119" s="230"/>
    </row>
    <row r="120" spans="1:9" ht="7.5" customHeight="1" x14ac:dyDescent="0.2">
      <c r="A120" s="68"/>
      <c r="B120" s="74"/>
      <c r="C120" s="74"/>
      <c r="D120" s="74"/>
      <c r="E120" s="74"/>
      <c r="F120" s="74"/>
      <c r="G120" s="74"/>
      <c r="H120" s="74"/>
      <c r="I120" s="74"/>
    </row>
    <row r="121" spans="1:9" ht="18.75" customHeight="1" x14ac:dyDescent="0.2">
      <c r="A121" s="68"/>
      <c r="B121" s="68"/>
      <c r="C121" s="68"/>
      <c r="D121" s="68"/>
      <c r="E121" s="68"/>
      <c r="F121" s="68"/>
      <c r="G121" s="68"/>
      <c r="H121" s="68"/>
      <c r="I121" s="68"/>
    </row>
    <row r="122" spans="1:9" ht="18.75" customHeight="1" x14ac:dyDescent="0.2">
      <c r="A122" s="68"/>
      <c r="B122" s="68"/>
      <c r="C122" s="68"/>
      <c r="D122" s="68"/>
      <c r="E122" s="68"/>
      <c r="F122" s="68"/>
      <c r="G122" s="68"/>
      <c r="H122" s="68"/>
      <c r="I122" s="68"/>
    </row>
    <row r="123" spans="1:9" ht="18.75" customHeight="1" x14ac:dyDescent="0.2">
      <c r="A123" s="68"/>
      <c r="B123" s="68"/>
      <c r="C123" s="68"/>
      <c r="D123" s="68"/>
      <c r="E123" s="68"/>
      <c r="F123" s="68"/>
      <c r="G123" s="68"/>
      <c r="H123" s="68"/>
      <c r="I123" s="68"/>
    </row>
    <row r="124" spans="1:9" ht="18.75" customHeight="1" x14ac:dyDescent="0.2">
      <c r="A124" s="68"/>
      <c r="B124" s="68"/>
      <c r="C124" s="68"/>
      <c r="D124" s="68"/>
      <c r="E124" s="68"/>
      <c r="F124" s="68"/>
      <c r="G124" s="68"/>
      <c r="H124" s="68"/>
      <c r="I124" s="68"/>
    </row>
    <row r="125" spans="1:9" ht="18.75" customHeight="1" x14ac:dyDescent="0.2">
      <c r="A125" s="68"/>
      <c r="B125" s="68"/>
      <c r="C125" s="68"/>
      <c r="D125" s="68"/>
      <c r="E125" s="68"/>
      <c r="F125" s="68"/>
      <c r="G125" s="68"/>
      <c r="H125" s="68"/>
      <c r="I125" s="68"/>
    </row>
    <row r="126" spans="1:9" ht="18.75" customHeight="1" x14ac:dyDescent="0.2">
      <c r="A126" s="68"/>
      <c r="B126" s="68"/>
      <c r="C126" s="68"/>
      <c r="D126" s="68"/>
      <c r="E126" s="68"/>
      <c r="F126" s="68"/>
      <c r="G126" s="68"/>
      <c r="H126" s="68"/>
      <c r="I126" s="68"/>
    </row>
    <row r="127" spans="1:9" ht="18.75" customHeight="1" x14ac:dyDescent="0.2">
      <c r="A127" s="68"/>
      <c r="B127" s="68"/>
      <c r="C127" s="68"/>
      <c r="D127" s="68"/>
      <c r="E127" s="68"/>
      <c r="F127" s="68"/>
      <c r="G127" s="68"/>
      <c r="H127" s="68"/>
      <c r="I127" s="68"/>
    </row>
    <row r="128" spans="1:9" ht="18.75" customHeight="1" x14ac:dyDescent="0.2">
      <c r="A128" s="68"/>
      <c r="B128" s="68"/>
      <c r="C128" s="68"/>
      <c r="D128" s="68"/>
      <c r="E128" s="68"/>
      <c r="F128" s="68"/>
      <c r="G128" s="68"/>
      <c r="H128" s="68"/>
      <c r="I128" s="68"/>
    </row>
    <row r="129" spans="1:9" ht="18.75" customHeight="1" x14ac:dyDescent="0.2">
      <c r="A129" s="68"/>
      <c r="B129" s="68"/>
      <c r="C129" s="68"/>
      <c r="D129" s="68"/>
      <c r="E129" s="68"/>
      <c r="F129" s="68"/>
      <c r="G129" s="68"/>
      <c r="H129" s="68"/>
      <c r="I129" s="68"/>
    </row>
    <row r="130" spans="1:9" ht="18.75" customHeight="1" x14ac:dyDescent="0.2">
      <c r="A130" s="68"/>
      <c r="B130" s="68"/>
      <c r="C130" s="68"/>
      <c r="D130" s="68"/>
      <c r="E130" s="68"/>
      <c r="F130" s="68"/>
      <c r="G130" s="68"/>
      <c r="H130" s="68"/>
      <c r="I130" s="68"/>
    </row>
    <row r="131" spans="1:9" ht="18.75" customHeight="1" x14ac:dyDescent="0.2">
      <c r="A131" s="68"/>
      <c r="B131" s="68"/>
      <c r="C131" s="68"/>
      <c r="D131" s="68"/>
      <c r="E131" s="68"/>
      <c r="F131" s="68"/>
      <c r="G131" s="68"/>
      <c r="H131" s="68"/>
      <c r="I131" s="68"/>
    </row>
    <row r="132" spans="1:9" ht="18.75" customHeight="1" x14ac:dyDescent="0.2">
      <c r="A132" s="68"/>
      <c r="B132" s="68"/>
      <c r="C132" s="68"/>
      <c r="D132" s="68"/>
      <c r="E132" s="68"/>
      <c r="F132" s="68"/>
      <c r="G132" s="68"/>
      <c r="H132" s="68"/>
      <c r="I132" s="68"/>
    </row>
    <row r="133" spans="1:9" ht="14.4" x14ac:dyDescent="0.2">
      <c r="A133" s="68"/>
      <c r="B133" s="68"/>
      <c r="C133" s="68"/>
      <c r="D133" s="68"/>
      <c r="E133" s="68"/>
      <c r="F133" s="68"/>
      <c r="G133" s="68"/>
      <c r="H133" s="68"/>
      <c r="I133" s="68"/>
    </row>
    <row r="134" spans="1:9" ht="7.5" customHeight="1" x14ac:dyDescent="0.2">
      <c r="A134" s="75"/>
      <c r="B134" s="75"/>
      <c r="C134" s="75"/>
      <c r="D134" s="75"/>
      <c r="E134" s="75"/>
      <c r="F134" s="75"/>
      <c r="G134" s="75"/>
      <c r="H134" s="75"/>
      <c r="I134" s="75"/>
    </row>
  </sheetData>
  <mergeCells count="22">
    <mergeCell ref="H2:I2"/>
    <mergeCell ref="A4:I4"/>
    <mergeCell ref="B19:I19"/>
    <mergeCell ref="B51:I51"/>
    <mergeCell ref="B14:I14"/>
    <mergeCell ref="C16:E16"/>
    <mergeCell ref="H16:I16"/>
    <mergeCell ref="C11:E11"/>
    <mergeCell ref="H11:I11"/>
    <mergeCell ref="C6:D6"/>
    <mergeCell ref="F50:G50"/>
    <mergeCell ref="C49:D49"/>
    <mergeCell ref="C50:D50"/>
    <mergeCell ref="F49:G49"/>
    <mergeCell ref="B22:I32"/>
    <mergeCell ref="B35:I46"/>
    <mergeCell ref="B52:I63"/>
    <mergeCell ref="B94:I105"/>
    <mergeCell ref="B107:I107"/>
    <mergeCell ref="B108:I119"/>
    <mergeCell ref="B66:I77"/>
    <mergeCell ref="B80:I9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22" zoomScale="67" zoomScaleNormal="100" zoomScaleSheetLayoutView="100" workbookViewId="0">
      <selection activeCell="E22" sqref="E22:I22"/>
    </sheetView>
  </sheetViews>
  <sheetFormatPr defaultColWidth="11.33203125" defaultRowHeight="22.5" customHeight="1" x14ac:dyDescent="0.2"/>
  <cols>
    <col min="1" max="3" width="2.77734375" style="76" customWidth="1"/>
    <col min="4" max="4" width="22.21875" style="76" customWidth="1"/>
    <col min="5" max="5" width="30.77734375" style="76" customWidth="1"/>
    <col min="6" max="7" width="7.77734375" style="76" customWidth="1"/>
    <col min="8" max="9" width="30.77734375" style="76" customWidth="1"/>
    <col min="10" max="10" width="4.109375" style="76" customWidth="1"/>
    <col min="11" max="16384" width="11.33203125" style="76"/>
  </cols>
  <sheetData>
    <row r="1" spans="1:9" ht="18.75" customHeight="1" x14ac:dyDescent="0.2">
      <c r="A1" s="76" t="s">
        <v>71</v>
      </c>
      <c r="I1" s="77" t="s">
        <v>105</v>
      </c>
    </row>
    <row r="2" spans="1:9" ht="18.75" customHeight="1" x14ac:dyDescent="0.2">
      <c r="H2" s="77" t="s">
        <v>109</v>
      </c>
      <c r="I2" s="64" t="s">
        <v>152</v>
      </c>
    </row>
    <row r="3" spans="1:9" ht="18.75" customHeight="1" x14ac:dyDescent="0.2">
      <c r="A3" s="277" t="s">
        <v>28</v>
      </c>
      <c r="B3" s="277"/>
      <c r="C3" s="277"/>
      <c r="D3" s="277"/>
      <c r="E3" s="277"/>
      <c r="F3" s="277"/>
      <c r="G3" s="277"/>
      <c r="H3" s="277"/>
      <c r="I3" s="277"/>
    </row>
    <row r="4" spans="1:9" ht="18.75" customHeight="1" x14ac:dyDescent="0.2">
      <c r="A4" s="78"/>
      <c r="B4" s="78"/>
      <c r="C4" s="78"/>
      <c r="D4" s="78"/>
      <c r="E4" s="78"/>
      <c r="F4" s="78"/>
      <c r="G4" s="78"/>
      <c r="H4" s="78"/>
      <c r="I4" s="78"/>
    </row>
    <row r="5" spans="1:9" ht="18.75" customHeight="1" x14ac:dyDescent="0.2">
      <c r="A5" s="76" t="s">
        <v>0</v>
      </c>
      <c r="B5" s="79" t="s">
        <v>95</v>
      </c>
      <c r="C5" s="78"/>
      <c r="D5" s="78"/>
      <c r="E5" s="78"/>
      <c r="F5" s="78"/>
      <c r="G5" s="78"/>
      <c r="H5" s="78"/>
      <c r="I5" s="78"/>
    </row>
    <row r="6" spans="1:9" ht="26.25" customHeight="1" x14ac:dyDescent="0.2">
      <c r="A6" s="78"/>
      <c r="B6" s="283" t="s">
        <v>155</v>
      </c>
      <c r="C6" s="284"/>
      <c r="D6" s="284"/>
      <c r="E6" s="284"/>
      <c r="F6" s="284"/>
      <c r="G6" s="284"/>
      <c r="H6" s="285"/>
      <c r="I6" s="65"/>
    </row>
    <row r="7" spans="1:9" ht="9" customHeight="1" x14ac:dyDescent="0.2">
      <c r="A7" s="78"/>
      <c r="B7" s="79"/>
      <c r="C7" s="79"/>
      <c r="D7" s="79"/>
      <c r="E7" s="79"/>
      <c r="F7" s="79"/>
      <c r="G7" s="79"/>
      <c r="H7" s="79"/>
      <c r="I7" s="65"/>
    </row>
    <row r="8" spans="1:9" ht="18.75" customHeight="1" x14ac:dyDescent="0.2">
      <c r="A8" s="78"/>
      <c r="B8" s="65"/>
      <c r="C8" s="65"/>
      <c r="D8" s="77" t="s">
        <v>43</v>
      </c>
      <c r="E8" s="80" t="s">
        <v>149</v>
      </c>
      <c r="F8" s="65"/>
      <c r="G8" s="77" t="s">
        <v>10</v>
      </c>
      <c r="H8" s="80" t="s">
        <v>150</v>
      </c>
      <c r="I8" s="65"/>
    </row>
    <row r="9" spans="1:9" ht="7.5" customHeight="1" x14ac:dyDescent="0.2">
      <c r="A9" s="78"/>
      <c r="B9" s="78"/>
      <c r="C9" s="78"/>
      <c r="D9" s="78"/>
      <c r="E9" s="78"/>
      <c r="F9" s="78"/>
      <c r="G9" s="78"/>
      <c r="H9" s="78"/>
      <c r="I9" s="78"/>
    </row>
    <row r="10" spans="1:9" ht="18.75" customHeight="1" x14ac:dyDescent="0.2">
      <c r="A10" s="76" t="s">
        <v>3</v>
      </c>
      <c r="B10" s="76" t="s">
        <v>27</v>
      </c>
      <c r="C10" s="81"/>
      <c r="D10" s="81"/>
      <c r="E10" s="81"/>
      <c r="F10" s="81"/>
      <c r="G10" s="81"/>
      <c r="H10" s="81"/>
      <c r="I10" s="81"/>
    </row>
    <row r="11" spans="1:9" ht="18.75" customHeight="1" x14ac:dyDescent="0.2">
      <c r="B11" s="278" t="s">
        <v>24</v>
      </c>
      <c r="C11" s="279"/>
      <c r="D11" s="280"/>
      <c r="E11" s="279" t="s">
        <v>26</v>
      </c>
      <c r="F11" s="279"/>
      <c r="G11" s="279"/>
      <c r="H11" s="279"/>
      <c r="I11" s="280"/>
    </row>
    <row r="12" spans="1:9" ht="26.25" customHeight="1" x14ac:dyDescent="0.2">
      <c r="B12" s="82" t="s">
        <v>14</v>
      </c>
      <c r="C12" s="81"/>
      <c r="D12" s="83"/>
      <c r="I12" s="83"/>
    </row>
    <row r="13" spans="1:9" ht="210.75" customHeight="1" x14ac:dyDescent="0.2">
      <c r="B13" s="84"/>
      <c r="C13" s="281" t="s">
        <v>15</v>
      </c>
      <c r="D13" s="282"/>
      <c r="E13" s="274" t="s">
        <v>145</v>
      </c>
      <c r="F13" s="275"/>
      <c r="G13" s="275"/>
      <c r="H13" s="275"/>
      <c r="I13" s="276"/>
    </row>
    <row r="14" spans="1:9" ht="210.75" customHeight="1" x14ac:dyDescent="0.2">
      <c r="B14" s="84"/>
      <c r="C14" s="272" t="s">
        <v>16</v>
      </c>
      <c r="D14" s="273"/>
      <c r="E14" s="274" t="s">
        <v>146</v>
      </c>
      <c r="F14" s="275"/>
      <c r="G14" s="275"/>
      <c r="H14" s="275"/>
      <c r="I14" s="276"/>
    </row>
    <row r="15" spans="1:9" ht="210.75" customHeight="1" x14ac:dyDescent="0.2">
      <c r="B15" s="84"/>
      <c r="C15" s="281" t="s">
        <v>17</v>
      </c>
      <c r="D15" s="282"/>
      <c r="E15" s="274" t="s">
        <v>147</v>
      </c>
      <c r="F15" s="275"/>
      <c r="G15" s="275"/>
      <c r="H15" s="275"/>
      <c r="I15" s="276"/>
    </row>
    <row r="16" spans="1:9" ht="210.75" customHeight="1" x14ac:dyDescent="0.2">
      <c r="B16" s="84"/>
      <c r="C16" s="281" t="s">
        <v>18</v>
      </c>
      <c r="D16" s="282"/>
      <c r="E16" s="274" t="s">
        <v>163</v>
      </c>
      <c r="F16" s="275"/>
      <c r="G16" s="275"/>
      <c r="H16" s="275"/>
      <c r="I16" s="276"/>
    </row>
    <row r="17" spans="2:9" ht="210.75" customHeight="1" x14ac:dyDescent="0.2">
      <c r="B17" s="85"/>
      <c r="C17" s="286" t="s">
        <v>19</v>
      </c>
      <c r="D17" s="287"/>
      <c r="E17" s="288" t="s">
        <v>148</v>
      </c>
      <c r="F17" s="289"/>
      <c r="G17" s="289"/>
      <c r="H17" s="289"/>
      <c r="I17" s="290"/>
    </row>
    <row r="18" spans="2:9" ht="24" customHeight="1" x14ac:dyDescent="0.2">
      <c r="B18" s="82" t="s">
        <v>20</v>
      </c>
      <c r="C18" s="86"/>
      <c r="D18" s="87"/>
      <c r="E18" s="88"/>
      <c r="F18" s="88"/>
      <c r="G18" s="88"/>
      <c r="H18" s="88"/>
      <c r="I18" s="89"/>
    </row>
    <row r="19" spans="2:9" ht="218.25" customHeight="1" x14ac:dyDescent="0.2">
      <c r="B19" s="84"/>
      <c r="C19" s="281" t="s">
        <v>21</v>
      </c>
      <c r="D19" s="282"/>
      <c r="E19" s="275" t="s">
        <v>165</v>
      </c>
      <c r="F19" s="275"/>
      <c r="G19" s="275"/>
      <c r="H19" s="275"/>
      <c r="I19" s="276"/>
    </row>
    <row r="20" spans="2:9" ht="218.25" customHeight="1" x14ac:dyDescent="0.2">
      <c r="B20" s="85"/>
      <c r="C20" s="286" t="s">
        <v>22</v>
      </c>
      <c r="D20" s="287"/>
      <c r="E20" s="289" t="s">
        <v>166</v>
      </c>
      <c r="F20" s="289"/>
      <c r="G20" s="289"/>
      <c r="H20" s="289"/>
      <c r="I20" s="290"/>
    </row>
    <row r="21" spans="2:9" ht="218.25" customHeight="1" x14ac:dyDescent="0.2">
      <c r="B21" s="296" t="s">
        <v>23</v>
      </c>
      <c r="C21" s="297"/>
      <c r="D21" s="298"/>
      <c r="E21" s="299" t="s">
        <v>167</v>
      </c>
      <c r="F21" s="299"/>
      <c r="G21" s="299"/>
      <c r="H21" s="299"/>
      <c r="I21" s="300"/>
    </row>
    <row r="22" spans="2:9" ht="218.25" customHeight="1" x14ac:dyDescent="0.2">
      <c r="B22" s="291" t="s">
        <v>38</v>
      </c>
      <c r="C22" s="292"/>
      <c r="D22" s="293"/>
      <c r="E22" s="294" t="s">
        <v>168</v>
      </c>
      <c r="F22" s="294"/>
      <c r="G22" s="294"/>
      <c r="H22" s="294"/>
      <c r="I22" s="295"/>
    </row>
    <row r="23" spans="2:9" ht="22.5" customHeight="1" x14ac:dyDescent="0.2">
      <c r="B23" s="81"/>
      <c r="C23" s="81"/>
      <c r="D23" s="81"/>
      <c r="E23" s="81"/>
      <c r="F23" s="81"/>
      <c r="G23" s="81"/>
      <c r="H23" s="81"/>
      <c r="I23" s="81"/>
    </row>
    <row r="24" spans="2:9" ht="22.5" customHeight="1" x14ac:dyDescent="0.2">
      <c r="B24" s="81"/>
      <c r="C24" s="81"/>
      <c r="D24" s="81"/>
      <c r="E24" s="81"/>
      <c r="F24" s="81"/>
      <c r="G24" s="81"/>
      <c r="H24" s="81"/>
      <c r="I24" s="81"/>
    </row>
    <row r="25" spans="2:9" ht="22.5" customHeight="1" x14ac:dyDescent="0.2">
      <c r="B25" s="81"/>
      <c r="C25" s="81"/>
      <c r="D25" s="81"/>
      <c r="E25" s="81"/>
      <c r="F25" s="81"/>
      <c r="G25" s="81"/>
      <c r="H25" s="81"/>
      <c r="I25" s="81"/>
    </row>
    <row r="26" spans="2:9" ht="22.5" customHeight="1" x14ac:dyDescent="0.2">
      <c r="B26" s="81"/>
      <c r="C26" s="81"/>
      <c r="D26" s="81"/>
      <c r="E26" s="81"/>
      <c r="F26" s="81"/>
      <c r="G26" s="81"/>
      <c r="H26" s="81"/>
      <c r="I26" s="81"/>
    </row>
    <row r="27" spans="2:9" ht="22.5" customHeight="1" x14ac:dyDescent="0.2">
      <c r="B27" s="81"/>
      <c r="C27" s="81"/>
      <c r="D27" s="81"/>
      <c r="E27" s="81"/>
      <c r="F27" s="81"/>
      <c r="G27" s="81"/>
      <c r="H27" s="81"/>
      <c r="I27" s="81"/>
    </row>
    <row r="28" spans="2:9" ht="22.5" customHeight="1" x14ac:dyDescent="0.2">
      <c r="B28" s="90"/>
      <c r="C28" s="90"/>
      <c r="D28" s="90"/>
      <c r="E28" s="90"/>
      <c r="F28" s="90"/>
      <c r="G28" s="90"/>
      <c r="H28" s="90"/>
      <c r="I28" s="90"/>
    </row>
    <row r="29" spans="2:9" ht="22.5" customHeight="1" x14ac:dyDescent="0.2">
      <c r="B29" s="90"/>
      <c r="C29" s="90"/>
      <c r="D29" s="90"/>
      <c r="E29" s="90"/>
      <c r="F29" s="90"/>
      <c r="G29" s="90"/>
      <c r="H29" s="90"/>
      <c r="I29" s="90"/>
    </row>
    <row r="30" spans="2:9" ht="22.5" customHeight="1" x14ac:dyDescent="0.2">
      <c r="B30" s="90"/>
      <c r="C30" s="90"/>
      <c r="D30" s="90"/>
      <c r="E30" s="90"/>
      <c r="F30" s="90"/>
      <c r="G30" s="90"/>
      <c r="H30" s="90"/>
      <c r="I30" s="90"/>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user</cp:lastModifiedBy>
  <cp:lastPrinted>2023-06-28T09:06:40Z</cp:lastPrinted>
  <dcterms:created xsi:type="dcterms:W3CDTF">2011-06-14T05:32:50Z</dcterms:created>
  <dcterms:modified xsi:type="dcterms:W3CDTF">2023-06-28T15:09:35Z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