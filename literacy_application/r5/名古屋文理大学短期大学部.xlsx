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V:\311010_学務課\届出申請\令和５年度\MDASH リテラシーレベル認定向け申請 20230513文科提出\01_名古屋文理大学短期大学部_リテラシー\修正稿　締切20230719まで\"/>
    </mc:Choice>
  </mc:AlternateContent>
  <xr:revisionPtr revIDLastSave="0" documentId="13_ncr:1_{689BC17F-DE38-469D-953E-B2DC3A3ECDA4}" xr6:coauthVersionLast="36" xr6:coauthVersionMax="36" xr10:uidLastSave="{00000000-0000-0000-0000-000000000000}"/>
  <bookViews>
    <workbookView xWindow="0" yWindow="0" windowWidth="28800" windowHeight="1213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<sst xmlns="http://schemas.openxmlformats.org/spreadsheetml/2006/main" count="303" uniqueCount="175">
  <si>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</si>
  <si>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</si>
  <si>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</si>
  <si>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</si>
  <si>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</si>
  <si>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</si>
  <si>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</si>
  <si>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</si>
  <si>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</si>
  <si>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</si>
  <si>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</si>
  <si>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</si>
  <si>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</si>
  <si>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</si>
  <si>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</si>
  <si>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</si>
  <si>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</si>
  <si>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</si>
  <si>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</si>
  <si>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</si>
  <si>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</si>
  <si>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</si>
  <si>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</si>
  <si>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</si>
  <si>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</si>
  <si>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</si>
  <si>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</si>
  <si>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</si>
  <si>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</si>
  <si>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</si>
  <si>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</si>
  <si>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</si>
  <si>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</si>
  <si>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</si>
  <si>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</si>
  <si>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</si>
  <si>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</si>
  <si>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</si>
  <si>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</si>
  <si>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</si>
  <si>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</si>
  <si>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</si>
  <si>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</si>
  <si>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</si>
  <si>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</si>
  <si>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</si>
  <si>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</si>
  <si>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</si>
  <si>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</si>
  <si>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</si>
  <si>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</si>
  <si>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</si>
  <si>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</si>
  <si>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</si>
  <si>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</si>
  <si>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</si>
  <si>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</si>
  <si>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</si>
  <si>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</si>
  <si>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</si>
  <si>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</si>
  <si>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</si>
  <si>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</si>
  <si>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</si>
  <si>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</si>
  <si>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</si>
  <si>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</si>
  <si>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</si>
  <si>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</si>
  <si>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</si>
  <si>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</si>
  <si>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</si>
  <si>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</si>
  <si>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</si>
  <si>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</si>
  <si>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</si>
  <si>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</si>
  <si>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</si>
  <si>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</si>
  <si>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</si>
  <si>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</si>
  <si>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</si>
  <si>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</si>
  <si>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</si>
  <si>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</si>
  <si>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</si>
  <si>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</si>
  <si>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</si>
  <si>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</si>
  <si>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</si>
  <si>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</si>
  <si>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</si>
  <si>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</si>
  <si>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</si>
  <si>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</si>
  <si>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</si>
  <si>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</si>
  <si>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</si>
  <si>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</si>
  <si>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</si>
  <si>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</si>
  <si>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</si>
  <si>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</si>
  <si>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</si>
  <si>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</si>
  <si>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</si>
  <si>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</si>
  <si>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</si>
  <si>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</si>
  <si>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</si>
  <si>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</si>
  <si>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</si>
  <si>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</si>
  <si>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</si>
  <si>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</si>
  <si>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</si>
  <si>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</si>
  <si>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</si>
  <si>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</si>
  <si>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</si>
  <si>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</si>
  <si>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</si>
  <si>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</si>
  <si>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</si>
  <si>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</si>
  <si>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</si>
  <si>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名古屋文理大学短期大学部</t>
    <rPh sb="0" eb="7">
      <t>ナゴヤブンリダイガク</t>
    </rPh>
    <rPh sb="7" eb="12">
      <t>タンキダイガクブ</t>
    </rPh>
    <phoneticPr fontId="1"/>
  </si>
  <si>
    <t>数理・データサイエンス・AI教育プログラム</t>
    <phoneticPr fontId="1"/>
  </si>
  <si>
    <t>学部・学科によって、修了要件は相違しない</t>
  </si>
  <si>
    <t>総合学習</t>
    <rPh sb="0" eb="4">
      <t>ソウゴウガクシュウ</t>
    </rPh>
    <phoneticPr fontId="1"/>
  </si>
  <si>
    <t>○</t>
  </si>
  <si>
    <t>情報リテラシー</t>
    <rPh sb="0" eb="2">
      <t>ジョウホウ</t>
    </rPh>
    <phoneticPr fontId="1"/>
  </si>
  <si>
    <t>令和４</t>
    <rPh sb="0" eb="2">
      <t>レイワ</t>
    </rPh>
    <phoneticPr fontId="1"/>
  </si>
  <si>
    <t>食物栄養学科・栄養士専攻</t>
    <rPh sb="0" eb="4">
      <t>ショクモツエイヨウ</t>
    </rPh>
    <rPh sb="4" eb="6">
      <t>ガッカ</t>
    </rPh>
    <rPh sb="7" eb="12">
      <t>エイヨウシセンコウ</t>
    </rPh>
    <phoneticPr fontId="1"/>
  </si>
  <si>
    <t>食物栄養学科・製菓専攻</t>
    <rPh sb="0" eb="4">
      <t>ショクモツエイヨウ</t>
    </rPh>
    <rPh sb="4" eb="6">
      <t>ガッカ</t>
    </rPh>
    <rPh sb="7" eb="9">
      <t>セイカ</t>
    </rPh>
    <rPh sb="9" eb="11">
      <t>センコウ</t>
    </rPh>
    <phoneticPr fontId="1"/>
  </si>
  <si>
    <t>副学長</t>
    <rPh sb="0" eb="3">
      <t>フクガクチョウ</t>
    </rPh>
    <phoneticPr fontId="1"/>
  </si>
  <si>
    <t>滝川　桂子</t>
    <rPh sb="0" eb="2">
      <t>タキカワ</t>
    </rPh>
    <rPh sb="3" eb="5">
      <t>ケイコ</t>
    </rPh>
    <phoneticPr fontId="1"/>
  </si>
  <si>
    <t>教務委員会規程</t>
    <rPh sb="0" eb="5">
      <t>キョウムイインカイ</t>
    </rPh>
    <rPh sb="5" eb="7">
      <t>キテイ</t>
    </rPh>
    <phoneticPr fontId="1"/>
  </si>
  <si>
    <t>地域課題研究</t>
    <rPh sb="0" eb="6">
      <t>チイキカダイケンキュウ</t>
    </rPh>
    <phoneticPr fontId="1"/>
  </si>
  <si>
    <t>本学では、本教育プログラム申請科目の全てが学科・専攻で必修科目であり、学科・専攻に関係なく、全員が履修する体制となっている。</t>
    <rPh sb="24" eb="26">
      <t>センコウ</t>
    </rPh>
    <phoneticPr fontId="1"/>
  </si>
  <si>
    <t>担当教員へ直接疑問点を相談することができ、理解できるまでのサポートが必要であることから、本学では全教員がオフィスアワーを設定している。また、授業に関する情報は授業ごとにLMS（学修管理システム）に掲載してあり、受講生はオンラインでいつでも担当教員に質問することができる。
図書情報センターにはシステム管理者が常駐しており、情報実習室でのトラブル等にも対応できる体制を整えている。</t>
    <rPh sb="136" eb="140">
      <t>トショジョウホウ</t>
    </rPh>
    <rPh sb="150" eb="153">
      <t>カンリシャ</t>
    </rPh>
    <rPh sb="154" eb="156">
      <t>ジョウチュウ</t>
    </rPh>
    <rPh sb="161" eb="166">
      <t>ジョウホウジッシュウシツ</t>
    </rPh>
    <rPh sb="172" eb="173">
      <t>トウ</t>
    </rPh>
    <rPh sb="175" eb="177">
      <t>タイオウ</t>
    </rPh>
    <rPh sb="180" eb="182">
      <t>タイセイ</t>
    </rPh>
    <rPh sb="183" eb="184">
      <t>トトノ</t>
    </rPh>
    <phoneticPr fontId="1"/>
  </si>
  <si>
    <t>自己点検評価委員会</t>
    <rPh sb="0" eb="4">
      <t>ジコテンケン</t>
    </rPh>
    <rPh sb="4" eb="9">
      <t>ヒョウカイインカイ</t>
    </rPh>
    <phoneticPr fontId="1"/>
  </si>
  <si>
    <t>学長</t>
    <rPh sb="0" eb="2">
      <t>ガクチョウ</t>
    </rPh>
    <phoneticPr fontId="1"/>
  </si>
  <si>
    <t>教務委員会（数理・データサイエンス・AI教育ワーキンググループ）</t>
    <rPh sb="0" eb="5">
      <t>キョウムイインカイ</t>
    </rPh>
    <rPh sb="6" eb="8">
      <t>スウリ</t>
    </rPh>
    <rPh sb="20" eb="22">
      <t>キョウイク</t>
    </rPh>
    <phoneticPr fontId="1"/>
  </si>
  <si>
    <t>教務委員長</t>
    <rPh sb="0" eb="2">
      <t>キョウム</t>
    </rPh>
    <rPh sb="2" eb="5">
      <t>イインチョウ</t>
    </rPh>
    <phoneticPr fontId="1"/>
  </si>
  <si>
    <t>山本　ちか</t>
    <rPh sb="0" eb="2">
      <t>ヤマモト</t>
    </rPh>
    <phoneticPr fontId="1"/>
  </si>
  <si>
    <t>数理・データサイエンス・AI教育ワーキンググループ
・教務委員長　教授　山本 ちか
・食物栄養学科長　教授　原田 隆
・図書情報センター長　教授　杉江 晶子
・学務課長　准教授　大﨑 正幸
・食物栄養学科　准教授　市原 俊</t>
    <rPh sb="43" eb="50">
      <t>ショクモツエイヨウガッカチョウ</t>
    </rPh>
    <rPh sb="51" eb="53">
      <t>キョウジュ</t>
    </rPh>
    <rPh sb="54" eb="56">
      <t>ハラダ</t>
    </rPh>
    <rPh sb="57" eb="58">
      <t>タカシ</t>
    </rPh>
    <rPh sb="60" eb="64">
      <t>トショジョウホウ</t>
    </rPh>
    <rPh sb="68" eb="69">
      <t>チョウ</t>
    </rPh>
    <rPh sb="70" eb="72">
      <t>キョウジュ</t>
    </rPh>
    <rPh sb="73" eb="75">
      <t>スギエ</t>
    </rPh>
    <rPh sb="76" eb="78">
      <t>アキコ</t>
    </rPh>
    <rPh sb="80" eb="84">
      <t>ガクムカチョウ</t>
    </rPh>
    <rPh sb="85" eb="88">
      <t>ジュンキョウジュ</t>
    </rPh>
    <rPh sb="89" eb="91">
      <t>オオサキ</t>
    </rPh>
    <rPh sb="92" eb="94">
      <t>マサユキ</t>
    </rPh>
    <rPh sb="96" eb="102">
      <t>ショクモツエイヨウガッカ</t>
    </rPh>
    <rPh sb="103" eb="106">
      <t>ジュンキョウジュ</t>
    </rPh>
    <phoneticPr fontId="1"/>
  </si>
  <si>
    <t>食物栄養学科栄養士専攻および製菓専攻では、プログラムを構成する基礎教育科目『情報リテラシー』2単位、『総合学習』1単位、『地域課題研究』1単位の計4単位を取得すること。</t>
    <rPh sb="0" eb="6">
      <t>ショクモツエイヨウガッカ</t>
    </rPh>
    <rPh sb="6" eb="11">
      <t>エイヨウシセンコウ</t>
    </rPh>
    <rPh sb="14" eb="18">
      <t>セイカセンコウ</t>
    </rPh>
    <rPh sb="27" eb="29">
      <t>コウセイ</t>
    </rPh>
    <rPh sb="31" eb="37">
      <t>キソキョウイクカモク</t>
    </rPh>
    <rPh sb="47" eb="49">
      <t>タンイ</t>
    </rPh>
    <rPh sb="57" eb="59">
      <t>タンイ</t>
    </rPh>
    <rPh sb="69" eb="71">
      <t>タンイ</t>
    </rPh>
    <rPh sb="72" eb="73">
      <t>ケイ</t>
    </rPh>
    <rPh sb="74" eb="76">
      <t>タンイ</t>
    </rPh>
    <rPh sb="77" eb="79">
      <t>シュトク</t>
    </rPh>
    <phoneticPr fontId="1"/>
  </si>
  <si>
    <t>・情報化社会の最新動向およびネットワーク社会で最低限知っておくべきルールとマナー等の情報倫理を説明できる。
・社会におけるデータ・ＡＩ利活用の概要を理解し、考察できる。
・基礎学力を修得し、自ら学ぶ力を身に付け、活用できる。
・地域の様々なデータを適切に分析し、それについて説明することができる。
・データの活用法を他講義で課されるレポートやデータ分析の課題作成に応用できる。</t>
    <phoneticPr fontId="1"/>
  </si>
  <si>
    <t>キャリア支援センターにて全学生の進路・就職先の調査を行っている。本プログラム開始は令和４年度であり、卒業生が社会に出るのは令和６年度以降となる見込みだが、可能な範囲で活躍状況等の調査を実施する予定である。</t>
    <rPh sb="4" eb="6">
      <t>シエン</t>
    </rPh>
    <rPh sb="12" eb="15">
      <t>ゼンガクセイ</t>
    </rPh>
    <rPh sb="16" eb="18">
      <t>シンロ</t>
    </rPh>
    <phoneticPr fontId="1"/>
  </si>
  <si>
    <t>今後、短期大学の数理・データサイエンス・AI教育への期待、協業の希望等についてヒアリングを実施し、得られた意見は、今後の地域連携体制の構築や、カリキュラム・教材の改善の参考とする。</t>
    <rPh sb="0" eb="2">
      <t>コンゴ</t>
    </rPh>
    <rPh sb="3" eb="7">
      <t>タンキダイガク</t>
    </rPh>
    <phoneticPr fontId="1"/>
  </si>
  <si>
    <t>「地域のデータ分析」課題により、興味のある身近なデータをe-Statなどから入手し、Excelを用いて加工・処理をし、データの分析を行い、分析結果を検討するといった実践を通して、データサイエンスを学ぶことの楽しさや意義を学生がより理解できるようにする。
また、データサイエンス・ＡＩ分野の最新の動向を紹介することにより、学生の興味・関心を高め、楽しく学ぶことができるようにする。</t>
    <rPh sb="10" eb="12">
      <t>カダイ</t>
    </rPh>
    <rPh sb="16" eb="18">
      <t>キョウミ</t>
    </rPh>
    <rPh sb="21" eb="23">
      <t>ミジカ</t>
    </rPh>
    <rPh sb="38" eb="40">
      <t>ニュウシュ</t>
    </rPh>
    <rPh sb="48" eb="49">
      <t>モチ</t>
    </rPh>
    <rPh sb="51" eb="53">
      <t>カコウ</t>
    </rPh>
    <rPh sb="54" eb="56">
      <t>ショリ</t>
    </rPh>
    <rPh sb="63" eb="65">
      <t>ブンセキ</t>
    </rPh>
    <rPh sb="66" eb="67">
      <t>オコナ</t>
    </rPh>
    <rPh sb="69" eb="73">
      <t>ブンセキケッカ</t>
    </rPh>
    <rPh sb="74" eb="76">
      <t>ケントウ</t>
    </rPh>
    <rPh sb="82" eb="84">
      <t>ジッセン</t>
    </rPh>
    <rPh sb="85" eb="86">
      <t>トオ</t>
    </rPh>
    <rPh sb="141" eb="143">
      <t>ブンヤ</t>
    </rPh>
    <rPh sb="144" eb="146">
      <t>サイシン</t>
    </rPh>
    <rPh sb="147" eb="149">
      <t>ドウコウ</t>
    </rPh>
    <rPh sb="150" eb="152">
      <t>ショウカイ</t>
    </rPh>
    <rPh sb="160" eb="162">
      <t>ガクセイ</t>
    </rPh>
    <rPh sb="163" eb="165">
      <t>キョウミ</t>
    </rPh>
    <rPh sb="166" eb="168">
      <t>カンシン</t>
    </rPh>
    <rPh sb="169" eb="170">
      <t>タカ</t>
    </rPh>
    <rPh sb="172" eb="173">
      <t>タノ</t>
    </rPh>
    <rPh sb="175" eb="176">
      <t>マナ</t>
    </rPh>
    <phoneticPr fontId="1"/>
  </si>
  <si>
    <t>景山　節</t>
    <rPh sb="0" eb="2">
      <t>カゲヤマ</t>
    </rPh>
    <rPh sb="3" eb="4">
      <t>タカシ</t>
    </rPh>
    <phoneticPr fontId="1"/>
  </si>
  <si>
    <t>「総合学習」や「地域課題研究」科目では、グループワークを含む授業の運営を円滑にするため、複数教員によるサポート体制で授業を進めている。授業時間のみでは不足している内容をgaccoシステムでの滋賀大学データサイエンス学部が作成したオンデマンド教育教材で補完している。オンデマンド講義の視聴は学生の空き時間を利用してフレキシブルに学習することが可能となっている。
「情報リテラシー」科目では、理解度向上を図るためにきめ細かに受講生の様子を観察し、理解度に応じて個別にサポートし、授業時間外にオープンで情報実習室を利用できる体制を整備している。
いずれも全学で必修科目であり、理解度の向上を図り、受講生の円滑な学修と教育内容の修得ができるようサポートしている。</t>
    <rPh sb="46" eb="48">
      <t>キョウイン</t>
    </rPh>
    <rPh sb="58" eb="60">
      <t>ジュギョウ</t>
    </rPh>
    <rPh sb="181" eb="183">
      <t>ジョウホウ</t>
    </rPh>
    <rPh sb="189" eb="191">
      <t>カモク</t>
    </rPh>
    <rPh sb="194" eb="197">
      <t>リカイド</t>
    </rPh>
    <rPh sb="197" eb="199">
      <t>コウジョウ</t>
    </rPh>
    <rPh sb="200" eb="201">
      <t>ハカ</t>
    </rPh>
    <rPh sb="207" eb="208">
      <t>コマ</t>
    </rPh>
    <rPh sb="210" eb="213">
      <t>ジュコウセイ</t>
    </rPh>
    <rPh sb="214" eb="216">
      <t>ヨウス</t>
    </rPh>
    <rPh sb="217" eb="219">
      <t>カンサツ</t>
    </rPh>
    <rPh sb="221" eb="224">
      <t>リカイド</t>
    </rPh>
    <rPh sb="225" eb="226">
      <t>オウ</t>
    </rPh>
    <rPh sb="228" eb="230">
      <t>コベツ</t>
    </rPh>
    <rPh sb="248" eb="253">
      <t>ジョウホウジッシュウシツ</t>
    </rPh>
    <rPh sb="254" eb="256">
      <t>リヨウ</t>
    </rPh>
    <rPh sb="259" eb="261">
      <t>タイセイ</t>
    </rPh>
    <rPh sb="262" eb="264">
      <t>セイビ</t>
    </rPh>
    <phoneticPr fontId="1"/>
  </si>
  <si>
    <t>教務委員会は学生の学修成果の向上と教育の質保証を念頭に置き、教育課程や授業計画、成績や履修など教育に関する事項を審議する場所であり、教務委員会の中に「数理・データサイエンス・AI教育ワーキンググループ」を設置した。
「数理・データサイエンス・AI教育ワーキンググループ」の運用事項
１．本学で実施する次の各号に掲げる事項について全学的に連絡調整を行い、本学における数理・データサイエンス・AI教育全般の推進及び質向上を図ることを目的とする。
(1) 数理・データサイエンス・AI教育プログラムの開発、管理及び運営に関すること。
(2) 数理・データサイエンス・AI教育プログラムの質向上に関すること。
２．本WGは、前項各号のほか次に掲げる業務を行う。
(1) 数理・データサイエンス・AI教育プログラム認定制度に関すること。
(2) 数理・データサイエンス・AI教育プログラムの自己点検・評価に関すること。
(3) その他数理・データサイエンス・AI教育に関すること。</t>
    <rPh sb="6" eb="8">
      <t>ガクセイ</t>
    </rPh>
    <rPh sb="9" eb="13">
      <t>ガクシュウセイカ</t>
    </rPh>
    <rPh sb="14" eb="16">
      <t>コウジョウ</t>
    </rPh>
    <rPh sb="17" eb="19">
      <t>キョウイク</t>
    </rPh>
    <rPh sb="20" eb="23">
      <t>シツホショウ</t>
    </rPh>
    <rPh sb="24" eb="26">
      <t>ネントウ</t>
    </rPh>
    <rPh sb="27" eb="28">
      <t>オ</t>
    </rPh>
    <rPh sb="35" eb="39">
      <t>ジュギョウケイカク</t>
    </rPh>
    <rPh sb="40" eb="42">
      <t>セイセキ</t>
    </rPh>
    <rPh sb="43" eb="45">
      <t>リシュウ</t>
    </rPh>
    <rPh sb="72" eb="73">
      <t>ナカ</t>
    </rPh>
    <rPh sb="102" eb="104">
      <t>セッチ</t>
    </rPh>
    <rPh sb="139" eb="141">
      <t>ジコウ</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</si>
  <si>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</si>
  <si>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本教育プログラム申請科目の全てが必修科目であり、学科・専攻に関係なく、全員が履修する体制となっている。入学後のガイダンスにて本プログラムの内容と意義を周知し、本学のWebサイトにプログラム専用ページを掲載して、学生だけでなく学外関係者にも本教育プログラムの重要性を周知する環境を整備していく。</t>
    <rPh sb="136" eb="138">
      <t>カンキョウ</t>
    </rPh>
    <rPh sb="139" eb="141">
      <t>セイビ</t>
    </rPh>
    <phoneticPr fontId="1"/>
  </si>
  <si>
    <r>
      <t>教務委員会に設置されたワーキンググループにおいて、本教育プログラムの履修・修得状況の分析を実施する。令和4年度から「情報リテラシー」科目を必修科目とし、「総合学習」科目に「滋賀大学DS-MOOC講座パッケージ」を取り入れ、「地域課題研究」科目には、「地域のデータ分析」課題を課した。
本教育プログラムの申請科目はすべて1年次生の必修科目となり、1年次終了時点で、本教育プログラムを修得することとなる。
令和4年度の学科入学者数 109名 に対し、修了者数は 100名であり、休学者、退学者を除くと修得率100％となる予定である。</t>
    </r>
    <r>
      <rPr>
        <sz val="12"/>
        <rFont val="ＭＳ ゴシック"/>
        <family val="3"/>
        <charset val="128"/>
      </rPr>
      <t xml:space="preserve">
</t>
    </r>
    <phoneticPr fontId="1"/>
  </si>
  <si>
    <r>
      <t xml:space="preserve">学科（2専攻）において実施されている申請科目の学修成果について、学生による授業評価における理解度、満足度等の結果をもとに、年度ごとで差異があるかどうか、他の授業科目の理解度（数値化された平均値）との比較を含めて、評価結果を検討している。2専攻すべての受講生に同じレベルの習熟度の達成を目標としており、これを実現するため科目担当者間での検討結果の報告を受け改善への方向を把握する。
</t>
    </r>
    <r>
      <rPr>
        <sz val="12"/>
        <rFont val="ＭＳ ゴシック"/>
        <family val="3"/>
        <charset val="128"/>
      </rPr>
      <t xml:space="preserve">●令和４年度 対象科目の学生による授業評価
　※4段階評価（4.そう思う　3.まあそう思う　2.あまりそう思わない　1.全然そう思わない）
【興味関心】あなたは、授業の内容に興味や関心を持ちましたか
　講義科目平均：3.19　総合学習：2.71　地域課題研究：2.92　情報リテラシー：3.18
【学習意欲】あなたは、予習・復習、課題提出などに、この授業に意欲的に取り組みましたか。
　講義科目平均：3.05　総合学習：2.89　地域課題研究：2.95　情報リテラシー：3.22
【教材効果】教科書、板書、配布資料、視聴覚教材、課題などは効果的でしたか。
　講義科目平均：3.43　総合学習：3.05　地域課題研究：3.41　情報リテラシー：3.44
【満足度】全体としてこの授業に満足していますか。
　講義科目平均：3.35　総合学習：2.77　地域課題研究：3.31　情報リテラシー：3.36
</t>
    </r>
    <rPh sb="4" eb="6">
      <t>センコウ</t>
    </rPh>
    <rPh sb="49" eb="52">
      <t>マンゾクド</t>
    </rPh>
    <rPh sb="262" eb="266">
      <t>キョウミカンシン</t>
    </rPh>
    <rPh sb="292" eb="294">
      <t>コウギ</t>
    </rPh>
    <rPh sb="340" eb="344">
      <t>ガクシュウイヨク</t>
    </rPh>
    <rPh sb="384" eb="386">
      <t>コウギ</t>
    </rPh>
    <rPh sb="432" eb="436">
      <t>キョウザイコウカ</t>
    </rPh>
    <rPh sb="470" eb="472">
      <t>コウギ</t>
    </rPh>
    <rPh sb="518" eb="521">
      <t>マンゾクド</t>
    </rPh>
    <rPh sb="543" eb="545">
      <t>コウギ</t>
    </rPh>
    <phoneticPr fontId="1"/>
  </si>
  <si>
    <r>
      <t xml:space="preserve">学生による授業評価アンケートは、全科目、全学生を対象に実施している。学生による授業評価の結果は、個別の科目の結果のみでなく、全体の科目の平均値などの統計データを教務委員会で整理し、毎学期、学内で公開されるので、学生による授業評価の「理解度」の項目を中心に学生の状況を把握している。
受講生の自由記述項目である「良かった点」「改善してほしい点」については、「記述に当たり授業改善に結びつく建設的な意見を記入する」よう指示をし、具体的な改善点を把握し、理解度の向上につなげていく。
令和4年度の「総合学習」で新たに採用した「滋賀大学DS-MOOC講座パッケージ」は、短大学生にとっては難しい内容で、理解度は全体の科目の平均値を大きく下回った。一方、自由記述に「普段自分では学べないことを学べてよかった」という意見もあった。今後は、補足説明等で理解を深める必要がある。
</t>
    </r>
    <r>
      <rPr>
        <sz val="12"/>
        <rFont val="ＭＳ ゴシック"/>
        <family val="3"/>
        <charset val="128"/>
      </rPr>
      <t xml:space="preserve">●令和４年度 対象科目の学生による授業評価
　※4段階評価（4.そう思う　3.まあそう思う　2.あまりそう思わない　1.全然そう思わない）
【理解度】あなたは、授業の内容を理解できましたか。
　講義科目平均：3.16　総合学習：2.80　地域課題研究：3.20　情報リテラシー：3.19
</t>
    </r>
    <rPh sb="0" eb="2">
      <t>ガクセイ</t>
    </rPh>
    <rPh sb="5" eb="9">
      <t>ジュギョウヒョウカ</t>
    </rPh>
    <rPh sb="16" eb="19">
      <t>ゼンカモク</t>
    </rPh>
    <rPh sb="20" eb="23">
      <t>ゼンガクセイ</t>
    </rPh>
    <rPh sb="24" eb="26">
      <t>タイショウ</t>
    </rPh>
    <rPh sb="27" eb="29">
      <t>ジッシ</t>
    </rPh>
    <rPh sb="80" eb="85">
      <t>キョウムイインカイ</t>
    </rPh>
    <rPh sb="130" eb="132">
      <t>ジョウキョウ</t>
    </rPh>
    <rPh sb="212" eb="215">
      <t>グタイテキ</t>
    </rPh>
    <rPh sb="216" eb="219">
      <t>カイゼンテン</t>
    </rPh>
    <rPh sb="220" eb="222">
      <t>ハアク</t>
    </rPh>
    <rPh sb="224" eb="227">
      <t>リカイド</t>
    </rPh>
    <rPh sb="228" eb="230">
      <t>コウジョウ</t>
    </rPh>
    <rPh sb="239" eb="241">
      <t>レイワ</t>
    </rPh>
    <rPh sb="242" eb="243">
      <t>ネン</t>
    </rPh>
    <rPh sb="243" eb="244">
      <t>ド</t>
    </rPh>
    <rPh sb="252" eb="253">
      <t>アラ</t>
    </rPh>
    <rPh sb="255" eb="257">
      <t>サイヨウ</t>
    </rPh>
    <rPh sb="271" eb="273">
      <t>コウザ</t>
    </rPh>
    <rPh sb="290" eb="291">
      <t>ムズカ</t>
    </rPh>
    <rPh sb="293" eb="295">
      <t>ナイヨウ</t>
    </rPh>
    <rPh sb="297" eb="300">
      <t>リカイド</t>
    </rPh>
    <rPh sb="311" eb="312">
      <t>オオ</t>
    </rPh>
    <rPh sb="314" eb="316">
      <t>シタマワ</t>
    </rPh>
    <rPh sb="359" eb="361">
      <t>コンゴ</t>
    </rPh>
    <rPh sb="363" eb="368">
      <t>ホソクセツメイトウ</t>
    </rPh>
    <rPh sb="369" eb="371">
      <t>リカイ</t>
    </rPh>
    <rPh sb="372" eb="373">
      <t>フカ</t>
    </rPh>
    <rPh sb="375" eb="377">
      <t>ヒツヨウ</t>
    </rPh>
    <rPh sb="454" eb="457">
      <t>リカイド</t>
    </rPh>
    <rPh sb="480" eb="482">
      <t>コウギ</t>
    </rPh>
    <phoneticPr fontId="1"/>
  </si>
  <si>
    <t>学生による授業評価アンケート結果は学内に公開（自由記述含む）し、学生全員が閲覧可能である。本プログラムの意味・学修の意義については、新入生オリエンテーションや専用Webサイトにて周知している。</t>
    <rPh sb="23" eb="27">
      <t>ジユウキジュツ</t>
    </rPh>
    <rPh sb="27" eb="28">
      <t>フク</t>
    </rPh>
    <rPh sb="34" eb="36">
      <t>ゼンイン</t>
    </rPh>
    <rPh sb="45" eb="46">
      <t>ホン</t>
    </rPh>
    <rPh sb="52" eb="54">
      <t>イミ</t>
    </rPh>
    <rPh sb="55" eb="57">
      <t>ガクシュウ</t>
    </rPh>
    <rPh sb="58" eb="60">
      <t>イギ</t>
    </rPh>
    <rPh sb="66" eb="69">
      <t>シンニュウセイ</t>
    </rPh>
    <rPh sb="79" eb="81">
      <t>センヨウ</t>
    </rPh>
    <rPh sb="89" eb="91">
      <t>シュウチ</t>
    </rPh>
    <phoneticPr fontId="1"/>
  </si>
  <si>
    <t>学生の修了状況や、課題の解答状況、授業評価アンケートの結果の分析を行い、「分かりやすさ」の観点から教材や授業実施方法の改善策を検討していく。また、教務委員会で、教員相互授業参観の実施や各年度に「学修成果と教育の質向上のための取り組みの報告」を行い、授業の水準の維持・向上を図る。</t>
    <rPh sb="80" eb="82">
      <t>キョウイン</t>
    </rPh>
    <rPh sb="82" eb="88">
      <t>ソウゴジュギョウサンカン</t>
    </rPh>
    <rPh sb="89" eb="91">
      <t>ジッシ</t>
    </rPh>
    <rPh sb="92" eb="95">
      <t>カクネンド</t>
    </rPh>
    <rPh sb="97" eb="101">
      <t>ガクシュウセイカ</t>
    </rPh>
    <rPh sb="102" eb="104">
      <t>キョウイク</t>
    </rPh>
    <rPh sb="105" eb="108">
      <t>シツコウジョウ</t>
    </rPh>
    <rPh sb="112" eb="113">
      <t>ト</t>
    </rPh>
    <rPh sb="114" eb="115">
      <t>ク</t>
    </rPh>
    <rPh sb="117" eb="119">
      <t>ホウコク</t>
    </rPh>
    <rPh sb="121" eb="122">
      <t>オコナ</t>
    </rPh>
    <phoneticPr fontId="1"/>
  </si>
  <si>
    <t>2-1. データを読む［基礎］
『総合学習』第７回 「数理・データサイエンス(ＤＳ)・ＡＩ（３）」
大学生のためのデータサイエンス(Ⅰ)　Week2：データ分析の基礎
　　ヒストグラム、箱ひげ図、平均・分散・標準偏差、散布図、相関関係、回帰直線、
　　データ分析で注意すべき点（母集団・標本抽出）、主成分分析、クラスター分析、誤差</t>
    <rPh sb="12" eb="14">
      <t>キソ</t>
    </rPh>
    <rPh sb="139" eb="142">
      <t>ボシュウダン</t>
    </rPh>
    <rPh sb="143" eb="145">
      <t>ヒョウホン</t>
    </rPh>
    <rPh sb="145" eb="147">
      <t>チュウシュツ</t>
    </rPh>
    <rPh sb="163" eb="165">
      <t>ゴサ</t>
    </rPh>
    <phoneticPr fontId="1"/>
  </si>
  <si>
    <t>1-6. データ・AI利活用の最新動向［導入］
『総合学習』第６回 「数理・データサイエンス(ＤＳ)・ＡＩ（１）」
大学生のためのデータサイエンス(Ⅰ)　Week1：現代社会におけるデータサイエンス
　　ＤＳと画像処理技術、ＤＳと音声処理技術、AI最新技術の活用例</t>
    <phoneticPr fontId="1"/>
  </si>
  <si>
    <t>1-1. 社会で起きている変化［導入］
『総合学習』第６回 「数理・データサイエンス(ＤＳ)・ＡＩ（１）」
大学生のためのデータサイエンス(Ⅰ)　Week1：現代社会におけるデータサイエンス
　　ＤＳとＡＩの役割（AIサービス、Society5.0）、データの取得・管理（ビッグデータとデータベース）</t>
    <rPh sb="16" eb="18">
      <t>ドウニュウ</t>
    </rPh>
    <rPh sb="21" eb="25">
      <t>ソウゴウガクシュウ</t>
    </rPh>
    <rPh sb="26" eb="27">
      <t>ダイ</t>
    </rPh>
    <rPh sb="28" eb="29">
      <t>カイ</t>
    </rPh>
    <rPh sb="54" eb="57">
      <t>ダイガクセイ</t>
    </rPh>
    <phoneticPr fontId="1"/>
  </si>
  <si>
    <t>1-2. 社会で活用されているデータ［導入］
『総合学習』第６回 「数理・データサイエンス(ＤＳ)・ＡＩ（１）」
大学生のためのデータサイエンス(Ⅰ)　Week1：現代社会におけるデータサイエンス
　　データの取得・管理（調査データ、実験データ、１次データ、２次データ、オープンデータ）
　　データベース（構造化データ）、画像・音声（非構造化データ）</t>
    <rPh sb="19" eb="21">
      <t>ドウニュウ</t>
    </rPh>
    <rPh sb="111" eb="113">
      <t>チョウサ</t>
    </rPh>
    <rPh sb="117" eb="119">
      <t>ジッケン</t>
    </rPh>
    <phoneticPr fontId="1"/>
  </si>
  <si>
    <t>3-2. データを守る上での留意事項［心得］
『情報リテラシー』第１回、第２回、第３回
　・情報倫理（情報モラル、データ・AI利活用留意事項）を理解
　・ユーザアカウント配布、パスワードの管理
　・個人情報の取り扱い、情報セキュリティ（CIA、情報漏洩）</t>
    <rPh sb="32" eb="33">
      <t>ダイ</t>
    </rPh>
    <rPh sb="34" eb="35">
      <t>カイ</t>
    </rPh>
    <rPh sb="36" eb="37">
      <t>ダイ</t>
    </rPh>
    <rPh sb="38" eb="39">
      <t>カイ</t>
    </rPh>
    <rPh sb="40" eb="41">
      <t>ダイ</t>
    </rPh>
    <rPh sb="42" eb="43">
      <t>カイ</t>
    </rPh>
    <rPh sb="94" eb="96">
      <t>カンリ</t>
    </rPh>
    <rPh sb="99" eb="103">
      <t>コジンジョウホウ</t>
    </rPh>
    <rPh sb="104" eb="105">
      <t>ト</t>
    </rPh>
    <rPh sb="106" eb="107">
      <t>アツカ</t>
    </rPh>
    <rPh sb="109" eb="111">
      <t>ジョウホウ</t>
    </rPh>
    <rPh sb="122" eb="126">
      <t>ジョウホウロウエイ</t>
    </rPh>
    <phoneticPr fontId="1"/>
  </si>
  <si>
    <t>1-5. データ・AI利活用の現場［導入］
『総合学習』第８回 「数理・データサイエンス(ＤＳ)・ＡＩ（３）」
大学生のためのデータサイエンス(Ⅰ)　Week4：データサイエンスの応用事例
　　データ・AI利活用の現場、保険、金融、品質管理におけるデータ・AI利活用事例</t>
    <rPh sb="18" eb="20">
      <t>ドウニュウ</t>
    </rPh>
    <phoneticPr fontId="1"/>
  </si>
  <si>
    <t>令和4年度より、「情報リテラシー」科目を基礎教育科目の選択科目から必修科目とした。
本教育プログラム・リテラシーレベルの申請科目（総合学習、地域課題研究、情報リテラシー）はすべて１年次の必修科目であるため、学生は１年次終了時点で本プログラム(リテラシーレベル)を修了することになる。
滋賀大学と株式会社NTTドコモ関連会社ドコモgaccoにより作成された「滋賀大学DS-MOOC講座パッケージ」を滋賀大学と契約し、学生の学習進捗状況を管理・閲覧しフォローアップできる体制を整備し、オンデマンドによる授業外学習を併用する。
「総合学習」科目では「大学生のためのデータサイエンス（１）」のWeek1,2,4を動画視聴しレポートおよび確認テストを課す。Week3(PCを用いたデータ分析)は「情報リテラシー」科目のExcel活用術で学修する。「地域課題研究」では「統計学１データ分析の基礎」動画の一部を利用する。
令和5年度の定員充足率が47%であったことから、改善を目指して収容定員の見直しを進めている。令和6年度より入学定員を栄養士専攻150→120名、製菓専攻40→30名とするよう申請中である。これにより定員充足率の向上とともに履修率の上昇が期待される。</t>
    <rPh sb="0" eb="2">
      <t>レイワ</t>
    </rPh>
    <rPh sb="3" eb="5">
      <t>ネンド</t>
    </rPh>
    <rPh sb="9" eb="11">
      <t>ジョウホウ</t>
    </rPh>
    <rPh sb="17" eb="19">
      <t>カモク</t>
    </rPh>
    <rPh sb="20" eb="26">
      <t>キソキョウイクカモク</t>
    </rPh>
    <rPh sb="27" eb="29">
      <t>センタク</t>
    </rPh>
    <rPh sb="29" eb="31">
      <t>カモク</t>
    </rPh>
    <rPh sb="33" eb="35">
      <t>ヒッシュウ</t>
    </rPh>
    <rPh sb="35" eb="37">
      <t>カモク</t>
    </rPh>
    <rPh sb="65" eb="69">
      <t>ソウゴウガクシュウ</t>
    </rPh>
    <rPh sb="70" eb="74">
      <t>チイキカダイ</t>
    </rPh>
    <rPh sb="74" eb="76">
      <t>ケンキュウ</t>
    </rPh>
    <rPh sb="77" eb="79">
      <t>ジョウホウ</t>
    </rPh>
    <rPh sb="90" eb="92">
      <t>ネンジ</t>
    </rPh>
    <rPh sb="107" eb="109">
      <t>ネンジ</t>
    </rPh>
    <rPh sb="109" eb="111">
      <t>シュウリョウ</t>
    </rPh>
    <rPh sb="111" eb="113">
      <t>ジテン</t>
    </rPh>
    <rPh sb="114" eb="115">
      <t>ホン</t>
    </rPh>
    <rPh sb="131" eb="133">
      <t>シュウリョウ</t>
    </rPh>
    <rPh sb="189" eb="191">
      <t>コウザ</t>
    </rPh>
    <rPh sb="198" eb="202">
      <t>シガダイガク</t>
    </rPh>
    <rPh sb="203" eb="205">
      <t>ケイヤク</t>
    </rPh>
    <rPh sb="207" eb="209">
      <t>ガクセイ</t>
    </rPh>
    <rPh sb="217" eb="219">
      <t>カンリ</t>
    </rPh>
    <rPh sb="220" eb="222">
      <t>エツラン</t>
    </rPh>
    <rPh sb="233" eb="235">
      <t>タイセイ</t>
    </rPh>
    <rPh sb="236" eb="238">
      <t>セイビ</t>
    </rPh>
    <rPh sb="249" eb="254">
      <t>ジュギョウガイガクシュウ</t>
    </rPh>
    <rPh sb="255" eb="257">
      <t>ヘイヨウ</t>
    </rPh>
    <rPh sb="262" eb="266">
      <t>ソウゴウガクシュウ</t>
    </rPh>
    <rPh sb="267" eb="269">
      <t>カモク</t>
    </rPh>
    <rPh sb="379" eb="382">
      <t>トウケイガク</t>
    </rPh>
    <rPh sb="386" eb="388">
      <t>ブンセキ</t>
    </rPh>
    <rPh sb="389" eb="391">
      <t>キソ</t>
    </rPh>
    <rPh sb="392" eb="394">
      <t>ドウガ</t>
    </rPh>
    <rPh sb="395" eb="397">
      <t>イチブ</t>
    </rPh>
    <rPh sb="398" eb="400">
      <t>リヨウ</t>
    </rPh>
    <rPh sb="404" eb="406">
      <t>レイワ</t>
    </rPh>
    <rPh sb="407" eb="408">
      <t>ネン</t>
    </rPh>
    <rPh sb="408" eb="409">
      <t>ド</t>
    </rPh>
    <rPh sb="410" eb="415">
      <t>テイインジュウソクリツ</t>
    </rPh>
    <rPh sb="428" eb="430">
      <t>カイゼン</t>
    </rPh>
    <rPh sb="431" eb="433">
      <t>メザ</t>
    </rPh>
    <rPh sb="440" eb="442">
      <t>ミナオ</t>
    </rPh>
    <rPh sb="444" eb="445">
      <t>スス</t>
    </rPh>
    <rPh sb="450" eb="452">
      <t>レイワ</t>
    </rPh>
    <rPh sb="453" eb="455">
      <t>ネンド</t>
    </rPh>
    <rPh sb="457" eb="461">
      <t>ニュウガクテイイン</t>
    </rPh>
    <rPh sb="462" eb="467">
      <t>エイヨウシセンコウ</t>
    </rPh>
    <rPh sb="474" eb="475">
      <t>メイ</t>
    </rPh>
    <rPh sb="476" eb="480">
      <t>セイカセンコウ</t>
    </rPh>
    <rPh sb="485" eb="486">
      <t>メイ</t>
    </rPh>
    <rPh sb="491" eb="493">
      <t>シンセイ</t>
    </rPh>
    <rPh sb="493" eb="494">
      <t>チュウ</t>
    </rPh>
    <rPh sb="503" eb="508">
      <t>テイインジュウソクリツ</t>
    </rPh>
    <rPh sb="509" eb="511">
      <t>コウジョウ</t>
    </rPh>
    <rPh sb="515" eb="518">
      <t>リシュウリツ</t>
    </rPh>
    <rPh sb="519" eb="521">
      <t>ジョウショウ</t>
    </rPh>
    <rPh sb="522" eb="524">
      <t>キタイ</t>
    </rPh>
    <phoneticPr fontId="1"/>
  </si>
  <si>
    <t>1-4. データ・AI利活用のための技術［導入］
『総合学習』第６回 「数理・データサイエンス(ＤＳ)・ＡＩ（１）」
大学生のためのデータサイエンス(Ⅰ)　Week1：現代社会におけるデータサイエンス
　　データ解析、データ可視化
　　ＤＳとＡＩの役割、AIの光と影、AIにおける文化・価値観、人間中心のAI
　　画像解析・音声認識（非構造化データ）</t>
    <rPh sb="130" eb="131">
      <t>ヒカリ</t>
    </rPh>
    <rPh sb="132" eb="133">
      <t>カゲ</t>
    </rPh>
    <rPh sb="147" eb="151">
      <t>ニンゲンチュウシン</t>
    </rPh>
    <rPh sb="159" eb="161">
      <t>カイセキ</t>
    </rPh>
    <rPh sb="164" eb="166">
      <t>ニンシキ</t>
    </rPh>
    <phoneticPr fontId="1"/>
  </si>
  <si>
    <t>1-3. データ・AIの活用領域［導入］
『総合学習』第８回 「数理・データサイエンス(ＤＳ)・ＡＩ（３）」
大学生のためのデータサイエンス(Ⅰ)　Week4：データサイエンスの応用事例
　　DSとAIの活用領域の広がり、マーケティングリサーチ、
　　研究開発（染色体上で遺伝子を探す、疾患関連遺伝子を探す）</t>
    <rPh sb="17" eb="19">
      <t>ドウニュウ</t>
    </rPh>
    <rPh sb="27" eb="28">
      <t>ダイ</t>
    </rPh>
    <rPh sb="29" eb="30">
      <t>カイ</t>
    </rPh>
    <rPh sb="102" eb="106">
      <t>カツヨウリョウイキ</t>
    </rPh>
    <phoneticPr fontId="1"/>
  </si>
  <si>
    <t>2-2. データを説明する［基礎］
『地域課題研究』第５回、第６回 「データから地域の特徴・課題を読み取る」
　・統計学の基礎、データ表現（データの要約・比較・分析）
　・データの図表表現（グラフ化、可視化）
　・地域のオープンデータを分析し、地域の特徴や課題を考察し、まとめる</t>
    <rPh sb="26" eb="27">
      <t>ダイ</t>
    </rPh>
    <rPh sb="28" eb="29">
      <t>カイ</t>
    </rPh>
    <rPh sb="30" eb="31">
      <t>ダイ</t>
    </rPh>
    <rPh sb="32" eb="33">
      <t>カイ</t>
    </rPh>
    <rPh sb="40" eb="42">
      <t>チイキ</t>
    </rPh>
    <rPh sb="43" eb="45">
      <t>トクチョウ</t>
    </rPh>
    <rPh sb="46" eb="48">
      <t>カダイ</t>
    </rPh>
    <rPh sb="49" eb="50">
      <t>ヨ</t>
    </rPh>
    <rPh sb="51" eb="52">
      <t>ト</t>
    </rPh>
    <rPh sb="67" eb="69">
      <t>ヒョウゲン</t>
    </rPh>
    <rPh sb="74" eb="76">
      <t>ヨウヤク</t>
    </rPh>
    <rPh sb="77" eb="79">
      <t>ヒカク</t>
    </rPh>
    <rPh sb="80" eb="82">
      <t>ブンセキ</t>
    </rPh>
    <rPh sb="90" eb="92">
      <t>ズヒョウ</t>
    </rPh>
    <rPh sb="92" eb="94">
      <t>ヒョウゲン</t>
    </rPh>
    <rPh sb="98" eb="99">
      <t>カ</t>
    </rPh>
    <rPh sb="100" eb="103">
      <t>カシカ</t>
    </rPh>
    <rPh sb="107" eb="109">
      <t>チイキ</t>
    </rPh>
    <rPh sb="118" eb="120">
      <t>ブンセキ</t>
    </rPh>
    <rPh sb="122" eb="124">
      <t>チイキ</t>
    </rPh>
    <rPh sb="125" eb="127">
      <t>トクチョウ</t>
    </rPh>
    <rPh sb="128" eb="130">
      <t>カダイ</t>
    </rPh>
    <rPh sb="131" eb="133">
      <t>コウサツ</t>
    </rPh>
    <phoneticPr fontId="1"/>
  </si>
  <si>
    <t>2-3. データを扱う［基礎］
『情報リテラシー』第７回、第８回、第９回 「Excel活用術」、第10回、第11回 「総合演習」
　・Excel基本操作（スプレッドシートの取り扱い）、データ集計（数式入力、集計、グラフ化）
　・関数（合計、平均、データベース、ランキング、判定）
　・アンケート調査結果を用いたデータ集計、データ解析、分析結果に基づくポスター作成</t>
    <rPh sb="25" eb="26">
      <t>ダイ</t>
    </rPh>
    <rPh sb="27" eb="28">
      <t>カイ</t>
    </rPh>
    <rPh sb="29" eb="30">
      <t>ダイ</t>
    </rPh>
    <rPh sb="31" eb="32">
      <t>カイ</t>
    </rPh>
    <rPh sb="33" eb="34">
      <t>ダイ</t>
    </rPh>
    <rPh sb="35" eb="36">
      <t>カイ</t>
    </rPh>
    <rPh sb="43" eb="46">
      <t>カツヨウジュツ</t>
    </rPh>
    <rPh sb="48" eb="49">
      <t>ダイ</t>
    </rPh>
    <rPh sb="51" eb="52">
      <t>カイ</t>
    </rPh>
    <rPh sb="53" eb="54">
      <t>ダイ</t>
    </rPh>
    <rPh sb="56" eb="57">
      <t>カイ</t>
    </rPh>
    <rPh sb="59" eb="63">
      <t>ソウゴウエンシュウ</t>
    </rPh>
    <rPh sb="72" eb="76">
      <t>キホンソウサ</t>
    </rPh>
    <rPh sb="86" eb="87">
      <t>ト</t>
    </rPh>
    <rPh sb="88" eb="89">
      <t>アツカ</t>
    </rPh>
    <rPh sb="95" eb="97">
      <t>シュウケイ</t>
    </rPh>
    <rPh sb="98" eb="102">
      <t>スウシキニュウリョク</t>
    </rPh>
    <rPh sb="103" eb="105">
      <t>シュウケイ</t>
    </rPh>
    <rPh sb="109" eb="110">
      <t>カ</t>
    </rPh>
    <rPh sb="114" eb="116">
      <t>カンスウ</t>
    </rPh>
    <rPh sb="117" eb="119">
      <t>ゴウケイ</t>
    </rPh>
    <rPh sb="120" eb="122">
      <t>ヘイキン</t>
    </rPh>
    <rPh sb="136" eb="138">
      <t>ハンテイ</t>
    </rPh>
    <rPh sb="158" eb="160">
      <t>シュウケイ</t>
    </rPh>
    <rPh sb="164" eb="166">
      <t>カイセキ</t>
    </rPh>
    <rPh sb="167" eb="169">
      <t>ブンセキ</t>
    </rPh>
    <rPh sb="169" eb="171">
      <t>ケッカ</t>
    </rPh>
    <rPh sb="172" eb="173">
      <t>モト</t>
    </rPh>
    <rPh sb="179" eb="181">
      <t>サクセイ</t>
    </rPh>
    <phoneticPr fontId="1"/>
  </si>
  <si>
    <t>3-1. データ・AIを扱う上での留意事項［心得］
『総合学習』第６回 「数理・データサイエンス(ＤＳ)・ＡＩ（１）」
大学生のためのデータサイエンス(Ⅰ)　Week1：現代社会におけるデータサイエンス
　　DSと情報倫理、ELSI、個人情報保護、データの取得・管理、データ倫理
　　AIにおける文化・価値観、人間中心のAI、生成系AIの利用に関する注意事項</t>
    <rPh sb="22" eb="24">
      <t>ココロエ</t>
    </rPh>
    <rPh sb="107" eb="111">
      <t>ジョウホウリンリ</t>
    </rPh>
    <rPh sb="136" eb="138">
      <t>リンリ</t>
    </rPh>
    <phoneticPr fontId="1"/>
  </si>
  <si>
    <t>本学では本教育プログラムの申請科目は、すべて必修である。実際の履修者数・履修率の推移を本教育プログラムワーキンググループにて確認していく。
本学の定員充足率は、47％（R5.5.1現在）であり、様式２にある収容定員380名に対する履修率を上げるためには、定員充足率の改善が必要である。
令和６年度から、入学定員を減ずる予定である（栄養士専攻（150→120名）、製菓専攻（40→30名）申請中）。</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</si>
</sst>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
      <sz val="7"/>
      <name val="ＭＳ Ｐゴシック"/>
      <family val="3"/>
      <charset val="128"/>
      <scheme val="minor"/>
    </font>
    <font>
      <sz val="8"/>
      <name val="ＭＳ Ｐゴシック"/>
      <family val="3"/>
      <charset val="128"/>
      <scheme val="minor"/>
    </font>
    <font>
      <sz val="6"/>
      <name val="ＭＳ Ｐゴシック"/>
      <family val="3"/>
      <charset val="128"/>
      <scheme val="minor"/>
    </font>
    <font>
      <sz val="12"/>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58">
    <xf numFmtId="0" fontId="0" fillId="0" borderId="0" xfId="0">
      <alignmen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0" xfId="0" applyFont="1">
      <alignment vertical="center"/>
    </xf>
    <xf numFmtId="0" fontId="4" fillId="0" borderId="0" xfId="0" applyFont="1">
      <alignment vertical="center"/>
    </xf>
    <xf numFmtId="0" fontId="3" fillId="0" borderId="0" xfId="0" applyFont="1" applyAlignment="1">
      <alignment horizontal="right" vertical="center"/>
    </xf>
    <xf numFmtId="0" fontId="3" fillId="0" borderId="0" xfId="0" applyFont="1" applyAlignment="1">
      <alignment vertical="center" shrinkToFit="1"/>
    </xf>
    <xf numFmtId="0" fontId="3" fillId="0" borderId="0" xfId="0" applyFont="1" applyAlignment="1">
      <alignment horizontal="left" vertical="center" shrinkToFit="1"/>
    </xf>
    <xf numFmtId="0" fontId="3" fillId="0" borderId="0" xfId="0" applyFont="1" applyAlignment="1">
      <alignment horizontal="center" vertical="center"/>
    </xf>
    <xf numFmtId="0" fontId="3" fillId="0" borderId="10" xfId="0" applyFont="1" applyBorder="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3" fillId="0" borderId="5" xfId="0" applyFont="1" applyBorder="1">
      <alignment vertical="center"/>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3" fillId="0" borderId="14"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13" xfId="0" applyFont="1" applyBorder="1" applyAlignment="1">
      <alignment horizontal="center" vertical="center" shrinkToFit="1"/>
    </xf>
    <xf numFmtId="0" fontId="3" fillId="0" borderId="40" xfId="0" applyFont="1" applyBorder="1" applyAlignment="1">
      <alignment horizontal="center" vertical="center" shrinkToFit="1"/>
    </xf>
    <xf numFmtId="0" fontId="3" fillId="0" borderId="0" xfId="0" applyFont="1" applyAlignment="1">
      <alignment vertical="top" wrapText="1"/>
    </xf>
    <xf numFmtId="0" fontId="3" fillId="0" borderId="60" xfId="0" applyFont="1" applyBorder="1" applyAlignment="1">
      <alignment horizontal="center" vertical="center" shrinkToFit="1"/>
    </xf>
    <xf numFmtId="0" fontId="3" fillId="0" borderId="0" xfId="0" applyFont="1" applyAlignment="1">
      <alignment horizontal="center" vertical="center" shrinkToFit="1"/>
    </xf>
    <xf numFmtId="49" fontId="6" fillId="0" borderId="48" xfId="0" applyNumberFormat="1" applyFont="1" applyBorder="1" applyAlignment="1">
      <alignment horizontal="center" vertical="center"/>
    </xf>
    <xf numFmtId="49" fontId="6" fillId="0" borderId="49" xfId="0" applyNumberFormat="1" applyFont="1" applyBorder="1" applyAlignment="1">
      <alignment horizontal="center" vertical="center"/>
    </xf>
    <xf numFmtId="49" fontId="6" fillId="0" borderId="44"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47" xfId="0" applyNumberFormat="1" applyFont="1" applyBorder="1" applyAlignment="1">
      <alignment horizontal="center" vertical="center"/>
    </xf>
    <xf numFmtId="49" fontId="6" fillId="0" borderId="32" xfId="0" applyNumberFormat="1" applyFont="1" applyBorder="1" applyAlignment="1">
      <alignment horizontal="center" vertical="center"/>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3" fillId="0" borderId="14" xfId="0" applyFont="1" applyBorder="1" applyAlignment="1">
      <alignment horizontal="left" vertical="center" shrinkToFit="1"/>
    </xf>
    <xf numFmtId="38" fontId="3" fillId="0" borderId="50" xfId="2" applyFont="1" applyBorder="1" applyAlignment="1">
      <alignment vertical="center" shrinkToFit="1"/>
    </xf>
    <xf numFmtId="38" fontId="3" fillId="0" borderId="0" xfId="2" applyFont="1" applyAlignment="1">
      <alignment vertical="center" shrinkToFit="1"/>
    </xf>
    <xf numFmtId="38" fontId="3" fillId="0" borderId="5" xfId="2" applyFont="1" applyBorder="1" applyAlignment="1">
      <alignment vertical="center" shrinkToFit="1"/>
    </xf>
    <xf numFmtId="38" fontId="3" fillId="0" borderId="54" xfId="2" applyFont="1" applyBorder="1" applyAlignment="1">
      <alignment vertical="center" shrinkToFit="1"/>
    </xf>
    <xf numFmtId="38" fontId="3" fillId="0" borderId="30" xfId="2" applyFont="1" applyBorder="1" applyAlignment="1">
      <alignment vertical="center" shrinkToFit="1"/>
    </xf>
    <xf numFmtId="9" fontId="3" fillId="0" borderId="1" xfId="0" applyNumberFormat="1" applyFont="1" applyBorder="1" applyAlignment="1">
      <alignment vertical="center" shrinkToFit="1"/>
    </xf>
    <xf numFmtId="0" fontId="3" fillId="0" borderId="23" xfId="0" applyFont="1" applyBorder="1" applyAlignment="1">
      <alignment horizontal="left" vertical="center" shrinkToFit="1"/>
    </xf>
    <xf numFmtId="38" fontId="3" fillId="0" borderId="23" xfId="2" applyFont="1" applyBorder="1" applyAlignment="1">
      <alignment vertical="center" shrinkToFit="1"/>
    </xf>
    <xf numFmtId="38" fontId="3" fillId="0" borderId="20" xfId="2" applyFont="1" applyBorder="1" applyAlignment="1">
      <alignment vertical="center" shrinkToFit="1"/>
    </xf>
    <xf numFmtId="38" fontId="3" fillId="0" borderId="19" xfId="2" applyFont="1" applyBorder="1" applyAlignment="1">
      <alignment vertical="center" shrinkToFit="1"/>
    </xf>
    <xf numFmtId="38" fontId="3" fillId="0" borderId="57" xfId="2" applyFont="1" applyBorder="1" applyAlignment="1">
      <alignment vertical="center" shrinkToFit="1"/>
    </xf>
    <xf numFmtId="38" fontId="3" fillId="0" borderId="55" xfId="2" applyFont="1" applyBorder="1" applyAlignment="1">
      <alignment vertical="center" shrinkToFit="1"/>
    </xf>
    <xf numFmtId="38" fontId="3" fillId="0" borderId="32" xfId="2" applyFont="1" applyBorder="1" applyAlignment="1">
      <alignment vertical="center" shrinkToFit="1"/>
    </xf>
    <xf numFmtId="9" fontId="3" fillId="0" borderId="60" xfId="0" applyNumberFormat="1" applyFont="1" applyBorder="1" applyAlignment="1">
      <alignment vertical="center" shrinkToFit="1"/>
    </xf>
    <xf numFmtId="9" fontId="3" fillId="0" borderId="23" xfId="0" applyNumberFormat="1" applyFont="1" applyBorder="1" applyAlignment="1">
      <alignment vertical="center" shrinkToFit="1"/>
    </xf>
    <xf numFmtId="38" fontId="3" fillId="0" borderId="18" xfId="2" applyFont="1" applyBorder="1" applyAlignment="1">
      <alignment vertical="center" shrinkToFit="1"/>
    </xf>
    <xf numFmtId="0" fontId="3" fillId="0" borderId="24" xfId="0" applyFont="1" applyBorder="1" applyAlignment="1">
      <alignment horizontal="left" vertical="center" shrinkToFit="1"/>
    </xf>
    <xf numFmtId="38" fontId="3" fillId="0" borderId="10" xfId="2" applyFont="1" applyBorder="1" applyAlignment="1">
      <alignment vertical="center" shrinkToFit="1"/>
    </xf>
    <xf numFmtId="38" fontId="3" fillId="0" borderId="56" xfId="2" applyFont="1" applyBorder="1" applyAlignment="1">
      <alignment vertical="center" shrinkToFit="1"/>
    </xf>
    <xf numFmtId="38" fontId="3" fillId="0" borderId="51" xfId="2" applyFont="1" applyBorder="1" applyAlignment="1">
      <alignment vertical="center" shrinkToFit="1"/>
    </xf>
    <xf numFmtId="9" fontId="3" fillId="0" borderId="10" xfId="0" applyNumberFormat="1" applyFont="1" applyBorder="1" applyAlignment="1">
      <alignment vertical="center" shrinkToFit="1"/>
    </xf>
    <xf numFmtId="0" fontId="3" fillId="0" borderId="28" xfId="0" applyFont="1" applyBorder="1" applyAlignment="1">
      <alignment horizontal="center" vertical="center" shrinkToFit="1"/>
    </xf>
    <xf numFmtId="38" fontId="3" fillId="0" borderId="28" xfId="2" applyFont="1" applyBorder="1" applyAlignment="1">
      <alignment vertical="center" shrinkToFit="1"/>
    </xf>
    <xf numFmtId="38" fontId="3" fillId="0" borderId="26" xfId="2" applyFont="1" applyBorder="1" applyAlignment="1">
      <alignment vertical="center" shrinkToFit="1"/>
    </xf>
    <xf numFmtId="38" fontId="3" fillId="0" borderId="25" xfId="2" applyFont="1" applyBorder="1" applyAlignment="1">
      <alignment vertical="center" shrinkToFit="1"/>
    </xf>
    <xf numFmtId="38" fontId="3" fillId="0" borderId="58" xfId="2" applyFont="1" applyBorder="1" applyAlignment="1">
      <alignment vertical="center" shrinkToFit="1"/>
    </xf>
    <xf numFmtId="38" fontId="3" fillId="0" borderId="33" xfId="2" applyFont="1" applyBorder="1" applyAlignment="1">
      <alignment vertical="center" shrinkToFit="1"/>
    </xf>
    <xf numFmtId="9" fontId="3" fillId="0" borderId="27" xfId="0" applyNumberFormat="1" applyFont="1" applyBorder="1" applyAlignment="1">
      <alignment vertical="center" shrinkToFit="1"/>
    </xf>
    <xf numFmtId="0" fontId="6" fillId="0" borderId="0" xfId="0" applyFont="1">
      <alignment vertical="center"/>
    </xf>
    <xf numFmtId="0" fontId="4" fillId="0" borderId="0" xfId="0" applyFont="1" applyAlignment="1">
      <alignment horizontal="left" vertical="center"/>
    </xf>
    <xf numFmtId="0" fontId="3" fillId="0" borderId="0" xfId="0" applyFont="1" applyAlignment="1">
      <alignment vertical="center" wrapText="1"/>
    </xf>
    <xf numFmtId="0" fontId="6" fillId="0" borderId="0" xfId="0" applyFont="1" applyAlignment="1">
      <alignment vertical="top" wrapText="1"/>
    </xf>
    <xf numFmtId="0" fontId="3" fillId="0" borderId="1" xfId="0" applyFont="1" applyBorder="1" applyAlignment="1">
      <alignment horizontal="center" vertical="center" wrapText="1" shrinkToFit="1"/>
    </xf>
    <xf numFmtId="9" fontId="3" fillId="0" borderId="1" xfId="0" applyNumberFormat="1" applyFont="1" applyBorder="1" applyAlignment="1">
      <alignment horizontal="center" vertical="center" shrinkToFit="1"/>
    </xf>
    <xf numFmtId="9" fontId="3" fillId="0" borderId="0" xfId="1" applyFont="1" applyAlignment="1">
      <alignment horizontal="center" vertical="center"/>
    </xf>
    <xf numFmtId="0" fontId="3" fillId="0" borderId="1" xfId="0"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5" fillId="0" borderId="0" xfId="0" applyFont="1" applyAlignment="1">
      <alignment horizontal="center" vertical="center"/>
    </xf>
    <xf numFmtId="0" fontId="3"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3" fillId="2" borderId="0" xfId="0" applyFont="1" applyFill="1">
      <alignment vertical="center"/>
    </xf>
    <xf numFmtId="0" fontId="6" fillId="2" borderId="5" xfId="0" applyFont="1" applyFill="1" applyBorder="1" applyAlignment="1">
      <alignment vertical="top" wrapText="1"/>
    </xf>
    <xf numFmtId="0" fontId="6" fillId="2" borderId="11" xfId="0" applyFont="1" applyFill="1" applyBorder="1" applyAlignment="1">
      <alignment vertical="top" wrapText="1"/>
    </xf>
    <xf numFmtId="0" fontId="6" fillId="2" borderId="42" xfId="0" applyFont="1" applyFill="1" applyBorder="1" applyAlignment="1">
      <alignment vertical="top" wrapText="1"/>
    </xf>
    <xf numFmtId="0" fontId="6" fillId="2" borderId="43" xfId="0" applyFont="1" applyFill="1" applyBorder="1" applyAlignment="1">
      <alignment vertical="top" wrapText="1"/>
    </xf>
    <xf numFmtId="0" fontId="6" fillId="2" borderId="42" xfId="0" applyFont="1" applyFill="1" applyBorder="1" applyAlignment="1">
      <alignment vertical="top" shrinkToFit="1"/>
    </xf>
    <xf numFmtId="0" fontId="6" fillId="2" borderId="43" xfId="0" applyFont="1" applyFill="1" applyBorder="1" applyAlignment="1">
      <alignment vertical="top" shrinkToFit="1"/>
    </xf>
    <xf numFmtId="0" fontId="3" fillId="0" borderId="34" xfId="0" applyFont="1" applyBorder="1" applyAlignment="1">
      <alignment vertical="center" shrinkToFit="1"/>
    </xf>
    <xf numFmtId="0" fontId="3" fillId="0" borderId="36" xfId="0" applyFont="1" applyBorder="1" applyAlignment="1">
      <alignment vertical="center" shrinkToFit="1"/>
    </xf>
    <xf numFmtId="0" fontId="3" fillId="0" borderId="35" xfId="0" applyFont="1" applyBorder="1" applyAlignment="1">
      <alignment vertical="center" shrinkToFit="1"/>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37" xfId="0" applyFont="1" applyBorder="1" applyAlignment="1">
      <alignment vertical="center" shrinkToFit="1"/>
    </xf>
    <xf numFmtId="0" fontId="3" fillId="0" borderId="38" xfId="0" applyFont="1" applyBorder="1" applyAlignment="1">
      <alignment vertical="center" shrinkToFit="1"/>
    </xf>
    <xf numFmtId="0" fontId="3" fillId="0" borderId="39" xfId="0" applyFont="1" applyBorder="1" applyAlignment="1">
      <alignment vertical="center" shrinkToFit="1"/>
    </xf>
    <xf numFmtId="0" fontId="3" fillId="0" borderId="0" xfId="0" applyFont="1" applyAlignment="1">
      <alignment vertical="center" wrapText="1"/>
    </xf>
    <xf numFmtId="0" fontId="6" fillId="0" borderId="45" xfId="0" applyFont="1" applyBorder="1" applyAlignment="1">
      <alignment vertical="center" wrapText="1"/>
    </xf>
    <xf numFmtId="0" fontId="6" fillId="0" borderId="31" xfId="0" applyFont="1" applyBorder="1" applyAlignment="1">
      <alignment vertical="center" wrapText="1"/>
    </xf>
    <xf numFmtId="0" fontId="6" fillId="0" borderId="46" xfId="0" applyFont="1" applyBorder="1" applyAlignment="1">
      <alignment vertical="center" wrapText="1"/>
    </xf>
    <xf numFmtId="0" fontId="3" fillId="0" borderId="36" xfId="0" applyFont="1" applyBorder="1" applyAlignment="1">
      <alignment vertical="center" wrapText="1" shrinkToFit="1"/>
    </xf>
    <xf numFmtId="0" fontId="3"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34" xfId="0" applyFont="1" applyBorder="1" applyAlignment="1">
      <alignment horizontal="center" vertical="center" shrinkToFit="1"/>
    </xf>
    <xf numFmtId="0" fontId="3" fillId="0" borderId="36" xfId="0" applyFont="1" applyBorder="1" applyAlignment="1">
      <alignment horizontal="center" vertical="center" shrinkToFit="1"/>
    </xf>
    <xf numFmtId="0" fontId="3" fillId="0" borderId="35" xfId="0" applyFont="1" applyBorder="1" applyAlignment="1">
      <alignment horizontal="center" vertical="center" shrinkToFit="1"/>
    </xf>
    <xf numFmtId="0" fontId="3" fillId="0" borderId="19" xfId="0" applyFont="1" applyBorder="1" applyAlignment="1">
      <alignment horizontal="center" vertical="center" shrinkToFit="1"/>
    </xf>
    <xf numFmtId="0" fontId="3" fillId="0" borderId="20"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3" fillId="0" borderId="37" xfId="0" applyFont="1" applyBorder="1" applyAlignment="1">
      <alignment horizontal="center" vertical="center" shrinkToFit="1"/>
    </xf>
    <xf numFmtId="0" fontId="3" fillId="0" borderId="38" xfId="0" applyFont="1" applyBorder="1" applyAlignment="1">
      <alignment horizontal="center" vertical="center" shrinkToFit="1"/>
    </xf>
    <xf numFmtId="0" fontId="3" fillId="0" borderId="39" xfId="0" applyFont="1" applyBorder="1" applyAlignment="1">
      <alignment horizontal="center" vertical="center" shrinkToFit="1"/>
    </xf>
    <xf numFmtId="0" fontId="3" fillId="0" borderId="22" xfId="0" applyFont="1" applyBorder="1" applyAlignment="1">
      <alignment horizontal="left" vertical="center" wrapText="1" shrinkToFit="1"/>
    </xf>
    <xf numFmtId="0" fontId="3" fillId="0" borderId="22" xfId="0" applyFont="1" applyBorder="1" applyAlignment="1">
      <alignment horizontal="left" vertical="center" shrinkToFit="1"/>
    </xf>
    <xf numFmtId="0" fontId="3" fillId="0" borderId="21" xfId="0" applyFont="1" applyBorder="1" applyAlignment="1">
      <alignment horizontal="left" vertical="center" shrinkToFit="1"/>
    </xf>
    <xf numFmtId="0" fontId="3" fillId="0" borderId="36" xfId="0" applyFont="1" applyBorder="1" applyAlignment="1">
      <alignment horizontal="left" vertical="center" wrapText="1" shrinkToFit="1"/>
    </xf>
    <xf numFmtId="0" fontId="3" fillId="0" borderId="36" xfId="0" applyFont="1" applyBorder="1" applyAlignment="1">
      <alignment horizontal="left" vertical="center" shrinkToFit="1"/>
    </xf>
    <xf numFmtId="0" fontId="3" fillId="0" borderId="35" xfId="0" applyFont="1" applyBorder="1" applyAlignment="1">
      <alignment horizontal="left" vertical="center" shrinkToFit="1"/>
    </xf>
    <xf numFmtId="0" fontId="3" fillId="0" borderId="38" xfId="0" applyFont="1" applyBorder="1" applyAlignment="1">
      <alignment horizontal="left" vertical="center" wrapText="1" shrinkToFit="1"/>
    </xf>
    <xf numFmtId="0" fontId="3" fillId="0" borderId="38" xfId="0" applyFont="1" applyBorder="1" applyAlignment="1">
      <alignment horizontal="left" vertical="center" shrinkToFit="1"/>
    </xf>
    <xf numFmtId="0" fontId="3" fillId="0" borderId="39" xfId="0" applyFont="1" applyBorder="1" applyAlignment="1">
      <alignment horizontal="left" vertical="center" shrinkToFit="1"/>
    </xf>
    <xf numFmtId="0" fontId="3" fillId="0" borderId="19" xfId="0" applyFont="1" applyBorder="1" applyAlignment="1">
      <alignment vertical="center" wrapText="1" shrinkToFit="1"/>
    </xf>
    <xf numFmtId="0" fontId="3" fillId="0" borderId="0" xfId="0" applyFont="1" applyAlignment="1">
      <alignment horizontal="right" vertical="center"/>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5" fillId="0" borderId="0" xfId="0" applyFont="1" applyAlignment="1">
      <alignment horizontal="center" vertical="center"/>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left" vertical="center" wrapText="1"/>
    </xf>
    <xf numFmtId="0" fontId="3" fillId="0" borderId="41" xfId="0" applyFont="1" applyBorder="1" applyAlignment="1">
      <alignment vertical="center" shrinkToFit="1"/>
    </xf>
    <xf numFmtId="0" fontId="3" fillId="0" borderId="42" xfId="0" applyFont="1" applyBorder="1" applyAlignment="1">
      <alignment vertical="center" shrinkToFit="1"/>
    </xf>
    <xf numFmtId="0" fontId="3" fillId="0" borderId="43" xfId="0" applyFont="1" applyBorder="1" applyAlignment="1">
      <alignment vertical="center" shrinkToFit="1"/>
    </xf>
    <xf numFmtId="0" fontId="3" fillId="0" borderId="14" xfId="0" applyFont="1" applyBorder="1" applyAlignment="1">
      <alignment horizontal="center" vertical="center"/>
    </xf>
    <xf numFmtId="0" fontId="4" fillId="0" borderId="16" xfId="0" applyFont="1" applyBorder="1" applyAlignment="1">
      <alignment horizontal="center" vertical="center"/>
    </xf>
    <xf numFmtId="0" fontId="4" fillId="0" borderId="22"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50" xfId="0" applyFont="1" applyBorder="1" applyAlignment="1">
      <alignment horizontal="center" vertical="center"/>
    </xf>
    <xf numFmtId="0" fontId="3"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0" xfId="0" applyFont="1">
      <alignment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2" borderId="5"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10" xfId="0" applyFont="1" applyFill="1" applyBorder="1" applyAlignment="1">
      <alignment horizontal="center" vertical="center" shrinkToFit="1"/>
    </xf>
    <xf numFmtId="0" fontId="3" fillId="0" borderId="2" xfId="0" applyFont="1" applyBorder="1" applyAlignment="1">
      <alignment horizontal="left" vertical="center"/>
    </xf>
    <xf numFmtId="0" fontId="4" fillId="0" borderId="3" xfId="0" applyFont="1" applyBorder="1">
      <alignment vertical="center"/>
    </xf>
    <xf numFmtId="0" fontId="4" fillId="0" borderId="4" xfId="0" applyFont="1" applyBorder="1">
      <alignmen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0" borderId="0" xfId="0" applyFont="1" applyAlignment="1">
      <alignment horizontal="center" vertical="center"/>
    </xf>
    <xf numFmtId="9" fontId="3" fillId="0" borderId="1" xfId="0" applyNumberFormat="1"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9" xfId="0" applyFont="1" applyBorder="1" applyAlignment="1">
      <alignment vertical="top"/>
    </xf>
    <xf numFmtId="0" fontId="3" fillId="0" borderId="5" xfId="0" applyFont="1" applyBorder="1" applyAlignment="1">
      <alignment vertical="top"/>
    </xf>
    <xf numFmtId="0" fontId="3" fillId="0" borderId="0" xfId="0" applyFont="1" applyAlignment="1">
      <alignment vertical="top"/>
    </xf>
    <xf numFmtId="0" fontId="3" fillId="0" borderId="10" xfId="0" applyFont="1" applyBorder="1" applyAlignment="1">
      <alignment vertical="top"/>
    </xf>
    <xf numFmtId="0" fontId="3" fillId="0" borderId="11" xfId="0" applyFont="1" applyBorder="1" applyAlignment="1">
      <alignment vertical="top"/>
    </xf>
    <xf numFmtId="0" fontId="3" fillId="0" borderId="6" xfId="0" applyFont="1" applyBorder="1" applyAlignment="1">
      <alignment vertical="top"/>
    </xf>
    <xf numFmtId="0" fontId="3" fillId="0" borderId="12" xfId="0" applyFont="1" applyBorder="1" applyAlignment="1">
      <alignment vertical="top"/>
    </xf>
    <xf numFmtId="9" fontId="3" fillId="0" borderId="1" xfId="0" applyNumberFormat="1" applyFont="1" applyBorder="1" applyAlignment="1">
      <alignment horizontal="center" vertical="center" wrapText="1"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17" xfId="0" applyFont="1" applyBorder="1">
      <alignment vertical="center"/>
    </xf>
    <xf numFmtId="0" fontId="4" fillId="0" borderId="18" xfId="0" applyFont="1" applyBorder="1">
      <alignment vertical="center"/>
    </xf>
    <xf numFmtId="0" fontId="3" fillId="0" borderId="19" xfId="0" applyFont="1" applyBorder="1" applyAlignment="1">
      <alignment vertical="top" wrapText="1" shrinkToFi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9" xfId="0" applyFont="1" applyBorder="1" applyAlignment="1">
      <alignment vertical="center" wrapText="1"/>
    </xf>
    <xf numFmtId="0" fontId="3" fillId="0" borderId="39" xfId="0" applyFont="1" applyBorder="1" applyAlignment="1">
      <alignment vertical="center" wrapText="1"/>
    </xf>
    <xf numFmtId="0" fontId="3" fillId="0" borderId="37" xfId="0" applyFont="1" applyBorder="1" applyAlignment="1">
      <alignment vertical="top" wrapText="1" shrinkToFit="1"/>
    </xf>
    <xf numFmtId="0" fontId="3" fillId="0" borderId="38" xfId="0" applyFont="1" applyBorder="1" applyAlignment="1">
      <alignment vertical="top" wrapText="1" shrinkToFit="1"/>
    </xf>
    <xf numFmtId="0" fontId="3" fillId="0" borderId="39"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41" xfId="0" applyFont="1" applyBorder="1" applyAlignment="1">
      <alignment vertical="center" wrapText="1"/>
    </xf>
    <xf numFmtId="0" fontId="3" fillId="0" borderId="42" xfId="0" applyFont="1" applyBorder="1" applyAlignment="1">
      <alignment vertical="center" wrapText="1"/>
    </xf>
    <xf numFmtId="0" fontId="3" fillId="0" borderId="43" xfId="0" applyFont="1" applyBorder="1" applyAlignment="1">
      <alignment vertical="center" wrapText="1"/>
    </xf>
    <xf numFmtId="0" fontId="3" fillId="0" borderId="42" xfId="0" applyFont="1" applyBorder="1" applyAlignment="1">
      <alignment vertical="top" wrapText="1" shrinkToFit="1"/>
    </xf>
    <xf numFmtId="0" fontId="3"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zoomScaleNormal="100" zoomScaleSheetLayoutView="100" workbookViewId="0">
      <selection activeCell="C2" sqref="C2:I2"/>
    </sheetView>
  </sheetViews>
  <sheetFormatPr defaultColWidth="9" defaultRowHeight="18.75" customHeight="1" x14ac:dyDescent="0.15"/>
  <cols>
    <col min="1" max="1" width="2.5" style="3" customWidth="1"/>
    <col min="2" max="2" width="16.5" style="3" customWidth="1"/>
    <col min="3" max="19" width="5.625" style="3" customWidth="1"/>
    <col min="20" max="20" width="9" style="3"/>
    <col min="21" max="21" width="3.625" style="3" customWidth="1"/>
    <col min="22" max="22" width="48.625" style="3" hidden="1" customWidth="1"/>
    <col min="23" max="16384" width="9" style="3"/>
  </cols>
  <sheetData>
    <row r="1" spans="1:22" ht="18.600000000000001" customHeight="1" x14ac:dyDescent="0.15">
      <c r="R1" s="133" t="s">
        <v>12</v>
      </c>
      <c r="S1" s="133"/>
      <c r="T1" s="4" t="s">
        <v>110</v>
      </c>
    </row>
    <row r="2" spans="1:22" ht="18.75" customHeight="1" x14ac:dyDescent="0.15">
      <c r="B2" s="2" t="s">
        <v>109</v>
      </c>
      <c r="C2" s="89" t="s">
        <v>126</v>
      </c>
      <c r="D2" s="90"/>
      <c r="E2" s="90"/>
      <c r="F2" s="90"/>
      <c r="G2" s="90"/>
      <c r="H2" s="90"/>
      <c r="I2" s="91"/>
      <c r="J2" s="5"/>
      <c r="K2" s="6"/>
      <c r="L2" s="6"/>
      <c r="M2" s="6"/>
      <c r="N2" s="6"/>
      <c r="O2" s="6"/>
      <c r="P2" s="6"/>
      <c r="Q2" s="6"/>
      <c r="R2" s="6"/>
      <c r="S2" s="6"/>
    </row>
    <row r="3" spans="1:22" ht="18.75" customHeight="1" x14ac:dyDescent="0.15">
      <c r="B3" s="2" t="s">
        <v>103</v>
      </c>
      <c r="C3" s="89" t="s">
        <v>127</v>
      </c>
      <c r="D3" s="90"/>
      <c r="E3" s="90"/>
      <c r="F3" s="90"/>
      <c r="G3" s="90"/>
      <c r="H3" s="90"/>
      <c r="I3" s="91"/>
      <c r="J3" s="5"/>
      <c r="K3" s="6"/>
      <c r="L3" s="6"/>
      <c r="M3" s="6"/>
      <c r="N3" s="6"/>
      <c r="O3" s="6"/>
      <c r="P3" s="6"/>
      <c r="Q3" s="6"/>
      <c r="R3" s="6"/>
      <c r="S3" s="6"/>
    </row>
    <row r="4" spans="1:22" ht="15" customHeight="1" x14ac:dyDescent="0.15">
      <c r="K4" s="5"/>
      <c r="L4" s="7"/>
      <c r="M4" s="7"/>
      <c r="N4" s="7"/>
      <c r="O4" s="7"/>
      <c r="P4" s="7"/>
      <c r="Q4" s="7"/>
      <c r="R4" s="7"/>
      <c r="S4" s="7"/>
    </row>
    <row r="5" spans="1:22" ht="18" customHeight="1" x14ac:dyDescent="0.15">
      <c r="A5" s="137" t="s">
        <v>39</v>
      </c>
      <c r="B5" s="137"/>
      <c r="C5" s="137"/>
      <c r="D5" s="137"/>
      <c r="E5" s="137"/>
      <c r="F5" s="137"/>
      <c r="G5" s="137"/>
      <c r="H5" s="137"/>
      <c r="I5" s="137"/>
      <c r="J5" s="137"/>
      <c r="K5" s="137"/>
      <c r="L5" s="137"/>
      <c r="M5" s="137"/>
      <c r="N5" s="137"/>
      <c r="O5" s="137"/>
      <c r="P5" s="137"/>
      <c r="Q5" s="137"/>
      <c r="R5" s="137"/>
      <c r="S5" s="137"/>
    </row>
    <row r="6" spans="1:22" ht="15" customHeight="1" x14ac:dyDescent="0.15">
      <c r="B6" s="8"/>
      <c r="C6" s="8"/>
      <c r="D6" s="8"/>
      <c r="E6" s="8"/>
      <c r="F6" s="8"/>
      <c r="G6" s="8"/>
      <c r="H6" s="8"/>
      <c r="I6" s="8"/>
      <c r="J6" s="8"/>
      <c r="K6" s="8"/>
      <c r="L6" s="8"/>
      <c r="M6" s="8"/>
      <c r="N6" s="8"/>
      <c r="O6" s="8"/>
      <c r="P6" s="8"/>
      <c r="Q6" s="8"/>
      <c r="R6" s="8"/>
      <c r="S6" s="8"/>
    </row>
    <row r="7" spans="1:22" ht="18" customHeight="1" x14ac:dyDescent="0.15">
      <c r="A7" s="3" t="s">
        <v>124</v>
      </c>
      <c r="C7" s="8"/>
      <c r="J7" s="9" t="s">
        <v>108</v>
      </c>
      <c r="K7" s="147" t="s">
        <v>128</v>
      </c>
      <c r="L7" s="148"/>
      <c r="M7" s="148"/>
      <c r="N7" s="148"/>
      <c r="O7" s="148"/>
      <c r="P7" s="148"/>
      <c r="Q7" s="148"/>
      <c r="R7" s="148"/>
      <c r="S7" s="149"/>
    </row>
    <row r="8" spans="1:22" ht="6" customHeight="1" x14ac:dyDescent="0.15">
      <c r="B8" s="8"/>
      <c r="C8" s="8"/>
      <c r="D8" s="8"/>
      <c r="E8" s="8"/>
      <c r="F8" s="8"/>
      <c r="G8" s="8"/>
      <c r="H8" s="8"/>
      <c r="I8" s="8"/>
      <c r="J8" s="8"/>
      <c r="K8" s="10"/>
      <c r="L8" s="8"/>
      <c r="M8" s="8"/>
      <c r="N8" s="8"/>
      <c r="O8" s="8"/>
      <c r="P8" s="8"/>
      <c r="Q8" s="8"/>
      <c r="R8" s="8"/>
      <c r="S8" s="8"/>
    </row>
    <row r="9" spans="1:22" ht="18" customHeight="1" x14ac:dyDescent="0.15">
      <c r="B9" s="150"/>
      <c r="C9" s="151"/>
      <c r="D9" s="151"/>
      <c r="E9" s="151"/>
      <c r="F9" s="151"/>
      <c r="G9" s="151"/>
      <c r="H9" s="151"/>
      <c r="I9" s="151"/>
      <c r="J9" s="151"/>
      <c r="K9" s="151"/>
      <c r="L9" s="151"/>
      <c r="M9" s="151"/>
      <c r="N9" s="151"/>
      <c r="O9" s="151"/>
      <c r="P9" s="151"/>
      <c r="Q9" s="151"/>
      <c r="R9" s="151"/>
      <c r="S9" s="152"/>
    </row>
    <row r="10" spans="1:22" ht="18" customHeight="1" x14ac:dyDescent="0.15">
      <c r="B10" s="153"/>
      <c r="C10" s="154"/>
      <c r="D10" s="154"/>
      <c r="E10" s="154"/>
      <c r="F10" s="154"/>
      <c r="G10" s="154"/>
      <c r="H10" s="154"/>
      <c r="I10" s="154"/>
      <c r="J10" s="154"/>
      <c r="K10" s="154"/>
      <c r="L10" s="154"/>
      <c r="M10" s="154"/>
      <c r="N10" s="154"/>
      <c r="O10" s="154"/>
      <c r="P10" s="154"/>
      <c r="Q10" s="154"/>
      <c r="R10" s="154"/>
      <c r="S10" s="155"/>
    </row>
    <row r="11" spans="1:22" ht="6" customHeight="1" x14ac:dyDescent="0.15">
      <c r="B11" s="8"/>
      <c r="C11" s="8"/>
      <c r="D11" s="8"/>
      <c r="E11" s="8"/>
      <c r="F11" s="8"/>
      <c r="G11" s="8"/>
      <c r="H11" s="8"/>
      <c r="I11" s="8"/>
      <c r="J11" s="8"/>
      <c r="K11" s="10"/>
      <c r="L11" s="8"/>
      <c r="M11" s="8"/>
      <c r="N11" s="8"/>
      <c r="O11" s="8"/>
      <c r="P11" s="8"/>
      <c r="Q11" s="8"/>
      <c r="R11" s="8"/>
      <c r="S11" s="8"/>
    </row>
    <row r="12" spans="1:22" ht="18" customHeight="1" x14ac:dyDescent="0.15">
      <c r="A12" s="3" t="s">
        <v>112</v>
      </c>
      <c r="B12" s="8"/>
      <c r="C12" s="8"/>
      <c r="D12" s="5"/>
      <c r="E12" s="5"/>
      <c r="F12" s="5"/>
      <c r="G12" s="5"/>
      <c r="H12" s="5"/>
      <c r="I12" s="5"/>
      <c r="J12" s="5"/>
      <c r="K12" s="11"/>
      <c r="L12" s="11"/>
      <c r="M12" s="11"/>
      <c r="N12" s="11"/>
      <c r="O12" s="11"/>
      <c r="P12" s="11"/>
      <c r="Q12" s="11"/>
      <c r="R12" s="11"/>
      <c r="S12" s="11"/>
    </row>
    <row r="13" spans="1:22" ht="18" customHeight="1" x14ac:dyDescent="0.15">
      <c r="B13" s="138" t="s">
        <v>147</v>
      </c>
      <c r="C13" s="139"/>
      <c r="D13" s="139"/>
      <c r="E13" s="139"/>
      <c r="F13" s="139"/>
      <c r="G13" s="139"/>
      <c r="H13" s="139"/>
      <c r="I13" s="139"/>
      <c r="J13" s="139"/>
      <c r="K13" s="139"/>
      <c r="L13" s="139"/>
      <c r="M13" s="139"/>
      <c r="N13" s="139"/>
      <c r="O13" s="139"/>
      <c r="P13" s="139"/>
      <c r="Q13" s="139"/>
      <c r="R13" s="139"/>
      <c r="S13" s="140"/>
      <c r="V13" s="3" t="s">
        <v>104</v>
      </c>
    </row>
    <row r="14" spans="1:22" ht="18" customHeight="1" x14ac:dyDescent="0.15">
      <c r="B14" s="141"/>
      <c r="C14" s="142"/>
      <c r="D14" s="142"/>
      <c r="E14" s="142"/>
      <c r="F14" s="142"/>
      <c r="G14" s="142"/>
      <c r="H14" s="142"/>
      <c r="I14" s="142"/>
      <c r="J14" s="142"/>
      <c r="K14" s="142"/>
      <c r="L14" s="142"/>
      <c r="M14" s="142"/>
      <c r="N14" s="142"/>
      <c r="O14" s="142"/>
      <c r="P14" s="142"/>
      <c r="Q14" s="142"/>
      <c r="R14" s="142"/>
      <c r="S14" s="143"/>
      <c r="V14" s="3" t="s">
        <v>111</v>
      </c>
    </row>
    <row r="15" spans="1:22" ht="18" customHeight="1" x14ac:dyDescent="0.15">
      <c r="B15" s="141"/>
      <c r="C15" s="142"/>
      <c r="D15" s="142"/>
      <c r="E15" s="142"/>
      <c r="F15" s="142"/>
      <c r="G15" s="142"/>
      <c r="H15" s="142"/>
      <c r="I15" s="142"/>
      <c r="J15" s="142"/>
      <c r="K15" s="142"/>
      <c r="L15" s="142"/>
      <c r="M15" s="142"/>
      <c r="N15" s="142"/>
      <c r="O15" s="142"/>
      <c r="P15" s="142"/>
      <c r="Q15" s="142"/>
      <c r="R15" s="142"/>
      <c r="S15" s="143"/>
      <c r="V15" s="3" t="s">
        <v>123</v>
      </c>
    </row>
    <row r="16" spans="1:22" ht="18" customHeight="1" x14ac:dyDescent="0.15">
      <c r="B16" s="141"/>
      <c r="C16" s="142"/>
      <c r="D16" s="142"/>
      <c r="E16" s="142"/>
      <c r="F16" s="142"/>
      <c r="G16" s="142"/>
      <c r="H16" s="142"/>
      <c r="I16" s="142"/>
      <c r="J16" s="142"/>
      <c r="K16" s="142"/>
      <c r="L16" s="142"/>
      <c r="M16" s="142"/>
      <c r="N16" s="142"/>
      <c r="O16" s="142"/>
      <c r="P16" s="142"/>
      <c r="Q16" s="142"/>
      <c r="R16" s="142"/>
      <c r="S16" s="143"/>
      <c r="V16" s="3" t="s">
        <v>125</v>
      </c>
    </row>
    <row r="17" spans="1:19" ht="18" customHeight="1" x14ac:dyDescent="0.15">
      <c r="B17" s="141"/>
      <c r="C17" s="142"/>
      <c r="D17" s="142"/>
      <c r="E17" s="142"/>
      <c r="F17" s="142"/>
      <c r="G17" s="142"/>
      <c r="H17" s="142"/>
      <c r="I17" s="142"/>
      <c r="J17" s="142"/>
      <c r="K17" s="142"/>
      <c r="L17" s="142"/>
      <c r="M17" s="142"/>
      <c r="N17" s="142"/>
      <c r="O17" s="142"/>
      <c r="P17" s="142"/>
      <c r="Q17" s="142"/>
      <c r="R17" s="142"/>
      <c r="S17" s="143"/>
    </row>
    <row r="18" spans="1:19" ht="18" customHeight="1" x14ac:dyDescent="0.15">
      <c r="B18" s="144"/>
      <c r="C18" s="145"/>
      <c r="D18" s="145"/>
      <c r="E18" s="145"/>
      <c r="F18" s="145"/>
      <c r="G18" s="145"/>
      <c r="H18" s="145"/>
      <c r="I18" s="145"/>
      <c r="J18" s="145"/>
      <c r="K18" s="145"/>
      <c r="L18" s="145"/>
      <c r="M18" s="145"/>
      <c r="N18" s="145"/>
      <c r="O18" s="145"/>
      <c r="P18" s="145"/>
      <c r="Q18" s="145"/>
      <c r="R18" s="145"/>
      <c r="S18" s="146"/>
    </row>
    <row r="19" spans="1:19" ht="7.5" customHeight="1" x14ac:dyDescent="0.15">
      <c r="B19" s="8"/>
      <c r="C19" s="8"/>
      <c r="D19" s="8"/>
      <c r="E19" s="8"/>
      <c r="F19" s="8"/>
      <c r="G19" s="8"/>
      <c r="H19" s="8"/>
      <c r="I19" s="8"/>
      <c r="J19" s="8"/>
      <c r="K19" s="8"/>
      <c r="L19" s="8"/>
      <c r="M19" s="8"/>
      <c r="N19" s="8"/>
      <c r="O19" s="8"/>
      <c r="P19" s="8"/>
      <c r="Q19" s="8"/>
      <c r="R19" s="8"/>
      <c r="S19" s="8"/>
    </row>
    <row r="20" spans="1:19" ht="19.899999999999999" customHeight="1" x14ac:dyDescent="0.15">
      <c r="B20" s="3" t="s">
        <v>113</v>
      </c>
      <c r="C20" s="89">
        <v>4</v>
      </c>
      <c r="D20" s="91"/>
      <c r="E20" s="12" t="s">
        <v>96</v>
      </c>
      <c r="G20" s="10"/>
      <c r="H20" s="8"/>
      <c r="I20" s="8"/>
      <c r="J20" s="5" t="s">
        <v>122</v>
      </c>
      <c r="K20" s="134" t="s">
        <v>111</v>
      </c>
      <c r="L20" s="135"/>
      <c r="M20" s="135"/>
      <c r="N20" s="135"/>
      <c r="O20" s="135"/>
      <c r="P20" s="135"/>
      <c r="Q20" s="135"/>
      <c r="R20" s="135"/>
      <c r="S20" s="136"/>
    </row>
    <row r="21" spans="1:19" ht="7.5" customHeight="1" x14ac:dyDescent="0.15">
      <c r="B21" s="8"/>
      <c r="C21" s="8"/>
      <c r="D21" s="8"/>
      <c r="E21" s="8"/>
      <c r="F21" s="8"/>
      <c r="G21" s="8"/>
      <c r="H21" s="8"/>
      <c r="I21" s="8"/>
      <c r="J21" s="8"/>
      <c r="K21" s="8"/>
      <c r="L21" s="8"/>
      <c r="M21" s="8"/>
      <c r="N21" s="8"/>
      <c r="O21" s="8"/>
      <c r="P21" s="8"/>
      <c r="Q21" s="8"/>
      <c r="R21" s="8"/>
      <c r="S21" s="8"/>
    </row>
    <row r="22" spans="1:19" ht="18" customHeight="1" x14ac:dyDescent="0.15">
      <c r="A22" s="95" t="s">
        <v>114</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54</v>
      </c>
      <c r="C24" s="90"/>
      <c r="D24" s="90"/>
      <c r="E24" s="91"/>
      <c r="F24" s="13" t="s">
        <v>81</v>
      </c>
      <c r="G24" s="14" t="s">
        <v>85</v>
      </c>
      <c r="H24" s="15" t="s">
        <v>57</v>
      </c>
      <c r="I24" s="15" t="s">
        <v>60</v>
      </c>
      <c r="J24" s="89" t="s">
        <v>54</v>
      </c>
      <c r="K24" s="90"/>
      <c r="L24" s="90"/>
      <c r="M24" s="90"/>
      <c r="N24" s="90"/>
      <c r="O24" s="91"/>
      <c r="P24" s="13" t="s">
        <v>81</v>
      </c>
      <c r="Q24" s="14" t="s">
        <v>85</v>
      </c>
      <c r="R24" s="15" t="s">
        <v>57</v>
      </c>
      <c r="S24" s="15" t="s">
        <v>60</v>
      </c>
    </row>
    <row r="25" spans="1:19" ht="18" customHeight="1" x14ac:dyDescent="0.15">
      <c r="B25" s="83" t="s">
        <v>129</v>
      </c>
      <c r="C25" s="84"/>
      <c r="D25" s="84"/>
      <c r="E25" s="85"/>
      <c r="F25" s="16">
        <v>1</v>
      </c>
      <c r="G25" s="16" t="s">
        <v>130</v>
      </c>
      <c r="H25" s="16" t="s">
        <v>130</v>
      </c>
      <c r="I25" s="16" t="s">
        <v>130</v>
      </c>
      <c r="J25" s="83"/>
      <c r="K25" s="84"/>
      <c r="L25" s="84"/>
      <c r="M25" s="84"/>
      <c r="N25" s="84"/>
      <c r="O25" s="85"/>
      <c r="P25" s="16"/>
      <c r="Q25" s="16"/>
      <c r="R25" s="16"/>
      <c r="S25" s="16"/>
    </row>
    <row r="26" spans="1:19" ht="18" customHeight="1" x14ac:dyDescent="0.15">
      <c r="B26" s="86"/>
      <c r="C26" s="87"/>
      <c r="D26" s="87"/>
      <c r="E26" s="88"/>
      <c r="F26" s="17"/>
      <c r="G26" s="17"/>
      <c r="H26" s="17"/>
      <c r="I26" s="17"/>
      <c r="J26" s="86"/>
      <c r="K26" s="87"/>
      <c r="L26" s="87"/>
      <c r="M26" s="87"/>
      <c r="N26" s="87"/>
      <c r="O26" s="88"/>
      <c r="P26" s="17"/>
      <c r="Q26" s="17"/>
      <c r="R26" s="17"/>
      <c r="S26" s="17"/>
    </row>
    <row r="27" spans="1:19" ht="18" customHeight="1" x14ac:dyDescent="0.15">
      <c r="B27" s="86"/>
      <c r="C27" s="87"/>
      <c r="D27" s="87"/>
      <c r="E27" s="88"/>
      <c r="F27" s="17"/>
      <c r="G27" s="17"/>
      <c r="H27" s="17"/>
      <c r="I27" s="17"/>
      <c r="J27" s="86"/>
      <c r="K27" s="87"/>
      <c r="L27" s="87"/>
      <c r="M27" s="87"/>
      <c r="N27" s="87"/>
      <c r="O27" s="88"/>
      <c r="P27" s="17"/>
      <c r="Q27" s="17"/>
      <c r="R27" s="17"/>
      <c r="S27" s="17"/>
    </row>
    <row r="28" spans="1:19" ht="18" customHeight="1" x14ac:dyDescent="0.15">
      <c r="B28" s="86"/>
      <c r="C28" s="87"/>
      <c r="D28" s="87"/>
      <c r="E28" s="88"/>
      <c r="F28" s="17"/>
      <c r="G28" s="17"/>
      <c r="H28" s="17"/>
      <c r="I28" s="17"/>
      <c r="J28" s="86"/>
      <c r="K28" s="87"/>
      <c r="L28" s="87"/>
      <c r="M28" s="87"/>
      <c r="N28" s="87"/>
      <c r="O28" s="88"/>
      <c r="P28" s="17"/>
      <c r="Q28" s="17"/>
      <c r="R28" s="17"/>
      <c r="S28" s="17"/>
    </row>
    <row r="29" spans="1:19" ht="18" customHeight="1" x14ac:dyDescent="0.15">
      <c r="B29" s="86"/>
      <c r="C29" s="87"/>
      <c r="D29" s="87"/>
      <c r="E29" s="88"/>
      <c r="F29" s="17"/>
      <c r="G29" s="17"/>
      <c r="H29" s="17"/>
      <c r="I29" s="17"/>
      <c r="J29" s="86"/>
      <c r="K29" s="87"/>
      <c r="L29" s="87"/>
      <c r="M29" s="87"/>
      <c r="N29" s="87"/>
      <c r="O29" s="88"/>
      <c r="P29" s="17"/>
      <c r="Q29" s="17"/>
      <c r="R29" s="17"/>
      <c r="S29" s="17"/>
    </row>
    <row r="30" spans="1:19" ht="18" customHeight="1" x14ac:dyDescent="0.15">
      <c r="A30" s="8"/>
      <c r="B30" s="86"/>
      <c r="C30" s="87"/>
      <c r="D30" s="87"/>
      <c r="E30" s="88"/>
      <c r="F30" s="17"/>
      <c r="G30" s="17"/>
      <c r="H30" s="17"/>
      <c r="I30" s="17"/>
      <c r="J30" s="86"/>
      <c r="K30" s="87"/>
      <c r="L30" s="87"/>
      <c r="M30" s="87"/>
      <c r="N30" s="87"/>
      <c r="O30" s="88"/>
      <c r="P30" s="17"/>
      <c r="Q30" s="17"/>
      <c r="R30" s="17"/>
      <c r="S30" s="17"/>
    </row>
    <row r="31" spans="1:19" ht="18" customHeight="1" x14ac:dyDescent="0.15">
      <c r="A31" s="8"/>
      <c r="B31" s="92"/>
      <c r="C31" s="93"/>
      <c r="D31" s="93"/>
      <c r="E31" s="94"/>
      <c r="F31" s="18"/>
      <c r="G31" s="18"/>
      <c r="H31" s="19"/>
      <c r="I31" s="19"/>
      <c r="J31" s="92"/>
      <c r="K31" s="93"/>
      <c r="L31" s="93"/>
      <c r="M31" s="93"/>
      <c r="N31" s="93"/>
      <c r="O31" s="94"/>
      <c r="P31" s="18"/>
      <c r="Q31" s="18"/>
      <c r="R31" s="19"/>
      <c r="S31" s="19"/>
    </row>
    <row r="32" spans="1:19" ht="7.5" customHeight="1" x14ac:dyDescent="0.15">
      <c r="A32" s="8"/>
      <c r="B32" s="6"/>
      <c r="C32" s="6"/>
      <c r="D32" s="8"/>
      <c r="E32" s="8"/>
      <c r="F32" s="8"/>
      <c r="G32" s="8"/>
      <c r="H32" s="6"/>
      <c r="I32" s="6"/>
      <c r="J32" s="6"/>
      <c r="K32" s="6"/>
      <c r="L32" s="6"/>
      <c r="M32" s="6"/>
      <c r="N32" s="6"/>
      <c r="O32" s="6"/>
      <c r="P32" s="6"/>
      <c r="Q32" s="6"/>
      <c r="R32" s="6"/>
      <c r="S32" s="8"/>
    </row>
    <row r="33" spans="1:19" ht="18" customHeight="1" x14ac:dyDescent="0.15">
      <c r="A33" s="95" t="s">
        <v>115</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54</v>
      </c>
      <c r="C35" s="90"/>
      <c r="D35" s="90"/>
      <c r="E35" s="91"/>
      <c r="F35" s="13" t="s">
        <v>81</v>
      </c>
      <c r="G35" s="14" t="s">
        <v>85</v>
      </c>
      <c r="H35" s="15" t="s">
        <v>72</v>
      </c>
      <c r="I35" s="15" t="s">
        <v>73</v>
      </c>
      <c r="J35" s="89" t="s">
        <v>54</v>
      </c>
      <c r="K35" s="90"/>
      <c r="L35" s="90"/>
      <c r="M35" s="90"/>
      <c r="N35" s="90"/>
      <c r="O35" s="91"/>
      <c r="P35" s="13" t="s">
        <v>81</v>
      </c>
      <c r="Q35" s="14" t="s">
        <v>85</v>
      </c>
      <c r="R35" s="15" t="s">
        <v>72</v>
      </c>
      <c r="S35" s="15" t="s">
        <v>73</v>
      </c>
    </row>
    <row r="36" spans="1:19" ht="18" customHeight="1" x14ac:dyDescent="0.15">
      <c r="B36" s="83" t="s">
        <v>129</v>
      </c>
      <c r="C36" s="84"/>
      <c r="D36" s="84"/>
      <c r="E36" s="85"/>
      <c r="F36" s="16">
        <v>1</v>
      </c>
      <c r="G36" s="16" t="s">
        <v>130</v>
      </c>
      <c r="H36" s="16" t="s">
        <v>130</v>
      </c>
      <c r="I36" s="16" t="s">
        <v>130</v>
      </c>
      <c r="J36" s="83"/>
      <c r="K36" s="84"/>
      <c r="L36" s="84"/>
      <c r="M36" s="84"/>
      <c r="N36" s="84"/>
      <c r="O36" s="85"/>
      <c r="P36" s="16"/>
      <c r="Q36" s="16"/>
      <c r="R36" s="16"/>
      <c r="S36" s="16"/>
    </row>
    <row r="37" spans="1:19" ht="18" customHeight="1" x14ac:dyDescent="0.15">
      <c r="B37" s="86"/>
      <c r="C37" s="87"/>
      <c r="D37" s="87"/>
      <c r="E37" s="88"/>
      <c r="F37" s="17"/>
      <c r="G37" s="17"/>
      <c r="H37" s="17"/>
      <c r="I37" s="17"/>
      <c r="J37" s="86"/>
      <c r="K37" s="87"/>
      <c r="L37" s="87"/>
      <c r="M37" s="87"/>
      <c r="N37" s="87"/>
      <c r="O37" s="88"/>
      <c r="P37" s="17"/>
      <c r="Q37" s="17"/>
      <c r="R37" s="17"/>
      <c r="S37" s="17"/>
    </row>
    <row r="38" spans="1:19" ht="18" customHeight="1" x14ac:dyDescent="0.15">
      <c r="B38" s="86"/>
      <c r="C38" s="87"/>
      <c r="D38" s="87"/>
      <c r="E38" s="88"/>
      <c r="F38" s="17"/>
      <c r="G38" s="17"/>
      <c r="H38" s="17"/>
      <c r="I38" s="17"/>
      <c r="J38" s="86"/>
      <c r="K38" s="87"/>
      <c r="L38" s="87"/>
      <c r="M38" s="87"/>
      <c r="N38" s="87"/>
      <c r="O38" s="88"/>
      <c r="P38" s="17"/>
      <c r="Q38" s="17"/>
      <c r="R38" s="17"/>
      <c r="S38" s="17"/>
    </row>
    <row r="39" spans="1:19" ht="18" customHeight="1" x14ac:dyDescent="0.15">
      <c r="B39" s="86"/>
      <c r="C39" s="87"/>
      <c r="D39" s="87"/>
      <c r="E39" s="88"/>
      <c r="F39" s="17"/>
      <c r="G39" s="17"/>
      <c r="H39" s="17"/>
      <c r="I39" s="17"/>
      <c r="J39" s="86"/>
      <c r="K39" s="87"/>
      <c r="L39" s="87"/>
      <c r="M39" s="87"/>
      <c r="N39" s="87"/>
      <c r="O39" s="88"/>
      <c r="P39" s="17"/>
      <c r="Q39" s="17"/>
      <c r="R39" s="17"/>
      <c r="S39" s="17"/>
    </row>
    <row r="40" spans="1:19" ht="18" customHeight="1" x14ac:dyDescent="0.15">
      <c r="B40" s="86"/>
      <c r="C40" s="87"/>
      <c r="D40" s="87"/>
      <c r="E40" s="88"/>
      <c r="F40" s="17"/>
      <c r="G40" s="17"/>
      <c r="H40" s="17"/>
      <c r="I40" s="17"/>
      <c r="J40" s="86"/>
      <c r="K40" s="87"/>
      <c r="L40" s="87"/>
      <c r="M40" s="87"/>
      <c r="N40" s="87"/>
      <c r="O40" s="88"/>
      <c r="P40" s="17"/>
      <c r="Q40" s="17"/>
      <c r="R40" s="17"/>
      <c r="S40" s="17"/>
    </row>
    <row r="41" spans="1:19" ht="18" customHeight="1" x14ac:dyDescent="0.15">
      <c r="B41" s="86"/>
      <c r="C41" s="87"/>
      <c r="D41" s="87"/>
      <c r="E41" s="88"/>
      <c r="F41" s="17"/>
      <c r="G41" s="17"/>
      <c r="H41" s="17"/>
      <c r="I41" s="17"/>
      <c r="J41" s="86"/>
      <c r="K41" s="87"/>
      <c r="L41" s="87"/>
      <c r="M41" s="87"/>
      <c r="N41" s="87"/>
      <c r="O41" s="88"/>
      <c r="P41" s="17"/>
      <c r="Q41" s="17"/>
      <c r="R41" s="17"/>
      <c r="S41" s="17"/>
    </row>
    <row r="42" spans="1:19" ht="18" customHeight="1" x14ac:dyDescent="0.15">
      <c r="B42" s="92"/>
      <c r="C42" s="93"/>
      <c r="D42" s="93"/>
      <c r="E42" s="94"/>
      <c r="F42" s="18"/>
      <c r="G42" s="18"/>
      <c r="H42" s="19"/>
      <c r="I42" s="19"/>
      <c r="J42" s="92"/>
      <c r="K42" s="93"/>
      <c r="L42" s="93"/>
      <c r="M42" s="93"/>
      <c r="N42" s="93"/>
      <c r="O42" s="94"/>
      <c r="P42" s="18"/>
      <c r="Q42" s="18"/>
      <c r="R42" s="19"/>
      <c r="S42" s="19"/>
    </row>
    <row r="43" spans="1:19" ht="7.5" customHeight="1" x14ac:dyDescent="0.15">
      <c r="A43" s="8"/>
      <c r="B43" s="6"/>
      <c r="C43" s="6"/>
      <c r="D43" s="8"/>
      <c r="E43" s="8"/>
      <c r="F43" s="8"/>
      <c r="G43" s="8"/>
      <c r="H43" s="6"/>
      <c r="I43" s="6"/>
      <c r="J43" s="6"/>
      <c r="K43" s="6"/>
      <c r="L43" s="6"/>
      <c r="M43" s="6"/>
      <c r="N43" s="6"/>
      <c r="O43" s="6"/>
      <c r="P43" s="6"/>
      <c r="Q43" s="6"/>
      <c r="R43" s="6"/>
      <c r="S43" s="8"/>
    </row>
    <row r="44" spans="1:19" ht="18" customHeight="1" x14ac:dyDescent="0.15">
      <c r="A44" s="95" t="s">
        <v>116</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54</v>
      </c>
      <c r="C46" s="90"/>
      <c r="D46" s="90"/>
      <c r="E46" s="91"/>
      <c r="F46" s="13" t="s">
        <v>81</v>
      </c>
      <c r="G46" s="14" t="s">
        <v>85</v>
      </c>
      <c r="H46" s="15" t="s">
        <v>74</v>
      </c>
      <c r="I46" s="15" t="s">
        <v>75</v>
      </c>
      <c r="J46" s="89" t="s">
        <v>54</v>
      </c>
      <c r="K46" s="90"/>
      <c r="L46" s="90"/>
      <c r="M46" s="90"/>
      <c r="N46" s="90"/>
      <c r="O46" s="91"/>
      <c r="P46" s="13" t="s">
        <v>81</v>
      </c>
      <c r="Q46" s="14" t="s">
        <v>85</v>
      </c>
      <c r="R46" s="15" t="s">
        <v>74</v>
      </c>
      <c r="S46" s="15" t="s">
        <v>75</v>
      </c>
    </row>
    <row r="47" spans="1:19" ht="18" customHeight="1" x14ac:dyDescent="0.15">
      <c r="A47" s="8"/>
      <c r="B47" s="83" t="s">
        <v>129</v>
      </c>
      <c r="C47" s="84"/>
      <c r="D47" s="84"/>
      <c r="E47" s="85"/>
      <c r="F47" s="16">
        <v>1</v>
      </c>
      <c r="G47" s="16" t="s">
        <v>130</v>
      </c>
      <c r="H47" s="16" t="s">
        <v>130</v>
      </c>
      <c r="I47" s="16" t="s">
        <v>130</v>
      </c>
      <c r="J47" s="83"/>
      <c r="K47" s="84"/>
      <c r="L47" s="84"/>
      <c r="M47" s="84"/>
      <c r="N47" s="84"/>
      <c r="O47" s="85"/>
      <c r="P47" s="16"/>
      <c r="Q47" s="16"/>
      <c r="R47" s="16"/>
      <c r="S47" s="16"/>
    </row>
    <row r="48" spans="1:19" ht="18" customHeight="1" x14ac:dyDescent="0.15">
      <c r="A48" s="8"/>
      <c r="B48" s="86"/>
      <c r="C48" s="87"/>
      <c r="D48" s="87"/>
      <c r="E48" s="88"/>
      <c r="F48" s="17"/>
      <c r="G48" s="17"/>
      <c r="H48" s="17"/>
      <c r="I48" s="17"/>
      <c r="J48" s="86"/>
      <c r="K48" s="87"/>
      <c r="L48" s="87"/>
      <c r="M48" s="87"/>
      <c r="N48" s="87"/>
      <c r="O48" s="88"/>
      <c r="P48" s="17"/>
      <c r="Q48" s="17"/>
      <c r="R48" s="17"/>
      <c r="S48" s="17"/>
    </row>
    <row r="49" spans="1:19" ht="18" customHeight="1" x14ac:dyDescent="0.15">
      <c r="A49" s="8"/>
      <c r="B49" s="86"/>
      <c r="C49" s="87"/>
      <c r="D49" s="87"/>
      <c r="E49" s="88"/>
      <c r="F49" s="17"/>
      <c r="G49" s="17"/>
      <c r="H49" s="17"/>
      <c r="I49" s="17"/>
      <c r="J49" s="86"/>
      <c r="K49" s="87"/>
      <c r="L49" s="87"/>
      <c r="M49" s="87"/>
      <c r="N49" s="87"/>
      <c r="O49" s="88"/>
      <c r="P49" s="17"/>
      <c r="Q49" s="17"/>
      <c r="R49" s="17"/>
      <c r="S49" s="17"/>
    </row>
    <row r="50" spans="1:19" ht="18" customHeight="1" x14ac:dyDescent="0.15">
      <c r="A50" s="8"/>
      <c r="B50" s="86"/>
      <c r="C50" s="87"/>
      <c r="D50" s="87"/>
      <c r="E50" s="88"/>
      <c r="F50" s="17"/>
      <c r="G50" s="17"/>
      <c r="H50" s="17"/>
      <c r="I50" s="17"/>
      <c r="J50" s="86"/>
      <c r="K50" s="87"/>
      <c r="L50" s="87"/>
      <c r="M50" s="87"/>
      <c r="N50" s="87"/>
      <c r="O50" s="88"/>
      <c r="P50" s="17"/>
      <c r="Q50" s="17"/>
      <c r="R50" s="17"/>
      <c r="S50" s="17"/>
    </row>
    <row r="51" spans="1:19" ht="18" customHeight="1" x14ac:dyDescent="0.15">
      <c r="A51" s="8"/>
      <c r="B51" s="86"/>
      <c r="C51" s="87"/>
      <c r="D51" s="87"/>
      <c r="E51" s="88"/>
      <c r="F51" s="17"/>
      <c r="G51" s="17"/>
      <c r="H51" s="17"/>
      <c r="I51" s="17"/>
      <c r="J51" s="86"/>
      <c r="K51" s="87"/>
      <c r="L51" s="87"/>
      <c r="M51" s="87"/>
      <c r="N51" s="87"/>
      <c r="O51" s="88"/>
      <c r="P51" s="17"/>
      <c r="Q51" s="17"/>
      <c r="R51" s="17"/>
      <c r="S51" s="17"/>
    </row>
    <row r="52" spans="1:19" ht="18" customHeight="1" x14ac:dyDescent="0.15">
      <c r="A52" s="8"/>
      <c r="B52" s="86"/>
      <c r="C52" s="87"/>
      <c r="D52" s="87"/>
      <c r="E52" s="88"/>
      <c r="F52" s="17"/>
      <c r="G52" s="17"/>
      <c r="H52" s="17"/>
      <c r="I52" s="17"/>
      <c r="J52" s="86"/>
      <c r="K52" s="87"/>
      <c r="L52" s="87"/>
      <c r="M52" s="87"/>
      <c r="N52" s="87"/>
      <c r="O52" s="88"/>
      <c r="P52" s="17"/>
      <c r="Q52" s="17"/>
      <c r="R52" s="17"/>
      <c r="S52" s="17"/>
    </row>
    <row r="53" spans="1:19" ht="18" customHeight="1" x14ac:dyDescent="0.15">
      <c r="A53" s="8"/>
      <c r="B53" s="92"/>
      <c r="C53" s="93"/>
      <c r="D53" s="93"/>
      <c r="E53" s="94"/>
      <c r="F53" s="18"/>
      <c r="G53" s="18"/>
      <c r="H53" s="19"/>
      <c r="I53" s="19"/>
      <c r="J53" s="92"/>
      <c r="K53" s="93"/>
      <c r="L53" s="93"/>
      <c r="M53" s="93"/>
      <c r="N53" s="93"/>
      <c r="O53" s="94"/>
      <c r="P53" s="18"/>
      <c r="Q53" s="18"/>
      <c r="R53" s="19"/>
      <c r="S53" s="19"/>
    </row>
    <row r="54" spans="1:19" ht="7.5" customHeight="1" x14ac:dyDescent="0.15">
      <c r="B54" s="20"/>
      <c r="C54" s="20"/>
      <c r="D54" s="20"/>
      <c r="E54" s="20"/>
      <c r="F54" s="20"/>
      <c r="G54" s="20"/>
      <c r="H54" s="20"/>
      <c r="I54" s="20"/>
      <c r="J54" s="20"/>
      <c r="K54" s="20"/>
      <c r="L54" s="20"/>
      <c r="M54" s="20"/>
      <c r="N54" s="20"/>
      <c r="O54" s="20"/>
      <c r="P54" s="20"/>
      <c r="Q54" s="20"/>
      <c r="R54" s="20"/>
    </row>
    <row r="55" spans="1:19" ht="18" customHeight="1" x14ac:dyDescent="0.15">
      <c r="A55" s="95" t="s">
        <v>117</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54</v>
      </c>
      <c r="C57" s="90"/>
      <c r="D57" s="90"/>
      <c r="E57" s="91"/>
      <c r="F57" s="13" t="s">
        <v>81</v>
      </c>
      <c r="G57" s="14" t="s">
        <v>85</v>
      </c>
      <c r="H57" s="15" t="s">
        <v>59</v>
      </c>
      <c r="I57" s="15" t="s">
        <v>61</v>
      </c>
      <c r="J57" s="89" t="s">
        <v>54</v>
      </c>
      <c r="K57" s="90"/>
      <c r="L57" s="90"/>
      <c r="M57" s="90"/>
      <c r="N57" s="90"/>
      <c r="O57" s="91"/>
      <c r="P57" s="13" t="s">
        <v>81</v>
      </c>
      <c r="Q57" s="14" t="s">
        <v>85</v>
      </c>
      <c r="R57" s="15" t="s">
        <v>59</v>
      </c>
      <c r="S57" s="15" t="s">
        <v>61</v>
      </c>
    </row>
    <row r="58" spans="1:19" ht="18" customHeight="1" x14ac:dyDescent="0.15">
      <c r="A58" s="8"/>
      <c r="B58" s="83" t="s">
        <v>129</v>
      </c>
      <c r="C58" s="84"/>
      <c r="D58" s="84"/>
      <c r="E58" s="85"/>
      <c r="F58" s="16">
        <v>1</v>
      </c>
      <c r="G58" s="16" t="s">
        <v>130</v>
      </c>
      <c r="H58" s="17" t="s">
        <v>130</v>
      </c>
      <c r="I58" s="17"/>
      <c r="J58" s="83"/>
      <c r="K58" s="84"/>
      <c r="L58" s="84"/>
      <c r="M58" s="84"/>
      <c r="N58" s="84"/>
      <c r="O58" s="85"/>
      <c r="P58" s="16"/>
      <c r="Q58" s="16"/>
      <c r="R58" s="16"/>
      <c r="S58" s="16"/>
    </row>
    <row r="59" spans="1:19" ht="18" customHeight="1" x14ac:dyDescent="0.15">
      <c r="A59" s="8"/>
      <c r="B59" s="156" t="s">
        <v>131</v>
      </c>
      <c r="C59" s="157"/>
      <c r="D59" s="157"/>
      <c r="E59" s="158"/>
      <c r="F59" s="21">
        <v>2</v>
      </c>
      <c r="G59" s="17" t="s">
        <v>130</v>
      </c>
      <c r="H59" s="17"/>
      <c r="I59" s="17" t="s">
        <v>130</v>
      </c>
      <c r="J59" s="86"/>
      <c r="K59" s="87"/>
      <c r="L59" s="87"/>
      <c r="M59" s="87"/>
      <c r="N59" s="87"/>
      <c r="O59" s="88"/>
      <c r="P59" s="17"/>
      <c r="Q59" s="17"/>
      <c r="R59" s="17"/>
      <c r="S59" s="17"/>
    </row>
    <row r="60" spans="1:19" ht="18" customHeight="1" x14ac:dyDescent="0.15">
      <c r="A60" s="8"/>
      <c r="B60" s="86"/>
      <c r="C60" s="87"/>
      <c r="D60" s="87"/>
      <c r="E60" s="88"/>
      <c r="F60" s="17"/>
      <c r="G60" s="17"/>
      <c r="H60" s="17"/>
      <c r="I60" s="17"/>
      <c r="J60" s="86"/>
      <c r="K60" s="87"/>
      <c r="L60" s="87"/>
      <c r="M60" s="87"/>
      <c r="N60" s="87"/>
      <c r="O60" s="88"/>
      <c r="P60" s="17"/>
      <c r="Q60" s="17"/>
      <c r="R60" s="17"/>
      <c r="S60" s="17"/>
    </row>
    <row r="61" spans="1:19" ht="18" customHeight="1" x14ac:dyDescent="0.15">
      <c r="A61" s="8"/>
      <c r="B61" s="86"/>
      <c r="C61" s="87"/>
      <c r="D61" s="87"/>
      <c r="E61" s="88"/>
      <c r="F61" s="17"/>
      <c r="G61" s="17"/>
      <c r="H61" s="17"/>
      <c r="I61" s="17"/>
      <c r="J61" s="86"/>
      <c r="K61" s="87"/>
      <c r="L61" s="87"/>
      <c r="M61" s="87"/>
      <c r="N61" s="87"/>
      <c r="O61" s="88"/>
      <c r="P61" s="17"/>
      <c r="Q61" s="17"/>
      <c r="R61" s="17"/>
      <c r="S61" s="17"/>
    </row>
    <row r="62" spans="1:19" ht="18" customHeight="1" x14ac:dyDescent="0.15">
      <c r="A62" s="8"/>
      <c r="B62" s="86"/>
      <c r="C62" s="87"/>
      <c r="D62" s="87"/>
      <c r="E62" s="88"/>
      <c r="F62" s="17"/>
      <c r="G62" s="17"/>
      <c r="H62" s="17"/>
      <c r="I62" s="17"/>
      <c r="J62" s="86"/>
      <c r="K62" s="87"/>
      <c r="L62" s="87"/>
      <c r="M62" s="87"/>
      <c r="N62" s="87"/>
      <c r="O62" s="88"/>
      <c r="P62" s="17"/>
      <c r="Q62" s="17"/>
      <c r="R62" s="17"/>
      <c r="S62" s="17"/>
    </row>
    <row r="63" spans="1:19" ht="18" customHeight="1" x14ac:dyDescent="0.15">
      <c r="A63" s="8"/>
      <c r="B63" s="86"/>
      <c r="C63" s="87"/>
      <c r="D63" s="87"/>
      <c r="E63" s="88"/>
      <c r="F63" s="17"/>
      <c r="G63" s="17"/>
      <c r="H63" s="17"/>
      <c r="I63" s="17"/>
      <c r="J63" s="86"/>
      <c r="K63" s="87"/>
      <c r="L63" s="87"/>
      <c r="M63" s="87"/>
      <c r="N63" s="87"/>
      <c r="O63" s="88"/>
      <c r="P63" s="17"/>
      <c r="Q63" s="17"/>
      <c r="R63" s="17"/>
      <c r="S63" s="17"/>
    </row>
    <row r="64" spans="1:19" ht="18" customHeight="1" x14ac:dyDescent="0.15">
      <c r="A64" s="8"/>
      <c r="B64" s="92"/>
      <c r="C64" s="93"/>
      <c r="D64" s="93"/>
      <c r="E64" s="94"/>
      <c r="F64" s="18"/>
      <c r="G64" s="18"/>
      <c r="H64" s="19"/>
      <c r="I64" s="19"/>
      <c r="J64" s="92"/>
      <c r="K64" s="93"/>
      <c r="L64" s="93"/>
      <c r="M64" s="93"/>
      <c r="N64" s="93"/>
      <c r="O64" s="94"/>
      <c r="P64" s="18"/>
      <c r="Q64" s="18"/>
      <c r="R64" s="19"/>
      <c r="S64" s="19"/>
    </row>
    <row r="65" spans="1:19" ht="7.5" customHeight="1" x14ac:dyDescent="0.15">
      <c r="B65" s="20"/>
      <c r="C65" s="20"/>
      <c r="D65" s="20"/>
      <c r="E65" s="20"/>
      <c r="F65" s="20"/>
      <c r="G65" s="20"/>
      <c r="H65" s="20"/>
      <c r="I65" s="20"/>
      <c r="J65" s="20"/>
      <c r="K65" s="20"/>
      <c r="L65" s="20"/>
      <c r="M65" s="20"/>
      <c r="N65" s="20"/>
      <c r="O65" s="20"/>
      <c r="P65" s="20"/>
      <c r="Q65" s="20"/>
      <c r="R65" s="20"/>
    </row>
    <row r="66" spans="1:19" ht="18" customHeight="1" x14ac:dyDescent="0.15">
      <c r="A66" s="95" t="s">
        <v>118</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54</v>
      </c>
      <c r="C68" s="90"/>
      <c r="D68" s="90"/>
      <c r="E68" s="13" t="s">
        <v>81</v>
      </c>
      <c r="F68" s="14" t="s">
        <v>85</v>
      </c>
      <c r="G68" s="15" t="s">
        <v>102</v>
      </c>
      <c r="H68" s="15" t="s">
        <v>76</v>
      </c>
      <c r="I68" s="15" t="s">
        <v>77</v>
      </c>
      <c r="J68" s="89" t="s">
        <v>54</v>
      </c>
      <c r="K68" s="90"/>
      <c r="L68" s="90"/>
      <c r="M68" s="90"/>
      <c r="N68" s="91"/>
      <c r="O68" s="13" t="s">
        <v>81</v>
      </c>
      <c r="P68" s="14" t="s">
        <v>85</v>
      </c>
      <c r="Q68" s="15" t="s">
        <v>102</v>
      </c>
      <c r="R68" s="15" t="s">
        <v>76</v>
      </c>
      <c r="S68" s="15" t="s">
        <v>77</v>
      </c>
    </row>
    <row r="69" spans="1:19" ht="18" customHeight="1" x14ac:dyDescent="0.15">
      <c r="A69" s="8"/>
      <c r="B69" s="83" t="s">
        <v>129</v>
      </c>
      <c r="C69" s="84"/>
      <c r="D69" s="85"/>
      <c r="E69" s="16">
        <v>1</v>
      </c>
      <c r="F69" s="16" t="s">
        <v>130</v>
      </c>
      <c r="G69" s="16" t="s">
        <v>130</v>
      </c>
      <c r="H69" s="16"/>
      <c r="I69" s="16"/>
      <c r="J69" s="83"/>
      <c r="K69" s="84"/>
      <c r="L69" s="84"/>
      <c r="M69" s="84"/>
      <c r="N69" s="85"/>
      <c r="O69" s="16"/>
      <c r="P69" s="16"/>
      <c r="Q69" s="16"/>
      <c r="R69" s="16"/>
      <c r="S69" s="16"/>
    </row>
    <row r="70" spans="1:19" ht="18" customHeight="1" x14ac:dyDescent="0.15">
      <c r="A70" s="8"/>
      <c r="B70" s="86" t="s">
        <v>138</v>
      </c>
      <c r="C70" s="87"/>
      <c r="D70" s="87"/>
      <c r="E70" s="17">
        <v>1</v>
      </c>
      <c r="F70" s="17" t="s">
        <v>130</v>
      </c>
      <c r="G70" s="17"/>
      <c r="H70" s="17" t="s">
        <v>130</v>
      </c>
      <c r="I70" s="17"/>
      <c r="J70" s="86"/>
      <c r="K70" s="87"/>
      <c r="L70" s="87"/>
      <c r="M70" s="87"/>
      <c r="N70" s="88"/>
      <c r="O70" s="17"/>
      <c r="P70" s="17"/>
      <c r="Q70" s="17"/>
      <c r="R70" s="17"/>
      <c r="S70" s="17"/>
    </row>
    <row r="71" spans="1:19" ht="18" customHeight="1" x14ac:dyDescent="0.15">
      <c r="A71" s="8"/>
      <c r="B71" s="86" t="s">
        <v>131</v>
      </c>
      <c r="C71" s="87"/>
      <c r="D71" s="87"/>
      <c r="E71" s="17">
        <v>2</v>
      </c>
      <c r="F71" s="17" t="s">
        <v>130</v>
      </c>
      <c r="G71" s="17"/>
      <c r="H71" s="17"/>
      <c r="I71" s="17" t="s">
        <v>130</v>
      </c>
      <c r="J71" s="86"/>
      <c r="K71" s="87"/>
      <c r="L71" s="87"/>
      <c r="M71" s="87"/>
      <c r="N71" s="88"/>
      <c r="O71" s="17"/>
      <c r="P71" s="17"/>
      <c r="Q71" s="17"/>
      <c r="R71" s="17"/>
      <c r="S71" s="17"/>
    </row>
    <row r="72" spans="1:19" ht="18" customHeight="1" x14ac:dyDescent="0.15">
      <c r="A72" s="8"/>
      <c r="B72" s="86"/>
      <c r="C72" s="87"/>
      <c r="D72" s="87"/>
      <c r="E72" s="17"/>
      <c r="F72" s="17"/>
      <c r="G72" s="17"/>
      <c r="H72" s="17"/>
      <c r="I72" s="17"/>
      <c r="J72" s="86"/>
      <c r="K72" s="87"/>
      <c r="L72" s="87"/>
      <c r="M72" s="87"/>
      <c r="N72" s="88"/>
      <c r="O72" s="17"/>
      <c r="P72" s="17"/>
      <c r="Q72" s="17"/>
      <c r="R72" s="17"/>
      <c r="S72" s="17"/>
    </row>
    <row r="73" spans="1:19" ht="18" customHeight="1" x14ac:dyDescent="0.15">
      <c r="A73" s="8"/>
      <c r="B73" s="86"/>
      <c r="C73" s="87"/>
      <c r="D73" s="87"/>
      <c r="E73" s="17"/>
      <c r="F73" s="17"/>
      <c r="G73" s="17"/>
      <c r="H73" s="17"/>
      <c r="I73" s="17"/>
      <c r="J73" s="86"/>
      <c r="K73" s="87"/>
      <c r="L73" s="87"/>
      <c r="M73" s="87"/>
      <c r="N73" s="88"/>
      <c r="O73" s="17"/>
      <c r="P73" s="17"/>
      <c r="Q73" s="17"/>
      <c r="R73" s="17"/>
      <c r="S73" s="17"/>
    </row>
    <row r="74" spans="1:19" ht="18" customHeight="1" x14ac:dyDescent="0.15">
      <c r="A74" s="8"/>
      <c r="B74" s="86"/>
      <c r="C74" s="87"/>
      <c r="D74" s="87"/>
      <c r="E74" s="17"/>
      <c r="F74" s="17"/>
      <c r="G74" s="17"/>
      <c r="H74" s="17"/>
      <c r="I74" s="17"/>
      <c r="J74" s="86"/>
      <c r="K74" s="87"/>
      <c r="L74" s="87"/>
      <c r="M74" s="87"/>
      <c r="N74" s="88"/>
      <c r="O74" s="17"/>
      <c r="P74" s="17"/>
      <c r="Q74" s="17"/>
      <c r="R74" s="17"/>
      <c r="S74" s="17"/>
    </row>
    <row r="75" spans="1:19" ht="18" customHeight="1" x14ac:dyDescent="0.15">
      <c r="A75" s="8"/>
      <c r="B75" s="92"/>
      <c r="C75" s="93"/>
      <c r="D75" s="93"/>
      <c r="E75" s="18"/>
      <c r="F75" s="18"/>
      <c r="G75" s="19"/>
      <c r="H75" s="19"/>
      <c r="I75" s="19"/>
      <c r="J75" s="92"/>
      <c r="K75" s="93"/>
      <c r="L75" s="93"/>
      <c r="M75" s="93"/>
      <c r="N75" s="94"/>
      <c r="O75" s="18"/>
      <c r="P75" s="18"/>
      <c r="Q75" s="19"/>
      <c r="R75" s="19"/>
      <c r="S75" s="19"/>
    </row>
    <row r="76" spans="1:19" ht="7.5" customHeight="1" x14ac:dyDescent="0.15">
      <c r="B76" s="20"/>
      <c r="C76" s="20"/>
      <c r="D76" s="20"/>
      <c r="E76" s="20"/>
      <c r="F76" s="20"/>
      <c r="G76" s="20"/>
      <c r="H76" s="20"/>
      <c r="I76" s="20"/>
      <c r="J76" s="20"/>
      <c r="K76" s="20"/>
      <c r="L76" s="20"/>
      <c r="M76" s="20"/>
      <c r="N76" s="20"/>
      <c r="O76" s="20"/>
      <c r="P76" s="20"/>
      <c r="Q76" s="20"/>
      <c r="R76" s="20"/>
    </row>
    <row r="77" spans="1:19" ht="18" customHeight="1" x14ac:dyDescent="0.15">
      <c r="A77" s="3" t="s">
        <v>119</v>
      </c>
      <c r="H77" s="8"/>
      <c r="I77" s="8"/>
      <c r="J77" s="8"/>
      <c r="K77" s="8"/>
      <c r="L77" s="8"/>
      <c r="M77" s="8"/>
      <c r="N77" s="8"/>
      <c r="O77" s="8"/>
      <c r="P77" s="8"/>
      <c r="Q77" s="8"/>
      <c r="R77" s="8"/>
      <c r="S77" s="8"/>
    </row>
    <row r="78" spans="1:19" ht="18" customHeight="1" x14ac:dyDescent="0.15">
      <c r="B78" s="89" t="s">
        <v>54</v>
      </c>
      <c r="C78" s="90"/>
      <c r="D78" s="90"/>
      <c r="E78" s="91"/>
      <c r="F78" s="89" t="s">
        <v>83</v>
      </c>
      <c r="G78" s="90"/>
      <c r="H78" s="90"/>
      <c r="I78" s="91"/>
      <c r="J78" s="114" t="s">
        <v>54</v>
      </c>
      <c r="K78" s="115"/>
      <c r="L78" s="115"/>
      <c r="M78" s="115"/>
      <c r="N78" s="115"/>
      <c r="O78" s="116"/>
      <c r="P78" s="89" t="s">
        <v>83</v>
      </c>
      <c r="Q78" s="90"/>
      <c r="R78" s="90"/>
      <c r="S78" s="91"/>
    </row>
    <row r="79" spans="1:19" ht="18" customHeight="1" x14ac:dyDescent="0.15">
      <c r="A79" s="8"/>
      <c r="B79" s="83"/>
      <c r="C79" s="84"/>
      <c r="D79" s="84"/>
      <c r="E79" s="85"/>
      <c r="F79" s="108"/>
      <c r="G79" s="109"/>
      <c r="H79" s="109"/>
      <c r="I79" s="110"/>
      <c r="J79" s="83"/>
      <c r="K79" s="84"/>
      <c r="L79" s="84"/>
      <c r="M79" s="84"/>
      <c r="N79" s="84"/>
      <c r="O79" s="85"/>
      <c r="P79" s="108"/>
      <c r="Q79" s="109"/>
      <c r="R79" s="109"/>
      <c r="S79" s="110"/>
    </row>
    <row r="80" spans="1:19" ht="18" customHeight="1" x14ac:dyDescent="0.15">
      <c r="A80" s="8"/>
      <c r="B80" s="86"/>
      <c r="C80" s="87"/>
      <c r="D80" s="87"/>
      <c r="E80" s="88"/>
      <c r="F80" s="111"/>
      <c r="G80" s="112"/>
      <c r="H80" s="112"/>
      <c r="I80" s="113"/>
      <c r="J80" s="86"/>
      <c r="K80" s="87"/>
      <c r="L80" s="87"/>
      <c r="M80" s="87"/>
      <c r="N80" s="87"/>
      <c r="O80" s="88"/>
      <c r="P80" s="111"/>
      <c r="Q80" s="112"/>
      <c r="R80" s="112"/>
      <c r="S80" s="113"/>
    </row>
    <row r="81" spans="1:19" ht="18" customHeight="1" x14ac:dyDescent="0.15">
      <c r="A81" s="8"/>
      <c r="B81" s="86"/>
      <c r="C81" s="87"/>
      <c r="D81" s="87"/>
      <c r="E81" s="88"/>
      <c r="F81" s="111"/>
      <c r="G81" s="112"/>
      <c r="H81" s="112"/>
      <c r="I81" s="113"/>
      <c r="J81" s="86"/>
      <c r="K81" s="87"/>
      <c r="L81" s="87"/>
      <c r="M81" s="87"/>
      <c r="N81" s="87"/>
      <c r="O81" s="88"/>
      <c r="P81" s="111"/>
      <c r="Q81" s="112"/>
      <c r="R81" s="112"/>
      <c r="S81" s="113"/>
    </row>
    <row r="82" spans="1:19" ht="18" customHeight="1" x14ac:dyDescent="0.15">
      <c r="A82" s="8"/>
      <c r="B82" s="86"/>
      <c r="C82" s="87"/>
      <c r="D82" s="87"/>
      <c r="E82" s="88"/>
      <c r="F82" s="111"/>
      <c r="G82" s="112"/>
      <c r="H82" s="112"/>
      <c r="I82" s="113"/>
      <c r="J82" s="86"/>
      <c r="K82" s="87"/>
      <c r="L82" s="87"/>
      <c r="M82" s="87"/>
      <c r="N82" s="87"/>
      <c r="O82" s="88"/>
      <c r="P82" s="111"/>
      <c r="Q82" s="112"/>
      <c r="R82" s="112"/>
      <c r="S82" s="113"/>
    </row>
    <row r="83" spans="1:19" ht="18" customHeight="1" x14ac:dyDescent="0.15">
      <c r="A83" s="8"/>
      <c r="B83" s="86"/>
      <c r="C83" s="87"/>
      <c r="D83" s="87"/>
      <c r="E83" s="88"/>
      <c r="F83" s="111"/>
      <c r="G83" s="112"/>
      <c r="H83" s="112"/>
      <c r="I83" s="113"/>
      <c r="J83" s="86"/>
      <c r="K83" s="87"/>
      <c r="L83" s="87"/>
      <c r="M83" s="87"/>
      <c r="N83" s="87"/>
      <c r="O83" s="88"/>
      <c r="P83" s="111"/>
      <c r="Q83" s="112"/>
      <c r="R83" s="112"/>
      <c r="S83" s="113"/>
    </row>
    <row r="84" spans="1:19" ht="18" customHeight="1" x14ac:dyDescent="0.15">
      <c r="A84" s="8"/>
      <c r="B84" s="86"/>
      <c r="C84" s="87"/>
      <c r="D84" s="87"/>
      <c r="E84" s="88"/>
      <c r="F84" s="111"/>
      <c r="G84" s="112"/>
      <c r="H84" s="112"/>
      <c r="I84" s="113"/>
      <c r="J84" s="86"/>
      <c r="K84" s="87"/>
      <c r="L84" s="87"/>
      <c r="M84" s="87"/>
      <c r="N84" s="87"/>
      <c r="O84" s="88"/>
      <c r="P84" s="111"/>
      <c r="Q84" s="112"/>
      <c r="R84" s="112"/>
      <c r="S84" s="113"/>
    </row>
    <row r="85" spans="1:19" ht="18" customHeight="1" x14ac:dyDescent="0.15">
      <c r="A85" s="8"/>
      <c r="B85" s="92"/>
      <c r="C85" s="93"/>
      <c r="D85" s="93"/>
      <c r="E85" s="94"/>
      <c r="F85" s="120"/>
      <c r="G85" s="121"/>
      <c r="H85" s="121"/>
      <c r="I85" s="122"/>
      <c r="J85" s="92"/>
      <c r="K85" s="93"/>
      <c r="L85" s="93"/>
      <c r="M85" s="93"/>
      <c r="N85" s="93"/>
      <c r="O85" s="94"/>
      <c r="P85" s="120"/>
      <c r="Q85" s="121"/>
      <c r="R85" s="121"/>
      <c r="S85" s="122"/>
    </row>
    <row r="86" spans="1:19" ht="18" customHeight="1" x14ac:dyDescent="0.15">
      <c r="A86" s="8"/>
      <c r="B86" s="6"/>
      <c r="C86" s="6"/>
      <c r="D86" s="6"/>
      <c r="E86" s="6"/>
      <c r="F86" s="22"/>
      <c r="G86" s="22"/>
      <c r="H86" s="22"/>
      <c r="I86" s="22"/>
      <c r="J86" s="6"/>
      <c r="K86" s="6"/>
      <c r="L86" s="6"/>
      <c r="M86" s="6"/>
      <c r="N86" s="6"/>
      <c r="O86" s="6"/>
      <c r="P86" s="22"/>
      <c r="Q86" s="22"/>
      <c r="R86" s="22"/>
      <c r="S86" s="22"/>
    </row>
    <row r="87" spans="1:19" ht="18.75" customHeight="1" x14ac:dyDescent="0.15">
      <c r="A87" s="3" t="s">
        <v>120</v>
      </c>
    </row>
    <row r="88" spans="1:19" ht="18.75" customHeight="1" x14ac:dyDescent="0.15">
      <c r="B88" s="106" t="s">
        <v>55</v>
      </c>
      <c r="C88" s="107"/>
      <c r="D88" s="90" t="s">
        <v>56</v>
      </c>
      <c r="E88" s="90"/>
      <c r="F88" s="90"/>
      <c r="G88" s="90"/>
      <c r="H88" s="90"/>
      <c r="I88" s="90"/>
      <c r="J88" s="90"/>
      <c r="K88" s="90"/>
      <c r="L88" s="90"/>
      <c r="M88" s="90"/>
      <c r="N88" s="90"/>
      <c r="O88" s="90"/>
      <c r="P88" s="90"/>
      <c r="Q88" s="90"/>
      <c r="R88" s="90"/>
      <c r="S88" s="91"/>
    </row>
    <row r="89" spans="1:19" ht="97.5" customHeight="1" x14ac:dyDescent="0.15">
      <c r="B89" s="96" t="s">
        <v>62</v>
      </c>
      <c r="C89" s="23" t="s">
        <v>57</v>
      </c>
      <c r="D89" s="103" t="s">
        <v>164</v>
      </c>
      <c r="E89" s="104"/>
      <c r="F89" s="104"/>
      <c r="G89" s="104"/>
      <c r="H89" s="104"/>
      <c r="I89" s="104"/>
      <c r="J89" s="104"/>
      <c r="K89" s="104"/>
      <c r="L89" s="104"/>
      <c r="M89" s="104"/>
      <c r="N89" s="104"/>
      <c r="O89" s="104"/>
      <c r="P89" s="104"/>
      <c r="Q89" s="104"/>
      <c r="R89" s="104"/>
      <c r="S89" s="105"/>
    </row>
    <row r="90" spans="1:19" ht="97.5" customHeight="1" x14ac:dyDescent="0.15">
      <c r="B90" s="97"/>
      <c r="C90" s="24" t="s">
        <v>78</v>
      </c>
      <c r="D90" s="123" t="s">
        <v>163</v>
      </c>
      <c r="E90" s="124"/>
      <c r="F90" s="124"/>
      <c r="G90" s="124"/>
      <c r="H90" s="124"/>
      <c r="I90" s="124"/>
      <c r="J90" s="124"/>
      <c r="K90" s="124"/>
      <c r="L90" s="124"/>
      <c r="M90" s="124"/>
      <c r="N90" s="124"/>
      <c r="O90" s="124"/>
      <c r="P90" s="124"/>
      <c r="Q90" s="124"/>
      <c r="R90" s="124"/>
      <c r="S90" s="125"/>
    </row>
    <row r="91" spans="1:19" ht="97.5" customHeight="1" x14ac:dyDescent="0.15">
      <c r="B91" s="96" t="s">
        <v>63</v>
      </c>
      <c r="C91" s="25" t="s">
        <v>72</v>
      </c>
      <c r="D91" s="103" t="s">
        <v>165</v>
      </c>
      <c r="E91" s="104"/>
      <c r="F91" s="104"/>
      <c r="G91" s="104"/>
      <c r="H91" s="104"/>
      <c r="I91" s="104"/>
      <c r="J91" s="104"/>
      <c r="K91" s="104"/>
      <c r="L91" s="104"/>
      <c r="M91" s="104"/>
      <c r="N91" s="104"/>
      <c r="O91" s="104"/>
      <c r="P91" s="104"/>
      <c r="Q91" s="104"/>
      <c r="R91" s="104"/>
      <c r="S91" s="105"/>
    </row>
    <row r="92" spans="1:19" ht="97.5" customHeight="1" x14ac:dyDescent="0.15">
      <c r="B92" s="98"/>
      <c r="C92" s="26" t="s">
        <v>73</v>
      </c>
      <c r="D92" s="103" t="s">
        <v>170</v>
      </c>
      <c r="E92" s="104"/>
      <c r="F92" s="104"/>
      <c r="G92" s="104"/>
      <c r="H92" s="104"/>
      <c r="I92" s="104"/>
      <c r="J92" s="104"/>
      <c r="K92" s="104"/>
      <c r="L92" s="104"/>
      <c r="M92" s="104"/>
      <c r="N92" s="104"/>
      <c r="O92" s="104"/>
      <c r="P92" s="104"/>
      <c r="Q92" s="104"/>
      <c r="R92" s="104"/>
      <c r="S92" s="105"/>
    </row>
    <row r="93" spans="1:19" ht="97.5" customHeight="1" x14ac:dyDescent="0.15">
      <c r="B93" s="96" t="s">
        <v>64</v>
      </c>
      <c r="C93" s="25" t="s">
        <v>74</v>
      </c>
      <c r="D93" s="126" t="s">
        <v>169</v>
      </c>
      <c r="E93" s="127"/>
      <c r="F93" s="127"/>
      <c r="G93" s="127"/>
      <c r="H93" s="127"/>
      <c r="I93" s="127"/>
      <c r="J93" s="127"/>
      <c r="K93" s="127"/>
      <c r="L93" s="127"/>
      <c r="M93" s="127"/>
      <c r="N93" s="127"/>
      <c r="O93" s="127"/>
      <c r="P93" s="127"/>
      <c r="Q93" s="127"/>
      <c r="R93" s="127"/>
      <c r="S93" s="128"/>
    </row>
    <row r="94" spans="1:19" ht="97.5" customHeight="1" x14ac:dyDescent="0.15">
      <c r="B94" s="98"/>
      <c r="C94" s="27" t="s">
        <v>75</v>
      </c>
      <c r="D94" s="103" t="s">
        <v>167</v>
      </c>
      <c r="E94" s="104"/>
      <c r="F94" s="104"/>
      <c r="G94" s="104"/>
      <c r="H94" s="104"/>
      <c r="I94" s="104"/>
      <c r="J94" s="104"/>
      <c r="K94" s="104"/>
      <c r="L94" s="104"/>
      <c r="M94" s="104"/>
      <c r="N94" s="104"/>
      <c r="O94" s="104"/>
      <c r="P94" s="104"/>
      <c r="Q94" s="104"/>
      <c r="R94" s="104"/>
      <c r="S94" s="105"/>
    </row>
    <row r="95" spans="1:19" ht="97.5" customHeight="1" x14ac:dyDescent="0.15">
      <c r="B95" s="96" t="s">
        <v>79</v>
      </c>
      <c r="C95" s="23" t="s">
        <v>59</v>
      </c>
      <c r="D95" s="103" t="s">
        <v>173</v>
      </c>
      <c r="E95" s="104"/>
      <c r="F95" s="104"/>
      <c r="G95" s="104"/>
      <c r="H95" s="104"/>
      <c r="I95" s="104"/>
      <c r="J95" s="104"/>
      <c r="K95" s="104"/>
      <c r="L95" s="104"/>
      <c r="M95" s="104"/>
      <c r="N95" s="104"/>
      <c r="O95" s="104"/>
      <c r="P95" s="104"/>
      <c r="Q95" s="104"/>
      <c r="R95" s="104"/>
      <c r="S95" s="105"/>
    </row>
    <row r="96" spans="1:19" ht="97.5" customHeight="1" x14ac:dyDescent="0.15">
      <c r="B96" s="98"/>
      <c r="C96" s="26" t="s">
        <v>61</v>
      </c>
      <c r="D96" s="129" t="s">
        <v>166</v>
      </c>
      <c r="E96" s="130"/>
      <c r="F96" s="130"/>
      <c r="G96" s="130"/>
      <c r="H96" s="130"/>
      <c r="I96" s="130"/>
      <c r="J96" s="130"/>
      <c r="K96" s="130"/>
      <c r="L96" s="130"/>
      <c r="M96" s="130"/>
      <c r="N96" s="130"/>
      <c r="O96" s="130"/>
      <c r="P96" s="130"/>
      <c r="Q96" s="130"/>
      <c r="R96" s="130"/>
      <c r="S96" s="131"/>
    </row>
    <row r="97" spans="1:19" ht="97.5" customHeight="1" x14ac:dyDescent="0.15">
      <c r="B97" s="96" t="s">
        <v>80</v>
      </c>
      <c r="C97" s="25" t="s">
        <v>58</v>
      </c>
      <c r="D97" s="99" t="s">
        <v>162</v>
      </c>
      <c r="E97" s="84"/>
      <c r="F97" s="84"/>
      <c r="G97" s="84"/>
      <c r="H97" s="84"/>
      <c r="I97" s="84"/>
      <c r="J97" s="84"/>
      <c r="K97" s="84"/>
      <c r="L97" s="84"/>
      <c r="M97" s="84"/>
      <c r="N97" s="84"/>
      <c r="O97" s="84"/>
      <c r="P97" s="84"/>
      <c r="Q97" s="84"/>
      <c r="R97" s="84"/>
      <c r="S97" s="85"/>
    </row>
    <row r="98" spans="1:19" ht="97.5" customHeight="1" x14ac:dyDescent="0.15">
      <c r="B98" s="97"/>
      <c r="C98" s="28" t="s">
        <v>76</v>
      </c>
      <c r="D98" s="132" t="s">
        <v>171</v>
      </c>
      <c r="E98" s="87"/>
      <c r="F98" s="87"/>
      <c r="G98" s="87"/>
      <c r="H98" s="87"/>
      <c r="I98" s="87"/>
      <c r="J98" s="87"/>
      <c r="K98" s="87"/>
      <c r="L98" s="87"/>
      <c r="M98" s="87"/>
      <c r="N98" s="87"/>
      <c r="O98" s="87"/>
      <c r="P98" s="87"/>
      <c r="Q98" s="87"/>
      <c r="R98" s="87"/>
      <c r="S98" s="88"/>
    </row>
    <row r="99" spans="1:19" ht="97.5" customHeight="1" x14ac:dyDescent="0.15">
      <c r="B99" s="98"/>
      <c r="C99" s="27" t="s">
        <v>77</v>
      </c>
      <c r="D99" s="100" t="s">
        <v>172</v>
      </c>
      <c r="E99" s="101"/>
      <c r="F99" s="101"/>
      <c r="G99" s="101"/>
      <c r="H99" s="101"/>
      <c r="I99" s="101"/>
      <c r="J99" s="101"/>
      <c r="K99" s="101"/>
      <c r="L99" s="101"/>
      <c r="M99" s="101"/>
      <c r="N99" s="101"/>
      <c r="O99" s="101"/>
      <c r="P99" s="101"/>
      <c r="Q99" s="101"/>
      <c r="R99" s="101"/>
      <c r="S99" s="102"/>
    </row>
    <row r="100" spans="1:19" ht="6" customHeight="1" x14ac:dyDescent="0.15"/>
    <row r="101" spans="1:19" ht="18.75" customHeight="1" x14ac:dyDescent="0.15">
      <c r="A101" s="3" t="s">
        <v>121</v>
      </c>
    </row>
    <row r="102" spans="1:19" ht="81.75" customHeight="1" x14ac:dyDescent="0.15">
      <c r="B102" s="117" t="s">
        <v>148</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Normal="100" zoomScaleSheetLayoutView="100" workbookViewId="0">
      <selection activeCell="C5" sqref="C5:D5"/>
    </sheetView>
  </sheetViews>
  <sheetFormatPr defaultColWidth="9" defaultRowHeight="18.75" customHeight="1" x14ac:dyDescent="0.15"/>
  <cols>
    <col min="1" max="1" width="2.75" style="3" customWidth="1"/>
    <col min="2" max="2" width="20.75" style="3" customWidth="1"/>
    <col min="3" max="5" width="6.125" style="3" customWidth="1"/>
    <col min="6" max="42" width="4.875" style="3" customWidth="1"/>
    <col min="43" max="43" width="6.625" style="3" customWidth="1"/>
    <col min="44" max="16384" width="9" style="3"/>
  </cols>
  <sheetData>
    <row r="1" spans="1:45" ht="18" customHeight="1" x14ac:dyDescent="0.15">
      <c r="AQ1" s="3" t="s">
        <v>107</v>
      </c>
    </row>
    <row r="2" spans="1:45" ht="18" customHeight="1" x14ac:dyDescent="0.15">
      <c r="K2" s="5"/>
      <c r="Q2" s="5"/>
      <c r="W2" s="5"/>
      <c r="AC2" s="5"/>
      <c r="AI2" s="5"/>
      <c r="AL2" s="5" t="s">
        <v>109</v>
      </c>
      <c r="AM2" s="162" t="str">
        <f>'様式１　プログラムを構成する授業科目'!C2</f>
        <v>名古屋文理大学短期大学部</v>
      </c>
      <c r="AN2" s="162"/>
      <c r="AO2" s="162"/>
      <c r="AP2" s="162"/>
      <c r="AQ2" s="162"/>
    </row>
    <row r="3" spans="1:45" ht="18" customHeight="1" x14ac:dyDescent="0.15">
      <c r="A3" s="137" t="s">
        <v>48</v>
      </c>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row>
    <row r="4" spans="1:45" ht="7.5" customHeight="1" x14ac:dyDescent="0.1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row>
    <row r="5" spans="1:45" ht="18" customHeight="1" x14ac:dyDescent="0.15">
      <c r="A5" s="3" t="s">
        <v>84</v>
      </c>
      <c r="C5" s="163" t="s">
        <v>132</v>
      </c>
      <c r="D5" s="164"/>
      <c r="E5" s="8" t="s">
        <v>53</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6"/>
      <c r="AQ5" s="6"/>
    </row>
    <row r="6" spans="1:45" ht="6" customHeight="1" x14ac:dyDescent="0.1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row>
    <row r="7" spans="1:45" ht="18" customHeight="1" x14ac:dyDescent="0.15">
      <c r="A7" s="3" t="s">
        <v>82</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row>
    <row r="8" spans="1:45" ht="6" customHeight="1" x14ac:dyDescent="0.15">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row>
    <row r="9" spans="1:45" ht="18" customHeight="1" x14ac:dyDescent="0.15">
      <c r="B9" s="165" t="s">
        <v>45</v>
      </c>
      <c r="C9" s="180" t="s">
        <v>87</v>
      </c>
      <c r="D9" s="168" t="s">
        <v>47</v>
      </c>
      <c r="E9" s="171" t="s">
        <v>40</v>
      </c>
      <c r="F9" s="159" t="s">
        <v>86</v>
      </c>
      <c r="G9" s="159"/>
      <c r="H9" s="159"/>
      <c r="I9" s="159"/>
      <c r="J9" s="159"/>
      <c r="K9" s="159"/>
      <c r="L9" s="159" t="s">
        <v>49</v>
      </c>
      <c r="M9" s="159"/>
      <c r="N9" s="159"/>
      <c r="O9" s="159"/>
      <c r="P9" s="159"/>
      <c r="Q9" s="159"/>
      <c r="R9" s="159" t="s">
        <v>50</v>
      </c>
      <c r="S9" s="159"/>
      <c r="T9" s="159"/>
      <c r="U9" s="159"/>
      <c r="V9" s="159"/>
      <c r="W9" s="159"/>
      <c r="X9" s="159" t="s">
        <v>101</v>
      </c>
      <c r="Y9" s="159"/>
      <c r="Z9" s="159"/>
      <c r="AA9" s="159"/>
      <c r="AB9" s="159"/>
      <c r="AC9" s="159"/>
      <c r="AD9" s="159" t="s">
        <v>51</v>
      </c>
      <c r="AE9" s="159"/>
      <c r="AF9" s="159"/>
      <c r="AG9" s="159"/>
      <c r="AH9" s="159"/>
      <c r="AI9" s="159"/>
      <c r="AJ9" s="159" t="s">
        <v>52</v>
      </c>
      <c r="AK9" s="159"/>
      <c r="AL9" s="159"/>
      <c r="AM9" s="159"/>
      <c r="AN9" s="159"/>
      <c r="AO9" s="159"/>
      <c r="AP9" s="174" t="s">
        <v>35</v>
      </c>
      <c r="AQ9" s="177" t="s">
        <v>32</v>
      </c>
      <c r="AS9" s="4"/>
    </row>
    <row r="10" spans="1:45" ht="16.899999999999999" customHeight="1" x14ac:dyDescent="0.15">
      <c r="B10" s="166"/>
      <c r="C10" s="181"/>
      <c r="D10" s="169"/>
      <c r="E10" s="172"/>
      <c r="F10" s="160" t="s">
        <v>97</v>
      </c>
      <c r="G10" s="161"/>
      <c r="H10" s="161"/>
      <c r="I10" s="160" t="s">
        <v>29</v>
      </c>
      <c r="J10" s="161"/>
      <c r="K10" s="161"/>
      <c r="L10" s="160" t="s">
        <v>97</v>
      </c>
      <c r="M10" s="161"/>
      <c r="N10" s="161"/>
      <c r="O10" s="160" t="s">
        <v>29</v>
      </c>
      <c r="P10" s="161"/>
      <c r="Q10" s="161"/>
      <c r="R10" s="160" t="s">
        <v>97</v>
      </c>
      <c r="S10" s="161"/>
      <c r="T10" s="161"/>
      <c r="U10" s="160" t="s">
        <v>29</v>
      </c>
      <c r="V10" s="161"/>
      <c r="W10" s="161"/>
      <c r="X10" s="160" t="s">
        <v>97</v>
      </c>
      <c r="Y10" s="161"/>
      <c r="Z10" s="161"/>
      <c r="AA10" s="160" t="s">
        <v>29</v>
      </c>
      <c r="AB10" s="161"/>
      <c r="AC10" s="161"/>
      <c r="AD10" s="160" t="s">
        <v>97</v>
      </c>
      <c r="AE10" s="161"/>
      <c r="AF10" s="161"/>
      <c r="AG10" s="160" t="s">
        <v>29</v>
      </c>
      <c r="AH10" s="161"/>
      <c r="AI10" s="161"/>
      <c r="AJ10" s="160" t="s">
        <v>97</v>
      </c>
      <c r="AK10" s="161"/>
      <c r="AL10" s="161"/>
      <c r="AM10" s="160" t="s">
        <v>29</v>
      </c>
      <c r="AN10" s="161"/>
      <c r="AO10" s="161"/>
      <c r="AP10" s="175"/>
      <c r="AQ10" s="178"/>
      <c r="AS10" s="4"/>
    </row>
    <row r="11" spans="1:45" ht="18" customHeight="1" x14ac:dyDescent="0.15">
      <c r="B11" s="167"/>
      <c r="C11" s="182"/>
      <c r="D11" s="170"/>
      <c r="E11" s="173"/>
      <c r="F11" s="29" t="s">
        <v>98</v>
      </c>
      <c r="G11" s="30" t="s">
        <v>99</v>
      </c>
      <c r="H11" s="31" t="s">
        <v>100</v>
      </c>
      <c r="I11" s="29" t="s">
        <v>98</v>
      </c>
      <c r="J11" s="30" t="s">
        <v>99</v>
      </c>
      <c r="K11" s="31" t="s">
        <v>100</v>
      </c>
      <c r="L11" s="29" t="s">
        <v>98</v>
      </c>
      <c r="M11" s="30" t="s">
        <v>99</v>
      </c>
      <c r="N11" s="31" t="s">
        <v>100</v>
      </c>
      <c r="O11" s="29" t="s">
        <v>98</v>
      </c>
      <c r="P11" s="30" t="s">
        <v>99</v>
      </c>
      <c r="Q11" s="31" t="s">
        <v>100</v>
      </c>
      <c r="R11" s="29" t="s">
        <v>98</v>
      </c>
      <c r="S11" s="30" t="s">
        <v>99</v>
      </c>
      <c r="T11" s="31" t="s">
        <v>100</v>
      </c>
      <c r="U11" s="29" t="s">
        <v>98</v>
      </c>
      <c r="V11" s="30" t="s">
        <v>99</v>
      </c>
      <c r="W11" s="31" t="s">
        <v>100</v>
      </c>
      <c r="X11" s="29" t="s">
        <v>98</v>
      </c>
      <c r="Y11" s="30" t="s">
        <v>99</v>
      </c>
      <c r="Z11" s="31" t="s">
        <v>100</v>
      </c>
      <c r="AA11" s="29" t="s">
        <v>98</v>
      </c>
      <c r="AB11" s="30" t="s">
        <v>99</v>
      </c>
      <c r="AC11" s="31" t="s">
        <v>100</v>
      </c>
      <c r="AD11" s="29" t="s">
        <v>98</v>
      </c>
      <c r="AE11" s="30" t="s">
        <v>99</v>
      </c>
      <c r="AF11" s="31" t="s">
        <v>100</v>
      </c>
      <c r="AG11" s="29" t="s">
        <v>98</v>
      </c>
      <c r="AH11" s="30" t="s">
        <v>99</v>
      </c>
      <c r="AI11" s="31" t="s">
        <v>100</v>
      </c>
      <c r="AJ11" s="29" t="s">
        <v>98</v>
      </c>
      <c r="AK11" s="30" t="s">
        <v>99</v>
      </c>
      <c r="AL11" s="31" t="s">
        <v>100</v>
      </c>
      <c r="AM11" s="29" t="s">
        <v>98</v>
      </c>
      <c r="AN11" s="30" t="s">
        <v>99</v>
      </c>
      <c r="AO11" s="31" t="s">
        <v>100</v>
      </c>
      <c r="AP11" s="176"/>
      <c r="AQ11" s="179"/>
      <c r="AS11" s="4"/>
    </row>
    <row r="12" spans="1:45" ht="18" customHeight="1" x14ac:dyDescent="0.15">
      <c r="A12" s="6"/>
      <c r="B12" s="32" t="s">
        <v>133</v>
      </c>
      <c r="C12" s="33">
        <v>90</v>
      </c>
      <c r="D12" s="34">
        <v>150</v>
      </c>
      <c r="E12" s="35">
        <v>300</v>
      </c>
      <c r="F12" s="35">
        <v>89</v>
      </c>
      <c r="G12" s="36"/>
      <c r="H12" s="37"/>
      <c r="I12" s="35">
        <v>81</v>
      </c>
      <c r="J12" s="36"/>
      <c r="K12" s="37"/>
      <c r="L12" s="35">
        <f>M12+N12</f>
        <v>0</v>
      </c>
      <c r="M12" s="36"/>
      <c r="N12" s="37"/>
      <c r="O12" s="35">
        <f>P12+Q12</f>
        <v>0</v>
      </c>
      <c r="P12" s="36"/>
      <c r="Q12" s="37"/>
      <c r="R12" s="35">
        <f>S12+T12</f>
        <v>0</v>
      </c>
      <c r="S12" s="36"/>
      <c r="T12" s="37"/>
      <c r="U12" s="35">
        <f>V12+W12</f>
        <v>0</v>
      </c>
      <c r="V12" s="36"/>
      <c r="W12" s="37"/>
      <c r="X12" s="35">
        <f>Y12+Z12</f>
        <v>0</v>
      </c>
      <c r="Y12" s="36"/>
      <c r="Z12" s="37"/>
      <c r="AA12" s="35">
        <f>AB12+AC12</f>
        <v>0</v>
      </c>
      <c r="AB12" s="36"/>
      <c r="AC12" s="37"/>
      <c r="AD12" s="35">
        <f>AE12+AF12</f>
        <v>0</v>
      </c>
      <c r="AE12" s="36"/>
      <c r="AF12" s="37"/>
      <c r="AG12" s="35">
        <f>AH12+AI12</f>
        <v>0</v>
      </c>
      <c r="AH12" s="36"/>
      <c r="AI12" s="37"/>
      <c r="AJ12" s="35">
        <f>AK12+AL12</f>
        <v>0</v>
      </c>
      <c r="AK12" s="36"/>
      <c r="AL12" s="37"/>
      <c r="AM12" s="35">
        <f>AN12+AO12</f>
        <v>0</v>
      </c>
      <c r="AN12" s="36"/>
      <c r="AO12" s="37"/>
      <c r="AP12" s="34">
        <f>F12+L12+R12+X12+AD12+AJ12</f>
        <v>89</v>
      </c>
      <c r="AQ12" s="38">
        <f t="shared" ref="AQ12:AQ32" si="0">AP12/E12</f>
        <v>0.29666666666666669</v>
      </c>
    </row>
    <row r="13" spans="1:45" ht="18" customHeight="1" x14ac:dyDescent="0.15">
      <c r="A13" s="6"/>
      <c r="B13" s="39" t="s">
        <v>134</v>
      </c>
      <c r="C13" s="40">
        <v>19</v>
      </c>
      <c r="D13" s="41">
        <v>40</v>
      </c>
      <c r="E13" s="42">
        <v>80</v>
      </c>
      <c r="F13" s="43">
        <v>19</v>
      </c>
      <c r="G13" s="44"/>
      <c r="H13" s="45"/>
      <c r="I13" s="43">
        <v>19</v>
      </c>
      <c r="J13" s="44"/>
      <c r="K13" s="45"/>
      <c r="L13" s="43">
        <f t="shared" ref="L13:L31" si="1">M13+N13</f>
        <v>0</v>
      </c>
      <c r="M13" s="44"/>
      <c r="N13" s="45"/>
      <c r="O13" s="43">
        <f t="shared" ref="O13:O31" si="2">P13+Q13</f>
        <v>0</v>
      </c>
      <c r="P13" s="44"/>
      <c r="Q13" s="45"/>
      <c r="R13" s="43">
        <f t="shared" ref="R13:R31" si="3">S13+T13</f>
        <v>0</v>
      </c>
      <c r="S13" s="44"/>
      <c r="T13" s="45"/>
      <c r="U13" s="43">
        <f t="shared" ref="U13:U31" si="4">V13+W13</f>
        <v>0</v>
      </c>
      <c r="V13" s="44"/>
      <c r="W13" s="45"/>
      <c r="X13" s="43">
        <f t="shared" ref="X13:X31" si="5">Y13+Z13</f>
        <v>0</v>
      </c>
      <c r="Y13" s="44"/>
      <c r="Z13" s="45"/>
      <c r="AA13" s="43">
        <f t="shared" ref="AA13:AA31" si="6">AB13+AC13</f>
        <v>0</v>
      </c>
      <c r="AB13" s="44"/>
      <c r="AC13" s="45"/>
      <c r="AD13" s="43">
        <f t="shared" ref="AD13:AD31" si="7">AE13+AF13</f>
        <v>0</v>
      </c>
      <c r="AE13" s="44"/>
      <c r="AF13" s="45"/>
      <c r="AG13" s="43">
        <f t="shared" ref="AG13:AG31" si="8">AH13+AI13</f>
        <v>0</v>
      </c>
      <c r="AH13" s="44"/>
      <c r="AI13" s="45"/>
      <c r="AJ13" s="43">
        <f t="shared" ref="AJ13:AJ31" si="9">AK13+AL13</f>
        <v>0</v>
      </c>
      <c r="AK13" s="44"/>
      <c r="AL13" s="45"/>
      <c r="AM13" s="43">
        <f t="shared" ref="AM13:AM31" si="10">AN13+AO13</f>
        <v>0</v>
      </c>
      <c r="AN13" s="44"/>
      <c r="AO13" s="45"/>
      <c r="AP13" s="41">
        <f t="shared" ref="AP13:AP31" si="11">F13+L13+R13+X13+AD13+AJ13</f>
        <v>19</v>
      </c>
      <c r="AQ13" s="46">
        <f t="shared" si="0"/>
        <v>0.23749999999999999</v>
      </c>
    </row>
    <row r="14" spans="1:45" ht="18" customHeight="1" x14ac:dyDescent="0.15">
      <c r="A14" s="6"/>
      <c r="B14" s="39"/>
      <c r="C14" s="40"/>
      <c r="D14" s="41"/>
      <c r="E14" s="42"/>
      <c r="F14" s="43">
        <f t="shared" ref="F14:F31" si="12">G14+H14</f>
        <v>0</v>
      </c>
      <c r="G14" s="44"/>
      <c r="H14" s="45"/>
      <c r="I14" s="43">
        <f t="shared" ref="I14:I31" si="13">J14+K14</f>
        <v>0</v>
      </c>
      <c r="J14" s="44"/>
      <c r="K14" s="45"/>
      <c r="L14" s="43">
        <f t="shared" si="1"/>
        <v>0</v>
      </c>
      <c r="M14" s="44"/>
      <c r="N14" s="45"/>
      <c r="O14" s="43">
        <f t="shared" si="2"/>
        <v>0</v>
      </c>
      <c r="P14" s="44"/>
      <c r="Q14" s="45"/>
      <c r="R14" s="43">
        <f t="shared" si="3"/>
        <v>0</v>
      </c>
      <c r="S14" s="44"/>
      <c r="T14" s="45"/>
      <c r="U14" s="43">
        <f t="shared" si="4"/>
        <v>0</v>
      </c>
      <c r="V14" s="44"/>
      <c r="W14" s="45"/>
      <c r="X14" s="43">
        <f t="shared" si="5"/>
        <v>0</v>
      </c>
      <c r="Y14" s="44"/>
      <c r="Z14" s="45"/>
      <c r="AA14" s="43">
        <f t="shared" si="6"/>
        <v>0</v>
      </c>
      <c r="AB14" s="44"/>
      <c r="AC14" s="45"/>
      <c r="AD14" s="43">
        <f t="shared" si="7"/>
        <v>0</v>
      </c>
      <c r="AE14" s="44"/>
      <c r="AF14" s="45"/>
      <c r="AG14" s="43">
        <f t="shared" si="8"/>
        <v>0</v>
      </c>
      <c r="AH14" s="44"/>
      <c r="AI14" s="45"/>
      <c r="AJ14" s="43">
        <f t="shared" si="9"/>
        <v>0</v>
      </c>
      <c r="AK14" s="44"/>
      <c r="AL14" s="45"/>
      <c r="AM14" s="43">
        <f t="shared" si="10"/>
        <v>0</v>
      </c>
      <c r="AN14" s="44"/>
      <c r="AO14" s="45"/>
      <c r="AP14" s="41">
        <f t="shared" si="11"/>
        <v>0</v>
      </c>
      <c r="AQ14" s="47" t="e">
        <f t="shared" si="0"/>
        <v>#DIV/0!</v>
      </c>
    </row>
    <row r="15" spans="1:45" ht="18" customHeight="1" x14ac:dyDescent="0.15">
      <c r="A15" s="6"/>
      <c r="B15" s="39"/>
      <c r="C15" s="40"/>
      <c r="D15" s="41"/>
      <c r="E15" s="42"/>
      <c r="F15" s="43">
        <f t="shared" si="12"/>
        <v>0</v>
      </c>
      <c r="G15" s="44"/>
      <c r="H15" s="45"/>
      <c r="I15" s="43">
        <f t="shared" si="13"/>
        <v>0</v>
      </c>
      <c r="J15" s="44"/>
      <c r="K15" s="45"/>
      <c r="L15" s="43">
        <f t="shared" si="1"/>
        <v>0</v>
      </c>
      <c r="M15" s="44"/>
      <c r="N15" s="45"/>
      <c r="O15" s="43">
        <f t="shared" si="2"/>
        <v>0</v>
      </c>
      <c r="P15" s="44"/>
      <c r="Q15" s="45"/>
      <c r="R15" s="43">
        <f t="shared" si="3"/>
        <v>0</v>
      </c>
      <c r="S15" s="44"/>
      <c r="T15" s="45"/>
      <c r="U15" s="43">
        <f t="shared" si="4"/>
        <v>0</v>
      </c>
      <c r="V15" s="44"/>
      <c r="W15" s="45"/>
      <c r="X15" s="43">
        <f t="shared" si="5"/>
        <v>0</v>
      </c>
      <c r="Y15" s="44"/>
      <c r="Z15" s="45"/>
      <c r="AA15" s="43">
        <f t="shared" si="6"/>
        <v>0</v>
      </c>
      <c r="AB15" s="44"/>
      <c r="AC15" s="45"/>
      <c r="AD15" s="43">
        <f t="shared" si="7"/>
        <v>0</v>
      </c>
      <c r="AE15" s="44"/>
      <c r="AF15" s="45"/>
      <c r="AG15" s="43">
        <f t="shared" si="8"/>
        <v>0</v>
      </c>
      <c r="AH15" s="44"/>
      <c r="AI15" s="45"/>
      <c r="AJ15" s="43">
        <f t="shared" si="9"/>
        <v>0</v>
      </c>
      <c r="AK15" s="44"/>
      <c r="AL15" s="45"/>
      <c r="AM15" s="43">
        <f t="shared" si="10"/>
        <v>0</v>
      </c>
      <c r="AN15" s="44"/>
      <c r="AO15" s="45"/>
      <c r="AP15" s="41">
        <f t="shared" si="11"/>
        <v>0</v>
      </c>
      <c r="AQ15" s="47" t="e">
        <f t="shared" si="0"/>
        <v>#DIV/0!</v>
      </c>
    </row>
    <row r="16" spans="1:45" ht="18" customHeight="1" x14ac:dyDescent="0.15">
      <c r="A16" s="6"/>
      <c r="B16" s="39"/>
      <c r="C16" s="40"/>
      <c r="D16" s="41"/>
      <c r="E16" s="42"/>
      <c r="F16" s="43">
        <f t="shared" si="12"/>
        <v>0</v>
      </c>
      <c r="G16" s="44"/>
      <c r="H16" s="45"/>
      <c r="I16" s="43">
        <f t="shared" si="13"/>
        <v>0</v>
      </c>
      <c r="J16" s="44"/>
      <c r="K16" s="45"/>
      <c r="L16" s="43">
        <f t="shared" si="1"/>
        <v>0</v>
      </c>
      <c r="M16" s="44"/>
      <c r="N16" s="45"/>
      <c r="O16" s="43">
        <f t="shared" si="2"/>
        <v>0</v>
      </c>
      <c r="P16" s="44"/>
      <c r="Q16" s="45"/>
      <c r="R16" s="43">
        <f t="shared" si="3"/>
        <v>0</v>
      </c>
      <c r="S16" s="44"/>
      <c r="T16" s="45"/>
      <c r="U16" s="43">
        <f t="shared" si="4"/>
        <v>0</v>
      </c>
      <c r="V16" s="44"/>
      <c r="W16" s="45"/>
      <c r="X16" s="43">
        <f t="shared" si="5"/>
        <v>0</v>
      </c>
      <c r="Y16" s="44"/>
      <c r="Z16" s="45"/>
      <c r="AA16" s="43">
        <f t="shared" si="6"/>
        <v>0</v>
      </c>
      <c r="AB16" s="44"/>
      <c r="AC16" s="45"/>
      <c r="AD16" s="43">
        <f t="shared" si="7"/>
        <v>0</v>
      </c>
      <c r="AE16" s="44"/>
      <c r="AF16" s="45"/>
      <c r="AG16" s="43">
        <f t="shared" si="8"/>
        <v>0</v>
      </c>
      <c r="AH16" s="44"/>
      <c r="AI16" s="45"/>
      <c r="AJ16" s="43">
        <f t="shared" si="9"/>
        <v>0</v>
      </c>
      <c r="AK16" s="44"/>
      <c r="AL16" s="45"/>
      <c r="AM16" s="43">
        <f t="shared" si="10"/>
        <v>0</v>
      </c>
      <c r="AN16" s="44"/>
      <c r="AO16" s="45"/>
      <c r="AP16" s="41">
        <f t="shared" si="11"/>
        <v>0</v>
      </c>
      <c r="AQ16" s="47" t="e">
        <f t="shared" si="0"/>
        <v>#DIV/0!</v>
      </c>
    </row>
    <row r="17" spans="1:43" ht="18" customHeight="1" x14ac:dyDescent="0.15">
      <c r="A17" s="6"/>
      <c r="B17" s="39"/>
      <c r="C17" s="40"/>
      <c r="D17" s="41"/>
      <c r="E17" s="42"/>
      <c r="F17" s="43">
        <f t="shared" si="12"/>
        <v>0</v>
      </c>
      <c r="G17" s="44"/>
      <c r="H17" s="45"/>
      <c r="I17" s="43">
        <f t="shared" si="13"/>
        <v>0</v>
      </c>
      <c r="J17" s="44"/>
      <c r="K17" s="45"/>
      <c r="L17" s="43">
        <f t="shared" si="1"/>
        <v>0</v>
      </c>
      <c r="M17" s="44"/>
      <c r="N17" s="45"/>
      <c r="O17" s="43">
        <f t="shared" si="2"/>
        <v>0</v>
      </c>
      <c r="P17" s="44"/>
      <c r="Q17" s="45"/>
      <c r="R17" s="43">
        <f t="shared" si="3"/>
        <v>0</v>
      </c>
      <c r="S17" s="44"/>
      <c r="T17" s="45"/>
      <c r="U17" s="43">
        <f t="shared" si="4"/>
        <v>0</v>
      </c>
      <c r="V17" s="44"/>
      <c r="W17" s="45"/>
      <c r="X17" s="43">
        <f t="shared" si="5"/>
        <v>0</v>
      </c>
      <c r="Y17" s="44"/>
      <c r="Z17" s="45"/>
      <c r="AA17" s="43">
        <f t="shared" si="6"/>
        <v>0</v>
      </c>
      <c r="AB17" s="44"/>
      <c r="AC17" s="45"/>
      <c r="AD17" s="43">
        <f t="shared" si="7"/>
        <v>0</v>
      </c>
      <c r="AE17" s="44"/>
      <c r="AF17" s="45"/>
      <c r="AG17" s="43">
        <f t="shared" si="8"/>
        <v>0</v>
      </c>
      <c r="AH17" s="44"/>
      <c r="AI17" s="45"/>
      <c r="AJ17" s="43">
        <f t="shared" si="9"/>
        <v>0</v>
      </c>
      <c r="AK17" s="44"/>
      <c r="AL17" s="45"/>
      <c r="AM17" s="43">
        <f t="shared" si="10"/>
        <v>0</v>
      </c>
      <c r="AN17" s="44"/>
      <c r="AO17" s="45"/>
      <c r="AP17" s="41">
        <f t="shared" si="11"/>
        <v>0</v>
      </c>
      <c r="AQ17" s="47" t="e">
        <f t="shared" si="0"/>
        <v>#DIV/0!</v>
      </c>
    </row>
    <row r="18" spans="1:43" ht="18" customHeight="1" x14ac:dyDescent="0.15">
      <c r="A18" s="6"/>
      <c r="B18" s="39"/>
      <c r="C18" s="40"/>
      <c r="D18" s="41"/>
      <c r="E18" s="42"/>
      <c r="F18" s="43">
        <f t="shared" si="12"/>
        <v>0</v>
      </c>
      <c r="G18" s="44"/>
      <c r="H18" s="45"/>
      <c r="I18" s="43">
        <f t="shared" si="13"/>
        <v>0</v>
      </c>
      <c r="J18" s="44"/>
      <c r="K18" s="45"/>
      <c r="L18" s="43">
        <f t="shared" si="1"/>
        <v>0</v>
      </c>
      <c r="M18" s="44"/>
      <c r="N18" s="45"/>
      <c r="O18" s="43">
        <f t="shared" si="2"/>
        <v>0</v>
      </c>
      <c r="P18" s="44"/>
      <c r="Q18" s="45"/>
      <c r="R18" s="43">
        <f t="shared" si="3"/>
        <v>0</v>
      </c>
      <c r="S18" s="44"/>
      <c r="T18" s="45"/>
      <c r="U18" s="43">
        <f t="shared" si="4"/>
        <v>0</v>
      </c>
      <c r="V18" s="44"/>
      <c r="W18" s="45"/>
      <c r="X18" s="43">
        <f t="shared" si="5"/>
        <v>0</v>
      </c>
      <c r="Y18" s="44"/>
      <c r="Z18" s="45"/>
      <c r="AA18" s="43">
        <f t="shared" si="6"/>
        <v>0</v>
      </c>
      <c r="AB18" s="44"/>
      <c r="AC18" s="45"/>
      <c r="AD18" s="43">
        <f t="shared" si="7"/>
        <v>0</v>
      </c>
      <c r="AE18" s="44"/>
      <c r="AF18" s="45"/>
      <c r="AG18" s="43">
        <f t="shared" si="8"/>
        <v>0</v>
      </c>
      <c r="AH18" s="44"/>
      <c r="AI18" s="45"/>
      <c r="AJ18" s="43">
        <f t="shared" si="9"/>
        <v>0</v>
      </c>
      <c r="AK18" s="44"/>
      <c r="AL18" s="45"/>
      <c r="AM18" s="43">
        <f t="shared" si="10"/>
        <v>0</v>
      </c>
      <c r="AN18" s="44"/>
      <c r="AO18" s="45"/>
      <c r="AP18" s="41">
        <f t="shared" si="11"/>
        <v>0</v>
      </c>
      <c r="AQ18" s="47" t="e">
        <f t="shared" si="0"/>
        <v>#DIV/0!</v>
      </c>
    </row>
    <row r="19" spans="1:43" ht="18" customHeight="1" x14ac:dyDescent="0.15">
      <c r="A19" s="6"/>
      <c r="B19" s="39"/>
      <c r="C19" s="40"/>
      <c r="D19" s="41"/>
      <c r="E19" s="42"/>
      <c r="F19" s="43">
        <f t="shared" si="12"/>
        <v>0</v>
      </c>
      <c r="G19" s="44"/>
      <c r="H19" s="45"/>
      <c r="I19" s="43">
        <f t="shared" si="13"/>
        <v>0</v>
      </c>
      <c r="J19" s="44"/>
      <c r="K19" s="45"/>
      <c r="L19" s="43">
        <f t="shared" si="1"/>
        <v>0</v>
      </c>
      <c r="M19" s="44"/>
      <c r="N19" s="45"/>
      <c r="O19" s="43">
        <f t="shared" si="2"/>
        <v>0</v>
      </c>
      <c r="P19" s="44"/>
      <c r="Q19" s="45"/>
      <c r="R19" s="43">
        <f t="shared" si="3"/>
        <v>0</v>
      </c>
      <c r="S19" s="44"/>
      <c r="T19" s="45"/>
      <c r="U19" s="43">
        <f t="shared" si="4"/>
        <v>0</v>
      </c>
      <c r="V19" s="44"/>
      <c r="W19" s="45"/>
      <c r="X19" s="43">
        <f t="shared" si="5"/>
        <v>0</v>
      </c>
      <c r="Y19" s="44"/>
      <c r="Z19" s="45"/>
      <c r="AA19" s="43">
        <f t="shared" si="6"/>
        <v>0</v>
      </c>
      <c r="AB19" s="44"/>
      <c r="AC19" s="45"/>
      <c r="AD19" s="43">
        <f t="shared" si="7"/>
        <v>0</v>
      </c>
      <c r="AE19" s="44"/>
      <c r="AF19" s="45"/>
      <c r="AG19" s="43">
        <f t="shared" si="8"/>
        <v>0</v>
      </c>
      <c r="AH19" s="44"/>
      <c r="AI19" s="45"/>
      <c r="AJ19" s="43">
        <f t="shared" si="9"/>
        <v>0</v>
      </c>
      <c r="AK19" s="44"/>
      <c r="AL19" s="45"/>
      <c r="AM19" s="43">
        <f t="shared" si="10"/>
        <v>0</v>
      </c>
      <c r="AN19" s="44"/>
      <c r="AO19" s="45"/>
      <c r="AP19" s="41">
        <f t="shared" si="11"/>
        <v>0</v>
      </c>
      <c r="AQ19" s="47" t="e">
        <f t="shared" si="0"/>
        <v>#DIV/0!</v>
      </c>
    </row>
    <row r="20" spans="1:43" ht="18" customHeight="1" x14ac:dyDescent="0.15">
      <c r="A20" s="6"/>
      <c r="B20" s="39"/>
      <c r="C20" s="40"/>
      <c r="D20" s="41"/>
      <c r="E20" s="42"/>
      <c r="F20" s="43">
        <f t="shared" si="12"/>
        <v>0</v>
      </c>
      <c r="G20" s="44"/>
      <c r="H20" s="45"/>
      <c r="I20" s="43">
        <f t="shared" si="13"/>
        <v>0</v>
      </c>
      <c r="J20" s="44"/>
      <c r="K20" s="45"/>
      <c r="L20" s="43">
        <f t="shared" si="1"/>
        <v>0</v>
      </c>
      <c r="M20" s="44"/>
      <c r="N20" s="45"/>
      <c r="O20" s="43">
        <f t="shared" si="2"/>
        <v>0</v>
      </c>
      <c r="P20" s="44"/>
      <c r="Q20" s="45"/>
      <c r="R20" s="43">
        <f t="shared" si="3"/>
        <v>0</v>
      </c>
      <c r="S20" s="44"/>
      <c r="T20" s="45"/>
      <c r="U20" s="43">
        <f t="shared" si="4"/>
        <v>0</v>
      </c>
      <c r="V20" s="44"/>
      <c r="W20" s="45"/>
      <c r="X20" s="43">
        <f t="shared" si="5"/>
        <v>0</v>
      </c>
      <c r="Y20" s="44"/>
      <c r="Z20" s="45"/>
      <c r="AA20" s="43">
        <f t="shared" si="6"/>
        <v>0</v>
      </c>
      <c r="AB20" s="44"/>
      <c r="AC20" s="45"/>
      <c r="AD20" s="43">
        <f t="shared" si="7"/>
        <v>0</v>
      </c>
      <c r="AE20" s="44"/>
      <c r="AF20" s="45"/>
      <c r="AG20" s="43">
        <f t="shared" si="8"/>
        <v>0</v>
      </c>
      <c r="AH20" s="44"/>
      <c r="AI20" s="45"/>
      <c r="AJ20" s="43">
        <f t="shared" si="9"/>
        <v>0</v>
      </c>
      <c r="AK20" s="44"/>
      <c r="AL20" s="45"/>
      <c r="AM20" s="43">
        <f t="shared" si="10"/>
        <v>0</v>
      </c>
      <c r="AN20" s="44"/>
      <c r="AO20" s="45"/>
      <c r="AP20" s="41">
        <f t="shared" si="11"/>
        <v>0</v>
      </c>
      <c r="AQ20" s="47" t="e">
        <f t="shared" si="0"/>
        <v>#DIV/0!</v>
      </c>
    </row>
    <row r="21" spans="1:43" ht="18" customHeight="1" x14ac:dyDescent="0.15">
      <c r="A21" s="6"/>
      <c r="B21" s="39"/>
      <c r="C21" s="40"/>
      <c r="D21" s="41"/>
      <c r="E21" s="42"/>
      <c r="F21" s="43">
        <f t="shared" si="12"/>
        <v>0</v>
      </c>
      <c r="G21" s="44"/>
      <c r="H21" s="45"/>
      <c r="I21" s="43">
        <f t="shared" si="13"/>
        <v>0</v>
      </c>
      <c r="J21" s="44"/>
      <c r="K21" s="45"/>
      <c r="L21" s="43">
        <f t="shared" si="1"/>
        <v>0</v>
      </c>
      <c r="M21" s="44"/>
      <c r="N21" s="45"/>
      <c r="O21" s="43">
        <f t="shared" si="2"/>
        <v>0</v>
      </c>
      <c r="P21" s="44"/>
      <c r="Q21" s="45"/>
      <c r="R21" s="43">
        <f t="shared" si="3"/>
        <v>0</v>
      </c>
      <c r="S21" s="44"/>
      <c r="T21" s="45"/>
      <c r="U21" s="43">
        <f t="shared" si="4"/>
        <v>0</v>
      </c>
      <c r="V21" s="44"/>
      <c r="W21" s="45"/>
      <c r="X21" s="43">
        <f t="shared" si="5"/>
        <v>0</v>
      </c>
      <c r="Y21" s="44"/>
      <c r="Z21" s="45"/>
      <c r="AA21" s="43">
        <f t="shared" si="6"/>
        <v>0</v>
      </c>
      <c r="AB21" s="44"/>
      <c r="AC21" s="45"/>
      <c r="AD21" s="43">
        <f t="shared" si="7"/>
        <v>0</v>
      </c>
      <c r="AE21" s="44"/>
      <c r="AF21" s="45"/>
      <c r="AG21" s="43">
        <f t="shared" si="8"/>
        <v>0</v>
      </c>
      <c r="AH21" s="44"/>
      <c r="AI21" s="45"/>
      <c r="AJ21" s="43">
        <f t="shared" si="9"/>
        <v>0</v>
      </c>
      <c r="AK21" s="44"/>
      <c r="AL21" s="45"/>
      <c r="AM21" s="43">
        <f t="shared" si="10"/>
        <v>0</v>
      </c>
      <c r="AN21" s="44"/>
      <c r="AO21" s="45"/>
      <c r="AP21" s="41">
        <f t="shared" si="11"/>
        <v>0</v>
      </c>
      <c r="AQ21" s="47" t="e">
        <f t="shared" si="0"/>
        <v>#DIV/0!</v>
      </c>
    </row>
    <row r="22" spans="1:43" ht="18" customHeight="1" x14ac:dyDescent="0.15">
      <c r="A22" s="6"/>
      <c r="B22" s="39"/>
      <c r="C22" s="40"/>
      <c r="D22" s="41"/>
      <c r="E22" s="42"/>
      <c r="F22" s="43">
        <f t="shared" si="12"/>
        <v>0</v>
      </c>
      <c r="G22" s="44"/>
      <c r="H22" s="45"/>
      <c r="I22" s="43">
        <f t="shared" si="13"/>
        <v>0</v>
      </c>
      <c r="J22" s="44"/>
      <c r="K22" s="45"/>
      <c r="L22" s="43">
        <f t="shared" si="1"/>
        <v>0</v>
      </c>
      <c r="M22" s="44"/>
      <c r="N22" s="45"/>
      <c r="O22" s="43">
        <f t="shared" si="2"/>
        <v>0</v>
      </c>
      <c r="P22" s="44"/>
      <c r="Q22" s="45"/>
      <c r="R22" s="43">
        <f t="shared" si="3"/>
        <v>0</v>
      </c>
      <c r="S22" s="44"/>
      <c r="T22" s="45"/>
      <c r="U22" s="43">
        <f t="shared" si="4"/>
        <v>0</v>
      </c>
      <c r="V22" s="44"/>
      <c r="W22" s="45"/>
      <c r="X22" s="43">
        <f t="shared" si="5"/>
        <v>0</v>
      </c>
      <c r="Y22" s="44"/>
      <c r="Z22" s="45"/>
      <c r="AA22" s="43">
        <f t="shared" si="6"/>
        <v>0</v>
      </c>
      <c r="AB22" s="44"/>
      <c r="AC22" s="45"/>
      <c r="AD22" s="43">
        <f t="shared" si="7"/>
        <v>0</v>
      </c>
      <c r="AE22" s="44"/>
      <c r="AF22" s="45"/>
      <c r="AG22" s="43">
        <f t="shared" si="8"/>
        <v>0</v>
      </c>
      <c r="AH22" s="44"/>
      <c r="AI22" s="45"/>
      <c r="AJ22" s="43">
        <f t="shared" si="9"/>
        <v>0</v>
      </c>
      <c r="AK22" s="44"/>
      <c r="AL22" s="45"/>
      <c r="AM22" s="43">
        <f t="shared" si="10"/>
        <v>0</v>
      </c>
      <c r="AN22" s="44"/>
      <c r="AO22" s="45"/>
      <c r="AP22" s="41">
        <f t="shared" si="11"/>
        <v>0</v>
      </c>
      <c r="AQ22" s="47" t="e">
        <f t="shared" si="0"/>
        <v>#DIV/0!</v>
      </c>
    </row>
    <row r="23" spans="1:43" ht="18" customHeight="1" x14ac:dyDescent="0.15">
      <c r="A23" s="6"/>
      <c r="B23" s="39"/>
      <c r="C23" s="40"/>
      <c r="D23" s="41"/>
      <c r="E23" s="42"/>
      <c r="F23" s="43">
        <f t="shared" si="12"/>
        <v>0</v>
      </c>
      <c r="G23" s="44"/>
      <c r="H23" s="45"/>
      <c r="I23" s="43">
        <f t="shared" si="13"/>
        <v>0</v>
      </c>
      <c r="J23" s="44"/>
      <c r="K23" s="45"/>
      <c r="L23" s="43">
        <f t="shared" si="1"/>
        <v>0</v>
      </c>
      <c r="M23" s="44"/>
      <c r="N23" s="45"/>
      <c r="O23" s="43">
        <f t="shared" si="2"/>
        <v>0</v>
      </c>
      <c r="P23" s="44"/>
      <c r="Q23" s="45"/>
      <c r="R23" s="43">
        <f t="shared" si="3"/>
        <v>0</v>
      </c>
      <c r="S23" s="44"/>
      <c r="T23" s="45"/>
      <c r="U23" s="43">
        <f t="shared" si="4"/>
        <v>0</v>
      </c>
      <c r="V23" s="44"/>
      <c r="W23" s="45"/>
      <c r="X23" s="43">
        <f t="shared" si="5"/>
        <v>0</v>
      </c>
      <c r="Y23" s="44"/>
      <c r="Z23" s="45"/>
      <c r="AA23" s="43">
        <f t="shared" si="6"/>
        <v>0</v>
      </c>
      <c r="AB23" s="44"/>
      <c r="AC23" s="45"/>
      <c r="AD23" s="43">
        <f t="shared" si="7"/>
        <v>0</v>
      </c>
      <c r="AE23" s="44"/>
      <c r="AF23" s="45"/>
      <c r="AG23" s="43">
        <f t="shared" si="8"/>
        <v>0</v>
      </c>
      <c r="AH23" s="44"/>
      <c r="AI23" s="45"/>
      <c r="AJ23" s="43">
        <f t="shared" si="9"/>
        <v>0</v>
      </c>
      <c r="AK23" s="44"/>
      <c r="AL23" s="45"/>
      <c r="AM23" s="43">
        <f t="shared" si="10"/>
        <v>0</v>
      </c>
      <c r="AN23" s="44"/>
      <c r="AO23" s="45"/>
      <c r="AP23" s="41">
        <f t="shared" si="11"/>
        <v>0</v>
      </c>
      <c r="AQ23" s="47" t="e">
        <f t="shared" si="0"/>
        <v>#DIV/0!</v>
      </c>
    </row>
    <row r="24" spans="1:43" ht="18" customHeight="1" x14ac:dyDescent="0.15">
      <c r="A24" s="6"/>
      <c r="B24" s="39"/>
      <c r="C24" s="40"/>
      <c r="D24" s="41"/>
      <c r="E24" s="42"/>
      <c r="F24" s="43">
        <f t="shared" si="12"/>
        <v>0</v>
      </c>
      <c r="G24" s="44"/>
      <c r="H24" s="45"/>
      <c r="I24" s="43">
        <f t="shared" si="13"/>
        <v>0</v>
      </c>
      <c r="J24" s="44"/>
      <c r="K24" s="45"/>
      <c r="L24" s="43">
        <f t="shared" si="1"/>
        <v>0</v>
      </c>
      <c r="M24" s="44"/>
      <c r="N24" s="45"/>
      <c r="O24" s="43">
        <f t="shared" si="2"/>
        <v>0</v>
      </c>
      <c r="P24" s="44"/>
      <c r="Q24" s="45"/>
      <c r="R24" s="43">
        <f t="shared" si="3"/>
        <v>0</v>
      </c>
      <c r="S24" s="44"/>
      <c r="T24" s="45"/>
      <c r="U24" s="43">
        <f t="shared" si="4"/>
        <v>0</v>
      </c>
      <c r="V24" s="44"/>
      <c r="W24" s="45"/>
      <c r="X24" s="43">
        <f t="shared" si="5"/>
        <v>0</v>
      </c>
      <c r="Y24" s="44"/>
      <c r="Z24" s="45"/>
      <c r="AA24" s="43">
        <f t="shared" si="6"/>
        <v>0</v>
      </c>
      <c r="AB24" s="44"/>
      <c r="AC24" s="45"/>
      <c r="AD24" s="43">
        <f t="shared" si="7"/>
        <v>0</v>
      </c>
      <c r="AE24" s="44"/>
      <c r="AF24" s="45"/>
      <c r="AG24" s="43">
        <f t="shared" si="8"/>
        <v>0</v>
      </c>
      <c r="AH24" s="44"/>
      <c r="AI24" s="45"/>
      <c r="AJ24" s="43">
        <f t="shared" si="9"/>
        <v>0</v>
      </c>
      <c r="AK24" s="44"/>
      <c r="AL24" s="45"/>
      <c r="AM24" s="43">
        <f t="shared" si="10"/>
        <v>0</v>
      </c>
      <c r="AN24" s="44"/>
      <c r="AO24" s="45"/>
      <c r="AP24" s="41">
        <f t="shared" si="11"/>
        <v>0</v>
      </c>
      <c r="AQ24" s="47" t="e">
        <f t="shared" si="0"/>
        <v>#DIV/0!</v>
      </c>
    </row>
    <row r="25" spans="1:43" ht="18" customHeight="1" x14ac:dyDescent="0.15">
      <c r="A25" s="6"/>
      <c r="B25" s="39"/>
      <c r="C25" s="40"/>
      <c r="D25" s="41"/>
      <c r="E25" s="42"/>
      <c r="F25" s="43">
        <f t="shared" si="12"/>
        <v>0</v>
      </c>
      <c r="G25" s="44"/>
      <c r="H25" s="45"/>
      <c r="I25" s="43">
        <f t="shared" si="13"/>
        <v>0</v>
      </c>
      <c r="J25" s="44"/>
      <c r="K25" s="45"/>
      <c r="L25" s="43">
        <f t="shared" si="1"/>
        <v>0</v>
      </c>
      <c r="M25" s="44"/>
      <c r="N25" s="45"/>
      <c r="O25" s="43">
        <f t="shared" si="2"/>
        <v>0</v>
      </c>
      <c r="P25" s="44"/>
      <c r="Q25" s="45"/>
      <c r="R25" s="43">
        <f t="shared" si="3"/>
        <v>0</v>
      </c>
      <c r="S25" s="44"/>
      <c r="T25" s="45"/>
      <c r="U25" s="43">
        <f t="shared" si="4"/>
        <v>0</v>
      </c>
      <c r="V25" s="44"/>
      <c r="W25" s="45"/>
      <c r="X25" s="43">
        <f t="shared" si="5"/>
        <v>0</v>
      </c>
      <c r="Y25" s="44"/>
      <c r="Z25" s="45"/>
      <c r="AA25" s="43">
        <f t="shared" si="6"/>
        <v>0</v>
      </c>
      <c r="AB25" s="44"/>
      <c r="AC25" s="45"/>
      <c r="AD25" s="43">
        <f t="shared" si="7"/>
        <v>0</v>
      </c>
      <c r="AE25" s="44"/>
      <c r="AF25" s="45"/>
      <c r="AG25" s="43">
        <f t="shared" si="8"/>
        <v>0</v>
      </c>
      <c r="AH25" s="44"/>
      <c r="AI25" s="45"/>
      <c r="AJ25" s="43">
        <f t="shared" si="9"/>
        <v>0</v>
      </c>
      <c r="AK25" s="44"/>
      <c r="AL25" s="45"/>
      <c r="AM25" s="43">
        <f t="shared" si="10"/>
        <v>0</v>
      </c>
      <c r="AN25" s="44"/>
      <c r="AO25" s="45"/>
      <c r="AP25" s="41">
        <f t="shared" si="11"/>
        <v>0</v>
      </c>
      <c r="AQ25" s="47" t="e">
        <f t="shared" si="0"/>
        <v>#DIV/0!</v>
      </c>
    </row>
    <row r="26" spans="1:43" ht="18" customHeight="1" x14ac:dyDescent="0.15">
      <c r="A26" s="6"/>
      <c r="B26" s="39"/>
      <c r="C26" s="40"/>
      <c r="D26" s="41"/>
      <c r="E26" s="42"/>
      <c r="F26" s="43">
        <f t="shared" si="12"/>
        <v>0</v>
      </c>
      <c r="G26" s="44"/>
      <c r="H26" s="45"/>
      <c r="I26" s="43">
        <f t="shared" si="13"/>
        <v>0</v>
      </c>
      <c r="J26" s="44"/>
      <c r="K26" s="45"/>
      <c r="L26" s="43">
        <f t="shared" si="1"/>
        <v>0</v>
      </c>
      <c r="M26" s="44"/>
      <c r="N26" s="45"/>
      <c r="O26" s="43">
        <f t="shared" si="2"/>
        <v>0</v>
      </c>
      <c r="P26" s="44"/>
      <c r="Q26" s="45"/>
      <c r="R26" s="43">
        <f t="shared" si="3"/>
        <v>0</v>
      </c>
      <c r="S26" s="44"/>
      <c r="T26" s="45"/>
      <c r="U26" s="43">
        <f t="shared" si="4"/>
        <v>0</v>
      </c>
      <c r="V26" s="44"/>
      <c r="W26" s="45"/>
      <c r="X26" s="43">
        <f t="shared" si="5"/>
        <v>0</v>
      </c>
      <c r="Y26" s="44"/>
      <c r="Z26" s="45"/>
      <c r="AA26" s="43">
        <f t="shared" si="6"/>
        <v>0</v>
      </c>
      <c r="AB26" s="44"/>
      <c r="AC26" s="45"/>
      <c r="AD26" s="43">
        <f t="shared" si="7"/>
        <v>0</v>
      </c>
      <c r="AE26" s="44"/>
      <c r="AF26" s="45"/>
      <c r="AG26" s="43">
        <f t="shared" si="8"/>
        <v>0</v>
      </c>
      <c r="AH26" s="44"/>
      <c r="AI26" s="45"/>
      <c r="AJ26" s="43">
        <f t="shared" si="9"/>
        <v>0</v>
      </c>
      <c r="AK26" s="44"/>
      <c r="AL26" s="45"/>
      <c r="AM26" s="43">
        <f t="shared" si="10"/>
        <v>0</v>
      </c>
      <c r="AN26" s="44"/>
      <c r="AO26" s="45"/>
      <c r="AP26" s="41">
        <f t="shared" si="11"/>
        <v>0</v>
      </c>
      <c r="AQ26" s="47" t="e">
        <f t="shared" si="0"/>
        <v>#DIV/0!</v>
      </c>
    </row>
    <row r="27" spans="1:43" ht="18" customHeight="1" x14ac:dyDescent="0.15">
      <c r="A27" s="6"/>
      <c r="B27" s="39"/>
      <c r="C27" s="40"/>
      <c r="D27" s="41"/>
      <c r="E27" s="42"/>
      <c r="F27" s="43">
        <f t="shared" si="12"/>
        <v>0</v>
      </c>
      <c r="G27" s="44"/>
      <c r="H27" s="45"/>
      <c r="I27" s="43">
        <f t="shared" si="13"/>
        <v>0</v>
      </c>
      <c r="J27" s="44"/>
      <c r="K27" s="45"/>
      <c r="L27" s="43">
        <f t="shared" si="1"/>
        <v>0</v>
      </c>
      <c r="M27" s="44"/>
      <c r="N27" s="45"/>
      <c r="O27" s="43">
        <f t="shared" si="2"/>
        <v>0</v>
      </c>
      <c r="P27" s="44"/>
      <c r="Q27" s="45"/>
      <c r="R27" s="43">
        <f t="shared" si="3"/>
        <v>0</v>
      </c>
      <c r="S27" s="44"/>
      <c r="T27" s="45"/>
      <c r="U27" s="43">
        <f t="shared" si="4"/>
        <v>0</v>
      </c>
      <c r="V27" s="44"/>
      <c r="W27" s="45"/>
      <c r="X27" s="43">
        <f t="shared" si="5"/>
        <v>0</v>
      </c>
      <c r="Y27" s="44"/>
      <c r="Z27" s="45"/>
      <c r="AA27" s="43">
        <f t="shared" si="6"/>
        <v>0</v>
      </c>
      <c r="AB27" s="44"/>
      <c r="AC27" s="45"/>
      <c r="AD27" s="43">
        <f t="shared" si="7"/>
        <v>0</v>
      </c>
      <c r="AE27" s="44"/>
      <c r="AF27" s="45"/>
      <c r="AG27" s="43">
        <f t="shared" si="8"/>
        <v>0</v>
      </c>
      <c r="AH27" s="44"/>
      <c r="AI27" s="45"/>
      <c r="AJ27" s="43">
        <f t="shared" si="9"/>
        <v>0</v>
      </c>
      <c r="AK27" s="44"/>
      <c r="AL27" s="45"/>
      <c r="AM27" s="43">
        <f t="shared" si="10"/>
        <v>0</v>
      </c>
      <c r="AN27" s="44"/>
      <c r="AO27" s="45"/>
      <c r="AP27" s="41">
        <f t="shared" si="11"/>
        <v>0</v>
      </c>
      <c r="AQ27" s="47" t="e">
        <f t="shared" si="0"/>
        <v>#DIV/0!</v>
      </c>
    </row>
    <row r="28" spans="1:43" ht="18" customHeight="1" x14ac:dyDescent="0.15">
      <c r="A28" s="6"/>
      <c r="B28" s="39"/>
      <c r="C28" s="40"/>
      <c r="D28" s="41"/>
      <c r="E28" s="42"/>
      <c r="F28" s="43">
        <f t="shared" si="12"/>
        <v>0</v>
      </c>
      <c r="G28" s="44"/>
      <c r="H28" s="45"/>
      <c r="I28" s="43">
        <f t="shared" si="13"/>
        <v>0</v>
      </c>
      <c r="J28" s="44"/>
      <c r="K28" s="45"/>
      <c r="L28" s="43">
        <f t="shared" si="1"/>
        <v>0</v>
      </c>
      <c r="M28" s="44"/>
      <c r="N28" s="45"/>
      <c r="O28" s="43">
        <f t="shared" si="2"/>
        <v>0</v>
      </c>
      <c r="P28" s="44"/>
      <c r="Q28" s="45"/>
      <c r="R28" s="43">
        <f t="shared" si="3"/>
        <v>0</v>
      </c>
      <c r="S28" s="44"/>
      <c r="T28" s="45"/>
      <c r="U28" s="43">
        <f t="shared" si="4"/>
        <v>0</v>
      </c>
      <c r="V28" s="44"/>
      <c r="W28" s="45"/>
      <c r="X28" s="43">
        <f t="shared" si="5"/>
        <v>0</v>
      </c>
      <c r="Y28" s="44"/>
      <c r="Z28" s="45"/>
      <c r="AA28" s="43">
        <f t="shared" si="6"/>
        <v>0</v>
      </c>
      <c r="AB28" s="44"/>
      <c r="AC28" s="45"/>
      <c r="AD28" s="43">
        <f t="shared" si="7"/>
        <v>0</v>
      </c>
      <c r="AE28" s="44"/>
      <c r="AF28" s="45"/>
      <c r="AG28" s="43">
        <f t="shared" si="8"/>
        <v>0</v>
      </c>
      <c r="AH28" s="44"/>
      <c r="AI28" s="45"/>
      <c r="AJ28" s="43">
        <f t="shared" si="9"/>
        <v>0</v>
      </c>
      <c r="AK28" s="44"/>
      <c r="AL28" s="45"/>
      <c r="AM28" s="43">
        <f t="shared" si="10"/>
        <v>0</v>
      </c>
      <c r="AN28" s="44"/>
      <c r="AO28" s="45"/>
      <c r="AP28" s="41">
        <f t="shared" si="11"/>
        <v>0</v>
      </c>
      <c r="AQ28" s="47" t="e">
        <f t="shared" si="0"/>
        <v>#DIV/0!</v>
      </c>
    </row>
    <row r="29" spans="1:43" ht="18" customHeight="1" x14ac:dyDescent="0.15">
      <c r="A29" s="6"/>
      <c r="B29" s="39"/>
      <c r="C29" s="40"/>
      <c r="D29" s="48"/>
      <c r="E29" s="42"/>
      <c r="F29" s="43">
        <f t="shared" si="12"/>
        <v>0</v>
      </c>
      <c r="G29" s="44"/>
      <c r="H29" s="45"/>
      <c r="I29" s="43">
        <f t="shared" si="13"/>
        <v>0</v>
      </c>
      <c r="J29" s="44"/>
      <c r="K29" s="45"/>
      <c r="L29" s="43">
        <f t="shared" si="1"/>
        <v>0</v>
      </c>
      <c r="M29" s="44"/>
      <c r="N29" s="45"/>
      <c r="O29" s="43">
        <f t="shared" si="2"/>
        <v>0</v>
      </c>
      <c r="P29" s="44"/>
      <c r="Q29" s="45"/>
      <c r="R29" s="43">
        <f t="shared" si="3"/>
        <v>0</v>
      </c>
      <c r="S29" s="44"/>
      <c r="T29" s="45"/>
      <c r="U29" s="43">
        <f t="shared" si="4"/>
        <v>0</v>
      </c>
      <c r="V29" s="44"/>
      <c r="W29" s="45"/>
      <c r="X29" s="43">
        <f t="shared" si="5"/>
        <v>0</v>
      </c>
      <c r="Y29" s="44"/>
      <c r="Z29" s="45"/>
      <c r="AA29" s="43">
        <f t="shared" si="6"/>
        <v>0</v>
      </c>
      <c r="AB29" s="44"/>
      <c r="AC29" s="45"/>
      <c r="AD29" s="43">
        <f t="shared" si="7"/>
        <v>0</v>
      </c>
      <c r="AE29" s="44"/>
      <c r="AF29" s="45"/>
      <c r="AG29" s="43">
        <f t="shared" si="8"/>
        <v>0</v>
      </c>
      <c r="AH29" s="44"/>
      <c r="AI29" s="45"/>
      <c r="AJ29" s="43">
        <f t="shared" si="9"/>
        <v>0</v>
      </c>
      <c r="AK29" s="44"/>
      <c r="AL29" s="45"/>
      <c r="AM29" s="43">
        <f t="shared" si="10"/>
        <v>0</v>
      </c>
      <c r="AN29" s="44"/>
      <c r="AO29" s="45"/>
      <c r="AP29" s="48">
        <f t="shared" si="11"/>
        <v>0</v>
      </c>
      <c r="AQ29" s="47" t="e">
        <f t="shared" si="0"/>
        <v>#DIV/0!</v>
      </c>
    </row>
    <row r="30" spans="1:43" ht="18" customHeight="1" x14ac:dyDescent="0.15">
      <c r="A30" s="6"/>
      <c r="B30" s="39"/>
      <c r="C30" s="40"/>
      <c r="D30" s="48"/>
      <c r="E30" s="42"/>
      <c r="F30" s="43">
        <f t="shared" si="12"/>
        <v>0</v>
      </c>
      <c r="G30" s="44"/>
      <c r="H30" s="45"/>
      <c r="I30" s="43">
        <f t="shared" si="13"/>
        <v>0</v>
      </c>
      <c r="J30" s="44"/>
      <c r="K30" s="45"/>
      <c r="L30" s="43">
        <f t="shared" si="1"/>
        <v>0</v>
      </c>
      <c r="M30" s="44"/>
      <c r="N30" s="45"/>
      <c r="O30" s="43">
        <f t="shared" si="2"/>
        <v>0</v>
      </c>
      <c r="P30" s="44"/>
      <c r="Q30" s="45"/>
      <c r="R30" s="43">
        <f t="shared" si="3"/>
        <v>0</v>
      </c>
      <c r="S30" s="44"/>
      <c r="T30" s="45"/>
      <c r="U30" s="43">
        <f t="shared" si="4"/>
        <v>0</v>
      </c>
      <c r="V30" s="44"/>
      <c r="W30" s="45"/>
      <c r="X30" s="43">
        <f t="shared" si="5"/>
        <v>0</v>
      </c>
      <c r="Y30" s="44"/>
      <c r="Z30" s="45"/>
      <c r="AA30" s="43">
        <f t="shared" si="6"/>
        <v>0</v>
      </c>
      <c r="AB30" s="44"/>
      <c r="AC30" s="45"/>
      <c r="AD30" s="43">
        <f t="shared" si="7"/>
        <v>0</v>
      </c>
      <c r="AE30" s="44"/>
      <c r="AF30" s="45"/>
      <c r="AG30" s="43">
        <f t="shared" si="8"/>
        <v>0</v>
      </c>
      <c r="AH30" s="44"/>
      <c r="AI30" s="45"/>
      <c r="AJ30" s="43">
        <f t="shared" si="9"/>
        <v>0</v>
      </c>
      <c r="AK30" s="44"/>
      <c r="AL30" s="45"/>
      <c r="AM30" s="43">
        <f t="shared" si="10"/>
        <v>0</v>
      </c>
      <c r="AN30" s="44"/>
      <c r="AO30" s="45"/>
      <c r="AP30" s="48">
        <f t="shared" si="11"/>
        <v>0</v>
      </c>
      <c r="AQ30" s="47" t="e">
        <f t="shared" si="0"/>
        <v>#DIV/0!</v>
      </c>
    </row>
    <row r="31" spans="1:43" ht="18" customHeight="1" thickBot="1" x14ac:dyDescent="0.2">
      <c r="A31" s="6"/>
      <c r="B31" s="49"/>
      <c r="C31" s="33"/>
      <c r="D31" s="50"/>
      <c r="E31" s="35"/>
      <c r="F31" s="35">
        <f t="shared" si="12"/>
        <v>0</v>
      </c>
      <c r="G31" s="51"/>
      <c r="H31" s="52"/>
      <c r="I31" s="35">
        <f t="shared" si="13"/>
        <v>0</v>
      </c>
      <c r="J31" s="51"/>
      <c r="K31" s="52"/>
      <c r="L31" s="35">
        <f t="shared" si="1"/>
        <v>0</v>
      </c>
      <c r="M31" s="51"/>
      <c r="N31" s="52"/>
      <c r="O31" s="35">
        <f t="shared" si="2"/>
        <v>0</v>
      </c>
      <c r="P31" s="51"/>
      <c r="Q31" s="52"/>
      <c r="R31" s="35">
        <f t="shared" si="3"/>
        <v>0</v>
      </c>
      <c r="S31" s="51"/>
      <c r="T31" s="52"/>
      <c r="U31" s="35">
        <f t="shared" si="4"/>
        <v>0</v>
      </c>
      <c r="V31" s="51"/>
      <c r="W31" s="52"/>
      <c r="X31" s="35">
        <f t="shared" si="5"/>
        <v>0</v>
      </c>
      <c r="Y31" s="51"/>
      <c r="Z31" s="52"/>
      <c r="AA31" s="35">
        <f t="shared" si="6"/>
        <v>0</v>
      </c>
      <c r="AB31" s="51"/>
      <c r="AC31" s="52"/>
      <c r="AD31" s="35">
        <f t="shared" si="7"/>
        <v>0</v>
      </c>
      <c r="AE31" s="51"/>
      <c r="AF31" s="52"/>
      <c r="AG31" s="35">
        <f t="shared" si="8"/>
        <v>0</v>
      </c>
      <c r="AH31" s="51"/>
      <c r="AI31" s="52"/>
      <c r="AJ31" s="35">
        <f t="shared" si="9"/>
        <v>0</v>
      </c>
      <c r="AK31" s="51"/>
      <c r="AL31" s="52"/>
      <c r="AM31" s="35">
        <f t="shared" si="10"/>
        <v>0</v>
      </c>
      <c r="AN31" s="51"/>
      <c r="AO31" s="52"/>
      <c r="AP31" s="50">
        <f t="shared" si="11"/>
        <v>0</v>
      </c>
      <c r="AQ31" s="53" t="e">
        <f t="shared" si="0"/>
        <v>#DIV/0!</v>
      </c>
    </row>
    <row r="32" spans="1:43" ht="18" customHeight="1" thickTop="1" x14ac:dyDescent="0.15">
      <c r="B32" s="54" t="s">
        <v>33</v>
      </c>
      <c r="C32" s="55">
        <f t="shared" ref="C32" si="14">SUM(C12:C31)</f>
        <v>109</v>
      </c>
      <c r="D32" s="56">
        <f t="shared" ref="D32:AP32" si="15">SUM(D12:D31)</f>
        <v>190</v>
      </c>
      <c r="E32" s="57">
        <f t="shared" si="15"/>
        <v>380</v>
      </c>
      <c r="F32" s="57">
        <f t="shared" si="15"/>
        <v>108</v>
      </c>
      <c r="G32" s="58">
        <f t="shared" si="15"/>
        <v>0</v>
      </c>
      <c r="H32" s="59">
        <f t="shared" si="15"/>
        <v>0</v>
      </c>
      <c r="I32" s="57">
        <f t="shared" ref="I32:N32" si="16">SUM(I12:I31)</f>
        <v>100</v>
      </c>
      <c r="J32" s="58">
        <f t="shared" si="16"/>
        <v>0</v>
      </c>
      <c r="K32" s="59">
        <f t="shared" si="16"/>
        <v>0</v>
      </c>
      <c r="L32" s="57">
        <f t="shared" si="16"/>
        <v>0</v>
      </c>
      <c r="M32" s="58">
        <f t="shared" si="16"/>
        <v>0</v>
      </c>
      <c r="N32" s="59">
        <f t="shared" si="16"/>
        <v>0</v>
      </c>
      <c r="O32" s="57">
        <f t="shared" ref="O32:T32" si="17">SUM(O12:O31)</f>
        <v>0</v>
      </c>
      <c r="P32" s="58">
        <f t="shared" si="17"/>
        <v>0</v>
      </c>
      <c r="Q32" s="59">
        <f t="shared" si="17"/>
        <v>0</v>
      </c>
      <c r="R32" s="57">
        <f t="shared" si="17"/>
        <v>0</v>
      </c>
      <c r="S32" s="58">
        <f t="shared" si="17"/>
        <v>0</v>
      </c>
      <c r="T32" s="59">
        <f t="shared" si="17"/>
        <v>0</v>
      </c>
      <c r="U32" s="57">
        <f t="shared" ref="U32:AI32" si="18">SUM(U12:U31)</f>
        <v>0</v>
      </c>
      <c r="V32" s="58">
        <f t="shared" si="18"/>
        <v>0</v>
      </c>
      <c r="W32" s="59">
        <f t="shared" si="18"/>
        <v>0</v>
      </c>
      <c r="X32" s="57">
        <f t="shared" si="18"/>
        <v>0</v>
      </c>
      <c r="Y32" s="58">
        <f t="shared" si="18"/>
        <v>0</v>
      </c>
      <c r="Z32" s="59">
        <f t="shared" si="18"/>
        <v>0</v>
      </c>
      <c r="AA32" s="57">
        <f t="shared" si="18"/>
        <v>0</v>
      </c>
      <c r="AB32" s="58">
        <f t="shared" si="18"/>
        <v>0</v>
      </c>
      <c r="AC32" s="59">
        <f t="shared" si="18"/>
        <v>0</v>
      </c>
      <c r="AD32" s="57">
        <f t="shared" si="18"/>
        <v>0</v>
      </c>
      <c r="AE32" s="58">
        <f t="shared" si="18"/>
        <v>0</v>
      </c>
      <c r="AF32" s="59">
        <f t="shared" si="18"/>
        <v>0</v>
      </c>
      <c r="AG32" s="57">
        <f t="shared" si="18"/>
        <v>0</v>
      </c>
      <c r="AH32" s="58">
        <f t="shared" si="18"/>
        <v>0</v>
      </c>
      <c r="AI32" s="59">
        <f t="shared" si="18"/>
        <v>0</v>
      </c>
      <c r="AJ32" s="57">
        <f t="shared" ref="AJ32:AO32" si="19">SUM(AJ12:AJ31)</f>
        <v>0</v>
      </c>
      <c r="AK32" s="58">
        <f t="shared" si="19"/>
        <v>0</v>
      </c>
      <c r="AL32" s="59">
        <f t="shared" si="19"/>
        <v>0</v>
      </c>
      <c r="AM32" s="57">
        <f t="shared" si="19"/>
        <v>0</v>
      </c>
      <c r="AN32" s="58">
        <f t="shared" si="19"/>
        <v>0</v>
      </c>
      <c r="AO32" s="59">
        <f t="shared" si="19"/>
        <v>0</v>
      </c>
      <c r="AP32" s="56">
        <f t="shared" si="15"/>
        <v>108</v>
      </c>
      <c r="AQ32" s="60">
        <f t="shared" si="0"/>
        <v>0.28421052631578947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H2" sqref="H2:I2"/>
    </sheetView>
  </sheetViews>
  <sheetFormatPr defaultColWidth="11.375" defaultRowHeight="18.75" customHeight="1" x14ac:dyDescent="0.15"/>
  <cols>
    <col min="1" max="1" width="2.75" style="61" customWidth="1"/>
    <col min="2" max="2" width="16.625" style="3" customWidth="1"/>
    <col min="3" max="3" width="8.875" style="3" customWidth="1"/>
    <col min="4" max="4" width="2.25" style="3" customWidth="1"/>
    <col min="5" max="5" width="16.625" style="3" customWidth="1"/>
    <col min="6" max="6" width="4.375" style="3" customWidth="1"/>
    <col min="7" max="7" width="9" style="3" customWidth="1"/>
    <col min="8" max="8" width="16.625" style="3" customWidth="1"/>
    <col min="9" max="9" width="12.125" style="3" customWidth="1"/>
    <col min="10" max="16384" width="11.375" style="3"/>
  </cols>
  <sheetData>
    <row r="1" spans="1:9" ht="18.75" customHeight="1" x14ac:dyDescent="0.15">
      <c r="A1" s="61" t="s">
        <v>65</v>
      </c>
      <c r="I1" s="5" t="s">
        <v>106</v>
      </c>
    </row>
    <row r="2" spans="1:9" ht="18.75" customHeight="1" x14ac:dyDescent="0.15">
      <c r="G2" s="5" t="s">
        <v>109</v>
      </c>
      <c r="H2" s="89" t="str">
        <f>'様式１　プログラムを構成する授業科目'!C2</f>
        <v>名古屋文理大学短期大学部</v>
      </c>
      <c r="I2" s="91"/>
    </row>
    <row r="3" spans="1:9" ht="18.75" customHeight="1" x14ac:dyDescent="0.15">
      <c r="G3" s="5"/>
      <c r="H3" s="10"/>
      <c r="I3" s="10"/>
    </row>
    <row r="4" spans="1:9" ht="18.600000000000001" customHeight="1" x14ac:dyDescent="0.15">
      <c r="A4" s="137" t="s">
        <v>36</v>
      </c>
      <c r="B4" s="137"/>
      <c r="C4" s="137"/>
      <c r="D4" s="137"/>
      <c r="E4" s="137"/>
      <c r="F4" s="137"/>
      <c r="G4" s="137"/>
      <c r="H4" s="137"/>
      <c r="I4" s="137"/>
    </row>
    <row r="5" spans="1:9" ht="13.15" customHeight="1" x14ac:dyDescent="0.15">
      <c r="B5" s="8"/>
      <c r="C5" s="8"/>
      <c r="D5" s="8"/>
      <c r="E5" s="8"/>
      <c r="F5" s="8"/>
      <c r="G5" s="8"/>
      <c r="H5" s="8"/>
      <c r="I5" s="8"/>
    </row>
    <row r="6" spans="1:9" ht="18" customHeight="1" x14ac:dyDescent="0.15">
      <c r="A6" s="3" t="s">
        <v>0</v>
      </c>
      <c r="B6" s="10" t="s">
        <v>91</v>
      </c>
      <c r="C6" s="206" t="s">
        <v>92</v>
      </c>
      <c r="D6" s="206"/>
      <c r="E6" s="2">
        <v>19</v>
      </c>
      <c r="F6" s="8" t="s">
        <v>1</v>
      </c>
      <c r="G6" s="8" t="s">
        <v>2</v>
      </c>
      <c r="H6" s="2">
        <v>32</v>
      </c>
      <c r="I6" s="10" t="s">
        <v>1</v>
      </c>
    </row>
    <row r="7" spans="1:9" ht="12" customHeight="1" x14ac:dyDescent="0.15">
      <c r="C7" s="4"/>
      <c r="D7" s="4"/>
      <c r="E7" s="4"/>
      <c r="F7" s="4"/>
      <c r="G7" s="4"/>
      <c r="H7" s="4"/>
      <c r="I7" s="62"/>
    </row>
    <row r="8" spans="1:9" ht="18" customHeight="1" x14ac:dyDescent="0.15">
      <c r="A8" s="3" t="s">
        <v>3</v>
      </c>
      <c r="B8" s="10" t="s">
        <v>93</v>
      </c>
      <c r="E8" s="8"/>
      <c r="F8" s="8"/>
      <c r="G8" s="8"/>
      <c r="H8" s="2">
        <v>6</v>
      </c>
      <c r="I8" s="10" t="s">
        <v>1</v>
      </c>
    </row>
    <row r="9" spans="1:9" ht="9" customHeight="1" x14ac:dyDescent="0.15">
      <c r="B9" s="8"/>
      <c r="C9" s="8"/>
      <c r="D9" s="8"/>
      <c r="E9" s="8"/>
      <c r="F9" s="8"/>
      <c r="G9" s="8"/>
      <c r="H9" s="8"/>
      <c r="I9" s="8"/>
    </row>
    <row r="10" spans="1:9" ht="18" customHeight="1" x14ac:dyDescent="0.15">
      <c r="A10" s="3" t="s">
        <v>4</v>
      </c>
      <c r="B10" s="10" t="s">
        <v>94</v>
      </c>
      <c r="C10" s="8"/>
      <c r="D10" s="8"/>
      <c r="E10" s="8"/>
      <c r="F10" s="8"/>
      <c r="G10" s="8"/>
      <c r="H10" s="8"/>
      <c r="I10" s="8"/>
    </row>
    <row r="11" spans="1:9" ht="18" customHeight="1" x14ac:dyDescent="0.15">
      <c r="B11" s="5" t="s">
        <v>43</v>
      </c>
      <c r="C11" s="201" t="s">
        <v>136</v>
      </c>
      <c r="D11" s="204"/>
      <c r="E11" s="205"/>
      <c r="F11" s="62"/>
      <c r="G11" s="5" t="s">
        <v>10</v>
      </c>
      <c r="H11" s="201" t="s">
        <v>135</v>
      </c>
      <c r="I11" s="205"/>
    </row>
    <row r="12" spans="1:9" ht="10.15" customHeight="1" x14ac:dyDescent="0.15">
      <c r="B12" s="5"/>
      <c r="C12" s="10"/>
      <c r="D12" s="62"/>
      <c r="E12" s="62"/>
      <c r="F12" s="62"/>
      <c r="G12" s="5"/>
      <c r="H12" s="10"/>
      <c r="I12" s="62"/>
    </row>
    <row r="13" spans="1:9" ht="18" customHeight="1" x14ac:dyDescent="0.15">
      <c r="A13" s="3" t="s">
        <v>7</v>
      </c>
      <c r="B13" s="10" t="s">
        <v>88</v>
      </c>
      <c r="C13" s="8"/>
      <c r="D13" s="8"/>
      <c r="E13" s="8"/>
      <c r="F13" s="8"/>
      <c r="G13" s="8"/>
      <c r="H13" s="8"/>
      <c r="I13" s="8"/>
    </row>
    <row r="14" spans="1:9" ht="18" customHeight="1" x14ac:dyDescent="0.15">
      <c r="B14" s="201" t="s">
        <v>143</v>
      </c>
      <c r="C14" s="202"/>
      <c r="D14" s="202"/>
      <c r="E14" s="202"/>
      <c r="F14" s="202"/>
      <c r="G14" s="202"/>
      <c r="H14" s="202"/>
      <c r="I14" s="203"/>
    </row>
    <row r="15" spans="1:9" ht="9" customHeight="1" x14ac:dyDescent="0.15">
      <c r="B15" s="8"/>
      <c r="C15" s="8"/>
      <c r="D15" s="8"/>
      <c r="E15" s="8"/>
      <c r="F15" s="8"/>
      <c r="G15" s="8"/>
      <c r="H15" s="8"/>
      <c r="I15" s="8"/>
    </row>
    <row r="16" spans="1:9" ht="18" customHeight="1" x14ac:dyDescent="0.15">
      <c r="B16" s="5" t="s">
        <v>43</v>
      </c>
      <c r="C16" s="201" t="s">
        <v>145</v>
      </c>
      <c r="D16" s="204"/>
      <c r="E16" s="205"/>
      <c r="F16" s="62"/>
      <c r="G16" s="5" t="s">
        <v>10</v>
      </c>
      <c r="H16" s="201" t="s">
        <v>144</v>
      </c>
      <c r="I16" s="205"/>
    </row>
    <row r="17" spans="1:9" ht="18" customHeight="1" x14ac:dyDescent="0.15">
      <c r="B17" s="8"/>
      <c r="C17" s="8"/>
      <c r="D17" s="8"/>
      <c r="E17" s="8"/>
      <c r="F17" s="8"/>
      <c r="G17" s="8"/>
      <c r="H17" s="8"/>
      <c r="I17" s="8"/>
    </row>
    <row r="18" spans="1:9" ht="18.75" customHeight="1" x14ac:dyDescent="0.15">
      <c r="A18" s="3" t="s">
        <v>5</v>
      </c>
      <c r="B18" s="3" t="s">
        <v>42</v>
      </c>
      <c r="I18" s="8"/>
    </row>
    <row r="19" spans="1:9" ht="18.75" customHeight="1" x14ac:dyDescent="0.15">
      <c r="A19" s="3"/>
      <c r="B19" s="193" t="s">
        <v>137</v>
      </c>
      <c r="C19" s="194"/>
      <c r="D19" s="194"/>
      <c r="E19" s="194"/>
      <c r="F19" s="194"/>
      <c r="G19" s="194"/>
      <c r="H19" s="194"/>
      <c r="I19" s="195"/>
    </row>
    <row r="20" spans="1:9" ht="7.5" customHeight="1" x14ac:dyDescent="0.15">
      <c r="B20" s="8"/>
      <c r="C20" s="8"/>
      <c r="D20" s="8"/>
      <c r="E20" s="8"/>
      <c r="F20" s="8"/>
      <c r="G20" s="8"/>
      <c r="H20" s="8"/>
      <c r="I20" s="8"/>
    </row>
    <row r="21" spans="1:9" ht="18.75" customHeight="1" x14ac:dyDescent="0.15">
      <c r="A21" s="3" t="s">
        <v>8</v>
      </c>
      <c r="B21" s="3" t="s">
        <v>25</v>
      </c>
    </row>
    <row r="22" spans="1:9" ht="18.75" customHeight="1" x14ac:dyDescent="0.15">
      <c r="A22" s="20"/>
      <c r="B22" s="183" t="s">
        <v>154</v>
      </c>
      <c r="C22" s="184"/>
      <c r="D22" s="184"/>
      <c r="E22" s="184"/>
      <c r="F22" s="184"/>
      <c r="G22" s="184"/>
      <c r="H22" s="184"/>
      <c r="I22" s="185"/>
    </row>
    <row r="23" spans="1:9" ht="18.75" customHeight="1" x14ac:dyDescent="0.15">
      <c r="A23" s="20"/>
      <c r="B23" s="196"/>
      <c r="C23" s="197"/>
      <c r="D23" s="197"/>
      <c r="E23" s="197"/>
      <c r="F23" s="197"/>
      <c r="G23" s="197"/>
      <c r="H23" s="197"/>
      <c r="I23" s="188"/>
    </row>
    <row r="24" spans="1:9" ht="18.75" customHeight="1" x14ac:dyDescent="0.15">
      <c r="A24" s="20"/>
      <c r="B24" s="196"/>
      <c r="C24" s="197"/>
      <c r="D24" s="197"/>
      <c r="E24" s="197"/>
      <c r="F24" s="197"/>
      <c r="G24" s="197"/>
      <c r="H24" s="197"/>
      <c r="I24" s="188"/>
    </row>
    <row r="25" spans="1:9" ht="18.75" customHeight="1" x14ac:dyDescent="0.15">
      <c r="A25" s="20"/>
      <c r="B25" s="196"/>
      <c r="C25" s="197"/>
      <c r="D25" s="197"/>
      <c r="E25" s="197"/>
      <c r="F25" s="197"/>
      <c r="G25" s="197"/>
      <c r="H25" s="197"/>
      <c r="I25" s="188"/>
    </row>
    <row r="26" spans="1:9" ht="18.75" customHeight="1" x14ac:dyDescent="0.15">
      <c r="A26" s="20"/>
      <c r="B26" s="196"/>
      <c r="C26" s="197"/>
      <c r="D26" s="197"/>
      <c r="E26" s="197"/>
      <c r="F26" s="197"/>
      <c r="G26" s="197"/>
      <c r="H26" s="197"/>
      <c r="I26" s="188"/>
    </row>
    <row r="27" spans="1:9" ht="18.75" customHeight="1" x14ac:dyDescent="0.15">
      <c r="A27" s="20"/>
      <c r="B27" s="196"/>
      <c r="C27" s="197"/>
      <c r="D27" s="197"/>
      <c r="E27" s="197"/>
      <c r="F27" s="197"/>
      <c r="G27" s="197"/>
      <c r="H27" s="197"/>
      <c r="I27" s="188"/>
    </row>
    <row r="28" spans="1:9" ht="18.75" customHeight="1" x14ac:dyDescent="0.15">
      <c r="A28" s="20"/>
      <c r="B28" s="196"/>
      <c r="C28" s="197"/>
      <c r="D28" s="197"/>
      <c r="E28" s="197"/>
      <c r="F28" s="197"/>
      <c r="G28" s="197"/>
      <c r="H28" s="197"/>
      <c r="I28" s="188"/>
    </row>
    <row r="29" spans="1:9" ht="18.75" customHeight="1" x14ac:dyDescent="0.15">
      <c r="A29" s="20"/>
      <c r="B29" s="196"/>
      <c r="C29" s="197"/>
      <c r="D29" s="197"/>
      <c r="E29" s="197"/>
      <c r="F29" s="197"/>
      <c r="G29" s="197"/>
      <c r="H29" s="197"/>
      <c r="I29" s="188"/>
    </row>
    <row r="30" spans="1:9" ht="18.75" customHeight="1" x14ac:dyDescent="0.15">
      <c r="A30" s="20"/>
      <c r="B30" s="186"/>
      <c r="C30" s="187"/>
      <c r="D30" s="187"/>
      <c r="E30" s="187"/>
      <c r="F30" s="187"/>
      <c r="G30" s="187"/>
      <c r="H30" s="187"/>
      <c r="I30" s="188"/>
    </row>
    <row r="31" spans="1:9" ht="18.75" customHeight="1" x14ac:dyDescent="0.15">
      <c r="A31" s="20"/>
      <c r="B31" s="186"/>
      <c r="C31" s="187"/>
      <c r="D31" s="187"/>
      <c r="E31" s="187"/>
      <c r="F31" s="187"/>
      <c r="G31" s="187"/>
      <c r="H31" s="187"/>
      <c r="I31" s="188"/>
    </row>
    <row r="32" spans="1:9" ht="18.75" customHeight="1" x14ac:dyDescent="0.15">
      <c r="A32" s="20"/>
      <c r="B32" s="189"/>
      <c r="C32" s="190"/>
      <c r="D32" s="190"/>
      <c r="E32" s="190"/>
      <c r="F32" s="190"/>
      <c r="G32" s="190"/>
      <c r="H32" s="190"/>
      <c r="I32" s="191"/>
    </row>
    <row r="33" spans="1:9" ht="7.5" customHeight="1" x14ac:dyDescent="0.15">
      <c r="A33" s="20"/>
      <c r="B33" s="20"/>
      <c r="C33" s="20"/>
      <c r="D33" s="20"/>
      <c r="E33" s="20"/>
      <c r="F33" s="20"/>
      <c r="G33" s="20"/>
      <c r="H33" s="20"/>
      <c r="I33" s="20"/>
    </row>
    <row r="34" spans="1:9" ht="18.75" customHeight="1" x14ac:dyDescent="0.15">
      <c r="A34" s="63" t="s">
        <v>6</v>
      </c>
      <c r="B34" s="63" t="s">
        <v>9</v>
      </c>
      <c r="C34" s="10"/>
      <c r="D34" s="63"/>
      <c r="E34" s="63"/>
      <c r="F34" s="63"/>
      <c r="G34" s="63"/>
      <c r="H34" s="63"/>
      <c r="I34" s="63"/>
    </row>
    <row r="35" spans="1:9" ht="18.75" customHeight="1" x14ac:dyDescent="0.15">
      <c r="A35" s="20"/>
      <c r="B35" s="183" t="s">
        <v>146</v>
      </c>
      <c r="C35" s="184"/>
      <c r="D35" s="184"/>
      <c r="E35" s="184"/>
      <c r="F35" s="184"/>
      <c r="G35" s="184"/>
      <c r="H35" s="184"/>
      <c r="I35" s="185"/>
    </row>
    <row r="36" spans="1:9" ht="18.75" customHeight="1" x14ac:dyDescent="0.15">
      <c r="A36" s="20"/>
      <c r="B36" s="186"/>
      <c r="C36" s="187"/>
      <c r="D36" s="187"/>
      <c r="E36" s="187"/>
      <c r="F36" s="187"/>
      <c r="G36" s="187"/>
      <c r="H36" s="187"/>
      <c r="I36" s="188"/>
    </row>
    <row r="37" spans="1:9" ht="18.75" customHeight="1" x14ac:dyDescent="0.15">
      <c r="A37" s="20"/>
      <c r="B37" s="186"/>
      <c r="C37" s="187"/>
      <c r="D37" s="187"/>
      <c r="E37" s="187"/>
      <c r="F37" s="187"/>
      <c r="G37" s="187"/>
      <c r="H37" s="187"/>
      <c r="I37" s="188"/>
    </row>
    <row r="38" spans="1:9" ht="18.75" customHeight="1" x14ac:dyDescent="0.15">
      <c r="A38" s="20"/>
      <c r="B38" s="186"/>
      <c r="C38" s="187"/>
      <c r="D38" s="187"/>
      <c r="E38" s="187"/>
      <c r="F38" s="187"/>
      <c r="G38" s="187"/>
      <c r="H38" s="187"/>
      <c r="I38" s="188"/>
    </row>
    <row r="39" spans="1:9" ht="18.75" customHeight="1" x14ac:dyDescent="0.15">
      <c r="A39" s="20"/>
      <c r="B39" s="186"/>
      <c r="C39" s="187"/>
      <c r="D39" s="187"/>
      <c r="E39" s="187"/>
      <c r="F39" s="187"/>
      <c r="G39" s="187"/>
      <c r="H39" s="187"/>
      <c r="I39" s="188"/>
    </row>
    <row r="40" spans="1:9" ht="18.75" customHeight="1" x14ac:dyDescent="0.15">
      <c r="A40" s="20"/>
      <c r="B40" s="186"/>
      <c r="C40" s="187"/>
      <c r="D40" s="187"/>
      <c r="E40" s="187"/>
      <c r="F40" s="187"/>
      <c r="G40" s="187"/>
      <c r="H40" s="187"/>
      <c r="I40" s="188"/>
    </row>
    <row r="41" spans="1:9" ht="18.75" customHeight="1" x14ac:dyDescent="0.15">
      <c r="A41" s="20"/>
      <c r="B41" s="186"/>
      <c r="C41" s="187"/>
      <c r="D41" s="187"/>
      <c r="E41" s="187"/>
      <c r="F41" s="187"/>
      <c r="G41" s="187"/>
      <c r="H41" s="187"/>
      <c r="I41" s="188"/>
    </row>
    <row r="42" spans="1:9" ht="18.75" customHeight="1" x14ac:dyDescent="0.15">
      <c r="A42" s="20"/>
      <c r="B42" s="186"/>
      <c r="C42" s="187"/>
      <c r="D42" s="187"/>
      <c r="E42" s="187"/>
      <c r="F42" s="187"/>
      <c r="G42" s="187"/>
      <c r="H42" s="187"/>
      <c r="I42" s="188"/>
    </row>
    <row r="43" spans="1:9" ht="18.75" customHeight="1" x14ac:dyDescent="0.15">
      <c r="A43" s="20"/>
      <c r="B43" s="186"/>
      <c r="C43" s="187"/>
      <c r="D43" s="187"/>
      <c r="E43" s="187"/>
      <c r="F43" s="187"/>
      <c r="G43" s="187"/>
      <c r="H43" s="187"/>
      <c r="I43" s="188"/>
    </row>
    <row r="44" spans="1:9" ht="18.75" customHeight="1" x14ac:dyDescent="0.15">
      <c r="A44" s="20"/>
      <c r="B44" s="186"/>
      <c r="C44" s="187"/>
      <c r="D44" s="187"/>
      <c r="E44" s="187"/>
      <c r="F44" s="187"/>
      <c r="G44" s="187"/>
      <c r="H44" s="187"/>
      <c r="I44" s="188"/>
    </row>
    <row r="45" spans="1:9" ht="18.75" customHeight="1" x14ac:dyDescent="0.15">
      <c r="A45" s="20"/>
      <c r="B45" s="186"/>
      <c r="C45" s="187"/>
      <c r="D45" s="187"/>
      <c r="E45" s="187"/>
      <c r="F45" s="187"/>
      <c r="G45" s="187"/>
      <c r="H45" s="187"/>
      <c r="I45" s="188"/>
    </row>
    <row r="46" spans="1:9" ht="18.75" customHeight="1" x14ac:dyDescent="0.15">
      <c r="A46" s="20"/>
      <c r="B46" s="189"/>
      <c r="C46" s="190"/>
      <c r="D46" s="190"/>
      <c r="E46" s="190"/>
      <c r="F46" s="190"/>
      <c r="G46" s="190"/>
      <c r="H46" s="190"/>
      <c r="I46" s="191"/>
    </row>
    <row r="47" spans="1:9" ht="7.5" customHeight="1" x14ac:dyDescent="0.15">
      <c r="A47" s="64"/>
      <c r="B47" s="64"/>
      <c r="C47" s="64"/>
      <c r="D47" s="64"/>
      <c r="E47" s="64"/>
      <c r="F47" s="64"/>
      <c r="G47" s="64"/>
      <c r="H47" s="64"/>
      <c r="I47" s="64"/>
    </row>
    <row r="48" spans="1:9" ht="18.75" customHeight="1" x14ac:dyDescent="0.15">
      <c r="A48" s="3" t="s">
        <v>31</v>
      </c>
      <c r="B48" s="3" t="s">
        <v>155</v>
      </c>
    </row>
    <row r="49" spans="1:15" s="8" customFormat="1" ht="18.75" customHeight="1" x14ac:dyDescent="0.15">
      <c r="B49" s="65" t="s">
        <v>89</v>
      </c>
      <c r="C49" s="224">
        <f>'様式２ 履修者等数の実績'!AQ32</f>
        <v>0.28421052631578947</v>
      </c>
      <c r="D49" s="224"/>
      <c r="E49" s="65" t="s">
        <v>66</v>
      </c>
      <c r="F49" s="224">
        <v>0.48</v>
      </c>
      <c r="G49" s="224"/>
      <c r="H49" s="65" t="s">
        <v>67</v>
      </c>
      <c r="I49" s="66">
        <v>0.64</v>
      </c>
      <c r="J49" s="3"/>
      <c r="M49" s="3"/>
      <c r="N49" s="67"/>
    </row>
    <row r="50" spans="1:15" s="8" customFormat="1" ht="18.75" customHeight="1" x14ac:dyDescent="0.15">
      <c r="B50" s="68" t="s">
        <v>68</v>
      </c>
      <c r="C50" s="207">
        <v>1</v>
      </c>
      <c r="D50" s="207"/>
      <c r="E50" s="68" t="s">
        <v>90</v>
      </c>
      <c r="F50" s="207">
        <v>1</v>
      </c>
      <c r="G50" s="207"/>
      <c r="H50" s="68" t="s">
        <v>69</v>
      </c>
      <c r="I50" s="69">
        <f>'様式２ 履修者等数の実績'!E32</f>
        <v>380</v>
      </c>
      <c r="J50" s="3"/>
      <c r="M50" s="3"/>
      <c r="N50" s="67"/>
    </row>
    <row r="51" spans="1:15" ht="18.75" customHeight="1" x14ac:dyDescent="0.15">
      <c r="A51" s="3"/>
      <c r="B51" s="198" t="s">
        <v>70</v>
      </c>
      <c r="C51" s="199"/>
      <c r="D51" s="199"/>
      <c r="E51" s="199"/>
      <c r="F51" s="199"/>
      <c r="G51" s="199"/>
      <c r="H51" s="199"/>
      <c r="I51" s="200"/>
      <c r="N51" s="67"/>
      <c r="O51" s="8"/>
    </row>
    <row r="52" spans="1:15" ht="18.75" customHeight="1" x14ac:dyDescent="0.15">
      <c r="A52" s="3"/>
      <c r="B52" s="225" t="s">
        <v>168</v>
      </c>
      <c r="C52" s="226"/>
      <c r="D52" s="226"/>
      <c r="E52" s="226"/>
      <c r="F52" s="226"/>
      <c r="G52" s="226"/>
      <c r="H52" s="226"/>
      <c r="I52" s="227"/>
      <c r="N52" s="67"/>
      <c r="O52" s="8"/>
    </row>
    <row r="53" spans="1:15" ht="18.75" customHeight="1" x14ac:dyDescent="0.15">
      <c r="A53" s="3"/>
      <c r="B53" s="228"/>
      <c r="C53" s="229"/>
      <c r="D53" s="229"/>
      <c r="E53" s="229"/>
      <c r="F53" s="229"/>
      <c r="G53" s="229"/>
      <c r="H53" s="229"/>
      <c r="I53" s="230"/>
      <c r="N53" s="67"/>
      <c r="O53" s="8"/>
    </row>
    <row r="54" spans="1:15" ht="18.75" customHeight="1" x14ac:dyDescent="0.15">
      <c r="A54" s="3"/>
      <c r="B54" s="228"/>
      <c r="C54" s="229"/>
      <c r="D54" s="229"/>
      <c r="E54" s="229"/>
      <c r="F54" s="229"/>
      <c r="G54" s="229"/>
      <c r="H54" s="229"/>
      <c r="I54" s="230"/>
    </row>
    <row r="55" spans="1:15" ht="18.75" customHeight="1" x14ac:dyDescent="0.15">
      <c r="A55" s="3"/>
      <c r="B55" s="228"/>
      <c r="C55" s="229"/>
      <c r="D55" s="229"/>
      <c r="E55" s="229"/>
      <c r="F55" s="229"/>
      <c r="G55" s="229"/>
      <c r="H55" s="229"/>
      <c r="I55" s="230"/>
    </row>
    <row r="56" spans="1:15" ht="18.75" customHeight="1" x14ac:dyDescent="0.15">
      <c r="A56" s="3"/>
      <c r="B56" s="228"/>
      <c r="C56" s="229"/>
      <c r="D56" s="229"/>
      <c r="E56" s="229"/>
      <c r="F56" s="229"/>
      <c r="G56" s="229"/>
      <c r="H56" s="229"/>
      <c r="I56" s="230"/>
    </row>
    <row r="57" spans="1:15" ht="18.75" customHeight="1" x14ac:dyDescent="0.15">
      <c r="A57" s="3"/>
      <c r="B57" s="228"/>
      <c r="C57" s="229"/>
      <c r="D57" s="229"/>
      <c r="E57" s="229"/>
      <c r="F57" s="229"/>
      <c r="G57" s="229"/>
      <c r="H57" s="229"/>
      <c r="I57" s="230"/>
    </row>
    <row r="58" spans="1:15" ht="18.75" customHeight="1" x14ac:dyDescent="0.15">
      <c r="A58" s="3"/>
      <c r="B58" s="228"/>
      <c r="C58" s="229"/>
      <c r="D58" s="229"/>
      <c r="E58" s="229"/>
      <c r="F58" s="229"/>
      <c r="G58" s="229"/>
      <c r="H58" s="229"/>
      <c r="I58" s="230"/>
    </row>
    <row r="59" spans="1:15" ht="18.75" customHeight="1" x14ac:dyDescent="0.15">
      <c r="A59" s="3"/>
      <c r="B59" s="228"/>
      <c r="C59" s="229"/>
      <c r="D59" s="229"/>
      <c r="E59" s="229"/>
      <c r="F59" s="229"/>
      <c r="G59" s="229"/>
      <c r="H59" s="229"/>
      <c r="I59" s="230"/>
    </row>
    <row r="60" spans="1:15" ht="18.75" customHeight="1" x14ac:dyDescent="0.15">
      <c r="A60" s="3"/>
      <c r="B60" s="228"/>
      <c r="C60" s="229"/>
      <c r="D60" s="229"/>
      <c r="E60" s="229"/>
      <c r="F60" s="229"/>
      <c r="G60" s="229"/>
      <c r="H60" s="229"/>
      <c r="I60" s="230"/>
    </row>
    <row r="61" spans="1:15" ht="18.75" customHeight="1" x14ac:dyDescent="0.15">
      <c r="A61" s="3"/>
      <c r="B61" s="228"/>
      <c r="C61" s="229"/>
      <c r="D61" s="229"/>
      <c r="E61" s="229"/>
      <c r="F61" s="229"/>
      <c r="G61" s="229"/>
      <c r="H61" s="229"/>
      <c r="I61" s="230"/>
    </row>
    <row r="62" spans="1:15" ht="18.75" customHeight="1" x14ac:dyDescent="0.15">
      <c r="A62" s="3"/>
      <c r="B62" s="228"/>
      <c r="C62" s="229"/>
      <c r="D62" s="229"/>
      <c r="E62" s="229"/>
      <c r="F62" s="229"/>
      <c r="G62" s="229"/>
      <c r="H62" s="229"/>
      <c r="I62" s="230"/>
    </row>
    <row r="63" spans="1:15" ht="18.75" customHeight="1" x14ac:dyDescent="0.15">
      <c r="A63" s="3"/>
      <c r="B63" s="231"/>
      <c r="C63" s="232"/>
      <c r="D63" s="232"/>
      <c r="E63" s="232"/>
      <c r="F63" s="232"/>
      <c r="G63" s="232"/>
      <c r="H63" s="232"/>
      <c r="I63" s="233"/>
    </row>
    <row r="64" spans="1:15" ht="7.5" customHeight="1" x14ac:dyDescent="0.15">
      <c r="A64" s="20"/>
      <c r="B64" s="20"/>
      <c r="C64" s="20"/>
      <c r="D64" s="20"/>
      <c r="E64" s="20"/>
      <c r="F64" s="20"/>
      <c r="G64" s="20"/>
      <c r="H64" s="20"/>
      <c r="I64" s="20"/>
    </row>
    <row r="65" spans="1:9" ht="18.75" customHeight="1" x14ac:dyDescent="0.15">
      <c r="A65" s="63" t="s">
        <v>34</v>
      </c>
      <c r="B65" s="3" t="s">
        <v>37</v>
      </c>
      <c r="I65" s="63"/>
    </row>
    <row r="66" spans="1:9" ht="18.75" customHeight="1" x14ac:dyDescent="0.15">
      <c r="A66" s="64"/>
      <c r="B66" s="208" t="s">
        <v>139</v>
      </c>
      <c r="C66" s="209"/>
      <c r="D66" s="209"/>
      <c r="E66" s="209"/>
      <c r="F66" s="209"/>
      <c r="G66" s="209"/>
      <c r="H66" s="209"/>
      <c r="I66" s="210"/>
    </row>
    <row r="67" spans="1:9" ht="18.75" customHeight="1" x14ac:dyDescent="0.15">
      <c r="A67" s="64"/>
      <c r="B67" s="211"/>
      <c r="C67" s="212"/>
      <c r="D67" s="212"/>
      <c r="E67" s="212"/>
      <c r="F67" s="212"/>
      <c r="G67" s="212"/>
      <c r="H67" s="212"/>
      <c r="I67" s="213"/>
    </row>
    <row r="68" spans="1:9" ht="18.75" customHeight="1" x14ac:dyDescent="0.15">
      <c r="A68" s="64"/>
      <c r="B68" s="211"/>
      <c r="C68" s="212"/>
      <c r="D68" s="212"/>
      <c r="E68" s="212"/>
      <c r="F68" s="212"/>
      <c r="G68" s="212"/>
      <c r="H68" s="212"/>
      <c r="I68" s="213"/>
    </row>
    <row r="69" spans="1:9" ht="18.75" customHeight="1" x14ac:dyDescent="0.15">
      <c r="A69" s="64"/>
      <c r="B69" s="211"/>
      <c r="C69" s="212"/>
      <c r="D69" s="212"/>
      <c r="E69" s="212"/>
      <c r="F69" s="212"/>
      <c r="G69" s="212"/>
      <c r="H69" s="212"/>
      <c r="I69" s="213"/>
    </row>
    <row r="70" spans="1:9" ht="18.75" customHeight="1" x14ac:dyDescent="0.15">
      <c r="A70" s="64"/>
      <c r="B70" s="211"/>
      <c r="C70" s="212"/>
      <c r="D70" s="212"/>
      <c r="E70" s="212"/>
      <c r="F70" s="212"/>
      <c r="G70" s="212"/>
      <c r="H70" s="212"/>
      <c r="I70" s="213"/>
    </row>
    <row r="71" spans="1:9" ht="18.75" customHeight="1" x14ac:dyDescent="0.15">
      <c r="A71" s="64"/>
      <c r="B71" s="211"/>
      <c r="C71" s="212"/>
      <c r="D71" s="212"/>
      <c r="E71" s="212"/>
      <c r="F71" s="212"/>
      <c r="G71" s="212"/>
      <c r="H71" s="212"/>
      <c r="I71" s="213"/>
    </row>
    <row r="72" spans="1:9" ht="18.75" customHeight="1" x14ac:dyDescent="0.15">
      <c r="A72" s="64"/>
      <c r="B72" s="211"/>
      <c r="C72" s="212"/>
      <c r="D72" s="212"/>
      <c r="E72" s="212"/>
      <c r="F72" s="212"/>
      <c r="G72" s="212"/>
      <c r="H72" s="212"/>
      <c r="I72" s="213"/>
    </row>
    <row r="73" spans="1:9" ht="18.75" customHeight="1" x14ac:dyDescent="0.15">
      <c r="A73" s="64"/>
      <c r="B73" s="211"/>
      <c r="C73" s="212"/>
      <c r="D73" s="212"/>
      <c r="E73" s="212"/>
      <c r="F73" s="212"/>
      <c r="G73" s="212"/>
      <c r="H73" s="212"/>
      <c r="I73" s="213"/>
    </row>
    <row r="74" spans="1:9" ht="18.75" customHeight="1" x14ac:dyDescent="0.15">
      <c r="A74" s="64"/>
      <c r="B74" s="211"/>
      <c r="C74" s="212"/>
      <c r="D74" s="212"/>
      <c r="E74" s="212"/>
      <c r="F74" s="212"/>
      <c r="G74" s="212"/>
      <c r="H74" s="212"/>
      <c r="I74" s="213"/>
    </row>
    <row r="75" spans="1:9" ht="18.75" customHeight="1" x14ac:dyDescent="0.15">
      <c r="A75" s="64"/>
      <c r="B75" s="211"/>
      <c r="C75" s="212"/>
      <c r="D75" s="212"/>
      <c r="E75" s="212"/>
      <c r="F75" s="212"/>
      <c r="G75" s="212"/>
      <c r="H75" s="212"/>
      <c r="I75" s="213"/>
    </row>
    <row r="76" spans="1:9" ht="18.75" customHeight="1" x14ac:dyDescent="0.15">
      <c r="A76" s="64"/>
      <c r="B76" s="211"/>
      <c r="C76" s="212"/>
      <c r="D76" s="212"/>
      <c r="E76" s="212"/>
      <c r="F76" s="212"/>
      <c r="G76" s="212"/>
      <c r="H76" s="212"/>
      <c r="I76" s="213"/>
    </row>
    <row r="77" spans="1:9" ht="18.75" customHeight="1" x14ac:dyDescent="0.15">
      <c r="A77" s="64"/>
      <c r="B77" s="214"/>
      <c r="C77" s="215"/>
      <c r="D77" s="215"/>
      <c r="E77" s="215"/>
      <c r="F77" s="215"/>
      <c r="G77" s="215"/>
      <c r="H77" s="215"/>
      <c r="I77" s="216"/>
    </row>
    <row r="78" spans="1:9" ht="7.5" customHeight="1" x14ac:dyDescent="0.15">
      <c r="A78" s="64"/>
      <c r="B78" s="64"/>
      <c r="C78" s="64"/>
      <c r="D78" s="64"/>
      <c r="E78" s="64"/>
      <c r="F78" s="64"/>
      <c r="G78" s="64"/>
      <c r="H78" s="64"/>
      <c r="I78" s="64"/>
    </row>
    <row r="79" spans="1:9" ht="18.75" customHeight="1" x14ac:dyDescent="0.15">
      <c r="A79" s="3" t="s">
        <v>11</v>
      </c>
      <c r="B79" s="3" t="s">
        <v>41</v>
      </c>
    </row>
    <row r="80" spans="1:9" ht="18.75" customHeight="1" x14ac:dyDescent="0.15">
      <c r="A80" s="3"/>
      <c r="B80" s="208" t="s">
        <v>156</v>
      </c>
      <c r="C80" s="209"/>
      <c r="D80" s="209"/>
      <c r="E80" s="209"/>
      <c r="F80" s="209"/>
      <c r="G80" s="209"/>
      <c r="H80" s="209"/>
      <c r="I80" s="217"/>
    </row>
    <row r="81" spans="1:9" ht="18.75" customHeight="1" x14ac:dyDescent="0.15">
      <c r="A81" s="3"/>
      <c r="B81" s="218"/>
      <c r="C81" s="219"/>
      <c r="D81" s="219"/>
      <c r="E81" s="219"/>
      <c r="F81" s="219"/>
      <c r="G81" s="219"/>
      <c r="H81" s="219"/>
      <c r="I81" s="220"/>
    </row>
    <row r="82" spans="1:9" ht="18.75" customHeight="1" x14ac:dyDescent="0.15">
      <c r="A82" s="3"/>
      <c r="B82" s="218"/>
      <c r="C82" s="219"/>
      <c r="D82" s="219"/>
      <c r="E82" s="219"/>
      <c r="F82" s="219"/>
      <c r="G82" s="219"/>
      <c r="H82" s="219"/>
      <c r="I82" s="220"/>
    </row>
    <row r="83" spans="1:9" ht="18.75" customHeight="1" x14ac:dyDescent="0.15">
      <c r="A83" s="3"/>
      <c r="B83" s="218"/>
      <c r="C83" s="219"/>
      <c r="D83" s="219"/>
      <c r="E83" s="219"/>
      <c r="F83" s="219"/>
      <c r="G83" s="219"/>
      <c r="H83" s="219"/>
      <c r="I83" s="220"/>
    </row>
    <row r="84" spans="1:9" ht="18.75" customHeight="1" x14ac:dyDescent="0.15">
      <c r="A84" s="3"/>
      <c r="B84" s="218"/>
      <c r="C84" s="219"/>
      <c r="D84" s="219"/>
      <c r="E84" s="219"/>
      <c r="F84" s="219"/>
      <c r="G84" s="219"/>
      <c r="H84" s="219"/>
      <c r="I84" s="220"/>
    </row>
    <row r="85" spans="1:9" ht="18.75" customHeight="1" x14ac:dyDescent="0.15">
      <c r="A85" s="3"/>
      <c r="B85" s="218"/>
      <c r="C85" s="219"/>
      <c r="D85" s="219"/>
      <c r="E85" s="219"/>
      <c r="F85" s="219"/>
      <c r="G85" s="219"/>
      <c r="H85" s="219"/>
      <c r="I85" s="220"/>
    </row>
    <row r="86" spans="1:9" ht="18.75" customHeight="1" x14ac:dyDescent="0.15">
      <c r="A86" s="3"/>
      <c r="B86" s="218"/>
      <c r="C86" s="219"/>
      <c r="D86" s="219"/>
      <c r="E86" s="219"/>
      <c r="F86" s="219"/>
      <c r="G86" s="219"/>
      <c r="H86" s="219"/>
      <c r="I86" s="220"/>
    </row>
    <row r="87" spans="1:9" ht="18.75" customHeight="1" x14ac:dyDescent="0.15">
      <c r="A87" s="3"/>
      <c r="B87" s="218"/>
      <c r="C87" s="219"/>
      <c r="D87" s="219"/>
      <c r="E87" s="219"/>
      <c r="F87" s="219"/>
      <c r="G87" s="219"/>
      <c r="H87" s="219"/>
      <c r="I87" s="220"/>
    </row>
    <row r="88" spans="1:9" ht="18.75" customHeight="1" x14ac:dyDescent="0.15">
      <c r="A88" s="3"/>
      <c r="B88" s="218"/>
      <c r="C88" s="219"/>
      <c r="D88" s="219"/>
      <c r="E88" s="219"/>
      <c r="F88" s="219"/>
      <c r="G88" s="219"/>
      <c r="H88" s="219"/>
      <c r="I88" s="220"/>
    </row>
    <row r="89" spans="1:9" ht="18.75" customHeight="1" x14ac:dyDescent="0.15">
      <c r="A89" s="3"/>
      <c r="B89" s="218"/>
      <c r="C89" s="219"/>
      <c r="D89" s="219"/>
      <c r="E89" s="219"/>
      <c r="F89" s="219"/>
      <c r="G89" s="219"/>
      <c r="H89" s="219"/>
      <c r="I89" s="220"/>
    </row>
    <row r="90" spans="1:9" ht="18.75" customHeight="1" x14ac:dyDescent="0.15">
      <c r="A90" s="64"/>
      <c r="B90" s="218"/>
      <c r="C90" s="219"/>
      <c r="D90" s="219"/>
      <c r="E90" s="219"/>
      <c r="F90" s="219"/>
      <c r="G90" s="219"/>
      <c r="H90" s="219"/>
      <c r="I90" s="220"/>
    </row>
    <row r="91" spans="1:9" ht="18.75" customHeight="1" x14ac:dyDescent="0.15">
      <c r="A91" s="64"/>
      <c r="B91" s="221"/>
      <c r="C91" s="222"/>
      <c r="D91" s="222"/>
      <c r="E91" s="222"/>
      <c r="F91" s="222"/>
      <c r="G91" s="222"/>
      <c r="H91" s="222"/>
      <c r="I91" s="223"/>
    </row>
    <row r="92" spans="1:9" ht="7.5" customHeight="1" x14ac:dyDescent="0.15">
      <c r="A92" s="64"/>
      <c r="B92" s="64"/>
      <c r="C92" s="64"/>
      <c r="D92" s="64"/>
      <c r="E92" s="64"/>
      <c r="F92" s="64"/>
      <c r="G92" s="64"/>
      <c r="H92" s="64"/>
      <c r="I92" s="64"/>
    </row>
    <row r="93" spans="1:9" ht="18.75" customHeight="1" x14ac:dyDescent="0.15">
      <c r="A93" s="3" t="s">
        <v>44</v>
      </c>
      <c r="B93" s="3" t="s">
        <v>13</v>
      </c>
    </row>
    <row r="94" spans="1:9" ht="18.75" customHeight="1" x14ac:dyDescent="0.15">
      <c r="A94" s="3"/>
      <c r="B94" s="183" t="s">
        <v>153</v>
      </c>
      <c r="C94" s="184"/>
      <c r="D94" s="184"/>
      <c r="E94" s="184"/>
      <c r="F94" s="184"/>
      <c r="G94" s="184"/>
      <c r="H94" s="184"/>
      <c r="I94" s="185"/>
    </row>
    <row r="95" spans="1:9" ht="18.75" customHeight="1" x14ac:dyDescent="0.15">
      <c r="A95" s="3"/>
      <c r="B95" s="186"/>
      <c r="C95" s="187"/>
      <c r="D95" s="187"/>
      <c r="E95" s="187"/>
      <c r="F95" s="187"/>
      <c r="G95" s="187"/>
      <c r="H95" s="187"/>
      <c r="I95" s="188"/>
    </row>
    <row r="96" spans="1:9" ht="18.75" customHeight="1" x14ac:dyDescent="0.15">
      <c r="A96" s="3"/>
      <c r="B96" s="186"/>
      <c r="C96" s="187"/>
      <c r="D96" s="187"/>
      <c r="E96" s="187"/>
      <c r="F96" s="187"/>
      <c r="G96" s="187"/>
      <c r="H96" s="187"/>
      <c r="I96" s="188"/>
    </row>
    <row r="97" spans="1:9" ht="18.75" customHeight="1" x14ac:dyDescent="0.15">
      <c r="A97" s="3"/>
      <c r="B97" s="186"/>
      <c r="C97" s="187"/>
      <c r="D97" s="187"/>
      <c r="E97" s="187"/>
      <c r="F97" s="187"/>
      <c r="G97" s="187"/>
      <c r="H97" s="187"/>
      <c r="I97" s="188"/>
    </row>
    <row r="98" spans="1:9" ht="18.75" customHeight="1" x14ac:dyDescent="0.15">
      <c r="A98" s="3"/>
      <c r="B98" s="186"/>
      <c r="C98" s="187"/>
      <c r="D98" s="187"/>
      <c r="E98" s="187"/>
      <c r="F98" s="187"/>
      <c r="G98" s="187"/>
      <c r="H98" s="187"/>
      <c r="I98" s="188"/>
    </row>
    <row r="99" spans="1:9" ht="18.75" customHeight="1" x14ac:dyDescent="0.15">
      <c r="A99" s="3"/>
      <c r="B99" s="186"/>
      <c r="C99" s="187"/>
      <c r="D99" s="187"/>
      <c r="E99" s="187"/>
      <c r="F99" s="187"/>
      <c r="G99" s="187"/>
      <c r="H99" s="187"/>
      <c r="I99" s="188"/>
    </row>
    <row r="100" spans="1:9" ht="18.75" customHeight="1" x14ac:dyDescent="0.15">
      <c r="A100" s="3"/>
      <c r="B100" s="186"/>
      <c r="C100" s="187"/>
      <c r="D100" s="187"/>
      <c r="E100" s="187"/>
      <c r="F100" s="187"/>
      <c r="G100" s="187"/>
      <c r="H100" s="187"/>
      <c r="I100" s="188"/>
    </row>
    <row r="101" spans="1:9" ht="18.75" customHeight="1" x14ac:dyDescent="0.15">
      <c r="A101" s="3"/>
      <c r="B101" s="186"/>
      <c r="C101" s="187"/>
      <c r="D101" s="187"/>
      <c r="E101" s="187"/>
      <c r="F101" s="187"/>
      <c r="G101" s="187"/>
      <c r="H101" s="187"/>
      <c r="I101" s="188"/>
    </row>
    <row r="102" spans="1:9" ht="18.75" customHeight="1" x14ac:dyDescent="0.15">
      <c r="A102" s="3"/>
      <c r="B102" s="186"/>
      <c r="C102" s="187"/>
      <c r="D102" s="187"/>
      <c r="E102" s="187"/>
      <c r="F102" s="187"/>
      <c r="G102" s="187"/>
      <c r="H102" s="187"/>
      <c r="I102" s="188"/>
    </row>
    <row r="103" spans="1:9" ht="18.75" customHeight="1" x14ac:dyDescent="0.15">
      <c r="A103" s="3"/>
      <c r="B103" s="186"/>
      <c r="C103" s="187"/>
      <c r="D103" s="187"/>
      <c r="E103" s="187"/>
      <c r="F103" s="187"/>
      <c r="G103" s="187"/>
      <c r="H103" s="187"/>
      <c r="I103" s="188"/>
    </row>
    <row r="104" spans="1:9" ht="18.75" customHeight="1" x14ac:dyDescent="0.15">
      <c r="A104" s="3"/>
      <c r="B104" s="186"/>
      <c r="C104" s="187"/>
      <c r="D104" s="187"/>
      <c r="E104" s="187"/>
      <c r="F104" s="187"/>
      <c r="G104" s="187"/>
      <c r="H104" s="187"/>
      <c r="I104" s="188"/>
    </row>
    <row r="105" spans="1:9" ht="18.75" customHeight="1" x14ac:dyDescent="0.15">
      <c r="A105" s="64"/>
      <c r="B105" s="189"/>
      <c r="C105" s="190"/>
      <c r="D105" s="190"/>
      <c r="E105" s="190"/>
      <c r="F105" s="190"/>
      <c r="G105" s="190"/>
      <c r="H105" s="190"/>
      <c r="I105" s="191"/>
    </row>
    <row r="106" spans="1:9" ht="7.5" customHeight="1" x14ac:dyDescent="0.15">
      <c r="A106" s="64"/>
      <c r="B106" s="64"/>
      <c r="C106" s="64"/>
      <c r="D106" s="64"/>
      <c r="E106" s="64"/>
      <c r="F106" s="64"/>
      <c r="G106" s="64"/>
      <c r="H106" s="64"/>
      <c r="I106" s="64"/>
    </row>
    <row r="107" spans="1:9" ht="18.75" customHeight="1" x14ac:dyDescent="0.15">
      <c r="A107" s="3" t="s">
        <v>30</v>
      </c>
      <c r="B107" s="192" t="s">
        <v>46</v>
      </c>
      <c r="C107" s="192"/>
      <c r="D107" s="192"/>
      <c r="E107" s="192"/>
      <c r="F107" s="192"/>
      <c r="G107" s="192"/>
      <c r="H107" s="192"/>
      <c r="I107" s="192"/>
    </row>
    <row r="108" spans="1:9" ht="18.75" customHeight="1" x14ac:dyDescent="0.15">
      <c r="A108" s="64"/>
      <c r="B108" s="183" t="s">
        <v>140</v>
      </c>
      <c r="C108" s="184"/>
      <c r="D108" s="184"/>
      <c r="E108" s="184"/>
      <c r="F108" s="184"/>
      <c r="G108" s="184"/>
      <c r="H108" s="184"/>
      <c r="I108" s="185"/>
    </row>
    <row r="109" spans="1:9" ht="18.75" customHeight="1" x14ac:dyDescent="0.15">
      <c r="A109" s="64"/>
      <c r="B109" s="186"/>
      <c r="C109" s="187"/>
      <c r="D109" s="187"/>
      <c r="E109" s="187"/>
      <c r="F109" s="187"/>
      <c r="G109" s="187"/>
      <c r="H109" s="187"/>
      <c r="I109" s="188"/>
    </row>
    <row r="110" spans="1:9" ht="18.75" customHeight="1" x14ac:dyDescent="0.15">
      <c r="A110" s="64"/>
      <c r="B110" s="186"/>
      <c r="C110" s="187"/>
      <c r="D110" s="187"/>
      <c r="E110" s="187"/>
      <c r="F110" s="187"/>
      <c r="G110" s="187"/>
      <c r="H110" s="187"/>
      <c r="I110" s="188"/>
    </row>
    <row r="111" spans="1:9" ht="18.75" customHeight="1" x14ac:dyDescent="0.15">
      <c r="A111" s="64"/>
      <c r="B111" s="186"/>
      <c r="C111" s="187"/>
      <c r="D111" s="187"/>
      <c r="E111" s="187"/>
      <c r="F111" s="187"/>
      <c r="G111" s="187"/>
      <c r="H111" s="187"/>
      <c r="I111" s="188"/>
    </row>
    <row r="112" spans="1:9" ht="18.75" customHeight="1" x14ac:dyDescent="0.15">
      <c r="A112" s="64"/>
      <c r="B112" s="186"/>
      <c r="C112" s="187"/>
      <c r="D112" s="187"/>
      <c r="E112" s="187"/>
      <c r="F112" s="187"/>
      <c r="G112" s="187"/>
      <c r="H112" s="187"/>
      <c r="I112" s="188"/>
    </row>
    <row r="113" spans="1:9" ht="18.75" customHeight="1" x14ac:dyDescent="0.15">
      <c r="A113" s="64"/>
      <c r="B113" s="186"/>
      <c r="C113" s="187"/>
      <c r="D113" s="187"/>
      <c r="E113" s="187"/>
      <c r="F113" s="187"/>
      <c r="G113" s="187"/>
      <c r="H113" s="187"/>
      <c r="I113" s="188"/>
    </row>
    <row r="114" spans="1:9" ht="18.75" customHeight="1" x14ac:dyDescent="0.15">
      <c r="A114" s="64"/>
      <c r="B114" s="186"/>
      <c r="C114" s="187"/>
      <c r="D114" s="187"/>
      <c r="E114" s="187"/>
      <c r="F114" s="187"/>
      <c r="G114" s="187"/>
      <c r="H114" s="187"/>
      <c r="I114" s="188"/>
    </row>
    <row r="115" spans="1:9" ht="18.75" customHeight="1" x14ac:dyDescent="0.15">
      <c r="A115" s="64"/>
      <c r="B115" s="186"/>
      <c r="C115" s="187"/>
      <c r="D115" s="187"/>
      <c r="E115" s="187"/>
      <c r="F115" s="187"/>
      <c r="G115" s="187"/>
      <c r="H115" s="187"/>
      <c r="I115" s="188"/>
    </row>
    <row r="116" spans="1:9" ht="18.75" customHeight="1" x14ac:dyDescent="0.15">
      <c r="A116" s="64"/>
      <c r="B116" s="186"/>
      <c r="C116" s="187"/>
      <c r="D116" s="187"/>
      <c r="E116" s="187"/>
      <c r="F116" s="187"/>
      <c r="G116" s="187"/>
      <c r="H116" s="187"/>
      <c r="I116" s="188"/>
    </row>
    <row r="117" spans="1:9" ht="18.75" customHeight="1" x14ac:dyDescent="0.15">
      <c r="A117" s="64"/>
      <c r="B117" s="186"/>
      <c r="C117" s="187"/>
      <c r="D117" s="187"/>
      <c r="E117" s="187"/>
      <c r="F117" s="187"/>
      <c r="G117" s="187"/>
      <c r="H117" s="187"/>
      <c r="I117" s="188"/>
    </row>
    <row r="118" spans="1:9" ht="18.75" customHeight="1" x14ac:dyDescent="0.15">
      <c r="A118" s="64"/>
      <c r="B118" s="186"/>
      <c r="C118" s="187"/>
      <c r="D118" s="187"/>
      <c r="E118" s="187"/>
      <c r="F118" s="187"/>
      <c r="G118" s="187"/>
      <c r="H118" s="187"/>
      <c r="I118" s="188"/>
    </row>
    <row r="119" spans="1:9" ht="18.75" customHeight="1" x14ac:dyDescent="0.15">
      <c r="A119" s="64"/>
      <c r="B119" s="189"/>
      <c r="C119" s="190"/>
      <c r="D119" s="190"/>
      <c r="E119" s="190"/>
      <c r="F119" s="190"/>
      <c r="G119" s="190"/>
      <c r="H119" s="190"/>
      <c r="I119" s="191"/>
    </row>
    <row r="120" spans="1:9" ht="7.5" customHeight="1" x14ac:dyDescent="0.15">
      <c r="A120" s="64"/>
      <c r="B120" s="70"/>
      <c r="C120" s="70"/>
      <c r="D120" s="70"/>
      <c r="E120" s="70"/>
      <c r="F120" s="70"/>
      <c r="G120" s="70"/>
      <c r="H120" s="70"/>
      <c r="I120" s="70"/>
    </row>
    <row r="121" spans="1:9" ht="18.75" customHeight="1" x14ac:dyDescent="0.15">
      <c r="A121" s="64"/>
      <c r="B121" s="64"/>
      <c r="C121" s="64"/>
      <c r="D121" s="64"/>
      <c r="E121" s="64"/>
      <c r="F121" s="64"/>
      <c r="G121" s="64"/>
      <c r="H121" s="64"/>
      <c r="I121" s="64"/>
    </row>
    <row r="122" spans="1:9" ht="18.75" customHeight="1" x14ac:dyDescent="0.15">
      <c r="A122" s="64"/>
      <c r="B122" s="64"/>
      <c r="C122" s="64"/>
      <c r="D122" s="64"/>
      <c r="E122" s="64"/>
      <c r="F122" s="64"/>
      <c r="G122" s="64"/>
      <c r="H122" s="64"/>
      <c r="I122" s="64"/>
    </row>
    <row r="123" spans="1:9" ht="18.75" customHeight="1" x14ac:dyDescent="0.15">
      <c r="A123" s="64"/>
      <c r="B123" s="64"/>
      <c r="C123" s="64"/>
      <c r="D123" s="64"/>
      <c r="E123" s="64"/>
      <c r="F123" s="64"/>
      <c r="G123" s="64"/>
      <c r="H123" s="64"/>
      <c r="I123" s="64"/>
    </row>
    <row r="124" spans="1:9" ht="18.75" customHeight="1" x14ac:dyDescent="0.15">
      <c r="A124" s="64"/>
      <c r="B124" s="64"/>
      <c r="C124" s="64"/>
      <c r="D124" s="64"/>
      <c r="E124" s="64"/>
      <c r="F124" s="64"/>
      <c r="G124" s="64"/>
      <c r="H124" s="64"/>
      <c r="I124" s="64"/>
    </row>
    <row r="125" spans="1:9" ht="18.75" customHeight="1" x14ac:dyDescent="0.15">
      <c r="A125" s="64"/>
      <c r="B125" s="64"/>
      <c r="C125" s="64"/>
      <c r="D125" s="64"/>
      <c r="E125" s="64"/>
      <c r="F125" s="64"/>
      <c r="G125" s="64"/>
      <c r="H125" s="64"/>
      <c r="I125" s="64"/>
    </row>
    <row r="126" spans="1:9" ht="18.75" customHeight="1" x14ac:dyDescent="0.15">
      <c r="A126" s="64"/>
      <c r="B126" s="64"/>
      <c r="C126" s="64"/>
      <c r="D126" s="64"/>
      <c r="E126" s="64"/>
      <c r="F126" s="64"/>
      <c r="G126" s="64"/>
      <c r="H126" s="64"/>
      <c r="I126" s="64"/>
    </row>
    <row r="127" spans="1:9" ht="18.75" customHeight="1" x14ac:dyDescent="0.15">
      <c r="A127" s="64"/>
      <c r="B127" s="64"/>
      <c r="C127" s="64"/>
      <c r="D127" s="64"/>
      <c r="E127" s="64"/>
      <c r="F127" s="64"/>
      <c r="G127" s="64"/>
      <c r="H127" s="64"/>
      <c r="I127" s="64"/>
    </row>
    <row r="128" spans="1:9" ht="18.75" customHeight="1" x14ac:dyDescent="0.15">
      <c r="A128" s="64"/>
      <c r="B128" s="64"/>
      <c r="C128" s="64"/>
      <c r="D128" s="64"/>
      <c r="E128" s="64"/>
      <c r="F128" s="64"/>
      <c r="G128" s="64"/>
      <c r="H128" s="64"/>
      <c r="I128" s="64"/>
    </row>
    <row r="129" spans="1:9" ht="18.75" customHeight="1" x14ac:dyDescent="0.15">
      <c r="A129" s="64"/>
      <c r="B129" s="64"/>
      <c r="C129" s="64"/>
      <c r="D129" s="64"/>
      <c r="E129" s="64"/>
      <c r="F129" s="64"/>
      <c r="G129" s="64"/>
      <c r="H129" s="64"/>
      <c r="I129" s="64"/>
    </row>
    <row r="130" spans="1:9" ht="18.75" customHeight="1" x14ac:dyDescent="0.15">
      <c r="A130" s="64"/>
      <c r="B130" s="64"/>
      <c r="C130" s="64"/>
      <c r="D130" s="64"/>
      <c r="E130" s="64"/>
      <c r="F130" s="64"/>
      <c r="G130" s="64"/>
      <c r="H130" s="64"/>
      <c r="I130" s="64"/>
    </row>
    <row r="131" spans="1:9" ht="18.75" customHeight="1" x14ac:dyDescent="0.15">
      <c r="A131" s="64"/>
      <c r="B131" s="64"/>
      <c r="C131" s="64"/>
      <c r="D131" s="64"/>
      <c r="E131" s="64"/>
      <c r="F131" s="64"/>
      <c r="G131" s="64"/>
      <c r="H131" s="64"/>
      <c r="I131" s="64"/>
    </row>
    <row r="132" spans="1:9" ht="18.75" customHeight="1" x14ac:dyDescent="0.15">
      <c r="A132" s="64"/>
      <c r="B132" s="64"/>
      <c r="C132" s="64"/>
      <c r="D132" s="64"/>
      <c r="E132" s="64"/>
      <c r="F132" s="64"/>
      <c r="G132" s="64"/>
      <c r="H132" s="64"/>
      <c r="I132" s="64"/>
    </row>
    <row r="133" spans="1:9" ht="14.25" x14ac:dyDescent="0.15">
      <c r="A133" s="64"/>
      <c r="B133" s="64"/>
      <c r="C133" s="64"/>
      <c r="D133" s="64"/>
      <c r="E133" s="64"/>
      <c r="F133" s="64"/>
      <c r="G133" s="64"/>
      <c r="H133" s="64"/>
      <c r="I133" s="64"/>
    </row>
    <row r="134" spans="1:9" ht="7.5" customHeight="1" x14ac:dyDescent="0.15">
      <c r="A134" s="71"/>
      <c r="B134" s="71"/>
      <c r="C134" s="71"/>
      <c r="D134" s="71"/>
      <c r="E134" s="71"/>
      <c r="F134" s="71"/>
      <c r="G134" s="71"/>
      <c r="H134" s="71"/>
      <c r="I134" s="71"/>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4294967293"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I2" sqref="I2"/>
    </sheetView>
  </sheetViews>
  <sheetFormatPr defaultColWidth="11.375" defaultRowHeight="22.5" customHeight="1" x14ac:dyDescent="0.15"/>
  <cols>
    <col min="1" max="3" width="2.75" style="3" customWidth="1"/>
    <col min="4" max="4" width="22.25" style="3" customWidth="1"/>
    <col min="5" max="5" width="30.75" style="3" customWidth="1"/>
    <col min="6" max="7" width="7.75" style="3" customWidth="1"/>
    <col min="8" max="9" width="30.75" style="3" customWidth="1"/>
    <col min="10" max="10" width="4.125" style="3" customWidth="1"/>
    <col min="11" max="16384" width="11.375" style="3"/>
  </cols>
  <sheetData>
    <row r="1" spans="1:9" ht="18.75" customHeight="1" x14ac:dyDescent="0.15">
      <c r="A1" s="3" t="s">
        <v>71</v>
      </c>
      <c r="I1" s="5" t="s">
        <v>105</v>
      </c>
    </row>
    <row r="2" spans="1:9" ht="18.75" customHeight="1" x14ac:dyDescent="0.15">
      <c r="H2" s="5" t="s">
        <v>109</v>
      </c>
      <c r="I2" s="2" t="str">
        <f>'様式１　プログラムを構成する授業科目'!C2</f>
        <v>名古屋文理大学短期大学部</v>
      </c>
    </row>
    <row r="3" spans="1:9" ht="18.75" customHeight="1" x14ac:dyDescent="0.15">
      <c r="A3" s="137" t="s">
        <v>28</v>
      </c>
      <c r="B3" s="137"/>
      <c r="C3" s="137"/>
      <c r="D3" s="137"/>
      <c r="E3" s="137"/>
      <c r="F3" s="137"/>
      <c r="G3" s="137"/>
      <c r="H3" s="137"/>
      <c r="I3" s="137"/>
    </row>
    <row r="4" spans="1:9" ht="18.75" customHeight="1" x14ac:dyDescent="0.15">
      <c r="A4" s="72"/>
      <c r="B4" s="72"/>
      <c r="C4" s="72"/>
      <c r="D4" s="72"/>
      <c r="E4" s="72"/>
      <c r="F4" s="72"/>
      <c r="G4" s="72"/>
      <c r="H4" s="72"/>
      <c r="I4" s="72"/>
    </row>
    <row r="5" spans="1:9" ht="18.75" customHeight="1" x14ac:dyDescent="0.15">
      <c r="A5" s="3" t="s">
        <v>0</v>
      </c>
      <c r="B5" s="10" t="s">
        <v>95</v>
      </c>
      <c r="C5" s="72"/>
      <c r="D5" s="72"/>
      <c r="E5" s="72"/>
      <c r="F5" s="72"/>
      <c r="G5" s="72"/>
      <c r="H5" s="72"/>
      <c r="I5" s="72"/>
    </row>
    <row r="6" spans="1:9" ht="26.25" customHeight="1" x14ac:dyDescent="0.15">
      <c r="A6" s="72"/>
      <c r="B6" s="201" t="s">
        <v>141</v>
      </c>
      <c r="C6" s="241"/>
      <c r="D6" s="241"/>
      <c r="E6" s="241"/>
      <c r="F6" s="241"/>
      <c r="G6" s="241"/>
      <c r="H6" s="242"/>
      <c r="I6" s="8"/>
    </row>
    <row r="7" spans="1:9" ht="9" customHeight="1" x14ac:dyDescent="0.15">
      <c r="A7" s="72"/>
      <c r="B7" s="10"/>
      <c r="C7" s="10"/>
      <c r="D7" s="10"/>
      <c r="E7" s="10"/>
      <c r="F7" s="10"/>
      <c r="G7" s="10"/>
      <c r="H7" s="10"/>
      <c r="I7" s="8"/>
    </row>
    <row r="8" spans="1:9" ht="18.75" customHeight="1" x14ac:dyDescent="0.15">
      <c r="A8" s="72"/>
      <c r="B8" s="8"/>
      <c r="C8" s="8"/>
      <c r="D8" s="5" t="s">
        <v>43</v>
      </c>
      <c r="E8" s="1" t="s">
        <v>152</v>
      </c>
      <c r="F8" s="8"/>
      <c r="G8" s="5" t="s">
        <v>10</v>
      </c>
      <c r="H8" s="1" t="s">
        <v>142</v>
      </c>
      <c r="I8" s="8"/>
    </row>
    <row r="9" spans="1:9" ht="7.5" customHeight="1" x14ac:dyDescent="0.15">
      <c r="A9" s="72"/>
      <c r="B9" s="72"/>
      <c r="C9" s="72"/>
      <c r="D9" s="72"/>
      <c r="E9" s="72"/>
      <c r="F9" s="72"/>
      <c r="G9" s="72"/>
      <c r="H9" s="72"/>
      <c r="I9" s="72"/>
    </row>
    <row r="10" spans="1:9" ht="18.75" customHeight="1" x14ac:dyDescent="0.15">
      <c r="A10" s="3" t="s">
        <v>3</v>
      </c>
      <c r="B10" s="3" t="s">
        <v>27</v>
      </c>
      <c r="C10" s="64"/>
      <c r="D10" s="64"/>
      <c r="E10" s="64"/>
      <c r="F10" s="64"/>
      <c r="G10" s="64"/>
      <c r="H10" s="64"/>
      <c r="I10" s="64"/>
    </row>
    <row r="11" spans="1:9" ht="18.75" customHeight="1" x14ac:dyDescent="0.15">
      <c r="B11" s="89" t="s">
        <v>24</v>
      </c>
      <c r="C11" s="90"/>
      <c r="D11" s="91"/>
      <c r="E11" s="90" t="s">
        <v>26</v>
      </c>
      <c r="F11" s="90"/>
      <c r="G11" s="90"/>
      <c r="H11" s="90"/>
      <c r="I11" s="91"/>
    </row>
    <row r="12" spans="1:9" ht="26.25" customHeight="1" x14ac:dyDescent="0.15">
      <c r="B12" s="73" t="s">
        <v>14</v>
      </c>
      <c r="C12" s="74"/>
      <c r="D12" s="75"/>
      <c r="E12" s="76"/>
      <c r="F12" s="76"/>
      <c r="G12" s="76"/>
      <c r="H12" s="76"/>
      <c r="I12" s="75"/>
    </row>
    <row r="13" spans="1:9" ht="210.75" customHeight="1" x14ac:dyDescent="0.15">
      <c r="B13" s="77"/>
      <c r="C13" s="239" t="s">
        <v>15</v>
      </c>
      <c r="D13" s="240"/>
      <c r="E13" s="236" t="s">
        <v>157</v>
      </c>
      <c r="F13" s="237"/>
      <c r="G13" s="237"/>
      <c r="H13" s="237"/>
      <c r="I13" s="238"/>
    </row>
    <row r="14" spans="1:9" ht="223.9" customHeight="1" x14ac:dyDescent="0.15">
      <c r="B14" s="77"/>
      <c r="C14" s="234" t="s">
        <v>16</v>
      </c>
      <c r="D14" s="235"/>
      <c r="E14" s="236" t="s">
        <v>158</v>
      </c>
      <c r="F14" s="237"/>
      <c r="G14" s="237"/>
      <c r="H14" s="237"/>
      <c r="I14" s="238"/>
    </row>
    <row r="15" spans="1:9" ht="210.75" customHeight="1" x14ac:dyDescent="0.15">
      <c r="B15" s="77"/>
      <c r="C15" s="239" t="s">
        <v>17</v>
      </c>
      <c r="D15" s="240"/>
      <c r="E15" s="236" t="s">
        <v>159</v>
      </c>
      <c r="F15" s="237"/>
      <c r="G15" s="237"/>
      <c r="H15" s="237"/>
      <c r="I15" s="238"/>
    </row>
    <row r="16" spans="1:9" ht="210.75" customHeight="1" x14ac:dyDescent="0.15">
      <c r="B16" s="77"/>
      <c r="C16" s="239" t="s">
        <v>18</v>
      </c>
      <c r="D16" s="240"/>
      <c r="E16" s="236" t="s">
        <v>160</v>
      </c>
      <c r="F16" s="237"/>
      <c r="G16" s="237"/>
      <c r="H16" s="237"/>
      <c r="I16" s="238"/>
    </row>
    <row r="17" spans="2:9" ht="210.75" customHeight="1" x14ac:dyDescent="0.15">
      <c r="B17" s="78"/>
      <c r="C17" s="243" t="s">
        <v>19</v>
      </c>
      <c r="D17" s="244"/>
      <c r="E17" s="245" t="s">
        <v>174</v>
      </c>
      <c r="F17" s="246"/>
      <c r="G17" s="246"/>
      <c r="H17" s="246"/>
      <c r="I17" s="247"/>
    </row>
    <row r="18" spans="2:9" ht="24" customHeight="1" x14ac:dyDescent="0.15">
      <c r="B18" s="73" t="s">
        <v>20</v>
      </c>
      <c r="C18" s="79"/>
      <c r="D18" s="80"/>
      <c r="E18" s="81"/>
      <c r="F18" s="81"/>
      <c r="G18" s="81"/>
      <c r="H18" s="81"/>
      <c r="I18" s="82"/>
    </row>
    <row r="19" spans="2:9" ht="218.25" customHeight="1" x14ac:dyDescent="0.15">
      <c r="B19" s="77"/>
      <c r="C19" s="239" t="s">
        <v>21</v>
      </c>
      <c r="D19" s="240"/>
      <c r="E19" s="237" t="s">
        <v>149</v>
      </c>
      <c r="F19" s="237"/>
      <c r="G19" s="237"/>
      <c r="H19" s="237"/>
      <c r="I19" s="238"/>
    </row>
    <row r="20" spans="2:9" ht="218.25" customHeight="1" x14ac:dyDescent="0.15">
      <c r="B20" s="78"/>
      <c r="C20" s="243" t="s">
        <v>22</v>
      </c>
      <c r="D20" s="244"/>
      <c r="E20" s="246" t="s">
        <v>150</v>
      </c>
      <c r="F20" s="246"/>
      <c r="G20" s="246"/>
      <c r="H20" s="246"/>
      <c r="I20" s="247"/>
    </row>
    <row r="21" spans="2:9" ht="218.25" customHeight="1" x14ac:dyDescent="0.15">
      <c r="B21" s="253" t="s">
        <v>23</v>
      </c>
      <c r="C21" s="254"/>
      <c r="D21" s="255"/>
      <c r="E21" s="256" t="s">
        <v>151</v>
      </c>
      <c r="F21" s="256"/>
      <c r="G21" s="256"/>
      <c r="H21" s="256"/>
      <c r="I21" s="257"/>
    </row>
    <row r="22" spans="2:9" ht="218.25" customHeight="1" x14ac:dyDescent="0.15">
      <c r="B22" s="248" t="s">
        <v>38</v>
      </c>
      <c r="C22" s="249"/>
      <c r="D22" s="250"/>
      <c r="E22" s="251" t="s">
        <v>161</v>
      </c>
      <c r="F22" s="251"/>
      <c r="G22" s="251"/>
      <c r="H22" s="251"/>
      <c r="I22" s="252"/>
    </row>
    <row r="23" spans="2:9" ht="22.5" customHeight="1" x14ac:dyDescent="0.15">
      <c r="B23" s="64"/>
      <c r="C23" s="64"/>
      <c r="D23" s="64"/>
      <c r="E23" s="64"/>
      <c r="F23" s="64"/>
      <c r="G23" s="64"/>
      <c r="H23" s="64"/>
      <c r="I23" s="64"/>
    </row>
    <row r="24" spans="2:9" ht="22.5" customHeight="1" x14ac:dyDescent="0.15">
      <c r="B24" s="64"/>
      <c r="C24" s="64"/>
      <c r="D24" s="64"/>
      <c r="E24" s="64"/>
      <c r="F24" s="64"/>
      <c r="G24" s="64"/>
      <c r="H24" s="64"/>
      <c r="I24" s="64"/>
    </row>
    <row r="25" spans="2:9" ht="22.5" customHeight="1" x14ac:dyDescent="0.15">
      <c r="B25" s="64"/>
      <c r="C25" s="64"/>
      <c r="D25" s="64"/>
      <c r="E25" s="64"/>
      <c r="F25" s="64"/>
      <c r="G25" s="64"/>
      <c r="H25" s="64"/>
      <c r="I25" s="64"/>
    </row>
    <row r="26" spans="2:9" ht="22.5" customHeight="1" x14ac:dyDescent="0.15">
      <c r="B26" s="64"/>
      <c r="C26" s="64"/>
      <c r="D26" s="64"/>
      <c r="E26" s="64"/>
      <c r="F26" s="64"/>
      <c r="G26" s="64"/>
      <c r="H26" s="64"/>
      <c r="I26" s="64"/>
    </row>
    <row r="27" spans="2:9" ht="22.5" customHeight="1" x14ac:dyDescent="0.15">
      <c r="B27" s="64"/>
      <c r="C27" s="64"/>
      <c r="D27" s="64"/>
      <c r="E27" s="64"/>
      <c r="F27" s="64"/>
      <c r="G27" s="64"/>
      <c r="H27" s="64"/>
      <c r="I27" s="64"/>
    </row>
    <row r="28" spans="2:9" ht="22.5" customHeight="1" x14ac:dyDescent="0.15">
      <c r="B28" s="20"/>
      <c r="C28" s="20"/>
      <c r="D28" s="20"/>
      <c r="E28" s="20"/>
      <c r="F28" s="20"/>
      <c r="G28" s="20"/>
      <c r="H28" s="20"/>
      <c r="I28" s="20"/>
    </row>
    <row r="29" spans="2:9" ht="22.5" customHeight="1" x14ac:dyDescent="0.15">
      <c r="B29" s="20"/>
      <c r="C29" s="20"/>
      <c r="D29" s="20"/>
      <c r="E29" s="20"/>
      <c r="F29" s="20"/>
      <c r="G29" s="20"/>
      <c r="H29" s="20"/>
      <c r="I29" s="20"/>
    </row>
    <row r="30" spans="2:9" ht="22.5" customHeight="1" x14ac:dyDescent="0.15">
      <c r="B30" s="20"/>
      <c r="C30" s="20"/>
      <c r="D30" s="20"/>
      <c r="E30" s="20"/>
      <c r="F30" s="20"/>
      <c r="G30" s="20"/>
      <c r="H30" s="20"/>
      <c r="I30" s="20"/>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名古屋文理大学</cp:lastModifiedBy>
  <cp:lastPrinted>2023-07-17T10:00:36Z</cp:lastPrinted>
  <dcterms:created xsi:type="dcterms:W3CDTF">2011-06-14T05:32:50Z</dcterms:created>
  <dcterms:modified xsi:type="dcterms:W3CDTF">2023-07-17T10:00:43Z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