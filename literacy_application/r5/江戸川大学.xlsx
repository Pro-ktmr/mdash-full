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0.235.143.90\share\03企画\補助金・認可・申請・届出\数理・データサイエンス・AI教育プログラム\2023年5月15日申請(リテラシーレベル)\20230718再提出用準備フォルダ\"/>
    </mc:Choice>
  </mc:AlternateContent>
  <bookViews>
    <workbookView xWindow="0" yWindow="0" windowWidth="28800" windowHeight="12210" tabRatio="885"/>
  </bookViews>
  <sheets>
    <sheet name="様式１－１　プログラムを構成する授業科目" sheetId="39" r:id="rId1"/>
    <sheet name="様式１－２　プログラムを構成する授業科目" sheetId="43"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'様式１－１　プログラムを構成する授業科目'!$V$14:$V$16</definedName>
    <definedName name="_xlnm._FilterDatabase" localSheetId="1" hidden="1">'様式１－２　プログラムを構成する授業科目'!$V$14:$V$16</definedName>
    <definedName name="_xlnm._FilterDatabase" localSheetId="2" hidden="1">'様式２ 履修者等数の実績'!#REF!</definedName>
    <definedName name="_xlnm.Print_Area" localSheetId="0">'様式１－１　プログラムを構成する授業科目'!$A$1:$S$102</definedName>
    <definedName name="_xlnm.Print_Area" localSheetId="1">'様式１－２　プログラムを構成する授業科目'!$A$1:$S$102</definedName>
    <definedName name="_xlnm.Print_Area" localSheetId="2">'様式２ 履修者等数の実績'!$A$1:$AQ$32</definedName>
    <definedName name="_xlnm.Print_Area" localSheetId="3">'様式３ 教育の質・履修者数を向上させるための体制・計画'!$A$1:$I$120</definedName>
    <definedName name="_xlnm.Print_Area" localSheetId="4">'様式４　自己点検・評価'!$A$1:$I$22</definedName>
    <definedName name="_xlnm.Print_Titles" localSheetId="4">'様式４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G32" i="40"/>
  <c r="H32" i="40"/>
  <c r="AP13" i="40"/>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<sst xmlns="http://schemas.openxmlformats.org/spreadsheetml/2006/main" count="472" uniqueCount="197">
  <si>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</si>
  <si>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</si>
  <si>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</si>
  <si>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</si>
  <si>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</si>
  <si>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</si>
  <si>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</si>
  <si>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</si>
  <si>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</si>
  <si>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</si>
  <si>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</si>
  <si>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</si>
  <si>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</si>
  <si>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</si>
  <si>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</si>
  <si>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</si>
  <si>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</si>
  <si>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</si>
  <si>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</si>
  <si>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</si>
  <si>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</si>
  <si>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</si>
  <si>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</si>
  <si>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</si>
  <si>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</si>
  <si>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</si>
  <si>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</si>
  <si>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</si>
  <si>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</si>
  <si>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</si>
  <si>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</si>
  <si>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</si>
  <si>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</si>
  <si>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</si>
  <si>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</si>
  <si>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</si>
  <si>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</si>
  <si>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</si>
  <si>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</si>
  <si>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</si>
  <si>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</si>
  <si>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</si>
  <si>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</si>
  <si>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</si>
  <si>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</si>
  <si>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</si>
  <si>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</si>
  <si>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</si>
  <si>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</si>
  <si>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</si>
  <si>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</si>
  <si>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</si>
  <si>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</si>
  <si>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</si>
  <si>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</si>
  <si>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</si>
  <si>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</si>
  <si>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</si>
  <si>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</si>
  <si>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</si>
  <si>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</si>
  <si>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</si>
  <si>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</si>
  <si>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</si>
  <si>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</si>
  <si>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</si>
  <si>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</si>
  <si>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</si>
  <si>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</si>
  <si>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</si>
  <si>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</si>
  <si>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</si>
  <si>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</si>
  <si>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</si>
  <si>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</si>
  <si>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</si>
  <si>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</si>
  <si>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</si>
  <si>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</si>
  <si>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</si>
  <si>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</si>
  <si>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</si>
  <si>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</si>
  <si>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</si>
  <si>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</si>
  <si>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</si>
  <si>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</si>
  <si>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</si>
  <si>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</si>
  <si>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</si>
  <si>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</si>
  <si>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</si>
  <si>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</si>
  <si>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</si>
  <si>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</si>
  <si>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</si>
  <si>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</si>
  <si>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</si>
  <si>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</si>
  <si>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</si>
  <si>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</si>
  <si>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</si>
  <si>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</si>
  <si>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</si>
  <si>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</si>
  <si>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</si>
  <si>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</si>
  <si>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</si>
  <si>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</si>
  <si>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</si>
  <si>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</si>
  <si>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</si>
  <si>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</si>
  <si>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</si>
  <si>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</si>
  <si>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</si>
  <si>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</si>
  <si>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</si>
  <si>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</si>
  <si>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</si>
  <si>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</si>
  <si>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</si>
  <si>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</si>
  <si>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</si>
  <si>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</si>
  <si>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</si>
  <si>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江戸川大学</t>
    <rPh sb="0" eb="3">
      <t>エドガワ</t>
    </rPh>
    <rPh sb="3" eb="5">
      <t>ダイガク</t>
    </rPh>
    <phoneticPr fontId="1"/>
  </si>
  <si>
    <t>数理・データサイエンス・AI教育プログラム</t>
  </si>
  <si>
    <t>学部・学科によって、修了要件は相違する</t>
  </si>
  <si>
    <t>2022年度以降入学
「データサイエンス概論」を履修すること。</t>
    <phoneticPr fontId="1"/>
  </si>
  <si>
    <t>データサイエンス概論</t>
    <rPh sb="8" eb="10">
      <t>ガイロン</t>
    </rPh>
    <phoneticPr fontId="1"/>
  </si>
  <si>
    <t>○</t>
  </si>
  <si>
    <t>データサイエンス概論</t>
    <rPh sb="8" eb="10">
      <t>ガイロン</t>
    </rPh>
    <phoneticPr fontId="1"/>
  </si>
  <si>
    <t>アルゴリズム</t>
  </si>
  <si>
    <t>4-1統計および数理基礎</t>
  </si>
  <si>
    <t>4‐2アルゴリズム基礎</t>
  </si>
  <si>
    <t>プログラミング基礎</t>
    <rPh sb="7" eb="9">
      <t>キソ</t>
    </rPh>
    <phoneticPr fontId="1"/>
  </si>
  <si>
    <t>4‐3データ構造とプログラミング基礎</t>
  </si>
  <si>
    <t>データベースⅠ</t>
  </si>
  <si>
    <t>4‐7データハンドリング</t>
  </si>
  <si>
    <t>・社会で起きている変化(データ駆動型社会・Society5.0)、データに関する基礎的な知識(情報量の単位、二進数、文字コード等)　「データサイエンス概論」(1回目）</t>
    <rPh sb="75" eb="77">
      <t>ガイロン</t>
    </rPh>
    <rPh sb="80" eb="82">
      <t>カイメ</t>
    </rPh>
    <phoneticPr fontId="1"/>
  </si>
  <si>
    <t>・データ・AI利活用の最新動向、AIを活用した新しいビジネスモデル、AIに関する最新技術(シェアリングエコノミー、レコメンデーション等)や、さまざまなAI技術要素（深層ニューラルネットワーク、畳み込みニューラルネットワーク、変分オートエンコーダー、潜在空間、敵対的生成ネットワーク(GAN)、強化学習、転移学習）、「データサイエンス概論」(7回目)</t>
    <rPh sb="166" eb="168">
      <t>ガイロン</t>
    </rPh>
    <rPh sb="171" eb="173">
      <t>カイメ</t>
    </rPh>
    <phoneticPr fontId="1"/>
  </si>
  <si>
    <t>・社会で活用されているデータ(ビッグデータ）、「データサイエンス概論」(2回目)</t>
    <rPh sb="32" eb="34">
      <t>ガイロン</t>
    </rPh>
    <rPh sb="37" eb="39">
      <t>カイメ</t>
    </rPh>
    <phoneticPr fontId="1"/>
  </si>
  <si>
    <t>・新たな技術の進展によって起こる様々な分野でのデータとAIの活用領域の広がり、データを活用した一連のプロセスの体験、様々な領域(仮説検証・知識発見・原因究明・計画策定・判断支援・活動代替等)でのデータサイエンス活用、「データサイエンス概論」(3回目)</t>
    <rPh sb="117" eb="119">
      <t>ガイロン</t>
    </rPh>
    <rPh sb="122" eb="124">
      <t>カイメ</t>
    </rPh>
    <phoneticPr fontId="1"/>
  </si>
  <si>
    <t>・様々なデータ解析の具体的内容、データサイエンス概論(4回目)
・様々なデータ可視化の方法(可視化目的（比較、構成、分布、変化など）に応じた図表化の判断や、1次元、多次元の可視化方法として、各種グラフ（棒グラフ、折れ線グラフ、積み上げ棒グラフなど）や散布図、散布図行列の他、関係性の可視化をするネットワーク)やAIの歴史と現状（推論、探索、トイプロブレム、エキスパートシステムに対応したAIや、汎用AI/特化型AI（強いAI・弱いAI）、フレーム問題）、「データサイエンス概論」（5回目）</t>
    <rPh sb="24" eb="26">
      <t>ガイロン</t>
    </rPh>
    <rPh sb="28" eb="30">
      <t>カイメ</t>
    </rPh>
    <rPh sb="236" eb="238">
      <t>ガイロン</t>
    </rPh>
    <rPh sb="241" eb="243">
      <t>カイメ</t>
    </rPh>
    <phoneticPr fontId="1"/>
  </si>
  <si>
    <t>・データ・AI活用の現場（データ分析による意思決定（現状分析と課題抽出、仮説と予測モデルの作成、予測モデルの分析）や、AI利活用事例（製造、公共、インフラなど））、「データサイエンス概論」（6回目）</t>
    <rPh sb="91" eb="93">
      <t>ガイロン</t>
    </rPh>
    <rPh sb="96" eb="98">
      <t>カイメ</t>
    </rPh>
    <phoneticPr fontId="1"/>
  </si>
  <si>
    <t>・データ・AIを扱う上での留意事項（AI倫理、AIの社会的受容性の他、AIに関する原則やガイドライン、AIの説明可能性、トラスト（信頼性）、公平性）、「データサイエンス概論」（13回目）</t>
    <rPh sb="84" eb="86">
      <t>ガイロン</t>
    </rPh>
    <rPh sb="90" eb="92">
      <t>カイメ</t>
    </rPh>
    <phoneticPr fontId="1"/>
  </si>
  <si>
    <t>・セキュリティ・プライバシーの観点からデータを守る上での留意事項(情報セキュリティ(機密性・完全性・可用性)等)や情報漏洩等によるセキュリティ事故、「データサイエンス概論」(14回目)</t>
    <rPh sb="83" eb="85">
      <t>ガイロン</t>
    </rPh>
    <rPh sb="89" eb="91">
      <t>カイメ</t>
    </rPh>
    <phoneticPr fontId="1"/>
  </si>
  <si>
    <t>・データの種類、データの代表値とばらつきの指標、打ち切りや脱落、「データサイエンス概論」（8回目）
・複数のデータの関連性を捉える方法、「データサイエンス概論」（9回目）</t>
    <rPh sb="41" eb="43">
      <t>ガイロン</t>
    </rPh>
    <rPh sb="46" eb="48">
      <t>カイメ</t>
    </rPh>
    <rPh sb="77" eb="79">
      <t>ガイロン</t>
    </rPh>
    <rPh sb="82" eb="84">
      <t>カイメ</t>
    </rPh>
    <phoneticPr fontId="1"/>
  </si>
  <si>
    <t>・統計センターが公表している統計データ「教育用標準データセット（SSDSE）」や政府統計の総合窓口「e-Stat」等で提供されている統計データを利用して、具体例に基づきながら、データの集計、並び替えを学ぶ、「データサイエンス概論」（11回目）
・統計センターが公表している統計データ「教育用標準データセット（SSDSE）」や政府統計の総合窓口「e-Stat」等で提供されている統計データを利用して、具体例に基づきながら、ヒストグラムや散布図の描き方を学ぶ、「データサイエンス概論」（12回目）</t>
    <rPh sb="100" eb="101">
      <t>マナ</t>
    </rPh>
    <rPh sb="112" eb="114">
      <t>ガイロン</t>
    </rPh>
    <rPh sb="118" eb="120">
      <t>カイメ</t>
    </rPh>
    <phoneticPr fontId="1"/>
  </si>
  <si>
    <t>今後のデジタル社会において、数理・データサイエンス・AIを日常の生活、仕事等の場で使いこなすことができる基礎的素養を主体的に身に付ける。さらに、学修した数理・データサイエンス・AIに関する知識・技能をもとに、これらを扱う際には、人間中心の適切な判断ができ、不安なく自らの意志でAI等の恩恵を享受し、これらを説明し、活用できる。</t>
    <phoneticPr fontId="1"/>
  </si>
  <si>
    <t>こどもコミュニケーション論</t>
    <rPh sb="12" eb="13">
      <t>ロン</t>
    </rPh>
    <phoneticPr fontId="1"/>
  </si>
  <si>
    <t>情報リテラシーI</t>
    <rPh sb="0" eb="2">
      <t>ジョウホウ</t>
    </rPh>
    <phoneticPr fontId="1"/>
  </si>
  <si>
    <t>情報リテラシーII</t>
    <phoneticPr fontId="1"/>
  </si>
  <si>
    <t>メディアコミュニケーション学部</t>
    <rPh sb="13" eb="15">
      <t>ガクブ</t>
    </rPh>
    <phoneticPr fontId="1"/>
  </si>
  <si>
    <t>社会学部</t>
    <rPh sb="0" eb="2">
      <t>シャカイ</t>
    </rPh>
    <rPh sb="2" eb="4">
      <t>ガクブ</t>
    </rPh>
    <phoneticPr fontId="1"/>
  </si>
  <si>
    <t>令和４</t>
    <rPh sb="0" eb="2">
      <t>レイワ</t>
    </rPh>
    <phoneticPr fontId="1"/>
  </si>
  <si>
    <t>山口　敏和</t>
    <rPh sb="0" eb="2">
      <t>ヤマグチ</t>
    </rPh>
    <rPh sb="3" eb="5">
      <t>トシカズ</t>
    </rPh>
    <phoneticPr fontId="1"/>
  </si>
  <si>
    <t>情報教育研究所データサイエンス・AI教育推進室長</t>
    <rPh sb="0" eb="2">
      <t>ジョウホウ</t>
    </rPh>
    <rPh sb="2" eb="7">
      <t>キョウイクケンキュウジョ</t>
    </rPh>
    <rPh sb="18" eb="20">
      <t>キョウイク</t>
    </rPh>
    <rPh sb="20" eb="22">
      <t>スイシン</t>
    </rPh>
    <rPh sb="22" eb="24">
      <t>シツチョウ</t>
    </rPh>
    <phoneticPr fontId="1"/>
  </si>
  <si>
    <t>情報教育研究所データサイエンス・AI教育推進室</t>
    <rPh sb="0" eb="7">
      <t>ジョウホウキョウ</t>
    </rPh>
    <rPh sb="18" eb="20">
      <t>キョウイク</t>
    </rPh>
    <rPh sb="20" eb="23">
      <t>スイシンシツ</t>
    </rPh>
    <phoneticPr fontId="1"/>
  </si>
  <si>
    <t>江戸川大学情報教育研究所規程、江戸川大学情報教育研究所データサイエンス・AI教育推進室に関する内規</t>
    <rPh sb="0" eb="5">
      <t>エドガワダイガク</t>
    </rPh>
    <rPh sb="5" eb="7">
      <t>ジョウホウ</t>
    </rPh>
    <rPh sb="7" eb="9">
      <t>キョウイク</t>
    </rPh>
    <rPh sb="9" eb="12">
      <t>ケンキュウジョ</t>
    </rPh>
    <rPh sb="12" eb="14">
      <t>キテイ</t>
    </rPh>
    <rPh sb="15" eb="20">
      <t>エド</t>
    </rPh>
    <rPh sb="20" eb="27">
      <t>ジョウホウ</t>
    </rPh>
    <rPh sb="38" eb="40">
      <t>キョウイク</t>
    </rPh>
    <rPh sb="40" eb="43">
      <t>スイシンシツ</t>
    </rPh>
    <rPh sb="44" eb="45">
      <t>カン</t>
    </rPh>
    <rPh sb="47" eb="49">
      <t>ナイキ</t>
    </rPh>
    <phoneticPr fontId="1"/>
  </si>
  <si>
    <t>情報教育研究所</t>
    <rPh sb="0" eb="7">
      <t>ジョウホウ</t>
    </rPh>
    <phoneticPr fontId="1"/>
  </si>
  <si>
    <t>玉田　和恵</t>
    <rPh sb="0" eb="2">
      <t>タマダ</t>
    </rPh>
    <rPh sb="3" eb="5">
      <t>カズエ</t>
    </rPh>
    <phoneticPr fontId="1"/>
  </si>
  <si>
    <t>情報教育研究所長</t>
    <rPh sb="0" eb="2">
      <t>ジョウホウ</t>
    </rPh>
    <rPh sb="2" eb="4">
      <t>キョウイク</t>
    </rPh>
    <rPh sb="4" eb="8">
      <t>ケンキュウジョチョウ</t>
    </rPh>
    <phoneticPr fontId="1"/>
  </si>
  <si>
    <t>　本学の数理・データサイエンス・AI教育を推進し、学生の数理・データサイエンス・AIへの関心を高め、個々の状況に合わせた適切な理解を促し、それを活用する基礎的な資質・能力を育成する。また、数理・データサイエンス・AIに関する知識および技術について体系的な教育を推進することによって、データを活用し社会の課題を解決するとともに、新しい価値を創造できる人材を育成することを目的とする。</t>
    <rPh sb="4" eb="6">
      <t>スウリ</t>
    </rPh>
    <rPh sb="50" eb="52">
      <t>ココ</t>
    </rPh>
    <rPh sb="53" eb="55">
      <t>ジョウキョウ</t>
    </rPh>
    <rPh sb="56" eb="57">
      <t>ア</t>
    </rPh>
    <rPh sb="80" eb="82">
      <t>シシツ</t>
    </rPh>
    <phoneticPr fontId="1"/>
  </si>
  <si>
    <t>室長　山口 敏和（メディアコミュニケーション学部情報文化学科 准教授）
室員　玉田 和恵（情報教育研究所長、メディアコミュニケーション学部情報文化学科 教授）
　　　　八木 徹（メディアコミュニケーション学部情報文化学科長 教授）
　　　　小原 裕二（メディアコミュニケーション学部情報文化学科 講師）
　　　　松尾 由美（メディアコミュニケーション学部情報文化学科 講師）</t>
    <rPh sb="45" eb="47">
      <t>ジョウホウ</t>
    </rPh>
    <rPh sb="47" eb="52">
      <t>キョウイクケンキュウジョ</t>
    </rPh>
    <rPh sb="52" eb="53">
      <t>チョウ</t>
    </rPh>
    <rPh sb="67" eb="69">
      <t>ガクブ</t>
    </rPh>
    <phoneticPr fontId="1"/>
  </si>
  <si>
    <t>本学では、メディアコミュニケーション学部（マス・コミュニケーション学科、情報文化学科）、社会学部(人間心理学科、経営社会学科、現代社会学科）は、「データサイエンス概論」を履修すること、メディアコミュニケーション学部（こどもコミュニケーション学科）は「情報リテラシーI」「情報リテラシーII」「こどもコミュニケーション論」を履修することを、本プログラム履修者と定義している。令和4年度より本プログラムを開始し、ガイダンスにおいて科目履修マニュアルを用いて周知を図り、学生に対してプログラム履修を奨励している。今後は、学内電子掲示板への掲示や、プログラム履修によって得られる能力等の周知を通じてプログラム修了者を増やしていく予定である。また、全学部において履修がしやすいような開講形態および開講区分を検討していく。</t>
    <rPh sb="200" eb="202">
      <t>カイシ</t>
    </rPh>
    <rPh sb="213" eb="215">
      <t>カモク</t>
    </rPh>
    <rPh sb="215" eb="217">
      <t>リシュウ</t>
    </rPh>
    <rPh sb="223" eb="224">
      <t>モチ</t>
    </rPh>
    <rPh sb="253" eb="255">
      <t>コンゴ</t>
    </rPh>
    <rPh sb="257" eb="259">
      <t>ガクナイ</t>
    </rPh>
    <rPh sb="259" eb="261">
      <t>デンシ</t>
    </rPh>
    <rPh sb="261" eb="264">
      <t>ケイジバン</t>
    </rPh>
    <rPh sb="266" eb="268">
      <t>ケイジ</t>
    </rPh>
    <rPh sb="275" eb="277">
      <t>リシュウ</t>
    </rPh>
    <rPh sb="281" eb="282">
      <t>エ</t>
    </rPh>
    <rPh sb="285" eb="287">
      <t>ノウリョク</t>
    </rPh>
    <rPh sb="287" eb="288">
      <t>トウ</t>
    </rPh>
    <rPh sb="289" eb="291">
      <t>シュウチ</t>
    </rPh>
    <rPh sb="292" eb="293">
      <t>ツウ</t>
    </rPh>
    <rPh sb="319" eb="322">
      <t>ゼンガクブ</t>
    </rPh>
    <rPh sb="326" eb="328">
      <t>リシュウ</t>
    </rPh>
    <rPh sb="336" eb="338">
      <t>カイコウ</t>
    </rPh>
    <rPh sb="338" eb="340">
      <t>ケイタイ</t>
    </rPh>
    <rPh sb="343" eb="345">
      <t>カイコウ</t>
    </rPh>
    <rPh sb="345" eb="347">
      <t>クブン</t>
    </rPh>
    <rPh sb="348" eb="350">
      <t>ケントウ</t>
    </rPh>
    <phoneticPr fontId="1"/>
  </si>
  <si>
    <t>メディアコミュニケーション学部情報文化学科開講の「データサイエンス概論」を、他の学部・学科学生は「他学部・他学科履修制度」を用いて履修することで、希望する学生が受講可能となる体制をとっているが、令和４年度においては、履修上の制約により当該科目を履修できない状況にあったメディアコミュニケーション学部こどもコミュニケーション学科学生には、別科目の中で同等の内容を教育できるように内容調整を行い、これを実行した。なお、令和５年度より、例外なく全学部において同一科目にて履修ができる体制を整備するとともに、開講期を後期集中講義科目としてキャップ制に関係なく履修できる科目と位置づけた。また、全14回の授業中6回をオンデマンド型で実施し、残りの8回を集中講義開講期間に実施することで、学部・学科に関係なく時間割の重複を避けて履修できる環境を整えることを決めた。</t>
    <rPh sb="13" eb="15">
      <t>ガクブ</t>
    </rPh>
    <rPh sb="15" eb="19">
      <t>ジョウホウブンカ</t>
    </rPh>
    <rPh sb="19" eb="21">
      <t>ガッカ</t>
    </rPh>
    <rPh sb="21" eb="23">
      <t>カイコウ</t>
    </rPh>
    <rPh sb="33" eb="35">
      <t>ガイロン</t>
    </rPh>
    <rPh sb="38" eb="39">
      <t>ホカ</t>
    </rPh>
    <rPh sb="40" eb="42">
      <t>ガクブ</t>
    </rPh>
    <rPh sb="43" eb="45">
      <t>ガッカ</t>
    </rPh>
    <rPh sb="45" eb="47">
      <t>ガクセイ</t>
    </rPh>
    <rPh sb="49" eb="52">
      <t>タガクブ</t>
    </rPh>
    <rPh sb="53" eb="56">
      <t>タガッカ</t>
    </rPh>
    <rPh sb="56" eb="58">
      <t>リシュウ</t>
    </rPh>
    <rPh sb="58" eb="60">
      <t>セイド</t>
    </rPh>
    <rPh sb="62" eb="63">
      <t>モチ</t>
    </rPh>
    <rPh sb="65" eb="67">
      <t>リシュウ</t>
    </rPh>
    <rPh sb="73" eb="75">
      <t>キボウ</t>
    </rPh>
    <rPh sb="77" eb="79">
      <t>ガクセイ</t>
    </rPh>
    <rPh sb="80" eb="82">
      <t>ジュコウ</t>
    </rPh>
    <rPh sb="82" eb="84">
      <t>カノウ</t>
    </rPh>
    <rPh sb="87" eb="89">
      <t>タイセイ</t>
    </rPh>
    <rPh sb="97" eb="99">
      <t>レイワ</t>
    </rPh>
    <rPh sb="100" eb="102">
      <t>ネンド</t>
    </rPh>
    <rPh sb="108" eb="110">
      <t>リシュウ</t>
    </rPh>
    <rPh sb="110" eb="111">
      <t>ジョウ</t>
    </rPh>
    <rPh sb="112" eb="114">
      <t>セイヤク</t>
    </rPh>
    <rPh sb="117" eb="119">
      <t>トウガイ</t>
    </rPh>
    <rPh sb="119" eb="121">
      <t>カモク</t>
    </rPh>
    <rPh sb="122" eb="124">
      <t>リシュウ</t>
    </rPh>
    <rPh sb="128" eb="130">
      <t>ジョウキョウ</t>
    </rPh>
    <rPh sb="147" eb="149">
      <t>ガクブ</t>
    </rPh>
    <rPh sb="161" eb="163">
      <t>ガッカ</t>
    </rPh>
    <rPh sb="163" eb="165">
      <t>ガクセイ</t>
    </rPh>
    <rPh sb="168" eb="171">
      <t>ベツカモク</t>
    </rPh>
    <rPh sb="172" eb="173">
      <t>ナカ</t>
    </rPh>
    <rPh sb="174" eb="176">
      <t>ドウトウ</t>
    </rPh>
    <rPh sb="177" eb="179">
      <t>ナイヨウ</t>
    </rPh>
    <rPh sb="180" eb="182">
      <t>キョウイク</t>
    </rPh>
    <rPh sb="188" eb="190">
      <t>ナイヨウ</t>
    </rPh>
    <rPh sb="190" eb="192">
      <t>チョウセイ</t>
    </rPh>
    <rPh sb="193" eb="194">
      <t>オコナ</t>
    </rPh>
    <rPh sb="199" eb="201">
      <t>ジッコウ</t>
    </rPh>
    <rPh sb="215" eb="217">
      <t>レイガイ</t>
    </rPh>
    <rPh sb="219" eb="222">
      <t>ゼンガクブ</t>
    </rPh>
    <rPh sb="226" eb="228">
      <t>ドウイツ</t>
    </rPh>
    <rPh sb="228" eb="230">
      <t>カモク</t>
    </rPh>
    <rPh sb="232" eb="234">
      <t>リシュウ</t>
    </rPh>
    <rPh sb="238" eb="240">
      <t>タイセイ</t>
    </rPh>
    <rPh sb="241" eb="243">
      <t>セイビ</t>
    </rPh>
    <rPh sb="250" eb="252">
      <t>カイコウ</t>
    </rPh>
    <rPh sb="252" eb="253">
      <t>キ</t>
    </rPh>
    <rPh sb="269" eb="270">
      <t>セイ</t>
    </rPh>
    <rPh sb="271" eb="273">
      <t>カンケイ</t>
    </rPh>
    <rPh sb="275" eb="277">
      <t>リシュウ</t>
    </rPh>
    <rPh sb="280" eb="282">
      <t>カモク</t>
    </rPh>
    <rPh sb="283" eb="285">
      <t>イチ</t>
    </rPh>
    <rPh sb="309" eb="310">
      <t>カタ</t>
    </rPh>
    <rPh sb="311" eb="313">
      <t>ジッシ</t>
    </rPh>
    <rPh sb="330" eb="332">
      <t>ジッシ</t>
    </rPh>
    <rPh sb="344" eb="346">
      <t>カンケイ</t>
    </rPh>
    <rPh sb="355" eb="356">
      <t>サ</t>
    </rPh>
    <rPh sb="372" eb="373">
      <t>キ</t>
    </rPh>
    <phoneticPr fontId="1"/>
  </si>
  <si>
    <t>全学生に配布する科目履修マニュアルにプログラムに関する説明を記載、入学後の学部ガイダンス、学科ガイダンス（情報文化学科）での説明に加え、本学のホームページにプログラム専用ページへのリンクを掲載して、学生が情報を受け取りやすい環境を整備している。</t>
    <phoneticPr fontId="1"/>
  </si>
  <si>
    <t>高校までで修得すべき数理・データサイエンス・AIに関する内容（基礎数学、確率、統計等）について、大学初年次向けのリメディアルｅラーニングシステム「エドリル」で取り扱っている。このエドリルについて、サポートデスクとして非常勤職員を週3回程度常駐させており、不明点等の問い合わせに対応できる体制を整備している。このような体制により、データサイエンスに苦手意識がある学生に対しても、高校までの学びなおしを推奨し、データサイエンスに関する科目の履修・修得を支援している。</t>
    <rPh sb="10" eb="12">
      <t>スウリ</t>
    </rPh>
    <rPh sb="31" eb="33">
      <t>キソ</t>
    </rPh>
    <rPh sb="50" eb="53">
      <t>ショネンジ</t>
    </rPh>
    <rPh sb="53" eb="54">
      <t>ム</t>
    </rPh>
    <rPh sb="79" eb="80">
      <t>ト</t>
    </rPh>
    <rPh sb="81" eb="82">
      <t>アツカ</t>
    </rPh>
    <rPh sb="108" eb="111">
      <t>ヒジョウキン</t>
    </rPh>
    <rPh sb="111" eb="113">
      <t>ショクイン</t>
    </rPh>
    <rPh sb="117" eb="119">
      <t>テイド</t>
    </rPh>
    <rPh sb="143" eb="145">
      <t>タイセイ</t>
    </rPh>
    <rPh sb="146" eb="148">
      <t>セイビ</t>
    </rPh>
    <rPh sb="221" eb="223">
      <t>シュウトク</t>
    </rPh>
    <phoneticPr fontId="1"/>
  </si>
  <si>
    <t>「データサイエンス概論」および「こどもコミュニケーション論」において、Google Classroomに授業資料を掲示して課題の提出を行っており、提出された課題へのフィードバックや、コメントを受け付けることで、授業時間外での学習指導、質問を受け付けている。また、シラバスに担当教員のメールアドレスを掲載し、授業時間外の質問ができる体制を整えている。</t>
    <rPh sb="28" eb="29">
      <t>ロン</t>
    </rPh>
    <rPh sb="136" eb="138">
      <t>タントウ</t>
    </rPh>
    <rPh sb="138" eb="140">
      <t>キョウイン</t>
    </rPh>
    <rPh sb="149" eb="151">
      <t>ケイサイ</t>
    </rPh>
    <rPh sb="153" eb="155">
      <t>ジュギョウ</t>
    </rPh>
    <rPh sb="155" eb="157">
      <t>ジカン</t>
    </rPh>
    <rPh sb="157" eb="158">
      <t>ガイ</t>
    </rPh>
    <rPh sb="159" eb="161">
      <t>シツモン</t>
    </rPh>
    <rPh sb="165" eb="167">
      <t>タイセイ</t>
    </rPh>
    <rPh sb="168" eb="169">
      <t>トトノ</t>
    </rPh>
    <phoneticPr fontId="1"/>
  </si>
  <si>
    <t>全授業で授業評価アンケートを行っており、学修成果（「社会におけるデータ・AI利活用」「データリテラシー」「データ・AI利活用における心得」などを学んで修得した知識・技能）を担当教員が確認し、「自己評価」や「授業改善」を行っている。それを基に、PDCAサイクルを回しながらカリキュラム及び授業改善を行い、学生の数理・データサイエンス・AIに関する資質・能力の向上を図っている。</t>
    <phoneticPr fontId="1"/>
  </si>
  <si>
    <t>全授業で授業評価アンケートを行っており、該当科目全体の履修学生の理解度、到達目標達成度を情報教育研究所で点検を行っている。学生の理解度についての自己評価は十分と言える領域までは達していないが、「興味・関心」についてはある程度促進できているということが伺える。</t>
    <phoneticPr fontId="1"/>
  </si>
  <si>
    <t>本プログラムは開設されて間もないためプログラム修了要件を満たしている学生が少ないことは仕方がないと考えられ、複数の学部において修了要件を満たした学生が存在していることは評価できる。しかし、全学的に見た場合、履修者及び修了要件を満たした学生が特定の学科に偏っている現状は、好ましい状態ではないと判断する。現在、学内の各学科において教育課程の改革が検討されており、いずれの組織においてもデータサイエンス関連科目の重要性を認識した上で新たな教育課程の構築を進める必要があると考えられる。令和５年度より、本プログラムの対象科目の開講形態を集中講義とすることで、多くの学生の履修を促進することができると考えられる。今後のプログラム履修・修得状況の改善に向けた取り組みは着実に進行していると考える。</t>
    <rPh sb="72" eb="74">
      <t>ガクセイ</t>
    </rPh>
    <rPh sb="75" eb="77">
      <t>ソンザイ</t>
    </rPh>
    <rPh sb="117" eb="119">
      <t>ガクセイ</t>
    </rPh>
    <rPh sb="172" eb="174">
      <t>ケントウ</t>
    </rPh>
    <rPh sb="212" eb="213">
      <t>ウエ</t>
    </rPh>
    <rPh sb="228" eb="230">
      <t>ヒツヨウ</t>
    </rPh>
    <rPh sb="234" eb="235">
      <t>カンガ</t>
    </rPh>
    <rPh sb="260" eb="262">
      <t>カイコウ</t>
    </rPh>
    <rPh sb="262" eb="264">
      <t>ケイタイ</t>
    </rPh>
    <phoneticPr fontId="1"/>
  </si>
  <si>
    <t>授業評価アンケート等の結果から、授業科目を履修した学生は数理・データサイエンス・AIに関する必要性や重要性は十分に理解できており、自分自身がそれらを修得する必要性があるとともに、後輩にも修得して欲しいという気持ちを持っていることが伺える。</t>
    <rPh sb="9" eb="10">
      <t>トウ</t>
    </rPh>
    <rPh sb="11" eb="13">
      <t>ケッカ</t>
    </rPh>
    <rPh sb="16" eb="18">
      <t>ジュギョウ</t>
    </rPh>
    <rPh sb="18" eb="20">
      <t>カモク</t>
    </rPh>
    <rPh sb="21" eb="23">
      <t>リシュウ</t>
    </rPh>
    <phoneticPr fontId="1"/>
  </si>
  <si>
    <t>現在、全学的に「数理・データサイエンス・AI教育」の普及促進を図ることを目標として掲げている。履修者数向上には、入学前の認知度を高める必要があり、ホームページ、大学案内、広報誌、公式YouTubeチャンネル、進学ポータルサイト、WEBメール等により高校生への周知を強化する。在学生への周知が十分ではないため、令和５年度は「科目履修マニュアル」への記載に加えて、学生ポータルサイト「エドポタ」の電子掲示板において、履修することのメリットや修了要件等を改めて分かりやすく説明する掲示を行い、履修手続きにつなげていく計画であり、その取り組みが期待される。今後数年をかけて、履修率の向上に取り組む姿勢が伺える。</t>
    <rPh sb="161" eb="163">
      <t>カモク</t>
    </rPh>
    <rPh sb="163" eb="165">
      <t>リシュウ</t>
    </rPh>
    <rPh sb="173" eb="175">
      <t>キサイ</t>
    </rPh>
    <rPh sb="176" eb="177">
      <t>クワ</t>
    </rPh>
    <rPh sb="180" eb="182">
      <t>ガクセイ</t>
    </rPh>
    <rPh sb="196" eb="201">
      <t>デンシケイジバン</t>
    </rPh>
    <rPh sb="224" eb="225">
      <t>アラタ</t>
    </rPh>
    <rPh sb="237" eb="239">
      <t>ケイジ</t>
    </rPh>
    <rPh sb="240" eb="241">
      <t>オコナ</t>
    </rPh>
    <rPh sb="255" eb="257">
      <t>ケイカク</t>
    </rPh>
    <rPh sb="263" eb="264">
      <t>ト</t>
    </rPh>
    <rPh sb="265" eb="266">
      <t>ク</t>
    </rPh>
    <rPh sb="268" eb="270">
      <t>キタイ</t>
    </rPh>
    <rPh sb="274" eb="276">
      <t>コンゴ</t>
    </rPh>
    <rPh sb="276" eb="278">
      <t>スウネン</t>
    </rPh>
    <rPh sb="283" eb="285">
      <t>リシュウ</t>
    </rPh>
    <rPh sb="285" eb="286">
      <t>リツ</t>
    </rPh>
    <rPh sb="287" eb="289">
      <t>コウジョウ</t>
    </rPh>
    <rPh sb="290" eb="291">
      <t>ト</t>
    </rPh>
    <rPh sb="292" eb="293">
      <t>ク</t>
    </rPh>
    <rPh sb="294" eb="296">
      <t>シセイ</t>
    </rPh>
    <rPh sb="297" eb="298">
      <t>ウカガ</t>
    </rPh>
    <phoneticPr fontId="1"/>
  </si>
  <si>
    <t>現在のところ本プログラムの履修証明を受けた者の中から卒業生が出ていないため、評価材料がない。卒業生が出た後に、就職先等を調査する予定である。</t>
    <phoneticPr fontId="1"/>
  </si>
  <si>
    <t>情報教育研究所を中心に、日頃から企業・自治体の担当者と情報教育に対する意見交換を行っている。その中で、データサイエンスやAI、情報セキュリティ等のリテラシー教育について、本教育プログラムに期待することや実務で必要な知識・スキルに関する情報を収集している。本教育プログラムに対しては協力企業の担当者から、大いに期待できるという意見をいただいている。今後は、産業界との連携を含めた実践的な取り組みをさらに進めていくことが必要である。</t>
    <rPh sb="173" eb="175">
      <t>コンゴ</t>
    </rPh>
    <rPh sb="177" eb="180">
      <t>サンギョウカイ</t>
    </rPh>
    <rPh sb="182" eb="184">
      <t>レンケイ</t>
    </rPh>
    <rPh sb="185" eb="186">
      <t>フク</t>
    </rPh>
    <rPh sb="188" eb="190">
      <t>ジッセン</t>
    </rPh>
    <rPh sb="190" eb="191">
      <t>テキ</t>
    </rPh>
    <rPh sb="192" eb="193">
      <t>ト</t>
    </rPh>
    <rPh sb="194" eb="195">
      <t>ク</t>
    </rPh>
    <rPh sb="200" eb="201">
      <t>スス</t>
    </rPh>
    <rPh sb="208" eb="210">
      <t>ヒツヨウ</t>
    </rPh>
    <phoneticPr fontId="1"/>
  </si>
  <si>
    <t>例えば、スマートスピーカーや自動運転など、驚異的に発達したAIを活用した技術が私たちの日常生活の中に浸透してきている実例を示しながら、こうした身近な例により、どういう目的でAIを活用するか、どういうアルゴリズムを使うか等、人間が理解し、考えて活用することの重要性やこれからの社会への影響力を意識させることを心がけている。特に最近話題となっている生成系AIなどについて、技術としてどのように活用すると有効か、倫理的に課題となるのは何かなどを、学生自身に考えさせることによって「学ぶ楽しさ」 や「学ぶことの意義」が体感できるよう工夫している。</t>
    <rPh sb="172" eb="174">
      <t>セイセイ</t>
    </rPh>
    <rPh sb="174" eb="175">
      <t>ケイ</t>
    </rPh>
    <phoneticPr fontId="1"/>
  </si>
  <si>
    <t>文科系の学生に適した数理・データサイエンス・AI教育のあり方を最大の課題として検討している。全学共通で受講できる内容・水準となるよう努めている。知識やスキルの差を補うために講義資料を工夫したり、内容は身近な話題やメディアで注目されたトピックを紹介する等、学生が興味を持ち、自分ごととして考察できるテーマを中心に選択している。授業終了後の理解度や質問・感想コメントの確認、学期末ごとに実施している授業評価アンケートにより、授業の難易度、授業方法の工夫、資料の分かりやすさ、時間配分、課題の量等について逐次改善を図ることとしている。</t>
    <phoneticPr fontId="1"/>
  </si>
  <si>
    <t>社会学部(人間心理学科、経営社会学科、現代社会学科）</t>
    <phoneticPr fontId="1"/>
  </si>
  <si>
    <t>・データをグラフや図(棒グラフ、折れ線グラフ、散布図、積み上げ棒グラフ、箱ひげ図、ヒートマップ、等)を使って分かりやすく表現する方法、データを比較する方法(条件をそろえた比較、処理の前後での比較等)、実際の可視化事例や不適切なグラフ表現、「データサイエンス概論」(10回目)</t>
    <rPh sb="128" eb="130">
      <t>ガイロン</t>
    </rPh>
    <rPh sb="134" eb="136">
      <t>カイメ</t>
    </rPh>
    <phoneticPr fontId="1"/>
  </si>
  <si>
    <t>様式１-1</t>
    <rPh sb="0" eb="2">
      <t>ヨウシキ</t>
    </rPh>
    <phoneticPr fontId="1"/>
  </si>
  <si>
    <t>様式１-2</t>
    <rPh sb="0" eb="2">
      <t>ヨウシキ</t>
    </rPh>
    <phoneticPr fontId="1"/>
  </si>
  <si>
    <t>メディアコミュニケーション学部(マス・コミュニケーション学科、情報文化学科、こどもコミュニケーション学科)</t>
    <rPh sb="13" eb="15">
      <t>ガクブ</t>
    </rPh>
    <rPh sb="50" eb="52">
      <t>ガッカ</t>
    </rPh>
    <phoneticPr fontId="1"/>
  </si>
  <si>
    <t xml:space="preserve">
マス・コミュニケーション学科、情報文化学科2022年度以降入学者
「データサイエンス概論」を履修すること。
こどもコミュニケーション学科2022年度以降入学者
「情報リテラシーI」「情報リテラシーII」「こどもコミュニケーション論」を履修すること。</t>
    <rPh sb="32" eb="33">
      <t>シャ</t>
    </rPh>
    <rPh sb="74" eb="76">
      <t>ネンド</t>
    </rPh>
    <rPh sb="76" eb="78">
      <t>イコウ</t>
    </rPh>
    <rPh sb="78" eb="80">
      <t>ニュウガク</t>
    </rPh>
    <rPh sb="80" eb="81">
      <t>シャ</t>
    </rPh>
    <rPh sb="83" eb="85">
      <t>ジョウホウ</t>
    </rPh>
    <rPh sb="93" eb="95">
      <t>ジョウホウ</t>
    </rPh>
    <rPh sb="116" eb="117">
      <t>ロン</t>
    </rPh>
    <rPh sb="119" eb="121">
      <t>リシュウ</t>
    </rPh>
    <phoneticPr fontId="1"/>
  </si>
  <si>
    <t>・社会で起きている変化(データ駆動型社会・Society5.0)、データに関する基礎的な知識(情報量の単位、二進数、文字コード等)　「データサイエンス概論」(1回目）
・数理・データサイエンス・AIによる社会の変化（Society5.0、ビッグデータ、IOT等）、　「こどもコミュニケーション論」(13回目）
・ネットワーク、ビッグデータ、AI活用が進む社会における課題、「情報リテラシーⅠ」（2回目）</t>
    <rPh sb="85" eb="87">
      <t>スウリ</t>
    </rPh>
    <rPh sb="102" eb="104">
      <t>シャカイ</t>
    </rPh>
    <rPh sb="105" eb="107">
      <t>ヘンカ</t>
    </rPh>
    <rPh sb="129" eb="130">
      <t>ナド</t>
    </rPh>
    <rPh sb="146" eb="147">
      <t>ロン</t>
    </rPh>
    <rPh sb="151" eb="153">
      <t>カイメ</t>
    </rPh>
    <rPh sb="172" eb="174">
      <t>カツヨウ</t>
    </rPh>
    <rPh sb="175" eb="176">
      <t>スス</t>
    </rPh>
    <rPh sb="177" eb="179">
      <t>シャカイ</t>
    </rPh>
    <rPh sb="183" eb="185">
      <t>カダイ</t>
    </rPh>
    <rPh sb="187" eb="189">
      <t>ジョウホウ</t>
    </rPh>
    <rPh sb="198" eb="200">
      <t>カイメ</t>
    </rPh>
    <phoneticPr fontId="1"/>
  </si>
  <si>
    <t>・データ・AI利活用の最新動向、AIを活用した新しいビジネスモデル、AIに関する最新技術(シェアリングエコノミー、レコメンデーション等)や、さまざまなAI技術要素（深層ニューラルネットワーク、畳み込みニューラルネットワーク、変分オートエンコーダー、潜在空間、敵対的生成ネットワーク(GAN)、強化学習、転移学習）、「データサイエンス概論」(7回目)
・データ・AI利活用の最新動向（保育現場での利活用等）、「こどもコミュニケーション論」(13回目)
・ネットワーク、ビッグデータ、AI利活用が進む社会の動向、「情報リテラシーⅠ」、（2回目）</t>
    <rPh sb="182" eb="185">
      <t>リカツヨウ</t>
    </rPh>
    <rPh sb="186" eb="188">
      <t>サイシン</t>
    </rPh>
    <rPh sb="188" eb="190">
      <t>ドウコウ</t>
    </rPh>
    <rPh sb="191" eb="195">
      <t>ホイクゲンバ</t>
    </rPh>
    <rPh sb="197" eb="200">
      <t>リカツヨウ</t>
    </rPh>
    <rPh sb="200" eb="201">
      <t>ナド</t>
    </rPh>
    <rPh sb="216" eb="217">
      <t>ロン</t>
    </rPh>
    <rPh sb="221" eb="223">
      <t>カイメ</t>
    </rPh>
    <rPh sb="242" eb="245">
      <t>リカツヨウ</t>
    </rPh>
    <rPh sb="246" eb="247">
      <t>スス</t>
    </rPh>
    <rPh sb="248" eb="250">
      <t>シャカイ</t>
    </rPh>
    <rPh sb="251" eb="253">
      <t>ドウコウ</t>
    </rPh>
    <rPh sb="255" eb="257">
      <t>ジョウホウ</t>
    </rPh>
    <rPh sb="267" eb="269">
      <t>カイメ</t>
    </rPh>
    <phoneticPr fontId="1"/>
  </si>
  <si>
    <t>・社会で活用されているデータ(ビッグデータ）、「データサイエンス概論」(2回目)
・ビッグデータの活用、「情報リテラシーⅠ」、（2回目）
・数理・データサイエンス・AIにおいて活用されるデータ（ビッグデータ、ログデータ、構造化データ、非構造化データ等）、「こどもコミュニケーション論」(13回目)</t>
    <rPh sb="49" eb="51">
      <t>カツヨウ</t>
    </rPh>
    <rPh sb="53" eb="55">
      <t>ジョウホウ</t>
    </rPh>
    <rPh sb="65" eb="67">
      <t>カイメ</t>
    </rPh>
    <rPh sb="70" eb="72">
      <t>スウリ</t>
    </rPh>
    <rPh sb="88" eb="90">
      <t>カツヨウ</t>
    </rPh>
    <rPh sb="110" eb="113">
      <t>コウゾウカ</t>
    </rPh>
    <rPh sb="124" eb="125">
      <t>ナド</t>
    </rPh>
    <rPh sb="140" eb="141">
      <t>ロン</t>
    </rPh>
    <rPh sb="145" eb="147">
      <t>カイメ</t>
    </rPh>
    <phoneticPr fontId="1"/>
  </si>
  <si>
    <t>・新たな技術の進展によって起こる様々な分野でのデータとAIの活用領域の広がり、データを活用した一連のプロセスの体験、様々な領域(仮説検証・知識発見・原因究明・計画策定・判断支援・活動代替等)でのデータサイエンス活用、「データサイエンス概論」(3回目)
・データとAIの活用領域(医療、介護、交通、防災、子育て支援等)、「こどもコミュニケーション論」（14回目）</t>
    <rPh sb="134" eb="138">
      <t>カツヨウリョウイキ</t>
    </rPh>
    <rPh sb="139" eb="141">
      <t>イリョウ</t>
    </rPh>
    <rPh sb="142" eb="144">
      <t>カイゴ</t>
    </rPh>
    <rPh sb="145" eb="147">
      <t>コウツウ</t>
    </rPh>
    <rPh sb="148" eb="150">
      <t>ボウサイ</t>
    </rPh>
    <rPh sb="151" eb="153">
      <t>コソダ</t>
    </rPh>
    <rPh sb="154" eb="156">
      <t>シエン</t>
    </rPh>
    <rPh sb="156" eb="157">
      <t>ナド</t>
    </rPh>
    <rPh sb="172" eb="173">
      <t>ロン</t>
    </rPh>
    <rPh sb="177" eb="179">
      <t>カイメ</t>
    </rPh>
    <phoneticPr fontId="1"/>
  </si>
  <si>
    <t>・様々なデータ解析の具体的内容、データサイエンス概論(4回目)
・様々なデータ可視化の方法(可視化目的（比較、構成、分布、変化など）に応じた図表化の判断や、1次元、多次元の可視化方法として、各種グラフ（棒グラフ、折れ線グラフ、積み上げ棒グラフなど）や散布図、散布図行列の他、関係性の可視化をするネットワーク)やAIの歴史と現状（推論、探索、トイプロブレム、エキスパートシステムに対応したAIや、汎用AI/特化型AI（強いAI・弱いAI）、フレーム問題）、「データサイエンス概論」（5回目）
・データ・AI利活用のために用いられている技術(AIとビッグデータ、非構造化データ処理、認識技術、パターン発見等）、「こどもコミュニケーション論」（13回目）</t>
    <rPh sb="252" eb="255">
      <t>リカツヨウ</t>
    </rPh>
    <rPh sb="259" eb="260">
      <t>モチ</t>
    </rPh>
    <rPh sb="266" eb="268">
      <t>ギジュツ</t>
    </rPh>
    <rPh sb="279" eb="280">
      <t>ヒ</t>
    </rPh>
    <rPh sb="280" eb="283">
      <t>コウゾウカ</t>
    </rPh>
    <rPh sb="286" eb="288">
      <t>ショリ</t>
    </rPh>
    <rPh sb="289" eb="291">
      <t>ニンシキ</t>
    </rPh>
    <rPh sb="291" eb="293">
      <t>ギジュツ</t>
    </rPh>
    <rPh sb="298" eb="300">
      <t>ハッケン</t>
    </rPh>
    <rPh sb="300" eb="301">
      <t>ナド</t>
    </rPh>
    <rPh sb="316" eb="317">
      <t>ロン</t>
    </rPh>
    <rPh sb="321" eb="323">
      <t>カイメ</t>
    </rPh>
    <phoneticPr fontId="1"/>
  </si>
  <si>
    <t>・データ・AI活用の現場（データ分析による意思決定（現状分析と課題抽出、仮説と予測モデルの作成、予測モデルの分析）や、AI利活用事例（製造、公共、インフラなど））、「データサイエンス概論」（6回目）
・データ、AIの活用の事例研究と課題考察、「情報リテラシーⅠ」（7回目）</t>
    <rPh sb="108" eb="110">
      <t>カツヨウ</t>
    </rPh>
    <rPh sb="111" eb="115">
      <t>ジレイケンキュウ</t>
    </rPh>
    <rPh sb="116" eb="120">
      <t>カダイコウサツ</t>
    </rPh>
    <rPh sb="122" eb="124">
      <t>ジョウホウ</t>
    </rPh>
    <rPh sb="133" eb="135">
      <t>カイメ</t>
    </rPh>
    <phoneticPr fontId="1"/>
  </si>
  <si>
    <t>・データ・AIを扱う上での留意事項（AI倫理、AIの社会的受容性の他、AIに関する原則やガイドライン、AIの説明可能性、トラスト（信頼性）、公平性）、「データサイエンス概論」（13回目）
・データ・AI利活用における倫理とセキュリティ（ネットワーク上の情報活用とセキュリティ、ネットワーク上に潜む危険と対策、デジタル時代の著作権と教育的利用）、「情報リテラシーⅠ」（7回目）
・データ・AIを扱う上での留意事項（ELSI等）、「こどもコミュニケーション論」（13回目）</t>
    <rPh sb="101" eb="104">
      <t>リカツヨウ</t>
    </rPh>
    <rPh sb="108" eb="110">
      <t>リンリ</t>
    </rPh>
    <rPh sb="124" eb="125">
      <t>ジョウ</t>
    </rPh>
    <rPh sb="126" eb="130">
      <t>ジョウホウカツヨウ</t>
    </rPh>
    <rPh sb="144" eb="145">
      <t>ジョウ</t>
    </rPh>
    <rPh sb="146" eb="147">
      <t>ヒソ</t>
    </rPh>
    <rPh sb="148" eb="150">
      <t>キケン</t>
    </rPh>
    <rPh sb="151" eb="153">
      <t>タイサク</t>
    </rPh>
    <rPh sb="158" eb="160">
      <t>ジダイ</t>
    </rPh>
    <rPh sb="161" eb="164">
      <t>チョサクケン</t>
    </rPh>
    <rPh sb="165" eb="168">
      <t>キョウイクテキ</t>
    </rPh>
    <rPh sb="168" eb="170">
      <t>リヨウ</t>
    </rPh>
    <rPh sb="173" eb="175">
      <t>ジョウホウ</t>
    </rPh>
    <rPh sb="184" eb="186">
      <t>カイメ</t>
    </rPh>
    <rPh sb="196" eb="197">
      <t>アツカ</t>
    </rPh>
    <rPh sb="198" eb="199">
      <t>ウエ</t>
    </rPh>
    <rPh sb="201" eb="205">
      <t>リュウイジコウ</t>
    </rPh>
    <rPh sb="210" eb="211">
      <t>ナド</t>
    </rPh>
    <rPh sb="226" eb="227">
      <t>ロン</t>
    </rPh>
    <rPh sb="231" eb="233">
      <t>カイメ</t>
    </rPh>
    <phoneticPr fontId="1"/>
  </si>
  <si>
    <t>・セキュリティ・プライバシーの観点からデータを守る上での留意事項(情報セキュリティ(機密性・完全性・可用性)等)や情報漏洩等によるセキュリティ事故、「データサイエンス概論」(14回目)
・データの保護（OECDプライバシー8原則等）、「こどもコミュニケーション論」（13回目）
・教育機関における個人情報の適切な取り扱い及び個人情報の問題の事例研究、「情報リテラシーⅠ」（2回目）</t>
    <rPh sb="98" eb="100">
      <t>ホゴ</t>
    </rPh>
    <rPh sb="112" eb="114">
      <t>ゲンソク</t>
    </rPh>
    <rPh sb="114" eb="115">
      <t>ナド</t>
    </rPh>
    <rPh sb="130" eb="131">
      <t>ロン</t>
    </rPh>
    <rPh sb="135" eb="137">
      <t>カイメ</t>
    </rPh>
    <rPh sb="140" eb="144">
      <t>キョウイクキカン</t>
    </rPh>
    <rPh sb="148" eb="152">
      <t>コジンジョウホウ</t>
    </rPh>
    <rPh sb="153" eb="155">
      <t>テキセツ</t>
    </rPh>
    <rPh sb="156" eb="157">
      <t>ト</t>
    </rPh>
    <rPh sb="158" eb="159">
      <t>アツカ</t>
    </rPh>
    <rPh sb="160" eb="161">
      <t>オヨ</t>
    </rPh>
    <rPh sb="162" eb="166">
      <t>コジンジョウホウ</t>
    </rPh>
    <rPh sb="167" eb="169">
      <t>モンダイ</t>
    </rPh>
    <rPh sb="170" eb="174">
      <t>ジレイケンキュウ</t>
    </rPh>
    <rPh sb="176" eb="178">
      <t>ジョウホウ</t>
    </rPh>
    <rPh sb="187" eb="189">
      <t>カイメ</t>
    </rPh>
    <phoneticPr fontId="1"/>
  </si>
  <si>
    <t>・データの種類、データの代表値とばらつきの指標、打ち切りや脱落、「データサイエンス概論」（8回目）
・複数のデータの関連性を捉える方法、「データサイエンス概論」（9回目）
・統計データの扱いと読み取り（データベースの基礎、データの種類、データの抽出等）、「情報リテラシーⅡ」（5回目）</t>
    <rPh sb="87" eb="89">
      <t>トウケイ</t>
    </rPh>
    <rPh sb="93" eb="94">
      <t>アツカ</t>
    </rPh>
    <rPh sb="96" eb="97">
      <t>ヨ</t>
    </rPh>
    <rPh sb="98" eb="99">
      <t>ト</t>
    </rPh>
    <rPh sb="108" eb="110">
      <t>キソ</t>
    </rPh>
    <rPh sb="115" eb="117">
      <t>シュルイ</t>
    </rPh>
    <rPh sb="122" eb="124">
      <t>チュウシュツ</t>
    </rPh>
    <rPh sb="124" eb="125">
      <t>ナド</t>
    </rPh>
    <rPh sb="128" eb="130">
      <t>ジョウホウ</t>
    </rPh>
    <rPh sb="139" eb="141">
      <t>カイメ</t>
    </rPh>
    <phoneticPr fontId="1"/>
  </si>
  <si>
    <t>・データをグラフや図(棒グラフ、折れ線グラフ、散布図、積み上げ棒グラフ、箱ひげ図、ヒートマップ、等)を使って分かりやすく表現する方法、データを比較する方法(条件をそろえた比較、処理の前後での比較等)、実際の可視化事例や不適切なグラフ表現、「データサイエンス概論」(10回目)
・統計データの扱いと読み取り（実データの視覚的表現と説明、データの読み取りと解釈）、「情報リテラシーⅡ」（6回目）</t>
    <rPh sb="139" eb="141">
      <t>トウケイ</t>
    </rPh>
    <rPh sb="145" eb="146">
      <t>アツカ</t>
    </rPh>
    <rPh sb="148" eb="149">
      <t>ヨ</t>
    </rPh>
    <rPh sb="150" eb="151">
      <t>ト</t>
    </rPh>
    <rPh sb="153" eb="154">
      <t>ジツ</t>
    </rPh>
    <rPh sb="158" eb="163">
      <t>シカクテキヒョウゲン</t>
    </rPh>
    <rPh sb="164" eb="166">
      <t>セツメイ</t>
    </rPh>
    <rPh sb="171" eb="172">
      <t>ヨ</t>
    </rPh>
    <rPh sb="173" eb="174">
      <t>ト</t>
    </rPh>
    <rPh sb="176" eb="178">
      <t>カイシャク</t>
    </rPh>
    <rPh sb="181" eb="183">
      <t>ジョウホウ</t>
    </rPh>
    <rPh sb="192" eb="194">
      <t>カイメ</t>
    </rPh>
    <phoneticPr fontId="1"/>
  </si>
  <si>
    <t>・統計センターが公表している統計データ「教育用標準データセット（SSDSE）」や政府統計の総合窓口「e-Stat」等で提供されている統計データを利用して、具体例に基づきながら、データの集計、並び替えを学ぶ、「データサイエンス概論」（11回目）
・統計センターが公表している統計データ「教育用標準データセット（SSDSE）」や政府統計の総合窓口「e-Stat」等で提供されている統計データを利用して、具体例に基づきながら、ヒストグラムや散布図の描き方を学ぶ、「データサイエンス概論」（12回目）
・統計データの扱いと読み取り（実データの並び替え、検索、抽出等）、「情報リテラシーⅡ」（5回目）</t>
    <rPh sb="248" eb="250">
      <t>トウケイ</t>
    </rPh>
    <rPh sb="254" eb="255">
      <t>アツカ</t>
    </rPh>
    <rPh sb="257" eb="258">
      <t>ヨ</t>
    </rPh>
    <rPh sb="259" eb="260">
      <t>ト</t>
    </rPh>
    <rPh sb="262" eb="263">
      <t>ジツ</t>
    </rPh>
    <rPh sb="267" eb="268">
      <t>ナラ</t>
    </rPh>
    <rPh sb="269" eb="270">
      <t>カ</t>
    </rPh>
    <rPh sb="272" eb="274">
      <t>ケンサク</t>
    </rPh>
    <rPh sb="275" eb="277">
      <t>チュウシュツ</t>
    </rPh>
    <rPh sb="277" eb="278">
      <t>ナド</t>
    </rPh>
    <rPh sb="281" eb="283">
      <t>ジョウホウ</t>
    </rPh>
    <rPh sb="292" eb="294">
      <t>カイメ</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</si>
</sst>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diagonalUp="1">
      <left style="dotted">
        <color auto="1"/>
      </left>
      <right/>
      <top style="thin">
        <color auto="1"/>
      </top>
      <bottom/>
      <diagonal style="thin">
        <color auto="1"/>
      </diagonal>
    </border>
    <border diagonalUp="1">
      <left style="hair">
        <color auto="1"/>
      </left>
      <right style="thin">
        <color auto="1"/>
      </right>
      <top style="thin">
        <color auto="1"/>
      </top>
      <bottom/>
      <diagonal style="thin">
        <color auto="1"/>
      </diagonal>
    </border>
    <border diagonalUp="1">
      <left style="dotted">
        <color auto="1"/>
      </left>
      <right/>
      <top style="hair">
        <color auto="1"/>
      </top>
      <bottom style="hair">
        <color auto="1"/>
      </bottom>
      <diagonal style="thin">
        <color auto="1"/>
      </diagonal>
    </border>
    <border diagonalUp="1">
      <left style="hair">
        <color auto="1"/>
      </left>
      <right style="thin">
        <color auto="1"/>
      </right>
      <top style="hair">
        <color auto="1"/>
      </top>
      <bottom style="hair">
        <color auto="1"/>
      </bottom>
      <diagonal style="thin">
        <color auto="1"/>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37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38" fontId="2" fillId="0" borderId="61" xfId="2" applyFont="1" applyBorder="1" applyAlignment="1">
      <alignment vertical="center" shrinkToFit="1"/>
    </xf>
    <xf numFmtId="38" fontId="2" fillId="0" borderId="62" xfId="2" applyFont="1" applyBorder="1" applyAlignment="1">
      <alignment vertical="center" shrinkToFit="1"/>
    </xf>
    <xf numFmtId="38" fontId="2" fillId="0" borderId="63" xfId="2" applyFont="1" applyBorder="1" applyAlignment="1">
      <alignment vertical="center" shrinkToFit="1"/>
    </xf>
    <xf numFmtId="38" fontId="2" fillId="0" borderId="64" xfId="2" applyFont="1" applyBorder="1" applyAlignment="1">
      <alignment vertical="center" shrinkToFit="1"/>
    </xf>
    <xf numFmtId="0" fontId="2" fillId="0" borderId="0" xfId="0" applyFont="1" applyAlignment="1">
      <alignment horizontal="right" vertical="center"/>
    </xf>
    <xf numFmtId="0" fontId="2" fillId="0" borderId="1" xfId="0" applyFont="1" applyBorder="1" applyAlignment="1">
      <alignment horizontal="center" vertical="center"/>
    </xf>
    <xf numFmtId="0" fontId="2" fillId="0" borderId="0" xfId="0" applyFont="1">
      <alignment vertical="center"/>
    </xf>
    <xf numFmtId="0" fontId="2" fillId="0" borderId="0" xfId="0" applyFont="1" applyAlignment="1">
      <alignment horizontal="center" vertical="center"/>
    </xf>
    <xf numFmtId="0" fontId="2" fillId="0" borderId="0" xfId="0" applyFont="1" applyAlignment="1">
      <alignment vertical="top" wrapText="1"/>
    </xf>
    <xf numFmtId="0" fontId="11" fillId="0" borderId="0" xfId="0" applyFont="1">
      <alignment vertical="center"/>
    </xf>
    <xf numFmtId="0" fontId="12" fillId="0" borderId="0" xfId="0" applyFont="1">
      <alignment vertical="center"/>
    </xf>
    <xf numFmtId="0" fontId="11" fillId="0" borderId="1" xfId="0" applyFont="1" applyBorder="1" applyAlignment="1">
      <alignment horizontal="center" vertical="center"/>
    </xf>
    <xf numFmtId="0" fontId="11" fillId="0" borderId="0" xfId="0" applyFont="1" applyAlignment="1">
      <alignment horizontal="right" vertical="center"/>
    </xf>
    <xf numFmtId="0" fontId="11" fillId="0" borderId="0" xfId="0" applyFont="1" applyAlignment="1">
      <alignment vertical="center" shrinkToFit="1"/>
    </xf>
    <xf numFmtId="0" fontId="11" fillId="0" borderId="0" xfId="0" applyFont="1" applyAlignment="1">
      <alignment horizontal="left" vertical="center" shrinkToFit="1"/>
    </xf>
    <xf numFmtId="0" fontId="11" fillId="0" borderId="0" xfId="0" applyFont="1" applyAlignment="1">
      <alignment horizontal="center" vertical="center"/>
    </xf>
    <xf numFmtId="0" fontId="11" fillId="0" borderId="10" xfId="0" applyFont="1" applyBorder="1" applyAlignment="1">
      <alignment horizontal="right" vertical="center"/>
    </xf>
    <xf numFmtId="0" fontId="11" fillId="0" borderId="0" xfId="0" applyFont="1" applyAlignment="1">
      <alignment horizontal="left" vertical="center"/>
    </xf>
    <xf numFmtId="0" fontId="12" fillId="0" borderId="0" xfId="0" applyFont="1" applyAlignment="1">
      <alignment horizontal="center" vertical="center"/>
    </xf>
    <xf numFmtId="0" fontId="11" fillId="0" borderId="5" xfId="0" applyFont="1" applyBorder="1">
      <alignment vertical="center"/>
    </xf>
    <xf numFmtId="0" fontId="14" fillId="0" borderId="1" xfId="0" applyFont="1" applyBorder="1" applyAlignment="1">
      <alignment horizontal="center" vertical="center" shrinkToFit="1"/>
    </xf>
    <xf numFmtId="0" fontId="14" fillId="0" borderId="4" xfId="0" applyFont="1" applyBorder="1" applyAlignment="1">
      <alignment horizontal="center" vertical="center" shrinkToFit="1"/>
    </xf>
    <xf numFmtId="49" fontId="14" fillId="0" borderId="1" xfId="0" applyNumberFormat="1" applyFont="1" applyBorder="1" applyAlignment="1">
      <alignment horizontal="center" vertical="center"/>
    </xf>
    <xf numFmtId="0" fontId="11" fillId="0" borderId="14" xfId="0" applyFont="1" applyBorder="1" applyAlignment="1">
      <alignment horizontal="center" vertical="center" shrinkToFit="1"/>
    </xf>
    <xf numFmtId="0" fontId="11" fillId="0" borderId="23" xfId="0" applyFont="1" applyBorder="1" applyAlignment="1">
      <alignment horizontal="center" vertical="center" shrinkToFit="1"/>
    </xf>
    <xf numFmtId="0" fontId="11" fillId="0" borderId="13" xfId="0" applyFont="1" applyBorder="1" applyAlignment="1">
      <alignment horizontal="center" vertical="center" shrinkToFit="1"/>
    </xf>
    <xf numFmtId="0" fontId="11" fillId="0" borderId="40" xfId="0" applyFont="1" applyBorder="1" applyAlignment="1">
      <alignment horizontal="center" vertical="center" shrinkToFit="1"/>
    </xf>
    <xf numFmtId="0" fontId="11" fillId="0" borderId="0" xfId="0" applyFont="1" applyAlignment="1">
      <alignment vertical="top" wrapText="1"/>
    </xf>
    <xf numFmtId="0" fontId="11" fillId="0" borderId="0" xfId="0" applyFont="1" applyAlignment="1">
      <alignment horizontal="center" vertical="center" shrinkToFit="1"/>
    </xf>
    <xf numFmtId="49" fontId="14" fillId="0" borderId="48" xfId="0" applyNumberFormat="1" applyFont="1" applyBorder="1" applyAlignment="1">
      <alignment horizontal="center" vertical="center"/>
    </xf>
    <xf numFmtId="49" fontId="14" fillId="0" borderId="49" xfId="0" applyNumberFormat="1" applyFont="1" applyBorder="1" applyAlignment="1">
      <alignment horizontal="center" vertical="center"/>
    </xf>
    <xf numFmtId="49" fontId="14" fillId="0" borderId="44" xfId="0" applyNumberFormat="1" applyFont="1" applyBorder="1" applyAlignment="1">
      <alignment horizontal="center" vertical="center"/>
    </xf>
    <xf numFmtId="49" fontId="14" fillId="0" borderId="29" xfId="0" applyNumberFormat="1" applyFont="1" applyBorder="1" applyAlignment="1">
      <alignment horizontal="center" vertical="center"/>
    </xf>
    <xf numFmtId="49" fontId="14" fillId="0" borderId="47" xfId="0" applyNumberFormat="1" applyFont="1" applyBorder="1" applyAlignment="1">
      <alignment horizontal="center" vertical="center"/>
    </xf>
    <xf numFmtId="49" fontId="14" fillId="0" borderId="32" xfId="0" applyNumberFormat="1" applyFont="1" applyBorder="1" applyAlignment="1">
      <alignment horizontal="center" vertical="center"/>
    </xf>
    <xf numFmtId="0" fontId="2" fillId="0" borderId="15" xfId="0" applyFont="1" applyBorder="1" applyAlignment="1">
      <alignment horizontal="center" vertical="center" shrinkToFit="1"/>
    </xf>
    <xf numFmtId="0" fontId="11" fillId="0" borderId="34" xfId="0" applyFont="1" applyBorder="1" applyAlignment="1">
      <alignment vertical="center" shrinkToFit="1"/>
    </xf>
    <xf numFmtId="0" fontId="11" fillId="0" borderId="36" xfId="0" applyFont="1" applyBorder="1" applyAlignment="1">
      <alignment vertical="center" shrinkToFit="1"/>
    </xf>
    <xf numFmtId="0" fontId="11" fillId="0" borderId="35" xfId="0" applyFont="1" applyBorder="1" applyAlignment="1">
      <alignment vertical="center" shrinkToFit="1"/>
    </xf>
    <xf numFmtId="0" fontId="11" fillId="0" borderId="19" xfId="0" applyFont="1" applyBorder="1" applyAlignment="1">
      <alignment vertical="center" shrinkToFit="1"/>
    </xf>
    <xf numFmtId="0" fontId="11" fillId="0" borderId="20" xfId="0" applyFont="1" applyBorder="1" applyAlignment="1">
      <alignment vertical="center" shrinkToFit="1"/>
    </xf>
    <xf numFmtId="0" fontId="11" fillId="0" borderId="18" xfId="0" applyFont="1" applyBorder="1" applyAlignment="1">
      <alignment vertical="center" shrinkToFi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37" xfId="0" applyFont="1" applyBorder="1" applyAlignment="1">
      <alignment vertical="center" shrinkToFit="1"/>
    </xf>
    <xf numFmtId="0" fontId="11" fillId="0" borderId="38" xfId="0" applyFont="1" applyBorder="1" applyAlignment="1">
      <alignment vertical="center" shrinkToFit="1"/>
    </xf>
    <xf numFmtId="0" fontId="11" fillId="0" borderId="39" xfId="0" applyFont="1" applyBorder="1" applyAlignment="1">
      <alignment vertical="center" shrinkToFit="1"/>
    </xf>
    <xf numFmtId="0" fontId="11" fillId="0" borderId="0" xfId="0" applyFont="1" applyAlignment="1">
      <alignment vertical="center" wrapText="1"/>
    </xf>
    <xf numFmtId="0" fontId="14" fillId="0" borderId="45" xfId="0" applyFont="1" applyBorder="1" applyAlignment="1">
      <alignment vertical="center" wrapText="1"/>
    </xf>
    <xf numFmtId="0" fontId="14" fillId="0" borderId="31" xfId="0" applyFont="1" applyBorder="1" applyAlignment="1">
      <alignment vertical="center" wrapText="1"/>
    </xf>
    <xf numFmtId="0" fontId="14" fillId="0" borderId="46" xfId="0" applyFont="1" applyBorder="1" applyAlignment="1">
      <alignment vertical="center" wrapText="1"/>
    </xf>
    <xf numFmtId="0" fontId="11" fillId="0" borderId="36" xfId="0" applyFont="1" applyBorder="1" applyAlignment="1">
      <alignment vertical="center" wrapText="1" shrinkToFit="1"/>
    </xf>
    <xf numFmtId="0" fontId="11" fillId="0" borderId="6" xfId="0" applyFont="1" applyBorder="1" applyAlignment="1">
      <alignment vertical="center" wrapText="1" shrinkToFit="1"/>
    </xf>
    <xf numFmtId="0" fontId="11" fillId="0" borderId="12" xfId="0" applyFont="1" applyBorder="1" applyAlignment="1">
      <alignment vertical="center" wrapText="1" shrinkToFit="1"/>
    </xf>
    <xf numFmtId="0" fontId="11" fillId="0" borderId="8" xfId="0" applyFont="1" applyBorder="1" applyAlignment="1">
      <alignment horizontal="left" vertical="center" wrapText="1" shrinkToFit="1"/>
    </xf>
    <xf numFmtId="0" fontId="11" fillId="0" borderId="9" xfId="0" applyFont="1" applyBorder="1" applyAlignment="1">
      <alignment horizontal="left" vertical="center" wrapText="1" shrinkToFit="1"/>
    </xf>
    <xf numFmtId="0" fontId="15" fillId="0" borderId="2" xfId="0" applyFont="1" applyBorder="1" applyAlignment="1">
      <alignment horizontal="center" vertical="center" shrinkToFit="1"/>
    </xf>
    <xf numFmtId="0" fontId="15" fillId="0" borderId="4" xfId="0" applyFont="1" applyBorder="1" applyAlignment="1">
      <alignment horizontal="center" vertical="center" shrinkToFit="1"/>
    </xf>
    <xf numFmtId="0" fontId="11" fillId="0" borderId="34" xfId="0" applyFont="1" applyBorder="1" applyAlignment="1">
      <alignment horizontal="center" vertical="center" shrinkToFit="1"/>
    </xf>
    <xf numFmtId="0" fontId="11" fillId="0" borderId="36" xfId="0" applyFont="1" applyBorder="1" applyAlignment="1">
      <alignment horizontal="center" vertical="center" shrinkToFit="1"/>
    </xf>
    <xf numFmtId="0" fontId="11" fillId="0" borderId="35" xfId="0" applyFont="1" applyBorder="1" applyAlignment="1">
      <alignment horizontal="center" vertical="center" shrinkToFit="1"/>
    </xf>
    <xf numFmtId="0" fontId="11" fillId="0" borderId="19" xfId="0" applyFont="1" applyBorder="1" applyAlignment="1">
      <alignment horizontal="center" vertical="center" shrinkToFit="1"/>
    </xf>
    <xf numFmtId="0" fontId="11" fillId="0" borderId="20" xfId="0" applyFont="1" applyBorder="1" applyAlignment="1">
      <alignment horizontal="center" vertical="center" shrinkToFit="1"/>
    </xf>
    <xf numFmtId="0" fontId="11" fillId="0" borderId="18" xfId="0" applyFont="1" applyBorder="1" applyAlignment="1">
      <alignment horizontal="center" vertical="center" shrinkToFi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2" xfId="0" applyFont="1" applyBorder="1" applyAlignment="1">
      <alignment vertical="center" wrapText="1" shrinkToFit="1"/>
    </xf>
    <xf numFmtId="0" fontId="11" fillId="0" borderId="3" xfId="0" applyFont="1" applyBorder="1" applyAlignment="1">
      <alignment vertical="center" wrapText="1" shrinkToFit="1"/>
    </xf>
    <xf numFmtId="0" fontId="11" fillId="0" borderId="4" xfId="0" applyFont="1" applyBorder="1" applyAlignment="1">
      <alignment vertical="center" wrapText="1" shrinkToFit="1"/>
    </xf>
    <xf numFmtId="0" fontId="11" fillId="0" borderId="37" xfId="0" applyFont="1" applyBorder="1" applyAlignment="1">
      <alignment horizontal="center" vertical="center" shrinkToFit="1"/>
    </xf>
    <xf numFmtId="0" fontId="11" fillId="0" borderId="38" xfId="0" applyFont="1" applyBorder="1" applyAlignment="1">
      <alignment horizontal="center" vertical="center" shrinkToFit="1"/>
    </xf>
    <xf numFmtId="0" fontId="11" fillId="0" borderId="39" xfId="0" applyFont="1" applyBorder="1" applyAlignment="1">
      <alignment horizontal="center" vertical="center" shrinkToFit="1"/>
    </xf>
    <xf numFmtId="0" fontId="11" fillId="0" borderId="22" xfId="0" applyFont="1" applyBorder="1" applyAlignment="1">
      <alignment horizontal="left" vertical="center" wrapText="1" shrinkToFit="1"/>
    </xf>
    <xf numFmtId="0" fontId="11" fillId="0" borderId="21" xfId="0" applyFont="1" applyBorder="1" applyAlignment="1">
      <alignment horizontal="left" vertical="center" wrapText="1" shrinkToFit="1"/>
    </xf>
    <xf numFmtId="0" fontId="11" fillId="0" borderId="36" xfId="0" applyFont="1" applyBorder="1" applyAlignment="1">
      <alignment horizontal="left" vertical="center" shrinkToFit="1"/>
    </xf>
    <xf numFmtId="0" fontId="11" fillId="0" borderId="35" xfId="0" applyFont="1" applyBorder="1" applyAlignment="1">
      <alignment horizontal="left" vertical="center" shrinkToFit="1"/>
    </xf>
    <xf numFmtId="0" fontId="11" fillId="0" borderId="6" xfId="0" applyFont="1" applyBorder="1" applyAlignment="1">
      <alignment horizontal="left" vertical="center" wrapText="1" shrinkToFit="1"/>
    </xf>
    <xf numFmtId="0" fontId="11" fillId="0" borderId="12" xfId="0" applyFont="1" applyBorder="1" applyAlignment="1">
      <alignment horizontal="left" vertical="center" wrapText="1" shrinkToFit="1"/>
    </xf>
    <xf numFmtId="0" fontId="11" fillId="0" borderId="38" xfId="0" applyFont="1" applyBorder="1" applyAlignment="1">
      <alignment horizontal="left" vertical="center" wrapText="1" shrinkToFit="1"/>
    </xf>
    <xf numFmtId="0" fontId="11" fillId="0" borderId="39" xfId="0" applyFont="1" applyBorder="1" applyAlignment="1">
      <alignment horizontal="left" vertical="center" wrapText="1" shrinkToFit="1"/>
    </xf>
    <xf numFmtId="0" fontId="11" fillId="0" borderId="36" xfId="0" applyFont="1" applyBorder="1" applyAlignment="1">
      <alignment horizontal="left" vertical="center" wrapText="1" shrinkToFit="1"/>
    </xf>
    <xf numFmtId="0" fontId="11" fillId="0" borderId="19" xfId="0" applyFont="1" applyBorder="1" applyAlignment="1">
      <alignment vertical="center" wrapText="1" shrinkToFit="1"/>
    </xf>
    <xf numFmtId="0" fontId="11" fillId="0" borderId="20" xfId="0" applyFont="1" applyBorder="1" applyAlignment="1">
      <alignment vertical="center" wrapText="1" shrinkToFit="1"/>
    </xf>
    <xf numFmtId="0" fontId="11" fillId="0" borderId="18" xfId="0" applyFont="1" applyBorder="1" applyAlignment="1">
      <alignment vertical="center" wrapText="1" shrinkToFit="1"/>
    </xf>
    <xf numFmtId="0" fontId="11" fillId="0" borderId="0" xfId="0" applyFont="1" applyAlignment="1">
      <alignment horizontal="righ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3" fillId="0" borderId="0" xfId="0" applyFont="1" applyAlignment="1">
      <alignment horizontal="center" vertical="center"/>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1" fillId="0" borderId="9" xfId="0" applyFont="1" applyBorder="1" applyAlignment="1">
      <alignment horizontal="left" vertical="center" wrapText="1"/>
    </xf>
    <xf numFmtId="0" fontId="11" fillId="0" borderId="11" xfId="0" applyFont="1" applyBorder="1" applyAlignment="1">
      <alignment horizontal="left" vertical="center" wrapText="1"/>
    </xf>
    <xf numFmtId="0" fontId="11" fillId="0" borderId="6" xfId="0" applyFont="1" applyBorder="1" applyAlignment="1">
      <alignment horizontal="left" vertical="center" wrapText="1"/>
    </xf>
    <xf numFmtId="0" fontId="11" fillId="0" borderId="12" xfId="0" applyFont="1" applyBorder="1" applyAlignment="1">
      <alignment horizontal="left" vertical="center" wrapText="1"/>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Fill="1" applyBorder="1" applyAlignment="1">
      <alignment horizontal="center" vertical="center"/>
    </xf>
    <xf numFmtId="0" fontId="2" fillId="0" borderId="4" xfId="0" applyFont="1" applyFill="1" applyBorder="1" applyAlignment="1">
      <alignment horizontal="center" vertical="center"/>
    </xf>
    <xf numFmtId="0" fontId="5" fillId="0" borderId="2" xfId="0" applyFont="1" applyFill="1" applyBorder="1" applyAlignment="1">
      <alignment horizontal="center" vertical="center" shrinkToFit="1"/>
    </xf>
    <xf numFmtId="0" fontId="5" fillId="0" borderId="3" xfId="0" applyFont="1" applyFill="1" applyBorder="1" applyAlignment="1">
      <alignment horizontal="center" vertical="center" shrinkToFit="1"/>
    </xf>
    <xf numFmtId="0" fontId="5" fillId="0" borderId="4" xfId="0" applyFont="1" applyFill="1" applyBorder="1" applyAlignment="1">
      <alignment horizontal="center" vertical="center" shrinkToFit="1"/>
    </xf>
    <xf numFmtId="0" fontId="2" fillId="0" borderId="0" xfId="0" applyFont="1" applyAlignment="1">
      <alignmen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horizontal="right" vertical="center"/>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7" xfId="0" applyFont="1" applyBorder="1" applyAlignment="1">
      <alignment vertical="center" shrinkToFit="1"/>
    </xf>
    <xf numFmtId="0" fontId="2" fillId="0" borderId="8" xfId="0" applyFont="1" applyBorder="1" applyAlignment="1">
      <alignment vertical="center" shrinkToFit="1"/>
    </xf>
    <xf numFmtId="0" fontId="2" fillId="0" borderId="9" xfId="0" applyFont="1" applyBorder="1" applyAlignment="1">
      <alignment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horizontal="left" vertical="center" shrinkToFit="1"/>
    </xf>
    <xf numFmtId="0" fontId="2" fillId="0" borderId="20" xfId="0" applyFont="1" applyBorder="1" applyAlignment="1">
      <alignment horizontal="left" vertical="center" shrinkToFit="1"/>
    </xf>
    <xf numFmtId="0" fontId="2" fillId="0" borderId="18" xfId="0" applyFont="1" applyBorder="1" applyAlignment="1">
      <alignment horizontal="lef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3" fillId="0" borderId="45" xfId="0" applyFont="1" applyBorder="1" applyAlignment="1">
      <alignment vertical="center" wrapText="1"/>
    </xf>
    <xf numFmtId="0" fontId="3" fillId="0" borderId="31" xfId="0" applyFont="1" applyBorder="1" applyAlignment="1">
      <alignment vertical="center" wrapText="1"/>
    </xf>
    <xf numFmtId="0" fontId="2" fillId="0" borderId="8" xfId="0" applyFont="1" applyBorder="1" applyAlignment="1">
      <alignment horizontal="left" vertical="center" wrapText="1" shrinkToFit="1"/>
    </xf>
    <xf numFmtId="0" fontId="2" fillId="0" borderId="9" xfId="0" applyFont="1" applyBorder="1" applyAlignment="1">
      <alignment horizontal="left" vertical="center" wrapText="1" shrinkToFit="1"/>
    </xf>
    <xf numFmtId="0" fontId="2" fillId="0" borderId="22" xfId="0" applyFont="1" applyBorder="1" applyAlignment="1">
      <alignment horizontal="left" vertical="center" wrapText="1" shrinkToFit="1"/>
    </xf>
    <xf numFmtId="0" fontId="2" fillId="0" borderId="21" xfId="0" applyFont="1" applyBorder="1" applyAlignment="1">
      <alignment horizontal="left" vertical="center" wrapText="1" shrinkToFit="1"/>
    </xf>
    <xf numFmtId="0" fontId="3" fillId="0" borderId="46" xfId="0" applyFont="1" applyBorder="1" applyAlignment="1">
      <alignment vertical="center" wrapTex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9" xfId="0" applyFont="1" applyBorder="1" applyAlignment="1">
      <alignment horizontal="lef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36" xfId="0" applyFont="1" applyBorder="1" applyAlignment="1">
      <alignment vertical="center" wrapText="1" shrinkToFit="1"/>
    </xf>
    <xf numFmtId="0" fontId="2" fillId="0" borderId="19" xfId="0" applyFont="1" applyBorder="1" applyAlignment="1">
      <alignment vertical="center" wrapText="1" shrinkToFit="1"/>
    </xf>
    <xf numFmtId="0" fontId="2" fillId="0" borderId="20" xfId="0" applyFont="1" applyBorder="1" applyAlignment="1">
      <alignment vertical="center" wrapText="1" shrinkToFit="1"/>
    </xf>
    <xf numFmtId="0" fontId="2" fillId="0" borderId="18" xfId="0" applyFont="1" applyBorder="1" applyAlignment="1">
      <alignment vertical="center" wrapText="1" shrinkToFit="1"/>
    </xf>
    <xf numFmtId="0" fontId="2" fillId="0" borderId="6" xfId="0" applyFont="1" applyBorder="1" applyAlignment="1">
      <alignment vertical="center" wrapText="1" shrinkToFit="1"/>
    </xf>
    <xf numFmtId="0" fontId="2" fillId="0" borderId="12" xfId="0" applyFont="1" applyBorder="1" applyAlignment="1">
      <alignment vertical="center"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6" xfId="0" applyFont="1" applyBorder="1" applyAlignment="1">
      <alignment horizontal="left" vertical="center" wrapText="1" shrinkToFit="1"/>
    </xf>
    <xf numFmtId="0" fontId="2" fillId="0" borderId="12" xfId="0" applyFont="1" applyBorder="1" applyAlignment="1">
      <alignment horizontal="left" vertical="center" wrapText="1" shrinkToFi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2" xfId="0" applyFont="1" applyBorder="1" applyAlignment="1">
      <alignment horizontal="left" vertical="center" shrinkToFit="1"/>
    </xf>
    <xf numFmtId="0" fontId="5" fillId="0" borderId="4" xfId="0" applyFont="1" applyBorder="1" applyAlignment="1">
      <alignment horizontal="left" vertical="center" shrinkToFit="1"/>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zoomScaleNormal="100" zoomScaleSheetLayoutView="100" workbookViewId="0">
      <selection activeCell="B9" sqref="B9:S10"/>
    </sheetView>
  </sheetViews>
  <sheetFormatPr defaultColWidth="9" defaultRowHeight="18.75" customHeight="1" x14ac:dyDescent="0.15"/>
  <cols>
    <col min="1" max="1" width="2.5" style="91" customWidth="1"/>
    <col min="2" max="2" width="16.5" style="91" customWidth="1"/>
    <col min="3" max="19" width="5.625" style="91" customWidth="1"/>
    <col min="20" max="20" width="9" style="91"/>
    <col min="21" max="21" width="3.625" style="91" customWidth="1"/>
    <col min="22" max="22" width="48.625" style="91" hidden="1" customWidth="1"/>
    <col min="23" max="16384" width="9" style="91"/>
  </cols>
  <sheetData>
    <row r="1" spans="1:22" ht="18.600000000000001" customHeight="1" x14ac:dyDescent="0.15">
      <c r="R1" s="168" t="s">
        <v>182</v>
      </c>
      <c r="S1" s="168"/>
      <c r="T1" s="92" t="s">
        <v>109</v>
      </c>
    </row>
    <row r="2" spans="1:22" ht="18.75" customHeight="1" x14ac:dyDescent="0.15">
      <c r="B2" s="93" t="s">
        <v>108</v>
      </c>
      <c r="C2" s="124" t="s">
        <v>126</v>
      </c>
      <c r="D2" s="125"/>
      <c r="E2" s="125"/>
      <c r="F2" s="125"/>
      <c r="G2" s="125"/>
      <c r="H2" s="125"/>
      <c r="I2" s="126"/>
      <c r="J2" s="94"/>
      <c r="K2" s="95"/>
      <c r="L2" s="95"/>
      <c r="M2" s="95"/>
      <c r="N2" s="95"/>
      <c r="O2" s="95"/>
      <c r="P2" s="95"/>
      <c r="Q2" s="95"/>
      <c r="R2" s="95"/>
      <c r="S2" s="95"/>
    </row>
    <row r="3" spans="1:22" ht="18.75" customHeight="1" x14ac:dyDescent="0.15">
      <c r="B3" s="93" t="s">
        <v>102</v>
      </c>
      <c r="C3" s="124" t="s">
        <v>127</v>
      </c>
      <c r="D3" s="125"/>
      <c r="E3" s="125"/>
      <c r="F3" s="125"/>
      <c r="G3" s="125"/>
      <c r="H3" s="125"/>
      <c r="I3" s="126"/>
      <c r="J3" s="94"/>
      <c r="K3" s="95"/>
      <c r="L3" s="95"/>
      <c r="M3" s="95"/>
      <c r="N3" s="95"/>
      <c r="O3" s="95"/>
      <c r="P3" s="95"/>
      <c r="Q3" s="95"/>
      <c r="R3" s="95"/>
      <c r="S3" s="95"/>
    </row>
    <row r="4" spans="1:22" ht="15" customHeight="1" x14ac:dyDescent="0.15">
      <c r="K4" s="94"/>
      <c r="L4" s="96"/>
      <c r="M4" s="96"/>
      <c r="N4" s="96"/>
      <c r="O4" s="96"/>
      <c r="P4" s="96"/>
      <c r="Q4" s="96"/>
      <c r="R4" s="96"/>
      <c r="S4" s="96"/>
    </row>
    <row r="5" spans="1:22" ht="18" customHeight="1" x14ac:dyDescent="0.15">
      <c r="A5" s="172" t="s">
        <v>38</v>
      </c>
      <c r="B5" s="172"/>
      <c r="C5" s="172"/>
      <c r="D5" s="172"/>
      <c r="E5" s="172"/>
      <c r="F5" s="172"/>
      <c r="G5" s="172"/>
      <c r="H5" s="172"/>
      <c r="I5" s="172"/>
      <c r="J5" s="172"/>
      <c r="K5" s="172"/>
      <c r="L5" s="172"/>
      <c r="M5" s="172"/>
      <c r="N5" s="172"/>
      <c r="O5" s="172"/>
      <c r="P5" s="172"/>
      <c r="Q5" s="172"/>
      <c r="R5" s="172"/>
      <c r="S5" s="172"/>
    </row>
    <row r="6" spans="1:22" ht="15" customHeight="1" x14ac:dyDescent="0.15">
      <c r="B6" s="97"/>
      <c r="C6" s="97"/>
      <c r="D6" s="97"/>
      <c r="E6" s="97"/>
      <c r="F6" s="97"/>
      <c r="G6" s="97"/>
      <c r="H6" s="97"/>
      <c r="I6" s="97"/>
      <c r="J6" s="97"/>
      <c r="K6" s="97"/>
      <c r="L6" s="97"/>
      <c r="M6" s="97"/>
      <c r="N6" s="97"/>
      <c r="O6" s="97"/>
      <c r="P6" s="97"/>
      <c r="Q6" s="97"/>
      <c r="R6" s="97"/>
      <c r="S6" s="97"/>
    </row>
    <row r="7" spans="1:22" ht="18" customHeight="1" x14ac:dyDescent="0.15">
      <c r="A7" s="91" t="s">
        <v>124</v>
      </c>
      <c r="C7" s="97"/>
      <c r="J7" s="98" t="s">
        <v>107</v>
      </c>
      <c r="K7" s="182" t="s">
        <v>128</v>
      </c>
      <c r="L7" s="183"/>
      <c r="M7" s="183"/>
      <c r="N7" s="183"/>
      <c r="O7" s="183"/>
      <c r="P7" s="183"/>
      <c r="Q7" s="183"/>
      <c r="R7" s="183"/>
      <c r="S7" s="184"/>
    </row>
    <row r="8" spans="1:22" ht="6" customHeight="1" x14ac:dyDescent="0.15">
      <c r="B8" s="97"/>
      <c r="C8" s="97"/>
      <c r="D8" s="97"/>
      <c r="E8" s="97"/>
      <c r="F8" s="97"/>
      <c r="G8" s="97"/>
      <c r="H8" s="97"/>
      <c r="I8" s="97"/>
      <c r="J8" s="97"/>
      <c r="K8" s="99"/>
      <c r="L8" s="97"/>
      <c r="M8" s="97"/>
      <c r="N8" s="97"/>
      <c r="O8" s="97"/>
      <c r="P8" s="97"/>
      <c r="Q8" s="97"/>
      <c r="R8" s="97"/>
      <c r="S8" s="97"/>
    </row>
    <row r="9" spans="1:22" ht="18" customHeight="1" x14ac:dyDescent="0.15">
      <c r="B9" s="185" t="s">
        <v>180</v>
      </c>
      <c r="C9" s="186"/>
      <c r="D9" s="186"/>
      <c r="E9" s="186"/>
      <c r="F9" s="186"/>
      <c r="G9" s="186"/>
      <c r="H9" s="186"/>
      <c r="I9" s="186"/>
      <c r="J9" s="186"/>
      <c r="K9" s="186"/>
      <c r="L9" s="186"/>
      <c r="M9" s="186"/>
      <c r="N9" s="186"/>
      <c r="O9" s="186"/>
      <c r="P9" s="186"/>
      <c r="Q9" s="186"/>
      <c r="R9" s="186"/>
      <c r="S9" s="187"/>
    </row>
    <row r="10" spans="1:22" ht="18" customHeight="1" x14ac:dyDescent="0.15">
      <c r="B10" s="188"/>
      <c r="C10" s="189"/>
      <c r="D10" s="189"/>
      <c r="E10" s="189"/>
      <c r="F10" s="189"/>
      <c r="G10" s="189"/>
      <c r="H10" s="189"/>
      <c r="I10" s="189"/>
      <c r="J10" s="189"/>
      <c r="K10" s="189"/>
      <c r="L10" s="189"/>
      <c r="M10" s="189"/>
      <c r="N10" s="189"/>
      <c r="O10" s="189"/>
      <c r="P10" s="189"/>
      <c r="Q10" s="189"/>
      <c r="R10" s="189"/>
      <c r="S10" s="190"/>
    </row>
    <row r="11" spans="1:22" ht="6" customHeight="1" x14ac:dyDescent="0.15">
      <c r="B11" s="97"/>
      <c r="C11" s="97"/>
      <c r="D11" s="97"/>
      <c r="E11" s="97"/>
      <c r="F11" s="97"/>
      <c r="G11" s="97"/>
      <c r="H11" s="97"/>
      <c r="I11" s="97"/>
      <c r="J11" s="97"/>
      <c r="K11" s="99"/>
      <c r="L11" s="97"/>
      <c r="M11" s="97"/>
      <c r="N11" s="97"/>
      <c r="O11" s="97"/>
      <c r="P11" s="97"/>
      <c r="Q11" s="97"/>
      <c r="R11" s="97"/>
      <c r="S11" s="97"/>
    </row>
    <row r="12" spans="1:22" ht="18" customHeight="1" x14ac:dyDescent="0.15">
      <c r="A12" s="91" t="s">
        <v>111</v>
      </c>
      <c r="B12" s="97"/>
      <c r="C12" s="97"/>
      <c r="D12" s="94"/>
      <c r="E12" s="94"/>
      <c r="F12" s="94"/>
      <c r="G12" s="94"/>
      <c r="H12" s="94"/>
      <c r="I12" s="94"/>
      <c r="J12" s="94"/>
      <c r="K12" s="100"/>
      <c r="L12" s="100"/>
      <c r="M12" s="100"/>
      <c r="N12" s="100"/>
      <c r="O12" s="100"/>
      <c r="P12" s="100"/>
      <c r="Q12" s="100"/>
      <c r="R12" s="100"/>
      <c r="S12" s="100"/>
    </row>
    <row r="13" spans="1:22" ht="18" customHeight="1" x14ac:dyDescent="0.15">
      <c r="B13" s="173" t="s">
        <v>129</v>
      </c>
      <c r="C13" s="174"/>
      <c r="D13" s="174"/>
      <c r="E13" s="174"/>
      <c r="F13" s="174"/>
      <c r="G13" s="174"/>
      <c r="H13" s="174"/>
      <c r="I13" s="174"/>
      <c r="J13" s="174"/>
      <c r="K13" s="174"/>
      <c r="L13" s="174"/>
      <c r="M13" s="174"/>
      <c r="N13" s="174"/>
      <c r="O13" s="174"/>
      <c r="P13" s="174"/>
      <c r="Q13" s="174"/>
      <c r="R13" s="174"/>
      <c r="S13" s="175"/>
      <c r="V13" s="91" t="s">
        <v>103</v>
      </c>
    </row>
    <row r="14" spans="1:22" ht="18" customHeight="1" x14ac:dyDescent="0.15">
      <c r="B14" s="176"/>
      <c r="C14" s="177"/>
      <c r="D14" s="177"/>
      <c r="E14" s="177"/>
      <c r="F14" s="177"/>
      <c r="G14" s="177"/>
      <c r="H14" s="177"/>
      <c r="I14" s="177"/>
      <c r="J14" s="177"/>
      <c r="K14" s="177"/>
      <c r="L14" s="177"/>
      <c r="M14" s="177"/>
      <c r="N14" s="177"/>
      <c r="O14" s="177"/>
      <c r="P14" s="177"/>
      <c r="Q14" s="177"/>
      <c r="R14" s="177"/>
      <c r="S14" s="178"/>
      <c r="V14" s="91" t="s">
        <v>110</v>
      </c>
    </row>
    <row r="15" spans="1:22" ht="18" customHeight="1" x14ac:dyDescent="0.15">
      <c r="B15" s="176"/>
      <c r="C15" s="177"/>
      <c r="D15" s="177"/>
      <c r="E15" s="177"/>
      <c r="F15" s="177"/>
      <c r="G15" s="177"/>
      <c r="H15" s="177"/>
      <c r="I15" s="177"/>
      <c r="J15" s="177"/>
      <c r="K15" s="177"/>
      <c r="L15" s="177"/>
      <c r="M15" s="177"/>
      <c r="N15" s="177"/>
      <c r="O15" s="177"/>
      <c r="P15" s="177"/>
      <c r="Q15" s="177"/>
      <c r="R15" s="177"/>
      <c r="S15" s="178"/>
      <c r="V15" s="91" t="s">
        <v>123</v>
      </c>
    </row>
    <row r="16" spans="1:22" ht="18" customHeight="1" x14ac:dyDescent="0.15">
      <c r="B16" s="176"/>
      <c r="C16" s="177"/>
      <c r="D16" s="177"/>
      <c r="E16" s="177"/>
      <c r="F16" s="177"/>
      <c r="G16" s="177"/>
      <c r="H16" s="177"/>
      <c r="I16" s="177"/>
      <c r="J16" s="177"/>
      <c r="K16" s="177"/>
      <c r="L16" s="177"/>
      <c r="M16" s="177"/>
      <c r="N16" s="177"/>
      <c r="O16" s="177"/>
      <c r="P16" s="177"/>
      <c r="Q16" s="177"/>
      <c r="R16" s="177"/>
      <c r="S16" s="178"/>
      <c r="V16" s="91" t="s">
        <v>125</v>
      </c>
    </row>
    <row r="17" spans="1:19" ht="18" customHeight="1" x14ac:dyDescent="0.15">
      <c r="B17" s="176"/>
      <c r="C17" s="177"/>
      <c r="D17" s="177"/>
      <c r="E17" s="177"/>
      <c r="F17" s="177"/>
      <c r="G17" s="177"/>
      <c r="H17" s="177"/>
      <c r="I17" s="177"/>
      <c r="J17" s="177"/>
      <c r="K17" s="177"/>
      <c r="L17" s="177"/>
      <c r="M17" s="177"/>
      <c r="N17" s="177"/>
      <c r="O17" s="177"/>
      <c r="P17" s="177"/>
      <c r="Q17" s="177"/>
      <c r="R17" s="177"/>
      <c r="S17" s="178"/>
    </row>
    <row r="18" spans="1:19" ht="18" customHeight="1" x14ac:dyDescent="0.15">
      <c r="B18" s="179"/>
      <c r="C18" s="180"/>
      <c r="D18" s="180"/>
      <c r="E18" s="180"/>
      <c r="F18" s="180"/>
      <c r="G18" s="180"/>
      <c r="H18" s="180"/>
      <c r="I18" s="180"/>
      <c r="J18" s="180"/>
      <c r="K18" s="180"/>
      <c r="L18" s="180"/>
      <c r="M18" s="180"/>
      <c r="N18" s="180"/>
      <c r="O18" s="180"/>
      <c r="P18" s="180"/>
      <c r="Q18" s="180"/>
      <c r="R18" s="180"/>
      <c r="S18" s="181"/>
    </row>
    <row r="19" spans="1:19" ht="7.5" customHeight="1" x14ac:dyDescent="0.15">
      <c r="B19" s="97"/>
      <c r="C19" s="97"/>
      <c r="D19" s="97"/>
      <c r="E19" s="97"/>
      <c r="F19" s="97"/>
      <c r="G19" s="97"/>
      <c r="H19" s="97"/>
      <c r="I19" s="97"/>
      <c r="J19" s="97"/>
      <c r="K19" s="97"/>
      <c r="L19" s="97"/>
      <c r="M19" s="97"/>
      <c r="N19" s="97"/>
      <c r="O19" s="97"/>
      <c r="P19" s="97"/>
      <c r="Q19" s="97"/>
      <c r="R19" s="97"/>
      <c r="S19" s="97"/>
    </row>
    <row r="20" spans="1:19" ht="19.899999999999999" customHeight="1" x14ac:dyDescent="0.15">
      <c r="B20" s="91" t="s">
        <v>112</v>
      </c>
      <c r="C20" s="124">
        <v>2</v>
      </c>
      <c r="D20" s="126"/>
      <c r="E20" s="101" t="s">
        <v>95</v>
      </c>
      <c r="G20" s="99"/>
      <c r="H20" s="97"/>
      <c r="I20" s="97"/>
      <c r="J20" s="94" t="s">
        <v>121</v>
      </c>
      <c r="K20" s="169" t="s">
        <v>125</v>
      </c>
      <c r="L20" s="170"/>
      <c r="M20" s="170"/>
      <c r="N20" s="170"/>
      <c r="O20" s="170"/>
      <c r="P20" s="170"/>
      <c r="Q20" s="170"/>
      <c r="R20" s="170"/>
      <c r="S20" s="171"/>
    </row>
    <row r="21" spans="1:19" ht="7.5" customHeight="1" x14ac:dyDescent="0.15">
      <c r="B21" s="97"/>
      <c r="C21" s="97"/>
      <c r="D21" s="97"/>
      <c r="E21" s="97"/>
      <c r="F21" s="97"/>
      <c r="G21" s="97"/>
      <c r="H21" s="97"/>
      <c r="I21" s="97"/>
      <c r="J21" s="97"/>
      <c r="K21" s="97"/>
      <c r="L21" s="97"/>
      <c r="M21" s="97"/>
      <c r="N21" s="97"/>
      <c r="O21" s="97"/>
      <c r="P21" s="97"/>
      <c r="Q21" s="97"/>
      <c r="R21" s="97"/>
      <c r="S21" s="97"/>
    </row>
    <row r="22" spans="1:19" ht="18" customHeight="1" x14ac:dyDescent="0.15">
      <c r="A22" s="130" t="s">
        <v>113</v>
      </c>
      <c r="B22" s="130"/>
      <c r="C22" s="130"/>
      <c r="D22" s="130"/>
      <c r="E22" s="130"/>
      <c r="F22" s="130"/>
      <c r="G22" s="130"/>
      <c r="H22" s="130"/>
      <c r="I22" s="130"/>
      <c r="J22" s="130"/>
      <c r="K22" s="130"/>
      <c r="L22" s="130"/>
      <c r="M22" s="130"/>
      <c r="N22" s="130"/>
      <c r="O22" s="130"/>
      <c r="P22" s="130"/>
      <c r="Q22" s="130"/>
      <c r="R22" s="130"/>
      <c r="S22" s="130"/>
    </row>
    <row r="23" spans="1:19" ht="18" customHeight="1" x14ac:dyDescent="0.15">
      <c r="A23" s="130"/>
      <c r="B23" s="130"/>
      <c r="C23" s="130"/>
      <c r="D23" s="130"/>
      <c r="E23" s="130"/>
      <c r="F23" s="130"/>
      <c r="G23" s="130"/>
      <c r="H23" s="130"/>
      <c r="I23" s="130"/>
      <c r="J23" s="130"/>
      <c r="K23" s="130"/>
      <c r="L23" s="130"/>
      <c r="M23" s="130"/>
      <c r="N23" s="130"/>
      <c r="O23" s="130"/>
      <c r="P23" s="130"/>
      <c r="Q23" s="130"/>
      <c r="R23" s="130"/>
      <c r="S23" s="130"/>
    </row>
    <row r="24" spans="1:19" ht="18" customHeight="1" x14ac:dyDescent="0.15">
      <c r="B24" s="124" t="s">
        <v>53</v>
      </c>
      <c r="C24" s="125"/>
      <c r="D24" s="125"/>
      <c r="E24" s="126"/>
      <c r="F24" s="102" t="s">
        <v>80</v>
      </c>
      <c r="G24" s="103" t="s">
        <v>84</v>
      </c>
      <c r="H24" s="104" t="s">
        <v>56</v>
      </c>
      <c r="I24" s="104" t="s">
        <v>59</v>
      </c>
      <c r="J24" s="124" t="s">
        <v>53</v>
      </c>
      <c r="K24" s="125"/>
      <c r="L24" s="125"/>
      <c r="M24" s="125"/>
      <c r="N24" s="125"/>
      <c r="O24" s="126"/>
      <c r="P24" s="102" t="s">
        <v>80</v>
      </c>
      <c r="Q24" s="103" t="s">
        <v>84</v>
      </c>
      <c r="R24" s="104" t="s">
        <v>56</v>
      </c>
      <c r="S24" s="104" t="s">
        <v>59</v>
      </c>
    </row>
    <row r="25" spans="1:19" ht="18" customHeight="1" x14ac:dyDescent="0.15">
      <c r="B25" s="118" t="s">
        <v>130</v>
      </c>
      <c r="C25" s="119"/>
      <c r="D25" s="119"/>
      <c r="E25" s="120"/>
      <c r="F25" s="105">
        <v>2</v>
      </c>
      <c r="G25" s="105" t="s">
        <v>131</v>
      </c>
      <c r="H25" s="105" t="s">
        <v>131</v>
      </c>
      <c r="I25" s="105" t="s">
        <v>131</v>
      </c>
      <c r="J25" s="118"/>
      <c r="K25" s="119"/>
      <c r="L25" s="119"/>
      <c r="M25" s="119"/>
      <c r="N25" s="119"/>
      <c r="O25" s="120"/>
      <c r="P25" s="105"/>
      <c r="Q25" s="105"/>
      <c r="R25" s="105"/>
      <c r="S25" s="105"/>
    </row>
    <row r="26" spans="1:19" ht="18" customHeight="1" x14ac:dyDescent="0.15">
      <c r="B26" s="121"/>
      <c r="C26" s="122"/>
      <c r="D26" s="122"/>
      <c r="E26" s="123"/>
      <c r="F26" s="106"/>
      <c r="G26" s="106"/>
      <c r="H26" s="106"/>
      <c r="I26" s="106"/>
      <c r="J26" s="121"/>
      <c r="K26" s="122"/>
      <c r="L26" s="122"/>
      <c r="M26" s="122"/>
      <c r="N26" s="122"/>
      <c r="O26" s="123"/>
      <c r="P26" s="106"/>
      <c r="Q26" s="106"/>
      <c r="R26" s="106"/>
      <c r="S26" s="106"/>
    </row>
    <row r="27" spans="1:19" ht="18" customHeight="1" x14ac:dyDescent="0.15">
      <c r="B27" s="121"/>
      <c r="C27" s="122"/>
      <c r="D27" s="122"/>
      <c r="E27" s="123"/>
      <c r="F27" s="106"/>
      <c r="G27" s="106"/>
      <c r="H27" s="106"/>
      <c r="I27" s="106"/>
      <c r="J27" s="121"/>
      <c r="K27" s="122"/>
      <c r="L27" s="122"/>
      <c r="M27" s="122"/>
      <c r="N27" s="122"/>
      <c r="O27" s="123"/>
      <c r="P27" s="106"/>
      <c r="Q27" s="106"/>
      <c r="R27" s="106"/>
      <c r="S27" s="106"/>
    </row>
    <row r="28" spans="1:19" ht="18" customHeight="1" x14ac:dyDescent="0.15">
      <c r="B28" s="121"/>
      <c r="C28" s="122"/>
      <c r="D28" s="122"/>
      <c r="E28" s="123"/>
      <c r="F28" s="106"/>
      <c r="G28" s="106"/>
      <c r="H28" s="106"/>
      <c r="I28" s="106"/>
      <c r="J28" s="121"/>
      <c r="K28" s="122"/>
      <c r="L28" s="122"/>
      <c r="M28" s="122"/>
      <c r="N28" s="122"/>
      <c r="O28" s="123"/>
      <c r="P28" s="106"/>
      <c r="Q28" s="106"/>
      <c r="R28" s="106"/>
      <c r="S28" s="106"/>
    </row>
    <row r="29" spans="1:19" ht="18" customHeight="1" x14ac:dyDescent="0.15">
      <c r="B29" s="121"/>
      <c r="C29" s="122"/>
      <c r="D29" s="122"/>
      <c r="E29" s="123"/>
      <c r="F29" s="106"/>
      <c r="G29" s="106"/>
      <c r="H29" s="106"/>
      <c r="I29" s="106"/>
      <c r="J29" s="121"/>
      <c r="K29" s="122"/>
      <c r="L29" s="122"/>
      <c r="M29" s="122"/>
      <c r="N29" s="122"/>
      <c r="O29" s="123"/>
      <c r="P29" s="106"/>
      <c r="Q29" s="106"/>
      <c r="R29" s="106"/>
      <c r="S29" s="106"/>
    </row>
    <row r="30" spans="1:19" ht="18" customHeight="1" x14ac:dyDescent="0.15">
      <c r="A30" s="97"/>
      <c r="B30" s="121"/>
      <c r="C30" s="122"/>
      <c r="D30" s="122"/>
      <c r="E30" s="123"/>
      <c r="F30" s="106"/>
      <c r="G30" s="106"/>
      <c r="H30" s="106"/>
      <c r="I30" s="106"/>
      <c r="J30" s="121"/>
      <c r="K30" s="122"/>
      <c r="L30" s="122"/>
      <c r="M30" s="122"/>
      <c r="N30" s="122"/>
      <c r="O30" s="123"/>
      <c r="P30" s="106"/>
      <c r="Q30" s="106"/>
      <c r="R30" s="106"/>
      <c r="S30" s="106"/>
    </row>
    <row r="31" spans="1:19" ht="18" customHeight="1" x14ac:dyDescent="0.15">
      <c r="A31" s="97"/>
      <c r="B31" s="127"/>
      <c r="C31" s="128"/>
      <c r="D31" s="128"/>
      <c r="E31" s="129"/>
      <c r="F31" s="107"/>
      <c r="G31" s="107"/>
      <c r="H31" s="108"/>
      <c r="I31" s="108"/>
      <c r="J31" s="127"/>
      <c r="K31" s="128"/>
      <c r="L31" s="128"/>
      <c r="M31" s="128"/>
      <c r="N31" s="128"/>
      <c r="O31" s="129"/>
      <c r="P31" s="107"/>
      <c r="Q31" s="107"/>
      <c r="R31" s="108"/>
      <c r="S31" s="108"/>
    </row>
    <row r="32" spans="1:19" ht="7.5" customHeight="1" x14ac:dyDescent="0.15">
      <c r="A32" s="97"/>
      <c r="B32" s="95"/>
      <c r="C32" s="95"/>
      <c r="D32" s="97"/>
      <c r="E32" s="97"/>
      <c r="F32" s="97"/>
      <c r="G32" s="97"/>
      <c r="H32" s="95"/>
      <c r="I32" s="95"/>
      <c r="J32" s="95"/>
      <c r="K32" s="95"/>
      <c r="L32" s="95"/>
      <c r="M32" s="95"/>
      <c r="N32" s="95"/>
      <c r="O32" s="95"/>
      <c r="P32" s="95"/>
      <c r="Q32" s="95"/>
      <c r="R32" s="95"/>
      <c r="S32" s="97"/>
    </row>
    <row r="33" spans="1:19" ht="18" customHeight="1" x14ac:dyDescent="0.15">
      <c r="A33" s="130" t="s">
        <v>114</v>
      </c>
      <c r="B33" s="130"/>
      <c r="C33" s="130"/>
      <c r="D33" s="130"/>
      <c r="E33" s="130"/>
      <c r="F33" s="130"/>
      <c r="G33" s="130"/>
      <c r="H33" s="130"/>
      <c r="I33" s="130"/>
      <c r="J33" s="130"/>
      <c r="K33" s="130"/>
      <c r="L33" s="130"/>
      <c r="M33" s="130"/>
      <c r="N33" s="130"/>
      <c r="O33" s="130"/>
      <c r="P33" s="130"/>
      <c r="Q33" s="130"/>
      <c r="R33" s="130"/>
      <c r="S33" s="130"/>
    </row>
    <row r="34" spans="1:19" ht="18" customHeight="1" x14ac:dyDescent="0.15">
      <c r="A34" s="130"/>
      <c r="B34" s="130"/>
      <c r="C34" s="130"/>
      <c r="D34" s="130"/>
      <c r="E34" s="130"/>
      <c r="F34" s="130"/>
      <c r="G34" s="130"/>
      <c r="H34" s="130"/>
      <c r="I34" s="130"/>
      <c r="J34" s="130"/>
      <c r="K34" s="130"/>
      <c r="L34" s="130"/>
      <c r="M34" s="130"/>
      <c r="N34" s="130"/>
      <c r="O34" s="130"/>
      <c r="P34" s="130"/>
      <c r="Q34" s="130"/>
      <c r="R34" s="130"/>
      <c r="S34" s="130"/>
    </row>
    <row r="35" spans="1:19" ht="18" customHeight="1" x14ac:dyDescent="0.15">
      <c r="B35" s="124" t="s">
        <v>53</v>
      </c>
      <c r="C35" s="125"/>
      <c r="D35" s="125"/>
      <c r="E35" s="126"/>
      <c r="F35" s="102" t="s">
        <v>80</v>
      </c>
      <c r="G35" s="103" t="s">
        <v>84</v>
      </c>
      <c r="H35" s="104" t="s">
        <v>71</v>
      </c>
      <c r="I35" s="104" t="s">
        <v>72</v>
      </c>
      <c r="J35" s="124" t="s">
        <v>53</v>
      </c>
      <c r="K35" s="125"/>
      <c r="L35" s="125"/>
      <c r="M35" s="125"/>
      <c r="N35" s="125"/>
      <c r="O35" s="126"/>
      <c r="P35" s="102" t="s">
        <v>80</v>
      </c>
      <c r="Q35" s="103" t="s">
        <v>84</v>
      </c>
      <c r="R35" s="104" t="s">
        <v>71</v>
      </c>
      <c r="S35" s="104" t="s">
        <v>72</v>
      </c>
    </row>
    <row r="36" spans="1:19" ht="18" customHeight="1" x14ac:dyDescent="0.15">
      <c r="B36" s="118" t="s">
        <v>132</v>
      </c>
      <c r="C36" s="119"/>
      <c r="D36" s="119"/>
      <c r="E36" s="120"/>
      <c r="F36" s="105">
        <v>2</v>
      </c>
      <c r="G36" s="105" t="s">
        <v>131</v>
      </c>
      <c r="H36" s="105" t="s">
        <v>131</v>
      </c>
      <c r="I36" s="105" t="s">
        <v>131</v>
      </c>
      <c r="J36" s="118"/>
      <c r="K36" s="119"/>
      <c r="L36" s="119"/>
      <c r="M36" s="119"/>
      <c r="N36" s="119"/>
      <c r="O36" s="120"/>
      <c r="P36" s="105"/>
      <c r="Q36" s="105"/>
      <c r="R36" s="105"/>
      <c r="S36" s="105"/>
    </row>
    <row r="37" spans="1:19" ht="18" customHeight="1" x14ac:dyDescent="0.15">
      <c r="B37" s="121"/>
      <c r="C37" s="122"/>
      <c r="D37" s="122"/>
      <c r="E37" s="123"/>
      <c r="F37" s="106"/>
      <c r="G37" s="106"/>
      <c r="H37" s="106"/>
      <c r="I37" s="106"/>
      <c r="J37" s="121"/>
      <c r="K37" s="122"/>
      <c r="L37" s="122"/>
      <c r="M37" s="122"/>
      <c r="N37" s="122"/>
      <c r="O37" s="123"/>
      <c r="P37" s="106"/>
      <c r="Q37" s="106"/>
      <c r="R37" s="106"/>
      <c r="S37" s="106"/>
    </row>
    <row r="38" spans="1:19" ht="18" customHeight="1" x14ac:dyDescent="0.15">
      <c r="B38" s="121"/>
      <c r="C38" s="122"/>
      <c r="D38" s="122"/>
      <c r="E38" s="123"/>
      <c r="F38" s="106"/>
      <c r="G38" s="106"/>
      <c r="H38" s="106"/>
      <c r="I38" s="106"/>
      <c r="J38" s="121"/>
      <c r="K38" s="122"/>
      <c r="L38" s="122"/>
      <c r="M38" s="122"/>
      <c r="N38" s="122"/>
      <c r="O38" s="123"/>
      <c r="P38" s="106"/>
      <c r="Q38" s="106"/>
      <c r="R38" s="106"/>
      <c r="S38" s="106"/>
    </row>
    <row r="39" spans="1:19" ht="18" customHeight="1" x14ac:dyDescent="0.15">
      <c r="B39" s="121"/>
      <c r="C39" s="122"/>
      <c r="D39" s="122"/>
      <c r="E39" s="123"/>
      <c r="F39" s="106"/>
      <c r="G39" s="106"/>
      <c r="H39" s="106"/>
      <c r="I39" s="106"/>
      <c r="J39" s="121"/>
      <c r="K39" s="122"/>
      <c r="L39" s="122"/>
      <c r="M39" s="122"/>
      <c r="N39" s="122"/>
      <c r="O39" s="123"/>
      <c r="P39" s="106"/>
      <c r="Q39" s="106"/>
      <c r="R39" s="106"/>
      <c r="S39" s="106"/>
    </row>
    <row r="40" spans="1:19" ht="18" customHeight="1" x14ac:dyDescent="0.15">
      <c r="B40" s="121"/>
      <c r="C40" s="122"/>
      <c r="D40" s="122"/>
      <c r="E40" s="123"/>
      <c r="F40" s="106"/>
      <c r="G40" s="106"/>
      <c r="H40" s="106"/>
      <c r="I40" s="106"/>
      <c r="J40" s="121"/>
      <c r="K40" s="122"/>
      <c r="L40" s="122"/>
      <c r="M40" s="122"/>
      <c r="N40" s="122"/>
      <c r="O40" s="123"/>
      <c r="P40" s="106"/>
      <c r="Q40" s="106"/>
      <c r="R40" s="106"/>
      <c r="S40" s="106"/>
    </row>
    <row r="41" spans="1:19" ht="18" customHeight="1" x14ac:dyDescent="0.15">
      <c r="B41" s="121"/>
      <c r="C41" s="122"/>
      <c r="D41" s="122"/>
      <c r="E41" s="123"/>
      <c r="F41" s="106"/>
      <c r="G41" s="106"/>
      <c r="H41" s="106"/>
      <c r="I41" s="106"/>
      <c r="J41" s="121"/>
      <c r="K41" s="122"/>
      <c r="L41" s="122"/>
      <c r="M41" s="122"/>
      <c r="N41" s="122"/>
      <c r="O41" s="123"/>
      <c r="P41" s="106"/>
      <c r="Q41" s="106"/>
      <c r="R41" s="106"/>
      <c r="S41" s="106"/>
    </row>
    <row r="42" spans="1:19" ht="18" customHeight="1" x14ac:dyDescent="0.15">
      <c r="B42" s="127"/>
      <c r="C42" s="128"/>
      <c r="D42" s="128"/>
      <c r="E42" s="129"/>
      <c r="F42" s="107"/>
      <c r="G42" s="107"/>
      <c r="H42" s="108"/>
      <c r="I42" s="108"/>
      <c r="J42" s="127"/>
      <c r="K42" s="128"/>
      <c r="L42" s="128"/>
      <c r="M42" s="128"/>
      <c r="N42" s="128"/>
      <c r="O42" s="129"/>
      <c r="P42" s="107"/>
      <c r="Q42" s="107"/>
      <c r="R42" s="108"/>
      <c r="S42" s="108"/>
    </row>
    <row r="43" spans="1:19" ht="7.5" customHeight="1" x14ac:dyDescent="0.15">
      <c r="A43" s="97"/>
      <c r="B43" s="95"/>
      <c r="C43" s="95"/>
      <c r="D43" s="97"/>
      <c r="E43" s="97"/>
      <c r="F43" s="97"/>
      <c r="G43" s="97"/>
      <c r="H43" s="95"/>
      <c r="I43" s="95"/>
      <c r="J43" s="95"/>
      <c r="K43" s="95"/>
      <c r="L43" s="95"/>
      <c r="M43" s="95"/>
      <c r="N43" s="95"/>
      <c r="O43" s="95"/>
      <c r="P43" s="95"/>
      <c r="Q43" s="95"/>
      <c r="R43" s="95"/>
      <c r="S43" s="97"/>
    </row>
    <row r="44" spans="1:19" ht="18" customHeight="1" x14ac:dyDescent="0.15">
      <c r="A44" s="130" t="s">
        <v>115</v>
      </c>
      <c r="B44" s="130"/>
      <c r="C44" s="130"/>
      <c r="D44" s="130"/>
      <c r="E44" s="130"/>
      <c r="F44" s="130"/>
      <c r="G44" s="130"/>
      <c r="H44" s="130"/>
      <c r="I44" s="130"/>
      <c r="J44" s="130"/>
      <c r="K44" s="130"/>
      <c r="L44" s="130"/>
      <c r="M44" s="130"/>
      <c r="N44" s="130"/>
      <c r="O44" s="130"/>
      <c r="P44" s="130"/>
      <c r="Q44" s="130"/>
      <c r="R44" s="130"/>
      <c r="S44" s="130"/>
    </row>
    <row r="45" spans="1:19" ht="18" customHeight="1" x14ac:dyDescent="0.15">
      <c r="A45" s="130"/>
      <c r="B45" s="130"/>
      <c r="C45" s="130"/>
      <c r="D45" s="130"/>
      <c r="E45" s="130"/>
      <c r="F45" s="130"/>
      <c r="G45" s="130"/>
      <c r="H45" s="130"/>
      <c r="I45" s="130"/>
      <c r="J45" s="130"/>
      <c r="K45" s="130"/>
      <c r="L45" s="130"/>
      <c r="M45" s="130"/>
      <c r="N45" s="130"/>
      <c r="O45" s="130"/>
      <c r="P45" s="130"/>
      <c r="Q45" s="130"/>
      <c r="R45" s="130"/>
      <c r="S45" s="130"/>
    </row>
    <row r="46" spans="1:19" ht="18" customHeight="1" x14ac:dyDescent="0.15">
      <c r="B46" s="124" t="s">
        <v>53</v>
      </c>
      <c r="C46" s="125"/>
      <c r="D46" s="125"/>
      <c r="E46" s="126"/>
      <c r="F46" s="102" t="s">
        <v>80</v>
      </c>
      <c r="G46" s="103" t="s">
        <v>84</v>
      </c>
      <c r="H46" s="104" t="s">
        <v>73</v>
      </c>
      <c r="I46" s="104" t="s">
        <v>74</v>
      </c>
      <c r="J46" s="124" t="s">
        <v>53</v>
      </c>
      <c r="K46" s="125"/>
      <c r="L46" s="125"/>
      <c r="M46" s="125"/>
      <c r="N46" s="125"/>
      <c r="O46" s="126"/>
      <c r="P46" s="102" t="s">
        <v>80</v>
      </c>
      <c r="Q46" s="103" t="s">
        <v>84</v>
      </c>
      <c r="R46" s="104" t="s">
        <v>73</v>
      </c>
      <c r="S46" s="104" t="s">
        <v>74</v>
      </c>
    </row>
    <row r="47" spans="1:19" ht="18" customHeight="1" x14ac:dyDescent="0.15">
      <c r="A47" s="97"/>
      <c r="B47" s="118" t="s">
        <v>132</v>
      </c>
      <c r="C47" s="119"/>
      <c r="D47" s="119"/>
      <c r="E47" s="120"/>
      <c r="F47" s="105">
        <v>2</v>
      </c>
      <c r="G47" s="105" t="s">
        <v>131</v>
      </c>
      <c r="H47" s="105" t="s">
        <v>131</v>
      </c>
      <c r="I47" s="105" t="s">
        <v>131</v>
      </c>
      <c r="J47" s="118"/>
      <c r="K47" s="119"/>
      <c r="L47" s="119"/>
      <c r="M47" s="119"/>
      <c r="N47" s="119"/>
      <c r="O47" s="120"/>
      <c r="P47" s="105"/>
      <c r="Q47" s="105"/>
      <c r="R47" s="105"/>
      <c r="S47" s="105"/>
    </row>
    <row r="48" spans="1:19" ht="18" customHeight="1" x14ac:dyDescent="0.15">
      <c r="A48" s="97"/>
      <c r="B48" s="121"/>
      <c r="C48" s="122"/>
      <c r="D48" s="122"/>
      <c r="E48" s="123"/>
      <c r="F48" s="106"/>
      <c r="G48" s="106"/>
      <c r="H48" s="106"/>
      <c r="I48" s="106"/>
      <c r="J48" s="121"/>
      <c r="K48" s="122"/>
      <c r="L48" s="122"/>
      <c r="M48" s="122"/>
      <c r="N48" s="122"/>
      <c r="O48" s="123"/>
      <c r="P48" s="106"/>
      <c r="Q48" s="106"/>
      <c r="R48" s="106"/>
      <c r="S48" s="106"/>
    </row>
    <row r="49" spans="1:19" ht="18" customHeight="1" x14ac:dyDescent="0.15">
      <c r="A49" s="97"/>
      <c r="B49" s="121"/>
      <c r="C49" s="122"/>
      <c r="D49" s="122"/>
      <c r="E49" s="123"/>
      <c r="F49" s="106"/>
      <c r="G49" s="106"/>
      <c r="H49" s="106"/>
      <c r="I49" s="106"/>
      <c r="J49" s="121"/>
      <c r="K49" s="122"/>
      <c r="L49" s="122"/>
      <c r="M49" s="122"/>
      <c r="N49" s="122"/>
      <c r="O49" s="123"/>
      <c r="P49" s="106"/>
      <c r="Q49" s="106"/>
      <c r="R49" s="106"/>
      <c r="S49" s="106"/>
    </row>
    <row r="50" spans="1:19" ht="18" customHeight="1" x14ac:dyDescent="0.15">
      <c r="A50" s="97"/>
      <c r="B50" s="121"/>
      <c r="C50" s="122"/>
      <c r="D50" s="122"/>
      <c r="E50" s="123"/>
      <c r="F50" s="106"/>
      <c r="G50" s="106"/>
      <c r="H50" s="106"/>
      <c r="I50" s="106"/>
      <c r="J50" s="121"/>
      <c r="K50" s="122"/>
      <c r="L50" s="122"/>
      <c r="M50" s="122"/>
      <c r="N50" s="122"/>
      <c r="O50" s="123"/>
      <c r="P50" s="106"/>
      <c r="Q50" s="106"/>
      <c r="R50" s="106"/>
      <c r="S50" s="106"/>
    </row>
    <row r="51" spans="1:19" ht="18" customHeight="1" x14ac:dyDescent="0.15">
      <c r="A51" s="97"/>
      <c r="B51" s="121"/>
      <c r="C51" s="122"/>
      <c r="D51" s="122"/>
      <c r="E51" s="123"/>
      <c r="F51" s="106"/>
      <c r="G51" s="106"/>
      <c r="H51" s="106"/>
      <c r="I51" s="106"/>
      <c r="J51" s="121"/>
      <c r="K51" s="122"/>
      <c r="L51" s="122"/>
      <c r="M51" s="122"/>
      <c r="N51" s="122"/>
      <c r="O51" s="123"/>
      <c r="P51" s="106"/>
      <c r="Q51" s="106"/>
      <c r="R51" s="106"/>
      <c r="S51" s="106"/>
    </row>
    <row r="52" spans="1:19" ht="18" customHeight="1" x14ac:dyDescent="0.15">
      <c r="A52" s="97"/>
      <c r="B52" s="121"/>
      <c r="C52" s="122"/>
      <c r="D52" s="122"/>
      <c r="E52" s="123"/>
      <c r="F52" s="106"/>
      <c r="G52" s="106"/>
      <c r="H52" s="106"/>
      <c r="I52" s="106"/>
      <c r="J52" s="121"/>
      <c r="K52" s="122"/>
      <c r="L52" s="122"/>
      <c r="M52" s="122"/>
      <c r="N52" s="122"/>
      <c r="O52" s="123"/>
      <c r="P52" s="106"/>
      <c r="Q52" s="106"/>
      <c r="R52" s="106"/>
      <c r="S52" s="106"/>
    </row>
    <row r="53" spans="1:19" ht="18" customHeight="1" x14ac:dyDescent="0.15">
      <c r="A53" s="97"/>
      <c r="B53" s="127"/>
      <c r="C53" s="128"/>
      <c r="D53" s="128"/>
      <c r="E53" s="129"/>
      <c r="F53" s="107"/>
      <c r="G53" s="107"/>
      <c r="H53" s="108"/>
      <c r="I53" s="108"/>
      <c r="J53" s="127"/>
      <c r="K53" s="128"/>
      <c r="L53" s="128"/>
      <c r="M53" s="128"/>
      <c r="N53" s="128"/>
      <c r="O53" s="129"/>
      <c r="P53" s="107"/>
      <c r="Q53" s="107"/>
      <c r="R53" s="108"/>
      <c r="S53" s="108"/>
    </row>
    <row r="54" spans="1:19" ht="7.5" customHeight="1" x14ac:dyDescent="0.15">
      <c r="B54" s="109"/>
      <c r="C54" s="109"/>
      <c r="D54" s="109"/>
      <c r="E54" s="109"/>
      <c r="F54" s="109"/>
      <c r="G54" s="109"/>
      <c r="H54" s="109"/>
      <c r="I54" s="109"/>
      <c r="J54" s="109"/>
      <c r="K54" s="109"/>
      <c r="L54" s="109"/>
      <c r="M54" s="109"/>
      <c r="N54" s="109"/>
      <c r="O54" s="109"/>
      <c r="P54" s="109"/>
      <c r="Q54" s="109"/>
      <c r="R54" s="109"/>
    </row>
    <row r="55" spans="1:19" ht="18" customHeight="1" x14ac:dyDescent="0.15">
      <c r="A55" s="130" t="s">
        <v>116</v>
      </c>
      <c r="B55" s="130"/>
      <c r="C55" s="130"/>
      <c r="D55" s="130"/>
      <c r="E55" s="130"/>
      <c r="F55" s="130"/>
      <c r="G55" s="130"/>
      <c r="H55" s="130"/>
      <c r="I55" s="130"/>
      <c r="J55" s="130"/>
      <c r="K55" s="130"/>
      <c r="L55" s="130"/>
      <c r="M55" s="130"/>
      <c r="N55" s="130"/>
      <c r="O55" s="130"/>
      <c r="P55" s="130"/>
      <c r="Q55" s="130"/>
      <c r="R55" s="130"/>
      <c r="S55" s="130"/>
    </row>
    <row r="56" spans="1:19" ht="18" customHeight="1" x14ac:dyDescent="0.15">
      <c r="A56" s="130"/>
      <c r="B56" s="130"/>
      <c r="C56" s="130"/>
      <c r="D56" s="130"/>
      <c r="E56" s="130"/>
      <c r="F56" s="130"/>
      <c r="G56" s="130"/>
      <c r="H56" s="130"/>
      <c r="I56" s="130"/>
      <c r="J56" s="130"/>
      <c r="K56" s="130"/>
      <c r="L56" s="130"/>
      <c r="M56" s="130"/>
      <c r="N56" s="130"/>
      <c r="O56" s="130"/>
      <c r="P56" s="130"/>
      <c r="Q56" s="130"/>
      <c r="R56" s="130"/>
      <c r="S56" s="130"/>
    </row>
    <row r="57" spans="1:19" ht="18" customHeight="1" x14ac:dyDescent="0.15">
      <c r="B57" s="124" t="s">
        <v>53</v>
      </c>
      <c r="C57" s="125"/>
      <c r="D57" s="125"/>
      <c r="E57" s="126"/>
      <c r="F57" s="102" t="s">
        <v>80</v>
      </c>
      <c r="G57" s="103" t="s">
        <v>84</v>
      </c>
      <c r="H57" s="104" t="s">
        <v>58</v>
      </c>
      <c r="I57" s="104" t="s">
        <v>60</v>
      </c>
      <c r="J57" s="124" t="s">
        <v>53</v>
      </c>
      <c r="K57" s="125"/>
      <c r="L57" s="125"/>
      <c r="M57" s="125"/>
      <c r="N57" s="125"/>
      <c r="O57" s="126"/>
      <c r="P57" s="102" t="s">
        <v>80</v>
      </c>
      <c r="Q57" s="103" t="s">
        <v>84</v>
      </c>
      <c r="R57" s="104" t="s">
        <v>58</v>
      </c>
      <c r="S57" s="104" t="s">
        <v>60</v>
      </c>
    </row>
    <row r="58" spans="1:19" ht="18" customHeight="1" x14ac:dyDescent="0.15">
      <c r="A58" s="97"/>
      <c r="B58" s="118" t="s">
        <v>132</v>
      </c>
      <c r="C58" s="119"/>
      <c r="D58" s="119"/>
      <c r="E58" s="120"/>
      <c r="F58" s="105">
        <v>2</v>
      </c>
      <c r="G58" s="105" t="s">
        <v>131</v>
      </c>
      <c r="H58" s="105" t="s">
        <v>131</v>
      </c>
      <c r="I58" s="105" t="s">
        <v>131</v>
      </c>
      <c r="J58" s="118"/>
      <c r="K58" s="119"/>
      <c r="L58" s="119"/>
      <c r="M58" s="119"/>
      <c r="N58" s="119"/>
      <c r="O58" s="120"/>
      <c r="P58" s="105"/>
      <c r="Q58" s="105"/>
      <c r="R58" s="105"/>
      <c r="S58" s="105"/>
    </row>
    <row r="59" spans="1:19" ht="18" customHeight="1" x14ac:dyDescent="0.15">
      <c r="A59" s="97"/>
      <c r="B59" s="121"/>
      <c r="C59" s="122"/>
      <c r="D59" s="122"/>
      <c r="E59" s="123"/>
      <c r="F59" s="106"/>
      <c r="G59" s="106"/>
      <c r="H59" s="106"/>
      <c r="I59" s="106"/>
      <c r="J59" s="121"/>
      <c r="K59" s="122"/>
      <c r="L59" s="122"/>
      <c r="M59" s="122"/>
      <c r="N59" s="122"/>
      <c r="O59" s="123"/>
      <c r="P59" s="106"/>
      <c r="Q59" s="106"/>
      <c r="R59" s="106"/>
      <c r="S59" s="106"/>
    </row>
    <row r="60" spans="1:19" ht="18" customHeight="1" x14ac:dyDescent="0.15">
      <c r="A60" s="97"/>
      <c r="B60" s="121"/>
      <c r="C60" s="122"/>
      <c r="D60" s="122"/>
      <c r="E60" s="123"/>
      <c r="F60" s="106"/>
      <c r="G60" s="106"/>
      <c r="H60" s="106"/>
      <c r="I60" s="106"/>
      <c r="J60" s="121"/>
      <c r="K60" s="122"/>
      <c r="L60" s="122"/>
      <c r="M60" s="122"/>
      <c r="N60" s="122"/>
      <c r="O60" s="123"/>
      <c r="P60" s="106"/>
      <c r="Q60" s="106"/>
      <c r="R60" s="106"/>
      <c r="S60" s="106"/>
    </row>
    <row r="61" spans="1:19" ht="18" customHeight="1" x14ac:dyDescent="0.15">
      <c r="A61" s="97"/>
      <c r="B61" s="121"/>
      <c r="C61" s="122"/>
      <c r="D61" s="122"/>
      <c r="E61" s="123"/>
      <c r="F61" s="106"/>
      <c r="G61" s="106"/>
      <c r="H61" s="106"/>
      <c r="I61" s="106"/>
      <c r="J61" s="121"/>
      <c r="K61" s="122"/>
      <c r="L61" s="122"/>
      <c r="M61" s="122"/>
      <c r="N61" s="122"/>
      <c r="O61" s="123"/>
      <c r="P61" s="106"/>
      <c r="Q61" s="106"/>
      <c r="R61" s="106"/>
      <c r="S61" s="106"/>
    </row>
    <row r="62" spans="1:19" ht="18" customHeight="1" x14ac:dyDescent="0.15">
      <c r="A62" s="97"/>
      <c r="B62" s="121"/>
      <c r="C62" s="122"/>
      <c r="D62" s="122"/>
      <c r="E62" s="123"/>
      <c r="F62" s="106"/>
      <c r="G62" s="106"/>
      <c r="H62" s="106"/>
      <c r="I62" s="106"/>
      <c r="J62" s="121"/>
      <c r="K62" s="122"/>
      <c r="L62" s="122"/>
      <c r="M62" s="122"/>
      <c r="N62" s="122"/>
      <c r="O62" s="123"/>
      <c r="P62" s="106"/>
      <c r="Q62" s="106"/>
      <c r="R62" s="106"/>
      <c r="S62" s="106"/>
    </row>
    <row r="63" spans="1:19" ht="18" customHeight="1" x14ac:dyDescent="0.15">
      <c r="A63" s="97"/>
      <c r="B63" s="121"/>
      <c r="C63" s="122"/>
      <c r="D63" s="122"/>
      <c r="E63" s="123"/>
      <c r="F63" s="106"/>
      <c r="G63" s="106"/>
      <c r="H63" s="106"/>
      <c r="I63" s="106"/>
      <c r="J63" s="121"/>
      <c r="K63" s="122"/>
      <c r="L63" s="122"/>
      <c r="M63" s="122"/>
      <c r="N63" s="122"/>
      <c r="O63" s="123"/>
      <c r="P63" s="106"/>
      <c r="Q63" s="106"/>
      <c r="R63" s="106"/>
      <c r="S63" s="106"/>
    </row>
    <row r="64" spans="1:19" ht="18" customHeight="1" x14ac:dyDescent="0.15">
      <c r="A64" s="97"/>
      <c r="B64" s="127"/>
      <c r="C64" s="128"/>
      <c r="D64" s="128"/>
      <c r="E64" s="129"/>
      <c r="F64" s="107"/>
      <c r="G64" s="107"/>
      <c r="H64" s="108"/>
      <c r="I64" s="108"/>
      <c r="J64" s="127"/>
      <c r="K64" s="128"/>
      <c r="L64" s="128"/>
      <c r="M64" s="128"/>
      <c r="N64" s="128"/>
      <c r="O64" s="129"/>
      <c r="P64" s="107"/>
      <c r="Q64" s="107"/>
      <c r="R64" s="108"/>
      <c r="S64" s="108"/>
    </row>
    <row r="65" spans="1:19" ht="7.5" customHeight="1" x14ac:dyDescent="0.15">
      <c r="B65" s="109"/>
      <c r="C65" s="109"/>
      <c r="D65" s="109"/>
      <c r="E65" s="109"/>
      <c r="F65" s="109"/>
      <c r="G65" s="109"/>
      <c r="H65" s="109"/>
      <c r="I65" s="109"/>
      <c r="J65" s="109"/>
      <c r="K65" s="109"/>
      <c r="L65" s="109"/>
      <c r="M65" s="109"/>
      <c r="N65" s="109"/>
      <c r="O65" s="109"/>
      <c r="P65" s="109"/>
      <c r="Q65" s="109"/>
      <c r="R65" s="109"/>
    </row>
    <row r="66" spans="1:19" ht="18" customHeight="1" x14ac:dyDescent="0.15">
      <c r="A66" s="130" t="s">
        <v>117</v>
      </c>
      <c r="B66" s="130"/>
      <c r="C66" s="130"/>
      <c r="D66" s="130"/>
      <c r="E66" s="130"/>
      <c r="F66" s="130"/>
      <c r="G66" s="130"/>
      <c r="H66" s="130"/>
      <c r="I66" s="130"/>
      <c r="J66" s="130"/>
      <c r="K66" s="130"/>
      <c r="L66" s="130"/>
      <c r="M66" s="130"/>
      <c r="N66" s="130"/>
      <c r="O66" s="130"/>
      <c r="P66" s="130"/>
      <c r="Q66" s="130"/>
      <c r="R66" s="130"/>
      <c r="S66" s="130"/>
    </row>
    <row r="67" spans="1:19" ht="18" customHeight="1" x14ac:dyDescent="0.15">
      <c r="A67" s="130"/>
      <c r="B67" s="130"/>
      <c r="C67" s="130"/>
      <c r="D67" s="130"/>
      <c r="E67" s="130"/>
      <c r="F67" s="130"/>
      <c r="G67" s="130"/>
      <c r="H67" s="130"/>
      <c r="I67" s="130"/>
      <c r="J67" s="130"/>
      <c r="K67" s="130"/>
      <c r="L67" s="130"/>
      <c r="M67" s="130"/>
      <c r="N67" s="130"/>
      <c r="O67" s="130"/>
      <c r="P67" s="130"/>
      <c r="Q67" s="130"/>
      <c r="R67" s="130"/>
      <c r="S67" s="130"/>
    </row>
    <row r="68" spans="1:19" ht="18" customHeight="1" x14ac:dyDescent="0.15">
      <c r="B68" s="124" t="s">
        <v>53</v>
      </c>
      <c r="C68" s="125"/>
      <c r="D68" s="125"/>
      <c r="E68" s="102" t="s">
        <v>80</v>
      </c>
      <c r="F68" s="103" t="s">
        <v>84</v>
      </c>
      <c r="G68" s="104" t="s">
        <v>101</v>
      </c>
      <c r="H68" s="104" t="s">
        <v>75</v>
      </c>
      <c r="I68" s="104" t="s">
        <v>76</v>
      </c>
      <c r="J68" s="124" t="s">
        <v>53</v>
      </c>
      <c r="K68" s="125"/>
      <c r="L68" s="125"/>
      <c r="M68" s="125"/>
      <c r="N68" s="126"/>
      <c r="O68" s="102" t="s">
        <v>80</v>
      </c>
      <c r="P68" s="103" t="s">
        <v>84</v>
      </c>
      <c r="Q68" s="104" t="s">
        <v>101</v>
      </c>
      <c r="R68" s="104" t="s">
        <v>75</v>
      </c>
      <c r="S68" s="104" t="s">
        <v>76</v>
      </c>
    </row>
    <row r="69" spans="1:19" ht="18" customHeight="1" x14ac:dyDescent="0.15">
      <c r="A69" s="97"/>
      <c r="B69" s="118" t="s">
        <v>132</v>
      </c>
      <c r="C69" s="119"/>
      <c r="D69" s="120"/>
      <c r="E69" s="105">
        <v>2</v>
      </c>
      <c r="F69" s="105" t="s">
        <v>131</v>
      </c>
      <c r="G69" s="105" t="s">
        <v>131</v>
      </c>
      <c r="H69" s="105" t="s">
        <v>131</v>
      </c>
      <c r="I69" s="105" t="s">
        <v>131</v>
      </c>
      <c r="J69" s="118"/>
      <c r="K69" s="119"/>
      <c r="L69" s="119"/>
      <c r="M69" s="119"/>
      <c r="N69" s="120"/>
      <c r="O69" s="105"/>
      <c r="P69" s="105"/>
      <c r="Q69" s="105"/>
      <c r="R69" s="105"/>
      <c r="S69" s="105"/>
    </row>
    <row r="70" spans="1:19" ht="18" customHeight="1" x14ac:dyDescent="0.15">
      <c r="A70" s="97"/>
      <c r="B70" s="121"/>
      <c r="C70" s="122"/>
      <c r="D70" s="122"/>
      <c r="E70" s="106"/>
      <c r="F70" s="106"/>
      <c r="G70" s="106"/>
      <c r="H70" s="106"/>
      <c r="I70" s="106"/>
      <c r="J70" s="121"/>
      <c r="K70" s="122"/>
      <c r="L70" s="122"/>
      <c r="M70" s="122"/>
      <c r="N70" s="123"/>
      <c r="O70" s="106"/>
      <c r="P70" s="106"/>
      <c r="Q70" s="106"/>
      <c r="R70" s="106"/>
      <c r="S70" s="106"/>
    </row>
    <row r="71" spans="1:19" ht="18" customHeight="1" x14ac:dyDescent="0.15">
      <c r="A71" s="97"/>
      <c r="B71" s="121"/>
      <c r="C71" s="122"/>
      <c r="D71" s="122"/>
      <c r="E71" s="106"/>
      <c r="F71" s="106"/>
      <c r="G71" s="106"/>
      <c r="H71" s="106"/>
      <c r="I71" s="106"/>
      <c r="J71" s="121"/>
      <c r="K71" s="122"/>
      <c r="L71" s="122"/>
      <c r="M71" s="122"/>
      <c r="N71" s="123"/>
      <c r="O71" s="106"/>
      <c r="P71" s="106"/>
      <c r="Q71" s="106"/>
      <c r="R71" s="106"/>
      <c r="S71" s="106"/>
    </row>
    <row r="72" spans="1:19" ht="18" customHeight="1" x14ac:dyDescent="0.15">
      <c r="A72" s="97"/>
      <c r="B72" s="121"/>
      <c r="C72" s="122"/>
      <c r="D72" s="122"/>
      <c r="E72" s="106"/>
      <c r="F72" s="106"/>
      <c r="G72" s="106"/>
      <c r="H72" s="106"/>
      <c r="I72" s="106"/>
      <c r="J72" s="121"/>
      <c r="K72" s="122"/>
      <c r="L72" s="122"/>
      <c r="M72" s="122"/>
      <c r="N72" s="123"/>
      <c r="O72" s="106"/>
      <c r="P72" s="106"/>
      <c r="Q72" s="106"/>
      <c r="R72" s="106"/>
      <c r="S72" s="106"/>
    </row>
    <row r="73" spans="1:19" ht="18" customHeight="1" x14ac:dyDescent="0.15">
      <c r="A73" s="97"/>
      <c r="B73" s="121"/>
      <c r="C73" s="122"/>
      <c r="D73" s="122"/>
      <c r="E73" s="106"/>
      <c r="F73" s="106"/>
      <c r="G73" s="106"/>
      <c r="H73" s="106"/>
      <c r="I73" s="106"/>
      <c r="J73" s="121"/>
      <c r="K73" s="122"/>
      <c r="L73" s="122"/>
      <c r="M73" s="122"/>
      <c r="N73" s="123"/>
      <c r="O73" s="106"/>
      <c r="P73" s="106"/>
      <c r="Q73" s="106"/>
      <c r="R73" s="106"/>
      <c r="S73" s="106"/>
    </row>
    <row r="74" spans="1:19" ht="18" customHeight="1" x14ac:dyDescent="0.15">
      <c r="A74" s="97"/>
      <c r="B74" s="121"/>
      <c r="C74" s="122"/>
      <c r="D74" s="122"/>
      <c r="E74" s="106"/>
      <c r="F74" s="106"/>
      <c r="G74" s="106"/>
      <c r="H74" s="106"/>
      <c r="I74" s="106"/>
      <c r="J74" s="121"/>
      <c r="K74" s="122"/>
      <c r="L74" s="122"/>
      <c r="M74" s="122"/>
      <c r="N74" s="123"/>
      <c r="O74" s="106"/>
      <c r="P74" s="106"/>
      <c r="Q74" s="106"/>
      <c r="R74" s="106"/>
      <c r="S74" s="106"/>
    </row>
    <row r="75" spans="1:19" ht="18" customHeight="1" x14ac:dyDescent="0.15">
      <c r="A75" s="97"/>
      <c r="B75" s="127"/>
      <c r="C75" s="128"/>
      <c r="D75" s="128"/>
      <c r="E75" s="107"/>
      <c r="F75" s="107"/>
      <c r="G75" s="108"/>
      <c r="H75" s="108"/>
      <c r="I75" s="108"/>
      <c r="J75" s="127"/>
      <c r="K75" s="128"/>
      <c r="L75" s="128"/>
      <c r="M75" s="128"/>
      <c r="N75" s="129"/>
      <c r="O75" s="107"/>
      <c r="P75" s="107"/>
      <c r="Q75" s="108"/>
      <c r="R75" s="108"/>
      <c r="S75" s="108"/>
    </row>
    <row r="76" spans="1:19" ht="7.5" customHeight="1" x14ac:dyDescent="0.15">
      <c r="B76" s="109"/>
      <c r="C76" s="109"/>
      <c r="D76" s="109"/>
      <c r="E76" s="109"/>
      <c r="F76" s="109"/>
      <c r="G76" s="109"/>
      <c r="H76" s="109"/>
      <c r="I76" s="109"/>
      <c r="J76" s="109"/>
      <c r="K76" s="109"/>
      <c r="L76" s="109"/>
      <c r="M76" s="109"/>
      <c r="N76" s="109"/>
      <c r="O76" s="109"/>
      <c r="P76" s="109"/>
      <c r="Q76" s="109"/>
      <c r="R76" s="109"/>
    </row>
    <row r="77" spans="1:19" ht="18" customHeight="1" x14ac:dyDescent="0.15">
      <c r="A77" s="91" t="s">
        <v>118</v>
      </c>
      <c r="H77" s="97"/>
      <c r="I77" s="97"/>
      <c r="J77" s="97"/>
      <c r="K77" s="97"/>
      <c r="L77" s="97"/>
      <c r="M77" s="97"/>
      <c r="N77" s="97"/>
      <c r="O77" s="97"/>
      <c r="P77" s="97"/>
      <c r="Q77" s="97"/>
      <c r="R77" s="97"/>
      <c r="S77" s="97"/>
    </row>
    <row r="78" spans="1:19" ht="18" customHeight="1" x14ac:dyDescent="0.15">
      <c r="B78" s="124" t="s">
        <v>53</v>
      </c>
      <c r="C78" s="125"/>
      <c r="D78" s="125"/>
      <c r="E78" s="126"/>
      <c r="F78" s="124" t="s">
        <v>82</v>
      </c>
      <c r="G78" s="125"/>
      <c r="H78" s="125"/>
      <c r="I78" s="126"/>
      <c r="J78" s="147" t="s">
        <v>53</v>
      </c>
      <c r="K78" s="148"/>
      <c r="L78" s="148"/>
      <c r="M78" s="148"/>
      <c r="N78" s="148"/>
      <c r="O78" s="149"/>
      <c r="P78" s="124" t="s">
        <v>82</v>
      </c>
      <c r="Q78" s="125"/>
      <c r="R78" s="125"/>
      <c r="S78" s="126"/>
    </row>
    <row r="79" spans="1:19" ht="18" customHeight="1" x14ac:dyDescent="0.15">
      <c r="A79" s="97"/>
      <c r="B79" s="118" t="s">
        <v>133</v>
      </c>
      <c r="C79" s="119"/>
      <c r="D79" s="119"/>
      <c r="E79" s="120"/>
      <c r="F79" s="141" t="s">
        <v>134</v>
      </c>
      <c r="G79" s="142"/>
      <c r="H79" s="142"/>
      <c r="I79" s="143"/>
      <c r="J79" s="118"/>
      <c r="K79" s="119"/>
      <c r="L79" s="119"/>
      <c r="M79" s="119"/>
      <c r="N79" s="119"/>
      <c r="O79" s="120"/>
      <c r="P79" s="141"/>
      <c r="Q79" s="142"/>
      <c r="R79" s="142"/>
      <c r="S79" s="143"/>
    </row>
    <row r="80" spans="1:19" ht="18" customHeight="1" x14ac:dyDescent="0.15">
      <c r="A80" s="97"/>
      <c r="B80" s="121" t="s">
        <v>133</v>
      </c>
      <c r="C80" s="122"/>
      <c r="D80" s="122"/>
      <c r="E80" s="123"/>
      <c r="F80" s="144" t="s">
        <v>135</v>
      </c>
      <c r="G80" s="145"/>
      <c r="H80" s="145"/>
      <c r="I80" s="146"/>
      <c r="J80" s="121"/>
      <c r="K80" s="122"/>
      <c r="L80" s="122"/>
      <c r="M80" s="122"/>
      <c r="N80" s="122"/>
      <c r="O80" s="123"/>
      <c r="P80" s="144"/>
      <c r="Q80" s="145"/>
      <c r="R80" s="145"/>
      <c r="S80" s="146"/>
    </row>
    <row r="81" spans="1:19" ht="18" customHeight="1" x14ac:dyDescent="0.15">
      <c r="A81" s="97"/>
      <c r="B81" s="121" t="s">
        <v>136</v>
      </c>
      <c r="C81" s="122"/>
      <c r="D81" s="122"/>
      <c r="E81" s="123"/>
      <c r="F81" s="144" t="s">
        <v>137</v>
      </c>
      <c r="G81" s="145"/>
      <c r="H81" s="145"/>
      <c r="I81" s="146"/>
      <c r="J81" s="121"/>
      <c r="K81" s="122"/>
      <c r="L81" s="122"/>
      <c r="M81" s="122"/>
      <c r="N81" s="122"/>
      <c r="O81" s="123"/>
      <c r="P81" s="144"/>
      <c r="Q81" s="145"/>
      <c r="R81" s="145"/>
      <c r="S81" s="146"/>
    </row>
    <row r="82" spans="1:19" ht="18" customHeight="1" x14ac:dyDescent="0.15">
      <c r="A82" s="97"/>
      <c r="B82" s="121" t="s">
        <v>138</v>
      </c>
      <c r="C82" s="122"/>
      <c r="D82" s="122"/>
      <c r="E82" s="123"/>
      <c r="F82" s="144" t="s">
        <v>139</v>
      </c>
      <c r="G82" s="145"/>
      <c r="H82" s="145"/>
      <c r="I82" s="146"/>
      <c r="J82" s="121"/>
      <c r="K82" s="122"/>
      <c r="L82" s="122"/>
      <c r="M82" s="122"/>
      <c r="N82" s="122"/>
      <c r="O82" s="123"/>
      <c r="P82" s="144"/>
      <c r="Q82" s="145"/>
      <c r="R82" s="145"/>
      <c r="S82" s="146"/>
    </row>
    <row r="83" spans="1:19" ht="18" customHeight="1" x14ac:dyDescent="0.15">
      <c r="A83" s="97"/>
      <c r="B83" s="121"/>
      <c r="C83" s="122"/>
      <c r="D83" s="122"/>
      <c r="E83" s="123"/>
      <c r="F83" s="144"/>
      <c r="G83" s="145"/>
      <c r="H83" s="145"/>
      <c r="I83" s="146"/>
      <c r="J83" s="121"/>
      <c r="K83" s="122"/>
      <c r="L83" s="122"/>
      <c r="M83" s="122"/>
      <c r="N83" s="122"/>
      <c r="O83" s="123"/>
      <c r="P83" s="144"/>
      <c r="Q83" s="145"/>
      <c r="R83" s="145"/>
      <c r="S83" s="146"/>
    </row>
    <row r="84" spans="1:19" ht="18" customHeight="1" x14ac:dyDescent="0.15">
      <c r="A84" s="97"/>
      <c r="B84" s="121"/>
      <c r="C84" s="122"/>
      <c r="D84" s="122"/>
      <c r="E84" s="123"/>
      <c r="F84" s="144"/>
      <c r="G84" s="145"/>
      <c r="H84" s="145"/>
      <c r="I84" s="146"/>
      <c r="J84" s="121"/>
      <c r="K84" s="122"/>
      <c r="L84" s="122"/>
      <c r="M84" s="122"/>
      <c r="N84" s="122"/>
      <c r="O84" s="123"/>
      <c r="P84" s="144"/>
      <c r="Q84" s="145"/>
      <c r="R84" s="145"/>
      <c r="S84" s="146"/>
    </row>
    <row r="85" spans="1:19" ht="18" customHeight="1" x14ac:dyDescent="0.15">
      <c r="A85" s="97"/>
      <c r="B85" s="127"/>
      <c r="C85" s="128"/>
      <c r="D85" s="128"/>
      <c r="E85" s="129"/>
      <c r="F85" s="153"/>
      <c r="G85" s="154"/>
      <c r="H85" s="154"/>
      <c r="I85" s="155"/>
      <c r="J85" s="127"/>
      <c r="K85" s="128"/>
      <c r="L85" s="128"/>
      <c r="M85" s="128"/>
      <c r="N85" s="128"/>
      <c r="O85" s="129"/>
      <c r="P85" s="153"/>
      <c r="Q85" s="154"/>
      <c r="R85" s="154"/>
      <c r="S85" s="155"/>
    </row>
    <row r="86" spans="1:19" ht="18" customHeight="1" x14ac:dyDescent="0.15">
      <c r="A86" s="97"/>
      <c r="B86" s="95"/>
      <c r="C86" s="95"/>
      <c r="D86" s="95"/>
      <c r="E86" s="95"/>
      <c r="F86" s="110"/>
      <c r="G86" s="110"/>
      <c r="H86" s="110"/>
      <c r="I86" s="110"/>
      <c r="J86" s="95"/>
      <c r="K86" s="95"/>
      <c r="L86" s="95"/>
      <c r="M86" s="95"/>
      <c r="N86" s="95"/>
      <c r="O86" s="95"/>
      <c r="P86" s="110"/>
      <c r="Q86" s="110"/>
      <c r="R86" s="110"/>
      <c r="S86" s="110"/>
    </row>
    <row r="87" spans="1:19" ht="18.75" customHeight="1" x14ac:dyDescent="0.15">
      <c r="A87" s="91" t="s">
        <v>119</v>
      </c>
    </row>
    <row r="88" spans="1:19" ht="18.75" customHeight="1" x14ac:dyDescent="0.15">
      <c r="B88" s="139" t="s">
        <v>54</v>
      </c>
      <c r="C88" s="140"/>
      <c r="D88" s="125" t="s">
        <v>55</v>
      </c>
      <c r="E88" s="125"/>
      <c r="F88" s="125"/>
      <c r="G88" s="125"/>
      <c r="H88" s="125"/>
      <c r="I88" s="125"/>
      <c r="J88" s="125"/>
      <c r="K88" s="125"/>
      <c r="L88" s="125"/>
      <c r="M88" s="125"/>
      <c r="N88" s="125"/>
      <c r="O88" s="125"/>
      <c r="P88" s="125"/>
      <c r="Q88" s="125"/>
      <c r="R88" s="125"/>
      <c r="S88" s="126"/>
    </row>
    <row r="89" spans="1:19" ht="97.5" customHeight="1" x14ac:dyDescent="0.15">
      <c r="B89" s="131" t="s">
        <v>61</v>
      </c>
      <c r="C89" s="111" t="s">
        <v>56</v>
      </c>
      <c r="D89" s="137" t="s">
        <v>140</v>
      </c>
      <c r="E89" s="137"/>
      <c r="F89" s="137"/>
      <c r="G89" s="137"/>
      <c r="H89" s="137"/>
      <c r="I89" s="137"/>
      <c r="J89" s="137"/>
      <c r="K89" s="137"/>
      <c r="L89" s="137"/>
      <c r="M89" s="137"/>
      <c r="N89" s="137"/>
      <c r="O89" s="137"/>
      <c r="P89" s="137"/>
      <c r="Q89" s="137"/>
      <c r="R89" s="137"/>
      <c r="S89" s="138"/>
    </row>
    <row r="90" spans="1:19" ht="97.5" customHeight="1" x14ac:dyDescent="0.15">
      <c r="B90" s="132"/>
      <c r="C90" s="112" t="s">
        <v>77</v>
      </c>
      <c r="D90" s="156" t="s">
        <v>141</v>
      </c>
      <c r="E90" s="156"/>
      <c r="F90" s="156"/>
      <c r="G90" s="156"/>
      <c r="H90" s="156"/>
      <c r="I90" s="156"/>
      <c r="J90" s="156"/>
      <c r="K90" s="156"/>
      <c r="L90" s="156"/>
      <c r="M90" s="156"/>
      <c r="N90" s="156"/>
      <c r="O90" s="156"/>
      <c r="P90" s="156"/>
      <c r="Q90" s="156"/>
      <c r="R90" s="156"/>
      <c r="S90" s="157"/>
    </row>
    <row r="91" spans="1:19" ht="97.5" customHeight="1" x14ac:dyDescent="0.15">
      <c r="B91" s="131" t="s">
        <v>62</v>
      </c>
      <c r="C91" s="113" t="s">
        <v>71</v>
      </c>
      <c r="D91" s="158" t="s">
        <v>142</v>
      </c>
      <c r="E91" s="158"/>
      <c r="F91" s="158"/>
      <c r="G91" s="158"/>
      <c r="H91" s="158"/>
      <c r="I91" s="158"/>
      <c r="J91" s="158"/>
      <c r="K91" s="158"/>
      <c r="L91" s="158"/>
      <c r="M91" s="158"/>
      <c r="N91" s="158"/>
      <c r="O91" s="158"/>
      <c r="P91" s="158"/>
      <c r="Q91" s="158"/>
      <c r="R91" s="158"/>
      <c r="S91" s="159"/>
    </row>
    <row r="92" spans="1:19" ht="97.5" customHeight="1" x14ac:dyDescent="0.15">
      <c r="B92" s="133"/>
      <c r="C92" s="114" t="s">
        <v>72</v>
      </c>
      <c r="D92" s="162" t="s">
        <v>143</v>
      </c>
      <c r="E92" s="162"/>
      <c r="F92" s="162"/>
      <c r="G92" s="162"/>
      <c r="H92" s="162"/>
      <c r="I92" s="162"/>
      <c r="J92" s="162"/>
      <c r="K92" s="162"/>
      <c r="L92" s="162"/>
      <c r="M92" s="162"/>
      <c r="N92" s="162"/>
      <c r="O92" s="162"/>
      <c r="P92" s="162"/>
      <c r="Q92" s="162"/>
      <c r="R92" s="162"/>
      <c r="S92" s="163"/>
    </row>
    <row r="93" spans="1:19" ht="97.5" customHeight="1" x14ac:dyDescent="0.15">
      <c r="B93" s="131" t="s">
        <v>63</v>
      </c>
      <c r="C93" s="113" t="s">
        <v>73</v>
      </c>
      <c r="D93" s="164" t="s">
        <v>144</v>
      </c>
      <c r="E93" s="158"/>
      <c r="F93" s="158"/>
      <c r="G93" s="158"/>
      <c r="H93" s="158"/>
      <c r="I93" s="158"/>
      <c r="J93" s="158"/>
      <c r="K93" s="158"/>
      <c r="L93" s="158"/>
      <c r="M93" s="158"/>
      <c r="N93" s="158"/>
      <c r="O93" s="158"/>
      <c r="P93" s="158"/>
      <c r="Q93" s="158"/>
      <c r="R93" s="158"/>
      <c r="S93" s="159"/>
    </row>
    <row r="94" spans="1:19" ht="97.5" customHeight="1" x14ac:dyDescent="0.15">
      <c r="B94" s="133"/>
      <c r="C94" s="115" t="s">
        <v>74</v>
      </c>
      <c r="D94" s="160" t="s">
        <v>145</v>
      </c>
      <c r="E94" s="160"/>
      <c r="F94" s="160"/>
      <c r="G94" s="160"/>
      <c r="H94" s="160"/>
      <c r="I94" s="160"/>
      <c r="J94" s="160"/>
      <c r="K94" s="160"/>
      <c r="L94" s="160"/>
      <c r="M94" s="160"/>
      <c r="N94" s="160"/>
      <c r="O94" s="160"/>
      <c r="P94" s="160"/>
      <c r="Q94" s="160"/>
      <c r="R94" s="160"/>
      <c r="S94" s="161"/>
    </row>
    <row r="95" spans="1:19" ht="97.5" customHeight="1" x14ac:dyDescent="0.15">
      <c r="B95" s="131" t="s">
        <v>78</v>
      </c>
      <c r="C95" s="111" t="s">
        <v>58</v>
      </c>
      <c r="D95" s="137" t="s">
        <v>146</v>
      </c>
      <c r="E95" s="137"/>
      <c r="F95" s="137"/>
      <c r="G95" s="137"/>
      <c r="H95" s="137"/>
      <c r="I95" s="137"/>
      <c r="J95" s="137"/>
      <c r="K95" s="137"/>
      <c r="L95" s="137"/>
      <c r="M95" s="137"/>
      <c r="N95" s="137"/>
      <c r="O95" s="137"/>
      <c r="P95" s="137"/>
      <c r="Q95" s="137"/>
      <c r="R95" s="137"/>
      <c r="S95" s="138"/>
    </row>
    <row r="96" spans="1:19" ht="97.5" customHeight="1" x14ac:dyDescent="0.15">
      <c r="B96" s="133"/>
      <c r="C96" s="114" t="s">
        <v>60</v>
      </c>
      <c r="D96" s="162" t="s">
        <v>147</v>
      </c>
      <c r="E96" s="162"/>
      <c r="F96" s="162"/>
      <c r="G96" s="162"/>
      <c r="H96" s="162"/>
      <c r="I96" s="162"/>
      <c r="J96" s="162"/>
      <c r="K96" s="162"/>
      <c r="L96" s="162"/>
      <c r="M96" s="162"/>
      <c r="N96" s="162"/>
      <c r="O96" s="162"/>
      <c r="P96" s="162"/>
      <c r="Q96" s="162"/>
      <c r="R96" s="162"/>
      <c r="S96" s="163"/>
    </row>
    <row r="97" spans="1:19" ht="97.5" customHeight="1" x14ac:dyDescent="0.15">
      <c r="B97" s="131" t="s">
        <v>79</v>
      </c>
      <c r="C97" s="113" t="s">
        <v>57</v>
      </c>
      <c r="D97" s="134" t="s">
        <v>148</v>
      </c>
      <c r="E97" s="119"/>
      <c r="F97" s="119"/>
      <c r="G97" s="119"/>
      <c r="H97" s="119"/>
      <c r="I97" s="119"/>
      <c r="J97" s="119"/>
      <c r="K97" s="119"/>
      <c r="L97" s="119"/>
      <c r="M97" s="119"/>
      <c r="N97" s="119"/>
      <c r="O97" s="119"/>
      <c r="P97" s="119"/>
      <c r="Q97" s="119"/>
      <c r="R97" s="119"/>
      <c r="S97" s="120"/>
    </row>
    <row r="98" spans="1:19" ht="97.5" customHeight="1" x14ac:dyDescent="0.15">
      <c r="B98" s="132"/>
      <c r="C98" s="116" t="s">
        <v>75</v>
      </c>
      <c r="D98" s="165" t="s">
        <v>181</v>
      </c>
      <c r="E98" s="166"/>
      <c r="F98" s="166"/>
      <c r="G98" s="166"/>
      <c r="H98" s="166"/>
      <c r="I98" s="166"/>
      <c r="J98" s="166"/>
      <c r="K98" s="166"/>
      <c r="L98" s="166"/>
      <c r="M98" s="166"/>
      <c r="N98" s="166"/>
      <c r="O98" s="166"/>
      <c r="P98" s="166"/>
      <c r="Q98" s="166"/>
      <c r="R98" s="166"/>
      <c r="S98" s="167"/>
    </row>
    <row r="99" spans="1:19" ht="97.5" customHeight="1" x14ac:dyDescent="0.15">
      <c r="B99" s="133"/>
      <c r="C99" s="115" t="s">
        <v>76</v>
      </c>
      <c r="D99" s="135" t="s">
        <v>149</v>
      </c>
      <c r="E99" s="135"/>
      <c r="F99" s="135"/>
      <c r="G99" s="135"/>
      <c r="H99" s="135"/>
      <c r="I99" s="135"/>
      <c r="J99" s="135"/>
      <c r="K99" s="135"/>
      <c r="L99" s="135"/>
      <c r="M99" s="135"/>
      <c r="N99" s="135"/>
      <c r="O99" s="135"/>
      <c r="P99" s="135"/>
      <c r="Q99" s="135"/>
      <c r="R99" s="135"/>
      <c r="S99" s="136"/>
    </row>
    <row r="100" spans="1:19" ht="6" customHeight="1" x14ac:dyDescent="0.15"/>
    <row r="101" spans="1:19" ht="18.75" customHeight="1" x14ac:dyDescent="0.15">
      <c r="A101" s="91" t="s">
        <v>120</v>
      </c>
    </row>
    <row r="102" spans="1:19" ht="81.75" customHeight="1" x14ac:dyDescent="0.15">
      <c r="B102" s="150" t="s">
        <v>150</v>
      </c>
      <c r="C102" s="151"/>
      <c r="D102" s="151"/>
      <c r="E102" s="151"/>
      <c r="F102" s="151"/>
      <c r="G102" s="151"/>
      <c r="H102" s="151"/>
      <c r="I102" s="151"/>
      <c r="J102" s="151"/>
      <c r="K102" s="151"/>
      <c r="L102" s="151"/>
      <c r="M102" s="151"/>
      <c r="N102" s="151"/>
      <c r="O102" s="151"/>
      <c r="P102" s="151"/>
      <c r="Q102" s="151"/>
      <c r="R102" s="151"/>
      <c r="S102" s="152"/>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G25:I31 Q25:S31 P69:S75 Q36:S42 G36:I42 Q47:S53 G47:I53 Q58:S64 G58:I64 F69:I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Q83:S86 P79:P86 Q79:S80 G83:I86 F79:F86 G79:I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zoomScaleNormal="100" zoomScaleSheetLayoutView="100" workbookViewId="0">
      <selection activeCell="B9" sqref="B9:S10"/>
    </sheetView>
  </sheetViews>
  <sheetFormatPr defaultColWidth="9" defaultRowHeight="18.75" customHeight="1" x14ac:dyDescent="0.15"/>
  <cols>
    <col min="1" max="1" width="2.5" style="88" customWidth="1"/>
    <col min="2" max="2" width="16.5" style="88" customWidth="1"/>
    <col min="3" max="19" width="5.625" style="88" customWidth="1"/>
    <col min="20" max="20" width="9" style="88"/>
    <col min="21" max="21" width="3.625" style="88" customWidth="1"/>
    <col min="22" max="22" width="48.625" style="88" hidden="1" customWidth="1"/>
    <col min="23" max="16384" width="9" style="88"/>
  </cols>
  <sheetData>
    <row r="1" spans="1:22" ht="18.600000000000001" customHeight="1" x14ac:dyDescent="0.15">
      <c r="R1" s="209" t="s">
        <v>183</v>
      </c>
      <c r="S1" s="209"/>
      <c r="T1" s="2" t="s">
        <v>109</v>
      </c>
    </row>
    <row r="2" spans="1:22" ht="18.75" customHeight="1" x14ac:dyDescent="0.15">
      <c r="B2" s="87" t="s">
        <v>108</v>
      </c>
      <c r="C2" s="206" t="s">
        <v>126</v>
      </c>
      <c r="D2" s="207"/>
      <c r="E2" s="207"/>
      <c r="F2" s="207"/>
      <c r="G2" s="207"/>
      <c r="H2" s="207"/>
      <c r="I2" s="208"/>
      <c r="J2" s="86"/>
      <c r="K2" s="6"/>
      <c r="L2" s="6"/>
      <c r="M2" s="6"/>
      <c r="N2" s="6"/>
      <c r="O2" s="6"/>
      <c r="P2" s="6"/>
      <c r="Q2" s="6"/>
      <c r="R2" s="6"/>
      <c r="S2" s="6"/>
    </row>
    <row r="3" spans="1:22" ht="18.75" customHeight="1" x14ac:dyDescent="0.15">
      <c r="B3" s="87" t="s">
        <v>102</v>
      </c>
      <c r="C3" s="206" t="s">
        <v>127</v>
      </c>
      <c r="D3" s="207"/>
      <c r="E3" s="207"/>
      <c r="F3" s="207"/>
      <c r="G3" s="207"/>
      <c r="H3" s="207"/>
      <c r="I3" s="208"/>
      <c r="J3" s="86"/>
      <c r="K3" s="6"/>
      <c r="L3" s="6"/>
      <c r="M3" s="6"/>
      <c r="N3" s="6"/>
      <c r="O3" s="6"/>
      <c r="P3" s="6"/>
      <c r="Q3" s="6"/>
      <c r="R3" s="6"/>
      <c r="S3" s="6"/>
    </row>
    <row r="4" spans="1:22" ht="15" customHeight="1" x14ac:dyDescent="0.15">
      <c r="K4" s="86"/>
      <c r="L4" s="37"/>
      <c r="M4" s="37"/>
      <c r="N4" s="37"/>
      <c r="O4" s="37"/>
      <c r="P4" s="37"/>
      <c r="Q4" s="37"/>
      <c r="R4" s="37"/>
      <c r="S4" s="37"/>
    </row>
    <row r="5" spans="1:22" ht="18" customHeight="1" x14ac:dyDescent="0.15">
      <c r="A5" s="210" t="s">
        <v>38</v>
      </c>
      <c r="B5" s="210"/>
      <c r="C5" s="210"/>
      <c r="D5" s="210"/>
      <c r="E5" s="210"/>
      <c r="F5" s="210"/>
      <c r="G5" s="210"/>
      <c r="H5" s="210"/>
      <c r="I5" s="210"/>
      <c r="J5" s="210"/>
      <c r="K5" s="210"/>
      <c r="L5" s="210"/>
      <c r="M5" s="210"/>
      <c r="N5" s="210"/>
      <c r="O5" s="210"/>
      <c r="P5" s="210"/>
      <c r="Q5" s="210"/>
      <c r="R5" s="210"/>
      <c r="S5" s="210"/>
    </row>
    <row r="6" spans="1:22" ht="15" customHeight="1" x14ac:dyDescent="0.15">
      <c r="B6" s="89"/>
      <c r="C6" s="89"/>
      <c r="D6" s="89"/>
      <c r="E6" s="89"/>
      <c r="F6" s="89"/>
      <c r="G6" s="89"/>
      <c r="H6" s="89"/>
      <c r="I6" s="89"/>
      <c r="J6" s="89"/>
      <c r="K6" s="89"/>
      <c r="L6" s="89"/>
      <c r="M6" s="89"/>
      <c r="N6" s="89"/>
      <c r="O6" s="89"/>
      <c r="P6" s="89"/>
      <c r="Q6" s="89"/>
      <c r="R6" s="89"/>
      <c r="S6" s="89"/>
    </row>
    <row r="7" spans="1:22" ht="18" customHeight="1" x14ac:dyDescent="0.15">
      <c r="A7" s="88" t="s">
        <v>124</v>
      </c>
      <c r="C7" s="89"/>
      <c r="J7" s="38" t="s">
        <v>107</v>
      </c>
      <c r="K7" s="211" t="s">
        <v>128</v>
      </c>
      <c r="L7" s="212"/>
      <c r="M7" s="212"/>
      <c r="N7" s="212"/>
      <c r="O7" s="212"/>
      <c r="P7" s="212"/>
      <c r="Q7" s="212"/>
      <c r="R7" s="212"/>
      <c r="S7" s="213"/>
    </row>
    <row r="8" spans="1:22" ht="6" customHeight="1" x14ac:dyDescent="0.15">
      <c r="B8" s="89"/>
      <c r="C8" s="89"/>
      <c r="D8" s="89"/>
      <c r="E8" s="89"/>
      <c r="F8" s="89"/>
      <c r="G8" s="89"/>
      <c r="H8" s="89"/>
      <c r="I8" s="89"/>
      <c r="J8" s="89"/>
      <c r="K8" s="10"/>
      <c r="L8" s="89"/>
      <c r="M8" s="89"/>
      <c r="N8" s="89"/>
      <c r="O8" s="89"/>
      <c r="P8" s="89"/>
      <c r="Q8" s="89"/>
      <c r="R8" s="89"/>
      <c r="S8" s="89"/>
    </row>
    <row r="9" spans="1:22" ht="18" customHeight="1" x14ac:dyDescent="0.15">
      <c r="B9" s="214" t="s">
        <v>184</v>
      </c>
      <c r="C9" s="215"/>
      <c r="D9" s="215"/>
      <c r="E9" s="215"/>
      <c r="F9" s="215"/>
      <c r="G9" s="215"/>
      <c r="H9" s="215"/>
      <c r="I9" s="215"/>
      <c r="J9" s="215"/>
      <c r="K9" s="215"/>
      <c r="L9" s="215"/>
      <c r="M9" s="215"/>
      <c r="N9" s="215"/>
      <c r="O9" s="215"/>
      <c r="P9" s="215"/>
      <c r="Q9" s="215"/>
      <c r="R9" s="215"/>
      <c r="S9" s="216"/>
    </row>
    <row r="10" spans="1:22" ht="18" customHeight="1" x14ac:dyDescent="0.15">
      <c r="B10" s="217"/>
      <c r="C10" s="218"/>
      <c r="D10" s="218"/>
      <c r="E10" s="218"/>
      <c r="F10" s="218"/>
      <c r="G10" s="218"/>
      <c r="H10" s="218"/>
      <c r="I10" s="218"/>
      <c r="J10" s="218"/>
      <c r="K10" s="218"/>
      <c r="L10" s="218"/>
      <c r="M10" s="218"/>
      <c r="N10" s="218"/>
      <c r="O10" s="218"/>
      <c r="P10" s="218"/>
      <c r="Q10" s="218"/>
      <c r="R10" s="218"/>
      <c r="S10" s="219"/>
    </row>
    <row r="11" spans="1:22" ht="6" customHeight="1" x14ac:dyDescent="0.15">
      <c r="B11" s="89"/>
      <c r="C11" s="89"/>
      <c r="D11" s="89"/>
      <c r="E11" s="89"/>
      <c r="F11" s="89"/>
      <c r="G11" s="89"/>
      <c r="H11" s="89"/>
      <c r="I11" s="89"/>
      <c r="J11" s="89"/>
      <c r="K11" s="10"/>
      <c r="L11" s="89"/>
      <c r="M11" s="89"/>
      <c r="N11" s="89"/>
      <c r="O11" s="89"/>
      <c r="P11" s="89"/>
      <c r="Q11" s="89"/>
      <c r="R11" s="89"/>
      <c r="S11" s="89"/>
    </row>
    <row r="12" spans="1:22" ht="18" customHeight="1" x14ac:dyDescent="0.15">
      <c r="A12" s="88" t="s">
        <v>111</v>
      </c>
      <c r="B12" s="89"/>
      <c r="C12" s="89"/>
      <c r="D12" s="86"/>
      <c r="E12" s="86"/>
      <c r="F12" s="86"/>
      <c r="G12" s="86"/>
      <c r="H12" s="86"/>
      <c r="I12" s="86"/>
      <c r="J12" s="86"/>
      <c r="K12" s="39"/>
      <c r="L12" s="39"/>
      <c r="M12" s="39"/>
      <c r="N12" s="39"/>
      <c r="O12" s="39"/>
      <c r="P12" s="39"/>
      <c r="Q12" s="39"/>
      <c r="R12" s="39"/>
      <c r="S12" s="39"/>
    </row>
    <row r="13" spans="1:22" ht="18" customHeight="1" x14ac:dyDescent="0.15">
      <c r="B13" s="191" t="s">
        <v>185</v>
      </c>
      <c r="C13" s="192"/>
      <c r="D13" s="192"/>
      <c r="E13" s="192"/>
      <c r="F13" s="192"/>
      <c r="G13" s="192"/>
      <c r="H13" s="192"/>
      <c r="I13" s="192"/>
      <c r="J13" s="192"/>
      <c r="K13" s="192"/>
      <c r="L13" s="192"/>
      <c r="M13" s="192"/>
      <c r="N13" s="192"/>
      <c r="O13" s="192"/>
      <c r="P13" s="192"/>
      <c r="Q13" s="192"/>
      <c r="R13" s="192"/>
      <c r="S13" s="193"/>
      <c r="V13" s="88" t="s">
        <v>103</v>
      </c>
    </row>
    <row r="14" spans="1:22" ht="18" customHeight="1" x14ac:dyDescent="0.15">
      <c r="B14" s="194"/>
      <c r="C14" s="195"/>
      <c r="D14" s="195"/>
      <c r="E14" s="195"/>
      <c r="F14" s="195"/>
      <c r="G14" s="195"/>
      <c r="H14" s="195"/>
      <c r="I14" s="195"/>
      <c r="J14" s="195"/>
      <c r="K14" s="195"/>
      <c r="L14" s="195"/>
      <c r="M14" s="195"/>
      <c r="N14" s="195"/>
      <c r="O14" s="195"/>
      <c r="P14" s="195"/>
      <c r="Q14" s="195"/>
      <c r="R14" s="195"/>
      <c r="S14" s="196"/>
      <c r="V14" s="88" t="s">
        <v>110</v>
      </c>
    </row>
    <row r="15" spans="1:22" ht="18" customHeight="1" x14ac:dyDescent="0.15">
      <c r="B15" s="194"/>
      <c r="C15" s="195"/>
      <c r="D15" s="195"/>
      <c r="E15" s="195"/>
      <c r="F15" s="195"/>
      <c r="G15" s="195"/>
      <c r="H15" s="195"/>
      <c r="I15" s="195"/>
      <c r="J15" s="195"/>
      <c r="K15" s="195"/>
      <c r="L15" s="195"/>
      <c r="M15" s="195"/>
      <c r="N15" s="195"/>
      <c r="O15" s="195"/>
      <c r="P15" s="195"/>
      <c r="Q15" s="195"/>
      <c r="R15" s="195"/>
      <c r="S15" s="196"/>
      <c r="V15" s="88" t="s">
        <v>123</v>
      </c>
    </row>
    <row r="16" spans="1:22" ht="18" customHeight="1" x14ac:dyDescent="0.15">
      <c r="B16" s="194"/>
      <c r="C16" s="195"/>
      <c r="D16" s="195"/>
      <c r="E16" s="195"/>
      <c r="F16" s="195"/>
      <c r="G16" s="195"/>
      <c r="H16" s="195"/>
      <c r="I16" s="195"/>
      <c r="J16" s="195"/>
      <c r="K16" s="195"/>
      <c r="L16" s="195"/>
      <c r="M16" s="195"/>
      <c r="N16" s="195"/>
      <c r="O16" s="195"/>
      <c r="P16" s="195"/>
      <c r="Q16" s="195"/>
      <c r="R16" s="195"/>
      <c r="S16" s="196"/>
      <c r="V16" s="88" t="s">
        <v>125</v>
      </c>
    </row>
    <row r="17" spans="1:19" ht="18" customHeight="1" x14ac:dyDescent="0.15">
      <c r="B17" s="194"/>
      <c r="C17" s="195"/>
      <c r="D17" s="195"/>
      <c r="E17" s="195"/>
      <c r="F17" s="195"/>
      <c r="G17" s="195"/>
      <c r="H17" s="195"/>
      <c r="I17" s="195"/>
      <c r="J17" s="195"/>
      <c r="K17" s="195"/>
      <c r="L17" s="195"/>
      <c r="M17" s="195"/>
      <c r="N17" s="195"/>
      <c r="O17" s="195"/>
      <c r="P17" s="195"/>
      <c r="Q17" s="195"/>
      <c r="R17" s="195"/>
      <c r="S17" s="196"/>
    </row>
    <row r="18" spans="1:19" ht="18" customHeight="1" x14ac:dyDescent="0.15">
      <c r="B18" s="197"/>
      <c r="C18" s="198"/>
      <c r="D18" s="198"/>
      <c r="E18" s="198"/>
      <c r="F18" s="198"/>
      <c r="G18" s="198"/>
      <c r="H18" s="198"/>
      <c r="I18" s="198"/>
      <c r="J18" s="198"/>
      <c r="K18" s="198"/>
      <c r="L18" s="198"/>
      <c r="M18" s="198"/>
      <c r="N18" s="198"/>
      <c r="O18" s="198"/>
      <c r="P18" s="198"/>
      <c r="Q18" s="198"/>
      <c r="R18" s="198"/>
      <c r="S18" s="199"/>
    </row>
    <row r="19" spans="1:19" ht="7.5" customHeight="1" x14ac:dyDescent="0.15">
      <c r="B19" s="89"/>
      <c r="C19" s="89"/>
      <c r="D19" s="89"/>
      <c r="E19" s="89"/>
      <c r="F19" s="89"/>
      <c r="G19" s="89"/>
      <c r="H19" s="89"/>
      <c r="I19" s="89"/>
      <c r="J19" s="89"/>
      <c r="K19" s="89"/>
      <c r="L19" s="89"/>
      <c r="M19" s="89"/>
      <c r="N19" s="89"/>
      <c r="O19" s="89"/>
      <c r="P19" s="89"/>
      <c r="Q19" s="89"/>
      <c r="R19" s="89"/>
      <c r="S19" s="89"/>
    </row>
    <row r="20" spans="1:19" ht="19.899999999999999" customHeight="1" x14ac:dyDescent="0.15">
      <c r="B20" s="88" t="s">
        <v>112</v>
      </c>
      <c r="C20" s="200">
        <v>2</v>
      </c>
      <c r="D20" s="201"/>
      <c r="E20" s="40" t="s">
        <v>95</v>
      </c>
      <c r="G20" s="10"/>
      <c r="H20" s="89"/>
      <c r="I20" s="89"/>
      <c r="J20" s="86" t="s">
        <v>121</v>
      </c>
      <c r="K20" s="202" t="s">
        <v>125</v>
      </c>
      <c r="L20" s="203"/>
      <c r="M20" s="203"/>
      <c r="N20" s="203"/>
      <c r="O20" s="203"/>
      <c r="P20" s="203"/>
      <c r="Q20" s="203"/>
      <c r="R20" s="203"/>
      <c r="S20" s="204"/>
    </row>
    <row r="21" spans="1:19" ht="7.5" customHeight="1" x14ac:dyDescent="0.15">
      <c r="B21" s="89"/>
      <c r="C21" s="89"/>
      <c r="D21" s="89"/>
      <c r="E21" s="89"/>
      <c r="F21" s="89"/>
      <c r="G21" s="89"/>
      <c r="H21" s="89"/>
      <c r="I21" s="89"/>
      <c r="J21" s="89"/>
      <c r="K21" s="89"/>
      <c r="L21" s="89"/>
      <c r="M21" s="89"/>
      <c r="N21" s="89"/>
      <c r="O21" s="89"/>
      <c r="P21" s="89"/>
      <c r="Q21" s="89"/>
      <c r="R21" s="89"/>
      <c r="S21" s="89"/>
    </row>
    <row r="22" spans="1:19" ht="18" customHeight="1" x14ac:dyDescent="0.15">
      <c r="A22" s="205" t="s">
        <v>113</v>
      </c>
      <c r="B22" s="205"/>
      <c r="C22" s="205"/>
      <c r="D22" s="205"/>
      <c r="E22" s="205"/>
      <c r="F22" s="205"/>
      <c r="G22" s="205"/>
      <c r="H22" s="205"/>
      <c r="I22" s="205"/>
      <c r="J22" s="205"/>
      <c r="K22" s="205"/>
      <c r="L22" s="205"/>
      <c r="M22" s="205"/>
      <c r="N22" s="205"/>
      <c r="O22" s="205"/>
      <c r="P22" s="205"/>
      <c r="Q22" s="205"/>
      <c r="R22" s="205"/>
      <c r="S22" s="205"/>
    </row>
    <row r="23" spans="1:19" ht="18" customHeight="1" x14ac:dyDescent="0.15">
      <c r="A23" s="205"/>
      <c r="B23" s="205"/>
      <c r="C23" s="205"/>
      <c r="D23" s="205"/>
      <c r="E23" s="205"/>
      <c r="F23" s="205"/>
      <c r="G23" s="205"/>
      <c r="H23" s="205"/>
      <c r="I23" s="205"/>
      <c r="J23" s="205"/>
      <c r="K23" s="205"/>
      <c r="L23" s="205"/>
      <c r="M23" s="205"/>
      <c r="N23" s="205"/>
      <c r="O23" s="205"/>
      <c r="P23" s="205"/>
      <c r="Q23" s="205"/>
      <c r="R23" s="205"/>
      <c r="S23" s="205"/>
    </row>
    <row r="24" spans="1:19" ht="18" customHeight="1" x14ac:dyDescent="0.15">
      <c r="B24" s="206" t="s">
        <v>53</v>
      </c>
      <c r="C24" s="207"/>
      <c r="D24" s="207"/>
      <c r="E24" s="208"/>
      <c r="F24" s="61" t="s">
        <v>80</v>
      </c>
      <c r="G24" s="60" t="s">
        <v>84</v>
      </c>
      <c r="H24" s="22" t="s">
        <v>56</v>
      </c>
      <c r="I24" s="22" t="s">
        <v>59</v>
      </c>
      <c r="J24" s="206" t="s">
        <v>53</v>
      </c>
      <c r="K24" s="207"/>
      <c r="L24" s="207"/>
      <c r="M24" s="207"/>
      <c r="N24" s="207"/>
      <c r="O24" s="208"/>
      <c r="P24" s="61" t="s">
        <v>80</v>
      </c>
      <c r="Q24" s="60" t="s">
        <v>84</v>
      </c>
      <c r="R24" s="22" t="s">
        <v>56</v>
      </c>
      <c r="S24" s="22" t="s">
        <v>59</v>
      </c>
    </row>
    <row r="25" spans="1:19" ht="18" customHeight="1" x14ac:dyDescent="0.15">
      <c r="B25" s="223" t="s">
        <v>130</v>
      </c>
      <c r="C25" s="224"/>
      <c r="D25" s="224"/>
      <c r="E25" s="225"/>
      <c r="F25" s="117">
        <v>2</v>
      </c>
      <c r="G25" s="117"/>
      <c r="H25" s="117" t="s">
        <v>131</v>
      </c>
      <c r="I25" s="117" t="s">
        <v>131</v>
      </c>
      <c r="J25" s="226"/>
      <c r="K25" s="227"/>
      <c r="L25" s="227"/>
      <c r="M25" s="227"/>
      <c r="N25" s="227"/>
      <c r="O25" s="228"/>
      <c r="P25" s="23"/>
      <c r="Q25" s="23"/>
      <c r="R25" s="23"/>
      <c r="S25" s="23"/>
    </row>
    <row r="26" spans="1:19" ht="18" customHeight="1" x14ac:dyDescent="0.15">
      <c r="B26" s="220" t="s">
        <v>152</v>
      </c>
      <c r="C26" s="221"/>
      <c r="D26" s="221"/>
      <c r="E26" s="222"/>
      <c r="F26" s="24">
        <v>2</v>
      </c>
      <c r="G26" s="24"/>
      <c r="H26" s="24" t="s">
        <v>131</v>
      </c>
      <c r="I26" s="24" t="s">
        <v>131</v>
      </c>
      <c r="J26" s="220"/>
      <c r="K26" s="221"/>
      <c r="L26" s="221"/>
      <c r="M26" s="221"/>
      <c r="N26" s="221"/>
      <c r="O26" s="222"/>
      <c r="P26" s="24"/>
      <c r="Q26" s="24"/>
      <c r="R26" s="24"/>
      <c r="S26" s="24"/>
    </row>
    <row r="27" spans="1:19" ht="18" customHeight="1" x14ac:dyDescent="0.15">
      <c r="B27" s="229" t="s">
        <v>151</v>
      </c>
      <c r="C27" s="230"/>
      <c r="D27" s="230"/>
      <c r="E27" s="231"/>
      <c r="F27" s="24">
        <v>2</v>
      </c>
      <c r="G27" s="24"/>
      <c r="H27" s="24" t="s">
        <v>131</v>
      </c>
      <c r="I27" s="24" t="s">
        <v>131</v>
      </c>
      <c r="J27" s="220"/>
      <c r="K27" s="221"/>
      <c r="L27" s="221"/>
      <c r="M27" s="221"/>
      <c r="N27" s="221"/>
      <c r="O27" s="222"/>
      <c r="P27" s="24"/>
      <c r="Q27" s="24"/>
      <c r="R27" s="24"/>
      <c r="S27" s="24"/>
    </row>
    <row r="28" spans="1:19" ht="18" customHeight="1" x14ac:dyDescent="0.15">
      <c r="B28" s="220"/>
      <c r="C28" s="221"/>
      <c r="D28" s="221"/>
      <c r="E28" s="222"/>
      <c r="F28" s="24"/>
      <c r="G28" s="24"/>
      <c r="H28" s="24"/>
      <c r="I28" s="24"/>
      <c r="J28" s="220"/>
      <c r="K28" s="221"/>
      <c r="L28" s="221"/>
      <c r="M28" s="221"/>
      <c r="N28" s="221"/>
      <c r="O28" s="222"/>
      <c r="P28" s="24"/>
      <c r="Q28" s="24"/>
      <c r="R28" s="24"/>
      <c r="S28" s="24"/>
    </row>
    <row r="29" spans="1:19" ht="18" customHeight="1" x14ac:dyDescent="0.15">
      <c r="B29" s="220"/>
      <c r="C29" s="221"/>
      <c r="D29" s="221"/>
      <c r="E29" s="222"/>
      <c r="F29" s="24"/>
      <c r="G29" s="24"/>
      <c r="H29" s="24"/>
      <c r="I29" s="24"/>
      <c r="J29" s="220"/>
      <c r="K29" s="221"/>
      <c r="L29" s="221"/>
      <c r="M29" s="221"/>
      <c r="N29" s="221"/>
      <c r="O29" s="222"/>
      <c r="P29" s="24"/>
      <c r="Q29" s="24"/>
      <c r="R29" s="24"/>
      <c r="S29" s="24"/>
    </row>
    <row r="30" spans="1:19" ht="18" customHeight="1" x14ac:dyDescent="0.15">
      <c r="A30" s="89"/>
      <c r="B30" s="220"/>
      <c r="C30" s="221"/>
      <c r="D30" s="221"/>
      <c r="E30" s="222"/>
      <c r="F30" s="24"/>
      <c r="G30" s="24"/>
      <c r="H30" s="24"/>
      <c r="I30" s="24"/>
      <c r="J30" s="220"/>
      <c r="K30" s="221"/>
      <c r="L30" s="221"/>
      <c r="M30" s="221"/>
      <c r="N30" s="221"/>
      <c r="O30" s="222"/>
      <c r="P30" s="24"/>
      <c r="Q30" s="24"/>
      <c r="R30" s="24"/>
      <c r="S30" s="24"/>
    </row>
    <row r="31" spans="1:19" ht="18" customHeight="1" x14ac:dyDescent="0.15">
      <c r="A31" s="89"/>
      <c r="B31" s="232"/>
      <c r="C31" s="233"/>
      <c r="D31" s="233"/>
      <c r="E31" s="234"/>
      <c r="F31" s="25"/>
      <c r="G31" s="25"/>
      <c r="H31" s="26"/>
      <c r="I31" s="26"/>
      <c r="J31" s="232"/>
      <c r="K31" s="233"/>
      <c r="L31" s="233"/>
      <c r="M31" s="233"/>
      <c r="N31" s="233"/>
      <c r="O31" s="234"/>
      <c r="P31" s="25"/>
      <c r="Q31" s="25"/>
      <c r="R31" s="26"/>
      <c r="S31" s="26"/>
    </row>
    <row r="32" spans="1:19" ht="7.5" customHeight="1" x14ac:dyDescent="0.15">
      <c r="A32" s="89"/>
      <c r="B32" s="6"/>
      <c r="C32" s="6"/>
      <c r="D32" s="89"/>
      <c r="E32" s="89"/>
      <c r="F32" s="89"/>
      <c r="G32" s="89"/>
      <c r="H32" s="6"/>
      <c r="I32" s="6"/>
      <c r="J32" s="6"/>
      <c r="K32" s="6"/>
      <c r="L32" s="6"/>
      <c r="M32" s="6"/>
      <c r="N32" s="6"/>
      <c r="O32" s="6"/>
      <c r="P32" s="6"/>
      <c r="Q32" s="6"/>
      <c r="R32" s="6"/>
      <c r="S32" s="89"/>
    </row>
    <row r="33" spans="1:19" ht="18" customHeight="1" x14ac:dyDescent="0.15">
      <c r="A33" s="205" t="s">
        <v>114</v>
      </c>
      <c r="B33" s="205"/>
      <c r="C33" s="205"/>
      <c r="D33" s="205"/>
      <c r="E33" s="205"/>
      <c r="F33" s="205"/>
      <c r="G33" s="205"/>
      <c r="H33" s="205"/>
      <c r="I33" s="205"/>
      <c r="J33" s="205"/>
      <c r="K33" s="205"/>
      <c r="L33" s="205"/>
      <c r="M33" s="205"/>
      <c r="N33" s="205"/>
      <c r="O33" s="205"/>
      <c r="P33" s="205"/>
      <c r="Q33" s="205"/>
      <c r="R33" s="205"/>
      <c r="S33" s="205"/>
    </row>
    <row r="34" spans="1:19" ht="18" customHeight="1" x14ac:dyDescent="0.15">
      <c r="A34" s="205"/>
      <c r="B34" s="205"/>
      <c r="C34" s="205"/>
      <c r="D34" s="205"/>
      <c r="E34" s="205"/>
      <c r="F34" s="205"/>
      <c r="G34" s="205"/>
      <c r="H34" s="205"/>
      <c r="I34" s="205"/>
      <c r="J34" s="205"/>
      <c r="K34" s="205"/>
      <c r="L34" s="205"/>
      <c r="M34" s="205"/>
      <c r="N34" s="205"/>
      <c r="O34" s="205"/>
      <c r="P34" s="205"/>
      <c r="Q34" s="205"/>
      <c r="R34" s="205"/>
      <c r="S34" s="205"/>
    </row>
    <row r="35" spans="1:19" ht="18" customHeight="1" x14ac:dyDescent="0.15">
      <c r="B35" s="206" t="s">
        <v>53</v>
      </c>
      <c r="C35" s="207"/>
      <c r="D35" s="207"/>
      <c r="E35" s="208"/>
      <c r="F35" s="61" t="s">
        <v>80</v>
      </c>
      <c r="G35" s="60" t="s">
        <v>84</v>
      </c>
      <c r="H35" s="22" t="s">
        <v>71</v>
      </c>
      <c r="I35" s="22" t="s">
        <v>72</v>
      </c>
      <c r="J35" s="206" t="s">
        <v>53</v>
      </c>
      <c r="K35" s="207"/>
      <c r="L35" s="207"/>
      <c r="M35" s="207"/>
      <c r="N35" s="207"/>
      <c r="O35" s="208"/>
      <c r="P35" s="61" t="s">
        <v>80</v>
      </c>
      <c r="Q35" s="60" t="s">
        <v>84</v>
      </c>
      <c r="R35" s="22" t="s">
        <v>71</v>
      </c>
      <c r="S35" s="22" t="s">
        <v>72</v>
      </c>
    </row>
    <row r="36" spans="1:19" ht="18" customHeight="1" x14ac:dyDescent="0.15">
      <c r="B36" s="223" t="s">
        <v>130</v>
      </c>
      <c r="C36" s="224"/>
      <c r="D36" s="224"/>
      <c r="E36" s="225"/>
      <c r="F36" s="117">
        <v>2</v>
      </c>
      <c r="G36" s="117"/>
      <c r="H36" s="117" t="s">
        <v>131</v>
      </c>
      <c r="I36" s="117" t="s">
        <v>131</v>
      </c>
      <c r="J36" s="226"/>
      <c r="K36" s="227"/>
      <c r="L36" s="227"/>
      <c r="M36" s="227"/>
      <c r="N36" s="227"/>
      <c r="O36" s="228"/>
      <c r="P36" s="23"/>
      <c r="Q36" s="23"/>
      <c r="R36" s="23"/>
      <c r="S36" s="23"/>
    </row>
    <row r="37" spans="1:19" ht="18" customHeight="1" x14ac:dyDescent="0.15">
      <c r="B37" s="220" t="s">
        <v>152</v>
      </c>
      <c r="C37" s="221"/>
      <c r="D37" s="221"/>
      <c r="E37" s="222"/>
      <c r="F37" s="24">
        <v>2</v>
      </c>
      <c r="G37" s="24"/>
      <c r="H37" s="24" t="s">
        <v>131</v>
      </c>
      <c r="I37" s="24"/>
      <c r="J37" s="220"/>
      <c r="K37" s="221"/>
      <c r="L37" s="221"/>
      <c r="M37" s="221"/>
      <c r="N37" s="221"/>
      <c r="O37" s="222"/>
      <c r="P37" s="24"/>
      <c r="Q37" s="24"/>
      <c r="R37" s="24"/>
      <c r="S37" s="24"/>
    </row>
    <row r="38" spans="1:19" ht="18" customHeight="1" x14ac:dyDescent="0.15">
      <c r="B38" s="229" t="s">
        <v>151</v>
      </c>
      <c r="C38" s="230"/>
      <c r="D38" s="230"/>
      <c r="E38" s="231"/>
      <c r="F38" s="24">
        <v>2</v>
      </c>
      <c r="G38" s="24"/>
      <c r="H38" s="24" t="s">
        <v>131</v>
      </c>
      <c r="I38" s="24" t="s">
        <v>131</v>
      </c>
      <c r="J38" s="220"/>
      <c r="K38" s="221"/>
      <c r="L38" s="221"/>
      <c r="M38" s="221"/>
      <c r="N38" s="221"/>
      <c r="O38" s="222"/>
      <c r="P38" s="24"/>
      <c r="Q38" s="24"/>
      <c r="R38" s="24"/>
      <c r="S38" s="24"/>
    </row>
    <row r="39" spans="1:19" ht="18" customHeight="1" x14ac:dyDescent="0.15">
      <c r="B39" s="220"/>
      <c r="C39" s="221"/>
      <c r="D39" s="221"/>
      <c r="E39" s="222"/>
      <c r="F39" s="24"/>
      <c r="G39" s="24"/>
      <c r="H39" s="24"/>
      <c r="I39" s="24"/>
      <c r="J39" s="220"/>
      <c r="K39" s="221"/>
      <c r="L39" s="221"/>
      <c r="M39" s="221"/>
      <c r="N39" s="221"/>
      <c r="O39" s="222"/>
      <c r="P39" s="24"/>
      <c r="Q39" s="24"/>
      <c r="R39" s="24"/>
      <c r="S39" s="24"/>
    </row>
    <row r="40" spans="1:19" ht="18" customHeight="1" x14ac:dyDescent="0.15">
      <c r="B40" s="220"/>
      <c r="C40" s="221"/>
      <c r="D40" s="221"/>
      <c r="E40" s="222"/>
      <c r="F40" s="24"/>
      <c r="G40" s="24"/>
      <c r="H40" s="24"/>
      <c r="I40" s="24"/>
      <c r="J40" s="220"/>
      <c r="K40" s="221"/>
      <c r="L40" s="221"/>
      <c r="M40" s="221"/>
      <c r="N40" s="221"/>
      <c r="O40" s="222"/>
      <c r="P40" s="24"/>
      <c r="Q40" s="24"/>
      <c r="R40" s="24"/>
      <c r="S40" s="24"/>
    </row>
    <row r="41" spans="1:19" ht="18" customHeight="1" x14ac:dyDescent="0.15">
      <c r="B41" s="220"/>
      <c r="C41" s="221"/>
      <c r="D41" s="221"/>
      <c r="E41" s="222"/>
      <c r="F41" s="24"/>
      <c r="G41" s="24"/>
      <c r="H41" s="24"/>
      <c r="I41" s="24"/>
      <c r="J41" s="220"/>
      <c r="K41" s="221"/>
      <c r="L41" s="221"/>
      <c r="M41" s="221"/>
      <c r="N41" s="221"/>
      <c r="O41" s="222"/>
      <c r="P41" s="24"/>
      <c r="Q41" s="24"/>
      <c r="R41" s="24"/>
      <c r="S41" s="24"/>
    </row>
    <row r="42" spans="1:19" ht="18" customHeight="1" x14ac:dyDescent="0.15">
      <c r="B42" s="232"/>
      <c r="C42" s="233"/>
      <c r="D42" s="233"/>
      <c r="E42" s="234"/>
      <c r="F42" s="25"/>
      <c r="G42" s="25"/>
      <c r="H42" s="26"/>
      <c r="I42" s="26"/>
      <c r="J42" s="232"/>
      <c r="K42" s="233"/>
      <c r="L42" s="233"/>
      <c r="M42" s="233"/>
      <c r="N42" s="233"/>
      <c r="O42" s="234"/>
      <c r="P42" s="25"/>
      <c r="Q42" s="25"/>
      <c r="R42" s="26"/>
      <c r="S42" s="26"/>
    </row>
    <row r="43" spans="1:19" ht="7.5" customHeight="1" x14ac:dyDescent="0.15">
      <c r="A43" s="89"/>
      <c r="B43" s="6"/>
      <c r="C43" s="6"/>
      <c r="D43" s="89"/>
      <c r="E43" s="89"/>
      <c r="F43" s="89"/>
      <c r="G43" s="89"/>
      <c r="H43" s="6"/>
      <c r="I43" s="6"/>
      <c r="J43" s="6"/>
      <c r="K43" s="6"/>
      <c r="L43" s="6"/>
      <c r="M43" s="6"/>
      <c r="N43" s="6"/>
      <c r="O43" s="6"/>
      <c r="P43" s="6"/>
      <c r="Q43" s="6"/>
      <c r="R43" s="6"/>
      <c r="S43" s="89"/>
    </row>
    <row r="44" spans="1:19" ht="18" customHeight="1" x14ac:dyDescent="0.15">
      <c r="A44" s="205" t="s">
        <v>115</v>
      </c>
      <c r="B44" s="205"/>
      <c r="C44" s="205"/>
      <c r="D44" s="205"/>
      <c r="E44" s="205"/>
      <c r="F44" s="205"/>
      <c r="G44" s="205"/>
      <c r="H44" s="205"/>
      <c r="I44" s="205"/>
      <c r="J44" s="205"/>
      <c r="K44" s="205"/>
      <c r="L44" s="205"/>
      <c r="M44" s="205"/>
      <c r="N44" s="205"/>
      <c r="O44" s="205"/>
      <c r="P44" s="205"/>
      <c r="Q44" s="205"/>
      <c r="R44" s="205"/>
      <c r="S44" s="205"/>
    </row>
    <row r="45" spans="1:19" ht="18" customHeight="1" x14ac:dyDescent="0.15">
      <c r="A45" s="205"/>
      <c r="B45" s="205"/>
      <c r="C45" s="205"/>
      <c r="D45" s="205"/>
      <c r="E45" s="205"/>
      <c r="F45" s="205"/>
      <c r="G45" s="205"/>
      <c r="H45" s="205"/>
      <c r="I45" s="205"/>
      <c r="J45" s="205"/>
      <c r="K45" s="205"/>
      <c r="L45" s="205"/>
      <c r="M45" s="205"/>
      <c r="N45" s="205"/>
      <c r="O45" s="205"/>
      <c r="P45" s="205"/>
      <c r="Q45" s="205"/>
      <c r="R45" s="205"/>
      <c r="S45" s="205"/>
    </row>
    <row r="46" spans="1:19" ht="18" customHeight="1" x14ac:dyDescent="0.15">
      <c r="B46" s="206" t="s">
        <v>53</v>
      </c>
      <c r="C46" s="207"/>
      <c r="D46" s="207"/>
      <c r="E46" s="208"/>
      <c r="F46" s="61" t="s">
        <v>80</v>
      </c>
      <c r="G46" s="60" t="s">
        <v>84</v>
      </c>
      <c r="H46" s="22" t="s">
        <v>73</v>
      </c>
      <c r="I46" s="22" t="s">
        <v>74</v>
      </c>
      <c r="J46" s="206" t="s">
        <v>53</v>
      </c>
      <c r="K46" s="207"/>
      <c r="L46" s="207"/>
      <c r="M46" s="207"/>
      <c r="N46" s="207"/>
      <c r="O46" s="208"/>
      <c r="P46" s="61" t="s">
        <v>80</v>
      </c>
      <c r="Q46" s="60" t="s">
        <v>84</v>
      </c>
      <c r="R46" s="22" t="s">
        <v>73</v>
      </c>
      <c r="S46" s="22" t="s">
        <v>74</v>
      </c>
    </row>
    <row r="47" spans="1:19" ht="18" customHeight="1" x14ac:dyDescent="0.15">
      <c r="A47" s="89"/>
      <c r="B47" s="223" t="s">
        <v>130</v>
      </c>
      <c r="C47" s="224"/>
      <c r="D47" s="224"/>
      <c r="E47" s="225"/>
      <c r="F47" s="117">
        <v>2</v>
      </c>
      <c r="G47" s="117"/>
      <c r="H47" s="117" t="s">
        <v>131</v>
      </c>
      <c r="I47" s="117" t="s">
        <v>131</v>
      </c>
      <c r="J47" s="226"/>
      <c r="K47" s="227"/>
      <c r="L47" s="227"/>
      <c r="M47" s="227"/>
      <c r="N47" s="227"/>
      <c r="O47" s="228"/>
      <c r="P47" s="23"/>
      <c r="Q47" s="23"/>
      <c r="R47" s="23"/>
      <c r="S47" s="23"/>
    </row>
    <row r="48" spans="1:19" ht="18" customHeight="1" x14ac:dyDescent="0.15">
      <c r="A48" s="89"/>
      <c r="B48" s="220" t="s">
        <v>152</v>
      </c>
      <c r="C48" s="221"/>
      <c r="D48" s="221"/>
      <c r="E48" s="222"/>
      <c r="F48" s="24">
        <v>2</v>
      </c>
      <c r="G48" s="24"/>
      <c r="H48" s="24"/>
      <c r="I48" s="24" t="s">
        <v>131</v>
      </c>
      <c r="J48" s="220"/>
      <c r="K48" s="221"/>
      <c r="L48" s="221"/>
      <c r="M48" s="221"/>
      <c r="N48" s="221"/>
      <c r="O48" s="222"/>
      <c r="P48" s="24"/>
      <c r="Q48" s="24"/>
      <c r="R48" s="24"/>
      <c r="S48" s="24"/>
    </row>
    <row r="49" spans="1:19" ht="18" customHeight="1" x14ac:dyDescent="0.15">
      <c r="A49" s="89"/>
      <c r="B49" s="229" t="s">
        <v>151</v>
      </c>
      <c r="C49" s="230"/>
      <c r="D49" s="230"/>
      <c r="E49" s="231"/>
      <c r="F49" s="24">
        <v>2</v>
      </c>
      <c r="G49" s="24"/>
      <c r="H49" s="24" t="s">
        <v>131</v>
      </c>
      <c r="I49" s="24"/>
      <c r="J49" s="220"/>
      <c r="K49" s="221"/>
      <c r="L49" s="221"/>
      <c r="M49" s="221"/>
      <c r="N49" s="221"/>
      <c r="O49" s="222"/>
      <c r="P49" s="24"/>
      <c r="Q49" s="24"/>
      <c r="R49" s="24"/>
      <c r="S49" s="24"/>
    </row>
    <row r="50" spans="1:19" ht="18" customHeight="1" x14ac:dyDescent="0.15">
      <c r="A50" s="89"/>
      <c r="B50" s="220"/>
      <c r="C50" s="221"/>
      <c r="D50" s="221"/>
      <c r="E50" s="222"/>
      <c r="F50" s="24"/>
      <c r="G50" s="24"/>
      <c r="H50" s="24"/>
      <c r="I50" s="24"/>
      <c r="J50" s="220"/>
      <c r="K50" s="221"/>
      <c r="L50" s="221"/>
      <c r="M50" s="221"/>
      <c r="N50" s="221"/>
      <c r="O50" s="222"/>
      <c r="P50" s="24"/>
      <c r="Q50" s="24"/>
      <c r="R50" s="24"/>
      <c r="S50" s="24"/>
    </row>
    <row r="51" spans="1:19" ht="18" customHeight="1" x14ac:dyDescent="0.15">
      <c r="A51" s="89"/>
      <c r="B51" s="220"/>
      <c r="C51" s="221"/>
      <c r="D51" s="221"/>
      <c r="E51" s="222"/>
      <c r="F51" s="24"/>
      <c r="G51" s="24"/>
      <c r="H51" s="24"/>
      <c r="I51" s="24"/>
      <c r="J51" s="220"/>
      <c r="K51" s="221"/>
      <c r="L51" s="221"/>
      <c r="M51" s="221"/>
      <c r="N51" s="221"/>
      <c r="O51" s="222"/>
      <c r="P51" s="24"/>
      <c r="Q51" s="24"/>
      <c r="R51" s="24"/>
      <c r="S51" s="24"/>
    </row>
    <row r="52" spans="1:19" ht="18" customHeight="1" x14ac:dyDescent="0.15">
      <c r="A52" s="89"/>
      <c r="B52" s="220"/>
      <c r="C52" s="221"/>
      <c r="D52" s="221"/>
      <c r="E52" s="222"/>
      <c r="F52" s="24"/>
      <c r="G52" s="24"/>
      <c r="H52" s="24"/>
      <c r="I52" s="24"/>
      <c r="J52" s="220"/>
      <c r="K52" s="221"/>
      <c r="L52" s="221"/>
      <c r="M52" s="221"/>
      <c r="N52" s="221"/>
      <c r="O52" s="222"/>
      <c r="P52" s="24"/>
      <c r="Q52" s="24"/>
      <c r="R52" s="24"/>
      <c r="S52" s="24"/>
    </row>
    <row r="53" spans="1:19" ht="18" customHeight="1" x14ac:dyDescent="0.15">
      <c r="A53" s="89"/>
      <c r="B53" s="232"/>
      <c r="C53" s="233"/>
      <c r="D53" s="233"/>
      <c r="E53" s="234"/>
      <c r="F53" s="25"/>
      <c r="G53" s="25"/>
      <c r="H53" s="26"/>
      <c r="I53" s="26"/>
      <c r="J53" s="232"/>
      <c r="K53" s="233"/>
      <c r="L53" s="233"/>
      <c r="M53" s="233"/>
      <c r="N53" s="233"/>
      <c r="O53" s="234"/>
      <c r="P53" s="25"/>
      <c r="Q53" s="25"/>
      <c r="R53" s="26"/>
      <c r="S53" s="26"/>
    </row>
    <row r="54" spans="1:19" ht="7.5" customHeight="1" x14ac:dyDescent="0.15">
      <c r="B54" s="90"/>
      <c r="C54" s="90"/>
      <c r="D54" s="90"/>
      <c r="E54" s="90"/>
      <c r="F54" s="90"/>
      <c r="G54" s="90"/>
      <c r="H54" s="90"/>
      <c r="I54" s="90"/>
      <c r="J54" s="90"/>
      <c r="K54" s="90"/>
      <c r="L54" s="90"/>
      <c r="M54" s="90"/>
      <c r="N54" s="90"/>
      <c r="O54" s="90"/>
      <c r="P54" s="90"/>
      <c r="Q54" s="90"/>
      <c r="R54" s="90"/>
    </row>
    <row r="55" spans="1:19" ht="18" customHeight="1" x14ac:dyDescent="0.15">
      <c r="A55" s="205" t="s">
        <v>116</v>
      </c>
      <c r="B55" s="205"/>
      <c r="C55" s="205"/>
      <c r="D55" s="205"/>
      <c r="E55" s="205"/>
      <c r="F55" s="205"/>
      <c r="G55" s="205"/>
      <c r="H55" s="205"/>
      <c r="I55" s="205"/>
      <c r="J55" s="205"/>
      <c r="K55" s="205"/>
      <c r="L55" s="205"/>
      <c r="M55" s="205"/>
      <c r="N55" s="205"/>
      <c r="O55" s="205"/>
      <c r="P55" s="205"/>
      <c r="Q55" s="205"/>
      <c r="R55" s="205"/>
      <c r="S55" s="205"/>
    </row>
    <row r="56" spans="1:19" ht="18" customHeight="1" x14ac:dyDescent="0.15">
      <c r="A56" s="205"/>
      <c r="B56" s="205"/>
      <c r="C56" s="205"/>
      <c r="D56" s="205"/>
      <c r="E56" s="205"/>
      <c r="F56" s="205"/>
      <c r="G56" s="205"/>
      <c r="H56" s="205"/>
      <c r="I56" s="205"/>
      <c r="J56" s="205"/>
      <c r="K56" s="205"/>
      <c r="L56" s="205"/>
      <c r="M56" s="205"/>
      <c r="N56" s="205"/>
      <c r="O56" s="205"/>
      <c r="P56" s="205"/>
      <c r="Q56" s="205"/>
      <c r="R56" s="205"/>
      <c r="S56" s="205"/>
    </row>
    <row r="57" spans="1:19" ht="18" customHeight="1" x14ac:dyDescent="0.15">
      <c r="B57" s="206" t="s">
        <v>53</v>
      </c>
      <c r="C57" s="207"/>
      <c r="D57" s="207"/>
      <c r="E57" s="208"/>
      <c r="F57" s="61" t="s">
        <v>80</v>
      </c>
      <c r="G57" s="60" t="s">
        <v>84</v>
      </c>
      <c r="H57" s="22" t="s">
        <v>58</v>
      </c>
      <c r="I57" s="22" t="s">
        <v>60</v>
      </c>
      <c r="J57" s="206" t="s">
        <v>53</v>
      </c>
      <c r="K57" s="207"/>
      <c r="L57" s="207"/>
      <c r="M57" s="207"/>
      <c r="N57" s="207"/>
      <c r="O57" s="208"/>
      <c r="P57" s="61" t="s">
        <v>80</v>
      </c>
      <c r="Q57" s="60" t="s">
        <v>84</v>
      </c>
      <c r="R57" s="22" t="s">
        <v>58</v>
      </c>
      <c r="S57" s="22" t="s">
        <v>60</v>
      </c>
    </row>
    <row r="58" spans="1:19" ht="18" customHeight="1" x14ac:dyDescent="0.15">
      <c r="A58" s="89"/>
      <c r="B58" s="223" t="s">
        <v>130</v>
      </c>
      <c r="C58" s="224"/>
      <c r="D58" s="224"/>
      <c r="E58" s="225"/>
      <c r="F58" s="117">
        <v>2</v>
      </c>
      <c r="G58" s="117"/>
      <c r="H58" s="117" t="s">
        <v>131</v>
      </c>
      <c r="I58" s="117" t="s">
        <v>131</v>
      </c>
      <c r="J58" s="226"/>
      <c r="K58" s="227"/>
      <c r="L58" s="227"/>
      <c r="M58" s="227"/>
      <c r="N58" s="227"/>
      <c r="O58" s="228"/>
      <c r="P58" s="23"/>
      <c r="Q58" s="23"/>
      <c r="R58" s="23"/>
      <c r="S58" s="23"/>
    </row>
    <row r="59" spans="1:19" ht="18" customHeight="1" x14ac:dyDescent="0.15">
      <c r="A59" s="89"/>
      <c r="B59" s="220" t="s">
        <v>152</v>
      </c>
      <c r="C59" s="221"/>
      <c r="D59" s="221"/>
      <c r="E59" s="222"/>
      <c r="F59" s="24">
        <v>2</v>
      </c>
      <c r="G59" s="24"/>
      <c r="H59" s="24" t="s">
        <v>131</v>
      </c>
      <c r="I59" s="24" t="s">
        <v>131</v>
      </c>
      <c r="J59" s="220"/>
      <c r="K59" s="221"/>
      <c r="L59" s="221"/>
      <c r="M59" s="221"/>
      <c r="N59" s="221"/>
      <c r="O59" s="222"/>
      <c r="P59" s="24"/>
      <c r="Q59" s="24"/>
      <c r="R59" s="24"/>
      <c r="S59" s="24"/>
    </row>
    <row r="60" spans="1:19" ht="18" customHeight="1" x14ac:dyDescent="0.15">
      <c r="A60" s="89"/>
      <c r="B60" s="229" t="s">
        <v>151</v>
      </c>
      <c r="C60" s="230"/>
      <c r="D60" s="230"/>
      <c r="E60" s="231"/>
      <c r="F60" s="24">
        <v>2</v>
      </c>
      <c r="G60" s="24"/>
      <c r="H60" s="24" t="s">
        <v>131</v>
      </c>
      <c r="I60" s="24" t="s">
        <v>131</v>
      </c>
      <c r="J60" s="220"/>
      <c r="K60" s="221"/>
      <c r="L60" s="221"/>
      <c r="M60" s="221"/>
      <c r="N60" s="221"/>
      <c r="O60" s="222"/>
      <c r="P60" s="24"/>
      <c r="Q60" s="24"/>
      <c r="R60" s="24"/>
      <c r="S60" s="24"/>
    </row>
    <row r="61" spans="1:19" ht="18" customHeight="1" x14ac:dyDescent="0.15">
      <c r="A61" s="89"/>
      <c r="B61" s="220"/>
      <c r="C61" s="221"/>
      <c r="D61" s="221"/>
      <c r="E61" s="222"/>
      <c r="F61" s="24"/>
      <c r="G61" s="24"/>
      <c r="H61" s="24"/>
      <c r="I61" s="24"/>
      <c r="J61" s="220"/>
      <c r="K61" s="221"/>
      <c r="L61" s="221"/>
      <c r="M61" s="221"/>
      <c r="N61" s="221"/>
      <c r="O61" s="222"/>
      <c r="P61" s="24"/>
      <c r="Q61" s="24"/>
      <c r="R61" s="24"/>
      <c r="S61" s="24"/>
    </row>
    <row r="62" spans="1:19" ht="18" customHeight="1" x14ac:dyDescent="0.15">
      <c r="A62" s="89"/>
      <c r="B62" s="220"/>
      <c r="C62" s="221"/>
      <c r="D62" s="221"/>
      <c r="E62" s="222"/>
      <c r="F62" s="24"/>
      <c r="G62" s="24"/>
      <c r="H62" s="24"/>
      <c r="I62" s="24"/>
      <c r="J62" s="220"/>
      <c r="K62" s="221"/>
      <c r="L62" s="221"/>
      <c r="M62" s="221"/>
      <c r="N62" s="221"/>
      <c r="O62" s="222"/>
      <c r="P62" s="24"/>
      <c r="Q62" s="24"/>
      <c r="R62" s="24"/>
      <c r="S62" s="24"/>
    </row>
    <row r="63" spans="1:19" ht="18" customHeight="1" x14ac:dyDescent="0.15">
      <c r="A63" s="89"/>
      <c r="B63" s="220"/>
      <c r="C63" s="221"/>
      <c r="D63" s="221"/>
      <c r="E63" s="222"/>
      <c r="F63" s="24"/>
      <c r="G63" s="24"/>
      <c r="H63" s="24"/>
      <c r="I63" s="24"/>
      <c r="J63" s="220"/>
      <c r="K63" s="221"/>
      <c r="L63" s="221"/>
      <c r="M63" s="221"/>
      <c r="N63" s="221"/>
      <c r="O63" s="222"/>
      <c r="P63" s="24"/>
      <c r="Q63" s="24"/>
      <c r="R63" s="24"/>
      <c r="S63" s="24"/>
    </row>
    <row r="64" spans="1:19" ht="18" customHeight="1" x14ac:dyDescent="0.15">
      <c r="A64" s="89"/>
      <c r="B64" s="232"/>
      <c r="C64" s="233"/>
      <c r="D64" s="233"/>
      <c r="E64" s="234"/>
      <c r="F64" s="25"/>
      <c r="G64" s="25"/>
      <c r="H64" s="26"/>
      <c r="I64" s="26"/>
      <c r="J64" s="232"/>
      <c r="K64" s="233"/>
      <c r="L64" s="233"/>
      <c r="M64" s="233"/>
      <c r="N64" s="233"/>
      <c r="O64" s="234"/>
      <c r="P64" s="25"/>
      <c r="Q64" s="25"/>
      <c r="R64" s="26"/>
      <c r="S64" s="26"/>
    </row>
    <row r="65" spans="1:19" ht="7.5" customHeight="1" x14ac:dyDescent="0.15">
      <c r="B65" s="90"/>
      <c r="C65" s="90"/>
      <c r="D65" s="90"/>
      <c r="E65" s="90"/>
      <c r="F65" s="90"/>
      <c r="G65" s="90"/>
      <c r="H65" s="90"/>
      <c r="I65" s="90"/>
      <c r="J65" s="90"/>
      <c r="K65" s="90"/>
      <c r="L65" s="90"/>
      <c r="M65" s="90"/>
      <c r="N65" s="90"/>
      <c r="O65" s="90"/>
      <c r="P65" s="90"/>
      <c r="Q65" s="90"/>
      <c r="R65" s="90"/>
    </row>
    <row r="66" spans="1:19" ht="18" customHeight="1" x14ac:dyDescent="0.15">
      <c r="A66" s="205" t="s">
        <v>117</v>
      </c>
      <c r="B66" s="205"/>
      <c r="C66" s="205"/>
      <c r="D66" s="205"/>
      <c r="E66" s="205"/>
      <c r="F66" s="205"/>
      <c r="G66" s="205"/>
      <c r="H66" s="205"/>
      <c r="I66" s="205"/>
      <c r="J66" s="205"/>
      <c r="K66" s="205"/>
      <c r="L66" s="205"/>
      <c r="M66" s="205"/>
      <c r="N66" s="205"/>
      <c r="O66" s="205"/>
      <c r="P66" s="205"/>
      <c r="Q66" s="205"/>
      <c r="R66" s="205"/>
      <c r="S66" s="205"/>
    </row>
    <row r="67" spans="1:19" ht="18" customHeight="1" x14ac:dyDescent="0.15">
      <c r="A67" s="205"/>
      <c r="B67" s="205"/>
      <c r="C67" s="205"/>
      <c r="D67" s="205"/>
      <c r="E67" s="205"/>
      <c r="F67" s="205"/>
      <c r="G67" s="205"/>
      <c r="H67" s="205"/>
      <c r="I67" s="205"/>
      <c r="J67" s="205"/>
      <c r="K67" s="205"/>
      <c r="L67" s="205"/>
      <c r="M67" s="205"/>
      <c r="N67" s="205"/>
      <c r="O67" s="205"/>
      <c r="P67" s="205"/>
      <c r="Q67" s="205"/>
      <c r="R67" s="205"/>
      <c r="S67" s="205"/>
    </row>
    <row r="68" spans="1:19" ht="18" customHeight="1" x14ac:dyDescent="0.15">
      <c r="B68" s="206" t="s">
        <v>53</v>
      </c>
      <c r="C68" s="207"/>
      <c r="D68" s="207"/>
      <c r="E68" s="61" t="s">
        <v>80</v>
      </c>
      <c r="F68" s="60" t="s">
        <v>84</v>
      </c>
      <c r="G68" s="22" t="s">
        <v>101</v>
      </c>
      <c r="H68" s="22" t="s">
        <v>75</v>
      </c>
      <c r="I68" s="22" t="s">
        <v>76</v>
      </c>
      <c r="J68" s="206" t="s">
        <v>53</v>
      </c>
      <c r="K68" s="207"/>
      <c r="L68" s="207"/>
      <c r="M68" s="207"/>
      <c r="N68" s="208"/>
      <c r="O68" s="61" t="s">
        <v>80</v>
      </c>
      <c r="P68" s="60" t="s">
        <v>84</v>
      </c>
      <c r="Q68" s="22" t="s">
        <v>101</v>
      </c>
      <c r="R68" s="22" t="s">
        <v>75</v>
      </c>
      <c r="S68" s="22" t="s">
        <v>76</v>
      </c>
    </row>
    <row r="69" spans="1:19" ht="18" customHeight="1" x14ac:dyDescent="0.15">
      <c r="A69" s="89"/>
      <c r="B69" s="223" t="s">
        <v>130</v>
      </c>
      <c r="C69" s="224"/>
      <c r="D69" s="225"/>
      <c r="E69" s="117">
        <v>2</v>
      </c>
      <c r="F69" s="117" t="s">
        <v>131</v>
      </c>
      <c r="G69" s="117"/>
      <c r="H69" s="117" t="s">
        <v>131</v>
      </c>
      <c r="I69" s="117" t="s">
        <v>131</v>
      </c>
      <c r="J69" s="226"/>
      <c r="K69" s="227"/>
      <c r="L69" s="227"/>
      <c r="M69" s="227"/>
      <c r="N69" s="228"/>
      <c r="O69" s="23"/>
      <c r="P69" s="23"/>
      <c r="Q69" s="23"/>
      <c r="R69" s="23"/>
      <c r="S69" s="23"/>
    </row>
    <row r="70" spans="1:19" ht="18" customHeight="1" x14ac:dyDescent="0.15">
      <c r="A70" s="89"/>
      <c r="B70" s="220" t="s">
        <v>153</v>
      </c>
      <c r="C70" s="221"/>
      <c r="D70" s="222"/>
      <c r="E70" s="24">
        <v>2</v>
      </c>
      <c r="F70" s="24" t="s">
        <v>131</v>
      </c>
      <c r="G70" s="24"/>
      <c r="H70" s="24" t="s">
        <v>131</v>
      </c>
      <c r="I70" s="24" t="s">
        <v>131</v>
      </c>
      <c r="J70" s="220"/>
      <c r="K70" s="221"/>
      <c r="L70" s="221"/>
      <c r="M70" s="221"/>
      <c r="N70" s="222"/>
      <c r="O70" s="24"/>
      <c r="P70" s="24"/>
      <c r="Q70" s="24"/>
      <c r="R70" s="24"/>
      <c r="S70" s="24"/>
    </row>
    <row r="71" spans="1:19" ht="18" customHeight="1" x14ac:dyDescent="0.15">
      <c r="A71" s="89"/>
      <c r="B71" s="220"/>
      <c r="C71" s="221"/>
      <c r="D71" s="221"/>
      <c r="E71" s="24"/>
      <c r="F71" s="24"/>
      <c r="G71" s="24"/>
      <c r="H71" s="24"/>
      <c r="I71" s="24"/>
      <c r="J71" s="220"/>
      <c r="K71" s="221"/>
      <c r="L71" s="221"/>
      <c r="M71" s="221"/>
      <c r="N71" s="222"/>
      <c r="O71" s="24"/>
      <c r="P71" s="24"/>
      <c r="Q71" s="24"/>
      <c r="R71" s="24"/>
      <c r="S71" s="24"/>
    </row>
    <row r="72" spans="1:19" ht="18" customHeight="1" x14ac:dyDescent="0.15">
      <c r="A72" s="89"/>
      <c r="B72" s="220"/>
      <c r="C72" s="221"/>
      <c r="D72" s="221"/>
      <c r="E72" s="24"/>
      <c r="F72" s="24"/>
      <c r="G72" s="24"/>
      <c r="H72" s="24"/>
      <c r="I72" s="24"/>
      <c r="J72" s="220"/>
      <c r="K72" s="221"/>
      <c r="L72" s="221"/>
      <c r="M72" s="221"/>
      <c r="N72" s="222"/>
      <c r="O72" s="24"/>
      <c r="P72" s="24"/>
      <c r="Q72" s="24"/>
      <c r="R72" s="24"/>
      <c r="S72" s="24"/>
    </row>
    <row r="73" spans="1:19" ht="18" customHeight="1" x14ac:dyDescent="0.15">
      <c r="A73" s="89"/>
      <c r="B73" s="220"/>
      <c r="C73" s="221"/>
      <c r="D73" s="221"/>
      <c r="E73" s="24"/>
      <c r="F73" s="24"/>
      <c r="G73" s="24"/>
      <c r="H73" s="24"/>
      <c r="I73" s="24"/>
      <c r="J73" s="220"/>
      <c r="K73" s="221"/>
      <c r="L73" s="221"/>
      <c r="M73" s="221"/>
      <c r="N73" s="222"/>
      <c r="O73" s="24"/>
      <c r="P73" s="24"/>
      <c r="Q73" s="24"/>
      <c r="R73" s="24"/>
      <c r="S73" s="24"/>
    </row>
    <row r="74" spans="1:19" ht="18" customHeight="1" x14ac:dyDescent="0.15">
      <c r="A74" s="89"/>
      <c r="B74" s="220"/>
      <c r="C74" s="221"/>
      <c r="D74" s="221"/>
      <c r="E74" s="24"/>
      <c r="F74" s="24"/>
      <c r="G74" s="24"/>
      <c r="H74" s="24"/>
      <c r="I74" s="24"/>
      <c r="J74" s="220"/>
      <c r="K74" s="221"/>
      <c r="L74" s="221"/>
      <c r="M74" s="221"/>
      <c r="N74" s="222"/>
      <c r="O74" s="24"/>
      <c r="P74" s="24"/>
      <c r="Q74" s="24"/>
      <c r="R74" s="24"/>
      <c r="S74" s="24"/>
    </row>
    <row r="75" spans="1:19" ht="18" customHeight="1" x14ac:dyDescent="0.15">
      <c r="A75" s="89"/>
      <c r="B75" s="232"/>
      <c r="C75" s="233"/>
      <c r="D75" s="233"/>
      <c r="E75" s="25"/>
      <c r="F75" s="25"/>
      <c r="G75" s="26"/>
      <c r="H75" s="26"/>
      <c r="I75" s="26"/>
      <c r="J75" s="232"/>
      <c r="K75" s="233"/>
      <c r="L75" s="233"/>
      <c r="M75" s="233"/>
      <c r="N75" s="234"/>
      <c r="O75" s="25"/>
      <c r="P75" s="25"/>
      <c r="Q75" s="26"/>
      <c r="R75" s="26"/>
      <c r="S75" s="26"/>
    </row>
    <row r="76" spans="1:19" ht="7.5" customHeight="1" x14ac:dyDescent="0.15">
      <c r="B76" s="90"/>
      <c r="C76" s="90"/>
      <c r="D76" s="90"/>
      <c r="E76" s="90"/>
      <c r="F76" s="90"/>
      <c r="G76" s="90"/>
      <c r="H76" s="90"/>
      <c r="I76" s="90"/>
      <c r="J76" s="90"/>
      <c r="K76" s="90"/>
      <c r="L76" s="90"/>
      <c r="M76" s="90"/>
      <c r="N76" s="90"/>
      <c r="O76" s="90"/>
      <c r="P76" s="90"/>
      <c r="Q76" s="90"/>
      <c r="R76" s="90"/>
    </row>
    <row r="77" spans="1:19" ht="18" customHeight="1" x14ac:dyDescent="0.15">
      <c r="A77" s="88" t="s">
        <v>118</v>
      </c>
      <c r="H77" s="89"/>
      <c r="I77" s="89"/>
      <c r="J77" s="89"/>
      <c r="K77" s="89"/>
      <c r="L77" s="89"/>
      <c r="M77" s="89"/>
      <c r="N77" s="89"/>
      <c r="O77" s="89"/>
      <c r="P77" s="89"/>
      <c r="Q77" s="89"/>
      <c r="R77" s="89"/>
      <c r="S77" s="89"/>
    </row>
    <row r="78" spans="1:19" ht="18" customHeight="1" x14ac:dyDescent="0.15">
      <c r="B78" s="206" t="s">
        <v>53</v>
      </c>
      <c r="C78" s="207"/>
      <c r="D78" s="207"/>
      <c r="E78" s="208"/>
      <c r="F78" s="206" t="s">
        <v>82</v>
      </c>
      <c r="G78" s="207"/>
      <c r="H78" s="207"/>
      <c r="I78" s="208"/>
      <c r="J78" s="235" t="s">
        <v>53</v>
      </c>
      <c r="K78" s="236"/>
      <c r="L78" s="236"/>
      <c r="M78" s="236"/>
      <c r="N78" s="236"/>
      <c r="O78" s="237"/>
      <c r="P78" s="206" t="s">
        <v>82</v>
      </c>
      <c r="Q78" s="207"/>
      <c r="R78" s="207"/>
      <c r="S78" s="208"/>
    </row>
    <row r="79" spans="1:19" ht="18" customHeight="1" x14ac:dyDescent="0.15">
      <c r="A79" s="89"/>
      <c r="B79" s="223" t="s">
        <v>153</v>
      </c>
      <c r="C79" s="224"/>
      <c r="D79" s="224"/>
      <c r="E79" s="225"/>
      <c r="F79" s="238" t="s">
        <v>137</v>
      </c>
      <c r="G79" s="239"/>
      <c r="H79" s="239"/>
      <c r="I79" s="240"/>
      <c r="J79" s="226"/>
      <c r="K79" s="227"/>
      <c r="L79" s="227"/>
      <c r="M79" s="227"/>
      <c r="N79" s="227"/>
      <c r="O79" s="228"/>
      <c r="P79" s="241"/>
      <c r="Q79" s="242"/>
      <c r="R79" s="242"/>
      <c r="S79" s="243"/>
    </row>
    <row r="80" spans="1:19" ht="18" customHeight="1" x14ac:dyDescent="0.15">
      <c r="A80" s="89"/>
      <c r="B80" s="220" t="s">
        <v>133</v>
      </c>
      <c r="C80" s="221"/>
      <c r="D80" s="221"/>
      <c r="E80" s="222"/>
      <c r="F80" s="244" t="s">
        <v>134</v>
      </c>
      <c r="G80" s="245"/>
      <c r="H80" s="245"/>
      <c r="I80" s="246"/>
      <c r="J80" s="220"/>
      <c r="K80" s="221"/>
      <c r="L80" s="221"/>
      <c r="M80" s="221"/>
      <c r="N80" s="221"/>
      <c r="O80" s="222"/>
      <c r="P80" s="244"/>
      <c r="Q80" s="245"/>
      <c r="R80" s="245"/>
      <c r="S80" s="246"/>
    </row>
    <row r="81" spans="1:19" ht="18" customHeight="1" x14ac:dyDescent="0.15">
      <c r="A81" s="89"/>
      <c r="B81" s="220" t="s">
        <v>133</v>
      </c>
      <c r="C81" s="221"/>
      <c r="D81" s="221"/>
      <c r="E81" s="222"/>
      <c r="F81" s="244" t="s">
        <v>135</v>
      </c>
      <c r="G81" s="245"/>
      <c r="H81" s="245"/>
      <c r="I81" s="246"/>
      <c r="J81" s="220"/>
      <c r="K81" s="221"/>
      <c r="L81" s="221"/>
      <c r="M81" s="221"/>
      <c r="N81" s="221"/>
      <c r="O81" s="222"/>
      <c r="P81" s="244"/>
      <c r="Q81" s="245"/>
      <c r="R81" s="245"/>
      <c r="S81" s="246"/>
    </row>
    <row r="82" spans="1:19" ht="18" customHeight="1" x14ac:dyDescent="0.15">
      <c r="A82" s="89"/>
      <c r="B82" s="220" t="s">
        <v>136</v>
      </c>
      <c r="C82" s="221"/>
      <c r="D82" s="221"/>
      <c r="E82" s="222"/>
      <c r="F82" s="244" t="s">
        <v>137</v>
      </c>
      <c r="G82" s="245"/>
      <c r="H82" s="245"/>
      <c r="I82" s="246"/>
      <c r="J82" s="220"/>
      <c r="K82" s="221"/>
      <c r="L82" s="221"/>
      <c r="M82" s="221"/>
      <c r="N82" s="221"/>
      <c r="O82" s="222"/>
      <c r="P82" s="244"/>
      <c r="Q82" s="245"/>
      <c r="R82" s="245"/>
      <c r="S82" s="246"/>
    </row>
    <row r="83" spans="1:19" ht="18" customHeight="1" x14ac:dyDescent="0.15">
      <c r="A83" s="89"/>
      <c r="B83" s="220" t="s">
        <v>138</v>
      </c>
      <c r="C83" s="221"/>
      <c r="D83" s="221"/>
      <c r="E83" s="222"/>
      <c r="F83" s="244" t="s">
        <v>139</v>
      </c>
      <c r="G83" s="245"/>
      <c r="H83" s="245"/>
      <c r="I83" s="246"/>
      <c r="J83" s="220"/>
      <c r="K83" s="221"/>
      <c r="L83" s="221"/>
      <c r="M83" s="221"/>
      <c r="N83" s="221"/>
      <c r="O83" s="222"/>
      <c r="P83" s="244"/>
      <c r="Q83" s="245"/>
      <c r="R83" s="245"/>
      <c r="S83" s="246"/>
    </row>
    <row r="84" spans="1:19" ht="18" customHeight="1" x14ac:dyDescent="0.15">
      <c r="A84" s="89"/>
      <c r="B84" s="220"/>
      <c r="C84" s="221"/>
      <c r="D84" s="221"/>
      <c r="E84" s="222"/>
      <c r="F84" s="244"/>
      <c r="G84" s="245"/>
      <c r="H84" s="245"/>
      <c r="I84" s="246"/>
      <c r="J84" s="220"/>
      <c r="K84" s="221"/>
      <c r="L84" s="221"/>
      <c r="M84" s="221"/>
      <c r="N84" s="221"/>
      <c r="O84" s="222"/>
      <c r="P84" s="244"/>
      <c r="Q84" s="245"/>
      <c r="R84" s="245"/>
      <c r="S84" s="246"/>
    </row>
    <row r="85" spans="1:19" ht="18" customHeight="1" x14ac:dyDescent="0.15">
      <c r="A85" s="89"/>
      <c r="B85" s="232"/>
      <c r="C85" s="233"/>
      <c r="D85" s="233"/>
      <c r="E85" s="234"/>
      <c r="F85" s="261"/>
      <c r="G85" s="262"/>
      <c r="H85" s="262"/>
      <c r="I85" s="263"/>
      <c r="J85" s="232"/>
      <c r="K85" s="233"/>
      <c r="L85" s="233"/>
      <c r="M85" s="233"/>
      <c r="N85" s="233"/>
      <c r="O85" s="234"/>
      <c r="P85" s="261"/>
      <c r="Q85" s="262"/>
      <c r="R85" s="262"/>
      <c r="S85" s="263"/>
    </row>
    <row r="86" spans="1:19" ht="18" customHeight="1" x14ac:dyDescent="0.15">
      <c r="A86" s="89"/>
      <c r="B86" s="6"/>
      <c r="C86" s="6"/>
      <c r="D86" s="6"/>
      <c r="E86" s="6"/>
      <c r="F86" s="27"/>
      <c r="G86" s="27"/>
      <c r="H86" s="27"/>
      <c r="I86" s="27"/>
      <c r="J86" s="6"/>
      <c r="K86" s="6"/>
      <c r="L86" s="6"/>
      <c r="M86" s="6"/>
      <c r="N86" s="6"/>
      <c r="O86" s="6"/>
      <c r="P86" s="27"/>
      <c r="Q86" s="27"/>
      <c r="R86" s="27"/>
      <c r="S86" s="27"/>
    </row>
    <row r="87" spans="1:19" ht="18.75" customHeight="1" x14ac:dyDescent="0.15">
      <c r="A87" s="88" t="s">
        <v>119</v>
      </c>
    </row>
    <row r="88" spans="1:19" ht="18.75" customHeight="1" x14ac:dyDescent="0.15">
      <c r="B88" s="247" t="s">
        <v>54</v>
      </c>
      <c r="C88" s="248"/>
      <c r="D88" s="207" t="s">
        <v>55</v>
      </c>
      <c r="E88" s="207"/>
      <c r="F88" s="207"/>
      <c r="G88" s="207"/>
      <c r="H88" s="207"/>
      <c r="I88" s="207"/>
      <c r="J88" s="207"/>
      <c r="K88" s="207"/>
      <c r="L88" s="207"/>
      <c r="M88" s="207"/>
      <c r="N88" s="207"/>
      <c r="O88" s="207"/>
      <c r="P88" s="207"/>
      <c r="Q88" s="207"/>
      <c r="R88" s="207"/>
      <c r="S88" s="208"/>
    </row>
    <row r="89" spans="1:19" ht="97.5" customHeight="1" x14ac:dyDescent="0.15">
      <c r="B89" s="249" t="s">
        <v>61</v>
      </c>
      <c r="C89" s="28" t="s">
        <v>56</v>
      </c>
      <c r="D89" s="251" t="s">
        <v>186</v>
      </c>
      <c r="E89" s="251"/>
      <c r="F89" s="251"/>
      <c r="G89" s="251"/>
      <c r="H89" s="251"/>
      <c r="I89" s="251"/>
      <c r="J89" s="251"/>
      <c r="K89" s="251"/>
      <c r="L89" s="251"/>
      <c r="M89" s="251"/>
      <c r="N89" s="251"/>
      <c r="O89" s="251"/>
      <c r="P89" s="251"/>
      <c r="Q89" s="251"/>
      <c r="R89" s="251"/>
      <c r="S89" s="252"/>
    </row>
    <row r="90" spans="1:19" ht="97.5" customHeight="1" x14ac:dyDescent="0.15">
      <c r="B90" s="250"/>
      <c r="C90" s="29" t="s">
        <v>77</v>
      </c>
      <c r="D90" s="253" t="s">
        <v>187</v>
      </c>
      <c r="E90" s="253"/>
      <c r="F90" s="253"/>
      <c r="G90" s="253"/>
      <c r="H90" s="253"/>
      <c r="I90" s="253"/>
      <c r="J90" s="253"/>
      <c r="K90" s="253"/>
      <c r="L90" s="253"/>
      <c r="M90" s="253"/>
      <c r="N90" s="253"/>
      <c r="O90" s="253"/>
      <c r="P90" s="253"/>
      <c r="Q90" s="253"/>
      <c r="R90" s="253"/>
      <c r="S90" s="254"/>
    </row>
    <row r="91" spans="1:19" ht="97.5" customHeight="1" x14ac:dyDescent="0.15">
      <c r="B91" s="249" t="s">
        <v>62</v>
      </c>
      <c r="C91" s="30" t="s">
        <v>71</v>
      </c>
      <c r="D91" s="256" t="s">
        <v>188</v>
      </c>
      <c r="E91" s="257"/>
      <c r="F91" s="257"/>
      <c r="G91" s="257"/>
      <c r="H91" s="257"/>
      <c r="I91" s="257"/>
      <c r="J91" s="257"/>
      <c r="K91" s="257"/>
      <c r="L91" s="257"/>
      <c r="M91" s="257"/>
      <c r="N91" s="257"/>
      <c r="O91" s="257"/>
      <c r="P91" s="257"/>
      <c r="Q91" s="257"/>
      <c r="R91" s="257"/>
      <c r="S91" s="258"/>
    </row>
    <row r="92" spans="1:19" ht="97.5" customHeight="1" x14ac:dyDescent="0.15">
      <c r="B92" s="255"/>
      <c r="C92" s="31" t="s">
        <v>72</v>
      </c>
      <c r="D92" s="259" t="s">
        <v>189</v>
      </c>
      <c r="E92" s="259"/>
      <c r="F92" s="259"/>
      <c r="G92" s="259"/>
      <c r="H92" s="259"/>
      <c r="I92" s="259"/>
      <c r="J92" s="259"/>
      <c r="K92" s="259"/>
      <c r="L92" s="259"/>
      <c r="M92" s="259"/>
      <c r="N92" s="259"/>
      <c r="O92" s="259"/>
      <c r="P92" s="259"/>
      <c r="Q92" s="259"/>
      <c r="R92" s="259"/>
      <c r="S92" s="260"/>
    </row>
    <row r="93" spans="1:19" ht="121.5" customHeight="1" x14ac:dyDescent="0.15">
      <c r="B93" s="249" t="s">
        <v>63</v>
      </c>
      <c r="C93" s="30" t="s">
        <v>73</v>
      </c>
      <c r="D93" s="256" t="s">
        <v>190</v>
      </c>
      <c r="E93" s="257"/>
      <c r="F93" s="257"/>
      <c r="G93" s="257"/>
      <c r="H93" s="257"/>
      <c r="I93" s="257"/>
      <c r="J93" s="257"/>
      <c r="K93" s="257"/>
      <c r="L93" s="257"/>
      <c r="M93" s="257"/>
      <c r="N93" s="257"/>
      <c r="O93" s="257"/>
      <c r="P93" s="257"/>
      <c r="Q93" s="257"/>
      <c r="R93" s="257"/>
      <c r="S93" s="258"/>
    </row>
    <row r="94" spans="1:19" ht="97.5" customHeight="1" x14ac:dyDescent="0.15">
      <c r="B94" s="255"/>
      <c r="C94" s="32" t="s">
        <v>74</v>
      </c>
      <c r="D94" s="273" t="s">
        <v>191</v>
      </c>
      <c r="E94" s="273"/>
      <c r="F94" s="273"/>
      <c r="G94" s="273"/>
      <c r="H94" s="273"/>
      <c r="I94" s="273"/>
      <c r="J94" s="273"/>
      <c r="K94" s="273"/>
      <c r="L94" s="273"/>
      <c r="M94" s="273"/>
      <c r="N94" s="273"/>
      <c r="O94" s="273"/>
      <c r="P94" s="273"/>
      <c r="Q94" s="273"/>
      <c r="R94" s="273"/>
      <c r="S94" s="274"/>
    </row>
    <row r="95" spans="1:19" ht="97.5" customHeight="1" x14ac:dyDescent="0.15">
      <c r="B95" s="249" t="s">
        <v>78</v>
      </c>
      <c r="C95" s="28" t="s">
        <v>58</v>
      </c>
      <c r="D95" s="251" t="s">
        <v>192</v>
      </c>
      <c r="E95" s="251"/>
      <c r="F95" s="251"/>
      <c r="G95" s="251"/>
      <c r="H95" s="251"/>
      <c r="I95" s="251"/>
      <c r="J95" s="251"/>
      <c r="K95" s="251"/>
      <c r="L95" s="251"/>
      <c r="M95" s="251"/>
      <c r="N95" s="251"/>
      <c r="O95" s="251"/>
      <c r="P95" s="251"/>
      <c r="Q95" s="251"/>
      <c r="R95" s="251"/>
      <c r="S95" s="252"/>
    </row>
    <row r="96" spans="1:19" ht="97.5" customHeight="1" x14ac:dyDescent="0.15">
      <c r="B96" s="255"/>
      <c r="C96" s="31" t="s">
        <v>60</v>
      </c>
      <c r="D96" s="259" t="s">
        <v>193</v>
      </c>
      <c r="E96" s="259"/>
      <c r="F96" s="259"/>
      <c r="G96" s="259"/>
      <c r="H96" s="259"/>
      <c r="I96" s="259"/>
      <c r="J96" s="259"/>
      <c r="K96" s="259"/>
      <c r="L96" s="259"/>
      <c r="M96" s="259"/>
      <c r="N96" s="259"/>
      <c r="O96" s="259"/>
      <c r="P96" s="259"/>
      <c r="Q96" s="259"/>
      <c r="R96" s="259"/>
      <c r="S96" s="260"/>
    </row>
    <row r="97" spans="1:19" ht="97.5" customHeight="1" x14ac:dyDescent="0.15">
      <c r="B97" s="249" t="s">
        <v>79</v>
      </c>
      <c r="C97" s="30" t="s">
        <v>57</v>
      </c>
      <c r="D97" s="264" t="s">
        <v>194</v>
      </c>
      <c r="E97" s="227"/>
      <c r="F97" s="227"/>
      <c r="G97" s="227"/>
      <c r="H97" s="227"/>
      <c r="I97" s="227"/>
      <c r="J97" s="227"/>
      <c r="K97" s="227"/>
      <c r="L97" s="227"/>
      <c r="M97" s="227"/>
      <c r="N97" s="227"/>
      <c r="O97" s="227"/>
      <c r="P97" s="227"/>
      <c r="Q97" s="227"/>
      <c r="R97" s="227"/>
      <c r="S97" s="228"/>
    </row>
    <row r="98" spans="1:19" ht="97.5" customHeight="1" x14ac:dyDescent="0.15">
      <c r="B98" s="250"/>
      <c r="C98" s="33" t="s">
        <v>75</v>
      </c>
      <c r="D98" s="265" t="s">
        <v>195</v>
      </c>
      <c r="E98" s="266"/>
      <c r="F98" s="266"/>
      <c r="G98" s="266"/>
      <c r="H98" s="266"/>
      <c r="I98" s="266"/>
      <c r="J98" s="266"/>
      <c r="K98" s="266"/>
      <c r="L98" s="266"/>
      <c r="M98" s="266"/>
      <c r="N98" s="266"/>
      <c r="O98" s="266"/>
      <c r="P98" s="266"/>
      <c r="Q98" s="266"/>
      <c r="R98" s="266"/>
      <c r="S98" s="267"/>
    </row>
    <row r="99" spans="1:19" ht="122.25" customHeight="1" x14ac:dyDescent="0.15">
      <c r="B99" s="255"/>
      <c r="C99" s="32" t="s">
        <v>76</v>
      </c>
      <c r="D99" s="268" t="s">
        <v>196</v>
      </c>
      <c r="E99" s="268"/>
      <c r="F99" s="268"/>
      <c r="G99" s="268"/>
      <c r="H99" s="268"/>
      <c r="I99" s="268"/>
      <c r="J99" s="268"/>
      <c r="K99" s="268"/>
      <c r="L99" s="268"/>
      <c r="M99" s="268"/>
      <c r="N99" s="268"/>
      <c r="O99" s="268"/>
      <c r="P99" s="268"/>
      <c r="Q99" s="268"/>
      <c r="R99" s="268"/>
      <c r="S99" s="269"/>
    </row>
    <row r="100" spans="1:19" ht="6" customHeight="1" x14ac:dyDescent="0.15"/>
    <row r="101" spans="1:19" ht="18.75" customHeight="1" x14ac:dyDescent="0.15">
      <c r="A101" s="88" t="s">
        <v>120</v>
      </c>
    </row>
    <row r="102" spans="1:19" ht="81.75" customHeight="1" x14ac:dyDescent="0.15">
      <c r="B102" s="270" t="s">
        <v>150</v>
      </c>
      <c r="C102" s="271"/>
      <c r="D102" s="271"/>
      <c r="E102" s="271"/>
      <c r="F102" s="271"/>
      <c r="G102" s="271"/>
      <c r="H102" s="271"/>
      <c r="I102" s="271"/>
      <c r="J102" s="271"/>
      <c r="K102" s="271"/>
      <c r="L102" s="271"/>
      <c r="M102" s="271"/>
      <c r="N102" s="271"/>
      <c r="O102" s="271"/>
      <c r="P102" s="271"/>
      <c r="Q102" s="271"/>
      <c r="R102" s="271"/>
      <c r="S102" s="272"/>
    </row>
    <row r="110" spans="1:19" ht="18" customHeight="1" x14ac:dyDescent="0.15"/>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G79:I81 P79:P86 G84:I86 Q79:S80 Q83:S86 F79:F8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G36:I42 Q25:S31 P69:S75 Q36:S42 G58:I64 Q47:S53 G25:I31 Q58:S64 G47:I53 F69:I75">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C7" sqref="C7"/>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106</v>
      </c>
    </row>
    <row r="2" spans="1:45" ht="18" customHeight="1" x14ac:dyDescent="0.15">
      <c r="K2" s="35"/>
      <c r="Q2" s="35"/>
      <c r="W2" s="35"/>
      <c r="AC2" s="35"/>
      <c r="AI2" s="35"/>
      <c r="AL2" s="35" t="s">
        <v>108</v>
      </c>
      <c r="AM2" s="278" t="str">
        <f>'様式１－１　プログラムを構成する授業科目'!C2</f>
        <v>江戸川大学</v>
      </c>
      <c r="AN2" s="278"/>
      <c r="AO2" s="278"/>
      <c r="AP2" s="278"/>
      <c r="AQ2" s="278"/>
    </row>
    <row r="3" spans="1:45" ht="18" customHeight="1" x14ac:dyDescent="0.15">
      <c r="A3" s="210" t="s">
        <v>47</v>
      </c>
      <c r="B3" s="210"/>
      <c r="C3" s="210"/>
      <c r="D3" s="210"/>
      <c r="E3" s="210"/>
      <c r="F3" s="210"/>
      <c r="G3" s="210"/>
      <c r="H3" s="210"/>
      <c r="I3" s="210"/>
      <c r="J3" s="210"/>
      <c r="K3" s="210"/>
      <c r="L3" s="210"/>
      <c r="M3" s="210"/>
      <c r="N3" s="210"/>
      <c r="O3" s="210"/>
      <c r="P3" s="210"/>
      <c r="Q3" s="210"/>
      <c r="R3" s="210"/>
      <c r="S3" s="210"/>
      <c r="T3" s="210"/>
      <c r="U3" s="210"/>
      <c r="V3" s="210"/>
      <c r="W3" s="210"/>
      <c r="X3" s="210"/>
      <c r="Y3" s="210"/>
      <c r="Z3" s="210"/>
      <c r="AA3" s="210"/>
      <c r="AB3" s="210"/>
      <c r="AC3" s="210"/>
      <c r="AD3" s="210"/>
      <c r="AE3" s="210"/>
      <c r="AF3" s="210"/>
      <c r="AG3" s="210"/>
      <c r="AH3" s="210"/>
      <c r="AI3" s="210"/>
      <c r="AJ3" s="210"/>
      <c r="AK3" s="210"/>
      <c r="AL3" s="210"/>
      <c r="AM3" s="210"/>
      <c r="AN3" s="210"/>
      <c r="AO3" s="210"/>
      <c r="AP3" s="210"/>
      <c r="AQ3" s="210"/>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83</v>
      </c>
      <c r="C5" s="279" t="s">
        <v>156</v>
      </c>
      <c r="D5" s="280"/>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281" t="s">
        <v>44</v>
      </c>
      <c r="C9" s="296" t="s">
        <v>86</v>
      </c>
      <c r="D9" s="284" t="s">
        <v>46</v>
      </c>
      <c r="E9" s="287" t="s">
        <v>39</v>
      </c>
      <c r="F9" s="275" t="s">
        <v>85</v>
      </c>
      <c r="G9" s="275"/>
      <c r="H9" s="275"/>
      <c r="I9" s="275"/>
      <c r="J9" s="275"/>
      <c r="K9" s="275"/>
      <c r="L9" s="275" t="s">
        <v>48</v>
      </c>
      <c r="M9" s="275"/>
      <c r="N9" s="275"/>
      <c r="O9" s="275"/>
      <c r="P9" s="275"/>
      <c r="Q9" s="275"/>
      <c r="R9" s="275" t="s">
        <v>49</v>
      </c>
      <c r="S9" s="275"/>
      <c r="T9" s="275"/>
      <c r="U9" s="275"/>
      <c r="V9" s="275"/>
      <c r="W9" s="275"/>
      <c r="X9" s="275" t="s">
        <v>100</v>
      </c>
      <c r="Y9" s="275"/>
      <c r="Z9" s="275"/>
      <c r="AA9" s="275"/>
      <c r="AB9" s="275"/>
      <c r="AC9" s="275"/>
      <c r="AD9" s="275" t="s">
        <v>50</v>
      </c>
      <c r="AE9" s="275"/>
      <c r="AF9" s="275"/>
      <c r="AG9" s="275"/>
      <c r="AH9" s="275"/>
      <c r="AI9" s="275"/>
      <c r="AJ9" s="275" t="s">
        <v>51</v>
      </c>
      <c r="AK9" s="275"/>
      <c r="AL9" s="275"/>
      <c r="AM9" s="275"/>
      <c r="AN9" s="275"/>
      <c r="AO9" s="275"/>
      <c r="AP9" s="290" t="s">
        <v>34</v>
      </c>
      <c r="AQ9" s="293" t="s">
        <v>31</v>
      </c>
      <c r="AS9" s="2"/>
    </row>
    <row r="10" spans="1:45" ht="16.899999999999999" customHeight="1" x14ac:dyDescent="0.15">
      <c r="B10" s="282"/>
      <c r="C10" s="297"/>
      <c r="D10" s="285"/>
      <c r="E10" s="288"/>
      <c r="F10" s="276" t="s">
        <v>96</v>
      </c>
      <c r="G10" s="277"/>
      <c r="H10" s="277"/>
      <c r="I10" s="276" t="s">
        <v>28</v>
      </c>
      <c r="J10" s="277"/>
      <c r="K10" s="277"/>
      <c r="L10" s="276" t="s">
        <v>96</v>
      </c>
      <c r="M10" s="277"/>
      <c r="N10" s="277"/>
      <c r="O10" s="276" t="s">
        <v>28</v>
      </c>
      <c r="P10" s="277"/>
      <c r="Q10" s="277"/>
      <c r="R10" s="276" t="s">
        <v>96</v>
      </c>
      <c r="S10" s="277"/>
      <c r="T10" s="277"/>
      <c r="U10" s="276" t="s">
        <v>28</v>
      </c>
      <c r="V10" s="277"/>
      <c r="W10" s="277"/>
      <c r="X10" s="276" t="s">
        <v>96</v>
      </c>
      <c r="Y10" s="277"/>
      <c r="Z10" s="277"/>
      <c r="AA10" s="276" t="s">
        <v>28</v>
      </c>
      <c r="AB10" s="277"/>
      <c r="AC10" s="277"/>
      <c r="AD10" s="276" t="s">
        <v>96</v>
      </c>
      <c r="AE10" s="277"/>
      <c r="AF10" s="277"/>
      <c r="AG10" s="276" t="s">
        <v>28</v>
      </c>
      <c r="AH10" s="277"/>
      <c r="AI10" s="277"/>
      <c r="AJ10" s="276" t="s">
        <v>96</v>
      </c>
      <c r="AK10" s="277"/>
      <c r="AL10" s="277"/>
      <c r="AM10" s="276" t="s">
        <v>28</v>
      </c>
      <c r="AN10" s="277"/>
      <c r="AO10" s="277"/>
      <c r="AP10" s="291"/>
      <c r="AQ10" s="294"/>
      <c r="AS10" s="2"/>
    </row>
    <row r="11" spans="1:45" ht="18" customHeight="1" x14ac:dyDescent="0.15">
      <c r="B11" s="283"/>
      <c r="C11" s="298"/>
      <c r="D11" s="286"/>
      <c r="E11" s="289"/>
      <c r="F11" s="17" t="s">
        <v>97</v>
      </c>
      <c r="G11" s="18" t="s">
        <v>98</v>
      </c>
      <c r="H11" s="19" t="s">
        <v>99</v>
      </c>
      <c r="I11" s="17" t="s">
        <v>97</v>
      </c>
      <c r="J11" s="18" t="s">
        <v>98</v>
      </c>
      <c r="K11" s="19" t="s">
        <v>99</v>
      </c>
      <c r="L11" s="17" t="s">
        <v>97</v>
      </c>
      <c r="M11" s="18" t="s">
        <v>98</v>
      </c>
      <c r="N11" s="19" t="s">
        <v>99</v>
      </c>
      <c r="O11" s="17" t="s">
        <v>97</v>
      </c>
      <c r="P11" s="18" t="s">
        <v>98</v>
      </c>
      <c r="Q11" s="19" t="s">
        <v>99</v>
      </c>
      <c r="R11" s="17" t="s">
        <v>97</v>
      </c>
      <c r="S11" s="18" t="s">
        <v>98</v>
      </c>
      <c r="T11" s="19" t="s">
        <v>99</v>
      </c>
      <c r="U11" s="17" t="s">
        <v>97</v>
      </c>
      <c r="V11" s="18" t="s">
        <v>98</v>
      </c>
      <c r="W11" s="19" t="s">
        <v>99</v>
      </c>
      <c r="X11" s="17" t="s">
        <v>97</v>
      </c>
      <c r="Y11" s="18" t="s">
        <v>98</v>
      </c>
      <c r="Z11" s="19" t="s">
        <v>99</v>
      </c>
      <c r="AA11" s="17" t="s">
        <v>97</v>
      </c>
      <c r="AB11" s="18" t="s">
        <v>98</v>
      </c>
      <c r="AC11" s="19" t="s">
        <v>99</v>
      </c>
      <c r="AD11" s="17" t="s">
        <v>97</v>
      </c>
      <c r="AE11" s="18" t="s">
        <v>98</v>
      </c>
      <c r="AF11" s="19" t="s">
        <v>99</v>
      </c>
      <c r="AG11" s="17" t="s">
        <v>97</v>
      </c>
      <c r="AH11" s="18" t="s">
        <v>98</v>
      </c>
      <c r="AI11" s="19" t="s">
        <v>99</v>
      </c>
      <c r="AJ11" s="17" t="s">
        <v>97</v>
      </c>
      <c r="AK11" s="18" t="s">
        <v>98</v>
      </c>
      <c r="AL11" s="19" t="s">
        <v>99</v>
      </c>
      <c r="AM11" s="17" t="s">
        <v>97</v>
      </c>
      <c r="AN11" s="18" t="s">
        <v>98</v>
      </c>
      <c r="AO11" s="19" t="s">
        <v>99</v>
      </c>
      <c r="AP11" s="292"/>
      <c r="AQ11" s="295"/>
      <c r="AS11" s="2"/>
    </row>
    <row r="12" spans="1:45" ht="18" customHeight="1" x14ac:dyDescent="0.15">
      <c r="A12" s="6"/>
      <c r="B12" s="11" t="s">
        <v>154</v>
      </c>
      <c r="C12" s="62">
        <v>1091</v>
      </c>
      <c r="D12" s="63">
        <v>240</v>
      </c>
      <c r="E12" s="64">
        <v>960</v>
      </c>
      <c r="F12" s="64">
        <v>94</v>
      </c>
      <c r="G12" s="82"/>
      <c r="H12" s="83"/>
      <c r="I12" s="64">
        <v>83</v>
      </c>
      <c r="J12" s="82"/>
      <c r="K12" s="83"/>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94</v>
      </c>
      <c r="AQ12" s="21">
        <f t="shared" ref="AQ12:AQ32" si="0">AP12/E12</f>
        <v>9.7916666666666666E-2</v>
      </c>
    </row>
    <row r="13" spans="1:45" ht="18" customHeight="1" x14ac:dyDescent="0.15">
      <c r="A13" s="6"/>
      <c r="B13" s="12" t="s">
        <v>155</v>
      </c>
      <c r="C13" s="67">
        <v>1517</v>
      </c>
      <c r="D13" s="68">
        <v>310</v>
      </c>
      <c r="E13" s="69">
        <v>1240</v>
      </c>
      <c r="F13" s="70">
        <v>1</v>
      </c>
      <c r="G13" s="84"/>
      <c r="H13" s="85"/>
      <c r="I13" s="70">
        <v>1</v>
      </c>
      <c r="J13" s="84"/>
      <c r="K13" s="85"/>
      <c r="L13" s="70">
        <f t="shared" ref="L13:L31" si="1">M13+N13</f>
        <v>0</v>
      </c>
      <c r="M13" s="71"/>
      <c r="N13" s="72"/>
      <c r="O13" s="70">
        <f t="shared" ref="O13:O31" si="2">P13+Q13</f>
        <v>0</v>
      </c>
      <c r="P13" s="71"/>
      <c r="Q13" s="72"/>
      <c r="R13" s="70">
        <f t="shared" ref="R13:R31" si="3">S13+T13</f>
        <v>0</v>
      </c>
      <c r="S13" s="71"/>
      <c r="T13" s="72"/>
      <c r="U13" s="70">
        <f t="shared" ref="U13:U31" si="4">V13+W13</f>
        <v>0</v>
      </c>
      <c r="V13" s="71"/>
      <c r="W13" s="72"/>
      <c r="X13" s="70">
        <f t="shared" ref="X13:X31" si="5">Y13+Z13</f>
        <v>0</v>
      </c>
      <c r="Y13" s="71"/>
      <c r="Z13" s="72"/>
      <c r="AA13" s="70">
        <f t="shared" ref="AA13:AA31" si="6">AB13+AC13</f>
        <v>0</v>
      </c>
      <c r="AB13" s="71"/>
      <c r="AC13" s="72"/>
      <c r="AD13" s="70">
        <f t="shared" ref="AD13:AD31" si="7">AE13+AF13</f>
        <v>0</v>
      </c>
      <c r="AE13" s="71"/>
      <c r="AF13" s="72"/>
      <c r="AG13" s="70">
        <f t="shared" ref="AG13:AG31" si="8">AH13+AI13</f>
        <v>0</v>
      </c>
      <c r="AH13" s="71"/>
      <c r="AI13" s="72"/>
      <c r="AJ13" s="70">
        <f t="shared" ref="AJ13:AJ31" si="9">AK13+AL13</f>
        <v>0</v>
      </c>
      <c r="AK13" s="71"/>
      <c r="AL13" s="72"/>
      <c r="AM13" s="70">
        <f t="shared" ref="AM13:AM31" si="10">AN13+AO13</f>
        <v>0</v>
      </c>
      <c r="AN13" s="71"/>
      <c r="AO13" s="72"/>
      <c r="AP13" s="68">
        <f t="shared" ref="AP13:AP31" si="11">F13+L13+R13+X13+AD13+AJ13</f>
        <v>1</v>
      </c>
      <c r="AQ13" s="20">
        <f t="shared" si="0"/>
        <v>8.0645161290322581E-4</v>
      </c>
    </row>
    <row r="14" spans="1:45" ht="18" customHeight="1" x14ac:dyDescent="0.15">
      <c r="A14" s="6"/>
      <c r="B14" s="12"/>
      <c r="C14" s="67"/>
      <c r="D14" s="68"/>
      <c r="E14" s="69"/>
      <c r="F14" s="70">
        <f t="shared" ref="F14:F31" si="12">G14+H14</f>
        <v>0</v>
      </c>
      <c r="G14" s="71"/>
      <c r="H14" s="72"/>
      <c r="I14" s="70">
        <f t="shared" ref="I14:I31" si="13">J14+K14</f>
        <v>0</v>
      </c>
      <c r="J14" s="71"/>
      <c r="K14" s="72"/>
      <c r="L14" s="70">
        <f t="shared" si="1"/>
        <v>0</v>
      </c>
      <c r="M14" s="71"/>
      <c r="N14" s="72"/>
      <c r="O14" s="70">
        <f t="shared" si="2"/>
        <v>0</v>
      </c>
      <c r="P14" s="71"/>
      <c r="Q14" s="72"/>
      <c r="R14" s="70">
        <f t="shared" si="3"/>
        <v>0</v>
      </c>
      <c r="S14" s="71"/>
      <c r="T14" s="72"/>
      <c r="U14" s="70">
        <f t="shared" si="4"/>
        <v>0</v>
      </c>
      <c r="V14" s="71"/>
      <c r="W14" s="72"/>
      <c r="X14" s="70">
        <f t="shared" si="5"/>
        <v>0</v>
      </c>
      <c r="Y14" s="71"/>
      <c r="Z14" s="72"/>
      <c r="AA14" s="70">
        <f t="shared" si="6"/>
        <v>0</v>
      </c>
      <c r="AB14" s="71"/>
      <c r="AC14" s="72"/>
      <c r="AD14" s="70">
        <f t="shared" si="7"/>
        <v>0</v>
      </c>
      <c r="AE14" s="71"/>
      <c r="AF14" s="72"/>
      <c r="AG14" s="70">
        <f t="shared" si="8"/>
        <v>0</v>
      </c>
      <c r="AH14" s="71"/>
      <c r="AI14" s="72"/>
      <c r="AJ14" s="70">
        <f t="shared" si="9"/>
        <v>0</v>
      </c>
      <c r="AK14" s="71"/>
      <c r="AL14" s="72"/>
      <c r="AM14" s="70">
        <f t="shared" si="10"/>
        <v>0</v>
      </c>
      <c r="AN14" s="71"/>
      <c r="AO14" s="72"/>
      <c r="AP14" s="68">
        <f t="shared" si="11"/>
        <v>0</v>
      </c>
      <c r="AQ14" s="8" t="e">
        <f t="shared" si="0"/>
        <v>#DIV/0!</v>
      </c>
    </row>
    <row r="15" spans="1:45" ht="18" customHeight="1" x14ac:dyDescent="0.15">
      <c r="A15" s="6"/>
      <c r="B15" s="12"/>
      <c r="C15" s="67"/>
      <c r="D15" s="68"/>
      <c r="E15" s="69"/>
      <c r="F15" s="70">
        <f t="shared" si="12"/>
        <v>0</v>
      </c>
      <c r="G15" s="71"/>
      <c r="H15" s="72"/>
      <c r="I15" s="70">
        <f t="shared" si="13"/>
        <v>0</v>
      </c>
      <c r="J15" s="71"/>
      <c r="K15" s="72"/>
      <c r="L15" s="70">
        <f t="shared" si="1"/>
        <v>0</v>
      </c>
      <c r="M15" s="71"/>
      <c r="N15" s="72"/>
      <c r="O15" s="70">
        <f t="shared" si="2"/>
        <v>0</v>
      </c>
      <c r="P15" s="71"/>
      <c r="Q15" s="72"/>
      <c r="R15" s="70">
        <f t="shared" si="3"/>
        <v>0</v>
      </c>
      <c r="S15" s="71"/>
      <c r="T15" s="72"/>
      <c r="U15" s="70">
        <f t="shared" si="4"/>
        <v>0</v>
      </c>
      <c r="V15" s="71"/>
      <c r="W15" s="72"/>
      <c r="X15" s="70">
        <f t="shared" si="5"/>
        <v>0</v>
      </c>
      <c r="Y15" s="71"/>
      <c r="Z15" s="72"/>
      <c r="AA15" s="70">
        <f t="shared" si="6"/>
        <v>0</v>
      </c>
      <c r="AB15" s="71"/>
      <c r="AC15" s="72"/>
      <c r="AD15" s="70">
        <f t="shared" si="7"/>
        <v>0</v>
      </c>
      <c r="AE15" s="71"/>
      <c r="AF15" s="72"/>
      <c r="AG15" s="70">
        <f t="shared" si="8"/>
        <v>0</v>
      </c>
      <c r="AH15" s="71"/>
      <c r="AI15" s="72"/>
      <c r="AJ15" s="70">
        <f t="shared" si="9"/>
        <v>0</v>
      </c>
      <c r="AK15" s="71"/>
      <c r="AL15" s="72"/>
      <c r="AM15" s="70">
        <f t="shared" si="10"/>
        <v>0</v>
      </c>
      <c r="AN15" s="71"/>
      <c r="AO15" s="72"/>
      <c r="AP15" s="68">
        <f t="shared" si="11"/>
        <v>0</v>
      </c>
      <c r="AQ15" s="8" t="e">
        <f t="shared" si="0"/>
        <v>#DIV/0!</v>
      </c>
    </row>
    <row r="16" spans="1:45" ht="18" customHeight="1" x14ac:dyDescent="0.15">
      <c r="A16" s="6"/>
      <c r="B16" s="12"/>
      <c r="C16" s="67"/>
      <c r="D16" s="68"/>
      <c r="E16" s="69"/>
      <c r="F16" s="70">
        <f t="shared" si="12"/>
        <v>0</v>
      </c>
      <c r="G16" s="71"/>
      <c r="H16" s="72"/>
      <c r="I16" s="70">
        <f t="shared" si="13"/>
        <v>0</v>
      </c>
      <c r="J16" s="71"/>
      <c r="K16" s="72"/>
      <c r="L16" s="70">
        <f t="shared" si="1"/>
        <v>0</v>
      </c>
      <c r="M16" s="71"/>
      <c r="N16" s="72"/>
      <c r="O16" s="70">
        <f t="shared" si="2"/>
        <v>0</v>
      </c>
      <c r="P16" s="71"/>
      <c r="Q16" s="72"/>
      <c r="R16" s="70">
        <f t="shared" si="3"/>
        <v>0</v>
      </c>
      <c r="S16" s="71"/>
      <c r="T16" s="72"/>
      <c r="U16" s="70">
        <f t="shared" si="4"/>
        <v>0</v>
      </c>
      <c r="V16" s="71"/>
      <c r="W16" s="72"/>
      <c r="X16" s="70">
        <f t="shared" si="5"/>
        <v>0</v>
      </c>
      <c r="Y16" s="71"/>
      <c r="Z16" s="72"/>
      <c r="AA16" s="70">
        <f t="shared" si="6"/>
        <v>0</v>
      </c>
      <c r="AB16" s="71"/>
      <c r="AC16" s="72"/>
      <c r="AD16" s="70">
        <f t="shared" si="7"/>
        <v>0</v>
      </c>
      <c r="AE16" s="71"/>
      <c r="AF16" s="72"/>
      <c r="AG16" s="70">
        <f t="shared" si="8"/>
        <v>0</v>
      </c>
      <c r="AH16" s="71"/>
      <c r="AI16" s="72"/>
      <c r="AJ16" s="70">
        <f t="shared" si="9"/>
        <v>0</v>
      </c>
      <c r="AK16" s="71"/>
      <c r="AL16" s="72"/>
      <c r="AM16" s="70">
        <f t="shared" si="10"/>
        <v>0</v>
      </c>
      <c r="AN16" s="71"/>
      <c r="AO16" s="72"/>
      <c r="AP16" s="68">
        <f t="shared" si="11"/>
        <v>0</v>
      </c>
      <c r="AQ16" s="8" t="e">
        <f t="shared" si="0"/>
        <v>#DIV/0!</v>
      </c>
    </row>
    <row r="17" spans="1:43" ht="18" customHeight="1" x14ac:dyDescent="0.15">
      <c r="A17" s="6"/>
      <c r="B17" s="12"/>
      <c r="C17" s="67"/>
      <c r="D17" s="68"/>
      <c r="E17" s="69"/>
      <c r="F17" s="70">
        <f t="shared" si="12"/>
        <v>0</v>
      </c>
      <c r="G17" s="71"/>
      <c r="H17" s="72"/>
      <c r="I17" s="70">
        <f t="shared" si="13"/>
        <v>0</v>
      </c>
      <c r="J17" s="71"/>
      <c r="K17" s="72"/>
      <c r="L17" s="70">
        <f t="shared" si="1"/>
        <v>0</v>
      </c>
      <c r="M17" s="71"/>
      <c r="N17" s="72"/>
      <c r="O17" s="70">
        <f t="shared" si="2"/>
        <v>0</v>
      </c>
      <c r="P17" s="71"/>
      <c r="Q17" s="72"/>
      <c r="R17" s="70">
        <f t="shared" si="3"/>
        <v>0</v>
      </c>
      <c r="S17" s="71"/>
      <c r="T17" s="72"/>
      <c r="U17" s="70">
        <f t="shared" si="4"/>
        <v>0</v>
      </c>
      <c r="V17" s="71"/>
      <c r="W17" s="72"/>
      <c r="X17" s="70">
        <f t="shared" si="5"/>
        <v>0</v>
      </c>
      <c r="Y17" s="71"/>
      <c r="Z17" s="72"/>
      <c r="AA17" s="70">
        <f t="shared" si="6"/>
        <v>0</v>
      </c>
      <c r="AB17" s="71"/>
      <c r="AC17" s="72"/>
      <c r="AD17" s="70">
        <f t="shared" si="7"/>
        <v>0</v>
      </c>
      <c r="AE17" s="71"/>
      <c r="AF17" s="72"/>
      <c r="AG17" s="70">
        <f t="shared" si="8"/>
        <v>0</v>
      </c>
      <c r="AH17" s="71"/>
      <c r="AI17" s="72"/>
      <c r="AJ17" s="70">
        <f t="shared" si="9"/>
        <v>0</v>
      </c>
      <c r="AK17" s="71"/>
      <c r="AL17" s="72"/>
      <c r="AM17" s="70">
        <f t="shared" si="10"/>
        <v>0</v>
      </c>
      <c r="AN17" s="71"/>
      <c r="AO17" s="72"/>
      <c r="AP17" s="68">
        <f t="shared" si="11"/>
        <v>0</v>
      </c>
      <c r="AQ17" s="8" t="e">
        <f t="shared" si="0"/>
        <v>#DIV/0!</v>
      </c>
    </row>
    <row r="18" spans="1:43" ht="18" customHeight="1" x14ac:dyDescent="0.15">
      <c r="A18" s="6"/>
      <c r="B18" s="12"/>
      <c r="C18" s="67"/>
      <c r="D18" s="68"/>
      <c r="E18" s="69"/>
      <c r="F18" s="70">
        <f t="shared" si="12"/>
        <v>0</v>
      </c>
      <c r="G18" s="71"/>
      <c r="H18" s="72"/>
      <c r="I18" s="70">
        <f t="shared" si="13"/>
        <v>0</v>
      </c>
      <c r="J18" s="71"/>
      <c r="K18" s="72"/>
      <c r="L18" s="70">
        <f t="shared" si="1"/>
        <v>0</v>
      </c>
      <c r="M18" s="71"/>
      <c r="N18" s="72"/>
      <c r="O18" s="70">
        <f t="shared" si="2"/>
        <v>0</v>
      </c>
      <c r="P18" s="71"/>
      <c r="Q18" s="72"/>
      <c r="R18" s="70">
        <f t="shared" si="3"/>
        <v>0</v>
      </c>
      <c r="S18" s="71"/>
      <c r="T18" s="72"/>
      <c r="U18" s="70">
        <f t="shared" si="4"/>
        <v>0</v>
      </c>
      <c r="V18" s="71"/>
      <c r="W18" s="72"/>
      <c r="X18" s="70">
        <f t="shared" si="5"/>
        <v>0</v>
      </c>
      <c r="Y18" s="71"/>
      <c r="Z18" s="72"/>
      <c r="AA18" s="70">
        <f t="shared" si="6"/>
        <v>0</v>
      </c>
      <c r="AB18" s="71"/>
      <c r="AC18" s="72"/>
      <c r="AD18" s="70">
        <f t="shared" si="7"/>
        <v>0</v>
      </c>
      <c r="AE18" s="71"/>
      <c r="AF18" s="72"/>
      <c r="AG18" s="70">
        <f t="shared" si="8"/>
        <v>0</v>
      </c>
      <c r="AH18" s="71"/>
      <c r="AI18" s="72"/>
      <c r="AJ18" s="70">
        <f t="shared" si="9"/>
        <v>0</v>
      </c>
      <c r="AK18" s="71"/>
      <c r="AL18" s="72"/>
      <c r="AM18" s="70">
        <f t="shared" si="10"/>
        <v>0</v>
      </c>
      <c r="AN18" s="71"/>
      <c r="AO18" s="72"/>
      <c r="AP18" s="68">
        <f t="shared" si="11"/>
        <v>0</v>
      </c>
      <c r="AQ18" s="8" t="e">
        <f t="shared" si="0"/>
        <v>#DIV/0!</v>
      </c>
    </row>
    <row r="19" spans="1:43" ht="18" customHeight="1" x14ac:dyDescent="0.15">
      <c r="A19" s="6"/>
      <c r="B19" s="12"/>
      <c r="C19" s="67"/>
      <c r="D19" s="68"/>
      <c r="E19" s="69"/>
      <c r="F19" s="70">
        <f t="shared" si="12"/>
        <v>0</v>
      </c>
      <c r="G19" s="71"/>
      <c r="H19" s="72"/>
      <c r="I19" s="70">
        <f t="shared" si="13"/>
        <v>0</v>
      </c>
      <c r="J19" s="71"/>
      <c r="K19" s="72"/>
      <c r="L19" s="70">
        <f t="shared" si="1"/>
        <v>0</v>
      </c>
      <c r="M19" s="71"/>
      <c r="N19" s="72"/>
      <c r="O19" s="70">
        <f t="shared" si="2"/>
        <v>0</v>
      </c>
      <c r="P19" s="71"/>
      <c r="Q19" s="72"/>
      <c r="R19" s="70">
        <f t="shared" si="3"/>
        <v>0</v>
      </c>
      <c r="S19" s="71"/>
      <c r="T19" s="72"/>
      <c r="U19" s="70">
        <f t="shared" si="4"/>
        <v>0</v>
      </c>
      <c r="V19" s="71"/>
      <c r="W19" s="72"/>
      <c r="X19" s="70">
        <f t="shared" si="5"/>
        <v>0</v>
      </c>
      <c r="Y19" s="71"/>
      <c r="Z19" s="72"/>
      <c r="AA19" s="70">
        <f t="shared" si="6"/>
        <v>0</v>
      </c>
      <c r="AB19" s="71"/>
      <c r="AC19" s="72"/>
      <c r="AD19" s="70">
        <f t="shared" si="7"/>
        <v>0</v>
      </c>
      <c r="AE19" s="71"/>
      <c r="AF19" s="72"/>
      <c r="AG19" s="70">
        <f t="shared" si="8"/>
        <v>0</v>
      </c>
      <c r="AH19" s="71"/>
      <c r="AI19" s="72"/>
      <c r="AJ19" s="70">
        <f t="shared" si="9"/>
        <v>0</v>
      </c>
      <c r="AK19" s="71"/>
      <c r="AL19" s="72"/>
      <c r="AM19" s="70">
        <f t="shared" si="10"/>
        <v>0</v>
      </c>
      <c r="AN19" s="71"/>
      <c r="AO19" s="72"/>
      <c r="AP19" s="68">
        <f t="shared" si="11"/>
        <v>0</v>
      </c>
      <c r="AQ19" s="8" t="e">
        <f t="shared" si="0"/>
        <v>#DIV/0!</v>
      </c>
    </row>
    <row r="20" spans="1:43" ht="18" customHeight="1" x14ac:dyDescent="0.15">
      <c r="A20" s="6"/>
      <c r="B20" s="12"/>
      <c r="C20" s="67"/>
      <c r="D20" s="68"/>
      <c r="E20" s="69"/>
      <c r="F20" s="70">
        <f t="shared" si="12"/>
        <v>0</v>
      </c>
      <c r="G20" s="71"/>
      <c r="H20" s="72"/>
      <c r="I20" s="70">
        <f t="shared" si="13"/>
        <v>0</v>
      </c>
      <c r="J20" s="71"/>
      <c r="K20" s="72"/>
      <c r="L20" s="70">
        <f t="shared" si="1"/>
        <v>0</v>
      </c>
      <c r="M20" s="71"/>
      <c r="N20" s="72"/>
      <c r="O20" s="70">
        <f t="shared" si="2"/>
        <v>0</v>
      </c>
      <c r="P20" s="71"/>
      <c r="Q20" s="72"/>
      <c r="R20" s="70">
        <f t="shared" si="3"/>
        <v>0</v>
      </c>
      <c r="S20" s="71"/>
      <c r="T20" s="72"/>
      <c r="U20" s="70">
        <f t="shared" si="4"/>
        <v>0</v>
      </c>
      <c r="V20" s="71"/>
      <c r="W20" s="72"/>
      <c r="X20" s="70">
        <f t="shared" si="5"/>
        <v>0</v>
      </c>
      <c r="Y20" s="71"/>
      <c r="Z20" s="72"/>
      <c r="AA20" s="70">
        <f t="shared" si="6"/>
        <v>0</v>
      </c>
      <c r="AB20" s="71"/>
      <c r="AC20" s="72"/>
      <c r="AD20" s="70">
        <f t="shared" si="7"/>
        <v>0</v>
      </c>
      <c r="AE20" s="71"/>
      <c r="AF20" s="72"/>
      <c r="AG20" s="70">
        <f t="shared" si="8"/>
        <v>0</v>
      </c>
      <c r="AH20" s="71"/>
      <c r="AI20" s="72"/>
      <c r="AJ20" s="70">
        <f t="shared" si="9"/>
        <v>0</v>
      </c>
      <c r="AK20" s="71"/>
      <c r="AL20" s="72"/>
      <c r="AM20" s="70">
        <f t="shared" si="10"/>
        <v>0</v>
      </c>
      <c r="AN20" s="71"/>
      <c r="AO20" s="72"/>
      <c r="AP20" s="68">
        <f t="shared" si="11"/>
        <v>0</v>
      </c>
      <c r="AQ20" s="8" t="e">
        <f t="shared" si="0"/>
        <v>#DIV/0!</v>
      </c>
    </row>
    <row r="21" spans="1:43" ht="18" customHeight="1" x14ac:dyDescent="0.15">
      <c r="A21" s="6"/>
      <c r="B21" s="12"/>
      <c r="C21" s="67"/>
      <c r="D21" s="68"/>
      <c r="E21" s="69"/>
      <c r="F21" s="70">
        <f t="shared" si="12"/>
        <v>0</v>
      </c>
      <c r="G21" s="71"/>
      <c r="H21" s="72"/>
      <c r="I21" s="70">
        <f t="shared" si="13"/>
        <v>0</v>
      </c>
      <c r="J21" s="71"/>
      <c r="K21" s="72"/>
      <c r="L21" s="70">
        <f t="shared" si="1"/>
        <v>0</v>
      </c>
      <c r="M21" s="71"/>
      <c r="N21" s="72"/>
      <c r="O21" s="70">
        <f t="shared" si="2"/>
        <v>0</v>
      </c>
      <c r="P21" s="71"/>
      <c r="Q21" s="72"/>
      <c r="R21" s="70">
        <f t="shared" si="3"/>
        <v>0</v>
      </c>
      <c r="S21" s="71"/>
      <c r="T21" s="72"/>
      <c r="U21" s="70">
        <f t="shared" si="4"/>
        <v>0</v>
      </c>
      <c r="V21" s="71"/>
      <c r="W21" s="72"/>
      <c r="X21" s="70">
        <f t="shared" si="5"/>
        <v>0</v>
      </c>
      <c r="Y21" s="71"/>
      <c r="Z21" s="72"/>
      <c r="AA21" s="70">
        <f t="shared" si="6"/>
        <v>0</v>
      </c>
      <c r="AB21" s="71"/>
      <c r="AC21" s="72"/>
      <c r="AD21" s="70">
        <f t="shared" si="7"/>
        <v>0</v>
      </c>
      <c r="AE21" s="71"/>
      <c r="AF21" s="72"/>
      <c r="AG21" s="70">
        <f t="shared" si="8"/>
        <v>0</v>
      </c>
      <c r="AH21" s="71"/>
      <c r="AI21" s="72"/>
      <c r="AJ21" s="70">
        <f t="shared" si="9"/>
        <v>0</v>
      </c>
      <c r="AK21" s="71"/>
      <c r="AL21" s="72"/>
      <c r="AM21" s="70">
        <f t="shared" si="10"/>
        <v>0</v>
      </c>
      <c r="AN21" s="71"/>
      <c r="AO21" s="72"/>
      <c r="AP21" s="68">
        <f t="shared" si="11"/>
        <v>0</v>
      </c>
      <c r="AQ21" s="8" t="e">
        <f t="shared" si="0"/>
        <v>#DIV/0!</v>
      </c>
    </row>
    <row r="22" spans="1:43" ht="18" customHeight="1" x14ac:dyDescent="0.15">
      <c r="A22" s="6"/>
      <c r="B22" s="12"/>
      <c r="C22" s="67"/>
      <c r="D22" s="68"/>
      <c r="E22" s="69"/>
      <c r="F22" s="70">
        <f t="shared" si="12"/>
        <v>0</v>
      </c>
      <c r="G22" s="71"/>
      <c r="H22" s="72"/>
      <c r="I22" s="70">
        <f t="shared" si="13"/>
        <v>0</v>
      </c>
      <c r="J22" s="71"/>
      <c r="K22" s="72"/>
      <c r="L22" s="70">
        <f t="shared" si="1"/>
        <v>0</v>
      </c>
      <c r="M22" s="71"/>
      <c r="N22" s="72"/>
      <c r="O22" s="70">
        <f t="shared" si="2"/>
        <v>0</v>
      </c>
      <c r="P22" s="71"/>
      <c r="Q22" s="72"/>
      <c r="R22" s="70">
        <f t="shared" si="3"/>
        <v>0</v>
      </c>
      <c r="S22" s="71"/>
      <c r="T22" s="72"/>
      <c r="U22" s="70">
        <f t="shared" si="4"/>
        <v>0</v>
      </c>
      <c r="V22" s="71"/>
      <c r="W22" s="72"/>
      <c r="X22" s="70">
        <f t="shared" si="5"/>
        <v>0</v>
      </c>
      <c r="Y22" s="71"/>
      <c r="Z22" s="72"/>
      <c r="AA22" s="70">
        <f t="shared" si="6"/>
        <v>0</v>
      </c>
      <c r="AB22" s="71"/>
      <c r="AC22" s="72"/>
      <c r="AD22" s="70">
        <f t="shared" si="7"/>
        <v>0</v>
      </c>
      <c r="AE22" s="71"/>
      <c r="AF22" s="72"/>
      <c r="AG22" s="70">
        <f t="shared" si="8"/>
        <v>0</v>
      </c>
      <c r="AH22" s="71"/>
      <c r="AI22" s="72"/>
      <c r="AJ22" s="70">
        <f t="shared" si="9"/>
        <v>0</v>
      </c>
      <c r="AK22" s="71"/>
      <c r="AL22" s="72"/>
      <c r="AM22" s="70">
        <f t="shared" si="10"/>
        <v>0</v>
      </c>
      <c r="AN22" s="71"/>
      <c r="AO22" s="72"/>
      <c r="AP22" s="68">
        <f t="shared" si="11"/>
        <v>0</v>
      </c>
      <c r="AQ22" s="8" t="e">
        <f t="shared" si="0"/>
        <v>#DIV/0!</v>
      </c>
    </row>
    <row r="23" spans="1:43" ht="18" customHeight="1" x14ac:dyDescent="0.15">
      <c r="A23" s="6"/>
      <c r="B23" s="12"/>
      <c r="C23" s="67"/>
      <c r="D23" s="68"/>
      <c r="E23" s="69"/>
      <c r="F23" s="70">
        <f t="shared" si="12"/>
        <v>0</v>
      </c>
      <c r="G23" s="71"/>
      <c r="H23" s="72"/>
      <c r="I23" s="70">
        <f t="shared" si="13"/>
        <v>0</v>
      </c>
      <c r="J23" s="71"/>
      <c r="K23" s="72"/>
      <c r="L23" s="70">
        <f t="shared" si="1"/>
        <v>0</v>
      </c>
      <c r="M23" s="71"/>
      <c r="N23" s="72"/>
      <c r="O23" s="70">
        <f t="shared" si="2"/>
        <v>0</v>
      </c>
      <c r="P23" s="71"/>
      <c r="Q23" s="72"/>
      <c r="R23" s="70">
        <f t="shared" si="3"/>
        <v>0</v>
      </c>
      <c r="S23" s="71"/>
      <c r="T23" s="72"/>
      <c r="U23" s="70">
        <f t="shared" si="4"/>
        <v>0</v>
      </c>
      <c r="V23" s="71"/>
      <c r="W23" s="72"/>
      <c r="X23" s="70">
        <f t="shared" si="5"/>
        <v>0</v>
      </c>
      <c r="Y23" s="71"/>
      <c r="Z23" s="72"/>
      <c r="AA23" s="70">
        <f t="shared" si="6"/>
        <v>0</v>
      </c>
      <c r="AB23" s="71"/>
      <c r="AC23" s="72"/>
      <c r="AD23" s="70">
        <f t="shared" si="7"/>
        <v>0</v>
      </c>
      <c r="AE23" s="71"/>
      <c r="AF23" s="72"/>
      <c r="AG23" s="70">
        <f t="shared" si="8"/>
        <v>0</v>
      </c>
      <c r="AH23" s="71"/>
      <c r="AI23" s="72"/>
      <c r="AJ23" s="70">
        <f t="shared" si="9"/>
        <v>0</v>
      </c>
      <c r="AK23" s="71"/>
      <c r="AL23" s="72"/>
      <c r="AM23" s="70">
        <f t="shared" si="10"/>
        <v>0</v>
      </c>
      <c r="AN23" s="71"/>
      <c r="AO23" s="72"/>
      <c r="AP23" s="68">
        <f t="shared" si="11"/>
        <v>0</v>
      </c>
      <c r="AQ23" s="8" t="e">
        <f t="shared" si="0"/>
        <v>#DIV/0!</v>
      </c>
    </row>
    <row r="24" spans="1:43" ht="18" customHeight="1" x14ac:dyDescent="0.15">
      <c r="A24" s="6"/>
      <c r="B24" s="12"/>
      <c r="C24" s="67"/>
      <c r="D24" s="68"/>
      <c r="E24" s="69"/>
      <c r="F24" s="70">
        <f t="shared" si="12"/>
        <v>0</v>
      </c>
      <c r="G24" s="71"/>
      <c r="H24" s="72"/>
      <c r="I24" s="70">
        <f t="shared" si="13"/>
        <v>0</v>
      </c>
      <c r="J24" s="71"/>
      <c r="K24" s="72"/>
      <c r="L24" s="70">
        <f t="shared" si="1"/>
        <v>0</v>
      </c>
      <c r="M24" s="71"/>
      <c r="N24" s="72"/>
      <c r="O24" s="70">
        <f t="shared" si="2"/>
        <v>0</v>
      </c>
      <c r="P24" s="71"/>
      <c r="Q24" s="72"/>
      <c r="R24" s="70">
        <f t="shared" si="3"/>
        <v>0</v>
      </c>
      <c r="S24" s="71"/>
      <c r="T24" s="72"/>
      <c r="U24" s="70">
        <f t="shared" si="4"/>
        <v>0</v>
      </c>
      <c r="V24" s="71"/>
      <c r="W24" s="72"/>
      <c r="X24" s="70">
        <f t="shared" si="5"/>
        <v>0</v>
      </c>
      <c r="Y24" s="71"/>
      <c r="Z24" s="72"/>
      <c r="AA24" s="70">
        <f t="shared" si="6"/>
        <v>0</v>
      </c>
      <c r="AB24" s="71"/>
      <c r="AC24" s="72"/>
      <c r="AD24" s="70">
        <f t="shared" si="7"/>
        <v>0</v>
      </c>
      <c r="AE24" s="71"/>
      <c r="AF24" s="72"/>
      <c r="AG24" s="70">
        <f t="shared" si="8"/>
        <v>0</v>
      </c>
      <c r="AH24" s="71"/>
      <c r="AI24" s="72"/>
      <c r="AJ24" s="70">
        <f t="shared" si="9"/>
        <v>0</v>
      </c>
      <c r="AK24" s="71"/>
      <c r="AL24" s="72"/>
      <c r="AM24" s="70">
        <f t="shared" si="10"/>
        <v>0</v>
      </c>
      <c r="AN24" s="71"/>
      <c r="AO24" s="72"/>
      <c r="AP24" s="68">
        <f t="shared" si="11"/>
        <v>0</v>
      </c>
      <c r="AQ24" s="8" t="e">
        <f t="shared" si="0"/>
        <v>#DIV/0!</v>
      </c>
    </row>
    <row r="25" spans="1:43" ht="18" customHeight="1" x14ac:dyDescent="0.15">
      <c r="A25" s="6"/>
      <c r="B25" s="12"/>
      <c r="C25" s="67"/>
      <c r="D25" s="68"/>
      <c r="E25" s="69"/>
      <c r="F25" s="70">
        <f t="shared" si="12"/>
        <v>0</v>
      </c>
      <c r="G25" s="71"/>
      <c r="H25" s="72"/>
      <c r="I25" s="70">
        <f t="shared" si="13"/>
        <v>0</v>
      </c>
      <c r="J25" s="71"/>
      <c r="K25" s="72"/>
      <c r="L25" s="70">
        <f t="shared" si="1"/>
        <v>0</v>
      </c>
      <c r="M25" s="71"/>
      <c r="N25" s="72"/>
      <c r="O25" s="70">
        <f t="shared" si="2"/>
        <v>0</v>
      </c>
      <c r="P25" s="71"/>
      <c r="Q25" s="72"/>
      <c r="R25" s="70">
        <f t="shared" si="3"/>
        <v>0</v>
      </c>
      <c r="S25" s="71"/>
      <c r="T25" s="72"/>
      <c r="U25" s="70">
        <f t="shared" si="4"/>
        <v>0</v>
      </c>
      <c r="V25" s="71"/>
      <c r="W25" s="72"/>
      <c r="X25" s="70">
        <f t="shared" si="5"/>
        <v>0</v>
      </c>
      <c r="Y25" s="71"/>
      <c r="Z25" s="72"/>
      <c r="AA25" s="70">
        <f t="shared" si="6"/>
        <v>0</v>
      </c>
      <c r="AB25" s="71"/>
      <c r="AC25" s="72"/>
      <c r="AD25" s="70">
        <f t="shared" si="7"/>
        <v>0</v>
      </c>
      <c r="AE25" s="71"/>
      <c r="AF25" s="72"/>
      <c r="AG25" s="70">
        <f t="shared" si="8"/>
        <v>0</v>
      </c>
      <c r="AH25" s="71"/>
      <c r="AI25" s="72"/>
      <c r="AJ25" s="70">
        <f t="shared" si="9"/>
        <v>0</v>
      </c>
      <c r="AK25" s="71"/>
      <c r="AL25" s="72"/>
      <c r="AM25" s="70">
        <f t="shared" si="10"/>
        <v>0</v>
      </c>
      <c r="AN25" s="71"/>
      <c r="AO25" s="72"/>
      <c r="AP25" s="68">
        <f t="shared" si="11"/>
        <v>0</v>
      </c>
      <c r="AQ25" s="8" t="e">
        <f t="shared" si="0"/>
        <v>#DIV/0!</v>
      </c>
    </row>
    <row r="26" spans="1:43" ht="18" customHeight="1" x14ac:dyDescent="0.15">
      <c r="A26" s="6"/>
      <c r="B26" s="12"/>
      <c r="C26" s="67"/>
      <c r="D26" s="68"/>
      <c r="E26" s="69"/>
      <c r="F26" s="70">
        <f t="shared" si="12"/>
        <v>0</v>
      </c>
      <c r="G26" s="71"/>
      <c r="H26" s="72"/>
      <c r="I26" s="70">
        <f t="shared" si="13"/>
        <v>0</v>
      </c>
      <c r="J26" s="71"/>
      <c r="K26" s="72"/>
      <c r="L26" s="70">
        <f t="shared" si="1"/>
        <v>0</v>
      </c>
      <c r="M26" s="71"/>
      <c r="N26" s="72"/>
      <c r="O26" s="70">
        <f t="shared" si="2"/>
        <v>0</v>
      </c>
      <c r="P26" s="71"/>
      <c r="Q26" s="72"/>
      <c r="R26" s="70">
        <f t="shared" si="3"/>
        <v>0</v>
      </c>
      <c r="S26" s="71"/>
      <c r="T26" s="72"/>
      <c r="U26" s="70">
        <f t="shared" si="4"/>
        <v>0</v>
      </c>
      <c r="V26" s="71"/>
      <c r="W26" s="72"/>
      <c r="X26" s="70">
        <f t="shared" si="5"/>
        <v>0</v>
      </c>
      <c r="Y26" s="71"/>
      <c r="Z26" s="72"/>
      <c r="AA26" s="70">
        <f t="shared" si="6"/>
        <v>0</v>
      </c>
      <c r="AB26" s="71"/>
      <c r="AC26" s="72"/>
      <c r="AD26" s="70">
        <f t="shared" si="7"/>
        <v>0</v>
      </c>
      <c r="AE26" s="71"/>
      <c r="AF26" s="72"/>
      <c r="AG26" s="70">
        <f t="shared" si="8"/>
        <v>0</v>
      </c>
      <c r="AH26" s="71"/>
      <c r="AI26" s="72"/>
      <c r="AJ26" s="70">
        <f t="shared" si="9"/>
        <v>0</v>
      </c>
      <c r="AK26" s="71"/>
      <c r="AL26" s="72"/>
      <c r="AM26" s="70">
        <f t="shared" si="10"/>
        <v>0</v>
      </c>
      <c r="AN26" s="71"/>
      <c r="AO26" s="72"/>
      <c r="AP26" s="68">
        <f t="shared" si="11"/>
        <v>0</v>
      </c>
      <c r="AQ26" s="8" t="e">
        <f t="shared" si="0"/>
        <v>#DIV/0!</v>
      </c>
    </row>
    <row r="27" spans="1:43" ht="18" customHeight="1" x14ac:dyDescent="0.15">
      <c r="A27" s="6"/>
      <c r="B27" s="12"/>
      <c r="C27" s="67"/>
      <c r="D27" s="68"/>
      <c r="E27" s="69"/>
      <c r="F27" s="70">
        <f t="shared" si="12"/>
        <v>0</v>
      </c>
      <c r="G27" s="71"/>
      <c r="H27" s="72"/>
      <c r="I27" s="70">
        <f t="shared" si="13"/>
        <v>0</v>
      </c>
      <c r="J27" s="71"/>
      <c r="K27" s="72"/>
      <c r="L27" s="70">
        <f t="shared" si="1"/>
        <v>0</v>
      </c>
      <c r="M27" s="71"/>
      <c r="N27" s="72"/>
      <c r="O27" s="70">
        <f t="shared" si="2"/>
        <v>0</v>
      </c>
      <c r="P27" s="71"/>
      <c r="Q27" s="72"/>
      <c r="R27" s="70">
        <f t="shared" si="3"/>
        <v>0</v>
      </c>
      <c r="S27" s="71"/>
      <c r="T27" s="72"/>
      <c r="U27" s="70">
        <f t="shared" si="4"/>
        <v>0</v>
      </c>
      <c r="V27" s="71"/>
      <c r="W27" s="72"/>
      <c r="X27" s="70">
        <f t="shared" si="5"/>
        <v>0</v>
      </c>
      <c r="Y27" s="71"/>
      <c r="Z27" s="72"/>
      <c r="AA27" s="70">
        <f t="shared" si="6"/>
        <v>0</v>
      </c>
      <c r="AB27" s="71"/>
      <c r="AC27" s="72"/>
      <c r="AD27" s="70">
        <f t="shared" si="7"/>
        <v>0</v>
      </c>
      <c r="AE27" s="71"/>
      <c r="AF27" s="72"/>
      <c r="AG27" s="70">
        <f t="shared" si="8"/>
        <v>0</v>
      </c>
      <c r="AH27" s="71"/>
      <c r="AI27" s="72"/>
      <c r="AJ27" s="70">
        <f t="shared" si="9"/>
        <v>0</v>
      </c>
      <c r="AK27" s="71"/>
      <c r="AL27" s="72"/>
      <c r="AM27" s="70">
        <f t="shared" si="10"/>
        <v>0</v>
      </c>
      <c r="AN27" s="71"/>
      <c r="AO27" s="72"/>
      <c r="AP27" s="68">
        <f t="shared" si="11"/>
        <v>0</v>
      </c>
      <c r="AQ27" s="8" t="e">
        <f t="shared" si="0"/>
        <v>#DIV/0!</v>
      </c>
    </row>
    <row r="28" spans="1:43" ht="18" customHeight="1" x14ac:dyDescent="0.15">
      <c r="A28" s="6"/>
      <c r="B28" s="12"/>
      <c r="C28" s="67"/>
      <c r="D28" s="68"/>
      <c r="E28" s="69"/>
      <c r="F28" s="70">
        <f t="shared" si="12"/>
        <v>0</v>
      </c>
      <c r="G28" s="71"/>
      <c r="H28" s="72"/>
      <c r="I28" s="70">
        <f t="shared" si="13"/>
        <v>0</v>
      </c>
      <c r="J28" s="71"/>
      <c r="K28" s="72"/>
      <c r="L28" s="70">
        <f t="shared" si="1"/>
        <v>0</v>
      </c>
      <c r="M28" s="71"/>
      <c r="N28" s="72"/>
      <c r="O28" s="70">
        <f t="shared" si="2"/>
        <v>0</v>
      </c>
      <c r="P28" s="71"/>
      <c r="Q28" s="72"/>
      <c r="R28" s="70">
        <f t="shared" si="3"/>
        <v>0</v>
      </c>
      <c r="S28" s="71"/>
      <c r="T28" s="72"/>
      <c r="U28" s="70">
        <f t="shared" si="4"/>
        <v>0</v>
      </c>
      <c r="V28" s="71"/>
      <c r="W28" s="72"/>
      <c r="X28" s="70">
        <f t="shared" si="5"/>
        <v>0</v>
      </c>
      <c r="Y28" s="71"/>
      <c r="Z28" s="72"/>
      <c r="AA28" s="70">
        <f t="shared" si="6"/>
        <v>0</v>
      </c>
      <c r="AB28" s="71"/>
      <c r="AC28" s="72"/>
      <c r="AD28" s="70">
        <f t="shared" si="7"/>
        <v>0</v>
      </c>
      <c r="AE28" s="71"/>
      <c r="AF28" s="72"/>
      <c r="AG28" s="70">
        <f t="shared" si="8"/>
        <v>0</v>
      </c>
      <c r="AH28" s="71"/>
      <c r="AI28" s="72"/>
      <c r="AJ28" s="70">
        <f t="shared" si="9"/>
        <v>0</v>
      </c>
      <c r="AK28" s="71"/>
      <c r="AL28" s="72"/>
      <c r="AM28" s="70">
        <f t="shared" si="10"/>
        <v>0</v>
      </c>
      <c r="AN28" s="71"/>
      <c r="AO28" s="72"/>
      <c r="AP28" s="68">
        <f t="shared" si="11"/>
        <v>0</v>
      </c>
      <c r="AQ28" s="8" t="e">
        <f t="shared" si="0"/>
        <v>#DIV/0!</v>
      </c>
    </row>
    <row r="29" spans="1:43" ht="18" customHeight="1" x14ac:dyDescent="0.15">
      <c r="A29" s="6"/>
      <c r="B29" s="12"/>
      <c r="C29" s="67"/>
      <c r="D29" s="73"/>
      <c r="E29" s="69"/>
      <c r="F29" s="70">
        <f t="shared" si="12"/>
        <v>0</v>
      </c>
      <c r="G29" s="71"/>
      <c r="H29" s="72"/>
      <c r="I29" s="70">
        <f t="shared" si="13"/>
        <v>0</v>
      </c>
      <c r="J29" s="71"/>
      <c r="K29" s="72"/>
      <c r="L29" s="70">
        <f t="shared" si="1"/>
        <v>0</v>
      </c>
      <c r="M29" s="71"/>
      <c r="N29" s="72"/>
      <c r="O29" s="70">
        <f t="shared" si="2"/>
        <v>0</v>
      </c>
      <c r="P29" s="71"/>
      <c r="Q29" s="72"/>
      <c r="R29" s="70">
        <f t="shared" si="3"/>
        <v>0</v>
      </c>
      <c r="S29" s="71"/>
      <c r="T29" s="72"/>
      <c r="U29" s="70">
        <f t="shared" si="4"/>
        <v>0</v>
      </c>
      <c r="V29" s="71"/>
      <c r="W29" s="72"/>
      <c r="X29" s="70">
        <f t="shared" si="5"/>
        <v>0</v>
      </c>
      <c r="Y29" s="71"/>
      <c r="Z29" s="72"/>
      <c r="AA29" s="70">
        <f t="shared" si="6"/>
        <v>0</v>
      </c>
      <c r="AB29" s="71"/>
      <c r="AC29" s="72"/>
      <c r="AD29" s="70">
        <f t="shared" si="7"/>
        <v>0</v>
      </c>
      <c r="AE29" s="71"/>
      <c r="AF29" s="72"/>
      <c r="AG29" s="70">
        <f t="shared" si="8"/>
        <v>0</v>
      </c>
      <c r="AH29" s="71"/>
      <c r="AI29" s="72"/>
      <c r="AJ29" s="70">
        <f t="shared" si="9"/>
        <v>0</v>
      </c>
      <c r="AK29" s="71"/>
      <c r="AL29" s="72"/>
      <c r="AM29" s="70">
        <f t="shared" si="10"/>
        <v>0</v>
      </c>
      <c r="AN29" s="71"/>
      <c r="AO29" s="72"/>
      <c r="AP29" s="73">
        <f t="shared" si="11"/>
        <v>0</v>
      </c>
      <c r="AQ29" s="8" t="e">
        <f t="shared" si="0"/>
        <v>#DIV/0!</v>
      </c>
    </row>
    <row r="30" spans="1:43" ht="18" customHeight="1" x14ac:dyDescent="0.15">
      <c r="A30" s="6"/>
      <c r="B30" s="12"/>
      <c r="C30" s="67"/>
      <c r="D30" s="73"/>
      <c r="E30" s="69"/>
      <c r="F30" s="70">
        <f t="shared" si="12"/>
        <v>0</v>
      </c>
      <c r="G30" s="71"/>
      <c r="H30" s="72"/>
      <c r="I30" s="70">
        <f t="shared" si="13"/>
        <v>0</v>
      </c>
      <c r="J30" s="71"/>
      <c r="K30" s="72"/>
      <c r="L30" s="70">
        <f t="shared" si="1"/>
        <v>0</v>
      </c>
      <c r="M30" s="71"/>
      <c r="N30" s="72"/>
      <c r="O30" s="70">
        <f t="shared" si="2"/>
        <v>0</v>
      </c>
      <c r="P30" s="71"/>
      <c r="Q30" s="72"/>
      <c r="R30" s="70">
        <f t="shared" si="3"/>
        <v>0</v>
      </c>
      <c r="S30" s="71"/>
      <c r="T30" s="72"/>
      <c r="U30" s="70">
        <f t="shared" si="4"/>
        <v>0</v>
      </c>
      <c r="V30" s="71"/>
      <c r="W30" s="72"/>
      <c r="X30" s="70">
        <f t="shared" si="5"/>
        <v>0</v>
      </c>
      <c r="Y30" s="71"/>
      <c r="Z30" s="72"/>
      <c r="AA30" s="70">
        <f t="shared" si="6"/>
        <v>0</v>
      </c>
      <c r="AB30" s="71"/>
      <c r="AC30" s="72"/>
      <c r="AD30" s="70">
        <f t="shared" si="7"/>
        <v>0</v>
      </c>
      <c r="AE30" s="71"/>
      <c r="AF30" s="72"/>
      <c r="AG30" s="70">
        <f t="shared" si="8"/>
        <v>0</v>
      </c>
      <c r="AH30" s="71"/>
      <c r="AI30" s="72"/>
      <c r="AJ30" s="70">
        <f t="shared" si="9"/>
        <v>0</v>
      </c>
      <c r="AK30" s="71"/>
      <c r="AL30" s="72"/>
      <c r="AM30" s="70">
        <f t="shared" si="10"/>
        <v>0</v>
      </c>
      <c r="AN30" s="71"/>
      <c r="AO30" s="72"/>
      <c r="AP30" s="73">
        <f t="shared" si="11"/>
        <v>0</v>
      </c>
      <c r="AQ30" s="8" t="e">
        <f t="shared" si="0"/>
        <v>#DIV/0!</v>
      </c>
    </row>
    <row r="31" spans="1:43" ht="18" customHeight="1" thickBot="1" x14ac:dyDescent="0.2">
      <c r="A31" s="6"/>
      <c r="B31" s="13"/>
      <c r="C31" s="62"/>
      <c r="D31" s="74"/>
      <c r="E31" s="64"/>
      <c r="F31" s="64">
        <f t="shared" si="12"/>
        <v>0</v>
      </c>
      <c r="G31" s="75"/>
      <c r="H31" s="76"/>
      <c r="I31" s="64">
        <f t="shared" si="13"/>
        <v>0</v>
      </c>
      <c r="J31" s="75"/>
      <c r="K31" s="76"/>
      <c r="L31" s="64">
        <f t="shared" si="1"/>
        <v>0</v>
      </c>
      <c r="M31" s="75"/>
      <c r="N31" s="76"/>
      <c r="O31" s="64">
        <f t="shared" si="2"/>
        <v>0</v>
      </c>
      <c r="P31" s="75"/>
      <c r="Q31" s="76"/>
      <c r="R31" s="64">
        <f t="shared" si="3"/>
        <v>0</v>
      </c>
      <c r="S31" s="75"/>
      <c r="T31" s="76"/>
      <c r="U31" s="64">
        <f t="shared" si="4"/>
        <v>0</v>
      </c>
      <c r="V31" s="75"/>
      <c r="W31" s="76"/>
      <c r="X31" s="64">
        <f t="shared" si="5"/>
        <v>0</v>
      </c>
      <c r="Y31" s="75"/>
      <c r="Z31" s="76"/>
      <c r="AA31" s="64">
        <f t="shared" si="6"/>
        <v>0</v>
      </c>
      <c r="AB31" s="75"/>
      <c r="AC31" s="76"/>
      <c r="AD31" s="64">
        <f t="shared" si="7"/>
        <v>0</v>
      </c>
      <c r="AE31" s="75"/>
      <c r="AF31" s="76"/>
      <c r="AG31" s="64">
        <f t="shared" si="8"/>
        <v>0</v>
      </c>
      <c r="AH31" s="75"/>
      <c r="AI31" s="76"/>
      <c r="AJ31" s="64">
        <f t="shared" si="9"/>
        <v>0</v>
      </c>
      <c r="AK31" s="75"/>
      <c r="AL31" s="76"/>
      <c r="AM31" s="64">
        <f t="shared" si="10"/>
        <v>0</v>
      </c>
      <c r="AN31" s="75"/>
      <c r="AO31" s="76"/>
      <c r="AP31" s="74">
        <f t="shared" si="11"/>
        <v>0</v>
      </c>
      <c r="AQ31" s="7" t="e">
        <f t="shared" si="0"/>
        <v>#DIV/0!</v>
      </c>
    </row>
    <row r="32" spans="1:43" ht="18" customHeight="1" thickTop="1" x14ac:dyDescent="0.15">
      <c r="B32" s="14" t="s">
        <v>32</v>
      </c>
      <c r="C32" s="77">
        <f t="shared" ref="C32" si="14">SUM(C12:C31)</f>
        <v>2608</v>
      </c>
      <c r="D32" s="78">
        <f t="shared" ref="D32:AP32" si="15">SUM(D12:D31)</f>
        <v>550</v>
      </c>
      <c r="E32" s="79">
        <f t="shared" si="15"/>
        <v>2200</v>
      </c>
      <c r="F32" s="79">
        <f t="shared" si="15"/>
        <v>95</v>
      </c>
      <c r="G32" s="80">
        <f t="shared" si="15"/>
        <v>0</v>
      </c>
      <c r="H32" s="81">
        <f t="shared" si="15"/>
        <v>0</v>
      </c>
      <c r="I32" s="79">
        <f t="shared" ref="I32:N32" si="16">SUM(I12:I31)</f>
        <v>84</v>
      </c>
      <c r="J32" s="80">
        <f t="shared" si="16"/>
        <v>0</v>
      </c>
      <c r="K32" s="81">
        <f t="shared" si="16"/>
        <v>0</v>
      </c>
      <c r="L32" s="79">
        <f t="shared" si="16"/>
        <v>0</v>
      </c>
      <c r="M32" s="80">
        <f t="shared" si="16"/>
        <v>0</v>
      </c>
      <c r="N32" s="81">
        <f t="shared" si="16"/>
        <v>0</v>
      </c>
      <c r="O32" s="79">
        <f t="shared" ref="O32:T32" si="17">SUM(O12:O31)</f>
        <v>0</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95</v>
      </c>
      <c r="AQ32" s="9">
        <f t="shared" si="0"/>
        <v>4.3181818181818182E-2</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zoomScaleNormal="100" zoomScaleSheetLayoutView="100" workbookViewId="0">
      <selection activeCell="B2" sqref="B2"/>
    </sheetView>
  </sheetViews>
  <sheetFormatPr defaultColWidth="11.375" defaultRowHeight="18.75" customHeight="1" x14ac:dyDescent="0.15"/>
  <cols>
    <col min="1" max="1" width="2.75" style="4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64</v>
      </c>
      <c r="I1" s="35" t="s">
        <v>105</v>
      </c>
    </row>
    <row r="2" spans="1:9" ht="18.75" customHeight="1" x14ac:dyDescent="0.15">
      <c r="G2" s="35" t="s">
        <v>108</v>
      </c>
      <c r="H2" s="206" t="str">
        <f>'様式１－１　プログラムを構成する授業科目'!C2</f>
        <v>江戸川大学</v>
      </c>
      <c r="I2" s="208"/>
    </row>
    <row r="3" spans="1:9" ht="18.75" customHeight="1" x14ac:dyDescent="0.15">
      <c r="G3" s="35"/>
      <c r="H3" s="10"/>
      <c r="I3" s="10"/>
    </row>
    <row r="4" spans="1:9" ht="18.600000000000001" customHeight="1" x14ac:dyDescent="0.15">
      <c r="A4" s="210" t="s">
        <v>35</v>
      </c>
      <c r="B4" s="210"/>
      <c r="C4" s="210"/>
      <c r="D4" s="210"/>
      <c r="E4" s="210"/>
      <c r="F4" s="210"/>
      <c r="G4" s="210"/>
      <c r="H4" s="210"/>
      <c r="I4" s="210"/>
    </row>
    <row r="5" spans="1:9" ht="13.15" customHeight="1" x14ac:dyDescent="0.15">
      <c r="B5" s="3"/>
      <c r="C5" s="3"/>
      <c r="D5" s="3"/>
      <c r="E5" s="3"/>
      <c r="F5" s="3"/>
      <c r="G5" s="3"/>
      <c r="H5" s="3"/>
      <c r="I5" s="3"/>
    </row>
    <row r="6" spans="1:9" ht="18" customHeight="1" x14ac:dyDescent="0.15">
      <c r="A6" s="1" t="s">
        <v>0</v>
      </c>
      <c r="B6" s="10" t="s">
        <v>90</v>
      </c>
      <c r="C6" s="324" t="s">
        <v>91</v>
      </c>
      <c r="D6" s="324"/>
      <c r="E6" s="34">
        <v>81</v>
      </c>
      <c r="F6" s="3" t="s">
        <v>1</v>
      </c>
      <c r="G6" s="3" t="s">
        <v>2</v>
      </c>
      <c r="H6" s="34">
        <v>126</v>
      </c>
      <c r="I6" s="10" t="s">
        <v>1</v>
      </c>
    </row>
    <row r="7" spans="1:9" ht="12" customHeight="1" x14ac:dyDescent="0.15">
      <c r="C7" s="2"/>
      <c r="D7" s="2"/>
      <c r="E7" s="2"/>
      <c r="F7" s="2"/>
      <c r="G7" s="2"/>
      <c r="H7" s="2"/>
      <c r="I7" s="42"/>
    </row>
    <row r="8" spans="1:9" ht="18" customHeight="1" x14ac:dyDescent="0.15">
      <c r="A8" s="1" t="s">
        <v>3</v>
      </c>
      <c r="B8" s="10" t="s">
        <v>92</v>
      </c>
      <c r="E8" s="3"/>
      <c r="F8" s="3"/>
      <c r="G8" s="3"/>
      <c r="H8" s="34">
        <v>7</v>
      </c>
      <c r="I8" s="10" t="s">
        <v>1</v>
      </c>
    </row>
    <row r="9" spans="1:9" ht="9" customHeight="1" x14ac:dyDescent="0.15">
      <c r="B9" s="3"/>
      <c r="C9" s="3"/>
      <c r="D9" s="3"/>
      <c r="E9" s="3"/>
      <c r="F9" s="3"/>
      <c r="G9" s="3"/>
      <c r="H9" s="3"/>
      <c r="I9" s="3"/>
    </row>
    <row r="10" spans="1:9" ht="18" customHeight="1" x14ac:dyDescent="0.15">
      <c r="A10" s="1" t="s">
        <v>4</v>
      </c>
      <c r="B10" s="10" t="s">
        <v>93</v>
      </c>
      <c r="C10" s="3"/>
      <c r="D10" s="3"/>
      <c r="E10" s="3"/>
      <c r="F10" s="3"/>
      <c r="G10" s="3"/>
      <c r="H10" s="3"/>
      <c r="I10" s="3"/>
    </row>
    <row r="11" spans="1:9" ht="18" customHeight="1" x14ac:dyDescent="0.15">
      <c r="B11" s="35" t="s">
        <v>42</v>
      </c>
      <c r="C11" s="317" t="s">
        <v>157</v>
      </c>
      <c r="D11" s="320"/>
      <c r="E11" s="321"/>
      <c r="F11" s="42"/>
      <c r="G11" s="35" t="s">
        <v>10</v>
      </c>
      <c r="H11" s="322" t="s">
        <v>158</v>
      </c>
      <c r="I11" s="323"/>
    </row>
    <row r="12" spans="1:9" ht="10.15" customHeight="1" x14ac:dyDescent="0.15">
      <c r="B12" s="35"/>
      <c r="C12" s="10"/>
      <c r="D12" s="42"/>
      <c r="E12" s="42"/>
      <c r="F12" s="42"/>
      <c r="G12" s="35"/>
      <c r="H12" s="10"/>
      <c r="I12" s="42"/>
    </row>
    <row r="13" spans="1:9" ht="18" customHeight="1" x14ac:dyDescent="0.15">
      <c r="A13" s="1" t="s">
        <v>7</v>
      </c>
      <c r="B13" s="10" t="s">
        <v>87</v>
      </c>
      <c r="C13" s="3"/>
      <c r="D13" s="3"/>
      <c r="E13" s="3"/>
      <c r="F13" s="3"/>
      <c r="G13" s="3"/>
      <c r="H13" s="3"/>
      <c r="I13" s="3"/>
    </row>
    <row r="14" spans="1:9" ht="18" customHeight="1" x14ac:dyDescent="0.15">
      <c r="B14" s="317" t="s">
        <v>159</v>
      </c>
      <c r="C14" s="318"/>
      <c r="D14" s="318"/>
      <c r="E14" s="318"/>
      <c r="F14" s="318"/>
      <c r="G14" s="318"/>
      <c r="H14" s="318"/>
      <c r="I14" s="319"/>
    </row>
    <row r="15" spans="1:9" ht="9" customHeight="1" x14ac:dyDescent="0.15">
      <c r="B15" s="3"/>
      <c r="C15" s="3"/>
      <c r="D15" s="3"/>
      <c r="E15" s="3"/>
      <c r="F15" s="3"/>
      <c r="G15" s="3"/>
      <c r="H15" s="3"/>
      <c r="I15" s="3"/>
    </row>
    <row r="16" spans="1:9" ht="18" customHeight="1" x14ac:dyDescent="0.15">
      <c r="B16" s="35" t="s">
        <v>42</v>
      </c>
      <c r="C16" s="317" t="s">
        <v>157</v>
      </c>
      <c r="D16" s="320"/>
      <c r="E16" s="321"/>
      <c r="F16" s="42"/>
      <c r="G16" s="35" t="s">
        <v>10</v>
      </c>
      <c r="H16" s="322" t="s">
        <v>158</v>
      </c>
      <c r="I16" s="323"/>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309" t="s">
        <v>160</v>
      </c>
      <c r="C19" s="310"/>
      <c r="D19" s="310"/>
      <c r="E19" s="310"/>
      <c r="F19" s="310"/>
      <c r="G19" s="310"/>
      <c r="H19" s="310"/>
      <c r="I19" s="311"/>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5"/>
      <c r="B22" s="299" t="s">
        <v>164</v>
      </c>
      <c r="C22" s="300"/>
      <c r="D22" s="300"/>
      <c r="E22" s="300"/>
      <c r="F22" s="300"/>
      <c r="G22" s="300"/>
      <c r="H22" s="300"/>
      <c r="I22" s="301"/>
    </row>
    <row r="23" spans="1:9" ht="18.75" customHeight="1" x14ac:dyDescent="0.15">
      <c r="A23" s="15"/>
      <c r="B23" s="312"/>
      <c r="C23" s="313"/>
      <c r="D23" s="313"/>
      <c r="E23" s="313"/>
      <c r="F23" s="313"/>
      <c r="G23" s="313"/>
      <c r="H23" s="313"/>
      <c r="I23" s="304"/>
    </row>
    <row r="24" spans="1:9" ht="18.75" customHeight="1" x14ac:dyDescent="0.15">
      <c r="A24" s="15"/>
      <c r="B24" s="312"/>
      <c r="C24" s="313"/>
      <c r="D24" s="313"/>
      <c r="E24" s="313"/>
      <c r="F24" s="313"/>
      <c r="G24" s="313"/>
      <c r="H24" s="313"/>
      <c r="I24" s="304"/>
    </row>
    <row r="25" spans="1:9" ht="18.75" customHeight="1" x14ac:dyDescent="0.15">
      <c r="A25" s="15"/>
      <c r="B25" s="312"/>
      <c r="C25" s="313"/>
      <c r="D25" s="313"/>
      <c r="E25" s="313"/>
      <c r="F25" s="313"/>
      <c r="G25" s="313"/>
      <c r="H25" s="313"/>
      <c r="I25" s="304"/>
    </row>
    <row r="26" spans="1:9" ht="18.75" customHeight="1" x14ac:dyDescent="0.15">
      <c r="A26" s="15"/>
      <c r="B26" s="312"/>
      <c r="C26" s="313"/>
      <c r="D26" s="313"/>
      <c r="E26" s="313"/>
      <c r="F26" s="313"/>
      <c r="G26" s="313"/>
      <c r="H26" s="313"/>
      <c r="I26" s="304"/>
    </row>
    <row r="27" spans="1:9" ht="18.75" customHeight="1" x14ac:dyDescent="0.15">
      <c r="A27" s="15"/>
      <c r="B27" s="312"/>
      <c r="C27" s="313"/>
      <c r="D27" s="313"/>
      <c r="E27" s="313"/>
      <c r="F27" s="313"/>
      <c r="G27" s="313"/>
      <c r="H27" s="313"/>
      <c r="I27" s="304"/>
    </row>
    <row r="28" spans="1:9" ht="18.75" customHeight="1" x14ac:dyDescent="0.15">
      <c r="A28" s="15"/>
      <c r="B28" s="312"/>
      <c r="C28" s="313"/>
      <c r="D28" s="313"/>
      <c r="E28" s="313"/>
      <c r="F28" s="313"/>
      <c r="G28" s="313"/>
      <c r="H28" s="313"/>
      <c r="I28" s="304"/>
    </row>
    <row r="29" spans="1:9" ht="18.75" customHeight="1" x14ac:dyDescent="0.15">
      <c r="A29" s="15"/>
      <c r="B29" s="312"/>
      <c r="C29" s="313"/>
      <c r="D29" s="313"/>
      <c r="E29" s="313"/>
      <c r="F29" s="313"/>
      <c r="G29" s="313"/>
      <c r="H29" s="313"/>
      <c r="I29" s="304"/>
    </row>
    <row r="30" spans="1:9" ht="18.75" customHeight="1" x14ac:dyDescent="0.15">
      <c r="A30" s="15"/>
      <c r="B30" s="302"/>
      <c r="C30" s="303"/>
      <c r="D30" s="303"/>
      <c r="E30" s="303"/>
      <c r="F30" s="303"/>
      <c r="G30" s="303"/>
      <c r="H30" s="303"/>
      <c r="I30" s="304"/>
    </row>
    <row r="31" spans="1:9" ht="18.75" customHeight="1" x14ac:dyDescent="0.15">
      <c r="A31" s="15"/>
      <c r="B31" s="302"/>
      <c r="C31" s="303"/>
      <c r="D31" s="303"/>
      <c r="E31" s="303"/>
      <c r="F31" s="303"/>
      <c r="G31" s="303"/>
      <c r="H31" s="303"/>
      <c r="I31" s="304"/>
    </row>
    <row r="32" spans="1:9" ht="18.75" customHeight="1" x14ac:dyDescent="0.15">
      <c r="A32" s="15"/>
      <c r="B32" s="305"/>
      <c r="C32" s="306"/>
      <c r="D32" s="306"/>
      <c r="E32" s="306"/>
      <c r="F32" s="306"/>
      <c r="G32" s="306"/>
      <c r="H32" s="306"/>
      <c r="I32" s="307"/>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99" t="s">
        <v>165</v>
      </c>
      <c r="C35" s="300"/>
      <c r="D35" s="300"/>
      <c r="E35" s="300"/>
      <c r="F35" s="300"/>
      <c r="G35" s="300"/>
      <c r="H35" s="300"/>
      <c r="I35" s="301"/>
    </row>
    <row r="36" spans="1:9" ht="18.75" customHeight="1" x14ac:dyDescent="0.15">
      <c r="A36" s="15"/>
      <c r="B36" s="302"/>
      <c r="C36" s="303"/>
      <c r="D36" s="303"/>
      <c r="E36" s="303"/>
      <c r="F36" s="303"/>
      <c r="G36" s="303"/>
      <c r="H36" s="303"/>
      <c r="I36" s="304"/>
    </row>
    <row r="37" spans="1:9" ht="18.75" customHeight="1" x14ac:dyDescent="0.15">
      <c r="A37" s="15"/>
      <c r="B37" s="302"/>
      <c r="C37" s="303"/>
      <c r="D37" s="303"/>
      <c r="E37" s="303"/>
      <c r="F37" s="303"/>
      <c r="G37" s="303"/>
      <c r="H37" s="303"/>
      <c r="I37" s="304"/>
    </row>
    <row r="38" spans="1:9" ht="18.75" customHeight="1" x14ac:dyDescent="0.15">
      <c r="A38" s="15"/>
      <c r="B38" s="302"/>
      <c r="C38" s="303"/>
      <c r="D38" s="303"/>
      <c r="E38" s="303"/>
      <c r="F38" s="303"/>
      <c r="G38" s="303"/>
      <c r="H38" s="303"/>
      <c r="I38" s="304"/>
    </row>
    <row r="39" spans="1:9" ht="18.75" customHeight="1" x14ac:dyDescent="0.15">
      <c r="A39" s="15"/>
      <c r="B39" s="302"/>
      <c r="C39" s="303"/>
      <c r="D39" s="303"/>
      <c r="E39" s="303"/>
      <c r="F39" s="303"/>
      <c r="G39" s="303"/>
      <c r="H39" s="303"/>
      <c r="I39" s="304"/>
    </row>
    <row r="40" spans="1:9" ht="18.75" customHeight="1" x14ac:dyDescent="0.15">
      <c r="A40" s="15"/>
      <c r="B40" s="302"/>
      <c r="C40" s="303"/>
      <c r="D40" s="303"/>
      <c r="E40" s="303"/>
      <c r="F40" s="303"/>
      <c r="G40" s="303"/>
      <c r="H40" s="303"/>
      <c r="I40" s="304"/>
    </row>
    <row r="41" spans="1:9" ht="18.75" customHeight="1" x14ac:dyDescent="0.15">
      <c r="A41" s="15"/>
      <c r="B41" s="302"/>
      <c r="C41" s="303"/>
      <c r="D41" s="303"/>
      <c r="E41" s="303"/>
      <c r="F41" s="303"/>
      <c r="G41" s="303"/>
      <c r="H41" s="303"/>
      <c r="I41" s="304"/>
    </row>
    <row r="42" spans="1:9" ht="18.75" customHeight="1" x14ac:dyDescent="0.15">
      <c r="A42" s="15"/>
      <c r="B42" s="302"/>
      <c r="C42" s="303"/>
      <c r="D42" s="303"/>
      <c r="E42" s="303"/>
      <c r="F42" s="303"/>
      <c r="G42" s="303"/>
      <c r="H42" s="303"/>
      <c r="I42" s="304"/>
    </row>
    <row r="43" spans="1:9" ht="18.75" customHeight="1" x14ac:dyDescent="0.15">
      <c r="A43" s="15"/>
      <c r="B43" s="302"/>
      <c r="C43" s="303"/>
      <c r="D43" s="303"/>
      <c r="E43" s="303"/>
      <c r="F43" s="303"/>
      <c r="G43" s="303"/>
      <c r="H43" s="303"/>
      <c r="I43" s="304"/>
    </row>
    <row r="44" spans="1:9" ht="18.75" customHeight="1" x14ac:dyDescent="0.15">
      <c r="A44" s="15"/>
      <c r="B44" s="302"/>
      <c r="C44" s="303"/>
      <c r="D44" s="303"/>
      <c r="E44" s="303"/>
      <c r="F44" s="303"/>
      <c r="G44" s="303"/>
      <c r="H44" s="303"/>
      <c r="I44" s="304"/>
    </row>
    <row r="45" spans="1:9" ht="18.75" customHeight="1" x14ac:dyDescent="0.15">
      <c r="A45" s="15"/>
      <c r="B45" s="302"/>
      <c r="C45" s="303"/>
      <c r="D45" s="303"/>
      <c r="E45" s="303"/>
      <c r="F45" s="303"/>
      <c r="G45" s="303"/>
      <c r="H45" s="303"/>
      <c r="I45" s="304"/>
    </row>
    <row r="46" spans="1:9" ht="18.75" customHeight="1" x14ac:dyDescent="0.15">
      <c r="A46" s="15"/>
      <c r="B46" s="305"/>
      <c r="C46" s="306"/>
      <c r="D46" s="306"/>
      <c r="E46" s="306"/>
      <c r="F46" s="306"/>
      <c r="G46" s="306"/>
      <c r="H46" s="306"/>
      <c r="I46" s="307"/>
    </row>
    <row r="47" spans="1:9" ht="7.5" customHeight="1" x14ac:dyDescent="0.15">
      <c r="A47" s="4"/>
      <c r="B47" s="4"/>
      <c r="C47" s="4"/>
      <c r="D47" s="4"/>
      <c r="E47" s="4"/>
      <c r="F47" s="4"/>
      <c r="G47" s="4"/>
      <c r="H47" s="4"/>
      <c r="I47" s="4"/>
    </row>
    <row r="48" spans="1:9" ht="18.75" customHeight="1" x14ac:dyDescent="0.15">
      <c r="A48" s="1" t="s">
        <v>30</v>
      </c>
      <c r="B48" s="1" t="s">
        <v>122</v>
      </c>
    </row>
    <row r="49" spans="1:15" s="3" customFormat="1" ht="18.75" customHeight="1" x14ac:dyDescent="0.15">
      <c r="B49" s="43" t="s">
        <v>88</v>
      </c>
      <c r="C49" s="342">
        <f>'様式２ 履修者等数の実績'!AQ32</f>
        <v>4.3181818181818182E-2</v>
      </c>
      <c r="D49" s="342"/>
      <c r="E49" s="43" t="s">
        <v>65</v>
      </c>
      <c r="F49" s="342">
        <v>0.2</v>
      </c>
      <c r="G49" s="342"/>
      <c r="H49" s="43" t="s">
        <v>66</v>
      </c>
      <c r="I49" s="44">
        <v>0.5</v>
      </c>
      <c r="J49" s="1"/>
      <c r="M49" s="1"/>
      <c r="N49" s="45"/>
    </row>
    <row r="50" spans="1:15" s="3" customFormat="1" ht="18.75" customHeight="1" x14ac:dyDescent="0.15">
      <c r="B50" s="46" t="s">
        <v>67</v>
      </c>
      <c r="C50" s="325">
        <v>0.75</v>
      </c>
      <c r="D50" s="325"/>
      <c r="E50" s="46" t="s">
        <v>89</v>
      </c>
      <c r="F50" s="325">
        <v>1</v>
      </c>
      <c r="G50" s="325"/>
      <c r="H50" s="46" t="s">
        <v>68</v>
      </c>
      <c r="I50" s="47">
        <f>'様式２ 履修者等数の実績'!E32</f>
        <v>2200</v>
      </c>
      <c r="J50" s="1"/>
      <c r="M50" s="1"/>
      <c r="N50" s="45"/>
    </row>
    <row r="51" spans="1:15" ht="18.75" customHeight="1" x14ac:dyDescent="0.15">
      <c r="A51" s="1"/>
      <c r="B51" s="314" t="s">
        <v>69</v>
      </c>
      <c r="C51" s="315"/>
      <c r="D51" s="315"/>
      <c r="E51" s="315"/>
      <c r="F51" s="315"/>
      <c r="G51" s="315"/>
      <c r="H51" s="315"/>
      <c r="I51" s="316"/>
      <c r="N51" s="45"/>
      <c r="O51" s="3"/>
    </row>
    <row r="52" spans="1:15" ht="18.75" customHeight="1" x14ac:dyDescent="0.15">
      <c r="A52" s="1"/>
      <c r="B52" s="343" t="s">
        <v>166</v>
      </c>
      <c r="C52" s="344"/>
      <c r="D52" s="344"/>
      <c r="E52" s="344"/>
      <c r="F52" s="344"/>
      <c r="G52" s="344"/>
      <c r="H52" s="344"/>
      <c r="I52" s="345"/>
      <c r="N52" s="45"/>
      <c r="O52" s="3"/>
    </row>
    <row r="53" spans="1:15" ht="18.75" customHeight="1" x14ac:dyDescent="0.15">
      <c r="A53" s="1"/>
      <c r="B53" s="346"/>
      <c r="C53" s="347"/>
      <c r="D53" s="347"/>
      <c r="E53" s="347"/>
      <c r="F53" s="347"/>
      <c r="G53" s="347"/>
      <c r="H53" s="347"/>
      <c r="I53" s="348"/>
      <c r="N53" s="45"/>
      <c r="O53" s="3"/>
    </row>
    <row r="54" spans="1:15" ht="18.75" customHeight="1" x14ac:dyDescent="0.15">
      <c r="A54" s="1"/>
      <c r="B54" s="346"/>
      <c r="C54" s="347"/>
      <c r="D54" s="347"/>
      <c r="E54" s="347"/>
      <c r="F54" s="347"/>
      <c r="G54" s="347"/>
      <c r="H54" s="347"/>
      <c r="I54" s="348"/>
    </row>
    <row r="55" spans="1:15" ht="18.75" customHeight="1" x14ac:dyDescent="0.15">
      <c r="A55" s="1"/>
      <c r="B55" s="346"/>
      <c r="C55" s="347"/>
      <c r="D55" s="347"/>
      <c r="E55" s="347"/>
      <c r="F55" s="347"/>
      <c r="G55" s="347"/>
      <c r="H55" s="347"/>
      <c r="I55" s="348"/>
    </row>
    <row r="56" spans="1:15" ht="18.75" customHeight="1" x14ac:dyDescent="0.15">
      <c r="A56" s="1"/>
      <c r="B56" s="346"/>
      <c r="C56" s="347"/>
      <c r="D56" s="347"/>
      <c r="E56" s="347"/>
      <c r="F56" s="347"/>
      <c r="G56" s="347"/>
      <c r="H56" s="347"/>
      <c r="I56" s="348"/>
    </row>
    <row r="57" spans="1:15" ht="18.75" customHeight="1" x14ac:dyDescent="0.15">
      <c r="A57" s="1"/>
      <c r="B57" s="346"/>
      <c r="C57" s="347"/>
      <c r="D57" s="347"/>
      <c r="E57" s="347"/>
      <c r="F57" s="347"/>
      <c r="G57" s="347"/>
      <c r="H57" s="347"/>
      <c r="I57" s="348"/>
    </row>
    <row r="58" spans="1:15" ht="18.75" customHeight="1" x14ac:dyDescent="0.15">
      <c r="A58" s="1"/>
      <c r="B58" s="346"/>
      <c r="C58" s="347"/>
      <c r="D58" s="347"/>
      <c r="E58" s="347"/>
      <c r="F58" s="347"/>
      <c r="G58" s="347"/>
      <c r="H58" s="347"/>
      <c r="I58" s="348"/>
    </row>
    <row r="59" spans="1:15" ht="18.75" customHeight="1" x14ac:dyDescent="0.15">
      <c r="A59" s="1"/>
      <c r="B59" s="346"/>
      <c r="C59" s="347"/>
      <c r="D59" s="347"/>
      <c r="E59" s="347"/>
      <c r="F59" s="347"/>
      <c r="G59" s="347"/>
      <c r="H59" s="347"/>
      <c r="I59" s="348"/>
    </row>
    <row r="60" spans="1:15" ht="18.75" customHeight="1" x14ac:dyDescent="0.15">
      <c r="A60" s="1"/>
      <c r="B60" s="346"/>
      <c r="C60" s="347"/>
      <c r="D60" s="347"/>
      <c r="E60" s="347"/>
      <c r="F60" s="347"/>
      <c r="G60" s="347"/>
      <c r="H60" s="347"/>
      <c r="I60" s="348"/>
    </row>
    <row r="61" spans="1:15" ht="18.75" customHeight="1" x14ac:dyDescent="0.15">
      <c r="A61" s="1"/>
      <c r="B61" s="346"/>
      <c r="C61" s="347"/>
      <c r="D61" s="347"/>
      <c r="E61" s="347"/>
      <c r="F61" s="347"/>
      <c r="G61" s="347"/>
      <c r="H61" s="347"/>
      <c r="I61" s="348"/>
    </row>
    <row r="62" spans="1:15" ht="18.75" customHeight="1" x14ac:dyDescent="0.15">
      <c r="A62" s="1"/>
      <c r="B62" s="346"/>
      <c r="C62" s="347"/>
      <c r="D62" s="347"/>
      <c r="E62" s="347"/>
      <c r="F62" s="347"/>
      <c r="G62" s="347"/>
      <c r="H62" s="347"/>
      <c r="I62" s="348"/>
    </row>
    <row r="63" spans="1:15" ht="18.75" customHeight="1" x14ac:dyDescent="0.15">
      <c r="A63" s="1"/>
      <c r="B63" s="349"/>
      <c r="C63" s="350"/>
      <c r="D63" s="350"/>
      <c r="E63" s="350"/>
      <c r="F63" s="350"/>
      <c r="G63" s="350"/>
      <c r="H63" s="350"/>
      <c r="I63" s="351"/>
    </row>
    <row r="64" spans="1:15" ht="7.5" customHeight="1" x14ac:dyDescent="0.15">
      <c r="A64" s="15"/>
      <c r="B64" s="15"/>
      <c r="C64" s="15"/>
      <c r="D64" s="15"/>
      <c r="E64" s="15"/>
      <c r="F64" s="15"/>
      <c r="G64" s="15"/>
      <c r="H64" s="15"/>
      <c r="I64" s="15"/>
    </row>
    <row r="65" spans="1:9" ht="18.75" customHeight="1" x14ac:dyDescent="0.15">
      <c r="A65" s="16" t="s">
        <v>33</v>
      </c>
      <c r="B65" s="1" t="s">
        <v>36</v>
      </c>
      <c r="I65" s="16"/>
    </row>
    <row r="66" spans="1:9" ht="18.75" customHeight="1" x14ac:dyDescent="0.15">
      <c r="A66" s="4"/>
      <c r="B66" s="326" t="s">
        <v>167</v>
      </c>
      <c r="C66" s="327"/>
      <c r="D66" s="327"/>
      <c r="E66" s="327"/>
      <c r="F66" s="327"/>
      <c r="G66" s="327"/>
      <c r="H66" s="327"/>
      <c r="I66" s="328"/>
    </row>
    <row r="67" spans="1:9" ht="18.75" customHeight="1" x14ac:dyDescent="0.15">
      <c r="A67" s="4"/>
      <c r="B67" s="329"/>
      <c r="C67" s="330"/>
      <c r="D67" s="330"/>
      <c r="E67" s="330"/>
      <c r="F67" s="330"/>
      <c r="G67" s="330"/>
      <c r="H67" s="330"/>
      <c r="I67" s="331"/>
    </row>
    <row r="68" spans="1:9" ht="18.75" customHeight="1" x14ac:dyDescent="0.15">
      <c r="A68" s="4"/>
      <c r="B68" s="329"/>
      <c r="C68" s="330"/>
      <c r="D68" s="330"/>
      <c r="E68" s="330"/>
      <c r="F68" s="330"/>
      <c r="G68" s="330"/>
      <c r="H68" s="330"/>
      <c r="I68" s="331"/>
    </row>
    <row r="69" spans="1:9" ht="18.75" customHeight="1" x14ac:dyDescent="0.15">
      <c r="A69" s="4"/>
      <c r="B69" s="329"/>
      <c r="C69" s="330"/>
      <c r="D69" s="330"/>
      <c r="E69" s="330"/>
      <c r="F69" s="330"/>
      <c r="G69" s="330"/>
      <c r="H69" s="330"/>
      <c r="I69" s="331"/>
    </row>
    <row r="70" spans="1:9" ht="18.75" customHeight="1" x14ac:dyDescent="0.15">
      <c r="A70" s="4"/>
      <c r="B70" s="329"/>
      <c r="C70" s="330"/>
      <c r="D70" s="330"/>
      <c r="E70" s="330"/>
      <c r="F70" s="330"/>
      <c r="G70" s="330"/>
      <c r="H70" s="330"/>
      <c r="I70" s="331"/>
    </row>
    <row r="71" spans="1:9" ht="18.75" customHeight="1" x14ac:dyDescent="0.15">
      <c r="A71" s="4"/>
      <c r="B71" s="329"/>
      <c r="C71" s="330"/>
      <c r="D71" s="330"/>
      <c r="E71" s="330"/>
      <c r="F71" s="330"/>
      <c r="G71" s="330"/>
      <c r="H71" s="330"/>
      <c r="I71" s="331"/>
    </row>
    <row r="72" spans="1:9" ht="18.75" customHeight="1" x14ac:dyDescent="0.15">
      <c r="A72" s="4"/>
      <c r="B72" s="329"/>
      <c r="C72" s="330"/>
      <c r="D72" s="330"/>
      <c r="E72" s="330"/>
      <c r="F72" s="330"/>
      <c r="G72" s="330"/>
      <c r="H72" s="330"/>
      <c r="I72" s="331"/>
    </row>
    <row r="73" spans="1:9" ht="18.75" customHeight="1" x14ac:dyDescent="0.15">
      <c r="A73" s="4"/>
      <c r="B73" s="329"/>
      <c r="C73" s="330"/>
      <c r="D73" s="330"/>
      <c r="E73" s="330"/>
      <c r="F73" s="330"/>
      <c r="G73" s="330"/>
      <c r="H73" s="330"/>
      <c r="I73" s="331"/>
    </row>
    <row r="74" spans="1:9" ht="18.75" customHeight="1" x14ac:dyDescent="0.15">
      <c r="A74" s="4"/>
      <c r="B74" s="329"/>
      <c r="C74" s="330"/>
      <c r="D74" s="330"/>
      <c r="E74" s="330"/>
      <c r="F74" s="330"/>
      <c r="G74" s="330"/>
      <c r="H74" s="330"/>
      <c r="I74" s="331"/>
    </row>
    <row r="75" spans="1:9" ht="18.75" customHeight="1" x14ac:dyDescent="0.15">
      <c r="A75" s="4"/>
      <c r="B75" s="329"/>
      <c r="C75" s="330"/>
      <c r="D75" s="330"/>
      <c r="E75" s="330"/>
      <c r="F75" s="330"/>
      <c r="G75" s="330"/>
      <c r="H75" s="330"/>
      <c r="I75" s="331"/>
    </row>
    <row r="76" spans="1:9" ht="18.75" customHeight="1" x14ac:dyDescent="0.15">
      <c r="A76" s="4"/>
      <c r="B76" s="329"/>
      <c r="C76" s="330"/>
      <c r="D76" s="330"/>
      <c r="E76" s="330"/>
      <c r="F76" s="330"/>
      <c r="G76" s="330"/>
      <c r="H76" s="330"/>
      <c r="I76" s="331"/>
    </row>
    <row r="77" spans="1:9" ht="18.75" customHeight="1" x14ac:dyDescent="0.15">
      <c r="A77" s="4"/>
      <c r="B77" s="332"/>
      <c r="C77" s="333"/>
      <c r="D77" s="333"/>
      <c r="E77" s="333"/>
      <c r="F77" s="333"/>
      <c r="G77" s="333"/>
      <c r="H77" s="333"/>
      <c r="I77" s="334"/>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326" t="s">
        <v>168</v>
      </c>
      <c r="C80" s="327"/>
      <c r="D80" s="327"/>
      <c r="E80" s="327"/>
      <c r="F80" s="327"/>
      <c r="G80" s="327"/>
      <c r="H80" s="327"/>
      <c r="I80" s="335"/>
    </row>
    <row r="81" spans="1:9" ht="18.75" customHeight="1" x14ac:dyDescent="0.15">
      <c r="A81" s="1"/>
      <c r="B81" s="336"/>
      <c r="C81" s="337"/>
      <c r="D81" s="337"/>
      <c r="E81" s="337"/>
      <c r="F81" s="337"/>
      <c r="G81" s="337"/>
      <c r="H81" s="337"/>
      <c r="I81" s="338"/>
    </row>
    <row r="82" spans="1:9" ht="18.75" customHeight="1" x14ac:dyDescent="0.15">
      <c r="A82" s="1"/>
      <c r="B82" s="336"/>
      <c r="C82" s="337"/>
      <c r="D82" s="337"/>
      <c r="E82" s="337"/>
      <c r="F82" s="337"/>
      <c r="G82" s="337"/>
      <c r="H82" s="337"/>
      <c r="I82" s="338"/>
    </row>
    <row r="83" spans="1:9" ht="18.75" customHeight="1" x14ac:dyDescent="0.15">
      <c r="A83" s="1"/>
      <c r="B83" s="336"/>
      <c r="C83" s="337"/>
      <c r="D83" s="337"/>
      <c r="E83" s="337"/>
      <c r="F83" s="337"/>
      <c r="G83" s="337"/>
      <c r="H83" s="337"/>
      <c r="I83" s="338"/>
    </row>
    <row r="84" spans="1:9" ht="18.75" customHeight="1" x14ac:dyDescent="0.15">
      <c r="A84" s="1"/>
      <c r="B84" s="336"/>
      <c r="C84" s="337"/>
      <c r="D84" s="337"/>
      <c r="E84" s="337"/>
      <c r="F84" s="337"/>
      <c r="G84" s="337"/>
      <c r="H84" s="337"/>
      <c r="I84" s="338"/>
    </row>
    <row r="85" spans="1:9" ht="18.75" customHeight="1" x14ac:dyDescent="0.15">
      <c r="A85" s="1"/>
      <c r="B85" s="336"/>
      <c r="C85" s="337"/>
      <c r="D85" s="337"/>
      <c r="E85" s="337"/>
      <c r="F85" s="337"/>
      <c r="G85" s="337"/>
      <c r="H85" s="337"/>
      <c r="I85" s="338"/>
    </row>
    <row r="86" spans="1:9" ht="18.75" customHeight="1" x14ac:dyDescent="0.15">
      <c r="A86" s="1"/>
      <c r="B86" s="336"/>
      <c r="C86" s="337"/>
      <c r="D86" s="337"/>
      <c r="E86" s="337"/>
      <c r="F86" s="337"/>
      <c r="G86" s="337"/>
      <c r="H86" s="337"/>
      <c r="I86" s="338"/>
    </row>
    <row r="87" spans="1:9" ht="18.75" customHeight="1" x14ac:dyDescent="0.15">
      <c r="A87" s="1"/>
      <c r="B87" s="336"/>
      <c r="C87" s="337"/>
      <c r="D87" s="337"/>
      <c r="E87" s="337"/>
      <c r="F87" s="337"/>
      <c r="G87" s="337"/>
      <c r="H87" s="337"/>
      <c r="I87" s="338"/>
    </row>
    <row r="88" spans="1:9" ht="18.75" customHeight="1" x14ac:dyDescent="0.15">
      <c r="A88" s="1"/>
      <c r="B88" s="336"/>
      <c r="C88" s="337"/>
      <c r="D88" s="337"/>
      <c r="E88" s="337"/>
      <c r="F88" s="337"/>
      <c r="G88" s="337"/>
      <c r="H88" s="337"/>
      <c r="I88" s="338"/>
    </row>
    <row r="89" spans="1:9" ht="18.75" customHeight="1" x14ac:dyDescent="0.15">
      <c r="A89" s="1"/>
      <c r="B89" s="336"/>
      <c r="C89" s="337"/>
      <c r="D89" s="337"/>
      <c r="E89" s="337"/>
      <c r="F89" s="337"/>
      <c r="G89" s="337"/>
      <c r="H89" s="337"/>
      <c r="I89" s="338"/>
    </row>
    <row r="90" spans="1:9" ht="18.75" customHeight="1" x14ac:dyDescent="0.15">
      <c r="A90" s="4"/>
      <c r="B90" s="336"/>
      <c r="C90" s="337"/>
      <c r="D90" s="337"/>
      <c r="E90" s="337"/>
      <c r="F90" s="337"/>
      <c r="G90" s="337"/>
      <c r="H90" s="337"/>
      <c r="I90" s="338"/>
    </row>
    <row r="91" spans="1:9" ht="18.75" customHeight="1" x14ac:dyDescent="0.15">
      <c r="A91" s="4"/>
      <c r="B91" s="339"/>
      <c r="C91" s="340"/>
      <c r="D91" s="340"/>
      <c r="E91" s="340"/>
      <c r="F91" s="340"/>
      <c r="G91" s="340"/>
      <c r="H91" s="340"/>
      <c r="I91" s="341"/>
    </row>
    <row r="92" spans="1:9" ht="7.5" customHeight="1" x14ac:dyDescent="0.15">
      <c r="A92" s="4"/>
      <c r="B92" s="4"/>
      <c r="C92" s="4"/>
      <c r="D92" s="4"/>
      <c r="E92" s="4"/>
      <c r="F92" s="4"/>
      <c r="G92" s="4"/>
      <c r="H92" s="4"/>
      <c r="I92" s="4"/>
    </row>
    <row r="93" spans="1:9" ht="18.75" customHeight="1" x14ac:dyDescent="0.15">
      <c r="A93" s="1" t="s">
        <v>43</v>
      </c>
      <c r="B93" s="1" t="s">
        <v>12</v>
      </c>
    </row>
    <row r="94" spans="1:9" ht="18.75" customHeight="1" x14ac:dyDescent="0.15">
      <c r="A94" s="1"/>
      <c r="B94" s="299" t="s">
        <v>169</v>
      </c>
      <c r="C94" s="300"/>
      <c r="D94" s="300"/>
      <c r="E94" s="300"/>
      <c r="F94" s="300"/>
      <c r="G94" s="300"/>
      <c r="H94" s="300"/>
      <c r="I94" s="301"/>
    </row>
    <row r="95" spans="1:9" ht="18.75" customHeight="1" x14ac:dyDescent="0.15">
      <c r="A95" s="1"/>
      <c r="B95" s="302"/>
      <c r="C95" s="303"/>
      <c r="D95" s="303"/>
      <c r="E95" s="303"/>
      <c r="F95" s="303"/>
      <c r="G95" s="303"/>
      <c r="H95" s="303"/>
      <c r="I95" s="304"/>
    </row>
    <row r="96" spans="1:9" ht="18.75" customHeight="1" x14ac:dyDescent="0.15">
      <c r="A96" s="1"/>
      <c r="B96" s="302"/>
      <c r="C96" s="303"/>
      <c r="D96" s="303"/>
      <c r="E96" s="303"/>
      <c r="F96" s="303"/>
      <c r="G96" s="303"/>
      <c r="H96" s="303"/>
      <c r="I96" s="304"/>
    </row>
    <row r="97" spans="1:9" ht="18.75" customHeight="1" x14ac:dyDescent="0.15">
      <c r="A97" s="1"/>
      <c r="B97" s="302"/>
      <c r="C97" s="303"/>
      <c r="D97" s="303"/>
      <c r="E97" s="303"/>
      <c r="F97" s="303"/>
      <c r="G97" s="303"/>
      <c r="H97" s="303"/>
      <c r="I97" s="304"/>
    </row>
    <row r="98" spans="1:9" ht="18.75" customHeight="1" x14ac:dyDescent="0.15">
      <c r="A98" s="1"/>
      <c r="B98" s="302"/>
      <c r="C98" s="303"/>
      <c r="D98" s="303"/>
      <c r="E98" s="303"/>
      <c r="F98" s="303"/>
      <c r="G98" s="303"/>
      <c r="H98" s="303"/>
      <c r="I98" s="304"/>
    </row>
    <row r="99" spans="1:9" ht="18.75" customHeight="1" x14ac:dyDescent="0.15">
      <c r="A99" s="1"/>
      <c r="B99" s="302"/>
      <c r="C99" s="303"/>
      <c r="D99" s="303"/>
      <c r="E99" s="303"/>
      <c r="F99" s="303"/>
      <c r="G99" s="303"/>
      <c r="H99" s="303"/>
      <c r="I99" s="304"/>
    </row>
    <row r="100" spans="1:9" ht="18.75" customHeight="1" x14ac:dyDescent="0.15">
      <c r="A100" s="1"/>
      <c r="B100" s="302"/>
      <c r="C100" s="303"/>
      <c r="D100" s="303"/>
      <c r="E100" s="303"/>
      <c r="F100" s="303"/>
      <c r="G100" s="303"/>
      <c r="H100" s="303"/>
      <c r="I100" s="304"/>
    </row>
    <row r="101" spans="1:9" ht="18.75" customHeight="1" x14ac:dyDescent="0.15">
      <c r="A101" s="1"/>
      <c r="B101" s="302"/>
      <c r="C101" s="303"/>
      <c r="D101" s="303"/>
      <c r="E101" s="303"/>
      <c r="F101" s="303"/>
      <c r="G101" s="303"/>
      <c r="H101" s="303"/>
      <c r="I101" s="304"/>
    </row>
    <row r="102" spans="1:9" ht="18.75" customHeight="1" x14ac:dyDescent="0.15">
      <c r="A102" s="1"/>
      <c r="B102" s="302"/>
      <c r="C102" s="303"/>
      <c r="D102" s="303"/>
      <c r="E102" s="303"/>
      <c r="F102" s="303"/>
      <c r="G102" s="303"/>
      <c r="H102" s="303"/>
      <c r="I102" s="304"/>
    </row>
    <row r="103" spans="1:9" ht="18.75" customHeight="1" x14ac:dyDescent="0.15">
      <c r="A103" s="1"/>
      <c r="B103" s="302"/>
      <c r="C103" s="303"/>
      <c r="D103" s="303"/>
      <c r="E103" s="303"/>
      <c r="F103" s="303"/>
      <c r="G103" s="303"/>
      <c r="H103" s="303"/>
      <c r="I103" s="304"/>
    </row>
    <row r="104" spans="1:9" ht="18.75" customHeight="1" x14ac:dyDescent="0.15">
      <c r="A104" s="1"/>
      <c r="B104" s="302"/>
      <c r="C104" s="303"/>
      <c r="D104" s="303"/>
      <c r="E104" s="303"/>
      <c r="F104" s="303"/>
      <c r="G104" s="303"/>
      <c r="H104" s="303"/>
      <c r="I104" s="304"/>
    </row>
    <row r="105" spans="1:9" ht="18.75" customHeight="1" x14ac:dyDescent="0.15">
      <c r="A105" s="4"/>
      <c r="B105" s="305"/>
      <c r="C105" s="306"/>
      <c r="D105" s="306"/>
      <c r="E105" s="306"/>
      <c r="F105" s="306"/>
      <c r="G105" s="306"/>
      <c r="H105" s="306"/>
      <c r="I105" s="307"/>
    </row>
    <row r="106" spans="1:9" ht="7.5" customHeight="1" x14ac:dyDescent="0.15">
      <c r="A106" s="4"/>
      <c r="B106" s="4"/>
      <c r="C106" s="4"/>
      <c r="D106" s="4"/>
      <c r="E106" s="4"/>
      <c r="F106" s="4"/>
      <c r="G106" s="4"/>
      <c r="H106" s="4"/>
      <c r="I106" s="4"/>
    </row>
    <row r="107" spans="1:9" ht="18.75" customHeight="1" x14ac:dyDescent="0.15">
      <c r="A107" s="1" t="s">
        <v>29</v>
      </c>
      <c r="B107" s="308" t="s">
        <v>45</v>
      </c>
      <c r="C107" s="308"/>
      <c r="D107" s="308"/>
      <c r="E107" s="308"/>
      <c r="F107" s="308"/>
      <c r="G107" s="308"/>
      <c r="H107" s="308"/>
      <c r="I107" s="308"/>
    </row>
    <row r="108" spans="1:9" ht="18.75" customHeight="1" x14ac:dyDescent="0.15">
      <c r="A108" s="4"/>
      <c r="B108" s="299" t="s">
        <v>170</v>
      </c>
      <c r="C108" s="300"/>
      <c r="D108" s="300"/>
      <c r="E108" s="300"/>
      <c r="F108" s="300"/>
      <c r="G108" s="300"/>
      <c r="H108" s="300"/>
      <c r="I108" s="301"/>
    </row>
    <row r="109" spans="1:9" ht="18.75" customHeight="1" x14ac:dyDescent="0.15">
      <c r="A109" s="4"/>
      <c r="B109" s="302"/>
      <c r="C109" s="303"/>
      <c r="D109" s="303"/>
      <c r="E109" s="303"/>
      <c r="F109" s="303"/>
      <c r="G109" s="303"/>
      <c r="H109" s="303"/>
      <c r="I109" s="304"/>
    </row>
    <row r="110" spans="1:9" ht="18.75" customHeight="1" x14ac:dyDescent="0.15">
      <c r="A110" s="4"/>
      <c r="B110" s="302"/>
      <c r="C110" s="303"/>
      <c r="D110" s="303"/>
      <c r="E110" s="303"/>
      <c r="F110" s="303"/>
      <c r="G110" s="303"/>
      <c r="H110" s="303"/>
      <c r="I110" s="304"/>
    </row>
    <row r="111" spans="1:9" ht="18.75" customHeight="1" x14ac:dyDescent="0.15">
      <c r="A111" s="4"/>
      <c r="B111" s="302"/>
      <c r="C111" s="303"/>
      <c r="D111" s="303"/>
      <c r="E111" s="303"/>
      <c r="F111" s="303"/>
      <c r="G111" s="303"/>
      <c r="H111" s="303"/>
      <c r="I111" s="304"/>
    </row>
    <row r="112" spans="1:9" ht="18.75" customHeight="1" x14ac:dyDescent="0.15">
      <c r="A112" s="4"/>
      <c r="B112" s="302"/>
      <c r="C112" s="303"/>
      <c r="D112" s="303"/>
      <c r="E112" s="303"/>
      <c r="F112" s="303"/>
      <c r="G112" s="303"/>
      <c r="H112" s="303"/>
      <c r="I112" s="304"/>
    </row>
    <row r="113" spans="1:9" ht="18.75" customHeight="1" x14ac:dyDescent="0.15">
      <c r="A113" s="4"/>
      <c r="B113" s="302"/>
      <c r="C113" s="303"/>
      <c r="D113" s="303"/>
      <c r="E113" s="303"/>
      <c r="F113" s="303"/>
      <c r="G113" s="303"/>
      <c r="H113" s="303"/>
      <c r="I113" s="304"/>
    </row>
    <row r="114" spans="1:9" ht="18.75" customHeight="1" x14ac:dyDescent="0.15">
      <c r="A114" s="4"/>
      <c r="B114" s="302"/>
      <c r="C114" s="303"/>
      <c r="D114" s="303"/>
      <c r="E114" s="303"/>
      <c r="F114" s="303"/>
      <c r="G114" s="303"/>
      <c r="H114" s="303"/>
      <c r="I114" s="304"/>
    </row>
    <row r="115" spans="1:9" ht="18.75" customHeight="1" x14ac:dyDescent="0.15">
      <c r="A115" s="4"/>
      <c r="B115" s="302"/>
      <c r="C115" s="303"/>
      <c r="D115" s="303"/>
      <c r="E115" s="303"/>
      <c r="F115" s="303"/>
      <c r="G115" s="303"/>
      <c r="H115" s="303"/>
      <c r="I115" s="304"/>
    </row>
    <row r="116" spans="1:9" ht="18.75" customHeight="1" x14ac:dyDescent="0.15">
      <c r="A116" s="4"/>
      <c r="B116" s="302"/>
      <c r="C116" s="303"/>
      <c r="D116" s="303"/>
      <c r="E116" s="303"/>
      <c r="F116" s="303"/>
      <c r="G116" s="303"/>
      <c r="H116" s="303"/>
      <c r="I116" s="304"/>
    </row>
    <row r="117" spans="1:9" ht="18.75" customHeight="1" x14ac:dyDescent="0.15">
      <c r="A117" s="4"/>
      <c r="B117" s="302"/>
      <c r="C117" s="303"/>
      <c r="D117" s="303"/>
      <c r="E117" s="303"/>
      <c r="F117" s="303"/>
      <c r="G117" s="303"/>
      <c r="H117" s="303"/>
      <c r="I117" s="304"/>
    </row>
    <row r="118" spans="1:9" ht="18.75" customHeight="1" x14ac:dyDescent="0.15">
      <c r="A118" s="4"/>
      <c r="B118" s="302"/>
      <c r="C118" s="303"/>
      <c r="D118" s="303"/>
      <c r="E118" s="303"/>
      <c r="F118" s="303"/>
      <c r="G118" s="303"/>
      <c r="H118" s="303"/>
      <c r="I118" s="304"/>
    </row>
    <row r="119" spans="1:9" ht="18.75" customHeight="1" x14ac:dyDescent="0.15">
      <c r="A119" s="4"/>
      <c r="B119" s="305"/>
      <c r="C119" s="306"/>
      <c r="D119" s="306"/>
      <c r="E119" s="306"/>
      <c r="F119" s="306"/>
      <c r="G119" s="306"/>
      <c r="H119" s="306"/>
      <c r="I119" s="307"/>
    </row>
    <row r="120" spans="1:9" ht="7.5" customHeight="1" x14ac:dyDescent="0.15">
      <c r="A120" s="4"/>
      <c r="B120" s="48"/>
      <c r="C120" s="48"/>
      <c r="D120" s="48"/>
      <c r="E120" s="48"/>
      <c r="F120" s="48"/>
      <c r="G120" s="48"/>
      <c r="H120" s="48"/>
      <c r="I120" s="48"/>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9"/>
      <c r="B134" s="49"/>
      <c r="C134" s="49"/>
      <c r="D134" s="49"/>
      <c r="E134" s="49"/>
      <c r="F134" s="49"/>
      <c r="G134" s="49"/>
      <c r="H134" s="49"/>
      <c r="I134" s="49"/>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90" zoomScaleNormal="100" zoomScaleSheetLayoutView="90" workbookViewId="0">
      <selection activeCell="D2" sqref="D2"/>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70</v>
      </c>
      <c r="I1" s="35" t="s">
        <v>104</v>
      </c>
    </row>
    <row r="2" spans="1:9" ht="18.75" customHeight="1" x14ac:dyDescent="0.15">
      <c r="H2" s="35" t="s">
        <v>108</v>
      </c>
      <c r="I2" s="34" t="str">
        <f>'様式１－１　プログラムを構成する授業科目'!C2</f>
        <v>江戸川大学</v>
      </c>
    </row>
    <row r="3" spans="1:9" ht="18.75" customHeight="1" x14ac:dyDescent="0.15">
      <c r="A3" s="210" t="s">
        <v>27</v>
      </c>
      <c r="B3" s="210"/>
      <c r="C3" s="210"/>
      <c r="D3" s="210"/>
      <c r="E3" s="210"/>
      <c r="F3" s="210"/>
      <c r="G3" s="210"/>
      <c r="H3" s="210"/>
      <c r="I3" s="210"/>
    </row>
    <row r="4" spans="1:9" ht="18.75" customHeight="1" x14ac:dyDescent="0.15">
      <c r="A4" s="5"/>
      <c r="B4" s="5"/>
      <c r="C4" s="5"/>
      <c r="D4" s="5"/>
      <c r="E4" s="5"/>
      <c r="F4" s="5"/>
      <c r="G4" s="5"/>
      <c r="H4" s="5"/>
      <c r="I4" s="5"/>
    </row>
    <row r="5" spans="1:9" ht="18.75" customHeight="1" x14ac:dyDescent="0.15">
      <c r="A5" s="1" t="s">
        <v>0</v>
      </c>
      <c r="B5" s="10" t="s">
        <v>94</v>
      </c>
      <c r="C5" s="5"/>
      <c r="D5" s="5"/>
      <c r="E5" s="5"/>
      <c r="F5" s="5"/>
      <c r="G5" s="5"/>
      <c r="H5" s="5"/>
      <c r="I5" s="5"/>
    </row>
    <row r="6" spans="1:9" ht="26.25" customHeight="1" x14ac:dyDescent="0.15">
      <c r="A6" s="5"/>
      <c r="B6" s="317" t="s">
        <v>161</v>
      </c>
      <c r="C6" s="359"/>
      <c r="D6" s="359"/>
      <c r="E6" s="359"/>
      <c r="F6" s="359"/>
      <c r="G6" s="359"/>
      <c r="H6" s="360"/>
      <c r="I6" s="3"/>
    </row>
    <row r="7" spans="1:9" ht="9" customHeight="1" x14ac:dyDescent="0.15">
      <c r="A7" s="5"/>
      <c r="B7" s="10"/>
      <c r="C7" s="10"/>
      <c r="D7" s="10"/>
      <c r="E7" s="10"/>
      <c r="F7" s="10"/>
      <c r="G7" s="10"/>
      <c r="H7" s="10"/>
      <c r="I7" s="3"/>
    </row>
    <row r="8" spans="1:9" ht="18.75" customHeight="1" x14ac:dyDescent="0.15">
      <c r="A8" s="5"/>
      <c r="B8" s="3"/>
      <c r="C8" s="3"/>
      <c r="D8" s="35" t="s">
        <v>42</v>
      </c>
      <c r="E8" s="36" t="s">
        <v>162</v>
      </c>
      <c r="F8" s="3"/>
      <c r="G8" s="35" t="s">
        <v>10</v>
      </c>
      <c r="H8" s="36" t="s">
        <v>163</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206" t="s">
        <v>23</v>
      </c>
      <c r="C11" s="207"/>
      <c r="D11" s="208"/>
      <c r="E11" s="207" t="s">
        <v>25</v>
      </c>
      <c r="F11" s="207"/>
      <c r="G11" s="207"/>
      <c r="H11" s="207"/>
      <c r="I11" s="208"/>
    </row>
    <row r="12" spans="1:9" ht="26.25" customHeight="1" x14ac:dyDescent="0.15">
      <c r="B12" s="50" t="s">
        <v>13</v>
      </c>
      <c r="C12" s="57"/>
      <c r="D12" s="51"/>
      <c r="E12" s="58"/>
      <c r="F12" s="58"/>
      <c r="G12" s="58"/>
      <c r="H12" s="58"/>
      <c r="I12" s="51"/>
    </row>
    <row r="13" spans="1:9" ht="210.75" customHeight="1" x14ac:dyDescent="0.15">
      <c r="B13" s="52"/>
      <c r="C13" s="357" t="s">
        <v>14</v>
      </c>
      <c r="D13" s="358"/>
      <c r="E13" s="354" t="s">
        <v>173</v>
      </c>
      <c r="F13" s="355"/>
      <c r="G13" s="355"/>
      <c r="H13" s="355"/>
      <c r="I13" s="356"/>
    </row>
    <row r="14" spans="1:9" ht="210.75" customHeight="1" x14ac:dyDescent="0.15">
      <c r="B14" s="52"/>
      <c r="C14" s="352" t="s">
        <v>15</v>
      </c>
      <c r="D14" s="353"/>
      <c r="E14" s="354" t="s">
        <v>171</v>
      </c>
      <c r="F14" s="355"/>
      <c r="G14" s="355"/>
      <c r="H14" s="355"/>
      <c r="I14" s="356"/>
    </row>
    <row r="15" spans="1:9" ht="210.75" customHeight="1" x14ac:dyDescent="0.15">
      <c r="B15" s="52"/>
      <c r="C15" s="357" t="s">
        <v>16</v>
      </c>
      <c r="D15" s="358"/>
      <c r="E15" s="354" t="s">
        <v>172</v>
      </c>
      <c r="F15" s="355"/>
      <c r="G15" s="355"/>
      <c r="H15" s="355"/>
      <c r="I15" s="356"/>
    </row>
    <row r="16" spans="1:9" ht="210.75" customHeight="1" x14ac:dyDescent="0.15">
      <c r="B16" s="52"/>
      <c r="C16" s="357" t="s">
        <v>17</v>
      </c>
      <c r="D16" s="358"/>
      <c r="E16" s="354" t="s">
        <v>174</v>
      </c>
      <c r="F16" s="355"/>
      <c r="G16" s="355"/>
      <c r="H16" s="355"/>
      <c r="I16" s="356"/>
    </row>
    <row r="17" spans="2:9" ht="210.75" customHeight="1" x14ac:dyDescent="0.15">
      <c r="B17" s="53"/>
      <c r="C17" s="361" t="s">
        <v>18</v>
      </c>
      <c r="D17" s="362"/>
      <c r="E17" s="363" t="s">
        <v>175</v>
      </c>
      <c r="F17" s="364"/>
      <c r="G17" s="364"/>
      <c r="H17" s="364"/>
      <c r="I17" s="365"/>
    </row>
    <row r="18" spans="2:9" ht="24" customHeight="1" x14ac:dyDescent="0.15">
      <c r="B18" s="50" t="s">
        <v>19</v>
      </c>
      <c r="C18" s="54"/>
      <c r="D18" s="55"/>
      <c r="E18" s="56"/>
      <c r="F18" s="56"/>
      <c r="G18" s="56"/>
      <c r="H18" s="56"/>
      <c r="I18" s="59"/>
    </row>
    <row r="19" spans="2:9" ht="218.25" customHeight="1" x14ac:dyDescent="0.15">
      <c r="B19" s="52"/>
      <c r="C19" s="357" t="s">
        <v>20</v>
      </c>
      <c r="D19" s="358"/>
      <c r="E19" s="355" t="s">
        <v>176</v>
      </c>
      <c r="F19" s="355"/>
      <c r="G19" s="355"/>
      <c r="H19" s="355"/>
      <c r="I19" s="356"/>
    </row>
    <row r="20" spans="2:9" ht="218.25" customHeight="1" x14ac:dyDescent="0.15">
      <c r="B20" s="53"/>
      <c r="C20" s="361" t="s">
        <v>21</v>
      </c>
      <c r="D20" s="362"/>
      <c r="E20" s="364" t="s">
        <v>177</v>
      </c>
      <c r="F20" s="364"/>
      <c r="G20" s="364"/>
      <c r="H20" s="364"/>
      <c r="I20" s="365"/>
    </row>
    <row r="21" spans="2:9" ht="218.25" customHeight="1" x14ac:dyDescent="0.15">
      <c r="B21" s="371" t="s">
        <v>22</v>
      </c>
      <c r="C21" s="372"/>
      <c r="D21" s="373"/>
      <c r="E21" s="374" t="s">
        <v>178</v>
      </c>
      <c r="F21" s="374"/>
      <c r="G21" s="374"/>
      <c r="H21" s="374"/>
      <c r="I21" s="375"/>
    </row>
    <row r="22" spans="2:9" ht="218.25" customHeight="1" x14ac:dyDescent="0.15">
      <c r="B22" s="366" t="s">
        <v>37</v>
      </c>
      <c r="C22" s="367"/>
      <c r="D22" s="368"/>
      <c r="E22" s="369" t="s">
        <v>179</v>
      </c>
      <c r="F22" s="369"/>
      <c r="G22" s="369"/>
      <c r="H22" s="369"/>
      <c r="I22" s="370"/>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様式１－１　プログラムを構成する授業科目</vt:lpstr>
      <vt:lpstr>様式１－２　プログラムを構成する授業科目</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'様式１－２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nomoto</cp:lastModifiedBy>
  <cp:lastPrinted>2023-07-12T02:45:57Z</cp:lastPrinted>
  <dcterms:created xsi:type="dcterms:W3CDTF">2011-06-14T05:32:50Z</dcterms:created>
  <dcterms:modified xsi:type="dcterms:W3CDTF">2023-07-18T00:42:01Z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