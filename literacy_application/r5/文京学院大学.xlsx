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https://bunkyogakuin-my.sharepoint.com/personal/ktomoda_bgu_ac_jp/Documents/59_数理・データサイエンス・AI教育プログラム認定制度（リテラシーレベル）/R5年度申請書類/文京学院大学/01_文京学院大学_リテラシー/"/>
    </mc:Choice>
  </mc:AlternateContent>
  <xr:revisionPtr revIDLastSave="1" documentId="8_{5BF45AA1-B33B-477C-8F5E-48F368C509C0}" xr6:coauthVersionLast="47" xr6:coauthVersionMax="47" xr10:uidLastSave="{6F6D5F50-C699-4A81-86CF-AE6AD371F626}"/>
  <bookViews>
    <workbookView xWindow="-120" yWindow="-120" windowWidth="29040" windowHeight="15840" tabRatio="885" xr2:uid="{00000000-000D-0000-FFFF-FFFF00000000}"/>
  </bookViews>
  <sheets>
    <sheet name="様式１-1 外国語学部　プログラムを構成する授業科目" sheetId="43" r:id="rId1"/>
    <sheet name="様式１-2 経営学部　プログラムを構成する授業科目" sheetId="39" r:id="rId2"/>
    <sheet name="様式１-3 保健医療技術部　プログラムを構成する授業科目 " sheetId="44" r:id="rId3"/>
    <sheet name="様式１-４ 人間学部　プログラムを構成する授業科目" sheetId="45" r:id="rId4"/>
    <sheet name="様式２ 履修者等数の実績" sheetId="40" r:id="rId5"/>
    <sheet name="様式３ 教育の質・履修者数を向上させるための体制・計画" sheetId="41" r:id="rId6"/>
    <sheet name="様式４　自己点検・評価" sheetId="42" r:id="rId7"/>
  </sheets>
  <definedNames>
    <definedName name="_xlnm._FilterDatabase" localSheetId="0" hidden="1">'様式１-1 外国語学部　プログラムを構成する授業科目'!$V$14:$V$16</definedName>
    <definedName name="_xlnm._FilterDatabase" localSheetId="1" hidden="1">'様式１-2 経営学部　プログラムを構成する授業科目'!$V$14:$V$16</definedName>
    <definedName name="_xlnm._FilterDatabase" localSheetId="2" hidden="1">'様式１-3 保健医療技術部　プログラムを構成する授業科目 '!$V$14:$V$16</definedName>
    <definedName name="_xlnm._FilterDatabase" localSheetId="3" hidden="1">'様式１-４ 人間学部　プログラムを構成する授業科目'!$V$14:$V$16</definedName>
    <definedName name="_xlnm._FilterDatabase" localSheetId="4" hidden="1">'様式２ 履修者等数の実績'!#REF!</definedName>
    <definedName name="_xlnm.Print_Area" localSheetId="0">'様式１-1 外国語学部　プログラムを構成する授業科目'!$A$1:$S$102</definedName>
    <definedName name="_xlnm.Print_Area" localSheetId="1">'様式１-2 経営学部　プログラムを構成する授業科目'!$A$1:$S$102</definedName>
    <definedName name="_xlnm.Print_Area" localSheetId="2">'様式１-3 保健医療技術部　プログラムを構成する授業科目 '!$A$1:$S$102</definedName>
    <definedName name="_xlnm.Print_Area" localSheetId="3">'様式１-４ 人間学部　プログラムを構成する授業科目'!$A$1:$S$102</definedName>
    <definedName name="_xlnm.Print_Area" localSheetId="4">'様式２ 履修者等数の実績'!$A$1:$AQ$32</definedName>
    <definedName name="_xlnm.Print_Area" localSheetId="5">'様式３ 教育の質・履修者数を向上させるための体制・計画'!$A$1:$I$120</definedName>
    <definedName name="_xlnm.Print_Area" localSheetId="6">'様式４　自己点検・評価'!$A$1:$I$22</definedName>
    <definedName name="_xlnm.Print_Titles" localSheetId="6">'様式４　自己点検・評価'!$11:$11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<sst xmlns="http://schemas.openxmlformats.org/spreadsheetml/2006/main" count="750" uniqueCount="215">
  <si>
    <t>様式１ー１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</si>
  <si>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</si>
  <si>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</si>
  <si>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文京学院大学</t>
    <rPh sb="0" eb="6">
      <t>ブンキョウガクインダイガク</t>
    </rPh>
    <phoneticPr fontId="1"/>
  </si>
  <si>
    <t>プログラム名</t>
    <rPh sb="5" eb="6">
      <t>メイ</t>
    </rPh>
    <phoneticPr fontId="1"/>
  </si>
  <si>
    <t>文京学院大学データサイエンス
・リテラシープログラム</t>
    <rPh sb="0" eb="6">
      <t>ブンキョウガクインダイガク</t>
    </rPh>
    <phoneticPr fontId="1"/>
  </si>
  <si>
    <t>プログラムを構成する授業科目について</t>
    <phoneticPr fontId="1"/>
  </si>
  <si>
    <t>① 対象となる学部・学科名称</t>
    <phoneticPr fontId="1"/>
  </si>
  <si>
    <t>② 教育プログラムの修了要件</t>
    <phoneticPr fontId="1"/>
  </si>
  <si>
    <t>学部・学科によって、修了要件は相違する</t>
  </si>
  <si>
    <t>外国語学部・英語コミュニケーション学科</t>
    <rPh sb="0" eb="3">
      <t>ガイコクゴ</t>
    </rPh>
    <rPh sb="3" eb="5">
      <t>ガクブ</t>
    </rPh>
    <rPh sb="6" eb="8">
      <t>エイゴ</t>
    </rPh>
    <rPh sb="17" eb="19">
      <t>ガッカ</t>
    </rPh>
    <phoneticPr fontId="1"/>
  </si>
  <si>
    <t>③ 修了要件</t>
    <phoneticPr fontId="1"/>
  </si>
  <si>
    <t>プログラムを構成する「大学特別科目」から２単位以上、「情報処理」から2単位以上、合計4単位以上を取得すること。
大学特別科目：１．データサイエンス入門（1年次/必修/2単位）　
情報処理：２．情報処理演習a（1年次/必修/1単位）、２．情報処理演習b（1年次/必修/1単位）
なお、データサイエンス入門は、2023年度から全学部対面式で共通内容の授業を行う（2022年度は4学部のうち3学部で共通内容を実施済み）。</t>
    <rPh sb="11" eb="13">
      <t>ダイガク</t>
    </rPh>
    <rPh sb="13" eb="15">
      <t>トクベツ</t>
    </rPh>
    <rPh sb="15" eb="17">
      <t>カモク</t>
    </rPh>
    <rPh sb="27" eb="31">
      <t>ジョウホウショリ</t>
    </rPh>
    <rPh sb="73" eb="75">
      <t>ニュウモン</t>
    </rPh>
    <rPh sb="77" eb="79">
      <t>ネンジ</t>
    </rPh>
    <rPh sb="80" eb="82">
      <t>ヒッシュウ</t>
    </rPh>
    <rPh sb="84" eb="86">
      <t>タンイ</t>
    </rPh>
    <rPh sb="96" eb="102">
      <t>ジョウホウショリエンシュウ</t>
    </rPh>
    <rPh sb="150" eb="152">
      <t>ニュウモン</t>
    </rPh>
    <rPh sb="158" eb="160">
      <t>ネンド</t>
    </rPh>
    <rPh sb="162" eb="165">
      <t>ゼンガクブ</t>
    </rPh>
    <rPh sb="171" eb="173">
      <t>ナイヨウ</t>
    </rPh>
    <rPh sb="174" eb="176">
      <t>ジュギョウ</t>
    </rPh>
    <rPh sb="177" eb="178">
      <t>オコナ</t>
    </rPh>
    <rPh sb="184" eb="186">
      <t>ネンド</t>
    </rPh>
    <rPh sb="188" eb="190">
      <t>ガクブ</t>
    </rPh>
    <rPh sb="194" eb="196">
      <t>ガクブ</t>
    </rPh>
    <rPh sb="197" eb="199">
      <t>キョウツウ</t>
    </rPh>
    <rPh sb="199" eb="201">
      <t>ナイヨウ</t>
    </rPh>
    <rPh sb="202" eb="205">
      <t>ジッシズ</t>
    </rPh>
    <phoneticPr fontId="1"/>
  </si>
  <si>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</si>
  <si>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</si>
  <si>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</si>
  <si>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</si>
  <si>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</si>
  <si>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</si>
  <si>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</si>
  <si>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</si>
  <si>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</si>
  <si>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</si>
  <si>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</si>
  <si>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</si>
  <si>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</si>
  <si>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データサイエンス入門</t>
    <rPh sb="8" eb="10">
      <t>ニュウモン</t>
    </rPh>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</si>
  <si>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</si>
  <si>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</si>
  <si>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</si>
  <si>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</si>
  <si>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</si>
  <si>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</si>
  <si>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</si>
  <si>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</si>
  <si>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</si>
  <si>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</si>
  <si>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情報処理演習a</t>
    <rPh sb="0" eb="6">
      <t>ジョウホウショリエンシュウ</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</si>
  <si>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</si>
  <si>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</si>
  <si>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</si>
  <si>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</si>
  <si>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情報処理演習b</t>
    <rPh sb="0" eb="4">
      <t>ジョウホウショリ</t>
    </rPh>
    <rPh sb="4" eb="6">
      <t>エンシュウ</t>
    </rPh>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</si>
  <si>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</si>
  <si>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</si>
  <si>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</si>
  <si>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</si>
  <si>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</si>
  <si>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</si>
  <si>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</si>
  <si>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</si>
  <si>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</si>
  <si>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</si>
  <si>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</si>
  <si>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</si>
  <si>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</si>
  <si>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そこで、本プログラムでは、文理を問わず、社会におけるデータ・AIの収集や利活用、留意事項、データを適切に読み解く能力を身に付ける。</t>
    <phoneticPr fontId="1"/>
  </si>
  <si>
    <t>様式１ー２</t>
    <rPh sb="0" eb="2">
      <t>ヨウシキ</t>
    </rPh>
    <phoneticPr fontId="1"/>
  </si>
  <si>
    <t>経営学部・経営コミュニケーション学科、経営学部・マーケティング・デザイン学科</t>
    <rPh sb="0" eb="2">
      <t>ケイエイ</t>
    </rPh>
    <rPh sb="2" eb="4">
      <t>ガクブ</t>
    </rPh>
    <phoneticPr fontId="1"/>
  </si>
  <si>
    <t>プログラムを構成する「大学特別科目」から２単位以上、「学部共通科目」から2単位以上、合計4単位以上を取得すること。
大学特別科目：１．データサイエンス入門（1年次/必修/2単位）　
学部共通科目：２．統計学a（1年次/選択/2単位）
なお、データサイエンス入門は、2023年度から全学部対面式で共通内容の授業を行う（2022年度は4学部のうち3学部で共通内容を実施済み）。</t>
    <rPh sb="11" eb="13">
      <t>ダイガク</t>
    </rPh>
    <rPh sb="13" eb="15">
      <t>トクベツ</t>
    </rPh>
    <rPh sb="15" eb="17">
      <t>カモク</t>
    </rPh>
    <rPh sb="27" eb="29">
      <t>ガクブ</t>
    </rPh>
    <rPh sb="29" eb="31">
      <t>キョウツウ</t>
    </rPh>
    <rPh sb="31" eb="33">
      <t>カモク</t>
    </rPh>
    <rPh sb="75" eb="77">
      <t>ニュウモン</t>
    </rPh>
    <rPh sb="79" eb="81">
      <t>ネンジ</t>
    </rPh>
    <rPh sb="82" eb="84">
      <t>ヒッシュウ</t>
    </rPh>
    <rPh sb="86" eb="88">
      <t>タンイ</t>
    </rPh>
    <rPh sb="100" eb="102">
      <t>トウケイ</t>
    </rPh>
    <rPh sb="102" eb="103">
      <t>ガク</t>
    </rPh>
    <rPh sb="109" eb="111">
      <t>センタク</t>
    </rPh>
    <rPh sb="129" eb="131">
      <t>ニュウモン</t>
    </rPh>
    <rPh sb="137" eb="139">
      <t>ネンド</t>
    </rPh>
    <rPh sb="141" eb="144">
      <t>ゼンガクブ</t>
    </rPh>
    <rPh sb="150" eb="152">
      <t>ナイヨウ</t>
    </rPh>
    <rPh sb="153" eb="155">
      <t>ジュギョウ</t>
    </rPh>
    <rPh sb="156" eb="157">
      <t>オコナ</t>
    </rPh>
    <rPh sb="163" eb="165">
      <t>ネンド</t>
    </rPh>
    <rPh sb="167" eb="169">
      <t>ガクブ</t>
    </rPh>
    <rPh sb="173" eb="175">
      <t>ガクブ</t>
    </rPh>
    <rPh sb="176" eb="178">
      <t>キョウツウ</t>
    </rPh>
    <rPh sb="178" eb="180">
      <t>ナイヨウ</t>
    </rPh>
    <rPh sb="181" eb="184">
      <t>ジッシズ</t>
    </rPh>
    <phoneticPr fontId="1"/>
  </si>
  <si>
    <t>統計学a</t>
    <rPh sb="0" eb="3">
      <t>トウケイガク</t>
    </rPh>
    <phoneticPr fontId="1"/>
  </si>
  <si>
    <t>様式１ー３</t>
    <rPh sb="0" eb="2">
      <t>ヨウシキ</t>
    </rPh>
    <phoneticPr fontId="1"/>
  </si>
  <si>
    <t>保健医療技術学部・理学療法学科、保健医療技術学部・作業療法学科、保健医療技術学部・臨床検査学科、保健医療技術学部・看護学科</t>
    <rPh sb="0" eb="2">
      <t>ホケン</t>
    </rPh>
    <rPh sb="2" eb="4">
      <t>イリョウ</t>
    </rPh>
    <rPh sb="4" eb="6">
      <t>ギジュツ</t>
    </rPh>
    <rPh sb="6" eb="8">
      <t>ガクブ</t>
    </rPh>
    <rPh sb="9" eb="11">
      <t>リガク</t>
    </rPh>
    <rPh sb="11" eb="13">
      <t>リョウホウ</t>
    </rPh>
    <rPh sb="16" eb="18">
      <t>ホケン</t>
    </rPh>
    <rPh sb="18" eb="20">
      <t>イリョウ</t>
    </rPh>
    <rPh sb="20" eb="22">
      <t>ギジュツ</t>
    </rPh>
    <rPh sb="25" eb="27">
      <t>サギョウ</t>
    </rPh>
    <rPh sb="27" eb="29">
      <t>リョウホウ</t>
    </rPh>
    <rPh sb="41" eb="43">
      <t>リンショウ</t>
    </rPh>
    <rPh sb="43" eb="45">
      <t>ケンサ</t>
    </rPh>
    <rPh sb="45" eb="47">
      <t>ガッカ</t>
    </rPh>
    <rPh sb="57" eb="59">
      <t>カンゴ</t>
    </rPh>
    <phoneticPr fontId="1"/>
  </si>
  <si>
    <t>プログラムを構成する「大学特別科目」から２単位以上、「学科別の科目」から1単位以上、合計3単位以上を取得すること。
大学特別科目：１．データサイエンス入門（1年次/必修/2単位）　
学科別の科目：２．統計学（看護学科1年次/必修/2単位）、３．統計学（理学療法学科及び作業療法学科2年次/必修/2単位）、４．医療情報処理演習Ⅱ（臨床検査学科4年次/必修/1単位）
なお、データサイエンス入門は、2023年度から全学部対面式で共通内容の授業を行う（2022年度は4学部のうち3学部で共通内容を実施済み）。</t>
    <rPh sb="11" eb="13">
      <t>ダイガク</t>
    </rPh>
    <rPh sb="13" eb="15">
      <t>トクベツ</t>
    </rPh>
    <rPh sb="15" eb="17">
      <t>カモク</t>
    </rPh>
    <rPh sb="27" eb="29">
      <t>ガッカ</t>
    </rPh>
    <rPh sb="29" eb="30">
      <t>ベツ</t>
    </rPh>
    <rPh sb="31" eb="33">
      <t>カモク</t>
    </rPh>
    <rPh sb="75" eb="77">
      <t>ニュウモン</t>
    </rPh>
    <rPh sb="79" eb="81">
      <t>ネンジ</t>
    </rPh>
    <rPh sb="82" eb="84">
      <t>ヒッシュウ</t>
    </rPh>
    <rPh sb="86" eb="88">
      <t>タンイ</t>
    </rPh>
    <rPh sb="91" eb="93">
      <t>ガッカ</t>
    </rPh>
    <rPh sb="93" eb="94">
      <t>ベツ</t>
    </rPh>
    <rPh sb="95" eb="97">
      <t>カモク</t>
    </rPh>
    <rPh sb="100" eb="103">
      <t>トウケイガク</t>
    </rPh>
    <rPh sb="104" eb="108">
      <t>カンゴガッカ</t>
    </rPh>
    <rPh sb="112" eb="114">
      <t>ヒッシュウ</t>
    </rPh>
    <rPh sb="126" eb="130">
      <t>リガクリョウホウ</t>
    </rPh>
    <rPh sb="132" eb="133">
      <t>オヨ</t>
    </rPh>
    <rPh sb="134" eb="138">
      <t>サギョウリョウホウ</t>
    </rPh>
    <rPh sb="138" eb="140">
      <t>ガッカ</t>
    </rPh>
    <rPh sb="164" eb="166">
      <t>リンショウ</t>
    </rPh>
    <rPh sb="166" eb="168">
      <t>ケンサ</t>
    </rPh>
    <rPh sb="194" eb="196">
      <t>ニュウモン</t>
    </rPh>
    <rPh sb="202" eb="204">
      <t>ネンド</t>
    </rPh>
    <rPh sb="206" eb="209">
      <t>ゼンガクブ</t>
    </rPh>
    <rPh sb="215" eb="217">
      <t>ナイヨウ</t>
    </rPh>
    <rPh sb="218" eb="220">
      <t>ジュギョウ</t>
    </rPh>
    <rPh sb="221" eb="222">
      <t>オコナ</t>
    </rPh>
    <rPh sb="228" eb="230">
      <t>ネンド</t>
    </rPh>
    <rPh sb="232" eb="234">
      <t>ガクブ</t>
    </rPh>
    <rPh sb="238" eb="240">
      <t>ガクブ</t>
    </rPh>
    <rPh sb="241" eb="243">
      <t>キョウツウ</t>
    </rPh>
    <rPh sb="243" eb="245">
      <t>ナイヨウ</t>
    </rPh>
    <rPh sb="246" eb="249">
      <t>ジッシズ</t>
    </rPh>
    <phoneticPr fontId="1"/>
  </si>
  <si>
    <t>医療情報処理演習Ⅱ（臨床検査学科）</t>
    <rPh sb="6" eb="8">
      <t>エンシュウ</t>
    </rPh>
    <phoneticPr fontId="1"/>
  </si>
  <si>
    <t>統計学（看護学科1年次）</t>
    <rPh sb="0" eb="3">
      <t>トウケイガク</t>
    </rPh>
    <rPh sb="4" eb="6">
      <t>カンゴ</t>
    </rPh>
    <rPh sb="6" eb="8">
      <t>ガッカ</t>
    </rPh>
    <rPh sb="9" eb="10">
      <t>ネン</t>
    </rPh>
    <rPh sb="10" eb="11">
      <t>ジ</t>
    </rPh>
    <phoneticPr fontId="1"/>
  </si>
  <si>
    <t>統計学（理学療法学科2年次）</t>
    <phoneticPr fontId="1"/>
  </si>
  <si>
    <t>統計学（作業療法学科2年次）</t>
    <phoneticPr fontId="1"/>
  </si>
  <si>
    <t>医療情報処理演習Ⅱ（臨床検査学科４年次）</t>
    <phoneticPr fontId="1"/>
  </si>
  <si>
    <t>様式１ー４</t>
    <rPh sb="0" eb="2">
      <t>ヨウシキ</t>
    </rPh>
    <phoneticPr fontId="1"/>
  </si>
  <si>
    <t>人間学部・児童発達学科、人間学部・心理学科、人間学部・コミュニケーション社会学科、人間学部・人間福祉学科</t>
    <rPh sb="0" eb="2">
      <t>ニンゲン</t>
    </rPh>
    <rPh sb="2" eb="4">
      <t>ガクブ</t>
    </rPh>
    <rPh sb="5" eb="7">
      <t>ジドウ</t>
    </rPh>
    <rPh sb="7" eb="9">
      <t>ハッタツ</t>
    </rPh>
    <rPh sb="9" eb="11">
      <t>ガッカ</t>
    </rPh>
    <rPh sb="12" eb="14">
      <t>ニンゲン</t>
    </rPh>
    <rPh sb="14" eb="16">
      <t>ガクブ</t>
    </rPh>
    <rPh sb="17" eb="19">
      <t>シンリ</t>
    </rPh>
    <rPh sb="19" eb="21">
      <t>ガッカ</t>
    </rPh>
    <rPh sb="22" eb="24">
      <t>ニンゲン</t>
    </rPh>
    <rPh sb="24" eb="26">
      <t>ガクブ</t>
    </rPh>
    <rPh sb="36" eb="38">
      <t>シャカイ</t>
    </rPh>
    <rPh sb="38" eb="40">
      <t>ガッカ</t>
    </rPh>
    <rPh sb="41" eb="45">
      <t>ニンゲンガクブ</t>
    </rPh>
    <phoneticPr fontId="1"/>
  </si>
  <si>
    <t>プログラムを構成する「大学特別科目」から２単位以上、「学科別の科目」から1単位以上、合計3単位以上を取得すること。
大学特別科目：１．データサイエンス入門（1年次/必修/2単位）　
学科別の科目：２．心理学統計法Ⅰ（心理学科1年次/必修/2単位）、３．社会統計学Ⅰ（コミュニケーション社会学科年次/必修/2単位）、４．情報処理演習Ⅰ（人間福祉学科1年次/必修/2単位）、５．情報メディア演習（児童発達学科1年次/選択/2単位）、６．情報機器の操作（児童発達学科2年次/選択/2単位）、７．算数（児童発達学科1年次/選択/2単位）
なお、データサイエンス入門は、2023年度から全学部対面式で共通内容の授業を行う（2022年度は4学部のうち3学部で共通内容を実施済み）。</t>
    <rPh sb="11" eb="13">
      <t>ダイガク</t>
    </rPh>
    <rPh sb="13" eb="15">
      <t>トクベツ</t>
    </rPh>
    <rPh sb="15" eb="17">
      <t>カモク</t>
    </rPh>
    <rPh sb="27" eb="29">
      <t>ガッカ</t>
    </rPh>
    <rPh sb="29" eb="30">
      <t>ベツ</t>
    </rPh>
    <rPh sb="31" eb="33">
      <t>カモク</t>
    </rPh>
    <rPh sb="75" eb="77">
      <t>ニュウモン</t>
    </rPh>
    <rPh sb="79" eb="81">
      <t>ネンジ</t>
    </rPh>
    <rPh sb="82" eb="84">
      <t>ヒッシュウ</t>
    </rPh>
    <rPh sb="86" eb="88">
      <t>タンイ</t>
    </rPh>
    <rPh sb="91" eb="93">
      <t>ガッカ</t>
    </rPh>
    <rPh sb="93" eb="94">
      <t>ベツ</t>
    </rPh>
    <rPh sb="95" eb="97">
      <t>カモク</t>
    </rPh>
    <rPh sb="277" eb="279">
      <t>ニュウモン</t>
    </rPh>
    <rPh sb="285" eb="287">
      <t>ネンド</t>
    </rPh>
    <rPh sb="289" eb="292">
      <t>ゼンガクブ</t>
    </rPh>
    <rPh sb="298" eb="300">
      <t>ナイヨウ</t>
    </rPh>
    <rPh sb="301" eb="303">
      <t>ジュギョウ</t>
    </rPh>
    <rPh sb="304" eb="305">
      <t>オコナ</t>
    </rPh>
    <rPh sb="311" eb="313">
      <t>ネンド</t>
    </rPh>
    <rPh sb="315" eb="317">
      <t>ガクブ</t>
    </rPh>
    <rPh sb="321" eb="323">
      <t>ガクブ</t>
    </rPh>
    <rPh sb="324" eb="326">
      <t>キョウツウ</t>
    </rPh>
    <rPh sb="326" eb="328">
      <t>ナイヨウ</t>
    </rPh>
    <rPh sb="329" eb="332">
      <t>ジッシズ</t>
    </rPh>
    <phoneticPr fontId="1"/>
  </si>
  <si>
    <t>心理学統計法Ⅰ（心理学科1年次）</t>
    <rPh sb="0" eb="3">
      <t>シンリガク</t>
    </rPh>
    <rPh sb="3" eb="5">
      <t>トウケイ</t>
    </rPh>
    <rPh sb="5" eb="6">
      <t>ホウ</t>
    </rPh>
    <rPh sb="8" eb="10">
      <t>シンリ</t>
    </rPh>
    <rPh sb="10" eb="12">
      <t>ガッカ</t>
    </rPh>
    <rPh sb="13" eb="14">
      <t>ネン</t>
    </rPh>
    <rPh sb="14" eb="15">
      <t>ジ</t>
    </rPh>
    <phoneticPr fontId="1"/>
  </si>
  <si>
    <t>社会統計学Ⅰ（コミュニケーション社会学科2年次）</t>
  </si>
  <si>
    <t>情報処理演習Ⅰ（人間福祉学科1年次）</t>
    <phoneticPr fontId="1"/>
  </si>
  <si>
    <t>情報メディア演習（児童発達学科1年次）</t>
    <phoneticPr fontId="1"/>
  </si>
  <si>
    <t>情報機器の操作（児童発達学科2年次）</t>
    <phoneticPr fontId="1"/>
  </si>
  <si>
    <t>算数（児童発達学科2年次）</t>
    <phoneticPr fontId="1"/>
  </si>
  <si>
    <t>様式２</t>
    <phoneticPr fontId="1"/>
  </si>
  <si>
    <t>プログラムの履修者数等の実績について</t>
    <phoneticPr fontId="1"/>
  </si>
  <si>
    <t>①プログラム開設年度</t>
    <rPh sb="6" eb="8">
      <t>カイセツ</t>
    </rPh>
    <rPh sb="8" eb="10">
      <t>ネンド</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</si>
  <si>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</si>
  <si>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</si>
  <si>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</si>
  <si>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</si>
  <si>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</si>
  <si>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</si>
  <si>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</si>
  <si>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</si>
  <si>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</si>
  <si>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</si>
  <si>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</si>
  <si>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</si>
  <si>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</si>
  <si>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</si>
  <si>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</si>
  <si>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</si>
  <si>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</si>
  <si>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</si>
  <si>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</si>
  <si>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外国語学部英語コミュニケーション学科</t>
    <rPh sb="0" eb="3">
      <t>ガイコクゴ</t>
    </rPh>
    <rPh sb="3" eb="5">
      <t>ガクブ</t>
    </rPh>
    <rPh sb="5" eb="7">
      <t>エイゴ</t>
    </rPh>
    <rPh sb="16" eb="18">
      <t>ガッカ</t>
    </rPh>
    <phoneticPr fontId="1"/>
  </si>
  <si>
    <t>経営学部経営学科</t>
    <rPh sb="0" eb="2">
      <t>ケイエイ</t>
    </rPh>
    <rPh sb="2" eb="4">
      <t>ガクブ</t>
    </rPh>
    <rPh sb="4" eb="6">
      <t>ケイエイ</t>
    </rPh>
    <rPh sb="6" eb="8">
      <t>ガッカ</t>
    </rPh>
    <phoneticPr fontId="1"/>
  </si>
  <si>
    <t>人間学部コミュニケーション社会学科</t>
    <rPh sb="0" eb="4">
      <t>ニンゲンガクブ</t>
    </rPh>
    <rPh sb="13" eb="17">
      <t>シャカイガッカ</t>
    </rPh>
    <phoneticPr fontId="1"/>
  </si>
  <si>
    <t>人間学部児童発達学科</t>
    <rPh sb="0" eb="4">
      <t>ニンゲンガクブ</t>
    </rPh>
    <rPh sb="4" eb="10">
      <t>ジドウハッタツガッカ</t>
    </rPh>
    <phoneticPr fontId="1"/>
  </si>
  <si>
    <t>人間学部人間福祉学科</t>
    <rPh sb="0" eb="4">
      <t>ニンゲンガクブ</t>
    </rPh>
    <rPh sb="4" eb="6">
      <t>ニンゲン</t>
    </rPh>
    <rPh sb="6" eb="8">
      <t>フクシ</t>
    </rPh>
    <rPh sb="8" eb="10">
      <t>ガッカ</t>
    </rPh>
    <phoneticPr fontId="1"/>
  </si>
  <si>
    <t>人間学部心理学科</t>
    <rPh sb="0" eb="4">
      <t>ニンゲンガクブ</t>
    </rPh>
    <rPh sb="4" eb="8">
      <t>シンリガッカ</t>
    </rPh>
    <phoneticPr fontId="1"/>
  </si>
  <si>
    <t>保健医療技術学部理学療法学科</t>
    <rPh sb="0" eb="4">
      <t>ホケンイリョウ</t>
    </rPh>
    <rPh sb="4" eb="6">
      <t>ギジュツ</t>
    </rPh>
    <rPh sb="6" eb="8">
      <t>ガクブ</t>
    </rPh>
    <rPh sb="8" eb="10">
      <t>リガク</t>
    </rPh>
    <rPh sb="10" eb="12">
      <t>リョウホウ</t>
    </rPh>
    <rPh sb="12" eb="14">
      <t>ガッカ</t>
    </rPh>
    <phoneticPr fontId="1"/>
  </si>
  <si>
    <t>保健医療技術学部作業療法学科</t>
    <rPh sb="0" eb="4">
      <t>ホケンイリョウ</t>
    </rPh>
    <rPh sb="4" eb="6">
      <t>ギジュツ</t>
    </rPh>
    <rPh sb="6" eb="8">
      <t>ガクブ</t>
    </rPh>
    <rPh sb="8" eb="10">
      <t>サギョウ</t>
    </rPh>
    <rPh sb="10" eb="12">
      <t>リョウホウ</t>
    </rPh>
    <rPh sb="12" eb="14">
      <t>ガッカ</t>
    </rPh>
    <phoneticPr fontId="1"/>
  </si>
  <si>
    <t>保健医療技術学部臨床検査学科</t>
    <rPh sb="0" eb="2">
      <t>ホケン</t>
    </rPh>
    <rPh sb="2" eb="4">
      <t>イリョウ</t>
    </rPh>
    <rPh sb="4" eb="8">
      <t>ギジュツガクブ</t>
    </rPh>
    <rPh sb="8" eb="12">
      <t>リンショウケンサ</t>
    </rPh>
    <rPh sb="12" eb="14">
      <t>ガッカ</t>
    </rPh>
    <phoneticPr fontId="1"/>
  </si>
  <si>
    <t>保健医療技術学部看護学科</t>
    <rPh sb="0" eb="8">
      <t>ホケンイリョウギジュツガクブ</t>
    </rPh>
    <rPh sb="8" eb="12">
      <t>カンゴガッカ</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</si>
  <si>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</si>
  <si>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</si>
  <si>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</si>
  <si>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</si>
  <si>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</si>
  <si>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</si>
  <si>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</si>
  <si>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</si>
  <si>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</si>
  <si>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</si>
  <si>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</si>
  <si>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</si>
  <si>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</si>
  <si>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</si>
  <si>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福井　勉</t>
    <rPh sb="0" eb="2">
      <t>フクイ</t>
    </rPh>
    <rPh sb="3" eb="4">
      <t>ツトム</t>
    </rPh>
    <phoneticPr fontId="1"/>
  </si>
  <si>
    <t>（役職名）</t>
    <rPh sb="1" eb="4">
      <t>ヤクショクメイ</t>
    </rPh>
    <phoneticPr fontId="1"/>
  </si>
  <si>
    <t>学長</t>
    <rPh sb="0" eb="2">
      <t>ガクチョウ</t>
    </rPh>
    <phoneticPr fontId="1"/>
  </si>
  <si>
    <t>④</t>
    <phoneticPr fontId="1"/>
  </si>
  <si>
    <t>プログラムを改善・進化させるための体制（委員会・組織等）</t>
    <phoneticPr fontId="1"/>
  </si>
  <si>
    <t>DX推進センター運営委員会</t>
    <rPh sb="2" eb="4">
      <t>スイシン</t>
    </rPh>
    <rPh sb="8" eb="13">
      <t>ウンエイイインカイ</t>
    </rPh>
    <phoneticPr fontId="1"/>
  </si>
  <si>
    <t>浜　正樹</t>
    <rPh sb="0" eb="1">
      <t>ハマ</t>
    </rPh>
    <rPh sb="2" eb="4">
      <t>マサキ</t>
    </rPh>
    <phoneticPr fontId="1"/>
  </si>
  <si>
    <t>DX推進センター長</t>
    <rPh sb="2" eb="4">
      <t>スイシン</t>
    </rPh>
    <rPh sb="8" eb="9">
      <t>チョウ</t>
    </rPh>
    <phoneticPr fontId="1"/>
  </si>
  <si>
    <t>⑤</t>
    <phoneticPr fontId="1"/>
  </si>
  <si>
    <t>プログラムを改善・進化させるための体制を定める規則名称</t>
    <phoneticPr fontId="1"/>
  </si>
  <si>
    <t>DX推進センター規程</t>
    <rPh sb="2" eb="4">
      <t>スイシン</t>
    </rPh>
    <rPh sb="8" eb="10">
      <t>キテイ</t>
    </rPh>
    <phoneticPr fontId="1"/>
  </si>
  <si>
    <t>⑥</t>
    <phoneticPr fontId="1"/>
  </si>
  <si>
    <t>体制の目的</t>
    <rPh sb="0" eb="2">
      <t>タイセイ</t>
    </rPh>
    <rPh sb="3" eb="5">
      <t>モクテキ</t>
    </rPh>
    <phoneticPr fontId="1"/>
  </si>
  <si>
    <t>文京学院大学（以下「本学」という。）の教育・研究・業務運営の諸活動において、デ
ジタルの活用を推進し業務を変革すること（デジタルトランスフォーメーション（以下、
「ＤＸ」という。）により、本学の機能強化、教育研究活動の高度化及び業務運営の効率
化を図ることを目的として、ＤＸ推進センター（以下「センター」という。）を設置している。
DX推進センターの業務分掌として、AI・データサイエンスプログラムの開発を含めており、そのカリキュラムを全学教務委員会へ提案している。
なお、将来的には、AI・データサイエンス教育の全学教養課程での位置付けを検討するため、全学教養課程委員会にそのカリキュラム運営業務を移管する予定である。</t>
    <rPh sb="158" eb="160">
      <t>セッチ</t>
    </rPh>
    <rPh sb="168" eb="170">
      <t>スイシン</t>
    </rPh>
    <rPh sb="175" eb="177">
      <t>ギョウム</t>
    </rPh>
    <rPh sb="177" eb="179">
      <t>ブンショウ</t>
    </rPh>
    <rPh sb="200" eb="202">
      <t>カイハツ</t>
    </rPh>
    <rPh sb="203" eb="204">
      <t>フク</t>
    </rPh>
    <rPh sb="218" eb="225">
      <t>ゼンガクキョウムイインカイ</t>
    </rPh>
    <rPh sb="226" eb="228">
      <t>テイアン</t>
    </rPh>
    <rPh sb="237" eb="240">
      <t>ショウライテキ</t>
    </rPh>
    <rPh sb="254" eb="256">
      <t>キョウイク</t>
    </rPh>
    <rPh sb="257" eb="259">
      <t>ゼンガク</t>
    </rPh>
    <rPh sb="259" eb="261">
      <t>キョウヨウ</t>
    </rPh>
    <rPh sb="261" eb="263">
      <t>カテイ</t>
    </rPh>
    <rPh sb="265" eb="268">
      <t>イチヅ</t>
    </rPh>
    <rPh sb="270" eb="272">
      <t>ケントウ</t>
    </rPh>
    <rPh sb="277" eb="283">
      <t>ゼンガクキョウヨウカテイ</t>
    </rPh>
    <rPh sb="283" eb="286">
      <t>イインカイ</t>
    </rPh>
    <rPh sb="295" eb="297">
      <t>ウンエイ</t>
    </rPh>
    <rPh sb="297" eb="299">
      <t>ギョウム</t>
    </rPh>
    <rPh sb="300" eb="302">
      <t>イカン</t>
    </rPh>
    <rPh sb="304" eb="306">
      <t>ヨテイ</t>
    </rPh>
    <phoneticPr fontId="1"/>
  </si>
  <si>
    <t>⑦</t>
    <phoneticPr fontId="1"/>
  </si>
  <si>
    <t>具体的な構成員</t>
    <rPh sb="0" eb="3">
      <t>グタイテキ</t>
    </rPh>
    <rPh sb="4" eb="7">
      <t>コウセイイン</t>
    </rPh>
    <phoneticPr fontId="1"/>
  </si>
  <si>
    <t>DX推進センター長・外国語学部教授：浜正樹
経営学部教授：藤田邦彦
外国語学部准教授：仲田知弘
人間学部：長野祐一郎准教授
保健医療技術学部：鈴木里砂准教授
学習支援センター長（本郷キャンパス）：笹田泰宏
学習支援センター長（ふじみ野キャンパス）：神藤隆将
学習支援センター長補佐：東城俊太郎
情報教育研究センターマネジャー：友田賢一郎
情報教育研究センターアシスタントマネジャー：鈴木勲
情報教育研究センターチーフ：和田健太郎</t>
    <rPh sb="2" eb="4">
      <t>スイシン</t>
    </rPh>
    <rPh sb="8" eb="9">
      <t>チョウ</t>
    </rPh>
    <rPh sb="10" eb="15">
      <t>ガイコクゴガクブ</t>
    </rPh>
    <rPh sb="15" eb="17">
      <t>キョウジュ</t>
    </rPh>
    <rPh sb="18" eb="21">
      <t>ハママサキ</t>
    </rPh>
    <rPh sb="25" eb="26">
      <t>ブ</t>
    </rPh>
    <rPh sb="26" eb="28">
      <t>キョウジュ</t>
    </rPh>
    <rPh sb="29" eb="31">
      <t>フジタ</t>
    </rPh>
    <rPh sb="31" eb="33">
      <t>クニヒコ</t>
    </rPh>
    <rPh sb="34" eb="39">
      <t>ガイコクゴガクブ</t>
    </rPh>
    <rPh sb="39" eb="42">
      <t>ジュンキョウジュ</t>
    </rPh>
    <rPh sb="43" eb="45">
      <t>ナカダ</t>
    </rPh>
    <rPh sb="45" eb="47">
      <t>トモヒロ</t>
    </rPh>
    <rPh sb="48" eb="50">
      <t>ニンゲン</t>
    </rPh>
    <rPh sb="50" eb="52">
      <t>ガクブ</t>
    </rPh>
    <rPh sb="53" eb="55">
      <t>ナガノ</t>
    </rPh>
    <rPh sb="55" eb="58">
      <t>ユウイチロウ</t>
    </rPh>
    <rPh sb="58" eb="61">
      <t>ジュンキョウジュ</t>
    </rPh>
    <rPh sb="62" eb="64">
      <t>ホケン</t>
    </rPh>
    <rPh sb="64" eb="70">
      <t>イリョウギジュツガクブ</t>
    </rPh>
    <rPh sb="71" eb="73">
      <t>スズキ</t>
    </rPh>
    <rPh sb="73" eb="74">
      <t>サト</t>
    </rPh>
    <rPh sb="74" eb="75">
      <t>スナ</t>
    </rPh>
    <rPh sb="75" eb="78">
      <t>ジュンキョウジュ</t>
    </rPh>
    <rPh sb="79" eb="81">
      <t>ガクシュウ</t>
    </rPh>
    <rPh sb="81" eb="83">
      <t>シエン</t>
    </rPh>
    <rPh sb="87" eb="88">
      <t>オサ</t>
    </rPh>
    <rPh sb="89" eb="91">
      <t>ホンゴウ</t>
    </rPh>
    <rPh sb="98" eb="100">
      <t>ササダ</t>
    </rPh>
    <rPh sb="116" eb="117">
      <t>ノ</t>
    </rPh>
    <rPh sb="124" eb="126">
      <t>ジンドウ</t>
    </rPh>
    <rPh sb="126" eb="128">
      <t>タカマサ</t>
    </rPh>
    <rPh sb="129" eb="131">
      <t>ガクシュウ</t>
    </rPh>
    <rPh sb="131" eb="133">
      <t>シエン</t>
    </rPh>
    <rPh sb="137" eb="138">
      <t>チョウ</t>
    </rPh>
    <rPh sb="138" eb="140">
      <t>ホサ</t>
    </rPh>
    <rPh sb="141" eb="143">
      <t>トウジョウ</t>
    </rPh>
    <rPh sb="143" eb="146">
      <t>シュンタロウ</t>
    </rPh>
    <rPh sb="147" eb="149">
      <t>ジョウホウ</t>
    </rPh>
    <rPh sb="149" eb="151">
      <t>キョウイク</t>
    </rPh>
    <rPh sb="151" eb="153">
      <t>ケンキュウ</t>
    </rPh>
    <rPh sb="163" eb="165">
      <t>トモダ</t>
    </rPh>
    <rPh sb="165" eb="168">
      <t>ケンイチロウ</t>
    </rPh>
    <rPh sb="169" eb="171">
      <t>ジョウホウ</t>
    </rPh>
    <rPh sb="171" eb="173">
      <t>キョウイク</t>
    </rPh>
    <rPh sb="173" eb="175">
      <t>ケンキュウ</t>
    </rPh>
    <rPh sb="191" eb="193">
      <t>スズキ</t>
    </rPh>
    <rPh sb="193" eb="194">
      <t>イサオ</t>
    </rPh>
    <rPh sb="195" eb="201">
      <t>ジョウホウキョウイクケンキュウ</t>
    </rPh>
    <rPh sb="209" eb="211">
      <t>ワダ</t>
    </rPh>
    <rPh sb="211" eb="214">
      <t>ケンタロウ</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</si>
  <si>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</si>
  <si>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</si>
  <si>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</si>
  <si>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</si>
  <si>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</si>
  <si>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</si>
  <si>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</si>
  <si>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</si>
  <si>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</si>
  <si>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経営学部の1科目を除いて、本教育プログラムは必修科目のみの構成であり、卒業要件として全員履修することを前提としているため、本項目に関する特段の取り組みは行われていない。</t>
    <rPh sb="0" eb="4">
      <t>ケイエイガクブ</t>
    </rPh>
    <rPh sb="6" eb="8">
      <t>カモク</t>
    </rPh>
    <rPh sb="9" eb="10">
      <t>ノゾ</t>
    </rPh>
    <rPh sb="13" eb="14">
      <t>ホン</t>
    </rPh>
    <rPh sb="14" eb="16">
      <t>キョウイク</t>
    </rPh>
    <rPh sb="22" eb="24">
      <t>ヒッシュウ</t>
    </rPh>
    <rPh sb="24" eb="26">
      <t>カモク</t>
    </rPh>
    <rPh sb="29" eb="31">
      <t>コウセイ</t>
    </rPh>
    <rPh sb="35" eb="37">
      <t>ソツギョウ</t>
    </rPh>
    <rPh sb="37" eb="39">
      <t>ヨウケン</t>
    </rPh>
    <rPh sb="42" eb="44">
      <t>ゼンイン</t>
    </rPh>
    <rPh sb="44" eb="46">
      <t>リシュウ</t>
    </rPh>
    <rPh sb="51" eb="53">
      <t>ゼンテイ</t>
    </rPh>
    <rPh sb="61" eb="62">
      <t>ホン</t>
    </rPh>
    <rPh sb="62" eb="64">
      <t>コウモク</t>
    </rPh>
    <rPh sb="65" eb="66">
      <t>カン</t>
    </rPh>
    <rPh sb="68" eb="70">
      <t>トクダン</t>
    </rPh>
    <rPh sb="71" eb="72">
      <t>ト</t>
    </rPh>
    <rPh sb="73" eb="74">
      <t>ク</t>
    </rPh>
    <rPh sb="76" eb="77">
      <t>オコナ</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</si>
  <si>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</si>
  <si>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</si>
  <si>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経営学部の1科目を除いて、本教育プログラムは必修科目のみの構成であり、卒業要件として全員履修することを前提としているため、本項目に関する特段の取り組みは行われていない。
令和4年度に初開講（当時は選択科目）となった「データサイエンス入門」については、外国語学部の設置科目ではあるが、他学部履修可能で全学部からの履修を可能とした。</t>
    <rPh sb="85" eb="87">
      <t>レイワ</t>
    </rPh>
    <rPh sb="88" eb="90">
      <t>ネンド</t>
    </rPh>
    <rPh sb="91" eb="92">
      <t>ハツ</t>
    </rPh>
    <rPh sb="92" eb="94">
      <t>カイコウ</t>
    </rPh>
    <rPh sb="95" eb="97">
      <t>トウジ</t>
    </rPh>
    <rPh sb="98" eb="100">
      <t>センタク</t>
    </rPh>
    <rPh sb="100" eb="102">
      <t>カモク</t>
    </rPh>
    <rPh sb="116" eb="118">
      <t>ニュウモン</t>
    </rPh>
    <rPh sb="125" eb="130">
      <t>ガイコクゴガクブ</t>
    </rPh>
    <rPh sb="131" eb="135">
      <t>セッチカモク</t>
    </rPh>
    <rPh sb="141" eb="146">
      <t>タガクブリシュウ</t>
    </rPh>
    <rPh sb="146" eb="148">
      <t>カノウ</t>
    </rPh>
    <rPh sb="149" eb="152">
      <t>ゼンガクブ</t>
    </rPh>
    <rPh sb="155" eb="157">
      <t>リシュウ</t>
    </rPh>
    <rPh sb="158" eb="160">
      <t>カノウ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</si>
  <si>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</si>
  <si>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</si>
  <si>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経営学部の1科目を除いて、本教育プログラムは必修科目のみの構成であり、卒業要件として全員履修することを前提としているため、本項目に関する特段の取り組みは行われていない。</t>
    <phoneticPr fontId="1"/>
  </si>
  <si>
    <t>⑪</t>
    <phoneticPr fontId="1"/>
  </si>
  <si>
    <t>できる限り多くの学生が履修・修得できるようなサポート体制</t>
    <rPh sb="26" eb="28">
      <t>タイセイ</t>
    </rPh>
    <phoneticPr fontId="1"/>
  </si>
  <si>
    <t>経営学部の1科目を除いて、本教育プログラムは必修科目のみから構成され、卒業要件として全員履修することが前提としているため、本項目に関する特段の取り組みは行われていない。
修得率を向上させるためのサポート体制としては、必修科目では、授業時間内で質問機会を増やして、学生の理解度に合わせて進めている。選択科目では、LMSやTeamsを利用して学生はいつでも担当教員に個別に質問や相談が可能であり、担当教員により迅速に対応が行われている。</t>
    <phoneticPr fontId="1"/>
  </si>
  <si>
    <t>⑫</t>
    <phoneticPr fontId="1"/>
  </si>
  <si>
    <t>授業時間内外で学習指導、質問を受け付ける具体的な仕組み</t>
    <rPh sb="20" eb="23">
      <t>グタイテキ</t>
    </rPh>
    <phoneticPr fontId="1"/>
  </si>
  <si>
    <t>本教育プログラムは、すべてLMSを活用することになっている。必修科目では、授業時間内で質問機会を増やしている。選択科目では、学生は授業時間以外でも不明点等をLMSやTeamsを利用して個別に担当教員に質問や相談が可能であり、担当教員はそれに対して直接LMSやTeamsで回答、指導が行われている。</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</si>
  <si>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</si>
  <si>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</si>
  <si>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</si>
  <si>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</si>
  <si>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DX推進センター運営委員会</t>
    <rPh sb="2" eb="4">
      <t>スイシン</t>
    </rPh>
    <rPh sb="8" eb="10">
      <t>ウンエイ</t>
    </rPh>
    <rPh sb="10" eb="13">
      <t>イインカイ</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</si>
  <si>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</si>
  <si>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</si>
  <si>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</si>
  <si>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</si>
  <si>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</si>
  <si>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全学部教務グループにおいて、教育プログラムへ履修登録している学生数や履修状況の分析・把握が可能となっており、令和4年度は、プログラム修了に必須である「データサイエンス入門」については、外国語学部生を中心に2学部以上の学生が単位取得している。今後、2023年度に全学部共通「データサイエンス入門」の必修化およびオプション科目の履修可能人数を増やすことにより、教育プログラムを履修希望する学生全員がよりスムーズに単位修得できるように改善を継続的に進めていく。</t>
    <rPh sb="0" eb="3">
      <t>ゼンガクブ</t>
    </rPh>
    <rPh sb="3" eb="5">
      <t>キョウム</t>
    </rPh>
    <rPh sb="92" eb="97">
      <t>ガイコクゴガクブ</t>
    </rPh>
    <rPh sb="97" eb="98">
      <t>ナマ</t>
    </rPh>
    <rPh sb="99" eb="101">
      <t>チュウシン</t>
    </rPh>
    <rPh sb="103" eb="105">
      <t>ガクブ</t>
    </rPh>
    <rPh sb="105" eb="107">
      <t>イジョウ</t>
    </rPh>
    <rPh sb="108" eb="110">
      <t>ガクセイ</t>
    </rPh>
    <rPh sb="127" eb="129">
      <t>ネンド</t>
    </rPh>
    <rPh sb="130" eb="133">
      <t>ゼンガクブ</t>
    </rPh>
    <rPh sb="133" eb="135">
      <t>キョウツウ</t>
    </rPh>
    <rPh sb="148" eb="151">
      <t>ヒッシュウカ</t>
    </rPh>
    <phoneticPr fontId="1"/>
  </si>
  <si>
    <t>学修成果</t>
    <rPh sb="0" eb="2">
      <t>ガクシュウ</t>
    </rPh>
    <rPh sb="2" eb="4">
      <t>セイカ</t>
    </rPh>
    <phoneticPr fontId="1"/>
  </si>
  <si>
    <r>
      <t>必須科目「データサイエンス入門」においては、全履修者に対して授業前に指定テキストを事前に学習し、課題把握を促し、授業後には内容の振り返りをさせることで理解を深めている。</t>
    </r>
    <r>
      <rPr>
        <sz val="12"/>
        <rFont val="ＭＳ Ｐゴシック"/>
        <family val="3"/>
        <charset val="128"/>
        <scheme val="minor"/>
      </rPr>
      <t>その他の科目についても授業アンケート結果等を分析することにより、学修成果を把握できるようになっている。例えば、受講アンケートにおいて「あなたはこの科目で十分な力がついたと思うか？」という設問に対して受講者の70％以上が力がついたと回答している。</t>
    </r>
    <r>
      <rPr>
        <sz val="12"/>
        <color theme="1"/>
        <rFont val="ＭＳ Ｐゴシック"/>
        <family val="3"/>
        <charset val="128"/>
        <scheme val="minor"/>
      </rPr>
      <t>このような分析結果をDX推進センター運営委員会で共有し、プログラムの評価を毎年度行い内容の改善を図る。</t>
    </r>
    <rPh sb="0" eb="2">
      <t>ヒッシュ</t>
    </rPh>
    <rPh sb="22" eb="26">
      <t>ゼンリシュウシャ</t>
    </rPh>
    <rPh sb="27" eb="28">
      <t>タイ</t>
    </rPh>
    <rPh sb="30" eb="32">
      <t>ジュギョウ</t>
    </rPh>
    <rPh sb="32" eb="33">
      <t>マエ</t>
    </rPh>
    <rPh sb="34" eb="36">
      <t>シテイ</t>
    </rPh>
    <rPh sb="41" eb="43">
      <t>ジゼン</t>
    </rPh>
    <rPh sb="44" eb="46">
      <t>ガクシュウ</t>
    </rPh>
    <rPh sb="48" eb="50">
      <t>カダイ</t>
    </rPh>
    <rPh sb="50" eb="52">
      <t>ハアク</t>
    </rPh>
    <rPh sb="53" eb="54">
      <t>ウナガ</t>
    </rPh>
    <rPh sb="56" eb="59">
      <t>ジュギョウゴ</t>
    </rPh>
    <rPh sb="61" eb="63">
      <t>ナイヨウ</t>
    </rPh>
    <rPh sb="64" eb="65">
      <t>フ</t>
    </rPh>
    <rPh sb="66" eb="67">
      <t>カエ</t>
    </rPh>
    <rPh sb="75" eb="77">
      <t>リカイ</t>
    </rPh>
    <rPh sb="78" eb="79">
      <t>フカ</t>
    </rPh>
    <rPh sb="95" eb="97">
      <t>ジュギョウ</t>
    </rPh>
    <rPh sb="102" eb="104">
      <t>ケッカ</t>
    </rPh>
    <rPh sb="104" eb="105">
      <t>ナド</t>
    </rPh>
    <rPh sb="157" eb="159">
      <t>カモク</t>
    </rPh>
    <rPh sb="160" eb="162">
      <t>ジュウブン</t>
    </rPh>
    <rPh sb="163" eb="164">
      <t>チカラ</t>
    </rPh>
    <rPh sb="169" eb="170">
      <t>オモ</t>
    </rPh>
    <rPh sb="177" eb="179">
      <t>セツモン</t>
    </rPh>
    <rPh sb="180" eb="181">
      <t>タイ</t>
    </rPh>
    <rPh sb="183" eb="186">
      <t>ジュコウシャ</t>
    </rPh>
    <rPh sb="190" eb="192">
      <t>イジョウ</t>
    </rPh>
    <rPh sb="193" eb="194">
      <t>チカラ</t>
    </rPh>
    <rPh sb="199" eb="201">
      <t>カイトウ</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</si>
  <si>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</si>
  <si>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r>
      <t>本学では半期の授業ごとに「学生による授業アンケート」を実施し、学生の理解度を確認できる仕組みがすでに整っている。さらに申請プログラムの必須科目「データサイエンス入門」に</t>
    </r>
    <r>
      <rPr>
        <sz val="12"/>
        <rFont val="ＭＳ Ｐゴシック"/>
        <family val="3"/>
        <charset val="128"/>
        <scheme val="minor"/>
      </rPr>
      <t>おいては、授業時間内に理解度を確認するレポートや宿題を毎回課しており、これらの結果や提出状況からも内容の理解度や進捗度が把握できるようにしている。令和4年度のアンケート分析結果から、「データサイエンス入門」について80％程度が授業全体について満足したと回答をしている。今後も同アンケートを利用して継続的に理解度を把握し、プログラム運営に反映するようにしていく。</t>
    </r>
    <rPh sb="108" eb="110">
      <t>シュクダイ</t>
    </rPh>
    <rPh sb="197" eb="199">
      <t>ジュギョウ</t>
    </rPh>
    <rPh sb="199" eb="201">
      <t>ゼンタイ</t>
    </rPh>
    <rPh sb="205" eb="207">
      <t>マンゾク</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</si>
  <si>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</si>
  <si>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他の学生への推奨度は、プログラム科目に必須である「学生による授業アンケート」において受講後にアンケートをとることで把握する体制となっている。令和4年度前期、後期の授業が終わった段階で、「この科目はあなたの今後の生活に役に立つと思うか」という問いに80%以上の学生が肯定的な回答をしている。今後も継続的に受講生に対するアンケートを続け、多くの学生に推奨されるように内容を点検・改善していく。</t>
    <rPh sb="16" eb="18">
      <t>カモク</t>
    </rPh>
    <rPh sb="19" eb="21">
      <t>ヒッス</t>
    </rPh>
    <rPh sb="25" eb="27">
      <t>ガクセイ</t>
    </rPh>
    <rPh sb="30" eb="32">
      <t>ジュギョウ</t>
    </rPh>
    <rPh sb="78" eb="80">
      <t>コウキ</t>
    </rPh>
    <rPh sb="95" eb="97">
      <t>カモク</t>
    </rPh>
    <rPh sb="102" eb="104">
      <t>コンゴ</t>
    </rPh>
    <rPh sb="105" eb="107">
      <t>セイカツ</t>
    </rPh>
    <rPh sb="108" eb="109">
      <t>ヤク</t>
    </rPh>
    <rPh sb="110" eb="111">
      <t>タ</t>
    </rPh>
    <rPh sb="113" eb="114">
      <t>オモ</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</si>
  <si>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</si>
  <si>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令和4年度は、本申請の教育プログラムの初年度であり履修登録者数が1204名であった。令和5年度は、必須科目の「データサイエンス入門」を全学部必修化することで、履修者数および履修率の向上が見込まれる。令和5年度からは、オプション科目の選択肢も増やしながら、さらに履修者数を向上させる計画となっている。</t>
    <rPh sb="67" eb="70">
      <t>ゼンガクブ</t>
    </rPh>
    <rPh sb="70" eb="73">
      <t>ヒッシュウカ</t>
    </rPh>
    <rPh sb="93" eb="95">
      <t>ミコ</t>
    </rPh>
    <rPh sb="113" eb="115">
      <t>カモク</t>
    </rPh>
    <rPh sb="116" eb="119">
      <t>センタクシ</t>
    </rPh>
    <rPh sb="120" eb="121">
      <t>フ</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</si>
  <si>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</si>
  <si>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</si>
  <si>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学ではデータサイエンス・AI教育プログラムは令和4年度開始であり、修了者の進路、活躍状況等の分析ができるデータはまだ出ていない。今後は大学で行っている卒業生向けのアンケートやキャリアセンターにおいて把握している進路等をプログラム修了者と結びつけて解析を行い、DX推進センター運営委員会において、その結果を検討し、教育プログラムの改善に役立てる予定としている。</t>
    <rPh sb="132" eb="134">
      <t>スイシン</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</si>
  <si>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</si>
  <si>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本学では、自立と共生という建学の精神に基づき、多様な価値観を認め受け入れ、お互いを尊重しあえる共生社会の実現に貢献する、自立した人間教育を大切にしており、この理念を活かすために、様々な学部・学科の専門教育までつながるプログラムを設置したことは評価できる。
・身に付けるべき能力として挙げられている2点については、今後のデジタル社会を生き抜く力として必要であり、共通の入門科目の他、学部の特性に応じてオプション科目や応用基礎レベルのプログラムまで用意しており、体系的な教育プログラムと評価できる。
・「データサイエンス入門」では基礎的な知識や社会での利活用の実態について学び、後半ではエクセルによるデータ分析の基礎を実習形式で身に付けることができるように計画されている。</t>
    <rPh sb="1" eb="2">
      <t>ホン</t>
    </rPh>
    <rPh sb="6" eb="8">
      <t>ジリツ</t>
    </rPh>
    <rPh sb="9" eb="11">
      <t>キョウセイ</t>
    </rPh>
    <rPh sb="14" eb="16">
      <t>ケンガク</t>
    </rPh>
    <rPh sb="17" eb="19">
      <t>セイシン</t>
    </rPh>
    <rPh sb="20" eb="21">
      <t>モト</t>
    </rPh>
    <rPh sb="24" eb="26">
      <t>タヨウ</t>
    </rPh>
    <rPh sb="27" eb="30">
      <t>カチカン</t>
    </rPh>
    <rPh sb="31" eb="32">
      <t>ミト</t>
    </rPh>
    <rPh sb="33" eb="34">
      <t>ウ</t>
    </rPh>
    <rPh sb="35" eb="36">
      <t>イ</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</si>
  <si>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</si>
  <si>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本学では、数理・データサイエンス・ＡＩを「学ぶ楽しさ」「学ぶことの意義」を理解させるために、教科書や資料等で身近な生活の事例を図解で振り返り、データやデータサイエンスに興味を持つことから始めている。全学必修科目「データサイエンス入門」は、経営学部、外国語学部、人間学部、保健医療技術学部の大学1年生が履修する科目であり、データサイエンスに興味がない学生、または知らない学生も多い。そこで、データサイエンスは、将来の卒業研究や仕事等に役立つ事を示し、興味を持つようにデータサイエンスの楽しさと考え方のポイントを解説してい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</si>
  <si>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</si>
  <si>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本学では、全学必修科目「データサイエンス入門」を大学1年生に導入することで、既存科目の統計学やExcelやSPSS等を用いたデータ分析演習をより「わかりやすい」授業へと繋げている。そして、本学は各学部ごとに定めたプログラムの科目を履修することで、各学部ごとのデータサイエンス・リテラシーの内容・水準を維持・向上が可能であると考えている。</t>
    <phoneticPr fontId="1"/>
  </si>
  <si>
    <t>データ・AI利活用の最新動向
・現代社会におけるデータサイエンスの役割と重要性（AI炊飯器からのレコメンデーション、自動消火ガスコンロ）「データサイエンス入門」（1回目）
・データサイエンス入門おけるAIの基礎（ニューラルネットワーク、強化学習）「データサイエンス入門」（14回目）</t>
    <rPh sb="36" eb="38">
      <t>キカイ</t>
    </rPh>
    <phoneticPr fontId="1"/>
  </si>
  <si>
    <t>社会で起きている変化
・現代社会におけるデータサイエンスの役割と重要性（ビッグデータ、データ駆動型社会、IoT、AI）「データサイエンス入門」（1回目）</t>
    <rPh sb="46" eb="51">
      <t>クドウガタシャカイ</t>
    </rPh>
    <rPh sb="68" eb="70">
      <t>ニュウモン</t>
    </rPh>
    <rPh sb="74" eb="75">
      <t>メ</t>
    </rPh>
    <phoneticPr fontId="1"/>
  </si>
  <si>
    <t>社会で活用されているデータ
・現代社会におけるデータサイエンスの役割と重要性（非構造化データ、機械の稼働ログデータ）「データサイエンス入門」（1回目）
・データのタイプと特徴(調査データ、データ作成)「データサイエンス入門」（2回目）
・データの収集と整形（データのオープン化）「データサイエンス入門」（3回目）</t>
    <rPh sb="39" eb="42">
      <t>ヒコウゾウ</t>
    </rPh>
    <rPh sb="42" eb="43">
      <t>カ</t>
    </rPh>
    <rPh sb="47" eb="49">
      <t>キカイ</t>
    </rPh>
    <rPh sb="50" eb="52">
      <t>カドウ</t>
    </rPh>
    <rPh sb="88" eb="90">
      <t>チョウサ</t>
    </rPh>
    <rPh sb="97" eb="99">
      <t>サクセイ</t>
    </rPh>
    <rPh sb="137" eb="138">
      <t>カ</t>
    </rPh>
    <phoneticPr fontId="1"/>
  </si>
  <si>
    <t>データ・AIの活用領域
・現代社会におけるデータサイエンスの役割と重要性（データ・AI活用領域の広がり）「データサイエンス入門」（1回目）
・データのタイプと特徴（調達、マーケティング、サービス）「データサイエンス入門」（2回目）
・データの収集と整形（計画策定）「データサイエンス入門」（3回目）
・データサイエンス入門おけるAIの基礎（データ・AI活用領域の広がり、知識発見）「データサイエンス入門」（14回目）</t>
    <rPh sb="82" eb="84">
      <t>チョウタツ</t>
    </rPh>
    <rPh sb="127" eb="129">
      <t>ケイカク</t>
    </rPh>
    <rPh sb="129" eb="131">
      <t>サクテイ</t>
    </rPh>
    <rPh sb="185" eb="189">
      <t>チシキハッケン</t>
    </rPh>
    <phoneticPr fontId="1"/>
  </si>
  <si>
    <t xml:space="preserve">データ・AI利活用のための技術
・現代社会におけるデータサイエンスの役割と重要性(ルールベース、自動化技術)「データサイエンス入門」（1回目）
・データ可視化やデータ解析（クラスター分析、主成分分析、回帰分析、ニューラルネットワーク等）の活用「データサイエンス入や門」（7回目、8回目、10回目、15回目）
</t>
    <rPh sb="48" eb="53">
      <t>ジドウカギジュツ</t>
    </rPh>
    <rPh sb="76" eb="79">
      <t>カシカ</t>
    </rPh>
    <rPh sb="91" eb="93">
      <t>ブンセキ</t>
    </rPh>
    <rPh sb="94" eb="99">
      <t>シュセイブンブンセキ</t>
    </rPh>
    <rPh sb="100" eb="104">
      <t>カイキブンセキ</t>
    </rPh>
    <rPh sb="116" eb="117">
      <t>ナド</t>
    </rPh>
    <rPh sb="119" eb="121">
      <t>カツヨウ</t>
    </rPh>
    <rPh sb="140" eb="142">
      <t>カイメ</t>
    </rPh>
    <rPh sb="145" eb="147">
      <t>カイメ</t>
    </rPh>
    <rPh sb="150" eb="152">
      <t>カイメ</t>
    </rPh>
    <phoneticPr fontId="1"/>
  </si>
  <si>
    <t>データ・AI利活用の現場
・現代社会におけるデータサイエンスの役割と重要性（データサイエンスのサイクル）「データサイエンス入門」（1回目）
・流通、サービス、ヘルスケアのデータ・AI活用事例「データサイエンス入門」（7回目、8回目、10回目、15回目）</t>
    <rPh sb="71" eb="73">
      <t>リュウツウ</t>
    </rPh>
    <rPh sb="91" eb="95">
      <t>カツヨウジレイ</t>
    </rPh>
    <phoneticPr fontId="1"/>
  </si>
  <si>
    <t>データ・AI利活用における留意事項
・データの倫理（個人情報保護、データの倫理、データバイアス）「データサイエンス入門」（13回目）
・情報倫理と自己防衛(個人情報保護、プライバシー保護)「情報処理演習a」（4回目）</t>
    <rPh sb="26" eb="32">
      <t>コジンジョウホウホゴ</t>
    </rPh>
    <rPh sb="37" eb="39">
      <t>リンリ</t>
    </rPh>
    <rPh sb="78" eb="82">
      <t>コジンジョウホウ</t>
    </rPh>
    <rPh sb="82" eb="84">
      <t>ホゴ</t>
    </rPh>
    <rPh sb="91" eb="93">
      <t>ホゴ</t>
    </rPh>
    <phoneticPr fontId="1"/>
  </si>
  <si>
    <t>データを守る上での留意事項
・データの倫理（匿名加工情報、悪意ある情報搾取）「データサイエンス入門」（13回目）
・情報倫理と自己防衛（情報セキュリティー、パスワード）「情報処理演習a」（4回目）</t>
    <rPh sb="19" eb="21">
      <t>リンリ</t>
    </rPh>
    <rPh sb="47" eb="49">
      <t>ニュウモン</t>
    </rPh>
    <rPh sb="68" eb="70">
      <t>ジョウホウ</t>
    </rPh>
    <phoneticPr fontId="1"/>
  </si>
  <si>
    <t>データを読む
・データの特徴と記述統計（データのばらつき（分散、標準偏差、偏差値））「情報処理演習b」（データの分布(ヒストグラム)と代表値）（10回目から12回目）
・クロス集計と散布図、相関関係（相関と因果）「情報処理演習b」（13回目から14回目）</t>
    <rPh sb="12" eb="14">
      <t>トクチョウ</t>
    </rPh>
    <rPh sb="15" eb="19">
      <t>キジュツトウケイ</t>
    </rPh>
    <rPh sb="43" eb="47">
      <t>ジョウホウショリ</t>
    </rPh>
    <rPh sb="47" eb="49">
      <t>エンシュウ</t>
    </rPh>
    <rPh sb="88" eb="90">
      <t>シュウケイ</t>
    </rPh>
    <rPh sb="91" eb="94">
      <t>サンプズ</t>
    </rPh>
    <rPh sb="95" eb="99">
      <t>ソウカンカンケイ</t>
    </rPh>
    <phoneticPr fontId="1"/>
  </si>
  <si>
    <t xml:space="preserve">データを説明する
・データの特徴と記述統計（データの比較）「情報処理演習b」（10回目から12回目）
・クロス集計と散布図、相関関係（データ表現（棒グラフ、折線グラフ、散布図、ヒートマップ））「情報処理演習b」（13回目から14回目）
</t>
    <rPh sb="26" eb="28">
      <t>ヒカク</t>
    </rPh>
    <phoneticPr fontId="1"/>
  </si>
  <si>
    <t>データを扱う
・データの特徴と記述統計（データ集計）「情報処理演習b」（10回目から12回目）
・クロス集計と散布図、相関関係（データ解析ツール）「情報処理演習b」（13回目から14回目）</t>
    <rPh sb="23" eb="25">
      <t>シュウケイ</t>
    </rPh>
    <rPh sb="67" eb="69">
      <t>カイセキ</t>
    </rPh>
    <phoneticPr fontId="1"/>
  </si>
  <si>
    <t>データ・AI利活用における留意事項
・データの倫理（個人情報保護、データの倫理、データバイアス）「データサイエンス入門」（13回目）</t>
    <rPh sb="26" eb="32">
      <t>コジンジョウホウホゴ</t>
    </rPh>
    <rPh sb="37" eb="39">
      <t>リンリ</t>
    </rPh>
    <phoneticPr fontId="1"/>
  </si>
  <si>
    <t>データを守る上での留意事項
・データの倫理（匿名加工情報、悪意ある情報搾取）「データサイエンス入門」（13回目）</t>
    <rPh sb="19" eb="21">
      <t>リンリ</t>
    </rPh>
    <rPh sb="47" eb="49">
      <t>ニュウモン</t>
    </rPh>
    <phoneticPr fontId="1"/>
  </si>
  <si>
    <t>データを読む・データを説明する（データの種類、データの分布、代表値の性質の違い、データのばらつき、相関と因果、母集団と標本抽出、クロス集計表、統計情報の正しい理解）
・データの性質（質的なデータと量的なデータ）、基礎統計量とExcelを利用したその計算「統計学a」（4回）
・１変数の分析：質的なデータの場合「統計学a」（5回）
・１変数の分析：量的なデータの場合「統計学a」（6回）</t>
    <rPh sb="20" eb="22">
      <t>シュルイ</t>
    </rPh>
    <rPh sb="27" eb="29">
      <t>ブンプ</t>
    </rPh>
    <rPh sb="30" eb="32">
      <t>ダイヒョウ</t>
    </rPh>
    <rPh sb="32" eb="33">
      <t>チ</t>
    </rPh>
    <rPh sb="34" eb="36">
      <t>セイシツ</t>
    </rPh>
    <rPh sb="37" eb="38">
      <t>チガ</t>
    </rPh>
    <rPh sb="49" eb="51">
      <t>ソウカン</t>
    </rPh>
    <rPh sb="52" eb="54">
      <t>インガ</t>
    </rPh>
    <rPh sb="55" eb="58">
      <t>ボシュウダン</t>
    </rPh>
    <rPh sb="59" eb="61">
      <t>ヒョウホン</t>
    </rPh>
    <rPh sb="61" eb="63">
      <t>チュウシュツ</t>
    </rPh>
    <rPh sb="67" eb="70">
      <t>シュウケイヒョウ</t>
    </rPh>
    <rPh sb="71" eb="73">
      <t>トウケイ</t>
    </rPh>
    <rPh sb="73" eb="75">
      <t>ジョウホウ</t>
    </rPh>
    <rPh sb="76" eb="77">
      <t>タダ</t>
    </rPh>
    <rPh sb="79" eb="81">
      <t>リカイ</t>
    </rPh>
    <rPh sb="127" eb="130">
      <t>トウケイガク</t>
    </rPh>
    <rPh sb="134" eb="135">
      <t>カイ</t>
    </rPh>
    <rPh sb="162" eb="163">
      <t>カイ</t>
    </rPh>
    <rPh sb="190" eb="191">
      <t>カイ</t>
    </rPh>
    <phoneticPr fontId="1"/>
  </si>
  <si>
    <t>データを読む・データを説明する（データ表現、データの比較、不適切なグラフ表現）
・データの性質（質的なデータと量的なデータ）、基礎統計量とExcelを利用したその計算「統計学a」（4回）
・１変数の分析：質的なデータの場合「統計学a」（5回）
・１変数の分析：量的なデータの場合「統計学a」（6回）</t>
    <phoneticPr fontId="1"/>
  </si>
  <si>
    <t>データを扱う（データの集計、データの並び替え、データ解析ツール）
・SPSS：２変数の分析：質的データと質的データの場合　クロス集計表とカイ2乗検定「統計学a」（9回）
・２つの質的データを使った分析の演習「統計学a」（10回）
・SPSS:量的データと量的データの場合　散布図と相関係数、回帰分析時系列データと明日の分析「統計学a」（11回）
・２つの量的データを使った分析の演習「統計学a」（12回）</t>
    <rPh sb="11" eb="13">
      <t>シュウケイ</t>
    </rPh>
    <rPh sb="18" eb="19">
      <t>ナラ</t>
    </rPh>
    <rPh sb="20" eb="21">
      <t>カ</t>
    </rPh>
    <rPh sb="26" eb="28">
      <t>カイセキ</t>
    </rPh>
    <rPh sb="82" eb="83">
      <t>カイ</t>
    </rPh>
    <rPh sb="112" eb="113">
      <t>カイ</t>
    </rPh>
    <rPh sb="170" eb="171">
      <t>カイ</t>
    </rPh>
    <rPh sb="200" eb="201">
      <t>カイ</t>
    </rPh>
    <phoneticPr fontId="1"/>
  </si>
  <si>
    <t>データ・AI利活用のための技術（データ解析、データ可視化）
・現代社会におけるデータサイエンスの役割と重要性「データサイエンス入門」（1回目）
・クラスター分析、主成分分析、回帰分析、ニューラルネットワーク等の活用「データサイエンス入門」（7回目、8回目、10回目、15回目）
・クラスター分析、主成分分析、回帰分析等の活用「医療情報処理演習Ⅱ（臨床検査学科）」（8回目から12回目）</t>
    <phoneticPr fontId="1"/>
  </si>
  <si>
    <t>データ・AI利活用の現場（データサイエンスのサイクル）
・現代社会におけるデータサイエンスの役割と重要性「データサイエンス入門」（1回目）
・クラスター分析、主成分分析、回帰分析、ニューラルネットワーク等の活用「データサイエンス入門」（7回目、8回目、10回目、15回目）
・クラスター分析、主成分分析、回帰分析等の活用「医療情報処理演習Ⅱ（臨床検査学科）」（8回目から12回目）</t>
    <phoneticPr fontId="1"/>
  </si>
  <si>
    <t>データを読む（データの種類、データの分布(ヒストグラム)と代表値、代表値の性質の違い、データのばらつき、相関と因果、母集団と標本抽出、クロス集計表、統計情報の正しい理解）
・データの特徴と記述統計「統計学（看護学科）」（2回目から4回目、17回目）
・クロス集計と散布図、相関関係「統計学(看護学科)」（6回目から10回目、17回から20回）
・データの特徴と記述統計「統計学（理学療法学科,作業療法）」（2回目）
・クロス集計と散布図、相関関係「統計学（理学療法学科,作業療法）」（3回目、13回目）
・データの特徴と記述統計「医療情報処理演習Ⅱ（臨床検査学科）」（3回目から4回目）
・クロス集計と散布図、相関関係「医療情報処理演習Ⅱ（臨床検査学科）」（5回目から6回目）</t>
    <rPh sb="196" eb="198">
      <t>トクチョウ</t>
    </rPh>
    <rPh sb="199" eb="203">
      <t>キジュツトウケイ</t>
    </rPh>
    <rPh sb="206" eb="207">
      <t>ガク</t>
    </rPh>
    <rPh sb="208" eb="212">
      <t>カンゴガッカ</t>
    </rPh>
    <rPh sb="226" eb="228">
      <t>カイメ</t>
    </rPh>
    <rPh sb="234" eb="236">
      <t>シュウケイ</t>
    </rPh>
    <rPh sb="237" eb="240">
      <t>サンプズ</t>
    </rPh>
    <rPh sb="241" eb="245">
      <t>ソウカンカンケイ</t>
    </rPh>
    <rPh sb="248" eb="249">
      <t>ガク</t>
    </rPh>
    <rPh sb="250" eb="254">
      <t>カンゴガッカ</t>
    </rPh>
    <rPh sb="269" eb="270">
      <t>カイ</t>
    </rPh>
    <rPh sb="274" eb="275">
      <t>カイ</t>
    </rPh>
    <rPh sb="294" eb="296">
      <t>リガク</t>
    </rPh>
    <rPh sb="296" eb="298">
      <t>リョウホウ</t>
    </rPh>
    <rPh sb="301" eb="305">
      <t>サギョウリョウホウメリンショウケンサ</t>
    </rPh>
    <phoneticPr fontId="1"/>
  </si>
  <si>
    <t>データを説明する（データ表現、データの比較、不適切なグラフ表現）
・データの特徴と記述統計「統計学（看護学科）」（2回目から4回目、17回目）
・クロス集計と散布図、相関関係「統計学(看護学科)」（6回目から10回目、17回から20回）
・データの特徴と記述統計「統計学（理学療法学科,作業療法）」（2回目）
・クロス集計と散布図、相関関係「統計学（理学療法学科,作業療法）」（3回目、13回目）
・データの特徴と記述統計「医療情報処理演習Ⅱ（臨床検査学科）」（3回目から4回目）
・クロス集計と散布図、相関関係「医療情報処理演習Ⅱ（臨床検査学科）」（5回目から6回目）</t>
    <phoneticPr fontId="1"/>
  </si>
  <si>
    <t>データを扱う（データの集計（和、平均）、データの並び替え、ランキング、データ解析ツール（スプレッドシート））
・データの特徴と記述統計「統計学（看護学科）」（2回目から4回目、17回目）
・クロス集計と散布図、相関関係「統計学(看護学科)」（6回目から10回目、17回から20回）
・データの特徴と記述統計「統計学（理学療法学科,作業療法）」（2回目）
・クロス集計と散布図、相関関係「統計学（理学療法学科,作業療法）」（3回目、13回目）
・データの特徴と記述統計「医療情報処理演習Ⅱ（臨床検査学科）」（3回目から4回目）
・クロス集計と散布図、相関関係「医療情報処理演習Ⅱ（臨床検査学科）」（5回目から6回目）</t>
    <phoneticPr fontId="1"/>
  </si>
  <si>
    <t>データを読む（データの種類、データの分布(ヒストグラム)と代表値、代表値の性質の違い、データのばらつき、相関と因果、母集団と標本抽出、クロス集計表、統計情報の正しい理解）
・データの特徴と記述統計「心理学統計法Ⅰ（心理学科）」（4回目から9回目）
・クロス集計と散布図、相関関係「統計学(看護学科)」（12回目から14回目）
・データの特徴と記述統計「社会統計学Ⅰ（コミュニケーション社会学科）」（1回目から4回目）
・クロス集計と散布図、相関関係「社会統計学Ⅰ（コミュニケーション社会学科）」（9回目から14回目）
・データの特徴と記述統計「情報処理演習Ⅰ（人間福祉学科）」（2回目から4回目、9回目）
・クロス集計と散布図、相関関係「情報処理演習Ⅰ（人間福祉学科）」（5回目、13回目）
・データの特徴と記述統計「算数（児童発達学科）」（11回目）
・クロス集計と散布図、相関関係「情報メディア演習（児童発達学科）」（11回目）
・データの特徴と記述統計「情報機器の操作（児童発達学科）」（10回目から11回目）
・クロス集計と散布図、相関関係「情報機器の操作（児童発達学科）」（10回目から11回目）</t>
    <rPh sb="170" eb="172">
      <t>トクチョウ</t>
    </rPh>
    <rPh sb="173" eb="177">
      <t>キジュツトウケイ</t>
    </rPh>
    <rPh sb="207" eb="209">
      <t>シュウケイ</t>
    </rPh>
    <rPh sb="210" eb="213">
      <t>サンプズ</t>
    </rPh>
    <rPh sb="214" eb="218">
      <t>ソウカンカンケイ</t>
    </rPh>
    <rPh sb="221" eb="222">
      <t>ガク</t>
    </rPh>
    <rPh sb="223" eb="227">
      <t>カンゴガッカ</t>
    </rPh>
    <rPh sb="378" eb="380">
      <t>カイメ</t>
    </rPh>
    <rPh sb="438" eb="440">
      <t>サンスウカイメ</t>
    </rPh>
    <phoneticPr fontId="1"/>
  </si>
  <si>
    <t>データを説明する（データ表現、データの比較、不適切なグラフ表現）
・データの特徴と記述統計「心理学統計法Ⅰ（心理学科）」（4回目から9回目）
・クロス集計と散布図、相関関係「統計学(看護学科)」（12回目から14回目）
・データの特徴と記述統計「社会統計学Ⅰ（コミュニケーション社会学科）」（1回目から4回目）
・クロス集計と散布図、相関関係「社会統計学Ⅰ（コミュニケーション社会学科）」（9回目から14回目）
・データの特徴と記述統計「情報処理演習Ⅰ（人間福祉学科）」（2回目から4回目、9回目）
・クロス集計と散布図、相関関係「情報処理演習Ⅰ（人間福祉学科）」（5回目、13回目）
・データの特徴と記述統計「算数（児童発達学科）」（11回目）
・クロス集計と散布図、相関関係「情報メディア演習（児童発達学科）」（11回目）
・データの特徴と記述統計「情報機器の操作（児童発達学科）」（10回目から11回目）
・クロス集計と散布図、相関関係「情報機器の操作（児童発達学科）」（10回目から11回目）</t>
    <phoneticPr fontId="1"/>
  </si>
  <si>
    <t>データを扱う（データの集計（和、平均）、データの並び替え、ランキング、データ解析ツール（スプレッドシート））、表形式のデータ
・データの特徴と記述統計「心理学統計法Ⅰ（心理学科）」（4回目から9回目）
・クロス集計と散布図、相関関係「統計学(看護学科)」（12回目から14回目）
・データの特徴と記述統計「社会統計学Ⅰ（コミュニケーション社会学科）」（1回目から4回目）
・クロス集計と散布図、相関関係「社会統計学Ⅰ（コミュニケーション社会学科）」（9回目から14回目）
・データの特徴と記述統計「情報処理演習Ⅰ（人間福祉学科）」（2回目から4回目、9回目）
・クロス集計と散布図、相関関係「情報処理演習Ⅰ（人間福祉学科）」（5回目、13回目）
・データの特徴と記述統計「算数（児童発達学科）」（11回目）
・クロス集計と散布図、相関関係「情報メディア演習（児童発達学科）」（11回目）
・データの特徴と記述統計「情報機器の操作（児童発達学科）」（10回目から11回目）
・クロス集計と散布図、相関関係「情報機器の操作（児童発達学科）」（10回目から11回目）</t>
    <rPh sb="55" eb="58">
      <t>ヒョウケイシキ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</si>
</sst>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9"/>
      <color rgb="FFFF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60" xfId="0" applyFont="1" applyBorder="1" applyAlignment="1">
      <alignment horizontal="center" vertical="center" shrinkToFit="1"/>
    </xf>
    <xf numFmtId="0" fontId="13" fillId="2" borderId="42" xfId="0" applyFont="1" applyFill="1" applyBorder="1" applyAlignment="1">
      <alignment vertical="top" shrinkToFit="1"/>
    </xf>
    <xf numFmtId="0" fontId="13" fillId="2" borderId="43" xfId="0" applyFont="1" applyFill="1" applyBorder="1" applyAlignment="1">
      <alignment vertical="top" shrinkToFit="1"/>
    </xf>
    <xf numFmtId="0" fontId="9" fillId="0" borderId="14" xfId="0" applyFont="1" applyBorder="1" applyAlignment="1">
      <alignment horizontal="left" vertical="center" shrinkToFit="1"/>
    </xf>
    <xf numFmtId="0" fontId="9" fillId="0" borderId="23" xfId="0" applyFont="1" applyBorder="1" applyAlignment="1">
      <alignment horizontal="left" vertical="center" shrinkToFit="1"/>
    </xf>
    <xf numFmtId="38" fontId="2" fillId="0" borderId="50" xfId="2" applyFont="1" applyFill="1" applyBorder="1" applyAlignment="1">
      <alignment vertical="center"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38" fontId="2" fillId="0" borderId="54" xfId="2" applyFont="1" applyFill="1" applyBorder="1" applyAlignment="1">
      <alignment vertical="center" shrinkToFit="1"/>
    </xf>
    <xf numFmtId="38" fontId="2" fillId="0" borderId="30" xfId="2" applyFont="1" applyFill="1" applyBorder="1" applyAlignment="1">
      <alignment vertical="center" shrinkToFit="1"/>
    </xf>
    <xf numFmtId="38" fontId="2" fillId="0" borderId="23" xfId="2" applyFont="1" applyFill="1" applyBorder="1" applyAlignment="1">
      <alignmen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38" fontId="2" fillId="0" borderId="57" xfId="2" applyFont="1" applyFill="1" applyBorder="1" applyAlignment="1">
      <alignment vertical="center" shrinkToFit="1"/>
    </xf>
    <xf numFmtId="38" fontId="2" fillId="0" borderId="55" xfId="2" applyFont="1" applyFill="1" applyBorder="1" applyAlignment="1">
      <alignment vertical="center" shrinkToFit="1"/>
    </xf>
    <xf numFmtId="38" fontId="2" fillId="0" borderId="32" xfId="2" applyFont="1" applyFill="1" applyBorder="1" applyAlignment="1">
      <alignment vertical="center" shrinkToFi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vertical="top"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shrinkToFit="1"/>
    </xf>
    <xf numFmtId="0" fontId="2" fillId="0" borderId="9" xfId="0" applyFont="1" applyBorder="1" applyAlignment="1">
      <alignment horizontal="left" vertical="top" shrinkToFit="1"/>
    </xf>
    <xf numFmtId="0" fontId="2" fillId="0" borderId="5" xfId="0" applyFont="1" applyBorder="1" applyAlignment="1">
      <alignment horizontal="left" vertical="top" shrinkToFit="1"/>
    </xf>
    <xf numFmtId="0" fontId="2" fillId="0" borderId="0" xfId="0" applyFont="1" applyAlignment="1">
      <alignment horizontal="left" vertical="top" shrinkToFit="1"/>
    </xf>
    <xf numFmtId="0" fontId="2" fillId="0" borderId="10" xfId="0" applyFont="1" applyBorder="1" applyAlignment="1">
      <alignment horizontal="left" vertical="top" shrinkToFit="1"/>
    </xf>
    <xf numFmtId="0" fontId="2" fillId="0" borderId="11" xfId="0" applyFont="1" applyBorder="1" applyAlignment="1">
      <alignment horizontal="left" vertical="top" shrinkToFit="1"/>
    </xf>
    <xf numFmtId="0" fontId="2" fillId="0" borderId="6" xfId="0" applyFont="1" applyBorder="1" applyAlignment="1">
      <alignment horizontal="left" vertical="top" shrinkToFit="1"/>
    </xf>
    <xf numFmtId="0" fontId="2" fillId="0" borderId="12" xfId="0" applyFont="1" applyBorder="1" applyAlignment="1">
      <alignment horizontal="left" vertical="top" shrinkToFi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 xfId="0" applyFont="1" applyBorder="1" applyAlignment="1">
      <alignment horizontal="center" vertical="center"/>
    </xf>
    <xf numFmtId="0" fontId="2" fillId="0" borderId="0" xfId="0" applyFont="1" applyAlignment="1">
      <alignment horizontal="righ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45" xfId="0" applyFont="1" applyBorder="1" applyAlignment="1">
      <alignment vertical="center" wrapText="1"/>
    </xf>
    <xf numFmtId="0" fontId="3" fillId="0" borderId="31" xfId="0" applyFont="1" applyBorder="1" applyAlignment="1">
      <alignment vertical="center" wrapTex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3" fillId="0" borderId="46" xfId="0" applyFont="1" applyBorder="1" applyAlignment="1">
      <alignment vertical="center" wrapTex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36" xfId="0" applyFont="1" applyBorder="1" applyAlignment="1">
      <alignment vertical="center" wrapText="1" shrinkToFit="1"/>
    </xf>
    <xf numFmtId="0" fontId="2" fillId="0" borderId="19"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12" fillId="0" borderId="7" xfId="0" applyFont="1" applyBorder="1" applyAlignment="1">
      <alignment vertical="top" wrapText="1" shrinkToFit="1"/>
    </xf>
    <xf numFmtId="0" fontId="12" fillId="0" borderId="8" xfId="0" applyFont="1" applyBorder="1" applyAlignment="1">
      <alignment vertical="top" wrapText="1" shrinkToFit="1"/>
    </xf>
    <xf numFmtId="0" fontId="12" fillId="0" borderId="9" xfId="0" applyFont="1" applyBorder="1" applyAlignment="1">
      <alignment vertical="top" shrinkToFit="1"/>
    </xf>
    <xf numFmtId="0" fontId="12" fillId="0" borderId="5" xfId="0" applyFont="1" applyBorder="1" applyAlignment="1">
      <alignment vertical="top" shrinkToFit="1"/>
    </xf>
    <xf numFmtId="0" fontId="12" fillId="0" borderId="0" xfId="0" applyFont="1" applyAlignment="1">
      <alignment vertical="top" shrinkToFit="1"/>
    </xf>
    <xf numFmtId="0" fontId="12" fillId="0" borderId="10" xfId="0" applyFont="1" applyBorder="1" applyAlignment="1">
      <alignment vertical="top" shrinkToFit="1"/>
    </xf>
    <xf numFmtId="0" fontId="12" fillId="0" borderId="11" xfId="0" applyFont="1" applyBorder="1" applyAlignment="1">
      <alignment vertical="top" shrinkToFit="1"/>
    </xf>
    <xf numFmtId="0" fontId="12" fillId="0" borderId="6" xfId="0" applyFont="1" applyBorder="1" applyAlignment="1">
      <alignment vertical="top" shrinkToFit="1"/>
    </xf>
    <xf numFmtId="0" fontId="12"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2" fillId="0" borderId="6" xfId="0" applyFont="1" applyBorder="1" applyAlignment="1">
      <alignment vertical="top" wrapText="1" shrinkToFit="1"/>
    </xf>
    <xf numFmtId="0" fontId="1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12" fillId="0" borderId="20" xfId="0" applyFont="1" applyBorder="1" applyAlignment="1">
      <alignment vertical="top" wrapText="1" shrinkToFit="1"/>
    </xf>
    <xf numFmtId="0" fontId="1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12" fillId="0" borderId="38" xfId="0" applyFont="1" applyBorder="1" applyAlignment="1">
      <alignment vertical="top" wrapText="1" shrinkToFit="1"/>
    </xf>
    <xf numFmtId="0" fontId="1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12" fillId="0" borderId="42" xfId="0" applyFont="1" applyBorder="1" applyAlignment="1">
      <alignment vertical="top" wrapText="1" shrinkToFit="1"/>
    </xf>
    <xf numFmtId="0" fontId="1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12" fillId="0" borderId="37" xfId="0" applyFont="1" applyBorder="1" applyAlignment="1">
      <alignment vertical="top" wrapText="1" shrinkToFit="1"/>
    </xf>
    <xf numFmtId="0" fontId="11" fillId="0" borderId="38" xfId="0" applyFont="1" applyBorder="1" applyAlignment="1">
      <alignment vertical="top" wrapText="1" shrinkToFit="1"/>
    </xf>
    <xf numFmtId="0" fontId="11" fillId="0" borderId="39"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B5D9-89D0-4A99-869A-58BD833C6F6B}">
  <sheetPr>
    <pageSetUpPr fitToPage="1"/>
  </sheetPr>
  <dimension ref="A1:V110"/>
  <sheetViews>
    <sheetView showZeros="0" tabSelected="1" view="pageBreakPreview" zoomScale="90" zoomScaleNormal="100" zoomScaleSheetLayoutView="90" workbookViewId="0"/>
  </sheetViews>
  <sheetFormatPr defaultColWidth="9" defaultRowHeight="18.75" customHeight="1" x14ac:dyDescent="0.15"/>
  <cols>
    <col min="1" max="1" width="2.375" style="97" customWidth="1"/>
    <col min="2" max="2" width="16.375" style="97" customWidth="1"/>
    <col min="3" max="19" width="5.625" style="97" customWidth="1"/>
    <col min="20" max="20" width="9" style="97"/>
    <col min="21" max="21" width="3.625" style="97" customWidth="1"/>
    <col min="22" max="22" width="48.625" style="97" hidden="1" customWidth="1"/>
    <col min="23" max="16384" width="9" style="97"/>
  </cols>
  <sheetData>
    <row r="1" spans="1:22" ht="18.600000000000001" customHeight="1" x14ac:dyDescent="0.15">
      <c r="R1" s="113" t="s">
        <v>0</v>
      </c>
      <c r="S1" s="113"/>
      <c r="T1" s="2" t="s">
        <v>1</v>
      </c>
    </row>
    <row r="2" spans="1:22" ht="18.75" customHeight="1" x14ac:dyDescent="0.15">
      <c r="B2" s="96" t="s">
        <v>2</v>
      </c>
      <c r="C2" s="109" t="s">
        <v>3</v>
      </c>
      <c r="D2" s="112"/>
      <c r="E2" s="112"/>
      <c r="F2" s="112"/>
      <c r="G2" s="112"/>
      <c r="H2" s="112"/>
      <c r="I2" s="110"/>
      <c r="J2" s="95"/>
      <c r="K2" s="6"/>
      <c r="L2" s="6"/>
      <c r="M2" s="6"/>
      <c r="N2" s="6"/>
      <c r="O2" s="6"/>
      <c r="P2" s="6"/>
      <c r="Q2" s="6"/>
      <c r="R2" s="6"/>
      <c r="S2" s="6"/>
    </row>
    <row r="3" spans="1:22" ht="31.5" customHeight="1" x14ac:dyDescent="0.15">
      <c r="B3" s="96" t="s">
        <v>4</v>
      </c>
      <c r="C3" s="114" t="s">
        <v>5</v>
      </c>
      <c r="D3" s="115"/>
      <c r="E3" s="115"/>
      <c r="F3" s="115"/>
      <c r="G3" s="115"/>
      <c r="H3" s="115"/>
      <c r="I3" s="116"/>
      <c r="J3" s="95"/>
      <c r="K3" s="6"/>
      <c r="L3" s="6"/>
      <c r="M3" s="6"/>
      <c r="N3" s="6"/>
      <c r="O3" s="6"/>
      <c r="P3" s="6"/>
      <c r="Q3" s="6"/>
      <c r="R3" s="6"/>
      <c r="S3" s="6"/>
    </row>
    <row r="4" spans="1:22" ht="15" customHeight="1" x14ac:dyDescent="0.15">
      <c r="K4" s="95"/>
      <c r="L4" s="36"/>
      <c r="M4" s="36"/>
      <c r="N4" s="36"/>
      <c r="O4" s="36"/>
      <c r="P4" s="36"/>
      <c r="Q4" s="36"/>
      <c r="R4" s="36"/>
      <c r="S4" s="36"/>
    </row>
    <row r="5" spans="1:22" ht="18" customHeight="1" x14ac:dyDescent="0.15">
      <c r="A5" s="117" t="s">
        <v>6</v>
      </c>
      <c r="B5" s="117"/>
      <c r="C5" s="117"/>
      <c r="D5" s="117"/>
      <c r="E5" s="117"/>
      <c r="F5" s="117"/>
      <c r="G5" s="117"/>
      <c r="H5" s="117"/>
      <c r="I5" s="117"/>
      <c r="J5" s="117"/>
      <c r="K5" s="117"/>
      <c r="L5" s="117"/>
      <c r="M5" s="117"/>
      <c r="N5" s="117"/>
      <c r="O5" s="117"/>
      <c r="P5" s="117"/>
      <c r="Q5" s="117"/>
      <c r="R5" s="117"/>
      <c r="S5" s="117"/>
    </row>
    <row r="6" spans="1:22" ht="15" customHeight="1" x14ac:dyDescent="0.15">
      <c r="B6" s="98"/>
      <c r="C6" s="98"/>
      <c r="D6" s="98"/>
      <c r="E6" s="98"/>
      <c r="F6" s="98"/>
      <c r="G6" s="98"/>
      <c r="H6" s="98"/>
      <c r="I6" s="98"/>
      <c r="J6" s="98"/>
      <c r="K6" s="98"/>
      <c r="L6" s="98"/>
      <c r="M6" s="98"/>
      <c r="N6" s="98"/>
      <c r="O6" s="98"/>
      <c r="P6" s="98"/>
      <c r="Q6" s="98"/>
      <c r="R6" s="98"/>
      <c r="S6" s="98"/>
    </row>
    <row r="7" spans="1:22" ht="18" customHeight="1" x14ac:dyDescent="0.15">
      <c r="A7" s="97" t="s">
        <v>7</v>
      </c>
      <c r="C7" s="98"/>
      <c r="J7" s="37" t="s">
        <v>8</v>
      </c>
      <c r="K7" s="118" t="s">
        <v>9</v>
      </c>
      <c r="L7" s="119"/>
      <c r="M7" s="119"/>
      <c r="N7" s="119"/>
      <c r="O7" s="119"/>
      <c r="P7" s="119"/>
      <c r="Q7" s="119"/>
      <c r="R7" s="119"/>
      <c r="S7" s="120"/>
    </row>
    <row r="8" spans="1:22" ht="6" customHeight="1" x14ac:dyDescent="0.15">
      <c r="B8" s="98"/>
      <c r="C8" s="98"/>
      <c r="D8" s="98"/>
      <c r="E8" s="98"/>
      <c r="F8" s="98"/>
      <c r="G8" s="98"/>
      <c r="H8" s="98"/>
      <c r="I8" s="98"/>
      <c r="J8" s="98"/>
      <c r="K8" s="10"/>
      <c r="L8" s="98"/>
      <c r="M8" s="98"/>
      <c r="N8" s="98"/>
      <c r="O8" s="98"/>
      <c r="P8" s="98"/>
      <c r="Q8" s="98"/>
      <c r="R8" s="98"/>
      <c r="S8" s="98"/>
    </row>
    <row r="9" spans="1:22" ht="18" customHeight="1" x14ac:dyDescent="0.15">
      <c r="B9" s="121" t="s">
        <v>10</v>
      </c>
      <c r="C9" s="122"/>
      <c r="D9" s="122"/>
      <c r="E9" s="122"/>
      <c r="F9" s="122"/>
      <c r="G9" s="122"/>
      <c r="H9" s="122"/>
      <c r="I9" s="122"/>
      <c r="J9" s="122"/>
      <c r="K9" s="122"/>
      <c r="L9" s="122"/>
      <c r="M9" s="122"/>
      <c r="N9" s="122"/>
      <c r="O9" s="122"/>
      <c r="P9" s="122"/>
      <c r="Q9" s="122"/>
      <c r="R9" s="122"/>
      <c r="S9" s="123"/>
    </row>
    <row r="10" spans="1:22" ht="18" customHeight="1" x14ac:dyDescent="0.15">
      <c r="B10" s="124"/>
      <c r="C10" s="125"/>
      <c r="D10" s="125"/>
      <c r="E10" s="125"/>
      <c r="F10" s="125"/>
      <c r="G10" s="125"/>
      <c r="H10" s="125"/>
      <c r="I10" s="125"/>
      <c r="J10" s="125"/>
      <c r="K10" s="125"/>
      <c r="L10" s="125"/>
      <c r="M10" s="125"/>
      <c r="N10" s="125"/>
      <c r="O10" s="125"/>
      <c r="P10" s="125"/>
      <c r="Q10" s="125"/>
      <c r="R10" s="125"/>
      <c r="S10" s="126"/>
    </row>
    <row r="11" spans="1:22" ht="6" customHeight="1" x14ac:dyDescent="0.15">
      <c r="B11" s="98"/>
      <c r="C11" s="98"/>
      <c r="D11" s="98"/>
      <c r="E11" s="98"/>
      <c r="F11" s="98"/>
      <c r="G11" s="98"/>
      <c r="H11" s="98"/>
      <c r="I11" s="98"/>
      <c r="J11" s="98"/>
      <c r="K11" s="10"/>
      <c r="L11" s="98"/>
      <c r="M11" s="98"/>
      <c r="N11" s="98"/>
      <c r="O11" s="98"/>
      <c r="P11" s="98"/>
      <c r="Q11" s="98"/>
      <c r="R11" s="98"/>
      <c r="S11" s="98"/>
    </row>
    <row r="12" spans="1:22" ht="18" customHeight="1" x14ac:dyDescent="0.15">
      <c r="A12" s="97" t="s">
        <v>11</v>
      </c>
      <c r="B12" s="98"/>
      <c r="C12" s="98"/>
      <c r="D12" s="95"/>
      <c r="E12" s="95"/>
      <c r="F12" s="95"/>
      <c r="G12" s="95"/>
      <c r="H12" s="95"/>
      <c r="I12" s="95"/>
      <c r="J12" s="95"/>
      <c r="K12" s="38"/>
      <c r="L12" s="38"/>
      <c r="M12" s="38"/>
      <c r="N12" s="38"/>
      <c r="O12" s="38"/>
      <c r="P12" s="38"/>
      <c r="Q12" s="38"/>
      <c r="R12" s="38"/>
      <c r="S12" s="38"/>
    </row>
    <row r="13" spans="1:22" ht="18" customHeight="1" x14ac:dyDescent="0.15">
      <c r="B13" s="100" t="s">
        <v>12</v>
      </c>
      <c r="C13" s="101"/>
      <c r="D13" s="101"/>
      <c r="E13" s="101"/>
      <c r="F13" s="101"/>
      <c r="G13" s="101"/>
      <c r="H13" s="101"/>
      <c r="I13" s="101"/>
      <c r="J13" s="101"/>
      <c r="K13" s="101"/>
      <c r="L13" s="101"/>
      <c r="M13" s="101"/>
      <c r="N13" s="101"/>
      <c r="O13" s="101"/>
      <c r="P13" s="101"/>
      <c r="Q13" s="101"/>
      <c r="R13" s="101"/>
      <c r="S13" s="102"/>
      <c r="V13" s="97" t="s">
        <v>13</v>
      </c>
    </row>
    <row r="14" spans="1:22" ht="18" customHeight="1" x14ac:dyDescent="0.15">
      <c r="B14" s="103"/>
      <c r="C14" s="104"/>
      <c r="D14" s="104"/>
      <c r="E14" s="104"/>
      <c r="F14" s="104"/>
      <c r="G14" s="104"/>
      <c r="H14" s="104"/>
      <c r="I14" s="104"/>
      <c r="J14" s="104"/>
      <c r="K14" s="104"/>
      <c r="L14" s="104"/>
      <c r="M14" s="104"/>
      <c r="N14" s="104"/>
      <c r="O14" s="104"/>
      <c r="P14" s="104"/>
      <c r="Q14" s="104"/>
      <c r="R14" s="104"/>
      <c r="S14" s="105"/>
      <c r="V14" s="97" t="s">
        <v>14</v>
      </c>
    </row>
    <row r="15" spans="1:22" ht="18" customHeight="1" x14ac:dyDescent="0.15">
      <c r="B15" s="103"/>
      <c r="C15" s="104"/>
      <c r="D15" s="104"/>
      <c r="E15" s="104"/>
      <c r="F15" s="104"/>
      <c r="G15" s="104"/>
      <c r="H15" s="104"/>
      <c r="I15" s="104"/>
      <c r="J15" s="104"/>
      <c r="K15" s="104"/>
      <c r="L15" s="104"/>
      <c r="M15" s="104"/>
      <c r="N15" s="104"/>
      <c r="O15" s="104"/>
      <c r="P15" s="104"/>
      <c r="Q15" s="104"/>
      <c r="R15" s="104"/>
      <c r="S15" s="105"/>
      <c r="V15" s="97" t="s">
        <v>15</v>
      </c>
    </row>
    <row r="16" spans="1:22" ht="18" customHeight="1" x14ac:dyDescent="0.15">
      <c r="B16" s="103"/>
      <c r="C16" s="104"/>
      <c r="D16" s="104"/>
      <c r="E16" s="104"/>
      <c r="F16" s="104"/>
      <c r="G16" s="104"/>
      <c r="H16" s="104"/>
      <c r="I16" s="104"/>
      <c r="J16" s="104"/>
      <c r="K16" s="104"/>
      <c r="L16" s="104"/>
      <c r="M16" s="104"/>
      <c r="N16" s="104"/>
      <c r="O16" s="104"/>
      <c r="P16" s="104"/>
      <c r="Q16" s="104"/>
      <c r="R16" s="104"/>
      <c r="S16" s="105"/>
      <c r="V16" s="97" t="s">
        <v>16</v>
      </c>
    </row>
    <row r="17" spans="1:19" ht="18" customHeight="1" x14ac:dyDescent="0.15">
      <c r="B17" s="103"/>
      <c r="C17" s="104"/>
      <c r="D17" s="104"/>
      <c r="E17" s="104"/>
      <c r="F17" s="104"/>
      <c r="G17" s="104"/>
      <c r="H17" s="104"/>
      <c r="I17" s="104"/>
      <c r="J17" s="104"/>
      <c r="K17" s="104"/>
      <c r="L17" s="104"/>
      <c r="M17" s="104"/>
      <c r="N17" s="104"/>
      <c r="O17" s="104"/>
      <c r="P17" s="104"/>
      <c r="Q17" s="104"/>
      <c r="R17" s="104"/>
      <c r="S17" s="105"/>
    </row>
    <row r="18" spans="1:19" ht="18" customHeight="1" x14ac:dyDescent="0.15">
      <c r="B18" s="106"/>
      <c r="C18" s="107"/>
      <c r="D18" s="107"/>
      <c r="E18" s="107"/>
      <c r="F18" s="107"/>
      <c r="G18" s="107"/>
      <c r="H18" s="107"/>
      <c r="I18" s="107"/>
      <c r="J18" s="107"/>
      <c r="K18" s="107"/>
      <c r="L18" s="107"/>
      <c r="M18" s="107"/>
      <c r="N18" s="107"/>
      <c r="O18" s="107"/>
      <c r="P18" s="107"/>
      <c r="Q18" s="107"/>
      <c r="R18" s="107"/>
      <c r="S18" s="108"/>
    </row>
    <row r="19" spans="1:19" ht="7.5" customHeight="1" x14ac:dyDescent="0.15">
      <c r="B19" s="98"/>
      <c r="C19" s="98"/>
      <c r="D19" s="98"/>
      <c r="E19" s="98"/>
      <c r="F19" s="98"/>
      <c r="G19" s="98"/>
      <c r="H19" s="98"/>
      <c r="I19" s="98"/>
      <c r="J19" s="98"/>
      <c r="K19" s="98"/>
      <c r="L19" s="98"/>
      <c r="M19" s="98"/>
      <c r="N19" s="98"/>
      <c r="O19" s="98"/>
      <c r="P19" s="98"/>
      <c r="Q19" s="98"/>
      <c r="R19" s="98"/>
      <c r="S19" s="98"/>
    </row>
    <row r="20" spans="1:19" ht="19.899999999999999" customHeight="1" x14ac:dyDescent="0.15">
      <c r="B20" s="97" t="s">
        <v>17</v>
      </c>
      <c r="C20" s="109">
        <v>4</v>
      </c>
      <c r="D20" s="110"/>
      <c r="E20" s="39" t="s">
        <v>18</v>
      </c>
      <c r="G20" s="10"/>
      <c r="H20" s="98"/>
      <c r="I20" s="98"/>
      <c r="J20" s="95" t="s">
        <v>19</v>
      </c>
      <c r="K20" s="176" t="s">
        <v>15</v>
      </c>
      <c r="L20" s="177"/>
      <c r="M20" s="177"/>
      <c r="N20" s="177"/>
      <c r="O20" s="177"/>
      <c r="P20" s="177"/>
      <c r="Q20" s="177"/>
      <c r="R20" s="177"/>
      <c r="S20" s="178"/>
    </row>
    <row r="21" spans="1:19" ht="7.5" customHeight="1" x14ac:dyDescent="0.15">
      <c r="B21" s="98"/>
      <c r="C21" s="98"/>
      <c r="D21" s="98"/>
      <c r="E21" s="98"/>
      <c r="F21" s="98"/>
      <c r="G21" s="98"/>
      <c r="H21" s="98"/>
      <c r="I21" s="98"/>
      <c r="J21" s="98"/>
      <c r="K21" s="98"/>
      <c r="L21" s="98"/>
      <c r="M21" s="98"/>
      <c r="N21" s="98"/>
      <c r="O21" s="98"/>
      <c r="P21" s="98"/>
      <c r="Q21" s="98"/>
      <c r="R21" s="98"/>
      <c r="S21" s="98"/>
    </row>
    <row r="22" spans="1:19" ht="18" customHeight="1" x14ac:dyDescent="0.15">
      <c r="A22" s="111" t="s">
        <v>20</v>
      </c>
      <c r="B22" s="111"/>
      <c r="C22" s="111"/>
      <c r="D22" s="111"/>
      <c r="E22" s="111"/>
      <c r="F22" s="111"/>
      <c r="G22" s="111"/>
      <c r="H22" s="111"/>
      <c r="I22" s="111"/>
      <c r="J22" s="111"/>
      <c r="K22" s="111"/>
      <c r="L22" s="111"/>
      <c r="M22" s="111"/>
      <c r="N22" s="111"/>
      <c r="O22" s="111"/>
      <c r="P22" s="111"/>
      <c r="Q22" s="111"/>
      <c r="R22" s="111"/>
      <c r="S22" s="111"/>
    </row>
    <row r="23" spans="1:19" ht="18" customHeight="1" x14ac:dyDescent="0.15">
      <c r="A23" s="111"/>
      <c r="B23" s="111"/>
      <c r="C23" s="111"/>
      <c r="D23" s="111"/>
      <c r="E23" s="111"/>
      <c r="F23" s="111"/>
      <c r="G23" s="111"/>
      <c r="H23" s="111"/>
      <c r="I23" s="111"/>
      <c r="J23" s="111"/>
      <c r="K23" s="111"/>
      <c r="L23" s="111"/>
      <c r="M23" s="111"/>
      <c r="N23" s="111"/>
      <c r="O23" s="111"/>
      <c r="P23" s="111"/>
      <c r="Q23" s="111"/>
      <c r="R23" s="111"/>
      <c r="S23" s="111"/>
    </row>
    <row r="24" spans="1:19" ht="18" customHeight="1" x14ac:dyDescent="0.15">
      <c r="B24" s="109" t="s">
        <v>21</v>
      </c>
      <c r="C24" s="112"/>
      <c r="D24" s="112"/>
      <c r="E24" s="110"/>
      <c r="F24" s="58" t="s">
        <v>22</v>
      </c>
      <c r="G24" s="57" t="s">
        <v>23</v>
      </c>
      <c r="H24" s="21" t="s">
        <v>24</v>
      </c>
      <c r="I24" s="21" t="s">
        <v>25</v>
      </c>
      <c r="J24" s="109" t="s">
        <v>21</v>
      </c>
      <c r="K24" s="112"/>
      <c r="L24" s="112"/>
      <c r="M24" s="112"/>
      <c r="N24" s="112"/>
      <c r="O24" s="110"/>
      <c r="P24" s="58" t="s">
        <v>22</v>
      </c>
      <c r="Q24" s="57" t="s">
        <v>23</v>
      </c>
      <c r="R24" s="21" t="s">
        <v>24</v>
      </c>
      <c r="S24" s="21" t="s">
        <v>25</v>
      </c>
    </row>
    <row r="25" spans="1:19" ht="18" customHeight="1" x14ac:dyDescent="0.15">
      <c r="B25" s="130" t="s">
        <v>26</v>
      </c>
      <c r="C25" s="131"/>
      <c r="D25" s="131"/>
      <c r="E25" s="132"/>
      <c r="F25" s="22">
        <v>2</v>
      </c>
      <c r="G25" s="22" t="s">
        <v>27</v>
      </c>
      <c r="H25" s="22" t="s">
        <v>27</v>
      </c>
      <c r="I25" s="22" t="s">
        <v>27</v>
      </c>
      <c r="J25" s="130"/>
      <c r="K25" s="131"/>
      <c r="L25" s="131"/>
      <c r="M25" s="131"/>
      <c r="N25" s="131"/>
      <c r="O25" s="132"/>
      <c r="P25" s="22"/>
      <c r="Q25" s="22"/>
      <c r="R25" s="22"/>
      <c r="S25" s="22"/>
    </row>
    <row r="26" spans="1:19" ht="18" customHeight="1" x14ac:dyDescent="0.15">
      <c r="B26" s="127"/>
      <c r="C26" s="128"/>
      <c r="D26" s="128"/>
      <c r="E26" s="129"/>
      <c r="F26" s="79"/>
      <c r="G26" s="79"/>
      <c r="H26" s="23"/>
      <c r="I26" s="23"/>
      <c r="J26" s="127"/>
      <c r="K26" s="128"/>
      <c r="L26" s="128"/>
      <c r="M26" s="128"/>
      <c r="N26" s="128"/>
      <c r="O26" s="129"/>
      <c r="P26" s="23"/>
      <c r="Q26" s="23"/>
      <c r="R26" s="23"/>
      <c r="S26" s="23"/>
    </row>
    <row r="27" spans="1:19" ht="18" customHeight="1" x14ac:dyDescent="0.15">
      <c r="B27" s="127"/>
      <c r="C27" s="128"/>
      <c r="D27" s="128"/>
      <c r="E27" s="129"/>
      <c r="F27" s="23"/>
      <c r="G27" s="23"/>
      <c r="H27" s="23"/>
      <c r="I27" s="23"/>
      <c r="J27" s="127"/>
      <c r="K27" s="128"/>
      <c r="L27" s="128"/>
      <c r="M27" s="128"/>
      <c r="N27" s="128"/>
      <c r="O27" s="129"/>
      <c r="P27" s="23"/>
      <c r="Q27" s="23"/>
      <c r="R27" s="23"/>
      <c r="S27" s="23"/>
    </row>
    <row r="28" spans="1:19" ht="18" customHeight="1" x14ac:dyDescent="0.15">
      <c r="B28" s="127"/>
      <c r="C28" s="128"/>
      <c r="D28" s="128"/>
      <c r="E28" s="129"/>
      <c r="F28" s="23"/>
      <c r="G28" s="23"/>
      <c r="H28" s="23"/>
      <c r="I28" s="23"/>
      <c r="J28" s="127"/>
      <c r="K28" s="128"/>
      <c r="L28" s="128"/>
      <c r="M28" s="128"/>
      <c r="N28" s="128"/>
      <c r="O28" s="129"/>
      <c r="P28" s="23"/>
      <c r="Q28" s="23"/>
      <c r="R28" s="23"/>
      <c r="S28" s="23"/>
    </row>
    <row r="29" spans="1:19" ht="18" customHeight="1" x14ac:dyDescent="0.15">
      <c r="B29" s="127"/>
      <c r="C29" s="128"/>
      <c r="D29" s="128"/>
      <c r="E29" s="129"/>
      <c r="F29" s="23"/>
      <c r="G29" s="23"/>
      <c r="H29" s="23"/>
      <c r="I29" s="23"/>
      <c r="J29" s="127"/>
      <c r="K29" s="128"/>
      <c r="L29" s="128"/>
      <c r="M29" s="128"/>
      <c r="N29" s="128"/>
      <c r="O29" s="129"/>
      <c r="P29" s="23"/>
      <c r="Q29" s="23"/>
      <c r="R29" s="23"/>
      <c r="S29" s="23"/>
    </row>
    <row r="30" spans="1:19" ht="18" customHeight="1" x14ac:dyDescent="0.15">
      <c r="A30" s="98"/>
      <c r="B30" s="127"/>
      <c r="C30" s="128"/>
      <c r="D30" s="128"/>
      <c r="E30" s="129"/>
      <c r="F30" s="23"/>
      <c r="G30" s="23"/>
      <c r="H30" s="23"/>
      <c r="I30" s="23"/>
      <c r="J30" s="127"/>
      <c r="K30" s="128"/>
      <c r="L30" s="128"/>
      <c r="M30" s="128"/>
      <c r="N30" s="128"/>
      <c r="O30" s="129"/>
      <c r="P30" s="23"/>
      <c r="Q30" s="23"/>
      <c r="R30" s="23"/>
      <c r="S30" s="23"/>
    </row>
    <row r="31" spans="1:19" ht="18" customHeight="1" x14ac:dyDescent="0.15">
      <c r="A31" s="98"/>
      <c r="B31" s="133"/>
      <c r="C31" s="134"/>
      <c r="D31" s="134"/>
      <c r="E31" s="135"/>
      <c r="F31" s="24"/>
      <c r="G31" s="24"/>
      <c r="H31" s="25"/>
      <c r="I31" s="25"/>
      <c r="J31" s="133"/>
      <c r="K31" s="134"/>
      <c r="L31" s="134"/>
      <c r="M31" s="134"/>
      <c r="N31" s="134"/>
      <c r="O31" s="135"/>
      <c r="P31" s="24"/>
      <c r="Q31" s="24"/>
      <c r="R31" s="25"/>
      <c r="S31" s="25"/>
    </row>
    <row r="32" spans="1:19" ht="7.5" customHeight="1" x14ac:dyDescent="0.15">
      <c r="A32" s="98"/>
      <c r="B32" s="6"/>
      <c r="C32" s="6"/>
      <c r="D32" s="98"/>
      <c r="E32" s="98"/>
      <c r="F32" s="98"/>
      <c r="G32" s="98"/>
      <c r="H32" s="6"/>
      <c r="I32" s="6"/>
      <c r="J32" s="6"/>
      <c r="K32" s="6"/>
      <c r="L32" s="6"/>
      <c r="M32" s="6"/>
      <c r="N32" s="6"/>
      <c r="O32" s="6"/>
      <c r="P32" s="6"/>
      <c r="Q32" s="6"/>
      <c r="R32" s="6"/>
      <c r="S32" s="98"/>
    </row>
    <row r="33" spans="1:19" ht="18" customHeight="1" x14ac:dyDescent="0.15">
      <c r="A33" s="111" t="s">
        <v>28</v>
      </c>
      <c r="B33" s="111"/>
      <c r="C33" s="111"/>
      <c r="D33" s="111"/>
      <c r="E33" s="111"/>
      <c r="F33" s="111"/>
      <c r="G33" s="111"/>
      <c r="H33" s="111"/>
      <c r="I33" s="111"/>
      <c r="J33" s="111"/>
      <c r="K33" s="111"/>
      <c r="L33" s="111"/>
      <c r="M33" s="111"/>
      <c r="N33" s="111"/>
      <c r="O33" s="111"/>
      <c r="P33" s="111"/>
      <c r="Q33" s="111"/>
      <c r="R33" s="111"/>
      <c r="S33" s="111"/>
    </row>
    <row r="34" spans="1:19" ht="18" customHeight="1" x14ac:dyDescent="0.15">
      <c r="A34" s="111"/>
      <c r="B34" s="111"/>
      <c r="C34" s="111"/>
      <c r="D34" s="111"/>
      <c r="E34" s="111"/>
      <c r="F34" s="111"/>
      <c r="G34" s="111"/>
      <c r="H34" s="111"/>
      <c r="I34" s="111"/>
      <c r="J34" s="111"/>
      <c r="K34" s="111"/>
      <c r="L34" s="111"/>
      <c r="M34" s="111"/>
      <c r="N34" s="111"/>
      <c r="O34" s="111"/>
      <c r="P34" s="111"/>
      <c r="Q34" s="111"/>
      <c r="R34" s="111"/>
      <c r="S34" s="111"/>
    </row>
    <row r="35" spans="1:19" ht="18" customHeight="1" x14ac:dyDescent="0.15">
      <c r="B35" s="109" t="s">
        <v>21</v>
      </c>
      <c r="C35" s="112"/>
      <c r="D35" s="112"/>
      <c r="E35" s="110"/>
      <c r="F35" s="58" t="s">
        <v>22</v>
      </c>
      <c r="G35" s="57" t="s">
        <v>23</v>
      </c>
      <c r="H35" s="21" t="s">
        <v>29</v>
      </c>
      <c r="I35" s="21" t="s">
        <v>30</v>
      </c>
      <c r="J35" s="109" t="s">
        <v>21</v>
      </c>
      <c r="K35" s="112"/>
      <c r="L35" s="112"/>
      <c r="M35" s="112"/>
      <c r="N35" s="112"/>
      <c r="O35" s="110"/>
      <c r="P35" s="58" t="s">
        <v>22</v>
      </c>
      <c r="Q35" s="57" t="s">
        <v>23</v>
      </c>
      <c r="R35" s="21" t="s">
        <v>29</v>
      </c>
      <c r="S35" s="21" t="s">
        <v>30</v>
      </c>
    </row>
    <row r="36" spans="1:19" ht="18" customHeight="1" x14ac:dyDescent="0.15">
      <c r="B36" s="130" t="s">
        <v>26</v>
      </c>
      <c r="C36" s="131"/>
      <c r="D36" s="131"/>
      <c r="E36" s="132"/>
      <c r="F36" s="22">
        <v>2</v>
      </c>
      <c r="G36" s="22" t="s">
        <v>27</v>
      </c>
      <c r="H36" s="22" t="s">
        <v>27</v>
      </c>
      <c r="I36" s="22" t="s">
        <v>27</v>
      </c>
      <c r="J36" s="130"/>
      <c r="K36" s="131"/>
      <c r="L36" s="131"/>
      <c r="M36" s="131"/>
      <c r="N36" s="131"/>
      <c r="O36" s="132"/>
      <c r="P36" s="22"/>
      <c r="Q36" s="22"/>
      <c r="R36" s="22"/>
      <c r="S36" s="22"/>
    </row>
    <row r="37" spans="1:19" ht="18" customHeight="1" x14ac:dyDescent="0.15">
      <c r="B37" s="127"/>
      <c r="C37" s="128"/>
      <c r="D37" s="128"/>
      <c r="E37" s="129"/>
      <c r="F37" s="23"/>
      <c r="G37" s="23"/>
      <c r="H37" s="23"/>
      <c r="I37" s="23"/>
      <c r="J37" s="127"/>
      <c r="K37" s="128"/>
      <c r="L37" s="128"/>
      <c r="M37" s="128"/>
      <c r="N37" s="128"/>
      <c r="O37" s="129"/>
      <c r="P37" s="23"/>
      <c r="Q37" s="23"/>
      <c r="R37" s="23"/>
      <c r="S37" s="23"/>
    </row>
    <row r="38" spans="1:19" ht="18" customHeight="1" x14ac:dyDescent="0.15">
      <c r="B38" s="127"/>
      <c r="C38" s="128"/>
      <c r="D38" s="128"/>
      <c r="E38" s="129"/>
      <c r="F38" s="23"/>
      <c r="G38" s="23"/>
      <c r="H38" s="23"/>
      <c r="I38" s="23"/>
      <c r="J38" s="127"/>
      <c r="K38" s="128"/>
      <c r="L38" s="128"/>
      <c r="M38" s="128"/>
      <c r="N38" s="128"/>
      <c r="O38" s="129"/>
      <c r="P38" s="23"/>
      <c r="Q38" s="23"/>
      <c r="R38" s="23"/>
      <c r="S38" s="23"/>
    </row>
    <row r="39" spans="1:19" ht="18" customHeight="1" x14ac:dyDescent="0.15">
      <c r="B39" s="127"/>
      <c r="C39" s="128"/>
      <c r="D39" s="128"/>
      <c r="E39" s="129"/>
      <c r="F39" s="23"/>
      <c r="G39" s="23"/>
      <c r="H39" s="23"/>
      <c r="I39" s="23"/>
      <c r="J39" s="127"/>
      <c r="K39" s="128"/>
      <c r="L39" s="128"/>
      <c r="M39" s="128"/>
      <c r="N39" s="128"/>
      <c r="O39" s="129"/>
      <c r="P39" s="23"/>
      <c r="Q39" s="23"/>
      <c r="R39" s="23"/>
      <c r="S39" s="23"/>
    </row>
    <row r="40" spans="1:19" ht="18" customHeight="1" x14ac:dyDescent="0.15">
      <c r="B40" s="127"/>
      <c r="C40" s="128"/>
      <c r="D40" s="128"/>
      <c r="E40" s="129"/>
      <c r="F40" s="23"/>
      <c r="G40" s="23"/>
      <c r="H40" s="23"/>
      <c r="I40" s="23"/>
      <c r="J40" s="127"/>
      <c r="K40" s="128"/>
      <c r="L40" s="128"/>
      <c r="M40" s="128"/>
      <c r="N40" s="128"/>
      <c r="O40" s="129"/>
      <c r="P40" s="23"/>
      <c r="Q40" s="23"/>
      <c r="R40" s="23"/>
      <c r="S40" s="23"/>
    </row>
    <row r="41" spans="1:19" ht="18" customHeight="1" x14ac:dyDescent="0.15">
      <c r="B41" s="127"/>
      <c r="C41" s="128"/>
      <c r="D41" s="128"/>
      <c r="E41" s="129"/>
      <c r="F41" s="23"/>
      <c r="G41" s="23"/>
      <c r="H41" s="23"/>
      <c r="I41" s="23"/>
      <c r="J41" s="127"/>
      <c r="K41" s="128"/>
      <c r="L41" s="128"/>
      <c r="M41" s="128"/>
      <c r="N41" s="128"/>
      <c r="O41" s="129"/>
      <c r="P41" s="23"/>
      <c r="Q41" s="23"/>
      <c r="R41" s="23"/>
      <c r="S41" s="23"/>
    </row>
    <row r="42" spans="1:19" ht="18" customHeight="1" x14ac:dyDescent="0.15">
      <c r="B42" s="133"/>
      <c r="C42" s="134"/>
      <c r="D42" s="134"/>
      <c r="E42" s="135"/>
      <c r="F42" s="24"/>
      <c r="G42" s="24"/>
      <c r="H42" s="25"/>
      <c r="I42" s="25"/>
      <c r="J42" s="133"/>
      <c r="K42" s="134"/>
      <c r="L42" s="134"/>
      <c r="M42" s="134"/>
      <c r="N42" s="134"/>
      <c r="O42" s="135"/>
      <c r="P42" s="24"/>
      <c r="Q42" s="24"/>
      <c r="R42" s="25"/>
      <c r="S42" s="25"/>
    </row>
    <row r="43" spans="1:19" ht="7.5" customHeight="1" x14ac:dyDescent="0.15">
      <c r="A43" s="98"/>
      <c r="B43" s="6"/>
      <c r="C43" s="6"/>
      <c r="D43" s="98"/>
      <c r="E43" s="98"/>
      <c r="F43" s="98"/>
      <c r="G43" s="98"/>
      <c r="H43" s="6"/>
      <c r="I43" s="6"/>
      <c r="J43" s="6"/>
      <c r="K43" s="6"/>
      <c r="L43" s="6"/>
      <c r="M43" s="6"/>
      <c r="N43" s="6"/>
      <c r="O43" s="6"/>
      <c r="P43" s="6"/>
      <c r="Q43" s="6"/>
      <c r="R43" s="6"/>
      <c r="S43" s="98"/>
    </row>
    <row r="44" spans="1:19" ht="18" customHeight="1" x14ac:dyDescent="0.15">
      <c r="A44" s="111" t="s">
        <v>31</v>
      </c>
      <c r="B44" s="111"/>
      <c r="C44" s="111"/>
      <c r="D44" s="111"/>
      <c r="E44" s="111"/>
      <c r="F44" s="111"/>
      <c r="G44" s="111"/>
      <c r="H44" s="111"/>
      <c r="I44" s="111"/>
      <c r="J44" s="111"/>
      <c r="K44" s="111"/>
      <c r="L44" s="111"/>
      <c r="M44" s="111"/>
      <c r="N44" s="111"/>
      <c r="O44" s="111"/>
      <c r="P44" s="111"/>
      <c r="Q44" s="111"/>
      <c r="R44" s="111"/>
      <c r="S44" s="111"/>
    </row>
    <row r="45" spans="1:19" ht="18" customHeight="1" x14ac:dyDescent="0.15">
      <c r="A45" s="111"/>
      <c r="B45" s="111"/>
      <c r="C45" s="111"/>
      <c r="D45" s="111"/>
      <c r="E45" s="111"/>
      <c r="F45" s="111"/>
      <c r="G45" s="111"/>
      <c r="H45" s="111"/>
      <c r="I45" s="111"/>
      <c r="J45" s="111"/>
      <c r="K45" s="111"/>
      <c r="L45" s="111"/>
      <c r="M45" s="111"/>
      <c r="N45" s="111"/>
      <c r="O45" s="111"/>
      <c r="P45" s="111"/>
      <c r="Q45" s="111"/>
      <c r="R45" s="111"/>
      <c r="S45" s="111"/>
    </row>
    <row r="46" spans="1:19" ht="18" customHeight="1" x14ac:dyDescent="0.15">
      <c r="B46" s="109" t="s">
        <v>21</v>
      </c>
      <c r="C46" s="112"/>
      <c r="D46" s="112"/>
      <c r="E46" s="110"/>
      <c r="F46" s="58" t="s">
        <v>22</v>
      </c>
      <c r="G46" s="57" t="s">
        <v>23</v>
      </c>
      <c r="H46" s="21" t="s">
        <v>32</v>
      </c>
      <c r="I46" s="21" t="s">
        <v>33</v>
      </c>
      <c r="J46" s="109" t="s">
        <v>21</v>
      </c>
      <c r="K46" s="112"/>
      <c r="L46" s="112"/>
      <c r="M46" s="112"/>
      <c r="N46" s="112"/>
      <c r="O46" s="110"/>
      <c r="P46" s="58" t="s">
        <v>22</v>
      </c>
      <c r="Q46" s="57" t="s">
        <v>23</v>
      </c>
      <c r="R46" s="21" t="s">
        <v>32</v>
      </c>
      <c r="S46" s="21" t="s">
        <v>33</v>
      </c>
    </row>
    <row r="47" spans="1:19" ht="18" customHeight="1" x14ac:dyDescent="0.15">
      <c r="A47" s="98"/>
      <c r="B47" s="130" t="s">
        <v>26</v>
      </c>
      <c r="C47" s="131"/>
      <c r="D47" s="131"/>
      <c r="E47" s="132"/>
      <c r="F47" s="22">
        <v>2</v>
      </c>
      <c r="G47" s="22" t="s">
        <v>27</v>
      </c>
      <c r="H47" s="22" t="s">
        <v>27</v>
      </c>
      <c r="I47" s="22" t="s">
        <v>27</v>
      </c>
      <c r="J47" s="130"/>
      <c r="K47" s="131"/>
      <c r="L47" s="131"/>
      <c r="M47" s="131"/>
      <c r="N47" s="131"/>
      <c r="O47" s="132"/>
      <c r="P47" s="22"/>
      <c r="Q47" s="22"/>
      <c r="R47" s="22"/>
      <c r="S47" s="22"/>
    </row>
    <row r="48" spans="1:19" ht="18" customHeight="1" x14ac:dyDescent="0.15">
      <c r="A48" s="98"/>
      <c r="B48" s="127"/>
      <c r="C48" s="128"/>
      <c r="D48" s="128"/>
      <c r="E48" s="129"/>
      <c r="F48" s="23"/>
      <c r="G48" s="23"/>
      <c r="H48" s="23"/>
      <c r="I48" s="23"/>
      <c r="J48" s="127"/>
      <c r="K48" s="128"/>
      <c r="L48" s="128"/>
      <c r="M48" s="128"/>
      <c r="N48" s="128"/>
      <c r="O48" s="129"/>
      <c r="P48" s="23"/>
      <c r="Q48" s="23"/>
      <c r="R48" s="23"/>
      <c r="S48" s="23"/>
    </row>
    <row r="49" spans="1:19" ht="18" customHeight="1" x14ac:dyDescent="0.15">
      <c r="A49" s="98"/>
      <c r="B49" s="127"/>
      <c r="C49" s="128"/>
      <c r="D49" s="128"/>
      <c r="E49" s="129"/>
      <c r="F49" s="23"/>
      <c r="G49" s="23"/>
      <c r="H49" s="23"/>
      <c r="I49" s="23"/>
      <c r="J49" s="127"/>
      <c r="K49" s="128"/>
      <c r="L49" s="128"/>
      <c r="M49" s="128"/>
      <c r="N49" s="128"/>
      <c r="O49" s="129"/>
      <c r="P49" s="23"/>
      <c r="Q49" s="23"/>
      <c r="R49" s="23"/>
      <c r="S49" s="23"/>
    </row>
    <row r="50" spans="1:19" ht="18" customHeight="1" x14ac:dyDescent="0.15">
      <c r="A50" s="98"/>
      <c r="B50" s="127"/>
      <c r="C50" s="128"/>
      <c r="D50" s="128"/>
      <c r="E50" s="129"/>
      <c r="F50" s="23"/>
      <c r="G50" s="23"/>
      <c r="H50" s="23"/>
      <c r="I50" s="23"/>
      <c r="J50" s="127"/>
      <c r="K50" s="128"/>
      <c r="L50" s="128"/>
      <c r="M50" s="128"/>
      <c r="N50" s="128"/>
      <c r="O50" s="129"/>
      <c r="P50" s="23"/>
      <c r="Q50" s="23"/>
      <c r="R50" s="23"/>
      <c r="S50" s="23"/>
    </row>
    <row r="51" spans="1:19" ht="18" customHeight="1" x14ac:dyDescent="0.15">
      <c r="A51" s="98"/>
      <c r="B51" s="127"/>
      <c r="C51" s="128"/>
      <c r="D51" s="128"/>
      <c r="E51" s="129"/>
      <c r="F51" s="23"/>
      <c r="G51" s="23"/>
      <c r="H51" s="23"/>
      <c r="I51" s="23"/>
      <c r="J51" s="127"/>
      <c r="K51" s="128"/>
      <c r="L51" s="128"/>
      <c r="M51" s="128"/>
      <c r="N51" s="128"/>
      <c r="O51" s="129"/>
      <c r="P51" s="23"/>
      <c r="Q51" s="23"/>
      <c r="R51" s="23"/>
      <c r="S51" s="23"/>
    </row>
    <row r="52" spans="1:19" ht="18" customHeight="1" x14ac:dyDescent="0.15">
      <c r="A52" s="98"/>
      <c r="B52" s="127"/>
      <c r="C52" s="128"/>
      <c r="D52" s="128"/>
      <c r="E52" s="129"/>
      <c r="F52" s="23"/>
      <c r="G52" s="23"/>
      <c r="H52" s="23"/>
      <c r="I52" s="23"/>
      <c r="J52" s="127"/>
      <c r="K52" s="128"/>
      <c r="L52" s="128"/>
      <c r="M52" s="128"/>
      <c r="N52" s="128"/>
      <c r="O52" s="129"/>
      <c r="P52" s="23"/>
      <c r="Q52" s="23"/>
      <c r="R52" s="23"/>
      <c r="S52" s="23"/>
    </row>
    <row r="53" spans="1:19" ht="18" customHeight="1" x14ac:dyDescent="0.15">
      <c r="A53" s="98"/>
      <c r="B53" s="133"/>
      <c r="C53" s="134"/>
      <c r="D53" s="134"/>
      <c r="E53" s="135"/>
      <c r="F53" s="24"/>
      <c r="G53" s="24"/>
      <c r="H53" s="25"/>
      <c r="I53" s="25"/>
      <c r="J53" s="133"/>
      <c r="K53" s="134"/>
      <c r="L53" s="134"/>
      <c r="M53" s="134"/>
      <c r="N53" s="134"/>
      <c r="O53" s="135"/>
      <c r="P53" s="24"/>
      <c r="Q53" s="24"/>
      <c r="R53" s="25"/>
      <c r="S53" s="25"/>
    </row>
    <row r="54" spans="1:19" ht="7.5" customHeight="1" x14ac:dyDescent="0.15">
      <c r="B54" s="99"/>
      <c r="C54" s="99"/>
      <c r="D54" s="99"/>
      <c r="E54" s="99"/>
      <c r="F54" s="99"/>
      <c r="G54" s="99"/>
      <c r="H54" s="99"/>
      <c r="I54" s="99"/>
      <c r="J54" s="99"/>
      <c r="K54" s="99"/>
      <c r="L54" s="99"/>
      <c r="M54" s="99"/>
      <c r="N54" s="99"/>
      <c r="O54" s="99"/>
      <c r="P54" s="99"/>
      <c r="Q54" s="99"/>
      <c r="R54" s="99"/>
    </row>
    <row r="55" spans="1:19" ht="18" customHeight="1" x14ac:dyDescent="0.15">
      <c r="A55" s="111" t="s">
        <v>34</v>
      </c>
      <c r="B55" s="111"/>
      <c r="C55" s="111"/>
      <c r="D55" s="111"/>
      <c r="E55" s="111"/>
      <c r="F55" s="111"/>
      <c r="G55" s="111"/>
      <c r="H55" s="111"/>
      <c r="I55" s="111"/>
      <c r="J55" s="111"/>
      <c r="K55" s="111"/>
      <c r="L55" s="111"/>
      <c r="M55" s="111"/>
      <c r="N55" s="111"/>
      <c r="O55" s="111"/>
      <c r="P55" s="111"/>
      <c r="Q55" s="111"/>
      <c r="R55" s="111"/>
      <c r="S55" s="111"/>
    </row>
    <row r="56" spans="1:19" ht="18" customHeight="1" x14ac:dyDescent="0.15">
      <c r="A56" s="111"/>
      <c r="B56" s="111"/>
      <c r="C56" s="111"/>
      <c r="D56" s="111"/>
      <c r="E56" s="111"/>
      <c r="F56" s="111"/>
      <c r="G56" s="111"/>
      <c r="H56" s="111"/>
      <c r="I56" s="111"/>
      <c r="J56" s="111"/>
      <c r="K56" s="111"/>
      <c r="L56" s="111"/>
      <c r="M56" s="111"/>
      <c r="N56" s="111"/>
      <c r="O56" s="111"/>
      <c r="P56" s="111"/>
      <c r="Q56" s="111"/>
      <c r="R56" s="111"/>
      <c r="S56" s="111"/>
    </row>
    <row r="57" spans="1:19" ht="18" customHeight="1" x14ac:dyDescent="0.15">
      <c r="B57" s="109" t="s">
        <v>21</v>
      </c>
      <c r="C57" s="112"/>
      <c r="D57" s="112"/>
      <c r="E57" s="110"/>
      <c r="F57" s="58" t="s">
        <v>22</v>
      </c>
      <c r="G57" s="57" t="s">
        <v>23</v>
      </c>
      <c r="H57" s="21" t="s">
        <v>35</v>
      </c>
      <c r="I57" s="21" t="s">
        <v>36</v>
      </c>
      <c r="J57" s="109" t="s">
        <v>21</v>
      </c>
      <c r="K57" s="112"/>
      <c r="L57" s="112"/>
      <c r="M57" s="112"/>
      <c r="N57" s="112"/>
      <c r="O57" s="110"/>
      <c r="P57" s="58" t="s">
        <v>22</v>
      </c>
      <c r="Q57" s="57" t="s">
        <v>23</v>
      </c>
      <c r="R57" s="21" t="s">
        <v>35</v>
      </c>
      <c r="S57" s="21" t="s">
        <v>36</v>
      </c>
    </row>
    <row r="58" spans="1:19" ht="18" customHeight="1" x14ac:dyDescent="0.15">
      <c r="A58" s="98"/>
      <c r="B58" s="130" t="s">
        <v>26</v>
      </c>
      <c r="C58" s="131"/>
      <c r="D58" s="131"/>
      <c r="E58" s="132"/>
      <c r="F58" s="22">
        <v>2</v>
      </c>
      <c r="G58" s="22" t="s">
        <v>27</v>
      </c>
      <c r="H58" s="22" t="s">
        <v>27</v>
      </c>
      <c r="I58" s="22" t="s">
        <v>27</v>
      </c>
      <c r="J58" s="130"/>
      <c r="K58" s="131"/>
      <c r="L58" s="131"/>
      <c r="M58" s="131"/>
      <c r="N58" s="131"/>
      <c r="O58" s="132"/>
      <c r="P58" s="22"/>
      <c r="Q58" s="22"/>
      <c r="R58" s="22"/>
      <c r="S58" s="22"/>
    </row>
    <row r="59" spans="1:19" ht="18" customHeight="1" x14ac:dyDescent="0.15">
      <c r="A59" s="98"/>
      <c r="B59" s="127" t="s">
        <v>37</v>
      </c>
      <c r="C59" s="128"/>
      <c r="D59" s="128"/>
      <c r="E59" s="129"/>
      <c r="F59" s="23">
        <v>1</v>
      </c>
      <c r="G59" s="23" t="s">
        <v>27</v>
      </c>
      <c r="H59" s="23" t="s">
        <v>27</v>
      </c>
      <c r="I59" s="23" t="s">
        <v>27</v>
      </c>
      <c r="J59" s="127"/>
      <c r="K59" s="128"/>
      <c r="L59" s="128"/>
      <c r="M59" s="128"/>
      <c r="N59" s="128"/>
      <c r="O59" s="129"/>
      <c r="P59" s="23"/>
      <c r="Q59" s="23"/>
      <c r="R59" s="23"/>
      <c r="S59" s="23"/>
    </row>
    <row r="60" spans="1:19" ht="18" customHeight="1" x14ac:dyDescent="0.15">
      <c r="A60" s="98"/>
      <c r="B60" s="127"/>
      <c r="C60" s="128"/>
      <c r="D60" s="128"/>
      <c r="E60" s="129"/>
      <c r="F60" s="23"/>
      <c r="G60" s="23"/>
      <c r="H60" s="23"/>
      <c r="I60" s="23"/>
      <c r="J60" s="127"/>
      <c r="K60" s="128"/>
      <c r="L60" s="128"/>
      <c r="M60" s="128"/>
      <c r="N60" s="128"/>
      <c r="O60" s="129"/>
      <c r="P60" s="23"/>
      <c r="Q60" s="23"/>
      <c r="R60" s="23"/>
      <c r="S60" s="23"/>
    </row>
    <row r="61" spans="1:19" ht="18" customHeight="1" x14ac:dyDescent="0.15">
      <c r="A61" s="98"/>
      <c r="B61" s="127"/>
      <c r="C61" s="128"/>
      <c r="D61" s="128"/>
      <c r="E61" s="129"/>
      <c r="F61" s="23"/>
      <c r="G61" s="23"/>
      <c r="H61" s="23"/>
      <c r="I61" s="23"/>
      <c r="J61" s="127"/>
      <c r="K61" s="128"/>
      <c r="L61" s="128"/>
      <c r="M61" s="128"/>
      <c r="N61" s="128"/>
      <c r="O61" s="129"/>
      <c r="P61" s="23"/>
      <c r="Q61" s="23"/>
      <c r="R61" s="23"/>
      <c r="S61" s="23"/>
    </row>
    <row r="62" spans="1:19" ht="18" customHeight="1" x14ac:dyDescent="0.15">
      <c r="A62" s="98"/>
      <c r="B62" s="127"/>
      <c r="C62" s="128"/>
      <c r="D62" s="128"/>
      <c r="E62" s="129"/>
      <c r="F62" s="23"/>
      <c r="G62" s="23"/>
      <c r="H62" s="23"/>
      <c r="I62" s="23"/>
      <c r="J62" s="127"/>
      <c r="K62" s="128"/>
      <c r="L62" s="128"/>
      <c r="M62" s="128"/>
      <c r="N62" s="128"/>
      <c r="O62" s="129"/>
      <c r="P62" s="23"/>
      <c r="Q62" s="23"/>
      <c r="R62" s="23"/>
      <c r="S62" s="23"/>
    </row>
    <row r="63" spans="1:19" ht="18" customHeight="1" x14ac:dyDescent="0.15">
      <c r="A63" s="98"/>
      <c r="B63" s="127"/>
      <c r="C63" s="128"/>
      <c r="D63" s="128"/>
      <c r="E63" s="129"/>
      <c r="F63" s="23"/>
      <c r="G63" s="23"/>
      <c r="H63" s="23"/>
      <c r="I63" s="23"/>
      <c r="J63" s="127"/>
      <c r="K63" s="128"/>
      <c r="L63" s="128"/>
      <c r="M63" s="128"/>
      <c r="N63" s="128"/>
      <c r="O63" s="129"/>
      <c r="P63" s="23"/>
      <c r="Q63" s="23"/>
      <c r="R63" s="23"/>
      <c r="S63" s="23"/>
    </row>
    <row r="64" spans="1:19" ht="18" customHeight="1" x14ac:dyDescent="0.15">
      <c r="A64" s="98"/>
      <c r="B64" s="133"/>
      <c r="C64" s="134"/>
      <c r="D64" s="134"/>
      <c r="E64" s="135"/>
      <c r="F64" s="24"/>
      <c r="G64" s="24"/>
      <c r="H64" s="25"/>
      <c r="I64" s="25"/>
      <c r="J64" s="133"/>
      <c r="K64" s="134"/>
      <c r="L64" s="134"/>
      <c r="M64" s="134"/>
      <c r="N64" s="134"/>
      <c r="O64" s="135"/>
      <c r="P64" s="24"/>
      <c r="Q64" s="24"/>
      <c r="R64" s="25"/>
      <c r="S64" s="25"/>
    </row>
    <row r="65" spans="1:19" ht="7.5" customHeight="1" x14ac:dyDescent="0.15">
      <c r="B65" s="99"/>
      <c r="C65" s="99"/>
      <c r="D65" s="99"/>
      <c r="E65" s="99"/>
      <c r="F65" s="99"/>
      <c r="G65" s="99"/>
      <c r="H65" s="99"/>
      <c r="I65" s="99"/>
      <c r="J65" s="99"/>
      <c r="K65" s="99"/>
      <c r="L65" s="99"/>
      <c r="M65" s="99"/>
      <c r="N65" s="99"/>
      <c r="O65" s="99"/>
      <c r="P65" s="99"/>
      <c r="Q65" s="99"/>
      <c r="R65" s="99"/>
    </row>
    <row r="66" spans="1:19" ht="18" customHeight="1" x14ac:dyDescent="0.15">
      <c r="A66" s="111" t="s">
        <v>38</v>
      </c>
      <c r="B66" s="111"/>
      <c r="C66" s="111"/>
      <c r="D66" s="111"/>
      <c r="E66" s="111"/>
      <c r="F66" s="111"/>
      <c r="G66" s="111"/>
      <c r="H66" s="111"/>
      <c r="I66" s="111"/>
      <c r="J66" s="111"/>
      <c r="K66" s="111"/>
      <c r="L66" s="111"/>
      <c r="M66" s="111"/>
      <c r="N66" s="111"/>
      <c r="O66" s="111"/>
      <c r="P66" s="111"/>
      <c r="Q66" s="111"/>
      <c r="R66" s="111"/>
      <c r="S66" s="111"/>
    </row>
    <row r="67" spans="1:19" ht="18" customHeight="1" x14ac:dyDescent="0.15">
      <c r="A67" s="111"/>
      <c r="B67" s="111"/>
      <c r="C67" s="111"/>
      <c r="D67" s="111"/>
      <c r="E67" s="111"/>
      <c r="F67" s="111"/>
      <c r="G67" s="111"/>
      <c r="H67" s="111"/>
      <c r="I67" s="111"/>
      <c r="J67" s="111"/>
      <c r="K67" s="111"/>
      <c r="L67" s="111"/>
      <c r="M67" s="111"/>
      <c r="N67" s="111"/>
      <c r="O67" s="111"/>
      <c r="P67" s="111"/>
      <c r="Q67" s="111"/>
      <c r="R67" s="111"/>
      <c r="S67" s="111"/>
    </row>
    <row r="68" spans="1:19" ht="18" customHeight="1" x14ac:dyDescent="0.15">
      <c r="B68" s="109" t="s">
        <v>21</v>
      </c>
      <c r="C68" s="112"/>
      <c r="D68" s="112"/>
      <c r="E68" s="58" t="s">
        <v>22</v>
      </c>
      <c r="F68" s="57" t="s">
        <v>23</v>
      </c>
      <c r="G68" s="21" t="s">
        <v>39</v>
      </c>
      <c r="H68" s="21" t="s">
        <v>40</v>
      </c>
      <c r="I68" s="21" t="s">
        <v>41</v>
      </c>
      <c r="J68" s="109" t="s">
        <v>21</v>
      </c>
      <c r="K68" s="112"/>
      <c r="L68" s="112"/>
      <c r="M68" s="112"/>
      <c r="N68" s="110"/>
      <c r="O68" s="58" t="s">
        <v>22</v>
      </c>
      <c r="P68" s="57" t="s">
        <v>23</v>
      </c>
      <c r="Q68" s="21" t="s">
        <v>39</v>
      </c>
      <c r="R68" s="21" t="s">
        <v>40</v>
      </c>
      <c r="S68" s="21" t="s">
        <v>41</v>
      </c>
    </row>
    <row r="69" spans="1:19" ht="18" customHeight="1" x14ac:dyDescent="0.15">
      <c r="A69" s="98"/>
      <c r="B69" s="130" t="s">
        <v>42</v>
      </c>
      <c r="C69" s="131"/>
      <c r="D69" s="131"/>
      <c r="E69" s="22">
        <v>1</v>
      </c>
      <c r="F69" s="22" t="s">
        <v>27</v>
      </c>
      <c r="G69" s="22" t="s">
        <v>27</v>
      </c>
      <c r="H69" s="22" t="s">
        <v>27</v>
      </c>
      <c r="I69" s="22" t="s">
        <v>27</v>
      </c>
      <c r="J69" s="130"/>
      <c r="K69" s="131"/>
      <c r="L69" s="131"/>
      <c r="M69" s="131"/>
      <c r="N69" s="132"/>
      <c r="O69" s="22"/>
      <c r="P69" s="22"/>
      <c r="Q69" s="22"/>
      <c r="R69" s="22"/>
      <c r="S69" s="22"/>
    </row>
    <row r="70" spans="1:19" ht="18" customHeight="1" x14ac:dyDescent="0.15">
      <c r="A70" s="98"/>
      <c r="B70" s="127"/>
      <c r="C70" s="128"/>
      <c r="D70" s="128"/>
      <c r="E70" s="23"/>
      <c r="F70" s="23"/>
      <c r="G70" s="23"/>
      <c r="H70" s="23"/>
      <c r="I70" s="23"/>
      <c r="J70" s="127"/>
      <c r="K70" s="128"/>
      <c r="L70" s="128"/>
      <c r="M70" s="128"/>
      <c r="N70" s="129"/>
      <c r="O70" s="23"/>
      <c r="P70" s="23"/>
      <c r="Q70" s="23"/>
      <c r="R70" s="23"/>
      <c r="S70" s="23"/>
    </row>
    <row r="71" spans="1:19" ht="18" customHeight="1" x14ac:dyDescent="0.15">
      <c r="A71" s="98"/>
      <c r="B71" s="127"/>
      <c r="C71" s="128"/>
      <c r="D71" s="128"/>
      <c r="E71" s="23"/>
      <c r="F71" s="23"/>
      <c r="G71" s="23"/>
      <c r="H71" s="23"/>
      <c r="I71" s="23"/>
      <c r="J71" s="127"/>
      <c r="K71" s="128"/>
      <c r="L71" s="128"/>
      <c r="M71" s="128"/>
      <c r="N71" s="129"/>
      <c r="O71" s="23"/>
      <c r="P71" s="23"/>
      <c r="Q71" s="23"/>
      <c r="R71" s="23"/>
      <c r="S71" s="23"/>
    </row>
    <row r="72" spans="1:19" ht="18" customHeight="1" x14ac:dyDescent="0.15">
      <c r="A72" s="98"/>
      <c r="B72" s="127"/>
      <c r="C72" s="128"/>
      <c r="D72" s="128"/>
      <c r="E72" s="23"/>
      <c r="F72" s="23"/>
      <c r="G72" s="23"/>
      <c r="H72" s="23"/>
      <c r="I72" s="23"/>
      <c r="J72" s="127"/>
      <c r="K72" s="128"/>
      <c r="L72" s="128"/>
      <c r="M72" s="128"/>
      <c r="N72" s="129"/>
      <c r="O72" s="23"/>
      <c r="P72" s="23"/>
      <c r="Q72" s="23"/>
      <c r="R72" s="23"/>
      <c r="S72" s="23"/>
    </row>
    <row r="73" spans="1:19" ht="18" customHeight="1" x14ac:dyDescent="0.15">
      <c r="A73" s="98"/>
      <c r="B73" s="127"/>
      <c r="C73" s="128"/>
      <c r="D73" s="128"/>
      <c r="E73" s="23"/>
      <c r="F73" s="23"/>
      <c r="G73" s="23"/>
      <c r="H73" s="23"/>
      <c r="I73" s="23"/>
      <c r="J73" s="127"/>
      <c r="K73" s="128"/>
      <c r="L73" s="128"/>
      <c r="M73" s="128"/>
      <c r="N73" s="129"/>
      <c r="O73" s="23"/>
      <c r="P73" s="23"/>
      <c r="Q73" s="23"/>
      <c r="R73" s="23"/>
      <c r="S73" s="23"/>
    </row>
    <row r="74" spans="1:19" ht="18" customHeight="1" x14ac:dyDescent="0.15">
      <c r="A74" s="98"/>
      <c r="B74" s="127"/>
      <c r="C74" s="128"/>
      <c r="D74" s="128"/>
      <c r="E74" s="23"/>
      <c r="F74" s="23"/>
      <c r="G74" s="23"/>
      <c r="H74" s="23"/>
      <c r="I74" s="23"/>
      <c r="J74" s="127"/>
      <c r="K74" s="128"/>
      <c r="L74" s="128"/>
      <c r="M74" s="128"/>
      <c r="N74" s="129"/>
      <c r="O74" s="23"/>
      <c r="P74" s="23"/>
      <c r="Q74" s="23"/>
      <c r="R74" s="23"/>
      <c r="S74" s="23"/>
    </row>
    <row r="75" spans="1:19" ht="18" customHeight="1" x14ac:dyDescent="0.15">
      <c r="A75" s="98"/>
      <c r="B75" s="133"/>
      <c r="C75" s="134"/>
      <c r="D75" s="134"/>
      <c r="E75" s="24"/>
      <c r="F75" s="24"/>
      <c r="G75" s="25"/>
      <c r="H75" s="25"/>
      <c r="I75" s="25"/>
      <c r="J75" s="133"/>
      <c r="K75" s="134"/>
      <c r="L75" s="134"/>
      <c r="M75" s="134"/>
      <c r="N75" s="135"/>
      <c r="O75" s="24"/>
      <c r="P75" s="24"/>
      <c r="Q75" s="25"/>
      <c r="R75" s="25"/>
      <c r="S75" s="25"/>
    </row>
    <row r="76" spans="1:19" ht="7.5" customHeight="1" x14ac:dyDescent="0.15">
      <c r="B76" s="99"/>
      <c r="C76" s="99"/>
      <c r="D76" s="99"/>
      <c r="E76" s="99"/>
      <c r="F76" s="99"/>
      <c r="G76" s="99"/>
      <c r="H76" s="99"/>
      <c r="I76" s="99"/>
      <c r="J76" s="99"/>
      <c r="K76" s="99"/>
      <c r="L76" s="99"/>
      <c r="M76" s="99"/>
      <c r="N76" s="99"/>
      <c r="O76" s="99"/>
      <c r="P76" s="99"/>
      <c r="Q76" s="99"/>
      <c r="R76" s="99"/>
    </row>
    <row r="77" spans="1:19" ht="18" customHeight="1" x14ac:dyDescent="0.15">
      <c r="A77" s="97" t="s">
        <v>43</v>
      </c>
      <c r="H77" s="98"/>
      <c r="I77" s="98"/>
      <c r="J77" s="98"/>
      <c r="K77" s="98"/>
      <c r="L77" s="98"/>
      <c r="M77" s="98"/>
      <c r="N77" s="98"/>
      <c r="O77" s="98"/>
      <c r="P77" s="98"/>
      <c r="Q77" s="98"/>
      <c r="R77" s="98"/>
      <c r="S77" s="98"/>
    </row>
    <row r="78" spans="1:19" ht="18" customHeight="1" x14ac:dyDescent="0.15">
      <c r="B78" s="109" t="s">
        <v>21</v>
      </c>
      <c r="C78" s="112"/>
      <c r="D78" s="112"/>
      <c r="E78" s="110"/>
      <c r="F78" s="109" t="s">
        <v>44</v>
      </c>
      <c r="G78" s="112"/>
      <c r="H78" s="112"/>
      <c r="I78" s="110"/>
      <c r="J78" s="136" t="s">
        <v>21</v>
      </c>
      <c r="K78" s="137"/>
      <c r="L78" s="137"/>
      <c r="M78" s="137"/>
      <c r="N78" s="137"/>
      <c r="O78" s="138"/>
      <c r="P78" s="109" t="s">
        <v>44</v>
      </c>
      <c r="Q78" s="112"/>
      <c r="R78" s="112"/>
      <c r="S78" s="110"/>
    </row>
    <row r="79" spans="1:19" ht="18" customHeight="1" x14ac:dyDescent="0.15">
      <c r="A79" s="98"/>
      <c r="B79" s="130"/>
      <c r="C79" s="131"/>
      <c r="D79" s="131"/>
      <c r="E79" s="132"/>
      <c r="F79" s="139"/>
      <c r="G79" s="140"/>
      <c r="H79" s="140"/>
      <c r="I79" s="141"/>
      <c r="J79" s="130"/>
      <c r="K79" s="131"/>
      <c r="L79" s="131"/>
      <c r="M79" s="131"/>
      <c r="N79" s="131"/>
      <c r="O79" s="132"/>
      <c r="P79" s="139"/>
      <c r="Q79" s="140"/>
      <c r="R79" s="140"/>
      <c r="S79" s="141"/>
    </row>
    <row r="80" spans="1:19" ht="18" customHeight="1" x14ac:dyDescent="0.15">
      <c r="A80" s="98"/>
      <c r="B80" s="127"/>
      <c r="C80" s="128"/>
      <c r="D80" s="128"/>
      <c r="E80" s="129"/>
      <c r="F80" s="142"/>
      <c r="G80" s="143"/>
      <c r="H80" s="143"/>
      <c r="I80" s="144"/>
      <c r="J80" s="127"/>
      <c r="K80" s="128"/>
      <c r="L80" s="128"/>
      <c r="M80" s="128"/>
      <c r="N80" s="128"/>
      <c r="O80" s="129"/>
      <c r="P80" s="142"/>
      <c r="Q80" s="143"/>
      <c r="R80" s="143"/>
      <c r="S80" s="144"/>
    </row>
    <row r="81" spans="1:19" ht="18" customHeight="1" x14ac:dyDescent="0.15">
      <c r="A81" s="98"/>
      <c r="B81" s="127"/>
      <c r="C81" s="128"/>
      <c r="D81" s="128"/>
      <c r="E81" s="129"/>
      <c r="F81" s="142"/>
      <c r="G81" s="143"/>
      <c r="H81" s="143"/>
      <c r="I81" s="144"/>
      <c r="J81" s="127"/>
      <c r="K81" s="128"/>
      <c r="L81" s="128"/>
      <c r="M81" s="128"/>
      <c r="N81" s="128"/>
      <c r="O81" s="129"/>
      <c r="P81" s="142"/>
      <c r="Q81" s="143"/>
      <c r="R81" s="143"/>
      <c r="S81" s="144"/>
    </row>
    <row r="82" spans="1:19" ht="18" customHeight="1" x14ac:dyDescent="0.15">
      <c r="A82" s="98"/>
      <c r="B82" s="127"/>
      <c r="C82" s="128"/>
      <c r="D82" s="128"/>
      <c r="E82" s="129"/>
      <c r="F82" s="142"/>
      <c r="G82" s="143"/>
      <c r="H82" s="143"/>
      <c r="I82" s="144"/>
      <c r="J82" s="127"/>
      <c r="K82" s="128"/>
      <c r="L82" s="128"/>
      <c r="M82" s="128"/>
      <c r="N82" s="128"/>
      <c r="O82" s="129"/>
      <c r="P82" s="142"/>
      <c r="Q82" s="143"/>
      <c r="R82" s="143"/>
      <c r="S82" s="144"/>
    </row>
    <row r="83" spans="1:19" ht="18" customHeight="1" x14ac:dyDescent="0.15">
      <c r="A83" s="98"/>
      <c r="B83" s="127"/>
      <c r="C83" s="128"/>
      <c r="D83" s="128"/>
      <c r="E83" s="129"/>
      <c r="F83" s="142"/>
      <c r="G83" s="143"/>
      <c r="H83" s="143"/>
      <c r="I83" s="144"/>
      <c r="J83" s="127"/>
      <c r="K83" s="128"/>
      <c r="L83" s="128"/>
      <c r="M83" s="128"/>
      <c r="N83" s="128"/>
      <c r="O83" s="129"/>
      <c r="P83" s="142"/>
      <c r="Q83" s="143"/>
      <c r="R83" s="143"/>
      <c r="S83" s="144"/>
    </row>
    <row r="84" spans="1:19" ht="18" customHeight="1" x14ac:dyDescent="0.15">
      <c r="A84" s="98"/>
      <c r="B84" s="127"/>
      <c r="C84" s="128"/>
      <c r="D84" s="128"/>
      <c r="E84" s="129"/>
      <c r="F84" s="142"/>
      <c r="G84" s="143"/>
      <c r="H84" s="143"/>
      <c r="I84" s="144"/>
      <c r="J84" s="127"/>
      <c r="K84" s="128"/>
      <c r="L84" s="128"/>
      <c r="M84" s="128"/>
      <c r="N84" s="128"/>
      <c r="O84" s="129"/>
      <c r="P84" s="142"/>
      <c r="Q84" s="143"/>
      <c r="R84" s="143"/>
      <c r="S84" s="144"/>
    </row>
    <row r="85" spans="1:19" ht="18" customHeight="1" x14ac:dyDescent="0.15">
      <c r="A85" s="98"/>
      <c r="B85" s="133"/>
      <c r="C85" s="134"/>
      <c r="D85" s="134"/>
      <c r="E85" s="135"/>
      <c r="F85" s="162"/>
      <c r="G85" s="163"/>
      <c r="H85" s="163"/>
      <c r="I85" s="164"/>
      <c r="J85" s="133"/>
      <c r="K85" s="134"/>
      <c r="L85" s="134"/>
      <c r="M85" s="134"/>
      <c r="N85" s="134"/>
      <c r="O85" s="135"/>
      <c r="P85" s="162"/>
      <c r="Q85" s="163"/>
      <c r="R85" s="163"/>
      <c r="S85" s="164"/>
    </row>
    <row r="86" spans="1:19" ht="18" customHeight="1" x14ac:dyDescent="0.15">
      <c r="A86" s="98"/>
      <c r="B86" s="6"/>
      <c r="C86" s="6"/>
      <c r="D86" s="6"/>
      <c r="E86" s="6"/>
      <c r="F86" s="26"/>
      <c r="G86" s="26"/>
      <c r="H86" s="26"/>
      <c r="I86" s="26"/>
      <c r="J86" s="6"/>
      <c r="K86" s="6"/>
      <c r="L86" s="6"/>
      <c r="M86" s="6"/>
      <c r="N86" s="6"/>
      <c r="O86" s="6"/>
      <c r="P86" s="26"/>
      <c r="Q86" s="26"/>
      <c r="R86" s="26"/>
      <c r="S86" s="26"/>
    </row>
    <row r="87" spans="1:19" ht="18.75" customHeight="1" x14ac:dyDescent="0.15">
      <c r="A87" s="97" t="s">
        <v>45</v>
      </c>
    </row>
    <row r="88" spans="1:19" ht="18.75" customHeight="1" x14ac:dyDescent="0.15">
      <c r="B88" s="145" t="s">
        <v>46</v>
      </c>
      <c r="C88" s="146"/>
      <c r="D88" s="112" t="s">
        <v>47</v>
      </c>
      <c r="E88" s="112"/>
      <c r="F88" s="112"/>
      <c r="G88" s="112"/>
      <c r="H88" s="112"/>
      <c r="I88" s="112"/>
      <c r="J88" s="112"/>
      <c r="K88" s="112"/>
      <c r="L88" s="112"/>
      <c r="M88" s="112"/>
      <c r="N88" s="112"/>
      <c r="O88" s="112"/>
      <c r="P88" s="112"/>
      <c r="Q88" s="112"/>
      <c r="R88" s="112"/>
      <c r="S88" s="110"/>
    </row>
    <row r="89" spans="1:19" ht="97.5" customHeight="1" x14ac:dyDescent="0.15">
      <c r="B89" s="147" t="s">
        <v>48</v>
      </c>
      <c r="C89" s="27" t="s">
        <v>24</v>
      </c>
      <c r="D89" s="149" t="s">
        <v>192</v>
      </c>
      <c r="E89" s="150"/>
      <c r="F89" s="150"/>
      <c r="G89" s="150"/>
      <c r="H89" s="150"/>
      <c r="I89" s="150"/>
      <c r="J89" s="150"/>
      <c r="K89" s="150"/>
      <c r="L89" s="150"/>
      <c r="M89" s="150"/>
      <c r="N89" s="150"/>
      <c r="O89" s="150"/>
      <c r="P89" s="150"/>
      <c r="Q89" s="150"/>
      <c r="R89" s="150"/>
      <c r="S89" s="151"/>
    </row>
    <row r="90" spans="1:19" ht="97.5" customHeight="1" x14ac:dyDescent="0.15">
      <c r="B90" s="148"/>
      <c r="C90" s="28" t="s">
        <v>49</v>
      </c>
      <c r="D90" s="152" t="s">
        <v>191</v>
      </c>
      <c r="E90" s="153"/>
      <c r="F90" s="153"/>
      <c r="G90" s="153"/>
      <c r="H90" s="153"/>
      <c r="I90" s="153"/>
      <c r="J90" s="153"/>
      <c r="K90" s="153"/>
      <c r="L90" s="153"/>
      <c r="M90" s="153"/>
      <c r="N90" s="153"/>
      <c r="O90" s="153"/>
      <c r="P90" s="153"/>
      <c r="Q90" s="153"/>
      <c r="R90" s="153"/>
      <c r="S90" s="154"/>
    </row>
    <row r="91" spans="1:19" ht="97.5" customHeight="1" x14ac:dyDescent="0.15">
      <c r="B91" s="147" t="s">
        <v>50</v>
      </c>
      <c r="C91" s="29" t="s">
        <v>29</v>
      </c>
      <c r="D91" s="156" t="s">
        <v>193</v>
      </c>
      <c r="E91" s="157"/>
      <c r="F91" s="157"/>
      <c r="G91" s="157"/>
      <c r="H91" s="157"/>
      <c r="I91" s="157"/>
      <c r="J91" s="157"/>
      <c r="K91" s="157"/>
      <c r="L91" s="157"/>
      <c r="M91" s="157"/>
      <c r="N91" s="157"/>
      <c r="O91" s="157"/>
      <c r="P91" s="157"/>
      <c r="Q91" s="157"/>
      <c r="R91" s="157"/>
      <c r="S91" s="158"/>
    </row>
    <row r="92" spans="1:19" ht="97.5" customHeight="1" x14ac:dyDescent="0.15">
      <c r="B92" s="155"/>
      <c r="C92" s="30" t="s">
        <v>30</v>
      </c>
      <c r="D92" s="159" t="s">
        <v>194</v>
      </c>
      <c r="E92" s="160"/>
      <c r="F92" s="160"/>
      <c r="G92" s="160"/>
      <c r="H92" s="160"/>
      <c r="I92" s="160"/>
      <c r="J92" s="160"/>
      <c r="K92" s="160"/>
      <c r="L92" s="160"/>
      <c r="M92" s="160"/>
      <c r="N92" s="160"/>
      <c r="O92" s="160"/>
      <c r="P92" s="160"/>
      <c r="Q92" s="160"/>
      <c r="R92" s="160"/>
      <c r="S92" s="161"/>
    </row>
    <row r="93" spans="1:19" ht="97.5" customHeight="1" x14ac:dyDescent="0.15">
      <c r="B93" s="147" t="s">
        <v>51</v>
      </c>
      <c r="C93" s="29" t="s">
        <v>32</v>
      </c>
      <c r="D93" s="156" t="s">
        <v>195</v>
      </c>
      <c r="E93" s="157"/>
      <c r="F93" s="157"/>
      <c r="G93" s="157"/>
      <c r="H93" s="157"/>
      <c r="I93" s="157"/>
      <c r="J93" s="157"/>
      <c r="K93" s="157"/>
      <c r="L93" s="157"/>
      <c r="M93" s="157"/>
      <c r="N93" s="157"/>
      <c r="O93" s="157"/>
      <c r="P93" s="157"/>
      <c r="Q93" s="157"/>
      <c r="R93" s="157"/>
      <c r="S93" s="158"/>
    </row>
    <row r="94" spans="1:19" ht="97.5" customHeight="1" x14ac:dyDescent="0.15">
      <c r="B94" s="155"/>
      <c r="C94" s="31" t="s">
        <v>33</v>
      </c>
      <c r="D94" s="173" t="s">
        <v>196</v>
      </c>
      <c r="E94" s="174"/>
      <c r="F94" s="174"/>
      <c r="G94" s="174"/>
      <c r="H94" s="174"/>
      <c r="I94" s="174"/>
      <c r="J94" s="174"/>
      <c r="K94" s="174"/>
      <c r="L94" s="174"/>
      <c r="M94" s="174"/>
      <c r="N94" s="174"/>
      <c r="O94" s="174"/>
      <c r="P94" s="174"/>
      <c r="Q94" s="174"/>
      <c r="R94" s="174"/>
      <c r="S94" s="175"/>
    </row>
    <row r="95" spans="1:19" ht="97.5" customHeight="1" x14ac:dyDescent="0.15">
      <c r="B95" s="147" t="s">
        <v>52</v>
      </c>
      <c r="C95" s="27" t="s">
        <v>35</v>
      </c>
      <c r="D95" s="149" t="s">
        <v>197</v>
      </c>
      <c r="E95" s="150"/>
      <c r="F95" s="150"/>
      <c r="G95" s="150"/>
      <c r="H95" s="150"/>
      <c r="I95" s="150"/>
      <c r="J95" s="150"/>
      <c r="K95" s="150"/>
      <c r="L95" s="150"/>
      <c r="M95" s="150"/>
      <c r="N95" s="150"/>
      <c r="O95" s="150"/>
      <c r="P95" s="150"/>
      <c r="Q95" s="150"/>
      <c r="R95" s="150"/>
      <c r="S95" s="151"/>
    </row>
    <row r="96" spans="1:19" ht="97.5" customHeight="1" x14ac:dyDescent="0.15">
      <c r="B96" s="155"/>
      <c r="C96" s="30" t="s">
        <v>36</v>
      </c>
      <c r="D96" s="159" t="s">
        <v>198</v>
      </c>
      <c r="E96" s="160"/>
      <c r="F96" s="160"/>
      <c r="G96" s="160"/>
      <c r="H96" s="160"/>
      <c r="I96" s="160"/>
      <c r="J96" s="160"/>
      <c r="K96" s="160"/>
      <c r="L96" s="160"/>
      <c r="M96" s="160"/>
      <c r="N96" s="160"/>
      <c r="O96" s="160"/>
      <c r="P96" s="160"/>
      <c r="Q96" s="160"/>
      <c r="R96" s="160"/>
      <c r="S96" s="161"/>
    </row>
    <row r="97" spans="1:19" ht="97.5" customHeight="1" x14ac:dyDescent="0.15">
      <c r="B97" s="147" t="s">
        <v>53</v>
      </c>
      <c r="C97" s="29" t="s">
        <v>54</v>
      </c>
      <c r="D97" s="165" t="s">
        <v>199</v>
      </c>
      <c r="E97" s="131"/>
      <c r="F97" s="131"/>
      <c r="G97" s="131"/>
      <c r="H97" s="131"/>
      <c r="I97" s="131"/>
      <c r="J97" s="131"/>
      <c r="K97" s="131"/>
      <c r="L97" s="131"/>
      <c r="M97" s="131"/>
      <c r="N97" s="131"/>
      <c r="O97" s="131"/>
      <c r="P97" s="131"/>
      <c r="Q97" s="131"/>
      <c r="R97" s="131"/>
      <c r="S97" s="132"/>
    </row>
    <row r="98" spans="1:19" ht="97.5" customHeight="1" x14ac:dyDescent="0.15">
      <c r="B98" s="148"/>
      <c r="C98" s="32" t="s">
        <v>40</v>
      </c>
      <c r="D98" s="166" t="s">
        <v>200</v>
      </c>
      <c r="E98" s="128"/>
      <c r="F98" s="128"/>
      <c r="G98" s="128"/>
      <c r="H98" s="128"/>
      <c r="I98" s="128"/>
      <c r="J98" s="128"/>
      <c r="K98" s="128"/>
      <c r="L98" s="128"/>
      <c r="M98" s="128"/>
      <c r="N98" s="128"/>
      <c r="O98" s="128"/>
      <c r="P98" s="128"/>
      <c r="Q98" s="128"/>
      <c r="R98" s="128"/>
      <c r="S98" s="129"/>
    </row>
    <row r="99" spans="1:19" ht="97.5" customHeight="1" x14ac:dyDescent="0.15">
      <c r="B99" s="155"/>
      <c r="C99" s="31" t="s">
        <v>41</v>
      </c>
      <c r="D99" s="167" t="s">
        <v>201</v>
      </c>
      <c r="E99" s="168"/>
      <c r="F99" s="168"/>
      <c r="G99" s="168"/>
      <c r="H99" s="168"/>
      <c r="I99" s="168"/>
      <c r="J99" s="168"/>
      <c r="K99" s="168"/>
      <c r="L99" s="168"/>
      <c r="M99" s="168"/>
      <c r="N99" s="168"/>
      <c r="O99" s="168"/>
      <c r="P99" s="168"/>
      <c r="Q99" s="168"/>
      <c r="R99" s="168"/>
      <c r="S99" s="169"/>
    </row>
    <row r="100" spans="1:19" ht="6" customHeight="1" x14ac:dyDescent="0.15"/>
    <row r="101" spans="1:19" ht="18.75" customHeight="1" x14ac:dyDescent="0.15">
      <c r="A101" s="97" t="s">
        <v>55</v>
      </c>
    </row>
    <row r="102" spans="1:19" ht="81.75" customHeight="1" x14ac:dyDescent="0.15">
      <c r="B102" s="170" t="s">
        <v>56</v>
      </c>
      <c r="C102" s="171"/>
      <c r="D102" s="171"/>
      <c r="E102" s="171"/>
      <c r="F102" s="171"/>
      <c r="G102" s="171"/>
      <c r="H102" s="171"/>
      <c r="I102" s="171"/>
      <c r="J102" s="171"/>
      <c r="K102" s="171"/>
      <c r="L102" s="171"/>
      <c r="M102" s="171"/>
      <c r="N102" s="171"/>
      <c r="O102" s="171"/>
      <c r="P102" s="171"/>
      <c r="Q102" s="171"/>
      <c r="R102" s="171"/>
      <c r="S102" s="172"/>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3" priority="1">
      <formula>$K$7="学部・学科によって、修了要件は相違しない"</formula>
    </cfRule>
  </conditionalFormatting>
  <dataValidations count="5">
    <dataValidation type="list" allowBlank="1" showInputMessage="1" showErrorMessage="1" sqref="K20:S20" xr:uid="{D17B164B-0BB2-4660-BF0E-C677F82DCC50}">
      <formula1>$V$14:$V$16</formula1>
    </dataValidation>
    <dataValidation type="list" allowBlank="1" showInputMessage="1" showErrorMessage="1" sqref="F79:F86 P79:P86 G79:I80 G83:I86 Q83:S86 Q79:S80" xr:uid="{FFC14BFF-65C9-4749-BFDF-743F52282FD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29941E18-0776-4014-8CCC-44BE66AAA88E}">
      <formula1>"学部・学科によって、修了要件は相違する,学部・学科によって、修了要件は相違しない"</formula1>
    </dataValidation>
    <dataValidation type="list" allowBlank="1" showInputMessage="1" showErrorMessage="1" sqref="S32 S43 D32:G32 D43:G43" xr:uid="{19B5A452-D095-4402-8CFC-B315D001BD17}">
      <formula1>"全学開講,一部開講"</formula1>
    </dataValidation>
    <dataValidation type="list" allowBlank="1" showInputMessage="1" showErrorMessage="1" sqref="P69:S75 Q25:S31 G25:I31 Q36:S42 G36:I42 Q47:S53 G58:I64 Q58:S64 F69:I75 G47:I53" xr:uid="{D71550D4-772E-459A-8ED7-56DCA35E5828}">
      <formula1>"○"</formula1>
    </dataValidation>
  </dataValidations>
  <printOptions horizontalCentered="1"/>
  <pageMargins left="0.78740157480314965" right="0.78740157480314965" top="0.78740157480314965" bottom="0.19685039370078741" header="0.31496062992125984" footer="0.19685039370078741"/>
  <pageSetup paperSize="9" scale="76" fitToHeight="0" orientation="portrait" horizontalDpi="4294967294"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view="pageBreakPreview" topLeftCell="A12" zoomScale="90" zoomScaleNormal="100" zoomScaleSheetLayoutView="90" workbookViewId="0">
      <selection activeCell="B13" sqref="B13:S18"/>
    </sheetView>
  </sheetViews>
  <sheetFormatPr defaultColWidth="9" defaultRowHeight="18.75" customHeight="1" x14ac:dyDescent="0.15"/>
  <cols>
    <col min="1" max="1" width="2.375" style="97" customWidth="1"/>
    <col min="2" max="2" width="16.375" style="97" customWidth="1"/>
    <col min="3" max="19" width="5.625" style="97" customWidth="1"/>
    <col min="20" max="20" width="9" style="97"/>
    <col min="21" max="21" width="3.625" style="97" customWidth="1"/>
    <col min="22" max="22" width="48.625" style="97" hidden="1" customWidth="1"/>
    <col min="23" max="16384" width="9" style="97"/>
  </cols>
  <sheetData>
    <row r="1" spans="1:22" ht="18.600000000000001" customHeight="1" x14ac:dyDescent="0.15">
      <c r="R1" s="113" t="s">
        <v>57</v>
      </c>
      <c r="S1" s="113"/>
      <c r="T1" s="2" t="s">
        <v>1</v>
      </c>
    </row>
    <row r="2" spans="1:22" ht="18.75" customHeight="1" x14ac:dyDescent="0.15">
      <c r="B2" s="96" t="s">
        <v>2</v>
      </c>
      <c r="C2" s="109" t="s">
        <v>3</v>
      </c>
      <c r="D2" s="112"/>
      <c r="E2" s="112"/>
      <c r="F2" s="112"/>
      <c r="G2" s="112"/>
      <c r="H2" s="112"/>
      <c r="I2" s="110"/>
      <c r="J2" s="95"/>
      <c r="K2" s="6"/>
      <c r="L2" s="6"/>
      <c r="M2" s="6"/>
      <c r="N2" s="6"/>
      <c r="O2" s="6"/>
      <c r="P2" s="6"/>
      <c r="Q2" s="6"/>
      <c r="R2" s="6"/>
      <c r="S2" s="6"/>
    </row>
    <row r="3" spans="1:22" ht="31.5" customHeight="1" x14ac:dyDescent="0.15">
      <c r="B3" s="96" t="s">
        <v>4</v>
      </c>
      <c r="C3" s="114" t="s">
        <v>5</v>
      </c>
      <c r="D3" s="115"/>
      <c r="E3" s="115"/>
      <c r="F3" s="115"/>
      <c r="G3" s="115"/>
      <c r="H3" s="115"/>
      <c r="I3" s="116"/>
      <c r="J3" s="95"/>
      <c r="K3" s="6"/>
      <c r="L3" s="6"/>
      <c r="M3" s="6"/>
      <c r="N3" s="6"/>
      <c r="O3" s="6"/>
      <c r="P3" s="6"/>
      <c r="Q3" s="6"/>
      <c r="R3" s="6"/>
      <c r="S3" s="6"/>
    </row>
    <row r="4" spans="1:22" ht="15" customHeight="1" x14ac:dyDescent="0.15">
      <c r="K4" s="95"/>
      <c r="L4" s="36"/>
      <c r="M4" s="36"/>
      <c r="N4" s="36"/>
      <c r="O4" s="36"/>
      <c r="P4" s="36"/>
      <c r="Q4" s="36"/>
      <c r="R4" s="36"/>
      <c r="S4" s="36"/>
    </row>
    <row r="5" spans="1:22" ht="18" customHeight="1" x14ac:dyDescent="0.15">
      <c r="A5" s="117" t="s">
        <v>6</v>
      </c>
      <c r="B5" s="117"/>
      <c r="C5" s="117"/>
      <c r="D5" s="117"/>
      <c r="E5" s="117"/>
      <c r="F5" s="117"/>
      <c r="G5" s="117"/>
      <c r="H5" s="117"/>
      <c r="I5" s="117"/>
      <c r="J5" s="117"/>
      <c r="K5" s="117"/>
      <c r="L5" s="117"/>
      <c r="M5" s="117"/>
      <c r="N5" s="117"/>
      <c r="O5" s="117"/>
      <c r="P5" s="117"/>
      <c r="Q5" s="117"/>
      <c r="R5" s="117"/>
      <c r="S5" s="117"/>
    </row>
    <row r="6" spans="1:22" ht="15" customHeight="1" x14ac:dyDescent="0.15">
      <c r="B6" s="98"/>
      <c r="C6" s="98"/>
      <c r="D6" s="98"/>
      <c r="E6" s="98"/>
      <c r="F6" s="98"/>
      <c r="G6" s="98"/>
      <c r="H6" s="98"/>
      <c r="I6" s="98"/>
      <c r="J6" s="98"/>
      <c r="K6" s="98"/>
      <c r="L6" s="98"/>
      <c r="M6" s="98"/>
      <c r="N6" s="98"/>
      <c r="O6" s="98"/>
      <c r="P6" s="98"/>
      <c r="Q6" s="98"/>
      <c r="R6" s="98"/>
      <c r="S6" s="98"/>
    </row>
    <row r="7" spans="1:22" ht="18" customHeight="1" x14ac:dyDescent="0.15">
      <c r="A7" s="97" t="s">
        <v>7</v>
      </c>
      <c r="C7" s="98"/>
      <c r="J7" s="37" t="s">
        <v>8</v>
      </c>
      <c r="K7" s="118" t="s">
        <v>9</v>
      </c>
      <c r="L7" s="119"/>
      <c r="M7" s="119"/>
      <c r="N7" s="119"/>
      <c r="O7" s="119"/>
      <c r="P7" s="119"/>
      <c r="Q7" s="119"/>
      <c r="R7" s="119"/>
      <c r="S7" s="120"/>
    </row>
    <row r="8" spans="1:22" ht="6" customHeight="1" x14ac:dyDescent="0.15">
      <c r="B8" s="98"/>
      <c r="C8" s="98"/>
      <c r="D8" s="98"/>
      <c r="E8" s="98"/>
      <c r="F8" s="98"/>
      <c r="G8" s="98"/>
      <c r="H8" s="98"/>
      <c r="I8" s="98"/>
      <c r="J8" s="98"/>
      <c r="K8" s="10"/>
      <c r="L8" s="98"/>
      <c r="M8" s="98"/>
      <c r="N8" s="98"/>
      <c r="O8" s="98"/>
      <c r="P8" s="98"/>
      <c r="Q8" s="98"/>
      <c r="R8" s="98"/>
      <c r="S8" s="98"/>
    </row>
    <row r="9" spans="1:22" ht="18" customHeight="1" x14ac:dyDescent="0.15">
      <c r="B9" s="121" t="s">
        <v>58</v>
      </c>
      <c r="C9" s="122"/>
      <c r="D9" s="122"/>
      <c r="E9" s="122"/>
      <c r="F9" s="122"/>
      <c r="G9" s="122"/>
      <c r="H9" s="122"/>
      <c r="I9" s="122"/>
      <c r="J9" s="122"/>
      <c r="K9" s="122"/>
      <c r="L9" s="122"/>
      <c r="M9" s="122"/>
      <c r="N9" s="122"/>
      <c r="O9" s="122"/>
      <c r="P9" s="122"/>
      <c r="Q9" s="122"/>
      <c r="R9" s="122"/>
      <c r="S9" s="123"/>
    </row>
    <row r="10" spans="1:22" ht="18" customHeight="1" x14ac:dyDescent="0.15">
      <c r="B10" s="124"/>
      <c r="C10" s="125"/>
      <c r="D10" s="125"/>
      <c r="E10" s="125"/>
      <c r="F10" s="125"/>
      <c r="G10" s="125"/>
      <c r="H10" s="125"/>
      <c r="I10" s="125"/>
      <c r="J10" s="125"/>
      <c r="K10" s="125"/>
      <c r="L10" s="125"/>
      <c r="M10" s="125"/>
      <c r="N10" s="125"/>
      <c r="O10" s="125"/>
      <c r="P10" s="125"/>
      <c r="Q10" s="125"/>
      <c r="R10" s="125"/>
      <c r="S10" s="126"/>
    </row>
    <row r="11" spans="1:22" ht="6" customHeight="1" x14ac:dyDescent="0.15">
      <c r="B11" s="98"/>
      <c r="C11" s="98"/>
      <c r="D11" s="98"/>
      <c r="E11" s="98"/>
      <c r="F11" s="98"/>
      <c r="G11" s="98"/>
      <c r="H11" s="98"/>
      <c r="I11" s="98"/>
      <c r="J11" s="98"/>
      <c r="K11" s="10"/>
      <c r="L11" s="98"/>
      <c r="M11" s="98"/>
      <c r="N11" s="98"/>
      <c r="O11" s="98"/>
      <c r="P11" s="98"/>
      <c r="Q11" s="98"/>
      <c r="R11" s="98"/>
      <c r="S11" s="98"/>
    </row>
    <row r="12" spans="1:22" ht="18" customHeight="1" x14ac:dyDescent="0.15">
      <c r="A12" s="97" t="s">
        <v>11</v>
      </c>
      <c r="B12" s="98"/>
      <c r="C12" s="98"/>
      <c r="D12" s="95"/>
      <c r="E12" s="95"/>
      <c r="F12" s="95"/>
      <c r="G12" s="95"/>
      <c r="H12" s="95"/>
      <c r="I12" s="95"/>
      <c r="J12" s="95"/>
      <c r="K12" s="38"/>
      <c r="L12" s="38"/>
      <c r="M12" s="38"/>
      <c r="N12" s="38"/>
      <c r="O12" s="38"/>
      <c r="P12" s="38"/>
      <c r="Q12" s="38"/>
      <c r="R12" s="38"/>
      <c r="S12" s="38"/>
    </row>
    <row r="13" spans="1:22" ht="18" customHeight="1" x14ac:dyDescent="0.15">
      <c r="B13" s="100" t="s">
        <v>59</v>
      </c>
      <c r="C13" s="101"/>
      <c r="D13" s="101"/>
      <c r="E13" s="101"/>
      <c r="F13" s="101"/>
      <c r="G13" s="101"/>
      <c r="H13" s="101"/>
      <c r="I13" s="101"/>
      <c r="J13" s="101"/>
      <c r="K13" s="101"/>
      <c r="L13" s="101"/>
      <c r="M13" s="101"/>
      <c r="N13" s="101"/>
      <c r="O13" s="101"/>
      <c r="P13" s="101"/>
      <c r="Q13" s="101"/>
      <c r="R13" s="101"/>
      <c r="S13" s="102"/>
      <c r="V13" s="97" t="s">
        <v>13</v>
      </c>
    </row>
    <row r="14" spans="1:22" ht="18" customHeight="1" x14ac:dyDescent="0.15">
      <c r="B14" s="103"/>
      <c r="C14" s="104"/>
      <c r="D14" s="104"/>
      <c r="E14" s="104"/>
      <c r="F14" s="104"/>
      <c r="G14" s="104"/>
      <c r="H14" s="104"/>
      <c r="I14" s="104"/>
      <c r="J14" s="104"/>
      <c r="K14" s="104"/>
      <c r="L14" s="104"/>
      <c r="M14" s="104"/>
      <c r="N14" s="104"/>
      <c r="O14" s="104"/>
      <c r="P14" s="104"/>
      <c r="Q14" s="104"/>
      <c r="R14" s="104"/>
      <c r="S14" s="105"/>
      <c r="V14" s="97" t="s">
        <v>14</v>
      </c>
    </row>
    <row r="15" spans="1:22" ht="18" customHeight="1" x14ac:dyDescent="0.15">
      <c r="B15" s="103"/>
      <c r="C15" s="104"/>
      <c r="D15" s="104"/>
      <c r="E15" s="104"/>
      <c r="F15" s="104"/>
      <c r="G15" s="104"/>
      <c r="H15" s="104"/>
      <c r="I15" s="104"/>
      <c r="J15" s="104"/>
      <c r="K15" s="104"/>
      <c r="L15" s="104"/>
      <c r="M15" s="104"/>
      <c r="N15" s="104"/>
      <c r="O15" s="104"/>
      <c r="P15" s="104"/>
      <c r="Q15" s="104"/>
      <c r="R15" s="104"/>
      <c r="S15" s="105"/>
      <c r="V15" s="97" t="s">
        <v>15</v>
      </c>
    </row>
    <row r="16" spans="1:22" ht="18" customHeight="1" x14ac:dyDescent="0.15">
      <c r="B16" s="103"/>
      <c r="C16" s="104"/>
      <c r="D16" s="104"/>
      <c r="E16" s="104"/>
      <c r="F16" s="104"/>
      <c r="G16" s="104"/>
      <c r="H16" s="104"/>
      <c r="I16" s="104"/>
      <c r="J16" s="104"/>
      <c r="K16" s="104"/>
      <c r="L16" s="104"/>
      <c r="M16" s="104"/>
      <c r="N16" s="104"/>
      <c r="O16" s="104"/>
      <c r="P16" s="104"/>
      <c r="Q16" s="104"/>
      <c r="R16" s="104"/>
      <c r="S16" s="105"/>
      <c r="V16" s="97" t="s">
        <v>16</v>
      </c>
    </row>
    <row r="17" spans="1:19" ht="18" customHeight="1" x14ac:dyDescent="0.15">
      <c r="B17" s="103"/>
      <c r="C17" s="104"/>
      <c r="D17" s="104"/>
      <c r="E17" s="104"/>
      <c r="F17" s="104"/>
      <c r="G17" s="104"/>
      <c r="H17" s="104"/>
      <c r="I17" s="104"/>
      <c r="J17" s="104"/>
      <c r="K17" s="104"/>
      <c r="L17" s="104"/>
      <c r="M17" s="104"/>
      <c r="N17" s="104"/>
      <c r="O17" s="104"/>
      <c r="P17" s="104"/>
      <c r="Q17" s="104"/>
      <c r="R17" s="104"/>
      <c r="S17" s="105"/>
    </row>
    <row r="18" spans="1:19" ht="18" customHeight="1" x14ac:dyDescent="0.15">
      <c r="B18" s="106"/>
      <c r="C18" s="107"/>
      <c r="D18" s="107"/>
      <c r="E18" s="107"/>
      <c r="F18" s="107"/>
      <c r="G18" s="107"/>
      <c r="H18" s="107"/>
      <c r="I18" s="107"/>
      <c r="J18" s="107"/>
      <c r="K18" s="107"/>
      <c r="L18" s="107"/>
      <c r="M18" s="107"/>
      <c r="N18" s="107"/>
      <c r="O18" s="107"/>
      <c r="P18" s="107"/>
      <c r="Q18" s="107"/>
      <c r="R18" s="107"/>
      <c r="S18" s="108"/>
    </row>
    <row r="19" spans="1:19" ht="7.5" customHeight="1" x14ac:dyDescent="0.15">
      <c r="B19" s="98"/>
      <c r="C19" s="98"/>
      <c r="D19" s="98"/>
      <c r="E19" s="98"/>
      <c r="F19" s="98"/>
      <c r="G19" s="98"/>
      <c r="H19" s="98"/>
      <c r="I19" s="98"/>
      <c r="J19" s="98"/>
      <c r="K19" s="98"/>
      <c r="L19" s="98"/>
      <c r="M19" s="98"/>
      <c r="N19" s="98"/>
      <c r="O19" s="98"/>
      <c r="P19" s="98"/>
      <c r="Q19" s="98"/>
      <c r="R19" s="98"/>
      <c r="S19" s="98"/>
    </row>
    <row r="20" spans="1:19" ht="19.899999999999999" customHeight="1" x14ac:dyDescent="0.15">
      <c r="B20" s="97" t="s">
        <v>17</v>
      </c>
      <c r="C20" s="109">
        <v>4</v>
      </c>
      <c r="D20" s="110"/>
      <c r="E20" s="39" t="s">
        <v>18</v>
      </c>
      <c r="G20" s="10"/>
      <c r="H20" s="98"/>
      <c r="I20" s="98"/>
      <c r="J20" s="95" t="s">
        <v>19</v>
      </c>
      <c r="K20" s="176" t="s">
        <v>15</v>
      </c>
      <c r="L20" s="177"/>
      <c r="M20" s="177"/>
      <c r="N20" s="177"/>
      <c r="O20" s="177"/>
      <c r="P20" s="177"/>
      <c r="Q20" s="177"/>
      <c r="R20" s="177"/>
      <c r="S20" s="178"/>
    </row>
    <row r="21" spans="1:19" ht="7.5" customHeight="1" x14ac:dyDescent="0.15">
      <c r="B21" s="98"/>
      <c r="C21" s="98"/>
      <c r="D21" s="98"/>
      <c r="E21" s="98"/>
      <c r="F21" s="98"/>
      <c r="G21" s="98"/>
      <c r="H21" s="98"/>
      <c r="I21" s="98"/>
      <c r="J21" s="98"/>
      <c r="K21" s="98"/>
      <c r="L21" s="98"/>
      <c r="M21" s="98"/>
      <c r="N21" s="98"/>
      <c r="O21" s="98"/>
      <c r="P21" s="98"/>
      <c r="Q21" s="98"/>
      <c r="R21" s="98"/>
      <c r="S21" s="98"/>
    </row>
    <row r="22" spans="1:19" ht="18" customHeight="1" x14ac:dyDescent="0.15">
      <c r="A22" s="111" t="s">
        <v>20</v>
      </c>
      <c r="B22" s="111"/>
      <c r="C22" s="111"/>
      <c r="D22" s="111"/>
      <c r="E22" s="111"/>
      <c r="F22" s="111"/>
      <c r="G22" s="111"/>
      <c r="H22" s="111"/>
      <c r="I22" s="111"/>
      <c r="J22" s="111"/>
      <c r="K22" s="111"/>
      <c r="L22" s="111"/>
      <c r="M22" s="111"/>
      <c r="N22" s="111"/>
      <c r="O22" s="111"/>
      <c r="P22" s="111"/>
      <c r="Q22" s="111"/>
      <c r="R22" s="111"/>
      <c r="S22" s="111"/>
    </row>
    <row r="23" spans="1:19" ht="18" customHeight="1" x14ac:dyDescent="0.15">
      <c r="A23" s="111"/>
      <c r="B23" s="111"/>
      <c r="C23" s="111"/>
      <c r="D23" s="111"/>
      <c r="E23" s="111"/>
      <c r="F23" s="111"/>
      <c r="G23" s="111"/>
      <c r="H23" s="111"/>
      <c r="I23" s="111"/>
      <c r="J23" s="111"/>
      <c r="K23" s="111"/>
      <c r="L23" s="111"/>
      <c r="M23" s="111"/>
      <c r="N23" s="111"/>
      <c r="O23" s="111"/>
      <c r="P23" s="111"/>
      <c r="Q23" s="111"/>
      <c r="R23" s="111"/>
      <c r="S23" s="111"/>
    </row>
    <row r="24" spans="1:19" ht="18" customHeight="1" x14ac:dyDescent="0.15">
      <c r="B24" s="109" t="s">
        <v>21</v>
      </c>
      <c r="C24" s="112"/>
      <c r="D24" s="112"/>
      <c r="E24" s="110"/>
      <c r="F24" s="58" t="s">
        <v>22</v>
      </c>
      <c r="G24" s="57" t="s">
        <v>23</v>
      </c>
      <c r="H24" s="21" t="s">
        <v>24</v>
      </c>
      <c r="I24" s="21" t="s">
        <v>25</v>
      </c>
      <c r="J24" s="109" t="s">
        <v>21</v>
      </c>
      <c r="K24" s="112"/>
      <c r="L24" s="112"/>
      <c r="M24" s="112"/>
      <c r="N24" s="112"/>
      <c r="O24" s="110"/>
      <c r="P24" s="58" t="s">
        <v>22</v>
      </c>
      <c r="Q24" s="57" t="s">
        <v>23</v>
      </c>
      <c r="R24" s="21" t="s">
        <v>24</v>
      </c>
      <c r="S24" s="21" t="s">
        <v>25</v>
      </c>
    </row>
    <row r="25" spans="1:19" ht="18" customHeight="1" x14ac:dyDescent="0.15">
      <c r="B25" s="130" t="s">
        <v>26</v>
      </c>
      <c r="C25" s="131"/>
      <c r="D25" s="131"/>
      <c r="E25" s="132"/>
      <c r="F25" s="22">
        <v>2</v>
      </c>
      <c r="G25" s="22" t="s">
        <v>27</v>
      </c>
      <c r="H25" s="22" t="s">
        <v>27</v>
      </c>
      <c r="I25" s="22" t="s">
        <v>27</v>
      </c>
      <c r="J25" s="130"/>
      <c r="K25" s="131"/>
      <c r="L25" s="131"/>
      <c r="M25" s="131"/>
      <c r="N25" s="131"/>
      <c r="O25" s="132"/>
      <c r="P25" s="22"/>
      <c r="Q25" s="22"/>
      <c r="R25" s="22"/>
      <c r="S25" s="22"/>
    </row>
    <row r="26" spans="1:19" ht="18" customHeight="1" x14ac:dyDescent="0.15">
      <c r="B26" s="127"/>
      <c r="C26" s="128"/>
      <c r="D26" s="128"/>
      <c r="E26" s="129"/>
      <c r="F26" s="79"/>
      <c r="G26" s="79"/>
      <c r="H26" s="23"/>
      <c r="I26" s="23"/>
      <c r="J26" s="127"/>
      <c r="K26" s="128"/>
      <c r="L26" s="128"/>
      <c r="M26" s="128"/>
      <c r="N26" s="128"/>
      <c r="O26" s="129"/>
      <c r="P26" s="23"/>
      <c r="Q26" s="23"/>
      <c r="R26" s="23"/>
      <c r="S26" s="23"/>
    </row>
    <row r="27" spans="1:19" ht="18" customHeight="1" x14ac:dyDescent="0.15">
      <c r="B27" s="127"/>
      <c r="C27" s="128"/>
      <c r="D27" s="128"/>
      <c r="E27" s="129"/>
      <c r="F27" s="23"/>
      <c r="G27" s="23"/>
      <c r="H27" s="23"/>
      <c r="I27" s="23"/>
      <c r="J27" s="127"/>
      <c r="K27" s="128"/>
      <c r="L27" s="128"/>
      <c r="M27" s="128"/>
      <c r="N27" s="128"/>
      <c r="O27" s="129"/>
      <c r="P27" s="23"/>
      <c r="Q27" s="23"/>
      <c r="R27" s="23"/>
      <c r="S27" s="23"/>
    </row>
    <row r="28" spans="1:19" ht="18" customHeight="1" x14ac:dyDescent="0.15">
      <c r="B28" s="127"/>
      <c r="C28" s="128"/>
      <c r="D28" s="128"/>
      <c r="E28" s="129"/>
      <c r="F28" s="23"/>
      <c r="G28" s="23"/>
      <c r="H28" s="23"/>
      <c r="I28" s="23"/>
      <c r="J28" s="127"/>
      <c r="K28" s="128"/>
      <c r="L28" s="128"/>
      <c r="M28" s="128"/>
      <c r="N28" s="128"/>
      <c r="O28" s="129"/>
      <c r="P28" s="23"/>
      <c r="Q28" s="23"/>
      <c r="R28" s="23"/>
      <c r="S28" s="23"/>
    </row>
    <row r="29" spans="1:19" ht="18" customHeight="1" x14ac:dyDescent="0.15">
      <c r="B29" s="127"/>
      <c r="C29" s="128"/>
      <c r="D29" s="128"/>
      <c r="E29" s="129"/>
      <c r="F29" s="23"/>
      <c r="G29" s="23"/>
      <c r="H29" s="23"/>
      <c r="I29" s="23"/>
      <c r="J29" s="127"/>
      <c r="K29" s="128"/>
      <c r="L29" s="128"/>
      <c r="M29" s="128"/>
      <c r="N29" s="128"/>
      <c r="O29" s="129"/>
      <c r="P29" s="23"/>
      <c r="Q29" s="23"/>
      <c r="R29" s="23"/>
      <c r="S29" s="23"/>
    </row>
    <row r="30" spans="1:19" ht="18" customHeight="1" x14ac:dyDescent="0.15">
      <c r="A30" s="98"/>
      <c r="B30" s="127"/>
      <c r="C30" s="128"/>
      <c r="D30" s="128"/>
      <c r="E30" s="129"/>
      <c r="F30" s="23"/>
      <c r="G30" s="23"/>
      <c r="H30" s="23"/>
      <c r="I30" s="23"/>
      <c r="J30" s="127"/>
      <c r="K30" s="128"/>
      <c r="L30" s="128"/>
      <c r="M30" s="128"/>
      <c r="N30" s="128"/>
      <c r="O30" s="129"/>
      <c r="P30" s="23"/>
      <c r="Q30" s="23"/>
      <c r="R30" s="23"/>
      <c r="S30" s="23"/>
    </row>
    <row r="31" spans="1:19" ht="18" customHeight="1" x14ac:dyDescent="0.15">
      <c r="A31" s="98"/>
      <c r="B31" s="133"/>
      <c r="C31" s="134"/>
      <c r="D31" s="134"/>
      <c r="E31" s="135"/>
      <c r="F31" s="24"/>
      <c r="G31" s="24"/>
      <c r="H31" s="25"/>
      <c r="I31" s="25"/>
      <c r="J31" s="133"/>
      <c r="K31" s="134"/>
      <c r="L31" s="134"/>
      <c r="M31" s="134"/>
      <c r="N31" s="134"/>
      <c r="O31" s="135"/>
      <c r="P31" s="24"/>
      <c r="Q31" s="24"/>
      <c r="R31" s="25"/>
      <c r="S31" s="25"/>
    </row>
    <row r="32" spans="1:19" ht="7.5" customHeight="1" x14ac:dyDescent="0.15">
      <c r="A32" s="98"/>
      <c r="B32" s="6"/>
      <c r="C32" s="6"/>
      <c r="D32" s="98"/>
      <c r="E32" s="98"/>
      <c r="F32" s="98"/>
      <c r="G32" s="98"/>
      <c r="H32" s="6"/>
      <c r="I32" s="6"/>
      <c r="J32" s="6"/>
      <c r="K32" s="6"/>
      <c r="L32" s="6"/>
      <c r="M32" s="6"/>
      <c r="N32" s="6"/>
      <c r="O32" s="6"/>
      <c r="P32" s="6"/>
      <c r="Q32" s="6"/>
      <c r="R32" s="6"/>
      <c r="S32" s="98"/>
    </row>
    <row r="33" spans="1:19" ht="18" customHeight="1" x14ac:dyDescent="0.15">
      <c r="A33" s="111" t="s">
        <v>28</v>
      </c>
      <c r="B33" s="111"/>
      <c r="C33" s="111"/>
      <c r="D33" s="111"/>
      <c r="E33" s="111"/>
      <c r="F33" s="111"/>
      <c r="G33" s="111"/>
      <c r="H33" s="111"/>
      <c r="I33" s="111"/>
      <c r="J33" s="111"/>
      <c r="K33" s="111"/>
      <c r="L33" s="111"/>
      <c r="M33" s="111"/>
      <c r="N33" s="111"/>
      <c r="O33" s="111"/>
      <c r="P33" s="111"/>
      <c r="Q33" s="111"/>
      <c r="R33" s="111"/>
      <c r="S33" s="111"/>
    </row>
    <row r="34" spans="1:19" ht="18" customHeight="1" x14ac:dyDescent="0.15">
      <c r="A34" s="111"/>
      <c r="B34" s="111"/>
      <c r="C34" s="111"/>
      <c r="D34" s="111"/>
      <c r="E34" s="111"/>
      <c r="F34" s="111"/>
      <c r="G34" s="111"/>
      <c r="H34" s="111"/>
      <c r="I34" s="111"/>
      <c r="J34" s="111"/>
      <c r="K34" s="111"/>
      <c r="L34" s="111"/>
      <c r="M34" s="111"/>
      <c r="N34" s="111"/>
      <c r="O34" s="111"/>
      <c r="P34" s="111"/>
      <c r="Q34" s="111"/>
      <c r="R34" s="111"/>
      <c r="S34" s="111"/>
    </row>
    <row r="35" spans="1:19" ht="18" customHeight="1" x14ac:dyDescent="0.15">
      <c r="B35" s="109" t="s">
        <v>21</v>
      </c>
      <c r="C35" s="112"/>
      <c r="D35" s="112"/>
      <c r="E35" s="110"/>
      <c r="F35" s="58" t="s">
        <v>22</v>
      </c>
      <c r="G35" s="57" t="s">
        <v>23</v>
      </c>
      <c r="H35" s="21" t="s">
        <v>29</v>
      </c>
      <c r="I35" s="21" t="s">
        <v>30</v>
      </c>
      <c r="J35" s="109" t="s">
        <v>21</v>
      </c>
      <c r="K35" s="112"/>
      <c r="L35" s="112"/>
      <c r="M35" s="112"/>
      <c r="N35" s="112"/>
      <c r="O35" s="110"/>
      <c r="P35" s="58" t="s">
        <v>22</v>
      </c>
      <c r="Q35" s="57" t="s">
        <v>23</v>
      </c>
      <c r="R35" s="21" t="s">
        <v>29</v>
      </c>
      <c r="S35" s="21" t="s">
        <v>30</v>
      </c>
    </row>
    <row r="36" spans="1:19" ht="18" customHeight="1" x14ac:dyDescent="0.15">
      <c r="B36" s="130" t="s">
        <v>26</v>
      </c>
      <c r="C36" s="131"/>
      <c r="D36" s="131"/>
      <c r="E36" s="132"/>
      <c r="F36" s="22">
        <v>2</v>
      </c>
      <c r="G36" s="22" t="s">
        <v>27</v>
      </c>
      <c r="H36" s="22" t="s">
        <v>27</v>
      </c>
      <c r="I36" s="22" t="s">
        <v>27</v>
      </c>
      <c r="J36" s="130"/>
      <c r="K36" s="131"/>
      <c r="L36" s="131"/>
      <c r="M36" s="131"/>
      <c r="N36" s="131"/>
      <c r="O36" s="132"/>
      <c r="P36" s="22"/>
      <c r="Q36" s="22"/>
      <c r="R36" s="22"/>
      <c r="S36" s="22"/>
    </row>
    <row r="37" spans="1:19" ht="18" customHeight="1" x14ac:dyDescent="0.15">
      <c r="B37" s="127"/>
      <c r="C37" s="128"/>
      <c r="D37" s="128"/>
      <c r="E37" s="129"/>
      <c r="F37" s="23"/>
      <c r="G37" s="23"/>
      <c r="H37" s="23"/>
      <c r="I37" s="23"/>
      <c r="J37" s="127"/>
      <c r="K37" s="128"/>
      <c r="L37" s="128"/>
      <c r="M37" s="128"/>
      <c r="N37" s="128"/>
      <c r="O37" s="129"/>
      <c r="P37" s="23"/>
      <c r="Q37" s="23"/>
      <c r="R37" s="23"/>
      <c r="S37" s="23"/>
    </row>
    <row r="38" spans="1:19" ht="18" customHeight="1" x14ac:dyDescent="0.15">
      <c r="B38" s="127"/>
      <c r="C38" s="128"/>
      <c r="D38" s="128"/>
      <c r="E38" s="129"/>
      <c r="F38" s="23"/>
      <c r="G38" s="23"/>
      <c r="H38" s="23"/>
      <c r="I38" s="23"/>
      <c r="J38" s="127"/>
      <c r="K38" s="128"/>
      <c r="L38" s="128"/>
      <c r="M38" s="128"/>
      <c r="N38" s="128"/>
      <c r="O38" s="129"/>
      <c r="P38" s="23"/>
      <c r="Q38" s="23"/>
      <c r="R38" s="23"/>
      <c r="S38" s="23"/>
    </row>
    <row r="39" spans="1:19" ht="18" customHeight="1" x14ac:dyDescent="0.15">
      <c r="B39" s="127"/>
      <c r="C39" s="128"/>
      <c r="D39" s="128"/>
      <c r="E39" s="129"/>
      <c r="F39" s="23"/>
      <c r="G39" s="23"/>
      <c r="H39" s="23"/>
      <c r="I39" s="23"/>
      <c r="J39" s="127"/>
      <c r="K39" s="128"/>
      <c r="L39" s="128"/>
      <c r="M39" s="128"/>
      <c r="N39" s="128"/>
      <c r="O39" s="129"/>
      <c r="P39" s="23"/>
      <c r="Q39" s="23"/>
      <c r="R39" s="23"/>
      <c r="S39" s="23"/>
    </row>
    <row r="40" spans="1:19" ht="18" customHeight="1" x14ac:dyDescent="0.15">
      <c r="B40" s="127"/>
      <c r="C40" s="128"/>
      <c r="D40" s="128"/>
      <c r="E40" s="129"/>
      <c r="F40" s="23"/>
      <c r="G40" s="23"/>
      <c r="H40" s="23"/>
      <c r="I40" s="23"/>
      <c r="J40" s="127"/>
      <c r="K40" s="128"/>
      <c r="L40" s="128"/>
      <c r="M40" s="128"/>
      <c r="N40" s="128"/>
      <c r="O40" s="129"/>
      <c r="P40" s="23"/>
      <c r="Q40" s="23"/>
      <c r="R40" s="23"/>
      <c r="S40" s="23"/>
    </row>
    <row r="41" spans="1:19" ht="18" customHeight="1" x14ac:dyDescent="0.15">
      <c r="B41" s="127"/>
      <c r="C41" s="128"/>
      <c r="D41" s="128"/>
      <c r="E41" s="129"/>
      <c r="F41" s="23"/>
      <c r="G41" s="23"/>
      <c r="H41" s="23"/>
      <c r="I41" s="23"/>
      <c r="J41" s="127"/>
      <c r="K41" s="128"/>
      <c r="L41" s="128"/>
      <c r="M41" s="128"/>
      <c r="N41" s="128"/>
      <c r="O41" s="129"/>
      <c r="P41" s="23"/>
      <c r="Q41" s="23"/>
      <c r="R41" s="23"/>
      <c r="S41" s="23"/>
    </row>
    <row r="42" spans="1:19" ht="18" customHeight="1" x14ac:dyDescent="0.15">
      <c r="B42" s="133"/>
      <c r="C42" s="134"/>
      <c r="D42" s="134"/>
      <c r="E42" s="135"/>
      <c r="F42" s="24"/>
      <c r="G42" s="24"/>
      <c r="H42" s="25"/>
      <c r="I42" s="25"/>
      <c r="J42" s="133"/>
      <c r="K42" s="134"/>
      <c r="L42" s="134"/>
      <c r="M42" s="134"/>
      <c r="N42" s="134"/>
      <c r="O42" s="135"/>
      <c r="P42" s="24"/>
      <c r="Q42" s="24"/>
      <c r="R42" s="25"/>
      <c r="S42" s="25"/>
    </row>
    <row r="43" spans="1:19" ht="7.5" customHeight="1" x14ac:dyDescent="0.15">
      <c r="A43" s="98"/>
      <c r="B43" s="6"/>
      <c r="C43" s="6"/>
      <c r="D43" s="98"/>
      <c r="E43" s="98"/>
      <c r="F43" s="98"/>
      <c r="G43" s="98"/>
      <c r="H43" s="6"/>
      <c r="I43" s="6"/>
      <c r="J43" s="6"/>
      <c r="K43" s="6"/>
      <c r="L43" s="6"/>
      <c r="M43" s="6"/>
      <c r="N43" s="6"/>
      <c r="O43" s="6"/>
      <c r="P43" s="6"/>
      <c r="Q43" s="6"/>
      <c r="R43" s="6"/>
      <c r="S43" s="98"/>
    </row>
    <row r="44" spans="1:19" ht="18" customHeight="1" x14ac:dyDescent="0.15">
      <c r="A44" s="111" t="s">
        <v>31</v>
      </c>
      <c r="B44" s="111"/>
      <c r="C44" s="111"/>
      <c r="D44" s="111"/>
      <c r="E44" s="111"/>
      <c r="F44" s="111"/>
      <c r="G44" s="111"/>
      <c r="H44" s="111"/>
      <c r="I44" s="111"/>
      <c r="J44" s="111"/>
      <c r="K44" s="111"/>
      <c r="L44" s="111"/>
      <c r="M44" s="111"/>
      <c r="N44" s="111"/>
      <c r="O44" s="111"/>
      <c r="P44" s="111"/>
      <c r="Q44" s="111"/>
      <c r="R44" s="111"/>
      <c r="S44" s="111"/>
    </row>
    <row r="45" spans="1:19" ht="18" customHeight="1" x14ac:dyDescent="0.15">
      <c r="A45" s="111"/>
      <c r="B45" s="111"/>
      <c r="C45" s="111"/>
      <c r="D45" s="111"/>
      <c r="E45" s="111"/>
      <c r="F45" s="111"/>
      <c r="G45" s="111"/>
      <c r="H45" s="111"/>
      <c r="I45" s="111"/>
      <c r="J45" s="111"/>
      <c r="K45" s="111"/>
      <c r="L45" s="111"/>
      <c r="M45" s="111"/>
      <c r="N45" s="111"/>
      <c r="O45" s="111"/>
      <c r="P45" s="111"/>
      <c r="Q45" s="111"/>
      <c r="R45" s="111"/>
      <c r="S45" s="111"/>
    </row>
    <row r="46" spans="1:19" ht="18" customHeight="1" x14ac:dyDescent="0.15">
      <c r="B46" s="109" t="s">
        <v>21</v>
      </c>
      <c r="C46" s="112"/>
      <c r="D46" s="112"/>
      <c r="E46" s="110"/>
      <c r="F46" s="58" t="s">
        <v>22</v>
      </c>
      <c r="G46" s="57" t="s">
        <v>23</v>
      </c>
      <c r="H46" s="21" t="s">
        <v>32</v>
      </c>
      <c r="I46" s="21" t="s">
        <v>33</v>
      </c>
      <c r="J46" s="109" t="s">
        <v>21</v>
      </c>
      <c r="K46" s="112"/>
      <c r="L46" s="112"/>
      <c r="M46" s="112"/>
      <c r="N46" s="112"/>
      <c r="O46" s="110"/>
      <c r="P46" s="58" t="s">
        <v>22</v>
      </c>
      <c r="Q46" s="57" t="s">
        <v>23</v>
      </c>
      <c r="R46" s="21" t="s">
        <v>32</v>
      </c>
      <c r="S46" s="21" t="s">
        <v>33</v>
      </c>
    </row>
    <row r="47" spans="1:19" ht="18" customHeight="1" x14ac:dyDescent="0.15">
      <c r="A47" s="98"/>
      <c r="B47" s="130" t="s">
        <v>26</v>
      </c>
      <c r="C47" s="131"/>
      <c r="D47" s="131"/>
      <c r="E47" s="132"/>
      <c r="F47" s="22">
        <v>2</v>
      </c>
      <c r="G47" s="22" t="s">
        <v>27</v>
      </c>
      <c r="H47" s="22" t="s">
        <v>27</v>
      </c>
      <c r="I47" s="22" t="s">
        <v>27</v>
      </c>
      <c r="J47" s="130"/>
      <c r="K47" s="131"/>
      <c r="L47" s="131"/>
      <c r="M47" s="131"/>
      <c r="N47" s="131"/>
      <c r="O47" s="132"/>
      <c r="P47" s="22"/>
      <c r="Q47" s="22"/>
      <c r="R47" s="22"/>
      <c r="S47" s="22"/>
    </row>
    <row r="48" spans="1:19" ht="18" customHeight="1" x14ac:dyDescent="0.15">
      <c r="A48" s="98"/>
      <c r="B48" s="127"/>
      <c r="C48" s="128"/>
      <c r="D48" s="128"/>
      <c r="E48" s="129"/>
      <c r="F48" s="23"/>
      <c r="G48" s="23"/>
      <c r="H48" s="23"/>
      <c r="I48" s="23"/>
      <c r="J48" s="127"/>
      <c r="K48" s="128"/>
      <c r="L48" s="128"/>
      <c r="M48" s="128"/>
      <c r="N48" s="128"/>
      <c r="O48" s="129"/>
      <c r="P48" s="23"/>
      <c r="Q48" s="23"/>
      <c r="R48" s="23"/>
      <c r="S48" s="23"/>
    </row>
    <row r="49" spans="1:19" ht="18" customHeight="1" x14ac:dyDescent="0.15">
      <c r="A49" s="98"/>
      <c r="B49" s="127"/>
      <c r="C49" s="128"/>
      <c r="D49" s="128"/>
      <c r="E49" s="129"/>
      <c r="F49" s="23"/>
      <c r="G49" s="23"/>
      <c r="H49" s="23"/>
      <c r="I49" s="23"/>
      <c r="J49" s="127"/>
      <c r="K49" s="128"/>
      <c r="L49" s="128"/>
      <c r="M49" s="128"/>
      <c r="N49" s="128"/>
      <c r="O49" s="129"/>
      <c r="P49" s="23"/>
      <c r="Q49" s="23"/>
      <c r="R49" s="23"/>
      <c r="S49" s="23"/>
    </row>
    <row r="50" spans="1:19" ht="18" customHeight="1" x14ac:dyDescent="0.15">
      <c r="A50" s="98"/>
      <c r="B50" s="127"/>
      <c r="C50" s="128"/>
      <c r="D50" s="128"/>
      <c r="E50" s="129"/>
      <c r="F50" s="23"/>
      <c r="G50" s="23"/>
      <c r="H50" s="23"/>
      <c r="I50" s="23"/>
      <c r="J50" s="127"/>
      <c r="K50" s="128"/>
      <c r="L50" s="128"/>
      <c r="M50" s="128"/>
      <c r="N50" s="128"/>
      <c r="O50" s="129"/>
      <c r="P50" s="23"/>
      <c r="Q50" s="23"/>
      <c r="R50" s="23"/>
      <c r="S50" s="23"/>
    </row>
    <row r="51" spans="1:19" ht="18" customHeight="1" x14ac:dyDescent="0.15">
      <c r="A51" s="98"/>
      <c r="B51" s="127"/>
      <c r="C51" s="128"/>
      <c r="D51" s="128"/>
      <c r="E51" s="129"/>
      <c r="F51" s="23"/>
      <c r="G51" s="23"/>
      <c r="H51" s="23"/>
      <c r="I51" s="23"/>
      <c r="J51" s="127"/>
      <c r="K51" s="128"/>
      <c r="L51" s="128"/>
      <c r="M51" s="128"/>
      <c r="N51" s="128"/>
      <c r="O51" s="129"/>
      <c r="P51" s="23"/>
      <c r="Q51" s="23"/>
      <c r="R51" s="23"/>
      <c r="S51" s="23"/>
    </row>
    <row r="52" spans="1:19" ht="18" customHeight="1" x14ac:dyDescent="0.15">
      <c r="A52" s="98"/>
      <c r="B52" s="127"/>
      <c r="C52" s="128"/>
      <c r="D52" s="128"/>
      <c r="E52" s="129"/>
      <c r="F52" s="23"/>
      <c r="G52" s="23"/>
      <c r="H52" s="23"/>
      <c r="I52" s="23"/>
      <c r="J52" s="127"/>
      <c r="K52" s="128"/>
      <c r="L52" s="128"/>
      <c r="M52" s="128"/>
      <c r="N52" s="128"/>
      <c r="O52" s="129"/>
      <c r="P52" s="23"/>
      <c r="Q52" s="23"/>
      <c r="R52" s="23"/>
      <c r="S52" s="23"/>
    </row>
    <row r="53" spans="1:19" ht="18" customHeight="1" x14ac:dyDescent="0.15">
      <c r="A53" s="98"/>
      <c r="B53" s="133"/>
      <c r="C53" s="134"/>
      <c r="D53" s="134"/>
      <c r="E53" s="135"/>
      <c r="F53" s="24"/>
      <c r="G53" s="24"/>
      <c r="H53" s="25"/>
      <c r="I53" s="25"/>
      <c r="J53" s="133"/>
      <c r="K53" s="134"/>
      <c r="L53" s="134"/>
      <c r="M53" s="134"/>
      <c r="N53" s="134"/>
      <c r="O53" s="135"/>
      <c r="P53" s="24"/>
      <c r="Q53" s="24"/>
      <c r="R53" s="25"/>
      <c r="S53" s="25"/>
    </row>
    <row r="54" spans="1:19" ht="7.5" customHeight="1" x14ac:dyDescent="0.15">
      <c r="B54" s="99"/>
      <c r="C54" s="99"/>
      <c r="D54" s="99"/>
      <c r="E54" s="99"/>
      <c r="F54" s="99"/>
      <c r="G54" s="99"/>
      <c r="H54" s="99"/>
      <c r="I54" s="99"/>
      <c r="J54" s="99"/>
      <c r="K54" s="99"/>
      <c r="L54" s="99"/>
      <c r="M54" s="99"/>
      <c r="N54" s="99"/>
      <c r="O54" s="99"/>
      <c r="P54" s="99"/>
      <c r="Q54" s="99"/>
      <c r="R54" s="99"/>
    </row>
    <row r="55" spans="1:19" ht="18" customHeight="1" x14ac:dyDescent="0.15">
      <c r="A55" s="111" t="s">
        <v>34</v>
      </c>
      <c r="B55" s="111"/>
      <c r="C55" s="111"/>
      <c r="D55" s="111"/>
      <c r="E55" s="111"/>
      <c r="F55" s="111"/>
      <c r="G55" s="111"/>
      <c r="H55" s="111"/>
      <c r="I55" s="111"/>
      <c r="J55" s="111"/>
      <c r="K55" s="111"/>
      <c r="L55" s="111"/>
      <c r="M55" s="111"/>
      <c r="N55" s="111"/>
      <c r="O55" s="111"/>
      <c r="P55" s="111"/>
      <c r="Q55" s="111"/>
      <c r="R55" s="111"/>
      <c r="S55" s="111"/>
    </row>
    <row r="56" spans="1:19" ht="18" customHeight="1" x14ac:dyDescent="0.15">
      <c r="A56" s="111"/>
      <c r="B56" s="111"/>
      <c r="C56" s="111"/>
      <c r="D56" s="111"/>
      <c r="E56" s="111"/>
      <c r="F56" s="111"/>
      <c r="G56" s="111"/>
      <c r="H56" s="111"/>
      <c r="I56" s="111"/>
      <c r="J56" s="111"/>
      <c r="K56" s="111"/>
      <c r="L56" s="111"/>
      <c r="M56" s="111"/>
      <c r="N56" s="111"/>
      <c r="O56" s="111"/>
      <c r="P56" s="111"/>
      <c r="Q56" s="111"/>
      <c r="R56" s="111"/>
      <c r="S56" s="111"/>
    </row>
    <row r="57" spans="1:19" ht="18" customHeight="1" x14ac:dyDescent="0.15">
      <c r="B57" s="109" t="s">
        <v>21</v>
      </c>
      <c r="C57" s="112"/>
      <c r="D57" s="112"/>
      <c r="E57" s="110"/>
      <c r="F57" s="58" t="s">
        <v>22</v>
      </c>
      <c r="G57" s="57" t="s">
        <v>23</v>
      </c>
      <c r="H57" s="21" t="s">
        <v>35</v>
      </c>
      <c r="I57" s="21" t="s">
        <v>36</v>
      </c>
      <c r="J57" s="109" t="s">
        <v>21</v>
      </c>
      <c r="K57" s="112"/>
      <c r="L57" s="112"/>
      <c r="M57" s="112"/>
      <c r="N57" s="112"/>
      <c r="O57" s="110"/>
      <c r="P57" s="58" t="s">
        <v>22</v>
      </c>
      <c r="Q57" s="57" t="s">
        <v>23</v>
      </c>
      <c r="R57" s="21" t="s">
        <v>35</v>
      </c>
      <c r="S57" s="21" t="s">
        <v>36</v>
      </c>
    </row>
    <row r="58" spans="1:19" ht="18" customHeight="1" x14ac:dyDescent="0.15">
      <c r="A58" s="98"/>
      <c r="B58" s="130" t="s">
        <v>26</v>
      </c>
      <c r="C58" s="131"/>
      <c r="D58" s="131"/>
      <c r="E58" s="132"/>
      <c r="F58" s="22">
        <v>2</v>
      </c>
      <c r="G58" s="22" t="s">
        <v>27</v>
      </c>
      <c r="H58" s="22" t="s">
        <v>27</v>
      </c>
      <c r="I58" s="22" t="s">
        <v>27</v>
      </c>
      <c r="J58" s="130"/>
      <c r="K58" s="131"/>
      <c r="L58" s="131"/>
      <c r="M58" s="131"/>
      <c r="N58" s="131"/>
      <c r="O58" s="132"/>
      <c r="P58" s="22"/>
      <c r="Q58" s="22"/>
      <c r="R58" s="22"/>
      <c r="S58" s="22"/>
    </row>
    <row r="59" spans="1:19" ht="18" customHeight="1" x14ac:dyDescent="0.15">
      <c r="A59" s="98"/>
      <c r="B59" s="127"/>
      <c r="C59" s="128"/>
      <c r="D59" s="128"/>
      <c r="E59" s="129"/>
      <c r="F59" s="23"/>
      <c r="G59" s="23"/>
      <c r="H59" s="23"/>
      <c r="I59" s="23"/>
      <c r="J59" s="127"/>
      <c r="K59" s="128"/>
      <c r="L59" s="128"/>
      <c r="M59" s="128"/>
      <c r="N59" s="128"/>
      <c r="O59" s="129"/>
      <c r="P59" s="23"/>
      <c r="Q59" s="23"/>
      <c r="R59" s="23"/>
      <c r="S59" s="23"/>
    </row>
    <row r="60" spans="1:19" ht="18" customHeight="1" x14ac:dyDescent="0.15">
      <c r="A60" s="98"/>
      <c r="B60" s="127"/>
      <c r="C60" s="128"/>
      <c r="D60" s="128"/>
      <c r="E60" s="129"/>
      <c r="F60" s="23"/>
      <c r="G60" s="23"/>
      <c r="H60" s="23"/>
      <c r="I60" s="23"/>
      <c r="J60" s="127"/>
      <c r="K60" s="128"/>
      <c r="L60" s="128"/>
      <c r="M60" s="128"/>
      <c r="N60" s="128"/>
      <c r="O60" s="129"/>
      <c r="P60" s="23"/>
      <c r="Q60" s="23"/>
      <c r="R60" s="23"/>
      <c r="S60" s="23"/>
    </row>
    <row r="61" spans="1:19" ht="18" customHeight="1" x14ac:dyDescent="0.15">
      <c r="A61" s="98"/>
      <c r="B61" s="127"/>
      <c r="C61" s="128"/>
      <c r="D61" s="128"/>
      <c r="E61" s="129"/>
      <c r="F61" s="23"/>
      <c r="G61" s="23"/>
      <c r="H61" s="23"/>
      <c r="I61" s="23"/>
      <c r="J61" s="127"/>
      <c r="K61" s="128"/>
      <c r="L61" s="128"/>
      <c r="M61" s="128"/>
      <c r="N61" s="128"/>
      <c r="O61" s="129"/>
      <c r="P61" s="23"/>
      <c r="Q61" s="23"/>
      <c r="R61" s="23"/>
      <c r="S61" s="23"/>
    </row>
    <row r="62" spans="1:19" ht="18" customHeight="1" x14ac:dyDescent="0.15">
      <c r="A62" s="98"/>
      <c r="B62" s="127"/>
      <c r="C62" s="128"/>
      <c r="D62" s="128"/>
      <c r="E62" s="129"/>
      <c r="F62" s="23"/>
      <c r="G62" s="23"/>
      <c r="H62" s="23"/>
      <c r="I62" s="23"/>
      <c r="J62" s="127"/>
      <c r="K62" s="128"/>
      <c r="L62" s="128"/>
      <c r="M62" s="128"/>
      <c r="N62" s="128"/>
      <c r="O62" s="129"/>
      <c r="P62" s="23"/>
      <c r="Q62" s="23"/>
      <c r="R62" s="23"/>
      <c r="S62" s="23"/>
    </row>
    <row r="63" spans="1:19" ht="18" customHeight="1" x14ac:dyDescent="0.15">
      <c r="A63" s="98"/>
      <c r="B63" s="127"/>
      <c r="C63" s="128"/>
      <c r="D63" s="128"/>
      <c r="E63" s="129"/>
      <c r="F63" s="23"/>
      <c r="G63" s="23"/>
      <c r="H63" s="23"/>
      <c r="I63" s="23"/>
      <c r="J63" s="127"/>
      <c r="K63" s="128"/>
      <c r="L63" s="128"/>
      <c r="M63" s="128"/>
      <c r="N63" s="128"/>
      <c r="O63" s="129"/>
      <c r="P63" s="23"/>
      <c r="Q63" s="23"/>
      <c r="R63" s="23"/>
      <c r="S63" s="23"/>
    </row>
    <row r="64" spans="1:19" ht="18" customHeight="1" x14ac:dyDescent="0.15">
      <c r="A64" s="98"/>
      <c r="B64" s="133"/>
      <c r="C64" s="134"/>
      <c r="D64" s="134"/>
      <c r="E64" s="135"/>
      <c r="F64" s="24"/>
      <c r="G64" s="24"/>
      <c r="H64" s="25"/>
      <c r="I64" s="25"/>
      <c r="J64" s="133"/>
      <c r="K64" s="134"/>
      <c r="L64" s="134"/>
      <c r="M64" s="134"/>
      <c r="N64" s="134"/>
      <c r="O64" s="135"/>
      <c r="P64" s="24"/>
      <c r="Q64" s="24"/>
      <c r="R64" s="25"/>
      <c r="S64" s="25"/>
    </row>
    <row r="65" spans="1:19" ht="7.5" customHeight="1" x14ac:dyDescent="0.15">
      <c r="B65" s="99"/>
      <c r="C65" s="99"/>
      <c r="D65" s="99"/>
      <c r="E65" s="99"/>
      <c r="F65" s="99"/>
      <c r="G65" s="99"/>
      <c r="H65" s="99"/>
      <c r="I65" s="99"/>
      <c r="J65" s="99"/>
      <c r="K65" s="99"/>
      <c r="L65" s="99"/>
      <c r="M65" s="99"/>
      <c r="N65" s="99"/>
      <c r="O65" s="99"/>
      <c r="P65" s="99"/>
      <c r="Q65" s="99"/>
      <c r="R65" s="99"/>
    </row>
    <row r="66" spans="1:19" ht="18" customHeight="1" x14ac:dyDescent="0.15">
      <c r="A66" s="111" t="s">
        <v>38</v>
      </c>
      <c r="B66" s="111"/>
      <c r="C66" s="111"/>
      <c r="D66" s="111"/>
      <c r="E66" s="111"/>
      <c r="F66" s="111"/>
      <c r="G66" s="111"/>
      <c r="H66" s="111"/>
      <c r="I66" s="111"/>
      <c r="J66" s="111"/>
      <c r="K66" s="111"/>
      <c r="L66" s="111"/>
      <c r="M66" s="111"/>
      <c r="N66" s="111"/>
      <c r="O66" s="111"/>
      <c r="P66" s="111"/>
      <c r="Q66" s="111"/>
      <c r="R66" s="111"/>
      <c r="S66" s="111"/>
    </row>
    <row r="67" spans="1:19" ht="18" customHeight="1" x14ac:dyDescent="0.15">
      <c r="A67" s="111"/>
      <c r="B67" s="111"/>
      <c r="C67" s="111"/>
      <c r="D67" s="111"/>
      <c r="E67" s="111"/>
      <c r="F67" s="111"/>
      <c r="G67" s="111"/>
      <c r="H67" s="111"/>
      <c r="I67" s="111"/>
      <c r="J67" s="111"/>
      <c r="K67" s="111"/>
      <c r="L67" s="111"/>
      <c r="M67" s="111"/>
      <c r="N67" s="111"/>
      <c r="O67" s="111"/>
      <c r="P67" s="111"/>
      <c r="Q67" s="111"/>
      <c r="R67" s="111"/>
      <c r="S67" s="111"/>
    </row>
    <row r="68" spans="1:19" ht="18" customHeight="1" x14ac:dyDescent="0.15">
      <c r="B68" s="109" t="s">
        <v>21</v>
      </c>
      <c r="C68" s="112"/>
      <c r="D68" s="112"/>
      <c r="E68" s="58" t="s">
        <v>22</v>
      </c>
      <c r="F68" s="57" t="s">
        <v>23</v>
      </c>
      <c r="G68" s="21" t="s">
        <v>39</v>
      </c>
      <c r="H68" s="21" t="s">
        <v>40</v>
      </c>
      <c r="I68" s="21" t="s">
        <v>41</v>
      </c>
      <c r="J68" s="109" t="s">
        <v>21</v>
      </c>
      <c r="K68" s="112"/>
      <c r="L68" s="112"/>
      <c r="M68" s="112"/>
      <c r="N68" s="110"/>
      <c r="O68" s="58" t="s">
        <v>22</v>
      </c>
      <c r="P68" s="57" t="s">
        <v>23</v>
      </c>
      <c r="Q68" s="21" t="s">
        <v>39</v>
      </c>
      <c r="R68" s="21" t="s">
        <v>40</v>
      </c>
      <c r="S68" s="21" t="s">
        <v>41</v>
      </c>
    </row>
    <row r="69" spans="1:19" ht="18" customHeight="1" x14ac:dyDescent="0.15">
      <c r="A69" s="98"/>
      <c r="B69" s="130" t="s">
        <v>60</v>
      </c>
      <c r="C69" s="131"/>
      <c r="D69" s="131"/>
      <c r="E69" s="22">
        <v>2</v>
      </c>
      <c r="F69" s="23" t="s">
        <v>27</v>
      </c>
      <c r="G69" s="22" t="s">
        <v>27</v>
      </c>
      <c r="H69" s="22" t="s">
        <v>27</v>
      </c>
      <c r="I69" s="22" t="s">
        <v>27</v>
      </c>
      <c r="J69" s="130"/>
      <c r="K69" s="131"/>
      <c r="L69" s="131"/>
      <c r="M69" s="131"/>
      <c r="N69" s="132"/>
      <c r="O69" s="22"/>
      <c r="P69" s="22"/>
      <c r="Q69" s="22"/>
      <c r="R69" s="22"/>
      <c r="S69" s="22"/>
    </row>
    <row r="70" spans="1:19" ht="18" customHeight="1" x14ac:dyDescent="0.15">
      <c r="A70" s="98"/>
      <c r="B70" s="127"/>
      <c r="C70" s="128"/>
      <c r="D70" s="128"/>
      <c r="E70" s="23"/>
      <c r="F70" s="23"/>
      <c r="G70" s="23"/>
      <c r="H70" s="23"/>
      <c r="I70" s="23"/>
      <c r="J70" s="127"/>
      <c r="K70" s="128"/>
      <c r="L70" s="128"/>
      <c r="M70" s="128"/>
      <c r="N70" s="129"/>
      <c r="O70" s="23"/>
      <c r="P70" s="23"/>
      <c r="Q70" s="23"/>
      <c r="R70" s="23"/>
      <c r="S70" s="23"/>
    </row>
    <row r="71" spans="1:19" ht="18" customHeight="1" x14ac:dyDescent="0.15">
      <c r="A71" s="98"/>
      <c r="B71" s="127"/>
      <c r="C71" s="128"/>
      <c r="D71" s="128"/>
      <c r="E71" s="23"/>
      <c r="F71" s="23"/>
      <c r="G71" s="23"/>
      <c r="H71" s="23"/>
      <c r="I71" s="23"/>
      <c r="J71" s="127"/>
      <c r="K71" s="128"/>
      <c r="L71" s="128"/>
      <c r="M71" s="128"/>
      <c r="N71" s="129"/>
      <c r="O71" s="23"/>
      <c r="P71" s="23"/>
      <c r="Q71" s="23"/>
      <c r="R71" s="23"/>
      <c r="S71" s="23"/>
    </row>
    <row r="72" spans="1:19" ht="18" customHeight="1" x14ac:dyDescent="0.15">
      <c r="A72" s="98"/>
      <c r="B72" s="127"/>
      <c r="C72" s="128"/>
      <c r="D72" s="128"/>
      <c r="E72" s="23"/>
      <c r="F72" s="23"/>
      <c r="G72" s="23"/>
      <c r="H72" s="23"/>
      <c r="I72" s="23"/>
      <c r="J72" s="127"/>
      <c r="K72" s="128"/>
      <c r="L72" s="128"/>
      <c r="M72" s="128"/>
      <c r="N72" s="129"/>
      <c r="O72" s="23"/>
      <c r="P72" s="23"/>
      <c r="Q72" s="23"/>
      <c r="R72" s="23"/>
      <c r="S72" s="23"/>
    </row>
    <row r="73" spans="1:19" ht="18" customHeight="1" x14ac:dyDescent="0.15">
      <c r="A73" s="98"/>
      <c r="B73" s="127"/>
      <c r="C73" s="128"/>
      <c r="D73" s="128"/>
      <c r="E73" s="23"/>
      <c r="F73" s="23"/>
      <c r="G73" s="23"/>
      <c r="H73" s="23"/>
      <c r="I73" s="23"/>
      <c r="J73" s="127"/>
      <c r="K73" s="128"/>
      <c r="L73" s="128"/>
      <c r="M73" s="128"/>
      <c r="N73" s="129"/>
      <c r="O73" s="23"/>
      <c r="P73" s="23"/>
      <c r="Q73" s="23"/>
      <c r="R73" s="23"/>
      <c r="S73" s="23"/>
    </row>
    <row r="74" spans="1:19" ht="18" customHeight="1" x14ac:dyDescent="0.15">
      <c r="A74" s="98"/>
      <c r="B74" s="127"/>
      <c r="C74" s="128"/>
      <c r="D74" s="128"/>
      <c r="E74" s="23"/>
      <c r="F74" s="23"/>
      <c r="G74" s="23"/>
      <c r="H74" s="23"/>
      <c r="I74" s="23"/>
      <c r="J74" s="127"/>
      <c r="K74" s="128"/>
      <c r="L74" s="128"/>
      <c r="M74" s="128"/>
      <c r="N74" s="129"/>
      <c r="O74" s="23"/>
      <c r="P74" s="23"/>
      <c r="Q74" s="23"/>
      <c r="R74" s="23"/>
      <c r="S74" s="23"/>
    </row>
    <row r="75" spans="1:19" ht="18" customHeight="1" x14ac:dyDescent="0.15">
      <c r="A75" s="98"/>
      <c r="B75" s="133"/>
      <c r="C75" s="134"/>
      <c r="D75" s="134"/>
      <c r="E75" s="24"/>
      <c r="F75" s="24"/>
      <c r="G75" s="25"/>
      <c r="H75" s="25"/>
      <c r="I75" s="25"/>
      <c r="J75" s="133"/>
      <c r="K75" s="134"/>
      <c r="L75" s="134"/>
      <c r="M75" s="134"/>
      <c r="N75" s="135"/>
      <c r="O75" s="24"/>
      <c r="P75" s="24"/>
      <c r="Q75" s="25"/>
      <c r="R75" s="25"/>
      <c r="S75" s="25"/>
    </row>
    <row r="76" spans="1:19" ht="7.5" customHeight="1" x14ac:dyDescent="0.15">
      <c r="B76" s="99"/>
      <c r="C76" s="99"/>
      <c r="D76" s="99"/>
      <c r="E76" s="99"/>
      <c r="F76" s="99"/>
      <c r="G76" s="99"/>
      <c r="H76" s="99"/>
      <c r="I76" s="99"/>
      <c r="J76" s="99"/>
      <c r="K76" s="99"/>
      <c r="L76" s="99"/>
      <c r="M76" s="99"/>
      <c r="N76" s="99"/>
      <c r="O76" s="99"/>
      <c r="P76" s="99"/>
      <c r="Q76" s="99"/>
      <c r="R76" s="99"/>
    </row>
    <row r="77" spans="1:19" ht="18" customHeight="1" x14ac:dyDescent="0.15">
      <c r="A77" s="97" t="s">
        <v>43</v>
      </c>
      <c r="H77" s="98"/>
      <c r="I77" s="98"/>
      <c r="J77" s="98"/>
      <c r="K77" s="98"/>
      <c r="L77" s="98"/>
      <c r="M77" s="98"/>
      <c r="N77" s="98"/>
      <c r="O77" s="98"/>
      <c r="P77" s="98"/>
      <c r="Q77" s="98"/>
      <c r="R77" s="98"/>
      <c r="S77" s="98"/>
    </row>
    <row r="78" spans="1:19" ht="18" customHeight="1" x14ac:dyDescent="0.15">
      <c r="B78" s="109" t="s">
        <v>21</v>
      </c>
      <c r="C78" s="112"/>
      <c r="D78" s="112"/>
      <c r="E78" s="110"/>
      <c r="F78" s="109" t="s">
        <v>44</v>
      </c>
      <c r="G78" s="112"/>
      <c r="H78" s="112"/>
      <c r="I78" s="110"/>
      <c r="J78" s="136" t="s">
        <v>21</v>
      </c>
      <c r="K78" s="137"/>
      <c r="L78" s="137"/>
      <c r="M78" s="137"/>
      <c r="N78" s="137"/>
      <c r="O78" s="138"/>
      <c r="P78" s="109" t="s">
        <v>44</v>
      </c>
      <c r="Q78" s="112"/>
      <c r="R78" s="112"/>
      <c r="S78" s="110"/>
    </row>
    <row r="79" spans="1:19" ht="18" customHeight="1" x14ac:dyDescent="0.15">
      <c r="A79" s="98"/>
      <c r="B79" s="130"/>
      <c r="C79" s="131"/>
      <c r="D79" s="131"/>
      <c r="E79" s="132"/>
      <c r="F79" s="139"/>
      <c r="G79" s="140"/>
      <c r="H79" s="140"/>
      <c r="I79" s="141"/>
      <c r="J79" s="130"/>
      <c r="K79" s="131"/>
      <c r="L79" s="131"/>
      <c r="M79" s="131"/>
      <c r="N79" s="131"/>
      <c r="O79" s="132"/>
      <c r="P79" s="139"/>
      <c r="Q79" s="140"/>
      <c r="R79" s="140"/>
      <c r="S79" s="141"/>
    </row>
    <row r="80" spans="1:19" ht="18" customHeight="1" x14ac:dyDescent="0.15">
      <c r="A80" s="98"/>
      <c r="B80" s="127"/>
      <c r="C80" s="128"/>
      <c r="D80" s="128"/>
      <c r="E80" s="129"/>
      <c r="F80" s="142"/>
      <c r="G80" s="143"/>
      <c r="H80" s="143"/>
      <c r="I80" s="144"/>
      <c r="J80" s="127"/>
      <c r="K80" s="128"/>
      <c r="L80" s="128"/>
      <c r="M80" s="128"/>
      <c r="N80" s="128"/>
      <c r="O80" s="129"/>
      <c r="P80" s="142"/>
      <c r="Q80" s="143"/>
      <c r="R80" s="143"/>
      <c r="S80" s="144"/>
    </row>
    <row r="81" spans="1:19" ht="18" customHeight="1" x14ac:dyDescent="0.15">
      <c r="A81" s="98"/>
      <c r="B81" s="127"/>
      <c r="C81" s="128"/>
      <c r="D81" s="128"/>
      <c r="E81" s="129"/>
      <c r="F81" s="142"/>
      <c r="G81" s="143"/>
      <c r="H81" s="143"/>
      <c r="I81" s="144"/>
      <c r="J81" s="127"/>
      <c r="K81" s="128"/>
      <c r="L81" s="128"/>
      <c r="M81" s="128"/>
      <c r="N81" s="128"/>
      <c r="O81" s="129"/>
      <c r="P81" s="142"/>
      <c r="Q81" s="143"/>
      <c r="R81" s="143"/>
      <c r="S81" s="144"/>
    </row>
    <row r="82" spans="1:19" ht="18" customHeight="1" x14ac:dyDescent="0.15">
      <c r="A82" s="98"/>
      <c r="B82" s="127"/>
      <c r="C82" s="128"/>
      <c r="D82" s="128"/>
      <c r="E82" s="129"/>
      <c r="F82" s="142"/>
      <c r="G82" s="143"/>
      <c r="H82" s="143"/>
      <c r="I82" s="144"/>
      <c r="J82" s="127"/>
      <c r="K82" s="128"/>
      <c r="L82" s="128"/>
      <c r="M82" s="128"/>
      <c r="N82" s="128"/>
      <c r="O82" s="129"/>
      <c r="P82" s="142"/>
      <c r="Q82" s="143"/>
      <c r="R82" s="143"/>
      <c r="S82" s="144"/>
    </row>
    <row r="83" spans="1:19" ht="18" customHeight="1" x14ac:dyDescent="0.15">
      <c r="A83" s="98"/>
      <c r="B83" s="127"/>
      <c r="C83" s="128"/>
      <c r="D83" s="128"/>
      <c r="E83" s="129"/>
      <c r="F83" s="142"/>
      <c r="G83" s="143"/>
      <c r="H83" s="143"/>
      <c r="I83" s="144"/>
      <c r="J83" s="127"/>
      <c r="K83" s="128"/>
      <c r="L83" s="128"/>
      <c r="M83" s="128"/>
      <c r="N83" s="128"/>
      <c r="O83" s="129"/>
      <c r="P83" s="142"/>
      <c r="Q83" s="143"/>
      <c r="R83" s="143"/>
      <c r="S83" s="144"/>
    </row>
    <row r="84" spans="1:19" ht="18" customHeight="1" x14ac:dyDescent="0.15">
      <c r="A84" s="98"/>
      <c r="B84" s="127"/>
      <c r="C84" s="128"/>
      <c r="D84" s="128"/>
      <c r="E84" s="129"/>
      <c r="F84" s="142"/>
      <c r="G84" s="143"/>
      <c r="H84" s="143"/>
      <c r="I84" s="144"/>
      <c r="J84" s="127"/>
      <c r="K84" s="128"/>
      <c r="L84" s="128"/>
      <c r="M84" s="128"/>
      <c r="N84" s="128"/>
      <c r="O84" s="129"/>
      <c r="P84" s="142"/>
      <c r="Q84" s="143"/>
      <c r="R84" s="143"/>
      <c r="S84" s="144"/>
    </row>
    <row r="85" spans="1:19" ht="18" customHeight="1" x14ac:dyDescent="0.15">
      <c r="A85" s="98"/>
      <c r="B85" s="133"/>
      <c r="C85" s="134"/>
      <c r="D85" s="134"/>
      <c r="E85" s="135"/>
      <c r="F85" s="162"/>
      <c r="G85" s="163"/>
      <c r="H85" s="163"/>
      <c r="I85" s="164"/>
      <c r="J85" s="133"/>
      <c r="K85" s="134"/>
      <c r="L85" s="134"/>
      <c r="M85" s="134"/>
      <c r="N85" s="134"/>
      <c r="O85" s="135"/>
      <c r="P85" s="162"/>
      <c r="Q85" s="163"/>
      <c r="R85" s="163"/>
      <c r="S85" s="164"/>
    </row>
    <row r="86" spans="1:19" ht="18" customHeight="1" x14ac:dyDescent="0.15">
      <c r="A86" s="98"/>
      <c r="B86" s="6"/>
      <c r="C86" s="6"/>
      <c r="D86" s="6"/>
      <c r="E86" s="6"/>
      <c r="F86" s="26"/>
      <c r="G86" s="26"/>
      <c r="H86" s="26"/>
      <c r="I86" s="26"/>
      <c r="J86" s="6"/>
      <c r="K86" s="6"/>
      <c r="L86" s="6"/>
      <c r="M86" s="6"/>
      <c r="N86" s="6"/>
      <c r="O86" s="6"/>
      <c r="P86" s="26"/>
      <c r="Q86" s="26"/>
      <c r="R86" s="26"/>
      <c r="S86" s="26"/>
    </row>
    <row r="87" spans="1:19" ht="18.75" customHeight="1" x14ac:dyDescent="0.15">
      <c r="A87" s="97" t="s">
        <v>45</v>
      </c>
    </row>
    <row r="88" spans="1:19" ht="18.75" customHeight="1" x14ac:dyDescent="0.15">
      <c r="B88" s="145" t="s">
        <v>46</v>
      </c>
      <c r="C88" s="146"/>
      <c r="D88" s="112" t="s">
        <v>47</v>
      </c>
      <c r="E88" s="112"/>
      <c r="F88" s="112"/>
      <c r="G88" s="112"/>
      <c r="H88" s="112"/>
      <c r="I88" s="112"/>
      <c r="J88" s="112"/>
      <c r="K88" s="112"/>
      <c r="L88" s="112"/>
      <c r="M88" s="112"/>
      <c r="N88" s="112"/>
      <c r="O88" s="112"/>
      <c r="P88" s="112"/>
      <c r="Q88" s="112"/>
      <c r="R88" s="112"/>
      <c r="S88" s="110"/>
    </row>
    <row r="89" spans="1:19" ht="97.5" customHeight="1" x14ac:dyDescent="0.15">
      <c r="B89" s="147" t="s">
        <v>48</v>
      </c>
      <c r="C89" s="27" t="s">
        <v>24</v>
      </c>
      <c r="D89" s="149" t="s">
        <v>192</v>
      </c>
      <c r="E89" s="150"/>
      <c r="F89" s="150"/>
      <c r="G89" s="150"/>
      <c r="H89" s="150"/>
      <c r="I89" s="150"/>
      <c r="J89" s="150"/>
      <c r="K89" s="150"/>
      <c r="L89" s="150"/>
      <c r="M89" s="150"/>
      <c r="N89" s="150"/>
      <c r="O89" s="150"/>
      <c r="P89" s="150"/>
      <c r="Q89" s="150"/>
      <c r="R89" s="150"/>
      <c r="S89" s="151"/>
    </row>
    <row r="90" spans="1:19" ht="97.5" customHeight="1" x14ac:dyDescent="0.15">
      <c r="B90" s="148"/>
      <c r="C90" s="28" t="s">
        <v>49</v>
      </c>
      <c r="D90" s="152" t="s">
        <v>191</v>
      </c>
      <c r="E90" s="153"/>
      <c r="F90" s="153"/>
      <c r="G90" s="153"/>
      <c r="H90" s="153"/>
      <c r="I90" s="153"/>
      <c r="J90" s="153"/>
      <c r="K90" s="153"/>
      <c r="L90" s="153"/>
      <c r="M90" s="153"/>
      <c r="N90" s="153"/>
      <c r="O90" s="153"/>
      <c r="P90" s="153"/>
      <c r="Q90" s="153"/>
      <c r="R90" s="153"/>
      <c r="S90" s="154"/>
    </row>
    <row r="91" spans="1:19" ht="97.5" customHeight="1" x14ac:dyDescent="0.15">
      <c r="B91" s="147" t="s">
        <v>50</v>
      </c>
      <c r="C91" s="29" t="s">
        <v>29</v>
      </c>
      <c r="D91" s="156" t="s">
        <v>193</v>
      </c>
      <c r="E91" s="157"/>
      <c r="F91" s="157"/>
      <c r="G91" s="157"/>
      <c r="H91" s="157"/>
      <c r="I91" s="157"/>
      <c r="J91" s="157"/>
      <c r="K91" s="157"/>
      <c r="L91" s="157"/>
      <c r="M91" s="157"/>
      <c r="N91" s="157"/>
      <c r="O91" s="157"/>
      <c r="P91" s="157"/>
      <c r="Q91" s="157"/>
      <c r="R91" s="157"/>
      <c r="S91" s="158"/>
    </row>
    <row r="92" spans="1:19" ht="97.5" customHeight="1" x14ac:dyDescent="0.15">
      <c r="B92" s="155"/>
      <c r="C92" s="30" t="s">
        <v>30</v>
      </c>
      <c r="D92" s="159" t="s">
        <v>194</v>
      </c>
      <c r="E92" s="160"/>
      <c r="F92" s="160"/>
      <c r="G92" s="160"/>
      <c r="H92" s="160"/>
      <c r="I92" s="160"/>
      <c r="J92" s="160"/>
      <c r="K92" s="160"/>
      <c r="L92" s="160"/>
      <c r="M92" s="160"/>
      <c r="N92" s="160"/>
      <c r="O92" s="160"/>
      <c r="P92" s="160"/>
      <c r="Q92" s="160"/>
      <c r="R92" s="160"/>
      <c r="S92" s="161"/>
    </row>
    <row r="93" spans="1:19" ht="97.5" customHeight="1" x14ac:dyDescent="0.15">
      <c r="B93" s="147" t="s">
        <v>51</v>
      </c>
      <c r="C93" s="29" t="s">
        <v>32</v>
      </c>
      <c r="D93" s="156" t="s">
        <v>195</v>
      </c>
      <c r="E93" s="157"/>
      <c r="F93" s="157"/>
      <c r="G93" s="157"/>
      <c r="H93" s="157"/>
      <c r="I93" s="157"/>
      <c r="J93" s="157"/>
      <c r="K93" s="157"/>
      <c r="L93" s="157"/>
      <c r="M93" s="157"/>
      <c r="N93" s="157"/>
      <c r="O93" s="157"/>
      <c r="P93" s="157"/>
      <c r="Q93" s="157"/>
      <c r="R93" s="157"/>
      <c r="S93" s="158"/>
    </row>
    <row r="94" spans="1:19" ht="97.5" customHeight="1" x14ac:dyDescent="0.15">
      <c r="B94" s="155"/>
      <c r="C94" s="31" t="s">
        <v>33</v>
      </c>
      <c r="D94" s="173" t="s">
        <v>196</v>
      </c>
      <c r="E94" s="174"/>
      <c r="F94" s="174"/>
      <c r="G94" s="174"/>
      <c r="H94" s="174"/>
      <c r="I94" s="174"/>
      <c r="J94" s="174"/>
      <c r="K94" s="174"/>
      <c r="L94" s="174"/>
      <c r="M94" s="174"/>
      <c r="N94" s="174"/>
      <c r="O94" s="174"/>
      <c r="P94" s="174"/>
      <c r="Q94" s="174"/>
      <c r="R94" s="174"/>
      <c r="S94" s="175"/>
    </row>
    <row r="95" spans="1:19" ht="97.5" customHeight="1" x14ac:dyDescent="0.15">
      <c r="B95" s="147" t="s">
        <v>52</v>
      </c>
      <c r="C95" s="27" t="s">
        <v>35</v>
      </c>
      <c r="D95" s="149" t="s">
        <v>202</v>
      </c>
      <c r="E95" s="150"/>
      <c r="F95" s="150"/>
      <c r="G95" s="150"/>
      <c r="H95" s="150"/>
      <c r="I95" s="150"/>
      <c r="J95" s="150"/>
      <c r="K95" s="150"/>
      <c r="L95" s="150"/>
      <c r="M95" s="150"/>
      <c r="N95" s="150"/>
      <c r="O95" s="150"/>
      <c r="P95" s="150"/>
      <c r="Q95" s="150"/>
      <c r="R95" s="150"/>
      <c r="S95" s="151"/>
    </row>
    <row r="96" spans="1:19" ht="97.5" customHeight="1" x14ac:dyDescent="0.15">
      <c r="B96" s="155"/>
      <c r="C96" s="30" t="s">
        <v>36</v>
      </c>
      <c r="D96" s="159" t="s">
        <v>203</v>
      </c>
      <c r="E96" s="160"/>
      <c r="F96" s="160"/>
      <c r="G96" s="160"/>
      <c r="H96" s="160"/>
      <c r="I96" s="160"/>
      <c r="J96" s="160"/>
      <c r="K96" s="160"/>
      <c r="L96" s="160"/>
      <c r="M96" s="160"/>
      <c r="N96" s="160"/>
      <c r="O96" s="160"/>
      <c r="P96" s="160"/>
      <c r="Q96" s="160"/>
      <c r="R96" s="160"/>
      <c r="S96" s="161"/>
    </row>
    <row r="97" spans="1:19" ht="120" customHeight="1" x14ac:dyDescent="0.15">
      <c r="B97" s="147" t="s">
        <v>53</v>
      </c>
      <c r="C97" s="29" t="s">
        <v>54</v>
      </c>
      <c r="D97" s="165" t="s">
        <v>204</v>
      </c>
      <c r="E97" s="131"/>
      <c r="F97" s="131"/>
      <c r="G97" s="131"/>
      <c r="H97" s="131"/>
      <c r="I97" s="131"/>
      <c r="J97" s="131"/>
      <c r="K97" s="131"/>
      <c r="L97" s="131"/>
      <c r="M97" s="131"/>
      <c r="N97" s="131"/>
      <c r="O97" s="131"/>
      <c r="P97" s="131"/>
      <c r="Q97" s="131"/>
      <c r="R97" s="131"/>
      <c r="S97" s="132"/>
    </row>
    <row r="98" spans="1:19" ht="121.9" customHeight="1" x14ac:dyDescent="0.15">
      <c r="B98" s="148"/>
      <c r="C98" s="32" t="s">
        <v>40</v>
      </c>
      <c r="D98" s="166" t="s">
        <v>205</v>
      </c>
      <c r="E98" s="128"/>
      <c r="F98" s="128"/>
      <c r="G98" s="128"/>
      <c r="H98" s="128"/>
      <c r="I98" s="128"/>
      <c r="J98" s="128"/>
      <c r="K98" s="128"/>
      <c r="L98" s="128"/>
      <c r="M98" s="128"/>
      <c r="N98" s="128"/>
      <c r="O98" s="128"/>
      <c r="P98" s="128"/>
      <c r="Q98" s="128"/>
      <c r="R98" s="128"/>
      <c r="S98" s="129"/>
    </row>
    <row r="99" spans="1:19" ht="114.6" customHeight="1" x14ac:dyDescent="0.15">
      <c r="B99" s="155"/>
      <c r="C99" s="31" t="s">
        <v>41</v>
      </c>
      <c r="D99" s="167" t="s">
        <v>206</v>
      </c>
      <c r="E99" s="168"/>
      <c r="F99" s="168"/>
      <c r="G99" s="168"/>
      <c r="H99" s="168"/>
      <c r="I99" s="168"/>
      <c r="J99" s="168"/>
      <c r="K99" s="168"/>
      <c r="L99" s="168"/>
      <c r="M99" s="168"/>
      <c r="N99" s="168"/>
      <c r="O99" s="168"/>
      <c r="P99" s="168"/>
      <c r="Q99" s="168"/>
      <c r="R99" s="168"/>
      <c r="S99" s="169"/>
    </row>
    <row r="100" spans="1:19" ht="18.600000000000001" customHeight="1" x14ac:dyDescent="0.15"/>
    <row r="101" spans="1:19" ht="18.75" customHeight="1" x14ac:dyDescent="0.15">
      <c r="A101" s="97" t="s">
        <v>55</v>
      </c>
    </row>
    <row r="102" spans="1:19" ht="81.75" customHeight="1" x14ac:dyDescent="0.15">
      <c r="B102" s="170" t="s">
        <v>56</v>
      </c>
      <c r="C102" s="171"/>
      <c r="D102" s="171"/>
      <c r="E102" s="171"/>
      <c r="F102" s="171"/>
      <c r="G102" s="171"/>
      <c r="H102" s="171"/>
      <c r="I102" s="171"/>
      <c r="J102" s="171"/>
      <c r="K102" s="171"/>
      <c r="L102" s="171"/>
      <c r="M102" s="171"/>
      <c r="N102" s="171"/>
      <c r="O102" s="171"/>
      <c r="P102" s="171"/>
      <c r="Q102" s="171"/>
      <c r="R102" s="171"/>
      <c r="S102" s="172"/>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P69:S75 Q25:S31 G25:I31 Q36:S42 G36:I42 Q47:S53 G58:I64 Q58:S64 G47:I53 F69:I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6"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5F192-E6ED-4F72-8E0E-12095BC0F483}">
  <sheetPr>
    <pageSetUpPr fitToPage="1"/>
  </sheetPr>
  <dimension ref="A1:V110"/>
  <sheetViews>
    <sheetView showZeros="0" view="pageBreakPreview" topLeftCell="A70" zoomScale="90" zoomScaleNormal="100" zoomScaleSheetLayoutView="90" workbookViewId="0">
      <selection activeCell="AE84" sqref="AE84"/>
    </sheetView>
  </sheetViews>
  <sheetFormatPr defaultColWidth="9" defaultRowHeight="18.75" customHeight="1" x14ac:dyDescent="0.15"/>
  <cols>
    <col min="1" max="1" width="2.375" style="97" customWidth="1"/>
    <col min="2" max="2" width="16.375" style="97" customWidth="1"/>
    <col min="3" max="19" width="5.625" style="97" customWidth="1"/>
    <col min="20" max="20" width="9" style="97"/>
    <col min="21" max="21" width="3.625" style="97" customWidth="1"/>
    <col min="22" max="22" width="48.625" style="97" hidden="1" customWidth="1"/>
    <col min="23" max="16384" width="9" style="97"/>
  </cols>
  <sheetData>
    <row r="1" spans="1:22" ht="18.600000000000001" customHeight="1" x14ac:dyDescent="0.15">
      <c r="R1" s="113" t="s">
        <v>61</v>
      </c>
      <c r="S1" s="113"/>
      <c r="T1" s="2" t="s">
        <v>1</v>
      </c>
    </row>
    <row r="2" spans="1:22" ht="18.75" customHeight="1" x14ac:dyDescent="0.15">
      <c r="B2" s="96" t="s">
        <v>2</v>
      </c>
      <c r="C2" s="109" t="s">
        <v>3</v>
      </c>
      <c r="D2" s="112"/>
      <c r="E2" s="112"/>
      <c r="F2" s="112"/>
      <c r="G2" s="112"/>
      <c r="H2" s="112"/>
      <c r="I2" s="110"/>
      <c r="J2" s="95"/>
      <c r="K2" s="6"/>
      <c r="L2" s="6"/>
      <c r="M2" s="6"/>
      <c r="N2" s="6"/>
      <c r="O2" s="6"/>
      <c r="P2" s="6"/>
      <c r="Q2" s="6"/>
      <c r="R2" s="6"/>
      <c r="S2" s="6"/>
    </row>
    <row r="3" spans="1:22" ht="31.5" customHeight="1" x14ac:dyDescent="0.15">
      <c r="B3" s="96" t="s">
        <v>4</v>
      </c>
      <c r="C3" s="114" t="s">
        <v>5</v>
      </c>
      <c r="D3" s="115"/>
      <c r="E3" s="115"/>
      <c r="F3" s="115"/>
      <c r="G3" s="115"/>
      <c r="H3" s="115"/>
      <c r="I3" s="116"/>
      <c r="J3" s="95"/>
      <c r="K3" s="6"/>
      <c r="L3" s="6"/>
      <c r="M3" s="6"/>
      <c r="N3" s="6"/>
      <c r="O3" s="6"/>
      <c r="P3" s="6"/>
      <c r="Q3" s="6"/>
      <c r="R3" s="6"/>
      <c r="S3" s="6"/>
    </row>
    <row r="4" spans="1:22" ht="15" customHeight="1" x14ac:dyDescent="0.15">
      <c r="K4" s="95"/>
      <c r="L4" s="36"/>
      <c r="M4" s="36"/>
      <c r="N4" s="36"/>
      <c r="O4" s="36"/>
      <c r="P4" s="36"/>
      <c r="Q4" s="36"/>
      <c r="R4" s="36"/>
      <c r="S4" s="36"/>
    </row>
    <row r="5" spans="1:22" ht="18" customHeight="1" x14ac:dyDescent="0.15">
      <c r="A5" s="117" t="s">
        <v>6</v>
      </c>
      <c r="B5" s="117"/>
      <c r="C5" s="117"/>
      <c r="D5" s="117"/>
      <c r="E5" s="117"/>
      <c r="F5" s="117"/>
      <c r="G5" s="117"/>
      <c r="H5" s="117"/>
      <c r="I5" s="117"/>
      <c r="J5" s="117"/>
      <c r="K5" s="117"/>
      <c r="L5" s="117"/>
      <c r="M5" s="117"/>
      <c r="N5" s="117"/>
      <c r="O5" s="117"/>
      <c r="P5" s="117"/>
      <c r="Q5" s="117"/>
      <c r="R5" s="117"/>
      <c r="S5" s="117"/>
    </row>
    <row r="6" spans="1:22" ht="15" customHeight="1" x14ac:dyDescent="0.15">
      <c r="B6" s="98"/>
      <c r="C6" s="98"/>
      <c r="D6" s="98"/>
      <c r="E6" s="98"/>
      <c r="F6" s="98"/>
      <c r="G6" s="98"/>
      <c r="H6" s="98"/>
      <c r="I6" s="98"/>
      <c r="J6" s="98"/>
      <c r="K6" s="98"/>
      <c r="L6" s="98"/>
      <c r="M6" s="98"/>
      <c r="N6" s="98"/>
      <c r="O6" s="98"/>
      <c r="P6" s="98"/>
      <c r="Q6" s="98"/>
      <c r="R6" s="98"/>
      <c r="S6" s="98"/>
    </row>
    <row r="7" spans="1:22" ht="18" customHeight="1" x14ac:dyDescent="0.15">
      <c r="A7" s="97" t="s">
        <v>7</v>
      </c>
      <c r="C7" s="98"/>
      <c r="J7" s="37" t="s">
        <v>8</v>
      </c>
      <c r="K7" s="118" t="s">
        <v>9</v>
      </c>
      <c r="L7" s="119"/>
      <c r="M7" s="119"/>
      <c r="N7" s="119"/>
      <c r="O7" s="119"/>
      <c r="P7" s="119"/>
      <c r="Q7" s="119"/>
      <c r="R7" s="119"/>
      <c r="S7" s="120"/>
    </row>
    <row r="8" spans="1:22" ht="6" customHeight="1" x14ac:dyDescent="0.15">
      <c r="B8" s="98"/>
      <c r="C8" s="98"/>
      <c r="D8" s="98"/>
      <c r="E8" s="98"/>
      <c r="F8" s="98"/>
      <c r="G8" s="98"/>
      <c r="H8" s="98"/>
      <c r="I8" s="98"/>
      <c r="J8" s="98"/>
      <c r="K8" s="10"/>
      <c r="L8" s="98"/>
      <c r="M8" s="98"/>
      <c r="N8" s="98"/>
      <c r="O8" s="98"/>
      <c r="P8" s="98"/>
      <c r="Q8" s="98"/>
      <c r="R8" s="98"/>
      <c r="S8" s="98"/>
    </row>
    <row r="9" spans="1:22" ht="18" customHeight="1" x14ac:dyDescent="0.15">
      <c r="B9" s="121" t="s">
        <v>62</v>
      </c>
      <c r="C9" s="122"/>
      <c r="D9" s="122"/>
      <c r="E9" s="122"/>
      <c r="F9" s="122"/>
      <c r="G9" s="122"/>
      <c r="H9" s="122"/>
      <c r="I9" s="122"/>
      <c r="J9" s="122"/>
      <c r="K9" s="122"/>
      <c r="L9" s="122"/>
      <c r="M9" s="122"/>
      <c r="N9" s="122"/>
      <c r="O9" s="122"/>
      <c r="P9" s="122"/>
      <c r="Q9" s="122"/>
      <c r="R9" s="122"/>
      <c r="S9" s="123"/>
    </row>
    <row r="10" spans="1:22" ht="18" customHeight="1" x14ac:dyDescent="0.15">
      <c r="B10" s="124"/>
      <c r="C10" s="125"/>
      <c r="D10" s="125"/>
      <c r="E10" s="125"/>
      <c r="F10" s="125"/>
      <c r="G10" s="125"/>
      <c r="H10" s="125"/>
      <c r="I10" s="125"/>
      <c r="J10" s="125"/>
      <c r="K10" s="125"/>
      <c r="L10" s="125"/>
      <c r="M10" s="125"/>
      <c r="N10" s="125"/>
      <c r="O10" s="125"/>
      <c r="P10" s="125"/>
      <c r="Q10" s="125"/>
      <c r="R10" s="125"/>
      <c r="S10" s="126"/>
    </row>
    <row r="11" spans="1:22" ht="6" customHeight="1" x14ac:dyDescent="0.15">
      <c r="B11" s="98"/>
      <c r="C11" s="98"/>
      <c r="D11" s="98"/>
      <c r="E11" s="98"/>
      <c r="F11" s="98"/>
      <c r="G11" s="98"/>
      <c r="H11" s="98"/>
      <c r="I11" s="98"/>
      <c r="J11" s="98"/>
      <c r="K11" s="10"/>
      <c r="L11" s="98"/>
      <c r="M11" s="98"/>
      <c r="N11" s="98"/>
      <c r="O11" s="98"/>
      <c r="P11" s="98"/>
      <c r="Q11" s="98"/>
      <c r="R11" s="98"/>
      <c r="S11" s="98"/>
    </row>
    <row r="12" spans="1:22" ht="18" customHeight="1" x14ac:dyDescent="0.15">
      <c r="A12" s="97" t="s">
        <v>11</v>
      </c>
      <c r="B12" s="98"/>
      <c r="C12" s="98"/>
      <c r="D12" s="95"/>
      <c r="E12" s="95"/>
      <c r="F12" s="95"/>
      <c r="G12" s="95"/>
      <c r="H12" s="95"/>
      <c r="I12" s="95"/>
      <c r="J12" s="95"/>
      <c r="K12" s="38"/>
      <c r="L12" s="38"/>
      <c r="M12" s="38"/>
      <c r="N12" s="38"/>
      <c r="O12" s="38"/>
      <c r="P12" s="38"/>
      <c r="Q12" s="38"/>
      <c r="R12" s="38"/>
      <c r="S12" s="38"/>
    </row>
    <row r="13" spans="1:22" ht="18" customHeight="1" x14ac:dyDescent="0.15">
      <c r="B13" s="100" t="s">
        <v>63</v>
      </c>
      <c r="C13" s="101"/>
      <c r="D13" s="101"/>
      <c r="E13" s="101"/>
      <c r="F13" s="101"/>
      <c r="G13" s="101"/>
      <c r="H13" s="101"/>
      <c r="I13" s="101"/>
      <c r="J13" s="101"/>
      <c r="K13" s="101"/>
      <c r="L13" s="101"/>
      <c r="M13" s="101"/>
      <c r="N13" s="101"/>
      <c r="O13" s="101"/>
      <c r="P13" s="101"/>
      <c r="Q13" s="101"/>
      <c r="R13" s="101"/>
      <c r="S13" s="102"/>
      <c r="V13" s="97" t="s">
        <v>13</v>
      </c>
    </row>
    <row r="14" spans="1:22" ht="18" customHeight="1" x14ac:dyDescent="0.15">
      <c r="B14" s="103"/>
      <c r="C14" s="104"/>
      <c r="D14" s="104"/>
      <c r="E14" s="104"/>
      <c r="F14" s="104"/>
      <c r="G14" s="104"/>
      <c r="H14" s="104"/>
      <c r="I14" s="104"/>
      <c r="J14" s="104"/>
      <c r="K14" s="104"/>
      <c r="L14" s="104"/>
      <c r="M14" s="104"/>
      <c r="N14" s="104"/>
      <c r="O14" s="104"/>
      <c r="P14" s="104"/>
      <c r="Q14" s="104"/>
      <c r="R14" s="104"/>
      <c r="S14" s="105"/>
      <c r="V14" s="97" t="s">
        <v>14</v>
      </c>
    </row>
    <row r="15" spans="1:22" ht="18" customHeight="1" x14ac:dyDescent="0.15">
      <c r="B15" s="103"/>
      <c r="C15" s="104"/>
      <c r="D15" s="104"/>
      <c r="E15" s="104"/>
      <c r="F15" s="104"/>
      <c r="G15" s="104"/>
      <c r="H15" s="104"/>
      <c r="I15" s="104"/>
      <c r="J15" s="104"/>
      <c r="K15" s="104"/>
      <c r="L15" s="104"/>
      <c r="M15" s="104"/>
      <c r="N15" s="104"/>
      <c r="O15" s="104"/>
      <c r="P15" s="104"/>
      <c r="Q15" s="104"/>
      <c r="R15" s="104"/>
      <c r="S15" s="105"/>
      <c r="V15" s="97" t="s">
        <v>15</v>
      </c>
    </row>
    <row r="16" spans="1:22" ht="18" customHeight="1" x14ac:dyDescent="0.15">
      <c r="B16" s="103"/>
      <c r="C16" s="104"/>
      <c r="D16" s="104"/>
      <c r="E16" s="104"/>
      <c r="F16" s="104"/>
      <c r="G16" s="104"/>
      <c r="H16" s="104"/>
      <c r="I16" s="104"/>
      <c r="J16" s="104"/>
      <c r="K16" s="104"/>
      <c r="L16" s="104"/>
      <c r="M16" s="104"/>
      <c r="N16" s="104"/>
      <c r="O16" s="104"/>
      <c r="P16" s="104"/>
      <c r="Q16" s="104"/>
      <c r="R16" s="104"/>
      <c r="S16" s="105"/>
      <c r="V16" s="97" t="s">
        <v>16</v>
      </c>
    </row>
    <row r="17" spans="1:19" ht="18" customHeight="1" x14ac:dyDescent="0.15">
      <c r="B17" s="103"/>
      <c r="C17" s="104"/>
      <c r="D17" s="104"/>
      <c r="E17" s="104"/>
      <c r="F17" s="104"/>
      <c r="G17" s="104"/>
      <c r="H17" s="104"/>
      <c r="I17" s="104"/>
      <c r="J17" s="104"/>
      <c r="K17" s="104"/>
      <c r="L17" s="104"/>
      <c r="M17" s="104"/>
      <c r="N17" s="104"/>
      <c r="O17" s="104"/>
      <c r="P17" s="104"/>
      <c r="Q17" s="104"/>
      <c r="R17" s="104"/>
      <c r="S17" s="105"/>
    </row>
    <row r="18" spans="1:19" ht="18" customHeight="1" x14ac:dyDescent="0.15">
      <c r="B18" s="106"/>
      <c r="C18" s="107"/>
      <c r="D18" s="107"/>
      <c r="E18" s="107"/>
      <c r="F18" s="107"/>
      <c r="G18" s="107"/>
      <c r="H18" s="107"/>
      <c r="I18" s="107"/>
      <c r="J18" s="107"/>
      <c r="K18" s="107"/>
      <c r="L18" s="107"/>
      <c r="M18" s="107"/>
      <c r="N18" s="107"/>
      <c r="O18" s="107"/>
      <c r="P18" s="107"/>
      <c r="Q18" s="107"/>
      <c r="R18" s="107"/>
      <c r="S18" s="108"/>
    </row>
    <row r="19" spans="1:19" ht="7.5" customHeight="1" x14ac:dyDescent="0.15">
      <c r="B19" s="98"/>
      <c r="C19" s="98"/>
      <c r="D19" s="98"/>
      <c r="E19" s="98"/>
      <c r="F19" s="98"/>
      <c r="G19" s="98"/>
      <c r="H19" s="98"/>
      <c r="I19" s="98"/>
      <c r="J19" s="98"/>
      <c r="K19" s="98"/>
      <c r="L19" s="98"/>
      <c r="M19" s="98"/>
      <c r="N19" s="98"/>
      <c r="O19" s="98"/>
      <c r="P19" s="98"/>
      <c r="Q19" s="98"/>
      <c r="R19" s="98"/>
      <c r="S19" s="98"/>
    </row>
    <row r="20" spans="1:19" ht="19.899999999999999" customHeight="1" x14ac:dyDescent="0.15">
      <c r="B20" s="97" t="s">
        <v>17</v>
      </c>
      <c r="C20" s="109">
        <v>3</v>
      </c>
      <c r="D20" s="110"/>
      <c r="E20" s="39" t="s">
        <v>18</v>
      </c>
      <c r="G20" s="10"/>
      <c r="H20" s="98"/>
      <c r="I20" s="98"/>
      <c r="J20" s="95" t="s">
        <v>19</v>
      </c>
      <c r="K20" s="176" t="s">
        <v>15</v>
      </c>
      <c r="L20" s="177"/>
      <c r="M20" s="177"/>
      <c r="N20" s="177"/>
      <c r="O20" s="177"/>
      <c r="P20" s="177"/>
      <c r="Q20" s="177"/>
      <c r="R20" s="177"/>
      <c r="S20" s="178"/>
    </row>
    <row r="21" spans="1:19" ht="7.5" customHeight="1" x14ac:dyDescent="0.15">
      <c r="B21" s="98"/>
      <c r="C21" s="98"/>
      <c r="D21" s="98"/>
      <c r="E21" s="98"/>
      <c r="F21" s="98"/>
      <c r="G21" s="98"/>
      <c r="H21" s="98"/>
      <c r="I21" s="98"/>
      <c r="J21" s="98"/>
      <c r="K21" s="98"/>
      <c r="L21" s="98"/>
      <c r="M21" s="98"/>
      <c r="N21" s="98"/>
      <c r="O21" s="98"/>
      <c r="P21" s="98"/>
      <c r="Q21" s="98"/>
      <c r="R21" s="98"/>
      <c r="S21" s="98"/>
    </row>
    <row r="22" spans="1:19" ht="18" customHeight="1" x14ac:dyDescent="0.15">
      <c r="A22" s="111" t="s">
        <v>20</v>
      </c>
      <c r="B22" s="111"/>
      <c r="C22" s="111"/>
      <c r="D22" s="111"/>
      <c r="E22" s="111"/>
      <c r="F22" s="111"/>
      <c r="G22" s="111"/>
      <c r="H22" s="111"/>
      <c r="I22" s="111"/>
      <c r="J22" s="111"/>
      <c r="K22" s="111"/>
      <c r="L22" s="111"/>
      <c r="M22" s="111"/>
      <c r="N22" s="111"/>
      <c r="O22" s="111"/>
      <c r="P22" s="111"/>
      <c r="Q22" s="111"/>
      <c r="R22" s="111"/>
      <c r="S22" s="111"/>
    </row>
    <row r="23" spans="1:19" ht="18" customHeight="1" x14ac:dyDescent="0.15">
      <c r="A23" s="111"/>
      <c r="B23" s="111"/>
      <c r="C23" s="111"/>
      <c r="D23" s="111"/>
      <c r="E23" s="111"/>
      <c r="F23" s="111"/>
      <c r="G23" s="111"/>
      <c r="H23" s="111"/>
      <c r="I23" s="111"/>
      <c r="J23" s="111"/>
      <c r="K23" s="111"/>
      <c r="L23" s="111"/>
      <c r="M23" s="111"/>
      <c r="N23" s="111"/>
      <c r="O23" s="111"/>
      <c r="P23" s="111"/>
      <c r="Q23" s="111"/>
      <c r="R23" s="111"/>
      <c r="S23" s="111"/>
    </row>
    <row r="24" spans="1:19" ht="18" customHeight="1" x14ac:dyDescent="0.15">
      <c r="B24" s="109" t="s">
        <v>21</v>
      </c>
      <c r="C24" s="112"/>
      <c r="D24" s="112"/>
      <c r="E24" s="110"/>
      <c r="F24" s="58" t="s">
        <v>22</v>
      </c>
      <c r="G24" s="57" t="s">
        <v>23</v>
      </c>
      <c r="H24" s="21" t="s">
        <v>24</v>
      </c>
      <c r="I24" s="21" t="s">
        <v>25</v>
      </c>
      <c r="J24" s="109" t="s">
        <v>21</v>
      </c>
      <c r="K24" s="112"/>
      <c r="L24" s="112"/>
      <c r="M24" s="112"/>
      <c r="N24" s="112"/>
      <c r="O24" s="110"/>
      <c r="P24" s="58" t="s">
        <v>22</v>
      </c>
      <c r="Q24" s="57" t="s">
        <v>23</v>
      </c>
      <c r="R24" s="21" t="s">
        <v>24</v>
      </c>
      <c r="S24" s="21" t="s">
        <v>25</v>
      </c>
    </row>
    <row r="25" spans="1:19" ht="18" customHeight="1" x14ac:dyDescent="0.15">
      <c r="B25" s="130" t="s">
        <v>26</v>
      </c>
      <c r="C25" s="131"/>
      <c r="D25" s="131"/>
      <c r="E25" s="132"/>
      <c r="F25" s="22">
        <v>2</v>
      </c>
      <c r="G25" s="22" t="s">
        <v>27</v>
      </c>
      <c r="H25" s="22" t="s">
        <v>27</v>
      </c>
      <c r="I25" s="22" t="s">
        <v>27</v>
      </c>
      <c r="J25" s="130"/>
      <c r="K25" s="131"/>
      <c r="L25" s="131"/>
      <c r="M25" s="131"/>
      <c r="N25" s="131"/>
      <c r="O25" s="132"/>
      <c r="P25" s="22"/>
      <c r="Q25" s="22"/>
      <c r="R25" s="22"/>
      <c r="S25" s="22"/>
    </row>
    <row r="26" spans="1:19" ht="18" customHeight="1" x14ac:dyDescent="0.15">
      <c r="B26" s="127"/>
      <c r="C26" s="128"/>
      <c r="D26" s="128"/>
      <c r="E26" s="129"/>
      <c r="F26" s="79"/>
      <c r="G26" s="79"/>
      <c r="H26" s="23"/>
      <c r="I26" s="23"/>
      <c r="J26" s="127"/>
      <c r="K26" s="128"/>
      <c r="L26" s="128"/>
      <c r="M26" s="128"/>
      <c r="N26" s="128"/>
      <c r="O26" s="129"/>
      <c r="P26" s="23"/>
      <c r="Q26" s="23"/>
      <c r="R26" s="23"/>
      <c r="S26" s="23"/>
    </row>
    <row r="27" spans="1:19" ht="18" customHeight="1" x14ac:dyDescent="0.15">
      <c r="B27" s="127"/>
      <c r="C27" s="128"/>
      <c r="D27" s="128"/>
      <c r="E27" s="129"/>
      <c r="F27" s="23"/>
      <c r="G27" s="23"/>
      <c r="H27" s="23"/>
      <c r="I27" s="23"/>
      <c r="J27" s="127"/>
      <c r="K27" s="128"/>
      <c r="L27" s="128"/>
      <c r="M27" s="128"/>
      <c r="N27" s="128"/>
      <c r="O27" s="129"/>
      <c r="P27" s="23"/>
      <c r="Q27" s="23"/>
      <c r="R27" s="23"/>
      <c r="S27" s="23"/>
    </row>
    <row r="28" spans="1:19" ht="18" customHeight="1" x14ac:dyDescent="0.15">
      <c r="B28" s="127"/>
      <c r="C28" s="128"/>
      <c r="D28" s="128"/>
      <c r="E28" s="129"/>
      <c r="F28" s="23"/>
      <c r="G28" s="23"/>
      <c r="H28" s="23"/>
      <c r="I28" s="23"/>
      <c r="J28" s="127"/>
      <c r="K28" s="128"/>
      <c r="L28" s="128"/>
      <c r="M28" s="128"/>
      <c r="N28" s="128"/>
      <c r="O28" s="129"/>
      <c r="P28" s="23"/>
      <c r="Q28" s="23"/>
      <c r="R28" s="23"/>
      <c r="S28" s="23"/>
    </row>
    <row r="29" spans="1:19" ht="18" customHeight="1" x14ac:dyDescent="0.15">
      <c r="B29" s="127"/>
      <c r="C29" s="128"/>
      <c r="D29" s="128"/>
      <c r="E29" s="129"/>
      <c r="F29" s="23"/>
      <c r="G29" s="23"/>
      <c r="H29" s="23"/>
      <c r="I29" s="23"/>
      <c r="J29" s="127"/>
      <c r="K29" s="128"/>
      <c r="L29" s="128"/>
      <c r="M29" s="128"/>
      <c r="N29" s="128"/>
      <c r="O29" s="129"/>
      <c r="P29" s="23"/>
      <c r="Q29" s="23"/>
      <c r="R29" s="23"/>
      <c r="S29" s="23"/>
    </row>
    <row r="30" spans="1:19" ht="18" customHeight="1" x14ac:dyDescent="0.15">
      <c r="A30" s="98"/>
      <c r="B30" s="127"/>
      <c r="C30" s="128"/>
      <c r="D30" s="128"/>
      <c r="E30" s="129"/>
      <c r="F30" s="23"/>
      <c r="G30" s="23"/>
      <c r="H30" s="23"/>
      <c r="I30" s="23"/>
      <c r="J30" s="127"/>
      <c r="K30" s="128"/>
      <c r="L30" s="128"/>
      <c r="M30" s="128"/>
      <c r="N30" s="128"/>
      <c r="O30" s="129"/>
      <c r="P30" s="23"/>
      <c r="Q30" s="23"/>
      <c r="R30" s="23"/>
      <c r="S30" s="23"/>
    </row>
    <row r="31" spans="1:19" ht="18" customHeight="1" x14ac:dyDescent="0.15">
      <c r="A31" s="98"/>
      <c r="B31" s="133"/>
      <c r="C31" s="134"/>
      <c r="D31" s="134"/>
      <c r="E31" s="135"/>
      <c r="F31" s="24"/>
      <c r="G31" s="24"/>
      <c r="H31" s="25"/>
      <c r="I31" s="25"/>
      <c r="J31" s="133"/>
      <c r="K31" s="134"/>
      <c r="L31" s="134"/>
      <c r="M31" s="134"/>
      <c r="N31" s="134"/>
      <c r="O31" s="135"/>
      <c r="P31" s="24"/>
      <c r="Q31" s="24"/>
      <c r="R31" s="25"/>
      <c r="S31" s="25"/>
    </row>
    <row r="32" spans="1:19" ht="7.5" customHeight="1" x14ac:dyDescent="0.15">
      <c r="A32" s="98"/>
      <c r="B32" s="6"/>
      <c r="C32" s="6"/>
      <c r="D32" s="98"/>
      <c r="E32" s="98"/>
      <c r="F32" s="98"/>
      <c r="G32" s="98"/>
      <c r="H32" s="6"/>
      <c r="I32" s="6"/>
      <c r="J32" s="6"/>
      <c r="K32" s="6"/>
      <c r="L32" s="6"/>
      <c r="M32" s="6"/>
      <c r="N32" s="6"/>
      <c r="O32" s="6"/>
      <c r="P32" s="6"/>
      <c r="Q32" s="6"/>
      <c r="R32" s="6"/>
      <c r="S32" s="98"/>
    </row>
    <row r="33" spans="1:19" ht="18" customHeight="1" x14ac:dyDescent="0.15">
      <c r="A33" s="111" t="s">
        <v>28</v>
      </c>
      <c r="B33" s="111"/>
      <c r="C33" s="111"/>
      <c r="D33" s="111"/>
      <c r="E33" s="111"/>
      <c r="F33" s="111"/>
      <c r="G33" s="111"/>
      <c r="H33" s="111"/>
      <c r="I33" s="111"/>
      <c r="J33" s="111"/>
      <c r="K33" s="111"/>
      <c r="L33" s="111"/>
      <c r="M33" s="111"/>
      <c r="N33" s="111"/>
      <c r="O33" s="111"/>
      <c r="P33" s="111"/>
      <c r="Q33" s="111"/>
      <c r="R33" s="111"/>
      <c r="S33" s="111"/>
    </row>
    <row r="34" spans="1:19" ht="18" customHeight="1" x14ac:dyDescent="0.15">
      <c r="A34" s="111"/>
      <c r="B34" s="111"/>
      <c r="C34" s="111"/>
      <c r="D34" s="111"/>
      <c r="E34" s="111"/>
      <c r="F34" s="111"/>
      <c r="G34" s="111"/>
      <c r="H34" s="111"/>
      <c r="I34" s="111"/>
      <c r="J34" s="111"/>
      <c r="K34" s="111"/>
      <c r="L34" s="111"/>
      <c r="M34" s="111"/>
      <c r="N34" s="111"/>
      <c r="O34" s="111"/>
      <c r="P34" s="111"/>
      <c r="Q34" s="111"/>
      <c r="R34" s="111"/>
      <c r="S34" s="111"/>
    </row>
    <row r="35" spans="1:19" ht="18" customHeight="1" x14ac:dyDescent="0.15">
      <c r="B35" s="109" t="s">
        <v>21</v>
      </c>
      <c r="C35" s="112"/>
      <c r="D35" s="112"/>
      <c r="E35" s="110"/>
      <c r="F35" s="58" t="s">
        <v>22</v>
      </c>
      <c r="G35" s="57" t="s">
        <v>23</v>
      </c>
      <c r="H35" s="21" t="s">
        <v>29</v>
      </c>
      <c r="I35" s="21" t="s">
        <v>30</v>
      </c>
      <c r="J35" s="109" t="s">
        <v>21</v>
      </c>
      <c r="K35" s="112"/>
      <c r="L35" s="112"/>
      <c r="M35" s="112"/>
      <c r="N35" s="112"/>
      <c r="O35" s="110"/>
      <c r="P35" s="58" t="s">
        <v>22</v>
      </c>
      <c r="Q35" s="57" t="s">
        <v>23</v>
      </c>
      <c r="R35" s="21" t="s">
        <v>29</v>
      </c>
      <c r="S35" s="21" t="s">
        <v>30</v>
      </c>
    </row>
    <row r="36" spans="1:19" ht="18" customHeight="1" x14ac:dyDescent="0.15">
      <c r="B36" s="130" t="s">
        <v>26</v>
      </c>
      <c r="C36" s="131"/>
      <c r="D36" s="131"/>
      <c r="E36" s="132"/>
      <c r="F36" s="22">
        <v>2</v>
      </c>
      <c r="G36" s="22" t="s">
        <v>27</v>
      </c>
      <c r="H36" s="22" t="s">
        <v>27</v>
      </c>
      <c r="I36" s="22" t="s">
        <v>27</v>
      </c>
      <c r="J36" s="130"/>
      <c r="K36" s="131"/>
      <c r="L36" s="131"/>
      <c r="M36" s="131"/>
      <c r="N36" s="131"/>
      <c r="O36" s="132"/>
      <c r="P36" s="22"/>
      <c r="Q36" s="22"/>
      <c r="R36" s="22"/>
      <c r="S36" s="22"/>
    </row>
    <row r="37" spans="1:19" ht="18" customHeight="1" x14ac:dyDescent="0.15">
      <c r="B37" s="127"/>
      <c r="C37" s="128"/>
      <c r="D37" s="128"/>
      <c r="E37" s="129"/>
      <c r="F37" s="23"/>
      <c r="G37" s="23"/>
      <c r="H37" s="23"/>
      <c r="I37" s="23"/>
      <c r="J37" s="127"/>
      <c r="K37" s="128"/>
      <c r="L37" s="128"/>
      <c r="M37" s="128"/>
      <c r="N37" s="128"/>
      <c r="O37" s="129"/>
      <c r="P37" s="23"/>
      <c r="Q37" s="23"/>
      <c r="R37" s="23"/>
      <c r="S37" s="23"/>
    </row>
    <row r="38" spans="1:19" ht="18" customHeight="1" x14ac:dyDescent="0.15">
      <c r="B38" s="127"/>
      <c r="C38" s="128"/>
      <c r="D38" s="128"/>
      <c r="E38" s="129"/>
      <c r="F38" s="23"/>
      <c r="G38" s="23"/>
      <c r="H38" s="23"/>
      <c r="I38" s="23"/>
      <c r="J38" s="127"/>
      <c r="K38" s="128"/>
      <c r="L38" s="128"/>
      <c r="M38" s="128"/>
      <c r="N38" s="128"/>
      <c r="O38" s="129"/>
      <c r="P38" s="23"/>
      <c r="Q38" s="23"/>
      <c r="R38" s="23"/>
      <c r="S38" s="23"/>
    </row>
    <row r="39" spans="1:19" ht="18" customHeight="1" x14ac:dyDescent="0.15">
      <c r="B39" s="127"/>
      <c r="C39" s="128"/>
      <c r="D39" s="128"/>
      <c r="E39" s="129"/>
      <c r="F39" s="23"/>
      <c r="G39" s="23"/>
      <c r="H39" s="23"/>
      <c r="I39" s="23"/>
      <c r="J39" s="127"/>
      <c r="K39" s="128"/>
      <c r="L39" s="128"/>
      <c r="M39" s="128"/>
      <c r="N39" s="128"/>
      <c r="O39" s="129"/>
      <c r="P39" s="23"/>
      <c r="Q39" s="23"/>
      <c r="R39" s="23"/>
      <c r="S39" s="23"/>
    </row>
    <row r="40" spans="1:19" ht="18" customHeight="1" x14ac:dyDescent="0.15">
      <c r="B40" s="127"/>
      <c r="C40" s="128"/>
      <c r="D40" s="128"/>
      <c r="E40" s="129"/>
      <c r="F40" s="23"/>
      <c r="G40" s="23"/>
      <c r="H40" s="23"/>
      <c r="I40" s="23"/>
      <c r="J40" s="127"/>
      <c r="K40" s="128"/>
      <c r="L40" s="128"/>
      <c r="M40" s="128"/>
      <c r="N40" s="128"/>
      <c r="O40" s="129"/>
      <c r="P40" s="23"/>
      <c r="Q40" s="23"/>
      <c r="R40" s="23"/>
      <c r="S40" s="23"/>
    </row>
    <row r="41" spans="1:19" ht="18" customHeight="1" x14ac:dyDescent="0.15">
      <c r="B41" s="127"/>
      <c r="C41" s="128"/>
      <c r="D41" s="128"/>
      <c r="E41" s="129"/>
      <c r="F41" s="23"/>
      <c r="G41" s="23"/>
      <c r="H41" s="23"/>
      <c r="I41" s="23"/>
      <c r="J41" s="127"/>
      <c r="K41" s="128"/>
      <c r="L41" s="128"/>
      <c r="M41" s="128"/>
      <c r="N41" s="128"/>
      <c r="O41" s="129"/>
      <c r="P41" s="23"/>
      <c r="Q41" s="23"/>
      <c r="R41" s="23"/>
      <c r="S41" s="23"/>
    </row>
    <row r="42" spans="1:19" ht="18" customHeight="1" x14ac:dyDescent="0.15">
      <c r="B42" s="133"/>
      <c r="C42" s="134"/>
      <c r="D42" s="134"/>
      <c r="E42" s="135"/>
      <c r="F42" s="24"/>
      <c r="G42" s="24"/>
      <c r="H42" s="25"/>
      <c r="I42" s="25"/>
      <c r="J42" s="133"/>
      <c r="K42" s="134"/>
      <c r="L42" s="134"/>
      <c r="M42" s="134"/>
      <c r="N42" s="134"/>
      <c r="O42" s="135"/>
      <c r="P42" s="24"/>
      <c r="Q42" s="24"/>
      <c r="R42" s="25"/>
      <c r="S42" s="25"/>
    </row>
    <row r="43" spans="1:19" ht="7.5" customHeight="1" x14ac:dyDescent="0.15">
      <c r="A43" s="98"/>
      <c r="B43" s="6"/>
      <c r="C43" s="6"/>
      <c r="D43" s="98"/>
      <c r="E43" s="98"/>
      <c r="F43" s="98"/>
      <c r="G43" s="98"/>
      <c r="H43" s="6"/>
      <c r="I43" s="6"/>
      <c r="J43" s="6"/>
      <c r="K43" s="6"/>
      <c r="L43" s="6"/>
      <c r="M43" s="6"/>
      <c r="N43" s="6"/>
      <c r="O43" s="6"/>
      <c r="P43" s="6"/>
      <c r="Q43" s="6"/>
      <c r="R43" s="6"/>
      <c r="S43" s="98"/>
    </row>
    <row r="44" spans="1:19" ht="18" customHeight="1" x14ac:dyDescent="0.15">
      <c r="A44" s="111" t="s">
        <v>31</v>
      </c>
      <c r="B44" s="111"/>
      <c r="C44" s="111"/>
      <c r="D44" s="111"/>
      <c r="E44" s="111"/>
      <c r="F44" s="111"/>
      <c r="G44" s="111"/>
      <c r="H44" s="111"/>
      <c r="I44" s="111"/>
      <c r="J44" s="111"/>
      <c r="K44" s="111"/>
      <c r="L44" s="111"/>
      <c r="M44" s="111"/>
      <c r="N44" s="111"/>
      <c r="O44" s="111"/>
      <c r="P44" s="111"/>
      <c r="Q44" s="111"/>
      <c r="R44" s="111"/>
      <c r="S44" s="111"/>
    </row>
    <row r="45" spans="1:19" ht="18" customHeight="1" x14ac:dyDescent="0.15">
      <c r="A45" s="111"/>
      <c r="B45" s="111"/>
      <c r="C45" s="111"/>
      <c r="D45" s="111"/>
      <c r="E45" s="111"/>
      <c r="F45" s="111"/>
      <c r="G45" s="111"/>
      <c r="H45" s="111"/>
      <c r="I45" s="111"/>
      <c r="J45" s="111"/>
      <c r="K45" s="111"/>
      <c r="L45" s="111"/>
      <c r="M45" s="111"/>
      <c r="N45" s="111"/>
      <c r="O45" s="111"/>
      <c r="P45" s="111"/>
      <c r="Q45" s="111"/>
      <c r="R45" s="111"/>
      <c r="S45" s="111"/>
    </row>
    <row r="46" spans="1:19" ht="18" customHeight="1" x14ac:dyDescent="0.15">
      <c r="B46" s="109" t="s">
        <v>21</v>
      </c>
      <c r="C46" s="112"/>
      <c r="D46" s="112"/>
      <c r="E46" s="110"/>
      <c r="F46" s="58" t="s">
        <v>22</v>
      </c>
      <c r="G46" s="57" t="s">
        <v>23</v>
      </c>
      <c r="H46" s="21" t="s">
        <v>32</v>
      </c>
      <c r="I46" s="21" t="s">
        <v>33</v>
      </c>
      <c r="J46" s="109" t="s">
        <v>21</v>
      </c>
      <c r="K46" s="112"/>
      <c r="L46" s="112"/>
      <c r="M46" s="112"/>
      <c r="N46" s="112"/>
      <c r="O46" s="110"/>
      <c r="P46" s="58" t="s">
        <v>22</v>
      </c>
      <c r="Q46" s="57" t="s">
        <v>23</v>
      </c>
      <c r="R46" s="21" t="s">
        <v>32</v>
      </c>
      <c r="S46" s="21" t="s">
        <v>33</v>
      </c>
    </row>
    <row r="47" spans="1:19" ht="18" customHeight="1" x14ac:dyDescent="0.15">
      <c r="A47" s="98"/>
      <c r="B47" s="130" t="s">
        <v>26</v>
      </c>
      <c r="C47" s="131"/>
      <c r="D47" s="131"/>
      <c r="E47" s="132"/>
      <c r="F47" s="22">
        <v>2</v>
      </c>
      <c r="G47" s="22" t="s">
        <v>27</v>
      </c>
      <c r="H47" s="22" t="s">
        <v>27</v>
      </c>
      <c r="I47" s="22" t="s">
        <v>27</v>
      </c>
      <c r="J47" s="130"/>
      <c r="K47" s="131"/>
      <c r="L47" s="131"/>
      <c r="M47" s="131"/>
      <c r="N47" s="131"/>
      <c r="O47" s="132"/>
      <c r="P47" s="22"/>
      <c r="Q47" s="22"/>
      <c r="R47" s="22"/>
      <c r="S47" s="22"/>
    </row>
    <row r="48" spans="1:19" ht="18" customHeight="1" x14ac:dyDescent="0.15">
      <c r="A48" s="98"/>
      <c r="B48" s="127" t="s">
        <v>64</v>
      </c>
      <c r="C48" s="128"/>
      <c r="D48" s="128"/>
      <c r="E48" s="129"/>
      <c r="F48" s="23">
        <v>1</v>
      </c>
      <c r="G48" s="23"/>
      <c r="H48" s="23" t="s">
        <v>27</v>
      </c>
      <c r="I48" s="23" t="s">
        <v>27</v>
      </c>
      <c r="J48" s="127"/>
      <c r="K48" s="128"/>
      <c r="L48" s="128"/>
      <c r="M48" s="128"/>
      <c r="N48" s="128"/>
      <c r="O48" s="129"/>
      <c r="P48" s="23"/>
      <c r="Q48" s="23"/>
      <c r="R48" s="23"/>
      <c r="S48" s="23"/>
    </row>
    <row r="49" spans="1:19" ht="18" customHeight="1" x14ac:dyDescent="0.15">
      <c r="A49" s="98"/>
      <c r="B49" s="127"/>
      <c r="C49" s="128"/>
      <c r="D49" s="128"/>
      <c r="E49" s="129"/>
      <c r="F49" s="23"/>
      <c r="G49" s="23"/>
      <c r="H49" s="23"/>
      <c r="I49" s="23"/>
      <c r="J49" s="127"/>
      <c r="K49" s="128"/>
      <c r="L49" s="128"/>
      <c r="M49" s="128"/>
      <c r="N49" s="128"/>
      <c r="O49" s="129"/>
      <c r="P49" s="23"/>
      <c r="Q49" s="23"/>
      <c r="R49" s="23"/>
      <c r="S49" s="23"/>
    </row>
    <row r="50" spans="1:19" ht="18" customHeight="1" x14ac:dyDescent="0.15">
      <c r="A50" s="98"/>
      <c r="B50" s="127"/>
      <c r="C50" s="128"/>
      <c r="D50" s="128"/>
      <c r="E50" s="129"/>
      <c r="F50" s="23"/>
      <c r="G50" s="23"/>
      <c r="H50" s="23"/>
      <c r="I50" s="23"/>
      <c r="J50" s="127"/>
      <c r="K50" s="128"/>
      <c r="L50" s="128"/>
      <c r="M50" s="128"/>
      <c r="N50" s="128"/>
      <c r="O50" s="129"/>
      <c r="P50" s="23"/>
      <c r="Q50" s="23"/>
      <c r="R50" s="23"/>
      <c r="S50" s="23"/>
    </row>
    <row r="51" spans="1:19" ht="18" customHeight="1" x14ac:dyDescent="0.15">
      <c r="A51" s="98"/>
      <c r="B51" s="127"/>
      <c r="C51" s="128"/>
      <c r="D51" s="128"/>
      <c r="E51" s="129"/>
      <c r="F51" s="23"/>
      <c r="G51" s="23"/>
      <c r="H51" s="23"/>
      <c r="I51" s="23"/>
      <c r="J51" s="127"/>
      <c r="K51" s="128"/>
      <c r="L51" s="128"/>
      <c r="M51" s="128"/>
      <c r="N51" s="128"/>
      <c r="O51" s="129"/>
      <c r="P51" s="23"/>
      <c r="Q51" s="23"/>
      <c r="R51" s="23"/>
      <c r="S51" s="23"/>
    </row>
    <row r="52" spans="1:19" ht="18" customHeight="1" x14ac:dyDescent="0.15">
      <c r="A52" s="98"/>
      <c r="B52" s="127"/>
      <c r="C52" s="128"/>
      <c r="D52" s="128"/>
      <c r="E52" s="129"/>
      <c r="F52" s="23"/>
      <c r="G52" s="23"/>
      <c r="H52" s="23"/>
      <c r="I52" s="23"/>
      <c r="J52" s="127"/>
      <c r="K52" s="128"/>
      <c r="L52" s="128"/>
      <c r="M52" s="128"/>
      <c r="N52" s="128"/>
      <c r="O52" s="129"/>
      <c r="P52" s="23"/>
      <c r="Q52" s="23"/>
      <c r="R52" s="23"/>
      <c r="S52" s="23"/>
    </row>
    <row r="53" spans="1:19" ht="18" customHeight="1" x14ac:dyDescent="0.15">
      <c r="A53" s="98"/>
      <c r="B53" s="133"/>
      <c r="C53" s="134"/>
      <c r="D53" s="134"/>
      <c r="E53" s="135"/>
      <c r="F53" s="24"/>
      <c r="G53" s="24"/>
      <c r="H53" s="25"/>
      <c r="I53" s="25"/>
      <c r="J53" s="133"/>
      <c r="K53" s="134"/>
      <c r="L53" s="134"/>
      <c r="M53" s="134"/>
      <c r="N53" s="134"/>
      <c r="O53" s="135"/>
      <c r="P53" s="24"/>
      <c r="Q53" s="24"/>
      <c r="R53" s="25"/>
      <c r="S53" s="25"/>
    </row>
    <row r="54" spans="1:19" ht="7.5" customHeight="1" x14ac:dyDescent="0.15">
      <c r="B54" s="99"/>
      <c r="C54" s="99"/>
      <c r="D54" s="99"/>
      <c r="E54" s="99"/>
      <c r="F54" s="99"/>
      <c r="G54" s="99"/>
      <c r="H54" s="99"/>
      <c r="I54" s="99"/>
      <c r="J54" s="99"/>
      <c r="K54" s="99"/>
      <c r="L54" s="99"/>
      <c r="M54" s="99"/>
      <c r="N54" s="99"/>
      <c r="O54" s="99"/>
      <c r="P54" s="99"/>
      <c r="Q54" s="99"/>
      <c r="R54" s="99"/>
    </row>
    <row r="55" spans="1:19" ht="18" customHeight="1" x14ac:dyDescent="0.15">
      <c r="A55" s="111" t="s">
        <v>34</v>
      </c>
      <c r="B55" s="111"/>
      <c r="C55" s="111"/>
      <c r="D55" s="111"/>
      <c r="E55" s="111"/>
      <c r="F55" s="111"/>
      <c r="G55" s="111"/>
      <c r="H55" s="111"/>
      <c r="I55" s="111"/>
      <c r="J55" s="111"/>
      <c r="K55" s="111"/>
      <c r="L55" s="111"/>
      <c r="M55" s="111"/>
      <c r="N55" s="111"/>
      <c r="O55" s="111"/>
      <c r="P55" s="111"/>
      <c r="Q55" s="111"/>
      <c r="R55" s="111"/>
      <c r="S55" s="111"/>
    </row>
    <row r="56" spans="1:19" ht="18" customHeight="1" x14ac:dyDescent="0.15">
      <c r="A56" s="111"/>
      <c r="B56" s="111"/>
      <c r="C56" s="111"/>
      <c r="D56" s="111"/>
      <c r="E56" s="111"/>
      <c r="F56" s="111"/>
      <c r="G56" s="111"/>
      <c r="H56" s="111"/>
      <c r="I56" s="111"/>
      <c r="J56" s="111"/>
      <c r="K56" s="111"/>
      <c r="L56" s="111"/>
      <c r="M56" s="111"/>
      <c r="N56" s="111"/>
      <c r="O56" s="111"/>
      <c r="P56" s="111"/>
      <c r="Q56" s="111"/>
      <c r="R56" s="111"/>
      <c r="S56" s="111"/>
    </row>
    <row r="57" spans="1:19" ht="18" customHeight="1" x14ac:dyDescent="0.15">
      <c r="B57" s="109" t="s">
        <v>21</v>
      </c>
      <c r="C57" s="112"/>
      <c r="D57" s="112"/>
      <c r="E57" s="110"/>
      <c r="F57" s="58" t="s">
        <v>22</v>
      </c>
      <c r="G57" s="57" t="s">
        <v>23</v>
      </c>
      <c r="H57" s="21" t="s">
        <v>35</v>
      </c>
      <c r="I57" s="21" t="s">
        <v>36</v>
      </c>
      <c r="J57" s="109" t="s">
        <v>21</v>
      </c>
      <c r="K57" s="112"/>
      <c r="L57" s="112"/>
      <c r="M57" s="112"/>
      <c r="N57" s="112"/>
      <c r="O57" s="110"/>
      <c r="P57" s="58" t="s">
        <v>22</v>
      </c>
      <c r="Q57" s="57" t="s">
        <v>23</v>
      </c>
      <c r="R57" s="21" t="s">
        <v>35</v>
      </c>
      <c r="S57" s="21" t="s">
        <v>36</v>
      </c>
    </row>
    <row r="58" spans="1:19" ht="18" customHeight="1" x14ac:dyDescent="0.15">
      <c r="A58" s="98"/>
      <c r="B58" s="130" t="s">
        <v>26</v>
      </c>
      <c r="C58" s="131"/>
      <c r="D58" s="131"/>
      <c r="E58" s="132"/>
      <c r="F58" s="22">
        <v>2</v>
      </c>
      <c r="G58" s="22" t="s">
        <v>27</v>
      </c>
      <c r="H58" s="22" t="s">
        <v>27</v>
      </c>
      <c r="I58" s="22" t="s">
        <v>27</v>
      </c>
      <c r="J58" s="130"/>
      <c r="K58" s="131"/>
      <c r="L58" s="131"/>
      <c r="M58" s="131"/>
      <c r="N58" s="131"/>
      <c r="O58" s="132"/>
      <c r="P58" s="22"/>
      <c r="Q58" s="22"/>
      <c r="R58" s="22"/>
      <c r="S58" s="22"/>
    </row>
    <row r="59" spans="1:19" ht="18" customHeight="1" x14ac:dyDescent="0.15">
      <c r="A59" s="98"/>
      <c r="B59" s="127"/>
      <c r="C59" s="128"/>
      <c r="D59" s="128"/>
      <c r="E59" s="129"/>
      <c r="F59" s="23"/>
      <c r="G59" s="23"/>
      <c r="H59" s="23"/>
      <c r="I59" s="23"/>
      <c r="J59" s="127"/>
      <c r="K59" s="128"/>
      <c r="L59" s="128"/>
      <c r="M59" s="128"/>
      <c r="N59" s="128"/>
      <c r="O59" s="129"/>
      <c r="P59" s="23"/>
      <c r="Q59" s="23"/>
      <c r="R59" s="23"/>
      <c r="S59" s="23"/>
    </row>
    <row r="60" spans="1:19" ht="18" customHeight="1" x14ac:dyDescent="0.15">
      <c r="A60" s="98"/>
      <c r="B60" s="127"/>
      <c r="C60" s="128"/>
      <c r="D60" s="128"/>
      <c r="E60" s="129"/>
      <c r="F60" s="23"/>
      <c r="G60" s="23"/>
      <c r="H60" s="23"/>
      <c r="I60" s="23"/>
      <c r="J60" s="127"/>
      <c r="K60" s="128"/>
      <c r="L60" s="128"/>
      <c r="M60" s="128"/>
      <c r="N60" s="128"/>
      <c r="O60" s="129"/>
      <c r="P60" s="23"/>
      <c r="Q60" s="23"/>
      <c r="R60" s="23"/>
      <c r="S60" s="23"/>
    </row>
    <row r="61" spans="1:19" ht="18" customHeight="1" x14ac:dyDescent="0.15">
      <c r="A61" s="98"/>
      <c r="B61" s="127"/>
      <c r="C61" s="128"/>
      <c r="D61" s="128"/>
      <c r="E61" s="129"/>
      <c r="F61" s="23"/>
      <c r="G61" s="23"/>
      <c r="H61" s="23"/>
      <c r="I61" s="23"/>
      <c r="J61" s="127"/>
      <c r="K61" s="128"/>
      <c r="L61" s="128"/>
      <c r="M61" s="128"/>
      <c r="N61" s="128"/>
      <c r="O61" s="129"/>
      <c r="P61" s="23"/>
      <c r="Q61" s="23"/>
      <c r="R61" s="23"/>
      <c r="S61" s="23"/>
    </row>
    <row r="62" spans="1:19" ht="18" customHeight="1" x14ac:dyDescent="0.15">
      <c r="A62" s="98"/>
      <c r="B62" s="127"/>
      <c r="C62" s="128"/>
      <c r="D62" s="128"/>
      <c r="E62" s="129"/>
      <c r="F62" s="23"/>
      <c r="G62" s="23"/>
      <c r="H62" s="23"/>
      <c r="I62" s="23"/>
      <c r="J62" s="127"/>
      <c r="K62" s="128"/>
      <c r="L62" s="128"/>
      <c r="M62" s="128"/>
      <c r="N62" s="128"/>
      <c r="O62" s="129"/>
      <c r="P62" s="23"/>
      <c r="Q62" s="23"/>
      <c r="R62" s="23"/>
      <c r="S62" s="23"/>
    </row>
    <row r="63" spans="1:19" ht="18" customHeight="1" x14ac:dyDescent="0.15">
      <c r="A63" s="98"/>
      <c r="B63" s="127"/>
      <c r="C63" s="128"/>
      <c r="D63" s="128"/>
      <c r="E63" s="129"/>
      <c r="F63" s="23"/>
      <c r="G63" s="23"/>
      <c r="H63" s="23"/>
      <c r="I63" s="23"/>
      <c r="J63" s="127"/>
      <c r="K63" s="128"/>
      <c r="L63" s="128"/>
      <c r="M63" s="128"/>
      <c r="N63" s="128"/>
      <c r="O63" s="129"/>
      <c r="P63" s="23"/>
      <c r="Q63" s="23"/>
      <c r="R63" s="23"/>
      <c r="S63" s="23"/>
    </row>
    <row r="64" spans="1:19" ht="18" customHeight="1" x14ac:dyDescent="0.15">
      <c r="A64" s="98"/>
      <c r="B64" s="133"/>
      <c r="C64" s="134"/>
      <c r="D64" s="134"/>
      <c r="E64" s="135"/>
      <c r="F64" s="24"/>
      <c r="G64" s="24"/>
      <c r="H64" s="25"/>
      <c r="I64" s="25"/>
      <c r="J64" s="133"/>
      <c r="K64" s="134"/>
      <c r="L64" s="134"/>
      <c r="M64" s="134"/>
      <c r="N64" s="134"/>
      <c r="O64" s="135"/>
      <c r="P64" s="24"/>
      <c r="Q64" s="24"/>
      <c r="R64" s="25"/>
      <c r="S64" s="25"/>
    </row>
    <row r="65" spans="1:19" ht="7.5" customHeight="1" x14ac:dyDescent="0.15">
      <c r="B65" s="99"/>
      <c r="C65" s="99"/>
      <c r="D65" s="99"/>
      <c r="E65" s="99"/>
      <c r="F65" s="99"/>
      <c r="G65" s="99"/>
      <c r="H65" s="99"/>
      <c r="I65" s="99"/>
      <c r="J65" s="99"/>
      <c r="K65" s="99"/>
      <c r="L65" s="99"/>
      <c r="M65" s="99"/>
      <c r="N65" s="99"/>
      <c r="O65" s="99"/>
      <c r="P65" s="99"/>
      <c r="Q65" s="99"/>
      <c r="R65" s="99"/>
    </row>
    <row r="66" spans="1:19" ht="18" customHeight="1" x14ac:dyDescent="0.15">
      <c r="A66" s="111" t="s">
        <v>38</v>
      </c>
      <c r="B66" s="111"/>
      <c r="C66" s="111"/>
      <c r="D66" s="111"/>
      <c r="E66" s="111"/>
      <c r="F66" s="111"/>
      <c r="G66" s="111"/>
      <c r="H66" s="111"/>
      <c r="I66" s="111"/>
      <c r="J66" s="111"/>
      <c r="K66" s="111"/>
      <c r="L66" s="111"/>
      <c r="M66" s="111"/>
      <c r="N66" s="111"/>
      <c r="O66" s="111"/>
      <c r="P66" s="111"/>
      <c r="Q66" s="111"/>
      <c r="R66" s="111"/>
      <c r="S66" s="111"/>
    </row>
    <row r="67" spans="1:19" ht="18" customHeight="1" x14ac:dyDescent="0.15">
      <c r="A67" s="111"/>
      <c r="B67" s="111"/>
      <c r="C67" s="111"/>
      <c r="D67" s="111"/>
      <c r="E67" s="111"/>
      <c r="F67" s="111"/>
      <c r="G67" s="111"/>
      <c r="H67" s="111"/>
      <c r="I67" s="111"/>
      <c r="J67" s="111"/>
      <c r="K67" s="111"/>
      <c r="L67" s="111"/>
      <c r="M67" s="111"/>
      <c r="N67" s="111"/>
      <c r="O67" s="111"/>
      <c r="P67" s="111"/>
      <c r="Q67" s="111"/>
      <c r="R67" s="111"/>
      <c r="S67" s="111"/>
    </row>
    <row r="68" spans="1:19" ht="18" customHeight="1" x14ac:dyDescent="0.15">
      <c r="B68" s="109" t="s">
        <v>21</v>
      </c>
      <c r="C68" s="112"/>
      <c r="D68" s="112"/>
      <c r="E68" s="58" t="s">
        <v>22</v>
      </c>
      <c r="F68" s="57" t="s">
        <v>23</v>
      </c>
      <c r="G68" s="21" t="s">
        <v>39</v>
      </c>
      <c r="H68" s="21" t="s">
        <v>40</v>
      </c>
      <c r="I68" s="21" t="s">
        <v>41</v>
      </c>
      <c r="J68" s="109" t="s">
        <v>21</v>
      </c>
      <c r="K68" s="112"/>
      <c r="L68" s="112"/>
      <c r="M68" s="112"/>
      <c r="N68" s="110"/>
      <c r="O68" s="58" t="s">
        <v>22</v>
      </c>
      <c r="P68" s="57" t="s">
        <v>23</v>
      </c>
      <c r="Q68" s="21" t="s">
        <v>39</v>
      </c>
      <c r="R68" s="21" t="s">
        <v>40</v>
      </c>
      <c r="S68" s="21" t="s">
        <v>41</v>
      </c>
    </row>
    <row r="69" spans="1:19" ht="18" customHeight="1" x14ac:dyDescent="0.15">
      <c r="A69" s="98"/>
      <c r="B69" s="130" t="s">
        <v>65</v>
      </c>
      <c r="C69" s="131"/>
      <c r="D69" s="131"/>
      <c r="E69" s="22">
        <v>2</v>
      </c>
      <c r="F69" s="23"/>
      <c r="G69" s="22" t="s">
        <v>27</v>
      </c>
      <c r="H69" s="22" t="s">
        <v>27</v>
      </c>
      <c r="I69" s="22" t="s">
        <v>27</v>
      </c>
      <c r="J69" s="130"/>
      <c r="K69" s="131"/>
      <c r="L69" s="131"/>
      <c r="M69" s="131"/>
      <c r="N69" s="132"/>
      <c r="O69" s="22"/>
      <c r="P69" s="22"/>
      <c r="Q69" s="22"/>
      <c r="R69" s="22"/>
      <c r="S69" s="22"/>
    </row>
    <row r="70" spans="1:19" ht="18" customHeight="1" x14ac:dyDescent="0.15">
      <c r="A70" s="98"/>
      <c r="B70" s="127" t="s">
        <v>66</v>
      </c>
      <c r="C70" s="128"/>
      <c r="D70" s="128"/>
      <c r="E70" s="23">
        <v>2</v>
      </c>
      <c r="F70" s="23"/>
      <c r="G70" s="23" t="s">
        <v>27</v>
      </c>
      <c r="H70" s="23" t="s">
        <v>27</v>
      </c>
      <c r="I70" s="23" t="s">
        <v>27</v>
      </c>
      <c r="J70" s="127"/>
      <c r="K70" s="128"/>
      <c r="L70" s="128"/>
      <c r="M70" s="128"/>
      <c r="N70" s="129"/>
      <c r="O70" s="23"/>
      <c r="P70" s="23"/>
      <c r="Q70" s="23"/>
      <c r="R70" s="23"/>
      <c r="S70" s="23"/>
    </row>
    <row r="71" spans="1:19" ht="18" customHeight="1" x14ac:dyDescent="0.15">
      <c r="A71" s="98"/>
      <c r="B71" s="127" t="s">
        <v>67</v>
      </c>
      <c r="C71" s="128"/>
      <c r="D71" s="128"/>
      <c r="E71" s="23">
        <v>2</v>
      </c>
      <c r="F71" s="23"/>
      <c r="G71" s="23" t="s">
        <v>27</v>
      </c>
      <c r="H71" s="23" t="s">
        <v>27</v>
      </c>
      <c r="I71" s="23" t="s">
        <v>27</v>
      </c>
      <c r="J71" s="127"/>
      <c r="K71" s="128"/>
      <c r="L71" s="128"/>
      <c r="M71" s="128"/>
      <c r="N71" s="129"/>
      <c r="O71" s="23"/>
      <c r="P71" s="23"/>
      <c r="Q71" s="23"/>
      <c r="R71" s="23"/>
      <c r="S71" s="23"/>
    </row>
    <row r="72" spans="1:19" ht="18" customHeight="1" x14ac:dyDescent="0.15">
      <c r="A72" s="98"/>
      <c r="B72" s="127" t="s">
        <v>68</v>
      </c>
      <c r="C72" s="128"/>
      <c r="D72" s="128"/>
      <c r="E72" s="23">
        <v>1</v>
      </c>
      <c r="F72" s="23"/>
      <c r="G72" s="23" t="s">
        <v>27</v>
      </c>
      <c r="H72" s="23" t="s">
        <v>27</v>
      </c>
      <c r="I72" s="23" t="s">
        <v>27</v>
      </c>
      <c r="J72" s="127"/>
      <c r="K72" s="128"/>
      <c r="L72" s="128"/>
      <c r="M72" s="128"/>
      <c r="N72" s="129"/>
      <c r="O72" s="23"/>
      <c r="P72" s="23"/>
      <c r="Q72" s="23"/>
      <c r="R72" s="23"/>
      <c r="S72" s="23"/>
    </row>
    <row r="73" spans="1:19" ht="18" customHeight="1" x14ac:dyDescent="0.15">
      <c r="A73" s="98"/>
      <c r="B73" s="127"/>
      <c r="C73" s="128"/>
      <c r="D73" s="128"/>
      <c r="E73" s="23"/>
      <c r="F73" s="23"/>
      <c r="G73" s="23"/>
      <c r="H73" s="23"/>
      <c r="I73" s="23"/>
      <c r="J73" s="127"/>
      <c r="K73" s="128"/>
      <c r="L73" s="128"/>
      <c r="M73" s="128"/>
      <c r="N73" s="129"/>
      <c r="O73" s="23"/>
      <c r="P73" s="23"/>
      <c r="Q73" s="23"/>
      <c r="R73" s="23"/>
      <c r="S73" s="23"/>
    </row>
    <row r="74" spans="1:19" ht="18" customHeight="1" x14ac:dyDescent="0.15">
      <c r="A74" s="98"/>
      <c r="B74" s="127"/>
      <c r="C74" s="128"/>
      <c r="D74" s="128"/>
      <c r="E74" s="23"/>
      <c r="F74" s="23"/>
      <c r="G74" s="23"/>
      <c r="H74" s="23"/>
      <c r="I74" s="23"/>
      <c r="J74" s="127"/>
      <c r="K74" s="128"/>
      <c r="L74" s="128"/>
      <c r="M74" s="128"/>
      <c r="N74" s="129"/>
      <c r="O74" s="23"/>
      <c r="P74" s="23"/>
      <c r="Q74" s="23"/>
      <c r="R74" s="23"/>
      <c r="S74" s="23"/>
    </row>
    <row r="75" spans="1:19" ht="18" customHeight="1" x14ac:dyDescent="0.15">
      <c r="A75" s="98"/>
      <c r="B75" s="133"/>
      <c r="C75" s="134"/>
      <c r="D75" s="134"/>
      <c r="E75" s="24"/>
      <c r="F75" s="24"/>
      <c r="G75" s="25"/>
      <c r="H75" s="25"/>
      <c r="I75" s="25"/>
      <c r="J75" s="133"/>
      <c r="K75" s="134"/>
      <c r="L75" s="134"/>
      <c r="M75" s="134"/>
      <c r="N75" s="135"/>
      <c r="O75" s="24"/>
      <c r="P75" s="24"/>
      <c r="Q75" s="25"/>
      <c r="R75" s="25"/>
      <c r="S75" s="25"/>
    </row>
    <row r="76" spans="1:19" ht="7.5" customHeight="1" x14ac:dyDescent="0.15">
      <c r="B76" s="99"/>
      <c r="C76" s="99"/>
      <c r="D76" s="99"/>
      <c r="E76" s="99"/>
      <c r="F76" s="99"/>
      <c r="G76" s="99"/>
      <c r="H76" s="99"/>
      <c r="I76" s="99"/>
      <c r="J76" s="99"/>
      <c r="K76" s="99"/>
      <c r="L76" s="99"/>
      <c r="M76" s="99"/>
      <c r="N76" s="99"/>
      <c r="O76" s="99"/>
      <c r="P76" s="99"/>
      <c r="Q76" s="99"/>
      <c r="R76" s="99"/>
    </row>
    <row r="77" spans="1:19" ht="18" customHeight="1" x14ac:dyDescent="0.15">
      <c r="A77" s="97" t="s">
        <v>43</v>
      </c>
      <c r="H77" s="98"/>
      <c r="I77" s="98"/>
      <c r="J77" s="98"/>
      <c r="K77" s="98"/>
      <c r="L77" s="98"/>
      <c r="M77" s="98"/>
      <c r="N77" s="98"/>
      <c r="O77" s="98"/>
      <c r="P77" s="98"/>
      <c r="Q77" s="98"/>
      <c r="R77" s="98"/>
      <c r="S77" s="98"/>
    </row>
    <row r="78" spans="1:19" ht="18" customHeight="1" x14ac:dyDescent="0.15">
      <c r="B78" s="109" t="s">
        <v>21</v>
      </c>
      <c r="C78" s="112"/>
      <c r="D78" s="112"/>
      <c r="E78" s="110"/>
      <c r="F78" s="109" t="s">
        <v>44</v>
      </c>
      <c r="G78" s="112"/>
      <c r="H78" s="112"/>
      <c r="I78" s="110"/>
      <c r="J78" s="136" t="s">
        <v>21</v>
      </c>
      <c r="K78" s="137"/>
      <c r="L78" s="137"/>
      <c r="M78" s="137"/>
      <c r="N78" s="137"/>
      <c r="O78" s="138"/>
      <c r="P78" s="109" t="s">
        <v>44</v>
      </c>
      <c r="Q78" s="112"/>
      <c r="R78" s="112"/>
      <c r="S78" s="110"/>
    </row>
    <row r="79" spans="1:19" ht="18" customHeight="1" x14ac:dyDescent="0.15">
      <c r="A79" s="98"/>
      <c r="B79" s="130"/>
      <c r="C79" s="131"/>
      <c r="D79" s="131"/>
      <c r="E79" s="132"/>
      <c r="F79" s="139"/>
      <c r="G79" s="140"/>
      <c r="H79" s="140"/>
      <c r="I79" s="141"/>
      <c r="J79" s="130"/>
      <c r="K79" s="131"/>
      <c r="L79" s="131"/>
      <c r="M79" s="131"/>
      <c r="N79" s="131"/>
      <c r="O79" s="132"/>
      <c r="P79" s="139"/>
      <c r="Q79" s="140"/>
      <c r="R79" s="140"/>
      <c r="S79" s="141"/>
    </row>
    <row r="80" spans="1:19" ht="18" customHeight="1" x14ac:dyDescent="0.15">
      <c r="A80" s="98"/>
      <c r="B80" s="127"/>
      <c r="C80" s="128"/>
      <c r="D80" s="128"/>
      <c r="E80" s="129"/>
      <c r="F80" s="142"/>
      <c r="G80" s="143"/>
      <c r="H80" s="143"/>
      <c r="I80" s="144"/>
      <c r="J80" s="127"/>
      <c r="K80" s="128"/>
      <c r="L80" s="128"/>
      <c r="M80" s="128"/>
      <c r="N80" s="128"/>
      <c r="O80" s="129"/>
      <c r="P80" s="142"/>
      <c r="Q80" s="143"/>
      <c r="R80" s="143"/>
      <c r="S80" s="144"/>
    </row>
    <row r="81" spans="1:19" ht="18" customHeight="1" x14ac:dyDescent="0.15">
      <c r="A81" s="98"/>
      <c r="B81" s="127"/>
      <c r="C81" s="128"/>
      <c r="D81" s="128"/>
      <c r="E81" s="129"/>
      <c r="F81" s="142"/>
      <c r="G81" s="143"/>
      <c r="H81" s="143"/>
      <c r="I81" s="144"/>
      <c r="J81" s="127"/>
      <c r="K81" s="128"/>
      <c r="L81" s="128"/>
      <c r="M81" s="128"/>
      <c r="N81" s="128"/>
      <c r="O81" s="129"/>
      <c r="P81" s="142"/>
      <c r="Q81" s="143"/>
      <c r="R81" s="143"/>
      <c r="S81" s="144"/>
    </row>
    <row r="82" spans="1:19" ht="18" customHeight="1" x14ac:dyDescent="0.15">
      <c r="A82" s="98"/>
      <c r="B82" s="127"/>
      <c r="C82" s="128"/>
      <c r="D82" s="128"/>
      <c r="E82" s="129"/>
      <c r="F82" s="142"/>
      <c r="G82" s="143"/>
      <c r="H82" s="143"/>
      <c r="I82" s="144"/>
      <c r="J82" s="127"/>
      <c r="K82" s="128"/>
      <c r="L82" s="128"/>
      <c r="M82" s="128"/>
      <c r="N82" s="128"/>
      <c r="O82" s="129"/>
      <c r="P82" s="142"/>
      <c r="Q82" s="143"/>
      <c r="R82" s="143"/>
      <c r="S82" s="144"/>
    </row>
    <row r="83" spans="1:19" ht="18" customHeight="1" x14ac:dyDescent="0.15">
      <c r="A83" s="98"/>
      <c r="B83" s="127"/>
      <c r="C83" s="128"/>
      <c r="D83" s="128"/>
      <c r="E83" s="129"/>
      <c r="F83" s="142"/>
      <c r="G83" s="143"/>
      <c r="H83" s="143"/>
      <c r="I83" s="144"/>
      <c r="J83" s="127"/>
      <c r="K83" s="128"/>
      <c r="L83" s="128"/>
      <c r="M83" s="128"/>
      <c r="N83" s="128"/>
      <c r="O83" s="129"/>
      <c r="P83" s="142"/>
      <c r="Q83" s="143"/>
      <c r="R83" s="143"/>
      <c r="S83" s="144"/>
    </row>
    <row r="84" spans="1:19" ht="18" customHeight="1" x14ac:dyDescent="0.15">
      <c r="A84" s="98"/>
      <c r="B84" s="127"/>
      <c r="C84" s="128"/>
      <c r="D84" s="128"/>
      <c r="E84" s="129"/>
      <c r="F84" s="142"/>
      <c r="G84" s="143"/>
      <c r="H84" s="143"/>
      <c r="I84" s="144"/>
      <c r="J84" s="127"/>
      <c r="K84" s="128"/>
      <c r="L84" s="128"/>
      <c r="M84" s="128"/>
      <c r="N84" s="128"/>
      <c r="O84" s="129"/>
      <c r="P84" s="142"/>
      <c r="Q84" s="143"/>
      <c r="R84" s="143"/>
      <c r="S84" s="144"/>
    </row>
    <row r="85" spans="1:19" ht="18" customHeight="1" x14ac:dyDescent="0.15">
      <c r="A85" s="98"/>
      <c r="B85" s="133"/>
      <c r="C85" s="134"/>
      <c r="D85" s="134"/>
      <c r="E85" s="135"/>
      <c r="F85" s="162"/>
      <c r="G85" s="163"/>
      <c r="H85" s="163"/>
      <c r="I85" s="164"/>
      <c r="J85" s="133"/>
      <c r="K85" s="134"/>
      <c r="L85" s="134"/>
      <c r="M85" s="134"/>
      <c r="N85" s="134"/>
      <c r="O85" s="135"/>
      <c r="P85" s="162"/>
      <c r="Q85" s="163"/>
      <c r="R85" s="163"/>
      <c r="S85" s="164"/>
    </row>
    <row r="86" spans="1:19" ht="18" customHeight="1" x14ac:dyDescent="0.15">
      <c r="A86" s="98"/>
      <c r="B86" s="6"/>
      <c r="C86" s="6"/>
      <c r="D86" s="6"/>
      <c r="E86" s="6"/>
      <c r="F86" s="26"/>
      <c r="G86" s="26"/>
      <c r="H86" s="26"/>
      <c r="I86" s="26"/>
      <c r="J86" s="6"/>
      <c r="K86" s="6"/>
      <c r="L86" s="6"/>
      <c r="M86" s="6"/>
      <c r="N86" s="6"/>
      <c r="O86" s="6"/>
      <c r="P86" s="26"/>
      <c r="Q86" s="26"/>
      <c r="R86" s="26"/>
      <c r="S86" s="26"/>
    </row>
    <row r="87" spans="1:19" ht="18.75" customHeight="1" x14ac:dyDescent="0.15">
      <c r="A87" s="97" t="s">
        <v>45</v>
      </c>
    </row>
    <row r="88" spans="1:19" ht="18.75" customHeight="1" x14ac:dyDescent="0.15">
      <c r="B88" s="145" t="s">
        <v>46</v>
      </c>
      <c r="C88" s="146"/>
      <c r="D88" s="112" t="s">
        <v>47</v>
      </c>
      <c r="E88" s="112"/>
      <c r="F88" s="112"/>
      <c r="G88" s="112"/>
      <c r="H88" s="112"/>
      <c r="I88" s="112"/>
      <c r="J88" s="112"/>
      <c r="K88" s="112"/>
      <c r="L88" s="112"/>
      <c r="M88" s="112"/>
      <c r="N88" s="112"/>
      <c r="O88" s="112"/>
      <c r="P88" s="112"/>
      <c r="Q88" s="112"/>
      <c r="R88" s="112"/>
      <c r="S88" s="110"/>
    </row>
    <row r="89" spans="1:19" ht="97.5" customHeight="1" x14ac:dyDescent="0.15">
      <c r="B89" s="147" t="s">
        <v>48</v>
      </c>
      <c r="C89" s="27" t="s">
        <v>24</v>
      </c>
      <c r="D89" s="149" t="s">
        <v>192</v>
      </c>
      <c r="E89" s="150"/>
      <c r="F89" s="150"/>
      <c r="G89" s="150"/>
      <c r="H89" s="150"/>
      <c r="I89" s="150"/>
      <c r="J89" s="150"/>
      <c r="K89" s="150"/>
      <c r="L89" s="150"/>
      <c r="M89" s="150"/>
      <c r="N89" s="150"/>
      <c r="O89" s="150"/>
      <c r="P89" s="150"/>
      <c r="Q89" s="150"/>
      <c r="R89" s="150"/>
      <c r="S89" s="151"/>
    </row>
    <row r="90" spans="1:19" ht="97.5" customHeight="1" x14ac:dyDescent="0.15">
      <c r="B90" s="148"/>
      <c r="C90" s="28" t="s">
        <v>49</v>
      </c>
      <c r="D90" s="152" t="s">
        <v>191</v>
      </c>
      <c r="E90" s="153"/>
      <c r="F90" s="153"/>
      <c r="G90" s="153"/>
      <c r="H90" s="153"/>
      <c r="I90" s="153"/>
      <c r="J90" s="153"/>
      <c r="K90" s="153"/>
      <c r="L90" s="153"/>
      <c r="M90" s="153"/>
      <c r="N90" s="153"/>
      <c r="O90" s="153"/>
      <c r="P90" s="153"/>
      <c r="Q90" s="153"/>
      <c r="R90" s="153"/>
      <c r="S90" s="154"/>
    </row>
    <row r="91" spans="1:19" ht="97.5" customHeight="1" x14ac:dyDescent="0.15">
      <c r="B91" s="147" t="s">
        <v>50</v>
      </c>
      <c r="C91" s="29" t="s">
        <v>29</v>
      </c>
      <c r="D91" s="156" t="s">
        <v>193</v>
      </c>
      <c r="E91" s="157"/>
      <c r="F91" s="157"/>
      <c r="G91" s="157"/>
      <c r="H91" s="157"/>
      <c r="I91" s="157"/>
      <c r="J91" s="157"/>
      <c r="K91" s="157"/>
      <c r="L91" s="157"/>
      <c r="M91" s="157"/>
      <c r="N91" s="157"/>
      <c r="O91" s="157"/>
      <c r="P91" s="157"/>
      <c r="Q91" s="157"/>
      <c r="R91" s="157"/>
      <c r="S91" s="158"/>
    </row>
    <row r="92" spans="1:19" ht="97.5" customHeight="1" x14ac:dyDescent="0.15">
      <c r="B92" s="155"/>
      <c r="C92" s="30" t="s">
        <v>30</v>
      </c>
      <c r="D92" s="159" t="s">
        <v>194</v>
      </c>
      <c r="E92" s="160"/>
      <c r="F92" s="160"/>
      <c r="G92" s="160"/>
      <c r="H92" s="160"/>
      <c r="I92" s="160"/>
      <c r="J92" s="160"/>
      <c r="K92" s="160"/>
      <c r="L92" s="160"/>
      <c r="M92" s="160"/>
      <c r="N92" s="160"/>
      <c r="O92" s="160"/>
      <c r="P92" s="160"/>
      <c r="Q92" s="160"/>
      <c r="R92" s="160"/>
      <c r="S92" s="161"/>
    </row>
    <row r="93" spans="1:19" ht="97.5" customHeight="1" x14ac:dyDescent="0.15">
      <c r="B93" s="147" t="s">
        <v>51</v>
      </c>
      <c r="C93" s="29" t="s">
        <v>32</v>
      </c>
      <c r="D93" s="156" t="s">
        <v>207</v>
      </c>
      <c r="E93" s="157"/>
      <c r="F93" s="157"/>
      <c r="G93" s="157"/>
      <c r="H93" s="157"/>
      <c r="I93" s="157"/>
      <c r="J93" s="157"/>
      <c r="K93" s="157"/>
      <c r="L93" s="157"/>
      <c r="M93" s="157"/>
      <c r="N93" s="157"/>
      <c r="O93" s="157"/>
      <c r="P93" s="157"/>
      <c r="Q93" s="157"/>
      <c r="R93" s="157"/>
      <c r="S93" s="158"/>
    </row>
    <row r="94" spans="1:19" ht="97.5" customHeight="1" x14ac:dyDescent="0.15">
      <c r="B94" s="155"/>
      <c r="C94" s="31" t="s">
        <v>33</v>
      </c>
      <c r="D94" s="173" t="s">
        <v>208</v>
      </c>
      <c r="E94" s="174"/>
      <c r="F94" s="174"/>
      <c r="G94" s="174"/>
      <c r="H94" s="174"/>
      <c r="I94" s="174"/>
      <c r="J94" s="174"/>
      <c r="K94" s="174"/>
      <c r="L94" s="174"/>
      <c r="M94" s="174"/>
      <c r="N94" s="174"/>
      <c r="O94" s="174"/>
      <c r="P94" s="174"/>
      <c r="Q94" s="174"/>
      <c r="R94" s="174"/>
      <c r="S94" s="175"/>
    </row>
    <row r="95" spans="1:19" ht="97.5" customHeight="1" x14ac:dyDescent="0.15">
      <c r="B95" s="147" t="s">
        <v>52</v>
      </c>
      <c r="C95" s="27" t="s">
        <v>35</v>
      </c>
      <c r="D95" s="149" t="s">
        <v>202</v>
      </c>
      <c r="E95" s="150"/>
      <c r="F95" s="150"/>
      <c r="G95" s="150"/>
      <c r="H95" s="150"/>
      <c r="I95" s="150"/>
      <c r="J95" s="150"/>
      <c r="K95" s="150"/>
      <c r="L95" s="150"/>
      <c r="M95" s="150"/>
      <c r="N95" s="150"/>
      <c r="O95" s="150"/>
      <c r="P95" s="150"/>
      <c r="Q95" s="150"/>
      <c r="R95" s="150"/>
      <c r="S95" s="151"/>
    </row>
    <row r="96" spans="1:19" ht="97.5" customHeight="1" x14ac:dyDescent="0.15">
      <c r="B96" s="155"/>
      <c r="C96" s="30" t="s">
        <v>36</v>
      </c>
      <c r="D96" s="159" t="s">
        <v>203</v>
      </c>
      <c r="E96" s="160"/>
      <c r="F96" s="160"/>
      <c r="G96" s="160"/>
      <c r="H96" s="160"/>
      <c r="I96" s="160"/>
      <c r="J96" s="160"/>
      <c r="K96" s="160"/>
      <c r="L96" s="160"/>
      <c r="M96" s="160"/>
      <c r="N96" s="160"/>
      <c r="O96" s="160"/>
      <c r="P96" s="160"/>
      <c r="Q96" s="160"/>
      <c r="R96" s="160"/>
      <c r="S96" s="161"/>
    </row>
    <row r="97" spans="1:19" ht="138.6" customHeight="1" x14ac:dyDescent="0.15">
      <c r="B97" s="147" t="s">
        <v>53</v>
      </c>
      <c r="C97" s="29" t="s">
        <v>54</v>
      </c>
      <c r="D97" s="165" t="s">
        <v>209</v>
      </c>
      <c r="E97" s="131"/>
      <c r="F97" s="131"/>
      <c r="G97" s="131"/>
      <c r="H97" s="131"/>
      <c r="I97" s="131"/>
      <c r="J97" s="131"/>
      <c r="K97" s="131"/>
      <c r="L97" s="131"/>
      <c r="M97" s="131"/>
      <c r="N97" s="131"/>
      <c r="O97" s="131"/>
      <c r="P97" s="131"/>
      <c r="Q97" s="131"/>
      <c r="R97" s="131"/>
      <c r="S97" s="132"/>
    </row>
    <row r="98" spans="1:19" ht="119.25" customHeight="1" x14ac:dyDescent="0.15">
      <c r="B98" s="148"/>
      <c r="C98" s="32" t="s">
        <v>40</v>
      </c>
      <c r="D98" s="166" t="s">
        <v>210</v>
      </c>
      <c r="E98" s="128"/>
      <c r="F98" s="128"/>
      <c r="G98" s="128"/>
      <c r="H98" s="128"/>
      <c r="I98" s="128"/>
      <c r="J98" s="128"/>
      <c r="K98" s="128"/>
      <c r="L98" s="128"/>
      <c r="M98" s="128"/>
      <c r="N98" s="128"/>
      <c r="O98" s="128"/>
      <c r="P98" s="128"/>
      <c r="Q98" s="128"/>
      <c r="R98" s="128"/>
      <c r="S98" s="129"/>
    </row>
    <row r="99" spans="1:19" ht="119.25" customHeight="1" x14ac:dyDescent="0.15">
      <c r="B99" s="155"/>
      <c r="C99" s="31" t="s">
        <v>41</v>
      </c>
      <c r="D99" s="167" t="s">
        <v>211</v>
      </c>
      <c r="E99" s="168"/>
      <c r="F99" s="168"/>
      <c r="G99" s="168"/>
      <c r="H99" s="168"/>
      <c r="I99" s="168"/>
      <c r="J99" s="168"/>
      <c r="K99" s="168"/>
      <c r="L99" s="168"/>
      <c r="M99" s="168"/>
      <c r="N99" s="168"/>
      <c r="O99" s="168"/>
      <c r="P99" s="168"/>
      <c r="Q99" s="168"/>
      <c r="R99" s="168"/>
      <c r="S99" s="169"/>
    </row>
    <row r="100" spans="1:19" ht="6" customHeight="1" x14ac:dyDescent="0.15"/>
    <row r="101" spans="1:19" ht="18.75" customHeight="1" x14ac:dyDescent="0.15">
      <c r="A101" s="97" t="s">
        <v>55</v>
      </c>
    </row>
    <row r="102" spans="1:19" ht="81.75" customHeight="1" x14ac:dyDescent="0.15">
      <c r="B102" s="170" t="s">
        <v>56</v>
      </c>
      <c r="C102" s="171"/>
      <c r="D102" s="171"/>
      <c r="E102" s="171"/>
      <c r="F102" s="171"/>
      <c r="G102" s="171"/>
      <c r="H102" s="171"/>
      <c r="I102" s="171"/>
      <c r="J102" s="171"/>
      <c r="K102" s="171"/>
      <c r="L102" s="171"/>
      <c r="M102" s="171"/>
      <c r="N102" s="171"/>
      <c r="O102" s="171"/>
      <c r="P102" s="171"/>
      <c r="Q102" s="171"/>
      <c r="R102" s="171"/>
      <c r="S102" s="172"/>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xr:uid="{D69C654C-713C-4780-B1CC-990AC7DBB7E4}">
      <formula1>$V$14:$V$16</formula1>
    </dataValidation>
    <dataValidation type="list" allowBlank="1" showInputMessage="1" showErrorMessage="1" sqref="F79:F86 P79:P86 G79:I80 G83:I86 Q83:S86 Q79:S80" xr:uid="{5AB247B9-6F0C-4C0F-97C5-EBC8F0D1A28D}">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9EF64478-3359-4B93-84CC-0DE17D194D72}">
      <formula1>"学部・学科によって、修了要件は相違する,学部・学科によって、修了要件は相違しない"</formula1>
    </dataValidation>
    <dataValidation type="list" allowBlank="1" showInputMessage="1" showErrorMessage="1" sqref="S32 S43 D32:G32 D43:G43" xr:uid="{1C623EB5-F057-46AE-B9E3-6FDED8649A92}">
      <formula1>"全学開講,一部開講"</formula1>
    </dataValidation>
    <dataValidation type="list" allowBlank="1" showInputMessage="1" showErrorMessage="1" sqref="P69:S75 Q25:S31 G25:I31 Q36:S42 G36:I42 Q47:S53 G58:I64 Q58:S64 G47:I53 F69:I75" xr:uid="{8F6F7556-AA77-4064-B946-98372162FBBB}">
      <formula1>"○"</formula1>
    </dataValidation>
  </dataValidations>
  <printOptions horizontalCentered="1"/>
  <pageMargins left="0.78740157480314965" right="0.78740157480314965" top="0.78740157480314965" bottom="0.19685039370078741" header="0.31496062992125984" footer="0.19685039370078741"/>
  <pageSetup paperSize="9" scale="76"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83206-AA88-4CF2-B9C3-B597F2956954}">
  <sheetPr>
    <pageSetUpPr fitToPage="1"/>
  </sheetPr>
  <dimension ref="A1:V110"/>
  <sheetViews>
    <sheetView showZeros="0" view="pageBreakPreview" zoomScale="90" zoomScaleNormal="100" zoomScaleSheetLayoutView="90" workbookViewId="0"/>
  </sheetViews>
  <sheetFormatPr defaultColWidth="9" defaultRowHeight="18.75" customHeight="1" x14ac:dyDescent="0.15"/>
  <cols>
    <col min="1" max="1" width="2.375" style="97" customWidth="1"/>
    <col min="2" max="2" width="16.375" style="97" customWidth="1"/>
    <col min="3" max="19" width="5.625" style="97" customWidth="1"/>
    <col min="20" max="20" width="9" style="97"/>
    <col min="21" max="21" width="3.625" style="97" customWidth="1"/>
    <col min="22" max="22" width="48.625" style="97" hidden="1" customWidth="1"/>
    <col min="23" max="16384" width="9" style="97"/>
  </cols>
  <sheetData>
    <row r="1" spans="1:22" ht="18.600000000000001" customHeight="1" x14ac:dyDescent="0.15">
      <c r="R1" s="113" t="s">
        <v>69</v>
      </c>
      <c r="S1" s="113"/>
      <c r="T1" s="2" t="s">
        <v>1</v>
      </c>
    </row>
    <row r="2" spans="1:22" ht="18.75" customHeight="1" x14ac:dyDescent="0.15">
      <c r="B2" s="96" t="s">
        <v>2</v>
      </c>
      <c r="C2" s="109" t="s">
        <v>3</v>
      </c>
      <c r="D2" s="112"/>
      <c r="E2" s="112"/>
      <c r="F2" s="112"/>
      <c r="G2" s="112"/>
      <c r="H2" s="112"/>
      <c r="I2" s="110"/>
      <c r="J2" s="95"/>
      <c r="K2" s="6"/>
      <c r="L2" s="6"/>
      <c r="M2" s="6"/>
      <c r="N2" s="6"/>
      <c r="O2" s="6"/>
      <c r="P2" s="6"/>
      <c r="Q2" s="6"/>
      <c r="R2" s="6"/>
      <c r="S2" s="6"/>
    </row>
    <row r="3" spans="1:22" ht="31.5" customHeight="1" x14ac:dyDescent="0.15">
      <c r="B3" s="96" t="s">
        <v>4</v>
      </c>
      <c r="C3" s="114" t="s">
        <v>5</v>
      </c>
      <c r="D3" s="115"/>
      <c r="E3" s="115"/>
      <c r="F3" s="115"/>
      <c r="G3" s="115"/>
      <c r="H3" s="115"/>
      <c r="I3" s="116"/>
      <c r="J3" s="95"/>
      <c r="K3" s="6"/>
      <c r="L3" s="6"/>
      <c r="M3" s="6"/>
      <c r="N3" s="6"/>
      <c r="O3" s="6"/>
      <c r="P3" s="6"/>
      <c r="Q3" s="6"/>
      <c r="R3" s="6"/>
      <c r="S3" s="6"/>
    </row>
    <row r="4" spans="1:22" ht="15" customHeight="1" x14ac:dyDescent="0.15">
      <c r="K4" s="95"/>
      <c r="L4" s="36"/>
      <c r="M4" s="36"/>
      <c r="N4" s="36"/>
      <c r="O4" s="36"/>
      <c r="P4" s="36"/>
      <c r="Q4" s="36"/>
      <c r="R4" s="36"/>
      <c r="S4" s="36"/>
    </row>
    <row r="5" spans="1:22" ht="18" customHeight="1" x14ac:dyDescent="0.15">
      <c r="A5" s="117" t="s">
        <v>6</v>
      </c>
      <c r="B5" s="117"/>
      <c r="C5" s="117"/>
      <c r="D5" s="117"/>
      <c r="E5" s="117"/>
      <c r="F5" s="117"/>
      <c r="G5" s="117"/>
      <c r="H5" s="117"/>
      <c r="I5" s="117"/>
      <c r="J5" s="117"/>
      <c r="K5" s="117"/>
      <c r="L5" s="117"/>
      <c r="M5" s="117"/>
      <c r="N5" s="117"/>
      <c r="O5" s="117"/>
      <c r="P5" s="117"/>
      <c r="Q5" s="117"/>
      <c r="R5" s="117"/>
      <c r="S5" s="117"/>
    </row>
    <row r="6" spans="1:22" ht="15" customHeight="1" x14ac:dyDescent="0.15">
      <c r="B6" s="98"/>
      <c r="C6" s="98"/>
      <c r="D6" s="98"/>
      <c r="E6" s="98"/>
      <c r="F6" s="98"/>
      <c r="G6" s="98"/>
      <c r="H6" s="98"/>
      <c r="I6" s="98"/>
      <c r="J6" s="98"/>
      <c r="K6" s="98"/>
      <c r="L6" s="98"/>
      <c r="M6" s="98"/>
      <c r="N6" s="98"/>
      <c r="O6" s="98"/>
      <c r="P6" s="98"/>
      <c r="Q6" s="98"/>
      <c r="R6" s="98"/>
      <c r="S6" s="98"/>
    </row>
    <row r="7" spans="1:22" ht="18" customHeight="1" x14ac:dyDescent="0.15">
      <c r="A7" s="97" t="s">
        <v>7</v>
      </c>
      <c r="C7" s="98"/>
      <c r="J7" s="37" t="s">
        <v>8</v>
      </c>
      <c r="K7" s="118" t="s">
        <v>9</v>
      </c>
      <c r="L7" s="119"/>
      <c r="M7" s="119"/>
      <c r="N7" s="119"/>
      <c r="O7" s="119"/>
      <c r="P7" s="119"/>
      <c r="Q7" s="119"/>
      <c r="R7" s="119"/>
      <c r="S7" s="120"/>
    </row>
    <row r="8" spans="1:22" ht="6" customHeight="1" x14ac:dyDescent="0.15">
      <c r="B8" s="98"/>
      <c r="C8" s="98"/>
      <c r="D8" s="98"/>
      <c r="E8" s="98"/>
      <c r="F8" s="98"/>
      <c r="G8" s="98"/>
      <c r="H8" s="98"/>
      <c r="I8" s="98"/>
      <c r="J8" s="98"/>
      <c r="K8" s="10"/>
      <c r="L8" s="98"/>
      <c r="M8" s="98"/>
      <c r="N8" s="98"/>
      <c r="O8" s="98"/>
      <c r="P8" s="98"/>
      <c r="Q8" s="98"/>
      <c r="R8" s="98"/>
      <c r="S8" s="98"/>
    </row>
    <row r="9" spans="1:22" ht="18" customHeight="1" x14ac:dyDescent="0.15">
      <c r="B9" s="121" t="s">
        <v>70</v>
      </c>
      <c r="C9" s="122"/>
      <c r="D9" s="122"/>
      <c r="E9" s="122"/>
      <c r="F9" s="122"/>
      <c r="G9" s="122"/>
      <c r="H9" s="122"/>
      <c r="I9" s="122"/>
      <c r="J9" s="122"/>
      <c r="K9" s="122"/>
      <c r="L9" s="122"/>
      <c r="M9" s="122"/>
      <c r="N9" s="122"/>
      <c r="O9" s="122"/>
      <c r="P9" s="122"/>
      <c r="Q9" s="122"/>
      <c r="R9" s="122"/>
      <c r="S9" s="123"/>
    </row>
    <row r="10" spans="1:22" ht="18" customHeight="1" x14ac:dyDescent="0.15">
      <c r="B10" s="124"/>
      <c r="C10" s="125"/>
      <c r="D10" s="125"/>
      <c r="E10" s="125"/>
      <c r="F10" s="125"/>
      <c r="G10" s="125"/>
      <c r="H10" s="125"/>
      <c r="I10" s="125"/>
      <c r="J10" s="125"/>
      <c r="K10" s="125"/>
      <c r="L10" s="125"/>
      <c r="M10" s="125"/>
      <c r="N10" s="125"/>
      <c r="O10" s="125"/>
      <c r="P10" s="125"/>
      <c r="Q10" s="125"/>
      <c r="R10" s="125"/>
      <c r="S10" s="126"/>
    </row>
    <row r="11" spans="1:22" ht="6" customHeight="1" x14ac:dyDescent="0.15">
      <c r="B11" s="98"/>
      <c r="C11" s="98"/>
      <c r="D11" s="98"/>
      <c r="E11" s="98"/>
      <c r="F11" s="98"/>
      <c r="G11" s="98"/>
      <c r="H11" s="98"/>
      <c r="I11" s="98"/>
      <c r="J11" s="98"/>
      <c r="K11" s="10"/>
      <c r="L11" s="98"/>
      <c r="M11" s="98"/>
      <c r="N11" s="98"/>
      <c r="O11" s="98"/>
      <c r="P11" s="98"/>
      <c r="Q11" s="98"/>
      <c r="R11" s="98"/>
      <c r="S11" s="98"/>
    </row>
    <row r="12" spans="1:22" ht="18" customHeight="1" x14ac:dyDescent="0.15">
      <c r="A12" s="97" t="s">
        <v>11</v>
      </c>
      <c r="B12" s="98"/>
      <c r="C12" s="98"/>
      <c r="D12" s="95"/>
      <c r="E12" s="95"/>
      <c r="F12" s="95"/>
      <c r="G12" s="95"/>
      <c r="H12" s="95"/>
      <c r="I12" s="95"/>
      <c r="J12" s="95"/>
      <c r="K12" s="38"/>
      <c r="L12" s="38"/>
      <c r="M12" s="38"/>
      <c r="N12" s="38"/>
      <c r="O12" s="38"/>
      <c r="P12" s="38"/>
      <c r="Q12" s="38"/>
      <c r="R12" s="38"/>
      <c r="S12" s="38"/>
    </row>
    <row r="13" spans="1:22" ht="18" customHeight="1" x14ac:dyDescent="0.15">
      <c r="B13" s="100" t="s">
        <v>71</v>
      </c>
      <c r="C13" s="101"/>
      <c r="D13" s="101"/>
      <c r="E13" s="101"/>
      <c r="F13" s="101"/>
      <c r="G13" s="101"/>
      <c r="H13" s="101"/>
      <c r="I13" s="101"/>
      <c r="J13" s="101"/>
      <c r="K13" s="101"/>
      <c r="L13" s="101"/>
      <c r="M13" s="101"/>
      <c r="N13" s="101"/>
      <c r="O13" s="101"/>
      <c r="P13" s="101"/>
      <c r="Q13" s="101"/>
      <c r="R13" s="101"/>
      <c r="S13" s="102"/>
      <c r="V13" s="97" t="s">
        <v>13</v>
      </c>
    </row>
    <row r="14" spans="1:22" ht="18" customHeight="1" x14ac:dyDescent="0.15">
      <c r="B14" s="103"/>
      <c r="C14" s="104"/>
      <c r="D14" s="104"/>
      <c r="E14" s="104"/>
      <c r="F14" s="104"/>
      <c r="G14" s="104"/>
      <c r="H14" s="104"/>
      <c r="I14" s="104"/>
      <c r="J14" s="104"/>
      <c r="K14" s="104"/>
      <c r="L14" s="104"/>
      <c r="M14" s="104"/>
      <c r="N14" s="104"/>
      <c r="O14" s="104"/>
      <c r="P14" s="104"/>
      <c r="Q14" s="104"/>
      <c r="R14" s="104"/>
      <c r="S14" s="105"/>
      <c r="V14" s="97" t="s">
        <v>14</v>
      </c>
    </row>
    <row r="15" spans="1:22" ht="18" customHeight="1" x14ac:dyDescent="0.15">
      <c r="B15" s="103"/>
      <c r="C15" s="104"/>
      <c r="D15" s="104"/>
      <c r="E15" s="104"/>
      <c r="F15" s="104"/>
      <c r="G15" s="104"/>
      <c r="H15" s="104"/>
      <c r="I15" s="104"/>
      <c r="J15" s="104"/>
      <c r="K15" s="104"/>
      <c r="L15" s="104"/>
      <c r="M15" s="104"/>
      <c r="N15" s="104"/>
      <c r="O15" s="104"/>
      <c r="P15" s="104"/>
      <c r="Q15" s="104"/>
      <c r="R15" s="104"/>
      <c r="S15" s="105"/>
      <c r="V15" s="97" t="s">
        <v>15</v>
      </c>
    </row>
    <row r="16" spans="1:22" ht="18" customHeight="1" x14ac:dyDescent="0.15">
      <c r="B16" s="103"/>
      <c r="C16" s="104"/>
      <c r="D16" s="104"/>
      <c r="E16" s="104"/>
      <c r="F16" s="104"/>
      <c r="G16" s="104"/>
      <c r="H16" s="104"/>
      <c r="I16" s="104"/>
      <c r="J16" s="104"/>
      <c r="K16" s="104"/>
      <c r="L16" s="104"/>
      <c r="M16" s="104"/>
      <c r="N16" s="104"/>
      <c r="O16" s="104"/>
      <c r="P16" s="104"/>
      <c r="Q16" s="104"/>
      <c r="R16" s="104"/>
      <c r="S16" s="105"/>
      <c r="V16" s="97" t="s">
        <v>16</v>
      </c>
    </row>
    <row r="17" spans="1:19" ht="18" customHeight="1" x14ac:dyDescent="0.15">
      <c r="B17" s="103"/>
      <c r="C17" s="104"/>
      <c r="D17" s="104"/>
      <c r="E17" s="104"/>
      <c r="F17" s="104"/>
      <c r="G17" s="104"/>
      <c r="H17" s="104"/>
      <c r="I17" s="104"/>
      <c r="J17" s="104"/>
      <c r="K17" s="104"/>
      <c r="L17" s="104"/>
      <c r="M17" s="104"/>
      <c r="N17" s="104"/>
      <c r="O17" s="104"/>
      <c r="P17" s="104"/>
      <c r="Q17" s="104"/>
      <c r="R17" s="104"/>
      <c r="S17" s="105"/>
    </row>
    <row r="18" spans="1:19" ht="30.75" customHeight="1" x14ac:dyDescent="0.15">
      <c r="B18" s="106"/>
      <c r="C18" s="107"/>
      <c r="D18" s="107"/>
      <c r="E18" s="107"/>
      <c r="F18" s="107"/>
      <c r="G18" s="107"/>
      <c r="H18" s="107"/>
      <c r="I18" s="107"/>
      <c r="J18" s="107"/>
      <c r="K18" s="107"/>
      <c r="L18" s="107"/>
      <c r="M18" s="107"/>
      <c r="N18" s="107"/>
      <c r="O18" s="107"/>
      <c r="P18" s="107"/>
      <c r="Q18" s="107"/>
      <c r="R18" s="107"/>
      <c r="S18" s="108"/>
    </row>
    <row r="19" spans="1:19" ht="7.5" customHeight="1" x14ac:dyDescent="0.15">
      <c r="B19" s="98"/>
      <c r="C19" s="98"/>
      <c r="D19" s="98"/>
      <c r="E19" s="98"/>
      <c r="F19" s="98"/>
      <c r="G19" s="98"/>
      <c r="H19" s="98"/>
      <c r="I19" s="98"/>
      <c r="J19" s="98"/>
      <c r="K19" s="98"/>
      <c r="L19" s="98"/>
      <c r="M19" s="98"/>
      <c r="N19" s="98"/>
      <c r="O19" s="98"/>
      <c r="P19" s="98"/>
      <c r="Q19" s="98"/>
      <c r="R19" s="98"/>
      <c r="S19" s="98"/>
    </row>
    <row r="20" spans="1:19" ht="19.899999999999999" customHeight="1" x14ac:dyDescent="0.15">
      <c r="B20" s="97" t="s">
        <v>17</v>
      </c>
      <c r="C20" s="109">
        <v>4</v>
      </c>
      <c r="D20" s="110"/>
      <c r="E20" s="39" t="s">
        <v>18</v>
      </c>
      <c r="G20" s="10"/>
      <c r="H20" s="98"/>
      <c r="I20" s="98"/>
      <c r="J20" s="95" t="s">
        <v>19</v>
      </c>
      <c r="K20" s="176" t="s">
        <v>15</v>
      </c>
      <c r="L20" s="177"/>
      <c r="M20" s="177"/>
      <c r="N20" s="177"/>
      <c r="O20" s="177"/>
      <c r="P20" s="177"/>
      <c r="Q20" s="177"/>
      <c r="R20" s="177"/>
      <c r="S20" s="178"/>
    </row>
    <row r="21" spans="1:19" ht="7.5" customHeight="1" x14ac:dyDescent="0.15">
      <c r="B21" s="98"/>
      <c r="C21" s="98"/>
      <c r="D21" s="98"/>
      <c r="E21" s="98"/>
      <c r="F21" s="98"/>
      <c r="G21" s="98"/>
      <c r="H21" s="98"/>
      <c r="I21" s="98"/>
      <c r="J21" s="98"/>
      <c r="K21" s="98"/>
      <c r="L21" s="98"/>
      <c r="M21" s="98"/>
      <c r="N21" s="98"/>
      <c r="O21" s="98"/>
      <c r="P21" s="98"/>
      <c r="Q21" s="98"/>
      <c r="R21" s="98"/>
      <c r="S21" s="98"/>
    </row>
    <row r="22" spans="1:19" ht="18" customHeight="1" x14ac:dyDescent="0.15">
      <c r="A22" s="111" t="s">
        <v>20</v>
      </c>
      <c r="B22" s="111"/>
      <c r="C22" s="111"/>
      <c r="D22" s="111"/>
      <c r="E22" s="111"/>
      <c r="F22" s="111"/>
      <c r="G22" s="111"/>
      <c r="H22" s="111"/>
      <c r="I22" s="111"/>
      <c r="J22" s="111"/>
      <c r="K22" s="111"/>
      <c r="L22" s="111"/>
      <c r="M22" s="111"/>
      <c r="N22" s="111"/>
      <c r="O22" s="111"/>
      <c r="P22" s="111"/>
      <c r="Q22" s="111"/>
      <c r="R22" s="111"/>
      <c r="S22" s="111"/>
    </row>
    <row r="23" spans="1:19" ht="18" customHeight="1" x14ac:dyDescent="0.15">
      <c r="A23" s="111"/>
      <c r="B23" s="111"/>
      <c r="C23" s="111"/>
      <c r="D23" s="111"/>
      <c r="E23" s="111"/>
      <c r="F23" s="111"/>
      <c r="G23" s="111"/>
      <c r="H23" s="111"/>
      <c r="I23" s="111"/>
      <c r="J23" s="111"/>
      <c r="K23" s="111"/>
      <c r="L23" s="111"/>
      <c r="M23" s="111"/>
      <c r="N23" s="111"/>
      <c r="O23" s="111"/>
      <c r="P23" s="111"/>
      <c r="Q23" s="111"/>
      <c r="R23" s="111"/>
      <c r="S23" s="111"/>
    </row>
    <row r="24" spans="1:19" ht="18" customHeight="1" x14ac:dyDescent="0.15">
      <c r="B24" s="109" t="s">
        <v>21</v>
      </c>
      <c r="C24" s="112"/>
      <c r="D24" s="112"/>
      <c r="E24" s="110"/>
      <c r="F24" s="58" t="s">
        <v>22</v>
      </c>
      <c r="G24" s="57" t="s">
        <v>23</v>
      </c>
      <c r="H24" s="21" t="s">
        <v>24</v>
      </c>
      <c r="I24" s="21" t="s">
        <v>25</v>
      </c>
      <c r="J24" s="109" t="s">
        <v>21</v>
      </c>
      <c r="K24" s="112"/>
      <c r="L24" s="112"/>
      <c r="M24" s="112"/>
      <c r="N24" s="112"/>
      <c r="O24" s="110"/>
      <c r="P24" s="58" t="s">
        <v>22</v>
      </c>
      <c r="Q24" s="57" t="s">
        <v>23</v>
      </c>
      <c r="R24" s="21" t="s">
        <v>24</v>
      </c>
      <c r="S24" s="21" t="s">
        <v>25</v>
      </c>
    </row>
    <row r="25" spans="1:19" ht="18" customHeight="1" x14ac:dyDescent="0.15">
      <c r="B25" s="130" t="s">
        <v>26</v>
      </c>
      <c r="C25" s="131"/>
      <c r="D25" s="131"/>
      <c r="E25" s="132"/>
      <c r="F25" s="22">
        <v>2</v>
      </c>
      <c r="G25" s="22" t="s">
        <v>27</v>
      </c>
      <c r="H25" s="22" t="s">
        <v>27</v>
      </c>
      <c r="I25" s="22" t="s">
        <v>27</v>
      </c>
      <c r="J25" s="130"/>
      <c r="K25" s="131"/>
      <c r="L25" s="131"/>
      <c r="M25" s="131"/>
      <c r="N25" s="131"/>
      <c r="O25" s="132"/>
      <c r="P25" s="22"/>
      <c r="Q25" s="22"/>
      <c r="R25" s="22"/>
      <c r="S25" s="22"/>
    </row>
    <row r="26" spans="1:19" ht="18" customHeight="1" x14ac:dyDescent="0.15">
      <c r="B26" s="127"/>
      <c r="C26" s="128"/>
      <c r="D26" s="128"/>
      <c r="E26" s="129"/>
      <c r="F26" s="79"/>
      <c r="G26" s="79"/>
      <c r="H26" s="23"/>
      <c r="I26" s="23"/>
      <c r="J26" s="127"/>
      <c r="K26" s="128"/>
      <c r="L26" s="128"/>
      <c r="M26" s="128"/>
      <c r="N26" s="128"/>
      <c r="O26" s="129"/>
      <c r="P26" s="23"/>
      <c r="Q26" s="23"/>
      <c r="R26" s="23"/>
      <c r="S26" s="23"/>
    </row>
    <row r="27" spans="1:19" ht="18" customHeight="1" x14ac:dyDescent="0.15">
      <c r="B27" s="127"/>
      <c r="C27" s="128"/>
      <c r="D27" s="128"/>
      <c r="E27" s="129"/>
      <c r="F27" s="23"/>
      <c r="G27" s="23"/>
      <c r="H27" s="23"/>
      <c r="I27" s="23"/>
      <c r="J27" s="127"/>
      <c r="K27" s="128"/>
      <c r="L27" s="128"/>
      <c r="M27" s="128"/>
      <c r="N27" s="128"/>
      <c r="O27" s="129"/>
      <c r="P27" s="23"/>
      <c r="Q27" s="23"/>
      <c r="R27" s="23"/>
      <c r="S27" s="23"/>
    </row>
    <row r="28" spans="1:19" ht="18" customHeight="1" x14ac:dyDescent="0.15">
      <c r="B28" s="127"/>
      <c r="C28" s="128"/>
      <c r="D28" s="128"/>
      <c r="E28" s="129"/>
      <c r="F28" s="23"/>
      <c r="G28" s="23"/>
      <c r="H28" s="23"/>
      <c r="I28" s="23"/>
      <c r="J28" s="127"/>
      <c r="K28" s="128"/>
      <c r="L28" s="128"/>
      <c r="M28" s="128"/>
      <c r="N28" s="128"/>
      <c r="O28" s="129"/>
      <c r="P28" s="23"/>
      <c r="Q28" s="23"/>
      <c r="R28" s="23"/>
      <c r="S28" s="23"/>
    </row>
    <row r="29" spans="1:19" ht="18" customHeight="1" x14ac:dyDescent="0.15">
      <c r="B29" s="127"/>
      <c r="C29" s="128"/>
      <c r="D29" s="128"/>
      <c r="E29" s="129"/>
      <c r="F29" s="23"/>
      <c r="G29" s="23"/>
      <c r="H29" s="23"/>
      <c r="I29" s="23"/>
      <c r="J29" s="127"/>
      <c r="K29" s="128"/>
      <c r="L29" s="128"/>
      <c r="M29" s="128"/>
      <c r="N29" s="128"/>
      <c r="O29" s="129"/>
      <c r="P29" s="23"/>
      <c r="Q29" s="23"/>
      <c r="R29" s="23"/>
      <c r="S29" s="23"/>
    </row>
    <row r="30" spans="1:19" ht="18" customHeight="1" x14ac:dyDescent="0.15">
      <c r="A30" s="98"/>
      <c r="B30" s="127"/>
      <c r="C30" s="128"/>
      <c r="D30" s="128"/>
      <c r="E30" s="129"/>
      <c r="F30" s="23"/>
      <c r="G30" s="23"/>
      <c r="H30" s="23"/>
      <c r="I30" s="23"/>
      <c r="J30" s="127"/>
      <c r="K30" s="128"/>
      <c r="L30" s="128"/>
      <c r="M30" s="128"/>
      <c r="N30" s="128"/>
      <c r="O30" s="129"/>
      <c r="P30" s="23"/>
      <c r="Q30" s="23"/>
      <c r="R30" s="23"/>
      <c r="S30" s="23"/>
    </row>
    <row r="31" spans="1:19" ht="18" customHeight="1" x14ac:dyDescent="0.15">
      <c r="A31" s="98"/>
      <c r="B31" s="133"/>
      <c r="C31" s="134"/>
      <c r="D31" s="134"/>
      <c r="E31" s="135"/>
      <c r="F31" s="24"/>
      <c r="G31" s="24"/>
      <c r="H31" s="25"/>
      <c r="I31" s="25"/>
      <c r="J31" s="133"/>
      <c r="K31" s="134"/>
      <c r="L31" s="134"/>
      <c r="M31" s="134"/>
      <c r="N31" s="134"/>
      <c r="O31" s="135"/>
      <c r="P31" s="24"/>
      <c r="Q31" s="24"/>
      <c r="R31" s="25"/>
      <c r="S31" s="25"/>
    </row>
    <row r="32" spans="1:19" ht="7.5" customHeight="1" x14ac:dyDescent="0.15">
      <c r="A32" s="98"/>
      <c r="B32" s="6"/>
      <c r="C32" s="6"/>
      <c r="D32" s="98"/>
      <c r="E32" s="98"/>
      <c r="F32" s="98"/>
      <c r="G32" s="98"/>
      <c r="H32" s="6"/>
      <c r="I32" s="6"/>
      <c r="J32" s="6"/>
      <c r="K32" s="6"/>
      <c r="L32" s="6"/>
      <c r="M32" s="6"/>
      <c r="N32" s="6"/>
      <c r="O32" s="6"/>
      <c r="P32" s="6"/>
      <c r="Q32" s="6"/>
      <c r="R32" s="6"/>
      <c r="S32" s="98"/>
    </row>
    <row r="33" spans="1:19" ht="18" customHeight="1" x14ac:dyDescent="0.15">
      <c r="A33" s="111" t="s">
        <v>28</v>
      </c>
      <c r="B33" s="111"/>
      <c r="C33" s="111"/>
      <c r="D33" s="111"/>
      <c r="E33" s="111"/>
      <c r="F33" s="111"/>
      <c r="G33" s="111"/>
      <c r="H33" s="111"/>
      <c r="I33" s="111"/>
      <c r="J33" s="111"/>
      <c r="K33" s="111"/>
      <c r="L33" s="111"/>
      <c r="M33" s="111"/>
      <c r="N33" s="111"/>
      <c r="O33" s="111"/>
      <c r="P33" s="111"/>
      <c r="Q33" s="111"/>
      <c r="R33" s="111"/>
      <c r="S33" s="111"/>
    </row>
    <row r="34" spans="1:19" ht="18" customHeight="1" x14ac:dyDescent="0.15">
      <c r="A34" s="111"/>
      <c r="B34" s="111"/>
      <c r="C34" s="111"/>
      <c r="D34" s="111"/>
      <c r="E34" s="111"/>
      <c r="F34" s="111"/>
      <c r="G34" s="111"/>
      <c r="H34" s="111"/>
      <c r="I34" s="111"/>
      <c r="J34" s="111"/>
      <c r="K34" s="111"/>
      <c r="L34" s="111"/>
      <c r="M34" s="111"/>
      <c r="N34" s="111"/>
      <c r="O34" s="111"/>
      <c r="P34" s="111"/>
      <c r="Q34" s="111"/>
      <c r="R34" s="111"/>
      <c r="S34" s="111"/>
    </row>
    <row r="35" spans="1:19" ht="18" customHeight="1" x14ac:dyDescent="0.15">
      <c r="B35" s="109" t="s">
        <v>21</v>
      </c>
      <c r="C35" s="112"/>
      <c r="D35" s="112"/>
      <c r="E35" s="110"/>
      <c r="F35" s="58" t="s">
        <v>22</v>
      </c>
      <c r="G35" s="57" t="s">
        <v>23</v>
      </c>
      <c r="H35" s="21" t="s">
        <v>29</v>
      </c>
      <c r="I35" s="21" t="s">
        <v>30</v>
      </c>
      <c r="J35" s="109" t="s">
        <v>21</v>
      </c>
      <c r="K35" s="112"/>
      <c r="L35" s="112"/>
      <c r="M35" s="112"/>
      <c r="N35" s="112"/>
      <c r="O35" s="110"/>
      <c r="P35" s="58" t="s">
        <v>22</v>
      </c>
      <c r="Q35" s="57" t="s">
        <v>23</v>
      </c>
      <c r="R35" s="21" t="s">
        <v>29</v>
      </c>
      <c r="S35" s="21" t="s">
        <v>30</v>
      </c>
    </row>
    <row r="36" spans="1:19" ht="18" customHeight="1" x14ac:dyDescent="0.15">
      <c r="B36" s="130" t="s">
        <v>26</v>
      </c>
      <c r="C36" s="131"/>
      <c r="D36" s="131"/>
      <c r="E36" s="132"/>
      <c r="F36" s="22">
        <v>2</v>
      </c>
      <c r="G36" s="22" t="s">
        <v>27</v>
      </c>
      <c r="H36" s="22" t="s">
        <v>27</v>
      </c>
      <c r="I36" s="22" t="s">
        <v>27</v>
      </c>
      <c r="J36" s="130"/>
      <c r="K36" s="131"/>
      <c r="L36" s="131"/>
      <c r="M36" s="131"/>
      <c r="N36" s="131"/>
      <c r="O36" s="132"/>
      <c r="P36" s="22"/>
      <c r="Q36" s="22"/>
      <c r="R36" s="22"/>
      <c r="S36" s="22"/>
    </row>
    <row r="37" spans="1:19" ht="18" customHeight="1" x14ac:dyDescent="0.15">
      <c r="B37" s="127"/>
      <c r="C37" s="128"/>
      <c r="D37" s="128"/>
      <c r="E37" s="129"/>
      <c r="F37" s="23"/>
      <c r="G37" s="23"/>
      <c r="H37" s="23"/>
      <c r="I37" s="23"/>
      <c r="J37" s="127"/>
      <c r="K37" s="128"/>
      <c r="L37" s="128"/>
      <c r="M37" s="128"/>
      <c r="N37" s="128"/>
      <c r="O37" s="129"/>
      <c r="P37" s="23"/>
      <c r="Q37" s="23"/>
      <c r="R37" s="23"/>
      <c r="S37" s="23"/>
    </row>
    <row r="38" spans="1:19" ht="18" customHeight="1" x14ac:dyDescent="0.15">
      <c r="B38" s="127"/>
      <c r="C38" s="128"/>
      <c r="D38" s="128"/>
      <c r="E38" s="129"/>
      <c r="F38" s="23"/>
      <c r="G38" s="23"/>
      <c r="H38" s="23"/>
      <c r="I38" s="23"/>
      <c r="J38" s="127"/>
      <c r="K38" s="128"/>
      <c r="L38" s="128"/>
      <c r="M38" s="128"/>
      <c r="N38" s="128"/>
      <c r="O38" s="129"/>
      <c r="P38" s="23"/>
      <c r="Q38" s="23"/>
      <c r="R38" s="23"/>
      <c r="S38" s="23"/>
    </row>
    <row r="39" spans="1:19" ht="18" customHeight="1" x14ac:dyDescent="0.15">
      <c r="B39" s="127"/>
      <c r="C39" s="128"/>
      <c r="D39" s="128"/>
      <c r="E39" s="129"/>
      <c r="F39" s="23"/>
      <c r="G39" s="23"/>
      <c r="H39" s="23"/>
      <c r="I39" s="23"/>
      <c r="J39" s="127"/>
      <c r="K39" s="128"/>
      <c r="L39" s="128"/>
      <c r="M39" s="128"/>
      <c r="N39" s="128"/>
      <c r="O39" s="129"/>
      <c r="P39" s="23"/>
      <c r="Q39" s="23"/>
      <c r="R39" s="23"/>
      <c r="S39" s="23"/>
    </row>
    <row r="40" spans="1:19" ht="18" customHeight="1" x14ac:dyDescent="0.15">
      <c r="B40" s="127"/>
      <c r="C40" s="128"/>
      <c r="D40" s="128"/>
      <c r="E40" s="129"/>
      <c r="F40" s="23"/>
      <c r="G40" s="23"/>
      <c r="H40" s="23"/>
      <c r="I40" s="23"/>
      <c r="J40" s="127"/>
      <c r="K40" s="128"/>
      <c r="L40" s="128"/>
      <c r="M40" s="128"/>
      <c r="N40" s="128"/>
      <c r="O40" s="129"/>
      <c r="P40" s="23"/>
      <c r="Q40" s="23"/>
      <c r="R40" s="23"/>
      <c r="S40" s="23"/>
    </row>
    <row r="41" spans="1:19" ht="18" customHeight="1" x14ac:dyDescent="0.15">
      <c r="B41" s="127"/>
      <c r="C41" s="128"/>
      <c r="D41" s="128"/>
      <c r="E41" s="129"/>
      <c r="F41" s="23"/>
      <c r="G41" s="23"/>
      <c r="H41" s="23"/>
      <c r="I41" s="23"/>
      <c r="J41" s="127"/>
      <c r="K41" s="128"/>
      <c r="L41" s="128"/>
      <c r="M41" s="128"/>
      <c r="N41" s="128"/>
      <c r="O41" s="129"/>
      <c r="P41" s="23"/>
      <c r="Q41" s="23"/>
      <c r="R41" s="23"/>
      <c r="S41" s="23"/>
    </row>
    <row r="42" spans="1:19" ht="18" customHeight="1" x14ac:dyDescent="0.15">
      <c r="B42" s="133"/>
      <c r="C42" s="134"/>
      <c r="D42" s="134"/>
      <c r="E42" s="135"/>
      <c r="F42" s="24"/>
      <c r="G42" s="24"/>
      <c r="H42" s="25"/>
      <c r="I42" s="25"/>
      <c r="J42" s="133"/>
      <c r="K42" s="134"/>
      <c r="L42" s="134"/>
      <c r="M42" s="134"/>
      <c r="N42" s="134"/>
      <c r="O42" s="135"/>
      <c r="P42" s="24"/>
      <c r="Q42" s="24"/>
      <c r="R42" s="25"/>
      <c r="S42" s="25"/>
    </row>
    <row r="43" spans="1:19" ht="7.5" customHeight="1" x14ac:dyDescent="0.15">
      <c r="A43" s="98"/>
      <c r="B43" s="6"/>
      <c r="C43" s="6"/>
      <c r="D43" s="98"/>
      <c r="E43" s="98"/>
      <c r="F43" s="98"/>
      <c r="G43" s="98"/>
      <c r="H43" s="6"/>
      <c r="I43" s="6"/>
      <c r="J43" s="6"/>
      <c r="K43" s="6"/>
      <c r="L43" s="6"/>
      <c r="M43" s="6"/>
      <c r="N43" s="6"/>
      <c r="O43" s="6"/>
      <c r="P43" s="6"/>
      <c r="Q43" s="6"/>
      <c r="R43" s="6"/>
      <c r="S43" s="98"/>
    </row>
    <row r="44" spans="1:19" ht="18" customHeight="1" x14ac:dyDescent="0.15">
      <c r="A44" s="111" t="s">
        <v>31</v>
      </c>
      <c r="B44" s="111"/>
      <c r="C44" s="111"/>
      <c r="D44" s="111"/>
      <c r="E44" s="111"/>
      <c r="F44" s="111"/>
      <c r="G44" s="111"/>
      <c r="H44" s="111"/>
      <c r="I44" s="111"/>
      <c r="J44" s="111"/>
      <c r="K44" s="111"/>
      <c r="L44" s="111"/>
      <c r="M44" s="111"/>
      <c r="N44" s="111"/>
      <c r="O44" s="111"/>
      <c r="P44" s="111"/>
      <c r="Q44" s="111"/>
      <c r="R44" s="111"/>
      <c r="S44" s="111"/>
    </row>
    <row r="45" spans="1:19" ht="18" customHeight="1" x14ac:dyDescent="0.15">
      <c r="A45" s="111"/>
      <c r="B45" s="111"/>
      <c r="C45" s="111"/>
      <c r="D45" s="111"/>
      <c r="E45" s="111"/>
      <c r="F45" s="111"/>
      <c r="G45" s="111"/>
      <c r="H45" s="111"/>
      <c r="I45" s="111"/>
      <c r="J45" s="111"/>
      <c r="K45" s="111"/>
      <c r="L45" s="111"/>
      <c r="M45" s="111"/>
      <c r="N45" s="111"/>
      <c r="O45" s="111"/>
      <c r="P45" s="111"/>
      <c r="Q45" s="111"/>
      <c r="R45" s="111"/>
      <c r="S45" s="111"/>
    </row>
    <row r="46" spans="1:19" ht="18" customHeight="1" x14ac:dyDescent="0.15">
      <c r="B46" s="109" t="s">
        <v>21</v>
      </c>
      <c r="C46" s="112"/>
      <c r="D46" s="112"/>
      <c r="E46" s="110"/>
      <c r="F46" s="58" t="s">
        <v>22</v>
      </c>
      <c r="G46" s="57" t="s">
        <v>23</v>
      </c>
      <c r="H46" s="21" t="s">
        <v>32</v>
      </c>
      <c r="I46" s="21" t="s">
        <v>33</v>
      </c>
      <c r="J46" s="109" t="s">
        <v>21</v>
      </c>
      <c r="K46" s="112"/>
      <c r="L46" s="112"/>
      <c r="M46" s="112"/>
      <c r="N46" s="112"/>
      <c r="O46" s="110"/>
      <c r="P46" s="58" t="s">
        <v>22</v>
      </c>
      <c r="Q46" s="57" t="s">
        <v>23</v>
      </c>
      <c r="R46" s="21" t="s">
        <v>32</v>
      </c>
      <c r="S46" s="21" t="s">
        <v>33</v>
      </c>
    </row>
    <row r="47" spans="1:19" ht="18" customHeight="1" x14ac:dyDescent="0.15">
      <c r="A47" s="98"/>
      <c r="B47" s="130" t="s">
        <v>26</v>
      </c>
      <c r="C47" s="131"/>
      <c r="D47" s="131"/>
      <c r="E47" s="132"/>
      <c r="F47" s="22">
        <v>2</v>
      </c>
      <c r="G47" s="22" t="s">
        <v>27</v>
      </c>
      <c r="H47" s="22" t="s">
        <v>27</v>
      </c>
      <c r="I47" s="22" t="s">
        <v>27</v>
      </c>
      <c r="J47" s="130"/>
      <c r="K47" s="131"/>
      <c r="L47" s="131"/>
      <c r="M47" s="131"/>
      <c r="N47" s="131"/>
      <c r="O47" s="132"/>
      <c r="P47" s="22"/>
      <c r="Q47" s="22"/>
      <c r="R47" s="22"/>
      <c r="S47" s="22"/>
    </row>
    <row r="48" spans="1:19" ht="18" customHeight="1" x14ac:dyDescent="0.15">
      <c r="A48" s="98"/>
      <c r="B48" s="127"/>
      <c r="C48" s="128"/>
      <c r="D48" s="128"/>
      <c r="E48" s="129"/>
      <c r="F48" s="23"/>
      <c r="G48" s="23"/>
      <c r="H48" s="23"/>
      <c r="I48" s="23"/>
      <c r="J48" s="127"/>
      <c r="K48" s="128"/>
      <c r="L48" s="128"/>
      <c r="M48" s="128"/>
      <c r="N48" s="128"/>
      <c r="O48" s="129"/>
      <c r="P48" s="23"/>
      <c r="Q48" s="23"/>
      <c r="R48" s="23"/>
      <c r="S48" s="23"/>
    </row>
    <row r="49" spans="1:19" ht="18" customHeight="1" x14ac:dyDescent="0.15">
      <c r="A49" s="98"/>
      <c r="B49" s="127"/>
      <c r="C49" s="128"/>
      <c r="D49" s="128"/>
      <c r="E49" s="129"/>
      <c r="F49" s="23"/>
      <c r="G49" s="23"/>
      <c r="H49" s="23"/>
      <c r="I49" s="23"/>
      <c r="J49" s="127"/>
      <c r="K49" s="128"/>
      <c r="L49" s="128"/>
      <c r="M49" s="128"/>
      <c r="N49" s="128"/>
      <c r="O49" s="129"/>
      <c r="P49" s="23"/>
      <c r="Q49" s="23"/>
      <c r="R49" s="23"/>
      <c r="S49" s="23"/>
    </row>
    <row r="50" spans="1:19" ht="18" customHeight="1" x14ac:dyDescent="0.15">
      <c r="A50" s="98"/>
      <c r="B50" s="127"/>
      <c r="C50" s="128"/>
      <c r="D50" s="128"/>
      <c r="E50" s="129"/>
      <c r="F50" s="23"/>
      <c r="G50" s="23"/>
      <c r="H50" s="23"/>
      <c r="I50" s="23"/>
      <c r="J50" s="127"/>
      <c r="K50" s="128"/>
      <c r="L50" s="128"/>
      <c r="M50" s="128"/>
      <c r="N50" s="128"/>
      <c r="O50" s="129"/>
      <c r="P50" s="23"/>
      <c r="Q50" s="23"/>
      <c r="R50" s="23"/>
      <c r="S50" s="23"/>
    </row>
    <row r="51" spans="1:19" ht="18" customHeight="1" x14ac:dyDescent="0.15">
      <c r="A51" s="98"/>
      <c r="B51" s="127"/>
      <c r="C51" s="128"/>
      <c r="D51" s="128"/>
      <c r="E51" s="129"/>
      <c r="F51" s="23"/>
      <c r="G51" s="23"/>
      <c r="H51" s="23"/>
      <c r="I51" s="23"/>
      <c r="J51" s="127"/>
      <c r="K51" s="128"/>
      <c r="L51" s="128"/>
      <c r="M51" s="128"/>
      <c r="N51" s="128"/>
      <c r="O51" s="129"/>
      <c r="P51" s="23"/>
      <c r="Q51" s="23"/>
      <c r="R51" s="23"/>
      <c r="S51" s="23"/>
    </row>
    <row r="52" spans="1:19" ht="18" customHeight="1" x14ac:dyDescent="0.15">
      <c r="A52" s="98"/>
      <c r="B52" s="127"/>
      <c r="C52" s="128"/>
      <c r="D52" s="128"/>
      <c r="E52" s="129"/>
      <c r="F52" s="23"/>
      <c r="G52" s="23"/>
      <c r="H52" s="23"/>
      <c r="I52" s="23"/>
      <c r="J52" s="127"/>
      <c r="K52" s="128"/>
      <c r="L52" s="128"/>
      <c r="M52" s="128"/>
      <c r="N52" s="128"/>
      <c r="O52" s="129"/>
      <c r="P52" s="23"/>
      <c r="Q52" s="23"/>
      <c r="R52" s="23"/>
      <c r="S52" s="23"/>
    </row>
    <row r="53" spans="1:19" ht="18" customHeight="1" x14ac:dyDescent="0.15">
      <c r="A53" s="98"/>
      <c r="B53" s="133"/>
      <c r="C53" s="134"/>
      <c r="D53" s="134"/>
      <c r="E53" s="135"/>
      <c r="F53" s="24"/>
      <c r="G53" s="24"/>
      <c r="H53" s="25"/>
      <c r="I53" s="25"/>
      <c r="J53" s="133"/>
      <c r="K53" s="134"/>
      <c r="L53" s="134"/>
      <c r="M53" s="134"/>
      <c r="N53" s="134"/>
      <c r="O53" s="135"/>
      <c r="P53" s="24"/>
      <c r="Q53" s="24"/>
      <c r="R53" s="25"/>
      <c r="S53" s="25"/>
    </row>
    <row r="54" spans="1:19" ht="7.5" customHeight="1" x14ac:dyDescent="0.15">
      <c r="B54" s="99"/>
      <c r="C54" s="99"/>
      <c r="D54" s="99"/>
      <c r="E54" s="99"/>
      <c r="F54" s="99"/>
      <c r="G54" s="99"/>
      <c r="H54" s="99"/>
      <c r="I54" s="99"/>
      <c r="J54" s="99"/>
      <c r="K54" s="99"/>
      <c r="L54" s="99"/>
      <c r="M54" s="99"/>
      <c r="N54" s="99"/>
      <c r="O54" s="99"/>
      <c r="P54" s="99"/>
      <c r="Q54" s="99"/>
      <c r="R54" s="99"/>
    </row>
    <row r="55" spans="1:19" ht="18" customHeight="1" x14ac:dyDescent="0.15">
      <c r="A55" s="111" t="s">
        <v>34</v>
      </c>
      <c r="B55" s="111"/>
      <c r="C55" s="111"/>
      <c r="D55" s="111"/>
      <c r="E55" s="111"/>
      <c r="F55" s="111"/>
      <c r="G55" s="111"/>
      <c r="H55" s="111"/>
      <c r="I55" s="111"/>
      <c r="J55" s="111"/>
      <c r="K55" s="111"/>
      <c r="L55" s="111"/>
      <c r="M55" s="111"/>
      <c r="N55" s="111"/>
      <c r="O55" s="111"/>
      <c r="P55" s="111"/>
      <c r="Q55" s="111"/>
      <c r="R55" s="111"/>
      <c r="S55" s="111"/>
    </row>
    <row r="56" spans="1:19" ht="18" customHeight="1" x14ac:dyDescent="0.15">
      <c r="A56" s="111"/>
      <c r="B56" s="111"/>
      <c r="C56" s="111"/>
      <c r="D56" s="111"/>
      <c r="E56" s="111"/>
      <c r="F56" s="111"/>
      <c r="G56" s="111"/>
      <c r="H56" s="111"/>
      <c r="I56" s="111"/>
      <c r="J56" s="111"/>
      <c r="K56" s="111"/>
      <c r="L56" s="111"/>
      <c r="M56" s="111"/>
      <c r="N56" s="111"/>
      <c r="O56" s="111"/>
      <c r="P56" s="111"/>
      <c r="Q56" s="111"/>
      <c r="R56" s="111"/>
      <c r="S56" s="111"/>
    </row>
    <row r="57" spans="1:19" ht="18" customHeight="1" x14ac:dyDescent="0.15">
      <c r="B57" s="109" t="s">
        <v>21</v>
      </c>
      <c r="C57" s="112"/>
      <c r="D57" s="112"/>
      <c r="E57" s="110"/>
      <c r="F57" s="58" t="s">
        <v>22</v>
      </c>
      <c r="G57" s="57" t="s">
        <v>23</v>
      </c>
      <c r="H57" s="21" t="s">
        <v>35</v>
      </c>
      <c r="I57" s="21" t="s">
        <v>36</v>
      </c>
      <c r="J57" s="109" t="s">
        <v>21</v>
      </c>
      <c r="K57" s="112"/>
      <c r="L57" s="112"/>
      <c r="M57" s="112"/>
      <c r="N57" s="112"/>
      <c r="O57" s="110"/>
      <c r="P57" s="58" t="s">
        <v>22</v>
      </c>
      <c r="Q57" s="57" t="s">
        <v>23</v>
      </c>
      <c r="R57" s="21" t="s">
        <v>35</v>
      </c>
      <c r="S57" s="21" t="s">
        <v>36</v>
      </c>
    </row>
    <row r="58" spans="1:19" ht="18" customHeight="1" x14ac:dyDescent="0.15">
      <c r="A58" s="98"/>
      <c r="B58" s="130" t="s">
        <v>26</v>
      </c>
      <c r="C58" s="131"/>
      <c r="D58" s="131"/>
      <c r="E58" s="132"/>
      <c r="F58" s="22">
        <v>2</v>
      </c>
      <c r="G58" s="22" t="s">
        <v>27</v>
      </c>
      <c r="H58" s="22" t="s">
        <v>27</v>
      </c>
      <c r="I58" s="22" t="s">
        <v>27</v>
      </c>
      <c r="J58" s="130"/>
      <c r="K58" s="131"/>
      <c r="L58" s="131"/>
      <c r="M58" s="131"/>
      <c r="N58" s="131"/>
      <c r="O58" s="132"/>
      <c r="P58" s="22"/>
      <c r="Q58" s="22"/>
      <c r="R58" s="22"/>
      <c r="S58" s="22"/>
    </row>
    <row r="59" spans="1:19" ht="18" customHeight="1" x14ac:dyDescent="0.15">
      <c r="A59" s="98"/>
      <c r="B59" s="127"/>
      <c r="C59" s="128"/>
      <c r="D59" s="128"/>
      <c r="E59" s="129"/>
      <c r="F59" s="23"/>
      <c r="G59" s="23"/>
      <c r="H59" s="23"/>
      <c r="I59" s="23"/>
      <c r="J59" s="127"/>
      <c r="K59" s="128"/>
      <c r="L59" s="128"/>
      <c r="M59" s="128"/>
      <c r="N59" s="128"/>
      <c r="O59" s="129"/>
      <c r="P59" s="23"/>
      <c r="Q59" s="23"/>
      <c r="R59" s="23"/>
      <c r="S59" s="23"/>
    </row>
    <row r="60" spans="1:19" ht="18" customHeight="1" x14ac:dyDescent="0.15">
      <c r="A60" s="98"/>
      <c r="B60" s="127"/>
      <c r="C60" s="128"/>
      <c r="D60" s="128"/>
      <c r="E60" s="129"/>
      <c r="F60" s="23"/>
      <c r="G60" s="23"/>
      <c r="H60" s="23"/>
      <c r="I60" s="23"/>
      <c r="J60" s="127"/>
      <c r="K60" s="128"/>
      <c r="L60" s="128"/>
      <c r="M60" s="128"/>
      <c r="N60" s="128"/>
      <c r="O60" s="129"/>
      <c r="P60" s="23"/>
      <c r="Q60" s="23"/>
      <c r="R60" s="23"/>
      <c r="S60" s="23"/>
    </row>
    <row r="61" spans="1:19" ht="18" customHeight="1" x14ac:dyDescent="0.15">
      <c r="A61" s="98"/>
      <c r="B61" s="127"/>
      <c r="C61" s="128"/>
      <c r="D61" s="128"/>
      <c r="E61" s="129"/>
      <c r="F61" s="23"/>
      <c r="G61" s="23"/>
      <c r="H61" s="23"/>
      <c r="I61" s="23"/>
      <c r="J61" s="127"/>
      <c r="K61" s="128"/>
      <c r="L61" s="128"/>
      <c r="M61" s="128"/>
      <c r="N61" s="128"/>
      <c r="O61" s="129"/>
      <c r="P61" s="23"/>
      <c r="Q61" s="23"/>
      <c r="R61" s="23"/>
      <c r="S61" s="23"/>
    </row>
    <row r="62" spans="1:19" ht="18" customHeight="1" x14ac:dyDescent="0.15">
      <c r="A62" s="98"/>
      <c r="B62" s="127"/>
      <c r="C62" s="128"/>
      <c r="D62" s="128"/>
      <c r="E62" s="129"/>
      <c r="F62" s="23"/>
      <c r="G62" s="23"/>
      <c r="H62" s="23"/>
      <c r="I62" s="23"/>
      <c r="J62" s="127"/>
      <c r="K62" s="128"/>
      <c r="L62" s="128"/>
      <c r="M62" s="128"/>
      <c r="N62" s="128"/>
      <c r="O62" s="129"/>
      <c r="P62" s="23"/>
      <c r="Q62" s="23"/>
      <c r="R62" s="23"/>
      <c r="S62" s="23"/>
    </row>
    <row r="63" spans="1:19" ht="18" customHeight="1" x14ac:dyDescent="0.15">
      <c r="A63" s="98"/>
      <c r="B63" s="127"/>
      <c r="C63" s="128"/>
      <c r="D63" s="128"/>
      <c r="E63" s="129"/>
      <c r="F63" s="23"/>
      <c r="G63" s="23"/>
      <c r="H63" s="23"/>
      <c r="I63" s="23"/>
      <c r="J63" s="127"/>
      <c r="K63" s="128"/>
      <c r="L63" s="128"/>
      <c r="M63" s="128"/>
      <c r="N63" s="128"/>
      <c r="O63" s="129"/>
      <c r="P63" s="23"/>
      <c r="Q63" s="23"/>
      <c r="R63" s="23"/>
      <c r="S63" s="23"/>
    </row>
    <row r="64" spans="1:19" ht="18" customHeight="1" x14ac:dyDescent="0.15">
      <c r="A64" s="98"/>
      <c r="B64" s="133"/>
      <c r="C64" s="134"/>
      <c r="D64" s="134"/>
      <c r="E64" s="135"/>
      <c r="F64" s="24"/>
      <c r="G64" s="24"/>
      <c r="H64" s="25"/>
      <c r="I64" s="25"/>
      <c r="J64" s="133"/>
      <c r="K64" s="134"/>
      <c r="L64" s="134"/>
      <c r="M64" s="134"/>
      <c r="N64" s="134"/>
      <c r="O64" s="135"/>
      <c r="P64" s="24"/>
      <c r="Q64" s="24"/>
      <c r="R64" s="25"/>
      <c r="S64" s="25"/>
    </row>
    <row r="65" spans="1:19" ht="7.5" customHeight="1" x14ac:dyDescent="0.15">
      <c r="B65" s="99"/>
      <c r="C65" s="99"/>
      <c r="D65" s="99"/>
      <c r="E65" s="99"/>
      <c r="F65" s="99"/>
      <c r="G65" s="99"/>
      <c r="H65" s="99"/>
      <c r="I65" s="99"/>
      <c r="J65" s="99"/>
      <c r="K65" s="99"/>
      <c r="L65" s="99"/>
      <c r="M65" s="99"/>
      <c r="N65" s="99"/>
      <c r="O65" s="99"/>
      <c r="P65" s="99"/>
      <c r="Q65" s="99"/>
      <c r="R65" s="99"/>
    </row>
    <row r="66" spans="1:19" ht="18" customHeight="1" x14ac:dyDescent="0.15">
      <c r="A66" s="111" t="s">
        <v>38</v>
      </c>
      <c r="B66" s="111"/>
      <c r="C66" s="111"/>
      <c r="D66" s="111"/>
      <c r="E66" s="111"/>
      <c r="F66" s="111"/>
      <c r="G66" s="111"/>
      <c r="H66" s="111"/>
      <c r="I66" s="111"/>
      <c r="J66" s="111"/>
      <c r="K66" s="111"/>
      <c r="L66" s="111"/>
      <c r="M66" s="111"/>
      <c r="N66" s="111"/>
      <c r="O66" s="111"/>
      <c r="P66" s="111"/>
      <c r="Q66" s="111"/>
      <c r="R66" s="111"/>
      <c r="S66" s="111"/>
    </row>
    <row r="67" spans="1:19" ht="18" customHeight="1" x14ac:dyDescent="0.15">
      <c r="A67" s="111"/>
      <c r="B67" s="111"/>
      <c r="C67" s="111"/>
      <c r="D67" s="111"/>
      <c r="E67" s="111"/>
      <c r="F67" s="111"/>
      <c r="G67" s="111"/>
      <c r="H67" s="111"/>
      <c r="I67" s="111"/>
      <c r="J67" s="111"/>
      <c r="K67" s="111"/>
      <c r="L67" s="111"/>
      <c r="M67" s="111"/>
      <c r="N67" s="111"/>
      <c r="O67" s="111"/>
      <c r="P67" s="111"/>
      <c r="Q67" s="111"/>
      <c r="R67" s="111"/>
      <c r="S67" s="111"/>
    </row>
    <row r="68" spans="1:19" ht="18" customHeight="1" x14ac:dyDescent="0.15">
      <c r="B68" s="109" t="s">
        <v>21</v>
      </c>
      <c r="C68" s="112"/>
      <c r="D68" s="112"/>
      <c r="E68" s="58" t="s">
        <v>22</v>
      </c>
      <c r="F68" s="57" t="s">
        <v>23</v>
      </c>
      <c r="G68" s="21" t="s">
        <v>39</v>
      </c>
      <c r="H68" s="21" t="s">
        <v>40</v>
      </c>
      <c r="I68" s="21" t="s">
        <v>41</v>
      </c>
      <c r="J68" s="109" t="s">
        <v>21</v>
      </c>
      <c r="K68" s="112"/>
      <c r="L68" s="112"/>
      <c r="M68" s="112"/>
      <c r="N68" s="110"/>
      <c r="O68" s="58" t="s">
        <v>22</v>
      </c>
      <c r="P68" s="57" t="s">
        <v>23</v>
      </c>
      <c r="Q68" s="21" t="s">
        <v>39</v>
      </c>
      <c r="R68" s="21" t="s">
        <v>40</v>
      </c>
      <c r="S68" s="21" t="s">
        <v>41</v>
      </c>
    </row>
    <row r="69" spans="1:19" ht="18" customHeight="1" x14ac:dyDescent="0.15">
      <c r="A69" s="98"/>
      <c r="B69" s="130" t="s">
        <v>72</v>
      </c>
      <c r="C69" s="131"/>
      <c r="D69" s="131"/>
      <c r="E69" s="22">
        <v>2</v>
      </c>
      <c r="F69" s="23"/>
      <c r="G69" s="22" t="s">
        <v>27</v>
      </c>
      <c r="H69" s="22" t="s">
        <v>27</v>
      </c>
      <c r="I69" s="22" t="s">
        <v>27</v>
      </c>
      <c r="J69" s="130"/>
      <c r="K69" s="131"/>
      <c r="L69" s="131"/>
      <c r="M69" s="131"/>
      <c r="N69" s="132"/>
      <c r="O69" s="22"/>
      <c r="P69" s="22"/>
      <c r="Q69" s="22"/>
      <c r="R69" s="22"/>
      <c r="S69" s="22"/>
    </row>
    <row r="70" spans="1:19" ht="18" customHeight="1" x14ac:dyDescent="0.15">
      <c r="A70" s="98"/>
      <c r="B70" s="127" t="s">
        <v>73</v>
      </c>
      <c r="C70" s="128"/>
      <c r="D70" s="128"/>
      <c r="E70" s="23">
        <v>2</v>
      </c>
      <c r="F70" s="23"/>
      <c r="G70" s="23" t="s">
        <v>27</v>
      </c>
      <c r="H70" s="23" t="s">
        <v>27</v>
      </c>
      <c r="I70" s="23" t="s">
        <v>27</v>
      </c>
      <c r="J70" s="127"/>
      <c r="K70" s="128"/>
      <c r="L70" s="128"/>
      <c r="M70" s="128"/>
      <c r="N70" s="129"/>
      <c r="O70" s="23"/>
      <c r="P70" s="23"/>
      <c r="Q70" s="23"/>
      <c r="R70" s="23"/>
      <c r="S70" s="23"/>
    </row>
    <row r="71" spans="1:19" ht="18" customHeight="1" x14ac:dyDescent="0.15">
      <c r="A71" s="98"/>
      <c r="B71" s="127" t="s">
        <v>74</v>
      </c>
      <c r="C71" s="128"/>
      <c r="D71" s="128"/>
      <c r="E71" s="23">
        <v>2</v>
      </c>
      <c r="F71" s="23"/>
      <c r="G71" s="23" t="s">
        <v>27</v>
      </c>
      <c r="H71" s="23" t="s">
        <v>27</v>
      </c>
      <c r="I71" s="23" t="s">
        <v>27</v>
      </c>
      <c r="J71" s="127"/>
      <c r="K71" s="128"/>
      <c r="L71" s="128"/>
      <c r="M71" s="128"/>
      <c r="N71" s="129"/>
      <c r="O71" s="23"/>
      <c r="P71" s="23"/>
      <c r="Q71" s="23"/>
      <c r="R71" s="23"/>
      <c r="S71" s="23"/>
    </row>
    <row r="72" spans="1:19" ht="18" customHeight="1" x14ac:dyDescent="0.15">
      <c r="A72" s="98"/>
      <c r="B72" s="127" t="s">
        <v>75</v>
      </c>
      <c r="C72" s="128"/>
      <c r="D72" s="128"/>
      <c r="E72" s="23">
        <v>2</v>
      </c>
      <c r="F72" s="23"/>
      <c r="G72" s="23" t="s">
        <v>27</v>
      </c>
      <c r="H72" s="23" t="s">
        <v>27</v>
      </c>
      <c r="I72" s="23" t="s">
        <v>27</v>
      </c>
      <c r="J72" s="127"/>
      <c r="K72" s="128"/>
      <c r="L72" s="128"/>
      <c r="M72" s="128"/>
      <c r="N72" s="129"/>
      <c r="O72" s="23"/>
      <c r="P72" s="23"/>
      <c r="Q72" s="23"/>
      <c r="R72" s="23"/>
      <c r="S72" s="23"/>
    </row>
    <row r="73" spans="1:19" ht="18" customHeight="1" x14ac:dyDescent="0.15">
      <c r="A73" s="98"/>
      <c r="B73" s="127" t="s">
        <v>76</v>
      </c>
      <c r="C73" s="128"/>
      <c r="D73" s="128"/>
      <c r="E73" s="23">
        <v>2</v>
      </c>
      <c r="F73" s="23"/>
      <c r="G73" s="23" t="s">
        <v>27</v>
      </c>
      <c r="H73" s="23" t="s">
        <v>27</v>
      </c>
      <c r="I73" s="23" t="s">
        <v>27</v>
      </c>
      <c r="J73" s="127"/>
      <c r="K73" s="128"/>
      <c r="L73" s="128"/>
      <c r="M73" s="128"/>
      <c r="N73" s="129"/>
      <c r="O73" s="23"/>
      <c r="P73" s="23"/>
      <c r="Q73" s="23"/>
      <c r="R73" s="23"/>
      <c r="S73" s="23"/>
    </row>
    <row r="74" spans="1:19" ht="18" customHeight="1" x14ac:dyDescent="0.15">
      <c r="A74" s="98"/>
      <c r="B74" s="127" t="s">
        <v>77</v>
      </c>
      <c r="C74" s="128"/>
      <c r="D74" s="128"/>
      <c r="E74" s="23">
        <v>2</v>
      </c>
      <c r="F74" s="23"/>
      <c r="G74" s="23" t="s">
        <v>27</v>
      </c>
      <c r="H74" s="23" t="s">
        <v>27</v>
      </c>
      <c r="I74" s="23" t="s">
        <v>27</v>
      </c>
      <c r="J74" s="127"/>
      <c r="K74" s="128"/>
      <c r="L74" s="128"/>
      <c r="M74" s="128"/>
      <c r="N74" s="129"/>
      <c r="O74" s="23"/>
      <c r="P74" s="23"/>
      <c r="Q74" s="23"/>
      <c r="R74" s="23"/>
      <c r="S74" s="23"/>
    </row>
    <row r="75" spans="1:19" ht="18" customHeight="1" x14ac:dyDescent="0.15">
      <c r="A75" s="98"/>
      <c r="B75" s="133"/>
      <c r="C75" s="134"/>
      <c r="D75" s="134"/>
      <c r="E75" s="24"/>
      <c r="F75" s="24"/>
      <c r="G75" s="25"/>
      <c r="H75" s="25"/>
      <c r="I75" s="25"/>
      <c r="J75" s="133"/>
      <c r="K75" s="134"/>
      <c r="L75" s="134"/>
      <c r="M75" s="134"/>
      <c r="N75" s="135"/>
      <c r="O75" s="24"/>
      <c r="P75" s="24"/>
      <c r="Q75" s="25"/>
      <c r="R75" s="25"/>
      <c r="S75" s="25"/>
    </row>
    <row r="76" spans="1:19" ht="7.5" customHeight="1" x14ac:dyDescent="0.15">
      <c r="B76" s="99"/>
      <c r="C76" s="99"/>
      <c r="D76" s="99"/>
      <c r="E76" s="99"/>
      <c r="F76" s="99"/>
      <c r="G76" s="99"/>
      <c r="H76" s="99"/>
      <c r="I76" s="99"/>
      <c r="J76" s="99"/>
      <c r="K76" s="99"/>
      <c r="L76" s="99"/>
      <c r="M76" s="99"/>
      <c r="N76" s="99"/>
      <c r="O76" s="99"/>
      <c r="P76" s="99"/>
      <c r="Q76" s="99"/>
      <c r="R76" s="99"/>
    </row>
    <row r="77" spans="1:19" ht="18" customHeight="1" x14ac:dyDescent="0.15">
      <c r="A77" s="97" t="s">
        <v>43</v>
      </c>
      <c r="H77" s="98"/>
      <c r="I77" s="98"/>
      <c r="J77" s="98"/>
      <c r="K77" s="98"/>
      <c r="L77" s="98"/>
      <c r="M77" s="98"/>
      <c r="N77" s="98"/>
      <c r="O77" s="98"/>
      <c r="P77" s="98"/>
      <c r="Q77" s="98"/>
      <c r="R77" s="98"/>
      <c r="S77" s="98"/>
    </row>
    <row r="78" spans="1:19" ht="18" customHeight="1" x14ac:dyDescent="0.15">
      <c r="B78" s="109" t="s">
        <v>21</v>
      </c>
      <c r="C78" s="112"/>
      <c r="D78" s="112"/>
      <c r="E78" s="110"/>
      <c r="F78" s="109" t="s">
        <v>44</v>
      </c>
      <c r="G78" s="112"/>
      <c r="H78" s="112"/>
      <c r="I78" s="110"/>
      <c r="J78" s="136" t="s">
        <v>21</v>
      </c>
      <c r="K78" s="137"/>
      <c r="L78" s="137"/>
      <c r="M78" s="137"/>
      <c r="N78" s="137"/>
      <c r="O78" s="138"/>
      <c r="P78" s="109" t="s">
        <v>44</v>
      </c>
      <c r="Q78" s="112"/>
      <c r="R78" s="112"/>
      <c r="S78" s="110"/>
    </row>
    <row r="79" spans="1:19" ht="18" customHeight="1" x14ac:dyDescent="0.15">
      <c r="A79" s="98"/>
      <c r="B79" s="130"/>
      <c r="C79" s="131"/>
      <c r="D79" s="131"/>
      <c r="E79" s="132"/>
      <c r="F79" s="139"/>
      <c r="G79" s="140"/>
      <c r="H79" s="140"/>
      <c r="I79" s="141"/>
      <c r="J79" s="130"/>
      <c r="K79" s="131"/>
      <c r="L79" s="131"/>
      <c r="M79" s="131"/>
      <c r="N79" s="131"/>
      <c r="O79" s="132"/>
      <c r="P79" s="139"/>
      <c r="Q79" s="140"/>
      <c r="R79" s="140"/>
      <c r="S79" s="141"/>
    </row>
    <row r="80" spans="1:19" ht="18" customHeight="1" x14ac:dyDescent="0.15">
      <c r="A80" s="98"/>
      <c r="B80" s="127"/>
      <c r="C80" s="128"/>
      <c r="D80" s="128"/>
      <c r="E80" s="129"/>
      <c r="F80" s="142"/>
      <c r="G80" s="143"/>
      <c r="H80" s="143"/>
      <c r="I80" s="144"/>
      <c r="J80" s="127"/>
      <c r="K80" s="128"/>
      <c r="L80" s="128"/>
      <c r="M80" s="128"/>
      <c r="N80" s="128"/>
      <c r="O80" s="129"/>
      <c r="P80" s="142"/>
      <c r="Q80" s="143"/>
      <c r="R80" s="143"/>
      <c r="S80" s="144"/>
    </row>
    <row r="81" spans="1:19" ht="18" customHeight="1" x14ac:dyDescent="0.15">
      <c r="A81" s="98"/>
      <c r="B81" s="127"/>
      <c r="C81" s="128"/>
      <c r="D81" s="128"/>
      <c r="E81" s="129"/>
      <c r="F81" s="142"/>
      <c r="G81" s="143"/>
      <c r="H81" s="143"/>
      <c r="I81" s="144"/>
      <c r="J81" s="127"/>
      <c r="K81" s="128"/>
      <c r="L81" s="128"/>
      <c r="M81" s="128"/>
      <c r="N81" s="128"/>
      <c r="O81" s="129"/>
      <c r="P81" s="142"/>
      <c r="Q81" s="143"/>
      <c r="R81" s="143"/>
      <c r="S81" s="144"/>
    </row>
    <row r="82" spans="1:19" ht="18" customHeight="1" x14ac:dyDescent="0.15">
      <c r="A82" s="98"/>
      <c r="B82" s="127"/>
      <c r="C82" s="128"/>
      <c r="D82" s="128"/>
      <c r="E82" s="129"/>
      <c r="F82" s="142"/>
      <c r="G82" s="143"/>
      <c r="H82" s="143"/>
      <c r="I82" s="144"/>
      <c r="J82" s="127"/>
      <c r="K82" s="128"/>
      <c r="L82" s="128"/>
      <c r="M82" s="128"/>
      <c r="N82" s="128"/>
      <c r="O82" s="129"/>
      <c r="P82" s="142"/>
      <c r="Q82" s="143"/>
      <c r="R82" s="143"/>
      <c r="S82" s="144"/>
    </row>
    <row r="83" spans="1:19" ht="18" customHeight="1" x14ac:dyDescent="0.15">
      <c r="A83" s="98"/>
      <c r="B83" s="127"/>
      <c r="C83" s="128"/>
      <c r="D83" s="128"/>
      <c r="E83" s="129"/>
      <c r="F83" s="142"/>
      <c r="G83" s="143"/>
      <c r="H83" s="143"/>
      <c r="I83" s="144"/>
      <c r="J83" s="127"/>
      <c r="K83" s="128"/>
      <c r="L83" s="128"/>
      <c r="M83" s="128"/>
      <c r="N83" s="128"/>
      <c r="O83" s="129"/>
      <c r="P83" s="142"/>
      <c r="Q83" s="143"/>
      <c r="R83" s="143"/>
      <c r="S83" s="144"/>
    </row>
    <row r="84" spans="1:19" ht="18" customHeight="1" x14ac:dyDescent="0.15">
      <c r="A84" s="98"/>
      <c r="B84" s="127"/>
      <c r="C84" s="128"/>
      <c r="D84" s="128"/>
      <c r="E84" s="129"/>
      <c r="F84" s="142"/>
      <c r="G84" s="143"/>
      <c r="H84" s="143"/>
      <c r="I84" s="144"/>
      <c r="J84" s="127"/>
      <c r="K84" s="128"/>
      <c r="L84" s="128"/>
      <c r="M84" s="128"/>
      <c r="N84" s="128"/>
      <c r="O84" s="129"/>
      <c r="P84" s="142"/>
      <c r="Q84" s="143"/>
      <c r="R84" s="143"/>
      <c r="S84" s="144"/>
    </row>
    <row r="85" spans="1:19" ht="18" customHeight="1" x14ac:dyDescent="0.15">
      <c r="A85" s="98"/>
      <c r="B85" s="133"/>
      <c r="C85" s="134"/>
      <c r="D85" s="134"/>
      <c r="E85" s="135"/>
      <c r="F85" s="162"/>
      <c r="G85" s="163"/>
      <c r="H85" s="163"/>
      <c r="I85" s="164"/>
      <c r="J85" s="133"/>
      <c r="K85" s="134"/>
      <c r="L85" s="134"/>
      <c r="M85" s="134"/>
      <c r="N85" s="134"/>
      <c r="O85" s="135"/>
      <c r="P85" s="162"/>
      <c r="Q85" s="163"/>
      <c r="R85" s="163"/>
      <c r="S85" s="164"/>
    </row>
    <row r="86" spans="1:19" ht="18" customHeight="1" x14ac:dyDescent="0.15">
      <c r="A86" s="98"/>
      <c r="B86" s="6"/>
      <c r="C86" s="6"/>
      <c r="D86" s="6"/>
      <c r="E86" s="6"/>
      <c r="F86" s="26"/>
      <c r="G86" s="26"/>
      <c r="H86" s="26"/>
      <c r="I86" s="26"/>
      <c r="J86" s="6"/>
      <c r="K86" s="6"/>
      <c r="L86" s="6"/>
      <c r="M86" s="6"/>
      <c r="N86" s="6"/>
      <c r="O86" s="6"/>
      <c r="P86" s="26"/>
      <c r="Q86" s="26"/>
      <c r="R86" s="26"/>
      <c r="S86" s="26"/>
    </row>
    <row r="87" spans="1:19" ht="18.75" customHeight="1" x14ac:dyDescent="0.15">
      <c r="A87" s="97" t="s">
        <v>45</v>
      </c>
    </row>
    <row r="88" spans="1:19" ht="18.75" customHeight="1" x14ac:dyDescent="0.15">
      <c r="B88" s="145" t="s">
        <v>46</v>
      </c>
      <c r="C88" s="146"/>
      <c r="D88" s="112" t="s">
        <v>47</v>
      </c>
      <c r="E88" s="112"/>
      <c r="F88" s="112"/>
      <c r="G88" s="112"/>
      <c r="H88" s="112"/>
      <c r="I88" s="112"/>
      <c r="J88" s="112"/>
      <c r="K88" s="112"/>
      <c r="L88" s="112"/>
      <c r="M88" s="112"/>
      <c r="N88" s="112"/>
      <c r="O88" s="112"/>
      <c r="P88" s="112"/>
      <c r="Q88" s="112"/>
      <c r="R88" s="112"/>
      <c r="S88" s="110"/>
    </row>
    <row r="89" spans="1:19" ht="97.5" customHeight="1" x14ac:dyDescent="0.15">
      <c r="B89" s="147" t="s">
        <v>48</v>
      </c>
      <c r="C89" s="27" t="s">
        <v>24</v>
      </c>
      <c r="D89" s="149" t="s">
        <v>192</v>
      </c>
      <c r="E89" s="150"/>
      <c r="F89" s="150"/>
      <c r="G89" s="150"/>
      <c r="H89" s="150"/>
      <c r="I89" s="150"/>
      <c r="J89" s="150"/>
      <c r="K89" s="150"/>
      <c r="L89" s="150"/>
      <c r="M89" s="150"/>
      <c r="N89" s="150"/>
      <c r="O89" s="150"/>
      <c r="P89" s="150"/>
      <c r="Q89" s="150"/>
      <c r="R89" s="150"/>
      <c r="S89" s="151"/>
    </row>
    <row r="90" spans="1:19" ht="97.5" customHeight="1" x14ac:dyDescent="0.15">
      <c r="B90" s="148"/>
      <c r="C90" s="28" t="s">
        <v>49</v>
      </c>
      <c r="D90" s="152" t="s">
        <v>191</v>
      </c>
      <c r="E90" s="153"/>
      <c r="F90" s="153"/>
      <c r="G90" s="153"/>
      <c r="H90" s="153"/>
      <c r="I90" s="153"/>
      <c r="J90" s="153"/>
      <c r="K90" s="153"/>
      <c r="L90" s="153"/>
      <c r="M90" s="153"/>
      <c r="N90" s="153"/>
      <c r="O90" s="153"/>
      <c r="P90" s="153"/>
      <c r="Q90" s="153"/>
      <c r="R90" s="153"/>
      <c r="S90" s="154"/>
    </row>
    <row r="91" spans="1:19" ht="97.5" customHeight="1" x14ac:dyDescent="0.15">
      <c r="B91" s="147" t="s">
        <v>50</v>
      </c>
      <c r="C91" s="29" t="s">
        <v>29</v>
      </c>
      <c r="D91" s="156" t="s">
        <v>193</v>
      </c>
      <c r="E91" s="157"/>
      <c r="F91" s="157"/>
      <c r="G91" s="157"/>
      <c r="H91" s="157"/>
      <c r="I91" s="157"/>
      <c r="J91" s="157"/>
      <c r="K91" s="157"/>
      <c r="L91" s="157"/>
      <c r="M91" s="157"/>
      <c r="N91" s="157"/>
      <c r="O91" s="157"/>
      <c r="P91" s="157"/>
      <c r="Q91" s="157"/>
      <c r="R91" s="157"/>
      <c r="S91" s="158"/>
    </row>
    <row r="92" spans="1:19" ht="97.5" customHeight="1" x14ac:dyDescent="0.15">
      <c r="B92" s="155"/>
      <c r="C92" s="30" t="s">
        <v>30</v>
      </c>
      <c r="D92" s="159" t="s">
        <v>194</v>
      </c>
      <c r="E92" s="160"/>
      <c r="F92" s="160"/>
      <c r="G92" s="160"/>
      <c r="H92" s="160"/>
      <c r="I92" s="160"/>
      <c r="J92" s="160"/>
      <c r="K92" s="160"/>
      <c r="L92" s="160"/>
      <c r="M92" s="160"/>
      <c r="N92" s="160"/>
      <c r="O92" s="160"/>
      <c r="P92" s="160"/>
      <c r="Q92" s="160"/>
      <c r="R92" s="160"/>
      <c r="S92" s="161"/>
    </row>
    <row r="93" spans="1:19" ht="97.5" customHeight="1" x14ac:dyDescent="0.15">
      <c r="B93" s="147" t="s">
        <v>51</v>
      </c>
      <c r="C93" s="29" t="s">
        <v>32</v>
      </c>
      <c r="D93" s="156" t="s">
        <v>195</v>
      </c>
      <c r="E93" s="157"/>
      <c r="F93" s="157"/>
      <c r="G93" s="157"/>
      <c r="H93" s="157"/>
      <c r="I93" s="157"/>
      <c r="J93" s="157"/>
      <c r="K93" s="157"/>
      <c r="L93" s="157"/>
      <c r="M93" s="157"/>
      <c r="N93" s="157"/>
      <c r="O93" s="157"/>
      <c r="P93" s="157"/>
      <c r="Q93" s="157"/>
      <c r="R93" s="157"/>
      <c r="S93" s="158"/>
    </row>
    <row r="94" spans="1:19" ht="97.5" customHeight="1" x14ac:dyDescent="0.15">
      <c r="B94" s="155"/>
      <c r="C94" s="31" t="s">
        <v>33</v>
      </c>
      <c r="D94" s="173" t="s">
        <v>196</v>
      </c>
      <c r="E94" s="174"/>
      <c r="F94" s="174"/>
      <c r="G94" s="174"/>
      <c r="H94" s="174"/>
      <c r="I94" s="174"/>
      <c r="J94" s="174"/>
      <c r="K94" s="174"/>
      <c r="L94" s="174"/>
      <c r="M94" s="174"/>
      <c r="N94" s="174"/>
      <c r="O94" s="174"/>
      <c r="P94" s="174"/>
      <c r="Q94" s="174"/>
      <c r="R94" s="174"/>
      <c r="S94" s="175"/>
    </row>
    <row r="95" spans="1:19" ht="97.5" customHeight="1" x14ac:dyDescent="0.15">
      <c r="B95" s="147" t="s">
        <v>52</v>
      </c>
      <c r="C95" s="27" t="s">
        <v>35</v>
      </c>
      <c r="D95" s="149" t="s">
        <v>202</v>
      </c>
      <c r="E95" s="150"/>
      <c r="F95" s="150"/>
      <c r="G95" s="150"/>
      <c r="H95" s="150"/>
      <c r="I95" s="150"/>
      <c r="J95" s="150"/>
      <c r="K95" s="150"/>
      <c r="L95" s="150"/>
      <c r="M95" s="150"/>
      <c r="N95" s="150"/>
      <c r="O95" s="150"/>
      <c r="P95" s="150"/>
      <c r="Q95" s="150"/>
      <c r="R95" s="150"/>
      <c r="S95" s="151"/>
    </row>
    <row r="96" spans="1:19" ht="97.5" customHeight="1" x14ac:dyDescent="0.15">
      <c r="B96" s="155"/>
      <c r="C96" s="30" t="s">
        <v>36</v>
      </c>
      <c r="D96" s="159" t="s">
        <v>203</v>
      </c>
      <c r="E96" s="160"/>
      <c r="F96" s="160"/>
      <c r="G96" s="160"/>
      <c r="H96" s="160"/>
      <c r="I96" s="160"/>
      <c r="J96" s="160"/>
      <c r="K96" s="160"/>
      <c r="L96" s="160"/>
      <c r="M96" s="160"/>
      <c r="N96" s="160"/>
      <c r="O96" s="160"/>
      <c r="P96" s="160"/>
      <c r="Q96" s="160"/>
      <c r="R96" s="160"/>
      <c r="S96" s="161"/>
    </row>
    <row r="97" spans="1:19" ht="198.6" customHeight="1" x14ac:dyDescent="0.15">
      <c r="B97" s="147" t="s">
        <v>53</v>
      </c>
      <c r="C97" s="29" t="s">
        <v>54</v>
      </c>
      <c r="D97" s="165" t="s">
        <v>212</v>
      </c>
      <c r="E97" s="131"/>
      <c r="F97" s="131"/>
      <c r="G97" s="131"/>
      <c r="H97" s="131"/>
      <c r="I97" s="131"/>
      <c r="J97" s="131"/>
      <c r="K97" s="131"/>
      <c r="L97" s="131"/>
      <c r="M97" s="131"/>
      <c r="N97" s="131"/>
      <c r="O97" s="131"/>
      <c r="P97" s="131"/>
      <c r="Q97" s="131"/>
      <c r="R97" s="131"/>
      <c r="S97" s="132"/>
    </row>
    <row r="98" spans="1:19" ht="177.75" customHeight="1" x14ac:dyDescent="0.15">
      <c r="B98" s="148"/>
      <c r="C98" s="32" t="s">
        <v>40</v>
      </c>
      <c r="D98" s="166" t="s">
        <v>213</v>
      </c>
      <c r="E98" s="128"/>
      <c r="F98" s="128"/>
      <c r="G98" s="128"/>
      <c r="H98" s="128"/>
      <c r="I98" s="128"/>
      <c r="J98" s="128"/>
      <c r="K98" s="128"/>
      <c r="L98" s="128"/>
      <c r="M98" s="128"/>
      <c r="N98" s="128"/>
      <c r="O98" s="128"/>
      <c r="P98" s="128"/>
      <c r="Q98" s="128"/>
      <c r="R98" s="128"/>
      <c r="S98" s="129"/>
    </row>
    <row r="99" spans="1:19" ht="205.15" customHeight="1" x14ac:dyDescent="0.15">
      <c r="B99" s="155"/>
      <c r="C99" s="31" t="s">
        <v>41</v>
      </c>
      <c r="D99" s="167" t="s">
        <v>214</v>
      </c>
      <c r="E99" s="168"/>
      <c r="F99" s="168"/>
      <c r="G99" s="168"/>
      <c r="H99" s="168"/>
      <c r="I99" s="168"/>
      <c r="J99" s="168"/>
      <c r="K99" s="168"/>
      <c r="L99" s="168"/>
      <c r="M99" s="168"/>
      <c r="N99" s="168"/>
      <c r="O99" s="168"/>
      <c r="P99" s="168"/>
      <c r="Q99" s="168"/>
      <c r="R99" s="168"/>
      <c r="S99" s="169"/>
    </row>
    <row r="100" spans="1:19" ht="16.149999999999999" customHeight="1" x14ac:dyDescent="0.15"/>
    <row r="101" spans="1:19" ht="18.75" customHeight="1" x14ac:dyDescent="0.15">
      <c r="A101" s="97" t="s">
        <v>55</v>
      </c>
    </row>
    <row r="102" spans="1:19" ht="81.75" customHeight="1" x14ac:dyDescent="0.15">
      <c r="B102" s="170" t="s">
        <v>56</v>
      </c>
      <c r="C102" s="171"/>
      <c r="D102" s="171"/>
      <c r="E102" s="171"/>
      <c r="F102" s="171"/>
      <c r="G102" s="171"/>
      <c r="H102" s="171"/>
      <c r="I102" s="171"/>
      <c r="J102" s="171"/>
      <c r="K102" s="171"/>
      <c r="L102" s="171"/>
      <c r="M102" s="171"/>
      <c r="N102" s="171"/>
      <c r="O102" s="171"/>
      <c r="P102" s="171"/>
      <c r="Q102" s="171"/>
      <c r="R102" s="171"/>
      <c r="S102" s="172"/>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P69:S75 Q25:S31 G25:I31 Q36:S42 G36:I42 Q47:S53 G58:I64 Q58:S64 G47:I53 F69:I75" xr:uid="{D7933A3E-EFBC-453C-9ACB-5624AFE3F53F}">
      <formula1>"○"</formula1>
    </dataValidation>
    <dataValidation type="list" allowBlank="1" showInputMessage="1" showErrorMessage="1" sqref="S32 S43 D32:G32 D43:G43" xr:uid="{07F838CB-FB01-451C-9B70-2FE73A201D09}">
      <formula1>"全学開講,一部開講"</formula1>
    </dataValidation>
    <dataValidation type="list" allowBlank="1" showInputMessage="1" showErrorMessage="1" sqref="K7 K12" xr:uid="{ADE62FE5-987A-4652-AB84-B2B37822980E}">
      <formula1>"学部・学科によって、修了要件は相違する,学部・学科によって、修了要件は相違しない"</formula1>
    </dataValidation>
    <dataValidation type="list" allowBlank="1" showInputMessage="1" showErrorMessage="1" sqref="F79:F86 P79:P86 G79:I80 G83:I86 Q83:S86 Q79:S80" xr:uid="{4EE3A1E2-83BF-4D6B-BFFA-F912893CE7D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3C2A5156-0967-4848-B162-0C3C2BBA871C}">
      <formula1>$V$14:$V$16</formula1>
    </dataValidation>
  </dataValidations>
  <printOptions horizontalCentered="1"/>
  <pageMargins left="0.78740157480314965" right="0.78740157480314965" top="0.78740157480314965" bottom="0.19685039370078741" header="0.31496062992125984" footer="0.19685039370078741"/>
  <pageSetup paperSize="9" scale="76"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I12" sqref="I12:I3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78</v>
      </c>
    </row>
    <row r="2" spans="1:45" ht="18" customHeight="1" x14ac:dyDescent="0.15">
      <c r="K2" s="34"/>
      <c r="Q2" s="34"/>
      <c r="W2" s="34"/>
      <c r="AC2" s="34"/>
      <c r="AI2" s="34"/>
      <c r="AL2" s="34" t="s">
        <v>2</v>
      </c>
      <c r="AM2" s="182" t="str">
        <f>'様式１-2 経営学部　プログラムを構成する授業科目'!C2</f>
        <v>文京学院大学</v>
      </c>
      <c r="AN2" s="182"/>
      <c r="AO2" s="182"/>
      <c r="AP2" s="182"/>
      <c r="AQ2" s="182"/>
    </row>
    <row r="3" spans="1:45" ht="18" customHeight="1" x14ac:dyDescent="0.15">
      <c r="A3" s="117" t="s">
        <v>79</v>
      </c>
      <c r="B3" s="117"/>
      <c r="C3" s="117"/>
      <c r="D3" s="117"/>
      <c r="E3" s="117"/>
      <c r="F3" s="117"/>
      <c r="G3" s="117"/>
      <c r="H3" s="117"/>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80</v>
      </c>
      <c r="C5" s="183">
        <v>2022</v>
      </c>
      <c r="D5" s="184"/>
      <c r="E5" s="3" t="s">
        <v>81</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85" t="s">
        <v>83</v>
      </c>
      <c r="C9" s="200" t="s">
        <v>84</v>
      </c>
      <c r="D9" s="188" t="s">
        <v>85</v>
      </c>
      <c r="E9" s="191" t="s">
        <v>86</v>
      </c>
      <c r="F9" s="181" t="s">
        <v>87</v>
      </c>
      <c r="G9" s="181"/>
      <c r="H9" s="181"/>
      <c r="I9" s="181"/>
      <c r="J9" s="181"/>
      <c r="K9" s="181"/>
      <c r="L9" s="181" t="s">
        <v>88</v>
      </c>
      <c r="M9" s="181"/>
      <c r="N9" s="181"/>
      <c r="O9" s="181"/>
      <c r="P9" s="181"/>
      <c r="Q9" s="181"/>
      <c r="R9" s="181" t="s">
        <v>89</v>
      </c>
      <c r="S9" s="181"/>
      <c r="T9" s="181"/>
      <c r="U9" s="181"/>
      <c r="V9" s="181"/>
      <c r="W9" s="181"/>
      <c r="X9" s="181" t="s">
        <v>90</v>
      </c>
      <c r="Y9" s="181"/>
      <c r="Z9" s="181"/>
      <c r="AA9" s="181"/>
      <c r="AB9" s="181"/>
      <c r="AC9" s="181"/>
      <c r="AD9" s="181" t="s">
        <v>91</v>
      </c>
      <c r="AE9" s="181"/>
      <c r="AF9" s="181"/>
      <c r="AG9" s="181"/>
      <c r="AH9" s="181"/>
      <c r="AI9" s="181"/>
      <c r="AJ9" s="181" t="s">
        <v>92</v>
      </c>
      <c r="AK9" s="181"/>
      <c r="AL9" s="181"/>
      <c r="AM9" s="181"/>
      <c r="AN9" s="181"/>
      <c r="AO9" s="181"/>
      <c r="AP9" s="194" t="s">
        <v>93</v>
      </c>
      <c r="AQ9" s="197" t="s">
        <v>94</v>
      </c>
      <c r="AS9" s="2"/>
    </row>
    <row r="10" spans="1:45" ht="16.899999999999999" customHeight="1" x14ac:dyDescent="0.15">
      <c r="B10" s="186"/>
      <c r="C10" s="201"/>
      <c r="D10" s="189"/>
      <c r="E10" s="192"/>
      <c r="F10" s="179" t="s">
        <v>95</v>
      </c>
      <c r="G10" s="180"/>
      <c r="H10" s="180"/>
      <c r="I10" s="179" t="s">
        <v>96</v>
      </c>
      <c r="J10" s="180"/>
      <c r="K10" s="180"/>
      <c r="L10" s="179" t="s">
        <v>95</v>
      </c>
      <c r="M10" s="180"/>
      <c r="N10" s="180"/>
      <c r="O10" s="179" t="s">
        <v>96</v>
      </c>
      <c r="P10" s="180"/>
      <c r="Q10" s="180"/>
      <c r="R10" s="179" t="s">
        <v>95</v>
      </c>
      <c r="S10" s="180"/>
      <c r="T10" s="180"/>
      <c r="U10" s="179" t="s">
        <v>96</v>
      </c>
      <c r="V10" s="180"/>
      <c r="W10" s="180"/>
      <c r="X10" s="179" t="s">
        <v>95</v>
      </c>
      <c r="Y10" s="180"/>
      <c r="Z10" s="180"/>
      <c r="AA10" s="179" t="s">
        <v>96</v>
      </c>
      <c r="AB10" s="180"/>
      <c r="AC10" s="180"/>
      <c r="AD10" s="179" t="s">
        <v>95</v>
      </c>
      <c r="AE10" s="180"/>
      <c r="AF10" s="180"/>
      <c r="AG10" s="179" t="s">
        <v>96</v>
      </c>
      <c r="AH10" s="180"/>
      <c r="AI10" s="180"/>
      <c r="AJ10" s="179" t="s">
        <v>95</v>
      </c>
      <c r="AK10" s="180"/>
      <c r="AL10" s="180"/>
      <c r="AM10" s="179" t="s">
        <v>96</v>
      </c>
      <c r="AN10" s="180"/>
      <c r="AO10" s="180"/>
      <c r="AP10" s="195"/>
      <c r="AQ10" s="198"/>
      <c r="AS10" s="2"/>
    </row>
    <row r="11" spans="1:45" ht="18" customHeight="1" x14ac:dyDescent="0.15">
      <c r="B11" s="187"/>
      <c r="C11" s="202"/>
      <c r="D11" s="190"/>
      <c r="E11" s="193"/>
      <c r="F11" s="16" t="s">
        <v>97</v>
      </c>
      <c r="G11" s="17" t="s">
        <v>98</v>
      </c>
      <c r="H11" s="18" t="s">
        <v>99</v>
      </c>
      <c r="I11" s="16" t="s">
        <v>97</v>
      </c>
      <c r="J11" s="17" t="s">
        <v>98</v>
      </c>
      <c r="K11" s="18" t="s">
        <v>99</v>
      </c>
      <c r="L11" s="16" t="s">
        <v>97</v>
      </c>
      <c r="M11" s="17" t="s">
        <v>98</v>
      </c>
      <c r="N11" s="18" t="s">
        <v>99</v>
      </c>
      <c r="O11" s="16" t="s">
        <v>97</v>
      </c>
      <c r="P11" s="17" t="s">
        <v>98</v>
      </c>
      <c r="Q11" s="18" t="s">
        <v>99</v>
      </c>
      <c r="R11" s="16" t="s">
        <v>97</v>
      </c>
      <c r="S11" s="17" t="s">
        <v>98</v>
      </c>
      <c r="T11" s="18" t="s">
        <v>99</v>
      </c>
      <c r="U11" s="16" t="s">
        <v>97</v>
      </c>
      <c r="V11" s="17" t="s">
        <v>98</v>
      </c>
      <c r="W11" s="18" t="s">
        <v>99</v>
      </c>
      <c r="X11" s="16" t="s">
        <v>97</v>
      </c>
      <c r="Y11" s="17" t="s">
        <v>98</v>
      </c>
      <c r="Z11" s="18" t="s">
        <v>99</v>
      </c>
      <c r="AA11" s="16" t="s">
        <v>97</v>
      </c>
      <c r="AB11" s="17" t="s">
        <v>98</v>
      </c>
      <c r="AC11" s="18" t="s">
        <v>99</v>
      </c>
      <c r="AD11" s="16" t="s">
        <v>97</v>
      </c>
      <c r="AE11" s="17" t="s">
        <v>98</v>
      </c>
      <c r="AF11" s="18" t="s">
        <v>99</v>
      </c>
      <c r="AG11" s="16" t="s">
        <v>97</v>
      </c>
      <c r="AH11" s="17" t="s">
        <v>98</v>
      </c>
      <c r="AI11" s="18" t="s">
        <v>99</v>
      </c>
      <c r="AJ11" s="16" t="s">
        <v>97</v>
      </c>
      <c r="AK11" s="17" t="s">
        <v>98</v>
      </c>
      <c r="AL11" s="18" t="s">
        <v>99</v>
      </c>
      <c r="AM11" s="16" t="s">
        <v>97</v>
      </c>
      <c r="AN11" s="17" t="s">
        <v>98</v>
      </c>
      <c r="AO11" s="18" t="s">
        <v>99</v>
      </c>
      <c r="AP11" s="196"/>
      <c r="AQ11" s="199"/>
      <c r="AS11" s="2"/>
    </row>
    <row r="12" spans="1:45" ht="18" customHeight="1" x14ac:dyDescent="0.15">
      <c r="A12" s="6"/>
      <c r="B12" s="82" t="s">
        <v>100</v>
      </c>
      <c r="C12" s="84">
        <v>926</v>
      </c>
      <c r="D12" s="85">
        <v>260</v>
      </c>
      <c r="E12" s="86">
        <v>1040</v>
      </c>
      <c r="F12" s="86">
        <f>G12+H12</f>
        <v>395</v>
      </c>
      <c r="G12" s="87">
        <v>146</v>
      </c>
      <c r="H12" s="88">
        <v>249</v>
      </c>
      <c r="I12" s="86">
        <f>J12+K12</f>
        <v>8</v>
      </c>
      <c r="J12" s="87">
        <v>4</v>
      </c>
      <c r="K12" s="88">
        <v>4</v>
      </c>
      <c r="L12" s="86">
        <f>M12+N12</f>
        <v>0</v>
      </c>
      <c r="M12" s="87"/>
      <c r="N12" s="88"/>
      <c r="O12" s="86">
        <f>P12+Q12</f>
        <v>0</v>
      </c>
      <c r="P12" s="87"/>
      <c r="Q12" s="88"/>
      <c r="R12" s="61">
        <f>S12+T12</f>
        <v>0</v>
      </c>
      <c r="S12" s="62"/>
      <c r="T12" s="63"/>
      <c r="U12" s="61">
        <f>V12+W12</f>
        <v>0</v>
      </c>
      <c r="V12" s="62"/>
      <c r="W12" s="63"/>
      <c r="X12" s="61">
        <f>Y12+Z12</f>
        <v>0</v>
      </c>
      <c r="Y12" s="62"/>
      <c r="Z12" s="63"/>
      <c r="AA12" s="61">
        <f>AB12+AC12</f>
        <v>0</v>
      </c>
      <c r="AB12" s="62"/>
      <c r="AC12" s="63"/>
      <c r="AD12" s="61">
        <f>AE12+AF12</f>
        <v>0</v>
      </c>
      <c r="AE12" s="62"/>
      <c r="AF12" s="63"/>
      <c r="AG12" s="61">
        <f>AH12+AI12</f>
        <v>0</v>
      </c>
      <c r="AH12" s="62"/>
      <c r="AI12" s="63"/>
      <c r="AJ12" s="61">
        <f>AK12+AL12</f>
        <v>0</v>
      </c>
      <c r="AK12" s="62"/>
      <c r="AL12" s="63"/>
      <c r="AM12" s="61">
        <f>AN12+AO12</f>
        <v>0</v>
      </c>
      <c r="AN12" s="62"/>
      <c r="AO12" s="63"/>
      <c r="AP12" s="60">
        <f>F12+L12+R12+X12+AD12+AJ12</f>
        <v>395</v>
      </c>
      <c r="AQ12" s="20">
        <f t="shared" ref="AQ12:AQ32" si="0">AP12/E12</f>
        <v>0.37980769230769229</v>
      </c>
    </row>
    <row r="13" spans="1:45" ht="18" customHeight="1" x14ac:dyDescent="0.15">
      <c r="A13" s="6"/>
      <c r="B13" s="83" t="s">
        <v>101</v>
      </c>
      <c r="C13" s="89">
        <v>1040</v>
      </c>
      <c r="D13" s="90">
        <v>260</v>
      </c>
      <c r="E13" s="91">
        <v>1040</v>
      </c>
      <c r="F13" s="92">
        <f t="shared" ref="F13:F31" si="1">G13+H13</f>
        <v>19</v>
      </c>
      <c r="G13" s="93">
        <v>10</v>
      </c>
      <c r="H13" s="94">
        <v>9</v>
      </c>
      <c r="I13" s="92">
        <f t="shared" ref="I13:I31" si="2">J13+K13</f>
        <v>0</v>
      </c>
      <c r="J13" s="93">
        <v>0</v>
      </c>
      <c r="K13" s="94">
        <v>0</v>
      </c>
      <c r="L13" s="92">
        <f t="shared" ref="L13:L31" si="3">M13+N13</f>
        <v>0</v>
      </c>
      <c r="M13" s="93"/>
      <c r="N13" s="94"/>
      <c r="O13" s="92">
        <f t="shared" ref="O13:O31" si="4">P13+Q13</f>
        <v>0</v>
      </c>
      <c r="P13" s="93"/>
      <c r="Q13" s="94"/>
      <c r="R13" s="67">
        <f t="shared" ref="R13:R31" si="5">S13+T13</f>
        <v>0</v>
      </c>
      <c r="S13" s="68"/>
      <c r="T13" s="69"/>
      <c r="U13" s="67">
        <f t="shared" ref="U13:U31" si="6">V13+W13</f>
        <v>0</v>
      </c>
      <c r="V13" s="68"/>
      <c r="W13" s="69"/>
      <c r="X13" s="67">
        <f t="shared" ref="X13:X31" si="7">Y13+Z13</f>
        <v>0</v>
      </c>
      <c r="Y13" s="68"/>
      <c r="Z13" s="69"/>
      <c r="AA13" s="67">
        <f t="shared" ref="AA13:AA31" si="8">AB13+AC13</f>
        <v>0</v>
      </c>
      <c r="AB13" s="68"/>
      <c r="AC13" s="69"/>
      <c r="AD13" s="67">
        <f t="shared" ref="AD13:AD31" si="9">AE13+AF13</f>
        <v>0</v>
      </c>
      <c r="AE13" s="68"/>
      <c r="AF13" s="69"/>
      <c r="AG13" s="67">
        <f t="shared" ref="AG13:AG31" si="10">AH13+AI13</f>
        <v>0</v>
      </c>
      <c r="AH13" s="68"/>
      <c r="AI13" s="69"/>
      <c r="AJ13" s="67">
        <f t="shared" ref="AJ13:AJ31" si="11">AK13+AL13</f>
        <v>0</v>
      </c>
      <c r="AK13" s="68"/>
      <c r="AL13" s="69"/>
      <c r="AM13" s="67">
        <f t="shared" ref="AM13:AM31" si="12">AN13+AO13</f>
        <v>0</v>
      </c>
      <c r="AN13" s="68"/>
      <c r="AO13" s="69"/>
      <c r="AP13" s="65">
        <f t="shared" ref="AP13:AP31" si="13">F13+L13+R13+X13+AD13+AJ13</f>
        <v>19</v>
      </c>
      <c r="AQ13" s="19">
        <f t="shared" si="0"/>
        <v>1.826923076923077E-2</v>
      </c>
    </row>
    <row r="14" spans="1:45" ht="18" customHeight="1" x14ac:dyDescent="0.15">
      <c r="A14" s="6"/>
      <c r="B14" s="83" t="s">
        <v>102</v>
      </c>
      <c r="C14" s="89">
        <v>279</v>
      </c>
      <c r="D14" s="90">
        <v>60</v>
      </c>
      <c r="E14" s="91">
        <v>240</v>
      </c>
      <c r="F14" s="92">
        <f t="shared" si="1"/>
        <v>75</v>
      </c>
      <c r="G14" s="93">
        <v>47</v>
      </c>
      <c r="H14" s="94">
        <v>28</v>
      </c>
      <c r="I14" s="92">
        <f t="shared" si="2"/>
        <v>0</v>
      </c>
      <c r="J14" s="93">
        <v>0</v>
      </c>
      <c r="K14" s="94">
        <v>0</v>
      </c>
      <c r="L14" s="92">
        <f t="shared" si="3"/>
        <v>0</v>
      </c>
      <c r="M14" s="93"/>
      <c r="N14" s="94"/>
      <c r="O14" s="92">
        <f t="shared" si="4"/>
        <v>0</v>
      </c>
      <c r="P14" s="93"/>
      <c r="Q14" s="94"/>
      <c r="R14" s="67">
        <f t="shared" si="5"/>
        <v>0</v>
      </c>
      <c r="S14" s="68"/>
      <c r="T14" s="69"/>
      <c r="U14" s="67">
        <f t="shared" si="6"/>
        <v>0</v>
      </c>
      <c r="V14" s="68"/>
      <c r="W14" s="69"/>
      <c r="X14" s="67">
        <f t="shared" si="7"/>
        <v>0</v>
      </c>
      <c r="Y14" s="68"/>
      <c r="Z14" s="69"/>
      <c r="AA14" s="67">
        <f t="shared" si="8"/>
        <v>0</v>
      </c>
      <c r="AB14" s="68"/>
      <c r="AC14" s="69"/>
      <c r="AD14" s="67">
        <f t="shared" si="9"/>
        <v>0</v>
      </c>
      <c r="AE14" s="68"/>
      <c r="AF14" s="69"/>
      <c r="AG14" s="67">
        <f t="shared" si="10"/>
        <v>0</v>
      </c>
      <c r="AH14" s="68"/>
      <c r="AI14" s="69"/>
      <c r="AJ14" s="67">
        <f t="shared" si="11"/>
        <v>0</v>
      </c>
      <c r="AK14" s="68"/>
      <c r="AL14" s="69"/>
      <c r="AM14" s="67">
        <f t="shared" si="12"/>
        <v>0</v>
      </c>
      <c r="AN14" s="68"/>
      <c r="AO14" s="69"/>
      <c r="AP14" s="65">
        <f t="shared" si="13"/>
        <v>75</v>
      </c>
      <c r="AQ14" s="8">
        <f t="shared" si="0"/>
        <v>0.3125</v>
      </c>
    </row>
    <row r="15" spans="1:45" ht="18" customHeight="1" x14ac:dyDescent="0.15">
      <c r="A15" s="6"/>
      <c r="B15" s="83" t="s">
        <v>103</v>
      </c>
      <c r="C15" s="89">
        <v>407</v>
      </c>
      <c r="D15" s="90">
        <v>130</v>
      </c>
      <c r="E15" s="91">
        <v>520</v>
      </c>
      <c r="F15" s="92">
        <f t="shared" si="1"/>
        <v>250</v>
      </c>
      <c r="G15" s="93">
        <v>81</v>
      </c>
      <c r="H15" s="94">
        <v>169</v>
      </c>
      <c r="I15" s="92">
        <f t="shared" si="2"/>
        <v>0</v>
      </c>
      <c r="J15" s="93">
        <v>0</v>
      </c>
      <c r="K15" s="94">
        <v>0</v>
      </c>
      <c r="L15" s="92">
        <f t="shared" si="3"/>
        <v>0</v>
      </c>
      <c r="M15" s="93"/>
      <c r="N15" s="94"/>
      <c r="O15" s="92">
        <f t="shared" si="4"/>
        <v>0</v>
      </c>
      <c r="P15" s="93"/>
      <c r="Q15" s="94"/>
      <c r="R15" s="67">
        <f t="shared" si="5"/>
        <v>0</v>
      </c>
      <c r="S15" s="68"/>
      <c r="T15" s="69"/>
      <c r="U15" s="67">
        <f t="shared" si="6"/>
        <v>0</v>
      </c>
      <c r="V15" s="68"/>
      <c r="W15" s="69"/>
      <c r="X15" s="67">
        <f t="shared" si="7"/>
        <v>0</v>
      </c>
      <c r="Y15" s="68"/>
      <c r="Z15" s="69"/>
      <c r="AA15" s="67">
        <f t="shared" si="8"/>
        <v>0</v>
      </c>
      <c r="AB15" s="68"/>
      <c r="AC15" s="69"/>
      <c r="AD15" s="67">
        <f t="shared" si="9"/>
        <v>0</v>
      </c>
      <c r="AE15" s="68"/>
      <c r="AF15" s="69"/>
      <c r="AG15" s="67">
        <f t="shared" si="10"/>
        <v>0</v>
      </c>
      <c r="AH15" s="68"/>
      <c r="AI15" s="69"/>
      <c r="AJ15" s="67">
        <f t="shared" si="11"/>
        <v>0</v>
      </c>
      <c r="AK15" s="68"/>
      <c r="AL15" s="69"/>
      <c r="AM15" s="67">
        <f t="shared" si="12"/>
        <v>0</v>
      </c>
      <c r="AN15" s="68"/>
      <c r="AO15" s="69"/>
      <c r="AP15" s="65">
        <f t="shared" si="13"/>
        <v>250</v>
      </c>
      <c r="AQ15" s="8">
        <f t="shared" si="0"/>
        <v>0.48076923076923078</v>
      </c>
    </row>
    <row r="16" spans="1:45" ht="18" customHeight="1" x14ac:dyDescent="0.15">
      <c r="A16" s="6"/>
      <c r="B16" s="83" t="s">
        <v>104</v>
      </c>
      <c r="C16" s="89">
        <v>368</v>
      </c>
      <c r="D16" s="90">
        <v>110</v>
      </c>
      <c r="E16" s="91">
        <v>440</v>
      </c>
      <c r="F16" s="92">
        <f t="shared" si="1"/>
        <v>75</v>
      </c>
      <c r="G16" s="93">
        <v>40</v>
      </c>
      <c r="H16" s="94">
        <v>35</v>
      </c>
      <c r="I16" s="92">
        <f t="shared" si="2"/>
        <v>0</v>
      </c>
      <c r="J16" s="93">
        <v>0</v>
      </c>
      <c r="K16" s="94">
        <v>0</v>
      </c>
      <c r="L16" s="92">
        <f t="shared" si="3"/>
        <v>0</v>
      </c>
      <c r="M16" s="93"/>
      <c r="N16" s="94"/>
      <c r="O16" s="92">
        <f t="shared" si="4"/>
        <v>0</v>
      </c>
      <c r="P16" s="93"/>
      <c r="Q16" s="94"/>
      <c r="R16" s="67">
        <f t="shared" si="5"/>
        <v>0</v>
      </c>
      <c r="S16" s="68"/>
      <c r="T16" s="69"/>
      <c r="U16" s="67">
        <f t="shared" si="6"/>
        <v>0</v>
      </c>
      <c r="V16" s="68"/>
      <c r="W16" s="69"/>
      <c r="X16" s="67">
        <f t="shared" si="7"/>
        <v>0</v>
      </c>
      <c r="Y16" s="68"/>
      <c r="Z16" s="69"/>
      <c r="AA16" s="67">
        <f t="shared" si="8"/>
        <v>0</v>
      </c>
      <c r="AB16" s="68"/>
      <c r="AC16" s="69"/>
      <c r="AD16" s="67">
        <f t="shared" si="9"/>
        <v>0</v>
      </c>
      <c r="AE16" s="68"/>
      <c r="AF16" s="69"/>
      <c r="AG16" s="67">
        <f t="shared" si="10"/>
        <v>0</v>
      </c>
      <c r="AH16" s="68"/>
      <c r="AI16" s="69"/>
      <c r="AJ16" s="67">
        <f t="shared" si="11"/>
        <v>0</v>
      </c>
      <c r="AK16" s="68"/>
      <c r="AL16" s="69"/>
      <c r="AM16" s="67">
        <f t="shared" si="12"/>
        <v>0</v>
      </c>
      <c r="AN16" s="68"/>
      <c r="AO16" s="69"/>
      <c r="AP16" s="65">
        <f t="shared" si="13"/>
        <v>75</v>
      </c>
      <c r="AQ16" s="8">
        <f t="shared" si="0"/>
        <v>0.17045454545454544</v>
      </c>
    </row>
    <row r="17" spans="1:43" ht="18" customHeight="1" x14ac:dyDescent="0.15">
      <c r="A17" s="6"/>
      <c r="B17" s="83" t="s">
        <v>105</v>
      </c>
      <c r="C17" s="89">
        <v>450</v>
      </c>
      <c r="D17" s="90">
        <v>100</v>
      </c>
      <c r="E17" s="91">
        <v>400</v>
      </c>
      <c r="F17" s="92">
        <f t="shared" si="1"/>
        <v>136</v>
      </c>
      <c r="G17" s="93">
        <v>68</v>
      </c>
      <c r="H17" s="94">
        <v>68</v>
      </c>
      <c r="I17" s="92">
        <f t="shared" si="2"/>
        <v>2</v>
      </c>
      <c r="J17" s="93">
        <v>0</v>
      </c>
      <c r="K17" s="94">
        <v>2</v>
      </c>
      <c r="L17" s="92">
        <f t="shared" si="3"/>
        <v>0</v>
      </c>
      <c r="M17" s="93"/>
      <c r="N17" s="94"/>
      <c r="O17" s="92">
        <f t="shared" si="4"/>
        <v>0</v>
      </c>
      <c r="P17" s="93"/>
      <c r="Q17" s="94"/>
      <c r="R17" s="67">
        <f t="shared" si="5"/>
        <v>0</v>
      </c>
      <c r="S17" s="68"/>
      <c r="T17" s="69"/>
      <c r="U17" s="67">
        <f t="shared" si="6"/>
        <v>0</v>
      </c>
      <c r="V17" s="68"/>
      <c r="W17" s="69"/>
      <c r="X17" s="67">
        <f t="shared" si="7"/>
        <v>0</v>
      </c>
      <c r="Y17" s="68"/>
      <c r="Z17" s="69"/>
      <c r="AA17" s="67">
        <f t="shared" si="8"/>
        <v>0</v>
      </c>
      <c r="AB17" s="68"/>
      <c r="AC17" s="69"/>
      <c r="AD17" s="67">
        <f t="shared" si="9"/>
        <v>0</v>
      </c>
      <c r="AE17" s="68"/>
      <c r="AF17" s="69"/>
      <c r="AG17" s="67">
        <f t="shared" si="10"/>
        <v>0</v>
      </c>
      <c r="AH17" s="68"/>
      <c r="AI17" s="69"/>
      <c r="AJ17" s="67">
        <f t="shared" si="11"/>
        <v>0</v>
      </c>
      <c r="AK17" s="68"/>
      <c r="AL17" s="69"/>
      <c r="AM17" s="67">
        <f t="shared" si="12"/>
        <v>0</v>
      </c>
      <c r="AN17" s="68"/>
      <c r="AO17" s="69"/>
      <c r="AP17" s="65">
        <f t="shared" si="13"/>
        <v>136</v>
      </c>
      <c r="AQ17" s="8">
        <f t="shared" si="0"/>
        <v>0.34</v>
      </c>
    </row>
    <row r="18" spans="1:43" ht="18" customHeight="1" x14ac:dyDescent="0.15">
      <c r="A18" s="6"/>
      <c r="B18" s="83" t="s">
        <v>106</v>
      </c>
      <c r="C18" s="89">
        <v>317</v>
      </c>
      <c r="D18" s="90">
        <v>80</v>
      </c>
      <c r="E18" s="91">
        <v>320</v>
      </c>
      <c r="F18" s="92">
        <f t="shared" si="1"/>
        <v>70</v>
      </c>
      <c r="G18" s="93">
        <v>39</v>
      </c>
      <c r="H18" s="94">
        <v>31</v>
      </c>
      <c r="I18" s="92">
        <f t="shared" si="2"/>
        <v>0</v>
      </c>
      <c r="J18" s="93">
        <v>0</v>
      </c>
      <c r="K18" s="94">
        <v>0</v>
      </c>
      <c r="L18" s="92">
        <f t="shared" si="3"/>
        <v>0</v>
      </c>
      <c r="M18" s="93"/>
      <c r="N18" s="94"/>
      <c r="O18" s="92">
        <f t="shared" si="4"/>
        <v>0</v>
      </c>
      <c r="P18" s="93"/>
      <c r="Q18" s="94"/>
      <c r="R18" s="67">
        <f t="shared" si="5"/>
        <v>0</v>
      </c>
      <c r="S18" s="68"/>
      <c r="T18" s="69"/>
      <c r="U18" s="67">
        <f t="shared" si="6"/>
        <v>0</v>
      </c>
      <c r="V18" s="68"/>
      <c r="W18" s="69"/>
      <c r="X18" s="67">
        <f t="shared" si="7"/>
        <v>0</v>
      </c>
      <c r="Y18" s="68"/>
      <c r="Z18" s="69"/>
      <c r="AA18" s="67">
        <f t="shared" si="8"/>
        <v>0</v>
      </c>
      <c r="AB18" s="68"/>
      <c r="AC18" s="69"/>
      <c r="AD18" s="67">
        <f t="shared" si="9"/>
        <v>0</v>
      </c>
      <c r="AE18" s="68"/>
      <c r="AF18" s="69"/>
      <c r="AG18" s="67">
        <f t="shared" si="10"/>
        <v>0</v>
      </c>
      <c r="AH18" s="68"/>
      <c r="AI18" s="69"/>
      <c r="AJ18" s="67">
        <f t="shared" si="11"/>
        <v>0</v>
      </c>
      <c r="AK18" s="68"/>
      <c r="AL18" s="69"/>
      <c r="AM18" s="67">
        <f t="shared" si="12"/>
        <v>0</v>
      </c>
      <c r="AN18" s="68"/>
      <c r="AO18" s="69"/>
      <c r="AP18" s="65">
        <f t="shared" si="13"/>
        <v>70</v>
      </c>
      <c r="AQ18" s="8">
        <f t="shared" si="0"/>
        <v>0.21875</v>
      </c>
    </row>
    <row r="19" spans="1:43" ht="18" customHeight="1" x14ac:dyDescent="0.15">
      <c r="A19" s="6"/>
      <c r="B19" s="83" t="s">
        <v>107</v>
      </c>
      <c r="C19" s="89">
        <v>128</v>
      </c>
      <c r="D19" s="90">
        <v>40</v>
      </c>
      <c r="E19" s="91">
        <v>160</v>
      </c>
      <c r="F19" s="92">
        <f t="shared" si="1"/>
        <v>23</v>
      </c>
      <c r="G19" s="93">
        <v>4</v>
      </c>
      <c r="H19" s="94">
        <v>19</v>
      </c>
      <c r="I19" s="92">
        <f t="shared" si="2"/>
        <v>1</v>
      </c>
      <c r="J19" s="93">
        <v>0</v>
      </c>
      <c r="K19" s="94">
        <v>1</v>
      </c>
      <c r="L19" s="92">
        <f t="shared" si="3"/>
        <v>0</v>
      </c>
      <c r="M19" s="93"/>
      <c r="N19" s="94"/>
      <c r="O19" s="92">
        <f t="shared" si="4"/>
        <v>0</v>
      </c>
      <c r="P19" s="93"/>
      <c r="Q19" s="94"/>
      <c r="R19" s="67">
        <f t="shared" si="5"/>
        <v>0</v>
      </c>
      <c r="S19" s="68"/>
      <c r="T19" s="69"/>
      <c r="U19" s="67">
        <f t="shared" si="6"/>
        <v>0</v>
      </c>
      <c r="V19" s="68"/>
      <c r="W19" s="69"/>
      <c r="X19" s="67">
        <f t="shared" si="7"/>
        <v>0</v>
      </c>
      <c r="Y19" s="68"/>
      <c r="Z19" s="69"/>
      <c r="AA19" s="67">
        <f t="shared" si="8"/>
        <v>0</v>
      </c>
      <c r="AB19" s="68"/>
      <c r="AC19" s="69"/>
      <c r="AD19" s="67">
        <f t="shared" si="9"/>
        <v>0</v>
      </c>
      <c r="AE19" s="68"/>
      <c r="AF19" s="69"/>
      <c r="AG19" s="67">
        <f t="shared" si="10"/>
        <v>0</v>
      </c>
      <c r="AH19" s="68"/>
      <c r="AI19" s="69"/>
      <c r="AJ19" s="67">
        <f t="shared" si="11"/>
        <v>0</v>
      </c>
      <c r="AK19" s="68"/>
      <c r="AL19" s="69"/>
      <c r="AM19" s="67">
        <f t="shared" si="12"/>
        <v>0</v>
      </c>
      <c r="AN19" s="68"/>
      <c r="AO19" s="69"/>
      <c r="AP19" s="65">
        <f t="shared" si="13"/>
        <v>23</v>
      </c>
      <c r="AQ19" s="8">
        <f t="shared" si="0"/>
        <v>0.14374999999999999</v>
      </c>
    </row>
    <row r="20" spans="1:43" ht="18" customHeight="1" x14ac:dyDescent="0.15">
      <c r="A20" s="6"/>
      <c r="B20" s="83" t="s">
        <v>108</v>
      </c>
      <c r="C20" s="89">
        <v>314</v>
      </c>
      <c r="D20" s="90">
        <v>80</v>
      </c>
      <c r="E20" s="91">
        <v>320</v>
      </c>
      <c r="F20" s="92">
        <f t="shared" si="1"/>
        <v>57</v>
      </c>
      <c r="G20" s="93">
        <v>17</v>
      </c>
      <c r="H20" s="94">
        <v>40</v>
      </c>
      <c r="I20" s="92">
        <f t="shared" si="2"/>
        <v>0</v>
      </c>
      <c r="J20" s="93">
        <v>0</v>
      </c>
      <c r="K20" s="94">
        <v>0</v>
      </c>
      <c r="L20" s="92">
        <f t="shared" si="3"/>
        <v>0</v>
      </c>
      <c r="M20" s="93"/>
      <c r="N20" s="94"/>
      <c r="O20" s="92">
        <f t="shared" si="4"/>
        <v>0</v>
      </c>
      <c r="P20" s="93"/>
      <c r="Q20" s="94"/>
      <c r="R20" s="67">
        <f t="shared" si="5"/>
        <v>0</v>
      </c>
      <c r="S20" s="68"/>
      <c r="T20" s="69"/>
      <c r="U20" s="67">
        <f t="shared" si="6"/>
        <v>0</v>
      </c>
      <c r="V20" s="68"/>
      <c r="W20" s="69"/>
      <c r="X20" s="67">
        <f t="shared" si="7"/>
        <v>0</v>
      </c>
      <c r="Y20" s="68"/>
      <c r="Z20" s="69"/>
      <c r="AA20" s="67">
        <f t="shared" si="8"/>
        <v>0</v>
      </c>
      <c r="AB20" s="68"/>
      <c r="AC20" s="69"/>
      <c r="AD20" s="67">
        <f t="shared" si="9"/>
        <v>0</v>
      </c>
      <c r="AE20" s="68"/>
      <c r="AF20" s="69"/>
      <c r="AG20" s="67">
        <f t="shared" si="10"/>
        <v>0</v>
      </c>
      <c r="AH20" s="68"/>
      <c r="AI20" s="69"/>
      <c r="AJ20" s="67">
        <f t="shared" si="11"/>
        <v>0</v>
      </c>
      <c r="AK20" s="68"/>
      <c r="AL20" s="69"/>
      <c r="AM20" s="67">
        <f t="shared" si="12"/>
        <v>0</v>
      </c>
      <c r="AN20" s="68"/>
      <c r="AO20" s="69"/>
      <c r="AP20" s="65">
        <f t="shared" si="13"/>
        <v>57</v>
      </c>
      <c r="AQ20" s="8">
        <f t="shared" si="0"/>
        <v>0.17812500000000001</v>
      </c>
    </row>
    <row r="21" spans="1:43" ht="18" customHeight="1" x14ac:dyDescent="0.15">
      <c r="A21" s="6"/>
      <c r="B21" s="83" t="s">
        <v>109</v>
      </c>
      <c r="C21" s="89">
        <v>424</v>
      </c>
      <c r="D21" s="90">
        <v>100</v>
      </c>
      <c r="E21" s="91">
        <v>400</v>
      </c>
      <c r="F21" s="92">
        <f t="shared" si="1"/>
        <v>104</v>
      </c>
      <c r="G21" s="93">
        <v>8</v>
      </c>
      <c r="H21" s="94">
        <v>96</v>
      </c>
      <c r="I21" s="92">
        <f t="shared" si="2"/>
        <v>2</v>
      </c>
      <c r="J21" s="93">
        <v>0</v>
      </c>
      <c r="K21" s="94">
        <v>2</v>
      </c>
      <c r="L21" s="92">
        <f t="shared" si="3"/>
        <v>0</v>
      </c>
      <c r="M21" s="93"/>
      <c r="N21" s="94"/>
      <c r="O21" s="92">
        <f t="shared" si="4"/>
        <v>0</v>
      </c>
      <c r="P21" s="93"/>
      <c r="Q21" s="94"/>
      <c r="R21" s="67">
        <f t="shared" si="5"/>
        <v>0</v>
      </c>
      <c r="S21" s="68"/>
      <c r="T21" s="69"/>
      <c r="U21" s="67">
        <f t="shared" si="6"/>
        <v>0</v>
      </c>
      <c r="V21" s="68"/>
      <c r="W21" s="69"/>
      <c r="X21" s="67">
        <f t="shared" si="7"/>
        <v>0</v>
      </c>
      <c r="Y21" s="68"/>
      <c r="Z21" s="69"/>
      <c r="AA21" s="67">
        <f t="shared" si="8"/>
        <v>0</v>
      </c>
      <c r="AB21" s="68"/>
      <c r="AC21" s="69"/>
      <c r="AD21" s="67">
        <f t="shared" si="9"/>
        <v>0</v>
      </c>
      <c r="AE21" s="68"/>
      <c r="AF21" s="69"/>
      <c r="AG21" s="67">
        <f t="shared" si="10"/>
        <v>0</v>
      </c>
      <c r="AH21" s="68"/>
      <c r="AI21" s="69"/>
      <c r="AJ21" s="67">
        <f t="shared" si="11"/>
        <v>0</v>
      </c>
      <c r="AK21" s="68"/>
      <c r="AL21" s="69"/>
      <c r="AM21" s="67">
        <f t="shared" si="12"/>
        <v>0</v>
      </c>
      <c r="AN21" s="68"/>
      <c r="AO21" s="69"/>
      <c r="AP21" s="65">
        <f t="shared" si="13"/>
        <v>104</v>
      </c>
      <c r="AQ21" s="8">
        <f t="shared" si="0"/>
        <v>0.26</v>
      </c>
    </row>
    <row r="22" spans="1:43" ht="18" customHeight="1" x14ac:dyDescent="0.15">
      <c r="A22" s="6"/>
      <c r="B22" s="11"/>
      <c r="C22" s="64"/>
      <c r="D22" s="65"/>
      <c r="E22" s="66"/>
      <c r="F22" s="67">
        <f t="shared" si="1"/>
        <v>0</v>
      </c>
      <c r="G22" s="68"/>
      <c r="H22" s="69"/>
      <c r="I22" s="67">
        <f t="shared" si="2"/>
        <v>0</v>
      </c>
      <c r="J22" s="68"/>
      <c r="K22" s="69"/>
      <c r="L22" s="67">
        <f t="shared" si="3"/>
        <v>0</v>
      </c>
      <c r="M22" s="68"/>
      <c r="N22" s="69"/>
      <c r="O22" s="67">
        <f t="shared" si="4"/>
        <v>0</v>
      </c>
      <c r="P22" s="68"/>
      <c r="Q22" s="69"/>
      <c r="R22" s="67">
        <f t="shared" si="5"/>
        <v>0</v>
      </c>
      <c r="S22" s="68"/>
      <c r="T22" s="69"/>
      <c r="U22" s="67">
        <f t="shared" si="6"/>
        <v>0</v>
      </c>
      <c r="V22" s="68"/>
      <c r="W22" s="69"/>
      <c r="X22" s="67">
        <f t="shared" si="7"/>
        <v>0</v>
      </c>
      <c r="Y22" s="68"/>
      <c r="Z22" s="69"/>
      <c r="AA22" s="67">
        <f t="shared" si="8"/>
        <v>0</v>
      </c>
      <c r="AB22" s="68"/>
      <c r="AC22" s="69"/>
      <c r="AD22" s="67">
        <f t="shared" si="9"/>
        <v>0</v>
      </c>
      <c r="AE22" s="68"/>
      <c r="AF22" s="69"/>
      <c r="AG22" s="67">
        <f t="shared" si="10"/>
        <v>0</v>
      </c>
      <c r="AH22" s="68"/>
      <c r="AI22" s="69"/>
      <c r="AJ22" s="67">
        <f t="shared" si="11"/>
        <v>0</v>
      </c>
      <c r="AK22" s="68"/>
      <c r="AL22" s="69"/>
      <c r="AM22" s="67">
        <f t="shared" si="12"/>
        <v>0</v>
      </c>
      <c r="AN22" s="68"/>
      <c r="AO22" s="69"/>
      <c r="AP22" s="65">
        <f t="shared" si="13"/>
        <v>0</v>
      </c>
      <c r="AQ22" s="8" t="e">
        <f t="shared" si="0"/>
        <v>#DIV/0!</v>
      </c>
    </row>
    <row r="23" spans="1:43" ht="18" customHeight="1" x14ac:dyDescent="0.15">
      <c r="A23" s="6"/>
      <c r="B23" s="11"/>
      <c r="C23" s="64"/>
      <c r="D23" s="65"/>
      <c r="E23" s="66"/>
      <c r="F23" s="67">
        <f t="shared" si="1"/>
        <v>0</v>
      </c>
      <c r="G23" s="68"/>
      <c r="H23" s="69"/>
      <c r="I23" s="67">
        <f t="shared" si="2"/>
        <v>0</v>
      </c>
      <c r="J23" s="68"/>
      <c r="K23" s="69"/>
      <c r="L23" s="67">
        <f t="shared" si="3"/>
        <v>0</v>
      </c>
      <c r="M23" s="68"/>
      <c r="N23" s="69"/>
      <c r="O23" s="67">
        <f t="shared" si="4"/>
        <v>0</v>
      </c>
      <c r="P23" s="68"/>
      <c r="Q23" s="69"/>
      <c r="R23" s="67">
        <f t="shared" si="5"/>
        <v>0</v>
      </c>
      <c r="S23" s="68"/>
      <c r="T23" s="69"/>
      <c r="U23" s="67">
        <f t="shared" si="6"/>
        <v>0</v>
      </c>
      <c r="V23" s="68"/>
      <c r="W23" s="69"/>
      <c r="X23" s="67">
        <f t="shared" si="7"/>
        <v>0</v>
      </c>
      <c r="Y23" s="68"/>
      <c r="Z23" s="69"/>
      <c r="AA23" s="67">
        <f t="shared" si="8"/>
        <v>0</v>
      </c>
      <c r="AB23" s="68"/>
      <c r="AC23" s="69"/>
      <c r="AD23" s="67">
        <f t="shared" si="9"/>
        <v>0</v>
      </c>
      <c r="AE23" s="68"/>
      <c r="AF23" s="69"/>
      <c r="AG23" s="67">
        <f t="shared" si="10"/>
        <v>0</v>
      </c>
      <c r="AH23" s="68"/>
      <c r="AI23" s="69"/>
      <c r="AJ23" s="67">
        <f t="shared" si="11"/>
        <v>0</v>
      </c>
      <c r="AK23" s="68"/>
      <c r="AL23" s="69"/>
      <c r="AM23" s="67">
        <f t="shared" si="12"/>
        <v>0</v>
      </c>
      <c r="AN23" s="68"/>
      <c r="AO23" s="69"/>
      <c r="AP23" s="65">
        <f t="shared" si="13"/>
        <v>0</v>
      </c>
      <c r="AQ23" s="8" t="e">
        <f t="shared" si="0"/>
        <v>#DIV/0!</v>
      </c>
    </row>
    <row r="24" spans="1:43" ht="18" customHeight="1" x14ac:dyDescent="0.15">
      <c r="A24" s="6"/>
      <c r="B24" s="11"/>
      <c r="C24" s="64"/>
      <c r="D24" s="65"/>
      <c r="E24" s="66"/>
      <c r="F24" s="67">
        <f t="shared" si="1"/>
        <v>0</v>
      </c>
      <c r="G24" s="68"/>
      <c r="H24" s="69"/>
      <c r="I24" s="67">
        <f t="shared" si="2"/>
        <v>0</v>
      </c>
      <c r="J24" s="68"/>
      <c r="K24" s="69"/>
      <c r="L24" s="67">
        <f t="shared" si="3"/>
        <v>0</v>
      </c>
      <c r="M24" s="68"/>
      <c r="N24" s="69"/>
      <c r="O24" s="67">
        <f t="shared" si="4"/>
        <v>0</v>
      </c>
      <c r="P24" s="68"/>
      <c r="Q24" s="69"/>
      <c r="R24" s="67">
        <f t="shared" si="5"/>
        <v>0</v>
      </c>
      <c r="S24" s="68"/>
      <c r="T24" s="69"/>
      <c r="U24" s="67">
        <f t="shared" si="6"/>
        <v>0</v>
      </c>
      <c r="V24" s="68"/>
      <c r="W24" s="69"/>
      <c r="X24" s="67">
        <f t="shared" si="7"/>
        <v>0</v>
      </c>
      <c r="Y24" s="68"/>
      <c r="Z24" s="69"/>
      <c r="AA24" s="67">
        <f t="shared" si="8"/>
        <v>0</v>
      </c>
      <c r="AB24" s="68"/>
      <c r="AC24" s="69"/>
      <c r="AD24" s="67">
        <f t="shared" si="9"/>
        <v>0</v>
      </c>
      <c r="AE24" s="68"/>
      <c r="AF24" s="69"/>
      <c r="AG24" s="67">
        <f t="shared" si="10"/>
        <v>0</v>
      </c>
      <c r="AH24" s="68"/>
      <c r="AI24" s="69"/>
      <c r="AJ24" s="67">
        <f t="shared" si="11"/>
        <v>0</v>
      </c>
      <c r="AK24" s="68"/>
      <c r="AL24" s="69"/>
      <c r="AM24" s="67">
        <f t="shared" si="12"/>
        <v>0</v>
      </c>
      <c r="AN24" s="68"/>
      <c r="AO24" s="69"/>
      <c r="AP24" s="65">
        <f t="shared" si="13"/>
        <v>0</v>
      </c>
      <c r="AQ24" s="8" t="e">
        <f t="shared" si="0"/>
        <v>#DIV/0!</v>
      </c>
    </row>
    <row r="25" spans="1:43" ht="18" customHeight="1" x14ac:dyDescent="0.15">
      <c r="A25" s="6"/>
      <c r="B25" s="11"/>
      <c r="C25" s="64"/>
      <c r="D25" s="65"/>
      <c r="E25" s="66"/>
      <c r="F25" s="67">
        <f t="shared" si="1"/>
        <v>0</v>
      </c>
      <c r="G25" s="68"/>
      <c r="H25" s="69"/>
      <c r="I25" s="67">
        <f t="shared" si="2"/>
        <v>0</v>
      </c>
      <c r="J25" s="68"/>
      <c r="K25" s="69"/>
      <c r="L25" s="67">
        <f t="shared" si="3"/>
        <v>0</v>
      </c>
      <c r="M25" s="68"/>
      <c r="N25" s="69"/>
      <c r="O25" s="67">
        <f t="shared" si="4"/>
        <v>0</v>
      </c>
      <c r="P25" s="68"/>
      <c r="Q25" s="69"/>
      <c r="R25" s="67">
        <f t="shared" si="5"/>
        <v>0</v>
      </c>
      <c r="S25" s="68"/>
      <c r="T25" s="69"/>
      <c r="U25" s="67">
        <f t="shared" si="6"/>
        <v>0</v>
      </c>
      <c r="V25" s="68"/>
      <c r="W25" s="69"/>
      <c r="X25" s="67">
        <f t="shared" si="7"/>
        <v>0</v>
      </c>
      <c r="Y25" s="68"/>
      <c r="Z25" s="69"/>
      <c r="AA25" s="67">
        <f t="shared" si="8"/>
        <v>0</v>
      </c>
      <c r="AB25" s="68"/>
      <c r="AC25" s="69"/>
      <c r="AD25" s="67">
        <f t="shared" si="9"/>
        <v>0</v>
      </c>
      <c r="AE25" s="68"/>
      <c r="AF25" s="69"/>
      <c r="AG25" s="67">
        <f t="shared" si="10"/>
        <v>0</v>
      </c>
      <c r="AH25" s="68"/>
      <c r="AI25" s="69"/>
      <c r="AJ25" s="67">
        <f t="shared" si="11"/>
        <v>0</v>
      </c>
      <c r="AK25" s="68"/>
      <c r="AL25" s="69"/>
      <c r="AM25" s="67">
        <f t="shared" si="12"/>
        <v>0</v>
      </c>
      <c r="AN25" s="68"/>
      <c r="AO25" s="69"/>
      <c r="AP25" s="65">
        <f t="shared" si="13"/>
        <v>0</v>
      </c>
      <c r="AQ25" s="8" t="e">
        <f t="shared" si="0"/>
        <v>#DIV/0!</v>
      </c>
    </row>
    <row r="26" spans="1:43" ht="18" customHeight="1" x14ac:dyDescent="0.15">
      <c r="A26" s="6"/>
      <c r="B26" s="11"/>
      <c r="C26" s="64"/>
      <c r="D26" s="65"/>
      <c r="E26" s="66"/>
      <c r="F26" s="67">
        <f t="shared" si="1"/>
        <v>0</v>
      </c>
      <c r="G26" s="68"/>
      <c r="H26" s="69"/>
      <c r="I26" s="67">
        <f t="shared" si="2"/>
        <v>0</v>
      </c>
      <c r="J26" s="68"/>
      <c r="K26" s="69"/>
      <c r="L26" s="67">
        <f t="shared" si="3"/>
        <v>0</v>
      </c>
      <c r="M26" s="68"/>
      <c r="N26" s="69"/>
      <c r="O26" s="67">
        <f t="shared" si="4"/>
        <v>0</v>
      </c>
      <c r="P26" s="68"/>
      <c r="Q26" s="69"/>
      <c r="R26" s="67">
        <f t="shared" si="5"/>
        <v>0</v>
      </c>
      <c r="S26" s="68"/>
      <c r="T26" s="69"/>
      <c r="U26" s="67">
        <f t="shared" si="6"/>
        <v>0</v>
      </c>
      <c r="V26" s="68"/>
      <c r="W26" s="69"/>
      <c r="X26" s="67">
        <f t="shared" si="7"/>
        <v>0</v>
      </c>
      <c r="Y26" s="68"/>
      <c r="Z26" s="69"/>
      <c r="AA26" s="67">
        <f t="shared" si="8"/>
        <v>0</v>
      </c>
      <c r="AB26" s="68"/>
      <c r="AC26" s="69"/>
      <c r="AD26" s="67">
        <f t="shared" si="9"/>
        <v>0</v>
      </c>
      <c r="AE26" s="68"/>
      <c r="AF26" s="69"/>
      <c r="AG26" s="67">
        <f t="shared" si="10"/>
        <v>0</v>
      </c>
      <c r="AH26" s="68"/>
      <c r="AI26" s="69"/>
      <c r="AJ26" s="67">
        <f t="shared" si="11"/>
        <v>0</v>
      </c>
      <c r="AK26" s="68"/>
      <c r="AL26" s="69"/>
      <c r="AM26" s="67">
        <f t="shared" si="12"/>
        <v>0</v>
      </c>
      <c r="AN26" s="68"/>
      <c r="AO26" s="69"/>
      <c r="AP26" s="65">
        <f t="shared" si="13"/>
        <v>0</v>
      </c>
      <c r="AQ26" s="8" t="e">
        <f t="shared" si="0"/>
        <v>#DIV/0!</v>
      </c>
    </row>
    <row r="27" spans="1:43" ht="18" customHeight="1" x14ac:dyDescent="0.15">
      <c r="A27" s="6"/>
      <c r="B27" s="11"/>
      <c r="C27" s="64"/>
      <c r="D27" s="65"/>
      <c r="E27" s="66"/>
      <c r="F27" s="67">
        <f t="shared" si="1"/>
        <v>0</v>
      </c>
      <c r="G27" s="68"/>
      <c r="H27" s="69"/>
      <c r="I27" s="67">
        <f t="shared" si="2"/>
        <v>0</v>
      </c>
      <c r="J27" s="68"/>
      <c r="K27" s="69"/>
      <c r="L27" s="67">
        <f t="shared" si="3"/>
        <v>0</v>
      </c>
      <c r="M27" s="68"/>
      <c r="N27" s="69"/>
      <c r="O27" s="67">
        <f t="shared" si="4"/>
        <v>0</v>
      </c>
      <c r="P27" s="68"/>
      <c r="Q27" s="69"/>
      <c r="R27" s="67">
        <f t="shared" si="5"/>
        <v>0</v>
      </c>
      <c r="S27" s="68"/>
      <c r="T27" s="69"/>
      <c r="U27" s="67">
        <f t="shared" si="6"/>
        <v>0</v>
      </c>
      <c r="V27" s="68"/>
      <c r="W27" s="69"/>
      <c r="X27" s="67">
        <f t="shared" si="7"/>
        <v>0</v>
      </c>
      <c r="Y27" s="68"/>
      <c r="Z27" s="69"/>
      <c r="AA27" s="67">
        <f t="shared" si="8"/>
        <v>0</v>
      </c>
      <c r="AB27" s="68"/>
      <c r="AC27" s="69"/>
      <c r="AD27" s="67">
        <f t="shared" si="9"/>
        <v>0</v>
      </c>
      <c r="AE27" s="68"/>
      <c r="AF27" s="69"/>
      <c r="AG27" s="67">
        <f t="shared" si="10"/>
        <v>0</v>
      </c>
      <c r="AH27" s="68"/>
      <c r="AI27" s="69"/>
      <c r="AJ27" s="67">
        <f t="shared" si="11"/>
        <v>0</v>
      </c>
      <c r="AK27" s="68"/>
      <c r="AL27" s="69"/>
      <c r="AM27" s="67">
        <f t="shared" si="12"/>
        <v>0</v>
      </c>
      <c r="AN27" s="68"/>
      <c r="AO27" s="69"/>
      <c r="AP27" s="65">
        <f t="shared" si="13"/>
        <v>0</v>
      </c>
      <c r="AQ27" s="8" t="e">
        <f t="shared" si="0"/>
        <v>#DIV/0!</v>
      </c>
    </row>
    <row r="28" spans="1:43" ht="18" customHeight="1" x14ac:dyDescent="0.15">
      <c r="A28" s="6"/>
      <c r="B28" s="11"/>
      <c r="C28" s="64"/>
      <c r="D28" s="65"/>
      <c r="E28" s="66"/>
      <c r="F28" s="67">
        <f t="shared" si="1"/>
        <v>0</v>
      </c>
      <c r="G28" s="68"/>
      <c r="H28" s="69"/>
      <c r="I28" s="67">
        <f t="shared" si="2"/>
        <v>0</v>
      </c>
      <c r="J28" s="68"/>
      <c r="K28" s="69"/>
      <c r="L28" s="67">
        <f t="shared" si="3"/>
        <v>0</v>
      </c>
      <c r="M28" s="68"/>
      <c r="N28" s="69"/>
      <c r="O28" s="67">
        <f t="shared" si="4"/>
        <v>0</v>
      </c>
      <c r="P28" s="68"/>
      <c r="Q28" s="69"/>
      <c r="R28" s="67">
        <f t="shared" si="5"/>
        <v>0</v>
      </c>
      <c r="S28" s="68"/>
      <c r="T28" s="69"/>
      <c r="U28" s="67">
        <f t="shared" si="6"/>
        <v>0</v>
      </c>
      <c r="V28" s="68"/>
      <c r="W28" s="69"/>
      <c r="X28" s="67">
        <f t="shared" si="7"/>
        <v>0</v>
      </c>
      <c r="Y28" s="68"/>
      <c r="Z28" s="69"/>
      <c r="AA28" s="67">
        <f t="shared" si="8"/>
        <v>0</v>
      </c>
      <c r="AB28" s="68"/>
      <c r="AC28" s="69"/>
      <c r="AD28" s="67">
        <f t="shared" si="9"/>
        <v>0</v>
      </c>
      <c r="AE28" s="68"/>
      <c r="AF28" s="69"/>
      <c r="AG28" s="67">
        <f t="shared" si="10"/>
        <v>0</v>
      </c>
      <c r="AH28" s="68"/>
      <c r="AI28" s="69"/>
      <c r="AJ28" s="67">
        <f t="shared" si="11"/>
        <v>0</v>
      </c>
      <c r="AK28" s="68"/>
      <c r="AL28" s="69"/>
      <c r="AM28" s="67">
        <f t="shared" si="12"/>
        <v>0</v>
      </c>
      <c r="AN28" s="68"/>
      <c r="AO28" s="69"/>
      <c r="AP28" s="65">
        <f t="shared" si="13"/>
        <v>0</v>
      </c>
      <c r="AQ28" s="8" t="e">
        <f t="shared" si="0"/>
        <v>#DIV/0!</v>
      </c>
    </row>
    <row r="29" spans="1:43" ht="18" customHeight="1" x14ac:dyDescent="0.15">
      <c r="A29" s="6"/>
      <c r="B29" s="11"/>
      <c r="C29" s="64"/>
      <c r="D29" s="70"/>
      <c r="E29" s="66"/>
      <c r="F29" s="67">
        <f t="shared" si="1"/>
        <v>0</v>
      </c>
      <c r="G29" s="68"/>
      <c r="H29" s="69"/>
      <c r="I29" s="67">
        <f t="shared" si="2"/>
        <v>0</v>
      </c>
      <c r="J29" s="68"/>
      <c r="K29" s="69"/>
      <c r="L29" s="67">
        <f t="shared" si="3"/>
        <v>0</v>
      </c>
      <c r="M29" s="68"/>
      <c r="N29" s="69"/>
      <c r="O29" s="67">
        <f t="shared" si="4"/>
        <v>0</v>
      </c>
      <c r="P29" s="68"/>
      <c r="Q29" s="69"/>
      <c r="R29" s="67">
        <f t="shared" si="5"/>
        <v>0</v>
      </c>
      <c r="S29" s="68"/>
      <c r="T29" s="69"/>
      <c r="U29" s="67">
        <f t="shared" si="6"/>
        <v>0</v>
      </c>
      <c r="V29" s="68"/>
      <c r="W29" s="69"/>
      <c r="X29" s="67">
        <f t="shared" si="7"/>
        <v>0</v>
      </c>
      <c r="Y29" s="68"/>
      <c r="Z29" s="69"/>
      <c r="AA29" s="67">
        <f t="shared" si="8"/>
        <v>0</v>
      </c>
      <c r="AB29" s="68"/>
      <c r="AC29" s="69"/>
      <c r="AD29" s="67">
        <f t="shared" si="9"/>
        <v>0</v>
      </c>
      <c r="AE29" s="68"/>
      <c r="AF29" s="69"/>
      <c r="AG29" s="67">
        <f t="shared" si="10"/>
        <v>0</v>
      </c>
      <c r="AH29" s="68"/>
      <c r="AI29" s="69"/>
      <c r="AJ29" s="67">
        <f t="shared" si="11"/>
        <v>0</v>
      </c>
      <c r="AK29" s="68"/>
      <c r="AL29" s="69"/>
      <c r="AM29" s="67">
        <f t="shared" si="12"/>
        <v>0</v>
      </c>
      <c r="AN29" s="68"/>
      <c r="AO29" s="69"/>
      <c r="AP29" s="70">
        <f t="shared" si="13"/>
        <v>0</v>
      </c>
      <c r="AQ29" s="8" t="e">
        <f t="shared" si="0"/>
        <v>#DIV/0!</v>
      </c>
    </row>
    <row r="30" spans="1:43" ht="18" customHeight="1" x14ac:dyDescent="0.15">
      <c r="A30" s="6"/>
      <c r="B30" s="11"/>
      <c r="C30" s="64"/>
      <c r="D30" s="70"/>
      <c r="E30" s="66"/>
      <c r="F30" s="67">
        <f t="shared" si="1"/>
        <v>0</v>
      </c>
      <c r="G30" s="68"/>
      <c r="H30" s="69"/>
      <c r="I30" s="67">
        <f t="shared" si="2"/>
        <v>0</v>
      </c>
      <c r="J30" s="68"/>
      <c r="K30" s="69"/>
      <c r="L30" s="67">
        <f t="shared" si="3"/>
        <v>0</v>
      </c>
      <c r="M30" s="68"/>
      <c r="N30" s="69"/>
      <c r="O30" s="67">
        <f t="shared" si="4"/>
        <v>0</v>
      </c>
      <c r="P30" s="68"/>
      <c r="Q30" s="69"/>
      <c r="R30" s="67">
        <f t="shared" si="5"/>
        <v>0</v>
      </c>
      <c r="S30" s="68"/>
      <c r="T30" s="69"/>
      <c r="U30" s="67">
        <f t="shared" si="6"/>
        <v>0</v>
      </c>
      <c r="V30" s="68"/>
      <c r="W30" s="69"/>
      <c r="X30" s="67">
        <f t="shared" si="7"/>
        <v>0</v>
      </c>
      <c r="Y30" s="68"/>
      <c r="Z30" s="69"/>
      <c r="AA30" s="67">
        <f t="shared" si="8"/>
        <v>0</v>
      </c>
      <c r="AB30" s="68"/>
      <c r="AC30" s="69"/>
      <c r="AD30" s="67">
        <f t="shared" si="9"/>
        <v>0</v>
      </c>
      <c r="AE30" s="68"/>
      <c r="AF30" s="69"/>
      <c r="AG30" s="67">
        <f t="shared" si="10"/>
        <v>0</v>
      </c>
      <c r="AH30" s="68"/>
      <c r="AI30" s="69"/>
      <c r="AJ30" s="67">
        <f t="shared" si="11"/>
        <v>0</v>
      </c>
      <c r="AK30" s="68"/>
      <c r="AL30" s="69"/>
      <c r="AM30" s="67">
        <f t="shared" si="12"/>
        <v>0</v>
      </c>
      <c r="AN30" s="68"/>
      <c r="AO30" s="69"/>
      <c r="AP30" s="70">
        <f t="shared" si="13"/>
        <v>0</v>
      </c>
      <c r="AQ30" s="8" t="e">
        <f t="shared" si="0"/>
        <v>#DIV/0!</v>
      </c>
    </row>
    <row r="31" spans="1:43" ht="18" customHeight="1" thickBot="1" x14ac:dyDescent="0.2">
      <c r="A31" s="6"/>
      <c r="B31" s="12"/>
      <c r="C31" s="59"/>
      <c r="D31" s="71"/>
      <c r="E31" s="61"/>
      <c r="F31" s="61">
        <f t="shared" si="1"/>
        <v>0</v>
      </c>
      <c r="G31" s="72"/>
      <c r="H31" s="73"/>
      <c r="I31" s="61">
        <f t="shared" si="2"/>
        <v>0</v>
      </c>
      <c r="J31" s="72"/>
      <c r="K31" s="73"/>
      <c r="L31" s="61">
        <f t="shared" si="3"/>
        <v>0</v>
      </c>
      <c r="M31" s="72"/>
      <c r="N31" s="73"/>
      <c r="O31" s="61">
        <f t="shared" si="4"/>
        <v>0</v>
      </c>
      <c r="P31" s="72"/>
      <c r="Q31" s="73"/>
      <c r="R31" s="61">
        <f t="shared" si="5"/>
        <v>0</v>
      </c>
      <c r="S31" s="72"/>
      <c r="T31" s="73"/>
      <c r="U31" s="61">
        <f t="shared" si="6"/>
        <v>0</v>
      </c>
      <c r="V31" s="72"/>
      <c r="W31" s="73"/>
      <c r="X31" s="61">
        <f t="shared" si="7"/>
        <v>0</v>
      </c>
      <c r="Y31" s="72"/>
      <c r="Z31" s="73"/>
      <c r="AA31" s="61">
        <f t="shared" si="8"/>
        <v>0</v>
      </c>
      <c r="AB31" s="72"/>
      <c r="AC31" s="73"/>
      <c r="AD31" s="61">
        <f t="shared" si="9"/>
        <v>0</v>
      </c>
      <c r="AE31" s="72"/>
      <c r="AF31" s="73"/>
      <c r="AG31" s="61">
        <f t="shared" si="10"/>
        <v>0</v>
      </c>
      <c r="AH31" s="72"/>
      <c r="AI31" s="73"/>
      <c r="AJ31" s="61">
        <f t="shared" si="11"/>
        <v>0</v>
      </c>
      <c r="AK31" s="72"/>
      <c r="AL31" s="73"/>
      <c r="AM31" s="61">
        <f t="shared" si="12"/>
        <v>0</v>
      </c>
      <c r="AN31" s="72"/>
      <c r="AO31" s="73"/>
      <c r="AP31" s="71">
        <f t="shared" si="13"/>
        <v>0</v>
      </c>
      <c r="AQ31" s="7" t="e">
        <f t="shared" si="0"/>
        <v>#DIV/0!</v>
      </c>
    </row>
    <row r="32" spans="1:43" ht="18" customHeight="1" thickTop="1" x14ac:dyDescent="0.15">
      <c r="B32" s="13" t="s">
        <v>110</v>
      </c>
      <c r="C32" s="74">
        <f t="shared" ref="C32" si="14">SUM(C12:C31)</f>
        <v>4653</v>
      </c>
      <c r="D32" s="75">
        <f t="shared" ref="D32:AP32" si="15">SUM(D12:D31)</f>
        <v>1220</v>
      </c>
      <c r="E32" s="76">
        <f t="shared" si="15"/>
        <v>4880</v>
      </c>
      <c r="F32" s="76">
        <f t="shared" si="15"/>
        <v>1204</v>
      </c>
      <c r="G32" s="77">
        <f t="shared" si="15"/>
        <v>460</v>
      </c>
      <c r="H32" s="78">
        <f t="shared" si="15"/>
        <v>744</v>
      </c>
      <c r="I32" s="76">
        <f t="shared" ref="I32:N32" si="16">SUM(I12:I31)</f>
        <v>13</v>
      </c>
      <c r="J32" s="77">
        <f t="shared" si="16"/>
        <v>4</v>
      </c>
      <c r="K32" s="78">
        <f t="shared" si="16"/>
        <v>9</v>
      </c>
      <c r="L32" s="76">
        <f t="shared" si="16"/>
        <v>0</v>
      </c>
      <c r="M32" s="77">
        <f t="shared" si="16"/>
        <v>0</v>
      </c>
      <c r="N32" s="78">
        <f t="shared" si="16"/>
        <v>0</v>
      </c>
      <c r="O32" s="76">
        <f t="shared" ref="O32:T32" si="17">SUM(O12:O31)</f>
        <v>0</v>
      </c>
      <c r="P32" s="77">
        <f t="shared" si="17"/>
        <v>0</v>
      </c>
      <c r="Q32" s="78">
        <f t="shared" si="17"/>
        <v>0</v>
      </c>
      <c r="R32" s="76">
        <f t="shared" si="17"/>
        <v>0</v>
      </c>
      <c r="S32" s="77">
        <f t="shared" si="17"/>
        <v>0</v>
      </c>
      <c r="T32" s="78">
        <f t="shared" si="17"/>
        <v>0</v>
      </c>
      <c r="U32" s="76">
        <f t="shared" ref="U32:AI32" si="18">SUM(U12:U31)</f>
        <v>0</v>
      </c>
      <c r="V32" s="77">
        <f t="shared" si="18"/>
        <v>0</v>
      </c>
      <c r="W32" s="78">
        <f t="shared" si="18"/>
        <v>0</v>
      </c>
      <c r="X32" s="76">
        <f t="shared" si="18"/>
        <v>0</v>
      </c>
      <c r="Y32" s="77">
        <f t="shared" si="18"/>
        <v>0</v>
      </c>
      <c r="Z32" s="78">
        <f t="shared" si="18"/>
        <v>0</v>
      </c>
      <c r="AA32" s="76">
        <f t="shared" si="18"/>
        <v>0</v>
      </c>
      <c r="AB32" s="77">
        <f t="shared" si="18"/>
        <v>0</v>
      </c>
      <c r="AC32" s="78">
        <f t="shared" si="18"/>
        <v>0</v>
      </c>
      <c r="AD32" s="76">
        <f t="shared" si="18"/>
        <v>0</v>
      </c>
      <c r="AE32" s="77">
        <f t="shared" si="18"/>
        <v>0</v>
      </c>
      <c r="AF32" s="78">
        <f t="shared" si="18"/>
        <v>0</v>
      </c>
      <c r="AG32" s="76">
        <f t="shared" si="18"/>
        <v>0</v>
      </c>
      <c r="AH32" s="77">
        <f t="shared" si="18"/>
        <v>0</v>
      </c>
      <c r="AI32" s="78">
        <f t="shared" si="18"/>
        <v>0</v>
      </c>
      <c r="AJ32" s="76">
        <f t="shared" ref="AJ32:AO32" si="19">SUM(AJ12:AJ31)</f>
        <v>0</v>
      </c>
      <c r="AK32" s="77">
        <f t="shared" si="19"/>
        <v>0</v>
      </c>
      <c r="AL32" s="78">
        <f t="shared" si="19"/>
        <v>0</v>
      </c>
      <c r="AM32" s="76">
        <f t="shared" si="19"/>
        <v>0</v>
      </c>
      <c r="AN32" s="77">
        <f t="shared" si="19"/>
        <v>0</v>
      </c>
      <c r="AO32" s="78">
        <f t="shared" si="19"/>
        <v>0</v>
      </c>
      <c r="AP32" s="75">
        <f t="shared" si="15"/>
        <v>1204</v>
      </c>
      <c r="AQ32" s="9">
        <f t="shared" si="0"/>
        <v>0.24672131147540985</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37" zoomScale="130" zoomScaleNormal="100" zoomScaleSheetLayoutView="130" workbookViewId="0">
      <selection activeCell="N7" sqref="N7"/>
    </sheetView>
  </sheetViews>
  <sheetFormatPr defaultColWidth="11.375" defaultRowHeight="18.75" customHeight="1" x14ac:dyDescent="0.15"/>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0" t="s">
        <v>111</v>
      </c>
      <c r="I1" s="34" t="s">
        <v>112</v>
      </c>
    </row>
    <row r="2" spans="1:9" ht="18.75" customHeight="1" x14ac:dyDescent="0.15">
      <c r="G2" s="34" t="s">
        <v>2</v>
      </c>
      <c r="H2" s="109" t="str">
        <f>'様式１-2 経営学部　プログラムを構成する授業科目'!C2</f>
        <v>文京学院大学</v>
      </c>
      <c r="I2" s="110"/>
    </row>
    <row r="3" spans="1:9" ht="18.75" customHeight="1" x14ac:dyDescent="0.15">
      <c r="G3" s="34"/>
      <c r="H3" s="10"/>
      <c r="I3" s="10"/>
    </row>
    <row r="4" spans="1:9" ht="18.600000000000001" customHeight="1" x14ac:dyDescent="0.15">
      <c r="A4" s="117" t="s">
        <v>113</v>
      </c>
      <c r="B4" s="117"/>
      <c r="C4" s="117"/>
      <c r="D4" s="117"/>
      <c r="E4" s="117"/>
      <c r="F4" s="117"/>
      <c r="G4" s="117"/>
      <c r="H4" s="117"/>
      <c r="I4" s="117"/>
    </row>
    <row r="5" spans="1:9" ht="13.15" customHeight="1" x14ac:dyDescent="0.15">
      <c r="B5" s="3"/>
      <c r="C5" s="3"/>
      <c r="D5" s="3"/>
      <c r="E5" s="3"/>
      <c r="F5" s="3"/>
      <c r="G5" s="3"/>
      <c r="H5" s="3"/>
      <c r="I5" s="3"/>
    </row>
    <row r="6" spans="1:9" ht="18" customHeight="1" x14ac:dyDescent="0.15">
      <c r="A6" s="1" t="s">
        <v>114</v>
      </c>
      <c r="B6" s="10" t="s">
        <v>115</v>
      </c>
      <c r="C6" s="262" t="s">
        <v>116</v>
      </c>
      <c r="D6" s="262"/>
      <c r="E6" s="33">
        <v>181</v>
      </c>
      <c r="F6" s="3" t="s">
        <v>117</v>
      </c>
      <c r="G6" s="3" t="s">
        <v>118</v>
      </c>
      <c r="H6" s="33">
        <v>431</v>
      </c>
      <c r="I6" s="10" t="s">
        <v>117</v>
      </c>
    </row>
    <row r="7" spans="1:9" ht="12" customHeight="1" x14ac:dyDescent="0.15">
      <c r="C7" s="2"/>
      <c r="D7" s="2"/>
      <c r="E7" s="2"/>
      <c r="F7" s="2"/>
      <c r="G7" s="2"/>
      <c r="H7" s="2"/>
      <c r="I7" s="41"/>
    </row>
    <row r="8" spans="1:9" ht="18" customHeight="1" x14ac:dyDescent="0.15">
      <c r="A8" s="1" t="s">
        <v>119</v>
      </c>
      <c r="B8" s="10" t="s">
        <v>120</v>
      </c>
      <c r="E8" s="3"/>
      <c r="F8" s="3"/>
      <c r="G8" s="3"/>
      <c r="H8" s="33">
        <v>13</v>
      </c>
      <c r="I8" s="10" t="s">
        <v>117</v>
      </c>
    </row>
    <row r="9" spans="1:9" ht="9" customHeight="1" x14ac:dyDescent="0.15">
      <c r="B9" s="3"/>
      <c r="C9" s="3"/>
      <c r="D9" s="3"/>
      <c r="E9" s="3"/>
      <c r="F9" s="3"/>
      <c r="G9" s="3"/>
      <c r="H9" s="3"/>
      <c r="I9" s="3"/>
    </row>
    <row r="10" spans="1:9" ht="18" customHeight="1" x14ac:dyDescent="0.15">
      <c r="A10" s="1" t="s">
        <v>121</v>
      </c>
      <c r="B10" s="10" t="s">
        <v>122</v>
      </c>
      <c r="C10" s="3"/>
      <c r="D10" s="3"/>
      <c r="E10" s="3"/>
      <c r="F10" s="3"/>
      <c r="G10" s="3"/>
      <c r="H10" s="3"/>
      <c r="I10" s="3"/>
    </row>
    <row r="11" spans="1:9" ht="18" customHeight="1" x14ac:dyDescent="0.15">
      <c r="B11" s="34" t="s">
        <v>123</v>
      </c>
      <c r="C11" s="257" t="s">
        <v>124</v>
      </c>
      <c r="D11" s="260"/>
      <c r="E11" s="261"/>
      <c r="F11" s="41"/>
      <c r="G11" s="34" t="s">
        <v>125</v>
      </c>
      <c r="H11" s="257" t="s">
        <v>126</v>
      </c>
      <c r="I11" s="261"/>
    </row>
    <row r="12" spans="1:9" ht="10.15" customHeight="1" x14ac:dyDescent="0.15">
      <c r="B12" s="34"/>
      <c r="C12" s="10"/>
      <c r="D12" s="41"/>
      <c r="E12" s="41"/>
      <c r="F12" s="41"/>
      <c r="G12" s="34"/>
      <c r="H12" s="10"/>
      <c r="I12" s="41"/>
    </row>
    <row r="13" spans="1:9" ht="18" customHeight="1" x14ac:dyDescent="0.15">
      <c r="A13" s="1" t="s">
        <v>127</v>
      </c>
      <c r="B13" s="10" t="s">
        <v>128</v>
      </c>
      <c r="C13" s="3"/>
      <c r="D13" s="3"/>
      <c r="E13" s="3"/>
      <c r="F13" s="3"/>
      <c r="G13" s="3"/>
      <c r="H13" s="3"/>
      <c r="I13" s="3"/>
    </row>
    <row r="14" spans="1:9" ht="18" customHeight="1" x14ac:dyDescent="0.15">
      <c r="B14" s="257" t="s">
        <v>129</v>
      </c>
      <c r="C14" s="258"/>
      <c r="D14" s="258"/>
      <c r="E14" s="258"/>
      <c r="F14" s="258"/>
      <c r="G14" s="258"/>
      <c r="H14" s="258"/>
      <c r="I14" s="259"/>
    </row>
    <row r="15" spans="1:9" ht="9" customHeight="1" x14ac:dyDescent="0.15">
      <c r="B15" s="3"/>
      <c r="C15" s="3"/>
      <c r="D15" s="3"/>
      <c r="E15" s="3"/>
      <c r="F15" s="3"/>
      <c r="G15" s="3"/>
      <c r="H15" s="3"/>
      <c r="I15" s="3"/>
    </row>
    <row r="16" spans="1:9" ht="18" customHeight="1" x14ac:dyDescent="0.15">
      <c r="B16" s="34" t="s">
        <v>123</v>
      </c>
      <c r="C16" s="257" t="s">
        <v>130</v>
      </c>
      <c r="D16" s="260"/>
      <c r="E16" s="261"/>
      <c r="F16" s="41"/>
      <c r="G16" s="34" t="s">
        <v>125</v>
      </c>
      <c r="H16" s="257" t="s">
        <v>131</v>
      </c>
      <c r="I16" s="261"/>
    </row>
    <row r="17" spans="1:9" ht="18" customHeight="1" x14ac:dyDescent="0.15">
      <c r="B17" s="3"/>
      <c r="C17" s="3"/>
      <c r="D17" s="3"/>
      <c r="E17" s="3"/>
      <c r="F17" s="3"/>
      <c r="G17" s="3"/>
      <c r="H17" s="3"/>
      <c r="I17" s="3"/>
    </row>
    <row r="18" spans="1:9" ht="18.75" customHeight="1" x14ac:dyDescent="0.15">
      <c r="A18" s="1" t="s">
        <v>132</v>
      </c>
      <c r="B18" s="1" t="s">
        <v>133</v>
      </c>
      <c r="I18" s="3"/>
    </row>
    <row r="19" spans="1:9" ht="18.75" customHeight="1" x14ac:dyDescent="0.15">
      <c r="A19" s="1"/>
      <c r="B19" s="240" t="s">
        <v>134</v>
      </c>
      <c r="C19" s="241"/>
      <c r="D19" s="241"/>
      <c r="E19" s="241"/>
      <c r="F19" s="241"/>
      <c r="G19" s="241"/>
      <c r="H19" s="241"/>
      <c r="I19" s="242"/>
    </row>
    <row r="20" spans="1:9" ht="7.5" customHeight="1" x14ac:dyDescent="0.15">
      <c r="B20" s="3"/>
      <c r="C20" s="3"/>
      <c r="D20" s="3"/>
      <c r="E20" s="3"/>
      <c r="F20" s="3"/>
      <c r="G20" s="3"/>
      <c r="H20" s="3"/>
      <c r="I20" s="3"/>
    </row>
    <row r="21" spans="1:9" ht="18.75" customHeight="1" x14ac:dyDescent="0.15">
      <c r="A21" s="1" t="s">
        <v>135</v>
      </c>
      <c r="B21" s="1" t="s">
        <v>136</v>
      </c>
    </row>
    <row r="22" spans="1:9" ht="18.75" customHeight="1" x14ac:dyDescent="0.15">
      <c r="A22" s="14"/>
      <c r="B22" s="230" t="s">
        <v>137</v>
      </c>
      <c r="C22" s="231"/>
      <c r="D22" s="231"/>
      <c r="E22" s="231"/>
      <c r="F22" s="231"/>
      <c r="G22" s="231"/>
      <c r="H22" s="231"/>
      <c r="I22" s="232"/>
    </row>
    <row r="23" spans="1:9" ht="18.75" customHeight="1" x14ac:dyDescent="0.15">
      <c r="A23" s="14"/>
      <c r="B23" s="243"/>
      <c r="C23" s="244"/>
      <c r="D23" s="244"/>
      <c r="E23" s="244"/>
      <c r="F23" s="244"/>
      <c r="G23" s="244"/>
      <c r="H23" s="244"/>
      <c r="I23" s="235"/>
    </row>
    <row r="24" spans="1:9" ht="18.75" customHeight="1" x14ac:dyDescent="0.15">
      <c r="A24" s="14"/>
      <c r="B24" s="243"/>
      <c r="C24" s="244"/>
      <c r="D24" s="244"/>
      <c r="E24" s="244"/>
      <c r="F24" s="244"/>
      <c r="G24" s="244"/>
      <c r="H24" s="244"/>
      <c r="I24" s="235"/>
    </row>
    <row r="25" spans="1:9" ht="18.75" customHeight="1" x14ac:dyDescent="0.15">
      <c r="A25" s="14"/>
      <c r="B25" s="243"/>
      <c r="C25" s="244"/>
      <c r="D25" s="244"/>
      <c r="E25" s="244"/>
      <c r="F25" s="244"/>
      <c r="G25" s="244"/>
      <c r="H25" s="244"/>
      <c r="I25" s="235"/>
    </row>
    <row r="26" spans="1:9" ht="18.75" customHeight="1" x14ac:dyDescent="0.15">
      <c r="A26" s="14"/>
      <c r="B26" s="243"/>
      <c r="C26" s="244"/>
      <c r="D26" s="244"/>
      <c r="E26" s="244"/>
      <c r="F26" s="244"/>
      <c r="G26" s="244"/>
      <c r="H26" s="244"/>
      <c r="I26" s="235"/>
    </row>
    <row r="27" spans="1:9" ht="18.75" customHeight="1" x14ac:dyDescent="0.15">
      <c r="A27" s="14"/>
      <c r="B27" s="243"/>
      <c r="C27" s="244"/>
      <c r="D27" s="244"/>
      <c r="E27" s="244"/>
      <c r="F27" s="244"/>
      <c r="G27" s="244"/>
      <c r="H27" s="244"/>
      <c r="I27" s="235"/>
    </row>
    <row r="28" spans="1:9" ht="18.75" customHeight="1" x14ac:dyDescent="0.15">
      <c r="A28" s="14"/>
      <c r="B28" s="243"/>
      <c r="C28" s="244"/>
      <c r="D28" s="244"/>
      <c r="E28" s="244"/>
      <c r="F28" s="244"/>
      <c r="G28" s="244"/>
      <c r="H28" s="244"/>
      <c r="I28" s="235"/>
    </row>
    <row r="29" spans="1:9" ht="18.75" customHeight="1" x14ac:dyDescent="0.15">
      <c r="A29" s="14"/>
      <c r="B29" s="243"/>
      <c r="C29" s="244"/>
      <c r="D29" s="244"/>
      <c r="E29" s="244"/>
      <c r="F29" s="244"/>
      <c r="G29" s="244"/>
      <c r="H29" s="244"/>
      <c r="I29" s="235"/>
    </row>
    <row r="30" spans="1:9" ht="18.75" customHeight="1" x14ac:dyDescent="0.15">
      <c r="A30" s="14"/>
      <c r="B30" s="233"/>
      <c r="C30" s="234"/>
      <c r="D30" s="234"/>
      <c r="E30" s="234"/>
      <c r="F30" s="234"/>
      <c r="G30" s="234"/>
      <c r="H30" s="234"/>
      <c r="I30" s="235"/>
    </row>
    <row r="31" spans="1:9" ht="18.75" customHeight="1" x14ac:dyDescent="0.15">
      <c r="A31" s="14"/>
      <c r="B31" s="233"/>
      <c r="C31" s="234"/>
      <c r="D31" s="234"/>
      <c r="E31" s="234"/>
      <c r="F31" s="234"/>
      <c r="G31" s="234"/>
      <c r="H31" s="234"/>
      <c r="I31" s="235"/>
    </row>
    <row r="32" spans="1:9" ht="18.75" customHeight="1" x14ac:dyDescent="0.15">
      <c r="A32" s="14"/>
      <c r="B32" s="236"/>
      <c r="C32" s="237"/>
      <c r="D32" s="237"/>
      <c r="E32" s="237"/>
      <c r="F32" s="237"/>
      <c r="G32" s="237"/>
      <c r="H32" s="237"/>
      <c r="I32" s="238"/>
    </row>
    <row r="33" spans="1:9" ht="7.5" customHeight="1" x14ac:dyDescent="0.15">
      <c r="A33" s="14"/>
      <c r="B33" s="14"/>
      <c r="C33" s="14"/>
      <c r="D33" s="14"/>
      <c r="E33" s="14"/>
      <c r="F33" s="14"/>
      <c r="G33" s="14"/>
      <c r="H33" s="14"/>
      <c r="I33" s="14"/>
    </row>
    <row r="34" spans="1:9" ht="18.75" customHeight="1" x14ac:dyDescent="0.15">
      <c r="A34" s="15" t="s">
        <v>138</v>
      </c>
      <c r="B34" s="15" t="s">
        <v>139</v>
      </c>
      <c r="C34" s="10"/>
      <c r="D34" s="15"/>
      <c r="E34" s="15"/>
      <c r="F34" s="15"/>
      <c r="G34" s="15"/>
      <c r="H34" s="15"/>
      <c r="I34" s="15"/>
    </row>
    <row r="35" spans="1:9" ht="18.75" customHeight="1" x14ac:dyDescent="0.15">
      <c r="A35" s="14"/>
      <c r="B35" s="245" t="s">
        <v>140</v>
      </c>
      <c r="C35" s="246"/>
      <c r="D35" s="246"/>
      <c r="E35" s="246"/>
      <c r="F35" s="246"/>
      <c r="G35" s="246"/>
      <c r="H35" s="246"/>
      <c r="I35" s="247"/>
    </row>
    <row r="36" spans="1:9" ht="18.75" customHeight="1" x14ac:dyDescent="0.15">
      <c r="A36" s="14"/>
      <c r="B36" s="248"/>
      <c r="C36" s="249"/>
      <c r="D36" s="249"/>
      <c r="E36" s="249"/>
      <c r="F36" s="249"/>
      <c r="G36" s="249"/>
      <c r="H36" s="249"/>
      <c r="I36" s="250"/>
    </row>
    <row r="37" spans="1:9" ht="18.75" customHeight="1" x14ac:dyDescent="0.15">
      <c r="A37" s="14"/>
      <c r="B37" s="248"/>
      <c r="C37" s="249"/>
      <c r="D37" s="249"/>
      <c r="E37" s="249"/>
      <c r="F37" s="249"/>
      <c r="G37" s="249"/>
      <c r="H37" s="249"/>
      <c r="I37" s="250"/>
    </row>
    <row r="38" spans="1:9" ht="18.75" customHeight="1" x14ac:dyDescent="0.15">
      <c r="A38" s="14"/>
      <c r="B38" s="248"/>
      <c r="C38" s="249"/>
      <c r="D38" s="249"/>
      <c r="E38" s="249"/>
      <c r="F38" s="249"/>
      <c r="G38" s="249"/>
      <c r="H38" s="249"/>
      <c r="I38" s="250"/>
    </row>
    <row r="39" spans="1:9" ht="18.75" customHeight="1" x14ac:dyDescent="0.15">
      <c r="A39" s="14"/>
      <c r="B39" s="248"/>
      <c r="C39" s="249"/>
      <c r="D39" s="249"/>
      <c r="E39" s="249"/>
      <c r="F39" s="249"/>
      <c r="G39" s="249"/>
      <c r="H39" s="249"/>
      <c r="I39" s="250"/>
    </row>
    <row r="40" spans="1:9" ht="18.75" customHeight="1" x14ac:dyDescent="0.15">
      <c r="A40" s="14"/>
      <c r="B40" s="248"/>
      <c r="C40" s="249"/>
      <c r="D40" s="249"/>
      <c r="E40" s="249"/>
      <c r="F40" s="249"/>
      <c r="G40" s="249"/>
      <c r="H40" s="249"/>
      <c r="I40" s="250"/>
    </row>
    <row r="41" spans="1:9" ht="18.75" customHeight="1" x14ac:dyDescent="0.15">
      <c r="A41" s="14"/>
      <c r="B41" s="248"/>
      <c r="C41" s="249"/>
      <c r="D41" s="249"/>
      <c r="E41" s="249"/>
      <c r="F41" s="249"/>
      <c r="G41" s="249"/>
      <c r="H41" s="249"/>
      <c r="I41" s="250"/>
    </row>
    <row r="42" spans="1:9" ht="18.75" customHeight="1" x14ac:dyDescent="0.15">
      <c r="A42" s="14"/>
      <c r="B42" s="248"/>
      <c r="C42" s="249"/>
      <c r="D42" s="249"/>
      <c r="E42" s="249"/>
      <c r="F42" s="249"/>
      <c r="G42" s="249"/>
      <c r="H42" s="249"/>
      <c r="I42" s="250"/>
    </row>
    <row r="43" spans="1:9" ht="18.75" customHeight="1" x14ac:dyDescent="0.15">
      <c r="A43" s="14"/>
      <c r="B43" s="248"/>
      <c r="C43" s="249"/>
      <c r="D43" s="249"/>
      <c r="E43" s="249"/>
      <c r="F43" s="249"/>
      <c r="G43" s="249"/>
      <c r="H43" s="249"/>
      <c r="I43" s="250"/>
    </row>
    <row r="44" spans="1:9" ht="18.75" customHeight="1" x14ac:dyDescent="0.15">
      <c r="A44" s="14"/>
      <c r="B44" s="248"/>
      <c r="C44" s="249"/>
      <c r="D44" s="249"/>
      <c r="E44" s="249"/>
      <c r="F44" s="249"/>
      <c r="G44" s="249"/>
      <c r="H44" s="249"/>
      <c r="I44" s="250"/>
    </row>
    <row r="45" spans="1:9" ht="18.75" customHeight="1" x14ac:dyDescent="0.15">
      <c r="A45" s="14"/>
      <c r="B45" s="248"/>
      <c r="C45" s="249"/>
      <c r="D45" s="249"/>
      <c r="E45" s="249"/>
      <c r="F45" s="249"/>
      <c r="G45" s="249"/>
      <c r="H45" s="249"/>
      <c r="I45" s="250"/>
    </row>
    <row r="46" spans="1:9" ht="18.75" customHeight="1" x14ac:dyDescent="0.15">
      <c r="A46" s="14"/>
      <c r="B46" s="251"/>
      <c r="C46" s="252"/>
      <c r="D46" s="252"/>
      <c r="E46" s="252"/>
      <c r="F46" s="252"/>
      <c r="G46" s="252"/>
      <c r="H46" s="252"/>
      <c r="I46" s="253"/>
    </row>
    <row r="47" spans="1:9" ht="7.5" customHeight="1" x14ac:dyDescent="0.15">
      <c r="A47" s="4"/>
      <c r="B47" s="4"/>
      <c r="C47" s="4"/>
      <c r="D47" s="4"/>
      <c r="E47" s="4"/>
      <c r="F47" s="4"/>
      <c r="G47" s="4"/>
      <c r="H47" s="4"/>
      <c r="I47" s="4"/>
    </row>
    <row r="48" spans="1:9" ht="18.75" customHeight="1" x14ac:dyDescent="0.15">
      <c r="A48" s="1" t="s">
        <v>141</v>
      </c>
      <c r="B48" s="1" t="s">
        <v>142</v>
      </c>
    </row>
    <row r="49" spans="1:15" s="3" customFormat="1" ht="18.75" customHeight="1" x14ac:dyDescent="0.15">
      <c r="B49" s="42" t="s">
        <v>143</v>
      </c>
      <c r="C49" s="219">
        <f>'様式２ 履修者等数の実績'!AQ32</f>
        <v>0.24672131147540985</v>
      </c>
      <c r="D49" s="219"/>
      <c r="E49" s="42" t="s">
        <v>144</v>
      </c>
      <c r="F49" s="219">
        <v>0.5</v>
      </c>
      <c r="G49" s="219"/>
      <c r="H49" s="42" t="s">
        <v>145</v>
      </c>
      <c r="I49" s="43">
        <v>0.75</v>
      </c>
      <c r="J49" s="1"/>
      <c r="M49" s="1"/>
      <c r="N49" s="44"/>
    </row>
    <row r="50" spans="1:15" s="3" customFormat="1" ht="18.75" customHeight="1" x14ac:dyDescent="0.15">
      <c r="B50" s="45" t="s">
        <v>146</v>
      </c>
      <c r="C50" s="220">
        <v>1</v>
      </c>
      <c r="D50" s="220"/>
      <c r="E50" s="45" t="s">
        <v>147</v>
      </c>
      <c r="F50" s="220">
        <v>1</v>
      </c>
      <c r="G50" s="220"/>
      <c r="H50" s="45" t="s">
        <v>148</v>
      </c>
      <c r="I50" s="46">
        <f>'様式２ 履修者等数の実績'!E32</f>
        <v>4880</v>
      </c>
      <c r="J50" s="1"/>
      <c r="M50" s="1"/>
      <c r="N50" s="44"/>
    </row>
    <row r="51" spans="1:15" ht="18.75" customHeight="1" x14ac:dyDescent="0.15">
      <c r="A51" s="1"/>
      <c r="B51" s="254" t="s">
        <v>149</v>
      </c>
      <c r="C51" s="255"/>
      <c r="D51" s="255"/>
      <c r="E51" s="255"/>
      <c r="F51" s="255"/>
      <c r="G51" s="255"/>
      <c r="H51" s="255"/>
      <c r="I51" s="256"/>
      <c r="N51" s="44"/>
      <c r="O51" s="3"/>
    </row>
    <row r="52" spans="1:15" ht="18.75" customHeight="1" x14ac:dyDescent="0.15">
      <c r="A52" s="1"/>
      <c r="B52" s="221" t="s">
        <v>150</v>
      </c>
      <c r="C52" s="222"/>
      <c r="D52" s="222"/>
      <c r="E52" s="222"/>
      <c r="F52" s="222"/>
      <c r="G52" s="222"/>
      <c r="H52" s="222"/>
      <c r="I52" s="223"/>
      <c r="N52" s="44"/>
      <c r="O52" s="3"/>
    </row>
    <row r="53" spans="1:15" ht="18.75" customHeight="1" x14ac:dyDescent="0.15">
      <c r="A53" s="1"/>
      <c r="B53" s="224"/>
      <c r="C53" s="225"/>
      <c r="D53" s="225"/>
      <c r="E53" s="225"/>
      <c r="F53" s="225"/>
      <c r="G53" s="225"/>
      <c r="H53" s="225"/>
      <c r="I53" s="226"/>
      <c r="N53" s="44"/>
      <c r="O53" s="3"/>
    </row>
    <row r="54" spans="1:15" ht="18.75" customHeight="1" x14ac:dyDescent="0.15">
      <c r="A54" s="1"/>
      <c r="B54" s="224"/>
      <c r="C54" s="225"/>
      <c r="D54" s="225"/>
      <c r="E54" s="225"/>
      <c r="F54" s="225"/>
      <c r="G54" s="225"/>
      <c r="H54" s="225"/>
      <c r="I54" s="226"/>
    </row>
    <row r="55" spans="1:15" ht="18.75" customHeight="1" x14ac:dyDescent="0.15">
      <c r="A55" s="1"/>
      <c r="B55" s="224"/>
      <c r="C55" s="225"/>
      <c r="D55" s="225"/>
      <c r="E55" s="225"/>
      <c r="F55" s="225"/>
      <c r="G55" s="225"/>
      <c r="H55" s="225"/>
      <c r="I55" s="226"/>
    </row>
    <row r="56" spans="1:15" ht="18.75" customHeight="1" x14ac:dyDescent="0.15">
      <c r="A56" s="1"/>
      <c r="B56" s="224"/>
      <c r="C56" s="225"/>
      <c r="D56" s="225"/>
      <c r="E56" s="225"/>
      <c r="F56" s="225"/>
      <c r="G56" s="225"/>
      <c r="H56" s="225"/>
      <c r="I56" s="226"/>
    </row>
    <row r="57" spans="1:15" ht="18.75" customHeight="1" x14ac:dyDescent="0.15">
      <c r="A57" s="1"/>
      <c r="B57" s="224"/>
      <c r="C57" s="225"/>
      <c r="D57" s="225"/>
      <c r="E57" s="225"/>
      <c r="F57" s="225"/>
      <c r="G57" s="225"/>
      <c r="H57" s="225"/>
      <c r="I57" s="226"/>
    </row>
    <row r="58" spans="1:15" ht="18.75" customHeight="1" x14ac:dyDescent="0.15">
      <c r="A58" s="1"/>
      <c r="B58" s="224"/>
      <c r="C58" s="225"/>
      <c r="D58" s="225"/>
      <c r="E58" s="225"/>
      <c r="F58" s="225"/>
      <c r="G58" s="225"/>
      <c r="H58" s="225"/>
      <c r="I58" s="226"/>
    </row>
    <row r="59" spans="1:15" ht="18.75" customHeight="1" x14ac:dyDescent="0.15">
      <c r="A59" s="1"/>
      <c r="B59" s="224"/>
      <c r="C59" s="225"/>
      <c r="D59" s="225"/>
      <c r="E59" s="225"/>
      <c r="F59" s="225"/>
      <c r="G59" s="225"/>
      <c r="H59" s="225"/>
      <c r="I59" s="226"/>
    </row>
    <row r="60" spans="1:15" ht="18.75" customHeight="1" x14ac:dyDescent="0.15">
      <c r="A60" s="1"/>
      <c r="B60" s="224"/>
      <c r="C60" s="225"/>
      <c r="D60" s="225"/>
      <c r="E60" s="225"/>
      <c r="F60" s="225"/>
      <c r="G60" s="225"/>
      <c r="H60" s="225"/>
      <c r="I60" s="226"/>
    </row>
    <row r="61" spans="1:15" ht="18.75" customHeight="1" x14ac:dyDescent="0.15">
      <c r="A61" s="1"/>
      <c r="B61" s="224"/>
      <c r="C61" s="225"/>
      <c r="D61" s="225"/>
      <c r="E61" s="225"/>
      <c r="F61" s="225"/>
      <c r="G61" s="225"/>
      <c r="H61" s="225"/>
      <c r="I61" s="226"/>
    </row>
    <row r="62" spans="1:15" ht="18.75" customHeight="1" x14ac:dyDescent="0.15">
      <c r="A62" s="1"/>
      <c r="B62" s="224"/>
      <c r="C62" s="225"/>
      <c r="D62" s="225"/>
      <c r="E62" s="225"/>
      <c r="F62" s="225"/>
      <c r="G62" s="225"/>
      <c r="H62" s="225"/>
      <c r="I62" s="226"/>
    </row>
    <row r="63" spans="1:15" ht="18.75" customHeight="1" x14ac:dyDescent="0.15">
      <c r="A63" s="1"/>
      <c r="B63" s="227"/>
      <c r="C63" s="228"/>
      <c r="D63" s="228"/>
      <c r="E63" s="228"/>
      <c r="F63" s="228"/>
      <c r="G63" s="228"/>
      <c r="H63" s="228"/>
      <c r="I63" s="229"/>
    </row>
    <row r="64" spans="1:15" ht="7.5" customHeight="1" x14ac:dyDescent="0.15">
      <c r="A64" s="14"/>
      <c r="B64" s="14"/>
      <c r="C64" s="14"/>
      <c r="D64" s="14"/>
      <c r="E64" s="14"/>
      <c r="F64" s="14"/>
      <c r="G64" s="14"/>
      <c r="H64" s="14"/>
      <c r="I64" s="14"/>
    </row>
    <row r="65" spans="1:9" ht="18.75" customHeight="1" x14ac:dyDescent="0.15">
      <c r="A65" s="15" t="s">
        <v>151</v>
      </c>
      <c r="B65" s="1" t="s">
        <v>152</v>
      </c>
      <c r="I65" s="15"/>
    </row>
    <row r="66" spans="1:9" ht="18.75" customHeight="1" x14ac:dyDescent="0.15">
      <c r="A66" s="4"/>
      <c r="B66" s="203" t="s">
        <v>153</v>
      </c>
      <c r="C66" s="204"/>
      <c r="D66" s="204"/>
      <c r="E66" s="204"/>
      <c r="F66" s="204"/>
      <c r="G66" s="204"/>
      <c r="H66" s="204"/>
      <c r="I66" s="205"/>
    </row>
    <row r="67" spans="1:9" ht="18.75" customHeight="1" x14ac:dyDescent="0.15">
      <c r="A67" s="4"/>
      <c r="B67" s="206"/>
      <c r="C67" s="207"/>
      <c r="D67" s="207"/>
      <c r="E67" s="207"/>
      <c r="F67" s="207"/>
      <c r="G67" s="207"/>
      <c r="H67" s="207"/>
      <c r="I67" s="208"/>
    </row>
    <row r="68" spans="1:9" ht="18.75" customHeight="1" x14ac:dyDescent="0.15">
      <c r="A68" s="4"/>
      <c r="B68" s="206"/>
      <c r="C68" s="207"/>
      <c r="D68" s="207"/>
      <c r="E68" s="207"/>
      <c r="F68" s="207"/>
      <c r="G68" s="207"/>
      <c r="H68" s="207"/>
      <c r="I68" s="208"/>
    </row>
    <row r="69" spans="1:9" ht="18.75" customHeight="1" x14ac:dyDescent="0.15">
      <c r="A69" s="4"/>
      <c r="B69" s="206"/>
      <c r="C69" s="207"/>
      <c r="D69" s="207"/>
      <c r="E69" s="207"/>
      <c r="F69" s="207"/>
      <c r="G69" s="207"/>
      <c r="H69" s="207"/>
      <c r="I69" s="208"/>
    </row>
    <row r="70" spans="1:9" ht="18.75" customHeight="1" x14ac:dyDescent="0.15">
      <c r="A70" s="4"/>
      <c r="B70" s="206"/>
      <c r="C70" s="207"/>
      <c r="D70" s="207"/>
      <c r="E70" s="207"/>
      <c r="F70" s="207"/>
      <c r="G70" s="207"/>
      <c r="H70" s="207"/>
      <c r="I70" s="208"/>
    </row>
    <row r="71" spans="1:9" ht="18.75" customHeight="1" x14ac:dyDescent="0.15">
      <c r="A71" s="4"/>
      <c r="B71" s="206"/>
      <c r="C71" s="207"/>
      <c r="D71" s="207"/>
      <c r="E71" s="207"/>
      <c r="F71" s="207"/>
      <c r="G71" s="207"/>
      <c r="H71" s="207"/>
      <c r="I71" s="208"/>
    </row>
    <row r="72" spans="1:9" ht="18.75" customHeight="1" x14ac:dyDescent="0.15">
      <c r="A72" s="4"/>
      <c r="B72" s="206"/>
      <c r="C72" s="207"/>
      <c r="D72" s="207"/>
      <c r="E72" s="207"/>
      <c r="F72" s="207"/>
      <c r="G72" s="207"/>
      <c r="H72" s="207"/>
      <c r="I72" s="208"/>
    </row>
    <row r="73" spans="1:9" ht="18.75" customHeight="1" x14ac:dyDescent="0.15">
      <c r="A73" s="4"/>
      <c r="B73" s="206"/>
      <c r="C73" s="207"/>
      <c r="D73" s="207"/>
      <c r="E73" s="207"/>
      <c r="F73" s="207"/>
      <c r="G73" s="207"/>
      <c r="H73" s="207"/>
      <c r="I73" s="208"/>
    </row>
    <row r="74" spans="1:9" ht="18.75" customHeight="1" x14ac:dyDescent="0.15">
      <c r="A74" s="4"/>
      <c r="B74" s="206"/>
      <c r="C74" s="207"/>
      <c r="D74" s="207"/>
      <c r="E74" s="207"/>
      <c r="F74" s="207"/>
      <c r="G74" s="207"/>
      <c r="H74" s="207"/>
      <c r="I74" s="208"/>
    </row>
    <row r="75" spans="1:9" ht="18.75" customHeight="1" x14ac:dyDescent="0.15">
      <c r="A75" s="4"/>
      <c r="B75" s="206"/>
      <c r="C75" s="207"/>
      <c r="D75" s="207"/>
      <c r="E75" s="207"/>
      <c r="F75" s="207"/>
      <c r="G75" s="207"/>
      <c r="H75" s="207"/>
      <c r="I75" s="208"/>
    </row>
    <row r="76" spans="1:9" ht="18.75" customHeight="1" x14ac:dyDescent="0.15">
      <c r="A76" s="4"/>
      <c r="B76" s="206"/>
      <c r="C76" s="207"/>
      <c r="D76" s="207"/>
      <c r="E76" s="207"/>
      <c r="F76" s="207"/>
      <c r="G76" s="207"/>
      <c r="H76" s="207"/>
      <c r="I76" s="208"/>
    </row>
    <row r="77" spans="1:9" ht="18.75" customHeight="1" x14ac:dyDescent="0.15">
      <c r="A77" s="4"/>
      <c r="B77" s="209"/>
      <c r="C77" s="210"/>
      <c r="D77" s="210"/>
      <c r="E77" s="210"/>
      <c r="F77" s="210"/>
      <c r="G77" s="210"/>
      <c r="H77" s="210"/>
      <c r="I77" s="211"/>
    </row>
    <row r="78" spans="1:9" ht="7.5" customHeight="1" x14ac:dyDescent="0.15">
      <c r="A78" s="4"/>
      <c r="B78" s="4"/>
      <c r="C78" s="4"/>
      <c r="D78" s="4"/>
      <c r="E78" s="4"/>
      <c r="F78" s="4"/>
      <c r="G78" s="4"/>
      <c r="H78" s="4"/>
      <c r="I78" s="4"/>
    </row>
    <row r="79" spans="1:9" ht="18.75" customHeight="1" x14ac:dyDescent="0.15">
      <c r="A79" s="1" t="s">
        <v>154</v>
      </c>
      <c r="B79" s="1" t="s">
        <v>155</v>
      </c>
    </row>
    <row r="80" spans="1:9" ht="18.75" customHeight="1" x14ac:dyDescent="0.15">
      <c r="A80" s="1"/>
      <c r="B80" s="203" t="s">
        <v>156</v>
      </c>
      <c r="C80" s="204"/>
      <c r="D80" s="204"/>
      <c r="E80" s="204"/>
      <c r="F80" s="204"/>
      <c r="G80" s="204"/>
      <c r="H80" s="204"/>
      <c r="I80" s="212"/>
    </row>
    <row r="81" spans="1:9" ht="18.75" customHeight="1" x14ac:dyDescent="0.15">
      <c r="A81" s="1"/>
      <c r="B81" s="213"/>
      <c r="C81" s="214"/>
      <c r="D81" s="214"/>
      <c r="E81" s="214"/>
      <c r="F81" s="214"/>
      <c r="G81" s="214"/>
      <c r="H81" s="214"/>
      <c r="I81" s="215"/>
    </row>
    <row r="82" spans="1:9" ht="18.75" customHeight="1" x14ac:dyDescent="0.15">
      <c r="A82" s="1"/>
      <c r="B82" s="213"/>
      <c r="C82" s="214"/>
      <c r="D82" s="214"/>
      <c r="E82" s="214"/>
      <c r="F82" s="214"/>
      <c r="G82" s="214"/>
      <c r="H82" s="214"/>
      <c r="I82" s="215"/>
    </row>
    <row r="83" spans="1:9" ht="18.75" customHeight="1" x14ac:dyDescent="0.15">
      <c r="A83" s="1"/>
      <c r="B83" s="213"/>
      <c r="C83" s="214"/>
      <c r="D83" s="214"/>
      <c r="E83" s="214"/>
      <c r="F83" s="214"/>
      <c r="G83" s="214"/>
      <c r="H83" s="214"/>
      <c r="I83" s="215"/>
    </row>
    <row r="84" spans="1:9" ht="18.75" customHeight="1" x14ac:dyDescent="0.15">
      <c r="A84" s="1"/>
      <c r="B84" s="213"/>
      <c r="C84" s="214"/>
      <c r="D84" s="214"/>
      <c r="E84" s="214"/>
      <c r="F84" s="214"/>
      <c r="G84" s="214"/>
      <c r="H84" s="214"/>
      <c r="I84" s="215"/>
    </row>
    <row r="85" spans="1:9" ht="18.75" customHeight="1" x14ac:dyDescent="0.15">
      <c r="A85" s="1"/>
      <c r="B85" s="213"/>
      <c r="C85" s="214"/>
      <c r="D85" s="214"/>
      <c r="E85" s="214"/>
      <c r="F85" s="214"/>
      <c r="G85" s="214"/>
      <c r="H85" s="214"/>
      <c r="I85" s="215"/>
    </row>
    <row r="86" spans="1:9" ht="18.75" customHeight="1" x14ac:dyDescent="0.15">
      <c r="A86" s="1"/>
      <c r="B86" s="213"/>
      <c r="C86" s="214"/>
      <c r="D86" s="214"/>
      <c r="E86" s="214"/>
      <c r="F86" s="214"/>
      <c r="G86" s="214"/>
      <c r="H86" s="214"/>
      <c r="I86" s="215"/>
    </row>
    <row r="87" spans="1:9" ht="18.75" customHeight="1" x14ac:dyDescent="0.15">
      <c r="A87" s="1"/>
      <c r="B87" s="213"/>
      <c r="C87" s="214"/>
      <c r="D87" s="214"/>
      <c r="E87" s="214"/>
      <c r="F87" s="214"/>
      <c r="G87" s="214"/>
      <c r="H87" s="214"/>
      <c r="I87" s="215"/>
    </row>
    <row r="88" spans="1:9" ht="18.75" customHeight="1" x14ac:dyDescent="0.15">
      <c r="A88" s="1"/>
      <c r="B88" s="213"/>
      <c r="C88" s="214"/>
      <c r="D88" s="214"/>
      <c r="E88" s="214"/>
      <c r="F88" s="214"/>
      <c r="G88" s="214"/>
      <c r="H88" s="214"/>
      <c r="I88" s="215"/>
    </row>
    <row r="89" spans="1:9" ht="18.75" customHeight="1" x14ac:dyDescent="0.15">
      <c r="A89" s="1"/>
      <c r="B89" s="213"/>
      <c r="C89" s="214"/>
      <c r="D89" s="214"/>
      <c r="E89" s="214"/>
      <c r="F89" s="214"/>
      <c r="G89" s="214"/>
      <c r="H89" s="214"/>
      <c r="I89" s="215"/>
    </row>
    <row r="90" spans="1:9" ht="18.75" customHeight="1" x14ac:dyDescent="0.15">
      <c r="A90" s="4"/>
      <c r="B90" s="213"/>
      <c r="C90" s="214"/>
      <c r="D90" s="214"/>
      <c r="E90" s="214"/>
      <c r="F90" s="214"/>
      <c r="G90" s="214"/>
      <c r="H90" s="214"/>
      <c r="I90" s="215"/>
    </row>
    <row r="91" spans="1:9" ht="18.75" customHeight="1" x14ac:dyDescent="0.15">
      <c r="A91" s="4"/>
      <c r="B91" s="216"/>
      <c r="C91" s="217"/>
      <c r="D91" s="217"/>
      <c r="E91" s="217"/>
      <c r="F91" s="217"/>
      <c r="G91" s="217"/>
      <c r="H91" s="217"/>
      <c r="I91" s="218"/>
    </row>
    <row r="92" spans="1:9" ht="7.5" customHeight="1" x14ac:dyDescent="0.15">
      <c r="A92" s="4"/>
      <c r="B92" s="4"/>
      <c r="C92" s="4"/>
      <c r="D92" s="4"/>
      <c r="E92" s="4"/>
      <c r="F92" s="4"/>
      <c r="G92" s="4"/>
      <c r="H92" s="4"/>
      <c r="I92" s="4"/>
    </row>
    <row r="93" spans="1:9" ht="18.75" customHeight="1" x14ac:dyDescent="0.15">
      <c r="A93" s="1" t="s">
        <v>157</v>
      </c>
      <c r="B93" s="1" t="s">
        <v>158</v>
      </c>
    </row>
    <row r="94" spans="1:9" ht="18.75" customHeight="1" x14ac:dyDescent="0.15">
      <c r="A94" s="1"/>
      <c r="B94" s="230" t="s">
        <v>159</v>
      </c>
      <c r="C94" s="231"/>
      <c r="D94" s="231"/>
      <c r="E94" s="231"/>
      <c r="F94" s="231"/>
      <c r="G94" s="231"/>
      <c r="H94" s="231"/>
      <c r="I94" s="232"/>
    </row>
    <row r="95" spans="1:9" ht="18.75" customHeight="1" x14ac:dyDescent="0.15">
      <c r="A95" s="1"/>
      <c r="B95" s="233"/>
      <c r="C95" s="234"/>
      <c r="D95" s="234"/>
      <c r="E95" s="234"/>
      <c r="F95" s="234"/>
      <c r="G95" s="234"/>
      <c r="H95" s="234"/>
      <c r="I95" s="235"/>
    </row>
    <row r="96" spans="1:9" ht="18.75" customHeight="1" x14ac:dyDescent="0.15">
      <c r="A96" s="1"/>
      <c r="B96" s="233"/>
      <c r="C96" s="234"/>
      <c r="D96" s="234"/>
      <c r="E96" s="234"/>
      <c r="F96" s="234"/>
      <c r="G96" s="234"/>
      <c r="H96" s="234"/>
      <c r="I96" s="235"/>
    </row>
    <row r="97" spans="1:9" ht="18.75" customHeight="1" x14ac:dyDescent="0.15">
      <c r="A97" s="1"/>
      <c r="B97" s="233"/>
      <c r="C97" s="234"/>
      <c r="D97" s="234"/>
      <c r="E97" s="234"/>
      <c r="F97" s="234"/>
      <c r="G97" s="234"/>
      <c r="H97" s="234"/>
      <c r="I97" s="235"/>
    </row>
    <row r="98" spans="1:9" ht="18.75" customHeight="1" x14ac:dyDescent="0.15">
      <c r="A98" s="1"/>
      <c r="B98" s="233"/>
      <c r="C98" s="234"/>
      <c r="D98" s="234"/>
      <c r="E98" s="234"/>
      <c r="F98" s="234"/>
      <c r="G98" s="234"/>
      <c r="H98" s="234"/>
      <c r="I98" s="235"/>
    </row>
    <row r="99" spans="1:9" ht="18.75" customHeight="1" x14ac:dyDescent="0.15">
      <c r="A99" s="1"/>
      <c r="B99" s="233"/>
      <c r="C99" s="234"/>
      <c r="D99" s="234"/>
      <c r="E99" s="234"/>
      <c r="F99" s="234"/>
      <c r="G99" s="234"/>
      <c r="H99" s="234"/>
      <c r="I99" s="235"/>
    </row>
    <row r="100" spans="1:9" ht="18.75" customHeight="1" x14ac:dyDescent="0.15">
      <c r="A100" s="1"/>
      <c r="B100" s="233"/>
      <c r="C100" s="234"/>
      <c r="D100" s="234"/>
      <c r="E100" s="234"/>
      <c r="F100" s="234"/>
      <c r="G100" s="234"/>
      <c r="H100" s="234"/>
      <c r="I100" s="235"/>
    </row>
    <row r="101" spans="1:9" ht="18.75" customHeight="1" x14ac:dyDescent="0.15">
      <c r="A101" s="1"/>
      <c r="B101" s="233"/>
      <c r="C101" s="234"/>
      <c r="D101" s="234"/>
      <c r="E101" s="234"/>
      <c r="F101" s="234"/>
      <c r="G101" s="234"/>
      <c r="H101" s="234"/>
      <c r="I101" s="235"/>
    </row>
    <row r="102" spans="1:9" ht="18.75" customHeight="1" x14ac:dyDescent="0.15">
      <c r="A102" s="1"/>
      <c r="B102" s="233"/>
      <c r="C102" s="234"/>
      <c r="D102" s="234"/>
      <c r="E102" s="234"/>
      <c r="F102" s="234"/>
      <c r="G102" s="234"/>
      <c r="H102" s="234"/>
      <c r="I102" s="235"/>
    </row>
    <row r="103" spans="1:9" ht="18.75" customHeight="1" x14ac:dyDescent="0.15">
      <c r="A103" s="1"/>
      <c r="B103" s="233"/>
      <c r="C103" s="234"/>
      <c r="D103" s="234"/>
      <c r="E103" s="234"/>
      <c r="F103" s="234"/>
      <c r="G103" s="234"/>
      <c r="H103" s="234"/>
      <c r="I103" s="235"/>
    </row>
    <row r="104" spans="1:9" ht="18.75" customHeight="1" x14ac:dyDescent="0.15">
      <c r="A104" s="1"/>
      <c r="B104" s="233"/>
      <c r="C104" s="234"/>
      <c r="D104" s="234"/>
      <c r="E104" s="234"/>
      <c r="F104" s="234"/>
      <c r="G104" s="234"/>
      <c r="H104" s="234"/>
      <c r="I104" s="235"/>
    </row>
    <row r="105" spans="1:9" ht="18.75" customHeight="1" x14ac:dyDescent="0.15">
      <c r="A105" s="4"/>
      <c r="B105" s="236"/>
      <c r="C105" s="237"/>
      <c r="D105" s="237"/>
      <c r="E105" s="237"/>
      <c r="F105" s="237"/>
      <c r="G105" s="237"/>
      <c r="H105" s="237"/>
      <c r="I105" s="238"/>
    </row>
    <row r="106" spans="1:9" ht="7.5" customHeight="1" x14ac:dyDescent="0.15">
      <c r="A106" s="4"/>
      <c r="B106" s="4"/>
      <c r="C106" s="4"/>
      <c r="D106" s="4"/>
      <c r="E106" s="4"/>
      <c r="F106" s="4"/>
      <c r="G106" s="4"/>
      <c r="H106" s="4"/>
      <c r="I106" s="4"/>
    </row>
    <row r="107" spans="1:9" ht="18.75" customHeight="1" x14ac:dyDescent="0.15">
      <c r="A107" s="1" t="s">
        <v>160</v>
      </c>
      <c r="B107" s="239" t="s">
        <v>161</v>
      </c>
      <c r="C107" s="239"/>
      <c r="D107" s="239"/>
      <c r="E107" s="239"/>
      <c r="F107" s="239"/>
      <c r="G107" s="239"/>
      <c r="H107" s="239"/>
      <c r="I107" s="239"/>
    </row>
    <row r="108" spans="1:9" ht="18.75" customHeight="1" x14ac:dyDescent="0.15">
      <c r="A108" s="4"/>
      <c r="B108" s="230" t="s">
        <v>162</v>
      </c>
      <c r="C108" s="231"/>
      <c r="D108" s="231"/>
      <c r="E108" s="231"/>
      <c r="F108" s="231"/>
      <c r="G108" s="231"/>
      <c r="H108" s="231"/>
      <c r="I108" s="232"/>
    </row>
    <row r="109" spans="1:9" ht="18.75" customHeight="1" x14ac:dyDescent="0.15">
      <c r="A109" s="4"/>
      <c r="B109" s="233"/>
      <c r="C109" s="234"/>
      <c r="D109" s="234"/>
      <c r="E109" s="234"/>
      <c r="F109" s="234"/>
      <c r="G109" s="234"/>
      <c r="H109" s="234"/>
      <c r="I109" s="235"/>
    </row>
    <row r="110" spans="1:9" ht="18.75" customHeight="1" x14ac:dyDescent="0.15">
      <c r="A110" s="4"/>
      <c r="B110" s="233"/>
      <c r="C110" s="234"/>
      <c r="D110" s="234"/>
      <c r="E110" s="234"/>
      <c r="F110" s="234"/>
      <c r="G110" s="234"/>
      <c r="H110" s="234"/>
      <c r="I110" s="235"/>
    </row>
    <row r="111" spans="1:9" ht="18.75" customHeight="1" x14ac:dyDescent="0.15">
      <c r="A111" s="4"/>
      <c r="B111" s="233"/>
      <c r="C111" s="234"/>
      <c r="D111" s="234"/>
      <c r="E111" s="234"/>
      <c r="F111" s="234"/>
      <c r="G111" s="234"/>
      <c r="H111" s="234"/>
      <c r="I111" s="235"/>
    </row>
    <row r="112" spans="1:9" ht="18.75" customHeight="1" x14ac:dyDescent="0.15">
      <c r="A112" s="4"/>
      <c r="B112" s="233"/>
      <c r="C112" s="234"/>
      <c r="D112" s="234"/>
      <c r="E112" s="234"/>
      <c r="F112" s="234"/>
      <c r="G112" s="234"/>
      <c r="H112" s="234"/>
      <c r="I112" s="235"/>
    </row>
    <row r="113" spans="1:9" ht="18.75" customHeight="1" x14ac:dyDescent="0.15">
      <c r="A113" s="4"/>
      <c r="B113" s="233"/>
      <c r="C113" s="234"/>
      <c r="D113" s="234"/>
      <c r="E113" s="234"/>
      <c r="F113" s="234"/>
      <c r="G113" s="234"/>
      <c r="H113" s="234"/>
      <c r="I113" s="235"/>
    </row>
    <row r="114" spans="1:9" ht="18.75" customHeight="1" x14ac:dyDescent="0.15">
      <c r="A114" s="4"/>
      <c r="B114" s="233"/>
      <c r="C114" s="234"/>
      <c r="D114" s="234"/>
      <c r="E114" s="234"/>
      <c r="F114" s="234"/>
      <c r="G114" s="234"/>
      <c r="H114" s="234"/>
      <c r="I114" s="235"/>
    </row>
    <row r="115" spans="1:9" ht="18.75" customHeight="1" x14ac:dyDescent="0.15">
      <c r="A115" s="4"/>
      <c r="B115" s="233"/>
      <c r="C115" s="234"/>
      <c r="D115" s="234"/>
      <c r="E115" s="234"/>
      <c r="F115" s="234"/>
      <c r="G115" s="234"/>
      <c r="H115" s="234"/>
      <c r="I115" s="235"/>
    </row>
    <row r="116" spans="1:9" ht="18.75" customHeight="1" x14ac:dyDescent="0.15">
      <c r="A116" s="4"/>
      <c r="B116" s="233"/>
      <c r="C116" s="234"/>
      <c r="D116" s="234"/>
      <c r="E116" s="234"/>
      <c r="F116" s="234"/>
      <c r="G116" s="234"/>
      <c r="H116" s="234"/>
      <c r="I116" s="235"/>
    </row>
    <row r="117" spans="1:9" ht="18.75" customHeight="1" x14ac:dyDescent="0.15">
      <c r="A117" s="4"/>
      <c r="B117" s="233"/>
      <c r="C117" s="234"/>
      <c r="D117" s="234"/>
      <c r="E117" s="234"/>
      <c r="F117" s="234"/>
      <c r="G117" s="234"/>
      <c r="H117" s="234"/>
      <c r="I117" s="235"/>
    </row>
    <row r="118" spans="1:9" ht="18.75" customHeight="1" x14ac:dyDescent="0.15">
      <c r="A118" s="4"/>
      <c r="B118" s="233"/>
      <c r="C118" s="234"/>
      <c r="D118" s="234"/>
      <c r="E118" s="234"/>
      <c r="F118" s="234"/>
      <c r="G118" s="234"/>
      <c r="H118" s="234"/>
      <c r="I118" s="235"/>
    </row>
    <row r="119" spans="1:9" ht="18.75" customHeight="1" x14ac:dyDescent="0.15">
      <c r="A119" s="4"/>
      <c r="B119" s="236"/>
      <c r="C119" s="237"/>
      <c r="D119" s="237"/>
      <c r="E119" s="237"/>
      <c r="F119" s="237"/>
      <c r="G119" s="237"/>
      <c r="H119" s="237"/>
      <c r="I119" s="238"/>
    </row>
    <row r="120" spans="1:9" ht="7.5" customHeight="1" x14ac:dyDescent="0.15">
      <c r="A120" s="4"/>
      <c r="B120" s="47"/>
      <c r="C120" s="47"/>
      <c r="D120" s="47"/>
      <c r="E120" s="47"/>
      <c r="F120" s="47"/>
      <c r="G120" s="47"/>
      <c r="H120" s="47"/>
      <c r="I120" s="47"/>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8"/>
      <c r="B134" s="48"/>
      <c r="C134" s="48"/>
      <c r="D134" s="48"/>
      <c r="E134" s="48"/>
      <c r="F134" s="48"/>
      <c r="G134" s="48"/>
      <c r="H134" s="48"/>
      <c r="I134" s="48"/>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horizontalDpi="4294967294" r:id="rId1"/>
  <headerFooter>
    <oddHeader>&amp;C数理・データサイエンス・AI教育プログラム認定制度【リテラシーレベル】</oddHeader>
  </headerFooter>
  <rowBreaks count="2" manualBreakCount="2">
    <brk id="47" max="9" man="1"/>
    <brk id="92"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5" zoomScaleNormal="100" zoomScaleSheetLayoutView="100" workbookViewId="0">
      <selection activeCell="M13" sqref="M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163</v>
      </c>
      <c r="I1" s="34" t="s">
        <v>164</v>
      </c>
    </row>
    <row r="2" spans="1:9" ht="18.75" customHeight="1" x14ac:dyDescent="0.15">
      <c r="H2" s="34" t="s">
        <v>2</v>
      </c>
      <c r="I2" s="33" t="str">
        <f>'様式１-2 経営学部　プログラムを構成する授業科目'!C2</f>
        <v>文京学院大学</v>
      </c>
    </row>
    <row r="3" spans="1:9" ht="18.75" customHeight="1" x14ac:dyDescent="0.15">
      <c r="A3" s="117" t="s">
        <v>165</v>
      </c>
      <c r="B3" s="117"/>
      <c r="C3" s="117"/>
      <c r="D3" s="117"/>
      <c r="E3" s="117"/>
      <c r="F3" s="117"/>
      <c r="G3" s="117"/>
      <c r="H3" s="117"/>
      <c r="I3" s="117"/>
    </row>
    <row r="4" spans="1:9" ht="18.75" customHeight="1" x14ac:dyDescent="0.15">
      <c r="A4" s="5"/>
      <c r="B4" s="5"/>
      <c r="C4" s="5"/>
      <c r="D4" s="5"/>
      <c r="E4" s="5"/>
      <c r="F4" s="5"/>
      <c r="G4" s="5"/>
      <c r="H4" s="5"/>
      <c r="I4" s="5"/>
    </row>
    <row r="5" spans="1:9" ht="18.75" customHeight="1" x14ac:dyDescent="0.15">
      <c r="A5" s="1" t="s">
        <v>114</v>
      </c>
      <c r="B5" s="10" t="s">
        <v>166</v>
      </c>
      <c r="C5" s="5"/>
      <c r="D5" s="5"/>
      <c r="E5" s="5"/>
      <c r="F5" s="5"/>
      <c r="G5" s="5"/>
      <c r="H5" s="5"/>
      <c r="I5" s="5"/>
    </row>
    <row r="6" spans="1:9" ht="26.25" customHeight="1" x14ac:dyDescent="0.15">
      <c r="A6" s="5"/>
      <c r="B6" s="257" t="s">
        <v>167</v>
      </c>
      <c r="C6" s="289"/>
      <c r="D6" s="289"/>
      <c r="E6" s="289"/>
      <c r="F6" s="289"/>
      <c r="G6" s="289"/>
      <c r="H6" s="290"/>
      <c r="I6" s="3"/>
    </row>
    <row r="7" spans="1:9" ht="9" customHeight="1" x14ac:dyDescent="0.15">
      <c r="A7" s="5"/>
      <c r="B7" s="10"/>
      <c r="C7" s="10"/>
      <c r="D7" s="10"/>
      <c r="E7" s="10"/>
      <c r="F7" s="10"/>
      <c r="G7" s="10"/>
      <c r="H7" s="10"/>
      <c r="I7" s="3"/>
    </row>
    <row r="8" spans="1:9" ht="18.75" customHeight="1" x14ac:dyDescent="0.15">
      <c r="A8" s="5"/>
      <c r="B8" s="3"/>
      <c r="C8" s="3"/>
      <c r="D8" s="34" t="s">
        <v>123</v>
      </c>
      <c r="E8" s="35" t="s">
        <v>130</v>
      </c>
      <c r="F8" s="3"/>
      <c r="G8" s="34" t="s">
        <v>125</v>
      </c>
      <c r="H8" s="35" t="s">
        <v>131</v>
      </c>
      <c r="I8" s="3"/>
    </row>
    <row r="9" spans="1:9" ht="7.5" customHeight="1" x14ac:dyDescent="0.15">
      <c r="A9" s="5"/>
      <c r="B9" s="5"/>
      <c r="C9" s="5"/>
      <c r="D9" s="5"/>
      <c r="E9" s="5"/>
      <c r="F9" s="5"/>
      <c r="G9" s="5"/>
      <c r="H9" s="5"/>
      <c r="I9" s="5"/>
    </row>
    <row r="10" spans="1:9" ht="18.75" customHeight="1" x14ac:dyDescent="0.15">
      <c r="A10" s="1" t="s">
        <v>119</v>
      </c>
      <c r="B10" s="1" t="s">
        <v>168</v>
      </c>
      <c r="C10" s="4"/>
      <c r="D10" s="4"/>
      <c r="E10" s="4"/>
      <c r="F10" s="4"/>
      <c r="G10" s="4"/>
      <c r="H10" s="4"/>
      <c r="I10" s="4"/>
    </row>
    <row r="11" spans="1:9" ht="18.75" customHeight="1" x14ac:dyDescent="0.15">
      <c r="B11" s="109" t="s">
        <v>169</v>
      </c>
      <c r="C11" s="112"/>
      <c r="D11" s="110"/>
      <c r="E11" s="112" t="s">
        <v>170</v>
      </c>
      <c r="F11" s="112"/>
      <c r="G11" s="112"/>
      <c r="H11" s="112"/>
      <c r="I11" s="110"/>
    </row>
    <row r="12" spans="1:9" ht="26.25" customHeight="1" x14ac:dyDescent="0.15">
      <c r="B12" s="49" t="s">
        <v>171</v>
      </c>
      <c r="C12" s="55"/>
      <c r="D12" s="50"/>
      <c r="E12" s="56"/>
      <c r="F12" s="56"/>
      <c r="G12" s="56"/>
      <c r="H12" s="56"/>
      <c r="I12" s="50"/>
    </row>
    <row r="13" spans="1:9" ht="210.75" customHeight="1" x14ac:dyDescent="0.15">
      <c r="B13" s="51"/>
      <c r="C13" s="268" t="s">
        <v>172</v>
      </c>
      <c r="D13" s="269"/>
      <c r="E13" s="281" t="s">
        <v>173</v>
      </c>
      <c r="F13" s="282"/>
      <c r="G13" s="282"/>
      <c r="H13" s="282"/>
      <c r="I13" s="283"/>
    </row>
    <row r="14" spans="1:9" ht="210.75" customHeight="1" x14ac:dyDescent="0.15">
      <c r="B14" s="51"/>
      <c r="C14" s="287" t="s">
        <v>174</v>
      </c>
      <c r="D14" s="288"/>
      <c r="E14" s="281" t="s">
        <v>175</v>
      </c>
      <c r="F14" s="282"/>
      <c r="G14" s="282"/>
      <c r="H14" s="282"/>
      <c r="I14" s="283"/>
    </row>
    <row r="15" spans="1:9" ht="210.75" customHeight="1" x14ac:dyDescent="0.15">
      <c r="B15" s="51"/>
      <c r="C15" s="268" t="s">
        <v>176</v>
      </c>
      <c r="D15" s="269"/>
      <c r="E15" s="281" t="s">
        <v>177</v>
      </c>
      <c r="F15" s="282"/>
      <c r="G15" s="282"/>
      <c r="H15" s="282"/>
      <c r="I15" s="283"/>
    </row>
    <row r="16" spans="1:9" ht="210.75" customHeight="1" x14ac:dyDescent="0.15">
      <c r="B16" s="51"/>
      <c r="C16" s="268" t="s">
        <v>178</v>
      </c>
      <c r="D16" s="269"/>
      <c r="E16" s="281" t="s">
        <v>179</v>
      </c>
      <c r="F16" s="282"/>
      <c r="G16" s="282"/>
      <c r="H16" s="282"/>
      <c r="I16" s="283"/>
    </row>
    <row r="17" spans="2:9" ht="210.75" customHeight="1" x14ac:dyDescent="0.15">
      <c r="B17" s="52"/>
      <c r="C17" s="272" t="s">
        <v>180</v>
      </c>
      <c r="D17" s="273"/>
      <c r="E17" s="284" t="s">
        <v>181</v>
      </c>
      <c r="F17" s="285"/>
      <c r="G17" s="285"/>
      <c r="H17" s="285"/>
      <c r="I17" s="286"/>
    </row>
    <row r="18" spans="2:9" ht="24" customHeight="1" x14ac:dyDescent="0.15">
      <c r="B18" s="49" t="s">
        <v>182</v>
      </c>
      <c r="C18" s="53"/>
      <c r="D18" s="54"/>
      <c r="E18" s="80"/>
      <c r="F18" s="80"/>
      <c r="G18" s="80"/>
      <c r="H18" s="80"/>
      <c r="I18" s="81"/>
    </row>
    <row r="19" spans="2:9" ht="218.25" customHeight="1" x14ac:dyDescent="0.15">
      <c r="B19" s="51"/>
      <c r="C19" s="268" t="s">
        <v>183</v>
      </c>
      <c r="D19" s="269"/>
      <c r="E19" s="270" t="s">
        <v>184</v>
      </c>
      <c r="F19" s="270"/>
      <c r="G19" s="270"/>
      <c r="H19" s="270"/>
      <c r="I19" s="271"/>
    </row>
    <row r="20" spans="2:9" ht="218.25" customHeight="1" x14ac:dyDescent="0.15">
      <c r="B20" s="52"/>
      <c r="C20" s="272" t="s">
        <v>185</v>
      </c>
      <c r="D20" s="273"/>
      <c r="E20" s="274" t="s">
        <v>186</v>
      </c>
      <c r="F20" s="274"/>
      <c r="G20" s="274"/>
      <c r="H20" s="274"/>
      <c r="I20" s="275"/>
    </row>
    <row r="21" spans="2:9" ht="218.25" customHeight="1" x14ac:dyDescent="0.15">
      <c r="B21" s="276" t="s">
        <v>187</v>
      </c>
      <c r="C21" s="277"/>
      <c r="D21" s="278"/>
      <c r="E21" s="279" t="s">
        <v>188</v>
      </c>
      <c r="F21" s="279"/>
      <c r="G21" s="279"/>
      <c r="H21" s="279"/>
      <c r="I21" s="280"/>
    </row>
    <row r="22" spans="2:9" ht="218.25" customHeight="1" x14ac:dyDescent="0.15">
      <c r="B22" s="263" t="s">
        <v>189</v>
      </c>
      <c r="C22" s="264"/>
      <c r="D22" s="265"/>
      <c r="E22" s="266" t="s">
        <v>190</v>
      </c>
      <c r="F22" s="266"/>
      <c r="G22" s="266"/>
      <c r="H22" s="266"/>
      <c r="I22" s="267"/>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horizontalDpi="4294967294"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8</vt:i4>
      </vt:variant>
    </vt:vector>
  </HeadingPairs>
  <TitlesOfParts>
    <vt:vector size="15" baseType="lpstr">
      <vt:lpstr>様式１-1 外国語学部　プログラムを構成する授業科目</vt:lpstr>
      <vt:lpstr>様式１-2 経営学部　プログラムを構成する授業科目</vt:lpstr>
      <vt:lpstr>様式１-3 保健医療技術部　プログラムを構成する授業科目 </vt:lpstr>
      <vt:lpstr>様式１-４ 人間学部　プログラムを構成する授業科目</vt:lpstr>
      <vt:lpstr>様式２ 履修者等数の実績</vt:lpstr>
      <vt:lpstr>様式３ 教育の質・履修者数を向上させるための体制・計画</vt:lpstr>
      <vt:lpstr>様式４　自己点検・評価</vt:lpstr>
      <vt:lpstr>'様式１-1 外国語学部　プログラムを構成する授業科目'!Print_Area</vt:lpstr>
      <vt:lpstr>'様式１-2 経営学部　プログラムを構成する授業科目'!Print_Area</vt:lpstr>
      <vt:lpstr>'様式１-3 保健医療技術部　プログラムを構成する授業科目 '!Print_Area</vt:lpstr>
      <vt:lpstr>'様式１-４ 人間学部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友田 賢一郎</cp:lastModifiedBy>
  <cp:revision/>
  <dcterms:created xsi:type="dcterms:W3CDTF">2011-06-14T05:32:50Z</dcterms:created>
  <dcterms:modified xsi:type="dcterms:W3CDTF">2023-07-07T00:46:57Z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