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7"/>
  <workbookPr defaultThemeVersion="124226"/>
  <mc:AlternateContent xmlns:mc="http://schemas.openxmlformats.org/markup-compatibility/2006">
    <mc:Choice Requires="x15">
      <x15ac:absPath xmlns:x15ac="http://schemas.microsoft.com/office/spreadsheetml/2010/11/ac" url="C:\Users\fujikami-t\Desktop\最終版\県立広島大学\01_県立広島大学_リテラシー\"/>
    </mc:Choice>
  </mc:AlternateContent>
  <xr:revisionPtr revIDLastSave="0" documentId="13_ncr:1_{87BA5D9E-AECD-4423-AF2E-4C82501999CC}" xr6:coauthVersionLast="36" xr6:coauthVersionMax="47" xr10:uidLastSave="{00000000-0000-0000-0000-000000000000}"/>
  <bookViews>
    <workbookView xWindow="0" yWindow="0" windowWidth="19200" windowHeight="6860"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プログラムを構成する授業科目'!$A$1:$S$103</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L14" i="40" l="1"/>
  <c r="L13" i="40"/>
  <c r="L12" i="40"/>
  <c r="R12" i="40"/>
  <c r="R13" i="40"/>
  <c r="R14" i="40"/>
  <c r="X12" i="40"/>
  <c r="X13" i="40"/>
  <c r="X14" i="40"/>
  <c r="AD12" i="40"/>
  <c r="AD13" i="40"/>
  <c r="AD14" i="40"/>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G13" i="40"/>
  <c r="AG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AA13" i="40"/>
  <c r="AA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U13" i="40"/>
  <c r="U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O13" i="40"/>
  <c r="O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AP13" i="40"/>
  <c r="AP14" i="40"/>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<sst xmlns="http://schemas.openxmlformats.org/spreadsheetml/2006/main" count="384" uniqueCount="184">
  <si>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</si>
  <si>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</si>
  <si>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</si>
  <si>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</si>
  <si>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</si>
  <si>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</si>
  <si>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</si>
  <si>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</si>
  <si>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</si>
  <si>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</si>
  <si>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</si>
  <si>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</si>
  <si>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</si>
  <si>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</si>
  <si>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</si>
  <si>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</si>
  <si>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</si>
  <si>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</si>
  <si>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</si>
  <si>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</si>
  <si>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</si>
  <si>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</si>
  <si>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</si>
  <si>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</si>
  <si>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</si>
  <si>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</si>
  <si>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</si>
  <si>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</si>
  <si>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</si>
  <si>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</si>
  <si>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</si>
  <si>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</si>
  <si>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</si>
  <si>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</si>
  <si>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</si>
  <si>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</si>
  <si>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</si>
  <si>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</si>
  <si>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</si>
  <si>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</si>
  <si>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</si>
  <si>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</si>
  <si>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</si>
  <si>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</si>
  <si>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</si>
  <si>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</si>
  <si>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</si>
  <si>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</si>
  <si>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</si>
  <si>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</si>
  <si>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</si>
  <si>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</si>
  <si>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</si>
  <si>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</si>
  <si>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</si>
  <si>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</si>
  <si>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</si>
  <si>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</si>
  <si>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</si>
  <si>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</si>
  <si>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</si>
  <si>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</si>
  <si>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</si>
  <si>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</si>
  <si>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</si>
  <si>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</si>
  <si>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</si>
  <si>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</si>
  <si>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</si>
  <si>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</si>
  <si>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</si>
  <si>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</si>
  <si>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</si>
  <si>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</si>
  <si>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</si>
  <si>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</si>
  <si>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</si>
  <si>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</si>
  <si>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</si>
  <si>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</si>
  <si>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</si>
  <si>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</si>
  <si>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</si>
  <si>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</si>
  <si>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</si>
  <si>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</si>
  <si>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</si>
  <si>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</si>
  <si>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</si>
  <si>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</si>
  <si>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</si>
  <si>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</si>
  <si>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</si>
  <si>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</si>
  <si>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</si>
  <si>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</si>
  <si>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</si>
  <si>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</si>
  <si>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</si>
  <si>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</si>
  <si>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</si>
  <si>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</si>
  <si>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</si>
  <si>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</si>
  <si>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</si>
  <si>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</si>
  <si>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</si>
  <si>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</si>
  <si>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</si>
  <si>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</si>
  <si>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</si>
  <si>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</si>
  <si>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</si>
  <si>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</si>
  <si>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</si>
  <si>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</si>
  <si>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</si>
  <si>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</si>
  <si>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</si>
  <si>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</si>
  <si>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</si>
  <si>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</si>
  <si>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</si>
  <si>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</si>
  <si>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</si>
  <si>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</si>
  <si>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</si>
  <si>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県立広島大学</t>
    <rPh sb="0" eb="6">
      <t>ケンリツヒロシマダイガク</t>
    </rPh>
    <phoneticPr fontId="1"/>
  </si>
  <si>
    <t>学部・学科によって、修了要件は相違しない</t>
  </si>
  <si>
    <t>○</t>
  </si>
  <si>
    <t>地域創生学部</t>
    <rPh sb="0" eb="6">
      <t>チイキソウセイガクブ</t>
    </rPh>
    <phoneticPr fontId="1"/>
  </si>
  <si>
    <t>保健福祉学部</t>
    <rPh sb="0" eb="6">
      <t>ホケンフクシガクブ</t>
    </rPh>
    <phoneticPr fontId="1"/>
  </si>
  <si>
    <t>本学で開講しているすべての科目において，各学期終了時に「学生による授業評価アンケート」を実施している。この評価項目の中には，授業外学修，学修活動への支援の程度，授業目標の達成度等が含まれており，この結果から学生の理解度を分析している。
また，この授業評価アンケートを教員にフィードバックすることで，授業の改善を図り，教育効果を高めている。</t>
    <rPh sb="2" eb="4">
      <t>カイコウ</t>
    </rPh>
    <rPh sb="12" eb="14">
      <t>カモク</t>
    </rPh>
    <rPh sb="19" eb="20">
      <t>カク</t>
    </rPh>
    <rPh sb="20" eb="22">
      <t>ガッキ</t>
    </rPh>
    <rPh sb="22" eb="25">
      <t>シュウリョウジ</t>
    </rPh>
    <rPh sb="27" eb="29">
      <t>ガクセイ</t>
    </rPh>
    <rPh sb="43" eb="45">
      <t>ジッシ</t>
    </rPh>
    <rPh sb="52" eb="56">
      <t>ヒョウカコウモク</t>
    </rPh>
    <rPh sb="57" eb="58">
      <t>ナカ</t>
    </rPh>
    <rPh sb="61" eb="64">
      <t>ジュギョウガイ</t>
    </rPh>
    <rPh sb="64" eb="66">
      <t>ガクシュウ</t>
    </rPh>
    <rPh sb="67" eb="71">
      <t>ガクシュウカツドウ</t>
    </rPh>
    <rPh sb="73" eb="75">
      <t>シエン</t>
    </rPh>
    <rPh sb="76" eb="78">
      <t>テイド</t>
    </rPh>
    <rPh sb="79" eb="83">
      <t>ジュギョウモクヒョウ</t>
    </rPh>
    <rPh sb="84" eb="87">
      <t>タッセイド</t>
    </rPh>
    <rPh sb="87" eb="88">
      <t>トウ</t>
    </rPh>
    <rPh sb="89" eb="90">
      <t>フク</t>
    </rPh>
    <rPh sb="98" eb="100">
      <t>ケッカ</t>
    </rPh>
    <rPh sb="102" eb="104">
      <t>ガクセイ</t>
    </rPh>
    <rPh sb="105" eb="108">
      <t>リカイド</t>
    </rPh>
    <rPh sb="109" eb="111">
      <t>ブンセキ</t>
    </rPh>
    <rPh sb="122" eb="126">
      <t>ジュギョウヒョウカ</t>
    </rPh>
    <rPh sb="132" eb="134">
      <t>キョウイン</t>
    </rPh>
    <rPh sb="162" eb="163">
      <t>タカ</t>
    </rPh>
    <phoneticPr fontId="1"/>
  </si>
  <si>
    <t>・数値データを活用し，知りたいことについて分析し，判断する力
・情報をさまざまなトラブルから守るなど，正しく安全に運用する力
・データ・AI利活用技術の概要及び社会における活用例について理解すること</t>
    <rPh sb="1" eb="3">
      <t>スウチ</t>
    </rPh>
    <rPh sb="7" eb="9">
      <t>カツヨウ</t>
    </rPh>
    <rPh sb="11" eb="12">
      <t>シ</t>
    </rPh>
    <rPh sb="21" eb="23">
      <t>ブンセキ</t>
    </rPh>
    <rPh sb="25" eb="27">
      <t>ハンダン</t>
    </rPh>
    <rPh sb="29" eb="30">
      <t>チカラ</t>
    </rPh>
    <rPh sb="32" eb="34">
      <t>ジョウホウ</t>
    </rPh>
    <rPh sb="46" eb="47">
      <t>マモ</t>
    </rPh>
    <rPh sb="51" eb="52">
      <t>タダ</t>
    </rPh>
    <rPh sb="54" eb="56">
      <t>アンゼン</t>
    </rPh>
    <rPh sb="57" eb="59">
      <t>ウンヨウ</t>
    </rPh>
    <rPh sb="61" eb="62">
      <t>チカラ</t>
    </rPh>
    <rPh sb="70" eb="73">
      <t>リカツヨウ</t>
    </rPh>
    <rPh sb="73" eb="75">
      <t>ギジュツ</t>
    </rPh>
    <rPh sb="76" eb="78">
      <t>ガイヨウ</t>
    </rPh>
    <rPh sb="78" eb="79">
      <t>オヨ</t>
    </rPh>
    <rPh sb="80" eb="82">
      <t>シャカイ</t>
    </rPh>
    <rPh sb="86" eb="89">
      <t>カツヨウレイ</t>
    </rPh>
    <rPh sb="93" eb="95">
      <t>リカイ</t>
    </rPh>
    <phoneticPr fontId="1"/>
  </si>
  <si>
    <t>数理・データサイエンス・AI教育プログラム</t>
    <phoneticPr fontId="1"/>
  </si>
  <si>
    <t>本プログラムは，本学の全学共通教育科目より構成しており，
学び・スキルリテラシー科目群の授業「ICTリテラシーⅠ」（必修1単位），
「ICTリテラシーⅡ」（選択1単位）と，
学際知の科目群の授業「統計入門」（選択2単位）の3科目を以て構成し，計4単位を修得することを要件とする。</t>
    <rPh sb="58" eb="60">
      <t>ヒッシュウ</t>
    </rPh>
    <rPh sb="78" eb="80">
      <t>センタク</t>
    </rPh>
    <rPh sb="104" eb="106">
      <t>センタク</t>
    </rPh>
    <phoneticPr fontId="1"/>
  </si>
  <si>
    <t>ICTリテラシーⅡ（生命資源科学部）</t>
    <rPh sb="10" eb="12">
      <t>セイメイ</t>
    </rPh>
    <rPh sb="12" eb="14">
      <t>シゲン</t>
    </rPh>
    <rPh sb="14" eb="16">
      <t>カガク</t>
    </rPh>
    <rPh sb="16" eb="17">
      <t>ブ</t>
    </rPh>
    <phoneticPr fontId="1"/>
  </si>
  <si>
    <t>ICTリテラシーⅡ（地域創生学部）</t>
    <rPh sb="10" eb="12">
      <t>チイキ</t>
    </rPh>
    <rPh sb="12" eb="14">
      <t>ソウセイ</t>
    </rPh>
    <rPh sb="14" eb="16">
      <t>ガクブ</t>
    </rPh>
    <phoneticPr fontId="1"/>
  </si>
  <si>
    <t>ICTリテラシーⅡ（保健福祉学部・看護学コース）</t>
    <rPh sb="10" eb="12">
      <t>ホケン</t>
    </rPh>
    <rPh sb="12" eb="14">
      <t>フクシ</t>
    </rPh>
    <rPh sb="14" eb="16">
      <t>ガクブ</t>
    </rPh>
    <rPh sb="17" eb="20">
      <t>カンゴガク</t>
    </rPh>
    <phoneticPr fontId="1"/>
  </si>
  <si>
    <t>ICTリテラシーⅡ（保健福祉学部・理学療法学コースほか）</t>
    <rPh sb="10" eb="12">
      <t>ホケン</t>
    </rPh>
    <rPh sb="12" eb="14">
      <t>フクシ</t>
    </rPh>
    <rPh sb="14" eb="16">
      <t>ガクブ</t>
    </rPh>
    <rPh sb="17" eb="19">
      <t>リガク</t>
    </rPh>
    <rPh sb="19" eb="21">
      <t>リョウホウ</t>
    </rPh>
    <rPh sb="21" eb="22">
      <t>ガク</t>
    </rPh>
    <phoneticPr fontId="1"/>
  </si>
  <si>
    <t>ICTリテラシーⅠ（地域創生学部）</t>
    <rPh sb="10" eb="12">
      <t>チイキ</t>
    </rPh>
    <rPh sb="12" eb="14">
      <t>ソウセイ</t>
    </rPh>
    <rPh sb="14" eb="16">
      <t>ガクブ</t>
    </rPh>
    <phoneticPr fontId="1"/>
  </si>
  <si>
    <t>ICTリテラシーⅠ（生命資源科学部）</t>
    <rPh sb="10" eb="12">
      <t>セイメイ</t>
    </rPh>
    <rPh sb="12" eb="14">
      <t>シゲン</t>
    </rPh>
    <rPh sb="14" eb="16">
      <t>カガク</t>
    </rPh>
    <rPh sb="16" eb="17">
      <t>ブ</t>
    </rPh>
    <phoneticPr fontId="1"/>
  </si>
  <si>
    <t>ICTリテラシーⅠ（保健福祉学部・看護学コース）</t>
    <rPh sb="10" eb="12">
      <t>ホケン</t>
    </rPh>
    <rPh sb="12" eb="14">
      <t>フクシ</t>
    </rPh>
    <rPh sb="14" eb="16">
      <t>ガクブ</t>
    </rPh>
    <rPh sb="17" eb="20">
      <t>カンゴガク</t>
    </rPh>
    <phoneticPr fontId="1"/>
  </si>
  <si>
    <t>ICTリテラシーⅠ（保健福祉学部・理学療法学コースほか）</t>
    <rPh sb="10" eb="12">
      <t>ホケン</t>
    </rPh>
    <rPh sb="12" eb="14">
      <t>フクシ</t>
    </rPh>
    <rPh sb="14" eb="16">
      <t>ガクブ</t>
    </rPh>
    <rPh sb="17" eb="19">
      <t>リガク</t>
    </rPh>
    <rPh sb="19" eb="21">
      <t>リョウホウ</t>
    </rPh>
    <rPh sb="21" eb="22">
      <t>ガク</t>
    </rPh>
    <phoneticPr fontId="1"/>
  </si>
  <si>
    <t>ICTリテラシーⅡ（地域創生学部）</t>
    <phoneticPr fontId="1"/>
  </si>
  <si>
    <t>ICTリテラシーⅡ（生命資源科学部）</t>
    <phoneticPr fontId="1"/>
  </si>
  <si>
    <t>ICTリテラシーⅡ（保健福祉学部・看護学コース）</t>
    <phoneticPr fontId="1"/>
  </si>
  <si>
    <t>ICTリテラシーⅡ（保健福祉学部・理学療法学コースほか）</t>
    <phoneticPr fontId="1"/>
  </si>
  <si>
    <t>統計入門（地域創生学部）</t>
    <rPh sb="0" eb="2">
      <t>トウケイ</t>
    </rPh>
    <rPh sb="2" eb="4">
      <t>ニュウモン</t>
    </rPh>
    <phoneticPr fontId="1"/>
  </si>
  <si>
    <t>統計入門（生命資源科学部）</t>
    <rPh sb="0" eb="2">
      <t>トウケイ</t>
    </rPh>
    <rPh sb="2" eb="4">
      <t>ニュウモン</t>
    </rPh>
    <phoneticPr fontId="1"/>
  </si>
  <si>
    <t>統計入門（保健福祉学部・看護学コース）</t>
    <rPh sb="0" eb="2">
      <t>トウケイ</t>
    </rPh>
    <rPh sb="2" eb="4">
      <t>ニュウモン</t>
    </rPh>
    <phoneticPr fontId="1"/>
  </si>
  <si>
    <t>統計入門（保健福祉学部・理学療法学コースほか）</t>
    <rPh sb="0" eb="2">
      <t>トウケイ</t>
    </rPh>
    <rPh sb="2" eb="4">
      <t>ニュウモン</t>
    </rPh>
    <phoneticPr fontId="1"/>
  </si>
  <si>
    <t>・調査データなど「ICTリテラシーⅡ（地域創生学部）」（２回目）
・調査データなど「ICTリテラシーⅡ（生物資源科学部）」（２回目）
・調査データなど「ICTリテラシーⅡ（保健福祉学部・看護学コース）」（２回目）
・調査データなど「ICTリテラシーⅡ（保健福祉学部・理学療法学コースほか）」（２回目）</t>
    <rPh sb="1" eb="3">
      <t>チョウサ</t>
    </rPh>
    <phoneticPr fontId="1"/>
  </si>
  <si>
    <t>・データの集計など「ICTリテラシーⅡ（地域創生学部）」（１３～１５回目）
・データの集計など「ICTリテラシーⅡ（生物資源科学部）」（１３～１５回目）
・データの集計など「ICTリテラシーⅡ（保健福祉学部・看護学コース）」（１１～１５回目）
・データの集計など「ICTリテラシーⅡ（保健福祉学部・理学療法学コースほか）」（１１～１２回目）</t>
    <phoneticPr fontId="1"/>
  </si>
  <si>
    <t>・データ表現など「ICTリテラシーⅡ（地域創生学部）」（９～１２回目）
・データ表現など「ICTリテラシーⅡ（生物資源科学部）」（９～１２回目）
・データ表現など「ICTリテラシーⅡ（保健福祉学部・看護学コース）」（９～１０回目）
・データ表現など「ICTリテラシーⅡ（保健福祉学部・理学療法学コースほか）」（１１～１２回目）</t>
    <rPh sb="55" eb="62">
      <t>セイブツ</t>
    </rPh>
    <phoneticPr fontId="1"/>
  </si>
  <si>
    <t>・個人情報保護など「ICTリテラシーⅡ（地域創生学部）」（２回目）
・個人情報保護など「ICTリテラシーⅡ（生物資源科学部）」（２回目）
・個人情報保護など「ICTリテラシーⅡ（保健福祉学部・看護学コース）」（７回目）
・個人情報保護など「ICTリテラシーⅡ（保健福祉学部・理学療法学コースほか）」（１０回目）</t>
    <rPh sb="1" eb="3">
      <t>コジン</t>
    </rPh>
    <rPh sb="3" eb="5">
      <t>ジョウホウ</t>
    </rPh>
    <rPh sb="5" eb="7">
      <t>ホゴ</t>
    </rPh>
    <rPh sb="70" eb="72">
      <t>コジン</t>
    </rPh>
    <rPh sb="72" eb="74">
      <t>ジョウホウ</t>
    </rPh>
    <rPh sb="74" eb="76">
      <t>ホゴ</t>
    </rPh>
    <phoneticPr fontId="1"/>
  </si>
  <si>
    <t xml:space="preserve">・ビッグデータ、IoT 、 AI など「ICTリテラシーⅡ（地域創生学部）」（２回目）
・ビッグデータ、IoT 、 AI など「ICTリテラシーⅡ（生物資源科学部）」（２回目）
・ビッグデータ、IoT 、 AI など「ICTリテラシーⅡ（保健福祉学部・看護学コース）」（１回目）
・ビッグデータ、IoT 、 AI など「ICTリテラシーⅡ（保健福祉学部・理学療法学コースほか）」（２回目）
</t>
    <phoneticPr fontId="1"/>
  </si>
  <si>
    <t>・AI最新技術の活用例など 「ICTリテラシーⅡ（地域創生学部）」（２回目）
・AI最新技術の活用例など 「ICTリテラシーⅡ（生物資源科学部）」（２回目）
・AI最新技術の活用例など 「ICTリテラシーⅡ（保健福祉学部・看護学コース）」（２～８回目）
・AI最新技術の活用例など 「ICTリテラシーⅡ（保健福祉学部・理学療法学コースほか）」（２回目）</t>
    <rPh sb="3" eb="5">
      <t>サイシン</t>
    </rPh>
    <rPh sb="5" eb="7">
      <t>ギジュツ</t>
    </rPh>
    <rPh sb="8" eb="11">
      <t>カツヨウレイ</t>
    </rPh>
    <phoneticPr fontId="1"/>
  </si>
  <si>
    <t>・データ解析など「ICTリテラシーⅡ（地域創生学部）」（２回目）
・データ解析など「ICTリテラシーⅡ（生物資源科学部）」（２回目）
・データ解析など「ICTリテラシーⅡ（保健福祉学部・看護学コース）」（２～８回目）
・データ解析など「ICTリテラシーⅡ（保健福祉学部・理学療法学コースほか）」（２回目）</t>
    <rPh sb="4" eb="6">
      <t>カイセキ</t>
    </rPh>
    <phoneticPr fontId="1"/>
  </si>
  <si>
    <t>・ＡＩ利活用事例紹介など「ICTリテラシーⅡ（地域創生学部）」（２回目）
・ＡＩ利活用事例紹介など「ICTリテラシーⅡ（生物資源科学部）」（２回目）
・ＡＩ利活用事例紹介など「ICTリテラシーⅡ（保健福祉学部・看護学コース）」（２～８回目）
・ＡＩ利活用事例紹介など「ICTリテラシーⅡ（保健福祉学部・理学療法学コースほか）」（２回目）</t>
    <rPh sb="3" eb="6">
      <t>リカツヨウ</t>
    </rPh>
    <rPh sb="6" eb="8">
      <t>ジレイ</t>
    </rPh>
    <rPh sb="8" eb="10">
      <t>ショウカイ</t>
    </rPh>
    <phoneticPr fontId="1"/>
  </si>
  <si>
    <t>・情報セキュリティなど「ICTリテラシーⅠ（地域創生学部）」（１～３回目）
・情報セキュリティなど「ICTリテラシーⅠ（生物資源科学部）」（１～３回目）
・情報セキュリティなど「ICTリテラシーⅠ（保健福祉学部・看護学コース）」（２～３回目）
・情報セキュリティなど「ICTリテラシーⅠ（保健福祉学部・理学療法学コースほか）」（８～９回目）
・情報セキュリティなど「ICTリテラシーⅡ（地域創生学部）」（１～２回目）
・情報セキュリティなど「ICTリテラシーⅡ（生物資源科学部）」（１～２回目）
・情報セキュリティなど「ICTリテラシーⅡ（保健福祉学部・看護学コース）」（７～８回目）
・情報セキュリティなど「ICTリテラシーⅡ（保健福祉学部・理学療法学コースほか）」（７～８回目）</t>
    <rPh sb="1" eb="3">
      <t>ジョウホウ</t>
    </rPh>
    <phoneticPr fontId="1"/>
  </si>
  <si>
    <t>本学の修学支援システムUniversalPassportやMicrosoft Teams等を活用し，授業担当教員は履修者ごとの講義出席状況及び課題の提出状況を把握することが出来る。
また，チューター制度により，出席状況が思わしくない学生や，本プログラムの構成科目であり，全学必修科目である「ICTリテラシーⅠ」の単位を修得できなかった学生に対し，学期ごとの履修面談で履修を促している。</t>
    <rPh sb="0" eb="2">
      <t>ホンガク</t>
    </rPh>
    <rPh sb="3" eb="7">
      <t>シュウガクシエン</t>
    </rPh>
    <rPh sb="44" eb="45">
      <t>トウ</t>
    </rPh>
    <rPh sb="46" eb="48">
      <t>カツヨウ</t>
    </rPh>
    <rPh sb="50" eb="56">
      <t>ジュギョウタントウキョウイン</t>
    </rPh>
    <rPh sb="57" eb="60">
      <t>リシュウシャ</t>
    </rPh>
    <rPh sb="63" eb="65">
      <t>コウギ</t>
    </rPh>
    <rPh sb="65" eb="69">
      <t>シュッセキジョウキョウ</t>
    </rPh>
    <rPh sb="69" eb="70">
      <t>オヨ</t>
    </rPh>
    <rPh sb="71" eb="73">
      <t>カダイ</t>
    </rPh>
    <rPh sb="74" eb="78">
      <t>テイシュツジョウキョウ</t>
    </rPh>
    <rPh sb="79" eb="81">
      <t>ハアク</t>
    </rPh>
    <rPh sb="86" eb="88">
      <t>デキ</t>
    </rPh>
    <rPh sb="99" eb="101">
      <t>セイド</t>
    </rPh>
    <rPh sb="105" eb="109">
      <t>シュッセキジョウキョウ</t>
    </rPh>
    <rPh sb="110" eb="111">
      <t>オモ</t>
    </rPh>
    <rPh sb="116" eb="118">
      <t>ガクセイ</t>
    </rPh>
    <rPh sb="120" eb="121">
      <t>ホン</t>
    </rPh>
    <rPh sb="127" eb="131">
      <t>コウセイカモク</t>
    </rPh>
    <rPh sb="135" eb="141">
      <t>ゼンガクヒッシュウカモク</t>
    </rPh>
    <rPh sb="156" eb="158">
      <t>タンイ</t>
    </rPh>
    <rPh sb="159" eb="161">
      <t>シュウトク</t>
    </rPh>
    <rPh sb="167" eb="169">
      <t>ガクセイ</t>
    </rPh>
    <rPh sb="170" eb="171">
      <t>タイ</t>
    </rPh>
    <rPh sb="173" eb="175">
      <t>ガッキ</t>
    </rPh>
    <rPh sb="178" eb="180">
      <t>リシュウ</t>
    </rPh>
    <rPh sb="180" eb="182">
      <t>メンダン</t>
    </rPh>
    <rPh sb="183" eb="185">
      <t>リシュウ</t>
    </rPh>
    <rPh sb="186" eb="187">
      <t>ウナガ</t>
    </rPh>
    <phoneticPr fontId="1"/>
  </si>
  <si>
    <t xml:space="preserve">
各教員は，「学生による授業評価アンケート」のフィードバックを受けて，授業改善（コメント作成）を行っている。そして，授業アンケートの全体集計や教員のコメントを基に作成した報告書『「学生による授業評価」の概要』を毎年HPに公開している。この報告書においては，当該科目を管轄する主任教員の総括コメント（現状分析や今後の課題など）が掲載されている。学生は，ＨＰ上のこれらの情報にアクセスして，履修登録の際の参考とすることができる。</t>
    <rPh sb="1" eb="2">
      <t>カク</t>
    </rPh>
    <rPh sb="2" eb="4">
      <t>キョウイン</t>
    </rPh>
    <rPh sb="7" eb="9">
      <t>ガクセイ</t>
    </rPh>
    <rPh sb="12" eb="14">
      <t>ジュギョウ</t>
    </rPh>
    <rPh sb="14" eb="16">
      <t>ヒョウカ</t>
    </rPh>
    <rPh sb="31" eb="32">
      <t>ウ</t>
    </rPh>
    <rPh sb="35" eb="37">
      <t>ジュギョウ</t>
    </rPh>
    <rPh sb="37" eb="39">
      <t>カイゼン</t>
    </rPh>
    <rPh sb="44" eb="46">
      <t>サクセイ</t>
    </rPh>
    <rPh sb="48" eb="49">
      <t>オコナ</t>
    </rPh>
    <rPh sb="58" eb="60">
      <t>ジュギョウ</t>
    </rPh>
    <rPh sb="66" eb="68">
      <t>ゼンタイ</t>
    </rPh>
    <rPh sb="68" eb="70">
      <t>シュウケイ</t>
    </rPh>
    <rPh sb="71" eb="73">
      <t>キョウイン</t>
    </rPh>
    <rPh sb="79" eb="80">
      <t>モト</t>
    </rPh>
    <rPh sb="81" eb="83">
      <t>サクセイ</t>
    </rPh>
    <rPh sb="85" eb="88">
      <t>ホウコクショ</t>
    </rPh>
    <rPh sb="90" eb="92">
      <t>ガクセイ</t>
    </rPh>
    <rPh sb="95" eb="97">
      <t>ジュギョウ</t>
    </rPh>
    <rPh sb="97" eb="99">
      <t>ヒョウカ</t>
    </rPh>
    <rPh sb="101" eb="103">
      <t>ガイヨウ</t>
    </rPh>
    <rPh sb="105" eb="107">
      <t>マイネン</t>
    </rPh>
    <rPh sb="110" eb="112">
      <t>コウカイ</t>
    </rPh>
    <rPh sb="119" eb="122">
      <t>ホウコクショ</t>
    </rPh>
    <rPh sb="128" eb="130">
      <t>トウガイ</t>
    </rPh>
    <rPh sb="130" eb="132">
      <t>カモク</t>
    </rPh>
    <rPh sb="133" eb="135">
      <t>カンカツ</t>
    </rPh>
    <rPh sb="137" eb="139">
      <t>シュニン</t>
    </rPh>
    <rPh sb="139" eb="141">
      <t>キョウイン</t>
    </rPh>
    <rPh sb="142" eb="144">
      <t>ソウカツ</t>
    </rPh>
    <rPh sb="149" eb="151">
      <t>ゲンジョウ</t>
    </rPh>
    <rPh sb="151" eb="153">
      <t>ブンセキ</t>
    </rPh>
    <rPh sb="154" eb="156">
      <t>コンゴ</t>
    </rPh>
    <rPh sb="157" eb="159">
      <t>カダイ</t>
    </rPh>
    <rPh sb="163" eb="165">
      <t>ケイサイ</t>
    </rPh>
    <rPh sb="171" eb="173">
      <t>ガクセイ</t>
    </rPh>
    <rPh sb="177" eb="178">
      <t>ジョウ</t>
    </rPh>
    <rPh sb="183" eb="185">
      <t>ジョウホウ</t>
    </rPh>
    <rPh sb="193" eb="195">
      <t>リシュウ</t>
    </rPh>
    <rPh sb="195" eb="197">
      <t>トウロク</t>
    </rPh>
    <rPh sb="198" eb="199">
      <t>サイ</t>
    </rPh>
    <rPh sb="200" eb="202">
      <t>サンコウ</t>
    </rPh>
    <phoneticPr fontId="1"/>
  </si>
  <si>
    <t>「学生による授業評価アンケート」を学期ごとに実施し，学生の理解度や授業への関心を調査している。また，学部の専門分野に近接した事例をあげるなどして，学生が好奇心を寄せ，より深く学びたくなるような授業づくりを行っている。これにより，数理・データサイエンス・AI分野の知識が学生自身の専門分野や，就職後にも重要であり役立つことであると認識させることができている。</t>
    <rPh sb="1" eb="3">
      <t>ガクセイ</t>
    </rPh>
    <rPh sb="6" eb="10">
      <t>ジュギョウヒョウカ</t>
    </rPh>
    <rPh sb="17" eb="19">
      <t>ガッキ</t>
    </rPh>
    <rPh sb="22" eb="24">
      <t>ジッシ</t>
    </rPh>
    <rPh sb="26" eb="28">
      <t>ガクセイ</t>
    </rPh>
    <rPh sb="29" eb="32">
      <t>リカイド</t>
    </rPh>
    <rPh sb="33" eb="35">
      <t>ジュギョウ</t>
    </rPh>
    <rPh sb="37" eb="39">
      <t>カンシン</t>
    </rPh>
    <rPh sb="40" eb="42">
      <t>チョウサ</t>
    </rPh>
    <rPh sb="50" eb="52">
      <t>ガクブ</t>
    </rPh>
    <rPh sb="53" eb="57">
      <t>センモンブンヤ</t>
    </rPh>
    <rPh sb="58" eb="60">
      <t>キンセツ</t>
    </rPh>
    <rPh sb="62" eb="64">
      <t>ジレイ</t>
    </rPh>
    <rPh sb="73" eb="75">
      <t>ガクセイ</t>
    </rPh>
    <rPh sb="76" eb="79">
      <t>コウキシン</t>
    </rPh>
    <rPh sb="80" eb="81">
      <t>ヨ</t>
    </rPh>
    <rPh sb="85" eb="86">
      <t>フカ</t>
    </rPh>
    <rPh sb="87" eb="88">
      <t>マナ</t>
    </rPh>
    <rPh sb="96" eb="98">
      <t>ジュギョウ</t>
    </rPh>
    <rPh sb="102" eb="103">
      <t>オコナ</t>
    </rPh>
    <rPh sb="114" eb="116">
      <t>スウリ</t>
    </rPh>
    <rPh sb="128" eb="130">
      <t>ブンヤ</t>
    </rPh>
    <rPh sb="131" eb="133">
      <t>チシキ</t>
    </rPh>
    <rPh sb="134" eb="138">
      <t>ガクセイジシン</t>
    </rPh>
    <rPh sb="139" eb="141">
      <t>センモン</t>
    </rPh>
    <rPh sb="141" eb="143">
      <t>ブンヤ</t>
    </rPh>
    <rPh sb="145" eb="148">
      <t>シュウショクゴ</t>
    </rPh>
    <rPh sb="150" eb="152">
      <t>ジュウヨウ</t>
    </rPh>
    <rPh sb="155" eb="157">
      <t>ヤクダ</t>
    </rPh>
    <rPh sb="164" eb="166">
      <t>ニンシキ</t>
    </rPh>
    <phoneticPr fontId="1"/>
  </si>
  <si>
    <t>数理・データサイエンス・AI教育科目の基礎となる，ICTリテラシーⅠ・Ⅱについては，授業担当教員が学生一人一人に対しきめの細やかな学習支援を行うために，1クラスの人数が30～40人程度になるようにクラス分けを行う。クラス分けを行うことで個々の学生の躓きや，疑問点に即座に対応することが可能となっており，このようなサポートを行うことで，文系も含めた多くの学生の本プログラムの履修・修得が実現する。</t>
    <rPh sb="0" eb="2">
      <t>スウリ</t>
    </rPh>
    <rPh sb="14" eb="16">
      <t>キョウイク</t>
    </rPh>
    <rPh sb="16" eb="18">
      <t>カモク</t>
    </rPh>
    <rPh sb="19" eb="21">
      <t>キソ</t>
    </rPh>
    <rPh sb="42" eb="48">
      <t>ジュギョウタントウキョウイン</t>
    </rPh>
    <rPh sb="49" eb="51">
      <t>ガクセイ</t>
    </rPh>
    <rPh sb="51" eb="55">
      <t>ヒトリヒトリ</t>
    </rPh>
    <rPh sb="56" eb="57">
      <t>タイ</t>
    </rPh>
    <rPh sb="65" eb="67">
      <t>ガクシュウ</t>
    </rPh>
    <rPh sb="67" eb="69">
      <t>シエン</t>
    </rPh>
    <rPh sb="70" eb="71">
      <t>オコナ</t>
    </rPh>
    <rPh sb="81" eb="83">
      <t>ニンズウ</t>
    </rPh>
    <rPh sb="89" eb="90">
      <t>ニン</t>
    </rPh>
    <rPh sb="90" eb="92">
      <t>テイド</t>
    </rPh>
    <rPh sb="101" eb="102">
      <t>ワ</t>
    </rPh>
    <rPh sb="104" eb="105">
      <t>オコナ</t>
    </rPh>
    <rPh sb="110" eb="111">
      <t>ワ</t>
    </rPh>
    <rPh sb="113" eb="114">
      <t>オコナ</t>
    </rPh>
    <rPh sb="118" eb="120">
      <t>ココ</t>
    </rPh>
    <rPh sb="121" eb="123">
      <t>ガクセイ</t>
    </rPh>
    <rPh sb="124" eb="125">
      <t>ツマヅ</t>
    </rPh>
    <rPh sb="128" eb="131">
      <t>ギモンテン</t>
    </rPh>
    <rPh sb="132" eb="134">
      <t>ソクザ</t>
    </rPh>
    <rPh sb="135" eb="137">
      <t>タイオウ</t>
    </rPh>
    <rPh sb="142" eb="144">
      <t>カノウ</t>
    </rPh>
    <rPh sb="167" eb="169">
      <t>ブンケイ</t>
    </rPh>
    <rPh sb="170" eb="171">
      <t>フク</t>
    </rPh>
    <rPh sb="173" eb="174">
      <t>オオ</t>
    </rPh>
    <rPh sb="176" eb="178">
      <t>ガクセイ</t>
    </rPh>
    <rPh sb="179" eb="180">
      <t>ホン</t>
    </rPh>
    <rPh sb="186" eb="188">
      <t>リシュウ</t>
    </rPh>
    <rPh sb="189" eb="191">
      <t>シュウトク</t>
    </rPh>
    <rPh sb="192" eb="194">
      <t>ジツゲン</t>
    </rPh>
    <phoneticPr fontId="1"/>
  </si>
  <si>
    <t>大学教育実践センター</t>
    <rPh sb="0" eb="2">
      <t>ダイガク</t>
    </rPh>
    <rPh sb="2" eb="4">
      <t>キョウイク</t>
    </rPh>
    <rPh sb="4" eb="6">
      <t>ジッセン</t>
    </rPh>
    <phoneticPr fontId="1"/>
  </si>
  <si>
    <t>田中聡</t>
    <phoneticPr fontId="1"/>
  </si>
  <si>
    <t>大学教育実践センター</t>
    <phoneticPr fontId="1"/>
  </si>
  <si>
    <t>センター長</t>
    <rPh sb="4" eb="5">
      <t>チョウ</t>
    </rPh>
    <phoneticPr fontId="1"/>
  </si>
  <si>
    <t>大学教育実践センター長　田中聡
教育推進部門長　岡田高嘉
全学共通教育部門長　河村和也
科目担当
　佐々木宣介
　冨田哲治
　岩田貴樹
　岡部正幸
　飯田忠行
　広谷大助</t>
    <rPh sb="12" eb="14">
      <t>タナカ</t>
    </rPh>
    <rPh sb="14" eb="15">
      <t>サトシ</t>
    </rPh>
    <rPh sb="16" eb="20">
      <t>キョウイクスイシン</t>
    </rPh>
    <rPh sb="20" eb="22">
      <t>ブモン</t>
    </rPh>
    <rPh sb="22" eb="23">
      <t>チョウ</t>
    </rPh>
    <rPh sb="24" eb="26">
      <t>オカダ</t>
    </rPh>
    <rPh sb="26" eb="27">
      <t>タカ</t>
    </rPh>
    <rPh sb="27" eb="28">
      <t>カ</t>
    </rPh>
    <rPh sb="39" eb="41">
      <t>カワムラ</t>
    </rPh>
    <rPh sb="41" eb="43">
      <t>カズヤ</t>
    </rPh>
    <rPh sb="44" eb="46">
      <t>カモク</t>
    </rPh>
    <rPh sb="46" eb="48">
      <t>タントウ</t>
    </rPh>
    <rPh sb="50" eb="53">
      <t>ササキ</t>
    </rPh>
    <rPh sb="53" eb="55">
      <t>ノブスケ</t>
    </rPh>
    <rPh sb="57" eb="59">
      <t>トンダ</t>
    </rPh>
    <rPh sb="59" eb="61">
      <t>テツジ</t>
    </rPh>
    <rPh sb="69" eb="71">
      <t>オカベ</t>
    </rPh>
    <rPh sb="71" eb="73">
      <t>マサユキ</t>
    </rPh>
    <rPh sb="75" eb="77">
      <t>イイダ</t>
    </rPh>
    <rPh sb="77" eb="79">
      <t>タダユキ</t>
    </rPh>
    <rPh sb="81" eb="83">
      <t>ヒロタニ</t>
    </rPh>
    <rPh sb="83" eb="85">
      <t>ダイスケ</t>
    </rPh>
    <phoneticPr fontId="1"/>
  </si>
  <si>
    <t>大学教育実践センター管理運営規程</t>
    <rPh sb="0" eb="10">
      <t>ダイガク</t>
    </rPh>
    <rPh sb="10" eb="12">
      <t>カンリ</t>
    </rPh>
    <rPh sb="12" eb="14">
      <t>ウンエイ</t>
    </rPh>
    <rPh sb="14" eb="16">
      <t>キテイ</t>
    </rPh>
    <phoneticPr fontId="1"/>
  </si>
  <si>
    <t>本学の運営主体である広島県公立大学法人が行う「法人評価委員会」では、学外の大学関係者だけではなく、産業界からも委員を任命して外部評価を行っている。評価委員会から指摘のあった課題や意見については，毎年，改善や見直し等を行っている。</t>
    <rPh sb="3" eb="5">
      <t>ウンエイ</t>
    </rPh>
    <rPh sb="5" eb="7">
      <t>シュタイ</t>
    </rPh>
    <rPh sb="10" eb="19">
      <t>ヒロシマ</t>
    </rPh>
    <rPh sb="20" eb="21">
      <t>オコナ</t>
    </rPh>
    <rPh sb="23" eb="25">
      <t>ホウジン</t>
    </rPh>
    <rPh sb="25" eb="27">
      <t>ヒョウカ</t>
    </rPh>
    <rPh sb="67" eb="68">
      <t>オコナ</t>
    </rPh>
    <rPh sb="73" eb="78">
      <t>ヒョウカイインカイ</t>
    </rPh>
    <rPh sb="80" eb="82">
      <t>シテキ</t>
    </rPh>
    <rPh sb="86" eb="88">
      <t>カダイ</t>
    </rPh>
    <rPh sb="89" eb="91">
      <t>イケン</t>
    </rPh>
    <rPh sb="97" eb="99">
      <t>マイネン</t>
    </rPh>
    <rPh sb="100" eb="102">
      <t>カイゼン</t>
    </rPh>
    <rPh sb="103" eb="105">
      <t>ミナオ</t>
    </rPh>
    <rPh sb="106" eb="107">
      <t>トウ</t>
    </rPh>
    <rPh sb="108" eb="109">
      <t>オコナ</t>
    </rPh>
    <phoneticPr fontId="1"/>
  </si>
  <si>
    <t>本教育プログラムの履修者の修了生はまだいないが，本学のキャリアセンターにおいて，学生の就職先調査を毎年行っており，本教育プログラムを修了した卒業生の進路先や活躍状況の把握が可能である。また，本学卒業生を採用した企業に対して企業アンケートを３年に１度実施している。</t>
    <rPh sb="0" eb="3">
      <t>ホンキョウイク</t>
    </rPh>
    <rPh sb="9" eb="12">
      <t>リシュウシャ</t>
    </rPh>
    <rPh sb="13" eb="16">
      <t>シュウリョウセイ</t>
    </rPh>
    <rPh sb="24" eb="26">
      <t>ホンガク</t>
    </rPh>
    <rPh sb="40" eb="42">
      <t>ガクセイ</t>
    </rPh>
    <rPh sb="43" eb="45">
      <t>シュウショク</t>
    </rPh>
    <rPh sb="45" eb="46">
      <t>サキ</t>
    </rPh>
    <rPh sb="95" eb="97">
      <t>ホンガク</t>
    </rPh>
    <rPh sb="97" eb="99">
      <t>ソツギョウ</t>
    </rPh>
    <rPh sb="99" eb="100">
      <t>ナマ</t>
    </rPh>
    <rPh sb="101" eb="103">
      <t>サイヨウ</t>
    </rPh>
    <rPh sb="105" eb="107">
      <t>キギョウ</t>
    </rPh>
    <rPh sb="108" eb="109">
      <t>タイ</t>
    </rPh>
    <rPh sb="111" eb="113">
      <t>キギョウ</t>
    </rPh>
    <rPh sb="120" eb="121">
      <t>ネン</t>
    </rPh>
    <rPh sb="123" eb="124">
      <t>ド</t>
    </rPh>
    <rPh sb="124" eb="126">
      <t>ジッシ</t>
    </rPh>
    <phoneticPr fontId="1"/>
  </si>
  <si>
    <t xml:space="preserve">
本教育プログラムを構成する科目「ICTリテラシーⅠ」については全学必修科目であり，基礎を全学生に履修させることで，数理・データサイエンス・AI教育の導入教育を行い，その上位科目の「ICTリテラシーⅡ」や関連科目の「統計入門」の履修につなげることができる。実際に，「ICTリテラシーⅠ」を受講した学生の83%が「ICTリテラシーⅡ」を受講している。</t>
    <rPh sb="1" eb="4">
      <t>ホンキョウイク</t>
    </rPh>
    <rPh sb="10" eb="12">
      <t>コウセイ</t>
    </rPh>
    <rPh sb="14" eb="16">
      <t>カモク</t>
    </rPh>
    <rPh sb="32" eb="36">
      <t>ゼンガクヒッシュウ</t>
    </rPh>
    <rPh sb="36" eb="38">
      <t>カモク</t>
    </rPh>
    <rPh sb="42" eb="44">
      <t>キソ</t>
    </rPh>
    <rPh sb="45" eb="48">
      <t>ゼンガクセイ</t>
    </rPh>
    <rPh sb="49" eb="51">
      <t>リシュウ</t>
    </rPh>
    <rPh sb="58" eb="60">
      <t>スウリ</t>
    </rPh>
    <rPh sb="72" eb="74">
      <t>キョウイク</t>
    </rPh>
    <rPh sb="75" eb="77">
      <t>ドウニュウ</t>
    </rPh>
    <rPh sb="85" eb="89">
      <t>ジョウイカモク</t>
    </rPh>
    <rPh sb="102" eb="104">
      <t>カンレン</t>
    </rPh>
    <rPh sb="104" eb="106">
      <t>カモク</t>
    </rPh>
    <rPh sb="108" eb="110">
      <t>トウケイ</t>
    </rPh>
    <rPh sb="110" eb="112">
      <t>ニュウモン</t>
    </rPh>
    <rPh sb="114" eb="116">
      <t>リシュウ</t>
    </rPh>
    <rPh sb="128" eb="130">
      <t>ジッサイ</t>
    </rPh>
    <rPh sb="144" eb="146">
      <t>ジュコウ</t>
    </rPh>
    <rPh sb="148" eb="150">
      <t>ガクセイ</t>
    </rPh>
    <rPh sb="167" eb="169">
      <t>ジュコウ</t>
    </rPh>
    <phoneticPr fontId="1"/>
  </si>
  <si>
    <t>モデルカリキュラムリテラシーレベルの導入部分に準じた内容を展開し，学部ごとの専門分野も加味した社会での実例をもとにAI等がどのような活用をされているかを中心に扱い，学生が関心を深めることができる講義内容としている。また，学生による授業評価アンケート等を活用し，その内容について必要な見直しを行っている。</t>
    <rPh sb="33" eb="35">
      <t>ガクブ</t>
    </rPh>
    <rPh sb="38" eb="42">
      <t>センモンブンヤ</t>
    </rPh>
    <rPh sb="43" eb="45">
      <t>カミ</t>
    </rPh>
    <rPh sb="79" eb="80">
      <t>アツカ</t>
    </rPh>
    <rPh sb="82" eb="84">
      <t>ガクセイ</t>
    </rPh>
    <rPh sb="85" eb="87">
      <t>カンシン</t>
    </rPh>
    <rPh sb="88" eb="89">
      <t>フカ</t>
    </rPh>
    <rPh sb="115" eb="117">
      <t>ジュギョウ</t>
    </rPh>
    <rPh sb="117" eb="119">
      <t>ヒョウカ</t>
    </rPh>
    <rPh sb="138" eb="140">
      <t>ヒツヨウ</t>
    </rPh>
    <rPh sb="141" eb="143">
      <t>ミナオ</t>
    </rPh>
    <rPh sb="145" eb="146">
      <t>オコナ</t>
    </rPh>
    <phoneticPr fontId="1"/>
  </si>
  <si>
    <r>
      <t>上記の「学生による授業評価アンケート」に</t>
    </r>
    <r>
      <rPr>
        <sz val="12"/>
        <color theme="1"/>
        <rFont val="ＭＳ Ｐゴシック"/>
        <family val="3"/>
        <charset val="128"/>
        <scheme val="minor"/>
      </rPr>
      <t>お</t>
    </r>
    <r>
      <rPr>
        <sz val="12"/>
        <rFont val="ＭＳ Ｐゴシック"/>
        <family val="3"/>
        <charset val="128"/>
        <scheme val="minor"/>
      </rPr>
      <t>いて，「この授業の目標とする力（知識や技能など）が身につく。」「この授業の内容に関してさらに学びたくなる。」の質問項目の評価から学生の理解度を確認することができる。このデータを数理・データサイエンス・AI教育プログラムの構成科目の授業内容を改善するための参考とし，毎年の授業の改善・更新の検討材料としている。</t>
    </r>
    <rPh sb="0" eb="2">
      <t>ジョウキ</t>
    </rPh>
    <rPh sb="4" eb="6">
      <t>ガクセイ</t>
    </rPh>
    <rPh sb="9" eb="13">
      <t>ジュギョウヒョウカ</t>
    </rPh>
    <rPh sb="76" eb="80">
      <t>シツモンコウモク</t>
    </rPh>
    <rPh sb="81" eb="83">
      <t>ヒョウカ</t>
    </rPh>
    <rPh sb="85" eb="87">
      <t>ガクセイ</t>
    </rPh>
    <rPh sb="88" eb="91">
      <t>リカイド</t>
    </rPh>
    <rPh sb="92" eb="94">
      <t>カクニン</t>
    </rPh>
    <rPh sb="109" eb="111">
      <t>スウリ</t>
    </rPh>
    <rPh sb="123" eb="125">
      <t>キョウイク</t>
    </rPh>
    <rPh sb="131" eb="135">
      <t>コウセイカモク</t>
    </rPh>
    <rPh sb="136" eb="140">
      <t>ジュギョウナイヨウ</t>
    </rPh>
    <rPh sb="141" eb="143">
      <t>カイゼン</t>
    </rPh>
    <rPh sb="148" eb="150">
      <t>サンコウ</t>
    </rPh>
    <rPh sb="153" eb="155">
      <t>マイトシ</t>
    </rPh>
    <rPh sb="156" eb="158">
      <t>ジュギョウ</t>
    </rPh>
    <rPh sb="159" eb="161">
      <t>カイゼン</t>
    </rPh>
    <rPh sb="162" eb="164">
      <t>コウシン</t>
    </rPh>
    <rPh sb="165" eb="167">
      <t>ケントウ</t>
    </rPh>
    <rPh sb="167" eb="169">
      <t>ザイリョウ</t>
    </rPh>
    <phoneticPr fontId="1"/>
  </si>
  <si>
    <t>学習指導については，学生の理解を促進させるために定期的に課題を出題し，授業時間外にも必要な学習が効果的に行える仕組みを設ける。
また，教員ごとにオフィスアワーを設け，授業担当教員が質問対応や履修上の相談に対応できる体制を整備する。学生は学生便覧や修学支援システムUniversalPassportより，教員のメールアドレス，オフィスアワーを確認し，電子メールにて質問や問い合わせをすることが可能である。
また，Microsoft Teamsが全学的に利用可能であり，そのチャット機能を活用することで，学生と教員との間でスムーズなコミュニケーションが可能となる。</t>
    <rPh sb="10" eb="12">
      <t>ガクセイ</t>
    </rPh>
    <rPh sb="13" eb="15">
      <t>リカイ</t>
    </rPh>
    <rPh sb="16" eb="18">
      <t>ソクシン</t>
    </rPh>
    <rPh sb="26" eb="27">
      <t>テキ</t>
    </rPh>
    <rPh sb="59" eb="60">
      <t>モウ</t>
    </rPh>
    <rPh sb="67" eb="69">
      <t>キョウイン</t>
    </rPh>
    <rPh sb="80" eb="81">
      <t>モウ</t>
    </rPh>
    <rPh sb="83" eb="87">
      <t>ジュギョウタントウ</t>
    </rPh>
    <rPh sb="107" eb="109">
      <t>タイセイ</t>
    </rPh>
    <rPh sb="110" eb="112">
      <t>セイビ</t>
    </rPh>
    <rPh sb="115" eb="117">
      <t>ガクセイ</t>
    </rPh>
    <rPh sb="118" eb="120">
      <t>ガクセイ</t>
    </rPh>
    <rPh sb="120" eb="122">
      <t>ビンラン</t>
    </rPh>
    <rPh sb="123" eb="125">
      <t>シュウガク</t>
    </rPh>
    <rPh sb="125" eb="127">
      <t>シエン</t>
    </rPh>
    <rPh sb="151" eb="153">
      <t>キョウイン</t>
    </rPh>
    <rPh sb="170" eb="172">
      <t>カクニン</t>
    </rPh>
    <rPh sb="174" eb="176">
      <t>デンシ</t>
    </rPh>
    <rPh sb="181" eb="183">
      <t>シツモン</t>
    </rPh>
    <rPh sb="184" eb="185">
      <t>ト</t>
    </rPh>
    <rPh sb="186" eb="187">
      <t>ア</t>
    </rPh>
    <rPh sb="195" eb="197">
      <t>カノウ</t>
    </rPh>
    <rPh sb="221" eb="224">
      <t>ゼンガクテキ</t>
    </rPh>
    <rPh sb="225" eb="227">
      <t>リヨウ</t>
    </rPh>
    <rPh sb="227" eb="229">
      <t>カノウ</t>
    </rPh>
    <rPh sb="239" eb="241">
      <t>キノウ</t>
    </rPh>
    <rPh sb="242" eb="244">
      <t>カツヨウ</t>
    </rPh>
    <rPh sb="250" eb="252">
      <t>ガクセイ</t>
    </rPh>
    <rPh sb="253" eb="255">
      <t>キョウイン</t>
    </rPh>
    <rPh sb="257" eb="258">
      <t>アイダ</t>
    </rPh>
    <rPh sb="274" eb="276">
      <t>カノウ</t>
    </rPh>
    <phoneticPr fontId="1"/>
  </si>
  <si>
    <t>本プログラムを構成する科目は，全学共通教育科目であるため，学部学科に関わらずすべての学生が履修可能である。また，各学部ごとに履修支援・学修サポートも円滑に行う。</t>
    <rPh sb="0" eb="1">
      <t>ホン</t>
    </rPh>
    <rPh sb="7" eb="9">
      <t>コウセイ</t>
    </rPh>
    <rPh sb="11" eb="13">
      <t>カモク</t>
    </rPh>
    <rPh sb="15" eb="17">
      <t>ゼンガク</t>
    </rPh>
    <rPh sb="17" eb="19">
      <t>キョウツウ</t>
    </rPh>
    <rPh sb="19" eb="21">
      <t>キョウイク</t>
    </rPh>
    <rPh sb="21" eb="23">
      <t>カモク</t>
    </rPh>
    <rPh sb="29" eb="33">
      <t>ガクブガッカ</t>
    </rPh>
    <rPh sb="34" eb="35">
      <t>カカ</t>
    </rPh>
    <rPh sb="42" eb="44">
      <t>ガクセイ</t>
    </rPh>
    <rPh sb="45" eb="49">
      <t>リシュウカノウ</t>
    </rPh>
    <rPh sb="56" eb="57">
      <t>カク</t>
    </rPh>
    <rPh sb="57" eb="59">
      <t>ガクブ</t>
    </rPh>
    <rPh sb="62" eb="66">
      <t>リシュウシエン</t>
    </rPh>
    <rPh sb="67" eb="69">
      <t>ガクシュウ</t>
    </rPh>
    <rPh sb="74" eb="76">
      <t>エンカツ</t>
    </rPh>
    <rPh sb="77" eb="78">
      <t>オコナ</t>
    </rPh>
    <phoneticPr fontId="1"/>
  </si>
  <si>
    <t>生物資源科学部</t>
    <rPh sb="0" eb="4">
      <t>セイブツシゲン</t>
    </rPh>
    <rPh sb="4" eb="5">
      <t>カ</t>
    </rPh>
    <rPh sb="5" eb="7">
      <t>ガクブ</t>
    </rPh>
    <phoneticPr fontId="1"/>
  </si>
  <si>
    <t>履修者・履修率の向上に向けて，年度初めのオリエンテーション等の場で，本制度について学生に周知し，関連科目の積極的な履修を推奨する。また学期ごとに学生の理解度・授業の満足度を計るため学生への授業アンケートで調査し，仕組みや教育上の工夫、学生指導・支援等の学修サポート等の見直しを行う。
そのほか，本プログラムを構成する科目の一部（ICTリテラシーⅠ）は全学必修科目としており，数理データサイエンス科目の導入を全学生に受講させ，データ分析や演習を行うことで学生に数理・データサイエンス・AIの関連科目に興味を抱かせる足がかりとする。</t>
    <rPh sb="0" eb="3">
      <t>リシュウシャ</t>
    </rPh>
    <rPh sb="4" eb="7">
      <t>リシュウリツ</t>
    </rPh>
    <rPh sb="8" eb="10">
      <t>コウジョウ</t>
    </rPh>
    <rPh sb="11" eb="12">
      <t>ム</t>
    </rPh>
    <rPh sb="15" eb="17">
      <t>ネンド</t>
    </rPh>
    <rPh sb="17" eb="18">
      <t>ハジ</t>
    </rPh>
    <rPh sb="29" eb="30">
      <t>トウ</t>
    </rPh>
    <rPh sb="31" eb="32">
      <t>バ</t>
    </rPh>
    <rPh sb="34" eb="37">
      <t>ホンセイド</t>
    </rPh>
    <rPh sb="41" eb="43">
      <t>ガクセイ</t>
    </rPh>
    <rPh sb="44" eb="46">
      <t>シュウチ</t>
    </rPh>
    <rPh sb="48" eb="50">
      <t>カンレン</t>
    </rPh>
    <rPh sb="50" eb="52">
      <t>カモク</t>
    </rPh>
    <rPh sb="53" eb="56">
      <t>セッキョクテキ</t>
    </rPh>
    <rPh sb="57" eb="59">
      <t>リシュウ</t>
    </rPh>
    <rPh sb="60" eb="62">
      <t>スイショウ</t>
    </rPh>
    <rPh sb="67" eb="69">
      <t>ガッキ</t>
    </rPh>
    <rPh sb="72" eb="74">
      <t>ガクセイ</t>
    </rPh>
    <rPh sb="75" eb="78">
      <t>リカイド</t>
    </rPh>
    <rPh sb="79" eb="81">
      <t>ジュギョウ</t>
    </rPh>
    <rPh sb="82" eb="85">
      <t>マンゾクド</t>
    </rPh>
    <rPh sb="86" eb="87">
      <t>ハカ</t>
    </rPh>
    <rPh sb="90" eb="92">
      <t>ガクセイ</t>
    </rPh>
    <rPh sb="94" eb="96">
      <t>ジュギョウ</t>
    </rPh>
    <rPh sb="132" eb="133">
      <t>トウ</t>
    </rPh>
    <rPh sb="134" eb="136">
      <t>ミナオ</t>
    </rPh>
    <rPh sb="138" eb="139">
      <t>イ</t>
    </rPh>
    <rPh sb="179" eb="181">
      <t>カモク</t>
    </rPh>
    <rPh sb="215" eb="217">
      <t>ブンセキ</t>
    </rPh>
    <rPh sb="218" eb="220">
      <t>エンシュウ</t>
    </rPh>
    <rPh sb="221" eb="222">
      <t>オコナ</t>
    </rPh>
    <rPh sb="226" eb="228">
      <t>ガクセイ</t>
    </rPh>
    <rPh sb="229" eb="231">
      <t>スウリ</t>
    </rPh>
    <rPh sb="244" eb="246">
      <t>カンレン</t>
    </rPh>
    <rPh sb="246" eb="248">
      <t>カモク</t>
    </rPh>
    <rPh sb="249" eb="251">
      <t>キョウミ</t>
    </rPh>
    <rPh sb="252" eb="253">
      <t>イダ</t>
    </rPh>
    <rPh sb="256" eb="257">
      <t>アシ</t>
    </rPh>
    <phoneticPr fontId="1"/>
  </si>
  <si>
    <t>履修登録を行う際に必ず利用する修学支援システム，時間割表，学生便覧を用いて履修に必要な情報が確認できるようにする。特に，時間割上で同じ時間に他の科目を多く配置しないなど，履修機会をできるだけ確保する。
また本学では入学時から学生ごとにチューター教員による面談を行っており，この面談の中でも履修に係るアドバイスを実施し，本プログラムの積極的な履修につなげる。
そのほか，本プログラムの目標や身に付けることができる能力等をHP等で掲示し，プログラム履修への動機づけを行う。</t>
    <rPh sb="0" eb="4">
      <t>リシュウトウロク</t>
    </rPh>
    <rPh sb="5" eb="6">
      <t>オコナ</t>
    </rPh>
    <rPh sb="7" eb="8">
      <t>サイ</t>
    </rPh>
    <rPh sb="11" eb="13">
      <t>リヨウ</t>
    </rPh>
    <rPh sb="29" eb="33">
      <t>ガクセイビンラン</t>
    </rPh>
    <rPh sb="60" eb="64">
      <t>ジカンワリジョウ</t>
    </rPh>
    <rPh sb="65" eb="66">
      <t>オナ</t>
    </rPh>
    <rPh sb="67" eb="69">
      <t>ジカン</t>
    </rPh>
    <rPh sb="70" eb="71">
      <t>ホカ</t>
    </rPh>
    <rPh sb="72" eb="74">
      <t>カモク</t>
    </rPh>
    <rPh sb="75" eb="76">
      <t>オオ</t>
    </rPh>
    <rPh sb="77" eb="79">
      <t>ハイチ</t>
    </rPh>
    <rPh sb="85" eb="87">
      <t>リシュウ</t>
    </rPh>
    <rPh sb="87" eb="89">
      <t>キカイ</t>
    </rPh>
    <rPh sb="95" eb="97">
      <t>カクホ</t>
    </rPh>
    <rPh sb="103" eb="105">
      <t>ホンガク</t>
    </rPh>
    <rPh sb="107" eb="110">
      <t>ニュウガクジ</t>
    </rPh>
    <rPh sb="112" eb="114">
      <t>ガクセイ</t>
    </rPh>
    <rPh sb="122" eb="124">
      <t>キョウイン</t>
    </rPh>
    <rPh sb="127" eb="129">
      <t>メンダン</t>
    </rPh>
    <rPh sb="130" eb="131">
      <t>オコナ</t>
    </rPh>
    <rPh sb="138" eb="140">
      <t>メンダン</t>
    </rPh>
    <rPh sb="141" eb="142">
      <t>ナカ</t>
    </rPh>
    <rPh sb="144" eb="146">
      <t>リシュウ</t>
    </rPh>
    <rPh sb="147" eb="148">
      <t>カカ</t>
    </rPh>
    <rPh sb="155" eb="157">
      <t>ジッシ</t>
    </rPh>
    <rPh sb="159" eb="160">
      <t>ホン</t>
    </rPh>
    <rPh sb="166" eb="169">
      <t>セッキョクテキ</t>
    </rPh>
    <rPh sb="170" eb="172">
      <t>リシュウ</t>
    </rPh>
    <rPh sb="184" eb="185">
      <t>ホン</t>
    </rPh>
    <rPh sb="191" eb="193">
      <t>モクヒョウ</t>
    </rPh>
    <rPh sb="194" eb="195">
      <t>ミ</t>
    </rPh>
    <rPh sb="196" eb="197">
      <t>ツ</t>
    </rPh>
    <rPh sb="205" eb="207">
      <t>ノウリョク</t>
    </rPh>
    <rPh sb="207" eb="208">
      <t>トウ</t>
    </rPh>
    <rPh sb="211" eb="212">
      <t>トウ</t>
    </rPh>
    <rPh sb="213" eb="215">
      <t>ケイジ</t>
    </rPh>
    <rPh sb="222" eb="224">
      <t>リシュウ</t>
    </rPh>
    <rPh sb="226" eb="228">
      <t>ドウキ</t>
    </rPh>
    <rPh sb="231" eb="232">
      <t>オコナ</t>
    </rPh>
    <phoneticPr fontId="1"/>
  </si>
  <si>
    <t>・データ・ＡＩ活用領域の広がりなど「ICTリテラシーⅡ（地域創生学部）」（２回目）
・データ・ＡＩ活用領域の広がりなど「ICTリテラシーⅡ（生物資源科学部）」（２回目）
・データ・ＡＩ活用領域の広がりなど「ICTリテラシーⅡ（保健福祉学部・看護学コース）」（２～８回目）
・データ・ＡＩ活用領域の広がりなど「ICTリテラシーⅡ（保健福祉学部・理学療法学コースほか）」（３回目）</t>
    <phoneticPr fontId="1"/>
  </si>
  <si>
    <t>大学教育実践センターは，教育改革の企画や教育制度の充実に関する業務などを担い，大学としての総合力の強化を図ることを目的に設置されている。
令和4年度，同センターの下に「数理・データサイエンス・AI教育プログラム認定制度申請に向けた検討ワーキング」を立ち上げ，全学部から，数理・データサイエンス・AIの教育内容に関わる教職員が参画し，ICTリテラシー，統計学，AI等を含めた情報教育のカリキュラムを検討し，関連科目の整備を行った。令和５年度より，同検討ワーキングは，「数理・データサイエンス・ＡＩ教育プログラム（リテラシーレベル）運営委員会」に移行し，プログラムの運営，点検にあたる予定である。</t>
    <rPh sb="0" eb="2">
      <t>ダイガク</t>
    </rPh>
    <rPh sb="2" eb="4">
      <t>キョウイク</t>
    </rPh>
    <rPh sb="4" eb="6">
      <t>ジッセン</t>
    </rPh>
    <rPh sb="12" eb="14">
      <t>キョウイク</t>
    </rPh>
    <rPh sb="14" eb="16">
      <t>カイカク</t>
    </rPh>
    <rPh sb="17" eb="19">
      <t>キカク</t>
    </rPh>
    <rPh sb="20" eb="22">
      <t>キョウイク</t>
    </rPh>
    <rPh sb="22" eb="24">
      <t>セイド</t>
    </rPh>
    <rPh sb="25" eb="27">
      <t>ジュウジツ</t>
    </rPh>
    <rPh sb="28" eb="29">
      <t>カン</t>
    </rPh>
    <rPh sb="31" eb="33">
      <t>ギョウム</t>
    </rPh>
    <rPh sb="36" eb="37">
      <t>ニナ</t>
    </rPh>
    <rPh sb="57" eb="59">
      <t>モクテキ</t>
    </rPh>
    <rPh sb="60" eb="62">
      <t>セッチ</t>
    </rPh>
    <rPh sb="69" eb="71">
      <t>レイワ</t>
    </rPh>
    <rPh sb="72" eb="74">
      <t>ネンド</t>
    </rPh>
    <rPh sb="75" eb="76">
      <t>ドウ</t>
    </rPh>
    <rPh sb="81" eb="82">
      <t>シタ</t>
    </rPh>
    <rPh sb="84" eb="86">
      <t>スウリ</t>
    </rPh>
    <rPh sb="98" eb="100">
      <t>キョウイク</t>
    </rPh>
    <rPh sb="105" eb="107">
      <t>ニンテイ</t>
    </rPh>
    <rPh sb="107" eb="109">
      <t>セイド</t>
    </rPh>
    <rPh sb="109" eb="111">
      <t>シンセイ</t>
    </rPh>
    <rPh sb="112" eb="113">
      <t>ム</t>
    </rPh>
    <rPh sb="124" eb="125">
      <t>タ</t>
    </rPh>
    <rPh sb="126" eb="127">
      <t>ア</t>
    </rPh>
    <rPh sb="129" eb="132">
      <t>ゼンガクブ</t>
    </rPh>
    <rPh sb="135" eb="137">
      <t>スウリ</t>
    </rPh>
    <rPh sb="150" eb="154">
      <t>キョウイクナイヨウ</t>
    </rPh>
    <rPh sb="155" eb="156">
      <t>カカ</t>
    </rPh>
    <rPh sb="162" eb="164">
      <t>サンカク</t>
    </rPh>
    <rPh sb="175" eb="178">
      <t>トウケイガク</t>
    </rPh>
    <rPh sb="181" eb="182">
      <t>トウ</t>
    </rPh>
    <rPh sb="183" eb="184">
      <t>フク</t>
    </rPh>
    <rPh sb="186" eb="190">
      <t>ジョウホウキョウイク</t>
    </rPh>
    <rPh sb="198" eb="200">
      <t>ケントウ</t>
    </rPh>
    <rPh sb="214" eb="216">
      <t>レイワ</t>
    </rPh>
    <rPh sb="217" eb="219">
      <t>ネンド</t>
    </rPh>
    <rPh sb="222" eb="223">
      <t>ドウ</t>
    </rPh>
    <rPh sb="223" eb="225">
      <t>ケントウ</t>
    </rPh>
    <rPh sb="281" eb="283">
      <t>ウンエイ</t>
    </rPh>
    <rPh sb="284" eb="286">
      <t>テンケン</t>
    </rPh>
    <rPh sb="290" eb="292">
      <t>ヨテイ</t>
    </rPh>
    <phoneticPr fontId="1"/>
  </si>
  <si>
    <t>・データの種類など「ICTリテラシーⅡ（地域創生学部）」（７～８回目）
・データの種類など「ICTリテラシーⅡ（生物資源科学部）」（７～８回目）
・データの種類など「ICTリテラシーⅡ（保健福祉学部・看護学コース）」（９～１０回目）
・データの種類など「ICTリテラシーⅡ（保健福祉学部・理学療法学コースほか）」（１３～１５回目）
・データの分布など「統計入門（地域創生学部）」（１～１５回目）
・データの分布など「統計入門（生物資源科学部）」（１～１５回目）
・データの分布など「統計入門（保健福祉学部・看護学コース）」（１～１５回目）
・データの分布など「統計入門（保健福祉学部・理学療法学コースほか）」（１～１５回目）</t>
    <rPh sb="20" eb="22">
      <t>チイキ</t>
    </rPh>
    <rPh sb="22" eb="24">
      <t>ソウセイ</t>
    </rPh>
    <rPh sb="24" eb="26">
      <t>ガクブ</t>
    </rPh>
    <rPh sb="56" eb="63">
      <t>セイブツ</t>
    </rPh>
    <rPh sb="171" eb="173">
      <t>ブンプ</t>
    </rPh>
    <rPh sb="176" eb="178">
      <t>トウケイ</t>
    </rPh>
    <rPh sb="178" eb="180">
      <t>ニュウモン</t>
    </rPh>
    <rPh sb="213" eb="220">
      <t>セイブツ</t>
    </rPh>
    <rPh sb="241" eb="245">
      <t>トウケイニュウモン</t>
    </rPh>
    <rPh sb="280" eb="282">
      <t>トウケイ</t>
    </rPh>
    <rPh sb="282" eb="284">
      <t>ニュウモン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</si>
</sst>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b/>
      <sz val="12"/>
      <color theme="1"/>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1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lignment vertical="center"/>
    </xf>
    <xf numFmtId="0" fontId="2" fillId="0" borderId="0" xfId="0" applyFont="1" applyAlignment="1">
      <alignment horizontal="center" vertical="center"/>
    </xf>
    <xf numFmtId="0" fontId="2" fillId="0" borderId="0" xfId="0" applyFont="1">
      <alignment vertical="center"/>
    </xf>
    <xf numFmtId="0" fontId="2" fillId="0" borderId="0" xfId="0" applyFont="1" applyAlignment="1">
      <alignment horizontal="center" vertical="center"/>
    </xf>
    <xf numFmtId="0" fontId="2" fillId="0" borderId="61" xfId="0" applyFont="1" applyBorder="1" applyAlignment="1">
      <alignment horizontal="center" vertical="center" shrinkToFit="1"/>
    </xf>
    <xf numFmtId="0" fontId="2" fillId="3" borderId="14" xfId="0" applyFont="1" applyFill="1" applyBorder="1" applyAlignment="1">
      <alignment horizontal="center" vertical="center" shrinkToFit="1"/>
    </xf>
    <xf numFmtId="0" fontId="2" fillId="3" borderId="23" xfId="0" applyFont="1" applyFill="1" applyBorder="1" applyAlignment="1">
      <alignment horizontal="center" vertical="center" shrinkToFit="1"/>
    </xf>
    <xf numFmtId="0" fontId="2" fillId="3" borderId="61" xfId="0" applyFont="1" applyFill="1" applyBorder="1" applyAlignment="1">
      <alignment horizontal="center" vertical="center" shrinkToFit="1"/>
    </xf>
    <xf numFmtId="0" fontId="2" fillId="3" borderId="1" xfId="0" applyFont="1" applyFill="1" applyBorder="1" applyAlignment="1">
      <alignment horizontal="left" vertical="center"/>
    </xf>
    <xf numFmtId="0" fontId="13" fillId="3" borderId="14" xfId="0" applyFont="1" applyFill="1" applyBorder="1" applyAlignment="1">
      <alignment horizontal="left" vertical="center" shrinkToFit="1"/>
    </xf>
    <xf numFmtId="38" fontId="2" fillId="3" borderId="50" xfId="2" applyFont="1" applyFill="1" applyBorder="1" applyAlignment="1">
      <alignment vertical="center" shrinkToFit="1"/>
    </xf>
    <xf numFmtId="0" fontId="13" fillId="3" borderId="0" xfId="0" applyFont="1" applyFill="1" applyAlignment="1">
      <alignment vertical="center" shrinkToFit="1"/>
    </xf>
    <xf numFmtId="0" fontId="13" fillId="3" borderId="5" xfId="0" applyFont="1" applyFill="1" applyBorder="1" applyAlignment="1">
      <alignment vertical="center" shrinkToFit="1"/>
    </xf>
    <xf numFmtId="38" fontId="2" fillId="3" borderId="5" xfId="2" applyFont="1" applyFill="1" applyBorder="1" applyAlignment="1">
      <alignment vertical="center" shrinkToFit="1"/>
    </xf>
    <xf numFmtId="38" fontId="2" fillId="3" borderId="54" xfId="2" applyFont="1" applyFill="1" applyBorder="1" applyAlignment="1">
      <alignment vertical="center" shrinkToFit="1"/>
    </xf>
    <xf numFmtId="38" fontId="2" fillId="3" borderId="30" xfId="2" applyFont="1" applyFill="1" applyBorder="1" applyAlignment="1">
      <alignment vertical="center" shrinkToFit="1"/>
    </xf>
    <xf numFmtId="0" fontId="13" fillId="3" borderId="23" xfId="0" applyFont="1" applyFill="1" applyBorder="1" applyAlignment="1">
      <alignment horizontal="left" vertical="center" shrinkToFit="1"/>
    </xf>
    <xf numFmtId="38" fontId="2" fillId="3" borderId="23" xfId="2" applyFont="1" applyFill="1" applyBorder="1" applyAlignment="1">
      <alignment vertical="center" shrinkToFit="1"/>
    </xf>
    <xf numFmtId="0" fontId="13" fillId="3" borderId="20" xfId="0" applyFont="1" applyFill="1" applyBorder="1" applyAlignment="1">
      <alignment vertical="center" shrinkToFit="1"/>
    </xf>
    <xf numFmtId="0" fontId="13" fillId="3" borderId="19" xfId="0" applyFont="1" applyFill="1" applyBorder="1" applyAlignment="1">
      <alignment vertical="center" shrinkToFit="1"/>
    </xf>
    <xf numFmtId="38" fontId="2" fillId="3" borderId="57" xfId="2" applyFont="1" applyFill="1" applyBorder="1" applyAlignment="1">
      <alignment vertical="center" shrinkToFit="1"/>
    </xf>
    <xf numFmtId="38" fontId="2" fillId="3" borderId="55" xfId="2" applyFont="1" applyFill="1" applyBorder="1" applyAlignment="1">
      <alignment vertical="center" shrinkToFit="1"/>
    </xf>
    <xf numFmtId="38" fontId="2" fillId="3" borderId="32" xfId="2" applyFont="1" applyFill="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center" vertical="center"/>
    </xf>
    <xf numFmtId="0" fontId="2" fillId="3" borderId="1" xfId="0" applyFont="1" applyFill="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41" xfId="0" applyFont="1" applyBorder="1" applyAlignment="1">
      <alignment vertical="center" shrinkToFit="1"/>
    </xf>
    <xf numFmtId="0" fontId="2" fillId="0" borderId="42" xfId="0" applyFont="1" applyBorder="1" applyAlignment="1">
      <alignment vertical="center" shrinkToFi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12" fillId="0" borderId="7" xfId="0" applyFont="1" applyBorder="1" applyAlignment="1">
      <alignment vertical="top" wrapText="1"/>
    </xf>
    <xf numFmtId="0" fontId="12" fillId="0" borderId="8" xfId="0" applyFont="1" applyBorder="1" applyAlignment="1">
      <alignment vertical="top" wrapText="1"/>
    </xf>
    <xf numFmtId="0" fontId="12" fillId="0" borderId="9" xfId="0" applyFont="1" applyBorder="1" applyAlignment="1">
      <alignment vertical="top" wrapText="1"/>
    </xf>
    <xf numFmtId="0" fontId="12" fillId="0" borderId="5" xfId="0" applyFont="1" applyBorder="1" applyAlignment="1">
      <alignment vertical="top" wrapText="1"/>
    </xf>
    <xf numFmtId="0" fontId="12" fillId="0" borderId="0" xfId="0" applyFont="1" applyAlignment="1">
      <alignment vertical="top" wrapText="1"/>
    </xf>
    <xf numFmtId="0" fontId="12" fillId="0" borderId="10" xfId="0" applyFont="1" applyBorder="1" applyAlignment="1">
      <alignment vertical="top" wrapText="1"/>
    </xf>
    <xf numFmtId="0" fontId="12" fillId="0" borderId="11" xfId="0" applyFont="1" applyBorder="1" applyAlignment="1">
      <alignment vertical="top" wrapText="1"/>
    </xf>
    <xf numFmtId="0" fontId="12" fillId="0" borderId="6" xfId="0" applyFont="1" applyBorder="1" applyAlignment="1">
      <alignment vertical="top" wrapText="1"/>
    </xf>
    <xf numFmtId="0" fontId="12" fillId="0" borderId="12" xfId="0" applyFont="1" applyBorder="1" applyAlignment="1">
      <alignment vertical="top" wrapText="1"/>
    </xf>
    <xf numFmtId="0" fontId="2" fillId="3" borderId="7" xfId="0" applyFont="1" applyFill="1" applyBorder="1" applyAlignment="1">
      <alignment vertical="top" wrapText="1"/>
    </xf>
    <xf numFmtId="0" fontId="2" fillId="3" borderId="8" xfId="0" applyFont="1" applyFill="1" applyBorder="1" applyAlignment="1">
      <alignment vertical="top" wrapText="1"/>
    </xf>
    <xf numFmtId="0" fontId="2" fillId="3" borderId="9" xfId="0" applyFont="1" applyFill="1" applyBorder="1" applyAlignment="1">
      <alignment vertical="top"/>
    </xf>
    <xf numFmtId="0" fontId="2" fillId="3" borderId="5" xfId="0" applyFont="1" applyFill="1" applyBorder="1" applyAlignment="1">
      <alignment vertical="top"/>
    </xf>
    <xf numFmtId="0" fontId="2" fillId="3" borderId="0" xfId="0" applyFont="1" applyFill="1" applyAlignment="1">
      <alignment vertical="top"/>
    </xf>
    <xf numFmtId="0" fontId="2" fillId="3" borderId="10" xfId="0" applyFont="1" applyFill="1" applyBorder="1" applyAlignment="1">
      <alignment vertical="top"/>
    </xf>
    <xf numFmtId="0" fontId="2" fillId="3" borderId="11" xfId="0" applyFont="1" applyFill="1" applyBorder="1" applyAlignment="1">
      <alignment vertical="top"/>
    </xf>
    <xf numFmtId="0" fontId="2" fillId="3" borderId="6" xfId="0" applyFont="1" applyFill="1" applyBorder="1" applyAlignment="1">
      <alignment vertical="top"/>
    </xf>
    <xf numFmtId="0" fontId="2" fillId="3" borderId="12" xfId="0" applyFont="1" applyFill="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2" fillId="0" borderId="7" xfId="0" applyFont="1" applyBorder="1" applyAlignment="1">
      <alignment vertical="top" wrapText="1" shrinkToFit="1"/>
    </xf>
    <xf numFmtId="0" fontId="12" fillId="0" borderId="8" xfId="0" applyFont="1" applyBorder="1" applyAlignment="1">
      <alignment vertical="top" wrapText="1" shrinkToFit="1"/>
    </xf>
    <xf numFmtId="0" fontId="12" fillId="0" borderId="9" xfId="0" applyFont="1" applyBorder="1" applyAlignment="1">
      <alignment vertical="top" shrinkToFit="1"/>
    </xf>
    <xf numFmtId="0" fontId="12" fillId="0" borderId="5" xfId="0" applyFont="1" applyBorder="1" applyAlignment="1">
      <alignment vertical="top" shrinkToFit="1"/>
    </xf>
    <xf numFmtId="0" fontId="12" fillId="0" borderId="0" xfId="0" applyFont="1" applyAlignment="1">
      <alignment vertical="top" shrinkToFit="1"/>
    </xf>
    <xf numFmtId="0" fontId="12" fillId="0" borderId="10" xfId="0" applyFont="1" applyBorder="1" applyAlignment="1">
      <alignment vertical="top" shrinkToFit="1"/>
    </xf>
    <xf numFmtId="0" fontId="12" fillId="0" borderId="11" xfId="0" applyFont="1" applyBorder="1" applyAlignment="1">
      <alignment vertical="top" shrinkToFit="1"/>
    </xf>
    <xf numFmtId="0" fontId="12" fillId="0" borderId="6" xfId="0" applyFont="1" applyBorder="1" applyAlignment="1">
      <alignment vertical="top" shrinkToFit="1"/>
    </xf>
    <xf numFmtId="0" fontId="12" fillId="0" borderId="12" xfId="0" applyFont="1" applyBorder="1" applyAlignment="1">
      <alignment vertical="top" shrinkToFit="1"/>
    </xf>
    <xf numFmtId="0" fontId="2" fillId="0" borderId="0" xfId="0" applyFont="1">
      <alignment vertical="center"/>
    </xf>
    <xf numFmtId="0" fontId="2" fillId="3" borderId="2" xfId="0" applyFont="1" applyFill="1" applyBorder="1" applyAlignment="1">
      <alignment vertical="center" shrinkToFit="1"/>
    </xf>
    <xf numFmtId="0" fontId="2" fillId="3" borderId="3" xfId="0" applyFont="1" applyFill="1" applyBorder="1" applyAlignment="1">
      <alignment vertical="center" shrinkToFit="1"/>
    </xf>
    <xf numFmtId="0" fontId="2" fillId="3" borderId="4" xfId="0" applyFont="1" applyFill="1" applyBorder="1" applyAlignment="1">
      <alignment vertical="center" shrinkToFit="1"/>
    </xf>
    <xf numFmtId="0" fontId="12" fillId="0" borderId="7" xfId="0" applyFont="1" applyFill="1" applyBorder="1" applyAlignment="1">
      <alignment vertical="top" wrapText="1" shrinkToFit="1"/>
    </xf>
    <xf numFmtId="0" fontId="12" fillId="0" borderId="8" xfId="0" applyFont="1" applyFill="1" applyBorder="1" applyAlignment="1">
      <alignment vertical="top" wrapText="1" shrinkToFit="1"/>
    </xf>
    <xf numFmtId="0" fontId="12" fillId="0" borderId="9" xfId="0" applyFont="1" applyFill="1" applyBorder="1" applyAlignment="1">
      <alignment vertical="top" shrinkToFit="1"/>
    </xf>
    <xf numFmtId="0" fontId="12" fillId="0" borderId="5" xfId="0" applyFont="1" applyFill="1" applyBorder="1" applyAlignment="1">
      <alignment vertical="top" wrapText="1" shrinkToFit="1"/>
    </xf>
    <xf numFmtId="0" fontId="12" fillId="0" borderId="0" xfId="0" applyFont="1" applyFill="1" applyAlignment="1">
      <alignment vertical="top" wrapText="1" shrinkToFit="1"/>
    </xf>
    <xf numFmtId="0" fontId="12" fillId="0" borderId="10" xfId="0" applyFont="1" applyFill="1" applyBorder="1" applyAlignment="1">
      <alignment vertical="top" shrinkToFit="1"/>
    </xf>
    <xf numFmtId="0" fontId="12" fillId="0" borderId="5" xfId="0" applyFont="1" applyFill="1" applyBorder="1" applyAlignment="1">
      <alignment vertical="top" shrinkToFit="1"/>
    </xf>
    <xf numFmtId="0" fontId="12" fillId="0" borderId="0" xfId="0" applyFont="1" applyFill="1" applyAlignment="1">
      <alignment vertical="top" shrinkToFit="1"/>
    </xf>
    <xf numFmtId="0" fontId="12" fillId="0" borderId="11" xfId="0" applyFont="1" applyFill="1" applyBorder="1" applyAlignment="1">
      <alignment vertical="top" shrinkToFit="1"/>
    </xf>
    <xf numFmtId="0" fontId="12" fillId="0" borderId="6" xfId="0" applyFont="1" applyFill="1" applyBorder="1" applyAlignment="1">
      <alignment vertical="top" shrinkToFit="1"/>
    </xf>
    <xf numFmtId="0" fontId="12" fillId="0" borderId="12" xfId="0" applyFont="1" applyFill="1" applyBorder="1" applyAlignment="1">
      <alignment vertical="top" shrinkToFit="1"/>
    </xf>
    <xf numFmtId="0" fontId="11" fillId="0" borderId="8" xfId="0" applyFont="1" applyFill="1" applyBorder="1" applyAlignment="1">
      <alignment vertical="top" wrapText="1" shrinkToFit="1"/>
    </xf>
    <xf numFmtId="0" fontId="11" fillId="0" borderId="9" xfId="0" applyFont="1" applyFill="1" applyBorder="1" applyAlignment="1">
      <alignment vertical="top" shrinkToFit="1"/>
    </xf>
    <xf numFmtId="0" fontId="11" fillId="0" borderId="5" xfId="0" applyFont="1" applyFill="1" applyBorder="1" applyAlignment="1">
      <alignment vertical="top" shrinkToFit="1"/>
    </xf>
    <xf numFmtId="0" fontId="11" fillId="0" borderId="0" xfId="0" applyFont="1" applyFill="1" applyAlignment="1">
      <alignment vertical="top" shrinkToFit="1"/>
    </xf>
    <xf numFmtId="0" fontId="11" fillId="0" borderId="10" xfId="0" applyFont="1" applyFill="1" applyBorder="1" applyAlignment="1">
      <alignment vertical="top" shrinkToFit="1"/>
    </xf>
    <xf numFmtId="0" fontId="11" fillId="0" borderId="11" xfId="0" applyFont="1" applyFill="1" applyBorder="1" applyAlignment="1">
      <alignment vertical="top" shrinkToFit="1"/>
    </xf>
    <xf numFmtId="0" fontId="11" fillId="0" borderId="6" xfId="0" applyFont="1" applyFill="1" applyBorder="1" applyAlignment="1">
      <alignment vertical="top" shrinkToFit="1"/>
    </xf>
    <xf numFmtId="0" fontId="11" fillId="0" borderId="12" xfId="0" applyFont="1" applyFill="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3" borderId="2" xfId="0" applyFont="1" applyFill="1" applyBorder="1" applyAlignment="1">
      <alignment horizontal="left" vertical="center"/>
    </xf>
    <xf numFmtId="0" fontId="5" fillId="3" borderId="3" xfId="0" applyFont="1" applyFill="1" applyBorder="1">
      <alignment vertical="center"/>
    </xf>
    <xf numFmtId="0" fontId="5" fillId="3" borderId="4" xfId="0" applyFont="1" applyFill="1" applyBorder="1">
      <alignment vertical="center"/>
    </xf>
    <xf numFmtId="0" fontId="5" fillId="3" borderId="3" xfId="0" applyFont="1" applyFill="1" applyBorder="1" applyAlignment="1">
      <alignment horizontal="left" vertical="center"/>
    </xf>
    <xf numFmtId="0" fontId="5" fillId="3" borderId="4" xfId="0" applyFont="1" applyFill="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2" fillId="0" borderId="6" xfId="0" applyFont="1" applyBorder="1" applyAlignment="1">
      <alignment vertical="top" wrapText="1" shrinkToFit="1"/>
    </xf>
    <xf numFmtId="0" fontId="1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12" fillId="0" borderId="20" xfId="0" applyFont="1" applyFill="1" applyBorder="1" applyAlignment="1">
      <alignment vertical="top" wrapText="1" shrinkToFit="1"/>
    </xf>
    <xf numFmtId="0" fontId="11" fillId="0" borderId="20" xfId="0" applyFont="1" applyFill="1" applyBorder="1" applyAlignment="1">
      <alignment vertical="top" wrapText="1" shrinkToFit="1"/>
    </xf>
    <xf numFmtId="0" fontId="11" fillId="0" borderId="18" xfId="0" applyFont="1" applyFill="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12" fillId="0" borderId="38" xfId="0" applyFont="1" applyFill="1" applyBorder="1" applyAlignment="1">
      <alignment vertical="top" wrapText="1" shrinkToFit="1"/>
    </xf>
    <xf numFmtId="0" fontId="11" fillId="0" borderId="38" xfId="0" applyFont="1" applyFill="1" applyBorder="1" applyAlignment="1">
      <alignment vertical="top" wrapText="1" shrinkToFit="1"/>
    </xf>
    <xf numFmtId="0" fontId="11" fillId="0" borderId="39" xfId="0" applyFont="1" applyFill="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12" fillId="0" borderId="42" xfId="0" applyFont="1" applyBorder="1" applyAlignment="1">
      <alignment vertical="top" wrapText="1" shrinkToFit="1"/>
    </xf>
    <xf numFmtId="0" fontId="12" fillId="0" borderId="43" xfId="0" applyFont="1" applyBorder="1" applyAlignment="1">
      <alignment vertical="top" wrapText="1" shrinkToFit="1"/>
    </xf>
    <xf numFmtId="0" fontId="12"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12" fillId="0" borderId="37" xfId="0" applyFont="1" applyBorder="1" applyAlignment="1">
      <alignment vertical="top" wrapText="1" shrinkToFit="1"/>
    </xf>
    <xf numFmtId="0" fontId="11" fillId="0" borderId="38" xfId="0" applyFont="1" applyBorder="1" applyAlignment="1">
      <alignment vertical="top" wrapText="1" shrinkToFit="1"/>
    </xf>
    <xf numFmtId="0" fontId="11" fillId="0" borderId="39"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3" borderId="3" xfId="0" applyFont="1" applyFill="1" applyBorder="1" applyAlignment="1">
      <alignment horizontal="left" vertical="center"/>
    </xf>
    <xf numFmtId="0" fontId="2" fillId="3" borderId="4" xfId="0" applyFont="1" applyFill="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1"/>
  <sheetViews>
    <sheetView showZeros="0" view="pageBreakPreview" topLeftCell="A97" zoomScaleNormal="100" zoomScaleSheetLayoutView="100" workbookViewId="0">
      <selection activeCell="D98" sqref="D98:S98"/>
    </sheetView>
  </sheetViews>
  <sheetFormatPr defaultColWidth="9" defaultRowHeight="18.75" customHeight="1" x14ac:dyDescent="0.2"/>
  <cols>
    <col min="1" max="1" width="2.453125" style="1" customWidth="1"/>
    <col min="2" max="2" width="16.453125" style="1" customWidth="1"/>
    <col min="3" max="19" width="5.6328125" style="1" customWidth="1"/>
    <col min="20" max="20" width="9" style="1"/>
    <col min="21" max="21" width="3.6328125" style="1" customWidth="1"/>
    <col min="22" max="22" width="48.6328125" style="1" hidden="1" customWidth="1"/>
    <col min="23" max="16384" width="9" style="1"/>
  </cols>
  <sheetData>
    <row r="1" spans="1:22" ht="18.649999999999999" customHeight="1" x14ac:dyDescent="0.2">
      <c r="A1" s="82"/>
      <c r="B1" s="82"/>
      <c r="C1" s="82"/>
      <c r="D1" s="82"/>
      <c r="E1" s="82"/>
      <c r="F1" s="82"/>
      <c r="G1" s="82"/>
      <c r="H1" s="82"/>
      <c r="I1" s="82"/>
      <c r="J1" s="82"/>
      <c r="K1" s="82"/>
      <c r="L1" s="82"/>
      <c r="M1" s="82"/>
      <c r="N1" s="82"/>
      <c r="O1" s="82"/>
      <c r="P1" s="82"/>
      <c r="Q1" s="82"/>
      <c r="R1" s="127" t="s">
        <v>12</v>
      </c>
      <c r="S1" s="127"/>
      <c r="T1" s="2" t="s">
        <v>110</v>
      </c>
    </row>
    <row r="2" spans="1:22" ht="18.75" customHeight="1" x14ac:dyDescent="0.2">
      <c r="A2" s="82"/>
      <c r="B2" s="81" t="s">
        <v>109</v>
      </c>
      <c r="C2" s="120" t="s">
        <v>127</v>
      </c>
      <c r="D2" s="121"/>
      <c r="E2" s="121"/>
      <c r="F2" s="121"/>
      <c r="G2" s="121"/>
      <c r="H2" s="121"/>
      <c r="I2" s="122"/>
      <c r="J2" s="80"/>
      <c r="K2" s="6"/>
      <c r="L2" s="6"/>
      <c r="M2" s="6"/>
      <c r="N2" s="6"/>
      <c r="O2" s="6"/>
      <c r="P2" s="6"/>
      <c r="Q2" s="6"/>
      <c r="R2" s="6"/>
      <c r="S2" s="6"/>
    </row>
    <row r="3" spans="1:22" ht="18.75" customHeight="1" x14ac:dyDescent="0.2">
      <c r="A3" s="82"/>
      <c r="B3" s="81" t="s">
        <v>103</v>
      </c>
      <c r="C3" s="131" t="s">
        <v>134</v>
      </c>
      <c r="D3" s="132"/>
      <c r="E3" s="132"/>
      <c r="F3" s="132"/>
      <c r="G3" s="132"/>
      <c r="H3" s="132"/>
      <c r="I3" s="133"/>
      <c r="J3" s="80"/>
      <c r="K3" s="6"/>
      <c r="L3" s="6"/>
      <c r="M3" s="6"/>
      <c r="N3" s="6"/>
      <c r="O3" s="6"/>
      <c r="P3" s="6"/>
      <c r="Q3" s="6"/>
      <c r="R3" s="6"/>
      <c r="S3" s="6"/>
    </row>
    <row r="4" spans="1:22" ht="15" customHeight="1" x14ac:dyDescent="0.2">
      <c r="A4" s="82"/>
      <c r="B4" s="82"/>
      <c r="C4" s="82"/>
      <c r="D4" s="82"/>
      <c r="E4" s="82"/>
      <c r="F4" s="82"/>
      <c r="G4" s="82"/>
      <c r="H4" s="82"/>
      <c r="I4" s="82"/>
      <c r="J4" s="82"/>
      <c r="K4" s="80"/>
      <c r="L4" s="35"/>
      <c r="M4" s="35"/>
      <c r="N4" s="35"/>
      <c r="O4" s="35"/>
      <c r="P4" s="35"/>
      <c r="Q4" s="35"/>
      <c r="R4" s="35"/>
      <c r="S4" s="35"/>
    </row>
    <row r="5" spans="1:22" ht="18" customHeight="1" x14ac:dyDescent="0.2">
      <c r="A5" s="134" t="s">
        <v>39</v>
      </c>
      <c r="B5" s="134"/>
      <c r="C5" s="134"/>
      <c r="D5" s="134"/>
      <c r="E5" s="134"/>
      <c r="F5" s="134"/>
      <c r="G5" s="134"/>
      <c r="H5" s="134"/>
      <c r="I5" s="134"/>
      <c r="J5" s="134"/>
      <c r="K5" s="134"/>
      <c r="L5" s="134"/>
      <c r="M5" s="134"/>
      <c r="N5" s="134"/>
      <c r="O5" s="134"/>
      <c r="P5" s="134"/>
      <c r="Q5" s="134"/>
      <c r="R5" s="134"/>
      <c r="S5" s="134"/>
    </row>
    <row r="6" spans="1:22" ht="15" customHeight="1" x14ac:dyDescent="0.2">
      <c r="A6" s="82"/>
      <c r="B6" s="83"/>
      <c r="C6" s="83"/>
      <c r="D6" s="83"/>
      <c r="E6" s="83"/>
      <c r="F6" s="83"/>
      <c r="G6" s="83"/>
      <c r="H6" s="83"/>
      <c r="I6" s="83"/>
      <c r="J6" s="83"/>
      <c r="K6" s="83"/>
      <c r="L6" s="83"/>
      <c r="M6" s="83"/>
      <c r="N6" s="83"/>
      <c r="O6" s="83"/>
      <c r="P6" s="83"/>
      <c r="Q6" s="83"/>
      <c r="R6" s="83"/>
      <c r="S6" s="83"/>
    </row>
    <row r="7" spans="1:22" ht="18" customHeight="1" x14ac:dyDescent="0.2">
      <c r="A7" s="82" t="s">
        <v>125</v>
      </c>
      <c r="B7" s="82"/>
      <c r="C7" s="83"/>
      <c r="D7" s="82"/>
      <c r="E7" s="82"/>
      <c r="F7" s="82"/>
      <c r="G7" s="82"/>
      <c r="H7" s="82"/>
      <c r="I7" s="82"/>
      <c r="J7" s="36" t="s">
        <v>108</v>
      </c>
      <c r="K7" s="131" t="s">
        <v>128</v>
      </c>
      <c r="L7" s="132"/>
      <c r="M7" s="132"/>
      <c r="N7" s="132"/>
      <c r="O7" s="132"/>
      <c r="P7" s="132"/>
      <c r="Q7" s="132"/>
      <c r="R7" s="132"/>
      <c r="S7" s="133"/>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108"/>
      <c r="C9" s="109"/>
      <c r="D9" s="109"/>
      <c r="E9" s="109"/>
      <c r="F9" s="109"/>
      <c r="G9" s="109"/>
      <c r="H9" s="109"/>
      <c r="I9" s="109"/>
      <c r="J9" s="109"/>
      <c r="K9" s="109"/>
      <c r="L9" s="109"/>
      <c r="M9" s="109"/>
      <c r="N9" s="109"/>
      <c r="O9" s="109"/>
      <c r="P9" s="109"/>
      <c r="Q9" s="109"/>
      <c r="R9" s="109"/>
      <c r="S9" s="110"/>
    </row>
    <row r="10" spans="1:22" ht="18" customHeight="1" x14ac:dyDescent="0.2">
      <c r="B10" s="111"/>
      <c r="C10" s="112"/>
      <c r="D10" s="112"/>
      <c r="E10" s="112"/>
      <c r="F10" s="112"/>
      <c r="G10" s="112"/>
      <c r="H10" s="112"/>
      <c r="I10" s="112"/>
      <c r="J10" s="112"/>
      <c r="K10" s="112"/>
      <c r="L10" s="112"/>
      <c r="M10" s="112"/>
      <c r="N10" s="112"/>
      <c r="O10" s="112"/>
      <c r="P10" s="112"/>
      <c r="Q10" s="112"/>
      <c r="R10" s="112"/>
      <c r="S10" s="113"/>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112</v>
      </c>
      <c r="B12" s="3"/>
      <c r="C12" s="3"/>
      <c r="D12" s="34"/>
      <c r="E12" s="34"/>
      <c r="F12" s="34"/>
      <c r="G12" s="34"/>
      <c r="H12" s="34"/>
      <c r="I12" s="34"/>
      <c r="J12" s="34"/>
      <c r="K12" s="37"/>
      <c r="L12" s="37"/>
      <c r="M12" s="37"/>
      <c r="N12" s="37"/>
      <c r="O12" s="37"/>
      <c r="P12" s="37"/>
      <c r="Q12" s="37"/>
      <c r="R12" s="37"/>
      <c r="S12" s="37"/>
    </row>
    <row r="13" spans="1:22" ht="18" customHeight="1" x14ac:dyDescent="0.2">
      <c r="B13" s="135" t="s">
        <v>135</v>
      </c>
      <c r="C13" s="136"/>
      <c r="D13" s="136"/>
      <c r="E13" s="136"/>
      <c r="F13" s="136"/>
      <c r="G13" s="136"/>
      <c r="H13" s="136"/>
      <c r="I13" s="136"/>
      <c r="J13" s="136"/>
      <c r="K13" s="136"/>
      <c r="L13" s="136"/>
      <c r="M13" s="136"/>
      <c r="N13" s="136"/>
      <c r="O13" s="136"/>
      <c r="P13" s="136"/>
      <c r="Q13" s="136"/>
      <c r="R13" s="136"/>
      <c r="S13" s="137"/>
      <c r="V13" s="1" t="s">
        <v>104</v>
      </c>
    </row>
    <row r="14" spans="1:22" ht="18" customHeight="1" x14ac:dyDescent="0.2">
      <c r="B14" s="138"/>
      <c r="C14" s="139"/>
      <c r="D14" s="139"/>
      <c r="E14" s="139"/>
      <c r="F14" s="139"/>
      <c r="G14" s="139"/>
      <c r="H14" s="139"/>
      <c r="I14" s="139"/>
      <c r="J14" s="139"/>
      <c r="K14" s="139"/>
      <c r="L14" s="139"/>
      <c r="M14" s="139"/>
      <c r="N14" s="139"/>
      <c r="O14" s="139"/>
      <c r="P14" s="139"/>
      <c r="Q14" s="139"/>
      <c r="R14" s="139"/>
      <c r="S14" s="140"/>
      <c r="V14" s="1" t="s">
        <v>111</v>
      </c>
    </row>
    <row r="15" spans="1:22" ht="18" customHeight="1" x14ac:dyDescent="0.2">
      <c r="B15" s="138"/>
      <c r="C15" s="139"/>
      <c r="D15" s="139"/>
      <c r="E15" s="139"/>
      <c r="F15" s="139"/>
      <c r="G15" s="139"/>
      <c r="H15" s="139"/>
      <c r="I15" s="139"/>
      <c r="J15" s="139"/>
      <c r="K15" s="139"/>
      <c r="L15" s="139"/>
      <c r="M15" s="139"/>
      <c r="N15" s="139"/>
      <c r="O15" s="139"/>
      <c r="P15" s="139"/>
      <c r="Q15" s="139"/>
      <c r="R15" s="139"/>
      <c r="S15" s="140"/>
      <c r="V15" s="1" t="s">
        <v>124</v>
      </c>
    </row>
    <row r="16" spans="1:22" ht="8.5" customHeight="1" x14ac:dyDescent="0.2">
      <c r="B16" s="138"/>
      <c r="C16" s="139"/>
      <c r="D16" s="139"/>
      <c r="E16" s="139"/>
      <c r="F16" s="139"/>
      <c r="G16" s="139"/>
      <c r="H16" s="139"/>
      <c r="I16" s="139"/>
      <c r="J16" s="139"/>
      <c r="K16" s="139"/>
      <c r="L16" s="139"/>
      <c r="M16" s="139"/>
      <c r="N16" s="139"/>
      <c r="O16" s="139"/>
      <c r="P16" s="139"/>
      <c r="Q16" s="139"/>
      <c r="R16" s="139"/>
      <c r="S16" s="140"/>
      <c r="V16" s="1" t="s">
        <v>126</v>
      </c>
    </row>
    <row r="17" spans="1:19" ht="8.5" customHeight="1" x14ac:dyDescent="0.2">
      <c r="B17" s="138"/>
      <c r="C17" s="139"/>
      <c r="D17" s="139"/>
      <c r="E17" s="139"/>
      <c r="F17" s="139"/>
      <c r="G17" s="139"/>
      <c r="H17" s="139"/>
      <c r="I17" s="139"/>
      <c r="J17" s="139"/>
      <c r="K17" s="139"/>
      <c r="L17" s="139"/>
      <c r="M17" s="139"/>
      <c r="N17" s="139"/>
      <c r="O17" s="139"/>
      <c r="P17" s="139"/>
      <c r="Q17" s="139"/>
      <c r="R17" s="139"/>
      <c r="S17" s="140"/>
    </row>
    <row r="18" spans="1:19" ht="8.5" customHeight="1" x14ac:dyDescent="0.2">
      <c r="B18" s="141"/>
      <c r="C18" s="142"/>
      <c r="D18" s="142"/>
      <c r="E18" s="142"/>
      <c r="F18" s="142"/>
      <c r="G18" s="142"/>
      <c r="H18" s="142"/>
      <c r="I18" s="142"/>
      <c r="J18" s="142"/>
      <c r="K18" s="142"/>
      <c r="L18" s="142"/>
      <c r="M18" s="142"/>
      <c r="N18" s="142"/>
      <c r="O18" s="142"/>
      <c r="P18" s="142"/>
      <c r="Q18" s="142"/>
      <c r="R18" s="142"/>
      <c r="S18" s="143"/>
    </row>
    <row r="19" spans="1:19" ht="7.5" customHeight="1" x14ac:dyDescent="0.2">
      <c r="B19" s="3"/>
      <c r="C19" s="3"/>
      <c r="D19" s="3"/>
      <c r="E19" s="3"/>
      <c r="F19" s="3"/>
      <c r="G19" s="3"/>
      <c r="H19" s="3"/>
      <c r="I19" s="3"/>
      <c r="J19" s="3"/>
      <c r="K19" s="3"/>
      <c r="L19" s="3"/>
      <c r="M19" s="3"/>
      <c r="N19" s="3"/>
      <c r="O19" s="3"/>
      <c r="P19" s="3"/>
      <c r="Q19" s="3"/>
      <c r="R19" s="3"/>
      <c r="S19" s="3"/>
    </row>
    <row r="20" spans="1:19" ht="20.149999999999999" customHeight="1" x14ac:dyDescent="0.2">
      <c r="B20" s="1" t="s">
        <v>113</v>
      </c>
      <c r="C20" s="120">
        <v>4</v>
      </c>
      <c r="D20" s="122"/>
      <c r="E20" s="38" t="s">
        <v>96</v>
      </c>
      <c r="F20" s="82"/>
      <c r="G20" s="10"/>
      <c r="H20" s="83"/>
      <c r="I20" s="83"/>
      <c r="J20" s="80" t="s">
        <v>122</v>
      </c>
      <c r="K20" s="128" t="s">
        <v>126</v>
      </c>
      <c r="L20" s="129"/>
      <c r="M20" s="129"/>
      <c r="N20" s="129"/>
      <c r="O20" s="129"/>
      <c r="P20" s="129"/>
      <c r="Q20" s="129"/>
      <c r="R20" s="129"/>
      <c r="S20" s="130"/>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123" t="s">
        <v>114</v>
      </c>
      <c r="B22" s="123"/>
      <c r="C22" s="123"/>
      <c r="D22" s="123"/>
      <c r="E22" s="123"/>
      <c r="F22" s="123"/>
      <c r="G22" s="123"/>
      <c r="H22" s="123"/>
      <c r="I22" s="123"/>
      <c r="J22" s="123"/>
      <c r="K22" s="123"/>
      <c r="L22" s="123"/>
      <c r="M22" s="123"/>
      <c r="N22" s="123"/>
      <c r="O22" s="123"/>
      <c r="P22" s="123"/>
      <c r="Q22" s="123"/>
      <c r="R22" s="123"/>
      <c r="S22" s="123"/>
    </row>
    <row r="23" spans="1:19" ht="18" customHeight="1" x14ac:dyDescent="0.2">
      <c r="A23" s="123"/>
      <c r="B23" s="123"/>
      <c r="C23" s="123"/>
      <c r="D23" s="123"/>
      <c r="E23" s="123"/>
      <c r="F23" s="123"/>
      <c r="G23" s="123"/>
      <c r="H23" s="123"/>
      <c r="I23" s="123"/>
      <c r="J23" s="123"/>
      <c r="K23" s="123"/>
      <c r="L23" s="123"/>
      <c r="M23" s="123"/>
      <c r="N23" s="123"/>
      <c r="O23" s="123"/>
      <c r="P23" s="123"/>
      <c r="Q23" s="123"/>
      <c r="R23" s="123"/>
      <c r="S23" s="123"/>
    </row>
    <row r="24" spans="1:19" ht="18" customHeight="1" x14ac:dyDescent="0.2">
      <c r="B24" s="120" t="s">
        <v>54</v>
      </c>
      <c r="C24" s="121"/>
      <c r="D24" s="121"/>
      <c r="E24" s="122"/>
      <c r="F24" s="59" t="s">
        <v>81</v>
      </c>
      <c r="G24" s="58" t="s">
        <v>85</v>
      </c>
      <c r="H24" s="21" t="s">
        <v>57</v>
      </c>
      <c r="I24" s="21" t="s">
        <v>60</v>
      </c>
      <c r="J24" s="120" t="s">
        <v>54</v>
      </c>
      <c r="K24" s="121"/>
      <c r="L24" s="121"/>
      <c r="M24" s="121"/>
      <c r="N24" s="121"/>
      <c r="O24" s="122"/>
      <c r="P24" s="59" t="s">
        <v>81</v>
      </c>
      <c r="Q24" s="58" t="s">
        <v>85</v>
      </c>
      <c r="R24" s="21" t="s">
        <v>57</v>
      </c>
      <c r="S24" s="21" t="s">
        <v>60</v>
      </c>
    </row>
    <row r="25" spans="1:19" ht="18" customHeight="1" x14ac:dyDescent="0.2">
      <c r="B25" s="124" t="s">
        <v>137</v>
      </c>
      <c r="C25" s="125"/>
      <c r="D25" s="125"/>
      <c r="E25" s="126"/>
      <c r="F25" s="22">
        <v>1</v>
      </c>
      <c r="G25" s="22" t="s">
        <v>129</v>
      </c>
      <c r="H25" s="22" t="s">
        <v>129</v>
      </c>
      <c r="I25" s="22" t="s">
        <v>129</v>
      </c>
      <c r="J25" s="124"/>
      <c r="K25" s="125"/>
      <c r="L25" s="125"/>
      <c r="M25" s="125"/>
      <c r="N25" s="125"/>
      <c r="O25" s="126"/>
      <c r="P25" s="22"/>
      <c r="Q25" s="22"/>
      <c r="R25" s="22"/>
      <c r="S25" s="22"/>
    </row>
    <row r="26" spans="1:19" s="84" customFormat="1" ht="18" customHeight="1" x14ac:dyDescent="0.2">
      <c r="B26" s="114" t="s">
        <v>136</v>
      </c>
      <c r="C26" s="115"/>
      <c r="D26" s="115"/>
      <c r="E26" s="116"/>
      <c r="F26" s="23">
        <v>1</v>
      </c>
      <c r="G26" s="23" t="s">
        <v>129</v>
      </c>
      <c r="H26" s="23" t="s">
        <v>129</v>
      </c>
      <c r="I26" s="23" t="s">
        <v>129</v>
      </c>
      <c r="J26" s="114"/>
      <c r="K26" s="115"/>
      <c r="L26" s="115"/>
      <c r="M26" s="115"/>
      <c r="N26" s="115"/>
      <c r="O26" s="116"/>
      <c r="P26" s="23"/>
      <c r="Q26" s="23"/>
      <c r="R26" s="23"/>
      <c r="S26" s="23"/>
    </row>
    <row r="27" spans="1:19" ht="18" customHeight="1" x14ac:dyDescent="0.2">
      <c r="B27" s="114" t="s">
        <v>138</v>
      </c>
      <c r="C27" s="115"/>
      <c r="D27" s="115"/>
      <c r="E27" s="116"/>
      <c r="F27" s="23">
        <v>1</v>
      </c>
      <c r="G27" s="23" t="s">
        <v>129</v>
      </c>
      <c r="H27" s="23" t="s">
        <v>129</v>
      </c>
      <c r="I27" s="23" t="s">
        <v>129</v>
      </c>
      <c r="J27" s="114"/>
      <c r="K27" s="115"/>
      <c r="L27" s="115"/>
      <c r="M27" s="115"/>
      <c r="N27" s="115"/>
      <c r="O27" s="116"/>
      <c r="P27" s="23"/>
      <c r="Q27" s="23"/>
      <c r="R27" s="23"/>
      <c r="S27" s="23"/>
    </row>
    <row r="28" spans="1:19" ht="18" customHeight="1" x14ac:dyDescent="0.2">
      <c r="B28" s="114" t="s">
        <v>139</v>
      </c>
      <c r="C28" s="115"/>
      <c r="D28" s="115"/>
      <c r="E28" s="116"/>
      <c r="F28" s="23">
        <v>1</v>
      </c>
      <c r="G28" s="23" t="s">
        <v>129</v>
      </c>
      <c r="H28" s="23" t="s">
        <v>129</v>
      </c>
      <c r="I28" s="23" t="s">
        <v>129</v>
      </c>
      <c r="J28" s="114"/>
      <c r="K28" s="115"/>
      <c r="L28" s="115"/>
      <c r="M28" s="115"/>
      <c r="N28" s="115"/>
      <c r="O28" s="116"/>
      <c r="P28" s="23"/>
      <c r="Q28" s="23"/>
      <c r="R28" s="23"/>
      <c r="S28" s="23"/>
    </row>
    <row r="29" spans="1:19" ht="18" customHeight="1" x14ac:dyDescent="0.2">
      <c r="B29" s="114"/>
      <c r="C29" s="115"/>
      <c r="D29" s="115"/>
      <c r="E29" s="116"/>
      <c r="F29" s="23"/>
      <c r="G29" s="23"/>
      <c r="H29" s="23"/>
      <c r="I29" s="23"/>
      <c r="J29" s="114"/>
      <c r="K29" s="115"/>
      <c r="L29" s="115"/>
      <c r="M29" s="115"/>
      <c r="N29" s="115"/>
      <c r="O29" s="116"/>
      <c r="P29" s="23"/>
      <c r="Q29" s="23"/>
      <c r="R29" s="23"/>
      <c r="S29" s="23"/>
    </row>
    <row r="30" spans="1:19" ht="18" customHeight="1" x14ac:dyDescent="0.2">
      <c r="B30" s="114"/>
      <c r="C30" s="115"/>
      <c r="D30" s="115"/>
      <c r="E30" s="116"/>
      <c r="F30" s="23"/>
      <c r="G30" s="23"/>
      <c r="H30" s="23"/>
      <c r="I30" s="23"/>
      <c r="J30" s="114"/>
      <c r="K30" s="115"/>
      <c r="L30" s="115"/>
      <c r="M30" s="115"/>
      <c r="N30" s="115"/>
      <c r="O30" s="116"/>
      <c r="P30" s="23"/>
      <c r="Q30" s="23"/>
      <c r="R30" s="23"/>
      <c r="S30" s="23"/>
    </row>
    <row r="31" spans="1:19" ht="18" customHeight="1" x14ac:dyDescent="0.2">
      <c r="A31" s="3"/>
      <c r="B31" s="114"/>
      <c r="C31" s="115"/>
      <c r="D31" s="115"/>
      <c r="E31" s="116"/>
      <c r="F31" s="23"/>
      <c r="G31" s="23"/>
      <c r="H31" s="23"/>
      <c r="I31" s="23"/>
      <c r="J31" s="114"/>
      <c r="K31" s="115"/>
      <c r="L31" s="115"/>
      <c r="M31" s="115"/>
      <c r="N31" s="115"/>
      <c r="O31" s="116"/>
      <c r="P31" s="23"/>
      <c r="Q31" s="23"/>
      <c r="R31" s="23"/>
      <c r="S31" s="23"/>
    </row>
    <row r="32" spans="1:19" ht="18" customHeight="1" x14ac:dyDescent="0.2">
      <c r="A32" s="3"/>
      <c r="B32" s="117"/>
      <c r="C32" s="118"/>
      <c r="D32" s="118"/>
      <c r="E32" s="119"/>
      <c r="F32" s="24"/>
      <c r="G32" s="24"/>
      <c r="H32" s="25"/>
      <c r="I32" s="25"/>
      <c r="J32" s="117"/>
      <c r="K32" s="118"/>
      <c r="L32" s="118"/>
      <c r="M32" s="118"/>
      <c r="N32" s="118"/>
      <c r="O32" s="119"/>
      <c r="P32" s="24"/>
      <c r="Q32" s="24"/>
      <c r="R32" s="25"/>
      <c r="S32" s="25"/>
    </row>
    <row r="33" spans="1:19" ht="7.5" customHeight="1" x14ac:dyDescent="0.2">
      <c r="A33" s="3"/>
      <c r="B33" s="6"/>
      <c r="C33" s="6"/>
      <c r="D33" s="3"/>
      <c r="E33" s="3"/>
      <c r="F33" s="3"/>
      <c r="G33" s="3"/>
      <c r="H33" s="6"/>
      <c r="I33" s="6"/>
      <c r="J33" s="6"/>
      <c r="K33" s="6"/>
      <c r="L33" s="6"/>
      <c r="M33" s="6"/>
      <c r="N33" s="6"/>
      <c r="O33" s="6"/>
      <c r="P33" s="6"/>
      <c r="Q33" s="6"/>
      <c r="R33" s="6"/>
      <c r="S33" s="3"/>
    </row>
    <row r="34" spans="1:19" ht="18" customHeight="1" x14ac:dyDescent="0.2">
      <c r="A34" s="123" t="s">
        <v>115</v>
      </c>
      <c r="B34" s="123"/>
      <c r="C34" s="123"/>
      <c r="D34" s="123"/>
      <c r="E34" s="123"/>
      <c r="F34" s="123"/>
      <c r="G34" s="123"/>
      <c r="H34" s="123"/>
      <c r="I34" s="123"/>
      <c r="J34" s="123"/>
      <c r="K34" s="123"/>
      <c r="L34" s="123"/>
      <c r="M34" s="123"/>
      <c r="N34" s="123"/>
      <c r="O34" s="123"/>
      <c r="P34" s="123"/>
      <c r="Q34" s="123"/>
      <c r="R34" s="123"/>
      <c r="S34" s="123"/>
    </row>
    <row r="35" spans="1:19" ht="18" customHeight="1" x14ac:dyDescent="0.2">
      <c r="A35" s="123"/>
      <c r="B35" s="123"/>
      <c r="C35" s="123"/>
      <c r="D35" s="123"/>
      <c r="E35" s="123"/>
      <c r="F35" s="123"/>
      <c r="G35" s="123"/>
      <c r="H35" s="123"/>
      <c r="I35" s="123"/>
      <c r="J35" s="123"/>
      <c r="K35" s="123"/>
      <c r="L35" s="123"/>
      <c r="M35" s="123"/>
      <c r="N35" s="123"/>
      <c r="O35" s="123"/>
      <c r="P35" s="123"/>
      <c r="Q35" s="123"/>
      <c r="R35" s="123"/>
      <c r="S35" s="123"/>
    </row>
    <row r="36" spans="1:19" ht="18" customHeight="1" x14ac:dyDescent="0.2">
      <c r="B36" s="120" t="s">
        <v>54</v>
      </c>
      <c r="C36" s="121"/>
      <c r="D36" s="121"/>
      <c r="E36" s="122"/>
      <c r="F36" s="59" t="s">
        <v>81</v>
      </c>
      <c r="G36" s="58" t="s">
        <v>85</v>
      </c>
      <c r="H36" s="21" t="s">
        <v>72</v>
      </c>
      <c r="I36" s="21" t="s">
        <v>73</v>
      </c>
      <c r="J36" s="120" t="s">
        <v>54</v>
      </c>
      <c r="K36" s="121"/>
      <c r="L36" s="121"/>
      <c r="M36" s="121"/>
      <c r="N36" s="121"/>
      <c r="O36" s="122"/>
      <c r="P36" s="59" t="s">
        <v>81</v>
      </c>
      <c r="Q36" s="58" t="s">
        <v>85</v>
      </c>
      <c r="R36" s="21" t="s">
        <v>72</v>
      </c>
      <c r="S36" s="21" t="s">
        <v>73</v>
      </c>
    </row>
    <row r="37" spans="1:19" ht="18" customHeight="1" x14ac:dyDescent="0.2">
      <c r="B37" s="124" t="s">
        <v>137</v>
      </c>
      <c r="C37" s="125"/>
      <c r="D37" s="125"/>
      <c r="E37" s="126"/>
      <c r="F37" s="22">
        <v>1</v>
      </c>
      <c r="G37" s="22" t="s">
        <v>129</v>
      </c>
      <c r="H37" s="22" t="s">
        <v>129</v>
      </c>
      <c r="I37" s="22" t="s">
        <v>129</v>
      </c>
      <c r="J37" s="124"/>
      <c r="K37" s="125"/>
      <c r="L37" s="125"/>
      <c r="M37" s="125"/>
      <c r="N37" s="125"/>
      <c r="O37" s="126"/>
      <c r="P37" s="22"/>
      <c r="Q37" s="22"/>
      <c r="R37" s="22"/>
      <c r="S37" s="22"/>
    </row>
    <row r="38" spans="1:19" s="84" customFormat="1" ht="18" customHeight="1" x14ac:dyDescent="0.2">
      <c r="B38" s="114" t="s">
        <v>136</v>
      </c>
      <c r="C38" s="115"/>
      <c r="D38" s="115"/>
      <c r="E38" s="116"/>
      <c r="F38" s="23">
        <v>1</v>
      </c>
      <c r="G38" s="23" t="s">
        <v>129</v>
      </c>
      <c r="H38" s="23" t="s">
        <v>129</v>
      </c>
      <c r="I38" s="23" t="s">
        <v>129</v>
      </c>
      <c r="J38" s="114"/>
      <c r="K38" s="115"/>
      <c r="L38" s="115"/>
      <c r="M38" s="115"/>
      <c r="N38" s="115"/>
      <c r="O38" s="116"/>
      <c r="P38" s="23"/>
      <c r="Q38" s="23"/>
      <c r="R38" s="23"/>
      <c r="S38" s="23"/>
    </row>
    <row r="39" spans="1:19" ht="18" customHeight="1" x14ac:dyDescent="0.2">
      <c r="B39" s="114" t="s">
        <v>138</v>
      </c>
      <c r="C39" s="115"/>
      <c r="D39" s="115"/>
      <c r="E39" s="116"/>
      <c r="F39" s="23">
        <v>1</v>
      </c>
      <c r="G39" s="23" t="s">
        <v>129</v>
      </c>
      <c r="H39" s="23" t="s">
        <v>129</v>
      </c>
      <c r="I39" s="23" t="s">
        <v>129</v>
      </c>
      <c r="J39" s="114"/>
      <c r="K39" s="115"/>
      <c r="L39" s="115"/>
      <c r="M39" s="115"/>
      <c r="N39" s="115"/>
      <c r="O39" s="116"/>
      <c r="P39" s="23"/>
      <c r="Q39" s="23"/>
      <c r="R39" s="23"/>
      <c r="S39" s="23"/>
    </row>
    <row r="40" spans="1:19" ht="18" customHeight="1" x14ac:dyDescent="0.2">
      <c r="B40" s="114" t="s">
        <v>139</v>
      </c>
      <c r="C40" s="115"/>
      <c r="D40" s="115"/>
      <c r="E40" s="116"/>
      <c r="F40" s="23">
        <v>1</v>
      </c>
      <c r="G40" s="23" t="s">
        <v>129</v>
      </c>
      <c r="H40" s="23" t="s">
        <v>129</v>
      </c>
      <c r="I40" s="23" t="s">
        <v>129</v>
      </c>
      <c r="J40" s="114"/>
      <c r="K40" s="115"/>
      <c r="L40" s="115"/>
      <c r="M40" s="115"/>
      <c r="N40" s="115"/>
      <c r="O40" s="116"/>
      <c r="P40" s="23"/>
      <c r="Q40" s="23"/>
      <c r="R40" s="23"/>
      <c r="S40" s="23"/>
    </row>
    <row r="41" spans="1:19" ht="18" customHeight="1" x14ac:dyDescent="0.2">
      <c r="B41" s="117"/>
      <c r="C41" s="118"/>
      <c r="D41" s="118"/>
      <c r="E41" s="119"/>
      <c r="F41" s="24"/>
      <c r="G41" s="24"/>
      <c r="H41" s="25"/>
      <c r="I41" s="25"/>
      <c r="J41" s="117"/>
      <c r="K41" s="118"/>
      <c r="L41" s="118"/>
      <c r="M41" s="118"/>
      <c r="N41" s="118"/>
      <c r="O41" s="119"/>
      <c r="P41" s="24"/>
      <c r="Q41" s="24"/>
      <c r="R41" s="25"/>
      <c r="S41" s="25"/>
    </row>
    <row r="42" spans="1:19" ht="7.5" customHeight="1" x14ac:dyDescent="0.2">
      <c r="A42" s="3"/>
      <c r="B42" s="6"/>
      <c r="C42" s="6"/>
      <c r="D42" s="3"/>
      <c r="E42" s="3"/>
      <c r="F42" s="3"/>
      <c r="G42" s="3"/>
      <c r="H42" s="6"/>
      <c r="I42" s="6"/>
      <c r="J42" s="6"/>
      <c r="K42" s="6"/>
      <c r="L42" s="6"/>
      <c r="M42" s="6"/>
      <c r="N42" s="6"/>
      <c r="O42" s="6"/>
      <c r="P42" s="6"/>
      <c r="Q42" s="6"/>
      <c r="R42" s="6"/>
      <c r="S42" s="3"/>
    </row>
    <row r="43" spans="1:19" ht="18" customHeight="1" x14ac:dyDescent="0.2">
      <c r="A43" s="123" t="s">
        <v>116</v>
      </c>
      <c r="B43" s="123"/>
      <c r="C43" s="123"/>
      <c r="D43" s="123"/>
      <c r="E43" s="123"/>
      <c r="F43" s="123"/>
      <c r="G43" s="123"/>
      <c r="H43" s="123"/>
      <c r="I43" s="123"/>
      <c r="J43" s="123"/>
      <c r="K43" s="123"/>
      <c r="L43" s="123"/>
      <c r="M43" s="123"/>
      <c r="N43" s="123"/>
      <c r="O43" s="123"/>
      <c r="P43" s="123"/>
      <c r="Q43" s="123"/>
      <c r="R43" s="123"/>
      <c r="S43" s="123"/>
    </row>
    <row r="44" spans="1:19" ht="18" customHeight="1" x14ac:dyDescent="0.2">
      <c r="A44" s="123"/>
      <c r="B44" s="123"/>
      <c r="C44" s="123"/>
      <c r="D44" s="123"/>
      <c r="E44" s="123"/>
      <c r="F44" s="123"/>
      <c r="G44" s="123"/>
      <c r="H44" s="123"/>
      <c r="I44" s="123"/>
      <c r="J44" s="123"/>
      <c r="K44" s="123"/>
      <c r="L44" s="123"/>
      <c r="M44" s="123"/>
      <c r="N44" s="123"/>
      <c r="O44" s="123"/>
      <c r="P44" s="123"/>
      <c r="Q44" s="123"/>
      <c r="R44" s="123"/>
      <c r="S44" s="123"/>
    </row>
    <row r="45" spans="1:19" ht="18" customHeight="1" x14ac:dyDescent="0.2">
      <c r="B45" s="120" t="s">
        <v>54</v>
      </c>
      <c r="C45" s="121"/>
      <c r="D45" s="121"/>
      <c r="E45" s="122"/>
      <c r="F45" s="59" t="s">
        <v>81</v>
      </c>
      <c r="G45" s="58" t="s">
        <v>85</v>
      </c>
      <c r="H45" s="21" t="s">
        <v>74</v>
      </c>
      <c r="I45" s="21" t="s">
        <v>75</v>
      </c>
      <c r="J45" s="120" t="s">
        <v>54</v>
      </c>
      <c r="K45" s="121"/>
      <c r="L45" s="121"/>
      <c r="M45" s="121"/>
      <c r="N45" s="121"/>
      <c r="O45" s="122"/>
      <c r="P45" s="59" t="s">
        <v>81</v>
      </c>
      <c r="Q45" s="58" t="s">
        <v>85</v>
      </c>
      <c r="R45" s="21" t="s">
        <v>74</v>
      </c>
      <c r="S45" s="21" t="s">
        <v>75</v>
      </c>
    </row>
    <row r="46" spans="1:19" ht="18" customHeight="1" x14ac:dyDescent="0.2">
      <c r="A46" s="3"/>
      <c r="B46" s="124" t="s">
        <v>137</v>
      </c>
      <c r="C46" s="125"/>
      <c r="D46" s="125"/>
      <c r="E46" s="126"/>
      <c r="F46" s="22">
        <v>1</v>
      </c>
      <c r="G46" s="22" t="s">
        <v>129</v>
      </c>
      <c r="H46" s="22" t="s">
        <v>129</v>
      </c>
      <c r="I46" s="22" t="s">
        <v>129</v>
      </c>
      <c r="J46" s="124"/>
      <c r="K46" s="125"/>
      <c r="L46" s="125"/>
      <c r="M46" s="125"/>
      <c r="N46" s="125"/>
      <c r="O46" s="126"/>
      <c r="P46" s="22"/>
      <c r="Q46" s="22"/>
      <c r="R46" s="22"/>
      <c r="S46" s="22"/>
    </row>
    <row r="47" spans="1:19" ht="18" customHeight="1" x14ac:dyDescent="0.2">
      <c r="A47" s="3"/>
      <c r="B47" s="114" t="s">
        <v>136</v>
      </c>
      <c r="C47" s="115"/>
      <c r="D47" s="115"/>
      <c r="E47" s="116"/>
      <c r="F47" s="23">
        <v>1</v>
      </c>
      <c r="G47" s="23" t="s">
        <v>129</v>
      </c>
      <c r="H47" s="23" t="s">
        <v>129</v>
      </c>
      <c r="I47" s="23" t="s">
        <v>129</v>
      </c>
      <c r="J47" s="114"/>
      <c r="K47" s="115"/>
      <c r="L47" s="115"/>
      <c r="M47" s="115"/>
      <c r="N47" s="115"/>
      <c r="O47" s="116"/>
      <c r="P47" s="23"/>
      <c r="Q47" s="23"/>
      <c r="R47" s="23"/>
      <c r="S47" s="23"/>
    </row>
    <row r="48" spans="1:19" ht="18" customHeight="1" x14ac:dyDescent="0.2">
      <c r="A48" s="3"/>
      <c r="B48" s="114" t="s">
        <v>138</v>
      </c>
      <c r="C48" s="115"/>
      <c r="D48" s="115"/>
      <c r="E48" s="116"/>
      <c r="F48" s="23">
        <v>1</v>
      </c>
      <c r="G48" s="23" t="s">
        <v>129</v>
      </c>
      <c r="H48" s="23" t="s">
        <v>129</v>
      </c>
      <c r="I48" s="23" t="s">
        <v>129</v>
      </c>
      <c r="J48" s="114"/>
      <c r="K48" s="115"/>
      <c r="L48" s="115"/>
      <c r="M48" s="115"/>
      <c r="N48" s="115"/>
      <c r="O48" s="116"/>
      <c r="P48" s="23"/>
      <c r="Q48" s="23"/>
      <c r="R48" s="23"/>
      <c r="S48" s="23"/>
    </row>
    <row r="49" spans="1:19" ht="18" customHeight="1" x14ac:dyDescent="0.2">
      <c r="A49" s="3"/>
      <c r="B49" s="114" t="s">
        <v>139</v>
      </c>
      <c r="C49" s="115"/>
      <c r="D49" s="115"/>
      <c r="E49" s="116"/>
      <c r="F49" s="23">
        <v>1</v>
      </c>
      <c r="G49" s="23" t="s">
        <v>129</v>
      </c>
      <c r="H49" s="23" t="s">
        <v>129</v>
      </c>
      <c r="I49" s="23" t="s">
        <v>129</v>
      </c>
      <c r="J49" s="114"/>
      <c r="K49" s="115"/>
      <c r="L49" s="115"/>
      <c r="M49" s="115"/>
      <c r="N49" s="115"/>
      <c r="O49" s="116"/>
      <c r="P49" s="23"/>
      <c r="Q49" s="23"/>
      <c r="R49" s="23"/>
      <c r="S49" s="23"/>
    </row>
    <row r="50" spans="1:19" ht="18" customHeight="1" x14ac:dyDescent="0.2">
      <c r="A50" s="3"/>
      <c r="B50" s="114"/>
      <c r="C50" s="115"/>
      <c r="D50" s="115"/>
      <c r="E50" s="116"/>
      <c r="F50" s="23"/>
      <c r="G50" s="23"/>
      <c r="H50" s="23"/>
      <c r="I50" s="23"/>
      <c r="J50" s="114"/>
      <c r="K50" s="115"/>
      <c r="L50" s="115"/>
      <c r="M50" s="115"/>
      <c r="N50" s="115"/>
      <c r="O50" s="116"/>
      <c r="P50" s="23"/>
      <c r="Q50" s="23"/>
      <c r="R50" s="23"/>
      <c r="S50" s="23"/>
    </row>
    <row r="51" spans="1:19" ht="18" customHeight="1" x14ac:dyDescent="0.2">
      <c r="A51" s="3"/>
      <c r="B51" s="114"/>
      <c r="C51" s="115"/>
      <c r="D51" s="115"/>
      <c r="E51" s="116"/>
      <c r="F51" s="23"/>
      <c r="G51" s="23"/>
      <c r="H51" s="23"/>
      <c r="I51" s="23"/>
      <c r="J51" s="114"/>
      <c r="K51" s="115"/>
      <c r="L51" s="115"/>
      <c r="M51" s="115"/>
      <c r="N51" s="115"/>
      <c r="O51" s="116"/>
      <c r="P51" s="23"/>
      <c r="Q51" s="23"/>
      <c r="R51" s="23"/>
      <c r="S51" s="23"/>
    </row>
    <row r="52" spans="1:19" ht="18" customHeight="1" x14ac:dyDescent="0.2">
      <c r="A52" s="3"/>
      <c r="B52" s="117"/>
      <c r="C52" s="118"/>
      <c r="D52" s="118"/>
      <c r="E52" s="119"/>
      <c r="F52" s="24"/>
      <c r="G52" s="24"/>
      <c r="H52" s="25"/>
      <c r="I52" s="25"/>
      <c r="J52" s="117"/>
      <c r="K52" s="118"/>
      <c r="L52" s="118"/>
      <c r="M52" s="118"/>
      <c r="N52" s="118"/>
      <c r="O52" s="119"/>
      <c r="P52" s="24"/>
      <c r="Q52" s="24"/>
      <c r="R52" s="25"/>
      <c r="S52" s="25"/>
    </row>
    <row r="53" spans="1:19" ht="7.5" customHeight="1" x14ac:dyDescent="0.2">
      <c r="B53" s="14"/>
      <c r="C53" s="14"/>
      <c r="D53" s="14"/>
      <c r="E53" s="14"/>
      <c r="F53" s="14"/>
      <c r="G53" s="14"/>
      <c r="H53" s="14"/>
      <c r="I53" s="14"/>
      <c r="J53" s="14"/>
      <c r="K53" s="14"/>
      <c r="L53" s="14"/>
      <c r="M53" s="14"/>
      <c r="N53" s="14"/>
      <c r="O53" s="14"/>
      <c r="P53" s="14"/>
      <c r="Q53" s="14"/>
      <c r="R53" s="14"/>
    </row>
    <row r="54" spans="1:19" ht="18" customHeight="1" x14ac:dyDescent="0.2">
      <c r="A54" s="123" t="s">
        <v>117</v>
      </c>
      <c r="B54" s="123"/>
      <c r="C54" s="123"/>
      <c r="D54" s="123"/>
      <c r="E54" s="123"/>
      <c r="F54" s="123"/>
      <c r="G54" s="123"/>
      <c r="H54" s="123"/>
      <c r="I54" s="123"/>
      <c r="J54" s="123"/>
      <c r="K54" s="123"/>
      <c r="L54" s="123"/>
      <c r="M54" s="123"/>
      <c r="N54" s="123"/>
      <c r="O54" s="123"/>
      <c r="P54" s="123"/>
      <c r="Q54" s="123"/>
      <c r="R54" s="123"/>
      <c r="S54" s="123"/>
    </row>
    <row r="55" spans="1:19" ht="18" customHeight="1" x14ac:dyDescent="0.2">
      <c r="A55" s="123"/>
      <c r="B55" s="123"/>
      <c r="C55" s="123"/>
      <c r="D55" s="123"/>
      <c r="E55" s="123"/>
      <c r="F55" s="123"/>
      <c r="G55" s="123"/>
      <c r="H55" s="123"/>
      <c r="I55" s="123"/>
      <c r="J55" s="123"/>
      <c r="K55" s="123"/>
      <c r="L55" s="123"/>
      <c r="M55" s="123"/>
      <c r="N55" s="123"/>
      <c r="O55" s="123"/>
      <c r="P55" s="123"/>
      <c r="Q55" s="123"/>
      <c r="R55" s="123"/>
      <c r="S55" s="123"/>
    </row>
    <row r="56" spans="1:19" ht="18" customHeight="1" x14ac:dyDescent="0.2">
      <c r="B56" s="120" t="s">
        <v>54</v>
      </c>
      <c r="C56" s="121"/>
      <c r="D56" s="121"/>
      <c r="E56" s="122"/>
      <c r="F56" s="59" t="s">
        <v>81</v>
      </c>
      <c r="G56" s="58" t="s">
        <v>85</v>
      </c>
      <c r="H56" s="21" t="s">
        <v>59</v>
      </c>
      <c r="I56" s="21" t="s">
        <v>61</v>
      </c>
      <c r="J56" s="120" t="s">
        <v>54</v>
      </c>
      <c r="K56" s="121"/>
      <c r="L56" s="121"/>
      <c r="M56" s="121"/>
      <c r="N56" s="121"/>
      <c r="O56" s="122"/>
      <c r="P56" s="59" t="s">
        <v>81</v>
      </c>
      <c r="Q56" s="58" t="s">
        <v>85</v>
      </c>
      <c r="R56" s="21" t="s">
        <v>59</v>
      </c>
      <c r="S56" s="21" t="s">
        <v>61</v>
      </c>
    </row>
    <row r="57" spans="1:19" ht="18" customHeight="1" x14ac:dyDescent="0.2">
      <c r="A57" s="3"/>
      <c r="B57" s="124" t="s">
        <v>140</v>
      </c>
      <c r="C57" s="125"/>
      <c r="D57" s="125"/>
      <c r="E57" s="126"/>
      <c r="F57" s="22">
        <v>1</v>
      </c>
      <c r="G57" s="87" t="s">
        <v>129</v>
      </c>
      <c r="H57" s="22"/>
      <c r="I57" s="22" t="s">
        <v>129</v>
      </c>
      <c r="J57" s="124"/>
      <c r="K57" s="125"/>
      <c r="L57" s="125"/>
      <c r="M57" s="125"/>
      <c r="N57" s="125"/>
      <c r="O57" s="126"/>
      <c r="P57" s="22"/>
      <c r="Q57" s="22"/>
      <c r="R57" s="22"/>
      <c r="S57" s="22"/>
    </row>
    <row r="58" spans="1:19" ht="18" customHeight="1" x14ac:dyDescent="0.2">
      <c r="A58" s="3"/>
      <c r="B58" s="114" t="s">
        <v>141</v>
      </c>
      <c r="C58" s="115"/>
      <c r="D58" s="115"/>
      <c r="E58" s="116"/>
      <c r="F58" s="23">
        <v>1</v>
      </c>
      <c r="G58" s="88" t="s">
        <v>129</v>
      </c>
      <c r="H58" s="23"/>
      <c r="I58" s="23" t="s">
        <v>129</v>
      </c>
      <c r="J58" s="114"/>
      <c r="K58" s="115"/>
      <c r="L58" s="115"/>
      <c r="M58" s="115"/>
      <c r="N58" s="115"/>
      <c r="O58" s="116"/>
      <c r="P58" s="23"/>
      <c r="Q58" s="23"/>
      <c r="R58" s="23"/>
      <c r="S58" s="23"/>
    </row>
    <row r="59" spans="1:19" ht="18" customHeight="1" x14ac:dyDescent="0.2">
      <c r="A59" s="3"/>
      <c r="B59" s="114" t="s">
        <v>142</v>
      </c>
      <c r="C59" s="115"/>
      <c r="D59" s="115"/>
      <c r="E59" s="116"/>
      <c r="F59" s="86">
        <v>1</v>
      </c>
      <c r="G59" s="89" t="s">
        <v>129</v>
      </c>
      <c r="H59" s="86"/>
      <c r="I59" s="86" t="s">
        <v>129</v>
      </c>
      <c r="J59" s="114"/>
      <c r="K59" s="115"/>
      <c r="L59" s="115"/>
      <c r="M59" s="115"/>
      <c r="N59" s="115"/>
      <c r="O59" s="116"/>
      <c r="P59" s="23"/>
      <c r="Q59" s="23"/>
      <c r="R59" s="23"/>
      <c r="S59" s="23"/>
    </row>
    <row r="60" spans="1:19" s="84" customFormat="1" ht="18" customHeight="1" x14ac:dyDescent="0.2">
      <c r="A60" s="85"/>
      <c r="B60" s="114" t="s">
        <v>143</v>
      </c>
      <c r="C60" s="115"/>
      <c r="D60" s="115"/>
      <c r="E60" s="116"/>
      <c r="F60" s="86">
        <v>1</v>
      </c>
      <c r="G60" s="89" t="s">
        <v>129</v>
      </c>
      <c r="H60" s="86"/>
      <c r="I60" s="86" t="s">
        <v>129</v>
      </c>
      <c r="J60" s="114"/>
      <c r="K60" s="115"/>
      <c r="L60" s="115"/>
      <c r="M60" s="115"/>
      <c r="N60" s="115"/>
      <c r="O60" s="116"/>
      <c r="P60" s="23"/>
      <c r="Q60" s="23"/>
      <c r="R60" s="23"/>
      <c r="S60" s="23"/>
    </row>
    <row r="61" spans="1:19" ht="18" customHeight="1" x14ac:dyDescent="0.2">
      <c r="A61" s="3"/>
      <c r="B61" s="114" t="s">
        <v>137</v>
      </c>
      <c r="C61" s="115"/>
      <c r="D61" s="115"/>
      <c r="E61" s="116"/>
      <c r="F61" s="23">
        <v>1</v>
      </c>
      <c r="G61" s="23" t="s">
        <v>129</v>
      </c>
      <c r="H61" s="23" t="s">
        <v>129</v>
      </c>
      <c r="I61" s="23" t="s">
        <v>129</v>
      </c>
      <c r="J61" s="114"/>
      <c r="K61" s="115"/>
      <c r="L61" s="115"/>
      <c r="M61" s="115"/>
      <c r="N61" s="115"/>
      <c r="O61" s="116"/>
      <c r="P61" s="23"/>
      <c r="Q61" s="23"/>
      <c r="R61" s="23"/>
      <c r="S61" s="23"/>
    </row>
    <row r="62" spans="1:19" ht="18" customHeight="1" x14ac:dyDescent="0.2">
      <c r="A62" s="3"/>
      <c r="B62" s="114" t="s">
        <v>136</v>
      </c>
      <c r="C62" s="115"/>
      <c r="D62" s="115"/>
      <c r="E62" s="116"/>
      <c r="F62" s="23">
        <v>1</v>
      </c>
      <c r="G62" s="23" t="s">
        <v>129</v>
      </c>
      <c r="H62" s="23" t="s">
        <v>129</v>
      </c>
      <c r="I62" s="23" t="s">
        <v>129</v>
      </c>
      <c r="J62" s="114"/>
      <c r="K62" s="115"/>
      <c r="L62" s="115"/>
      <c r="M62" s="115"/>
      <c r="N62" s="115"/>
      <c r="O62" s="116"/>
      <c r="P62" s="23"/>
      <c r="Q62" s="23"/>
      <c r="R62" s="23"/>
      <c r="S62" s="23"/>
    </row>
    <row r="63" spans="1:19" ht="18" customHeight="1" x14ac:dyDescent="0.2">
      <c r="A63" s="3"/>
      <c r="B63" s="114" t="s">
        <v>138</v>
      </c>
      <c r="C63" s="115"/>
      <c r="D63" s="115"/>
      <c r="E63" s="116"/>
      <c r="F63" s="23">
        <v>1</v>
      </c>
      <c r="G63" s="23" t="s">
        <v>129</v>
      </c>
      <c r="H63" s="23" t="s">
        <v>129</v>
      </c>
      <c r="I63" s="23" t="s">
        <v>129</v>
      </c>
      <c r="J63" s="114"/>
      <c r="K63" s="115"/>
      <c r="L63" s="115"/>
      <c r="M63" s="115"/>
      <c r="N63" s="115"/>
      <c r="O63" s="116"/>
      <c r="P63" s="23"/>
      <c r="Q63" s="23"/>
      <c r="R63" s="23"/>
      <c r="S63" s="23"/>
    </row>
    <row r="64" spans="1:19" ht="18" customHeight="1" x14ac:dyDescent="0.2">
      <c r="A64" s="3"/>
      <c r="B64" s="117" t="s">
        <v>139</v>
      </c>
      <c r="C64" s="118"/>
      <c r="D64" s="118"/>
      <c r="E64" s="119"/>
      <c r="F64" s="24">
        <v>1</v>
      </c>
      <c r="G64" s="24" t="s">
        <v>129</v>
      </c>
      <c r="H64" s="25" t="s">
        <v>129</v>
      </c>
      <c r="I64" s="25" t="s">
        <v>129</v>
      </c>
      <c r="J64" s="117"/>
      <c r="K64" s="118"/>
      <c r="L64" s="118"/>
      <c r="M64" s="118"/>
      <c r="N64" s="118"/>
      <c r="O64" s="119"/>
      <c r="P64" s="24"/>
      <c r="Q64" s="24"/>
      <c r="R64" s="25"/>
      <c r="S64" s="25"/>
    </row>
    <row r="65" spans="1:19" ht="7.5" customHeight="1" x14ac:dyDescent="0.2">
      <c r="B65" s="14"/>
      <c r="C65" s="14"/>
      <c r="D65" s="14"/>
      <c r="E65" s="14"/>
      <c r="F65" s="14"/>
      <c r="G65" s="14"/>
      <c r="H65" s="14"/>
      <c r="I65" s="14"/>
      <c r="J65" s="14"/>
      <c r="K65" s="14"/>
      <c r="L65" s="14"/>
      <c r="M65" s="14"/>
      <c r="N65" s="14"/>
      <c r="O65" s="14"/>
      <c r="P65" s="14"/>
      <c r="Q65" s="14"/>
      <c r="R65" s="14"/>
    </row>
    <row r="66" spans="1:19" ht="18" customHeight="1" x14ac:dyDescent="0.2">
      <c r="A66" s="123" t="s">
        <v>118</v>
      </c>
      <c r="B66" s="123"/>
      <c r="C66" s="123"/>
      <c r="D66" s="123"/>
      <c r="E66" s="123"/>
      <c r="F66" s="123"/>
      <c r="G66" s="123"/>
      <c r="H66" s="123"/>
      <c r="I66" s="123"/>
      <c r="J66" s="123"/>
      <c r="K66" s="123"/>
      <c r="L66" s="123"/>
      <c r="M66" s="123"/>
      <c r="N66" s="123"/>
      <c r="O66" s="123"/>
      <c r="P66" s="123"/>
      <c r="Q66" s="123"/>
      <c r="R66" s="123"/>
      <c r="S66" s="123"/>
    </row>
    <row r="67" spans="1:19" ht="18" customHeight="1" x14ac:dyDescent="0.2">
      <c r="A67" s="123"/>
      <c r="B67" s="123"/>
      <c r="C67" s="123"/>
      <c r="D67" s="123"/>
      <c r="E67" s="123"/>
      <c r="F67" s="123"/>
      <c r="G67" s="123"/>
      <c r="H67" s="123"/>
      <c r="I67" s="123"/>
      <c r="J67" s="123"/>
      <c r="K67" s="123"/>
      <c r="L67" s="123"/>
      <c r="M67" s="123"/>
      <c r="N67" s="123"/>
      <c r="O67" s="123"/>
      <c r="P67" s="123"/>
      <c r="Q67" s="123"/>
      <c r="R67" s="123"/>
      <c r="S67" s="123"/>
    </row>
    <row r="68" spans="1:19" ht="18" customHeight="1" x14ac:dyDescent="0.2">
      <c r="B68" s="120" t="s">
        <v>54</v>
      </c>
      <c r="C68" s="121"/>
      <c r="D68" s="121"/>
      <c r="E68" s="59" t="s">
        <v>81</v>
      </c>
      <c r="F68" s="58" t="s">
        <v>85</v>
      </c>
      <c r="G68" s="21" t="s">
        <v>102</v>
      </c>
      <c r="H68" s="21" t="s">
        <v>76</v>
      </c>
      <c r="I68" s="21" t="s">
        <v>77</v>
      </c>
      <c r="J68" s="120" t="s">
        <v>54</v>
      </c>
      <c r="K68" s="121"/>
      <c r="L68" s="121"/>
      <c r="M68" s="121"/>
      <c r="N68" s="122"/>
      <c r="O68" s="59" t="s">
        <v>81</v>
      </c>
      <c r="P68" s="58" t="s">
        <v>85</v>
      </c>
      <c r="Q68" s="21" t="s">
        <v>102</v>
      </c>
      <c r="R68" s="21" t="s">
        <v>76</v>
      </c>
      <c r="S68" s="21" t="s">
        <v>77</v>
      </c>
    </row>
    <row r="69" spans="1:19" s="84" customFormat="1" ht="18" customHeight="1" x14ac:dyDescent="0.2">
      <c r="A69" s="85"/>
      <c r="B69" s="114" t="s">
        <v>144</v>
      </c>
      <c r="C69" s="115"/>
      <c r="D69" s="115"/>
      <c r="E69" s="23">
        <v>1</v>
      </c>
      <c r="F69" s="23" t="s">
        <v>129</v>
      </c>
      <c r="G69" s="23" t="s">
        <v>129</v>
      </c>
      <c r="H69" s="23" t="s">
        <v>129</v>
      </c>
      <c r="I69" s="23" t="s">
        <v>129</v>
      </c>
      <c r="J69" s="114"/>
      <c r="K69" s="115"/>
      <c r="L69" s="115"/>
      <c r="M69" s="115"/>
      <c r="N69" s="116"/>
      <c r="O69" s="23"/>
      <c r="P69" s="23"/>
      <c r="Q69" s="23"/>
      <c r="R69" s="23"/>
      <c r="S69" s="23"/>
    </row>
    <row r="70" spans="1:19" ht="18" customHeight="1" x14ac:dyDescent="0.2">
      <c r="A70" s="3"/>
      <c r="B70" s="114" t="s">
        <v>145</v>
      </c>
      <c r="C70" s="115"/>
      <c r="D70" s="115"/>
      <c r="E70" s="23">
        <v>1</v>
      </c>
      <c r="F70" s="23" t="s">
        <v>129</v>
      </c>
      <c r="G70" s="23" t="s">
        <v>129</v>
      </c>
      <c r="H70" s="23" t="s">
        <v>129</v>
      </c>
      <c r="I70" s="23" t="s">
        <v>129</v>
      </c>
      <c r="J70" s="114"/>
      <c r="K70" s="115"/>
      <c r="L70" s="115"/>
      <c r="M70" s="115"/>
      <c r="N70" s="116"/>
      <c r="O70" s="23"/>
      <c r="P70" s="23"/>
      <c r="Q70" s="23"/>
      <c r="R70" s="23"/>
      <c r="S70" s="23"/>
    </row>
    <row r="71" spans="1:19" ht="18" customHeight="1" x14ac:dyDescent="0.2">
      <c r="A71" s="3"/>
      <c r="B71" s="114" t="s">
        <v>146</v>
      </c>
      <c r="C71" s="115"/>
      <c r="D71" s="116"/>
      <c r="E71" s="23">
        <v>1</v>
      </c>
      <c r="F71" s="23" t="s">
        <v>129</v>
      </c>
      <c r="G71" s="23" t="s">
        <v>129</v>
      </c>
      <c r="H71" s="23" t="s">
        <v>129</v>
      </c>
      <c r="I71" s="23" t="s">
        <v>129</v>
      </c>
      <c r="J71" s="114"/>
      <c r="K71" s="115"/>
      <c r="L71" s="115"/>
      <c r="M71" s="115"/>
      <c r="N71" s="116"/>
      <c r="O71" s="23"/>
      <c r="P71" s="23"/>
      <c r="Q71" s="23"/>
      <c r="R71" s="23"/>
      <c r="S71" s="23"/>
    </row>
    <row r="72" spans="1:19" ht="18" customHeight="1" x14ac:dyDescent="0.2">
      <c r="A72" s="3"/>
      <c r="B72" s="172" t="s">
        <v>147</v>
      </c>
      <c r="C72" s="173"/>
      <c r="D72" s="173"/>
      <c r="E72" s="23">
        <v>1</v>
      </c>
      <c r="F72" s="23" t="s">
        <v>129</v>
      </c>
      <c r="G72" s="23" t="s">
        <v>129</v>
      </c>
      <c r="H72" s="23" t="s">
        <v>129</v>
      </c>
      <c r="I72" s="23" t="s">
        <v>129</v>
      </c>
      <c r="J72" s="114"/>
      <c r="K72" s="115"/>
      <c r="L72" s="115"/>
      <c r="M72" s="115"/>
      <c r="N72" s="116"/>
      <c r="O72" s="23"/>
      <c r="P72" s="23"/>
      <c r="Q72" s="23"/>
      <c r="R72" s="23"/>
      <c r="S72" s="23"/>
    </row>
    <row r="73" spans="1:19" ht="18" customHeight="1" x14ac:dyDescent="0.2">
      <c r="A73" s="3"/>
      <c r="B73" s="114" t="s">
        <v>148</v>
      </c>
      <c r="C73" s="115"/>
      <c r="D73" s="115"/>
      <c r="E73" s="23">
        <v>2</v>
      </c>
      <c r="F73" s="23" t="s">
        <v>129</v>
      </c>
      <c r="G73" s="23" t="s">
        <v>129</v>
      </c>
      <c r="H73" s="23"/>
      <c r="I73" s="23"/>
      <c r="J73" s="114"/>
      <c r="K73" s="115"/>
      <c r="L73" s="115"/>
      <c r="M73" s="115"/>
      <c r="N73" s="116"/>
      <c r="O73" s="23"/>
      <c r="P73" s="23"/>
      <c r="Q73" s="23"/>
      <c r="R73" s="23"/>
      <c r="S73" s="23"/>
    </row>
    <row r="74" spans="1:19" s="84" customFormat="1" ht="18" customHeight="1" x14ac:dyDescent="0.2">
      <c r="A74" s="85"/>
      <c r="B74" s="114" t="s">
        <v>149</v>
      </c>
      <c r="C74" s="115"/>
      <c r="D74" s="115"/>
      <c r="E74" s="23">
        <v>2</v>
      </c>
      <c r="F74" s="23" t="s">
        <v>129</v>
      </c>
      <c r="G74" s="23" t="s">
        <v>129</v>
      </c>
      <c r="H74" s="23"/>
      <c r="I74" s="23"/>
      <c r="J74" s="114"/>
      <c r="K74" s="115"/>
      <c r="L74" s="115"/>
      <c r="M74" s="115"/>
      <c r="N74" s="116"/>
      <c r="O74" s="23"/>
      <c r="P74" s="23"/>
      <c r="Q74" s="23"/>
      <c r="R74" s="23"/>
      <c r="S74" s="23"/>
    </row>
    <row r="75" spans="1:19" ht="18" customHeight="1" x14ac:dyDescent="0.2">
      <c r="A75" s="3"/>
      <c r="B75" s="114" t="s">
        <v>150</v>
      </c>
      <c r="C75" s="115"/>
      <c r="D75" s="116"/>
      <c r="E75" s="23">
        <v>2</v>
      </c>
      <c r="F75" s="23" t="s">
        <v>129</v>
      </c>
      <c r="G75" s="23" t="s">
        <v>129</v>
      </c>
      <c r="H75" s="23"/>
      <c r="I75" s="23"/>
      <c r="J75" s="114"/>
      <c r="K75" s="115"/>
      <c r="L75" s="115"/>
      <c r="M75" s="115"/>
      <c r="N75" s="116"/>
      <c r="O75" s="23"/>
      <c r="P75" s="23"/>
      <c r="Q75" s="23"/>
      <c r="R75" s="23"/>
      <c r="S75" s="23"/>
    </row>
    <row r="76" spans="1:19" ht="18" customHeight="1" x14ac:dyDescent="0.2">
      <c r="A76" s="3"/>
      <c r="B76" s="117" t="s">
        <v>151</v>
      </c>
      <c r="C76" s="118"/>
      <c r="D76" s="118"/>
      <c r="E76" s="25">
        <v>2</v>
      </c>
      <c r="F76" s="25" t="s">
        <v>129</v>
      </c>
      <c r="G76" s="25" t="s">
        <v>129</v>
      </c>
      <c r="H76" s="25"/>
      <c r="I76" s="25"/>
      <c r="J76" s="117"/>
      <c r="K76" s="118"/>
      <c r="L76" s="118"/>
      <c r="M76" s="118"/>
      <c r="N76" s="119"/>
      <c r="O76" s="24"/>
      <c r="P76" s="24"/>
      <c r="Q76" s="25"/>
      <c r="R76" s="25"/>
      <c r="S76" s="25"/>
    </row>
    <row r="77" spans="1:19" ht="7.5" customHeight="1" x14ac:dyDescent="0.2">
      <c r="B77" s="14"/>
      <c r="C77" s="14"/>
      <c r="D77" s="14"/>
      <c r="E77" s="14"/>
      <c r="F77" s="14"/>
      <c r="G77" s="14"/>
      <c r="H77" s="14"/>
      <c r="I77" s="14"/>
      <c r="J77" s="14"/>
      <c r="K77" s="14"/>
      <c r="L77" s="14"/>
      <c r="M77" s="14"/>
      <c r="N77" s="14"/>
      <c r="O77" s="14"/>
      <c r="P77" s="14"/>
      <c r="Q77" s="14"/>
      <c r="R77" s="14"/>
    </row>
    <row r="78" spans="1:19" ht="18" customHeight="1" x14ac:dyDescent="0.2">
      <c r="A78" s="1" t="s">
        <v>119</v>
      </c>
      <c r="B78" s="82"/>
      <c r="C78" s="82"/>
      <c r="D78" s="82"/>
      <c r="E78" s="82"/>
      <c r="F78" s="82"/>
      <c r="G78" s="82"/>
      <c r="H78" s="83"/>
      <c r="I78" s="83"/>
      <c r="J78" s="3"/>
      <c r="K78" s="3"/>
      <c r="L78" s="3"/>
      <c r="M78" s="3"/>
      <c r="N78" s="3"/>
      <c r="O78" s="3"/>
      <c r="P78" s="3"/>
      <c r="Q78" s="3"/>
      <c r="R78" s="3"/>
      <c r="S78" s="3"/>
    </row>
    <row r="79" spans="1:19" ht="18" customHeight="1" x14ac:dyDescent="0.2">
      <c r="B79" s="120" t="s">
        <v>54</v>
      </c>
      <c r="C79" s="121"/>
      <c r="D79" s="121"/>
      <c r="E79" s="122"/>
      <c r="F79" s="120" t="s">
        <v>83</v>
      </c>
      <c r="G79" s="121"/>
      <c r="H79" s="121"/>
      <c r="I79" s="122"/>
      <c r="J79" s="166" t="s">
        <v>54</v>
      </c>
      <c r="K79" s="167"/>
      <c r="L79" s="167"/>
      <c r="M79" s="167"/>
      <c r="N79" s="167"/>
      <c r="O79" s="168"/>
      <c r="P79" s="120" t="s">
        <v>83</v>
      </c>
      <c r="Q79" s="121"/>
      <c r="R79" s="121"/>
      <c r="S79" s="122"/>
    </row>
    <row r="80" spans="1:19" ht="18" customHeight="1" x14ac:dyDescent="0.2">
      <c r="A80" s="3"/>
      <c r="B80" s="124"/>
      <c r="C80" s="125"/>
      <c r="D80" s="125"/>
      <c r="E80" s="126"/>
      <c r="F80" s="183"/>
      <c r="G80" s="184"/>
      <c r="H80" s="184"/>
      <c r="I80" s="185"/>
      <c r="J80" s="124"/>
      <c r="K80" s="125"/>
      <c r="L80" s="125"/>
      <c r="M80" s="125"/>
      <c r="N80" s="125"/>
      <c r="O80" s="126"/>
      <c r="P80" s="183"/>
      <c r="Q80" s="184"/>
      <c r="R80" s="184"/>
      <c r="S80" s="185"/>
    </row>
    <row r="81" spans="1:19" ht="18" customHeight="1" x14ac:dyDescent="0.2">
      <c r="A81" s="3"/>
      <c r="B81" s="114"/>
      <c r="C81" s="115"/>
      <c r="D81" s="115"/>
      <c r="E81" s="116"/>
      <c r="F81" s="150"/>
      <c r="G81" s="151"/>
      <c r="H81" s="151"/>
      <c r="I81" s="152"/>
      <c r="J81" s="114"/>
      <c r="K81" s="115"/>
      <c r="L81" s="115"/>
      <c r="M81" s="115"/>
      <c r="N81" s="115"/>
      <c r="O81" s="116"/>
      <c r="P81" s="150"/>
      <c r="Q81" s="151"/>
      <c r="R81" s="151"/>
      <c r="S81" s="152"/>
    </row>
    <row r="82" spans="1:19" ht="18" customHeight="1" x14ac:dyDescent="0.2">
      <c r="A82" s="3"/>
      <c r="B82" s="114"/>
      <c r="C82" s="115"/>
      <c r="D82" s="115"/>
      <c r="E82" s="116"/>
      <c r="F82" s="150"/>
      <c r="G82" s="151"/>
      <c r="H82" s="151"/>
      <c r="I82" s="152"/>
      <c r="J82" s="114"/>
      <c r="K82" s="115"/>
      <c r="L82" s="115"/>
      <c r="M82" s="115"/>
      <c r="N82" s="115"/>
      <c r="O82" s="116"/>
      <c r="P82" s="150"/>
      <c r="Q82" s="151"/>
      <c r="R82" s="151"/>
      <c r="S82" s="152"/>
    </row>
    <row r="83" spans="1:19" ht="18" customHeight="1" x14ac:dyDescent="0.2">
      <c r="A83" s="3"/>
      <c r="B83" s="114"/>
      <c r="C83" s="115"/>
      <c r="D83" s="115"/>
      <c r="E83" s="116"/>
      <c r="F83" s="150"/>
      <c r="G83" s="151"/>
      <c r="H83" s="151"/>
      <c r="I83" s="152"/>
      <c r="J83" s="114"/>
      <c r="K83" s="115"/>
      <c r="L83" s="115"/>
      <c r="M83" s="115"/>
      <c r="N83" s="115"/>
      <c r="O83" s="116"/>
      <c r="P83" s="150"/>
      <c r="Q83" s="151"/>
      <c r="R83" s="151"/>
      <c r="S83" s="152"/>
    </row>
    <row r="84" spans="1:19" ht="18" customHeight="1" x14ac:dyDescent="0.2">
      <c r="A84" s="3"/>
      <c r="B84" s="114"/>
      <c r="C84" s="115"/>
      <c r="D84" s="115"/>
      <c r="E84" s="116"/>
      <c r="F84" s="150"/>
      <c r="G84" s="151"/>
      <c r="H84" s="151"/>
      <c r="I84" s="152"/>
      <c r="J84" s="114"/>
      <c r="K84" s="115"/>
      <c r="L84" s="115"/>
      <c r="M84" s="115"/>
      <c r="N84" s="115"/>
      <c r="O84" s="116"/>
      <c r="P84" s="150"/>
      <c r="Q84" s="151"/>
      <c r="R84" s="151"/>
      <c r="S84" s="152"/>
    </row>
    <row r="85" spans="1:19" ht="18" customHeight="1" x14ac:dyDescent="0.2">
      <c r="A85" s="3"/>
      <c r="B85" s="114"/>
      <c r="C85" s="115"/>
      <c r="D85" s="115"/>
      <c r="E85" s="116"/>
      <c r="F85" s="150"/>
      <c r="G85" s="151"/>
      <c r="H85" s="151"/>
      <c r="I85" s="152"/>
      <c r="J85" s="114"/>
      <c r="K85" s="115"/>
      <c r="L85" s="115"/>
      <c r="M85" s="115"/>
      <c r="N85" s="115"/>
      <c r="O85" s="116"/>
      <c r="P85" s="150"/>
      <c r="Q85" s="151"/>
      <c r="R85" s="151"/>
      <c r="S85" s="152"/>
    </row>
    <row r="86" spans="1:19" ht="18" customHeight="1" x14ac:dyDescent="0.2">
      <c r="A86" s="3"/>
      <c r="B86" s="117"/>
      <c r="C86" s="118"/>
      <c r="D86" s="118"/>
      <c r="E86" s="119"/>
      <c r="F86" s="147"/>
      <c r="G86" s="148"/>
      <c r="H86" s="148"/>
      <c r="I86" s="149"/>
      <c r="J86" s="117"/>
      <c r="K86" s="118"/>
      <c r="L86" s="118"/>
      <c r="M86" s="118"/>
      <c r="N86" s="118"/>
      <c r="O86" s="119"/>
      <c r="P86" s="147"/>
      <c r="Q86" s="148"/>
      <c r="R86" s="148"/>
      <c r="S86" s="149"/>
    </row>
    <row r="87" spans="1:19" ht="18" customHeight="1" x14ac:dyDescent="0.2">
      <c r="A87" s="3"/>
      <c r="B87" s="6"/>
      <c r="C87" s="6"/>
      <c r="D87" s="6"/>
      <c r="E87" s="6"/>
      <c r="F87" s="26"/>
      <c r="G87" s="26"/>
      <c r="H87" s="26"/>
      <c r="I87" s="26"/>
      <c r="J87" s="6"/>
      <c r="K87" s="6"/>
      <c r="L87" s="6"/>
      <c r="M87" s="6"/>
      <c r="N87" s="6"/>
      <c r="O87" s="6"/>
      <c r="P87" s="26"/>
      <c r="Q87" s="26"/>
      <c r="R87" s="26"/>
      <c r="S87" s="26"/>
    </row>
    <row r="88" spans="1:19" ht="18.75" customHeight="1" x14ac:dyDescent="0.2">
      <c r="A88" s="1" t="s">
        <v>120</v>
      </c>
    </row>
    <row r="89" spans="1:19" ht="18.75" customHeight="1" x14ac:dyDescent="0.2">
      <c r="B89" s="181" t="s">
        <v>55</v>
      </c>
      <c r="C89" s="182"/>
      <c r="D89" s="121" t="s">
        <v>56</v>
      </c>
      <c r="E89" s="121"/>
      <c r="F89" s="121"/>
      <c r="G89" s="121"/>
      <c r="H89" s="121"/>
      <c r="I89" s="121"/>
      <c r="J89" s="121"/>
      <c r="K89" s="121"/>
      <c r="L89" s="121"/>
      <c r="M89" s="121"/>
      <c r="N89" s="121"/>
      <c r="O89" s="121"/>
      <c r="P89" s="121"/>
      <c r="Q89" s="121"/>
      <c r="R89" s="121"/>
      <c r="S89" s="122"/>
    </row>
    <row r="90" spans="1:19" ht="97.5" customHeight="1" x14ac:dyDescent="0.2">
      <c r="B90" s="169" t="s">
        <v>62</v>
      </c>
      <c r="C90" s="27" t="s">
        <v>57</v>
      </c>
      <c r="D90" s="178" t="s">
        <v>156</v>
      </c>
      <c r="E90" s="179"/>
      <c r="F90" s="179"/>
      <c r="G90" s="179"/>
      <c r="H90" s="179"/>
      <c r="I90" s="179"/>
      <c r="J90" s="179"/>
      <c r="K90" s="179"/>
      <c r="L90" s="179"/>
      <c r="M90" s="179"/>
      <c r="N90" s="179"/>
      <c r="O90" s="179"/>
      <c r="P90" s="179"/>
      <c r="Q90" s="179"/>
      <c r="R90" s="179"/>
      <c r="S90" s="180"/>
    </row>
    <row r="91" spans="1:19" ht="97.5" customHeight="1" x14ac:dyDescent="0.2">
      <c r="B91" s="171"/>
      <c r="C91" s="28" t="s">
        <v>78</v>
      </c>
      <c r="D91" s="153" t="s">
        <v>157</v>
      </c>
      <c r="E91" s="154"/>
      <c r="F91" s="154"/>
      <c r="G91" s="154"/>
      <c r="H91" s="154"/>
      <c r="I91" s="154"/>
      <c r="J91" s="154"/>
      <c r="K91" s="154"/>
      <c r="L91" s="154"/>
      <c r="M91" s="154"/>
      <c r="N91" s="154"/>
      <c r="O91" s="154"/>
      <c r="P91" s="154"/>
      <c r="Q91" s="154"/>
      <c r="R91" s="154"/>
      <c r="S91" s="155"/>
    </row>
    <row r="92" spans="1:19" ht="83.5" customHeight="1" x14ac:dyDescent="0.2">
      <c r="B92" s="169" t="s">
        <v>63</v>
      </c>
      <c r="C92" s="29" t="s">
        <v>72</v>
      </c>
      <c r="D92" s="156" t="s">
        <v>152</v>
      </c>
      <c r="E92" s="157"/>
      <c r="F92" s="157"/>
      <c r="G92" s="157"/>
      <c r="H92" s="157"/>
      <c r="I92" s="157"/>
      <c r="J92" s="157"/>
      <c r="K92" s="157"/>
      <c r="L92" s="157"/>
      <c r="M92" s="157"/>
      <c r="N92" s="157"/>
      <c r="O92" s="157"/>
      <c r="P92" s="157"/>
      <c r="Q92" s="157"/>
      <c r="R92" s="157"/>
      <c r="S92" s="158"/>
    </row>
    <row r="93" spans="1:19" ht="83.5" customHeight="1" x14ac:dyDescent="0.2">
      <c r="B93" s="170"/>
      <c r="C93" s="30" t="s">
        <v>73</v>
      </c>
      <c r="D93" s="162" t="s">
        <v>181</v>
      </c>
      <c r="E93" s="163"/>
      <c r="F93" s="163"/>
      <c r="G93" s="163"/>
      <c r="H93" s="163"/>
      <c r="I93" s="163"/>
      <c r="J93" s="163"/>
      <c r="K93" s="163"/>
      <c r="L93" s="163"/>
      <c r="M93" s="163"/>
      <c r="N93" s="163"/>
      <c r="O93" s="163"/>
      <c r="P93" s="163"/>
      <c r="Q93" s="163"/>
      <c r="R93" s="163"/>
      <c r="S93" s="164"/>
    </row>
    <row r="94" spans="1:19" ht="73" customHeight="1" x14ac:dyDescent="0.2">
      <c r="B94" s="169" t="s">
        <v>64</v>
      </c>
      <c r="C94" s="29" t="s">
        <v>74</v>
      </c>
      <c r="D94" s="156" t="s">
        <v>158</v>
      </c>
      <c r="E94" s="157"/>
      <c r="F94" s="157"/>
      <c r="G94" s="157"/>
      <c r="H94" s="157"/>
      <c r="I94" s="157"/>
      <c r="J94" s="157"/>
      <c r="K94" s="157"/>
      <c r="L94" s="157"/>
      <c r="M94" s="157"/>
      <c r="N94" s="157"/>
      <c r="O94" s="157"/>
      <c r="P94" s="157"/>
      <c r="Q94" s="157"/>
      <c r="R94" s="157"/>
      <c r="S94" s="158"/>
    </row>
    <row r="95" spans="1:19" ht="97.5" customHeight="1" x14ac:dyDescent="0.2">
      <c r="B95" s="170"/>
      <c r="C95" s="31" t="s">
        <v>75</v>
      </c>
      <c r="D95" s="159" t="s">
        <v>159</v>
      </c>
      <c r="E95" s="160"/>
      <c r="F95" s="160"/>
      <c r="G95" s="160"/>
      <c r="H95" s="160"/>
      <c r="I95" s="160"/>
      <c r="J95" s="160"/>
      <c r="K95" s="160"/>
      <c r="L95" s="160"/>
      <c r="M95" s="160"/>
      <c r="N95" s="160"/>
      <c r="O95" s="160"/>
      <c r="P95" s="160"/>
      <c r="Q95" s="160"/>
      <c r="R95" s="160"/>
      <c r="S95" s="161"/>
    </row>
    <row r="96" spans="1:19" ht="97.5" customHeight="1" x14ac:dyDescent="0.2">
      <c r="B96" s="169" t="s">
        <v>79</v>
      </c>
      <c r="C96" s="27" t="s">
        <v>59</v>
      </c>
      <c r="D96" s="178" t="s">
        <v>155</v>
      </c>
      <c r="E96" s="179"/>
      <c r="F96" s="179"/>
      <c r="G96" s="179"/>
      <c r="H96" s="179"/>
      <c r="I96" s="179"/>
      <c r="J96" s="179"/>
      <c r="K96" s="179"/>
      <c r="L96" s="179"/>
      <c r="M96" s="179"/>
      <c r="N96" s="179"/>
      <c r="O96" s="179"/>
      <c r="P96" s="179"/>
      <c r="Q96" s="179"/>
      <c r="R96" s="179"/>
      <c r="S96" s="180"/>
    </row>
    <row r="97" spans="1:19" ht="132.65" customHeight="1" x14ac:dyDescent="0.2">
      <c r="B97" s="170"/>
      <c r="C97" s="30" t="s">
        <v>61</v>
      </c>
      <c r="D97" s="162" t="s">
        <v>160</v>
      </c>
      <c r="E97" s="163"/>
      <c r="F97" s="163"/>
      <c r="G97" s="163"/>
      <c r="H97" s="163"/>
      <c r="I97" s="163"/>
      <c r="J97" s="163"/>
      <c r="K97" s="163"/>
      <c r="L97" s="163"/>
      <c r="M97" s="163"/>
      <c r="N97" s="163"/>
      <c r="O97" s="163"/>
      <c r="P97" s="163"/>
      <c r="Q97" s="163"/>
      <c r="R97" s="163"/>
      <c r="S97" s="164"/>
    </row>
    <row r="98" spans="1:19" ht="124.5" customHeight="1" x14ac:dyDescent="0.2">
      <c r="B98" s="169" t="s">
        <v>80</v>
      </c>
      <c r="C98" s="29" t="s">
        <v>58</v>
      </c>
      <c r="D98" s="174" t="s">
        <v>183</v>
      </c>
      <c r="E98" s="125"/>
      <c r="F98" s="125"/>
      <c r="G98" s="125"/>
      <c r="H98" s="125"/>
      <c r="I98" s="125"/>
      <c r="J98" s="125"/>
      <c r="K98" s="125"/>
      <c r="L98" s="125"/>
      <c r="M98" s="125"/>
      <c r="N98" s="125"/>
      <c r="O98" s="125"/>
      <c r="P98" s="125"/>
      <c r="Q98" s="125"/>
      <c r="R98" s="125"/>
      <c r="S98" s="126"/>
    </row>
    <row r="99" spans="1:19" ht="64" customHeight="1" x14ac:dyDescent="0.2">
      <c r="B99" s="171"/>
      <c r="C99" s="32" t="s">
        <v>76</v>
      </c>
      <c r="D99" s="165" t="s">
        <v>154</v>
      </c>
      <c r="E99" s="115"/>
      <c r="F99" s="115"/>
      <c r="G99" s="115"/>
      <c r="H99" s="115"/>
      <c r="I99" s="115"/>
      <c r="J99" s="115"/>
      <c r="K99" s="115"/>
      <c r="L99" s="115"/>
      <c r="M99" s="115"/>
      <c r="N99" s="115"/>
      <c r="O99" s="115"/>
      <c r="P99" s="115"/>
      <c r="Q99" s="115"/>
      <c r="R99" s="115"/>
      <c r="S99" s="116"/>
    </row>
    <row r="100" spans="1:19" ht="67" customHeight="1" x14ac:dyDescent="0.2">
      <c r="B100" s="170"/>
      <c r="C100" s="31" t="s">
        <v>77</v>
      </c>
      <c r="D100" s="175" t="s">
        <v>153</v>
      </c>
      <c r="E100" s="176"/>
      <c r="F100" s="176"/>
      <c r="G100" s="176"/>
      <c r="H100" s="176"/>
      <c r="I100" s="176"/>
      <c r="J100" s="176"/>
      <c r="K100" s="176"/>
      <c r="L100" s="176"/>
      <c r="M100" s="176"/>
      <c r="N100" s="176"/>
      <c r="O100" s="176"/>
      <c r="P100" s="176"/>
      <c r="Q100" s="176"/>
      <c r="R100" s="176"/>
      <c r="S100" s="177"/>
    </row>
    <row r="101" spans="1:19" ht="6" customHeight="1" x14ac:dyDescent="0.2"/>
    <row r="102" spans="1:19" ht="18.75" customHeight="1" x14ac:dyDescent="0.2">
      <c r="A102" s="1" t="s">
        <v>121</v>
      </c>
    </row>
    <row r="103" spans="1:19" ht="81.75" customHeight="1" x14ac:dyDescent="0.2">
      <c r="B103" s="144" t="s">
        <v>133</v>
      </c>
      <c r="C103" s="145"/>
      <c r="D103" s="145"/>
      <c r="E103" s="145"/>
      <c r="F103" s="145"/>
      <c r="G103" s="145"/>
      <c r="H103" s="145"/>
      <c r="I103" s="145"/>
      <c r="J103" s="145"/>
      <c r="K103" s="145"/>
      <c r="L103" s="145"/>
      <c r="M103" s="145"/>
      <c r="N103" s="145"/>
      <c r="O103" s="145"/>
      <c r="P103" s="145"/>
      <c r="Q103" s="145"/>
      <c r="R103" s="145"/>
      <c r="S103" s="146"/>
    </row>
    <row r="111" spans="1:19" ht="18" customHeight="1" x14ac:dyDescent="0.2"/>
  </sheetData>
  <mergeCells count="147">
    <mergeCell ref="J41:O41"/>
    <mergeCell ref="A43:S44"/>
    <mergeCell ref="B26:E26"/>
    <mergeCell ref="J26:O26"/>
    <mergeCell ref="B38:E38"/>
    <mergeCell ref="J38:O38"/>
    <mergeCell ref="J37:O37"/>
    <mergeCell ref="J39:O39"/>
    <mergeCell ref="J40:O40"/>
    <mergeCell ref="B40:E40"/>
    <mergeCell ref="B41:E41"/>
    <mergeCell ref="B98:B100"/>
    <mergeCell ref="D98:S98"/>
    <mergeCell ref="D100:S100"/>
    <mergeCell ref="B96:B97"/>
    <mergeCell ref="D96:S96"/>
    <mergeCell ref="J73:N73"/>
    <mergeCell ref="J75:N75"/>
    <mergeCell ref="B48:E48"/>
    <mergeCell ref="A54:S55"/>
    <mergeCell ref="J76:N76"/>
    <mergeCell ref="J86:O86"/>
    <mergeCell ref="B89:C89"/>
    <mergeCell ref="D89:S89"/>
    <mergeCell ref="D90:S90"/>
    <mergeCell ref="J80:O80"/>
    <mergeCell ref="P80:S80"/>
    <mergeCell ref="P79:S79"/>
    <mergeCell ref="B80:E80"/>
    <mergeCell ref="J58:O58"/>
    <mergeCell ref="B79:E79"/>
    <mergeCell ref="F80:I80"/>
    <mergeCell ref="P82:S82"/>
    <mergeCell ref="P83:S83"/>
    <mergeCell ref="J48:O48"/>
    <mergeCell ref="B92:B93"/>
    <mergeCell ref="B94:B95"/>
    <mergeCell ref="B90:B91"/>
    <mergeCell ref="J70:N70"/>
    <mergeCell ref="J71:N71"/>
    <mergeCell ref="B83:E83"/>
    <mergeCell ref="F82:I82"/>
    <mergeCell ref="F83:I83"/>
    <mergeCell ref="J82:O82"/>
    <mergeCell ref="J83:O83"/>
    <mergeCell ref="B73:D73"/>
    <mergeCell ref="B75:D75"/>
    <mergeCell ref="B76:D76"/>
    <mergeCell ref="J72:N72"/>
    <mergeCell ref="B74:D74"/>
    <mergeCell ref="J74:N74"/>
    <mergeCell ref="B71:D71"/>
    <mergeCell ref="B72:D72"/>
    <mergeCell ref="B59:E59"/>
    <mergeCell ref="B61:E61"/>
    <mergeCell ref="B62:E62"/>
    <mergeCell ref="B63:E63"/>
    <mergeCell ref="B64:E64"/>
    <mergeCell ref="J45:O45"/>
    <mergeCell ref="F79:I79"/>
    <mergeCell ref="J79:O79"/>
    <mergeCell ref="B70:D70"/>
    <mergeCell ref="J52:O52"/>
    <mergeCell ref="A66:S67"/>
    <mergeCell ref="J49:O49"/>
    <mergeCell ref="J50:O50"/>
    <mergeCell ref="J51:O51"/>
    <mergeCell ref="B60:E60"/>
    <mergeCell ref="J60:O60"/>
    <mergeCell ref="B69:D69"/>
    <mergeCell ref="J69:N69"/>
    <mergeCell ref="J56:O56"/>
    <mergeCell ref="J57:O57"/>
    <mergeCell ref="J46:O46"/>
    <mergeCell ref="J47:O47"/>
    <mergeCell ref="B103:S103"/>
    <mergeCell ref="P86:S86"/>
    <mergeCell ref="B81:E81"/>
    <mergeCell ref="F81:I81"/>
    <mergeCell ref="J81:O81"/>
    <mergeCell ref="P81:S81"/>
    <mergeCell ref="B84:E84"/>
    <mergeCell ref="F84:I84"/>
    <mergeCell ref="J84:O84"/>
    <mergeCell ref="P84:S84"/>
    <mergeCell ref="B82:E82"/>
    <mergeCell ref="D91:S91"/>
    <mergeCell ref="D92:S92"/>
    <mergeCell ref="D95:S95"/>
    <mergeCell ref="D93:S93"/>
    <mergeCell ref="D94:S94"/>
    <mergeCell ref="B85:E85"/>
    <mergeCell ref="F85:I85"/>
    <mergeCell ref="J85:O85"/>
    <mergeCell ref="P85:S85"/>
    <mergeCell ref="B86:E86"/>
    <mergeCell ref="D97:S97"/>
    <mergeCell ref="F86:I86"/>
    <mergeCell ref="D99:S99"/>
    <mergeCell ref="R1:S1"/>
    <mergeCell ref="B24:E24"/>
    <mergeCell ref="B25:E25"/>
    <mergeCell ref="B27:E27"/>
    <mergeCell ref="B28:E28"/>
    <mergeCell ref="B29:E29"/>
    <mergeCell ref="B30:E30"/>
    <mergeCell ref="B31:E31"/>
    <mergeCell ref="B32:E32"/>
    <mergeCell ref="J24:O24"/>
    <mergeCell ref="J25:O25"/>
    <mergeCell ref="J27:O27"/>
    <mergeCell ref="J28:O28"/>
    <mergeCell ref="J29:O29"/>
    <mergeCell ref="J30:O30"/>
    <mergeCell ref="J31:O31"/>
    <mergeCell ref="J32:O32"/>
    <mergeCell ref="K20:S20"/>
    <mergeCell ref="C2:I2"/>
    <mergeCell ref="C3:I3"/>
    <mergeCell ref="A5:S5"/>
    <mergeCell ref="B13:S18"/>
    <mergeCell ref="A22:S23"/>
    <mergeCell ref="K7:S7"/>
    <mergeCell ref="B9:S10"/>
    <mergeCell ref="J59:O59"/>
    <mergeCell ref="J61:O61"/>
    <mergeCell ref="J62:O62"/>
    <mergeCell ref="J63:O63"/>
    <mergeCell ref="J64:O64"/>
    <mergeCell ref="B68:D68"/>
    <mergeCell ref="J68:N68"/>
    <mergeCell ref="B49:E49"/>
    <mergeCell ref="B50:E50"/>
    <mergeCell ref="B51:E51"/>
    <mergeCell ref="B52:E52"/>
    <mergeCell ref="A34:S35"/>
    <mergeCell ref="C20:D20"/>
    <mergeCell ref="B36:E36"/>
    <mergeCell ref="B37:E37"/>
    <mergeCell ref="B39:E39"/>
    <mergeCell ref="B56:E56"/>
    <mergeCell ref="B57:E57"/>
    <mergeCell ref="B58:E58"/>
    <mergeCell ref="B45:E45"/>
    <mergeCell ref="B46:E46"/>
    <mergeCell ref="B47:E47"/>
    <mergeCell ref="J36:O36"/>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Q57:S64 Q25:S32 Q46:S52 G46:I52 G25:I32 G57:I64 F69:I76 P69:S76 G37:I41 Q37:S41" xr:uid="{4C0986EB-3601-4249-85F7-B678A400A117}">
      <formula1>"○"</formula1>
    </dataValidation>
    <dataValidation type="list" allowBlank="1" showInputMessage="1" showErrorMessage="1" sqref="S33 S42 D33:G33 D42:G42"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80:F87 P80:P87 G80:I81 G84:I87 Q84:S87 Q80:S81"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horizontalDpi="1200" verticalDpi="1200" r:id="rId1"/>
  <headerFooter>
    <oddHeader>&amp;C数理・データサイエンス・AI教育プログラム認定制度【リテラシーレベル】</oddHeader>
  </headerFooter>
  <rowBreaks count="2" manualBreakCount="2">
    <brk id="65" max="18" man="1"/>
    <brk id="95"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topLeftCell="A7" zoomScale="70" zoomScaleNormal="100" zoomScaleSheetLayoutView="70" workbookViewId="0">
      <selection activeCell="P19" sqref="P19"/>
    </sheetView>
  </sheetViews>
  <sheetFormatPr defaultColWidth="9" defaultRowHeight="18.75" customHeight="1" x14ac:dyDescent="0.2"/>
  <cols>
    <col min="1" max="1" width="2.90625" style="1" customWidth="1"/>
    <col min="2" max="2" width="20.90625" style="1" customWidth="1"/>
    <col min="3" max="5" width="6.08984375" style="1" customWidth="1"/>
    <col min="6" max="42" width="4.90625" style="1" customWidth="1"/>
    <col min="43" max="43" width="6.6328125" style="1" customWidth="1"/>
    <col min="44" max="16384" width="9" style="1"/>
  </cols>
  <sheetData>
    <row r="1" spans="1:45" ht="18" customHeight="1" x14ac:dyDescent="0.2">
      <c r="AQ1" s="1" t="s">
        <v>107</v>
      </c>
    </row>
    <row r="2" spans="1:45" ht="18" customHeight="1" x14ac:dyDescent="0.2">
      <c r="K2" s="34"/>
      <c r="Q2" s="34"/>
      <c r="W2" s="34"/>
      <c r="AC2" s="34"/>
      <c r="AI2" s="34"/>
      <c r="AL2" s="34" t="s">
        <v>109</v>
      </c>
      <c r="AM2" s="189" t="str">
        <f>'様式１　プログラムを構成する授業科目'!C2</f>
        <v>県立広島大学</v>
      </c>
      <c r="AN2" s="189"/>
      <c r="AO2" s="189"/>
      <c r="AP2" s="189"/>
      <c r="AQ2" s="189"/>
    </row>
    <row r="3" spans="1:45" ht="18" customHeight="1" x14ac:dyDescent="0.2">
      <c r="A3" s="134" t="s">
        <v>48</v>
      </c>
      <c r="B3" s="134"/>
      <c r="C3" s="134"/>
      <c r="D3" s="134"/>
      <c r="E3" s="134"/>
      <c r="F3" s="134"/>
      <c r="G3" s="134"/>
      <c r="H3" s="134"/>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84</v>
      </c>
      <c r="C5" s="190">
        <v>4</v>
      </c>
      <c r="D5" s="191"/>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92" t="s">
        <v>45</v>
      </c>
      <c r="C9" s="207" t="s">
        <v>87</v>
      </c>
      <c r="D9" s="195" t="s">
        <v>47</v>
      </c>
      <c r="E9" s="198" t="s">
        <v>40</v>
      </c>
      <c r="F9" s="188" t="s">
        <v>86</v>
      </c>
      <c r="G9" s="188"/>
      <c r="H9" s="188"/>
      <c r="I9" s="188"/>
      <c r="J9" s="188"/>
      <c r="K9" s="188"/>
      <c r="L9" s="188" t="s">
        <v>49</v>
      </c>
      <c r="M9" s="188"/>
      <c r="N9" s="188"/>
      <c r="O9" s="188"/>
      <c r="P9" s="188"/>
      <c r="Q9" s="188"/>
      <c r="R9" s="188" t="s">
        <v>50</v>
      </c>
      <c r="S9" s="188"/>
      <c r="T9" s="188"/>
      <c r="U9" s="188"/>
      <c r="V9" s="188"/>
      <c r="W9" s="188"/>
      <c r="X9" s="188" t="s">
        <v>101</v>
      </c>
      <c r="Y9" s="188"/>
      <c r="Z9" s="188"/>
      <c r="AA9" s="188"/>
      <c r="AB9" s="188"/>
      <c r="AC9" s="188"/>
      <c r="AD9" s="188" t="s">
        <v>51</v>
      </c>
      <c r="AE9" s="188"/>
      <c r="AF9" s="188"/>
      <c r="AG9" s="188"/>
      <c r="AH9" s="188"/>
      <c r="AI9" s="188"/>
      <c r="AJ9" s="188" t="s">
        <v>52</v>
      </c>
      <c r="AK9" s="188"/>
      <c r="AL9" s="188"/>
      <c r="AM9" s="188"/>
      <c r="AN9" s="188"/>
      <c r="AO9" s="188"/>
      <c r="AP9" s="201" t="s">
        <v>35</v>
      </c>
      <c r="AQ9" s="204" t="s">
        <v>32</v>
      </c>
      <c r="AS9" s="2"/>
    </row>
    <row r="10" spans="1:45" ht="17.149999999999999" customHeight="1" x14ac:dyDescent="0.2">
      <c r="B10" s="193"/>
      <c r="C10" s="208"/>
      <c r="D10" s="196"/>
      <c r="E10" s="199"/>
      <c r="F10" s="186" t="s">
        <v>97</v>
      </c>
      <c r="G10" s="187"/>
      <c r="H10" s="187"/>
      <c r="I10" s="186" t="s">
        <v>29</v>
      </c>
      <c r="J10" s="187"/>
      <c r="K10" s="187"/>
      <c r="L10" s="186" t="s">
        <v>97</v>
      </c>
      <c r="M10" s="187"/>
      <c r="N10" s="187"/>
      <c r="O10" s="186" t="s">
        <v>29</v>
      </c>
      <c r="P10" s="187"/>
      <c r="Q10" s="187"/>
      <c r="R10" s="186" t="s">
        <v>97</v>
      </c>
      <c r="S10" s="187"/>
      <c r="T10" s="187"/>
      <c r="U10" s="186" t="s">
        <v>29</v>
      </c>
      <c r="V10" s="187"/>
      <c r="W10" s="187"/>
      <c r="X10" s="186" t="s">
        <v>97</v>
      </c>
      <c r="Y10" s="187"/>
      <c r="Z10" s="187"/>
      <c r="AA10" s="186" t="s">
        <v>29</v>
      </c>
      <c r="AB10" s="187"/>
      <c r="AC10" s="187"/>
      <c r="AD10" s="186" t="s">
        <v>97</v>
      </c>
      <c r="AE10" s="187"/>
      <c r="AF10" s="187"/>
      <c r="AG10" s="186" t="s">
        <v>29</v>
      </c>
      <c r="AH10" s="187"/>
      <c r="AI10" s="187"/>
      <c r="AJ10" s="186" t="s">
        <v>97</v>
      </c>
      <c r="AK10" s="187"/>
      <c r="AL10" s="187"/>
      <c r="AM10" s="186" t="s">
        <v>29</v>
      </c>
      <c r="AN10" s="187"/>
      <c r="AO10" s="187"/>
      <c r="AP10" s="202"/>
      <c r="AQ10" s="205"/>
      <c r="AS10" s="2"/>
    </row>
    <row r="11" spans="1:45" ht="18" customHeight="1" x14ac:dyDescent="0.2">
      <c r="B11" s="194"/>
      <c r="C11" s="209"/>
      <c r="D11" s="197"/>
      <c r="E11" s="200"/>
      <c r="F11" s="16" t="s">
        <v>98</v>
      </c>
      <c r="G11" s="17" t="s">
        <v>99</v>
      </c>
      <c r="H11" s="18" t="s">
        <v>100</v>
      </c>
      <c r="I11" s="16" t="s">
        <v>98</v>
      </c>
      <c r="J11" s="17" t="s">
        <v>99</v>
      </c>
      <c r="K11" s="18" t="s">
        <v>100</v>
      </c>
      <c r="L11" s="16" t="s">
        <v>98</v>
      </c>
      <c r="M11" s="17" t="s">
        <v>99</v>
      </c>
      <c r="N11" s="18" t="s">
        <v>100</v>
      </c>
      <c r="O11" s="16" t="s">
        <v>98</v>
      </c>
      <c r="P11" s="17" t="s">
        <v>99</v>
      </c>
      <c r="Q11" s="18" t="s">
        <v>100</v>
      </c>
      <c r="R11" s="16" t="s">
        <v>98</v>
      </c>
      <c r="S11" s="17" t="s">
        <v>99</v>
      </c>
      <c r="T11" s="18" t="s">
        <v>100</v>
      </c>
      <c r="U11" s="16" t="s">
        <v>98</v>
      </c>
      <c r="V11" s="17" t="s">
        <v>99</v>
      </c>
      <c r="W11" s="18" t="s">
        <v>100</v>
      </c>
      <c r="X11" s="16" t="s">
        <v>98</v>
      </c>
      <c r="Y11" s="17" t="s">
        <v>99</v>
      </c>
      <c r="Z11" s="18" t="s">
        <v>100</v>
      </c>
      <c r="AA11" s="16" t="s">
        <v>98</v>
      </c>
      <c r="AB11" s="17" t="s">
        <v>99</v>
      </c>
      <c r="AC11" s="18" t="s">
        <v>100</v>
      </c>
      <c r="AD11" s="16" t="s">
        <v>98</v>
      </c>
      <c r="AE11" s="17" t="s">
        <v>99</v>
      </c>
      <c r="AF11" s="18" t="s">
        <v>100</v>
      </c>
      <c r="AG11" s="16" t="s">
        <v>98</v>
      </c>
      <c r="AH11" s="17" t="s">
        <v>99</v>
      </c>
      <c r="AI11" s="18" t="s">
        <v>100</v>
      </c>
      <c r="AJ11" s="16" t="s">
        <v>98</v>
      </c>
      <c r="AK11" s="17" t="s">
        <v>99</v>
      </c>
      <c r="AL11" s="18" t="s">
        <v>100</v>
      </c>
      <c r="AM11" s="16" t="s">
        <v>98</v>
      </c>
      <c r="AN11" s="17" t="s">
        <v>99</v>
      </c>
      <c r="AO11" s="18" t="s">
        <v>100</v>
      </c>
      <c r="AP11" s="203"/>
      <c r="AQ11" s="206"/>
      <c r="AS11" s="2"/>
    </row>
    <row r="12" spans="1:45" ht="18" customHeight="1" x14ac:dyDescent="0.2">
      <c r="A12" s="6"/>
      <c r="B12" s="91" t="s">
        <v>130</v>
      </c>
      <c r="C12" s="92">
        <v>647</v>
      </c>
      <c r="D12" s="93">
        <v>200</v>
      </c>
      <c r="E12" s="94">
        <v>800</v>
      </c>
      <c r="F12" s="95">
        <v>6</v>
      </c>
      <c r="G12" s="96">
        <v>1</v>
      </c>
      <c r="H12" s="97">
        <v>5</v>
      </c>
      <c r="I12" s="95">
        <f>J12+K12</f>
        <v>6</v>
      </c>
      <c r="J12" s="96">
        <v>1</v>
      </c>
      <c r="K12" s="97">
        <v>5</v>
      </c>
      <c r="L12" s="62">
        <f>M12+N12</f>
        <v>0</v>
      </c>
      <c r="M12" s="63"/>
      <c r="N12" s="64"/>
      <c r="O12" s="62">
        <f>P12+Q12</f>
        <v>0</v>
      </c>
      <c r="P12" s="63"/>
      <c r="Q12" s="64"/>
      <c r="R12" s="62">
        <f>S12+T12</f>
        <v>0</v>
      </c>
      <c r="S12" s="63"/>
      <c r="T12" s="64"/>
      <c r="U12" s="62">
        <f>V12+W12</f>
        <v>0</v>
      </c>
      <c r="V12" s="63"/>
      <c r="W12" s="64"/>
      <c r="X12" s="62">
        <f>Y12+Z12</f>
        <v>0</v>
      </c>
      <c r="Y12" s="63"/>
      <c r="Z12" s="64"/>
      <c r="AA12" s="62">
        <f>AB12+AC12</f>
        <v>0</v>
      </c>
      <c r="AB12" s="63"/>
      <c r="AC12" s="64"/>
      <c r="AD12" s="62">
        <f>AE12+AF12</f>
        <v>0</v>
      </c>
      <c r="AE12" s="63"/>
      <c r="AF12" s="64"/>
      <c r="AG12" s="62">
        <f>AH12+AI12</f>
        <v>0</v>
      </c>
      <c r="AH12" s="63"/>
      <c r="AI12" s="64"/>
      <c r="AJ12" s="62">
        <f>AK12+AL12</f>
        <v>0</v>
      </c>
      <c r="AK12" s="63"/>
      <c r="AL12" s="64"/>
      <c r="AM12" s="62">
        <f>AN12+AO12</f>
        <v>0</v>
      </c>
      <c r="AN12" s="63"/>
      <c r="AO12" s="64"/>
      <c r="AP12" s="61">
        <f>F12+L12+R12+X12+AD12+AJ12</f>
        <v>6</v>
      </c>
      <c r="AQ12" s="20">
        <f t="shared" ref="AQ12:AQ32" si="0">AP12/E12</f>
        <v>7.4999999999999997E-3</v>
      </c>
    </row>
    <row r="13" spans="1:45" ht="18" customHeight="1" x14ac:dyDescent="0.2">
      <c r="A13" s="6"/>
      <c r="B13" s="98" t="s">
        <v>178</v>
      </c>
      <c r="C13" s="99">
        <v>426</v>
      </c>
      <c r="D13" s="100">
        <v>140</v>
      </c>
      <c r="E13" s="101">
        <v>560</v>
      </c>
      <c r="F13" s="102">
        <v>13</v>
      </c>
      <c r="G13" s="103">
        <v>8</v>
      </c>
      <c r="H13" s="104">
        <v>5</v>
      </c>
      <c r="I13" s="102">
        <f t="shared" ref="I13:I31" si="1">J13+K13</f>
        <v>12</v>
      </c>
      <c r="J13" s="103">
        <v>8</v>
      </c>
      <c r="K13" s="104">
        <v>4</v>
      </c>
      <c r="L13" s="68">
        <f t="shared" ref="L13:L14" si="2">M13+N13</f>
        <v>0</v>
      </c>
      <c r="M13" s="69"/>
      <c r="N13" s="70"/>
      <c r="O13" s="68">
        <f t="shared" ref="O13:O31" si="3">P13+Q13</f>
        <v>0</v>
      </c>
      <c r="P13" s="69"/>
      <c r="Q13" s="70"/>
      <c r="R13" s="68">
        <f t="shared" ref="R13:R31" si="4">S13+T13</f>
        <v>0</v>
      </c>
      <c r="S13" s="69"/>
      <c r="T13" s="70"/>
      <c r="U13" s="68">
        <f t="shared" ref="U13:U31" si="5">V13+W13</f>
        <v>0</v>
      </c>
      <c r="V13" s="69"/>
      <c r="W13" s="70"/>
      <c r="X13" s="68">
        <f t="shared" ref="X13:X31" si="6">Y13+Z13</f>
        <v>0</v>
      </c>
      <c r="Y13" s="69"/>
      <c r="Z13" s="70"/>
      <c r="AA13" s="68">
        <f t="shared" ref="AA13:AA31" si="7">AB13+AC13</f>
        <v>0</v>
      </c>
      <c r="AB13" s="69"/>
      <c r="AC13" s="70"/>
      <c r="AD13" s="68">
        <f t="shared" ref="AD13:AD31" si="8">AE13+AF13</f>
        <v>0</v>
      </c>
      <c r="AE13" s="69"/>
      <c r="AF13" s="70"/>
      <c r="AG13" s="68">
        <f t="shared" ref="AG13:AG31" si="9">AH13+AI13</f>
        <v>0</v>
      </c>
      <c r="AH13" s="69"/>
      <c r="AI13" s="70"/>
      <c r="AJ13" s="68">
        <f t="shared" ref="AJ13:AJ31" si="10">AK13+AL13</f>
        <v>0</v>
      </c>
      <c r="AK13" s="69"/>
      <c r="AL13" s="70"/>
      <c r="AM13" s="68">
        <f t="shared" ref="AM13:AM31" si="11">AN13+AO13</f>
        <v>0</v>
      </c>
      <c r="AN13" s="69"/>
      <c r="AO13" s="70"/>
      <c r="AP13" s="66">
        <f t="shared" ref="AP13:AP31" si="12">F13+L13+R13+X13+AD13+AJ13</f>
        <v>13</v>
      </c>
      <c r="AQ13" s="19">
        <f t="shared" si="0"/>
        <v>2.3214285714285715E-2</v>
      </c>
    </row>
    <row r="14" spans="1:45" ht="18" customHeight="1" x14ac:dyDescent="0.2">
      <c r="A14" s="6"/>
      <c r="B14" s="98" t="s">
        <v>131</v>
      </c>
      <c r="C14" s="99">
        <v>390</v>
      </c>
      <c r="D14" s="100">
        <v>190</v>
      </c>
      <c r="E14" s="101">
        <v>760</v>
      </c>
      <c r="F14" s="102">
        <v>60</v>
      </c>
      <c r="G14" s="103">
        <v>7</v>
      </c>
      <c r="H14" s="104">
        <v>53</v>
      </c>
      <c r="I14" s="102">
        <f t="shared" si="1"/>
        <v>60</v>
      </c>
      <c r="J14" s="103">
        <v>7</v>
      </c>
      <c r="K14" s="104">
        <v>53</v>
      </c>
      <c r="L14" s="68">
        <f t="shared" si="2"/>
        <v>0</v>
      </c>
      <c r="M14" s="69"/>
      <c r="N14" s="70"/>
      <c r="O14" s="68">
        <f t="shared" si="3"/>
        <v>0</v>
      </c>
      <c r="P14" s="69"/>
      <c r="Q14" s="70"/>
      <c r="R14" s="68">
        <f t="shared" si="4"/>
        <v>0</v>
      </c>
      <c r="S14" s="69"/>
      <c r="T14" s="70"/>
      <c r="U14" s="68">
        <f t="shared" si="5"/>
        <v>0</v>
      </c>
      <c r="V14" s="69"/>
      <c r="W14" s="70"/>
      <c r="X14" s="68">
        <f t="shared" si="6"/>
        <v>0</v>
      </c>
      <c r="Y14" s="69"/>
      <c r="Z14" s="70"/>
      <c r="AA14" s="68">
        <f t="shared" si="7"/>
        <v>0</v>
      </c>
      <c r="AB14" s="69"/>
      <c r="AC14" s="70"/>
      <c r="AD14" s="68">
        <f t="shared" si="8"/>
        <v>0</v>
      </c>
      <c r="AE14" s="69"/>
      <c r="AF14" s="70"/>
      <c r="AG14" s="68">
        <f t="shared" si="9"/>
        <v>0</v>
      </c>
      <c r="AH14" s="69"/>
      <c r="AI14" s="70"/>
      <c r="AJ14" s="68">
        <f t="shared" si="10"/>
        <v>0</v>
      </c>
      <c r="AK14" s="69"/>
      <c r="AL14" s="70"/>
      <c r="AM14" s="68">
        <f t="shared" si="11"/>
        <v>0</v>
      </c>
      <c r="AN14" s="69"/>
      <c r="AO14" s="70"/>
      <c r="AP14" s="66">
        <f t="shared" si="12"/>
        <v>60</v>
      </c>
      <c r="AQ14" s="8">
        <f t="shared" si="0"/>
        <v>7.8947368421052627E-2</v>
      </c>
    </row>
    <row r="15" spans="1:45" ht="18" customHeight="1" x14ac:dyDescent="0.2">
      <c r="A15" s="6"/>
      <c r="B15" s="11"/>
      <c r="C15" s="65"/>
      <c r="D15" s="66"/>
      <c r="E15" s="67"/>
      <c r="F15" s="68">
        <f t="shared" ref="F15:F31" si="13">G15+H15</f>
        <v>0</v>
      </c>
      <c r="G15" s="69"/>
      <c r="H15" s="70"/>
      <c r="I15" s="68">
        <f t="shared" si="1"/>
        <v>0</v>
      </c>
      <c r="J15" s="69"/>
      <c r="K15" s="70"/>
      <c r="L15" s="68">
        <f t="shared" ref="L13:L31" si="14">M15+N15</f>
        <v>0</v>
      </c>
      <c r="M15" s="69"/>
      <c r="N15" s="70"/>
      <c r="O15" s="68">
        <f t="shared" si="3"/>
        <v>0</v>
      </c>
      <c r="P15" s="69"/>
      <c r="Q15" s="70"/>
      <c r="R15" s="68">
        <f t="shared" si="4"/>
        <v>0</v>
      </c>
      <c r="S15" s="69"/>
      <c r="T15" s="70"/>
      <c r="U15" s="68">
        <f t="shared" si="5"/>
        <v>0</v>
      </c>
      <c r="V15" s="69"/>
      <c r="W15" s="70"/>
      <c r="X15" s="68">
        <f t="shared" si="6"/>
        <v>0</v>
      </c>
      <c r="Y15" s="69"/>
      <c r="Z15" s="70"/>
      <c r="AA15" s="68">
        <f t="shared" si="7"/>
        <v>0</v>
      </c>
      <c r="AB15" s="69"/>
      <c r="AC15" s="70"/>
      <c r="AD15" s="68">
        <f t="shared" si="8"/>
        <v>0</v>
      </c>
      <c r="AE15" s="69"/>
      <c r="AF15" s="70"/>
      <c r="AG15" s="68">
        <f t="shared" si="9"/>
        <v>0</v>
      </c>
      <c r="AH15" s="69"/>
      <c r="AI15" s="70"/>
      <c r="AJ15" s="68">
        <f t="shared" si="10"/>
        <v>0</v>
      </c>
      <c r="AK15" s="69"/>
      <c r="AL15" s="70"/>
      <c r="AM15" s="68">
        <f t="shared" si="11"/>
        <v>0</v>
      </c>
      <c r="AN15" s="69"/>
      <c r="AO15" s="70"/>
      <c r="AP15" s="66">
        <f t="shared" si="12"/>
        <v>0</v>
      </c>
      <c r="AQ15" s="8" t="e">
        <f t="shared" si="0"/>
        <v>#DIV/0!</v>
      </c>
    </row>
    <row r="16" spans="1:45" ht="18" customHeight="1" x14ac:dyDescent="0.2">
      <c r="A16" s="6"/>
      <c r="B16" s="11"/>
      <c r="C16" s="65"/>
      <c r="D16" s="66"/>
      <c r="E16" s="67"/>
      <c r="F16" s="68">
        <f t="shared" si="13"/>
        <v>0</v>
      </c>
      <c r="G16" s="69"/>
      <c r="H16" s="70"/>
      <c r="I16" s="68">
        <f t="shared" si="1"/>
        <v>0</v>
      </c>
      <c r="J16" s="69"/>
      <c r="K16" s="70"/>
      <c r="L16" s="68">
        <f t="shared" si="14"/>
        <v>0</v>
      </c>
      <c r="M16" s="69"/>
      <c r="N16" s="70"/>
      <c r="O16" s="68">
        <f t="shared" si="3"/>
        <v>0</v>
      </c>
      <c r="P16" s="69"/>
      <c r="Q16" s="70"/>
      <c r="R16" s="68">
        <f t="shared" si="4"/>
        <v>0</v>
      </c>
      <c r="S16" s="69"/>
      <c r="T16" s="70"/>
      <c r="U16" s="68">
        <f t="shared" si="5"/>
        <v>0</v>
      </c>
      <c r="V16" s="69"/>
      <c r="W16" s="70"/>
      <c r="X16" s="68">
        <f t="shared" si="6"/>
        <v>0</v>
      </c>
      <c r="Y16" s="69"/>
      <c r="Z16" s="70"/>
      <c r="AA16" s="68">
        <f t="shared" si="7"/>
        <v>0</v>
      </c>
      <c r="AB16" s="69"/>
      <c r="AC16" s="70"/>
      <c r="AD16" s="68">
        <f t="shared" si="8"/>
        <v>0</v>
      </c>
      <c r="AE16" s="69"/>
      <c r="AF16" s="70"/>
      <c r="AG16" s="68">
        <f t="shared" si="9"/>
        <v>0</v>
      </c>
      <c r="AH16" s="69"/>
      <c r="AI16" s="70"/>
      <c r="AJ16" s="68">
        <f t="shared" si="10"/>
        <v>0</v>
      </c>
      <c r="AK16" s="69"/>
      <c r="AL16" s="70"/>
      <c r="AM16" s="68">
        <f t="shared" si="11"/>
        <v>0</v>
      </c>
      <c r="AN16" s="69"/>
      <c r="AO16" s="70"/>
      <c r="AP16" s="66">
        <f t="shared" si="12"/>
        <v>0</v>
      </c>
      <c r="AQ16" s="8" t="e">
        <f t="shared" si="0"/>
        <v>#DIV/0!</v>
      </c>
    </row>
    <row r="17" spans="1:43" ht="18" customHeight="1" x14ac:dyDescent="0.2">
      <c r="A17" s="6"/>
      <c r="B17" s="11"/>
      <c r="C17" s="65"/>
      <c r="D17" s="66"/>
      <c r="E17" s="67"/>
      <c r="F17" s="68">
        <f t="shared" si="13"/>
        <v>0</v>
      </c>
      <c r="G17" s="69"/>
      <c r="H17" s="70"/>
      <c r="I17" s="68">
        <f t="shared" si="1"/>
        <v>0</v>
      </c>
      <c r="J17" s="69"/>
      <c r="K17" s="70"/>
      <c r="L17" s="68">
        <f t="shared" si="14"/>
        <v>0</v>
      </c>
      <c r="M17" s="69"/>
      <c r="N17" s="70"/>
      <c r="O17" s="68">
        <f t="shared" si="3"/>
        <v>0</v>
      </c>
      <c r="P17" s="69"/>
      <c r="Q17" s="70"/>
      <c r="R17" s="68">
        <f t="shared" si="4"/>
        <v>0</v>
      </c>
      <c r="S17" s="69"/>
      <c r="T17" s="70"/>
      <c r="U17" s="68">
        <f t="shared" si="5"/>
        <v>0</v>
      </c>
      <c r="V17" s="69"/>
      <c r="W17" s="70"/>
      <c r="X17" s="68">
        <f t="shared" si="6"/>
        <v>0</v>
      </c>
      <c r="Y17" s="69"/>
      <c r="Z17" s="70"/>
      <c r="AA17" s="68">
        <f t="shared" si="7"/>
        <v>0</v>
      </c>
      <c r="AB17" s="69"/>
      <c r="AC17" s="70"/>
      <c r="AD17" s="68">
        <f t="shared" si="8"/>
        <v>0</v>
      </c>
      <c r="AE17" s="69"/>
      <c r="AF17" s="70"/>
      <c r="AG17" s="68">
        <f t="shared" si="9"/>
        <v>0</v>
      </c>
      <c r="AH17" s="69"/>
      <c r="AI17" s="70"/>
      <c r="AJ17" s="68">
        <f t="shared" si="10"/>
        <v>0</v>
      </c>
      <c r="AK17" s="69"/>
      <c r="AL17" s="70"/>
      <c r="AM17" s="68">
        <f t="shared" si="11"/>
        <v>0</v>
      </c>
      <c r="AN17" s="69"/>
      <c r="AO17" s="70"/>
      <c r="AP17" s="66">
        <f t="shared" si="12"/>
        <v>0</v>
      </c>
      <c r="AQ17" s="8" t="e">
        <f t="shared" si="0"/>
        <v>#DIV/0!</v>
      </c>
    </row>
    <row r="18" spans="1:43" ht="18" customHeight="1" x14ac:dyDescent="0.2">
      <c r="A18" s="6"/>
      <c r="B18" s="11"/>
      <c r="C18" s="65"/>
      <c r="D18" s="66"/>
      <c r="E18" s="67"/>
      <c r="F18" s="68">
        <f t="shared" si="13"/>
        <v>0</v>
      </c>
      <c r="G18" s="69"/>
      <c r="H18" s="70"/>
      <c r="I18" s="68">
        <f t="shared" si="1"/>
        <v>0</v>
      </c>
      <c r="J18" s="69"/>
      <c r="K18" s="70"/>
      <c r="L18" s="68">
        <f t="shared" si="14"/>
        <v>0</v>
      </c>
      <c r="M18" s="69"/>
      <c r="N18" s="70"/>
      <c r="O18" s="68">
        <f t="shared" si="3"/>
        <v>0</v>
      </c>
      <c r="P18" s="69"/>
      <c r="Q18" s="70"/>
      <c r="R18" s="68">
        <f t="shared" si="4"/>
        <v>0</v>
      </c>
      <c r="S18" s="69"/>
      <c r="T18" s="70"/>
      <c r="U18" s="68">
        <f t="shared" si="5"/>
        <v>0</v>
      </c>
      <c r="V18" s="69"/>
      <c r="W18" s="70"/>
      <c r="X18" s="68">
        <f t="shared" si="6"/>
        <v>0</v>
      </c>
      <c r="Y18" s="69"/>
      <c r="Z18" s="70"/>
      <c r="AA18" s="68">
        <f t="shared" si="7"/>
        <v>0</v>
      </c>
      <c r="AB18" s="69"/>
      <c r="AC18" s="70"/>
      <c r="AD18" s="68">
        <f t="shared" si="8"/>
        <v>0</v>
      </c>
      <c r="AE18" s="69"/>
      <c r="AF18" s="70"/>
      <c r="AG18" s="68">
        <f t="shared" si="9"/>
        <v>0</v>
      </c>
      <c r="AH18" s="69"/>
      <c r="AI18" s="70"/>
      <c r="AJ18" s="68">
        <f t="shared" si="10"/>
        <v>0</v>
      </c>
      <c r="AK18" s="69"/>
      <c r="AL18" s="70"/>
      <c r="AM18" s="68">
        <f t="shared" si="11"/>
        <v>0</v>
      </c>
      <c r="AN18" s="69"/>
      <c r="AO18" s="70"/>
      <c r="AP18" s="66">
        <f t="shared" si="12"/>
        <v>0</v>
      </c>
      <c r="AQ18" s="8" t="e">
        <f t="shared" si="0"/>
        <v>#DIV/0!</v>
      </c>
    </row>
    <row r="19" spans="1:43" ht="18" customHeight="1" x14ac:dyDescent="0.2">
      <c r="A19" s="6"/>
      <c r="B19" s="11"/>
      <c r="C19" s="65"/>
      <c r="D19" s="66"/>
      <c r="E19" s="67"/>
      <c r="F19" s="68">
        <f t="shared" si="13"/>
        <v>0</v>
      </c>
      <c r="G19" s="69"/>
      <c r="H19" s="70"/>
      <c r="I19" s="68">
        <f t="shared" si="1"/>
        <v>0</v>
      </c>
      <c r="J19" s="69"/>
      <c r="K19" s="70"/>
      <c r="L19" s="68">
        <f t="shared" si="14"/>
        <v>0</v>
      </c>
      <c r="M19" s="69"/>
      <c r="N19" s="70"/>
      <c r="O19" s="68">
        <f t="shared" si="3"/>
        <v>0</v>
      </c>
      <c r="P19" s="69"/>
      <c r="Q19" s="70"/>
      <c r="R19" s="68">
        <f t="shared" si="4"/>
        <v>0</v>
      </c>
      <c r="S19" s="69"/>
      <c r="T19" s="70"/>
      <c r="U19" s="68">
        <f t="shared" si="5"/>
        <v>0</v>
      </c>
      <c r="V19" s="69"/>
      <c r="W19" s="70"/>
      <c r="X19" s="68">
        <f t="shared" si="6"/>
        <v>0</v>
      </c>
      <c r="Y19" s="69"/>
      <c r="Z19" s="70"/>
      <c r="AA19" s="68">
        <f t="shared" si="7"/>
        <v>0</v>
      </c>
      <c r="AB19" s="69"/>
      <c r="AC19" s="70"/>
      <c r="AD19" s="68">
        <f t="shared" si="8"/>
        <v>0</v>
      </c>
      <c r="AE19" s="69"/>
      <c r="AF19" s="70"/>
      <c r="AG19" s="68">
        <f t="shared" si="9"/>
        <v>0</v>
      </c>
      <c r="AH19" s="69"/>
      <c r="AI19" s="70"/>
      <c r="AJ19" s="68">
        <f t="shared" si="10"/>
        <v>0</v>
      </c>
      <c r="AK19" s="69"/>
      <c r="AL19" s="70"/>
      <c r="AM19" s="68">
        <f t="shared" si="11"/>
        <v>0</v>
      </c>
      <c r="AN19" s="69"/>
      <c r="AO19" s="70"/>
      <c r="AP19" s="66">
        <f t="shared" si="12"/>
        <v>0</v>
      </c>
      <c r="AQ19" s="8" t="e">
        <f t="shared" si="0"/>
        <v>#DIV/0!</v>
      </c>
    </row>
    <row r="20" spans="1:43" ht="18" customHeight="1" x14ac:dyDescent="0.2">
      <c r="A20" s="6"/>
      <c r="B20" s="11"/>
      <c r="C20" s="65"/>
      <c r="D20" s="66"/>
      <c r="E20" s="67"/>
      <c r="F20" s="68">
        <f t="shared" si="13"/>
        <v>0</v>
      </c>
      <c r="G20" s="69"/>
      <c r="H20" s="70"/>
      <c r="I20" s="68">
        <f t="shared" si="1"/>
        <v>0</v>
      </c>
      <c r="J20" s="69"/>
      <c r="K20" s="70"/>
      <c r="L20" s="68">
        <f t="shared" si="14"/>
        <v>0</v>
      </c>
      <c r="M20" s="69"/>
      <c r="N20" s="70"/>
      <c r="O20" s="68">
        <f t="shared" si="3"/>
        <v>0</v>
      </c>
      <c r="P20" s="69"/>
      <c r="Q20" s="70"/>
      <c r="R20" s="68">
        <f t="shared" si="4"/>
        <v>0</v>
      </c>
      <c r="S20" s="69"/>
      <c r="T20" s="70"/>
      <c r="U20" s="68">
        <f t="shared" si="5"/>
        <v>0</v>
      </c>
      <c r="V20" s="69"/>
      <c r="W20" s="70"/>
      <c r="X20" s="68">
        <f t="shared" si="6"/>
        <v>0</v>
      </c>
      <c r="Y20" s="69"/>
      <c r="Z20" s="70"/>
      <c r="AA20" s="68">
        <f t="shared" si="7"/>
        <v>0</v>
      </c>
      <c r="AB20" s="69"/>
      <c r="AC20" s="70"/>
      <c r="AD20" s="68">
        <f t="shared" si="8"/>
        <v>0</v>
      </c>
      <c r="AE20" s="69"/>
      <c r="AF20" s="70"/>
      <c r="AG20" s="68">
        <f t="shared" si="9"/>
        <v>0</v>
      </c>
      <c r="AH20" s="69"/>
      <c r="AI20" s="70"/>
      <c r="AJ20" s="68">
        <f t="shared" si="10"/>
        <v>0</v>
      </c>
      <c r="AK20" s="69"/>
      <c r="AL20" s="70"/>
      <c r="AM20" s="68">
        <f t="shared" si="11"/>
        <v>0</v>
      </c>
      <c r="AN20" s="69"/>
      <c r="AO20" s="70"/>
      <c r="AP20" s="66">
        <f t="shared" si="12"/>
        <v>0</v>
      </c>
      <c r="AQ20" s="8" t="e">
        <f t="shared" si="0"/>
        <v>#DIV/0!</v>
      </c>
    </row>
    <row r="21" spans="1:43" ht="18" customHeight="1" x14ac:dyDescent="0.2">
      <c r="A21" s="6"/>
      <c r="B21" s="11"/>
      <c r="C21" s="65"/>
      <c r="D21" s="66"/>
      <c r="E21" s="67"/>
      <c r="F21" s="68">
        <f t="shared" si="13"/>
        <v>0</v>
      </c>
      <c r="G21" s="69"/>
      <c r="H21" s="70"/>
      <c r="I21" s="68">
        <f t="shared" si="1"/>
        <v>0</v>
      </c>
      <c r="J21" s="69"/>
      <c r="K21" s="70"/>
      <c r="L21" s="68">
        <f t="shared" si="14"/>
        <v>0</v>
      </c>
      <c r="M21" s="69"/>
      <c r="N21" s="70"/>
      <c r="O21" s="68">
        <f t="shared" si="3"/>
        <v>0</v>
      </c>
      <c r="P21" s="69"/>
      <c r="Q21" s="70"/>
      <c r="R21" s="68">
        <f t="shared" si="4"/>
        <v>0</v>
      </c>
      <c r="S21" s="69"/>
      <c r="T21" s="70"/>
      <c r="U21" s="68">
        <f t="shared" si="5"/>
        <v>0</v>
      </c>
      <c r="V21" s="69"/>
      <c r="W21" s="70"/>
      <c r="X21" s="68">
        <f t="shared" si="6"/>
        <v>0</v>
      </c>
      <c r="Y21" s="69"/>
      <c r="Z21" s="70"/>
      <c r="AA21" s="68">
        <f t="shared" si="7"/>
        <v>0</v>
      </c>
      <c r="AB21" s="69"/>
      <c r="AC21" s="70"/>
      <c r="AD21" s="68">
        <f t="shared" si="8"/>
        <v>0</v>
      </c>
      <c r="AE21" s="69"/>
      <c r="AF21" s="70"/>
      <c r="AG21" s="68">
        <f t="shared" si="9"/>
        <v>0</v>
      </c>
      <c r="AH21" s="69"/>
      <c r="AI21" s="70"/>
      <c r="AJ21" s="68">
        <f t="shared" si="10"/>
        <v>0</v>
      </c>
      <c r="AK21" s="69"/>
      <c r="AL21" s="70"/>
      <c r="AM21" s="68">
        <f t="shared" si="11"/>
        <v>0</v>
      </c>
      <c r="AN21" s="69"/>
      <c r="AO21" s="70"/>
      <c r="AP21" s="66">
        <f t="shared" si="12"/>
        <v>0</v>
      </c>
      <c r="AQ21" s="8" t="e">
        <f t="shared" si="0"/>
        <v>#DIV/0!</v>
      </c>
    </row>
    <row r="22" spans="1:43" ht="18" customHeight="1" x14ac:dyDescent="0.2">
      <c r="A22" s="6"/>
      <c r="B22" s="11"/>
      <c r="C22" s="65"/>
      <c r="D22" s="66"/>
      <c r="E22" s="67"/>
      <c r="F22" s="68">
        <f t="shared" si="13"/>
        <v>0</v>
      </c>
      <c r="G22" s="69"/>
      <c r="H22" s="70"/>
      <c r="I22" s="68">
        <f t="shared" si="1"/>
        <v>0</v>
      </c>
      <c r="J22" s="69"/>
      <c r="K22" s="70"/>
      <c r="L22" s="68">
        <f t="shared" si="14"/>
        <v>0</v>
      </c>
      <c r="M22" s="69"/>
      <c r="N22" s="70"/>
      <c r="O22" s="68">
        <f t="shared" si="3"/>
        <v>0</v>
      </c>
      <c r="P22" s="69"/>
      <c r="Q22" s="70"/>
      <c r="R22" s="68">
        <f t="shared" si="4"/>
        <v>0</v>
      </c>
      <c r="S22" s="69"/>
      <c r="T22" s="70"/>
      <c r="U22" s="68">
        <f t="shared" si="5"/>
        <v>0</v>
      </c>
      <c r="V22" s="69"/>
      <c r="W22" s="70"/>
      <c r="X22" s="68">
        <f t="shared" si="6"/>
        <v>0</v>
      </c>
      <c r="Y22" s="69"/>
      <c r="Z22" s="70"/>
      <c r="AA22" s="68">
        <f t="shared" si="7"/>
        <v>0</v>
      </c>
      <c r="AB22" s="69"/>
      <c r="AC22" s="70"/>
      <c r="AD22" s="68">
        <f t="shared" si="8"/>
        <v>0</v>
      </c>
      <c r="AE22" s="69"/>
      <c r="AF22" s="70"/>
      <c r="AG22" s="68">
        <f t="shared" si="9"/>
        <v>0</v>
      </c>
      <c r="AH22" s="69"/>
      <c r="AI22" s="70"/>
      <c r="AJ22" s="68">
        <f t="shared" si="10"/>
        <v>0</v>
      </c>
      <c r="AK22" s="69"/>
      <c r="AL22" s="70"/>
      <c r="AM22" s="68">
        <f t="shared" si="11"/>
        <v>0</v>
      </c>
      <c r="AN22" s="69"/>
      <c r="AO22" s="70"/>
      <c r="AP22" s="66">
        <f t="shared" si="12"/>
        <v>0</v>
      </c>
      <c r="AQ22" s="8" t="e">
        <f t="shared" si="0"/>
        <v>#DIV/0!</v>
      </c>
    </row>
    <row r="23" spans="1:43" ht="18" customHeight="1" x14ac:dyDescent="0.2">
      <c r="A23" s="6"/>
      <c r="B23" s="11"/>
      <c r="C23" s="65"/>
      <c r="D23" s="66"/>
      <c r="E23" s="67"/>
      <c r="F23" s="68">
        <f t="shared" si="13"/>
        <v>0</v>
      </c>
      <c r="G23" s="69"/>
      <c r="H23" s="70"/>
      <c r="I23" s="68">
        <f t="shared" si="1"/>
        <v>0</v>
      </c>
      <c r="J23" s="69"/>
      <c r="K23" s="70"/>
      <c r="L23" s="68">
        <f t="shared" si="14"/>
        <v>0</v>
      </c>
      <c r="M23" s="69"/>
      <c r="N23" s="70"/>
      <c r="O23" s="68">
        <f t="shared" si="3"/>
        <v>0</v>
      </c>
      <c r="P23" s="69"/>
      <c r="Q23" s="70"/>
      <c r="R23" s="68">
        <f t="shared" si="4"/>
        <v>0</v>
      </c>
      <c r="S23" s="69"/>
      <c r="T23" s="70"/>
      <c r="U23" s="68">
        <f t="shared" si="5"/>
        <v>0</v>
      </c>
      <c r="V23" s="69"/>
      <c r="W23" s="70"/>
      <c r="X23" s="68">
        <f t="shared" si="6"/>
        <v>0</v>
      </c>
      <c r="Y23" s="69"/>
      <c r="Z23" s="70"/>
      <c r="AA23" s="68">
        <f t="shared" si="7"/>
        <v>0</v>
      </c>
      <c r="AB23" s="69"/>
      <c r="AC23" s="70"/>
      <c r="AD23" s="68">
        <f t="shared" si="8"/>
        <v>0</v>
      </c>
      <c r="AE23" s="69"/>
      <c r="AF23" s="70"/>
      <c r="AG23" s="68">
        <f t="shared" si="9"/>
        <v>0</v>
      </c>
      <c r="AH23" s="69"/>
      <c r="AI23" s="70"/>
      <c r="AJ23" s="68">
        <f t="shared" si="10"/>
        <v>0</v>
      </c>
      <c r="AK23" s="69"/>
      <c r="AL23" s="70"/>
      <c r="AM23" s="68">
        <f t="shared" si="11"/>
        <v>0</v>
      </c>
      <c r="AN23" s="69"/>
      <c r="AO23" s="70"/>
      <c r="AP23" s="66">
        <f t="shared" si="12"/>
        <v>0</v>
      </c>
      <c r="AQ23" s="8" t="e">
        <f t="shared" si="0"/>
        <v>#DIV/0!</v>
      </c>
    </row>
    <row r="24" spans="1:43" ht="18" customHeight="1" x14ac:dyDescent="0.2">
      <c r="A24" s="6"/>
      <c r="B24" s="11"/>
      <c r="C24" s="65"/>
      <c r="D24" s="66"/>
      <c r="E24" s="67"/>
      <c r="F24" s="68">
        <f t="shared" si="13"/>
        <v>0</v>
      </c>
      <c r="G24" s="69"/>
      <c r="H24" s="70"/>
      <c r="I24" s="68">
        <f t="shared" si="1"/>
        <v>0</v>
      </c>
      <c r="J24" s="69"/>
      <c r="K24" s="70"/>
      <c r="L24" s="68">
        <f t="shared" si="14"/>
        <v>0</v>
      </c>
      <c r="M24" s="69"/>
      <c r="N24" s="70"/>
      <c r="O24" s="68">
        <f t="shared" si="3"/>
        <v>0</v>
      </c>
      <c r="P24" s="69"/>
      <c r="Q24" s="70"/>
      <c r="R24" s="68">
        <f t="shared" si="4"/>
        <v>0</v>
      </c>
      <c r="S24" s="69"/>
      <c r="T24" s="70"/>
      <c r="U24" s="68">
        <f t="shared" si="5"/>
        <v>0</v>
      </c>
      <c r="V24" s="69"/>
      <c r="W24" s="70"/>
      <c r="X24" s="68">
        <f t="shared" si="6"/>
        <v>0</v>
      </c>
      <c r="Y24" s="69"/>
      <c r="Z24" s="70"/>
      <c r="AA24" s="68">
        <f t="shared" si="7"/>
        <v>0</v>
      </c>
      <c r="AB24" s="69"/>
      <c r="AC24" s="70"/>
      <c r="AD24" s="68">
        <f t="shared" si="8"/>
        <v>0</v>
      </c>
      <c r="AE24" s="69"/>
      <c r="AF24" s="70"/>
      <c r="AG24" s="68">
        <f t="shared" si="9"/>
        <v>0</v>
      </c>
      <c r="AH24" s="69"/>
      <c r="AI24" s="70"/>
      <c r="AJ24" s="68">
        <f t="shared" si="10"/>
        <v>0</v>
      </c>
      <c r="AK24" s="69"/>
      <c r="AL24" s="70"/>
      <c r="AM24" s="68">
        <f t="shared" si="11"/>
        <v>0</v>
      </c>
      <c r="AN24" s="69"/>
      <c r="AO24" s="70"/>
      <c r="AP24" s="66">
        <f t="shared" si="12"/>
        <v>0</v>
      </c>
      <c r="AQ24" s="8" t="e">
        <f t="shared" si="0"/>
        <v>#DIV/0!</v>
      </c>
    </row>
    <row r="25" spans="1:43" ht="18" customHeight="1" x14ac:dyDescent="0.2">
      <c r="A25" s="6"/>
      <c r="B25" s="11"/>
      <c r="C25" s="65"/>
      <c r="D25" s="66"/>
      <c r="E25" s="67"/>
      <c r="F25" s="68">
        <f t="shared" si="13"/>
        <v>0</v>
      </c>
      <c r="G25" s="69"/>
      <c r="H25" s="70"/>
      <c r="I25" s="68">
        <f t="shared" si="1"/>
        <v>0</v>
      </c>
      <c r="J25" s="69"/>
      <c r="K25" s="70"/>
      <c r="L25" s="68">
        <f t="shared" si="14"/>
        <v>0</v>
      </c>
      <c r="M25" s="69"/>
      <c r="N25" s="70"/>
      <c r="O25" s="68">
        <f t="shared" si="3"/>
        <v>0</v>
      </c>
      <c r="P25" s="69"/>
      <c r="Q25" s="70"/>
      <c r="R25" s="68">
        <f t="shared" si="4"/>
        <v>0</v>
      </c>
      <c r="S25" s="69"/>
      <c r="T25" s="70"/>
      <c r="U25" s="68">
        <f t="shared" si="5"/>
        <v>0</v>
      </c>
      <c r="V25" s="69"/>
      <c r="W25" s="70"/>
      <c r="X25" s="68">
        <f t="shared" si="6"/>
        <v>0</v>
      </c>
      <c r="Y25" s="69"/>
      <c r="Z25" s="70"/>
      <c r="AA25" s="68">
        <f t="shared" si="7"/>
        <v>0</v>
      </c>
      <c r="AB25" s="69"/>
      <c r="AC25" s="70"/>
      <c r="AD25" s="68">
        <f t="shared" si="8"/>
        <v>0</v>
      </c>
      <c r="AE25" s="69"/>
      <c r="AF25" s="70"/>
      <c r="AG25" s="68">
        <f t="shared" si="9"/>
        <v>0</v>
      </c>
      <c r="AH25" s="69"/>
      <c r="AI25" s="70"/>
      <c r="AJ25" s="68">
        <f t="shared" si="10"/>
        <v>0</v>
      </c>
      <c r="AK25" s="69"/>
      <c r="AL25" s="70"/>
      <c r="AM25" s="68">
        <f t="shared" si="11"/>
        <v>0</v>
      </c>
      <c r="AN25" s="69"/>
      <c r="AO25" s="70"/>
      <c r="AP25" s="66">
        <f t="shared" si="12"/>
        <v>0</v>
      </c>
      <c r="AQ25" s="8" t="e">
        <f t="shared" si="0"/>
        <v>#DIV/0!</v>
      </c>
    </row>
    <row r="26" spans="1:43" ht="18" customHeight="1" x14ac:dyDescent="0.2">
      <c r="A26" s="6"/>
      <c r="B26" s="11"/>
      <c r="C26" s="65"/>
      <c r="D26" s="66"/>
      <c r="E26" s="67"/>
      <c r="F26" s="68">
        <f t="shared" si="13"/>
        <v>0</v>
      </c>
      <c r="G26" s="69"/>
      <c r="H26" s="70"/>
      <c r="I26" s="68">
        <f t="shared" si="1"/>
        <v>0</v>
      </c>
      <c r="J26" s="69"/>
      <c r="K26" s="70"/>
      <c r="L26" s="68">
        <f t="shared" si="14"/>
        <v>0</v>
      </c>
      <c r="M26" s="69"/>
      <c r="N26" s="70"/>
      <c r="O26" s="68">
        <f t="shared" si="3"/>
        <v>0</v>
      </c>
      <c r="P26" s="69"/>
      <c r="Q26" s="70"/>
      <c r="R26" s="68">
        <f t="shared" si="4"/>
        <v>0</v>
      </c>
      <c r="S26" s="69"/>
      <c r="T26" s="70"/>
      <c r="U26" s="68">
        <f t="shared" si="5"/>
        <v>0</v>
      </c>
      <c r="V26" s="69"/>
      <c r="W26" s="70"/>
      <c r="X26" s="68">
        <f t="shared" si="6"/>
        <v>0</v>
      </c>
      <c r="Y26" s="69"/>
      <c r="Z26" s="70"/>
      <c r="AA26" s="68">
        <f t="shared" si="7"/>
        <v>0</v>
      </c>
      <c r="AB26" s="69"/>
      <c r="AC26" s="70"/>
      <c r="AD26" s="68">
        <f t="shared" si="8"/>
        <v>0</v>
      </c>
      <c r="AE26" s="69"/>
      <c r="AF26" s="70"/>
      <c r="AG26" s="68">
        <f t="shared" si="9"/>
        <v>0</v>
      </c>
      <c r="AH26" s="69"/>
      <c r="AI26" s="70"/>
      <c r="AJ26" s="68">
        <f t="shared" si="10"/>
        <v>0</v>
      </c>
      <c r="AK26" s="69"/>
      <c r="AL26" s="70"/>
      <c r="AM26" s="68">
        <f t="shared" si="11"/>
        <v>0</v>
      </c>
      <c r="AN26" s="69"/>
      <c r="AO26" s="70"/>
      <c r="AP26" s="66">
        <f t="shared" si="12"/>
        <v>0</v>
      </c>
      <c r="AQ26" s="8" t="e">
        <f t="shared" si="0"/>
        <v>#DIV/0!</v>
      </c>
    </row>
    <row r="27" spans="1:43" ht="18" customHeight="1" x14ac:dyDescent="0.2">
      <c r="A27" s="6"/>
      <c r="B27" s="11"/>
      <c r="C27" s="65"/>
      <c r="D27" s="66"/>
      <c r="E27" s="67"/>
      <c r="F27" s="68">
        <f t="shared" si="13"/>
        <v>0</v>
      </c>
      <c r="G27" s="69"/>
      <c r="H27" s="70"/>
      <c r="I27" s="68">
        <f t="shared" si="1"/>
        <v>0</v>
      </c>
      <c r="J27" s="69"/>
      <c r="K27" s="70"/>
      <c r="L27" s="68">
        <f t="shared" si="14"/>
        <v>0</v>
      </c>
      <c r="M27" s="69"/>
      <c r="N27" s="70"/>
      <c r="O27" s="68">
        <f t="shared" si="3"/>
        <v>0</v>
      </c>
      <c r="P27" s="69"/>
      <c r="Q27" s="70"/>
      <c r="R27" s="68">
        <f t="shared" si="4"/>
        <v>0</v>
      </c>
      <c r="S27" s="69"/>
      <c r="T27" s="70"/>
      <c r="U27" s="68">
        <f t="shared" si="5"/>
        <v>0</v>
      </c>
      <c r="V27" s="69"/>
      <c r="W27" s="70"/>
      <c r="X27" s="68">
        <f t="shared" si="6"/>
        <v>0</v>
      </c>
      <c r="Y27" s="69"/>
      <c r="Z27" s="70"/>
      <c r="AA27" s="68">
        <f t="shared" si="7"/>
        <v>0</v>
      </c>
      <c r="AB27" s="69"/>
      <c r="AC27" s="70"/>
      <c r="AD27" s="68">
        <f t="shared" si="8"/>
        <v>0</v>
      </c>
      <c r="AE27" s="69"/>
      <c r="AF27" s="70"/>
      <c r="AG27" s="68">
        <f t="shared" si="9"/>
        <v>0</v>
      </c>
      <c r="AH27" s="69"/>
      <c r="AI27" s="70"/>
      <c r="AJ27" s="68">
        <f t="shared" si="10"/>
        <v>0</v>
      </c>
      <c r="AK27" s="69"/>
      <c r="AL27" s="70"/>
      <c r="AM27" s="68">
        <f t="shared" si="11"/>
        <v>0</v>
      </c>
      <c r="AN27" s="69"/>
      <c r="AO27" s="70"/>
      <c r="AP27" s="66">
        <f t="shared" si="12"/>
        <v>0</v>
      </c>
      <c r="AQ27" s="8" t="e">
        <f t="shared" si="0"/>
        <v>#DIV/0!</v>
      </c>
    </row>
    <row r="28" spans="1:43" ht="18" customHeight="1" x14ac:dyDescent="0.2">
      <c r="A28" s="6"/>
      <c r="B28" s="11"/>
      <c r="C28" s="65"/>
      <c r="D28" s="66"/>
      <c r="E28" s="67"/>
      <c r="F28" s="68">
        <f t="shared" si="13"/>
        <v>0</v>
      </c>
      <c r="G28" s="69"/>
      <c r="H28" s="70"/>
      <c r="I28" s="68">
        <f t="shared" si="1"/>
        <v>0</v>
      </c>
      <c r="J28" s="69"/>
      <c r="K28" s="70"/>
      <c r="L28" s="68">
        <f t="shared" si="14"/>
        <v>0</v>
      </c>
      <c r="M28" s="69"/>
      <c r="N28" s="70"/>
      <c r="O28" s="68">
        <f t="shared" si="3"/>
        <v>0</v>
      </c>
      <c r="P28" s="69"/>
      <c r="Q28" s="70"/>
      <c r="R28" s="68">
        <f t="shared" si="4"/>
        <v>0</v>
      </c>
      <c r="S28" s="69"/>
      <c r="T28" s="70"/>
      <c r="U28" s="68">
        <f t="shared" si="5"/>
        <v>0</v>
      </c>
      <c r="V28" s="69"/>
      <c r="W28" s="70"/>
      <c r="X28" s="68">
        <f t="shared" si="6"/>
        <v>0</v>
      </c>
      <c r="Y28" s="69"/>
      <c r="Z28" s="70"/>
      <c r="AA28" s="68">
        <f t="shared" si="7"/>
        <v>0</v>
      </c>
      <c r="AB28" s="69"/>
      <c r="AC28" s="70"/>
      <c r="AD28" s="68">
        <f t="shared" si="8"/>
        <v>0</v>
      </c>
      <c r="AE28" s="69"/>
      <c r="AF28" s="70"/>
      <c r="AG28" s="68">
        <f t="shared" si="9"/>
        <v>0</v>
      </c>
      <c r="AH28" s="69"/>
      <c r="AI28" s="70"/>
      <c r="AJ28" s="68">
        <f t="shared" si="10"/>
        <v>0</v>
      </c>
      <c r="AK28" s="69"/>
      <c r="AL28" s="70"/>
      <c r="AM28" s="68">
        <f t="shared" si="11"/>
        <v>0</v>
      </c>
      <c r="AN28" s="69"/>
      <c r="AO28" s="70"/>
      <c r="AP28" s="66">
        <f t="shared" si="12"/>
        <v>0</v>
      </c>
      <c r="AQ28" s="8" t="e">
        <f t="shared" si="0"/>
        <v>#DIV/0!</v>
      </c>
    </row>
    <row r="29" spans="1:43" ht="18" customHeight="1" x14ac:dyDescent="0.2">
      <c r="A29" s="6"/>
      <c r="B29" s="11"/>
      <c r="C29" s="65"/>
      <c r="D29" s="71"/>
      <c r="E29" s="67"/>
      <c r="F29" s="68">
        <f t="shared" si="13"/>
        <v>0</v>
      </c>
      <c r="G29" s="69"/>
      <c r="H29" s="70"/>
      <c r="I29" s="68">
        <f t="shared" si="1"/>
        <v>0</v>
      </c>
      <c r="J29" s="69"/>
      <c r="K29" s="70"/>
      <c r="L29" s="68">
        <f t="shared" si="14"/>
        <v>0</v>
      </c>
      <c r="M29" s="69"/>
      <c r="N29" s="70"/>
      <c r="O29" s="68">
        <f t="shared" si="3"/>
        <v>0</v>
      </c>
      <c r="P29" s="69"/>
      <c r="Q29" s="70"/>
      <c r="R29" s="68">
        <f t="shared" si="4"/>
        <v>0</v>
      </c>
      <c r="S29" s="69"/>
      <c r="T29" s="70"/>
      <c r="U29" s="68">
        <f t="shared" si="5"/>
        <v>0</v>
      </c>
      <c r="V29" s="69"/>
      <c r="W29" s="70"/>
      <c r="X29" s="68">
        <f t="shared" si="6"/>
        <v>0</v>
      </c>
      <c r="Y29" s="69"/>
      <c r="Z29" s="70"/>
      <c r="AA29" s="68">
        <f t="shared" si="7"/>
        <v>0</v>
      </c>
      <c r="AB29" s="69"/>
      <c r="AC29" s="70"/>
      <c r="AD29" s="68">
        <f t="shared" si="8"/>
        <v>0</v>
      </c>
      <c r="AE29" s="69"/>
      <c r="AF29" s="70"/>
      <c r="AG29" s="68">
        <f t="shared" si="9"/>
        <v>0</v>
      </c>
      <c r="AH29" s="69"/>
      <c r="AI29" s="70"/>
      <c r="AJ29" s="68">
        <f t="shared" si="10"/>
        <v>0</v>
      </c>
      <c r="AK29" s="69"/>
      <c r="AL29" s="70"/>
      <c r="AM29" s="68">
        <f t="shared" si="11"/>
        <v>0</v>
      </c>
      <c r="AN29" s="69"/>
      <c r="AO29" s="70"/>
      <c r="AP29" s="71">
        <f t="shared" si="12"/>
        <v>0</v>
      </c>
      <c r="AQ29" s="8" t="e">
        <f t="shared" si="0"/>
        <v>#DIV/0!</v>
      </c>
    </row>
    <row r="30" spans="1:43" ht="18" customHeight="1" x14ac:dyDescent="0.2">
      <c r="A30" s="6"/>
      <c r="B30" s="11"/>
      <c r="C30" s="65"/>
      <c r="D30" s="71"/>
      <c r="E30" s="67"/>
      <c r="F30" s="68">
        <f t="shared" si="13"/>
        <v>0</v>
      </c>
      <c r="G30" s="69"/>
      <c r="H30" s="70"/>
      <c r="I30" s="68">
        <f t="shared" si="1"/>
        <v>0</v>
      </c>
      <c r="J30" s="69"/>
      <c r="K30" s="70"/>
      <c r="L30" s="68">
        <f t="shared" si="14"/>
        <v>0</v>
      </c>
      <c r="M30" s="69"/>
      <c r="N30" s="70"/>
      <c r="O30" s="68">
        <f t="shared" si="3"/>
        <v>0</v>
      </c>
      <c r="P30" s="69"/>
      <c r="Q30" s="70"/>
      <c r="R30" s="68">
        <f t="shared" si="4"/>
        <v>0</v>
      </c>
      <c r="S30" s="69"/>
      <c r="T30" s="70"/>
      <c r="U30" s="68">
        <f t="shared" si="5"/>
        <v>0</v>
      </c>
      <c r="V30" s="69"/>
      <c r="W30" s="70"/>
      <c r="X30" s="68">
        <f t="shared" si="6"/>
        <v>0</v>
      </c>
      <c r="Y30" s="69"/>
      <c r="Z30" s="70"/>
      <c r="AA30" s="68">
        <f t="shared" si="7"/>
        <v>0</v>
      </c>
      <c r="AB30" s="69"/>
      <c r="AC30" s="70"/>
      <c r="AD30" s="68">
        <f t="shared" si="8"/>
        <v>0</v>
      </c>
      <c r="AE30" s="69"/>
      <c r="AF30" s="70"/>
      <c r="AG30" s="68">
        <f t="shared" si="9"/>
        <v>0</v>
      </c>
      <c r="AH30" s="69"/>
      <c r="AI30" s="70"/>
      <c r="AJ30" s="68">
        <f t="shared" si="10"/>
        <v>0</v>
      </c>
      <c r="AK30" s="69"/>
      <c r="AL30" s="70"/>
      <c r="AM30" s="68">
        <f t="shared" si="11"/>
        <v>0</v>
      </c>
      <c r="AN30" s="69"/>
      <c r="AO30" s="70"/>
      <c r="AP30" s="71">
        <f t="shared" si="12"/>
        <v>0</v>
      </c>
      <c r="AQ30" s="8" t="e">
        <f t="shared" si="0"/>
        <v>#DIV/0!</v>
      </c>
    </row>
    <row r="31" spans="1:43" ht="18" customHeight="1" thickBot="1" x14ac:dyDescent="0.25">
      <c r="A31" s="6"/>
      <c r="B31" s="12"/>
      <c r="C31" s="60"/>
      <c r="D31" s="72"/>
      <c r="E31" s="62"/>
      <c r="F31" s="62">
        <f t="shared" si="13"/>
        <v>0</v>
      </c>
      <c r="G31" s="73"/>
      <c r="H31" s="74"/>
      <c r="I31" s="62">
        <f t="shared" si="1"/>
        <v>0</v>
      </c>
      <c r="J31" s="73"/>
      <c r="K31" s="74"/>
      <c r="L31" s="62">
        <f t="shared" si="14"/>
        <v>0</v>
      </c>
      <c r="M31" s="73"/>
      <c r="N31" s="74"/>
      <c r="O31" s="62">
        <f t="shared" si="3"/>
        <v>0</v>
      </c>
      <c r="P31" s="73"/>
      <c r="Q31" s="74"/>
      <c r="R31" s="62">
        <f t="shared" si="4"/>
        <v>0</v>
      </c>
      <c r="S31" s="73"/>
      <c r="T31" s="74"/>
      <c r="U31" s="62">
        <f t="shared" si="5"/>
        <v>0</v>
      </c>
      <c r="V31" s="73"/>
      <c r="W31" s="74"/>
      <c r="X31" s="62">
        <f t="shared" si="6"/>
        <v>0</v>
      </c>
      <c r="Y31" s="73"/>
      <c r="Z31" s="74"/>
      <c r="AA31" s="62">
        <f t="shared" si="7"/>
        <v>0</v>
      </c>
      <c r="AB31" s="73"/>
      <c r="AC31" s="74"/>
      <c r="AD31" s="62">
        <f t="shared" si="8"/>
        <v>0</v>
      </c>
      <c r="AE31" s="73"/>
      <c r="AF31" s="74"/>
      <c r="AG31" s="62">
        <f t="shared" si="9"/>
        <v>0</v>
      </c>
      <c r="AH31" s="73"/>
      <c r="AI31" s="74"/>
      <c r="AJ31" s="62">
        <f t="shared" si="10"/>
        <v>0</v>
      </c>
      <c r="AK31" s="73"/>
      <c r="AL31" s="74"/>
      <c r="AM31" s="62">
        <f t="shared" si="11"/>
        <v>0</v>
      </c>
      <c r="AN31" s="73"/>
      <c r="AO31" s="74"/>
      <c r="AP31" s="72">
        <f t="shared" si="12"/>
        <v>0</v>
      </c>
      <c r="AQ31" s="7" t="e">
        <f t="shared" si="0"/>
        <v>#DIV/0!</v>
      </c>
    </row>
    <row r="32" spans="1:43" ht="18" customHeight="1" thickTop="1" x14ac:dyDescent="0.2">
      <c r="B32" s="13" t="s">
        <v>33</v>
      </c>
      <c r="C32" s="75">
        <f t="shared" ref="C32" si="15">SUM(C12:C31)</f>
        <v>1463</v>
      </c>
      <c r="D32" s="76">
        <f t="shared" ref="D32:AP32" si="16">SUM(D12:D31)</f>
        <v>530</v>
      </c>
      <c r="E32" s="77">
        <f t="shared" si="16"/>
        <v>2120</v>
      </c>
      <c r="F32" s="77">
        <f t="shared" si="16"/>
        <v>79</v>
      </c>
      <c r="G32" s="78">
        <f t="shared" si="16"/>
        <v>16</v>
      </c>
      <c r="H32" s="79">
        <f t="shared" si="16"/>
        <v>63</v>
      </c>
      <c r="I32" s="77">
        <f t="shared" ref="I32:N32" si="17">SUM(I12:I31)</f>
        <v>78</v>
      </c>
      <c r="J32" s="78">
        <f t="shared" si="17"/>
        <v>16</v>
      </c>
      <c r="K32" s="79">
        <f t="shared" si="17"/>
        <v>62</v>
      </c>
      <c r="L32" s="77">
        <f t="shared" si="17"/>
        <v>0</v>
      </c>
      <c r="M32" s="78">
        <f t="shared" si="17"/>
        <v>0</v>
      </c>
      <c r="N32" s="79">
        <f t="shared" si="17"/>
        <v>0</v>
      </c>
      <c r="O32" s="77">
        <f t="shared" ref="O32:T32" si="18">SUM(O12:O31)</f>
        <v>0</v>
      </c>
      <c r="P32" s="78">
        <f t="shared" si="18"/>
        <v>0</v>
      </c>
      <c r="Q32" s="79">
        <f t="shared" si="18"/>
        <v>0</v>
      </c>
      <c r="R32" s="77">
        <f t="shared" si="18"/>
        <v>0</v>
      </c>
      <c r="S32" s="78">
        <f t="shared" si="18"/>
        <v>0</v>
      </c>
      <c r="T32" s="79">
        <f t="shared" si="18"/>
        <v>0</v>
      </c>
      <c r="U32" s="77">
        <f t="shared" ref="U32:AI32" si="19">SUM(U12:U31)</f>
        <v>0</v>
      </c>
      <c r="V32" s="78">
        <f t="shared" si="19"/>
        <v>0</v>
      </c>
      <c r="W32" s="79">
        <f t="shared" si="19"/>
        <v>0</v>
      </c>
      <c r="X32" s="77">
        <f t="shared" si="19"/>
        <v>0</v>
      </c>
      <c r="Y32" s="78">
        <f t="shared" si="19"/>
        <v>0</v>
      </c>
      <c r="Z32" s="79">
        <f t="shared" si="19"/>
        <v>0</v>
      </c>
      <c r="AA32" s="77">
        <f t="shared" si="19"/>
        <v>0</v>
      </c>
      <c r="AB32" s="78">
        <f t="shared" si="19"/>
        <v>0</v>
      </c>
      <c r="AC32" s="79">
        <f t="shared" si="19"/>
        <v>0</v>
      </c>
      <c r="AD32" s="77">
        <f t="shared" si="19"/>
        <v>0</v>
      </c>
      <c r="AE32" s="78">
        <f t="shared" si="19"/>
        <v>0</v>
      </c>
      <c r="AF32" s="79">
        <f t="shared" si="19"/>
        <v>0</v>
      </c>
      <c r="AG32" s="77">
        <f t="shared" si="19"/>
        <v>0</v>
      </c>
      <c r="AH32" s="78">
        <f t="shared" si="19"/>
        <v>0</v>
      </c>
      <c r="AI32" s="79">
        <f t="shared" si="19"/>
        <v>0</v>
      </c>
      <c r="AJ32" s="77">
        <f t="shared" ref="AJ32:AO32" si="20">SUM(AJ12:AJ31)</f>
        <v>0</v>
      </c>
      <c r="AK32" s="78">
        <f t="shared" si="20"/>
        <v>0</v>
      </c>
      <c r="AL32" s="79">
        <f t="shared" si="20"/>
        <v>0</v>
      </c>
      <c r="AM32" s="77">
        <f t="shared" si="20"/>
        <v>0</v>
      </c>
      <c r="AN32" s="78">
        <f t="shared" si="20"/>
        <v>0</v>
      </c>
      <c r="AO32" s="79">
        <f t="shared" si="20"/>
        <v>0</v>
      </c>
      <c r="AP32" s="76">
        <f t="shared" si="16"/>
        <v>79</v>
      </c>
      <c r="AQ32" s="9">
        <f t="shared" si="0"/>
        <v>3.7264150943396225E-2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topLeftCell="A43" zoomScaleNormal="100" zoomScaleSheetLayoutView="100" workbookViewId="0">
      <selection activeCell="L53" sqref="L53"/>
    </sheetView>
  </sheetViews>
  <sheetFormatPr defaultColWidth="11.36328125" defaultRowHeight="18.75" customHeight="1" x14ac:dyDescent="0.2"/>
  <cols>
    <col min="1" max="1" width="2.90625" style="39" customWidth="1"/>
    <col min="2" max="2" width="16.6328125" style="1" customWidth="1"/>
    <col min="3" max="3" width="8.90625" style="1" customWidth="1"/>
    <col min="4" max="4" width="2.0898437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9" ht="18.75" customHeight="1" x14ac:dyDescent="0.2">
      <c r="A1" s="39" t="s">
        <v>65</v>
      </c>
      <c r="I1" s="34" t="s">
        <v>106</v>
      </c>
    </row>
    <row r="2" spans="1:9" ht="18.75" customHeight="1" x14ac:dyDescent="0.2">
      <c r="G2" s="34" t="s">
        <v>109</v>
      </c>
      <c r="H2" s="120" t="str">
        <f>'様式１　プログラムを構成する授業科目'!C2</f>
        <v>県立広島大学</v>
      </c>
      <c r="I2" s="122"/>
    </row>
    <row r="3" spans="1:9" ht="18.75" customHeight="1" x14ac:dyDescent="0.2">
      <c r="G3" s="34"/>
      <c r="H3" s="10"/>
      <c r="I3" s="10"/>
    </row>
    <row r="4" spans="1:9" ht="18.649999999999999" customHeight="1" x14ac:dyDescent="0.2">
      <c r="A4" s="134" t="s">
        <v>36</v>
      </c>
      <c r="B4" s="134"/>
      <c r="C4" s="134"/>
      <c r="D4" s="134"/>
      <c r="E4" s="134"/>
      <c r="F4" s="134"/>
      <c r="G4" s="134"/>
      <c r="H4" s="134"/>
      <c r="I4" s="134"/>
    </row>
    <row r="5" spans="1:9" ht="13.4" customHeight="1" x14ac:dyDescent="0.2">
      <c r="B5" s="3"/>
      <c r="C5" s="3"/>
      <c r="D5" s="3"/>
      <c r="E5" s="3"/>
      <c r="F5" s="3"/>
      <c r="G5" s="3"/>
      <c r="H5" s="3"/>
      <c r="I5" s="3"/>
    </row>
    <row r="6" spans="1:9" ht="18" customHeight="1" x14ac:dyDescent="0.2">
      <c r="A6" s="1" t="s">
        <v>0</v>
      </c>
      <c r="B6" s="10" t="s">
        <v>91</v>
      </c>
      <c r="C6" s="279" t="s">
        <v>92</v>
      </c>
      <c r="D6" s="279"/>
      <c r="E6" s="105">
        <v>221</v>
      </c>
      <c r="F6" s="106" t="s">
        <v>1</v>
      </c>
      <c r="G6" s="106" t="s">
        <v>2</v>
      </c>
      <c r="H6" s="107">
        <v>98</v>
      </c>
      <c r="I6" s="10" t="s">
        <v>1</v>
      </c>
    </row>
    <row r="7" spans="1:9" ht="12" customHeight="1" x14ac:dyDescent="0.2">
      <c r="C7" s="2"/>
      <c r="D7" s="2"/>
      <c r="E7" s="2"/>
      <c r="F7" s="2"/>
      <c r="G7" s="2"/>
      <c r="H7" s="2"/>
      <c r="I7" s="40"/>
    </row>
    <row r="8" spans="1:9" ht="18" customHeight="1" x14ac:dyDescent="0.2">
      <c r="A8" s="1" t="s">
        <v>3</v>
      </c>
      <c r="B8" s="10" t="s">
        <v>93</v>
      </c>
      <c r="E8" s="3"/>
      <c r="F8" s="3"/>
      <c r="G8" s="3"/>
      <c r="H8" s="33">
        <v>13</v>
      </c>
      <c r="I8" s="10" t="s">
        <v>1</v>
      </c>
    </row>
    <row r="9" spans="1:9" ht="9" customHeight="1" x14ac:dyDescent="0.2">
      <c r="B9" s="3"/>
      <c r="C9" s="3"/>
      <c r="D9" s="3"/>
      <c r="E9" s="3"/>
      <c r="F9" s="3"/>
      <c r="G9" s="3"/>
      <c r="H9" s="3"/>
      <c r="I9" s="3"/>
    </row>
    <row r="10" spans="1:9" ht="18" customHeight="1" x14ac:dyDescent="0.2">
      <c r="A10" s="1" t="s">
        <v>4</v>
      </c>
      <c r="B10" s="10" t="s">
        <v>94</v>
      </c>
      <c r="C10" s="3"/>
      <c r="D10" s="3"/>
      <c r="E10" s="3"/>
      <c r="F10" s="3"/>
      <c r="G10" s="3"/>
      <c r="H10" s="3"/>
      <c r="I10" s="3"/>
    </row>
    <row r="11" spans="1:9" ht="18" customHeight="1" x14ac:dyDescent="0.2">
      <c r="B11" s="34" t="s">
        <v>43</v>
      </c>
      <c r="C11" s="274" t="s">
        <v>166</v>
      </c>
      <c r="D11" s="277"/>
      <c r="E11" s="278"/>
      <c r="F11" s="40"/>
      <c r="G11" s="34" t="s">
        <v>10</v>
      </c>
      <c r="H11" s="274" t="s">
        <v>168</v>
      </c>
      <c r="I11" s="278"/>
    </row>
    <row r="12" spans="1:9" ht="10.4" customHeight="1" x14ac:dyDescent="0.2">
      <c r="B12" s="34"/>
      <c r="C12" s="10"/>
      <c r="D12" s="40"/>
      <c r="E12" s="40"/>
      <c r="F12" s="40"/>
      <c r="G12" s="34"/>
      <c r="H12" s="10"/>
      <c r="I12" s="40"/>
    </row>
    <row r="13" spans="1:9" ht="18" customHeight="1" x14ac:dyDescent="0.2">
      <c r="A13" s="1" t="s">
        <v>7</v>
      </c>
      <c r="B13" s="10" t="s">
        <v>88</v>
      </c>
      <c r="C13" s="3"/>
      <c r="D13" s="3"/>
      <c r="E13" s="3"/>
      <c r="F13" s="3"/>
      <c r="G13" s="3"/>
      <c r="H13" s="3"/>
      <c r="I13" s="3"/>
    </row>
    <row r="14" spans="1:9" ht="18" customHeight="1" x14ac:dyDescent="0.2">
      <c r="B14" s="274" t="s">
        <v>165</v>
      </c>
      <c r="C14" s="275"/>
      <c r="D14" s="275"/>
      <c r="E14" s="275"/>
      <c r="F14" s="275"/>
      <c r="G14" s="275"/>
      <c r="H14" s="275"/>
      <c r="I14" s="276"/>
    </row>
    <row r="15" spans="1:9" ht="9" customHeight="1" x14ac:dyDescent="0.2">
      <c r="B15" s="3"/>
      <c r="C15" s="3"/>
      <c r="D15" s="3"/>
      <c r="E15" s="3"/>
      <c r="F15" s="3"/>
      <c r="G15" s="3"/>
      <c r="H15" s="3"/>
      <c r="I15" s="3"/>
    </row>
    <row r="16" spans="1:9" ht="18" customHeight="1" x14ac:dyDescent="0.2">
      <c r="B16" s="34" t="s">
        <v>43</v>
      </c>
      <c r="C16" s="274" t="s">
        <v>166</v>
      </c>
      <c r="D16" s="277"/>
      <c r="E16" s="278"/>
      <c r="F16" s="40"/>
      <c r="G16" s="34" t="s">
        <v>10</v>
      </c>
      <c r="H16" s="274" t="s">
        <v>168</v>
      </c>
      <c r="I16" s="278"/>
    </row>
    <row r="17" spans="1:9" ht="18" customHeight="1" x14ac:dyDescent="0.2">
      <c r="B17" s="3"/>
      <c r="C17" s="3"/>
      <c r="D17" s="3"/>
      <c r="E17" s="3"/>
      <c r="F17" s="3"/>
      <c r="G17" s="3"/>
      <c r="H17" s="3"/>
      <c r="I17" s="3"/>
    </row>
    <row r="18" spans="1:9" ht="18.75" customHeight="1" x14ac:dyDescent="0.2">
      <c r="A18" s="1" t="s">
        <v>5</v>
      </c>
      <c r="B18" s="1" t="s">
        <v>42</v>
      </c>
      <c r="I18" s="3"/>
    </row>
    <row r="19" spans="1:9" ht="18.75" customHeight="1" x14ac:dyDescent="0.2">
      <c r="A19" s="1"/>
      <c r="B19" s="249" t="s">
        <v>170</v>
      </c>
      <c r="C19" s="250"/>
      <c r="D19" s="250"/>
      <c r="E19" s="250"/>
      <c r="F19" s="250"/>
      <c r="G19" s="250"/>
      <c r="H19" s="250"/>
      <c r="I19" s="251"/>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252" t="s">
        <v>182</v>
      </c>
      <c r="C22" s="253"/>
      <c r="D22" s="253"/>
      <c r="E22" s="253"/>
      <c r="F22" s="253"/>
      <c r="G22" s="253"/>
      <c r="H22" s="253"/>
      <c r="I22" s="254"/>
    </row>
    <row r="23" spans="1:9" ht="18.75" customHeight="1" x14ac:dyDescent="0.2">
      <c r="A23" s="14"/>
      <c r="B23" s="255"/>
      <c r="C23" s="256"/>
      <c r="D23" s="256"/>
      <c r="E23" s="256"/>
      <c r="F23" s="256"/>
      <c r="G23" s="256"/>
      <c r="H23" s="256"/>
      <c r="I23" s="257"/>
    </row>
    <row r="24" spans="1:9" ht="18.75" customHeight="1" x14ac:dyDescent="0.2">
      <c r="A24" s="14"/>
      <c r="B24" s="255"/>
      <c r="C24" s="256"/>
      <c r="D24" s="256"/>
      <c r="E24" s="256"/>
      <c r="F24" s="256"/>
      <c r="G24" s="256"/>
      <c r="H24" s="256"/>
      <c r="I24" s="257"/>
    </row>
    <row r="25" spans="1:9" ht="18.75" customHeight="1" x14ac:dyDescent="0.2">
      <c r="A25" s="14"/>
      <c r="B25" s="255"/>
      <c r="C25" s="256"/>
      <c r="D25" s="256"/>
      <c r="E25" s="256"/>
      <c r="F25" s="256"/>
      <c r="G25" s="256"/>
      <c r="H25" s="256"/>
      <c r="I25" s="257"/>
    </row>
    <row r="26" spans="1:9" ht="18.75" customHeight="1" x14ac:dyDescent="0.2">
      <c r="A26" s="14"/>
      <c r="B26" s="255"/>
      <c r="C26" s="256"/>
      <c r="D26" s="256"/>
      <c r="E26" s="256"/>
      <c r="F26" s="256"/>
      <c r="G26" s="256"/>
      <c r="H26" s="256"/>
      <c r="I26" s="257"/>
    </row>
    <row r="27" spans="1:9" ht="18.75" customHeight="1" x14ac:dyDescent="0.2">
      <c r="A27" s="14"/>
      <c r="B27" s="255"/>
      <c r="C27" s="256"/>
      <c r="D27" s="256"/>
      <c r="E27" s="256"/>
      <c r="F27" s="256"/>
      <c r="G27" s="256"/>
      <c r="H27" s="256"/>
      <c r="I27" s="257"/>
    </row>
    <row r="28" spans="1:9" ht="11.5" customHeight="1" x14ac:dyDescent="0.2">
      <c r="A28" s="14"/>
      <c r="B28" s="255"/>
      <c r="C28" s="256"/>
      <c r="D28" s="256"/>
      <c r="E28" s="256"/>
      <c r="F28" s="256"/>
      <c r="G28" s="256"/>
      <c r="H28" s="256"/>
      <c r="I28" s="257"/>
    </row>
    <row r="29" spans="1:9" ht="11.5" customHeight="1" x14ac:dyDescent="0.2">
      <c r="A29" s="14"/>
      <c r="B29" s="255"/>
      <c r="C29" s="256"/>
      <c r="D29" s="256"/>
      <c r="E29" s="256"/>
      <c r="F29" s="256"/>
      <c r="G29" s="256"/>
      <c r="H29" s="256"/>
      <c r="I29" s="257"/>
    </row>
    <row r="30" spans="1:9" ht="11.5" customHeight="1" x14ac:dyDescent="0.2">
      <c r="A30" s="14"/>
      <c r="B30" s="258"/>
      <c r="C30" s="259"/>
      <c r="D30" s="259"/>
      <c r="E30" s="259"/>
      <c r="F30" s="259"/>
      <c r="G30" s="259"/>
      <c r="H30" s="259"/>
      <c r="I30" s="257"/>
    </row>
    <row r="31" spans="1:9" ht="11.5" customHeight="1" x14ac:dyDescent="0.2">
      <c r="A31" s="14"/>
      <c r="B31" s="258"/>
      <c r="C31" s="259"/>
      <c r="D31" s="259"/>
      <c r="E31" s="259"/>
      <c r="F31" s="259"/>
      <c r="G31" s="259"/>
      <c r="H31" s="259"/>
      <c r="I31" s="257"/>
    </row>
    <row r="32" spans="1:9" ht="11.5" customHeight="1" x14ac:dyDescent="0.2">
      <c r="A32" s="14"/>
      <c r="B32" s="260"/>
      <c r="C32" s="261"/>
      <c r="D32" s="261"/>
      <c r="E32" s="261"/>
      <c r="F32" s="261"/>
      <c r="G32" s="261"/>
      <c r="H32" s="261"/>
      <c r="I32" s="262"/>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252" t="s">
        <v>169</v>
      </c>
      <c r="C35" s="263"/>
      <c r="D35" s="263"/>
      <c r="E35" s="263"/>
      <c r="F35" s="263"/>
      <c r="G35" s="263"/>
      <c r="H35" s="263"/>
      <c r="I35" s="264"/>
    </row>
    <row r="36" spans="1:9" ht="18.75" customHeight="1" x14ac:dyDescent="0.2">
      <c r="A36" s="14"/>
      <c r="B36" s="265"/>
      <c r="C36" s="266"/>
      <c r="D36" s="266"/>
      <c r="E36" s="266"/>
      <c r="F36" s="266"/>
      <c r="G36" s="266"/>
      <c r="H36" s="266"/>
      <c r="I36" s="267"/>
    </row>
    <row r="37" spans="1:9" ht="18.75" customHeight="1" x14ac:dyDescent="0.2">
      <c r="A37" s="14"/>
      <c r="B37" s="265"/>
      <c r="C37" s="266"/>
      <c r="D37" s="266"/>
      <c r="E37" s="266"/>
      <c r="F37" s="266"/>
      <c r="G37" s="266"/>
      <c r="H37" s="266"/>
      <c r="I37" s="267"/>
    </row>
    <row r="38" spans="1:9" ht="18.75" customHeight="1" x14ac:dyDescent="0.2">
      <c r="A38" s="14"/>
      <c r="B38" s="265"/>
      <c r="C38" s="266"/>
      <c r="D38" s="266"/>
      <c r="E38" s="266"/>
      <c r="F38" s="266"/>
      <c r="G38" s="266"/>
      <c r="H38" s="266"/>
      <c r="I38" s="267"/>
    </row>
    <row r="39" spans="1:9" ht="18.75" customHeight="1" x14ac:dyDescent="0.2">
      <c r="A39" s="14"/>
      <c r="B39" s="265"/>
      <c r="C39" s="266"/>
      <c r="D39" s="266"/>
      <c r="E39" s="266"/>
      <c r="F39" s="266"/>
      <c r="G39" s="266"/>
      <c r="H39" s="266"/>
      <c r="I39" s="267"/>
    </row>
    <row r="40" spans="1:9" ht="18.75" customHeight="1" x14ac:dyDescent="0.2">
      <c r="A40" s="14"/>
      <c r="B40" s="265"/>
      <c r="C40" s="266"/>
      <c r="D40" s="266"/>
      <c r="E40" s="266"/>
      <c r="F40" s="266"/>
      <c r="G40" s="266"/>
      <c r="H40" s="266"/>
      <c r="I40" s="267"/>
    </row>
    <row r="41" spans="1:9" ht="18.75" customHeight="1" x14ac:dyDescent="0.2">
      <c r="A41" s="14"/>
      <c r="B41" s="265"/>
      <c r="C41" s="266"/>
      <c r="D41" s="266"/>
      <c r="E41" s="266"/>
      <c r="F41" s="266"/>
      <c r="G41" s="266"/>
      <c r="H41" s="266"/>
      <c r="I41" s="267"/>
    </row>
    <row r="42" spans="1:9" ht="18.75" customHeight="1" x14ac:dyDescent="0.2">
      <c r="A42" s="14"/>
      <c r="B42" s="265"/>
      <c r="C42" s="266"/>
      <c r="D42" s="266"/>
      <c r="E42" s="266"/>
      <c r="F42" s="266"/>
      <c r="G42" s="266"/>
      <c r="H42" s="266"/>
      <c r="I42" s="267"/>
    </row>
    <row r="43" spans="1:9" ht="6" customHeight="1" x14ac:dyDescent="0.2">
      <c r="A43" s="14"/>
      <c r="B43" s="265"/>
      <c r="C43" s="266"/>
      <c r="D43" s="266"/>
      <c r="E43" s="266"/>
      <c r="F43" s="266"/>
      <c r="G43" s="266"/>
      <c r="H43" s="266"/>
      <c r="I43" s="267"/>
    </row>
    <row r="44" spans="1:9" ht="6" customHeight="1" x14ac:dyDescent="0.2">
      <c r="A44" s="14"/>
      <c r="B44" s="265"/>
      <c r="C44" s="266"/>
      <c r="D44" s="266"/>
      <c r="E44" s="266"/>
      <c r="F44" s="266"/>
      <c r="G44" s="266"/>
      <c r="H44" s="266"/>
      <c r="I44" s="267"/>
    </row>
    <row r="45" spans="1:9" ht="6" customHeight="1" x14ac:dyDescent="0.2">
      <c r="A45" s="14"/>
      <c r="B45" s="265"/>
      <c r="C45" s="266"/>
      <c r="D45" s="266"/>
      <c r="E45" s="266"/>
      <c r="F45" s="266"/>
      <c r="G45" s="266"/>
      <c r="H45" s="266"/>
      <c r="I45" s="267"/>
    </row>
    <row r="46" spans="1:9" ht="6" customHeight="1" x14ac:dyDescent="0.2">
      <c r="A46" s="14"/>
      <c r="B46" s="268"/>
      <c r="C46" s="269"/>
      <c r="D46" s="269"/>
      <c r="E46" s="269"/>
      <c r="F46" s="269"/>
      <c r="G46" s="269"/>
      <c r="H46" s="269"/>
      <c r="I46" s="270"/>
    </row>
    <row r="47" spans="1:9" ht="7.5" customHeight="1" x14ac:dyDescent="0.2">
      <c r="A47" s="4"/>
      <c r="B47" s="4"/>
      <c r="C47" s="4"/>
      <c r="D47" s="4"/>
      <c r="E47" s="4"/>
      <c r="F47" s="4"/>
      <c r="G47" s="4"/>
      <c r="H47" s="4"/>
      <c r="I47" s="4"/>
    </row>
    <row r="48" spans="1:9" ht="18.75" customHeight="1" x14ac:dyDescent="0.2">
      <c r="A48" s="1" t="s">
        <v>31</v>
      </c>
      <c r="B48" s="1" t="s">
        <v>123</v>
      </c>
    </row>
    <row r="49" spans="1:15" s="3" customFormat="1" ht="18.75" customHeight="1" x14ac:dyDescent="0.2">
      <c r="B49" s="41" t="s">
        <v>89</v>
      </c>
      <c r="C49" s="228">
        <f>'様式２ 履修者等数の実績'!AQ32</f>
        <v>3.7264150943396225E-2</v>
      </c>
      <c r="D49" s="228"/>
      <c r="E49" s="41" t="s">
        <v>66</v>
      </c>
      <c r="F49" s="228">
        <v>0.08</v>
      </c>
      <c r="G49" s="228"/>
      <c r="H49" s="41" t="s">
        <v>67</v>
      </c>
      <c r="I49" s="42">
        <v>0.12</v>
      </c>
      <c r="J49" s="1"/>
      <c r="M49" s="1"/>
      <c r="N49" s="43"/>
    </row>
    <row r="50" spans="1:15" s="3" customFormat="1" ht="18.75" customHeight="1" x14ac:dyDescent="0.2">
      <c r="B50" s="44" t="s">
        <v>68</v>
      </c>
      <c r="C50" s="229">
        <v>0.16</v>
      </c>
      <c r="D50" s="229"/>
      <c r="E50" s="44" t="s">
        <v>90</v>
      </c>
      <c r="F50" s="229">
        <v>0.2</v>
      </c>
      <c r="G50" s="229"/>
      <c r="H50" s="44" t="s">
        <v>69</v>
      </c>
      <c r="I50" s="45">
        <f>'様式２ 履修者等数の実績'!E32</f>
        <v>2120</v>
      </c>
      <c r="J50" s="1"/>
      <c r="M50" s="1"/>
      <c r="N50" s="43"/>
    </row>
    <row r="51" spans="1:15" ht="18.75" customHeight="1" x14ac:dyDescent="0.2">
      <c r="A51" s="1"/>
      <c r="B51" s="271" t="s">
        <v>70</v>
      </c>
      <c r="C51" s="272"/>
      <c r="D51" s="272"/>
      <c r="E51" s="272"/>
      <c r="F51" s="272"/>
      <c r="G51" s="272"/>
      <c r="H51" s="272"/>
      <c r="I51" s="273"/>
      <c r="N51" s="43"/>
      <c r="O51" s="3"/>
    </row>
    <row r="52" spans="1:15" ht="18.75" customHeight="1" x14ac:dyDescent="0.2">
      <c r="A52" s="1"/>
      <c r="B52" s="230" t="s">
        <v>179</v>
      </c>
      <c r="C52" s="231"/>
      <c r="D52" s="231"/>
      <c r="E52" s="231"/>
      <c r="F52" s="231"/>
      <c r="G52" s="231"/>
      <c r="H52" s="231"/>
      <c r="I52" s="232"/>
      <c r="N52" s="43"/>
      <c r="O52" s="3"/>
    </row>
    <row r="53" spans="1:15" ht="18.75" customHeight="1" x14ac:dyDescent="0.2">
      <c r="A53" s="1"/>
      <c r="B53" s="233"/>
      <c r="C53" s="234"/>
      <c r="D53" s="234"/>
      <c r="E53" s="234"/>
      <c r="F53" s="234"/>
      <c r="G53" s="234"/>
      <c r="H53" s="234"/>
      <c r="I53" s="235"/>
      <c r="N53" s="43"/>
      <c r="O53" s="3"/>
    </row>
    <row r="54" spans="1:15" ht="18.75" customHeight="1" x14ac:dyDescent="0.2">
      <c r="A54" s="1"/>
      <c r="B54" s="233"/>
      <c r="C54" s="234"/>
      <c r="D54" s="234"/>
      <c r="E54" s="234"/>
      <c r="F54" s="234"/>
      <c r="G54" s="234"/>
      <c r="H54" s="234"/>
      <c r="I54" s="235"/>
    </row>
    <row r="55" spans="1:15" ht="18.75" customHeight="1" x14ac:dyDescent="0.2">
      <c r="A55" s="1"/>
      <c r="B55" s="233"/>
      <c r="C55" s="234"/>
      <c r="D55" s="234"/>
      <c r="E55" s="234"/>
      <c r="F55" s="234"/>
      <c r="G55" s="234"/>
      <c r="H55" s="234"/>
      <c r="I55" s="235"/>
    </row>
    <row r="56" spans="1:15" ht="18.75" customHeight="1" x14ac:dyDescent="0.2">
      <c r="A56" s="1"/>
      <c r="B56" s="233"/>
      <c r="C56" s="234"/>
      <c r="D56" s="234"/>
      <c r="E56" s="234"/>
      <c r="F56" s="234"/>
      <c r="G56" s="234"/>
      <c r="H56" s="234"/>
      <c r="I56" s="235"/>
    </row>
    <row r="57" spans="1:15" ht="18.75" customHeight="1" x14ac:dyDescent="0.2">
      <c r="A57" s="1"/>
      <c r="B57" s="233"/>
      <c r="C57" s="234"/>
      <c r="D57" s="234"/>
      <c r="E57" s="234"/>
      <c r="F57" s="234"/>
      <c r="G57" s="234"/>
      <c r="H57" s="234"/>
      <c r="I57" s="235"/>
    </row>
    <row r="58" spans="1:15" ht="7" customHeight="1" x14ac:dyDescent="0.2">
      <c r="A58" s="1"/>
      <c r="B58" s="233"/>
      <c r="C58" s="234"/>
      <c r="D58" s="234"/>
      <c r="E58" s="234"/>
      <c r="F58" s="234"/>
      <c r="G58" s="234"/>
      <c r="H58" s="234"/>
      <c r="I58" s="235"/>
    </row>
    <row r="59" spans="1:15" ht="7" customHeight="1" x14ac:dyDescent="0.2">
      <c r="A59" s="1"/>
      <c r="B59" s="233"/>
      <c r="C59" s="234"/>
      <c r="D59" s="234"/>
      <c r="E59" s="234"/>
      <c r="F59" s="234"/>
      <c r="G59" s="234"/>
      <c r="H59" s="234"/>
      <c r="I59" s="235"/>
    </row>
    <row r="60" spans="1:15" ht="7" customHeight="1" x14ac:dyDescent="0.2">
      <c r="A60" s="1"/>
      <c r="B60" s="233"/>
      <c r="C60" s="234"/>
      <c r="D60" s="234"/>
      <c r="E60" s="234"/>
      <c r="F60" s="234"/>
      <c r="G60" s="234"/>
      <c r="H60" s="234"/>
      <c r="I60" s="235"/>
    </row>
    <row r="61" spans="1:15" ht="7" customHeight="1" x14ac:dyDescent="0.2">
      <c r="A61" s="1"/>
      <c r="B61" s="233"/>
      <c r="C61" s="234"/>
      <c r="D61" s="234"/>
      <c r="E61" s="234"/>
      <c r="F61" s="234"/>
      <c r="G61" s="234"/>
      <c r="H61" s="234"/>
      <c r="I61" s="235"/>
    </row>
    <row r="62" spans="1:15" ht="7" customHeight="1" x14ac:dyDescent="0.2">
      <c r="A62" s="1"/>
      <c r="B62" s="233"/>
      <c r="C62" s="234"/>
      <c r="D62" s="234"/>
      <c r="E62" s="234"/>
      <c r="F62" s="234"/>
      <c r="G62" s="234"/>
      <c r="H62" s="234"/>
      <c r="I62" s="235"/>
    </row>
    <row r="63" spans="1:15" ht="7" customHeight="1" x14ac:dyDescent="0.2">
      <c r="A63" s="1"/>
      <c r="B63" s="236"/>
      <c r="C63" s="237"/>
      <c r="D63" s="237"/>
      <c r="E63" s="237"/>
      <c r="F63" s="237"/>
      <c r="G63" s="237"/>
      <c r="H63" s="237"/>
      <c r="I63" s="238"/>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210" t="s">
        <v>177</v>
      </c>
      <c r="C66" s="211"/>
      <c r="D66" s="211"/>
      <c r="E66" s="211"/>
      <c r="F66" s="211"/>
      <c r="G66" s="211"/>
      <c r="H66" s="211"/>
      <c r="I66" s="212"/>
    </row>
    <row r="67" spans="1:9" ht="18.75" customHeight="1" x14ac:dyDescent="0.2">
      <c r="A67" s="4"/>
      <c r="B67" s="213"/>
      <c r="C67" s="214"/>
      <c r="D67" s="214"/>
      <c r="E67" s="214"/>
      <c r="F67" s="214"/>
      <c r="G67" s="214"/>
      <c r="H67" s="214"/>
      <c r="I67" s="215"/>
    </row>
    <row r="68" spans="1:9" ht="7.5" customHeight="1" x14ac:dyDescent="0.2">
      <c r="A68" s="4"/>
      <c r="B68" s="213"/>
      <c r="C68" s="214"/>
      <c r="D68" s="214"/>
      <c r="E68" s="214"/>
      <c r="F68" s="214"/>
      <c r="G68" s="214"/>
      <c r="H68" s="214"/>
      <c r="I68" s="215"/>
    </row>
    <row r="69" spans="1:9" ht="7.5" customHeight="1" x14ac:dyDescent="0.2">
      <c r="A69" s="4"/>
      <c r="B69" s="213"/>
      <c r="C69" s="214"/>
      <c r="D69" s="214"/>
      <c r="E69" s="214"/>
      <c r="F69" s="214"/>
      <c r="G69" s="214"/>
      <c r="H69" s="214"/>
      <c r="I69" s="215"/>
    </row>
    <row r="70" spans="1:9" ht="7.5" customHeight="1" x14ac:dyDescent="0.2">
      <c r="A70" s="4"/>
      <c r="B70" s="213"/>
      <c r="C70" s="214"/>
      <c r="D70" s="214"/>
      <c r="E70" s="214"/>
      <c r="F70" s="214"/>
      <c r="G70" s="214"/>
      <c r="H70" s="214"/>
      <c r="I70" s="215"/>
    </row>
    <row r="71" spans="1:9" ht="7.5" customHeight="1" x14ac:dyDescent="0.2">
      <c r="A71" s="4"/>
      <c r="B71" s="213"/>
      <c r="C71" s="214"/>
      <c r="D71" s="214"/>
      <c r="E71" s="214"/>
      <c r="F71" s="214"/>
      <c r="G71" s="214"/>
      <c r="H71" s="214"/>
      <c r="I71" s="215"/>
    </row>
    <row r="72" spans="1:9" ht="7.5" customHeight="1" x14ac:dyDescent="0.2">
      <c r="A72" s="4"/>
      <c r="B72" s="213"/>
      <c r="C72" s="214"/>
      <c r="D72" s="214"/>
      <c r="E72" s="214"/>
      <c r="F72" s="214"/>
      <c r="G72" s="214"/>
      <c r="H72" s="214"/>
      <c r="I72" s="215"/>
    </row>
    <row r="73" spans="1:9" ht="7.5" customHeight="1" x14ac:dyDescent="0.2">
      <c r="A73" s="4"/>
      <c r="B73" s="213"/>
      <c r="C73" s="214"/>
      <c r="D73" s="214"/>
      <c r="E73" s="214"/>
      <c r="F73" s="214"/>
      <c r="G73" s="214"/>
      <c r="H73" s="214"/>
      <c r="I73" s="215"/>
    </row>
    <row r="74" spans="1:9" ht="7.5" customHeight="1" x14ac:dyDescent="0.2">
      <c r="A74" s="4"/>
      <c r="B74" s="213"/>
      <c r="C74" s="214"/>
      <c r="D74" s="214"/>
      <c r="E74" s="214"/>
      <c r="F74" s="214"/>
      <c r="G74" s="214"/>
      <c r="H74" s="214"/>
      <c r="I74" s="215"/>
    </row>
    <row r="75" spans="1:9" ht="7.5" customHeight="1" x14ac:dyDescent="0.2">
      <c r="A75" s="4"/>
      <c r="B75" s="213"/>
      <c r="C75" s="214"/>
      <c r="D75" s="214"/>
      <c r="E75" s="214"/>
      <c r="F75" s="214"/>
      <c r="G75" s="214"/>
      <c r="H75" s="214"/>
      <c r="I75" s="215"/>
    </row>
    <row r="76" spans="1:9" ht="7.5" customHeight="1" x14ac:dyDescent="0.2">
      <c r="A76" s="4"/>
      <c r="B76" s="213"/>
      <c r="C76" s="214"/>
      <c r="D76" s="214"/>
      <c r="E76" s="214"/>
      <c r="F76" s="214"/>
      <c r="G76" s="214"/>
      <c r="H76" s="214"/>
      <c r="I76" s="215"/>
    </row>
    <row r="77" spans="1:9" ht="11.15" customHeight="1" x14ac:dyDescent="0.2">
      <c r="A77" s="4"/>
      <c r="B77" s="216"/>
      <c r="C77" s="217"/>
      <c r="D77" s="217"/>
      <c r="E77" s="217"/>
      <c r="F77" s="217"/>
      <c r="G77" s="217"/>
      <c r="H77" s="217"/>
      <c r="I77" s="218"/>
    </row>
    <row r="78" spans="1:9" ht="7.5" customHeight="1" x14ac:dyDescent="0.2">
      <c r="A78" s="4"/>
      <c r="B78" s="4"/>
      <c r="C78" s="4"/>
      <c r="D78" s="4"/>
      <c r="E78" s="4"/>
      <c r="F78" s="4"/>
      <c r="G78" s="4"/>
      <c r="H78" s="4"/>
      <c r="I78" s="4"/>
    </row>
    <row r="79" spans="1:9" ht="18.75" customHeight="1" x14ac:dyDescent="0.2">
      <c r="A79" s="1" t="s">
        <v>11</v>
      </c>
      <c r="B79" s="1" t="s">
        <v>41</v>
      </c>
    </row>
    <row r="80" spans="1:9" ht="18.75" customHeight="1" x14ac:dyDescent="0.2">
      <c r="A80" s="1"/>
      <c r="B80" s="219" t="s">
        <v>180</v>
      </c>
      <c r="C80" s="220"/>
      <c r="D80" s="220"/>
      <c r="E80" s="220"/>
      <c r="F80" s="220"/>
      <c r="G80" s="220"/>
      <c r="H80" s="220"/>
      <c r="I80" s="221"/>
    </row>
    <row r="81" spans="1:9" ht="18.75" customHeight="1" x14ac:dyDescent="0.2">
      <c r="A81" s="1"/>
      <c r="B81" s="222"/>
      <c r="C81" s="223"/>
      <c r="D81" s="223"/>
      <c r="E81" s="223"/>
      <c r="F81" s="223"/>
      <c r="G81" s="223"/>
      <c r="H81" s="223"/>
      <c r="I81" s="224"/>
    </row>
    <row r="82" spans="1:9" ht="18.75" customHeight="1" x14ac:dyDescent="0.2">
      <c r="A82" s="1"/>
      <c r="B82" s="222"/>
      <c r="C82" s="223"/>
      <c r="D82" s="223"/>
      <c r="E82" s="223"/>
      <c r="F82" s="223"/>
      <c r="G82" s="223"/>
      <c r="H82" s="223"/>
      <c r="I82" s="224"/>
    </row>
    <row r="83" spans="1:9" ht="18.75" customHeight="1" x14ac:dyDescent="0.2">
      <c r="A83" s="1"/>
      <c r="B83" s="222"/>
      <c r="C83" s="223"/>
      <c r="D83" s="223"/>
      <c r="E83" s="223"/>
      <c r="F83" s="223"/>
      <c r="G83" s="223"/>
      <c r="H83" s="223"/>
      <c r="I83" s="224"/>
    </row>
    <row r="84" spans="1:9" ht="9" customHeight="1" x14ac:dyDescent="0.2">
      <c r="A84" s="1"/>
      <c r="B84" s="222"/>
      <c r="C84" s="223"/>
      <c r="D84" s="223"/>
      <c r="E84" s="223"/>
      <c r="F84" s="223"/>
      <c r="G84" s="223"/>
      <c r="H84" s="223"/>
      <c r="I84" s="224"/>
    </row>
    <row r="85" spans="1:9" ht="9" customHeight="1" x14ac:dyDescent="0.2">
      <c r="A85" s="1"/>
      <c r="B85" s="222"/>
      <c r="C85" s="223"/>
      <c r="D85" s="223"/>
      <c r="E85" s="223"/>
      <c r="F85" s="223"/>
      <c r="G85" s="223"/>
      <c r="H85" s="223"/>
      <c r="I85" s="224"/>
    </row>
    <row r="86" spans="1:9" ht="9" customHeight="1" x14ac:dyDescent="0.2">
      <c r="A86" s="1"/>
      <c r="B86" s="222"/>
      <c r="C86" s="223"/>
      <c r="D86" s="223"/>
      <c r="E86" s="223"/>
      <c r="F86" s="223"/>
      <c r="G86" s="223"/>
      <c r="H86" s="223"/>
      <c r="I86" s="224"/>
    </row>
    <row r="87" spans="1:9" ht="9" customHeight="1" x14ac:dyDescent="0.2">
      <c r="A87" s="1"/>
      <c r="B87" s="222"/>
      <c r="C87" s="223"/>
      <c r="D87" s="223"/>
      <c r="E87" s="223"/>
      <c r="F87" s="223"/>
      <c r="G87" s="223"/>
      <c r="H87" s="223"/>
      <c r="I87" s="224"/>
    </row>
    <row r="88" spans="1:9" ht="9" customHeight="1" x14ac:dyDescent="0.2">
      <c r="A88" s="1"/>
      <c r="B88" s="222"/>
      <c r="C88" s="223"/>
      <c r="D88" s="223"/>
      <c r="E88" s="223"/>
      <c r="F88" s="223"/>
      <c r="G88" s="223"/>
      <c r="H88" s="223"/>
      <c r="I88" s="224"/>
    </row>
    <row r="89" spans="1:9" ht="9" customHeight="1" x14ac:dyDescent="0.2">
      <c r="A89" s="1"/>
      <c r="B89" s="222"/>
      <c r="C89" s="223"/>
      <c r="D89" s="223"/>
      <c r="E89" s="223"/>
      <c r="F89" s="223"/>
      <c r="G89" s="223"/>
      <c r="H89" s="223"/>
      <c r="I89" s="224"/>
    </row>
    <row r="90" spans="1:9" ht="9" customHeight="1" x14ac:dyDescent="0.2">
      <c r="A90" s="4"/>
      <c r="B90" s="222"/>
      <c r="C90" s="223"/>
      <c r="D90" s="223"/>
      <c r="E90" s="223"/>
      <c r="F90" s="223"/>
      <c r="G90" s="223"/>
      <c r="H90" s="223"/>
      <c r="I90" s="224"/>
    </row>
    <row r="91" spans="1:9" ht="9" customHeight="1" x14ac:dyDescent="0.2">
      <c r="A91" s="4"/>
      <c r="B91" s="225"/>
      <c r="C91" s="226"/>
      <c r="D91" s="226"/>
      <c r="E91" s="226"/>
      <c r="F91" s="226"/>
      <c r="G91" s="226"/>
      <c r="H91" s="226"/>
      <c r="I91" s="227"/>
    </row>
    <row r="92" spans="1:9" ht="7.5" customHeight="1" x14ac:dyDescent="0.2">
      <c r="A92" s="4"/>
      <c r="B92" s="4"/>
      <c r="C92" s="4"/>
      <c r="D92" s="4"/>
      <c r="E92" s="4"/>
      <c r="F92" s="4"/>
      <c r="G92" s="4"/>
      <c r="H92" s="4"/>
      <c r="I92" s="4"/>
    </row>
    <row r="93" spans="1:9" ht="18.75" customHeight="1" x14ac:dyDescent="0.2">
      <c r="A93" s="1" t="s">
        <v>44</v>
      </c>
      <c r="B93" s="1" t="s">
        <v>13</v>
      </c>
    </row>
    <row r="94" spans="1:9" ht="18.75" customHeight="1" x14ac:dyDescent="0.2">
      <c r="A94" s="1"/>
      <c r="B94" s="239" t="s">
        <v>164</v>
      </c>
      <c r="C94" s="240"/>
      <c r="D94" s="240"/>
      <c r="E94" s="240"/>
      <c r="F94" s="240"/>
      <c r="G94" s="240"/>
      <c r="H94" s="240"/>
      <c r="I94" s="241"/>
    </row>
    <row r="95" spans="1:9" ht="18.75" customHeight="1" x14ac:dyDescent="0.2">
      <c r="A95" s="1"/>
      <c r="B95" s="242"/>
      <c r="C95" s="243"/>
      <c r="D95" s="243"/>
      <c r="E95" s="243"/>
      <c r="F95" s="243"/>
      <c r="G95" s="243"/>
      <c r="H95" s="243"/>
      <c r="I95" s="244"/>
    </row>
    <row r="96" spans="1:9" ht="18.75" customHeight="1" x14ac:dyDescent="0.2">
      <c r="A96" s="1"/>
      <c r="B96" s="242"/>
      <c r="C96" s="243"/>
      <c r="D96" s="243"/>
      <c r="E96" s="243"/>
      <c r="F96" s="243"/>
      <c r="G96" s="243"/>
      <c r="H96" s="243"/>
      <c r="I96" s="244"/>
    </row>
    <row r="97" spans="1:9" ht="18.75" customHeight="1" x14ac:dyDescent="0.2">
      <c r="A97" s="1"/>
      <c r="B97" s="242"/>
      <c r="C97" s="243"/>
      <c r="D97" s="243"/>
      <c r="E97" s="243"/>
      <c r="F97" s="243"/>
      <c r="G97" s="243"/>
      <c r="H97" s="243"/>
      <c r="I97" s="244"/>
    </row>
    <row r="98" spans="1:9" ht="11" customHeight="1" x14ac:dyDescent="0.2">
      <c r="A98" s="1"/>
      <c r="B98" s="242"/>
      <c r="C98" s="243"/>
      <c r="D98" s="243"/>
      <c r="E98" s="243"/>
      <c r="F98" s="243"/>
      <c r="G98" s="243"/>
      <c r="H98" s="243"/>
      <c r="I98" s="244"/>
    </row>
    <row r="99" spans="1:9" ht="11" customHeight="1" x14ac:dyDescent="0.2">
      <c r="A99" s="1"/>
      <c r="B99" s="242"/>
      <c r="C99" s="243"/>
      <c r="D99" s="243"/>
      <c r="E99" s="243"/>
      <c r="F99" s="243"/>
      <c r="G99" s="243"/>
      <c r="H99" s="243"/>
      <c r="I99" s="244"/>
    </row>
    <row r="100" spans="1:9" ht="11" customHeight="1" x14ac:dyDescent="0.2">
      <c r="A100" s="1"/>
      <c r="B100" s="242"/>
      <c r="C100" s="243"/>
      <c r="D100" s="243"/>
      <c r="E100" s="243"/>
      <c r="F100" s="243"/>
      <c r="G100" s="243"/>
      <c r="H100" s="243"/>
      <c r="I100" s="244"/>
    </row>
    <row r="101" spans="1:9" ht="11" customHeight="1" x14ac:dyDescent="0.2">
      <c r="A101" s="1"/>
      <c r="B101" s="242"/>
      <c r="C101" s="243"/>
      <c r="D101" s="243"/>
      <c r="E101" s="243"/>
      <c r="F101" s="243"/>
      <c r="G101" s="243"/>
      <c r="H101" s="243"/>
      <c r="I101" s="244"/>
    </row>
    <row r="102" spans="1:9" ht="11" customHeight="1" x14ac:dyDescent="0.2">
      <c r="A102" s="1"/>
      <c r="B102" s="242"/>
      <c r="C102" s="243"/>
      <c r="D102" s="243"/>
      <c r="E102" s="243"/>
      <c r="F102" s="243"/>
      <c r="G102" s="243"/>
      <c r="H102" s="243"/>
      <c r="I102" s="244"/>
    </row>
    <row r="103" spans="1:9" ht="11" customHeight="1" x14ac:dyDescent="0.2">
      <c r="A103" s="1"/>
      <c r="B103" s="242"/>
      <c r="C103" s="243"/>
      <c r="D103" s="243"/>
      <c r="E103" s="243"/>
      <c r="F103" s="243"/>
      <c r="G103" s="243"/>
      <c r="H103" s="243"/>
      <c r="I103" s="244"/>
    </row>
    <row r="104" spans="1:9" ht="11" customHeight="1" x14ac:dyDescent="0.2">
      <c r="A104" s="1"/>
      <c r="B104" s="242"/>
      <c r="C104" s="243"/>
      <c r="D104" s="243"/>
      <c r="E104" s="243"/>
      <c r="F104" s="243"/>
      <c r="G104" s="243"/>
      <c r="H104" s="243"/>
      <c r="I104" s="244"/>
    </row>
    <row r="105" spans="1:9" ht="11" customHeight="1" x14ac:dyDescent="0.2">
      <c r="A105" s="4"/>
      <c r="B105" s="245"/>
      <c r="C105" s="246"/>
      <c r="D105" s="246"/>
      <c r="E105" s="246"/>
      <c r="F105" s="246"/>
      <c r="G105" s="246"/>
      <c r="H105" s="246"/>
      <c r="I105" s="247"/>
    </row>
    <row r="106" spans="1:9" ht="7.5" customHeight="1" x14ac:dyDescent="0.2">
      <c r="A106" s="4"/>
      <c r="B106" s="4"/>
      <c r="C106" s="4"/>
      <c r="D106" s="4"/>
      <c r="E106" s="4"/>
      <c r="F106" s="4"/>
      <c r="G106" s="4"/>
      <c r="H106" s="4"/>
      <c r="I106" s="4"/>
    </row>
    <row r="107" spans="1:9" ht="18.75" customHeight="1" x14ac:dyDescent="0.2">
      <c r="A107" s="1" t="s">
        <v>30</v>
      </c>
      <c r="B107" s="248" t="s">
        <v>46</v>
      </c>
      <c r="C107" s="248"/>
      <c r="D107" s="248"/>
      <c r="E107" s="248"/>
      <c r="F107" s="248"/>
      <c r="G107" s="248"/>
      <c r="H107" s="248"/>
      <c r="I107" s="248"/>
    </row>
    <row r="108" spans="1:9" ht="18.75" customHeight="1" x14ac:dyDescent="0.2">
      <c r="A108" s="4"/>
      <c r="B108" s="239" t="s">
        <v>176</v>
      </c>
      <c r="C108" s="240"/>
      <c r="D108" s="240"/>
      <c r="E108" s="240"/>
      <c r="F108" s="240"/>
      <c r="G108" s="240"/>
      <c r="H108" s="240"/>
      <c r="I108" s="241"/>
    </row>
    <row r="109" spans="1:9" ht="18.75" customHeight="1" x14ac:dyDescent="0.2">
      <c r="A109" s="4"/>
      <c r="B109" s="242"/>
      <c r="C109" s="243"/>
      <c r="D109" s="243"/>
      <c r="E109" s="243"/>
      <c r="F109" s="243"/>
      <c r="G109" s="243"/>
      <c r="H109" s="243"/>
      <c r="I109" s="244"/>
    </row>
    <row r="110" spans="1:9" ht="18.75" customHeight="1" x14ac:dyDescent="0.2">
      <c r="A110" s="4"/>
      <c r="B110" s="242"/>
      <c r="C110" s="243"/>
      <c r="D110" s="243"/>
      <c r="E110" s="243"/>
      <c r="F110" s="243"/>
      <c r="G110" s="243"/>
      <c r="H110" s="243"/>
      <c r="I110" s="244"/>
    </row>
    <row r="111" spans="1:9" ht="18.75" customHeight="1" x14ac:dyDescent="0.2">
      <c r="A111" s="4"/>
      <c r="B111" s="242"/>
      <c r="C111" s="243"/>
      <c r="D111" s="243"/>
      <c r="E111" s="243"/>
      <c r="F111" s="243"/>
      <c r="G111" s="243"/>
      <c r="H111" s="243"/>
      <c r="I111" s="244"/>
    </row>
    <row r="112" spans="1:9" ht="18.75" customHeight="1" x14ac:dyDescent="0.2">
      <c r="A112" s="4"/>
      <c r="B112" s="242"/>
      <c r="C112" s="243"/>
      <c r="D112" s="243"/>
      <c r="E112" s="243"/>
      <c r="F112" s="243"/>
      <c r="G112" s="243"/>
      <c r="H112" s="243"/>
      <c r="I112" s="244"/>
    </row>
    <row r="113" spans="1:9" ht="18.75" customHeight="1" x14ac:dyDescent="0.2">
      <c r="A113" s="4"/>
      <c r="B113" s="242"/>
      <c r="C113" s="243"/>
      <c r="D113" s="243"/>
      <c r="E113" s="243"/>
      <c r="F113" s="243"/>
      <c r="G113" s="243"/>
      <c r="H113" s="243"/>
      <c r="I113" s="244"/>
    </row>
    <row r="114" spans="1:9" ht="9" customHeight="1" x14ac:dyDescent="0.2">
      <c r="A114" s="4"/>
      <c r="B114" s="242"/>
      <c r="C114" s="243"/>
      <c r="D114" s="243"/>
      <c r="E114" s="243"/>
      <c r="F114" s="243"/>
      <c r="G114" s="243"/>
      <c r="H114" s="243"/>
      <c r="I114" s="244"/>
    </row>
    <row r="115" spans="1:9" ht="9" customHeight="1" x14ac:dyDescent="0.2">
      <c r="A115" s="4"/>
      <c r="B115" s="242"/>
      <c r="C115" s="243"/>
      <c r="D115" s="243"/>
      <c r="E115" s="243"/>
      <c r="F115" s="243"/>
      <c r="G115" s="243"/>
      <c r="H115" s="243"/>
      <c r="I115" s="244"/>
    </row>
    <row r="116" spans="1:9" ht="9" customHeight="1" x14ac:dyDescent="0.2">
      <c r="A116" s="4"/>
      <c r="B116" s="242"/>
      <c r="C116" s="243"/>
      <c r="D116" s="243"/>
      <c r="E116" s="243"/>
      <c r="F116" s="243"/>
      <c r="G116" s="243"/>
      <c r="H116" s="243"/>
      <c r="I116" s="244"/>
    </row>
    <row r="117" spans="1:9" ht="9" customHeight="1" x14ac:dyDescent="0.2">
      <c r="A117" s="4"/>
      <c r="B117" s="242"/>
      <c r="C117" s="243"/>
      <c r="D117" s="243"/>
      <c r="E117" s="243"/>
      <c r="F117" s="243"/>
      <c r="G117" s="243"/>
      <c r="H117" s="243"/>
      <c r="I117" s="244"/>
    </row>
    <row r="118" spans="1:9" ht="9" customHeight="1" x14ac:dyDescent="0.2">
      <c r="A118" s="4"/>
      <c r="B118" s="242"/>
      <c r="C118" s="243"/>
      <c r="D118" s="243"/>
      <c r="E118" s="243"/>
      <c r="F118" s="243"/>
      <c r="G118" s="243"/>
      <c r="H118" s="243"/>
      <c r="I118" s="244"/>
    </row>
    <row r="119" spans="1:9" ht="9" customHeight="1" x14ac:dyDescent="0.2">
      <c r="A119" s="4"/>
      <c r="B119" s="245"/>
      <c r="C119" s="246"/>
      <c r="D119" s="246"/>
      <c r="E119" s="246"/>
      <c r="F119" s="246"/>
      <c r="G119" s="246"/>
      <c r="H119" s="246"/>
      <c r="I119" s="247"/>
    </row>
    <row r="120" spans="1:9" ht="7.5" customHeight="1" x14ac:dyDescent="0.2">
      <c r="A120" s="4"/>
      <c r="B120" s="46"/>
      <c r="C120" s="46"/>
      <c r="D120" s="46"/>
      <c r="E120" s="46"/>
      <c r="F120" s="46"/>
      <c r="G120" s="46"/>
      <c r="H120" s="46"/>
      <c r="I120" s="46"/>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 x14ac:dyDescent="0.2">
      <c r="A133" s="4"/>
      <c r="B133" s="4"/>
      <c r="C133" s="4"/>
      <c r="D133" s="4"/>
      <c r="E133" s="4"/>
      <c r="F133" s="4"/>
      <c r="G133" s="4"/>
      <c r="H133" s="4"/>
      <c r="I133" s="4"/>
    </row>
    <row r="134" spans="1:9" ht="7.5" customHeight="1" x14ac:dyDescent="0.2">
      <c r="A134" s="47"/>
      <c r="B134" s="47"/>
      <c r="C134" s="47"/>
      <c r="D134" s="47"/>
      <c r="E134" s="47"/>
      <c r="F134" s="47"/>
      <c r="G134" s="47"/>
      <c r="H134" s="47"/>
      <c r="I134" s="47"/>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horizontalDpi="1200" verticalDpi="1200"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69" zoomScaleNormal="100" zoomScaleSheetLayoutView="69" workbookViewId="0">
      <selection activeCell="E13" sqref="E13:I13"/>
    </sheetView>
  </sheetViews>
  <sheetFormatPr defaultColWidth="11.36328125" defaultRowHeight="22.5" customHeight="1" x14ac:dyDescent="0.2"/>
  <cols>
    <col min="1" max="3" width="2.90625" style="1" customWidth="1"/>
    <col min="4" max="4" width="22.08984375" style="1" customWidth="1"/>
    <col min="5" max="5" width="30.90625" style="1" customWidth="1"/>
    <col min="6" max="7" width="7.90625" style="1" customWidth="1"/>
    <col min="8" max="9" width="30.90625" style="1" customWidth="1"/>
    <col min="10" max="10" width="4.08984375" style="1" customWidth="1"/>
    <col min="11" max="16384" width="11.36328125" style="1"/>
  </cols>
  <sheetData>
    <row r="1" spans="1:9" ht="18.75" customHeight="1" x14ac:dyDescent="0.2">
      <c r="A1" s="1" t="s">
        <v>71</v>
      </c>
      <c r="I1" s="34" t="s">
        <v>105</v>
      </c>
    </row>
    <row r="2" spans="1:9" ht="18.75" customHeight="1" x14ac:dyDescent="0.2">
      <c r="H2" s="34" t="s">
        <v>109</v>
      </c>
      <c r="I2" s="33" t="str">
        <f>'様式１　プログラムを構成する授業科目'!C2</f>
        <v>県立広島大学</v>
      </c>
    </row>
    <row r="3" spans="1:9" ht="18.75" customHeight="1" x14ac:dyDescent="0.2">
      <c r="A3" s="134" t="s">
        <v>28</v>
      </c>
      <c r="B3" s="134"/>
      <c r="C3" s="134"/>
      <c r="D3" s="134"/>
      <c r="E3" s="134"/>
      <c r="F3" s="134"/>
      <c r="G3" s="134"/>
      <c r="H3" s="134"/>
      <c r="I3" s="134"/>
    </row>
    <row r="4" spans="1:9" ht="18.75" customHeight="1" x14ac:dyDescent="0.2">
      <c r="A4" s="5"/>
      <c r="B4" s="5"/>
      <c r="C4" s="5"/>
      <c r="D4" s="5"/>
      <c r="E4" s="5"/>
      <c r="F4" s="5"/>
      <c r="G4" s="5"/>
      <c r="H4" s="5"/>
      <c r="I4" s="5"/>
    </row>
    <row r="5" spans="1:9" ht="18.75" customHeight="1" x14ac:dyDescent="0.2">
      <c r="A5" s="1" t="s">
        <v>0</v>
      </c>
      <c r="B5" s="10" t="s">
        <v>95</v>
      </c>
      <c r="C5" s="5"/>
      <c r="D5" s="5"/>
      <c r="E5" s="5"/>
      <c r="F5" s="5"/>
      <c r="G5" s="5"/>
      <c r="H5" s="5"/>
      <c r="I5" s="5"/>
    </row>
    <row r="6" spans="1:9" ht="26.25" customHeight="1" x14ac:dyDescent="0.2">
      <c r="A6" s="5"/>
      <c r="B6" s="274" t="s">
        <v>167</v>
      </c>
      <c r="C6" s="311"/>
      <c r="D6" s="311"/>
      <c r="E6" s="311"/>
      <c r="F6" s="311"/>
      <c r="G6" s="311"/>
      <c r="H6" s="312"/>
      <c r="I6" s="3"/>
    </row>
    <row r="7" spans="1:9" ht="9" customHeight="1" x14ac:dyDescent="0.2">
      <c r="A7" s="5"/>
      <c r="B7" s="10"/>
      <c r="C7" s="10"/>
      <c r="D7" s="10"/>
      <c r="E7" s="10"/>
      <c r="F7" s="10"/>
      <c r="G7" s="10"/>
      <c r="H7" s="10"/>
      <c r="I7" s="3"/>
    </row>
    <row r="8" spans="1:9" ht="18.75" customHeight="1" x14ac:dyDescent="0.2">
      <c r="A8" s="5"/>
      <c r="B8" s="3"/>
      <c r="C8" s="3"/>
      <c r="D8" s="34" t="s">
        <v>43</v>
      </c>
      <c r="E8" s="90" t="s">
        <v>166</v>
      </c>
      <c r="F8" s="3"/>
      <c r="G8" s="34" t="s">
        <v>10</v>
      </c>
      <c r="H8" s="90" t="s">
        <v>168</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120" t="s">
        <v>24</v>
      </c>
      <c r="C11" s="121"/>
      <c r="D11" s="122"/>
      <c r="E11" s="121" t="s">
        <v>26</v>
      </c>
      <c r="F11" s="121"/>
      <c r="G11" s="121"/>
      <c r="H11" s="121"/>
      <c r="I11" s="122"/>
    </row>
    <row r="12" spans="1:9" ht="26.25" customHeight="1" x14ac:dyDescent="0.2">
      <c r="B12" s="48" t="s">
        <v>14</v>
      </c>
      <c r="C12" s="55"/>
      <c r="D12" s="49"/>
      <c r="E12" s="56"/>
      <c r="F12" s="56"/>
      <c r="G12" s="56"/>
      <c r="H12" s="56"/>
      <c r="I12" s="49"/>
    </row>
    <row r="13" spans="1:9" ht="87" customHeight="1" x14ac:dyDescent="0.2">
      <c r="B13" s="50"/>
      <c r="C13" s="285" t="s">
        <v>15</v>
      </c>
      <c r="D13" s="286"/>
      <c r="E13" s="300" t="s">
        <v>161</v>
      </c>
      <c r="F13" s="301"/>
      <c r="G13" s="301"/>
      <c r="H13" s="301"/>
      <c r="I13" s="302"/>
    </row>
    <row r="14" spans="1:9" ht="99" customHeight="1" x14ac:dyDescent="0.2">
      <c r="B14" s="50"/>
      <c r="C14" s="309" t="s">
        <v>16</v>
      </c>
      <c r="D14" s="310"/>
      <c r="E14" s="300" t="s">
        <v>132</v>
      </c>
      <c r="F14" s="301"/>
      <c r="G14" s="301"/>
      <c r="H14" s="301"/>
      <c r="I14" s="302"/>
    </row>
    <row r="15" spans="1:9" ht="82" customHeight="1" x14ac:dyDescent="0.2">
      <c r="B15" s="50"/>
      <c r="C15" s="285" t="s">
        <v>17</v>
      </c>
      <c r="D15" s="286"/>
      <c r="E15" s="300" t="s">
        <v>175</v>
      </c>
      <c r="F15" s="301"/>
      <c r="G15" s="301"/>
      <c r="H15" s="301"/>
      <c r="I15" s="302"/>
    </row>
    <row r="16" spans="1:9" ht="110.5" customHeight="1" x14ac:dyDescent="0.2">
      <c r="B16" s="50"/>
      <c r="C16" s="285" t="s">
        <v>18</v>
      </c>
      <c r="D16" s="286"/>
      <c r="E16" s="303" t="s">
        <v>162</v>
      </c>
      <c r="F16" s="304"/>
      <c r="G16" s="304"/>
      <c r="H16" s="304"/>
      <c r="I16" s="305"/>
    </row>
    <row r="17" spans="2:9" ht="74.150000000000006" customHeight="1" x14ac:dyDescent="0.2">
      <c r="B17" s="51"/>
      <c r="C17" s="290" t="s">
        <v>19</v>
      </c>
      <c r="D17" s="291"/>
      <c r="E17" s="306" t="s">
        <v>173</v>
      </c>
      <c r="F17" s="307"/>
      <c r="G17" s="307"/>
      <c r="H17" s="307"/>
      <c r="I17" s="308"/>
    </row>
    <row r="18" spans="2:9" ht="24" customHeight="1" x14ac:dyDescent="0.2">
      <c r="B18" s="48" t="s">
        <v>20</v>
      </c>
      <c r="C18" s="52"/>
      <c r="D18" s="53"/>
      <c r="E18" s="54"/>
      <c r="F18" s="54"/>
      <c r="G18" s="54"/>
      <c r="H18" s="54"/>
      <c r="I18" s="57"/>
    </row>
    <row r="19" spans="2:9" ht="64.5" customHeight="1" x14ac:dyDescent="0.2">
      <c r="B19" s="50"/>
      <c r="C19" s="285" t="s">
        <v>21</v>
      </c>
      <c r="D19" s="286"/>
      <c r="E19" s="287" t="s">
        <v>172</v>
      </c>
      <c r="F19" s="288"/>
      <c r="G19" s="288"/>
      <c r="H19" s="288"/>
      <c r="I19" s="289"/>
    </row>
    <row r="20" spans="2:9" ht="81.650000000000006" customHeight="1" x14ac:dyDescent="0.2">
      <c r="B20" s="51"/>
      <c r="C20" s="290" t="s">
        <v>22</v>
      </c>
      <c r="D20" s="291"/>
      <c r="E20" s="292" t="s">
        <v>171</v>
      </c>
      <c r="F20" s="293"/>
      <c r="G20" s="293"/>
      <c r="H20" s="293"/>
      <c r="I20" s="294"/>
    </row>
    <row r="21" spans="2:9" ht="70" customHeight="1" x14ac:dyDescent="0.2">
      <c r="B21" s="295" t="s">
        <v>23</v>
      </c>
      <c r="C21" s="296"/>
      <c r="D21" s="297"/>
      <c r="E21" s="298" t="s">
        <v>174</v>
      </c>
      <c r="F21" s="298"/>
      <c r="G21" s="298"/>
      <c r="H21" s="298"/>
      <c r="I21" s="299"/>
    </row>
    <row r="22" spans="2:9" ht="74" customHeight="1" x14ac:dyDescent="0.2">
      <c r="B22" s="280" t="s">
        <v>38</v>
      </c>
      <c r="C22" s="281"/>
      <c r="D22" s="282"/>
      <c r="E22" s="283" t="s">
        <v>163</v>
      </c>
      <c r="F22" s="283"/>
      <c r="G22" s="283"/>
      <c r="H22" s="283"/>
      <c r="I22" s="284"/>
    </row>
    <row r="23" spans="2:9" ht="22.5" customHeight="1" x14ac:dyDescent="0.2">
      <c r="B23" s="4"/>
      <c r="C23" s="4"/>
      <c r="D23" s="4"/>
      <c r="E23" s="4"/>
      <c r="F23" s="4"/>
      <c r="G23" s="4"/>
      <c r="H23" s="4"/>
      <c r="I23" s="1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row>
    <row r="30" spans="2:9" ht="22.5" customHeight="1" x14ac:dyDescent="0.2">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藤上　剛</cp:lastModifiedBy>
  <cp:lastPrinted>2023-04-12T04:41:18Z</cp:lastPrinted>
  <dcterms:created xsi:type="dcterms:W3CDTF">2011-06-14T05:32:50Z</dcterms:created>
  <dcterms:modified xsi:type="dcterms:W3CDTF">2023-05-11T02:44:02Z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