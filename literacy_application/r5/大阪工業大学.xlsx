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defaultThemeVersion="124226"/>
  <mc:AlternateContent xmlns:mc="http://schemas.openxmlformats.org/markup-compatibility/2006">
    <mc:Choice Requires="x15">
      <x15ac:absPath xmlns:x15ac="http://schemas.microsoft.com/office/spreadsheetml/2010/11/ac" url="\\oitfile.jimu.ofc.josho.ac.jp\kyomu\★定例外保存（永久保存含む）フォルダ\05_課題・検討事項・各種ＷＧ\20_データサイエンス全学展開\01_2021～2022年度（文科省申請含む）\100_本申請\02_指摘事項\02_修正書類提出\"/>
    </mc:Choice>
  </mc:AlternateContent>
  <xr:revisionPtr revIDLastSave="0" documentId="13_ncr:1_{0DFD367F-6059-4E96-9356-5E292D851F32}" xr6:coauthVersionLast="36" xr6:coauthVersionMax="36" xr10:uidLastSave="{00000000-0000-0000-0000-000000000000}"/>
  <bookViews>
    <workbookView xWindow="0" yWindow="0" windowWidth="21570" windowHeight="7140" tabRatio="885" activeTab="4" xr2:uid="{00000000-000D-0000-FFFF-FFFF00000000}"/>
  </bookViews>
  <sheets>
    <sheet name="様式１ー１　プログラムを構成する授業科目" sheetId="39" r:id="rId1"/>
    <sheet name="様式１ー２　プログラムを構成する授業科目" sheetId="45" r:id="rId2"/>
    <sheet name="様式１ー３　プログラムを構成する授業科目" sheetId="44" r:id="rId3"/>
    <sheet name="様式１ー４　プログラムを構成する授業科目" sheetId="43" r:id="rId4"/>
    <sheet name="様式２ 履修者等数の実績" sheetId="40" r:id="rId5"/>
    <sheet name="様式３ 教育の質・履修者数を向上させるための体制・計画" sheetId="41" r:id="rId6"/>
    <sheet name="様式４　自己点検・評価" sheetId="42" r:id="rId7"/>
  </sheets>
  <definedNames>
    <definedName name="_xlnm._FilterDatabase" localSheetId="0" hidden="1">'様式１ー１　プログラムを構成する授業科目'!$V$14:$V$16</definedName>
    <definedName name="_xlnm._FilterDatabase" localSheetId="1" hidden="1">'様式１ー２　プログラムを構成する授業科目'!$V$14:$V$16</definedName>
    <definedName name="_xlnm._FilterDatabase" localSheetId="2" hidden="1">'様式１ー３　プログラムを構成する授業科目'!$V$14:$V$16</definedName>
    <definedName name="_xlnm._FilterDatabase" localSheetId="3" hidden="1">'様式１ー４　プログラムを構成する授業科目'!$V$14:$V$16</definedName>
    <definedName name="_xlnm._FilterDatabase" localSheetId="4" hidden="1">'様式２ 履修者等数の実績'!#REF!</definedName>
    <definedName name="_xlnm.Print_Area" localSheetId="0">'様式１ー１　プログラムを構成する授業科目'!$A$1:$S$102</definedName>
    <definedName name="_xlnm.Print_Area" localSheetId="1">'様式１ー２　プログラムを構成する授業科目'!$A$1:$S$102</definedName>
    <definedName name="_xlnm.Print_Area" localSheetId="2">'様式１ー３　プログラムを構成する授業科目'!$A$1:$S$102</definedName>
    <definedName name="_xlnm.Print_Area" localSheetId="3">'様式１ー４　プログラムを構成する授業科目'!$A$1:$S$102</definedName>
    <definedName name="_xlnm.Print_Area" localSheetId="4">'様式２ 履修者等数の実績'!$A$1:$AQ$32</definedName>
    <definedName name="_xlnm.Print_Area" localSheetId="5">'様式３ 教育の質・履修者数を向上させるための体制・計画'!$A$1:$I$120</definedName>
    <definedName name="_xlnm.Print_Area" localSheetId="6">'様式４　自己点検・評価'!$A$1:$I$22</definedName>
    <definedName name="_xlnm.Print_Titles" localSheetId="6">'様式４　自己点検・評価'!$11:$11</definedName>
  </definedNames>
  <calcPr calcId="191029"/>
</workbook>
</file>

<file path=xl/calcChain.xml><?xml version="1.0" encoding="utf-8"?>
<calcChain xmlns="http://schemas.openxmlformats.org/spreadsheetml/2006/main">
  <c r="AQ14" i="40" l="1"/>
  <c r="AQ15" i="40"/>
  <c r="K22" i="41" l="1"/>
  <c r="L22" i="42" l="1"/>
  <c r="L21" i="42"/>
  <c r="L20" i="42"/>
  <c r="L19" i="42"/>
  <c r="L17" i="42"/>
  <c r="L16" i="42"/>
  <c r="L15" i="42"/>
  <c r="L14" i="42"/>
  <c r="L13" i="42"/>
  <c r="K108" i="41"/>
  <c r="K94" i="41"/>
  <c r="K80" i="41"/>
  <c r="K66" i="41"/>
  <c r="K52" i="4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AP13" i="40"/>
  <c r="AP14" i="40"/>
  <c r="AP15" i="40"/>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3" i="40"/>
  <c r="AP32" i="40" l="1"/>
  <c r="AQ32" i="40" s="1"/>
  <c r="C49" i="41" s="1"/>
</calcChain>
</file>

<file path=xl/sharedStrings.xml><?xml version="1.0" encoding="utf-8"?>
<sst xmlns="http://schemas.openxmlformats.org/spreadsheetml/2006/main" count="747" uniqueCount="233">
  <si>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</si>
  <si>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</si>
  <si>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</si>
  <si>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</si>
  <si>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</si>
  <si>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</si>
  <si>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</si>
  <si>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</si>
  <si>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</si>
  <si>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</si>
  <si>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</si>
  <si>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</si>
  <si>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</si>
  <si>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</si>
  <si>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</si>
  <si>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</si>
  <si>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</si>
  <si>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</si>
  <si>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</si>
  <si>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</si>
  <si>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</si>
  <si>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</si>
  <si>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</si>
  <si>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</si>
  <si>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</si>
  <si>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</si>
  <si>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</si>
  <si>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</si>
  <si>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</si>
  <si>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</si>
  <si>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</si>
  <si>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</si>
  <si>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</si>
  <si>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</si>
  <si>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</si>
  <si>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</si>
  <si>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</si>
  <si>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</si>
  <si>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</si>
  <si>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</si>
  <si>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</si>
  <si>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</si>
  <si>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</si>
  <si>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</si>
  <si>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</si>
  <si>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</si>
  <si>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</si>
  <si>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</si>
  <si>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</si>
  <si>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</si>
  <si>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</si>
  <si>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</si>
  <si>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</si>
  <si>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</si>
  <si>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</si>
  <si>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</si>
  <si>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</si>
  <si>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</si>
  <si>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</si>
  <si>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</si>
  <si>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</si>
  <si>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</si>
  <si>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</si>
  <si>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</si>
  <si>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</si>
  <si>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</si>
  <si>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</si>
  <si>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</si>
  <si>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</si>
  <si>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</si>
  <si>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</si>
  <si>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</si>
  <si>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</si>
  <si>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</si>
  <si>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</si>
  <si>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</si>
  <si>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</si>
  <si>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</si>
  <si>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</si>
  <si>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</si>
  <si>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</si>
  <si>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</si>
  <si>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</si>
  <si>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</si>
  <si>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</si>
  <si>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</si>
  <si>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</si>
  <si>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</si>
  <si>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</si>
  <si>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</si>
  <si>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</si>
  <si>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</si>
  <si>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</si>
  <si>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</si>
  <si>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</si>
  <si>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</si>
  <si>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</si>
  <si>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</si>
  <si>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</si>
  <si>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</si>
  <si>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</si>
  <si>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</si>
  <si>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</si>
  <si>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</si>
  <si>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</si>
  <si>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</si>
  <si>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</si>
  <si>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</si>
  <si>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</si>
  <si>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</si>
  <si>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</si>
  <si>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</si>
  <si>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</si>
  <si>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</si>
  <si>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</si>
  <si>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</si>
  <si>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</si>
  <si>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</si>
  <si>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</si>
  <si>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</si>
  <si>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</si>
  <si>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</si>
  <si>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</si>
  <si>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</si>
  <si>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</si>
  <si>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</si>
  <si>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大阪工業大学</t>
    <rPh sb="0" eb="6">
      <t>オオサカ</t>
    </rPh>
    <phoneticPr fontId="1"/>
  </si>
  <si>
    <t>OIT MDASH（リテラシー）</t>
    <phoneticPr fontId="1"/>
  </si>
  <si>
    <t>様式１ー２</t>
    <rPh sb="0" eb="2">
      <t>ヨウシキ</t>
    </rPh>
    <phoneticPr fontId="1"/>
  </si>
  <si>
    <t>様式１ー３</t>
    <rPh sb="0" eb="2">
      <t>ヨウシキ</t>
    </rPh>
    <phoneticPr fontId="1"/>
  </si>
  <si>
    <t>様式１ー４</t>
    <rPh sb="0" eb="2">
      <t>ヨウシキ</t>
    </rPh>
    <phoneticPr fontId="1"/>
  </si>
  <si>
    <t>学部・学科によって、修了要件は相違する</t>
  </si>
  <si>
    <t>工学部</t>
    <rPh sb="0" eb="3">
      <t>コウガクブ</t>
    </rPh>
    <phoneticPr fontId="1"/>
  </si>
  <si>
    <t>プログラムを構成する科目のうち、次の①②いずれも満たすこと。
①「キャリアデザイン」および「基礎情報処理Ⅱ」を修得すること。
②以下の科目群のうち、1科目以上を修得すること。
「技術者倫理」「工学倫理」「情報社会と倫理」「環境倫理」「キャリア形成支援」</t>
    <phoneticPr fontId="1"/>
  </si>
  <si>
    <t>○</t>
  </si>
  <si>
    <t>・ 情報技術の発達により社会や生活が変化していることを概説できる。
・ AI・データサイエンスによって広範囲の領域で新しい価値が創出されていることを概説できる。
・ データに対する基本的な分析方法（基本統計量の導出、グラフ作成、誤差を伴う解釈方法）が概説できる。
・ データの取り扱いに関して誤解せず、また人に誤解を与えないための基礎的な事項を概説できる。
・ AI・データサイエンスを利用するために欠かせないモラルや倫理を概説できる。</t>
    <phoneticPr fontId="1"/>
  </si>
  <si>
    <t>ロボティクス＆デザイン工学部</t>
    <phoneticPr fontId="1"/>
  </si>
  <si>
    <t>プログラムを構成する科目のうち、次の3科目を修得すること。
「基礎情報処理」「工学倫理」「確率・統計学」</t>
    <phoneticPr fontId="1"/>
  </si>
  <si>
    <t>基礎情報処理</t>
    <phoneticPr fontId="1"/>
  </si>
  <si>
    <t>4-1統計および数理基礎</t>
  </si>
  <si>
    <t>・コンピュータの進化［計算機の処理性能の向上］、IoT, AI, ビックデータ，Society 5.0「基礎情報処理」（6回目）</t>
    <phoneticPr fontId="1"/>
  </si>
  <si>
    <t>・AI最新技術の活用例（深層学習，自然言語処理，最適化技術）「基礎情報処理」（6回目）</t>
    <phoneticPr fontId="1"/>
  </si>
  <si>
    <t>・調査データ，観測データ，実験データ，ログデータ，オープンデータ、データアノテーション「基礎情報処理」 (8・9回目)</t>
    <phoneticPr fontId="1"/>
  </si>
  <si>
    <t>・データ・AIが活用される分野［データ・ＡＩ活用領域の広がり］(物理・化学・生物学・法律・経済・ビジネスなど)「基礎情報処理」（9回目）</t>
    <phoneticPr fontId="1"/>
  </si>
  <si>
    <t>・データの可視化，クラスタリング［データ解析］，予測「基礎情報処理」 (13回目)</t>
    <phoneticPr fontId="1"/>
  </si>
  <si>
    <t>・機械学習技術・最適化技術などの概要［探索的データ解析］，データサイエンスのサイクル， IOT・ロボット［ＡＩ利活用の事例紹介］「基礎情報処理」（13・14回目）</t>
    <phoneticPr fontId="1"/>
  </si>
  <si>
    <t>・ELSI、GDPR、プライバシー保護、人間中心のAI社会原理、データ取り扱いの健全性、個人情報とプライバシー、データバイアス、アルゴリズムバイアス、社会的合意の形成、AIサービスの責任論「工学倫理」（7回目）</t>
    <phoneticPr fontId="1"/>
  </si>
  <si>
    <t>・情報セキュリティ、データの保護手法、情報漏洩等によるセキュリティ事故の事例紹介「工学倫理」（7回目）</t>
    <phoneticPr fontId="1"/>
  </si>
  <si>
    <t>・ 情報技術の発達により社会や生活が変化していることを概説できる。
・ AI・データサイエンスによって広範囲の領域で新しい価値が創出されていることを概説できる。
・ データに対する基本的な分析方法（基本統計量の導出、グラフ作成、誤差を伴う解釈方法）が概説できる。
・ データの取り扱いに関して誤解せず、また人に誤解を与えないための基礎的な事項を概説できる。
・ AI・データサイエンスを利用するために欠かせないモラルや倫理を概説できる。</t>
    <phoneticPr fontId="1"/>
  </si>
  <si>
    <t>情報科学部</t>
    <phoneticPr fontId="1"/>
  </si>
  <si>
    <t>プログラムを構成する科目のうち、次の3科目を修得すること。
「コンピュータ入門」「情報技術者論」「確率・統計」</t>
    <phoneticPr fontId="1"/>
  </si>
  <si>
    <t>知的財産学部</t>
    <phoneticPr fontId="1"/>
  </si>
  <si>
    <t>プログラムを構成する科目のうち、次の要件①②いずれも満たすこと。
①「ICTリテラシー」および「データリテラシー」を修得すること。
②「情報技術と特許」または「知財情報分析」いずれかを修得すること。</t>
    <phoneticPr fontId="1"/>
  </si>
  <si>
    <t>ICTリテラシー</t>
    <phoneticPr fontId="1"/>
  </si>
  <si>
    <t>情報技術と特許</t>
    <phoneticPr fontId="1"/>
  </si>
  <si>
    <t>データリテラシー</t>
    <phoneticPr fontId="1"/>
  </si>
  <si>
    <t>知財情報分析</t>
    <phoneticPr fontId="1"/>
  </si>
  <si>
    <t>ＩＣＴリテラシー</t>
    <phoneticPr fontId="1"/>
  </si>
  <si>
    <t>4‐3データ構造とプログラミング基礎</t>
  </si>
  <si>
    <t>4‐4時系列データ解析</t>
  </si>
  <si>
    <t>4‐5テキスト解析</t>
  </si>
  <si>
    <t>・コンピュータの進化［計算機の処理性能の向上］、IoT, AI, ビックデータ，Society 5.0「ICTリテラシー」（1・3・5・6回目）
・コンピュータの進化［計算機の処理性能の向上］、IoT, AI, ビックデータ，Society 5.0「情報技術と特許」（2回目）</t>
    <phoneticPr fontId="1"/>
  </si>
  <si>
    <t>AI最新技術の活用例（深層学習，自然言語処理，最適化技術）「ICTリテラシー」（3・5回目）</t>
    <phoneticPr fontId="1"/>
  </si>
  <si>
    <t>・調査データ，観測データ，実験データ，ログデータ，オープンデータ、データアノテーション「データリテラシー」 (3回目)</t>
    <phoneticPr fontId="1"/>
  </si>
  <si>
    <t>・データ・AIが活用される分野［データ・ＡＩ活用領域の広がり］(物理・化学・生物学・法律・経済・ビジネスなど)「データリテラシー」（3回目）</t>
    <phoneticPr fontId="1"/>
  </si>
  <si>
    <t>・データの可視化，クラスタリング［データ解析］，予測「ICTリテラシー」 (4回目)</t>
    <phoneticPr fontId="1"/>
  </si>
  <si>
    <t>・機械学習技術・最適化技術などの概要［探索的データ解析］，データサイエンスのサイクル， IOT・ロボット［ＡＩ利活用の事例紹介］「ICTリテラシー」 (4回目)</t>
    <phoneticPr fontId="1"/>
  </si>
  <si>
    <t>・ELSI、GDPR、プライバシー保護、人間中心のAI社会原理、データ取り扱いの健全性、個人情報とプライバシー、データバイアス、アルゴリズムバイアス、社会的合意の形成、AIサービスの責任論「データリテラシー」（2回目）</t>
    <phoneticPr fontId="1"/>
  </si>
  <si>
    <t>・情報セキュリティ、データの保護手法、情報漏洩等によるセキュリティ事故の事例紹介「データリテラシー」（2回目）</t>
    <phoneticPr fontId="1"/>
  </si>
  <si>
    <t>・相関と因果、データの代表値、ばらつき「データリテラシー」（4・5回目）</t>
    <phoneticPr fontId="1"/>
  </si>
  <si>
    <t>・データの比較、可視化による気づき「ICTリテラシー」（12・13回目）
・データの比較、可視化による気づき、ベイズの定理「データリテラシー」（4・6回目）
・データの比較、可視化による気づき「知財情報分析」（12回目）</t>
    <phoneticPr fontId="1"/>
  </si>
  <si>
    <t>・ランキング「ICTリテラシー」（11回目）
・データの集計（和・平均）、データの並び替え、ランキング、データ解析ツール（スプレッドシート）、表形式のデータ（CSV）「データリテラシー」（4・5・6回目）
・データ解析ツール（スプレッドシート）「知財情報分析」（12回目）</t>
    <phoneticPr fontId="1"/>
  </si>
  <si>
    <t>工学部</t>
    <phoneticPr fontId="1"/>
  </si>
  <si>
    <t>椋平　淳</t>
    <phoneticPr fontId="1"/>
  </si>
  <si>
    <t>教務部長</t>
    <phoneticPr fontId="1"/>
  </si>
  <si>
    <t>大阪工業大学教務委員会</t>
    <rPh sb="6" eb="8">
      <t>キョウム</t>
    </rPh>
    <phoneticPr fontId="1"/>
  </si>
  <si>
    <t>大阪工業大学教務委員会規定</t>
    <phoneticPr fontId="1"/>
  </si>
  <si>
    <t>大阪工業大学教務委員会</t>
    <phoneticPr fontId="1"/>
  </si>
  <si>
    <t>様式１ー１</t>
    <rPh sb="0" eb="2">
      <t>ヨウシキ</t>
    </rPh>
    <phoneticPr fontId="1"/>
  </si>
  <si>
    <t>令和４</t>
    <rPh sb="0" eb="2">
      <t>レイワ</t>
    </rPh>
    <phoneticPr fontId="1"/>
  </si>
  <si>
    <t>キャリアデザイン</t>
    <phoneticPr fontId="1"/>
  </si>
  <si>
    <t>基礎情報処理Ⅱ</t>
    <phoneticPr fontId="1"/>
  </si>
  <si>
    <t>技術者倫理</t>
    <phoneticPr fontId="1"/>
  </si>
  <si>
    <t>キャリア形成支援</t>
    <phoneticPr fontId="1"/>
  </si>
  <si>
    <t>工学倫理</t>
    <phoneticPr fontId="1"/>
  </si>
  <si>
    <t>情報社会と倫理</t>
    <phoneticPr fontId="1"/>
  </si>
  <si>
    <t>環境倫理</t>
    <phoneticPr fontId="1"/>
  </si>
  <si>
    <t>確率・統計学</t>
    <phoneticPr fontId="1"/>
  </si>
  <si>
    <t>コンピュータ入門</t>
    <phoneticPr fontId="1"/>
  </si>
  <si>
    <t>情報技術者論</t>
    <phoneticPr fontId="1"/>
  </si>
  <si>
    <t>確率・統計</t>
    <phoneticPr fontId="1"/>
  </si>
  <si>
    <t>教務委員会は、本学学則に基づき設置された委員会であり、時間割編成や教育課程の改正等、教務に関する重要な事項の審議、ならびに各学部間の連絡調整を行う組織である。
教務委員会では、文理問わず、全学部の学生が数理・データサイエンス・AIへの関心を高め、かつ、数理・データサイエンス・AIを適切に理解し、それを活用する基礎的な能力の育成を目的とした、本プログラムの内容や全学的な普及状況を確認し、必要に応じて全学部に関わるカリキュラムの改訂を検討する。</t>
    <rPh sb="73" eb="75">
      <t>ソシキ</t>
    </rPh>
    <phoneticPr fontId="1"/>
  </si>
  <si>
    <t>各学部の専門教育において既存の授業科目の学びを通じた教育体制の利点を生かし、学生の半数以上が卒業までに本教育プログラムの修了要件に該当する授業科目を学習している状態をめざす。この達成のために、教務委員会および各学部の教務（担当）委員会が中心となり、本教育プログラムの学内広報を強化し、学生への周知を進める。
具体的には、本教育プログラムの意義や特色の周知について、新入生ガイダンスおよび従来から整備される入学初年次の少人数クラスによる導入教育を通じたクラス担任教員からの指導の両側面から推進する。
また、今後学内ポータルサイトへの掲載や、学生が頻繁に確認する正課課程の履修申請要領における掲載も視野に入れて進める。</t>
    <rPh sb="96" eb="98">
      <t>キョウム</t>
    </rPh>
    <rPh sb="133" eb="135">
      <t>ガクナイ</t>
    </rPh>
    <rPh sb="135" eb="137">
      <t>コウホウ</t>
    </rPh>
    <phoneticPr fontId="1"/>
  </si>
  <si>
    <t>各学部の専門教育において、 既存の授業科目の学びを通じた教育体制を敷いており、希望する学生全員が受講可能である。</t>
    <phoneticPr fontId="1"/>
  </si>
  <si>
    <t>本教育プログラムを構成する科目の大半は低年次配当科目としている。
特に初年次次配当科目では、学部によっては必修科目としているほか、必修ではないものの、所属学科で４年間学修する上で、1年次時の履修が特に望ましい科目と位置付けている。これらの科目は時間割表上において容易に識別できるようマークを付すとともに、原則として必ず履修するよう新入生ガイダンスで徹底的に指導している。</t>
    <phoneticPr fontId="1"/>
  </si>
  <si>
    <t>各学部とも初年次に少人数クラスによる導入教育を実施しており、円滑に履修・修得できるようクラス担任教員をはじめ、各キャンパス教務部署とも連携し学修支援を行っている。
本教育プログラムを構成する一部の科目において3年次配当科目が用意されているが、本学では高学年次でも卒業研究プレ配属や卒業研究等の指導教員が配属学生の担任となる体制を整えているため、多くの学生が途切れなく履修・修得できるサポート体制を構築している。</t>
    <phoneticPr fontId="1"/>
  </si>
  <si>
    <t>授業内での質疑応答のほか、授業担当者は必ずオフィスアワーを設定（原則週1回）し、曜日・時間・場所等をシラバスに明記することを義務付けており、学生は迷いなく相談に行くことができる環境を整備している。</t>
    <phoneticPr fontId="1"/>
  </si>
  <si>
    <t>教務委員会において、本教育プログラム対象科目の履修者データを基に、履修状況を分析し、プログラム修了をめざす学生の状況を把握している。
本教育プログラムは2022年度から開設し、実績は2022年度の1年間のみである。
履修者が1年次のみのため、収容定員に対する履修率は当然低くなっているが、入学者数に対する履修率はいずれの学部も100％近く、良好な結果となっている。</t>
    <rPh sb="0" eb="2">
      <t>キョウム</t>
    </rPh>
    <phoneticPr fontId="1"/>
  </si>
  <si>
    <t>シラバスでは授業計画で何を学ぶかを具体的に示し、適切な到達目標を設定している。独自アンケートでは、該当する授業回の理解度を問う設問により、学修成果を把握し、教務委員会（全学・各学部）で評価・改善に活用している。</t>
    <phoneticPr fontId="1"/>
  </si>
  <si>
    <t>本教育プログラム受講者全員に対して実施している独自アンケートの該当する授業回の理解度を問う設問により、学生の理解度を把握している。アンケート結果では学部間に多少の差は存在するものの、概ね肯定的な意見が確認された。授業後の小テスト実施や学部学科の学びに応じた独自の資料を作成するなど工夫を凝らした事例が寄与したと推察される。その一方、アンケート回収率が低調な科目も一部確認された。これはMDASHに対する関心度が希薄な学生が一定数存在している可能性が考えられる。授業内はもとより、各年度毎に実施する翌年度履修ガイダンスにおいて一層MDASHに対する意義を周知していく。</t>
    <phoneticPr fontId="1"/>
  </si>
  <si>
    <t>本教育プログラム受講者全員に対して実施している独自アンケートの該当する授業回の重要度を問う設問により、本教育プログラムを通して学んだことを後輩に伝え、推奨していく期待度を確認している。アンケートでは、OIT-MDASHに関係する授業回の受講前後と比べ、重要性の認識が高まったかについて問い、その結果は学部間に多少の差が見受けられるものの、「かなり高まった」「ある程度高まった」が6～7割を占め、後輩に伝え受講を推奨していくことに期待ができる結果となっている。</t>
    <phoneticPr fontId="1"/>
  </si>
  <si>
    <t>対象科目の履修状況は、「プログラムの履修・修得状況」に記載のとおり良好である。これは本教育プログラムを構成する科目のうち、１年次に配当している科目において、情報科学部では必修化、それ以外の学部においても学修することが特に望ましい科目に位置付け、原則全員が履修する取り扱いとしているためである。加えて、科目の取り扱いのみにとどまらず、新入生ガイダンスにおける案内チラシの配付・説明を実施し、MDASHへの認知度向上に向けて推進している。</t>
    <rPh sb="18" eb="20">
      <t>リシュウ</t>
    </rPh>
    <rPh sb="21" eb="25">
      <t>シュウトクジョウキョウ</t>
    </rPh>
    <phoneticPr fontId="1"/>
  </si>
  <si>
    <t>本学の教育の質保証にかかる自己点検・評価にあたり、外部評価委員会を設置し年1回定期的に実施しており、本教育プログラムにおいても同委員会に諮り評価や意見を収集している。
2022年度では、各学部の専門教育における既存の授業科目の学びを通じた教育体制や、教務委員会において自己点検・評価を行った内容に対して、MDASHに関する標準的な能力向上への寄与が見込まれ期待できるとの肯定的な意見が得られた。一方、独自アンケートを通じて得られた改善に向けた課題について、順を追って見直していくことが肝要となる等の意見も付された。得られた意見等については教務委員会を通じて全学的に共有を図っていく。</t>
    <phoneticPr fontId="1"/>
  </si>
  <si>
    <t>本教育プログラム受講者全員に対して実施している該当する授業回の受講によりMDASHに対する興味・関心度が高まったかを問う設問により把握している。「かなり高まった」、「ある程度高まった」が6割近くを占める結果となり、概ね良好な結果となった。本教育プログラムを構成する科目群では、一部はアクティブな手法（グループワーク等）を採り入れるなどの工夫がみられるほか、所属学部学科の学びに即した実社会におけるMDASHの活用事例数を増やしていく等によって、既に一定の理解がある学生に対する向上策の検討も計画されており、今後の改善に期待ができる。</t>
    <phoneticPr fontId="1"/>
  </si>
  <si>
    <t>独自アンケートを通じて、該当する授業回の授業が分かりやすかったかを問う設問により、学生の反応をダイレクトに収集している。「強くそう思う」「ややそう思う」が6～7割を占める結果となり概ね肯定的な結果となっている。さらに、当該授業に関する改善要望の有無を問う設問もあわせて収集しており、否定的な意見では、「よくわからなかった」が大半を占めている。具体例を示すだけでなく、所属学科の学びに関連付けた事例を交えたり、グループワークを活用している授業も見受けられており、それらの成功例も参考にアンケート結果を学内全体に共有し、プログラム全体の内容・水準の維持・向上に向けて推進している。</t>
    <phoneticPr fontId="1"/>
  </si>
  <si>
    <t>基礎情報処理Ⅱ</t>
    <phoneticPr fontId="1"/>
  </si>
  <si>
    <r>
      <t xml:space="preserve">・相関と因果、データの代表値、ばらつき「確率・統計学」
</t>
    </r>
    <r>
      <rPr>
        <sz val="10"/>
        <color theme="1"/>
        <rFont val="ＭＳ Ｐゴシック"/>
        <family val="3"/>
        <charset val="128"/>
        <scheme val="minor"/>
      </rPr>
      <t>　＜ロボット工学科＞2・3回目
　＜システムデザイン工学科＞2・3回目
　＜空間デザイン学科＞2・3回目</t>
    </r>
    <rPh sb="34" eb="37">
      <t>コウガッカ</t>
    </rPh>
    <rPh sb="54" eb="57">
      <t>コウガッカ</t>
    </rPh>
    <rPh sb="66" eb="68">
      <t>クウカン</t>
    </rPh>
    <phoneticPr fontId="1"/>
  </si>
  <si>
    <r>
      <t xml:space="preserve">・データの比較、可視化による気づき、ベイズの定理「確率・統計学＜R科＞」（2・4回目）
</t>
    </r>
    <r>
      <rPr>
        <sz val="10"/>
        <color theme="1"/>
        <rFont val="ＭＳ Ｐゴシック"/>
        <family val="3"/>
        <charset val="128"/>
        <scheme val="minor"/>
      </rPr>
      <t>　＜ロボット工学科＞2・4回目
　＜システムデザイン工学科＞2・4回目
　＜空間デザイン学科＞2・4回目</t>
    </r>
    <phoneticPr fontId="1"/>
  </si>
  <si>
    <r>
      <rPr>
        <sz val="12"/>
        <rFont val="ＭＳ Ｐゴシック"/>
        <family val="3"/>
        <charset val="128"/>
        <scheme val="minor"/>
      </rPr>
      <t>・コンピュータの進化［計算機の処理性能の向上］、IoT, AI, ビックデータ，Society 5.0「キャリアデザイン」</t>
    </r>
    <r>
      <rPr>
        <sz val="8"/>
        <rFont val="ＭＳ Ｐゴシック"/>
        <family val="3"/>
        <charset val="128"/>
        <scheme val="minor"/>
      </rPr>
      <t xml:space="preserve">
　　</t>
    </r>
    <r>
      <rPr>
        <sz val="10"/>
        <rFont val="ＭＳ Ｐゴシック"/>
        <family val="3"/>
        <charset val="128"/>
        <scheme val="minor"/>
      </rPr>
      <t xml:space="preserve">＜都市デザイン工学科＞10回目
　　＜建築学科＞13回目
　　＜機械工学科＞9回目
　　＜電気電子システム工学科＞13回目
　　＜電子情報システム工学科＞3回目
　　＜応用化学科＞6回目
　　＜環境工学科＞3回目
　　＜生命工学科＞10回目
</t>
    </r>
    <rPh sb="65" eb="67">
      <t>トシ</t>
    </rPh>
    <rPh sb="71" eb="74">
      <t>コウガッカ</t>
    </rPh>
    <rPh sb="77" eb="79">
      <t>カイメ</t>
    </rPh>
    <rPh sb="83" eb="87">
      <t>ケンチクガッカ</t>
    </rPh>
    <rPh sb="96" eb="98">
      <t>キカイ</t>
    </rPh>
    <rPh sb="98" eb="101">
      <t>コウガッカ</t>
    </rPh>
    <rPh sb="109" eb="111">
      <t>デンキ</t>
    </rPh>
    <rPh sb="111" eb="113">
      <t>デンシ</t>
    </rPh>
    <rPh sb="117" eb="120">
      <t>コウガッカ</t>
    </rPh>
    <rPh sb="129" eb="133">
      <t>デンシジョウホウ</t>
    </rPh>
    <rPh sb="137" eb="140">
      <t>コウガッカ</t>
    </rPh>
    <rPh sb="148" eb="153">
      <t>オウヨウカガッカ</t>
    </rPh>
    <rPh sb="161" eb="166">
      <t>カンキョウコウガッカ</t>
    </rPh>
    <phoneticPr fontId="1"/>
  </si>
  <si>
    <r>
      <rPr>
        <sz val="12"/>
        <color theme="1"/>
        <rFont val="ＭＳ Ｐゴシック"/>
        <family val="3"/>
        <charset val="128"/>
        <scheme val="minor"/>
      </rPr>
      <t>・調査データ，観測データ，実験データ，ログデータ，オープンデータ「キャリアデザイン」</t>
    </r>
    <r>
      <rPr>
        <sz val="8"/>
        <color theme="1"/>
        <rFont val="ＭＳ Ｐゴシック"/>
        <family val="3"/>
        <charset val="128"/>
        <scheme val="minor"/>
      </rPr>
      <t xml:space="preserve">
　</t>
    </r>
    <r>
      <rPr>
        <sz val="10"/>
        <color theme="1"/>
        <rFont val="ＭＳ Ｐゴシック"/>
        <family val="3"/>
        <charset val="128"/>
        <scheme val="minor"/>
      </rPr>
      <t xml:space="preserve">　＜都市デザイン工学科＞11回目
　　＜建築学科＞14回目
　　＜機械工学科＞10回目
　　＜電気電子システム工学科＞14回目
　　＜電子情報システム工学科＞4回目
　　＜応用化学科＞7回目
　　＜環境工学科＞4回目
　　＜生命工学科＞11回目 </t>
    </r>
    <r>
      <rPr>
        <sz val="8"/>
        <color theme="1"/>
        <rFont val="ＭＳ Ｐゴシック"/>
        <family val="3"/>
        <charset val="128"/>
        <scheme val="minor"/>
      </rPr>
      <t xml:space="preserve">
</t>
    </r>
    <r>
      <rPr>
        <sz val="12"/>
        <color theme="1"/>
        <rFont val="ＭＳ Ｐゴシック"/>
        <family val="3"/>
        <charset val="128"/>
        <scheme val="minor"/>
      </rPr>
      <t>・データアノテーション「基礎情報処理Ⅱ」</t>
    </r>
    <r>
      <rPr>
        <sz val="8"/>
        <color theme="1"/>
        <rFont val="ＭＳ Ｐゴシック"/>
        <family val="3"/>
        <charset val="128"/>
        <scheme val="minor"/>
      </rPr>
      <t xml:space="preserve">
　</t>
    </r>
    <r>
      <rPr>
        <sz val="10"/>
        <color theme="1"/>
        <rFont val="ＭＳ Ｐゴシック"/>
        <family val="3"/>
        <charset val="128"/>
        <scheme val="minor"/>
      </rPr>
      <t xml:space="preserve">　＜都市デザイン工学科＞2回目
　　＜建築学科＞2回目
　　＜機械工学科＞2回目
　　＜電気電子システム工学科＞2回目
　　＜電子情報システム工学科＞9回目
　　＜応用化学科＞2回目
　　＜環境工学科＞2回目
　　＜生命工学科＞2回目 
</t>
    </r>
    <rPh sb="7" eb="9">
      <t>カンソクカイ</t>
    </rPh>
    <rPh sb="71" eb="72">
      <t>カイ</t>
    </rPh>
    <phoneticPr fontId="1"/>
  </si>
  <si>
    <r>
      <rPr>
        <sz val="12"/>
        <rFont val="ＭＳ Ｐゴシック"/>
        <family val="3"/>
        <charset val="128"/>
        <scheme val="minor"/>
      </rPr>
      <t>・データ・AIが活用される分野［データ・ＡＩ活用領域の広がり］(物理・化学・生物学・法律・経済・ビジネスなど)「基礎情報処理Ⅱ」</t>
    </r>
    <r>
      <rPr>
        <sz val="8"/>
        <rFont val="ＭＳ Ｐゴシック"/>
        <family val="3"/>
        <charset val="128"/>
        <scheme val="minor"/>
      </rPr>
      <t xml:space="preserve">
  </t>
    </r>
    <r>
      <rPr>
        <sz val="10"/>
        <rFont val="ＭＳ Ｐゴシック"/>
        <family val="3"/>
        <charset val="128"/>
        <scheme val="minor"/>
      </rPr>
      <t xml:space="preserve">  ＜都市デザイン工学科＞2回目
　　＜建築学科＞2回目
　　＜機械工学科＞2回目
　　＜電気電子システム工学科＞2回目
　　＜電子情報システム工学科＞9回目
　　＜応用化学科＞2回目
　　＜環境工学科＞2回目
　　＜生命工学科＞2回目 </t>
    </r>
    <phoneticPr fontId="1"/>
  </si>
  <si>
    <r>
      <rPr>
        <sz val="12"/>
        <color theme="1"/>
        <rFont val="ＭＳ Ｐゴシック"/>
        <family val="3"/>
        <charset val="128"/>
        <scheme val="minor"/>
      </rPr>
      <t>・機械学習技術・最適化技術などの概要［探索的データ解析］，データサイエンスのサイクル， IOT・ロボット［ＡＩ利活用の事例紹介］ 「基礎情報処理Ⅱ」</t>
    </r>
    <r>
      <rPr>
        <sz val="8"/>
        <color theme="1"/>
        <rFont val="ＭＳ Ｐゴシック"/>
        <family val="3"/>
        <charset val="128"/>
        <scheme val="minor"/>
      </rPr>
      <t xml:space="preserve">
  </t>
    </r>
    <r>
      <rPr>
        <sz val="10"/>
        <color theme="1"/>
        <rFont val="ＭＳ Ｐゴシック"/>
        <family val="3"/>
        <charset val="128"/>
        <scheme val="minor"/>
      </rPr>
      <t xml:space="preserve">  ＜都市デザイン工学科＞2回目
　　＜建築学科＞2回目
　　＜機械工学科＞2回目
　　＜電気電子システム工学科＞2回目
　　＜電子情報システム工学科＞9回目
　　＜応用化学科＞2回目
　　＜環境工学科＞2回目
　　＜生命工学科＞2回目 </t>
    </r>
    <rPh sb="61" eb="63">
      <t>ショウカイ</t>
    </rPh>
    <phoneticPr fontId="1"/>
  </si>
  <si>
    <r>
      <rPr>
        <sz val="12"/>
        <color theme="1"/>
        <rFont val="ＭＳ Ｐゴシック"/>
        <family val="3"/>
        <charset val="128"/>
        <scheme val="minor"/>
      </rPr>
      <t>・ELSI、GDPR、プライバシー保護、人間中心のAI社会原理、データ取り扱いの健全性、個人情報とプライバシー、データバイアス、アルゴリズムバイアス、社会的合意の形成、AIサービスの責任論</t>
    </r>
    <r>
      <rPr>
        <sz val="8"/>
        <color theme="1"/>
        <rFont val="ＭＳ Ｐゴシック"/>
        <family val="3"/>
        <charset val="128"/>
        <scheme val="minor"/>
      </rPr>
      <t xml:space="preserve">
   </t>
    </r>
    <r>
      <rPr>
        <sz val="10"/>
        <color theme="1"/>
        <rFont val="ＭＳ Ｐゴシック"/>
        <family val="3"/>
        <charset val="128"/>
        <scheme val="minor"/>
      </rPr>
      <t xml:space="preserve"> ＜都市デザイン工学科＞ 「技術者倫理」 11・12回目
　　＜建築学科＞「キャリア形成支援」10・11回目
　　＜機械工学科＞「工学倫理」11・12回目
　　＜電気電子システム工学科＞「技術者倫理」 12・13回目
　　＜電子情報システム工学科＞「情報社会と倫理」12・13回目
　　＜応用化学科＞「工学倫理」13・14回目
　　＜環境工学科＞「環境倫理」12・13回目
　　＜生命工学科＞「工学倫理」12・13回目 </t>
    </r>
    <rPh sb="150" eb="152">
      <t>カイメ</t>
    </rPh>
    <rPh sb="163" eb="167">
      <t>コウガクリンリ</t>
    </rPh>
    <phoneticPr fontId="1"/>
  </si>
  <si>
    <r>
      <rPr>
        <sz val="12"/>
        <color theme="1"/>
        <rFont val="ＭＳ Ｐゴシック"/>
        <family val="3"/>
        <charset val="128"/>
        <scheme val="minor"/>
      </rPr>
      <t>・情報セキュリティ、データの保護手法、情報漏洩等によるセキュリティ事故の事例紹介</t>
    </r>
    <r>
      <rPr>
        <sz val="8"/>
        <color theme="1"/>
        <rFont val="ＭＳ Ｐゴシック"/>
        <family val="3"/>
        <charset val="128"/>
        <scheme val="minor"/>
      </rPr>
      <t xml:space="preserve">
   </t>
    </r>
    <r>
      <rPr>
        <sz val="10"/>
        <color theme="1"/>
        <rFont val="ＭＳ Ｐゴシック"/>
        <family val="3"/>
        <charset val="128"/>
        <scheme val="minor"/>
      </rPr>
      <t xml:space="preserve"> ＜都市デザイン工学科＞ 「技術者倫理」 12回目
　　＜建築学科＞「キャリア形成支援」11回目
　　＜機械工学科＞「工学倫理」12回目
　　＜電気電子システム工学科＞「技術者倫理」13回目
　　＜電子情報システム工学科＞「情報社会と倫理」13回目
　　＜応用化学科＞「工学倫理」14回目
　　＜環境工学科＞「環境倫理」13回目
　　＜生命工学科＞「工学倫理」12・13回目</t>
    </r>
    <rPh sb="19" eb="21">
      <t>ジョウホウ</t>
    </rPh>
    <rPh sb="21" eb="23">
      <t>ロウエイ</t>
    </rPh>
    <rPh sb="23" eb="24">
      <t>トウ</t>
    </rPh>
    <phoneticPr fontId="1"/>
  </si>
  <si>
    <r>
      <rPr>
        <sz val="12"/>
        <color theme="1"/>
        <rFont val="ＭＳ Ｐゴシック"/>
        <family val="3"/>
        <charset val="128"/>
        <scheme val="minor"/>
      </rPr>
      <t>・相関と因果、データの代表値、ばらつき「基礎情報処理Ⅱ」</t>
    </r>
    <r>
      <rPr>
        <sz val="8"/>
        <color theme="1"/>
        <rFont val="ＭＳ Ｐゴシック"/>
        <family val="3"/>
        <charset val="128"/>
        <scheme val="minor"/>
      </rPr>
      <t xml:space="preserve">
</t>
    </r>
    <r>
      <rPr>
        <sz val="10"/>
        <color theme="1"/>
        <rFont val="ＭＳ Ｐゴシック"/>
        <family val="3"/>
        <charset val="128"/>
        <scheme val="minor"/>
      </rPr>
      <t xml:space="preserve">    ＜都市デザイン工学科＞ 3・5回目
　　＜建築学科＞ 3・5回目
　　＜機械工学科＞ 3・5回目
　　＜電気電子システム工学科＞ 3・5回目
　　＜電子情報システム工学科＞ 10・12回目
　　＜応用化学科＞ 3・5回目
　　＜環境工学科＞ 3・5回目
　　＜生命工学科＞ 3・5回目  </t>
    </r>
    <phoneticPr fontId="1"/>
  </si>
  <si>
    <r>
      <rPr>
        <sz val="12"/>
        <rFont val="ＭＳ Ｐゴシック"/>
        <family val="3"/>
        <charset val="128"/>
        <scheme val="minor"/>
      </rPr>
      <t>・データの比較、可視化による気づき、ベイズの定理「基礎情報処理Ⅱ」</t>
    </r>
    <r>
      <rPr>
        <sz val="8"/>
        <rFont val="ＭＳ Ｐゴシック"/>
        <family val="3"/>
        <charset val="128"/>
        <scheme val="minor"/>
      </rPr>
      <t xml:space="preserve">
　　</t>
    </r>
    <r>
      <rPr>
        <sz val="10"/>
        <rFont val="ＭＳ Ｐゴシック"/>
        <family val="3"/>
        <charset val="128"/>
        <scheme val="minor"/>
      </rPr>
      <t xml:space="preserve">＜都市デザイン工学科＞ 4・5・6回目
　　＜建築学科＞ 4・5・6回目
　　＜機械工学科＞ 4・5・6回目
　　＜電気電子システム工学科＞ 4・5・6回目
　　＜電子情報システム工学科＞ 11・12・13回目
　　＜応用化学科＞4・5・6回目
　　＜環境工学科＞4・5・6回目
　　＜生命工学科＞4・5・6回目  </t>
    </r>
    <phoneticPr fontId="1"/>
  </si>
  <si>
    <r>
      <rPr>
        <sz val="12"/>
        <color theme="1"/>
        <rFont val="ＭＳ Ｐゴシック"/>
        <family val="3"/>
        <charset val="128"/>
        <scheme val="minor"/>
      </rPr>
      <t>・コンピュータの進化［計算機の処理性能の向上］、IoT, AI, ビックデータ，Society 5.0「コンピュータ入門」</t>
    </r>
    <r>
      <rPr>
        <sz val="9"/>
        <color theme="1"/>
        <rFont val="ＭＳ Ｐゴシック"/>
        <family val="3"/>
        <charset val="128"/>
        <scheme val="minor"/>
      </rPr>
      <t xml:space="preserve">
　　</t>
    </r>
    <r>
      <rPr>
        <sz val="10"/>
        <color theme="1"/>
        <rFont val="ＭＳ Ｐゴシック"/>
        <family val="3"/>
        <charset val="128"/>
        <scheme val="minor"/>
      </rPr>
      <t>＜データサイエンス学科＞1回目
　　＜情報知能学科＞1回目
　　＜情報システム学科＞1回目
　　＜情報メディア学科＞1回目
　　＜ネットワークデザイン学科＞1回目</t>
    </r>
    <rPh sb="83" eb="87">
      <t>ジョウホウチノウ</t>
    </rPh>
    <rPh sb="97" eb="99">
      <t>ジョウホウ</t>
    </rPh>
    <rPh sb="113" eb="115">
      <t>ジョウホウ</t>
    </rPh>
    <phoneticPr fontId="1"/>
  </si>
  <si>
    <r>
      <t>・AI最新技術の活用例（深層学習，自然言語処理，最適化技術）「コンピュータ入門」
　　</t>
    </r>
    <r>
      <rPr>
        <sz val="10"/>
        <color theme="1"/>
        <rFont val="ＭＳ Ｐゴシック"/>
        <family val="3"/>
        <charset val="128"/>
        <scheme val="minor"/>
      </rPr>
      <t>＜データサイエンス学科＞1回目
　　＜情報知能学科＞1回目
　　＜情報システム学科＞1回目
　　＜情報メディア学科＞1回目
　　＜ネットワークデザイン学科＞1回目</t>
    </r>
    <phoneticPr fontId="1"/>
  </si>
  <si>
    <r>
      <t xml:space="preserve">・調査データ，観測データ，実験データ，ログデータ，オープンデータ、データアノテーション「コンピュータ入門」
  </t>
    </r>
    <r>
      <rPr>
        <sz val="10"/>
        <color theme="1"/>
        <rFont val="ＭＳ Ｐゴシック"/>
        <family val="3"/>
        <charset val="128"/>
        <scheme val="minor"/>
      </rPr>
      <t>　＜データサイエンス学科＞2回目
　　＜情報知能学科＞2回目
　　＜情報システム学科＞2回目
　　＜情報メディア学科＞2回目
　　＜ネットワークデザイン学科＞2回目</t>
    </r>
    <phoneticPr fontId="1"/>
  </si>
  <si>
    <r>
      <t>・データ・AIが活用される分野［データ・ＡＩ活用領域の広がり］(物理・化学・生物学・法律・経済・ビジネスなど)「コンピュータ入門」
　　</t>
    </r>
    <r>
      <rPr>
        <sz val="10"/>
        <color theme="1"/>
        <rFont val="ＭＳ Ｐゴシック"/>
        <family val="3"/>
        <charset val="128"/>
        <scheme val="minor"/>
      </rPr>
      <t>＜データサイエンス学科＞2回目
　　＜情報知能学科＞2回目
　　＜情報システム学科＞2回目
　　＜情報メディア学科＞2回目
　　＜ネットワークデザイン学科＞2回目</t>
    </r>
    <phoneticPr fontId="1"/>
  </si>
  <si>
    <r>
      <t>・機械学習技術・最適化技術などの概要［探索的データ解析］，データサイエンスのサイクル， IOT・ロボット［ＡＩ利活用の事例紹介］「コンピュータ入門」
　</t>
    </r>
    <r>
      <rPr>
        <sz val="10"/>
        <color theme="1"/>
        <rFont val="ＭＳ Ｐゴシック"/>
        <family val="3"/>
        <charset val="128"/>
        <scheme val="minor"/>
      </rPr>
      <t>　＜データサイエンス学科＞14回目
　　＜情報知能学科＞14回目
　　＜情報システム学科＞14回目
　　＜情報メディア学科＞14回目
　　＜ネットワークデザイン学科＞14回目</t>
    </r>
    <phoneticPr fontId="1"/>
  </si>
  <si>
    <r>
      <t>・相関と因果、データの代表値、ばらつき「確率・統計」
　　</t>
    </r>
    <r>
      <rPr>
        <sz val="10"/>
        <color theme="1"/>
        <rFont val="ＭＳ Ｐゴシック"/>
        <family val="3"/>
        <charset val="128"/>
        <scheme val="minor"/>
      </rPr>
      <t>＜データサイエンス学科＞4・13回目
　　＜情報知能学科＞4・13回目
　　＜情報システム学科＞4・11・14回目
　　＜情報メディア学科＞4・13回目
　　＜ネットワークデザイン学科＞4・11・14回目</t>
    </r>
    <phoneticPr fontId="1"/>
  </si>
  <si>
    <r>
      <t>・データの集計（和・平均）、データの並び替え、ランキング、データ解析ツール（スプレッドシート）、表形式のデータ（CSV）「確率・統計」
　　</t>
    </r>
    <r>
      <rPr>
        <sz val="10"/>
        <color theme="1"/>
        <rFont val="ＭＳ Ｐゴシック"/>
        <family val="3"/>
        <charset val="128"/>
        <scheme val="minor"/>
      </rPr>
      <t xml:space="preserve">＜データサイエンス学科＞4・11・13回目
　　＜情報知能学科＞4・11・13回目
　　＜情報メディア学科＞4・11・13回目
</t>
    </r>
    <r>
      <rPr>
        <sz val="12"/>
        <color theme="1"/>
        <rFont val="ＭＳ Ｐゴシック"/>
        <family val="3"/>
        <charset val="128"/>
        <scheme val="minor"/>
      </rPr>
      <t xml:space="preserve">
・データの集計（和・平均）、ランキング、データ解析ツール（スプレッドシート）、表形式のデータ（CSV）「確率・統計」
　</t>
    </r>
    <r>
      <rPr>
        <sz val="10"/>
        <color theme="1"/>
        <rFont val="ＭＳ Ｐゴシック"/>
        <family val="3"/>
        <charset val="128"/>
        <scheme val="minor"/>
      </rPr>
      <t>　＜情報システム学科＞11・14回目
　　＜ネットワークデザイン学科＞11・14回目</t>
    </r>
    <phoneticPr fontId="1"/>
  </si>
  <si>
    <r>
      <rPr>
        <sz val="12"/>
        <rFont val="ＭＳ Ｐゴシック"/>
        <family val="3"/>
        <charset val="128"/>
        <scheme val="minor"/>
      </rPr>
      <t>・AI最新技術の活用例（深層学習，自然言語処理，最適化技術）「基礎情報処理Ⅱ」</t>
    </r>
    <r>
      <rPr>
        <sz val="8"/>
        <rFont val="ＭＳ Ｐゴシック"/>
        <family val="3"/>
        <charset val="128"/>
        <scheme val="minor"/>
      </rPr>
      <t xml:space="preserve">
　</t>
    </r>
    <r>
      <rPr>
        <sz val="10"/>
        <rFont val="ＭＳ Ｐゴシック"/>
        <family val="3"/>
        <charset val="128"/>
        <scheme val="minor"/>
      </rPr>
      <t>　＜都市デザイン工学科＞1回目
　　＜建築学科＞1回目
　　＜機械工学科＞1回目
　　＜電気電子システム工学科＞1回目
　　＜電子情報システム工学科＞8回目
　　＜応用化学科＞1回目
　　＜環境工学科＞1回目
　　＜生命工学科＞1回目</t>
    </r>
    <rPh sb="3" eb="7">
      <t>サイシンギジュツ</t>
    </rPh>
    <rPh sb="8" eb="11">
      <t>カツヨウレイ</t>
    </rPh>
    <phoneticPr fontId="1"/>
  </si>
  <si>
    <r>
      <rPr>
        <sz val="12"/>
        <color theme="1"/>
        <rFont val="ＭＳ Ｐゴシック"/>
        <family val="3"/>
        <charset val="128"/>
        <scheme val="minor"/>
      </rPr>
      <t>・データの可視化，クラスタリング［データ解析］，予測,機械学習技術・最適化技術などの概要［非構造化データ処理］「キャリアデザイン」</t>
    </r>
    <r>
      <rPr>
        <sz val="8"/>
        <color theme="1"/>
        <rFont val="ＭＳ Ｐゴシック"/>
        <family val="3"/>
        <charset val="128"/>
        <scheme val="minor"/>
      </rPr>
      <t xml:space="preserve">
  </t>
    </r>
    <r>
      <rPr>
        <sz val="10"/>
        <color theme="1"/>
        <rFont val="ＭＳ Ｐゴシック"/>
        <family val="3"/>
        <charset val="128"/>
        <scheme val="minor"/>
      </rPr>
      <t xml:space="preserve">  ＜都市デザイン工学科＞11回目
　　＜建築学科＞14回目
　　＜機械工学科＞10回目
　　＜電気電子システム工学科＞14回目
　　＜電子情報システム工学科＞4回目
　　＜応用化学科＞7回目
　　＜環境工学科＞4回目
　　＜生命工学科＞11回目 </t>
    </r>
    <rPh sb="20" eb="22">
      <t>カイセキ</t>
    </rPh>
    <phoneticPr fontId="1"/>
  </si>
  <si>
    <r>
      <t xml:space="preserve">・データの集計（和・平均）、データの並び替え、ランキング、データ解析ツール（スプレッドシート）、表形式のデータ（CSV）「確率・統計学」
  </t>
    </r>
    <r>
      <rPr>
        <sz val="10"/>
        <color theme="1"/>
        <rFont val="ＭＳ Ｐゴシック"/>
        <family val="3"/>
        <charset val="128"/>
        <scheme val="minor"/>
      </rPr>
      <t>＜ロボット工学科＞3回目
　＜システムデザイン工学科＞3回目
　＜空間デザイン学科＞3回目</t>
    </r>
    <phoneticPr fontId="1"/>
  </si>
  <si>
    <r>
      <t>・ELSI、GDPR、プライバシー保護、人間中心のAI社会原理、データ取り扱いの健全性、個人情報とプライバシー、データバイアス、アルゴリズムバイアス、社会的合意の形成、AIサービスの責任論「情報技術者論」
　</t>
    </r>
    <r>
      <rPr>
        <sz val="10"/>
        <color theme="1"/>
        <rFont val="ＭＳ Ｐゴシック"/>
        <family val="3"/>
        <charset val="128"/>
        <scheme val="minor"/>
      </rPr>
      <t>　＜情報知能学科＞7回目
　　＜情報システム学科＞7回目
　　＜情報メディア学科＞7回目
　　＜ネットワークデザイン学科＞7回目
  ※ データサイエンス学科は2021年度に開設され、3年次配当科目のため2022年度は不開講。2023年度から開講。</t>
    </r>
    <rPh sb="222" eb="224">
      <t>ネンド</t>
    </rPh>
    <rPh sb="226" eb="228">
      <t>カイコウ</t>
    </rPh>
    <phoneticPr fontId="1"/>
  </si>
  <si>
    <r>
      <t xml:space="preserve">
・情報セキュリティ、データの保護手法、情報漏洩等によるセキュリティ事故の事例紹介「情報技術者論」
　　</t>
    </r>
    <r>
      <rPr>
        <sz val="10"/>
        <color theme="1"/>
        <rFont val="ＭＳ Ｐゴシック"/>
        <family val="3"/>
        <charset val="128"/>
        <scheme val="minor"/>
      </rPr>
      <t>＜情報知能学科＞7回目
　　＜情報システム学科＞7回目
　　＜情報メディア学科＞7回目
　　＜ネットワークデザイン学科＞7回目
  ※ データサイエンス学科は2021年度に開設され、3年次配当科目のため2022年度は不開講。2023年度から開講。</t>
    </r>
    <phoneticPr fontId="1"/>
  </si>
  <si>
    <r>
      <t>・データの比較、可視化による気づき、ベイズの定理「確率・統計」
　　</t>
    </r>
    <r>
      <rPr>
        <sz val="10"/>
        <color theme="1"/>
        <rFont val="ＭＳ Ｐゴシック"/>
        <family val="3"/>
        <charset val="128"/>
        <scheme val="minor"/>
      </rPr>
      <t>＜データサイエンス学科＞4・11回目
　　＜情報知能学科＞4・11回目
　　＜情報システム学科＞4・11・14回目
　　＜情報メディア学科＞4・11回目
　　＜ネットワークデザイン学科＞4・11・14回目</t>
    </r>
    <phoneticPr fontId="1"/>
  </si>
  <si>
    <r>
      <rPr>
        <sz val="12"/>
        <rFont val="ＭＳ Ｐゴシック"/>
        <family val="3"/>
        <charset val="128"/>
        <scheme val="minor"/>
      </rPr>
      <t>・データの集計（和・平均）「基礎情報処理Ⅱ」</t>
    </r>
    <r>
      <rPr>
        <sz val="8"/>
        <rFont val="ＭＳ Ｐゴシック"/>
        <family val="3"/>
        <charset val="128"/>
        <scheme val="minor"/>
      </rPr>
      <t xml:space="preserve">
　</t>
    </r>
    <r>
      <rPr>
        <sz val="10"/>
        <rFont val="ＭＳ Ｐゴシック"/>
        <family val="3"/>
        <charset val="128"/>
        <scheme val="minor"/>
      </rPr>
      <t>　＜都市デザイン工学科＞ 3・5・6回目
　　＜建築学科＞ 3・5・6回目
　　＜機械工学科＞ 3・5・6回目
　　＜電気電子システム工学科＞ 3・5・6回目
　　＜電子情報システム工学科＞ 12回目
　　＜応用化学科＞3・5・6回目
　　＜環境工学科＞3・4・5・6回目
　　＜生命工学科＞3・5・6回目</t>
    </r>
    <phoneticPr fontId="1"/>
  </si>
  <si>
    <r>
      <t>・データの可視化，クラスタリング［データ解析］，予測「コンピュータ入門」
　　</t>
    </r>
    <r>
      <rPr>
        <sz val="10"/>
        <color theme="1"/>
        <rFont val="ＭＳ Ｐゴシック"/>
        <family val="3"/>
        <charset val="128"/>
        <scheme val="minor"/>
      </rPr>
      <t>＜データサイエンス学科＞14回目
　　＜情報知能学科＞14回目
　　＜情報システム学科＞14回目
　　＜情報メディア学科＞14回目
　　＜ネットワークデザイン学科＞14回目</t>
    </r>
    <phoneticPr fontId="1"/>
  </si>
  <si>
    <t>椋平　淳     教務部長(委員長）
森内隆代 　 教育センター長（副委員長）
田中　克佳　教務課長　
山口 行一　 工学部教授（学部長推薦、学長任命）	
吉田 準史　 工学部教授（学部長推薦、学長任命）	
東本 慎也　 工学部教授（学部長推薦、学長任命）
谷　保孝　 　工学部教授（学部長推薦、学長任命）
辻本 智子　 工学部教授（学部長推薦、学長任命）
倉前宏行　　ロボティクス＆デザイン工学部教授（学部長推薦、学長任命）
中山 学之　 ロボティクス＆デザイン工学部教授（学部長推薦、学長任命）
白髪 誠一　 ロボティクス＆デザイン工学部教授（学部長推薦、学長任命）
福安 直樹　 情報科学部教授（学部長推薦、学長任命）
西口 敏司　 情報科学部教授（学部長推薦、学長任命）
廣田　義人　知的財産学部教授（学部長推薦、学長任命）
五丁　龍志　知的財産学部教授（学部長推薦、学長任命）
大塚　理彦　大学院知的財産研究科教授（研究科長推薦、学長任命）</t>
    <phoneticPr fontId="1"/>
  </si>
  <si>
    <t xml:space="preserve">本学では自己評価・IR委員会の小委員会において外部評価委員会を設置し、産業界からの視点も含めた教育課程に対する検証が図れる仕組みとなっている。本教育プログラムは2022年度から一斉実施しているため、実質的に多数の修了者を輩出する年度は2025年度であり、適正な評価が可能となる年度に達していない。しかし、「卒業生アンケート」（卒業後3年目対象）および「企業アンケート」に関連する設問を追加しており、本プログラム修了生を輩出する前段階で可能な限り企業等のニーズの把握に努めている。
</t>
    <rPh sb="29" eb="30">
      <t>カイ</t>
    </rPh>
    <rPh sb="31" eb="33">
      <t>セッチ</t>
    </rPh>
    <rPh sb="35" eb="38">
      <t>サンギョウカイ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</si>
</sst>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8"/>
      <name val="ＭＳ Ｐゴシック"/>
      <family val="3"/>
      <charset val="128"/>
      <scheme val="minor"/>
    </font>
    <font>
      <sz val="8"/>
      <color theme="0"/>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dotted">
        <color auto="1"/>
      </left>
      <right/>
      <top style="thin">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3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pplyAlignment="1">
      <alignment vertical="top" wrapText="1"/>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lignment vertical="center"/>
    </xf>
    <xf numFmtId="0" fontId="11" fillId="0" borderId="14" xfId="0" applyFont="1" applyBorder="1" applyAlignment="1">
      <alignment horizontal="center" vertical="center" shrinkToFit="1"/>
    </xf>
    <xf numFmtId="0" fontId="11" fillId="0" borderId="23" xfId="0" applyFont="1" applyBorder="1" applyAlignment="1">
      <alignment horizontal="center" vertical="center" shrinkToFit="1"/>
    </xf>
    <xf numFmtId="0" fontId="11" fillId="0" borderId="13" xfId="0" applyFont="1" applyBorder="1" applyAlignment="1">
      <alignment horizontal="center" vertical="center" shrinkToFit="1"/>
    </xf>
    <xf numFmtId="38" fontId="2" fillId="0" borderId="59" xfId="2" applyFont="1" applyBorder="1" applyAlignment="1">
      <alignment vertical="center" shrinkToFit="1"/>
    </xf>
    <xf numFmtId="38" fontId="2" fillId="0" borderId="47" xfId="2" applyFont="1" applyBorder="1" applyAlignment="1">
      <alignment vertical="center" shrinkToFit="1"/>
    </xf>
    <xf numFmtId="9" fontId="2" fillId="0" borderId="15" xfId="0" applyNumberFormat="1" applyFont="1" applyBorder="1" applyAlignment="1">
      <alignment vertical="center" shrinkToFit="1"/>
    </xf>
    <xf numFmtId="9" fontId="2" fillId="0" borderId="27" xfId="0" applyNumberFormat="1" applyFont="1" applyBorder="1" applyAlignment="1">
      <alignment vertical="center" shrinkToFit="1"/>
    </xf>
    <xf numFmtId="20" fontId="2" fillId="0" borderId="54" xfId="2" applyNumberFormat="1" applyFont="1" applyBorder="1" applyAlignment="1">
      <alignment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0" xfId="0" applyFont="1" applyAlignment="1">
      <alignmen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11" fillId="0" borderId="33" xfId="0" applyFont="1" applyBorder="1" applyAlignment="1">
      <alignment horizontal="left" vertical="center" indent="2" shrinkToFit="1"/>
    </xf>
    <xf numFmtId="0" fontId="11" fillId="0" borderId="35" xfId="0" applyFont="1" applyBorder="1" applyAlignment="1">
      <alignment horizontal="left" vertical="center" indent="2" shrinkToFit="1"/>
    </xf>
    <xf numFmtId="0" fontId="11" fillId="0" borderId="34" xfId="0" applyFont="1" applyBorder="1" applyAlignment="1">
      <alignment horizontal="left" vertical="center" indent="2" shrinkToFit="1"/>
    </xf>
    <xf numFmtId="0" fontId="11" fillId="0" borderId="19" xfId="0" applyFont="1" applyBorder="1" applyAlignment="1">
      <alignment horizontal="left" vertical="center" indent="2" shrinkToFit="1"/>
    </xf>
    <xf numFmtId="0" fontId="11" fillId="0" borderId="20" xfId="0" applyFont="1" applyBorder="1" applyAlignment="1">
      <alignment horizontal="left" vertical="center" indent="2" shrinkToFit="1"/>
    </xf>
    <xf numFmtId="0" fontId="11" fillId="0" borderId="18" xfId="0" applyFont="1" applyBorder="1" applyAlignment="1">
      <alignment horizontal="left" vertical="center" indent="2"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11" fillId="0" borderId="36" xfId="0" applyFont="1" applyBorder="1" applyAlignment="1">
      <alignment horizontal="center" vertical="center"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36" xfId="0" applyFont="1" applyBorder="1" applyAlignment="1">
      <alignment horizontal="left" vertical="center" indent="2" shrinkToFit="1"/>
    </xf>
    <xf numFmtId="0" fontId="11" fillId="0" borderId="37" xfId="0" applyFont="1" applyBorder="1" applyAlignment="1">
      <alignment horizontal="left" vertical="center" indent="2" shrinkToFit="1"/>
    </xf>
    <xf numFmtId="0" fontId="11" fillId="0" borderId="38" xfId="0" applyFont="1" applyBorder="1" applyAlignment="1">
      <alignment horizontal="left" vertical="center" indent="2" shrinkToFit="1"/>
    </xf>
    <xf numFmtId="0" fontId="2" fillId="0" borderId="0" xfId="0" applyFont="1" applyAlignment="1">
      <alignment horizontal="right" vertical="center"/>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12" fillId="0" borderId="36" xfId="0" applyFont="1" applyBorder="1" applyAlignment="1">
      <alignment horizontal="left" vertical="center" wrapText="1" shrinkToFit="1"/>
    </xf>
    <xf numFmtId="0" fontId="12" fillId="0" borderId="37" xfId="0" applyFont="1" applyBorder="1" applyAlignment="1">
      <alignment horizontal="left" vertical="center" wrapText="1" shrinkToFit="1"/>
    </xf>
    <xf numFmtId="0" fontId="12" fillId="0" borderId="38" xfId="0" applyFont="1" applyBorder="1" applyAlignment="1">
      <alignment horizontal="left" vertical="center" wrapText="1" shrinkToFit="1"/>
    </xf>
    <xf numFmtId="0" fontId="9" fillId="0" borderId="33" xfId="0" applyFont="1" applyBorder="1" applyAlignment="1">
      <alignment horizontal="left" vertical="center" wrapText="1" shrinkToFit="1"/>
    </xf>
    <xf numFmtId="0" fontId="9" fillId="0" borderId="35" xfId="0" applyFont="1" applyBorder="1" applyAlignment="1">
      <alignment horizontal="left" vertical="center" wrapText="1" shrinkToFit="1"/>
    </xf>
    <xf numFmtId="0" fontId="9" fillId="0" borderId="34" xfId="0" applyFont="1" applyBorder="1" applyAlignment="1">
      <alignment horizontal="left" vertical="center" wrapText="1" shrinkToFit="1"/>
    </xf>
    <xf numFmtId="0" fontId="9" fillId="0" borderId="36" xfId="0" applyFont="1" applyBorder="1" applyAlignment="1">
      <alignment horizontal="left" vertical="center" wrapText="1"/>
    </xf>
    <xf numFmtId="0" fontId="9" fillId="0" borderId="37" xfId="0" applyFont="1" applyBorder="1" applyAlignment="1">
      <alignment horizontal="left" vertical="center" wrapText="1"/>
    </xf>
    <xf numFmtId="0" fontId="9" fillId="0" borderId="38" xfId="0" applyFont="1" applyBorder="1" applyAlignment="1">
      <alignment horizontal="left" vertical="center" wrapText="1"/>
    </xf>
    <xf numFmtId="0" fontId="12" fillId="0" borderId="11" xfId="0" applyFont="1" applyFill="1" applyBorder="1" applyAlignment="1">
      <alignment horizontal="left" vertical="center" wrapText="1" shrinkToFit="1"/>
    </xf>
    <xf numFmtId="0" fontId="12" fillId="0" borderId="6" xfId="0" applyFont="1" applyFill="1" applyBorder="1" applyAlignment="1">
      <alignment horizontal="left" vertical="center" wrapText="1" shrinkToFit="1"/>
    </xf>
    <xf numFmtId="0" fontId="12" fillId="0" borderId="12" xfId="0" applyFont="1" applyFill="1" applyBorder="1" applyAlignment="1">
      <alignment horizontal="left" vertical="center" wrapText="1"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9" fillId="0" borderId="36" xfId="0" applyFont="1" applyFill="1" applyBorder="1" applyAlignment="1">
      <alignment horizontal="left" vertical="center" wrapText="1"/>
    </xf>
    <xf numFmtId="0" fontId="9" fillId="0" borderId="37" xfId="0" applyFont="1" applyFill="1" applyBorder="1" applyAlignment="1">
      <alignment horizontal="left" vertical="center" wrapText="1"/>
    </xf>
    <xf numFmtId="0" fontId="9" fillId="0" borderId="38" xfId="0" applyFont="1" applyFill="1" applyBorder="1" applyAlignment="1">
      <alignment horizontal="left" vertical="center" wrapText="1"/>
    </xf>
    <xf numFmtId="0" fontId="12" fillId="0" borderId="19" xfId="0" applyFont="1" applyFill="1" applyBorder="1" applyAlignment="1">
      <alignment horizontal="left" vertical="center" wrapText="1"/>
    </xf>
    <xf numFmtId="0" fontId="12" fillId="0" borderId="20" xfId="0" applyFont="1" applyFill="1" applyBorder="1" applyAlignment="1">
      <alignment horizontal="left" vertical="center" wrapText="1"/>
    </xf>
    <xf numFmtId="0" fontId="12" fillId="0" borderId="18" xfId="0" applyFont="1" applyFill="1" applyBorder="1" applyAlignment="1">
      <alignment horizontal="lef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3" xfId="0" applyFont="1" applyBorder="1" applyAlignment="1">
      <alignment horizontal="left" vertical="center" indent="2" shrinkToFit="1"/>
    </xf>
    <xf numFmtId="0" fontId="2" fillId="0" borderId="35" xfId="0" applyFont="1" applyBorder="1" applyAlignment="1">
      <alignment horizontal="left" vertical="center" indent="2" shrinkToFit="1"/>
    </xf>
    <xf numFmtId="0" fontId="3" fillId="0" borderId="44" xfId="0" applyFont="1" applyBorder="1" applyAlignment="1">
      <alignment vertical="center" wrapText="1"/>
    </xf>
    <xf numFmtId="0" fontId="3" fillId="0" borderId="45" xfId="0" applyFont="1" applyBorder="1" applyAlignment="1">
      <alignment vertical="center" wrapText="1"/>
    </xf>
    <xf numFmtId="0" fontId="3" fillId="0" borderId="30" xfId="0" applyFont="1" applyBorder="1" applyAlignment="1">
      <alignment vertical="center" wrapTex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9" fillId="0" borderId="33" xfId="0" applyFont="1" applyFill="1" applyBorder="1" applyAlignment="1">
      <alignment horizontal="left" vertical="center" wrapText="1"/>
    </xf>
    <xf numFmtId="0" fontId="9" fillId="0" borderId="35" xfId="0" applyFont="1" applyFill="1" applyBorder="1" applyAlignment="1">
      <alignment horizontal="left" vertical="center" wrapText="1"/>
    </xf>
    <xf numFmtId="0" fontId="9" fillId="0" borderId="34" xfId="0" applyFont="1" applyFill="1" applyBorder="1" applyAlignment="1">
      <alignment horizontal="left" vertical="center" wrapText="1"/>
    </xf>
    <xf numFmtId="0" fontId="12" fillId="0" borderId="36" xfId="0" applyFont="1" applyFill="1" applyBorder="1" applyAlignment="1">
      <alignment horizontal="left" vertical="center" wrapText="1"/>
    </xf>
    <xf numFmtId="0" fontId="12" fillId="0" borderId="37" xfId="0" applyFont="1" applyFill="1" applyBorder="1" applyAlignment="1">
      <alignment horizontal="left" vertical="center" wrapText="1"/>
    </xf>
    <xf numFmtId="0" fontId="12" fillId="0" borderId="38" xfId="0" applyFont="1" applyFill="1" applyBorder="1" applyAlignment="1">
      <alignment horizontal="left" vertical="center" wrapText="1"/>
    </xf>
    <xf numFmtId="0" fontId="9" fillId="0" borderId="33" xfId="0" applyFont="1" applyBorder="1" applyAlignment="1">
      <alignment horizontal="left" vertical="center" wrapText="1"/>
    </xf>
    <xf numFmtId="0" fontId="9" fillId="0" borderId="35" xfId="0" applyFont="1" applyBorder="1" applyAlignment="1">
      <alignment horizontal="left" vertical="center" wrapText="1"/>
    </xf>
    <xf numFmtId="0" fontId="9" fillId="0" borderId="34" xfId="0" applyFont="1" applyBorder="1" applyAlignment="1">
      <alignment horizontal="lef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2" fillId="0" borderId="33" xfId="0" applyFont="1" applyBorder="1" applyAlignment="1">
      <alignment horizontal="left" vertical="center" wrapText="1" shrinkToFit="1"/>
    </xf>
    <xf numFmtId="0" fontId="12" fillId="0" borderId="35" xfId="0" applyFont="1" applyBorder="1" applyAlignment="1">
      <alignment horizontal="left" vertical="center" wrapText="1" shrinkToFit="1"/>
    </xf>
    <xf numFmtId="0" fontId="12" fillId="0" borderId="34" xfId="0" applyFont="1" applyBorder="1" applyAlignment="1">
      <alignment horizontal="left" vertical="center" wrapText="1" shrinkToFit="1"/>
    </xf>
    <xf numFmtId="0" fontId="2" fillId="0" borderId="35" xfId="0" applyFont="1" applyBorder="1" applyAlignment="1">
      <alignment vertical="center" wrapText="1"/>
    </xf>
    <xf numFmtId="0" fontId="2" fillId="0" borderId="34"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18"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35" xfId="0" applyFont="1" applyBorder="1" applyAlignment="1">
      <alignment horizontal="left" vertical="center" shrinkToFit="1"/>
    </xf>
    <xf numFmtId="0" fontId="2" fillId="0" borderId="34" xfId="0" applyFont="1" applyBorder="1" applyAlignment="1">
      <alignment horizontal="left" vertical="center" shrinkToFit="1"/>
    </xf>
    <xf numFmtId="0" fontId="2" fillId="0" borderId="37" xfId="0" applyFont="1" applyBorder="1" applyAlignment="1">
      <alignment horizontal="left" vertical="center" wrapText="1"/>
    </xf>
    <xf numFmtId="0" fontId="2" fillId="0" borderId="38" xfId="0" applyFont="1" applyBorder="1" applyAlignment="1">
      <alignment horizontal="left" vertical="center" wrapTex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2" fillId="0" borderId="22" xfId="0" applyFont="1" applyBorder="1" applyAlignment="1">
      <alignment horizontal="left" vertical="center" wrapText="1" shrinkToFit="1"/>
    </xf>
    <xf numFmtId="0" fontId="2" fillId="0" borderId="21" xfId="0" applyFont="1" applyBorder="1" applyAlignment="1">
      <alignment horizontal="left" vertical="center" wrapText="1" shrinkToFit="1"/>
    </xf>
    <xf numFmtId="0" fontId="2" fillId="0" borderId="35" xfId="0" applyFont="1" applyBorder="1" applyAlignment="1">
      <alignment horizontal="left" vertical="center" wrapText="1"/>
    </xf>
    <xf numFmtId="0" fontId="2" fillId="0" borderId="34" xfId="0" applyFont="1" applyBorder="1" applyAlignment="1">
      <alignment horizontal="left" vertical="center" wrapText="1"/>
    </xf>
    <xf numFmtId="0" fontId="2" fillId="0" borderId="34" xfId="0" applyFont="1" applyBorder="1" applyAlignment="1">
      <alignment horizontal="left" vertical="center" indent="2" shrinkToFit="1"/>
    </xf>
    <xf numFmtId="0" fontId="2" fillId="0" borderId="35" xfId="0" applyFont="1" applyBorder="1" applyAlignment="1">
      <alignment vertical="center" wrapText="1" shrinkToFit="1"/>
    </xf>
    <xf numFmtId="0" fontId="2" fillId="0" borderId="19"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35"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7" xfId="0" applyFont="1" applyBorder="1" applyAlignment="1">
      <alignment horizontal="left" vertical="center" wrapText="1" shrinkToFit="1"/>
    </xf>
    <xf numFmtId="0" fontId="2" fillId="0" borderId="37" xfId="0" applyFont="1" applyBorder="1" applyAlignment="1">
      <alignment horizontal="left" vertical="center" shrinkToFit="1"/>
    </xf>
    <xf numFmtId="0" fontId="2" fillId="0" borderId="38" xfId="0" applyFont="1" applyBorder="1" applyAlignment="1">
      <alignment horizontal="left" vertical="center" shrinkToFit="1"/>
    </xf>
    <xf numFmtId="0" fontId="3" fillId="0" borderId="8" xfId="0" applyFont="1" applyBorder="1" applyAlignment="1">
      <alignment horizontal="left" vertical="center" wrapText="1" shrinkToFit="1"/>
    </xf>
    <xf numFmtId="0" fontId="3" fillId="0" borderId="8" xfId="0" applyFont="1" applyBorder="1" applyAlignment="1">
      <alignment horizontal="left" vertical="center" shrinkToFit="1"/>
    </xf>
    <xf numFmtId="0" fontId="3" fillId="0" borderId="9"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10" fillId="0" borderId="19" xfId="0" applyFont="1" applyBorder="1" applyAlignment="1">
      <alignment vertical="center" wrapText="1" shrinkToFit="1"/>
    </xf>
    <xf numFmtId="0" fontId="10" fillId="0" borderId="20" xfId="0" applyFont="1" applyBorder="1" applyAlignment="1">
      <alignment vertical="center" shrinkToFit="1"/>
    </xf>
    <xf numFmtId="0" fontId="10" fillId="0" borderId="18" xfId="0" applyFont="1" applyBorder="1" applyAlignment="1">
      <alignment vertical="center" shrinkToFit="1"/>
    </xf>
    <xf numFmtId="0" fontId="2" fillId="0" borderId="34"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12" xfId="0" applyFont="1" applyBorder="1" applyAlignment="1">
      <alignment vertical="center" wrapText="1" shrinkToFit="1"/>
    </xf>
    <xf numFmtId="0" fontId="2" fillId="0" borderId="12"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19" xfId="0" applyFont="1" applyBorder="1" applyAlignment="1">
      <alignment horizontal="left" vertical="center" indent="2" shrinkToFit="1"/>
    </xf>
    <xf numFmtId="0" fontId="2" fillId="0" borderId="20" xfId="0" applyFont="1" applyBorder="1" applyAlignment="1">
      <alignment horizontal="left" vertical="center" indent="2" shrinkToFit="1"/>
    </xf>
    <xf numFmtId="0" fontId="2" fillId="0" borderId="18" xfId="0" applyFont="1" applyBorder="1" applyAlignment="1">
      <alignment horizontal="left" vertical="center" indent="2"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3" fillId="0" borderId="6" xfId="0" applyFont="1" applyFill="1" applyBorder="1" applyAlignment="1">
      <alignment horizontal="left" vertical="center"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3" xfId="0" applyFont="1" applyBorder="1" applyAlignment="1">
      <alignment horizontal="center"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20" xfId="0" applyFont="1" applyFill="1" applyBorder="1" applyAlignment="1">
      <alignment vertical="top" wrapText="1" shrinkToFit="1"/>
    </xf>
    <xf numFmtId="0" fontId="2" fillId="0" borderId="18" xfId="0" applyFont="1" applyFill="1" applyBorder="1" applyAlignment="1">
      <alignment vertical="top" wrapText="1" shrinkToFit="1"/>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36"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zoomScale="70" zoomScaleNormal="100" zoomScaleSheetLayoutView="70" workbookViewId="0">
      <selection activeCell="B31" sqref="B31:E31"/>
    </sheetView>
  </sheetViews>
  <sheetFormatPr defaultColWidth="9" defaultRowHeight="18.75" customHeight="1" x14ac:dyDescent="0.15"/>
  <cols>
    <col min="1" max="1" width="2.5" style="1" customWidth="1"/>
    <col min="2" max="2" width="16.5" style="1" customWidth="1"/>
    <col min="3" max="19" width="5.625" style="1" customWidth="1"/>
    <col min="20" max="20" width="2.125" style="1" customWidth="1"/>
    <col min="21" max="21" width="3.625" style="1" customWidth="1"/>
    <col min="22" max="22" width="48.625" style="1" hidden="1" customWidth="1"/>
    <col min="23" max="16384" width="9" style="1"/>
  </cols>
  <sheetData>
    <row r="1" spans="1:22" ht="18.600000000000001" customHeight="1" x14ac:dyDescent="0.15">
      <c r="R1" s="128" t="s">
        <v>178</v>
      </c>
      <c r="S1" s="128"/>
      <c r="T1" s="2" t="s">
        <v>109</v>
      </c>
    </row>
    <row r="2" spans="1:22" ht="18.75" customHeight="1" x14ac:dyDescent="0.15">
      <c r="B2" s="31" t="s">
        <v>108</v>
      </c>
      <c r="C2" s="110" t="s">
        <v>126</v>
      </c>
      <c r="D2" s="112"/>
      <c r="E2" s="112"/>
      <c r="F2" s="112"/>
      <c r="G2" s="112"/>
      <c r="H2" s="112"/>
      <c r="I2" s="111"/>
      <c r="J2" s="32"/>
      <c r="K2" s="6"/>
      <c r="L2" s="6"/>
      <c r="M2" s="6"/>
      <c r="N2" s="6"/>
      <c r="O2" s="6"/>
      <c r="P2" s="6"/>
      <c r="Q2" s="6"/>
      <c r="R2" s="6"/>
      <c r="S2" s="6"/>
    </row>
    <row r="3" spans="1:22" ht="18.75" customHeight="1" x14ac:dyDescent="0.15">
      <c r="B3" s="31" t="s">
        <v>102</v>
      </c>
      <c r="C3" s="110" t="s">
        <v>127</v>
      </c>
      <c r="D3" s="112"/>
      <c r="E3" s="112"/>
      <c r="F3" s="112"/>
      <c r="G3" s="112"/>
      <c r="H3" s="112"/>
      <c r="I3" s="111"/>
      <c r="J3" s="32"/>
      <c r="K3" s="6"/>
      <c r="L3" s="6"/>
      <c r="M3" s="6"/>
      <c r="N3" s="6"/>
      <c r="O3" s="6"/>
      <c r="P3" s="6"/>
      <c r="Q3" s="6"/>
      <c r="R3" s="6"/>
      <c r="S3" s="6"/>
    </row>
    <row r="4" spans="1:22" ht="15" customHeight="1" x14ac:dyDescent="0.15">
      <c r="K4" s="32"/>
      <c r="L4" s="33"/>
      <c r="M4" s="33"/>
      <c r="N4" s="33"/>
      <c r="O4" s="33"/>
      <c r="P4" s="33"/>
      <c r="Q4" s="33"/>
      <c r="R4" s="33"/>
      <c r="S4" s="33"/>
    </row>
    <row r="5" spans="1:22" ht="18" customHeight="1" x14ac:dyDescent="0.15">
      <c r="A5" s="135" t="s">
        <v>38</v>
      </c>
      <c r="B5" s="135"/>
      <c r="C5" s="135"/>
      <c r="D5" s="135"/>
      <c r="E5" s="135"/>
      <c r="F5" s="135"/>
      <c r="G5" s="135"/>
      <c r="H5" s="135"/>
      <c r="I5" s="135"/>
      <c r="J5" s="135"/>
      <c r="K5" s="135"/>
      <c r="L5" s="135"/>
      <c r="M5" s="135"/>
      <c r="N5" s="135"/>
      <c r="O5" s="135"/>
      <c r="P5" s="135"/>
      <c r="Q5" s="135"/>
      <c r="R5" s="135"/>
      <c r="S5" s="13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4" t="s">
        <v>107</v>
      </c>
      <c r="K7" s="145" t="s">
        <v>131</v>
      </c>
      <c r="L7" s="146"/>
      <c r="M7" s="146"/>
      <c r="N7" s="146"/>
      <c r="O7" s="146"/>
      <c r="P7" s="146"/>
      <c r="Q7" s="146"/>
      <c r="R7" s="146"/>
      <c r="S7" s="147"/>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00" t="s">
        <v>132</v>
      </c>
      <c r="C9" s="101"/>
      <c r="D9" s="101"/>
      <c r="E9" s="101"/>
      <c r="F9" s="101"/>
      <c r="G9" s="101"/>
      <c r="H9" s="101"/>
      <c r="I9" s="101"/>
      <c r="J9" s="101"/>
      <c r="K9" s="101"/>
      <c r="L9" s="101"/>
      <c r="M9" s="101"/>
      <c r="N9" s="101"/>
      <c r="O9" s="101"/>
      <c r="P9" s="101"/>
      <c r="Q9" s="101"/>
      <c r="R9" s="101"/>
      <c r="S9" s="102"/>
    </row>
    <row r="10" spans="1:22" ht="18" customHeight="1" x14ac:dyDescent="0.15">
      <c r="B10" s="103"/>
      <c r="C10" s="104"/>
      <c r="D10" s="104"/>
      <c r="E10" s="104"/>
      <c r="F10" s="104"/>
      <c r="G10" s="104"/>
      <c r="H10" s="104"/>
      <c r="I10" s="104"/>
      <c r="J10" s="104"/>
      <c r="K10" s="104"/>
      <c r="L10" s="104"/>
      <c r="M10" s="104"/>
      <c r="N10" s="104"/>
      <c r="O10" s="104"/>
      <c r="P10" s="104"/>
      <c r="Q10" s="104"/>
      <c r="R10" s="104"/>
      <c r="S10" s="105"/>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111</v>
      </c>
      <c r="B12" s="3"/>
      <c r="C12" s="3"/>
      <c r="D12" s="32"/>
      <c r="E12" s="32"/>
      <c r="F12" s="32"/>
      <c r="G12" s="32"/>
      <c r="H12" s="32"/>
      <c r="I12" s="32"/>
      <c r="J12" s="32"/>
      <c r="K12" s="35"/>
      <c r="L12" s="35"/>
      <c r="M12" s="35"/>
      <c r="N12" s="35"/>
      <c r="O12" s="35"/>
      <c r="P12" s="35"/>
      <c r="Q12" s="35"/>
      <c r="R12" s="35"/>
      <c r="S12" s="35"/>
    </row>
    <row r="13" spans="1:22" ht="18" customHeight="1" x14ac:dyDescent="0.15">
      <c r="B13" s="136" t="s">
        <v>133</v>
      </c>
      <c r="C13" s="137"/>
      <c r="D13" s="137"/>
      <c r="E13" s="137"/>
      <c r="F13" s="137"/>
      <c r="G13" s="137"/>
      <c r="H13" s="137"/>
      <c r="I13" s="137"/>
      <c r="J13" s="137"/>
      <c r="K13" s="137"/>
      <c r="L13" s="137"/>
      <c r="M13" s="137"/>
      <c r="N13" s="137"/>
      <c r="O13" s="137"/>
      <c r="P13" s="137"/>
      <c r="Q13" s="137"/>
      <c r="R13" s="137"/>
      <c r="S13" s="138"/>
      <c r="V13" s="1" t="s">
        <v>103</v>
      </c>
    </row>
    <row r="14" spans="1:22" ht="18" customHeight="1" x14ac:dyDescent="0.15">
      <c r="B14" s="139"/>
      <c r="C14" s="140"/>
      <c r="D14" s="140"/>
      <c r="E14" s="140"/>
      <c r="F14" s="140"/>
      <c r="G14" s="140"/>
      <c r="H14" s="140"/>
      <c r="I14" s="140"/>
      <c r="J14" s="140"/>
      <c r="K14" s="140"/>
      <c r="L14" s="140"/>
      <c r="M14" s="140"/>
      <c r="N14" s="140"/>
      <c r="O14" s="140"/>
      <c r="P14" s="140"/>
      <c r="Q14" s="140"/>
      <c r="R14" s="140"/>
      <c r="S14" s="141"/>
      <c r="V14" s="1" t="s">
        <v>110</v>
      </c>
    </row>
    <row r="15" spans="1:22" ht="18" customHeight="1" x14ac:dyDescent="0.15">
      <c r="B15" s="139"/>
      <c r="C15" s="140"/>
      <c r="D15" s="140"/>
      <c r="E15" s="140"/>
      <c r="F15" s="140"/>
      <c r="G15" s="140"/>
      <c r="H15" s="140"/>
      <c r="I15" s="140"/>
      <c r="J15" s="140"/>
      <c r="K15" s="140"/>
      <c r="L15" s="140"/>
      <c r="M15" s="140"/>
      <c r="N15" s="140"/>
      <c r="O15" s="140"/>
      <c r="P15" s="140"/>
      <c r="Q15" s="140"/>
      <c r="R15" s="140"/>
      <c r="S15" s="141"/>
      <c r="V15" s="1" t="s">
        <v>123</v>
      </c>
    </row>
    <row r="16" spans="1:22" ht="18" customHeight="1" x14ac:dyDescent="0.15">
      <c r="B16" s="139"/>
      <c r="C16" s="140"/>
      <c r="D16" s="140"/>
      <c r="E16" s="140"/>
      <c r="F16" s="140"/>
      <c r="G16" s="140"/>
      <c r="H16" s="140"/>
      <c r="I16" s="140"/>
      <c r="J16" s="140"/>
      <c r="K16" s="140"/>
      <c r="L16" s="140"/>
      <c r="M16" s="140"/>
      <c r="N16" s="140"/>
      <c r="O16" s="140"/>
      <c r="P16" s="140"/>
      <c r="Q16" s="140"/>
      <c r="R16" s="140"/>
      <c r="S16" s="141"/>
      <c r="V16" s="1" t="s">
        <v>125</v>
      </c>
    </row>
    <row r="17" spans="1:19" ht="5.45" customHeight="1" x14ac:dyDescent="0.15">
      <c r="B17" s="139"/>
      <c r="C17" s="140"/>
      <c r="D17" s="140"/>
      <c r="E17" s="140"/>
      <c r="F17" s="140"/>
      <c r="G17" s="140"/>
      <c r="H17" s="140"/>
      <c r="I17" s="140"/>
      <c r="J17" s="140"/>
      <c r="K17" s="140"/>
      <c r="L17" s="140"/>
      <c r="M17" s="140"/>
      <c r="N17" s="140"/>
      <c r="O17" s="140"/>
      <c r="P17" s="140"/>
      <c r="Q17" s="140"/>
      <c r="R17" s="140"/>
      <c r="S17" s="141"/>
    </row>
    <row r="18" spans="1:19" ht="5.45" customHeight="1" x14ac:dyDescent="0.15">
      <c r="B18" s="142"/>
      <c r="C18" s="143"/>
      <c r="D18" s="143"/>
      <c r="E18" s="143"/>
      <c r="F18" s="143"/>
      <c r="G18" s="143"/>
      <c r="H18" s="143"/>
      <c r="I18" s="143"/>
      <c r="J18" s="143"/>
      <c r="K18" s="143"/>
      <c r="L18" s="143"/>
      <c r="M18" s="143"/>
      <c r="N18" s="143"/>
      <c r="O18" s="143"/>
      <c r="P18" s="143"/>
      <c r="Q18" s="143"/>
      <c r="R18" s="143"/>
      <c r="S18" s="14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110">
        <v>3</v>
      </c>
      <c r="D20" s="111"/>
      <c r="E20" s="36" t="s">
        <v>95</v>
      </c>
      <c r="G20" s="9"/>
      <c r="H20" s="3"/>
      <c r="I20" s="3"/>
      <c r="J20" s="32" t="s">
        <v>121</v>
      </c>
      <c r="K20" s="132" t="s">
        <v>125</v>
      </c>
      <c r="L20" s="133"/>
      <c r="M20" s="133"/>
      <c r="N20" s="133"/>
      <c r="O20" s="133"/>
      <c r="P20" s="133"/>
      <c r="Q20" s="133"/>
      <c r="R20" s="133"/>
      <c r="S20" s="13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9" t="s">
        <v>113</v>
      </c>
      <c r="B22" s="109"/>
      <c r="C22" s="109"/>
      <c r="D22" s="109"/>
      <c r="E22" s="109"/>
      <c r="F22" s="109"/>
      <c r="G22" s="109"/>
      <c r="H22" s="109"/>
      <c r="I22" s="109"/>
      <c r="J22" s="109"/>
      <c r="K22" s="109"/>
      <c r="L22" s="109"/>
      <c r="M22" s="109"/>
      <c r="N22" s="109"/>
      <c r="O22" s="109"/>
      <c r="P22" s="109"/>
      <c r="Q22" s="109"/>
      <c r="R22" s="109"/>
      <c r="S22" s="109"/>
    </row>
    <row r="23" spans="1:19" ht="18" customHeight="1" x14ac:dyDescent="0.15">
      <c r="A23" s="109"/>
      <c r="B23" s="109"/>
      <c r="C23" s="109"/>
      <c r="D23" s="109"/>
      <c r="E23" s="109"/>
      <c r="F23" s="109"/>
      <c r="G23" s="109"/>
      <c r="H23" s="109"/>
      <c r="I23" s="109"/>
      <c r="J23" s="109"/>
      <c r="K23" s="109"/>
      <c r="L23" s="109"/>
      <c r="M23" s="109"/>
      <c r="N23" s="109"/>
      <c r="O23" s="109"/>
      <c r="P23" s="109"/>
      <c r="Q23" s="109"/>
      <c r="R23" s="109"/>
      <c r="S23" s="109"/>
    </row>
    <row r="24" spans="1:19" ht="18" customHeight="1" x14ac:dyDescent="0.15">
      <c r="B24" s="110" t="s">
        <v>53</v>
      </c>
      <c r="C24" s="112"/>
      <c r="D24" s="112"/>
      <c r="E24" s="111"/>
      <c r="F24" s="57" t="s">
        <v>80</v>
      </c>
      <c r="G24" s="56" t="s">
        <v>84</v>
      </c>
      <c r="H24" s="19" t="s">
        <v>56</v>
      </c>
      <c r="I24" s="19" t="s">
        <v>59</v>
      </c>
      <c r="J24" s="110" t="s">
        <v>53</v>
      </c>
      <c r="K24" s="112"/>
      <c r="L24" s="112"/>
      <c r="M24" s="112"/>
      <c r="N24" s="112"/>
      <c r="O24" s="111"/>
      <c r="P24" s="57" t="s">
        <v>80</v>
      </c>
      <c r="Q24" s="56" t="s">
        <v>84</v>
      </c>
      <c r="R24" s="19" t="s">
        <v>56</v>
      </c>
      <c r="S24" s="19" t="s">
        <v>59</v>
      </c>
    </row>
    <row r="25" spans="1:19" ht="18" customHeight="1" x14ac:dyDescent="0.15">
      <c r="B25" s="113" t="s">
        <v>180</v>
      </c>
      <c r="C25" s="114"/>
      <c r="D25" s="114"/>
      <c r="E25" s="115"/>
      <c r="F25" s="20">
        <v>1</v>
      </c>
      <c r="G25" s="20" t="s">
        <v>134</v>
      </c>
      <c r="H25" s="20" t="s">
        <v>134</v>
      </c>
      <c r="I25" s="20"/>
      <c r="J25" s="119"/>
      <c r="K25" s="120"/>
      <c r="L25" s="120"/>
      <c r="M25" s="120"/>
      <c r="N25" s="120"/>
      <c r="O25" s="121"/>
      <c r="P25" s="20"/>
      <c r="Q25" s="20"/>
      <c r="R25" s="20"/>
      <c r="S25" s="20"/>
    </row>
    <row r="26" spans="1:19" ht="18" customHeight="1" x14ac:dyDescent="0.15">
      <c r="B26" s="116" t="s">
        <v>205</v>
      </c>
      <c r="C26" s="117"/>
      <c r="D26" s="117"/>
      <c r="E26" s="118"/>
      <c r="F26" s="21">
        <v>1</v>
      </c>
      <c r="G26" s="21" t="s">
        <v>134</v>
      </c>
      <c r="H26" s="21"/>
      <c r="I26" s="21" t="s">
        <v>134</v>
      </c>
      <c r="J26" s="94"/>
      <c r="K26" s="95"/>
      <c r="L26" s="95"/>
      <c r="M26" s="95"/>
      <c r="N26" s="95"/>
      <c r="O26" s="96"/>
      <c r="P26" s="21"/>
      <c r="Q26" s="21"/>
      <c r="R26" s="21"/>
      <c r="S26" s="21"/>
    </row>
    <row r="27" spans="1:19" s="81" customFormat="1" ht="18" customHeight="1" x14ac:dyDescent="0.15">
      <c r="B27" s="97"/>
      <c r="C27" s="98"/>
      <c r="D27" s="98"/>
      <c r="E27" s="99"/>
      <c r="F27" s="21"/>
      <c r="G27" s="21"/>
      <c r="H27" s="21"/>
      <c r="I27" s="21"/>
      <c r="J27" s="94"/>
      <c r="K27" s="95"/>
      <c r="L27" s="95"/>
      <c r="M27" s="95"/>
      <c r="N27" s="95"/>
      <c r="O27" s="96"/>
      <c r="P27" s="21"/>
      <c r="Q27" s="21"/>
      <c r="R27" s="21"/>
      <c r="S27" s="21"/>
    </row>
    <row r="28" spans="1:19" ht="18" customHeight="1" x14ac:dyDescent="0.15">
      <c r="B28" s="97"/>
      <c r="C28" s="98"/>
      <c r="D28" s="98"/>
      <c r="E28" s="99"/>
      <c r="F28" s="21"/>
      <c r="G28" s="21"/>
      <c r="H28" s="21"/>
      <c r="I28" s="21"/>
      <c r="J28" s="94"/>
      <c r="K28" s="95"/>
      <c r="L28" s="95"/>
      <c r="M28" s="95"/>
      <c r="N28" s="95"/>
      <c r="O28" s="96"/>
      <c r="P28" s="21"/>
      <c r="Q28" s="21"/>
      <c r="R28" s="21"/>
      <c r="S28" s="21"/>
    </row>
    <row r="29" spans="1:19" ht="18" customHeight="1" x14ac:dyDescent="0.15">
      <c r="B29" s="97"/>
      <c r="C29" s="98"/>
      <c r="D29" s="98"/>
      <c r="E29" s="99"/>
      <c r="F29" s="21"/>
      <c r="G29" s="21"/>
      <c r="H29" s="21"/>
      <c r="I29" s="21"/>
      <c r="J29" s="94"/>
      <c r="K29" s="95"/>
      <c r="L29" s="95"/>
      <c r="M29" s="95"/>
      <c r="N29" s="95"/>
      <c r="O29" s="96"/>
      <c r="P29" s="21"/>
      <c r="Q29" s="21"/>
      <c r="R29" s="21"/>
      <c r="S29" s="21"/>
    </row>
    <row r="30" spans="1:19" ht="18" customHeight="1" x14ac:dyDescent="0.15">
      <c r="B30" s="97"/>
      <c r="C30" s="98"/>
      <c r="D30" s="98"/>
      <c r="E30" s="99"/>
      <c r="F30" s="21"/>
      <c r="G30" s="21"/>
      <c r="H30" s="21"/>
      <c r="I30" s="21"/>
      <c r="J30" s="94"/>
      <c r="K30" s="95"/>
      <c r="L30" s="95"/>
      <c r="M30" s="95"/>
      <c r="N30" s="95"/>
      <c r="O30" s="96"/>
      <c r="P30" s="21"/>
      <c r="Q30" s="21"/>
      <c r="R30" s="21"/>
      <c r="S30" s="21"/>
    </row>
    <row r="31" spans="1:19" ht="18" customHeight="1" x14ac:dyDescent="0.15">
      <c r="A31" s="3"/>
      <c r="B31" s="122"/>
      <c r="C31" s="123"/>
      <c r="D31" s="123"/>
      <c r="E31" s="124"/>
      <c r="F31" s="23"/>
      <c r="G31" s="23"/>
      <c r="H31" s="23"/>
      <c r="I31" s="23"/>
      <c r="J31" s="129"/>
      <c r="K31" s="130"/>
      <c r="L31" s="130"/>
      <c r="M31" s="130"/>
      <c r="N31" s="130"/>
      <c r="O31" s="131"/>
      <c r="P31" s="23"/>
      <c r="Q31" s="23"/>
      <c r="R31" s="23"/>
      <c r="S31" s="23"/>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9" t="s">
        <v>114</v>
      </c>
      <c r="B33" s="109"/>
      <c r="C33" s="109"/>
      <c r="D33" s="109"/>
      <c r="E33" s="109"/>
      <c r="F33" s="109"/>
      <c r="G33" s="109"/>
      <c r="H33" s="109"/>
      <c r="I33" s="109"/>
      <c r="J33" s="109"/>
      <c r="K33" s="109"/>
      <c r="L33" s="109"/>
      <c r="M33" s="109"/>
      <c r="N33" s="109"/>
      <c r="O33" s="109"/>
      <c r="P33" s="109"/>
      <c r="Q33" s="109"/>
      <c r="R33" s="109"/>
      <c r="S33" s="109"/>
    </row>
    <row r="34" spans="1:19" ht="18" customHeight="1" x14ac:dyDescent="0.15">
      <c r="A34" s="109"/>
      <c r="B34" s="109"/>
      <c r="C34" s="109"/>
      <c r="D34" s="109"/>
      <c r="E34" s="109"/>
      <c r="F34" s="109"/>
      <c r="G34" s="109"/>
      <c r="H34" s="109"/>
      <c r="I34" s="109"/>
      <c r="J34" s="109"/>
      <c r="K34" s="109"/>
      <c r="L34" s="109"/>
      <c r="M34" s="109"/>
      <c r="N34" s="109"/>
      <c r="O34" s="109"/>
      <c r="P34" s="109"/>
      <c r="Q34" s="109"/>
      <c r="R34" s="109"/>
      <c r="S34" s="109"/>
    </row>
    <row r="35" spans="1:19" ht="18" customHeight="1" x14ac:dyDescent="0.15">
      <c r="B35" s="110" t="s">
        <v>53</v>
      </c>
      <c r="C35" s="112"/>
      <c r="D35" s="112"/>
      <c r="E35" s="111"/>
      <c r="F35" s="57" t="s">
        <v>80</v>
      </c>
      <c r="G35" s="56" t="s">
        <v>84</v>
      </c>
      <c r="H35" s="19" t="s">
        <v>71</v>
      </c>
      <c r="I35" s="19" t="s">
        <v>72</v>
      </c>
      <c r="J35" s="110" t="s">
        <v>53</v>
      </c>
      <c r="K35" s="112"/>
      <c r="L35" s="112"/>
      <c r="M35" s="112"/>
      <c r="N35" s="112"/>
      <c r="O35" s="111"/>
      <c r="P35" s="57" t="s">
        <v>80</v>
      </c>
      <c r="Q35" s="56" t="s">
        <v>84</v>
      </c>
      <c r="R35" s="19" t="s">
        <v>71</v>
      </c>
      <c r="S35" s="19" t="s">
        <v>72</v>
      </c>
    </row>
    <row r="36" spans="1:19" ht="18" customHeight="1" x14ac:dyDescent="0.15">
      <c r="B36" s="113" t="s">
        <v>180</v>
      </c>
      <c r="C36" s="114"/>
      <c r="D36" s="114"/>
      <c r="E36" s="115"/>
      <c r="F36" s="20">
        <v>1</v>
      </c>
      <c r="G36" s="20" t="s">
        <v>134</v>
      </c>
      <c r="H36" s="20" t="s">
        <v>134</v>
      </c>
      <c r="I36" s="20"/>
      <c r="J36" s="119"/>
      <c r="K36" s="120"/>
      <c r="L36" s="120"/>
      <c r="M36" s="120"/>
      <c r="N36" s="120"/>
      <c r="O36" s="121"/>
      <c r="P36" s="20"/>
      <c r="Q36" s="20"/>
      <c r="R36" s="20"/>
      <c r="S36" s="20"/>
    </row>
    <row r="37" spans="1:19" ht="18" customHeight="1" x14ac:dyDescent="0.15">
      <c r="B37" s="116" t="s">
        <v>205</v>
      </c>
      <c r="C37" s="117"/>
      <c r="D37" s="117"/>
      <c r="E37" s="118"/>
      <c r="F37" s="21">
        <v>1</v>
      </c>
      <c r="G37" s="21" t="s">
        <v>134</v>
      </c>
      <c r="H37" s="21"/>
      <c r="I37" s="21" t="s">
        <v>134</v>
      </c>
      <c r="J37" s="94"/>
      <c r="K37" s="95"/>
      <c r="L37" s="95"/>
      <c r="M37" s="95"/>
      <c r="N37" s="95"/>
      <c r="O37" s="96"/>
      <c r="P37" s="21"/>
      <c r="Q37" s="21"/>
      <c r="R37" s="21"/>
      <c r="S37" s="21"/>
    </row>
    <row r="38" spans="1:19" s="81" customFormat="1" ht="18" customHeight="1" x14ac:dyDescent="0.15">
      <c r="B38" s="97"/>
      <c r="C38" s="98"/>
      <c r="D38" s="98"/>
      <c r="E38" s="99"/>
      <c r="F38" s="21"/>
      <c r="G38" s="21"/>
      <c r="H38" s="21"/>
      <c r="I38" s="21"/>
      <c r="J38" s="94"/>
      <c r="K38" s="95"/>
      <c r="L38" s="95"/>
      <c r="M38" s="95"/>
      <c r="N38" s="95"/>
      <c r="O38" s="96"/>
      <c r="P38" s="21"/>
      <c r="Q38" s="21"/>
      <c r="R38" s="21"/>
      <c r="S38" s="21"/>
    </row>
    <row r="39" spans="1:19" ht="18" customHeight="1" x14ac:dyDescent="0.15">
      <c r="B39" s="97"/>
      <c r="C39" s="98"/>
      <c r="D39" s="98"/>
      <c r="E39" s="99"/>
      <c r="F39" s="21"/>
      <c r="G39" s="21"/>
      <c r="H39" s="21"/>
      <c r="I39" s="21"/>
      <c r="J39" s="94"/>
      <c r="K39" s="95"/>
      <c r="L39" s="95"/>
      <c r="M39" s="95"/>
      <c r="N39" s="95"/>
      <c r="O39" s="96"/>
      <c r="P39" s="21"/>
      <c r="Q39" s="21"/>
      <c r="R39" s="21"/>
      <c r="S39" s="21"/>
    </row>
    <row r="40" spans="1:19" ht="18" customHeight="1" x14ac:dyDescent="0.15">
      <c r="B40" s="97"/>
      <c r="C40" s="98"/>
      <c r="D40" s="98"/>
      <c r="E40" s="99"/>
      <c r="F40" s="21"/>
      <c r="G40" s="21"/>
      <c r="H40" s="21"/>
      <c r="I40" s="21"/>
      <c r="J40" s="94"/>
      <c r="K40" s="95"/>
      <c r="L40" s="95"/>
      <c r="M40" s="95"/>
      <c r="N40" s="95"/>
      <c r="O40" s="96"/>
      <c r="P40" s="21"/>
      <c r="Q40" s="21"/>
      <c r="R40" s="21"/>
      <c r="S40" s="21"/>
    </row>
    <row r="41" spans="1:19" ht="18" customHeight="1" x14ac:dyDescent="0.15">
      <c r="B41" s="97"/>
      <c r="C41" s="98"/>
      <c r="D41" s="98"/>
      <c r="E41" s="99"/>
      <c r="F41" s="21"/>
      <c r="G41" s="21"/>
      <c r="H41" s="21"/>
      <c r="I41" s="21"/>
      <c r="J41" s="94"/>
      <c r="K41" s="95"/>
      <c r="L41" s="95"/>
      <c r="M41" s="95"/>
      <c r="N41" s="95"/>
      <c r="O41" s="96"/>
      <c r="P41" s="21"/>
      <c r="Q41" s="21"/>
      <c r="R41" s="21"/>
      <c r="S41" s="21"/>
    </row>
    <row r="42" spans="1:19" ht="18" customHeight="1" x14ac:dyDescent="0.15">
      <c r="B42" s="122"/>
      <c r="C42" s="123"/>
      <c r="D42" s="123"/>
      <c r="E42" s="124"/>
      <c r="F42" s="23"/>
      <c r="G42" s="23"/>
      <c r="H42" s="23"/>
      <c r="I42" s="23"/>
      <c r="J42" s="129"/>
      <c r="K42" s="130"/>
      <c r="L42" s="130"/>
      <c r="M42" s="130"/>
      <c r="N42" s="130"/>
      <c r="O42" s="131"/>
      <c r="P42" s="23"/>
      <c r="Q42" s="23"/>
      <c r="R42" s="23"/>
      <c r="S42" s="23"/>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9" t="s">
        <v>115</v>
      </c>
      <c r="B44" s="109"/>
      <c r="C44" s="109"/>
      <c r="D44" s="109"/>
      <c r="E44" s="109"/>
      <c r="F44" s="109"/>
      <c r="G44" s="109"/>
      <c r="H44" s="109"/>
      <c r="I44" s="109"/>
      <c r="J44" s="109"/>
      <c r="K44" s="109"/>
      <c r="L44" s="109"/>
      <c r="M44" s="109"/>
      <c r="N44" s="109"/>
      <c r="O44" s="109"/>
      <c r="P44" s="109"/>
      <c r="Q44" s="109"/>
      <c r="R44" s="109"/>
      <c r="S44" s="109"/>
    </row>
    <row r="45" spans="1:19" ht="18" customHeight="1" x14ac:dyDescent="0.15">
      <c r="A45" s="109"/>
      <c r="B45" s="109"/>
      <c r="C45" s="109"/>
      <c r="D45" s="109"/>
      <c r="E45" s="109"/>
      <c r="F45" s="109"/>
      <c r="G45" s="109"/>
      <c r="H45" s="109"/>
      <c r="I45" s="109"/>
      <c r="J45" s="109"/>
      <c r="K45" s="109"/>
      <c r="L45" s="109"/>
      <c r="M45" s="109"/>
      <c r="N45" s="109"/>
      <c r="O45" s="109"/>
      <c r="P45" s="109"/>
      <c r="Q45" s="109"/>
      <c r="R45" s="109"/>
      <c r="S45" s="109"/>
    </row>
    <row r="46" spans="1:19" ht="18" customHeight="1" x14ac:dyDescent="0.15">
      <c r="B46" s="110" t="s">
        <v>53</v>
      </c>
      <c r="C46" s="112"/>
      <c r="D46" s="112"/>
      <c r="E46" s="111"/>
      <c r="F46" s="57" t="s">
        <v>80</v>
      </c>
      <c r="G46" s="56" t="s">
        <v>84</v>
      </c>
      <c r="H46" s="19" t="s">
        <v>73</v>
      </c>
      <c r="I46" s="19" t="s">
        <v>74</v>
      </c>
      <c r="J46" s="110" t="s">
        <v>53</v>
      </c>
      <c r="K46" s="112"/>
      <c r="L46" s="112"/>
      <c r="M46" s="112"/>
      <c r="N46" s="112"/>
      <c r="O46" s="111"/>
      <c r="P46" s="57" t="s">
        <v>80</v>
      </c>
      <c r="Q46" s="56" t="s">
        <v>84</v>
      </c>
      <c r="R46" s="19" t="s">
        <v>73</v>
      </c>
      <c r="S46" s="19" t="s">
        <v>74</v>
      </c>
    </row>
    <row r="47" spans="1:19" ht="18" customHeight="1" x14ac:dyDescent="0.15">
      <c r="A47" s="3"/>
      <c r="B47" s="113" t="s">
        <v>180</v>
      </c>
      <c r="C47" s="114"/>
      <c r="D47" s="114"/>
      <c r="E47" s="115"/>
      <c r="F47" s="20">
        <v>1</v>
      </c>
      <c r="G47" s="20" t="s">
        <v>134</v>
      </c>
      <c r="H47" s="20" t="s">
        <v>134</v>
      </c>
      <c r="I47" s="20"/>
      <c r="J47" s="119"/>
      <c r="K47" s="120"/>
      <c r="L47" s="120"/>
      <c r="M47" s="120"/>
      <c r="N47" s="120"/>
      <c r="O47" s="121"/>
      <c r="P47" s="20"/>
      <c r="Q47" s="20"/>
      <c r="R47" s="20"/>
      <c r="S47" s="20"/>
    </row>
    <row r="48" spans="1:19" ht="18" customHeight="1" x14ac:dyDescent="0.15">
      <c r="A48" s="3"/>
      <c r="B48" s="116" t="s">
        <v>205</v>
      </c>
      <c r="C48" s="117"/>
      <c r="D48" s="117"/>
      <c r="E48" s="118"/>
      <c r="F48" s="21">
        <v>1</v>
      </c>
      <c r="G48" s="21" t="s">
        <v>134</v>
      </c>
      <c r="H48" s="21"/>
      <c r="I48" s="21" t="s">
        <v>134</v>
      </c>
      <c r="J48" s="94"/>
      <c r="K48" s="95"/>
      <c r="L48" s="95"/>
      <c r="M48" s="95"/>
      <c r="N48" s="95"/>
      <c r="O48" s="96"/>
      <c r="P48" s="21"/>
      <c r="Q48" s="21"/>
      <c r="R48" s="21"/>
      <c r="S48" s="21"/>
    </row>
    <row r="49" spans="1:19" s="81" customFormat="1" ht="18" customHeight="1" x14ac:dyDescent="0.15">
      <c r="A49" s="82"/>
      <c r="B49" s="97"/>
      <c r="C49" s="98"/>
      <c r="D49" s="98"/>
      <c r="E49" s="99"/>
      <c r="F49" s="21"/>
      <c r="G49" s="21"/>
      <c r="H49" s="21"/>
      <c r="I49" s="21"/>
      <c r="J49" s="94"/>
      <c r="K49" s="95"/>
      <c r="L49" s="95"/>
      <c r="M49" s="95"/>
      <c r="N49" s="95"/>
      <c r="O49" s="96"/>
      <c r="P49" s="21"/>
      <c r="Q49" s="21"/>
      <c r="R49" s="21"/>
      <c r="S49" s="21"/>
    </row>
    <row r="50" spans="1:19" ht="18" customHeight="1" x14ac:dyDescent="0.15">
      <c r="A50" s="3"/>
      <c r="B50" s="97"/>
      <c r="C50" s="98"/>
      <c r="D50" s="98"/>
      <c r="E50" s="99"/>
      <c r="F50" s="21"/>
      <c r="G50" s="21"/>
      <c r="H50" s="21"/>
      <c r="I50" s="21"/>
      <c r="J50" s="94"/>
      <c r="K50" s="95"/>
      <c r="L50" s="95"/>
      <c r="M50" s="95"/>
      <c r="N50" s="95"/>
      <c r="O50" s="96"/>
      <c r="P50" s="21"/>
      <c r="Q50" s="21"/>
      <c r="R50" s="21"/>
      <c r="S50" s="21"/>
    </row>
    <row r="51" spans="1:19" ht="18" customHeight="1" x14ac:dyDescent="0.15">
      <c r="A51" s="3"/>
      <c r="B51" s="97"/>
      <c r="C51" s="98"/>
      <c r="D51" s="98"/>
      <c r="E51" s="99"/>
      <c r="F51" s="21"/>
      <c r="G51" s="21"/>
      <c r="H51" s="21"/>
      <c r="I51" s="21"/>
      <c r="J51" s="94"/>
      <c r="K51" s="95"/>
      <c r="L51" s="95"/>
      <c r="M51" s="95"/>
      <c r="N51" s="95"/>
      <c r="O51" s="96"/>
      <c r="P51" s="21"/>
      <c r="Q51" s="21"/>
      <c r="R51" s="21"/>
      <c r="S51" s="21"/>
    </row>
    <row r="52" spans="1:19" ht="18" customHeight="1" x14ac:dyDescent="0.15">
      <c r="A52" s="3"/>
      <c r="B52" s="97"/>
      <c r="C52" s="98"/>
      <c r="D52" s="98"/>
      <c r="E52" s="99"/>
      <c r="F52" s="21"/>
      <c r="G52" s="21"/>
      <c r="H52" s="21"/>
      <c r="I52" s="21"/>
      <c r="J52" s="94"/>
      <c r="K52" s="95"/>
      <c r="L52" s="95"/>
      <c r="M52" s="95"/>
      <c r="N52" s="95"/>
      <c r="O52" s="96"/>
      <c r="P52" s="21"/>
      <c r="Q52" s="21"/>
      <c r="R52" s="21"/>
      <c r="S52" s="21"/>
    </row>
    <row r="53" spans="1:19" ht="18" customHeight="1" x14ac:dyDescent="0.15">
      <c r="A53" s="3"/>
      <c r="B53" s="122"/>
      <c r="C53" s="123"/>
      <c r="D53" s="123"/>
      <c r="E53" s="124"/>
      <c r="F53" s="22"/>
      <c r="G53" s="22"/>
      <c r="H53" s="23"/>
      <c r="I53" s="23"/>
      <c r="J53" s="129"/>
      <c r="K53" s="130"/>
      <c r="L53" s="130"/>
      <c r="M53" s="130"/>
      <c r="N53" s="130"/>
      <c r="O53" s="131"/>
      <c r="P53" s="22"/>
      <c r="Q53" s="22"/>
      <c r="R53" s="23"/>
      <c r="S53" s="22"/>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109" t="s">
        <v>116</v>
      </c>
      <c r="B55" s="109"/>
      <c r="C55" s="109"/>
      <c r="D55" s="109"/>
      <c r="E55" s="109"/>
      <c r="F55" s="109"/>
      <c r="G55" s="109"/>
      <c r="H55" s="109"/>
      <c r="I55" s="109"/>
      <c r="J55" s="109"/>
      <c r="K55" s="109"/>
      <c r="L55" s="109"/>
      <c r="M55" s="109"/>
      <c r="N55" s="109"/>
      <c r="O55" s="109"/>
      <c r="P55" s="109"/>
      <c r="Q55" s="109"/>
      <c r="R55" s="109"/>
      <c r="S55" s="109"/>
    </row>
    <row r="56" spans="1:19" ht="18" customHeight="1" x14ac:dyDescent="0.15">
      <c r="A56" s="109"/>
      <c r="B56" s="109"/>
      <c r="C56" s="109"/>
      <c r="D56" s="109"/>
      <c r="E56" s="109"/>
      <c r="F56" s="109"/>
      <c r="G56" s="109"/>
      <c r="H56" s="109"/>
      <c r="I56" s="109"/>
      <c r="J56" s="109"/>
      <c r="K56" s="109"/>
      <c r="L56" s="109"/>
      <c r="M56" s="109"/>
      <c r="N56" s="109"/>
      <c r="O56" s="109"/>
      <c r="P56" s="109"/>
      <c r="Q56" s="109"/>
      <c r="R56" s="109"/>
      <c r="S56" s="109"/>
    </row>
    <row r="57" spans="1:19" ht="18" customHeight="1" x14ac:dyDescent="0.15">
      <c r="B57" s="110" t="s">
        <v>53</v>
      </c>
      <c r="C57" s="112"/>
      <c r="D57" s="112"/>
      <c r="E57" s="111"/>
      <c r="F57" s="57" t="s">
        <v>80</v>
      </c>
      <c r="G57" s="56" t="s">
        <v>84</v>
      </c>
      <c r="H57" s="19" t="s">
        <v>58</v>
      </c>
      <c r="I57" s="19" t="s">
        <v>60</v>
      </c>
      <c r="J57" s="110" t="s">
        <v>53</v>
      </c>
      <c r="K57" s="112"/>
      <c r="L57" s="112"/>
      <c r="M57" s="112"/>
      <c r="N57" s="112"/>
      <c r="O57" s="111"/>
      <c r="P57" s="57" t="s">
        <v>80</v>
      </c>
      <c r="Q57" s="56" t="s">
        <v>84</v>
      </c>
      <c r="R57" s="19" t="s">
        <v>58</v>
      </c>
      <c r="S57" s="19" t="s">
        <v>60</v>
      </c>
    </row>
    <row r="58" spans="1:19" ht="18" customHeight="1" x14ac:dyDescent="0.15">
      <c r="A58" s="3"/>
      <c r="B58" s="113" t="s">
        <v>182</v>
      </c>
      <c r="C58" s="114"/>
      <c r="D58" s="114"/>
      <c r="E58" s="115"/>
      <c r="F58" s="86">
        <v>2</v>
      </c>
      <c r="G58" s="21"/>
      <c r="H58" s="21" t="s">
        <v>134</v>
      </c>
      <c r="I58" s="21" t="s">
        <v>134</v>
      </c>
      <c r="J58" s="180"/>
      <c r="K58" s="181"/>
      <c r="L58" s="181"/>
      <c r="M58" s="181"/>
      <c r="N58" s="181"/>
      <c r="O58" s="182"/>
      <c r="P58" s="20"/>
      <c r="Q58" s="20"/>
      <c r="R58" s="20"/>
      <c r="S58" s="20"/>
    </row>
    <row r="59" spans="1:19" ht="18" customHeight="1" x14ac:dyDescent="0.15">
      <c r="A59" s="3"/>
      <c r="B59" s="116" t="s">
        <v>184</v>
      </c>
      <c r="C59" s="117"/>
      <c r="D59" s="117"/>
      <c r="E59" s="118"/>
      <c r="F59" s="87">
        <v>2</v>
      </c>
      <c r="G59" s="21"/>
      <c r="H59" s="21" t="s">
        <v>134</v>
      </c>
      <c r="I59" s="21" t="s">
        <v>134</v>
      </c>
      <c r="J59" s="106"/>
      <c r="K59" s="107"/>
      <c r="L59" s="107"/>
      <c r="M59" s="107"/>
      <c r="N59" s="107"/>
      <c r="O59" s="108"/>
      <c r="P59" s="21"/>
      <c r="Q59" s="21"/>
      <c r="R59" s="21"/>
      <c r="S59" s="21"/>
    </row>
    <row r="60" spans="1:19" ht="18" customHeight="1" x14ac:dyDescent="0.15">
      <c r="A60" s="3"/>
      <c r="B60" s="116" t="s">
        <v>185</v>
      </c>
      <c r="C60" s="117"/>
      <c r="D60" s="117"/>
      <c r="E60" s="118"/>
      <c r="F60" s="87">
        <v>2</v>
      </c>
      <c r="G60" s="21"/>
      <c r="H60" s="21" t="s">
        <v>134</v>
      </c>
      <c r="I60" s="21" t="s">
        <v>134</v>
      </c>
      <c r="J60" s="106"/>
      <c r="K60" s="107"/>
      <c r="L60" s="107"/>
      <c r="M60" s="107"/>
      <c r="N60" s="107"/>
      <c r="O60" s="108"/>
      <c r="P60" s="21"/>
      <c r="Q60" s="21"/>
      <c r="R60" s="21"/>
      <c r="S60" s="21"/>
    </row>
    <row r="61" spans="1:19" ht="18" customHeight="1" x14ac:dyDescent="0.15">
      <c r="A61" s="3"/>
      <c r="B61" s="116" t="s">
        <v>186</v>
      </c>
      <c r="C61" s="117"/>
      <c r="D61" s="117"/>
      <c r="E61" s="118"/>
      <c r="F61" s="87">
        <v>2</v>
      </c>
      <c r="G61" s="21"/>
      <c r="H61" s="21" t="s">
        <v>134</v>
      </c>
      <c r="I61" s="21" t="s">
        <v>134</v>
      </c>
      <c r="J61" s="106"/>
      <c r="K61" s="107"/>
      <c r="L61" s="107"/>
      <c r="M61" s="107"/>
      <c r="N61" s="107"/>
      <c r="O61" s="108"/>
      <c r="P61" s="21"/>
      <c r="Q61" s="21"/>
      <c r="R61" s="21"/>
      <c r="S61" s="21"/>
    </row>
    <row r="62" spans="1:19" ht="18" customHeight="1" x14ac:dyDescent="0.15">
      <c r="A62" s="3"/>
      <c r="B62" s="116" t="s">
        <v>183</v>
      </c>
      <c r="C62" s="117"/>
      <c r="D62" s="117"/>
      <c r="E62" s="118"/>
      <c r="F62" s="87">
        <v>1</v>
      </c>
      <c r="G62" s="21"/>
      <c r="H62" s="21" t="s">
        <v>134</v>
      </c>
      <c r="I62" s="21" t="s">
        <v>134</v>
      </c>
      <c r="J62" s="106"/>
      <c r="K62" s="107"/>
      <c r="L62" s="107"/>
      <c r="M62" s="107"/>
      <c r="N62" s="107"/>
      <c r="O62" s="108"/>
      <c r="P62" s="21"/>
      <c r="Q62" s="21"/>
      <c r="R62" s="21"/>
      <c r="S62" s="21"/>
    </row>
    <row r="63" spans="1:19" ht="18" customHeight="1" x14ac:dyDescent="0.15">
      <c r="A63" s="3"/>
      <c r="B63" s="116"/>
      <c r="C63" s="117"/>
      <c r="D63" s="117"/>
      <c r="E63" s="118"/>
      <c r="F63" s="87"/>
      <c r="G63" s="21"/>
      <c r="H63" s="21"/>
      <c r="I63" s="21"/>
      <c r="J63" s="106"/>
      <c r="K63" s="107"/>
      <c r="L63" s="107"/>
      <c r="M63" s="107"/>
      <c r="N63" s="107"/>
      <c r="O63" s="108"/>
      <c r="P63" s="21"/>
      <c r="Q63" s="21"/>
      <c r="R63" s="21"/>
      <c r="S63" s="21"/>
    </row>
    <row r="64" spans="1:19" ht="18" customHeight="1" x14ac:dyDescent="0.15">
      <c r="A64" s="3"/>
      <c r="B64" s="125"/>
      <c r="C64" s="126"/>
      <c r="D64" s="126"/>
      <c r="E64" s="127"/>
      <c r="F64" s="88"/>
      <c r="G64" s="23"/>
      <c r="H64" s="23"/>
      <c r="I64" s="23"/>
      <c r="J64" s="163"/>
      <c r="K64" s="164"/>
      <c r="L64" s="164"/>
      <c r="M64" s="164"/>
      <c r="N64" s="164"/>
      <c r="O64" s="165"/>
      <c r="P64" s="22"/>
      <c r="Q64" s="22"/>
      <c r="R64" s="23"/>
      <c r="S64" s="23"/>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109" t="s">
        <v>117</v>
      </c>
      <c r="B66" s="109"/>
      <c r="C66" s="109"/>
      <c r="D66" s="109"/>
      <c r="E66" s="109"/>
      <c r="F66" s="109"/>
      <c r="G66" s="109"/>
      <c r="H66" s="109"/>
      <c r="I66" s="109"/>
      <c r="J66" s="109"/>
      <c r="K66" s="109"/>
      <c r="L66" s="109"/>
      <c r="M66" s="109"/>
      <c r="N66" s="109"/>
      <c r="O66" s="109"/>
      <c r="P66" s="109"/>
      <c r="Q66" s="109"/>
      <c r="R66" s="109"/>
      <c r="S66" s="109"/>
    </row>
    <row r="67" spans="1:19" ht="18" customHeight="1" x14ac:dyDescent="0.15">
      <c r="A67" s="109"/>
      <c r="B67" s="109"/>
      <c r="C67" s="109"/>
      <c r="D67" s="109"/>
      <c r="E67" s="109"/>
      <c r="F67" s="109"/>
      <c r="G67" s="109"/>
      <c r="H67" s="109"/>
      <c r="I67" s="109"/>
      <c r="J67" s="109"/>
      <c r="K67" s="109"/>
      <c r="L67" s="109"/>
      <c r="M67" s="109"/>
      <c r="N67" s="109"/>
      <c r="O67" s="109"/>
      <c r="P67" s="109"/>
      <c r="Q67" s="109"/>
      <c r="R67" s="109"/>
      <c r="S67" s="109"/>
    </row>
    <row r="68" spans="1:19" ht="18" customHeight="1" x14ac:dyDescent="0.15">
      <c r="B68" s="110" t="s">
        <v>53</v>
      </c>
      <c r="C68" s="112"/>
      <c r="D68" s="112"/>
      <c r="E68" s="57" t="s">
        <v>80</v>
      </c>
      <c r="F68" s="56" t="s">
        <v>84</v>
      </c>
      <c r="G68" s="19" t="s">
        <v>101</v>
      </c>
      <c r="H68" s="19" t="s">
        <v>75</v>
      </c>
      <c r="I68" s="19" t="s">
        <v>76</v>
      </c>
      <c r="J68" s="110" t="s">
        <v>53</v>
      </c>
      <c r="K68" s="112"/>
      <c r="L68" s="112"/>
      <c r="M68" s="112"/>
      <c r="N68" s="111"/>
      <c r="O68" s="57" t="s">
        <v>80</v>
      </c>
      <c r="P68" s="56" t="s">
        <v>84</v>
      </c>
      <c r="Q68" s="19" t="s">
        <v>101</v>
      </c>
      <c r="R68" s="19" t="s">
        <v>75</v>
      </c>
      <c r="S68" s="19" t="s">
        <v>76</v>
      </c>
    </row>
    <row r="69" spans="1:19" ht="18" customHeight="1" x14ac:dyDescent="0.15">
      <c r="A69" s="3"/>
      <c r="B69" s="175" t="s">
        <v>181</v>
      </c>
      <c r="C69" s="176"/>
      <c r="D69" s="176"/>
      <c r="E69" s="20">
        <v>1</v>
      </c>
      <c r="F69" s="21" t="s">
        <v>134</v>
      </c>
      <c r="G69" s="21" t="s">
        <v>134</v>
      </c>
      <c r="H69" s="21" t="s">
        <v>134</v>
      </c>
      <c r="I69" s="21" t="s">
        <v>134</v>
      </c>
      <c r="J69" s="180"/>
      <c r="K69" s="181"/>
      <c r="L69" s="181"/>
      <c r="M69" s="181"/>
      <c r="N69" s="182"/>
      <c r="O69" s="20"/>
      <c r="P69" s="20"/>
      <c r="Q69" s="20"/>
      <c r="R69" s="20"/>
      <c r="S69" s="20"/>
    </row>
    <row r="70" spans="1:19" ht="18" customHeight="1" x14ac:dyDescent="0.15">
      <c r="A70" s="3"/>
      <c r="B70" s="106"/>
      <c r="C70" s="107"/>
      <c r="D70" s="107"/>
      <c r="E70" s="21"/>
      <c r="F70" s="21"/>
      <c r="G70" s="21"/>
      <c r="H70" s="21"/>
      <c r="I70" s="21"/>
      <c r="J70" s="106"/>
      <c r="K70" s="107"/>
      <c r="L70" s="107"/>
      <c r="M70" s="107"/>
      <c r="N70" s="108"/>
      <c r="O70" s="21"/>
      <c r="P70" s="21"/>
      <c r="Q70" s="21"/>
      <c r="R70" s="21"/>
      <c r="S70" s="21"/>
    </row>
    <row r="71" spans="1:19" ht="18" customHeight="1" x14ac:dyDescent="0.15">
      <c r="A71" s="3"/>
      <c r="B71" s="106"/>
      <c r="C71" s="107"/>
      <c r="D71" s="107"/>
      <c r="E71" s="21"/>
      <c r="F71" s="21"/>
      <c r="G71" s="21"/>
      <c r="H71" s="21"/>
      <c r="I71" s="21"/>
      <c r="J71" s="106"/>
      <c r="K71" s="107"/>
      <c r="L71" s="107"/>
      <c r="M71" s="107"/>
      <c r="N71" s="108"/>
      <c r="O71" s="21"/>
      <c r="P71" s="21"/>
      <c r="Q71" s="21"/>
      <c r="R71" s="21"/>
      <c r="S71" s="21"/>
    </row>
    <row r="72" spans="1:19" ht="18" customHeight="1" x14ac:dyDescent="0.15">
      <c r="A72" s="3"/>
      <c r="B72" s="106"/>
      <c r="C72" s="107"/>
      <c r="D72" s="107"/>
      <c r="E72" s="21"/>
      <c r="F72" s="21"/>
      <c r="G72" s="21"/>
      <c r="H72" s="21"/>
      <c r="I72" s="21"/>
      <c r="J72" s="106"/>
      <c r="K72" s="107"/>
      <c r="L72" s="107"/>
      <c r="M72" s="107"/>
      <c r="N72" s="108"/>
      <c r="O72" s="21"/>
      <c r="P72" s="21"/>
      <c r="Q72" s="21"/>
      <c r="R72" s="21"/>
      <c r="S72" s="21"/>
    </row>
    <row r="73" spans="1:19" ht="18" customHeight="1" x14ac:dyDescent="0.15">
      <c r="A73" s="3"/>
      <c r="B73" s="106"/>
      <c r="C73" s="107"/>
      <c r="D73" s="107"/>
      <c r="E73" s="21"/>
      <c r="F73" s="21"/>
      <c r="G73" s="21"/>
      <c r="H73" s="21"/>
      <c r="I73" s="21"/>
      <c r="J73" s="106"/>
      <c r="K73" s="107"/>
      <c r="L73" s="107"/>
      <c r="M73" s="107"/>
      <c r="N73" s="108"/>
      <c r="O73" s="21"/>
      <c r="P73" s="21"/>
      <c r="Q73" s="21"/>
      <c r="R73" s="21"/>
      <c r="S73" s="21"/>
    </row>
    <row r="74" spans="1:19" ht="18" customHeight="1" x14ac:dyDescent="0.15">
      <c r="A74" s="3"/>
      <c r="B74" s="106"/>
      <c r="C74" s="107"/>
      <c r="D74" s="107"/>
      <c r="E74" s="21"/>
      <c r="F74" s="21"/>
      <c r="G74" s="21"/>
      <c r="H74" s="21"/>
      <c r="I74" s="21"/>
      <c r="J74" s="106"/>
      <c r="K74" s="107"/>
      <c r="L74" s="107"/>
      <c r="M74" s="107"/>
      <c r="N74" s="108"/>
      <c r="O74" s="21"/>
      <c r="P74" s="21"/>
      <c r="Q74" s="21"/>
      <c r="R74" s="21"/>
      <c r="S74" s="21"/>
    </row>
    <row r="75" spans="1:19" ht="18" customHeight="1" x14ac:dyDescent="0.15">
      <c r="A75" s="3"/>
      <c r="B75" s="163"/>
      <c r="C75" s="164"/>
      <c r="D75" s="164"/>
      <c r="E75" s="22"/>
      <c r="F75" s="23"/>
      <c r="G75" s="23"/>
      <c r="H75" s="23"/>
      <c r="I75" s="23"/>
      <c r="J75" s="163"/>
      <c r="K75" s="164"/>
      <c r="L75" s="164"/>
      <c r="M75" s="164"/>
      <c r="N75" s="165"/>
      <c r="O75" s="22"/>
      <c r="P75" s="22"/>
      <c r="Q75" s="23"/>
      <c r="R75" s="23"/>
      <c r="S75" s="23"/>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118</v>
      </c>
      <c r="H77" s="3"/>
      <c r="I77" s="3"/>
      <c r="J77" s="3"/>
      <c r="K77" s="3"/>
      <c r="L77" s="3"/>
      <c r="M77" s="3"/>
      <c r="N77" s="3"/>
      <c r="O77" s="3"/>
      <c r="P77" s="3"/>
      <c r="Q77" s="3"/>
      <c r="R77" s="3"/>
      <c r="S77" s="3"/>
    </row>
    <row r="78" spans="1:19" ht="18" customHeight="1" x14ac:dyDescent="0.15">
      <c r="B78" s="110" t="s">
        <v>53</v>
      </c>
      <c r="C78" s="112"/>
      <c r="D78" s="112"/>
      <c r="E78" s="111"/>
      <c r="F78" s="110" t="s">
        <v>82</v>
      </c>
      <c r="G78" s="112"/>
      <c r="H78" s="112"/>
      <c r="I78" s="111"/>
      <c r="J78" s="172" t="s">
        <v>53</v>
      </c>
      <c r="K78" s="173"/>
      <c r="L78" s="173"/>
      <c r="M78" s="173"/>
      <c r="N78" s="173"/>
      <c r="O78" s="174"/>
      <c r="P78" s="110" t="s">
        <v>82</v>
      </c>
      <c r="Q78" s="112"/>
      <c r="R78" s="112"/>
      <c r="S78" s="111"/>
    </row>
    <row r="79" spans="1:19" ht="18" customHeight="1" x14ac:dyDescent="0.15">
      <c r="A79" s="3"/>
      <c r="B79" s="180"/>
      <c r="C79" s="181"/>
      <c r="D79" s="181"/>
      <c r="E79" s="182"/>
      <c r="F79" s="119"/>
      <c r="G79" s="120"/>
      <c r="H79" s="120"/>
      <c r="I79" s="121"/>
      <c r="J79" s="180"/>
      <c r="K79" s="181"/>
      <c r="L79" s="181"/>
      <c r="M79" s="181"/>
      <c r="N79" s="181"/>
      <c r="O79" s="182"/>
      <c r="P79" s="119"/>
      <c r="Q79" s="120"/>
      <c r="R79" s="120"/>
      <c r="S79" s="121"/>
    </row>
    <row r="80" spans="1:19" ht="18" customHeight="1" x14ac:dyDescent="0.15">
      <c r="A80" s="3"/>
      <c r="B80" s="106"/>
      <c r="C80" s="107"/>
      <c r="D80" s="107"/>
      <c r="E80" s="108"/>
      <c r="F80" s="94"/>
      <c r="G80" s="95"/>
      <c r="H80" s="95"/>
      <c r="I80" s="96"/>
      <c r="J80" s="106"/>
      <c r="K80" s="107"/>
      <c r="L80" s="107"/>
      <c r="M80" s="107"/>
      <c r="N80" s="107"/>
      <c r="O80" s="108"/>
      <c r="P80" s="94"/>
      <c r="Q80" s="95"/>
      <c r="R80" s="95"/>
      <c r="S80" s="96"/>
    </row>
    <row r="81" spans="1:19" ht="18" customHeight="1" x14ac:dyDescent="0.15">
      <c r="A81" s="3"/>
      <c r="B81" s="106"/>
      <c r="C81" s="107"/>
      <c r="D81" s="107"/>
      <c r="E81" s="108"/>
      <c r="F81" s="94"/>
      <c r="G81" s="95"/>
      <c r="H81" s="95"/>
      <c r="I81" s="96"/>
      <c r="J81" s="106"/>
      <c r="K81" s="107"/>
      <c r="L81" s="107"/>
      <c r="M81" s="107"/>
      <c r="N81" s="107"/>
      <c r="O81" s="108"/>
      <c r="P81" s="94"/>
      <c r="Q81" s="95"/>
      <c r="R81" s="95"/>
      <c r="S81" s="96"/>
    </row>
    <row r="82" spans="1:19" ht="18" customHeight="1" x14ac:dyDescent="0.15">
      <c r="A82" s="3"/>
      <c r="B82" s="106"/>
      <c r="C82" s="107"/>
      <c r="D82" s="107"/>
      <c r="E82" s="108"/>
      <c r="F82" s="94"/>
      <c r="G82" s="95"/>
      <c r="H82" s="95"/>
      <c r="I82" s="96"/>
      <c r="J82" s="106"/>
      <c r="K82" s="107"/>
      <c r="L82" s="107"/>
      <c r="M82" s="107"/>
      <c r="N82" s="107"/>
      <c r="O82" s="108"/>
      <c r="P82" s="94"/>
      <c r="Q82" s="95"/>
      <c r="R82" s="95"/>
      <c r="S82" s="96"/>
    </row>
    <row r="83" spans="1:19" ht="18" customHeight="1" x14ac:dyDescent="0.15">
      <c r="A83" s="3"/>
      <c r="B83" s="106"/>
      <c r="C83" s="107"/>
      <c r="D83" s="107"/>
      <c r="E83" s="108"/>
      <c r="F83" s="94"/>
      <c r="G83" s="95"/>
      <c r="H83" s="95"/>
      <c r="I83" s="96"/>
      <c r="J83" s="106"/>
      <c r="K83" s="107"/>
      <c r="L83" s="107"/>
      <c r="M83" s="107"/>
      <c r="N83" s="107"/>
      <c r="O83" s="108"/>
      <c r="P83" s="94"/>
      <c r="Q83" s="95"/>
      <c r="R83" s="95"/>
      <c r="S83" s="96"/>
    </row>
    <row r="84" spans="1:19" ht="18" customHeight="1" x14ac:dyDescent="0.15">
      <c r="A84" s="3"/>
      <c r="B84" s="106"/>
      <c r="C84" s="107"/>
      <c r="D84" s="107"/>
      <c r="E84" s="108"/>
      <c r="F84" s="94"/>
      <c r="G84" s="95"/>
      <c r="H84" s="95"/>
      <c r="I84" s="96"/>
      <c r="J84" s="106"/>
      <c r="K84" s="107"/>
      <c r="L84" s="107"/>
      <c r="M84" s="107"/>
      <c r="N84" s="107"/>
      <c r="O84" s="108"/>
      <c r="P84" s="94"/>
      <c r="Q84" s="95"/>
      <c r="R84" s="95"/>
      <c r="S84" s="96"/>
    </row>
    <row r="85" spans="1:19" ht="18" customHeight="1" x14ac:dyDescent="0.15">
      <c r="A85" s="3"/>
      <c r="B85" s="163"/>
      <c r="C85" s="164"/>
      <c r="D85" s="164"/>
      <c r="E85" s="165"/>
      <c r="F85" s="129"/>
      <c r="G85" s="130"/>
      <c r="H85" s="130"/>
      <c r="I85" s="131"/>
      <c r="J85" s="163"/>
      <c r="K85" s="164"/>
      <c r="L85" s="164"/>
      <c r="M85" s="164"/>
      <c r="N85" s="164"/>
      <c r="O85" s="165"/>
      <c r="P85" s="129"/>
      <c r="Q85" s="130"/>
      <c r="R85" s="130"/>
      <c r="S85" s="131"/>
    </row>
    <row r="86" spans="1:19" ht="18" customHeight="1" x14ac:dyDescent="0.15">
      <c r="A86" s="3"/>
      <c r="B86" s="6"/>
      <c r="C86" s="6"/>
      <c r="D86" s="6"/>
      <c r="E86" s="6"/>
      <c r="F86" s="24"/>
      <c r="G86" s="24"/>
      <c r="H86" s="24"/>
      <c r="I86" s="24"/>
      <c r="J86" s="6"/>
      <c r="K86" s="6"/>
      <c r="L86" s="6"/>
      <c r="M86" s="6"/>
      <c r="N86" s="6"/>
      <c r="O86" s="6"/>
      <c r="P86" s="24"/>
      <c r="Q86" s="24"/>
      <c r="R86" s="24"/>
      <c r="S86" s="24"/>
    </row>
    <row r="87" spans="1:19" ht="18.75" customHeight="1" x14ac:dyDescent="0.15">
      <c r="A87" s="1" t="s">
        <v>119</v>
      </c>
    </row>
    <row r="88" spans="1:19" ht="18.75" customHeight="1" x14ac:dyDescent="0.15">
      <c r="B88" s="192" t="s">
        <v>54</v>
      </c>
      <c r="C88" s="193"/>
      <c r="D88" s="110" t="s">
        <v>55</v>
      </c>
      <c r="E88" s="112"/>
      <c r="F88" s="112"/>
      <c r="G88" s="112"/>
      <c r="H88" s="112"/>
      <c r="I88" s="112"/>
      <c r="J88" s="112"/>
      <c r="K88" s="112"/>
      <c r="L88" s="112"/>
      <c r="M88" s="112"/>
      <c r="N88" s="112"/>
      <c r="O88" s="112"/>
      <c r="P88" s="112"/>
      <c r="Q88" s="112"/>
      <c r="R88" s="112"/>
      <c r="S88" s="111"/>
    </row>
    <row r="89" spans="1:19" ht="146.25" customHeight="1" x14ac:dyDescent="0.15">
      <c r="B89" s="177" t="s">
        <v>61</v>
      </c>
      <c r="C89" s="25" t="s">
        <v>56</v>
      </c>
      <c r="D89" s="194" t="s">
        <v>208</v>
      </c>
      <c r="E89" s="195"/>
      <c r="F89" s="195"/>
      <c r="G89" s="195"/>
      <c r="H89" s="195"/>
      <c r="I89" s="195"/>
      <c r="J89" s="195"/>
      <c r="K89" s="195"/>
      <c r="L89" s="195"/>
      <c r="M89" s="195"/>
      <c r="N89" s="195"/>
      <c r="O89" s="195"/>
      <c r="P89" s="195"/>
      <c r="Q89" s="195"/>
      <c r="R89" s="195"/>
      <c r="S89" s="196"/>
    </row>
    <row r="90" spans="1:19" ht="143.25" customHeight="1" x14ac:dyDescent="0.15">
      <c r="B90" s="179"/>
      <c r="C90" s="26" t="s">
        <v>77</v>
      </c>
      <c r="D90" s="151" t="s">
        <v>223</v>
      </c>
      <c r="E90" s="152"/>
      <c r="F90" s="152"/>
      <c r="G90" s="152"/>
      <c r="H90" s="152"/>
      <c r="I90" s="152"/>
      <c r="J90" s="152"/>
      <c r="K90" s="152"/>
      <c r="L90" s="152"/>
      <c r="M90" s="152"/>
      <c r="N90" s="152"/>
      <c r="O90" s="152"/>
      <c r="P90" s="152"/>
      <c r="Q90" s="152"/>
      <c r="R90" s="152"/>
      <c r="S90" s="153"/>
    </row>
    <row r="91" spans="1:19" ht="243.75" customHeight="1" x14ac:dyDescent="0.15">
      <c r="B91" s="177" t="s">
        <v>62</v>
      </c>
      <c r="C91" s="27" t="s">
        <v>71</v>
      </c>
      <c r="D91" s="154" t="s">
        <v>209</v>
      </c>
      <c r="E91" s="155"/>
      <c r="F91" s="155"/>
      <c r="G91" s="155"/>
      <c r="H91" s="155"/>
      <c r="I91" s="155"/>
      <c r="J91" s="155"/>
      <c r="K91" s="155"/>
      <c r="L91" s="155"/>
      <c r="M91" s="155"/>
      <c r="N91" s="155"/>
      <c r="O91" s="155"/>
      <c r="P91" s="155"/>
      <c r="Q91" s="155"/>
      <c r="R91" s="155"/>
      <c r="S91" s="156"/>
    </row>
    <row r="92" spans="1:19" ht="154.5" customHeight="1" x14ac:dyDescent="0.15">
      <c r="B92" s="178"/>
      <c r="C92" s="29" t="s">
        <v>72</v>
      </c>
      <c r="D92" s="160" t="s">
        <v>210</v>
      </c>
      <c r="E92" s="161"/>
      <c r="F92" s="161"/>
      <c r="G92" s="161"/>
      <c r="H92" s="161"/>
      <c r="I92" s="161"/>
      <c r="J92" s="161"/>
      <c r="K92" s="161"/>
      <c r="L92" s="161"/>
      <c r="M92" s="161"/>
      <c r="N92" s="161"/>
      <c r="O92" s="161"/>
      <c r="P92" s="161"/>
      <c r="Q92" s="161"/>
      <c r="R92" s="161"/>
      <c r="S92" s="162"/>
    </row>
    <row r="93" spans="1:19" ht="156" customHeight="1" x14ac:dyDescent="0.15">
      <c r="B93" s="177" t="s">
        <v>63</v>
      </c>
      <c r="C93" s="27" t="s">
        <v>73</v>
      </c>
      <c r="D93" s="154" t="s">
        <v>224</v>
      </c>
      <c r="E93" s="155"/>
      <c r="F93" s="155"/>
      <c r="G93" s="155"/>
      <c r="H93" s="155"/>
      <c r="I93" s="155"/>
      <c r="J93" s="155"/>
      <c r="K93" s="155"/>
      <c r="L93" s="155"/>
      <c r="M93" s="155"/>
      <c r="N93" s="155"/>
      <c r="O93" s="155"/>
      <c r="P93" s="155"/>
      <c r="Q93" s="155"/>
      <c r="R93" s="155"/>
      <c r="S93" s="156"/>
    </row>
    <row r="94" spans="1:19" ht="156.75" customHeight="1" x14ac:dyDescent="0.15">
      <c r="B94" s="178"/>
      <c r="C94" s="29" t="s">
        <v>74</v>
      </c>
      <c r="D94" s="157" t="s">
        <v>211</v>
      </c>
      <c r="E94" s="158"/>
      <c r="F94" s="158"/>
      <c r="G94" s="158"/>
      <c r="H94" s="158"/>
      <c r="I94" s="158"/>
      <c r="J94" s="158"/>
      <c r="K94" s="158"/>
      <c r="L94" s="158"/>
      <c r="M94" s="158"/>
      <c r="N94" s="158"/>
      <c r="O94" s="158"/>
      <c r="P94" s="158"/>
      <c r="Q94" s="158"/>
      <c r="R94" s="158"/>
      <c r="S94" s="159"/>
    </row>
    <row r="95" spans="1:19" ht="146.25" customHeight="1" x14ac:dyDescent="0.15">
      <c r="B95" s="177" t="s">
        <v>78</v>
      </c>
      <c r="C95" s="25" t="s">
        <v>58</v>
      </c>
      <c r="D95" s="189" t="s">
        <v>212</v>
      </c>
      <c r="E95" s="190"/>
      <c r="F95" s="190"/>
      <c r="G95" s="190"/>
      <c r="H95" s="190"/>
      <c r="I95" s="190"/>
      <c r="J95" s="190"/>
      <c r="K95" s="190"/>
      <c r="L95" s="190"/>
      <c r="M95" s="190"/>
      <c r="N95" s="190"/>
      <c r="O95" s="190"/>
      <c r="P95" s="190"/>
      <c r="Q95" s="190"/>
      <c r="R95" s="190"/>
      <c r="S95" s="191"/>
    </row>
    <row r="96" spans="1:19" ht="127.5" customHeight="1" x14ac:dyDescent="0.15">
      <c r="B96" s="178"/>
      <c r="C96" s="28" t="s">
        <v>60</v>
      </c>
      <c r="D96" s="166" t="s">
        <v>213</v>
      </c>
      <c r="E96" s="167"/>
      <c r="F96" s="167"/>
      <c r="G96" s="167"/>
      <c r="H96" s="167"/>
      <c r="I96" s="167"/>
      <c r="J96" s="167"/>
      <c r="K96" s="167"/>
      <c r="L96" s="167"/>
      <c r="M96" s="167"/>
      <c r="N96" s="167"/>
      <c r="O96" s="167"/>
      <c r="P96" s="167"/>
      <c r="Q96" s="167"/>
      <c r="R96" s="167"/>
      <c r="S96" s="168"/>
    </row>
    <row r="97" spans="1:19" ht="136.5" customHeight="1" x14ac:dyDescent="0.15">
      <c r="B97" s="177" t="s">
        <v>79</v>
      </c>
      <c r="C97" s="27" t="s">
        <v>57</v>
      </c>
      <c r="D97" s="183" t="s">
        <v>214</v>
      </c>
      <c r="E97" s="184"/>
      <c r="F97" s="184"/>
      <c r="G97" s="184"/>
      <c r="H97" s="184"/>
      <c r="I97" s="184"/>
      <c r="J97" s="184"/>
      <c r="K97" s="184"/>
      <c r="L97" s="184"/>
      <c r="M97" s="184"/>
      <c r="N97" s="184"/>
      <c r="O97" s="184"/>
      <c r="P97" s="184"/>
      <c r="Q97" s="184"/>
      <c r="R97" s="184"/>
      <c r="S97" s="185"/>
    </row>
    <row r="98" spans="1:19" ht="139.5" customHeight="1" x14ac:dyDescent="0.15">
      <c r="B98" s="179"/>
      <c r="C98" s="30" t="s">
        <v>75</v>
      </c>
      <c r="D98" s="169" t="s">
        <v>215</v>
      </c>
      <c r="E98" s="170"/>
      <c r="F98" s="170"/>
      <c r="G98" s="170"/>
      <c r="H98" s="170"/>
      <c r="I98" s="170"/>
      <c r="J98" s="170"/>
      <c r="K98" s="170"/>
      <c r="L98" s="170"/>
      <c r="M98" s="170"/>
      <c r="N98" s="170"/>
      <c r="O98" s="170"/>
      <c r="P98" s="170"/>
      <c r="Q98" s="170"/>
      <c r="R98" s="170"/>
      <c r="S98" s="171"/>
    </row>
    <row r="99" spans="1:19" ht="140.25" customHeight="1" x14ac:dyDescent="0.15">
      <c r="B99" s="178"/>
      <c r="C99" s="29" t="s">
        <v>76</v>
      </c>
      <c r="D99" s="186" t="s">
        <v>229</v>
      </c>
      <c r="E99" s="187"/>
      <c r="F99" s="187"/>
      <c r="G99" s="187"/>
      <c r="H99" s="187"/>
      <c r="I99" s="187"/>
      <c r="J99" s="187"/>
      <c r="K99" s="187"/>
      <c r="L99" s="187"/>
      <c r="M99" s="187"/>
      <c r="N99" s="187"/>
      <c r="O99" s="187"/>
      <c r="P99" s="187"/>
      <c r="Q99" s="187"/>
      <c r="R99" s="187"/>
      <c r="S99" s="188"/>
    </row>
    <row r="100" spans="1:19" ht="6" customHeight="1" x14ac:dyDescent="0.15"/>
    <row r="101" spans="1:19" ht="18.75" customHeight="1" x14ac:dyDescent="0.15">
      <c r="A101" s="1" t="s">
        <v>120</v>
      </c>
    </row>
    <row r="102" spans="1:19" ht="81.75" customHeight="1" x14ac:dyDescent="0.15">
      <c r="B102" s="148" t="s">
        <v>135</v>
      </c>
      <c r="C102" s="149"/>
      <c r="D102" s="149"/>
      <c r="E102" s="149"/>
      <c r="F102" s="149"/>
      <c r="G102" s="149"/>
      <c r="H102" s="149"/>
      <c r="I102" s="149"/>
      <c r="J102" s="149"/>
      <c r="K102" s="149"/>
      <c r="L102" s="149"/>
      <c r="M102" s="149"/>
      <c r="N102" s="149"/>
      <c r="O102" s="149"/>
      <c r="P102" s="149"/>
      <c r="Q102" s="149"/>
      <c r="R102" s="149"/>
      <c r="S102" s="150"/>
    </row>
    <row r="110" spans="1:19" ht="18" customHeight="1" x14ac:dyDescent="0.15"/>
  </sheetData>
  <mergeCells count="145">
    <mergeCell ref="J42:O42"/>
    <mergeCell ref="A44:S45"/>
    <mergeCell ref="A66:S67"/>
    <mergeCell ref="B41:E41"/>
    <mergeCell ref="B42:E42"/>
    <mergeCell ref="J47:O47"/>
    <mergeCell ref="J48:O48"/>
    <mergeCell ref="J50:O50"/>
    <mergeCell ref="J51:O51"/>
    <mergeCell ref="J52:O52"/>
    <mergeCell ref="J63:O63"/>
    <mergeCell ref="J64:O64"/>
    <mergeCell ref="J49:O49"/>
    <mergeCell ref="B49:E49"/>
    <mergeCell ref="B97:B99"/>
    <mergeCell ref="D97:S97"/>
    <mergeCell ref="D99:S99"/>
    <mergeCell ref="B95:B96"/>
    <mergeCell ref="D95:S95"/>
    <mergeCell ref="J73:N73"/>
    <mergeCell ref="J74:N74"/>
    <mergeCell ref="B50:E50"/>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J57:O57"/>
    <mergeCell ref="J58:O58"/>
    <mergeCell ref="B71:D71"/>
    <mergeCell ref="B72:D72"/>
    <mergeCell ref="J62:O62"/>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8:E28"/>
    <mergeCell ref="B29:E29"/>
    <mergeCell ref="B30:E30"/>
    <mergeCell ref="B31:E31"/>
    <mergeCell ref="J24:O24"/>
    <mergeCell ref="J25:O25"/>
    <mergeCell ref="J26:O26"/>
    <mergeCell ref="J28:O28"/>
    <mergeCell ref="J29:O29"/>
    <mergeCell ref="J30:O30"/>
    <mergeCell ref="J31:O31"/>
    <mergeCell ref="K20:S20"/>
    <mergeCell ref="C2:I2"/>
    <mergeCell ref="C3:I3"/>
    <mergeCell ref="A5:S5"/>
    <mergeCell ref="B13:S18"/>
    <mergeCell ref="A22:S23"/>
    <mergeCell ref="K7:S7"/>
    <mergeCell ref="B68:D68"/>
    <mergeCell ref="J68:N68"/>
    <mergeCell ref="B51:E51"/>
    <mergeCell ref="B52:E52"/>
    <mergeCell ref="B53:E53"/>
    <mergeCell ref="B57:E57"/>
    <mergeCell ref="B58:E58"/>
    <mergeCell ref="B59:E59"/>
    <mergeCell ref="B60:E60"/>
    <mergeCell ref="B61:E61"/>
    <mergeCell ref="B62:E62"/>
    <mergeCell ref="B63:E63"/>
    <mergeCell ref="B64:E64"/>
    <mergeCell ref="J38:O38"/>
    <mergeCell ref="B38:E38"/>
    <mergeCell ref="B27:E27"/>
    <mergeCell ref="J27:O27"/>
    <mergeCell ref="B9:S10"/>
    <mergeCell ref="J60:O60"/>
    <mergeCell ref="J61:O61"/>
    <mergeCell ref="A33:S34"/>
    <mergeCell ref="C20:D20"/>
    <mergeCell ref="B35:E35"/>
    <mergeCell ref="B36:E36"/>
    <mergeCell ref="B37:E37"/>
    <mergeCell ref="B46:E46"/>
    <mergeCell ref="B47:E47"/>
    <mergeCell ref="B48:E48"/>
    <mergeCell ref="J35:O35"/>
    <mergeCell ref="J46:O46"/>
    <mergeCell ref="J36:O36"/>
    <mergeCell ref="J37:O37"/>
    <mergeCell ref="J39:O39"/>
    <mergeCell ref="B39:E39"/>
    <mergeCell ref="B40:E40"/>
    <mergeCell ref="J40:O40"/>
    <mergeCell ref="J41:O41"/>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Q25:R31 P69:S75 Q36:R42 G25:I31 S25 Q58:S64 S47 F69:I75 G36:I42 S36 G58:I64 Q47:R53 G47:I53"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9055118110236221" top="0.78740157480314965" bottom="7.874015748031496E-2"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2"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0D8A9-A3CB-455F-9BA1-70639AB1FE61}">
  <sheetPr>
    <pageSetUpPr fitToPage="1"/>
  </sheetPr>
  <dimension ref="A1:V110"/>
  <sheetViews>
    <sheetView showZeros="0" view="pageBreakPreview" topLeftCell="A97" zoomScale="70" zoomScaleNormal="100" zoomScaleSheetLayoutView="70" workbookViewId="0">
      <selection activeCell="F85" sqref="F85:I85"/>
    </sheetView>
  </sheetViews>
  <sheetFormatPr defaultColWidth="9" defaultRowHeight="18.75" customHeight="1" x14ac:dyDescent="0.15"/>
  <cols>
    <col min="1" max="1" width="2.5" style="81" customWidth="1"/>
    <col min="2" max="2" width="16.5" style="81" customWidth="1"/>
    <col min="3" max="19" width="5.625" style="81" customWidth="1"/>
    <col min="20" max="20" width="9" style="81"/>
    <col min="21" max="21" width="3.625" style="81" customWidth="1"/>
    <col min="22" max="22" width="48.625" style="81" hidden="1" customWidth="1"/>
    <col min="23" max="16384" width="9" style="81"/>
  </cols>
  <sheetData>
    <row r="1" spans="1:22" ht="18.600000000000001" customHeight="1" x14ac:dyDescent="0.15">
      <c r="R1" s="128" t="s">
        <v>128</v>
      </c>
      <c r="S1" s="128"/>
      <c r="T1" s="2" t="s">
        <v>109</v>
      </c>
    </row>
    <row r="2" spans="1:22" ht="18.75" customHeight="1" x14ac:dyDescent="0.15">
      <c r="B2" s="79" t="s">
        <v>108</v>
      </c>
      <c r="C2" s="110" t="s">
        <v>126</v>
      </c>
      <c r="D2" s="112"/>
      <c r="E2" s="112"/>
      <c r="F2" s="112"/>
      <c r="G2" s="112"/>
      <c r="H2" s="112"/>
      <c r="I2" s="111"/>
      <c r="J2" s="78"/>
      <c r="K2" s="6"/>
      <c r="L2" s="6"/>
      <c r="M2" s="6"/>
      <c r="N2" s="6"/>
      <c r="O2" s="6"/>
      <c r="P2" s="6"/>
      <c r="Q2" s="6"/>
      <c r="R2" s="6"/>
      <c r="S2" s="6"/>
    </row>
    <row r="3" spans="1:22" ht="18.75" customHeight="1" x14ac:dyDescent="0.15">
      <c r="B3" s="79" t="s">
        <v>102</v>
      </c>
      <c r="C3" s="110" t="s">
        <v>127</v>
      </c>
      <c r="D3" s="112"/>
      <c r="E3" s="112"/>
      <c r="F3" s="112"/>
      <c r="G3" s="112"/>
      <c r="H3" s="112"/>
      <c r="I3" s="111"/>
      <c r="J3" s="78"/>
      <c r="K3" s="6"/>
      <c r="L3" s="6"/>
      <c r="M3" s="6"/>
      <c r="N3" s="6"/>
      <c r="O3" s="6"/>
      <c r="P3" s="6"/>
      <c r="Q3" s="6"/>
      <c r="R3" s="6"/>
      <c r="S3" s="6"/>
    </row>
    <row r="4" spans="1:22" ht="15" customHeight="1" x14ac:dyDescent="0.15">
      <c r="K4" s="78"/>
      <c r="L4" s="33"/>
      <c r="M4" s="33"/>
      <c r="N4" s="33"/>
      <c r="O4" s="33"/>
      <c r="P4" s="33"/>
      <c r="Q4" s="33"/>
      <c r="R4" s="33"/>
      <c r="S4" s="33"/>
    </row>
    <row r="5" spans="1:22" ht="18" customHeight="1" x14ac:dyDescent="0.15">
      <c r="A5" s="135" t="s">
        <v>38</v>
      </c>
      <c r="B5" s="135"/>
      <c r="C5" s="135"/>
      <c r="D5" s="135"/>
      <c r="E5" s="135"/>
      <c r="F5" s="135"/>
      <c r="G5" s="135"/>
      <c r="H5" s="135"/>
      <c r="I5" s="135"/>
      <c r="J5" s="135"/>
      <c r="K5" s="135"/>
      <c r="L5" s="135"/>
      <c r="M5" s="135"/>
      <c r="N5" s="135"/>
      <c r="O5" s="135"/>
      <c r="P5" s="135"/>
      <c r="Q5" s="135"/>
      <c r="R5" s="135"/>
      <c r="S5" s="135"/>
    </row>
    <row r="6" spans="1:22" ht="15" customHeight="1" x14ac:dyDescent="0.15">
      <c r="B6" s="82"/>
      <c r="C6" s="82"/>
      <c r="D6" s="82"/>
      <c r="E6" s="82"/>
      <c r="F6" s="82"/>
      <c r="G6" s="82"/>
      <c r="H6" s="82"/>
      <c r="I6" s="82"/>
      <c r="J6" s="82"/>
      <c r="K6" s="82"/>
      <c r="L6" s="82"/>
      <c r="M6" s="82"/>
      <c r="N6" s="82"/>
      <c r="O6" s="82"/>
      <c r="P6" s="82"/>
      <c r="Q6" s="82"/>
      <c r="R6" s="82"/>
      <c r="S6" s="82"/>
    </row>
    <row r="7" spans="1:22" ht="18" customHeight="1" x14ac:dyDescent="0.15">
      <c r="A7" s="81" t="s">
        <v>124</v>
      </c>
      <c r="C7" s="82"/>
      <c r="J7" s="34" t="s">
        <v>107</v>
      </c>
      <c r="K7" s="145" t="s">
        <v>131</v>
      </c>
      <c r="L7" s="146"/>
      <c r="M7" s="146"/>
      <c r="N7" s="146"/>
      <c r="O7" s="146"/>
      <c r="P7" s="146"/>
      <c r="Q7" s="146"/>
      <c r="R7" s="146"/>
      <c r="S7" s="147"/>
    </row>
    <row r="8" spans="1:22" ht="6" customHeight="1" x14ac:dyDescent="0.15">
      <c r="B8" s="82"/>
      <c r="C8" s="82"/>
      <c r="D8" s="82"/>
      <c r="E8" s="82"/>
      <c r="F8" s="82"/>
      <c r="G8" s="82"/>
      <c r="H8" s="82"/>
      <c r="I8" s="82"/>
      <c r="J8" s="82"/>
      <c r="K8" s="9"/>
      <c r="L8" s="82"/>
      <c r="M8" s="82"/>
      <c r="N8" s="82"/>
      <c r="O8" s="82"/>
      <c r="P8" s="82"/>
      <c r="Q8" s="82"/>
      <c r="R8" s="82"/>
      <c r="S8" s="82"/>
    </row>
    <row r="9" spans="1:22" ht="18" customHeight="1" x14ac:dyDescent="0.15">
      <c r="B9" s="100" t="s">
        <v>136</v>
      </c>
      <c r="C9" s="101"/>
      <c r="D9" s="101"/>
      <c r="E9" s="101"/>
      <c r="F9" s="101"/>
      <c r="G9" s="101"/>
      <c r="H9" s="101"/>
      <c r="I9" s="101"/>
      <c r="J9" s="101"/>
      <c r="K9" s="101"/>
      <c r="L9" s="101"/>
      <c r="M9" s="101"/>
      <c r="N9" s="101"/>
      <c r="O9" s="101"/>
      <c r="P9" s="101"/>
      <c r="Q9" s="101"/>
      <c r="R9" s="101"/>
      <c r="S9" s="102"/>
    </row>
    <row r="10" spans="1:22" ht="18" customHeight="1" x14ac:dyDescent="0.15">
      <c r="B10" s="103"/>
      <c r="C10" s="104"/>
      <c r="D10" s="104"/>
      <c r="E10" s="104"/>
      <c r="F10" s="104"/>
      <c r="G10" s="104"/>
      <c r="H10" s="104"/>
      <c r="I10" s="104"/>
      <c r="J10" s="104"/>
      <c r="K10" s="104"/>
      <c r="L10" s="104"/>
      <c r="M10" s="104"/>
      <c r="N10" s="104"/>
      <c r="O10" s="104"/>
      <c r="P10" s="104"/>
      <c r="Q10" s="104"/>
      <c r="R10" s="104"/>
      <c r="S10" s="105"/>
    </row>
    <row r="11" spans="1:22" ht="6" customHeight="1" x14ac:dyDescent="0.15">
      <c r="B11" s="82"/>
      <c r="C11" s="82"/>
      <c r="D11" s="82"/>
      <c r="E11" s="82"/>
      <c r="F11" s="82"/>
      <c r="G11" s="82"/>
      <c r="H11" s="82"/>
      <c r="I11" s="82"/>
      <c r="J11" s="82"/>
      <c r="K11" s="9"/>
      <c r="L11" s="82"/>
      <c r="M11" s="82"/>
      <c r="N11" s="82"/>
      <c r="O11" s="82"/>
      <c r="P11" s="82"/>
      <c r="Q11" s="82"/>
      <c r="R11" s="82"/>
      <c r="S11" s="82"/>
    </row>
    <row r="12" spans="1:22" ht="18" customHeight="1" x14ac:dyDescent="0.15">
      <c r="A12" s="81" t="s">
        <v>111</v>
      </c>
      <c r="B12" s="82"/>
      <c r="C12" s="82"/>
      <c r="D12" s="78"/>
      <c r="E12" s="78"/>
      <c r="F12" s="78"/>
      <c r="G12" s="78"/>
      <c r="H12" s="78"/>
      <c r="I12" s="78"/>
      <c r="J12" s="78"/>
      <c r="K12" s="35"/>
      <c r="L12" s="35"/>
      <c r="M12" s="35"/>
      <c r="N12" s="35"/>
      <c r="O12" s="35"/>
      <c r="P12" s="35"/>
      <c r="Q12" s="35"/>
      <c r="R12" s="35"/>
      <c r="S12" s="35"/>
    </row>
    <row r="13" spans="1:22" ht="18" customHeight="1" x14ac:dyDescent="0.15">
      <c r="B13" s="136" t="s">
        <v>137</v>
      </c>
      <c r="C13" s="137"/>
      <c r="D13" s="137"/>
      <c r="E13" s="137"/>
      <c r="F13" s="137"/>
      <c r="G13" s="137"/>
      <c r="H13" s="137"/>
      <c r="I13" s="137"/>
      <c r="J13" s="137"/>
      <c r="K13" s="137"/>
      <c r="L13" s="137"/>
      <c r="M13" s="137"/>
      <c r="N13" s="137"/>
      <c r="O13" s="137"/>
      <c r="P13" s="137"/>
      <c r="Q13" s="137"/>
      <c r="R13" s="137"/>
      <c r="S13" s="138"/>
      <c r="V13" s="81" t="s">
        <v>103</v>
      </c>
    </row>
    <row r="14" spans="1:22" ht="18" customHeight="1" x14ac:dyDescent="0.15">
      <c r="B14" s="139"/>
      <c r="C14" s="140"/>
      <c r="D14" s="140"/>
      <c r="E14" s="140"/>
      <c r="F14" s="140"/>
      <c r="G14" s="140"/>
      <c r="H14" s="140"/>
      <c r="I14" s="140"/>
      <c r="J14" s="140"/>
      <c r="K14" s="140"/>
      <c r="L14" s="140"/>
      <c r="M14" s="140"/>
      <c r="N14" s="140"/>
      <c r="O14" s="140"/>
      <c r="P14" s="140"/>
      <c r="Q14" s="140"/>
      <c r="R14" s="140"/>
      <c r="S14" s="141"/>
      <c r="V14" s="81" t="s">
        <v>110</v>
      </c>
    </row>
    <row r="15" spans="1:22" ht="18" customHeight="1" x14ac:dyDescent="0.15">
      <c r="B15" s="139"/>
      <c r="C15" s="140"/>
      <c r="D15" s="140"/>
      <c r="E15" s="140"/>
      <c r="F15" s="140"/>
      <c r="G15" s="140"/>
      <c r="H15" s="140"/>
      <c r="I15" s="140"/>
      <c r="J15" s="140"/>
      <c r="K15" s="140"/>
      <c r="L15" s="140"/>
      <c r="M15" s="140"/>
      <c r="N15" s="140"/>
      <c r="O15" s="140"/>
      <c r="P15" s="140"/>
      <c r="Q15" s="140"/>
      <c r="R15" s="140"/>
      <c r="S15" s="141"/>
      <c r="V15" s="81" t="s">
        <v>123</v>
      </c>
    </row>
    <row r="16" spans="1:22" ht="18" customHeight="1" x14ac:dyDescent="0.15">
      <c r="B16" s="139"/>
      <c r="C16" s="140"/>
      <c r="D16" s="140"/>
      <c r="E16" s="140"/>
      <c r="F16" s="140"/>
      <c r="G16" s="140"/>
      <c r="H16" s="140"/>
      <c r="I16" s="140"/>
      <c r="J16" s="140"/>
      <c r="K16" s="140"/>
      <c r="L16" s="140"/>
      <c r="M16" s="140"/>
      <c r="N16" s="140"/>
      <c r="O16" s="140"/>
      <c r="P16" s="140"/>
      <c r="Q16" s="140"/>
      <c r="R16" s="140"/>
      <c r="S16" s="141"/>
      <c r="V16" s="81" t="s">
        <v>125</v>
      </c>
    </row>
    <row r="17" spans="1:19" ht="18" customHeight="1" x14ac:dyDescent="0.15">
      <c r="B17" s="139"/>
      <c r="C17" s="140"/>
      <c r="D17" s="140"/>
      <c r="E17" s="140"/>
      <c r="F17" s="140"/>
      <c r="G17" s="140"/>
      <c r="H17" s="140"/>
      <c r="I17" s="140"/>
      <c r="J17" s="140"/>
      <c r="K17" s="140"/>
      <c r="L17" s="140"/>
      <c r="M17" s="140"/>
      <c r="N17" s="140"/>
      <c r="O17" s="140"/>
      <c r="P17" s="140"/>
      <c r="Q17" s="140"/>
      <c r="R17" s="140"/>
      <c r="S17" s="141"/>
    </row>
    <row r="18" spans="1:19" ht="18" customHeight="1" x14ac:dyDescent="0.15">
      <c r="B18" s="142"/>
      <c r="C18" s="143"/>
      <c r="D18" s="143"/>
      <c r="E18" s="143"/>
      <c r="F18" s="143"/>
      <c r="G18" s="143"/>
      <c r="H18" s="143"/>
      <c r="I18" s="143"/>
      <c r="J18" s="143"/>
      <c r="K18" s="143"/>
      <c r="L18" s="143"/>
      <c r="M18" s="143"/>
      <c r="N18" s="143"/>
      <c r="O18" s="143"/>
      <c r="P18" s="143"/>
      <c r="Q18" s="143"/>
      <c r="R18" s="143"/>
      <c r="S18" s="144"/>
    </row>
    <row r="19" spans="1:19" ht="7.5" customHeight="1" x14ac:dyDescent="0.15">
      <c r="B19" s="82"/>
      <c r="C19" s="82"/>
      <c r="D19" s="82"/>
      <c r="E19" s="82"/>
      <c r="F19" s="82"/>
      <c r="G19" s="82"/>
      <c r="H19" s="82"/>
      <c r="I19" s="82"/>
      <c r="J19" s="82"/>
      <c r="K19" s="82"/>
      <c r="L19" s="82"/>
      <c r="M19" s="82"/>
      <c r="N19" s="82"/>
      <c r="O19" s="82"/>
      <c r="P19" s="82"/>
      <c r="Q19" s="82"/>
      <c r="R19" s="82"/>
      <c r="S19" s="82"/>
    </row>
    <row r="20" spans="1:19" ht="19.899999999999999" customHeight="1" x14ac:dyDescent="0.15">
      <c r="B20" s="81" t="s">
        <v>112</v>
      </c>
      <c r="C20" s="110">
        <v>4</v>
      </c>
      <c r="D20" s="111"/>
      <c r="E20" s="36" t="s">
        <v>95</v>
      </c>
      <c r="G20" s="9"/>
      <c r="H20" s="82"/>
      <c r="I20" s="82"/>
      <c r="J20" s="78" t="s">
        <v>121</v>
      </c>
      <c r="K20" s="132" t="s">
        <v>125</v>
      </c>
      <c r="L20" s="133"/>
      <c r="M20" s="133"/>
      <c r="N20" s="133"/>
      <c r="O20" s="133"/>
      <c r="P20" s="133"/>
      <c r="Q20" s="133"/>
      <c r="R20" s="133"/>
      <c r="S20" s="134"/>
    </row>
    <row r="21" spans="1:19" ht="7.5" customHeight="1" x14ac:dyDescent="0.15">
      <c r="B21" s="82"/>
      <c r="C21" s="82"/>
      <c r="D21" s="82"/>
      <c r="E21" s="82"/>
      <c r="F21" s="82"/>
      <c r="G21" s="82"/>
      <c r="H21" s="82"/>
      <c r="I21" s="82"/>
      <c r="J21" s="82"/>
      <c r="K21" s="82"/>
      <c r="L21" s="82"/>
      <c r="M21" s="82"/>
      <c r="N21" s="82"/>
      <c r="O21" s="82"/>
      <c r="P21" s="82"/>
      <c r="Q21" s="82"/>
      <c r="R21" s="82"/>
      <c r="S21" s="82"/>
    </row>
    <row r="22" spans="1:19" ht="18" customHeight="1" x14ac:dyDescent="0.15">
      <c r="A22" s="109" t="s">
        <v>113</v>
      </c>
      <c r="B22" s="109"/>
      <c r="C22" s="109"/>
      <c r="D22" s="109"/>
      <c r="E22" s="109"/>
      <c r="F22" s="109"/>
      <c r="G22" s="109"/>
      <c r="H22" s="109"/>
      <c r="I22" s="109"/>
      <c r="J22" s="109"/>
      <c r="K22" s="109"/>
      <c r="L22" s="109"/>
      <c r="M22" s="109"/>
      <c r="N22" s="109"/>
      <c r="O22" s="109"/>
      <c r="P22" s="109"/>
      <c r="Q22" s="109"/>
      <c r="R22" s="109"/>
      <c r="S22" s="109"/>
    </row>
    <row r="23" spans="1:19" ht="18" customHeight="1" x14ac:dyDescent="0.15">
      <c r="A23" s="109"/>
      <c r="B23" s="109"/>
      <c r="C23" s="109"/>
      <c r="D23" s="109"/>
      <c r="E23" s="109"/>
      <c r="F23" s="109"/>
      <c r="G23" s="109"/>
      <c r="H23" s="109"/>
      <c r="I23" s="109"/>
      <c r="J23" s="109"/>
      <c r="K23" s="109"/>
      <c r="L23" s="109"/>
      <c r="M23" s="109"/>
      <c r="N23" s="109"/>
      <c r="O23" s="109"/>
      <c r="P23" s="109"/>
      <c r="Q23" s="109"/>
      <c r="R23" s="109"/>
      <c r="S23" s="109"/>
    </row>
    <row r="24" spans="1:19" ht="18" customHeight="1" x14ac:dyDescent="0.15">
      <c r="B24" s="110" t="s">
        <v>53</v>
      </c>
      <c r="C24" s="112"/>
      <c r="D24" s="112"/>
      <c r="E24" s="111"/>
      <c r="F24" s="57" t="s">
        <v>80</v>
      </c>
      <c r="G24" s="56" t="s">
        <v>84</v>
      </c>
      <c r="H24" s="19" t="s">
        <v>56</v>
      </c>
      <c r="I24" s="19" t="s">
        <v>59</v>
      </c>
      <c r="J24" s="110" t="s">
        <v>53</v>
      </c>
      <c r="K24" s="112"/>
      <c r="L24" s="112"/>
      <c r="M24" s="112"/>
      <c r="N24" s="112"/>
      <c r="O24" s="111"/>
      <c r="P24" s="57" t="s">
        <v>80</v>
      </c>
      <c r="Q24" s="56" t="s">
        <v>84</v>
      </c>
      <c r="R24" s="19" t="s">
        <v>56</v>
      </c>
      <c r="S24" s="19" t="s">
        <v>59</v>
      </c>
    </row>
    <row r="25" spans="1:19" ht="18" customHeight="1" x14ac:dyDescent="0.15">
      <c r="B25" s="175" t="s">
        <v>138</v>
      </c>
      <c r="C25" s="176"/>
      <c r="D25" s="176"/>
      <c r="E25" s="214"/>
      <c r="F25" s="20">
        <v>1</v>
      </c>
      <c r="G25" s="20" t="s">
        <v>134</v>
      </c>
      <c r="H25" s="20" t="s">
        <v>134</v>
      </c>
      <c r="I25" s="20" t="s">
        <v>134</v>
      </c>
      <c r="J25" s="180"/>
      <c r="K25" s="181"/>
      <c r="L25" s="181"/>
      <c r="M25" s="181"/>
      <c r="N25" s="181"/>
      <c r="O25" s="182"/>
      <c r="P25" s="20"/>
      <c r="Q25" s="20"/>
      <c r="R25" s="20"/>
      <c r="S25" s="20"/>
    </row>
    <row r="26" spans="1:19" ht="18" customHeight="1" x14ac:dyDescent="0.15">
      <c r="B26" s="106"/>
      <c r="C26" s="107"/>
      <c r="D26" s="107"/>
      <c r="E26" s="108"/>
      <c r="F26" s="21"/>
      <c r="G26" s="21"/>
      <c r="H26" s="21"/>
      <c r="I26" s="21"/>
      <c r="J26" s="106"/>
      <c r="K26" s="107"/>
      <c r="L26" s="107"/>
      <c r="M26" s="107"/>
      <c r="N26" s="107"/>
      <c r="O26" s="108"/>
      <c r="P26" s="21"/>
      <c r="Q26" s="21"/>
      <c r="R26" s="21"/>
      <c r="S26" s="21"/>
    </row>
    <row r="27" spans="1:19" ht="18" customHeight="1" x14ac:dyDescent="0.15">
      <c r="B27" s="106"/>
      <c r="C27" s="107"/>
      <c r="D27" s="107"/>
      <c r="E27" s="108"/>
      <c r="F27" s="21"/>
      <c r="G27" s="21"/>
      <c r="H27" s="21"/>
      <c r="I27" s="21"/>
      <c r="J27" s="106"/>
      <c r="K27" s="107"/>
      <c r="L27" s="107"/>
      <c r="M27" s="107"/>
      <c r="N27" s="107"/>
      <c r="O27" s="108"/>
      <c r="P27" s="21"/>
      <c r="Q27" s="21"/>
      <c r="R27" s="21"/>
      <c r="S27" s="21"/>
    </row>
    <row r="28" spans="1:19" ht="18" customHeight="1" x14ac:dyDescent="0.15">
      <c r="B28" s="106"/>
      <c r="C28" s="107"/>
      <c r="D28" s="107"/>
      <c r="E28" s="108"/>
      <c r="F28" s="21"/>
      <c r="G28" s="21"/>
      <c r="H28" s="21"/>
      <c r="I28" s="21"/>
      <c r="J28" s="106"/>
      <c r="K28" s="107"/>
      <c r="L28" s="107"/>
      <c r="M28" s="107"/>
      <c r="N28" s="107"/>
      <c r="O28" s="108"/>
      <c r="P28" s="21"/>
      <c r="Q28" s="21"/>
      <c r="R28" s="21"/>
      <c r="S28" s="21"/>
    </row>
    <row r="29" spans="1:19" ht="18" customHeight="1" x14ac:dyDescent="0.15">
      <c r="B29" s="106"/>
      <c r="C29" s="107"/>
      <c r="D29" s="107"/>
      <c r="E29" s="108"/>
      <c r="F29" s="21"/>
      <c r="G29" s="21"/>
      <c r="H29" s="21"/>
      <c r="I29" s="21"/>
      <c r="J29" s="106"/>
      <c r="K29" s="107"/>
      <c r="L29" s="107"/>
      <c r="M29" s="107"/>
      <c r="N29" s="107"/>
      <c r="O29" s="108"/>
      <c r="P29" s="21"/>
      <c r="Q29" s="21"/>
      <c r="R29" s="21"/>
      <c r="S29" s="21"/>
    </row>
    <row r="30" spans="1:19" ht="18" customHeight="1" x14ac:dyDescent="0.15">
      <c r="A30" s="82"/>
      <c r="B30" s="106"/>
      <c r="C30" s="107"/>
      <c r="D30" s="107"/>
      <c r="E30" s="108"/>
      <c r="F30" s="21"/>
      <c r="G30" s="21"/>
      <c r="H30" s="21"/>
      <c r="I30" s="21"/>
      <c r="J30" s="106"/>
      <c r="K30" s="107"/>
      <c r="L30" s="107"/>
      <c r="M30" s="107"/>
      <c r="N30" s="107"/>
      <c r="O30" s="108"/>
      <c r="P30" s="21"/>
      <c r="Q30" s="21"/>
      <c r="R30" s="21"/>
      <c r="S30" s="21"/>
    </row>
    <row r="31" spans="1:19" ht="18" customHeight="1" x14ac:dyDescent="0.15">
      <c r="A31" s="82"/>
      <c r="B31" s="163"/>
      <c r="C31" s="164"/>
      <c r="D31" s="164"/>
      <c r="E31" s="165"/>
      <c r="F31" s="22"/>
      <c r="G31" s="22"/>
      <c r="H31" s="23"/>
      <c r="I31" s="23"/>
      <c r="J31" s="163"/>
      <c r="K31" s="164"/>
      <c r="L31" s="164"/>
      <c r="M31" s="164"/>
      <c r="N31" s="164"/>
      <c r="O31" s="165"/>
      <c r="P31" s="22"/>
      <c r="Q31" s="22"/>
      <c r="R31" s="23"/>
      <c r="S31" s="23"/>
    </row>
    <row r="32" spans="1:19" ht="7.5" customHeight="1" x14ac:dyDescent="0.15">
      <c r="A32" s="82"/>
      <c r="B32" s="6"/>
      <c r="C32" s="6"/>
      <c r="D32" s="82"/>
      <c r="E32" s="82"/>
      <c r="F32" s="82"/>
      <c r="G32" s="82"/>
      <c r="H32" s="6"/>
      <c r="I32" s="6"/>
      <c r="J32" s="6"/>
      <c r="K32" s="6"/>
      <c r="L32" s="6"/>
      <c r="M32" s="6"/>
      <c r="N32" s="6"/>
      <c r="O32" s="6"/>
      <c r="P32" s="6"/>
      <c r="Q32" s="6"/>
      <c r="R32" s="6"/>
      <c r="S32" s="82"/>
    </row>
    <row r="33" spans="1:19" ht="18" customHeight="1" x14ac:dyDescent="0.15">
      <c r="A33" s="109" t="s">
        <v>114</v>
      </c>
      <c r="B33" s="109"/>
      <c r="C33" s="109"/>
      <c r="D33" s="109"/>
      <c r="E33" s="109"/>
      <c r="F33" s="109"/>
      <c r="G33" s="109"/>
      <c r="H33" s="109"/>
      <c r="I33" s="109"/>
      <c r="J33" s="109"/>
      <c r="K33" s="109"/>
      <c r="L33" s="109"/>
      <c r="M33" s="109"/>
      <c r="N33" s="109"/>
      <c r="O33" s="109"/>
      <c r="P33" s="109"/>
      <c r="Q33" s="109"/>
      <c r="R33" s="109"/>
      <c r="S33" s="109"/>
    </row>
    <row r="34" spans="1:19" ht="18" customHeight="1" x14ac:dyDescent="0.15">
      <c r="A34" s="109"/>
      <c r="B34" s="109"/>
      <c r="C34" s="109"/>
      <c r="D34" s="109"/>
      <c r="E34" s="109"/>
      <c r="F34" s="109"/>
      <c r="G34" s="109"/>
      <c r="H34" s="109"/>
      <c r="I34" s="109"/>
      <c r="J34" s="109"/>
      <c r="K34" s="109"/>
      <c r="L34" s="109"/>
      <c r="M34" s="109"/>
      <c r="N34" s="109"/>
      <c r="O34" s="109"/>
      <c r="P34" s="109"/>
      <c r="Q34" s="109"/>
      <c r="R34" s="109"/>
      <c r="S34" s="109"/>
    </row>
    <row r="35" spans="1:19" ht="18" customHeight="1" x14ac:dyDescent="0.15">
      <c r="B35" s="110" t="s">
        <v>53</v>
      </c>
      <c r="C35" s="112"/>
      <c r="D35" s="112"/>
      <c r="E35" s="111"/>
      <c r="F35" s="57" t="s">
        <v>80</v>
      </c>
      <c r="G35" s="56" t="s">
        <v>84</v>
      </c>
      <c r="H35" s="19" t="s">
        <v>71</v>
      </c>
      <c r="I35" s="19" t="s">
        <v>72</v>
      </c>
      <c r="J35" s="110" t="s">
        <v>53</v>
      </c>
      <c r="K35" s="112"/>
      <c r="L35" s="112"/>
      <c r="M35" s="112"/>
      <c r="N35" s="112"/>
      <c r="O35" s="111"/>
      <c r="P35" s="57" t="s">
        <v>80</v>
      </c>
      <c r="Q35" s="56" t="s">
        <v>84</v>
      </c>
      <c r="R35" s="19" t="s">
        <v>71</v>
      </c>
      <c r="S35" s="19" t="s">
        <v>72</v>
      </c>
    </row>
    <row r="36" spans="1:19" ht="18" customHeight="1" x14ac:dyDescent="0.15">
      <c r="B36" s="175" t="s">
        <v>138</v>
      </c>
      <c r="C36" s="176"/>
      <c r="D36" s="176"/>
      <c r="E36" s="214"/>
      <c r="F36" s="20">
        <v>1</v>
      </c>
      <c r="G36" s="20" t="s">
        <v>134</v>
      </c>
      <c r="H36" s="20" t="s">
        <v>134</v>
      </c>
      <c r="I36" s="20" t="s">
        <v>134</v>
      </c>
      <c r="J36" s="180"/>
      <c r="K36" s="181"/>
      <c r="L36" s="181"/>
      <c r="M36" s="181"/>
      <c r="N36" s="181"/>
      <c r="O36" s="182"/>
      <c r="P36" s="20"/>
      <c r="Q36" s="20"/>
      <c r="R36" s="20"/>
      <c r="S36" s="20"/>
    </row>
    <row r="37" spans="1:19" ht="18" customHeight="1" x14ac:dyDescent="0.15">
      <c r="B37" s="106"/>
      <c r="C37" s="107"/>
      <c r="D37" s="107"/>
      <c r="E37" s="108"/>
      <c r="F37" s="21"/>
      <c r="G37" s="21"/>
      <c r="H37" s="21"/>
      <c r="I37" s="21"/>
      <c r="J37" s="106"/>
      <c r="K37" s="107"/>
      <c r="L37" s="107"/>
      <c r="M37" s="107"/>
      <c r="N37" s="107"/>
      <c r="O37" s="108"/>
      <c r="P37" s="21"/>
      <c r="Q37" s="21"/>
      <c r="R37" s="21"/>
      <c r="S37" s="21"/>
    </row>
    <row r="38" spans="1:19" ht="18" customHeight="1" x14ac:dyDescent="0.15">
      <c r="B38" s="106"/>
      <c r="C38" s="107"/>
      <c r="D38" s="107"/>
      <c r="E38" s="108"/>
      <c r="F38" s="21"/>
      <c r="G38" s="21"/>
      <c r="H38" s="21"/>
      <c r="I38" s="21"/>
      <c r="J38" s="106"/>
      <c r="K38" s="107"/>
      <c r="L38" s="107"/>
      <c r="M38" s="107"/>
      <c r="N38" s="107"/>
      <c r="O38" s="108"/>
      <c r="P38" s="21"/>
      <c r="Q38" s="21"/>
      <c r="R38" s="21"/>
      <c r="S38" s="21"/>
    </row>
    <row r="39" spans="1:19" ht="18" customHeight="1" x14ac:dyDescent="0.15">
      <c r="B39" s="106"/>
      <c r="C39" s="107"/>
      <c r="D39" s="107"/>
      <c r="E39" s="108"/>
      <c r="F39" s="21"/>
      <c r="G39" s="21"/>
      <c r="H39" s="21"/>
      <c r="I39" s="21"/>
      <c r="J39" s="106"/>
      <c r="K39" s="107"/>
      <c r="L39" s="107"/>
      <c r="M39" s="107"/>
      <c r="N39" s="107"/>
      <c r="O39" s="108"/>
      <c r="P39" s="21"/>
      <c r="Q39" s="21"/>
      <c r="R39" s="21"/>
      <c r="S39" s="21"/>
    </row>
    <row r="40" spans="1:19" ht="18" customHeight="1" x14ac:dyDescent="0.15">
      <c r="B40" s="106"/>
      <c r="C40" s="107"/>
      <c r="D40" s="107"/>
      <c r="E40" s="108"/>
      <c r="F40" s="21"/>
      <c r="G40" s="21"/>
      <c r="H40" s="21"/>
      <c r="I40" s="21"/>
      <c r="J40" s="106"/>
      <c r="K40" s="107"/>
      <c r="L40" s="107"/>
      <c r="M40" s="107"/>
      <c r="N40" s="107"/>
      <c r="O40" s="108"/>
      <c r="P40" s="21"/>
      <c r="Q40" s="21"/>
      <c r="R40" s="21"/>
      <c r="S40" s="21"/>
    </row>
    <row r="41" spans="1:19" ht="18" customHeight="1" x14ac:dyDescent="0.15">
      <c r="B41" s="106"/>
      <c r="C41" s="107"/>
      <c r="D41" s="107"/>
      <c r="E41" s="108"/>
      <c r="F41" s="21"/>
      <c r="G41" s="21"/>
      <c r="H41" s="21"/>
      <c r="I41" s="21"/>
      <c r="J41" s="106"/>
      <c r="K41" s="107"/>
      <c r="L41" s="107"/>
      <c r="M41" s="107"/>
      <c r="N41" s="107"/>
      <c r="O41" s="108"/>
      <c r="P41" s="21"/>
      <c r="Q41" s="21"/>
      <c r="R41" s="21"/>
      <c r="S41" s="21"/>
    </row>
    <row r="42" spans="1:19" ht="18" customHeight="1" x14ac:dyDescent="0.15">
      <c r="B42" s="163"/>
      <c r="C42" s="164"/>
      <c r="D42" s="164"/>
      <c r="E42" s="165"/>
      <c r="F42" s="22"/>
      <c r="G42" s="22"/>
      <c r="H42" s="23"/>
      <c r="I42" s="23"/>
      <c r="J42" s="163"/>
      <c r="K42" s="164"/>
      <c r="L42" s="164"/>
      <c r="M42" s="164"/>
      <c r="N42" s="164"/>
      <c r="O42" s="165"/>
      <c r="P42" s="22"/>
      <c r="Q42" s="22"/>
      <c r="R42" s="23"/>
      <c r="S42" s="23"/>
    </row>
    <row r="43" spans="1:19" ht="7.5" customHeight="1" x14ac:dyDescent="0.15">
      <c r="A43" s="82"/>
      <c r="B43" s="6"/>
      <c r="C43" s="6"/>
      <c r="D43" s="82"/>
      <c r="E43" s="82"/>
      <c r="F43" s="82"/>
      <c r="G43" s="82"/>
      <c r="H43" s="6"/>
      <c r="I43" s="6"/>
      <c r="J43" s="6"/>
      <c r="K43" s="6"/>
      <c r="L43" s="6"/>
      <c r="M43" s="6"/>
      <c r="N43" s="6"/>
      <c r="O43" s="6"/>
      <c r="P43" s="6"/>
      <c r="Q43" s="6"/>
      <c r="R43" s="6"/>
      <c r="S43" s="82"/>
    </row>
    <row r="44" spans="1:19" ht="18" customHeight="1" x14ac:dyDescent="0.15">
      <c r="A44" s="109" t="s">
        <v>115</v>
      </c>
      <c r="B44" s="109"/>
      <c r="C44" s="109"/>
      <c r="D44" s="109"/>
      <c r="E44" s="109"/>
      <c r="F44" s="109"/>
      <c r="G44" s="109"/>
      <c r="H44" s="109"/>
      <c r="I44" s="109"/>
      <c r="J44" s="109"/>
      <c r="K44" s="109"/>
      <c r="L44" s="109"/>
      <c r="M44" s="109"/>
      <c r="N44" s="109"/>
      <c r="O44" s="109"/>
      <c r="P44" s="109"/>
      <c r="Q44" s="109"/>
      <c r="R44" s="109"/>
      <c r="S44" s="109"/>
    </row>
    <row r="45" spans="1:19" ht="18" customHeight="1" x14ac:dyDescent="0.15">
      <c r="A45" s="109"/>
      <c r="B45" s="109"/>
      <c r="C45" s="109"/>
      <c r="D45" s="109"/>
      <c r="E45" s="109"/>
      <c r="F45" s="109"/>
      <c r="G45" s="109"/>
      <c r="H45" s="109"/>
      <c r="I45" s="109"/>
      <c r="J45" s="109"/>
      <c r="K45" s="109"/>
      <c r="L45" s="109"/>
      <c r="M45" s="109"/>
      <c r="N45" s="109"/>
      <c r="O45" s="109"/>
      <c r="P45" s="109"/>
      <c r="Q45" s="109"/>
      <c r="R45" s="109"/>
      <c r="S45" s="109"/>
    </row>
    <row r="46" spans="1:19" ht="18" customHeight="1" x14ac:dyDescent="0.15">
      <c r="B46" s="110" t="s">
        <v>53</v>
      </c>
      <c r="C46" s="112"/>
      <c r="D46" s="112"/>
      <c r="E46" s="111"/>
      <c r="F46" s="57" t="s">
        <v>80</v>
      </c>
      <c r="G46" s="56" t="s">
        <v>84</v>
      </c>
      <c r="H46" s="19" t="s">
        <v>73</v>
      </c>
      <c r="I46" s="19" t="s">
        <v>74</v>
      </c>
      <c r="J46" s="110" t="s">
        <v>53</v>
      </c>
      <c r="K46" s="112"/>
      <c r="L46" s="112"/>
      <c r="M46" s="112"/>
      <c r="N46" s="112"/>
      <c r="O46" s="111"/>
      <c r="P46" s="57" t="s">
        <v>80</v>
      </c>
      <c r="Q46" s="56" t="s">
        <v>84</v>
      </c>
      <c r="R46" s="19" t="s">
        <v>73</v>
      </c>
      <c r="S46" s="19" t="s">
        <v>74</v>
      </c>
    </row>
    <row r="47" spans="1:19" ht="18" customHeight="1" x14ac:dyDescent="0.15">
      <c r="A47" s="82"/>
      <c r="B47" s="175" t="s">
        <v>138</v>
      </c>
      <c r="C47" s="176"/>
      <c r="D47" s="176"/>
      <c r="E47" s="214"/>
      <c r="F47" s="20">
        <v>1</v>
      </c>
      <c r="G47" s="20" t="s">
        <v>134</v>
      </c>
      <c r="H47" s="20" t="s">
        <v>134</v>
      </c>
      <c r="I47" s="20" t="s">
        <v>134</v>
      </c>
      <c r="J47" s="180"/>
      <c r="K47" s="181"/>
      <c r="L47" s="181"/>
      <c r="M47" s="181"/>
      <c r="N47" s="181"/>
      <c r="O47" s="182"/>
      <c r="P47" s="20"/>
      <c r="Q47" s="20"/>
      <c r="R47" s="20"/>
      <c r="S47" s="20"/>
    </row>
    <row r="48" spans="1:19" ht="18" customHeight="1" x14ac:dyDescent="0.15">
      <c r="A48" s="82"/>
      <c r="B48" s="106"/>
      <c r="C48" s="107"/>
      <c r="D48" s="107"/>
      <c r="E48" s="108"/>
      <c r="F48" s="21"/>
      <c r="G48" s="21"/>
      <c r="H48" s="21"/>
      <c r="I48" s="21"/>
      <c r="J48" s="106"/>
      <c r="K48" s="107"/>
      <c r="L48" s="107"/>
      <c r="M48" s="107"/>
      <c r="N48" s="107"/>
      <c r="O48" s="108"/>
      <c r="P48" s="21"/>
      <c r="Q48" s="21"/>
      <c r="R48" s="21"/>
      <c r="S48" s="21"/>
    </row>
    <row r="49" spans="1:19" ht="18" customHeight="1" x14ac:dyDescent="0.15">
      <c r="A49" s="82"/>
      <c r="B49" s="106"/>
      <c r="C49" s="107"/>
      <c r="D49" s="107"/>
      <c r="E49" s="108"/>
      <c r="F49" s="21"/>
      <c r="G49" s="21"/>
      <c r="H49" s="21"/>
      <c r="I49" s="21"/>
      <c r="J49" s="106"/>
      <c r="K49" s="107"/>
      <c r="L49" s="107"/>
      <c r="M49" s="107"/>
      <c r="N49" s="107"/>
      <c r="O49" s="108"/>
      <c r="P49" s="21"/>
      <c r="Q49" s="21"/>
      <c r="R49" s="21"/>
      <c r="S49" s="21"/>
    </row>
    <row r="50" spans="1:19" ht="18" customHeight="1" x14ac:dyDescent="0.15">
      <c r="A50" s="82"/>
      <c r="B50" s="106"/>
      <c r="C50" s="107"/>
      <c r="D50" s="107"/>
      <c r="E50" s="108"/>
      <c r="F50" s="21"/>
      <c r="G50" s="21"/>
      <c r="H50" s="21"/>
      <c r="I50" s="21"/>
      <c r="J50" s="106"/>
      <c r="K50" s="107"/>
      <c r="L50" s="107"/>
      <c r="M50" s="107"/>
      <c r="N50" s="107"/>
      <c r="O50" s="108"/>
      <c r="P50" s="21"/>
      <c r="Q50" s="21"/>
      <c r="R50" s="21"/>
      <c r="S50" s="21"/>
    </row>
    <row r="51" spans="1:19" ht="18" customHeight="1" x14ac:dyDescent="0.15">
      <c r="A51" s="82"/>
      <c r="B51" s="106"/>
      <c r="C51" s="107"/>
      <c r="D51" s="107"/>
      <c r="E51" s="108"/>
      <c r="F51" s="21"/>
      <c r="G51" s="21"/>
      <c r="H51" s="21"/>
      <c r="I51" s="21"/>
      <c r="J51" s="106"/>
      <c r="K51" s="107"/>
      <c r="L51" s="107"/>
      <c r="M51" s="107"/>
      <c r="N51" s="107"/>
      <c r="O51" s="108"/>
      <c r="P51" s="21"/>
      <c r="Q51" s="21"/>
      <c r="R51" s="21"/>
      <c r="S51" s="21"/>
    </row>
    <row r="52" spans="1:19" ht="18" customHeight="1" x14ac:dyDescent="0.15">
      <c r="A52" s="82"/>
      <c r="B52" s="106"/>
      <c r="C52" s="107"/>
      <c r="D52" s="107"/>
      <c r="E52" s="108"/>
      <c r="F52" s="21"/>
      <c r="G52" s="21"/>
      <c r="H52" s="21"/>
      <c r="I52" s="21"/>
      <c r="J52" s="106"/>
      <c r="K52" s="107"/>
      <c r="L52" s="107"/>
      <c r="M52" s="107"/>
      <c r="N52" s="107"/>
      <c r="O52" s="108"/>
      <c r="P52" s="21"/>
      <c r="Q52" s="21"/>
      <c r="R52" s="21"/>
      <c r="S52" s="21"/>
    </row>
    <row r="53" spans="1:19" ht="18" customHeight="1" x14ac:dyDescent="0.15">
      <c r="A53" s="82"/>
      <c r="B53" s="163"/>
      <c r="C53" s="164"/>
      <c r="D53" s="164"/>
      <c r="E53" s="165"/>
      <c r="F53" s="22"/>
      <c r="G53" s="22"/>
      <c r="H53" s="23"/>
      <c r="I53" s="23"/>
      <c r="J53" s="163"/>
      <c r="K53" s="164"/>
      <c r="L53" s="164"/>
      <c r="M53" s="164"/>
      <c r="N53" s="164"/>
      <c r="O53" s="165"/>
      <c r="P53" s="22"/>
      <c r="Q53" s="22"/>
      <c r="R53" s="23"/>
      <c r="S53" s="23"/>
    </row>
    <row r="54" spans="1:19" ht="7.5" customHeight="1" x14ac:dyDescent="0.15">
      <c r="B54" s="80"/>
      <c r="C54" s="80"/>
      <c r="D54" s="80"/>
      <c r="E54" s="80"/>
      <c r="F54" s="80"/>
      <c r="G54" s="80"/>
      <c r="H54" s="80"/>
      <c r="I54" s="80"/>
      <c r="J54" s="80"/>
      <c r="K54" s="80"/>
      <c r="L54" s="80"/>
      <c r="M54" s="80"/>
      <c r="N54" s="80"/>
      <c r="O54" s="80"/>
      <c r="P54" s="80"/>
      <c r="Q54" s="80"/>
      <c r="R54" s="80"/>
    </row>
    <row r="55" spans="1:19" ht="18" customHeight="1" x14ac:dyDescent="0.15">
      <c r="A55" s="109" t="s">
        <v>116</v>
      </c>
      <c r="B55" s="109"/>
      <c r="C55" s="109"/>
      <c r="D55" s="109"/>
      <c r="E55" s="109"/>
      <c r="F55" s="109"/>
      <c r="G55" s="109"/>
      <c r="H55" s="109"/>
      <c r="I55" s="109"/>
      <c r="J55" s="109"/>
      <c r="K55" s="109"/>
      <c r="L55" s="109"/>
      <c r="M55" s="109"/>
      <c r="N55" s="109"/>
      <c r="O55" s="109"/>
      <c r="P55" s="109"/>
      <c r="Q55" s="109"/>
      <c r="R55" s="109"/>
      <c r="S55" s="109"/>
    </row>
    <row r="56" spans="1:19" ht="18" customHeight="1" x14ac:dyDescent="0.15">
      <c r="A56" s="109"/>
      <c r="B56" s="109"/>
      <c r="C56" s="109"/>
      <c r="D56" s="109"/>
      <c r="E56" s="109"/>
      <c r="F56" s="109"/>
      <c r="G56" s="109"/>
      <c r="H56" s="109"/>
      <c r="I56" s="109"/>
      <c r="J56" s="109"/>
      <c r="K56" s="109"/>
      <c r="L56" s="109"/>
      <c r="M56" s="109"/>
      <c r="N56" s="109"/>
      <c r="O56" s="109"/>
      <c r="P56" s="109"/>
      <c r="Q56" s="109"/>
      <c r="R56" s="109"/>
      <c r="S56" s="109"/>
    </row>
    <row r="57" spans="1:19" ht="18" customHeight="1" x14ac:dyDescent="0.15">
      <c r="B57" s="110" t="s">
        <v>53</v>
      </c>
      <c r="C57" s="112"/>
      <c r="D57" s="112"/>
      <c r="E57" s="111"/>
      <c r="F57" s="57" t="s">
        <v>80</v>
      </c>
      <c r="G57" s="56" t="s">
        <v>84</v>
      </c>
      <c r="H57" s="19" t="s">
        <v>58</v>
      </c>
      <c r="I57" s="19" t="s">
        <v>60</v>
      </c>
      <c r="J57" s="110" t="s">
        <v>53</v>
      </c>
      <c r="K57" s="112"/>
      <c r="L57" s="112"/>
      <c r="M57" s="112"/>
      <c r="N57" s="112"/>
      <c r="O57" s="111"/>
      <c r="P57" s="57" t="s">
        <v>80</v>
      </c>
      <c r="Q57" s="56" t="s">
        <v>84</v>
      </c>
      <c r="R57" s="19" t="s">
        <v>58</v>
      </c>
      <c r="S57" s="19" t="s">
        <v>60</v>
      </c>
    </row>
    <row r="58" spans="1:19" ht="18" customHeight="1" x14ac:dyDescent="0.15">
      <c r="A58" s="82"/>
      <c r="B58" s="175" t="s">
        <v>184</v>
      </c>
      <c r="C58" s="176"/>
      <c r="D58" s="176"/>
      <c r="E58" s="214"/>
      <c r="F58" s="20">
        <v>1</v>
      </c>
      <c r="G58" s="20" t="s">
        <v>134</v>
      </c>
      <c r="H58" s="20" t="s">
        <v>134</v>
      </c>
      <c r="I58" s="20" t="s">
        <v>134</v>
      </c>
      <c r="J58" s="180"/>
      <c r="K58" s="181"/>
      <c r="L58" s="181"/>
      <c r="M58" s="181"/>
      <c r="N58" s="181"/>
      <c r="O58" s="182"/>
      <c r="P58" s="20"/>
      <c r="Q58" s="20"/>
      <c r="R58" s="20"/>
      <c r="S58" s="20"/>
    </row>
    <row r="59" spans="1:19" ht="18" customHeight="1" x14ac:dyDescent="0.15">
      <c r="A59" s="82"/>
      <c r="B59" s="106"/>
      <c r="C59" s="107"/>
      <c r="D59" s="107"/>
      <c r="E59" s="108"/>
      <c r="F59" s="21"/>
      <c r="G59" s="21"/>
      <c r="H59" s="21"/>
      <c r="I59" s="21"/>
      <c r="J59" s="106"/>
      <c r="K59" s="107"/>
      <c r="L59" s="107"/>
      <c r="M59" s="107"/>
      <c r="N59" s="107"/>
      <c r="O59" s="108"/>
      <c r="P59" s="21"/>
      <c r="Q59" s="21"/>
      <c r="R59" s="21"/>
      <c r="S59" s="21"/>
    </row>
    <row r="60" spans="1:19" ht="18" customHeight="1" x14ac:dyDescent="0.15">
      <c r="A60" s="82"/>
      <c r="B60" s="106"/>
      <c r="C60" s="107"/>
      <c r="D60" s="107"/>
      <c r="E60" s="108"/>
      <c r="F60" s="21"/>
      <c r="G60" s="21"/>
      <c r="H60" s="21"/>
      <c r="I60" s="21"/>
      <c r="J60" s="106"/>
      <c r="K60" s="107"/>
      <c r="L60" s="107"/>
      <c r="M60" s="107"/>
      <c r="N60" s="107"/>
      <c r="O60" s="108"/>
      <c r="P60" s="21"/>
      <c r="Q60" s="21"/>
      <c r="R60" s="21"/>
      <c r="S60" s="21"/>
    </row>
    <row r="61" spans="1:19" ht="18" customHeight="1" x14ac:dyDescent="0.15">
      <c r="A61" s="82"/>
      <c r="B61" s="106"/>
      <c r="C61" s="107"/>
      <c r="D61" s="107"/>
      <c r="E61" s="108"/>
      <c r="F61" s="21"/>
      <c r="G61" s="21"/>
      <c r="H61" s="21"/>
      <c r="I61" s="21"/>
      <c r="J61" s="106"/>
      <c r="K61" s="107"/>
      <c r="L61" s="107"/>
      <c r="M61" s="107"/>
      <c r="N61" s="107"/>
      <c r="O61" s="108"/>
      <c r="P61" s="21"/>
      <c r="Q61" s="21"/>
      <c r="R61" s="21"/>
      <c r="S61" s="21"/>
    </row>
    <row r="62" spans="1:19" ht="18" customHeight="1" x14ac:dyDescent="0.15">
      <c r="A62" s="82"/>
      <c r="B62" s="106"/>
      <c r="C62" s="107"/>
      <c r="D62" s="107"/>
      <c r="E62" s="108"/>
      <c r="F62" s="21"/>
      <c r="G62" s="21"/>
      <c r="H62" s="21"/>
      <c r="I62" s="21"/>
      <c r="J62" s="106"/>
      <c r="K62" s="107"/>
      <c r="L62" s="107"/>
      <c r="M62" s="107"/>
      <c r="N62" s="107"/>
      <c r="O62" s="108"/>
      <c r="P62" s="21"/>
      <c r="Q62" s="21"/>
      <c r="R62" s="21"/>
      <c r="S62" s="21"/>
    </row>
    <row r="63" spans="1:19" ht="18" customHeight="1" x14ac:dyDescent="0.15">
      <c r="A63" s="82"/>
      <c r="B63" s="106"/>
      <c r="C63" s="107"/>
      <c r="D63" s="107"/>
      <c r="E63" s="108"/>
      <c r="F63" s="21"/>
      <c r="G63" s="21"/>
      <c r="H63" s="21"/>
      <c r="I63" s="21"/>
      <c r="J63" s="106"/>
      <c r="K63" s="107"/>
      <c r="L63" s="107"/>
      <c r="M63" s="107"/>
      <c r="N63" s="107"/>
      <c r="O63" s="108"/>
      <c r="P63" s="21"/>
      <c r="Q63" s="21"/>
      <c r="R63" s="21"/>
      <c r="S63" s="21"/>
    </row>
    <row r="64" spans="1:19" ht="18" customHeight="1" x14ac:dyDescent="0.15">
      <c r="A64" s="82"/>
      <c r="B64" s="163"/>
      <c r="C64" s="164"/>
      <c r="D64" s="164"/>
      <c r="E64" s="165"/>
      <c r="F64" s="22"/>
      <c r="G64" s="22"/>
      <c r="H64" s="23"/>
      <c r="I64" s="23"/>
      <c r="J64" s="163"/>
      <c r="K64" s="164"/>
      <c r="L64" s="164"/>
      <c r="M64" s="164"/>
      <c r="N64" s="164"/>
      <c r="O64" s="165"/>
      <c r="P64" s="22"/>
      <c r="Q64" s="22"/>
      <c r="R64" s="23"/>
      <c r="S64" s="23"/>
    </row>
    <row r="65" spans="1:19" ht="7.5" customHeight="1" x14ac:dyDescent="0.15">
      <c r="B65" s="80"/>
      <c r="C65" s="80"/>
      <c r="D65" s="80"/>
      <c r="E65" s="80"/>
      <c r="F65" s="80"/>
      <c r="G65" s="80"/>
      <c r="H65" s="80"/>
      <c r="I65" s="80"/>
      <c r="J65" s="80"/>
      <c r="K65" s="80"/>
      <c r="L65" s="80"/>
      <c r="M65" s="80"/>
      <c r="N65" s="80"/>
      <c r="O65" s="80"/>
      <c r="P65" s="80"/>
      <c r="Q65" s="80"/>
      <c r="R65" s="80"/>
    </row>
    <row r="66" spans="1:19" ht="18" customHeight="1" x14ac:dyDescent="0.15">
      <c r="A66" s="109" t="s">
        <v>117</v>
      </c>
      <c r="B66" s="109"/>
      <c r="C66" s="109"/>
      <c r="D66" s="109"/>
      <c r="E66" s="109"/>
      <c r="F66" s="109"/>
      <c r="G66" s="109"/>
      <c r="H66" s="109"/>
      <c r="I66" s="109"/>
      <c r="J66" s="109"/>
      <c r="K66" s="109"/>
      <c r="L66" s="109"/>
      <c r="M66" s="109"/>
      <c r="N66" s="109"/>
      <c r="O66" s="109"/>
      <c r="P66" s="109"/>
      <c r="Q66" s="109"/>
      <c r="R66" s="109"/>
      <c r="S66" s="109"/>
    </row>
    <row r="67" spans="1:19" ht="18" customHeight="1" x14ac:dyDescent="0.15">
      <c r="A67" s="109"/>
      <c r="B67" s="109"/>
      <c r="C67" s="109"/>
      <c r="D67" s="109"/>
      <c r="E67" s="109"/>
      <c r="F67" s="109"/>
      <c r="G67" s="109"/>
      <c r="H67" s="109"/>
      <c r="I67" s="109"/>
      <c r="J67" s="109"/>
      <c r="K67" s="109"/>
      <c r="L67" s="109"/>
      <c r="M67" s="109"/>
      <c r="N67" s="109"/>
      <c r="O67" s="109"/>
      <c r="P67" s="109"/>
      <c r="Q67" s="109"/>
      <c r="R67" s="109"/>
      <c r="S67" s="109"/>
    </row>
    <row r="68" spans="1:19" ht="18" customHeight="1" x14ac:dyDescent="0.15">
      <c r="B68" s="110" t="s">
        <v>53</v>
      </c>
      <c r="C68" s="112"/>
      <c r="D68" s="112"/>
      <c r="E68" s="57" t="s">
        <v>80</v>
      </c>
      <c r="F68" s="56" t="s">
        <v>84</v>
      </c>
      <c r="G68" s="19" t="s">
        <v>101</v>
      </c>
      <c r="H68" s="19" t="s">
        <v>75</v>
      </c>
      <c r="I68" s="19" t="s">
        <v>76</v>
      </c>
      <c r="J68" s="110" t="s">
        <v>53</v>
      </c>
      <c r="K68" s="112"/>
      <c r="L68" s="112"/>
      <c r="M68" s="112"/>
      <c r="N68" s="111"/>
      <c r="O68" s="57" t="s">
        <v>80</v>
      </c>
      <c r="P68" s="56" t="s">
        <v>84</v>
      </c>
      <c r="Q68" s="19" t="s">
        <v>101</v>
      </c>
      <c r="R68" s="19" t="s">
        <v>75</v>
      </c>
      <c r="S68" s="19" t="s">
        <v>76</v>
      </c>
    </row>
    <row r="69" spans="1:19" ht="18" customHeight="1" x14ac:dyDescent="0.15">
      <c r="A69" s="82"/>
      <c r="B69" s="175" t="s">
        <v>187</v>
      </c>
      <c r="C69" s="176"/>
      <c r="D69" s="176"/>
      <c r="E69" s="20">
        <v>2</v>
      </c>
      <c r="F69" s="20" t="s">
        <v>134</v>
      </c>
      <c r="G69" s="20" t="s">
        <v>134</v>
      </c>
      <c r="H69" s="20" t="s">
        <v>134</v>
      </c>
      <c r="I69" s="20" t="s">
        <v>134</v>
      </c>
      <c r="J69" s="180"/>
      <c r="K69" s="181"/>
      <c r="L69" s="181"/>
      <c r="M69" s="181"/>
      <c r="N69" s="182"/>
      <c r="O69" s="20"/>
      <c r="P69" s="20"/>
      <c r="Q69" s="20"/>
      <c r="R69" s="20"/>
      <c r="S69" s="20"/>
    </row>
    <row r="70" spans="1:19" ht="18" customHeight="1" x14ac:dyDescent="0.15">
      <c r="A70" s="82"/>
      <c r="B70" s="106"/>
      <c r="C70" s="107"/>
      <c r="D70" s="107"/>
      <c r="E70" s="21"/>
      <c r="F70" s="21"/>
      <c r="G70" s="21"/>
      <c r="H70" s="21"/>
      <c r="I70" s="21"/>
      <c r="J70" s="106"/>
      <c r="K70" s="107"/>
      <c r="L70" s="107"/>
      <c r="M70" s="107"/>
      <c r="N70" s="108"/>
      <c r="O70" s="21"/>
      <c r="P70" s="21"/>
      <c r="Q70" s="21"/>
      <c r="R70" s="21"/>
      <c r="S70" s="21"/>
    </row>
    <row r="71" spans="1:19" ht="18" customHeight="1" x14ac:dyDescent="0.15">
      <c r="A71" s="82"/>
      <c r="B71" s="106"/>
      <c r="C71" s="107"/>
      <c r="D71" s="107"/>
      <c r="E71" s="21"/>
      <c r="F71" s="21"/>
      <c r="G71" s="21"/>
      <c r="H71" s="21"/>
      <c r="I71" s="21"/>
      <c r="J71" s="106"/>
      <c r="K71" s="107"/>
      <c r="L71" s="107"/>
      <c r="M71" s="107"/>
      <c r="N71" s="108"/>
      <c r="O71" s="21"/>
      <c r="P71" s="21"/>
      <c r="Q71" s="21"/>
      <c r="R71" s="21"/>
      <c r="S71" s="21"/>
    </row>
    <row r="72" spans="1:19" ht="18" customHeight="1" x14ac:dyDescent="0.15">
      <c r="A72" s="82"/>
      <c r="B72" s="106"/>
      <c r="C72" s="107"/>
      <c r="D72" s="107"/>
      <c r="E72" s="21"/>
      <c r="F72" s="21"/>
      <c r="G72" s="21"/>
      <c r="H72" s="21"/>
      <c r="I72" s="21"/>
      <c r="J72" s="106"/>
      <c r="K72" s="107"/>
      <c r="L72" s="107"/>
      <c r="M72" s="107"/>
      <c r="N72" s="108"/>
      <c r="O72" s="21"/>
      <c r="P72" s="21"/>
      <c r="Q72" s="21"/>
      <c r="R72" s="21"/>
      <c r="S72" s="21"/>
    </row>
    <row r="73" spans="1:19" ht="18" customHeight="1" x14ac:dyDescent="0.15">
      <c r="A73" s="82"/>
      <c r="B73" s="106"/>
      <c r="C73" s="107"/>
      <c r="D73" s="107"/>
      <c r="E73" s="21"/>
      <c r="F73" s="21"/>
      <c r="G73" s="21"/>
      <c r="H73" s="21"/>
      <c r="I73" s="21"/>
      <c r="J73" s="106"/>
      <c r="K73" s="107"/>
      <c r="L73" s="107"/>
      <c r="M73" s="107"/>
      <c r="N73" s="108"/>
      <c r="O73" s="21"/>
      <c r="P73" s="21"/>
      <c r="Q73" s="21"/>
      <c r="R73" s="21"/>
      <c r="S73" s="21"/>
    </row>
    <row r="74" spans="1:19" ht="18" customHeight="1" x14ac:dyDescent="0.15">
      <c r="A74" s="82"/>
      <c r="B74" s="106"/>
      <c r="C74" s="107"/>
      <c r="D74" s="107"/>
      <c r="E74" s="21"/>
      <c r="F74" s="21"/>
      <c r="G74" s="21"/>
      <c r="H74" s="21"/>
      <c r="I74" s="21"/>
      <c r="J74" s="106"/>
      <c r="K74" s="107"/>
      <c r="L74" s="107"/>
      <c r="M74" s="107"/>
      <c r="N74" s="108"/>
      <c r="O74" s="21"/>
      <c r="P74" s="21"/>
      <c r="Q74" s="21"/>
      <c r="R74" s="21"/>
      <c r="S74" s="21"/>
    </row>
    <row r="75" spans="1:19" ht="18" customHeight="1" x14ac:dyDescent="0.15">
      <c r="A75" s="82"/>
      <c r="B75" s="163"/>
      <c r="C75" s="164"/>
      <c r="D75" s="164"/>
      <c r="E75" s="22"/>
      <c r="F75" s="22"/>
      <c r="G75" s="23"/>
      <c r="H75" s="23"/>
      <c r="I75" s="23"/>
      <c r="J75" s="163"/>
      <c r="K75" s="164"/>
      <c r="L75" s="164"/>
      <c r="M75" s="164"/>
      <c r="N75" s="165"/>
      <c r="O75" s="22"/>
      <c r="P75" s="22"/>
      <c r="Q75" s="23"/>
      <c r="R75" s="23"/>
      <c r="S75" s="23"/>
    </row>
    <row r="76" spans="1:19" ht="7.5" customHeight="1" x14ac:dyDescent="0.15">
      <c r="B76" s="80"/>
      <c r="C76" s="80"/>
      <c r="D76" s="80"/>
      <c r="E76" s="80"/>
      <c r="F76" s="80"/>
      <c r="G76" s="80"/>
      <c r="H76" s="80"/>
      <c r="I76" s="80"/>
      <c r="J76" s="80"/>
      <c r="K76" s="80"/>
      <c r="L76" s="80"/>
      <c r="M76" s="80"/>
      <c r="N76" s="80"/>
      <c r="O76" s="80"/>
      <c r="P76" s="80"/>
      <c r="Q76" s="80"/>
      <c r="R76" s="80"/>
    </row>
    <row r="77" spans="1:19" ht="18" customHeight="1" x14ac:dyDescent="0.15">
      <c r="A77" s="81" t="s">
        <v>118</v>
      </c>
      <c r="H77" s="82"/>
      <c r="I77" s="82"/>
      <c r="J77" s="82"/>
      <c r="K77" s="82"/>
      <c r="L77" s="82"/>
      <c r="M77" s="82"/>
      <c r="N77" s="82"/>
      <c r="O77" s="82"/>
      <c r="P77" s="82"/>
      <c r="Q77" s="82"/>
      <c r="R77" s="82"/>
      <c r="S77" s="82"/>
    </row>
    <row r="78" spans="1:19" ht="18" customHeight="1" x14ac:dyDescent="0.15">
      <c r="B78" s="110" t="s">
        <v>53</v>
      </c>
      <c r="C78" s="112"/>
      <c r="D78" s="112"/>
      <c r="E78" s="111"/>
      <c r="F78" s="110" t="s">
        <v>82</v>
      </c>
      <c r="G78" s="112"/>
      <c r="H78" s="112"/>
      <c r="I78" s="111"/>
      <c r="J78" s="172" t="s">
        <v>53</v>
      </c>
      <c r="K78" s="173"/>
      <c r="L78" s="173"/>
      <c r="M78" s="173"/>
      <c r="N78" s="173"/>
      <c r="O78" s="174"/>
      <c r="P78" s="110" t="s">
        <v>82</v>
      </c>
      <c r="Q78" s="112"/>
      <c r="R78" s="112"/>
      <c r="S78" s="111"/>
    </row>
    <row r="79" spans="1:19" ht="18" customHeight="1" x14ac:dyDescent="0.15">
      <c r="A79" s="82"/>
      <c r="B79" s="175" t="s">
        <v>187</v>
      </c>
      <c r="C79" s="176"/>
      <c r="D79" s="176"/>
      <c r="E79" s="214"/>
      <c r="F79" s="119" t="s">
        <v>139</v>
      </c>
      <c r="G79" s="120"/>
      <c r="H79" s="120"/>
      <c r="I79" s="121"/>
      <c r="J79" s="180"/>
      <c r="K79" s="181"/>
      <c r="L79" s="181"/>
      <c r="M79" s="181"/>
      <c r="N79" s="181"/>
      <c r="O79" s="182"/>
      <c r="P79" s="119"/>
      <c r="Q79" s="120"/>
      <c r="R79" s="120"/>
      <c r="S79" s="121"/>
    </row>
    <row r="80" spans="1:19" ht="18" customHeight="1" x14ac:dyDescent="0.15">
      <c r="A80" s="82"/>
      <c r="B80" s="106"/>
      <c r="C80" s="107"/>
      <c r="D80" s="107"/>
      <c r="E80" s="108"/>
      <c r="F80" s="94"/>
      <c r="G80" s="95"/>
      <c r="H80" s="95"/>
      <c r="I80" s="96"/>
      <c r="J80" s="106"/>
      <c r="K80" s="107"/>
      <c r="L80" s="107"/>
      <c r="M80" s="107"/>
      <c r="N80" s="107"/>
      <c r="O80" s="108"/>
      <c r="P80" s="94"/>
      <c r="Q80" s="95"/>
      <c r="R80" s="95"/>
      <c r="S80" s="96"/>
    </row>
    <row r="81" spans="1:19" ht="18" customHeight="1" x14ac:dyDescent="0.15">
      <c r="A81" s="82"/>
      <c r="B81" s="106"/>
      <c r="C81" s="107"/>
      <c r="D81" s="107"/>
      <c r="E81" s="108"/>
      <c r="F81" s="94"/>
      <c r="G81" s="95"/>
      <c r="H81" s="95"/>
      <c r="I81" s="96"/>
      <c r="J81" s="106"/>
      <c r="K81" s="107"/>
      <c r="L81" s="107"/>
      <c r="M81" s="107"/>
      <c r="N81" s="107"/>
      <c r="O81" s="108"/>
      <c r="P81" s="94"/>
      <c r="Q81" s="95"/>
      <c r="R81" s="95"/>
      <c r="S81" s="96"/>
    </row>
    <row r="82" spans="1:19" ht="18" customHeight="1" x14ac:dyDescent="0.15">
      <c r="A82" s="82"/>
      <c r="B82" s="106"/>
      <c r="C82" s="107"/>
      <c r="D82" s="107"/>
      <c r="E82" s="108"/>
      <c r="F82" s="94"/>
      <c r="G82" s="95"/>
      <c r="H82" s="95"/>
      <c r="I82" s="96"/>
      <c r="J82" s="106"/>
      <c r="K82" s="107"/>
      <c r="L82" s="107"/>
      <c r="M82" s="107"/>
      <c r="N82" s="107"/>
      <c r="O82" s="108"/>
      <c r="P82" s="94"/>
      <c r="Q82" s="95"/>
      <c r="R82" s="95"/>
      <c r="S82" s="96"/>
    </row>
    <row r="83" spans="1:19" ht="18" customHeight="1" x14ac:dyDescent="0.15">
      <c r="A83" s="82"/>
      <c r="B83" s="106"/>
      <c r="C83" s="107"/>
      <c r="D83" s="107"/>
      <c r="E83" s="108"/>
      <c r="F83" s="94"/>
      <c r="G83" s="95"/>
      <c r="H83" s="95"/>
      <c r="I83" s="96"/>
      <c r="J83" s="106"/>
      <c r="K83" s="107"/>
      <c r="L83" s="107"/>
      <c r="M83" s="107"/>
      <c r="N83" s="107"/>
      <c r="O83" s="108"/>
      <c r="P83" s="94"/>
      <c r="Q83" s="95"/>
      <c r="R83" s="95"/>
      <c r="S83" s="96"/>
    </row>
    <row r="84" spans="1:19" ht="18" customHeight="1" x14ac:dyDescent="0.15">
      <c r="A84" s="82"/>
      <c r="B84" s="106"/>
      <c r="C84" s="107"/>
      <c r="D84" s="107"/>
      <c r="E84" s="108"/>
      <c r="F84" s="94"/>
      <c r="G84" s="95"/>
      <c r="H84" s="95"/>
      <c r="I84" s="96"/>
      <c r="J84" s="106"/>
      <c r="K84" s="107"/>
      <c r="L84" s="107"/>
      <c r="M84" s="107"/>
      <c r="N84" s="107"/>
      <c r="O84" s="108"/>
      <c r="P84" s="94"/>
      <c r="Q84" s="95"/>
      <c r="R84" s="95"/>
      <c r="S84" s="96"/>
    </row>
    <row r="85" spans="1:19" ht="18" customHeight="1" x14ac:dyDescent="0.15">
      <c r="A85" s="82"/>
      <c r="B85" s="163"/>
      <c r="C85" s="164"/>
      <c r="D85" s="164"/>
      <c r="E85" s="165"/>
      <c r="F85" s="129"/>
      <c r="G85" s="130"/>
      <c r="H85" s="130"/>
      <c r="I85" s="131"/>
      <c r="J85" s="163"/>
      <c r="K85" s="164"/>
      <c r="L85" s="164"/>
      <c r="M85" s="164"/>
      <c r="N85" s="164"/>
      <c r="O85" s="165"/>
      <c r="P85" s="129"/>
      <c r="Q85" s="130"/>
      <c r="R85" s="130"/>
      <c r="S85" s="131"/>
    </row>
    <row r="86" spans="1:19" ht="18" customHeight="1" x14ac:dyDescent="0.15">
      <c r="A86" s="82"/>
      <c r="B86" s="6"/>
      <c r="C86" s="6"/>
      <c r="D86" s="6"/>
      <c r="E86" s="6"/>
      <c r="F86" s="24"/>
      <c r="G86" s="24"/>
      <c r="H86" s="24"/>
      <c r="I86" s="24"/>
      <c r="J86" s="6"/>
      <c r="K86" s="6"/>
      <c r="L86" s="6"/>
      <c r="M86" s="6"/>
      <c r="N86" s="6"/>
      <c r="O86" s="6"/>
      <c r="P86" s="24"/>
      <c r="Q86" s="24"/>
      <c r="R86" s="24"/>
      <c r="S86" s="24"/>
    </row>
    <row r="87" spans="1:19" ht="18.75" customHeight="1" x14ac:dyDescent="0.15">
      <c r="A87" s="81" t="s">
        <v>119</v>
      </c>
    </row>
    <row r="88" spans="1:19" ht="18.75" customHeight="1" x14ac:dyDescent="0.15">
      <c r="B88" s="192" t="s">
        <v>54</v>
      </c>
      <c r="C88" s="193"/>
      <c r="D88" s="112" t="s">
        <v>55</v>
      </c>
      <c r="E88" s="112"/>
      <c r="F88" s="112"/>
      <c r="G88" s="112"/>
      <c r="H88" s="112"/>
      <c r="I88" s="112"/>
      <c r="J88" s="112"/>
      <c r="K88" s="112"/>
      <c r="L88" s="112"/>
      <c r="M88" s="112"/>
      <c r="N88" s="112"/>
      <c r="O88" s="112"/>
      <c r="P88" s="112"/>
      <c r="Q88" s="112"/>
      <c r="R88" s="112"/>
      <c r="S88" s="111"/>
    </row>
    <row r="89" spans="1:19" ht="97.5" customHeight="1" x14ac:dyDescent="0.15">
      <c r="B89" s="177" t="s">
        <v>61</v>
      </c>
      <c r="C89" s="25" t="s">
        <v>56</v>
      </c>
      <c r="D89" s="208" t="s">
        <v>140</v>
      </c>
      <c r="E89" s="208"/>
      <c r="F89" s="208"/>
      <c r="G89" s="208"/>
      <c r="H89" s="208"/>
      <c r="I89" s="208"/>
      <c r="J89" s="208"/>
      <c r="K89" s="208"/>
      <c r="L89" s="208"/>
      <c r="M89" s="208"/>
      <c r="N89" s="208"/>
      <c r="O89" s="208"/>
      <c r="P89" s="208"/>
      <c r="Q89" s="208"/>
      <c r="R89" s="208"/>
      <c r="S89" s="209"/>
    </row>
    <row r="90" spans="1:19" ht="97.5" customHeight="1" x14ac:dyDescent="0.15">
      <c r="B90" s="179"/>
      <c r="C90" s="26" t="s">
        <v>77</v>
      </c>
      <c r="D90" s="210" t="s">
        <v>141</v>
      </c>
      <c r="E90" s="210"/>
      <c r="F90" s="210"/>
      <c r="G90" s="210"/>
      <c r="H90" s="210"/>
      <c r="I90" s="210"/>
      <c r="J90" s="210"/>
      <c r="K90" s="210"/>
      <c r="L90" s="210"/>
      <c r="M90" s="210"/>
      <c r="N90" s="210"/>
      <c r="O90" s="210"/>
      <c r="P90" s="210"/>
      <c r="Q90" s="210"/>
      <c r="R90" s="210"/>
      <c r="S90" s="211"/>
    </row>
    <row r="91" spans="1:19" ht="97.5" customHeight="1" x14ac:dyDescent="0.15">
      <c r="B91" s="177" t="s">
        <v>62</v>
      </c>
      <c r="C91" s="27" t="s">
        <v>71</v>
      </c>
      <c r="D91" s="212" t="s">
        <v>142</v>
      </c>
      <c r="E91" s="212"/>
      <c r="F91" s="212"/>
      <c r="G91" s="212"/>
      <c r="H91" s="212"/>
      <c r="I91" s="212"/>
      <c r="J91" s="212"/>
      <c r="K91" s="212"/>
      <c r="L91" s="212"/>
      <c r="M91" s="212"/>
      <c r="N91" s="212"/>
      <c r="O91" s="212"/>
      <c r="P91" s="212"/>
      <c r="Q91" s="212"/>
      <c r="R91" s="212"/>
      <c r="S91" s="213"/>
    </row>
    <row r="92" spans="1:19" ht="97.5" customHeight="1" x14ac:dyDescent="0.15">
      <c r="B92" s="178"/>
      <c r="C92" s="28" t="s">
        <v>72</v>
      </c>
      <c r="D92" s="206" t="s">
        <v>143</v>
      </c>
      <c r="E92" s="206"/>
      <c r="F92" s="206"/>
      <c r="G92" s="206"/>
      <c r="H92" s="206"/>
      <c r="I92" s="206"/>
      <c r="J92" s="206"/>
      <c r="K92" s="206"/>
      <c r="L92" s="206"/>
      <c r="M92" s="206"/>
      <c r="N92" s="206"/>
      <c r="O92" s="206"/>
      <c r="P92" s="206"/>
      <c r="Q92" s="206"/>
      <c r="R92" s="206"/>
      <c r="S92" s="207"/>
    </row>
    <row r="93" spans="1:19" ht="97.5" customHeight="1" x14ac:dyDescent="0.15">
      <c r="B93" s="177" t="s">
        <v>63</v>
      </c>
      <c r="C93" s="27" t="s">
        <v>73</v>
      </c>
      <c r="D93" s="204" t="s">
        <v>144</v>
      </c>
      <c r="E93" s="204"/>
      <c r="F93" s="204"/>
      <c r="G93" s="204"/>
      <c r="H93" s="204"/>
      <c r="I93" s="204"/>
      <c r="J93" s="204"/>
      <c r="K93" s="204"/>
      <c r="L93" s="204"/>
      <c r="M93" s="204"/>
      <c r="N93" s="204"/>
      <c r="O93" s="204"/>
      <c r="P93" s="204"/>
      <c r="Q93" s="204"/>
      <c r="R93" s="204"/>
      <c r="S93" s="205"/>
    </row>
    <row r="94" spans="1:19" ht="97.5" customHeight="1" x14ac:dyDescent="0.15">
      <c r="B94" s="178"/>
      <c r="C94" s="29" t="s">
        <v>74</v>
      </c>
      <c r="D94" s="104" t="s">
        <v>145</v>
      </c>
      <c r="E94" s="104"/>
      <c r="F94" s="104"/>
      <c r="G94" s="104"/>
      <c r="H94" s="104"/>
      <c r="I94" s="104"/>
      <c r="J94" s="104"/>
      <c r="K94" s="104"/>
      <c r="L94" s="104"/>
      <c r="M94" s="104"/>
      <c r="N94" s="104"/>
      <c r="O94" s="104"/>
      <c r="P94" s="104"/>
      <c r="Q94" s="104"/>
      <c r="R94" s="104"/>
      <c r="S94" s="105"/>
    </row>
    <row r="95" spans="1:19" ht="97.5" customHeight="1" x14ac:dyDescent="0.15">
      <c r="B95" s="177" t="s">
        <v>78</v>
      </c>
      <c r="C95" s="25" t="s">
        <v>58</v>
      </c>
      <c r="D95" s="101" t="s">
        <v>146</v>
      </c>
      <c r="E95" s="101"/>
      <c r="F95" s="101"/>
      <c r="G95" s="101"/>
      <c r="H95" s="101"/>
      <c r="I95" s="101"/>
      <c r="J95" s="101"/>
      <c r="K95" s="101"/>
      <c r="L95" s="101"/>
      <c r="M95" s="101"/>
      <c r="N95" s="101"/>
      <c r="O95" s="101"/>
      <c r="P95" s="101"/>
      <c r="Q95" s="101"/>
      <c r="R95" s="101"/>
      <c r="S95" s="102"/>
    </row>
    <row r="96" spans="1:19" ht="97.5" customHeight="1" x14ac:dyDescent="0.15">
      <c r="B96" s="178"/>
      <c r="C96" s="28" t="s">
        <v>60</v>
      </c>
      <c r="D96" s="206" t="s">
        <v>147</v>
      </c>
      <c r="E96" s="206"/>
      <c r="F96" s="206"/>
      <c r="G96" s="206"/>
      <c r="H96" s="206"/>
      <c r="I96" s="206"/>
      <c r="J96" s="206"/>
      <c r="K96" s="206"/>
      <c r="L96" s="206"/>
      <c r="M96" s="206"/>
      <c r="N96" s="206"/>
      <c r="O96" s="206"/>
      <c r="P96" s="206"/>
      <c r="Q96" s="206"/>
      <c r="R96" s="206"/>
      <c r="S96" s="207"/>
    </row>
    <row r="97" spans="1:19" ht="97.5" customHeight="1" x14ac:dyDescent="0.15">
      <c r="B97" s="177" t="s">
        <v>79</v>
      </c>
      <c r="C97" s="27" t="s">
        <v>57</v>
      </c>
      <c r="D97" s="197" t="s">
        <v>206</v>
      </c>
      <c r="E97" s="197"/>
      <c r="F97" s="197"/>
      <c r="G97" s="197"/>
      <c r="H97" s="197"/>
      <c r="I97" s="197"/>
      <c r="J97" s="197"/>
      <c r="K97" s="197"/>
      <c r="L97" s="197"/>
      <c r="M97" s="197"/>
      <c r="N97" s="197"/>
      <c r="O97" s="197"/>
      <c r="P97" s="197"/>
      <c r="Q97" s="197"/>
      <c r="R97" s="197"/>
      <c r="S97" s="198"/>
    </row>
    <row r="98" spans="1:19" ht="97.5" customHeight="1" x14ac:dyDescent="0.15">
      <c r="B98" s="179"/>
      <c r="C98" s="30" t="s">
        <v>75</v>
      </c>
      <c r="D98" s="199" t="s">
        <v>207</v>
      </c>
      <c r="E98" s="200"/>
      <c r="F98" s="200"/>
      <c r="G98" s="200"/>
      <c r="H98" s="200"/>
      <c r="I98" s="200"/>
      <c r="J98" s="200"/>
      <c r="K98" s="200"/>
      <c r="L98" s="200"/>
      <c r="M98" s="200"/>
      <c r="N98" s="200"/>
      <c r="O98" s="200"/>
      <c r="P98" s="200"/>
      <c r="Q98" s="200"/>
      <c r="R98" s="200"/>
      <c r="S98" s="201"/>
    </row>
    <row r="99" spans="1:19" ht="97.5" customHeight="1" x14ac:dyDescent="0.15">
      <c r="B99" s="178"/>
      <c r="C99" s="29" t="s">
        <v>76</v>
      </c>
      <c r="D99" s="202" t="s">
        <v>225</v>
      </c>
      <c r="E99" s="202"/>
      <c r="F99" s="202"/>
      <c r="G99" s="202"/>
      <c r="H99" s="202"/>
      <c r="I99" s="202"/>
      <c r="J99" s="202"/>
      <c r="K99" s="202"/>
      <c r="L99" s="202"/>
      <c r="M99" s="202"/>
      <c r="N99" s="202"/>
      <c r="O99" s="202"/>
      <c r="P99" s="202"/>
      <c r="Q99" s="202"/>
      <c r="R99" s="202"/>
      <c r="S99" s="203"/>
    </row>
    <row r="100" spans="1:19" ht="6" customHeight="1" x14ac:dyDescent="0.15"/>
    <row r="101" spans="1:19" ht="18.75" customHeight="1" x14ac:dyDescent="0.15">
      <c r="A101" s="81" t="s">
        <v>120</v>
      </c>
    </row>
    <row r="102" spans="1:19" ht="81.75" customHeight="1" x14ac:dyDescent="0.15">
      <c r="B102" s="148" t="s">
        <v>148</v>
      </c>
      <c r="C102" s="149"/>
      <c r="D102" s="149"/>
      <c r="E102" s="149"/>
      <c r="F102" s="149"/>
      <c r="G102" s="149"/>
      <c r="H102" s="149"/>
      <c r="I102" s="149"/>
      <c r="J102" s="149"/>
      <c r="K102" s="149"/>
      <c r="L102" s="149"/>
      <c r="M102" s="149"/>
      <c r="N102" s="149"/>
      <c r="O102" s="149"/>
      <c r="P102" s="149"/>
      <c r="Q102" s="149"/>
      <c r="R102" s="149"/>
      <c r="S102" s="150"/>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K20:S20" xr:uid="{76C5002B-B231-46CC-8B0A-9D5529EE3853}">
      <formula1>$V$14:$V$16</formula1>
    </dataValidation>
    <dataValidation type="list" allowBlank="1" showInputMessage="1" showErrorMessage="1" sqref="F79:F86 P79:P86 G79:I80 G83:I86 Q83:S86 Q79:S80" xr:uid="{1C2FA945-CB65-4E9D-A795-CB57331EB05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45FD59B7-C12C-440D-A82E-A89EE2359EF8}">
      <formula1>"学部・学科によって、修了要件は相違する,学部・学科によって、修了要件は相違しない"</formula1>
    </dataValidation>
    <dataValidation type="list" allowBlank="1" showInputMessage="1" showErrorMessage="1" sqref="S32 S43 D32:G32 D43:G43" xr:uid="{4BF5BE24-9441-4BD7-9751-FE59B309DAA3}">
      <formula1>"全学開講,一部開講"</formula1>
    </dataValidation>
    <dataValidation type="list" allowBlank="1" showInputMessage="1" showErrorMessage="1" sqref="G25:I31 Q25:S31 P69:S75 Q36:S42 G36:I42 Q47:S53 G47:I53 Q58:S64 G58:I64 F69:I75" xr:uid="{774FB317-5168-4BC2-9CA5-A391A4674CA0}">
      <formula1>"○"</formula1>
    </dataValidation>
  </dataValidations>
  <printOptions horizontalCentered="1"/>
  <pageMargins left="0.78740157480314965" right="0.78740157480314965" top="0.78740157480314965" bottom="7.874015748031496E-2"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2928F-3E32-42EC-8D47-3A86045259F2}">
  <sheetPr>
    <pageSetUpPr fitToPage="1"/>
  </sheetPr>
  <dimension ref="A1:V110"/>
  <sheetViews>
    <sheetView showZeros="0" view="pageBreakPreview" topLeftCell="A68" zoomScaleNormal="100" zoomScaleSheetLayoutView="100" workbookViewId="0">
      <selection activeCell="B63" sqref="B63:E63"/>
    </sheetView>
  </sheetViews>
  <sheetFormatPr defaultColWidth="9" defaultRowHeight="18.75" customHeight="1" x14ac:dyDescent="0.15"/>
  <cols>
    <col min="1" max="1" width="2.5" style="81" customWidth="1"/>
    <col min="2" max="2" width="16.5" style="81" customWidth="1"/>
    <col min="3" max="19" width="5.625" style="81" customWidth="1"/>
    <col min="20" max="20" width="9" style="81"/>
    <col min="21" max="21" width="3.625" style="81" customWidth="1"/>
    <col min="22" max="22" width="48.625" style="81" hidden="1" customWidth="1"/>
    <col min="23" max="16384" width="9" style="81"/>
  </cols>
  <sheetData>
    <row r="1" spans="1:22" ht="18.600000000000001" customHeight="1" x14ac:dyDescent="0.15">
      <c r="R1" s="128" t="s">
        <v>129</v>
      </c>
      <c r="S1" s="128"/>
      <c r="T1" s="2" t="s">
        <v>109</v>
      </c>
    </row>
    <row r="2" spans="1:22" ht="18.75" customHeight="1" x14ac:dyDescent="0.15">
      <c r="B2" s="79" t="s">
        <v>108</v>
      </c>
      <c r="C2" s="110" t="s">
        <v>126</v>
      </c>
      <c r="D2" s="112"/>
      <c r="E2" s="112"/>
      <c r="F2" s="112"/>
      <c r="G2" s="112"/>
      <c r="H2" s="112"/>
      <c r="I2" s="111"/>
      <c r="J2" s="78"/>
      <c r="K2" s="6"/>
      <c r="L2" s="6"/>
      <c r="M2" s="6"/>
      <c r="N2" s="6"/>
      <c r="O2" s="6"/>
      <c r="P2" s="6"/>
      <c r="Q2" s="6"/>
      <c r="R2" s="6"/>
      <c r="S2" s="6"/>
    </row>
    <row r="3" spans="1:22" ht="18.75" customHeight="1" x14ac:dyDescent="0.15">
      <c r="B3" s="79" t="s">
        <v>102</v>
      </c>
      <c r="C3" s="110" t="s">
        <v>127</v>
      </c>
      <c r="D3" s="112"/>
      <c r="E3" s="112"/>
      <c r="F3" s="112"/>
      <c r="G3" s="112"/>
      <c r="H3" s="112"/>
      <c r="I3" s="111"/>
      <c r="J3" s="78"/>
      <c r="K3" s="6"/>
      <c r="L3" s="6"/>
      <c r="M3" s="6"/>
      <c r="N3" s="6"/>
      <c r="O3" s="6"/>
      <c r="P3" s="6"/>
      <c r="Q3" s="6"/>
      <c r="R3" s="6"/>
      <c r="S3" s="6"/>
    </row>
    <row r="4" spans="1:22" ht="15" customHeight="1" x14ac:dyDescent="0.15">
      <c r="K4" s="78"/>
      <c r="L4" s="33"/>
      <c r="M4" s="33"/>
      <c r="N4" s="33"/>
      <c r="O4" s="33"/>
      <c r="P4" s="33"/>
      <c r="Q4" s="33"/>
      <c r="R4" s="33"/>
      <c r="S4" s="33"/>
    </row>
    <row r="5" spans="1:22" ht="18" customHeight="1" x14ac:dyDescent="0.15">
      <c r="A5" s="135" t="s">
        <v>38</v>
      </c>
      <c r="B5" s="135"/>
      <c r="C5" s="135"/>
      <c r="D5" s="135"/>
      <c r="E5" s="135"/>
      <c r="F5" s="135"/>
      <c r="G5" s="135"/>
      <c r="H5" s="135"/>
      <c r="I5" s="135"/>
      <c r="J5" s="135"/>
      <c r="K5" s="135"/>
      <c r="L5" s="135"/>
      <c r="M5" s="135"/>
      <c r="N5" s="135"/>
      <c r="O5" s="135"/>
      <c r="P5" s="135"/>
      <c r="Q5" s="135"/>
      <c r="R5" s="135"/>
      <c r="S5" s="135"/>
    </row>
    <row r="6" spans="1:22" ht="15" customHeight="1" x14ac:dyDescent="0.15">
      <c r="B6" s="82"/>
      <c r="C6" s="82"/>
      <c r="D6" s="82"/>
      <c r="E6" s="82"/>
      <c r="F6" s="82"/>
      <c r="G6" s="82"/>
      <c r="H6" s="82"/>
      <c r="I6" s="82"/>
      <c r="J6" s="82"/>
      <c r="K6" s="82"/>
      <c r="L6" s="82"/>
      <c r="M6" s="82"/>
      <c r="N6" s="82"/>
      <c r="O6" s="82"/>
      <c r="P6" s="82"/>
      <c r="Q6" s="82"/>
      <c r="R6" s="82"/>
      <c r="S6" s="82"/>
    </row>
    <row r="7" spans="1:22" ht="18" customHeight="1" x14ac:dyDescent="0.15">
      <c r="A7" s="81" t="s">
        <v>124</v>
      </c>
      <c r="C7" s="82"/>
      <c r="J7" s="34" t="s">
        <v>107</v>
      </c>
      <c r="K7" s="145" t="s">
        <v>131</v>
      </c>
      <c r="L7" s="146"/>
      <c r="M7" s="146"/>
      <c r="N7" s="146"/>
      <c r="O7" s="146"/>
      <c r="P7" s="146"/>
      <c r="Q7" s="146"/>
      <c r="R7" s="146"/>
      <c r="S7" s="147"/>
    </row>
    <row r="8" spans="1:22" ht="6" customHeight="1" x14ac:dyDescent="0.15">
      <c r="B8" s="82"/>
      <c r="C8" s="82"/>
      <c r="D8" s="82"/>
      <c r="E8" s="82"/>
      <c r="F8" s="82"/>
      <c r="G8" s="82"/>
      <c r="H8" s="82"/>
      <c r="I8" s="82"/>
      <c r="J8" s="82"/>
      <c r="K8" s="9"/>
      <c r="L8" s="82"/>
      <c r="M8" s="82"/>
      <c r="N8" s="82"/>
      <c r="O8" s="82"/>
      <c r="P8" s="82"/>
      <c r="Q8" s="82"/>
      <c r="R8" s="82"/>
      <c r="S8" s="82"/>
    </row>
    <row r="9" spans="1:22" ht="18" customHeight="1" x14ac:dyDescent="0.15">
      <c r="B9" s="100" t="s">
        <v>149</v>
      </c>
      <c r="C9" s="101"/>
      <c r="D9" s="101"/>
      <c r="E9" s="101"/>
      <c r="F9" s="101"/>
      <c r="G9" s="101"/>
      <c r="H9" s="101"/>
      <c r="I9" s="101"/>
      <c r="J9" s="101"/>
      <c r="K9" s="101"/>
      <c r="L9" s="101"/>
      <c r="M9" s="101"/>
      <c r="N9" s="101"/>
      <c r="O9" s="101"/>
      <c r="P9" s="101"/>
      <c r="Q9" s="101"/>
      <c r="R9" s="101"/>
      <c r="S9" s="102"/>
    </row>
    <row r="10" spans="1:22" ht="18" customHeight="1" x14ac:dyDescent="0.15">
      <c r="B10" s="103"/>
      <c r="C10" s="104"/>
      <c r="D10" s="104"/>
      <c r="E10" s="104"/>
      <c r="F10" s="104"/>
      <c r="G10" s="104"/>
      <c r="H10" s="104"/>
      <c r="I10" s="104"/>
      <c r="J10" s="104"/>
      <c r="K10" s="104"/>
      <c r="L10" s="104"/>
      <c r="M10" s="104"/>
      <c r="N10" s="104"/>
      <c r="O10" s="104"/>
      <c r="P10" s="104"/>
      <c r="Q10" s="104"/>
      <c r="R10" s="104"/>
      <c r="S10" s="105"/>
    </row>
    <row r="11" spans="1:22" ht="6" customHeight="1" x14ac:dyDescent="0.15">
      <c r="B11" s="82"/>
      <c r="C11" s="82"/>
      <c r="D11" s="82"/>
      <c r="E11" s="82"/>
      <c r="F11" s="82"/>
      <c r="G11" s="82"/>
      <c r="H11" s="82"/>
      <c r="I11" s="82"/>
      <c r="J11" s="82"/>
      <c r="K11" s="9"/>
      <c r="L11" s="82"/>
      <c r="M11" s="82"/>
      <c r="N11" s="82"/>
      <c r="O11" s="82"/>
      <c r="P11" s="82"/>
      <c r="Q11" s="82"/>
      <c r="R11" s="82"/>
      <c r="S11" s="82"/>
    </row>
    <row r="12" spans="1:22" ht="18" customHeight="1" x14ac:dyDescent="0.15">
      <c r="A12" s="81" t="s">
        <v>111</v>
      </c>
      <c r="B12" s="82"/>
      <c r="C12" s="82"/>
      <c r="D12" s="78"/>
      <c r="E12" s="78"/>
      <c r="F12" s="78"/>
      <c r="G12" s="78"/>
      <c r="H12" s="78"/>
      <c r="I12" s="78"/>
      <c r="J12" s="78"/>
      <c r="K12" s="35"/>
      <c r="L12" s="35"/>
      <c r="M12" s="35"/>
      <c r="N12" s="35"/>
      <c r="O12" s="35"/>
      <c r="P12" s="35"/>
      <c r="Q12" s="35"/>
      <c r="R12" s="35"/>
      <c r="S12" s="35"/>
    </row>
    <row r="13" spans="1:22" ht="18" customHeight="1" x14ac:dyDescent="0.15">
      <c r="B13" s="136" t="s">
        <v>150</v>
      </c>
      <c r="C13" s="137"/>
      <c r="D13" s="137"/>
      <c r="E13" s="137"/>
      <c r="F13" s="137"/>
      <c r="G13" s="137"/>
      <c r="H13" s="137"/>
      <c r="I13" s="137"/>
      <c r="J13" s="137"/>
      <c r="K13" s="137"/>
      <c r="L13" s="137"/>
      <c r="M13" s="137"/>
      <c r="N13" s="137"/>
      <c r="O13" s="137"/>
      <c r="P13" s="137"/>
      <c r="Q13" s="137"/>
      <c r="R13" s="137"/>
      <c r="S13" s="138"/>
      <c r="V13" s="81" t="s">
        <v>103</v>
      </c>
    </row>
    <row r="14" spans="1:22" ht="18" customHeight="1" x14ac:dyDescent="0.15">
      <c r="B14" s="139"/>
      <c r="C14" s="140"/>
      <c r="D14" s="140"/>
      <c r="E14" s="140"/>
      <c r="F14" s="140"/>
      <c r="G14" s="140"/>
      <c r="H14" s="140"/>
      <c r="I14" s="140"/>
      <c r="J14" s="140"/>
      <c r="K14" s="140"/>
      <c r="L14" s="140"/>
      <c r="M14" s="140"/>
      <c r="N14" s="140"/>
      <c r="O14" s="140"/>
      <c r="P14" s="140"/>
      <c r="Q14" s="140"/>
      <c r="R14" s="140"/>
      <c r="S14" s="141"/>
      <c r="V14" s="81" t="s">
        <v>110</v>
      </c>
    </row>
    <row r="15" spans="1:22" ht="18" customHeight="1" x14ac:dyDescent="0.15">
      <c r="B15" s="139"/>
      <c r="C15" s="140"/>
      <c r="D15" s="140"/>
      <c r="E15" s="140"/>
      <c r="F15" s="140"/>
      <c r="G15" s="140"/>
      <c r="H15" s="140"/>
      <c r="I15" s="140"/>
      <c r="J15" s="140"/>
      <c r="K15" s="140"/>
      <c r="L15" s="140"/>
      <c r="M15" s="140"/>
      <c r="N15" s="140"/>
      <c r="O15" s="140"/>
      <c r="P15" s="140"/>
      <c r="Q15" s="140"/>
      <c r="R15" s="140"/>
      <c r="S15" s="141"/>
      <c r="V15" s="81" t="s">
        <v>123</v>
      </c>
    </row>
    <row r="16" spans="1:22" ht="18" customHeight="1" x14ac:dyDescent="0.15">
      <c r="B16" s="139"/>
      <c r="C16" s="140"/>
      <c r="D16" s="140"/>
      <c r="E16" s="140"/>
      <c r="F16" s="140"/>
      <c r="G16" s="140"/>
      <c r="H16" s="140"/>
      <c r="I16" s="140"/>
      <c r="J16" s="140"/>
      <c r="K16" s="140"/>
      <c r="L16" s="140"/>
      <c r="M16" s="140"/>
      <c r="N16" s="140"/>
      <c r="O16" s="140"/>
      <c r="P16" s="140"/>
      <c r="Q16" s="140"/>
      <c r="R16" s="140"/>
      <c r="S16" s="141"/>
      <c r="V16" s="81" t="s">
        <v>125</v>
      </c>
    </row>
    <row r="17" spans="1:19" ht="18" customHeight="1" x14ac:dyDescent="0.15">
      <c r="B17" s="139"/>
      <c r="C17" s="140"/>
      <c r="D17" s="140"/>
      <c r="E17" s="140"/>
      <c r="F17" s="140"/>
      <c r="G17" s="140"/>
      <c r="H17" s="140"/>
      <c r="I17" s="140"/>
      <c r="J17" s="140"/>
      <c r="K17" s="140"/>
      <c r="L17" s="140"/>
      <c r="M17" s="140"/>
      <c r="N17" s="140"/>
      <c r="O17" s="140"/>
      <c r="P17" s="140"/>
      <c r="Q17" s="140"/>
      <c r="R17" s="140"/>
      <c r="S17" s="141"/>
    </row>
    <row r="18" spans="1:19" ht="18" customHeight="1" x14ac:dyDescent="0.15">
      <c r="B18" s="142"/>
      <c r="C18" s="143"/>
      <c r="D18" s="143"/>
      <c r="E18" s="143"/>
      <c r="F18" s="143"/>
      <c r="G18" s="143"/>
      <c r="H18" s="143"/>
      <c r="I18" s="143"/>
      <c r="J18" s="143"/>
      <c r="K18" s="143"/>
      <c r="L18" s="143"/>
      <c r="M18" s="143"/>
      <c r="N18" s="143"/>
      <c r="O18" s="143"/>
      <c r="P18" s="143"/>
      <c r="Q18" s="143"/>
      <c r="R18" s="143"/>
      <c r="S18" s="144"/>
    </row>
    <row r="19" spans="1:19" ht="7.5" customHeight="1" x14ac:dyDescent="0.15">
      <c r="B19" s="82"/>
      <c r="C19" s="82"/>
      <c r="D19" s="82"/>
      <c r="E19" s="82"/>
      <c r="F19" s="82"/>
      <c r="G19" s="82"/>
      <c r="H19" s="82"/>
      <c r="I19" s="82"/>
      <c r="J19" s="82"/>
      <c r="K19" s="82"/>
      <c r="L19" s="82"/>
      <c r="M19" s="82"/>
      <c r="N19" s="82"/>
      <c r="O19" s="82"/>
      <c r="P19" s="82"/>
      <c r="Q19" s="82"/>
      <c r="R19" s="82"/>
      <c r="S19" s="82"/>
    </row>
    <row r="20" spans="1:19" ht="19.899999999999999" customHeight="1" x14ac:dyDescent="0.15">
      <c r="B20" s="81" t="s">
        <v>112</v>
      </c>
      <c r="C20" s="110">
        <v>6</v>
      </c>
      <c r="D20" s="111"/>
      <c r="E20" s="36" t="s">
        <v>95</v>
      </c>
      <c r="G20" s="9"/>
      <c r="H20" s="82"/>
      <c r="I20" s="82"/>
      <c r="J20" s="78" t="s">
        <v>121</v>
      </c>
      <c r="K20" s="132" t="s">
        <v>125</v>
      </c>
      <c r="L20" s="133"/>
      <c r="M20" s="133"/>
      <c r="N20" s="133"/>
      <c r="O20" s="133"/>
      <c r="P20" s="133"/>
      <c r="Q20" s="133"/>
      <c r="R20" s="133"/>
      <c r="S20" s="134"/>
    </row>
    <row r="21" spans="1:19" ht="7.5" customHeight="1" x14ac:dyDescent="0.15">
      <c r="B21" s="82"/>
      <c r="C21" s="82"/>
      <c r="D21" s="82"/>
      <c r="E21" s="82"/>
      <c r="F21" s="82"/>
      <c r="G21" s="82"/>
      <c r="H21" s="82"/>
      <c r="I21" s="82"/>
      <c r="J21" s="82"/>
      <c r="K21" s="82"/>
      <c r="L21" s="82"/>
      <c r="M21" s="82"/>
      <c r="N21" s="82"/>
      <c r="O21" s="82"/>
      <c r="P21" s="82"/>
      <c r="Q21" s="82"/>
      <c r="R21" s="82"/>
      <c r="S21" s="82"/>
    </row>
    <row r="22" spans="1:19" ht="18" customHeight="1" x14ac:dyDescent="0.15">
      <c r="A22" s="109" t="s">
        <v>113</v>
      </c>
      <c r="B22" s="109"/>
      <c r="C22" s="109"/>
      <c r="D22" s="109"/>
      <c r="E22" s="109"/>
      <c r="F22" s="109"/>
      <c r="G22" s="109"/>
      <c r="H22" s="109"/>
      <c r="I22" s="109"/>
      <c r="J22" s="109"/>
      <c r="K22" s="109"/>
      <c r="L22" s="109"/>
      <c r="M22" s="109"/>
      <c r="N22" s="109"/>
      <c r="O22" s="109"/>
      <c r="P22" s="109"/>
      <c r="Q22" s="109"/>
      <c r="R22" s="109"/>
      <c r="S22" s="109"/>
    </row>
    <row r="23" spans="1:19" ht="18" customHeight="1" x14ac:dyDescent="0.15">
      <c r="A23" s="109"/>
      <c r="B23" s="109"/>
      <c r="C23" s="109"/>
      <c r="D23" s="109"/>
      <c r="E23" s="109"/>
      <c r="F23" s="109"/>
      <c r="G23" s="109"/>
      <c r="H23" s="109"/>
      <c r="I23" s="109"/>
      <c r="J23" s="109"/>
      <c r="K23" s="109"/>
      <c r="L23" s="109"/>
      <c r="M23" s="109"/>
      <c r="N23" s="109"/>
      <c r="O23" s="109"/>
      <c r="P23" s="109"/>
      <c r="Q23" s="109"/>
      <c r="R23" s="109"/>
      <c r="S23" s="109"/>
    </row>
    <row r="24" spans="1:19" ht="18" customHeight="1" x14ac:dyDescent="0.15">
      <c r="B24" s="110" t="s">
        <v>53</v>
      </c>
      <c r="C24" s="112"/>
      <c r="D24" s="112"/>
      <c r="E24" s="111"/>
      <c r="F24" s="57" t="s">
        <v>80</v>
      </c>
      <c r="G24" s="56" t="s">
        <v>84</v>
      </c>
      <c r="H24" s="19" t="s">
        <v>56</v>
      </c>
      <c r="I24" s="19" t="s">
        <v>59</v>
      </c>
      <c r="J24" s="110" t="s">
        <v>53</v>
      </c>
      <c r="K24" s="112"/>
      <c r="L24" s="112"/>
      <c r="M24" s="112"/>
      <c r="N24" s="112"/>
      <c r="O24" s="111"/>
      <c r="P24" s="57" t="s">
        <v>80</v>
      </c>
      <c r="Q24" s="56" t="s">
        <v>84</v>
      </c>
      <c r="R24" s="19" t="s">
        <v>56</v>
      </c>
      <c r="S24" s="19" t="s">
        <v>59</v>
      </c>
    </row>
    <row r="25" spans="1:19" ht="18" customHeight="1" x14ac:dyDescent="0.15">
      <c r="B25" s="113" t="s">
        <v>188</v>
      </c>
      <c r="C25" s="114"/>
      <c r="D25" s="114"/>
      <c r="E25" s="115"/>
      <c r="F25" s="20">
        <v>2</v>
      </c>
      <c r="G25" s="20" t="s">
        <v>134</v>
      </c>
      <c r="H25" s="20" t="s">
        <v>134</v>
      </c>
      <c r="I25" s="20" t="s">
        <v>134</v>
      </c>
      <c r="J25" s="180"/>
      <c r="K25" s="181"/>
      <c r="L25" s="181"/>
      <c r="M25" s="181"/>
      <c r="N25" s="181"/>
      <c r="O25" s="182"/>
      <c r="P25" s="20"/>
      <c r="Q25" s="20"/>
      <c r="R25" s="20"/>
      <c r="S25" s="20"/>
    </row>
    <row r="26" spans="1:19" ht="18" customHeight="1" x14ac:dyDescent="0.15">
      <c r="B26" s="97"/>
      <c r="C26" s="98"/>
      <c r="D26" s="98"/>
      <c r="E26" s="99"/>
      <c r="F26" s="21"/>
      <c r="G26" s="21"/>
      <c r="H26" s="21"/>
      <c r="I26" s="21"/>
      <c r="J26" s="106"/>
      <c r="K26" s="107"/>
      <c r="L26" s="107"/>
      <c r="M26" s="107"/>
      <c r="N26" s="107"/>
      <c r="O26" s="108"/>
      <c r="P26" s="21"/>
      <c r="Q26" s="21"/>
      <c r="R26" s="21"/>
      <c r="S26" s="21"/>
    </row>
    <row r="27" spans="1:19" ht="18" customHeight="1" x14ac:dyDescent="0.15">
      <c r="B27" s="97"/>
      <c r="C27" s="98"/>
      <c r="D27" s="98"/>
      <c r="E27" s="99"/>
      <c r="F27" s="21"/>
      <c r="G27" s="21"/>
      <c r="H27" s="21"/>
      <c r="I27" s="21"/>
      <c r="J27" s="106"/>
      <c r="K27" s="107"/>
      <c r="L27" s="107"/>
      <c r="M27" s="107"/>
      <c r="N27" s="107"/>
      <c r="O27" s="108"/>
      <c r="P27" s="21"/>
      <c r="Q27" s="21"/>
      <c r="R27" s="21"/>
      <c r="S27" s="21"/>
    </row>
    <row r="28" spans="1:19" ht="18" customHeight="1" x14ac:dyDescent="0.15">
      <c r="B28" s="97"/>
      <c r="C28" s="98"/>
      <c r="D28" s="98"/>
      <c r="E28" s="99"/>
      <c r="F28" s="21"/>
      <c r="G28" s="21"/>
      <c r="H28" s="21"/>
      <c r="I28" s="21"/>
      <c r="J28" s="106"/>
      <c r="K28" s="107"/>
      <c r="L28" s="107"/>
      <c r="M28" s="107"/>
      <c r="N28" s="107"/>
      <c r="O28" s="108"/>
      <c r="P28" s="21"/>
      <c r="Q28" s="21"/>
      <c r="R28" s="21"/>
      <c r="S28" s="21"/>
    </row>
    <row r="29" spans="1:19" ht="18" customHeight="1" x14ac:dyDescent="0.15">
      <c r="B29" s="97"/>
      <c r="C29" s="98"/>
      <c r="D29" s="98"/>
      <c r="E29" s="99"/>
      <c r="F29" s="21"/>
      <c r="G29" s="21"/>
      <c r="H29" s="21"/>
      <c r="I29" s="21"/>
      <c r="J29" s="106"/>
      <c r="K29" s="107"/>
      <c r="L29" s="107"/>
      <c r="M29" s="107"/>
      <c r="N29" s="107"/>
      <c r="O29" s="108"/>
      <c r="P29" s="21"/>
      <c r="Q29" s="21"/>
      <c r="R29" s="21"/>
      <c r="S29" s="21"/>
    </row>
    <row r="30" spans="1:19" ht="18" customHeight="1" x14ac:dyDescent="0.15">
      <c r="A30" s="82"/>
      <c r="B30" s="94"/>
      <c r="C30" s="95"/>
      <c r="D30" s="95"/>
      <c r="E30" s="96"/>
      <c r="F30" s="21"/>
      <c r="G30" s="21"/>
      <c r="H30" s="21"/>
      <c r="I30" s="21"/>
      <c r="J30" s="106"/>
      <c r="K30" s="107"/>
      <c r="L30" s="107"/>
      <c r="M30" s="107"/>
      <c r="N30" s="107"/>
      <c r="O30" s="108"/>
      <c r="P30" s="21"/>
      <c r="Q30" s="21"/>
      <c r="R30" s="21"/>
      <c r="S30" s="21"/>
    </row>
    <row r="31" spans="1:19" ht="18" customHeight="1" x14ac:dyDescent="0.15">
      <c r="A31" s="82"/>
      <c r="B31" s="129"/>
      <c r="C31" s="130"/>
      <c r="D31" s="130"/>
      <c r="E31" s="131"/>
      <c r="F31" s="22"/>
      <c r="G31" s="22"/>
      <c r="H31" s="23"/>
      <c r="I31" s="23"/>
      <c r="J31" s="163"/>
      <c r="K31" s="164"/>
      <c r="L31" s="164"/>
      <c r="M31" s="164"/>
      <c r="N31" s="164"/>
      <c r="O31" s="165"/>
      <c r="P31" s="22"/>
      <c r="Q31" s="22"/>
      <c r="R31" s="23"/>
      <c r="S31" s="23"/>
    </row>
    <row r="32" spans="1:19" ht="7.5" customHeight="1" x14ac:dyDescent="0.15">
      <c r="A32" s="82"/>
      <c r="B32" s="6"/>
      <c r="C32" s="6"/>
      <c r="D32" s="82"/>
      <c r="E32" s="82"/>
      <c r="F32" s="82"/>
      <c r="G32" s="82"/>
      <c r="H32" s="6"/>
      <c r="I32" s="6"/>
      <c r="J32" s="6"/>
      <c r="K32" s="6"/>
      <c r="L32" s="6"/>
      <c r="M32" s="6"/>
      <c r="N32" s="6"/>
      <c r="O32" s="6"/>
      <c r="P32" s="6"/>
      <c r="Q32" s="6"/>
      <c r="R32" s="6"/>
      <c r="S32" s="82"/>
    </row>
    <row r="33" spans="1:19" ht="18" customHeight="1" x14ac:dyDescent="0.15">
      <c r="A33" s="109" t="s">
        <v>114</v>
      </c>
      <c r="B33" s="109"/>
      <c r="C33" s="109"/>
      <c r="D33" s="109"/>
      <c r="E33" s="109"/>
      <c r="F33" s="109"/>
      <c r="G33" s="109"/>
      <c r="H33" s="109"/>
      <c r="I33" s="109"/>
      <c r="J33" s="109"/>
      <c r="K33" s="109"/>
      <c r="L33" s="109"/>
      <c r="M33" s="109"/>
      <c r="N33" s="109"/>
      <c r="O33" s="109"/>
      <c r="P33" s="109"/>
      <c r="Q33" s="109"/>
      <c r="R33" s="109"/>
      <c r="S33" s="109"/>
    </row>
    <row r="34" spans="1:19" ht="18" customHeight="1" x14ac:dyDescent="0.15">
      <c r="A34" s="109"/>
      <c r="B34" s="109"/>
      <c r="C34" s="109"/>
      <c r="D34" s="109"/>
      <c r="E34" s="109"/>
      <c r="F34" s="109"/>
      <c r="G34" s="109"/>
      <c r="H34" s="109"/>
      <c r="I34" s="109"/>
      <c r="J34" s="109"/>
      <c r="K34" s="109"/>
      <c r="L34" s="109"/>
      <c r="M34" s="109"/>
      <c r="N34" s="109"/>
      <c r="O34" s="109"/>
      <c r="P34" s="109"/>
      <c r="Q34" s="109"/>
      <c r="R34" s="109"/>
      <c r="S34" s="109"/>
    </row>
    <row r="35" spans="1:19" ht="18" customHeight="1" x14ac:dyDescent="0.15">
      <c r="B35" s="110" t="s">
        <v>53</v>
      </c>
      <c r="C35" s="112"/>
      <c r="D35" s="112"/>
      <c r="E35" s="111"/>
      <c r="F35" s="57" t="s">
        <v>80</v>
      </c>
      <c r="G35" s="56" t="s">
        <v>84</v>
      </c>
      <c r="H35" s="19" t="s">
        <v>71</v>
      </c>
      <c r="I35" s="19" t="s">
        <v>72</v>
      </c>
      <c r="J35" s="110" t="s">
        <v>53</v>
      </c>
      <c r="K35" s="112"/>
      <c r="L35" s="112"/>
      <c r="M35" s="112"/>
      <c r="N35" s="112"/>
      <c r="O35" s="111"/>
      <c r="P35" s="57" t="s">
        <v>80</v>
      </c>
      <c r="Q35" s="56" t="s">
        <v>84</v>
      </c>
      <c r="R35" s="19" t="s">
        <v>71</v>
      </c>
      <c r="S35" s="19" t="s">
        <v>72</v>
      </c>
    </row>
    <row r="36" spans="1:19" ht="18" customHeight="1" x14ac:dyDescent="0.15">
      <c r="B36" s="113" t="s">
        <v>188</v>
      </c>
      <c r="C36" s="114"/>
      <c r="D36" s="114"/>
      <c r="E36" s="115"/>
      <c r="F36" s="20">
        <v>2</v>
      </c>
      <c r="G36" s="20" t="s">
        <v>134</v>
      </c>
      <c r="H36" s="20" t="s">
        <v>134</v>
      </c>
      <c r="I36" s="20" t="s">
        <v>134</v>
      </c>
      <c r="J36" s="180"/>
      <c r="K36" s="181"/>
      <c r="L36" s="181"/>
      <c r="M36" s="181"/>
      <c r="N36" s="181"/>
      <c r="O36" s="182"/>
      <c r="P36" s="20"/>
      <c r="Q36" s="20"/>
      <c r="R36" s="20"/>
      <c r="S36" s="20"/>
    </row>
    <row r="37" spans="1:19" ht="18" customHeight="1" x14ac:dyDescent="0.15">
      <c r="B37" s="97"/>
      <c r="C37" s="98"/>
      <c r="D37" s="98"/>
      <c r="E37" s="99"/>
      <c r="F37" s="21"/>
      <c r="G37" s="21"/>
      <c r="H37" s="21"/>
      <c r="I37" s="21"/>
      <c r="J37" s="106"/>
      <c r="K37" s="107"/>
      <c r="L37" s="107"/>
      <c r="M37" s="107"/>
      <c r="N37" s="107"/>
      <c r="O37" s="108"/>
      <c r="P37" s="21"/>
      <c r="Q37" s="21"/>
      <c r="R37" s="21"/>
      <c r="S37" s="21"/>
    </row>
    <row r="38" spans="1:19" ht="18" customHeight="1" x14ac:dyDescent="0.15">
      <c r="B38" s="97"/>
      <c r="C38" s="98"/>
      <c r="D38" s="98"/>
      <c r="E38" s="99"/>
      <c r="F38" s="21"/>
      <c r="G38" s="21"/>
      <c r="H38" s="21"/>
      <c r="I38" s="21"/>
      <c r="J38" s="106"/>
      <c r="K38" s="107"/>
      <c r="L38" s="107"/>
      <c r="M38" s="107"/>
      <c r="N38" s="107"/>
      <c r="O38" s="108"/>
      <c r="P38" s="21"/>
      <c r="Q38" s="21"/>
      <c r="R38" s="21"/>
      <c r="S38" s="21"/>
    </row>
    <row r="39" spans="1:19" ht="18" customHeight="1" x14ac:dyDescent="0.15">
      <c r="B39" s="97"/>
      <c r="C39" s="98"/>
      <c r="D39" s="98"/>
      <c r="E39" s="99"/>
      <c r="F39" s="21"/>
      <c r="G39" s="21"/>
      <c r="H39" s="21"/>
      <c r="I39" s="21"/>
      <c r="J39" s="106"/>
      <c r="K39" s="107"/>
      <c r="L39" s="107"/>
      <c r="M39" s="107"/>
      <c r="N39" s="107"/>
      <c r="O39" s="108"/>
      <c r="P39" s="21"/>
      <c r="Q39" s="21"/>
      <c r="R39" s="21"/>
      <c r="S39" s="21"/>
    </row>
    <row r="40" spans="1:19" ht="18" customHeight="1" x14ac:dyDescent="0.15">
      <c r="B40" s="97"/>
      <c r="C40" s="98"/>
      <c r="D40" s="98"/>
      <c r="E40" s="99"/>
      <c r="F40" s="21"/>
      <c r="G40" s="21"/>
      <c r="H40" s="21"/>
      <c r="I40" s="21"/>
      <c r="J40" s="106"/>
      <c r="K40" s="107"/>
      <c r="L40" s="107"/>
      <c r="M40" s="107"/>
      <c r="N40" s="107"/>
      <c r="O40" s="108"/>
      <c r="P40" s="21"/>
      <c r="Q40" s="21"/>
      <c r="R40" s="21"/>
      <c r="S40" s="21"/>
    </row>
    <row r="41" spans="1:19" ht="18" customHeight="1" x14ac:dyDescent="0.15">
      <c r="B41" s="106"/>
      <c r="C41" s="107"/>
      <c r="D41" s="107"/>
      <c r="E41" s="108"/>
      <c r="F41" s="21"/>
      <c r="G41" s="21"/>
      <c r="H41" s="21"/>
      <c r="I41" s="21"/>
      <c r="J41" s="106"/>
      <c r="K41" s="107"/>
      <c r="L41" s="107"/>
      <c r="M41" s="107"/>
      <c r="N41" s="107"/>
      <c r="O41" s="108"/>
      <c r="P41" s="21"/>
      <c r="Q41" s="21"/>
      <c r="R41" s="21"/>
      <c r="S41" s="21"/>
    </row>
    <row r="42" spans="1:19" ht="18" customHeight="1" x14ac:dyDescent="0.15">
      <c r="B42" s="163"/>
      <c r="C42" s="164"/>
      <c r="D42" s="164"/>
      <c r="E42" s="165"/>
      <c r="F42" s="22"/>
      <c r="G42" s="22"/>
      <c r="H42" s="23"/>
      <c r="I42" s="23"/>
      <c r="J42" s="163"/>
      <c r="K42" s="164"/>
      <c r="L42" s="164"/>
      <c r="M42" s="164"/>
      <c r="N42" s="164"/>
      <c r="O42" s="165"/>
      <c r="P42" s="22"/>
      <c r="Q42" s="22"/>
      <c r="R42" s="23"/>
      <c r="S42" s="23"/>
    </row>
    <row r="43" spans="1:19" ht="7.5" customHeight="1" x14ac:dyDescent="0.15">
      <c r="A43" s="82"/>
      <c r="B43" s="6"/>
      <c r="C43" s="6"/>
      <c r="D43" s="82"/>
      <c r="E43" s="82"/>
      <c r="F43" s="82"/>
      <c r="G43" s="82"/>
      <c r="H43" s="6"/>
      <c r="I43" s="6"/>
      <c r="J43" s="6"/>
      <c r="K43" s="6"/>
      <c r="L43" s="6"/>
      <c r="M43" s="6"/>
      <c r="N43" s="6"/>
      <c r="O43" s="6"/>
      <c r="P43" s="6"/>
      <c r="Q43" s="6"/>
      <c r="R43" s="6"/>
      <c r="S43" s="82"/>
    </row>
    <row r="44" spans="1:19" ht="18" customHeight="1" x14ac:dyDescent="0.15">
      <c r="A44" s="109" t="s">
        <v>115</v>
      </c>
      <c r="B44" s="109"/>
      <c r="C44" s="109"/>
      <c r="D44" s="109"/>
      <c r="E44" s="109"/>
      <c r="F44" s="109"/>
      <c r="G44" s="109"/>
      <c r="H44" s="109"/>
      <c r="I44" s="109"/>
      <c r="J44" s="109"/>
      <c r="K44" s="109"/>
      <c r="L44" s="109"/>
      <c r="M44" s="109"/>
      <c r="N44" s="109"/>
      <c r="O44" s="109"/>
      <c r="P44" s="109"/>
      <c r="Q44" s="109"/>
      <c r="R44" s="109"/>
      <c r="S44" s="109"/>
    </row>
    <row r="45" spans="1:19" ht="18" customHeight="1" x14ac:dyDescent="0.15">
      <c r="A45" s="109"/>
      <c r="B45" s="109"/>
      <c r="C45" s="109"/>
      <c r="D45" s="109"/>
      <c r="E45" s="109"/>
      <c r="F45" s="109"/>
      <c r="G45" s="109"/>
      <c r="H45" s="109"/>
      <c r="I45" s="109"/>
      <c r="J45" s="109"/>
      <c r="K45" s="109"/>
      <c r="L45" s="109"/>
      <c r="M45" s="109"/>
      <c r="N45" s="109"/>
      <c r="O45" s="109"/>
      <c r="P45" s="109"/>
      <c r="Q45" s="109"/>
      <c r="R45" s="109"/>
      <c r="S45" s="109"/>
    </row>
    <row r="46" spans="1:19" ht="18" customHeight="1" x14ac:dyDescent="0.15">
      <c r="B46" s="110" t="s">
        <v>53</v>
      </c>
      <c r="C46" s="112"/>
      <c r="D46" s="112"/>
      <c r="E46" s="111"/>
      <c r="F46" s="57" t="s">
        <v>80</v>
      </c>
      <c r="G46" s="56" t="s">
        <v>84</v>
      </c>
      <c r="H46" s="19" t="s">
        <v>73</v>
      </c>
      <c r="I46" s="19" t="s">
        <v>74</v>
      </c>
      <c r="J46" s="110" t="s">
        <v>53</v>
      </c>
      <c r="K46" s="112"/>
      <c r="L46" s="112"/>
      <c r="M46" s="112"/>
      <c r="N46" s="112"/>
      <c r="O46" s="111"/>
      <c r="P46" s="57" t="s">
        <v>80</v>
      </c>
      <c r="Q46" s="56" t="s">
        <v>84</v>
      </c>
      <c r="R46" s="19" t="s">
        <v>73</v>
      </c>
      <c r="S46" s="19" t="s">
        <v>74</v>
      </c>
    </row>
    <row r="47" spans="1:19" ht="18" customHeight="1" x14ac:dyDescent="0.15">
      <c r="A47" s="82"/>
      <c r="B47" s="113" t="s">
        <v>188</v>
      </c>
      <c r="C47" s="114"/>
      <c r="D47" s="114"/>
      <c r="E47" s="115"/>
      <c r="F47" s="20">
        <v>2</v>
      </c>
      <c r="G47" s="20" t="s">
        <v>134</v>
      </c>
      <c r="H47" s="20" t="s">
        <v>134</v>
      </c>
      <c r="I47" s="20" t="s">
        <v>134</v>
      </c>
      <c r="J47" s="180"/>
      <c r="K47" s="181"/>
      <c r="L47" s="181"/>
      <c r="M47" s="181"/>
      <c r="N47" s="181"/>
      <c r="O47" s="182"/>
      <c r="P47" s="20"/>
      <c r="Q47" s="20"/>
      <c r="R47" s="20"/>
      <c r="S47" s="20"/>
    </row>
    <row r="48" spans="1:19" ht="18" customHeight="1" x14ac:dyDescent="0.15">
      <c r="A48" s="82"/>
      <c r="B48" s="97"/>
      <c r="C48" s="98"/>
      <c r="D48" s="98"/>
      <c r="E48" s="99"/>
      <c r="F48" s="21"/>
      <c r="G48" s="21"/>
      <c r="H48" s="21"/>
      <c r="I48" s="21"/>
      <c r="J48" s="106"/>
      <c r="K48" s="107"/>
      <c r="L48" s="107"/>
      <c r="M48" s="107"/>
      <c r="N48" s="107"/>
      <c r="O48" s="108"/>
      <c r="P48" s="21"/>
      <c r="Q48" s="21"/>
      <c r="R48" s="21"/>
      <c r="S48" s="21"/>
    </row>
    <row r="49" spans="1:19" ht="18" customHeight="1" x14ac:dyDescent="0.15">
      <c r="A49" s="82"/>
      <c r="B49" s="97"/>
      <c r="C49" s="98"/>
      <c r="D49" s="98"/>
      <c r="E49" s="99"/>
      <c r="F49" s="21"/>
      <c r="G49" s="21"/>
      <c r="H49" s="21"/>
      <c r="I49" s="21"/>
      <c r="J49" s="106"/>
      <c r="K49" s="107"/>
      <c r="L49" s="107"/>
      <c r="M49" s="107"/>
      <c r="N49" s="107"/>
      <c r="O49" s="108"/>
      <c r="P49" s="21"/>
      <c r="Q49" s="21"/>
      <c r="R49" s="21"/>
      <c r="S49" s="21"/>
    </row>
    <row r="50" spans="1:19" ht="18" customHeight="1" x14ac:dyDescent="0.15">
      <c r="A50" s="82"/>
      <c r="B50" s="97"/>
      <c r="C50" s="98"/>
      <c r="D50" s="98"/>
      <c r="E50" s="99"/>
      <c r="F50" s="21"/>
      <c r="G50" s="21"/>
      <c r="H50" s="21"/>
      <c r="I50" s="21"/>
      <c r="J50" s="106"/>
      <c r="K50" s="107"/>
      <c r="L50" s="107"/>
      <c r="M50" s="107"/>
      <c r="N50" s="107"/>
      <c r="O50" s="108"/>
      <c r="P50" s="21"/>
      <c r="Q50" s="21"/>
      <c r="R50" s="21"/>
      <c r="S50" s="21"/>
    </row>
    <row r="51" spans="1:19" ht="18" customHeight="1" x14ac:dyDescent="0.15">
      <c r="A51" s="82"/>
      <c r="B51" s="97"/>
      <c r="C51" s="98"/>
      <c r="D51" s="98"/>
      <c r="E51" s="99"/>
      <c r="F51" s="21"/>
      <c r="G51" s="21"/>
      <c r="H51" s="21"/>
      <c r="I51" s="21"/>
      <c r="J51" s="106"/>
      <c r="K51" s="107"/>
      <c r="L51" s="107"/>
      <c r="M51" s="107"/>
      <c r="N51" s="107"/>
      <c r="O51" s="108"/>
      <c r="P51" s="21"/>
      <c r="Q51" s="21"/>
      <c r="R51" s="21"/>
      <c r="S51" s="21"/>
    </row>
    <row r="52" spans="1:19" ht="18" customHeight="1" x14ac:dyDescent="0.15">
      <c r="A52" s="82"/>
      <c r="B52" s="106"/>
      <c r="C52" s="107"/>
      <c r="D52" s="107"/>
      <c r="E52" s="108"/>
      <c r="F52" s="21"/>
      <c r="G52" s="21"/>
      <c r="H52" s="21"/>
      <c r="I52" s="21"/>
      <c r="J52" s="106"/>
      <c r="K52" s="107"/>
      <c r="L52" s="107"/>
      <c r="M52" s="107"/>
      <c r="N52" s="107"/>
      <c r="O52" s="108"/>
      <c r="P52" s="21"/>
      <c r="Q52" s="21"/>
      <c r="R52" s="21"/>
      <c r="S52" s="21"/>
    </row>
    <row r="53" spans="1:19" ht="18" customHeight="1" x14ac:dyDescent="0.15">
      <c r="A53" s="82"/>
      <c r="B53" s="163"/>
      <c r="C53" s="164"/>
      <c r="D53" s="164"/>
      <c r="E53" s="165"/>
      <c r="F53" s="22"/>
      <c r="G53" s="22"/>
      <c r="H53" s="23"/>
      <c r="I53" s="23"/>
      <c r="J53" s="163"/>
      <c r="K53" s="164"/>
      <c r="L53" s="164"/>
      <c r="M53" s="164"/>
      <c r="N53" s="164"/>
      <c r="O53" s="165"/>
      <c r="P53" s="22"/>
      <c r="Q53" s="22"/>
      <c r="R53" s="23"/>
      <c r="S53" s="23"/>
    </row>
    <row r="54" spans="1:19" ht="7.5" customHeight="1" x14ac:dyDescent="0.15">
      <c r="B54" s="80"/>
      <c r="C54" s="80"/>
      <c r="D54" s="80"/>
      <c r="E54" s="80"/>
      <c r="F54" s="80"/>
      <c r="G54" s="80"/>
      <c r="H54" s="80"/>
      <c r="I54" s="80"/>
      <c r="J54" s="80"/>
      <c r="K54" s="80"/>
      <c r="L54" s="80"/>
      <c r="M54" s="80"/>
      <c r="N54" s="80"/>
      <c r="O54" s="80"/>
      <c r="P54" s="80"/>
      <c r="Q54" s="80"/>
      <c r="R54" s="80"/>
    </row>
    <row r="55" spans="1:19" ht="18" customHeight="1" x14ac:dyDescent="0.15">
      <c r="A55" s="109" t="s">
        <v>116</v>
      </c>
      <c r="B55" s="109"/>
      <c r="C55" s="109"/>
      <c r="D55" s="109"/>
      <c r="E55" s="109"/>
      <c r="F55" s="109"/>
      <c r="G55" s="109"/>
      <c r="H55" s="109"/>
      <c r="I55" s="109"/>
      <c r="J55" s="109"/>
      <c r="K55" s="109"/>
      <c r="L55" s="109"/>
      <c r="M55" s="109"/>
      <c r="N55" s="109"/>
      <c r="O55" s="109"/>
      <c r="P55" s="109"/>
      <c r="Q55" s="109"/>
      <c r="R55" s="109"/>
      <c r="S55" s="109"/>
    </row>
    <row r="56" spans="1:19" ht="18" customHeight="1" x14ac:dyDescent="0.15">
      <c r="A56" s="109"/>
      <c r="B56" s="109"/>
      <c r="C56" s="109"/>
      <c r="D56" s="109"/>
      <c r="E56" s="109"/>
      <c r="F56" s="109"/>
      <c r="G56" s="109"/>
      <c r="H56" s="109"/>
      <c r="I56" s="109"/>
      <c r="J56" s="109"/>
      <c r="K56" s="109"/>
      <c r="L56" s="109"/>
      <c r="M56" s="109"/>
      <c r="N56" s="109"/>
      <c r="O56" s="109"/>
      <c r="P56" s="109"/>
      <c r="Q56" s="109"/>
      <c r="R56" s="109"/>
      <c r="S56" s="109"/>
    </row>
    <row r="57" spans="1:19" ht="18" customHeight="1" x14ac:dyDescent="0.15">
      <c r="B57" s="110" t="s">
        <v>53</v>
      </c>
      <c r="C57" s="112"/>
      <c r="D57" s="112"/>
      <c r="E57" s="111"/>
      <c r="F57" s="57" t="s">
        <v>80</v>
      </c>
      <c r="G57" s="56" t="s">
        <v>84</v>
      </c>
      <c r="H57" s="19" t="s">
        <v>58</v>
      </c>
      <c r="I57" s="19" t="s">
        <v>60</v>
      </c>
      <c r="J57" s="110" t="s">
        <v>53</v>
      </c>
      <c r="K57" s="112"/>
      <c r="L57" s="112"/>
      <c r="M57" s="112"/>
      <c r="N57" s="112"/>
      <c r="O57" s="111"/>
      <c r="P57" s="57" t="s">
        <v>80</v>
      </c>
      <c r="Q57" s="56" t="s">
        <v>84</v>
      </c>
      <c r="R57" s="19" t="s">
        <v>58</v>
      </c>
      <c r="S57" s="19" t="s">
        <v>60</v>
      </c>
    </row>
    <row r="58" spans="1:19" ht="18" customHeight="1" x14ac:dyDescent="0.15">
      <c r="A58" s="82"/>
      <c r="B58" s="175" t="s">
        <v>189</v>
      </c>
      <c r="C58" s="176"/>
      <c r="D58" s="176"/>
      <c r="E58" s="214"/>
      <c r="F58" s="20">
        <v>2</v>
      </c>
      <c r="G58" s="20" t="s">
        <v>134</v>
      </c>
      <c r="H58" s="20" t="s">
        <v>134</v>
      </c>
      <c r="I58" s="20" t="s">
        <v>134</v>
      </c>
      <c r="J58" s="180"/>
      <c r="K58" s="181"/>
      <c r="L58" s="181"/>
      <c r="M58" s="181"/>
      <c r="N58" s="181"/>
      <c r="O58" s="182"/>
      <c r="P58" s="20"/>
      <c r="Q58" s="20"/>
      <c r="R58" s="20"/>
      <c r="S58" s="20"/>
    </row>
    <row r="59" spans="1:19" ht="18" customHeight="1" x14ac:dyDescent="0.15">
      <c r="A59" s="82"/>
      <c r="B59" s="106"/>
      <c r="C59" s="107"/>
      <c r="D59" s="107"/>
      <c r="E59" s="108"/>
      <c r="F59" s="21"/>
      <c r="G59" s="21"/>
      <c r="H59" s="21"/>
      <c r="I59" s="21"/>
      <c r="J59" s="106"/>
      <c r="K59" s="107"/>
      <c r="L59" s="107"/>
      <c r="M59" s="107"/>
      <c r="N59" s="107"/>
      <c r="O59" s="108"/>
      <c r="P59" s="21"/>
      <c r="Q59" s="21"/>
      <c r="R59" s="21"/>
      <c r="S59" s="21"/>
    </row>
    <row r="60" spans="1:19" ht="18" customHeight="1" x14ac:dyDescent="0.15">
      <c r="A60" s="82"/>
      <c r="B60" s="106"/>
      <c r="C60" s="107"/>
      <c r="D60" s="107"/>
      <c r="E60" s="108"/>
      <c r="F60" s="21"/>
      <c r="G60" s="21"/>
      <c r="H60" s="21"/>
      <c r="I60" s="21"/>
      <c r="J60" s="106"/>
      <c r="K60" s="107"/>
      <c r="L60" s="107"/>
      <c r="M60" s="107"/>
      <c r="N60" s="107"/>
      <c r="O60" s="108"/>
      <c r="P60" s="21"/>
      <c r="Q60" s="21"/>
      <c r="R60" s="21"/>
      <c r="S60" s="21"/>
    </row>
    <row r="61" spans="1:19" ht="18" customHeight="1" x14ac:dyDescent="0.15">
      <c r="A61" s="82"/>
      <c r="B61" s="106"/>
      <c r="C61" s="107"/>
      <c r="D61" s="107"/>
      <c r="E61" s="108"/>
      <c r="F61" s="21"/>
      <c r="G61" s="21"/>
      <c r="H61" s="21"/>
      <c r="I61" s="21"/>
      <c r="J61" s="106"/>
      <c r="K61" s="107"/>
      <c r="L61" s="107"/>
      <c r="M61" s="107"/>
      <c r="N61" s="107"/>
      <c r="O61" s="108"/>
      <c r="P61" s="21"/>
      <c r="Q61" s="21"/>
      <c r="R61" s="21"/>
      <c r="S61" s="21"/>
    </row>
    <row r="62" spans="1:19" ht="18" customHeight="1" x14ac:dyDescent="0.15">
      <c r="A62" s="82"/>
      <c r="B62" s="234"/>
      <c r="C62" s="235"/>
      <c r="D62" s="235"/>
      <c r="E62" s="236"/>
      <c r="F62" s="21"/>
      <c r="G62" s="21"/>
      <c r="H62" s="21"/>
      <c r="I62" s="21"/>
      <c r="J62" s="106"/>
      <c r="K62" s="107"/>
      <c r="L62" s="107"/>
      <c r="M62" s="107"/>
      <c r="N62" s="107"/>
      <c r="O62" s="108"/>
      <c r="P62" s="21"/>
      <c r="Q62" s="21"/>
      <c r="R62" s="21"/>
      <c r="S62" s="21"/>
    </row>
    <row r="63" spans="1:19" ht="18" customHeight="1" x14ac:dyDescent="0.15">
      <c r="A63" s="82"/>
      <c r="B63" s="106"/>
      <c r="C63" s="107"/>
      <c r="D63" s="107"/>
      <c r="E63" s="108"/>
      <c r="F63" s="21"/>
      <c r="G63" s="21"/>
      <c r="H63" s="21"/>
      <c r="I63" s="21"/>
      <c r="J63" s="106"/>
      <c r="K63" s="107"/>
      <c r="L63" s="107"/>
      <c r="M63" s="107"/>
      <c r="N63" s="107"/>
      <c r="O63" s="108"/>
      <c r="P63" s="21"/>
      <c r="Q63" s="21"/>
      <c r="R63" s="21"/>
      <c r="S63" s="21"/>
    </row>
    <row r="64" spans="1:19" ht="18" customHeight="1" x14ac:dyDescent="0.15">
      <c r="A64" s="82"/>
      <c r="B64" s="163"/>
      <c r="C64" s="164"/>
      <c r="D64" s="164"/>
      <c r="E64" s="165"/>
      <c r="F64" s="22"/>
      <c r="G64" s="22"/>
      <c r="H64" s="23"/>
      <c r="I64" s="23"/>
      <c r="J64" s="163"/>
      <c r="K64" s="164"/>
      <c r="L64" s="164"/>
      <c r="M64" s="164"/>
      <c r="N64" s="164"/>
      <c r="O64" s="165"/>
      <c r="P64" s="22"/>
      <c r="Q64" s="22"/>
      <c r="R64" s="23"/>
      <c r="S64" s="23"/>
    </row>
    <row r="65" spans="1:19" ht="7.5" customHeight="1" x14ac:dyDescent="0.15">
      <c r="B65" s="80"/>
      <c r="C65" s="80"/>
      <c r="D65" s="80"/>
      <c r="E65" s="80"/>
      <c r="F65" s="80"/>
      <c r="G65" s="80"/>
      <c r="H65" s="80"/>
      <c r="I65" s="80"/>
      <c r="J65" s="80"/>
      <c r="K65" s="80"/>
      <c r="L65" s="80"/>
      <c r="M65" s="80"/>
      <c r="N65" s="80"/>
      <c r="O65" s="80"/>
      <c r="P65" s="80"/>
      <c r="Q65" s="80"/>
      <c r="R65" s="80"/>
    </row>
    <row r="66" spans="1:19" ht="18" customHeight="1" x14ac:dyDescent="0.15">
      <c r="A66" s="109" t="s">
        <v>117</v>
      </c>
      <c r="B66" s="109"/>
      <c r="C66" s="109"/>
      <c r="D66" s="109"/>
      <c r="E66" s="109"/>
      <c r="F66" s="109"/>
      <c r="G66" s="109"/>
      <c r="H66" s="109"/>
      <c r="I66" s="109"/>
      <c r="J66" s="109"/>
      <c r="K66" s="109"/>
      <c r="L66" s="109"/>
      <c r="M66" s="109"/>
      <c r="N66" s="109"/>
      <c r="O66" s="109"/>
      <c r="P66" s="109"/>
      <c r="Q66" s="109"/>
      <c r="R66" s="109"/>
      <c r="S66" s="109"/>
    </row>
    <row r="67" spans="1:19" ht="18" customHeight="1" x14ac:dyDescent="0.15">
      <c r="A67" s="109"/>
      <c r="B67" s="109"/>
      <c r="C67" s="109"/>
      <c r="D67" s="109"/>
      <c r="E67" s="109"/>
      <c r="F67" s="109"/>
      <c r="G67" s="109"/>
      <c r="H67" s="109"/>
      <c r="I67" s="109"/>
      <c r="J67" s="109"/>
      <c r="K67" s="109"/>
      <c r="L67" s="109"/>
      <c r="M67" s="109"/>
      <c r="N67" s="109"/>
      <c r="O67" s="109"/>
      <c r="P67" s="109"/>
      <c r="Q67" s="109"/>
      <c r="R67" s="109"/>
      <c r="S67" s="109"/>
    </row>
    <row r="68" spans="1:19" ht="18" customHeight="1" x14ac:dyDescent="0.15">
      <c r="B68" s="110" t="s">
        <v>53</v>
      </c>
      <c r="C68" s="112"/>
      <c r="D68" s="112"/>
      <c r="E68" s="57" t="s">
        <v>80</v>
      </c>
      <c r="F68" s="56" t="s">
        <v>84</v>
      </c>
      <c r="G68" s="19" t="s">
        <v>101</v>
      </c>
      <c r="H68" s="19" t="s">
        <v>75</v>
      </c>
      <c r="I68" s="19" t="s">
        <v>76</v>
      </c>
      <c r="J68" s="110" t="s">
        <v>53</v>
      </c>
      <c r="K68" s="112"/>
      <c r="L68" s="112"/>
      <c r="M68" s="112"/>
      <c r="N68" s="111"/>
      <c r="O68" s="57" t="s">
        <v>80</v>
      </c>
      <c r="P68" s="56" t="s">
        <v>84</v>
      </c>
      <c r="Q68" s="19" t="s">
        <v>101</v>
      </c>
      <c r="R68" s="19" t="s">
        <v>75</v>
      </c>
      <c r="S68" s="19" t="s">
        <v>76</v>
      </c>
    </row>
    <row r="69" spans="1:19" ht="18" customHeight="1" x14ac:dyDescent="0.15">
      <c r="A69" s="82"/>
      <c r="B69" s="113" t="s">
        <v>190</v>
      </c>
      <c r="C69" s="114"/>
      <c r="D69" s="115"/>
      <c r="E69" s="20">
        <v>2</v>
      </c>
      <c r="F69" s="21" t="s">
        <v>134</v>
      </c>
      <c r="G69" s="20" t="s">
        <v>134</v>
      </c>
      <c r="H69" s="20" t="s">
        <v>134</v>
      </c>
      <c r="I69" s="20" t="s">
        <v>134</v>
      </c>
      <c r="J69" s="180"/>
      <c r="K69" s="181"/>
      <c r="L69" s="181"/>
      <c r="M69" s="181"/>
      <c r="N69" s="182"/>
      <c r="O69" s="20"/>
      <c r="P69" s="20"/>
      <c r="Q69" s="20"/>
      <c r="R69" s="20"/>
      <c r="S69" s="20"/>
    </row>
    <row r="70" spans="1:19" ht="18" customHeight="1" x14ac:dyDescent="0.15">
      <c r="A70" s="82"/>
      <c r="B70" s="97"/>
      <c r="C70" s="98"/>
      <c r="D70" s="99"/>
      <c r="E70" s="21"/>
      <c r="F70" s="21"/>
      <c r="G70" s="21"/>
      <c r="H70" s="21"/>
      <c r="I70" s="21"/>
      <c r="J70" s="106"/>
      <c r="K70" s="107"/>
      <c r="L70" s="107"/>
      <c r="M70" s="107"/>
      <c r="N70" s="108"/>
      <c r="O70" s="21"/>
      <c r="P70" s="21"/>
      <c r="Q70" s="21"/>
      <c r="R70" s="21"/>
      <c r="S70" s="21"/>
    </row>
    <row r="71" spans="1:19" ht="18" customHeight="1" x14ac:dyDescent="0.15">
      <c r="A71" s="82"/>
      <c r="B71" s="97"/>
      <c r="C71" s="98"/>
      <c r="D71" s="99"/>
      <c r="E71" s="21"/>
      <c r="F71" s="21"/>
      <c r="G71" s="21"/>
      <c r="H71" s="21"/>
      <c r="I71" s="21"/>
      <c r="J71" s="106"/>
      <c r="K71" s="107"/>
      <c r="L71" s="107"/>
      <c r="M71" s="107"/>
      <c r="N71" s="108"/>
      <c r="O71" s="21"/>
      <c r="P71" s="21"/>
      <c r="Q71" s="21"/>
      <c r="R71" s="21"/>
      <c r="S71" s="21"/>
    </row>
    <row r="72" spans="1:19" ht="18" customHeight="1" x14ac:dyDescent="0.15">
      <c r="A72" s="82"/>
      <c r="B72" s="97"/>
      <c r="C72" s="98"/>
      <c r="D72" s="99"/>
      <c r="E72" s="21"/>
      <c r="F72" s="21"/>
      <c r="G72" s="21"/>
      <c r="H72" s="21"/>
      <c r="I72" s="21"/>
      <c r="J72" s="106"/>
      <c r="K72" s="107"/>
      <c r="L72" s="107"/>
      <c r="M72" s="107"/>
      <c r="N72" s="108"/>
      <c r="O72" s="21"/>
      <c r="P72" s="21"/>
      <c r="Q72" s="21"/>
      <c r="R72" s="21"/>
      <c r="S72" s="21"/>
    </row>
    <row r="73" spans="1:19" ht="18" customHeight="1" x14ac:dyDescent="0.15">
      <c r="A73" s="82"/>
      <c r="B73" s="97"/>
      <c r="C73" s="98"/>
      <c r="D73" s="99"/>
      <c r="E73" s="21"/>
      <c r="F73" s="21"/>
      <c r="G73" s="21"/>
      <c r="H73" s="21"/>
      <c r="I73" s="21"/>
      <c r="J73" s="106"/>
      <c r="K73" s="107"/>
      <c r="L73" s="107"/>
      <c r="M73" s="107"/>
      <c r="N73" s="108"/>
      <c r="O73" s="21"/>
      <c r="P73" s="21"/>
      <c r="Q73" s="21"/>
      <c r="R73" s="21"/>
      <c r="S73" s="21"/>
    </row>
    <row r="74" spans="1:19" ht="18" customHeight="1" x14ac:dyDescent="0.15">
      <c r="A74" s="82"/>
      <c r="B74" s="106"/>
      <c r="C74" s="107"/>
      <c r="D74" s="107"/>
      <c r="E74" s="21"/>
      <c r="F74" s="21"/>
      <c r="G74" s="21"/>
      <c r="H74" s="21"/>
      <c r="I74" s="21"/>
      <c r="J74" s="106"/>
      <c r="K74" s="107"/>
      <c r="L74" s="107"/>
      <c r="M74" s="107"/>
      <c r="N74" s="108"/>
      <c r="O74" s="21"/>
      <c r="P74" s="21"/>
      <c r="Q74" s="21"/>
      <c r="R74" s="21"/>
      <c r="S74" s="21"/>
    </row>
    <row r="75" spans="1:19" ht="18" customHeight="1" x14ac:dyDescent="0.15">
      <c r="A75" s="82"/>
      <c r="B75" s="163"/>
      <c r="C75" s="164"/>
      <c r="D75" s="164"/>
      <c r="E75" s="22"/>
      <c r="F75" s="22"/>
      <c r="G75" s="23"/>
      <c r="H75" s="23"/>
      <c r="I75" s="23"/>
      <c r="J75" s="163"/>
      <c r="K75" s="164"/>
      <c r="L75" s="164"/>
      <c r="M75" s="164"/>
      <c r="N75" s="165"/>
      <c r="O75" s="22"/>
      <c r="P75" s="22"/>
      <c r="Q75" s="23"/>
      <c r="R75" s="23"/>
      <c r="S75" s="23"/>
    </row>
    <row r="76" spans="1:19" ht="7.5" customHeight="1" x14ac:dyDescent="0.15">
      <c r="B76" s="80"/>
      <c r="C76" s="80"/>
      <c r="D76" s="80"/>
      <c r="E76" s="80"/>
      <c r="F76" s="80"/>
      <c r="G76" s="80"/>
      <c r="H76" s="80"/>
      <c r="I76" s="80"/>
      <c r="J76" s="80"/>
      <c r="K76" s="80"/>
      <c r="L76" s="80"/>
      <c r="M76" s="80"/>
      <c r="N76" s="80"/>
      <c r="O76" s="80"/>
      <c r="P76" s="80"/>
      <c r="Q76" s="80"/>
      <c r="R76" s="80"/>
    </row>
    <row r="77" spans="1:19" ht="18" customHeight="1" x14ac:dyDescent="0.15">
      <c r="A77" s="81" t="s">
        <v>118</v>
      </c>
      <c r="H77" s="82"/>
      <c r="I77" s="82"/>
      <c r="J77" s="82"/>
      <c r="K77" s="82"/>
      <c r="L77" s="82"/>
      <c r="M77" s="82"/>
      <c r="N77" s="82"/>
      <c r="O77" s="82"/>
      <c r="P77" s="82"/>
      <c r="Q77" s="82"/>
      <c r="R77" s="82"/>
      <c r="S77" s="82"/>
    </row>
    <row r="78" spans="1:19" ht="18" customHeight="1" x14ac:dyDescent="0.15">
      <c r="B78" s="110" t="s">
        <v>53</v>
      </c>
      <c r="C78" s="112"/>
      <c r="D78" s="112"/>
      <c r="E78" s="111"/>
      <c r="F78" s="110" t="s">
        <v>82</v>
      </c>
      <c r="G78" s="112"/>
      <c r="H78" s="112"/>
      <c r="I78" s="111"/>
      <c r="J78" s="172" t="s">
        <v>53</v>
      </c>
      <c r="K78" s="173"/>
      <c r="L78" s="173"/>
      <c r="M78" s="173"/>
      <c r="N78" s="173"/>
      <c r="O78" s="174"/>
      <c r="P78" s="110" t="s">
        <v>82</v>
      </c>
      <c r="Q78" s="112"/>
      <c r="R78" s="112"/>
      <c r="S78" s="111"/>
    </row>
    <row r="79" spans="1:19" ht="18" customHeight="1" x14ac:dyDescent="0.15">
      <c r="A79" s="82"/>
      <c r="B79" s="113" t="s">
        <v>190</v>
      </c>
      <c r="C79" s="114"/>
      <c r="D79" s="114"/>
      <c r="E79" s="115"/>
      <c r="F79" s="119" t="s">
        <v>139</v>
      </c>
      <c r="G79" s="120"/>
      <c r="H79" s="120"/>
      <c r="I79" s="121"/>
      <c r="J79" s="180"/>
      <c r="K79" s="181"/>
      <c r="L79" s="181"/>
      <c r="M79" s="181"/>
      <c r="N79" s="181"/>
      <c r="O79" s="182"/>
      <c r="P79" s="119"/>
      <c r="Q79" s="120"/>
      <c r="R79" s="120"/>
      <c r="S79" s="121"/>
    </row>
    <row r="80" spans="1:19" ht="18" customHeight="1" x14ac:dyDescent="0.15">
      <c r="A80" s="82"/>
      <c r="B80" s="97"/>
      <c r="C80" s="98"/>
      <c r="D80" s="98"/>
      <c r="E80" s="99"/>
      <c r="F80" s="94"/>
      <c r="G80" s="95"/>
      <c r="H80" s="95"/>
      <c r="I80" s="96"/>
      <c r="J80" s="106"/>
      <c r="K80" s="107"/>
      <c r="L80" s="107"/>
      <c r="M80" s="107"/>
      <c r="N80" s="107"/>
      <c r="O80" s="108"/>
      <c r="P80" s="94"/>
      <c r="Q80" s="95"/>
      <c r="R80" s="95"/>
      <c r="S80" s="96"/>
    </row>
    <row r="81" spans="1:19" ht="18" customHeight="1" x14ac:dyDescent="0.15">
      <c r="A81" s="82"/>
      <c r="B81" s="97"/>
      <c r="C81" s="98"/>
      <c r="D81" s="98"/>
      <c r="E81" s="99"/>
      <c r="F81" s="94"/>
      <c r="G81" s="95"/>
      <c r="H81" s="95"/>
      <c r="I81" s="96"/>
      <c r="J81" s="106"/>
      <c r="K81" s="107"/>
      <c r="L81" s="107"/>
      <c r="M81" s="107"/>
      <c r="N81" s="107"/>
      <c r="O81" s="108"/>
      <c r="P81" s="94"/>
      <c r="Q81" s="95"/>
      <c r="R81" s="95"/>
      <c r="S81" s="96"/>
    </row>
    <row r="82" spans="1:19" ht="18" customHeight="1" x14ac:dyDescent="0.15">
      <c r="A82" s="82"/>
      <c r="B82" s="97"/>
      <c r="C82" s="98"/>
      <c r="D82" s="98"/>
      <c r="E82" s="99"/>
      <c r="F82" s="94"/>
      <c r="G82" s="95"/>
      <c r="H82" s="95"/>
      <c r="I82" s="96"/>
      <c r="J82" s="106"/>
      <c r="K82" s="107"/>
      <c r="L82" s="107"/>
      <c r="M82" s="107"/>
      <c r="N82" s="107"/>
      <c r="O82" s="108"/>
      <c r="P82" s="94"/>
      <c r="Q82" s="95"/>
      <c r="R82" s="95"/>
      <c r="S82" s="96"/>
    </row>
    <row r="83" spans="1:19" ht="18" customHeight="1" x14ac:dyDescent="0.15">
      <c r="A83" s="82"/>
      <c r="B83" s="97"/>
      <c r="C83" s="98"/>
      <c r="D83" s="98"/>
      <c r="E83" s="99"/>
      <c r="F83" s="94"/>
      <c r="G83" s="95"/>
      <c r="H83" s="95"/>
      <c r="I83" s="96"/>
      <c r="J83" s="106"/>
      <c r="K83" s="107"/>
      <c r="L83" s="107"/>
      <c r="M83" s="107"/>
      <c r="N83" s="107"/>
      <c r="O83" s="108"/>
      <c r="P83" s="94"/>
      <c r="Q83" s="95"/>
      <c r="R83" s="95"/>
      <c r="S83" s="96"/>
    </row>
    <row r="84" spans="1:19" ht="18" customHeight="1" x14ac:dyDescent="0.15">
      <c r="A84" s="82"/>
      <c r="B84" s="106"/>
      <c r="C84" s="107"/>
      <c r="D84" s="107"/>
      <c r="E84" s="108"/>
      <c r="F84" s="94"/>
      <c r="G84" s="95"/>
      <c r="H84" s="95"/>
      <c r="I84" s="96"/>
      <c r="J84" s="106"/>
      <c r="K84" s="107"/>
      <c r="L84" s="107"/>
      <c r="M84" s="107"/>
      <c r="N84" s="107"/>
      <c r="O84" s="108"/>
      <c r="P84" s="94"/>
      <c r="Q84" s="95"/>
      <c r="R84" s="95"/>
      <c r="S84" s="96"/>
    </row>
    <row r="85" spans="1:19" ht="18" customHeight="1" x14ac:dyDescent="0.15">
      <c r="A85" s="82"/>
      <c r="B85" s="163"/>
      <c r="C85" s="164"/>
      <c r="D85" s="164"/>
      <c r="E85" s="165"/>
      <c r="F85" s="129"/>
      <c r="G85" s="130"/>
      <c r="H85" s="130"/>
      <c r="I85" s="131"/>
      <c r="J85" s="163"/>
      <c r="K85" s="164"/>
      <c r="L85" s="164"/>
      <c r="M85" s="164"/>
      <c r="N85" s="164"/>
      <c r="O85" s="165"/>
      <c r="P85" s="129"/>
      <c r="Q85" s="130"/>
      <c r="R85" s="130"/>
      <c r="S85" s="131"/>
    </row>
    <row r="86" spans="1:19" ht="18" customHeight="1" x14ac:dyDescent="0.15">
      <c r="A86" s="82"/>
      <c r="B86" s="6"/>
      <c r="C86" s="6"/>
      <c r="D86" s="6"/>
      <c r="E86" s="6"/>
      <c r="F86" s="24"/>
      <c r="G86" s="24"/>
      <c r="H86" s="24"/>
      <c r="I86" s="24"/>
      <c r="J86" s="6"/>
      <c r="K86" s="6"/>
      <c r="L86" s="6"/>
      <c r="M86" s="6"/>
      <c r="N86" s="6"/>
      <c r="O86" s="6"/>
      <c r="P86" s="24"/>
      <c r="Q86" s="24"/>
      <c r="R86" s="24"/>
      <c r="S86" s="24"/>
    </row>
    <row r="87" spans="1:19" ht="18.75" customHeight="1" x14ac:dyDescent="0.15">
      <c r="A87" s="81" t="s">
        <v>119</v>
      </c>
    </row>
    <row r="88" spans="1:19" ht="18.75" customHeight="1" x14ac:dyDescent="0.15">
      <c r="B88" s="192" t="s">
        <v>54</v>
      </c>
      <c r="C88" s="193"/>
      <c r="D88" s="112" t="s">
        <v>55</v>
      </c>
      <c r="E88" s="112"/>
      <c r="F88" s="112"/>
      <c r="G88" s="112"/>
      <c r="H88" s="112"/>
      <c r="I88" s="112"/>
      <c r="J88" s="112"/>
      <c r="K88" s="112"/>
      <c r="L88" s="112"/>
      <c r="M88" s="112"/>
      <c r="N88" s="112"/>
      <c r="O88" s="112"/>
      <c r="P88" s="112"/>
      <c r="Q88" s="112"/>
      <c r="R88" s="112"/>
      <c r="S88" s="111"/>
    </row>
    <row r="89" spans="1:19" ht="97.5" customHeight="1" x14ac:dyDescent="0.15">
      <c r="B89" s="177" t="s">
        <v>61</v>
      </c>
      <c r="C89" s="25" t="s">
        <v>56</v>
      </c>
      <c r="D89" s="229" t="s">
        <v>216</v>
      </c>
      <c r="E89" s="230"/>
      <c r="F89" s="230"/>
      <c r="G89" s="230"/>
      <c r="H89" s="230"/>
      <c r="I89" s="230"/>
      <c r="J89" s="230"/>
      <c r="K89" s="230"/>
      <c r="L89" s="230"/>
      <c r="M89" s="230"/>
      <c r="N89" s="230"/>
      <c r="O89" s="230"/>
      <c r="P89" s="230"/>
      <c r="Q89" s="230"/>
      <c r="R89" s="230"/>
      <c r="S89" s="231"/>
    </row>
    <row r="90" spans="1:19" ht="97.5" customHeight="1" x14ac:dyDescent="0.15">
      <c r="B90" s="179"/>
      <c r="C90" s="26" t="s">
        <v>77</v>
      </c>
      <c r="D90" s="210" t="s">
        <v>217</v>
      </c>
      <c r="E90" s="232"/>
      <c r="F90" s="232"/>
      <c r="G90" s="232"/>
      <c r="H90" s="232"/>
      <c r="I90" s="232"/>
      <c r="J90" s="232"/>
      <c r="K90" s="232"/>
      <c r="L90" s="232"/>
      <c r="M90" s="232"/>
      <c r="N90" s="232"/>
      <c r="O90" s="232"/>
      <c r="P90" s="232"/>
      <c r="Q90" s="232"/>
      <c r="R90" s="232"/>
      <c r="S90" s="233"/>
    </row>
    <row r="91" spans="1:19" ht="111.75" customHeight="1" x14ac:dyDescent="0.15">
      <c r="B91" s="177" t="s">
        <v>62</v>
      </c>
      <c r="C91" s="27" t="s">
        <v>71</v>
      </c>
      <c r="D91" s="220" t="s">
        <v>218</v>
      </c>
      <c r="E91" s="204"/>
      <c r="F91" s="204"/>
      <c r="G91" s="204"/>
      <c r="H91" s="204"/>
      <c r="I91" s="204"/>
      <c r="J91" s="204"/>
      <c r="K91" s="204"/>
      <c r="L91" s="204"/>
      <c r="M91" s="204"/>
      <c r="N91" s="204"/>
      <c r="O91" s="204"/>
      <c r="P91" s="204"/>
      <c r="Q91" s="204"/>
      <c r="R91" s="204"/>
      <c r="S91" s="205"/>
    </row>
    <row r="92" spans="1:19" ht="113.25" customHeight="1" x14ac:dyDescent="0.15">
      <c r="B92" s="178"/>
      <c r="C92" s="28" t="s">
        <v>72</v>
      </c>
      <c r="D92" s="226" t="s">
        <v>219</v>
      </c>
      <c r="E92" s="227"/>
      <c r="F92" s="227"/>
      <c r="G92" s="227"/>
      <c r="H92" s="227"/>
      <c r="I92" s="227"/>
      <c r="J92" s="227"/>
      <c r="K92" s="227"/>
      <c r="L92" s="227"/>
      <c r="M92" s="227"/>
      <c r="N92" s="227"/>
      <c r="O92" s="227"/>
      <c r="P92" s="227"/>
      <c r="Q92" s="227"/>
      <c r="R92" s="227"/>
      <c r="S92" s="228"/>
    </row>
    <row r="93" spans="1:19" ht="97.5" customHeight="1" x14ac:dyDescent="0.15">
      <c r="B93" s="177" t="s">
        <v>63</v>
      </c>
      <c r="C93" s="27" t="s">
        <v>73</v>
      </c>
      <c r="D93" s="220" t="s">
        <v>230</v>
      </c>
      <c r="E93" s="204"/>
      <c r="F93" s="204"/>
      <c r="G93" s="204"/>
      <c r="H93" s="204"/>
      <c r="I93" s="204"/>
      <c r="J93" s="204"/>
      <c r="K93" s="204"/>
      <c r="L93" s="204"/>
      <c r="M93" s="204"/>
      <c r="N93" s="204"/>
      <c r="O93" s="204"/>
      <c r="P93" s="204"/>
      <c r="Q93" s="204"/>
      <c r="R93" s="204"/>
      <c r="S93" s="205"/>
    </row>
    <row r="94" spans="1:19" ht="120" customHeight="1" x14ac:dyDescent="0.15">
      <c r="B94" s="178"/>
      <c r="C94" s="29" t="s">
        <v>74</v>
      </c>
      <c r="D94" s="221" t="s">
        <v>220</v>
      </c>
      <c r="E94" s="222"/>
      <c r="F94" s="222"/>
      <c r="G94" s="222"/>
      <c r="H94" s="222"/>
      <c r="I94" s="222"/>
      <c r="J94" s="222"/>
      <c r="K94" s="222"/>
      <c r="L94" s="222"/>
      <c r="M94" s="222"/>
      <c r="N94" s="222"/>
      <c r="O94" s="222"/>
      <c r="P94" s="222"/>
      <c r="Q94" s="222"/>
      <c r="R94" s="222"/>
      <c r="S94" s="223"/>
    </row>
    <row r="95" spans="1:19" ht="146.25" customHeight="1" x14ac:dyDescent="0.15">
      <c r="B95" s="177" t="s">
        <v>78</v>
      </c>
      <c r="C95" s="25" t="s">
        <v>58</v>
      </c>
      <c r="D95" s="208" t="s">
        <v>226</v>
      </c>
      <c r="E95" s="224"/>
      <c r="F95" s="224"/>
      <c r="G95" s="224"/>
      <c r="H95" s="224"/>
      <c r="I95" s="224"/>
      <c r="J95" s="224"/>
      <c r="K95" s="224"/>
      <c r="L95" s="224"/>
      <c r="M95" s="224"/>
      <c r="N95" s="224"/>
      <c r="O95" s="224"/>
      <c r="P95" s="224"/>
      <c r="Q95" s="224"/>
      <c r="R95" s="224"/>
      <c r="S95" s="225"/>
    </row>
    <row r="96" spans="1:19" ht="130.5" customHeight="1" x14ac:dyDescent="0.15">
      <c r="B96" s="178"/>
      <c r="C96" s="28" t="s">
        <v>60</v>
      </c>
      <c r="D96" s="226" t="s">
        <v>227</v>
      </c>
      <c r="E96" s="227"/>
      <c r="F96" s="227"/>
      <c r="G96" s="227"/>
      <c r="H96" s="227"/>
      <c r="I96" s="227"/>
      <c r="J96" s="227"/>
      <c r="K96" s="227"/>
      <c r="L96" s="227"/>
      <c r="M96" s="227"/>
      <c r="N96" s="227"/>
      <c r="O96" s="227"/>
      <c r="P96" s="227"/>
      <c r="Q96" s="227"/>
      <c r="R96" s="227"/>
      <c r="S96" s="228"/>
    </row>
    <row r="97" spans="1:19" ht="97.5" customHeight="1" x14ac:dyDescent="0.15">
      <c r="B97" s="177" t="s">
        <v>79</v>
      </c>
      <c r="C97" s="27" t="s">
        <v>57</v>
      </c>
      <c r="D97" s="215" t="s">
        <v>221</v>
      </c>
      <c r="E97" s="181"/>
      <c r="F97" s="181"/>
      <c r="G97" s="181"/>
      <c r="H97" s="181"/>
      <c r="I97" s="181"/>
      <c r="J97" s="181"/>
      <c r="K97" s="181"/>
      <c r="L97" s="181"/>
      <c r="M97" s="181"/>
      <c r="N97" s="181"/>
      <c r="O97" s="181"/>
      <c r="P97" s="181"/>
      <c r="Q97" s="181"/>
      <c r="R97" s="181"/>
      <c r="S97" s="182"/>
    </row>
    <row r="98" spans="1:19" ht="97.5" customHeight="1" x14ac:dyDescent="0.15">
      <c r="B98" s="179"/>
      <c r="C98" s="30" t="s">
        <v>75</v>
      </c>
      <c r="D98" s="216" t="s">
        <v>228</v>
      </c>
      <c r="E98" s="107"/>
      <c r="F98" s="107"/>
      <c r="G98" s="107"/>
      <c r="H98" s="107"/>
      <c r="I98" s="107"/>
      <c r="J98" s="107"/>
      <c r="K98" s="107"/>
      <c r="L98" s="107"/>
      <c r="M98" s="107"/>
      <c r="N98" s="107"/>
      <c r="O98" s="107"/>
      <c r="P98" s="107"/>
      <c r="Q98" s="107"/>
      <c r="R98" s="107"/>
      <c r="S98" s="108"/>
    </row>
    <row r="99" spans="1:19" ht="154.15" customHeight="1" x14ac:dyDescent="0.15">
      <c r="B99" s="178"/>
      <c r="C99" s="29" t="s">
        <v>76</v>
      </c>
      <c r="D99" s="217" t="s">
        <v>222</v>
      </c>
      <c r="E99" s="218"/>
      <c r="F99" s="218"/>
      <c r="G99" s="218"/>
      <c r="H99" s="218"/>
      <c r="I99" s="218"/>
      <c r="J99" s="218"/>
      <c r="K99" s="218"/>
      <c r="L99" s="218"/>
      <c r="M99" s="218"/>
      <c r="N99" s="218"/>
      <c r="O99" s="218"/>
      <c r="P99" s="218"/>
      <c r="Q99" s="218"/>
      <c r="R99" s="218"/>
      <c r="S99" s="219"/>
    </row>
    <row r="100" spans="1:19" ht="6" customHeight="1" x14ac:dyDescent="0.15"/>
    <row r="101" spans="1:19" ht="18.75" customHeight="1" x14ac:dyDescent="0.15">
      <c r="A101" s="81" t="s">
        <v>120</v>
      </c>
    </row>
    <row r="102" spans="1:19" ht="81.75" customHeight="1" x14ac:dyDescent="0.15">
      <c r="B102" s="148" t="s">
        <v>148</v>
      </c>
      <c r="C102" s="149"/>
      <c r="D102" s="149"/>
      <c r="E102" s="149"/>
      <c r="F102" s="149"/>
      <c r="G102" s="149"/>
      <c r="H102" s="149"/>
      <c r="I102" s="149"/>
      <c r="J102" s="149"/>
      <c r="K102" s="149"/>
      <c r="L102" s="149"/>
      <c r="M102" s="149"/>
      <c r="N102" s="149"/>
      <c r="O102" s="149"/>
      <c r="P102" s="149"/>
      <c r="Q102" s="149"/>
      <c r="R102" s="149"/>
      <c r="S102" s="150"/>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P69:S75 Q25:S31 G25:I31 Q36:S42 G36:I42 Q47:S53 G47:I53 Q58:S64 G58:I64 F69:I75" xr:uid="{5B02AAFC-9229-44DE-B704-33B72986A3AB}">
      <formula1>"○"</formula1>
    </dataValidation>
    <dataValidation type="list" allowBlank="1" showInputMessage="1" showErrorMessage="1" sqref="S32 S43 D32:G32 D43:G43" xr:uid="{D7C7D25A-C275-4E4B-AF1C-9D64A3F1A849}">
      <formula1>"全学開講,一部開講"</formula1>
    </dataValidation>
    <dataValidation type="list" allowBlank="1" showInputMessage="1" showErrorMessage="1" sqref="K7 K12" xr:uid="{203FC046-B3B3-4DF4-9390-E60DDF6D78E1}">
      <formula1>"学部・学科によって、修了要件は相違する,学部・学科によって、修了要件は相違しない"</formula1>
    </dataValidation>
    <dataValidation type="list" allowBlank="1" showInputMessage="1" showErrorMessage="1" sqref="F79:F86 P79:P86 G79:I80 G83:I86 Q83:S86 Q79:S80" xr:uid="{664AD93B-4023-4E48-9656-3DC96313C7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C66ABC77-136D-4F85-842F-39C8D0FFE094}">
      <formula1>$V$14:$V$16</formula1>
    </dataValidation>
  </dataValidations>
  <printOptions horizontalCentered="1"/>
  <pageMargins left="0.78740157480314965" right="0.78740157480314965" top="0.78740157480314965" bottom="7.874015748031496E-2"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622B7-2D91-4F45-BA43-3BD5AB02693F}">
  <sheetPr>
    <pageSetUpPr fitToPage="1"/>
  </sheetPr>
  <dimension ref="A1:V110"/>
  <sheetViews>
    <sheetView showZeros="0" view="pageBreakPreview" topLeftCell="A94" zoomScale="85" zoomScaleNormal="100" zoomScaleSheetLayoutView="85" workbookViewId="0">
      <selection activeCell="H62" sqref="H62"/>
    </sheetView>
  </sheetViews>
  <sheetFormatPr defaultColWidth="9" defaultRowHeight="18.75" customHeight="1" x14ac:dyDescent="0.15"/>
  <cols>
    <col min="1" max="1" width="2.5" style="81" customWidth="1"/>
    <col min="2" max="2" width="16.5" style="81" customWidth="1"/>
    <col min="3" max="19" width="5.625" style="81" customWidth="1"/>
    <col min="20" max="20" width="9" style="81"/>
    <col min="21" max="21" width="3.625" style="81" customWidth="1"/>
    <col min="22" max="22" width="48.625" style="81" hidden="1" customWidth="1"/>
    <col min="23" max="16384" width="9" style="81"/>
  </cols>
  <sheetData>
    <row r="1" spans="1:22" ht="18.600000000000001" customHeight="1" x14ac:dyDescent="0.15">
      <c r="R1" s="128" t="s">
        <v>130</v>
      </c>
      <c r="S1" s="128"/>
      <c r="T1" s="2" t="s">
        <v>109</v>
      </c>
    </row>
    <row r="2" spans="1:22" ht="18.75" customHeight="1" x14ac:dyDescent="0.15">
      <c r="B2" s="79" t="s">
        <v>108</v>
      </c>
      <c r="C2" s="110" t="s">
        <v>126</v>
      </c>
      <c r="D2" s="112"/>
      <c r="E2" s="112"/>
      <c r="F2" s="112"/>
      <c r="G2" s="112"/>
      <c r="H2" s="112"/>
      <c r="I2" s="111"/>
      <c r="J2" s="78"/>
      <c r="K2" s="6"/>
      <c r="L2" s="6"/>
      <c r="M2" s="6"/>
      <c r="N2" s="6"/>
      <c r="O2" s="6"/>
      <c r="P2" s="6"/>
      <c r="Q2" s="6"/>
      <c r="R2" s="6"/>
      <c r="S2" s="6"/>
    </row>
    <row r="3" spans="1:22" ht="18.75" customHeight="1" x14ac:dyDescent="0.15">
      <c r="B3" s="79" t="s">
        <v>102</v>
      </c>
      <c r="C3" s="110" t="s">
        <v>127</v>
      </c>
      <c r="D3" s="112"/>
      <c r="E3" s="112"/>
      <c r="F3" s="112"/>
      <c r="G3" s="112"/>
      <c r="H3" s="112"/>
      <c r="I3" s="111"/>
      <c r="J3" s="78"/>
      <c r="K3" s="6"/>
      <c r="L3" s="6"/>
      <c r="M3" s="6"/>
      <c r="N3" s="6"/>
      <c r="O3" s="6"/>
      <c r="P3" s="6"/>
      <c r="Q3" s="6"/>
      <c r="R3" s="6"/>
      <c r="S3" s="6"/>
    </row>
    <row r="4" spans="1:22" ht="15" customHeight="1" x14ac:dyDescent="0.15">
      <c r="K4" s="78"/>
      <c r="L4" s="33"/>
      <c r="M4" s="33"/>
      <c r="N4" s="33"/>
      <c r="O4" s="33"/>
      <c r="P4" s="33"/>
      <c r="Q4" s="33"/>
      <c r="R4" s="33"/>
      <c r="S4" s="33"/>
    </row>
    <row r="5" spans="1:22" ht="18" customHeight="1" x14ac:dyDescent="0.15">
      <c r="A5" s="135" t="s">
        <v>38</v>
      </c>
      <c r="B5" s="135"/>
      <c r="C5" s="135"/>
      <c r="D5" s="135"/>
      <c r="E5" s="135"/>
      <c r="F5" s="135"/>
      <c r="G5" s="135"/>
      <c r="H5" s="135"/>
      <c r="I5" s="135"/>
      <c r="J5" s="135"/>
      <c r="K5" s="135"/>
      <c r="L5" s="135"/>
      <c r="M5" s="135"/>
      <c r="N5" s="135"/>
      <c r="O5" s="135"/>
      <c r="P5" s="135"/>
      <c r="Q5" s="135"/>
      <c r="R5" s="135"/>
      <c r="S5" s="135"/>
    </row>
    <row r="6" spans="1:22" ht="15" customHeight="1" x14ac:dyDescent="0.15">
      <c r="B6" s="82"/>
      <c r="C6" s="82"/>
      <c r="D6" s="82"/>
      <c r="E6" s="82"/>
      <c r="F6" s="82"/>
      <c r="G6" s="82"/>
      <c r="H6" s="82"/>
      <c r="I6" s="82"/>
      <c r="J6" s="82"/>
      <c r="K6" s="82"/>
      <c r="L6" s="82"/>
      <c r="M6" s="82"/>
      <c r="N6" s="82"/>
      <c r="O6" s="82"/>
      <c r="P6" s="82"/>
      <c r="Q6" s="82"/>
      <c r="R6" s="82"/>
      <c r="S6" s="82"/>
    </row>
    <row r="7" spans="1:22" ht="18" customHeight="1" x14ac:dyDescent="0.15">
      <c r="A7" s="81" t="s">
        <v>124</v>
      </c>
      <c r="C7" s="82"/>
      <c r="J7" s="34" t="s">
        <v>107</v>
      </c>
      <c r="K7" s="145" t="s">
        <v>131</v>
      </c>
      <c r="L7" s="146"/>
      <c r="M7" s="146"/>
      <c r="N7" s="146"/>
      <c r="O7" s="146"/>
      <c r="P7" s="146"/>
      <c r="Q7" s="146"/>
      <c r="R7" s="146"/>
      <c r="S7" s="147"/>
    </row>
    <row r="8" spans="1:22" ht="6" customHeight="1" x14ac:dyDescent="0.15">
      <c r="B8" s="82"/>
      <c r="C8" s="82"/>
      <c r="D8" s="82"/>
      <c r="E8" s="82"/>
      <c r="F8" s="82"/>
      <c r="G8" s="82"/>
      <c r="H8" s="82"/>
      <c r="I8" s="82"/>
      <c r="J8" s="82"/>
      <c r="K8" s="9"/>
      <c r="L8" s="82"/>
      <c r="M8" s="82"/>
      <c r="N8" s="82"/>
      <c r="O8" s="82"/>
      <c r="P8" s="82"/>
      <c r="Q8" s="82"/>
      <c r="R8" s="82"/>
      <c r="S8" s="82"/>
    </row>
    <row r="9" spans="1:22" ht="18" customHeight="1" x14ac:dyDescent="0.15">
      <c r="B9" s="100" t="s">
        <v>151</v>
      </c>
      <c r="C9" s="101"/>
      <c r="D9" s="101"/>
      <c r="E9" s="101"/>
      <c r="F9" s="101"/>
      <c r="G9" s="101"/>
      <c r="H9" s="101"/>
      <c r="I9" s="101"/>
      <c r="J9" s="101"/>
      <c r="K9" s="101"/>
      <c r="L9" s="101"/>
      <c r="M9" s="101"/>
      <c r="N9" s="101"/>
      <c r="O9" s="101"/>
      <c r="P9" s="101"/>
      <c r="Q9" s="101"/>
      <c r="R9" s="101"/>
      <c r="S9" s="102"/>
    </row>
    <row r="10" spans="1:22" ht="18" customHeight="1" x14ac:dyDescent="0.15">
      <c r="B10" s="103"/>
      <c r="C10" s="104"/>
      <c r="D10" s="104"/>
      <c r="E10" s="104"/>
      <c r="F10" s="104"/>
      <c r="G10" s="104"/>
      <c r="H10" s="104"/>
      <c r="I10" s="104"/>
      <c r="J10" s="104"/>
      <c r="K10" s="104"/>
      <c r="L10" s="104"/>
      <c r="M10" s="104"/>
      <c r="N10" s="104"/>
      <c r="O10" s="104"/>
      <c r="P10" s="104"/>
      <c r="Q10" s="104"/>
      <c r="R10" s="104"/>
      <c r="S10" s="105"/>
    </row>
    <row r="11" spans="1:22" ht="6" customHeight="1" x14ac:dyDescent="0.15">
      <c r="B11" s="82"/>
      <c r="C11" s="82"/>
      <c r="D11" s="82"/>
      <c r="E11" s="82"/>
      <c r="F11" s="82"/>
      <c r="G11" s="82"/>
      <c r="H11" s="82"/>
      <c r="I11" s="82"/>
      <c r="J11" s="82"/>
      <c r="K11" s="9"/>
      <c r="L11" s="82"/>
      <c r="M11" s="82"/>
      <c r="N11" s="82"/>
      <c r="O11" s="82"/>
      <c r="P11" s="82"/>
      <c r="Q11" s="82"/>
      <c r="R11" s="82"/>
      <c r="S11" s="82"/>
    </row>
    <row r="12" spans="1:22" ht="18" customHeight="1" x14ac:dyDescent="0.15">
      <c r="A12" s="81" t="s">
        <v>111</v>
      </c>
      <c r="B12" s="82"/>
      <c r="C12" s="82"/>
      <c r="D12" s="78"/>
      <c r="E12" s="78"/>
      <c r="F12" s="78"/>
      <c r="G12" s="78"/>
      <c r="H12" s="78"/>
      <c r="I12" s="78"/>
      <c r="J12" s="78"/>
      <c r="K12" s="35"/>
      <c r="L12" s="35"/>
      <c r="M12" s="35"/>
      <c r="N12" s="35"/>
      <c r="O12" s="35"/>
      <c r="P12" s="35"/>
      <c r="Q12" s="35"/>
      <c r="R12" s="35"/>
      <c r="S12" s="35"/>
    </row>
    <row r="13" spans="1:22" ht="18" customHeight="1" x14ac:dyDescent="0.15">
      <c r="B13" s="136" t="s">
        <v>152</v>
      </c>
      <c r="C13" s="137"/>
      <c r="D13" s="137"/>
      <c r="E13" s="137"/>
      <c r="F13" s="137"/>
      <c r="G13" s="137"/>
      <c r="H13" s="137"/>
      <c r="I13" s="137"/>
      <c r="J13" s="137"/>
      <c r="K13" s="137"/>
      <c r="L13" s="137"/>
      <c r="M13" s="137"/>
      <c r="N13" s="137"/>
      <c r="O13" s="137"/>
      <c r="P13" s="137"/>
      <c r="Q13" s="137"/>
      <c r="R13" s="137"/>
      <c r="S13" s="138"/>
      <c r="V13" s="81" t="s">
        <v>103</v>
      </c>
    </row>
    <row r="14" spans="1:22" ht="18" customHeight="1" x14ac:dyDescent="0.15">
      <c r="B14" s="139"/>
      <c r="C14" s="140"/>
      <c r="D14" s="140"/>
      <c r="E14" s="140"/>
      <c r="F14" s="140"/>
      <c r="G14" s="140"/>
      <c r="H14" s="140"/>
      <c r="I14" s="140"/>
      <c r="J14" s="140"/>
      <c r="K14" s="140"/>
      <c r="L14" s="140"/>
      <c r="M14" s="140"/>
      <c r="N14" s="140"/>
      <c r="O14" s="140"/>
      <c r="P14" s="140"/>
      <c r="Q14" s="140"/>
      <c r="R14" s="140"/>
      <c r="S14" s="141"/>
      <c r="V14" s="81" t="s">
        <v>110</v>
      </c>
    </row>
    <row r="15" spans="1:22" ht="18" customHeight="1" x14ac:dyDescent="0.15">
      <c r="B15" s="139"/>
      <c r="C15" s="140"/>
      <c r="D15" s="140"/>
      <c r="E15" s="140"/>
      <c r="F15" s="140"/>
      <c r="G15" s="140"/>
      <c r="H15" s="140"/>
      <c r="I15" s="140"/>
      <c r="J15" s="140"/>
      <c r="K15" s="140"/>
      <c r="L15" s="140"/>
      <c r="M15" s="140"/>
      <c r="N15" s="140"/>
      <c r="O15" s="140"/>
      <c r="P15" s="140"/>
      <c r="Q15" s="140"/>
      <c r="R15" s="140"/>
      <c r="S15" s="141"/>
      <c r="V15" s="81" t="s">
        <v>123</v>
      </c>
    </row>
    <row r="16" spans="1:22" ht="18" customHeight="1" x14ac:dyDescent="0.15">
      <c r="B16" s="139"/>
      <c r="C16" s="140"/>
      <c r="D16" s="140"/>
      <c r="E16" s="140"/>
      <c r="F16" s="140"/>
      <c r="G16" s="140"/>
      <c r="H16" s="140"/>
      <c r="I16" s="140"/>
      <c r="J16" s="140"/>
      <c r="K16" s="140"/>
      <c r="L16" s="140"/>
      <c r="M16" s="140"/>
      <c r="N16" s="140"/>
      <c r="O16" s="140"/>
      <c r="P16" s="140"/>
      <c r="Q16" s="140"/>
      <c r="R16" s="140"/>
      <c r="S16" s="141"/>
      <c r="V16" s="81" t="s">
        <v>125</v>
      </c>
    </row>
    <row r="17" spans="1:19" ht="18" customHeight="1" x14ac:dyDescent="0.15">
      <c r="B17" s="139"/>
      <c r="C17" s="140"/>
      <c r="D17" s="140"/>
      <c r="E17" s="140"/>
      <c r="F17" s="140"/>
      <c r="G17" s="140"/>
      <c r="H17" s="140"/>
      <c r="I17" s="140"/>
      <c r="J17" s="140"/>
      <c r="K17" s="140"/>
      <c r="L17" s="140"/>
      <c r="M17" s="140"/>
      <c r="N17" s="140"/>
      <c r="O17" s="140"/>
      <c r="P17" s="140"/>
      <c r="Q17" s="140"/>
      <c r="R17" s="140"/>
      <c r="S17" s="141"/>
    </row>
    <row r="18" spans="1:19" ht="18" customHeight="1" x14ac:dyDescent="0.15">
      <c r="B18" s="142"/>
      <c r="C18" s="143"/>
      <c r="D18" s="143"/>
      <c r="E18" s="143"/>
      <c r="F18" s="143"/>
      <c r="G18" s="143"/>
      <c r="H18" s="143"/>
      <c r="I18" s="143"/>
      <c r="J18" s="143"/>
      <c r="K18" s="143"/>
      <c r="L18" s="143"/>
      <c r="M18" s="143"/>
      <c r="N18" s="143"/>
      <c r="O18" s="143"/>
      <c r="P18" s="143"/>
      <c r="Q18" s="143"/>
      <c r="R18" s="143"/>
      <c r="S18" s="144"/>
    </row>
    <row r="19" spans="1:19" ht="7.5" customHeight="1" x14ac:dyDescent="0.15">
      <c r="B19" s="82"/>
      <c r="C19" s="82"/>
      <c r="D19" s="82"/>
      <c r="E19" s="82"/>
      <c r="F19" s="82"/>
      <c r="G19" s="82"/>
      <c r="H19" s="82"/>
      <c r="I19" s="82"/>
      <c r="J19" s="82"/>
      <c r="K19" s="82"/>
      <c r="L19" s="82"/>
      <c r="M19" s="82"/>
      <c r="N19" s="82"/>
      <c r="O19" s="82"/>
      <c r="P19" s="82"/>
      <c r="Q19" s="82"/>
      <c r="R19" s="82"/>
      <c r="S19" s="82"/>
    </row>
    <row r="20" spans="1:19" ht="19.899999999999999" customHeight="1" x14ac:dyDescent="0.15">
      <c r="B20" s="81" t="s">
        <v>112</v>
      </c>
      <c r="C20" s="110">
        <v>6</v>
      </c>
      <c r="D20" s="111"/>
      <c r="E20" s="36" t="s">
        <v>95</v>
      </c>
      <c r="G20" s="9"/>
      <c r="H20" s="82"/>
      <c r="I20" s="82"/>
      <c r="J20" s="78" t="s">
        <v>121</v>
      </c>
      <c r="K20" s="132" t="s">
        <v>125</v>
      </c>
      <c r="L20" s="133"/>
      <c r="M20" s="133"/>
      <c r="N20" s="133"/>
      <c r="O20" s="133"/>
      <c r="P20" s="133"/>
      <c r="Q20" s="133"/>
      <c r="R20" s="133"/>
      <c r="S20" s="134"/>
    </row>
    <row r="21" spans="1:19" ht="7.5" customHeight="1" x14ac:dyDescent="0.15">
      <c r="B21" s="82"/>
      <c r="C21" s="82"/>
      <c r="D21" s="82"/>
      <c r="E21" s="82"/>
      <c r="F21" s="82"/>
      <c r="G21" s="82"/>
      <c r="H21" s="82"/>
      <c r="I21" s="82"/>
      <c r="J21" s="82"/>
      <c r="K21" s="82"/>
      <c r="L21" s="82"/>
      <c r="M21" s="82"/>
      <c r="N21" s="82"/>
      <c r="O21" s="82"/>
      <c r="P21" s="82"/>
      <c r="Q21" s="82"/>
      <c r="R21" s="82"/>
      <c r="S21" s="82"/>
    </row>
    <row r="22" spans="1:19" ht="18" customHeight="1" x14ac:dyDescent="0.15">
      <c r="A22" s="109" t="s">
        <v>113</v>
      </c>
      <c r="B22" s="109"/>
      <c r="C22" s="109"/>
      <c r="D22" s="109"/>
      <c r="E22" s="109"/>
      <c r="F22" s="109"/>
      <c r="G22" s="109"/>
      <c r="H22" s="109"/>
      <c r="I22" s="109"/>
      <c r="J22" s="109"/>
      <c r="K22" s="109"/>
      <c r="L22" s="109"/>
      <c r="M22" s="109"/>
      <c r="N22" s="109"/>
      <c r="O22" s="109"/>
      <c r="P22" s="109"/>
      <c r="Q22" s="109"/>
      <c r="R22" s="109"/>
      <c r="S22" s="109"/>
    </row>
    <row r="23" spans="1:19" ht="18" customHeight="1" x14ac:dyDescent="0.15">
      <c r="A23" s="109"/>
      <c r="B23" s="109"/>
      <c r="C23" s="109"/>
      <c r="D23" s="109"/>
      <c r="E23" s="109"/>
      <c r="F23" s="109"/>
      <c r="G23" s="109"/>
      <c r="H23" s="109"/>
      <c r="I23" s="109"/>
      <c r="J23" s="109"/>
      <c r="K23" s="109"/>
      <c r="L23" s="109"/>
      <c r="M23" s="109"/>
      <c r="N23" s="109"/>
      <c r="O23" s="109"/>
      <c r="P23" s="109"/>
      <c r="Q23" s="109"/>
      <c r="R23" s="109"/>
      <c r="S23" s="109"/>
    </row>
    <row r="24" spans="1:19" ht="18" customHeight="1" x14ac:dyDescent="0.15">
      <c r="B24" s="110" t="s">
        <v>53</v>
      </c>
      <c r="C24" s="112"/>
      <c r="D24" s="112"/>
      <c r="E24" s="111"/>
      <c r="F24" s="57" t="s">
        <v>80</v>
      </c>
      <c r="G24" s="56" t="s">
        <v>84</v>
      </c>
      <c r="H24" s="19" t="s">
        <v>56</v>
      </c>
      <c r="I24" s="19" t="s">
        <v>59</v>
      </c>
      <c r="J24" s="110" t="s">
        <v>53</v>
      </c>
      <c r="K24" s="112"/>
      <c r="L24" s="112"/>
      <c r="M24" s="112"/>
      <c r="N24" s="112"/>
      <c r="O24" s="111"/>
      <c r="P24" s="57" t="s">
        <v>80</v>
      </c>
      <c r="Q24" s="56" t="s">
        <v>84</v>
      </c>
      <c r="R24" s="19" t="s">
        <v>56</v>
      </c>
      <c r="S24" s="19" t="s">
        <v>59</v>
      </c>
    </row>
    <row r="25" spans="1:19" ht="18" customHeight="1" x14ac:dyDescent="0.15">
      <c r="B25" s="175" t="s">
        <v>153</v>
      </c>
      <c r="C25" s="176"/>
      <c r="D25" s="176"/>
      <c r="E25" s="214"/>
      <c r="F25" s="20">
        <v>2</v>
      </c>
      <c r="G25" s="20" t="s">
        <v>134</v>
      </c>
      <c r="H25" s="20" t="s">
        <v>134</v>
      </c>
      <c r="I25" s="20" t="s">
        <v>134</v>
      </c>
      <c r="J25" s="180"/>
      <c r="K25" s="181"/>
      <c r="L25" s="181"/>
      <c r="M25" s="181"/>
      <c r="N25" s="181"/>
      <c r="O25" s="182"/>
      <c r="P25" s="20"/>
      <c r="Q25" s="20"/>
      <c r="R25" s="20"/>
      <c r="S25" s="20"/>
    </row>
    <row r="26" spans="1:19" ht="18" customHeight="1" x14ac:dyDescent="0.15">
      <c r="B26" s="243" t="s">
        <v>154</v>
      </c>
      <c r="C26" s="244"/>
      <c r="D26" s="244"/>
      <c r="E26" s="245"/>
      <c r="F26" s="21">
        <v>2</v>
      </c>
      <c r="G26" s="21"/>
      <c r="H26" s="21" t="s">
        <v>134</v>
      </c>
      <c r="I26" s="21"/>
      <c r="J26" s="106"/>
      <c r="K26" s="107"/>
      <c r="L26" s="107"/>
      <c r="M26" s="107"/>
      <c r="N26" s="107"/>
      <c r="O26" s="108"/>
      <c r="P26" s="21"/>
      <c r="Q26" s="21"/>
      <c r="R26" s="21"/>
      <c r="S26" s="21"/>
    </row>
    <row r="27" spans="1:19" ht="18" customHeight="1" x14ac:dyDescent="0.15">
      <c r="B27" s="106"/>
      <c r="C27" s="107"/>
      <c r="D27" s="107"/>
      <c r="E27" s="108"/>
      <c r="F27" s="21"/>
      <c r="G27" s="21"/>
      <c r="H27" s="21"/>
      <c r="I27" s="21"/>
      <c r="J27" s="106"/>
      <c r="K27" s="107"/>
      <c r="L27" s="107"/>
      <c r="M27" s="107"/>
      <c r="N27" s="107"/>
      <c r="O27" s="108"/>
      <c r="P27" s="21"/>
      <c r="Q27" s="21"/>
      <c r="R27" s="21"/>
      <c r="S27" s="21"/>
    </row>
    <row r="28" spans="1:19" ht="18" customHeight="1" x14ac:dyDescent="0.15">
      <c r="B28" s="106"/>
      <c r="C28" s="107"/>
      <c r="D28" s="107"/>
      <c r="E28" s="108"/>
      <c r="F28" s="21"/>
      <c r="G28" s="21"/>
      <c r="H28" s="21"/>
      <c r="I28" s="21"/>
      <c r="J28" s="106"/>
      <c r="K28" s="107"/>
      <c r="L28" s="107"/>
      <c r="M28" s="107"/>
      <c r="N28" s="107"/>
      <c r="O28" s="108"/>
      <c r="P28" s="21"/>
      <c r="Q28" s="21"/>
      <c r="R28" s="21"/>
      <c r="S28" s="21"/>
    </row>
    <row r="29" spans="1:19" ht="18" customHeight="1" x14ac:dyDescent="0.15">
      <c r="B29" s="106"/>
      <c r="C29" s="107"/>
      <c r="D29" s="107"/>
      <c r="E29" s="108"/>
      <c r="F29" s="21"/>
      <c r="G29" s="21"/>
      <c r="H29" s="21"/>
      <c r="I29" s="21"/>
      <c r="J29" s="106"/>
      <c r="K29" s="107"/>
      <c r="L29" s="107"/>
      <c r="M29" s="107"/>
      <c r="N29" s="107"/>
      <c r="O29" s="108"/>
      <c r="P29" s="21"/>
      <c r="Q29" s="21"/>
      <c r="R29" s="21"/>
      <c r="S29" s="21"/>
    </row>
    <row r="30" spans="1:19" ht="18" customHeight="1" x14ac:dyDescent="0.15">
      <c r="A30" s="82"/>
      <c r="B30" s="106"/>
      <c r="C30" s="107"/>
      <c r="D30" s="107"/>
      <c r="E30" s="108"/>
      <c r="F30" s="21"/>
      <c r="G30" s="21"/>
      <c r="H30" s="21"/>
      <c r="I30" s="21"/>
      <c r="J30" s="106"/>
      <c r="K30" s="107"/>
      <c r="L30" s="107"/>
      <c r="M30" s="107"/>
      <c r="N30" s="107"/>
      <c r="O30" s="108"/>
      <c r="P30" s="21"/>
      <c r="Q30" s="21"/>
      <c r="R30" s="21"/>
      <c r="S30" s="21"/>
    </row>
    <row r="31" spans="1:19" ht="18" customHeight="1" x14ac:dyDescent="0.15">
      <c r="A31" s="82"/>
      <c r="B31" s="163"/>
      <c r="C31" s="164"/>
      <c r="D31" s="164"/>
      <c r="E31" s="165"/>
      <c r="F31" s="22"/>
      <c r="G31" s="22"/>
      <c r="H31" s="23"/>
      <c r="I31" s="23"/>
      <c r="J31" s="163"/>
      <c r="K31" s="164"/>
      <c r="L31" s="164"/>
      <c r="M31" s="164"/>
      <c r="N31" s="164"/>
      <c r="O31" s="165"/>
      <c r="P31" s="22"/>
      <c r="Q31" s="22"/>
      <c r="R31" s="23"/>
      <c r="S31" s="23"/>
    </row>
    <row r="32" spans="1:19" ht="7.5" customHeight="1" x14ac:dyDescent="0.15">
      <c r="A32" s="82"/>
      <c r="B32" s="6"/>
      <c r="C32" s="6"/>
      <c r="D32" s="82"/>
      <c r="E32" s="82"/>
      <c r="F32" s="82"/>
      <c r="G32" s="82"/>
      <c r="H32" s="6"/>
      <c r="I32" s="6"/>
      <c r="J32" s="6"/>
      <c r="K32" s="6"/>
      <c r="L32" s="6"/>
      <c r="M32" s="6"/>
      <c r="N32" s="6"/>
      <c r="O32" s="6"/>
      <c r="P32" s="6"/>
      <c r="Q32" s="6"/>
      <c r="R32" s="6"/>
      <c r="S32" s="82"/>
    </row>
    <row r="33" spans="1:19" ht="18" customHeight="1" x14ac:dyDescent="0.15">
      <c r="A33" s="109" t="s">
        <v>114</v>
      </c>
      <c r="B33" s="109"/>
      <c r="C33" s="109"/>
      <c r="D33" s="109"/>
      <c r="E33" s="109"/>
      <c r="F33" s="109"/>
      <c r="G33" s="109"/>
      <c r="H33" s="109"/>
      <c r="I33" s="109"/>
      <c r="J33" s="109"/>
      <c r="K33" s="109"/>
      <c r="L33" s="109"/>
      <c r="M33" s="109"/>
      <c r="N33" s="109"/>
      <c r="O33" s="109"/>
      <c r="P33" s="109"/>
      <c r="Q33" s="109"/>
      <c r="R33" s="109"/>
      <c r="S33" s="109"/>
    </row>
    <row r="34" spans="1:19" ht="18" customHeight="1" x14ac:dyDescent="0.15">
      <c r="A34" s="109"/>
      <c r="B34" s="109"/>
      <c r="C34" s="109"/>
      <c r="D34" s="109"/>
      <c r="E34" s="109"/>
      <c r="F34" s="109"/>
      <c r="G34" s="109"/>
      <c r="H34" s="109"/>
      <c r="I34" s="109"/>
      <c r="J34" s="109"/>
      <c r="K34" s="109"/>
      <c r="L34" s="109"/>
      <c r="M34" s="109"/>
      <c r="N34" s="109"/>
      <c r="O34" s="109"/>
      <c r="P34" s="109"/>
      <c r="Q34" s="109"/>
      <c r="R34" s="109"/>
      <c r="S34" s="109"/>
    </row>
    <row r="35" spans="1:19" ht="18" customHeight="1" x14ac:dyDescent="0.15">
      <c r="B35" s="110" t="s">
        <v>53</v>
      </c>
      <c r="C35" s="112"/>
      <c r="D35" s="112"/>
      <c r="E35" s="111"/>
      <c r="F35" s="57" t="s">
        <v>80</v>
      </c>
      <c r="G35" s="56" t="s">
        <v>84</v>
      </c>
      <c r="H35" s="19" t="s">
        <v>71</v>
      </c>
      <c r="I35" s="19" t="s">
        <v>72</v>
      </c>
      <c r="J35" s="110" t="s">
        <v>53</v>
      </c>
      <c r="K35" s="112"/>
      <c r="L35" s="112"/>
      <c r="M35" s="112"/>
      <c r="N35" s="112"/>
      <c r="O35" s="111"/>
      <c r="P35" s="57" t="s">
        <v>80</v>
      </c>
      <c r="Q35" s="56" t="s">
        <v>84</v>
      </c>
      <c r="R35" s="19" t="s">
        <v>71</v>
      </c>
      <c r="S35" s="19" t="s">
        <v>72</v>
      </c>
    </row>
    <row r="36" spans="1:19" ht="18" customHeight="1" x14ac:dyDescent="0.15">
      <c r="B36" s="175" t="s">
        <v>155</v>
      </c>
      <c r="C36" s="176"/>
      <c r="D36" s="176"/>
      <c r="E36" s="214"/>
      <c r="F36" s="20">
        <v>2</v>
      </c>
      <c r="G36" s="20" t="s">
        <v>134</v>
      </c>
      <c r="H36" s="20" t="s">
        <v>134</v>
      </c>
      <c r="I36" s="20" t="s">
        <v>134</v>
      </c>
      <c r="J36" s="180"/>
      <c r="K36" s="181"/>
      <c r="L36" s="181"/>
      <c r="M36" s="181"/>
      <c r="N36" s="181"/>
      <c r="O36" s="182"/>
      <c r="P36" s="20"/>
      <c r="Q36" s="20"/>
      <c r="R36" s="20"/>
      <c r="S36" s="20"/>
    </row>
    <row r="37" spans="1:19" ht="18" customHeight="1" x14ac:dyDescent="0.15">
      <c r="B37" s="106"/>
      <c r="C37" s="107"/>
      <c r="D37" s="107"/>
      <c r="E37" s="108"/>
      <c r="F37" s="21"/>
      <c r="G37" s="21"/>
      <c r="H37" s="21"/>
      <c r="I37" s="21"/>
      <c r="J37" s="106"/>
      <c r="K37" s="107"/>
      <c r="L37" s="107"/>
      <c r="M37" s="107"/>
      <c r="N37" s="107"/>
      <c r="O37" s="108"/>
      <c r="P37" s="21"/>
      <c r="Q37" s="21"/>
      <c r="R37" s="21"/>
      <c r="S37" s="21"/>
    </row>
    <row r="38" spans="1:19" ht="18" customHeight="1" x14ac:dyDescent="0.15">
      <c r="B38" s="106"/>
      <c r="C38" s="107"/>
      <c r="D38" s="107"/>
      <c r="E38" s="108"/>
      <c r="F38" s="21"/>
      <c r="G38" s="21"/>
      <c r="H38" s="21"/>
      <c r="I38" s="21"/>
      <c r="J38" s="106"/>
      <c r="K38" s="107"/>
      <c r="L38" s="107"/>
      <c r="M38" s="107"/>
      <c r="N38" s="107"/>
      <c r="O38" s="108"/>
      <c r="P38" s="21"/>
      <c r="Q38" s="21"/>
      <c r="R38" s="21"/>
      <c r="S38" s="21"/>
    </row>
    <row r="39" spans="1:19" ht="18" customHeight="1" x14ac:dyDescent="0.15">
      <c r="B39" s="106"/>
      <c r="C39" s="107"/>
      <c r="D39" s="107"/>
      <c r="E39" s="108"/>
      <c r="F39" s="21"/>
      <c r="G39" s="21"/>
      <c r="H39" s="21"/>
      <c r="I39" s="21"/>
      <c r="J39" s="106"/>
      <c r="K39" s="107"/>
      <c r="L39" s="107"/>
      <c r="M39" s="107"/>
      <c r="N39" s="107"/>
      <c r="O39" s="108"/>
      <c r="P39" s="21"/>
      <c r="Q39" s="21"/>
      <c r="R39" s="21"/>
      <c r="S39" s="21"/>
    </row>
    <row r="40" spans="1:19" ht="18" customHeight="1" x14ac:dyDescent="0.15">
      <c r="B40" s="106"/>
      <c r="C40" s="107"/>
      <c r="D40" s="107"/>
      <c r="E40" s="108"/>
      <c r="F40" s="21"/>
      <c r="G40" s="21"/>
      <c r="H40" s="21"/>
      <c r="I40" s="21"/>
      <c r="J40" s="106"/>
      <c r="K40" s="107"/>
      <c r="L40" s="107"/>
      <c r="M40" s="107"/>
      <c r="N40" s="107"/>
      <c r="O40" s="108"/>
      <c r="P40" s="21"/>
      <c r="Q40" s="21"/>
      <c r="R40" s="21"/>
      <c r="S40" s="21"/>
    </row>
    <row r="41" spans="1:19" ht="18" customHeight="1" x14ac:dyDescent="0.15">
      <c r="B41" s="106"/>
      <c r="C41" s="107"/>
      <c r="D41" s="107"/>
      <c r="E41" s="108"/>
      <c r="F41" s="21"/>
      <c r="G41" s="21"/>
      <c r="H41" s="21"/>
      <c r="I41" s="21"/>
      <c r="J41" s="106"/>
      <c r="K41" s="107"/>
      <c r="L41" s="107"/>
      <c r="M41" s="107"/>
      <c r="N41" s="107"/>
      <c r="O41" s="108"/>
      <c r="P41" s="21"/>
      <c r="Q41" s="21"/>
      <c r="R41" s="21"/>
      <c r="S41" s="21"/>
    </row>
    <row r="42" spans="1:19" ht="18" customHeight="1" x14ac:dyDescent="0.15">
      <c r="B42" s="163"/>
      <c r="C42" s="164"/>
      <c r="D42" s="164"/>
      <c r="E42" s="165"/>
      <c r="F42" s="22"/>
      <c r="G42" s="22"/>
      <c r="H42" s="23"/>
      <c r="I42" s="23"/>
      <c r="J42" s="163"/>
      <c r="K42" s="164"/>
      <c r="L42" s="164"/>
      <c r="M42" s="164"/>
      <c r="N42" s="164"/>
      <c r="O42" s="165"/>
      <c r="P42" s="22"/>
      <c r="Q42" s="22"/>
      <c r="R42" s="23"/>
      <c r="S42" s="23"/>
    </row>
    <row r="43" spans="1:19" ht="7.5" customHeight="1" x14ac:dyDescent="0.15">
      <c r="A43" s="82"/>
      <c r="B43" s="6"/>
      <c r="C43" s="6"/>
      <c r="D43" s="82"/>
      <c r="E43" s="82"/>
      <c r="F43" s="82"/>
      <c r="G43" s="82"/>
      <c r="H43" s="6"/>
      <c r="I43" s="6"/>
      <c r="J43" s="6"/>
      <c r="K43" s="6"/>
      <c r="L43" s="6"/>
      <c r="M43" s="6"/>
      <c r="N43" s="6"/>
      <c r="O43" s="6"/>
      <c r="P43" s="6"/>
      <c r="Q43" s="6"/>
      <c r="R43" s="6"/>
      <c r="S43" s="82"/>
    </row>
    <row r="44" spans="1:19" ht="18" customHeight="1" x14ac:dyDescent="0.15">
      <c r="A44" s="109" t="s">
        <v>115</v>
      </c>
      <c r="B44" s="109"/>
      <c r="C44" s="109"/>
      <c r="D44" s="109"/>
      <c r="E44" s="109"/>
      <c r="F44" s="109"/>
      <c r="G44" s="109"/>
      <c r="H44" s="109"/>
      <c r="I44" s="109"/>
      <c r="J44" s="109"/>
      <c r="K44" s="109"/>
      <c r="L44" s="109"/>
      <c r="M44" s="109"/>
      <c r="N44" s="109"/>
      <c r="O44" s="109"/>
      <c r="P44" s="109"/>
      <c r="Q44" s="109"/>
      <c r="R44" s="109"/>
      <c r="S44" s="109"/>
    </row>
    <row r="45" spans="1:19" ht="18" customHeight="1" x14ac:dyDescent="0.15">
      <c r="A45" s="109"/>
      <c r="B45" s="109"/>
      <c r="C45" s="109"/>
      <c r="D45" s="109"/>
      <c r="E45" s="109"/>
      <c r="F45" s="109"/>
      <c r="G45" s="109"/>
      <c r="H45" s="109"/>
      <c r="I45" s="109"/>
      <c r="J45" s="109"/>
      <c r="K45" s="109"/>
      <c r="L45" s="109"/>
      <c r="M45" s="109"/>
      <c r="N45" s="109"/>
      <c r="O45" s="109"/>
      <c r="P45" s="109"/>
      <c r="Q45" s="109"/>
      <c r="R45" s="109"/>
      <c r="S45" s="109"/>
    </row>
    <row r="46" spans="1:19" ht="18" customHeight="1" x14ac:dyDescent="0.15">
      <c r="B46" s="110" t="s">
        <v>53</v>
      </c>
      <c r="C46" s="112"/>
      <c r="D46" s="112"/>
      <c r="E46" s="111"/>
      <c r="F46" s="57" t="s">
        <v>80</v>
      </c>
      <c r="G46" s="56" t="s">
        <v>84</v>
      </c>
      <c r="H46" s="19" t="s">
        <v>73</v>
      </c>
      <c r="I46" s="19" t="s">
        <v>74</v>
      </c>
      <c r="J46" s="110" t="s">
        <v>53</v>
      </c>
      <c r="K46" s="112"/>
      <c r="L46" s="112"/>
      <c r="M46" s="112"/>
      <c r="N46" s="112"/>
      <c r="O46" s="111"/>
      <c r="P46" s="57" t="s">
        <v>80</v>
      </c>
      <c r="Q46" s="56" t="s">
        <v>84</v>
      </c>
      <c r="R46" s="19" t="s">
        <v>73</v>
      </c>
      <c r="S46" s="19" t="s">
        <v>74</v>
      </c>
    </row>
    <row r="47" spans="1:19" ht="18" customHeight="1" x14ac:dyDescent="0.15">
      <c r="A47" s="82"/>
      <c r="B47" s="175" t="s">
        <v>153</v>
      </c>
      <c r="C47" s="176"/>
      <c r="D47" s="176"/>
      <c r="E47" s="214"/>
      <c r="F47" s="20">
        <v>2</v>
      </c>
      <c r="G47" s="20" t="s">
        <v>134</v>
      </c>
      <c r="H47" s="20" t="s">
        <v>134</v>
      </c>
      <c r="I47" s="20" t="s">
        <v>134</v>
      </c>
      <c r="J47" s="180"/>
      <c r="K47" s="181"/>
      <c r="L47" s="181"/>
      <c r="M47" s="181"/>
      <c r="N47" s="181"/>
      <c r="O47" s="182"/>
      <c r="P47" s="20"/>
      <c r="Q47" s="20"/>
      <c r="R47" s="20"/>
      <c r="S47" s="20"/>
    </row>
    <row r="48" spans="1:19" ht="18" customHeight="1" x14ac:dyDescent="0.15">
      <c r="A48" s="82"/>
      <c r="B48" s="106"/>
      <c r="C48" s="107"/>
      <c r="D48" s="107"/>
      <c r="E48" s="108"/>
      <c r="F48" s="21"/>
      <c r="G48" s="21"/>
      <c r="H48" s="21"/>
      <c r="I48" s="21"/>
      <c r="J48" s="106"/>
      <c r="K48" s="107"/>
      <c r="L48" s="107"/>
      <c r="M48" s="107"/>
      <c r="N48" s="107"/>
      <c r="O48" s="108"/>
      <c r="P48" s="21"/>
      <c r="Q48" s="21"/>
      <c r="R48" s="21"/>
      <c r="S48" s="21"/>
    </row>
    <row r="49" spans="1:19" ht="18" customHeight="1" x14ac:dyDescent="0.15">
      <c r="A49" s="82"/>
      <c r="B49" s="106"/>
      <c r="C49" s="107"/>
      <c r="D49" s="107"/>
      <c r="E49" s="108"/>
      <c r="F49" s="21"/>
      <c r="G49" s="21"/>
      <c r="H49" s="21"/>
      <c r="I49" s="21"/>
      <c r="J49" s="106"/>
      <c r="K49" s="107"/>
      <c r="L49" s="107"/>
      <c r="M49" s="107"/>
      <c r="N49" s="107"/>
      <c r="O49" s="108"/>
      <c r="P49" s="21"/>
      <c r="Q49" s="21"/>
      <c r="R49" s="21"/>
      <c r="S49" s="21"/>
    </row>
    <row r="50" spans="1:19" ht="18" customHeight="1" x14ac:dyDescent="0.15">
      <c r="A50" s="82"/>
      <c r="B50" s="106"/>
      <c r="C50" s="107"/>
      <c r="D50" s="107"/>
      <c r="E50" s="108"/>
      <c r="F50" s="21"/>
      <c r="G50" s="21"/>
      <c r="H50" s="21"/>
      <c r="I50" s="21"/>
      <c r="J50" s="106"/>
      <c r="K50" s="107"/>
      <c r="L50" s="107"/>
      <c r="M50" s="107"/>
      <c r="N50" s="107"/>
      <c r="O50" s="108"/>
      <c r="P50" s="21"/>
      <c r="Q50" s="21"/>
      <c r="R50" s="21"/>
      <c r="S50" s="21"/>
    </row>
    <row r="51" spans="1:19" ht="18" customHeight="1" x14ac:dyDescent="0.15">
      <c r="A51" s="82"/>
      <c r="B51" s="106"/>
      <c r="C51" s="107"/>
      <c r="D51" s="107"/>
      <c r="E51" s="108"/>
      <c r="F51" s="21"/>
      <c r="G51" s="21"/>
      <c r="H51" s="21"/>
      <c r="I51" s="21"/>
      <c r="J51" s="106"/>
      <c r="K51" s="107"/>
      <c r="L51" s="107"/>
      <c r="M51" s="107"/>
      <c r="N51" s="107"/>
      <c r="O51" s="108"/>
      <c r="P51" s="21"/>
      <c r="Q51" s="21"/>
      <c r="R51" s="21"/>
      <c r="S51" s="21"/>
    </row>
    <row r="52" spans="1:19" ht="18" customHeight="1" x14ac:dyDescent="0.15">
      <c r="A52" s="82"/>
      <c r="B52" s="106"/>
      <c r="C52" s="107"/>
      <c r="D52" s="107"/>
      <c r="E52" s="108"/>
      <c r="F52" s="21"/>
      <c r="G52" s="21"/>
      <c r="H52" s="21"/>
      <c r="I52" s="21"/>
      <c r="J52" s="106"/>
      <c r="K52" s="107"/>
      <c r="L52" s="107"/>
      <c r="M52" s="107"/>
      <c r="N52" s="107"/>
      <c r="O52" s="108"/>
      <c r="P52" s="21"/>
      <c r="Q52" s="21"/>
      <c r="R52" s="21"/>
      <c r="S52" s="21"/>
    </row>
    <row r="53" spans="1:19" ht="18" customHeight="1" x14ac:dyDescent="0.15">
      <c r="A53" s="82"/>
      <c r="B53" s="163"/>
      <c r="C53" s="164"/>
      <c r="D53" s="164"/>
      <c r="E53" s="165"/>
      <c r="F53" s="22"/>
      <c r="G53" s="22"/>
      <c r="H53" s="23"/>
      <c r="I53" s="23"/>
      <c r="J53" s="163"/>
      <c r="K53" s="164"/>
      <c r="L53" s="164"/>
      <c r="M53" s="164"/>
      <c r="N53" s="164"/>
      <c r="O53" s="165"/>
      <c r="P53" s="22"/>
      <c r="Q53" s="22"/>
      <c r="R53" s="23"/>
      <c r="S53" s="23"/>
    </row>
    <row r="54" spans="1:19" ht="7.5" customHeight="1" x14ac:dyDescent="0.15">
      <c r="B54" s="80"/>
      <c r="C54" s="80"/>
      <c r="D54" s="80"/>
      <c r="E54" s="80"/>
      <c r="F54" s="80"/>
      <c r="G54" s="80"/>
      <c r="H54" s="80"/>
      <c r="I54" s="80"/>
      <c r="J54" s="80"/>
      <c r="K54" s="80"/>
      <c r="L54" s="80"/>
      <c r="M54" s="80"/>
      <c r="N54" s="80"/>
      <c r="O54" s="80"/>
      <c r="P54" s="80"/>
      <c r="Q54" s="80"/>
      <c r="R54" s="80"/>
    </row>
    <row r="55" spans="1:19" ht="18" customHeight="1" x14ac:dyDescent="0.15">
      <c r="A55" s="109" t="s">
        <v>116</v>
      </c>
      <c r="B55" s="109"/>
      <c r="C55" s="109"/>
      <c r="D55" s="109"/>
      <c r="E55" s="109"/>
      <c r="F55" s="109"/>
      <c r="G55" s="109"/>
      <c r="H55" s="109"/>
      <c r="I55" s="109"/>
      <c r="J55" s="109"/>
      <c r="K55" s="109"/>
      <c r="L55" s="109"/>
      <c r="M55" s="109"/>
      <c r="N55" s="109"/>
      <c r="O55" s="109"/>
      <c r="P55" s="109"/>
      <c r="Q55" s="109"/>
      <c r="R55" s="109"/>
      <c r="S55" s="109"/>
    </row>
    <row r="56" spans="1:19" ht="18" customHeight="1" x14ac:dyDescent="0.15">
      <c r="A56" s="109"/>
      <c r="B56" s="109"/>
      <c r="C56" s="109"/>
      <c r="D56" s="109"/>
      <c r="E56" s="109"/>
      <c r="F56" s="109"/>
      <c r="G56" s="109"/>
      <c r="H56" s="109"/>
      <c r="I56" s="109"/>
      <c r="J56" s="109"/>
      <c r="K56" s="109"/>
      <c r="L56" s="109"/>
      <c r="M56" s="109"/>
      <c r="N56" s="109"/>
      <c r="O56" s="109"/>
      <c r="P56" s="109"/>
      <c r="Q56" s="109"/>
      <c r="R56" s="109"/>
      <c r="S56" s="109"/>
    </row>
    <row r="57" spans="1:19" ht="18" customHeight="1" x14ac:dyDescent="0.15">
      <c r="B57" s="110" t="s">
        <v>53</v>
      </c>
      <c r="C57" s="112"/>
      <c r="D57" s="112"/>
      <c r="E57" s="111"/>
      <c r="F57" s="57" t="s">
        <v>80</v>
      </c>
      <c r="G57" s="56" t="s">
        <v>84</v>
      </c>
      <c r="H57" s="19" t="s">
        <v>58</v>
      </c>
      <c r="I57" s="19" t="s">
        <v>60</v>
      </c>
      <c r="J57" s="110" t="s">
        <v>53</v>
      </c>
      <c r="K57" s="112"/>
      <c r="L57" s="112"/>
      <c r="M57" s="112"/>
      <c r="N57" s="112"/>
      <c r="O57" s="111"/>
      <c r="P57" s="57" t="s">
        <v>80</v>
      </c>
      <c r="Q57" s="56" t="s">
        <v>84</v>
      </c>
      <c r="R57" s="19" t="s">
        <v>58</v>
      </c>
      <c r="S57" s="19" t="s">
        <v>60</v>
      </c>
    </row>
    <row r="58" spans="1:19" ht="18" customHeight="1" x14ac:dyDescent="0.15">
      <c r="A58" s="82"/>
      <c r="B58" s="175" t="s">
        <v>155</v>
      </c>
      <c r="C58" s="176"/>
      <c r="D58" s="176"/>
      <c r="E58" s="214"/>
      <c r="F58" s="20">
        <v>2</v>
      </c>
      <c r="G58" s="20" t="s">
        <v>134</v>
      </c>
      <c r="H58" s="20" t="s">
        <v>134</v>
      </c>
      <c r="I58" s="20" t="s">
        <v>134</v>
      </c>
      <c r="J58" s="180"/>
      <c r="K58" s="181"/>
      <c r="L58" s="181"/>
      <c r="M58" s="181"/>
      <c r="N58" s="181"/>
      <c r="O58" s="182"/>
      <c r="P58" s="20"/>
      <c r="Q58" s="20"/>
      <c r="R58" s="20"/>
      <c r="S58" s="20"/>
    </row>
    <row r="59" spans="1:19" ht="18" customHeight="1" x14ac:dyDescent="0.15">
      <c r="A59" s="82"/>
      <c r="B59" s="106"/>
      <c r="C59" s="107"/>
      <c r="D59" s="107"/>
      <c r="E59" s="108"/>
      <c r="F59" s="21"/>
      <c r="G59" s="21"/>
      <c r="H59" s="21"/>
      <c r="I59" s="21"/>
      <c r="J59" s="106"/>
      <c r="K59" s="107"/>
      <c r="L59" s="107"/>
      <c r="M59" s="107"/>
      <c r="N59" s="107"/>
      <c r="O59" s="108"/>
      <c r="P59" s="21"/>
      <c r="Q59" s="21"/>
      <c r="R59" s="21"/>
      <c r="S59" s="21"/>
    </row>
    <row r="60" spans="1:19" ht="18" customHeight="1" x14ac:dyDescent="0.15">
      <c r="A60" s="82"/>
      <c r="B60" s="106"/>
      <c r="C60" s="107"/>
      <c r="D60" s="107"/>
      <c r="E60" s="108"/>
      <c r="F60" s="21"/>
      <c r="G60" s="21"/>
      <c r="H60" s="21"/>
      <c r="I60" s="21"/>
      <c r="J60" s="106"/>
      <c r="K60" s="107"/>
      <c r="L60" s="107"/>
      <c r="M60" s="107"/>
      <c r="N60" s="107"/>
      <c r="O60" s="108"/>
      <c r="P60" s="21"/>
      <c r="Q60" s="21"/>
      <c r="R60" s="21"/>
      <c r="S60" s="21"/>
    </row>
    <row r="61" spans="1:19" ht="18" customHeight="1" x14ac:dyDescent="0.15">
      <c r="A61" s="82"/>
      <c r="B61" s="106"/>
      <c r="C61" s="107"/>
      <c r="D61" s="107"/>
      <c r="E61" s="108"/>
      <c r="F61" s="21"/>
      <c r="G61" s="21"/>
      <c r="H61" s="21"/>
      <c r="I61" s="21"/>
      <c r="J61" s="106"/>
      <c r="K61" s="107"/>
      <c r="L61" s="107"/>
      <c r="M61" s="107"/>
      <c r="N61" s="107"/>
      <c r="O61" s="108"/>
      <c r="P61" s="21"/>
      <c r="Q61" s="21"/>
      <c r="R61" s="21"/>
      <c r="S61" s="21"/>
    </row>
    <row r="62" spans="1:19" ht="18" customHeight="1" x14ac:dyDescent="0.15">
      <c r="A62" s="82"/>
      <c r="B62" s="106"/>
      <c r="C62" s="107"/>
      <c r="D62" s="107"/>
      <c r="E62" s="108"/>
      <c r="F62" s="21"/>
      <c r="G62" s="21"/>
      <c r="H62" s="21"/>
      <c r="I62" s="21"/>
      <c r="J62" s="106"/>
      <c r="K62" s="107"/>
      <c r="L62" s="107"/>
      <c r="M62" s="107"/>
      <c r="N62" s="107"/>
      <c r="O62" s="108"/>
      <c r="P62" s="21"/>
      <c r="Q62" s="21"/>
      <c r="R62" s="21"/>
      <c r="S62" s="21"/>
    </row>
    <row r="63" spans="1:19" ht="18" customHeight="1" x14ac:dyDescent="0.15">
      <c r="A63" s="82"/>
      <c r="B63" s="106"/>
      <c r="C63" s="107"/>
      <c r="D63" s="107"/>
      <c r="E63" s="108"/>
      <c r="F63" s="21"/>
      <c r="G63" s="21"/>
      <c r="H63" s="21"/>
      <c r="I63" s="21"/>
      <c r="J63" s="106"/>
      <c r="K63" s="107"/>
      <c r="L63" s="107"/>
      <c r="M63" s="107"/>
      <c r="N63" s="107"/>
      <c r="O63" s="108"/>
      <c r="P63" s="21"/>
      <c r="Q63" s="21"/>
      <c r="R63" s="21"/>
      <c r="S63" s="21"/>
    </row>
    <row r="64" spans="1:19" ht="18" customHeight="1" x14ac:dyDescent="0.15">
      <c r="A64" s="82"/>
      <c r="B64" s="163"/>
      <c r="C64" s="164"/>
      <c r="D64" s="164"/>
      <c r="E64" s="165"/>
      <c r="F64" s="22"/>
      <c r="G64" s="22"/>
      <c r="H64" s="23"/>
      <c r="I64" s="23"/>
      <c r="J64" s="163"/>
      <c r="K64" s="164"/>
      <c r="L64" s="164"/>
      <c r="M64" s="164"/>
      <c r="N64" s="164"/>
      <c r="O64" s="165"/>
      <c r="P64" s="22"/>
      <c r="Q64" s="22"/>
      <c r="R64" s="23"/>
      <c r="S64" s="23"/>
    </row>
    <row r="65" spans="1:19" ht="7.5" customHeight="1" x14ac:dyDescent="0.15">
      <c r="B65" s="80"/>
      <c r="C65" s="80"/>
      <c r="D65" s="80"/>
      <c r="E65" s="80"/>
      <c r="F65" s="80"/>
      <c r="G65" s="80"/>
      <c r="H65" s="80"/>
      <c r="I65" s="80"/>
      <c r="J65" s="80"/>
      <c r="K65" s="80"/>
      <c r="L65" s="80"/>
      <c r="M65" s="80"/>
      <c r="N65" s="80"/>
      <c r="O65" s="80"/>
      <c r="P65" s="80"/>
      <c r="Q65" s="80"/>
      <c r="R65" s="80"/>
    </row>
    <row r="66" spans="1:19" ht="18" customHeight="1" x14ac:dyDescent="0.15">
      <c r="A66" s="109" t="s">
        <v>117</v>
      </c>
      <c r="B66" s="109"/>
      <c r="C66" s="109"/>
      <c r="D66" s="109"/>
      <c r="E66" s="109"/>
      <c r="F66" s="109"/>
      <c r="G66" s="109"/>
      <c r="H66" s="109"/>
      <c r="I66" s="109"/>
      <c r="J66" s="109"/>
      <c r="K66" s="109"/>
      <c r="L66" s="109"/>
      <c r="M66" s="109"/>
      <c r="N66" s="109"/>
      <c r="O66" s="109"/>
      <c r="P66" s="109"/>
      <c r="Q66" s="109"/>
      <c r="R66" s="109"/>
      <c r="S66" s="109"/>
    </row>
    <row r="67" spans="1:19" ht="18" customHeight="1" x14ac:dyDescent="0.15">
      <c r="A67" s="109"/>
      <c r="B67" s="109"/>
      <c r="C67" s="109"/>
      <c r="D67" s="109"/>
      <c r="E67" s="109"/>
      <c r="F67" s="109"/>
      <c r="G67" s="109"/>
      <c r="H67" s="109"/>
      <c r="I67" s="109"/>
      <c r="J67" s="109"/>
      <c r="K67" s="109"/>
      <c r="L67" s="109"/>
      <c r="M67" s="109"/>
      <c r="N67" s="109"/>
      <c r="O67" s="109"/>
      <c r="P67" s="109"/>
      <c r="Q67" s="109"/>
      <c r="R67" s="109"/>
      <c r="S67" s="109"/>
    </row>
    <row r="68" spans="1:19" ht="18" customHeight="1" x14ac:dyDescent="0.15">
      <c r="B68" s="110" t="s">
        <v>53</v>
      </c>
      <c r="C68" s="112"/>
      <c r="D68" s="112"/>
      <c r="E68" s="57" t="s">
        <v>80</v>
      </c>
      <c r="F68" s="56" t="s">
        <v>84</v>
      </c>
      <c r="G68" s="19" t="s">
        <v>101</v>
      </c>
      <c r="H68" s="19" t="s">
        <v>75</v>
      </c>
      <c r="I68" s="19" t="s">
        <v>76</v>
      </c>
      <c r="J68" s="110" t="s">
        <v>53</v>
      </c>
      <c r="K68" s="112"/>
      <c r="L68" s="112"/>
      <c r="M68" s="112"/>
      <c r="N68" s="111"/>
      <c r="O68" s="57" t="s">
        <v>80</v>
      </c>
      <c r="P68" s="56" t="s">
        <v>84</v>
      </c>
      <c r="Q68" s="19" t="s">
        <v>101</v>
      </c>
      <c r="R68" s="19" t="s">
        <v>75</v>
      </c>
      <c r="S68" s="19" t="s">
        <v>76</v>
      </c>
    </row>
    <row r="69" spans="1:19" ht="18" customHeight="1" x14ac:dyDescent="0.15">
      <c r="A69" s="82"/>
      <c r="B69" s="175" t="s">
        <v>153</v>
      </c>
      <c r="C69" s="176"/>
      <c r="D69" s="176"/>
      <c r="E69" s="20">
        <v>2</v>
      </c>
      <c r="F69" s="20" t="s">
        <v>134</v>
      </c>
      <c r="G69" s="20"/>
      <c r="H69" s="20" t="s">
        <v>134</v>
      </c>
      <c r="I69" s="20" t="s">
        <v>134</v>
      </c>
      <c r="J69" s="180"/>
      <c r="K69" s="181"/>
      <c r="L69" s="181"/>
      <c r="M69" s="181"/>
      <c r="N69" s="182"/>
      <c r="O69" s="20"/>
      <c r="P69" s="20"/>
      <c r="Q69" s="20"/>
      <c r="R69" s="20"/>
      <c r="S69" s="20"/>
    </row>
    <row r="70" spans="1:19" ht="18" customHeight="1" x14ac:dyDescent="0.15">
      <c r="A70" s="82"/>
      <c r="B70" s="243" t="s">
        <v>155</v>
      </c>
      <c r="C70" s="244"/>
      <c r="D70" s="244"/>
      <c r="E70" s="21">
        <v>2</v>
      </c>
      <c r="F70" s="21" t="s">
        <v>134</v>
      </c>
      <c r="G70" s="21" t="s">
        <v>134</v>
      </c>
      <c r="H70" s="21" t="s">
        <v>134</v>
      </c>
      <c r="I70" s="21" t="s">
        <v>134</v>
      </c>
      <c r="J70" s="106"/>
      <c r="K70" s="107"/>
      <c r="L70" s="107"/>
      <c r="M70" s="107"/>
      <c r="N70" s="108"/>
      <c r="O70" s="21"/>
      <c r="P70" s="21"/>
      <c r="Q70" s="21"/>
      <c r="R70" s="21"/>
      <c r="S70" s="21"/>
    </row>
    <row r="71" spans="1:19" ht="18" customHeight="1" x14ac:dyDescent="0.15">
      <c r="A71" s="82"/>
      <c r="B71" s="243" t="s">
        <v>156</v>
      </c>
      <c r="C71" s="244"/>
      <c r="D71" s="244"/>
      <c r="E71" s="21">
        <v>2</v>
      </c>
      <c r="F71" s="21"/>
      <c r="G71" s="21" t="s">
        <v>134</v>
      </c>
      <c r="H71" s="21" t="s">
        <v>134</v>
      </c>
      <c r="I71" s="21" t="s">
        <v>134</v>
      </c>
      <c r="J71" s="106"/>
      <c r="K71" s="107"/>
      <c r="L71" s="107"/>
      <c r="M71" s="107"/>
      <c r="N71" s="108"/>
      <c r="O71" s="21"/>
      <c r="P71" s="21"/>
      <c r="Q71" s="21"/>
      <c r="R71" s="21"/>
      <c r="S71" s="21"/>
    </row>
    <row r="72" spans="1:19" ht="18" customHeight="1" x14ac:dyDescent="0.15">
      <c r="A72" s="82"/>
      <c r="B72" s="106"/>
      <c r="C72" s="107"/>
      <c r="D72" s="107"/>
      <c r="E72" s="21"/>
      <c r="F72" s="21"/>
      <c r="G72" s="21"/>
      <c r="H72" s="21"/>
      <c r="I72" s="21"/>
      <c r="J72" s="106"/>
      <c r="K72" s="107"/>
      <c r="L72" s="107"/>
      <c r="M72" s="107"/>
      <c r="N72" s="108"/>
      <c r="O72" s="21"/>
      <c r="P72" s="21"/>
      <c r="Q72" s="21"/>
      <c r="R72" s="21"/>
      <c r="S72" s="21"/>
    </row>
    <row r="73" spans="1:19" ht="18" customHeight="1" x14ac:dyDescent="0.15">
      <c r="A73" s="82"/>
      <c r="B73" s="106"/>
      <c r="C73" s="107"/>
      <c r="D73" s="107"/>
      <c r="E73" s="21"/>
      <c r="F73" s="21"/>
      <c r="G73" s="21"/>
      <c r="H73" s="21"/>
      <c r="I73" s="21"/>
      <c r="J73" s="106"/>
      <c r="K73" s="107"/>
      <c r="L73" s="107"/>
      <c r="M73" s="107"/>
      <c r="N73" s="108"/>
      <c r="O73" s="21"/>
      <c r="P73" s="21"/>
      <c r="Q73" s="21"/>
      <c r="R73" s="21"/>
      <c r="S73" s="21"/>
    </row>
    <row r="74" spans="1:19" ht="18" customHeight="1" x14ac:dyDescent="0.15">
      <c r="A74" s="82"/>
      <c r="B74" s="106"/>
      <c r="C74" s="107"/>
      <c r="D74" s="107"/>
      <c r="E74" s="21"/>
      <c r="F74" s="21"/>
      <c r="G74" s="21"/>
      <c r="H74" s="21"/>
      <c r="I74" s="21"/>
      <c r="J74" s="106"/>
      <c r="K74" s="107"/>
      <c r="L74" s="107"/>
      <c r="M74" s="107"/>
      <c r="N74" s="108"/>
      <c r="O74" s="21"/>
      <c r="P74" s="21"/>
      <c r="Q74" s="21"/>
      <c r="R74" s="21"/>
      <c r="S74" s="21"/>
    </row>
    <row r="75" spans="1:19" ht="18" customHeight="1" x14ac:dyDescent="0.15">
      <c r="A75" s="82"/>
      <c r="B75" s="163"/>
      <c r="C75" s="164"/>
      <c r="D75" s="164"/>
      <c r="E75" s="22"/>
      <c r="F75" s="22"/>
      <c r="G75" s="23"/>
      <c r="H75" s="23"/>
      <c r="I75" s="23"/>
      <c r="J75" s="163"/>
      <c r="K75" s="164"/>
      <c r="L75" s="164"/>
      <c r="M75" s="164"/>
      <c r="N75" s="165"/>
      <c r="O75" s="22"/>
      <c r="P75" s="22"/>
      <c r="Q75" s="23"/>
      <c r="R75" s="23"/>
      <c r="S75" s="23"/>
    </row>
    <row r="76" spans="1:19" ht="7.5" customHeight="1" x14ac:dyDescent="0.15">
      <c r="B76" s="80"/>
      <c r="C76" s="80"/>
      <c r="D76" s="80"/>
      <c r="E76" s="80"/>
      <c r="F76" s="80"/>
      <c r="G76" s="80"/>
      <c r="H76" s="80"/>
      <c r="I76" s="80"/>
      <c r="J76" s="80"/>
      <c r="K76" s="80"/>
      <c r="L76" s="80"/>
      <c r="M76" s="80"/>
      <c r="N76" s="80"/>
      <c r="O76" s="80"/>
      <c r="P76" s="80"/>
      <c r="Q76" s="80"/>
      <c r="R76" s="80"/>
    </row>
    <row r="77" spans="1:19" ht="18" customHeight="1" x14ac:dyDescent="0.15">
      <c r="A77" s="81" t="s">
        <v>118</v>
      </c>
      <c r="H77" s="82"/>
      <c r="I77" s="82"/>
      <c r="J77" s="82"/>
      <c r="K77" s="82"/>
      <c r="L77" s="82"/>
      <c r="M77" s="82"/>
      <c r="N77" s="82"/>
      <c r="O77" s="82"/>
      <c r="P77" s="82"/>
      <c r="Q77" s="82"/>
      <c r="R77" s="82"/>
      <c r="S77" s="82"/>
    </row>
    <row r="78" spans="1:19" ht="18" customHeight="1" x14ac:dyDescent="0.15">
      <c r="B78" s="110" t="s">
        <v>53</v>
      </c>
      <c r="C78" s="112"/>
      <c r="D78" s="112"/>
      <c r="E78" s="111"/>
      <c r="F78" s="110" t="s">
        <v>82</v>
      </c>
      <c r="G78" s="112"/>
      <c r="H78" s="112"/>
      <c r="I78" s="111"/>
      <c r="J78" s="172" t="s">
        <v>53</v>
      </c>
      <c r="K78" s="173"/>
      <c r="L78" s="173"/>
      <c r="M78" s="173"/>
      <c r="N78" s="173"/>
      <c r="O78" s="174"/>
      <c r="P78" s="110" t="s">
        <v>82</v>
      </c>
      <c r="Q78" s="112"/>
      <c r="R78" s="112"/>
      <c r="S78" s="111"/>
    </row>
    <row r="79" spans="1:19" ht="18" customHeight="1" x14ac:dyDescent="0.15">
      <c r="A79" s="82"/>
      <c r="B79" s="175" t="s">
        <v>154</v>
      </c>
      <c r="C79" s="176"/>
      <c r="D79" s="176"/>
      <c r="E79" s="214"/>
      <c r="F79" s="119" t="s">
        <v>158</v>
      </c>
      <c r="G79" s="120"/>
      <c r="H79" s="120"/>
      <c r="I79" s="121"/>
      <c r="J79" s="180"/>
      <c r="K79" s="181"/>
      <c r="L79" s="181"/>
      <c r="M79" s="181"/>
      <c r="N79" s="181"/>
      <c r="O79" s="182"/>
      <c r="P79" s="119"/>
      <c r="Q79" s="120"/>
      <c r="R79" s="120"/>
      <c r="S79" s="121"/>
    </row>
    <row r="80" spans="1:19" ht="18" customHeight="1" x14ac:dyDescent="0.15">
      <c r="A80" s="82"/>
      <c r="B80" s="243" t="s">
        <v>157</v>
      </c>
      <c r="C80" s="244"/>
      <c r="D80" s="244"/>
      <c r="E80" s="245"/>
      <c r="F80" s="94" t="s">
        <v>159</v>
      </c>
      <c r="G80" s="95"/>
      <c r="H80" s="95"/>
      <c r="I80" s="96"/>
      <c r="J80" s="106"/>
      <c r="K80" s="107"/>
      <c r="L80" s="107"/>
      <c r="M80" s="107"/>
      <c r="N80" s="107"/>
      <c r="O80" s="108"/>
      <c r="P80" s="94"/>
      <c r="Q80" s="95"/>
      <c r="R80" s="95"/>
      <c r="S80" s="96"/>
    </row>
    <row r="81" spans="1:19" ht="18" customHeight="1" x14ac:dyDescent="0.15">
      <c r="A81" s="82"/>
      <c r="B81" s="243" t="s">
        <v>156</v>
      </c>
      <c r="C81" s="244"/>
      <c r="D81" s="244"/>
      <c r="E81" s="245"/>
      <c r="F81" s="94" t="s">
        <v>159</v>
      </c>
      <c r="G81" s="95"/>
      <c r="H81" s="95"/>
      <c r="I81" s="96"/>
      <c r="J81" s="106"/>
      <c r="K81" s="107"/>
      <c r="L81" s="107"/>
      <c r="M81" s="107"/>
      <c r="N81" s="107"/>
      <c r="O81" s="108"/>
      <c r="P81" s="94"/>
      <c r="Q81" s="95"/>
      <c r="R81" s="95"/>
      <c r="S81" s="96"/>
    </row>
    <row r="82" spans="1:19" ht="18" customHeight="1" x14ac:dyDescent="0.15">
      <c r="A82" s="82"/>
      <c r="B82" s="243" t="s">
        <v>156</v>
      </c>
      <c r="C82" s="244"/>
      <c r="D82" s="244"/>
      <c r="E82" s="245"/>
      <c r="F82" s="94" t="s">
        <v>160</v>
      </c>
      <c r="G82" s="95"/>
      <c r="H82" s="95"/>
      <c r="I82" s="96"/>
      <c r="J82" s="106"/>
      <c r="K82" s="107"/>
      <c r="L82" s="107"/>
      <c r="M82" s="107"/>
      <c r="N82" s="107"/>
      <c r="O82" s="108"/>
      <c r="P82" s="94"/>
      <c r="Q82" s="95"/>
      <c r="R82" s="95"/>
      <c r="S82" s="96"/>
    </row>
    <row r="83" spans="1:19" ht="18" customHeight="1" x14ac:dyDescent="0.15">
      <c r="A83" s="82"/>
      <c r="B83" s="106"/>
      <c r="C83" s="107"/>
      <c r="D83" s="107"/>
      <c r="E83" s="108"/>
      <c r="F83" s="94"/>
      <c r="G83" s="95"/>
      <c r="H83" s="95"/>
      <c r="I83" s="96"/>
      <c r="J83" s="106"/>
      <c r="K83" s="107"/>
      <c r="L83" s="107"/>
      <c r="M83" s="107"/>
      <c r="N83" s="107"/>
      <c r="O83" s="108"/>
      <c r="P83" s="94"/>
      <c r="Q83" s="95"/>
      <c r="R83" s="95"/>
      <c r="S83" s="96"/>
    </row>
    <row r="84" spans="1:19" ht="18" customHeight="1" x14ac:dyDescent="0.15">
      <c r="A84" s="82"/>
      <c r="B84" s="106"/>
      <c r="C84" s="107"/>
      <c r="D84" s="107"/>
      <c r="E84" s="108"/>
      <c r="F84" s="94"/>
      <c r="G84" s="95"/>
      <c r="H84" s="95"/>
      <c r="I84" s="96"/>
      <c r="J84" s="106"/>
      <c r="K84" s="107"/>
      <c r="L84" s="107"/>
      <c r="M84" s="107"/>
      <c r="N84" s="107"/>
      <c r="O84" s="108"/>
      <c r="P84" s="94"/>
      <c r="Q84" s="95"/>
      <c r="R84" s="95"/>
      <c r="S84" s="96"/>
    </row>
    <row r="85" spans="1:19" ht="18" customHeight="1" x14ac:dyDescent="0.15">
      <c r="A85" s="82"/>
      <c r="B85" s="163"/>
      <c r="C85" s="164"/>
      <c r="D85" s="164"/>
      <c r="E85" s="165"/>
      <c r="F85" s="129"/>
      <c r="G85" s="130"/>
      <c r="H85" s="130"/>
      <c r="I85" s="131"/>
      <c r="J85" s="163"/>
      <c r="K85" s="164"/>
      <c r="L85" s="164"/>
      <c r="M85" s="164"/>
      <c r="N85" s="164"/>
      <c r="O85" s="165"/>
      <c r="P85" s="129"/>
      <c r="Q85" s="130"/>
      <c r="R85" s="130"/>
      <c r="S85" s="131"/>
    </row>
    <row r="86" spans="1:19" ht="18" customHeight="1" x14ac:dyDescent="0.15">
      <c r="A86" s="82"/>
      <c r="B86" s="6"/>
      <c r="C86" s="6"/>
      <c r="D86" s="6"/>
      <c r="E86" s="6"/>
      <c r="F86" s="24"/>
      <c r="G86" s="24"/>
      <c r="H86" s="24"/>
      <c r="I86" s="24"/>
      <c r="J86" s="6"/>
      <c r="K86" s="6"/>
      <c r="L86" s="6"/>
      <c r="M86" s="6"/>
      <c r="N86" s="6"/>
      <c r="O86" s="6"/>
      <c r="P86" s="24"/>
      <c r="Q86" s="24"/>
      <c r="R86" s="24"/>
      <c r="S86" s="24"/>
    </row>
    <row r="87" spans="1:19" ht="18.75" customHeight="1" x14ac:dyDescent="0.15">
      <c r="A87" s="81" t="s">
        <v>119</v>
      </c>
    </row>
    <row r="88" spans="1:19" ht="18.75" customHeight="1" x14ac:dyDescent="0.15">
      <c r="B88" s="192" t="s">
        <v>54</v>
      </c>
      <c r="C88" s="193"/>
      <c r="D88" s="112" t="s">
        <v>55</v>
      </c>
      <c r="E88" s="112"/>
      <c r="F88" s="112"/>
      <c r="G88" s="112"/>
      <c r="H88" s="112"/>
      <c r="I88" s="112"/>
      <c r="J88" s="112"/>
      <c r="K88" s="112"/>
      <c r="L88" s="112"/>
      <c r="M88" s="112"/>
      <c r="N88" s="112"/>
      <c r="O88" s="112"/>
      <c r="P88" s="112"/>
      <c r="Q88" s="112"/>
      <c r="R88" s="112"/>
      <c r="S88" s="111"/>
    </row>
    <row r="89" spans="1:19" ht="97.5" customHeight="1" x14ac:dyDescent="0.15">
      <c r="B89" s="177" t="s">
        <v>61</v>
      </c>
      <c r="C89" s="25" t="s">
        <v>56</v>
      </c>
      <c r="D89" s="208" t="s">
        <v>161</v>
      </c>
      <c r="E89" s="224"/>
      <c r="F89" s="224"/>
      <c r="G89" s="224"/>
      <c r="H89" s="224"/>
      <c r="I89" s="224"/>
      <c r="J89" s="224"/>
      <c r="K89" s="224"/>
      <c r="L89" s="224"/>
      <c r="M89" s="224"/>
      <c r="N89" s="224"/>
      <c r="O89" s="224"/>
      <c r="P89" s="224"/>
      <c r="Q89" s="224"/>
      <c r="R89" s="224"/>
      <c r="S89" s="225"/>
    </row>
    <row r="90" spans="1:19" ht="97.5" customHeight="1" x14ac:dyDescent="0.15">
      <c r="B90" s="179"/>
      <c r="C90" s="26" t="s">
        <v>77</v>
      </c>
      <c r="D90" s="232" t="s">
        <v>162</v>
      </c>
      <c r="E90" s="232"/>
      <c r="F90" s="232"/>
      <c r="G90" s="232"/>
      <c r="H90" s="232"/>
      <c r="I90" s="232"/>
      <c r="J90" s="232"/>
      <c r="K90" s="232"/>
      <c r="L90" s="232"/>
      <c r="M90" s="232"/>
      <c r="N90" s="232"/>
      <c r="O90" s="232"/>
      <c r="P90" s="232"/>
      <c r="Q90" s="232"/>
      <c r="R90" s="232"/>
      <c r="S90" s="233"/>
    </row>
    <row r="91" spans="1:19" ht="97.5" customHeight="1" x14ac:dyDescent="0.15">
      <c r="B91" s="177" t="s">
        <v>62</v>
      </c>
      <c r="C91" s="27" t="s">
        <v>71</v>
      </c>
      <c r="D91" s="212" t="s">
        <v>163</v>
      </c>
      <c r="E91" s="212"/>
      <c r="F91" s="212"/>
      <c r="G91" s="212"/>
      <c r="H91" s="212"/>
      <c r="I91" s="212"/>
      <c r="J91" s="212"/>
      <c r="K91" s="212"/>
      <c r="L91" s="212"/>
      <c r="M91" s="212"/>
      <c r="N91" s="212"/>
      <c r="O91" s="212"/>
      <c r="P91" s="212"/>
      <c r="Q91" s="212"/>
      <c r="R91" s="212"/>
      <c r="S91" s="213"/>
    </row>
    <row r="92" spans="1:19" ht="97.5" customHeight="1" x14ac:dyDescent="0.15">
      <c r="B92" s="178"/>
      <c r="C92" s="28" t="s">
        <v>72</v>
      </c>
      <c r="D92" s="206" t="s">
        <v>164</v>
      </c>
      <c r="E92" s="206"/>
      <c r="F92" s="206"/>
      <c r="G92" s="206"/>
      <c r="H92" s="206"/>
      <c r="I92" s="206"/>
      <c r="J92" s="206"/>
      <c r="K92" s="206"/>
      <c r="L92" s="206"/>
      <c r="M92" s="206"/>
      <c r="N92" s="206"/>
      <c r="O92" s="206"/>
      <c r="P92" s="206"/>
      <c r="Q92" s="206"/>
      <c r="R92" s="206"/>
      <c r="S92" s="207"/>
    </row>
    <row r="93" spans="1:19" ht="97.5" customHeight="1" x14ac:dyDescent="0.15">
      <c r="B93" s="177" t="s">
        <v>63</v>
      </c>
      <c r="C93" s="27" t="s">
        <v>73</v>
      </c>
      <c r="D93" s="204" t="s">
        <v>165</v>
      </c>
      <c r="E93" s="204"/>
      <c r="F93" s="204"/>
      <c r="G93" s="204"/>
      <c r="H93" s="204"/>
      <c r="I93" s="204"/>
      <c r="J93" s="204"/>
      <c r="K93" s="204"/>
      <c r="L93" s="204"/>
      <c r="M93" s="204"/>
      <c r="N93" s="204"/>
      <c r="O93" s="204"/>
      <c r="P93" s="204"/>
      <c r="Q93" s="204"/>
      <c r="R93" s="204"/>
      <c r="S93" s="205"/>
    </row>
    <row r="94" spans="1:19" ht="97.5" customHeight="1" x14ac:dyDescent="0.15">
      <c r="B94" s="178"/>
      <c r="C94" s="29" t="s">
        <v>74</v>
      </c>
      <c r="D94" s="221" t="s">
        <v>166</v>
      </c>
      <c r="E94" s="221"/>
      <c r="F94" s="221"/>
      <c r="G94" s="221"/>
      <c r="H94" s="221"/>
      <c r="I94" s="221"/>
      <c r="J94" s="221"/>
      <c r="K94" s="221"/>
      <c r="L94" s="221"/>
      <c r="M94" s="221"/>
      <c r="N94" s="221"/>
      <c r="O94" s="221"/>
      <c r="P94" s="221"/>
      <c r="Q94" s="221"/>
      <c r="R94" s="221"/>
      <c r="S94" s="241"/>
    </row>
    <row r="95" spans="1:19" ht="97.5" customHeight="1" x14ac:dyDescent="0.15">
      <c r="B95" s="177" t="s">
        <v>78</v>
      </c>
      <c r="C95" s="25" t="s">
        <v>58</v>
      </c>
      <c r="D95" s="101" t="s">
        <v>167</v>
      </c>
      <c r="E95" s="101"/>
      <c r="F95" s="101"/>
      <c r="G95" s="101"/>
      <c r="H95" s="101"/>
      <c r="I95" s="101"/>
      <c r="J95" s="101"/>
      <c r="K95" s="101"/>
      <c r="L95" s="101"/>
      <c r="M95" s="101"/>
      <c r="N95" s="101"/>
      <c r="O95" s="101"/>
      <c r="P95" s="101"/>
      <c r="Q95" s="101"/>
      <c r="R95" s="101"/>
      <c r="S95" s="102"/>
    </row>
    <row r="96" spans="1:19" ht="97.5" customHeight="1" x14ac:dyDescent="0.15">
      <c r="B96" s="178"/>
      <c r="C96" s="28" t="s">
        <v>60</v>
      </c>
      <c r="D96" s="226" t="s">
        <v>168</v>
      </c>
      <c r="E96" s="226"/>
      <c r="F96" s="226"/>
      <c r="G96" s="226"/>
      <c r="H96" s="226"/>
      <c r="I96" s="226"/>
      <c r="J96" s="226"/>
      <c r="K96" s="226"/>
      <c r="L96" s="226"/>
      <c r="M96" s="226"/>
      <c r="N96" s="226"/>
      <c r="O96" s="226"/>
      <c r="P96" s="226"/>
      <c r="Q96" s="226"/>
      <c r="R96" s="226"/>
      <c r="S96" s="242"/>
    </row>
    <row r="97" spans="1:19" ht="97.5" customHeight="1" x14ac:dyDescent="0.15">
      <c r="B97" s="177" t="s">
        <v>79</v>
      </c>
      <c r="C97" s="27" t="s">
        <v>57</v>
      </c>
      <c r="D97" s="215" t="s">
        <v>169</v>
      </c>
      <c r="E97" s="215"/>
      <c r="F97" s="215"/>
      <c r="G97" s="215"/>
      <c r="H97" s="215"/>
      <c r="I97" s="215"/>
      <c r="J97" s="215"/>
      <c r="K97" s="215"/>
      <c r="L97" s="215"/>
      <c r="M97" s="215"/>
      <c r="N97" s="215"/>
      <c r="O97" s="215"/>
      <c r="P97" s="215"/>
      <c r="Q97" s="215"/>
      <c r="R97" s="215"/>
      <c r="S97" s="237"/>
    </row>
    <row r="98" spans="1:19" ht="97.5" customHeight="1" x14ac:dyDescent="0.15">
      <c r="B98" s="179"/>
      <c r="C98" s="30" t="s">
        <v>75</v>
      </c>
      <c r="D98" s="216" t="s">
        <v>170</v>
      </c>
      <c r="E98" s="238"/>
      <c r="F98" s="238"/>
      <c r="G98" s="238"/>
      <c r="H98" s="238"/>
      <c r="I98" s="238"/>
      <c r="J98" s="238"/>
      <c r="K98" s="238"/>
      <c r="L98" s="238"/>
      <c r="M98" s="238"/>
      <c r="N98" s="238"/>
      <c r="O98" s="238"/>
      <c r="P98" s="238"/>
      <c r="Q98" s="238"/>
      <c r="R98" s="238"/>
      <c r="S98" s="239"/>
    </row>
    <row r="99" spans="1:19" ht="97.5" customHeight="1" x14ac:dyDescent="0.15">
      <c r="B99" s="178"/>
      <c r="C99" s="29" t="s">
        <v>76</v>
      </c>
      <c r="D99" s="217" t="s">
        <v>171</v>
      </c>
      <c r="E99" s="217"/>
      <c r="F99" s="217"/>
      <c r="G99" s="217"/>
      <c r="H99" s="217"/>
      <c r="I99" s="217"/>
      <c r="J99" s="217"/>
      <c r="K99" s="217"/>
      <c r="L99" s="217"/>
      <c r="M99" s="217"/>
      <c r="N99" s="217"/>
      <c r="O99" s="217"/>
      <c r="P99" s="217"/>
      <c r="Q99" s="217"/>
      <c r="R99" s="217"/>
      <c r="S99" s="240"/>
    </row>
    <row r="100" spans="1:19" ht="6" customHeight="1" x14ac:dyDescent="0.15"/>
    <row r="101" spans="1:19" ht="18.75" customHeight="1" x14ac:dyDescent="0.15">
      <c r="A101" s="81" t="s">
        <v>120</v>
      </c>
    </row>
    <row r="102" spans="1:19" ht="81.75" customHeight="1" x14ac:dyDescent="0.15">
      <c r="B102" s="148" t="s">
        <v>148</v>
      </c>
      <c r="C102" s="149"/>
      <c r="D102" s="149"/>
      <c r="E102" s="149"/>
      <c r="F102" s="149"/>
      <c r="G102" s="149"/>
      <c r="H102" s="149"/>
      <c r="I102" s="149"/>
      <c r="J102" s="149"/>
      <c r="K102" s="149"/>
      <c r="L102" s="149"/>
      <c r="M102" s="149"/>
      <c r="N102" s="149"/>
      <c r="O102" s="149"/>
      <c r="P102" s="149"/>
      <c r="Q102" s="149"/>
      <c r="R102" s="149"/>
      <c r="S102" s="150"/>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4D8A718C-E725-4EB7-AF9A-96C597B15E05}">
      <formula1>$V$14:$V$16</formula1>
    </dataValidation>
    <dataValidation type="list" allowBlank="1" showInputMessage="1" showErrorMessage="1" sqref="F79:F86 P79:P86 G79:I80 G83:I86 Q83:S86 Q79:S80" xr:uid="{A5D4915F-273E-418A-9981-D1313D4EC9F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1F65B6A5-0338-4182-A02C-02946AA4EDDE}">
      <formula1>"学部・学科によって、修了要件は相違する,学部・学科によって、修了要件は相違しない"</formula1>
    </dataValidation>
    <dataValidation type="list" allowBlank="1" showInputMessage="1" showErrorMessage="1" sqref="S32 S43 D32:G32 D43:G43" xr:uid="{DC8331C2-A85E-482F-BA7F-3FA72A4625E2}">
      <formula1>"全学開講,一部開講"</formula1>
    </dataValidation>
    <dataValidation type="list" allowBlank="1" showInputMessage="1" showErrorMessage="1" sqref="G25:I31 Q25:S31 G36:I42 Q36:S42 G47:I53 Q47:S53 G58:I64 Q58:S64 F69:I75 P69:S75" xr:uid="{7B5783B7-2C74-48A5-A581-EB1F4103313F}">
      <formula1>"○"</formula1>
    </dataValidation>
  </dataValidations>
  <printOptions horizontalCentered="1"/>
  <pageMargins left="0.78740157480314965" right="0.78740157480314965" top="0.78740157480314965" bottom="7.874015748031496E-2"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tabSelected="1" view="pageBreakPreview" topLeftCell="C3" zoomScale="85" zoomScaleNormal="100" zoomScaleSheetLayoutView="85" workbookViewId="0">
      <selection activeCell="AQ14" sqref="AQ14"/>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2"/>
      <c r="Q2" s="32"/>
      <c r="W2" s="32"/>
      <c r="AC2" s="32"/>
      <c r="AI2" s="32"/>
      <c r="AL2" s="32" t="s">
        <v>108</v>
      </c>
      <c r="AM2" s="249" t="str">
        <f>'様式１ー１　プログラムを構成する授業科目'!C2</f>
        <v>大阪工業大学</v>
      </c>
      <c r="AN2" s="249"/>
      <c r="AO2" s="249"/>
      <c r="AP2" s="249"/>
      <c r="AQ2" s="249"/>
    </row>
    <row r="3" spans="1:45" ht="18" customHeight="1" x14ac:dyDescent="0.15">
      <c r="A3" s="135" t="s">
        <v>47</v>
      </c>
      <c r="B3" s="135"/>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250" t="s">
        <v>179</v>
      </c>
      <c r="D5" s="251"/>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252" t="s">
        <v>44</v>
      </c>
      <c r="C9" s="267" t="s">
        <v>86</v>
      </c>
      <c r="D9" s="255" t="s">
        <v>46</v>
      </c>
      <c r="E9" s="258" t="s">
        <v>39</v>
      </c>
      <c r="F9" s="248" t="s">
        <v>85</v>
      </c>
      <c r="G9" s="248"/>
      <c r="H9" s="248"/>
      <c r="I9" s="248"/>
      <c r="J9" s="248"/>
      <c r="K9" s="248"/>
      <c r="L9" s="248" t="s">
        <v>48</v>
      </c>
      <c r="M9" s="248"/>
      <c r="N9" s="248"/>
      <c r="O9" s="248"/>
      <c r="P9" s="248"/>
      <c r="Q9" s="248"/>
      <c r="R9" s="248" t="s">
        <v>49</v>
      </c>
      <c r="S9" s="248"/>
      <c r="T9" s="248"/>
      <c r="U9" s="248"/>
      <c r="V9" s="248"/>
      <c r="W9" s="248"/>
      <c r="X9" s="248" t="s">
        <v>100</v>
      </c>
      <c r="Y9" s="248"/>
      <c r="Z9" s="248"/>
      <c r="AA9" s="248"/>
      <c r="AB9" s="248"/>
      <c r="AC9" s="248"/>
      <c r="AD9" s="248" t="s">
        <v>50</v>
      </c>
      <c r="AE9" s="248"/>
      <c r="AF9" s="248"/>
      <c r="AG9" s="248"/>
      <c r="AH9" s="248"/>
      <c r="AI9" s="248"/>
      <c r="AJ9" s="248" t="s">
        <v>51</v>
      </c>
      <c r="AK9" s="248"/>
      <c r="AL9" s="248"/>
      <c r="AM9" s="248"/>
      <c r="AN9" s="248"/>
      <c r="AO9" s="248"/>
      <c r="AP9" s="261" t="s">
        <v>34</v>
      </c>
      <c r="AQ9" s="264" t="s">
        <v>31</v>
      </c>
      <c r="AS9" s="2"/>
    </row>
    <row r="10" spans="1:45" ht="16.899999999999999" customHeight="1" x14ac:dyDescent="0.15">
      <c r="B10" s="253"/>
      <c r="C10" s="268"/>
      <c r="D10" s="256"/>
      <c r="E10" s="259"/>
      <c r="F10" s="246" t="s">
        <v>96</v>
      </c>
      <c r="G10" s="247"/>
      <c r="H10" s="247"/>
      <c r="I10" s="246" t="s">
        <v>28</v>
      </c>
      <c r="J10" s="247"/>
      <c r="K10" s="247"/>
      <c r="L10" s="246" t="s">
        <v>96</v>
      </c>
      <c r="M10" s="247"/>
      <c r="N10" s="247"/>
      <c r="O10" s="246" t="s">
        <v>28</v>
      </c>
      <c r="P10" s="247"/>
      <c r="Q10" s="247"/>
      <c r="R10" s="246" t="s">
        <v>96</v>
      </c>
      <c r="S10" s="247"/>
      <c r="T10" s="247"/>
      <c r="U10" s="246" t="s">
        <v>28</v>
      </c>
      <c r="V10" s="247"/>
      <c r="W10" s="247"/>
      <c r="X10" s="246" t="s">
        <v>96</v>
      </c>
      <c r="Y10" s="247"/>
      <c r="Z10" s="247"/>
      <c r="AA10" s="246" t="s">
        <v>28</v>
      </c>
      <c r="AB10" s="247"/>
      <c r="AC10" s="247"/>
      <c r="AD10" s="246" t="s">
        <v>96</v>
      </c>
      <c r="AE10" s="247"/>
      <c r="AF10" s="247"/>
      <c r="AG10" s="246" t="s">
        <v>28</v>
      </c>
      <c r="AH10" s="247"/>
      <c r="AI10" s="247"/>
      <c r="AJ10" s="246" t="s">
        <v>96</v>
      </c>
      <c r="AK10" s="247"/>
      <c r="AL10" s="247"/>
      <c r="AM10" s="246" t="s">
        <v>28</v>
      </c>
      <c r="AN10" s="247"/>
      <c r="AO10" s="247"/>
      <c r="AP10" s="262"/>
      <c r="AQ10" s="265"/>
      <c r="AS10" s="2"/>
    </row>
    <row r="11" spans="1:45" ht="18" customHeight="1" x14ac:dyDescent="0.15">
      <c r="B11" s="254"/>
      <c r="C11" s="269"/>
      <c r="D11" s="257"/>
      <c r="E11" s="260"/>
      <c r="F11" s="16" t="s">
        <v>97</v>
      </c>
      <c r="G11" s="17" t="s">
        <v>98</v>
      </c>
      <c r="H11" s="18" t="s">
        <v>99</v>
      </c>
      <c r="I11" s="16" t="s">
        <v>97</v>
      </c>
      <c r="J11" s="17" t="s">
        <v>98</v>
      </c>
      <c r="K11" s="18" t="s">
        <v>99</v>
      </c>
      <c r="L11" s="16" t="s">
        <v>97</v>
      </c>
      <c r="M11" s="17" t="s">
        <v>98</v>
      </c>
      <c r="N11" s="18" t="s">
        <v>99</v>
      </c>
      <c r="O11" s="16" t="s">
        <v>97</v>
      </c>
      <c r="P11" s="17" t="s">
        <v>98</v>
      </c>
      <c r="Q11" s="18" t="s">
        <v>99</v>
      </c>
      <c r="R11" s="16" t="s">
        <v>97</v>
      </c>
      <c r="S11" s="17" t="s">
        <v>98</v>
      </c>
      <c r="T11" s="18" t="s">
        <v>99</v>
      </c>
      <c r="U11" s="16" t="s">
        <v>97</v>
      </c>
      <c r="V11" s="17" t="s">
        <v>98</v>
      </c>
      <c r="W11" s="18" t="s">
        <v>99</v>
      </c>
      <c r="X11" s="16" t="s">
        <v>97</v>
      </c>
      <c r="Y11" s="17" t="s">
        <v>98</v>
      </c>
      <c r="Z11" s="18" t="s">
        <v>99</v>
      </c>
      <c r="AA11" s="16" t="s">
        <v>97</v>
      </c>
      <c r="AB11" s="17" t="s">
        <v>98</v>
      </c>
      <c r="AC11" s="18" t="s">
        <v>99</v>
      </c>
      <c r="AD11" s="16" t="s">
        <v>97</v>
      </c>
      <c r="AE11" s="17" t="s">
        <v>98</v>
      </c>
      <c r="AF11" s="18" t="s">
        <v>99</v>
      </c>
      <c r="AG11" s="16" t="s">
        <v>97</v>
      </c>
      <c r="AH11" s="17" t="s">
        <v>98</v>
      </c>
      <c r="AI11" s="18" t="s">
        <v>99</v>
      </c>
      <c r="AJ11" s="16" t="s">
        <v>97</v>
      </c>
      <c r="AK11" s="17" t="s">
        <v>98</v>
      </c>
      <c r="AL11" s="18" t="s">
        <v>99</v>
      </c>
      <c r="AM11" s="16" t="s">
        <v>97</v>
      </c>
      <c r="AN11" s="17" t="s">
        <v>98</v>
      </c>
      <c r="AO11" s="18" t="s">
        <v>99</v>
      </c>
      <c r="AP11" s="263"/>
      <c r="AQ11" s="266"/>
      <c r="AS11" s="2"/>
    </row>
    <row r="12" spans="1:45" ht="18" customHeight="1" x14ac:dyDescent="0.15">
      <c r="A12" s="6"/>
      <c r="B12" s="10" t="s">
        <v>172</v>
      </c>
      <c r="C12" s="58">
        <v>3803</v>
      </c>
      <c r="D12" s="59">
        <v>900</v>
      </c>
      <c r="E12" s="60">
        <v>3680</v>
      </c>
      <c r="F12" s="60">
        <v>899</v>
      </c>
      <c r="G12" s="89">
        <v>773</v>
      </c>
      <c r="H12" s="90">
        <v>126</v>
      </c>
      <c r="I12" s="60">
        <f>J12+K12</f>
        <v>0</v>
      </c>
      <c r="J12" s="61"/>
      <c r="K12" s="62"/>
      <c r="L12" s="60">
        <f>M12+N12</f>
        <v>0</v>
      </c>
      <c r="M12" s="61"/>
      <c r="N12" s="62"/>
      <c r="O12" s="60">
        <f>P12+Q12</f>
        <v>0</v>
      </c>
      <c r="P12" s="61"/>
      <c r="Q12" s="62"/>
      <c r="R12" s="60">
        <f>S12+T12</f>
        <v>0</v>
      </c>
      <c r="S12" s="61"/>
      <c r="T12" s="62"/>
      <c r="U12" s="60">
        <f>V12+W12</f>
        <v>0</v>
      </c>
      <c r="V12" s="61"/>
      <c r="W12" s="62"/>
      <c r="X12" s="60">
        <f>Y12+Z12</f>
        <v>0</v>
      </c>
      <c r="Y12" s="61"/>
      <c r="Z12" s="62"/>
      <c r="AA12" s="60">
        <f>AB12+AC12</f>
        <v>0</v>
      </c>
      <c r="AB12" s="61"/>
      <c r="AC12" s="62"/>
      <c r="AD12" s="60">
        <f>AE12+AF12</f>
        <v>0</v>
      </c>
      <c r="AE12" s="61"/>
      <c r="AF12" s="62"/>
      <c r="AG12" s="60">
        <f>AH12+AI12</f>
        <v>0</v>
      </c>
      <c r="AH12" s="61"/>
      <c r="AI12" s="62"/>
      <c r="AJ12" s="60">
        <f>AK12+AL12</f>
        <v>0</v>
      </c>
      <c r="AK12" s="61"/>
      <c r="AL12" s="62"/>
      <c r="AM12" s="60">
        <f>AN12+AO12</f>
        <v>0</v>
      </c>
      <c r="AN12" s="61"/>
      <c r="AO12" s="62"/>
      <c r="AP12" s="59">
        <f>F12+L12+R12+X12+AD12+AJ12</f>
        <v>899</v>
      </c>
      <c r="AQ12" s="91">
        <f t="shared" ref="AQ12:AQ32" si="0">AP12/E12</f>
        <v>0.24429347826086956</v>
      </c>
    </row>
    <row r="13" spans="1:45" ht="18" customHeight="1" x14ac:dyDescent="0.15">
      <c r="A13" s="6"/>
      <c r="B13" s="11" t="s">
        <v>136</v>
      </c>
      <c r="C13" s="63">
        <v>1233</v>
      </c>
      <c r="D13" s="64">
        <v>280</v>
      </c>
      <c r="E13" s="65">
        <v>1150</v>
      </c>
      <c r="F13" s="66">
        <v>295</v>
      </c>
      <c r="G13" s="67">
        <v>225</v>
      </c>
      <c r="H13" s="68">
        <v>70</v>
      </c>
      <c r="I13" s="66">
        <f t="shared" ref="I13:I31" si="1">J13+K13</f>
        <v>0</v>
      </c>
      <c r="J13" s="67"/>
      <c r="K13" s="68"/>
      <c r="L13" s="66">
        <f t="shared" ref="L13:L31" si="2">M13+N13</f>
        <v>0</v>
      </c>
      <c r="M13" s="67"/>
      <c r="N13" s="68"/>
      <c r="O13" s="66">
        <f t="shared" ref="O13:O31" si="3">P13+Q13</f>
        <v>0</v>
      </c>
      <c r="P13" s="67"/>
      <c r="Q13" s="68"/>
      <c r="R13" s="66">
        <f t="shared" ref="R13:R31" si="4">S13+T13</f>
        <v>0</v>
      </c>
      <c r="S13" s="67"/>
      <c r="T13" s="68"/>
      <c r="U13" s="66">
        <f t="shared" ref="U13:U31" si="5">V13+W13</f>
        <v>0</v>
      </c>
      <c r="V13" s="67"/>
      <c r="W13" s="68"/>
      <c r="X13" s="66">
        <f t="shared" ref="X13:X31" si="6">Y13+Z13</f>
        <v>0</v>
      </c>
      <c r="Y13" s="67"/>
      <c r="Z13" s="68"/>
      <c r="AA13" s="66">
        <f t="shared" ref="AA13:AA31" si="7">AB13+AC13</f>
        <v>0</v>
      </c>
      <c r="AB13" s="67"/>
      <c r="AC13" s="68"/>
      <c r="AD13" s="66">
        <f t="shared" ref="AD13:AD31" si="8">AE13+AF13</f>
        <v>0</v>
      </c>
      <c r="AE13" s="67"/>
      <c r="AF13" s="68"/>
      <c r="AG13" s="66">
        <f t="shared" ref="AG13:AG31" si="9">AH13+AI13</f>
        <v>0</v>
      </c>
      <c r="AH13" s="67"/>
      <c r="AI13" s="68"/>
      <c r="AJ13" s="66">
        <f t="shared" ref="AJ13:AJ31" si="10">AK13+AL13</f>
        <v>0</v>
      </c>
      <c r="AK13" s="67"/>
      <c r="AL13" s="68"/>
      <c r="AM13" s="66">
        <f t="shared" ref="AM13:AM31" si="11">AN13+AO13</f>
        <v>0</v>
      </c>
      <c r="AN13" s="67"/>
      <c r="AO13" s="68"/>
      <c r="AP13" s="64">
        <f t="shared" ref="AP13:AP31" si="12">F13+L13+R13+X13+AD13+AJ13</f>
        <v>295</v>
      </c>
      <c r="AQ13" s="8">
        <f t="shared" si="0"/>
        <v>0.2565217391304348</v>
      </c>
    </row>
    <row r="14" spans="1:45" ht="18" customHeight="1" x14ac:dyDescent="0.15">
      <c r="A14" s="6"/>
      <c r="B14" s="11" t="s">
        <v>149</v>
      </c>
      <c r="C14" s="63">
        <v>1877</v>
      </c>
      <c r="D14" s="64">
        <v>460</v>
      </c>
      <c r="E14" s="65">
        <v>1880</v>
      </c>
      <c r="F14" s="66">
        <v>431</v>
      </c>
      <c r="G14" s="67">
        <v>381</v>
      </c>
      <c r="H14" s="68">
        <v>50</v>
      </c>
      <c r="I14" s="66">
        <f t="shared" si="1"/>
        <v>0</v>
      </c>
      <c r="J14" s="67"/>
      <c r="K14" s="68"/>
      <c r="L14" s="66">
        <f t="shared" si="2"/>
        <v>0</v>
      </c>
      <c r="M14" s="67"/>
      <c r="N14" s="68"/>
      <c r="O14" s="66">
        <f t="shared" si="3"/>
        <v>0</v>
      </c>
      <c r="P14" s="67"/>
      <c r="Q14" s="68"/>
      <c r="R14" s="66">
        <f t="shared" si="4"/>
        <v>0</v>
      </c>
      <c r="S14" s="67"/>
      <c r="T14" s="68"/>
      <c r="U14" s="66">
        <f t="shared" si="5"/>
        <v>0</v>
      </c>
      <c r="V14" s="67"/>
      <c r="W14" s="68"/>
      <c r="X14" s="66">
        <f t="shared" si="6"/>
        <v>0</v>
      </c>
      <c r="Y14" s="67"/>
      <c r="Z14" s="68"/>
      <c r="AA14" s="66">
        <f t="shared" si="7"/>
        <v>0</v>
      </c>
      <c r="AB14" s="67"/>
      <c r="AC14" s="68"/>
      <c r="AD14" s="66">
        <f t="shared" si="8"/>
        <v>0</v>
      </c>
      <c r="AE14" s="67"/>
      <c r="AF14" s="68"/>
      <c r="AG14" s="66">
        <f t="shared" si="9"/>
        <v>0</v>
      </c>
      <c r="AH14" s="67"/>
      <c r="AI14" s="68"/>
      <c r="AJ14" s="66">
        <f t="shared" si="10"/>
        <v>0</v>
      </c>
      <c r="AK14" s="67"/>
      <c r="AL14" s="68"/>
      <c r="AM14" s="66">
        <f t="shared" si="11"/>
        <v>0</v>
      </c>
      <c r="AN14" s="67"/>
      <c r="AO14" s="68"/>
      <c r="AP14" s="64">
        <f t="shared" si="12"/>
        <v>431</v>
      </c>
      <c r="AQ14" s="8">
        <f>AP14/E14</f>
        <v>0.22925531914893618</v>
      </c>
    </row>
    <row r="15" spans="1:45" ht="18" customHeight="1" x14ac:dyDescent="0.15">
      <c r="A15" s="6"/>
      <c r="B15" s="11" t="s">
        <v>151</v>
      </c>
      <c r="C15" s="63">
        <v>596</v>
      </c>
      <c r="D15" s="64">
        <v>140</v>
      </c>
      <c r="E15" s="65">
        <v>580</v>
      </c>
      <c r="F15" s="66">
        <v>142</v>
      </c>
      <c r="G15" s="67">
        <v>123</v>
      </c>
      <c r="H15" s="68">
        <v>19</v>
      </c>
      <c r="I15" s="66">
        <f t="shared" si="1"/>
        <v>0</v>
      </c>
      <c r="J15" s="67"/>
      <c r="K15" s="68"/>
      <c r="L15" s="66">
        <f t="shared" si="2"/>
        <v>0</v>
      </c>
      <c r="M15" s="67"/>
      <c r="N15" s="68"/>
      <c r="O15" s="66">
        <f t="shared" si="3"/>
        <v>0</v>
      </c>
      <c r="P15" s="67"/>
      <c r="Q15" s="68"/>
      <c r="R15" s="66">
        <f t="shared" si="4"/>
        <v>0</v>
      </c>
      <c r="S15" s="67"/>
      <c r="T15" s="68"/>
      <c r="U15" s="66">
        <f t="shared" si="5"/>
        <v>0</v>
      </c>
      <c r="V15" s="67"/>
      <c r="W15" s="68"/>
      <c r="X15" s="66">
        <f t="shared" si="6"/>
        <v>0</v>
      </c>
      <c r="Y15" s="67"/>
      <c r="Z15" s="68"/>
      <c r="AA15" s="66">
        <f t="shared" si="7"/>
        <v>0</v>
      </c>
      <c r="AB15" s="67"/>
      <c r="AC15" s="68"/>
      <c r="AD15" s="66">
        <f t="shared" si="8"/>
        <v>0</v>
      </c>
      <c r="AE15" s="67"/>
      <c r="AF15" s="68"/>
      <c r="AG15" s="66">
        <f t="shared" si="9"/>
        <v>0</v>
      </c>
      <c r="AH15" s="67"/>
      <c r="AI15" s="68"/>
      <c r="AJ15" s="66">
        <f t="shared" si="10"/>
        <v>0</v>
      </c>
      <c r="AK15" s="67"/>
      <c r="AL15" s="68"/>
      <c r="AM15" s="66">
        <f t="shared" si="11"/>
        <v>0</v>
      </c>
      <c r="AN15" s="67"/>
      <c r="AO15" s="68"/>
      <c r="AP15" s="64">
        <f t="shared" si="12"/>
        <v>142</v>
      </c>
      <c r="AQ15" s="8">
        <f>AP15/E15</f>
        <v>0.24482758620689654</v>
      </c>
    </row>
    <row r="16" spans="1:45" ht="18" customHeight="1" x14ac:dyDescent="0.15">
      <c r="A16" s="6"/>
      <c r="B16" s="11"/>
      <c r="C16" s="63"/>
      <c r="D16" s="64"/>
      <c r="E16" s="65"/>
      <c r="F16" s="66">
        <f t="shared" ref="F16:F31" si="13">G16+H16</f>
        <v>0</v>
      </c>
      <c r="G16" s="67"/>
      <c r="H16" s="68"/>
      <c r="I16" s="66">
        <f t="shared" si="1"/>
        <v>0</v>
      </c>
      <c r="J16" s="67"/>
      <c r="K16" s="68"/>
      <c r="L16" s="66">
        <f t="shared" si="2"/>
        <v>0</v>
      </c>
      <c r="M16" s="67"/>
      <c r="N16" s="68"/>
      <c r="O16" s="66">
        <f t="shared" si="3"/>
        <v>0</v>
      </c>
      <c r="P16" s="67"/>
      <c r="Q16" s="68"/>
      <c r="R16" s="66">
        <f t="shared" si="4"/>
        <v>0</v>
      </c>
      <c r="S16" s="67"/>
      <c r="T16" s="68"/>
      <c r="U16" s="66">
        <f t="shared" si="5"/>
        <v>0</v>
      </c>
      <c r="V16" s="67"/>
      <c r="W16" s="68"/>
      <c r="X16" s="66">
        <f t="shared" si="6"/>
        <v>0</v>
      </c>
      <c r="Y16" s="67"/>
      <c r="Z16" s="68"/>
      <c r="AA16" s="66">
        <f t="shared" si="7"/>
        <v>0</v>
      </c>
      <c r="AB16" s="67"/>
      <c r="AC16" s="68"/>
      <c r="AD16" s="66">
        <f t="shared" si="8"/>
        <v>0</v>
      </c>
      <c r="AE16" s="67"/>
      <c r="AF16" s="68"/>
      <c r="AG16" s="66">
        <f t="shared" si="9"/>
        <v>0</v>
      </c>
      <c r="AH16" s="67"/>
      <c r="AI16" s="68"/>
      <c r="AJ16" s="66">
        <f t="shared" si="10"/>
        <v>0</v>
      </c>
      <c r="AK16" s="67"/>
      <c r="AL16" s="68"/>
      <c r="AM16" s="66">
        <f t="shared" si="11"/>
        <v>0</v>
      </c>
      <c r="AN16" s="67"/>
      <c r="AO16" s="68"/>
      <c r="AP16" s="64">
        <f t="shared" si="12"/>
        <v>0</v>
      </c>
      <c r="AQ16" s="8" t="e">
        <f t="shared" si="0"/>
        <v>#DIV/0!</v>
      </c>
    </row>
    <row r="17" spans="1:43" ht="18" customHeight="1" x14ac:dyDescent="0.15">
      <c r="A17" s="6"/>
      <c r="B17" s="11"/>
      <c r="C17" s="63"/>
      <c r="D17" s="64"/>
      <c r="E17" s="65"/>
      <c r="F17" s="66">
        <f t="shared" si="13"/>
        <v>0</v>
      </c>
      <c r="G17" s="67"/>
      <c r="H17" s="68"/>
      <c r="I17" s="66">
        <f t="shared" si="1"/>
        <v>0</v>
      </c>
      <c r="J17" s="67"/>
      <c r="K17" s="68"/>
      <c r="L17" s="66">
        <f t="shared" si="2"/>
        <v>0</v>
      </c>
      <c r="M17" s="67"/>
      <c r="N17" s="68"/>
      <c r="O17" s="66">
        <f t="shared" si="3"/>
        <v>0</v>
      </c>
      <c r="P17" s="67"/>
      <c r="Q17" s="68"/>
      <c r="R17" s="66">
        <f t="shared" si="4"/>
        <v>0</v>
      </c>
      <c r="S17" s="67"/>
      <c r="T17" s="68"/>
      <c r="U17" s="66">
        <f t="shared" si="5"/>
        <v>0</v>
      </c>
      <c r="V17" s="67"/>
      <c r="W17" s="68"/>
      <c r="X17" s="66">
        <f t="shared" si="6"/>
        <v>0</v>
      </c>
      <c r="Y17" s="67"/>
      <c r="Z17" s="68"/>
      <c r="AA17" s="66">
        <f t="shared" si="7"/>
        <v>0</v>
      </c>
      <c r="AB17" s="67"/>
      <c r="AC17" s="68"/>
      <c r="AD17" s="66">
        <f t="shared" si="8"/>
        <v>0</v>
      </c>
      <c r="AE17" s="67"/>
      <c r="AF17" s="68"/>
      <c r="AG17" s="66">
        <f t="shared" si="9"/>
        <v>0</v>
      </c>
      <c r="AH17" s="67"/>
      <c r="AI17" s="68"/>
      <c r="AJ17" s="66">
        <f t="shared" si="10"/>
        <v>0</v>
      </c>
      <c r="AK17" s="67"/>
      <c r="AL17" s="68"/>
      <c r="AM17" s="66">
        <f t="shared" si="11"/>
        <v>0</v>
      </c>
      <c r="AN17" s="67"/>
      <c r="AO17" s="68"/>
      <c r="AP17" s="64">
        <f t="shared" si="12"/>
        <v>0</v>
      </c>
      <c r="AQ17" s="8" t="e">
        <f t="shared" si="0"/>
        <v>#DIV/0!</v>
      </c>
    </row>
    <row r="18" spans="1:43" ht="18" customHeight="1" x14ac:dyDescent="0.15">
      <c r="A18" s="6"/>
      <c r="B18" s="11"/>
      <c r="C18" s="63"/>
      <c r="D18" s="64"/>
      <c r="E18" s="65"/>
      <c r="F18" s="66">
        <f t="shared" si="13"/>
        <v>0</v>
      </c>
      <c r="G18" s="67"/>
      <c r="H18" s="68"/>
      <c r="I18" s="66">
        <f t="shared" si="1"/>
        <v>0</v>
      </c>
      <c r="J18" s="67"/>
      <c r="K18" s="68"/>
      <c r="L18" s="66">
        <f t="shared" si="2"/>
        <v>0</v>
      </c>
      <c r="M18" s="67"/>
      <c r="N18" s="68"/>
      <c r="O18" s="66">
        <f t="shared" si="3"/>
        <v>0</v>
      </c>
      <c r="P18" s="67"/>
      <c r="Q18" s="68"/>
      <c r="R18" s="66">
        <f t="shared" si="4"/>
        <v>0</v>
      </c>
      <c r="S18" s="67"/>
      <c r="T18" s="68"/>
      <c r="U18" s="66">
        <f t="shared" si="5"/>
        <v>0</v>
      </c>
      <c r="V18" s="67"/>
      <c r="W18" s="68"/>
      <c r="X18" s="66">
        <f t="shared" si="6"/>
        <v>0</v>
      </c>
      <c r="Y18" s="67"/>
      <c r="Z18" s="68"/>
      <c r="AA18" s="66">
        <f t="shared" si="7"/>
        <v>0</v>
      </c>
      <c r="AB18" s="67"/>
      <c r="AC18" s="68"/>
      <c r="AD18" s="66">
        <f t="shared" si="8"/>
        <v>0</v>
      </c>
      <c r="AE18" s="67"/>
      <c r="AF18" s="68"/>
      <c r="AG18" s="66">
        <f t="shared" si="9"/>
        <v>0</v>
      </c>
      <c r="AH18" s="67"/>
      <c r="AI18" s="68"/>
      <c r="AJ18" s="66">
        <f t="shared" si="10"/>
        <v>0</v>
      </c>
      <c r="AK18" s="67"/>
      <c r="AL18" s="68"/>
      <c r="AM18" s="66">
        <f t="shared" si="11"/>
        <v>0</v>
      </c>
      <c r="AN18" s="67"/>
      <c r="AO18" s="68"/>
      <c r="AP18" s="64">
        <f t="shared" si="12"/>
        <v>0</v>
      </c>
      <c r="AQ18" s="8" t="e">
        <f t="shared" si="0"/>
        <v>#DIV/0!</v>
      </c>
    </row>
    <row r="19" spans="1:43" ht="18" customHeight="1" x14ac:dyDescent="0.15">
      <c r="A19" s="6"/>
      <c r="B19" s="11"/>
      <c r="C19" s="63"/>
      <c r="D19" s="64"/>
      <c r="E19" s="65"/>
      <c r="F19" s="66">
        <f t="shared" si="13"/>
        <v>0</v>
      </c>
      <c r="G19" s="67"/>
      <c r="H19" s="68"/>
      <c r="I19" s="66">
        <f t="shared" si="1"/>
        <v>0</v>
      </c>
      <c r="J19" s="67"/>
      <c r="K19" s="68"/>
      <c r="L19" s="66">
        <f t="shared" si="2"/>
        <v>0</v>
      </c>
      <c r="M19" s="67"/>
      <c r="N19" s="68"/>
      <c r="O19" s="66">
        <f t="shared" si="3"/>
        <v>0</v>
      </c>
      <c r="P19" s="67"/>
      <c r="Q19" s="68"/>
      <c r="R19" s="66">
        <f t="shared" si="4"/>
        <v>0</v>
      </c>
      <c r="S19" s="67"/>
      <c r="T19" s="68"/>
      <c r="U19" s="66">
        <f t="shared" si="5"/>
        <v>0</v>
      </c>
      <c r="V19" s="67"/>
      <c r="W19" s="68"/>
      <c r="X19" s="66">
        <f t="shared" si="6"/>
        <v>0</v>
      </c>
      <c r="Y19" s="67"/>
      <c r="Z19" s="68"/>
      <c r="AA19" s="66">
        <f t="shared" si="7"/>
        <v>0</v>
      </c>
      <c r="AB19" s="67"/>
      <c r="AC19" s="68"/>
      <c r="AD19" s="66">
        <f t="shared" si="8"/>
        <v>0</v>
      </c>
      <c r="AE19" s="67"/>
      <c r="AF19" s="68"/>
      <c r="AG19" s="66">
        <f t="shared" si="9"/>
        <v>0</v>
      </c>
      <c r="AH19" s="67"/>
      <c r="AI19" s="68"/>
      <c r="AJ19" s="66">
        <f t="shared" si="10"/>
        <v>0</v>
      </c>
      <c r="AK19" s="67"/>
      <c r="AL19" s="68"/>
      <c r="AM19" s="66">
        <f t="shared" si="11"/>
        <v>0</v>
      </c>
      <c r="AN19" s="67"/>
      <c r="AO19" s="68"/>
      <c r="AP19" s="64">
        <f t="shared" si="12"/>
        <v>0</v>
      </c>
      <c r="AQ19" s="8" t="e">
        <f t="shared" si="0"/>
        <v>#DIV/0!</v>
      </c>
    </row>
    <row r="20" spans="1:43" ht="18" customHeight="1" x14ac:dyDescent="0.15">
      <c r="A20" s="6"/>
      <c r="B20" s="11"/>
      <c r="C20" s="63"/>
      <c r="D20" s="64"/>
      <c r="E20" s="65"/>
      <c r="F20" s="66">
        <f t="shared" si="13"/>
        <v>0</v>
      </c>
      <c r="G20" s="67"/>
      <c r="H20" s="68"/>
      <c r="I20" s="66">
        <f t="shared" si="1"/>
        <v>0</v>
      </c>
      <c r="J20" s="67"/>
      <c r="K20" s="68"/>
      <c r="L20" s="66">
        <f t="shared" si="2"/>
        <v>0</v>
      </c>
      <c r="M20" s="67"/>
      <c r="N20" s="68"/>
      <c r="O20" s="66">
        <f t="shared" si="3"/>
        <v>0</v>
      </c>
      <c r="P20" s="67"/>
      <c r="Q20" s="68"/>
      <c r="R20" s="66">
        <f t="shared" si="4"/>
        <v>0</v>
      </c>
      <c r="S20" s="67"/>
      <c r="T20" s="68"/>
      <c r="U20" s="66">
        <f t="shared" si="5"/>
        <v>0</v>
      </c>
      <c r="V20" s="67"/>
      <c r="W20" s="68"/>
      <c r="X20" s="66">
        <f t="shared" si="6"/>
        <v>0</v>
      </c>
      <c r="Y20" s="67"/>
      <c r="Z20" s="68"/>
      <c r="AA20" s="66">
        <f t="shared" si="7"/>
        <v>0</v>
      </c>
      <c r="AB20" s="67"/>
      <c r="AC20" s="68"/>
      <c r="AD20" s="66">
        <f t="shared" si="8"/>
        <v>0</v>
      </c>
      <c r="AE20" s="67"/>
      <c r="AF20" s="68"/>
      <c r="AG20" s="66">
        <f t="shared" si="9"/>
        <v>0</v>
      </c>
      <c r="AH20" s="67"/>
      <c r="AI20" s="68"/>
      <c r="AJ20" s="66">
        <f t="shared" si="10"/>
        <v>0</v>
      </c>
      <c r="AK20" s="67"/>
      <c r="AL20" s="68"/>
      <c r="AM20" s="66">
        <f t="shared" si="11"/>
        <v>0</v>
      </c>
      <c r="AN20" s="67"/>
      <c r="AO20" s="68"/>
      <c r="AP20" s="64">
        <f t="shared" si="12"/>
        <v>0</v>
      </c>
      <c r="AQ20" s="8" t="e">
        <f t="shared" si="0"/>
        <v>#DIV/0!</v>
      </c>
    </row>
    <row r="21" spans="1:43" ht="18" customHeight="1" x14ac:dyDescent="0.15">
      <c r="A21" s="6"/>
      <c r="B21" s="11"/>
      <c r="C21" s="63"/>
      <c r="D21" s="64"/>
      <c r="E21" s="65"/>
      <c r="F21" s="66">
        <f t="shared" si="13"/>
        <v>0</v>
      </c>
      <c r="G21" s="67"/>
      <c r="H21" s="68"/>
      <c r="I21" s="66">
        <f t="shared" si="1"/>
        <v>0</v>
      </c>
      <c r="J21" s="67"/>
      <c r="K21" s="68"/>
      <c r="L21" s="66">
        <f t="shared" si="2"/>
        <v>0</v>
      </c>
      <c r="M21" s="67"/>
      <c r="N21" s="68"/>
      <c r="O21" s="66">
        <f t="shared" si="3"/>
        <v>0</v>
      </c>
      <c r="P21" s="67"/>
      <c r="Q21" s="68"/>
      <c r="R21" s="66">
        <f t="shared" si="4"/>
        <v>0</v>
      </c>
      <c r="S21" s="67"/>
      <c r="T21" s="68"/>
      <c r="U21" s="66">
        <f t="shared" si="5"/>
        <v>0</v>
      </c>
      <c r="V21" s="67"/>
      <c r="W21" s="68"/>
      <c r="X21" s="66">
        <f t="shared" si="6"/>
        <v>0</v>
      </c>
      <c r="Y21" s="67"/>
      <c r="Z21" s="68"/>
      <c r="AA21" s="66">
        <f t="shared" si="7"/>
        <v>0</v>
      </c>
      <c r="AB21" s="67"/>
      <c r="AC21" s="68"/>
      <c r="AD21" s="66">
        <f t="shared" si="8"/>
        <v>0</v>
      </c>
      <c r="AE21" s="67"/>
      <c r="AF21" s="68"/>
      <c r="AG21" s="66">
        <f t="shared" si="9"/>
        <v>0</v>
      </c>
      <c r="AH21" s="67"/>
      <c r="AI21" s="68"/>
      <c r="AJ21" s="66">
        <f t="shared" si="10"/>
        <v>0</v>
      </c>
      <c r="AK21" s="67"/>
      <c r="AL21" s="68"/>
      <c r="AM21" s="66">
        <f t="shared" si="11"/>
        <v>0</v>
      </c>
      <c r="AN21" s="67"/>
      <c r="AO21" s="68"/>
      <c r="AP21" s="64">
        <f t="shared" si="12"/>
        <v>0</v>
      </c>
      <c r="AQ21" s="8" t="e">
        <f t="shared" si="0"/>
        <v>#DIV/0!</v>
      </c>
    </row>
    <row r="22" spans="1:43" ht="18" customHeight="1" x14ac:dyDescent="0.15">
      <c r="A22" s="6"/>
      <c r="B22" s="11"/>
      <c r="C22" s="63"/>
      <c r="D22" s="64"/>
      <c r="E22" s="65"/>
      <c r="F22" s="66">
        <f t="shared" si="13"/>
        <v>0</v>
      </c>
      <c r="G22" s="67"/>
      <c r="H22" s="68"/>
      <c r="I22" s="66">
        <f t="shared" si="1"/>
        <v>0</v>
      </c>
      <c r="J22" s="67"/>
      <c r="K22" s="68"/>
      <c r="L22" s="66">
        <f t="shared" si="2"/>
        <v>0</v>
      </c>
      <c r="M22" s="67"/>
      <c r="N22" s="68"/>
      <c r="O22" s="66">
        <f t="shared" si="3"/>
        <v>0</v>
      </c>
      <c r="P22" s="67"/>
      <c r="Q22" s="68"/>
      <c r="R22" s="66">
        <f t="shared" si="4"/>
        <v>0</v>
      </c>
      <c r="S22" s="67"/>
      <c r="T22" s="68"/>
      <c r="U22" s="66">
        <f t="shared" si="5"/>
        <v>0</v>
      </c>
      <c r="V22" s="67"/>
      <c r="W22" s="68"/>
      <c r="X22" s="66">
        <f t="shared" si="6"/>
        <v>0</v>
      </c>
      <c r="Y22" s="67"/>
      <c r="Z22" s="68"/>
      <c r="AA22" s="66">
        <f t="shared" si="7"/>
        <v>0</v>
      </c>
      <c r="AB22" s="67"/>
      <c r="AC22" s="68"/>
      <c r="AD22" s="66">
        <f t="shared" si="8"/>
        <v>0</v>
      </c>
      <c r="AE22" s="67"/>
      <c r="AF22" s="68"/>
      <c r="AG22" s="66">
        <f t="shared" si="9"/>
        <v>0</v>
      </c>
      <c r="AH22" s="67"/>
      <c r="AI22" s="68"/>
      <c r="AJ22" s="66">
        <f t="shared" si="10"/>
        <v>0</v>
      </c>
      <c r="AK22" s="67"/>
      <c r="AL22" s="68"/>
      <c r="AM22" s="66">
        <f t="shared" si="11"/>
        <v>0</v>
      </c>
      <c r="AN22" s="67"/>
      <c r="AO22" s="68"/>
      <c r="AP22" s="64">
        <f t="shared" si="12"/>
        <v>0</v>
      </c>
      <c r="AQ22" s="8" t="e">
        <f t="shared" si="0"/>
        <v>#DIV/0!</v>
      </c>
    </row>
    <row r="23" spans="1:43" ht="18" customHeight="1" x14ac:dyDescent="0.15">
      <c r="A23" s="6"/>
      <c r="B23" s="11"/>
      <c r="C23" s="63"/>
      <c r="D23" s="64"/>
      <c r="E23" s="65"/>
      <c r="F23" s="66">
        <f t="shared" si="13"/>
        <v>0</v>
      </c>
      <c r="G23" s="67"/>
      <c r="H23" s="68"/>
      <c r="I23" s="66">
        <f t="shared" si="1"/>
        <v>0</v>
      </c>
      <c r="J23" s="67"/>
      <c r="K23" s="68"/>
      <c r="L23" s="66">
        <f t="shared" si="2"/>
        <v>0</v>
      </c>
      <c r="M23" s="67"/>
      <c r="N23" s="68"/>
      <c r="O23" s="66">
        <f t="shared" si="3"/>
        <v>0</v>
      </c>
      <c r="P23" s="67"/>
      <c r="Q23" s="68"/>
      <c r="R23" s="66">
        <f t="shared" si="4"/>
        <v>0</v>
      </c>
      <c r="S23" s="67"/>
      <c r="T23" s="68"/>
      <c r="U23" s="66">
        <f t="shared" si="5"/>
        <v>0</v>
      </c>
      <c r="V23" s="67"/>
      <c r="W23" s="68"/>
      <c r="X23" s="66">
        <f t="shared" si="6"/>
        <v>0</v>
      </c>
      <c r="Y23" s="67"/>
      <c r="Z23" s="68"/>
      <c r="AA23" s="66">
        <f t="shared" si="7"/>
        <v>0</v>
      </c>
      <c r="AB23" s="67"/>
      <c r="AC23" s="68"/>
      <c r="AD23" s="66">
        <f t="shared" si="8"/>
        <v>0</v>
      </c>
      <c r="AE23" s="67"/>
      <c r="AF23" s="68"/>
      <c r="AG23" s="66">
        <f t="shared" si="9"/>
        <v>0</v>
      </c>
      <c r="AH23" s="67"/>
      <c r="AI23" s="68"/>
      <c r="AJ23" s="66">
        <f t="shared" si="10"/>
        <v>0</v>
      </c>
      <c r="AK23" s="67"/>
      <c r="AL23" s="68"/>
      <c r="AM23" s="66">
        <f t="shared" si="11"/>
        <v>0</v>
      </c>
      <c r="AN23" s="67"/>
      <c r="AO23" s="68"/>
      <c r="AP23" s="64">
        <f t="shared" si="12"/>
        <v>0</v>
      </c>
      <c r="AQ23" s="8" t="e">
        <f t="shared" si="0"/>
        <v>#DIV/0!</v>
      </c>
    </row>
    <row r="24" spans="1:43" ht="18" customHeight="1" x14ac:dyDescent="0.15">
      <c r="A24" s="6"/>
      <c r="B24" s="11"/>
      <c r="C24" s="63"/>
      <c r="D24" s="64"/>
      <c r="E24" s="65"/>
      <c r="F24" s="66">
        <f t="shared" si="13"/>
        <v>0</v>
      </c>
      <c r="G24" s="67"/>
      <c r="H24" s="68"/>
      <c r="I24" s="66">
        <f t="shared" si="1"/>
        <v>0</v>
      </c>
      <c r="J24" s="67"/>
      <c r="K24" s="68"/>
      <c r="L24" s="66">
        <f t="shared" si="2"/>
        <v>0</v>
      </c>
      <c r="M24" s="67"/>
      <c r="N24" s="68"/>
      <c r="O24" s="66">
        <f t="shared" si="3"/>
        <v>0</v>
      </c>
      <c r="P24" s="67"/>
      <c r="Q24" s="68"/>
      <c r="R24" s="66">
        <f t="shared" si="4"/>
        <v>0</v>
      </c>
      <c r="S24" s="67"/>
      <c r="T24" s="68"/>
      <c r="U24" s="66">
        <f t="shared" si="5"/>
        <v>0</v>
      </c>
      <c r="V24" s="67"/>
      <c r="W24" s="68"/>
      <c r="X24" s="66">
        <f t="shared" si="6"/>
        <v>0</v>
      </c>
      <c r="Y24" s="67"/>
      <c r="Z24" s="68"/>
      <c r="AA24" s="66">
        <f t="shared" si="7"/>
        <v>0</v>
      </c>
      <c r="AB24" s="67"/>
      <c r="AC24" s="68"/>
      <c r="AD24" s="66">
        <f t="shared" si="8"/>
        <v>0</v>
      </c>
      <c r="AE24" s="67"/>
      <c r="AF24" s="68"/>
      <c r="AG24" s="66">
        <f t="shared" si="9"/>
        <v>0</v>
      </c>
      <c r="AH24" s="67"/>
      <c r="AI24" s="68"/>
      <c r="AJ24" s="66">
        <f t="shared" si="10"/>
        <v>0</v>
      </c>
      <c r="AK24" s="67"/>
      <c r="AL24" s="68"/>
      <c r="AM24" s="66">
        <f t="shared" si="11"/>
        <v>0</v>
      </c>
      <c r="AN24" s="67"/>
      <c r="AO24" s="68"/>
      <c r="AP24" s="64">
        <f t="shared" si="12"/>
        <v>0</v>
      </c>
      <c r="AQ24" s="8" t="e">
        <f t="shared" si="0"/>
        <v>#DIV/0!</v>
      </c>
    </row>
    <row r="25" spans="1:43" ht="18" customHeight="1" x14ac:dyDescent="0.15">
      <c r="A25" s="6"/>
      <c r="B25" s="11"/>
      <c r="C25" s="63"/>
      <c r="D25" s="64"/>
      <c r="E25" s="65"/>
      <c r="F25" s="66">
        <f t="shared" si="13"/>
        <v>0</v>
      </c>
      <c r="G25" s="67"/>
      <c r="H25" s="68"/>
      <c r="I25" s="66">
        <f t="shared" si="1"/>
        <v>0</v>
      </c>
      <c r="J25" s="67"/>
      <c r="K25" s="68"/>
      <c r="L25" s="66">
        <f t="shared" si="2"/>
        <v>0</v>
      </c>
      <c r="M25" s="67"/>
      <c r="N25" s="68"/>
      <c r="O25" s="66">
        <f t="shared" si="3"/>
        <v>0</v>
      </c>
      <c r="P25" s="67"/>
      <c r="Q25" s="68"/>
      <c r="R25" s="66">
        <f t="shared" si="4"/>
        <v>0</v>
      </c>
      <c r="S25" s="67"/>
      <c r="T25" s="68"/>
      <c r="U25" s="66">
        <f t="shared" si="5"/>
        <v>0</v>
      </c>
      <c r="V25" s="67"/>
      <c r="W25" s="68"/>
      <c r="X25" s="66">
        <f t="shared" si="6"/>
        <v>0</v>
      </c>
      <c r="Y25" s="67"/>
      <c r="Z25" s="68"/>
      <c r="AA25" s="66">
        <f t="shared" si="7"/>
        <v>0</v>
      </c>
      <c r="AB25" s="67"/>
      <c r="AC25" s="68"/>
      <c r="AD25" s="66">
        <f t="shared" si="8"/>
        <v>0</v>
      </c>
      <c r="AE25" s="67"/>
      <c r="AF25" s="68"/>
      <c r="AG25" s="66">
        <f t="shared" si="9"/>
        <v>0</v>
      </c>
      <c r="AH25" s="67"/>
      <c r="AI25" s="68"/>
      <c r="AJ25" s="66">
        <f t="shared" si="10"/>
        <v>0</v>
      </c>
      <c r="AK25" s="67"/>
      <c r="AL25" s="68"/>
      <c r="AM25" s="66">
        <f t="shared" si="11"/>
        <v>0</v>
      </c>
      <c r="AN25" s="67"/>
      <c r="AO25" s="68"/>
      <c r="AP25" s="64">
        <f t="shared" si="12"/>
        <v>0</v>
      </c>
      <c r="AQ25" s="8" t="e">
        <f t="shared" si="0"/>
        <v>#DIV/0!</v>
      </c>
    </row>
    <row r="26" spans="1:43" ht="18" customHeight="1" x14ac:dyDescent="0.15">
      <c r="A26" s="6"/>
      <c r="B26" s="11"/>
      <c r="C26" s="63"/>
      <c r="D26" s="64"/>
      <c r="E26" s="65"/>
      <c r="F26" s="66">
        <f t="shared" si="13"/>
        <v>0</v>
      </c>
      <c r="G26" s="67"/>
      <c r="H26" s="68"/>
      <c r="I26" s="66">
        <f t="shared" si="1"/>
        <v>0</v>
      </c>
      <c r="J26" s="67"/>
      <c r="K26" s="68"/>
      <c r="L26" s="66">
        <f t="shared" si="2"/>
        <v>0</v>
      </c>
      <c r="M26" s="67"/>
      <c r="N26" s="68"/>
      <c r="O26" s="66">
        <f t="shared" si="3"/>
        <v>0</v>
      </c>
      <c r="P26" s="67"/>
      <c r="Q26" s="68"/>
      <c r="R26" s="66">
        <f t="shared" si="4"/>
        <v>0</v>
      </c>
      <c r="S26" s="67"/>
      <c r="T26" s="68"/>
      <c r="U26" s="66">
        <f t="shared" si="5"/>
        <v>0</v>
      </c>
      <c r="V26" s="67"/>
      <c r="W26" s="68"/>
      <c r="X26" s="66">
        <f t="shared" si="6"/>
        <v>0</v>
      </c>
      <c r="Y26" s="67"/>
      <c r="Z26" s="68"/>
      <c r="AA26" s="66">
        <f t="shared" si="7"/>
        <v>0</v>
      </c>
      <c r="AB26" s="67"/>
      <c r="AC26" s="68"/>
      <c r="AD26" s="66">
        <f t="shared" si="8"/>
        <v>0</v>
      </c>
      <c r="AE26" s="67"/>
      <c r="AF26" s="68"/>
      <c r="AG26" s="66">
        <f t="shared" si="9"/>
        <v>0</v>
      </c>
      <c r="AH26" s="67"/>
      <c r="AI26" s="68"/>
      <c r="AJ26" s="66">
        <f t="shared" si="10"/>
        <v>0</v>
      </c>
      <c r="AK26" s="67"/>
      <c r="AL26" s="68"/>
      <c r="AM26" s="66">
        <f t="shared" si="11"/>
        <v>0</v>
      </c>
      <c r="AN26" s="67"/>
      <c r="AO26" s="68"/>
      <c r="AP26" s="64">
        <f t="shared" si="12"/>
        <v>0</v>
      </c>
      <c r="AQ26" s="8" t="e">
        <f t="shared" si="0"/>
        <v>#DIV/0!</v>
      </c>
    </row>
    <row r="27" spans="1:43" ht="18" customHeight="1" x14ac:dyDescent="0.15">
      <c r="A27" s="6"/>
      <c r="B27" s="11"/>
      <c r="C27" s="63"/>
      <c r="D27" s="64"/>
      <c r="E27" s="65"/>
      <c r="F27" s="66">
        <f t="shared" si="13"/>
        <v>0</v>
      </c>
      <c r="G27" s="67"/>
      <c r="H27" s="68"/>
      <c r="I27" s="66">
        <f t="shared" si="1"/>
        <v>0</v>
      </c>
      <c r="J27" s="67"/>
      <c r="K27" s="68"/>
      <c r="L27" s="66">
        <f t="shared" si="2"/>
        <v>0</v>
      </c>
      <c r="M27" s="67"/>
      <c r="N27" s="68"/>
      <c r="O27" s="66">
        <f t="shared" si="3"/>
        <v>0</v>
      </c>
      <c r="P27" s="67"/>
      <c r="Q27" s="68"/>
      <c r="R27" s="66">
        <f t="shared" si="4"/>
        <v>0</v>
      </c>
      <c r="S27" s="67"/>
      <c r="T27" s="68"/>
      <c r="U27" s="66">
        <f t="shared" si="5"/>
        <v>0</v>
      </c>
      <c r="V27" s="67"/>
      <c r="W27" s="68"/>
      <c r="X27" s="66">
        <f t="shared" si="6"/>
        <v>0</v>
      </c>
      <c r="Y27" s="67"/>
      <c r="Z27" s="68"/>
      <c r="AA27" s="66">
        <f t="shared" si="7"/>
        <v>0</v>
      </c>
      <c r="AB27" s="67"/>
      <c r="AC27" s="68"/>
      <c r="AD27" s="66">
        <f t="shared" si="8"/>
        <v>0</v>
      </c>
      <c r="AE27" s="67"/>
      <c r="AF27" s="68"/>
      <c r="AG27" s="66">
        <f t="shared" si="9"/>
        <v>0</v>
      </c>
      <c r="AH27" s="67"/>
      <c r="AI27" s="68"/>
      <c r="AJ27" s="66">
        <f t="shared" si="10"/>
        <v>0</v>
      </c>
      <c r="AK27" s="67"/>
      <c r="AL27" s="68"/>
      <c r="AM27" s="66">
        <f t="shared" si="11"/>
        <v>0</v>
      </c>
      <c r="AN27" s="67"/>
      <c r="AO27" s="68"/>
      <c r="AP27" s="64">
        <f t="shared" si="12"/>
        <v>0</v>
      </c>
      <c r="AQ27" s="8" t="e">
        <f t="shared" si="0"/>
        <v>#DIV/0!</v>
      </c>
    </row>
    <row r="28" spans="1:43" ht="18" customHeight="1" x14ac:dyDescent="0.15">
      <c r="A28" s="6"/>
      <c r="B28" s="11"/>
      <c r="C28" s="63"/>
      <c r="D28" s="64"/>
      <c r="E28" s="65"/>
      <c r="F28" s="66">
        <f t="shared" si="13"/>
        <v>0</v>
      </c>
      <c r="G28" s="67"/>
      <c r="H28" s="68"/>
      <c r="I28" s="66">
        <f t="shared" si="1"/>
        <v>0</v>
      </c>
      <c r="J28" s="67"/>
      <c r="K28" s="68"/>
      <c r="L28" s="66">
        <f t="shared" si="2"/>
        <v>0</v>
      </c>
      <c r="M28" s="67"/>
      <c r="N28" s="68"/>
      <c r="O28" s="66">
        <f t="shared" si="3"/>
        <v>0</v>
      </c>
      <c r="P28" s="67"/>
      <c r="Q28" s="68"/>
      <c r="R28" s="66">
        <f t="shared" si="4"/>
        <v>0</v>
      </c>
      <c r="S28" s="67"/>
      <c r="T28" s="68"/>
      <c r="U28" s="66">
        <f t="shared" si="5"/>
        <v>0</v>
      </c>
      <c r="V28" s="67"/>
      <c r="W28" s="68"/>
      <c r="X28" s="66">
        <f t="shared" si="6"/>
        <v>0</v>
      </c>
      <c r="Y28" s="67"/>
      <c r="Z28" s="68"/>
      <c r="AA28" s="66">
        <f t="shared" si="7"/>
        <v>0</v>
      </c>
      <c r="AB28" s="67"/>
      <c r="AC28" s="68"/>
      <c r="AD28" s="66">
        <f t="shared" si="8"/>
        <v>0</v>
      </c>
      <c r="AE28" s="67"/>
      <c r="AF28" s="68"/>
      <c r="AG28" s="66">
        <f t="shared" si="9"/>
        <v>0</v>
      </c>
      <c r="AH28" s="67"/>
      <c r="AI28" s="68"/>
      <c r="AJ28" s="66">
        <f t="shared" si="10"/>
        <v>0</v>
      </c>
      <c r="AK28" s="93"/>
      <c r="AL28" s="68"/>
      <c r="AM28" s="66">
        <f t="shared" si="11"/>
        <v>0</v>
      </c>
      <c r="AN28" s="67"/>
      <c r="AO28" s="68"/>
      <c r="AP28" s="64">
        <f t="shared" si="12"/>
        <v>0</v>
      </c>
      <c r="AQ28" s="8" t="e">
        <f t="shared" si="0"/>
        <v>#DIV/0!</v>
      </c>
    </row>
    <row r="29" spans="1:43" ht="18" customHeight="1" x14ac:dyDescent="0.15">
      <c r="A29" s="6"/>
      <c r="B29" s="11"/>
      <c r="C29" s="63"/>
      <c r="D29" s="69"/>
      <c r="E29" s="65"/>
      <c r="F29" s="66">
        <f t="shared" si="13"/>
        <v>0</v>
      </c>
      <c r="G29" s="67"/>
      <c r="H29" s="68"/>
      <c r="I29" s="66">
        <f t="shared" si="1"/>
        <v>0</v>
      </c>
      <c r="J29" s="67"/>
      <c r="K29" s="68"/>
      <c r="L29" s="66">
        <f t="shared" si="2"/>
        <v>0</v>
      </c>
      <c r="M29" s="67"/>
      <c r="N29" s="68"/>
      <c r="O29" s="66">
        <f t="shared" si="3"/>
        <v>0</v>
      </c>
      <c r="P29" s="67"/>
      <c r="Q29" s="68"/>
      <c r="R29" s="66">
        <f t="shared" si="4"/>
        <v>0</v>
      </c>
      <c r="S29" s="67"/>
      <c r="T29" s="68"/>
      <c r="U29" s="66">
        <f t="shared" si="5"/>
        <v>0</v>
      </c>
      <c r="V29" s="67"/>
      <c r="W29" s="68"/>
      <c r="X29" s="66">
        <f t="shared" si="6"/>
        <v>0</v>
      </c>
      <c r="Y29" s="67"/>
      <c r="Z29" s="68"/>
      <c r="AA29" s="66">
        <f t="shared" si="7"/>
        <v>0</v>
      </c>
      <c r="AB29" s="67"/>
      <c r="AC29" s="68"/>
      <c r="AD29" s="66">
        <f t="shared" si="8"/>
        <v>0</v>
      </c>
      <c r="AE29" s="67"/>
      <c r="AF29" s="68"/>
      <c r="AG29" s="66">
        <f t="shared" si="9"/>
        <v>0</v>
      </c>
      <c r="AH29" s="67"/>
      <c r="AI29" s="68"/>
      <c r="AJ29" s="66">
        <f t="shared" si="10"/>
        <v>0</v>
      </c>
      <c r="AK29" s="67"/>
      <c r="AL29" s="68"/>
      <c r="AM29" s="66">
        <f t="shared" si="11"/>
        <v>0</v>
      </c>
      <c r="AN29" s="67"/>
      <c r="AO29" s="68"/>
      <c r="AP29" s="69">
        <f t="shared" si="12"/>
        <v>0</v>
      </c>
      <c r="AQ29" s="8" t="e">
        <f t="shared" si="0"/>
        <v>#DIV/0!</v>
      </c>
    </row>
    <row r="30" spans="1:43" ht="18" customHeight="1" x14ac:dyDescent="0.15">
      <c r="A30" s="6"/>
      <c r="B30" s="11"/>
      <c r="C30" s="63"/>
      <c r="D30" s="69"/>
      <c r="E30" s="65"/>
      <c r="F30" s="66">
        <f t="shared" si="13"/>
        <v>0</v>
      </c>
      <c r="G30" s="67"/>
      <c r="H30" s="68"/>
      <c r="I30" s="66">
        <f t="shared" si="1"/>
        <v>0</v>
      </c>
      <c r="J30" s="67"/>
      <c r="K30" s="68"/>
      <c r="L30" s="66">
        <f t="shared" si="2"/>
        <v>0</v>
      </c>
      <c r="M30" s="67"/>
      <c r="N30" s="68"/>
      <c r="O30" s="66">
        <f t="shared" si="3"/>
        <v>0</v>
      </c>
      <c r="P30" s="67"/>
      <c r="Q30" s="68"/>
      <c r="R30" s="66">
        <f t="shared" si="4"/>
        <v>0</v>
      </c>
      <c r="S30" s="67"/>
      <c r="T30" s="68"/>
      <c r="U30" s="66">
        <f t="shared" si="5"/>
        <v>0</v>
      </c>
      <c r="V30" s="67"/>
      <c r="W30" s="68"/>
      <c r="X30" s="66">
        <f t="shared" si="6"/>
        <v>0</v>
      </c>
      <c r="Y30" s="67"/>
      <c r="Z30" s="68"/>
      <c r="AA30" s="66">
        <f t="shared" si="7"/>
        <v>0</v>
      </c>
      <c r="AB30" s="67"/>
      <c r="AC30" s="68"/>
      <c r="AD30" s="66">
        <f t="shared" si="8"/>
        <v>0</v>
      </c>
      <c r="AE30" s="67"/>
      <c r="AF30" s="68"/>
      <c r="AG30" s="66">
        <f t="shared" si="9"/>
        <v>0</v>
      </c>
      <c r="AH30" s="67"/>
      <c r="AI30" s="68"/>
      <c r="AJ30" s="66">
        <f t="shared" si="10"/>
        <v>0</v>
      </c>
      <c r="AK30" s="67"/>
      <c r="AL30" s="68"/>
      <c r="AM30" s="66">
        <f t="shared" si="11"/>
        <v>0</v>
      </c>
      <c r="AN30" s="67"/>
      <c r="AO30" s="68"/>
      <c r="AP30" s="69">
        <f t="shared" si="12"/>
        <v>0</v>
      </c>
      <c r="AQ30" s="8" t="e">
        <f t="shared" si="0"/>
        <v>#DIV/0!</v>
      </c>
    </row>
    <row r="31" spans="1:43" ht="18" customHeight="1" thickBot="1" x14ac:dyDescent="0.2">
      <c r="A31" s="6"/>
      <c r="B31" s="12"/>
      <c r="C31" s="58"/>
      <c r="D31" s="70"/>
      <c r="E31" s="60"/>
      <c r="F31" s="60">
        <f t="shared" si="13"/>
        <v>0</v>
      </c>
      <c r="G31" s="71"/>
      <c r="H31" s="72"/>
      <c r="I31" s="60">
        <f t="shared" si="1"/>
        <v>0</v>
      </c>
      <c r="J31" s="71"/>
      <c r="K31" s="72"/>
      <c r="L31" s="60">
        <f t="shared" si="2"/>
        <v>0</v>
      </c>
      <c r="M31" s="71"/>
      <c r="N31" s="72"/>
      <c r="O31" s="60">
        <f t="shared" si="3"/>
        <v>0</v>
      </c>
      <c r="P31" s="71"/>
      <c r="Q31" s="72"/>
      <c r="R31" s="60">
        <f t="shared" si="4"/>
        <v>0</v>
      </c>
      <c r="S31" s="71"/>
      <c r="T31" s="72"/>
      <c r="U31" s="60">
        <f t="shared" si="5"/>
        <v>0</v>
      </c>
      <c r="V31" s="71"/>
      <c r="W31" s="72"/>
      <c r="X31" s="60">
        <f t="shared" si="6"/>
        <v>0</v>
      </c>
      <c r="Y31" s="71"/>
      <c r="Z31" s="72"/>
      <c r="AA31" s="60">
        <f t="shared" si="7"/>
        <v>0</v>
      </c>
      <c r="AB31" s="71"/>
      <c r="AC31" s="72"/>
      <c r="AD31" s="60">
        <f t="shared" si="8"/>
        <v>0</v>
      </c>
      <c r="AE31" s="71"/>
      <c r="AF31" s="72"/>
      <c r="AG31" s="60">
        <f t="shared" si="9"/>
        <v>0</v>
      </c>
      <c r="AH31" s="71"/>
      <c r="AI31" s="72"/>
      <c r="AJ31" s="60">
        <f t="shared" si="10"/>
        <v>0</v>
      </c>
      <c r="AK31" s="71"/>
      <c r="AL31" s="72"/>
      <c r="AM31" s="60">
        <f t="shared" si="11"/>
        <v>0</v>
      </c>
      <c r="AN31" s="71"/>
      <c r="AO31" s="72"/>
      <c r="AP31" s="70">
        <f t="shared" si="12"/>
        <v>0</v>
      </c>
      <c r="AQ31" s="7" t="e">
        <f t="shared" si="0"/>
        <v>#DIV/0!</v>
      </c>
    </row>
    <row r="32" spans="1:43" ht="18" customHeight="1" thickTop="1" x14ac:dyDescent="0.15">
      <c r="B32" s="13" t="s">
        <v>32</v>
      </c>
      <c r="C32" s="73">
        <f t="shared" ref="C32" si="14">SUM(C12:C31)</f>
        <v>7509</v>
      </c>
      <c r="D32" s="74">
        <f t="shared" ref="D32:AP32" si="15">SUM(D12:D31)</f>
        <v>1780</v>
      </c>
      <c r="E32" s="75">
        <f t="shared" si="15"/>
        <v>7290</v>
      </c>
      <c r="F32" s="75">
        <f t="shared" si="15"/>
        <v>1767</v>
      </c>
      <c r="G32" s="76">
        <f t="shared" si="15"/>
        <v>1502</v>
      </c>
      <c r="H32" s="77">
        <f t="shared" si="15"/>
        <v>265</v>
      </c>
      <c r="I32" s="75">
        <f t="shared" ref="I32:N32" si="16">SUM(I12:I31)</f>
        <v>0</v>
      </c>
      <c r="J32" s="76">
        <f t="shared" si="16"/>
        <v>0</v>
      </c>
      <c r="K32" s="77">
        <f t="shared" si="16"/>
        <v>0</v>
      </c>
      <c r="L32" s="75">
        <f t="shared" si="16"/>
        <v>0</v>
      </c>
      <c r="M32" s="76">
        <f t="shared" si="16"/>
        <v>0</v>
      </c>
      <c r="N32" s="77">
        <f t="shared" si="16"/>
        <v>0</v>
      </c>
      <c r="O32" s="75">
        <f t="shared" ref="O32:T32" si="17">SUM(O12:O31)</f>
        <v>0</v>
      </c>
      <c r="P32" s="76">
        <f t="shared" si="17"/>
        <v>0</v>
      </c>
      <c r="Q32" s="77">
        <f t="shared" si="17"/>
        <v>0</v>
      </c>
      <c r="R32" s="75">
        <f t="shared" si="17"/>
        <v>0</v>
      </c>
      <c r="S32" s="76">
        <f t="shared" si="17"/>
        <v>0</v>
      </c>
      <c r="T32" s="77">
        <f t="shared" si="17"/>
        <v>0</v>
      </c>
      <c r="U32" s="75">
        <f t="shared" ref="U32:AI32" si="18">SUM(U12:U31)</f>
        <v>0</v>
      </c>
      <c r="V32" s="76">
        <f t="shared" si="18"/>
        <v>0</v>
      </c>
      <c r="W32" s="77">
        <f t="shared" si="18"/>
        <v>0</v>
      </c>
      <c r="X32" s="75">
        <f t="shared" si="18"/>
        <v>0</v>
      </c>
      <c r="Y32" s="76">
        <f t="shared" si="18"/>
        <v>0</v>
      </c>
      <c r="Z32" s="77">
        <f t="shared" si="18"/>
        <v>0</v>
      </c>
      <c r="AA32" s="75">
        <f t="shared" si="18"/>
        <v>0</v>
      </c>
      <c r="AB32" s="76">
        <f t="shared" si="18"/>
        <v>0</v>
      </c>
      <c r="AC32" s="77">
        <f t="shared" si="18"/>
        <v>0</v>
      </c>
      <c r="AD32" s="75">
        <f t="shared" si="18"/>
        <v>0</v>
      </c>
      <c r="AE32" s="76">
        <f t="shared" si="18"/>
        <v>0</v>
      </c>
      <c r="AF32" s="77">
        <f t="shared" si="18"/>
        <v>0</v>
      </c>
      <c r="AG32" s="75">
        <f t="shared" si="18"/>
        <v>0</v>
      </c>
      <c r="AH32" s="76">
        <f t="shared" si="18"/>
        <v>0</v>
      </c>
      <c r="AI32" s="77">
        <f t="shared" si="18"/>
        <v>0</v>
      </c>
      <c r="AJ32" s="75">
        <f t="shared" ref="AJ32:AO32" si="19">SUM(AJ12:AJ31)</f>
        <v>0</v>
      </c>
      <c r="AK32" s="76">
        <f t="shared" si="19"/>
        <v>0</v>
      </c>
      <c r="AL32" s="77">
        <f t="shared" si="19"/>
        <v>0</v>
      </c>
      <c r="AM32" s="75">
        <f t="shared" si="19"/>
        <v>0</v>
      </c>
      <c r="AN32" s="76">
        <f t="shared" si="19"/>
        <v>0</v>
      </c>
      <c r="AO32" s="77">
        <f t="shared" si="19"/>
        <v>0</v>
      </c>
      <c r="AP32" s="74">
        <f t="shared" si="15"/>
        <v>1767</v>
      </c>
      <c r="AQ32" s="92">
        <f t="shared" si="0"/>
        <v>0.24238683127572017</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ageMargins left="0.78740157480314965" right="0.78740157480314965" top="0.78740157480314965" bottom="7.874015748031496E-2" header="0.31496062992125984" footer="0.19685039370078741"/>
  <pageSetup paperSize="9" scale="57" fitToHeight="0" orientation="landscape" r:id="rId1"/>
  <headerFooter>
    <oddHeader>&amp;C数理・データサイエンス・AI教育プログラム認定制度【リテラシーレベル】</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28" zoomScale="115" zoomScaleNormal="100" zoomScaleSheetLayoutView="115" workbookViewId="0">
      <selection activeCell="B35" sqref="B35:I46"/>
    </sheetView>
  </sheetViews>
  <sheetFormatPr defaultColWidth="11.375" defaultRowHeight="18.75" customHeight="1" x14ac:dyDescent="0.15"/>
  <cols>
    <col min="1" max="1" width="2.75" style="37"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7" t="s">
        <v>64</v>
      </c>
      <c r="I1" s="32" t="s">
        <v>105</v>
      </c>
    </row>
    <row r="2" spans="1:9" ht="18.75" customHeight="1" x14ac:dyDescent="0.15">
      <c r="G2" s="32" t="s">
        <v>108</v>
      </c>
      <c r="H2" s="110" t="str">
        <f>'様式１ー１　プログラムを構成する授業科目'!C2</f>
        <v>大阪工業大学</v>
      </c>
      <c r="I2" s="111"/>
    </row>
    <row r="3" spans="1:9" ht="18.75" customHeight="1" x14ac:dyDescent="0.15">
      <c r="G3" s="32"/>
      <c r="H3" s="9"/>
      <c r="I3" s="9"/>
    </row>
    <row r="4" spans="1:9" ht="18.600000000000001" customHeight="1" x14ac:dyDescent="0.15">
      <c r="A4" s="135" t="s">
        <v>35</v>
      </c>
      <c r="B4" s="135"/>
      <c r="C4" s="135"/>
      <c r="D4" s="135"/>
      <c r="E4" s="135"/>
      <c r="F4" s="135"/>
      <c r="G4" s="135"/>
      <c r="H4" s="135"/>
      <c r="I4" s="135"/>
    </row>
    <row r="5" spans="1:9" ht="13.15" customHeight="1" x14ac:dyDescent="0.15">
      <c r="B5" s="3"/>
      <c r="C5" s="3"/>
      <c r="D5" s="3"/>
      <c r="E5" s="3"/>
      <c r="F5" s="3"/>
      <c r="G5" s="3"/>
      <c r="H5" s="3"/>
      <c r="I5" s="3"/>
    </row>
    <row r="6" spans="1:9" ht="18" customHeight="1" x14ac:dyDescent="0.15">
      <c r="A6" s="1" t="s">
        <v>0</v>
      </c>
      <c r="B6" s="9" t="s">
        <v>90</v>
      </c>
      <c r="C6" s="314" t="s">
        <v>91</v>
      </c>
      <c r="D6" s="314"/>
      <c r="E6" s="31">
        <v>292</v>
      </c>
      <c r="F6" s="3" t="s">
        <v>1</v>
      </c>
      <c r="G6" s="3" t="s">
        <v>2</v>
      </c>
      <c r="H6" s="31">
        <v>396</v>
      </c>
      <c r="I6" s="9" t="s">
        <v>1</v>
      </c>
    </row>
    <row r="7" spans="1:9" ht="12" customHeight="1" x14ac:dyDescent="0.15">
      <c r="C7" s="2"/>
      <c r="D7" s="2"/>
      <c r="E7" s="2"/>
      <c r="F7" s="2"/>
      <c r="G7" s="2"/>
      <c r="H7" s="2"/>
      <c r="I7" s="38"/>
    </row>
    <row r="8" spans="1:9" ht="18" customHeight="1" x14ac:dyDescent="0.15">
      <c r="A8" s="1" t="s">
        <v>3</v>
      </c>
      <c r="B8" s="9" t="s">
        <v>92</v>
      </c>
      <c r="E8" s="3"/>
      <c r="F8" s="3"/>
      <c r="G8" s="3"/>
      <c r="H8" s="31">
        <v>57</v>
      </c>
      <c r="I8" s="9" t="s">
        <v>1</v>
      </c>
    </row>
    <row r="9" spans="1:9" ht="9" customHeight="1" x14ac:dyDescent="0.15">
      <c r="B9" s="3"/>
      <c r="C9" s="3"/>
      <c r="D9" s="3"/>
      <c r="E9" s="3"/>
      <c r="F9" s="3"/>
      <c r="G9" s="3"/>
      <c r="H9" s="3"/>
      <c r="I9" s="3"/>
    </row>
    <row r="10" spans="1:9" ht="18" customHeight="1" x14ac:dyDescent="0.15">
      <c r="A10" s="1" t="s">
        <v>4</v>
      </c>
      <c r="B10" s="9" t="s">
        <v>93</v>
      </c>
      <c r="C10" s="3"/>
      <c r="D10" s="3"/>
      <c r="E10" s="3"/>
      <c r="F10" s="3"/>
      <c r="G10" s="3"/>
      <c r="H10" s="3"/>
      <c r="I10" s="3"/>
    </row>
    <row r="11" spans="1:9" ht="18" customHeight="1" x14ac:dyDescent="0.15">
      <c r="B11" s="32" t="s">
        <v>42</v>
      </c>
      <c r="C11" s="110" t="s">
        <v>173</v>
      </c>
      <c r="D11" s="146"/>
      <c r="E11" s="147"/>
      <c r="F11" s="38"/>
      <c r="G11" s="32" t="s">
        <v>10</v>
      </c>
      <c r="H11" s="110" t="s">
        <v>174</v>
      </c>
      <c r="I11" s="147"/>
    </row>
    <row r="12" spans="1:9" ht="10.15" customHeight="1" x14ac:dyDescent="0.15">
      <c r="B12" s="32"/>
      <c r="C12" s="9"/>
      <c r="D12" s="38"/>
      <c r="E12" s="38"/>
      <c r="F12" s="38"/>
      <c r="G12" s="32"/>
      <c r="H12" s="9"/>
      <c r="I12" s="38"/>
    </row>
    <row r="13" spans="1:9" ht="18" customHeight="1" x14ac:dyDescent="0.15">
      <c r="A13" s="1" t="s">
        <v>7</v>
      </c>
      <c r="B13" s="9" t="s">
        <v>87</v>
      </c>
      <c r="C13" s="3"/>
      <c r="D13" s="3"/>
      <c r="E13" s="3"/>
      <c r="F13" s="3"/>
      <c r="G13" s="3"/>
      <c r="H13" s="3"/>
      <c r="I13" s="3"/>
    </row>
    <row r="14" spans="1:9" ht="18" customHeight="1" x14ac:dyDescent="0.15">
      <c r="B14" s="110" t="s">
        <v>175</v>
      </c>
      <c r="C14" s="146"/>
      <c r="D14" s="146"/>
      <c r="E14" s="146"/>
      <c r="F14" s="146"/>
      <c r="G14" s="146"/>
      <c r="H14" s="146"/>
      <c r="I14" s="147"/>
    </row>
    <row r="15" spans="1:9" ht="9" customHeight="1" x14ac:dyDescent="0.15">
      <c r="B15" s="3"/>
      <c r="C15" s="3"/>
      <c r="D15" s="3"/>
      <c r="E15" s="3"/>
      <c r="F15" s="3"/>
      <c r="G15" s="3"/>
      <c r="H15" s="3"/>
      <c r="I15" s="3"/>
    </row>
    <row r="16" spans="1:9" ht="18" customHeight="1" x14ac:dyDescent="0.15">
      <c r="B16" s="32" t="s">
        <v>42</v>
      </c>
      <c r="C16" s="110" t="s">
        <v>173</v>
      </c>
      <c r="D16" s="146"/>
      <c r="E16" s="147"/>
      <c r="F16" s="38"/>
      <c r="G16" s="32" t="s">
        <v>10</v>
      </c>
      <c r="H16" s="110" t="s">
        <v>174</v>
      </c>
      <c r="I16" s="147"/>
    </row>
    <row r="17" spans="1:12" ht="18" customHeight="1" x14ac:dyDescent="0.15">
      <c r="B17" s="3"/>
      <c r="C17" s="3"/>
      <c r="D17" s="3"/>
      <c r="E17" s="3"/>
      <c r="F17" s="3"/>
      <c r="G17" s="3"/>
      <c r="H17" s="3"/>
      <c r="I17" s="3"/>
    </row>
    <row r="18" spans="1:12" ht="18.75" customHeight="1" x14ac:dyDescent="0.15">
      <c r="A18" s="1" t="s">
        <v>5</v>
      </c>
      <c r="B18" s="1" t="s">
        <v>41</v>
      </c>
      <c r="I18" s="3"/>
    </row>
    <row r="19" spans="1:12" ht="18.75" customHeight="1" x14ac:dyDescent="0.15">
      <c r="A19" s="1"/>
      <c r="B19" s="250" t="s">
        <v>176</v>
      </c>
      <c r="C19" s="308"/>
      <c r="D19" s="308"/>
      <c r="E19" s="308"/>
      <c r="F19" s="308"/>
      <c r="G19" s="308"/>
      <c r="H19" s="308"/>
      <c r="I19" s="251"/>
    </row>
    <row r="20" spans="1:12" ht="7.5" customHeight="1" x14ac:dyDescent="0.15">
      <c r="B20" s="3"/>
      <c r="C20" s="3"/>
      <c r="D20" s="3"/>
      <c r="E20" s="3"/>
      <c r="F20" s="3"/>
      <c r="G20" s="3"/>
      <c r="H20" s="3"/>
      <c r="I20" s="3"/>
    </row>
    <row r="21" spans="1:12" ht="18.75" customHeight="1" x14ac:dyDescent="0.15">
      <c r="A21" s="1" t="s">
        <v>8</v>
      </c>
      <c r="B21" s="1" t="s">
        <v>24</v>
      </c>
      <c r="E21" s="297"/>
      <c r="F21" s="297"/>
    </row>
    <row r="22" spans="1:12" ht="18.75" customHeight="1" x14ac:dyDescent="0.15">
      <c r="A22" s="14"/>
      <c r="B22" s="298" t="s">
        <v>191</v>
      </c>
      <c r="C22" s="299"/>
      <c r="D22" s="299"/>
      <c r="E22" s="299"/>
      <c r="F22" s="299"/>
      <c r="G22" s="299"/>
      <c r="H22" s="299"/>
      <c r="I22" s="300"/>
      <c r="K22" s="1">
        <f>LEN(B22)</f>
        <v>222</v>
      </c>
    </row>
    <row r="23" spans="1:12" ht="18.75" customHeight="1" x14ac:dyDescent="0.15">
      <c r="A23" s="14"/>
      <c r="B23" s="309"/>
      <c r="C23" s="310"/>
      <c r="D23" s="310"/>
      <c r="E23" s="310"/>
      <c r="F23" s="310"/>
      <c r="G23" s="310"/>
      <c r="H23" s="310"/>
      <c r="I23" s="303"/>
    </row>
    <row r="24" spans="1:12" ht="18.75" customHeight="1" x14ac:dyDescent="0.15">
      <c r="A24" s="14"/>
      <c r="B24" s="309"/>
      <c r="C24" s="310"/>
      <c r="D24" s="310"/>
      <c r="E24" s="310"/>
      <c r="F24" s="310"/>
      <c r="G24" s="310"/>
      <c r="H24" s="310"/>
      <c r="I24" s="303"/>
    </row>
    <row r="25" spans="1:12" ht="18.75" customHeight="1" x14ac:dyDescent="0.15">
      <c r="A25" s="14"/>
      <c r="B25" s="309"/>
      <c r="C25" s="310"/>
      <c r="D25" s="310"/>
      <c r="E25" s="310"/>
      <c r="F25" s="310"/>
      <c r="G25" s="310"/>
      <c r="H25" s="310"/>
      <c r="I25" s="303"/>
      <c r="L25" s="83"/>
    </row>
    <row r="26" spans="1:12" ht="18.75" customHeight="1" x14ac:dyDescent="0.15">
      <c r="A26" s="14"/>
      <c r="B26" s="309"/>
      <c r="C26" s="310"/>
      <c r="D26" s="310"/>
      <c r="E26" s="310"/>
      <c r="F26" s="310"/>
      <c r="G26" s="310"/>
      <c r="H26" s="310"/>
      <c r="I26" s="303"/>
    </row>
    <row r="27" spans="1:12" ht="18.75" customHeight="1" x14ac:dyDescent="0.15">
      <c r="A27" s="14"/>
      <c r="B27" s="309"/>
      <c r="C27" s="310"/>
      <c r="D27" s="310"/>
      <c r="E27" s="310"/>
      <c r="F27" s="310"/>
      <c r="G27" s="310"/>
      <c r="H27" s="310"/>
      <c r="I27" s="303"/>
    </row>
    <row r="28" spans="1:12" ht="18.75" customHeight="1" x14ac:dyDescent="0.15">
      <c r="A28" s="14"/>
      <c r="B28" s="309"/>
      <c r="C28" s="310"/>
      <c r="D28" s="310"/>
      <c r="E28" s="310"/>
      <c r="F28" s="310"/>
      <c r="G28" s="310"/>
      <c r="H28" s="310"/>
      <c r="I28" s="303"/>
    </row>
    <row r="29" spans="1:12" ht="18.75" customHeight="1" x14ac:dyDescent="0.15">
      <c r="A29" s="14"/>
      <c r="B29" s="309"/>
      <c r="C29" s="310"/>
      <c r="D29" s="310"/>
      <c r="E29" s="310"/>
      <c r="F29" s="310"/>
      <c r="G29" s="310"/>
      <c r="H29" s="310"/>
      <c r="I29" s="303"/>
    </row>
    <row r="30" spans="1:12" ht="10.15" customHeight="1" x14ac:dyDescent="0.15">
      <c r="A30" s="14"/>
      <c r="B30" s="301"/>
      <c r="C30" s="302"/>
      <c r="D30" s="302"/>
      <c r="E30" s="302"/>
      <c r="F30" s="302"/>
      <c r="G30" s="302"/>
      <c r="H30" s="302"/>
      <c r="I30" s="303"/>
    </row>
    <row r="31" spans="1:12" ht="10.15" customHeight="1" x14ac:dyDescent="0.15">
      <c r="A31" s="14"/>
      <c r="B31" s="301"/>
      <c r="C31" s="302"/>
      <c r="D31" s="302"/>
      <c r="E31" s="302"/>
      <c r="F31" s="302"/>
      <c r="G31" s="302"/>
      <c r="H31" s="302"/>
      <c r="I31" s="303"/>
    </row>
    <row r="32" spans="1:12" ht="10.15" customHeight="1" x14ac:dyDescent="0.15">
      <c r="A32" s="14"/>
      <c r="B32" s="304"/>
      <c r="C32" s="305"/>
      <c r="D32" s="305"/>
      <c r="E32" s="305"/>
      <c r="F32" s="305"/>
      <c r="G32" s="305"/>
      <c r="H32" s="305"/>
      <c r="I32" s="306"/>
    </row>
    <row r="33" spans="1:9" ht="7.5" customHeight="1" x14ac:dyDescent="0.15">
      <c r="A33" s="14"/>
      <c r="B33" s="14"/>
      <c r="C33" s="14"/>
      <c r="D33" s="14"/>
      <c r="E33" s="14"/>
      <c r="F33" s="14"/>
      <c r="G33" s="14"/>
      <c r="H33" s="14"/>
      <c r="I33" s="14"/>
    </row>
    <row r="34" spans="1:9" ht="18.600000000000001" customHeight="1" x14ac:dyDescent="0.15">
      <c r="A34" s="15" t="s">
        <v>6</v>
      </c>
      <c r="B34" s="15" t="s">
        <v>9</v>
      </c>
      <c r="C34" s="9"/>
      <c r="D34" s="15"/>
      <c r="E34" s="15"/>
      <c r="F34" s="15"/>
      <c r="G34" s="15"/>
      <c r="H34" s="15"/>
      <c r="I34" s="15"/>
    </row>
    <row r="35" spans="1:9" ht="21" customHeight="1" x14ac:dyDescent="0.15">
      <c r="A35" s="14"/>
      <c r="B35" s="298" t="s">
        <v>231</v>
      </c>
      <c r="C35" s="299"/>
      <c r="D35" s="299"/>
      <c r="E35" s="299"/>
      <c r="F35" s="299"/>
      <c r="G35" s="299"/>
      <c r="H35" s="299"/>
      <c r="I35" s="300"/>
    </row>
    <row r="36" spans="1:9" ht="21" customHeight="1" x14ac:dyDescent="0.15">
      <c r="A36" s="14"/>
      <c r="B36" s="301"/>
      <c r="C36" s="302"/>
      <c r="D36" s="302"/>
      <c r="E36" s="302"/>
      <c r="F36" s="302"/>
      <c r="G36" s="302"/>
      <c r="H36" s="302"/>
      <c r="I36" s="303"/>
    </row>
    <row r="37" spans="1:9" ht="21" customHeight="1" x14ac:dyDescent="0.15">
      <c r="A37" s="14"/>
      <c r="B37" s="301"/>
      <c r="C37" s="302"/>
      <c r="D37" s="302"/>
      <c r="E37" s="302"/>
      <c r="F37" s="302"/>
      <c r="G37" s="302"/>
      <c r="H37" s="302"/>
      <c r="I37" s="303"/>
    </row>
    <row r="38" spans="1:9" ht="21" customHeight="1" x14ac:dyDescent="0.15">
      <c r="A38" s="14"/>
      <c r="B38" s="301"/>
      <c r="C38" s="302"/>
      <c r="D38" s="302"/>
      <c r="E38" s="302"/>
      <c r="F38" s="302"/>
      <c r="G38" s="302"/>
      <c r="H38" s="302"/>
      <c r="I38" s="303"/>
    </row>
    <row r="39" spans="1:9" ht="21" customHeight="1" x14ac:dyDescent="0.15">
      <c r="A39" s="14"/>
      <c r="B39" s="301"/>
      <c r="C39" s="302"/>
      <c r="D39" s="302"/>
      <c r="E39" s="302"/>
      <c r="F39" s="302"/>
      <c r="G39" s="302"/>
      <c r="H39" s="302"/>
      <c r="I39" s="303"/>
    </row>
    <row r="40" spans="1:9" ht="21" customHeight="1" x14ac:dyDescent="0.15">
      <c r="A40" s="14"/>
      <c r="B40" s="301"/>
      <c r="C40" s="302"/>
      <c r="D40" s="302"/>
      <c r="E40" s="302"/>
      <c r="F40" s="302"/>
      <c r="G40" s="302"/>
      <c r="H40" s="302"/>
      <c r="I40" s="303"/>
    </row>
    <row r="41" spans="1:9" ht="21" customHeight="1" x14ac:dyDescent="0.15">
      <c r="A41" s="14"/>
      <c r="B41" s="301"/>
      <c r="C41" s="302"/>
      <c r="D41" s="302"/>
      <c r="E41" s="302"/>
      <c r="F41" s="302"/>
      <c r="G41" s="302"/>
      <c r="H41" s="302"/>
      <c r="I41" s="303"/>
    </row>
    <row r="42" spans="1:9" ht="21" customHeight="1" x14ac:dyDescent="0.15">
      <c r="A42" s="14"/>
      <c r="B42" s="301"/>
      <c r="C42" s="302"/>
      <c r="D42" s="302"/>
      <c r="E42" s="302"/>
      <c r="F42" s="302"/>
      <c r="G42" s="302"/>
      <c r="H42" s="302"/>
      <c r="I42" s="303"/>
    </row>
    <row r="43" spans="1:9" ht="21" customHeight="1" x14ac:dyDescent="0.15">
      <c r="A43" s="14"/>
      <c r="B43" s="301"/>
      <c r="C43" s="302"/>
      <c r="D43" s="302"/>
      <c r="E43" s="302"/>
      <c r="F43" s="302"/>
      <c r="G43" s="302"/>
      <c r="H43" s="302"/>
      <c r="I43" s="303"/>
    </row>
    <row r="44" spans="1:9" ht="21" customHeight="1" x14ac:dyDescent="0.15">
      <c r="A44" s="14"/>
      <c r="B44" s="301"/>
      <c r="C44" s="302"/>
      <c r="D44" s="302"/>
      <c r="E44" s="302"/>
      <c r="F44" s="302"/>
      <c r="G44" s="302"/>
      <c r="H44" s="302"/>
      <c r="I44" s="303"/>
    </row>
    <row r="45" spans="1:9" ht="21" customHeight="1" x14ac:dyDescent="0.15">
      <c r="A45" s="14"/>
      <c r="B45" s="301"/>
      <c r="C45" s="302"/>
      <c r="D45" s="302"/>
      <c r="E45" s="302"/>
      <c r="F45" s="302"/>
      <c r="G45" s="302"/>
      <c r="H45" s="302"/>
      <c r="I45" s="303"/>
    </row>
    <row r="46" spans="1:9" ht="21" customHeight="1" x14ac:dyDescent="0.15">
      <c r="A46" s="14"/>
      <c r="B46" s="304"/>
      <c r="C46" s="305"/>
      <c r="D46" s="305"/>
      <c r="E46" s="305"/>
      <c r="F46" s="305"/>
      <c r="G46" s="305"/>
      <c r="H46" s="305"/>
      <c r="I46" s="306"/>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39" t="s">
        <v>88</v>
      </c>
      <c r="C49" s="287">
        <f>'様式２ 履修者等数の実績'!AQ32</f>
        <v>0.24238683127572017</v>
      </c>
      <c r="D49" s="287"/>
      <c r="E49" s="39" t="s">
        <v>65</v>
      </c>
      <c r="F49" s="287">
        <v>0.4</v>
      </c>
      <c r="G49" s="287"/>
      <c r="H49" s="39" t="s">
        <v>66</v>
      </c>
      <c r="I49" s="40">
        <v>0.55000000000000004</v>
      </c>
      <c r="J49" s="1"/>
      <c r="M49" s="1"/>
      <c r="N49" s="41"/>
    </row>
    <row r="50" spans="1:15" s="3" customFormat="1" ht="18.75" customHeight="1" x14ac:dyDescent="0.15">
      <c r="B50" s="42" t="s">
        <v>67</v>
      </c>
      <c r="C50" s="270">
        <v>0.65</v>
      </c>
      <c r="D50" s="270"/>
      <c r="E50" s="42" t="s">
        <v>89</v>
      </c>
      <c r="F50" s="270">
        <v>0.7</v>
      </c>
      <c r="G50" s="270"/>
      <c r="H50" s="42" t="s">
        <v>68</v>
      </c>
      <c r="I50" s="43">
        <f>'様式２ 履修者等数の実績'!E32</f>
        <v>7290</v>
      </c>
      <c r="J50" s="1"/>
      <c r="M50" s="1"/>
      <c r="N50" s="41"/>
    </row>
    <row r="51" spans="1:15" ht="18.75" customHeight="1" x14ac:dyDescent="0.15">
      <c r="A51" s="1"/>
      <c r="B51" s="311" t="s">
        <v>69</v>
      </c>
      <c r="C51" s="312"/>
      <c r="D51" s="312"/>
      <c r="E51" s="312"/>
      <c r="F51" s="312"/>
      <c r="G51" s="312"/>
      <c r="H51" s="312"/>
      <c r="I51" s="313"/>
      <c r="N51" s="41"/>
      <c r="O51" s="3"/>
    </row>
    <row r="52" spans="1:15" ht="18.75" customHeight="1" x14ac:dyDescent="0.15">
      <c r="A52" s="1"/>
      <c r="B52" s="288" t="s">
        <v>192</v>
      </c>
      <c r="C52" s="289"/>
      <c r="D52" s="289"/>
      <c r="E52" s="289"/>
      <c r="F52" s="289"/>
      <c r="G52" s="289"/>
      <c r="H52" s="289"/>
      <c r="I52" s="290"/>
      <c r="J52" s="1">
        <v>307</v>
      </c>
      <c r="K52" s="1">
        <f>LEN(B52)</f>
        <v>307</v>
      </c>
      <c r="N52" s="41"/>
      <c r="O52" s="3"/>
    </row>
    <row r="53" spans="1:15" ht="18.75" customHeight="1" x14ac:dyDescent="0.15">
      <c r="A53" s="1"/>
      <c r="B53" s="291"/>
      <c r="C53" s="292"/>
      <c r="D53" s="292"/>
      <c r="E53" s="292"/>
      <c r="F53" s="292"/>
      <c r="G53" s="292"/>
      <c r="H53" s="292"/>
      <c r="I53" s="293"/>
      <c r="N53" s="41"/>
      <c r="O53" s="3"/>
    </row>
    <row r="54" spans="1:15" ht="18.75" customHeight="1" x14ac:dyDescent="0.15">
      <c r="A54" s="1"/>
      <c r="B54" s="291"/>
      <c r="C54" s="292"/>
      <c r="D54" s="292"/>
      <c r="E54" s="292"/>
      <c r="F54" s="292"/>
      <c r="G54" s="292"/>
      <c r="H54" s="292"/>
      <c r="I54" s="293"/>
    </row>
    <row r="55" spans="1:15" ht="18.75" customHeight="1" x14ac:dyDescent="0.15">
      <c r="A55" s="1"/>
      <c r="B55" s="291"/>
      <c r="C55" s="292"/>
      <c r="D55" s="292"/>
      <c r="E55" s="292"/>
      <c r="F55" s="292"/>
      <c r="G55" s="292"/>
      <c r="H55" s="292"/>
      <c r="I55" s="293"/>
    </row>
    <row r="56" spans="1:15" ht="18.75" customHeight="1" x14ac:dyDescent="0.15">
      <c r="A56" s="1"/>
      <c r="B56" s="291"/>
      <c r="C56" s="292"/>
      <c r="D56" s="292"/>
      <c r="E56" s="292"/>
      <c r="F56" s="292"/>
      <c r="G56" s="292"/>
      <c r="H56" s="292"/>
      <c r="I56" s="293"/>
    </row>
    <row r="57" spans="1:15" ht="18.75" customHeight="1" x14ac:dyDescent="0.15">
      <c r="A57" s="1"/>
      <c r="B57" s="291"/>
      <c r="C57" s="292"/>
      <c r="D57" s="292"/>
      <c r="E57" s="292"/>
      <c r="F57" s="292"/>
      <c r="G57" s="292"/>
      <c r="H57" s="292"/>
      <c r="I57" s="293"/>
    </row>
    <row r="58" spans="1:15" ht="18.75" customHeight="1" x14ac:dyDescent="0.15">
      <c r="A58" s="1"/>
      <c r="B58" s="291"/>
      <c r="C58" s="292"/>
      <c r="D58" s="292"/>
      <c r="E58" s="292"/>
      <c r="F58" s="292"/>
      <c r="G58" s="292"/>
      <c r="H58" s="292"/>
      <c r="I58" s="293"/>
    </row>
    <row r="59" spans="1:15" ht="18.75" customHeight="1" x14ac:dyDescent="0.15">
      <c r="A59" s="1"/>
      <c r="B59" s="291"/>
      <c r="C59" s="292"/>
      <c r="D59" s="292"/>
      <c r="E59" s="292"/>
      <c r="F59" s="292"/>
      <c r="G59" s="292"/>
      <c r="H59" s="292"/>
      <c r="I59" s="293"/>
    </row>
    <row r="60" spans="1:15" ht="18.75" customHeight="1" x14ac:dyDescent="0.15">
      <c r="A60" s="1"/>
      <c r="B60" s="291"/>
      <c r="C60" s="292"/>
      <c r="D60" s="292"/>
      <c r="E60" s="292"/>
      <c r="F60" s="292"/>
      <c r="G60" s="292"/>
      <c r="H60" s="292"/>
      <c r="I60" s="293"/>
    </row>
    <row r="61" spans="1:15" ht="18.75" customHeight="1" x14ac:dyDescent="0.15">
      <c r="A61" s="1"/>
      <c r="B61" s="291"/>
      <c r="C61" s="292"/>
      <c r="D61" s="292"/>
      <c r="E61" s="292"/>
      <c r="F61" s="292"/>
      <c r="G61" s="292"/>
      <c r="H61" s="292"/>
      <c r="I61" s="293"/>
    </row>
    <row r="62" spans="1:15" ht="18.75" customHeight="1" x14ac:dyDescent="0.15">
      <c r="A62" s="1"/>
      <c r="B62" s="291"/>
      <c r="C62" s="292"/>
      <c r="D62" s="292"/>
      <c r="E62" s="292"/>
      <c r="F62" s="292"/>
      <c r="G62" s="292"/>
      <c r="H62" s="292"/>
      <c r="I62" s="293"/>
    </row>
    <row r="63" spans="1:15" ht="18.75" customHeight="1" x14ac:dyDescent="0.15">
      <c r="A63" s="1"/>
      <c r="B63" s="294"/>
      <c r="C63" s="295"/>
      <c r="D63" s="295"/>
      <c r="E63" s="295"/>
      <c r="F63" s="295"/>
      <c r="G63" s="295"/>
      <c r="H63" s="295"/>
      <c r="I63" s="296"/>
    </row>
    <row r="64" spans="1:15" ht="7.5" customHeight="1" x14ac:dyDescent="0.15">
      <c r="A64" s="14"/>
      <c r="B64" s="14"/>
      <c r="C64" s="14"/>
      <c r="D64" s="14"/>
      <c r="E64" s="14"/>
      <c r="F64" s="14"/>
      <c r="G64" s="14"/>
      <c r="H64" s="14"/>
      <c r="I64" s="14"/>
    </row>
    <row r="65" spans="1:11" ht="18.75" customHeight="1" x14ac:dyDescent="0.15">
      <c r="A65" s="15" t="s">
        <v>33</v>
      </c>
      <c r="B65" s="1" t="s">
        <v>36</v>
      </c>
      <c r="I65" s="15"/>
    </row>
    <row r="66" spans="1:11" ht="18.75" customHeight="1" x14ac:dyDescent="0.15">
      <c r="A66" s="4"/>
      <c r="B66" s="271" t="s">
        <v>193</v>
      </c>
      <c r="C66" s="272"/>
      <c r="D66" s="272"/>
      <c r="E66" s="272"/>
      <c r="F66" s="272"/>
      <c r="G66" s="272"/>
      <c r="H66" s="272"/>
      <c r="I66" s="273"/>
      <c r="J66" s="1">
        <v>56</v>
      </c>
      <c r="K66" s="85">
        <f>LEN(B66)</f>
        <v>56</v>
      </c>
    </row>
    <row r="67" spans="1:11" ht="18.75" customHeight="1" x14ac:dyDescent="0.15">
      <c r="A67" s="4"/>
      <c r="B67" s="274"/>
      <c r="C67" s="275"/>
      <c r="D67" s="275"/>
      <c r="E67" s="275"/>
      <c r="F67" s="275"/>
      <c r="G67" s="275"/>
      <c r="H67" s="275"/>
      <c r="I67" s="276"/>
    </row>
    <row r="68" spans="1:11" ht="18.75" customHeight="1" x14ac:dyDescent="0.15">
      <c r="A68" s="4"/>
      <c r="B68" s="274"/>
      <c r="C68" s="275"/>
      <c r="D68" s="275"/>
      <c r="E68" s="275"/>
      <c r="F68" s="275"/>
      <c r="G68" s="275"/>
      <c r="H68" s="275"/>
      <c r="I68" s="276"/>
    </row>
    <row r="69" spans="1:11" ht="18.75" customHeight="1" x14ac:dyDescent="0.15">
      <c r="A69" s="4"/>
      <c r="B69" s="274"/>
      <c r="C69" s="275"/>
      <c r="D69" s="275"/>
      <c r="E69" s="275"/>
      <c r="F69" s="275"/>
      <c r="G69" s="275"/>
      <c r="H69" s="275"/>
      <c r="I69" s="276"/>
    </row>
    <row r="70" spans="1:11" ht="18.75" customHeight="1" x14ac:dyDescent="0.15">
      <c r="A70" s="4"/>
      <c r="B70" s="274"/>
      <c r="C70" s="275"/>
      <c r="D70" s="275"/>
      <c r="E70" s="275"/>
      <c r="F70" s="275"/>
      <c r="G70" s="275"/>
      <c r="H70" s="275"/>
      <c r="I70" s="276"/>
    </row>
    <row r="71" spans="1:11" ht="18.75" customHeight="1" x14ac:dyDescent="0.15">
      <c r="A71" s="4"/>
      <c r="B71" s="274"/>
      <c r="C71" s="275"/>
      <c r="D71" s="275"/>
      <c r="E71" s="275"/>
      <c r="F71" s="275"/>
      <c r="G71" s="275"/>
      <c r="H71" s="275"/>
      <c r="I71" s="276"/>
    </row>
    <row r="72" spans="1:11" ht="18.75" customHeight="1" x14ac:dyDescent="0.15">
      <c r="A72" s="4"/>
      <c r="B72" s="274"/>
      <c r="C72" s="275"/>
      <c r="D72" s="275"/>
      <c r="E72" s="275"/>
      <c r="F72" s="275"/>
      <c r="G72" s="275"/>
      <c r="H72" s="275"/>
      <c r="I72" s="276"/>
    </row>
    <row r="73" spans="1:11" ht="18.75" customHeight="1" x14ac:dyDescent="0.15">
      <c r="A73" s="4"/>
      <c r="B73" s="274"/>
      <c r="C73" s="275"/>
      <c r="D73" s="275"/>
      <c r="E73" s="275"/>
      <c r="F73" s="275"/>
      <c r="G73" s="275"/>
      <c r="H73" s="275"/>
      <c r="I73" s="276"/>
    </row>
    <row r="74" spans="1:11" ht="18.75" customHeight="1" x14ac:dyDescent="0.15">
      <c r="A74" s="4"/>
      <c r="B74" s="274"/>
      <c r="C74" s="275"/>
      <c r="D74" s="275"/>
      <c r="E74" s="275"/>
      <c r="F74" s="275"/>
      <c r="G74" s="275"/>
      <c r="H74" s="275"/>
      <c r="I74" s="276"/>
    </row>
    <row r="75" spans="1:11" ht="18.75" customHeight="1" x14ac:dyDescent="0.15">
      <c r="A75" s="4"/>
      <c r="B75" s="274"/>
      <c r="C75" s="275"/>
      <c r="D75" s="275"/>
      <c r="E75" s="275"/>
      <c r="F75" s="275"/>
      <c r="G75" s="275"/>
      <c r="H75" s="275"/>
      <c r="I75" s="276"/>
    </row>
    <row r="76" spans="1:11" ht="18.75" customHeight="1" x14ac:dyDescent="0.15">
      <c r="A76" s="4"/>
      <c r="B76" s="274"/>
      <c r="C76" s="275"/>
      <c r="D76" s="275"/>
      <c r="E76" s="275"/>
      <c r="F76" s="275"/>
      <c r="G76" s="275"/>
      <c r="H76" s="275"/>
      <c r="I76" s="276"/>
    </row>
    <row r="77" spans="1:11" ht="18.75" customHeight="1" x14ac:dyDescent="0.15">
      <c r="A77" s="4"/>
      <c r="B77" s="277"/>
      <c r="C77" s="278"/>
      <c r="D77" s="278"/>
      <c r="E77" s="278"/>
      <c r="F77" s="278"/>
      <c r="G77" s="278"/>
      <c r="H77" s="278"/>
      <c r="I77" s="279"/>
    </row>
    <row r="78" spans="1:11" ht="7.5" customHeight="1" x14ac:dyDescent="0.15">
      <c r="A78" s="4"/>
      <c r="B78" s="4"/>
      <c r="C78" s="4"/>
      <c r="D78" s="4"/>
      <c r="E78" s="4"/>
      <c r="F78" s="4"/>
      <c r="G78" s="4"/>
      <c r="H78" s="4"/>
      <c r="I78" s="4"/>
    </row>
    <row r="79" spans="1:11" ht="18.75" customHeight="1" x14ac:dyDescent="0.15">
      <c r="A79" s="1" t="s">
        <v>11</v>
      </c>
      <c r="B79" s="1" t="s">
        <v>40</v>
      </c>
    </row>
    <row r="80" spans="1:11" ht="18.75" customHeight="1" x14ac:dyDescent="0.15">
      <c r="A80" s="1"/>
      <c r="B80" s="271" t="s">
        <v>194</v>
      </c>
      <c r="C80" s="272"/>
      <c r="D80" s="272"/>
      <c r="E80" s="272"/>
      <c r="F80" s="272"/>
      <c r="G80" s="272"/>
      <c r="H80" s="272"/>
      <c r="I80" s="280"/>
      <c r="J80" s="1">
        <v>185</v>
      </c>
      <c r="K80" s="1">
        <f>LEN(B80)</f>
        <v>185</v>
      </c>
    </row>
    <row r="81" spans="1:11" ht="18.75" customHeight="1" x14ac:dyDescent="0.15">
      <c r="A81" s="1"/>
      <c r="B81" s="281"/>
      <c r="C81" s="282"/>
      <c r="D81" s="282"/>
      <c r="E81" s="282"/>
      <c r="F81" s="282"/>
      <c r="G81" s="282"/>
      <c r="H81" s="282"/>
      <c r="I81" s="283"/>
    </row>
    <row r="82" spans="1:11" ht="18.75" customHeight="1" x14ac:dyDescent="0.15">
      <c r="A82" s="1"/>
      <c r="B82" s="281"/>
      <c r="C82" s="282"/>
      <c r="D82" s="282"/>
      <c r="E82" s="282"/>
      <c r="F82" s="282"/>
      <c r="G82" s="282"/>
      <c r="H82" s="282"/>
      <c r="I82" s="283"/>
    </row>
    <row r="83" spans="1:11" ht="18.75" customHeight="1" x14ac:dyDescent="0.15">
      <c r="A83" s="1"/>
      <c r="B83" s="281"/>
      <c r="C83" s="282"/>
      <c r="D83" s="282"/>
      <c r="E83" s="282"/>
      <c r="F83" s="282"/>
      <c r="G83" s="282"/>
      <c r="H83" s="282"/>
      <c r="I83" s="283"/>
    </row>
    <row r="84" spans="1:11" ht="18.75" customHeight="1" x14ac:dyDescent="0.15">
      <c r="A84" s="1"/>
      <c r="B84" s="281"/>
      <c r="C84" s="282"/>
      <c r="D84" s="282"/>
      <c r="E84" s="282"/>
      <c r="F84" s="282"/>
      <c r="G84" s="282"/>
      <c r="H84" s="282"/>
      <c r="I84" s="283"/>
    </row>
    <row r="85" spans="1:11" ht="18.75" customHeight="1" x14ac:dyDescent="0.15">
      <c r="A85" s="1"/>
      <c r="B85" s="281"/>
      <c r="C85" s="282"/>
      <c r="D85" s="282"/>
      <c r="E85" s="282"/>
      <c r="F85" s="282"/>
      <c r="G85" s="282"/>
      <c r="H85" s="282"/>
      <c r="I85" s="283"/>
    </row>
    <row r="86" spans="1:11" ht="18.75" customHeight="1" x14ac:dyDescent="0.15">
      <c r="A86" s="1"/>
      <c r="B86" s="281"/>
      <c r="C86" s="282"/>
      <c r="D86" s="282"/>
      <c r="E86" s="282"/>
      <c r="F86" s="282"/>
      <c r="G86" s="282"/>
      <c r="H86" s="282"/>
      <c r="I86" s="283"/>
    </row>
    <row r="87" spans="1:11" ht="18.75" customHeight="1" x14ac:dyDescent="0.15">
      <c r="A87" s="1"/>
      <c r="B87" s="281"/>
      <c r="C87" s="282"/>
      <c r="D87" s="282"/>
      <c r="E87" s="282"/>
      <c r="F87" s="282"/>
      <c r="G87" s="282"/>
      <c r="H87" s="282"/>
      <c r="I87" s="283"/>
    </row>
    <row r="88" spans="1:11" ht="18.75" customHeight="1" x14ac:dyDescent="0.15">
      <c r="A88" s="1"/>
      <c r="B88" s="281"/>
      <c r="C88" s="282"/>
      <c r="D88" s="282"/>
      <c r="E88" s="282"/>
      <c r="F88" s="282"/>
      <c r="G88" s="282"/>
      <c r="H88" s="282"/>
      <c r="I88" s="283"/>
    </row>
    <row r="89" spans="1:11" ht="18.75" customHeight="1" x14ac:dyDescent="0.15">
      <c r="A89" s="1"/>
      <c r="B89" s="281"/>
      <c r="C89" s="282"/>
      <c r="D89" s="282"/>
      <c r="E89" s="282"/>
      <c r="F89" s="282"/>
      <c r="G89" s="282"/>
      <c r="H89" s="282"/>
      <c r="I89" s="283"/>
    </row>
    <row r="90" spans="1:11" ht="18.75" customHeight="1" x14ac:dyDescent="0.15">
      <c r="A90" s="4"/>
      <c r="B90" s="281"/>
      <c r="C90" s="282"/>
      <c r="D90" s="282"/>
      <c r="E90" s="282"/>
      <c r="F90" s="282"/>
      <c r="G90" s="282"/>
      <c r="H90" s="282"/>
      <c r="I90" s="283"/>
    </row>
    <row r="91" spans="1:11" ht="18.75" customHeight="1" x14ac:dyDescent="0.15">
      <c r="A91" s="4"/>
      <c r="B91" s="284"/>
      <c r="C91" s="285"/>
      <c r="D91" s="285"/>
      <c r="E91" s="285"/>
      <c r="F91" s="285"/>
      <c r="G91" s="285"/>
      <c r="H91" s="285"/>
      <c r="I91" s="286"/>
    </row>
    <row r="92" spans="1:11" ht="7.5" customHeight="1" x14ac:dyDescent="0.15">
      <c r="A92" s="4"/>
      <c r="B92" s="4"/>
      <c r="C92" s="4"/>
      <c r="D92" s="4"/>
      <c r="E92" s="4"/>
      <c r="F92" s="4"/>
      <c r="G92" s="4"/>
      <c r="H92" s="4"/>
      <c r="I92" s="4"/>
    </row>
    <row r="93" spans="1:11" ht="18.75" customHeight="1" x14ac:dyDescent="0.15">
      <c r="A93" s="1" t="s">
        <v>43</v>
      </c>
      <c r="B93" s="1" t="s">
        <v>12</v>
      </c>
    </row>
    <row r="94" spans="1:11" ht="18.75" customHeight="1" x14ac:dyDescent="0.15">
      <c r="A94" s="1"/>
      <c r="B94" s="298" t="s">
        <v>195</v>
      </c>
      <c r="C94" s="299"/>
      <c r="D94" s="299"/>
      <c r="E94" s="299"/>
      <c r="F94" s="299"/>
      <c r="G94" s="299"/>
      <c r="H94" s="299"/>
      <c r="I94" s="300"/>
      <c r="J94" s="1">
        <v>205</v>
      </c>
      <c r="K94" s="1">
        <f>LEN(B94)</f>
        <v>205</v>
      </c>
    </row>
    <row r="95" spans="1:11" ht="18.75" customHeight="1" x14ac:dyDescent="0.15">
      <c r="A95" s="1"/>
      <c r="B95" s="301"/>
      <c r="C95" s="302"/>
      <c r="D95" s="302"/>
      <c r="E95" s="302"/>
      <c r="F95" s="302"/>
      <c r="G95" s="302"/>
      <c r="H95" s="302"/>
      <c r="I95" s="303"/>
    </row>
    <row r="96" spans="1:11" ht="18.75" customHeight="1" x14ac:dyDescent="0.15">
      <c r="A96" s="1"/>
      <c r="B96" s="301"/>
      <c r="C96" s="302"/>
      <c r="D96" s="302"/>
      <c r="E96" s="302"/>
      <c r="F96" s="302"/>
      <c r="G96" s="302"/>
      <c r="H96" s="302"/>
      <c r="I96" s="303"/>
    </row>
    <row r="97" spans="1:11" ht="18.75" customHeight="1" x14ac:dyDescent="0.15">
      <c r="A97" s="1"/>
      <c r="B97" s="301"/>
      <c r="C97" s="302"/>
      <c r="D97" s="302"/>
      <c r="E97" s="302"/>
      <c r="F97" s="302"/>
      <c r="G97" s="302"/>
      <c r="H97" s="302"/>
      <c r="I97" s="303"/>
    </row>
    <row r="98" spans="1:11" ht="18.75" customHeight="1" x14ac:dyDescent="0.15">
      <c r="A98" s="1"/>
      <c r="B98" s="301"/>
      <c r="C98" s="302"/>
      <c r="D98" s="302"/>
      <c r="E98" s="302"/>
      <c r="F98" s="302"/>
      <c r="G98" s="302"/>
      <c r="H98" s="302"/>
      <c r="I98" s="303"/>
    </row>
    <row r="99" spans="1:11" ht="18.75" customHeight="1" x14ac:dyDescent="0.15">
      <c r="A99" s="1"/>
      <c r="B99" s="301"/>
      <c r="C99" s="302"/>
      <c r="D99" s="302"/>
      <c r="E99" s="302"/>
      <c r="F99" s="302"/>
      <c r="G99" s="302"/>
      <c r="H99" s="302"/>
      <c r="I99" s="303"/>
    </row>
    <row r="100" spans="1:11" ht="18.75" customHeight="1" x14ac:dyDescent="0.15">
      <c r="A100" s="1"/>
      <c r="B100" s="301"/>
      <c r="C100" s="302"/>
      <c r="D100" s="302"/>
      <c r="E100" s="302"/>
      <c r="F100" s="302"/>
      <c r="G100" s="302"/>
      <c r="H100" s="302"/>
      <c r="I100" s="303"/>
    </row>
    <row r="101" spans="1:11" ht="18.75" customHeight="1" x14ac:dyDescent="0.15">
      <c r="A101" s="1"/>
      <c r="B101" s="301"/>
      <c r="C101" s="302"/>
      <c r="D101" s="302"/>
      <c r="E101" s="302"/>
      <c r="F101" s="302"/>
      <c r="G101" s="302"/>
      <c r="H101" s="302"/>
      <c r="I101" s="303"/>
    </row>
    <row r="102" spans="1:11" ht="18.75" customHeight="1" x14ac:dyDescent="0.15">
      <c r="A102" s="1"/>
      <c r="B102" s="301"/>
      <c r="C102" s="302"/>
      <c r="D102" s="302"/>
      <c r="E102" s="302"/>
      <c r="F102" s="302"/>
      <c r="G102" s="302"/>
      <c r="H102" s="302"/>
      <c r="I102" s="303"/>
    </row>
    <row r="103" spans="1:11" ht="18.75" customHeight="1" x14ac:dyDescent="0.15">
      <c r="A103" s="1"/>
      <c r="B103" s="301"/>
      <c r="C103" s="302"/>
      <c r="D103" s="302"/>
      <c r="E103" s="302"/>
      <c r="F103" s="302"/>
      <c r="G103" s="302"/>
      <c r="H103" s="302"/>
      <c r="I103" s="303"/>
    </row>
    <row r="104" spans="1:11" ht="18.75" customHeight="1" x14ac:dyDescent="0.15">
      <c r="A104" s="1"/>
      <c r="B104" s="301"/>
      <c r="C104" s="302"/>
      <c r="D104" s="302"/>
      <c r="E104" s="302"/>
      <c r="F104" s="302"/>
      <c r="G104" s="302"/>
      <c r="H104" s="302"/>
      <c r="I104" s="303"/>
    </row>
    <row r="105" spans="1:11" ht="18.75" customHeight="1" x14ac:dyDescent="0.15">
      <c r="A105" s="4"/>
      <c r="B105" s="304"/>
      <c r="C105" s="305"/>
      <c r="D105" s="305"/>
      <c r="E105" s="305"/>
      <c r="F105" s="305"/>
      <c r="G105" s="305"/>
      <c r="H105" s="305"/>
      <c r="I105" s="306"/>
    </row>
    <row r="106" spans="1:11" ht="7.5" customHeight="1" x14ac:dyDescent="0.15">
      <c r="A106" s="4"/>
      <c r="B106" s="4"/>
      <c r="C106" s="4"/>
      <c r="D106" s="4"/>
      <c r="E106" s="4"/>
      <c r="F106" s="4"/>
      <c r="G106" s="4"/>
      <c r="H106" s="4"/>
      <c r="I106" s="4"/>
    </row>
    <row r="107" spans="1:11" ht="18.75" customHeight="1" x14ac:dyDescent="0.15">
      <c r="A107" s="1" t="s">
        <v>29</v>
      </c>
      <c r="B107" s="307" t="s">
        <v>45</v>
      </c>
      <c r="C107" s="307"/>
      <c r="D107" s="307"/>
      <c r="E107" s="307"/>
      <c r="F107" s="307"/>
      <c r="G107" s="307"/>
      <c r="H107" s="307"/>
      <c r="I107" s="307"/>
    </row>
    <row r="108" spans="1:11" ht="18.75" customHeight="1" x14ac:dyDescent="0.15">
      <c r="A108" s="4"/>
      <c r="B108" s="298" t="s">
        <v>196</v>
      </c>
      <c r="C108" s="299"/>
      <c r="D108" s="299"/>
      <c r="E108" s="299"/>
      <c r="F108" s="299"/>
      <c r="G108" s="299"/>
      <c r="H108" s="299"/>
      <c r="I108" s="300"/>
      <c r="J108" s="1">
        <v>98</v>
      </c>
      <c r="K108" s="1">
        <f>LEN(B108)</f>
        <v>98</v>
      </c>
    </row>
    <row r="109" spans="1:11" ht="18.75" customHeight="1" x14ac:dyDescent="0.15">
      <c r="A109" s="4"/>
      <c r="B109" s="301"/>
      <c r="C109" s="302"/>
      <c r="D109" s="302"/>
      <c r="E109" s="302"/>
      <c r="F109" s="302"/>
      <c r="G109" s="302"/>
      <c r="H109" s="302"/>
      <c r="I109" s="303"/>
    </row>
    <row r="110" spans="1:11" ht="18.75" customHeight="1" x14ac:dyDescent="0.15">
      <c r="A110" s="4"/>
      <c r="B110" s="301"/>
      <c r="C110" s="302"/>
      <c r="D110" s="302"/>
      <c r="E110" s="302"/>
      <c r="F110" s="302"/>
      <c r="G110" s="302"/>
      <c r="H110" s="302"/>
      <c r="I110" s="303"/>
    </row>
    <row r="111" spans="1:11" ht="18.75" customHeight="1" x14ac:dyDescent="0.15">
      <c r="A111" s="4"/>
      <c r="B111" s="301"/>
      <c r="C111" s="302"/>
      <c r="D111" s="302"/>
      <c r="E111" s="302"/>
      <c r="F111" s="302"/>
      <c r="G111" s="302"/>
      <c r="H111" s="302"/>
      <c r="I111" s="303"/>
    </row>
    <row r="112" spans="1:11" ht="18.75" customHeight="1" x14ac:dyDescent="0.15">
      <c r="A112" s="4"/>
      <c r="B112" s="301"/>
      <c r="C112" s="302"/>
      <c r="D112" s="302"/>
      <c r="E112" s="302"/>
      <c r="F112" s="302"/>
      <c r="G112" s="302"/>
      <c r="H112" s="302"/>
      <c r="I112" s="303"/>
    </row>
    <row r="113" spans="1:9" ht="18.75" customHeight="1" x14ac:dyDescent="0.15">
      <c r="A113" s="4"/>
      <c r="B113" s="301"/>
      <c r="C113" s="302"/>
      <c r="D113" s="302"/>
      <c r="E113" s="302"/>
      <c r="F113" s="302"/>
      <c r="G113" s="302"/>
      <c r="H113" s="302"/>
      <c r="I113" s="303"/>
    </row>
    <row r="114" spans="1:9" ht="18.75" customHeight="1" x14ac:dyDescent="0.15">
      <c r="A114" s="4"/>
      <c r="B114" s="301"/>
      <c r="C114" s="302"/>
      <c r="D114" s="302"/>
      <c r="E114" s="302"/>
      <c r="F114" s="302"/>
      <c r="G114" s="302"/>
      <c r="H114" s="302"/>
      <c r="I114" s="303"/>
    </row>
    <row r="115" spans="1:9" ht="18.75" customHeight="1" x14ac:dyDescent="0.15">
      <c r="A115" s="4"/>
      <c r="B115" s="301"/>
      <c r="C115" s="302"/>
      <c r="D115" s="302"/>
      <c r="E115" s="302"/>
      <c r="F115" s="302"/>
      <c r="G115" s="302"/>
      <c r="H115" s="302"/>
      <c r="I115" s="303"/>
    </row>
    <row r="116" spans="1:9" ht="18.75" customHeight="1" x14ac:dyDescent="0.15">
      <c r="A116" s="4"/>
      <c r="B116" s="301"/>
      <c r="C116" s="302"/>
      <c r="D116" s="302"/>
      <c r="E116" s="302"/>
      <c r="F116" s="302"/>
      <c r="G116" s="302"/>
      <c r="H116" s="302"/>
      <c r="I116" s="303"/>
    </row>
    <row r="117" spans="1:9" ht="18.75" customHeight="1" x14ac:dyDescent="0.15">
      <c r="A117" s="4"/>
      <c r="B117" s="301"/>
      <c r="C117" s="302"/>
      <c r="D117" s="302"/>
      <c r="E117" s="302"/>
      <c r="F117" s="302"/>
      <c r="G117" s="302"/>
      <c r="H117" s="302"/>
      <c r="I117" s="303"/>
    </row>
    <row r="118" spans="1:9" ht="18.75" customHeight="1" x14ac:dyDescent="0.15">
      <c r="A118" s="4"/>
      <c r="B118" s="301"/>
      <c r="C118" s="302"/>
      <c r="D118" s="302"/>
      <c r="E118" s="302"/>
      <c r="F118" s="302"/>
      <c r="G118" s="302"/>
      <c r="H118" s="302"/>
      <c r="I118" s="303"/>
    </row>
    <row r="119" spans="1:9" ht="18.75" customHeight="1" x14ac:dyDescent="0.15">
      <c r="A119" s="4"/>
      <c r="B119" s="304"/>
      <c r="C119" s="305"/>
      <c r="D119" s="305"/>
      <c r="E119" s="305"/>
      <c r="F119" s="305"/>
      <c r="G119" s="305"/>
      <c r="H119" s="305"/>
      <c r="I119" s="306"/>
    </row>
    <row r="120" spans="1:9" ht="7.5" customHeight="1" x14ac:dyDescent="0.15">
      <c r="A120" s="4"/>
      <c r="B120" s="44"/>
      <c r="C120" s="44"/>
      <c r="D120" s="44"/>
      <c r="E120" s="44"/>
      <c r="F120" s="44"/>
      <c r="G120" s="44"/>
      <c r="H120" s="44"/>
      <c r="I120" s="44"/>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5"/>
      <c r="B134" s="45"/>
      <c r="C134" s="45"/>
      <c r="D134" s="45"/>
      <c r="E134" s="45"/>
      <c r="F134" s="45"/>
      <c r="G134" s="45"/>
      <c r="H134" s="45"/>
      <c r="I134" s="45"/>
    </row>
  </sheetData>
  <mergeCells count="23">
    <mergeCell ref="E21:F21"/>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78740157480314965" right="0.78740157480314965" top="0.78740157480314965" bottom="7.874015748031496E-2" header="0.31496062992125984" footer="0.19685039370078741"/>
  <pageSetup paperSize="9" scale="96"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L30"/>
  <sheetViews>
    <sheetView showZeros="0" view="pageBreakPreview" topLeftCell="A13" zoomScaleNormal="100" zoomScaleSheetLayoutView="100" workbookViewId="0">
      <selection activeCell="E19" sqref="E19:I19"/>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12" ht="18.75" customHeight="1" x14ac:dyDescent="0.15">
      <c r="A1" s="1" t="s">
        <v>70</v>
      </c>
      <c r="I1" s="32" t="s">
        <v>104</v>
      </c>
    </row>
    <row r="2" spans="1:12" ht="18.75" customHeight="1" x14ac:dyDescent="0.15">
      <c r="H2" s="32" t="s">
        <v>108</v>
      </c>
      <c r="I2" s="31" t="str">
        <f>'様式１ー１　プログラムを構成する授業科目'!C2</f>
        <v>大阪工業大学</v>
      </c>
    </row>
    <row r="3" spans="1:12" ht="18.75" customHeight="1" x14ac:dyDescent="0.15">
      <c r="A3" s="135" t="s">
        <v>27</v>
      </c>
      <c r="B3" s="135"/>
      <c r="C3" s="135"/>
      <c r="D3" s="135"/>
      <c r="E3" s="135"/>
      <c r="F3" s="135"/>
      <c r="G3" s="135"/>
      <c r="H3" s="135"/>
      <c r="I3" s="135"/>
    </row>
    <row r="4" spans="1:12" ht="18.75" customHeight="1" x14ac:dyDescent="0.15">
      <c r="A4" s="5"/>
      <c r="B4" s="5"/>
      <c r="C4" s="5"/>
      <c r="D4" s="5"/>
      <c r="E4" s="5"/>
      <c r="F4" s="5"/>
      <c r="G4" s="5"/>
      <c r="H4" s="5"/>
      <c r="I4" s="5"/>
    </row>
    <row r="5" spans="1:12" ht="18.75" customHeight="1" x14ac:dyDescent="0.15">
      <c r="A5" s="1" t="s">
        <v>0</v>
      </c>
      <c r="B5" s="9" t="s">
        <v>94</v>
      </c>
      <c r="C5" s="5"/>
      <c r="D5" s="5"/>
      <c r="E5" s="5"/>
      <c r="F5" s="5"/>
      <c r="G5" s="5"/>
      <c r="H5" s="5"/>
      <c r="I5" s="5"/>
    </row>
    <row r="6" spans="1:12" ht="26.25" customHeight="1" x14ac:dyDescent="0.15">
      <c r="A6" s="5"/>
      <c r="B6" s="110" t="s">
        <v>177</v>
      </c>
      <c r="C6" s="112"/>
      <c r="D6" s="112"/>
      <c r="E6" s="112"/>
      <c r="F6" s="112"/>
      <c r="G6" s="112"/>
      <c r="H6" s="111"/>
      <c r="I6" s="3"/>
    </row>
    <row r="7" spans="1:12" ht="9" customHeight="1" x14ac:dyDescent="0.15">
      <c r="A7" s="5"/>
      <c r="B7" s="9"/>
      <c r="C7" s="9"/>
      <c r="D7" s="9"/>
      <c r="E7" s="9"/>
      <c r="F7" s="9"/>
      <c r="G7" s="9"/>
      <c r="H7" s="9"/>
      <c r="I7" s="3"/>
    </row>
    <row r="8" spans="1:12" ht="18.75" customHeight="1" x14ac:dyDescent="0.15">
      <c r="A8" s="5"/>
      <c r="B8" s="3"/>
      <c r="C8" s="3"/>
      <c r="D8" s="32" t="s">
        <v>42</v>
      </c>
      <c r="E8" s="84" t="s">
        <v>173</v>
      </c>
      <c r="F8" s="3"/>
      <c r="G8" s="32" t="s">
        <v>10</v>
      </c>
      <c r="H8" s="84" t="s">
        <v>174</v>
      </c>
      <c r="I8" s="3"/>
    </row>
    <row r="9" spans="1:12" ht="7.5" customHeight="1" x14ac:dyDescent="0.15">
      <c r="A9" s="5"/>
      <c r="B9" s="5"/>
      <c r="C9" s="5"/>
      <c r="D9" s="5"/>
      <c r="E9" s="5"/>
      <c r="F9" s="5"/>
      <c r="G9" s="5"/>
      <c r="H9" s="5"/>
      <c r="I9" s="5"/>
    </row>
    <row r="10" spans="1:12" ht="18.75" customHeight="1" x14ac:dyDescent="0.15">
      <c r="A10" s="1" t="s">
        <v>3</v>
      </c>
      <c r="B10" s="1" t="s">
        <v>26</v>
      </c>
      <c r="C10" s="4"/>
      <c r="D10" s="4"/>
      <c r="E10" s="4"/>
      <c r="F10" s="4"/>
      <c r="G10" s="4"/>
      <c r="H10" s="4"/>
      <c r="I10" s="4"/>
    </row>
    <row r="11" spans="1:12" ht="18.75" customHeight="1" x14ac:dyDescent="0.15">
      <c r="B11" s="110" t="s">
        <v>23</v>
      </c>
      <c r="C11" s="112"/>
      <c r="D11" s="111"/>
      <c r="E11" s="112" t="s">
        <v>25</v>
      </c>
      <c r="F11" s="112"/>
      <c r="G11" s="112"/>
      <c r="H11" s="112"/>
      <c r="I11" s="111"/>
    </row>
    <row r="12" spans="1:12" ht="26.25" customHeight="1" x14ac:dyDescent="0.15">
      <c r="B12" s="46" t="s">
        <v>13</v>
      </c>
      <c r="C12" s="53"/>
      <c r="D12" s="47"/>
      <c r="E12" s="54"/>
      <c r="F12" s="54"/>
      <c r="G12" s="54"/>
      <c r="H12" s="54"/>
      <c r="I12" s="47"/>
    </row>
    <row r="13" spans="1:12" ht="210.75" customHeight="1" x14ac:dyDescent="0.15">
      <c r="B13" s="48"/>
      <c r="C13" s="318" t="s">
        <v>14</v>
      </c>
      <c r="D13" s="201"/>
      <c r="E13" s="330" t="s">
        <v>197</v>
      </c>
      <c r="F13" s="331"/>
      <c r="G13" s="331"/>
      <c r="H13" s="331"/>
      <c r="I13" s="332"/>
      <c r="K13" s="1">
        <v>182</v>
      </c>
      <c r="L13" s="1">
        <f>LEN(E13)</f>
        <v>182</v>
      </c>
    </row>
    <row r="14" spans="1:12" ht="210.75" customHeight="1" x14ac:dyDescent="0.15">
      <c r="B14" s="48"/>
      <c r="C14" s="334" t="s">
        <v>15</v>
      </c>
      <c r="D14" s="335"/>
      <c r="E14" s="330" t="s">
        <v>198</v>
      </c>
      <c r="F14" s="331"/>
      <c r="G14" s="331"/>
      <c r="H14" s="331"/>
      <c r="I14" s="332"/>
      <c r="K14" s="1">
        <v>105</v>
      </c>
      <c r="L14" s="1">
        <f>LEN(E14)</f>
        <v>105</v>
      </c>
    </row>
    <row r="15" spans="1:12" ht="210.75" customHeight="1" x14ac:dyDescent="0.15">
      <c r="B15" s="48"/>
      <c r="C15" s="318" t="s">
        <v>16</v>
      </c>
      <c r="D15" s="201"/>
      <c r="E15" s="330" t="s">
        <v>199</v>
      </c>
      <c r="F15" s="331"/>
      <c r="G15" s="331"/>
      <c r="H15" s="331"/>
      <c r="I15" s="332"/>
      <c r="K15" s="1">
        <v>284</v>
      </c>
      <c r="L15" s="1">
        <f>LEN(E15)</f>
        <v>283</v>
      </c>
    </row>
    <row r="16" spans="1:12" ht="210.75" customHeight="1" x14ac:dyDescent="0.15">
      <c r="B16" s="48"/>
      <c r="C16" s="318" t="s">
        <v>17</v>
      </c>
      <c r="D16" s="201"/>
      <c r="E16" s="330" t="s">
        <v>200</v>
      </c>
      <c r="F16" s="331"/>
      <c r="G16" s="331"/>
      <c r="H16" s="331"/>
      <c r="I16" s="332"/>
      <c r="K16" s="1">
        <v>229</v>
      </c>
      <c r="L16" s="1">
        <f>LEN(E16)</f>
        <v>229</v>
      </c>
    </row>
    <row r="17" spans="2:12" ht="210.75" customHeight="1" x14ac:dyDescent="0.15">
      <c r="B17" s="49"/>
      <c r="C17" s="321" t="s">
        <v>18</v>
      </c>
      <c r="D17" s="322"/>
      <c r="E17" s="333" t="s">
        <v>201</v>
      </c>
      <c r="F17" s="323"/>
      <c r="G17" s="323"/>
      <c r="H17" s="323"/>
      <c r="I17" s="324"/>
      <c r="K17" s="1">
        <v>207</v>
      </c>
      <c r="L17" s="1">
        <f>LEN(E17)</f>
        <v>217</v>
      </c>
    </row>
    <row r="18" spans="2:12" ht="24" customHeight="1" x14ac:dyDescent="0.15">
      <c r="B18" s="46" t="s">
        <v>19</v>
      </c>
      <c r="C18" s="50"/>
      <c r="D18" s="51"/>
      <c r="E18" s="52"/>
      <c r="F18" s="52"/>
      <c r="G18" s="52"/>
      <c r="H18" s="52"/>
      <c r="I18" s="55"/>
    </row>
    <row r="19" spans="2:12" ht="218.25" customHeight="1" x14ac:dyDescent="0.15">
      <c r="B19" s="48"/>
      <c r="C19" s="318" t="s">
        <v>20</v>
      </c>
      <c r="D19" s="201"/>
      <c r="E19" s="319" t="s">
        <v>232</v>
      </c>
      <c r="F19" s="319"/>
      <c r="G19" s="319"/>
      <c r="H19" s="319"/>
      <c r="I19" s="320"/>
      <c r="K19" s="1">
        <v>202</v>
      </c>
      <c r="L19" s="1">
        <f>LEN(E19)</f>
        <v>240</v>
      </c>
    </row>
    <row r="20" spans="2:12" ht="218.25" customHeight="1" x14ac:dyDescent="0.15">
      <c r="B20" s="49"/>
      <c r="C20" s="321" t="s">
        <v>21</v>
      </c>
      <c r="D20" s="322"/>
      <c r="E20" s="323" t="s">
        <v>202</v>
      </c>
      <c r="F20" s="323"/>
      <c r="G20" s="323"/>
      <c r="H20" s="323"/>
      <c r="I20" s="324"/>
      <c r="K20" s="1">
        <v>291</v>
      </c>
      <c r="L20" s="1">
        <f>LEN(E20)</f>
        <v>291</v>
      </c>
    </row>
    <row r="21" spans="2:12" ht="218.25" customHeight="1" x14ac:dyDescent="0.15">
      <c r="B21" s="325" t="s">
        <v>22</v>
      </c>
      <c r="C21" s="326"/>
      <c r="D21" s="327"/>
      <c r="E21" s="328" t="s">
        <v>203</v>
      </c>
      <c r="F21" s="328"/>
      <c r="G21" s="328"/>
      <c r="H21" s="328"/>
      <c r="I21" s="329"/>
      <c r="K21" s="1">
        <v>266</v>
      </c>
      <c r="L21" s="1">
        <f>LEN(E21)</f>
        <v>266</v>
      </c>
    </row>
    <row r="22" spans="2:12" ht="218.25" customHeight="1" x14ac:dyDescent="0.15">
      <c r="B22" s="315" t="s">
        <v>37</v>
      </c>
      <c r="C22" s="202"/>
      <c r="D22" s="203"/>
      <c r="E22" s="316" t="s">
        <v>204</v>
      </c>
      <c r="F22" s="316"/>
      <c r="G22" s="316"/>
      <c r="H22" s="316"/>
      <c r="I22" s="317"/>
      <c r="K22" s="1">
        <v>290</v>
      </c>
      <c r="L22" s="1">
        <f>LEN(E22)</f>
        <v>288</v>
      </c>
    </row>
    <row r="23" spans="2:12" ht="22.5" customHeight="1" x14ac:dyDescent="0.15">
      <c r="B23" s="4"/>
      <c r="C23" s="4"/>
      <c r="D23" s="4"/>
      <c r="E23" s="4"/>
      <c r="F23" s="4"/>
      <c r="G23" s="4"/>
      <c r="H23" s="4"/>
      <c r="I23" s="4"/>
    </row>
    <row r="24" spans="2:12" ht="22.5" customHeight="1" x14ac:dyDescent="0.15">
      <c r="B24" s="4"/>
      <c r="C24" s="4"/>
      <c r="D24" s="4"/>
      <c r="E24" s="4"/>
      <c r="F24" s="4"/>
      <c r="G24" s="4"/>
      <c r="H24" s="4"/>
      <c r="I24" s="4"/>
    </row>
    <row r="25" spans="2:12" ht="22.5" customHeight="1" x14ac:dyDescent="0.15">
      <c r="B25" s="4"/>
      <c r="C25" s="4"/>
      <c r="D25" s="4"/>
      <c r="E25" s="4"/>
      <c r="F25" s="4"/>
      <c r="G25" s="4"/>
      <c r="H25" s="4"/>
      <c r="I25" s="4"/>
    </row>
    <row r="26" spans="2:12" ht="22.5" customHeight="1" x14ac:dyDescent="0.15">
      <c r="B26" s="4"/>
      <c r="C26" s="4"/>
      <c r="D26" s="4"/>
      <c r="E26" s="4"/>
      <c r="F26" s="4"/>
      <c r="G26" s="4"/>
      <c r="H26" s="4"/>
      <c r="I26" s="4"/>
    </row>
    <row r="27" spans="2:12" ht="22.5" customHeight="1" x14ac:dyDescent="0.15">
      <c r="B27" s="4"/>
      <c r="C27" s="4"/>
      <c r="D27" s="4"/>
      <c r="E27" s="4"/>
      <c r="F27" s="4"/>
      <c r="G27" s="4"/>
      <c r="H27" s="4"/>
      <c r="I27" s="4"/>
    </row>
    <row r="28" spans="2:12" ht="22.5" customHeight="1" x14ac:dyDescent="0.15">
      <c r="B28" s="14"/>
      <c r="C28" s="14"/>
      <c r="D28" s="14"/>
      <c r="E28" s="14"/>
      <c r="F28" s="14"/>
      <c r="G28" s="14"/>
      <c r="H28" s="14"/>
      <c r="I28" s="14"/>
    </row>
    <row r="29" spans="2:12" ht="22.5" customHeight="1" x14ac:dyDescent="0.15">
      <c r="B29" s="14"/>
      <c r="C29" s="14"/>
      <c r="D29" s="14"/>
      <c r="E29" s="14"/>
      <c r="F29" s="14"/>
      <c r="G29" s="14"/>
      <c r="H29" s="14"/>
      <c r="I29" s="14"/>
    </row>
    <row r="30" spans="2:12"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7.874015748031496E-2" header="0.31496062992125984" footer="0.19685039370078741"/>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様式１ー１　プログラムを構成する授業科目</vt:lpstr>
      <vt:lpstr>様式１ー２　プログラムを構成する授業科目</vt:lpstr>
      <vt:lpstr>様式１ー３　プログラムを構成する授業科目</vt:lpstr>
      <vt:lpstr>様式１ー４　プログラムを構成する授業科目</vt:lpstr>
      <vt:lpstr>様式２ 履修者等数の実績</vt:lpstr>
      <vt:lpstr>様式３ 教育の質・履修者数を向上させるための体制・計画</vt:lpstr>
      <vt:lpstr>様式４　自己点検・評価</vt:lpstr>
      <vt:lpstr>'様式１ー１　プログラムを構成する授業科目'!Print_Area</vt:lpstr>
      <vt:lpstr>'様式１ー２　プログラムを構成する授業科目'!Print_Area</vt:lpstr>
      <vt:lpstr>'様式１ー３　プログラムを構成する授業科目'!Print_Area</vt:lpstr>
      <vt:lpstr>'様式１ー４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Administrator</cp:lastModifiedBy>
  <cp:lastPrinted>2023-04-26T22:32:44Z</cp:lastPrinted>
  <dcterms:created xsi:type="dcterms:W3CDTF">2011-06-14T05:32:50Z</dcterms:created>
  <dcterms:modified xsi:type="dcterms:W3CDTF">2023-06-26T22:52:40Z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