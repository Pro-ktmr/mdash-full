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Y:\大学改革・DX推進課\00 DX（新共有フォルダ）\05 認定（数理・データサイエンス・ＡＩ教育プログラム）\2023-08-03 申請書修正依頼\"/>
    </mc:Choice>
  </mc:AlternateContent>
  <xr:revisionPtr revIDLastSave="0" documentId="13_ncr:1_{53A53A7B-29EE-4C98-9779-EC09D6C57B8F}" xr6:coauthVersionLast="47" xr6:coauthVersionMax="47" xr10:uidLastSave="{00000000-0000-0000-0000-000000000000}"/>
  <bookViews>
    <workbookView xWindow="-108" yWindow="-108" windowWidth="23256" windowHeight="12456" tabRatio="885" xr2:uid="{00000000-000D-0000-FFFF-FFFF00000000}"/>
  </bookViews>
  <sheets>
    <sheet name="様式１ー１（国際商経学部）" sheetId="43" r:id="rId1"/>
    <sheet name="様式１ー２（社会情報科学部）" sheetId="39" r:id="rId2"/>
    <sheet name="様式１ー３（工学部）" sheetId="44" r:id="rId3"/>
    <sheet name="様式１ー４ (理学部)" sheetId="47" r:id="rId4"/>
    <sheet name="様式１ー５（環境人間学部）" sheetId="46" r:id="rId5"/>
    <sheet name="様式１ー６（看護学部）" sheetId="45" r:id="rId6"/>
    <sheet name="様式２ 履修者等数の実績" sheetId="40" r:id="rId7"/>
    <sheet name="様式３ 教育の質・履修者数を向上させるための体制・計画" sheetId="41" r:id="rId8"/>
    <sheet name="様式４　自己点検・評価" sheetId="42" r:id="rId9"/>
  </sheets>
  <definedNames>
    <definedName name="_xlnm._FilterDatabase" localSheetId="0" hidden="1">'様式１ー１（国際商経学部）'!$V$14:$V$16</definedName>
    <definedName name="_xlnm._FilterDatabase" localSheetId="1" hidden="1">'様式１ー２（社会情報科学部）'!$V$14:$V$16</definedName>
    <definedName name="_xlnm._FilterDatabase" localSheetId="2" hidden="1">'様式１ー３（工学部）'!$V$14:$V$16</definedName>
    <definedName name="_xlnm._FilterDatabase" localSheetId="3" hidden="1">'様式１ー４ (理学部)'!$V$14:$V$16</definedName>
    <definedName name="_xlnm._FilterDatabase" localSheetId="4" hidden="1">'様式１ー５（環境人間学部）'!$V$14:$V$16</definedName>
    <definedName name="_xlnm._FilterDatabase" localSheetId="5" hidden="1">'様式１ー６（看護学部）'!$V$14:$V$16</definedName>
    <definedName name="_xlnm._FilterDatabase" localSheetId="6" hidden="1">'様式２ 履修者等数の実績'!#REF!</definedName>
    <definedName name="_xlnm.Print_Area" localSheetId="0">'様式１ー１（国際商経学部）'!$A$1:$S$102</definedName>
    <definedName name="_xlnm.Print_Area" localSheetId="1">'様式１ー２（社会情報科学部）'!$A$1:$S$102</definedName>
    <definedName name="_xlnm.Print_Area" localSheetId="2">'様式１ー３（工学部）'!$A$1:$S$102</definedName>
    <definedName name="_xlnm.Print_Area" localSheetId="3">'様式１ー４ (理学部)'!$A$1:$S$102</definedName>
    <definedName name="_xlnm.Print_Area" localSheetId="4">'様式１ー５（環境人間学部）'!$A$1:$S$102</definedName>
    <definedName name="_xlnm.Print_Area" localSheetId="5">'様式１ー６（看護学部）'!$A$1:$S$102</definedName>
    <definedName name="_xlnm.Print_Area" localSheetId="6">'様式２ 履修者等数の実績'!$A$1:$AQ$32</definedName>
    <definedName name="_xlnm.Print_Area" localSheetId="7">'様式３ 教育の質・履修者数を向上させるための体制・計画'!$A$1:$I$120</definedName>
    <definedName name="_xlnm.Print_Area" localSheetId="8">'様式４　自己点検・評価'!$A$1:$I$22</definedName>
    <definedName name="_xlnm.Print_Titles" localSheetId="8">'様式４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41" l="1"/>
  <c r="I2" i="42"/>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4" i="40"/>
  <c r="G32" i="40"/>
  <c r="H32" i="40"/>
  <c r="AP13" i="40"/>
  <c r="AP14" i="40"/>
  <c r="AP15" i="40"/>
  <c r="AP16" i="40"/>
  <c r="AP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<sst xmlns="http://schemas.openxmlformats.org/spreadsheetml/2006/main" count="1018" uniqueCount="266">
  <si>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</si>
  <si>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</si>
  <si>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</si>
  <si>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</si>
  <si>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</si>
  <si>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</si>
  <si>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</si>
  <si>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</si>
  <si>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</si>
  <si>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</si>
  <si>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</si>
  <si>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</si>
  <si>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</si>
  <si>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</si>
  <si>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</si>
  <si>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</si>
  <si>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</si>
  <si>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</si>
  <si>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</si>
  <si>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</si>
  <si>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</si>
  <si>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</si>
  <si>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</si>
  <si>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</si>
  <si>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</si>
  <si>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</si>
  <si>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</si>
  <si>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</si>
  <si>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</si>
  <si>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</si>
  <si>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</si>
  <si>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</si>
  <si>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</si>
  <si>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</si>
  <si>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</si>
  <si>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</si>
  <si>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</si>
  <si>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</si>
  <si>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</si>
  <si>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</si>
  <si>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</si>
  <si>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</si>
  <si>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</si>
  <si>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</si>
  <si>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</si>
  <si>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</si>
  <si>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</si>
  <si>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</si>
  <si>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</si>
  <si>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</si>
  <si>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</si>
  <si>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</si>
  <si>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</si>
  <si>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</si>
  <si>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</si>
  <si>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</si>
  <si>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</si>
  <si>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</si>
  <si>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</si>
  <si>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</si>
  <si>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</si>
  <si>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</si>
  <si>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</si>
  <si>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</si>
  <si>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</si>
  <si>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</si>
  <si>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</si>
  <si>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</si>
  <si>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</si>
  <si>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</si>
  <si>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</si>
  <si>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</si>
  <si>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</si>
  <si>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</si>
  <si>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</si>
  <si>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</si>
  <si>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</si>
  <si>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</si>
  <si>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</si>
  <si>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</si>
  <si>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</si>
  <si>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</si>
  <si>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</si>
  <si>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</si>
  <si>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</si>
  <si>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</si>
  <si>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</si>
  <si>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</si>
  <si>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</si>
  <si>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</si>
  <si>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</si>
  <si>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</si>
  <si>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</si>
  <si>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</si>
  <si>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</si>
  <si>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</si>
  <si>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</si>
  <si>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</si>
  <si>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</si>
  <si>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</si>
  <si>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</si>
  <si>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</si>
  <si>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</si>
  <si>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</si>
  <si>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</si>
  <si>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</si>
  <si>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</si>
  <si>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</si>
  <si>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</si>
  <si>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</si>
  <si>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</si>
  <si>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</si>
  <si>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</si>
  <si>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</si>
  <si>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</si>
  <si>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</si>
  <si>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</si>
  <si>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</si>
  <si>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</si>
  <si>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</si>
  <si>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</si>
  <si>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</si>
  <si>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</si>
  <si>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</si>
  <si>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</si>
  <si>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</si>
  <si>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兵庫県立大学</t>
    <rPh sb="0" eb="6">
      <t>ヒョウゴケンリツダイガク</t>
    </rPh>
    <phoneticPr fontId="1"/>
  </si>
  <si>
    <t>数理・データサイエンス・AI教育プログラム</t>
    <rPh sb="0" eb="2">
      <t>スウリ</t>
    </rPh>
    <rPh sb="12" eb="16">
      <t>アイキョウイク</t>
    </rPh>
    <phoneticPr fontId="1"/>
  </si>
  <si>
    <t>学部・学科によって、修了要件は相違する</t>
  </si>
  <si>
    <t>高坂　誠</t>
    <rPh sb="0" eb="2">
      <t>コウサカ</t>
    </rPh>
    <rPh sb="3" eb="4">
      <t>マコト</t>
    </rPh>
    <phoneticPr fontId="1"/>
  </si>
  <si>
    <t>教養教育改編委員会 情報部会</t>
    <phoneticPr fontId="1"/>
  </si>
  <si>
    <t>理事・副学長</t>
    <phoneticPr fontId="1"/>
  </si>
  <si>
    <t>理事・副学長・部会長</t>
    <phoneticPr fontId="1"/>
  </si>
  <si>
    <t>数理・データサイエンス・AI教育プログラムの編成、運営および質の向上について審議する。</t>
    <phoneticPr fontId="1"/>
  </si>
  <si>
    <t>教養教育改編委員会　設置要綱</t>
    <phoneticPr fontId="1"/>
  </si>
  <si>
    <t>（国際商経学部、社会情報科学部、理学部、環境人間学部、看護学部）
プログラム対象科目は、いずれの学部においても必修科目であり、全学生が履修する。
また、全学共通教育で提供されるデータサイエンス関連科目についてさらなる周知を図る。
年度進行に伴い当プログラムの履修率は100％となる。
（工学部）
プログラム対象科目は、学科に関係なく工学部学生全員が受講可能な体制が整っている。</t>
    <phoneticPr fontId="1"/>
  </si>
  <si>
    <t>プログラム対象科目は、学部・学科に関係なく学生全員が受講できる体制が整っている。
学部ごとに受講可能な講義が設定されているため、数理・データサイエンス・AIに関係する講義を受講する学生は全員受講することが可能である。</t>
    <phoneticPr fontId="1"/>
  </si>
  <si>
    <t>新入生ガイダンスで説明を行うとともに、大学ホームページや学習支援システムを通じてプログラムの紹介を行い、データサイエンスの重要性について学生に理解させる。</t>
    <phoneticPr fontId="1"/>
  </si>
  <si>
    <t>プログラム担当教員がオフィスアワーを設け、学生から質問や相談を受けている。
オフィスアワーについては、授業の初回に担当教員より説明を行っている。
授業時間外でも学生ポータルシステム(UNIVERSAL PASSPORT)の質問機能やメールなどによる質問を常に受け付けている。
また、TA・SAを活用した質問対応の仕組みを構築することで、授業時間内外での学生の学びを促す取り組みを行っている。</t>
    <phoneticPr fontId="1"/>
  </si>
  <si>
    <t>高坂　誠</t>
    <phoneticPr fontId="1"/>
  </si>
  <si>
    <t>当該科目の取組状況や学習状況は学生ポータルシステム(UNIVERSAL PASSPORT)上に集約され、学務課や担当教員は学生ポータルシステムに記録された学修状況から受講者ごとの講義への取組状況を把握することができる。</t>
    <phoneticPr fontId="1"/>
  </si>
  <si>
    <t>各科目ごとの履修率、単位修得率、成績分布は教務管理システム(GAKUEN)により確認することができる。
また、科目ごとに実施される授業アンケートにより、学生自身の自己評価、学生の理解度や授業の内容や進度についての意見を集めるようにしている。これらの結果を分析することで、当該科目の今後の教育内容の改善に活用する。
さらに、複数教員が担当している科目では、教員間で情報共有することにより、受講生の学修状況を把握し、次の回の講義で活用している。</t>
    <phoneticPr fontId="1"/>
  </si>
  <si>
    <t>科目ごとに実施される授業アンケートにより，学生自身の自己評価，学生の理解度や授業の内容や進度についての意見を分析することができる。
アンケートによると、授業の理解度については、おおむね理解し能力が向上したとの回答を得られた。
分析結果をもとに当該科目の今後の教育内容改善に活用する。</t>
    <phoneticPr fontId="1"/>
  </si>
  <si>
    <t>本プログラムの受講者に対して、「データサイエンスの必要性や重要性についてどのように考えるか」というアンケートを実施しているが、多数の学生がデータサイエンスの必要性・重要性を理解した、と回答している。
また、データを扱う技術やAIへの興味にもつながり、今後の大学での研究に役立つことを学べたと回答している。後輩等他の学生への推奨度に向上にもつながるものと期待できる。</t>
    <phoneticPr fontId="1"/>
  </si>
  <si>
    <t>工学部以外では、令和4年度に新たなプログラムを開始したが、必修科目としており、令和4年度入学者全員が履修している。年次進行に伴い履修率は100％となる予定である。
また、工学部における本プログラムは全学生が履修可能である。2年次の配当科目は選択科目が含まれているためガイダンスを通じて履修を促す。</t>
    <phoneticPr fontId="1"/>
  </si>
  <si>
    <t>令和４年度末時点でカリキュラム修了者が輩出されておらず、現時点では評価することができない。修了者が輩出され次第、その就職先等への調査を行い、企業からの評価や修了者の活躍状況を調査することとしている。</t>
    <phoneticPr fontId="1"/>
  </si>
  <si>
    <t>産業界で使われているデータの取り扱いやAIの技術紹介を講義で行うことにより、産業界の視点を取り入れることが期待できる。
すでに、社会情報科学部では、リテラシーレベルから実践に軸足を置いているため、産業界からも、演習科目の見学希望や講義そのものを担当したい等の申し出を受けている。また実際に、実データの前処理に関する講義や、企業での最新事例を交えた倫理教育は、企業あるいは企業業務の経験者に担当して頂いている。</t>
    <phoneticPr fontId="1"/>
  </si>
  <si>
    <t>データを扱うために基本的なことから講義を始め、実データの取り扱いやAI技術など、身近なデータの分析結果の利用方法を紹介することにより、数理・データサイエンス・AIに興味を持ってもらえるようにすると共に、学ぶ意義についても考え、理解する機会となるようにしている。</t>
    <phoneticPr fontId="1"/>
  </si>
  <si>
    <t>学生による授業評価アンケートの意見や講義担当者からのフィードバックにより、分かりにくい部分を分析することで、講義内容、講義資料の改善に努める。
看護学部では、対面授業の中で分からない所がある場合には、追加で動画や資料を作成し、自宅から何度でも閲覧できるようにした。これによって、自分のペースで学習でき、理解できるように対応している。</t>
    <phoneticPr fontId="1"/>
  </si>
  <si>
    <t>国際商経学部　</t>
  </si>
  <si>
    <t>社会情報科学部</t>
  </si>
  <si>
    <t>工学部　　</t>
    <rPh sb="0" eb="3">
      <t>コウガクブ</t>
    </rPh>
    <phoneticPr fontId="2"/>
  </si>
  <si>
    <t>理学部</t>
  </si>
  <si>
    <t>環境人間学部</t>
  </si>
  <si>
    <t>看護学部</t>
  </si>
  <si>
    <t>データサイエンスの社会における重要性について理解する。
データの収集・加工・処理・可視化、データの分析、分析結果の解釈とその活用というデータサイエンスで用いられる基本的な技術やAI利活用の知識を学習し、社会でデータサイエンスを効率よく利用し役立てる知識を身につける。</t>
    <phoneticPr fontId="1"/>
  </si>
  <si>
    <t>国際商経学部（経済学コース・経営学コース）：「データサイエンス入門」2単位を修得すること。
国際商経学部（グローバルビジネスコース） 　：「Introduction to Data Science」2単位を修得すること。</t>
    <phoneticPr fontId="1"/>
  </si>
  <si>
    <t>国際商経学部</t>
    <phoneticPr fontId="1"/>
  </si>
  <si>
    <t>様式１－１</t>
    <rPh sb="0" eb="2">
      <t>ヨウシキ</t>
    </rPh>
    <phoneticPr fontId="1"/>
  </si>
  <si>
    <t>○</t>
  </si>
  <si>
    <t>データサイエンス入門</t>
    <phoneticPr fontId="1"/>
  </si>
  <si>
    <t>Introduction to Data Science</t>
    <phoneticPr fontId="1"/>
  </si>
  <si>
    <t>様式１－４</t>
    <rPh sb="0" eb="2">
      <t>ヨウシキ</t>
    </rPh>
    <phoneticPr fontId="1"/>
  </si>
  <si>
    <t>理学部</t>
    <rPh sb="0" eb="3">
      <t>リガクブ</t>
    </rPh>
    <phoneticPr fontId="1"/>
  </si>
  <si>
    <t xml:space="preserve">「データサイエンス入門」2単位を修得すること。
</t>
    <phoneticPr fontId="1"/>
  </si>
  <si>
    <t>様式１－５</t>
    <rPh sb="0" eb="2">
      <t>ヨウシキ</t>
    </rPh>
    <phoneticPr fontId="1"/>
  </si>
  <si>
    <t>環境人間学部</t>
    <rPh sb="0" eb="6">
      <t>カンキョウニンゲンガクブ</t>
    </rPh>
    <phoneticPr fontId="1"/>
  </si>
  <si>
    <t>4-1統計および数理基礎</t>
  </si>
  <si>
    <t>データサイエンス入門</t>
    <phoneticPr fontId="1"/>
  </si>
  <si>
    <t>様式１－６</t>
    <rPh sb="0" eb="2">
      <t>ヨウシキ</t>
    </rPh>
    <phoneticPr fontId="1"/>
  </si>
  <si>
    <t>看護学部</t>
    <rPh sb="0" eb="4">
      <t>カンゴガクブ</t>
    </rPh>
    <phoneticPr fontId="1"/>
  </si>
  <si>
    <t>様式１－３</t>
    <rPh sb="0" eb="2">
      <t>ヨウシキ</t>
    </rPh>
    <phoneticPr fontId="1"/>
  </si>
  <si>
    <t>工学部</t>
    <rPh sb="0" eb="3">
      <t>コウガクブ</t>
    </rPh>
    <phoneticPr fontId="1"/>
  </si>
  <si>
    <t>社会情報科学概論</t>
    <phoneticPr fontId="1"/>
  </si>
  <si>
    <t>社会情報科学概論</t>
    <phoneticPr fontId="1"/>
  </si>
  <si>
    <t>情報倫理と法</t>
    <phoneticPr fontId="1"/>
  </si>
  <si>
    <t>該当する全ての授業科目の単位を修得すること　
（データサイエンス入門、社会情報科学概論，情報倫理と法）</t>
    <phoneticPr fontId="1"/>
  </si>
  <si>
    <t>様式１－２</t>
    <rPh sb="0" eb="2">
      <t>ヨウシキ</t>
    </rPh>
    <phoneticPr fontId="1"/>
  </si>
  <si>
    <t>社会情報科学部</t>
    <rPh sb="0" eb="7">
      <t>シャカイジョウホウカガクブ</t>
    </rPh>
    <phoneticPr fontId="1"/>
  </si>
  <si>
    <t xml:space="preserve">社会情報科学のための数学				</t>
    <phoneticPr fontId="1"/>
  </si>
  <si>
    <t>データ構造とアルゴリズム</t>
    <phoneticPr fontId="1"/>
  </si>
  <si>
    <t xml:space="preserve">プログラミングI	</t>
    <phoneticPr fontId="1"/>
  </si>
  <si>
    <t>機械学習</t>
    <phoneticPr fontId="1"/>
  </si>
  <si>
    <t>データマイニング</t>
    <phoneticPr fontId="1"/>
  </si>
  <si>
    <t>4‐2アルゴリズム基礎</t>
  </si>
  <si>
    <t>4‐4時系列データ解析</t>
  </si>
  <si>
    <t>4‐3データ構造とプログラミング基礎</t>
  </si>
  <si>
    <t>4‐5テキスト解析</t>
  </si>
  <si>
    <t>4‐6画像解析</t>
  </si>
  <si>
    <t>4‐7データハンドリング</t>
  </si>
  <si>
    <t>4‐8データ活用実践（教師あり学習）</t>
  </si>
  <si>
    <t>該当する全ての授業科目の単位を修得すること　
（基礎ゼミナール、情報処理基礎、工学倫理）　</t>
    <phoneticPr fontId="1"/>
  </si>
  <si>
    <t>基礎ゼミナール</t>
    <phoneticPr fontId="1"/>
  </si>
  <si>
    <t>工学倫理</t>
    <phoneticPr fontId="1"/>
  </si>
  <si>
    <t>代数学Ⅰ</t>
    <rPh sb="0" eb="3">
      <t>ダイスウガク</t>
    </rPh>
    <phoneticPr fontId="1"/>
  </si>
  <si>
    <t>代数学Ⅱ</t>
    <rPh sb="0" eb="3">
      <t>ダイスウガク</t>
    </rPh>
    <phoneticPr fontId="1"/>
  </si>
  <si>
    <t>確率・統計</t>
    <rPh sb="0" eb="2">
      <t>カクリツ</t>
    </rPh>
    <rPh sb="3" eb="5">
      <t>トウケイ</t>
    </rPh>
    <phoneticPr fontId="1"/>
  </si>
  <si>
    <t>教養教育改編委員会　情報部会
副学長（教育担当）　　　教授　高坂　誠
副学長（教育担当サブ）　教授　樋口芳樹
社会情報科学部　　　　　教授　笹嶋宗彦
国際商経学部　　　　　　教授　兒山真也
工学部　　　　　　　　　教授　佐藤孝雄
看護学部　　　　　　　　教授　片山貴文
理学部　　　　　　　　　助教　西川幸志
環境人間学部　　　　　　講師　木村敏文</t>
    <phoneticPr fontId="1"/>
  </si>
  <si>
    <r>
      <rPr>
        <sz val="12"/>
        <rFont val="ＭＳ Ｐゴシック"/>
        <family val="3"/>
        <charset val="128"/>
        <scheme val="minor"/>
      </rPr>
      <t>プログラムのコア科目を1年生の必修科目としている学部はもちろん、必修に設定していない工学部を含め、入学時の各学部のオリエンテーション時に、きめの細かい履修登録指導がなされている。学生ポータルシステム(UNIVERSAL PASSPORT)等 を利用して授業時間外でも質問ができるようにしている。</t>
    </r>
    <r>
      <rPr>
        <sz val="12"/>
        <color theme="1"/>
        <rFont val="ＭＳ Ｐゴシック"/>
        <family val="3"/>
        <charset val="128"/>
        <scheme val="minor"/>
      </rPr>
      <t xml:space="preserve">
また、TA（ティーチング・アシスタント）、SA（スチューデント・アシスタント）を配置しており、担当教員と連携して学生の理解度向上のためのサポートにあたっている。</t>
    </r>
    <phoneticPr fontId="1"/>
  </si>
  <si>
    <t>情報処理基礎</t>
    <phoneticPr fontId="1"/>
  </si>
  <si>
    <t>ビッグデータ、IoT、AI、ロボット、データ量の増加、計算機の処理速度の向上、AIの非連続的進化、第４次産業革命、Society5.0、データ駆動型社会、コンピュータの構成、コンピュータネットワーク（インターネット）等について概説。
キーワード：ビッグデータ、IoT、 AI、ロボット
『データサイエンス入門』　『Introduction to Data Science』
（第2回）「本学の情報処理教育システムの概要(2)」
（第3回）「現代社会におけるデータサイエンス」</t>
    <phoneticPr fontId="1"/>
  </si>
  <si>
    <t>AI等を活用した新しいビジネスモデル、及びAI最新技術の活用例等について概説。
キーワード：AI等を活用した新しいビジネスモデル、AI最新技術の活用例
『データサイエンス入門』　『Introduction to Data Science』
（第3回）「現代社会におけるデータサイエンス」</t>
    <phoneticPr fontId="1"/>
  </si>
  <si>
    <t>調査データ、ログデータ、実験データ、観測データ、1次・2次・3次データ、メタデータ、構造化データ、非構造化データ、データ作成、オープンデータ等について概説。
キーワード：調査データ、実験データなど
『データサイエンス入門』　『Introduction to Data Science』
（第4回）「データ・AI利活用の現場」</t>
    <phoneticPr fontId="1"/>
  </si>
  <si>
    <t>事業活動におけるデータ・AI活用の広がり（研究開発、購買物流・調達等）及び、活用目的ごとのデータ・AI活用の広がり（仮説検証、知識発見等）について概説。
キーワード：データ・ AI活用領域の広がり
『データサイエンス入門』　『Introduction to Data Science』
（第4回）「データ・AI利活用の現場」</t>
    <phoneticPr fontId="1"/>
  </si>
  <si>
    <t>データ解析（予測、補間、グルーピング、クラスタリング、パターン発見、最適化、シミュレーション・データ同化）、非構造化データ処理、データ可視化、パターン認識、人工知能等について概説。
キーワード：データ解析
『データサイエンス入門』　『Introduction to Data Science』
（第4回）「データ・AI利活用の現場」</t>
    <phoneticPr fontId="1"/>
  </si>
  <si>
    <t>データ分析による意思決定、情報技術による自動化、データ分析・自動化の実態、組織的考慮点について概説。
キーワード：データサイエンスのサイクル
『データサイエンス入門』　『Introduction to Data Science』
（第4回）「データ・AI利活用の現場」</t>
    <phoneticPr fontId="1"/>
  </si>
  <si>
    <t>ELSI、個人情報保護、EU一般データ保護規則（GDPR）、忘れられる権利、オプトアウト、データ倫理、AI社会原則、データバイアス、アルゴリズムバイアス、AIサービスの責任論、データ・AI活用における負の事例等について概説。
キーワード：ELSI、個人情報保護、データ倫理：データのねつ造、改ざん、盗用、プライバシー保護
『データサイエンス入門』　『Introduction to Data Science』
第5回「情報倫理」</t>
    <phoneticPr fontId="1"/>
  </si>
  <si>
    <t>情報セキュリティの定義、匿名加工情報、暗号化、パスワード、悪意ある情報搾取、情報漏洩によるセキュリティ事故の事例。
キーワード：情報セキュリティ、匿名加工情報，暗号化、パスワード、悪意ある情報搾取、情報漏洩等によるセキュリティ事故の事例紹介
『データサイエンス入門』　『Introduction to Data Science』
第6回「情報セキュリティ」</t>
    <phoneticPr fontId="1"/>
  </si>
  <si>
    <t>ヒストグラム、代表値（平均・中央値・最頻値・外れ値）、ばらつき（分散・標準偏差）等について概説と演習。
キーワード：データの種類、データの分布と代表値
『データサイエンス入門』　『Introduction to Data Science』
（第10回、第11回）「データを要約する(1)(2)」
（第12回）「レポート課題」</t>
    <phoneticPr fontId="1"/>
  </si>
  <si>
    <t>複合グラフ、箱ひげ図等について概説と演習。
キーワード：データ表現、データの比較
『データサイエンス入門』　『Introduction to Data Science』
（第10回、第11回）「データを要約する(1)(2)」
（第12回）「レポート課題」</t>
    <phoneticPr fontId="1"/>
  </si>
  <si>
    <t>データの集計、ランキング、ヒストグラム、散布図について概説と演習。
キーワード：データの集計（和、平均），データの並び替え、ランキング、データ解析ツール（スプレッドシート）
『データサイエンス入門』　『Introduction to Data Science』
（第13回、第14回）「データの関係性を調べる(1)(2)」
（第15回）「総合レポート課題」</t>
    <phoneticPr fontId="1"/>
  </si>
  <si>
    <t>社会で起きている変化を理解し、人間の知的活動とAIの関係性について学ぶ。
キーワード：ビッグデータ、IoT、 AI、ロボット
『データサイエンス入門』
（第3回）社会の変化とAIの活用事例　最新のAIを体験
（第8回）人の特性と医療過誤　機械と人の協働　人の特性のまとめ: 視覚の盲点</t>
    <phoneticPr fontId="1"/>
  </si>
  <si>
    <t>データ・AI利活用の最新動向を知り、AI等を活用した新しいビジネスモデルの事例について学ぶ。
キーワード：AI等を活用した新しいビジネスモデル、AI最新技術の活用例
『データサイエンス入門』
（第3回）社会の変化とAIの活用事例　最新のAIを体験</t>
    <phoneticPr fontId="1"/>
  </si>
  <si>
    <t>社会で活用されているデータの種類と、利用可能なデータの入手、活用について学ぶ。
キーワード：調査データ、実験データなど
『データサイエンス入門』
（第4回）ビッグデータ・オープンデータの活用1　データの可視化　グラフの種類と使い分け 出生率、医療費、医療施設などの可視化
（第5回）ビッグデータ・オープンデータの活用2　将来予測　回帰分析　医療費、年金、日本の人口の将来の予測・推計と擬似相関</t>
    <phoneticPr fontId="1"/>
  </si>
  <si>
    <t>データ・AIの活用領域について、知識発見、原因究明、判断支援などの事例について学ぶ。
キーワード：データ・ AI活用領域の広がり
『データサイエンス入門』
（第3回）社会の変化とAIの活用事例　最新のAIを体験</t>
    <phoneticPr fontId="1"/>
  </si>
  <si>
    <t>データ・AI利活用のための技術について、機械学習を体験しながらAIで出来ることと出来ないことを学ぶ。
キーワード：データ解析
『データサイエンス入門』
（第5回）ビッグデータ・オープンデータの活用2　将来予測　回帰分析　医療費、年金、日本の人口の将来の予測・推計と擬似相関
（第9回）AIを育てる　手書き図形の認識 　AIの原理、AIにできること・できないこと(強いAI・弱いAI)、AIをだます・偏見、シンギュラリティ
（第10回）AIによるデータ分析・予測　変数の種類、欠損データ 教師あり学習で心臓発作を予測、AIのブラックボックス問題
（第11回）AIによるデータ分類(クラスタリング)　教師なし学習　手書き図形の認識、変数の種類、欠損データ 教師なし学習で心臓発作を予測
（第12回）AIによる物体認識応用1　部屋にいる人数・密集度の判定 データ作成、アノテーション・タグ付け、クリエイティブコモンズ、画像の引用
（第13回）AIによる物体認識応用2　マスク装着割合を判定　独自AIの作成</t>
    <phoneticPr fontId="1"/>
  </si>
  <si>
    <t>データ・AI利活用の現場として、ヘルスケア等におけるデータの活用事例などを学ぶ。
キーワード：データサイエンスのサイクル
『データサイエンス入門』
（第8回）人の特性と医療過誤　機械と人の協働　人の特性のまとめ: 視覚の盲点
（第10回）AIによるデータ分析・予測　変数の種類、欠損データ 教師あり学習で心臓発作を予測、AIのブラックボックス問題
（第11回）AIによるデータ分類(クラスタリング)　教師なし学習　手書き図形の認識、変数の種類、欠損データ 教師なし学習で心臓発作を予測
（第13回）AIによる物体認識応用2　マスク装着割合を判定　独自AIの作成</t>
    <phoneticPr fontId="1"/>
  </si>
  <si>
    <t>データ・AIを扱う上での留意事項として、個人情報保護、データバイアス、負の事例などを学ぶ。
キーワード：個人情報保護、データ倫理：データのねつ造、改ざん、盗用、プライバシー保護
『データサイエンス入門』
（第1回）情報機器の扱い
（第2回）コンピュータ・リテラシー phishing、ポリシー、私的利用、著作権について考える
（第14回）データを守る1　エッジとクラウド、情報収集、プラットフォーマーと連絡先、音声入力・文書解析と情報漏えい他</t>
    <phoneticPr fontId="1"/>
  </si>
  <si>
    <t>データを守る上での留意事項として、情報セキュリティ、悪意ある情報搾取、セキュリティ事故の事例などを学ぶ。
キーワード：情報セキュリティ、匿名加工情報，暗号化、パスワード、悪意ある情報搾取、情報漏洩等によるセキュリティ事故の事例紹介
『データサイエンス入門』
（第12回）AIによる物体認識応用1　部屋にいる人数・密集度の判定 データ作成、アノテーション・タグ付け、クリエイティブコモンズ、画像の引用
（第13回）AIによる物体認識応用2　マスク装着割合を判定　独自AIの作成
（第14回）データを守る1　エッジとクラウド、情報収集、プラットフォーマーと連絡先、音声入力・文書解析と情報漏えい他
（第15回）データを守る2　看護業務の中の個人情報保護 第3者の定義、災害時の扱いについて考える</t>
    <phoneticPr fontId="1"/>
  </si>
  <si>
    <t>データを読むために分かりやすく記述する統計について学ぶ。
キーワード：データの種類、データの分布と代表値
『データサイエンス入門』
（第5回）ビッグデータ・オープンデータの活用2　将来予測　回帰分析　医療費、年金、日本の人口の将来の予測・推計と擬似相関
（第6回）データの収集・分析1　代表値、散布度　平均、最大、最小、標準偏差、人の特性: 短期記憶の容量測定・データのクリーニング</t>
    <phoneticPr fontId="1"/>
  </si>
  <si>
    <t>データを説明するために分かりやすく可視化する方法について学ぶ。
キーワード：データ表現、データの比較
『データサイエンス入門』
（第4回）ビッグデータ・オープンデータの活用1　データの可視化　グラフの種類と使い分け 出生率、医療費、医療施設などの可視化
（第5回）ビッグデータ・オープンデータの活用2　将来予測　回帰分析　医療費、年金、日本の人口の将来の予測・推計と擬似相関
（第6回）データの収集・分析1　代表値、散布度　平均、最大、最小、標準偏差、人の特性: 短期記憶の容量測定・データのクリーニング</t>
    <phoneticPr fontId="1"/>
  </si>
  <si>
    <t>データを扱うための解析ツールについて学ぶ。
キーワード：データの集計（和、平均），データの並び替え、ランキング、データ解析ツール（スプレッドシート）
『データサイエンス入門』
（第5回）ビッグデータ・オープンデータの活用2　将来予測　回帰分析　医療費、年金、日本の人口の将来の予測・推計と擬似相関
（第6回）データの収集・分析1　代表値、散布度　平均、最大、最小、標準偏差、人の特性: 短期記憶の容量測定・データのクリーニング
（第7回）データの収集・分析2　順位、絶対参照、相対参照、セルの強調、人の特性: 認知機能の測定</t>
    <phoneticPr fontId="1"/>
  </si>
  <si>
    <t>社会で起きていることを知ると共に、数理・データサイエンス・AIについての基礎を学ぶ意義を理解する
キーワード：ビッグデータ、IoT、 AI、ロボット
『データサイエンス入門』
（第1回）「イントロダクション」
（第2回 ）「現代社会におけるデータサイエンス（１）社会で活用されているデータ」</t>
    <phoneticPr fontId="1"/>
  </si>
  <si>
    <t>データ・AI利活用について最新動向を知る
キーワード：AI等を活用した新しいビジネスモデル、AI最新技術の活用例
『データサイエンス入門』
（第3回）「現代社会におけるデータサイエンス（２）データ・AIの活用領域、データサイエンスの応用事例」</t>
    <phoneticPr fontId="1"/>
  </si>
  <si>
    <t>データの種類や活用方法について、理解する
キーワード：調査データ、実験データなど
『データサイエンス入門』
（第2回 ）「現代社会におけるデータサイエンス（１）社会で活用されているデータ」</t>
    <phoneticPr fontId="1"/>
  </si>
  <si>
    <t>社会におけるデータサイエンスやAIの活用について理解する
キーワード：データ・ AI活用領域の広がり
『データサイエンス入門』
（第2回）「現代社会におけるデータサイエンス（１）社会で活用されているデータ」
（第3回）「現代社会におけるデータサイエンス（２）データ・AIの活用領域、データサイエンスの応用事例」</t>
    <phoneticPr fontId="1"/>
  </si>
  <si>
    <t>データサイエンスやAIの技術概要を理解する
キーワード：データ解析
『データサイエンス入門』
（第3回）「現代社会におけるデータサイエンス（２）データ・AIの活用領域、データサイエンスの応用事例」</t>
    <phoneticPr fontId="1"/>
  </si>
  <si>
    <t>データの価値を高めるデータサイエンスやAIの活用を理解する
キーワード：データサイエンスのサイクル
『データサイエンス入門』
（第2回）「現代社会におけるデータサイエンス（１）社会で活用されているデータ」
（第3回）「現代社会におけるデータサイエンス（２）データ・AIの活用領域、データサイエンスの応用事例」</t>
    <phoneticPr fontId="1"/>
  </si>
  <si>
    <t>データやAIを扱う際の注意事項を理解する
キーワード：個人情報保護、データ倫理：データのねつ造、改ざん、盗用、プライバシー保護
『データサイエンス入門』
（第4回）「情報倫理、情報セキュリティ」</t>
    <rPh sb="27" eb="29">
      <t>コジン</t>
    </rPh>
    <phoneticPr fontId="1"/>
  </si>
  <si>
    <t>データを取り扱い上で知っておくべきことを理解する
キーワード：情報セキュリティ、匿名加工情報，暗号化、パスワード、悪意ある情報搾取、情報漏洩等によるセキュリティ事故の事例紹介
『データサイエンス入門』
（第4回）「情報倫理、情報セキュリティ」</t>
    <phoneticPr fontId="1"/>
  </si>
  <si>
    <t>データを読む力を身につける
キーワード：データの種類、データの分布と代表値、データのばらつき
『データサイエンス入門』
（第5回～第10回）「データ分析の基礎　（データの可視化、データの種類・分布、データの代表値・ばらつき、相関・回帰直線、調査・クロス集計、データの比較）」</t>
    <phoneticPr fontId="1"/>
  </si>
  <si>
    <t>データを説明する力を身に付ける
キーワード：データ表現、データの比較
『データサイエンス入門』
（第5回～第11回）「データ分析の基礎　（データの可視化、データの種類・分布、データの代表値・ばらつき、相関・回帰直線、調査・クロス集計、データの比較、説明資料作成の基礎）」
（第12回）「データ分析の応用（データの扱い方）」　</t>
    <phoneticPr fontId="1"/>
  </si>
  <si>
    <t>データを扱う力を身につける
キーワード：データの集計（和、平均），データの並び替え、データ解析ツール（スプレッドシート）
『データサイエンス入門』
（第5回～第11回）「データ分析の基礎　（データの可視化、データの種類・分布、データの代表値・ばらつき、相関・回帰直線、調査・クロス集計、データの比較、説明資料作成の基礎）」
（第12回～第14回）「データ分析の応用（データの扱い方、実データを扱う１、２）
（第15回）「まとめと総合演習」</t>
    <phoneticPr fontId="1"/>
  </si>
  <si>
    <t>情報通信技術や計算機能力の飛躍的な向上によってビッグデータやAIの利用が身近なものとなり、我々を取り巻く環境はデータ駆動型社会へとシフトしてきている。このような社会の変化について、データ駆動型社会によって実現されてきた様々な事例を通じて、データサイエンスの重要性について理解し、データサイエンスの体系の概要について学習する。
キーワード：ビッグデータ、IoT、 AI、ロボット、データ量の増加、計算機の処理性能の向上、AIの非連続的進化、データ駆動型社会、複数技術を組み合わせた AIサービス
『データサイエンス入門』(第3回）「社会で起きている変化」</t>
    <phoneticPr fontId="1"/>
  </si>
  <si>
    <t>情報通信技術や計算機能力の飛躍的な向上によってビッグデータやAIの利用が身近なものとなり、我々を取り巻く環境はデータ駆動型社会へとシフトしてきている。このような社会の変化について、データ駆動型社会によって実現されてきた様々な事例を通じて、データサイエンスの重要性について理解し、データサイエンスの体系の概要について学習する。
キーワード：AI等を活用した新しいビジネスモデル、AI最新技術の活用例
『データサイエンス入門』
（第4回）「データ・AI利活用の最新動向」
（第5回）「データ・AI利活用の現場」</t>
    <phoneticPr fontId="1"/>
  </si>
  <si>
    <t>データ駆動型社会で対象とされるのは調査データや実験データのみに留まらず、画像や音声情報といった身近な情報も対象となり活用されていることを取り上げ、実社会では多様なデータが大量に収集・蓄積されており、文系・理系を問わず様々な分野で専門分野の知見と数理・データサイエンスを掛け合わせることにより、研究の推進やその分野の課題解決がなされていることを学習する。
キーワード：調査データ、実験データ、人の行動ログデータ、機械の稼働ログデータなど
『データサイエンス入門』（第4回）「データ・AI利活用の最新動向」</t>
    <phoneticPr fontId="1"/>
  </si>
  <si>
    <t>データ駆動型社会で対象とされるのは調査データや実験データのみに留まらず、画像や音声
情報といった身近な情報も対象となり活用されていることを取り上げ、実社会では多様なデータが大量に収集・蓄積されており、文系・理系を問わず様々な分野で専門分野の知見と数理・データサイエンスを掛け合わせることにより、研究の推進やその分野の課題解決がなされていることを学習する。
キーワード：流通、製造、金融、サービス、インフラ、公共、ヘルスケア等におけるデータ・ AI利活用事例紹介，データ・ AI活用領域の広がり
『データサイエンス入門』
（第4回）「データ・AI利活用の最新動向」
（第5回）「データ・AI利活用の現場」</t>
    <phoneticPr fontId="1"/>
  </si>
  <si>
    <t>実社会における数理・データサイエンス・AIの適用事例を題材に、回帰や分類などの手法によってどのような情報が得られ、どのような価値を創出しているかを紹介する。また授業で学習する回帰や分類といった分析手法が活用されている実例を学生に調査させ、そこではどのようなデータから、どのような情報を引き出し、どのように価値が見出されたかを報告させる。
キーワード：データ解析
『データサイエンス入門』（第5回）「データ・AI利活用の現場」</t>
    <phoneticPr fontId="1"/>
  </si>
  <si>
    <t>実社会における数理・データサイエンス・AIの適用事例を題材に、回帰や分類などの手法によってどのような情報が得られ、どのような価値を創出しているかを紹介する。また授業で学習する回帰や分類といった分析手法が活用されている実例を学生に調査させ、そこではどのようなデータから、どのような情報を引き出し、どのように価値が見出されたかを報告させる。
キーワード：データサイエンスのサイクル
『データサイエンス入門』（第4回）「データ・AI利活用の最新動向」</t>
    <phoneticPr fontId="1"/>
  </si>
  <si>
    <t>個人情報や著作権の保護・ELSIなどの法的・倫理的側面などを学習し、データおよびそれに付随した情報技術を扱う上での留意事項を学ぶ。また、情報漏洩等によるセキュリティ事故の事例およびそのようなリスクを回避するための情報セキュリティ技術について学ぶ。
キーワード：ELSI（ Ethical, Legal and Social Issues）、個人情報保護、データ倫理：データのねつ造、改ざん、盗用、プライバシー保護
『データサイエンス入門』（第6回）「コンプライアンスと情報倫理」</t>
    <phoneticPr fontId="1"/>
  </si>
  <si>
    <t>個人情報や著作権の保護・ELSIなどの法的・倫理的側面などを学習し、データおよびそれに付随した情報技術を扱う上での留意事項を学ぶ。また、情報漏洩等によるセキュリティ事故の事例およびそのようなリスクを回避するための情報セキュリティ技術について学ぶ。
キーワード：情報セキュリティ、匿名加工情報，暗号化、パスワード、悪意ある情報搾取、情報漏洩等によるセキュリティ事故の事例紹介
『データサイエンス入門』（第7回）「サイバー防犯と情報セキュリティ」</t>
    <phoneticPr fontId="1"/>
  </si>
  <si>
    <t>①データの種類、代表値、②母集団と標本抽出、統計情報の正しい理解（統計的検定）、③相関と因果、データのばらつき（回帰分析）などを学習し、データの種類やデータを適切に説明するための可視化方法について習得する。
キーワード：データの種類、データの分布と代表値、データのばらつき、観測データに含まれる誤差の扱い、打ち切りや脱落を含むデータ、層別の必要なデータ、相関と因果、母集団と標本抽出
『データサイエンス入門』
（第8回、第9回）「データからの情報抽出，基本/要約統計量，データの可視化」
（第10回、第11回）「相関と因果，回帰」
（第12回、第13回）「統計的検定」
（第14回、第15回）「オープンデータの利用，傾向の分析，予測モデル」</t>
    <phoneticPr fontId="1"/>
  </si>
  <si>
    <t>①データの種類、代表値、②母集団と標本抽出、統計情報の正しい理解（統計的検定）、③相関と因果、データのばらつき（回帰分析）などを学習し、データの種類やデータを適切に説明するための可視化方法について習得する。
キーワード：データ表現、データの比較
『データサイエンス入門』
（第8回、第9回）「データからの情報抽出，基本/要約統計量，データの可視化」
（第10回、第11回）「相関と因果，回帰」
（第12回、第13回）「統計的検定」
（第14回、第15回）「オープンデータの利用，傾向の分析，予測モデル」</t>
    <phoneticPr fontId="1"/>
  </si>
  <si>
    <t>①データの種類、代表値、②母集団と標本抽出、統計情報の正しい理解（統計的検定）、③相関と因果、データのばらつき（回帰分析）などを学習し、データの種類やデータを適切に説明するための可視化方法について習得する。
キーワード：データの集計（和、平均），データの並び替え、ランキング、データ解析ツール（スプレッドシート）
『データサイエンス入門』
（第8回、第9回）「データからの情報抽出，基本/要約統計量，データの可視化」
（第10回、第11回）「相関と因果，回帰」
（第12回、第13回）「統計的検定」
（第14回、第15回）「オープンデータの利用，傾向の分析，予測モデル」</t>
    <phoneticPr fontId="1"/>
  </si>
  <si>
    <t>第４次産業革命、Society5.0を迎え、ビッグデータ、AIは日常的なものにすでになっている。現在の日常生活や社会で、どのような変化が起きているかを知り、データやAIを活用した新しいビジネス／サービスについて学ぶ。また、Society5.0の実現によって可能となること、新しいビジネス／サービスが自らの生活においてどのように密接に関連しているかを理解する。
キーワード：第４次産業革命、Society 5.0、データ駆動型社会
電気電子情報工学科、『基礎ゼミナール』（第7回）「現代社会におけるデータサイエンス」
機械・材料工学科、『基礎ゼミナール』（第1回）「現代社会におけるデータサイエンス」
応用化学工学科、『基礎ゼミナール』（第12回）「現代社会におけるデータサイエンス」</t>
    <phoneticPr fontId="1"/>
  </si>
  <si>
    <t>電気・電子・機械・化学などのすべての工学分野において、ビッグデータ、AI技術により、その開発手段、研究手段がどのように変わるかを理解する。加えて、それらAI利活用をさらに進める最先端の技術である深層学習、敵対的生成ネットワーク、AIモデルの解釈性などを概説する。
キーワード：AI等を活用した新しいビジネスモデル、AI最新技術の活用例
電気電子情報工学科、『基礎ゼミナール』（第7回）「現代社会におけるデータサイエンス」
機械・材料工学科、『基礎ゼミナール』（第1回）「現代社会におけるデータサイエンス」
応用化学工学科、『基礎ゼミナール』（第12回）「現代社会におけるデータサイエンス」</t>
    <phoneticPr fontId="1"/>
  </si>
  <si>
    <t>社会で活用されているデータについて、その収集方法、データの所有者、データの表現形式の基本について学ぶ。さらに、AI学習で必要となるアノテーションについて理解する。特に工学分野で取得されるデータについて学ぶ。
キーワード：調査データ、実験データなど
電気電子情報工学科、『基礎ゼミナール』（第8回）「社会・工学分野におけるデータ・AI利活用領域」
機械・材料工学科、『基礎ゼミナール』（第2回）「社会・工学分野におけるデータ・AI利活用領域」
応用化学工学科、『基礎ゼミナール』（第13回）「社会・工学分野におけるデータ・AI利活用領域」</t>
    <phoneticPr fontId="1"/>
  </si>
  <si>
    <t>データサイエンスやAIが、日常生活や社会課題の解決、工学分野での研究開発にどのように用いられるかを、いくつかの例を通して学ぶ。
キーワード：データ・ AI活用領域の広がり
電気電子情報工学科、『基礎ゼミナール』（第8回）、社会・工学分野におけるデータ・AI利活用領域
機械・材料工学科、『基礎ゼミナール』（第2回）、社会・工学分野におけるデータ・AI利活用領域
応用化学工学科、『基礎ゼミナール』（第13回）、社会・工学分野におけるデータ・AI利活用領域</t>
    <phoneticPr fontId="1"/>
  </si>
  <si>
    <t>データの一次分析、高次元データの可視化について理解し、課題解決のための技術として、データサイエンス、AIによる予測、クラスタリング、知識抽出、最適化、シミュレーションとデータ同化の概要を学ぶ。
キーワード：データ解析
電気電子情報工学科、『基礎ゼミナール』（第9回）、データ・AI利活用のための技術と応用事例
機械・材料工学科、『基礎ゼミナール』（第3回）、データ・AI利活用のための技術と応用事例
応用化学工学科、『基礎ゼミナール』（第14回）、データ・AI利活用のための技術と応用事例</t>
    <phoneticPr fontId="1"/>
  </si>
  <si>
    <t>日常生活や社会課題の解決に用いられているデータサイエンス、AIの技術について、様々な適用領域の具体的事例を基に、その概要を学ぶと共に、データサイエンスにおける問題解決の基本的考え方を理解する。
キーワード：データサイエンスのサイクル
電気電子情報工学科、『基礎ゼミナール』（第9回）、データ・AI利活用のための技術と応用事例
機械・材料工学科、『基礎ゼミナール』（第3回）、データ・AI利活用のための技術と応用事例
応用化学工学科、『基礎ゼミナール』（第14回）、データ・AI利活用のための技術と応用事例</t>
    <phoneticPr fontId="1"/>
  </si>
  <si>
    <t>データ・AIは、他学問分野と同様に社会的影響が大きく、高い倫理観が必要である。本講義では、データ・AIに関する基本的な倫理、合意事項について学ぶ。科学全般倫理の基本的概念であるELSI、特にAIにおけるELSIについて学ぶ。
キーワード：ELSI、個人情報保護、データ倫理：データのねつ造、改ざん、盗用、プライバシー保護
電気電子情報工学科、『工学倫理』（第15回）、データ・AI利活用に関する工学倫理・ELSI
機械・材料工学科、『工学倫理』（第14回）、データ・AI利活用に関する工学倫理・ELSI
応用化学工学科、『工学倫理』（第14回）、データ・AI利活用に関する工学倫理・ELSI</t>
    <phoneticPr fontId="1"/>
  </si>
  <si>
    <t>データの倫理として、データの健全性、データの保護、個人情報とプライバシーについて具体的事例を用いて、その基本的考え方を理解するとともに、データの守り方についても学ぶ。次に、データサイエンス・AIで新たに発生しうる倫理的問題として、統計的差別、データバイアス、個人情報・プライバシー侵害について理解する。これらを踏まえて、データサイエンス・AIにおいて形成されている社会的合意について学ぶ。
キーワード：情報セキュリティ、匿名加工情報，暗号化、パスワード、悪意ある情報搾取、情報漏洩等によるセキュリティ事故の事例紹介
電気電子情報工学科、『工学倫理』（第15回）、データ・AI利活用に関する工学倫理・ELSI
機械・材料工学科、『工学倫理』（第14回）、データ・AI利活用に関する工学倫理・ELSI
応用化学工学科、『工学倫理』（第14回）、データ・AI利活用に関する工学倫理・ELSI</t>
    <phoneticPr fontId="1"/>
  </si>
  <si>
    <t>AI・データサイエンスで取り扱う基本的要素となる「データ」について、データの種類を理解する。
キーワード：データの種類、データの分布と代表値
電気電子情報工学科、『情報処理基礎』（第10回～第12回）「データ分析の基礎」
機械・材料工学科、『情報処理基礎』（第6回、第7回）「繰り返し１，２」、（第8回）「総合演習１」（第13回）「ファイル処理・データ表現」
応用化学工学科、『情報処理基礎』（第2回～第4回）「データ分析の基礎」</t>
    <phoneticPr fontId="1"/>
  </si>
  <si>
    <t>データの基本的な統計的解析法、グラフでの可視化法などについて理解する。特に、複数のグラフによる可視化法のそれぞれの特徴について学ぶことで、最適な選択を行えるようにする。
キーワード：データ表現、データの比較
電気電子情報工学科、『情報処理基礎』（第10回）「データ分析の基礎」
機械・材料工学科、『情報処理基礎』（第6回、第7回）「繰り返し１，２」、（第13回）「ファイル処理・データ表現」
応用化学工学科、『情報処理基礎』（第2回）「データ分析の基礎」</t>
    <phoneticPr fontId="1"/>
  </si>
  <si>
    <t>実データ、特に工学分野で取り扱われるデータを用いた演習を行うことで、具体的な解析・可視化の技術を習得する。
キーワード：データの集計（和、平均），データの並び替え、ランキング、データ解析ツール（スプレッドシート）
電気電子情報工学科、『情報処理基礎』（第10回）「データ分析の基礎」
機械・材料工学科、『情報処理基礎』（第6回、第7回）「繰り返し１，２」、（第13回）「ファイル処理・データ表現」
応用化学工学科、『情報処理基礎』（第2回）「データ分析の基礎」</t>
    <phoneticPr fontId="1"/>
  </si>
  <si>
    <t>現在進行中の社会変化（第４次産業革命、Society 5.0、データ駆動型社会等）と、社会情報科学部で学ぶデータサイエンスとの関係性や、データサイエンスに関する理論科目を学ぶことの大切さ、理論を実際の現場に応用することの難しさを学ぶとともに、卒業後どのような活躍が求められているのか理解する。
キーワード：第４次産業革命、Society 5.0、データ駆動型社会
『社会情報科学概論』（第1回）「イントロダクション」</t>
    <phoneticPr fontId="1"/>
  </si>
  <si>
    <t>実社会でのデータ活用事例と社会情報科学部で学ぶデータサイエンスとの関係性について理解する。
キーワード：AI等を活用した新しいビジネスモデル、AI最新技術の活用例
『社会情報科学概論』（第2回～第4回）「イントロダクション　実社会におけるデータやAIを活用した課題解決事例」</t>
    <phoneticPr fontId="1"/>
  </si>
  <si>
    <t>社会において、オープンデータなど利用可能なデータを収集し解析する方法とその実際について体験的に理解する。
キーワード：調査データ、実験データなど
『データサイエンス入門』（第8回、第9回）「データを扱う，見る，要約する(1)(2)」</t>
    <phoneticPr fontId="1"/>
  </si>
  <si>
    <t>データやAIを活用する領域を紹介する。
キーワード：データ・ AI活用領域の広がり
『社会情報科学概論』
（第11回）「情報技術利用の我が国の動向」
（第12回）「情報技術利用の世界的な動向」</t>
    <phoneticPr fontId="1"/>
  </si>
  <si>
    <t>様々な領域でデータやAIを活用するための技術を紹介する。
キーワード：データ解析
『社会情報科学概論』（第9回、第10回）「情報技術の社会適用の実際1，2」</t>
    <phoneticPr fontId="1"/>
  </si>
  <si>
    <t>様々な領域でデータやAIを活用する現場を紹介する。
キーワード：データサイエンスのサイクル
『社会情報科学概論』（第9回、第10回）「情報技術の社会適用の実際1，2」</t>
    <phoneticPr fontId="1"/>
  </si>
  <si>
    <t>秘匿性の高いデータの取扱いやAI技術の利用に関連する情報倫理について学ぶ。
キーワード：ELSI、個人情報保護、データ倫理：データのねつ造、改ざん、盗用、プライバシー保護
『情報倫理と法』
（第2回）「コンプライアンスとインテグリティ」
（第3回）「ＣＳＲ（企業の社会的責任）」</t>
    <phoneticPr fontId="1"/>
  </si>
  <si>
    <t>秘匿性の高いデータの取扱いやAI技術の利用に関連する情報倫理について学ぶ。
キーワード：情報セキュリティ、匿名加工情報，暗号化、パスワード、悪意ある情報搾取、情報漏洩等によるセキュリティ事故の事例紹介
『情報倫理と法』
（第4回、第5回）「情報セキュリティ」
（第6回、第7回）「個人情報管理」</t>
    <phoneticPr fontId="1"/>
  </si>
  <si>
    <t>キーワード：データの種類、データの分布と代表値
『データサイエンス入門』
（第8回、第9回）「データを扱う，見る，要約する(1)(2)」
（第10回、第11回）「データの関係性を調べる(1)(2)」</t>
    <phoneticPr fontId="1"/>
  </si>
  <si>
    <t>キーワード：データ表現、データの比較
『データサイエンス入門』
（第10回、第11回）「データの関係性を調べる(1)(2)」
（第12回、第13回）「オープンデータ分析と仮説検証(1)(2)」</t>
    <phoneticPr fontId="1"/>
  </si>
  <si>
    <t>キーワード：データの集計（和、平均），データの並び替え、ランキング、データ解析ツール（スプレッドシート）
『データサイエンス入門』
（第10回、第11回）「データの関係性を調べる(1)(2)」
（第12回、第13回）「オープンデータ分析と仮説検証(1)(2)」
（第14回）「線形単回帰による予測」
（第15回）「分類」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</si>
</sst>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ゴシック"/>
      <family val="3"/>
      <charset val="128"/>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Down="1">
      <left style="dotted">
        <color auto="1"/>
      </left>
      <right/>
      <top style="thin">
        <color auto="1"/>
      </top>
      <bottom/>
      <diagonal style="dotted">
        <color auto="1"/>
      </diagonal>
    </border>
    <border diagonalDown="1">
      <left style="hair">
        <color auto="1"/>
      </left>
      <right style="thin">
        <color auto="1"/>
      </right>
      <top style="thin">
        <color auto="1"/>
      </top>
      <bottom/>
      <diagonal style="dotted">
        <color auto="1"/>
      </diagonal>
    </border>
    <border diagonalDown="1">
      <left style="dotted">
        <color auto="1"/>
      </left>
      <right/>
      <top style="hair">
        <color auto="1"/>
      </top>
      <bottom style="hair">
        <color auto="1"/>
      </bottom>
      <diagonal style="dotted">
        <color auto="1"/>
      </diagonal>
    </border>
    <border diagonalDown="1">
      <left style="hair">
        <color auto="1"/>
      </left>
      <right style="thin">
        <color auto="1"/>
      </right>
      <top style="hair">
        <color auto="1"/>
      </top>
      <bottom style="hair">
        <color auto="1"/>
      </bottom>
      <diagonal style="dotted">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6" fillId="0" borderId="0" xfId="0" applyFont="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1"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2" fillId="0" borderId="0" xfId="0" applyFont="1">
      <alignment vertical="center"/>
    </xf>
    <xf numFmtId="0" fontId="12" fillId="0" borderId="0" xfId="0" applyFont="1" applyAlignment="1">
      <alignment horizontal="right" vertical="center"/>
    </xf>
    <xf numFmtId="0" fontId="13" fillId="0" borderId="0" xfId="0" applyFont="1">
      <alignmen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4" fillId="0" borderId="0" xfId="0" applyFont="1" applyAlignment="1">
      <alignment horizontal="center" vertical="center"/>
    </xf>
    <xf numFmtId="0" fontId="12" fillId="0" borderId="0" xfId="0" applyFont="1" applyAlignment="1">
      <alignment horizontal="center" vertical="center"/>
    </xf>
    <xf numFmtId="0" fontId="12" fillId="0" borderId="10" xfId="0" applyFont="1" applyBorder="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3"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5" xfId="0" applyFont="1" applyBorder="1">
      <alignmen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Alignment="1">
      <alignment vertical="center" wrapText="1"/>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4" xfId="0" applyFont="1" applyBorder="1" applyAlignment="1">
      <alignment horizontal="center"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23" xfId="0" applyFont="1" applyBorder="1" applyAlignment="1">
      <alignment horizontal="center" vertical="center" shrinkToFit="1"/>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2" fillId="0" borderId="13"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0" xfId="0" applyFont="1" applyAlignment="1">
      <alignment vertical="top"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34" xfId="0" applyFont="1" applyBorder="1" applyAlignment="1">
      <alignment horizontal="center" vertical="center" shrinkToFit="1"/>
    </xf>
    <xf numFmtId="0" fontId="12" fillId="0" borderId="36" xfId="0" applyFont="1" applyBorder="1" applyAlignment="1">
      <alignment horizontal="center" vertical="center" shrinkToFit="1"/>
    </xf>
    <xf numFmtId="0" fontId="12" fillId="0" borderId="35" xfId="0" applyFont="1" applyBorder="1" applyAlignment="1">
      <alignment horizontal="center" vertical="center" shrinkToFit="1"/>
    </xf>
    <xf numFmtId="0" fontId="12" fillId="0" borderId="19" xfId="0" applyFont="1" applyBorder="1" applyAlignment="1">
      <alignment horizontal="center" vertical="center" shrinkToFit="1"/>
    </xf>
    <xf numFmtId="0" fontId="12" fillId="0" borderId="20" xfId="0" applyFont="1" applyBorder="1" applyAlignment="1">
      <alignment horizontal="center" vertical="center" shrinkToFit="1"/>
    </xf>
    <xf numFmtId="0" fontId="12" fillId="0" borderId="18" xfId="0" applyFont="1" applyBorder="1" applyAlignment="1">
      <alignment horizontal="center" vertical="center" shrinkToFit="1"/>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0" xfId="0" applyFont="1" applyAlignment="1">
      <alignment horizontal="center"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5" fillId="0" borderId="45" xfId="0" applyFont="1" applyBorder="1" applyAlignment="1">
      <alignment vertical="center" wrapText="1"/>
    </xf>
    <xf numFmtId="49" fontId="15" fillId="0" borderId="48" xfId="0" applyNumberFormat="1" applyFont="1" applyBorder="1" applyAlignment="1">
      <alignment horizontal="center" vertical="center"/>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5" fillId="0" borderId="31" xfId="0" applyFont="1" applyBorder="1" applyAlignment="1">
      <alignment vertical="center" wrapText="1"/>
    </xf>
    <xf numFmtId="49" fontId="15" fillId="0" borderId="49" xfId="0" applyNumberFormat="1" applyFont="1" applyBorder="1" applyAlignment="1">
      <alignment horizontal="center" vertical="center"/>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49" fontId="15" fillId="0" borderId="44" xfId="0" applyNumberFormat="1" applyFont="1" applyBorder="1" applyAlignment="1">
      <alignment horizontal="center" vertical="center"/>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5" fillId="0" borderId="46" xfId="0" applyFont="1" applyBorder="1" applyAlignment="1">
      <alignment vertical="center" wrapText="1"/>
    </xf>
    <xf numFmtId="49" fontId="15" fillId="0" borderId="29" xfId="0" applyNumberFormat="1" applyFont="1" applyBorder="1" applyAlignment="1">
      <alignment horizontal="center" vertical="center"/>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49" fontId="15" fillId="0" borderId="47" xfId="0" applyNumberFormat="1" applyFont="1" applyBorder="1" applyAlignment="1">
      <alignment horizontal="center" vertical="center"/>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6" xfId="0" applyFont="1" applyBorder="1" applyAlignment="1">
      <alignment vertical="center" wrapText="1" shrinkToFit="1"/>
    </xf>
    <xf numFmtId="49" fontId="15" fillId="0" borderId="32" xfId="0" applyNumberFormat="1" applyFont="1" applyBorder="1" applyAlignment="1">
      <alignment horizontal="center" vertical="center"/>
    </xf>
    <xf numFmtId="0" fontId="12" fillId="0" borderId="19" xfId="0" applyFont="1" applyBorder="1" applyAlignment="1">
      <alignment vertical="center" wrapText="1"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1ED6-6917-44E8-B4B8-A8ED4B26CBFE}">
  <sheetPr>
    <pageSetUpPr fitToPage="1"/>
  </sheetPr>
  <dimension ref="A1:V110"/>
  <sheetViews>
    <sheetView showZeros="0" tabSelected="1" view="pageBreakPreview" topLeftCell="A97" zoomScaleNormal="100" zoomScaleSheetLayoutView="100"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158</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157</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156</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2</v>
      </c>
      <c r="D20" s="178"/>
      <c r="E20" s="205" t="s">
        <v>95</v>
      </c>
      <c r="G20" s="188"/>
      <c r="H20" s="183"/>
      <c r="I20" s="183"/>
      <c r="J20" s="179" t="s">
        <v>121</v>
      </c>
      <c r="K20" s="206" t="s">
        <v>110</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160</v>
      </c>
      <c r="C25" s="214"/>
      <c r="D25" s="214"/>
      <c r="E25" s="215"/>
      <c r="F25" s="216">
        <v>2</v>
      </c>
      <c r="G25" s="216"/>
      <c r="H25" s="216" t="s">
        <v>159</v>
      </c>
      <c r="I25" s="216" t="s">
        <v>159</v>
      </c>
      <c r="J25" s="213" t="s">
        <v>161</v>
      </c>
      <c r="K25" s="214"/>
      <c r="L25" s="214"/>
      <c r="M25" s="214"/>
      <c r="N25" s="214"/>
      <c r="O25" s="215"/>
      <c r="P25" s="216">
        <v>2</v>
      </c>
      <c r="Q25" s="216"/>
      <c r="R25" s="216" t="s">
        <v>159</v>
      </c>
      <c r="S25" s="216" t="s">
        <v>159</v>
      </c>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160</v>
      </c>
      <c r="C36" s="214"/>
      <c r="D36" s="214"/>
      <c r="E36" s="215"/>
      <c r="F36" s="216">
        <v>2</v>
      </c>
      <c r="G36" s="216"/>
      <c r="H36" s="216" t="s">
        <v>159</v>
      </c>
      <c r="I36" s="216" t="s">
        <v>159</v>
      </c>
      <c r="J36" s="213" t="s">
        <v>161</v>
      </c>
      <c r="K36" s="214"/>
      <c r="L36" s="214"/>
      <c r="M36" s="214"/>
      <c r="N36" s="214"/>
      <c r="O36" s="215"/>
      <c r="P36" s="216">
        <v>2</v>
      </c>
      <c r="Q36" s="216"/>
      <c r="R36" s="216" t="s">
        <v>159</v>
      </c>
      <c r="S36" s="216" t="s">
        <v>159</v>
      </c>
    </row>
    <row r="37" spans="1:19" ht="18" customHeight="1" x14ac:dyDescent="0.2">
      <c r="B37" s="217"/>
      <c r="C37" s="218"/>
      <c r="D37" s="218"/>
      <c r="E37" s="219"/>
      <c r="F37" s="220"/>
      <c r="G37" s="220"/>
      <c r="H37" s="220"/>
      <c r="I37" s="220"/>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160</v>
      </c>
      <c r="C47" s="214"/>
      <c r="D47" s="214"/>
      <c r="E47" s="215"/>
      <c r="F47" s="216">
        <v>2</v>
      </c>
      <c r="G47" s="216"/>
      <c r="H47" s="216" t="s">
        <v>159</v>
      </c>
      <c r="I47" s="216" t="s">
        <v>159</v>
      </c>
      <c r="J47" s="213" t="s">
        <v>161</v>
      </c>
      <c r="K47" s="214"/>
      <c r="L47" s="214"/>
      <c r="M47" s="214"/>
      <c r="N47" s="214"/>
      <c r="O47" s="215"/>
      <c r="P47" s="216">
        <v>2</v>
      </c>
      <c r="Q47" s="216"/>
      <c r="R47" s="216" t="s">
        <v>159</v>
      </c>
      <c r="S47" s="216" t="s">
        <v>159</v>
      </c>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160</v>
      </c>
      <c r="C58" s="214"/>
      <c r="D58" s="214"/>
      <c r="E58" s="215"/>
      <c r="F58" s="216">
        <v>2</v>
      </c>
      <c r="G58" s="216"/>
      <c r="H58" s="216" t="s">
        <v>159</v>
      </c>
      <c r="I58" s="216" t="s">
        <v>159</v>
      </c>
      <c r="J58" s="213" t="s">
        <v>161</v>
      </c>
      <c r="K58" s="214"/>
      <c r="L58" s="214"/>
      <c r="M58" s="214"/>
      <c r="N58" s="214"/>
      <c r="O58" s="215"/>
      <c r="P58" s="216">
        <v>2</v>
      </c>
      <c r="Q58" s="216"/>
      <c r="R58" s="216" t="s">
        <v>159</v>
      </c>
      <c r="S58" s="216" t="s">
        <v>159</v>
      </c>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160</v>
      </c>
      <c r="C69" s="214"/>
      <c r="D69" s="214"/>
      <c r="E69" s="216">
        <v>2</v>
      </c>
      <c r="F69" s="216"/>
      <c r="G69" s="216" t="s">
        <v>159</v>
      </c>
      <c r="H69" s="216" t="s">
        <v>159</v>
      </c>
      <c r="I69" s="216" t="s">
        <v>159</v>
      </c>
      <c r="J69" s="213" t="s">
        <v>161</v>
      </c>
      <c r="K69" s="214"/>
      <c r="L69" s="214"/>
      <c r="M69" s="214"/>
      <c r="N69" s="215"/>
      <c r="O69" s="216">
        <v>2</v>
      </c>
      <c r="P69" s="216"/>
      <c r="Q69" s="216" t="s">
        <v>159</v>
      </c>
      <c r="R69" s="216" t="s">
        <v>159</v>
      </c>
      <c r="S69" s="216" t="s">
        <v>159</v>
      </c>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c r="C79" s="214"/>
      <c r="D79" s="214"/>
      <c r="E79" s="215"/>
      <c r="F79" s="230"/>
      <c r="G79" s="231"/>
      <c r="H79" s="231"/>
      <c r="I79" s="232"/>
      <c r="J79" s="213"/>
      <c r="K79" s="214"/>
      <c r="L79" s="214"/>
      <c r="M79" s="214"/>
      <c r="N79" s="214"/>
      <c r="O79" s="215"/>
      <c r="P79" s="230"/>
      <c r="Q79" s="231"/>
      <c r="R79" s="231"/>
      <c r="S79" s="232"/>
    </row>
    <row r="80" spans="1:19" ht="18" customHeight="1" x14ac:dyDescent="0.2">
      <c r="A80" s="183"/>
      <c r="B80" s="217"/>
      <c r="C80" s="218"/>
      <c r="D80" s="218"/>
      <c r="E80" s="219"/>
      <c r="F80" s="233"/>
      <c r="G80" s="234"/>
      <c r="H80" s="234"/>
      <c r="I80" s="235"/>
      <c r="J80" s="217"/>
      <c r="K80" s="218"/>
      <c r="L80" s="218"/>
      <c r="M80" s="218"/>
      <c r="N80" s="218"/>
      <c r="O80" s="219"/>
      <c r="P80" s="233"/>
      <c r="Q80" s="234"/>
      <c r="R80" s="234"/>
      <c r="S80" s="235"/>
    </row>
    <row r="81" spans="1:19" ht="18" customHeight="1" x14ac:dyDescent="0.2">
      <c r="A81" s="183"/>
      <c r="B81" s="217"/>
      <c r="C81" s="218"/>
      <c r="D81" s="218"/>
      <c r="E81" s="219"/>
      <c r="F81" s="233"/>
      <c r="G81" s="234"/>
      <c r="H81" s="234"/>
      <c r="I81" s="235"/>
      <c r="J81" s="217"/>
      <c r="K81" s="218"/>
      <c r="L81" s="218"/>
      <c r="M81" s="218"/>
      <c r="N81" s="218"/>
      <c r="O81" s="219"/>
      <c r="P81" s="233"/>
      <c r="Q81" s="234"/>
      <c r="R81" s="234"/>
      <c r="S81" s="235"/>
    </row>
    <row r="82" spans="1:19" ht="18" customHeight="1" x14ac:dyDescent="0.2">
      <c r="A82" s="183"/>
      <c r="B82" s="217"/>
      <c r="C82" s="218"/>
      <c r="D82" s="218"/>
      <c r="E82" s="219"/>
      <c r="F82" s="233"/>
      <c r="G82" s="234"/>
      <c r="H82" s="234"/>
      <c r="I82" s="235"/>
      <c r="J82" s="217"/>
      <c r="K82" s="218"/>
      <c r="L82" s="218"/>
      <c r="M82" s="218"/>
      <c r="N82" s="218"/>
      <c r="O82" s="219"/>
      <c r="P82" s="233"/>
      <c r="Q82" s="234"/>
      <c r="R82" s="234"/>
      <c r="S82" s="235"/>
    </row>
    <row r="83" spans="1:19" ht="18" customHeight="1" x14ac:dyDescent="0.2">
      <c r="A83" s="183"/>
      <c r="B83" s="217"/>
      <c r="C83" s="218"/>
      <c r="D83" s="218"/>
      <c r="E83" s="219"/>
      <c r="F83" s="233"/>
      <c r="G83" s="234"/>
      <c r="H83" s="234"/>
      <c r="I83" s="235"/>
      <c r="J83" s="217"/>
      <c r="K83" s="218"/>
      <c r="L83" s="218"/>
      <c r="M83" s="218"/>
      <c r="N83" s="218"/>
      <c r="O83" s="219"/>
      <c r="P83" s="233"/>
      <c r="Q83" s="234"/>
      <c r="R83" s="234"/>
      <c r="S83" s="235"/>
    </row>
    <row r="84" spans="1:19" ht="18" customHeight="1" x14ac:dyDescent="0.2">
      <c r="A84" s="183"/>
      <c r="B84" s="217"/>
      <c r="C84" s="218"/>
      <c r="D84" s="218"/>
      <c r="E84" s="219"/>
      <c r="F84" s="233"/>
      <c r="G84" s="234"/>
      <c r="H84" s="234"/>
      <c r="I84" s="235"/>
      <c r="J84" s="217"/>
      <c r="K84" s="218"/>
      <c r="L84" s="218"/>
      <c r="M84" s="218"/>
      <c r="N84" s="218"/>
      <c r="O84" s="219"/>
      <c r="P84" s="233"/>
      <c r="Q84" s="234"/>
      <c r="R84" s="234"/>
      <c r="S84" s="235"/>
    </row>
    <row r="85" spans="1:19" ht="18" customHeight="1" x14ac:dyDescent="0.2">
      <c r="A85" s="183"/>
      <c r="B85" s="221"/>
      <c r="C85" s="222"/>
      <c r="D85" s="222"/>
      <c r="E85" s="223"/>
      <c r="F85" s="236"/>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113.4" customHeight="1" x14ac:dyDescent="0.2">
      <c r="B89" s="242" t="s">
        <v>61</v>
      </c>
      <c r="C89" s="243" t="s">
        <v>56</v>
      </c>
      <c r="D89" s="244" t="s">
        <v>200</v>
      </c>
      <c r="E89" s="245"/>
      <c r="F89" s="245"/>
      <c r="G89" s="245"/>
      <c r="H89" s="245"/>
      <c r="I89" s="245"/>
      <c r="J89" s="245"/>
      <c r="K89" s="245"/>
      <c r="L89" s="245"/>
      <c r="M89" s="245"/>
      <c r="N89" s="245"/>
      <c r="O89" s="245"/>
      <c r="P89" s="245"/>
      <c r="Q89" s="245"/>
      <c r="R89" s="245"/>
      <c r="S89" s="246"/>
    </row>
    <row r="90" spans="1:19" ht="78.599999999999994" customHeight="1" x14ac:dyDescent="0.2">
      <c r="B90" s="247"/>
      <c r="C90" s="248" t="s">
        <v>77</v>
      </c>
      <c r="D90" s="249" t="s">
        <v>201</v>
      </c>
      <c r="E90" s="250"/>
      <c r="F90" s="250"/>
      <c r="G90" s="250"/>
      <c r="H90" s="250"/>
      <c r="I90" s="250"/>
      <c r="J90" s="250"/>
      <c r="K90" s="250"/>
      <c r="L90" s="250"/>
      <c r="M90" s="250"/>
      <c r="N90" s="250"/>
      <c r="O90" s="250"/>
      <c r="P90" s="250"/>
      <c r="Q90" s="250"/>
      <c r="R90" s="250"/>
      <c r="S90" s="251"/>
    </row>
    <row r="91" spans="1:19" ht="97.5" customHeight="1" x14ac:dyDescent="0.2">
      <c r="B91" s="242" t="s">
        <v>62</v>
      </c>
      <c r="C91" s="252" t="s">
        <v>71</v>
      </c>
      <c r="D91" s="253" t="s">
        <v>202</v>
      </c>
      <c r="E91" s="254"/>
      <c r="F91" s="254"/>
      <c r="G91" s="254"/>
      <c r="H91" s="254"/>
      <c r="I91" s="254"/>
      <c r="J91" s="254"/>
      <c r="K91" s="254"/>
      <c r="L91" s="254"/>
      <c r="M91" s="254"/>
      <c r="N91" s="254"/>
      <c r="O91" s="254"/>
      <c r="P91" s="254"/>
      <c r="Q91" s="254"/>
      <c r="R91" s="254"/>
      <c r="S91" s="255"/>
    </row>
    <row r="92" spans="1:19" ht="97.5" customHeight="1" x14ac:dyDescent="0.2">
      <c r="B92" s="256"/>
      <c r="C92" s="257" t="s">
        <v>72</v>
      </c>
      <c r="D92" s="258" t="s">
        <v>203</v>
      </c>
      <c r="E92" s="259"/>
      <c r="F92" s="259"/>
      <c r="G92" s="259"/>
      <c r="H92" s="259"/>
      <c r="I92" s="259"/>
      <c r="J92" s="259"/>
      <c r="K92" s="259"/>
      <c r="L92" s="259"/>
      <c r="M92" s="259"/>
      <c r="N92" s="259"/>
      <c r="O92" s="259"/>
      <c r="P92" s="259"/>
      <c r="Q92" s="259"/>
      <c r="R92" s="259"/>
      <c r="S92" s="260"/>
    </row>
    <row r="93" spans="1:19" ht="97.5" customHeight="1" x14ac:dyDescent="0.2">
      <c r="B93" s="242" t="s">
        <v>63</v>
      </c>
      <c r="C93" s="252" t="s">
        <v>73</v>
      </c>
      <c r="D93" s="253" t="s">
        <v>204</v>
      </c>
      <c r="E93" s="254"/>
      <c r="F93" s="254"/>
      <c r="G93" s="254"/>
      <c r="H93" s="254"/>
      <c r="I93" s="254"/>
      <c r="J93" s="254"/>
      <c r="K93" s="254"/>
      <c r="L93" s="254"/>
      <c r="M93" s="254"/>
      <c r="N93" s="254"/>
      <c r="O93" s="254"/>
      <c r="P93" s="254"/>
      <c r="Q93" s="254"/>
      <c r="R93" s="254"/>
      <c r="S93" s="255"/>
    </row>
    <row r="94" spans="1:19" ht="97.5" customHeight="1" x14ac:dyDescent="0.2">
      <c r="B94" s="256"/>
      <c r="C94" s="261" t="s">
        <v>74</v>
      </c>
      <c r="D94" s="262" t="s">
        <v>205</v>
      </c>
      <c r="E94" s="263"/>
      <c r="F94" s="263"/>
      <c r="G94" s="263"/>
      <c r="H94" s="263"/>
      <c r="I94" s="263"/>
      <c r="J94" s="263"/>
      <c r="K94" s="263"/>
      <c r="L94" s="263"/>
      <c r="M94" s="263"/>
      <c r="N94" s="263"/>
      <c r="O94" s="263"/>
      <c r="P94" s="263"/>
      <c r="Q94" s="263"/>
      <c r="R94" s="263"/>
      <c r="S94" s="264"/>
    </row>
    <row r="95" spans="1:19" ht="97.5" customHeight="1" x14ac:dyDescent="0.2">
      <c r="B95" s="242" t="s">
        <v>78</v>
      </c>
      <c r="C95" s="243" t="s">
        <v>58</v>
      </c>
      <c r="D95" s="244" t="s">
        <v>206</v>
      </c>
      <c r="E95" s="245"/>
      <c r="F95" s="245"/>
      <c r="G95" s="245"/>
      <c r="H95" s="245"/>
      <c r="I95" s="245"/>
      <c r="J95" s="245"/>
      <c r="K95" s="245"/>
      <c r="L95" s="245"/>
      <c r="M95" s="245"/>
      <c r="N95" s="245"/>
      <c r="O95" s="245"/>
      <c r="P95" s="245"/>
      <c r="Q95" s="245"/>
      <c r="R95" s="245"/>
      <c r="S95" s="246"/>
    </row>
    <row r="96" spans="1:19" ht="104.4" customHeight="1" x14ac:dyDescent="0.2">
      <c r="B96" s="256"/>
      <c r="C96" s="257" t="s">
        <v>60</v>
      </c>
      <c r="D96" s="258" t="s">
        <v>207</v>
      </c>
      <c r="E96" s="259"/>
      <c r="F96" s="259"/>
      <c r="G96" s="259"/>
      <c r="H96" s="259"/>
      <c r="I96" s="259"/>
      <c r="J96" s="259"/>
      <c r="K96" s="259"/>
      <c r="L96" s="259"/>
      <c r="M96" s="259"/>
      <c r="N96" s="259"/>
      <c r="O96" s="259"/>
      <c r="P96" s="259"/>
      <c r="Q96" s="259"/>
      <c r="R96" s="259"/>
      <c r="S96" s="260"/>
    </row>
    <row r="97" spans="1:19" ht="97.5" customHeight="1" x14ac:dyDescent="0.2">
      <c r="B97" s="242" t="s">
        <v>79</v>
      </c>
      <c r="C97" s="252" t="s">
        <v>57</v>
      </c>
      <c r="D97" s="265" t="s">
        <v>208</v>
      </c>
      <c r="E97" s="214"/>
      <c r="F97" s="214"/>
      <c r="G97" s="214"/>
      <c r="H97" s="214"/>
      <c r="I97" s="214"/>
      <c r="J97" s="214"/>
      <c r="K97" s="214"/>
      <c r="L97" s="214"/>
      <c r="M97" s="214"/>
      <c r="N97" s="214"/>
      <c r="O97" s="214"/>
      <c r="P97" s="214"/>
      <c r="Q97" s="214"/>
      <c r="R97" s="214"/>
      <c r="S97" s="215"/>
    </row>
    <row r="98" spans="1:19" ht="97.5" customHeight="1" x14ac:dyDescent="0.2">
      <c r="B98" s="247"/>
      <c r="C98" s="266" t="s">
        <v>75</v>
      </c>
      <c r="D98" s="267" t="s">
        <v>209</v>
      </c>
      <c r="E98" s="218"/>
      <c r="F98" s="218"/>
      <c r="G98" s="218"/>
      <c r="H98" s="218"/>
      <c r="I98" s="218"/>
      <c r="J98" s="218"/>
      <c r="K98" s="218"/>
      <c r="L98" s="218"/>
      <c r="M98" s="218"/>
      <c r="N98" s="218"/>
      <c r="O98" s="218"/>
      <c r="P98" s="218"/>
      <c r="Q98" s="218"/>
      <c r="R98" s="218"/>
      <c r="S98" s="219"/>
    </row>
    <row r="99" spans="1:19" ht="97.5" customHeight="1" x14ac:dyDescent="0.2">
      <c r="B99" s="256"/>
      <c r="C99" s="261" t="s">
        <v>76</v>
      </c>
      <c r="D99" s="268" t="s">
        <v>210</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5" priority="1">
      <formula>$K$7="学部・学科によって、修了要件は相違しない"</formula>
    </cfRule>
  </conditionalFormatting>
  <dataValidations count="5">
    <dataValidation type="list" allowBlank="1" showInputMessage="1" showErrorMessage="1" sqref="K20:S20" xr:uid="{C1127616-498B-498E-97F5-5DE240C17D25}">
      <formula1>$V$14:$V$16</formula1>
    </dataValidation>
    <dataValidation type="list" allowBlank="1" showInputMessage="1" showErrorMessage="1" sqref="F79:F86 P79:P86 G79:I80 G83:I86 Q83:S86 Q79:S80" xr:uid="{34228B00-8ABA-45DE-972C-D7B20F38E59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B2FED958-46BE-425A-8917-5749DE9FCD44}">
      <formula1>"学部・学科によって、修了要件は相違する,学部・学科によって、修了要件は相違しない"</formula1>
    </dataValidation>
    <dataValidation type="list" allowBlank="1" showInputMessage="1" showErrorMessage="1" sqref="S32 S43 D32:G32 D43:G43" xr:uid="{218A61EC-0E38-46BD-A858-FE57B84F94B5}">
      <formula1>"全学開講,一部開講"</formula1>
    </dataValidation>
    <dataValidation type="list" allowBlank="1" showInputMessage="1" showErrorMessage="1" sqref="G25:I31 Q25:S31 Q36:S42 F69:I75 Q47:S53 G36:I42 Q58:S64 G47:I53 G58:I64 P69:S75" xr:uid="{1F50D84E-3FA5-4A8B-8CA2-333C091ED036}">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99" zoomScaleNormal="100" zoomScaleSheetLayoutView="100"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177</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178</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176</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6</v>
      </c>
      <c r="D20" s="178"/>
      <c r="E20" s="205" t="s">
        <v>95</v>
      </c>
      <c r="G20" s="188"/>
      <c r="H20" s="183"/>
      <c r="I20" s="183"/>
      <c r="J20" s="179" t="s">
        <v>121</v>
      </c>
      <c r="K20" s="206" t="s">
        <v>110</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173</v>
      </c>
      <c r="C25" s="214"/>
      <c r="D25" s="214"/>
      <c r="E25" s="215"/>
      <c r="F25" s="216">
        <v>2</v>
      </c>
      <c r="G25" s="216" t="s">
        <v>159</v>
      </c>
      <c r="H25" s="216" t="s">
        <v>159</v>
      </c>
      <c r="I25" s="216" t="s">
        <v>159</v>
      </c>
      <c r="J25" s="213"/>
      <c r="K25" s="214"/>
      <c r="L25" s="214"/>
      <c r="M25" s="214"/>
      <c r="N25" s="214"/>
      <c r="O25" s="215"/>
      <c r="P25" s="216"/>
      <c r="Q25" s="216"/>
      <c r="R25" s="216"/>
      <c r="S25" s="216"/>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160</v>
      </c>
      <c r="C36" s="214"/>
      <c r="D36" s="214"/>
      <c r="E36" s="215"/>
      <c r="F36" s="216">
        <v>2</v>
      </c>
      <c r="G36" s="216" t="s">
        <v>159</v>
      </c>
      <c r="H36" s="216" t="s">
        <v>159</v>
      </c>
      <c r="I36" s="216"/>
      <c r="J36" s="213"/>
      <c r="K36" s="214"/>
      <c r="L36" s="214"/>
      <c r="M36" s="214"/>
      <c r="N36" s="214"/>
      <c r="O36" s="215"/>
      <c r="P36" s="216"/>
      <c r="Q36" s="216"/>
      <c r="R36" s="216"/>
      <c r="S36" s="216"/>
    </row>
    <row r="37" spans="1:19" ht="18" customHeight="1" x14ac:dyDescent="0.2">
      <c r="B37" s="217" t="s">
        <v>174</v>
      </c>
      <c r="C37" s="218"/>
      <c r="D37" s="218"/>
      <c r="E37" s="219"/>
      <c r="F37" s="220">
        <v>2</v>
      </c>
      <c r="G37" s="220" t="s">
        <v>159</v>
      </c>
      <c r="H37" s="220"/>
      <c r="I37" s="220" t="s">
        <v>159</v>
      </c>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173</v>
      </c>
      <c r="C47" s="214"/>
      <c r="D47" s="214"/>
      <c r="E47" s="215"/>
      <c r="F47" s="216">
        <v>2</v>
      </c>
      <c r="G47" s="216" t="s">
        <v>159</v>
      </c>
      <c r="H47" s="216" t="s">
        <v>159</v>
      </c>
      <c r="I47" s="216" t="s">
        <v>159</v>
      </c>
      <c r="J47" s="213"/>
      <c r="K47" s="214"/>
      <c r="L47" s="214"/>
      <c r="M47" s="214"/>
      <c r="N47" s="214"/>
      <c r="O47" s="215"/>
      <c r="P47" s="216"/>
      <c r="Q47" s="216"/>
      <c r="R47" s="216"/>
      <c r="S47" s="216"/>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175</v>
      </c>
      <c r="C58" s="214"/>
      <c r="D58" s="214"/>
      <c r="E58" s="215"/>
      <c r="F58" s="216">
        <v>2</v>
      </c>
      <c r="G58" s="216" t="s">
        <v>159</v>
      </c>
      <c r="H58" s="216" t="s">
        <v>159</v>
      </c>
      <c r="I58" s="216" t="s">
        <v>159</v>
      </c>
      <c r="J58" s="213"/>
      <c r="K58" s="214"/>
      <c r="L58" s="214"/>
      <c r="M58" s="214"/>
      <c r="N58" s="214"/>
      <c r="O58" s="215"/>
      <c r="P58" s="216"/>
      <c r="Q58" s="216"/>
      <c r="R58" s="216"/>
      <c r="S58" s="216"/>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160</v>
      </c>
      <c r="C69" s="214"/>
      <c r="D69" s="214"/>
      <c r="E69" s="216">
        <v>2</v>
      </c>
      <c r="F69" s="216" t="s">
        <v>159</v>
      </c>
      <c r="G69" s="216" t="s">
        <v>159</v>
      </c>
      <c r="H69" s="216" t="s">
        <v>159</v>
      </c>
      <c r="I69" s="216" t="s">
        <v>159</v>
      </c>
      <c r="J69" s="213"/>
      <c r="K69" s="214"/>
      <c r="L69" s="214"/>
      <c r="M69" s="214"/>
      <c r="N69" s="215"/>
      <c r="O69" s="216"/>
      <c r="P69" s="216"/>
      <c r="Q69" s="216"/>
      <c r="R69" s="216"/>
      <c r="S69" s="216"/>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t="s">
        <v>179</v>
      </c>
      <c r="C79" s="214"/>
      <c r="D79" s="214"/>
      <c r="E79" s="215"/>
      <c r="F79" s="230" t="s">
        <v>167</v>
      </c>
      <c r="G79" s="231"/>
      <c r="H79" s="231"/>
      <c r="I79" s="232"/>
      <c r="J79" s="213" t="s">
        <v>182</v>
      </c>
      <c r="K79" s="214"/>
      <c r="L79" s="214"/>
      <c r="M79" s="214"/>
      <c r="N79" s="214"/>
      <c r="O79" s="215"/>
      <c r="P79" s="230" t="s">
        <v>190</v>
      </c>
      <c r="Q79" s="231"/>
      <c r="R79" s="231"/>
      <c r="S79" s="232"/>
    </row>
    <row r="80" spans="1:19" ht="18" customHeight="1" x14ac:dyDescent="0.2">
      <c r="A80" s="183"/>
      <c r="B80" s="217" t="s">
        <v>180</v>
      </c>
      <c r="C80" s="218"/>
      <c r="D80" s="218"/>
      <c r="E80" s="219"/>
      <c r="F80" s="233" t="s">
        <v>184</v>
      </c>
      <c r="G80" s="234"/>
      <c r="H80" s="234"/>
      <c r="I80" s="235"/>
      <c r="J80" s="217"/>
      <c r="K80" s="218"/>
      <c r="L80" s="218"/>
      <c r="M80" s="218"/>
      <c r="N80" s="218"/>
      <c r="O80" s="219"/>
      <c r="P80" s="233"/>
      <c r="Q80" s="234"/>
      <c r="R80" s="234"/>
      <c r="S80" s="235"/>
    </row>
    <row r="81" spans="1:19" ht="18" customHeight="1" x14ac:dyDescent="0.2">
      <c r="A81" s="183"/>
      <c r="B81" s="217" t="s">
        <v>181</v>
      </c>
      <c r="C81" s="218"/>
      <c r="D81" s="218"/>
      <c r="E81" s="219"/>
      <c r="F81" s="233" t="s">
        <v>186</v>
      </c>
      <c r="G81" s="234"/>
      <c r="H81" s="234"/>
      <c r="I81" s="235"/>
      <c r="J81" s="217"/>
      <c r="K81" s="218"/>
      <c r="L81" s="218"/>
      <c r="M81" s="218"/>
      <c r="N81" s="218"/>
      <c r="O81" s="219"/>
      <c r="P81" s="233"/>
      <c r="Q81" s="234"/>
      <c r="R81" s="234"/>
      <c r="S81" s="235"/>
    </row>
    <row r="82" spans="1:19" ht="18" customHeight="1" x14ac:dyDescent="0.2">
      <c r="A82" s="183"/>
      <c r="B82" s="217" t="s">
        <v>182</v>
      </c>
      <c r="C82" s="218"/>
      <c r="D82" s="218"/>
      <c r="E82" s="219"/>
      <c r="F82" s="233" t="s">
        <v>185</v>
      </c>
      <c r="G82" s="234"/>
      <c r="H82" s="234"/>
      <c r="I82" s="235"/>
      <c r="J82" s="217"/>
      <c r="K82" s="218"/>
      <c r="L82" s="218"/>
      <c r="M82" s="218"/>
      <c r="N82" s="218"/>
      <c r="O82" s="219"/>
      <c r="P82" s="233"/>
      <c r="Q82" s="234"/>
      <c r="R82" s="234"/>
      <c r="S82" s="235"/>
    </row>
    <row r="83" spans="1:19" ht="18" customHeight="1" x14ac:dyDescent="0.2">
      <c r="A83" s="183"/>
      <c r="B83" s="217" t="s">
        <v>183</v>
      </c>
      <c r="C83" s="218"/>
      <c r="D83" s="218"/>
      <c r="E83" s="219"/>
      <c r="F83" s="233" t="s">
        <v>187</v>
      </c>
      <c r="G83" s="234"/>
      <c r="H83" s="234"/>
      <c r="I83" s="235"/>
      <c r="J83" s="217"/>
      <c r="K83" s="218"/>
      <c r="L83" s="218"/>
      <c r="M83" s="218"/>
      <c r="N83" s="218"/>
      <c r="O83" s="219"/>
      <c r="P83" s="233"/>
      <c r="Q83" s="234"/>
      <c r="R83" s="234"/>
      <c r="S83" s="235"/>
    </row>
    <row r="84" spans="1:19" ht="18" customHeight="1" x14ac:dyDescent="0.2">
      <c r="A84" s="183"/>
      <c r="B84" s="217" t="s">
        <v>182</v>
      </c>
      <c r="C84" s="218"/>
      <c r="D84" s="218"/>
      <c r="E84" s="219"/>
      <c r="F84" s="233" t="s">
        <v>188</v>
      </c>
      <c r="G84" s="234"/>
      <c r="H84" s="234"/>
      <c r="I84" s="235"/>
      <c r="J84" s="217"/>
      <c r="K84" s="218"/>
      <c r="L84" s="218"/>
      <c r="M84" s="218"/>
      <c r="N84" s="218"/>
      <c r="O84" s="219"/>
      <c r="P84" s="233"/>
      <c r="Q84" s="234"/>
      <c r="R84" s="234"/>
      <c r="S84" s="235"/>
    </row>
    <row r="85" spans="1:19" ht="18" customHeight="1" x14ac:dyDescent="0.2">
      <c r="A85" s="183"/>
      <c r="B85" s="221" t="s">
        <v>181</v>
      </c>
      <c r="C85" s="222"/>
      <c r="D85" s="222"/>
      <c r="E85" s="223"/>
      <c r="F85" s="236" t="s">
        <v>189</v>
      </c>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97.5" customHeight="1" x14ac:dyDescent="0.2">
      <c r="B89" s="242" t="s">
        <v>61</v>
      </c>
      <c r="C89" s="243" t="s">
        <v>56</v>
      </c>
      <c r="D89" s="244" t="s">
        <v>255</v>
      </c>
      <c r="E89" s="245"/>
      <c r="F89" s="245"/>
      <c r="G89" s="245"/>
      <c r="H89" s="245"/>
      <c r="I89" s="245"/>
      <c r="J89" s="245"/>
      <c r="K89" s="245"/>
      <c r="L89" s="245"/>
      <c r="M89" s="245"/>
      <c r="N89" s="245"/>
      <c r="O89" s="245"/>
      <c r="P89" s="245"/>
      <c r="Q89" s="245"/>
      <c r="R89" s="245"/>
      <c r="S89" s="246"/>
    </row>
    <row r="90" spans="1:19" ht="97.5" customHeight="1" x14ac:dyDescent="0.2">
      <c r="B90" s="247"/>
      <c r="C90" s="248" t="s">
        <v>77</v>
      </c>
      <c r="D90" s="249" t="s">
        <v>256</v>
      </c>
      <c r="E90" s="250"/>
      <c r="F90" s="250"/>
      <c r="G90" s="250"/>
      <c r="H90" s="250"/>
      <c r="I90" s="250"/>
      <c r="J90" s="250"/>
      <c r="K90" s="250"/>
      <c r="L90" s="250"/>
      <c r="M90" s="250"/>
      <c r="N90" s="250"/>
      <c r="O90" s="250"/>
      <c r="P90" s="250"/>
      <c r="Q90" s="250"/>
      <c r="R90" s="250"/>
      <c r="S90" s="251"/>
    </row>
    <row r="91" spans="1:19" ht="97.5" customHeight="1" x14ac:dyDescent="0.2">
      <c r="B91" s="242" t="s">
        <v>62</v>
      </c>
      <c r="C91" s="252" t="s">
        <v>71</v>
      </c>
      <c r="D91" s="253" t="s">
        <v>257</v>
      </c>
      <c r="E91" s="254"/>
      <c r="F91" s="254"/>
      <c r="G91" s="254"/>
      <c r="H91" s="254"/>
      <c r="I91" s="254"/>
      <c r="J91" s="254"/>
      <c r="K91" s="254"/>
      <c r="L91" s="254"/>
      <c r="M91" s="254"/>
      <c r="N91" s="254"/>
      <c r="O91" s="254"/>
      <c r="P91" s="254"/>
      <c r="Q91" s="254"/>
      <c r="R91" s="254"/>
      <c r="S91" s="255"/>
    </row>
    <row r="92" spans="1:19" ht="97.5" customHeight="1" x14ac:dyDescent="0.2">
      <c r="B92" s="256"/>
      <c r="C92" s="257" t="s">
        <v>72</v>
      </c>
      <c r="D92" s="258" t="s">
        <v>258</v>
      </c>
      <c r="E92" s="259"/>
      <c r="F92" s="259"/>
      <c r="G92" s="259"/>
      <c r="H92" s="259"/>
      <c r="I92" s="259"/>
      <c r="J92" s="259"/>
      <c r="K92" s="259"/>
      <c r="L92" s="259"/>
      <c r="M92" s="259"/>
      <c r="N92" s="259"/>
      <c r="O92" s="259"/>
      <c r="P92" s="259"/>
      <c r="Q92" s="259"/>
      <c r="R92" s="259"/>
      <c r="S92" s="260"/>
    </row>
    <row r="93" spans="1:19" ht="97.5" customHeight="1" x14ac:dyDescent="0.2">
      <c r="B93" s="242" t="s">
        <v>63</v>
      </c>
      <c r="C93" s="252" t="s">
        <v>73</v>
      </c>
      <c r="D93" s="253" t="s">
        <v>259</v>
      </c>
      <c r="E93" s="254"/>
      <c r="F93" s="254"/>
      <c r="G93" s="254"/>
      <c r="H93" s="254"/>
      <c r="I93" s="254"/>
      <c r="J93" s="254"/>
      <c r="K93" s="254"/>
      <c r="L93" s="254"/>
      <c r="M93" s="254"/>
      <c r="N93" s="254"/>
      <c r="O93" s="254"/>
      <c r="P93" s="254"/>
      <c r="Q93" s="254"/>
      <c r="R93" s="254"/>
      <c r="S93" s="255"/>
    </row>
    <row r="94" spans="1:19" ht="97.5" customHeight="1" x14ac:dyDescent="0.2">
      <c r="B94" s="256"/>
      <c r="C94" s="261" t="s">
        <v>74</v>
      </c>
      <c r="D94" s="262" t="s">
        <v>260</v>
      </c>
      <c r="E94" s="263"/>
      <c r="F94" s="263"/>
      <c r="G94" s="263"/>
      <c r="H94" s="263"/>
      <c r="I94" s="263"/>
      <c r="J94" s="263"/>
      <c r="K94" s="263"/>
      <c r="L94" s="263"/>
      <c r="M94" s="263"/>
      <c r="N94" s="263"/>
      <c r="O94" s="263"/>
      <c r="P94" s="263"/>
      <c r="Q94" s="263"/>
      <c r="R94" s="263"/>
      <c r="S94" s="264"/>
    </row>
    <row r="95" spans="1:19" ht="97.5" customHeight="1" x14ac:dyDescent="0.2">
      <c r="B95" s="242" t="s">
        <v>78</v>
      </c>
      <c r="C95" s="243" t="s">
        <v>58</v>
      </c>
      <c r="D95" s="244" t="s">
        <v>261</v>
      </c>
      <c r="E95" s="245"/>
      <c r="F95" s="245"/>
      <c r="G95" s="245"/>
      <c r="H95" s="245"/>
      <c r="I95" s="245"/>
      <c r="J95" s="245"/>
      <c r="K95" s="245"/>
      <c r="L95" s="245"/>
      <c r="M95" s="245"/>
      <c r="N95" s="245"/>
      <c r="O95" s="245"/>
      <c r="P95" s="245"/>
      <c r="Q95" s="245"/>
      <c r="R95" s="245"/>
      <c r="S95" s="246"/>
    </row>
    <row r="96" spans="1:19" ht="103.2" customHeight="1" x14ac:dyDescent="0.2">
      <c r="B96" s="256"/>
      <c r="C96" s="257" t="s">
        <v>60</v>
      </c>
      <c r="D96" s="258" t="s">
        <v>262</v>
      </c>
      <c r="E96" s="259"/>
      <c r="F96" s="259"/>
      <c r="G96" s="259"/>
      <c r="H96" s="259"/>
      <c r="I96" s="259"/>
      <c r="J96" s="259"/>
      <c r="K96" s="259"/>
      <c r="L96" s="259"/>
      <c r="M96" s="259"/>
      <c r="N96" s="259"/>
      <c r="O96" s="259"/>
      <c r="P96" s="259"/>
      <c r="Q96" s="259"/>
      <c r="R96" s="259"/>
      <c r="S96" s="260"/>
    </row>
    <row r="97" spans="1:19" ht="97.5" customHeight="1" x14ac:dyDescent="0.2">
      <c r="B97" s="242" t="s">
        <v>79</v>
      </c>
      <c r="C97" s="252" t="s">
        <v>57</v>
      </c>
      <c r="D97" s="265" t="s">
        <v>263</v>
      </c>
      <c r="E97" s="214"/>
      <c r="F97" s="214"/>
      <c r="G97" s="214"/>
      <c r="H97" s="214"/>
      <c r="I97" s="214"/>
      <c r="J97" s="214"/>
      <c r="K97" s="214"/>
      <c r="L97" s="214"/>
      <c r="M97" s="214"/>
      <c r="N97" s="214"/>
      <c r="O97" s="214"/>
      <c r="P97" s="214"/>
      <c r="Q97" s="214"/>
      <c r="R97" s="214"/>
      <c r="S97" s="215"/>
    </row>
    <row r="98" spans="1:19" ht="97.5" customHeight="1" x14ac:dyDescent="0.2">
      <c r="B98" s="247"/>
      <c r="C98" s="266" t="s">
        <v>75</v>
      </c>
      <c r="D98" s="267" t="s">
        <v>264</v>
      </c>
      <c r="E98" s="218"/>
      <c r="F98" s="218"/>
      <c r="G98" s="218"/>
      <c r="H98" s="218"/>
      <c r="I98" s="218"/>
      <c r="J98" s="218"/>
      <c r="K98" s="218"/>
      <c r="L98" s="218"/>
      <c r="M98" s="218"/>
      <c r="N98" s="218"/>
      <c r="O98" s="218"/>
      <c r="P98" s="218"/>
      <c r="Q98" s="218"/>
      <c r="R98" s="218"/>
      <c r="S98" s="219"/>
    </row>
    <row r="99" spans="1:19" ht="109.2" customHeight="1" x14ac:dyDescent="0.2">
      <c r="B99" s="256"/>
      <c r="C99" s="261" t="s">
        <v>76</v>
      </c>
      <c r="D99" s="268" t="s">
        <v>265</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G25:I31 Q25:S31 Q36:S42 P69:S75 Q47:S53 G36:I42 Q58:S64 G47:I53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8FC96-C8D5-4714-BAA4-DA24618ADC53}">
  <sheetPr>
    <pageSetUpPr fitToPage="1"/>
  </sheetPr>
  <dimension ref="A1:V110"/>
  <sheetViews>
    <sheetView showZeros="0" view="pageBreakPreview" topLeftCell="A81" zoomScaleNormal="100" zoomScaleSheetLayoutView="100"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171</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172</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191</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6</v>
      </c>
      <c r="D20" s="178"/>
      <c r="E20" s="205" t="s">
        <v>95</v>
      </c>
      <c r="G20" s="188"/>
      <c r="H20" s="183"/>
      <c r="I20" s="183"/>
      <c r="J20" s="179" t="s">
        <v>121</v>
      </c>
      <c r="K20" s="206" t="s">
        <v>125</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192</v>
      </c>
      <c r="C25" s="214"/>
      <c r="D25" s="214"/>
      <c r="E25" s="215"/>
      <c r="F25" s="216">
        <v>2</v>
      </c>
      <c r="G25" s="216" t="s">
        <v>159</v>
      </c>
      <c r="H25" s="216" t="s">
        <v>159</v>
      </c>
      <c r="I25" s="216" t="s">
        <v>159</v>
      </c>
      <c r="J25" s="213"/>
      <c r="K25" s="214"/>
      <c r="L25" s="214"/>
      <c r="M25" s="214"/>
      <c r="N25" s="214"/>
      <c r="O25" s="215"/>
      <c r="P25" s="216"/>
      <c r="Q25" s="216"/>
      <c r="R25" s="216"/>
      <c r="S25" s="216"/>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192</v>
      </c>
      <c r="C36" s="214"/>
      <c r="D36" s="214"/>
      <c r="E36" s="215"/>
      <c r="F36" s="216">
        <v>2</v>
      </c>
      <c r="G36" s="216" t="s">
        <v>159</v>
      </c>
      <c r="H36" s="216" t="s">
        <v>159</v>
      </c>
      <c r="I36" s="216" t="s">
        <v>159</v>
      </c>
      <c r="J36" s="213"/>
      <c r="K36" s="214"/>
      <c r="L36" s="214"/>
      <c r="M36" s="214"/>
      <c r="N36" s="214"/>
      <c r="O36" s="215"/>
      <c r="P36" s="216"/>
      <c r="Q36" s="216"/>
      <c r="R36" s="216"/>
      <c r="S36" s="216"/>
    </row>
    <row r="37" spans="1:19" ht="18" customHeight="1" x14ac:dyDescent="0.2">
      <c r="B37" s="217"/>
      <c r="C37" s="218"/>
      <c r="D37" s="218"/>
      <c r="E37" s="219"/>
      <c r="F37" s="220"/>
      <c r="G37" s="220"/>
      <c r="H37" s="220"/>
      <c r="I37" s="220"/>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192</v>
      </c>
      <c r="C47" s="214"/>
      <c r="D47" s="214"/>
      <c r="E47" s="215"/>
      <c r="F47" s="216">
        <v>2</v>
      </c>
      <c r="G47" s="216" t="s">
        <v>159</v>
      </c>
      <c r="H47" s="216" t="s">
        <v>159</v>
      </c>
      <c r="I47" s="216" t="s">
        <v>159</v>
      </c>
      <c r="J47" s="213"/>
      <c r="K47" s="214"/>
      <c r="L47" s="214"/>
      <c r="M47" s="214"/>
      <c r="N47" s="214"/>
      <c r="O47" s="215"/>
      <c r="P47" s="216"/>
      <c r="Q47" s="216"/>
      <c r="R47" s="216"/>
      <c r="S47" s="216"/>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193</v>
      </c>
      <c r="C58" s="214"/>
      <c r="D58" s="214"/>
      <c r="E58" s="215"/>
      <c r="F58" s="216">
        <v>2</v>
      </c>
      <c r="G58" s="216" t="s">
        <v>159</v>
      </c>
      <c r="H58" s="216" t="s">
        <v>159</v>
      </c>
      <c r="I58" s="216" t="s">
        <v>159</v>
      </c>
      <c r="J58" s="213"/>
      <c r="K58" s="214"/>
      <c r="L58" s="214"/>
      <c r="M58" s="214"/>
      <c r="N58" s="214"/>
      <c r="O58" s="215"/>
      <c r="P58" s="216"/>
      <c r="Q58" s="216"/>
      <c r="R58" s="216"/>
      <c r="S58" s="216"/>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199</v>
      </c>
      <c r="C69" s="214"/>
      <c r="D69" s="214"/>
      <c r="E69" s="216">
        <v>2</v>
      </c>
      <c r="F69" s="216" t="s">
        <v>159</v>
      </c>
      <c r="G69" s="216" t="s">
        <v>159</v>
      </c>
      <c r="H69" s="216" t="s">
        <v>159</v>
      </c>
      <c r="I69" s="216" t="s">
        <v>159</v>
      </c>
      <c r="J69" s="213"/>
      <c r="K69" s="214"/>
      <c r="L69" s="214"/>
      <c r="M69" s="214"/>
      <c r="N69" s="215"/>
      <c r="O69" s="216"/>
      <c r="P69" s="216"/>
      <c r="Q69" s="216"/>
      <c r="R69" s="216"/>
      <c r="S69" s="216"/>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t="s">
        <v>196</v>
      </c>
      <c r="C79" s="214"/>
      <c r="D79" s="214"/>
      <c r="E79" s="215"/>
      <c r="F79" s="230" t="s">
        <v>167</v>
      </c>
      <c r="G79" s="231"/>
      <c r="H79" s="231"/>
      <c r="I79" s="232"/>
      <c r="J79" s="213"/>
      <c r="K79" s="214"/>
      <c r="L79" s="214"/>
      <c r="M79" s="214"/>
      <c r="N79" s="214"/>
      <c r="O79" s="215"/>
      <c r="P79" s="230"/>
      <c r="Q79" s="231"/>
      <c r="R79" s="231"/>
      <c r="S79" s="232"/>
    </row>
    <row r="80" spans="1:19" ht="18" customHeight="1" x14ac:dyDescent="0.2">
      <c r="A80" s="183"/>
      <c r="B80" s="217" t="s">
        <v>194</v>
      </c>
      <c r="C80" s="218"/>
      <c r="D80" s="218"/>
      <c r="E80" s="219"/>
      <c r="F80" s="233" t="s">
        <v>167</v>
      </c>
      <c r="G80" s="234"/>
      <c r="H80" s="234"/>
      <c r="I80" s="235"/>
      <c r="J80" s="217"/>
      <c r="K80" s="218"/>
      <c r="L80" s="218"/>
      <c r="M80" s="218"/>
      <c r="N80" s="218"/>
      <c r="O80" s="219"/>
      <c r="P80" s="233"/>
      <c r="Q80" s="234"/>
      <c r="R80" s="234"/>
      <c r="S80" s="235"/>
    </row>
    <row r="81" spans="1:19" ht="18" customHeight="1" x14ac:dyDescent="0.2">
      <c r="A81" s="183"/>
      <c r="B81" s="217" t="s">
        <v>195</v>
      </c>
      <c r="C81" s="218"/>
      <c r="D81" s="218"/>
      <c r="E81" s="219"/>
      <c r="F81" s="233" t="s">
        <v>167</v>
      </c>
      <c r="G81" s="234"/>
      <c r="H81" s="234"/>
      <c r="I81" s="235"/>
      <c r="J81" s="217"/>
      <c r="K81" s="218"/>
      <c r="L81" s="218"/>
      <c r="M81" s="218"/>
      <c r="N81" s="218"/>
      <c r="O81" s="219"/>
      <c r="P81" s="233"/>
      <c r="Q81" s="234"/>
      <c r="R81" s="234"/>
      <c r="S81" s="235"/>
    </row>
    <row r="82" spans="1:19" ht="18" customHeight="1" x14ac:dyDescent="0.2">
      <c r="A82" s="183"/>
      <c r="B82" s="217"/>
      <c r="C82" s="218"/>
      <c r="D82" s="218"/>
      <c r="E82" s="219"/>
      <c r="F82" s="233"/>
      <c r="G82" s="234"/>
      <c r="H82" s="234"/>
      <c r="I82" s="235"/>
      <c r="J82" s="217"/>
      <c r="K82" s="218"/>
      <c r="L82" s="218"/>
      <c r="M82" s="218"/>
      <c r="N82" s="218"/>
      <c r="O82" s="219"/>
      <c r="P82" s="233"/>
      <c r="Q82" s="234"/>
      <c r="R82" s="234"/>
      <c r="S82" s="235"/>
    </row>
    <row r="83" spans="1:19" ht="18" customHeight="1" x14ac:dyDescent="0.2">
      <c r="A83" s="183"/>
      <c r="B83" s="217"/>
      <c r="C83" s="218"/>
      <c r="D83" s="218"/>
      <c r="E83" s="219"/>
      <c r="F83" s="233"/>
      <c r="G83" s="234"/>
      <c r="H83" s="234"/>
      <c r="I83" s="235"/>
      <c r="J83" s="217"/>
      <c r="K83" s="218"/>
      <c r="L83" s="218"/>
      <c r="M83" s="218"/>
      <c r="N83" s="218"/>
      <c r="O83" s="219"/>
      <c r="P83" s="233"/>
      <c r="Q83" s="234"/>
      <c r="R83" s="234"/>
      <c r="S83" s="235"/>
    </row>
    <row r="84" spans="1:19" ht="18" customHeight="1" x14ac:dyDescent="0.2">
      <c r="A84" s="183"/>
      <c r="B84" s="217"/>
      <c r="C84" s="218"/>
      <c r="D84" s="218"/>
      <c r="E84" s="219"/>
      <c r="F84" s="233"/>
      <c r="G84" s="234"/>
      <c r="H84" s="234"/>
      <c r="I84" s="235"/>
      <c r="J84" s="217"/>
      <c r="K84" s="218"/>
      <c r="L84" s="218"/>
      <c r="M84" s="218"/>
      <c r="N84" s="218"/>
      <c r="O84" s="219"/>
      <c r="P84" s="233"/>
      <c r="Q84" s="234"/>
      <c r="R84" s="234"/>
      <c r="S84" s="235"/>
    </row>
    <row r="85" spans="1:19" ht="18" customHeight="1" x14ac:dyDescent="0.2">
      <c r="A85" s="183"/>
      <c r="B85" s="221"/>
      <c r="C85" s="222"/>
      <c r="D85" s="222"/>
      <c r="E85" s="223"/>
      <c r="F85" s="236"/>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123.6" customHeight="1" x14ac:dyDescent="0.2">
      <c r="B89" s="242" t="s">
        <v>61</v>
      </c>
      <c r="C89" s="243" t="s">
        <v>56</v>
      </c>
      <c r="D89" s="244" t="s">
        <v>244</v>
      </c>
      <c r="E89" s="245"/>
      <c r="F89" s="245"/>
      <c r="G89" s="245"/>
      <c r="H89" s="245"/>
      <c r="I89" s="245"/>
      <c r="J89" s="245"/>
      <c r="K89" s="245"/>
      <c r="L89" s="245"/>
      <c r="M89" s="245"/>
      <c r="N89" s="245"/>
      <c r="O89" s="245"/>
      <c r="P89" s="245"/>
      <c r="Q89" s="245"/>
      <c r="R89" s="245"/>
      <c r="S89" s="246"/>
    </row>
    <row r="90" spans="1:19" ht="114" customHeight="1" x14ac:dyDescent="0.2">
      <c r="B90" s="247"/>
      <c r="C90" s="248" t="s">
        <v>77</v>
      </c>
      <c r="D90" s="249" t="s">
        <v>245</v>
      </c>
      <c r="E90" s="250"/>
      <c r="F90" s="250"/>
      <c r="G90" s="250"/>
      <c r="H90" s="250"/>
      <c r="I90" s="250"/>
      <c r="J90" s="250"/>
      <c r="K90" s="250"/>
      <c r="L90" s="250"/>
      <c r="M90" s="250"/>
      <c r="N90" s="250"/>
      <c r="O90" s="250"/>
      <c r="P90" s="250"/>
      <c r="Q90" s="250"/>
      <c r="R90" s="250"/>
      <c r="S90" s="251"/>
    </row>
    <row r="91" spans="1:19" ht="127.2" customHeight="1" x14ac:dyDescent="0.2">
      <c r="B91" s="242" t="s">
        <v>62</v>
      </c>
      <c r="C91" s="252" t="s">
        <v>71</v>
      </c>
      <c r="D91" s="253" t="s">
        <v>246</v>
      </c>
      <c r="E91" s="254"/>
      <c r="F91" s="254"/>
      <c r="G91" s="254"/>
      <c r="H91" s="254"/>
      <c r="I91" s="254"/>
      <c r="J91" s="254"/>
      <c r="K91" s="254"/>
      <c r="L91" s="254"/>
      <c r="M91" s="254"/>
      <c r="N91" s="254"/>
      <c r="O91" s="254"/>
      <c r="P91" s="254"/>
      <c r="Q91" s="254"/>
      <c r="R91" s="254"/>
      <c r="S91" s="255"/>
    </row>
    <row r="92" spans="1:19" ht="112.2" customHeight="1" x14ac:dyDescent="0.2">
      <c r="B92" s="256"/>
      <c r="C92" s="257" t="s">
        <v>72</v>
      </c>
      <c r="D92" s="258" t="s">
        <v>247</v>
      </c>
      <c r="E92" s="259"/>
      <c r="F92" s="259"/>
      <c r="G92" s="259"/>
      <c r="H92" s="259"/>
      <c r="I92" s="259"/>
      <c r="J92" s="259"/>
      <c r="K92" s="259"/>
      <c r="L92" s="259"/>
      <c r="M92" s="259"/>
      <c r="N92" s="259"/>
      <c r="O92" s="259"/>
      <c r="P92" s="259"/>
      <c r="Q92" s="259"/>
      <c r="R92" s="259"/>
      <c r="S92" s="260"/>
    </row>
    <row r="93" spans="1:19" ht="109.8" customHeight="1" x14ac:dyDescent="0.2">
      <c r="B93" s="242" t="s">
        <v>63</v>
      </c>
      <c r="C93" s="252" t="s">
        <v>73</v>
      </c>
      <c r="D93" s="253" t="s">
        <v>248</v>
      </c>
      <c r="E93" s="254"/>
      <c r="F93" s="254"/>
      <c r="G93" s="254"/>
      <c r="H93" s="254"/>
      <c r="I93" s="254"/>
      <c r="J93" s="254"/>
      <c r="K93" s="254"/>
      <c r="L93" s="254"/>
      <c r="M93" s="254"/>
      <c r="N93" s="254"/>
      <c r="O93" s="254"/>
      <c r="P93" s="254"/>
      <c r="Q93" s="254"/>
      <c r="R93" s="254"/>
      <c r="S93" s="255"/>
    </row>
    <row r="94" spans="1:19" ht="115.8" customHeight="1" x14ac:dyDescent="0.2">
      <c r="B94" s="256"/>
      <c r="C94" s="261" t="s">
        <v>74</v>
      </c>
      <c r="D94" s="262" t="s">
        <v>249</v>
      </c>
      <c r="E94" s="263"/>
      <c r="F94" s="263"/>
      <c r="G94" s="263"/>
      <c r="H94" s="263"/>
      <c r="I94" s="263"/>
      <c r="J94" s="263"/>
      <c r="K94" s="263"/>
      <c r="L94" s="263"/>
      <c r="M94" s="263"/>
      <c r="N94" s="263"/>
      <c r="O94" s="263"/>
      <c r="P94" s="263"/>
      <c r="Q94" s="263"/>
      <c r="R94" s="263"/>
      <c r="S94" s="264"/>
    </row>
    <row r="95" spans="1:19" ht="112.2" customHeight="1" x14ac:dyDescent="0.2">
      <c r="B95" s="242" t="s">
        <v>78</v>
      </c>
      <c r="C95" s="243" t="s">
        <v>58</v>
      </c>
      <c r="D95" s="244" t="s">
        <v>250</v>
      </c>
      <c r="E95" s="245"/>
      <c r="F95" s="245"/>
      <c r="G95" s="245"/>
      <c r="H95" s="245"/>
      <c r="I95" s="245"/>
      <c r="J95" s="245"/>
      <c r="K95" s="245"/>
      <c r="L95" s="245"/>
      <c r="M95" s="245"/>
      <c r="N95" s="245"/>
      <c r="O95" s="245"/>
      <c r="P95" s="245"/>
      <c r="Q95" s="245"/>
      <c r="R95" s="245"/>
      <c r="S95" s="246"/>
    </row>
    <row r="96" spans="1:19" ht="159" customHeight="1" x14ac:dyDescent="0.2">
      <c r="B96" s="256"/>
      <c r="C96" s="257" t="s">
        <v>60</v>
      </c>
      <c r="D96" s="258" t="s">
        <v>251</v>
      </c>
      <c r="E96" s="259"/>
      <c r="F96" s="259"/>
      <c r="G96" s="259"/>
      <c r="H96" s="259"/>
      <c r="I96" s="259"/>
      <c r="J96" s="259"/>
      <c r="K96" s="259"/>
      <c r="L96" s="259"/>
      <c r="M96" s="259"/>
      <c r="N96" s="259"/>
      <c r="O96" s="259"/>
      <c r="P96" s="259"/>
      <c r="Q96" s="259"/>
      <c r="R96" s="259"/>
      <c r="S96" s="260"/>
    </row>
    <row r="97" spans="1:19" ht="105.6" customHeight="1" x14ac:dyDescent="0.2">
      <c r="B97" s="242" t="s">
        <v>79</v>
      </c>
      <c r="C97" s="252" t="s">
        <v>57</v>
      </c>
      <c r="D97" s="265" t="s">
        <v>252</v>
      </c>
      <c r="E97" s="214"/>
      <c r="F97" s="214"/>
      <c r="G97" s="214"/>
      <c r="H97" s="214"/>
      <c r="I97" s="214"/>
      <c r="J97" s="214"/>
      <c r="K97" s="214"/>
      <c r="L97" s="214"/>
      <c r="M97" s="214"/>
      <c r="N97" s="214"/>
      <c r="O97" s="214"/>
      <c r="P97" s="214"/>
      <c r="Q97" s="214"/>
      <c r="R97" s="214"/>
      <c r="S97" s="215"/>
    </row>
    <row r="98" spans="1:19" ht="115.2" customHeight="1" x14ac:dyDescent="0.2">
      <c r="B98" s="247"/>
      <c r="C98" s="266" t="s">
        <v>75</v>
      </c>
      <c r="D98" s="267" t="s">
        <v>253</v>
      </c>
      <c r="E98" s="218"/>
      <c r="F98" s="218"/>
      <c r="G98" s="218"/>
      <c r="H98" s="218"/>
      <c r="I98" s="218"/>
      <c r="J98" s="218"/>
      <c r="K98" s="218"/>
      <c r="L98" s="218"/>
      <c r="M98" s="218"/>
      <c r="N98" s="218"/>
      <c r="O98" s="218"/>
      <c r="P98" s="218"/>
      <c r="Q98" s="218"/>
      <c r="R98" s="218"/>
      <c r="S98" s="219"/>
    </row>
    <row r="99" spans="1:19" ht="134.4" customHeight="1" x14ac:dyDescent="0.2">
      <c r="B99" s="256"/>
      <c r="C99" s="261" t="s">
        <v>76</v>
      </c>
      <c r="D99" s="268" t="s">
        <v>254</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xr:uid="{9F6D6AA7-63C2-4543-85E1-C053617DD357}">
      <formula1>$V$14:$V$16</formula1>
    </dataValidation>
    <dataValidation type="list" allowBlank="1" showInputMessage="1" showErrorMessage="1" sqref="F79:F86 P79:P86 G79:I80 G83:I86 Q83:S86 Q79:S80" xr:uid="{FC0FA7BB-63AA-423D-B8F7-389E671521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0AD6178-A7AB-4F32-BC97-9758655F7F7F}">
      <formula1>"学部・学科によって、修了要件は相違する,学部・学科によって、修了要件は相違しない"</formula1>
    </dataValidation>
    <dataValidation type="list" allowBlank="1" showInputMessage="1" showErrorMessage="1" sqref="S32 S43 D32:G32 D43:G43" xr:uid="{E4E8B965-2473-49D5-A49B-A5D85E2DCA56}">
      <formula1>"全学開講,一部開講"</formula1>
    </dataValidation>
    <dataValidation type="list" allowBlank="1" showInputMessage="1" showErrorMessage="1" sqref="G25:I31 Q25:S31 Q36:S42 P69:S75 Q47:S53 G36:I42 Q58:S64 G47:I53 F69:I75 G58:I64" xr:uid="{8C9A6478-98EF-41FB-850B-CDBCA0730F24}">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9A23-F3AB-46A4-B9FC-8E1C47ED551F}">
  <sheetPr>
    <pageSetUpPr fitToPage="1"/>
  </sheetPr>
  <dimension ref="A1:V110"/>
  <sheetViews>
    <sheetView showZeros="0" view="pageBreakPreview" topLeftCell="A68" zoomScale="89" zoomScaleNormal="100" zoomScaleSheetLayoutView="89"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162</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163</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164</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2</v>
      </c>
      <c r="D20" s="178"/>
      <c r="E20" s="205" t="s">
        <v>95</v>
      </c>
      <c r="G20" s="188"/>
      <c r="H20" s="183"/>
      <c r="I20" s="183"/>
      <c r="J20" s="179" t="s">
        <v>121</v>
      </c>
      <c r="K20" s="206" t="s">
        <v>110</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160</v>
      </c>
      <c r="C25" s="214"/>
      <c r="D25" s="214"/>
      <c r="E25" s="215"/>
      <c r="F25" s="216">
        <v>2</v>
      </c>
      <c r="G25" s="216" t="s">
        <v>159</v>
      </c>
      <c r="H25" s="216" t="s">
        <v>159</v>
      </c>
      <c r="I25" s="216" t="s">
        <v>159</v>
      </c>
      <c r="J25" s="213"/>
      <c r="K25" s="214"/>
      <c r="L25" s="214"/>
      <c r="M25" s="214"/>
      <c r="N25" s="214"/>
      <c r="O25" s="215"/>
      <c r="P25" s="216"/>
      <c r="Q25" s="216"/>
      <c r="R25" s="216"/>
      <c r="S25" s="216"/>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160</v>
      </c>
      <c r="C36" s="214"/>
      <c r="D36" s="214"/>
      <c r="E36" s="215"/>
      <c r="F36" s="216">
        <v>2</v>
      </c>
      <c r="G36" s="216" t="s">
        <v>159</v>
      </c>
      <c r="H36" s="216" t="s">
        <v>159</v>
      </c>
      <c r="I36" s="216" t="s">
        <v>159</v>
      </c>
      <c r="J36" s="213"/>
      <c r="K36" s="214"/>
      <c r="L36" s="214"/>
      <c r="M36" s="214"/>
      <c r="N36" s="214"/>
      <c r="O36" s="215"/>
      <c r="P36" s="216"/>
      <c r="Q36" s="216"/>
      <c r="R36" s="216"/>
      <c r="S36" s="216"/>
    </row>
    <row r="37" spans="1:19" ht="18" customHeight="1" x14ac:dyDescent="0.2">
      <c r="B37" s="217"/>
      <c r="C37" s="218"/>
      <c r="D37" s="218"/>
      <c r="E37" s="219"/>
      <c r="F37" s="220"/>
      <c r="G37" s="220"/>
      <c r="H37" s="220"/>
      <c r="I37" s="220"/>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160</v>
      </c>
      <c r="C47" s="214"/>
      <c r="D47" s="214"/>
      <c r="E47" s="215"/>
      <c r="F47" s="216">
        <v>2</v>
      </c>
      <c r="G47" s="216" t="s">
        <v>159</v>
      </c>
      <c r="H47" s="216" t="s">
        <v>159</v>
      </c>
      <c r="I47" s="216" t="s">
        <v>159</v>
      </c>
      <c r="J47" s="213"/>
      <c r="K47" s="214"/>
      <c r="L47" s="214"/>
      <c r="M47" s="214"/>
      <c r="N47" s="214"/>
      <c r="O47" s="215"/>
      <c r="P47" s="216"/>
      <c r="Q47" s="216"/>
      <c r="R47" s="216"/>
      <c r="S47" s="216"/>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160</v>
      </c>
      <c r="C58" s="214"/>
      <c r="D58" s="214"/>
      <c r="E58" s="215"/>
      <c r="F58" s="216">
        <v>2</v>
      </c>
      <c r="G58" s="216" t="s">
        <v>159</v>
      </c>
      <c r="H58" s="216" t="s">
        <v>159</v>
      </c>
      <c r="I58" s="216" t="s">
        <v>159</v>
      </c>
      <c r="J58" s="213"/>
      <c r="K58" s="214"/>
      <c r="L58" s="214"/>
      <c r="M58" s="214"/>
      <c r="N58" s="214"/>
      <c r="O58" s="215"/>
      <c r="P58" s="216"/>
      <c r="Q58" s="216"/>
      <c r="R58" s="216"/>
      <c r="S58" s="216"/>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160</v>
      </c>
      <c r="C69" s="214"/>
      <c r="D69" s="214"/>
      <c r="E69" s="216">
        <v>2</v>
      </c>
      <c r="F69" s="216" t="s">
        <v>159</v>
      </c>
      <c r="G69" s="216" t="s">
        <v>159</v>
      </c>
      <c r="H69" s="216" t="s">
        <v>159</v>
      </c>
      <c r="I69" s="216" t="s">
        <v>159</v>
      </c>
      <c r="J69" s="213"/>
      <c r="K69" s="214"/>
      <c r="L69" s="214"/>
      <c r="M69" s="214"/>
      <c r="N69" s="215"/>
      <c r="O69" s="216"/>
      <c r="P69" s="216"/>
      <c r="Q69" s="216"/>
      <c r="R69" s="216"/>
      <c r="S69" s="216"/>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t="s">
        <v>168</v>
      </c>
      <c r="C79" s="214"/>
      <c r="D79" s="214"/>
      <c r="E79" s="215"/>
      <c r="F79" s="230" t="s">
        <v>167</v>
      </c>
      <c r="G79" s="231"/>
      <c r="H79" s="231"/>
      <c r="I79" s="232"/>
      <c r="J79" s="213"/>
      <c r="K79" s="214"/>
      <c r="L79" s="214"/>
      <c r="M79" s="214"/>
      <c r="N79" s="214"/>
      <c r="O79" s="215"/>
      <c r="P79" s="230"/>
      <c r="Q79" s="231"/>
      <c r="R79" s="231"/>
      <c r="S79" s="232"/>
    </row>
    <row r="80" spans="1:19" ht="18" customHeight="1" x14ac:dyDescent="0.2">
      <c r="A80" s="183"/>
      <c r="B80" s="217"/>
      <c r="C80" s="218"/>
      <c r="D80" s="218"/>
      <c r="E80" s="219"/>
      <c r="F80" s="233"/>
      <c r="G80" s="234"/>
      <c r="H80" s="234"/>
      <c r="I80" s="235"/>
      <c r="J80" s="217"/>
      <c r="K80" s="218"/>
      <c r="L80" s="218"/>
      <c r="M80" s="218"/>
      <c r="N80" s="218"/>
      <c r="O80" s="219"/>
      <c r="P80" s="233"/>
      <c r="Q80" s="234"/>
      <c r="R80" s="234"/>
      <c r="S80" s="235"/>
    </row>
    <row r="81" spans="1:19" ht="18" customHeight="1" x14ac:dyDescent="0.2">
      <c r="A81" s="183"/>
      <c r="B81" s="217"/>
      <c r="C81" s="218"/>
      <c r="D81" s="218"/>
      <c r="E81" s="219"/>
      <c r="F81" s="233"/>
      <c r="G81" s="234"/>
      <c r="H81" s="234"/>
      <c r="I81" s="235"/>
      <c r="J81" s="217"/>
      <c r="K81" s="218"/>
      <c r="L81" s="218"/>
      <c r="M81" s="218"/>
      <c r="N81" s="218"/>
      <c r="O81" s="219"/>
      <c r="P81" s="233"/>
      <c r="Q81" s="234"/>
      <c r="R81" s="234"/>
      <c r="S81" s="235"/>
    </row>
    <row r="82" spans="1:19" ht="18" customHeight="1" x14ac:dyDescent="0.2">
      <c r="A82" s="183"/>
      <c r="B82" s="217"/>
      <c r="C82" s="218"/>
      <c r="D82" s="218"/>
      <c r="E82" s="219"/>
      <c r="F82" s="233"/>
      <c r="G82" s="234"/>
      <c r="H82" s="234"/>
      <c r="I82" s="235"/>
      <c r="J82" s="217"/>
      <c r="K82" s="218"/>
      <c r="L82" s="218"/>
      <c r="M82" s="218"/>
      <c r="N82" s="218"/>
      <c r="O82" s="219"/>
      <c r="P82" s="233"/>
      <c r="Q82" s="234"/>
      <c r="R82" s="234"/>
      <c r="S82" s="235"/>
    </row>
    <row r="83" spans="1:19" ht="18" customHeight="1" x14ac:dyDescent="0.2">
      <c r="A83" s="183"/>
      <c r="B83" s="217"/>
      <c r="C83" s="218"/>
      <c r="D83" s="218"/>
      <c r="E83" s="219"/>
      <c r="F83" s="233"/>
      <c r="G83" s="234"/>
      <c r="H83" s="234"/>
      <c r="I83" s="235"/>
      <c r="J83" s="217"/>
      <c r="K83" s="218"/>
      <c r="L83" s="218"/>
      <c r="M83" s="218"/>
      <c r="N83" s="218"/>
      <c r="O83" s="219"/>
      <c r="P83" s="233"/>
      <c r="Q83" s="234"/>
      <c r="R83" s="234"/>
      <c r="S83" s="235"/>
    </row>
    <row r="84" spans="1:19" ht="18" customHeight="1" x14ac:dyDescent="0.2">
      <c r="A84" s="183"/>
      <c r="B84" s="217"/>
      <c r="C84" s="218"/>
      <c r="D84" s="218"/>
      <c r="E84" s="219"/>
      <c r="F84" s="233"/>
      <c r="G84" s="234"/>
      <c r="H84" s="234"/>
      <c r="I84" s="235"/>
      <c r="J84" s="217"/>
      <c r="K84" s="218"/>
      <c r="L84" s="218"/>
      <c r="M84" s="218"/>
      <c r="N84" s="218"/>
      <c r="O84" s="219"/>
      <c r="P84" s="233"/>
      <c r="Q84" s="234"/>
      <c r="R84" s="234"/>
      <c r="S84" s="235"/>
    </row>
    <row r="85" spans="1:19" ht="18" customHeight="1" x14ac:dyDescent="0.2">
      <c r="A85" s="183"/>
      <c r="B85" s="221"/>
      <c r="C85" s="222"/>
      <c r="D85" s="222"/>
      <c r="E85" s="223"/>
      <c r="F85" s="236"/>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115.8" customHeight="1" x14ac:dyDescent="0.2">
      <c r="B89" s="242" t="s">
        <v>61</v>
      </c>
      <c r="C89" s="243" t="s">
        <v>56</v>
      </c>
      <c r="D89" s="244" t="s">
        <v>233</v>
      </c>
      <c r="E89" s="245"/>
      <c r="F89" s="245"/>
      <c r="G89" s="245"/>
      <c r="H89" s="245"/>
      <c r="I89" s="245"/>
      <c r="J89" s="245"/>
      <c r="K89" s="245"/>
      <c r="L89" s="245"/>
      <c r="M89" s="245"/>
      <c r="N89" s="245"/>
      <c r="O89" s="245"/>
      <c r="P89" s="245"/>
      <c r="Q89" s="245"/>
      <c r="R89" s="245"/>
      <c r="S89" s="246"/>
    </row>
    <row r="90" spans="1:19" ht="126.6" customHeight="1" x14ac:dyDescent="0.2">
      <c r="B90" s="247"/>
      <c r="C90" s="248" t="s">
        <v>77</v>
      </c>
      <c r="D90" s="249" t="s">
        <v>234</v>
      </c>
      <c r="E90" s="250"/>
      <c r="F90" s="250"/>
      <c r="G90" s="250"/>
      <c r="H90" s="250"/>
      <c r="I90" s="250"/>
      <c r="J90" s="250"/>
      <c r="K90" s="250"/>
      <c r="L90" s="250"/>
      <c r="M90" s="250"/>
      <c r="N90" s="250"/>
      <c r="O90" s="250"/>
      <c r="P90" s="250"/>
      <c r="Q90" s="250"/>
      <c r="R90" s="250"/>
      <c r="S90" s="251"/>
    </row>
    <row r="91" spans="1:19" ht="112.8" customHeight="1" x14ac:dyDescent="0.2">
      <c r="B91" s="242" t="s">
        <v>62</v>
      </c>
      <c r="C91" s="252" t="s">
        <v>71</v>
      </c>
      <c r="D91" s="253" t="s">
        <v>235</v>
      </c>
      <c r="E91" s="254"/>
      <c r="F91" s="254"/>
      <c r="G91" s="254"/>
      <c r="H91" s="254"/>
      <c r="I91" s="254"/>
      <c r="J91" s="254"/>
      <c r="K91" s="254"/>
      <c r="L91" s="254"/>
      <c r="M91" s="254"/>
      <c r="N91" s="254"/>
      <c r="O91" s="254"/>
      <c r="P91" s="254"/>
      <c r="Q91" s="254"/>
      <c r="R91" s="254"/>
      <c r="S91" s="255"/>
    </row>
    <row r="92" spans="1:19" ht="159.6" customHeight="1" x14ac:dyDescent="0.2">
      <c r="B92" s="256"/>
      <c r="C92" s="257" t="s">
        <v>72</v>
      </c>
      <c r="D92" s="258" t="s">
        <v>236</v>
      </c>
      <c r="E92" s="259"/>
      <c r="F92" s="259"/>
      <c r="G92" s="259"/>
      <c r="H92" s="259"/>
      <c r="I92" s="259"/>
      <c r="J92" s="259"/>
      <c r="K92" s="259"/>
      <c r="L92" s="259"/>
      <c r="M92" s="259"/>
      <c r="N92" s="259"/>
      <c r="O92" s="259"/>
      <c r="P92" s="259"/>
      <c r="Q92" s="259"/>
      <c r="R92" s="259"/>
      <c r="S92" s="260"/>
    </row>
    <row r="93" spans="1:19" ht="111.6" customHeight="1" x14ac:dyDescent="0.2">
      <c r="B93" s="242" t="s">
        <v>63</v>
      </c>
      <c r="C93" s="252" t="s">
        <v>73</v>
      </c>
      <c r="D93" s="253" t="s">
        <v>237</v>
      </c>
      <c r="E93" s="254"/>
      <c r="F93" s="254"/>
      <c r="G93" s="254"/>
      <c r="H93" s="254"/>
      <c r="I93" s="254"/>
      <c r="J93" s="254"/>
      <c r="K93" s="254"/>
      <c r="L93" s="254"/>
      <c r="M93" s="254"/>
      <c r="N93" s="254"/>
      <c r="O93" s="254"/>
      <c r="P93" s="254"/>
      <c r="Q93" s="254"/>
      <c r="R93" s="254"/>
      <c r="S93" s="255"/>
    </row>
    <row r="94" spans="1:19" ht="114.6" customHeight="1" x14ac:dyDescent="0.2">
      <c r="B94" s="256"/>
      <c r="C94" s="261" t="s">
        <v>74</v>
      </c>
      <c r="D94" s="262" t="s">
        <v>238</v>
      </c>
      <c r="E94" s="263"/>
      <c r="F94" s="263"/>
      <c r="G94" s="263"/>
      <c r="H94" s="263"/>
      <c r="I94" s="263"/>
      <c r="J94" s="263"/>
      <c r="K94" s="263"/>
      <c r="L94" s="263"/>
      <c r="M94" s="263"/>
      <c r="N94" s="263"/>
      <c r="O94" s="263"/>
      <c r="P94" s="263"/>
      <c r="Q94" s="263"/>
      <c r="R94" s="263"/>
      <c r="S94" s="264"/>
    </row>
    <row r="95" spans="1:19" ht="105.6" customHeight="1" x14ac:dyDescent="0.2">
      <c r="B95" s="242" t="s">
        <v>78</v>
      </c>
      <c r="C95" s="243" t="s">
        <v>58</v>
      </c>
      <c r="D95" s="244" t="s">
        <v>239</v>
      </c>
      <c r="E95" s="245"/>
      <c r="F95" s="245"/>
      <c r="G95" s="245"/>
      <c r="H95" s="245"/>
      <c r="I95" s="245"/>
      <c r="J95" s="245"/>
      <c r="K95" s="245"/>
      <c r="L95" s="245"/>
      <c r="M95" s="245"/>
      <c r="N95" s="245"/>
      <c r="O95" s="245"/>
      <c r="P95" s="245"/>
      <c r="Q95" s="245"/>
      <c r="R95" s="245"/>
      <c r="S95" s="246"/>
    </row>
    <row r="96" spans="1:19" ht="105" customHeight="1" x14ac:dyDescent="0.2">
      <c r="B96" s="256"/>
      <c r="C96" s="257" t="s">
        <v>60</v>
      </c>
      <c r="D96" s="258" t="s">
        <v>240</v>
      </c>
      <c r="E96" s="259"/>
      <c r="F96" s="259"/>
      <c r="G96" s="259"/>
      <c r="H96" s="259"/>
      <c r="I96" s="259"/>
      <c r="J96" s="259"/>
      <c r="K96" s="259"/>
      <c r="L96" s="259"/>
      <c r="M96" s="259"/>
      <c r="N96" s="259"/>
      <c r="O96" s="259"/>
      <c r="P96" s="259"/>
      <c r="Q96" s="259"/>
      <c r="R96" s="259"/>
      <c r="S96" s="260"/>
    </row>
    <row r="97" spans="1:19" ht="161.4" customHeight="1" x14ac:dyDescent="0.2">
      <c r="B97" s="242" t="s">
        <v>79</v>
      </c>
      <c r="C97" s="252" t="s">
        <v>57</v>
      </c>
      <c r="D97" s="265" t="s">
        <v>241</v>
      </c>
      <c r="E97" s="214"/>
      <c r="F97" s="214"/>
      <c r="G97" s="214"/>
      <c r="H97" s="214"/>
      <c r="I97" s="214"/>
      <c r="J97" s="214"/>
      <c r="K97" s="214"/>
      <c r="L97" s="214"/>
      <c r="M97" s="214"/>
      <c r="N97" s="214"/>
      <c r="O97" s="214"/>
      <c r="P97" s="214"/>
      <c r="Q97" s="214"/>
      <c r="R97" s="214"/>
      <c r="S97" s="215"/>
    </row>
    <row r="98" spans="1:19" ht="147" customHeight="1" x14ac:dyDescent="0.2">
      <c r="B98" s="247"/>
      <c r="C98" s="266" t="s">
        <v>75</v>
      </c>
      <c r="D98" s="267" t="s">
        <v>242</v>
      </c>
      <c r="E98" s="218"/>
      <c r="F98" s="218"/>
      <c r="G98" s="218"/>
      <c r="H98" s="218"/>
      <c r="I98" s="218"/>
      <c r="J98" s="218"/>
      <c r="K98" s="218"/>
      <c r="L98" s="218"/>
      <c r="M98" s="218"/>
      <c r="N98" s="218"/>
      <c r="O98" s="218"/>
      <c r="P98" s="218"/>
      <c r="Q98" s="218"/>
      <c r="R98" s="218"/>
      <c r="S98" s="219"/>
    </row>
    <row r="99" spans="1:19" ht="160.80000000000001" customHeight="1" x14ac:dyDescent="0.2">
      <c r="B99" s="256"/>
      <c r="C99" s="261" t="s">
        <v>76</v>
      </c>
      <c r="D99" s="268" t="s">
        <v>243</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Q36:S42 P69:S75 Q47:S53 G36:I42 Q58:S64 G47:I53 F69:I75 G58:I64" xr:uid="{263CB099-BF2A-4B9A-81CB-D357B20F4022}">
      <formula1>"○"</formula1>
    </dataValidation>
    <dataValidation type="list" allowBlank="1" showInputMessage="1" showErrorMessage="1" sqref="S32 S43 D32:G32 D43:G43" xr:uid="{60EC8345-EEE4-4BF5-B2B6-F0AB1A4DB4F3}">
      <formula1>"全学開講,一部開講"</formula1>
    </dataValidation>
    <dataValidation type="list" allowBlank="1" showInputMessage="1" showErrorMessage="1" sqref="K7 K12" xr:uid="{0BDCA385-B7D4-40E2-AC78-26F95071DA7B}">
      <formula1>"学部・学科によって、修了要件は相違する,学部・学科によって、修了要件は相違しない"</formula1>
    </dataValidation>
    <dataValidation type="list" allowBlank="1" showInputMessage="1" showErrorMessage="1" sqref="F79:F86 P79:P86 G79:I80 G83:I86 Q83:S86 Q79:S80" xr:uid="{F7F103C1-17DF-4D90-899C-72F1776ADFA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65EBF002-C28B-48B2-89A6-E8BD4C3C7761}">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9431F-2103-4F1D-B976-26E4DB85F81B}">
  <sheetPr>
    <pageSetUpPr fitToPage="1"/>
  </sheetPr>
  <dimension ref="A1:V110"/>
  <sheetViews>
    <sheetView showZeros="0" view="pageBreakPreview" topLeftCell="A67" zoomScaleNormal="100" zoomScaleSheetLayoutView="100"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165</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166</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164</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2</v>
      </c>
      <c r="D20" s="178"/>
      <c r="E20" s="205" t="s">
        <v>95</v>
      </c>
      <c r="G20" s="188"/>
      <c r="H20" s="183"/>
      <c r="I20" s="183"/>
      <c r="J20" s="179" t="s">
        <v>121</v>
      </c>
      <c r="K20" s="206" t="s">
        <v>110</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160</v>
      </c>
      <c r="C25" s="214"/>
      <c r="D25" s="214"/>
      <c r="E25" s="215"/>
      <c r="F25" s="216">
        <v>2</v>
      </c>
      <c r="G25" s="216" t="s">
        <v>159</v>
      </c>
      <c r="H25" s="216" t="s">
        <v>159</v>
      </c>
      <c r="I25" s="216" t="s">
        <v>159</v>
      </c>
      <c r="J25" s="213"/>
      <c r="K25" s="214"/>
      <c r="L25" s="214"/>
      <c r="M25" s="214"/>
      <c r="N25" s="214"/>
      <c r="O25" s="215"/>
      <c r="P25" s="216"/>
      <c r="Q25" s="216"/>
      <c r="R25" s="216"/>
      <c r="S25" s="216"/>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160</v>
      </c>
      <c r="C36" s="214"/>
      <c r="D36" s="214"/>
      <c r="E36" s="215"/>
      <c r="F36" s="216">
        <v>2</v>
      </c>
      <c r="G36" s="216" t="s">
        <v>159</v>
      </c>
      <c r="H36" s="216" t="s">
        <v>159</v>
      </c>
      <c r="I36" s="216" t="s">
        <v>159</v>
      </c>
      <c r="J36" s="213"/>
      <c r="K36" s="214"/>
      <c r="L36" s="214"/>
      <c r="M36" s="214"/>
      <c r="N36" s="214"/>
      <c r="O36" s="215"/>
      <c r="P36" s="216"/>
      <c r="Q36" s="216"/>
      <c r="R36" s="216"/>
      <c r="S36" s="216"/>
    </row>
    <row r="37" spans="1:19" ht="18" customHeight="1" x14ac:dyDescent="0.2">
      <c r="B37" s="217"/>
      <c r="C37" s="218"/>
      <c r="D37" s="218"/>
      <c r="E37" s="219"/>
      <c r="F37" s="220"/>
      <c r="G37" s="220"/>
      <c r="H37" s="220"/>
      <c r="I37" s="220"/>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160</v>
      </c>
      <c r="C47" s="214"/>
      <c r="D47" s="214"/>
      <c r="E47" s="215"/>
      <c r="F47" s="216">
        <v>2</v>
      </c>
      <c r="G47" s="216" t="s">
        <v>159</v>
      </c>
      <c r="H47" s="216" t="s">
        <v>159</v>
      </c>
      <c r="I47" s="216" t="s">
        <v>159</v>
      </c>
      <c r="J47" s="213"/>
      <c r="K47" s="214"/>
      <c r="L47" s="214"/>
      <c r="M47" s="214"/>
      <c r="N47" s="214"/>
      <c r="O47" s="215"/>
      <c r="P47" s="216"/>
      <c r="Q47" s="216"/>
      <c r="R47" s="216"/>
      <c r="S47" s="216"/>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160</v>
      </c>
      <c r="C58" s="214"/>
      <c r="D58" s="214"/>
      <c r="E58" s="215"/>
      <c r="F58" s="216">
        <v>2</v>
      </c>
      <c r="G58" s="216" t="s">
        <v>159</v>
      </c>
      <c r="H58" s="216" t="s">
        <v>159</v>
      </c>
      <c r="I58" s="216" t="s">
        <v>159</v>
      </c>
      <c r="J58" s="213"/>
      <c r="K58" s="214"/>
      <c r="L58" s="214"/>
      <c r="M58" s="214"/>
      <c r="N58" s="214"/>
      <c r="O58" s="215"/>
      <c r="P58" s="216"/>
      <c r="Q58" s="216"/>
      <c r="R58" s="216"/>
      <c r="S58" s="216"/>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160</v>
      </c>
      <c r="C69" s="214"/>
      <c r="D69" s="214"/>
      <c r="E69" s="216">
        <v>2</v>
      </c>
      <c r="F69" s="216" t="s">
        <v>159</v>
      </c>
      <c r="G69" s="216" t="s">
        <v>159</v>
      </c>
      <c r="H69" s="216" t="s">
        <v>159</v>
      </c>
      <c r="I69" s="216" t="s">
        <v>159</v>
      </c>
      <c r="J69" s="213"/>
      <c r="K69" s="214"/>
      <c r="L69" s="214"/>
      <c r="M69" s="214"/>
      <c r="N69" s="215"/>
      <c r="O69" s="216"/>
      <c r="P69" s="216"/>
      <c r="Q69" s="216"/>
      <c r="R69" s="216"/>
      <c r="S69" s="216"/>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c r="C79" s="214"/>
      <c r="D79" s="214"/>
      <c r="E79" s="215"/>
      <c r="F79" s="230"/>
      <c r="G79" s="231"/>
      <c r="H79" s="231"/>
      <c r="I79" s="232"/>
      <c r="J79" s="213"/>
      <c r="K79" s="214"/>
      <c r="L79" s="214"/>
      <c r="M79" s="214"/>
      <c r="N79" s="214"/>
      <c r="O79" s="215"/>
      <c r="P79" s="230"/>
      <c r="Q79" s="231"/>
      <c r="R79" s="231"/>
      <c r="S79" s="232"/>
    </row>
    <row r="80" spans="1:19" ht="18" customHeight="1" x14ac:dyDescent="0.2">
      <c r="A80" s="183"/>
      <c r="B80" s="217"/>
      <c r="C80" s="218"/>
      <c r="D80" s="218"/>
      <c r="E80" s="219"/>
      <c r="F80" s="233"/>
      <c r="G80" s="234"/>
      <c r="H80" s="234"/>
      <c r="I80" s="235"/>
      <c r="J80" s="217"/>
      <c r="K80" s="218"/>
      <c r="L80" s="218"/>
      <c r="M80" s="218"/>
      <c r="N80" s="218"/>
      <c r="O80" s="219"/>
      <c r="P80" s="233"/>
      <c r="Q80" s="234"/>
      <c r="R80" s="234"/>
      <c r="S80" s="235"/>
    </row>
    <row r="81" spans="1:19" ht="18" customHeight="1" x14ac:dyDescent="0.2">
      <c r="A81" s="183"/>
      <c r="B81" s="217"/>
      <c r="C81" s="218"/>
      <c r="D81" s="218"/>
      <c r="E81" s="219"/>
      <c r="F81" s="233"/>
      <c r="G81" s="234"/>
      <c r="H81" s="234"/>
      <c r="I81" s="235"/>
      <c r="J81" s="217"/>
      <c r="K81" s="218"/>
      <c r="L81" s="218"/>
      <c r="M81" s="218"/>
      <c r="N81" s="218"/>
      <c r="O81" s="219"/>
      <c r="P81" s="233"/>
      <c r="Q81" s="234"/>
      <c r="R81" s="234"/>
      <c r="S81" s="235"/>
    </row>
    <row r="82" spans="1:19" ht="18" customHeight="1" x14ac:dyDescent="0.2">
      <c r="A82" s="183"/>
      <c r="B82" s="217"/>
      <c r="C82" s="218"/>
      <c r="D82" s="218"/>
      <c r="E82" s="219"/>
      <c r="F82" s="233"/>
      <c r="G82" s="234"/>
      <c r="H82" s="234"/>
      <c r="I82" s="235"/>
      <c r="J82" s="217"/>
      <c r="K82" s="218"/>
      <c r="L82" s="218"/>
      <c r="M82" s="218"/>
      <c r="N82" s="218"/>
      <c r="O82" s="219"/>
      <c r="P82" s="233"/>
      <c r="Q82" s="234"/>
      <c r="R82" s="234"/>
      <c r="S82" s="235"/>
    </row>
    <row r="83" spans="1:19" ht="18" customHeight="1" x14ac:dyDescent="0.2">
      <c r="A83" s="183"/>
      <c r="B83" s="217"/>
      <c r="C83" s="218"/>
      <c r="D83" s="218"/>
      <c r="E83" s="219"/>
      <c r="F83" s="233"/>
      <c r="G83" s="234"/>
      <c r="H83" s="234"/>
      <c r="I83" s="235"/>
      <c r="J83" s="217"/>
      <c r="K83" s="218"/>
      <c r="L83" s="218"/>
      <c r="M83" s="218"/>
      <c r="N83" s="218"/>
      <c r="O83" s="219"/>
      <c r="P83" s="233"/>
      <c r="Q83" s="234"/>
      <c r="R83" s="234"/>
      <c r="S83" s="235"/>
    </row>
    <row r="84" spans="1:19" ht="18" customHeight="1" x14ac:dyDescent="0.2">
      <c r="A84" s="183"/>
      <c r="B84" s="217"/>
      <c r="C84" s="218"/>
      <c r="D84" s="218"/>
      <c r="E84" s="219"/>
      <c r="F84" s="233"/>
      <c r="G84" s="234"/>
      <c r="H84" s="234"/>
      <c r="I84" s="235"/>
      <c r="J84" s="217"/>
      <c r="K84" s="218"/>
      <c r="L84" s="218"/>
      <c r="M84" s="218"/>
      <c r="N84" s="218"/>
      <c r="O84" s="219"/>
      <c r="P84" s="233"/>
      <c r="Q84" s="234"/>
      <c r="R84" s="234"/>
      <c r="S84" s="235"/>
    </row>
    <row r="85" spans="1:19" ht="18" customHeight="1" x14ac:dyDescent="0.2">
      <c r="A85" s="183"/>
      <c r="B85" s="221"/>
      <c r="C85" s="222"/>
      <c r="D85" s="222"/>
      <c r="E85" s="223"/>
      <c r="F85" s="236"/>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97.5" customHeight="1" x14ac:dyDescent="0.2">
      <c r="B89" s="242" t="s">
        <v>61</v>
      </c>
      <c r="C89" s="243" t="s">
        <v>56</v>
      </c>
      <c r="D89" s="244" t="s">
        <v>222</v>
      </c>
      <c r="E89" s="245"/>
      <c r="F89" s="245"/>
      <c r="G89" s="245"/>
      <c r="H89" s="245"/>
      <c r="I89" s="245"/>
      <c r="J89" s="245"/>
      <c r="K89" s="245"/>
      <c r="L89" s="245"/>
      <c r="M89" s="245"/>
      <c r="N89" s="245"/>
      <c r="O89" s="245"/>
      <c r="P89" s="245"/>
      <c r="Q89" s="245"/>
      <c r="R89" s="245"/>
      <c r="S89" s="246"/>
    </row>
    <row r="90" spans="1:19" ht="97.5" customHeight="1" x14ac:dyDescent="0.2">
      <c r="B90" s="247"/>
      <c r="C90" s="248" t="s">
        <v>77</v>
      </c>
      <c r="D90" s="249" t="s">
        <v>223</v>
      </c>
      <c r="E90" s="250"/>
      <c r="F90" s="250"/>
      <c r="G90" s="250"/>
      <c r="H90" s="250"/>
      <c r="I90" s="250"/>
      <c r="J90" s="250"/>
      <c r="K90" s="250"/>
      <c r="L90" s="250"/>
      <c r="M90" s="250"/>
      <c r="N90" s="250"/>
      <c r="O90" s="250"/>
      <c r="P90" s="250"/>
      <c r="Q90" s="250"/>
      <c r="R90" s="250"/>
      <c r="S90" s="251"/>
    </row>
    <row r="91" spans="1:19" ht="97.5" customHeight="1" x14ac:dyDescent="0.2">
      <c r="B91" s="242" t="s">
        <v>62</v>
      </c>
      <c r="C91" s="252" t="s">
        <v>71</v>
      </c>
      <c r="D91" s="253" t="s">
        <v>224</v>
      </c>
      <c r="E91" s="254"/>
      <c r="F91" s="254"/>
      <c r="G91" s="254"/>
      <c r="H91" s="254"/>
      <c r="I91" s="254"/>
      <c r="J91" s="254"/>
      <c r="K91" s="254"/>
      <c r="L91" s="254"/>
      <c r="M91" s="254"/>
      <c r="N91" s="254"/>
      <c r="O91" s="254"/>
      <c r="P91" s="254"/>
      <c r="Q91" s="254"/>
      <c r="R91" s="254"/>
      <c r="S91" s="255"/>
    </row>
    <row r="92" spans="1:19" ht="97.5" customHeight="1" x14ac:dyDescent="0.2">
      <c r="B92" s="256"/>
      <c r="C92" s="257" t="s">
        <v>72</v>
      </c>
      <c r="D92" s="258" t="s">
        <v>225</v>
      </c>
      <c r="E92" s="259"/>
      <c r="F92" s="259"/>
      <c r="G92" s="259"/>
      <c r="H92" s="259"/>
      <c r="I92" s="259"/>
      <c r="J92" s="259"/>
      <c r="K92" s="259"/>
      <c r="L92" s="259"/>
      <c r="M92" s="259"/>
      <c r="N92" s="259"/>
      <c r="O92" s="259"/>
      <c r="P92" s="259"/>
      <c r="Q92" s="259"/>
      <c r="R92" s="259"/>
      <c r="S92" s="260"/>
    </row>
    <row r="93" spans="1:19" ht="97.5" customHeight="1" x14ac:dyDescent="0.2">
      <c r="B93" s="242" t="s">
        <v>63</v>
      </c>
      <c r="C93" s="252" t="s">
        <v>73</v>
      </c>
      <c r="D93" s="253" t="s">
        <v>226</v>
      </c>
      <c r="E93" s="254"/>
      <c r="F93" s="254"/>
      <c r="G93" s="254"/>
      <c r="H93" s="254"/>
      <c r="I93" s="254"/>
      <c r="J93" s="254"/>
      <c r="K93" s="254"/>
      <c r="L93" s="254"/>
      <c r="M93" s="254"/>
      <c r="N93" s="254"/>
      <c r="O93" s="254"/>
      <c r="P93" s="254"/>
      <c r="Q93" s="254"/>
      <c r="R93" s="254"/>
      <c r="S93" s="255"/>
    </row>
    <row r="94" spans="1:19" ht="97.5" customHeight="1" x14ac:dyDescent="0.2">
      <c r="B94" s="256"/>
      <c r="C94" s="261" t="s">
        <v>74</v>
      </c>
      <c r="D94" s="262" t="s">
        <v>227</v>
      </c>
      <c r="E94" s="263"/>
      <c r="F94" s="263"/>
      <c r="G94" s="263"/>
      <c r="H94" s="263"/>
      <c r="I94" s="263"/>
      <c r="J94" s="263"/>
      <c r="K94" s="263"/>
      <c r="L94" s="263"/>
      <c r="M94" s="263"/>
      <c r="N94" s="263"/>
      <c r="O94" s="263"/>
      <c r="P94" s="263"/>
      <c r="Q94" s="263"/>
      <c r="R94" s="263"/>
      <c r="S94" s="264"/>
    </row>
    <row r="95" spans="1:19" ht="97.5" customHeight="1" x14ac:dyDescent="0.2">
      <c r="B95" s="242" t="s">
        <v>78</v>
      </c>
      <c r="C95" s="243" t="s">
        <v>58</v>
      </c>
      <c r="D95" s="244" t="s">
        <v>228</v>
      </c>
      <c r="E95" s="245"/>
      <c r="F95" s="245"/>
      <c r="G95" s="245"/>
      <c r="H95" s="245"/>
      <c r="I95" s="245"/>
      <c r="J95" s="245"/>
      <c r="K95" s="245"/>
      <c r="L95" s="245"/>
      <c r="M95" s="245"/>
      <c r="N95" s="245"/>
      <c r="O95" s="245"/>
      <c r="P95" s="245"/>
      <c r="Q95" s="245"/>
      <c r="R95" s="245"/>
      <c r="S95" s="246"/>
    </row>
    <row r="96" spans="1:19" ht="97.5" customHeight="1" x14ac:dyDescent="0.2">
      <c r="B96" s="256"/>
      <c r="C96" s="257" t="s">
        <v>60</v>
      </c>
      <c r="D96" s="258" t="s">
        <v>229</v>
      </c>
      <c r="E96" s="259"/>
      <c r="F96" s="259"/>
      <c r="G96" s="259"/>
      <c r="H96" s="259"/>
      <c r="I96" s="259"/>
      <c r="J96" s="259"/>
      <c r="K96" s="259"/>
      <c r="L96" s="259"/>
      <c r="M96" s="259"/>
      <c r="N96" s="259"/>
      <c r="O96" s="259"/>
      <c r="P96" s="259"/>
      <c r="Q96" s="259"/>
      <c r="R96" s="259"/>
      <c r="S96" s="260"/>
    </row>
    <row r="97" spans="1:19" ht="97.5" customHeight="1" x14ac:dyDescent="0.2">
      <c r="B97" s="242" t="s">
        <v>79</v>
      </c>
      <c r="C97" s="252" t="s">
        <v>57</v>
      </c>
      <c r="D97" s="265" t="s">
        <v>230</v>
      </c>
      <c r="E97" s="214"/>
      <c r="F97" s="214"/>
      <c r="G97" s="214"/>
      <c r="H97" s="214"/>
      <c r="I97" s="214"/>
      <c r="J97" s="214"/>
      <c r="K97" s="214"/>
      <c r="L97" s="214"/>
      <c r="M97" s="214"/>
      <c r="N97" s="214"/>
      <c r="O97" s="214"/>
      <c r="P97" s="214"/>
      <c r="Q97" s="214"/>
      <c r="R97" s="214"/>
      <c r="S97" s="215"/>
    </row>
    <row r="98" spans="1:19" ht="97.5" customHeight="1" x14ac:dyDescent="0.2">
      <c r="B98" s="247"/>
      <c r="C98" s="266" t="s">
        <v>75</v>
      </c>
      <c r="D98" s="267" t="s">
        <v>231</v>
      </c>
      <c r="E98" s="218"/>
      <c r="F98" s="218"/>
      <c r="G98" s="218"/>
      <c r="H98" s="218"/>
      <c r="I98" s="218"/>
      <c r="J98" s="218"/>
      <c r="K98" s="218"/>
      <c r="L98" s="218"/>
      <c r="M98" s="218"/>
      <c r="N98" s="218"/>
      <c r="O98" s="218"/>
      <c r="P98" s="218"/>
      <c r="Q98" s="218"/>
      <c r="R98" s="218"/>
      <c r="S98" s="219"/>
    </row>
    <row r="99" spans="1:19" ht="109.2" customHeight="1" x14ac:dyDescent="0.2">
      <c r="B99" s="256"/>
      <c r="C99" s="261" t="s">
        <v>76</v>
      </c>
      <c r="D99" s="268" t="s">
        <v>232</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31D9FFC5-1D9A-4A53-9772-19A4E08079F1}">
      <formula1>$V$14:$V$16</formula1>
    </dataValidation>
    <dataValidation type="list" allowBlank="1" showInputMessage="1" showErrorMessage="1" sqref="F79:F86 P79:P86 G79:I80 G83:I86 Q83:S86 Q79:S80" xr:uid="{15758059-C18A-40F6-8E32-A1A3CAADFFE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DEADFD1F-50A3-411A-9CE4-2831301556A4}">
      <formula1>"学部・学科によって、修了要件は相違する,学部・学科によって、修了要件は相違しない"</formula1>
    </dataValidation>
    <dataValidation type="list" allowBlank="1" showInputMessage="1" showErrorMessage="1" sqref="S32 S43 D32:G32 D43:G43" xr:uid="{DA1C01D1-BABB-4F61-9FEC-EEEB0741C200}">
      <formula1>"全学開講,一部開講"</formula1>
    </dataValidation>
    <dataValidation type="list" allowBlank="1" showInputMessage="1" showErrorMessage="1" sqref="G25:I31 Q25:S31 Q36:S42 P69:S75 Q47:S53 G36:I42 Q58:S64 G47:I53 F69:I75 G58:I64" xr:uid="{973B2B82-91EA-47C3-BB30-65D151515A4F}">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048E-EE2D-42DC-8FD3-81A249DD7229}">
  <sheetPr>
    <pageSetUpPr fitToPage="1"/>
  </sheetPr>
  <dimension ref="A1:V110"/>
  <sheetViews>
    <sheetView showZeros="0" view="pageBreakPreview" zoomScaleNormal="100" zoomScaleSheetLayoutView="100" workbookViewId="0">
      <selection activeCell="W80" sqref="W80"/>
    </sheetView>
  </sheetViews>
  <sheetFormatPr defaultColWidth="9" defaultRowHeight="18.75" customHeight="1" x14ac:dyDescent="0.2"/>
  <cols>
    <col min="1" max="1" width="2.44140625" style="172" customWidth="1"/>
    <col min="2" max="2" width="16.44140625" style="172" customWidth="1"/>
    <col min="3" max="19" width="5.6640625" style="172" customWidth="1"/>
    <col min="20" max="20" width="9" style="172"/>
    <col min="21" max="21" width="3.6640625" style="172" customWidth="1"/>
    <col min="22" max="22" width="48.6640625" style="172" hidden="1" customWidth="1"/>
    <col min="23" max="16384" width="9" style="172"/>
  </cols>
  <sheetData>
    <row r="1" spans="1:22" ht="18.600000000000001" customHeight="1" x14ac:dyDescent="0.2">
      <c r="R1" s="173" t="s">
        <v>169</v>
      </c>
      <c r="S1" s="173"/>
      <c r="T1" s="174" t="s">
        <v>109</v>
      </c>
    </row>
    <row r="2" spans="1:22" ht="18.75" customHeight="1" x14ac:dyDescent="0.2">
      <c r="B2" s="175" t="s">
        <v>108</v>
      </c>
      <c r="C2" s="176" t="s">
        <v>126</v>
      </c>
      <c r="D2" s="177"/>
      <c r="E2" s="177"/>
      <c r="F2" s="177"/>
      <c r="G2" s="177"/>
      <c r="H2" s="177"/>
      <c r="I2" s="178"/>
      <c r="J2" s="179"/>
      <c r="K2" s="180"/>
      <c r="L2" s="180"/>
      <c r="M2" s="180"/>
      <c r="N2" s="180"/>
      <c r="O2" s="180"/>
      <c r="P2" s="180"/>
      <c r="Q2" s="180"/>
      <c r="R2" s="180"/>
      <c r="S2" s="180"/>
    </row>
    <row r="3" spans="1:22" ht="18.75" customHeight="1" x14ac:dyDescent="0.2">
      <c r="B3" s="175" t="s">
        <v>102</v>
      </c>
      <c r="C3" s="176" t="s">
        <v>127</v>
      </c>
      <c r="D3" s="177"/>
      <c r="E3" s="177"/>
      <c r="F3" s="177"/>
      <c r="G3" s="177"/>
      <c r="H3" s="177"/>
      <c r="I3" s="178"/>
      <c r="J3" s="179"/>
      <c r="K3" s="180"/>
      <c r="L3" s="180"/>
      <c r="M3" s="180"/>
      <c r="N3" s="180"/>
      <c r="O3" s="180"/>
      <c r="P3" s="180"/>
      <c r="Q3" s="180"/>
      <c r="R3" s="180"/>
      <c r="S3" s="180"/>
    </row>
    <row r="4" spans="1:22" ht="15" customHeight="1" x14ac:dyDescent="0.2">
      <c r="K4" s="179"/>
      <c r="L4" s="181"/>
      <c r="M4" s="181"/>
      <c r="N4" s="181"/>
      <c r="O4" s="181"/>
      <c r="P4" s="181"/>
      <c r="Q4" s="181"/>
      <c r="R4" s="181"/>
      <c r="S4" s="181"/>
    </row>
    <row r="5" spans="1:22" ht="18" customHeight="1" x14ac:dyDescent="0.2">
      <c r="A5" s="182" t="s">
        <v>38</v>
      </c>
      <c r="B5" s="182"/>
      <c r="C5" s="182"/>
      <c r="D5" s="182"/>
      <c r="E5" s="182"/>
      <c r="F5" s="182"/>
      <c r="G5" s="182"/>
      <c r="H5" s="182"/>
      <c r="I5" s="182"/>
      <c r="J5" s="182"/>
      <c r="K5" s="182"/>
      <c r="L5" s="182"/>
      <c r="M5" s="182"/>
      <c r="N5" s="182"/>
      <c r="O5" s="182"/>
      <c r="P5" s="182"/>
      <c r="Q5" s="182"/>
      <c r="R5" s="182"/>
      <c r="S5" s="182"/>
    </row>
    <row r="6" spans="1:22" ht="15" customHeight="1" x14ac:dyDescent="0.2">
      <c r="B6" s="183"/>
      <c r="C6" s="183"/>
      <c r="D6" s="183"/>
      <c r="E6" s="183"/>
      <c r="F6" s="183"/>
      <c r="G6" s="183"/>
      <c r="H6" s="183"/>
      <c r="I6" s="183"/>
      <c r="J6" s="183"/>
      <c r="K6" s="183"/>
      <c r="L6" s="183"/>
      <c r="M6" s="183"/>
      <c r="N6" s="183"/>
      <c r="O6" s="183"/>
      <c r="P6" s="183"/>
      <c r="Q6" s="183"/>
      <c r="R6" s="183"/>
      <c r="S6" s="183"/>
    </row>
    <row r="7" spans="1:22" ht="18" customHeight="1" x14ac:dyDescent="0.2">
      <c r="A7" s="172" t="s">
        <v>124</v>
      </c>
      <c r="C7" s="183"/>
      <c r="J7" s="184" t="s">
        <v>107</v>
      </c>
      <c r="K7" s="185" t="s">
        <v>128</v>
      </c>
      <c r="L7" s="186"/>
      <c r="M7" s="186"/>
      <c r="N7" s="186"/>
      <c r="O7" s="186"/>
      <c r="P7" s="186"/>
      <c r="Q7" s="186"/>
      <c r="R7" s="186"/>
      <c r="S7" s="187"/>
    </row>
    <row r="8" spans="1:22" ht="6" customHeight="1" x14ac:dyDescent="0.2">
      <c r="B8" s="183"/>
      <c r="C8" s="183"/>
      <c r="D8" s="183"/>
      <c r="E8" s="183"/>
      <c r="F8" s="183"/>
      <c r="G8" s="183"/>
      <c r="H8" s="183"/>
      <c r="I8" s="183"/>
      <c r="J8" s="183"/>
      <c r="K8" s="188"/>
      <c r="L8" s="183"/>
      <c r="M8" s="183"/>
      <c r="N8" s="183"/>
      <c r="O8" s="183"/>
      <c r="P8" s="183"/>
      <c r="Q8" s="183"/>
      <c r="R8" s="183"/>
      <c r="S8" s="183"/>
    </row>
    <row r="9" spans="1:22" ht="18" customHeight="1" x14ac:dyDescent="0.2">
      <c r="B9" s="189" t="s">
        <v>170</v>
      </c>
      <c r="C9" s="190"/>
      <c r="D9" s="190"/>
      <c r="E9" s="190"/>
      <c r="F9" s="190"/>
      <c r="G9" s="190"/>
      <c r="H9" s="190"/>
      <c r="I9" s="190"/>
      <c r="J9" s="190"/>
      <c r="K9" s="190"/>
      <c r="L9" s="190"/>
      <c r="M9" s="190"/>
      <c r="N9" s="190"/>
      <c r="O9" s="190"/>
      <c r="P9" s="190"/>
      <c r="Q9" s="190"/>
      <c r="R9" s="190"/>
      <c r="S9" s="191"/>
    </row>
    <row r="10" spans="1:22" ht="18" customHeight="1" x14ac:dyDescent="0.2">
      <c r="B10" s="192"/>
      <c r="C10" s="193"/>
      <c r="D10" s="193"/>
      <c r="E10" s="193"/>
      <c r="F10" s="193"/>
      <c r="G10" s="193"/>
      <c r="H10" s="193"/>
      <c r="I10" s="193"/>
      <c r="J10" s="193"/>
      <c r="K10" s="193"/>
      <c r="L10" s="193"/>
      <c r="M10" s="193"/>
      <c r="N10" s="193"/>
      <c r="O10" s="193"/>
      <c r="P10" s="193"/>
      <c r="Q10" s="193"/>
      <c r="R10" s="193"/>
      <c r="S10" s="194"/>
    </row>
    <row r="11" spans="1:22" ht="6" customHeight="1" x14ac:dyDescent="0.2">
      <c r="B11" s="183"/>
      <c r="C11" s="183"/>
      <c r="D11" s="183"/>
      <c r="E11" s="183"/>
      <c r="F11" s="183"/>
      <c r="G11" s="183"/>
      <c r="H11" s="183"/>
      <c r="I11" s="183"/>
      <c r="J11" s="183"/>
      <c r="K11" s="188"/>
      <c r="L11" s="183"/>
      <c r="M11" s="183"/>
      <c r="N11" s="183"/>
      <c r="O11" s="183"/>
      <c r="P11" s="183"/>
      <c r="Q11" s="183"/>
      <c r="R11" s="183"/>
      <c r="S11" s="183"/>
    </row>
    <row r="12" spans="1:22" ht="18" customHeight="1" x14ac:dyDescent="0.2">
      <c r="A12" s="172" t="s">
        <v>111</v>
      </c>
      <c r="B12" s="183"/>
      <c r="C12" s="183"/>
      <c r="D12" s="179"/>
      <c r="E12" s="179"/>
      <c r="F12" s="179"/>
      <c r="G12" s="179"/>
      <c r="H12" s="179"/>
      <c r="I12" s="179"/>
      <c r="J12" s="179"/>
      <c r="K12" s="195"/>
      <c r="L12" s="195"/>
      <c r="M12" s="195"/>
      <c r="N12" s="195"/>
      <c r="O12" s="195"/>
      <c r="P12" s="195"/>
      <c r="Q12" s="195"/>
      <c r="R12" s="195"/>
      <c r="S12" s="195"/>
    </row>
    <row r="13" spans="1:22" ht="18" customHeight="1" x14ac:dyDescent="0.2">
      <c r="B13" s="196" t="s">
        <v>164</v>
      </c>
      <c r="C13" s="197"/>
      <c r="D13" s="197"/>
      <c r="E13" s="197"/>
      <c r="F13" s="197"/>
      <c r="G13" s="197"/>
      <c r="H13" s="197"/>
      <c r="I13" s="197"/>
      <c r="J13" s="197"/>
      <c r="K13" s="197"/>
      <c r="L13" s="197"/>
      <c r="M13" s="197"/>
      <c r="N13" s="197"/>
      <c r="O13" s="197"/>
      <c r="P13" s="197"/>
      <c r="Q13" s="197"/>
      <c r="R13" s="197"/>
      <c r="S13" s="198"/>
      <c r="V13" s="172" t="s">
        <v>103</v>
      </c>
    </row>
    <row r="14" spans="1:22" ht="18" customHeight="1" x14ac:dyDescent="0.2">
      <c r="B14" s="199"/>
      <c r="C14" s="200"/>
      <c r="D14" s="200"/>
      <c r="E14" s="200"/>
      <c r="F14" s="200"/>
      <c r="G14" s="200"/>
      <c r="H14" s="200"/>
      <c r="I14" s="200"/>
      <c r="J14" s="200"/>
      <c r="K14" s="200"/>
      <c r="L14" s="200"/>
      <c r="M14" s="200"/>
      <c r="N14" s="200"/>
      <c r="O14" s="200"/>
      <c r="P14" s="200"/>
      <c r="Q14" s="200"/>
      <c r="R14" s="200"/>
      <c r="S14" s="201"/>
      <c r="V14" s="172" t="s">
        <v>110</v>
      </c>
    </row>
    <row r="15" spans="1:22" ht="18" customHeight="1" x14ac:dyDescent="0.2">
      <c r="B15" s="199"/>
      <c r="C15" s="200"/>
      <c r="D15" s="200"/>
      <c r="E15" s="200"/>
      <c r="F15" s="200"/>
      <c r="G15" s="200"/>
      <c r="H15" s="200"/>
      <c r="I15" s="200"/>
      <c r="J15" s="200"/>
      <c r="K15" s="200"/>
      <c r="L15" s="200"/>
      <c r="M15" s="200"/>
      <c r="N15" s="200"/>
      <c r="O15" s="200"/>
      <c r="P15" s="200"/>
      <c r="Q15" s="200"/>
      <c r="R15" s="200"/>
      <c r="S15" s="201"/>
      <c r="V15" s="172" t="s">
        <v>123</v>
      </c>
    </row>
    <row r="16" spans="1:22" ht="18" customHeight="1" x14ac:dyDescent="0.2">
      <c r="B16" s="199"/>
      <c r="C16" s="200"/>
      <c r="D16" s="200"/>
      <c r="E16" s="200"/>
      <c r="F16" s="200"/>
      <c r="G16" s="200"/>
      <c r="H16" s="200"/>
      <c r="I16" s="200"/>
      <c r="J16" s="200"/>
      <c r="K16" s="200"/>
      <c r="L16" s="200"/>
      <c r="M16" s="200"/>
      <c r="N16" s="200"/>
      <c r="O16" s="200"/>
      <c r="P16" s="200"/>
      <c r="Q16" s="200"/>
      <c r="R16" s="200"/>
      <c r="S16" s="201"/>
      <c r="V16" s="172" t="s">
        <v>125</v>
      </c>
    </row>
    <row r="17" spans="1:19" ht="18" customHeight="1" x14ac:dyDescent="0.2">
      <c r="B17" s="199"/>
      <c r="C17" s="200"/>
      <c r="D17" s="200"/>
      <c r="E17" s="200"/>
      <c r="F17" s="200"/>
      <c r="G17" s="200"/>
      <c r="H17" s="200"/>
      <c r="I17" s="200"/>
      <c r="J17" s="200"/>
      <c r="K17" s="200"/>
      <c r="L17" s="200"/>
      <c r="M17" s="200"/>
      <c r="N17" s="200"/>
      <c r="O17" s="200"/>
      <c r="P17" s="200"/>
      <c r="Q17" s="200"/>
      <c r="R17" s="200"/>
      <c r="S17" s="201"/>
    </row>
    <row r="18" spans="1:19" ht="18" customHeight="1" x14ac:dyDescent="0.2">
      <c r="B18" s="202"/>
      <c r="C18" s="203"/>
      <c r="D18" s="203"/>
      <c r="E18" s="203"/>
      <c r="F18" s="203"/>
      <c r="G18" s="203"/>
      <c r="H18" s="203"/>
      <c r="I18" s="203"/>
      <c r="J18" s="203"/>
      <c r="K18" s="203"/>
      <c r="L18" s="203"/>
      <c r="M18" s="203"/>
      <c r="N18" s="203"/>
      <c r="O18" s="203"/>
      <c r="P18" s="203"/>
      <c r="Q18" s="203"/>
      <c r="R18" s="203"/>
      <c r="S18" s="204"/>
    </row>
    <row r="19" spans="1:19" ht="7.5" customHeight="1" x14ac:dyDescent="0.2">
      <c r="B19" s="183"/>
      <c r="C19" s="183"/>
      <c r="D19" s="183"/>
      <c r="E19" s="183"/>
      <c r="F19" s="183"/>
      <c r="G19" s="183"/>
      <c r="H19" s="183"/>
      <c r="I19" s="183"/>
      <c r="J19" s="183"/>
      <c r="K19" s="183"/>
      <c r="L19" s="183"/>
      <c r="M19" s="183"/>
      <c r="N19" s="183"/>
      <c r="O19" s="183"/>
      <c r="P19" s="183"/>
      <c r="Q19" s="183"/>
      <c r="R19" s="183"/>
      <c r="S19" s="183"/>
    </row>
    <row r="20" spans="1:19" ht="19.95" customHeight="1" x14ac:dyDescent="0.2">
      <c r="B20" s="172" t="s">
        <v>112</v>
      </c>
      <c r="C20" s="176">
        <v>2</v>
      </c>
      <c r="D20" s="178"/>
      <c r="E20" s="205" t="s">
        <v>95</v>
      </c>
      <c r="G20" s="188"/>
      <c r="H20" s="183"/>
      <c r="I20" s="183"/>
      <c r="J20" s="179" t="s">
        <v>121</v>
      </c>
      <c r="K20" s="206" t="s">
        <v>110</v>
      </c>
      <c r="L20" s="207"/>
      <c r="M20" s="207"/>
      <c r="N20" s="207"/>
      <c r="O20" s="207"/>
      <c r="P20" s="207"/>
      <c r="Q20" s="207"/>
      <c r="R20" s="207"/>
      <c r="S20" s="208"/>
    </row>
    <row r="21" spans="1:19" ht="7.5" customHeight="1" x14ac:dyDescent="0.2">
      <c r="B21" s="183"/>
      <c r="C21" s="183"/>
      <c r="D21" s="183"/>
      <c r="E21" s="183"/>
      <c r="F21" s="183"/>
      <c r="G21" s="183"/>
      <c r="H21" s="183"/>
      <c r="I21" s="183"/>
      <c r="J21" s="183"/>
      <c r="K21" s="183"/>
      <c r="L21" s="183"/>
      <c r="M21" s="183"/>
      <c r="N21" s="183"/>
      <c r="O21" s="183"/>
      <c r="P21" s="183"/>
      <c r="Q21" s="183"/>
      <c r="R21" s="183"/>
      <c r="S21" s="183"/>
    </row>
    <row r="22" spans="1:19" ht="18" customHeight="1" x14ac:dyDescent="0.2">
      <c r="A22" s="209" t="s">
        <v>113</v>
      </c>
      <c r="B22" s="209"/>
      <c r="C22" s="209"/>
      <c r="D22" s="209"/>
      <c r="E22" s="209"/>
      <c r="F22" s="209"/>
      <c r="G22" s="209"/>
      <c r="H22" s="209"/>
      <c r="I22" s="209"/>
      <c r="J22" s="209"/>
      <c r="K22" s="209"/>
      <c r="L22" s="209"/>
      <c r="M22" s="209"/>
      <c r="N22" s="209"/>
      <c r="O22" s="209"/>
      <c r="P22" s="209"/>
      <c r="Q22" s="209"/>
      <c r="R22" s="209"/>
      <c r="S22" s="209"/>
    </row>
    <row r="23" spans="1:19" ht="18" customHeight="1" x14ac:dyDescent="0.2">
      <c r="A23" s="209"/>
      <c r="B23" s="209"/>
      <c r="C23" s="209"/>
      <c r="D23" s="209"/>
      <c r="E23" s="209"/>
      <c r="F23" s="209"/>
      <c r="G23" s="209"/>
      <c r="H23" s="209"/>
      <c r="I23" s="209"/>
      <c r="J23" s="209"/>
      <c r="K23" s="209"/>
      <c r="L23" s="209"/>
      <c r="M23" s="209"/>
      <c r="N23" s="209"/>
      <c r="O23" s="209"/>
      <c r="P23" s="209"/>
      <c r="Q23" s="209"/>
      <c r="R23" s="209"/>
      <c r="S23" s="209"/>
    </row>
    <row r="24" spans="1:19" ht="18" customHeight="1" x14ac:dyDescent="0.2">
      <c r="B24" s="176" t="s">
        <v>53</v>
      </c>
      <c r="C24" s="177"/>
      <c r="D24" s="177"/>
      <c r="E24" s="178"/>
      <c r="F24" s="210" t="s">
        <v>80</v>
      </c>
      <c r="G24" s="211" t="s">
        <v>84</v>
      </c>
      <c r="H24" s="212" t="s">
        <v>56</v>
      </c>
      <c r="I24" s="212" t="s">
        <v>59</v>
      </c>
      <c r="J24" s="176" t="s">
        <v>53</v>
      </c>
      <c r="K24" s="177"/>
      <c r="L24" s="177"/>
      <c r="M24" s="177"/>
      <c r="N24" s="177"/>
      <c r="O24" s="178"/>
      <c r="P24" s="210" t="s">
        <v>80</v>
      </c>
      <c r="Q24" s="211" t="s">
        <v>84</v>
      </c>
      <c r="R24" s="212" t="s">
        <v>56</v>
      </c>
      <c r="S24" s="212" t="s">
        <v>59</v>
      </c>
    </row>
    <row r="25" spans="1:19" ht="18" customHeight="1" x14ac:dyDescent="0.2">
      <c r="B25" s="213" t="s">
        <v>160</v>
      </c>
      <c r="C25" s="214"/>
      <c r="D25" s="214"/>
      <c r="E25" s="215"/>
      <c r="F25" s="216">
        <v>2</v>
      </c>
      <c r="G25" s="216" t="s">
        <v>159</v>
      </c>
      <c r="H25" s="216" t="s">
        <v>159</v>
      </c>
      <c r="I25" s="216" t="s">
        <v>159</v>
      </c>
      <c r="J25" s="213"/>
      <c r="K25" s="214"/>
      <c r="L25" s="214"/>
      <c r="M25" s="214"/>
      <c r="N25" s="214"/>
      <c r="O25" s="215"/>
      <c r="P25" s="216"/>
      <c r="Q25" s="216"/>
      <c r="R25" s="216"/>
      <c r="S25" s="216"/>
    </row>
    <row r="26" spans="1:19" ht="18" customHeight="1" x14ac:dyDescent="0.2">
      <c r="B26" s="217"/>
      <c r="C26" s="218"/>
      <c r="D26" s="218"/>
      <c r="E26" s="219"/>
      <c r="F26" s="220"/>
      <c r="G26" s="220"/>
      <c r="H26" s="220"/>
      <c r="I26" s="220"/>
      <c r="J26" s="217"/>
      <c r="K26" s="218"/>
      <c r="L26" s="218"/>
      <c r="M26" s="218"/>
      <c r="N26" s="218"/>
      <c r="O26" s="219"/>
      <c r="P26" s="220"/>
      <c r="Q26" s="220"/>
      <c r="R26" s="220"/>
      <c r="S26" s="220"/>
    </row>
    <row r="27" spans="1:19" ht="18" customHeight="1" x14ac:dyDescent="0.2">
      <c r="B27" s="217"/>
      <c r="C27" s="218"/>
      <c r="D27" s="218"/>
      <c r="E27" s="219"/>
      <c r="F27" s="220"/>
      <c r="G27" s="220"/>
      <c r="H27" s="220"/>
      <c r="I27" s="220"/>
      <c r="J27" s="217"/>
      <c r="K27" s="218"/>
      <c r="L27" s="218"/>
      <c r="M27" s="218"/>
      <c r="N27" s="218"/>
      <c r="O27" s="219"/>
      <c r="P27" s="220"/>
      <c r="Q27" s="220"/>
      <c r="R27" s="220"/>
      <c r="S27" s="220"/>
    </row>
    <row r="28" spans="1:19" ht="18" customHeight="1" x14ac:dyDescent="0.2">
      <c r="B28" s="217"/>
      <c r="C28" s="218"/>
      <c r="D28" s="218"/>
      <c r="E28" s="219"/>
      <c r="F28" s="220"/>
      <c r="G28" s="220"/>
      <c r="H28" s="220"/>
      <c r="I28" s="220"/>
      <c r="J28" s="217"/>
      <c r="K28" s="218"/>
      <c r="L28" s="218"/>
      <c r="M28" s="218"/>
      <c r="N28" s="218"/>
      <c r="O28" s="219"/>
      <c r="P28" s="220"/>
      <c r="Q28" s="220"/>
      <c r="R28" s="220"/>
      <c r="S28" s="220"/>
    </row>
    <row r="29" spans="1:19" ht="18" customHeight="1" x14ac:dyDescent="0.2">
      <c r="B29" s="217"/>
      <c r="C29" s="218"/>
      <c r="D29" s="218"/>
      <c r="E29" s="219"/>
      <c r="F29" s="220"/>
      <c r="G29" s="220"/>
      <c r="H29" s="220"/>
      <c r="I29" s="220"/>
      <c r="J29" s="217"/>
      <c r="K29" s="218"/>
      <c r="L29" s="218"/>
      <c r="M29" s="218"/>
      <c r="N29" s="218"/>
      <c r="O29" s="219"/>
      <c r="P29" s="220"/>
      <c r="Q29" s="220"/>
      <c r="R29" s="220"/>
      <c r="S29" s="220"/>
    </row>
    <row r="30" spans="1:19" ht="18" customHeight="1" x14ac:dyDescent="0.2">
      <c r="A30" s="183"/>
      <c r="B30" s="217"/>
      <c r="C30" s="218"/>
      <c r="D30" s="218"/>
      <c r="E30" s="219"/>
      <c r="F30" s="220"/>
      <c r="G30" s="220"/>
      <c r="H30" s="220"/>
      <c r="I30" s="220"/>
      <c r="J30" s="217"/>
      <c r="K30" s="218"/>
      <c r="L30" s="218"/>
      <c r="M30" s="218"/>
      <c r="N30" s="218"/>
      <c r="O30" s="219"/>
      <c r="P30" s="220"/>
      <c r="Q30" s="220"/>
      <c r="R30" s="220"/>
      <c r="S30" s="220"/>
    </row>
    <row r="31" spans="1:19" ht="18" customHeight="1" x14ac:dyDescent="0.2">
      <c r="A31" s="183"/>
      <c r="B31" s="221"/>
      <c r="C31" s="222"/>
      <c r="D31" s="222"/>
      <c r="E31" s="223"/>
      <c r="F31" s="224"/>
      <c r="G31" s="224"/>
      <c r="H31" s="225"/>
      <c r="I31" s="225"/>
      <c r="J31" s="221"/>
      <c r="K31" s="222"/>
      <c r="L31" s="222"/>
      <c r="M31" s="222"/>
      <c r="N31" s="222"/>
      <c r="O31" s="223"/>
      <c r="P31" s="224"/>
      <c r="Q31" s="224"/>
      <c r="R31" s="225"/>
      <c r="S31" s="225"/>
    </row>
    <row r="32" spans="1:19" ht="7.5" customHeight="1" x14ac:dyDescent="0.2">
      <c r="A32" s="183"/>
      <c r="B32" s="180"/>
      <c r="C32" s="180"/>
      <c r="D32" s="183"/>
      <c r="E32" s="183"/>
      <c r="F32" s="183"/>
      <c r="G32" s="183"/>
      <c r="H32" s="180"/>
      <c r="I32" s="180"/>
      <c r="J32" s="180"/>
      <c r="K32" s="180"/>
      <c r="L32" s="180"/>
      <c r="M32" s="180"/>
      <c r="N32" s="180"/>
      <c r="O32" s="180"/>
      <c r="P32" s="180"/>
      <c r="Q32" s="180"/>
      <c r="R32" s="180"/>
      <c r="S32" s="183"/>
    </row>
    <row r="33" spans="1:19" ht="18" customHeight="1" x14ac:dyDescent="0.2">
      <c r="A33" s="209" t="s">
        <v>114</v>
      </c>
      <c r="B33" s="209"/>
      <c r="C33" s="209"/>
      <c r="D33" s="209"/>
      <c r="E33" s="209"/>
      <c r="F33" s="209"/>
      <c r="G33" s="209"/>
      <c r="H33" s="209"/>
      <c r="I33" s="209"/>
      <c r="J33" s="209"/>
      <c r="K33" s="209"/>
      <c r="L33" s="209"/>
      <c r="M33" s="209"/>
      <c r="N33" s="209"/>
      <c r="O33" s="209"/>
      <c r="P33" s="209"/>
      <c r="Q33" s="209"/>
      <c r="R33" s="209"/>
      <c r="S33" s="209"/>
    </row>
    <row r="34" spans="1:19" ht="18" customHeight="1" x14ac:dyDescent="0.2">
      <c r="A34" s="209"/>
      <c r="B34" s="209"/>
      <c r="C34" s="209"/>
      <c r="D34" s="209"/>
      <c r="E34" s="209"/>
      <c r="F34" s="209"/>
      <c r="G34" s="209"/>
      <c r="H34" s="209"/>
      <c r="I34" s="209"/>
      <c r="J34" s="209"/>
      <c r="K34" s="209"/>
      <c r="L34" s="209"/>
      <c r="M34" s="209"/>
      <c r="N34" s="209"/>
      <c r="O34" s="209"/>
      <c r="P34" s="209"/>
      <c r="Q34" s="209"/>
      <c r="R34" s="209"/>
      <c r="S34" s="209"/>
    </row>
    <row r="35" spans="1:19" ht="18" customHeight="1" x14ac:dyDescent="0.2">
      <c r="B35" s="176" t="s">
        <v>53</v>
      </c>
      <c r="C35" s="177"/>
      <c r="D35" s="177"/>
      <c r="E35" s="178"/>
      <c r="F35" s="210" t="s">
        <v>80</v>
      </c>
      <c r="G35" s="211" t="s">
        <v>84</v>
      </c>
      <c r="H35" s="212" t="s">
        <v>71</v>
      </c>
      <c r="I35" s="212" t="s">
        <v>72</v>
      </c>
      <c r="J35" s="176" t="s">
        <v>53</v>
      </c>
      <c r="K35" s="177"/>
      <c r="L35" s="177"/>
      <c r="M35" s="177"/>
      <c r="N35" s="177"/>
      <c r="O35" s="178"/>
      <c r="P35" s="210" t="s">
        <v>80</v>
      </c>
      <c r="Q35" s="211" t="s">
        <v>84</v>
      </c>
      <c r="R35" s="212" t="s">
        <v>71</v>
      </c>
      <c r="S35" s="212" t="s">
        <v>72</v>
      </c>
    </row>
    <row r="36" spans="1:19" ht="18" customHeight="1" x14ac:dyDescent="0.2">
      <c r="B36" s="213" t="s">
        <v>160</v>
      </c>
      <c r="C36" s="214"/>
      <c r="D36" s="214"/>
      <c r="E36" s="215"/>
      <c r="F36" s="216">
        <v>2</v>
      </c>
      <c r="G36" s="216" t="s">
        <v>159</v>
      </c>
      <c r="H36" s="216" t="s">
        <v>159</v>
      </c>
      <c r="I36" s="216" t="s">
        <v>159</v>
      </c>
      <c r="J36" s="213"/>
      <c r="K36" s="214"/>
      <c r="L36" s="214"/>
      <c r="M36" s="214"/>
      <c r="N36" s="214"/>
      <c r="O36" s="215"/>
      <c r="P36" s="216"/>
      <c r="Q36" s="216"/>
      <c r="R36" s="216"/>
      <c r="S36" s="216"/>
    </row>
    <row r="37" spans="1:19" ht="18" customHeight="1" x14ac:dyDescent="0.2">
      <c r="B37" s="217"/>
      <c r="C37" s="218"/>
      <c r="D37" s="218"/>
      <c r="E37" s="219"/>
      <c r="F37" s="220"/>
      <c r="G37" s="220"/>
      <c r="H37" s="220"/>
      <c r="I37" s="220"/>
      <c r="J37" s="217"/>
      <c r="K37" s="218"/>
      <c r="L37" s="218"/>
      <c r="M37" s="218"/>
      <c r="N37" s="218"/>
      <c r="O37" s="219"/>
      <c r="P37" s="220"/>
      <c r="Q37" s="220"/>
      <c r="R37" s="220"/>
      <c r="S37" s="220"/>
    </row>
    <row r="38" spans="1:19" ht="18" customHeight="1" x14ac:dyDescent="0.2">
      <c r="B38" s="217"/>
      <c r="C38" s="218"/>
      <c r="D38" s="218"/>
      <c r="E38" s="219"/>
      <c r="F38" s="220"/>
      <c r="G38" s="220"/>
      <c r="H38" s="220"/>
      <c r="I38" s="220"/>
      <c r="J38" s="217"/>
      <c r="K38" s="218"/>
      <c r="L38" s="218"/>
      <c r="M38" s="218"/>
      <c r="N38" s="218"/>
      <c r="O38" s="219"/>
      <c r="P38" s="220"/>
      <c r="Q38" s="220"/>
      <c r="R38" s="220"/>
      <c r="S38" s="220"/>
    </row>
    <row r="39" spans="1:19" ht="18" customHeight="1" x14ac:dyDescent="0.2">
      <c r="B39" s="217"/>
      <c r="C39" s="218"/>
      <c r="D39" s="218"/>
      <c r="E39" s="219"/>
      <c r="F39" s="220"/>
      <c r="G39" s="220"/>
      <c r="H39" s="220"/>
      <c r="I39" s="220"/>
      <c r="J39" s="217"/>
      <c r="K39" s="218"/>
      <c r="L39" s="218"/>
      <c r="M39" s="218"/>
      <c r="N39" s="218"/>
      <c r="O39" s="219"/>
      <c r="P39" s="220"/>
      <c r="Q39" s="220"/>
      <c r="R39" s="220"/>
      <c r="S39" s="220"/>
    </row>
    <row r="40" spans="1:19" ht="18" customHeight="1" x14ac:dyDescent="0.2">
      <c r="B40" s="217"/>
      <c r="C40" s="218"/>
      <c r="D40" s="218"/>
      <c r="E40" s="219"/>
      <c r="F40" s="220"/>
      <c r="G40" s="220"/>
      <c r="H40" s="220"/>
      <c r="I40" s="220"/>
      <c r="J40" s="217"/>
      <c r="K40" s="218"/>
      <c r="L40" s="218"/>
      <c r="M40" s="218"/>
      <c r="N40" s="218"/>
      <c r="O40" s="219"/>
      <c r="P40" s="220"/>
      <c r="Q40" s="220"/>
      <c r="R40" s="220"/>
      <c r="S40" s="220"/>
    </row>
    <row r="41" spans="1:19" ht="18" customHeight="1" x14ac:dyDescent="0.2">
      <c r="B41" s="217"/>
      <c r="C41" s="218"/>
      <c r="D41" s="218"/>
      <c r="E41" s="219"/>
      <c r="F41" s="220"/>
      <c r="G41" s="220"/>
      <c r="H41" s="220"/>
      <c r="I41" s="220"/>
      <c r="J41" s="217"/>
      <c r="K41" s="218"/>
      <c r="L41" s="218"/>
      <c r="M41" s="218"/>
      <c r="N41" s="218"/>
      <c r="O41" s="219"/>
      <c r="P41" s="220"/>
      <c r="Q41" s="220"/>
      <c r="R41" s="220"/>
      <c r="S41" s="220"/>
    </row>
    <row r="42" spans="1:19" ht="18" customHeight="1" x14ac:dyDescent="0.2">
      <c r="B42" s="221"/>
      <c r="C42" s="222"/>
      <c r="D42" s="222"/>
      <c r="E42" s="223"/>
      <c r="F42" s="224"/>
      <c r="G42" s="224"/>
      <c r="H42" s="225"/>
      <c r="I42" s="225"/>
      <c r="J42" s="221"/>
      <c r="K42" s="222"/>
      <c r="L42" s="222"/>
      <c r="M42" s="222"/>
      <c r="N42" s="222"/>
      <c r="O42" s="223"/>
      <c r="P42" s="224"/>
      <c r="Q42" s="224"/>
      <c r="R42" s="225"/>
      <c r="S42" s="225"/>
    </row>
    <row r="43" spans="1:19" ht="7.5" customHeight="1" x14ac:dyDescent="0.2">
      <c r="A43" s="183"/>
      <c r="B43" s="180"/>
      <c r="C43" s="180"/>
      <c r="D43" s="183"/>
      <c r="E43" s="183"/>
      <c r="F43" s="183"/>
      <c r="G43" s="183"/>
      <c r="H43" s="180"/>
      <c r="I43" s="180"/>
      <c r="J43" s="180"/>
      <c r="K43" s="180"/>
      <c r="L43" s="180"/>
      <c r="M43" s="180"/>
      <c r="N43" s="180"/>
      <c r="O43" s="180"/>
      <c r="P43" s="180"/>
      <c r="Q43" s="180"/>
      <c r="R43" s="180"/>
      <c r="S43" s="183"/>
    </row>
    <row r="44" spans="1:19" ht="18" customHeight="1" x14ac:dyDescent="0.2">
      <c r="A44" s="209" t="s">
        <v>115</v>
      </c>
      <c r="B44" s="209"/>
      <c r="C44" s="209"/>
      <c r="D44" s="209"/>
      <c r="E44" s="209"/>
      <c r="F44" s="209"/>
      <c r="G44" s="209"/>
      <c r="H44" s="209"/>
      <c r="I44" s="209"/>
      <c r="J44" s="209"/>
      <c r="K44" s="209"/>
      <c r="L44" s="209"/>
      <c r="M44" s="209"/>
      <c r="N44" s="209"/>
      <c r="O44" s="209"/>
      <c r="P44" s="209"/>
      <c r="Q44" s="209"/>
      <c r="R44" s="209"/>
      <c r="S44" s="209"/>
    </row>
    <row r="45" spans="1:19" ht="18" customHeight="1" x14ac:dyDescent="0.2">
      <c r="A45" s="209"/>
      <c r="B45" s="209"/>
      <c r="C45" s="209"/>
      <c r="D45" s="209"/>
      <c r="E45" s="209"/>
      <c r="F45" s="209"/>
      <c r="G45" s="209"/>
      <c r="H45" s="209"/>
      <c r="I45" s="209"/>
      <c r="J45" s="209"/>
      <c r="K45" s="209"/>
      <c r="L45" s="209"/>
      <c r="M45" s="209"/>
      <c r="N45" s="209"/>
      <c r="O45" s="209"/>
      <c r="P45" s="209"/>
      <c r="Q45" s="209"/>
      <c r="R45" s="209"/>
      <c r="S45" s="209"/>
    </row>
    <row r="46" spans="1:19" ht="18" customHeight="1" x14ac:dyDescent="0.2">
      <c r="B46" s="176" t="s">
        <v>53</v>
      </c>
      <c r="C46" s="177"/>
      <c r="D46" s="177"/>
      <c r="E46" s="178"/>
      <c r="F46" s="210" t="s">
        <v>80</v>
      </c>
      <c r="G46" s="211" t="s">
        <v>84</v>
      </c>
      <c r="H46" s="212" t="s">
        <v>73</v>
      </c>
      <c r="I46" s="212" t="s">
        <v>74</v>
      </c>
      <c r="J46" s="176" t="s">
        <v>53</v>
      </c>
      <c r="K46" s="177"/>
      <c r="L46" s="177"/>
      <c r="M46" s="177"/>
      <c r="N46" s="177"/>
      <c r="O46" s="178"/>
      <c r="P46" s="210" t="s">
        <v>80</v>
      </c>
      <c r="Q46" s="211" t="s">
        <v>84</v>
      </c>
      <c r="R46" s="212" t="s">
        <v>73</v>
      </c>
      <c r="S46" s="212" t="s">
        <v>74</v>
      </c>
    </row>
    <row r="47" spans="1:19" ht="18" customHeight="1" x14ac:dyDescent="0.2">
      <c r="A47" s="183"/>
      <c r="B47" s="213" t="s">
        <v>160</v>
      </c>
      <c r="C47" s="214"/>
      <c r="D47" s="214"/>
      <c r="E47" s="215"/>
      <c r="F47" s="216">
        <v>2</v>
      </c>
      <c r="G47" s="216" t="s">
        <v>159</v>
      </c>
      <c r="H47" s="216" t="s">
        <v>159</v>
      </c>
      <c r="I47" s="216" t="s">
        <v>159</v>
      </c>
      <c r="J47" s="213"/>
      <c r="K47" s="214"/>
      <c r="L47" s="214"/>
      <c r="M47" s="214"/>
      <c r="N47" s="214"/>
      <c r="O47" s="215"/>
      <c r="P47" s="216"/>
      <c r="Q47" s="216"/>
      <c r="R47" s="216"/>
      <c r="S47" s="216"/>
    </row>
    <row r="48" spans="1:19" ht="18" customHeight="1" x14ac:dyDescent="0.2">
      <c r="A48" s="183"/>
      <c r="B48" s="217"/>
      <c r="C48" s="218"/>
      <c r="D48" s="218"/>
      <c r="E48" s="219"/>
      <c r="F48" s="220"/>
      <c r="G48" s="220"/>
      <c r="H48" s="220"/>
      <c r="I48" s="220"/>
      <c r="J48" s="217"/>
      <c r="K48" s="218"/>
      <c r="L48" s="218"/>
      <c r="M48" s="218"/>
      <c r="N48" s="218"/>
      <c r="O48" s="219"/>
      <c r="P48" s="220"/>
      <c r="Q48" s="220"/>
      <c r="R48" s="220"/>
      <c r="S48" s="220"/>
    </row>
    <row r="49" spans="1:19" ht="18" customHeight="1" x14ac:dyDescent="0.2">
      <c r="A49" s="183"/>
      <c r="B49" s="217"/>
      <c r="C49" s="218"/>
      <c r="D49" s="218"/>
      <c r="E49" s="219"/>
      <c r="F49" s="220"/>
      <c r="G49" s="220"/>
      <c r="H49" s="220"/>
      <c r="I49" s="220"/>
      <c r="J49" s="217"/>
      <c r="K49" s="218"/>
      <c r="L49" s="218"/>
      <c r="M49" s="218"/>
      <c r="N49" s="218"/>
      <c r="O49" s="219"/>
      <c r="P49" s="220"/>
      <c r="Q49" s="220"/>
      <c r="R49" s="220"/>
      <c r="S49" s="220"/>
    </row>
    <row r="50" spans="1:19" ht="18" customHeight="1" x14ac:dyDescent="0.2">
      <c r="A50" s="183"/>
      <c r="B50" s="217"/>
      <c r="C50" s="218"/>
      <c r="D50" s="218"/>
      <c r="E50" s="219"/>
      <c r="F50" s="220"/>
      <c r="G50" s="220"/>
      <c r="H50" s="220"/>
      <c r="I50" s="220"/>
      <c r="J50" s="217"/>
      <c r="K50" s="218"/>
      <c r="L50" s="218"/>
      <c r="M50" s="218"/>
      <c r="N50" s="218"/>
      <c r="O50" s="219"/>
      <c r="P50" s="220"/>
      <c r="Q50" s="220"/>
      <c r="R50" s="220"/>
      <c r="S50" s="220"/>
    </row>
    <row r="51" spans="1:19" ht="18" customHeight="1" x14ac:dyDescent="0.2">
      <c r="A51" s="183"/>
      <c r="B51" s="217"/>
      <c r="C51" s="218"/>
      <c r="D51" s="218"/>
      <c r="E51" s="219"/>
      <c r="F51" s="220"/>
      <c r="G51" s="220"/>
      <c r="H51" s="220"/>
      <c r="I51" s="220"/>
      <c r="J51" s="217"/>
      <c r="K51" s="218"/>
      <c r="L51" s="218"/>
      <c r="M51" s="218"/>
      <c r="N51" s="218"/>
      <c r="O51" s="219"/>
      <c r="P51" s="220"/>
      <c r="Q51" s="220"/>
      <c r="R51" s="220"/>
      <c r="S51" s="220"/>
    </row>
    <row r="52" spans="1:19" ht="18" customHeight="1" x14ac:dyDescent="0.2">
      <c r="A52" s="183"/>
      <c r="B52" s="217"/>
      <c r="C52" s="218"/>
      <c r="D52" s="218"/>
      <c r="E52" s="219"/>
      <c r="F52" s="220"/>
      <c r="G52" s="220"/>
      <c r="H52" s="220"/>
      <c r="I52" s="220"/>
      <c r="J52" s="217"/>
      <c r="K52" s="218"/>
      <c r="L52" s="218"/>
      <c r="M52" s="218"/>
      <c r="N52" s="218"/>
      <c r="O52" s="219"/>
      <c r="P52" s="220"/>
      <c r="Q52" s="220"/>
      <c r="R52" s="220"/>
      <c r="S52" s="220"/>
    </row>
    <row r="53" spans="1:19" ht="18" customHeight="1" x14ac:dyDescent="0.2">
      <c r="A53" s="183"/>
      <c r="B53" s="221"/>
      <c r="C53" s="222"/>
      <c r="D53" s="222"/>
      <c r="E53" s="223"/>
      <c r="F53" s="224"/>
      <c r="G53" s="224"/>
      <c r="H53" s="225"/>
      <c r="I53" s="225"/>
      <c r="J53" s="221"/>
      <c r="K53" s="222"/>
      <c r="L53" s="222"/>
      <c r="M53" s="222"/>
      <c r="N53" s="222"/>
      <c r="O53" s="223"/>
      <c r="P53" s="224"/>
      <c r="Q53" s="224"/>
      <c r="R53" s="225"/>
      <c r="S53" s="225"/>
    </row>
    <row r="54" spans="1:19" ht="7.5" customHeight="1" x14ac:dyDescent="0.2">
      <c r="B54" s="226"/>
      <c r="C54" s="226"/>
      <c r="D54" s="226"/>
      <c r="E54" s="226"/>
      <c r="F54" s="226"/>
      <c r="G54" s="226"/>
      <c r="H54" s="226"/>
      <c r="I54" s="226"/>
      <c r="J54" s="226"/>
      <c r="K54" s="226"/>
      <c r="L54" s="226"/>
      <c r="M54" s="226"/>
      <c r="N54" s="226"/>
      <c r="O54" s="226"/>
      <c r="P54" s="226"/>
      <c r="Q54" s="226"/>
      <c r="R54" s="226"/>
    </row>
    <row r="55" spans="1:19" ht="18" customHeight="1" x14ac:dyDescent="0.2">
      <c r="A55" s="209" t="s">
        <v>116</v>
      </c>
      <c r="B55" s="209"/>
      <c r="C55" s="209"/>
      <c r="D55" s="209"/>
      <c r="E55" s="209"/>
      <c r="F55" s="209"/>
      <c r="G55" s="209"/>
      <c r="H55" s="209"/>
      <c r="I55" s="209"/>
      <c r="J55" s="209"/>
      <c r="K55" s="209"/>
      <c r="L55" s="209"/>
      <c r="M55" s="209"/>
      <c r="N55" s="209"/>
      <c r="O55" s="209"/>
      <c r="P55" s="209"/>
      <c r="Q55" s="209"/>
      <c r="R55" s="209"/>
      <c r="S55" s="209"/>
    </row>
    <row r="56" spans="1:19" ht="18" customHeight="1" x14ac:dyDescent="0.2">
      <c r="A56" s="209"/>
      <c r="B56" s="209"/>
      <c r="C56" s="209"/>
      <c r="D56" s="209"/>
      <c r="E56" s="209"/>
      <c r="F56" s="209"/>
      <c r="G56" s="209"/>
      <c r="H56" s="209"/>
      <c r="I56" s="209"/>
      <c r="J56" s="209"/>
      <c r="K56" s="209"/>
      <c r="L56" s="209"/>
      <c r="M56" s="209"/>
      <c r="N56" s="209"/>
      <c r="O56" s="209"/>
      <c r="P56" s="209"/>
      <c r="Q56" s="209"/>
      <c r="R56" s="209"/>
      <c r="S56" s="209"/>
    </row>
    <row r="57" spans="1:19" ht="18" customHeight="1" x14ac:dyDescent="0.2">
      <c r="B57" s="176" t="s">
        <v>53</v>
      </c>
      <c r="C57" s="177"/>
      <c r="D57" s="177"/>
      <c r="E57" s="178"/>
      <c r="F57" s="210" t="s">
        <v>80</v>
      </c>
      <c r="G57" s="211" t="s">
        <v>84</v>
      </c>
      <c r="H57" s="212" t="s">
        <v>58</v>
      </c>
      <c r="I57" s="212" t="s">
        <v>60</v>
      </c>
      <c r="J57" s="176" t="s">
        <v>53</v>
      </c>
      <c r="K57" s="177"/>
      <c r="L57" s="177"/>
      <c r="M57" s="177"/>
      <c r="N57" s="177"/>
      <c r="O57" s="178"/>
      <c r="P57" s="210" t="s">
        <v>80</v>
      </c>
      <c r="Q57" s="211" t="s">
        <v>84</v>
      </c>
      <c r="R57" s="212" t="s">
        <v>58</v>
      </c>
      <c r="S57" s="212" t="s">
        <v>60</v>
      </c>
    </row>
    <row r="58" spans="1:19" ht="18" customHeight="1" x14ac:dyDescent="0.2">
      <c r="A58" s="183"/>
      <c r="B58" s="213" t="s">
        <v>160</v>
      </c>
      <c r="C58" s="214"/>
      <c r="D58" s="214"/>
      <c r="E58" s="215"/>
      <c r="F58" s="216">
        <v>2</v>
      </c>
      <c r="G58" s="216" t="s">
        <v>159</v>
      </c>
      <c r="H58" s="216" t="s">
        <v>159</v>
      </c>
      <c r="I58" s="216" t="s">
        <v>159</v>
      </c>
      <c r="J58" s="213"/>
      <c r="K58" s="214"/>
      <c r="L58" s="214"/>
      <c r="M58" s="214"/>
      <c r="N58" s="214"/>
      <c r="O58" s="215"/>
      <c r="P58" s="216"/>
      <c r="Q58" s="216"/>
      <c r="R58" s="216"/>
      <c r="S58" s="216"/>
    </row>
    <row r="59" spans="1:19" ht="18" customHeight="1" x14ac:dyDescent="0.2">
      <c r="A59" s="183"/>
      <c r="B59" s="217"/>
      <c r="C59" s="218"/>
      <c r="D59" s="218"/>
      <c r="E59" s="219"/>
      <c r="F59" s="220"/>
      <c r="G59" s="220"/>
      <c r="H59" s="220"/>
      <c r="I59" s="220"/>
      <c r="J59" s="217"/>
      <c r="K59" s="218"/>
      <c r="L59" s="218"/>
      <c r="M59" s="218"/>
      <c r="N59" s="218"/>
      <c r="O59" s="219"/>
      <c r="P59" s="220"/>
      <c r="Q59" s="220"/>
      <c r="R59" s="220"/>
      <c r="S59" s="220"/>
    </row>
    <row r="60" spans="1:19" ht="18" customHeight="1" x14ac:dyDescent="0.2">
      <c r="A60" s="183"/>
      <c r="B60" s="217"/>
      <c r="C60" s="218"/>
      <c r="D60" s="218"/>
      <c r="E60" s="219"/>
      <c r="F60" s="220"/>
      <c r="G60" s="220"/>
      <c r="H60" s="220"/>
      <c r="I60" s="220"/>
      <c r="J60" s="217"/>
      <c r="K60" s="218"/>
      <c r="L60" s="218"/>
      <c r="M60" s="218"/>
      <c r="N60" s="218"/>
      <c r="O60" s="219"/>
      <c r="P60" s="220"/>
      <c r="Q60" s="220"/>
      <c r="R60" s="220"/>
      <c r="S60" s="220"/>
    </row>
    <row r="61" spans="1:19" ht="18" customHeight="1" x14ac:dyDescent="0.2">
      <c r="A61" s="183"/>
      <c r="B61" s="217"/>
      <c r="C61" s="218"/>
      <c r="D61" s="218"/>
      <c r="E61" s="219"/>
      <c r="F61" s="220"/>
      <c r="G61" s="220"/>
      <c r="H61" s="220"/>
      <c r="I61" s="220"/>
      <c r="J61" s="217"/>
      <c r="K61" s="218"/>
      <c r="L61" s="218"/>
      <c r="M61" s="218"/>
      <c r="N61" s="218"/>
      <c r="O61" s="219"/>
      <c r="P61" s="220"/>
      <c r="Q61" s="220"/>
      <c r="R61" s="220"/>
      <c r="S61" s="220"/>
    </row>
    <row r="62" spans="1:19" ht="18" customHeight="1" x14ac:dyDescent="0.2">
      <c r="A62" s="183"/>
      <c r="B62" s="217"/>
      <c r="C62" s="218"/>
      <c r="D62" s="218"/>
      <c r="E62" s="219"/>
      <c r="F62" s="220"/>
      <c r="G62" s="220"/>
      <c r="H62" s="220"/>
      <c r="I62" s="220"/>
      <c r="J62" s="217"/>
      <c r="K62" s="218"/>
      <c r="L62" s="218"/>
      <c r="M62" s="218"/>
      <c r="N62" s="218"/>
      <c r="O62" s="219"/>
      <c r="P62" s="220"/>
      <c r="Q62" s="220"/>
      <c r="R62" s="220"/>
      <c r="S62" s="220"/>
    </row>
    <row r="63" spans="1:19" ht="18" customHeight="1" x14ac:dyDescent="0.2">
      <c r="A63" s="183"/>
      <c r="B63" s="217"/>
      <c r="C63" s="218"/>
      <c r="D63" s="218"/>
      <c r="E63" s="219"/>
      <c r="F63" s="220"/>
      <c r="G63" s="220"/>
      <c r="H63" s="220"/>
      <c r="I63" s="220"/>
      <c r="J63" s="217"/>
      <c r="K63" s="218"/>
      <c r="L63" s="218"/>
      <c r="M63" s="218"/>
      <c r="N63" s="218"/>
      <c r="O63" s="219"/>
      <c r="P63" s="220"/>
      <c r="Q63" s="220"/>
      <c r="R63" s="220"/>
      <c r="S63" s="220"/>
    </row>
    <row r="64" spans="1:19" ht="18" customHeight="1" x14ac:dyDescent="0.2">
      <c r="A64" s="183"/>
      <c r="B64" s="221"/>
      <c r="C64" s="222"/>
      <c r="D64" s="222"/>
      <c r="E64" s="223"/>
      <c r="F64" s="224"/>
      <c r="G64" s="224"/>
      <c r="H64" s="225"/>
      <c r="I64" s="225"/>
      <c r="J64" s="221"/>
      <c r="K64" s="222"/>
      <c r="L64" s="222"/>
      <c r="M64" s="222"/>
      <c r="N64" s="222"/>
      <c r="O64" s="223"/>
      <c r="P64" s="224"/>
      <c r="Q64" s="224"/>
      <c r="R64" s="225"/>
      <c r="S64" s="225"/>
    </row>
    <row r="65" spans="1:19" ht="7.5" customHeight="1" x14ac:dyDescent="0.2">
      <c r="B65" s="226"/>
      <c r="C65" s="226"/>
      <c r="D65" s="226"/>
      <c r="E65" s="226"/>
      <c r="F65" s="226"/>
      <c r="G65" s="226"/>
      <c r="H65" s="226"/>
      <c r="I65" s="226"/>
      <c r="J65" s="226"/>
      <c r="K65" s="226"/>
      <c r="L65" s="226"/>
      <c r="M65" s="226"/>
      <c r="N65" s="226"/>
      <c r="O65" s="226"/>
      <c r="P65" s="226"/>
      <c r="Q65" s="226"/>
      <c r="R65" s="226"/>
    </row>
    <row r="66" spans="1:19" ht="18" customHeight="1" x14ac:dyDescent="0.2">
      <c r="A66" s="209" t="s">
        <v>117</v>
      </c>
      <c r="B66" s="209"/>
      <c r="C66" s="209"/>
      <c r="D66" s="209"/>
      <c r="E66" s="209"/>
      <c r="F66" s="209"/>
      <c r="G66" s="209"/>
      <c r="H66" s="209"/>
      <c r="I66" s="209"/>
      <c r="J66" s="209"/>
      <c r="K66" s="209"/>
      <c r="L66" s="209"/>
      <c r="M66" s="209"/>
      <c r="N66" s="209"/>
      <c r="O66" s="209"/>
      <c r="P66" s="209"/>
      <c r="Q66" s="209"/>
      <c r="R66" s="209"/>
      <c r="S66" s="209"/>
    </row>
    <row r="67" spans="1:19" ht="18" customHeight="1" x14ac:dyDescent="0.2">
      <c r="A67" s="209"/>
      <c r="B67" s="209"/>
      <c r="C67" s="209"/>
      <c r="D67" s="209"/>
      <c r="E67" s="209"/>
      <c r="F67" s="209"/>
      <c r="G67" s="209"/>
      <c r="H67" s="209"/>
      <c r="I67" s="209"/>
      <c r="J67" s="209"/>
      <c r="K67" s="209"/>
      <c r="L67" s="209"/>
      <c r="M67" s="209"/>
      <c r="N67" s="209"/>
      <c r="O67" s="209"/>
      <c r="P67" s="209"/>
      <c r="Q67" s="209"/>
      <c r="R67" s="209"/>
      <c r="S67" s="209"/>
    </row>
    <row r="68" spans="1:19" ht="18" customHeight="1" x14ac:dyDescent="0.2">
      <c r="B68" s="176" t="s">
        <v>53</v>
      </c>
      <c r="C68" s="177"/>
      <c r="D68" s="177"/>
      <c r="E68" s="210" t="s">
        <v>80</v>
      </c>
      <c r="F68" s="211" t="s">
        <v>84</v>
      </c>
      <c r="G68" s="212" t="s">
        <v>101</v>
      </c>
      <c r="H68" s="212" t="s">
        <v>75</v>
      </c>
      <c r="I68" s="212" t="s">
        <v>76</v>
      </c>
      <c r="J68" s="176" t="s">
        <v>53</v>
      </c>
      <c r="K68" s="177"/>
      <c r="L68" s="177"/>
      <c r="M68" s="177"/>
      <c r="N68" s="178"/>
      <c r="O68" s="210" t="s">
        <v>80</v>
      </c>
      <c r="P68" s="211" t="s">
        <v>84</v>
      </c>
      <c r="Q68" s="212" t="s">
        <v>101</v>
      </c>
      <c r="R68" s="212" t="s">
        <v>75</v>
      </c>
      <c r="S68" s="212" t="s">
        <v>76</v>
      </c>
    </row>
    <row r="69" spans="1:19" ht="18" customHeight="1" x14ac:dyDescent="0.2">
      <c r="A69" s="183"/>
      <c r="B69" s="213" t="s">
        <v>160</v>
      </c>
      <c r="C69" s="214"/>
      <c r="D69" s="214"/>
      <c r="E69" s="216">
        <v>2</v>
      </c>
      <c r="F69" s="216" t="s">
        <v>159</v>
      </c>
      <c r="G69" s="216" t="s">
        <v>159</v>
      </c>
      <c r="H69" s="216" t="s">
        <v>159</v>
      </c>
      <c r="I69" s="216" t="s">
        <v>159</v>
      </c>
      <c r="J69" s="213"/>
      <c r="K69" s="214"/>
      <c r="L69" s="214"/>
      <c r="M69" s="214"/>
      <c r="N69" s="215"/>
      <c r="O69" s="216"/>
      <c r="P69" s="216"/>
      <c r="Q69" s="216"/>
      <c r="R69" s="216"/>
      <c r="S69" s="216"/>
    </row>
    <row r="70" spans="1:19" ht="18" customHeight="1" x14ac:dyDescent="0.2">
      <c r="A70" s="183"/>
      <c r="B70" s="217"/>
      <c r="C70" s="218"/>
      <c r="D70" s="218"/>
      <c r="E70" s="220"/>
      <c r="F70" s="220"/>
      <c r="G70" s="220"/>
      <c r="H70" s="220"/>
      <c r="I70" s="220"/>
      <c r="J70" s="217"/>
      <c r="K70" s="218"/>
      <c r="L70" s="218"/>
      <c r="M70" s="218"/>
      <c r="N70" s="219"/>
      <c r="O70" s="220"/>
      <c r="P70" s="220"/>
      <c r="Q70" s="220"/>
      <c r="R70" s="220"/>
      <c r="S70" s="220"/>
    </row>
    <row r="71" spans="1:19" ht="18" customHeight="1" x14ac:dyDescent="0.2">
      <c r="A71" s="183"/>
      <c r="B71" s="217"/>
      <c r="C71" s="218"/>
      <c r="D71" s="218"/>
      <c r="E71" s="220"/>
      <c r="F71" s="220"/>
      <c r="G71" s="220"/>
      <c r="H71" s="220"/>
      <c r="I71" s="220"/>
      <c r="J71" s="217"/>
      <c r="K71" s="218"/>
      <c r="L71" s="218"/>
      <c r="M71" s="218"/>
      <c r="N71" s="219"/>
      <c r="O71" s="220"/>
      <c r="P71" s="220"/>
      <c r="Q71" s="220"/>
      <c r="R71" s="220"/>
      <c r="S71" s="220"/>
    </row>
    <row r="72" spans="1:19" ht="18" customHeight="1" x14ac:dyDescent="0.2">
      <c r="A72" s="183"/>
      <c r="B72" s="217"/>
      <c r="C72" s="218"/>
      <c r="D72" s="218"/>
      <c r="E72" s="220"/>
      <c r="F72" s="220"/>
      <c r="G72" s="220"/>
      <c r="H72" s="220"/>
      <c r="I72" s="220"/>
      <c r="J72" s="217"/>
      <c r="K72" s="218"/>
      <c r="L72" s="218"/>
      <c r="M72" s="218"/>
      <c r="N72" s="219"/>
      <c r="O72" s="220"/>
      <c r="P72" s="220"/>
      <c r="Q72" s="220"/>
      <c r="R72" s="220"/>
      <c r="S72" s="220"/>
    </row>
    <row r="73" spans="1:19" ht="18" customHeight="1" x14ac:dyDescent="0.2">
      <c r="A73" s="183"/>
      <c r="B73" s="217"/>
      <c r="C73" s="218"/>
      <c r="D73" s="218"/>
      <c r="E73" s="220"/>
      <c r="F73" s="220"/>
      <c r="G73" s="220"/>
      <c r="H73" s="220"/>
      <c r="I73" s="220"/>
      <c r="J73" s="217"/>
      <c r="K73" s="218"/>
      <c r="L73" s="218"/>
      <c r="M73" s="218"/>
      <c r="N73" s="219"/>
      <c r="O73" s="220"/>
      <c r="P73" s="220"/>
      <c r="Q73" s="220"/>
      <c r="R73" s="220"/>
      <c r="S73" s="220"/>
    </row>
    <row r="74" spans="1:19" ht="18" customHeight="1" x14ac:dyDescent="0.2">
      <c r="A74" s="183"/>
      <c r="B74" s="217"/>
      <c r="C74" s="218"/>
      <c r="D74" s="218"/>
      <c r="E74" s="220"/>
      <c r="F74" s="220"/>
      <c r="G74" s="220"/>
      <c r="H74" s="220"/>
      <c r="I74" s="220"/>
      <c r="J74" s="217"/>
      <c r="K74" s="218"/>
      <c r="L74" s="218"/>
      <c r="M74" s="218"/>
      <c r="N74" s="219"/>
      <c r="O74" s="220"/>
      <c r="P74" s="220"/>
      <c r="Q74" s="220"/>
      <c r="R74" s="220"/>
      <c r="S74" s="220"/>
    </row>
    <row r="75" spans="1:19" ht="18" customHeight="1" x14ac:dyDescent="0.2">
      <c r="A75" s="183"/>
      <c r="B75" s="221"/>
      <c r="C75" s="222"/>
      <c r="D75" s="222"/>
      <c r="E75" s="224"/>
      <c r="F75" s="224"/>
      <c r="G75" s="225"/>
      <c r="H75" s="225"/>
      <c r="I75" s="225"/>
      <c r="J75" s="221"/>
      <c r="K75" s="222"/>
      <c r="L75" s="222"/>
      <c r="M75" s="222"/>
      <c r="N75" s="223"/>
      <c r="O75" s="224"/>
      <c r="P75" s="224"/>
      <c r="Q75" s="225"/>
      <c r="R75" s="225"/>
      <c r="S75" s="225"/>
    </row>
    <row r="76" spans="1:19" ht="7.5" customHeight="1" x14ac:dyDescent="0.2">
      <c r="B76" s="226"/>
      <c r="C76" s="226"/>
      <c r="D76" s="226"/>
      <c r="E76" s="226"/>
      <c r="F76" s="226"/>
      <c r="G76" s="226"/>
      <c r="H76" s="226"/>
      <c r="I76" s="226"/>
      <c r="J76" s="226"/>
      <c r="K76" s="226"/>
      <c r="L76" s="226"/>
      <c r="M76" s="226"/>
      <c r="N76" s="226"/>
      <c r="O76" s="226"/>
      <c r="P76" s="226"/>
      <c r="Q76" s="226"/>
      <c r="R76" s="226"/>
    </row>
    <row r="77" spans="1:19" ht="18" customHeight="1" x14ac:dyDescent="0.2">
      <c r="A77" s="172" t="s">
        <v>118</v>
      </c>
      <c r="H77" s="183"/>
      <c r="I77" s="183"/>
      <c r="J77" s="183"/>
      <c r="K77" s="183"/>
      <c r="L77" s="183"/>
      <c r="M77" s="183"/>
      <c r="N77" s="183"/>
      <c r="O77" s="183"/>
      <c r="P77" s="183"/>
      <c r="Q77" s="183"/>
      <c r="R77" s="183"/>
      <c r="S77" s="183"/>
    </row>
    <row r="78" spans="1:19" ht="18" customHeight="1" x14ac:dyDescent="0.2">
      <c r="B78" s="176" t="s">
        <v>53</v>
      </c>
      <c r="C78" s="177"/>
      <c r="D78" s="177"/>
      <c r="E78" s="178"/>
      <c r="F78" s="176" t="s">
        <v>82</v>
      </c>
      <c r="G78" s="177"/>
      <c r="H78" s="177"/>
      <c r="I78" s="178"/>
      <c r="J78" s="227" t="s">
        <v>53</v>
      </c>
      <c r="K78" s="228"/>
      <c r="L78" s="228"/>
      <c r="M78" s="228"/>
      <c r="N78" s="228"/>
      <c r="O78" s="229"/>
      <c r="P78" s="176" t="s">
        <v>82</v>
      </c>
      <c r="Q78" s="177"/>
      <c r="R78" s="177"/>
      <c r="S78" s="178"/>
    </row>
    <row r="79" spans="1:19" ht="18" customHeight="1" x14ac:dyDescent="0.2">
      <c r="A79" s="183"/>
      <c r="B79" s="213"/>
      <c r="C79" s="214"/>
      <c r="D79" s="214"/>
      <c r="E79" s="215"/>
      <c r="F79" s="230"/>
      <c r="G79" s="231"/>
      <c r="H79" s="231"/>
      <c r="I79" s="232"/>
      <c r="J79" s="213"/>
      <c r="K79" s="214"/>
      <c r="L79" s="214"/>
      <c r="M79" s="214"/>
      <c r="N79" s="214"/>
      <c r="O79" s="215"/>
      <c r="P79" s="230"/>
      <c r="Q79" s="231"/>
      <c r="R79" s="231"/>
      <c r="S79" s="232"/>
    </row>
    <row r="80" spans="1:19" ht="18" customHeight="1" x14ac:dyDescent="0.2">
      <c r="A80" s="183"/>
      <c r="B80" s="217"/>
      <c r="C80" s="218"/>
      <c r="D80" s="218"/>
      <c r="E80" s="219"/>
      <c r="F80" s="233"/>
      <c r="G80" s="234"/>
      <c r="H80" s="234"/>
      <c r="I80" s="235"/>
      <c r="J80" s="217"/>
      <c r="K80" s="218"/>
      <c r="L80" s="218"/>
      <c r="M80" s="218"/>
      <c r="N80" s="218"/>
      <c r="O80" s="219"/>
      <c r="P80" s="233"/>
      <c r="Q80" s="234"/>
      <c r="R80" s="234"/>
      <c r="S80" s="235"/>
    </row>
    <row r="81" spans="1:19" ht="18" customHeight="1" x14ac:dyDescent="0.2">
      <c r="A81" s="183"/>
      <c r="B81" s="217"/>
      <c r="C81" s="218"/>
      <c r="D81" s="218"/>
      <c r="E81" s="219"/>
      <c r="F81" s="233"/>
      <c r="G81" s="234"/>
      <c r="H81" s="234"/>
      <c r="I81" s="235"/>
      <c r="J81" s="217"/>
      <c r="K81" s="218"/>
      <c r="L81" s="218"/>
      <c r="M81" s="218"/>
      <c r="N81" s="218"/>
      <c r="O81" s="219"/>
      <c r="P81" s="233"/>
      <c r="Q81" s="234"/>
      <c r="R81" s="234"/>
      <c r="S81" s="235"/>
    </row>
    <row r="82" spans="1:19" ht="18" customHeight="1" x14ac:dyDescent="0.2">
      <c r="A82" s="183"/>
      <c r="B82" s="217"/>
      <c r="C82" s="218"/>
      <c r="D82" s="218"/>
      <c r="E82" s="219"/>
      <c r="F82" s="233"/>
      <c r="G82" s="234"/>
      <c r="H82" s="234"/>
      <c r="I82" s="235"/>
      <c r="J82" s="217"/>
      <c r="K82" s="218"/>
      <c r="L82" s="218"/>
      <c r="M82" s="218"/>
      <c r="N82" s="218"/>
      <c r="O82" s="219"/>
      <c r="P82" s="233"/>
      <c r="Q82" s="234"/>
      <c r="R82" s="234"/>
      <c r="S82" s="235"/>
    </row>
    <row r="83" spans="1:19" ht="18" customHeight="1" x14ac:dyDescent="0.2">
      <c r="A83" s="183"/>
      <c r="B83" s="217"/>
      <c r="C83" s="218"/>
      <c r="D83" s="218"/>
      <c r="E83" s="219"/>
      <c r="F83" s="233"/>
      <c r="G83" s="234"/>
      <c r="H83" s="234"/>
      <c r="I83" s="235"/>
      <c r="J83" s="217"/>
      <c r="K83" s="218"/>
      <c r="L83" s="218"/>
      <c r="M83" s="218"/>
      <c r="N83" s="218"/>
      <c r="O83" s="219"/>
      <c r="P83" s="233"/>
      <c r="Q83" s="234"/>
      <c r="R83" s="234"/>
      <c r="S83" s="235"/>
    </row>
    <row r="84" spans="1:19" ht="18" customHeight="1" x14ac:dyDescent="0.2">
      <c r="A84" s="183"/>
      <c r="B84" s="217"/>
      <c r="C84" s="218"/>
      <c r="D84" s="218"/>
      <c r="E84" s="219"/>
      <c r="F84" s="233"/>
      <c r="G84" s="234"/>
      <c r="H84" s="234"/>
      <c r="I84" s="235"/>
      <c r="J84" s="217"/>
      <c r="K84" s="218"/>
      <c r="L84" s="218"/>
      <c r="M84" s="218"/>
      <c r="N84" s="218"/>
      <c r="O84" s="219"/>
      <c r="P84" s="233"/>
      <c r="Q84" s="234"/>
      <c r="R84" s="234"/>
      <c r="S84" s="235"/>
    </row>
    <row r="85" spans="1:19" ht="18" customHeight="1" x14ac:dyDescent="0.2">
      <c r="A85" s="183"/>
      <c r="B85" s="221"/>
      <c r="C85" s="222"/>
      <c r="D85" s="222"/>
      <c r="E85" s="223"/>
      <c r="F85" s="236"/>
      <c r="G85" s="237"/>
      <c r="H85" s="237"/>
      <c r="I85" s="238"/>
      <c r="J85" s="221"/>
      <c r="K85" s="222"/>
      <c r="L85" s="222"/>
      <c r="M85" s="222"/>
      <c r="N85" s="222"/>
      <c r="O85" s="223"/>
      <c r="P85" s="236"/>
      <c r="Q85" s="237"/>
      <c r="R85" s="237"/>
      <c r="S85" s="238"/>
    </row>
    <row r="86" spans="1:19" ht="18" customHeight="1" x14ac:dyDescent="0.2">
      <c r="A86" s="183"/>
      <c r="B86" s="180"/>
      <c r="C86" s="180"/>
      <c r="D86" s="180"/>
      <c r="E86" s="180"/>
      <c r="F86" s="239"/>
      <c r="G86" s="239"/>
      <c r="H86" s="239"/>
      <c r="I86" s="239"/>
      <c r="J86" s="180"/>
      <c r="K86" s="180"/>
      <c r="L86" s="180"/>
      <c r="M86" s="180"/>
      <c r="N86" s="180"/>
      <c r="O86" s="180"/>
      <c r="P86" s="239"/>
      <c r="Q86" s="239"/>
      <c r="R86" s="239"/>
      <c r="S86" s="239"/>
    </row>
    <row r="87" spans="1:19" ht="18.75" customHeight="1" x14ac:dyDescent="0.2">
      <c r="A87" s="172" t="s">
        <v>119</v>
      </c>
    </row>
    <row r="88" spans="1:19" ht="18.75" customHeight="1" x14ac:dyDescent="0.2">
      <c r="B88" s="240" t="s">
        <v>54</v>
      </c>
      <c r="C88" s="241"/>
      <c r="D88" s="177" t="s">
        <v>55</v>
      </c>
      <c r="E88" s="177"/>
      <c r="F88" s="177"/>
      <c r="G88" s="177"/>
      <c r="H88" s="177"/>
      <c r="I88" s="177"/>
      <c r="J88" s="177"/>
      <c r="K88" s="177"/>
      <c r="L88" s="177"/>
      <c r="M88" s="177"/>
      <c r="N88" s="177"/>
      <c r="O88" s="177"/>
      <c r="P88" s="177"/>
      <c r="Q88" s="177"/>
      <c r="R88" s="177"/>
      <c r="S88" s="178"/>
    </row>
    <row r="89" spans="1:19" ht="97.5" customHeight="1" x14ac:dyDescent="0.2">
      <c r="B89" s="242" t="s">
        <v>61</v>
      </c>
      <c r="C89" s="243" t="s">
        <v>56</v>
      </c>
      <c r="D89" s="244" t="s">
        <v>211</v>
      </c>
      <c r="E89" s="245"/>
      <c r="F89" s="245"/>
      <c r="G89" s="245"/>
      <c r="H89" s="245"/>
      <c r="I89" s="245"/>
      <c r="J89" s="245"/>
      <c r="K89" s="245"/>
      <c r="L89" s="245"/>
      <c r="M89" s="245"/>
      <c r="N89" s="245"/>
      <c r="O89" s="245"/>
      <c r="P89" s="245"/>
      <c r="Q89" s="245"/>
      <c r="R89" s="245"/>
      <c r="S89" s="246"/>
    </row>
    <row r="90" spans="1:19" ht="97.5" customHeight="1" x14ac:dyDescent="0.2">
      <c r="B90" s="247"/>
      <c r="C90" s="248" t="s">
        <v>77</v>
      </c>
      <c r="D90" s="249" t="s">
        <v>212</v>
      </c>
      <c r="E90" s="250"/>
      <c r="F90" s="250"/>
      <c r="G90" s="250"/>
      <c r="H90" s="250"/>
      <c r="I90" s="250"/>
      <c r="J90" s="250"/>
      <c r="K90" s="250"/>
      <c r="L90" s="250"/>
      <c r="M90" s="250"/>
      <c r="N90" s="250"/>
      <c r="O90" s="250"/>
      <c r="P90" s="250"/>
      <c r="Q90" s="250"/>
      <c r="R90" s="250"/>
      <c r="S90" s="251"/>
    </row>
    <row r="91" spans="1:19" ht="111.6" customHeight="1" x14ac:dyDescent="0.2">
      <c r="B91" s="242" t="s">
        <v>62</v>
      </c>
      <c r="C91" s="252" t="s">
        <v>71</v>
      </c>
      <c r="D91" s="253" t="s">
        <v>213</v>
      </c>
      <c r="E91" s="254"/>
      <c r="F91" s="254"/>
      <c r="G91" s="254"/>
      <c r="H91" s="254"/>
      <c r="I91" s="254"/>
      <c r="J91" s="254"/>
      <c r="K91" s="254"/>
      <c r="L91" s="254"/>
      <c r="M91" s="254"/>
      <c r="N91" s="254"/>
      <c r="O91" s="254"/>
      <c r="P91" s="254"/>
      <c r="Q91" s="254"/>
      <c r="R91" s="254"/>
      <c r="S91" s="255"/>
    </row>
    <row r="92" spans="1:19" ht="97.5" customHeight="1" x14ac:dyDescent="0.2">
      <c r="B92" s="256"/>
      <c r="C92" s="257" t="s">
        <v>72</v>
      </c>
      <c r="D92" s="258" t="s">
        <v>214</v>
      </c>
      <c r="E92" s="259"/>
      <c r="F92" s="259"/>
      <c r="G92" s="259"/>
      <c r="H92" s="259"/>
      <c r="I92" s="259"/>
      <c r="J92" s="259"/>
      <c r="K92" s="259"/>
      <c r="L92" s="259"/>
      <c r="M92" s="259"/>
      <c r="N92" s="259"/>
      <c r="O92" s="259"/>
      <c r="P92" s="259"/>
      <c r="Q92" s="259"/>
      <c r="R92" s="259"/>
      <c r="S92" s="260"/>
    </row>
    <row r="93" spans="1:19" ht="230.4" customHeight="1" x14ac:dyDescent="0.2">
      <c r="B93" s="242" t="s">
        <v>63</v>
      </c>
      <c r="C93" s="252" t="s">
        <v>73</v>
      </c>
      <c r="D93" s="253" t="s">
        <v>215</v>
      </c>
      <c r="E93" s="254"/>
      <c r="F93" s="254"/>
      <c r="G93" s="254"/>
      <c r="H93" s="254"/>
      <c r="I93" s="254"/>
      <c r="J93" s="254"/>
      <c r="K93" s="254"/>
      <c r="L93" s="254"/>
      <c r="M93" s="254"/>
      <c r="N93" s="254"/>
      <c r="O93" s="254"/>
      <c r="P93" s="254"/>
      <c r="Q93" s="254"/>
      <c r="R93" s="254"/>
      <c r="S93" s="255"/>
    </row>
    <row r="94" spans="1:19" ht="137.4" customHeight="1" x14ac:dyDescent="0.2">
      <c r="B94" s="256"/>
      <c r="C94" s="261" t="s">
        <v>74</v>
      </c>
      <c r="D94" s="262" t="s">
        <v>216</v>
      </c>
      <c r="E94" s="263"/>
      <c r="F94" s="263"/>
      <c r="G94" s="263"/>
      <c r="H94" s="263"/>
      <c r="I94" s="263"/>
      <c r="J94" s="263"/>
      <c r="K94" s="263"/>
      <c r="L94" s="263"/>
      <c r="M94" s="263"/>
      <c r="N94" s="263"/>
      <c r="O94" s="263"/>
      <c r="P94" s="263"/>
      <c r="Q94" s="263"/>
      <c r="R94" s="263"/>
      <c r="S94" s="264"/>
    </row>
    <row r="95" spans="1:19" ht="112.2" customHeight="1" x14ac:dyDescent="0.2">
      <c r="B95" s="242" t="s">
        <v>78</v>
      </c>
      <c r="C95" s="243" t="s">
        <v>58</v>
      </c>
      <c r="D95" s="244" t="s">
        <v>217</v>
      </c>
      <c r="E95" s="245"/>
      <c r="F95" s="245"/>
      <c r="G95" s="245"/>
      <c r="H95" s="245"/>
      <c r="I95" s="245"/>
      <c r="J95" s="245"/>
      <c r="K95" s="245"/>
      <c r="L95" s="245"/>
      <c r="M95" s="245"/>
      <c r="N95" s="245"/>
      <c r="O95" s="245"/>
      <c r="P95" s="245"/>
      <c r="Q95" s="245"/>
      <c r="R95" s="245"/>
      <c r="S95" s="246"/>
    </row>
    <row r="96" spans="1:19" ht="175.2" customHeight="1" x14ac:dyDescent="0.2">
      <c r="B96" s="256"/>
      <c r="C96" s="257" t="s">
        <v>60</v>
      </c>
      <c r="D96" s="258" t="s">
        <v>218</v>
      </c>
      <c r="E96" s="259"/>
      <c r="F96" s="259"/>
      <c r="G96" s="259"/>
      <c r="H96" s="259"/>
      <c r="I96" s="259"/>
      <c r="J96" s="259"/>
      <c r="K96" s="259"/>
      <c r="L96" s="259"/>
      <c r="M96" s="259"/>
      <c r="N96" s="259"/>
      <c r="O96" s="259"/>
      <c r="P96" s="259"/>
      <c r="Q96" s="259"/>
      <c r="R96" s="259"/>
      <c r="S96" s="260"/>
    </row>
    <row r="97" spans="1:19" ht="128.4" customHeight="1" x14ac:dyDescent="0.2">
      <c r="B97" s="242" t="s">
        <v>79</v>
      </c>
      <c r="C97" s="252" t="s">
        <v>57</v>
      </c>
      <c r="D97" s="265" t="s">
        <v>219</v>
      </c>
      <c r="E97" s="214"/>
      <c r="F97" s="214"/>
      <c r="G97" s="214"/>
      <c r="H97" s="214"/>
      <c r="I97" s="214"/>
      <c r="J97" s="214"/>
      <c r="K97" s="214"/>
      <c r="L97" s="214"/>
      <c r="M97" s="214"/>
      <c r="N97" s="214"/>
      <c r="O97" s="214"/>
      <c r="P97" s="214"/>
      <c r="Q97" s="214"/>
      <c r="R97" s="214"/>
      <c r="S97" s="215"/>
    </row>
    <row r="98" spans="1:19" ht="141.6" customHeight="1" x14ac:dyDescent="0.2">
      <c r="B98" s="247"/>
      <c r="C98" s="266" t="s">
        <v>75</v>
      </c>
      <c r="D98" s="267" t="s">
        <v>220</v>
      </c>
      <c r="E98" s="218"/>
      <c r="F98" s="218"/>
      <c r="G98" s="218"/>
      <c r="H98" s="218"/>
      <c r="I98" s="218"/>
      <c r="J98" s="218"/>
      <c r="K98" s="218"/>
      <c r="L98" s="218"/>
      <c r="M98" s="218"/>
      <c r="N98" s="218"/>
      <c r="O98" s="218"/>
      <c r="P98" s="218"/>
      <c r="Q98" s="218"/>
      <c r="R98" s="218"/>
      <c r="S98" s="219"/>
    </row>
    <row r="99" spans="1:19" ht="156" customHeight="1" x14ac:dyDescent="0.2">
      <c r="B99" s="256"/>
      <c r="C99" s="261" t="s">
        <v>76</v>
      </c>
      <c r="D99" s="268" t="s">
        <v>221</v>
      </c>
      <c r="E99" s="269"/>
      <c r="F99" s="269"/>
      <c r="G99" s="269"/>
      <c r="H99" s="269"/>
      <c r="I99" s="269"/>
      <c r="J99" s="269"/>
      <c r="K99" s="269"/>
      <c r="L99" s="269"/>
      <c r="M99" s="269"/>
      <c r="N99" s="269"/>
      <c r="O99" s="269"/>
      <c r="P99" s="269"/>
      <c r="Q99" s="269"/>
      <c r="R99" s="269"/>
      <c r="S99" s="270"/>
    </row>
    <row r="100" spans="1:19" ht="6" customHeight="1" x14ac:dyDescent="0.2"/>
    <row r="101" spans="1:19" ht="18.75" customHeight="1" x14ac:dyDescent="0.2">
      <c r="A101" s="172" t="s">
        <v>120</v>
      </c>
    </row>
    <row r="102" spans="1:19" ht="81.75" customHeight="1" x14ac:dyDescent="0.2">
      <c r="B102" s="271" t="s">
        <v>155</v>
      </c>
      <c r="C102" s="272"/>
      <c r="D102" s="272"/>
      <c r="E102" s="272"/>
      <c r="F102" s="272"/>
      <c r="G102" s="272"/>
      <c r="H102" s="272"/>
      <c r="I102" s="272"/>
      <c r="J102" s="272"/>
      <c r="K102" s="272"/>
      <c r="L102" s="272"/>
      <c r="M102" s="272"/>
      <c r="N102" s="272"/>
      <c r="O102" s="272"/>
      <c r="P102" s="272"/>
      <c r="Q102" s="272"/>
      <c r="R102" s="272"/>
      <c r="S102" s="273"/>
    </row>
    <row r="110" spans="1:19" ht="18" customHeight="1" x14ac:dyDescent="0.2"/>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Q36:S42 P69:S75 Q47:S53 G36:I42 Q58:S64 G47:I53 F69:I75 G58:I64" xr:uid="{F63D0B9B-EC8D-4DCB-B4A4-E7FC0644C5D4}">
      <formula1>"○"</formula1>
    </dataValidation>
    <dataValidation type="list" allowBlank="1" showInputMessage="1" showErrorMessage="1" sqref="S32 S43 D32:G32 D43:G43" xr:uid="{CE01A369-3FFA-4775-AAD8-01406A085E3A}">
      <formula1>"全学開講,一部開講"</formula1>
    </dataValidation>
    <dataValidation type="list" allowBlank="1" showInputMessage="1" showErrorMessage="1" sqref="K7 K12" xr:uid="{3B5D544A-5F31-428F-9693-EE54CE476555}">
      <formula1>"学部・学科によって、修了要件は相違する,学部・学科によって、修了要件は相違しない"</formula1>
    </dataValidation>
    <dataValidation type="list" allowBlank="1" showInputMessage="1" showErrorMessage="1" sqref="F79:F86 P79:P86 G79:I80 G83:I86 Q83:S86 Q79:S80" xr:uid="{E8919340-3E89-4800-9054-1828B64C280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CA41BAC4-1F1C-4FAE-AA51-00C646F42135}">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F1" zoomScaleNormal="100" zoomScaleSheetLayoutView="100" workbookViewId="0">
      <selection activeCell="AI35" sqref="AI35"/>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106</v>
      </c>
    </row>
    <row r="2" spans="1:45" ht="18" customHeight="1" x14ac:dyDescent="0.2">
      <c r="K2" s="23"/>
      <c r="Q2" s="23"/>
      <c r="W2" s="23"/>
      <c r="AC2" s="23"/>
      <c r="AI2" s="23"/>
      <c r="AL2" s="23" t="s">
        <v>108</v>
      </c>
      <c r="AM2" s="75" t="str">
        <f>'様式１ー２（社会情報科学部）'!C2</f>
        <v>兵庫県立大学</v>
      </c>
      <c r="AN2" s="75"/>
      <c r="AO2" s="75"/>
      <c r="AP2" s="75"/>
      <c r="AQ2" s="75"/>
    </row>
    <row r="3" spans="1:45" ht="18" customHeight="1" x14ac:dyDescent="0.2">
      <c r="A3" s="71" t="s">
        <v>47</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76">
        <v>4</v>
      </c>
      <c r="D5" s="77"/>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78" t="s">
        <v>44</v>
      </c>
      <c r="C9" s="93" t="s">
        <v>86</v>
      </c>
      <c r="D9" s="81" t="s">
        <v>46</v>
      </c>
      <c r="E9" s="84" t="s">
        <v>39</v>
      </c>
      <c r="F9" s="74" t="s">
        <v>85</v>
      </c>
      <c r="G9" s="74"/>
      <c r="H9" s="74"/>
      <c r="I9" s="74"/>
      <c r="J9" s="74"/>
      <c r="K9" s="74"/>
      <c r="L9" s="74" t="s">
        <v>48</v>
      </c>
      <c r="M9" s="74"/>
      <c r="N9" s="74"/>
      <c r="O9" s="74"/>
      <c r="P9" s="74"/>
      <c r="Q9" s="74"/>
      <c r="R9" s="74" t="s">
        <v>49</v>
      </c>
      <c r="S9" s="74"/>
      <c r="T9" s="74"/>
      <c r="U9" s="74"/>
      <c r="V9" s="74"/>
      <c r="W9" s="74"/>
      <c r="X9" s="74" t="s">
        <v>100</v>
      </c>
      <c r="Y9" s="74"/>
      <c r="Z9" s="74"/>
      <c r="AA9" s="74"/>
      <c r="AB9" s="74"/>
      <c r="AC9" s="74"/>
      <c r="AD9" s="74" t="s">
        <v>50</v>
      </c>
      <c r="AE9" s="74"/>
      <c r="AF9" s="74"/>
      <c r="AG9" s="74"/>
      <c r="AH9" s="74"/>
      <c r="AI9" s="74"/>
      <c r="AJ9" s="74" t="s">
        <v>51</v>
      </c>
      <c r="AK9" s="74"/>
      <c r="AL9" s="74"/>
      <c r="AM9" s="74"/>
      <c r="AN9" s="74"/>
      <c r="AO9" s="74"/>
      <c r="AP9" s="87" t="s">
        <v>34</v>
      </c>
      <c r="AQ9" s="90" t="s">
        <v>31</v>
      </c>
      <c r="AS9" s="2"/>
    </row>
    <row r="10" spans="1:45" ht="16.95" customHeight="1" x14ac:dyDescent="0.2">
      <c r="B10" s="79"/>
      <c r="C10" s="94"/>
      <c r="D10" s="82"/>
      <c r="E10" s="85"/>
      <c r="F10" s="72" t="s">
        <v>96</v>
      </c>
      <c r="G10" s="73"/>
      <c r="H10" s="73"/>
      <c r="I10" s="72" t="s">
        <v>28</v>
      </c>
      <c r="J10" s="73"/>
      <c r="K10" s="73"/>
      <c r="L10" s="72" t="s">
        <v>96</v>
      </c>
      <c r="M10" s="73"/>
      <c r="N10" s="73"/>
      <c r="O10" s="72" t="s">
        <v>28</v>
      </c>
      <c r="P10" s="73"/>
      <c r="Q10" s="73"/>
      <c r="R10" s="72" t="s">
        <v>96</v>
      </c>
      <c r="S10" s="73"/>
      <c r="T10" s="73"/>
      <c r="U10" s="72" t="s">
        <v>28</v>
      </c>
      <c r="V10" s="73"/>
      <c r="W10" s="73"/>
      <c r="X10" s="72" t="s">
        <v>96</v>
      </c>
      <c r="Y10" s="73"/>
      <c r="Z10" s="73"/>
      <c r="AA10" s="72" t="s">
        <v>28</v>
      </c>
      <c r="AB10" s="73"/>
      <c r="AC10" s="73"/>
      <c r="AD10" s="72" t="s">
        <v>96</v>
      </c>
      <c r="AE10" s="73"/>
      <c r="AF10" s="73"/>
      <c r="AG10" s="72" t="s">
        <v>28</v>
      </c>
      <c r="AH10" s="73"/>
      <c r="AI10" s="73"/>
      <c r="AJ10" s="72" t="s">
        <v>96</v>
      </c>
      <c r="AK10" s="73"/>
      <c r="AL10" s="73"/>
      <c r="AM10" s="72" t="s">
        <v>28</v>
      </c>
      <c r="AN10" s="73"/>
      <c r="AO10" s="73"/>
      <c r="AP10" s="88"/>
      <c r="AQ10" s="91"/>
      <c r="AS10" s="2"/>
    </row>
    <row r="11" spans="1:45" ht="18" customHeight="1" x14ac:dyDescent="0.2">
      <c r="B11" s="80"/>
      <c r="C11" s="95"/>
      <c r="D11" s="83"/>
      <c r="E11" s="86"/>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89"/>
      <c r="AQ11" s="92"/>
      <c r="AS11" s="2"/>
    </row>
    <row r="12" spans="1:45" ht="18" customHeight="1" x14ac:dyDescent="0.2">
      <c r="A12" s="6"/>
      <c r="B12" s="11" t="s">
        <v>149</v>
      </c>
      <c r="C12" s="44">
        <v>1498</v>
      </c>
      <c r="D12" s="45">
        <v>360</v>
      </c>
      <c r="E12" s="46">
        <v>1440</v>
      </c>
      <c r="F12" s="46">
        <v>364</v>
      </c>
      <c r="G12" s="64"/>
      <c r="H12" s="65"/>
      <c r="I12" s="46">
        <v>351</v>
      </c>
      <c r="J12" s="64"/>
      <c r="K12" s="65"/>
      <c r="L12" s="46">
        <f>M12+N12</f>
        <v>0</v>
      </c>
      <c r="M12" s="47"/>
      <c r="N12" s="48"/>
      <c r="O12" s="46">
        <f>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364</v>
      </c>
      <c r="AQ12" s="21">
        <f t="shared" ref="AQ12:AQ32" si="0">AP12/E12</f>
        <v>0.25277777777777777</v>
      </c>
    </row>
    <row r="13" spans="1:45" ht="18" customHeight="1" x14ac:dyDescent="0.2">
      <c r="A13" s="6"/>
      <c r="B13" s="12" t="s">
        <v>150</v>
      </c>
      <c r="C13" s="49">
        <v>400</v>
      </c>
      <c r="D13" s="50">
        <v>100</v>
      </c>
      <c r="E13" s="51">
        <v>400</v>
      </c>
      <c r="F13" s="52">
        <v>101</v>
      </c>
      <c r="G13" s="66"/>
      <c r="H13" s="67"/>
      <c r="I13" s="52">
        <v>0</v>
      </c>
      <c r="J13" s="66"/>
      <c r="K13" s="67"/>
      <c r="L13" s="52">
        <f t="shared" ref="L13:L31" si="1">M13+N13</f>
        <v>0</v>
      </c>
      <c r="M13" s="53"/>
      <c r="N13" s="54"/>
      <c r="O13" s="52">
        <f t="shared" ref="O13:O31" si="2">P13+Q13</f>
        <v>0</v>
      </c>
      <c r="P13" s="53"/>
      <c r="Q13" s="54"/>
      <c r="R13" s="52">
        <f t="shared" ref="R13:R31" si="3">S13+T13</f>
        <v>0</v>
      </c>
      <c r="S13" s="53"/>
      <c r="T13" s="54"/>
      <c r="U13" s="52">
        <f t="shared" ref="U13:U31" si="4">V13+W13</f>
        <v>0</v>
      </c>
      <c r="V13" s="53"/>
      <c r="W13" s="54"/>
      <c r="X13" s="52">
        <f t="shared" ref="X13:X31" si="5">Y13+Z13</f>
        <v>0</v>
      </c>
      <c r="Y13" s="53"/>
      <c r="Z13" s="54"/>
      <c r="AA13" s="52">
        <f t="shared" ref="AA13:AA31" si="6">AB13+AC13</f>
        <v>0</v>
      </c>
      <c r="AB13" s="53"/>
      <c r="AC13" s="54"/>
      <c r="AD13" s="52">
        <f t="shared" ref="AD13:AD31" si="7">AE13+AF13</f>
        <v>0</v>
      </c>
      <c r="AE13" s="53"/>
      <c r="AF13" s="54"/>
      <c r="AG13" s="52">
        <f t="shared" ref="AG13:AG31" si="8">AH13+AI13</f>
        <v>0</v>
      </c>
      <c r="AH13" s="53"/>
      <c r="AI13" s="54"/>
      <c r="AJ13" s="52">
        <f t="shared" ref="AJ13:AJ31" si="9">AK13+AL13</f>
        <v>0</v>
      </c>
      <c r="AK13" s="53"/>
      <c r="AL13" s="54"/>
      <c r="AM13" s="52">
        <f t="shared" ref="AM13:AM31" si="10">AN13+AO13</f>
        <v>0</v>
      </c>
      <c r="AN13" s="53"/>
      <c r="AO13" s="54"/>
      <c r="AP13" s="50">
        <f t="shared" ref="AP13:AP31" si="11">F13+L13+R13+X13+AD13+AJ13</f>
        <v>101</v>
      </c>
      <c r="AQ13" s="20">
        <f t="shared" si="0"/>
        <v>0.2525</v>
      </c>
    </row>
    <row r="14" spans="1:45" ht="18" customHeight="1" x14ac:dyDescent="0.2">
      <c r="A14" s="6"/>
      <c r="B14" s="12" t="s">
        <v>151</v>
      </c>
      <c r="C14" s="49">
        <v>1509</v>
      </c>
      <c r="D14" s="50">
        <v>352</v>
      </c>
      <c r="E14" s="51">
        <v>1408</v>
      </c>
      <c r="F14" s="52">
        <v>360</v>
      </c>
      <c r="G14" s="66"/>
      <c r="H14" s="67"/>
      <c r="I14" s="52">
        <f t="shared" ref="I14:I31" si="12">J14+K14</f>
        <v>0</v>
      </c>
      <c r="J14" s="66"/>
      <c r="K14" s="67"/>
      <c r="L14" s="52">
        <f t="shared" si="1"/>
        <v>0</v>
      </c>
      <c r="M14" s="53"/>
      <c r="N14" s="54"/>
      <c r="O14" s="52">
        <f t="shared" si="2"/>
        <v>0</v>
      </c>
      <c r="P14" s="53"/>
      <c r="Q14" s="54"/>
      <c r="R14" s="52">
        <f t="shared" si="3"/>
        <v>0</v>
      </c>
      <c r="S14" s="53"/>
      <c r="T14" s="54"/>
      <c r="U14" s="52">
        <f t="shared" si="4"/>
        <v>0</v>
      </c>
      <c r="V14" s="53"/>
      <c r="W14" s="54"/>
      <c r="X14" s="52">
        <f t="shared" si="5"/>
        <v>0</v>
      </c>
      <c r="Y14" s="53"/>
      <c r="Z14" s="54"/>
      <c r="AA14" s="52">
        <f t="shared" si="6"/>
        <v>0</v>
      </c>
      <c r="AB14" s="53"/>
      <c r="AC14" s="54"/>
      <c r="AD14" s="52">
        <f t="shared" si="7"/>
        <v>0</v>
      </c>
      <c r="AE14" s="53"/>
      <c r="AF14" s="54"/>
      <c r="AG14" s="52">
        <f t="shared" si="8"/>
        <v>0</v>
      </c>
      <c r="AH14" s="53"/>
      <c r="AI14" s="54"/>
      <c r="AJ14" s="52">
        <f t="shared" si="9"/>
        <v>0</v>
      </c>
      <c r="AK14" s="53"/>
      <c r="AL14" s="54"/>
      <c r="AM14" s="52">
        <f t="shared" si="10"/>
        <v>0</v>
      </c>
      <c r="AN14" s="53"/>
      <c r="AO14" s="54"/>
      <c r="AP14" s="50">
        <f t="shared" si="11"/>
        <v>360</v>
      </c>
      <c r="AQ14" s="8">
        <f t="shared" si="0"/>
        <v>0.25568181818181818</v>
      </c>
    </row>
    <row r="15" spans="1:45" ht="18" customHeight="1" x14ac:dyDescent="0.2">
      <c r="A15" s="6"/>
      <c r="B15" s="12" t="s">
        <v>152</v>
      </c>
      <c r="C15" s="49">
        <v>725</v>
      </c>
      <c r="D15" s="50">
        <v>175</v>
      </c>
      <c r="E15" s="51">
        <v>700</v>
      </c>
      <c r="F15" s="52">
        <v>179</v>
      </c>
      <c r="G15" s="66"/>
      <c r="H15" s="67"/>
      <c r="I15" s="52">
        <v>178</v>
      </c>
      <c r="J15" s="66"/>
      <c r="K15" s="67"/>
      <c r="L15" s="52">
        <f t="shared" si="1"/>
        <v>0</v>
      </c>
      <c r="M15" s="53"/>
      <c r="N15" s="54"/>
      <c r="O15" s="52">
        <f t="shared" si="2"/>
        <v>0</v>
      </c>
      <c r="P15" s="53"/>
      <c r="Q15" s="54"/>
      <c r="R15" s="52">
        <f t="shared" si="3"/>
        <v>0</v>
      </c>
      <c r="S15" s="53"/>
      <c r="T15" s="54"/>
      <c r="U15" s="52">
        <f t="shared" si="4"/>
        <v>0</v>
      </c>
      <c r="V15" s="53"/>
      <c r="W15" s="54"/>
      <c r="X15" s="52">
        <f t="shared" si="5"/>
        <v>0</v>
      </c>
      <c r="Y15" s="53"/>
      <c r="Z15" s="54"/>
      <c r="AA15" s="52">
        <f t="shared" si="6"/>
        <v>0</v>
      </c>
      <c r="AB15" s="53"/>
      <c r="AC15" s="54"/>
      <c r="AD15" s="52">
        <f t="shared" si="7"/>
        <v>0</v>
      </c>
      <c r="AE15" s="53"/>
      <c r="AF15" s="54"/>
      <c r="AG15" s="52">
        <f t="shared" si="8"/>
        <v>0</v>
      </c>
      <c r="AH15" s="53"/>
      <c r="AI15" s="54"/>
      <c r="AJ15" s="52">
        <f t="shared" si="9"/>
        <v>0</v>
      </c>
      <c r="AK15" s="53"/>
      <c r="AL15" s="54"/>
      <c r="AM15" s="52">
        <f t="shared" si="10"/>
        <v>0</v>
      </c>
      <c r="AN15" s="53"/>
      <c r="AO15" s="54"/>
      <c r="AP15" s="50">
        <f t="shared" si="11"/>
        <v>179</v>
      </c>
      <c r="AQ15" s="8">
        <f t="shared" si="0"/>
        <v>0.25571428571428573</v>
      </c>
    </row>
    <row r="16" spans="1:45" ht="18" customHeight="1" x14ac:dyDescent="0.2">
      <c r="A16" s="6"/>
      <c r="B16" s="12" t="s">
        <v>153</v>
      </c>
      <c r="C16" s="49">
        <v>854</v>
      </c>
      <c r="D16" s="50">
        <v>205</v>
      </c>
      <c r="E16" s="51">
        <v>820</v>
      </c>
      <c r="F16" s="52">
        <v>206</v>
      </c>
      <c r="G16" s="66"/>
      <c r="H16" s="67"/>
      <c r="I16" s="52">
        <v>203</v>
      </c>
      <c r="J16" s="66"/>
      <c r="K16" s="67"/>
      <c r="L16" s="52">
        <f t="shared" si="1"/>
        <v>0</v>
      </c>
      <c r="M16" s="53"/>
      <c r="N16" s="54"/>
      <c r="O16" s="52">
        <f t="shared" si="2"/>
        <v>0</v>
      </c>
      <c r="P16" s="53"/>
      <c r="Q16" s="54"/>
      <c r="R16" s="52">
        <f t="shared" si="3"/>
        <v>0</v>
      </c>
      <c r="S16" s="53"/>
      <c r="T16" s="54"/>
      <c r="U16" s="52">
        <f t="shared" si="4"/>
        <v>0</v>
      </c>
      <c r="V16" s="53"/>
      <c r="W16" s="54"/>
      <c r="X16" s="52">
        <f t="shared" si="5"/>
        <v>0</v>
      </c>
      <c r="Y16" s="53"/>
      <c r="Z16" s="54"/>
      <c r="AA16" s="52">
        <f t="shared" si="6"/>
        <v>0</v>
      </c>
      <c r="AB16" s="53"/>
      <c r="AC16" s="54"/>
      <c r="AD16" s="52">
        <f t="shared" si="7"/>
        <v>0</v>
      </c>
      <c r="AE16" s="53"/>
      <c r="AF16" s="54"/>
      <c r="AG16" s="52">
        <f t="shared" si="8"/>
        <v>0</v>
      </c>
      <c r="AH16" s="53"/>
      <c r="AI16" s="54"/>
      <c r="AJ16" s="52">
        <f t="shared" si="9"/>
        <v>0</v>
      </c>
      <c r="AK16" s="53"/>
      <c r="AL16" s="54"/>
      <c r="AM16" s="52">
        <f t="shared" si="10"/>
        <v>0</v>
      </c>
      <c r="AN16" s="53"/>
      <c r="AO16" s="54"/>
      <c r="AP16" s="50">
        <f t="shared" si="11"/>
        <v>206</v>
      </c>
      <c r="AQ16" s="8">
        <f t="shared" si="0"/>
        <v>0.25121951219512195</v>
      </c>
    </row>
    <row r="17" spans="1:43" ht="18" customHeight="1" x14ac:dyDescent="0.2">
      <c r="A17" s="6"/>
      <c r="B17" s="12" t="s">
        <v>154</v>
      </c>
      <c r="C17" s="49">
        <v>426</v>
      </c>
      <c r="D17" s="50">
        <v>105</v>
      </c>
      <c r="E17" s="51">
        <v>420</v>
      </c>
      <c r="F17" s="52">
        <v>106</v>
      </c>
      <c r="G17" s="66"/>
      <c r="H17" s="67"/>
      <c r="I17" s="52">
        <v>106</v>
      </c>
      <c r="J17" s="66"/>
      <c r="K17" s="67"/>
      <c r="L17" s="52">
        <f t="shared" si="1"/>
        <v>0</v>
      </c>
      <c r="M17" s="53"/>
      <c r="N17" s="54"/>
      <c r="O17" s="52">
        <f t="shared" si="2"/>
        <v>0</v>
      </c>
      <c r="P17" s="53"/>
      <c r="Q17" s="54"/>
      <c r="R17" s="52">
        <f t="shared" si="3"/>
        <v>0</v>
      </c>
      <c r="S17" s="53"/>
      <c r="T17" s="54"/>
      <c r="U17" s="52">
        <f t="shared" si="4"/>
        <v>0</v>
      </c>
      <c r="V17" s="53"/>
      <c r="W17" s="54"/>
      <c r="X17" s="52">
        <f t="shared" si="5"/>
        <v>0</v>
      </c>
      <c r="Y17" s="53"/>
      <c r="Z17" s="54"/>
      <c r="AA17" s="52">
        <f t="shared" si="6"/>
        <v>0</v>
      </c>
      <c r="AB17" s="53"/>
      <c r="AC17" s="54"/>
      <c r="AD17" s="52">
        <f t="shared" si="7"/>
        <v>0</v>
      </c>
      <c r="AE17" s="53"/>
      <c r="AF17" s="54"/>
      <c r="AG17" s="52">
        <f t="shared" si="8"/>
        <v>0</v>
      </c>
      <c r="AH17" s="53"/>
      <c r="AI17" s="54"/>
      <c r="AJ17" s="52">
        <f t="shared" si="9"/>
        <v>0</v>
      </c>
      <c r="AK17" s="53"/>
      <c r="AL17" s="54"/>
      <c r="AM17" s="52">
        <f t="shared" si="10"/>
        <v>0</v>
      </c>
      <c r="AN17" s="53"/>
      <c r="AO17" s="54"/>
      <c r="AP17" s="50">
        <f t="shared" si="11"/>
        <v>106</v>
      </c>
      <c r="AQ17" s="8">
        <f t="shared" si="0"/>
        <v>0.25238095238095237</v>
      </c>
    </row>
    <row r="18" spans="1:43" ht="18" customHeight="1" x14ac:dyDescent="0.2">
      <c r="A18" s="6"/>
      <c r="B18" s="12"/>
      <c r="C18" s="49"/>
      <c r="D18" s="50"/>
      <c r="E18" s="51"/>
      <c r="F18" s="52">
        <f t="shared" ref="F18:F31" si="13">G18+H18</f>
        <v>0</v>
      </c>
      <c r="G18" s="53"/>
      <c r="H18" s="54"/>
      <c r="I18" s="52">
        <f t="shared" si="12"/>
        <v>0</v>
      </c>
      <c r="J18" s="53"/>
      <c r="K18" s="54"/>
      <c r="L18" s="52">
        <f t="shared" si="1"/>
        <v>0</v>
      </c>
      <c r="M18" s="53"/>
      <c r="N18" s="54"/>
      <c r="O18" s="52">
        <f t="shared" si="2"/>
        <v>0</v>
      </c>
      <c r="P18" s="53"/>
      <c r="Q18" s="54"/>
      <c r="R18" s="52">
        <f t="shared" si="3"/>
        <v>0</v>
      </c>
      <c r="S18" s="53"/>
      <c r="T18" s="54"/>
      <c r="U18" s="52">
        <f t="shared" si="4"/>
        <v>0</v>
      </c>
      <c r="V18" s="53"/>
      <c r="W18" s="54"/>
      <c r="X18" s="52">
        <f t="shared" si="5"/>
        <v>0</v>
      </c>
      <c r="Y18" s="53"/>
      <c r="Z18" s="54"/>
      <c r="AA18" s="52">
        <f t="shared" si="6"/>
        <v>0</v>
      </c>
      <c r="AB18" s="53"/>
      <c r="AC18" s="54"/>
      <c r="AD18" s="52">
        <f t="shared" si="7"/>
        <v>0</v>
      </c>
      <c r="AE18" s="53"/>
      <c r="AF18" s="54"/>
      <c r="AG18" s="52">
        <f t="shared" si="8"/>
        <v>0</v>
      </c>
      <c r="AH18" s="53"/>
      <c r="AI18" s="54"/>
      <c r="AJ18" s="52">
        <f t="shared" si="9"/>
        <v>0</v>
      </c>
      <c r="AK18" s="53"/>
      <c r="AL18" s="54"/>
      <c r="AM18" s="52">
        <f t="shared" si="10"/>
        <v>0</v>
      </c>
      <c r="AN18" s="53"/>
      <c r="AO18" s="54"/>
      <c r="AP18" s="50">
        <f t="shared" si="11"/>
        <v>0</v>
      </c>
      <c r="AQ18" s="8" t="e">
        <f t="shared" si="0"/>
        <v>#DIV/0!</v>
      </c>
    </row>
    <row r="19" spans="1:43" ht="18" customHeight="1" x14ac:dyDescent="0.2">
      <c r="A19" s="6"/>
      <c r="B19" s="12"/>
      <c r="C19" s="49"/>
      <c r="D19" s="50"/>
      <c r="E19" s="51"/>
      <c r="F19" s="52">
        <f t="shared" si="13"/>
        <v>0</v>
      </c>
      <c r="G19" s="53"/>
      <c r="H19" s="54"/>
      <c r="I19" s="52">
        <f t="shared" si="12"/>
        <v>0</v>
      </c>
      <c r="J19" s="53"/>
      <c r="K19" s="54"/>
      <c r="L19" s="52">
        <f t="shared" si="1"/>
        <v>0</v>
      </c>
      <c r="M19" s="53"/>
      <c r="N19" s="54"/>
      <c r="O19" s="52">
        <f t="shared" si="2"/>
        <v>0</v>
      </c>
      <c r="P19" s="53"/>
      <c r="Q19" s="54"/>
      <c r="R19" s="52">
        <f t="shared" si="3"/>
        <v>0</v>
      </c>
      <c r="S19" s="53"/>
      <c r="T19" s="54"/>
      <c r="U19" s="52">
        <f t="shared" si="4"/>
        <v>0</v>
      </c>
      <c r="V19" s="53"/>
      <c r="W19" s="54"/>
      <c r="X19" s="52">
        <f t="shared" si="5"/>
        <v>0</v>
      </c>
      <c r="Y19" s="53"/>
      <c r="Z19" s="54"/>
      <c r="AA19" s="52">
        <f t="shared" si="6"/>
        <v>0</v>
      </c>
      <c r="AB19" s="53"/>
      <c r="AC19" s="54"/>
      <c r="AD19" s="52">
        <f t="shared" si="7"/>
        <v>0</v>
      </c>
      <c r="AE19" s="53"/>
      <c r="AF19" s="54"/>
      <c r="AG19" s="52">
        <f t="shared" si="8"/>
        <v>0</v>
      </c>
      <c r="AH19" s="53"/>
      <c r="AI19" s="54"/>
      <c r="AJ19" s="52">
        <f t="shared" si="9"/>
        <v>0</v>
      </c>
      <c r="AK19" s="53"/>
      <c r="AL19" s="54"/>
      <c r="AM19" s="52">
        <f t="shared" si="10"/>
        <v>0</v>
      </c>
      <c r="AN19" s="53"/>
      <c r="AO19" s="54"/>
      <c r="AP19" s="50">
        <f t="shared" si="11"/>
        <v>0</v>
      </c>
      <c r="AQ19" s="8" t="e">
        <f t="shared" si="0"/>
        <v>#DIV/0!</v>
      </c>
    </row>
    <row r="20" spans="1:43" ht="18" customHeight="1" x14ac:dyDescent="0.2">
      <c r="A20" s="6"/>
      <c r="B20" s="12"/>
      <c r="C20" s="49"/>
      <c r="D20" s="50"/>
      <c r="E20" s="51"/>
      <c r="F20" s="52">
        <f t="shared" si="13"/>
        <v>0</v>
      </c>
      <c r="G20" s="53"/>
      <c r="H20" s="54"/>
      <c r="I20" s="52">
        <f t="shared" si="12"/>
        <v>0</v>
      </c>
      <c r="J20" s="53"/>
      <c r="K20" s="54"/>
      <c r="L20" s="52">
        <f t="shared" si="1"/>
        <v>0</v>
      </c>
      <c r="M20" s="53"/>
      <c r="N20" s="54"/>
      <c r="O20" s="52">
        <f t="shared" si="2"/>
        <v>0</v>
      </c>
      <c r="P20" s="53"/>
      <c r="Q20" s="54"/>
      <c r="R20" s="52">
        <f t="shared" si="3"/>
        <v>0</v>
      </c>
      <c r="S20" s="53"/>
      <c r="T20" s="54"/>
      <c r="U20" s="52">
        <f t="shared" si="4"/>
        <v>0</v>
      </c>
      <c r="V20" s="53"/>
      <c r="W20" s="54"/>
      <c r="X20" s="52">
        <f t="shared" si="5"/>
        <v>0</v>
      </c>
      <c r="Y20" s="53"/>
      <c r="Z20" s="54"/>
      <c r="AA20" s="52">
        <f t="shared" si="6"/>
        <v>0</v>
      </c>
      <c r="AB20" s="53"/>
      <c r="AC20" s="54"/>
      <c r="AD20" s="52">
        <f t="shared" si="7"/>
        <v>0</v>
      </c>
      <c r="AE20" s="53"/>
      <c r="AF20" s="54"/>
      <c r="AG20" s="52">
        <f t="shared" si="8"/>
        <v>0</v>
      </c>
      <c r="AH20" s="53"/>
      <c r="AI20" s="54"/>
      <c r="AJ20" s="52">
        <f t="shared" si="9"/>
        <v>0</v>
      </c>
      <c r="AK20" s="53"/>
      <c r="AL20" s="54"/>
      <c r="AM20" s="52">
        <f t="shared" si="10"/>
        <v>0</v>
      </c>
      <c r="AN20" s="53"/>
      <c r="AO20" s="54"/>
      <c r="AP20" s="50">
        <f t="shared" si="11"/>
        <v>0</v>
      </c>
      <c r="AQ20" s="8" t="e">
        <f t="shared" si="0"/>
        <v>#DIV/0!</v>
      </c>
    </row>
    <row r="21" spans="1:43" ht="18" customHeight="1" x14ac:dyDescent="0.2">
      <c r="A21" s="6"/>
      <c r="B21" s="12"/>
      <c r="C21" s="49"/>
      <c r="D21" s="50"/>
      <c r="E21" s="51"/>
      <c r="F21" s="52">
        <f t="shared" si="13"/>
        <v>0</v>
      </c>
      <c r="G21" s="53"/>
      <c r="H21" s="54"/>
      <c r="I21" s="52">
        <f t="shared" si="12"/>
        <v>0</v>
      </c>
      <c r="J21" s="53"/>
      <c r="K21" s="54"/>
      <c r="L21" s="52">
        <f t="shared" si="1"/>
        <v>0</v>
      </c>
      <c r="M21" s="53"/>
      <c r="N21" s="54"/>
      <c r="O21" s="52">
        <f t="shared" si="2"/>
        <v>0</v>
      </c>
      <c r="P21" s="53"/>
      <c r="Q21" s="54"/>
      <c r="R21" s="52">
        <f t="shared" si="3"/>
        <v>0</v>
      </c>
      <c r="S21" s="53"/>
      <c r="T21" s="54"/>
      <c r="U21" s="52">
        <f t="shared" si="4"/>
        <v>0</v>
      </c>
      <c r="V21" s="53"/>
      <c r="W21" s="54"/>
      <c r="X21" s="52">
        <f t="shared" si="5"/>
        <v>0</v>
      </c>
      <c r="Y21" s="53"/>
      <c r="Z21" s="54"/>
      <c r="AA21" s="52">
        <f t="shared" si="6"/>
        <v>0</v>
      </c>
      <c r="AB21" s="53"/>
      <c r="AC21" s="54"/>
      <c r="AD21" s="52">
        <f t="shared" si="7"/>
        <v>0</v>
      </c>
      <c r="AE21" s="53"/>
      <c r="AF21" s="54"/>
      <c r="AG21" s="52">
        <f t="shared" si="8"/>
        <v>0</v>
      </c>
      <c r="AH21" s="53"/>
      <c r="AI21" s="54"/>
      <c r="AJ21" s="52">
        <f t="shared" si="9"/>
        <v>0</v>
      </c>
      <c r="AK21" s="53"/>
      <c r="AL21" s="54"/>
      <c r="AM21" s="52">
        <f t="shared" si="10"/>
        <v>0</v>
      </c>
      <c r="AN21" s="53"/>
      <c r="AO21" s="54"/>
      <c r="AP21" s="50">
        <f t="shared" si="11"/>
        <v>0</v>
      </c>
      <c r="AQ21" s="8" t="e">
        <f t="shared" si="0"/>
        <v>#DIV/0!</v>
      </c>
    </row>
    <row r="22" spans="1:43" ht="18" customHeight="1" x14ac:dyDescent="0.2">
      <c r="A22" s="6"/>
      <c r="B22" s="12"/>
      <c r="C22" s="49"/>
      <c r="D22" s="50"/>
      <c r="E22" s="51"/>
      <c r="F22" s="52">
        <f t="shared" si="13"/>
        <v>0</v>
      </c>
      <c r="G22" s="53"/>
      <c r="H22" s="54"/>
      <c r="I22" s="52">
        <f t="shared" si="12"/>
        <v>0</v>
      </c>
      <c r="J22" s="53"/>
      <c r="K22" s="54"/>
      <c r="L22" s="52">
        <f t="shared" si="1"/>
        <v>0</v>
      </c>
      <c r="M22" s="53"/>
      <c r="N22" s="54"/>
      <c r="O22" s="52">
        <f t="shared" si="2"/>
        <v>0</v>
      </c>
      <c r="P22" s="53"/>
      <c r="Q22" s="54"/>
      <c r="R22" s="52">
        <f t="shared" si="3"/>
        <v>0</v>
      </c>
      <c r="S22" s="53"/>
      <c r="T22" s="54"/>
      <c r="U22" s="52">
        <f t="shared" si="4"/>
        <v>0</v>
      </c>
      <c r="V22" s="53"/>
      <c r="W22" s="54"/>
      <c r="X22" s="52">
        <f t="shared" si="5"/>
        <v>0</v>
      </c>
      <c r="Y22" s="53"/>
      <c r="Z22" s="54"/>
      <c r="AA22" s="52">
        <f t="shared" si="6"/>
        <v>0</v>
      </c>
      <c r="AB22" s="53"/>
      <c r="AC22" s="54"/>
      <c r="AD22" s="52">
        <f t="shared" si="7"/>
        <v>0</v>
      </c>
      <c r="AE22" s="53"/>
      <c r="AF22" s="54"/>
      <c r="AG22" s="52">
        <f t="shared" si="8"/>
        <v>0</v>
      </c>
      <c r="AH22" s="53"/>
      <c r="AI22" s="54"/>
      <c r="AJ22" s="52">
        <f t="shared" si="9"/>
        <v>0</v>
      </c>
      <c r="AK22" s="53"/>
      <c r="AL22" s="54"/>
      <c r="AM22" s="52">
        <f t="shared" si="10"/>
        <v>0</v>
      </c>
      <c r="AN22" s="53"/>
      <c r="AO22" s="54"/>
      <c r="AP22" s="50">
        <f t="shared" si="11"/>
        <v>0</v>
      </c>
      <c r="AQ22" s="8" t="e">
        <f t="shared" si="0"/>
        <v>#DIV/0!</v>
      </c>
    </row>
    <row r="23" spans="1:43" ht="18" customHeight="1" x14ac:dyDescent="0.2">
      <c r="A23" s="6"/>
      <c r="B23" s="12"/>
      <c r="C23" s="49"/>
      <c r="D23" s="50"/>
      <c r="E23" s="51"/>
      <c r="F23" s="52">
        <f t="shared" si="13"/>
        <v>0</v>
      </c>
      <c r="G23" s="53"/>
      <c r="H23" s="54"/>
      <c r="I23" s="52">
        <f t="shared" si="12"/>
        <v>0</v>
      </c>
      <c r="J23" s="53"/>
      <c r="K23" s="54"/>
      <c r="L23" s="52">
        <f t="shared" si="1"/>
        <v>0</v>
      </c>
      <c r="M23" s="53"/>
      <c r="N23" s="54"/>
      <c r="O23" s="52">
        <f t="shared" si="2"/>
        <v>0</v>
      </c>
      <c r="P23" s="53"/>
      <c r="Q23" s="54"/>
      <c r="R23" s="52">
        <f t="shared" si="3"/>
        <v>0</v>
      </c>
      <c r="S23" s="53"/>
      <c r="T23" s="54"/>
      <c r="U23" s="52">
        <f t="shared" si="4"/>
        <v>0</v>
      </c>
      <c r="V23" s="53"/>
      <c r="W23" s="54"/>
      <c r="X23" s="52">
        <f t="shared" si="5"/>
        <v>0</v>
      </c>
      <c r="Y23" s="53"/>
      <c r="Z23" s="54"/>
      <c r="AA23" s="52">
        <f t="shared" si="6"/>
        <v>0</v>
      </c>
      <c r="AB23" s="53"/>
      <c r="AC23" s="54"/>
      <c r="AD23" s="52">
        <f t="shared" si="7"/>
        <v>0</v>
      </c>
      <c r="AE23" s="53"/>
      <c r="AF23" s="54"/>
      <c r="AG23" s="52">
        <f t="shared" si="8"/>
        <v>0</v>
      </c>
      <c r="AH23" s="53"/>
      <c r="AI23" s="54"/>
      <c r="AJ23" s="52">
        <f t="shared" si="9"/>
        <v>0</v>
      </c>
      <c r="AK23" s="53"/>
      <c r="AL23" s="54"/>
      <c r="AM23" s="52">
        <f t="shared" si="10"/>
        <v>0</v>
      </c>
      <c r="AN23" s="53"/>
      <c r="AO23" s="54"/>
      <c r="AP23" s="50">
        <f t="shared" si="11"/>
        <v>0</v>
      </c>
      <c r="AQ23" s="8" t="e">
        <f t="shared" si="0"/>
        <v>#DIV/0!</v>
      </c>
    </row>
    <row r="24" spans="1:43" ht="18" customHeight="1" x14ac:dyDescent="0.2">
      <c r="A24" s="6"/>
      <c r="B24" s="12"/>
      <c r="C24" s="49"/>
      <c r="D24" s="50"/>
      <c r="E24" s="51"/>
      <c r="F24" s="52">
        <f t="shared" si="13"/>
        <v>0</v>
      </c>
      <c r="G24" s="53"/>
      <c r="H24" s="54"/>
      <c r="I24" s="52">
        <f t="shared" si="12"/>
        <v>0</v>
      </c>
      <c r="J24" s="53"/>
      <c r="K24" s="54"/>
      <c r="L24" s="52">
        <f t="shared" si="1"/>
        <v>0</v>
      </c>
      <c r="M24" s="53"/>
      <c r="N24" s="54"/>
      <c r="O24" s="52">
        <f t="shared" si="2"/>
        <v>0</v>
      </c>
      <c r="P24" s="53"/>
      <c r="Q24" s="54"/>
      <c r="R24" s="52">
        <f t="shared" si="3"/>
        <v>0</v>
      </c>
      <c r="S24" s="53"/>
      <c r="T24" s="54"/>
      <c r="U24" s="52">
        <f t="shared" si="4"/>
        <v>0</v>
      </c>
      <c r="V24" s="53"/>
      <c r="W24" s="54"/>
      <c r="X24" s="52">
        <f t="shared" si="5"/>
        <v>0</v>
      </c>
      <c r="Y24" s="53"/>
      <c r="Z24" s="54"/>
      <c r="AA24" s="52">
        <f t="shared" si="6"/>
        <v>0</v>
      </c>
      <c r="AB24" s="53"/>
      <c r="AC24" s="54"/>
      <c r="AD24" s="52">
        <f t="shared" si="7"/>
        <v>0</v>
      </c>
      <c r="AE24" s="53"/>
      <c r="AF24" s="54"/>
      <c r="AG24" s="52">
        <f t="shared" si="8"/>
        <v>0</v>
      </c>
      <c r="AH24" s="53"/>
      <c r="AI24" s="54"/>
      <c r="AJ24" s="52">
        <f t="shared" si="9"/>
        <v>0</v>
      </c>
      <c r="AK24" s="53"/>
      <c r="AL24" s="54"/>
      <c r="AM24" s="52">
        <f t="shared" si="10"/>
        <v>0</v>
      </c>
      <c r="AN24" s="53"/>
      <c r="AO24" s="54"/>
      <c r="AP24" s="50">
        <f t="shared" si="11"/>
        <v>0</v>
      </c>
      <c r="AQ24" s="8" t="e">
        <f t="shared" si="0"/>
        <v>#DIV/0!</v>
      </c>
    </row>
    <row r="25" spans="1:43" ht="18" customHeight="1" x14ac:dyDescent="0.2">
      <c r="A25" s="6"/>
      <c r="B25" s="12"/>
      <c r="C25" s="49"/>
      <c r="D25" s="50"/>
      <c r="E25" s="51"/>
      <c r="F25" s="52">
        <f t="shared" si="13"/>
        <v>0</v>
      </c>
      <c r="G25" s="53"/>
      <c r="H25" s="54"/>
      <c r="I25" s="52">
        <f t="shared" si="12"/>
        <v>0</v>
      </c>
      <c r="J25" s="53"/>
      <c r="K25" s="54"/>
      <c r="L25" s="52">
        <f t="shared" si="1"/>
        <v>0</v>
      </c>
      <c r="M25" s="53"/>
      <c r="N25" s="54"/>
      <c r="O25" s="52">
        <f t="shared" si="2"/>
        <v>0</v>
      </c>
      <c r="P25" s="53"/>
      <c r="Q25" s="54"/>
      <c r="R25" s="52">
        <f t="shared" si="3"/>
        <v>0</v>
      </c>
      <c r="S25" s="53"/>
      <c r="T25" s="54"/>
      <c r="U25" s="52">
        <f t="shared" si="4"/>
        <v>0</v>
      </c>
      <c r="V25" s="53"/>
      <c r="W25" s="54"/>
      <c r="X25" s="52">
        <f t="shared" si="5"/>
        <v>0</v>
      </c>
      <c r="Y25" s="53"/>
      <c r="Z25" s="54"/>
      <c r="AA25" s="52">
        <f t="shared" si="6"/>
        <v>0</v>
      </c>
      <c r="AB25" s="53"/>
      <c r="AC25" s="54"/>
      <c r="AD25" s="52">
        <f t="shared" si="7"/>
        <v>0</v>
      </c>
      <c r="AE25" s="53"/>
      <c r="AF25" s="54"/>
      <c r="AG25" s="52">
        <f t="shared" si="8"/>
        <v>0</v>
      </c>
      <c r="AH25" s="53"/>
      <c r="AI25" s="54"/>
      <c r="AJ25" s="52">
        <f t="shared" si="9"/>
        <v>0</v>
      </c>
      <c r="AK25" s="53"/>
      <c r="AL25" s="54"/>
      <c r="AM25" s="52">
        <f t="shared" si="10"/>
        <v>0</v>
      </c>
      <c r="AN25" s="53"/>
      <c r="AO25" s="54"/>
      <c r="AP25" s="50">
        <f t="shared" si="11"/>
        <v>0</v>
      </c>
      <c r="AQ25" s="8" t="e">
        <f t="shared" si="0"/>
        <v>#DIV/0!</v>
      </c>
    </row>
    <row r="26" spans="1:43" ht="18" customHeight="1" x14ac:dyDescent="0.2">
      <c r="A26" s="6"/>
      <c r="B26" s="12"/>
      <c r="C26" s="49"/>
      <c r="D26" s="50"/>
      <c r="E26" s="51"/>
      <c r="F26" s="52">
        <f t="shared" si="13"/>
        <v>0</v>
      </c>
      <c r="G26" s="53"/>
      <c r="H26" s="54"/>
      <c r="I26" s="52">
        <f t="shared" si="12"/>
        <v>0</v>
      </c>
      <c r="J26" s="53"/>
      <c r="K26" s="54"/>
      <c r="L26" s="52">
        <f t="shared" si="1"/>
        <v>0</v>
      </c>
      <c r="M26" s="53"/>
      <c r="N26" s="54"/>
      <c r="O26" s="52">
        <f t="shared" si="2"/>
        <v>0</v>
      </c>
      <c r="P26" s="53"/>
      <c r="Q26" s="54"/>
      <c r="R26" s="52">
        <f t="shared" si="3"/>
        <v>0</v>
      </c>
      <c r="S26" s="53"/>
      <c r="T26" s="54"/>
      <c r="U26" s="52">
        <f t="shared" si="4"/>
        <v>0</v>
      </c>
      <c r="V26" s="53"/>
      <c r="W26" s="54"/>
      <c r="X26" s="52">
        <f t="shared" si="5"/>
        <v>0</v>
      </c>
      <c r="Y26" s="53"/>
      <c r="Z26" s="54"/>
      <c r="AA26" s="52">
        <f t="shared" si="6"/>
        <v>0</v>
      </c>
      <c r="AB26" s="53"/>
      <c r="AC26" s="54"/>
      <c r="AD26" s="52">
        <f t="shared" si="7"/>
        <v>0</v>
      </c>
      <c r="AE26" s="53"/>
      <c r="AF26" s="54"/>
      <c r="AG26" s="52">
        <f t="shared" si="8"/>
        <v>0</v>
      </c>
      <c r="AH26" s="53"/>
      <c r="AI26" s="54"/>
      <c r="AJ26" s="52">
        <f t="shared" si="9"/>
        <v>0</v>
      </c>
      <c r="AK26" s="53"/>
      <c r="AL26" s="54"/>
      <c r="AM26" s="52">
        <f t="shared" si="10"/>
        <v>0</v>
      </c>
      <c r="AN26" s="53"/>
      <c r="AO26" s="54"/>
      <c r="AP26" s="50">
        <f t="shared" si="11"/>
        <v>0</v>
      </c>
      <c r="AQ26" s="8" t="e">
        <f t="shared" si="0"/>
        <v>#DIV/0!</v>
      </c>
    </row>
    <row r="27" spans="1:43" ht="18" customHeight="1" x14ac:dyDescent="0.2">
      <c r="A27" s="6"/>
      <c r="B27" s="12"/>
      <c r="C27" s="49"/>
      <c r="D27" s="50"/>
      <c r="E27" s="51"/>
      <c r="F27" s="52">
        <f t="shared" si="13"/>
        <v>0</v>
      </c>
      <c r="G27" s="53"/>
      <c r="H27" s="54"/>
      <c r="I27" s="52">
        <f t="shared" si="12"/>
        <v>0</v>
      </c>
      <c r="J27" s="53"/>
      <c r="K27" s="54"/>
      <c r="L27" s="52">
        <f t="shared" si="1"/>
        <v>0</v>
      </c>
      <c r="M27" s="53"/>
      <c r="N27" s="54"/>
      <c r="O27" s="52">
        <f t="shared" si="2"/>
        <v>0</v>
      </c>
      <c r="P27" s="53"/>
      <c r="Q27" s="54"/>
      <c r="R27" s="52">
        <f t="shared" si="3"/>
        <v>0</v>
      </c>
      <c r="S27" s="53"/>
      <c r="T27" s="54"/>
      <c r="U27" s="52">
        <f t="shared" si="4"/>
        <v>0</v>
      </c>
      <c r="V27" s="53"/>
      <c r="W27" s="54"/>
      <c r="X27" s="52">
        <f t="shared" si="5"/>
        <v>0</v>
      </c>
      <c r="Y27" s="53"/>
      <c r="Z27" s="54"/>
      <c r="AA27" s="52">
        <f t="shared" si="6"/>
        <v>0</v>
      </c>
      <c r="AB27" s="53"/>
      <c r="AC27" s="54"/>
      <c r="AD27" s="52">
        <f t="shared" si="7"/>
        <v>0</v>
      </c>
      <c r="AE27" s="53"/>
      <c r="AF27" s="54"/>
      <c r="AG27" s="52">
        <f t="shared" si="8"/>
        <v>0</v>
      </c>
      <c r="AH27" s="53"/>
      <c r="AI27" s="54"/>
      <c r="AJ27" s="52">
        <f t="shared" si="9"/>
        <v>0</v>
      </c>
      <c r="AK27" s="53"/>
      <c r="AL27" s="54"/>
      <c r="AM27" s="52">
        <f t="shared" si="10"/>
        <v>0</v>
      </c>
      <c r="AN27" s="53"/>
      <c r="AO27" s="54"/>
      <c r="AP27" s="50">
        <f t="shared" si="11"/>
        <v>0</v>
      </c>
      <c r="AQ27" s="8" t="e">
        <f t="shared" si="0"/>
        <v>#DIV/0!</v>
      </c>
    </row>
    <row r="28" spans="1:43" ht="18" customHeight="1" x14ac:dyDescent="0.2">
      <c r="A28" s="6"/>
      <c r="B28" s="12"/>
      <c r="C28" s="49"/>
      <c r="D28" s="50"/>
      <c r="E28" s="51"/>
      <c r="F28" s="52">
        <f t="shared" si="13"/>
        <v>0</v>
      </c>
      <c r="G28" s="53"/>
      <c r="H28" s="54"/>
      <c r="I28" s="52">
        <f t="shared" si="12"/>
        <v>0</v>
      </c>
      <c r="J28" s="53"/>
      <c r="K28" s="54"/>
      <c r="L28" s="52">
        <f t="shared" si="1"/>
        <v>0</v>
      </c>
      <c r="M28" s="53"/>
      <c r="N28" s="54"/>
      <c r="O28" s="52">
        <f t="shared" si="2"/>
        <v>0</v>
      </c>
      <c r="P28" s="53"/>
      <c r="Q28" s="54"/>
      <c r="R28" s="52">
        <f t="shared" si="3"/>
        <v>0</v>
      </c>
      <c r="S28" s="53"/>
      <c r="T28" s="54"/>
      <c r="U28" s="52">
        <f t="shared" si="4"/>
        <v>0</v>
      </c>
      <c r="V28" s="53"/>
      <c r="W28" s="54"/>
      <c r="X28" s="52">
        <f t="shared" si="5"/>
        <v>0</v>
      </c>
      <c r="Y28" s="53"/>
      <c r="Z28" s="54"/>
      <c r="AA28" s="52">
        <f t="shared" si="6"/>
        <v>0</v>
      </c>
      <c r="AB28" s="53"/>
      <c r="AC28" s="54"/>
      <c r="AD28" s="52">
        <f t="shared" si="7"/>
        <v>0</v>
      </c>
      <c r="AE28" s="53"/>
      <c r="AF28" s="54"/>
      <c r="AG28" s="52">
        <f t="shared" si="8"/>
        <v>0</v>
      </c>
      <c r="AH28" s="53"/>
      <c r="AI28" s="54"/>
      <c r="AJ28" s="52">
        <f t="shared" si="9"/>
        <v>0</v>
      </c>
      <c r="AK28" s="53"/>
      <c r="AL28" s="54"/>
      <c r="AM28" s="52">
        <f t="shared" si="10"/>
        <v>0</v>
      </c>
      <c r="AN28" s="53"/>
      <c r="AO28" s="54"/>
      <c r="AP28" s="50">
        <f t="shared" si="11"/>
        <v>0</v>
      </c>
      <c r="AQ28" s="8" t="e">
        <f t="shared" si="0"/>
        <v>#DIV/0!</v>
      </c>
    </row>
    <row r="29" spans="1:43" ht="18" customHeight="1" x14ac:dyDescent="0.2">
      <c r="A29" s="6"/>
      <c r="B29" s="12"/>
      <c r="C29" s="49"/>
      <c r="D29" s="55"/>
      <c r="E29" s="51"/>
      <c r="F29" s="52">
        <f t="shared" si="13"/>
        <v>0</v>
      </c>
      <c r="G29" s="53"/>
      <c r="H29" s="54"/>
      <c r="I29" s="52">
        <f t="shared" si="12"/>
        <v>0</v>
      </c>
      <c r="J29" s="53"/>
      <c r="K29" s="54"/>
      <c r="L29" s="52">
        <f t="shared" si="1"/>
        <v>0</v>
      </c>
      <c r="M29" s="53"/>
      <c r="N29" s="54"/>
      <c r="O29" s="52">
        <f t="shared" si="2"/>
        <v>0</v>
      </c>
      <c r="P29" s="53"/>
      <c r="Q29" s="54"/>
      <c r="R29" s="52">
        <f t="shared" si="3"/>
        <v>0</v>
      </c>
      <c r="S29" s="53"/>
      <c r="T29" s="54"/>
      <c r="U29" s="52">
        <f t="shared" si="4"/>
        <v>0</v>
      </c>
      <c r="V29" s="53"/>
      <c r="W29" s="54"/>
      <c r="X29" s="52">
        <f t="shared" si="5"/>
        <v>0</v>
      </c>
      <c r="Y29" s="53"/>
      <c r="Z29" s="54"/>
      <c r="AA29" s="52">
        <f t="shared" si="6"/>
        <v>0</v>
      </c>
      <c r="AB29" s="53"/>
      <c r="AC29" s="54"/>
      <c r="AD29" s="52">
        <f t="shared" si="7"/>
        <v>0</v>
      </c>
      <c r="AE29" s="53"/>
      <c r="AF29" s="54"/>
      <c r="AG29" s="52">
        <f t="shared" si="8"/>
        <v>0</v>
      </c>
      <c r="AH29" s="53"/>
      <c r="AI29" s="54"/>
      <c r="AJ29" s="52">
        <f t="shared" si="9"/>
        <v>0</v>
      </c>
      <c r="AK29" s="53"/>
      <c r="AL29" s="54"/>
      <c r="AM29" s="52">
        <f t="shared" si="10"/>
        <v>0</v>
      </c>
      <c r="AN29" s="53"/>
      <c r="AO29" s="54"/>
      <c r="AP29" s="55">
        <f t="shared" si="11"/>
        <v>0</v>
      </c>
      <c r="AQ29" s="8" t="e">
        <f t="shared" si="0"/>
        <v>#DIV/0!</v>
      </c>
    </row>
    <row r="30" spans="1:43" ht="18" customHeight="1" x14ac:dyDescent="0.2">
      <c r="A30" s="6"/>
      <c r="B30" s="12"/>
      <c r="C30" s="49"/>
      <c r="D30" s="55"/>
      <c r="E30" s="51"/>
      <c r="F30" s="52">
        <f t="shared" si="13"/>
        <v>0</v>
      </c>
      <c r="G30" s="53"/>
      <c r="H30" s="54"/>
      <c r="I30" s="52">
        <f t="shared" si="12"/>
        <v>0</v>
      </c>
      <c r="J30" s="53"/>
      <c r="K30" s="54"/>
      <c r="L30" s="52">
        <f t="shared" si="1"/>
        <v>0</v>
      </c>
      <c r="M30" s="53"/>
      <c r="N30" s="54"/>
      <c r="O30" s="52">
        <f t="shared" si="2"/>
        <v>0</v>
      </c>
      <c r="P30" s="53"/>
      <c r="Q30" s="54"/>
      <c r="R30" s="52">
        <f t="shared" si="3"/>
        <v>0</v>
      </c>
      <c r="S30" s="53"/>
      <c r="T30" s="54"/>
      <c r="U30" s="52">
        <f t="shared" si="4"/>
        <v>0</v>
      </c>
      <c r="V30" s="53"/>
      <c r="W30" s="54"/>
      <c r="X30" s="52">
        <f t="shared" si="5"/>
        <v>0</v>
      </c>
      <c r="Y30" s="53"/>
      <c r="Z30" s="54"/>
      <c r="AA30" s="52">
        <f t="shared" si="6"/>
        <v>0</v>
      </c>
      <c r="AB30" s="53"/>
      <c r="AC30" s="54"/>
      <c r="AD30" s="52">
        <f t="shared" si="7"/>
        <v>0</v>
      </c>
      <c r="AE30" s="53"/>
      <c r="AF30" s="54"/>
      <c r="AG30" s="52">
        <f t="shared" si="8"/>
        <v>0</v>
      </c>
      <c r="AH30" s="53"/>
      <c r="AI30" s="54"/>
      <c r="AJ30" s="52">
        <f t="shared" si="9"/>
        <v>0</v>
      </c>
      <c r="AK30" s="53"/>
      <c r="AL30" s="54"/>
      <c r="AM30" s="52">
        <f t="shared" si="10"/>
        <v>0</v>
      </c>
      <c r="AN30" s="53"/>
      <c r="AO30" s="54"/>
      <c r="AP30" s="55">
        <f t="shared" si="11"/>
        <v>0</v>
      </c>
      <c r="AQ30" s="8" t="e">
        <f t="shared" si="0"/>
        <v>#DIV/0!</v>
      </c>
    </row>
    <row r="31" spans="1:43" ht="18" customHeight="1" thickBot="1" x14ac:dyDescent="0.25">
      <c r="A31" s="6"/>
      <c r="B31" s="13"/>
      <c r="C31" s="44"/>
      <c r="D31" s="56"/>
      <c r="E31" s="46"/>
      <c r="F31" s="46">
        <f t="shared" si="13"/>
        <v>0</v>
      </c>
      <c r="G31" s="57"/>
      <c r="H31" s="58"/>
      <c r="I31" s="46">
        <f t="shared" si="12"/>
        <v>0</v>
      </c>
      <c r="J31" s="57"/>
      <c r="K31" s="58"/>
      <c r="L31" s="46">
        <f t="shared" si="1"/>
        <v>0</v>
      </c>
      <c r="M31" s="57"/>
      <c r="N31" s="58"/>
      <c r="O31" s="46">
        <f t="shared" si="2"/>
        <v>0</v>
      </c>
      <c r="P31" s="57"/>
      <c r="Q31" s="58"/>
      <c r="R31" s="46">
        <f t="shared" si="3"/>
        <v>0</v>
      </c>
      <c r="S31" s="57"/>
      <c r="T31" s="58"/>
      <c r="U31" s="46">
        <f t="shared" si="4"/>
        <v>0</v>
      </c>
      <c r="V31" s="57"/>
      <c r="W31" s="58"/>
      <c r="X31" s="46">
        <f t="shared" si="5"/>
        <v>0</v>
      </c>
      <c r="Y31" s="57"/>
      <c r="Z31" s="58"/>
      <c r="AA31" s="46">
        <f t="shared" si="6"/>
        <v>0</v>
      </c>
      <c r="AB31" s="57"/>
      <c r="AC31" s="58"/>
      <c r="AD31" s="46">
        <f t="shared" si="7"/>
        <v>0</v>
      </c>
      <c r="AE31" s="57"/>
      <c r="AF31" s="58"/>
      <c r="AG31" s="46">
        <f t="shared" si="8"/>
        <v>0</v>
      </c>
      <c r="AH31" s="57"/>
      <c r="AI31" s="58"/>
      <c r="AJ31" s="46">
        <f t="shared" si="9"/>
        <v>0</v>
      </c>
      <c r="AK31" s="57"/>
      <c r="AL31" s="58"/>
      <c r="AM31" s="46">
        <f t="shared" si="10"/>
        <v>0</v>
      </c>
      <c r="AN31" s="57"/>
      <c r="AO31" s="58"/>
      <c r="AP31" s="56">
        <f t="shared" si="11"/>
        <v>0</v>
      </c>
      <c r="AQ31" s="7" t="e">
        <f t="shared" si="0"/>
        <v>#DIV/0!</v>
      </c>
    </row>
    <row r="32" spans="1:43" ht="18" customHeight="1" thickTop="1" x14ac:dyDescent="0.2">
      <c r="B32" s="14" t="s">
        <v>32</v>
      </c>
      <c r="C32" s="59">
        <f t="shared" ref="C32" si="14">SUM(C12:C31)</f>
        <v>5412</v>
      </c>
      <c r="D32" s="60">
        <f t="shared" ref="D32:AP32" si="15">SUM(D12:D31)</f>
        <v>1297</v>
      </c>
      <c r="E32" s="61">
        <f t="shared" si="15"/>
        <v>5188</v>
      </c>
      <c r="F32" s="61">
        <f t="shared" si="15"/>
        <v>1316</v>
      </c>
      <c r="G32" s="62">
        <f t="shared" si="15"/>
        <v>0</v>
      </c>
      <c r="H32" s="63">
        <f t="shared" si="15"/>
        <v>0</v>
      </c>
      <c r="I32" s="61">
        <f t="shared" ref="I32:N32" si="16">SUM(I12:I31)</f>
        <v>838</v>
      </c>
      <c r="J32" s="62">
        <f t="shared" si="16"/>
        <v>0</v>
      </c>
      <c r="K32" s="63">
        <f t="shared" si="16"/>
        <v>0</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1316</v>
      </c>
      <c r="AQ32" s="9">
        <f t="shared" si="0"/>
        <v>0.25366229760986891</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06" zoomScaleNormal="100" zoomScaleSheetLayoutView="100" workbookViewId="0">
      <selection activeCell="M16" sqref="M16"/>
    </sheetView>
  </sheetViews>
  <sheetFormatPr defaultColWidth="11.33203125" defaultRowHeight="18.75" customHeight="1" x14ac:dyDescent="0.2"/>
  <cols>
    <col min="1" max="1" width="2.77734375" style="25"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5" t="s">
        <v>64</v>
      </c>
      <c r="I1" s="23" t="s">
        <v>105</v>
      </c>
    </row>
    <row r="2" spans="1:9" ht="18.75" customHeight="1" x14ac:dyDescent="0.2">
      <c r="G2" s="23" t="s">
        <v>108</v>
      </c>
      <c r="H2" s="70" t="str">
        <f>'様式１ー２（社会情報科学部）'!C2</f>
        <v>兵庫県立大学</v>
      </c>
      <c r="I2" s="69"/>
    </row>
    <row r="3" spans="1:9" ht="18.75" customHeight="1" x14ac:dyDescent="0.2">
      <c r="G3" s="23"/>
      <c r="H3" s="10"/>
      <c r="I3" s="10"/>
    </row>
    <row r="4" spans="1:9" ht="18.600000000000001" customHeight="1" x14ac:dyDescent="0.2">
      <c r="A4" s="71" t="s">
        <v>35</v>
      </c>
      <c r="B4" s="71"/>
      <c r="C4" s="71"/>
      <c r="D4" s="71"/>
      <c r="E4" s="71"/>
      <c r="F4" s="71"/>
      <c r="G4" s="71"/>
      <c r="H4" s="71"/>
      <c r="I4" s="71"/>
    </row>
    <row r="5" spans="1:9" ht="13.2" customHeight="1" x14ac:dyDescent="0.2">
      <c r="B5" s="3"/>
      <c r="C5" s="3"/>
      <c r="D5" s="3"/>
      <c r="E5" s="3"/>
      <c r="F5" s="3"/>
      <c r="G5" s="3"/>
      <c r="H5" s="3"/>
      <c r="I5" s="3"/>
    </row>
    <row r="6" spans="1:9" ht="18" customHeight="1" x14ac:dyDescent="0.2">
      <c r="A6" s="1" t="s">
        <v>0</v>
      </c>
      <c r="B6" s="10" t="s">
        <v>90</v>
      </c>
      <c r="C6" s="147" t="s">
        <v>91</v>
      </c>
      <c r="D6" s="147"/>
      <c r="E6" s="22">
        <v>519</v>
      </c>
      <c r="F6" s="3" t="s">
        <v>1</v>
      </c>
      <c r="G6" s="3" t="s">
        <v>2</v>
      </c>
      <c r="H6" s="22">
        <v>323</v>
      </c>
      <c r="I6" s="10" t="s">
        <v>1</v>
      </c>
    </row>
    <row r="7" spans="1:9" ht="12" customHeight="1" x14ac:dyDescent="0.2">
      <c r="C7" s="2"/>
      <c r="D7" s="2"/>
      <c r="E7" s="2"/>
      <c r="F7" s="2"/>
      <c r="G7" s="2"/>
      <c r="H7" s="2"/>
      <c r="I7" s="26"/>
    </row>
    <row r="8" spans="1:9" ht="18" customHeight="1" x14ac:dyDescent="0.2">
      <c r="A8" s="1" t="s">
        <v>3</v>
      </c>
      <c r="B8" s="10" t="s">
        <v>92</v>
      </c>
      <c r="E8" s="3"/>
      <c r="F8" s="3"/>
      <c r="G8" s="3"/>
      <c r="H8" s="22">
        <v>48</v>
      </c>
      <c r="I8" s="10" t="s">
        <v>1</v>
      </c>
    </row>
    <row r="9" spans="1:9" ht="9" customHeight="1" x14ac:dyDescent="0.2">
      <c r="B9" s="3"/>
      <c r="C9" s="3"/>
      <c r="D9" s="3"/>
      <c r="E9" s="3"/>
      <c r="F9" s="3"/>
      <c r="G9" s="3"/>
      <c r="H9" s="3"/>
      <c r="I9" s="3"/>
    </row>
    <row r="10" spans="1:9" ht="18" customHeight="1" x14ac:dyDescent="0.2">
      <c r="A10" s="1" t="s">
        <v>4</v>
      </c>
      <c r="B10" s="10" t="s">
        <v>93</v>
      </c>
      <c r="C10" s="3"/>
      <c r="D10" s="3"/>
      <c r="E10" s="3"/>
      <c r="F10" s="3"/>
      <c r="G10" s="3"/>
      <c r="H10" s="3"/>
      <c r="I10" s="3"/>
    </row>
    <row r="11" spans="1:9" ht="18" customHeight="1" x14ac:dyDescent="0.2">
      <c r="B11" s="23" t="s">
        <v>42</v>
      </c>
      <c r="C11" s="142" t="s">
        <v>129</v>
      </c>
      <c r="D11" s="145"/>
      <c r="E11" s="146"/>
      <c r="F11" s="26"/>
      <c r="G11" s="23" t="s">
        <v>10</v>
      </c>
      <c r="H11" s="142" t="s">
        <v>131</v>
      </c>
      <c r="I11" s="146"/>
    </row>
    <row r="12" spans="1:9" ht="10.199999999999999" customHeight="1" x14ac:dyDescent="0.2">
      <c r="B12" s="23"/>
      <c r="C12" s="10"/>
      <c r="D12" s="26"/>
      <c r="E12" s="26"/>
      <c r="F12" s="26"/>
      <c r="G12" s="23"/>
      <c r="H12" s="10"/>
      <c r="I12" s="26"/>
    </row>
    <row r="13" spans="1:9" ht="18" customHeight="1" x14ac:dyDescent="0.2">
      <c r="A13" s="1" t="s">
        <v>7</v>
      </c>
      <c r="B13" s="10" t="s">
        <v>87</v>
      </c>
      <c r="C13" s="3"/>
      <c r="D13" s="3"/>
      <c r="E13" s="3"/>
      <c r="F13" s="3"/>
      <c r="G13" s="3"/>
      <c r="H13" s="3"/>
      <c r="I13" s="3"/>
    </row>
    <row r="14" spans="1:9" ht="18" customHeight="1" x14ac:dyDescent="0.2">
      <c r="B14" s="142" t="s">
        <v>130</v>
      </c>
      <c r="C14" s="143"/>
      <c r="D14" s="143"/>
      <c r="E14" s="143"/>
      <c r="F14" s="143"/>
      <c r="G14" s="143"/>
      <c r="H14" s="143"/>
      <c r="I14" s="144"/>
    </row>
    <row r="15" spans="1:9" ht="9" customHeight="1" x14ac:dyDescent="0.2">
      <c r="B15" s="3"/>
      <c r="C15" s="3"/>
      <c r="D15" s="3"/>
      <c r="E15" s="3"/>
      <c r="F15" s="3"/>
      <c r="G15" s="3"/>
      <c r="H15" s="3"/>
      <c r="I15" s="3"/>
    </row>
    <row r="16" spans="1:9" ht="18" customHeight="1" x14ac:dyDescent="0.2">
      <c r="B16" s="23" t="s">
        <v>42</v>
      </c>
      <c r="C16" s="142" t="s">
        <v>129</v>
      </c>
      <c r="D16" s="145"/>
      <c r="E16" s="146"/>
      <c r="F16" s="26"/>
      <c r="G16" s="23" t="s">
        <v>10</v>
      </c>
      <c r="H16" s="142" t="s">
        <v>132</v>
      </c>
      <c r="I16" s="146"/>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33" t="s">
        <v>134</v>
      </c>
      <c r="C19" s="134"/>
      <c r="D19" s="134"/>
      <c r="E19" s="134"/>
      <c r="F19" s="134"/>
      <c r="G19" s="134"/>
      <c r="H19" s="134"/>
      <c r="I19" s="135"/>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5"/>
      <c r="B22" s="123" t="s">
        <v>133</v>
      </c>
      <c r="C22" s="124"/>
      <c r="D22" s="124"/>
      <c r="E22" s="124"/>
      <c r="F22" s="124"/>
      <c r="G22" s="124"/>
      <c r="H22" s="124"/>
      <c r="I22" s="125"/>
    </row>
    <row r="23" spans="1:9" ht="18.75" customHeight="1" x14ac:dyDescent="0.2">
      <c r="A23" s="15"/>
      <c r="B23" s="136"/>
      <c r="C23" s="137"/>
      <c r="D23" s="137"/>
      <c r="E23" s="137"/>
      <c r="F23" s="137"/>
      <c r="G23" s="137"/>
      <c r="H23" s="137"/>
      <c r="I23" s="128"/>
    </row>
    <row r="24" spans="1:9" ht="18.75" customHeight="1" x14ac:dyDescent="0.2">
      <c r="A24" s="15"/>
      <c r="B24" s="136"/>
      <c r="C24" s="137"/>
      <c r="D24" s="137"/>
      <c r="E24" s="137"/>
      <c r="F24" s="137"/>
      <c r="G24" s="137"/>
      <c r="H24" s="137"/>
      <c r="I24" s="128"/>
    </row>
    <row r="25" spans="1:9" ht="18.75" customHeight="1" x14ac:dyDescent="0.2">
      <c r="A25" s="15"/>
      <c r="B25" s="136"/>
      <c r="C25" s="137"/>
      <c r="D25" s="137"/>
      <c r="E25" s="137"/>
      <c r="F25" s="137"/>
      <c r="G25" s="137"/>
      <c r="H25" s="137"/>
      <c r="I25" s="128"/>
    </row>
    <row r="26" spans="1:9" ht="18.75" customHeight="1" x14ac:dyDescent="0.2">
      <c r="A26" s="15"/>
      <c r="B26" s="136"/>
      <c r="C26" s="137"/>
      <c r="D26" s="137"/>
      <c r="E26" s="137"/>
      <c r="F26" s="137"/>
      <c r="G26" s="137"/>
      <c r="H26" s="137"/>
      <c r="I26" s="128"/>
    </row>
    <row r="27" spans="1:9" ht="18.75" customHeight="1" x14ac:dyDescent="0.2">
      <c r="A27" s="15"/>
      <c r="B27" s="136"/>
      <c r="C27" s="137"/>
      <c r="D27" s="137"/>
      <c r="E27" s="137"/>
      <c r="F27" s="137"/>
      <c r="G27" s="137"/>
      <c r="H27" s="137"/>
      <c r="I27" s="128"/>
    </row>
    <row r="28" spans="1:9" ht="18.75" customHeight="1" x14ac:dyDescent="0.2">
      <c r="A28" s="15"/>
      <c r="B28" s="136"/>
      <c r="C28" s="137"/>
      <c r="D28" s="137"/>
      <c r="E28" s="137"/>
      <c r="F28" s="137"/>
      <c r="G28" s="137"/>
      <c r="H28" s="137"/>
      <c r="I28" s="128"/>
    </row>
    <row r="29" spans="1:9" ht="18.75" customHeight="1" x14ac:dyDescent="0.2">
      <c r="A29" s="15"/>
      <c r="B29" s="136"/>
      <c r="C29" s="137"/>
      <c r="D29" s="137"/>
      <c r="E29" s="137"/>
      <c r="F29" s="137"/>
      <c r="G29" s="137"/>
      <c r="H29" s="137"/>
      <c r="I29" s="128"/>
    </row>
    <row r="30" spans="1:9" ht="18.75" customHeight="1" x14ac:dyDescent="0.2">
      <c r="A30" s="15"/>
      <c r="B30" s="126"/>
      <c r="C30" s="127"/>
      <c r="D30" s="127"/>
      <c r="E30" s="127"/>
      <c r="F30" s="127"/>
      <c r="G30" s="127"/>
      <c r="H30" s="127"/>
      <c r="I30" s="128"/>
    </row>
    <row r="31" spans="1:9" ht="18.75" customHeight="1" x14ac:dyDescent="0.2">
      <c r="A31" s="15"/>
      <c r="B31" s="126"/>
      <c r="C31" s="127"/>
      <c r="D31" s="127"/>
      <c r="E31" s="127"/>
      <c r="F31" s="127"/>
      <c r="G31" s="127"/>
      <c r="H31" s="127"/>
      <c r="I31" s="128"/>
    </row>
    <row r="32" spans="1:9" ht="18.75" customHeight="1" x14ac:dyDescent="0.2">
      <c r="A32" s="15"/>
      <c r="B32" s="129"/>
      <c r="C32" s="130"/>
      <c r="D32" s="130"/>
      <c r="E32" s="130"/>
      <c r="F32" s="130"/>
      <c r="G32" s="130"/>
      <c r="H32" s="130"/>
      <c r="I32" s="131"/>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38" t="s">
        <v>197</v>
      </c>
      <c r="C35" s="124"/>
      <c r="D35" s="124"/>
      <c r="E35" s="124"/>
      <c r="F35" s="124"/>
      <c r="G35" s="124"/>
      <c r="H35" s="124"/>
      <c r="I35" s="125"/>
    </row>
    <row r="36" spans="1:9" ht="18.75" customHeight="1" x14ac:dyDescent="0.2">
      <c r="A36" s="15"/>
      <c r="B36" s="126"/>
      <c r="C36" s="127"/>
      <c r="D36" s="127"/>
      <c r="E36" s="127"/>
      <c r="F36" s="127"/>
      <c r="G36" s="127"/>
      <c r="H36" s="127"/>
      <c r="I36" s="128"/>
    </row>
    <row r="37" spans="1:9" ht="18.75" customHeight="1" x14ac:dyDescent="0.2">
      <c r="A37" s="15"/>
      <c r="B37" s="126"/>
      <c r="C37" s="127"/>
      <c r="D37" s="127"/>
      <c r="E37" s="127"/>
      <c r="F37" s="127"/>
      <c r="G37" s="127"/>
      <c r="H37" s="127"/>
      <c r="I37" s="128"/>
    </row>
    <row r="38" spans="1:9" ht="18.75" customHeight="1" x14ac:dyDescent="0.2">
      <c r="A38" s="15"/>
      <c r="B38" s="126"/>
      <c r="C38" s="127"/>
      <c r="D38" s="127"/>
      <c r="E38" s="127"/>
      <c r="F38" s="127"/>
      <c r="G38" s="127"/>
      <c r="H38" s="127"/>
      <c r="I38" s="128"/>
    </row>
    <row r="39" spans="1:9" ht="18.75" customHeight="1" x14ac:dyDescent="0.2">
      <c r="A39" s="15"/>
      <c r="B39" s="126"/>
      <c r="C39" s="127"/>
      <c r="D39" s="127"/>
      <c r="E39" s="127"/>
      <c r="F39" s="127"/>
      <c r="G39" s="127"/>
      <c r="H39" s="127"/>
      <c r="I39" s="128"/>
    </row>
    <row r="40" spans="1:9" ht="18.75" customHeight="1" x14ac:dyDescent="0.2">
      <c r="A40" s="15"/>
      <c r="B40" s="126"/>
      <c r="C40" s="127"/>
      <c r="D40" s="127"/>
      <c r="E40" s="127"/>
      <c r="F40" s="127"/>
      <c r="G40" s="127"/>
      <c r="H40" s="127"/>
      <c r="I40" s="128"/>
    </row>
    <row r="41" spans="1:9" ht="18.75" customHeight="1" x14ac:dyDescent="0.2">
      <c r="A41" s="15"/>
      <c r="B41" s="126"/>
      <c r="C41" s="127"/>
      <c r="D41" s="127"/>
      <c r="E41" s="127"/>
      <c r="F41" s="127"/>
      <c r="G41" s="127"/>
      <c r="H41" s="127"/>
      <c r="I41" s="128"/>
    </row>
    <row r="42" spans="1:9" ht="18.75" customHeight="1" x14ac:dyDescent="0.2">
      <c r="A42" s="15"/>
      <c r="B42" s="126"/>
      <c r="C42" s="127"/>
      <c r="D42" s="127"/>
      <c r="E42" s="127"/>
      <c r="F42" s="127"/>
      <c r="G42" s="127"/>
      <c r="H42" s="127"/>
      <c r="I42" s="128"/>
    </row>
    <row r="43" spans="1:9" ht="18.75" customHeight="1" x14ac:dyDescent="0.2">
      <c r="A43" s="15"/>
      <c r="B43" s="126"/>
      <c r="C43" s="127"/>
      <c r="D43" s="127"/>
      <c r="E43" s="127"/>
      <c r="F43" s="127"/>
      <c r="G43" s="127"/>
      <c r="H43" s="127"/>
      <c r="I43" s="128"/>
    </row>
    <row r="44" spans="1:9" ht="18.75" customHeight="1" x14ac:dyDescent="0.2">
      <c r="A44" s="15"/>
      <c r="B44" s="126"/>
      <c r="C44" s="127"/>
      <c r="D44" s="127"/>
      <c r="E44" s="127"/>
      <c r="F44" s="127"/>
      <c r="G44" s="127"/>
      <c r="H44" s="127"/>
      <c r="I44" s="128"/>
    </row>
    <row r="45" spans="1:9" ht="18.75" customHeight="1" x14ac:dyDescent="0.2">
      <c r="A45" s="15"/>
      <c r="B45" s="126"/>
      <c r="C45" s="127"/>
      <c r="D45" s="127"/>
      <c r="E45" s="127"/>
      <c r="F45" s="127"/>
      <c r="G45" s="127"/>
      <c r="H45" s="127"/>
      <c r="I45" s="128"/>
    </row>
    <row r="46" spans="1:9" ht="18.75" customHeight="1" x14ac:dyDescent="0.2">
      <c r="A46" s="15"/>
      <c r="B46" s="129"/>
      <c r="C46" s="130"/>
      <c r="D46" s="130"/>
      <c r="E46" s="130"/>
      <c r="F46" s="130"/>
      <c r="G46" s="130"/>
      <c r="H46" s="130"/>
      <c r="I46" s="131"/>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27" t="s">
        <v>88</v>
      </c>
      <c r="C49" s="112">
        <f>'様式２ 履修者等数の実績'!AQ32</f>
        <v>0.25366229760986891</v>
      </c>
      <c r="D49" s="112"/>
      <c r="E49" s="27" t="s">
        <v>65</v>
      </c>
      <c r="F49" s="112">
        <v>0.5</v>
      </c>
      <c r="G49" s="112"/>
      <c r="H49" s="27" t="s">
        <v>66</v>
      </c>
      <c r="I49" s="28">
        <v>0.75</v>
      </c>
      <c r="J49" s="1"/>
      <c r="M49" s="1"/>
      <c r="N49" s="29"/>
    </row>
    <row r="50" spans="1:15" s="3" customFormat="1" ht="18.75" customHeight="1" x14ac:dyDescent="0.2">
      <c r="B50" s="30" t="s">
        <v>67</v>
      </c>
      <c r="C50" s="113">
        <v>1</v>
      </c>
      <c r="D50" s="113"/>
      <c r="E50" s="30" t="s">
        <v>89</v>
      </c>
      <c r="F50" s="113">
        <v>1</v>
      </c>
      <c r="G50" s="113"/>
      <c r="H50" s="30" t="s">
        <v>68</v>
      </c>
      <c r="I50" s="31">
        <f>'様式２ 履修者等数の実績'!E32</f>
        <v>5188</v>
      </c>
      <c r="J50" s="1"/>
      <c r="M50" s="1"/>
      <c r="N50" s="29"/>
    </row>
    <row r="51" spans="1:15" ht="18.75" customHeight="1" x14ac:dyDescent="0.2">
      <c r="A51" s="1"/>
      <c r="B51" s="139" t="s">
        <v>69</v>
      </c>
      <c r="C51" s="140"/>
      <c r="D51" s="140"/>
      <c r="E51" s="140"/>
      <c r="F51" s="140"/>
      <c r="G51" s="140"/>
      <c r="H51" s="140"/>
      <c r="I51" s="141"/>
      <c r="N51" s="29"/>
      <c r="O51" s="3"/>
    </row>
    <row r="52" spans="1:15" ht="18.75" customHeight="1" x14ac:dyDescent="0.2">
      <c r="A52" s="1"/>
      <c r="B52" s="114" t="s">
        <v>135</v>
      </c>
      <c r="C52" s="115"/>
      <c r="D52" s="115"/>
      <c r="E52" s="115"/>
      <c r="F52" s="115"/>
      <c r="G52" s="115"/>
      <c r="H52" s="115"/>
      <c r="I52" s="116"/>
      <c r="N52" s="29"/>
      <c r="O52" s="3"/>
    </row>
    <row r="53" spans="1:15" ht="18.75" customHeight="1" x14ac:dyDescent="0.2">
      <c r="A53" s="1"/>
      <c r="B53" s="117"/>
      <c r="C53" s="118"/>
      <c r="D53" s="118"/>
      <c r="E53" s="118"/>
      <c r="F53" s="118"/>
      <c r="G53" s="118"/>
      <c r="H53" s="118"/>
      <c r="I53" s="119"/>
      <c r="N53" s="29"/>
      <c r="O53" s="3"/>
    </row>
    <row r="54" spans="1:15" ht="18.75" customHeight="1" x14ac:dyDescent="0.2">
      <c r="A54" s="1"/>
      <c r="B54" s="117"/>
      <c r="C54" s="118"/>
      <c r="D54" s="118"/>
      <c r="E54" s="118"/>
      <c r="F54" s="118"/>
      <c r="G54" s="118"/>
      <c r="H54" s="118"/>
      <c r="I54" s="119"/>
    </row>
    <row r="55" spans="1:15" ht="18.75" customHeight="1" x14ac:dyDescent="0.2">
      <c r="A55" s="1"/>
      <c r="B55" s="117"/>
      <c r="C55" s="118"/>
      <c r="D55" s="118"/>
      <c r="E55" s="118"/>
      <c r="F55" s="118"/>
      <c r="G55" s="118"/>
      <c r="H55" s="118"/>
      <c r="I55" s="119"/>
    </row>
    <row r="56" spans="1:15" ht="18.75" customHeight="1" x14ac:dyDescent="0.2">
      <c r="A56" s="1"/>
      <c r="B56" s="117"/>
      <c r="C56" s="118"/>
      <c r="D56" s="118"/>
      <c r="E56" s="118"/>
      <c r="F56" s="118"/>
      <c r="G56" s="118"/>
      <c r="H56" s="118"/>
      <c r="I56" s="119"/>
    </row>
    <row r="57" spans="1:15" ht="18.75" customHeight="1" x14ac:dyDescent="0.2">
      <c r="A57" s="1"/>
      <c r="B57" s="117"/>
      <c r="C57" s="118"/>
      <c r="D57" s="118"/>
      <c r="E57" s="118"/>
      <c r="F57" s="118"/>
      <c r="G57" s="118"/>
      <c r="H57" s="118"/>
      <c r="I57" s="119"/>
    </row>
    <row r="58" spans="1:15" ht="18.75" customHeight="1" x14ac:dyDescent="0.2">
      <c r="A58" s="1"/>
      <c r="B58" s="117"/>
      <c r="C58" s="118"/>
      <c r="D58" s="118"/>
      <c r="E58" s="118"/>
      <c r="F58" s="118"/>
      <c r="G58" s="118"/>
      <c r="H58" s="118"/>
      <c r="I58" s="119"/>
    </row>
    <row r="59" spans="1:15" ht="18.75" customHeight="1" x14ac:dyDescent="0.2">
      <c r="A59" s="1"/>
      <c r="B59" s="117"/>
      <c r="C59" s="118"/>
      <c r="D59" s="118"/>
      <c r="E59" s="118"/>
      <c r="F59" s="118"/>
      <c r="G59" s="118"/>
      <c r="H59" s="118"/>
      <c r="I59" s="119"/>
    </row>
    <row r="60" spans="1:15" ht="18.75" customHeight="1" x14ac:dyDescent="0.2">
      <c r="A60" s="1"/>
      <c r="B60" s="117"/>
      <c r="C60" s="118"/>
      <c r="D60" s="118"/>
      <c r="E60" s="118"/>
      <c r="F60" s="118"/>
      <c r="G60" s="118"/>
      <c r="H60" s="118"/>
      <c r="I60" s="119"/>
    </row>
    <row r="61" spans="1:15" ht="18.75" customHeight="1" x14ac:dyDescent="0.2">
      <c r="A61" s="1"/>
      <c r="B61" s="117"/>
      <c r="C61" s="118"/>
      <c r="D61" s="118"/>
      <c r="E61" s="118"/>
      <c r="F61" s="118"/>
      <c r="G61" s="118"/>
      <c r="H61" s="118"/>
      <c r="I61" s="119"/>
    </row>
    <row r="62" spans="1:15" ht="18.75" customHeight="1" x14ac:dyDescent="0.2">
      <c r="A62" s="1"/>
      <c r="B62" s="117"/>
      <c r="C62" s="118"/>
      <c r="D62" s="118"/>
      <c r="E62" s="118"/>
      <c r="F62" s="118"/>
      <c r="G62" s="118"/>
      <c r="H62" s="118"/>
      <c r="I62" s="119"/>
    </row>
    <row r="63" spans="1:15" ht="18.75" customHeight="1" x14ac:dyDescent="0.2">
      <c r="A63" s="1"/>
      <c r="B63" s="120"/>
      <c r="C63" s="121"/>
      <c r="D63" s="121"/>
      <c r="E63" s="121"/>
      <c r="F63" s="121"/>
      <c r="G63" s="121"/>
      <c r="H63" s="121"/>
      <c r="I63" s="122"/>
    </row>
    <row r="64" spans="1:15" ht="7.5" customHeight="1" x14ac:dyDescent="0.2">
      <c r="A64" s="15"/>
      <c r="B64" s="15"/>
      <c r="C64" s="15"/>
      <c r="D64" s="15"/>
      <c r="E64" s="15"/>
      <c r="F64" s="15"/>
      <c r="G64" s="15"/>
      <c r="H64" s="15"/>
      <c r="I64" s="15"/>
    </row>
    <row r="65" spans="1:9" ht="18.75" customHeight="1" x14ac:dyDescent="0.2">
      <c r="A65" s="16" t="s">
        <v>33</v>
      </c>
      <c r="B65" s="1" t="s">
        <v>36</v>
      </c>
      <c r="I65" s="16"/>
    </row>
    <row r="66" spans="1:9" ht="18.75" customHeight="1" x14ac:dyDescent="0.2">
      <c r="A66" s="4"/>
      <c r="B66" s="96" t="s">
        <v>136</v>
      </c>
      <c r="C66" s="97"/>
      <c r="D66" s="97"/>
      <c r="E66" s="97"/>
      <c r="F66" s="97"/>
      <c r="G66" s="97"/>
      <c r="H66" s="97"/>
      <c r="I66" s="98"/>
    </row>
    <row r="67" spans="1:9" ht="18.75" customHeight="1" x14ac:dyDescent="0.2">
      <c r="A67" s="4"/>
      <c r="B67" s="99"/>
      <c r="C67" s="100"/>
      <c r="D67" s="100"/>
      <c r="E67" s="100"/>
      <c r="F67" s="100"/>
      <c r="G67" s="100"/>
      <c r="H67" s="100"/>
      <c r="I67" s="101"/>
    </row>
    <row r="68" spans="1:9" ht="18.75" customHeight="1" x14ac:dyDescent="0.2">
      <c r="A68" s="4"/>
      <c r="B68" s="99"/>
      <c r="C68" s="100"/>
      <c r="D68" s="100"/>
      <c r="E68" s="100"/>
      <c r="F68" s="100"/>
      <c r="G68" s="100"/>
      <c r="H68" s="100"/>
      <c r="I68" s="101"/>
    </row>
    <row r="69" spans="1:9" ht="18.75" customHeight="1" x14ac:dyDescent="0.2">
      <c r="A69" s="4"/>
      <c r="B69" s="99"/>
      <c r="C69" s="100"/>
      <c r="D69" s="100"/>
      <c r="E69" s="100"/>
      <c r="F69" s="100"/>
      <c r="G69" s="100"/>
      <c r="H69" s="100"/>
      <c r="I69" s="101"/>
    </row>
    <row r="70" spans="1:9" ht="18.75" customHeight="1" x14ac:dyDescent="0.2">
      <c r="A70" s="4"/>
      <c r="B70" s="99"/>
      <c r="C70" s="100"/>
      <c r="D70" s="100"/>
      <c r="E70" s="100"/>
      <c r="F70" s="100"/>
      <c r="G70" s="100"/>
      <c r="H70" s="100"/>
      <c r="I70" s="101"/>
    </row>
    <row r="71" spans="1:9" ht="18.75" customHeight="1" x14ac:dyDescent="0.2">
      <c r="A71" s="4"/>
      <c r="B71" s="99"/>
      <c r="C71" s="100"/>
      <c r="D71" s="100"/>
      <c r="E71" s="100"/>
      <c r="F71" s="100"/>
      <c r="G71" s="100"/>
      <c r="H71" s="100"/>
      <c r="I71" s="101"/>
    </row>
    <row r="72" spans="1:9" ht="18.75" customHeight="1" x14ac:dyDescent="0.2">
      <c r="A72" s="4"/>
      <c r="B72" s="99"/>
      <c r="C72" s="100"/>
      <c r="D72" s="100"/>
      <c r="E72" s="100"/>
      <c r="F72" s="100"/>
      <c r="G72" s="100"/>
      <c r="H72" s="100"/>
      <c r="I72" s="101"/>
    </row>
    <row r="73" spans="1:9" ht="18.75" customHeight="1" x14ac:dyDescent="0.2">
      <c r="A73" s="4"/>
      <c r="B73" s="99"/>
      <c r="C73" s="100"/>
      <c r="D73" s="100"/>
      <c r="E73" s="100"/>
      <c r="F73" s="100"/>
      <c r="G73" s="100"/>
      <c r="H73" s="100"/>
      <c r="I73" s="101"/>
    </row>
    <row r="74" spans="1:9" ht="18.75" customHeight="1" x14ac:dyDescent="0.2">
      <c r="A74" s="4"/>
      <c r="B74" s="99"/>
      <c r="C74" s="100"/>
      <c r="D74" s="100"/>
      <c r="E74" s="100"/>
      <c r="F74" s="100"/>
      <c r="G74" s="100"/>
      <c r="H74" s="100"/>
      <c r="I74" s="101"/>
    </row>
    <row r="75" spans="1:9" ht="18.75" customHeight="1" x14ac:dyDescent="0.2">
      <c r="A75" s="4"/>
      <c r="B75" s="99"/>
      <c r="C75" s="100"/>
      <c r="D75" s="100"/>
      <c r="E75" s="100"/>
      <c r="F75" s="100"/>
      <c r="G75" s="100"/>
      <c r="H75" s="100"/>
      <c r="I75" s="101"/>
    </row>
    <row r="76" spans="1:9" ht="18.75" customHeight="1" x14ac:dyDescent="0.2">
      <c r="A76" s="4"/>
      <c r="B76" s="99"/>
      <c r="C76" s="100"/>
      <c r="D76" s="100"/>
      <c r="E76" s="100"/>
      <c r="F76" s="100"/>
      <c r="G76" s="100"/>
      <c r="H76" s="100"/>
      <c r="I76" s="101"/>
    </row>
    <row r="77" spans="1:9" ht="18.75" customHeight="1" x14ac:dyDescent="0.2">
      <c r="A77" s="4"/>
      <c r="B77" s="102"/>
      <c r="C77" s="103"/>
      <c r="D77" s="103"/>
      <c r="E77" s="103"/>
      <c r="F77" s="103"/>
      <c r="G77" s="103"/>
      <c r="H77" s="103"/>
      <c r="I77" s="104"/>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96" t="s">
        <v>137</v>
      </c>
      <c r="C80" s="97"/>
      <c r="D80" s="97"/>
      <c r="E80" s="97"/>
      <c r="F80" s="97"/>
      <c r="G80" s="97"/>
      <c r="H80" s="97"/>
      <c r="I80" s="105"/>
    </row>
    <row r="81" spans="1:9" ht="18.75" customHeight="1" x14ac:dyDescent="0.2">
      <c r="A81" s="1"/>
      <c r="B81" s="106"/>
      <c r="C81" s="107"/>
      <c r="D81" s="107"/>
      <c r="E81" s="107"/>
      <c r="F81" s="107"/>
      <c r="G81" s="107"/>
      <c r="H81" s="107"/>
      <c r="I81" s="108"/>
    </row>
    <row r="82" spans="1:9" ht="18.75" customHeight="1" x14ac:dyDescent="0.2">
      <c r="A82" s="1"/>
      <c r="B82" s="106"/>
      <c r="C82" s="107"/>
      <c r="D82" s="107"/>
      <c r="E82" s="107"/>
      <c r="F82" s="107"/>
      <c r="G82" s="107"/>
      <c r="H82" s="107"/>
      <c r="I82" s="108"/>
    </row>
    <row r="83" spans="1:9" ht="18.75" customHeight="1" x14ac:dyDescent="0.2">
      <c r="A83" s="1"/>
      <c r="B83" s="106"/>
      <c r="C83" s="107"/>
      <c r="D83" s="107"/>
      <c r="E83" s="107"/>
      <c r="F83" s="107"/>
      <c r="G83" s="107"/>
      <c r="H83" s="107"/>
      <c r="I83" s="108"/>
    </row>
    <row r="84" spans="1:9" ht="18.75" customHeight="1" x14ac:dyDescent="0.2">
      <c r="A84" s="1"/>
      <c r="B84" s="106"/>
      <c r="C84" s="107"/>
      <c r="D84" s="107"/>
      <c r="E84" s="107"/>
      <c r="F84" s="107"/>
      <c r="G84" s="107"/>
      <c r="H84" s="107"/>
      <c r="I84" s="108"/>
    </row>
    <row r="85" spans="1:9" ht="18.75" customHeight="1" x14ac:dyDescent="0.2">
      <c r="A85" s="1"/>
      <c r="B85" s="106"/>
      <c r="C85" s="107"/>
      <c r="D85" s="107"/>
      <c r="E85" s="107"/>
      <c r="F85" s="107"/>
      <c r="G85" s="107"/>
      <c r="H85" s="107"/>
      <c r="I85" s="108"/>
    </row>
    <row r="86" spans="1:9" ht="18.75" customHeight="1" x14ac:dyDescent="0.2">
      <c r="A86" s="1"/>
      <c r="B86" s="106"/>
      <c r="C86" s="107"/>
      <c r="D86" s="107"/>
      <c r="E86" s="107"/>
      <c r="F86" s="107"/>
      <c r="G86" s="107"/>
      <c r="H86" s="107"/>
      <c r="I86" s="108"/>
    </row>
    <row r="87" spans="1:9" ht="18.75" customHeight="1" x14ac:dyDescent="0.2">
      <c r="A87" s="1"/>
      <c r="B87" s="106"/>
      <c r="C87" s="107"/>
      <c r="D87" s="107"/>
      <c r="E87" s="107"/>
      <c r="F87" s="107"/>
      <c r="G87" s="107"/>
      <c r="H87" s="107"/>
      <c r="I87" s="108"/>
    </row>
    <row r="88" spans="1:9" ht="18.75" customHeight="1" x14ac:dyDescent="0.2">
      <c r="A88" s="1"/>
      <c r="B88" s="106"/>
      <c r="C88" s="107"/>
      <c r="D88" s="107"/>
      <c r="E88" s="107"/>
      <c r="F88" s="107"/>
      <c r="G88" s="107"/>
      <c r="H88" s="107"/>
      <c r="I88" s="108"/>
    </row>
    <row r="89" spans="1:9" ht="18.75" customHeight="1" x14ac:dyDescent="0.2">
      <c r="A89" s="1"/>
      <c r="B89" s="106"/>
      <c r="C89" s="107"/>
      <c r="D89" s="107"/>
      <c r="E89" s="107"/>
      <c r="F89" s="107"/>
      <c r="G89" s="107"/>
      <c r="H89" s="107"/>
      <c r="I89" s="108"/>
    </row>
    <row r="90" spans="1:9" ht="18.75" customHeight="1" x14ac:dyDescent="0.2">
      <c r="A90" s="4"/>
      <c r="B90" s="106"/>
      <c r="C90" s="107"/>
      <c r="D90" s="107"/>
      <c r="E90" s="107"/>
      <c r="F90" s="107"/>
      <c r="G90" s="107"/>
      <c r="H90" s="107"/>
      <c r="I90" s="108"/>
    </row>
    <row r="91" spans="1:9" ht="18.75" customHeight="1" x14ac:dyDescent="0.2">
      <c r="A91" s="4"/>
      <c r="B91" s="109"/>
      <c r="C91" s="110"/>
      <c r="D91" s="110"/>
      <c r="E91" s="110"/>
      <c r="F91" s="110"/>
      <c r="G91" s="110"/>
      <c r="H91" s="110"/>
      <c r="I91" s="111"/>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123" t="s">
        <v>198</v>
      </c>
      <c r="C94" s="124"/>
      <c r="D94" s="124"/>
      <c r="E94" s="124"/>
      <c r="F94" s="124"/>
      <c r="G94" s="124"/>
      <c r="H94" s="124"/>
      <c r="I94" s="125"/>
    </row>
    <row r="95" spans="1:9" ht="18.75" customHeight="1" x14ac:dyDescent="0.2">
      <c r="A95" s="1"/>
      <c r="B95" s="126"/>
      <c r="C95" s="127"/>
      <c r="D95" s="127"/>
      <c r="E95" s="127"/>
      <c r="F95" s="127"/>
      <c r="G95" s="127"/>
      <c r="H95" s="127"/>
      <c r="I95" s="128"/>
    </row>
    <row r="96" spans="1:9" ht="18.75" customHeight="1" x14ac:dyDescent="0.2">
      <c r="A96" s="1"/>
      <c r="B96" s="126"/>
      <c r="C96" s="127"/>
      <c r="D96" s="127"/>
      <c r="E96" s="127"/>
      <c r="F96" s="127"/>
      <c r="G96" s="127"/>
      <c r="H96" s="127"/>
      <c r="I96" s="128"/>
    </row>
    <row r="97" spans="1:9" ht="18.75" customHeight="1" x14ac:dyDescent="0.2">
      <c r="A97" s="1"/>
      <c r="B97" s="126"/>
      <c r="C97" s="127"/>
      <c r="D97" s="127"/>
      <c r="E97" s="127"/>
      <c r="F97" s="127"/>
      <c r="G97" s="127"/>
      <c r="H97" s="127"/>
      <c r="I97" s="128"/>
    </row>
    <row r="98" spans="1:9" ht="18.75" customHeight="1" x14ac:dyDescent="0.2">
      <c r="A98" s="1"/>
      <c r="B98" s="126"/>
      <c r="C98" s="127"/>
      <c r="D98" s="127"/>
      <c r="E98" s="127"/>
      <c r="F98" s="127"/>
      <c r="G98" s="127"/>
      <c r="H98" s="127"/>
      <c r="I98" s="128"/>
    </row>
    <row r="99" spans="1:9" ht="18.75" customHeight="1" x14ac:dyDescent="0.2">
      <c r="A99" s="1"/>
      <c r="B99" s="126"/>
      <c r="C99" s="127"/>
      <c r="D99" s="127"/>
      <c r="E99" s="127"/>
      <c r="F99" s="127"/>
      <c r="G99" s="127"/>
      <c r="H99" s="127"/>
      <c r="I99" s="128"/>
    </row>
    <row r="100" spans="1:9" ht="18.75" customHeight="1" x14ac:dyDescent="0.2">
      <c r="A100" s="1"/>
      <c r="B100" s="126"/>
      <c r="C100" s="127"/>
      <c r="D100" s="127"/>
      <c r="E100" s="127"/>
      <c r="F100" s="127"/>
      <c r="G100" s="127"/>
      <c r="H100" s="127"/>
      <c r="I100" s="128"/>
    </row>
    <row r="101" spans="1:9" ht="18.75" customHeight="1" x14ac:dyDescent="0.2">
      <c r="A101" s="1"/>
      <c r="B101" s="126"/>
      <c r="C101" s="127"/>
      <c r="D101" s="127"/>
      <c r="E101" s="127"/>
      <c r="F101" s="127"/>
      <c r="G101" s="127"/>
      <c r="H101" s="127"/>
      <c r="I101" s="128"/>
    </row>
    <row r="102" spans="1:9" ht="18.75" customHeight="1" x14ac:dyDescent="0.2">
      <c r="A102" s="1"/>
      <c r="B102" s="126"/>
      <c r="C102" s="127"/>
      <c r="D102" s="127"/>
      <c r="E102" s="127"/>
      <c r="F102" s="127"/>
      <c r="G102" s="127"/>
      <c r="H102" s="127"/>
      <c r="I102" s="128"/>
    </row>
    <row r="103" spans="1:9" ht="18.75" customHeight="1" x14ac:dyDescent="0.2">
      <c r="A103" s="1"/>
      <c r="B103" s="126"/>
      <c r="C103" s="127"/>
      <c r="D103" s="127"/>
      <c r="E103" s="127"/>
      <c r="F103" s="127"/>
      <c r="G103" s="127"/>
      <c r="H103" s="127"/>
      <c r="I103" s="128"/>
    </row>
    <row r="104" spans="1:9" ht="18.75" customHeight="1" x14ac:dyDescent="0.2">
      <c r="A104" s="1"/>
      <c r="B104" s="126"/>
      <c r="C104" s="127"/>
      <c r="D104" s="127"/>
      <c r="E104" s="127"/>
      <c r="F104" s="127"/>
      <c r="G104" s="127"/>
      <c r="H104" s="127"/>
      <c r="I104" s="128"/>
    </row>
    <row r="105" spans="1:9" ht="18.75" customHeight="1" x14ac:dyDescent="0.2">
      <c r="A105" s="4"/>
      <c r="B105" s="129"/>
      <c r="C105" s="130"/>
      <c r="D105" s="130"/>
      <c r="E105" s="130"/>
      <c r="F105" s="130"/>
      <c r="G105" s="130"/>
      <c r="H105" s="130"/>
      <c r="I105" s="131"/>
    </row>
    <row r="106" spans="1:9" ht="7.5" customHeight="1" x14ac:dyDescent="0.2">
      <c r="A106" s="4"/>
      <c r="B106" s="4"/>
      <c r="C106" s="4"/>
      <c r="D106" s="4"/>
      <c r="E106" s="4"/>
      <c r="F106" s="4"/>
      <c r="G106" s="4"/>
      <c r="H106" s="4"/>
      <c r="I106" s="4"/>
    </row>
    <row r="107" spans="1:9" ht="18.75" customHeight="1" x14ac:dyDescent="0.2">
      <c r="A107" s="1" t="s">
        <v>29</v>
      </c>
      <c r="B107" s="132" t="s">
        <v>45</v>
      </c>
      <c r="C107" s="132"/>
      <c r="D107" s="132"/>
      <c r="E107" s="132"/>
      <c r="F107" s="132"/>
      <c r="G107" s="132"/>
      <c r="H107" s="132"/>
      <c r="I107" s="132"/>
    </row>
    <row r="108" spans="1:9" ht="18.75" customHeight="1" x14ac:dyDescent="0.2">
      <c r="A108" s="4"/>
      <c r="B108" s="123" t="s">
        <v>138</v>
      </c>
      <c r="C108" s="124"/>
      <c r="D108" s="124"/>
      <c r="E108" s="124"/>
      <c r="F108" s="124"/>
      <c r="G108" s="124"/>
      <c r="H108" s="124"/>
      <c r="I108" s="125"/>
    </row>
    <row r="109" spans="1:9" ht="18.75" customHeight="1" x14ac:dyDescent="0.2">
      <c r="A109" s="4"/>
      <c r="B109" s="126"/>
      <c r="C109" s="127"/>
      <c r="D109" s="127"/>
      <c r="E109" s="127"/>
      <c r="F109" s="127"/>
      <c r="G109" s="127"/>
      <c r="H109" s="127"/>
      <c r="I109" s="128"/>
    </row>
    <row r="110" spans="1:9" ht="18.75" customHeight="1" x14ac:dyDescent="0.2">
      <c r="A110" s="4"/>
      <c r="B110" s="126"/>
      <c r="C110" s="127"/>
      <c r="D110" s="127"/>
      <c r="E110" s="127"/>
      <c r="F110" s="127"/>
      <c r="G110" s="127"/>
      <c r="H110" s="127"/>
      <c r="I110" s="128"/>
    </row>
    <row r="111" spans="1:9" ht="18.75" customHeight="1" x14ac:dyDescent="0.2">
      <c r="A111" s="4"/>
      <c r="B111" s="126"/>
      <c r="C111" s="127"/>
      <c r="D111" s="127"/>
      <c r="E111" s="127"/>
      <c r="F111" s="127"/>
      <c r="G111" s="127"/>
      <c r="H111" s="127"/>
      <c r="I111" s="128"/>
    </row>
    <row r="112" spans="1:9" ht="18.75" customHeight="1" x14ac:dyDescent="0.2">
      <c r="A112" s="4"/>
      <c r="B112" s="126"/>
      <c r="C112" s="127"/>
      <c r="D112" s="127"/>
      <c r="E112" s="127"/>
      <c r="F112" s="127"/>
      <c r="G112" s="127"/>
      <c r="H112" s="127"/>
      <c r="I112" s="128"/>
    </row>
    <row r="113" spans="1:9" ht="18.75" customHeight="1" x14ac:dyDescent="0.2">
      <c r="A113" s="4"/>
      <c r="B113" s="126"/>
      <c r="C113" s="127"/>
      <c r="D113" s="127"/>
      <c r="E113" s="127"/>
      <c r="F113" s="127"/>
      <c r="G113" s="127"/>
      <c r="H113" s="127"/>
      <c r="I113" s="128"/>
    </row>
    <row r="114" spans="1:9" ht="18.75" customHeight="1" x14ac:dyDescent="0.2">
      <c r="A114" s="4"/>
      <c r="B114" s="126"/>
      <c r="C114" s="127"/>
      <c r="D114" s="127"/>
      <c r="E114" s="127"/>
      <c r="F114" s="127"/>
      <c r="G114" s="127"/>
      <c r="H114" s="127"/>
      <c r="I114" s="128"/>
    </row>
    <row r="115" spans="1:9" ht="18.75" customHeight="1" x14ac:dyDescent="0.2">
      <c r="A115" s="4"/>
      <c r="B115" s="126"/>
      <c r="C115" s="127"/>
      <c r="D115" s="127"/>
      <c r="E115" s="127"/>
      <c r="F115" s="127"/>
      <c r="G115" s="127"/>
      <c r="H115" s="127"/>
      <c r="I115" s="128"/>
    </row>
    <row r="116" spans="1:9" ht="18.75" customHeight="1" x14ac:dyDescent="0.2">
      <c r="A116" s="4"/>
      <c r="B116" s="126"/>
      <c r="C116" s="127"/>
      <c r="D116" s="127"/>
      <c r="E116" s="127"/>
      <c r="F116" s="127"/>
      <c r="G116" s="127"/>
      <c r="H116" s="127"/>
      <c r="I116" s="128"/>
    </row>
    <row r="117" spans="1:9" ht="18.75" customHeight="1" x14ac:dyDescent="0.2">
      <c r="A117" s="4"/>
      <c r="B117" s="126"/>
      <c r="C117" s="127"/>
      <c r="D117" s="127"/>
      <c r="E117" s="127"/>
      <c r="F117" s="127"/>
      <c r="G117" s="127"/>
      <c r="H117" s="127"/>
      <c r="I117" s="128"/>
    </row>
    <row r="118" spans="1:9" ht="18.75" customHeight="1" x14ac:dyDescent="0.2">
      <c r="A118" s="4"/>
      <c r="B118" s="126"/>
      <c r="C118" s="127"/>
      <c r="D118" s="127"/>
      <c r="E118" s="127"/>
      <c r="F118" s="127"/>
      <c r="G118" s="127"/>
      <c r="H118" s="127"/>
      <c r="I118" s="128"/>
    </row>
    <row r="119" spans="1:9" ht="18.75" customHeight="1" x14ac:dyDescent="0.2">
      <c r="A119" s="4"/>
      <c r="B119" s="129"/>
      <c r="C119" s="130"/>
      <c r="D119" s="130"/>
      <c r="E119" s="130"/>
      <c r="F119" s="130"/>
      <c r="G119" s="130"/>
      <c r="H119" s="130"/>
      <c r="I119" s="131"/>
    </row>
    <row r="120" spans="1:9" ht="7.5" customHeight="1" x14ac:dyDescent="0.2">
      <c r="A120" s="4"/>
      <c r="B120" s="32"/>
      <c r="C120" s="32"/>
      <c r="D120" s="32"/>
      <c r="E120" s="32"/>
      <c r="F120" s="32"/>
      <c r="G120" s="32"/>
      <c r="H120" s="32"/>
      <c r="I120" s="32"/>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33"/>
      <c r="B134" s="33"/>
      <c r="C134" s="33"/>
      <c r="D134" s="33"/>
      <c r="E134" s="33"/>
      <c r="F134" s="33"/>
      <c r="G134" s="33"/>
      <c r="H134" s="33"/>
      <c r="I134" s="33"/>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O21" sqref="O2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70</v>
      </c>
      <c r="I1" s="23" t="s">
        <v>104</v>
      </c>
    </row>
    <row r="2" spans="1:9" ht="18.75" customHeight="1" x14ac:dyDescent="0.2">
      <c r="H2" s="23" t="s">
        <v>108</v>
      </c>
      <c r="I2" s="22" t="str">
        <f>'様式１ー２（社会情報科学部）'!C2</f>
        <v>兵庫県立大学</v>
      </c>
    </row>
    <row r="3" spans="1:9" ht="18.75" customHeight="1" x14ac:dyDescent="0.2">
      <c r="A3" s="71" t="s">
        <v>27</v>
      </c>
      <c r="B3" s="71"/>
      <c r="C3" s="71"/>
      <c r="D3" s="71"/>
      <c r="E3" s="71"/>
      <c r="F3" s="71"/>
      <c r="G3" s="71"/>
      <c r="H3" s="71"/>
      <c r="I3" s="71"/>
    </row>
    <row r="4" spans="1:9" ht="18.75" customHeight="1" x14ac:dyDescent="0.2">
      <c r="A4" s="5"/>
      <c r="B4" s="5"/>
      <c r="C4" s="5"/>
      <c r="D4" s="5"/>
      <c r="E4" s="5"/>
      <c r="F4" s="5"/>
      <c r="G4" s="5"/>
      <c r="H4" s="5"/>
      <c r="I4" s="5"/>
    </row>
    <row r="5" spans="1:9" ht="18.75" customHeight="1" x14ac:dyDescent="0.2">
      <c r="A5" s="1" t="s">
        <v>0</v>
      </c>
      <c r="B5" s="10" t="s">
        <v>94</v>
      </c>
      <c r="C5" s="5"/>
      <c r="D5" s="5"/>
      <c r="E5" s="5"/>
      <c r="F5" s="5"/>
      <c r="G5" s="5"/>
      <c r="H5" s="5"/>
      <c r="I5" s="5"/>
    </row>
    <row r="6" spans="1:9" ht="26.25" customHeight="1" x14ac:dyDescent="0.2">
      <c r="A6" s="5"/>
      <c r="B6" s="142" t="s">
        <v>130</v>
      </c>
      <c r="C6" s="170"/>
      <c r="D6" s="170"/>
      <c r="E6" s="170"/>
      <c r="F6" s="170"/>
      <c r="G6" s="170"/>
      <c r="H6" s="171"/>
      <c r="I6" s="3"/>
    </row>
    <row r="7" spans="1:9" ht="9" customHeight="1" x14ac:dyDescent="0.2">
      <c r="A7" s="5"/>
      <c r="B7" s="10"/>
      <c r="C7" s="10"/>
      <c r="D7" s="10"/>
      <c r="E7" s="10"/>
      <c r="F7" s="10"/>
      <c r="G7" s="10"/>
      <c r="H7" s="10"/>
      <c r="I7" s="3"/>
    </row>
    <row r="8" spans="1:9" ht="18.75" customHeight="1" x14ac:dyDescent="0.2">
      <c r="A8" s="5"/>
      <c r="B8" s="3"/>
      <c r="C8" s="3"/>
      <c r="D8" s="23" t="s">
        <v>42</v>
      </c>
      <c r="E8" s="24" t="s">
        <v>139</v>
      </c>
      <c r="F8" s="3"/>
      <c r="G8" s="23" t="s">
        <v>10</v>
      </c>
      <c r="H8" s="24" t="s">
        <v>132</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70" t="s">
        <v>23</v>
      </c>
      <c r="C11" s="68"/>
      <c r="D11" s="69"/>
      <c r="E11" s="68" t="s">
        <v>25</v>
      </c>
      <c r="F11" s="68"/>
      <c r="G11" s="68"/>
      <c r="H11" s="68"/>
      <c r="I11" s="69"/>
    </row>
    <row r="12" spans="1:9" ht="26.25" customHeight="1" x14ac:dyDescent="0.2">
      <c r="B12" s="34" t="s">
        <v>13</v>
      </c>
      <c r="C12" s="41"/>
      <c r="D12" s="35"/>
      <c r="E12" s="42"/>
      <c r="F12" s="42"/>
      <c r="G12" s="42"/>
      <c r="H12" s="42"/>
      <c r="I12" s="35"/>
    </row>
    <row r="13" spans="1:9" ht="210.75" customHeight="1" x14ac:dyDescent="0.2">
      <c r="B13" s="36"/>
      <c r="C13" s="153" t="s">
        <v>14</v>
      </c>
      <c r="D13" s="154"/>
      <c r="E13" s="166" t="s">
        <v>140</v>
      </c>
      <c r="F13" s="155"/>
      <c r="G13" s="155"/>
      <c r="H13" s="155"/>
      <c r="I13" s="156"/>
    </row>
    <row r="14" spans="1:9" ht="210.75" customHeight="1" x14ac:dyDescent="0.2">
      <c r="B14" s="36"/>
      <c r="C14" s="168" t="s">
        <v>15</v>
      </c>
      <c r="D14" s="169"/>
      <c r="E14" s="166" t="s">
        <v>141</v>
      </c>
      <c r="F14" s="155"/>
      <c r="G14" s="155"/>
      <c r="H14" s="155"/>
      <c r="I14" s="156"/>
    </row>
    <row r="15" spans="1:9" ht="210.75" customHeight="1" x14ac:dyDescent="0.2">
      <c r="B15" s="36"/>
      <c r="C15" s="153" t="s">
        <v>16</v>
      </c>
      <c r="D15" s="154"/>
      <c r="E15" s="166" t="s">
        <v>142</v>
      </c>
      <c r="F15" s="155"/>
      <c r="G15" s="155"/>
      <c r="H15" s="155"/>
      <c r="I15" s="156"/>
    </row>
    <row r="16" spans="1:9" ht="210.75" customHeight="1" x14ac:dyDescent="0.2">
      <c r="B16" s="36"/>
      <c r="C16" s="153" t="s">
        <v>17</v>
      </c>
      <c r="D16" s="154"/>
      <c r="E16" s="166" t="s">
        <v>143</v>
      </c>
      <c r="F16" s="155"/>
      <c r="G16" s="155"/>
      <c r="H16" s="155"/>
      <c r="I16" s="156"/>
    </row>
    <row r="17" spans="2:9" ht="210.75" customHeight="1" x14ac:dyDescent="0.2">
      <c r="B17" s="37"/>
      <c r="C17" s="157" t="s">
        <v>18</v>
      </c>
      <c r="D17" s="158"/>
      <c r="E17" s="167" t="s">
        <v>144</v>
      </c>
      <c r="F17" s="159"/>
      <c r="G17" s="159"/>
      <c r="H17" s="159"/>
      <c r="I17" s="160"/>
    </row>
    <row r="18" spans="2:9" ht="24" customHeight="1" x14ac:dyDescent="0.2">
      <c r="B18" s="34" t="s">
        <v>19</v>
      </c>
      <c r="C18" s="38"/>
      <c r="D18" s="39"/>
      <c r="E18" s="40"/>
      <c r="F18" s="40"/>
      <c r="G18" s="40"/>
      <c r="H18" s="40"/>
      <c r="I18" s="43"/>
    </row>
    <row r="19" spans="2:9" ht="218.25" customHeight="1" x14ac:dyDescent="0.2">
      <c r="B19" s="36"/>
      <c r="C19" s="153" t="s">
        <v>20</v>
      </c>
      <c r="D19" s="154"/>
      <c r="E19" s="155" t="s">
        <v>145</v>
      </c>
      <c r="F19" s="155"/>
      <c r="G19" s="155"/>
      <c r="H19" s="155"/>
      <c r="I19" s="156"/>
    </row>
    <row r="20" spans="2:9" ht="218.25" customHeight="1" x14ac:dyDescent="0.2">
      <c r="B20" s="37"/>
      <c r="C20" s="157" t="s">
        <v>21</v>
      </c>
      <c r="D20" s="158"/>
      <c r="E20" s="159" t="s">
        <v>146</v>
      </c>
      <c r="F20" s="159"/>
      <c r="G20" s="159"/>
      <c r="H20" s="159"/>
      <c r="I20" s="160"/>
    </row>
    <row r="21" spans="2:9" ht="218.25" customHeight="1" x14ac:dyDescent="0.2">
      <c r="B21" s="161" t="s">
        <v>22</v>
      </c>
      <c r="C21" s="162"/>
      <c r="D21" s="163"/>
      <c r="E21" s="164" t="s">
        <v>147</v>
      </c>
      <c r="F21" s="164"/>
      <c r="G21" s="164"/>
      <c r="H21" s="164"/>
      <c r="I21" s="165"/>
    </row>
    <row r="22" spans="2:9" ht="218.25" customHeight="1" x14ac:dyDescent="0.2">
      <c r="B22" s="148" t="s">
        <v>37</v>
      </c>
      <c r="C22" s="149"/>
      <c r="D22" s="150"/>
      <c r="E22" s="151" t="s">
        <v>148</v>
      </c>
      <c r="F22" s="151"/>
      <c r="G22" s="151"/>
      <c r="H22" s="151"/>
      <c r="I22" s="15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様式１ー１（国際商経学部）</vt:lpstr>
      <vt:lpstr>様式１ー２（社会情報科学部）</vt:lpstr>
      <vt:lpstr>様式１ー３（工学部）</vt:lpstr>
      <vt:lpstr>様式１ー４ (理学部)</vt:lpstr>
      <vt:lpstr>様式１ー５（環境人間学部）</vt:lpstr>
      <vt:lpstr>様式１ー６（看護学部）</vt:lpstr>
      <vt:lpstr>様式２ 履修者等数の実績</vt:lpstr>
      <vt:lpstr>様式３ 教育の質・履修者数を向上させるための体制・計画</vt:lpstr>
      <vt:lpstr>様式４　自己点検・評価</vt:lpstr>
      <vt:lpstr>'様式１ー１（国際商経学部）'!Print_Area</vt:lpstr>
      <vt:lpstr>'様式１ー２（社会情報科学部）'!Print_Area</vt:lpstr>
      <vt:lpstr>'様式１ー３（工学部）'!Print_Area</vt:lpstr>
      <vt:lpstr>'様式１ー４ (理学部)'!Print_Area</vt:lpstr>
      <vt:lpstr>'様式１ー５（環境人間学部）'!Print_Area</vt:lpstr>
      <vt:lpstr>'様式１ー６（看護学部）'!Print_Area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兵庫県立大学</cp:lastModifiedBy>
  <cp:lastPrinted>2023-08-07T02:15:45Z</cp:lastPrinted>
  <dcterms:created xsi:type="dcterms:W3CDTF">2011-06-14T05:32:50Z</dcterms:created>
  <dcterms:modified xsi:type="dcterms:W3CDTF">2023-08-07T02:18:50Z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