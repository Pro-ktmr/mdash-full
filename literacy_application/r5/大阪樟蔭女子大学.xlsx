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24226"/>
  <mc:AlternateContent xmlns:mc="http://schemas.openxmlformats.org/markup-compatibility/2006">
    <mc:Choice Requires="x15">
      <x15ac:absPath xmlns:x15ac="http://schemas.microsoft.com/office/spreadsheetml/2010/11/ac" url="Z:\32_IR・教育調査課\企画課フォルダ\企画部フォルダ\31_文部科学省\数理・データサイエンス・ＡＩ教育プログラム認定制度\修正申請\大阪樟蔭女子大学_リテラシー\"/>
    </mc:Choice>
  </mc:AlternateContent>
  <xr:revisionPtr revIDLastSave="0" documentId="13_ncr:1_{87F21E17-8A00-41F7-A945-A2221154E92E}" xr6:coauthVersionLast="47" xr6:coauthVersionMax="47" xr10:uidLastSave="{00000000-0000-0000-0000-000000000000}"/>
  <bookViews>
    <workbookView xWindow="-120" yWindow="-120" windowWidth="29040" windowHeight="1584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0" i="41" l="1"/>
  <c r="I2" i="42"/>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<sst xmlns="http://schemas.openxmlformats.org/spreadsheetml/2006/main" count="300" uniqueCount="172">
  <si>
    <t>様式１</t>
    <rPh sb="0" eb="2">
      <t>ヨウシキ</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</si>
  <si>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</si>
  <si>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</si>
  <si>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大阪樟蔭女子大学</t>
    <rPh sb="0" eb="8">
      <t>オオサカショウイン</t>
    </rPh>
    <phoneticPr fontId="1"/>
  </si>
  <si>
    <t>プログラム名</t>
    <rPh sb="5" eb="6">
      <t>メイ</t>
    </rPh>
    <phoneticPr fontId="1"/>
  </si>
  <si>
    <t>数理・データサイエンス・AI教育プログラム</t>
    <rPh sb="0" eb="2">
      <t>スウリ</t>
    </rPh>
    <rPh sb="14" eb="16">
      <t>キョウイク</t>
    </rPh>
    <phoneticPr fontId="1"/>
  </si>
  <si>
    <t>プログラムを構成する授業科目について</t>
    <phoneticPr fontId="1"/>
  </si>
  <si>
    <t>① 対象となる学部・学科名称</t>
    <phoneticPr fontId="1"/>
  </si>
  <si>
    <t>② 教育プログラムの修了要件</t>
    <phoneticPr fontId="1"/>
  </si>
  <si>
    <t>学部・学科によって、修了要件は相違しない</t>
  </si>
  <si>
    <t>③ 修了要件</t>
    <phoneticPr fontId="1"/>
  </si>
  <si>
    <t>学士課程基幹教育科目「暮らしとAI・データサイエンス」（2単位）を修得すること</t>
    <rPh sb="0" eb="2">
      <t>ガクシ</t>
    </rPh>
    <rPh sb="2" eb="4">
      <t>カテイ</t>
    </rPh>
    <rPh sb="4" eb="6">
      <t>キカン</t>
    </rPh>
    <rPh sb="6" eb="8">
      <t>キョウイク</t>
    </rPh>
    <rPh sb="8" eb="10">
      <t>カモク</t>
    </rPh>
    <rPh sb="11" eb="12">
      <t>ク</t>
    </rPh>
    <rPh sb="29" eb="31">
      <t>タンイ</t>
    </rPh>
    <rPh sb="33" eb="35">
      <t>シュウトク</t>
    </rPh>
    <phoneticPr fontId="1"/>
  </si>
  <si>
    <t>【プルダウンリスト】</t>
    <phoneticPr fontId="1"/>
  </si>
  <si>
    <t>令和４年度以前より、履修することが必須のプログラムとして実施</t>
    <rPh sb="0" eb="2">
      <t>レイワ</t>
    </rPh>
    <rPh sb="3" eb="5">
      <t>ネンド</t>
    </rPh>
    <rPh sb="5" eb="7">
      <t>イゼン</t>
    </rPh>
    <phoneticPr fontId="1"/>
  </si>
  <si>
    <t>令和７年度までに履修必須とする計画</t>
    <rPh sb="3" eb="4">
      <t>ネン</t>
    </rPh>
    <phoneticPr fontId="1"/>
  </si>
  <si>
    <t>令和８年度以降に履修必須とする計画、又は未定</t>
    <rPh sb="18" eb="19">
      <t>マタ</t>
    </rPh>
    <rPh sb="20" eb="22">
      <t>ミテイ</t>
    </rPh>
    <phoneticPr fontId="1"/>
  </si>
  <si>
    <t>必要最低単位数</t>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</si>
  <si>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</si>
  <si>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</si>
  <si>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</si>
  <si>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</si>
  <si>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</si>
  <si>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</si>
  <si>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</si>
  <si>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</si>
  <si>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「暮らしとAI・データサイエンス」</t>
    <phoneticPr fontId="1"/>
  </si>
  <si>
    <t>○</t>
  </si>
  <si>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</si>
  <si>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</si>
  <si>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</si>
  <si>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</si>
  <si>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</si>
  <si>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</si>
  <si>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</si>
  <si>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</si>
  <si>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</si>
  <si>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</si>
  <si>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</si>
  <si>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</si>
  <si>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</si>
  <si>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</si>
  <si>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</si>
  <si>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⑩ 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</si>
  <si>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</si>
  <si>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</si>
  <si>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</si>
  <si>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1-6</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</si>
  <si>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</si>
  <si>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</si>
  <si>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</si>
  <si>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</si>
  <si>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</si>
  <si>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⑪ プログラムの学修成果（学生等が身に付けられる能力等）</t>
    <phoneticPr fontId="1"/>
  </si>
  <si>
    <t>数理・データサイエンス・AIの全体像を把握し、データ分析の基礎を身につけることを目指す。
1.社会におけるデータ・AI利活用を把握し、自身の考えを述べることができる。
2.データ・AI利活用を把握し、自身の考えを述べることができる。
3.Excelを使って、データの集計や表・グラフを用いたデータの作成ができる。
4.統計の考え方を理解し、「データを読む・データを説明する・データを扱う」ができるようになる。</t>
    <rPh sb="0" eb="2">
      <t>スウリ</t>
    </rPh>
    <rPh sb="15" eb="18">
      <t>ゼンタイゾウ</t>
    </rPh>
    <rPh sb="19" eb="21">
      <t>ハアク</t>
    </rPh>
    <rPh sb="26" eb="28">
      <t>ブンセキ</t>
    </rPh>
    <rPh sb="29" eb="31">
      <t>キソ</t>
    </rPh>
    <rPh sb="32" eb="33">
      <t>ミ</t>
    </rPh>
    <rPh sb="40" eb="42">
      <t>メザ</t>
    </rPh>
    <rPh sb="47" eb="49">
      <t>シャカイ</t>
    </rPh>
    <rPh sb="59" eb="62">
      <t>リカツヨウ</t>
    </rPh>
    <rPh sb="63" eb="65">
      <t>ハアク</t>
    </rPh>
    <rPh sb="67" eb="69">
      <t>ジシン</t>
    </rPh>
    <rPh sb="70" eb="71">
      <t>カンガ</t>
    </rPh>
    <rPh sb="73" eb="74">
      <t>ノ</t>
    </rPh>
    <rPh sb="92" eb="95">
      <t>リカツヨウ</t>
    </rPh>
    <rPh sb="96" eb="98">
      <t>ハアク</t>
    </rPh>
    <rPh sb="100" eb="102">
      <t>ジシン</t>
    </rPh>
    <rPh sb="103" eb="104">
      <t>カンガ</t>
    </rPh>
    <rPh sb="106" eb="107">
      <t>ノ</t>
    </rPh>
    <rPh sb="125" eb="126">
      <t>ツカ</t>
    </rPh>
    <rPh sb="133" eb="135">
      <t>シュウケイ</t>
    </rPh>
    <rPh sb="136" eb="137">
      <t>ヒョウ</t>
    </rPh>
    <rPh sb="142" eb="143">
      <t>モチ</t>
    </rPh>
    <rPh sb="149" eb="151">
      <t>サクセイ</t>
    </rPh>
    <rPh sb="159" eb="161">
      <t>トウケイ</t>
    </rPh>
    <rPh sb="162" eb="163">
      <t>カンガ</t>
    </rPh>
    <rPh sb="164" eb="165">
      <t>カタ</t>
    </rPh>
    <rPh sb="166" eb="168">
      <t>リカイ</t>
    </rPh>
    <rPh sb="175" eb="176">
      <t>ヨ</t>
    </rPh>
    <rPh sb="182" eb="184">
      <t>セツメイ</t>
    </rPh>
    <rPh sb="191" eb="192">
      <t>アツカ</t>
    </rPh>
    <phoneticPr fontId="1"/>
  </si>
  <si>
    <t>様式２</t>
    <phoneticPr fontId="1"/>
  </si>
  <si>
    <t>プログラムの履修者数等の実績について</t>
    <phoneticPr fontId="1"/>
  </si>
  <si>
    <t>①プログラム開設年度</t>
    <rPh sb="6" eb="8">
      <t>カイセツ</t>
    </rPh>
    <rPh sb="8" eb="10">
      <t>ネンド</t>
    </rPh>
    <phoneticPr fontId="1"/>
  </si>
  <si>
    <t>令和4</t>
    <rPh sb="0" eb="2">
      <t>レイワ</t>
    </rPh>
    <phoneticPr fontId="1"/>
  </si>
  <si>
    <t>年度</t>
    <rPh sb="0" eb="2">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</si>
  <si>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</si>
  <si>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</si>
  <si>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</si>
  <si>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</si>
  <si>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</si>
  <si>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</si>
  <si>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</si>
  <si>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</si>
  <si>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</si>
  <si>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</si>
  <si>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</si>
  <si>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</si>
  <si>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</si>
  <si>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</si>
  <si>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</si>
  <si>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合計</t>
    <rPh sb="0" eb="2">
      <t>ゴウケイ</t>
    </rPh>
    <phoneticPr fontId="1"/>
  </si>
  <si>
    <t>男性</t>
    <rPh sb="0" eb="2">
      <t>ダンセイ</t>
    </rPh>
    <phoneticPr fontId="1"/>
  </si>
  <si>
    <t>女性</t>
    <rPh sb="0" eb="2">
      <t>ジョセイ</t>
    </rPh>
    <phoneticPr fontId="1"/>
  </si>
  <si>
    <t>学芸学部</t>
    <rPh sb="0" eb="2">
      <t>ガクゲイ</t>
    </rPh>
    <rPh sb="2" eb="4">
      <t>ガクブ</t>
    </rPh>
    <phoneticPr fontId="1"/>
  </si>
  <si>
    <t>児童教育学部</t>
    <rPh sb="0" eb="2">
      <t>ジドウ</t>
    </rPh>
    <rPh sb="2" eb="4">
      <t>キョウイク</t>
    </rPh>
    <rPh sb="4" eb="6">
      <t>ガクブ</t>
    </rPh>
    <phoneticPr fontId="1"/>
  </si>
  <si>
    <t>健康栄養学部</t>
    <rPh sb="0" eb="2">
      <t>ケンコウ</t>
    </rPh>
    <rPh sb="2" eb="4">
      <t>エイヨウ</t>
    </rPh>
    <rPh sb="4" eb="5">
      <t>ガク</t>
    </rPh>
    <rPh sb="5" eb="6">
      <t>ブ</t>
    </rPh>
    <phoneticPr fontId="1"/>
  </si>
  <si>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</si>
  <si>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</si>
  <si>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</si>
  <si>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</si>
  <si>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</si>
  <si>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</si>
  <si>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</si>
  <si>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人</t>
    <rPh sb="0" eb="1">
      <t>ニン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</si>
  <si>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</si>
  <si>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</si>
  <si>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</si>
  <si>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</si>
  <si>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</si>
  <si>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</si>
  <si>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川野　佐江子</t>
    <rPh sb="0" eb="2">
      <t>カワノ</t>
    </rPh>
    <rPh sb="3" eb="6">
      <t>サエコ</t>
    </rPh>
    <phoneticPr fontId="1"/>
  </si>
  <si>
    <t>（役職名）</t>
    <rPh sb="1" eb="4">
      <t>ヤクショクメイ</t>
    </rPh>
    <phoneticPr fontId="1"/>
  </si>
  <si>
    <t>学士課程教育センター長</t>
    <rPh sb="0" eb="2">
      <t>ガクシ</t>
    </rPh>
    <rPh sb="2" eb="4">
      <t>カテイ</t>
    </rPh>
    <rPh sb="4" eb="6">
      <t>キョウイク</t>
    </rPh>
    <rPh sb="10" eb="11">
      <t>チョウ</t>
    </rPh>
    <phoneticPr fontId="1"/>
  </si>
  <si>
    <t>④</t>
    <phoneticPr fontId="1"/>
  </si>
  <si>
    <t>プログラムを改善・進化させるための体制（委員会・組織等）</t>
    <phoneticPr fontId="1"/>
  </si>
  <si>
    <t>学士課程教育センター</t>
    <rPh sb="0" eb="2">
      <t>ガクシ</t>
    </rPh>
    <rPh sb="2" eb="4">
      <t>カテイ</t>
    </rPh>
    <rPh sb="4" eb="6">
      <t>キョウイク</t>
    </rPh>
    <phoneticPr fontId="1"/>
  </si>
  <si>
    <t>⑤</t>
    <phoneticPr fontId="1"/>
  </si>
  <si>
    <t>プログラムを改善・進化させるための体制を定める規則名称</t>
    <phoneticPr fontId="1"/>
  </si>
  <si>
    <t>大阪樟蔭女子大学学士課程教育センター規程</t>
    <rPh sb="0" eb="8">
      <t>オオサカショウイン</t>
    </rPh>
    <rPh sb="8" eb="10">
      <t>ガクシ</t>
    </rPh>
    <rPh sb="10" eb="12">
      <t>カテイ</t>
    </rPh>
    <rPh sb="12" eb="14">
      <t>キョウイク</t>
    </rPh>
    <rPh sb="18" eb="20">
      <t>キテイ</t>
    </rPh>
    <phoneticPr fontId="1"/>
  </si>
  <si>
    <t>⑥</t>
    <phoneticPr fontId="1"/>
  </si>
  <si>
    <t>体制の目的</t>
    <rPh sb="0" eb="2">
      <t>タイセイ</t>
    </rPh>
    <rPh sb="3" eb="5">
      <t>モクテキ</t>
    </rPh>
    <phoneticPr fontId="1"/>
  </si>
  <si>
    <t>大阪樟蔭女子大学における全学共通の教育課程、すなわち「学士課程基幹教育科目」および全学に渡る諸資格教育（教職、司書・司書教諭、学芸員、社会教育主事、日本語教育）に関し、全学的な実施体制を確立し、すべての学生に対し質の高い学士課程教育を行うことを目的としており、数理・データサイエンス・AI教育を含め全学共通の情報教育に関することを検討し、学生に対し質の高い学士課程教育を行う。</t>
    <rPh sb="130" eb="132">
      <t>スウリ</t>
    </rPh>
    <rPh sb="144" eb="146">
      <t>キョウイク</t>
    </rPh>
    <rPh sb="147" eb="148">
      <t>フク</t>
    </rPh>
    <rPh sb="149" eb="151">
      <t>ゼンガク</t>
    </rPh>
    <rPh sb="151" eb="153">
      <t>キョウツウ</t>
    </rPh>
    <rPh sb="154" eb="156">
      <t>ジョウホウ</t>
    </rPh>
    <rPh sb="156" eb="158">
      <t>キョウイク</t>
    </rPh>
    <rPh sb="159" eb="160">
      <t>カン</t>
    </rPh>
    <rPh sb="165" eb="167">
      <t>ケントウ</t>
    </rPh>
    <rPh sb="169" eb="171">
      <t>ガクセイ</t>
    </rPh>
    <rPh sb="172" eb="173">
      <t>タイ</t>
    </rPh>
    <rPh sb="174" eb="175">
      <t>シツ</t>
    </rPh>
    <rPh sb="176" eb="177">
      <t>タカ</t>
    </rPh>
    <rPh sb="178" eb="180">
      <t>ガクシ</t>
    </rPh>
    <rPh sb="180" eb="182">
      <t>カテイ</t>
    </rPh>
    <rPh sb="182" eb="184">
      <t>キョウイク</t>
    </rPh>
    <rPh sb="185" eb="186">
      <t>オコナ</t>
    </rPh>
    <phoneticPr fontId="1"/>
  </si>
  <si>
    <t>⑦</t>
    <phoneticPr fontId="1"/>
  </si>
  <si>
    <t>具体的な構成員</t>
    <rPh sb="0" eb="3">
      <t>グタイテキ</t>
    </rPh>
    <rPh sb="4" eb="7">
      <t>コウセイイン</t>
    </rPh>
    <phoneticPr fontId="1"/>
  </si>
  <si>
    <t xml:space="preserve">学士課程教育センター長　学芸学部　川野佐江子　教授
学士課程教育センター員　学芸学部　小森道彦　教授
学士課程教育センター員　学芸学部　坂田浩之　教授
学士課程教育センター員　学芸学部　遠藤晃男　教授
学士課程教育センター員　学芸学部　大河内瞳　講師
学士課程教育センター員　学芸学部　小出治都子　講師
学士課程教育センター員　学芸学部　富田愛佳　助教
学士課程教育センター員　児童教育学部　幸田美沙　准教授
学士課程教育センター員　健康栄養学部　一條知昭　准教授
</t>
    <rPh sb="0" eb="2">
      <t>ガクシ</t>
    </rPh>
    <rPh sb="2" eb="4">
      <t>カテイ</t>
    </rPh>
    <rPh sb="4" eb="6">
      <t>キョウイク</t>
    </rPh>
    <rPh sb="10" eb="11">
      <t>チョウ</t>
    </rPh>
    <rPh sb="12" eb="14">
      <t>ガクゲイ</t>
    </rPh>
    <rPh sb="14" eb="16">
      <t>ガクブ</t>
    </rPh>
    <rPh sb="17" eb="19">
      <t>カワノ</t>
    </rPh>
    <rPh sb="19" eb="22">
      <t>サエコ</t>
    </rPh>
    <rPh sb="23" eb="25">
      <t>キョウジュ</t>
    </rPh>
    <rPh sb="36" eb="37">
      <t>イン</t>
    </rPh>
    <rPh sb="43" eb="45">
      <t>コモリ</t>
    </rPh>
    <rPh sb="45" eb="47">
      <t>ミチヒコ</t>
    </rPh>
    <rPh sb="48" eb="50">
      <t>キョウジュ</t>
    </rPh>
    <rPh sb="68" eb="70">
      <t>サカタ</t>
    </rPh>
    <rPh sb="70" eb="72">
      <t>ヒロユキ</t>
    </rPh>
    <rPh sb="93" eb="95">
      <t>エンドウ</t>
    </rPh>
    <rPh sb="95" eb="97">
      <t>アキオ</t>
    </rPh>
    <rPh sb="143" eb="145">
      <t>コイデ</t>
    </rPh>
    <rPh sb="189" eb="191">
      <t>ジドウ</t>
    </rPh>
    <rPh sb="191" eb="193">
      <t>キョウイク</t>
    </rPh>
    <rPh sb="196" eb="198">
      <t>コウダ</t>
    </rPh>
    <rPh sb="198" eb="200">
      <t>ミサ</t>
    </rPh>
    <rPh sb="201" eb="202">
      <t>ジュン</t>
    </rPh>
    <rPh sb="217" eb="219">
      <t>ケンコウ</t>
    </rPh>
    <rPh sb="219" eb="221">
      <t>エイヨウ</t>
    </rPh>
    <rPh sb="224" eb="226">
      <t>イチジョウ</t>
    </rPh>
    <rPh sb="226" eb="228">
      <t>トモアキ</t>
    </rPh>
    <rPh sb="229" eb="230">
      <t>ジュン</t>
    </rPh>
    <phoneticPr fontId="1"/>
  </si>
  <si>
    <t>⑧</t>
    <phoneticPr fontId="1"/>
  </si>
  <si>
    <r>
      <t xml:space="preserve">履修者数・履修率の向上に向けた計画 </t>
    </r>
    <r>
      <rPr>
        <sz val="6"/>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</si>
  <si>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令和４年度実績</t>
    <rPh sb="0" eb="2">
      <t>レイワ</t>
    </rPh>
    <rPh sb="3" eb="5">
      <t>ネンド</t>
    </rPh>
    <rPh sb="5" eb="7">
      <t>ジッセキ</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</si>
  <si>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</si>
  <si>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</si>
  <si>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</si>
  <si>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</si>
  <si>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</si>
  <si>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</si>
  <si>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全学生が必修とする1年時での「情報処理基礎A｣｢情報処理基礎B」及び「情報と社会」にて基礎的な土台作りを行い 、ＡＩ・数理データサイエンスプログラムへの取り組みをスムーズに行うことができるようにしている。
　上記目標を達成するために、令和5度から必修科目の情報処理基礎Bにおいて、内容を変更してプログラムの構成内容を組み込み、一層理解を深めることを可能とした。このプログラムへの移行を一層容易にする予定としてる。また、修了者には実際に履修して良かった部分等の体験記を大学のWebページに載せて、他学生の履修への関心を喚起させる。</t>
    <rPh sb="1" eb="2">
      <t>ゼン</t>
    </rPh>
    <rPh sb="2" eb="4">
      <t>ガクセイ</t>
    </rPh>
    <rPh sb="5" eb="7">
      <t>ヒッシュウ</t>
    </rPh>
    <rPh sb="11" eb="13">
      <t>ネンジ</t>
    </rPh>
    <rPh sb="16" eb="18">
      <t>ジョウホウ</t>
    </rPh>
    <rPh sb="18" eb="20">
      <t>ショリ</t>
    </rPh>
    <rPh sb="20" eb="22">
      <t>キソ</t>
    </rPh>
    <rPh sb="25" eb="27">
      <t>ジョウホウ</t>
    </rPh>
    <rPh sb="27" eb="29">
      <t>ショリ</t>
    </rPh>
    <rPh sb="29" eb="31">
      <t>キソ</t>
    </rPh>
    <rPh sb="33" eb="34">
      <t>オヨ</t>
    </rPh>
    <rPh sb="36" eb="38">
      <t>ジョウホウ</t>
    </rPh>
    <rPh sb="39" eb="41">
      <t>シャカイ</t>
    </rPh>
    <rPh sb="44" eb="47">
      <t>キソテキ</t>
    </rPh>
    <rPh sb="48" eb="50">
      <t>ドダイ</t>
    </rPh>
    <rPh sb="50" eb="51">
      <t>ツク</t>
    </rPh>
    <rPh sb="53" eb="54">
      <t>オコナ</t>
    </rPh>
    <rPh sb="77" eb="78">
      <t>ト</t>
    </rPh>
    <rPh sb="79" eb="80">
      <t>ク</t>
    </rPh>
    <rPh sb="87" eb="88">
      <t>オコナ</t>
    </rPh>
    <rPh sb="105" eb="107">
      <t>ジョウキ</t>
    </rPh>
    <rPh sb="107" eb="109">
      <t>モクヒョウ</t>
    </rPh>
    <rPh sb="110" eb="112">
      <t>タッセイ</t>
    </rPh>
    <rPh sb="124" eb="128">
      <t>ヒッシュウカモク</t>
    </rPh>
    <rPh sb="129" eb="131">
      <t>ジョウホウ</t>
    </rPh>
    <rPh sb="131" eb="135">
      <t>ショリキソ</t>
    </rPh>
    <rPh sb="141" eb="143">
      <t>ナイヨウ</t>
    </rPh>
    <rPh sb="144" eb="146">
      <t>ヘンコウ</t>
    </rPh>
    <rPh sb="159" eb="160">
      <t>ク</t>
    </rPh>
    <rPh sb="161" eb="162">
      <t>コ</t>
    </rPh>
    <rPh sb="164" eb="166">
      <t>イッソウ</t>
    </rPh>
    <rPh sb="166" eb="168">
      <t>リカイ</t>
    </rPh>
    <rPh sb="169" eb="170">
      <t>フカ</t>
    </rPh>
    <rPh sb="175" eb="177">
      <t>カノウ</t>
    </rPh>
    <rPh sb="190" eb="192">
      <t>イコウ</t>
    </rPh>
    <rPh sb="195" eb="197">
      <t>ヨウイ</t>
    </rPh>
    <rPh sb="200" eb="202">
      <t>ヨテイ</t>
    </rPh>
    <rPh sb="210" eb="213">
      <t>シュウリョウシャ</t>
    </rPh>
    <rPh sb="218" eb="220">
      <t>リシュウ</t>
    </rPh>
    <rPh sb="222" eb="223">
      <t>ヨ</t>
    </rPh>
    <rPh sb="226" eb="228">
      <t>ブブン</t>
    </rPh>
    <rPh sb="228" eb="229">
      <t>ナド</t>
    </rPh>
    <rPh sb="230" eb="233">
      <t>タイケンキ</t>
    </rPh>
    <rPh sb="234" eb="236">
      <t>ダイガク</t>
    </rPh>
    <rPh sb="244" eb="245">
      <t>ノ</t>
    </rPh>
    <rPh sb="248" eb="249">
      <t>タ</t>
    </rPh>
    <rPh sb="249" eb="251">
      <t>ガクセイ</t>
    </rPh>
    <rPh sb="256" eb="258">
      <t>カンシン</t>
    </rPh>
    <rPh sb="259" eb="261">
      <t>カンキ</t>
    </rPh>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</si>
  <si>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</si>
  <si>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</si>
  <si>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 xml:space="preserve">　PCは全学生が必携として、通常授業でも積極的に使用しているため、ＡＩ・数理データサイエンスプログラム授業時の演習もスムーズに行うことが可能である。また、現在は選択科目であるが全学部、全学科で選択可能としている。希望者が増えれば定員も柔軟に増やすこととする予定である。
</t>
    <rPh sb="4" eb="7">
      <t>ゼンガクセイ</t>
    </rPh>
    <rPh sb="8" eb="10">
      <t>ヒッケイ</t>
    </rPh>
    <rPh sb="14" eb="18">
      <t>ツウジョウジュギョウ</t>
    </rPh>
    <rPh sb="20" eb="23">
      <t>セッキョクテキ</t>
    </rPh>
    <rPh sb="24" eb="26">
      <t>シヨウ</t>
    </rPh>
    <rPh sb="36" eb="38">
      <t>スウリ</t>
    </rPh>
    <rPh sb="51" eb="54">
      <t>ジュギョウジ</t>
    </rPh>
    <rPh sb="55" eb="57">
      <t>エンシュウ</t>
    </rPh>
    <rPh sb="63" eb="64">
      <t>オコナ</t>
    </rPh>
    <rPh sb="68" eb="70">
      <t>カノウ</t>
    </rPh>
    <rPh sb="77" eb="79">
      <t>ゲンザイ</t>
    </rPh>
    <rPh sb="80" eb="84">
      <t>センタクカモク</t>
    </rPh>
    <rPh sb="88" eb="91">
      <t>ゼンガクブ</t>
    </rPh>
    <rPh sb="92" eb="95">
      <t>ゼンガッカ</t>
    </rPh>
    <rPh sb="96" eb="100">
      <t>センタクカノウ</t>
    </rPh>
    <rPh sb="106" eb="109">
      <t>キボウシャ</t>
    </rPh>
    <rPh sb="110" eb="111">
      <t>フ</t>
    </rPh>
    <rPh sb="114" eb="116">
      <t>テイイン</t>
    </rPh>
    <rPh sb="117" eb="119">
      <t>ジュウナン</t>
    </rPh>
    <rPh sb="120" eb="121">
      <t>フ</t>
    </rPh>
    <rPh sb="128" eb="130">
      <t>ヨテイ</t>
    </rPh>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</si>
  <si>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</si>
  <si>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</si>
  <si>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　全1年生が履修する必修科目の「情報処理基礎」はエクセルを使用した種々の演習を実施することによりスムーズにAI、数理データサイエンスプログラムへ以降することを可能としている。また、同じく必修科目の「情報と社会」では基礎的な知識部分を学修させることにより、容易にAI、数理データサイエンスプログラムへ移行可能なマインドの醸成を図っている。
　必修科目の「情報と社会」ではAIへの誘い（周知）を行い、2年時以降のプログラムへの移行を促進している。</t>
    <rPh sb="1" eb="2">
      <t>ゼン</t>
    </rPh>
    <rPh sb="3" eb="5">
      <t>ネンセイ</t>
    </rPh>
    <rPh sb="6" eb="8">
      <t>リシュウ</t>
    </rPh>
    <rPh sb="10" eb="12">
      <t>ヒッシュウ</t>
    </rPh>
    <rPh sb="12" eb="14">
      <t>カモク</t>
    </rPh>
    <rPh sb="16" eb="18">
      <t>ジョウホウ</t>
    </rPh>
    <rPh sb="18" eb="20">
      <t>ショリ</t>
    </rPh>
    <rPh sb="20" eb="22">
      <t>キソ</t>
    </rPh>
    <rPh sb="29" eb="31">
      <t>シヨウ</t>
    </rPh>
    <rPh sb="33" eb="35">
      <t>シュジュ</t>
    </rPh>
    <rPh sb="36" eb="38">
      <t>エンシュウ</t>
    </rPh>
    <rPh sb="39" eb="41">
      <t>ジッシ</t>
    </rPh>
    <rPh sb="72" eb="74">
      <t>イコウ</t>
    </rPh>
    <rPh sb="79" eb="81">
      <t>カノウ</t>
    </rPh>
    <rPh sb="90" eb="91">
      <t>オナ</t>
    </rPh>
    <rPh sb="93" eb="95">
      <t>ヒッシュウ</t>
    </rPh>
    <rPh sb="95" eb="97">
      <t>カモク</t>
    </rPh>
    <rPh sb="99" eb="101">
      <t>ジョウホウ</t>
    </rPh>
    <rPh sb="102" eb="104">
      <t>シャカイ</t>
    </rPh>
    <rPh sb="107" eb="110">
      <t>キソテキ</t>
    </rPh>
    <rPh sb="111" eb="115">
      <t>チシキブブン</t>
    </rPh>
    <rPh sb="116" eb="118">
      <t>ガクシュウ</t>
    </rPh>
    <rPh sb="127" eb="129">
      <t>ヨウイ</t>
    </rPh>
    <rPh sb="133" eb="135">
      <t>スウリ</t>
    </rPh>
    <rPh sb="149" eb="151">
      <t>イコウ</t>
    </rPh>
    <rPh sb="151" eb="153">
      <t>カノウ</t>
    </rPh>
    <rPh sb="159" eb="161">
      <t>ジョウセイ</t>
    </rPh>
    <rPh sb="170" eb="174">
      <t>ヒッシュウカモク</t>
    </rPh>
    <rPh sb="176" eb="178">
      <t>ジョウホウ</t>
    </rPh>
    <rPh sb="179" eb="181">
      <t>シャカイ</t>
    </rPh>
    <rPh sb="188" eb="189">
      <t>イザナ</t>
    </rPh>
    <rPh sb="191" eb="193">
      <t>シュウチ</t>
    </rPh>
    <rPh sb="195" eb="196">
      <t>オコナ</t>
    </rPh>
    <rPh sb="199" eb="203">
      <t>ネンジイコウ</t>
    </rPh>
    <rPh sb="211" eb="213">
      <t>イコウ</t>
    </rPh>
    <rPh sb="214" eb="216">
      <t>ソクシン</t>
    </rPh>
    <phoneticPr fontId="1"/>
  </si>
  <si>
    <t>⑪</t>
    <phoneticPr fontId="1"/>
  </si>
  <si>
    <t>できる限り多くの学生が履修・修得できるようなサポート体制</t>
    <rPh sb="26" eb="28">
      <t>タイセイ</t>
    </rPh>
    <phoneticPr fontId="1"/>
  </si>
  <si>
    <t>　AI、数理データサイエンスプログラムは全学部、全学科で選択可能とし、現在は選択科目であるが、来年度には一部必修化する予定としている。入学時の新入生全員へのICT説明会でICT全体への導入へのきっかけ作りを行い、全員必修の情報処理基礎A及び情報処理基礎BではAI、数理データサイエンスプログラムへ進む導入部分を整えることを可能としている。
また、学生は、PC及びアプリケーションに関するサポートをITサポートセンターで一元的に受けることが可能となっている。
　更に、AI、数理データサイエンスプログラムの1クラスには最大でも40名程度の定員とし、きめ細やかな指導を可能としている。</t>
    <rPh sb="35" eb="37">
      <t>ゲンザイ</t>
    </rPh>
    <rPh sb="38" eb="40">
      <t>センタク</t>
    </rPh>
    <rPh sb="40" eb="42">
      <t>カモク</t>
    </rPh>
    <rPh sb="47" eb="50">
      <t>ライネンド</t>
    </rPh>
    <rPh sb="52" eb="54">
      <t>イチブ</t>
    </rPh>
    <rPh sb="54" eb="57">
      <t>ヒッシュウカ</t>
    </rPh>
    <rPh sb="59" eb="61">
      <t>ヨテイ</t>
    </rPh>
    <rPh sb="67" eb="69">
      <t>ニュウガク</t>
    </rPh>
    <rPh sb="69" eb="70">
      <t>ジ</t>
    </rPh>
    <rPh sb="71" eb="74">
      <t>シンニュウセイ</t>
    </rPh>
    <rPh sb="74" eb="76">
      <t>ゼンイン</t>
    </rPh>
    <rPh sb="88" eb="90">
      <t>ゼンタイ</t>
    </rPh>
    <rPh sb="92" eb="94">
      <t>ドウニュウ</t>
    </rPh>
    <rPh sb="100" eb="101">
      <t>ヅク</t>
    </rPh>
    <rPh sb="103" eb="104">
      <t>オコナ</t>
    </rPh>
    <rPh sb="106" eb="108">
      <t>ゼンイン</t>
    </rPh>
    <rPh sb="108" eb="110">
      <t>ヒッシュウ</t>
    </rPh>
    <rPh sb="148" eb="149">
      <t>スス</t>
    </rPh>
    <rPh sb="150" eb="152">
      <t>ドウニュウ</t>
    </rPh>
    <rPh sb="152" eb="154">
      <t>ブブン</t>
    </rPh>
    <rPh sb="155" eb="156">
      <t>トトノ</t>
    </rPh>
    <rPh sb="161" eb="163">
      <t>カノウ</t>
    </rPh>
    <rPh sb="173" eb="175">
      <t>ガクセイ</t>
    </rPh>
    <rPh sb="179" eb="180">
      <t>オヨ</t>
    </rPh>
    <rPh sb="190" eb="191">
      <t>カン</t>
    </rPh>
    <rPh sb="209" eb="212">
      <t>イチゲンテキ</t>
    </rPh>
    <rPh sb="213" eb="214">
      <t>ウ</t>
    </rPh>
    <rPh sb="219" eb="221">
      <t>カノウ</t>
    </rPh>
    <rPh sb="230" eb="231">
      <t>サラ</t>
    </rPh>
    <rPh sb="258" eb="260">
      <t>サイダイ</t>
    </rPh>
    <rPh sb="264" eb="267">
      <t>メイテイド</t>
    </rPh>
    <rPh sb="268" eb="270">
      <t>テイイン</t>
    </rPh>
    <rPh sb="275" eb="276">
      <t>コマ</t>
    </rPh>
    <rPh sb="279" eb="281">
      <t>シドウ</t>
    </rPh>
    <rPh sb="282" eb="284">
      <t>カノウ</t>
    </rPh>
    <phoneticPr fontId="1"/>
  </si>
  <si>
    <t>⑫</t>
    <phoneticPr fontId="1"/>
  </si>
  <si>
    <t>授業時間内外で学習指導、質問を受け付ける具体的な仕組み</t>
    <rPh sb="20" eb="23">
      <t>グタイテキ</t>
    </rPh>
    <phoneticPr fontId="1"/>
  </si>
  <si>
    <t>　AI、数理データサイエンスプログラムの各回授業で確認課題を行い、習熟度を確認。疑問、質問に対しては毎回の授業時間の最後に直接受け付けることとしており、その後についてはメールにて直接連絡をとることができる。また、授業に対する感想及び要望を随時収集して、授業への反映を行っている。別の方法として、時間外においてLMS上で24時間受付可能な受け付け体制を構築している。</t>
    <rPh sb="50" eb="52">
      <t>マイカイ</t>
    </rPh>
    <rPh sb="53" eb="55">
      <t>ジュギョウ</t>
    </rPh>
    <rPh sb="58" eb="60">
      <t>サイゴ</t>
    </rPh>
    <rPh sb="61" eb="63">
      <t>チョクセツ</t>
    </rPh>
    <rPh sb="78" eb="79">
      <t>ゴ</t>
    </rPh>
    <rPh sb="89" eb="91">
      <t>チョクセツ</t>
    </rPh>
    <rPh sb="91" eb="93">
      <t>レンラク</t>
    </rPh>
    <rPh sb="139" eb="140">
      <t>ベツ</t>
    </rPh>
    <rPh sb="141" eb="143">
      <t>ホウホウ</t>
    </rPh>
    <rPh sb="147" eb="150">
      <t>ジカンガイ</t>
    </rPh>
    <rPh sb="172" eb="174">
      <t>タイセイ</t>
    </rPh>
    <rPh sb="175" eb="177">
      <t>コウチク</t>
    </rPh>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</si>
  <si>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</si>
  <si>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</si>
  <si>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</si>
  <si>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</si>
  <si>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川野佐江子</t>
    <rPh sb="0" eb="2">
      <t>カワノ</t>
    </rPh>
    <rPh sb="2" eb="5">
      <t>サエコ</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</si>
  <si>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</si>
  <si>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</si>
  <si>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</si>
  <si>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</si>
  <si>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</si>
  <si>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 xml:space="preserve">学士課程教育センターに、学士課程基幹教育科目「暮らしとAI・データサイエンス」の履修・修得状況の報告を定期的に行い、委員会内で学生の出席状況や授業の進行状況を把握し、これらの点検の結果を踏まえ、同委員会にて次期開講の授業実施形態などの改善に結びつけている。
</t>
    <rPh sb="0" eb="2">
      <t>ガクシ</t>
    </rPh>
    <rPh sb="2" eb="4">
      <t>カテイ</t>
    </rPh>
    <rPh sb="4" eb="6">
      <t>キョウイク</t>
    </rPh>
    <phoneticPr fontId="1"/>
  </si>
  <si>
    <t>学修成果</t>
    <rPh sb="0" eb="2">
      <t>ガクシュウ</t>
    </rPh>
    <rPh sb="2" eb="4">
      <t>セイカ</t>
    </rPh>
    <phoneticPr fontId="1"/>
  </si>
  <si>
    <t xml:space="preserve">令和4年度の学士課程基幹教育科目「暮らしとAI・データサイエンス」の成績評価の平均は約71点であり、履修した学生は、本プログラムが想定する、数理・データサイエンス・AIの全体像を把握し、データ分析の基礎を身につけることができていると言える。
また、学生による授業評価アンケートでは、「教員の授業の進め方は内容を理解するのに適切でしたか」、「あなたにとって、この授業は満足できるものでしたか」という問いに対して、「そう思う」「どちらかといえばそう思う」という回答がそれぞれの設問で75％を占めており、学生は十分な学修成果を得られたものと考えている。
このように授業評価アンケートおよび講義の成績に基づいて、受講者の学修成果の状況を判断し、結果の分析を行っており、今後もこの活動を続け、プログラムの継続的改善につなげる方針である。
</t>
    <rPh sb="42" eb="43">
      <t>ヤク</t>
    </rPh>
    <rPh sb="50" eb="52">
      <t>リシュウ</t>
    </rPh>
    <rPh sb="54" eb="56">
      <t>ガクセイ</t>
    </rPh>
    <rPh sb="58" eb="59">
      <t>ホン</t>
    </rPh>
    <rPh sb="65" eb="67">
      <t>ソウテイ</t>
    </rPh>
    <rPh sb="116" eb="117">
      <t>イ</t>
    </rPh>
    <rPh sb="142" eb="144">
      <t>キョウイン</t>
    </rPh>
    <rPh sb="145" eb="147">
      <t>ジュギョウ</t>
    </rPh>
    <rPh sb="148" eb="149">
      <t>スス</t>
    </rPh>
    <rPh sb="150" eb="151">
      <t>カタ</t>
    </rPh>
    <rPh sb="152" eb="154">
      <t>ナイヨウ</t>
    </rPh>
    <rPh sb="155" eb="157">
      <t>リカイ</t>
    </rPh>
    <rPh sb="161" eb="163">
      <t>テキセツ</t>
    </rPh>
    <rPh sb="180" eb="182">
      <t>ジュギョウ</t>
    </rPh>
    <rPh sb="208" eb="209">
      <t>オモ</t>
    </rPh>
    <rPh sb="222" eb="223">
      <t>オモ</t>
    </rPh>
    <rPh sb="228" eb="230">
      <t>カイトウ</t>
    </rPh>
    <rPh sb="236" eb="238">
      <t>セツモン</t>
    </rPh>
    <rPh sb="243" eb="244">
      <t>シ</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</si>
  <si>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</si>
  <si>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 xml:space="preserve">授業改善のためのアンケートを年間2回実施し、その結果を担当教員にフィードバックしており、各教員はその結果により、学生の授業内容の理解度を確認し、自身の授業の手法を見直している。そのサイクルを繰り返し実施することにより、授業の改善・向上に努めている。
</t>
  </si>
  <si>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</si>
  <si>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 xml:space="preserve">授業改善のためのアンケートを年間2回実施し、履修者の授業全体の満足度、説明のわかりやすさ、教材のわかりやすさ、授業が役に立ったかなどを調査し、その結果を公表することで、後輩等他の学生への推奨度が向上するように改善を行っている。分析結果については各教員にフィードバックを行い、次学期以降の授業に活用している。
</t>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</si>
  <si>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</si>
  <si>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 xml:space="preserve">現在、学士課程基幹教育科目「暮らしとAI・データサイエンス」のみでプログラムを構成しているが、必修科目である「情報処理基礎A」及び「情報処理基礎B」を加え、プログラムを拡充する計画である。
これを達成するため、学士課程教育センターにて、「情報処理基礎B」の授業内容の見直しを進めており、データサイエンスに関する内容、データ解析についての内容を充実させて、履修者数の増加、履修率の向上につなげる予定である。
</t>
    <rPh sb="0" eb="2">
      <t>ゲンザイ</t>
    </rPh>
    <rPh sb="39" eb="41">
      <t>コウセイ</t>
    </rPh>
    <rPh sb="47" eb="49">
      <t>ヒッシュウ</t>
    </rPh>
    <rPh sb="49" eb="51">
      <t>カモク</t>
    </rPh>
    <rPh sb="59" eb="61">
      <t>キソ</t>
    </rPh>
    <rPh sb="63" eb="64">
      <t>オヨ</t>
    </rPh>
    <rPh sb="66" eb="68">
      <t>ジョウホウ</t>
    </rPh>
    <rPh sb="68" eb="70">
      <t>ショリ</t>
    </rPh>
    <rPh sb="70" eb="72">
      <t>キソ</t>
    </rPh>
    <rPh sb="75" eb="76">
      <t>クワ</t>
    </rPh>
    <rPh sb="84" eb="86">
      <t>カクジュウ</t>
    </rPh>
    <rPh sb="128" eb="130">
      <t>ジュギョウ</t>
    </rPh>
    <rPh sb="130" eb="132">
      <t>ナイヨウ</t>
    </rPh>
    <rPh sb="133" eb="135">
      <t>ミナオ</t>
    </rPh>
    <rPh sb="137" eb="138">
      <t>スス</t>
    </rPh>
    <rPh sb="171" eb="173">
      <t>ジュウジツ</t>
    </rPh>
    <rPh sb="177" eb="179">
      <t>リシュウ</t>
    </rPh>
    <rPh sb="179" eb="180">
      <t>シャ</t>
    </rPh>
    <rPh sb="180" eb="181">
      <t>スウ</t>
    </rPh>
    <rPh sb="182" eb="184">
      <t>ゾウカ</t>
    </rPh>
    <rPh sb="185" eb="187">
      <t>リシュウ</t>
    </rPh>
    <rPh sb="187" eb="188">
      <t>リツ</t>
    </rPh>
    <rPh sb="189" eb="191">
      <t>コウジョウ</t>
    </rPh>
    <rPh sb="196" eb="198">
      <t>ヨテイ</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</si>
  <si>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</si>
  <si>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</si>
  <si>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キャリアセンターが実施する卒後3年調査において、企業等における教育プログラム修了者に対する評価や活躍の状況を聴取している。</t>
    <rPh sb="9" eb="11">
      <t>ジッシ</t>
    </rPh>
    <rPh sb="13" eb="15">
      <t>ソツゴ</t>
    </rPh>
    <rPh sb="16" eb="17">
      <t>ネン</t>
    </rPh>
    <rPh sb="17" eb="19">
      <t>チョウサ</t>
    </rPh>
    <rPh sb="24" eb="26">
      <t>キギョウ</t>
    </rPh>
    <rPh sb="26" eb="27">
      <t>トウ</t>
    </rPh>
    <rPh sb="31" eb="33">
      <t>キョウイク</t>
    </rPh>
    <rPh sb="38" eb="41">
      <t>シュウリョウシャ</t>
    </rPh>
    <rPh sb="42" eb="43">
      <t>タイ</t>
    </rPh>
    <rPh sb="45" eb="47">
      <t>ヒョウカ</t>
    </rPh>
    <rPh sb="48" eb="50">
      <t>カツヤク</t>
    </rPh>
    <rPh sb="51" eb="53">
      <t>ジョウキョウ</t>
    </rPh>
    <rPh sb="54" eb="56">
      <t>チョウシュ</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</si>
  <si>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</si>
  <si>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毎年実施している各学部・研究科点検・評価会議において、自治体、教育委員会や学生就職先企業等から就任いただいた外部委員より教育プログラムの内容等について意見を聴取する。</t>
    <rPh sb="27" eb="30">
      <t>ジチタイ</t>
    </rPh>
    <rPh sb="31" eb="33">
      <t>キョウイク</t>
    </rPh>
    <rPh sb="33" eb="36">
      <t>イインカイ</t>
    </rPh>
    <rPh sb="37" eb="39">
      <t>ガクセイ</t>
    </rPh>
    <rPh sb="39" eb="41">
      <t>シュウショク</t>
    </rPh>
    <rPh sb="41" eb="42">
      <t>サキ</t>
    </rPh>
    <rPh sb="42" eb="44">
      <t>キギョウ</t>
    </rPh>
    <rPh sb="44" eb="45">
      <t>トウ</t>
    </rPh>
    <rPh sb="47" eb="49">
      <t>シュウニン</t>
    </rPh>
    <rPh sb="54" eb="56">
      <t>ガイブ</t>
    </rPh>
    <rPh sb="60" eb="62">
      <t>キョウイク</t>
    </rPh>
    <rPh sb="68" eb="70">
      <t>ナイヨウ</t>
    </rPh>
    <rPh sb="70" eb="71">
      <t>トウ</t>
    </rPh>
    <rPh sb="75" eb="77">
      <t>イケン</t>
    </rPh>
    <rPh sb="78" eb="80">
      <t>チョウシュ</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</si>
  <si>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</si>
  <si>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 xml:space="preserve">社会で実施されている様々なサービスが、数理・AI・データサイエンスによって実現されていることを学生に気づかせ、興味関心を持つことができるように授業内容を工夫しており、学生それぞれの所属する学科の専門領域においてもデータサイエンスが深く関わることや、卒業後の進路にも役立つものであるということを伝えている。
</t>
    <rPh sb="3" eb="5">
      <t>ジッシ</t>
    </rPh>
    <rPh sb="10" eb="12">
      <t>サマザマ</t>
    </rPh>
    <rPh sb="60" eb="61">
      <t>モ</t>
    </rPh>
    <rPh sb="83" eb="85">
      <t>ガクセイ</t>
    </rPh>
    <rPh sb="90" eb="92">
      <t>ショゾク</t>
    </rPh>
    <rPh sb="94" eb="96">
      <t>ガッカ</t>
    </rPh>
    <rPh sb="97" eb="99">
      <t>センモン</t>
    </rPh>
    <rPh sb="146" eb="147">
      <t>ツタ</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</si>
  <si>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</si>
  <si>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 xml:space="preserve">授業改善アンケートや授業内で提示する課題の評価、全体の成績分布等から受講者の理解度を確認し、学士課程教育センターに報告しており、その報告内容をもとに授業内容の見直しおよび改善を行っている。
</t>
    <rPh sb="2" eb="4">
      <t>カイゼン</t>
    </rPh>
    <rPh sb="10" eb="12">
      <t>ジュギョウ</t>
    </rPh>
    <rPh sb="12" eb="13">
      <t>ナイ</t>
    </rPh>
    <rPh sb="14" eb="16">
      <t>テイジ</t>
    </rPh>
    <rPh sb="18" eb="20">
      <t>カダイ</t>
    </rPh>
    <rPh sb="21" eb="23">
      <t>ヒョウカ</t>
    </rPh>
    <rPh sb="24" eb="26">
      <t>ゼンタイ</t>
    </rPh>
    <rPh sb="27" eb="29">
      <t>セイセキ</t>
    </rPh>
    <rPh sb="29" eb="31">
      <t>ブンプ</t>
    </rPh>
    <rPh sb="31" eb="32">
      <t>ナド</t>
    </rPh>
    <rPh sb="46" eb="48">
      <t>ガクシ</t>
    </rPh>
    <rPh sb="48" eb="50">
      <t>カテイ</t>
    </rPh>
    <rPh sb="50" eb="52">
      <t>キョウイク</t>
    </rPh>
    <phoneticPr fontId="1"/>
  </si>
  <si>
    <t>「暮らしとAI・データサイエンス」（第回：）</t>
    <phoneticPr fontId="1"/>
  </si>
  <si>
    <t>「統計活用事例に学ぶ」（第7回～第11回）</t>
    <phoneticPr fontId="1"/>
  </si>
  <si>
    <t>データの比較（条件をそろえた比較、処理の前後での比較、A/Bテスト)「暮らしとAI・データサイエンス」（第5回：Excel 数式、関数の復習）
データ表現「暮らしとAI・データサイエンス」（第6回：Excel データベース機能の復習）
データ表現（棒グラフ、折線グラフ、散布図、ヒートマップ）「暮らしとAI・データサイエンス」（第7回：統計活用事例に学ぶ①～第11回：統計事例に学ぶ④・⑤）
データ表現、データの比較「暮らしとAI・データサイエンス」（第12回：統計のまとめと最終課題）
データ表現（棒グラフ、折線グラフ、散布図、ヒートマップ）「暮らしとAI・データサイエンス」（第13回・第14回：最終課題）
データ表現（棒グラフ、折線グラフ、散布図、ヒートマップ）「暮らしとAI・データサイエンス」（第15回：分析結果をまとめる）</t>
    <rPh sb="76" eb="78">
      <t>ヒョウゲン</t>
    </rPh>
    <rPh sb="232" eb="234">
      <t>ヒョウゲン</t>
    </rPh>
    <rPh sb="235" eb="236">
      <t>ボウ</t>
    </rPh>
    <rPh sb="240" eb="242">
      <t>オレセン</t>
    </rPh>
    <rPh sb="246" eb="249">
      <t>サンプズ</t>
    </rPh>
    <rPh sb="343" eb="347">
      <t>ブンセキケッカ</t>
    </rPh>
    <phoneticPr fontId="1"/>
  </si>
  <si>
    <t>ビッグデータ、IoT、AI、ロボット、第4次産業革命、Society 5.0、データ駆動型社会、複数技術を組み合わせたAIサービス「暮らしとAI・データサイエンス」 （第1回：オリエンテーション/データサイエンスとは）
人間の知的活動とAIの関係性「暮らしとAI・データサイエンス」（第2回：社会におけるデータ・AI利活用①）</t>
    <rPh sb="84" eb="85">
      <t>ダイ</t>
    </rPh>
    <rPh sb="86" eb="87">
      <t>カイシャカイリカツヨウダイカイ</t>
    </rPh>
    <phoneticPr fontId="1"/>
  </si>
  <si>
    <t>AI等を活用した新しいビジネスモデル、AI最新技術の活用例「暮らしとAI・データサイエンス」（第2回：社会におけるデータ・AI利活用①）</t>
    <phoneticPr fontId="1"/>
  </si>
  <si>
    <t>調査データ、実験データ、人の行動ログデータ、機械の稼働ログデータなど「暮らしとAI・データサイエンス」（第1回：オリエンテーション/データサイエンスとは）
構造化データ、非構造化データ（文章、画像/動画、音声/音楽など）「暮らしとAI・データサイエンス」（第3回：社会におけるデータ・AI利活用②/データ、AI活用留意事項）
調査データ、実験データ、人の行動ログデータ、機械の稼働ログデータ、データ作成（ビッグデータとアノテーション）、データのオープン化（オープンデータ）など「暮らしとAI・データサイエンス」（第4回：統計のプロセスを知る/必要なデータを集めて加工）</t>
    <phoneticPr fontId="1"/>
  </si>
  <si>
    <t>データ・AI活用領域の広がり(生産、消費、文化活動など)、研究開発、調達、製造、物流、販売、マーケティング、仮説検証、知識発見、原因究明、計画策定、判断支援、活動代替、新規生成など「暮らしとAI・データサイエンス」（第2回：社会におけるデータ・AI利活用①）</t>
    <phoneticPr fontId="1"/>
  </si>
  <si>
    <t>特化型AIと汎用AI、今のAIで出来ることと出来ないこと、AIとビッグデータ、認識技術、ルールベース、自動化技術「暮らしとAI・データサイエンス」（第2回：社会におけるデータ・AI利活用①）
非構造化データ処理：言語処理、画像/動画処理、音声/音楽処理など「暮らしとAI・データサイエンス」（第3回：社会におけるデータ・AI利活用②/データ、AI活用留意事項）</t>
    <rPh sb="1" eb="4">
      <t>トッカガタ</t>
    </rPh>
    <rPh sb="7" eb="9">
      <t>ハンヨウ</t>
    </rPh>
    <rPh sb="12" eb="13">
      <t>イマ</t>
    </rPh>
    <rPh sb="17" eb="19">
      <t>デキ</t>
    </rPh>
    <rPh sb="23" eb="25">
      <t>デキ</t>
    </rPh>
    <phoneticPr fontId="1"/>
  </si>
  <si>
    <t>データサイエンスのサイクル（課題抽出と定式化、データの取得・管理・加工、探索的データ解析、データ解析と推論、結果の共有・伝達、課題解決に向けた提案）、流通、製造、金融、サービス、インフラ、公共、ヘルスケア等におけるデータ・AI利活用事例紹介「暮らしとAI・データサイエンス」（第2回：社会におけるデータ・AI利活用①）</t>
    <phoneticPr fontId="1"/>
  </si>
  <si>
    <t>個人情報保護、データ倫理：データのねつ造、改ざん、盗用、プライバシー保護、AI社会原則（公平性、説明責任、透明性、人間中心の判断）、AIサービスの責任論「暮らしとAI・データサイエンス」（第3回：社会におけるデータ・AI利活用②/データ、AI活用留意事項）</t>
    <rPh sb="0" eb="6">
      <t>コジンジョウホウホゴ</t>
    </rPh>
    <rPh sb="10" eb="12">
      <t>リンリ</t>
    </rPh>
    <rPh sb="19" eb="20">
      <t>ゾウ</t>
    </rPh>
    <rPh sb="21" eb="22">
      <t>カイ</t>
    </rPh>
    <rPh sb="25" eb="27">
      <t>トウヨウ</t>
    </rPh>
    <rPh sb="34" eb="36">
      <t>ホゴ</t>
    </rPh>
    <phoneticPr fontId="1"/>
  </si>
  <si>
    <t>情報セキュリティ、匿名加工情報、暗号化、パスワード、悪意ある情報搾取、情報漏洩等によるセキュリティ事故の事例紹介「暮らしとAI・データサイエンス」（第3回：社会におけるデータ・AI利活用②/データ、AI活用留意事項）</t>
    <phoneticPr fontId="1"/>
  </si>
  <si>
    <t>統計情報の正しい理解「暮らしとAI・データサイエンス」（第4回：統計のプロセスを知る/必要なデータを集めて加工）
データの種類（量的変数、質的変数）「暮らしとAI・データサイエンス」（第5回：Excel 数式、関数の復習）
標本抽出「暮らしとAI・データサイエンス」（第6回：Excel データベース機能の復習）
データの分布（ヒストグラム）と代表値（平均値、中央値、最頻値）、代表値の性質の違い（実社会では平均値＝最頻値でないことが多い）、データのばらつき（分散、標準偏差、偏差値）、相関と因果「暮らしとAI・データサイエンス」（第7回：統計活用事例に学ぶ①～第11回：統計事例に学ぶ④・⑤）
代表値、データのばらつき（分散、標準偏差、偏差値）、母集団と標本抽出（国勢調査、アンケート調査、全数調査、単純無作為抽出、層別抽出、多段抽出）「暮らしとAI・データサイエンス」（第12回：統計のまとめと最終課題）
データの分布（ヒストグラム）と代表値（平均値、中央値、最頻値）「暮らしとAI・データサイエンス」（第13回・第14回：最終課題）
データの分布（ヒストグラム）と代表値（平均値、中央値、最頻値「暮らしとAI・データサイエンス」（第15回：分析結果をまとめる）</t>
    <rPh sb="62" eb="64">
      <t>シュルイ</t>
    </rPh>
    <rPh sb="65" eb="67">
      <t>リョウテキ</t>
    </rPh>
    <rPh sb="67" eb="69">
      <t>ヘンスウ</t>
    </rPh>
    <rPh sb="70" eb="72">
      <t>シツテキ</t>
    </rPh>
    <rPh sb="72" eb="74">
      <t>ヘンスウ</t>
    </rPh>
    <rPh sb="103" eb="105">
      <t>スウシキ</t>
    </rPh>
    <rPh sb="106" eb="108">
      <t>カンスウ</t>
    </rPh>
    <rPh sb="109" eb="111">
      <t>フクシュウ</t>
    </rPh>
    <rPh sb="114" eb="118">
      <t>ヒョウホンチュウシュツ</t>
    </rPh>
    <rPh sb="152" eb="154">
      <t>キノウ</t>
    </rPh>
    <rPh sb="155" eb="157">
      <t>フクシュウ</t>
    </rPh>
    <rPh sb="164" eb="166">
      <t>ブンプ</t>
    </rPh>
    <rPh sb="175" eb="178">
      <t>ダイヒョウチ</t>
    </rPh>
    <rPh sb="179" eb="182">
      <t>ヘイキンチ</t>
    </rPh>
    <rPh sb="183" eb="186">
      <t>チュウオウチ</t>
    </rPh>
    <rPh sb="187" eb="190">
      <t>サイヒンチ</t>
    </rPh>
    <rPh sb="273" eb="279">
      <t>トウケイカツヨウジレイ</t>
    </rPh>
    <rPh sb="280" eb="281">
      <t>マナ</t>
    </rPh>
    <rPh sb="284" eb="285">
      <t>ダイ</t>
    </rPh>
    <rPh sb="287" eb="288">
      <t>カイ</t>
    </rPh>
    <rPh sb="289" eb="293">
      <t>トウケイジレイ</t>
    </rPh>
    <rPh sb="294" eb="295">
      <t>マナブ</t>
    </rPh>
    <rPh sb="462" eb="463">
      <t>カイ</t>
    </rPh>
    <rPh sb="464" eb="465">
      <t>ダイ</t>
    </rPh>
    <rPh sb="529" eb="533">
      <t>ブンセキケッカ</t>
    </rPh>
    <phoneticPr fontId="1"/>
  </si>
  <si>
    <t>データの集計（和、平均）「暮らしとAI・データサイエンス」（第5回：Excel 数式、関数の復習）
データの並べ替え、データ解析ツール（スプレッドシート）、表形式のデータ（csv）「暮らしとAI・データサイエンス」（第6回：Excel データベース機能の復習）
データの集計（和、平均）、データ解析ツール「暮らしとAI・データサイエンス」（第7回：統計活用事例に学ぶ①～第11回：統計活用事例に学ぶ④・⑤）
データの集計「暮らしとAI・データサイエンス」（第12回：統計のまとめと最終課題）
データの集計（和、平均）「暮らしとAI・データサイエンス」（第13回・第14回：最終課題）
データの集計（和、平均）「暮らしとAI・データサイエンス」（第15回：分析結果をまとめる）</t>
    <rPh sb="55" eb="56">
      <t>ナラ</t>
    </rPh>
    <rPh sb="57" eb="58">
      <t>カ</t>
    </rPh>
    <rPh sb="247" eb="248">
      <t>ワ</t>
    </rPh>
    <rPh sb="249" eb="251">
      <t>ヘイキン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</si>
</sst>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1" x14ac:knownFonts="1">
    <font>
      <sz val="11"/>
      <color theme="1"/>
      <name val="ＭＳ Ｐゴシック"/>
      <family val="2"/>
      <charset val="128"/>
      <scheme val="minor"/>
    </font>
    <font>
      <sz val="6"/>
      <name val="ＭＳ Ｐゴシック"/>
      <family val="2"/>
      <charset val="128"/>
      <scheme val="minor"/>
    </font>
    <font>
      <sz val="11"/>
      <color theme="1"/>
      <name val="ＭＳ Ｐゴシック"/>
      <family val="2"/>
      <charset val="128"/>
      <scheme val="minor"/>
    </font>
    <font>
      <sz val="12"/>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3"/>
      <charset val="128"/>
      <scheme val="minor"/>
    </font>
    <font>
      <sz val="6"/>
      <name val="ＭＳ Ｐゴシック"/>
      <family val="3"/>
      <charset val="128"/>
      <scheme val="minor"/>
    </font>
    <font>
      <sz val="10"/>
      <name val="ＭＳ Ｐゴシック"/>
      <family val="3"/>
      <charset val="128"/>
      <scheme val="minor"/>
    </font>
    <font>
      <sz val="7"/>
      <name val="ＭＳ Ｐゴシック"/>
      <family val="3"/>
      <charset val="128"/>
      <scheme val="minor"/>
    </font>
    <font>
      <sz val="8"/>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2" fillId="0" borderId="0" applyFont="0" applyFill="0" applyBorder="0" applyAlignment="0" applyProtection="0">
      <alignment vertical="center"/>
    </xf>
    <xf numFmtId="38" fontId="2" fillId="0" borderId="0" applyFont="0" applyFill="0" applyBorder="0" applyAlignment="0" applyProtection="0">
      <alignment vertical="center"/>
    </xf>
  </cellStyleXfs>
  <cellXfs count="299">
    <xf numFmtId="0" fontId="0" fillId="0" borderId="0" xfId="0">
      <alignment vertical="center"/>
    </xf>
    <xf numFmtId="0" fontId="3" fillId="0" borderId="0" xfId="0" applyFont="1">
      <alignment vertical="center"/>
    </xf>
    <xf numFmtId="0" fontId="3" fillId="0" borderId="0" xfId="0" applyFont="1" applyAlignment="1">
      <alignment horizontal="right" vertical="center"/>
    </xf>
    <xf numFmtId="0" fontId="3" fillId="0" borderId="1"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left" vertical="center"/>
    </xf>
    <xf numFmtId="0" fontId="3" fillId="0" borderId="0" xfId="0" applyFont="1" applyAlignment="1">
      <alignment horizontal="center" vertical="center"/>
    </xf>
    <xf numFmtId="0" fontId="3" fillId="0" borderId="1" xfId="0" applyFont="1" applyBorder="1" applyAlignment="1">
      <alignment horizontal="left" vertical="center"/>
    </xf>
    <xf numFmtId="0" fontId="5" fillId="0" borderId="0" xfId="0" applyFont="1" applyAlignment="1">
      <alignment vertical="top" wrapText="1"/>
    </xf>
    <xf numFmtId="0" fontId="3" fillId="2" borderId="5" xfId="0" applyFont="1" applyFill="1" applyBorder="1">
      <alignment vertical="center"/>
    </xf>
    <xf numFmtId="0" fontId="5" fillId="2" borderId="0" xfId="0" applyFont="1" applyFill="1" applyAlignment="1">
      <alignment vertical="top" wrapText="1"/>
    </xf>
    <xf numFmtId="0" fontId="5" fillId="2" borderId="10" xfId="0" applyFont="1" applyFill="1" applyBorder="1" applyAlignment="1">
      <alignment vertical="top" wrapText="1"/>
    </xf>
    <xf numFmtId="0" fontId="3" fillId="2" borderId="0" xfId="0" applyFont="1" applyFill="1">
      <alignment vertical="center"/>
    </xf>
    <xf numFmtId="0" fontId="5" fillId="2" borderId="5" xfId="0" applyFont="1" applyFill="1" applyBorder="1" applyAlignment="1">
      <alignment vertical="top" wrapText="1"/>
    </xf>
    <xf numFmtId="0" fontId="5" fillId="2" borderId="11" xfId="0" applyFont="1" applyFill="1" applyBorder="1" applyAlignment="1">
      <alignment vertical="top" wrapText="1"/>
    </xf>
    <xf numFmtId="0" fontId="5" fillId="2" borderId="42" xfId="0" applyFont="1" applyFill="1" applyBorder="1" applyAlignment="1">
      <alignment vertical="top" wrapText="1"/>
    </xf>
    <xf numFmtId="0" fontId="5" fillId="2" borderId="43" xfId="0" applyFont="1" applyFill="1" applyBorder="1" applyAlignment="1">
      <alignment vertical="top" wrapText="1"/>
    </xf>
    <xf numFmtId="0" fontId="5" fillId="0" borderId="42" xfId="0" applyFont="1" applyBorder="1" applyAlignment="1">
      <alignment vertical="top" shrinkToFit="1"/>
    </xf>
    <xf numFmtId="0" fontId="5" fillId="0" borderId="43" xfId="0" applyFont="1" applyBorder="1" applyAlignment="1">
      <alignment vertical="top" shrinkToFit="1"/>
    </xf>
    <xf numFmtId="0" fontId="3" fillId="0" borderId="0" xfId="0" applyFont="1" applyAlignment="1">
      <alignment vertical="top" wrapText="1"/>
    </xf>
    <xf numFmtId="0" fontId="5" fillId="0" borderId="0" xfId="0" applyFont="1">
      <alignment vertical="center"/>
    </xf>
    <xf numFmtId="0" fontId="6" fillId="0" borderId="0" xfId="0" applyFont="1">
      <alignment vertical="center"/>
    </xf>
    <xf numFmtId="0" fontId="6" fillId="0" borderId="0" xfId="0" applyFont="1" applyAlignment="1">
      <alignment horizontal="left" vertical="center"/>
    </xf>
    <xf numFmtId="0" fontId="3" fillId="0" borderId="0" xfId="0" applyFont="1" applyAlignment="1">
      <alignment vertical="center" wrapText="1"/>
    </xf>
    <xf numFmtId="0" fontId="3" fillId="0" borderId="1" xfId="0" applyFont="1" applyBorder="1" applyAlignment="1">
      <alignment horizontal="center" vertical="center" wrapText="1" shrinkToFit="1"/>
    </xf>
    <xf numFmtId="9" fontId="3" fillId="0" borderId="1" xfId="0" applyNumberFormat="1" applyFont="1" applyBorder="1" applyAlignment="1">
      <alignment horizontal="center" vertical="center" shrinkToFit="1"/>
    </xf>
    <xf numFmtId="9" fontId="3" fillId="0" borderId="0" xfId="1" applyFont="1" applyAlignment="1">
      <alignment horizontal="center" vertical="center"/>
    </xf>
    <xf numFmtId="0" fontId="3" fillId="0" borderId="1" xfId="0" applyFont="1" applyBorder="1" applyAlignment="1">
      <alignment horizontal="center" vertical="center" shrinkToFit="1"/>
    </xf>
    <xf numFmtId="176" fontId="3" fillId="0" borderId="1" xfId="0" applyNumberFormat="1" applyFont="1" applyBorder="1" applyAlignment="1">
      <alignment horizontal="center" vertical="center" shrinkToFit="1"/>
    </xf>
    <xf numFmtId="0" fontId="5" fillId="0" borderId="0" xfId="0" applyFont="1" applyAlignment="1">
      <alignment vertical="top" shrinkToFit="1"/>
    </xf>
    <xf numFmtId="0" fontId="5" fillId="0" borderId="0" xfId="0" applyFont="1" applyAlignment="1">
      <alignment vertical="center" wrapText="1"/>
    </xf>
    <xf numFmtId="0" fontId="3" fillId="0" borderId="0" xfId="0" applyFont="1" applyAlignment="1">
      <alignment vertical="center" shrinkToFit="1"/>
    </xf>
    <xf numFmtId="0" fontId="10" fillId="0" borderId="11" xfId="0" applyFont="1" applyBorder="1" applyAlignment="1">
      <alignment horizontal="center" vertical="center"/>
    </xf>
    <xf numFmtId="0" fontId="10" fillId="0" borderId="52" xfId="0" applyFont="1" applyBorder="1" applyAlignment="1">
      <alignment horizontal="center" vertical="center"/>
    </xf>
    <xf numFmtId="0" fontId="10" fillId="0" borderId="53" xfId="0" applyFont="1" applyBorder="1" applyAlignment="1">
      <alignment horizontal="center" vertical="center"/>
    </xf>
    <xf numFmtId="0" fontId="3" fillId="0" borderId="14" xfId="0" applyFont="1" applyBorder="1" applyAlignment="1">
      <alignment horizontal="left" vertical="center" shrinkToFit="1"/>
    </xf>
    <xf numFmtId="38" fontId="3" fillId="0" borderId="50" xfId="2" applyFont="1" applyFill="1" applyBorder="1" applyAlignment="1">
      <alignment vertical="center" shrinkToFit="1"/>
    </xf>
    <xf numFmtId="38" fontId="3" fillId="0" borderId="0" xfId="2" applyFont="1" applyFill="1" applyAlignment="1">
      <alignment vertical="center" shrinkToFit="1"/>
    </xf>
    <xf numFmtId="38" fontId="3" fillId="0" borderId="5" xfId="2" applyFont="1" applyFill="1" applyBorder="1" applyAlignment="1">
      <alignment vertical="center" shrinkToFit="1"/>
    </xf>
    <xf numFmtId="38" fontId="3" fillId="0" borderId="54" xfId="2" applyFont="1" applyFill="1" applyBorder="1" applyAlignment="1">
      <alignment vertical="center" shrinkToFit="1"/>
    </xf>
    <xf numFmtId="38" fontId="3" fillId="0" borderId="30" xfId="2" applyFont="1" applyFill="1" applyBorder="1" applyAlignment="1">
      <alignment vertical="center" shrinkToFit="1"/>
    </xf>
    <xf numFmtId="38" fontId="3" fillId="0" borderId="5" xfId="2" applyFont="1" applyBorder="1" applyAlignment="1">
      <alignment vertical="center" shrinkToFit="1"/>
    </xf>
    <xf numFmtId="38" fontId="3" fillId="0" borderId="54" xfId="2" applyFont="1" applyBorder="1" applyAlignment="1">
      <alignment vertical="center" shrinkToFit="1"/>
    </xf>
    <xf numFmtId="38" fontId="3" fillId="0" borderId="30" xfId="2" applyFont="1" applyBorder="1" applyAlignment="1">
      <alignment vertical="center" shrinkToFit="1"/>
    </xf>
    <xf numFmtId="38" fontId="3" fillId="0" borderId="0" xfId="2" applyFont="1" applyAlignment="1">
      <alignment vertical="center" shrinkToFit="1"/>
    </xf>
    <xf numFmtId="9" fontId="3" fillId="0" borderId="1" xfId="0" applyNumberFormat="1" applyFont="1" applyBorder="1" applyAlignment="1">
      <alignment vertical="center" shrinkToFit="1"/>
    </xf>
    <xf numFmtId="0" fontId="3" fillId="0" borderId="23" xfId="0" applyFont="1" applyBorder="1" applyAlignment="1">
      <alignment horizontal="left" vertical="center" shrinkToFit="1"/>
    </xf>
    <xf numFmtId="38" fontId="3" fillId="0" borderId="23" xfId="2" applyFont="1" applyFill="1" applyBorder="1" applyAlignment="1">
      <alignment vertical="center" shrinkToFit="1"/>
    </xf>
    <xf numFmtId="38" fontId="3" fillId="0" borderId="20" xfId="2" applyFont="1" applyFill="1" applyBorder="1" applyAlignment="1">
      <alignment vertical="center" shrinkToFit="1"/>
    </xf>
    <xf numFmtId="38" fontId="3" fillId="0" borderId="19" xfId="2" applyFont="1" applyFill="1" applyBorder="1" applyAlignment="1">
      <alignment vertical="center" shrinkToFit="1"/>
    </xf>
    <xf numFmtId="38" fontId="3" fillId="0" borderId="57" xfId="2" applyFont="1" applyFill="1" applyBorder="1" applyAlignment="1">
      <alignment vertical="center" shrinkToFit="1"/>
    </xf>
    <xf numFmtId="38" fontId="3" fillId="0" borderId="55" xfId="2" applyFont="1" applyFill="1" applyBorder="1" applyAlignment="1">
      <alignment vertical="center" shrinkToFit="1"/>
    </xf>
    <xf numFmtId="38" fontId="3" fillId="0" borderId="32" xfId="2" applyFont="1" applyFill="1" applyBorder="1" applyAlignment="1">
      <alignment vertical="center" shrinkToFit="1"/>
    </xf>
    <xf numFmtId="38" fontId="3" fillId="0" borderId="57" xfId="2" applyFont="1" applyBorder="1" applyAlignment="1">
      <alignment vertical="center" shrinkToFit="1"/>
    </xf>
    <xf numFmtId="38" fontId="3" fillId="0" borderId="55" xfId="2" applyFont="1" applyBorder="1" applyAlignment="1">
      <alignment vertical="center" shrinkToFit="1"/>
    </xf>
    <xf numFmtId="38" fontId="3" fillId="0" borderId="32" xfId="2" applyFont="1" applyBorder="1" applyAlignment="1">
      <alignment vertical="center" shrinkToFit="1"/>
    </xf>
    <xf numFmtId="38" fontId="3" fillId="0" borderId="20" xfId="2" applyFont="1" applyBorder="1" applyAlignment="1">
      <alignment vertical="center" shrinkToFit="1"/>
    </xf>
    <xf numFmtId="9" fontId="3" fillId="0" borderId="60" xfId="0" applyNumberFormat="1" applyFont="1" applyBorder="1" applyAlignment="1">
      <alignment vertical="center" shrinkToFit="1"/>
    </xf>
    <xf numFmtId="9" fontId="3" fillId="0" borderId="23" xfId="0" applyNumberFormat="1" applyFont="1" applyBorder="1" applyAlignment="1">
      <alignment vertical="center" shrinkToFit="1"/>
    </xf>
    <xf numFmtId="38" fontId="3" fillId="0" borderId="23" xfId="2" applyFont="1" applyBorder="1" applyAlignment="1">
      <alignment vertical="center" shrinkToFit="1"/>
    </xf>
    <xf numFmtId="38" fontId="3" fillId="0" borderId="19" xfId="2" applyFont="1" applyBorder="1" applyAlignment="1">
      <alignment vertical="center" shrinkToFit="1"/>
    </xf>
    <xf numFmtId="38" fontId="3" fillId="0" borderId="18" xfId="2" applyFont="1" applyBorder="1" applyAlignment="1">
      <alignment vertical="center" shrinkToFit="1"/>
    </xf>
    <xf numFmtId="0" fontId="3" fillId="0" borderId="24" xfId="0" applyFont="1" applyBorder="1" applyAlignment="1">
      <alignment horizontal="left" vertical="center" shrinkToFit="1"/>
    </xf>
    <xf numFmtId="38" fontId="3" fillId="0" borderId="50" xfId="2" applyFont="1" applyBorder="1" applyAlignment="1">
      <alignment vertical="center" shrinkToFit="1"/>
    </xf>
    <xf numFmtId="38" fontId="3" fillId="0" borderId="10" xfId="2" applyFont="1" applyBorder="1" applyAlignment="1">
      <alignment vertical="center" shrinkToFit="1"/>
    </xf>
    <xf numFmtId="38" fontId="3" fillId="0" borderId="56" xfId="2" applyFont="1" applyBorder="1" applyAlignment="1">
      <alignment vertical="center" shrinkToFit="1"/>
    </xf>
    <xf numFmtId="38" fontId="3" fillId="0" borderId="51" xfId="2" applyFont="1" applyBorder="1" applyAlignment="1">
      <alignment vertical="center" shrinkToFit="1"/>
    </xf>
    <xf numFmtId="9" fontId="3" fillId="0" borderId="10" xfId="0" applyNumberFormat="1" applyFont="1" applyBorder="1" applyAlignment="1">
      <alignment vertical="center" shrinkToFit="1"/>
    </xf>
    <xf numFmtId="0" fontId="3" fillId="0" borderId="28" xfId="0" applyFont="1" applyBorder="1" applyAlignment="1">
      <alignment horizontal="center" vertical="center" shrinkToFit="1"/>
    </xf>
    <xf numFmtId="38" fontId="3" fillId="0" borderId="28" xfId="2" applyFont="1" applyBorder="1" applyAlignment="1">
      <alignment vertical="center" shrinkToFit="1"/>
    </xf>
    <xf numFmtId="38" fontId="3" fillId="0" borderId="26" xfId="2" applyFont="1" applyBorder="1" applyAlignment="1">
      <alignment vertical="center" shrinkToFit="1"/>
    </xf>
    <xf numFmtId="38" fontId="3" fillId="0" borderId="25" xfId="2" applyFont="1" applyBorder="1" applyAlignment="1">
      <alignment vertical="center" shrinkToFit="1"/>
    </xf>
    <xf numFmtId="38" fontId="3" fillId="0" borderId="58" xfId="2" applyFont="1" applyBorder="1" applyAlignment="1">
      <alignment vertical="center" shrinkToFit="1"/>
    </xf>
    <xf numFmtId="38" fontId="3" fillId="0" borderId="33" xfId="2" applyFont="1" applyBorder="1" applyAlignment="1">
      <alignment vertical="center" shrinkToFit="1"/>
    </xf>
    <xf numFmtId="9" fontId="3" fillId="0" borderId="27" xfId="0" applyNumberFormat="1" applyFont="1" applyBorder="1" applyAlignment="1">
      <alignment vertical="center" shrinkToFit="1"/>
    </xf>
    <xf numFmtId="0" fontId="3" fillId="0" borderId="0" xfId="0" applyFont="1" applyAlignment="1">
      <alignment horizontal="left" vertical="center" shrinkToFit="1"/>
    </xf>
    <xf numFmtId="0" fontId="3" fillId="0" borderId="10" xfId="0" applyFont="1" applyBorder="1" applyAlignment="1">
      <alignment horizontal="right" vertical="center"/>
    </xf>
    <xf numFmtId="0" fontId="6" fillId="0" borderId="0" xfId="0" applyFont="1" applyAlignment="1">
      <alignment horizontal="center" vertical="center"/>
    </xf>
    <xf numFmtId="0" fontId="3" fillId="0" borderId="5" xfId="0" applyFont="1" applyBorder="1">
      <alignment vertical="center"/>
    </xf>
    <xf numFmtId="0" fontId="5" fillId="0" borderId="1" xfId="0" applyFont="1" applyBorder="1" applyAlignment="1">
      <alignment horizontal="center" vertical="center" shrinkToFit="1"/>
    </xf>
    <xf numFmtId="0" fontId="5" fillId="0" borderId="4" xfId="0" applyFont="1" applyBorder="1" applyAlignment="1">
      <alignment horizontal="center" vertical="center" shrinkToFit="1"/>
    </xf>
    <xf numFmtId="49" fontId="5" fillId="0" borderId="1" xfId="0" applyNumberFormat="1" applyFont="1" applyBorder="1" applyAlignment="1">
      <alignment horizontal="center" vertical="center"/>
    </xf>
    <xf numFmtId="0" fontId="3" fillId="0" borderId="14" xfId="0" applyFont="1" applyBorder="1" applyAlignment="1">
      <alignment horizontal="center" vertical="center" shrinkToFit="1"/>
    </xf>
    <xf numFmtId="0" fontId="3" fillId="0" borderId="23" xfId="0" applyFont="1" applyBorder="1" applyAlignment="1">
      <alignment horizontal="center" vertical="center" shrinkToFit="1"/>
    </xf>
    <xf numFmtId="0" fontId="3" fillId="0" borderId="13" xfId="0" applyFont="1" applyBorder="1" applyAlignment="1">
      <alignment horizontal="center" vertical="center" shrinkToFit="1"/>
    </xf>
    <xf numFmtId="0" fontId="3" fillId="0" borderId="40" xfId="0" applyFont="1" applyBorder="1" applyAlignment="1">
      <alignment horizontal="center" vertical="center" shrinkToFit="1"/>
    </xf>
    <xf numFmtId="0" fontId="3" fillId="0" borderId="0" xfId="0" applyFont="1" applyAlignment="1">
      <alignment horizontal="center" vertical="center" shrinkToFit="1"/>
    </xf>
    <xf numFmtId="49" fontId="5" fillId="0" borderId="48" xfId="0" applyNumberFormat="1" applyFont="1" applyBorder="1" applyAlignment="1">
      <alignment horizontal="center" vertical="center"/>
    </xf>
    <xf numFmtId="49" fontId="5" fillId="0" borderId="49" xfId="0" applyNumberFormat="1" applyFont="1" applyBorder="1" applyAlignment="1">
      <alignment horizontal="center" vertical="center"/>
    </xf>
    <xf numFmtId="49" fontId="5" fillId="0" borderId="44" xfId="0" applyNumberFormat="1" applyFont="1" applyBorder="1" applyAlignment="1">
      <alignment horizontal="center" vertical="center"/>
    </xf>
    <xf numFmtId="49" fontId="5" fillId="0" borderId="29" xfId="0" applyNumberFormat="1" applyFont="1" applyBorder="1" applyAlignment="1">
      <alignment horizontal="center" vertical="center"/>
    </xf>
    <xf numFmtId="49" fontId="5" fillId="0" borderId="47" xfId="0" applyNumberFormat="1" applyFont="1" applyBorder="1" applyAlignment="1">
      <alignment horizontal="center" vertical="center"/>
    </xf>
    <xf numFmtId="49" fontId="5" fillId="0" borderId="32" xfId="0" applyNumberFormat="1" applyFont="1" applyBorder="1" applyAlignment="1">
      <alignment horizontal="center" vertical="center"/>
    </xf>
    <xf numFmtId="0" fontId="3" fillId="0" borderId="19" xfId="0" applyFont="1" applyBorder="1" applyAlignment="1">
      <alignment vertical="center" shrinkToFit="1"/>
    </xf>
    <xf numFmtId="0" fontId="3" fillId="0" borderId="20" xfId="0" applyFont="1" applyBorder="1" applyAlignment="1">
      <alignment vertical="center" shrinkToFit="1"/>
    </xf>
    <xf numFmtId="0" fontId="3" fillId="0" borderId="18" xfId="0" applyFont="1" applyBorder="1" applyAlignment="1">
      <alignment vertical="center" shrinkToFit="1"/>
    </xf>
    <xf numFmtId="0" fontId="3" fillId="0" borderId="37" xfId="0" applyFont="1" applyBorder="1" applyAlignment="1">
      <alignment vertical="center" shrinkToFit="1"/>
    </xf>
    <xf numFmtId="0" fontId="3" fillId="0" borderId="38" xfId="0" applyFont="1" applyBorder="1" applyAlignment="1">
      <alignment vertical="center" shrinkToFit="1"/>
    </xf>
    <xf numFmtId="0" fontId="3" fillId="0" borderId="39" xfId="0" applyFont="1" applyBorder="1" applyAlignment="1">
      <alignment vertical="center" shrinkToFit="1"/>
    </xf>
    <xf numFmtId="0" fontId="3" fillId="0" borderId="0" xfId="0" applyFont="1" applyAlignment="1">
      <alignment horizontal="right" vertical="center"/>
    </xf>
    <xf numFmtId="0" fontId="3" fillId="0" borderId="1" xfId="0" applyFont="1" applyBorder="1" applyAlignment="1">
      <alignment horizontal="center" vertical="center"/>
    </xf>
    <xf numFmtId="0" fontId="3" fillId="0" borderId="0" xfId="0" applyFont="1" applyAlignment="1">
      <alignment vertical="top" wrapText="1"/>
    </xf>
    <xf numFmtId="0" fontId="3" fillId="0" borderId="0" xfId="0" applyFont="1" applyAlignment="1">
      <alignment horizontal="center" vertical="center"/>
    </xf>
    <xf numFmtId="0" fontId="3" fillId="0" borderId="14" xfId="0" applyFont="1" applyBorder="1" applyAlignment="1">
      <alignment vertical="center" shrinkToFit="1"/>
    </xf>
    <xf numFmtId="0" fontId="3" fillId="0" borderId="23" xfId="0" applyFont="1" applyBorder="1" applyAlignment="1">
      <alignment vertical="center" shrinkToFi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34" xfId="0" applyFont="1" applyBorder="1" applyAlignment="1">
      <alignment vertical="center" shrinkToFit="1"/>
    </xf>
    <xf numFmtId="0" fontId="3" fillId="0" borderId="36" xfId="0" applyFont="1" applyBorder="1" applyAlignment="1">
      <alignment vertical="center" shrinkToFit="1"/>
    </xf>
    <xf numFmtId="0" fontId="3" fillId="0" borderId="35" xfId="0" applyFont="1" applyBorder="1" applyAlignment="1">
      <alignment vertical="center" shrinkToFit="1"/>
    </xf>
    <xf numFmtId="0" fontId="3" fillId="0" borderId="19" xfId="0" applyFont="1" applyBorder="1" applyAlignment="1">
      <alignment vertical="center" shrinkToFit="1"/>
    </xf>
    <xf numFmtId="0" fontId="3" fillId="0" borderId="20" xfId="0" applyFont="1" applyBorder="1" applyAlignment="1">
      <alignment vertical="center" shrinkToFit="1"/>
    </xf>
    <xf numFmtId="0" fontId="3" fillId="0" borderId="23" xfId="0" applyFont="1" applyBorder="1" applyAlignment="1">
      <alignment vertical="center" wrapText="1" shrinkToFit="1"/>
    </xf>
    <xf numFmtId="0" fontId="3" fillId="0" borderId="19" xfId="0" applyFont="1" applyBorder="1" applyAlignment="1">
      <alignment vertical="center" wrapText="1" shrinkToFit="1"/>
    </xf>
    <xf numFmtId="0" fontId="3" fillId="0" borderId="20" xfId="0" applyFont="1" applyBorder="1" applyAlignment="1">
      <alignment vertical="center" wrapText="1" shrinkToFit="1"/>
    </xf>
    <xf numFmtId="0" fontId="3" fillId="0" borderId="18" xfId="0" applyFont="1" applyBorder="1" applyAlignment="1">
      <alignment vertical="center" wrapText="1" shrinkToFit="1"/>
    </xf>
    <xf numFmtId="0" fontId="3" fillId="0" borderId="40" xfId="0" applyFont="1" applyBorder="1" applyAlignment="1">
      <alignment vertical="center" shrinkToFit="1"/>
    </xf>
    <xf numFmtId="0" fontId="3" fillId="0" borderId="0" xfId="0" applyFont="1" applyAlignment="1">
      <alignment vertical="center" wrapText="1"/>
    </xf>
    <xf numFmtId="0" fontId="5" fillId="0" borderId="45" xfId="0" applyFont="1" applyBorder="1" applyAlignment="1">
      <alignment vertical="center" wrapText="1"/>
    </xf>
    <xf numFmtId="0" fontId="5" fillId="0" borderId="31" xfId="0" applyFont="1" applyBorder="1" applyAlignment="1">
      <alignment vertical="center" wrapText="1"/>
    </xf>
    <xf numFmtId="0" fontId="5" fillId="0" borderId="46" xfId="0" applyFont="1" applyBorder="1" applyAlignment="1">
      <alignment vertical="center" wrapText="1"/>
    </xf>
    <xf numFmtId="0" fontId="8" fillId="0" borderId="36" xfId="0" applyFont="1" applyBorder="1" applyAlignment="1">
      <alignment vertical="center" wrapText="1" shrinkToFit="1"/>
    </xf>
    <xf numFmtId="0" fontId="8" fillId="0" borderId="36" xfId="0" applyFont="1" applyBorder="1" applyAlignment="1">
      <alignment vertical="center" shrinkToFit="1"/>
    </xf>
    <xf numFmtId="0" fontId="8" fillId="0" borderId="35" xfId="0" applyFont="1" applyBorder="1" applyAlignment="1">
      <alignment vertical="center" shrinkToFit="1"/>
    </xf>
    <xf numFmtId="0" fontId="8" fillId="0" borderId="6" xfId="0" applyFont="1" applyBorder="1" applyAlignment="1">
      <alignment vertical="center" wrapText="1" shrinkToFit="1"/>
    </xf>
    <xf numFmtId="0" fontId="8" fillId="0" borderId="6" xfId="0" applyFont="1" applyBorder="1" applyAlignment="1">
      <alignment vertical="center" shrinkToFit="1"/>
    </xf>
    <xf numFmtId="0" fontId="8" fillId="0" borderId="12" xfId="0" applyFont="1" applyBorder="1" applyAlignment="1">
      <alignment vertical="center" shrinkToFit="1"/>
    </xf>
    <xf numFmtId="0" fontId="8" fillId="0" borderId="8" xfId="0" applyFont="1" applyBorder="1" applyAlignment="1">
      <alignment horizontal="left" vertical="center" wrapText="1" shrinkToFit="1"/>
    </xf>
    <xf numFmtId="0" fontId="8" fillId="0" borderId="8" xfId="0" applyFont="1" applyBorder="1" applyAlignment="1">
      <alignment horizontal="left" vertical="center" shrinkToFit="1"/>
    </xf>
    <xf numFmtId="0" fontId="8" fillId="0" borderId="9" xfId="0" applyFont="1" applyBorder="1" applyAlignment="1">
      <alignment horizontal="left" vertical="center" shrinkToFit="1"/>
    </xf>
    <xf numFmtId="0" fontId="3" fillId="0" borderId="37" xfId="0" applyFont="1" applyBorder="1" applyAlignment="1">
      <alignment vertical="center" shrinkToFit="1"/>
    </xf>
    <xf numFmtId="0" fontId="3" fillId="0" borderId="38" xfId="0" applyFont="1" applyBorder="1" applyAlignment="1">
      <alignment vertical="center" shrinkToFit="1"/>
    </xf>
    <xf numFmtId="0" fontId="3" fillId="0" borderId="39" xfId="0" applyFont="1" applyBorder="1" applyAlignment="1">
      <alignment vertical="center" shrinkToFit="1"/>
    </xf>
    <xf numFmtId="0" fontId="8" fillId="0" borderId="2" xfId="0" applyFont="1" applyBorder="1" applyAlignment="1">
      <alignment horizontal="center" vertical="center" shrinkToFit="1"/>
    </xf>
    <xf numFmtId="0" fontId="8" fillId="0" borderId="4" xfId="0" applyFont="1" applyBorder="1" applyAlignment="1">
      <alignment horizontal="center" vertical="center" shrinkToFit="1"/>
    </xf>
    <xf numFmtId="0" fontId="3" fillId="0" borderId="34" xfId="0" applyFont="1" applyBorder="1" applyAlignment="1">
      <alignment horizontal="center" vertical="center" shrinkToFit="1"/>
    </xf>
    <xf numFmtId="0" fontId="3" fillId="0" borderId="36" xfId="0" applyFont="1" applyBorder="1" applyAlignment="1">
      <alignment horizontal="center" vertical="center" shrinkToFit="1"/>
    </xf>
    <xf numFmtId="0" fontId="3" fillId="0" borderId="35" xfId="0" applyFont="1" applyBorder="1" applyAlignment="1">
      <alignment horizontal="center" vertical="center" shrinkToFit="1"/>
    </xf>
    <xf numFmtId="0" fontId="3" fillId="0" borderId="18" xfId="0" applyFont="1" applyBorder="1" applyAlignment="1">
      <alignment vertical="center" shrinkToFit="1"/>
    </xf>
    <xf numFmtId="0" fontId="3" fillId="0" borderId="19" xfId="0" applyFont="1" applyBorder="1" applyAlignment="1">
      <alignment horizontal="center" vertical="center" shrinkToFit="1"/>
    </xf>
    <xf numFmtId="0" fontId="3" fillId="0" borderId="20" xfId="0" applyFont="1" applyBorder="1" applyAlignment="1">
      <alignment horizontal="center" vertical="center" shrinkToFit="1"/>
    </xf>
    <xf numFmtId="0" fontId="3" fillId="0" borderId="18" xfId="0" applyFont="1" applyBorder="1" applyAlignment="1">
      <alignment horizontal="center" vertical="center" shrinkToFit="1"/>
    </xf>
    <xf numFmtId="0" fontId="3" fillId="0" borderId="19" xfId="0" applyFont="1" applyBorder="1" applyAlignment="1">
      <alignment horizontal="left" vertical="center" shrinkToFit="1"/>
    </xf>
    <xf numFmtId="0" fontId="3" fillId="0" borderId="20" xfId="0" applyFont="1" applyBorder="1" applyAlignment="1">
      <alignment horizontal="left" vertical="center" shrinkToFit="1"/>
    </xf>
    <xf numFmtId="0" fontId="3" fillId="0" borderId="18" xfId="0" applyFont="1" applyBorder="1" applyAlignment="1">
      <alignment horizontal="left" vertical="center" shrinkToFit="1"/>
    </xf>
    <xf numFmtId="0" fontId="3" fillId="0" borderId="37" xfId="0" applyFont="1" applyBorder="1" applyAlignment="1">
      <alignment horizontal="left" vertical="center" shrinkToFit="1"/>
    </xf>
    <xf numFmtId="0" fontId="3" fillId="0" borderId="38" xfId="0" applyFont="1" applyBorder="1" applyAlignment="1">
      <alignment horizontal="left" vertical="center" shrinkToFit="1"/>
    </xf>
    <xf numFmtId="0" fontId="3" fillId="0" borderId="39" xfId="0" applyFont="1" applyBorder="1" applyAlignment="1">
      <alignment horizontal="left" vertical="center" shrinkToFi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6" fillId="0" borderId="34" xfId="0" applyFont="1" applyBorder="1" applyAlignment="1">
      <alignment vertical="center" wrapText="1" shrinkToFit="1"/>
    </xf>
    <xf numFmtId="0" fontId="6" fillId="0" borderId="36" xfId="0" applyFont="1" applyBorder="1" applyAlignment="1">
      <alignment vertical="center" shrinkToFit="1"/>
    </xf>
    <xf numFmtId="0" fontId="3" fillId="0" borderId="2" xfId="0" applyFont="1" applyBorder="1" applyAlignment="1">
      <alignment vertical="center" wrapText="1" shrinkToFit="1"/>
    </xf>
    <xf numFmtId="0" fontId="3" fillId="0" borderId="3" xfId="0" applyFont="1" applyBorder="1" applyAlignment="1">
      <alignment vertical="center" wrapText="1" shrinkToFit="1"/>
    </xf>
    <xf numFmtId="0" fontId="3" fillId="0" borderId="4" xfId="0" applyFont="1" applyBorder="1" applyAlignment="1">
      <alignment vertical="center" wrapText="1" shrinkToFit="1"/>
    </xf>
    <xf numFmtId="0" fontId="3" fillId="0" borderId="37" xfId="0" applyFont="1" applyBorder="1" applyAlignment="1">
      <alignment horizontal="center" vertical="center" shrinkToFit="1"/>
    </xf>
    <xf numFmtId="0" fontId="3" fillId="0" borderId="38" xfId="0" applyFont="1" applyBorder="1" applyAlignment="1">
      <alignment horizontal="center" vertical="center" shrinkToFit="1"/>
    </xf>
    <xf numFmtId="0" fontId="3" fillId="0" borderId="39" xfId="0" applyFont="1" applyBorder="1" applyAlignment="1">
      <alignment horizontal="center" vertical="center" shrinkToFit="1"/>
    </xf>
    <xf numFmtId="0" fontId="8" fillId="0" borderId="22" xfId="0" applyFont="1" applyBorder="1" applyAlignment="1">
      <alignment horizontal="left" vertical="center" wrapText="1" shrinkToFit="1"/>
    </xf>
    <xf numFmtId="0" fontId="8" fillId="0" borderId="22" xfId="0" applyFont="1" applyBorder="1" applyAlignment="1">
      <alignment horizontal="left" vertical="center" shrinkToFit="1"/>
    </xf>
    <xf numFmtId="0" fontId="8" fillId="0" borderId="21" xfId="0" applyFont="1" applyBorder="1" applyAlignment="1">
      <alignment horizontal="left" vertical="center" shrinkToFit="1"/>
    </xf>
    <xf numFmtId="0" fontId="8" fillId="0" borderId="37" xfId="0" applyFont="1" applyBorder="1" applyAlignment="1">
      <alignment horizontal="left" vertical="center" wrapText="1" shrinkToFit="1"/>
    </xf>
    <xf numFmtId="0" fontId="8" fillId="0" borderId="38"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0" xfId="0" applyFont="1" applyAlignment="1">
      <alignment horizontal="left" vertical="center" wrapText="1" shrinkToFit="1"/>
    </xf>
    <xf numFmtId="0" fontId="8" fillId="0" borderId="0" xfId="0" applyFont="1" applyAlignment="1">
      <alignment horizontal="left" vertical="center" shrinkToFit="1"/>
    </xf>
    <xf numFmtId="0" fontId="8" fillId="0" borderId="10" xfId="0" applyFont="1" applyBorder="1" applyAlignment="1">
      <alignment horizontal="left" vertical="center" shrinkToFit="1"/>
    </xf>
    <xf numFmtId="0" fontId="8" fillId="0" borderId="38" xfId="0" applyFont="1" applyBorder="1" applyAlignment="1">
      <alignment horizontal="left" vertical="center" wrapText="1" shrinkToFit="1"/>
    </xf>
    <xf numFmtId="0" fontId="8" fillId="0" borderId="19" xfId="0" applyFont="1" applyBorder="1" applyAlignment="1">
      <alignment vertical="center" wrapText="1"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3" fillId="0" borderId="0" xfId="0" applyFont="1" applyAlignment="1">
      <alignment horizontal="right" vertical="center"/>
    </xf>
    <xf numFmtId="0" fontId="6" fillId="0" borderId="2" xfId="0" applyFont="1" applyBorder="1" applyAlignment="1">
      <alignment horizontal="center" vertical="center" shrinkToFit="1"/>
    </xf>
    <xf numFmtId="0" fontId="6" fillId="0" borderId="3" xfId="0" applyFont="1" applyBorder="1" applyAlignment="1">
      <alignment horizontal="center" vertical="center" shrinkToFit="1"/>
    </xf>
    <xf numFmtId="0" fontId="6" fillId="0" borderId="4" xfId="0" applyFont="1" applyBorder="1" applyAlignment="1">
      <alignment horizontal="center" vertical="center" shrinkToFit="1"/>
    </xf>
    <xf numFmtId="0" fontId="3" fillId="0" borderId="2" xfId="0" applyFont="1" applyBorder="1" applyAlignment="1">
      <alignment horizontal="center" vertical="center" shrinkToFit="1"/>
    </xf>
    <xf numFmtId="0" fontId="3" fillId="0" borderId="3" xfId="0" applyFont="1" applyBorder="1" applyAlignment="1">
      <alignment horizontal="center" vertical="center" shrinkToFit="1"/>
    </xf>
    <xf numFmtId="0" fontId="3" fillId="0" borderId="4" xfId="0" applyFont="1" applyBorder="1" applyAlignment="1">
      <alignment horizontal="center" vertical="center" shrinkToFit="1"/>
    </xf>
    <xf numFmtId="0" fontId="4" fillId="0" borderId="0" xfId="0" applyFont="1" applyAlignment="1">
      <alignment horizontal="center" vertical="center"/>
    </xf>
    <xf numFmtId="0" fontId="3" fillId="0" borderId="7" xfId="0" applyFont="1" applyBorder="1" applyAlignment="1">
      <alignment horizontal="left" vertical="top" wrapText="1" shrinkToFit="1"/>
    </xf>
    <xf numFmtId="0" fontId="3" fillId="0" borderId="8" xfId="0" applyFont="1" applyBorder="1" applyAlignment="1">
      <alignment horizontal="left" vertical="top" wrapText="1" shrinkToFit="1"/>
    </xf>
    <xf numFmtId="0" fontId="3" fillId="0" borderId="9" xfId="0" applyFont="1" applyBorder="1" applyAlignment="1">
      <alignment horizontal="left" vertical="top" wrapText="1" shrinkToFit="1"/>
    </xf>
    <xf numFmtId="0" fontId="3" fillId="0" borderId="5" xfId="0" applyFont="1" applyBorder="1" applyAlignment="1">
      <alignment horizontal="left" vertical="top" wrapText="1" shrinkToFit="1"/>
    </xf>
    <xf numFmtId="0" fontId="3" fillId="0" borderId="0" xfId="0" applyFont="1" applyAlignment="1">
      <alignment horizontal="left" vertical="top" wrapText="1" shrinkToFit="1"/>
    </xf>
    <xf numFmtId="0" fontId="3" fillId="0" borderId="10" xfId="0" applyFont="1" applyBorder="1" applyAlignment="1">
      <alignment horizontal="left" vertical="top" wrapText="1" shrinkToFit="1"/>
    </xf>
    <xf numFmtId="0" fontId="3" fillId="0" borderId="11" xfId="0" applyFont="1" applyBorder="1" applyAlignment="1">
      <alignment horizontal="left" vertical="top" wrapText="1" shrinkToFit="1"/>
    </xf>
    <xf numFmtId="0" fontId="3" fillId="0" borderId="6" xfId="0" applyFont="1" applyBorder="1" applyAlignment="1">
      <alignment horizontal="left" vertical="top" wrapText="1" shrinkToFit="1"/>
    </xf>
    <xf numFmtId="0" fontId="3" fillId="0" borderId="12" xfId="0" applyFont="1" applyBorder="1" applyAlignment="1">
      <alignment horizontal="left" vertical="top" wrapText="1" shrinkToFit="1"/>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3" fillId="0" borderId="11" xfId="0" applyFont="1" applyBorder="1" applyAlignment="1">
      <alignment horizontal="left" vertical="center" wrapText="1"/>
    </xf>
    <xf numFmtId="0" fontId="3" fillId="0" borderId="6" xfId="0" applyFont="1" applyBorder="1" applyAlignment="1">
      <alignment horizontal="left" vertical="center" wrapText="1"/>
    </xf>
    <xf numFmtId="0" fontId="3" fillId="0" borderId="12" xfId="0" applyFont="1" applyBorder="1" applyAlignment="1">
      <alignment horizontal="left" vertical="center" wrapText="1"/>
    </xf>
    <xf numFmtId="0" fontId="3" fillId="0" borderId="14" xfId="0" applyFont="1" applyBorder="1" applyAlignment="1">
      <alignment horizontal="center" vertical="center"/>
    </xf>
    <xf numFmtId="0" fontId="6" fillId="0" borderId="16" xfId="0" applyFont="1" applyBorder="1" applyAlignment="1">
      <alignment horizontal="center" vertical="center"/>
    </xf>
    <xf numFmtId="0" fontId="6" fillId="0" borderId="22" xfId="0" applyFont="1" applyBorder="1" applyAlignment="1">
      <alignment horizontal="center" vertical="center"/>
    </xf>
    <xf numFmtId="0" fontId="3" fillId="0" borderId="1" xfId="0" applyFont="1" applyBorder="1" applyAlignment="1">
      <alignment horizontal="center" vertical="center"/>
    </xf>
    <xf numFmtId="0" fontId="3" fillId="0" borderId="15" xfId="0" applyFont="1" applyBorder="1" applyAlignment="1">
      <alignment horizontal="center" vertical="center"/>
    </xf>
    <xf numFmtId="0" fontId="3" fillId="0" borderId="50" xfId="0" applyFont="1" applyBorder="1" applyAlignment="1">
      <alignment horizontal="center" vertical="center"/>
    </xf>
    <xf numFmtId="0" fontId="3" fillId="0" borderId="13" xfId="0" applyFont="1" applyBorder="1" applyAlignment="1">
      <alignment horizontal="center" vertical="center"/>
    </xf>
    <xf numFmtId="0" fontId="8" fillId="0" borderId="8" xfId="0" applyFont="1" applyBorder="1" applyAlignment="1">
      <alignment horizontal="center" vertical="center" wrapText="1"/>
    </xf>
    <xf numFmtId="0" fontId="8" fillId="0" borderId="0" xfId="0" applyFont="1" applyAlignment="1">
      <alignment horizontal="center" vertical="center" wrapText="1"/>
    </xf>
    <xf numFmtId="0" fontId="8" fillId="0" borderId="6" xfId="0" applyFont="1" applyBorder="1" applyAlignment="1">
      <alignment horizontal="center" vertical="center"/>
    </xf>
    <xf numFmtId="0" fontId="8" fillId="0" borderId="7" xfId="0" applyFont="1" applyBorder="1" applyAlignment="1">
      <alignment horizontal="center" vertical="center" wrapText="1"/>
    </xf>
    <xf numFmtId="0" fontId="8" fillId="0" borderId="5" xfId="0" applyFont="1" applyBorder="1" applyAlignment="1">
      <alignment horizontal="center" vertical="center" wrapText="1"/>
    </xf>
    <xf numFmtId="0" fontId="8" fillId="0" borderId="11" xfId="0" applyFont="1" applyBorder="1" applyAlignment="1">
      <alignment horizontal="center" vertical="center"/>
    </xf>
    <xf numFmtId="0" fontId="9" fillId="0" borderId="15" xfId="0" applyFont="1" applyBorder="1" applyAlignment="1">
      <alignment horizontal="center" vertical="center" wrapText="1"/>
    </xf>
    <xf numFmtId="0" fontId="9" fillId="0" borderId="50" xfId="0" applyFont="1" applyBorder="1" applyAlignment="1">
      <alignment horizontal="center" vertical="center" wrapText="1"/>
    </xf>
    <xf numFmtId="0" fontId="9" fillId="0" borderId="13" xfId="0" applyFont="1" applyBorder="1" applyAlignment="1">
      <alignment horizontal="center" vertical="center"/>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8" fillId="0" borderId="12"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3" fillId="0" borderId="7" xfId="0" applyFont="1" applyBorder="1" applyAlignment="1">
      <alignment vertical="top" wrapText="1" shrinkToFit="1"/>
    </xf>
    <xf numFmtId="0" fontId="3" fillId="0" borderId="8" xfId="0" applyFont="1" applyBorder="1" applyAlignment="1">
      <alignment vertical="top" wrapText="1"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3" fillId="0" borderId="0" xfId="0" applyFont="1" applyAlignment="1">
      <alignment vertical="center"/>
    </xf>
    <xf numFmtId="0" fontId="3" fillId="0" borderId="9" xfId="0" applyFont="1" applyBorder="1" applyAlignment="1">
      <alignment vertical="top" wrapText="1" shrinkToFit="1"/>
    </xf>
    <xf numFmtId="0" fontId="3" fillId="0" borderId="5" xfId="0" applyFont="1" applyBorder="1" applyAlignment="1">
      <alignment vertical="top" wrapText="1" shrinkToFit="1"/>
    </xf>
    <xf numFmtId="0" fontId="3" fillId="0" borderId="0" xfId="0" applyFont="1" applyAlignment="1">
      <alignment vertical="top" wrapText="1" shrinkToFit="1"/>
    </xf>
    <xf numFmtId="0" fontId="3" fillId="0" borderId="10" xfId="0" applyFont="1" applyBorder="1" applyAlignment="1">
      <alignment vertical="top" wrapText="1" shrinkToFit="1"/>
    </xf>
    <xf numFmtId="0" fontId="3" fillId="0" borderId="11" xfId="0" applyFont="1" applyBorder="1" applyAlignment="1">
      <alignment vertical="top" wrapText="1" shrinkToFit="1"/>
    </xf>
    <xf numFmtId="0" fontId="3" fillId="0" borderId="6" xfId="0" applyFont="1" applyBorder="1" applyAlignment="1">
      <alignment vertical="top" wrapText="1" shrinkToFit="1"/>
    </xf>
    <xf numFmtId="0" fontId="3" fillId="0" borderId="12" xfId="0" applyFont="1" applyBorder="1" applyAlignment="1">
      <alignment vertical="top" wrapText="1" shrinkToFit="1"/>
    </xf>
    <xf numFmtId="0" fontId="3" fillId="0" borderId="2" xfId="0" applyFont="1" applyBorder="1" applyAlignment="1">
      <alignment vertical="center" shrinkToFit="1"/>
    </xf>
    <xf numFmtId="0" fontId="3" fillId="0" borderId="3" xfId="0" applyFont="1" applyBorder="1" applyAlignment="1">
      <alignment vertical="center" shrinkToFit="1"/>
    </xf>
    <xf numFmtId="0" fontId="3" fillId="0" borderId="4" xfId="0" applyFont="1" applyBorder="1" applyAlignment="1">
      <alignment vertical="center" shrinkToFit="1"/>
    </xf>
    <xf numFmtId="0" fontId="3" fillId="2" borderId="5" xfId="0" applyFont="1" applyFill="1" applyBorder="1" applyAlignment="1">
      <alignment horizontal="center" vertical="center" shrinkToFit="1"/>
    </xf>
    <xf numFmtId="0" fontId="3" fillId="2" borderId="0" xfId="0" applyFont="1" applyFill="1" applyAlignment="1">
      <alignment horizontal="center" vertical="center" shrinkToFit="1"/>
    </xf>
    <xf numFmtId="0" fontId="3" fillId="2" borderId="10" xfId="0" applyFont="1" applyFill="1" applyBorder="1" applyAlignment="1">
      <alignment horizontal="center" vertical="center" shrinkToFit="1"/>
    </xf>
    <xf numFmtId="0" fontId="3" fillId="0" borderId="2" xfId="0" applyFont="1" applyBorder="1" applyAlignment="1">
      <alignment horizontal="left" vertical="center"/>
    </xf>
    <xf numFmtId="0" fontId="6" fillId="0" borderId="3" xfId="0" applyFont="1" applyBorder="1" applyAlignment="1">
      <alignment vertical="center"/>
    </xf>
    <xf numFmtId="0" fontId="6" fillId="0" borderId="4" xfId="0" applyFont="1" applyBorder="1" applyAlignment="1">
      <alignment vertical="center"/>
    </xf>
    <xf numFmtId="0" fontId="6" fillId="0" borderId="3" xfId="0" applyFont="1" applyBorder="1" applyAlignment="1">
      <alignment horizontal="left" vertical="center"/>
    </xf>
    <xf numFmtId="0" fontId="6" fillId="0" borderId="4" xfId="0" applyFont="1" applyBorder="1" applyAlignment="1">
      <alignment horizontal="left" vertical="center"/>
    </xf>
    <xf numFmtId="0" fontId="3" fillId="0" borderId="0" xfId="0" applyFont="1" applyAlignment="1">
      <alignment horizontal="center" vertical="center"/>
    </xf>
    <xf numFmtId="9" fontId="3" fillId="0" borderId="1" xfId="0" applyNumberFormat="1" applyFont="1" applyBorder="1" applyAlignment="1">
      <alignment horizontal="center" vertical="center" shrinkToFit="1"/>
    </xf>
    <xf numFmtId="0" fontId="3" fillId="0" borderId="7" xfId="0" applyFont="1" applyBorder="1" applyAlignment="1">
      <alignment vertical="top" wrapText="1"/>
    </xf>
    <xf numFmtId="0" fontId="3" fillId="0" borderId="8" xfId="0" applyFont="1" applyBorder="1" applyAlignment="1">
      <alignment vertical="top" wrapText="1"/>
    </xf>
    <xf numFmtId="0" fontId="3" fillId="0" borderId="9" xfId="0" applyFont="1" applyBorder="1" applyAlignment="1">
      <alignment vertical="top" wrapText="1"/>
    </xf>
    <xf numFmtId="0" fontId="3" fillId="0" borderId="5" xfId="0" applyFont="1" applyBorder="1" applyAlignment="1">
      <alignment vertical="top" wrapText="1"/>
    </xf>
    <xf numFmtId="0" fontId="3" fillId="0" borderId="0" xfId="0" applyFont="1" applyAlignment="1">
      <alignment vertical="top" wrapText="1"/>
    </xf>
    <xf numFmtId="0" fontId="3" fillId="0" borderId="10" xfId="0" applyFont="1" applyBorder="1" applyAlignment="1">
      <alignment vertical="top" wrapText="1"/>
    </xf>
    <xf numFmtId="0" fontId="3" fillId="0" borderId="11" xfId="0" applyFont="1" applyBorder="1" applyAlignment="1">
      <alignment vertical="top" wrapText="1"/>
    </xf>
    <xf numFmtId="0" fontId="3" fillId="0" borderId="6" xfId="0" applyFont="1" applyBorder="1" applyAlignment="1">
      <alignment vertical="top" wrapText="1"/>
    </xf>
    <xf numFmtId="0" fontId="3" fillId="0" borderId="12" xfId="0" applyFont="1" applyBorder="1" applyAlignment="1">
      <alignment vertical="top" wrapText="1"/>
    </xf>
    <xf numFmtId="0" fontId="3" fillId="0" borderId="9" xfId="0" applyFont="1" applyBorder="1" applyAlignment="1">
      <alignment vertical="top"/>
    </xf>
    <xf numFmtId="0" fontId="3" fillId="0" borderId="5" xfId="0" applyFont="1" applyBorder="1" applyAlignment="1">
      <alignment vertical="top"/>
    </xf>
    <xf numFmtId="0" fontId="3" fillId="0" borderId="0" xfId="0" applyFont="1" applyAlignment="1">
      <alignment vertical="top"/>
    </xf>
    <xf numFmtId="0" fontId="3" fillId="0" borderId="10" xfId="0" applyFont="1" applyBorder="1" applyAlignment="1">
      <alignment vertical="top"/>
    </xf>
    <xf numFmtId="0" fontId="3" fillId="0" borderId="11" xfId="0" applyFont="1" applyBorder="1" applyAlignment="1">
      <alignment vertical="top"/>
    </xf>
    <xf numFmtId="0" fontId="3" fillId="0" borderId="6" xfId="0" applyFont="1" applyBorder="1" applyAlignment="1">
      <alignment vertical="top"/>
    </xf>
    <xf numFmtId="0" fontId="3" fillId="0" borderId="12" xfId="0" applyFont="1" applyBorder="1" applyAlignment="1">
      <alignment vertical="top"/>
    </xf>
    <xf numFmtId="9" fontId="3" fillId="0" borderId="1" xfId="0" applyNumberFormat="1" applyFont="1" applyBorder="1" applyAlignment="1">
      <alignment horizontal="center" vertical="center" wrapText="1" shrinkToFi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3" fillId="0" borderId="9" xfId="0" applyFont="1" applyBorder="1" applyAlignment="1">
      <alignment horizontal="left" vertical="top" wrapText="1"/>
    </xf>
    <xf numFmtId="0" fontId="3" fillId="0" borderId="5" xfId="0" applyFont="1" applyBorder="1" applyAlignment="1">
      <alignment horizontal="left" vertical="top" wrapText="1"/>
    </xf>
    <xf numFmtId="0" fontId="3" fillId="0" borderId="0" xfId="0" applyFont="1" applyAlignment="1">
      <alignment horizontal="left" vertical="top" wrapText="1"/>
    </xf>
    <xf numFmtId="0" fontId="3" fillId="0" borderId="10" xfId="0" applyFont="1" applyBorder="1" applyAlignment="1">
      <alignment horizontal="left" vertical="top" wrapText="1"/>
    </xf>
    <xf numFmtId="0" fontId="3" fillId="0" borderId="11" xfId="0" applyFont="1" applyBorder="1" applyAlignment="1">
      <alignment horizontal="left" vertical="top" wrapText="1"/>
    </xf>
    <xf numFmtId="0" fontId="3" fillId="0" borderId="6" xfId="0" applyFont="1" applyBorder="1" applyAlignment="1">
      <alignment horizontal="left" vertical="top" wrapText="1"/>
    </xf>
    <xf numFmtId="0" fontId="3" fillId="0" borderId="12" xfId="0" applyFont="1" applyBorder="1" applyAlignment="1">
      <alignment horizontal="left" vertical="top" wrapText="1"/>
    </xf>
    <xf numFmtId="0" fontId="3" fillId="0" borderId="17" xfId="0" applyFont="1" applyBorder="1" applyAlignment="1">
      <alignment vertical="center"/>
    </xf>
    <xf numFmtId="0" fontId="6" fillId="0" borderId="18" xfId="0" applyFont="1" applyBorder="1" applyAlignment="1">
      <alignment vertical="center"/>
    </xf>
    <xf numFmtId="0" fontId="3" fillId="0" borderId="19" xfId="0" applyFont="1" applyBorder="1" applyAlignment="1">
      <alignment vertical="top" wrapText="1" shrinkToFit="1"/>
    </xf>
    <xf numFmtId="0" fontId="3" fillId="0" borderId="20" xfId="0" applyFont="1" applyBorder="1" applyAlignment="1">
      <alignment vertical="top" wrapText="1" shrinkToFit="1"/>
    </xf>
    <xf numFmtId="0" fontId="3" fillId="0" borderId="18" xfId="0" applyFont="1" applyBorder="1" applyAlignment="1">
      <alignment vertical="top" wrapText="1" shrinkToFit="1"/>
    </xf>
    <xf numFmtId="0" fontId="3" fillId="0" borderId="17" xfId="0" applyFont="1" applyBorder="1" applyAlignment="1">
      <alignment vertical="center" wrapText="1"/>
    </xf>
    <xf numFmtId="0" fontId="3" fillId="0" borderId="18" xfId="0" applyFont="1" applyBorder="1" applyAlignment="1">
      <alignment vertical="center" wrapText="1"/>
    </xf>
    <xf numFmtId="0" fontId="3" fillId="0" borderId="3" xfId="0" applyFont="1" applyBorder="1" applyAlignment="1">
      <alignment horizontal="left" vertical="center"/>
    </xf>
    <xf numFmtId="0" fontId="3" fillId="0" borderId="4" xfId="0" applyFont="1" applyBorder="1" applyAlignment="1">
      <alignment horizontal="left" vertical="center"/>
    </xf>
    <xf numFmtId="0" fontId="3" fillId="0" borderId="59" xfId="0" applyFont="1" applyBorder="1" applyAlignment="1">
      <alignment vertical="center" wrapText="1"/>
    </xf>
    <xf numFmtId="0" fontId="3" fillId="0" borderId="39" xfId="0" applyFont="1" applyBorder="1" applyAlignment="1">
      <alignment vertical="center" wrapText="1"/>
    </xf>
    <xf numFmtId="0" fontId="3" fillId="0" borderId="37" xfId="0" applyFont="1" applyBorder="1" applyAlignment="1">
      <alignment vertical="top" wrapText="1" shrinkToFit="1"/>
    </xf>
    <xf numFmtId="0" fontId="3" fillId="0" borderId="38" xfId="0" applyFont="1" applyBorder="1" applyAlignment="1">
      <alignment vertical="top" wrapText="1" shrinkToFit="1"/>
    </xf>
    <xf numFmtId="0" fontId="3" fillId="0" borderId="39" xfId="0" applyFont="1" applyBorder="1" applyAlignment="1">
      <alignment vertical="top" wrapText="1" shrinkToFit="1"/>
    </xf>
    <xf numFmtId="0" fontId="3" fillId="0" borderId="11" xfId="0" applyFont="1" applyBorder="1" applyAlignment="1">
      <alignment vertical="center" wrapText="1"/>
    </xf>
    <xf numFmtId="0" fontId="3" fillId="0" borderId="6" xfId="0" applyFont="1" applyBorder="1" applyAlignment="1">
      <alignment vertical="center" wrapText="1"/>
    </xf>
    <xf numFmtId="0" fontId="3" fillId="0" borderId="12" xfId="0" applyFont="1" applyBorder="1" applyAlignment="1">
      <alignment vertical="center" wrapText="1"/>
    </xf>
    <xf numFmtId="0" fontId="3" fillId="0" borderId="41" xfId="0" applyFont="1" applyBorder="1" applyAlignment="1">
      <alignment vertical="center" wrapText="1"/>
    </xf>
    <xf numFmtId="0" fontId="3" fillId="0" borderId="42" xfId="0" applyFont="1" applyBorder="1" applyAlignment="1">
      <alignment vertical="center" wrapText="1"/>
    </xf>
    <xf numFmtId="0" fontId="3" fillId="0" borderId="43" xfId="0" applyFont="1" applyBorder="1" applyAlignment="1">
      <alignment vertical="center" wrapText="1"/>
    </xf>
    <xf numFmtId="0" fontId="3" fillId="0" borderId="42" xfId="0" applyFont="1" applyBorder="1" applyAlignment="1">
      <alignment vertical="top" wrapText="1" shrinkToFit="1"/>
    </xf>
    <xf numFmtId="0" fontId="3" fillId="0" borderId="43" xfId="0" applyFont="1" applyBorder="1" applyAlignment="1">
      <alignment vertical="top" wrapText="1"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10"/>
  <sheetViews>
    <sheetView showZeros="0" tabSelected="1" view="pageBreakPreview" zoomScaleNormal="100" zoomScaleSheetLayoutView="100" workbookViewId="0">
      <selection activeCell="B13" sqref="B13:S18"/>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73" t="s">
        <v>0</v>
      </c>
      <c r="S1" s="173"/>
      <c r="T1" s="21" t="s">
        <v>1</v>
      </c>
    </row>
    <row r="2" spans="1:22" ht="18.75" customHeight="1" x14ac:dyDescent="0.15">
      <c r="B2" s="100" t="s">
        <v>2</v>
      </c>
      <c r="C2" s="105" t="s">
        <v>3</v>
      </c>
      <c r="D2" s="106"/>
      <c r="E2" s="106"/>
      <c r="F2" s="106"/>
      <c r="G2" s="106"/>
      <c r="H2" s="106"/>
      <c r="I2" s="107"/>
      <c r="J2" s="99"/>
      <c r="K2" s="31"/>
      <c r="L2" s="31"/>
      <c r="M2" s="31"/>
      <c r="N2" s="31"/>
      <c r="O2" s="31"/>
      <c r="P2" s="31"/>
      <c r="Q2" s="31"/>
      <c r="R2" s="31"/>
      <c r="S2" s="31"/>
    </row>
    <row r="3" spans="1:22" ht="18.75" customHeight="1" x14ac:dyDescent="0.15">
      <c r="B3" s="100" t="s">
        <v>4</v>
      </c>
      <c r="C3" s="177" t="s">
        <v>5</v>
      </c>
      <c r="D3" s="178"/>
      <c r="E3" s="178"/>
      <c r="F3" s="178"/>
      <c r="G3" s="178"/>
      <c r="H3" s="178"/>
      <c r="I3" s="179"/>
      <c r="J3" s="99"/>
      <c r="K3" s="31"/>
      <c r="L3" s="31"/>
      <c r="M3" s="31"/>
      <c r="N3" s="31"/>
      <c r="O3" s="31"/>
      <c r="P3" s="31"/>
      <c r="Q3" s="31"/>
      <c r="R3" s="31"/>
      <c r="S3" s="31"/>
    </row>
    <row r="4" spans="1:22" ht="15" customHeight="1" x14ac:dyDescent="0.15">
      <c r="K4" s="99"/>
      <c r="L4" s="75"/>
      <c r="M4" s="75"/>
      <c r="N4" s="75"/>
      <c r="O4" s="75"/>
      <c r="P4" s="75"/>
      <c r="Q4" s="75"/>
      <c r="R4" s="75"/>
      <c r="S4" s="75"/>
    </row>
    <row r="5" spans="1:22" ht="18" customHeight="1" x14ac:dyDescent="0.15">
      <c r="A5" s="180" t="s">
        <v>6</v>
      </c>
      <c r="B5" s="180"/>
      <c r="C5" s="180"/>
      <c r="D5" s="180"/>
      <c r="E5" s="180"/>
      <c r="F5" s="180"/>
      <c r="G5" s="180"/>
      <c r="H5" s="180"/>
      <c r="I5" s="180"/>
      <c r="J5" s="180"/>
      <c r="K5" s="180"/>
      <c r="L5" s="180"/>
      <c r="M5" s="180"/>
      <c r="N5" s="180"/>
      <c r="O5" s="180"/>
      <c r="P5" s="180"/>
      <c r="Q5" s="180"/>
      <c r="R5" s="180"/>
      <c r="S5" s="180"/>
    </row>
    <row r="6" spans="1:22" ht="15" customHeight="1" x14ac:dyDescent="0.15">
      <c r="B6" s="102"/>
      <c r="C6" s="102"/>
      <c r="D6" s="102"/>
      <c r="E6" s="102"/>
      <c r="F6" s="102"/>
      <c r="G6" s="102"/>
      <c r="H6" s="102"/>
      <c r="I6" s="102"/>
      <c r="J6" s="102"/>
      <c r="K6" s="102"/>
      <c r="L6" s="102"/>
      <c r="M6" s="102"/>
      <c r="N6" s="102"/>
      <c r="O6" s="102"/>
      <c r="P6" s="102"/>
      <c r="Q6" s="102"/>
      <c r="R6" s="102"/>
      <c r="S6" s="102"/>
    </row>
    <row r="7" spans="1:22" ht="18" customHeight="1" x14ac:dyDescent="0.15">
      <c r="A7" s="1" t="s">
        <v>7</v>
      </c>
      <c r="C7" s="102"/>
      <c r="J7" s="76" t="s">
        <v>8</v>
      </c>
      <c r="K7" s="190" t="s">
        <v>9</v>
      </c>
      <c r="L7" s="191"/>
      <c r="M7" s="191"/>
      <c r="N7" s="191"/>
      <c r="O7" s="191"/>
      <c r="P7" s="191"/>
      <c r="Q7" s="191"/>
      <c r="R7" s="191"/>
      <c r="S7" s="192"/>
    </row>
    <row r="8" spans="1:22" ht="6" customHeight="1" x14ac:dyDescent="0.15">
      <c r="B8" s="102"/>
      <c r="C8" s="102"/>
      <c r="D8" s="102"/>
      <c r="E8" s="102"/>
      <c r="F8" s="102"/>
      <c r="G8" s="102"/>
      <c r="H8" s="102"/>
      <c r="I8" s="102"/>
      <c r="J8" s="102"/>
      <c r="K8" s="5"/>
      <c r="L8" s="102"/>
      <c r="M8" s="102"/>
      <c r="N8" s="102"/>
      <c r="O8" s="102"/>
      <c r="P8" s="102"/>
      <c r="Q8" s="102"/>
      <c r="R8" s="102"/>
      <c r="S8" s="102"/>
    </row>
    <row r="9" spans="1:22" ht="18" customHeight="1" x14ac:dyDescent="0.15">
      <c r="B9" s="193"/>
      <c r="C9" s="194"/>
      <c r="D9" s="194"/>
      <c r="E9" s="194"/>
      <c r="F9" s="194"/>
      <c r="G9" s="194"/>
      <c r="H9" s="194"/>
      <c r="I9" s="194"/>
      <c r="J9" s="194"/>
      <c r="K9" s="194"/>
      <c r="L9" s="194"/>
      <c r="M9" s="194"/>
      <c r="N9" s="194"/>
      <c r="O9" s="194"/>
      <c r="P9" s="194"/>
      <c r="Q9" s="194"/>
      <c r="R9" s="194"/>
      <c r="S9" s="195"/>
    </row>
    <row r="10" spans="1:22" ht="18" customHeight="1" x14ac:dyDescent="0.15">
      <c r="B10" s="196"/>
      <c r="C10" s="197"/>
      <c r="D10" s="197"/>
      <c r="E10" s="197"/>
      <c r="F10" s="197"/>
      <c r="G10" s="197"/>
      <c r="H10" s="197"/>
      <c r="I10" s="197"/>
      <c r="J10" s="197"/>
      <c r="K10" s="197"/>
      <c r="L10" s="197"/>
      <c r="M10" s="197"/>
      <c r="N10" s="197"/>
      <c r="O10" s="197"/>
      <c r="P10" s="197"/>
      <c r="Q10" s="197"/>
      <c r="R10" s="197"/>
      <c r="S10" s="198"/>
    </row>
    <row r="11" spans="1:22" ht="6" customHeight="1" x14ac:dyDescent="0.15">
      <c r="B11" s="102"/>
      <c r="C11" s="102"/>
      <c r="D11" s="102"/>
      <c r="E11" s="102"/>
      <c r="F11" s="102"/>
      <c r="G11" s="102"/>
      <c r="H11" s="102"/>
      <c r="I11" s="102"/>
      <c r="J11" s="102"/>
      <c r="K11" s="5"/>
      <c r="L11" s="102"/>
      <c r="M11" s="102"/>
      <c r="N11" s="102"/>
      <c r="O11" s="102"/>
      <c r="P11" s="102"/>
      <c r="Q11" s="102"/>
      <c r="R11" s="102"/>
      <c r="S11" s="102"/>
    </row>
    <row r="12" spans="1:22" ht="18" customHeight="1" x14ac:dyDescent="0.15">
      <c r="A12" s="1" t="s">
        <v>10</v>
      </c>
      <c r="B12" s="102"/>
      <c r="C12" s="102"/>
      <c r="D12" s="99"/>
      <c r="E12" s="99"/>
      <c r="F12" s="99"/>
      <c r="G12" s="99"/>
      <c r="H12" s="99"/>
      <c r="I12" s="99"/>
      <c r="J12" s="99"/>
      <c r="K12" s="77"/>
      <c r="L12" s="77"/>
      <c r="M12" s="77"/>
      <c r="N12" s="77"/>
      <c r="O12" s="77"/>
      <c r="P12" s="77"/>
      <c r="Q12" s="77"/>
      <c r="R12" s="77"/>
      <c r="S12" s="77"/>
    </row>
    <row r="13" spans="1:22" ht="18" customHeight="1" x14ac:dyDescent="0.15">
      <c r="B13" s="181" t="s">
        <v>11</v>
      </c>
      <c r="C13" s="182"/>
      <c r="D13" s="182"/>
      <c r="E13" s="182"/>
      <c r="F13" s="182"/>
      <c r="G13" s="182"/>
      <c r="H13" s="182"/>
      <c r="I13" s="182"/>
      <c r="J13" s="182"/>
      <c r="K13" s="182"/>
      <c r="L13" s="182"/>
      <c r="M13" s="182"/>
      <c r="N13" s="182"/>
      <c r="O13" s="182"/>
      <c r="P13" s="182"/>
      <c r="Q13" s="182"/>
      <c r="R13" s="182"/>
      <c r="S13" s="183"/>
      <c r="V13" s="1" t="s">
        <v>12</v>
      </c>
    </row>
    <row r="14" spans="1:22" ht="18" customHeight="1" x14ac:dyDescent="0.15">
      <c r="B14" s="184"/>
      <c r="C14" s="185"/>
      <c r="D14" s="185"/>
      <c r="E14" s="185"/>
      <c r="F14" s="185"/>
      <c r="G14" s="185"/>
      <c r="H14" s="185"/>
      <c r="I14" s="185"/>
      <c r="J14" s="185"/>
      <c r="K14" s="185"/>
      <c r="L14" s="185"/>
      <c r="M14" s="185"/>
      <c r="N14" s="185"/>
      <c r="O14" s="185"/>
      <c r="P14" s="185"/>
      <c r="Q14" s="185"/>
      <c r="R14" s="185"/>
      <c r="S14" s="186"/>
      <c r="V14" s="1" t="s">
        <v>13</v>
      </c>
    </row>
    <row r="15" spans="1:22" ht="18" customHeight="1" x14ac:dyDescent="0.15">
      <c r="B15" s="184"/>
      <c r="C15" s="185"/>
      <c r="D15" s="185"/>
      <c r="E15" s="185"/>
      <c r="F15" s="185"/>
      <c r="G15" s="185"/>
      <c r="H15" s="185"/>
      <c r="I15" s="185"/>
      <c r="J15" s="185"/>
      <c r="K15" s="185"/>
      <c r="L15" s="185"/>
      <c r="M15" s="185"/>
      <c r="N15" s="185"/>
      <c r="O15" s="185"/>
      <c r="P15" s="185"/>
      <c r="Q15" s="185"/>
      <c r="R15" s="185"/>
      <c r="S15" s="186"/>
      <c r="V15" s="1" t="s">
        <v>14</v>
      </c>
    </row>
    <row r="16" spans="1:22" ht="18" customHeight="1" x14ac:dyDescent="0.15">
      <c r="B16" s="184"/>
      <c r="C16" s="185"/>
      <c r="D16" s="185"/>
      <c r="E16" s="185"/>
      <c r="F16" s="185"/>
      <c r="G16" s="185"/>
      <c r="H16" s="185"/>
      <c r="I16" s="185"/>
      <c r="J16" s="185"/>
      <c r="K16" s="185"/>
      <c r="L16" s="185"/>
      <c r="M16" s="185"/>
      <c r="N16" s="185"/>
      <c r="O16" s="185"/>
      <c r="P16" s="185"/>
      <c r="Q16" s="185"/>
      <c r="R16" s="185"/>
      <c r="S16" s="186"/>
      <c r="V16" s="1" t="s">
        <v>15</v>
      </c>
    </row>
    <row r="17" spans="1:19" ht="18" customHeight="1" x14ac:dyDescent="0.15">
      <c r="B17" s="184"/>
      <c r="C17" s="185"/>
      <c r="D17" s="185"/>
      <c r="E17" s="185"/>
      <c r="F17" s="185"/>
      <c r="G17" s="185"/>
      <c r="H17" s="185"/>
      <c r="I17" s="185"/>
      <c r="J17" s="185"/>
      <c r="K17" s="185"/>
      <c r="L17" s="185"/>
      <c r="M17" s="185"/>
      <c r="N17" s="185"/>
      <c r="O17" s="185"/>
      <c r="P17" s="185"/>
      <c r="Q17" s="185"/>
      <c r="R17" s="185"/>
      <c r="S17" s="186"/>
    </row>
    <row r="18" spans="1:19" ht="18" customHeight="1" x14ac:dyDescent="0.15">
      <c r="B18" s="187"/>
      <c r="C18" s="188"/>
      <c r="D18" s="188"/>
      <c r="E18" s="188"/>
      <c r="F18" s="188"/>
      <c r="G18" s="188"/>
      <c r="H18" s="188"/>
      <c r="I18" s="188"/>
      <c r="J18" s="188"/>
      <c r="K18" s="188"/>
      <c r="L18" s="188"/>
      <c r="M18" s="188"/>
      <c r="N18" s="188"/>
      <c r="O18" s="188"/>
      <c r="P18" s="188"/>
      <c r="Q18" s="188"/>
      <c r="R18" s="188"/>
      <c r="S18" s="189"/>
    </row>
    <row r="19" spans="1:19" ht="7.5" customHeight="1" x14ac:dyDescent="0.15">
      <c r="B19" s="102"/>
      <c r="C19" s="102"/>
      <c r="D19" s="102"/>
      <c r="E19" s="102"/>
      <c r="F19" s="102"/>
      <c r="G19" s="102"/>
      <c r="H19" s="102"/>
      <c r="I19" s="102"/>
      <c r="J19" s="102"/>
      <c r="K19" s="102"/>
      <c r="L19" s="102"/>
      <c r="M19" s="102"/>
      <c r="N19" s="102"/>
      <c r="O19" s="102"/>
      <c r="P19" s="102"/>
      <c r="Q19" s="102"/>
      <c r="R19" s="102"/>
      <c r="S19" s="102"/>
    </row>
    <row r="20" spans="1:19" ht="19.899999999999999" customHeight="1" x14ac:dyDescent="0.15">
      <c r="B20" s="1" t="s">
        <v>16</v>
      </c>
      <c r="C20" s="105">
        <v>2</v>
      </c>
      <c r="D20" s="107"/>
      <c r="E20" s="78" t="s">
        <v>17</v>
      </c>
      <c r="G20" s="5"/>
      <c r="H20" s="102"/>
      <c r="I20" s="102"/>
      <c r="J20" s="99" t="s">
        <v>18</v>
      </c>
      <c r="K20" s="174" t="s">
        <v>15</v>
      </c>
      <c r="L20" s="175"/>
      <c r="M20" s="175"/>
      <c r="N20" s="175"/>
      <c r="O20" s="175"/>
      <c r="P20" s="175"/>
      <c r="Q20" s="175"/>
      <c r="R20" s="175"/>
      <c r="S20" s="176"/>
    </row>
    <row r="21" spans="1:19" ht="7.5" customHeight="1" x14ac:dyDescent="0.15">
      <c r="B21" s="102"/>
      <c r="C21" s="102"/>
      <c r="D21" s="102"/>
      <c r="E21" s="102"/>
      <c r="F21" s="102"/>
      <c r="G21" s="102"/>
      <c r="H21" s="102"/>
      <c r="I21" s="102"/>
      <c r="J21" s="102"/>
      <c r="K21" s="102"/>
      <c r="L21" s="102"/>
      <c r="M21" s="102"/>
      <c r="N21" s="102"/>
      <c r="O21" s="102"/>
      <c r="P21" s="102"/>
      <c r="Q21" s="102"/>
      <c r="R21" s="102"/>
      <c r="S21" s="102"/>
    </row>
    <row r="22" spans="1:19" ht="18" customHeight="1" x14ac:dyDescent="0.15">
      <c r="A22" s="118" t="s">
        <v>19</v>
      </c>
      <c r="B22" s="118"/>
      <c r="C22" s="118"/>
      <c r="D22" s="118"/>
      <c r="E22" s="118"/>
      <c r="F22" s="118"/>
      <c r="G22" s="118"/>
      <c r="H22" s="118"/>
      <c r="I22" s="118"/>
      <c r="J22" s="118"/>
      <c r="K22" s="118"/>
      <c r="L22" s="118"/>
      <c r="M22" s="118"/>
      <c r="N22" s="118"/>
      <c r="O22" s="118"/>
      <c r="P22" s="118"/>
      <c r="Q22" s="118"/>
      <c r="R22" s="118"/>
      <c r="S22" s="118"/>
    </row>
    <row r="23" spans="1:19" ht="18" customHeight="1" x14ac:dyDescent="0.15">
      <c r="A23" s="118"/>
      <c r="B23" s="118"/>
      <c r="C23" s="118"/>
      <c r="D23" s="118"/>
      <c r="E23" s="118"/>
      <c r="F23" s="118"/>
      <c r="G23" s="118"/>
      <c r="H23" s="118"/>
      <c r="I23" s="118"/>
      <c r="J23" s="118"/>
      <c r="K23" s="118"/>
      <c r="L23" s="118"/>
      <c r="M23" s="118"/>
      <c r="N23" s="118"/>
      <c r="O23" s="118"/>
      <c r="P23" s="118"/>
      <c r="Q23" s="118"/>
      <c r="R23" s="118"/>
      <c r="S23" s="118"/>
    </row>
    <row r="24" spans="1:19" ht="18" customHeight="1" x14ac:dyDescent="0.15">
      <c r="B24" s="105" t="s">
        <v>20</v>
      </c>
      <c r="C24" s="106"/>
      <c r="D24" s="106"/>
      <c r="E24" s="107"/>
      <c r="F24" s="79" t="s">
        <v>21</v>
      </c>
      <c r="G24" s="80" t="s">
        <v>22</v>
      </c>
      <c r="H24" s="81" t="s">
        <v>23</v>
      </c>
      <c r="I24" s="81" t="s">
        <v>24</v>
      </c>
      <c r="J24" s="105" t="s">
        <v>20</v>
      </c>
      <c r="K24" s="106"/>
      <c r="L24" s="106"/>
      <c r="M24" s="106"/>
      <c r="N24" s="106"/>
      <c r="O24" s="107"/>
      <c r="P24" s="79" t="s">
        <v>21</v>
      </c>
      <c r="Q24" s="80" t="s">
        <v>22</v>
      </c>
      <c r="R24" s="81" t="s">
        <v>23</v>
      </c>
      <c r="S24" s="81" t="s">
        <v>24</v>
      </c>
    </row>
    <row r="25" spans="1:19" ht="18" customHeight="1" x14ac:dyDescent="0.15">
      <c r="B25" s="108" t="s">
        <v>25</v>
      </c>
      <c r="C25" s="109"/>
      <c r="D25" s="109"/>
      <c r="E25" s="110"/>
      <c r="F25" s="82">
        <v>2</v>
      </c>
      <c r="G25" s="82" t="s">
        <v>26</v>
      </c>
      <c r="H25" s="82" t="s">
        <v>26</v>
      </c>
      <c r="I25" s="83" t="s">
        <v>26</v>
      </c>
      <c r="J25" s="108"/>
      <c r="K25" s="109"/>
      <c r="L25" s="109"/>
      <c r="M25" s="109"/>
      <c r="N25" s="109"/>
      <c r="O25" s="110"/>
      <c r="P25" s="82"/>
      <c r="Q25" s="82"/>
      <c r="R25" s="82"/>
      <c r="S25" s="82"/>
    </row>
    <row r="26" spans="1:19" ht="18" customHeight="1" x14ac:dyDescent="0.15">
      <c r="B26" s="111"/>
      <c r="C26" s="112"/>
      <c r="D26" s="112"/>
      <c r="E26" s="139"/>
      <c r="F26" s="83"/>
      <c r="G26" s="83"/>
      <c r="H26" s="83"/>
      <c r="I26" s="83"/>
      <c r="J26" s="111"/>
      <c r="K26" s="112"/>
      <c r="L26" s="112"/>
      <c r="M26" s="112"/>
      <c r="N26" s="112"/>
      <c r="O26" s="139"/>
      <c r="P26" s="83"/>
      <c r="Q26" s="83"/>
      <c r="R26" s="83"/>
      <c r="S26" s="83"/>
    </row>
    <row r="27" spans="1:19" ht="18" customHeight="1" x14ac:dyDescent="0.15">
      <c r="B27" s="111"/>
      <c r="C27" s="112"/>
      <c r="D27" s="112"/>
      <c r="E27" s="139"/>
      <c r="F27" s="83"/>
      <c r="G27" s="83"/>
      <c r="H27" s="83"/>
      <c r="I27" s="83"/>
      <c r="J27" s="111"/>
      <c r="K27" s="112"/>
      <c r="L27" s="112"/>
      <c r="M27" s="112"/>
      <c r="N27" s="112"/>
      <c r="O27" s="139"/>
      <c r="P27" s="83"/>
      <c r="Q27" s="83"/>
      <c r="R27" s="83"/>
      <c r="S27" s="83"/>
    </row>
    <row r="28" spans="1:19" ht="18" customHeight="1" x14ac:dyDescent="0.15">
      <c r="B28" s="111"/>
      <c r="C28" s="112"/>
      <c r="D28" s="112"/>
      <c r="E28" s="139"/>
      <c r="F28" s="83"/>
      <c r="G28" s="83"/>
      <c r="H28" s="83"/>
      <c r="I28" s="83"/>
      <c r="J28" s="111"/>
      <c r="K28" s="112"/>
      <c r="L28" s="112"/>
      <c r="M28" s="112"/>
      <c r="N28" s="112"/>
      <c r="O28" s="139"/>
      <c r="P28" s="83"/>
      <c r="Q28" s="83"/>
      <c r="R28" s="83"/>
      <c r="S28" s="83"/>
    </row>
    <row r="29" spans="1:19" ht="18" customHeight="1" x14ac:dyDescent="0.15">
      <c r="B29" s="111"/>
      <c r="C29" s="112"/>
      <c r="D29" s="112"/>
      <c r="E29" s="139"/>
      <c r="F29" s="83"/>
      <c r="G29" s="83"/>
      <c r="H29" s="83"/>
      <c r="I29" s="83"/>
      <c r="J29" s="111"/>
      <c r="K29" s="112"/>
      <c r="L29" s="112"/>
      <c r="M29" s="112"/>
      <c r="N29" s="112"/>
      <c r="O29" s="139"/>
      <c r="P29" s="83"/>
      <c r="Q29" s="83"/>
      <c r="R29" s="83"/>
      <c r="S29" s="83"/>
    </row>
    <row r="30" spans="1:19" ht="18" customHeight="1" x14ac:dyDescent="0.15">
      <c r="A30" s="102"/>
      <c r="B30" s="111"/>
      <c r="C30" s="112"/>
      <c r="D30" s="112"/>
      <c r="E30" s="139"/>
      <c r="F30" s="83"/>
      <c r="G30" s="83"/>
      <c r="H30" s="83"/>
      <c r="I30" s="83"/>
      <c r="J30" s="111"/>
      <c r="K30" s="112"/>
      <c r="L30" s="112"/>
      <c r="M30" s="112"/>
      <c r="N30" s="112"/>
      <c r="O30" s="139"/>
      <c r="P30" s="83"/>
      <c r="Q30" s="83"/>
      <c r="R30" s="83"/>
      <c r="S30" s="83"/>
    </row>
    <row r="31" spans="1:19" ht="18" customHeight="1" x14ac:dyDescent="0.15">
      <c r="A31" s="102"/>
      <c r="B31" s="131"/>
      <c r="C31" s="132"/>
      <c r="D31" s="132"/>
      <c r="E31" s="133"/>
      <c r="F31" s="84"/>
      <c r="G31" s="84"/>
      <c r="H31" s="85"/>
      <c r="I31" s="85"/>
      <c r="J31" s="131"/>
      <c r="K31" s="132"/>
      <c r="L31" s="132"/>
      <c r="M31" s="132"/>
      <c r="N31" s="132"/>
      <c r="O31" s="133"/>
      <c r="P31" s="84"/>
      <c r="Q31" s="84"/>
      <c r="R31" s="85"/>
      <c r="S31" s="85"/>
    </row>
    <row r="32" spans="1:19" ht="7.5" customHeight="1" x14ac:dyDescent="0.15">
      <c r="A32" s="102"/>
      <c r="B32" s="31"/>
      <c r="C32" s="31"/>
      <c r="D32" s="102"/>
      <c r="E32" s="102"/>
      <c r="F32" s="102"/>
      <c r="G32" s="102"/>
      <c r="H32" s="31"/>
      <c r="I32" s="31"/>
      <c r="J32" s="31"/>
      <c r="K32" s="31"/>
      <c r="L32" s="31"/>
      <c r="M32" s="31"/>
      <c r="N32" s="31"/>
      <c r="O32" s="31"/>
      <c r="P32" s="31"/>
      <c r="Q32" s="31"/>
      <c r="R32" s="31"/>
      <c r="S32" s="102"/>
    </row>
    <row r="33" spans="1:19" ht="18" customHeight="1" x14ac:dyDescent="0.15">
      <c r="A33" s="118" t="s">
        <v>27</v>
      </c>
      <c r="B33" s="118"/>
      <c r="C33" s="118"/>
      <c r="D33" s="118"/>
      <c r="E33" s="118"/>
      <c r="F33" s="118"/>
      <c r="G33" s="118"/>
      <c r="H33" s="118"/>
      <c r="I33" s="118"/>
      <c r="J33" s="118"/>
      <c r="K33" s="118"/>
      <c r="L33" s="118"/>
      <c r="M33" s="118"/>
      <c r="N33" s="118"/>
      <c r="O33" s="118"/>
      <c r="P33" s="118"/>
      <c r="Q33" s="118"/>
      <c r="R33" s="118"/>
      <c r="S33" s="118"/>
    </row>
    <row r="34" spans="1:19" ht="18" customHeight="1" x14ac:dyDescent="0.15">
      <c r="A34" s="118"/>
      <c r="B34" s="118"/>
      <c r="C34" s="118"/>
      <c r="D34" s="118"/>
      <c r="E34" s="118"/>
      <c r="F34" s="118"/>
      <c r="G34" s="118"/>
      <c r="H34" s="118"/>
      <c r="I34" s="118"/>
      <c r="J34" s="118"/>
      <c r="K34" s="118"/>
      <c r="L34" s="118"/>
      <c r="M34" s="118"/>
      <c r="N34" s="118"/>
      <c r="O34" s="118"/>
      <c r="P34" s="118"/>
      <c r="Q34" s="118"/>
      <c r="R34" s="118"/>
      <c r="S34" s="118"/>
    </row>
    <row r="35" spans="1:19" ht="18" customHeight="1" x14ac:dyDescent="0.15">
      <c r="B35" s="105" t="s">
        <v>20</v>
      </c>
      <c r="C35" s="106"/>
      <c r="D35" s="106"/>
      <c r="E35" s="107"/>
      <c r="F35" s="79" t="s">
        <v>21</v>
      </c>
      <c r="G35" s="80" t="s">
        <v>22</v>
      </c>
      <c r="H35" s="81" t="s">
        <v>28</v>
      </c>
      <c r="I35" s="81" t="s">
        <v>29</v>
      </c>
      <c r="J35" s="105" t="s">
        <v>20</v>
      </c>
      <c r="K35" s="106"/>
      <c r="L35" s="106"/>
      <c r="M35" s="106"/>
      <c r="N35" s="106"/>
      <c r="O35" s="107"/>
      <c r="P35" s="79" t="s">
        <v>21</v>
      </c>
      <c r="Q35" s="80" t="s">
        <v>22</v>
      </c>
      <c r="R35" s="81" t="s">
        <v>28</v>
      </c>
      <c r="S35" s="81" t="s">
        <v>29</v>
      </c>
    </row>
    <row r="36" spans="1:19" ht="18" customHeight="1" x14ac:dyDescent="0.15">
      <c r="B36" s="108" t="s">
        <v>25</v>
      </c>
      <c r="C36" s="109"/>
      <c r="D36" s="109"/>
      <c r="E36" s="110"/>
      <c r="F36" s="82">
        <v>2</v>
      </c>
      <c r="G36" s="82" t="s">
        <v>26</v>
      </c>
      <c r="H36" s="82" t="s">
        <v>26</v>
      </c>
      <c r="I36" s="82" t="s">
        <v>26</v>
      </c>
      <c r="J36" s="103"/>
      <c r="K36" s="103"/>
      <c r="L36" s="103"/>
      <c r="M36" s="103"/>
      <c r="N36" s="103"/>
      <c r="O36" s="103"/>
      <c r="P36" s="82"/>
      <c r="Q36" s="82"/>
      <c r="R36" s="82"/>
      <c r="S36" s="82"/>
    </row>
    <row r="37" spans="1:19" ht="31.5" customHeight="1" x14ac:dyDescent="0.15">
      <c r="B37" s="113"/>
      <c r="C37" s="104"/>
      <c r="D37" s="104"/>
      <c r="E37" s="104"/>
      <c r="F37" s="83"/>
      <c r="G37" s="83"/>
      <c r="H37" s="83"/>
      <c r="I37" s="83"/>
      <c r="J37" s="104"/>
      <c r="K37" s="104"/>
      <c r="L37" s="104"/>
      <c r="M37" s="104"/>
      <c r="N37" s="104"/>
      <c r="O37" s="104"/>
      <c r="P37" s="83"/>
      <c r="Q37" s="83"/>
      <c r="R37" s="83"/>
      <c r="S37" s="83"/>
    </row>
    <row r="38" spans="1:19" ht="35.25" customHeight="1" x14ac:dyDescent="0.15">
      <c r="B38" s="113"/>
      <c r="C38" s="104"/>
      <c r="D38" s="104"/>
      <c r="E38" s="104"/>
      <c r="F38" s="83"/>
      <c r="G38" s="83"/>
      <c r="H38" s="83"/>
      <c r="I38" s="83"/>
      <c r="J38" s="104"/>
      <c r="K38" s="104"/>
      <c r="L38" s="104"/>
      <c r="M38" s="104"/>
      <c r="N38" s="104"/>
      <c r="O38" s="104"/>
      <c r="P38" s="83"/>
      <c r="Q38" s="83"/>
      <c r="R38" s="83"/>
      <c r="S38" s="83"/>
    </row>
    <row r="39" spans="1:19" ht="36" customHeight="1" x14ac:dyDescent="0.15">
      <c r="B39" s="114"/>
      <c r="C39" s="115"/>
      <c r="D39" s="115"/>
      <c r="E39" s="116"/>
      <c r="F39" s="83"/>
      <c r="G39" s="83"/>
      <c r="H39" s="83"/>
      <c r="I39" s="83"/>
      <c r="J39" s="104"/>
      <c r="K39" s="104"/>
      <c r="L39" s="104"/>
      <c r="M39" s="104"/>
      <c r="N39" s="104"/>
      <c r="O39" s="104"/>
      <c r="P39" s="83"/>
      <c r="Q39" s="83"/>
      <c r="R39" s="83"/>
      <c r="S39" s="83"/>
    </row>
    <row r="40" spans="1:19" ht="18" customHeight="1" x14ac:dyDescent="0.15">
      <c r="B40" s="104"/>
      <c r="C40" s="104"/>
      <c r="D40" s="104"/>
      <c r="E40" s="104"/>
      <c r="F40" s="83"/>
      <c r="G40" s="83"/>
      <c r="H40" s="83"/>
      <c r="I40" s="83"/>
      <c r="J40" s="104"/>
      <c r="K40" s="104"/>
      <c r="L40" s="104"/>
      <c r="M40" s="104"/>
      <c r="N40" s="104"/>
      <c r="O40" s="104"/>
      <c r="P40" s="83"/>
      <c r="Q40" s="83"/>
      <c r="R40" s="83"/>
      <c r="S40" s="83"/>
    </row>
    <row r="41" spans="1:19" ht="18" customHeight="1" x14ac:dyDescent="0.15">
      <c r="B41" s="104"/>
      <c r="C41" s="104"/>
      <c r="D41" s="104"/>
      <c r="E41" s="104"/>
      <c r="F41" s="83"/>
      <c r="G41" s="83"/>
      <c r="H41" s="83"/>
      <c r="I41" s="83"/>
      <c r="J41" s="104"/>
      <c r="K41" s="104"/>
      <c r="L41" s="104"/>
      <c r="M41" s="104"/>
      <c r="N41" s="104"/>
      <c r="O41" s="104"/>
      <c r="P41" s="83"/>
      <c r="Q41" s="83"/>
      <c r="R41" s="83"/>
      <c r="S41" s="83"/>
    </row>
    <row r="42" spans="1:19" ht="18" customHeight="1" x14ac:dyDescent="0.15">
      <c r="B42" s="117"/>
      <c r="C42" s="117"/>
      <c r="D42" s="117"/>
      <c r="E42" s="117"/>
      <c r="F42" s="85"/>
      <c r="G42" s="85"/>
      <c r="H42" s="85"/>
      <c r="I42" s="85"/>
      <c r="J42" s="117"/>
      <c r="K42" s="117"/>
      <c r="L42" s="117"/>
      <c r="M42" s="117"/>
      <c r="N42" s="117"/>
      <c r="O42" s="117"/>
      <c r="P42" s="85"/>
      <c r="Q42" s="85"/>
      <c r="R42" s="85"/>
      <c r="S42" s="85"/>
    </row>
    <row r="43" spans="1:19" ht="7.5" customHeight="1" x14ac:dyDescent="0.15">
      <c r="A43" s="102"/>
      <c r="B43" s="31"/>
      <c r="C43" s="31"/>
      <c r="D43" s="102"/>
      <c r="E43" s="102"/>
      <c r="F43" s="102"/>
      <c r="G43" s="102"/>
      <c r="H43" s="31"/>
      <c r="I43" s="31"/>
      <c r="J43" s="31"/>
      <c r="K43" s="31"/>
      <c r="L43" s="31"/>
      <c r="M43" s="31"/>
      <c r="N43" s="31"/>
      <c r="O43" s="31"/>
      <c r="P43" s="31"/>
      <c r="Q43" s="31"/>
      <c r="R43" s="31"/>
      <c r="S43" s="102"/>
    </row>
    <row r="44" spans="1:19" ht="18" customHeight="1" x14ac:dyDescent="0.15">
      <c r="A44" s="118" t="s">
        <v>30</v>
      </c>
      <c r="B44" s="118"/>
      <c r="C44" s="118"/>
      <c r="D44" s="118"/>
      <c r="E44" s="118"/>
      <c r="F44" s="118"/>
      <c r="G44" s="118"/>
      <c r="H44" s="118"/>
      <c r="I44" s="118"/>
      <c r="J44" s="118"/>
      <c r="K44" s="118"/>
      <c r="L44" s="118"/>
      <c r="M44" s="118"/>
      <c r="N44" s="118"/>
      <c r="O44" s="118"/>
      <c r="P44" s="118"/>
      <c r="Q44" s="118"/>
      <c r="R44" s="118"/>
      <c r="S44" s="118"/>
    </row>
    <row r="45" spans="1:19" ht="18" customHeight="1" x14ac:dyDescent="0.15">
      <c r="A45" s="118"/>
      <c r="B45" s="118"/>
      <c r="C45" s="118"/>
      <c r="D45" s="118"/>
      <c r="E45" s="118"/>
      <c r="F45" s="118"/>
      <c r="G45" s="118"/>
      <c r="H45" s="118"/>
      <c r="I45" s="118"/>
      <c r="J45" s="118"/>
      <c r="K45" s="118"/>
      <c r="L45" s="118"/>
      <c r="M45" s="118"/>
      <c r="N45" s="118"/>
      <c r="O45" s="118"/>
      <c r="P45" s="118"/>
      <c r="Q45" s="118"/>
      <c r="R45" s="118"/>
      <c r="S45" s="118"/>
    </row>
    <row r="46" spans="1:19" ht="18" customHeight="1" x14ac:dyDescent="0.15">
      <c r="B46" s="105" t="s">
        <v>20</v>
      </c>
      <c r="C46" s="106"/>
      <c r="D46" s="106"/>
      <c r="E46" s="107"/>
      <c r="F46" s="79" t="s">
        <v>21</v>
      </c>
      <c r="G46" s="80" t="s">
        <v>22</v>
      </c>
      <c r="H46" s="81" t="s">
        <v>31</v>
      </c>
      <c r="I46" s="81" t="s">
        <v>32</v>
      </c>
      <c r="J46" s="105" t="s">
        <v>20</v>
      </c>
      <c r="K46" s="106"/>
      <c r="L46" s="106"/>
      <c r="M46" s="106"/>
      <c r="N46" s="106"/>
      <c r="O46" s="107"/>
      <c r="P46" s="79" t="s">
        <v>21</v>
      </c>
      <c r="Q46" s="80" t="s">
        <v>22</v>
      </c>
      <c r="R46" s="81" t="s">
        <v>31</v>
      </c>
      <c r="S46" s="81" t="s">
        <v>32</v>
      </c>
    </row>
    <row r="47" spans="1:19" ht="18" customHeight="1" x14ac:dyDescent="0.15">
      <c r="A47" s="102"/>
      <c r="B47" s="108" t="s">
        <v>25</v>
      </c>
      <c r="C47" s="109"/>
      <c r="D47" s="109"/>
      <c r="E47" s="110"/>
      <c r="F47" s="82">
        <v>2</v>
      </c>
      <c r="G47" s="82" t="s">
        <v>26</v>
      </c>
      <c r="H47" s="82" t="s">
        <v>26</v>
      </c>
      <c r="I47" s="82" t="s">
        <v>26</v>
      </c>
      <c r="J47" s="103"/>
      <c r="K47" s="103"/>
      <c r="L47" s="103"/>
      <c r="M47" s="103"/>
      <c r="N47" s="103"/>
      <c r="O47" s="103"/>
      <c r="P47" s="82"/>
      <c r="Q47" s="82"/>
      <c r="R47" s="82"/>
      <c r="S47" s="82"/>
    </row>
    <row r="48" spans="1:19" ht="31.5" customHeight="1" x14ac:dyDescent="0.15">
      <c r="A48" s="102"/>
      <c r="B48" s="113"/>
      <c r="C48" s="104"/>
      <c r="D48" s="104"/>
      <c r="E48" s="104"/>
      <c r="F48" s="83"/>
      <c r="G48" s="83"/>
      <c r="H48" s="83"/>
      <c r="I48" s="83"/>
      <c r="J48" s="104"/>
      <c r="K48" s="104"/>
      <c r="L48" s="104"/>
      <c r="M48" s="104"/>
      <c r="N48" s="104"/>
      <c r="O48" s="104"/>
      <c r="P48" s="83"/>
      <c r="Q48" s="83"/>
      <c r="R48" s="83"/>
      <c r="S48" s="83"/>
    </row>
    <row r="49" spans="1:19" ht="35.25" customHeight="1" x14ac:dyDescent="0.15">
      <c r="A49" s="102"/>
      <c r="B49" s="113"/>
      <c r="C49" s="104"/>
      <c r="D49" s="104"/>
      <c r="E49" s="104"/>
      <c r="F49" s="83"/>
      <c r="G49" s="83"/>
      <c r="H49" s="83"/>
      <c r="I49" s="83"/>
      <c r="J49" s="104"/>
      <c r="K49" s="104"/>
      <c r="L49" s="104"/>
      <c r="M49" s="104"/>
      <c r="N49" s="104"/>
      <c r="O49" s="104"/>
      <c r="P49" s="83"/>
      <c r="Q49" s="83"/>
      <c r="R49" s="83"/>
      <c r="S49" s="83"/>
    </row>
    <row r="50" spans="1:19" ht="18" customHeight="1" x14ac:dyDescent="0.15">
      <c r="A50" s="102"/>
      <c r="B50" s="104"/>
      <c r="C50" s="104"/>
      <c r="D50" s="104"/>
      <c r="E50" s="104"/>
      <c r="F50" s="83"/>
      <c r="G50" s="83"/>
      <c r="H50" s="83"/>
      <c r="I50" s="83"/>
      <c r="J50" s="104"/>
      <c r="K50" s="104"/>
      <c r="L50" s="104"/>
      <c r="M50" s="104"/>
      <c r="N50" s="104"/>
      <c r="O50" s="104"/>
      <c r="P50" s="83"/>
      <c r="Q50" s="83"/>
      <c r="R50" s="83"/>
      <c r="S50" s="83"/>
    </row>
    <row r="51" spans="1:19" ht="18" customHeight="1" x14ac:dyDescent="0.15">
      <c r="A51" s="102"/>
      <c r="B51" s="104"/>
      <c r="C51" s="104"/>
      <c r="D51" s="104"/>
      <c r="E51" s="104"/>
      <c r="F51" s="83"/>
      <c r="G51" s="83"/>
      <c r="H51" s="83"/>
      <c r="I51" s="83"/>
      <c r="J51" s="104"/>
      <c r="K51" s="104"/>
      <c r="L51" s="104"/>
      <c r="M51" s="104"/>
      <c r="N51" s="104"/>
      <c r="O51" s="104"/>
      <c r="P51" s="83"/>
      <c r="Q51" s="83"/>
      <c r="R51" s="83"/>
      <c r="S51" s="83"/>
    </row>
    <row r="52" spans="1:19" ht="18" customHeight="1" x14ac:dyDescent="0.15">
      <c r="A52" s="102"/>
      <c r="B52" s="104"/>
      <c r="C52" s="104"/>
      <c r="D52" s="104"/>
      <c r="E52" s="104"/>
      <c r="F52" s="83"/>
      <c r="G52" s="83"/>
      <c r="H52" s="83"/>
      <c r="I52" s="83"/>
      <c r="J52" s="104"/>
      <c r="K52" s="104"/>
      <c r="L52" s="104"/>
      <c r="M52" s="104"/>
      <c r="N52" s="104"/>
      <c r="O52" s="104"/>
      <c r="P52" s="83"/>
      <c r="Q52" s="83"/>
      <c r="R52" s="83"/>
      <c r="S52" s="83"/>
    </row>
    <row r="53" spans="1:19" ht="18" customHeight="1" x14ac:dyDescent="0.15">
      <c r="A53" s="102"/>
      <c r="B53" s="117"/>
      <c r="C53" s="117"/>
      <c r="D53" s="117"/>
      <c r="E53" s="117"/>
      <c r="F53" s="85"/>
      <c r="G53" s="85"/>
      <c r="H53" s="85"/>
      <c r="I53" s="85"/>
      <c r="J53" s="117"/>
      <c r="K53" s="117"/>
      <c r="L53" s="117"/>
      <c r="M53" s="117"/>
      <c r="N53" s="117"/>
      <c r="O53" s="117"/>
      <c r="P53" s="85"/>
      <c r="Q53" s="85"/>
      <c r="R53" s="85"/>
      <c r="S53" s="85"/>
    </row>
    <row r="54" spans="1:19" ht="7.5" customHeight="1" x14ac:dyDescent="0.15">
      <c r="B54" s="101"/>
      <c r="C54" s="101"/>
      <c r="D54" s="101"/>
      <c r="E54" s="101"/>
      <c r="F54" s="101"/>
      <c r="G54" s="101"/>
      <c r="H54" s="101"/>
      <c r="I54" s="101"/>
      <c r="J54" s="101"/>
      <c r="K54" s="101"/>
      <c r="L54" s="101"/>
      <c r="M54" s="101"/>
      <c r="N54" s="101"/>
      <c r="O54" s="101"/>
      <c r="P54" s="101"/>
      <c r="Q54" s="101"/>
      <c r="R54" s="101"/>
    </row>
    <row r="55" spans="1:19" ht="18" customHeight="1" x14ac:dyDescent="0.15">
      <c r="A55" s="118" t="s">
        <v>33</v>
      </c>
      <c r="B55" s="118"/>
      <c r="C55" s="118"/>
      <c r="D55" s="118"/>
      <c r="E55" s="118"/>
      <c r="F55" s="118"/>
      <c r="G55" s="118"/>
      <c r="H55" s="118"/>
      <c r="I55" s="118"/>
      <c r="J55" s="118"/>
      <c r="K55" s="118"/>
      <c r="L55" s="118"/>
      <c r="M55" s="118"/>
      <c r="N55" s="118"/>
      <c r="O55" s="118"/>
      <c r="P55" s="118"/>
      <c r="Q55" s="118"/>
      <c r="R55" s="118"/>
      <c r="S55" s="118"/>
    </row>
    <row r="56" spans="1:19" ht="18" customHeight="1" x14ac:dyDescent="0.15">
      <c r="A56" s="118"/>
      <c r="B56" s="118"/>
      <c r="C56" s="118"/>
      <c r="D56" s="118"/>
      <c r="E56" s="118"/>
      <c r="F56" s="118"/>
      <c r="G56" s="118"/>
      <c r="H56" s="118"/>
      <c r="I56" s="118"/>
      <c r="J56" s="118"/>
      <c r="K56" s="118"/>
      <c r="L56" s="118"/>
      <c r="M56" s="118"/>
      <c r="N56" s="118"/>
      <c r="O56" s="118"/>
      <c r="P56" s="118"/>
      <c r="Q56" s="118"/>
      <c r="R56" s="118"/>
      <c r="S56" s="118"/>
    </row>
    <row r="57" spans="1:19" ht="18" customHeight="1" x14ac:dyDescent="0.15">
      <c r="B57" s="105" t="s">
        <v>20</v>
      </c>
      <c r="C57" s="106"/>
      <c r="D57" s="106"/>
      <c r="E57" s="107"/>
      <c r="F57" s="79" t="s">
        <v>21</v>
      </c>
      <c r="G57" s="80" t="s">
        <v>22</v>
      </c>
      <c r="H57" s="81" t="s">
        <v>34</v>
      </c>
      <c r="I57" s="81" t="s">
        <v>35</v>
      </c>
      <c r="J57" s="105" t="s">
        <v>20</v>
      </c>
      <c r="K57" s="106"/>
      <c r="L57" s="106"/>
      <c r="M57" s="106"/>
      <c r="N57" s="106"/>
      <c r="O57" s="107"/>
      <c r="P57" s="79" t="s">
        <v>21</v>
      </c>
      <c r="Q57" s="80" t="s">
        <v>22</v>
      </c>
      <c r="R57" s="81" t="s">
        <v>34</v>
      </c>
      <c r="S57" s="81" t="s">
        <v>35</v>
      </c>
    </row>
    <row r="58" spans="1:19" ht="18" customHeight="1" x14ac:dyDescent="0.15">
      <c r="A58" s="102"/>
      <c r="B58" s="108" t="s">
        <v>25</v>
      </c>
      <c r="C58" s="109"/>
      <c r="D58" s="109"/>
      <c r="E58" s="110"/>
      <c r="F58" s="82">
        <v>2</v>
      </c>
      <c r="G58" s="82" t="s">
        <v>26</v>
      </c>
      <c r="H58" s="82" t="s">
        <v>26</v>
      </c>
      <c r="I58" s="82" t="s">
        <v>26</v>
      </c>
      <c r="J58" s="108"/>
      <c r="K58" s="109"/>
      <c r="L58" s="109"/>
      <c r="M58" s="109"/>
      <c r="N58" s="109"/>
      <c r="O58" s="110"/>
      <c r="P58" s="82"/>
      <c r="Q58" s="82"/>
      <c r="R58" s="82"/>
      <c r="S58" s="82"/>
    </row>
    <row r="59" spans="1:19" ht="18" customHeight="1" x14ac:dyDescent="0.15">
      <c r="A59" s="102"/>
      <c r="B59" s="111"/>
      <c r="C59" s="112"/>
      <c r="D59" s="112"/>
      <c r="E59" s="139"/>
      <c r="F59" s="83"/>
      <c r="G59" s="83"/>
      <c r="H59" s="83"/>
      <c r="I59" s="83"/>
      <c r="J59" s="111"/>
      <c r="K59" s="112"/>
      <c r="L59" s="112"/>
      <c r="M59" s="112"/>
      <c r="N59" s="112"/>
      <c r="O59" s="139"/>
      <c r="P59" s="83"/>
      <c r="Q59" s="83"/>
      <c r="R59" s="83"/>
      <c r="S59" s="83"/>
    </row>
    <row r="60" spans="1:19" ht="18" customHeight="1" x14ac:dyDescent="0.15">
      <c r="A60" s="102"/>
      <c r="B60" s="111"/>
      <c r="C60" s="112"/>
      <c r="D60" s="112"/>
      <c r="E60" s="139"/>
      <c r="F60" s="83"/>
      <c r="G60" s="83"/>
      <c r="H60" s="83"/>
      <c r="I60" s="83"/>
      <c r="J60" s="111"/>
      <c r="K60" s="112"/>
      <c r="L60" s="112"/>
      <c r="M60" s="112"/>
      <c r="N60" s="112"/>
      <c r="O60" s="139"/>
      <c r="P60" s="83"/>
      <c r="Q60" s="83"/>
      <c r="R60" s="83"/>
      <c r="S60" s="83"/>
    </row>
    <row r="61" spans="1:19" ht="18" customHeight="1" x14ac:dyDescent="0.15">
      <c r="A61" s="102"/>
      <c r="B61" s="111"/>
      <c r="C61" s="112"/>
      <c r="D61" s="112"/>
      <c r="E61" s="139"/>
      <c r="F61" s="83"/>
      <c r="G61" s="83"/>
      <c r="H61" s="83"/>
      <c r="I61" s="83"/>
      <c r="J61" s="111"/>
      <c r="K61" s="112"/>
      <c r="L61" s="112"/>
      <c r="M61" s="112"/>
      <c r="N61" s="112"/>
      <c r="O61" s="139"/>
      <c r="P61" s="83"/>
      <c r="Q61" s="83"/>
      <c r="R61" s="83"/>
      <c r="S61" s="83"/>
    </row>
    <row r="62" spans="1:19" ht="18" customHeight="1" x14ac:dyDescent="0.15">
      <c r="A62" s="102"/>
      <c r="B62" s="111"/>
      <c r="C62" s="112"/>
      <c r="D62" s="112"/>
      <c r="E62" s="139"/>
      <c r="F62" s="83"/>
      <c r="G62" s="83"/>
      <c r="H62" s="83"/>
      <c r="I62" s="83"/>
      <c r="J62" s="111"/>
      <c r="K62" s="112"/>
      <c r="L62" s="112"/>
      <c r="M62" s="112"/>
      <c r="N62" s="112"/>
      <c r="O62" s="139"/>
      <c r="P62" s="83"/>
      <c r="Q62" s="83"/>
      <c r="R62" s="83"/>
      <c r="S62" s="83"/>
    </row>
    <row r="63" spans="1:19" ht="18" customHeight="1" x14ac:dyDescent="0.15">
      <c r="A63" s="102"/>
      <c r="B63" s="111"/>
      <c r="C63" s="112"/>
      <c r="D63" s="112"/>
      <c r="E63" s="139"/>
      <c r="F63" s="83"/>
      <c r="G63" s="83"/>
      <c r="H63" s="83"/>
      <c r="I63" s="83"/>
      <c r="J63" s="111"/>
      <c r="K63" s="112"/>
      <c r="L63" s="112"/>
      <c r="M63" s="112"/>
      <c r="N63" s="112"/>
      <c r="O63" s="139"/>
      <c r="P63" s="83"/>
      <c r="Q63" s="83"/>
      <c r="R63" s="83"/>
      <c r="S63" s="83"/>
    </row>
    <row r="64" spans="1:19" ht="18" customHeight="1" x14ac:dyDescent="0.15">
      <c r="A64" s="102"/>
      <c r="B64" s="131"/>
      <c r="C64" s="132"/>
      <c r="D64" s="132"/>
      <c r="E64" s="133"/>
      <c r="F64" s="84"/>
      <c r="G64" s="84"/>
      <c r="H64" s="85"/>
      <c r="I64" s="85"/>
      <c r="J64" s="131"/>
      <c r="K64" s="132"/>
      <c r="L64" s="132"/>
      <c r="M64" s="132"/>
      <c r="N64" s="132"/>
      <c r="O64" s="133"/>
      <c r="P64" s="84"/>
      <c r="Q64" s="84"/>
      <c r="R64" s="85"/>
      <c r="S64" s="85"/>
    </row>
    <row r="65" spans="1:19" ht="7.5" customHeight="1" x14ac:dyDescent="0.15">
      <c r="B65" s="101"/>
      <c r="C65" s="101"/>
      <c r="D65" s="101"/>
      <c r="E65" s="101"/>
      <c r="F65" s="101"/>
      <c r="G65" s="101"/>
      <c r="H65" s="101"/>
      <c r="I65" s="101"/>
      <c r="J65" s="101"/>
      <c r="K65" s="101"/>
      <c r="L65" s="101"/>
      <c r="M65" s="101"/>
      <c r="N65" s="101"/>
      <c r="O65" s="101"/>
      <c r="P65" s="101"/>
      <c r="Q65" s="101"/>
      <c r="R65" s="101"/>
    </row>
    <row r="66" spans="1:19" ht="18" customHeight="1" x14ac:dyDescent="0.15">
      <c r="A66" s="118" t="s">
        <v>36</v>
      </c>
      <c r="B66" s="118"/>
      <c r="C66" s="118"/>
      <c r="D66" s="118"/>
      <c r="E66" s="118"/>
      <c r="F66" s="118"/>
      <c r="G66" s="118"/>
      <c r="H66" s="118"/>
      <c r="I66" s="118"/>
      <c r="J66" s="118"/>
      <c r="K66" s="118"/>
      <c r="L66" s="118"/>
      <c r="M66" s="118"/>
      <c r="N66" s="118"/>
      <c r="O66" s="118"/>
      <c r="P66" s="118"/>
      <c r="Q66" s="118"/>
      <c r="R66" s="118"/>
      <c r="S66" s="118"/>
    </row>
    <row r="67" spans="1:19" ht="18" customHeight="1" x14ac:dyDescent="0.15">
      <c r="A67" s="118"/>
      <c r="B67" s="118"/>
      <c r="C67" s="118"/>
      <c r="D67" s="118"/>
      <c r="E67" s="118"/>
      <c r="F67" s="118"/>
      <c r="G67" s="118"/>
      <c r="H67" s="118"/>
      <c r="I67" s="118"/>
      <c r="J67" s="118"/>
      <c r="K67" s="118"/>
      <c r="L67" s="118"/>
      <c r="M67" s="118"/>
      <c r="N67" s="118"/>
      <c r="O67" s="118"/>
      <c r="P67" s="118"/>
      <c r="Q67" s="118"/>
      <c r="R67" s="118"/>
      <c r="S67" s="118"/>
    </row>
    <row r="68" spans="1:19" ht="18" customHeight="1" x14ac:dyDescent="0.15">
      <c r="B68" s="105" t="s">
        <v>20</v>
      </c>
      <c r="C68" s="106"/>
      <c r="D68" s="106"/>
      <c r="E68" s="79" t="s">
        <v>21</v>
      </c>
      <c r="F68" s="80" t="s">
        <v>22</v>
      </c>
      <c r="G68" s="81" t="s">
        <v>37</v>
      </c>
      <c r="H68" s="81" t="s">
        <v>38</v>
      </c>
      <c r="I68" s="81" t="s">
        <v>39</v>
      </c>
      <c r="J68" s="105" t="s">
        <v>20</v>
      </c>
      <c r="K68" s="106"/>
      <c r="L68" s="106"/>
      <c r="M68" s="106"/>
      <c r="N68" s="107"/>
      <c r="O68" s="79" t="s">
        <v>21</v>
      </c>
      <c r="P68" s="80" t="s">
        <v>22</v>
      </c>
      <c r="Q68" s="81" t="s">
        <v>37</v>
      </c>
      <c r="R68" s="81" t="s">
        <v>38</v>
      </c>
      <c r="S68" s="81" t="s">
        <v>39</v>
      </c>
    </row>
    <row r="69" spans="1:19" ht="18.75" customHeight="1" x14ac:dyDescent="0.15">
      <c r="A69" s="102"/>
      <c r="B69" s="152" t="s">
        <v>25</v>
      </c>
      <c r="C69" s="153"/>
      <c r="D69" s="153"/>
      <c r="E69" s="82">
        <v>2</v>
      </c>
      <c r="F69" s="82" t="s">
        <v>26</v>
      </c>
      <c r="G69" s="83" t="s">
        <v>26</v>
      </c>
      <c r="H69" s="83" t="s">
        <v>26</v>
      </c>
      <c r="I69" s="83" t="s">
        <v>26</v>
      </c>
      <c r="J69" s="108"/>
      <c r="K69" s="109"/>
      <c r="L69" s="109"/>
      <c r="M69" s="109"/>
      <c r="N69" s="110"/>
      <c r="O69" s="82"/>
      <c r="P69" s="82"/>
      <c r="Q69" s="82"/>
      <c r="R69" s="82"/>
      <c r="S69" s="82"/>
    </row>
    <row r="70" spans="1:19" ht="18" customHeight="1" x14ac:dyDescent="0.15">
      <c r="A70" s="102"/>
      <c r="B70" s="111"/>
      <c r="C70" s="112"/>
      <c r="D70" s="112"/>
      <c r="E70" s="83"/>
      <c r="F70" s="83"/>
      <c r="G70" s="83"/>
      <c r="H70" s="83"/>
      <c r="I70" s="83"/>
      <c r="J70" s="111"/>
      <c r="K70" s="112"/>
      <c r="L70" s="112"/>
      <c r="M70" s="112"/>
      <c r="N70" s="139"/>
      <c r="O70" s="83"/>
      <c r="P70" s="83"/>
      <c r="Q70" s="83"/>
      <c r="R70" s="83"/>
      <c r="S70" s="83"/>
    </row>
    <row r="71" spans="1:19" ht="18" customHeight="1" x14ac:dyDescent="0.15">
      <c r="A71" s="102"/>
      <c r="B71" s="111"/>
      <c r="C71" s="112"/>
      <c r="D71" s="112"/>
      <c r="E71" s="83"/>
      <c r="F71" s="83"/>
      <c r="G71" s="83"/>
      <c r="H71" s="83"/>
      <c r="I71" s="83"/>
      <c r="J71" s="111"/>
      <c r="K71" s="112"/>
      <c r="L71" s="112"/>
      <c r="M71" s="112"/>
      <c r="N71" s="139"/>
      <c r="O71" s="83"/>
      <c r="P71" s="83"/>
      <c r="Q71" s="83"/>
      <c r="R71" s="83"/>
      <c r="S71" s="83"/>
    </row>
    <row r="72" spans="1:19" ht="18" customHeight="1" x14ac:dyDescent="0.15">
      <c r="A72" s="102"/>
      <c r="B72" s="111"/>
      <c r="C72" s="112"/>
      <c r="D72" s="112"/>
      <c r="E72" s="83"/>
      <c r="F72" s="83"/>
      <c r="G72" s="83"/>
      <c r="H72" s="83"/>
      <c r="I72" s="83"/>
      <c r="J72" s="111"/>
      <c r="K72" s="112"/>
      <c r="L72" s="112"/>
      <c r="M72" s="112"/>
      <c r="N72" s="139"/>
      <c r="O72" s="83"/>
      <c r="P72" s="83"/>
      <c r="Q72" s="83"/>
      <c r="R72" s="83"/>
      <c r="S72" s="83"/>
    </row>
    <row r="73" spans="1:19" ht="18" customHeight="1" x14ac:dyDescent="0.15">
      <c r="A73" s="102"/>
      <c r="B73" s="111"/>
      <c r="C73" s="112"/>
      <c r="D73" s="112"/>
      <c r="E73" s="83"/>
      <c r="F73" s="83"/>
      <c r="G73" s="83"/>
      <c r="H73" s="83"/>
      <c r="I73" s="83"/>
      <c r="J73" s="111"/>
      <c r="K73" s="112"/>
      <c r="L73" s="112"/>
      <c r="M73" s="112"/>
      <c r="N73" s="139"/>
      <c r="O73" s="83"/>
      <c r="P73" s="83"/>
      <c r="Q73" s="83"/>
      <c r="R73" s="83"/>
      <c r="S73" s="83"/>
    </row>
    <row r="74" spans="1:19" ht="18" customHeight="1" x14ac:dyDescent="0.15">
      <c r="A74" s="102"/>
      <c r="B74" s="143"/>
      <c r="C74" s="144"/>
      <c r="D74" s="145"/>
      <c r="E74" s="83"/>
      <c r="F74" s="83"/>
      <c r="G74" s="83"/>
      <c r="H74" s="83"/>
      <c r="I74" s="83"/>
      <c r="J74" s="93"/>
      <c r="K74" s="94"/>
      <c r="L74" s="94"/>
      <c r="M74" s="94"/>
      <c r="N74" s="95"/>
      <c r="O74" s="83"/>
      <c r="P74" s="83"/>
      <c r="Q74" s="83"/>
      <c r="R74" s="83"/>
      <c r="S74" s="83"/>
    </row>
    <row r="75" spans="1:19" ht="18" customHeight="1" x14ac:dyDescent="0.15">
      <c r="A75" s="102"/>
      <c r="B75" s="146"/>
      <c r="C75" s="147"/>
      <c r="D75" s="148"/>
      <c r="E75" s="85"/>
      <c r="F75" s="85"/>
      <c r="G75" s="85"/>
      <c r="H75" s="85"/>
      <c r="I75" s="85"/>
      <c r="J75" s="96"/>
      <c r="K75" s="97"/>
      <c r="L75" s="97"/>
      <c r="M75" s="97"/>
      <c r="N75" s="98"/>
      <c r="O75" s="85"/>
      <c r="P75" s="85"/>
      <c r="Q75" s="85"/>
      <c r="R75" s="85"/>
      <c r="S75" s="85"/>
    </row>
    <row r="76" spans="1:19" ht="7.5" customHeight="1" x14ac:dyDescent="0.15">
      <c r="B76" s="101"/>
      <c r="C76" s="101"/>
      <c r="D76" s="101"/>
      <c r="E76" s="101"/>
      <c r="F76" s="101"/>
      <c r="G76" s="101"/>
      <c r="H76" s="101"/>
      <c r="I76" s="101"/>
      <c r="J76" s="101"/>
      <c r="K76" s="101"/>
      <c r="L76" s="101"/>
      <c r="M76" s="101"/>
      <c r="N76" s="101"/>
      <c r="O76" s="101"/>
      <c r="P76" s="101"/>
      <c r="Q76" s="101"/>
      <c r="R76" s="101"/>
    </row>
    <row r="77" spans="1:19" ht="18" customHeight="1" x14ac:dyDescent="0.15">
      <c r="A77" s="1" t="s">
        <v>40</v>
      </c>
      <c r="H77" s="102"/>
      <c r="I77" s="102"/>
      <c r="J77" s="102"/>
      <c r="K77" s="102"/>
      <c r="L77" s="102"/>
      <c r="M77" s="102"/>
      <c r="N77" s="102"/>
      <c r="O77" s="102"/>
      <c r="P77" s="102"/>
      <c r="Q77" s="102"/>
      <c r="R77" s="102"/>
      <c r="S77" s="102"/>
    </row>
    <row r="78" spans="1:19" ht="18" customHeight="1" x14ac:dyDescent="0.15">
      <c r="B78" s="105" t="s">
        <v>20</v>
      </c>
      <c r="C78" s="106"/>
      <c r="D78" s="106"/>
      <c r="E78" s="107"/>
      <c r="F78" s="105" t="s">
        <v>41</v>
      </c>
      <c r="G78" s="106"/>
      <c r="H78" s="106"/>
      <c r="I78" s="107"/>
      <c r="J78" s="149" t="s">
        <v>20</v>
      </c>
      <c r="K78" s="150"/>
      <c r="L78" s="150"/>
      <c r="M78" s="150"/>
      <c r="N78" s="150"/>
      <c r="O78" s="151"/>
      <c r="P78" s="105" t="s">
        <v>41</v>
      </c>
      <c r="Q78" s="106"/>
      <c r="R78" s="106"/>
      <c r="S78" s="107"/>
    </row>
    <row r="79" spans="1:19" ht="18" customHeight="1" x14ac:dyDescent="0.15">
      <c r="A79" s="102"/>
      <c r="B79" s="108"/>
      <c r="C79" s="109"/>
      <c r="D79" s="109"/>
      <c r="E79" s="110"/>
      <c r="F79" s="136"/>
      <c r="G79" s="137"/>
      <c r="H79" s="137"/>
      <c r="I79" s="138"/>
      <c r="J79" s="108"/>
      <c r="K79" s="109"/>
      <c r="L79" s="109"/>
      <c r="M79" s="109"/>
      <c r="N79" s="109"/>
      <c r="O79" s="110"/>
      <c r="P79" s="136"/>
      <c r="Q79" s="137"/>
      <c r="R79" s="137"/>
      <c r="S79" s="138"/>
    </row>
    <row r="80" spans="1:19" ht="18" customHeight="1" x14ac:dyDescent="0.15">
      <c r="A80" s="102"/>
      <c r="B80" s="111"/>
      <c r="C80" s="112"/>
      <c r="D80" s="112"/>
      <c r="E80" s="139"/>
      <c r="F80" s="140"/>
      <c r="G80" s="141"/>
      <c r="H80" s="141"/>
      <c r="I80" s="142"/>
      <c r="J80" s="111"/>
      <c r="K80" s="112"/>
      <c r="L80" s="112"/>
      <c r="M80" s="112"/>
      <c r="N80" s="112"/>
      <c r="O80" s="139"/>
      <c r="P80" s="140"/>
      <c r="Q80" s="141"/>
      <c r="R80" s="141"/>
      <c r="S80" s="142"/>
    </row>
    <row r="81" spans="1:19" ht="18" customHeight="1" x14ac:dyDescent="0.15">
      <c r="A81" s="102"/>
      <c r="B81" s="111"/>
      <c r="C81" s="112"/>
      <c r="D81" s="112"/>
      <c r="E81" s="139"/>
      <c r="F81" s="140"/>
      <c r="G81" s="141"/>
      <c r="H81" s="141"/>
      <c r="I81" s="142"/>
      <c r="J81" s="111"/>
      <c r="K81" s="112"/>
      <c r="L81" s="112"/>
      <c r="M81" s="112"/>
      <c r="N81" s="112"/>
      <c r="O81" s="139"/>
      <c r="P81" s="140"/>
      <c r="Q81" s="141"/>
      <c r="R81" s="141"/>
      <c r="S81" s="142"/>
    </row>
    <row r="82" spans="1:19" ht="18" customHeight="1" x14ac:dyDescent="0.15">
      <c r="A82" s="102"/>
      <c r="B82" s="111"/>
      <c r="C82" s="112"/>
      <c r="D82" s="112"/>
      <c r="E82" s="139"/>
      <c r="F82" s="140"/>
      <c r="G82" s="141"/>
      <c r="H82" s="141"/>
      <c r="I82" s="142"/>
      <c r="J82" s="111"/>
      <c r="K82" s="112"/>
      <c r="L82" s="112"/>
      <c r="M82" s="112"/>
      <c r="N82" s="112"/>
      <c r="O82" s="139"/>
      <c r="P82" s="140"/>
      <c r="Q82" s="141"/>
      <c r="R82" s="141"/>
      <c r="S82" s="142"/>
    </row>
    <row r="83" spans="1:19" ht="18" customHeight="1" x14ac:dyDescent="0.15">
      <c r="A83" s="102"/>
      <c r="B83" s="111"/>
      <c r="C83" s="112"/>
      <c r="D83" s="112"/>
      <c r="E83" s="139"/>
      <c r="F83" s="140"/>
      <c r="G83" s="141"/>
      <c r="H83" s="141"/>
      <c r="I83" s="142"/>
      <c r="J83" s="111"/>
      <c r="K83" s="112"/>
      <c r="L83" s="112"/>
      <c r="M83" s="112"/>
      <c r="N83" s="112"/>
      <c r="O83" s="139"/>
      <c r="P83" s="140"/>
      <c r="Q83" s="141"/>
      <c r="R83" s="141"/>
      <c r="S83" s="142"/>
    </row>
    <row r="84" spans="1:19" ht="18" customHeight="1" x14ac:dyDescent="0.15">
      <c r="A84" s="102"/>
      <c r="B84" s="111"/>
      <c r="C84" s="112"/>
      <c r="D84" s="112"/>
      <c r="E84" s="139"/>
      <c r="F84" s="140"/>
      <c r="G84" s="141"/>
      <c r="H84" s="141"/>
      <c r="I84" s="142"/>
      <c r="J84" s="111"/>
      <c r="K84" s="112"/>
      <c r="L84" s="112"/>
      <c r="M84" s="112"/>
      <c r="N84" s="112"/>
      <c r="O84" s="139"/>
      <c r="P84" s="140"/>
      <c r="Q84" s="141"/>
      <c r="R84" s="141"/>
      <c r="S84" s="142"/>
    </row>
    <row r="85" spans="1:19" ht="18" customHeight="1" x14ac:dyDescent="0.15">
      <c r="A85" s="102"/>
      <c r="B85" s="131"/>
      <c r="C85" s="132"/>
      <c r="D85" s="132"/>
      <c r="E85" s="133"/>
      <c r="F85" s="157"/>
      <c r="G85" s="158"/>
      <c r="H85" s="158"/>
      <c r="I85" s="159"/>
      <c r="J85" s="131"/>
      <c r="K85" s="132"/>
      <c r="L85" s="132"/>
      <c r="M85" s="132"/>
      <c r="N85" s="132"/>
      <c r="O85" s="133"/>
      <c r="P85" s="157"/>
      <c r="Q85" s="158"/>
      <c r="R85" s="158"/>
      <c r="S85" s="159"/>
    </row>
    <row r="86" spans="1:19" ht="18" customHeight="1" x14ac:dyDescent="0.15">
      <c r="A86" s="102"/>
      <c r="B86" s="31"/>
      <c r="C86" s="31"/>
      <c r="D86" s="31"/>
      <c r="E86" s="31"/>
      <c r="F86" s="86"/>
      <c r="G86" s="86"/>
      <c r="H86" s="86"/>
      <c r="I86" s="86"/>
      <c r="J86" s="31"/>
      <c r="K86" s="31"/>
      <c r="L86" s="31"/>
      <c r="M86" s="31"/>
      <c r="N86" s="31"/>
      <c r="O86" s="31"/>
      <c r="P86" s="86"/>
      <c r="Q86" s="86"/>
      <c r="R86" s="86"/>
      <c r="S86" s="86"/>
    </row>
    <row r="87" spans="1:19" ht="18.75" customHeight="1" x14ac:dyDescent="0.15">
      <c r="A87" s="1" t="s">
        <v>42</v>
      </c>
    </row>
    <row r="88" spans="1:19" ht="18.75" customHeight="1" x14ac:dyDescent="0.15">
      <c r="B88" s="134" t="s">
        <v>43</v>
      </c>
      <c r="C88" s="135"/>
      <c r="D88" s="106" t="s">
        <v>44</v>
      </c>
      <c r="E88" s="106"/>
      <c r="F88" s="106"/>
      <c r="G88" s="106"/>
      <c r="H88" s="106"/>
      <c r="I88" s="106"/>
      <c r="J88" s="106"/>
      <c r="K88" s="106"/>
      <c r="L88" s="106"/>
      <c r="M88" s="106"/>
      <c r="N88" s="106"/>
      <c r="O88" s="106"/>
      <c r="P88" s="106"/>
      <c r="Q88" s="106"/>
      <c r="R88" s="106"/>
      <c r="S88" s="107"/>
    </row>
    <row r="89" spans="1:19" ht="97.5" customHeight="1" x14ac:dyDescent="0.15">
      <c r="B89" s="119" t="s">
        <v>45</v>
      </c>
      <c r="C89" s="87" t="s">
        <v>23</v>
      </c>
      <c r="D89" s="128" t="s">
        <v>162</v>
      </c>
      <c r="E89" s="129"/>
      <c r="F89" s="129"/>
      <c r="G89" s="129"/>
      <c r="H89" s="129"/>
      <c r="I89" s="129"/>
      <c r="J89" s="129"/>
      <c r="K89" s="129"/>
      <c r="L89" s="129"/>
      <c r="M89" s="129"/>
      <c r="N89" s="129"/>
      <c r="O89" s="129"/>
      <c r="P89" s="129"/>
      <c r="Q89" s="129"/>
      <c r="R89" s="129"/>
      <c r="S89" s="130"/>
    </row>
    <row r="90" spans="1:19" ht="97.5" customHeight="1" x14ac:dyDescent="0.15">
      <c r="B90" s="120"/>
      <c r="C90" s="88" t="s">
        <v>46</v>
      </c>
      <c r="D90" s="160" t="s">
        <v>163</v>
      </c>
      <c r="E90" s="161"/>
      <c r="F90" s="161"/>
      <c r="G90" s="161"/>
      <c r="H90" s="161"/>
      <c r="I90" s="161"/>
      <c r="J90" s="161"/>
      <c r="K90" s="161"/>
      <c r="L90" s="161"/>
      <c r="M90" s="161"/>
      <c r="N90" s="161"/>
      <c r="O90" s="161"/>
      <c r="P90" s="161"/>
      <c r="Q90" s="161"/>
      <c r="R90" s="161"/>
      <c r="S90" s="162"/>
    </row>
    <row r="91" spans="1:19" ht="129.75" customHeight="1" x14ac:dyDescent="0.15">
      <c r="B91" s="119" t="s">
        <v>47</v>
      </c>
      <c r="C91" s="89" t="s">
        <v>28</v>
      </c>
      <c r="D91" s="128" t="s">
        <v>164</v>
      </c>
      <c r="E91" s="129"/>
      <c r="F91" s="129"/>
      <c r="G91" s="129"/>
      <c r="H91" s="129"/>
      <c r="I91" s="129"/>
      <c r="J91" s="129"/>
      <c r="K91" s="129"/>
      <c r="L91" s="129"/>
      <c r="M91" s="129"/>
      <c r="N91" s="129"/>
      <c r="O91" s="129"/>
      <c r="P91" s="129"/>
      <c r="Q91" s="129"/>
      <c r="R91" s="129"/>
      <c r="S91" s="130"/>
    </row>
    <row r="92" spans="1:19" ht="97.5" customHeight="1" x14ac:dyDescent="0.15">
      <c r="B92" s="121"/>
      <c r="C92" s="90" t="s">
        <v>29</v>
      </c>
      <c r="D92" s="163" t="s">
        <v>165</v>
      </c>
      <c r="E92" s="164"/>
      <c r="F92" s="164"/>
      <c r="G92" s="164"/>
      <c r="H92" s="164"/>
      <c r="I92" s="164"/>
      <c r="J92" s="164"/>
      <c r="K92" s="164"/>
      <c r="L92" s="164"/>
      <c r="M92" s="164"/>
      <c r="N92" s="164"/>
      <c r="O92" s="164"/>
      <c r="P92" s="164"/>
      <c r="Q92" s="164"/>
      <c r="R92" s="164"/>
      <c r="S92" s="165"/>
    </row>
    <row r="93" spans="1:19" ht="97.5" customHeight="1" x14ac:dyDescent="0.15">
      <c r="B93" s="119" t="s">
        <v>48</v>
      </c>
      <c r="C93" s="89" t="s">
        <v>31</v>
      </c>
      <c r="D93" s="166" t="s">
        <v>166</v>
      </c>
      <c r="E93" s="167"/>
      <c r="F93" s="167"/>
      <c r="G93" s="167"/>
      <c r="H93" s="167"/>
      <c r="I93" s="167"/>
      <c r="J93" s="167"/>
      <c r="K93" s="167"/>
      <c r="L93" s="167"/>
      <c r="M93" s="167"/>
      <c r="N93" s="167"/>
      <c r="O93" s="167"/>
      <c r="P93" s="167"/>
      <c r="Q93" s="167"/>
      <c r="R93" s="167"/>
      <c r="S93" s="168"/>
    </row>
    <row r="94" spans="1:19" ht="97.5" customHeight="1" x14ac:dyDescent="0.15">
      <c r="B94" s="121"/>
      <c r="C94" s="91" t="s">
        <v>32</v>
      </c>
      <c r="D94" s="163" t="s">
        <v>167</v>
      </c>
      <c r="E94" s="164"/>
      <c r="F94" s="164"/>
      <c r="G94" s="164"/>
      <c r="H94" s="164"/>
      <c r="I94" s="164"/>
      <c r="J94" s="164"/>
      <c r="K94" s="164"/>
      <c r="L94" s="164"/>
      <c r="M94" s="164"/>
      <c r="N94" s="164"/>
      <c r="O94" s="164"/>
      <c r="P94" s="164"/>
      <c r="Q94" s="164"/>
      <c r="R94" s="164"/>
      <c r="S94" s="165"/>
    </row>
    <row r="95" spans="1:19" ht="97.5" customHeight="1" x14ac:dyDescent="0.15">
      <c r="B95" s="119" t="s">
        <v>49</v>
      </c>
      <c r="C95" s="87" t="s">
        <v>34</v>
      </c>
      <c r="D95" s="128" t="s">
        <v>168</v>
      </c>
      <c r="E95" s="129"/>
      <c r="F95" s="129"/>
      <c r="G95" s="129"/>
      <c r="H95" s="129"/>
      <c r="I95" s="129"/>
      <c r="J95" s="129"/>
      <c r="K95" s="129"/>
      <c r="L95" s="129"/>
      <c r="M95" s="129"/>
      <c r="N95" s="129"/>
      <c r="O95" s="129"/>
      <c r="P95" s="129"/>
      <c r="Q95" s="129"/>
      <c r="R95" s="129"/>
      <c r="S95" s="130"/>
    </row>
    <row r="96" spans="1:19" ht="97.5" customHeight="1" x14ac:dyDescent="0.15">
      <c r="B96" s="121"/>
      <c r="C96" s="90" t="s">
        <v>35</v>
      </c>
      <c r="D96" s="169" t="s">
        <v>169</v>
      </c>
      <c r="E96" s="164"/>
      <c r="F96" s="164"/>
      <c r="G96" s="164"/>
      <c r="H96" s="164"/>
      <c r="I96" s="164"/>
      <c r="J96" s="164"/>
      <c r="K96" s="164"/>
      <c r="L96" s="164"/>
      <c r="M96" s="164"/>
      <c r="N96" s="164"/>
      <c r="O96" s="164"/>
      <c r="P96" s="164"/>
      <c r="Q96" s="164"/>
      <c r="R96" s="164"/>
      <c r="S96" s="165"/>
    </row>
    <row r="97" spans="1:27" ht="243.75" customHeight="1" x14ac:dyDescent="0.15">
      <c r="B97" s="119" t="s">
        <v>50</v>
      </c>
      <c r="C97" s="89" t="s">
        <v>51</v>
      </c>
      <c r="D97" s="122" t="s">
        <v>170</v>
      </c>
      <c r="E97" s="123"/>
      <c r="F97" s="123"/>
      <c r="G97" s="123"/>
      <c r="H97" s="123"/>
      <c r="I97" s="123"/>
      <c r="J97" s="123"/>
      <c r="K97" s="123"/>
      <c r="L97" s="123"/>
      <c r="M97" s="123"/>
      <c r="N97" s="123"/>
      <c r="O97" s="123"/>
      <c r="P97" s="123"/>
      <c r="Q97" s="123"/>
      <c r="R97" s="123"/>
      <c r="S97" s="124"/>
    </row>
    <row r="98" spans="1:27" ht="185.25" customHeight="1" x14ac:dyDescent="0.15">
      <c r="B98" s="120"/>
      <c r="C98" s="92" t="s">
        <v>38</v>
      </c>
      <c r="D98" s="170" t="s">
        <v>161</v>
      </c>
      <c r="E98" s="171"/>
      <c r="F98" s="171"/>
      <c r="G98" s="171"/>
      <c r="H98" s="171"/>
      <c r="I98" s="171"/>
      <c r="J98" s="171"/>
      <c r="K98" s="171"/>
      <c r="L98" s="171"/>
      <c r="M98" s="171"/>
      <c r="N98" s="171"/>
      <c r="O98" s="171"/>
      <c r="P98" s="171"/>
      <c r="Q98" s="171"/>
      <c r="R98" s="171"/>
      <c r="S98" s="172"/>
      <c r="U98" s="1" t="s">
        <v>159</v>
      </c>
      <c r="AA98" s="1" t="s">
        <v>160</v>
      </c>
    </row>
    <row r="99" spans="1:27" ht="189" customHeight="1" x14ac:dyDescent="0.15">
      <c r="B99" s="121"/>
      <c r="C99" s="91" t="s">
        <v>39</v>
      </c>
      <c r="D99" s="125" t="s">
        <v>171</v>
      </c>
      <c r="E99" s="126"/>
      <c r="F99" s="126"/>
      <c r="G99" s="126"/>
      <c r="H99" s="126"/>
      <c r="I99" s="126"/>
      <c r="J99" s="126"/>
      <c r="K99" s="126"/>
      <c r="L99" s="126"/>
      <c r="M99" s="126"/>
      <c r="N99" s="126"/>
      <c r="O99" s="126"/>
      <c r="P99" s="126"/>
      <c r="Q99" s="126"/>
      <c r="R99" s="126"/>
      <c r="S99" s="127"/>
    </row>
    <row r="100" spans="1:27" ht="6" customHeight="1" x14ac:dyDescent="0.15"/>
    <row r="101" spans="1:27" ht="18.75" customHeight="1" x14ac:dyDescent="0.15">
      <c r="A101" s="1" t="s">
        <v>52</v>
      </c>
    </row>
    <row r="102" spans="1:27" ht="81.75" customHeight="1" x14ac:dyDescent="0.15">
      <c r="B102" s="154" t="s">
        <v>53</v>
      </c>
      <c r="C102" s="155"/>
      <c r="D102" s="155"/>
      <c r="E102" s="155"/>
      <c r="F102" s="155"/>
      <c r="G102" s="155"/>
      <c r="H102" s="155"/>
      <c r="I102" s="155"/>
      <c r="J102" s="155"/>
      <c r="K102" s="155"/>
      <c r="L102" s="155"/>
      <c r="M102" s="155"/>
      <c r="N102" s="155"/>
      <c r="O102" s="155"/>
      <c r="P102" s="155"/>
      <c r="Q102" s="155"/>
      <c r="R102" s="155"/>
      <c r="S102" s="156"/>
    </row>
    <row r="110" spans="1:27" ht="18" customHeight="1" x14ac:dyDescent="0.15"/>
  </sheetData>
  <mergeCells count="143">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B60:E60"/>
    <mergeCell ref="B61:E61"/>
    <mergeCell ref="B62:E62"/>
    <mergeCell ref="B63:E63"/>
    <mergeCell ref="B64:E64"/>
    <mergeCell ref="J46:O46"/>
    <mergeCell ref="F78:I78"/>
    <mergeCell ref="J78:O78"/>
    <mergeCell ref="B69:D69"/>
    <mergeCell ref="B70:D70"/>
    <mergeCell ref="J53:O53"/>
    <mergeCell ref="J70:N70"/>
    <mergeCell ref="J71:N71"/>
    <mergeCell ref="B82:E82"/>
    <mergeCell ref="F81:I81"/>
    <mergeCell ref="F82:I82"/>
    <mergeCell ref="J81:O81"/>
    <mergeCell ref="J82:O82"/>
    <mergeCell ref="J72:N72"/>
    <mergeCell ref="B73:D73"/>
    <mergeCell ref="J73:N73"/>
    <mergeCell ref="B74:D74"/>
    <mergeCell ref="B75:D75"/>
    <mergeCell ref="B97:B99"/>
    <mergeCell ref="D97:S97"/>
    <mergeCell ref="D99:S99"/>
    <mergeCell ref="B95:B96"/>
    <mergeCell ref="D95:S95"/>
    <mergeCell ref="B49:E49"/>
    <mergeCell ref="A55:S56"/>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47:I53 Q25:S31 G25:I31 Q36:S42 G58:I64 Q47:S53 G36:I42 Q58:S64 P69:S75 F69:I75" xr:uid="{00000000-0002-0000-0000-000000000000}">
      <formula1>"○"</formula1>
    </dataValidation>
    <dataValidation type="list" allowBlank="1" showInputMessage="1" showErrorMessage="1" sqref="S32 S43 D32:G32 D43:G43" xr:uid="{00000000-0002-0000-0000-000001000000}">
      <formula1>"全学開講,一部開講"</formula1>
    </dataValidation>
    <dataValidation type="list" allowBlank="1" showInputMessage="1" showErrorMessage="1" sqref="K7 K12" xr:uid="{00000000-0002-0000-0000-000002000000}">
      <formula1>"学部・学科によって、修了要件は相違する,学部・学科によって、修了要件は相違しない"</formula1>
    </dataValidation>
    <dataValidation type="list" allowBlank="1" showInputMessage="1" showErrorMessage="1" sqref="F79:F86 P79:P86 G79:I80 G83:I86 Q83:S86 Q79:S80" xr:uid="{00000000-0002-0000-00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00000000-0002-0000-0000-000004000000}">
      <formula1>$V$14:$V$16</formula1>
    </dataValidation>
  </dataValidations>
  <printOptions horizontalCentered="1"/>
  <pageMargins left="0.78740157480314965" right="0.78740157480314965" top="0.78740157480314965" bottom="0.19685039370078741" header="0.31496062992125984" footer="0.19685039370078741"/>
  <pageSetup paperSize="9" scale="74" orientation="portrait" r:id="rId1"/>
  <headerFooter>
    <oddHeader>&amp;C数理・データサイエンス・AI教育プログラム認定制度【リテラシーレベル】</oddHeader>
  </headerFooter>
  <rowBreaks count="3" manualBreakCount="3">
    <brk id="54" max="18" man="1"/>
    <brk id="86" max="18" man="1"/>
    <brk id="96"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S32"/>
  <sheetViews>
    <sheetView view="pageBreakPreview" topLeftCell="A19" zoomScaleNormal="100" zoomScaleSheetLayoutView="100" workbookViewId="0">
      <selection activeCell="B13" sqref="B13"/>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54</v>
      </c>
    </row>
    <row r="2" spans="1:45" ht="18" customHeight="1" x14ac:dyDescent="0.15">
      <c r="K2" s="2"/>
      <c r="Q2" s="2"/>
      <c r="W2" s="2"/>
      <c r="AC2" s="2"/>
      <c r="AI2" s="2"/>
      <c r="AL2" s="2" t="s">
        <v>2</v>
      </c>
      <c r="AM2" s="202" t="str">
        <f>'様式１　プログラムを構成する授業科目'!C2</f>
        <v>大阪樟蔭女子大学</v>
      </c>
      <c r="AN2" s="202"/>
      <c r="AO2" s="202"/>
      <c r="AP2" s="202"/>
      <c r="AQ2" s="202"/>
    </row>
    <row r="3" spans="1:45" ht="18" customHeight="1" x14ac:dyDescent="0.15">
      <c r="A3" s="180" t="s">
        <v>55</v>
      </c>
      <c r="B3" s="180"/>
      <c r="C3" s="180"/>
      <c r="D3" s="180"/>
      <c r="E3" s="180"/>
      <c r="F3" s="180"/>
      <c r="G3" s="180"/>
      <c r="H3" s="180"/>
      <c r="I3" s="180"/>
      <c r="J3" s="180"/>
      <c r="K3" s="180"/>
      <c r="L3" s="180"/>
      <c r="M3" s="180"/>
      <c r="N3" s="180"/>
      <c r="O3" s="180"/>
      <c r="P3" s="180"/>
      <c r="Q3" s="180"/>
      <c r="R3" s="180"/>
      <c r="S3" s="180"/>
      <c r="T3" s="180"/>
      <c r="U3" s="180"/>
      <c r="V3" s="180"/>
      <c r="W3" s="180"/>
      <c r="X3" s="180"/>
      <c r="Y3" s="180"/>
      <c r="Z3" s="180"/>
      <c r="AA3" s="180"/>
      <c r="AB3" s="180"/>
      <c r="AC3" s="180"/>
      <c r="AD3" s="180"/>
      <c r="AE3" s="180"/>
      <c r="AF3" s="180"/>
      <c r="AG3" s="180"/>
      <c r="AH3" s="180"/>
      <c r="AI3" s="180"/>
      <c r="AJ3" s="180"/>
      <c r="AK3" s="180"/>
      <c r="AL3" s="180"/>
      <c r="AM3" s="180"/>
      <c r="AN3" s="180"/>
      <c r="AO3" s="180"/>
      <c r="AP3" s="180"/>
      <c r="AQ3" s="180"/>
    </row>
    <row r="4" spans="1:45" ht="7.5" customHeight="1" x14ac:dyDescent="0.15">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row>
    <row r="5" spans="1:45" ht="18" customHeight="1" x14ac:dyDescent="0.15">
      <c r="A5" s="1" t="s">
        <v>56</v>
      </c>
      <c r="C5" s="177" t="s">
        <v>57</v>
      </c>
      <c r="D5" s="179"/>
      <c r="E5" s="6" t="s">
        <v>58</v>
      </c>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31"/>
      <c r="AQ5" s="31"/>
    </row>
    <row r="6" spans="1:45" ht="6" customHeight="1" x14ac:dyDescent="0.15">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row>
    <row r="7" spans="1:45" ht="18" customHeight="1" x14ac:dyDescent="0.15">
      <c r="A7" s="1" t="s">
        <v>59</v>
      </c>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row>
    <row r="8" spans="1:45" ht="6" customHeight="1" x14ac:dyDescent="0.15">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row>
    <row r="9" spans="1:45" ht="18" customHeight="1" x14ac:dyDescent="0.15">
      <c r="B9" s="203" t="s">
        <v>60</v>
      </c>
      <c r="C9" s="218" t="s">
        <v>61</v>
      </c>
      <c r="D9" s="206" t="s">
        <v>62</v>
      </c>
      <c r="E9" s="209" t="s">
        <v>63</v>
      </c>
      <c r="F9" s="199" t="s">
        <v>64</v>
      </c>
      <c r="G9" s="199"/>
      <c r="H9" s="199"/>
      <c r="I9" s="199"/>
      <c r="J9" s="199"/>
      <c r="K9" s="199"/>
      <c r="L9" s="199" t="s">
        <v>65</v>
      </c>
      <c r="M9" s="199"/>
      <c r="N9" s="199"/>
      <c r="O9" s="199"/>
      <c r="P9" s="199"/>
      <c r="Q9" s="199"/>
      <c r="R9" s="199" t="s">
        <v>66</v>
      </c>
      <c r="S9" s="199"/>
      <c r="T9" s="199"/>
      <c r="U9" s="199"/>
      <c r="V9" s="199"/>
      <c r="W9" s="199"/>
      <c r="X9" s="199" t="s">
        <v>67</v>
      </c>
      <c r="Y9" s="199"/>
      <c r="Z9" s="199"/>
      <c r="AA9" s="199"/>
      <c r="AB9" s="199"/>
      <c r="AC9" s="199"/>
      <c r="AD9" s="199" t="s">
        <v>68</v>
      </c>
      <c r="AE9" s="199"/>
      <c r="AF9" s="199"/>
      <c r="AG9" s="199"/>
      <c r="AH9" s="199"/>
      <c r="AI9" s="199"/>
      <c r="AJ9" s="199" t="s">
        <v>69</v>
      </c>
      <c r="AK9" s="199"/>
      <c r="AL9" s="199"/>
      <c r="AM9" s="199"/>
      <c r="AN9" s="199"/>
      <c r="AO9" s="199"/>
      <c r="AP9" s="212" t="s">
        <v>70</v>
      </c>
      <c r="AQ9" s="215" t="s">
        <v>71</v>
      </c>
      <c r="AS9" s="21"/>
    </row>
    <row r="10" spans="1:45" ht="16.899999999999999" customHeight="1" x14ac:dyDescent="0.15">
      <c r="B10" s="204"/>
      <c r="C10" s="219"/>
      <c r="D10" s="207"/>
      <c r="E10" s="210"/>
      <c r="F10" s="200" t="s">
        <v>72</v>
      </c>
      <c r="G10" s="201"/>
      <c r="H10" s="201"/>
      <c r="I10" s="200" t="s">
        <v>73</v>
      </c>
      <c r="J10" s="201"/>
      <c r="K10" s="201"/>
      <c r="L10" s="200" t="s">
        <v>72</v>
      </c>
      <c r="M10" s="201"/>
      <c r="N10" s="201"/>
      <c r="O10" s="200" t="s">
        <v>73</v>
      </c>
      <c r="P10" s="201"/>
      <c r="Q10" s="201"/>
      <c r="R10" s="200" t="s">
        <v>72</v>
      </c>
      <c r="S10" s="201"/>
      <c r="T10" s="201"/>
      <c r="U10" s="200" t="s">
        <v>73</v>
      </c>
      <c r="V10" s="201"/>
      <c r="W10" s="201"/>
      <c r="X10" s="200" t="s">
        <v>72</v>
      </c>
      <c r="Y10" s="201"/>
      <c r="Z10" s="201"/>
      <c r="AA10" s="200" t="s">
        <v>73</v>
      </c>
      <c r="AB10" s="201"/>
      <c r="AC10" s="201"/>
      <c r="AD10" s="200" t="s">
        <v>72</v>
      </c>
      <c r="AE10" s="201"/>
      <c r="AF10" s="201"/>
      <c r="AG10" s="200" t="s">
        <v>73</v>
      </c>
      <c r="AH10" s="201"/>
      <c r="AI10" s="201"/>
      <c r="AJ10" s="200" t="s">
        <v>72</v>
      </c>
      <c r="AK10" s="201"/>
      <c r="AL10" s="201"/>
      <c r="AM10" s="200" t="s">
        <v>73</v>
      </c>
      <c r="AN10" s="201"/>
      <c r="AO10" s="201"/>
      <c r="AP10" s="213"/>
      <c r="AQ10" s="216"/>
      <c r="AS10" s="21"/>
    </row>
    <row r="11" spans="1:45" ht="18" customHeight="1" x14ac:dyDescent="0.15">
      <c r="B11" s="205"/>
      <c r="C11" s="220"/>
      <c r="D11" s="208"/>
      <c r="E11" s="211"/>
      <c r="F11" s="32" t="s">
        <v>74</v>
      </c>
      <c r="G11" s="33" t="s">
        <v>75</v>
      </c>
      <c r="H11" s="34" t="s">
        <v>76</v>
      </c>
      <c r="I11" s="32" t="s">
        <v>74</v>
      </c>
      <c r="J11" s="33" t="s">
        <v>75</v>
      </c>
      <c r="K11" s="34" t="s">
        <v>76</v>
      </c>
      <c r="L11" s="32" t="s">
        <v>74</v>
      </c>
      <c r="M11" s="33" t="s">
        <v>75</v>
      </c>
      <c r="N11" s="34" t="s">
        <v>76</v>
      </c>
      <c r="O11" s="32" t="s">
        <v>74</v>
      </c>
      <c r="P11" s="33" t="s">
        <v>75</v>
      </c>
      <c r="Q11" s="34" t="s">
        <v>76</v>
      </c>
      <c r="R11" s="32" t="s">
        <v>74</v>
      </c>
      <c r="S11" s="33" t="s">
        <v>75</v>
      </c>
      <c r="T11" s="34" t="s">
        <v>76</v>
      </c>
      <c r="U11" s="32" t="s">
        <v>74</v>
      </c>
      <c r="V11" s="33" t="s">
        <v>75</v>
      </c>
      <c r="W11" s="34" t="s">
        <v>76</v>
      </c>
      <c r="X11" s="32" t="s">
        <v>74</v>
      </c>
      <c r="Y11" s="33" t="s">
        <v>75</v>
      </c>
      <c r="Z11" s="34" t="s">
        <v>76</v>
      </c>
      <c r="AA11" s="32" t="s">
        <v>74</v>
      </c>
      <c r="AB11" s="33" t="s">
        <v>75</v>
      </c>
      <c r="AC11" s="34" t="s">
        <v>76</v>
      </c>
      <c r="AD11" s="32" t="s">
        <v>74</v>
      </c>
      <c r="AE11" s="33" t="s">
        <v>75</v>
      </c>
      <c r="AF11" s="34" t="s">
        <v>76</v>
      </c>
      <c r="AG11" s="32" t="s">
        <v>74</v>
      </c>
      <c r="AH11" s="33" t="s">
        <v>75</v>
      </c>
      <c r="AI11" s="34" t="s">
        <v>76</v>
      </c>
      <c r="AJ11" s="32" t="s">
        <v>74</v>
      </c>
      <c r="AK11" s="33" t="s">
        <v>75</v>
      </c>
      <c r="AL11" s="34" t="s">
        <v>76</v>
      </c>
      <c r="AM11" s="32" t="s">
        <v>74</v>
      </c>
      <c r="AN11" s="33" t="s">
        <v>75</v>
      </c>
      <c r="AO11" s="34" t="s">
        <v>76</v>
      </c>
      <c r="AP11" s="214"/>
      <c r="AQ11" s="217"/>
      <c r="AS11" s="21"/>
    </row>
    <row r="12" spans="1:45" ht="18" customHeight="1" x14ac:dyDescent="0.15">
      <c r="A12" s="31"/>
      <c r="B12" s="35" t="s">
        <v>77</v>
      </c>
      <c r="C12" s="36">
        <v>1510</v>
      </c>
      <c r="D12" s="37">
        <v>360</v>
      </c>
      <c r="E12" s="38">
        <v>1440</v>
      </c>
      <c r="F12" s="38">
        <f>G12+H12</f>
        <v>36</v>
      </c>
      <c r="G12" s="39">
        <v>0</v>
      </c>
      <c r="H12" s="40">
        <v>36</v>
      </c>
      <c r="I12" s="38">
        <f>J12+K12</f>
        <v>28</v>
      </c>
      <c r="J12" s="39">
        <v>0</v>
      </c>
      <c r="K12" s="40">
        <v>28</v>
      </c>
      <c r="L12" s="41">
        <f>M12+N12</f>
        <v>0</v>
      </c>
      <c r="M12" s="42"/>
      <c r="N12" s="43"/>
      <c r="O12" s="41">
        <f>P12+Q12</f>
        <v>0</v>
      </c>
      <c r="P12" s="42"/>
      <c r="Q12" s="43"/>
      <c r="R12" s="41">
        <f>S12+T12</f>
        <v>0</v>
      </c>
      <c r="S12" s="42"/>
      <c r="T12" s="43"/>
      <c r="U12" s="41">
        <f>V12+W12</f>
        <v>0</v>
      </c>
      <c r="V12" s="42"/>
      <c r="W12" s="43"/>
      <c r="X12" s="41">
        <f>Y12+Z12</f>
        <v>0</v>
      </c>
      <c r="Y12" s="42"/>
      <c r="Z12" s="43"/>
      <c r="AA12" s="41">
        <f>AB12+AC12</f>
        <v>0</v>
      </c>
      <c r="AB12" s="42"/>
      <c r="AC12" s="43"/>
      <c r="AD12" s="41">
        <f>AE12+AF12</f>
        <v>0</v>
      </c>
      <c r="AE12" s="42"/>
      <c r="AF12" s="43"/>
      <c r="AG12" s="41">
        <f>AH12+AI12</f>
        <v>0</v>
      </c>
      <c r="AH12" s="42"/>
      <c r="AI12" s="43"/>
      <c r="AJ12" s="41">
        <f>AK12+AL12</f>
        <v>0</v>
      </c>
      <c r="AK12" s="42"/>
      <c r="AL12" s="43"/>
      <c r="AM12" s="41">
        <f>AN12+AO12</f>
        <v>0</v>
      </c>
      <c r="AN12" s="42"/>
      <c r="AO12" s="43"/>
      <c r="AP12" s="44">
        <f>F12+L12+R12+X12+AD12+AJ12</f>
        <v>36</v>
      </c>
      <c r="AQ12" s="45">
        <f t="shared" ref="AQ12:AQ32" si="0">AP12/E12</f>
        <v>2.5000000000000001E-2</v>
      </c>
    </row>
    <row r="13" spans="1:45" ht="18" customHeight="1" x14ac:dyDescent="0.15">
      <c r="A13" s="31"/>
      <c r="B13" s="46" t="s">
        <v>78</v>
      </c>
      <c r="C13" s="47">
        <v>420</v>
      </c>
      <c r="D13" s="48">
        <v>170</v>
      </c>
      <c r="E13" s="49">
        <v>680</v>
      </c>
      <c r="F13" s="50">
        <f t="shared" ref="F13:F31" si="1">G13+H13</f>
        <v>0</v>
      </c>
      <c r="G13" s="51">
        <v>0</v>
      </c>
      <c r="H13" s="52">
        <v>0</v>
      </c>
      <c r="I13" s="50">
        <f t="shared" ref="I13:I31" si="2">J13+K13</f>
        <v>0</v>
      </c>
      <c r="J13" s="51">
        <v>0</v>
      </c>
      <c r="K13" s="52">
        <v>0</v>
      </c>
      <c r="L13" s="53">
        <f t="shared" ref="L13:L31" si="3">M13+N13</f>
        <v>0</v>
      </c>
      <c r="M13" s="54"/>
      <c r="N13" s="55"/>
      <c r="O13" s="53">
        <f t="shared" ref="O13:O31" si="4">P13+Q13</f>
        <v>0</v>
      </c>
      <c r="P13" s="54"/>
      <c r="Q13" s="55"/>
      <c r="R13" s="53">
        <f t="shared" ref="R13:R31" si="5">S13+T13</f>
        <v>0</v>
      </c>
      <c r="S13" s="54"/>
      <c r="T13" s="55"/>
      <c r="U13" s="53">
        <f t="shared" ref="U13:U31" si="6">V13+W13</f>
        <v>0</v>
      </c>
      <c r="V13" s="54"/>
      <c r="W13" s="55"/>
      <c r="X13" s="53">
        <f t="shared" ref="X13:X31" si="7">Y13+Z13</f>
        <v>0</v>
      </c>
      <c r="Y13" s="54"/>
      <c r="Z13" s="55"/>
      <c r="AA13" s="53">
        <f t="shared" ref="AA13:AA31" si="8">AB13+AC13</f>
        <v>0</v>
      </c>
      <c r="AB13" s="54"/>
      <c r="AC13" s="55"/>
      <c r="AD13" s="53">
        <f t="shared" ref="AD13:AD31" si="9">AE13+AF13</f>
        <v>0</v>
      </c>
      <c r="AE13" s="54"/>
      <c r="AF13" s="55"/>
      <c r="AG13" s="53">
        <f t="shared" ref="AG13:AG31" si="10">AH13+AI13</f>
        <v>0</v>
      </c>
      <c r="AH13" s="54"/>
      <c r="AI13" s="55"/>
      <c r="AJ13" s="53">
        <f t="shared" ref="AJ13:AJ31" si="11">AK13+AL13</f>
        <v>0</v>
      </c>
      <c r="AK13" s="54"/>
      <c r="AL13" s="55"/>
      <c r="AM13" s="53">
        <f t="shared" ref="AM13:AM31" si="12">AN13+AO13</f>
        <v>0</v>
      </c>
      <c r="AN13" s="54"/>
      <c r="AO13" s="55"/>
      <c r="AP13" s="56">
        <f t="shared" ref="AP13:AP31" si="13">F13+L13+R13+X13+AD13+AJ13</f>
        <v>0</v>
      </c>
      <c r="AQ13" s="57">
        <f t="shared" si="0"/>
        <v>0</v>
      </c>
    </row>
    <row r="14" spans="1:45" ht="18" customHeight="1" x14ac:dyDescent="0.15">
      <c r="A14" s="31"/>
      <c r="B14" s="46" t="s">
        <v>79</v>
      </c>
      <c r="C14" s="47">
        <v>493</v>
      </c>
      <c r="D14" s="48">
        <v>160</v>
      </c>
      <c r="E14" s="49">
        <v>640</v>
      </c>
      <c r="F14" s="50">
        <f t="shared" si="1"/>
        <v>1</v>
      </c>
      <c r="G14" s="51">
        <v>0</v>
      </c>
      <c r="H14" s="52">
        <v>1</v>
      </c>
      <c r="I14" s="50">
        <f t="shared" si="2"/>
        <v>0</v>
      </c>
      <c r="J14" s="51">
        <v>0</v>
      </c>
      <c r="K14" s="52">
        <v>0</v>
      </c>
      <c r="L14" s="53">
        <f t="shared" si="3"/>
        <v>0</v>
      </c>
      <c r="M14" s="54"/>
      <c r="N14" s="55"/>
      <c r="O14" s="53">
        <f t="shared" si="4"/>
        <v>0</v>
      </c>
      <c r="P14" s="54"/>
      <c r="Q14" s="55"/>
      <c r="R14" s="53">
        <f t="shared" si="5"/>
        <v>0</v>
      </c>
      <c r="S14" s="54"/>
      <c r="T14" s="55"/>
      <c r="U14" s="53">
        <f t="shared" si="6"/>
        <v>0</v>
      </c>
      <c r="V14" s="54"/>
      <c r="W14" s="55"/>
      <c r="X14" s="53">
        <f t="shared" si="7"/>
        <v>0</v>
      </c>
      <c r="Y14" s="54"/>
      <c r="Z14" s="55"/>
      <c r="AA14" s="53">
        <f t="shared" si="8"/>
        <v>0</v>
      </c>
      <c r="AB14" s="54"/>
      <c r="AC14" s="55"/>
      <c r="AD14" s="53">
        <f t="shared" si="9"/>
        <v>0</v>
      </c>
      <c r="AE14" s="54"/>
      <c r="AF14" s="55"/>
      <c r="AG14" s="53">
        <f t="shared" si="10"/>
        <v>0</v>
      </c>
      <c r="AH14" s="54"/>
      <c r="AI14" s="55"/>
      <c r="AJ14" s="53">
        <f t="shared" si="11"/>
        <v>0</v>
      </c>
      <c r="AK14" s="54"/>
      <c r="AL14" s="55"/>
      <c r="AM14" s="53">
        <f t="shared" si="12"/>
        <v>0</v>
      </c>
      <c r="AN14" s="54"/>
      <c r="AO14" s="55"/>
      <c r="AP14" s="56">
        <f t="shared" si="13"/>
        <v>1</v>
      </c>
      <c r="AQ14" s="58">
        <f t="shared" si="0"/>
        <v>1.5625000000000001E-3</v>
      </c>
    </row>
    <row r="15" spans="1:45" ht="18" customHeight="1" x14ac:dyDescent="0.15">
      <c r="A15" s="31"/>
      <c r="B15" s="46"/>
      <c r="C15" s="59"/>
      <c r="D15" s="56"/>
      <c r="E15" s="60"/>
      <c r="F15" s="53">
        <f t="shared" si="1"/>
        <v>0</v>
      </c>
      <c r="G15" s="54"/>
      <c r="H15" s="55"/>
      <c r="I15" s="53">
        <f t="shared" si="2"/>
        <v>0</v>
      </c>
      <c r="J15" s="54"/>
      <c r="K15" s="55"/>
      <c r="L15" s="53">
        <f t="shared" si="3"/>
        <v>0</v>
      </c>
      <c r="M15" s="54"/>
      <c r="N15" s="55"/>
      <c r="O15" s="53">
        <f t="shared" si="4"/>
        <v>0</v>
      </c>
      <c r="P15" s="54"/>
      <c r="Q15" s="55"/>
      <c r="R15" s="53">
        <f t="shared" si="5"/>
        <v>0</v>
      </c>
      <c r="S15" s="54"/>
      <c r="T15" s="55"/>
      <c r="U15" s="53">
        <f t="shared" si="6"/>
        <v>0</v>
      </c>
      <c r="V15" s="54"/>
      <c r="W15" s="55"/>
      <c r="X15" s="53">
        <f t="shared" si="7"/>
        <v>0</v>
      </c>
      <c r="Y15" s="54"/>
      <c r="Z15" s="55"/>
      <c r="AA15" s="53">
        <f t="shared" si="8"/>
        <v>0</v>
      </c>
      <c r="AB15" s="54"/>
      <c r="AC15" s="55"/>
      <c r="AD15" s="53">
        <f t="shared" si="9"/>
        <v>0</v>
      </c>
      <c r="AE15" s="54"/>
      <c r="AF15" s="55"/>
      <c r="AG15" s="53">
        <f t="shared" si="10"/>
        <v>0</v>
      </c>
      <c r="AH15" s="54"/>
      <c r="AI15" s="55"/>
      <c r="AJ15" s="53">
        <f t="shared" si="11"/>
        <v>0</v>
      </c>
      <c r="AK15" s="54"/>
      <c r="AL15" s="55"/>
      <c r="AM15" s="53">
        <f t="shared" si="12"/>
        <v>0</v>
      </c>
      <c r="AN15" s="54"/>
      <c r="AO15" s="55"/>
      <c r="AP15" s="56">
        <f t="shared" si="13"/>
        <v>0</v>
      </c>
      <c r="AQ15" s="58" t="e">
        <f t="shared" si="0"/>
        <v>#DIV/0!</v>
      </c>
    </row>
    <row r="16" spans="1:45" ht="18" customHeight="1" x14ac:dyDescent="0.15">
      <c r="A16" s="31"/>
      <c r="B16" s="46"/>
      <c r="C16" s="59"/>
      <c r="D16" s="56"/>
      <c r="E16" s="60"/>
      <c r="F16" s="53">
        <f t="shared" si="1"/>
        <v>0</v>
      </c>
      <c r="G16" s="54"/>
      <c r="H16" s="55"/>
      <c r="I16" s="53">
        <f t="shared" si="2"/>
        <v>0</v>
      </c>
      <c r="J16" s="54"/>
      <c r="K16" s="55"/>
      <c r="L16" s="53">
        <f t="shared" si="3"/>
        <v>0</v>
      </c>
      <c r="M16" s="54"/>
      <c r="N16" s="55"/>
      <c r="O16" s="53">
        <f t="shared" si="4"/>
        <v>0</v>
      </c>
      <c r="P16" s="54"/>
      <c r="Q16" s="55"/>
      <c r="R16" s="53">
        <f t="shared" si="5"/>
        <v>0</v>
      </c>
      <c r="S16" s="54"/>
      <c r="T16" s="55"/>
      <c r="U16" s="53">
        <f t="shared" si="6"/>
        <v>0</v>
      </c>
      <c r="V16" s="54"/>
      <c r="W16" s="55"/>
      <c r="X16" s="53">
        <f t="shared" si="7"/>
        <v>0</v>
      </c>
      <c r="Y16" s="54"/>
      <c r="Z16" s="55"/>
      <c r="AA16" s="53">
        <f t="shared" si="8"/>
        <v>0</v>
      </c>
      <c r="AB16" s="54"/>
      <c r="AC16" s="55"/>
      <c r="AD16" s="53">
        <f t="shared" si="9"/>
        <v>0</v>
      </c>
      <c r="AE16" s="54"/>
      <c r="AF16" s="55"/>
      <c r="AG16" s="53">
        <f t="shared" si="10"/>
        <v>0</v>
      </c>
      <c r="AH16" s="54"/>
      <c r="AI16" s="55"/>
      <c r="AJ16" s="53">
        <f t="shared" si="11"/>
        <v>0</v>
      </c>
      <c r="AK16" s="54"/>
      <c r="AL16" s="55"/>
      <c r="AM16" s="53">
        <f t="shared" si="12"/>
        <v>0</v>
      </c>
      <c r="AN16" s="54"/>
      <c r="AO16" s="55"/>
      <c r="AP16" s="56">
        <f t="shared" si="13"/>
        <v>0</v>
      </c>
      <c r="AQ16" s="58" t="e">
        <f t="shared" si="0"/>
        <v>#DIV/0!</v>
      </c>
    </row>
    <row r="17" spans="1:43" ht="18" customHeight="1" x14ac:dyDescent="0.15">
      <c r="A17" s="31"/>
      <c r="B17" s="46"/>
      <c r="C17" s="59"/>
      <c r="D17" s="56"/>
      <c r="E17" s="60"/>
      <c r="F17" s="53">
        <f t="shared" si="1"/>
        <v>0</v>
      </c>
      <c r="G17" s="54"/>
      <c r="H17" s="55"/>
      <c r="I17" s="53">
        <f t="shared" si="2"/>
        <v>0</v>
      </c>
      <c r="J17" s="54"/>
      <c r="K17" s="55"/>
      <c r="L17" s="53">
        <f t="shared" si="3"/>
        <v>0</v>
      </c>
      <c r="M17" s="54"/>
      <c r="N17" s="55"/>
      <c r="O17" s="53">
        <f t="shared" si="4"/>
        <v>0</v>
      </c>
      <c r="P17" s="54"/>
      <c r="Q17" s="55"/>
      <c r="R17" s="53">
        <f t="shared" si="5"/>
        <v>0</v>
      </c>
      <c r="S17" s="54"/>
      <c r="T17" s="55"/>
      <c r="U17" s="53">
        <f t="shared" si="6"/>
        <v>0</v>
      </c>
      <c r="V17" s="54"/>
      <c r="W17" s="55"/>
      <c r="X17" s="53">
        <f t="shared" si="7"/>
        <v>0</v>
      </c>
      <c r="Y17" s="54"/>
      <c r="Z17" s="55"/>
      <c r="AA17" s="53">
        <f t="shared" si="8"/>
        <v>0</v>
      </c>
      <c r="AB17" s="54"/>
      <c r="AC17" s="55"/>
      <c r="AD17" s="53">
        <f t="shared" si="9"/>
        <v>0</v>
      </c>
      <c r="AE17" s="54"/>
      <c r="AF17" s="55"/>
      <c r="AG17" s="53">
        <f t="shared" si="10"/>
        <v>0</v>
      </c>
      <c r="AH17" s="54"/>
      <c r="AI17" s="55"/>
      <c r="AJ17" s="53">
        <f t="shared" si="11"/>
        <v>0</v>
      </c>
      <c r="AK17" s="54"/>
      <c r="AL17" s="55"/>
      <c r="AM17" s="53">
        <f t="shared" si="12"/>
        <v>0</v>
      </c>
      <c r="AN17" s="54"/>
      <c r="AO17" s="55"/>
      <c r="AP17" s="56">
        <f t="shared" si="13"/>
        <v>0</v>
      </c>
      <c r="AQ17" s="58" t="e">
        <f t="shared" si="0"/>
        <v>#DIV/0!</v>
      </c>
    </row>
    <row r="18" spans="1:43" ht="18" customHeight="1" x14ac:dyDescent="0.15">
      <c r="A18" s="31"/>
      <c r="B18" s="46"/>
      <c r="C18" s="59"/>
      <c r="D18" s="56"/>
      <c r="E18" s="60"/>
      <c r="F18" s="53">
        <f t="shared" si="1"/>
        <v>0</v>
      </c>
      <c r="G18" s="54"/>
      <c r="H18" s="55"/>
      <c r="I18" s="53">
        <f t="shared" si="2"/>
        <v>0</v>
      </c>
      <c r="J18" s="54"/>
      <c r="K18" s="55"/>
      <c r="L18" s="53">
        <f t="shared" si="3"/>
        <v>0</v>
      </c>
      <c r="M18" s="54"/>
      <c r="N18" s="55"/>
      <c r="O18" s="53">
        <f t="shared" si="4"/>
        <v>0</v>
      </c>
      <c r="P18" s="54"/>
      <c r="Q18" s="55"/>
      <c r="R18" s="53">
        <f t="shared" si="5"/>
        <v>0</v>
      </c>
      <c r="S18" s="54"/>
      <c r="T18" s="55"/>
      <c r="U18" s="53">
        <f t="shared" si="6"/>
        <v>0</v>
      </c>
      <c r="V18" s="54"/>
      <c r="W18" s="55"/>
      <c r="X18" s="53">
        <f t="shared" si="7"/>
        <v>0</v>
      </c>
      <c r="Y18" s="54"/>
      <c r="Z18" s="55"/>
      <c r="AA18" s="53">
        <f t="shared" si="8"/>
        <v>0</v>
      </c>
      <c r="AB18" s="54"/>
      <c r="AC18" s="55"/>
      <c r="AD18" s="53">
        <f t="shared" si="9"/>
        <v>0</v>
      </c>
      <c r="AE18" s="54"/>
      <c r="AF18" s="55"/>
      <c r="AG18" s="53">
        <f t="shared" si="10"/>
        <v>0</v>
      </c>
      <c r="AH18" s="54"/>
      <c r="AI18" s="55"/>
      <c r="AJ18" s="53">
        <f t="shared" si="11"/>
        <v>0</v>
      </c>
      <c r="AK18" s="54"/>
      <c r="AL18" s="55"/>
      <c r="AM18" s="53">
        <f t="shared" si="12"/>
        <v>0</v>
      </c>
      <c r="AN18" s="54"/>
      <c r="AO18" s="55"/>
      <c r="AP18" s="56">
        <f t="shared" si="13"/>
        <v>0</v>
      </c>
      <c r="AQ18" s="58" t="e">
        <f t="shared" si="0"/>
        <v>#DIV/0!</v>
      </c>
    </row>
    <row r="19" spans="1:43" ht="18" customHeight="1" x14ac:dyDescent="0.15">
      <c r="A19" s="31"/>
      <c r="B19" s="46"/>
      <c r="C19" s="59"/>
      <c r="D19" s="56"/>
      <c r="E19" s="60"/>
      <c r="F19" s="53">
        <f t="shared" si="1"/>
        <v>0</v>
      </c>
      <c r="G19" s="54"/>
      <c r="H19" s="55"/>
      <c r="I19" s="53">
        <f t="shared" si="2"/>
        <v>0</v>
      </c>
      <c r="J19" s="54"/>
      <c r="K19" s="55"/>
      <c r="L19" s="53">
        <f t="shared" si="3"/>
        <v>0</v>
      </c>
      <c r="M19" s="54"/>
      <c r="N19" s="55"/>
      <c r="O19" s="53">
        <f t="shared" si="4"/>
        <v>0</v>
      </c>
      <c r="P19" s="54"/>
      <c r="Q19" s="55"/>
      <c r="R19" s="53">
        <f t="shared" si="5"/>
        <v>0</v>
      </c>
      <c r="S19" s="54"/>
      <c r="T19" s="55"/>
      <c r="U19" s="53">
        <f t="shared" si="6"/>
        <v>0</v>
      </c>
      <c r="V19" s="54"/>
      <c r="W19" s="55"/>
      <c r="X19" s="53">
        <f t="shared" si="7"/>
        <v>0</v>
      </c>
      <c r="Y19" s="54"/>
      <c r="Z19" s="55"/>
      <c r="AA19" s="53">
        <f t="shared" si="8"/>
        <v>0</v>
      </c>
      <c r="AB19" s="54"/>
      <c r="AC19" s="55"/>
      <c r="AD19" s="53">
        <f t="shared" si="9"/>
        <v>0</v>
      </c>
      <c r="AE19" s="54"/>
      <c r="AF19" s="55"/>
      <c r="AG19" s="53">
        <f t="shared" si="10"/>
        <v>0</v>
      </c>
      <c r="AH19" s="54"/>
      <c r="AI19" s="55"/>
      <c r="AJ19" s="53">
        <f t="shared" si="11"/>
        <v>0</v>
      </c>
      <c r="AK19" s="54"/>
      <c r="AL19" s="55"/>
      <c r="AM19" s="53">
        <f t="shared" si="12"/>
        <v>0</v>
      </c>
      <c r="AN19" s="54"/>
      <c r="AO19" s="55"/>
      <c r="AP19" s="56">
        <f t="shared" si="13"/>
        <v>0</v>
      </c>
      <c r="AQ19" s="58" t="e">
        <f t="shared" si="0"/>
        <v>#DIV/0!</v>
      </c>
    </row>
    <row r="20" spans="1:43" ht="18" customHeight="1" x14ac:dyDescent="0.15">
      <c r="A20" s="31"/>
      <c r="B20" s="46"/>
      <c r="C20" s="59"/>
      <c r="D20" s="56"/>
      <c r="E20" s="60"/>
      <c r="F20" s="53">
        <f t="shared" si="1"/>
        <v>0</v>
      </c>
      <c r="G20" s="54"/>
      <c r="H20" s="55"/>
      <c r="I20" s="53">
        <f t="shared" si="2"/>
        <v>0</v>
      </c>
      <c r="J20" s="54"/>
      <c r="K20" s="55"/>
      <c r="L20" s="53">
        <f t="shared" si="3"/>
        <v>0</v>
      </c>
      <c r="M20" s="54"/>
      <c r="N20" s="55"/>
      <c r="O20" s="53">
        <f t="shared" si="4"/>
        <v>0</v>
      </c>
      <c r="P20" s="54"/>
      <c r="Q20" s="55"/>
      <c r="R20" s="53">
        <f t="shared" si="5"/>
        <v>0</v>
      </c>
      <c r="S20" s="54"/>
      <c r="T20" s="55"/>
      <c r="U20" s="53">
        <f t="shared" si="6"/>
        <v>0</v>
      </c>
      <c r="V20" s="54"/>
      <c r="W20" s="55"/>
      <c r="X20" s="53">
        <f t="shared" si="7"/>
        <v>0</v>
      </c>
      <c r="Y20" s="54"/>
      <c r="Z20" s="55"/>
      <c r="AA20" s="53">
        <f t="shared" si="8"/>
        <v>0</v>
      </c>
      <c r="AB20" s="54"/>
      <c r="AC20" s="55"/>
      <c r="AD20" s="53">
        <f t="shared" si="9"/>
        <v>0</v>
      </c>
      <c r="AE20" s="54"/>
      <c r="AF20" s="55"/>
      <c r="AG20" s="53">
        <f t="shared" si="10"/>
        <v>0</v>
      </c>
      <c r="AH20" s="54"/>
      <c r="AI20" s="55"/>
      <c r="AJ20" s="53">
        <f t="shared" si="11"/>
        <v>0</v>
      </c>
      <c r="AK20" s="54"/>
      <c r="AL20" s="55"/>
      <c r="AM20" s="53">
        <f t="shared" si="12"/>
        <v>0</v>
      </c>
      <c r="AN20" s="54"/>
      <c r="AO20" s="55"/>
      <c r="AP20" s="56">
        <f t="shared" si="13"/>
        <v>0</v>
      </c>
      <c r="AQ20" s="58" t="e">
        <f t="shared" si="0"/>
        <v>#DIV/0!</v>
      </c>
    </row>
    <row r="21" spans="1:43" ht="18" customHeight="1" x14ac:dyDescent="0.15">
      <c r="A21" s="31"/>
      <c r="B21" s="46"/>
      <c r="C21" s="59"/>
      <c r="D21" s="56"/>
      <c r="E21" s="60"/>
      <c r="F21" s="53">
        <f t="shared" si="1"/>
        <v>0</v>
      </c>
      <c r="G21" s="54"/>
      <c r="H21" s="55"/>
      <c r="I21" s="53">
        <f t="shared" si="2"/>
        <v>0</v>
      </c>
      <c r="J21" s="54"/>
      <c r="K21" s="55"/>
      <c r="L21" s="53">
        <f t="shared" si="3"/>
        <v>0</v>
      </c>
      <c r="M21" s="54"/>
      <c r="N21" s="55"/>
      <c r="O21" s="53">
        <f t="shared" si="4"/>
        <v>0</v>
      </c>
      <c r="P21" s="54"/>
      <c r="Q21" s="55"/>
      <c r="R21" s="53">
        <f t="shared" si="5"/>
        <v>0</v>
      </c>
      <c r="S21" s="54"/>
      <c r="T21" s="55"/>
      <c r="U21" s="53">
        <f t="shared" si="6"/>
        <v>0</v>
      </c>
      <c r="V21" s="54"/>
      <c r="W21" s="55"/>
      <c r="X21" s="53">
        <f t="shared" si="7"/>
        <v>0</v>
      </c>
      <c r="Y21" s="54"/>
      <c r="Z21" s="55"/>
      <c r="AA21" s="53">
        <f t="shared" si="8"/>
        <v>0</v>
      </c>
      <c r="AB21" s="54"/>
      <c r="AC21" s="55"/>
      <c r="AD21" s="53">
        <f t="shared" si="9"/>
        <v>0</v>
      </c>
      <c r="AE21" s="54"/>
      <c r="AF21" s="55"/>
      <c r="AG21" s="53">
        <f t="shared" si="10"/>
        <v>0</v>
      </c>
      <c r="AH21" s="54"/>
      <c r="AI21" s="55"/>
      <c r="AJ21" s="53">
        <f t="shared" si="11"/>
        <v>0</v>
      </c>
      <c r="AK21" s="54"/>
      <c r="AL21" s="55"/>
      <c r="AM21" s="53">
        <f t="shared" si="12"/>
        <v>0</v>
      </c>
      <c r="AN21" s="54"/>
      <c r="AO21" s="55"/>
      <c r="AP21" s="56">
        <f t="shared" si="13"/>
        <v>0</v>
      </c>
      <c r="AQ21" s="58" t="e">
        <f t="shared" si="0"/>
        <v>#DIV/0!</v>
      </c>
    </row>
    <row r="22" spans="1:43" ht="18" customHeight="1" x14ac:dyDescent="0.15">
      <c r="A22" s="31"/>
      <c r="B22" s="46"/>
      <c r="C22" s="59"/>
      <c r="D22" s="56"/>
      <c r="E22" s="60"/>
      <c r="F22" s="53">
        <f t="shared" si="1"/>
        <v>0</v>
      </c>
      <c r="G22" s="54"/>
      <c r="H22" s="55"/>
      <c r="I22" s="53">
        <f t="shared" si="2"/>
        <v>0</v>
      </c>
      <c r="J22" s="54"/>
      <c r="K22" s="55"/>
      <c r="L22" s="53">
        <f t="shared" si="3"/>
        <v>0</v>
      </c>
      <c r="M22" s="54"/>
      <c r="N22" s="55"/>
      <c r="O22" s="53">
        <f t="shared" si="4"/>
        <v>0</v>
      </c>
      <c r="P22" s="54"/>
      <c r="Q22" s="55"/>
      <c r="R22" s="53">
        <f t="shared" si="5"/>
        <v>0</v>
      </c>
      <c r="S22" s="54"/>
      <c r="T22" s="55"/>
      <c r="U22" s="53">
        <f t="shared" si="6"/>
        <v>0</v>
      </c>
      <c r="V22" s="54"/>
      <c r="W22" s="55"/>
      <c r="X22" s="53">
        <f t="shared" si="7"/>
        <v>0</v>
      </c>
      <c r="Y22" s="54"/>
      <c r="Z22" s="55"/>
      <c r="AA22" s="53">
        <f t="shared" si="8"/>
        <v>0</v>
      </c>
      <c r="AB22" s="54"/>
      <c r="AC22" s="55"/>
      <c r="AD22" s="53">
        <f t="shared" si="9"/>
        <v>0</v>
      </c>
      <c r="AE22" s="54"/>
      <c r="AF22" s="55"/>
      <c r="AG22" s="53">
        <f t="shared" si="10"/>
        <v>0</v>
      </c>
      <c r="AH22" s="54"/>
      <c r="AI22" s="55"/>
      <c r="AJ22" s="53">
        <f t="shared" si="11"/>
        <v>0</v>
      </c>
      <c r="AK22" s="54"/>
      <c r="AL22" s="55"/>
      <c r="AM22" s="53">
        <f t="shared" si="12"/>
        <v>0</v>
      </c>
      <c r="AN22" s="54"/>
      <c r="AO22" s="55"/>
      <c r="AP22" s="56">
        <f t="shared" si="13"/>
        <v>0</v>
      </c>
      <c r="AQ22" s="58" t="e">
        <f t="shared" si="0"/>
        <v>#DIV/0!</v>
      </c>
    </row>
    <row r="23" spans="1:43" ht="18" customHeight="1" x14ac:dyDescent="0.15">
      <c r="A23" s="31"/>
      <c r="B23" s="46"/>
      <c r="C23" s="59"/>
      <c r="D23" s="56"/>
      <c r="E23" s="60"/>
      <c r="F23" s="53">
        <f t="shared" si="1"/>
        <v>0</v>
      </c>
      <c r="G23" s="54"/>
      <c r="H23" s="55"/>
      <c r="I23" s="53">
        <f t="shared" si="2"/>
        <v>0</v>
      </c>
      <c r="J23" s="54"/>
      <c r="K23" s="55"/>
      <c r="L23" s="53">
        <f t="shared" si="3"/>
        <v>0</v>
      </c>
      <c r="M23" s="54"/>
      <c r="N23" s="55"/>
      <c r="O23" s="53">
        <f t="shared" si="4"/>
        <v>0</v>
      </c>
      <c r="P23" s="54"/>
      <c r="Q23" s="55"/>
      <c r="R23" s="53">
        <f t="shared" si="5"/>
        <v>0</v>
      </c>
      <c r="S23" s="54"/>
      <c r="T23" s="55"/>
      <c r="U23" s="53">
        <f t="shared" si="6"/>
        <v>0</v>
      </c>
      <c r="V23" s="54"/>
      <c r="W23" s="55"/>
      <c r="X23" s="53">
        <f t="shared" si="7"/>
        <v>0</v>
      </c>
      <c r="Y23" s="54"/>
      <c r="Z23" s="55"/>
      <c r="AA23" s="53">
        <f t="shared" si="8"/>
        <v>0</v>
      </c>
      <c r="AB23" s="54"/>
      <c r="AC23" s="55"/>
      <c r="AD23" s="53">
        <f t="shared" si="9"/>
        <v>0</v>
      </c>
      <c r="AE23" s="54"/>
      <c r="AF23" s="55"/>
      <c r="AG23" s="53">
        <f t="shared" si="10"/>
        <v>0</v>
      </c>
      <c r="AH23" s="54"/>
      <c r="AI23" s="55"/>
      <c r="AJ23" s="53">
        <f t="shared" si="11"/>
        <v>0</v>
      </c>
      <c r="AK23" s="54"/>
      <c r="AL23" s="55"/>
      <c r="AM23" s="53">
        <f t="shared" si="12"/>
        <v>0</v>
      </c>
      <c r="AN23" s="54"/>
      <c r="AO23" s="55"/>
      <c r="AP23" s="56">
        <f t="shared" si="13"/>
        <v>0</v>
      </c>
      <c r="AQ23" s="58" t="e">
        <f t="shared" si="0"/>
        <v>#DIV/0!</v>
      </c>
    </row>
    <row r="24" spans="1:43" ht="18" customHeight="1" x14ac:dyDescent="0.15">
      <c r="A24" s="31"/>
      <c r="B24" s="46"/>
      <c r="C24" s="59"/>
      <c r="D24" s="56"/>
      <c r="E24" s="60"/>
      <c r="F24" s="53">
        <f t="shared" si="1"/>
        <v>0</v>
      </c>
      <c r="G24" s="54"/>
      <c r="H24" s="55"/>
      <c r="I24" s="53">
        <f t="shared" si="2"/>
        <v>0</v>
      </c>
      <c r="J24" s="54"/>
      <c r="K24" s="55"/>
      <c r="L24" s="53">
        <f t="shared" si="3"/>
        <v>0</v>
      </c>
      <c r="M24" s="54"/>
      <c r="N24" s="55"/>
      <c r="O24" s="53">
        <f t="shared" si="4"/>
        <v>0</v>
      </c>
      <c r="P24" s="54"/>
      <c r="Q24" s="55"/>
      <c r="R24" s="53">
        <f t="shared" si="5"/>
        <v>0</v>
      </c>
      <c r="S24" s="54"/>
      <c r="T24" s="55"/>
      <c r="U24" s="53">
        <f t="shared" si="6"/>
        <v>0</v>
      </c>
      <c r="V24" s="54"/>
      <c r="W24" s="55"/>
      <c r="X24" s="53">
        <f t="shared" si="7"/>
        <v>0</v>
      </c>
      <c r="Y24" s="54"/>
      <c r="Z24" s="55"/>
      <c r="AA24" s="53">
        <f t="shared" si="8"/>
        <v>0</v>
      </c>
      <c r="AB24" s="54"/>
      <c r="AC24" s="55"/>
      <c r="AD24" s="53">
        <f t="shared" si="9"/>
        <v>0</v>
      </c>
      <c r="AE24" s="54"/>
      <c r="AF24" s="55"/>
      <c r="AG24" s="53">
        <f t="shared" si="10"/>
        <v>0</v>
      </c>
      <c r="AH24" s="54"/>
      <c r="AI24" s="55"/>
      <c r="AJ24" s="53">
        <f t="shared" si="11"/>
        <v>0</v>
      </c>
      <c r="AK24" s="54"/>
      <c r="AL24" s="55"/>
      <c r="AM24" s="53">
        <f t="shared" si="12"/>
        <v>0</v>
      </c>
      <c r="AN24" s="54"/>
      <c r="AO24" s="55"/>
      <c r="AP24" s="56">
        <f t="shared" si="13"/>
        <v>0</v>
      </c>
      <c r="AQ24" s="58" t="e">
        <f t="shared" si="0"/>
        <v>#DIV/0!</v>
      </c>
    </row>
    <row r="25" spans="1:43" ht="18" customHeight="1" x14ac:dyDescent="0.15">
      <c r="A25" s="31"/>
      <c r="B25" s="46"/>
      <c r="C25" s="59"/>
      <c r="D25" s="56"/>
      <c r="E25" s="60"/>
      <c r="F25" s="53">
        <f t="shared" si="1"/>
        <v>0</v>
      </c>
      <c r="G25" s="54"/>
      <c r="H25" s="55"/>
      <c r="I25" s="53">
        <f t="shared" si="2"/>
        <v>0</v>
      </c>
      <c r="J25" s="54"/>
      <c r="K25" s="55"/>
      <c r="L25" s="53">
        <f t="shared" si="3"/>
        <v>0</v>
      </c>
      <c r="M25" s="54"/>
      <c r="N25" s="55"/>
      <c r="O25" s="53">
        <f t="shared" si="4"/>
        <v>0</v>
      </c>
      <c r="P25" s="54"/>
      <c r="Q25" s="55"/>
      <c r="R25" s="53">
        <f t="shared" si="5"/>
        <v>0</v>
      </c>
      <c r="S25" s="54"/>
      <c r="T25" s="55"/>
      <c r="U25" s="53">
        <f t="shared" si="6"/>
        <v>0</v>
      </c>
      <c r="V25" s="54"/>
      <c r="W25" s="55"/>
      <c r="X25" s="53">
        <f t="shared" si="7"/>
        <v>0</v>
      </c>
      <c r="Y25" s="54"/>
      <c r="Z25" s="55"/>
      <c r="AA25" s="53">
        <f t="shared" si="8"/>
        <v>0</v>
      </c>
      <c r="AB25" s="54"/>
      <c r="AC25" s="55"/>
      <c r="AD25" s="53">
        <f t="shared" si="9"/>
        <v>0</v>
      </c>
      <c r="AE25" s="54"/>
      <c r="AF25" s="55"/>
      <c r="AG25" s="53">
        <f t="shared" si="10"/>
        <v>0</v>
      </c>
      <c r="AH25" s="54"/>
      <c r="AI25" s="55"/>
      <c r="AJ25" s="53">
        <f t="shared" si="11"/>
        <v>0</v>
      </c>
      <c r="AK25" s="54"/>
      <c r="AL25" s="55"/>
      <c r="AM25" s="53">
        <f t="shared" si="12"/>
        <v>0</v>
      </c>
      <c r="AN25" s="54"/>
      <c r="AO25" s="55"/>
      <c r="AP25" s="56">
        <f t="shared" si="13"/>
        <v>0</v>
      </c>
      <c r="AQ25" s="58" t="e">
        <f t="shared" si="0"/>
        <v>#DIV/0!</v>
      </c>
    </row>
    <row r="26" spans="1:43" ht="18" customHeight="1" x14ac:dyDescent="0.15">
      <c r="A26" s="31"/>
      <c r="B26" s="46"/>
      <c r="C26" s="59"/>
      <c r="D26" s="56"/>
      <c r="E26" s="60"/>
      <c r="F26" s="53">
        <f t="shared" si="1"/>
        <v>0</v>
      </c>
      <c r="G26" s="54"/>
      <c r="H26" s="55"/>
      <c r="I26" s="53">
        <f t="shared" si="2"/>
        <v>0</v>
      </c>
      <c r="J26" s="54"/>
      <c r="K26" s="55"/>
      <c r="L26" s="53">
        <f t="shared" si="3"/>
        <v>0</v>
      </c>
      <c r="M26" s="54"/>
      <c r="N26" s="55"/>
      <c r="O26" s="53">
        <f t="shared" si="4"/>
        <v>0</v>
      </c>
      <c r="P26" s="54"/>
      <c r="Q26" s="55"/>
      <c r="R26" s="53">
        <f t="shared" si="5"/>
        <v>0</v>
      </c>
      <c r="S26" s="54"/>
      <c r="T26" s="55"/>
      <c r="U26" s="53">
        <f t="shared" si="6"/>
        <v>0</v>
      </c>
      <c r="V26" s="54"/>
      <c r="W26" s="55"/>
      <c r="X26" s="53">
        <f t="shared" si="7"/>
        <v>0</v>
      </c>
      <c r="Y26" s="54"/>
      <c r="Z26" s="55"/>
      <c r="AA26" s="53">
        <f t="shared" si="8"/>
        <v>0</v>
      </c>
      <c r="AB26" s="54"/>
      <c r="AC26" s="55"/>
      <c r="AD26" s="53">
        <f t="shared" si="9"/>
        <v>0</v>
      </c>
      <c r="AE26" s="54"/>
      <c r="AF26" s="55"/>
      <c r="AG26" s="53">
        <f t="shared" si="10"/>
        <v>0</v>
      </c>
      <c r="AH26" s="54"/>
      <c r="AI26" s="55"/>
      <c r="AJ26" s="53">
        <f t="shared" si="11"/>
        <v>0</v>
      </c>
      <c r="AK26" s="54"/>
      <c r="AL26" s="55"/>
      <c r="AM26" s="53">
        <f t="shared" si="12"/>
        <v>0</v>
      </c>
      <c r="AN26" s="54"/>
      <c r="AO26" s="55"/>
      <c r="AP26" s="56">
        <f t="shared" si="13"/>
        <v>0</v>
      </c>
      <c r="AQ26" s="58" t="e">
        <f t="shared" si="0"/>
        <v>#DIV/0!</v>
      </c>
    </row>
    <row r="27" spans="1:43" ht="18" customHeight="1" x14ac:dyDescent="0.15">
      <c r="A27" s="31"/>
      <c r="B27" s="46"/>
      <c r="C27" s="59"/>
      <c r="D27" s="56"/>
      <c r="E27" s="60"/>
      <c r="F27" s="53">
        <f t="shared" si="1"/>
        <v>0</v>
      </c>
      <c r="G27" s="54"/>
      <c r="H27" s="55"/>
      <c r="I27" s="53">
        <f t="shared" si="2"/>
        <v>0</v>
      </c>
      <c r="J27" s="54"/>
      <c r="K27" s="55"/>
      <c r="L27" s="53">
        <f t="shared" si="3"/>
        <v>0</v>
      </c>
      <c r="M27" s="54"/>
      <c r="N27" s="55"/>
      <c r="O27" s="53">
        <f t="shared" si="4"/>
        <v>0</v>
      </c>
      <c r="P27" s="54"/>
      <c r="Q27" s="55"/>
      <c r="R27" s="53">
        <f t="shared" si="5"/>
        <v>0</v>
      </c>
      <c r="S27" s="54"/>
      <c r="T27" s="55"/>
      <c r="U27" s="53">
        <f t="shared" si="6"/>
        <v>0</v>
      </c>
      <c r="V27" s="54"/>
      <c r="W27" s="55"/>
      <c r="X27" s="53">
        <f t="shared" si="7"/>
        <v>0</v>
      </c>
      <c r="Y27" s="54"/>
      <c r="Z27" s="55"/>
      <c r="AA27" s="53">
        <f t="shared" si="8"/>
        <v>0</v>
      </c>
      <c r="AB27" s="54"/>
      <c r="AC27" s="55"/>
      <c r="AD27" s="53">
        <f t="shared" si="9"/>
        <v>0</v>
      </c>
      <c r="AE27" s="54"/>
      <c r="AF27" s="55"/>
      <c r="AG27" s="53">
        <f t="shared" si="10"/>
        <v>0</v>
      </c>
      <c r="AH27" s="54"/>
      <c r="AI27" s="55"/>
      <c r="AJ27" s="53">
        <f t="shared" si="11"/>
        <v>0</v>
      </c>
      <c r="AK27" s="54"/>
      <c r="AL27" s="55"/>
      <c r="AM27" s="53">
        <f t="shared" si="12"/>
        <v>0</v>
      </c>
      <c r="AN27" s="54"/>
      <c r="AO27" s="55"/>
      <c r="AP27" s="56">
        <f t="shared" si="13"/>
        <v>0</v>
      </c>
      <c r="AQ27" s="58" t="e">
        <f t="shared" si="0"/>
        <v>#DIV/0!</v>
      </c>
    </row>
    <row r="28" spans="1:43" ht="18" customHeight="1" x14ac:dyDescent="0.15">
      <c r="A28" s="31"/>
      <c r="B28" s="46"/>
      <c r="C28" s="59"/>
      <c r="D28" s="56"/>
      <c r="E28" s="60"/>
      <c r="F28" s="53">
        <f t="shared" si="1"/>
        <v>0</v>
      </c>
      <c r="G28" s="54"/>
      <c r="H28" s="55"/>
      <c r="I28" s="53">
        <f t="shared" si="2"/>
        <v>0</v>
      </c>
      <c r="J28" s="54"/>
      <c r="K28" s="55"/>
      <c r="L28" s="53">
        <f t="shared" si="3"/>
        <v>0</v>
      </c>
      <c r="M28" s="54"/>
      <c r="N28" s="55"/>
      <c r="O28" s="53">
        <f t="shared" si="4"/>
        <v>0</v>
      </c>
      <c r="P28" s="54"/>
      <c r="Q28" s="55"/>
      <c r="R28" s="53">
        <f t="shared" si="5"/>
        <v>0</v>
      </c>
      <c r="S28" s="54"/>
      <c r="T28" s="55"/>
      <c r="U28" s="53">
        <f t="shared" si="6"/>
        <v>0</v>
      </c>
      <c r="V28" s="54"/>
      <c r="W28" s="55"/>
      <c r="X28" s="53">
        <f t="shared" si="7"/>
        <v>0</v>
      </c>
      <c r="Y28" s="54"/>
      <c r="Z28" s="55"/>
      <c r="AA28" s="53">
        <f t="shared" si="8"/>
        <v>0</v>
      </c>
      <c r="AB28" s="54"/>
      <c r="AC28" s="55"/>
      <c r="AD28" s="53">
        <f t="shared" si="9"/>
        <v>0</v>
      </c>
      <c r="AE28" s="54"/>
      <c r="AF28" s="55"/>
      <c r="AG28" s="53">
        <f t="shared" si="10"/>
        <v>0</v>
      </c>
      <c r="AH28" s="54"/>
      <c r="AI28" s="55"/>
      <c r="AJ28" s="53">
        <f t="shared" si="11"/>
        <v>0</v>
      </c>
      <c r="AK28" s="54"/>
      <c r="AL28" s="55"/>
      <c r="AM28" s="53">
        <f t="shared" si="12"/>
        <v>0</v>
      </c>
      <c r="AN28" s="54"/>
      <c r="AO28" s="55"/>
      <c r="AP28" s="56">
        <f t="shared" si="13"/>
        <v>0</v>
      </c>
      <c r="AQ28" s="58" t="e">
        <f t="shared" si="0"/>
        <v>#DIV/0!</v>
      </c>
    </row>
    <row r="29" spans="1:43" ht="18" customHeight="1" x14ac:dyDescent="0.15">
      <c r="A29" s="31"/>
      <c r="B29" s="46"/>
      <c r="C29" s="59"/>
      <c r="D29" s="61"/>
      <c r="E29" s="60"/>
      <c r="F29" s="53">
        <f t="shared" si="1"/>
        <v>0</v>
      </c>
      <c r="G29" s="54"/>
      <c r="H29" s="55"/>
      <c r="I29" s="53">
        <f t="shared" si="2"/>
        <v>0</v>
      </c>
      <c r="J29" s="54"/>
      <c r="K29" s="55"/>
      <c r="L29" s="53">
        <f t="shared" si="3"/>
        <v>0</v>
      </c>
      <c r="M29" s="54"/>
      <c r="N29" s="55"/>
      <c r="O29" s="53">
        <f t="shared" si="4"/>
        <v>0</v>
      </c>
      <c r="P29" s="54"/>
      <c r="Q29" s="55"/>
      <c r="R29" s="53">
        <f t="shared" si="5"/>
        <v>0</v>
      </c>
      <c r="S29" s="54"/>
      <c r="T29" s="55"/>
      <c r="U29" s="53">
        <f t="shared" si="6"/>
        <v>0</v>
      </c>
      <c r="V29" s="54"/>
      <c r="W29" s="55"/>
      <c r="X29" s="53">
        <f t="shared" si="7"/>
        <v>0</v>
      </c>
      <c r="Y29" s="54"/>
      <c r="Z29" s="55"/>
      <c r="AA29" s="53">
        <f t="shared" si="8"/>
        <v>0</v>
      </c>
      <c r="AB29" s="54"/>
      <c r="AC29" s="55"/>
      <c r="AD29" s="53">
        <f t="shared" si="9"/>
        <v>0</v>
      </c>
      <c r="AE29" s="54"/>
      <c r="AF29" s="55"/>
      <c r="AG29" s="53">
        <f t="shared" si="10"/>
        <v>0</v>
      </c>
      <c r="AH29" s="54"/>
      <c r="AI29" s="55"/>
      <c r="AJ29" s="53">
        <f t="shared" si="11"/>
        <v>0</v>
      </c>
      <c r="AK29" s="54"/>
      <c r="AL29" s="55"/>
      <c r="AM29" s="53">
        <f t="shared" si="12"/>
        <v>0</v>
      </c>
      <c r="AN29" s="54"/>
      <c r="AO29" s="55"/>
      <c r="AP29" s="61">
        <f t="shared" si="13"/>
        <v>0</v>
      </c>
      <c r="AQ29" s="58" t="e">
        <f t="shared" si="0"/>
        <v>#DIV/0!</v>
      </c>
    </row>
    <row r="30" spans="1:43" ht="18" customHeight="1" x14ac:dyDescent="0.15">
      <c r="A30" s="31"/>
      <c r="B30" s="46"/>
      <c r="C30" s="59"/>
      <c r="D30" s="61"/>
      <c r="E30" s="60"/>
      <c r="F30" s="53">
        <f t="shared" si="1"/>
        <v>0</v>
      </c>
      <c r="G30" s="54"/>
      <c r="H30" s="55"/>
      <c r="I30" s="53">
        <f t="shared" si="2"/>
        <v>0</v>
      </c>
      <c r="J30" s="54"/>
      <c r="K30" s="55"/>
      <c r="L30" s="53">
        <f t="shared" si="3"/>
        <v>0</v>
      </c>
      <c r="M30" s="54"/>
      <c r="N30" s="55"/>
      <c r="O30" s="53">
        <f t="shared" si="4"/>
        <v>0</v>
      </c>
      <c r="P30" s="54"/>
      <c r="Q30" s="55"/>
      <c r="R30" s="53">
        <f t="shared" si="5"/>
        <v>0</v>
      </c>
      <c r="S30" s="54"/>
      <c r="T30" s="55"/>
      <c r="U30" s="53">
        <f t="shared" si="6"/>
        <v>0</v>
      </c>
      <c r="V30" s="54"/>
      <c r="W30" s="55"/>
      <c r="X30" s="53">
        <f t="shared" si="7"/>
        <v>0</v>
      </c>
      <c r="Y30" s="54"/>
      <c r="Z30" s="55"/>
      <c r="AA30" s="53">
        <f t="shared" si="8"/>
        <v>0</v>
      </c>
      <c r="AB30" s="54"/>
      <c r="AC30" s="55"/>
      <c r="AD30" s="53">
        <f t="shared" si="9"/>
        <v>0</v>
      </c>
      <c r="AE30" s="54"/>
      <c r="AF30" s="55"/>
      <c r="AG30" s="53">
        <f t="shared" si="10"/>
        <v>0</v>
      </c>
      <c r="AH30" s="54"/>
      <c r="AI30" s="55"/>
      <c r="AJ30" s="53">
        <f t="shared" si="11"/>
        <v>0</v>
      </c>
      <c r="AK30" s="54"/>
      <c r="AL30" s="55"/>
      <c r="AM30" s="53">
        <f t="shared" si="12"/>
        <v>0</v>
      </c>
      <c r="AN30" s="54"/>
      <c r="AO30" s="55"/>
      <c r="AP30" s="61">
        <f t="shared" si="13"/>
        <v>0</v>
      </c>
      <c r="AQ30" s="58" t="e">
        <f t="shared" si="0"/>
        <v>#DIV/0!</v>
      </c>
    </row>
    <row r="31" spans="1:43" ht="18" customHeight="1" thickBot="1" x14ac:dyDescent="0.2">
      <c r="A31" s="31"/>
      <c r="B31" s="62"/>
      <c r="C31" s="63"/>
      <c r="D31" s="64"/>
      <c r="E31" s="41"/>
      <c r="F31" s="41">
        <f t="shared" si="1"/>
        <v>0</v>
      </c>
      <c r="G31" s="65"/>
      <c r="H31" s="66"/>
      <c r="I31" s="41">
        <f t="shared" si="2"/>
        <v>0</v>
      </c>
      <c r="J31" s="65"/>
      <c r="K31" s="66"/>
      <c r="L31" s="41">
        <f t="shared" si="3"/>
        <v>0</v>
      </c>
      <c r="M31" s="65"/>
      <c r="N31" s="66"/>
      <c r="O31" s="41">
        <f t="shared" si="4"/>
        <v>0</v>
      </c>
      <c r="P31" s="65"/>
      <c r="Q31" s="66"/>
      <c r="R31" s="41">
        <f t="shared" si="5"/>
        <v>0</v>
      </c>
      <c r="S31" s="65"/>
      <c r="T31" s="66"/>
      <c r="U31" s="41">
        <f t="shared" si="6"/>
        <v>0</v>
      </c>
      <c r="V31" s="65"/>
      <c r="W31" s="66"/>
      <c r="X31" s="41">
        <f t="shared" si="7"/>
        <v>0</v>
      </c>
      <c r="Y31" s="65"/>
      <c r="Z31" s="66"/>
      <c r="AA31" s="41">
        <f t="shared" si="8"/>
        <v>0</v>
      </c>
      <c r="AB31" s="65"/>
      <c r="AC31" s="66"/>
      <c r="AD31" s="41">
        <f t="shared" si="9"/>
        <v>0</v>
      </c>
      <c r="AE31" s="65"/>
      <c r="AF31" s="66"/>
      <c r="AG31" s="41">
        <f t="shared" si="10"/>
        <v>0</v>
      </c>
      <c r="AH31" s="65"/>
      <c r="AI31" s="66"/>
      <c r="AJ31" s="41">
        <f t="shared" si="11"/>
        <v>0</v>
      </c>
      <c r="AK31" s="65"/>
      <c r="AL31" s="66"/>
      <c r="AM31" s="41">
        <f t="shared" si="12"/>
        <v>0</v>
      </c>
      <c r="AN31" s="65"/>
      <c r="AO31" s="66"/>
      <c r="AP31" s="64">
        <f t="shared" si="13"/>
        <v>0</v>
      </c>
      <c r="AQ31" s="67" t="e">
        <f t="shared" si="0"/>
        <v>#DIV/0!</v>
      </c>
    </row>
    <row r="32" spans="1:43" ht="18" customHeight="1" thickTop="1" x14ac:dyDescent="0.15">
      <c r="B32" s="68" t="s">
        <v>80</v>
      </c>
      <c r="C32" s="69">
        <f t="shared" ref="C32" si="14">SUM(C12:C31)</f>
        <v>2423</v>
      </c>
      <c r="D32" s="70">
        <f t="shared" ref="D32:AP32" si="15">SUM(D12:D31)</f>
        <v>690</v>
      </c>
      <c r="E32" s="71">
        <f t="shared" si="15"/>
        <v>2760</v>
      </c>
      <c r="F32" s="71">
        <f t="shared" si="15"/>
        <v>37</v>
      </c>
      <c r="G32" s="72">
        <f t="shared" si="15"/>
        <v>0</v>
      </c>
      <c r="H32" s="73">
        <f t="shared" si="15"/>
        <v>37</v>
      </c>
      <c r="I32" s="71">
        <f t="shared" ref="I32:N32" si="16">SUM(I12:I31)</f>
        <v>28</v>
      </c>
      <c r="J32" s="72">
        <f t="shared" si="16"/>
        <v>0</v>
      </c>
      <c r="K32" s="73">
        <f t="shared" si="16"/>
        <v>28</v>
      </c>
      <c r="L32" s="71">
        <f t="shared" si="16"/>
        <v>0</v>
      </c>
      <c r="M32" s="72">
        <f t="shared" si="16"/>
        <v>0</v>
      </c>
      <c r="N32" s="73">
        <f t="shared" si="16"/>
        <v>0</v>
      </c>
      <c r="O32" s="71">
        <f t="shared" ref="O32:T32" si="17">SUM(O12:O31)</f>
        <v>0</v>
      </c>
      <c r="P32" s="72">
        <f t="shared" si="17"/>
        <v>0</v>
      </c>
      <c r="Q32" s="73">
        <f t="shared" si="17"/>
        <v>0</v>
      </c>
      <c r="R32" s="71">
        <f t="shared" si="17"/>
        <v>0</v>
      </c>
      <c r="S32" s="72">
        <f t="shared" si="17"/>
        <v>0</v>
      </c>
      <c r="T32" s="73">
        <f t="shared" si="17"/>
        <v>0</v>
      </c>
      <c r="U32" s="71">
        <f t="shared" ref="U32:AI32" si="18">SUM(U12:U31)</f>
        <v>0</v>
      </c>
      <c r="V32" s="72">
        <f t="shared" si="18"/>
        <v>0</v>
      </c>
      <c r="W32" s="73">
        <f t="shared" si="18"/>
        <v>0</v>
      </c>
      <c r="X32" s="71">
        <f t="shared" si="18"/>
        <v>0</v>
      </c>
      <c r="Y32" s="72">
        <f t="shared" si="18"/>
        <v>0</v>
      </c>
      <c r="Z32" s="73">
        <f t="shared" si="18"/>
        <v>0</v>
      </c>
      <c r="AA32" s="71">
        <f t="shared" si="18"/>
        <v>0</v>
      </c>
      <c r="AB32" s="72">
        <f t="shared" si="18"/>
        <v>0</v>
      </c>
      <c r="AC32" s="73">
        <f t="shared" si="18"/>
        <v>0</v>
      </c>
      <c r="AD32" s="71">
        <f t="shared" si="18"/>
        <v>0</v>
      </c>
      <c r="AE32" s="72">
        <f t="shared" si="18"/>
        <v>0</v>
      </c>
      <c r="AF32" s="73">
        <f t="shared" si="18"/>
        <v>0</v>
      </c>
      <c r="AG32" s="71">
        <f t="shared" si="18"/>
        <v>0</v>
      </c>
      <c r="AH32" s="72">
        <f t="shared" si="18"/>
        <v>0</v>
      </c>
      <c r="AI32" s="73">
        <f t="shared" si="18"/>
        <v>0</v>
      </c>
      <c r="AJ32" s="71">
        <f t="shared" ref="AJ32:AO32" si="19">SUM(AJ12:AJ31)</f>
        <v>0</v>
      </c>
      <c r="AK32" s="72">
        <f t="shared" si="19"/>
        <v>0</v>
      </c>
      <c r="AL32" s="73">
        <f t="shared" si="19"/>
        <v>0</v>
      </c>
      <c r="AM32" s="71">
        <f t="shared" si="19"/>
        <v>0</v>
      </c>
      <c r="AN32" s="72">
        <f t="shared" si="19"/>
        <v>0</v>
      </c>
      <c r="AO32" s="73">
        <f t="shared" si="19"/>
        <v>0</v>
      </c>
      <c r="AP32" s="70">
        <f t="shared" si="15"/>
        <v>37</v>
      </c>
      <c r="AQ32" s="74">
        <f t="shared" si="0"/>
        <v>1.3405797101449275E-2</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134"/>
  <sheetViews>
    <sheetView showZeros="0" view="pageBreakPreview" topLeftCell="A95" zoomScaleNormal="100" zoomScaleSheetLayoutView="100" workbookViewId="0">
      <selection activeCell="I50" sqref="I50"/>
    </sheetView>
  </sheetViews>
  <sheetFormatPr defaultColWidth="11.375" defaultRowHeight="18.75" customHeight="1" x14ac:dyDescent="0.15"/>
  <cols>
    <col min="1" max="1" width="2.75" style="20"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20" t="s">
        <v>81</v>
      </c>
      <c r="I1" s="2" t="s">
        <v>82</v>
      </c>
    </row>
    <row r="2" spans="1:9" ht="18.75" customHeight="1" x14ac:dyDescent="0.15">
      <c r="G2" s="2" t="s">
        <v>2</v>
      </c>
      <c r="H2" s="105" t="str">
        <f>'様式１　プログラムを構成する授業科目'!C2</f>
        <v>大阪樟蔭女子大学</v>
      </c>
      <c r="I2" s="107"/>
    </row>
    <row r="3" spans="1:9" ht="18.75" customHeight="1" x14ac:dyDescent="0.15">
      <c r="G3" s="2"/>
      <c r="H3" s="5"/>
      <c r="I3" s="5"/>
    </row>
    <row r="4" spans="1:9" ht="18.600000000000001" customHeight="1" x14ac:dyDescent="0.15">
      <c r="A4" s="180" t="s">
        <v>83</v>
      </c>
      <c r="B4" s="180"/>
      <c r="C4" s="180"/>
      <c r="D4" s="180"/>
      <c r="E4" s="180"/>
      <c r="F4" s="180"/>
      <c r="G4" s="180"/>
      <c r="H4" s="180"/>
      <c r="I4" s="180"/>
    </row>
    <row r="5" spans="1:9" ht="13.15" customHeight="1" x14ac:dyDescent="0.15">
      <c r="B5" s="6"/>
      <c r="C5" s="6"/>
      <c r="D5" s="6"/>
      <c r="E5" s="6"/>
      <c r="F5" s="6"/>
      <c r="G5" s="6"/>
      <c r="H5" s="6"/>
      <c r="I5" s="6"/>
    </row>
    <row r="6" spans="1:9" ht="18" customHeight="1" x14ac:dyDescent="0.15">
      <c r="A6" s="1" t="s">
        <v>84</v>
      </c>
      <c r="B6" s="5" t="s">
        <v>85</v>
      </c>
      <c r="C6" s="249" t="s">
        <v>86</v>
      </c>
      <c r="D6" s="249"/>
      <c r="E6" s="3">
        <v>98</v>
      </c>
      <c r="F6" s="6" t="s">
        <v>87</v>
      </c>
      <c r="G6" s="6" t="s">
        <v>88</v>
      </c>
      <c r="H6" s="3">
        <v>221</v>
      </c>
      <c r="I6" s="5" t="s">
        <v>87</v>
      </c>
    </row>
    <row r="7" spans="1:9" ht="12" customHeight="1" x14ac:dyDescent="0.15">
      <c r="C7" s="21"/>
      <c r="D7" s="21"/>
      <c r="E7" s="21"/>
      <c r="F7" s="21"/>
      <c r="G7" s="21"/>
      <c r="H7" s="21"/>
      <c r="I7" s="22"/>
    </row>
    <row r="8" spans="1:9" ht="18" customHeight="1" x14ac:dyDescent="0.15">
      <c r="A8" s="1" t="s">
        <v>89</v>
      </c>
      <c r="B8" s="5" t="s">
        <v>90</v>
      </c>
      <c r="E8" s="6"/>
      <c r="F8" s="6"/>
      <c r="G8" s="6"/>
      <c r="H8" s="3">
        <v>2</v>
      </c>
      <c r="I8" s="5" t="s">
        <v>87</v>
      </c>
    </row>
    <row r="9" spans="1:9" ht="9" customHeight="1" x14ac:dyDescent="0.15">
      <c r="B9" s="6"/>
      <c r="C9" s="6"/>
      <c r="D9" s="6"/>
      <c r="E9" s="6"/>
      <c r="F9" s="6"/>
      <c r="G9" s="6"/>
      <c r="H9" s="6"/>
      <c r="I9" s="6"/>
    </row>
    <row r="10" spans="1:9" ht="18" customHeight="1" x14ac:dyDescent="0.15">
      <c r="A10" s="1" t="s">
        <v>91</v>
      </c>
      <c r="B10" s="5" t="s">
        <v>92</v>
      </c>
      <c r="C10" s="6"/>
      <c r="D10" s="6"/>
      <c r="E10" s="6"/>
      <c r="F10" s="6"/>
      <c r="G10" s="6"/>
      <c r="H10" s="6"/>
      <c r="I10" s="6"/>
    </row>
    <row r="11" spans="1:9" ht="18" customHeight="1" x14ac:dyDescent="0.15">
      <c r="B11" s="2" t="s">
        <v>93</v>
      </c>
      <c r="C11" s="244" t="s">
        <v>94</v>
      </c>
      <c r="D11" s="247"/>
      <c r="E11" s="248"/>
      <c r="F11" s="22"/>
      <c r="G11" s="2" t="s">
        <v>95</v>
      </c>
      <c r="H11" s="244" t="s">
        <v>96</v>
      </c>
      <c r="I11" s="248"/>
    </row>
    <row r="12" spans="1:9" ht="10.15" customHeight="1" x14ac:dyDescent="0.15">
      <c r="B12" s="2"/>
      <c r="C12" s="5"/>
      <c r="D12" s="22"/>
      <c r="E12" s="22"/>
      <c r="F12" s="22"/>
      <c r="G12" s="2"/>
      <c r="H12" s="5"/>
      <c r="I12" s="22"/>
    </row>
    <row r="13" spans="1:9" ht="18" customHeight="1" x14ac:dyDescent="0.15">
      <c r="A13" s="1" t="s">
        <v>97</v>
      </c>
      <c r="B13" s="5" t="s">
        <v>98</v>
      </c>
      <c r="C13" s="6"/>
      <c r="D13" s="6"/>
      <c r="E13" s="6"/>
      <c r="F13" s="6"/>
      <c r="G13" s="6"/>
      <c r="H13" s="6"/>
      <c r="I13" s="6"/>
    </row>
    <row r="14" spans="1:9" ht="18" customHeight="1" x14ac:dyDescent="0.15">
      <c r="B14" s="244" t="s">
        <v>99</v>
      </c>
      <c r="C14" s="245"/>
      <c r="D14" s="245"/>
      <c r="E14" s="245"/>
      <c r="F14" s="245"/>
      <c r="G14" s="245"/>
      <c r="H14" s="245"/>
      <c r="I14" s="246"/>
    </row>
    <row r="15" spans="1:9" ht="9" customHeight="1" x14ac:dyDescent="0.15">
      <c r="B15" s="6"/>
      <c r="C15" s="6"/>
      <c r="D15" s="6"/>
      <c r="E15" s="6"/>
      <c r="F15" s="6"/>
      <c r="G15" s="6"/>
      <c r="H15" s="6"/>
      <c r="I15" s="6"/>
    </row>
    <row r="16" spans="1:9" ht="18" customHeight="1" x14ac:dyDescent="0.15">
      <c r="B16" s="2" t="s">
        <v>93</v>
      </c>
      <c r="C16" s="244" t="s">
        <v>94</v>
      </c>
      <c r="D16" s="247"/>
      <c r="E16" s="248"/>
      <c r="F16" s="22"/>
      <c r="G16" s="2" t="s">
        <v>95</v>
      </c>
      <c r="H16" s="244" t="s">
        <v>96</v>
      </c>
      <c r="I16" s="248"/>
    </row>
    <row r="17" spans="1:9" ht="18" customHeight="1" x14ac:dyDescent="0.15">
      <c r="B17" s="6"/>
      <c r="C17" s="6"/>
      <c r="D17" s="6"/>
      <c r="E17" s="6"/>
      <c r="F17" s="6"/>
      <c r="G17" s="6"/>
      <c r="H17" s="6"/>
      <c r="I17" s="6"/>
    </row>
    <row r="18" spans="1:9" ht="18.75" customHeight="1" x14ac:dyDescent="0.15">
      <c r="A18" s="1" t="s">
        <v>100</v>
      </c>
      <c r="B18" s="1" t="s">
        <v>101</v>
      </c>
      <c r="I18" s="6"/>
    </row>
    <row r="19" spans="1:9" ht="18.75" customHeight="1" x14ac:dyDescent="0.15">
      <c r="A19" s="1"/>
      <c r="B19" s="238" t="s">
        <v>102</v>
      </c>
      <c r="C19" s="239"/>
      <c r="D19" s="239"/>
      <c r="E19" s="239"/>
      <c r="F19" s="239"/>
      <c r="G19" s="239"/>
      <c r="H19" s="239"/>
      <c r="I19" s="240"/>
    </row>
    <row r="20" spans="1:9" ht="7.5" customHeight="1" x14ac:dyDescent="0.15">
      <c r="B20" s="6"/>
      <c r="C20" s="6"/>
      <c r="D20" s="6"/>
      <c r="E20" s="6"/>
      <c r="F20" s="6"/>
      <c r="G20" s="6"/>
      <c r="H20" s="6"/>
      <c r="I20" s="6"/>
    </row>
    <row r="21" spans="1:9" ht="18.75" customHeight="1" x14ac:dyDescent="0.15">
      <c r="A21" s="1" t="s">
        <v>103</v>
      </c>
      <c r="B21" s="1" t="s">
        <v>104</v>
      </c>
    </row>
    <row r="22" spans="1:9" ht="18.75" customHeight="1" x14ac:dyDescent="0.15">
      <c r="A22" s="19"/>
      <c r="B22" s="221" t="s">
        <v>105</v>
      </c>
      <c r="C22" s="222"/>
      <c r="D22" s="222"/>
      <c r="E22" s="222"/>
      <c r="F22" s="222"/>
      <c r="G22" s="222"/>
      <c r="H22" s="222"/>
      <c r="I22" s="223"/>
    </row>
    <row r="23" spans="1:9" ht="18.75" customHeight="1" x14ac:dyDescent="0.15">
      <c r="A23" s="19"/>
      <c r="B23" s="232"/>
      <c r="C23" s="233"/>
      <c r="D23" s="233"/>
      <c r="E23" s="233"/>
      <c r="F23" s="233"/>
      <c r="G23" s="233"/>
      <c r="H23" s="233"/>
      <c r="I23" s="226"/>
    </row>
    <row r="24" spans="1:9" ht="18.75" customHeight="1" x14ac:dyDescent="0.15">
      <c r="A24" s="19"/>
      <c r="B24" s="232"/>
      <c r="C24" s="233"/>
      <c r="D24" s="233"/>
      <c r="E24" s="233"/>
      <c r="F24" s="233"/>
      <c r="G24" s="233"/>
      <c r="H24" s="233"/>
      <c r="I24" s="226"/>
    </row>
    <row r="25" spans="1:9" ht="18.75" customHeight="1" x14ac:dyDescent="0.15">
      <c r="A25" s="19"/>
      <c r="B25" s="232"/>
      <c r="C25" s="233"/>
      <c r="D25" s="233"/>
      <c r="E25" s="233"/>
      <c r="F25" s="233"/>
      <c r="G25" s="233"/>
      <c r="H25" s="233"/>
      <c r="I25" s="226"/>
    </row>
    <row r="26" spans="1:9" ht="18.75" customHeight="1" x14ac:dyDescent="0.15">
      <c r="A26" s="19"/>
      <c r="B26" s="232"/>
      <c r="C26" s="233"/>
      <c r="D26" s="233"/>
      <c r="E26" s="233"/>
      <c r="F26" s="233"/>
      <c r="G26" s="233"/>
      <c r="H26" s="233"/>
      <c r="I26" s="226"/>
    </row>
    <row r="27" spans="1:9" ht="18.75" customHeight="1" x14ac:dyDescent="0.15">
      <c r="A27" s="19"/>
      <c r="B27" s="232"/>
      <c r="C27" s="233"/>
      <c r="D27" s="233"/>
      <c r="E27" s="233"/>
      <c r="F27" s="233"/>
      <c r="G27" s="233"/>
      <c r="H27" s="233"/>
      <c r="I27" s="226"/>
    </row>
    <row r="28" spans="1:9" ht="18.75" customHeight="1" x14ac:dyDescent="0.15">
      <c r="A28" s="19"/>
      <c r="B28" s="232"/>
      <c r="C28" s="233"/>
      <c r="D28" s="233"/>
      <c r="E28" s="233"/>
      <c r="F28" s="233"/>
      <c r="G28" s="233"/>
      <c r="H28" s="233"/>
      <c r="I28" s="226"/>
    </row>
    <row r="29" spans="1:9" ht="18.75" customHeight="1" x14ac:dyDescent="0.15">
      <c r="A29" s="19"/>
      <c r="B29" s="232"/>
      <c r="C29" s="233"/>
      <c r="D29" s="233"/>
      <c r="E29" s="233"/>
      <c r="F29" s="233"/>
      <c r="G29" s="233"/>
      <c r="H29" s="233"/>
      <c r="I29" s="226"/>
    </row>
    <row r="30" spans="1:9" ht="18.75" customHeight="1" x14ac:dyDescent="0.15">
      <c r="A30" s="19"/>
      <c r="B30" s="224"/>
      <c r="C30" s="225"/>
      <c r="D30" s="225"/>
      <c r="E30" s="225"/>
      <c r="F30" s="225"/>
      <c r="G30" s="225"/>
      <c r="H30" s="225"/>
      <c r="I30" s="226"/>
    </row>
    <row r="31" spans="1:9" ht="18.75" customHeight="1" x14ac:dyDescent="0.15">
      <c r="A31" s="19"/>
      <c r="B31" s="224"/>
      <c r="C31" s="225"/>
      <c r="D31" s="225"/>
      <c r="E31" s="225"/>
      <c r="F31" s="225"/>
      <c r="G31" s="225"/>
      <c r="H31" s="225"/>
      <c r="I31" s="226"/>
    </row>
    <row r="32" spans="1:9" ht="18.75" customHeight="1" x14ac:dyDescent="0.15">
      <c r="A32" s="19"/>
      <c r="B32" s="227"/>
      <c r="C32" s="228"/>
      <c r="D32" s="228"/>
      <c r="E32" s="228"/>
      <c r="F32" s="228"/>
      <c r="G32" s="228"/>
      <c r="H32" s="228"/>
      <c r="I32" s="229"/>
    </row>
    <row r="33" spans="1:9" ht="7.5" customHeight="1" x14ac:dyDescent="0.15">
      <c r="A33" s="19"/>
      <c r="B33" s="19"/>
      <c r="C33" s="19"/>
      <c r="D33" s="19"/>
      <c r="E33" s="19"/>
      <c r="F33" s="19"/>
      <c r="G33" s="19"/>
      <c r="H33" s="19"/>
      <c r="I33" s="19"/>
    </row>
    <row r="34" spans="1:9" ht="18.75" customHeight="1" x14ac:dyDescent="0.15">
      <c r="A34" s="23" t="s">
        <v>106</v>
      </c>
      <c r="B34" s="23" t="s">
        <v>107</v>
      </c>
      <c r="C34" s="5"/>
      <c r="D34" s="23"/>
      <c r="E34" s="23"/>
      <c r="F34" s="23"/>
      <c r="G34" s="23"/>
      <c r="H34" s="23"/>
      <c r="I34" s="23"/>
    </row>
    <row r="35" spans="1:9" ht="18.75" customHeight="1" x14ac:dyDescent="0.15">
      <c r="A35" s="19"/>
      <c r="B35" s="221" t="s">
        <v>108</v>
      </c>
      <c r="C35" s="222"/>
      <c r="D35" s="222"/>
      <c r="E35" s="222"/>
      <c r="F35" s="222"/>
      <c r="G35" s="222"/>
      <c r="H35" s="222"/>
      <c r="I35" s="223"/>
    </row>
    <row r="36" spans="1:9" ht="18.75" customHeight="1" x14ac:dyDescent="0.15">
      <c r="A36" s="19"/>
      <c r="B36" s="224"/>
      <c r="C36" s="225"/>
      <c r="D36" s="225"/>
      <c r="E36" s="225"/>
      <c r="F36" s="225"/>
      <c r="G36" s="225"/>
      <c r="H36" s="225"/>
      <c r="I36" s="226"/>
    </row>
    <row r="37" spans="1:9" ht="18.75" customHeight="1" x14ac:dyDescent="0.15">
      <c r="A37" s="19"/>
      <c r="B37" s="224"/>
      <c r="C37" s="225"/>
      <c r="D37" s="225"/>
      <c r="E37" s="225"/>
      <c r="F37" s="225"/>
      <c r="G37" s="225"/>
      <c r="H37" s="225"/>
      <c r="I37" s="226"/>
    </row>
    <row r="38" spans="1:9" ht="18.75" customHeight="1" x14ac:dyDescent="0.15">
      <c r="A38" s="19"/>
      <c r="B38" s="224"/>
      <c r="C38" s="225"/>
      <c r="D38" s="225"/>
      <c r="E38" s="225"/>
      <c r="F38" s="225"/>
      <c r="G38" s="225"/>
      <c r="H38" s="225"/>
      <c r="I38" s="226"/>
    </row>
    <row r="39" spans="1:9" ht="18.75" customHeight="1" x14ac:dyDescent="0.15">
      <c r="A39" s="19"/>
      <c r="B39" s="224"/>
      <c r="C39" s="225"/>
      <c r="D39" s="225"/>
      <c r="E39" s="225"/>
      <c r="F39" s="225"/>
      <c r="G39" s="225"/>
      <c r="H39" s="225"/>
      <c r="I39" s="226"/>
    </row>
    <row r="40" spans="1:9" ht="18.75" customHeight="1" x14ac:dyDescent="0.15">
      <c r="A40" s="19"/>
      <c r="B40" s="224"/>
      <c r="C40" s="225"/>
      <c r="D40" s="225"/>
      <c r="E40" s="225"/>
      <c r="F40" s="225"/>
      <c r="G40" s="225"/>
      <c r="H40" s="225"/>
      <c r="I40" s="226"/>
    </row>
    <row r="41" spans="1:9" ht="18.75" customHeight="1" x14ac:dyDescent="0.15">
      <c r="A41" s="19"/>
      <c r="B41" s="224"/>
      <c r="C41" s="225"/>
      <c r="D41" s="225"/>
      <c r="E41" s="225"/>
      <c r="F41" s="225"/>
      <c r="G41" s="225"/>
      <c r="H41" s="225"/>
      <c r="I41" s="226"/>
    </row>
    <row r="42" spans="1:9" ht="18.75" customHeight="1" x14ac:dyDescent="0.15">
      <c r="A42" s="19"/>
      <c r="B42" s="224"/>
      <c r="C42" s="225"/>
      <c r="D42" s="225"/>
      <c r="E42" s="225"/>
      <c r="F42" s="225"/>
      <c r="G42" s="225"/>
      <c r="H42" s="225"/>
      <c r="I42" s="226"/>
    </row>
    <row r="43" spans="1:9" ht="18.75" customHeight="1" x14ac:dyDescent="0.15">
      <c r="A43" s="19"/>
      <c r="B43" s="224"/>
      <c r="C43" s="225"/>
      <c r="D43" s="225"/>
      <c r="E43" s="225"/>
      <c r="F43" s="225"/>
      <c r="G43" s="225"/>
      <c r="H43" s="225"/>
      <c r="I43" s="226"/>
    </row>
    <row r="44" spans="1:9" ht="18.75" customHeight="1" x14ac:dyDescent="0.15">
      <c r="A44" s="19"/>
      <c r="B44" s="224"/>
      <c r="C44" s="225"/>
      <c r="D44" s="225"/>
      <c r="E44" s="225"/>
      <c r="F44" s="225"/>
      <c r="G44" s="225"/>
      <c r="H44" s="225"/>
      <c r="I44" s="226"/>
    </row>
    <row r="45" spans="1:9" ht="18.75" customHeight="1" x14ac:dyDescent="0.15">
      <c r="A45" s="19"/>
      <c r="B45" s="224"/>
      <c r="C45" s="225"/>
      <c r="D45" s="225"/>
      <c r="E45" s="225"/>
      <c r="F45" s="225"/>
      <c r="G45" s="225"/>
      <c r="H45" s="225"/>
      <c r="I45" s="226"/>
    </row>
    <row r="46" spans="1:9" ht="18.75" customHeight="1" x14ac:dyDescent="0.15">
      <c r="A46" s="19"/>
      <c r="B46" s="227"/>
      <c r="C46" s="228"/>
      <c r="D46" s="228"/>
      <c r="E46" s="228"/>
      <c r="F46" s="228"/>
      <c r="G46" s="228"/>
      <c r="H46" s="228"/>
      <c r="I46" s="229"/>
    </row>
    <row r="47" spans="1:9" ht="7.5" customHeight="1" x14ac:dyDescent="0.15">
      <c r="A47" s="8"/>
      <c r="B47" s="8"/>
      <c r="C47" s="8"/>
      <c r="D47" s="8"/>
      <c r="E47" s="8"/>
      <c r="F47" s="8"/>
      <c r="G47" s="8"/>
      <c r="H47" s="8"/>
      <c r="I47" s="8"/>
    </row>
    <row r="48" spans="1:9" ht="18.75" customHeight="1" x14ac:dyDescent="0.15">
      <c r="A48" s="1" t="s">
        <v>109</v>
      </c>
      <c r="B48" s="1" t="s">
        <v>110</v>
      </c>
    </row>
    <row r="49" spans="1:15" s="6" customFormat="1" ht="18.75" customHeight="1" x14ac:dyDescent="0.15">
      <c r="B49" s="24" t="s">
        <v>111</v>
      </c>
      <c r="C49" s="267">
        <f>'様式２ 履修者等数の実績'!AQ32</f>
        <v>1.3405797101449275E-2</v>
      </c>
      <c r="D49" s="267"/>
      <c r="E49" s="24" t="s">
        <v>112</v>
      </c>
      <c r="F49" s="267">
        <v>0.05</v>
      </c>
      <c r="G49" s="267"/>
      <c r="H49" s="24" t="s">
        <v>113</v>
      </c>
      <c r="I49" s="25">
        <v>0.1</v>
      </c>
      <c r="J49" s="1"/>
      <c r="M49" s="1"/>
      <c r="N49" s="26"/>
    </row>
    <row r="50" spans="1:15" s="6" customFormat="1" ht="18.75" customHeight="1" x14ac:dyDescent="0.15">
      <c r="B50" s="27" t="s">
        <v>114</v>
      </c>
      <c r="C50" s="250">
        <v>0.2</v>
      </c>
      <c r="D50" s="250"/>
      <c r="E50" s="27" t="s">
        <v>115</v>
      </c>
      <c r="F50" s="250">
        <v>0.4</v>
      </c>
      <c r="G50" s="250"/>
      <c r="H50" s="27" t="s">
        <v>116</v>
      </c>
      <c r="I50" s="28">
        <f>'様式２ 履修者等数の実績'!E32</f>
        <v>2760</v>
      </c>
      <c r="J50" s="1"/>
      <c r="M50" s="1"/>
      <c r="N50" s="26"/>
    </row>
    <row r="51" spans="1:15" ht="18.75" customHeight="1" x14ac:dyDescent="0.15">
      <c r="A51" s="1"/>
      <c r="B51" s="241" t="s">
        <v>117</v>
      </c>
      <c r="C51" s="242"/>
      <c r="D51" s="242"/>
      <c r="E51" s="242"/>
      <c r="F51" s="242"/>
      <c r="G51" s="242"/>
      <c r="H51" s="242"/>
      <c r="I51" s="243"/>
      <c r="N51" s="26"/>
      <c r="O51" s="6"/>
    </row>
    <row r="52" spans="1:15" ht="18.75" customHeight="1" x14ac:dyDescent="0.15">
      <c r="A52" s="1"/>
      <c r="B52" s="268" t="s">
        <v>118</v>
      </c>
      <c r="C52" s="269"/>
      <c r="D52" s="269"/>
      <c r="E52" s="269"/>
      <c r="F52" s="269"/>
      <c r="G52" s="269"/>
      <c r="H52" s="269"/>
      <c r="I52" s="270"/>
      <c r="N52" s="26"/>
      <c r="O52" s="6"/>
    </row>
    <row r="53" spans="1:15" ht="18.75" customHeight="1" x14ac:dyDescent="0.15">
      <c r="A53" s="1"/>
      <c r="B53" s="271"/>
      <c r="C53" s="272"/>
      <c r="D53" s="272"/>
      <c r="E53" s="272"/>
      <c r="F53" s="272"/>
      <c r="G53" s="272"/>
      <c r="H53" s="272"/>
      <c r="I53" s="273"/>
      <c r="N53" s="26"/>
      <c r="O53" s="6"/>
    </row>
    <row r="54" spans="1:15" ht="18.75" customHeight="1" x14ac:dyDescent="0.15">
      <c r="A54" s="1"/>
      <c r="B54" s="271"/>
      <c r="C54" s="272"/>
      <c r="D54" s="272"/>
      <c r="E54" s="272"/>
      <c r="F54" s="272"/>
      <c r="G54" s="272"/>
      <c r="H54" s="272"/>
      <c r="I54" s="273"/>
    </row>
    <row r="55" spans="1:15" ht="18.75" customHeight="1" x14ac:dyDescent="0.15">
      <c r="A55" s="1"/>
      <c r="B55" s="271"/>
      <c r="C55" s="272"/>
      <c r="D55" s="272"/>
      <c r="E55" s="272"/>
      <c r="F55" s="272"/>
      <c r="G55" s="272"/>
      <c r="H55" s="272"/>
      <c r="I55" s="273"/>
    </row>
    <row r="56" spans="1:15" ht="18.75" customHeight="1" x14ac:dyDescent="0.15">
      <c r="A56" s="1"/>
      <c r="B56" s="271"/>
      <c r="C56" s="272"/>
      <c r="D56" s="272"/>
      <c r="E56" s="272"/>
      <c r="F56" s="272"/>
      <c r="G56" s="272"/>
      <c r="H56" s="272"/>
      <c r="I56" s="273"/>
    </row>
    <row r="57" spans="1:15" ht="18.75" customHeight="1" x14ac:dyDescent="0.15">
      <c r="A57" s="1"/>
      <c r="B57" s="271"/>
      <c r="C57" s="272"/>
      <c r="D57" s="272"/>
      <c r="E57" s="272"/>
      <c r="F57" s="272"/>
      <c r="G57" s="272"/>
      <c r="H57" s="272"/>
      <c r="I57" s="273"/>
    </row>
    <row r="58" spans="1:15" ht="18.75" customHeight="1" x14ac:dyDescent="0.15">
      <c r="A58" s="1"/>
      <c r="B58" s="271"/>
      <c r="C58" s="272"/>
      <c r="D58" s="272"/>
      <c r="E58" s="272"/>
      <c r="F58" s="272"/>
      <c r="G58" s="272"/>
      <c r="H58" s="272"/>
      <c r="I58" s="273"/>
    </row>
    <row r="59" spans="1:15" ht="18.75" customHeight="1" x14ac:dyDescent="0.15">
      <c r="A59" s="1"/>
      <c r="B59" s="271"/>
      <c r="C59" s="272"/>
      <c r="D59" s="272"/>
      <c r="E59" s="272"/>
      <c r="F59" s="272"/>
      <c r="G59" s="272"/>
      <c r="H59" s="272"/>
      <c r="I59" s="273"/>
    </row>
    <row r="60" spans="1:15" ht="18.75" customHeight="1" x14ac:dyDescent="0.15">
      <c r="A60" s="1"/>
      <c r="B60" s="271"/>
      <c r="C60" s="272"/>
      <c r="D60" s="272"/>
      <c r="E60" s="272"/>
      <c r="F60" s="272"/>
      <c r="G60" s="272"/>
      <c r="H60" s="272"/>
      <c r="I60" s="273"/>
    </row>
    <row r="61" spans="1:15" ht="18.75" customHeight="1" x14ac:dyDescent="0.15">
      <c r="A61" s="1"/>
      <c r="B61" s="271"/>
      <c r="C61" s="272"/>
      <c r="D61" s="272"/>
      <c r="E61" s="272"/>
      <c r="F61" s="272"/>
      <c r="G61" s="272"/>
      <c r="H61" s="272"/>
      <c r="I61" s="273"/>
    </row>
    <row r="62" spans="1:15" ht="18.75" customHeight="1" x14ac:dyDescent="0.15">
      <c r="A62" s="1"/>
      <c r="B62" s="271"/>
      <c r="C62" s="272"/>
      <c r="D62" s="272"/>
      <c r="E62" s="272"/>
      <c r="F62" s="272"/>
      <c r="G62" s="272"/>
      <c r="H62" s="272"/>
      <c r="I62" s="273"/>
    </row>
    <row r="63" spans="1:15" ht="18.75" customHeight="1" x14ac:dyDescent="0.15">
      <c r="A63" s="1"/>
      <c r="B63" s="274"/>
      <c r="C63" s="275"/>
      <c r="D63" s="275"/>
      <c r="E63" s="275"/>
      <c r="F63" s="275"/>
      <c r="G63" s="275"/>
      <c r="H63" s="275"/>
      <c r="I63" s="276"/>
    </row>
    <row r="64" spans="1:15" ht="7.5" customHeight="1" x14ac:dyDescent="0.15">
      <c r="A64" s="19"/>
      <c r="B64" s="19"/>
      <c r="C64" s="19"/>
      <c r="D64" s="19"/>
      <c r="E64" s="19"/>
      <c r="F64" s="19"/>
      <c r="G64" s="19"/>
      <c r="H64" s="19"/>
      <c r="I64" s="19"/>
    </row>
    <row r="65" spans="1:9" ht="18.75" customHeight="1" x14ac:dyDescent="0.15">
      <c r="A65" s="23" t="s">
        <v>119</v>
      </c>
      <c r="B65" s="1" t="s">
        <v>120</v>
      </c>
      <c r="I65" s="23"/>
    </row>
    <row r="66" spans="1:9" ht="18.75" customHeight="1" x14ac:dyDescent="0.15">
      <c r="A66" s="8"/>
      <c r="B66" s="251" t="s">
        <v>121</v>
      </c>
      <c r="C66" s="252"/>
      <c r="D66" s="252"/>
      <c r="E66" s="252"/>
      <c r="F66" s="252"/>
      <c r="G66" s="252"/>
      <c r="H66" s="252"/>
      <c r="I66" s="253"/>
    </row>
    <row r="67" spans="1:9" ht="18.75" customHeight="1" x14ac:dyDescent="0.15">
      <c r="A67" s="8"/>
      <c r="B67" s="254"/>
      <c r="C67" s="255"/>
      <c r="D67" s="255"/>
      <c r="E67" s="255"/>
      <c r="F67" s="255"/>
      <c r="G67" s="255"/>
      <c r="H67" s="255"/>
      <c r="I67" s="256"/>
    </row>
    <row r="68" spans="1:9" ht="18.75" customHeight="1" x14ac:dyDescent="0.15">
      <c r="A68" s="8"/>
      <c r="B68" s="254"/>
      <c r="C68" s="255"/>
      <c r="D68" s="255"/>
      <c r="E68" s="255"/>
      <c r="F68" s="255"/>
      <c r="G68" s="255"/>
      <c r="H68" s="255"/>
      <c r="I68" s="256"/>
    </row>
    <row r="69" spans="1:9" ht="18.75" customHeight="1" x14ac:dyDescent="0.15">
      <c r="A69" s="8"/>
      <c r="B69" s="254"/>
      <c r="C69" s="255"/>
      <c r="D69" s="255"/>
      <c r="E69" s="255"/>
      <c r="F69" s="255"/>
      <c r="G69" s="255"/>
      <c r="H69" s="255"/>
      <c r="I69" s="256"/>
    </row>
    <row r="70" spans="1:9" ht="18.75" customHeight="1" x14ac:dyDescent="0.15">
      <c r="A70" s="8"/>
      <c r="B70" s="254"/>
      <c r="C70" s="255"/>
      <c r="D70" s="255"/>
      <c r="E70" s="255"/>
      <c r="F70" s="255"/>
      <c r="G70" s="255"/>
      <c r="H70" s="255"/>
      <c r="I70" s="256"/>
    </row>
    <row r="71" spans="1:9" ht="18.75" customHeight="1" x14ac:dyDescent="0.15">
      <c r="A71" s="8"/>
      <c r="B71" s="254"/>
      <c r="C71" s="255"/>
      <c r="D71" s="255"/>
      <c r="E71" s="255"/>
      <c r="F71" s="255"/>
      <c r="G71" s="255"/>
      <c r="H71" s="255"/>
      <c r="I71" s="256"/>
    </row>
    <row r="72" spans="1:9" ht="18.75" customHeight="1" x14ac:dyDescent="0.15">
      <c r="A72" s="8"/>
      <c r="B72" s="254"/>
      <c r="C72" s="255"/>
      <c r="D72" s="255"/>
      <c r="E72" s="255"/>
      <c r="F72" s="255"/>
      <c r="G72" s="255"/>
      <c r="H72" s="255"/>
      <c r="I72" s="256"/>
    </row>
    <row r="73" spans="1:9" ht="18.75" customHeight="1" x14ac:dyDescent="0.15">
      <c r="A73" s="8"/>
      <c r="B73" s="254"/>
      <c r="C73" s="255"/>
      <c r="D73" s="255"/>
      <c r="E73" s="255"/>
      <c r="F73" s="255"/>
      <c r="G73" s="255"/>
      <c r="H73" s="255"/>
      <c r="I73" s="256"/>
    </row>
    <row r="74" spans="1:9" ht="18.75" customHeight="1" x14ac:dyDescent="0.15">
      <c r="A74" s="8"/>
      <c r="B74" s="254"/>
      <c r="C74" s="255"/>
      <c r="D74" s="255"/>
      <c r="E74" s="255"/>
      <c r="F74" s="255"/>
      <c r="G74" s="255"/>
      <c r="H74" s="255"/>
      <c r="I74" s="256"/>
    </row>
    <row r="75" spans="1:9" ht="18.75" customHeight="1" x14ac:dyDescent="0.15">
      <c r="A75" s="8"/>
      <c r="B75" s="254"/>
      <c r="C75" s="255"/>
      <c r="D75" s="255"/>
      <c r="E75" s="255"/>
      <c r="F75" s="255"/>
      <c r="G75" s="255"/>
      <c r="H75" s="255"/>
      <c r="I75" s="256"/>
    </row>
    <row r="76" spans="1:9" ht="18.75" customHeight="1" x14ac:dyDescent="0.15">
      <c r="A76" s="8"/>
      <c r="B76" s="254"/>
      <c r="C76" s="255"/>
      <c r="D76" s="255"/>
      <c r="E76" s="255"/>
      <c r="F76" s="255"/>
      <c r="G76" s="255"/>
      <c r="H76" s="255"/>
      <c r="I76" s="256"/>
    </row>
    <row r="77" spans="1:9" ht="18.75" customHeight="1" x14ac:dyDescent="0.15">
      <c r="A77" s="8"/>
      <c r="B77" s="257"/>
      <c r="C77" s="258"/>
      <c r="D77" s="258"/>
      <c r="E77" s="258"/>
      <c r="F77" s="258"/>
      <c r="G77" s="258"/>
      <c r="H77" s="258"/>
      <c r="I77" s="259"/>
    </row>
    <row r="78" spans="1:9" ht="7.5" customHeight="1" x14ac:dyDescent="0.15">
      <c r="A78" s="8"/>
      <c r="B78" s="8"/>
      <c r="C78" s="8"/>
      <c r="D78" s="8"/>
      <c r="E78" s="8"/>
      <c r="F78" s="8"/>
      <c r="G78" s="8"/>
      <c r="H78" s="8"/>
      <c r="I78" s="8"/>
    </row>
    <row r="79" spans="1:9" ht="18.75" customHeight="1" x14ac:dyDescent="0.15">
      <c r="A79" s="1" t="s">
        <v>122</v>
      </c>
      <c r="B79" s="1" t="s">
        <v>123</v>
      </c>
    </row>
    <row r="80" spans="1:9" ht="18.75" customHeight="1" x14ac:dyDescent="0.15">
      <c r="A80" s="1"/>
      <c r="B80" s="251" t="s">
        <v>124</v>
      </c>
      <c r="C80" s="252"/>
      <c r="D80" s="252"/>
      <c r="E80" s="252"/>
      <c r="F80" s="252"/>
      <c r="G80" s="252"/>
      <c r="H80" s="252"/>
      <c r="I80" s="260"/>
    </row>
    <row r="81" spans="1:9" ht="18.75" customHeight="1" x14ac:dyDescent="0.15">
      <c r="A81" s="1"/>
      <c r="B81" s="261"/>
      <c r="C81" s="262"/>
      <c r="D81" s="262"/>
      <c r="E81" s="262"/>
      <c r="F81" s="262"/>
      <c r="G81" s="262"/>
      <c r="H81" s="262"/>
      <c r="I81" s="263"/>
    </row>
    <row r="82" spans="1:9" ht="18.75" customHeight="1" x14ac:dyDescent="0.15">
      <c r="A82" s="1"/>
      <c r="B82" s="261"/>
      <c r="C82" s="262"/>
      <c r="D82" s="262"/>
      <c r="E82" s="262"/>
      <c r="F82" s="262"/>
      <c r="G82" s="262"/>
      <c r="H82" s="262"/>
      <c r="I82" s="263"/>
    </row>
    <row r="83" spans="1:9" ht="18.75" customHeight="1" x14ac:dyDescent="0.15">
      <c r="A83" s="1"/>
      <c r="B83" s="261"/>
      <c r="C83" s="262"/>
      <c r="D83" s="262"/>
      <c r="E83" s="262"/>
      <c r="F83" s="262"/>
      <c r="G83" s="262"/>
      <c r="H83" s="262"/>
      <c r="I83" s="263"/>
    </row>
    <row r="84" spans="1:9" ht="18.75" customHeight="1" x14ac:dyDescent="0.15">
      <c r="A84" s="1"/>
      <c r="B84" s="261"/>
      <c r="C84" s="262"/>
      <c r="D84" s="262"/>
      <c r="E84" s="262"/>
      <c r="F84" s="262"/>
      <c r="G84" s="262"/>
      <c r="H84" s="262"/>
      <c r="I84" s="263"/>
    </row>
    <row r="85" spans="1:9" ht="18.75" customHeight="1" x14ac:dyDescent="0.15">
      <c r="A85" s="1"/>
      <c r="B85" s="261"/>
      <c r="C85" s="262"/>
      <c r="D85" s="262"/>
      <c r="E85" s="262"/>
      <c r="F85" s="262"/>
      <c r="G85" s="262"/>
      <c r="H85" s="262"/>
      <c r="I85" s="263"/>
    </row>
    <row r="86" spans="1:9" ht="18.75" customHeight="1" x14ac:dyDescent="0.15">
      <c r="A86" s="1"/>
      <c r="B86" s="261"/>
      <c r="C86" s="262"/>
      <c r="D86" s="262"/>
      <c r="E86" s="262"/>
      <c r="F86" s="262"/>
      <c r="G86" s="262"/>
      <c r="H86" s="262"/>
      <c r="I86" s="263"/>
    </row>
    <row r="87" spans="1:9" ht="18.75" customHeight="1" x14ac:dyDescent="0.15">
      <c r="A87" s="1"/>
      <c r="B87" s="261"/>
      <c r="C87" s="262"/>
      <c r="D87" s="262"/>
      <c r="E87" s="262"/>
      <c r="F87" s="262"/>
      <c r="G87" s="262"/>
      <c r="H87" s="262"/>
      <c r="I87" s="263"/>
    </row>
    <row r="88" spans="1:9" ht="18.75" customHeight="1" x14ac:dyDescent="0.15">
      <c r="A88" s="1"/>
      <c r="B88" s="261"/>
      <c r="C88" s="262"/>
      <c r="D88" s="262"/>
      <c r="E88" s="262"/>
      <c r="F88" s="262"/>
      <c r="G88" s="262"/>
      <c r="H88" s="262"/>
      <c r="I88" s="263"/>
    </row>
    <row r="89" spans="1:9" ht="18.75" customHeight="1" x14ac:dyDescent="0.15">
      <c r="A89" s="1"/>
      <c r="B89" s="261"/>
      <c r="C89" s="262"/>
      <c r="D89" s="262"/>
      <c r="E89" s="262"/>
      <c r="F89" s="262"/>
      <c r="G89" s="262"/>
      <c r="H89" s="262"/>
      <c r="I89" s="263"/>
    </row>
    <row r="90" spans="1:9" ht="18.75" customHeight="1" x14ac:dyDescent="0.15">
      <c r="A90" s="8"/>
      <c r="B90" s="261"/>
      <c r="C90" s="262"/>
      <c r="D90" s="262"/>
      <c r="E90" s="262"/>
      <c r="F90" s="262"/>
      <c r="G90" s="262"/>
      <c r="H90" s="262"/>
      <c r="I90" s="263"/>
    </row>
    <row r="91" spans="1:9" ht="18.75" customHeight="1" x14ac:dyDescent="0.15">
      <c r="A91" s="8"/>
      <c r="B91" s="264"/>
      <c r="C91" s="265"/>
      <c r="D91" s="265"/>
      <c r="E91" s="265"/>
      <c r="F91" s="265"/>
      <c r="G91" s="265"/>
      <c r="H91" s="265"/>
      <c r="I91" s="266"/>
    </row>
    <row r="92" spans="1:9" ht="7.5" customHeight="1" x14ac:dyDescent="0.15">
      <c r="A92" s="8"/>
      <c r="B92" s="8"/>
      <c r="C92" s="8"/>
      <c r="D92" s="8"/>
      <c r="E92" s="8"/>
      <c r="F92" s="8"/>
      <c r="G92" s="8"/>
      <c r="H92" s="8"/>
      <c r="I92" s="8"/>
    </row>
    <row r="93" spans="1:9" ht="18.75" customHeight="1" x14ac:dyDescent="0.15">
      <c r="A93" s="1" t="s">
        <v>125</v>
      </c>
      <c r="B93" s="1" t="s">
        <v>126</v>
      </c>
    </row>
    <row r="94" spans="1:9" ht="18.75" customHeight="1" x14ac:dyDescent="0.15">
      <c r="A94" s="1"/>
      <c r="B94" s="221" t="s">
        <v>127</v>
      </c>
      <c r="C94" s="222"/>
      <c r="D94" s="222"/>
      <c r="E94" s="222"/>
      <c r="F94" s="222"/>
      <c r="G94" s="222"/>
      <c r="H94" s="222"/>
      <c r="I94" s="223"/>
    </row>
    <row r="95" spans="1:9" ht="18.75" customHeight="1" x14ac:dyDescent="0.15">
      <c r="A95" s="1"/>
      <c r="B95" s="224"/>
      <c r="C95" s="225"/>
      <c r="D95" s="225"/>
      <c r="E95" s="225"/>
      <c r="F95" s="225"/>
      <c r="G95" s="225"/>
      <c r="H95" s="225"/>
      <c r="I95" s="226"/>
    </row>
    <row r="96" spans="1:9" ht="18.75" customHeight="1" x14ac:dyDescent="0.15">
      <c r="A96" s="1"/>
      <c r="B96" s="224"/>
      <c r="C96" s="225"/>
      <c r="D96" s="225"/>
      <c r="E96" s="225"/>
      <c r="F96" s="225"/>
      <c r="G96" s="225"/>
      <c r="H96" s="225"/>
      <c r="I96" s="226"/>
    </row>
    <row r="97" spans="1:9" ht="18.75" customHeight="1" x14ac:dyDescent="0.15">
      <c r="A97" s="1"/>
      <c r="B97" s="224"/>
      <c r="C97" s="225"/>
      <c r="D97" s="225"/>
      <c r="E97" s="225"/>
      <c r="F97" s="225"/>
      <c r="G97" s="225"/>
      <c r="H97" s="225"/>
      <c r="I97" s="226"/>
    </row>
    <row r="98" spans="1:9" ht="18.75" customHeight="1" x14ac:dyDescent="0.15">
      <c r="A98" s="1"/>
      <c r="B98" s="224"/>
      <c r="C98" s="225"/>
      <c r="D98" s="225"/>
      <c r="E98" s="225"/>
      <c r="F98" s="225"/>
      <c r="G98" s="225"/>
      <c r="H98" s="225"/>
      <c r="I98" s="226"/>
    </row>
    <row r="99" spans="1:9" ht="18.75" customHeight="1" x14ac:dyDescent="0.15">
      <c r="A99" s="1"/>
      <c r="B99" s="224"/>
      <c r="C99" s="225"/>
      <c r="D99" s="225"/>
      <c r="E99" s="225"/>
      <c r="F99" s="225"/>
      <c r="G99" s="225"/>
      <c r="H99" s="225"/>
      <c r="I99" s="226"/>
    </row>
    <row r="100" spans="1:9" ht="18.75" customHeight="1" x14ac:dyDescent="0.15">
      <c r="A100" s="1"/>
      <c r="B100" s="224"/>
      <c r="C100" s="225"/>
      <c r="D100" s="225"/>
      <c r="E100" s="225"/>
      <c r="F100" s="225"/>
      <c r="G100" s="225"/>
      <c r="H100" s="225"/>
      <c r="I100" s="226"/>
    </row>
    <row r="101" spans="1:9" ht="18.75" customHeight="1" x14ac:dyDescent="0.15">
      <c r="A101" s="1"/>
      <c r="B101" s="224"/>
      <c r="C101" s="225"/>
      <c r="D101" s="225"/>
      <c r="E101" s="225"/>
      <c r="F101" s="225"/>
      <c r="G101" s="225"/>
      <c r="H101" s="225"/>
      <c r="I101" s="226"/>
    </row>
    <row r="102" spans="1:9" ht="18.75" customHeight="1" x14ac:dyDescent="0.15">
      <c r="A102" s="1"/>
      <c r="B102" s="224"/>
      <c r="C102" s="225"/>
      <c r="D102" s="225"/>
      <c r="E102" s="225"/>
      <c r="F102" s="225"/>
      <c r="G102" s="225"/>
      <c r="H102" s="225"/>
      <c r="I102" s="226"/>
    </row>
    <row r="103" spans="1:9" ht="18.75" customHeight="1" x14ac:dyDescent="0.15">
      <c r="A103" s="1"/>
      <c r="B103" s="224"/>
      <c r="C103" s="225"/>
      <c r="D103" s="225"/>
      <c r="E103" s="225"/>
      <c r="F103" s="225"/>
      <c r="G103" s="225"/>
      <c r="H103" s="225"/>
      <c r="I103" s="226"/>
    </row>
    <row r="104" spans="1:9" ht="18.75" customHeight="1" x14ac:dyDescent="0.15">
      <c r="A104" s="1"/>
      <c r="B104" s="224"/>
      <c r="C104" s="225"/>
      <c r="D104" s="225"/>
      <c r="E104" s="225"/>
      <c r="F104" s="225"/>
      <c r="G104" s="225"/>
      <c r="H104" s="225"/>
      <c r="I104" s="226"/>
    </row>
    <row r="105" spans="1:9" ht="18.75" customHeight="1" x14ac:dyDescent="0.15">
      <c r="A105" s="8"/>
      <c r="B105" s="227"/>
      <c r="C105" s="228"/>
      <c r="D105" s="228"/>
      <c r="E105" s="228"/>
      <c r="F105" s="228"/>
      <c r="G105" s="228"/>
      <c r="H105" s="228"/>
      <c r="I105" s="229"/>
    </row>
    <row r="106" spans="1:9" ht="7.5" customHeight="1" x14ac:dyDescent="0.15">
      <c r="A106" s="8"/>
      <c r="B106" s="8"/>
      <c r="C106" s="8"/>
      <c r="D106" s="8"/>
      <c r="E106" s="8"/>
      <c r="F106" s="8"/>
      <c r="G106" s="8"/>
      <c r="H106" s="8"/>
      <c r="I106" s="8"/>
    </row>
    <row r="107" spans="1:9" ht="18.75" customHeight="1" x14ac:dyDescent="0.15">
      <c r="A107" s="1" t="s">
        <v>128</v>
      </c>
      <c r="B107" s="230" t="s">
        <v>129</v>
      </c>
      <c r="C107" s="230"/>
      <c r="D107" s="230"/>
      <c r="E107" s="230"/>
      <c r="F107" s="230"/>
      <c r="G107" s="230"/>
      <c r="H107" s="230"/>
      <c r="I107" s="230"/>
    </row>
    <row r="108" spans="1:9" ht="18.75" customHeight="1" x14ac:dyDescent="0.15">
      <c r="A108" s="8"/>
      <c r="B108" s="221" t="s">
        <v>130</v>
      </c>
      <c r="C108" s="222"/>
      <c r="D108" s="222"/>
      <c r="E108" s="222"/>
      <c r="F108" s="222"/>
      <c r="G108" s="222"/>
      <c r="H108" s="222"/>
      <c r="I108" s="231"/>
    </row>
    <row r="109" spans="1:9" ht="18.75" customHeight="1" x14ac:dyDescent="0.15">
      <c r="A109" s="8"/>
      <c r="B109" s="232"/>
      <c r="C109" s="233"/>
      <c r="D109" s="233"/>
      <c r="E109" s="233"/>
      <c r="F109" s="233"/>
      <c r="G109" s="233"/>
      <c r="H109" s="233"/>
      <c r="I109" s="234"/>
    </row>
    <row r="110" spans="1:9" ht="18.75" customHeight="1" x14ac:dyDescent="0.15">
      <c r="A110" s="8"/>
      <c r="B110" s="232"/>
      <c r="C110" s="233"/>
      <c r="D110" s="233"/>
      <c r="E110" s="233"/>
      <c r="F110" s="233"/>
      <c r="G110" s="233"/>
      <c r="H110" s="233"/>
      <c r="I110" s="234"/>
    </row>
    <row r="111" spans="1:9" ht="18.75" customHeight="1" x14ac:dyDescent="0.15">
      <c r="A111" s="8"/>
      <c r="B111" s="232"/>
      <c r="C111" s="233"/>
      <c r="D111" s="233"/>
      <c r="E111" s="233"/>
      <c r="F111" s="233"/>
      <c r="G111" s="233"/>
      <c r="H111" s="233"/>
      <c r="I111" s="234"/>
    </row>
    <row r="112" spans="1:9" ht="18.75" customHeight="1" x14ac:dyDescent="0.15">
      <c r="A112" s="8"/>
      <c r="B112" s="232"/>
      <c r="C112" s="233"/>
      <c r="D112" s="233"/>
      <c r="E112" s="233"/>
      <c r="F112" s="233"/>
      <c r="G112" s="233"/>
      <c r="H112" s="233"/>
      <c r="I112" s="234"/>
    </row>
    <row r="113" spans="1:9" ht="18.75" customHeight="1" x14ac:dyDescent="0.15">
      <c r="A113" s="8"/>
      <c r="B113" s="232"/>
      <c r="C113" s="233"/>
      <c r="D113" s="233"/>
      <c r="E113" s="233"/>
      <c r="F113" s="233"/>
      <c r="G113" s="233"/>
      <c r="H113" s="233"/>
      <c r="I113" s="234"/>
    </row>
    <row r="114" spans="1:9" ht="18.75" customHeight="1" x14ac:dyDescent="0.15">
      <c r="A114" s="8"/>
      <c r="B114" s="232"/>
      <c r="C114" s="233"/>
      <c r="D114" s="233"/>
      <c r="E114" s="233"/>
      <c r="F114" s="233"/>
      <c r="G114" s="233"/>
      <c r="H114" s="233"/>
      <c r="I114" s="234"/>
    </row>
    <row r="115" spans="1:9" ht="18.75" customHeight="1" x14ac:dyDescent="0.15">
      <c r="A115" s="8"/>
      <c r="B115" s="232"/>
      <c r="C115" s="233"/>
      <c r="D115" s="233"/>
      <c r="E115" s="233"/>
      <c r="F115" s="233"/>
      <c r="G115" s="233"/>
      <c r="H115" s="233"/>
      <c r="I115" s="234"/>
    </row>
    <row r="116" spans="1:9" ht="18.75" customHeight="1" x14ac:dyDescent="0.15">
      <c r="A116" s="8"/>
      <c r="B116" s="232"/>
      <c r="C116" s="233"/>
      <c r="D116" s="233"/>
      <c r="E116" s="233"/>
      <c r="F116" s="233"/>
      <c r="G116" s="233"/>
      <c r="H116" s="233"/>
      <c r="I116" s="234"/>
    </row>
    <row r="117" spans="1:9" ht="18.75" customHeight="1" x14ac:dyDescent="0.15">
      <c r="A117" s="8"/>
      <c r="B117" s="232"/>
      <c r="C117" s="233"/>
      <c r="D117" s="233"/>
      <c r="E117" s="233"/>
      <c r="F117" s="233"/>
      <c r="G117" s="233"/>
      <c r="H117" s="233"/>
      <c r="I117" s="234"/>
    </row>
    <row r="118" spans="1:9" ht="18.75" customHeight="1" x14ac:dyDescent="0.15">
      <c r="A118" s="8"/>
      <c r="B118" s="232"/>
      <c r="C118" s="233"/>
      <c r="D118" s="233"/>
      <c r="E118" s="233"/>
      <c r="F118" s="233"/>
      <c r="G118" s="233"/>
      <c r="H118" s="233"/>
      <c r="I118" s="234"/>
    </row>
    <row r="119" spans="1:9" ht="18.75" customHeight="1" x14ac:dyDescent="0.15">
      <c r="A119" s="8"/>
      <c r="B119" s="235"/>
      <c r="C119" s="236"/>
      <c r="D119" s="236"/>
      <c r="E119" s="236"/>
      <c r="F119" s="236"/>
      <c r="G119" s="236"/>
      <c r="H119" s="236"/>
      <c r="I119" s="237"/>
    </row>
    <row r="120" spans="1:9" ht="7.5" customHeight="1" x14ac:dyDescent="0.15">
      <c r="A120" s="8"/>
      <c r="B120" s="29"/>
      <c r="C120" s="29"/>
      <c r="D120" s="29"/>
      <c r="E120" s="29"/>
      <c r="F120" s="29"/>
      <c r="G120" s="29"/>
      <c r="H120" s="29"/>
      <c r="I120" s="29"/>
    </row>
    <row r="121" spans="1:9" ht="18.75" customHeight="1" x14ac:dyDescent="0.15">
      <c r="A121" s="8"/>
      <c r="B121" s="8"/>
      <c r="C121" s="8"/>
      <c r="D121" s="8"/>
      <c r="E121" s="8"/>
      <c r="F121" s="8"/>
      <c r="G121" s="8"/>
      <c r="H121" s="8"/>
      <c r="I121" s="8"/>
    </row>
    <row r="122" spans="1:9" ht="18.75" customHeight="1" x14ac:dyDescent="0.15">
      <c r="A122" s="8"/>
      <c r="B122" s="8"/>
      <c r="C122" s="8"/>
      <c r="D122" s="8"/>
      <c r="E122" s="8"/>
      <c r="F122" s="8"/>
      <c r="G122" s="8"/>
      <c r="H122" s="8"/>
      <c r="I122" s="8"/>
    </row>
    <row r="123" spans="1:9" ht="18.75" customHeight="1" x14ac:dyDescent="0.15">
      <c r="A123" s="8"/>
      <c r="B123" s="8"/>
      <c r="C123" s="8"/>
      <c r="D123" s="8"/>
      <c r="E123" s="8"/>
      <c r="F123" s="8"/>
      <c r="G123" s="8"/>
      <c r="H123" s="8"/>
      <c r="I123" s="8"/>
    </row>
    <row r="124" spans="1:9" ht="18.75" customHeight="1" x14ac:dyDescent="0.15">
      <c r="A124" s="8"/>
      <c r="B124" s="8"/>
      <c r="C124" s="8"/>
      <c r="D124" s="8"/>
      <c r="E124" s="8"/>
      <c r="F124" s="8"/>
      <c r="G124" s="8"/>
      <c r="H124" s="8"/>
      <c r="I124" s="8"/>
    </row>
    <row r="125" spans="1:9" ht="18.75" customHeight="1" x14ac:dyDescent="0.15">
      <c r="A125" s="8"/>
      <c r="B125" s="8"/>
      <c r="C125" s="8"/>
      <c r="D125" s="8"/>
      <c r="E125" s="8"/>
      <c r="F125" s="8"/>
      <c r="G125" s="8"/>
      <c r="H125" s="8"/>
      <c r="I125" s="8"/>
    </row>
    <row r="126" spans="1:9" ht="18.75" customHeight="1" x14ac:dyDescent="0.15">
      <c r="A126" s="8"/>
      <c r="B126" s="8"/>
      <c r="C126" s="8"/>
      <c r="D126" s="8"/>
      <c r="E126" s="8"/>
      <c r="F126" s="8"/>
      <c r="G126" s="8"/>
      <c r="H126" s="8"/>
      <c r="I126" s="8"/>
    </row>
    <row r="127" spans="1:9" ht="18.75" customHeight="1" x14ac:dyDescent="0.15">
      <c r="A127" s="8"/>
      <c r="B127" s="8"/>
      <c r="C127" s="8"/>
      <c r="D127" s="8"/>
      <c r="E127" s="8"/>
      <c r="F127" s="8"/>
      <c r="G127" s="8"/>
      <c r="H127" s="8"/>
      <c r="I127" s="8"/>
    </row>
    <row r="128" spans="1:9" ht="18.75" customHeight="1" x14ac:dyDescent="0.15">
      <c r="A128" s="8"/>
      <c r="B128" s="8"/>
      <c r="C128" s="8"/>
      <c r="D128" s="8"/>
      <c r="E128" s="8"/>
      <c r="F128" s="8"/>
      <c r="G128" s="8"/>
      <c r="H128" s="8"/>
      <c r="I128" s="8"/>
    </row>
    <row r="129" spans="1:9" ht="18.75" customHeight="1" x14ac:dyDescent="0.15">
      <c r="A129" s="8"/>
      <c r="B129" s="8"/>
      <c r="C129" s="8"/>
      <c r="D129" s="8"/>
      <c r="E129" s="8"/>
      <c r="F129" s="8"/>
      <c r="G129" s="8"/>
      <c r="H129" s="8"/>
      <c r="I129" s="8"/>
    </row>
    <row r="130" spans="1:9" ht="18.75" customHeight="1" x14ac:dyDescent="0.15">
      <c r="A130" s="8"/>
      <c r="B130" s="8"/>
      <c r="C130" s="8"/>
      <c r="D130" s="8"/>
      <c r="E130" s="8"/>
      <c r="F130" s="8"/>
      <c r="G130" s="8"/>
      <c r="H130" s="8"/>
      <c r="I130" s="8"/>
    </row>
    <row r="131" spans="1:9" ht="18.75" customHeight="1" x14ac:dyDescent="0.15">
      <c r="A131" s="8"/>
      <c r="B131" s="8"/>
      <c r="C131" s="8"/>
      <c r="D131" s="8"/>
      <c r="E131" s="8"/>
      <c r="F131" s="8"/>
      <c r="G131" s="8"/>
      <c r="H131" s="8"/>
      <c r="I131" s="8"/>
    </row>
    <row r="132" spans="1:9" ht="18.75" customHeight="1" x14ac:dyDescent="0.15">
      <c r="A132" s="8"/>
      <c r="B132" s="8"/>
      <c r="C132" s="8"/>
      <c r="D132" s="8"/>
      <c r="E132" s="8"/>
      <c r="F132" s="8"/>
      <c r="G132" s="8"/>
      <c r="H132" s="8"/>
      <c r="I132" s="8"/>
    </row>
    <row r="133" spans="1:9" ht="14.25" x14ac:dyDescent="0.15">
      <c r="A133" s="8"/>
      <c r="B133" s="8"/>
      <c r="C133" s="8"/>
      <c r="D133" s="8"/>
      <c r="E133" s="8"/>
      <c r="F133" s="8"/>
      <c r="G133" s="8"/>
      <c r="H133" s="8"/>
      <c r="I133" s="8"/>
    </row>
    <row r="134" spans="1:9" ht="7.5" customHeight="1" x14ac:dyDescent="0.15">
      <c r="A134" s="30"/>
      <c r="B134" s="30"/>
      <c r="C134" s="30"/>
      <c r="D134" s="30"/>
      <c r="E134" s="30"/>
      <c r="F134" s="30"/>
      <c r="G134" s="30"/>
      <c r="H134" s="30"/>
      <c r="I134" s="30"/>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1:E11"/>
    <mergeCell ref="H16:I16"/>
    <mergeCell ref="H11:I11"/>
    <mergeCell ref="C6:D6"/>
    <mergeCell ref="F50:G50"/>
    <mergeCell ref="C16:E16"/>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30"/>
  <sheetViews>
    <sheetView showZeros="0" view="pageBreakPreview" topLeftCell="B1" zoomScale="85" zoomScaleNormal="100" zoomScaleSheetLayoutView="85" workbookViewId="0">
      <selection activeCell="K15" sqref="K15"/>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131</v>
      </c>
      <c r="I1" s="2" t="s">
        <v>132</v>
      </c>
    </row>
    <row r="2" spans="1:9" ht="18.75" customHeight="1" x14ac:dyDescent="0.15">
      <c r="H2" s="2" t="s">
        <v>2</v>
      </c>
      <c r="I2" s="3" t="str">
        <f>'様式１　プログラムを構成する授業科目'!C2</f>
        <v>大阪樟蔭女子大学</v>
      </c>
    </row>
    <row r="3" spans="1:9" ht="18.75" customHeight="1" x14ac:dyDescent="0.15">
      <c r="A3" s="180" t="s">
        <v>133</v>
      </c>
      <c r="B3" s="180"/>
      <c r="C3" s="180"/>
      <c r="D3" s="180"/>
      <c r="E3" s="180"/>
      <c r="F3" s="180"/>
      <c r="G3" s="180"/>
      <c r="H3" s="180"/>
      <c r="I3" s="180"/>
    </row>
    <row r="4" spans="1:9" ht="18.75" customHeight="1" x14ac:dyDescent="0.15">
      <c r="A4" s="4"/>
      <c r="B4" s="4"/>
      <c r="C4" s="4"/>
      <c r="D4" s="4"/>
      <c r="E4" s="4"/>
      <c r="F4" s="4"/>
      <c r="G4" s="4"/>
      <c r="H4" s="4"/>
      <c r="I4" s="4"/>
    </row>
    <row r="5" spans="1:9" ht="18.75" customHeight="1" x14ac:dyDescent="0.15">
      <c r="A5" s="1" t="s">
        <v>84</v>
      </c>
      <c r="B5" s="5" t="s">
        <v>134</v>
      </c>
      <c r="C5" s="4"/>
      <c r="D5" s="4"/>
      <c r="E5" s="4"/>
      <c r="F5" s="4"/>
      <c r="G5" s="4"/>
      <c r="H5" s="4"/>
      <c r="I5" s="4"/>
    </row>
    <row r="6" spans="1:9" ht="26.25" customHeight="1" x14ac:dyDescent="0.15">
      <c r="A6" s="4"/>
      <c r="B6" s="244" t="s">
        <v>99</v>
      </c>
      <c r="C6" s="284"/>
      <c r="D6" s="284"/>
      <c r="E6" s="284"/>
      <c r="F6" s="284"/>
      <c r="G6" s="284"/>
      <c r="H6" s="285"/>
      <c r="I6" s="6"/>
    </row>
    <row r="7" spans="1:9" ht="9" customHeight="1" x14ac:dyDescent="0.15">
      <c r="A7" s="4"/>
      <c r="B7" s="5"/>
      <c r="C7" s="5"/>
      <c r="D7" s="5"/>
      <c r="E7" s="5"/>
      <c r="F7" s="5"/>
      <c r="G7" s="5"/>
      <c r="H7" s="5"/>
      <c r="I7" s="6"/>
    </row>
    <row r="8" spans="1:9" ht="18.75" customHeight="1" x14ac:dyDescent="0.15">
      <c r="A8" s="4"/>
      <c r="B8" s="6"/>
      <c r="C8" s="6"/>
      <c r="D8" s="2" t="s">
        <v>93</v>
      </c>
      <c r="E8" s="7" t="s">
        <v>135</v>
      </c>
      <c r="F8" s="6"/>
      <c r="G8" s="2" t="s">
        <v>95</v>
      </c>
      <c r="H8" s="7" t="s">
        <v>96</v>
      </c>
      <c r="I8" s="6"/>
    </row>
    <row r="9" spans="1:9" ht="7.5" customHeight="1" x14ac:dyDescent="0.15">
      <c r="A9" s="4"/>
      <c r="B9" s="4"/>
      <c r="C9" s="4"/>
      <c r="D9" s="4"/>
      <c r="E9" s="4"/>
      <c r="F9" s="4"/>
      <c r="G9" s="4"/>
      <c r="H9" s="4"/>
      <c r="I9" s="4"/>
    </row>
    <row r="10" spans="1:9" ht="18.75" customHeight="1" x14ac:dyDescent="0.15">
      <c r="A10" s="1" t="s">
        <v>89</v>
      </c>
      <c r="B10" s="1" t="s">
        <v>136</v>
      </c>
      <c r="C10" s="8"/>
      <c r="D10" s="8"/>
      <c r="E10" s="8"/>
      <c r="F10" s="8"/>
      <c r="G10" s="8"/>
      <c r="H10" s="8"/>
      <c r="I10" s="8"/>
    </row>
    <row r="11" spans="1:9" ht="18.75" customHeight="1" x14ac:dyDescent="0.15">
      <c r="B11" s="105" t="s">
        <v>137</v>
      </c>
      <c r="C11" s="106"/>
      <c r="D11" s="107"/>
      <c r="E11" s="106" t="s">
        <v>138</v>
      </c>
      <c r="F11" s="106"/>
      <c r="G11" s="106"/>
      <c r="H11" s="106"/>
      <c r="I11" s="107"/>
    </row>
    <row r="12" spans="1:9" ht="26.25" customHeight="1" x14ac:dyDescent="0.15">
      <c r="B12" s="9" t="s">
        <v>139</v>
      </c>
      <c r="C12" s="10"/>
      <c r="D12" s="11"/>
      <c r="E12" s="12"/>
      <c r="F12" s="12"/>
      <c r="G12" s="12"/>
      <c r="H12" s="12"/>
      <c r="I12" s="11"/>
    </row>
    <row r="13" spans="1:9" ht="210.75" customHeight="1" x14ac:dyDescent="0.15">
      <c r="B13" s="13"/>
      <c r="C13" s="282" t="s">
        <v>140</v>
      </c>
      <c r="D13" s="283"/>
      <c r="E13" s="279" t="s">
        <v>141</v>
      </c>
      <c r="F13" s="280"/>
      <c r="G13" s="280"/>
      <c r="H13" s="280"/>
      <c r="I13" s="281"/>
    </row>
    <row r="14" spans="1:9" ht="210.75" customHeight="1" x14ac:dyDescent="0.15">
      <c r="B14" s="13"/>
      <c r="C14" s="277" t="s">
        <v>142</v>
      </c>
      <c r="D14" s="278"/>
      <c r="E14" s="279" t="s">
        <v>143</v>
      </c>
      <c r="F14" s="280"/>
      <c r="G14" s="280"/>
      <c r="H14" s="280"/>
      <c r="I14" s="281"/>
    </row>
    <row r="15" spans="1:9" ht="210.75" customHeight="1" x14ac:dyDescent="0.15">
      <c r="B15" s="13"/>
      <c r="C15" s="282" t="s">
        <v>144</v>
      </c>
      <c r="D15" s="283"/>
      <c r="E15" s="279" t="s">
        <v>145</v>
      </c>
      <c r="F15" s="280"/>
      <c r="G15" s="280"/>
      <c r="H15" s="280"/>
      <c r="I15" s="281"/>
    </row>
    <row r="16" spans="1:9" ht="210.75" customHeight="1" x14ac:dyDescent="0.15">
      <c r="B16" s="13"/>
      <c r="C16" s="282" t="s">
        <v>146</v>
      </c>
      <c r="D16" s="283"/>
      <c r="E16" s="279" t="s">
        <v>147</v>
      </c>
      <c r="F16" s="280"/>
      <c r="G16" s="280"/>
      <c r="H16" s="280"/>
      <c r="I16" s="281"/>
    </row>
    <row r="17" spans="2:9" ht="210.75" customHeight="1" x14ac:dyDescent="0.15">
      <c r="B17" s="14"/>
      <c r="C17" s="286" t="s">
        <v>148</v>
      </c>
      <c r="D17" s="287"/>
      <c r="E17" s="288" t="s">
        <v>149</v>
      </c>
      <c r="F17" s="289"/>
      <c r="G17" s="289"/>
      <c r="H17" s="289"/>
      <c r="I17" s="290"/>
    </row>
    <row r="18" spans="2:9" ht="24" customHeight="1" x14ac:dyDescent="0.15">
      <c r="B18" s="9" t="s">
        <v>150</v>
      </c>
      <c r="C18" s="15"/>
      <c r="D18" s="16"/>
      <c r="E18" s="17"/>
      <c r="F18" s="17"/>
      <c r="G18" s="17"/>
      <c r="H18" s="17"/>
      <c r="I18" s="18"/>
    </row>
    <row r="19" spans="2:9" ht="218.25" customHeight="1" x14ac:dyDescent="0.15">
      <c r="B19" s="13"/>
      <c r="C19" s="282" t="s">
        <v>151</v>
      </c>
      <c r="D19" s="283"/>
      <c r="E19" s="280" t="s">
        <v>152</v>
      </c>
      <c r="F19" s="280"/>
      <c r="G19" s="280"/>
      <c r="H19" s="280"/>
      <c r="I19" s="281"/>
    </row>
    <row r="20" spans="2:9" ht="218.25" customHeight="1" x14ac:dyDescent="0.15">
      <c r="B20" s="14"/>
      <c r="C20" s="286" t="s">
        <v>153</v>
      </c>
      <c r="D20" s="287"/>
      <c r="E20" s="288" t="s">
        <v>154</v>
      </c>
      <c r="F20" s="289"/>
      <c r="G20" s="289"/>
      <c r="H20" s="289"/>
      <c r="I20" s="290"/>
    </row>
    <row r="21" spans="2:9" ht="218.25" customHeight="1" x14ac:dyDescent="0.15">
      <c r="B21" s="294" t="s">
        <v>155</v>
      </c>
      <c r="C21" s="295"/>
      <c r="D21" s="296"/>
      <c r="E21" s="297" t="s">
        <v>156</v>
      </c>
      <c r="F21" s="297"/>
      <c r="G21" s="297"/>
      <c r="H21" s="297"/>
      <c r="I21" s="298"/>
    </row>
    <row r="22" spans="2:9" ht="218.25" customHeight="1" x14ac:dyDescent="0.15">
      <c r="B22" s="291" t="s">
        <v>157</v>
      </c>
      <c r="C22" s="292"/>
      <c r="D22" s="293"/>
      <c r="E22" s="236" t="s">
        <v>158</v>
      </c>
      <c r="F22" s="236"/>
      <c r="G22" s="236"/>
      <c r="H22" s="236"/>
      <c r="I22" s="237"/>
    </row>
    <row r="23" spans="2:9" ht="22.5" customHeight="1" x14ac:dyDescent="0.15">
      <c r="B23" s="8"/>
      <c r="C23" s="8"/>
      <c r="D23" s="8"/>
      <c r="E23" s="8"/>
      <c r="F23" s="8"/>
      <c r="G23" s="8"/>
      <c r="H23" s="8"/>
      <c r="I23" s="8"/>
    </row>
    <row r="24" spans="2:9" ht="22.5" customHeight="1" x14ac:dyDescent="0.15">
      <c r="B24" s="8"/>
      <c r="C24" s="8"/>
      <c r="D24" s="8"/>
      <c r="E24" s="8"/>
      <c r="F24" s="8"/>
      <c r="G24" s="8"/>
      <c r="H24" s="8"/>
      <c r="I24" s="8"/>
    </row>
    <row r="25" spans="2:9" ht="22.5" customHeight="1" x14ac:dyDescent="0.15">
      <c r="B25" s="8"/>
      <c r="C25" s="8"/>
      <c r="D25" s="8"/>
      <c r="E25" s="8"/>
      <c r="F25" s="8"/>
      <c r="G25" s="8"/>
      <c r="H25" s="8"/>
      <c r="I25" s="8"/>
    </row>
    <row r="26" spans="2:9" ht="22.5" customHeight="1" x14ac:dyDescent="0.15">
      <c r="B26" s="8"/>
      <c r="C26" s="8"/>
      <c r="D26" s="8"/>
      <c r="E26" s="8"/>
      <c r="F26" s="8"/>
      <c r="G26" s="8"/>
      <c r="H26" s="8"/>
      <c r="I26" s="8"/>
    </row>
    <row r="27" spans="2:9" ht="22.5" customHeight="1" x14ac:dyDescent="0.15">
      <c r="B27" s="8"/>
      <c r="C27" s="8"/>
      <c r="D27" s="8"/>
      <c r="E27" s="8"/>
      <c r="F27" s="8"/>
      <c r="G27" s="8"/>
      <c r="H27" s="8"/>
      <c r="I27" s="8"/>
    </row>
    <row r="28" spans="2:9" ht="22.5" customHeight="1" x14ac:dyDescent="0.15">
      <c r="B28" s="19"/>
      <c r="C28" s="19"/>
      <c r="D28" s="19"/>
      <c r="E28" s="19"/>
      <c r="F28" s="19"/>
      <c r="G28" s="19"/>
      <c r="H28" s="19"/>
      <c r="I28" s="19"/>
    </row>
    <row r="29" spans="2:9" ht="22.5" customHeight="1" x14ac:dyDescent="0.15">
      <c r="B29" s="19"/>
      <c r="C29" s="19"/>
      <c r="D29" s="19"/>
      <c r="E29" s="19"/>
      <c r="F29" s="19"/>
      <c r="G29" s="19"/>
      <c r="H29" s="19"/>
      <c r="I29" s="19"/>
    </row>
    <row r="30" spans="2:9" ht="22.5" customHeight="1" x14ac:dyDescent="0.15">
      <c r="B30" s="19"/>
      <c r="C30" s="19"/>
      <c r="D30" s="19"/>
      <c r="E30" s="19"/>
      <c r="F30" s="19"/>
      <c r="G30" s="19"/>
      <c r="H30" s="19"/>
      <c r="I30" s="19"/>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FF5559A8E2B7EC44BC5DBAF77596E778" ma:contentTypeVersion="3" ma:contentTypeDescription="新しいドキュメントを作成します。" ma:contentTypeScope="" ma:versionID="8670b9872d44a46fd0c9b2cb68551cc3">
  <xsd:schema xmlns:xsd="http://www.w3.org/2001/XMLSchema" xmlns:xs="http://www.w3.org/2001/XMLSchema" xmlns:p="http://schemas.microsoft.com/office/2006/metadata/properties" xmlns:ns2="2d6371da-14c8-4143-b0eb-32ec2984e9fd" targetNamespace="http://schemas.microsoft.com/office/2006/metadata/properties" ma:root="true" ma:fieldsID="47b9629f7bac63e80950f5eba46cbcf1" ns2:_="">
    <xsd:import namespace="2d6371da-14c8-4143-b0eb-32ec2984e9fd"/>
    <xsd:element name="properties">
      <xsd:complexType>
        <xsd:sequence>
          <xsd:element name="documentManagement">
            <xsd:complexType>
              <xsd:all>
                <xsd:element ref="ns2:MediaServiceMetadata" minOccurs="0"/>
                <xsd:element ref="ns2:MediaServiceFastMetadata"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d6371da-14c8-4143-b0eb-32ec2984e9f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126A4FD-CBDD-42B7-9249-4F28D905A148}">
  <ds:schemaRefs>
    <ds:schemaRef ds:uri="http://schemas.microsoft.com/sharepoint/v3/contenttype/forms"/>
  </ds:schemaRefs>
</ds:datastoreItem>
</file>

<file path=customXml/itemProps2.xml><?xml version="1.0" encoding="utf-8"?>
<ds:datastoreItem xmlns:ds="http://schemas.openxmlformats.org/officeDocument/2006/customXml" ds:itemID="{5A760A9B-E6BE-468F-AEB6-D7F16237B9E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d6371da-14c8-4143-b0eb-32ec2984e9f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6211108-0B7A-4522-9CE5-0D91895E9DC9}">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学校法人樟蔭学園</cp:lastModifiedBy>
  <cp:revision/>
  <cp:lastPrinted>2023-07-12T06:09:48Z</cp:lastPrinted>
  <dcterms:created xsi:type="dcterms:W3CDTF">2011-06-14T05:32:50Z</dcterms:created>
  <dcterms:modified xsi:type="dcterms:W3CDTF">2023-07-12T06:37:03Z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0x010100FF5559A8E2B7EC44BC5DBAF77596E778</vt:lpwstr>
  </property>
</Properties>
</file>