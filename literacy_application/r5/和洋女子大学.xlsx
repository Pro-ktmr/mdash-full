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fsv01.wayo.ac.jp\files\各課\教育支援課\08.調査\「数理・DS・AI教育プログラム認定制度（リテラシーレベル）」申請\【和洋女子大学】数理・データサイエンス・AI教育プログラム認定制度申請（リテラシーレベル）\0808作業用\"/>
    </mc:Choice>
  </mc:AlternateContent>
  <bookViews>
    <workbookView xWindow="0" yWindow="0" windowWidth="19590" windowHeight="10650" tabRatio="885"/>
  </bookViews>
  <sheets>
    <sheet name="様式１－１　プログラムを構成する授業科目 " sheetId="44"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'様式１－１　プログラムを構成する授業科目 '!#REF!</definedName>
    <definedName name="_xlnm._FilterDatabase" localSheetId="1" hidden="1">'様式２ 履修者等数の実績'!#REF!</definedName>
    <definedName name="_xlnm.Print_Area" localSheetId="0">'様式１－１　プログラムを構成する授業科目 '!$A$1:$S$102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15" i="40" l="1"/>
  <c r="AP14" i="40"/>
  <c r="AP13" i="40"/>
  <c r="AP12" i="40"/>
  <c r="AM2" i="40" l="1"/>
  <c r="AQ12" i="40" l="1"/>
  <c r="AQ15" i="40" l="1"/>
  <c r="AQ14" i="40"/>
  <c r="AQ13" i="40"/>
  <c r="AP32" i="40" l="1"/>
  <c r="AQ32" i="40" s="1"/>
</calcChain>
</file>

<file path=xl/sharedStrings.xml><?xml version="1.0" encoding="utf-8"?>
<sst xmlns="http://schemas.openxmlformats.org/spreadsheetml/2006/main" count="497" uniqueCount="182">
  <si>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</si>
  <si>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</si>
  <si>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</si>
  <si>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</si>
  <si>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</si>
  <si>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</si>
  <si>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</si>
  <si>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</si>
  <si>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</si>
  <si>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</si>
  <si>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</si>
  <si>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</si>
  <si>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</si>
  <si>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</si>
  <si>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</si>
  <si>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</si>
  <si>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</si>
  <si>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</si>
  <si>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</si>
  <si>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</si>
  <si>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</si>
  <si>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</si>
  <si>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</si>
  <si>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</si>
  <si>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</si>
  <si>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</si>
  <si>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</si>
  <si>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</si>
  <si>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</si>
  <si>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</si>
  <si>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</si>
  <si>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</si>
  <si>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</si>
  <si>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</si>
  <si>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</si>
  <si>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</si>
  <si>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</si>
  <si>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</si>
  <si>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</si>
  <si>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</si>
  <si>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</si>
  <si>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</si>
  <si>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</si>
  <si>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</si>
  <si>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</si>
  <si>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</si>
  <si>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</si>
  <si>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</si>
  <si>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</si>
  <si>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</si>
  <si>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</si>
  <si>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</si>
  <si>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</si>
  <si>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</si>
  <si>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</si>
  <si>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</si>
  <si>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</si>
  <si>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</si>
  <si>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</si>
  <si>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</si>
  <si>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</si>
  <si>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</si>
  <si>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</si>
  <si>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</si>
  <si>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</si>
  <si>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</si>
  <si>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</si>
  <si>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</si>
  <si>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</si>
  <si>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</si>
  <si>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</si>
  <si>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</si>
  <si>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</si>
  <si>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</si>
  <si>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</si>
  <si>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</si>
  <si>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</si>
  <si>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</si>
  <si>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</si>
  <si>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</si>
  <si>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</si>
  <si>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</si>
  <si>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</si>
  <si>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</si>
  <si>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</si>
  <si>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</si>
  <si>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</si>
  <si>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</si>
  <si>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</si>
  <si>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</si>
  <si>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</si>
  <si>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</si>
  <si>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</si>
  <si>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</si>
  <si>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</si>
  <si>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</si>
  <si>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</si>
  <si>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</si>
  <si>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</si>
  <si>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</si>
  <si>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</si>
  <si>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</si>
  <si>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</si>
  <si>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</si>
  <si>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</si>
  <si>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</si>
  <si>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</si>
  <si>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</si>
  <si>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様式１－１</t>
    <rPh sb="0" eb="2">
      <t>ヨウシキ</t>
    </rPh>
    <phoneticPr fontId="1"/>
  </si>
  <si>
    <t>○</t>
  </si>
  <si>
    <t>③ 修了要件</t>
    <phoneticPr fontId="1"/>
  </si>
  <si>
    <t>必要最低単位数</t>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</si>
  <si>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</si>
  <si>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</si>
  <si>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</si>
  <si>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⑥「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</si>
  <si>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⑦「活用に当たっての様々な留意事項（ELSI、個人情報、データ倫理、ＡＩ社会原則等）を考慮し、情報セキュリティや情報漏洩等、データを守る上での留意事項への理解をする」の内容を含む授業科目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</si>
  <si>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⑧「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</si>
  <si>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</si>
  <si>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</si>
  <si>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</si>
  <si>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令和７年度までに履修必須とする計画</t>
    <rPh sb="3" eb="4">
      <t>ネン</t>
    </rPh>
    <phoneticPr fontId="1"/>
  </si>
  <si>
    <t>① 対象となる学部・学科名称</t>
    <phoneticPr fontId="1"/>
  </si>
  <si>
    <t>和洋女子大学</t>
    <rPh sb="0" eb="6">
      <t>wj</t>
    </rPh>
    <phoneticPr fontId="1"/>
  </si>
  <si>
    <t>人文学部、国際学部、家政学部、看護学部</t>
    <rPh sb="0" eb="2">
      <t>ジンブン</t>
    </rPh>
    <rPh sb="2" eb="4">
      <t>ガクブ</t>
    </rPh>
    <rPh sb="5" eb="7">
      <t>コクサイ</t>
    </rPh>
    <rPh sb="7" eb="9">
      <t>ガクブ</t>
    </rPh>
    <rPh sb="10" eb="13">
      <t>カセイガク</t>
    </rPh>
    <rPh sb="13" eb="14">
      <t>ケイガク</t>
    </rPh>
    <rPh sb="15" eb="17">
      <t>カンゴ</t>
    </rPh>
    <rPh sb="17" eb="19">
      <t>ガクブ</t>
    </rPh>
    <rPh sb="18" eb="19">
      <t>キョウガク</t>
    </rPh>
    <phoneticPr fontId="1"/>
  </si>
  <si>
    <t>パソコンの基礎と応用</t>
    <rPh sb="5" eb="7">
      <t>キソ</t>
    </rPh>
    <rPh sb="8" eb="10">
      <t>オウヨウ</t>
    </rPh>
    <phoneticPr fontId="1"/>
  </si>
  <si>
    <t>数理と発想</t>
    <rPh sb="0" eb="2">
      <t>スウリ</t>
    </rPh>
    <rPh sb="3" eb="5">
      <t>ハッソウ</t>
    </rPh>
    <phoneticPr fontId="1"/>
  </si>
  <si>
    <t>金丸　裕志</t>
    <rPh sb="0" eb="2">
      <t>カナマル</t>
    </rPh>
    <rPh sb="3" eb="4">
      <t>ユウ</t>
    </rPh>
    <rPh sb="4" eb="5">
      <t>シ</t>
    </rPh>
    <phoneticPr fontId="1"/>
  </si>
  <si>
    <t>副学長</t>
    <rPh sb="0" eb="3">
      <t>フクガクチョウ</t>
    </rPh>
    <phoneticPr fontId="1"/>
  </si>
  <si>
    <t xml:space="preserve">副学長　教授　金丸裕志
人文学部長　教授　小澤京子
全学教育センター　教授　鬘谷要
人文学部心理学科長　教授　池田幸恭　
看護学部看護学科　教授　豊川智之
教務課　課長　谷口圭子
教育支援課　課長　茂木裕信
進路支援センター事務室　室長　野澤和世
教務課　安達恵 </t>
    <phoneticPr fontId="1"/>
  </si>
  <si>
    <t>和洋女子大学</t>
    <rPh sb="0" eb="6">
      <t>wj</t>
    </rPh>
    <phoneticPr fontId="1"/>
  </si>
  <si>
    <t>デジタル・データサイエンス教育プログラム</t>
    <rPh sb="13" eb="15">
      <t>キョウイク</t>
    </rPh>
    <phoneticPr fontId="1"/>
  </si>
  <si>
    <t>和洋女子大学</t>
    <rPh sb="0" eb="6">
      <t>wj</t>
    </rPh>
    <phoneticPr fontId="1"/>
  </si>
  <si>
    <t>観光文化と分析</t>
    <rPh sb="0" eb="2">
      <t>カンコウ</t>
    </rPh>
    <rPh sb="2" eb="4">
      <t>ブンカ</t>
    </rPh>
    <rPh sb="5" eb="7">
      <t>ブンセキ</t>
    </rPh>
    <phoneticPr fontId="1"/>
  </si>
  <si>
    <t>日本語学特殊演習Ⅰ</t>
    <rPh sb="0" eb="3">
      <t>ニホンゴ</t>
    </rPh>
    <rPh sb="3" eb="4">
      <t>ガク</t>
    </rPh>
    <rPh sb="4" eb="6">
      <t>トクシュ</t>
    </rPh>
    <rPh sb="6" eb="8">
      <t>エンシュウ</t>
    </rPh>
    <phoneticPr fontId="1"/>
  </si>
  <si>
    <t>心理学統計法</t>
    <rPh sb="0" eb="3">
      <t>シンリガク</t>
    </rPh>
    <rPh sb="3" eb="6">
      <t>トウケイホウ</t>
    </rPh>
    <phoneticPr fontId="1"/>
  </si>
  <si>
    <t>和洋女子大学大学評議会</t>
    <rPh sb="0" eb="6">
      <t>ワヨウジョシダイガク</t>
    </rPh>
    <rPh sb="6" eb="11">
      <t>ダイガクヒョウギカイ</t>
    </rPh>
    <phoneticPr fontId="1"/>
  </si>
  <si>
    <t>本プログラムの中心となる「パソコンの基礎と応用」の授業評価アンケートも、令和4年度に実施されている。この科目は学部・学科を問わず開講される全学共通科目であり、履修者数も比較的多いものの、実際のパソコンを使った授業であるため、複数のクラスを設置して複数教員が担当している。そのため、学生の専門分野等により、その関心度や履修満足度、修得度などにばらつきは見られるものの、担当教員の尽力により、おおむね良好な評価を得ている。こうした良好な授業評価は、次年度以降の学生にも波及してくることが期待されるのと同時に、プログラム修了証が発行されることでその認知度があがり、後に続く学生への推奨になると期待される。</t>
    <phoneticPr fontId="1"/>
  </si>
  <si>
    <t>本プログラムの必須科目である「パソコンの基礎と応用」は、入学学生のパソコンスキルの向上（中高での情報教育の普及）にともない、より高度な内容にシフトしてきているが、それとあわせて、基本的なスキルから習得しようと考える学生に対しては「学ぶ楽しさ」「学ぶことの意義」の理解に注力されている。また同じく本プログラム構成する共通総合科目の「数理と発想」はその科目名から敬遠されがちであるが、担当教員はできるだけ身近な話題に引き付けて、とくに数理・AIの理解に必要な微分関数やベクトル、行列などの内容を「学ぶ楽しさ」や「学ぶことの意義」を理解させるような方法で教示するような工夫がなされている。</t>
    <phoneticPr fontId="1"/>
  </si>
  <si>
    <t>上記のように、本プログラムの中核をなす科目においてとくに「学ぶ楽しさ」「学ぶことの意義」を理解させるような工夫がなされてはいるものの、その教授・学習内容を「わかりやすく」するために、さらなる工夫が必要である。そのために、授業評価アンケート結果の精査や、それを踏まえた自己点検そして授業改善が引き続き行われることになるであろう。もちろんそれは担当教員の自己点検にとどまるものではなく、大学評議会を中心とする大学全体としての自己点検・評価を経て、全学教育センターでの科目配置や科目内容の見直し、そしてDXPTでの検討も加えられることで、本プログラムの内容・水準を維持しつつ向上させることが期待される。</t>
    <phoneticPr fontId="1"/>
  </si>
  <si>
    <t>全学教育センター　デジタル化推進プロジェクトチーム（DXPT)</t>
    <rPh sb="0" eb="4">
      <t>ゼンガクキョウイク</t>
    </rPh>
    <rPh sb="13" eb="14">
      <t>カ</t>
    </rPh>
    <rPh sb="14" eb="16">
      <t>スイシン</t>
    </rPh>
    <phoneticPr fontId="1"/>
  </si>
  <si>
    <t>和洋女子大学全学教育センター規程</t>
    <rPh sb="0" eb="6">
      <t>wj</t>
    </rPh>
    <rPh sb="6" eb="10">
      <t>ゼンガクキョウイク</t>
    </rPh>
    <rPh sb="14" eb="16">
      <t>キテイ</t>
    </rPh>
    <phoneticPr fontId="1"/>
  </si>
  <si>
    <t>保健医療情報学</t>
    <phoneticPr fontId="1"/>
  </si>
  <si>
    <t>人文学部</t>
    <rPh sb="0" eb="4">
      <t>ジンブンガクブ</t>
    </rPh>
    <phoneticPr fontId="1"/>
  </si>
  <si>
    <t>国際学部</t>
    <rPh sb="0" eb="4">
      <t>コクサイガクブ</t>
    </rPh>
    <phoneticPr fontId="1"/>
  </si>
  <si>
    <t>家政学部</t>
    <rPh sb="0" eb="4">
      <t>カセイガクブ</t>
    </rPh>
    <phoneticPr fontId="1"/>
  </si>
  <si>
    <t>看護学部</t>
    <rPh sb="0" eb="4">
      <t>カンゴガクブ</t>
    </rPh>
    <phoneticPr fontId="1"/>
  </si>
  <si>
    <t>保健医療情報学</t>
    <rPh sb="0" eb="2">
      <t>ホケン</t>
    </rPh>
    <rPh sb="2" eb="4">
      <t>イリョウ</t>
    </rPh>
    <rPh sb="4" eb="6">
      <t>ジョウホウ</t>
    </rPh>
    <rPh sb="6" eb="7">
      <t>ガク</t>
    </rPh>
    <phoneticPr fontId="1"/>
  </si>
  <si>
    <t>学部・学科によって、修了要件は相違しない</t>
  </si>
  <si>
    <t>・「第4次産業革命」「Society5.0」「データ駆動型社会」などと呼ばれるこれからの時代において求められるデータサイエンスに関する基礎的な知識の習得
・情報・データ・リテラシー、つまり情報やデータを活用する際の留意事項の理解
・データの集計、分析、統計解析、およびデータの可視化方法と活用力
・AIに関する基礎的な知識の習得
・AIやデータサイエンスが社会や生活とどのようにかかわっているのかについての理解</t>
    <phoneticPr fontId="1"/>
  </si>
  <si>
    <t>本プログラムは、デジタル化推進プロジェクトチーム（以降「DXPT」とする）により管理される。本プログラムの改善にあたっては、その自己点検・評価が必要となるが、本学では自己点検・評価体制を構築しており、和洋女子大学大学評議会がその中心的組織となっている。本プログラムにおいても、この大学評議会が最終的な自己点検・評価の主体となるが、企画・運営の実務を担うDXPTが、教務課等からの必要な資料等の提供により、まずはこのプログラムの自己点検・評価の作業を行う。そしてそこで実施された評価を大学評議会で最終的に審査するという手順を踏むことになる。</t>
    <phoneticPr fontId="1"/>
  </si>
  <si>
    <t>本学では、評価の対象として優位性を欠く少人数（10人以下）の授業を除いた、全授業において学生による授業評価アンケートを実施している。このアンケートには、各項目を点数化する評価に加え、自由記述欄も設けており、項目に該当しない部分の意見や、数値で表されない質的な評価の観点も加味されている。
また新たに、学生の学修成果を数値的に可視化するシステムを導入し、各学生の学習到達度の達成状況や、各学部・学科での学習成果の発展度合いを数値的に可視化できるようにしている。このシステムにより、本プログラムを通じた学生の学習成果の発展度合いも可視化され、計測が可能になるものと期待される。</t>
    <rPh sb="37" eb="38">
      <t>スベ</t>
    </rPh>
    <rPh sb="59" eb="61">
      <t>ジッシ</t>
    </rPh>
    <rPh sb="111" eb="113">
      <t>ブブン</t>
    </rPh>
    <phoneticPr fontId="1"/>
  </si>
  <si>
    <t>本学では全授業において授業評価アンケートを実施している（10名以下の少人数授業は除く）。本プログラムの構成科目についても令和4年度の授業評価アンケートが行われ、担当教員に結果が提供されている。授業評価アンケートの結果が担当教員に提供されたあと、各教員は授業評価結果に対して自己分析を行って大学に提出し、その自己評価の「所感」が全教員向けに公開されることになっていた。なお、この自己点検のやり方も昨年度から、授業支援システムを利用してオンライン上で記入し、蓄積していくという、「ティーチング・ポートフォリオ」方式に改善され、今後の本プログラムでの学生理解度把握などでも活用されていくものと期待される。</t>
    <rPh sb="109" eb="111">
      <t>タントウ</t>
    </rPh>
    <phoneticPr fontId="1"/>
  </si>
  <si>
    <t>本プログラムの令和4年度の履修者数は553名であった。なお、令和5年度の履修者数（5月1日現在）は、必須科目の「パソコンの基礎と応用」は75名、選択科目ではあるが共通総合科目の「数理と発想」は18名である。特に後者においては少ない人数にとどまっているが、今後、本プログラムの認知度が高まるにつれて、履修者数が増加していくことが見込まれる。</t>
    <rPh sb="103" eb="104">
      <t>トク</t>
    </rPh>
    <phoneticPr fontId="1"/>
  </si>
  <si>
    <t>本学では、卒業生が就職した企業を招き、毎年、企業懇談会を実施してきた。この3年間は新型コロナウイルスのパンデミックにより中断してきたが、今年度は実施する方向で計画されている。
この企業懇談会はこれまでも、企業から本学卒業生の状況を聞くことができる貴重で有益な機会となっており、その場で本プログラムを紹介するとともに、今後、本プログラムの修了生が卒業した後に、その就職先での状況と本プログラムの効果を聞き取りすることができるようになると期待される。</t>
    <rPh sb="115" eb="116">
      <t>キ</t>
    </rPh>
    <phoneticPr fontId="1"/>
  </si>
  <si>
    <t>本学では毎年、地域連携協議会という会合を開催している。この地域連携協議会は、本学と市川市の諸団体及び市民との連携・協働を推進し、それによって市川市における経済、産業、文化等の諸活動を発展させること、ならびに本学の教育研究を充実させることを目的としている。協議会には本学から学長、副学長、学部長、事務局長等が、地域からは包括連携協定を締結している市川市および地域企業の関係者の方々に加わっていただき、毎回、地域自治体および企業との意見交換を行っている。本プログラムにおいても、その概要について紹介し、その場で、プログラム内容・手法等への意見を地域自治体および地域業から頂戴することが期待できる。</t>
    <rPh sb="132" eb="134">
      <t>ホンガク</t>
    </rPh>
    <phoneticPr fontId="1"/>
  </si>
  <si>
    <t>全学教育センターは、本学における教育の活性化に資するため、特に、学科を越えて広く学生の受講する授業等の企画・運営に関する業務を担当・支援することを目的とし、全学部・学科の共通総合科目の管理と運営を担う組織である。
本プログラムは学部・学科を超えた全学的な教育プログラムであるため、企画運営及び改善・進化させる推進母体を全学教育センターとし、その下で、このプログラムを当初より企画してきたデジタル化推進プロジェクトチーム（以降「DXPT」とする）が実際の企画運営を行う。このDXPTは、副学長が学部・学科、教員・職員を超えてメンバーを募り、全学横断的・教職協働的なプロジェクトチームとしてデジタル教育の推進に向けて活動を行ってきた。ただし、DXPTはもともと時限的に組織されたアド・ホックなチームでもあるため、今回の教育プログラムの実施や改善のために、上記の全学教育センターの下に位置付けたものである。</t>
    <rPh sb="82" eb="84">
      <t>ガッカ</t>
    </rPh>
    <rPh sb="87" eb="89">
      <t>ソウゴウ</t>
    </rPh>
    <rPh sb="210" eb="212">
      <t>イコウ</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</si>
  <si>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</si>
  <si>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必須科目である「パソコンの基礎と応用」はこれまでも多くの学生が1年次に履修しているが、1年次に履修しなかった・できなかった学生も2年次以降に履修を促すことで全学生が卒業までに履修するように働きかけていく。そのうえで、各専門分野の学びに即したデータサイエンスなどに発展していくように、各学科で設置された専門科目で本プログラムの選択科目の履修を促し、各学科での専門教育に合わせてスムーズに本プログラムを修了できるように指導していく。
また、そのように制度やしくみを整備したうえで、学内広報すなわち大学のウェブサイトや掲示などで広く呼び掛けるとともに、各学部・学科長で所属学生に対してプログラム登録の呼びかけやプログラム内容についての情報提供を行う。その際には、本プログラムが専門分野での学びや卒業後の進路にとって有意義であるという旨を強調し、学生にとっても有意義である点をしっかりと伝える。</t>
    <phoneticPr fontId="1"/>
  </si>
  <si>
    <t>令和4年度においては「パソコンの基礎と応用」の講義内容でMDASH認定のモデルカリキュラムに適合したのは1人の担当教員のクラスであった。令和5年度にデジタル・情報教育を担当する専任教員を全学教育センターで採用した。すでにその新任教員によって令和5年度には複数のクラスを受け持つことになっており、その結果、MDASH認定に適合した内容の授業展開が複数のクラスで可能となる予定である。また、内容に応じては、ウェブ上に用意されている様々なオンデマンド教材の利用を担当教員等からも促すことで、できる限り多くの学生が、自学自習も含めて内容を学修し習得できるようなサポートを努めていくようにしたい。</t>
    <rPh sb="23" eb="25">
      <t>コウギ</t>
    </rPh>
    <rPh sb="57" eb="59">
      <t>キョウイン</t>
    </rPh>
    <rPh sb="68" eb="70">
      <t>レイワ</t>
    </rPh>
    <rPh sb="71" eb="73">
      <t>ネンド</t>
    </rPh>
    <phoneticPr fontId="1"/>
  </si>
  <si>
    <t>本学では朝日ネット社が提供するLMSを既に活用しており、本プログラムに該当する授業だけでなくすべての授業で、個別指導も含めた学生への学習指導や双方向的なやり取りが可能となっている。また、教員が週に1コマを設定して学生に広く公表している「オフィスアワー」では、その時間に教員が研究室に待機して、アポイントメントなしに学生からの来訪を受け付ける制度を長年実施してきている。
さらに、全学教育センターが中心となって運営し、教育支援課がサポートしている「ラーニングステーション」では、学生の自学自習スペースを提供するだけでなく、教員を日替わりで配置し、学生の学習相談や個別指導も実施している。また、デジタル教育も含む課外授業の提供やリメディアル講座の展開が行われており、そうした場で授業時間以外での対応も可能となっている。</t>
    <rPh sb="19" eb="20">
      <t>スデ</t>
    </rPh>
    <rPh sb="318" eb="320">
      <t>コウザ</t>
    </rPh>
    <phoneticPr fontId="1"/>
  </si>
  <si>
    <t>令和4</t>
    <rPh sb="0" eb="2">
      <t>レイワ</t>
    </rPh>
    <phoneticPr fontId="1"/>
  </si>
  <si>
    <t>-</t>
  </si>
  <si>
    <t>-</t>
    <phoneticPr fontId="1"/>
  </si>
  <si>
    <t xml:space="preserve">本プログラムの履修者数及び履修率を向上させるため、学内広報で広く呼び掛けるとともに、学部・学科長から各学部・学科の学生に呼びかけ及びプログラム内容について情報提供を行う。その際には、本プログラムが専門分野での学びや卒業後の進路にとって有意義であるという旨を強調する。実際の授業においてもプログラムの内容の含んでおり、当該科目を修得することにより本プログラムの修了認定が得られることを通知する。要件を満たしてプログラムを修了した学生には、本プログラムの修了証を発行する。
また、MDASH認定が得られた際には、修了証に同プログラムがMDASH認定を受けている旨を明記し、就職活動等、卒業後の進路選択にもメリットがあることを伝え、さらなる履修者数・履修率の向上が見込まれる。
</t>
    <rPh sb="11" eb="12">
      <t>オヨ</t>
    </rPh>
    <rPh sb="64" eb="65">
      <t>オヨ</t>
    </rPh>
    <rPh sb="158" eb="162">
      <t>トウガイカモク</t>
    </rPh>
    <rPh sb="163" eb="165">
      <t>シュウトク</t>
    </rPh>
    <rPh sb="172" eb="173">
      <t>ホン</t>
    </rPh>
    <rPh sb="256" eb="257">
      <t>ショウ</t>
    </rPh>
    <rPh sb="322" eb="324">
      <t>リシュウ</t>
    </rPh>
    <rPh sb="329" eb="331">
      <t>ミコ</t>
    </rPh>
    <phoneticPr fontId="1"/>
  </si>
  <si>
    <t>全学生が受講可能である共通総合科目を本プログラムの必須科目（「パソコンの基礎と応用」）として設置しており、選択科目にも共通総合科目から1科目及び各学科の専門教育科目から6科目設置することで、各学部・学科の学生が履修・修了することが可能となっている。なお、本プログラムの選択科目が専門教育科目として設置されていない学科もあるが、該当の専門教育科目を「関連科目」として配置し、他学科生が履修できるように幅を広げることで、より履修機会を増やしていく等の改善が今後見込まれる。
共通総合科目「パソコンの基礎と応用」は、毎年複数の担当教員により複数クラスが開講されてはいるが、昨今の学生のICT需要（履修希望者の増加）により、必ずしも希望するクラスが履修できるとは限らない点が、問題として残されている。しかしこの点は令和5年度より、デジタル・情報教育担当の専門的な教員が採用されているため、MDASH認定のモデルカリキュラムを意識した授業内容の構成としていくことで早晩解消されると考えている。</t>
    <rPh sb="18" eb="19">
      <t>ホン</t>
    </rPh>
    <rPh sb="46" eb="48">
      <t>セッチ</t>
    </rPh>
    <rPh sb="53" eb="57">
      <t>センタクカモク</t>
    </rPh>
    <rPh sb="70" eb="71">
      <t>オヨ</t>
    </rPh>
    <rPh sb="78" eb="80">
      <t>キョウイク</t>
    </rPh>
    <rPh sb="85" eb="87">
      <t>カモク</t>
    </rPh>
    <rPh sb="95" eb="96">
      <t>カク</t>
    </rPh>
    <rPh sb="139" eb="145">
      <t>センモンキョウイクカモク</t>
    </rPh>
    <rPh sb="182" eb="184">
      <t>ハイチ</t>
    </rPh>
    <rPh sb="186" eb="190">
      <t>タガッカセイ</t>
    </rPh>
    <rPh sb="255" eb="257">
      <t>マイトシ</t>
    </rPh>
    <rPh sb="257" eb="259">
      <t>フクスウ</t>
    </rPh>
    <rPh sb="260" eb="264">
      <t>タントウキョウイン</t>
    </rPh>
    <rPh sb="295" eb="300">
      <t>リシュウキボウシャ</t>
    </rPh>
    <rPh sb="301" eb="303">
      <t>ゾウカ</t>
    </rPh>
    <rPh sb="395" eb="397">
      <t>ニンテイ</t>
    </rPh>
    <phoneticPr fontId="1"/>
  </si>
  <si>
    <t>保健統計学</t>
    <phoneticPr fontId="1"/>
  </si>
  <si>
    <t>栄養情報処理実習</t>
    <phoneticPr fontId="1"/>
  </si>
  <si>
    <t>観光文化と分析</t>
    <phoneticPr fontId="1"/>
  </si>
  <si>
    <t>今日の社会におけるコンピュータ：Society5.0、第4次産業革命におけるIT機器の位置づけ、コンピュータの基本機能を学ぶ（「パソコンの基礎と応用」第2回）</t>
    <rPh sb="75" eb="76">
      <t>ダイ</t>
    </rPh>
    <phoneticPr fontId="1"/>
  </si>
  <si>
    <t>共通総合科目「パソコンの基礎と応用」2単位を必須科目とし、これに加えて、共通総合科目「数理と発想」及び専門教育科目から1単位以上、合計3単位以上を取得すること。
　共通総合科目（必須科目）：「パソコンの基礎と応用」
　共通総合科目：「数理と発想」
　専門教育科目：「日本語学特殊演習Ⅰ」、「心理学統計法」、「観光文化と分析」、「栄養情報処理実習」、
　　　　　　　　　　 「保健統計学」、「保健医療情報学」</t>
    <rPh sb="0" eb="6">
      <t>キョウツウソウゴウカモク</t>
    </rPh>
    <rPh sb="12" eb="14">
      <t>キソ</t>
    </rPh>
    <rPh sb="15" eb="17">
      <t>オウヨウ</t>
    </rPh>
    <rPh sb="19" eb="21">
      <t>タンイ</t>
    </rPh>
    <rPh sb="32" eb="33">
      <t>クワ</t>
    </rPh>
    <rPh sb="36" eb="42">
      <t>キョウツウソウゴウカモク</t>
    </rPh>
    <rPh sb="43" eb="45">
      <t>スウリ</t>
    </rPh>
    <rPh sb="46" eb="48">
      <t>ハッソウ</t>
    </rPh>
    <rPh sb="49" eb="50">
      <t>オヨ</t>
    </rPh>
    <rPh sb="51" eb="57">
      <t>センモンキョウイクカモク</t>
    </rPh>
    <rPh sb="89" eb="93">
      <t>ヒッスカモク</t>
    </rPh>
    <rPh sb="164" eb="172">
      <t>エイヨウジョウホウショリジッシュウ</t>
    </rPh>
    <rPh sb="187" eb="192">
      <t>ホケントウケイガク</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</si>
  <si>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</si>
  <si>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ガイダンスとパソコンの基礎：AIの最新技術の活用例を挙げ、社会に急速に浸透しつつあるデータサイエンスおよびAIがどのようなものかを解説し、授業内容の説明をする。パソコンの利用方法を習得する（「パソコンの基礎と応用」第1回）
ビッグデータとデータサイエンス：データの種類、データ・AIの活用領域の広がりを確認する、膨大なデータを作成する、データの比較、読み解く計算科学の新しい手法を紹介する。データ・AIの活用領域の広がりを学ぶ（「数理と発想」第14回）
機械学習とAI：知識発見、機械学習（探索的データ解析、データ解析と推論）という発想、その産物である人工知能（AI）といったAIの最新技術の活用を知る（「数理と発想」第15回）
研究データの収集：様々な研究対象、研究方法と適したデータ収集方法等のAIの最新技術の活用の解説（「日本語学特殊演習Ⅰ」第2回）
電子テキストの作成：電子テキストデータの作成方法等のAIの最新技術の活用の解説と実習（「日本語学特殊演習Ⅰ」第3回）
観光における分析の必要性：AI最新技術の活用例を基この授業で何を学ぶか。なぜそれが必要か（「観光文化と分析」第1回）
観光関連のデータを見る：AI等を活用した新しいビジネスモデルを参考に観光に関するデータの実例を通じて適切な使用方法（ELSI等）を学ぶ（「観光文化と分析」第2～4回）
医療情報システムの現状：電子カルテに入力する１次データと検査結果等の画像データ（非構造化データ）を扱っている電子カルテシステム、オーダリングシステム等の医療におけるAIの最新技術の活用の概要（「保健医療情報学」第8回）</t>
    <rPh sb="17" eb="19">
      <t>サイシン</t>
    </rPh>
    <rPh sb="19" eb="21">
      <t>ギジュツ</t>
    </rPh>
    <rPh sb="22" eb="24">
      <t>カツヨウ</t>
    </rPh>
    <rPh sb="24" eb="25">
      <t>レイ</t>
    </rPh>
    <rPh sb="26" eb="27">
      <t>ア</t>
    </rPh>
    <rPh sb="211" eb="212">
      <t>マナ</t>
    </rPh>
    <rPh sb="235" eb="237">
      <t>チシキ</t>
    </rPh>
    <rPh sb="237" eb="239">
      <t>ハッケン</t>
    </rPh>
    <rPh sb="251" eb="253">
      <t>カイセキ</t>
    </rPh>
    <rPh sb="257" eb="259">
      <t>カイセキ</t>
    </rPh>
    <rPh sb="260" eb="262">
      <t>スイロン</t>
    </rPh>
    <rPh sb="309" eb="310">
      <t>ダイ</t>
    </rPh>
    <rPh sb="347" eb="348">
      <t>トウ</t>
    </rPh>
    <rPh sb="374" eb="375">
      <t>ダイ</t>
    </rPh>
    <rPh sb="403" eb="404">
      <t>トウ</t>
    </rPh>
    <rPh sb="462" eb="463">
      <t>モト</t>
    </rPh>
    <rPh sb="528" eb="530">
      <t>サンコウ</t>
    </rPh>
    <rPh sb="559" eb="560">
      <t>トウ</t>
    </rPh>
    <rPh sb="590" eb="592">
      <t>ゲンジョウ</t>
    </rPh>
    <rPh sb="599" eb="601">
      <t>ニュウリョク</t>
    </rPh>
    <rPh sb="603" eb="605">
      <t>イチジ</t>
    </rPh>
    <rPh sb="609" eb="611">
      <t>ケンサ</t>
    </rPh>
    <rPh sb="611" eb="613">
      <t>ケッカ</t>
    </rPh>
    <rPh sb="613" eb="614">
      <t>トウ</t>
    </rPh>
    <rPh sb="615" eb="617">
      <t>ガゾウ</t>
    </rPh>
    <rPh sb="621" eb="622">
      <t>ヒ</t>
    </rPh>
    <rPh sb="622" eb="625">
      <t>コウゾウカ</t>
    </rPh>
    <rPh sb="630" eb="631">
      <t>アツカ</t>
    </rPh>
    <rPh sb="635" eb="637">
      <t>デンシ</t>
    </rPh>
    <rPh sb="655" eb="656">
      <t>トウ</t>
    </rPh>
    <rPh sb="657" eb="659">
      <t>イリョウ</t>
    </rPh>
    <rPh sb="674" eb="676">
      <t>ガイヨウ</t>
    </rPh>
    <phoneticPr fontId="1"/>
  </si>
  <si>
    <t>データサイエンス基礎：データサイエンスの発想とデータのオープン化の有用性、データサイエンスのサイクルを知る。データの集計等データを扱うことを実践する。（「パソコンの基礎と応用」第14回）
ビッグデータとデータサイエンス：データの種類、データ・AIの活用領域の広がりを確認する、膨大なデータを作成する、データの比較、読み解く計算科学の新しい手法を紹介する。データ・AIの活用領域の広がりを学ぶ。（「数理と発想」第14回）
電子テキストの作成：電子テキストデータの作成方法等のAIの最新技術の活用の解説と実習（「日本語学特殊演習Ⅰ」第3回）
観光関連のデータを見る：AI等を活用した新しいビジネスモデルを参考に観光に関する調査データや実験データ等の実例を通じて適切な使用方法（ELSI等）を学ぶ（「観光文化と分析」第2～4回）
医療情報システムの現状：電子カルテに入力する１次データと検査結果等の画像データ（非構造化データ）を扱っている電子カルテシステム、オーダリングシステム等の医療におけるAIの最新技術の活用の概要（「保健医療情報学」第8回）</t>
    <rPh sb="31" eb="32">
      <t>カ</t>
    </rPh>
    <rPh sb="58" eb="61">
      <t>シュウケイトウ</t>
    </rPh>
    <rPh sb="65" eb="66">
      <t>アツカ</t>
    </rPh>
    <rPh sb="70" eb="72">
      <t>ジッセン</t>
    </rPh>
    <rPh sb="88" eb="89">
      <t>ダイ</t>
    </rPh>
    <rPh sb="234" eb="235">
      <t>トウ</t>
    </rPh>
    <rPh sb="239" eb="241">
      <t>サイシン</t>
    </rPh>
    <rPh sb="241" eb="243">
      <t>ギジュツ</t>
    </rPh>
    <rPh sb="244" eb="246">
      <t>カツヨウ</t>
    </rPh>
    <rPh sb="283" eb="284">
      <t>トウ</t>
    </rPh>
    <rPh sb="285" eb="287">
      <t>カツヨウ</t>
    </rPh>
    <rPh sb="289" eb="290">
      <t>アタラ</t>
    </rPh>
    <rPh sb="300" eb="302">
      <t>サンコウ</t>
    </rPh>
    <rPh sb="309" eb="311">
      <t>チョウサ</t>
    </rPh>
    <rPh sb="315" eb="317">
      <t>ジッケン</t>
    </rPh>
    <rPh sb="320" eb="321">
      <t>トウ</t>
    </rPh>
    <phoneticPr fontId="1"/>
  </si>
  <si>
    <t>AI 基礎：データ・AI活用領域の広がりなどAI とはそもそもどのようなものか基本を理解する（「パソコンの基礎と応用」第15回）
コンピュータシミュレーション：コンピュータを利用したシミュレーションの基礎と最先端を知る、データ・AIの活用領域の広がりを学ぶ。（「数理と発想」第13回）
ビッグデータとデータサイエンス：データの種類、データ・AIの活用領域の広がりを確認する、膨大なデータを作成する、データの比較、読み解く計算科学の新しい手法を紹介する。データ・AIの活用領域の広がりを学ぶ。（「数理と発想」第14回）
機械学習とAI：知識発見・機械学習（探索的データ解析、データ解析と推論）という発想、その産物である人工知能（AI）といったAIの最新技術の活用を知る（「数理と発想」第15回）
データの分析（3）：仮設検証、計画策定等データマイニングについての解説と実習（「日本語学特殊演習Ⅰ」第8回）</t>
    <rPh sb="12" eb="14">
      <t>カツヨウ</t>
    </rPh>
    <rPh sb="14" eb="16">
      <t>リョウイキ</t>
    </rPh>
    <rPh sb="17" eb="18">
      <t>ヒロ</t>
    </rPh>
    <rPh sb="59" eb="60">
      <t>ダイ</t>
    </rPh>
    <rPh sb="117" eb="119">
      <t>カツヨウ</t>
    </rPh>
    <rPh sb="119" eb="121">
      <t>リョウイキ</t>
    </rPh>
    <rPh sb="122" eb="123">
      <t>ヒロ</t>
    </rPh>
    <rPh sb="126" eb="127">
      <t>マナブ</t>
    </rPh>
    <rPh sb="357" eb="359">
      <t>カセツ</t>
    </rPh>
    <rPh sb="359" eb="361">
      <t>ケンショウ</t>
    </rPh>
    <rPh sb="362" eb="364">
      <t>ケイカク</t>
    </rPh>
    <rPh sb="364" eb="366">
      <t>サクテイ</t>
    </rPh>
    <rPh sb="366" eb="367">
      <t>トウ</t>
    </rPh>
    <phoneticPr fontId="1"/>
  </si>
  <si>
    <t>Excel の基礎：絶対参照・相対参照を修得する、データを基にしたグラフ種選択と作成などデータの可視化を修得する（「パソコンの基礎と応用」第9～10回）
Excel の応用：VBA を使ってデータ解析でプログラミングを経験する（「パソコンの基礎と応用」第13回）
データ分析の方法：基本統計量、データフィルタ、エクセルでの計算・分析、回帰分析のデータ解析を学ぶ（「観光文化と分析」第8～10回）</t>
    <rPh sb="48" eb="51">
      <t>カシカ</t>
    </rPh>
    <rPh sb="69" eb="70">
      <t>ダイ</t>
    </rPh>
    <rPh sb="98" eb="100">
      <t>カイセキ</t>
    </rPh>
    <rPh sb="126" eb="127">
      <t>ダイ</t>
    </rPh>
    <rPh sb="175" eb="177">
      <t>カイセキ</t>
    </rPh>
    <rPh sb="178" eb="179">
      <t>マナ</t>
    </rPh>
    <phoneticPr fontId="1"/>
  </si>
  <si>
    <t>データサイエンス基礎：データサイエンスの発想とデータのオープン化の有用性、データサイエンスのサイクルを知る。データの集計等データを扱うことを実践する（「パソコンの基礎と応用」第14回）
機械学習とAI：知識発見・機械学習（探索的データ解析、データ解析と推論）という発想、その産物である人工知能（AI）といったAIの最新技術の活用を知る（「数理と発想」第15回）
収集データの集計・分析の解説と実習、計量・統計手法に基づくデータ分析の解説と実習、データマイニングについての解説と実習、AI利活用事例の紹介（「日本語学特殊演習Ⅰ」第6～15回）
心理測定の一般理論：恒常法、調整法、極限法などの一般的な心理測定法について。AI利活用事例の紹介（「心理学統計法」第2 回）
数値の理解の仕方：諸種のグラフとその使い方について、データサイエンスのサイクルを学ぶ（「心理学統計法」第3回）
将来動向：ディープラーニング等，最新のAI技術とその先にあるもの、AI利活用事例の紹介（「保健医療情報学」第13回）</t>
    <rPh sb="244" eb="245">
      <t>リ</t>
    </rPh>
    <rPh sb="245" eb="247">
      <t>カツヨウ</t>
    </rPh>
    <rPh sb="247" eb="249">
      <t>ジレイ</t>
    </rPh>
    <rPh sb="250" eb="252">
      <t>ショウカイ</t>
    </rPh>
    <rPh sb="264" eb="265">
      <t>ダイ</t>
    </rPh>
    <rPh sb="324" eb="325">
      <t>ガク</t>
    </rPh>
    <rPh sb="375" eb="376">
      <t>マナブ</t>
    </rPh>
    <rPh sb="381" eb="382">
      <t>ガク</t>
    </rPh>
    <rPh sb="391" eb="395">
      <t>ショウライドウコウ</t>
    </rPh>
    <phoneticPr fontId="1"/>
  </si>
  <si>
    <t>安全なネットの利用：WebやSNSでの、セキュリティー、マナー、ルール等AI社会原則について学ぶ（「パソコンの基礎と応用」第4回）
観光関連のデータを見る：AI等を活用した新しいビジネスモデルを参考に観光に関する調査データや実験データ等の実例を通じて適切な使用方法(ELSI等）を学ぶ（「観光文化と分析」第2～4回）
セキュリティと管理：システムのセキュリティ対策と情報を守る管理手段等データ倫理について学ぶ（「保健医療情報学」第9回）</t>
    <rPh sb="35" eb="36">
      <t>トウ</t>
    </rPh>
    <rPh sb="38" eb="40">
      <t>シャカイ</t>
    </rPh>
    <rPh sb="40" eb="42">
      <t>ゲンソク</t>
    </rPh>
    <rPh sb="61" eb="62">
      <t>ダイ</t>
    </rPh>
    <rPh sb="66" eb="68">
      <t>カンコウ</t>
    </rPh>
    <rPh sb="68" eb="70">
      <t>カンレン</t>
    </rPh>
    <rPh sb="75" eb="76">
      <t>ミ</t>
    </rPh>
    <rPh sb="80" eb="81">
      <t>トウ</t>
    </rPh>
    <rPh sb="82" eb="84">
      <t>カツヨウ</t>
    </rPh>
    <rPh sb="86" eb="87">
      <t>アタラ</t>
    </rPh>
    <rPh sb="97" eb="99">
      <t>サンコウ</t>
    </rPh>
    <rPh sb="106" eb="108">
      <t>チョウサ</t>
    </rPh>
    <rPh sb="112" eb="114">
      <t>ジッケン</t>
    </rPh>
    <rPh sb="117" eb="118">
      <t>トウ</t>
    </rPh>
    <rPh sb="137" eb="138">
      <t>トウ</t>
    </rPh>
    <rPh sb="166" eb="168">
      <t>カンリ</t>
    </rPh>
    <rPh sb="180" eb="182">
      <t>タイサク</t>
    </rPh>
    <rPh sb="183" eb="185">
      <t>ジョウホウ</t>
    </rPh>
    <rPh sb="186" eb="187">
      <t>マモ</t>
    </rPh>
    <rPh sb="188" eb="192">
      <t>カンリシュダン</t>
    </rPh>
    <rPh sb="192" eb="193">
      <t>トウ</t>
    </rPh>
    <rPh sb="196" eb="198">
      <t>リンリ</t>
    </rPh>
    <rPh sb="202" eb="203">
      <t>マナブ</t>
    </rPh>
    <phoneticPr fontId="1"/>
  </si>
  <si>
    <t>安全なネットの利用：WebやSNSでの、セキュリティー、マナー、ルール等AI社会原則について学ぶ（「パソコンの基礎と応用」第4回）
セキュリティと管理：システムのセキュリティ対策と情報を守る管理手段等データ倫理について学ぶ（「保健医療情報学」第9回）</t>
    <rPh sb="35" eb="36">
      <t>トウ</t>
    </rPh>
    <rPh sb="61" eb="62">
      <t>ダイ</t>
    </rPh>
    <phoneticPr fontId="1"/>
  </si>
  <si>
    <t>Excel の基礎3：データを基にしたデータ表現やグラフ種選択と作成を修得する（「パソコンの基礎と応用」第10回）
ビッグデータとデータサイエンス：データの種類、データ・AIの活用領域の広がりを確認する、膨大なデータを作成する、データの比較、読み解く計算科学の新しい手法を紹介する。データ・AIの活用領域の広がりを学ぶ。（「数理と発想」第14回）
統計学の知識：平均値、分散、分布の形などの読み方、気を付け方、定義の重要性、読み取り方の注意点、二変量の分析の基礎・注意点（「観光文化と分析」第5～7回）
正規分布とその性質を使って：標準正規分布の特徴と偏差値などの応用方法（「心理学統計法」第7回）
連関と相関をめぐって：諸種の相関係数とその考え方および因果律について（「心理学統計法」第8回）</t>
    <rPh sb="22" eb="24">
      <t>ヒョウゲン</t>
    </rPh>
    <rPh sb="52" eb="53">
      <t>ダイ</t>
    </rPh>
    <rPh sb="295" eb="296">
      <t>ダイ</t>
    </rPh>
    <rPh sb="343" eb="344">
      <t>ダイ</t>
    </rPh>
    <phoneticPr fontId="1"/>
  </si>
  <si>
    <t>Excelの基礎3：データ表現やデータを基にしたグラフ種選択と作成を修得する（「パソコンの基礎と応用」第10回）
ビッグデータとデータサイエンス：データの種類、データ・AIの活用領域の広がりを確認する、膨大なデータを作成する、データの比較、読み解く計算科学の新しい手法を紹介する。データ・AIの活用領域の広がりを学ぶ（「数理と発想」第14回）
代表値、散布度、統計量－数による基本的な表現方法－：基本的な統計量を求め、その意味づけと利用の仕方、データの表現を学ぶ（「心理学統計法」第6回）
正規分布とその性質を使って：標準正規分布の特徴と偏差値などの応用方法、データの図表表現（「心理学統計法」第7回）
正規分布とｔ分布について：データの比較、区間推定の考え方ー神様しか知らない数字に近づく方法ー（「心理学統計法」第9回）
統計的検定の考え方：データの比較、背理法による仮説検定のロジックと検定力について（「心理学統計法」第10回）
平均の差の検定１：データの比較、ｔ分布を用いた検定法の理論を学ぶ（「心理学統計法」第11回）
基礎統計（数量データと質的データ）：データの種類に合わせた集計をし、データ表現（表にまとめる）をする（「栄養情報処理実習」第2～3回）
記述統計とは：1変数の記述統計，代表値、散布度、歪度、尖度，グラフ等データ表現をする（「保健統計学」第5回）
推測統計の基本：確率論、推測の仕組み、正規分布、標本分布、P値と信頼区間についてデータの図表表現や比較をする（「保健統計学」第6回）</t>
    <rPh sb="6" eb="8">
      <t>キソ</t>
    </rPh>
    <rPh sb="27" eb="28">
      <t>シュ</t>
    </rPh>
    <rPh sb="51" eb="52">
      <t>ダイ</t>
    </rPh>
    <rPh sb="226" eb="228">
      <t>ヒョウゲン</t>
    </rPh>
    <rPh sb="235" eb="236">
      <t>ガク</t>
    </rPh>
    <rPh sb="284" eb="286">
      <t>ズヒョウ</t>
    </rPh>
    <rPh sb="286" eb="288">
      <t>ヒョウゲン</t>
    </rPh>
    <rPh sb="292" eb="293">
      <t>ガク</t>
    </rPh>
    <rPh sb="319" eb="321">
      <t>ヒカク</t>
    </rPh>
    <rPh sb="357" eb="358">
      <t>ダイ</t>
    </rPh>
    <rPh sb="376" eb="378">
      <t>ヒカク</t>
    </rPh>
    <rPh sb="411" eb="412">
      <t>ダイ</t>
    </rPh>
    <rPh sb="430" eb="432">
      <t>ヒカク</t>
    </rPh>
    <rPh sb="458" eb="459">
      <t>ダイ</t>
    </rPh>
    <rPh sb="501" eb="503">
      <t>ヒョウゲン</t>
    </rPh>
    <rPh sb="504" eb="505">
      <t>ヒョウ</t>
    </rPh>
    <rPh sb="565" eb="566">
      <t>トウ</t>
    </rPh>
    <rPh sb="569" eb="571">
      <t>ヒョウゲン</t>
    </rPh>
    <rPh sb="631" eb="633">
      <t>ズヒョウ</t>
    </rPh>
    <rPh sb="633" eb="635">
      <t>ヒョウゲン</t>
    </rPh>
    <rPh sb="636" eb="638">
      <t>ヒカク</t>
    </rPh>
    <phoneticPr fontId="1"/>
  </si>
  <si>
    <t>Excel の応用1：IF 関数を使用して、データの集計や並び替えをし、条件判断を修得する（「パソコンの基礎と応用」第11回）
Excel の応用2：データの並び替えやランキングをCOUNTIF、RANK関数を使ってデータ操作を学ぶ（「パソコンの基礎と応用」第12回）
データサイエンス基礎：データサイエンスの発想とデータのオープン化の有用性、データサイエンスのサイクルを知る。データの集計等データを扱うことを実践する（「パソコンの基礎と応用」第14回）
データの分析：収集データの集計・分析の解説と実習、計量・統計手法に基づくデータ分析の解説と実習、データマイニングについての解説と実習（「日本語学特殊演習Ⅰ」第6～8回）
基礎統計③（t検定）：2群の平均値の比較について理解し、対応のある/対応のないｔ検定を実践し、データの集計をする（「栄養情報処理実習」第4回）
基礎統計：クロス集計を行い、表にまとめる、χ二乗検定を実践し、データの集計をする（「栄養情報処理実習」第4～6回）
2変数の記述統計：量的2変数の相関、相関係数、順位相関係数、量的2変数の回帰直線、回帰係数、予測と誤差と切片の集計と解析のデータを扱う（「保健統計学」第7～8回）
推測統計の手法：t検定（データ集計）を行う（「保健統計学」第9回）
2変数の記述統計：質的2変数の関連、クロス集計、関連係数、χ2値（「保健統計学」第10回）
多変量解析：重回帰分析、適合度検定、ロジスティック回帰分析、生存時間分析，因子分析の集計、並び替え、分析のデータを扱う（「保健統計学」第11～13回）
調査のための統計学：無作為抽出と無作為割付、標本数算のデータ集計を行う（「保健統計学」第14回）</t>
    <rPh sb="17" eb="19">
      <t>シヨウ</t>
    </rPh>
    <rPh sb="26" eb="28">
      <t>シュウケイ</t>
    </rPh>
    <rPh sb="29" eb="30">
      <t>ナラ</t>
    </rPh>
    <rPh sb="31" eb="32">
      <t>カ</t>
    </rPh>
    <rPh sb="58" eb="59">
      <t>ダイ</t>
    </rPh>
    <rPh sb="79" eb="80">
      <t>ナラ</t>
    </rPh>
    <rPh sb="81" eb="82">
      <t>カ</t>
    </rPh>
    <rPh sb="129" eb="130">
      <t>ダイ</t>
    </rPh>
    <rPh sb="193" eb="195">
      <t>シュウケイ</t>
    </rPh>
    <rPh sb="195" eb="196">
      <t>トウ</t>
    </rPh>
    <rPh sb="200" eb="201">
      <t>アツカ</t>
    </rPh>
    <rPh sb="205" eb="207">
      <t>ジッセン</t>
    </rPh>
    <rPh sb="364" eb="366">
      <t>シュウケイ</t>
    </rPh>
    <rPh sb="420" eb="422">
      <t>シュウケイ</t>
    </rPh>
    <rPh sb="498" eb="500">
      <t>シュウケイ</t>
    </rPh>
    <rPh sb="501" eb="503">
      <t>カイセキ</t>
    </rPh>
    <rPh sb="508" eb="509">
      <t>アツカ</t>
    </rPh>
    <rPh sb="540" eb="542">
      <t>シュウケイ</t>
    </rPh>
    <rPh sb="544" eb="545">
      <t>オコナ</t>
    </rPh>
    <rPh sb="647" eb="649">
      <t>シュウケイ</t>
    </rPh>
    <rPh sb="650" eb="651">
      <t>ナラ</t>
    </rPh>
    <rPh sb="652" eb="653">
      <t>カ</t>
    </rPh>
    <rPh sb="655" eb="657">
      <t>ブンセキ</t>
    </rPh>
    <rPh sb="662" eb="663">
      <t>アツカ</t>
    </rPh>
    <rPh sb="711" eb="713">
      <t>シュウケイ</t>
    </rPh>
    <rPh sb="714" eb="715">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</si>
</sst>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8"/>
      <name val="ＭＳ Ｐゴシック"/>
      <family val="3"/>
      <charset val="128"/>
      <scheme val="minor"/>
    </font>
    <font>
      <sz val="9"/>
      <name val="ＭＳ Ｐゴシック"/>
      <family val="3"/>
      <charset val="128"/>
      <scheme val="minor"/>
    </font>
    <font>
      <sz val="14"/>
      <name val="ＭＳ Ｐゴシック"/>
      <family val="3"/>
      <charset val="128"/>
      <scheme val="minor"/>
    </font>
    <font>
      <sz val="6"/>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4">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3"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vertical="center" shrinkToFit="1"/>
    </xf>
    <xf numFmtId="9" fontId="3" fillId="0" borderId="10" xfId="0" applyNumberFormat="1" applyFont="1" applyBorder="1" applyAlignment="1">
      <alignment vertical="center" shrinkToFit="1"/>
    </xf>
    <xf numFmtId="9" fontId="3" fillId="0" borderId="22" xfId="0" applyNumberFormat="1" applyFont="1" applyBorder="1" applyAlignment="1">
      <alignment vertical="center" shrinkToFit="1"/>
    </xf>
    <xf numFmtId="9" fontId="3" fillId="0" borderId="26" xfId="0" applyNumberFormat="1" applyFont="1" applyBorder="1" applyAlignment="1">
      <alignment vertical="center" shrinkToFit="1"/>
    </xf>
    <xf numFmtId="0" fontId="3" fillId="0" borderId="14" xfId="0" applyFont="1" applyBorder="1" applyAlignment="1">
      <alignment horizontal="left" vertical="center" shrinkToFit="1"/>
    </xf>
    <xf numFmtId="0" fontId="3" fillId="0" borderId="22"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7" xfId="0" applyFont="1" applyBorder="1" applyAlignment="1">
      <alignment horizontal="center" vertical="center" shrinkToFit="1"/>
    </xf>
    <xf numFmtId="0" fontId="10" fillId="0" borderId="11"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9" fontId="3" fillId="0" borderId="57" xfId="0" applyNumberFormat="1" applyFont="1" applyBorder="1" applyAlignment="1">
      <alignment vertical="center" shrinkToFit="1"/>
    </xf>
    <xf numFmtId="9" fontId="3" fillId="0" borderId="14" xfId="0" applyNumberFormat="1" applyFont="1" applyBorder="1" applyAlignment="1">
      <alignment vertical="center" shrinkToFit="1"/>
    </xf>
    <xf numFmtId="38" fontId="3" fillId="0" borderId="27" xfId="2" applyFont="1" applyBorder="1" applyAlignment="1">
      <alignment vertical="center" shrinkToFit="1"/>
    </xf>
    <xf numFmtId="38" fontId="3" fillId="0" borderId="25" xfId="2" applyFont="1" applyBorder="1" applyAlignment="1">
      <alignment vertical="center" shrinkToFit="1"/>
    </xf>
    <xf numFmtId="38" fontId="3" fillId="0" borderId="24" xfId="2" applyFont="1" applyBorder="1" applyAlignment="1">
      <alignment vertical="center" shrinkToFit="1"/>
    </xf>
    <xf numFmtId="38" fontId="3" fillId="0" borderId="55" xfId="2" applyFont="1" applyBorder="1" applyAlignment="1">
      <alignment vertical="center" shrinkToFit="1"/>
    </xf>
    <xf numFmtId="38" fontId="3" fillId="0" borderId="31" xfId="2" applyFont="1" applyBorder="1" applyAlignment="1">
      <alignment vertical="center" shrinkToFit="1"/>
    </xf>
    <xf numFmtId="38" fontId="3" fillId="0" borderId="47"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22"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54" xfId="2" applyFont="1" applyBorder="1" applyAlignment="1">
      <alignment vertical="center" shrinkToFit="1"/>
    </xf>
    <xf numFmtId="38" fontId="3" fillId="0" borderId="52" xfId="2" applyFont="1" applyBorder="1" applyAlignment="1">
      <alignment vertical="center" shrinkToFit="1"/>
    </xf>
    <xf numFmtId="38" fontId="3" fillId="0" borderId="30" xfId="2" applyFont="1" applyBorder="1" applyAlignment="1">
      <alignment vertical="center" shrinkToFit="1"/>
    </xf>
    <xf numFmtId="38" fontId="3" fillId="0" borderId="18" xfId="2" applyFont="1" applyBorder="1" applyAlignment="1">
      <alignment vertical="center" shrinkToFit="1"/>
    </xf>
    <xf numFmtId="38" fontId="3" fillId="0" borderId="10" xfId="2" applyFont="1" applyBorder="1" applyAlignment="1">
      <alignment vertical="center" shrinkToFit="1"/>
    </xf>
    <xf numFmtId="38" fontId="3" fillId="0" borderId="53" xfId="2" applyFont="1" applyBorder="1" applyAlignment="1">
      <alignment vertical="center" shrinkToFit="1"/>
    </xf>
    <xf numFmtId="38" fontId="3" fillId="0" borderId="48" xfId="2" applyFont="1" applyBorder="1" applyAlignment="1">
      <alignment vertical="center" shrinkToFit="1"/>
    </xf>
    <xf numFmtId="0" fontId="11" fillId="0" borderId="14" xfId="0" applyFont="1" applyBorder="1" applyAlignment="1">
      <alignment horizontal="center" vertical="center" shrinkToFit="1"/>
    </xf>
    <xf numFmtId="0" fontId="11" fillId="0" borderId="22" xfId="0" applyFont="1" applyBorder="1" applyAlignment="1">
      <alignment horizontal="center" vertical="center" shrinkToFit="1"/>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pplyAlignment="1">
      <alignment vertical="center" shrinkToFit="1"/>
    </xf>
    <xf numFmtId="0" fontId="13"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1" fillId="0" borderId="13"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0" xfId="0" applyFont="1" applyAlignment="1">
      <alignment vertical="center" shrinkToFit="1"/>
    </xf>
    <xf numFmtId="0" fontId="11" fillId="0" borderId="0" xfId="0" applyFont="1" applyAlignment="1">
      <alignment vertical="top" wrapText="1"/>
    </xf>
    <xf numFmtId="0" fontId="11" fillId="0" borderId="0" xfId="0" applyFont="1" applyAlignment="1">
      <alignment horizontal="center" vertical="center" shrinkToFit="1"/>
    </xf>
    <xf numFmtId="0" fontId="11" fillId="0" borderId="47" xfId="0" applyFont="1" applyBorder="1" applyAlignment="1">
      <alignment horizontal="center" vertical="center" shrinkToFit="1"/>
    </xf>
    <xf numFmtId="0" fontId="11" fillId="0" borderId="59" xfId="0" applyFont="1" applyBorder="1" applyAlignment="1">
      <alignment horizontal="center" vertical="center" shrinkToFit="1"/>
    </xf>
    <xf numFmtId="0" fontId="11" fillId="0" borderId="57" xfId="0" applyFont="1" applyBorder="1" applyAlignment="1">
      <alignment horizontal="center" vertical="center" shrinkToFit="1"/>
    </xf>
    <xf numFmtId="0" fontId="11" fillId="0" borderId="1" xfId="0" applyFont="1" applyBorder="1" applyAlignment="1">
      <alignment horizontal="center" vertical="center" wrapText="1" shrinkToFit="1"/>
    </xf>
    <xf numFmtId="176" fontId="11" fillId="0" borderId="1" xfId="0" applyNumberFormat="1" applyFont="1" applyBorder="1" applyAlignment="1">
      <alignment horizontal="center" vertical="center" shrinkToFit="1"/>
    </xf>
    <xf numFmtId="38" fontId="11" fillId="0" borderId="47" xfId="2" applyFont="1" applyBorder="1" applyAlignment="1">
      <alignment vertical="center" shrinkToFit="1"/>
    </xf>
    <xf numFmtId="38" fontId="11" fillId="0" borderId="0" xfId="2" applyFont="1" applyAlignment="1">
      <alignment vertical="center" shrinkToFit="1"/>
    </xf>
    <xf numFmtId="38" fontId="11" fillId="0" borderId="5" xfId="2" applyFont="1" applyBorder="1" applyAlignment="1">
      <alignment vertical="center" shrinkToFit="1"/>
    </xf>
    <xf numFmtId="38" fontId="11" fillId="0" borderId="22" xfId="2" applyFont="1" applyBorder="1" applyAlignment="1">
      <alignment vertical="center" shrinkToFit="1"/>
    </xf>
    <xf numFmtId="38" fontId="11" fillId="0" borderId="20" xfId="2" applyFont="1" applyBorder="1" applyAlignment="1">
      <alignment vertical="center" shrinkToFit="1"/>
    </xf>
    <xf numFmtId="38" fontId="11" fillId="0" borderId="19" xfId="2" applyFont="1" applyBorder="1" applyAlignment="1">
      <alignment vertical="center" shrinkToFit="1"/>
    </xf>
    <xf numFmtId="38" fontId="3" fillId="0" borderId="51" xfId="2" applyFont="1" applyFill="1" applyBorder="1" applyAlignment="1">
      <alignment vertical="center" shrinkToFit="1"/>
    </xf>
    <xf numFmtId="38" fontId="3" fillId="0" borderId="52" xfId="2" applyFont="1" applyFill="1" applyBorder="1" applyAlignment="1">
      <alignment vertical="center" shrinkToFit="1"/>
    </xf>
    <xf numFmtId="9" fontId="11" fillId="0" borderId="1" xfId="0" applyNumberFormat="1" applyFont="1" applyBorder="1" applyAlignment="1">
      <alignment horizontal="center" vertical="center" shrinkToFit="1"/>
    </xf>
    <xf numFmtId="0" fontId="11" fillId="0" borderId="1" xfId="0" applyFont="1" applyBorder="1" applyAlignment="1">
      <alignment horizontal="center" vertical="center" shrinkToFit="1"/>
    </xf>
    <xf numFmtId="0" fontId="11" fillId="0" borderId="1" xfId="0" applyFont="1" applyBorder="1" applyAlignment="1">
      <alignment horizontal="center" vertical="center"/>
    </xf>
    <xf numFmtId="0" fontId="15" fillId="0" borderId="0" xfId="0" applyFont="1" applyAlignment="1">
      <alignment horizontal="center" vertical="center"/>
    </xf>
    <xf numFmtId="0" fontId="11" fillId="0" borderId="1" xfId="0" applyFont="1" applyBorder="1" applyAlignment="1">
      <alignment horizontal="left" vertical="center"/>
    </xf>
    <xf numFmtId="0" fontId="14" fillId="0" borderId="0" xfId="0" applyFont="1" applyAlignment="1">
      <alignment vertical="top" wrapText="1"/>
    </xf>
    <xf numFmtId="0" fontId="11" fillId="2" borderId="5" xfId="0" applyFont="1" applyFill="1" applyBorder="1">
      <alignment vertical="center"/>
    </xf>
    <xf numFmtId="0" fontId="14" fillId="2" borderId="0" xfId="0" applyFont="1" applyFill="1" applyBorder="1" applyAlignment="1">
      <alignment vertical="top" wrapText="1"/>
    </xf>
    <xf numFmtId="0" fontId="14" fillId="2" borderId="10" xfId="0" applyFont="1" applyFill="1" applyBorder="1" applyAlignment="1">
      <alignment vertical="top" wrapText="1"/>
    </xf>
    <xf numFmtId="0" fontId="11" fillId="2" borderId="0" xfId="0" applyFont="1" applyFill="1" applyBorder="1">
      <alignment vertical="center"/>
    </xf>
    <xf numFmtId="0" fontId="14" fillId="2" borderId="5" xfId="0" applyFont="1" applyFill="1" applyBorder="1" applyAlignment="1">
      <alignment vertical="top" wrapText="1"/>
    </xf>
    <xf numFmtId="0" fontId="14" fillId="2" borderId="11" xfId="0" applyFont="1" applyFill="1" applyBorder="1" applyAlignment="1">
      <alignment vertical="top" wrapText="1"/>
    </xf>
    <xf numFmtId="0" fontId="14" fillId="2" borderId="40" xfId="0" applyFont="1" applyFill="1" applyBorder="1" applyAlignment="1">
      <alignment vertical="top" wrapText="1"/>
    </xf>
    <xf numFmtId="0" fontId="14" fillId="2" borderId="41" xfId="0" applyFont="1" applyFill="1" applyBorder="1" applyAlignment="1">
      <alignment vertical="top" wrapText="1"/>
    </xf>
    <xf numFmtId="0" fontId="14" fillId="0" borderId="20" xfId="0" applyFont="1" applyBorder="1" applyAlignment="1">
      <alignment vertical="top" shrinkToFit="1"/>
    </xf>
    <xf numFmtId="0" fontId="14" fillId="0" borderId="18" xfId="0" applyFont="1" applyBorder="1" applyAlignment="1">
      <alignment vertical="top" shrinkToFit="1"/>
    </xf>
    <xf numFmtId="0" fontId="14" fillId="0" borderId="0" xfId="0" applyFont="1">
      <alignment vertical="center"/>
    </xf>
    <xf numFmtId="0" fontId="12" fillId="0" borderId="0" xfId="0" applyFont="1">
      <alignment vertical="center"/>
    </xf>
    <xf numFmtId="0" fontId="12" fillId="0" borderId="0" xfId="0" applyFont="1" applyAlignment="1">
      <alignment horizontal="left" vertical="center"/>
    </xf>
    <xf numFmtId="0" fontId="11" fillId="0" borderId="0" xfId="0" applyFont="1" applyAlignment="1">
      <alignment vertical="center" wrapText="1"/>
    </xf>
    <xf numFmtId="9" fontId="11" fillId="0" borderId="0" xfId="1" applyFont="1" applyAlignment="1">
      <alignment horizontal="center" vertical="center"/>
    </xf>
    <xf numFmtId="0" fontId="14" fillId="0" borderId="0" xfId="0" applyFont="1" applyAlignment="1">
      <alignment vertical="top" shrinkToFit="1"/>
    </xf>
    <xf numFmtId="0" fontId="14" fillId="0" borderId="0" xfId="0" applyFont="1" applyAlignment="1">
      <alignment vertical="center" wrapText="1"/>
    </xf>
    <xf numFmtId="0" fontId="10" fillId="0" borderId="11" xfId="0" applyFont="1" applyFill="1" applyBorder="1" applyAlignment="1">
      <alignment horizontal="center" vertical="center"/>
    </xf>
    <xf numFmtId="0" fontId="10" fillId="0" borderId="49" xfId="0" applyFont="1" applyFill="1" applyBorder="1" applyAlignment="1">
      <alignment horizontal="center" vertical="center"/>
    </xf>
    <xf numFmtId="0" fontId="10" fillId="0" borderId="50" xfId="0" applyFont="1" applyFill="1" applyBorder="1" applyAlignment="1">
      <alignment horizontal="center" vertical="center"/>
    </xf>
    <xf numFmtId="38" fontId="3" fillId="0" borderId="5" xfId="2" applyFont="1" applyFill="1" applyBorder="1" applyAlignment="1">
      <alignment vertical="center" shrinkToFit="1"/>
    </xf>
    <xf numFmtId="38" fontId="3" fillId="0" borderId="54" xfId="2" applyFont="1" applyFill="1" applyBorder="1" applyAlignment="1">
      <alignment vertical="center" shrinkToFit="1"/>
    </xf>
    <xf numFmtId="38" fontId="3" fillId="0" borderId="30" xfId="2" applyFont="1" applyFill="1" applyBorder="1" applyAlignment="1">
      <alignment vertical="center" shrinkToFit="1"/>
    </xf>
    <xf numFmtId="38" fontId="3" fillId="0" borderId="53" xfId="2" applyFont="1" applyFill="1" applyBorder="1" applyAlignment="1">
      <alignment vertical="center" shrinkToFit="1"/>
    </xf>
    <xf numFmtId="38" fontId="3" fillId="0" borderId="48" xfId="2" applyFont="1" applyFill="1" applyBorder="1" applyAlignment="1">
      <alignment vertical="center" shrinkToFit="1"/>
    </xf>
    <xf numFmtId="38" fontId="11" fillId="0" borderId="29" xfId="2" applyFont="1" applyFill="1" applyBorder="1" applyAlignment="1">
      <alignment vertical="center" shrinkToFit="1"/>
    </xf>
    <xf numFmtId="38" fontId="11" fillId="0" borderId="30" xfId="2" applyFont="1" applyFill="1" applyBorder="1" applyAlignment="1">
      <alignment vertical="center" shrinkToFit="1"/>
    </xf>
    <xf numFmtId="38" fontId="3" fillId="0" borderId="24" xfId="2" applyFont="1" applyFill="1" applyBorder="1" applyAlignment="1">
      <alignment horizontal="center" vertical="center" shrinkToFit="1"/>
    </xf>
    <xf numFmtId="38" fontId="3" fillId="0" borderId="55" xfId="2" applyFont="1" applyFill="1" applyBorder="1" applyAlignment="1">
      <alignment horizontal="center" vertical="center" shrinkToFit="1"/>
    </xf>
    <xf numFmtId="38" fontId="3" fillId="0" borderId="31" xfId="2" applyFont="1" applyFill="1" applyBorder="1" applyAlignment="1">
      <alignment horizontal="center" vertical="center" shrinkToFit="1"/>
    </xf>
    <xf numFmtId="38" fontId="3" fillId="0" borderId="5" xfId="2" applyFont="1" applyFill="1" applyBorder="1" applyAlignment="1">
      <alignment horizontal="center" vertical="center" shrinkToFit="1"/>
    </xf>
    <xf numFmtId="38" fontId="3" fillId="0" borderId="51" xfId="2" applyFont="1" applyFill="1" applyBorder="1" applyAlignment="1">
      <alignment horizontal="center" vertical="center" shrinkToFit="1"/>
    </xf>
    <xf numFmtId="38" fontId="3" fillId="0" borderId="29" xfId="2" applyFont="1" applyFill="1" applyBorder="1" applyAlignment="1">
      <alignment horizontal="center" vertical="center" shrinkToFit="1"/>
    </xf>
    <xf numFmtId="38" fontId="3" fillId="0" borderId="54" xfId="2" applyFont="1" applyFill="1" applyBorder="1" applyAlignment="1">
      <alignment horizontal="center" vertical="center" shrinkToFit="1"/>
    </xf>
    <xf numFmtId="38" fontId="3" fillId="0" borderId="52" xfId="2" applyFont="1" applyFill="1" applyBorder="1" applyAlignment="1">
      <alignment horizontal="center" vertical="center" shrinkToFit="1"/>
    </xf>
    <xf numFmtId="38" fontId="3" fillId="0" borderId="30" xfId="2" applyFont="1" applyFill="1" applyBorder="1" applyAlignment="1">
      <alignment horizontal="center" vertical="center" shrinkToFit="1"/>
    </xf>
    <xf numFmtId="0" fontId="11" fillId="0" borderId="0" xfId="0" applyFont="1" applyAlignment="1">
      <alignment horizontal="left" vertical="center" shrinkToFit="1"/>
    </xf>
    <xf numFmtId="0" fontId="11" fillId="0" borderId="10" xfId="0" applyFont="1" applyBorder="1" applyAlignment="1">
      <alignment horizontal="right" vertical="center"/>
    </xf>
    <xf numFmtId="0" fontId="12" fillId="0" borderId="0" xfId="0" applyFont="1" applyAlignment="1">
      <alignment horizontal="center" vertical="center"/>
    </xf>
    <xf numFmtId="0" fontId="11" fillId="0" borderId="5" xfId="0" applyFont="1" applyBorder="1">
      <alignment vertical="center"/>
    </xf>
    <xf numFmtId="49" fontId="14" fillId="0" borderId="46" xfId="0" applyNumberFormat="1" applyFont="1" applyBorder="1" applyAlignment="1">
      <alignment horizontal="center" vertical="center"/>
    </xf>
    <xf numFmtId="49" fontId="14" fillId="0" borderId="28" xfId="0" applyNumberFormat="1" applyFont="1" applyBorder="1" applyAlignment="1">
      <alignment horizontal="center" vertical="center"/>
    </xf>
    <xf numFmtId="49" fontId="14" fillId="0" borderId="42" xfId="0" applyNumberFormat="1" applyFont="1" applyBorder="1" applyAlignment="1">
      <alignment horizontal="center" vertical="center"/>
    </xf>
    <xf numFmtId="49" fontId="14" fillId="0" borderId="45" xfId="0" applyNumberFormat="1" applyFont="1" applyBorder="1" applyAlignment="1">
      <alignment horizontal="center" vertical="center"/>
    </xf>
    <xf numFmtId="0" fontId="11" fillId="0" borderId="0" xfId="0" applyFont="1" applyAlignment="1">
      <alignment horizontal="right" vertical="center"/>
    </xf>
    <xf numFmtId="0" fontId="11" fillId="0" borderId="0" xfId="0" applyFont="1">
      <alignment vertical="center"/>
    </xf>
    <xf numFmtId="0" fontId="11" fillId="0" borderId="0" xfId="0" applyFont="1" applyAlignment="1">
      <alignment horizontal="center" vertical="center"/>
    </xf>
    <xf numFmtId="0" fontId="14" fillId="0" borderId="43" xfId="0" applyFont="1" applyBorder="1" applyAlignment="1">
      <alignment vertical="center" wrapText="1"/>
    </xf>
    <xf numFmtId="0" fontId="14" fillId="0" borderId="44" xfId="0" applyFont="1" applyBorder="1" applyAlignment="1">
      <alignment vertical="center" wrapText="1"/>
    </xf>
    <xf numFmtId="0" fontId="11" fillId="0" borderId="34" xfId="0" applyFont="1" applyBorder="1" applyAlignment="1">
      <alignment horizontal="left" vertical="center" wrapText="1" shrinkToFit="1"/>
    </xf>
    <xf numFmtId="0" fontId="11" fillId="0" borderId="34" xfId="0" applyFont="1" applyBorder="1" applyAlignment="1">
      <alignment horizontal="left" vertical="center" shrinkToFit="1"/>
    </xf>
    <xf numFmtId="0" fontId="11" fillId="0" borderId="33" xfId="0" applyFont="1" applyBorder="1" applyAlignment="1">
      <alignment horizontal="left" vertical="center" shrinkToFit="1"/>
    </xf>
    <xf numFmtId="0" fontId="11" fillId="0" borderId="6" xfId="0" applyFont="1" applyBorder="1" applyAlignment="1">
      <alignment horizontal="left" vertical="center" wrapText="1" shrinkToFit="1"/>
    </xf>
    <xf numFmtId="0" fontId="11" fillId="0" borderId="6" xfId="0" applyFont="1" applyBorder="1" applyAlignment="1">
      <alignment horizontal="left" vertical="center" shrinkToFit="1"/>
    </xf>
    <xf numFmtId="0" fontId="11" fillId="0" borderId="12" xfId="0" applyFont="1" applyBorder="1" applyAlignment="1">
      <alignment horizontal="left" vertical="center" shrinkToFit="1"/>
    </xf>
    <xf numFmtId="0" fontId="11" fillId="0" borderId="8" xfId="0" applyFont="1" applyBorder="1" applyAlignment="1">
      <alignment horizontal="left" vertical="center" wrapText="1"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1" fillId="0" borderId="36" xfId="0" applyFont="1" applyBorder="1" applyAlignment="1">
      <alignment horizontal="left" vertical="center" wrapText="1" shrinkToFit="1"/>
    </xf>
    <xf numFmtId="0" fontId="11" fillId="0" borderId="36" xfId="0" applyFont="1" applyBorder="1" applyAlignment="1">
      <alignment horizontal="left" vertical="center" shrinkToFit="1"/>
    </xf>
    <xf numFmtId="0" fontId="11" fillId="0" borderId="37" xfId="0" applyFont="1" applyBorder="1" applyAlignment="1">
      <alignment horizontal="left" vertical="center" shrinkToFit="1"/>
    </xf>
    <xf numFmtId="0" fontId="11" fillId="0" borderId="34" xfId="0" applyFont="1" applyBorder="1" applyAlignment="1">
      <alignment vertical="center" wrapText="1" shrinkToFit="1"/>
    </xf>
    <xf numFmtId="0" fontId="11" fillId="0" borderId="34" xfId="0" applyFont="1" applyBorder="1" applyAlignment="1">
      <alignment vertical="center" shrinkToFit="1"/>
    </xf>
    <xf numFmtId="0" fontId="11" fillId="0" borderId="33" xfId="0" applyFont="1" applyBorder="1" applyAlignment="1">
      <alignment vertical="center" shrinkToFit="1"/>
    </xf>
    <xf numFmtId="0" fontId="11" fillId="0" borderId="35" xfId="0" applyFont="1" applyBorder="1" applyAlignment="1">
      <alignment vertical="center" wrapText="1" shrinkToFit="1"/>
    </xf>
    <xf numFmtId="0" fontId="11" fillId="0" borderId="36" xfId="0" applyFont="1" applyBorder="1" applyAlignment="1">
      <alignment vertical="center" shrinkToFit="1"/>
    </xf>
    <xf numFmtId="0" fontId="11" fillId="0" borderId="37" xfId="0" applyFont="1" applyBorder="1" applyAlignment="1">
      <alignment vertical="center" shrinkToFit="1"/>
    </xf>
    <xf numFmtId="0" fontId="14" fillId="0" borderId="43" xfId="0" applyFont="1" applyBorder="1" applyAlignment="1">
      <alignment horizontal="center" vertical="center" wrapText="1"/>
    </xf>
    <xf numFmtId="0" fontId="14" fillId="0" borderId="44" xfId="0" applyFont="1" applyBorder="1" applyAlignment="1">
      <alignment horizontal="center" vertical="center" wrapText="1"/>
    </xf>
    <xf numFmtId="0" fontId="17" fillId="0" borderId="2" xfId="0" applyFont="1" applyBorder="1" applyAlignment="1">
      <alignment horizontal="center" vertical="center" shrinkToFit="1"/>
    </xf>
    <xf numFmtId="0" fontId="17" fillId="0" borderId="4" xfId="0" applyFont="1" applyBorder="1" applyAlignment="1">
      <alignment horizontal="center" vertical="center" shrinkToFi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19" xfId="0" applyFont="1" applyBorder="1" applyAlignment="1">
      <alignment horizontal="left" vertical="center" shrinkToFit="1"/>
    </xf>
    <xf numFmtId="0" fontId="11" fillId="0" borderId="20" xfId="0" applyFont="1" applyBorder="1" applyAlignment="1">
      <alignment horizontal="left" vertical="center" shrinkToFit="1"/>
    </xf>
    <xf numFmtId="0" fontId="11" fillId="0" borderId="18" xfId="0" applyFont="1" applyBorder="1" applyAlignment="1">
      <alignment horizontal="left"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35" xfId="0" applyFont="1" applyBorder="1" applyAlignment="1">
      <alignment horizontal="left" vertical="center" shrinkToFit="1"/>
    </xf>
    <xf numFmtId="0" fontId="11" fillId="0" borderId="35"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7" xfId="0" applyFont="1" applyBorder="1" applyAlignment="1">
      <alignment horizontal="center" vertical="center" shrinkToFit="1"/>
    </xf>
    <xf numFmtId="0" fontId="11" fillId="0" borderId="35" xfId="0" applyFont="1" applyBorder="1" applyAlignment="1">
      <alignment vertical="center" shrinkToFit="1"/>
    </xf>
    <xf numFmtId="0" fontId="11" fillId="0" borderId="2"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32" xfId="0" applyFont="1" applyBorder="1" applyAlignment="1">
      <alignment horizontal="left" vertical="center" shrinkToFit="1"/>
    </xf>
    <xf numFmtId="0" fontId="11" fillId="0" borderId="32"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33" xfId="0" applyFont="1" applyBorder="1" applyAlignment="1">
      <alignment horizontal="center" vertical="center" shrinkToFit="1"/>
    </xf>
    <xf numFmtId="0" fontId="11" fillId="0" borderId="32" xfId="0" applyFont="1" applyBorder="1" applyAlignment="1">
      <alignment vertical="center" shrinkToFit="1"/>
    </xf>
    <xf numFmtId="0" fontId="11" fillId="0" borderId="0" xfId="0" applyFont="1" applyAlignment="1">
      <alignment vertical="center" wrapText="1"/>
    </xf>
    <xf numFmtId="0" fontId="12" fillId="0" borderId="34" xfId="0" applyFont="1" applyBorder="1" applyAlignment="1">
      <alignment horizontal="left" vertical="center" shrinkToFit="1"/>
    </xf>
    <xf numFmtId="0" fontId="12" fillId="0" borderId="20" xfId="0" applyFont="1" applyBorder="1" applyAlignment="1">
      <alignment horizontal="left" vertical="center" shrinkToFit="1"/>
    </xf>
    <xf numFmtId="0" fontId="11" fillId="0" borderId="39" xfId="0" applyFont="1" applyBorder="1" applyAlignment="1">
      <alignment horizontal="left" vertical="center" shrinkToFit="1"/>
    </xf>
    <xf numFmtId="0" fontId="11" fillId="0" borderId="40" xfId="0" applyFont="1" applyBorder="1" applyAlignment="1">
      <alignment horizontal="left" vertical="center" shrinkToFit="1"/>
    </xf>
    <xf numFmtId="0" fontId="11" fillId="0" borderId="41" xfId="0" applyFont="1" applyBorder="1" applyAlignment="1">
      <alignment horizontal="left" vertical="center" shrinkToFit="1"/>
    </xf>
    <xf numFmtId="0" fontId="12" fillId="0" borderId="18" xfId="0" applyFont="1" applyBorder="1" applyAlignment="1">
      <alignment horizontal="left" vertical="center" shrinkToFit="1"/>
    </xf>
    <xf numFmtId="0" fontId="11" fillId="0" borderId="16" xfId="0" applyFont="1" applyBorder="1" applyAlignment="1">
      <alignment horizontal="left" vertical="center" shrinkToFit="1"/>
    </xf>
    <xf numFmtId="0" fontId="11" fillId="0" borderId="21" xfId="0" applyFont="1" applyBorder="1" applyAlignment="1">
      <alignment horizontal="left" vertical="center" shrinkToFit="1"/>
    </xf>
    <xf numFmtId="0" fontId="11" fillId="0" borderId="58" xfId="0" applyFont="1" applyBorder="1" applyAlignment="1">
      <alignment horizontal="left" vertical="center" shrinkToFit="1"/>
    </xf>
    <xf numFmtId="0" fontId="11" fillId="0" borderId="2" xfId="0" applyFont="1" applyBorder="1" applyAlignment="1">
      <alignment vertical="center" wrapText="1"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Alignment="1">
      <alignment horizontal="left" vertical="top" shrinkToFit="1"/>
    </xf>
    <xf numFmtId="0" fontId="11" fillId="0" borderId="10" xfId="0" applyFont="1" applyBorder="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0" xfId="0" applyFont="1" applyAlignment="1">
      <alignment horizontal="righ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5"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1" xfId="0" applyFont="1" applyBorder="1" applyAlignment="1">
      <alignment horizontal="left" vertical="center"/>
    </xf>
    <xf numFmtId="0" fontId="11" fillId="0" borderId="6" xfId="0" applyFont="1" applyBorder="1" applyAlignment="1">
      <alignment horizontal="left" vertical="center"/>
    </xf>
    <xf numFmtId="0" fontId="11" fillId="0" borderId="12" xfId="0" applyFont="1" applyBorder="1" applyAlignment="1">
      <alignment horizontal="left" vertical="center"/>
    </xf>
    <xf numFmtId="0" fontId="6" fillId="0" borderId="16" xfId="0" applyFont="1" applyBorder="1" applyAlignment="1">
      <alignment horizontal="center" vertical="center"/>
    </xf>
    <xf numFmtId="0" fontId="6" fillId="0" borderId="21" xfId="0" applyFont="1" applyBorder="1" applyAlignment="1">
      <alignment horizontal="center" vertical="center"/>
    </xf>
    <xf numFmtId="0" fontId="3" fillId="0" borderId="14" xfId="0" applyFont="1" applyFill="1" applyBorder="1" applyAlignment="1">
      <alignment horizontal="center" vertical="center"/>
    </xf>
    <xf numFmtId="0" fontId="6" fillId="0" borderId="16" xfId="0" applyFont="1" applyFill="1" applyBorder="1" applyAlignment="1">
      <alignment horizontal="center" vertical="center"/>
    </xf>
    <xf numFmtId="0" fontId="6" fillId="0" borderId="21" xfId="0" applyFont="1" applyFill="1" applyBorder="1" applyAlignment="1">
      <alignment horizontal="center" vertical="center"/>
    </xf>
    <xf numFmtId="0" fontId="2" fillId="0" borderId="1" xfId="0" applyFont="1" applyBorder="1" applyAlignment="1">
      <alignment horizontal="center" vertical="center"/>
    </xf>
    <xf numFmtId="0" fontId="7" fillId="0" borderId="0" xfId="0" applyFont="1" applyAlignment="1">
      <alignment horizontal="center" vertical="center"/>
    </xf>
    <xf numFmtId="0" fontId="11" fillId="0" borderId="2" xfId="0" applyFont="1" applyFill="1" applyBorder="1" applyAlignment="1">
      <alignment horizontal="center" vertical="center" shrinkToFit="1"/>
    </xf>
    <xf numFmtId="0" fontId="11" fillId="0" borderId="4" xfId="0" applyFont="1" applyFill="1" applyBorder="1" applyAlignment="1">
      <alignment horizontal="center" vertical="center" shrinkToFit="1"/>
    </xf>
    <xf numFmtId="0" fontId="3" fillId="0" borderId="15" xfId="0" applyFont="1" applyBorder="1" applyAlignment="1">
      <alignment horizontal="center" vertical="center"/>
    </xf>
    <xf numFmtId="0" fontId="3" fillId="0" borderId="47" xfId="0" applyFont="1" applyBorder="1" applyAlignment="1">
      <alignment horizontal="center" vertical="center"/>
    </xf>
    <xf numFmtId="0" fontId="3" fillId="0" borderId="13" xfId="0" applyFont="1" applyBorder="1" applyAlignment="1">
      <alignment horizontal="center" vertical="center"/>
    </xf>
    <xf numFmtId="0" fontId="8"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9" fillId="0" borderId="15" xfId="0" applyFont="1" applyBorder="1" applyAlignment="1">
      <alignment horizontal="center" vertical="center" wrapText="1"/>
    </xf>
    <xf numFmtId="0" fontId="9" fillId="0" borderId="47" xfId="0" applyFont="1" applyBorder="1" applyAlignment="1">
      <alignment horizontal="center" vertical="center" wrapText="1"/>
    </xf>
    <xf numFmtId="0" fontId="9" fillId="0" borderId="13"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2" xfId="0" applyFont="1" applyBorder="1" applyAlignment="1">
      <alignment horizontal="center" vertical="center"/>
    </xf>
    <xf numFmtId="0" fontId="8" fillId="0" borderId="15" xfId="0" applyFont="1" applyBorder="1" applyAlignment="1">
      <alignment horizontal="center" vertical="center" wrapText="1"/>
    </xf>
    <xf numFmtId="0" fontId="8" fillId="0" borderId="47" xfId="0" applyFont="1" applyBorder="1" applyAlignment="1">
      <alignment horizontal="center" vertical="center" wrapText="1"/>
    </xf>
    <xf numFmtId="0" fontId="8" fillId="0" borderId="13" xfId="0" applyFont="1" applyBorder="1" applyAlignment="1">
      <alignment horizontal="center"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9" fontId="11" fillId="0" borderId="1" xfId="0" applyNumberFormat="1" applyFont="1" applyBorder="1" applyAlignment="1">
      <alignment horizontal="center" vertical="center" wrapText="1" shrinkToFit="1"/>
    </xf>
    <xf numFmtId="0" fontId="11" fillId="0" borderId="1" xfId="0"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11" fillId="0" borderId="0" xfId="0" applyFont="1">
      <alignment vertical="center"/>
    </xf>
    <xf numFmtId="0" fontId="11" fillId="0" borderId="2" xfId="0" applyFont="1" applyBorder="1" applyAlignment="1">
      <alignment vertical="center" shrinkToFit="1"/>
    </xf>
    <xf numFmtId="0" fontId="11" fillId="2" borderId="5" xfId="0" applyFont="1" applyFill="1" applyBorder="1" applyAlignment="1">
      <alignment horizontal="center" vertical="center" shrinkToFit="1"/>
    </xf>
    <xf numFmtId="0" fontId="11" fillId="2" borderId="0" xfId="0" applyFont="1" applyFill="1" applyAlignment="1">
      <alignment horizontal="center" vertical="center" shrinkToFit="1"/>
    </xf>
    <xf numFmtId="0" fontId="11" fillId="2" borderId="10" xfId="0" applyFont="1" applyFill="1" applyBorder="1" applyAlignment="1">
      <alignment horizontal="center" vertical="center" shrinkToFit="1"/>
    </xf>
    <xf numFmtId="0" fontId="11" fillId="0" borderId="2" xfId="0" applyFont="1" applyBorder="1" applyAlignment="1">
      <alignment horizontal="left" vertical="center"/>
    </xf>
    <xf numFmtId="0" fontId="12" fillId="0" borderId="3" xfId="0" applyFont="1" applyBorder="1">
      <alignment vertical="center"/>
    </xf>
    <xf numFmtId="0" fontId="12" fillId="0" borderId="4" xfId="0" applyFont="1" applyBorder="1">
      <alignmen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1" fillId="0" borderId="0" xfId="0" applyFont="1" applyAlignment="1">
      <alignment horizontal="center" vertical="center"/>
    </xf>
    <xf numFmtId="0" fontId="11" fillId="0" borderId="1" xfId="0" applyFont="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17" xfId="0" applyFont="1" applyBorder="1" applyAlignment="1">
      <alignment vertical="center" wrapText="1"/>
    </xf>
    <xf numFmtId="0" fontId="11" fillId="0" borderId="18" xfId="0" applyFont="1" applyBorder="1" applyAlignment="1">
      <alignment vertical="center" wrapText="1"/>
    </xf>
    <xf numFmtId="0" fontId="11" fillId="0" borderId="56" xfId="0" applyFont="1" applyBorder="1" applyAlignment="1">
      <alignment vertical="center" wrapText="1"/>
    </xf>
    <xf numFmtId="0" fontId="11" fillId="0" borderId="37" xfId="0" applyFont="1" applyBorder="1" applyAlignment="1">
      <alignment vertical="center" wrapText="1"/>
    </xf>
    <xf numFmtId="0" fontId="11" fillId="0" borderId="39" xfId="0" applyFont="1" applyBorder="1" applyAlignment="1">
      <alignment vertical="center" wrapText="1"/>
    </xf>
    <xf numFmtId="0" fontId="11" fillId="0" borderId="40" xfId="0" applyFont="1" applyBorder="1" applyAlignment="1">
      <alignment vertical="center" wrapText="1"/>
    </xf>
    <xf numFmtId="0" fontId="11" fillId="0" borderId="41"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lignment vertical="center"/>
    </xf>
    <xf numFmtId="0" fontId="12" fillId="0" borderId="18" xfId="0" applyFont="1" applyBorder="1">
      <alignmen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4" fillId="0" borderId="60" xfId="0" applyFont="1" applyBorder="1" applyAlignment="1">
      <alignment vertical="center" wrapText="1"/>
    </xf>
    <xf numFmtId="49" fontId="14" fillId="0" borderId="61" xfId="0" applyNumberFormat="1" applyFont="1" applyBorder="1" applyAlignment="1">
      <alignment horizontal="center" vertical="center"/>
    </xf>
    <xf numFmtId="0" fontId="11" fillId="0" borderId="3" xfId="0" applyFont="1" applyBorder="1" applyAlignment="1">
      <alignment vertical="center"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2"/>
  <sheetViews>
    <sheetView showGridLines="0" showZeros="0" tabSelected="1" view="pageBreakPreview" topLeftCell="A99" zoomScale="85" zoomScaleNormal="100" zoomScaleSheetLayoutView="85" workbookViewId="0">
      <selection activeCell="D99" sqref="D99:S99"/>
    </sheetView>
  </sheetViews>
  <sheetFormatPr defaultColWidth="9" defaultRowHeight="18.75" customHeight="1" x14ac:dyDescent="0.15"/>
  <cols>
    <col min="1" max="1" width="2.5" style="116" customWidth="1"/>
    <col min="2" max="2" width="16.5" style="116" customWidth="1"/>
    <col min="3" max="19" width="5.625" style="116" customWidth="1"/>
    <col min="20" max="16384" width="9" style="116"/>
  </cols>
  <sheetData>
    <row r="1" spans="1:19" ht="18.600000000000001" customHeight="1" x14ac:dyDescent="0.15">
      <c r="R1" s="192" t="s">
        <v>108</v>
      </c>
      <c r="S1" s="192"/>
    </row>
    <row r="2" spans="1:19" ht="18.75" customHeight="1" x14ac:dyDescent="0.15">
      <c r="B2" s="67" t="s">
        <v>107</v>
      </c>
      <c r="C2" s="158" t="s">
        <v>123</v>
      </c>
      <c r="D2" s="142"/>
      <c r="E2" s="142"/>
      <c r="F2" s="142"/>
      <c r="G2" s="142"/>
      <c r="H2" s="142"/>
      <c r="I2" s="143"/>
      <c r="J2" s="115"/>
      <c r="K2" s="49"/>
      <c r="L2" s="49"/>
      <c r="M2" s="49"/>
      <c r="N2" s="49"/>
      <c r="O2" s="49"/>
      <c r="P2" s="49"/>
      <c r="Q2" s="49"/>
      <c r="R2" s="49"/>
      <c r="S2" s="49"/>
    </row>
    <row r="3" spans="1:19" ht="18.75" customHeight="1" x14ac:dyDescent="0.15">
      <c r="B3" s="67" t="s">
        <v>102</v>
      </c>
      <c r="C3" s="193" t="s">
        <v>131</v>
      </c>
      <c r="D3" s="194"/>
      <c r="E3" s="194"/>
      <c r="F3" s="194"/>
      <c r="G3" s="194"/>
      <c r="H3" s="194"/>
      <c r="I3" s="195"/>
      <c r="J3" s="115"/>
      <c r="K3" s="49"/>
      <c r="L3" s="49"/>
      <c r="M3" s="49"/>
      <c r="N3" s="49"/>
      <c r="O3" s="49"/>
      <c r="P3" s="49"/>
      <c r="Q3" s="49"/>
      <c r="R3" s="49"/>
      <c r="S3" s="49"/>
    </row>
    <row r="4" spans="1:19" ht="15" customHeight="1" x14ac:dyDescent="0.15">
      <c r="K4" s="115"/>
      <c r="L4" s="107"/>
      <c r="M4" s="107"/>
      <c r="N4" s="107"/>
      <c r="O4" s="107"/>
      <c r="P4" s="107"/>
      <c r="Q4" s="107"/>
      <c r="R4" s="107"/>
      <c r="S4" s="107"/>
    </row>
    <row r="5" spans="1:19" ht="18" customHeight="1" x14ac:dyDescent="0.15">
      <c r="A5" s="196" t="s">
        <v>38</v>
      </c>
      <c r="B5" s="196"/>
      <c r="C5" s="196"/>
      <c r="D5" s="196"/>
      <c r="E5" s="196"/>
      <c r="F5" s="196"/>
      <c r="G5" s="196"/>
      <c r="H5" s="196"/>
      <c r="I5" s="196"/>
      <c r="J5" s="196"/>
      <c r="K5" s="196"/>
      <c r="L5" s="196"/>
      <c r="M5" s="196"/>
      <c r="N5" s="196"/>
      <c r="O5" s="196"/>
      <c r="P5" s="196"/>
      <c r="Q5" s="196"/>
      <c r="R5" s="196"/>
      <c r="S5" s="196"/>
    </row>
    <row r="6" spans="1:19" ht="15" customHeight="1" x14ac:dyDescent="0.15">
      <c r="B6" s="117"/>
      <c r="C6" s="117"/>
      <c r="D6" s="117"/>
      <c r="E6" s="117"/>
      <c r="F6" s="117"/>
      <c r="G6" s="117"/>
      <c r="H6" s="117"/>
      <c r="I6" s="117"/>
      <c r="J6" s="117"/>
      <c r="K6" s="117"/>
      <c r="L6" s="117"/>
      <c r="M6" s="117"/>
      <c r="N6" s="117"/>
      <c r="O6" s="117"/>
      <c r="P6" s="117"/>
      <c r="Q6" s="117"/>
      <c r="R6" s="117"/>
      <c r="S6" s="117"/>
    </row>
    <row r="7" spans="1:19" ht="18" customHeight="1" x14ac:dyDescent="0.15">
      <c r="A7" s="116" t="s">
        <v>122</v>
      </c>
      <c r="C7" s="117"/>
      <c r="J7" s="108" t="s">
        <v>106</v>
      </c>
      <c r="K7" s="197" t="s">
        <v>148</v>
      </c>
      <c r="L7" s="198"/>
      <c r="M7" s="198"/>
      <c r="N7" s="198"/>
      <c r="O7" s="198"/>
      <c r="P7" s="198"/>
      <c r="Q7" s="198"/>
      <c r="R7" s="198"/>
      <c r="S7" s="199"/>
    </row>
    <row r="8" spans="1:19" ht="6" customHeight="1" x14ac:dyDescent="0.15">
      <c r="B8" s="117"/>
      <c r="C8" s="117"/>
      <c r="D8" s="117"/>
      <c r="E8" s="117"/>
      <c r="F8" s="117"/>
      <c r="G8" s="117"/>
      <c r="H8" s="117"/>
      <c r="I8" s="117"/>
      <c r="J8" s="117"/>
      <c r="K8" s="43"/>
      <c r="L8" s="117"/>
      <c r="M8" s="117"/>
      <c r="N8" s="117"/>
      <c r="O8" s="117"/>
      <c r="P8" s="117"/>
      <c r="Q8" s="117"/>
      <c r="R8" s="117"/>
      <c r="S8" s="117"/>
    </row>
    <row r="9" spans="1:19" ht="18" customHeight="1" x14ac:dyDescent="0.15">
      <c r="B9" s="200" t="s">
        <v>124</v>
      </c>
      <c r="C9" s="201"/>
      <c r="D9" s="201"/>
      <c r="E9" s="201"/>
      <c r="F9" s="201"/>
      <c r="G9" s="201"/>
      <c r="H9" s="201"/>
      <c r="I9" s="201"/>
      <c r="J9" s="201"/>
      <c r="K9" s="201"/>
      <c r="L9" s="201"/>
      <c r="M9" s="201"/>
      <c r="N9" s="201"/>
      <c r="O9" s="201"/>
      <c r="P9" s="201"/>
      <c r="Q9" s="201"/>
      <c r="R9" s="201"/>
      <c r="S9" s="202"/>
    </row>
    <row r="10" spans="1:19" ht="18" customHeight="1" x14ac:dyDescent="0.15">
      <c r="B10" s="203"/>
      <c r="C10" s="204"/>
      <c r="D10" s="204"/>
      <c r="E10" s="204"/>
      <c r="F10" s="204"/>
      <c r="G10" s="204"/>
      <c r="H10" s="204"/>
      <c r="I10" s="204"/>
      <c r="J10" s="204"/>
      <c r="K10" s="204"/>
      <c r="L10" s="204"/>
      <c r="M10" s="204"/>
      <c r="N10" s="204"/>
      <c r="O10" s="204"/>
      <c r="P10" s="204"/>
      <c r="Q10" s="204"/>
      <c r="R10" s="204"/>
      <c r="S10" s="205"/>
    </row>
    <row r="11" spans="1:19" ht="6" customHeight="1" x14ac:dyDescent="0.15">
      <c r="B11" s="117"/>
      <c r="C11" s="117"/>
      <c r="D11" s="117"/>
      <c r="E11" s="117"/>
      <c r="F11" s="117"/>
      <c r="G11" s="117"/>
      <c r="H11" s="117"/>
      <c r="I11" s="117"/>
      <c r="J11" s="117"/>
      <c r="K11" s="43"/>
      <c r="L11" s="117"/>
      <c r="M11" s="117"/>
      <c r="N11" s="117"/>
      <c r="O11" s="117"/>
      <c r="P11" s="117"/>
      <c r="Q11" s="117"/>
      <c r="R11" s="117"/>
      <c r="S11" s="117"/>
    </row>
    <row r="12" spans="1:19" ht="18" customHeight="1" x14ac:dyDescent="0.15">
      <c r="A12" s="116" t="s">
        <v>110</v>
      </c>
      <c r="B12" s="117"/>
      <c r="C12" s="117"/>
      <c r="D12" s="115"/>
      <c r="E12" s="115"/>
      <c r="F12" s="115"/>
      <c r="G12" s="115"/>
      <c r="H12" s="115"/>
      <c r="I12" s="115"/>
      <c r="J12" s="115"/>
      <c r="K12" s="109"/>
      <c r="L12" s="109"/>
      <c r="M12" s="109"/>
      <c r="N12" s="109"/>
      <c r="O12" s="109"/>
      <c r="P12" s="109"/>
      <c r="Q12" s="109"/>
      <c r="R12" s="109"/>
      <c r="S12" s="109"/>
    </row>
    <row r="13" spans="1:19" ht="18" customHeight="1" x14ac:dyDescent="0.15">
      <c r="B13" s="180" t="s">
        <v>170</v>
      </c>
      <c r="C13" s="181"/>
      <c r="D13" s="181"/>
      <c r="E13" s="181"/>
      <c r="F13" s="181"/>
      <c r="G13" s="181"/>
      <c r="H13" s="181"/>
      <c r="I13" s="181"/>
      <c r="J13" s="181"/>
      <c r="K13" s="181"/>
      <c r="L13" s="181"/>
      <c r="M13" s="181"/>
      <c r="N13" s="181"/>
      <c r="O13" s="181"/>
      <c r="P13" s="181"/>
      <c r="Q13" s="181"/>
      <c r="R13" s="181"/>
      <c r="S13" s="182"/>
    </row>
    <row r="14" spans="1:19" ht="18" customHeight="1" x14ac:dyDescent="0.15">
      <c r="B14" s="183"/>
      <c r="C14" s="184"/>
      <c r="D14" s="184"/>
      <c r="E14" s="184"/>
      <c r="F14" s="184"/>
      <c r="G14" s="184"/>
      <c r="H14" s="184"/>
      <c r="I14" s="184"/>
      <c r="J14" s="184"/>
      <c r="K14" s="184"/>
      <c r="L14" s="184"/>
      <c r="M14" s="184"/>
      <c r="N14" s="184"/>
      <c r="O14" s="184"/>
      <c r="P14" s="184"/>
      <c r="Q14" s="184"/>
      <c r="R14" s="184"/>
      <c r="S14" s="185"/>
    </row>
    <row r="15" spans="1:19" ht="18" customHeight="1" x14ac:dyDescent="0.15">
      <c r="B15" s="183"/>
      <c r="C15" s="184"/>
      <c r="D15" s="184"/>
      <c r="E15" s="184"/>
      <c r="F15" s="184"/>
      <c r="G15" s="184"/>
      <c r="H15" s="184"/>
      <c r="I15" s="184"/>
      <c r="J15" s="184"/>
      <c r="K15" s="184"/>
      <c r="L15" s="184"/>
      <c r="M15" s="184"/>
      <c r="N15" s="184"/>
      <c r="O15" s="184"/>
      <c r="P15" s="184"/>
      <c r="Q15" s="184"/>
      <c r="R15" s="184"/>
      <c r="S15" s="185"/>
    </row>
    <row r="16" spans="1:19" ht="18" customHeight="1" x14ac:dyDescent="0.15">
      <c r="B16" s="183"/>
      <c r="C16" s="184"/>
      <c r="D16" s="184"/>
      <c r="E16" s="184"/>
      <c r="F16" s="184"/>
      <c r="G16" s="184"/>
      <c r="H16" s="184"/>
      <c r="I16" s="184"/>
      <c r="J16" s="184"/>
      <c r="K16" s="184"/>
      <c r="L16" s="184"/>
      <c r="M16" s="184"/>
      <c r="N16" s="184"/>
      <c r="O16" s="184"/>
      <c r="P16" s="184"/>
      <c r="Q16" s="184"/>
      <c r="R16" s="184"/>
      <c r="S16" s="185"/>
    </row>
    <row r="17" spans="1:19" ht="18" customHeight="1" x14ac:dyDescent="0.15">
      <c r="B17" s="183"/>
      <c r="C17" s="184"/>
      <c r="D17" s="184"/>
      <c r="E17" s="184"/>
      <c r="F17" s="184"/>
      <c r="G17" s="184"/>
      <c r="H17" s="184"/>
      <c r="I17" s="184"/>
      <c r="J17" s="184"/>
      <c r="K17" s="184"/>
      <c r="L17" s="184"/>
      <c r="M17" s="184"/>
      <c r="N17" s="184"/>
      <c r="O17" s="184"/>
      <c r="P17" s="184"/>
      <c r="Q17" s="184"/>
      <c r="R17" s="184"/>
      <c r="S17" s="185"/>
    </row>
    <row r="18" spans="1:19" ht="18" customHeight="1" x14ac:dyDescent="0.15">
      <c r="B18" s="186"/>
      <c r="C18" s="187"/>
      <c r="D18" s="187"/>
      <c r="E18" s="187"/>
      <c r="F18" s="187"/>
      <c r="G18" s="187"/>
      <c r="H18" s="187"/>
      <c r="I18" s="187"/>
      <c r="J18" s="187"/>
      <c r="K18" s="187"/>
      <c r="L18" s="187"/>
      <c r="M18" s="187"/>
      <c r="N18" s="187"/>
      <c r="O18" s="187"/>
      <c r="P18" s="187"/>
      <c r="Q18" s="187"/>
      <c r="R18" s="187"/>
      <c r="S18" s="188"/>
    </row>
    <row r="19" spans="1:19" ht="7.5" customHeight="1" x14ac:dyDescent="0.15">
      <c r="B19" s="117"/>
      <c r="C19" s="117"/>
      <c r="D19" s="117"/>
      <c r="E19" s="117"/>
      <c r="F19" s="117"/>
      <c r="G19" s="117"/>
      <c r="H19" s="117"/>
      <c r="I19" s="117"/>
      <c r="J19" s="117"/>
      <c r="K19" s="117"/>
      <c r="L19" s="117"/>
      <c r="M19" s="117"/>
      <c r="N19" s="117"/>
      <c r="O19" s="117"/>
      <c r="P19" s="117"/>
      <c r="Q19" s="117"/>
      <c r="R19" s="117"/>
      <c r="S19" s="117"/>
    </row>
    <row r="20" spans="1:19" ht="19.899999999999999" customHeight="1" x14ac:dyDescent="0.15">
      <c r="B20" s="116" t="s">
        <v>111</v>
      </c>
      <c r="C20" s="158">
        <v>3</v>
      </c>
      <c r="D20" s="143"/>
      <c r="E20" s="110" t="s">
        <v>95</v>
      </c>
      <c r="G20" s="43"/>
      <c r="H20" s="117"/>
      <c r="I20" s="117"/>
      <c r="J20" s="115" t="s">
        <v>112</v>
      </c>
      <c r="K20" s="189" t="s">
        <v>121</v>
      </c>
      <c r="L20" s="190"/>
      <c r="M20" s="190"/>
      <c r="N20" s="190"/>
      <c r="O20" s="190"/>
      <c r="P20" s="190"/>
      <c r="Q20" s="190"/>
      <c r="R20" s="190"/>
      <c r="S20" s="191"/>
    </row>
    <row r="21" spans="1:19" ht="7.5" customHeight="1" x14ac:dyDescent="0.15">
      <c r="B21" s="117"/>
      <c r="C21" s="117"/>
      <c r="D21" s="117"/>
      <c r="E21" s="117"/>
      <c r="F21" s="117"/>
      <c r="G21" s="117"/>
      <c r="H21" s="117"/>
      <c r="I21" s="117"/>
      <c r="J21" s="117"/>
      <c r="K21" s="117"/>
      <c r="L21" s="117"/>
      <c r="M21" s="117"/>
      <c r="N21" s="117"/>
      <c r="O21" s="117"/>
      <c r="P21" s="117"/>
      <c r="Q21" s="117"/>
      <c r="R21" s="117"/>
      <c r="S21" s="117"/>
    </row>
    <row r="22" spans="1:19" ht="18" customHeight="1" x14ac:dyDescent="0.15">
      <c r="A22" s="167" t="s">
        <v>113</v>
      </c>
      <c r="B22" s="167"/>
      <c r="C22" s="167"/>
      <c r="D22" s="167"/>
      <c r="E22" s="167"/>
      <c r="F22" s="167"/>
      <c r="G22" s="167"/>
      <c r="H22" s="167"/>
      <c r="I22" s="167"/>
      <c r="J22" s="167"/>
      <c r="K22" s="167"/>
      <c r="L22" s="167"/>
      <c r="M22" s="167"/>
      <c r="N22" s="167"/>
      <c r="O22" s="167"/>
      <c r="P22" s="167"/>
      <c r="Q22" s="167"/>
      <c r="R22" s="167"/>
      <c r="S22" s="167"/>
    </row>
    <row r="23" spans="1:19" ht="18" customHeight="1" x14ac:dyDescent="0.15">
      <c r="A23" s="167"/>
      <c r="B23" s="167"/>
      <c r="C23" s="167"/>
      <c r="D23" s="167"/>
      <c r="E23" s="167"/>
      <c r="F23" s="167"/>
      <c r="G23" s="167"/>
      <c r="H23" s="167"/>
      <c r="I23" s="167"/>
      <c r="J23" s="167"/>
      <c r="K23" s="167"/>
      <c r="L23" s="167"/>
      <c r="M23" s="167"/>
      <c r="N23" s="167"/>
      <c r="O23" s="167"/>
      <c r="P23" s="167"/>
      <c r="Q23" s="167"/>
      <c r="R23" s="167"/>
      <c r="S23" s="167"/>
    </row>
    <row r="24" spans="1:19" ht="18" customHeight="1" x14ac:dyDescent="0.15">
      <c r="B24" s="158" t="s">
        <v>53</v>
      </c>
      <c r="C24" s="142"/>
      <c r="D24" s="142"/>
      <c r="E24" s="143"/>
      <c r="F24" s="44" t="s">
        <v>80</v>
      </c>
      <c r="G24" s="45" t="s">
        <v>84</v>
      </c>
      <c r="H24" s="46" t="s">
        <v>56</v>
      </c>
      <c r="I24" s="46" t="s">
        <v>59</v>
      </c>
      <c r="J24" s="158" t="s">
        <v>53</v>
      </c>
      <c r="K24" s="142"/>
      <c r="L24" s="142"/>
      <c r="M24" s="142"/>
      <c r="N24" s="142"/>
      <c r="O24" s="143"/>
      <c r="P24" s="44" t="s">
        <v>80</v>
      </c>
      <c r="Q24" s="45" t="s">
        <v>84</v>
      </c>
      <c r="R24" s="46" t="s">
        <v>56</v>
      </c>
      <c r="S24" s="46" t="s">
        <v>59</v>
      </c>
    </row>
    <row r="25" spans="1:19" ht="18" customHeight="1" x14ac:dyDescent="0.15">
      <c r="B25" s="162" t="s">
        <v>125</v>
      </c>
      <c r="C25" s="121"/>
      <c r="D25" s="121"/>
      <c r="E25" s="122"/>
      <c r="F25" s="38">
        <v>2</v>
      </c>
      <c r="G25" s="38" t="s">
        <v>109</v>
      </c>
      <c r="H25" s="38" t="s">
        <v>109</v>
      </c>
      <c r="I25" s="38" t="s">
        <v>109</v>
      </c>
      <c r="J25" s="166"/>
      <c r="K25" s="133"/>
      <c r="L25" s="133"/>
      <c r="M25" s="133"/>
      <c r="N25" s="133"/>
      <c r="O25" s="134"/>
      <c r="P25" s="38"/>
      <c r="Q25" s="38"/>
      <c r="R25" s="38"/>
      <c r="S25" s="38"/>
    </row>
    <row r="26" spans="1:19" ht="18" customHeight="1" x14ac:dyDescent="0.15">
      <c r="B26" s="144" t="s">
        <v>126</v>
      </c>
      <c r="C26" s="145"/>
      <c r="D26" s="145"/>
      <c r="E26" s="146"/>
      <c r="F26" s="39">
        <v>2</v>
      </c>
      <c r="G26" s="39"/>
      <c r="H26" s="39"/>
      <c r="I26" s="39" t="s">
        <v>109</v>
      </c>
      <c r="J26" s="150"/>
      <c r="K26" s="151"/>
      <c r="L26" s="151"/>
      <c r="M26" s="151"/>
      <c r="N26" s="151"/>
      <c r="O26" s="152"/>
      <c r="P26" s="39"/>
      <c r="Q26" s="39"/>
      <c r="R26" s="39"/>
      <c r="S26" s="39"/>
    </row>
    <row r="27" spans="1:19" ht="18" customHeight="1" x14ac:dyDescent="0.15">
      <c r="B27" s="144" t="s">
        <v>134</v>
      </c>
      <c r="C27" s="145"/>
      <c r="D27" s="145"/>
      <c r="E27" s="146"/>
      <c r="F27" s="39">
        <v>2</v>
      </c>
      <c r="G27" s="39"/>
      <c r="H27" s="39"/>
      <c r="I27" s="39" t="s">
        <v>109</v>
      </c>
      <c r="J27" s="150"/>
      <c r="K27" s="151"/>
      <c r="L27" s="151"/>
      <c r="M27" s="151"/>
      <c r="N27" s="151"/>
      <c r="O27" s="152"/>
      <c r="P27" s="39"/>
      <c r="Q27" s="39"/>
      <c r="R27" s="39"/>
      <c r="S27" s="39"/>
    </row>
    <row r="28" spans="1:19" ht="18" customHeight="1" x14ac:dyDescent="0.15">
      <c r="B28" s="144" t="s">
        <v>133</v>
      </c>
      <c r="C28" s="145"/>
      <c r="D28" s="145"/>
      <c r="E28" s="146"/>
      <c r="F28" s="39">
        <v>2</v>
      </c>
      <c r="G28" s="39"/>
      <c r="H28" s="39"/>
      <c r="I28" s="39" t="s">
        <v>109</v>
      </c>
      <c r="J28" s="150"/>
      <c r="K28" s="151"/>
      <c r="L28" s="151"/>
      <c r="M28" s="151"/>
      <c r="N28" s="151"/>
      <c r="O28" s="152"/>
      <c r="P28" s="39"/>
      <c r="Q28" s="39"/>
      <c r="R28" s="39"/>
      <c r="S28" s="39"/>
    </row>
    <row r="29" spans="1:19" ht="18" customHeight="1" x14ac:dyDescent="0.15">
      <c r="B29" s="174" t="s">
        <v>142</v>
      </c>
      <c r="C29" s="175"/>
      <c r="D29" s="175"/>
      <c r="E29" s="176"/>
      <c r="F29" s="39">
        <v>2</v>
      </c>
      <c r="G29" s="39"/>
      <c r="H29" s="39"/>
      <c r="I29" s="39" t="s">
        <v>109</v>
      </c>
      <c r="J29" s="150"/>
      <c r="K29" s="151"/>
      <c r="L29" s="151"/>
      <c r="M29" s="151"/>
      <c r="N29" s="151"/>
      <c r="O29" s="152"/>
      <c r="P29" s="39"/>
      <c r="Q29" s="39"/>
      <c r="R29" s="39"/>
      <c r="S29" s="39"/>
    </row>
    <row r="30" spans="1:19" ht="18" customHeight="1" x14ac:dyDescent="0.15">
      <c r="A30" s="117"/>
      <c r="B30" s="144"/>
      <c r="C30" s="145"/>
      <c r="D30" s="145"/>
      <c r="E30" s="146"/>
      <c r="F30" s="39"/>
      <c r="G30" s="39"/>
      <c r="H30" s="39"/>
      <c r="I30" s="39"/>
      <c r="J30" s="150"/>
      <c r="K30" s="151"/>
      <c r="L30" s="151"/>
      <c r="M30" s="151"/>
      <c r="N30" s="151"/>
      <c r="O30" s="152"/>
      <c r="P30" s="39"/>
      <c r="Q30" s="39"/>
      <c r="R30" s="39"/>
      <c r="S30" s="39"/>
    </row>
    <row r="31" spans="1:19" ht="18" customHeight="1" x14ac:dyDescent="0.15">
      <c r="A31" s="117"/>
      <c r="B31" s="153"/>
      <c r="C31" s="130"/>
      <c r="D31" s="130"/>
      <c r="E31" s="131"/>
      <c r="F31" s="47"/>
      <c r="G31" s="47"/>
      <c r="H31" s="48"/>
      <c r="I31" s="48"/>
      <c r="J31" s="157"/>
      <c r="K31" s="136"/>
      <c r="L31" s="136"/>
      <c r="M31" s="136"/>
      <c r="N31" s="136"/>
      <c r="O31" s="137"/>
      <c r="P31" s="47"/>
      <c r="Q31" s="47"/>
      <c r="R31" s="48"/>
      <c r="S31" s="48"/>
    </row>
    <row r="32" spans="1:19" ht="7.5" customHeight="1" x14ac:dyDescent="0.15">
      <c r="A32" s="117"/>
      <c r="B32" s="49"/>
      <c r="C32" s="49"/>
      <c r="D32" s="117"/>
      <c r="E32" s="117"/>
      <c r="F32" s="117"/>
      <c r="G32" s="117"/>
      <c r="H32" s="49"/>
      <c r="I32" s="49"/>
      <c r="J32" s="49"/>
      <c r="K32" s="49"/>
      <c r="L32" s="49"/>
      <c r="M32" s="49"/>
      <c r="N32" s="49"/>
      <c r="O32" s="49"/>
      <c r="P32" s="49"/>
      <c r="Q32" s="49"/>
      <c r="R32" s="49"/>
      <c r="S32" s="117"/>
    </row>
    <row r="33" spans="1:19" ht="18" customHeight="1" x14ac:dyDescent="0.15">
      <c r="A33" s="167" t="s">
        <v>114</v>
      </c>
      <c r="B33" s="167"/>
      <c r="C33" s="167"/>
      <c r="D33" s="167"/>
      <c r="E33" s="167"/>
      <c r="F33" s="167"/>
      <c r="G33" s="167"/>
      <c r="H33" s="167"/>
      <c r="I33" s="167"/>
      <c r="J33" s="167"/>
      <c r="K33" s="167"/>
      <c r="L33" s="167"/>
      <c r="M33" s="167"/>
      <c r="N33" s="167"/>
      <c r="O33" s="167"/>
      <c r="P33" s="167"/>
      <c r="Q33" s="167"/>
      <c r="R33" s="167"/>
      <c r="S33" s="167"/>
    </row>
    <row r="34" spans="1:19" ht="18" customHeight="1" x14ac:dyDescent="0.15">
      <c r="A34" s="167"/>
      <c r="B34" s="167"/>
      <c r="C34" s="167"/>
      <c r="D34" s="167"/>
      <c r="E34" s="167"/>
      <c r="F34" s="167"/>
      <c r="G34" s="167"/>
      <c r="H34" s="167"/>
      <c r="I34" s="167"/>
      <c r="J34" s="167"/>
      <c r="K34" s="167"/>
      <c r="L34" s="167"/>
      <c r="M34" s="167"/>
      <c r="N34" s="167"/>
      <c r="O34" s="167"/>
      <c r="P34" s="167"/>
      <c r="Q34" s="167"/>
      <c r="R34" s="167"/>
      <c r="S34" s="167"/>
    </row>
    <row r="35" spans="1:19" ht="18" customHeight="1" x14ac:dyDescent="0.15">
      <c r="B35" s="158" t="s">
        <v>53</v>
      </c>
      <c r="C35" s="142"/>
      <c r="D35" s="142"/>
      <c r="E35" s="143"/>
      <c r="F35" s="44" t="s">
        <v>80</v>
      </c>
      <c r="G35" s="45" t="s">
        <v>84</v>
      </c>
      <c r="H35" s="46" t="s">
        <v>71</v>
      </c>
      <c r="I35" s="46" t="s">
        <v>72</v>
      </c>
      <c r="J35" s="158" t="s">
        <v>53</v>
      </c>
      <c r="K35" s="142"/>
      <c r="L35" s="142"/>
      <c r="M35" s="142"/>
      <c r="N35" s="142"/>
      <c r="O35" s="143"/>
      <c r="P35" s="44" t="s">
        <v>80</v>
      </c>
      <c r="Q35" s="45" t="s">
        <v>84</v>
      </c>
      <c r="R35" s="46" t="s">
        <v>71</v>
      </c>
      <c r="S35" s="46" t="s">
        <v>72</v>
      </c>
    </row>
    <row r="36" spans="1:19" ht="18" customHeight="1" x14ac:dyDescent="0.15">
      <c r="B36" s="162" t="s">
        <v>125</v>
      </c>
      <c r="C36" s="121"/>
      <c r="D36" s="121"/>
      <c r="E36" s="122"/>
      <c r="F36" s="38">
        <v>2</v>
      </c>
      <c r="G36" s="38" t="s">
        <v>109</v>
      </c>
      <c r="H36" s="38" t="s">
        <v>109</v>
      </c>
      <c r="I36" s="38" t="s">
        <v>109</v>
      </c>
      <c r="J36" s="166"/>
      <c r="K36" s="133"/>
      <c r="L36" s="133"/>
      <c r="M36" s="133"/>
      <c r="N36" s="133"/>
      <c r="O36" s="134"/>
      <c r="P36" s="38"/>
      <c r="Q36" s="38"/>
      <c r="R36" s="38"/>
      <c r="S36" s="38"/>
    </row>
    <row r="37" spans="1:19" ht="18" customHeight="1" x14ac:dyDescent="0.15">
      <c r="B37" s="144" t="s">
        <v>126</v>
      </c>
      <c r="C37" s="145"/>
      <c r="D37" s="145"/>
      <c r="E37" s="146"/>
      <c r="F37" s="39">
        <v>2</v>
      </c>
      <c r="G37" s="39"/>
      <c r="H37" s="39" t="s">
        <v>109</v>
      </c>
      <c r="I37" s="39" t="s">
        <v>109</v>
      </c>
      <c r="J37" s="150"/>
      <c r="K37" s="151"/>
      <c r="L37" s="151"/>
      <c r="M37" s="151"/>
      <c r="N37" s="151"/>
      <c r="O37" s="152"/>
      <c r="P37" s="39"/>
      <c r="Q37" s="39"/>
      <c r="R37" s="39"/>
      <c r="S37" s="39"/>
    </row>
    <row r="38" spans="1:19" ht="18" customHeight="1" x14ac:dyDescent="0.15">
      <c r="B38" s="144" t="s">
        <v>134</v>
      </c>
      <c r="C38" s="145"/>
      <c r="D38" s="145"/>
      <c r="E38" s="146"/>
      <c r="F38" s="39">
        <v>2</v>
      </c>
      <c r="G38" s="39"/>
      <c r="H38" s="39" t="s">
        <v>109</v>
      </c>
      <c r="I38" s="39" t="s">
        <v>109</v>
      </c>
      <c r="J38" s="150"/>
      <c r="K38" s="151"/>
      <c r="L38" s="151"/>
      <c r="M38" s="151"/>
      <c r="N38" s="151"/>
      <c r="O38" s="152"/>
      <c r="P38" s="39"/>
      <c r="Q38" s="39"/>
      <c r="R38" s="39"/>
      <c r="S38" s="39"/>
    </row>
    <row r="39" spans="1:19" ht="18" customHeight="1" x14ac:dyDescent="0.15">
      <c r="B39" s="144" t="s">
        <v>133</v>
      </c>
      <c r="C39" s="145"/>
      <c r="D39" s="145"/>
      <c r="E39" s="146"/>
      <c r="F39" s="39">
        <v>2</v>
      </c>
      <c r="G39" s="39"/>
      <c r="H39" s="39" t="s">
        <v>109</v>
      </c>
      <c r="I39" s="39"/>
      <c r="J39" s="150"/>
      <c r="K39" s="151"/>
      <c r="L39" s="151"/>
      <c r="M39" s="151"/>
      <c r="N39" s="151"/>
      <c r="O39" s="152"/>
      <c r="P39" s="39"/>
      <c r="Q39" s="39"/>
      <c r="R39" s="39"/>
      <c r="S39" s="39"/>
    </row>
    <row r="40" spans="1:19" ht="18" customHeight="1" x14ac:dyDescent="0.15">
      <c r="B40" s="174" t="s">
        <v>142</v>
      </c>
      <c r="C40" s="175"/>
      <c r="D40" s="175"/>
      <c r="E40" s="176"/>
      <c r="F40" s="52">
        <v>2</v>
      </c>
      <c r="G40" s="52"/>
      <c r="H40" s="53" t="s">
        <v>109</v>
      </c>
      <c r="I40" s="39"/>
      <c r="J40" s="150"/>
      <c r="K40" s="151"/>
      <c r="L40" s="151"/>
      <c r="M40" s="151"/>
      <c r="N40" s="151"/>
      <c r="O40" s="152"/>
      <c r="P40" s="39"/>
      <c r="Q40" s="39"/>
      <c r="R40" s="39"/>
      <c r="S40" s="39"/>
    </row>
    <row r="41" spans="1:19" ht="18" customHeight="1" x14ac:dyDescent="0.15">
      <c r="B41" s="144"/>
      <c r="C41" s="145"/>
      <c r="D41" s="145"/>
      <c r="E41" s="146"/>
      <c r="F41" s="39"/>
      <c r="G41" s="39"/>
      <c r="H41" s="39"/>
      <c r="I41" s="39"/>
      <c r="J41" s="150"/>
      <c r="K41" s="151"/>
      <c r="L41" s="151"/>
      <c r="M41" s="151"/>
      <c r="N41" s="151"/>
      <c r="O41" s="152"/>
      <c r="P41" s="39"/>
      <c r="Q41" s="39"/>
      <c r="R41" s="39"/>
      <c r="S41" s="39"/>
    </row>
    <row r="42" spans="1:19" ht="18" customHeight="1" x14ac:dyDescent="0.15">
      <c r="B42" s="153"/>
      <c r="C42" s="130"/>
      <c r="D42" s="130"/>
      <c r="E42" s="131"/>
      <c r="F42" s="47"/>
      <c r="G42" s="47"/>
      <c r="H42" s="48"/>
      <c r="I42" s="48"/>
      <c r="J42" s="157"/>
      <c r="K42" s="136"/>
      <c r="L42" s="136"/>
      <c r="M42" s="136"/>
      <c r="N42" s="136"/>
      <c r="O42" s="137"/>
      <c r="P42" s="47"/>
      <c r="Q42" s="47"/>
      <c r="R42" s="48"/>
      <c r="S42" s="48"/>
    </row>
    <row r="43" spans="1:19" ht="7.5" customHeight="1" x14ac:dyDescent="0.15">
      <c r="A43" s="117"/>
      <c r="B43" s="49"/>
      <c r="C43" s="49"/>
      <c r="D43" s="117"/>
      <c r="E43" s="117"/>
      <c r="F43" s="117"/>
      <c r="G43" s="117"/>
      <c r="H43" s="49"/>
      <c r="I43" s="49"/>
      <c r="J43" s="49"/>
      <c r="K43" s="49"/>
      <c r="L43" s="49"/>
      <c r="M43" s="49"/>
      <c r="N43" s="49"/>
      <c r="O43" s="49"/>
      <c r="P43" s="49"/>
      <c r="Q43" s="49"/>
      <c r="R43" s="49"/>
      <c r="S43" s="117"/>
    </row>
    <row r="44" spans="1:19" ht="18" customHeight="1" x14ac:dyDescent="0.15">
      <c r="A44" s="167" t="s">
        <v>115</v>
      </c>
      <c r="B44" s="167"/>
      <c r="C44" s="167"/>
      <c r="D44" s="167"/>
      <c r="E44" s="167"/>
      <c r="F44" s="167"/>
      <c r="G44" s="167"/>
      <c r="H44" s="167"/>
      <c r="I44" s="167"/>
      <c r="J44" s="167"/>
      <c r="K44" s="167"/>
      <c r="L44" s="167"/>
      <c r="M44" s="167"/>
      <c r="N44" s="167"/>
      <c r="O44" s="167"/>
      <c r="P44" s="167"/>
      <c r="Q44" s="167"/>
      <c r="R44" s="167"/>
      <c r="S44" s="167"/>
    </row>
    <row r="45" spans="1:19" ht="18" customHeight="1" x14ac:dyDescent="0.15">
      <c r="A45" s="167"/>
      <c r="B45" s="167"/>
      <c r="C45" s="167"/>
      <c r="D45" s="167"/>
      <c r="E45" s="167"/>
      <c r="F45" s="167"/>
      <c r="G45" s="167"/>
      <c r="H45" s="167"/>
      <c r="I45" s="167"/>
      <c r="J45" s="167"/>
      <c r="K45" s="167"/>
      <c r="L45" s="167"/>
      <c r="M45" s="167"/>
      <c r="N45" s="167"/>
      <c r="O45" s="167"/>
      <c r="P45" s="167"/>
      <c r="Q45" s="167"/>
      <c r="R45" s="167"/>
      <c r="S45" s="167"/>
    </row>
    <row r="46" spans="1:19" ht="18" customHeight="1" x14ac:dyDescent="0.15">
      <c r="B46" s="158" t="s">
        <v>53</v>
      </c>
      <c r="C46" s="142"/>
      <c r="D46" s="142"/>
      <c r="E46" s="143"/>
      <c r="F46" s="44" t="s">
        <v>80</v>
      </c>
      <c r="G46" s="45" t="s">
        <v>84</v>
      </c>
      <c r="H46" s="46" t="s">
        <v>73</v>
      </c>
      <c r="I46" s="46" t="s">
        <v>74</v>
      </c>
      <c r="J46" s="158" t="s">
        <v>53</v>
      </c>
      <c r="K46" s="142"/>
      <c r="L46" s="142"/>
      <c r="M46" s="142"/>
      <c r="N46" s="142"/>
      <c r="O46" s="143"/>
      <c r="P46" s="44" t="s">
        <v>80</v>
      </c>
      <c r="Q46" s="45" t="s">
        <v>84</v>
      </c>
      <c r="R46" s="46" t="s">
        <v>73</v>
      </c>
      <c r="S46" s="46" t="s">
        <v>74</v>
      </c>
    </row>
    <row r="47" spans="1:19" ht="18" customHeight="1" x14ac:dyDescent="0.15">
      <c r="A47" s="117"/>
      <c r="B47" s="162" t="s">
        <v>125</v>
      </c>
      <c r="C47" s="121"/>
      <c r="D47" s="121"/>
      <c r="E47" s="122"/>
      <c r="F47" s="38">
        <v>2</v>
      </c>
      <c r="G47" s="38" t="s">
        <v>109</v>
      </c>
      <c r="H47" s="38" t="s">
        <v>109</v>
      </c>
      <c r="I47" s="38" t="s">
        <v>109</v>
      </c>
      <c r="J47" s="166"/>
      <c r="K47" s="133"/>
      <c r="L47" s="133"/>
      <c r="M47" s="133"/>
      <c r="N47" s="133"/>
      <c r="O47" s="134"/>
      <c r="P47" s="38"/>
      <c r="Q47" s="38"/>
      <c r="R47" s="38"/>
      <c r="S47" s="38"/>
    </row>
    <row r="48" spans="1:19" ht="18" customHeight="1" x14ac:dyDescent="0.15">
      <c r="A48" s="117"/>
      <c r="B48" s="144" t="s">
        <v>126</v>
      </c>
      <c r="C48" s="145"/>
      <c r="D48" s="145"/>
      <c r="E48" s="146"/>
      <c r="F48" s="39">
        <v>2</v>
      </c>
      <c r="G48" s="39"/>
      <c r="H48" s="39"/>
      <c r="I48" s="39" t="s">
        <v>109</v>
      </c>
      <c r="J48" s="150"/>
      <c r="K48" s="151"/>
      <c r="L48" s="151"/>
      <c r="M48" s="151"/>
      <c r="N48" s="151"/>
      <c r="O48" s="152"/>
      <c r="P48" s="39"/>
      <c r="Q48" s="39"/>
      <c r="R48" s="39"/>
      <c r="S48" s="39"/>
    </row>
    <row r="49" spans="1:19" ht="18" customHeight="1" x14ac:dyDescent="0.15">
      <c r="A49" s="117"/>
      <c r="B49" s="144" t="s">
        <v>134</v>
      </c>
      <c r="C49" s="145"/>
      <c r="D49" s="145"/>
      <c r="E49" s="146"/>
      <c r="F49" s="39">
        <v>2</v>
      </c>
      <c r="G49" s="39"/>
      <c r="H49" s="39"/>
      <c r="I49" s="39" t="s">
        <v>109</v>
      </c>
      <c r="J49" s="150"/>
      <c r="K49" s="151"/>
      <c r="L49" s="151"/>
      <c r="M49" s="151"/>
      <c r="N49" s="151"/>
      <c r="O49" s="152"/>
      <c r="P49" s="39"/>
      <c r="Q49" s="39"/>
      <c r="R49" s="39"/>
      <c r="S49" s="39"/>
    </row>
    <row r="50" spans="1:19" ht="18" customHeight="1" x14ac:dyDescent="0.15">
      <c r="A50" s="117"/>
      <c r="B50" s="144" t="s">
        <v>135</v>
      </c>
      <c r="C50" s="145"/>
      <c r="D50" s="145"/>
      <c r="E50" s="146"/>
      <c r="F50" s="39">
        <v>2</v>
      </c>
      <c r="G50" s="39"/>
      <c r="H50" s="39"/>
      <c r="I50" s="39" t="s">
        <v>109</v>
      </c>
      <c r="J50" s="150"/>
      <c r="K50" s="151"/>
      <c r="L50" s="151"/>
      <c r="M50" s="151"/>
      <c r="N50" s="151"/>
      <c r="O50" s="152"/>
      <c r="P50" s="39"/>
      <c r="Q50" s="39"/>
      <c r="R50" s="39"/>
      <c r="S50" s="39"/>
    </row>
    <row r="51" spans="1:19" ht="18" customHeight="1" x14ac:dyDescent="0.15">
      <c r="A51" s="117"/>
      <c r="B51" s="144" t="s">
        <v>133</v>
      </c>
      <c r="C51" s="145"/>
      <c r="D51" s="145"/>
      <c r="E51" s="146"/>
      <c r="F51" s="39">
        <v>2</v>
      </c>
      <c r="G51" s="39"/>
      <c r="H51" s="39" t="s">
        <v>109</v>
      </c>
      <c r="I51" s="39"/>
      <c r="J51" s="150"/>
      <c r="K51" s="151"/>
      <c r="L51" s="151"/>
      <c r="M51" s="151"/>
      <c r="N51" s="151"/>
      <c r="O51" s="152"/>
      <c r="P51" s="39"/>
      <c r="Q51" s="39"/>
      <c r="R51" s="39"/>
      <c r="S51" s="39"/>
    </row>
    <row r="52" spans="1:19" ht="18" customHeight="1" x14ac:dyDescent="0.15">
      <c r="A52" s="117"/>
      <c r="B52" s="144" t="s">
        <v>147</v>
      </c>
      <c r="C52" s="145"/>
      <c r="D52" s="145"/>
      <c r="E52" s="146"/>
      <c r="F52" s="39">
        <v>2</v>
      </c>
      <c r="G52" s="39"/>
      <c r="H52" s="39"/>
      <c r="I52" s="39" t="s">
        <v>109</v>
      </c>
      <c r="J52" s="150"/>
      <c r="K52" s="151"/>
      <c r="L52" s="151"/>
      <c r="M52" s="151"/>
      <c r="N52" s="151"/>
      <c r="O52" s="152"/>
      <c r="P52" s="39"/>
      <c r="Q52" s="39"/>
      <c r="R52" s="39"/>
      <c r="S52" s="39"/>
    </row>
    <row r="53" spans="1:19" ht="18" customHeight="1" x14ac:dyDescent="0.15">
      <c r="A53" s="117"/>
      <c r="B53" s="153"/>
      <c r="C53" s="130"/>
      <c r="D53" s="130"/>
      <c r="E53" s="131"/>
      <c r="F53" s="47"/>
      <c r="G53" s="47"/>
      <c r="H53" s="48"/>
      <c r="I53" s="48"/>
      <c r="J53" s="157"/>
      <c r="K53" s="136"/>
      <c r="L53" s="136"/>
      <c r="M53" s="136"/>
      <c r="N53" s="136"/>
      <c r="O53" s="137"/>
      <c r="P53" s="47"/>
      <c r="Q53" s="47"/>
      <c r="R53" s="48"/>
      <c r="S53" s="48"/>
    </row>
    <row r="54" spans="1:19" ht="7.5" customHeight="1" x14ac:dyDescent="0.15">
      <c r="B54" s="50"/>
      <c r="C54" s="50"/>
      <c r="D54" s="50"/>
      <c r="E54" s="50"/>
      <c r="F54" s="50"/>
      <c r="G54" s="50"/>
      <c r="H54" s="50"/>
      <c r="I54" s="50"/>
      <c r="J54" s="50"/>
      <c r="K54" s="50"/>
      <c r="L54" s="50"/>
      <c r="M54" s="50"/>
      <c r="N54" s="50"/>
      <c r="O54" s="50"/>
      <c r="P54" s="50"/>
      <c r="Q54" s="50"/>
      <c r="R54" s="50"/>
    </row>
    <row r="55" spans="1:19" ht="18" customHeight="1" x14ac:dyDescent="0.15">
      <c r="A55" s="167" t="s">
        <v>116</v>
      </c>
      <c r="B55" s="167"/>
      <c r="C55" s="167"/>
      <c r="D55" s="167"/>
      <c r="E55" s="167"/>
      <c r="F55" s="167"/>
      <c r="G55" s="167"/>
      <c r="H55" s="167"/>
      <c r="I55" s="167"/>
      <c r="J55" s="167"/>
      <c r="K55" s="167"/>
      <c r="L55" s="167"/>
      <c r="M55" s="167"/>
      <c r="N55" s="167"/>
      <c r="O55" s="167"/>
      <c r="P55" s="167"/>
      <c r="Q55" s="167"/>
      <c r="R55" s="167"/>
      <c r="S55" s="167"/>
    </row>
    <row r="56" spans="1:19" ht="18" customHeight="1" x14ac:dyDescent="0.15">
      <c r="A56" s="167"/>
      <c r="B56" s="167"/>
      <c r="C56" s="167"/>
      <c r="D56" s="167"/>
      <c r="E56" s="167"/>
      <c r="F56" s="167"/>
      <c r="G56" s="167"/>
      <c r="H56" s="167"/>
      <c r="I56" s="167"/>
      <c r="J56" s="167"/>
      <c r="K56" s="167"/>
      <c r="L56" s="167"/>
      <c r="M56" s="167"/>
      <c r="N56" s="167"/>
      <c r="O56" s="167"/>
      <c r="P56" s="167"/>
      <c r="Q56" s="167"/>
      <c r="R56" s="167"/>
      <c r="S56" s="167"/>
    </row>
    <row r="57" spans="1:19" ht="18" customHeight="1" x14ac:dyDescent="0.15">
      <c r="B57" s="158" t="s">
        <v>53</v>
      </c>
      <c r="C57" s="142"/>
      <c r="D57" s="142"/>
      <c r="E57" s="143"/>
      <c r="F57" s="44" t="s">
        <v>80</v>
      </c>
      <c r="G57" s="45" t="s">
        <v>84</v>
      </c>
      <c r="H57" s="46" t="s">
        <v>58</v>
      </c>
      <c r="I57" s="46" t="s">
        <v>60</v>
      </c>
      <c r="J57" s="158" t="s">
        <v>53</v>
      </c>
      <c r="K57" s="142"/>
      <c r="L57" s="142"/>
      <c r="M57" s="142"/>
      <c r="N57" s="142"/>
      <c r="O57" s="143"/>
      <c r="P57" s="44" t="s">
        <v>80</v>
      </c>
      <c r="Q57" s="45" t="s">
        <v>84</v>
      </c>
      <c r="R57" s="46" t="s">
        <v>58</v>
      </c>
      <c r="S57" s="46" t="s">
        <v>60</v>
      </c>
    </row>
    <row r="58" spans="1:19" ht="18" customHeight="1" x14ac:dyDescent="0.15">
      <c r="A58" s="117"/>
      <c r="B58" s="162" t="s">
        <v>125</v>
      </c>
      <c r="C58" s="121"/>
      <c r="D58" s="121"/>
      <c r="E58" s="122"/>
      <c r="F58" s="38">
        <v>2</v>
      </c>
      <c r="G58" s="38" t="s">
        <v>109</v>
      </c>
      <c r="H58" s="38" t="s">
        <v>109</v>
      </c>
      <c r="I58" s="38" t="s">
        <v>109</v>
      </c>
      <c r="J58" s="166"/>
      <c r="K58" s="133"/>
      <c r="L58" s="133"/>
      <c r="M58" s="133"/>
      <c r="N58" s="133"/>
      <c r="O58" s="134"/>
      <c r="P58" s="38"/>
      <c r="Q58" s="38"/>
      <c r="R58" s="38"/>
      <c r="S58" s="38"/>
    </row>
    <row r="59" spans="1:19" ht="18" customHeight="1" x14ac:dyDescent="0.15">
      <c r="A59" s="117"/>
      <c r="B59" s="144" t="s">
        <v>133</v>
      </c>
      <c r="C59" s="169"/>
      <c r="D59" s="169"/>
      <c r="E59" s="173"/>
      <c r="F59" s="39">
        <v>2</v>
      </c>
      <c r="G59" s="39"/>
      <c r="H59" s="39" t="s">
        <v>109</v>
      </c>
      <c r="I59" s="39"/>
      <c r="J59" s="150"/>
      <c r="K59" s="151"/>
      <c r="L59" s="151"/>
      <c r="M59" s="151"/>
      <c r="N59" s="151"/>
      <c r="O59" s="152"/>
      <c r="P59" s="39"/>
      <c r="Q59" s="39"/>
      <c r="R59" s="39"/>
      <c r="S59" s="39"/>
    </row>
    <row r="60" spans="1:19" ht="18" customHeight="1" x14ac:dyDescent="0.15">
      <c r="A60" s="117"/>
      <c r="B60" s="144" t="s">
        <v>142</v>
      </c>
      <c r="C60" s="145"/>
      <c r="D60" s="145"/>
      <c r="E60" s="146"/>
      <c r="F60" s="39">
        <v>2</v>
      </c>
      <c r="G60" s="39"/>
      <c r="H60" s="39" t="s">
        <v>109</v>
      </c>
      <c r="I60" s="39" t="s">
        <v>109</v>
      </c>
      <c r="J60" s="150"/>
      <c r="K60" s="151"/>
      <c r="L60" s="151"/>
      <c r="M60" s="151"/>
      <c r="N60" s="151"/>
      <c r="O60" s="152"/>
      <c r="P60" s="39"/>
      <c r="Q60" s="39"/>
      <c r="R60" s="39"/>
      <c r="S60" s="39"/>
    </row>
    <row r="61" spans="1:19" ht="18" customHeight="1" x14ac:dyDescent="0.15">
      <c r="A61" s="117"/>
      <c r="B61" s="144"/>
      <c r="C61" s="145"/>
      <c r="D61" s="145"/>
      <c r="E61" s="146"/>
      <c r="F61" s="39"/>
      <c r="G61" s="39"/>
      <c r="H61" s="39"/>
      <c r="I61" s="39"/>
      <c r="J61" s="150"/>
      <c r="K61" s="151"/>
      <c r="L61" s="151"/>
      <c r="M61" s="151"/>
      <c r="N61" s="151"/>
      <c r="O61" s="152"/>
      <c r="P61" s="39"/>
      <c r="Q61" s="39"/>
      <c r="R61" s="39"/>
      <c r="S61" s="39"/>
    </row>
    <row r="62" spans="1:19" ht="18" customHeight="1" x14ac:dyDescent="0.15">
      <c r="A62" s="117"/>
      <c r="B62" s="144"/>
      <c r="C62" s="145"/>
      <c r="D62" s="145"/>
      <c r="E62" s="146"/>
      <c r="F62" s="39"/>
      <c r="G62" s="39"/>
      <c r="H62" s="39"/>
      <c r="I62" s="39"/>
      <c r="J62" s="150"/>
      <c r="K62" s="151"/>
      <c r="L62" s="151"/>
      <c r="M62" s="151"/>
      <c r="N62" s="151"/>
      <c r="O62" s="152"/>
      <c r="P62" s="39"/>
      <c r="Q62" s="39"/>
      <c r="R62" s="39"/>
      <c r="S62" s="39"/>
    </row>
    <row r="63" spans="1:19" ht="18" customHeight="1" x14ac:dyDescent="0.15">
      <c r="A63" s="117"/>
      <c r="B63" s="170"/>
      <c r="C63" s="171"/>
      <c r="D63" s="171"/>
      <c r="E63" s="172"/>
      <c r="F63" s="54"/>
      <c r="G63" s="54"/>
      <c r="H63" s="54"/>
      <c r="I63" s="54"/>
      <c r="J63" s="150"/>
      <c r="K63" s="151"/>
      <c r="L63" s="151"/>
      <c r="M63" s="151"/>
      <c r="N63" s="151"/>
      <c r="O63" s="152"/>
      <c r="P63" s="39"/>
      <c r="Q63" s="39"/>
      <c r="R63" s="39"/>
      <c r="S63" s="39"/>
    </row>
    <row r="64" spans="1:19" ht="18" customHeight="1" x14ac:dyDescent="0.15">
      <c r="A64" s="117"/>
      <c r="B64" s="153"/>
      <c r="C64" s="130"/>
      <c r="D64" s="130"/>
      <c r="E64" s="131"/>
      <c r="F64" s="47"/>
      <c r="G64" s="47"/>
      <c r="H64" s="48"/>
      <c r="I64" s="48"/>
      <c r="J64" s="157"/>
      <c r="K64" s="136"/>
      <c r="L64" s="136"/>
      <c r="M64" s="136"/>
      <c r="N64" s="136"/>
      <c r="O64" s="137"/>
      <c r="P64" s="47"/>
      <c r="Q64" s="47"/>
      <c r="R64" s="48"/>
      <c r="S64" s="48"/>
    </row>
    <row r="65" spans="1:19" ht="7.5" customHeight="1" x14ac:dyDescent="0.15">
      <c r="B65" s="50"/>
      <c r="C65" s="50"/>
      <c r="D65" s="50"/>
      <c r="E65" s="50"/>
      <c r="F65" s="50"/>
      <c r="G65" s="50"/>
      <c r="H65" s="50"/>
      <c r="I65" s="50"/>
      <c r="J65" s="50"/>
      <c r="K65" s="50"/>
      <c r="L65" s="50"/>
      <c r="M65" s="50"/>
      <c r="N65" s="50"/>
      <c r="O65" s="50"/>
      <c r="P65" s="50"/>
      <c r="Q65" s="50"/>
      <c r="R65" s="50"/>
    </row>
    <row r="66" spans="1:19" ht="18" customHeight="1" x14ac:dyDescent="0.15">
      <c r="A66" s="167" t="s">
        <v>117</v>
      </c>
      <c r="B66" s="167"/>
      <c r="C66" s="167"/>
      <c r="D66" s="167"/>
      <c r="E66" s="167"/>
      <c r="F66" s="167"/>
      <c r="G66" s="167"/>
      <c r="H66" s="167"/>
      <c r="I66" s="167"/>
      <c r="J66" s="167"/>
      <c r="K66" s="167"/>
      <c r="L66" s="167"/>
      <c r="M66" s="167"/>
      <c r="N66" s="167"/>
      <c r="O66" s="167"/>
      <c r="P66" s="167"/>
      <c r="Q66" s="167"/>
      <c r="R66" s="167"/>
      <c r="S66" s="167"/>
    </row>
    <row r="67" spans="1:19" ht="18" customHeight="1" x14ac:dyDescent="0.15">
      <c r="A67" s="167"/>
      <c r="B67" s="167"/>
      <c r="C67" s="167"/>
      <c r="D67" s="167"/>
      <c r="E67" s="167"/>
      <c r="F67" s="167"/>
      <c r="G67" s="167"/>
      <c r="H67" s="167"/>
      <c r="I67" s="167"/>
      <c r="J67" s="167"/>
      <c r="K67" s="167"/>
      <c r="L67" s="167"/>
      <c r="M67" s="167"/>
      <c r="N67" s="167"/>
      <c r="O67" s="167"/>
      <c r="P67" s="167"/>
      <c r="Q67" s="167"/>
      <c r="R67" s="167"/>
      <c r="S67" s="167"/>
    </row>
    <row r="68" spans="1:19" ht="18" customHeight="1" x14ac:dyDescent="0.15">
      <c r="B68" s="158" t="s">
        <v>53</v>
      </c>
      <c r="C68" s="142"/>
      <c r="D68" s="142"/>
      <c r="E68" s="44" t="s">
        <v>80</v>
      </c>
      <c r="F68" s="45" t="s">
        <v>84</v>
      </c>
      <c r="G68" s="46" t="s">
        <v>101</v>
      </c>
      <c r="H68" s="46" t="s">
        <v>75</v>
      </c>
      <c r="I68" s="46" t="s">
        <v>76</v>
      </c>
      <c r="J68" s="158" t="s">
        <v>53</v>
      </c>
      <c r="K68" s="142"/>
      <c r="L68" s="142"/>
      <c r="M68" s="142"/>
      <c r="N68" s="143"/>
      <c r="O68" s="44" t="s">
        <v>80</v>
      </c>
      <c r="P68" s="45" t="s">
        <v>84</v>
      </c>
      <c r="Q68" s="46" t="s">
        <v>101</v>
      </c>
      <c r="R68" s="46" t="s">
        <v>75</v>
      </c>
      <c r="S68" s="46" t="s">
        <v>76</v>
      </c>
    </row>
    <row r="69" spans="1:19" ht="18" customHeight="1" x14ac:dyDescent="0.15">
      <c r="A69" s="117"/>
      <c r="B69" s="162" t="s">
        <v>125</v>
      </c>
      <c r="C69" s="168"/>
      <c r="D69" s="168"/>
      <c r="E69" s="38">
        <v>2</v>
      </c>
      <c r="F69" s="38" t="s">
        <v>109</v>
      </c>
      <c r="G69" s="38" t="s">
        <v>109</v>
      </c>
      <c r="H69" s="38" t="s">
        <v>109</v>
      </c>
      <c r="I69" s="38" t="s">
        <v>109</v>
      </c>
      <c r="J69" s="166"/>
      <c r="K69" s="133"/>
      <c r="L69" s="133"/>
      <c r="M69" s="133"/>
      <c r="N69" s="134"/>
      <c r="O69" s="38"/>
      <c r="P69" s="38"/>
      <c r="Q69" s="38"/>
      <c r="R69" s="38"/>
      <c r="S69" s="38"/>
    </row>
    <row r="70" spans="1:19" ht="18" customHeight="1" x14ac:dyDescent="0.15">
      <c r="A70" s="117"/>
      <c r="B70" s="144" t="s">
        <v>126</v>
      </c>
      <c r="C70" s="169"/>
      <c r="D70" s="169"/>
      <c r="E70" s="39">
        <v>2</v>
      </c>
      <c r="F70" s="39"/>
      <c r="G70" s="39" t="s">
        <v>109</v>
      </c>
      <c r="H70" s="39" t="s">
        <v>109</v>
      </c>
      <c r="I70" s="39"/>
      <c r="J70" s="150"/>
      <c r="K70" s="151"/>
      <c r="L70" s="151"/>
      <c r="M70" s="151"/>
      <c r="N70" s="152"/>
      <c r="O70" s="39"/>
      <c r="P70" s="39"/>
      <c r="Q70" s="39"/>
      <c r="R70" s="39"/>
      <c r="S70" s="39"/>
    </row>
    <row r="71" spans="1:19" ht="18" customHeight="1" x14ac:dyDescent="0.15">
      <c r="A71" s="117"/>
      <c r="B71" s="150" t="s">
        <v>134</v>
      </c>
      <c r="C71" s="151"/>
      <c r="D71" s="152"/>
      <c r="E71" s="39">
        <v>2</v>
      </c>
      <c r="F71" s="39"/>
      <c r="G71" s="39"/>
      <c r="H71" s="39"/>
      <c r="I71" s="39" t="s">
        <v>109</v>
      </c>
      <c r="J71" s="150"/>
      <c r="K71" s="151"/>
      <c r="L71" s="151"/>
      <c r="M71" s="151"/>
      <c r="N71" s="152"/>
      <c r="O71" s="39"/>
      <c r="P71" s="39"/>
      <c r="Q71" s="39"/>
      <c r="R71" s="39"/>
      <c r="S71" s="39"/>
    </row>
    <row r="72" spans="1:19" ht="18" customHeight="1" x14ac:dyDescent="0.15">
      <c r="A72" s="117"/>
      <c r="B72" s="150" t="s">
        <v>135</v>
      </c>
      <c r="C72" s="151"/>
      <c r="D72" s="152"/>
      <c r="E72" s="39">
        <v>2</v>
      </c>
      <c r="F72" s="39"/>
      <c r="G72" s="39" t="s">
        <v>109</v>
      </c>
      <c r="H72" s="39" t="s">
        <v>109</v>
      </c>
      <c r="I72" s="39"/>
      <c r="J72" s="150"/>
      <c r="K72" s="151"/>
      <c r="L72" s="151"/>
      <c r="M72" s="151"/>
      <c r="N72" s="152"/>
      <c r="O72" s="39"/>
      <c r="P72" s="39"/>
      <c r="Q72" s="39"/>
      <c r="R72" s="39"/>
      <c r="S72" s="39"/>
    </row>
    <row r="73" spans="1:19" ht="18" customHeight="1" x14ac:dyDescent="0.15">
      <c r="A73" s="117"/>
      <c r="B73" s="150" t="s">
        <v>168</v>
      </c>
      <c r="C73" s="151"/>
      <c r="D73" s="152"/>
      <c r="E73" s="39">
        <v>2</v>
      </c>
      <c r="F73" s="39"/>
      <c r="G73" s="39" t="s">
        <v>109</v>
      </c>
      <c r="H73" s="39"/>
      <c r="I73" s="39"/>
      <c r="J73" s="150"/>
      <c r="K73" s="151"/>
      <c r="L73" s="151"/>
      <c r="M73" s="151"/>
      <c r="N73" s="152"/>
      <c r="O73" s="39"/>
      <c r="P73" s="39"/>
      <c r="Q73" s="39"/>
      <c r="R73" s="39"/>
      <c r="S73" s="39"/>
    </row>
    <row r="74" spans="1:19" ht="18" customHeight="1" x14ac:dyDescent="0.15">
      <c r="A74" s="117"/>
      <c r="B74" s="150" t="s">
        <v>167</v>
      </c>
      <c r="C74" s="151"/>
      <c r="D74" s="152"/>
      <c r="E74" s="39">
        <v>1</v>
      </c>
      <c r="F74" s="39"/>
      <c r="G74" s="39"/>
      <c r="H74" s="39" t="s">
        <v>109</v>
      </c>
      <c r="I74" s="39" t="s">
        <v>109</v>
      </c>
      <c r="J74" s="150"/>
      <c r="K74" s="151"/>
      <c r="L74" s="151"/>
      <c r="M74" s="151"/>
      <c r="N74" s="152"/>
      <c r="O74" s="39"/>
      <c r="P74" s="39"/>
      <c r="Q74" s="39"/>
      <c r="R74" s="39"/>
      <c r="S74" s="39"/>
    </row>
    <row r="75" spans="1:19" ht="18" customHeight="1" x14ac:dyDescent="0.15">
      <c r="A75" s="117"/>
      <c r="B75" s="157" t="s">
        <v>166</v>
      </c>
      <c r="C75" s="136"/>
      <c r="D75" s="137"/>
      <c r="E75" s="47">
        <v>1</v>
      </c>
      <c r="F75" s="47"/>
      <c r="G75" s="48"/>
      <c r="H75" s="48" t="s">
        <v>109</v>
      </c>
      <c r="I75" s="48" t="s">
        <v>109</v>
      </c>
      <c r="J75" s="157"/>
      <c r="K75" s="136"/>
      <c r="L75" s="136"/>
      <c r="M75" s="136"/>
      <c r="N75" s="137"/>
      <c r="O75" s="47"/>
      <c r="P75" s="47"/>
      <c r="Q75" s="48"/>
      <c r="R75" s="48"/>
      <c r="S75" s="48"/>
    </row>
    <row r="76" spans="1:19" ht="7.5" customHeight="1" x14ac:dyDescent="0.15">
      <c r="B76" s="50"/>
      <c r="C76" s="50"/>
      <c r="D76" s="50"/>
      <c r="E76" s="50"/>
      <c r="F76" s="50"/>
      <c r="G76" s="50"/>
      <c r="H76" s="50"/>
      <c r="I76" s="50"/>
      <c r="J76" s="50"/>
      <c r="K76" s="50"/>
      <c r="L76" s="50"/>
      <c r="M76" s="50"/>
      <c r="N76" s="50"/>
      <c r="O76" s="50"/>
      <c r="P76" s="50"/>
      <c r="Q76" s="50"/>
      <c r="R76" s="50"/>
    </row>
    <row r="77" spans="1:19" ht="18" customHeight="1" x14ac:dyDescent="0.15">
      <c r="A77" s="116" t="s">
        <v>118</v>
      </c>
      <c r="H77" s="117"/>
      <c r="I77" s="117"/>
      <c r="J77" s="117"/>
      <c r="K77" s="117"/>
      <c r="L77" s="117"/>
      <c r="M77" s="117"/>
      <c r="N77" s="117"/>
      <c r="O77" s="117"/>
      <c r="P77" s="117"/>
      <c r="Q77" s="117"/>
      <c r="R77" s="117"/>
      <c r="S77" s="117"/>
    </row>
    <row r="78" spans="1:19" ht="18" customHeight="1" x14ac:dyDescent="0.15">
      <c r="B78" s="158" t="s">
        <v>53</v>
      </c>
      <c r="C78" s="142"/>
      <c r="D78" s="142"/>
      <c r="E78" s="143"/>
      <c r="F78" s="158" t="s">
        <v>82</v>
      </c>
      <c r="G78" s="142"/>
      <c r="H78" s="142"/>
      <c r="I78" s="143"/>
      <c r="J78" s="159" t="s">
        <v>53</v>
      </c>
      <c r="K78" s="160"/>
      <c r="L78" s="160"/>
      <c r="M78" s="160"/>
      <c r="N78" s="160"/>
      <c r="O78" s="161"/>
      <c r="P78" s="158" t="s">
        <v>82</v>
      </c>
      <c r="Q78" s="142"/>
      <c r="R78" s="142"/>
      <c r="S78" s="143"/>
    </row>
    <row r="79" spans="1:19" ht="18" customHeight="1" x14ac:dyDescent="0.15">
      <c r="A79" s="117"/>
      <c r="B79" s="162"/>
      <c r="C79" s="121"/>
      <c r="D79" s="121"/>
      <c r="E79" s="122"/>
      <c r="F79" s="163"/>
      <c r="G79" s="164"/>
      <c r="H79" s="164"/>
      <c r="I79" s="165"/>
      <c r="J79" s="166"/>
      <c r="K79" s="133"/>
      <c r="L79" s="133"/>
      <c r="M79" s="133"/>
      <c r="N79" s="133"/>
      <c r="O79" s="134"/>
      <c r="P79" s="163"/>
      <c r="Q79" s="164"/>
      <c r="R79" s="164"/>
      <c r="S79" s="165"/>
    </row>
    <row r="80" spans="1:19" ht="18" customHeight="1" x14ac:dyDescent="0.15">
      <c r="A80" s="117"/>
      <c r="B80" s="144"/>
      <c r="C80" s="145"/>
      <c r="D80" s="145"/>
      <c r="E80" s="146"/>
      <c r="F80" s="147"/>
      <c r="G80" s="148"/>
      <c r="H80" s="148"/>
      <c r="I80" s="149"/>
      <c r="J80" s="150"/>
      <c r="K80" s="151"/>
      <c r="L80" s="151"/>
      <c r="M80" s="151"/>
      <c r="N80" s="151"/>
      <c r="O80" s="152"/>
      <c r="P80" s="147"/>
      <c r="Q80" s="148"/>
      <c r="R80" s="148"/>
      <c r="S80" s="149"/>
    </row>
    <row r="81" spans="1:19" ht="18" customHeight="1" x14ac:dyDescent="0.15">
      <c r="A81" s="117"/>
      <c r="B81" s="144"/>
      <c r="C81" s="145"/>
      <c r="D81" s="145"/>
      <c r="E81" s="146"/>
      <c r="F81" s="147"/>
      <c r="G81" s="148"/>
      <c r="H81" s="148"/>
      <c r="I81" s="149"/>
      <c r="J81" s="150"/>
      <c r="K81" s="151"/>
      <c r="L81" s="151"/>
      <c r="M81" s="151"/>
      <c r="N81" s="151"/>
      <c r="O81" s="152"/>
      <c r="P81" s="147"/>
      <c r="Q81" s="148"/>
      <c r="R81" s="148"/>
      <c r="S81" s="149"/>
    </row>
    <row r="82" spans="1:19" ht="18" customHeight="1" x14ac:dyDescent="0.15">
      <c r="A82" s="117"/>
      <c r="B82" s="144"/>
      <c r="C82" s="145"/>
      <c r="D82" s="145"/>
      <c r="E82" s="146"/>
      <c r="F82" s="147"/>
      <c r="G82" s="148"/>
      <c r="H82" s="148"/>
      <c r="I82" s="149"/>
      <c r="J82" s="150"/>
      <c r="K82" s="151"/>
      <c r="L82" s="151"/>
      <c r="M82" s="151"/>
      <c r="N82" s="151"/>
      <c r="O82" s="152"/>
      <c r="P82" s="147"/>
      <c r="Q82" s="148"/>
      <c r="R82" s="148"/>
      <c r="S82" s="149"/>
    </row>
    <row r="83" spans="1:19" ht="18" customHeight="1" x14ac:dyDescent="0.15">
      <c r="A83" s="117"/>
      <c r="B83" s="144"/>
      <c r="C83" s="145"/>
      <c r="D83" s="145"/>
      <c r="E83" s="146"/>
      <c r="F83" s="147"/>
      <c r="G83" s="148"/>
      <c r="H83" s="148"/>
      <c r="I83" s="149"/>
      <c r="J83" s="150"/>
      <c r="K83" s="151"/>
      <c r="L83" s="151"/>
      <c r="M83" s="151"/>
      <c r="N83" s="151"/>
      <c r="O83" s="152"/>
      <c r="P83" s="147"/>
      <c r="Q83" s="148"/>
      <c r="R83" s="148"/>
      <c r="S83" s="149"/>
    </row>
    <row r="84" spans="1:19" ht="18" customHeight="1" x14ac:dyDescent="0.15">
      <c r="A84" s="117"/>
      <c r="B84" s="144"/>
      <c r="C84" s="145"/>
      <c r="D84" s="145"/>
      <c r="E84" s="146"/>
      <c r="F84" s="147"/>
      <c r="G84" s="148"/>
      <c r="H84" s="148"/>
      <c r="I84" s="149"/>
      <c r="J84" s="150"/>
      <c r="K84" s="151"/>
      <c r="L84" s="151"/>
      <c r="M84" s="151"/>
      <c r="N84" s="151"/>
      <c r="O84" s="152"/>
      <c r="P84" s="147"/>
      <c r="Q84" s="148"/>
      <c r="R84" s="148"/>
      <c r="S84" s="149"/>
    </row>
    <row r="85" spans="1:19" ht="18" customHeight="1" x14ac:dyDescent="0.15">
      <c r="A85" s="117"/>
      <c r="B85" s="153"/>
      <c r="C85" s="130"/>
      <c r="D85" s="130"/>
      <c r="E85" s="131"/>
      <c r="F85" s="154"/>
      <c r="G85" s="155"/>
      <c r="H85" s="155"/>
      <c r="I85" s="156"/>
      <c r="J85" s="157"/>
      <c r="K85" s="136"/>
      <c r="L85" s="136"/>
      <c r="M85" s="136"/>
      <c r="N85" s="136"/>
      <c r="O85" s="137"/>
      <c r="P85" s="154"/>
      <c r="Q85" s="155"/>
      <c r="R85" s="155"/>
      <c r="S85" s="156"/>
    </row>
    <row r="86" spans="1:19" ht="18" customHeight="1" x14ac:dyDescent="0.15">
      <c r="A86" s="117"/>
      <c r="B86" s="49"/>
      <c r="C86" s="49"/>
      <c r="D86" s="49"/>
      <c r="E86" s="49"/>
      <c r="F86" s="51"/>
      <c r="G86" s="51"/>
      <c r="H86" s="51"/>
      <c r="I86" s="51"/>
      <c r="J86" s="49"/>
      <c r="K86" s="49"/>
      <c r="L86" s="49"/>
      <c r="M86" s="49"/>
      <c r="N86" s="49"/>
      <c r="O86" s="49"/>
      <c r="P86" s="51"/>
      <c r="Q86" s="51"/>
      <c r="R86" s="51"/>
      <c r="S86" s="51"/>
    </row>
    <row r="87" spans="1:19" ht="18.75" customHeight="1" x14ac:dyDescent="0.15">
      <c r="A87" s="116" t="s">
        <v>119</v>
      </c>
    </row>
    <row r="88" spans="1:19" ht="18.75" customHeight="1" x14ac:dyDescent="0.15">
      <c r="B88" s="140" t="s">
        <v>54</v>
      </c>
      <c r="C88" s="141"/>
      <c r="D88" s="142" t="s">
        <v>55</v>
      </c>
      <c r="E88" s="142"/>
      <c r="F88" s="142"/>
      <c r="G88" s="142"/>
      <c r="H88" s="142"/>
      <c r="I88" s="142"/>
      <c r="J88" s="142"/>
      <c r="K88" s="142"/>
      <c r="L88" s="142"/>
      <c r="M88" s="142"/>
      <c r="N88" s="142"/>
      <c r="O88" s="142"/>
      <c r="P88" s="142"/>
      <c r="Q88" s="142"/>
      <c r="R88" s="142"/>
      <c r="S88" s="143"/>
    </row>
    <row r="89" spans="1:19" ht="48" customHeight="1" x14ac:dyDescent="0.15">
      <c r="B89" s="118" t="s">
        <v>61</v>
      </c>
      <c r="C89" s="111" t="s">
        <v>56</v>
      </c>
      <c r="D89" s="126" t="s">
        <v>169</v>
      </c>
      <c r="E89" s="127"/>
      <c r="F89" s="127"/>
      <c r="G89" s="127"/>
      <c r="H89" s="127"/>
      <c r="I89" s="127"/>
      <c r="J89" s="127"/>
      <c r="K89" s="127"/>
      <c r="L89" s="127"/>
      <c r="M89" s="127"/>
      <c r="N89" s="127"/>
      <c r="O89" s="127"/>
      <c r="P89" s="127"/>
      <c r="Q89" s="127"/>
      <c r="R89" s="127"/>
      <c r="S89" s="128"/>
    </row>
    <row r="90" spans="1:19" ht="300" customHeight="1" x14ac:dyDescent="0.15">
      <c r="B90" s="119"/>
      <c r="C90" s="112" t="s">
        <v>77</v>
      </c>
      <c r="D90" s="129" t="s">
        <v>172</v>
      </c>
      <c r="E90" s="130"/>
      <c r="F90" s="130"/>
      <c r="G90" s="130"/>
      <c r="H90" s="130"/>
      <c r="I90" s="130"/>
      <c r="J90" s="130"/>
      <c r="K90" s="130"/>
      <c r="L90" s="130"/>
      <c r="M90" s="130"/>
      <c r="N90" s="130"/>
      <c r="O90" s="130"/>
      <c r="P90" s="130"/>
      <c r="Q90" s="130"/>
      <c r="R90" s="130"/>
      <c r="S90" s="131"/>
    </row>
    <row r="91" spans="1:19" ht="196.5" customHeight="1" x14ac:dyDescent="0.15">
      <c r="B91" s="118" t="s">
        <v>62</v>
      </c>
      <c r="C91" s="113" t="s">
        <v>71</v>
      </c>
      <c r="D91" s="120" t="s">
        <v>173</v>
      </c>
      <c r="E91" s="121"/>
      <c r="F91" s="121"/>
      <c r="G91" s="121"/>
      <c r="H91" s="121"/>
      <c r="I91" s="121"/>
      <c r="J91" s="121"/>
      <c r="K91" s="121"/>
      <c r="L91" s="121"/>
      <c r="M91" s="121"/>
      <c r="N91" s="121"/>
      <c r="O91" s="121"/>
      <c r="P91" s="121"/>
      <c r="Q91" s="121"/>
      <c r="R91" s="121"/>
      <c r="S91" s="122"/>
    </row>
    <row r="92" spans="1:19" ht="185.25" customHeight="1" x14ac:dyDescent="0.15">
      <c r="B92" s="119"/>
      <c r="C92" s="112" t="s">
        <v>72</v>
      </c>
      <c r="D92" s="129" t="s">
        <v>174</v>
      </c>
      <c r="E92" s="130"/>
      <c r="F92" s="130"/>
      <c r="G92" s="130"/>
      <c r="H92" s="130"/>
      <c r="I92" s="130"/>
      <c r="J92" s="130"/>
      <c r="K92" s="130"/>
      <c r="L92" s="130"/>
      <c r="M92" s="130"/>
      <c r="N92" s="130"/>
      <c r="O92" s="130"/>
      <c r="P92" s="130"/>
      <c r="Q92" s="130"/>
      <c r="R92" s="130"/>
      <c r="S92" s="131"/>
    </row>
    <row r="93" spans="1:19" ht="105.75" customHeight="1" x14ac:dyDescent="0.15">
      <c r="B93" s="118" t="s">
        <v>63</v>
      </c>
      <c r="C93" s="113" t="s">
        <v>73</v>
      </c>
      <c r="D93" s="120" t="s">
        <v>175</v>
      </c>
      <c r="E93" s="121"/>
      <c r="F93" s="121"/>
      <c r="G93" s="121"/>
      <c r="H93" s="121"/>
      <c r="I93" s="121"/>
      <c r="J93" s="121"/>
      <c r="K93" s="121"/>
      <c r="L93" s="121"/>
      <c r="M93" s="121"/>
      <c r="N93" s="121"/>
      <c r="O93" s="121"/>
      <c r="P93" s="121"/>
      <c r="Q93" s="121"/>
      <c r="R93" s="121"/>
      <c r="S93" s="122"/>
    </row>
    <row r="94" spans="1:19" ht="224.25" customHeight="1" x14ac:dyDescent="0.15">
      <c r="B94" s="119"/>
      <c r="C94" s="114" t="s">
        <v>74</v>
      </c>
      <c r="D94" s="123" t="s">
        <v>176</v>
      </c>
      <c r="E94" s="124"/>
      <c r="F94" s="124"/>
      <c r="G94" s="124"/>
      <c r="H94" s="124"/>
      <c r="I94" s="124"/>
      <c r="J94" s="124"/>
      <c r="K94" s="124"/>
      <c r="L94" s="124"/>
      <c r="M94" s="124"/>
      <c r="N94" s="124"/>
      <c r="O94" s="124"/>
      <c r="P94" s="124"/>
      <c r="Q94" s="124"/>
      <c r="R94" s="124"/>
      <c r="S94" s="125"/>
    </row>
    <row r="95" spans="1:19" ht="116.25" customHeight="1" x14ac:dyDescent="0.15">
      <c r="B95" s="118" t="s">
        <v>78</v>
      </c>
      <c r="C95" s="111" t="s">
        <v>58</v>
      </c>
      <c r="D95" s="126" t="s">
        <v>177</v>
      </c>
      <c r="E95" s="127"/>
      <c r="F95" s="127"/>
      <c r="G95" s="127"/>
      <c r="H95" s="127"/>
      <c r="I95" s="127"/>
      <c r="J95" s="127"/>
      <c r="K95" s="127"/>
      <c r="L95" s="127"/>
      <c r="M95" s="127"/>
      <c r="N95" s="127"/>
      <c r="O95" s="127"/>
      <c r="P95" s="127"/>
      <c r="Q95" s="127"/>
      <c r="R95" s="127"/>
      <c r="S95" s="128"/>
    </row>
    <row r="96" spans="1:19" ht="102" customHeight="1" x14ac:dyDescent="0.15">
      <c r="B96" s="119"/>
      <c r="C96" s="112" t="s">
        <v>60</v>
      </c>
      <c r="D96" s="129" t="s">
        <v>178</v>
      </c>
      <c r="E96" s="130"/>
      <c r="F96" s="130"/>
      <c r="G96" s="130"/>
      <c r="H96" s="130"/>
      <c r="I96" s="130"/>
      <c r="J96" s="130"/>
      <c r="K96" s="130"/>
      <c r="L96" s="130"/>
      <c r="M96" s="130"/>
      <c r="N96" s="130"/>
      <c r="O96" s="130"/>
      <c r="P96" s="130"/>
      <c r="Q96" s="130"/>
      <c r="R96" s="130"/>
      <c r="S96" s="131"/>
    </row>
    <row r="97" spans="1:19" ht="165" customHeight="1" x14ac:dyDescent="0.15">
      <c r="B97" s="138" t="s">
        <v>79</v>
      </c>
      <c r="C97" s="113" t="s">
        <v>57</v>
      </c>
      <c r="D97" s="132" t="s">
        <v>179</v>
      </c>
      <c r="E97" s="133"/>
      <c r="F97" s="133"/>
      <c r="G97" s="133"/>
      <c r="H97" s="133"/>
      <c r="I97" s="133"/>
      <c r="J97" s="133"/>
      <c r="K97" s="133"/>
      <c r="L97" s="133"/>
      <c r="M97" s="133"/>
      <c r="N97" s="133"/>
      <c r="O97" s="133"/>
      <c r="P97" s="133"/>
      <c r="Q97" s="133"/>
      <c r="R97" s="133"/>
      <c r="S97" s="134"/>
    </row>
    <row r="98" spans="1:19" ht="333.75" customHeight="1" x14ac:dyDescent="0.15">
      <c r="B98" s="139"/>
      <c r="C98" s="112" t="s">
        <v>75</v>
      </c>
      <c r="D98" s="135" t="s">
        <v>180</v>
      </c>
      <c r="E98" s="136"/>
      <c r="F98" s="136"/>
      <c r="G98" s="136"/>
      <c r="H98" s="136"/>
      <c r="I98" s="136"/>
      <c r="J98" s="136"/>
      <c r="K98" s="136"/>
      <c r="L98" s="136"/>
      <c r="M98" s="136"/>
      <c r="N98" s="136"/>
      <c r="O98" s="136"/>
      <c r="P98" s="136"/>
      <c r="Q98" s="136"/>
      <c r="R98" s="136"/>
      <c r="S98" s="137"/>
    </row>
    <row r="99" spans="1:19" ht="315.75" customHeight="1" x14ac:dyDescent="0.15">
      <c r="B99" s="291" t="s">
        <v>171</v>
      </c>
      <c r="C99" s="292" t="s">
        <v>76</v>
      </c>
      <c r="D99" s="293" t="s">
        <v>181</v>
      </c>
      <c r="E99" s="178"/>
      <c r="F99" s="178"/>
      <c r="G99" s="178"/>
      <c r="H99" s="178"/>
      <c r="I99" s="178"/>
      <c r="J99" s="178"/>
      <c r="K99" s="178"/>
      <c r="L99" s="178"/>
      <c r="M99" s="178"/>
      <c r="N99" s="178"/>
      <c r="O99" s="178"/>
      <c r="P99" s="178"/>
      <c r="Q99" s="178"/>
      <c r="R99" s="178"/>
      <c r="S99" s="179"/>
    </row>
    <row r="100" spans="1:19" ht="6" customHeight="1" x14ac:dyDescent="0.15"/>
    <row r="101" spans="1:19" ht="18.75" customHeight="1" x14ac:dyDescent="0.15">
      <c r="A101" s="116" t="s">
        <v>120</v>
      </c>
    </row>
    <row r="102" spans="1:19" ht="107.25" customHeight="1" x14ac:dyDescent="0.15">
      <c r="B102" s="177" t="s">
        <v>149</v>
      </c>
      <c r="C102" s="178"/>
      <c r="D102" s="178"/>
      <c r="E102" s="178"/>
      <c r="F102" s="178"/>
      <c r="G102" s="178"/>
      <c r="H102" s="178"/>
      <c r="I102" s="178"/>
      <c r="J102" s="178"/>
      <c r="K102" s="178"/>
      <c r="L102" s="178"/>
      <c r="M102" s="178"/>
      <c r="N102" s="178"/>
      <c r="O102" s="178"/>
      <c r="P102" s="178"/>
      <c r="Q102" s="178"/>
      <c r="R102" s="178"/>
      <c r="S102" s="179"/>
    </row>
  </sheetData>
  <mergeCells count="145">
    <mergeCell ref="B102:S102"/>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J70:N70"/>
    <mergeCell ref="B71:D71"/>
    <mergeCell ref="J71:N71"/>
    <mergeCell ref="B72:D72"/>
    <mergeCell ref="J72:N72"/>
    <mergeCell ref="B64:E64"/>
    <mergeCell ref="J64:O64"/>
    <mergeCell ref="A66:S67"/>
    <mergeCell ref="B68:D68"/>
    <mergeCell ref="J68:N68"/>
    <mergeCell ref="J69:N69"/>
    <mergeCell ref="B69:D69"/>
    <mergeCell ref="B70:D70"/>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B91:B92"/>
    <mergeCell ref="B84:E84"/>
    <mergeCell ref="F84:I84"/>
    <mergeCell ref="J84:O84"/>
    <mergeCell ref="P84:S84"/>
    <mergeCell ref="B85:E85"/>
    <mergeCell ref="F85:I85"/>
    <mergeCell ref="J85:O85"/>
    <mergeCell ref="P85:S85"/>
    <mergeCell ref="D89:S89"/>
    <mergeCell ref="D90:S90"/>
    <mergeCell ref="D91:S91"/>
    <mergeCell ref="D92:S92"/>
    <mergeCell ref="B93:B94"/>
    <mergeCell ref="B95:B96"/>
    <mergeCell ref="D93:S93"/>
    <mergeCell ref="D94:S94"/>
    <mergeCell ref="D95:S95"/>
    <mergeCell ref="D96:S96"/>
    <mergeCell ref="D97:S97"/>
    <mergeCell ref="D98:S98"/>
    <mergeCell ref="D99:S99"/>
    <mergeCell ref="B97:B98"/>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P69:S75 Q36:S42 G36:I42 Q47:S53 G47:I53 Q58:S64 F69:I75 G58:I64">
      <formula1>"○"</formula1>
    </dataValidation>
    <dataValidation type="list" allowBlank="1" showInputMessage="1" showErrorMessage="1" sqref="K20:S20">
      <formula1>#REF!</formula1>
    </dataValidation>
  </dataValidations>
  <printOptions horizontalCentered="1"/>
  <pageMargins left="0.78740157480314965" right="0.78740157480314965" top="0.78740157480314965" bottom="0.19685039370078741" header="0.31496062992125984" footer="0.19685039370078741"/>
  <pageSetup paperSize="9" scale="74" orientation="portrait" r:id="rId1"/>
  <headerFooter>
    <oddHeader>&amp;C数理・データサイエンス・AI教育プログラム認定制度【リテラシーレベル】</oddHeader>
  </headerFooter>
  <rowBreaks count="3" manualBreakCount="3">
    <brk id="65" max="18" man="1"/>
    <brk id="92" max="18" man="1"/>
    <brk id="98"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showGridLines="0" view="pageBreakPreview" zoomScale="90" zoomScaleNormal="100" zoomScaleSheetLayoutView="90" workbookViewId="0"/>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1" t="s">
        <v>105</v>
      </c>
    </row>
    <row r="2" spans="1:45" ht="18" customHeight="1" x14ac:dyDescent="0.15">
      <c r="K2" s="6"/>
      <c r="Q2" s="6"/>
      <c r="W2" s="6"/>
      <c r="AC2" s="6"/>
      <c r="AI2" s="6"/>
      <c r="AL2" s="6" t="s">
        <v>107</v>
      </c>
      <c r="AM2" s="211" t="str">
        <f>'様式１－１　プログラムを構成する授業科目 '!C2</f>
        <v>和洋女子大学</v>
      </c>
      <c r="AN2" s="211"/>
      <c r="AO2" s="211"/>
      <c r="AP2" s="211"/>
      <c r="AQ2" s="211"/>
    </row>
    <row r="3" spans="1:45" ht="18" customHeight="1" x14ac:dyDescent="0.15">
      <c r="A3" s="212" t="s">
        <v>47</v>
      </c>
      <c r="B3" s="212"/>
      <c r="C3" s="212"/>
      <c r="D3" s="212"/>
      <c r="E3" s="212"/>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
    </row>
    <row r="4" spans="1:45" ht="7.5" customHeight="1" x14ac:dyDescent="0.1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5" ht="18" customHeight="1" x14ac:dyDescent="0.15">
      <c r="A5" s="2" t="s">
        <v>83</v>
      </c>
      <c r="B5" s="2"/>
      <c r="C5" s="213" t="s">
        <v>161</v>
      </c>
      <c r="D5" s="214"/>
      <c r="E5" s="5" t="s">
        <v>52</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7"/>
      <c r="AQ5" s="7"/>
    </row>
    <row r="6" spans="1:45" ht="6" customHeight="1" x14ac:dyDescent="0.1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spans="1:45" ht="18" customHeight="1" x14ac:dyDescent="0.15">
      <c r="A7" s="2" t="s">
        <v>81</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spans="1:45" ht="6" customHeight="1" x14ac:dyDescent="0.15">
      <c r="A8" s="2"/>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row>
    <row r="9" spans="1:45" ht="18" customHeight="1" x14ac:dyDescent="0.15">
      <c r="B9" s="215" t="s">
        <v>44</v>
      </c>
      <c r="C9" s="231" t="s">
        <v>86</v>
      </c>
      <c r="D9" s="218" t="s">
        <v>46</v>
      </c>
      <c r="E9" s="221" t="s">
        <v>39</v>
      </c>
      <c r="F9" s="224" t="s">
        <v>85</v>
      </c>
      <c r="G9" s="224"/>
      <c r="H9" s="224"/>
      <c r="I9" s="224"/>
      <c r="J9" s="224"/>
      <c r="K9" s="224"/>
      <c r="L9" s="208" t="s">
        <v>48</v>
      </c>
      <c r="M9" s="208"/>
      <c r="N9" s="208"/>
      <c r="O9" s="208"/>
      <c r="P9" s="208"/>
      <c r="Q9" s="208"/>
      <c r="R9" s="208" t="s">
        <v>49</v>
      </c>
      <c r="S9" s="208"/>
      <c r="T9" s="208"/>
      <c r="U9" s="208"/>
      <c r="V9" s="208"/>
      <c r="W9" s="208"/>
      <c r="X9" s="208" t="s">
        <v>100</v>
      </c>
      <c r="Y9" s="208"/>
      <c r="Z9" s="208"/>
      <c r="AA9" s="208"/>
      <c r="AB9" s="208"/>
      <c r="AC9" s="208"/>
      <c r="AD9" s="208" t="s">
        <v>50</v>
      </c>
      <c r="AE9" s="208"/>
      <c r="AF9" s="208"/>
      <c r="AG9" s="208"/>
      <c r="AH9" s="208"/>
      <c r="AI9" s="208"/>
      <c r="AJ9" s="208" t="s">
        <v>51</v>
      </c>
      <c r="AK9" s="208"/>
      <c r="AL9" s="208"/>
      <c r="AM9" s="208"/>
      <c r="AN9" s="208"/>
      <c r="AO9" s="208"/>
      <c r="AP9" s="225" t="s">
        <v>34</v>
      </c>
      <c r="AQ9" s="228" t="s">
        <v>31</v>
      </c>
      <c r="AS9" s="4"/>
    </row>
    <row r="10" spans="1:45" ht="16.899999999999999" customHeight="1" x14ac:dyDescent="0.15">
      <c r="B10" s="216"/>
      <c r="C10" s="232"/>
      <c r="D10" s="219"/>
      <c r="E10" s="222"/>
      <c r="F10" s="206" t="s">
        <v>96</v>
      </c>
      <c r="G10" s="207"/>
      <c r="H10" s="207"/>
      <c r="I10" s="206" t="s">
        <v>28</v>
      </c>
      <c r="J10" s="207"/>
      <c r="K10" s="207"/>
      <c r="L10" s="209" t="s">
        <v>96</v>
      </c>
      <c r="M10" s="210"/>
      <c r="N10" s="210"/>
      <c r="O10" s="209" t="s">
        <v>28</v>
      </c>
      <c r="P10" s="210"/>
      <c r="Q10" s="210"/>
      <c r="R10" s="209" t="s">
        <v>96</v>
      </c>
      <c r="S10" s="210"/>
      <c r="T10" s="210"/>
      <c r="U10" s="209" t="s">
        <v>28</v>
      </c>
      <c r="V10" s="210"/>
      <c r="W10" s="210"/>
      <c r="X10" s="209" t="s">
        <v>96</v>
      </c>
      <c r="Y10" s="210"/>
      <c r="Z10" s="210"/>
      <c r="AA10" s="209" t="s">
        <v>28</v>
      </c>
      <c r="AB10" s="210"/>
      <c r="AC10" s="210"/>
      <c r="AD10" s="209" t="s">
        <v>96</v>
      </c>
      <c r="AE10" s="210"/>
      <c r="AF10" s="210"/>
      <c r="AG10" s="209" t="s">
        <v>28</v>
      </c>
      <c r="AH10" s="210"/>
      <c r="AI10" s="210"/>
      <c r="AJ10" s="209" t="s">
        <v>96</v>
      </c>
      <c r="AK10" s="210"/>
      <c r="AL10" s="210"/>
      <c r="AM10" s="209" t="s">
        <v>28</v>
      </c>
      <c r="AN10" s="210"/>
      <c r="AO10" s="210"/>
      <c r="AP10" s="226"/>
      <c r="AQ10" s="229"/>
      <c r="AS10" s="4"/>
    </row>
    <row r="11" spans="1:45" ht="18" customHeight="1" x14ac:dyDescent="0.15">
      <c r="A11" s="2"/>
      <c r="B11" s="217"/>
      <c r="C11" s="233"/>
      <c r="D11" s="220"/>
      <c r="E11" s="223"/>
      <c r="F11" s="15" t="s">
        <v>97</v>
      </c>
      <c r="G11" s="16" t="s">
        <v>98</v>
      </c>
      <c r="H11" s="17" t="s">
        <v>99</v>
      </c>
      <c r="I11" s="15" t="s">
        <v>97</v>
      </c>
      <c r="J11" s="16" t="s">
        <v>98</v>
      </c>
      <c r="K11" s="17" t="s">
        <v>99</v>
      </c>
      <c r="L11" s="88" t="s">
        <v>97</v>
      </c>
      <c r="M11" s="89" t="s">
        <v>98</v>
      </c>
      <c r="N11" s="90" t="s">
        <v>99</v>
      </c>
      <c r="O11" s="88" t="s">
        <v>97</v>
      </c>
      <c r="P11" s="89" t="s">
        <v>98</v>
      </c>
      <c r="Q11" s="90" t="s">
        <v>99</v>
      </c>
      <c r="R11" s="88" t="s">
        <v>97</v>
      </c>
      <c r="S11" s="89" t="s">
        <v>98</v>
      </c>
      <c r="T11" s="90" t="s">
        <v>99</v>
      </c>
      <c r="U11" s="88" t="s">
        <v>97</v>
      </c>
      <c r="V11" s="89" t="s">
        <v>98</v>
      </c>
      <c r="W11" s="90" t="s">
        <v>99</v>
      </c>
      <c r="X11" s="88" t="s">
        <v>97</v>
      </c>
      <c r="Y11" s="89" t="s">
        <v>98</v>
      </c>
      <c r="Z11" s="90" t="s">
        <v>99</v>
      </c>
      <c r="AA11" s="88" t="s">
        <v>97</v>
      </c>
      <c r="AB11" s="89" t="s">
        <v>98</v>
      </c>
      <c r="AC11" s="90" t="s">
        <v>99</v>
      </c>
      <c r="AD11" s="88" t="s">
        <v>97</v>
      </c>
      <c r="AE11" s="89" t="s">
        <v>98</v>
      </c>
      <c r="AF11" s="90" t="s">
        <v>99</v>
      </c>
      <c r="AG11" s="88" t="s">
        <v>97</v>
      </c>
      <c r="AH11" s="89" t="s">
        <v>98</v>
      </c>
      <c r="AI11" s="90" t="s">
        <v>99</v>
      </c>
      <c r="AJ11" s="88" t="s">
        <v>97</v>
      </c>
      <c r="AK11" s="89" t="s">
        <v>98</v>
      </c>
      <c r="AL11" s="90" t="s">
        <v>99</v>
      </c>
      <c r="AM11" s="88" t="s">
        <v>97</v>
      </c>
      <c r="AN11" s="89" t="s">
        <v>98</v>
      </c>
      <c r="AO11" s="90" t="s">
        <v>99</v>
      </c>
      <c r="AP11" s="227"/>
      <c r="AQ11" s="230"/>
      <c r="AS11" s="4"/>
    </row>
    <row r="12" spans="1:45" ht="18" customHeight="1" x14ac:dyDescent="0.15">
      <c r="A12" s="7"/>
      <c r="B12" s="11" t="s">
        <v>143</v>
      </c>
      <c r="C12" s="57">
        <v>1144</v>
      </c>
      <c r="D12" s="58">
        <v>240</v>
      </c>
      <c r="E12" s="59">
        <v>960</v>
      </c>
      <c r="F12" s="27">
        <v>147</v>
      </c>
      <c r="G12" s="63">
        <v>0</v>
      </c>
      <c r="H12" s="96">
        <v>147</v>
      </c>
      <c r="I12" s="27">
        <v>8</v>
      </c>
      <c r="J12" s="63">
        <v>0</v>
      </c>
      <c r="K12" s="96">
        <v>8</v>
      </c>
      <c r="L12" s="101" t="s">
        <v>163</v>
      </c>
      <c r="M12" s="102" t="s">
        <v>163</v>
      </c>
      <c r="N12" s="103" t="s">
        <v>163</v>
      </c>
      <c r="O12" s="101" t="s">
        <v>162</v>
      </c>
      <c r="P12" s="102" t="s">
        <v>162</v>
      </c>
      <c r="Q12" s="103" t="s">
        <v>162</v>
      </c>
      <c r="R12" s="101" t="s">
        <v>162</v>
      </c>
      <c r="S12" s="102" t="s">
        <v>162</v>
      </c>
      <c r="T12" s="103" t="s">
        <v>162</v>
      </c>
      <c r="U12" s="101" t="s">
        <v>162</v>
      </c>
      <c r="V12" s="102" t="s">
        <v>162</v>
      </c>
      <c r="W12" s="103" t="s">
        <v>162</v>
      </c>
      <c r="X12" s="101" t="s">
        <v>162</v>
      </c>
      <c r="Y12" s="102" t="s">
        <v>162</v>
      </c>
      <c r="Z12" s="103" t="s">
        <v>162</v>
      </c>
      <c r="AA12" s="101" t="s">
        <v>162</v>
      </c>
      <c r="AB12" s="102" t="s">
        <v>162</v>
      </c>
      <c r="AC12" s="103" t="s">
        <v>162</v>
      </c>
      <c r="AD12" s="101" t="s">
        <v>162</v>
      </c>
      <c r="AE12" s="102" t="s">
        <v>162</v>
      </c>
      <c r="AF12" s="103" t="s">
        <v>162</v>
      </c>
      <c r="AG12" s="101" t="s">
        <v>162</v>
      </c>
      <c r="AH12" s="102" t="s">
        <v>162</v>
      </c>
      <c r="AI12" s="103" t="s">
        <v>162</v>
      </c>
      <c r="AJ12" s="101" t="s">
        <v>162</v>
      </c>
      <c r="AK12" s="102" t="s">
        <v>162</v>
      </c>
      <c r="AL12" s="103" t="s">
        <v>162</v>
      </c>
      <c r="AM12" s="101" t="s">
        <v>162</v>
      </c>
      <c r="AN12" s="102" t="s">
        <v>162</v>
      </c>
      <c r="AO12" s="103" t="s">
        <v>162</v>
      </c>
      <c r="AP12" s="26">
        <f>F12</f>
        <v>147</v>
      </c>
      <c r="AQ12" s="19">
        <f t="shared" ref="AQ12:AQ32" si="0">AP12/E12</f>
        <v>0.15312500000000001</v>
      </c>
    </row>
    <row r="13" spans="1:45" ht="18" customHeight="1" x14ac:dyDescent="0.15">
      <c r="A13" s="7"/>
      <c r="B13" s="12" t="s">
        <v>144</v>
      </c>
      <c r="C13" s="60">
        <v>320</v>
      </c>
      <c r="D13" s="61">
        <v>120</v>
      </c>
      <c r="E13" s="62">
        <v>480</v>
      </c>
      <c r="F13" s="31">
        <v>73</v>
      </c>
      <c r="G13" s="64">
        <v>0</v>
      </c>
      <c r="H13" s="97">
        <v>73</v>
      </c>
      <c r="I13" s="31">
        <v>0</v>
      </c>
      <c r="J13" s="64">
        <v>0</v>
      </c>
      <c r="K13" s="97">
        <v>0</v>
      </c>
      <c r="L13" s="104" t="s">
        <v>163</v>
      </c>
      <c r="M13" s="105" t="s">
        <v>163</v>
      </c>
      <c r="N13" s="106" t="s">
        <v>163</v>
      </c>
      <c r="O13" s="104" t="s">
        <v>162</v>
      </c>
      <c r="P13" s="105" t="s">
        <v>162</v>
      </c>
      <c r="Q13" s="106" t="s">
        <v>162</v>
      </c>
      <c r="R13" s="104" t="s">
        <v>162</v>
      </c>
      <c r="S13" s="105" t="s">
        <v>162</v>
      </c>
      <c r="T13" s="106" t="s">
        <v>162</v>
      </c>
      <c r="U13" s="104" t="s">
        <v>162</v>
      </c>
      <c r="V13" s="105" t="s">
        <v>162</v>
      </c>
      <c r="W13" s="106" t="s">
        <v>162</v>
      </c>
      <c r="X13" s="104" t="s">
        <v>162</v>
      </c>
      <c r="Y13" s="105" t="s">
        <v>162</v>
      </c>
      <c r="Z13" s="106" t="s">
        <v>162</v>
      </c>
      <c r="AA13" s="104" t="s">
        <v>162</v>
      </c>
      <c r="AB13" s="105" t="s">
        <v>162</v>
      </c>
      <c r="AC13" s="106" t="s">
        <v>162</v>
      </c>
      <c r="AD13" s="104" t="s">
        <v>162</v>
      </c>
      <c r="AE13" s="105" t="s">
        <v>162</v>
      </c>
      <c r="AF13" s="106" t="s">
        <v>162</v>
      </c>
      <c r="AG13" s="104" t="s">
        <v>162</v>
      </c>
      <c r="AH13" s="105" t="s">
        <v>162</v>
      </c>
      <c r="AI13" s="106" t="s">
        <v>162</v>
      </c>
      <c r="AJ13" s="104" t="s">
        <v>162</v>
      </c>
      <c r="AK13" s="105" t="s">
        <v>162</v>
      </c>
      <c r="AL13" s="106" t="s">
        <v>162</v>
      </c>
      <c r="AM13" s="104" t="s">
        <v>162</v>
      </c>
      <c r="AN13" s="105" t="s">
        <v>162</v>
      </c>
      <c r="AO13" s="106" t="s">
        <v>162</v>
      </c>
      <c r="AP13" s="29">
        <f>F13</f>
        <v>73</v>
      </c>
      <c r="AQ13" s="18">
        <f t="shared" si="0"/>
        <v>0.15208333333333332</v>
      </c>
    </row>
    <row r="14" spans="1:45" ht="18" customHeight="1" x14ac:dyDescent="0.15">
      <c r="A14" s="7"/>
      <c r="B14" s="12" t="s">
        <v>145</v>
      </c>
      <c r="C14" s="60">
        <v>1088</v>
      </c>
      <c r="D14" s="61">
        <v>290</v>
      </c>
      <c r="E14" s="62">
        <v>1160</v>
      </c>
      <c r="F14" s="31">
        <v>206</v>
      </c>
      <c r="G14" s="64">
        <v>0</v>
      </c>
      <c r="H14" s="97">
        <v>206</v>
      </c>
      <c r="I14" s="31">
        <v>0</v>
      </c>
      <c r="J14" s="64">
        <v>0</v>
      </c>
      <c r="K14" s="97">
        <v>0</v>
      </c>
      <c r="L14" s="104" t="s">
        <v>163</v>
      </c>
      <c r="M14" s="105" t="s">
        <v>163</v>
      </c>
      <c r="N14" s="106" t="s">
        <v>163</v>
      </c>
      <c r="O14" s="104" t="s">
        <v>162</v>
      </c>
      <c r="P14" s="105" t="s">
        <v>162</v>
      </c>
      <c r="Q14" s="106" t="s">
        <v>162</v>
      </c>
      <c r="R14" s="104" t="s">
        <v>162</v>
      </c>
      <c r="S14" s="105" t="s">
        <v>162</v>
      </c>
      <c r="T14" s="106" t="s">
        <v>162</v>
      </c>
      <c r="U14" s="104" t="s">
        <v>162</v>
      </c>
      <c r="V14" s="105" t="s">
        <v>162</v>
      </c>
      <c r="W14" s="106" t="s">
        <v>162</v>
      </c>
      <c r="X14" s="104" t="s">
        <v>162</v>
      </c>
      <c r="Y14" s="105" t="s">
        <v>162</v>
      </c>
      <c r="Z14" s="106" t="s">
        <v>162</v>
      </c>
      <c r="AA14" s="104" t="s">
        <v>162</v>
      </c>
      <c r="AB14" s="105" t="s">
        <v>162</v>
      </c>
      <c r="AC14" s="106" t="s">
        <v>162</v>
      </c>
      <c r="AD14" s="104" t="s">
        <v>162</v>
      </c>
      <c r="AE14" s="105" t="s">
        <v>162</v>
      </c>
      <c r="AF14" s="106" t="s">
        <v>162</v>
      </c>
      <c r="AG14" s="104" t="s">
        <v>162</v>
      </c>
      <c r="AH14" s="105" t="s">
        <v>162</v>
      </c>
      <c r="AI14" s="106" t="s">
        <v>162</v>
      </c>
      <c r="AJ14" s="104" t="s">
        <v>162</v>
      </c>
      <c r="AK14" s="105" t="s">
        <v>162</v>
      </c>
      <c r="AL14" s="106" t="s">
        <v>162</v>
      </c>
      <c r="AM14" s="104" t="s">
        <v>162</v>
      </c>
      <c r="AN14" s="105" t="s">
        <v>162</v>
      </c>
      <c r="AO14" s="106" t="s">
        <v>162</v>
      </c>
      <c r="AP14" s="29">
        <f>F14</f>
        <v>206</v>
      </c>
      <c r="AQ14" s="9">
        <f t="shared" si="0"/>
        <v>0.17758620689655172</v>
      </c>
    </row>
    <row r="15" spans="1:45" ht="18" customHeight="1" x14ac:dyDescent="0.15">
      <c r="A15" s="7"/>
      <c r="B15" s="12" t="s">
        <v>146</v>
      </c>
      <c r="C15" s="60">
        <v>410</v>
      </c>
      <c r="D15" s="61">
        <v>100</v>
      </c>
      <c r="E15" s="62">
        <v>400</v>
      </c>
      <c r="F15" s="31">
        <v>127</v>
      </c>
      <c r="G15" s="64">
        <v>0</v>
      </c>
      <c r="H15" s="97">
        <v>127</v>
      </c>
      <c r="I15" s="31">
        <v>0</v>
      </c>
      <c r="J15" s="64">
        <v>0</v>
      </c>
      <c r="K15" s="97">
        <v>0</v>
      </c>
      <c r="L15" s="104" t="s">
        <v>163</v>
      </c>
      <c r="M15" s="105" t="s">
        <v>163</v>
      </c>
      <c r="N15" s="106" t="s">
        <v>163</v>
      </c>
      <c r="O15" s="104" t="s">
        <v>162</v>
      </c>
      <c r="P15" s="105" t="s">
        <v>162</v>
      </c>
      <c r="Q15" s="106" t="s">
        <v>162</v>
      </c>
      <c r="R15" s="104" t="s">
        <v>162</v>
      </c>
      <c r="S15" s="105" t="s">
        <v>162</v>
      </c>
      <c r="T15" s="106" t="s">
        <v>162</v>
      </c>
      <c r="U15" s="104" t="s">
        <v>162</v>
      </c>
      <c r="V15" s="105" t="s">
        <v>162</v>
      </c>
      <c r="W15" s="106" t="s">
        <v>162</v>
      </c>
      <c r="X15" s="104" t="s">
        <v>162</v>
      </c>
      <c r="Y15" s="105" t="s">
        <v>162</v>
      </c>
      <c r="Z15" s="106" t="s">
        <v>162</v>
      </c>
      <c r="AA15" s="104" t="s">
        <v>162</v>
      </c>
      <c r="AB15" s="105" t="s">
        <v>162</v>
      </c>
      <c r="AC15" s="106" t="s">
        <v>162</v>
      </c>
      <c r="AD15" s="104" t="s">
        <v>162</v>
      </c>
      <c r="AE15" s="105" t="s">
        <v>162</v>
      </c>
      <c r="AF15" s="106" t="s">
        <v>162</v>
      </c>
      <c r="AG15" s="104" t="s">
        <v>162</v>
      </c>
      <c r="AH15" s="105" t="s">
        <v>162</v>
      </c>
      <c r="AI15" s="106" t="s">
        <v>162</v>
      </c>
      <c r="AJ15" s="104" t="s">
        <v>162</v>
      </c>
      <c r="AK15" s="105" t="s">
        <v>162</v>
      </c>
      <c r="AL15" s="106" t="s">
        <v>162</v>
      </c>
      <c r="AM15" s="104" t="s">
        <v>162</v>
      </c>
      <c r="AN15" s="105" t="s">
        <v>162</v>
      </c>
      <c r="AO15" s="106" t="s">
        <v>162</v>
      </c>
      <c r="AP15" s="29">
        <f>F15</f>
        <v>127</v>
      </c>
      <c r="AQ15" s="9">
        <f t="shared" si="0"/>
        <v>0.3175</v>
      </c>
    </row>
    <row r="16" spans="1:45" ht="18" customHeight="1" x14ac:dyDescent="0.15">
      <c r="A16" s="7"/>
      <c r="B16" s="12"/>
      <c r="C16" s="28"/>
      <c r="D16" s="29"/>
      <c r="E16" s="30"/>
      <c r="F16" s="31"/>
      <c r="G16" s="32"/>
      <c r="H16" s="33"/>
      <c r="I16" s="31"/>
      <c r="J16" s="32"/>
      <c r="K16" s="33"/>
      <c r="L16" s="92"/>
      <c r="M16" s="64"/>
      <c r="N16" s="93"/>
      <c r="O16" s="92"/>
      <c r="P16" s="64"/>
      <c r="Q16" s="93"/>
      <c r="R16" s="92"/>
      <c r="S16" s="64"/>
      <c r="T16" s="93"/>
      <c r="U16" s="92"/>
      <c r="V16" s="64"/>
      <c r="W16" s="93"/>
      <c r="X16" s="92"/>
      <c r="Y16" s="64"/>
      <c r="Z16" s="93"/>
      <c r="AA16" s="92"/>
      <c r="AB16" s="64"/>
      <c r="AC16" s="93"/>
      <c r="AD16" s="92"/>
      <c r="AE16" s="64"/>
      <c r="AF16" s="93"/>
      <c r="AG16" s="92"/>
      <c r="AH16" s="64"/>
      <c r="AI16" s="93"/>
      <c r="AJ16" s="92"/>
      <c r="AK16" s="64"/>
      <c r="AL16" s="93"/>
      <c r="AM16" s="92"/>
      <c r="AN16" s="64"/>
      <c r="AO16" s="93"/>
      <c r="AP16" s="29"/>
      <c r="AQ16" s="9"/>
    </row>
    <row r="17" spans="1:43" ht="18" customHeight="1" x14ac:dyDescent="0.15">
      <c r="A17" s="7"/>
      <c r="B17" s="12"/>
      <c r="C17" s="28"/>
      <c r="D17" s="29"/>
      <c r="E17" s="30"/>
      <c r="F17" s="31"/>
      <c r="G17" s="32"/>
      <c r="H17" s="33"/>
      <c r="I17" s="31"/>
      <c r="J17" s="32"/>
      <c r="K17" s="33"/>
      <c r="L17" s="92"/>
      <c r="M17" s="64"/>
      <c r="N17" s="93"/>
      <c r="O17" s="92"/>
      <c r="P17" s="64"/>
      <c r="Q17" s="93"/>
      <c r="R17" s="92"/>
      <c r="S17" s="64"/>
      <c r="T17" s="93"/>
      <c r="U17" s="92"/>
      <c r="V17" s="64"/>
      <c r="W17" s="93"/>
      <c r="X17" s="92"/>
      <c r="Y17" s="64"/>
      <c r="Z17" s="93"/>
      <c r="AA17" s="92"/>
      <c r="AB17" s="64"/>
      <c r="AC17" s="93"/>
      <c r="AD17" s="92"/>
      <c r="AE17" s="64"/>
      <c r="AF17" s="93"/>
      <c r="AG17" s="92"/>
      <c r="AH17" s="64"/>
      <c r="AI17" s="93"/>
      <c r="AJ17" s="92"/>
      <c r="AK17" s="64"/>
      <c r="AL17" s="93"/>
      <c r="AM17" s="92"/>
      <c r="AN17" s="64"/>
      <c r="AO17" s="93"/>
      <c r="AP17" s="29"/>
      <c r="AQ17" s="9"/>
    </row>
    <row r="18" spans="1:43" ht="18" customHeight="1" x14ac:dyDescent="0.15">
      <c r="A18" s="7"/>
      <c r="B18" s="12"/>
      <c r="C18" s="28"/>
      <c r="D18" s="29"/>
      <c r="E18" s="30"/>
      <c r="F18" s="31"/>
      <c r="G18" s="32"/>
      <c r="H18" s="33"/>
      <c r="I18" s="31"/>
      <c r="J18" s="32"/>
      <c r="K18" s="33"/>
      <c r="L18" s="92"/>
      <c r="M18" s="64"/>
      <c r="N18" s="93"/>
      <c r="O18" s="92"/>
      <c r="P18" s="64"/>
      <c r="Q18" s="93"/>
      <c r="R18" s="92"/>
      <c r="S18" s="64"/>
      <c r="T18" s="93"/>
      <c r="U18" s="92"/>
      <c r="V18" s="64"/>
      <c r="W18" s="93"/>
      <c r="X18" s="92"/>
      <c r="Y18" s="64"/>
      <c r="Z18" s="93"/>
      <c r="AA18" s="92"/>
      <c r="AB18" s="64"/>
      <c r="AC18" s="93"/>
      <c r="AD18" s="92"/>
      <c r="AE18" s="64"/>
      <c r="AF18" s="93"/>
      <c r="AG18" s="92"/>
      <c r="AH18" s="64"/>
      <c r="AI18" s="93"/>
      <c r="AJ18" s="92"/>
      <c r="AK18" s="64"/>
      <c r="AL18" s="93"/>
      <c r="AM18" s="92"/>
      <c r="AN18" s="64"/>
      <c r="AO18" s="93"/>
      <c r="AP18" s="29"/>
      <c r="AQ18" s="9"/>
    </row>
    <row r="19" spans="1:43" ht="18" customHeight="1" x14ac:dyDescent="0.15">
      <c r="A19" s="7"/>
      <c r="B19" s="12"/>
      <c r="C19" s="28"/>
      <c r="D19" s="29"/>
      <c r="E19" s="30"/>
      <c r="F19" s="31"/>
      <c r="G19" s="32"/>
      <c r="H19" s="33"/>
      <c r="I19" s="31"/>
      <c r="J19" s="32"/>
      <c r="K19" s="33"/>
      <c r="L19" s="92"/>
      <c r="M19" s="64"/>
      <c r="N19" s="93"/>
      <c r="O19" s="92"/>
      <c r="P19" s="64"/>
      <c r="Q19" s="93"/>
      <c r="R19" s="92"/>
      <c r="S19" s="64"/>
      <c r="T19" s="93"/>
      <c r="U19" s="92"/>
      <c r="V19" s="64"/>
      <c r="W19" s="93"/>
      <c r="X19" s="92"/>
      <c r="Y19" s="64"/>
      <c r="Z19" s="93"/>
      <c r="AA19" s="92"/>
      <c r="AB19" s="64"/>
      <c r="AC19" s="93"/>
      <c r="AD19" s="92"/>
      <c r="AE19" s="64"/>
      <c r="AF19" s="93"/>
      <c r="AG19" s="92"/>
      <c r="AH19" s="64"/>
      <c r="AI19" s="93"/>
      <c r="AJ19" s="92"/>
      <c r="AK19" s="64"/>
      <c r="AL19" s="93"/>
      <c r="AM19" s="92"/>
      <c r="AN19" s="64"/>
      <c r="AO19" s="93"/>
      <c r="AP19" s="29"/>
      <c r="AQ19" s="9"/>
    </row>
    <row r="20" spans="1:43" ht="18" customHeight="1" x14ac:dyDescent="0.15">
      <c r="A20" s="7"/>
      <c r="B20" s="12"/>
      <c r="C20" s="28"/>
      <c r="D20" s="29"/>
      <c r="E20" s="30"/>
      <c r="F20" s="31"/>
      <c r="G20" s="32"/>
      <c r="H20" s="33"/>
      <c r="I20" s="31"/>
      <c r="J20" s="32"/>
      <c r="K20" s="33"/>
      <c r="L20" s="92"/>
      <c r="M20" s="64"/>
      <c r="N20" s="93"/>
      <c r="O20" s="92"/>
      <c r="P20" s="64"/>
      <c r="Q20" s="93"/>
      <c r="R20" s="92"/>
      <c r="S20" s="64"/>
      <c r="T20" s="93"/>
      <c r="U20" s="92"/>
      <c r="V20" s="64"/>
      <c r="W20" s="93"/>
      <c r="X20" s="92"/>
      <c r="Y20" s="64"/>
      <c r="Z20" s="93"/>
      <c r="AA20" s="92"/>
      <c r="AB20" s="64"/>
      <c r="AC20" s="93"/>
      <c r="AD20" s="92"/>
      <c r="AE20" s="64"/>
      <c r="AF20" s="93"/>
      <c r="AG20" s="92"/>
      <c r="AH20" s="64"/>
      <c r="AI20" s="93"/>
      <c r="AJ20" s="92"/>
      <c r="AK20" s="64"/>
      <c r="AL20" s="93"/>
      <c r="AM20" s="92"/>
      <c r="AN20" s="64"/>
      <c r="AO20" s="93"/>
      <c r="AP20" s="29"/>
      <c r="AQ20" s="9"/>
    </row>
    <row r="21" spans="1:43" ht="18" customHeight="1" x14ac:dyDescent="0.15">
      <c r="A21" s="7"/>
      <c r="B21" s="12"/>
      <c r="C21" s="28"/>
      <c r="D21" s="29"/>
      <c r="E21" s="30"/>
      <c r="F21" s="31"/>
      <c r="G21" s="32"/>
      <c r="H21" s="33"/>
      <c r="I21" s="31"/>
      <c r="J21" s="32"/>
      <c r="K21" s="33"/>
      <c r="L21" s="92"/>
      <c r="M21" s="64"/>
      <c r="N21" s="93"/>
      <c r="O21" s="92"/>
      <c r="P21" s="64"/>
      <c r="Q21" s="93"/>
      <c r="R21" s="92"/>
      <c r="S21" s="64"/>
      <c r="T21" s="93"/>
      <c r="U21" s="92"/>
      <c r="V21" s="64"/>
      <c r="W21" s="93"/>
      <c r="X21" s="92"/>
      <c r="Y21" s="64"/>
      <c r="Z21" s="93"/>
      <c r="AA21" s="92"/>
      <c r="AB21" s="64"/>
      <c r="AC21" s="93"/>
      <c r="AD21" s="92"/>
      <c r="AE21" s="64"/>
      <c r="AF21" s="93"/>
      <c r="AG21" s="92"/>
      <c r="AH21" s="64"/>
      <c r="AI21" s="93"/>
      <c r="AJ21" s="92"/>
      <c r="AK21" s="64"/>
      <c r="AL21" s="93"/>
      <c r="AM21" s="92"/>
      <c r="AN21" s="64"/>
      <c r="AO21" s="93"/>
      <c r="AP21" s="29"/>
      <c r="AQ21" s="9"/>
    </row>
    <row r="22" spans="1:43" ht="18" customHeight="1" x14ac:dyDescent="0.15">
      <c r="A22" s="7"/>
      <c r="B22" s="12"/>
      <c r="C22" s="28"/>
      <c r="D22" s="29"/>
      <c r="E22" s="30"/>
      <c r="F22" s="31"/>
      <c r="G22" s="32"/>
      <c r="H22" s="33"/>
      <c r="I22" s="31"/>
      <c r="J22" s="32"/>
      <c r="K22" s="33"/>
      <c r="L22" s="92"/>
      <c r="M22" s="64"/>
      <c r="N22" s="93"/>
      <c r="O22" s="92"/>
      <c r="P22" s="64"/>
      <c r="Q22" s="93"/>
      <c r="R22" s="92"/>
      <c r="S22" s="64"/>
      <c r="T22" s="93"/>
      <c r="U22" s="92"/>
      <c r="V22" s="64"/>
      <c r="W22" s="93"/>
      <c r="X22" s="92"/>
      <c r="Y22" s="64"/>
      <c r="Z22" s="93"/>
      <c r="AA22" s="92"/>
      <c r="AB22" s="64"/>
      <c r="AC22" s="93"/>
      <c r="AD22" s="92"/>
      <c r="AE22" s="64"/>
      <c r="AF22" s="93"/>
      <c r="AG22" s="92"/>
      <c r="AH22" s="64"/>
      <c r="AI22" s="93"/>
      <c r="AJ22" s="92"/>
      <c r="AK22" s="64"/>
      <c r="AL22" s="93"/>
      <c r="AM22" s="92"/>
      <c r="AN22" s="64"/>
      <c r="AO22" s="93"/>
      <c r="AP22" s="29"/>
      <c r="AQ22" s="9"/>
    </row>
    <row r="23" spans="1:43" ht="18" customHeight="1" x14ac:dyDescent="0.15">
      <c r="A23" s="7"/>
      <c r="B23" s="12"/>
      <c r="C23" s="28"/>
      <c r="D23" s="29"/>
      <c r="E23" s="30"/>
      <c r="F23" s="31"/>
      <c r="G23" s="32"/>
      <c r="H23" s="33"/>
      <c r="I23" s="31"/>
      <c r="J23" s="32"/>
      <c r="K23" s="33"/>
      <c r="L23" s="92"/>
      <c r="M23" s="64"/>
      <c r="N23" s="93"/>
      <c r="O23" s="92"/>
      <c r="P23" s="64"/>
      <c r="Q23" s="93"/>
      <c r="R23" s="92"/>
      <c r="S23" s="64"/>
      <c r="T23" s="93"/>
      <c r="U23" s="92"/>
      <c r="V23" s="64"/>
      <c r="W23" s="93"/>
      <c r="X23" s="92"/>
      <c r="Y23" s="64"/>
      <c r="Z23" s="93"/>
      <c r="AA23" s="92"/>
      <c r="AB23" s="64"/>
      <c r="AC23" s="93"/>
      <c r="AD23" s="92"/>
      <c r="AE23" s="64"/>
      <c r="AF23" s="93"/>
      <c r="AG23" s="92"/>
      <c r="AH23" s="64"/>
      <c r="AI23" s="93"/>
      <c r="AJ23" s="92"/>
      <c r="AK23" s="64"/>
      <c r="AL23" s="93"/>
      <c r="AM23" s="92"/>
      <c r="AN23" s="64"/>
      <c r="AO23" s="93"/>
      <c r="AP23" s="29"/>
      <c r="AQ23" s="9"/>
    </row>
    <row r="24" spans="1:43" ht="18" customHeight="1" x14ac:dyDescent="0.15">
      <c r="A24" s="7"/>
      <c r="B24" s="12"/>
      <c r="C24" s="28"/>
      <c r="D24" s="29"/>
      <c r="E24" s="30"/>
      <c r="F24" s="31"/>
      <c r="G24" s="32"/>
      <c r="H24" s="33"/>
      <c r="I24" s="31"/>
      <c r="J24" s="32"/>
      <c r="K24" s="33"/>
      <c r="L24" s="92"/>
      <c r="M24" s="64"/>
      <c r="N24" s="93"/>
      <c r="O24" s="92"/>
      <c r="P24" s="64"/>
      <c r="Q24" s="93"/>
      <c r="R24" s="92"/>
      <c r="S24" s="64"/>
      <c r="T24" s="93"/>
      <c r="U24" s="92"/>
      <c r="V24" s="64"/>
      <c r="W24" s="93"/>
      <c r="X24" s="92"/>
      <c r="Y24" s="64"/>
      <c r="Z24" s="93"/>
      <c r="AA24" s="92"/>
      <c r="AB24" s="64"/>
      <c r="AC24" s="93"/>
      <c r="AD24" s="92"/>
      <c r="AE24" s="64"/>
      <c r="AF24" s="93"/>
      <c r="AG24" s="92"/>
      <c r="AH24" s="64"/>
      <c r="AI24" s="93"/>
      <c r="AJ24" s="92"/>
      <c r="AK24" s="64"/>
      <c r="AL24" s="93"/>
      <c r="AM24" s="92"/>
      <c r="AN24" s="64"/>
      <c r="AO24" s="93"/>
      <c r="AP24" s="29"/>
      <c r="AQ24" s="9"/>
    </row>
    <row r="25" spans="1:43" ht="18" customHeight="1" x14ac:dyDescent="0.15">
      <c r="A25" s="7"/>
      <c r="B25" s="12"/>
      <c r="C25" s="28"/>
      <c r="D25" s="29"/>
      <c r="E25" s="30"/>
      <c r="F25" s="31"/>
      <c r="G25" s="32"/>
      <c r="H25" s="33"/>
      <c r="I25" s="31"/>
      <c r="J25" s="32"/>
      <c r="K25" s="33"/>
      <c r="L25" s="92"/>
      <c r="M25" s="64"/>
      <c r="N25" s="93"/>
      <c r="O25" s="92"/>
      <c r="P25" s="64"/>
      <c r="Q25" s="93"/>
      <c r="R25" s="92"/>
      <c r="S25" s="64"/>
      <c r="T25" s="93"/>
      <c r="U25" s="92"/>
      <c r="V25" s="64"/>
      <c r="W25" s="93"/>
      <c r="X25" s="92"/>
      <c r="Y25" s="64"/>
      <c r="Z25" s="93"/>
      <c r="AA25" s="92"/>
      <c r="AB25" s="64"/>
      <c r="AC25" s="93"/>
      <c r="AD25" s="92"/>
      <c r="AE25" s="64"/>
      <c r="AF25" s="93"/>
      <c r="AG25" s="92"/>
      <c r="AH25" s="64"/>
      <c r="AI25" s="93"/>
      <c r="AJ25" s="92"/>
      <c r="AK25" s="64"/>
      <c r="AL25" s="93"/>
      <c r="AM25" s="92"/>
      <c r="AN25" s="64"/>
      <c r="AO25" s="93"/>
      <c r="AP25" s="29"/>
      <c r="AQ25" s="9"/>
    </row>
    <row r="26" spans="1:43" ht="18" customHeight="1" x14ac:dyDescent="0.15">
      <c r="A26" s="7"/>
      <c r="B26" s="12"/>
      <c r="C26" s="28"/>
      <c r="D26" s="29"/>
      <c r="E26" s="30"/>
      <c r="F26" s="31"/>
      <c r="G26" s="32"/>
      <c r="H26" s="33"/>
      <c r="I26" s="31"/>
      <c r="J26" s="32"/>
      <c r="K26" s="33"/>
      <c r="L26" s="92"/>
      <c r="M26" s="64"/>
      <c r="N26" s="93"/>
      <c r="O26" s="92"/>
      <c r="P26" s="64"/>
      <c r="Q26" s="93"/>
      <c r="R26" s="92"/>
      <c r="S26" s="64"/>
      <c r="T26" s="93"/>
      <c r="U26" s="92"/>
      <c r="V26" s="64"/>
      <c r="W26" s="93"/>
      <c r="X26" s="92"/>
      <c r="Y26" s="64"/>
      <c r="Z26" s="93"/>
      <c r="AA26" s="92"/>
      <c r="AB26" s="64"/>
      <c r="AC26" s="93"/>
      <c r="AD26" s="92"/>
      <c r="AE26" s="64"/>
      <c r="AF26" s="93"/>
      <c r="AG26" s="92"/>
      <c r="AH26" s="64"/>
      <c r="AI26" s="93"/>
      <c r="AJ26" s="92"/>
      <c r="AK26" s="64"/>
      <c r="AL26" s="93"/>
      <c r="AM26" s="92"/>
      <c r="AN26" s="64"/>
      <c r="AO26" s="93"/>
      <c r="AP26" s="29"/>
      <c r="AQ26" s="9"/>
    </row>
    <row r="27" spans="1:43" ht="18" customHeight="1" x14ac:dyDescent="0.15">
      <c r="A27" s="7"/>
      <c r="B27" s="12"/>
      <c r="C27" s="28"/>
      <c r="D27" s="29"/>
      <c r="E27" s="30"/>
      <c r="F27" s="31"/>
      <c r="G27" s="32"/>
      <c r="H27" s="33"/>
      <c r="I27" s="31"/>
      <c r="J27" s="32"/>
      <c r="K27" s="33"/>
      <c r="L27" s="92"/>
      <c r="M27" s="64"/>
      <c r="N27" s="93"/>
      <c r="O27" s="92"/>
      <c r="P27" s="64"/>
      <c r="Q27" s="93"/>
      <c r="R27" s="92"/>
      <c r="S27" s="64"/>
      <c r="T27" s="93"/>
      <c r="U27" s="92"/>
      <c r="V27" s="64"/>
      <c r="W27" s="93"/>
      <c r="X27" s="92"/>
      <c r="Y27" s="64"/>
      <c r="Z27" s="93"/>
      <c r="AA27" s="92"/>
      <c r="AB27" s="64"/>
      <c r="AC27" s="93"/>
      <c r="AD27" s="92"/>
      <c r="AE27" s="64"/>
      <c r="AF27" s="93"/>
      <c r="AG27" s="92"/>
      <c r="AH27" s="64"/>
      <c r="AI27" s="93"/>
      <c r="AJ27" s="92"/>
      <c r="AK27" s="64"/>
      <c r="AL27" s="93"/>
      <c r="AM27" s="92"/>
      <c r="AN27" s="64"/>
      <c r="AO27" s="93"/>
      <c r="AP27" s="29"/>
      <c r="AQ27" s="9"/>
    </row>
    <row r="28" spans="1:43" ht="18" customHeight="1" x14ac:dyDescent="0.15">
      <c r="A28" s="7"/>
      <c r="B28" s="12"/>
      <c r="C28" s="28"/>
      <c r="D28" s="29"/>
      <c r="E28" s="30"/>
      <c r="F28" s="31"/>
      <c r="G28" s="32"/>
      <c r="H28" s="33"/>
      <c r="I28" s="31"/>
      <c r="J28" s="32"/>
      <c r="K28" s="33"/>
      <c r="L28" s="92"/>
      <c r="M28" s="64"/>
      <c r="N28" s="93"/>
      <c r="O28" s="92"/>
      <c r="P28" s="64"/>
      <c r="Q28" s="93"/>
      <c r="R28" s="92"/>
      <c r="S28" s="64"/>
      <c r="T28" s="93"/>
      <c r="U28" s="92"/>
      <c r="V28" s="64"/>
      <c r="W28" s="93"/>
      <c r="X28" s="92"/>
      <c r="Y28" s="64"/>
      <c r="Z28" s="93"/>
      <c r="AA28" s="92"/>
      <c r="AB28" s="64"/>
      <c r="AC28" s="93"/>
      <c r="AD28" s="92"/>
      <c r="AE28" s="64"/>
      <c r="AF28" s="93"/>
      <c r="AG28" s="92"/>
      <c r="AH28" s="64"/>
      <c r="AI28" s="93"/>
      <c r="AJ28" s="92"/>
      <c r="AK28" s="64"/>
      <c r="AL28" s="93"/>
      <c r="AM28" s="92"/>
      <c r="AN28" s="64"/>
      <c r="AO28" s="93"/>
      <c r="AP28" s="29"/>
      <c r="AQ28" s="9"/>
    </row>
    <row r="29" spans="1:43" ht="18" customHeight="1" x14ac:dyDescent="0.15">
      <c r="A29" s="7"/>
      <c r="B29" s="12"/>
      <c r="C29" s="28"/>
      <c r="D29" s="34"/>
      <c r="E29" s="30"/>
      <c r="F29" s="31"/>
      <c r="G29" s="32"/>
      <c r="H29" s="33"/>
      <c r="I29" s="31"/>
      <c r="J29" s="32"/>
      <c r="K29" s="33"/>
      <c r="L29" s="92"/>
      <c r="M29" s="64"/>
      <c r="N29" s="93"/>
      <c r="O29" s="92"/>
      <c r="P29" s="64"/>
      <c r="Q29" s="93"/>
      <c r="R29" s="92"/>
      <c r="S29" s="64"/>
      <c r="T29" s="93"/>
      <c r="U29" s="92"/>
      <c r="V29" s="64"/>
      <c r="W29" s="93"/>
      <c r="X29" s="92"/>
      <c r="Y29" s="64"/>
      <c r="Z29" s="93"/>
      <c r="AA29" s="92"/>
      <c r="AB29" s="64"/>
      <c r="AC29" s="93"/>
      <c r="AD29" s="92"/>
      <c r="AE29" s="64"/>
      <c r="AF29" s="93"/>
      <c r="AG29" s="92"/>
      <c r="AH29" s="64"/>
      <c r="AI29" s="93"/>
      <c r="AJ29" s="92"/>
      <c r="AK29" s="64"/>
      <c r="AL29" s="93"/>
      <c r="AM29" s="92"/>
      <c r="AN29" s="64"/>
      <c r="AO29" s="93"/>
      <c r="AP29" s="34"/>
      <c r="AQ29" s="9"/>
    </row>
    <row r="30" spans="1:43" ht="18" customHeight="1" x14ac:dyDescent="0.15">
      <c r="A30" s="7"/>
      <c r="B30" s="12"/>
      <c r="C30" s="28"/>
      <c r="D30" s="34"/>
      <c r="E30" s="30"/>
      <c r="F30" s="31"/>
      <c r="G30" s="32"/>
      <c r="H30" s="33"/>
      <c r="I30" s="31"/>
      <c r="J30" s="32"/>
      <c r="K30" s="33"/>
      <c r="L30" s="92"/>
      <c r="M30" s="64"/>
      <c r="N30" s="93"/>
      <c r="O30" s="92"/>
      <c r="P30" s="64"/>
      <c r="Q30" s="93"/>
      <c r="R30" s="92"/>
      <c r="S30" s="64"/>
      <c r="T30" s="93"/>
      <c r="U30" s="92"/>
      <c r="V30" s="64"/>
      <c r="W30" s="93"/>
      <c r="X30" s="92"/>
      <c r="Y30" s="64"/>
      <c r="Z30" s="93"/>
      <c r="AA30" s="92"/>
      <c r="AB30" s="64"/>
      <c r="AC30" s="93"/>
      <c r="AD30" s="92"/>
      <c r="AE30" s="64"/>
      <c r="AF30" s="93"/>
      <c r="AG30" s="92"/>
      <c r="AH30" s="64"/>
      <c r="AI30" s="93"/>
      <c r="AJ30" s="92"/>
      <c r="AK30" s="64"/>
      <c r="AL30" s="93"/>
      <c r="AM30" s="92"/>
      <c r="AN30" s="64"/>
      <c r="AO30" s="93"/>
      <c r="AP30" s="34"/>
      <c r="AQ30" s="9"/>
    </row>
    <row r="31" spans="1:43" ht="18" customHeight="1" thickBot="1" x14ac:dyDescent="0.2">
      <c r="A31" s="7"/>
      <c r="B31" s="13"/>
      <c r="C31" s="25"/>
      <c r="D31" s="35"/>
      <c r="E31" s="27"/>
      <c r="F31" s="27"/>
      <c r="G31" s="36"/>
      <c r="H31" s="37"/>
      <c r="I31" s="27"/>
      <c r="J31" s="36"/>
      <c r="K31" s="37"/>
      <c r="L31" s="91"/>
      <c r="M31" s="94"/>
      <c r="N31" s="95"/>
      <c r="O31" s="91"/>
      <c r="P31" s="94"/>
      <c r="Q31" s="95"/>
      <c r="R31" s="91"/>
      <c r="S31" s="94"/>
      <c r="T31" s="95"/>
      <c r="U31" s="91"/>
      <c r="V31" s="94"/>
      <c r="W31" s="95"/>
      <c r="X31" s="91"/>
      <c r="Y31" s="94"/>
      <c r="Z31" s="95"/>
      <c r="AA31" s="91"/>
      <c r="AB31" s="94"/>
      <c r="AC31" s="95"/>
      <c r="AD31" s="91"/>
      <c r="AE31" s="94"/>
      <c r="AF31" s="95"/>
      <c r="AG31" s="91"/>
      <c r="AH31" s="94"/>
      <c r="AI31" s="95"/>
      <c r="AJ31" s="91"/>
      <c r="AK31" s="94"/>
      <c r="AL31" s="95"/>
      <c r="AM31" s="91"/>
      <c r="AN31" s="94"/>
      <c r="AO31" s="95"/>
      <c r="AP31" s="35"/>
      <c r="AQ31" s="8"/>
    </row>
    <row r="32" spans="1:43" ht="18" customHeight="1" thickTop="1" x14ac:dyDescent="0.15">
      <c r="B32" s="14" t="s">
        <v>32</v>
      </c>
      <c r="C32" s="20">
        <v>2962</v>
      </c>
      <c r="D32" s="21">
        <v>750</v>
      </c>
      <c r="E32" s="22">
        <v>3000</v>
      </c>
      <c r="F32" s="22">
        <v>553</v>
      </c>
      <c r="G32" s="23">
        <v>0</v>
      </c>
      <c r="H32" s="24">
        <v>553</v>
      </c>
      <c r="I32" s="22">
        <v>8</v>
      </c>
      <c r="J32" s="23">
        <v>0</v>
      </c>
      <c r="K32" s="24">
        <v>8</v>
      </c>
      <c r="L32" s="98" t="s">
        <v>163</v>
      </c>
      <c r="M32" s="99" t="s">
        <v>163</v>
      </c>
      <c r="N32" s="100" t="s">
        <v>163</v>
      </c>
      <c r="O32" s="98" t="s">
        <v>163</v>
      </c>
      <c r="P32" s="99" t="s">
        <v>163</v>
      </c>
      <c r="Q32" s="100" t="s">
        <v>163</v>
      </c>
      <c r="R32" s="98" t="s">
        <v>163</v>
      </c>
      <c r="S32" s="99" t="s">
        <v>163</v>
      </c>
      <c r="T32" s="100" t="s">
        <v>163</v>
      </c>
      <c r="U32" s="98" t="s">
        <v>163</v>
      </c>
      <c r="V32" s="99" t="s">
        <v>163</v>
      </c>
      <c r="W32" s="100" t="s">
        <v>163</v>
      </c>
      <c r="X32" s="98" t="s">
        <v>163</v>
      </c>
      <c r="Y32" s="99" t="s">
        <v>163</v>
      </c>
      <c r="Z32" s="100" t="s">
        <v>163</v>
      </c>
      <c r="AA32" s="98" t="s">
        <v>163</v>
      </c>
      <c r="AB32" s="99" t="s">
        <v>163</v>
      </c>
      <c r="AC32" s="100" t="s">
        <v>163</v>
      </c>
      <c r="AD32" s="98" t="s">
        <v>163</v>
      </c>
      <c r="AE32" s="99" t="s">
        <v>163</v>
      </c>
      <c r="AF32" s="100" t="s">
        <v>163</v>
      </c>
      <c r="AG32" s="98" t="s">
        <v>163</v>
      </c>
      <c r="AH32" s="99" t="s">
        <v>163</v>
      </c>
      <c r="AI32" s="100" t="s">
        <v>163</v>
      </c>
      <c r="AJ32" s="98" t="s">
        <v>163</v>
      </c>
      <c r="AK32" s="99" t="s">
        <v>163</v>
      </c>
      <c r="AL32" s="100" t="s">
        <v>163</v>
      </c>
      <c r="AM32" s="98" t="s">
        <v>163</v>
      </c>
      <c r="AN32" s="99" t="s">
        <v>163</v>
      </c>
      <c r="AO32" s="100" t="s">
        <v>163</v>
      </c>
      <c r="AP32" s="20">
        <f t="shared" ref="AP32" si="1">SUM(AP12:AP31)</f>
        <v>553</v>
      </c>
      <c r="AQ32" s="10">
        <f t="shared" si="0"/>
        <v>0.18433333333333332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cellComments="asDisplayed"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GridLines="0" showZeros="0" view="pageBreakPreview" zoomScaleNormal="100" zoomScaleSheetLayoutView="100" workbookViewId="0"/>
  </sheetViews>
  <sheetFormatPr defaultColWidth="11.375" defaultRowHeight="18.75" customHeight="1" x14ac:dyDescent="0.15"/>
  <cols>
    <col min="1" max="1" width="2.75" style="81" customWidth="1"/>
    <col min="2" max="2" width="16.625" style="40" customWidth="1"/>
    <col min="3" max="3" width="8.875" style="40" customWidth="1"/>
    <col min="4" max="4" width="2.25" style="40" customWidth="1"/>
    <col min="5" max="5" width="16.625" style="40" customWidth="1"/>
    <col min="6" max="6" width="4.375" style="40" customWidth="1"/>
    <col min="7" max="7" width="9" style="40" customWidth="1"/>
    <col min="8" max="8" width="16.625" style="40" customWidth="1"/>
    <col min="9" max="9" width="8.875" style="40" customWidth="1"/>
    <col min="10" max="16384" width="11.375" style="40"/>
  </cols>
  <sheetData>
    <row r="1" spans="1:9" ht="18.75" customHeight="1" x14ac:dyDescent="0.15">
      <c r="A1" s="81" t="s">
        <v>64</v>
      </c>
      <c r="I1" s="42" t="s">
        <v>104</v>
      </c>
    </row>
    <row r="2" spans="1:9" ht="18.75" customHeight="1" x14ac:dyDescent="0.15">
      <c r="G2" s="42" t="s">
        <v>107</v>
      </c>
      <c r="H2" s="158" t="s">
        <v>132</v>
      </c>
      <c r="I2" s="143"/>
    </row>
    <row r="3" spans="1:9" ht="18.75" customHeight="1" x14ac:dyDescent="0.15">
      <c r="G3" s="42"/>
      <c r="H3" s="43"/>
      <c r="I3" s="43"/>
    </row>
    <row r="4" spans="1:9" ht="18.600000000000001" customHeight="1" x14ac:dyDescent="0.15">
      <c r="A4" s="196" t="s">
        <v>35</v>
      </c>
      <c r="B4" s="196"/>
      <c r="C4" s="196"/>
      <c r="D4" s="196"/>
      <c r="E4" s="196"/>
      <c r="F4" s="196"/>
      <c r="G4" s="196"/>
      <c r="H4" s="196"/>
      <c r="I4" s="196"/>
    </row>
    <row r="5" spans="1:9" ht="13.15" customHeight="1" x14ac:dyDescent="0.15">
      <c r="B5" s="41"/>
      <c r="C5" s="41"/>
      <c r="D5" s="41"/>
      <c r="E5" s="41"/>
      <c r="F5" s="41"/>
      <c r="G5" s="41"/>
      <c r="H5" s="41"/>
      <c r="I5" s="41"/>
    </row>
    <row r="6" spans="1:9" ht="18" customHeight="1" x14ac:dyDescent="0.15">
      <c r="A6" s="40" t="s">
        <v>0</v>
      </c>
      <c r="B6" s="43" t="s">
        <v>90</v>
      </c>
      <c r="C6" s="272" t="s">
        <v>91</v>
      </c>
      <c r="D6" s="272"/>
      <c r="E6" s="67">
        <v>134</v>
      </c>
      <c r="F6" s="41" t="s">
        <v>1</v>
      </c>
      <c r="G6" s="41" t="s">
        <v>2</v>
      </c>
      <c r="H6" s="67">
        <v>171</v>
      </c>
      <c r="I6" s="43" t="s">
        <v>1</v>
      </c>
    </row>
    <row r="7" spans="1:9" ht="12" customHeight="1" x14ac:dyDescent="0.15">
      <c r="C7" s="82"/>
      <c r="D7" s="82"/>
      <c r="E7" s="82"/>
      <c r="F7" s="82"/>
      <c r="G7" s="82"/>
      <c r="H7" s="82"/>
      <c r="I7" s="83"/>
    </row>
    <row r="8" spans="1:9" ht="18" customHeight="1" x14ac:dyDescent="0.15">
      <c r="A8" s="40" t="s">
        <v>3</v>
      </c>
      <c r="B8" s="43" t="s">
        <v>92</v>
      </c>
      <c r="E8" s="41"/>
      <c r="F8" s="41"/>
      <c r="G8" s="41"/>
      <c r="H8" s="67">
        <v>6</v>
      </c>
      <c r="I8" s="43" t="s">
        <v>1</v>
      </c>
    </row>
    <row r="9" spans="1:9" ht="9" customHeight="1" x14ac:dyDescent="0.15">
      <c r="B9" s="41"/>
      <c r="C9" s="41"/>
      <c r="D9" s="41"/>
      <c r="E9" s="41"/>
      <c r="F9" s="41"/>
      <c r="G9" s="41"/>
      <c r="H9" s="41"/>
      <c r="I9" s="41"/>
    </row>
    <row r="10" spans="1:9" ht="18" customHeight="1" x14ac:dyDescent="0.15">
      <c r="A10" s="40" t="s">
        <v>4</v>
      </c>
      <c r="B10" s="43" t="s">
        <v>93</v>
      </c>
      <c r="C10" s="41"/>
      <c r="D10" s="41"/>
      <c r="E10" s="41"/>
      <c r="F10" s="41"/>
      <c r="G10" s="41"/>
      <c r="H10" s="41"/>
      <c r="I10" s="41"/>
    </row>
    <row r="11" spans="1:9" ht="18" customHeight="1" x14ac:dyDescent="0.15">
      <c r="B11" s="42" t="s">
        <v>42</v>
      </c>
      <c r="C11" s="267" t="s">
        <v>127</v>
      </c>
      <c r="D11" s="270"/>
      <c r="E11" s="271"/>
      <c r="F11" s="83"/>
      <c r="G11" s="42" t="s">
        <v>10</v>
      </c>
      <c r="H11" s="267" t="s">
        <v>128</v>
      </c>
      <c r="I11" s="271"/>
    </row>
    <row r="12" spans="1:9" ht="10.15" customHeight="1" x14ac:dyDescent="0.15">
      <c r="B12" s="42"/>
      <c r="C12" s="43"/>
      <c r="D12" s="83"/>
      <c r="E12" s="83"/>
      <c r="F12" s="83"/>
      <c r="G12" s="42"/>
      <c r="H12" s="43"/>
      <c r="I12" s="83"/>
    </row>
    <row r="13" spans="1:9" ht="18" customHeight="1" x14ac:dyDescent="0.15">
      <c r="A13" s="40" t="s">
        <v>7</v>
      </c>
      <c r="B13" s="43" t="s">
        <v>87</v>
      </c>
      <c r="C13" s="41"/>
      <c r="D13" s="41"/>
      <c r="E13" s="41"/>
      <c r="F13" s="41"/>
      <c r="G13" s="41"/>
      <c r="H13" s="41"/>
      <c r="I13" s="41"/>
    </row>
    <row r="14" spans="1:9" ht="18" customHeight="1" x14ac:dyDescent="0.15">
      <c r="B14" s="267" t="s">
        <v>140</v>
      </c>
      <c r="C14" s="268"/>
      <c r="D14" s="268"/>
      <c r="E14" s="268"/>
      <c r="F14" s="268"/>
      <c r="G14" s="268"/>
      <c r="H14" s="268"/>
      <c r="I14" s="269"/>
    </row>
    <row r="15" spans="1:9" ht="9" customHeight="1" x14ac:dyDescent="0.15">
      <c r="B15" s="41"/>
      <c r="C15" s="41"/>
      <c r="D15" s="41"/>
      <c r="E15" s="41"/>
      <c r="F15" s="41"/>
      <c r="G15" s="41"/>
      <c r="H15" s="41"/>
      <c r="I15" s="41"/>
    </row>
    <row r="16" spans="1:9" ht="18" customHeight="1" x14ac:dyDescent="0.15">
      <c r="B16" s="42" t="s">
        <v>42</v>
      </c>
      <c r="C16" s="267" t="s">
        <v>127</v>
      </c>
      <c r="D16" s="270"/>
      <c r="E16" s="271"/>
      <c r="F16" s="83"/>
      <c r="G16" s="42" t="s">
        <v>10</v>
      </c>
      <c r="H16" s="267" t="s">
        <v>128</v>
      </c>
      <c r="I16" s="271"/>
    </row>
    <row r="17" spans="1:9" ht="18" customHeight="1" x14ac:dyDescent="0.15">
      <c r="B17" s="41"/>
      <c r="C17" s="41"/>
      <c r="D17" s="41"/>
      <c r="E17" s="41"/>
      <c r="F17" s="41"/>
      <c r="G17" s="41"/>
      <c r="H17" s="41"/>
      <c r="I17" s="41"/>
    </row>
    <row r="18" spans="1:9" ht="18.75" customHeight="1" x14ac:dyDescent="0.15">
      <c r="A18" s="40" t="s">
        <v>5</v>
      </c>
      <c r="B18" s="40" t="s">
        <v>41</v>
      </c>
      <c r="I18" s="41"/>
    </row>
    <row r="19" spans="1:9" ht="18.75" customHeight="1" x14ac:dyDescent="0.15">
      <c r="A19" s="40"/>
      <c r="B19" s="263" t="s">
        <v>141</v>
      </c>
      <c r="C19" s="178"/>
      <c r="D19" s="178"/>
      <c r="E19" s="178"/>
      <c r="F19" s="178"/>
      <c r="G19" s="178"/>
      <c r="H19" s="178"/>
      <c r="I19" s="179"/>
    </row>
    <row r="20" spans="1:9" ht="7.5" customHeight="1" x14ac:dyDescent="0.15">
      <c r="B20" s="41"/>
      <c r="C20" s="41"/>
      <c r="D20" s="41"/>
      <c r="E20" s="41"/>
      <c r="F20" s="41"/>
      <c r="G20" s="41"/>
      <c r="H20" s="41"/>
      <c r="I20" s="41"/>
    </row>
    <row r="21" spans="1:9" ht="18.75" customHeight="1" x14ac:dyDescent="0.15">
      <c r="A21" s="40" t="s">
        <v>8</v>
      </c>
      <c r="B21" s="40" t="s">
        <v>24</v>
      </c>
    </row>
    <row r="22" spans="1:9" ht="18.75" customHeight="1" x14ac:dyDescent="0.15">
      <c r="A22" s="50"/>
      <c r="B22" s="234" t="s">
        <v>156</v>
      </c>
      <c r="C22" s="235"/>
      <c r="D22" s="235"/>
      <c r="E22" s="235"/>
      <c r="F22" s="235"/>
      <c r="G22" s="235"/>
      <c r="H22" s="235"/>
      <c r="I22" s="243"/>
    </row>
    <row r="23" spans="1:9" ht="18.75" customHeight="1" x14ac:dyDescent="0.15">
      <c r="A23" s="50"/>
      <c r="B23" s="237"/>
      <c r="C23" s="238"/>
      <c r="D23" s="238"/>
      <c r="E23" s="238"/>
      <c r="F23" s="238"/>
      <c r="G23" s="238"/>
      <c r="H23" s="238"/>
      <c r="I23" s="246"/>
    </row>
    <row r="24" spans="1:9" ht="18.75" customHeight="1" x14ac:dyDescent="0.15">
      <c r="A24" s="50"/>
      <c r="B24" s="237"/>
      <c r="C24" s="238"/>
      <c r="D24" s="238"/>
      <c r="E24" s="238"/>
      <c r="F24" s="238"/>
      <c r="G24" s="238"/>
      <c r="H24" s="238"/>
      <c r="I24" s="246"/>
    </row>
    <row r="25" spans="1:9" ht="18.75" customHeight="1" x14ac:dyDescent="0.15">
      <c r="A25" s="50"/>
      <c r="B25" s="237"/>
      <c r="C25" s="238"/>
      <c r="D25" s="238"/>
      <c r="E25" s="238"/>
      <c r="F25" s="238"/>
      <c r="G25" s="238"/>
      <c r="H25" s="238"/>
      <c r="I25" s="246"/>
    </row>
    <row r="26" spans="1:9" ht="18.75" customHeight="1" x14ac:dyDescent="0.15">
      <c r="A26" s="50"/>
      <c r="B26" s="237"/>
      <c r="C26" s="238"/>
      <c r="D26" s="238"/>
      <c r="E26" s="238"/>
      <c r="F26" s="238"/>
      <c r="G26" s="238"/>
      <c r="H26" s="238"/>
      <c r="I26" s="246"/>
    </row>
    <row r="27" spans="1:9" ht="18.75" customHeight="1" x14ac:dyDescent="0.15">
      <c r="A27" s="50"/>
      <c r="B27" s="237"/>
      <c r="C27" s="238"/>
      <c r="D27" s="238"/>
      <c r="E27" s="238"/>
      <c r="F27" s="238"/>
      <c r="G27" s="238"/>
      <c r="H27" s="238"/>
      <c r="I27" s="246"/>
    </row>
    <row r="28" spans="1:9" ht="18.75" customHeight="1" x14ac:dyDescent="0.15">
      <c r="A28" s="50"/>
      <c r="B28" s="237"/>
      <c r="C28" s="238"/>
      <c r="D28" s="238"/>
      <c r="E28" s="238"/>
      <c r="F28" s="238"/>
      <c r="G28" s="238"/>
      <c r="H28" s="238"/>
      <c r="I28" s="246"/>
    </row>
    <row r="29" spans="1:9" ht="18.75" customHeight="1" x14ac:dyDescent="0.15">
      <c r="A29" s="50"/>
      <c r="B29" s="237"/>
      <c r="C29" s="238"/>
      <c r="D29" s="238"/>
      <c r="E29" s="238"/>
      <c r="F29" s="238"/>
      <c r="G29" s="238"/>
      <c r="H29" s="238"/>
      <c r="I29" s="246"/>
    </row>
    <row r="30" spans="1:9" ht="18.75" customHeight="1" x14ac:dyDescent="0.15">
      <c r="A30" s="50"/>
      <c r="B30" s="244"/>
      <c r="C30" s="245"/>
      <c r="D30" s="245"/>
      <c r="E30" s="245"/>
      <c r="F30" s="245"/>
      <c r="G30" s="245"/>
      <c r="H30" s="245"/>
      <c r="I30" s="246"/>
    </row>
    <row r="31" spans="1:9" ht="18.75" customHeight="1" x14ac:dyDescent="0.15">
      <c r="A31" s="50"/>
      <c r="B31" s="244"/>
      <c r="C31" s="245"/>
      <c r="D31" s="245"/>
      <c r="E31" s="245"/>
      <c r="F31" s="245"/>
      <c r="G31" s="245"/>
      <c r="H31" s="245"/>
      <c r="I31" s="246"/>
    </row>
    <row r="32" spans="1:9" ht="18.75" customHeight="1" x14ac:dyDescent="0.15">
      <c r="A32" s="50"/>
      <c r="B32" s="247"/>
      <c r="C32" s="248"/>
      <c r="D32" s="248"/>
      <c r="E32" s="248"/>
      <c r="F32" s="248"/>
      <c r="G32" s="248"/>
      <c r="H32" s="248"/>
      <c r="I32" s="249"/>
    </row>
    <row r="33" spans="1:9" ht="7.5" customHeight="1" x14ac:dyDescent="0.15">
      <c r="A33" s="50"/>
      <c r="B33" s="50"/>
      <c r="C33" s="50"/>
      <c r="D33" s="50"/>
      <c r="E33" s="50"/>
      <c r="F33" s="50"/>
      <c r="G33" s="50"/>
      <c r="H33" s="50"/>
      <c r="I33" s="50"/>
    </row>
    <row r="34" spans="1:9" ht="18.75" customHeight="1" x14ac:dyDescent="0.15">
      <c r="A34" s="84" t="s">
        <v>6</v>
      </c>
      <c r="B34" s="84" t="s">
        <v>9</v>
      </c>
      <c r="C34" s="43"/>
      <c r="D34" s="84"/>
      <c r="E34" s="84"/>
      <c r="F34" s="84"/>
      <c r="G34" s="84"/>
      <c r="H34" s="84"/>
      <c r="I34" s="84"/>
    </row>
    <row r="35" spans="1:9" ht="18.75" customHeight="1" x14ac:dyDescent="0.15">
      <c r="A35" s="50"/>
      <c r="B35" s="234" t="s">
        <v>129</v>
      </c>
      <c r="C35" s="235"/>
      <c r="D35" s="235"/>
      <c r="E35" s="235"/>
      <c r="F35" s="235"/>
      <c r="G35" s="235"/>
      <c r="H35" s="235"/>
      <c r="I35" s="243"/>
    </row>
    <row r="36" spans="1:9" ht="18.75" customHeight="1" x14ac:dyDescent="0.15">
      <c r="A36" s="50"/>
      <c r="B36" s="244"/>
      <c r="C36" s="245"/>
      <c r="D36" s="245"/>
      <c r="E36" s="245"/>
      <c r="F36" s="245"/>
      <c r="G36" s="245"/>
      <c r="H36" s="245"/>
      <c r="I36" s="246"/>
    </row>
    <row r="37" spans="1:9" ht="18.75" customHeight="1" x14ac:dyDescent="0.15">
      <c r="A37" s="50"/>
      <c r="B37" s="244"/>
      <c r="C37" s="245"/>
      <c r="D37" s="245"/>
      <c r="E37" s="245"/>
      <c r="F37" s="245"/>
      <c r="G37" s="245"/>
      <c r="H37" s="245"/>
      <c r="I37" s="246"/>
    </row>
    <row r="38" spans="1:9" ht="18.75" customHeight="1" x14ac:dyDescent="0.15">
      <c r="A38" s="50"/>
      <c r="B38" s="244"/>
      <c r="C38" s="245"/>
      <c r="D38" s="245"/>
      <c r="E38" s="245"/>
      <c r="F38" s="245"/>
      <c r="G38" s="245"/>
      <c r="H38" s="245"/>
      <c r="I38" s="246"/>
    </row>
    <row r="39" spans="1:9" ht="18.75" customHeight="1" x14ac:dyDescent="0.15">
      <c r="A39" s="50"/>
      <c r="B39" s="244"/>
      <c r="C39" s="245"/>
      <c r="D39" s="245"/>
      <c r="E39" s="245"/>
      <c r="F39" s="245"/>
      <c r="G39" s="245"/>
      <c r="H39" s="245"/>
      <c r="I39" s="246"/>
    </row>
    <row r="40" spans="1:9" ht="18.75" customHeight="1" x14ac:dyDescent="0.15">
      <c r="A40" s="50"/>
      <c r="B40" s="244"/>
      <c r="C40" s="245"/>
      <c r="D40" s="245"/>
      <c r="E40" s="245"/>
      <c r="F40" s="245"/>
      <c r="G40" s="245"/>
      <c r="H40" s="245"/>
      <c r="I40" s="246"/>
    </row>
    <row r="41" spans="1:9" ht="18.75" customHeight="1" x14ac:dyDescent="0.15">
      <c r="A41" s="50"/>
      <c r="B41" s="244"/>
      <c r="C41" s="245"/>
      <c r="D41" s="245"/>
      <c r="E41" s="245"/>
      <c r="F41" s="245"/>
      <c r="G41" s="245"/>
      <c r="H41" s="245"/>
      <c r="I41" s="246"/>
    </row>
    <row r="42" spans="1:9" ht="18.75" customHeight="1" x14ac:dyDescent="0.15">
      <c r="A42" s="50"/>
      <c r="B42" s="244"/>
      <c r="C42" s="245"/>
      <c r="D42" s="245"/>
      <c r="E42" s="245"/>
      <c r="F42" s="245"/>
      <c r="G42" s="245"/>
      <c r="H42" s="245"/>
      <c r="I42" s="246"/>
    </row>
    <row r="43" spans="1:9" ht="18.75" customHeight="1" x14ac:dyDescent="0.15">
      <c r="A43" s="50"/>
      <c r="B43" s="244"/>
      <c r="C43" s="245"/>
      <c r="D43" s="245"/>
      <c r="E43" s="245"/>
      <c r="F43" s="245"/>
      <c r="G43" s="245"/>
      <c r="H43" s="245"/>
      <c r="I43" s="246"/>
    </row>
    <row r="44" spans="1:9" ht="18.75" customHeight="1" x14ac:dyDescent="0.15">
      <c r="A44" s="50"/>
      <c r="B44" s="244"/>
      <c r="C44" s="245"/>
      <c r="D44" s="245"/>
      <c r="E44" s="245"/>
      <c r="F44" s="245"/>
      <c r="G44" s="245"/>
      <c r="H44" s="245"/>
      <c r="I44" s="246"/>
    </row>
    <row r="45" spans="1:9" ht="18.75" customHeight="1" x14ac:dyDescent="0.15">
      <c r="A45" s="50"/>
      <c r="B45" s="244"/>
      <c r="C45" s="245"/>
      <c r="D45" s="245"/>
      <c r="E45" s="245"/>
      <c r="F45" s="245"/>
      <c r="G45" s="245"/>
      <c r="H45" s="245"/>
      <c r="I45" s="246"/>
    </row>
    <row r="46" spans="1:9" ht="18.75" customHeight="1" x14ac:dyDescent="0.15">
      <c r="A46" s="50"/>
      <c r="B46" s="247"/>
      <c r="C46" s="248"/>
      <c r="D46" s="248"/>
      <c r="E46" s="248"/>
      <c r="F46" s="248"/>
      <c r="G46" s="248"/>
      <c r="H46" s="248"/>
      <c r="I46" s="249"/>
    </row>
    <row r="47" spans="1:9" ht="7.5" customHeight="1" x14ac:dyDescent="0.15">
      <c r="A47" s="70"/>
      <c r="B47" s="70"/>
      <c r="C47" s="70"/>
      <c r="D47" s="70"/>
      <c r="E47" s="70"/>
      <c r="F47" s="70"/>
      <c r="G47" s="70"/>
      <c r="H47" s="70"/>
      <c r="I47" s="70"/>
    </row>
    <row r="48" spans="1:9" ht="18.75" customHeight="1" x14ac:dyDescent="0.15">
      <c r="A48" s="40" t="s">
        <v>30</v>
      </c>
      <c r="B48" s="40" t="s">
        <v>157</v>
      </c>
    </row>
    <row r="49" spans="1:15" s="41" customFormat="1" ht="18.75" customHeight="1" x14ac:dyDescent="0.15">
      <c r="B49" s="55" t="s">
        <v>88</v>
      </c>
      <c r="C49" s="250">
        <v>0.18</v>
      </c>
      <c r="D49" s="251"/>
      <c r="E49" s="55" t="s">
        <v>65</v>
      </c>
      <c r="F49" s="250">
        <v>0.3</v>
      </c>
      <c r="G49" s="251"/>
      <c r="H49" s="55" t="s">
        <v>66</v>
      </c>
      <c r="I49" s="65">
        <v>0.6</v>
      </c>
      <c r="J49" s="40"/>
      <c r="M49" s="40"/>
      <c r="N49" s="85"/>
    </row>
    <row r="50" spans="1:15" s="41" customFormat="1" ht="18.75" customHeight="1" x14ac:dyDescent="0.15">
      <c r="B50" s="66" t="s">
        <v>67</v>
      </c>
      <c r="C50" s="252">
        <v>1</v>
      </c>
      <c r="D50" s="252"/>
      <c r="E50" s="66" t="s">
        <v>89</v>
      </c>
      <c r="F50" s="252">
        <v>1</v>
      </c>
      <c r="G50" s="273"/>
      <c r="H50" s="66" t="s">
        <v>68</v>
      </c>
      <c r="I50" s="56">
        <v>3000</v>
      </c>
      <c r="J50" s="40"/>
      <c r="M50" s="40"/>
      <c r="N50" s="85"/>
    </row>
    <row r="51" spans="1:15" ht="18.75" customHeight="1" x14ac:dyDescent="0.15">
      <c r="A51" s="40"/>
      <c r="B51" s="264" t="s">
        <v>69</v>
      </c>
      <c r="C51" s="265"/>
      <c r="D51" s="265"/>
      <c r="E51" s="265"/>
      <c r="F51" s="265"/>
      <c r="G51" s="265"/>
      <c r="H51" s="265"/>
      <c r="I51" s="266"/>
      <c r="N51" s="85"/>
      <c r="O51" s="41"/>
    </row>
    <row r="52" spans="1:15" ht="18.75" customHeight="1" x14ac:dyDescent="0.15">
      <c r="A52" s="40"/>
      <c r="B52" s="253" t="s">
        <v>164</v>
      </c>
      <c r="C52" s="254"/>
      <c r="D52" s="254"/>
      <c r="E52" s="254"/>
      <c r="F52" s="254"/>
      <c r="G52" s="254"/>
      <c r="H52" s="254"/>
      <c r="I52" s="255"/>
      <c r="N52" s="85"/>
      <c r="O52" s="41"/>
    </row>
    <row r="53" spans="1:15" ht="18.75" customHeight="1" x14ac:dyDescent="0.15">
      <c r="A53" s="40"/>
      <c r="B53" s="256"/>
      <c r="C53" s="257"/>
      <c r="D53" s="257"/>
      <c r="E53" s="257"/>
      <c r="F53" s="257"/>
      <c r="G53" s="257"/>
      <c r="H53" s="257"/>
      <c r="I53" s="258"/>
      <c r="N53" s="85"/>
      <c r="O53" s="41"/>
    </row>
    <row r="54" spans="1:15" ht="18.75" customHeight="1" x14ac:dyDescent="0.15">
      <c r="A54" s="40"/>
      <c r="B54" s="256"/>
      <c r="C54" s="257"/>
      <c r="D54" s="257"/>
      <c r="E54" s="257"/>
      <c r="F54" s="257"/>
      <c r="G54" s="257"/>
      <c r="H54" s="257"/>
      <c r="I54" s="258"/>
    </row>
    <row r="55" spans="1:15" ht="18.75" customHeight="1" x14ac:dyDescent="0.15">
      <c r="A55" s="40"/>
      <c r="B55" s="256"/>
      <c r="C55" s="257"/>
      <c r="D55" s="257"/>
      <c r="E55" s="257"/>
      <c r="F55" s="257"/>
      <c r="G55" s="257"/>
      <c r="H55" s="257"/>
      <c r="I55" s="258"/>
    </row>
    <row r="56" spans="1:15" ht="18.75" customHeight="1" x14ac:dyDescent="0.15">
      <c r="A56" s="40"/>
      <c r="B56" s="256"/>
      <c r="C56" s="257"/>
      <c r="D56" s="257"/>
      <c r="E56" s="257"/>
      <c r="F56" s="257"/>
      <c r="G56" s="257"/>
      <c r="H56" s="257"/>
      <c r="I56" s="258"/>
    </row>
    <row r="57" spans="1:15" ht="18.75" customHeight="1" x14ac:dyDescent="0.15">
      <c r="A57" s="40"/>
      <c r="B57" s="256"/>
      <c r="C57" s="257"/>
      <c r="D57" s="257"/>
      <c r="E57" s="257"/>
      <c r="F57" s="257"/>
      <c r="G57" s="257"/>
      <c r="H57" s="257"/>
      <c r="I57" s="258"/>
    </row>
    <row r="58" spans="1:15" ht="18.75" customHeight="1" x14ac:dyDescent="0.15">
      <c r="A58" s="40"/>
      <c r="B58" s="256"/>
      <c r="C58" s="257"/>
      <c r="D58" s="257"/>
      <c r="E58" s="257"/>
      <c r="F58" s="257"/>
      <c r="G58" s="257"/>
      <c r="H58" s="257"/>
      <c r="I58" s="258"/>
    </row>
    <row r="59" spans="1:15" ht="18.75" customHeight="1" x14ac:dyDescent="0.15">
      <c r="A59" s="40"/>
      <c r="B59" s="256"/>
      <c r="C59" s="257"/>
      <c r="D59" s="257"/>
      <c r="E59" s="257"/>
      <c r="F59" s="257"/>
      <c r="G59" s="257"/>
      <c r="H59" s="257"/>
      <c r="I59" s="258"/>
    </row>
    <row r="60" spans="1:15" ht="18.75" customHeight="1" x14ac:dyDescent="0.15">
      <c r="A60" s="40"/>
      <c r="B60" s="256"/>
      <c r="C60" s="257"/>
      <c r="D60" s="257"/>
      <c r="E60" s="257"/>
      <c r="F60" s="257"/>
      <c r="G60" s="257"/>
      <c r="H60" s="257"/>
      <c r="I60" s="258"/>
    </row>
    <row r="61" spans="1:15" ht="18.75" customHeight="1" x14ac:dyDescent="0.15">
      <c r="A61" s="40"/>
      <c r="B61" s="256"/>
      <c r="C61" s="257"/>
      <c r="D61" s="257"/>
      <c r="E61" s="257"/>
      <c r="F61" s="257"/>
      <c r="G61" s="257"/>
      <c r="H61" s="257"/>
      <c r="I61" s="258"/>
    </row>
    <row r="62" spans="1:15" ht="18.75" customHeight="1" x14ac:dyDescent="0.15">
      <c r="A62" s="40"/>
      <c r="B62" s="256"/>
      <c r="C62" s="257"/>
      <c r="D62" s="257"/>
      <c r="E62" s="257"/>
      <c r="F62" s="257"/>
      <c r="G62" s="257"/>
      <c r="H62" s="257"/>
      <c r="I62" s="258"/>
    </row>
    <row r="63" spans="1:15" ht="18.75" customHeight="1" x14ac:dyDescent="0.15">
      <c r="A63" s="40"/>
      <c r="B63" s="259"/>
      <c r="C63" s="260"/>
      <c r="D63" s="260"/>
      <c r="E63" s="260"/>
      <c r="F63" s="260"/>
      <c r="G63" s="260"/>
      <c r="H63" s="260"/>
      <c r="I63" s="261"/>
    </row>
    <row r="64" spans="1:15" ht="7.5" customHeight="1" x14ac:dyDescent="0.15">
      <c r="A64" s="50"/>
      <c r="B64" s="50"/>
      <c r="C64" s="50"/>
      <c r="D64" s="50"/>
      <c r="E64" s="50"/>
      <c r="F64" s="50"/>
      <c r="G64" s="50"/>
      <c r="H64" s="50"/>
      <c r="I64" s="50"/>
    </row>
    <row r="65" spans="1:9" ht="18.75" customHeight="1" x14ac:dyDescent="0.15">
      <c r="A65" s="84" t="s">
        <v>33</v>
      </c>
      <c r="B65" s="40" t="s">
        <v>36</v>
      </c>
      <c r="I65" s="84"/>
    </row>
    <row r="66" spans="1:9" ht="18.75" customHeight="1" x14ac:dyDescent="0.15">
      <c r="A66" s="70"/>
      <c r="B66" s="234" t="s">
        <v>165</v>
      </c>
      <c r="C66" s="235"/>
      <c r="D66" s="235"/>
      <c r="E66" s="235"/>
      <c r="F66" s="235"/>
      <c r="G66" s="235"/>
      <c r="H66" s="235"/>
      <c r="I66" s="236"/>
    </row>
    <row r="67" spans="1:9" ht="18.75" customHeight="1" x14ac:dyDescent="0.15">
      <c r="A67" s="70"/>
      <c r="B67" s="237"/>
      <c r="C67" s="238"/>
      <c r="D67" s="238"/>
      <c r="E67" s="238"/>
      <c r="F67" s="238"/>
      <c r="G67" s="238"/>
      <c r="H67" s="238"/>
      <c r="I67" s="239"/>
    </row>
    <row r="68" spans="1:9" ht="18.75" customHeight="1" x14ac:dyDescent="0.15">
      <c r="A68" s="70"/>
      <c r="B68" s="237"/>
      <c r="C68" s="238"/>
      <c r="D68" s="238"/>
      <c r="E68" s="238"/>
      <c r="F68" s="238"/>
      <c r="G68" s="238"/>
      <c r="H68" s="238"/>
      <c r="I68" s="239"/>
    </row>
    <row r="69" spans="1:9" ht="18.75" customHeight="1" x14ac:dyDescent="0.15">
      <c r="A69" s="70"/>
      <c r="B69" s="237"/>
      <c r="C69" s="238"/>
      <c r="D69" s="238"/>
      <c r="E69" s="238"/>
      <c r="F69" s="238"/>
      <c r="G69" s="238"/>
      <c r="H69" s="238"/>
      <c r="I69" s="239"/>
    </row>
    <row r="70" spans="1:9" ht="18.75" customHeight="1" x14ac:dyDescent="0.15">
      <c r="A70" s="70"/>
      <c r="B70" s="237"/>
      <c r="C70" s="238"/>
      <c r="D70" s="238"/>
      <c r="E70" s="238"/>
      <c r="F70" s="238"/>
      <c r="G70" s="238"/>
      <c r="H70" s="238"/>
      <c r="I70" s="239"/>
    </row>
    <row r="71" spans="1:9" ht="18.75" customHeight="1" x14ac:dyDescent="0.15">
      <c r="A71" s="70"/>
      <c r="B71" s="237"/>
      <c r="C71" s="238"/>
      <c r="D71" s="238"/>
      <c r="E71" s="238"/>
      <c r="F71" s="238"/>
      <c r="G71" s="238"/>
      <c r="H71" s="238"/>
      <c r="I71" s="239"/>
    </row>
    <row r="72" spans="1:9" ht="18.75" customHeight="1" x14ac:dyDescent="0.15">
      <c r="A72" s="70"/>
      <c r="B72" s="237"/>
      <c r="C72" s="238"/>
      <c r="D72" s="238"/>
      <c r="E72" s="238"/>
      <c r="F72" s="238"/>
      <c r="G72" s="238"/>
      <c r="H72" s="238"/>
      <c r="I72" s="239"/>
    </row>
    <row r="73" spans="1:9" ht="18.75" customHeight="1" x14ac:dyDescent="0.15">
      <c r="A73" s="70"/>
      <c r="B73" s="237"/>
      <c r="C73" s="238"/>
      <c r="D73" s="238"/>
      <c r="E73" s="238"/>
      <c r="F73" s="238"/>
      <c r="G73" s="238"/>
      <c r="H73" s="238"/>
      <c r="I73" s="239"/>
    </row>
    <row r="74" spans="1:9" ht="18.75" customHeight="1" x14ac:dyDescent="0.15">
      <c r="A74" s="70"/>
      <c r="B74" s="237"/>
      <c r="C74" s="238"/>
      <c r="D74" s="238"/>
      <c r="E74" s="238"/>
      <c r="F74" s="238"/>
      <c r="G74" s="238"/>
      <c r="H74" s="238"/>
      <c r="I74" s="239"/>
    </row>
    <row r="75" spans="1:9" ht="18.75" customHeight="1" x14ac:dyDescent="0.15">
      <c r="A75" s="70"/>
      <c r="B75" s="237"/>
      <c r="C75" s="238"/>
      <c r="D75" s="238"/>
      <c r="E75" s="238"/>
      <c r="F75" s="238"/>
      <c r="G75" s="238"/>
      <c r="H75" s="238"/>
      <c r="I75" s="239"/>
    </row>
    <row r="76" spans="1:9" ht="18.75" customHeight="1" x14ac:dyDescent="0.15">
      <c r="A76" s="70"/>
      <c r="B76" s="237"/>
      <c r="C76" s="238"/>
      <c r="D76" s="238"/>
      <c r="E76" s="238"/>
      <c r="F76" s="238"/>
      <c r="G76" s="238"/>
      <c r="H76" s="238"/>
      <c r="I76" s="239"/>
    </row>
    <row r="77" spans="1:9" ht="18.75" customHeight="1" x14ac:dyDescent="0.15">
      <c r="A77" s="70"/>
      <c r="B77" s="240"/>
      <c r="C77" s="241"/>
      <c r="D77" s="241"/>
      <c r="E77" s="241"/>
      <c r="F77" s="241"/>
      <c r="G77" s="241"/>
      <c r="H77" s="241"/>
      <c r="I77" s="242"/>
    </row>
    <row r="78" spans="1:9" ht="7.5" customHeight="1" x14ac:dyDescent="0.15">
      <c r="A78" s="70"/>
      <c r="B78" s="70"/>
      <c r="C78" s="70"/>
      <c r="D78" s="70"/>
      <c r="E78" s="70"/>
      <c r="F78" s="70"/>
      <c r="G78" s="70"/>
      <c r="H78" s="70"/>
      <c r="I78" s="70"/>
    </row>
    <row r="79" spans="1:9" ht="18.75" customHeight="1" x14ac:dyDescent="0.15">
      <c r="A79" s="40" t="s">
        <v>11</v>
      </c>
      <c r="B79" s="40" t="s">
        <v>40</v>
      </c>
    </row>
    <row r="80" spans="1:9" ht="18.75" customHeight="1" x14ac:dyDescent="0.15">
      <c r="A80" s="40"/>
      <c r="B80" s="234" t="s">
        <v>158</v>
      </c>
      <c r="C80" s="235"/>
      <c r="D80" s="235"/>
      <c r="E80" s="235"/>
      <c r="F80" s="235"/>
      <c r="G80" s="235"/>
      <c r="H80" s="235"/>
      <c r="I80" s="243"/>
    </row>
    <row r="81" spans="1:9" ht="18.75" customHeight="1" x14ac:dyDescent="0.15">
      <c r="A81" s="40"/>
      <c r="B81" s="244"/>
      <c r="C81" s="245"/>
      <c r="D81" s="245"/>
      <c r="E81" s="245"/>
      <c r="F81" s="245"/>
      <c r="G81" s="245"/>
      <c r="H81" s="245"/>
      <c r="I81" s="246"/>
    </row>
    <row r="82" spans="1:9" ht="18.75" customHeight="1" x14ac:dyDescent="0.15">
      <c r="A82" s="40"/>
      <c r="B82" s="244"/>
      <c r="C82" s="245"/>
      <c r="D82" s="245"/>
      <c r="E82" s="245"/>
      <c r="F82" s="245"/>
      <c r="G82" s="245"/>
      <c r="H82" s="245"/>
      <c r="I82" s="246"/>
    </row>
    <row r="83" spans="1:9" ht="18.75" customHeight="1" x14ac:dyDescent="0.15">
      <c r="A83" s="40"/>
      <c r="B83" s="244"/>
      <c r="C83" s="245"/>
      <c r="D83" s="245"/>
      <c r="E83" s="245"/>
      <c r="F83" s="245"/>
      <c r="G83" s="245"/>
      <c r="H83" s="245"/>
      <c r="I83" s="246"/>
    </row>
    <row r="84" spans="1:9" ht="18.75" customHeight="1" x14ac:dyDescent="0.15">
      <c r="A84" s="40"/>
      <c r="B84" s="244"/>
      <c r="C84" s="245"/>
      <c r="D84" s="245"/>
      <c r="E84" s="245"/>
      <c r="F84" s="245"/>
      <c r="G84" s="245"/>
      <c r="H84" s="245"/>
      <c r="I84" s="246"/>
    </row>
    <row r="85" spans="1:9" ht="18.75" customHeight="1" x14ac:dyDescent="0.15">
      <c r="A85" s="40"/>
      <c r="B85" s="244"/>
      <c r="C85" s="245"/>
      <c r="D85" s="245"/>
      <c r="E85" s="245"/>
      <c r="F85" s="245"/>
      <c r="G85" s="245"/>
      <c r="H85" s="245"/>
      <c r="I85" s="246"/>
    </row>
    <row r="86" spans="1:9" ht="18.75" customHeight="1" x14ac:dyDescent="0.15">
      <c r="A86" s="40"/>
      <c r="B86" s="244"/>
      <c r="C86" s="245"/>
      <c r="D86" s="245"/>
      <c r="E86" s="245"/>
      <c r="F86" s="245"/>
      <c r="G86" s="245"/>
      <c r="H86" s="245"/>
      <c r="I86" s="246"/>
    </row>
    <row r="87" spans="1:9" ht="18.75" customHeight="1" x14ac:dyDescent="0.15">
      <c r="A87" s="40"/>
      <c r="B87" s="244"/>
      <c r="C87" s="245"/>
      <c r="D87" s="245"/>
      <c r="E87" s="245"/>
      <c r="F87" s="245"/>
      <c r="G87" s="245"/>
      <c r="H87" s="245"/>
      <c r="I87" s="246"/>
    </row>
    <row r="88" spans="1:9" ht="18.75" customHeight="1" x14ac:dyDescent="0.15">
      <c r="A88" s="40"/>
      <c r="B88" s="244"/>
      <c r="C88" s="245"/>
      <c r="D88" s="245"/>
      <c r="E88" s="245"/>
      <c r="F88" s="245"/>
      <c r="G88" s="245"/>
      <c r="H88" s="245"/>
      <c r="I88" s="246"/>
    </row>
    <row r="89" spans="1:9" ht="18.75" customHeight="1" x14ac:dyDescent="0.15">
      <c r="A89" s="40"/>
      <c r="B89" s="244"/>
      <c r="C89" s="245"/>
      <c r="D89" s="245"/>
      <c r="E89" s="245"/>
      <c r="F89" s="245"/>
      <c r="G89" s="245"/>
      <c r="H89" s="245"/>
      <c r="I89" s="246"/>
    </row>
    <row r="90" spans="1:9" ht="18.75" customHeight="1" x14ac:dyDescent="0.15">
      <c r="A90" s="70"/>
      <c r="B90" s="244"/>
      <c r="C90" s="245"/>
      <c r="D90" s="245"/>
      <c r="E90" s="245"/>
      <c r="F90" s="245"/>
      <c r="G90" s="245"/>
      <c r="H90" s="245"/>
      <c r="I90" s="246"/>
    </row>
    <row r="91" spans="1:9" ht="18.75" customHeight="1" x14ac:dyDescent="0.15">
      <c r="A91" s="70"/>
      <c r="B91" s="247"/>
      <c r="C91" s="248"/>
      <c r="D91" s="248"/>
      <c r="E91" s="248"/>
      <c r="F91" s="248"/>
      <c r="G91" s="248"/>
      <c r="H91" s="248"/>
      <c r="I91" s="249"/>
    </row>
    <row r="92" spans="1:9" ht="7.5" customHeight="1" x14ac:dyDescent="0.15">
      <c r="A92" s="70"/>
      <c r="B92" s="70"/>
      <c r="C92" s="70"/>
      <c r="D92" s="70"/>
      <c r="E92" s="70"/>
      <c r="F92" s="70"/>
      <c r="G92" s="70"/>
      <c r="H92" s="70"/>
      <c r="I92" s="70"/>
    </row>
    <row r="93" spans="1:9" ht="18.75" customHeight="1" x14ac:dyDescent="0.15">
      <c r="A93" s="40" t="s">
        <v>43</v>
      </c>
      <c r="B93" s="40" t="s">
        <v>12</v>
      </c>
    </row>
    <row r="94" spans="1:9" ht="18.75" customHeight="1" x14ac:dyDescent="0.15">
      <c r="A94" s="40"/>
      <c r="B94" s="234" t="s">
        <v>159</v>
      </c>
      <c r="C94" s="235"/>
      <c r="D94" s="235"/>
      <c r="E94" s="235"/>
      <c r="F94" s="235"/>
      <c r="G94" s="235"/>
      <c r="H94" s="235"/>
      <c r="I94" s="243"/>
    </row>
    <row r="95" spans="1:9" ht="18.75" customHeight="1" x14ac:dyDescent="0.15">
      <c r="A95" s="40"/>
      <c r="B95" s="244"/>
      <c r="C95" s="245"/>
      <c r="D95" s="245"/>
      <c r="E95" s="245"/>
      <c r="F95" s="245"/>
      <c r="G95" s="245"/>
      <c r="H95" s="245"/>
      <c r="I95" s="246"/>
    </row>
    <row r="96" spans="1:9" ht="18.75" customHeight="1" x14ac:dyDescent="0.15">
      <c r="A96" s="40"/>
      <c r="B96" s="244"/>
      <c r="C96" s="245"/>
      <c r="D96" s="245"/>
      <c r="E96" s="245"/>
      <c r="F96" s="245"/>
      <c r="G96" s="245"/>
      <c r="H96" s="245"/>
      <c r="I96" s="246"/>
    </row>
    <row r="97" spans="1:9" ht="18.75" customHeight="1" x14ac:dyDescent="0.15">
      <c r="A97" s="40"/>
      <c r="B97" s="244"/>
      <c r="C97" s="245"/>
      <c r="D97" s="245"/>
      <c r="E97" s="245"/>
      <c r="F97" s="245"/>
      <c r="G97" s="245"/>
      <c r="H97" s="245"/>
      <c r="I97" s="246"/>
    </row>
    <row r="98" spans="1:9" ht="18.75" customHeight="1" x14ac:dyDescent="0.15">
      <c r="A98" s="40"/>
      <c r="B98" s="244"/>
      <c r="C98" s="245"/>
      <c r="D98" s="245"/>
      <c r="E98" s="245"/>
      <c r="F98" s="245"/>
      <c r="G98" s="245"/>
      <c r="H98" s="245"/>
      <c r="I98" s="246"/>
    </row>
    <row r="99" spans="1:9" ht="18.75" customHeight="1" x14ac:dyDescent="0.15">
      <c r="A99" s="40"/>
      <c r="B99" s="244"/>
      <c r="C99" s="245"/>
      <c r="D99" s="245"/>
      <c r="E99" s="245"/>
      <c r="F99" s="245"/>
      <c r="G99" s="245"/>
      <c r="H99" s="245"/>
      <c r="I99" s="246"/>
    </row>
    <row r="100" spans="1:9" ht="18.75" customHeight="1" x14ac:dyDescent="0.15">
      <c r="A100" s="40"/>
      <c r="B100" s="244"/>
      <c r="C100" s="245"/>
      <c r="D100" s="245"/>
      <c r="E100" s="245"/>
      <c r="F100" s="245"/>
      <c r="G100" s="245"/>
      <c r="H100" s="245"/>
      <c r="I100" s="246"/>
    </row>
    <row r="101" spans="1:9" ht="18.75" customHeight="1" x14ac:dyDescent="0.15">
      <c r="A101" s="40"/>
      <c r="B101" s="244"/>
      <c r="C101" s="245"/>
      <c r="D101" s="245"/>
      <c r="E101" s="245"/>
      <c r="F101" s="245"/>
      <c r="G101" s="245"/>
      <c r="H101" s="245"/>
      <c r="I101" s="246"/>
    </row>
    <row r="102" spans="1:9" ht="18.75" customHeight="1" x14ac:dyDescent="0.15">
      <c r="A102" s="40"/>
      <c r="B102" s="244"/>
      <c r="C102" s="245"/>
      <c r="D102" s="245"/>
      <c r="E102" s="245"/>
      <c r="F102" s="245"/>
      <c r="G102" s="245"/>
      <c r="H102" s="245"/>
      <c r="I102" s="246"/>
    </row>
    <row r="103" spans="1:9" ht="18.75" customHeight="1" x14ac:dyDescent="0.15">
      <c r="A103" s="40"/>
      <c r="B103" s="244"/>
      <c r="C103" s="245"/>
      <c r="D103" s="245"/>
      <c r="E103" s="245"/>
      <c r="F103" s="245"/>
      <c r="G103" s="245"/>
      <c r="H103" s="245"/>
      <c r="I103" s="246"/>
    </row>
    <row r="104" spans="1:9" ht="18.75" customHeight="1" x14ac:dyDescent="0.15">
      <c r="A104" s="40"/>
      <c r="B104" s="244"/>
      <c r="C104" s="245"/>
      <c r="D104" s="245"/>
      <c r="E104" s="245"/>
      <c r="F104" s="245"/>
      <c r="G104" s="245"/>
      <c r="H104" s="245"/>
      <c r="I104" s="246"/>
    </row>
    <row r="105" spans="1:9" ht="18.75" customHeight="1" x14ac:dyDescent="0.15">
      <c r="A105" s="70"/>
      <c r="B105" s="247"/>
      <c r="C105" s="248"/>
      <c r="D105" s="248"/>
      <c r="E105" s="248"/>
      <c r="F105" s="248"/>
      <c r="G105" s="248"/>
      <c r="H105" s="248"/>
      <c r="I105" s="249"/>
    </row>
    <row r="106" spans="1:9" ht="7.5" customHeight="1" x14ac:dyDescent="0.15">
      <c r="A106" s="70"/>
      <c r="B106" s="70"/>
      <c r="C106" s="70"/>
      <c r="D106" s="70"/>
      <c r="E106" s="70"/>
      <c r="F106" s="70"/>
      <c r="G106" s="70"/>
      <c r="H106" s="70"/>
      <c r="I106" s="70"/>
    </row>
    <row r="107" spans="1:9" ht="18.75" customHeight="1" x14ac:dyDescent="0.15">
      <c r="A107" s="40" t="s">
        <v>29</v>
      </c>
      <c r="B107" s="262" t="s">
        <v>45</v>
      </c>
      <c r="C107" s="262"/>
      <c r="D107" s="262"/>
      <c r="E107" s="262"/>
      <c r="F107" s="262"/>
      <c r="G107" s="262"/>
      <c r="H107" s="262"/>
      <c r="I107" s="262"/>
    </row>
    <row r="108" spans="1:9" ht="18.75" customHeight="1" x14ac:dyDescent="0.15">
      <c r="A108" s="70"/>
      <c r="B108" s="234" t="s">
        <v>160</v>
      </c>
      <c r="C108" s="235"/>
      <c r="D108" s="235"/>
      <c r="E108" s="235"/>
      <c r="F108" s="235"/>
      <c r="G108" s="235"/>
      <c r="H108" s="235"/>
      <c r="I108" s="243"/>
    </row>
    <row r="109" spans="1:9" ht="18.75" customHeight="1" x14ac:dyDescent="0.15">
      <c r="A109" s="70"/>
      <c r="B109" s="244"/>
      <c r="C109" s="245"/>
      <c r="D109" s="245"/>
      <c r="E109" s="245"/>
      <c r="F109" s="245"/>
      <c r="G109" s="245"/>
      <c r="H109" s="245"/>
      <c r="I109" s="246"/>
    </row>
    <row r="110" spans="1:9" ht="18.75" customHeight="1" x14ac:dyDescent="0.15">
      <c r="A110" s="70"/>
      <c r="B110" s="244"/>
      <c r="C110" s="245"/>
      <c r="D110" s="245"/>
      <c r="E110" s="245"/>
      <c r="F110" s="245"/>
      <c r="G110" s="245"/>
      <c r="H110" s="245"/>
      <c r="I110" s="246"/>
    </row>
    <row r="111" spans="1:9" ht="18.75" customHeight="1" x14ac:dyDescent="0.15">
      <c r="A111" s="70"/>
      <c r="B111" s="244"/>
      <c r="C111" s="245"/>
      <c r="D111" s="245"/>
      <c r="E111" s="245"/>
      <c r="F111" s="245"/>
      <c r="G111" s="245"/>
      <c r="H111" s="245"/>
      <c r="I111" s="246"/>
    </row>
    <row r="112" spans="1:9" ht="18.75" customHeight="1" x14ac:dyDescent="0.15">
      <c r="A112" s="70"/>
      <c r="B112" s="244"/>
      <c r="C112" s="245"/>
      <c r="D112" s="245"/>
      <c r="E112" s="245"/>
      <c r="F112" s="245"/>
      <c r="G112" s="245"/>
      <c r="H112" s="245"/>
      <c r="I112" s="246"/>
    </row>
    <row r="113" spans="1:9" ht="18.75" customHeight="1" x14ac:dyDescent="0.15">
      <c r="A113" s="70"/>
      <c r="B113" s="244"/>
      <c r="C113" s="245"/>
      <c r="D113" s="245"/>
      <c r="E113" s="245"/>
      <c r="F113" s="245"/>
      <c r="G113" s="245"/>
      <c r="H113" s="245"/>
      <c r="I113" s="246"/>
    </row>
    <row r="114" spans="1:9" ht="18.75" customHeight="1" x14ac:dyDescent="0.15">
      <c r="A114" s="70"/>
      <c r="B114" s="244"/>
      <c r="C114" s="245"/>
      <c r="D114" s="245"/>
      <c r="E114" s="245"/>
      <c r="F114" s="245"/>
      <c r="G114" s="245"/>
      <c r="H114" s="245"/>
      <c r="I114" s="246"/>
    </row>
    <row r="115" spans="1:9" ht="18.75" customHeight="1" x14ac:dyDescent="0.15">
      <c r="A115" s="70"/>
      <c r="B115" s="244"/>
      <c r="C115" s="245"/>
      <c r="D115" s="245"/>
      <c r="E115" s="245"/>
      <c r="F115" s="245"/>
      <c r="G115" s="245"/>
      <c r="H115" s="245"/>
      <c r="I115" s="246"/>
    </row>
    <row r="116" spans="1:9" ht="18.75" customHeight="1" x14ac:dyDescent="0.15">
      <c r="A116" s="70"/>
      <c r="B116" s="244"/>
      <c r="C116" s="245"/>
      <c r="D116" s="245"/>
      <c r="E116" s="245"/>
      <c r="F116" s="245"/>
      <c r="G116" s="245"/>
      <c r="H116" s="245"/>
      <c r="I116" s="246"/>
    </row>
    <row r="117" spans="1:9" ht="18.75" customHeight="1" x14ac:dyDescent="0.15">
      <c r="A117" s="70"/>
      <c r="B117" s="244"/>
      <c r="C117" s="245"/>
      <c r="D117" s="245"/>
      <c r="E117" s="245"/>
      <c r="F117" s="245"/>
      <c r="G117" s="245"/>
      <c r="H117" s="245"/>
      <c r="I117" s="246"/>
    </row>
    <row r="118" spans="1:9" ht="18.75" customHeight="1" x14ac:dyDescent="0.15">
      <c r="A118" s="70"/>
      <c r="B118" s="244"/>
      <c r="C118" s="245"/>
      <c r="D118" s="245"/>
      <c r="E118" s="245"/>
      <c r="F118" s="245"/>
      <c r="G118" s="245"/>
      <c r="H118" s="245"/>
      <c r="I118" s="246"/>
    </row>
    <row r="119" spans="1:9" ht="18.75" customHeight="1" x14ac:dyDescent="0.15">
      <c r="A119" s="70"/>
      <c r="B119" s="247"/>
      <c r="C119" s="248"/>
      <c r="D119" s="248"/>
      <c r="E119" s="248"/>
      <c r="F119" s="248"/>
      <c r="G119" s="248"/>
      <c r="H119" s="248"/>
      <c r="I119" s="249"/>
    </row>
    <row r="120" spans="1:9" ht="7.5" customHeight="1" x14ac:dyDescent="0.15">
      <c r="A120" s="70"/>
      <c r="B120" s="86"/>
      <c r="C120" s="86"/>
      <c r="D120" s="86"/>
      <c r="E120" s="86"/>
      <c r="F120" s="86"/>
      <c r="G120" s="86"/>
      <c r="H120" s="86"/>
      <c r="I120" s="86"/>
    </row>
    <row r="121" spans="1:9" ht="18.75" customHeight="1" x14ac:dyDescent="0.15">
      <c r="A121" s="70"/>
      <c r="B121" s="70"/>
      <c r="C121" s="70"/>
      <c r="D121" s="70"/>
      <c r="E121" s="70"/>
      <c r="F121" s="70"/>
      <c r="G121" s="70"/>
      <c r="H121" s="70"/>
      <c r="I121" s="70"/>
    </row>
    <row r="122" spans="1:9" ht="18.75" customHeight="1" x14ac:dyDescent="0.15">
      <c r="A122" s="70"/>
      <c r="B122" s="70"/>
      <c r="C122" s="70"/>
      <c r="D122" s="70"/>
      <c r="E122" s="70"/>
      <c r="F122" s="70"/>
      <c r="G122" s="70"/>
      <c r="H122" s="70"/>
      <c r="I122" s="70"/>
    </row>
    <row r="123" spans="1:9" ht="18.75" customHeight="1" x14ac:dyDescent="0.15">
      <c r="A123" s="70"/>
      <c r="B123" s="70"/>
      <c r="C123" s="70"/>
      <c r="D123" s="70"/>
      <c r="E123" s="70"/>
      <c r="F123" s="70"/>
      <c r="G123" s="70"/>
      <c r="H123" s="70"/>
      <c r="I123" s="70"/>
    </row>
    <row r="124" spans="1:9" ht="18.75" customHeight="1" x14ac:dyDescent="0.15">
      <c r="A124" s="70"/>
      <c r="B124" s="70"/>
      <c r="C124" s="70"/>
      <c r="D124" s="70"/>
      <c r="E124" s="70"/>
      <c r="F124" s="70"/>
      <c r="G124" s="70"/>
      <c r="H124" s="70"/>
      <c r="I124" s="70"/>
    </row>
    <row r="125" spans="1:9" ht="18.75" customHeight="1" x14ac:dyDescent="0.15">
      <c r="A125" s="70"/>
      <c r="B125" s="70"/>
      <c r="C125" s="70"/>
      <c r="D125" s="70"/>
      <c r="E125" s="70"/>
      <c r="F125" s="70"/>
      <c r="G125" s="70"/>
      <c r="H125" s="70"/>
      <c r="I125" s="70"/>
    </row>
    <row r="126" spans="1:9" ht="18.75" customHeight="1" x14ac:dyDescent="0.15">
      <c r="A126" s="70"/>
      <c r="B126" s="70"/>
      <c r="C126" s="70"/>
      <c r="D126" s="70"/>
      <c r="E126" s="70"/>
      <c r="F126" s="70"/>
      <c r="G126" s="70"/>
      <c r="H126" s="70"/>
      <c r="I126" s="70"/>
    </row>
    <row r="127" spans="1:9" ht="18.75" customHeight="1" x14ac:dyDescent="0.15">
      <c r="A127" s="70"/>
      <c r="B127" s="70"/>
      <c r="C127" s="70"/>
      <c r="D127" s="70"/>
      <c r="E127" s="70"/>
      <c r="F127" s="70"/>
      <c r="G127" s="70"/>
      <c r="H127" s="70"/>
      <c r="I127" s="70"/>
    </row>
    <row r="128" spans="1:9" ht="18.75" customHeight="1" x14ac:dyDescent="0.15">
      <c r="A128" s="70"/>
      <c r="B128" s="70"/>
      <c r="C128" s="70"/>
      <c r="D128" s="70"/>
      <c r="E128" s="70"/>
      <c r="F128" s="70"/>
      <c r="G128" s="70"/>
      <c r="H128" s="70"/>
      <c r="I128" s="70"/>
    </row>
    <row r="129" spans="1:9" ht="18.75" customHeight="1" x14ac:dyDescent="0.15">
      <c r="A129" s="70"/>
      <c r="B129" s="70"/>
      <c r="C129" s="70"/>
      <c r="D129" s="70"/>
      <c r="E129" s="70"/>
      <c r="F129" s="70"/>
      <c r="G129" s="70"/>
      <c r="H129" s="70"/>
      <c r="I129" s="70"/>
    </row>
    <row r="130" spans="1:9" ht="18.75" customHeight="1" x14ac:dyDescent="0.15">
      <c r="A130" s="70"/>
      <c r="B130" s="70"/>
      <c r="C130" s="70"/>
      <c r="D130" s="70"/>
      <c r="E130" s="70"/>
      <c r="F130" s="70"/>
      <c r="G130" s="70"/>
      <c r="H130" s="70"/>
      <c r="I130" s="70"/>
    </row>
    <row r="131" spans="1:9" ht="18.75" customHeight="1" x14ac:dyDescent="0.15">
      <c r="A131" s="70"/>
      <c r="B131" s="70"/>
      <c r="C131" s="70"/>
      <c r="D131" s="70"/>
      <c r="E131" s="70"/>
      <c r="F131" s="70"/>
      <c r="G131" s="70"/>
      <c r="H131" s="70"/>
      <c r="I131" s="70"/>
    </row>
    <row r="132" spans="1:9" ht="18.75" customHeight="1" x14ac:dyDescent="0.15">
      <c r="A132" s="70"/>
      <c r="B132" s="70"/>
      <c r="C132" s="70"/>
      <c r="D132" s="70"/>
      <c r="E132" s="70"/>
      <c r="F132" s="70"/>
      <c r="G132" s="70"/>
      <c r="H132" s="70"/>
      <c r="I132" s="70"/>
    </row>
    <row r="133" spans="1:9" ht="14.25" x14ac:dyDescent="0.15">
      <c r="A133" s="70"/>
      <c r="B133" s="70"/>
      <c r="C133" s="70"/>
      <c r="D133" s="70"/>
      <c r="E133" s="70"/>
      <c r="F133" s="70"/>
      <c r="G133" s="70"/>
      <c r="H133" s="70"/>
      <c r="I133" s="70"/>
    </row>
    <row r="134" spans="1:9" ht="7.5" customHeight="1" x14ac:dyDescent="0.15">
      <c r="A134" s="87"/>
      <c r="B134" s="87"/>
      <c r="C134" s="87"/>
      <c r="D134" s="87"/>
      <c r="E134" s="87"/>
      <c r="F134" s="87"/>
      <c r="G134" s="87"/>
      <c r="H134" s="87"/>
      <c r="I134" s="8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GridLines="0" showZeros="0" view="pageBreakPreview" zoomScaleNormal="100" zoomScaleSheetLayoutView="100" workbookViewId="0"/>
  </sheetViews>
  <sheetFormatPr defaultColWidth="11.375" defaultRowHeight="22.5" customHeight="1" x14ac:dyDescent="0.15"/>
  <cols>
    <col min="1" max="3" width="2.75" style="40" customWidth="1"/>
    <col min="4" max="4" width="22.25" style="40" customWidth="1"/>
    <col min="5" max="5" width="30.75" style="40" customWidth="1"/>
    <col min="6" max="7" width="7.75" style="40" customWidth="1"/>
    <col min="8" max="9" width="30.75" style="40" customWidth="1"/>
    <col min="10" max="16384" width="11.375" style="40"/>
  </cols>
  <sheetData>
    <row r="1" spans="1:9" ht="18.75" customHeight="1" x14ac:dyDescent="0.15">
      <c r="A1" s="40" t="s">
        <v>70</v>
      </c>
      <c r="I1" s="42" t="s">
        <v>103</v>
      </c>
    </row>
    <row r="2" spans="1:9" ht="18.75" customHeight="1" x14ac:dyDescent="0.15">
      <c r="H2" s="42" t="s">
        <v>107</v>
      </c>
      <c r="I2" s="67" t="s">
        <v>130</v>
      </c>
    </row>
    <row r="3" spans="1:9" ht="18.75" customHeight="1" x14ac:dyDescent="0.15">
      <c r="A3" s="196" t="s">
        <v>27</v>
      </c>
      <c r="B3" s="196"/>
      <c r="C3" s="196"/>
      <c r="D3" s="196"/>
      <c r="E3" s="196"/>
      <c r="F3" s="196"/>
      <c r="G3" s="196"/>
      <c r="H3" s="196"/>
      <c r="I3" s="196"/>
    </row>
    <row r="4" spans="1:9" ht="18.75" customHeight="1" x14ac:dyDescent="0.15">
      <c r="A4" s="68"/>
      <c r="B4" s="68"/>
      <c r="C4" s="68"/>
      <c r="D4" s="68"/>
      <c r="E4" s="68"/>
      <c r="F4" s="68"/>
      <c r="G4" s="68"/>
      <c r="H4" s="68"/>
      <c r="I4" s="68"/>
    </row>
    <row r="5" spans="1:9" ht="18.75" customHeight="1" x14ac:dyDescent="0.15">
      <c r="A5" s="40" t="s">
        <v>0</v>
      </c>
      <c r="B5" s="43" t="s">
        <v>94</v>
      </c>
      <c r="C5" s="68"/>
      <c r="D5" s="68"/>
      <c r="E5" s="68"/>
      <c r="F5" s="68"/>
      <c r="G5" s="68"/>
      <c r="H5" s="68"/>
      <c r="I5" s="68"/>
    </row>
    <row r="6" spans="1:9" ht="18.75" customHeight="1" x14ac:dyDescent="0.15">
      <c r="A6" s="68"/>
      <c r="B6" s="267" t="s">
        <v>136</v>
      </c>
      <c r="C6" s="289"/>
      <c r="D6" s="289"/>
      <c r="E6" s="289"/>
      <c r="F6" s="289"/>
      <c r="G6" s="289"/>
      <c r="H6" s="290"/>
      <c r="I6" s="41"/>
    </row>
    <row r="7" spans="1:9" ht="9" customHeight="1" x14ac:dyDescent="0.15">
      <c r="A7" s="68"/>
      <c r="B7" s="43"/>
      <c r="C7" s="43"/>
      <c r="D7" s="43"/>
      <c r="E7" s="43"/>
      <c r="F7" s="43"/>
      <c r="G7" s="43"/>
      <c r="H7" s="43"/>
      <c r="I7" s="41"/>
    </row>
    <row r="8" spans="1:9" ht="18.75" customHeight="1" x14ac:dyDescent="0.15">
      <c r="A8" s="68"/>
      <c r="B8" s="41"/>
      <c r="C8" s="41"/>
      <c r="D8" s="42" t="s">
        <v>42</v>
      </c>
      <c r="E8" s="69" t="s">
        <v>127</v>
      </c>
      <c r="F8" s="41"/>
      <c r="G8" s="42" t="s">
        <v>10</v>
      </c>
      <c r="H8" s="69" t="s">
        <v>128</v>
      </c>
      <c r="I8" s="41"/>
    </row>
    <row r="9" spans="1:9" ht="7.5" customHeight="1" x14ac:dyDescent="0.15">
      <c r="A9" s="68"/>
      <c r="B9" s="68"/>
      <c r="C9" s="68"/>
      <c r="D9" s="68"/>
      <c r="E9" s="68"/>
      <c r="F9" s="68"/>
      <c r="G9" s="68"/>
      <c r="H9" s="68"/>
      <c r="I9" s="68"/>
    </row>
    <row r="10" spans="1:9" ht="18.75" customHeight="1" x14ac:dyDescent="0.15">
      <c r="A10" s="40" t="s">
        <v>3</v>
      </c>
      <c r="B10" s="40" t="s">
        <v>26</v>
      </c>
      <c r="C10" s="70"/>
      <c r="D10" s="70"/>
      <c r="E10" s="70"/>
      <c r="F10" s="70"/>
      <c r="G10" s="70"/>
      <c r="H10" s="70"/>
      <c r="I10" s="70"/>
    </row>
    <row r="11" spans="1:9" ht="18.75" customHeight="1" x14ac:dyDescent="0.15">
      <c r="B11" s="158" t="s">
        <v>23</v>
      </c>
      <c r="C11" s="142"/>
      <c r="D11" s="143"/>
      <c r="E11" s="142" t="s">
        <v>25</v>
      </c>
      <c r="F11" s="142"/>
      <c r="G11" s="142"/>
      <c r="H11" s="142"/>
      <c r="I11" s="143"/>
    </row>
    <row r="12" spans="1:9" ht="26.25" customHeight="1" x14ac:dyDescent="0.15">
      <c r="B12" s="71" t="s">
        <v>13</v>
      </c>
      <c r="C12" s="72"/>
      <c r="D12" s="73"/>
      <c r="E12" s="74"/>
      <c r="F12" s="74"/>
      <c r="G12" s="74"/>
      <c r="H12" s="74"/>
      <c r="I12" s="73"/>
    </row>
    <row r="13" spans="1:9" ht="210.75" customHeight="1" x14ac:dyDescent="0.15">
      <c r="B13" s="75"/>
      <c r="C13" s="277" t="s">
        <v>14</v>
      </c>
      <c r="D13" s="278"/>
      <c r="E13" s="286" t="s">
        <v>150</v>
      </c>
      <c r="F13" s="284"/>
      <c r="G13" s="284"/>
      <c r="H13" s="284"/>
      <c r="I13" s="285"/>
    </row>
    <row r="14" spans="1:9" ht="210.75" customHeight="1" x14ac:dyDescent="0.15">
      <c r="B14" s="75"/>
      <c r="C14" s="287" t="s">
        <v>15</v>
      </c>
      <c r="D14" s="288"/>
      <c r="E14" s="286" t="s">
        <v>151</v>
      </c>
      <c r="F14" s="284"/>
      <c r="G14" s="284"/>
      <c r="H14" s="284"/>
      <c r="I14" s="285"/>
    </row>
    <row r="15" spans="1:9" ht="210.75" customHeight="1" x14ac:dyDescent="0.15">
      <c r="B15" s="75"/>
      <c r="C15" s="277" t="s">
        <v>16</v>
      </c>
      <c r="D15" s="278"/>
      <c r="E15" s="286" t="s">
        <v>152</v>
      </c>
      <c r="F15" s="284"/>
      <c r="G15" s="284"/>
      <c r="H15" s="284"/>
      <c r="I15" s="285"/>
    </row>
    <row r="16" spans="1:9" ht="210.75" customHeight="1" x14ac:dyDescent="0.15">
      <c r="B16" s="75"/>
      <c r="C16" s="277" t="s">
        <v>17</v>
      </c>
      <c r="D16" s="278"/>
      <c r="E16" s="286" t="s">
        <v>137</v>
      </c>
      <c r="F16" s="284"/>
      <c r="G16" s="284"/>
      <c r="H16" s="284"/>
      <c r="I16" s="285"/>
    </row>
    <row r="17" spans="2:9" ht="210.75" customHeight="1" x14ac:dyDescent="0.15">
      <c r="B17" s="76"/>
      <c r="C17" s="279" t="s">
        <v>18</v>
      </c>
      <c r="D17" s="280"/>
      <c r="E17" s="286" t="s">
        <v>153</v>
      </c>
      <c r="F17" s="284"/>
      <c r="G17" s="284"/>
      <c r="H17" s="284"/>
      <c r="I17" s="285"/>
    </row>
    <row r="18" spans="2:9" ht="24" customHeight="1" x14ac:dyDescent="0.15">
      <c r="B18" s="71" t="s">
        <v>19</v>
      </c>
      <c r="C18" s="77"/>
      <c r="D18" s="78"/>
      <c r="E18" s="79"/>
      <c r="F18" s="79"/>
      <c r="G18" s="79"/>
      <c r="H18" s="79"/>
      <c r="I18" s="80"/>
    </row>
    <row r="19" spans="2:9" ht="218.25" customHeight="1" x14ac:dyDescent="0.15">
      <c r="B19" s="75"/>
      <c r="C19" s="277" t="s">
        <v>20</v>
      </c>
      <c r="D19" s="278"/>
      <c r="E19" s="284" t="s">
        <v>154</v>
      </c>
      <c r="F19" s="284"/>
      <c r="G19" s="284"/>
      <c r="H19" s="284"/>
      <c r="I19" s="285"/>
    </row>
    <row r="20" spans="2:9" ht="218.25" customHeight="1" x14ac:dyDescent="0.15">
      <c r="B20" s="76"/>
      <c r="C20" s="279" t="s">
        <v>21</v>
      </c>
      <c r="D20" s="280"/>
      <c r="E20" s="284" t="s">
        <v>155</v>
      </c>
      <c r="F20" s="284"/>
      <c r="G20" s="284"/>
      <c r="H20" s="284"/>
      <c r="I20" s="285"/>
    </row>
    <row r="21" spans="2:9" ht="218.25" customHeight="1" x14ac:dyDescent="0.15">
      <c r="B21" s="281" t="s">
        <v>22</v>
      </c>
      <c r="C21" s="282"/>
      <c r="D21" s="283"/>
      <c r="E21" s="284" t="s">
        <v>138</v>
      </c>
      <c r="F21" s="284"/>
      <c r="G21" s="284"/>
      <c r="H21" s="284"/>
      <c r="I21" s="285"/>
    </row>
    <row r="22" spans="2:9" ht="218.25" customHeight="1" x14ac:dyDescent="0.15">
      <c r="B22" s="274" t="s">
        <v>37</v>
      </c>
      <c r="C22" s="275"/>
      <c r="D22" s="276"/>
      <c r="E22" s="241" t="s">
        <v>139</v>
      </c>
      <c r="F22" s="241"/>
      <c r="G22" s="241"/>
      <c r="H22" s="241"/>
      <c r="I22" s="242"/>
    </row>
    <row r="23" spans="2:9" ht="22.5" customHeight="1" x14ac:dyDescent="0.15">
      <c r="B23" s="70"/>
      <c r="C23" s="70"/>
      <c r="D23" s="70"/>
      <c r="E23" s="70"/>
      <c r="F23" s="70"/>
      <c r="G23" s="70"/>
      <c r="H23" s="70"/>
      <c r="I23" s="70"/>
    </row>
    <row r="24" spans="2:9" ht="22.5" customHeight="1" x14ac:dyDescent="0.15">
      <c r="B24" s="70"/>
      <c r="C24" s="70"/>
      <c r="D24" s="70"/>
      <c r="E24" s="70"/>
      <c r="F24" s="70"/>
      <c r="G24" s="70"/>
      <c r="H24" s="70"/>
      <c r="I24" s="70"/>
    </row>
    <row r="25" spans="2:9" ht="22.5" customHeight="1" x14ac:dyDescent="0.15">
      <c r="B25" s="70"/>
      <c r="C25" s="70"/>
      <c r="D25" s="70"/>
      <c r="E25" s="70"/>
      <c r="F25" s="70"/>
      <c r="G25" s="70"/>
      <c r="H25" s="70"/>
      <c r="I25" s="70"/>
    </row>
    <row r="26" spans="2:9" ht="22.5" customHeight="1" x14ac:dyDescent="0.15">
      <c r="B26" s="70"/>
      <c r="C26" s="70"/>
      <c r="D26" s="70"/>
      <c r="E26" s="70"/>
      <c r="F26" s="70"/>
      <c r="G26" s="70"/>
      <c r="H26" s="70"/>
      <c r="I26" s="70"/>
    </row>
    <row r="27" spans="2:9" ht="22.5" customHeight="1" x14ac:dyDescent="0.15">
      <c r="B27" s="70"/>
      <c r="C27" s="70"/>
      <c r="D27" s="70"/>
      <c r="E27" s="70"/>
      <c r="F27" s="70"/>
      <c r="G27" s="70"/>
      <c r="H27" s="70"/>
      <c r="I27" s="70"/>
    </row>
    <row r="28" spans="2:9" ht="22.5" customHeight="1" x14ac:dyDescent="0.15">
      <c r="B28" s="50"/>
      <c r="C28" s="50"/>
      <c r="D28" s="50"/>
      <c r="E28" s="50"/>
      <c r="F28" s="50"/>
      <c r="G28" s="50"/>
      <c r="H28" s="50"/>
      <c r="I28" s="50"/>
    </row>
    <row r="29" spans="2:9" ht="22.5" customHeight="1" x14ac:dyDescent="0.15">
      <c r="B29" s="50"/>
      <c r="C29" s="50"/>
      <c r="D29" s="50"/>
      <c r="E29" s="50"/>
      <c r="F29" s="50"/>
      <c r="G29" s="50"/>
      <c r="H29" s="50"/>
      <c r="I29" s="50"/>
    </row>
    <row r="30" spans="2:9" ht="22.5" customHeight="1" x14ac:dyDescent="0.15">
      <c r="B30" s="50"/>
      <c r="C30" s="50"/>
      <c r="D30" s="50"/>
      <c r="E30" s="50"/>
      <c r="F30" s="50"/>
      <c r="G30" s="50"/>
      <c r="H30" s="50"/>
      <c r="I30" s="50"/>
    </row>
  </sheetData>
  <mergeCells count="22">
    <mergeCell ref="C14:D14"/>
    <mergeCell ref="A3:I3"/>
    <mergeCell ref="B11:D11"/>
    <mergeCell ref="E11:I11"/>
    <mergeCell ref="C13:D13"/>
    <mergeCell ref="B6:H6"/>
    <mergeCell ref="E13:I13"/>
    <mergeCell ref="E14:I14"/>
    <mergeCell ref="C15:D15"/>
    <mergeCell ref="C16:D16"/>
    <mergeCell ref="C17:D17"/>
    <mergeCell ref="E15:I15"/>
    <mergeCell ref="E16:I16"/>
    <mergeCell ref="E17:I17"/>
    <mergeCell ref="B22:D22"/>
    <mergeCell ref="C19:D19"/>
    <mergeCell ref="C20:D20"/>
    <mergeCell ref="B21:D21"/>
    <mergeCell ref="E19:I19"/>
    <mergeCell ref="E20:I20"/>
    <mergeCell ref="E21:I21"/>
    <mergeCell ref="E22:I22"/>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様式１－１　プログラムを構成する授業科目 </vt:lpstr>
      <vt:lpstr>様式２ 履修者等数の実績</vt:lpstr>
      <vt:lpstr>様式３ 教育の質・履修者数を向上させるための体制・計画</vt:lpstr>
      <vt:lpstr>様式４　自己点検・評価</vt:lpstr>
      <vt:lpstr>'様式１－１　プログラムを構成する授業科目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和洋女子大学</cp:lastModifiedBy>
  <cp:lastPrinted>2023-08-09T03:57:25Z</cp:lastPrinted>
  <dcterms:created xsi:type="dcterms:W3CDTF">2011-06-14T05:32:50Z</dcterms:created>
  <dcterms:modified xsi:type="dcterms:W3CDTF">2023-08-09T03:57:54Z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