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taroryu369\Box\【所属課共有】 241 教務課（共通担当）\共通教育研究センター\79．数理・データサイエンス教育\04_認定制度\101_文科省再提出\01_福岡大学_リテラシー（作業用）\"/>
    </mc:Choice>
  </mc:AlternateContent>
  <bookViews>
    <workbookView xWindow="-105" yWindow="-105" windowWidth="19425" windowHeight="11505"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<sst xmlns="http://schemas.openxmlformats.org/spreadsheetml/2006/main" count="305" uniqueCount="178">
  <si>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</si>
  <si>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</si>
  <si>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</si>
  <si>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</si>
  <si>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</si>
  <si>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</si>
  <si>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</si>
  <si>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</si>
  <si>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</si>
  <si>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</si>
  <si>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</si>
  <si>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</si>
  <si>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</si>
  <si>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</si>
  <si>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</si>
  <si>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</si>
  <si>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</si>
  <si>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</si>
  <si>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</si>
  <si>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</si>
  <si>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</si>
  <si>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</si>
  <si>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</si>
  <si>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</si>
  <si>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</si>
  <si>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</si>
  <si>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</si>
  <si>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</si>
  <si>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</si>
  <si>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</si>
  <si>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</si>
  <si>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</si>
  <si>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</si>
  <si>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</si>
  <si>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</si>
  <si>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</si>
  <si>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</si>
  <si>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</si>
  <si>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</si>
  <si>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</si>
  <si>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</si>
  <si>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</si>
  <si>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</si>
  <si>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</si>
  <si>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</si>
  <si>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</si>
  <si>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</si>
  <si>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</si>
  <si>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</si>
  <si>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</si>
  <si>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</si>
  <si>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</si>
  <si>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</si>
  <si>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</si>
  <si>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</si>
  <si>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</si>
  <si>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</si>
  <si>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</si>
  <si>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</si>
  <si>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</si>
  <si>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</si>
  <si>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</si>
  <si>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</si>
  <si>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</si>
  <si>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</si>
  <si>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</si>
  <si>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</si>
  <si>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</si>
  <si>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</si>
  <si>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</si>
  <si>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</si>
  <si>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</si>
  <si>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</si>
  <si>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</si>
  <si>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</si>
  <si>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</si>
  <si>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</si>
  <si>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</si>
  <si>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</si>
  <si>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</si>
  <si>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</si>
  <si>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</si>
  <si>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</si>
  <si>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</si>
  <si>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</si>
  <si>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</si>
  <si>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</si>
  <si>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</si>
  <si>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</si>
  <si>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</si>
  <si>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</si>
  <si>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</si>
  <si>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</si>
  <si>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</si>
  <si>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</si>
  <si>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</si>
  <si>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</si>
  <si>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</si>
  <si>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</si>
  <si>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</si>
  <si>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</si>
  <si>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</si>
  <si>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</si>
  <si>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</si>
  <si>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</si>
  <si>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</si>
  <si>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</si>
  <si>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</si>
  <si>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</si>
  <si>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</si>
  <si>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</si>
  <si>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</si>
  <si>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</si>
  <si>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</si>
  <si>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</si>
  <si>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</si>
  <si>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</si>
  <si>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</si>
  <si>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</si>
  <si>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</si>
  <si>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</si>
  <si>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</si>
  <si>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</si>
  <si>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</si>
  <si>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</si>
  <si>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</si>
  <si>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学部・学科によって、修了要件は相違しない</t>
  </si>
  <si>
    <t>データサイエンス・AI入門</t>
    <rPh sb="11" eb="13">
      <t>ニュウモン</t>
    </rPh>
    <phoneticPr fontId="1"/>
  </si>
  <si>
    <t>○</t>
  </si>
  <si>
    <t>① AI・データサイエンスの必要性を説明できる、② 社会で活用されているデータ・AI活用の事例を例示できる、③ どのような思考方法でデータを扱うか説明できる、④ データを読み、説明することができる、⑤ Excelなどの汎用ソフトウエアを用いて典型的なデータを扱うことができる⑥ データ・AIを扱う上での留意事項を説明できる、⑦ 数理・データサイエンス・AIについて自ら学び、活かす姿勢が身に付いている</t>
    <phoneticPr fontId="1"/>
  </si>
  <si>
    <t>令和4</t>
    <rPh sb="0" eb="2">
      <t>レイワ</t>
    </rPh>
    <phoneticPr fontId="1"/>
  </si>
  <si>
    <t>人文学部</t>
    <rPh sb="0" eb="4">
      <t>ジンブンガクブ</t>
    </rPh>
    <phoneticPr fontId="1"/>
  </si>
  <si>
    <t>法学部</t>
    <rPh sb="0" eb="3">
      <t>ホウガクブ</t>
    </rPh>
    <phoneticPr fontId="1"/>
  </si>
  <si>
    <t>経済学部</t>
    <rPh sb="0" eb="4">
      <t>ケイザイガクブ</t>
    </rPh>
    <phoneticPr fontId="1"/>
  </si>
  <si>
    <t>商学部</t>
    <rPh sb="0" eb="3">
      <t>ショウガクブ</t>
    </rPh>
    <phoneticPr fontId="1"/>
  </si>
  <si>
    <t>商学部第二部</t>
    <rPh sb="0" eb="6">
      <t>ショウガクブダイニブ</t>
    </rPh>
    <phoneticPr fontId="1"/>
  </si>
  <si>
    <t>理学部</t>
    <rPh sb="0" eb="3">
      <t>リガクブ</t>
    </rPh>
    <phoneticPr fontId="1"/>
  </si>
  <si>
    <t>工学部</t>
    <rPh sb="0" eb="3">
      <t>コウガクブ</t>
    </rPh>
    <phoneticPr fontId="1"/>
  </si>
  <si>
    <t>医学部</t>
    <rPh sb="0" eb="3">
      <t>イガクブ</t>
    </rPh>
    <phoneticPr fontId="1"/>
  </si>
  <si>
    <t>薬学部</t>
    <rPh sb="0" eb="3">
      <t>ヤクガクブ</t>
    </rPh>
    <phoneticPr fontId="1"/>
  </si>
  <si>
    <t>スポーツ科学部</t>
    <rPh sb="4" eb="7">
      <t>カガクブ</t>
    </rPh>
    <phoneticPr fontId="1"/>
  </si>
  <si>
    <t>福岡大学データサイエンス教育プログラム（リテラシーレベル）</t>
    <rPh sb="0" eb="4">
      <t>フクオカダイガク</t>
    </rPh>
    <rPh sb="12" eb="14">
      <t>キョウイク</t>
    </rPh>
    <phoneticPr fontId="1"/>
  </si>
  <si>
    <t>「データサイエンス・AI入門」（2単位）を履修し、単位を修得すること</t>
    <rPh sb="12" eb="14">
      <t>ニュウモン</t>
    </rPh>
    <rPh sb="28" eb="30">
      <t>シュウトク</t>
    </rPh>
    <phoneticPr fontId="1"/>
  </si>
  <si>
    <t>第8回　データ・AIを活用した新しいビジネス（犯罪予測、農作業の意思決定支援、ダイナミックプライシング、個人信用評価）、データ・AIに関連した新技術（敵対的生成ネットワーク、強化学習、転移学習）、新ビジネスがなぜ小さな企業から生まれやすいのか（経営資源取得の容易化、起業コストの低下、グローバル展開の容易化）</t>
    <phoneticPr fontId="1"/>
  </si>
  <si>
    <t>第4回　AIの定義、AIの歴史（推論・探索の時代、知識の時代、機械学習・ディープラーニングの時代）、業種別のAI活用領域、人間に近づくAI</t>
    <phoneticPr fontId="1"/>
  </si>
  <si>
    <t>第3回　社会で活用されているデータの実例（統計データ、人の行動ログデータ、機械の稼働ログデータ）、データの分類（1次データ／2次データ、外部データ／内部データ、構造化／準構造化／非構造化データ）、データのオープン化（オープンデータ、SF Open Data、Crimespotting、Yelp）</t>
    <phoneticPr fontId="1"/>
  </si>
  <si>
    <t>第7回　製造業のデータ・AI活用（建設機械の挙動・状況把握、デジタル複合機のリモート管理、自動運転、スマートグラス）、小売業のデータ・AI活用（ID-POS、Amazon GO）、サービス業のデータ・AI活用（ロボアドバイザリー、無担保融資、オンライン融資）、公共・インフラ業のデータ・AI活用（スマートメーター、橋梁モニタリング、MaaS）、データ・AI活用による新しいビジネス領域（シェアリングエコノミー、DtoC、スマートシティ）</t>
    <phoneticPr fontId="1"/>
  </si>
  <si>
    <t>第15回　情報セキュリティ（機密性・完全性・可用性、情報漏えい、不正のトライアングル）、コンピュータウイルス（コンピュータウイルス、サイバー攻撃、サイバー攻撃への対応、情報セキュリティ脅威事例）、セキュリティ技術（暗号技術、認証技術）</t>
    <phoneticPr fontId="1"/>
  </si>
  <si>
    <t>第9回　データの種類（量的変数と質的変数、尺度、離散変数と連続変数）、データの代表値（計算的代表値、位置的代表値）、データのばらつき（分散、標準偏差、偏差値）、データのチェック（欠損、外れ値、異常値、データクレンジング）
第10回　相関と因果（相関関係、因果関係、疑似相関、アンスコムの例）、母集団と抽出（全数調査、標本調査、単純無作為抽出法、層別抽出法）、統計情報の正しい理解（認知バイアス、印象操作）</t>
    <phoneticPr fontId="1"/>
  </si>
  <si>
    <t>第11回　グラフをつくる（棒グラフ／円グラフ／レーダーチャート、折れ線グラフ／面グラフ、散布図、ヒートマップ）、データの比較（条件をそろえた比較、処理の前後の比較、異なる施策による効果の比較）、適切なグラフ表現（適切なグラフ表現、チャートジャンク）、優れたデータ可視化事例（コレラマップ、ナポレオンによる侵攻のマップ、世界保健チャート）</t>
    <phoneticPr fontId="1"/>
  </si>
  <si>
    <t>第12回　演習Ⅰ「新店舗の売上を予測する」（新店舗の売上高予測）、演習Ⅱ「成績の良くない店舗の顧客を分析する」（顧客層別の可視化、分析）、演習Ⅲ「顧客の不満を把握する」（顧客満足度調査データの分析）、演習Ⅳ「顧客不満の詳細な要因を探る」（テキストマイニングツールの活用）</t>
    <phoneticPr fontId="1"/>
  </si>
  <si>
    <t>第1回　はじめに、データサイエンスとは、データサイエンスが重要視される背景、データ活用を支援するデジタル技術のキーワード（ビッグデータ、IoT、AI）
第2回　日本企業の国際競争力低下、市場の大きな変化、デジタル技術の発展（デジタルビジネス、デジタルトランスフォーメーション）、デジタル社会の提言（第4次産業革命、Industrie4.0、データ駆動型社会、Society5.0）</t>
    <phoneticPr fontId="1"/>
  </si>
  <si>
    <t>香野　淳</t>
    <rPh sb="0" eb="2">
      <t>コウノ</t>
    </rPh>
    <rPh sb="3" eb="4">
      <t>ジュン</t>
    </rPh>
    <phoneticPr fontId="1"/>
  </si>
  <si>
    <t>数理・データサイエンス・AI リテラシー教育部会</t>
    <phoneticPr fontId="1"/>
  </si>
  <si>
    <t>数理・データサイエンス・AI リテラシー教育部会　部会長</t>
    <rPh sb="0" eb="2">
      <t>スウリ</t>
    </rPh>
    <rPh sb="20" eb="22">
      <t>キョウイク</t>
    </rPh>
    <rPh sb="22" eb="24">
      <t>ブカイ</t>
    </rPh>
    <rPh sb="25" eb="28">
      <t>ブカイチョウ</t>
    </rPh>
    <phoneticPr fontId="1"/>
  </si>
  <si>
    <t>第5回　データ認識技術（画像認識技術、文字認識技術、音声認識技術、顔認証技術）、AI技術、AIの課題、AIの難問、AIが社会にもたらす影響
第6回　データの定義（データの定義）、データ活用のモデル（DIKWモデル、SECIモデル）、データ分析のアプローチ（データ分析のプロセス、ロジックツリー、探索的データ解析、データの前処理、決定木）、データ分析においてより大きな価値を生む領域</t>
    <phoneticPr fontId="1"/>
  </si>
  <si>
    <t>福岡大学教務部規程、福岡大学教務委員会規程、福岡大学教務部共通教育センター規程</t>
    <rPh sb="0" eb="2">
      <t>フクオカ</t>
    </rPh>
    <rPh sb="2" eb="4">
      <t>ダイガク</t>
    </rPh>
    <rPh sb="4" eb="6">
      <t>キョウム</t>
    </rPh>
    <rPh sb="6" eb="7">
      <t>ブ</t>
    </rPh>
    <rPh sb="7" eb="9">
      <t>キテイ</t>
    </rPh>
    <rPh sb="10" eb="12">
      <t>フクオカ</t>
    </rPh>
    <rPh sb="12" eb="14">
      <t>ダイガク</t>
    </rPh>
    <rPh sb="14" eb="19">
      <t>キョウムイインカイ</t>
    </rPh>
    <rPh sb="19" eb="21">
      <t>キテイ</t>
    </rPh>
    <phoneticPr fontId="1"/>
  </si>
  <si>
    <t>数理・データ サイエ ンス・ＡＩリテラシー教育部会</t>
    <phoneticPr fontId="1"/>
  </si>
  <si>
    <t>香野　淳</t>
    <rPh sb="0" eb="4">
      <t>コウノアツシ</t>
    </rPh>
    <phoneticPr fontId="1"/>
  </si>
  <si>
    <t>第13回　「ELSI」とは何か（データ・AIに関連する「ELSI」等、データに関する不正行為（ねつ造・改ざん・盗用等）、個人情報の保護（プライバシーの権利、個人情報保護法、オプトイン／オプトアウト等）、個人情報は誰が管理すべきか（個人情報管理主体（他者・自身）によるメリット・デメリット）
第14回　バイアスとは、データ収集におけるバイアス（スナップショット調査、継続調査におけるバイアス等）、データ・AIを扱う上でのバイアス（データバイアス、アルゴリズムバイアスの発生事例等）、AIの正しい活用に向けて（AI活用のための原則、人間中心のAI社会原則）</t>
    <rPh sb="33" eb="34">
      <t>ナド</t>
    </rPh>
    <rPh sb="57" eb="58">
      <t>トウ</t>
    </rPh>
    <rPh sb="98" eb="99">
      <t>トウ</t>
    </rPh>
    <rPh sb="194" eb="195">
      <t>ナド</t>
    </rPh>
    <rPh sb="237" eb="238">
      <t>ナド</t>
    </rPh>
    <phoneticPr fontId="1"/>
  </si>
  <si>
    <t xml:space="preserve">　本プログラムの科目はe-Learning教材を活用した授業であり、学生はインターネットを介していつでも、どこでも学ぶことができ、かつ個々の習熟度に合わせて学習できるように講義動画や確認テストは何度でも受講できるようにしている。また、毎回の講義で手書き授業メモを作成、FU_box（クラウドストレージ）に提出させるシステムを作って着実な学習を促している。
　学習支援の一環として、成績評価項目の達成度をFU_box上で随時確認できる環境を整えている。また、説明会・質問会を随時開催し、対面で質問・意見交換できる機会を設けている。さらに、いつでも質問できる場および他者の考えを知る場として「FUポータル」に意見交換用BBSを開設している。学生の受講状況を解析、可視化して教育部会および教務委員会で報告し、各学部の教員は受講指導に協力している。
</t>
    <rPh sb="1" eb="2">
      <t>ホン</t>
    </rPh>
    <rPh sb="8" eb="10">
      <t>カモク</t>
    </rPh>
    <rPh sb="355" eb="357">
      <t>キョウイン</t>
    </rPh>
    <phoneticPr fontId="1"/>
  </si>
  <si>
    <t>数理・データサイエンス・AIリテラシー教育部会
・部会長（プログラム責任者を兼ねる）：香野　淳教授（理学部・共通教育センター長）
・文系学部、理系学部の教務委員から各１名
・科目責任者：瀬川　波子教授（情報基盤センター・情報基盤センター長）
・部会長が必要と認めた者：複数名
・事務所管：教務一課</t>
    <rPh sb="43" eb="45">
      <t>コウノ</t>
    </rPh>
    <rPh sb="47" eb="49">
      <t>キョウジュ</t>
    </rPh>
    <rPh sb="89" eb="92">
      <t>セキニンシャ</t>
    </rPh>
    <rPh sb="93" eb="95">
      <t>セガワ</t>
    </rPh>
    <rPh sb="96" eb="98">
      <t>ナミコ</t>
    </rPh>
    <rPh sb="98" eb="100">
      <t>キョウジュ</t>
    </rPh>
    <rPh sb="101" eb="105">
      <t>ジョウホウキバン</t>
    </rPh>
    <rPh sb="110" eb="114">
      <t>ジョウホウキバン</t>
    </rPh>
    <rPh sb="118" eb="119">
      <t>チョウ</t>
    </rPh>
    <rPh sb="134" eb="137">
      <t>フクスウメイ</t>
    </rPh>
    <phoneticPr fontId="1"/>
  </si>
  <si>
    <t xml:space="preserve">　履修者数、単位取得率等の状況、さらに学期中の受講状況については、科目担当者および数理・データサイエンス・AIリテラシー教育部会（以下、教育部会）の構成員が分析・解析を行い常時把握している。また、定期的に受講状況の分析・解析結果をBIツールなどで可視化し、教育部会で共有、把握したうえで、上部組織である全学の教務委員会に報告して、各学部の教務委員等が受講指導を行う仕組みとなっている。さらに、各学期の終了後、教育部会においてそれらの情報を共有したうえで、課題と改善案について議論し、次期に向けた具体的な対応案を決めている。それらは教務委員会で報告され、全学部に共有されている。
</t>
    <rPh sb="169" eb="173">
      <t>キョウムイイン</t>
    </rPh>
    <rPh sb="173" eb="174">
      <t>トウ</t>
    </rPh>
    <phoneticPr fontId="1"/>
  </si>
  <si>
    <t xml:space="preserve">　確認テスト・課題等の客観的な評価に加え、学生の「自己評価」（必須回答項目）を合わせて分析することにより、学生の学習成果、理解度を総合的に把握している。また、説明会・質問会において学生の声を直接聞き、学びの状況と理解度の把握に努めている。さらに、メールでの問い合わせや質問をデータとして把握、分析し、学習の進捗状況や理解度の把握に活用している（教育部会等で報告）。公開可能なデータや学生の声をホームページ等に掲載していく予定である。
　一方、本プログラム・科目の情報は学生間で共有されているようであるが、それらを収集するため、アンケート等で修了者の声を集める方策を検討する。
</t>
    <rPh sb="33" eb="35">
      <t>カイトウ</t>
    </rPh>
    <rPh sb="256" eb="258">
      <t>シュウシュウ</t>
    </rPh>
    <phoneticPr fontId="1"/>
  </si>
  <si>
    <t xml:space="preserve">　数理・データサイエンス・AI教育強化拠点コンソーシアムの活動を通じて、他大学で実施されている産業界との連携プログラムを研究、参考にして、本プログラムの科目内容を見直し、内容を充実させていく。特に、高校新カリキュラムで学んだ新入生を迎える令和7年度には内容を刷新できるよう準備を進めて行く必要があると考えている。また、今後は学内の組織と連携し、産業界の要望や求める人材像等に関する調査を行う等の取り組みを通じて、本プログラムの改善を図っていくことを考えている。
</t>
    <rPh sb="162" eb="164">
      <t>ガクナイ</t>
    </rPh>
    <rPh sb="165" eb="167">
      <t>ソシキ</t>
    </rPh>
    <phoneticPr fontId="1"/>
  </si>
  <si>
    <t xml:space="preserve">　本プログラムの科目では、確認テスト・課題等の客観的な評価に加え、学生の「自己評価」（必須回答項目）を合わせて分析することにより、学生の学習成果、理解度を総合的に把握している。「自己評価」には、テスト等の点数では読み取れない学生自身の学びの感覚・実感が現れていると考えられるので、その分析結果をもとに「分かりやすさ」という観点から授業の内容や与える課題等について見直しを検討し、さらには学習方法に関する指導や支援の仕方などについても改善を検討している。
</t>
    <rPh sb="1" eb="2">
      <t>ホン</t>
    </rPh>
    <rPh sb="8" eb="10">
      <t>カモク</t>
    </rPh>
    <rPh sb="45" eb="47">
      <t>カイトウ</t>
    </rPh>
    <phoneticPr fontId="1"/>
  </si>
  <si>
    <r>
      <t>　本プログラムの科目は認定制度（リテラシーレベル）のモデルカリキュラムに準拠した科目であり、文系・理系を問わず学修基盤を作るための科目として、データリテラシーやAIの基礎を学ぶ1年次の入門科目と位置付けている。そのため、特に「導入」に関する内容には8回の講義回を使い、データサイエンスを学ぶ背景からデータ・AIの利活用の現場や最新動向までをしっかり学ぶことができる。身近に感じられる多くの事例をまじえて学ぶことにより、学ぶ意義を実感をもって理解できる。また、データを読む・説明する・扱う単元では、ソフトウエアを使って実際に数値や関数を入力しながら体験的に学ぶことができる内容としている。</t>
    </r>
    <r>
      <rPr>
        <sz val="12"/>
        <color rgb="FFFF0000"/>
        <rFont val="ＭＳ Ｐゴシック"/>
        <family val="3"/>
        <charset val="128"/>
        <scheme val="minor"/>
      </rPr>
      <t/>
    </r>
    <rPh sb="11" eb="15">
      <t>ニンテイセイド</t>
    </rPh>
    <rPh sb="255" eb="256">
      <t>ツカ</t>
    </rPh>
    <phoneticPr fontId="1"/>
  </si>
  <si>
    <t xml:space="preserve">　学生の受講状況は、科目担当者と教育部会において分析、可視化され、常時把握されている（補足資料１）。e-Learning授業では、自らの学習を振り返る「自己評価」を単元ごとに設けている（必須回答項目）。「自己評価」と、確認テスト・課題等の客観的な評価を合わせて分析することで、学習成果、理解度を総合的に把握することができる。それらの分析結果は教育部会で共有され、本教育プログラムの評価、課題・問題の検討と改善に活用されており、全学の教務委員会においても報告されている。なお、令和4年度の自己評価では、全ての単元について受講生の9割が内容を理解できていることが分かった（補足資料２）。
</t>
    <phoneticPr fontId="1"/>
  </si>
  <si>
    <r>
      <t xml:space="preserve">履修者数・履修率の向上に向けた計画 </t>
    </r>
    <r>
      <rPr>
        <sz val="6"/>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</si>
  <si>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 xml:space="preserve">　全学生に配布される「学修ガイド」、新入生全員に配布される「福大生のための学習ナビ」において、科目の紹介ページを設け、かつ科目紹介リーフレットを作成し、新入生一人一人に配付することにより、すべての新入生の目に触れる形で周知し、本プログラムの履修を促している。さらに、共通教育センターホームページ内に本プログラム専用のWebページを作成して情報を集約し、かつ各種資料やリーフレットにはWebページのリンクやQRコードを掲載することで、学生が本プログラムの情報源にスムーズにたどり着けるよう工夫している。
　本学独自の取り組みとして、1回目の授業をオンデマンド型の「スタートアップ授業」として実施しており、そこでの説明動画や資料は履修登録前から視聴・閲覧できるようになっている。これは、全学部の学生に本科目の内容や特徴などを周知するための重要な取り組みともなっている。
</t>
    <phoneticPr fontId="1"/>
  </si>
  <si>
    <t xml:space="preserve">　本プログラムは令和4年度から開講したため、今後、プログラムを修了した学生について、令和5年度以降の科目選択の状況等の追跡調査について検討する（個人情報保護を含めた検討が必要）。また、学生の就職進路をサポートする組織であるキャリアセンターに協力を依頼し、企業からのデータサイエンス関係の求人数などの情報を収集して、学生に職種や進路先の情報として提供すること検討している。また、今後、アンケート等で修了者の声を集める方策を検討する。
</t>
    <phoneticPr fontId="1"/>
  </si>
  <si>
    <t>　教務委員会は、全学的な教育課程（共通教育科目を含む）に関する事項等について審議する組織であり、教務委員会の下に数理・データサイエンス・AIリテラシー教育部会を設置し、文系・理系を問わず全学部生が履修できる正規のプログラムである「福岡大学データサイエンス教育プログラム（リテラシーレベル）」を組織的に運営している。履修状況等の情報は教務委員会において報告され、学部では受講指導等にあたっている。
　また、教育部会においては、科目担当者と連携して、履修状況、成績評価等の確認、課題の把握と改善策の承認等を行っている。具体的な役割は以下の通りである。
・「データサイエンス・AI 入門」科目の全学開講に向けた準備・調整　
・開講前及び学期末に運営や授業内容等について確認・検証
・プログラムの修了認定（単位認定）
・リテラシーレベルの認定申請
・リテラシープラス等の申請に向けた調整
・自己点検・評価</t>
    <rPh sb="17" eb="19">
      <t>キョウツウ</t>
    </rPh>
    <rPh sb="19" eb="21">
      <t>キョウイク</t>
    </rPh>
    <rPh sb="21" eb="23">
      <t>カモク</t>
    </rPh>
    <rPh sb="84" eb="86">
      <t>ブンケイ</t>
    </rPh>
    <rPh sb="87" eb="89">
      <t>リケイ</t>
    </rPh>
    <rPh sb="98" eb="100">
      <t>リシュウ</t>
    </rPh>
    <rPh sb="103" eb="105">
      <t>セイキ</t>
    </rPh>
    <rPh sb="115" eb="117">
      <t>フクオカ</t>
    </rPh>
    <rPh sb="117" eb="119">
      <t>ダイガク</t>
    </rPh>
    <rPh sb="146" eb="149">
      <t>ソシキテキ</t>
    </rPh>
    <rPh sb="150" eb="152">
      <t>ウンエイ</t>
    </rPh>
    <rPh sb="157" eb="161">
      <t>リシュウジョウキョウ</t>
    </rPh>
    <rPh sb="161" eb="162">
      <t>トウ</t>
    </rPh>
    <rPh sb="163" eb="165">
      <t>ジョウホウ</t>
    </rPh>
    <rPh sb="166" eb="171">
      <t>キョウムイインカイ</t>
    </rPh>
    <rPh sb="175" eb="177">
      <t>ホウコク</t>
    </rPh>
    <rPh sb="180" eb="182">
      <t>ガクブ</t>
    </rPh>
    <rPh sb="184" eb="188">
      <t>ジュコウシドウ</t>
    </rPh>
    <rPh sb="188" eb="189">
      <t>ナド</t>
    </rPh>
    <rPh sb="202" eb="206">
      <t>キョウイクブカイ</t>
    </rPh>
    <rPh sb="212" eb="217">
      <t>カモクタントウシャ</t>
    </rPh>
    <rPh sb="218" eb="220">
      <t>レンケイ</t>
    </rPh>
    <rPh sb="223" eb="227">
      <t>リシュウジョウキョウ</t>
    </rPh>
    <rPh sb="228" eb="230">
      <t>セイセキ</t>
    </rPh>
    <rPh sb="230" eb="232">
      <t>ヒョウカ</t>
    </rPh>
    <rPh sb="232" eb="233">
      <t>トウ</t>
    </rPh>
    <rPh sb="234" eb="236">
      <t>カクニン</t>
    </rPh>
    <rPh sb="237" eb="239">
      <t>カダイ</t>
    </rPh>
    <rPh sb="240" eb="242">
      <t>ハアク</t>
    </rPh>
    <rPh sb="243" eb="245">
      <t>カイゼン</t>
    </rPh>
    <rPh sb="245" eb="246">
      <t>サク</t>
    </rPh>
    <rPh sb="247" eb="249">
      <t>ショウニン</t>
    </rPh>
    <rPh sb="249" eb="250">
      <t>トウ</t>
    </rPh>
    <rPh sb="251" eb="252">
      <t>オコナ</t>
    </rPh>
    <rPh sb="257" eb="260">
      <t>グタイテキ</t>
    </rPh>
    <rPh sb="261" eb="263">
      <t>ヤクワリ</t>
    </rPh>
    <rPh sb="264" eb="266">
      <t>イカ</t>
    </rPh>
    <rPh sb="267" eb="268">
      <t>トオ</t>
    </rPh>
    <rPh sb="334" eb="336">
      <t>ケンショウ</t>
    </rPh>
    <phoneticPr fontId="1"/>
  </si>
  <si>
    <t>　本プログラムを構成する科目は1年次を対象とする選択科目であるため、まずは入学前からの広報を充実させて受講生を増やしていく。具体的には、「福岡大学　大学案内」「福大生のための学習ナビ」や大学ホームページ等を活用して入学前からデータサイエンス・AIに関する学びの重要性を意識付け、履修選択を促している。
　また、共通教育センターのホームページおよび新入生行事等の機会に、プログラム紹介の動画や資料を用いて、本プログラムの趣旨、特徴、および卒業後の必要性などを丁寧に説明して履修意識を高め、登録を促していく。同時に、各学部においては新入生ガイダンス等の機会に本プログラムを紹介する等の協力を行っている。キャリア教育の観点からは、データサイエンスやAIの実社会における利活用の有用性や求人状況等を学生に説明し、履修を促していく。
　さらに、今後は修了者の声を紹介する等、学生目線での情報発信に努め、履修率の向上を図っていく。これらの取り組みを通じて令和8年度に新入生の履修率100%を目指す。現状では1年次のみの受講となっているが、教育指導体制の充実をはかり、2年次以上での履修を可能とする方策を探る。</t>
    <phoneticPr fontId="1"/>
  </si>
  <si>
    <t xml:space="preserve">　本プログラムは「データサイエンス・AI入門」の1科目のみで認定制度（リテラシーレベル）の要件を満たすように設計されている。この科目はデジタルリテラシーやAIの基礎を学ぶ入門科目との位置づけで、共通教育科目の学修基盤科目として設置・開講し、すべての学位(教育)プログラムにおいて卒業要件に含まれる科目となっている。本プログラムの科目は主として専用のLMS/e-Learning教材を用いて学ぶ科目となっており、すべての学生が時間割に縛られずに、受講計画を立てて学ぶことができる。そのため、文系・理系あるいは学部学科を問わず、学生はそれぞれの習熟度に応じたペースで学び進めることができ、かつ何度でも繰り返しe-Learning上で学ぶことができる。
　教育部会の教員、学部の教務委員、共通教育センター所属職員、教務一課事務職員、情報基盤センターのスタッフ等など全学的な支援・サポート体制を整えている。
</t>
    <rPh sb="30" eb="34">
      <t>ニンテイセイド</t>
    </rPh>
    <rPh sb="157" eb="158">
      <t>ホン</t>
    </rPh>
    <rPh sb="164" eb="166">
      <t>カモク</t>
    </rPh>
    <rPh sb="356" eb="357">
      <t>イチ</t>
    </rPh>
    <rPh sb="357" eb="358">
      <t>カ</t>
    </rPh>
    <phoneticPr fontId="1"/>
  </si>
  <si>
    <t>　前期・後期それぞれの開講直後に説明会を複数回開催し、受講の仕方や成績評価に関する重要事項を説明する機会を設け、スムーズに履修をスタートできるよう取り組んでいる。全学生の履修状況を常に把握し、可視化して情報を共有するとともに、学生も自分の状況を確認できるようにしている（補足資料１）。
　また、説明会の他、質問会（科目担当者と学生が直接触れ合う機会）を随時開催し、内容に関する質問だけでなく、不安や疑問等を早期に解決できるようサポートしている。説明会・質問会については、大学メール等で全員に周知するとともに、学習が進んでいない学生には個別連絡を行って質問会への参加を促す等の取り組みも行っている。
　さらに、定期的に大学メールを配信し、問い合わせや質問等を随時受け付けている。科目担当教員のほか、共通教育センター所属職員及び教務一課事務職員も役割分担を行って問い合わせに対応する体制を整えている。</t>
    <rPh sb="135" eb="139">
      <t>ホソクシリョウ</t>
    </rPh>
    <rPh sb="151" eb="152">
      <t>ホカ</t>
    </rPh>
    <rPh sb="366" eb="368">
      <t>ジム</t>
    </rPh>
    <rPh sb="392" eb="393">
      <t>トトノ</t>
    </rPh>
    <phoneticPr fontId="1"/>
  </si>
  <si>
    <t xml:space="preserve">　本プログラムは令和4年度から開講したため、今後、プログラムを修了した学生について、令和5年度以降の科目選択の状況等の追跡調査について検討する（個人情報保護を含めた検討が必要）。また、説明会・質問会において得られた学生の声（履修のしやすさ、初めて取り組んだ感想など）については、公開可能なものは本プログラム専用のWebページ等に掲載し、科目履修の広報に活用していく予定である。また、今後、アンケート等で修了者の声を集める方策を検討する。
</t>
    <phoneticPr fontId="1"/>
  </si>
  <si>
    <t xml:space="preserve">　全学生に配布される「学修ガイド」、新入生に配布される「福大生のための学習ナビ」において、「データサイエンス・AI入門」科目を紹介し、かつリーフレットを作成して新入生一人一人に配付することにより、すべての新入生の目に触れる形で周知し、本プログラムの履修を促している。また、本プログラム専用のWebページに情報を集約し、科目の紹介や紹介動画の公開、リーフレット等を掲載することにより、履修率向上のための広報活動に継続的に取り組んでいる。なお、履修者数に対して主担当となる教員数が少ないため、今後履修者を増やしていくために担当教員を増やすなどの改善を進めて行く必要がある。
</t>
    <rPh sb="181" eb="183">
      <t>ケイサイ</t>
    </rPh>
    <phoneticPr fontId="1"/>
  </si>
  <si>
    <t>福岡大学</t>
    <rPh sb="0" eb="2">
      <t>フクオカ</t>
    </rPh>
    <rPh sb="2" eb="4">
      <t>ダイガク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</si>
</sst>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_ "/>
    <numFmt numFmtId="177" formatCode="0.0%"/>
  </numFmts>
  <fonts count="18"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12"/>
      <name val="ＭＳ Ｐゴシック"/>
      <family val="3"/>
      <charset val="128"/>
      <scheme val="minor"/>
    </font>
    <font>
      <sz val="12"/>
      <color rgb="FFFF0000"/>
      <name val="ＭＳ Ｐゴシック"/>
      <family val="3"/>
      <charset val="128"/>
      <scheme val="minor"/>
    </font>
    <font>
      <sz val="12"/>
      <color rgb="FFC00000"/>
      <name val="ＭＳ Ｐゴシック"/>
      <family val="3"/>
      <charset val="128"/>
      <scheme val="minor"/>
    </font>
    <font>
      <sz val="11"/>
      <name val="ＭＳ Ｐゴシック"/>
      <family val="3"/>
      <charset val="128"/>
      <scheme val="minor"/>
    </font>
    <font>
      <sz val="8"/>
      <name val="ＭＳ Ｐゴシック"/>
      <family val="3"/>
      <charset val="128"/>
      <scheme val="minor"/>
    </font>
    <font>
      <sz val="14"/>
      <name val="ＭＳ Ｐゴシック"/>
      <family val="3"/>
      <charset val="128"/>
      <scheme val="minor"/>
    </font>
    <font>
      <sz val="9"/>
      <name val="ＭＳ Ｐゴシック"/>
      <family val="3"/>
      <charset val="128"/>
      <scheme val="minor"/>
    </font>
    <font>
      <sz val="10"/>
      <name val="ＭＳ Ｐゴシック"/>
      <family val="3"/>
      <charset val="128"/>
      <scheme val="minor"/>
    </font>
    <font>
      <sz val="6"/>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s>
  <cellStyleXfs count="3">
    <xf numFmtId="0" fontId="0" fillId="0" borderId="0">
      <alignment vertical="center"/>
    </xf>
    <xf numFmtId="9" fontId="3" fillId="0" borderId="0" applyFont="0" applyFill="0" applyBorder="0" applyAlignment="0" applyProtection="0">
      <alignment vertical="center"/>
    </xf>
    <xf numFmtId="38" fontId="3" fillId="0" borderId="0" applyFont="0" applyFill="0" applyBorder="0" applyAlignment="0" applyProtection="0">
      <alignment vertical="center"/>
    </xf>
  </cellStyleXfs>
  <cellXfs count="275">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8" fillId="0" borderId="11" xfId="0" applyFont="1" applyBorder="1" applyAlignment="1">
      <alignment horizontal="center" vertical="center"/>
    </xf>
    <xf numFmtId="0" fontId="8" fillId="0" borderId="52" xfId="0" applyFont="1" applyBorder="1" applyAlignment="1">
      <alignment horizontal="center" vertical="center"/>
    </xf>
    <xf numFmtId="0" fontId="8" fillId="0" borderId="53" xfId="0" applyFont="1" applyBorder="1" applyAlignment="1">
      <alignment horizontal="center" vertical="center"/>
    </xf>
    <xf numFmtId="0" fontId="2" fillId="0" borderId="0" xfId="0" applyFont="1" applyAlignment="1">
      <alignment horizontal="right" vertical="center"/>
    </xf>
    <xf numFmtId="9" fontId="2" fillId="0" borderId="0" xfId="1" applyFont="1" applyAlignment="1">
      <alignment horizontal="center" vertical="center"/>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9" fontId="2" fillId="0" borderId="15" xfId="0" applyNumberFormat="1" applyFont="1" applyBorder="1" applyAlignment="1">
      <alignment vertical="center" shrinkToFit="1"/>
    </xf>
    <xf numFmtId="0" fontId="2" fillId="0" borderId="0" xfId="0" applyFont="1" applyAlignment="1">
      <alignment vertical="center" wrapText="1"/>
    </xf>
    <xf numFmtId="0" fontId="11" fillId="0" borderId="0" xfId="0" applyFont="1" applyAlignment="1">
      <alignment horizontal="center" vertical="center"/>
    </xf>
    <xf numFmtId="38" fontId="11" fillId="0" borderId="0" xfId="2" applyFont="1">
      <alignment vertical="center"/>
    </xf>
    <xf numFmtId="177" fontId="11" fillId="0" borderId="0" xfId="1" applyNumberFormat="1" applyFont="1">
      <alignment vertical="center"/>
    </xf>
    <xf numFmtId="177" fontId="2" fillId="0" borderId="0" xfId="1" applyNumberFormat="1" applyFont="1">
      <alignment vertical="center"/>
    </xf>
    <xf numFmtId="0" fontId="9" fillId="0" borderId="0" xfId="0" applyFont="1" applyAlignment="1">
      <alignment vertical="top" wrapText="1"/>
    </xf>
    <xf numFmtId="0" fontId="9" fillId="0" borderId="0" xfId="0" applyFont="1">
      <alignment vertical="center"/>
    </xf>
    <xf numFmtId="0" fontId="12" fillId="0" borderId="0" xfId="0" applyFont="1">
      <alignment vertical="center"/>
    </xf>
    <xf numFmtId="0" fontId="9" fillId="0" borderId="1" xfId="0" applyFont="1" applyBorder="1" applyAlignment="1">
      <alignment horizontal="center" vertical="center"/>
    </xf>
    <xf numFmtId="0" fontId="9" fillId="0" borderId="0" xfId="0" applyFont="1" applyAlignment="1">
      <alignment horizontal="right" vertical="center"/>
    </xf>
    <xf numFmtId="0" fontId="9" fillId="0" borderId="0" xfId="0" applyFont="1" applyAlignment="1">
      <alignment vertical="center" shrinkToFit="1"/>
    </xf>
    <xf numFmtId="0" fontId="9" fillId="0" borderId="0" xfId="0" applyFont="1" applyAlignment="1">
      <alignment horizontal="left" vertical="center" shrinkToFit="1"/>
    </xf>
    <xf numFmtId="0" fontId="9" fillId="0" borderId="0" xfId="0" applyFont="1" applyAlignment="1">
      <alignment horizontal="center" vertical="center"/>
    </xf>
    <xf numFmtId="0" fontId="9" fillId="0" borderId="10" xfId="0" applyFont="1" applyBorder="1" applyAlignment="1">
      <alignment horizontal="right" vertical="center"/>
    </xf>
    <xf numFmtId="0" fontId="9" fillId="0" borderId="0" xfId="0" applyFont="1" applyAlignment="1">
      <alignment horizontal="left" vertical="center"/>
    </xf>
    <xf numFmtId="0" fontId="12" fillId="0" borderId="0" xfId="0" applyFont="1" applyAlignment="1">
      <alignment horizontal="center" vertical="center"/>
    </xf>
    <xf numFmtId="0" fontId="9" fillId="0" borderId="5" xfId="0" applyFont="1" applyBorder="1">
      <alignment vertical="center"/>
    </xf>
    <xf numFmtId="0" fontId="15" fillId="0" borderId="1" xfId="0" applyFont="1" applyBorder="1" applyAlignment="1">
      <alignment horizontal="center" vertical="center" shrinkToFit="1"/>
    </xf>
    <xf numFmtId="0" fontId="15" fillId="0" borderId="4" xfId="0" applyFont="1" applyBorder="1" applyAlignment="1">
      <alignment horizontal="center" vertical="center" shrinkToFit="1"/>
    </xf>
    <xf numFmtId="49" fontId="15" fillId="0" borderId="1" xfId="0" applyNumberFormat="1" applyFont="1" applyBorder="1" applyAlignment="1">
      <alignment horizontal="center" vertical="center"/>
    </xf>
    <xf numFmtId="0" fontId="9" fillId="0" borderId="14"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13" xfId="0" applyFont="1" applyBorder="1" applyAlignment="1">
      <alignment horizontal="center" vertical="center" shrinkToFit="1"/>
    </xf>
    <xf numFmtId="0" fontId="9" fillId="0" borderId="40" xfId="0" applyFont="1" applyBorder="1" applyAlignment="1">
      <alignment horizontal="center" vertical="center" shrinkToFit="1"/>
    </xf>
    <xf numFmtId="0" fontId="9" fillId="0" borderId="0" xfId="0" applyFont="1" applyAlignment="1">
      <alignment horizontal="center" vertical="center" shrinkToFit="1"/>
    </xf>
    <xf numFmtId="49" fontId="15" fillId="0" borderId="48" xfId="0" applyNumberFormat="1" applyFont="1" applyBorder="1" applyAlignment="1">
      <alignment horizontal="center" vertical="center"/>
    </xf>
    <xf numFmtId="49" fontId="15" fillId="0" borderId="49" xfId="0" applyNumberFormat="1" applyFont="1" applyBorder="1" applyAlignment="1">
      <alignment horizontal="center" vertical="center"/>
    </xf>
    <xf numFmtId="49" fontId="15" fillId="0" borderId="44" xfId="0" applyNumberFormat="1" applyFont="1" applyBorder="1" applyAlignment="1">
      <alignment horizontal="center" vertical="center"/>
    </xf>
    <xf numFmtId="49" fontId="15" fillId="0" borderId="29" xfId="0" applyNumberFormat="1" applyFont="1" applyBorder="1" applyAlignment="1">
      <alignment horizontal="center" vertical="center"/>
    </xf>
    <xf numFmtId="49" fontId="15" fillId="0" borderId="47" xfId="0" applyNumberFormat="1" applyFont="1" applyBorder="1" applyAlignment="1">
      <alignment horizontal="center" vertical="center"/>
    </xf>
    <xf numFmtId="49" fontId="15" fillId="0" borderId="32" xfId="0" applyNumberFormat="1" applyFont="1" applyBorder="1" applyAlignment="1">
      <alignment horizontal="center" vertical="center"/>
    </xf>
    <xf numFmtId="0" fontId="15" fillId="0" borderId="0" xfId="0" applyFont="1">
      <alignment vertical="center"/>
    </xf>
    <xf numFmtId="0" fontId="12" fillId="0" borderId="0" xfId="0" applyFont="1" applyAlignment="1">
      <alignment horizontal="left" vertical="center"/>
    </xf>
    <xf numFmtId="0" fontId="9" fillId="0" borderId="0" xfId="0" applyFont="1" applyAlignment="1">
      <alignment vertical="center" wrapText="1"/>
    </xf>
    <xf numFmtId="0" fontId="15" fillId="0" borderId="0" xfId="0" applyFont="1" applyAlignment="1">
      <alignment vertical="top" wrapText="1"/>
    </xf>
    <xf numFmtId="0" fontId="9" fillId="0" borderId="1" xfId="0" applyFont="1" applyBorder="1" applyAlignment="1">
      <alignment horizontal="center" vertical="center" wrapText="1" shrinkToFit="1"/>
    </xf>
    <xf numFmtId="0" fontId="9" fillId="0" borderId="1" xfId="0" applyFont="1" applyFill="1" applyBorder="1" applyAlignment="1">
      <alignment horizontal="center" vertical="center" wrapText="1" shrinkToFit="1"/>
    </xf>
    <xf numFmtId="9" fontId="9" fillId="0" borderId="1" xfId="0" applyNumberFormat="1" applyFont="1" applyFill="1" applyBorder="1" applyAlignment="1">
      <alignment horizontal="center" vertical="center" shrinkToFit="1"/>
    </xf>
    <xf numFmtId="0" fontId="9" fillId="0" borderId="1" xfId="0" applyFont="1" applyBorder="1" applyAlignment="1">
      <alignment horizontal="center" vertical="center" shrinkToFit="1"/>
    </xf>
    <xf numFmtId="0" fontId="9" fillId="0" borderId="1" xfId="0" applyFont="1" applyFill="1" applyBorder="1" applyAlignment="1">
      <alignment horizontal="center" vertical="center" shrinkToFit="1"/>
    </xf>
    <xf numFmtId="176" fontId="9" fillId="0" borderId="1" xfId="0" applyNumberFormat="1" applyFont="1" applyFill="1" applyBorder="1" applyAlignment="1">
      <alignment horizontal="center" vertical="center" shrinkToFit="1"/>
    </xf>
    <xf numFmtId="38" fontId="9" fillId="0" borderId="0" xfId="2" applyFont="1" applyAlignment="1">
      <alignment horizontal="center" vertical="center"/>
    </xf>
    <xf numFmtId="0" fontId="15" fillId="0" borderId="0" xfId="0" applyFont="1" applyAlignment="1">
      <alignment vertical="top" shrinkToFit="1"/>
    </xf>
    <xf numFmtId="0" fontId="15" fillId="0" borderId="0" xfId="0" applyFont="1" applyAlignment="1">
      <alignment vertical="center" wrapText="1"/>
    </xf>
    <xf numFmtId="0" fontId="14" fillId="0" borderId="0" xfId="0" applyFont="1" applyAlignment="1">
      <alignment horizontal="center" vertical="center"/>
    </xf>
    <xf numFmtId="0" fontId="9" fillId="0" borderId="1" xfId="0" applyFont="1" applyBorder="1" applyAlignment="1">
      <alignment horizontal="left" vertical="center"/>
    </xf>
    <xf numFmtId="0" fontId="9" fillId="2" borderId="5" xfId="0" applyFont="1" applyFill="1" applyBorder="1">
      <alignment vertical="center"/>
    </xf>
    <xf numFmtId="0" fontId="15" fillId="2" borderId="0" xfId="0" applyFont="1" applyFill="1" applyAlignment="1">
      <alignment vertical="top" wrapText="1"/>
    </xf>
    <xf numFmtId="0" fontId="15" fillId="2" borderId="10" xfId="0" applyFont="1" applyFill="1" applyBorder="1" applyAlignment="1">
      <alignment vertical="top" wrapText="1"/>
    </xf>
    <xf numFmtId="0" fontId="9" fillId="2" borderId="0" xfId="0" applyFont="1" applyFill="1">
      <alignment vertical="center"/>
    </xf>
    <xf numFmtId="0" fontId="15" fillId="2" borderId="5" xfId="0" applyFont="1" applyFill="1" applyBorder="1" applyAlignment="1">
      <alignment vertical="top" wrapText="1"/>
    </xf>
    <xf numFmtId="0" fontId="15" fillId="2" borderId="11" xfId="0" applyFont="1" applyFill="1" applyBorder="1" applyAlignment="1">
      <alignment vertical="top" wrapText="1"/>
    </xf>
    <xf numFmtId="0" fontId="15" fillId="2" borderId="42" xfId="0" applyFont="1" applyFill="1" applyBorder="1" applyAlignment="1">
      <alignment vertical="top" wrapText="1"/>
    </xf>
    <xf numFmtId="0" fontId="15" fillId="2" borderId="43" xfId="0" applyFont="1" applyFill="1" applyBorder="1" applyAlignment="1">
      <alignment vertical="top" wrapText="1"/>
    </xf>
    <xf numFmtId="0" fontId="15" fillId="2" borderId="42" xfId="0" applyFont="1" applyFill="1" applyBorder="1" applyAlignment="1">
      <alignment vertical="top" shrinkToFit="1"/>
    </xf>
    <xf numFmtId="0" fontId="15" fillId="2" borderId="43" xfId="0" applyFont="1" applyFill="1" applyBorder="1" applyAlignment="1">
      <alignment vertical="top" shrinkToFit="1"/>
    </xf>
    <xf numFmtId="0" fontId="9" fillId="0" borderId="1" xfId="0" applyFont="1" applyBorder="1" applyAlignment="1">
      <alignment horizontal="left" vertical="center" shrinkToFit="1"/>
    </xf>
    <xf numFmtId="0" fontId="9" fillId="0" borderId="7" xfId="0" applyFont="1" applyBorder="1" applyAlignment="1">
      <alignment horizontal="left" vertical="center" wrapText="1"/>
    </xf>
    <xf numFmtId="0" fontId="9" fillId="0" borderId="8" xfId="0" applyFont="1" applyBorder="1" applyAlignment="1">
      <alignment horizontal="left" vertical="center" wrapText="1"/>
    </xf>
    <xf numFmtId="0" fontId="9" fillId="0" borderId="9" xfId="0" applyFont="1" applyBorder="1" applyAlignment="1">
      <alignment horizontal="left" vertical="center" wrapText="1"/>
    </xf>
    <xf numFmtId="0" fontId="9" fillId="0" borderId="11" xfId="0" applyFont="1" applyBorder="1" applyAlignment="1">
      <alignment horizontal="left" vertical="center" wrapText="1"/>
    </xf>
    <xf numFmtId="0" fontId="9" fillId="0" borderId="6" xfId="0" applyFont="1" applyBorder="1" applyAlignment="1">
      <alignment horizontal="left" vertical="center" wrapText="1"/>
    </xf>
    <xf numFmtId="0" fontId="9" fillId="0" borderId="12" xfId="0" applyFont="1" applyBorder="1" applyAlignment="1">
      <alignment horizontal="left" vertical="center" wrapText="1"/>
    </xf>
    <xf numFmtId="0" fontId="9" fillId="0" borderId="19" xfId="0" applyFont="1" applyBorder="1" applyAlignment="1">
      <alignment vertical="center"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9" fillId="0" borderId="37" xfId="0" applyFont="1" applyBorder="1" applyAlignment="1">
      <alignment vertical="center" shrinkToFit="1"/>
    </xf>
    <xf numFmtId="0" fontId="9" fillId="0" borderId="38" xfId="0" applyFont="1" applyBorder="1" applyAlignment="1">
      <alignment vertical="center" shrinkToFit="1"/>
    </xf>
    <xf numFmtId="0" fontId="9" fillId="0" borderId="39" xfId="0" applyFont="1" applyBorder="1" applyAlignment="1">
      <alignment vertical="center" shrinkToFit="1"/>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0" xfId="0" applyFont="1" applyAlignment="1">
      <alignment vertical="center" wrapText="1"/>
    </xf>
    <xf numFmtId="0" fontId="9" fillId="0" borderId="34" xfId="0" applyFont="1" applyBorder="1" applyAlignment="1">
      <alignment vertical="center" shrinkToFit="1"/>
    </xf>
    <xf numFmtId="0" fontId="9" fillId="0" borderId="36" xfId="0" applyFont="1" applyBorder="1" applyAlignment="1">
      <alignment vertical="center" shrinkToFit="1"/>
    </xf>
    <xf numFmtId="0" fontId="9" fillId="0" borderId="35" xfId="0" applyFont="1" applyBorder="1" applyAlignment="1">
      <alignment vertical="center" shrinkToFit="1"/>
    </xf>
    <xf numFmtId="0" fontId="9" fillId="0" borderId="0" xfId="0" applyFont="1" applyAlignment="1">
      <alignment horizontal="righ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4" fillId="0" borderId="0" xfId="0" applyFont="1" applyAlignment="1">
      <alignment horizontal="center" vertical="center"/>
    </xf>
    <xf numFmtId="0" fontId="9" fillId="0" borderId="7" xfId="0" applyFont="1" applyBorder="1" applyAlignment="1">
      <alignment horizontal="left" vertical="top" wrapText="1" shrinkToFit="1"/>
    </xf>
    <xf numFmtId="0" fontId="9" fillId="0" borderId="8" xfId="0" applyFont="1" applyBorder="1" applyAlignment="1">
      <alignment horizontal="left" vertical="top" wrapText="1" shrinkToFit="1"/>
    </xf>
    <xf numFmtId="0" fontId="9" fillId="0" borderId="9" xfId="0" applyFont="1" applyBorder="1" applyAlignment="1">
      <alignment horizontal="left" vertical="top" wrapText="1" shrinkToFit="1"/>
    </xf>
    <xf numFmtId="0" fontId="9" fillId="0" borderId="5" xfId="0" applyFont="1" applyBorder="1" applyAlignment="1">
      <alignment horizontal="left" vertical="top" wrapText="1" shrinkToFit="1"/>
    </xf>
    <xf numFmtId="0" fontId="9" fillId="0" borderId="0" xfId="0" applyFont="1" applyAlignment="1">
      <alignment horizontal="left" vertical="top" wrapText="1" shrinkToFit="1"/>
    </xf>
    <xf numFmtId="0" fontId="9" fillId="0" borderId="10" xfId="0" applyFont="1" applyBorder="1" applyAlignment="1">
      <alignment horizontal="left" vertical="top" wrapText="1" shrinkToFit="1"/>
    </xf>
    <xf numFmtId="0" fontId="9" fillId="0" borderId="11" xfId="0" applyFont="1" applyBorder="1" applyAlignment="1">
      <alignment horizontal="left" vertical="top" wrapText="1" shrinkToFit="1"/>
    </xf>
    <xf numFmtId="0" fontId="9" fillId="0" borderId="6" xfId="0" applyFont="1" applyBorder="1" applyAlignment="1">
      <alignment horizontal="left" vertical="top" wrapText="1" shrinkToFit="1"/>
    </xf>
    <xf numFmtId="0" fontId="9" fillId="0" borderId="12" xfId="0" applyFont="1" applyBorder="1" applyAlignment="1">
      <alignment horizontal="left" vertical="top" wrapText="1"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9" fillId="0" borderId="2" xfId="0" applyFont="1" applyBorder="1" applyAlignment="1">
      <alignment vertical="center" wrapText="1" shrinkToFit="1"/>
    </xf>
    <xf numFmtId="0" fontId="9" fillId="0" borderId="3" xfId="0" applyFont="1" applyBorder="1" applyAlignment="1">
      <alignment vertical="center" wrapText="1" shrinkToFit="1"/>
    </xf>
    <xf numFmtId="0" fontId="9" fillId="0" borderId="4" xfId="0" applyFont="1" applyBorder="1" applyAlignment="1">
      <alignment vertical="center" wrapText="1" shrinkToFit="1"/>
    </xf>
    <xf numFmtId="0" fontId="9" fillId="0" borderId="37" xfId="0" applyFont="1" applyBorder="1" applyAlignment="1">
      <alignment horizontal="center" vertical="center" shrinkToFit="1"/>
    </xf>
    <xf numFmtId="0" fontId="9" fillId="0" borderId="38" xfId="0" applyFont="1" applyBorder="1" applyAlignment="1">
      <alignment horizontal="center" vertical="center" shrinkToFit="1"/>
    </xf>
    <xf numFmtId="0" fontId="9" fillId="0" borderId="39"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8" xfId="0" applyFont="1" applyBorder="1" applyAlignment="1">
      <alignment horizontal="center" vertical="center" shrinkToFit="1"/>
    </xf>
    <xf numFmtId="0" fontId="9" fillId="0" borderId="22" xfId="0" applyFont="1" applyBorder="1" applyAlignment="1">
      <alignment horizontal="left" vertical="center" wrapText="1" shrinkToFit="1"/>
    </xf>
    <xf numFmtId="0" fontId="9" fillId="0" borderId="21" xfId="0" applyFont="1" applyBorder="1" applyAlignment="1">
      <alignment horizontal="left" vertical="center" wrapText="1" shrinkToFit="1"/>
    </xf>
    <xf numFmtId="0" fontId="9" fillId="0" borderId="36" xfId="0" applyFont="1" applyBorder="1" applyAlignment="1">
      <alignment horizontal="left" vertical="center" wrapText="1" shrinkToFit="1"/>
    </xf>
    <xf numFmtId="0" fontId="9" fillId="0" borderId="35" xfId="0" applyFont="1" applyBorder="1" applyAlignment="1">
      <alignment horizontal="left" vertical="center" wrapText="1" shrinkToFit="1"/>
    </xf>
    <xf numFmtId="0" fontId="9" fillId="0" borderId="6" xfId="0" applyFont="1" applyBorder="1" applyAlignment="1">
      <alignment horizontal="left" vertical="center" wrapText="1" shrinkToFit="1"/>
    </xf>
    <xf numFmtId="0" fontId="9" fillId="0" borderId="12" xfId="0" applyFont="1" applyBorder="1" applyAlignment="1">
      <alignment horizontal="left" vertical="center" wrapText="1" shrinkToFit="1"/>
    </xf>
    <xf numFmtId="0" fontId="9" fillId="0" borderId="38" xfId="0" applyFont="1" applyBorder="1" applyAlignment="1">
      <alignment horizontal="left" vertical="center" wrapText="1" shrinkToFit="1"/>
    </xf>
    <xf numFmtId="0" fontId="9" fillId="0" borderId="39" xfId="0" applyFont="1" applyBorder="1" applyAlignment="1">
      <alignment horizontal="left" vertical="center" wrapText="1" shrinkToFit="1"/>
    </xf>
    <xf numFmtId="0" fontId="9" fillId="0" borderId="19" xfId="0" applyFont="1" applyBorder="1" applyAlignment="1">
      <alignment vertical="center" wrapText="1" shrinkToFit="1"/>
    </xf>
    <xf numFmtId="0" fontId="9" fillId="0" borderId="20" xfId="0" applyFont="1" applyBorder="1" applyAlignment="1">
      <alignment vertical="center" wrapText="1" shrinkToFit="1"/>
    </xf>
    <xf numFmtId="0" fontId="9" fillId="0" borderId="18" xfId="0" applyFont="1" applyBorder="1" applyAlignment="1">
      <alignment vertical="center" wrapText="1" shrinkToFit="1"/>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15" fillId="0" borderId="45" xfId="0" applyFont="1" applyBorder="1" applyAlignment="1">
      <alignment vertical="center" wrapText="1"/>
    </xf>
    <xf numFmtId="0" fontId="15" fillId="0" borderId="46" xfId="0" applyFont="1" applyBorder="1" applyAlignment="1">
      <alignment vertical="center" wrapText="1"/>
    </xf>
    <xf numFmtId="0" fontId="15" fillId="0" borderId="31" xfId="0" applyFont="1" applyBorder="1" applyAlignment="1">
      <alignment vertical="center" wrapText="1"/>
    </xf>
    <xf numFmtId="0" fontId="9" fillId="0" borderId="36" xfId="0" applyFont="1" applyBorder="1" applyAlignment="1">
      <alignment vertical="center" wrapText="1" shrinkToFit="1"/>
    </xf>
    <xf numFmtId="0" fontId="9" fillId="0" borderId="35" xfId="0" applyFont="1" applyBorder="1" applyAlignment="1">
      <alignment vertical="center" wrapText="1" shrinkToFit="1"/>
    </xf>
    <xf numFmtId="0" fontId="9" fillId="0" borderId="6" xfId="0" applyFont="1" applyBorder="1" applyAlignment="1">
      <alignment vertical="center" wrapText="1" shrinkToFit="1"/>
    </xf>
    <xf numFmtId="0" fontId="9" fillId="0" borderId="12" xfId="0" applyFont="1" applyBorder="1" applyAlignment="1">
      <alignment vertical="center" wrapText="1" shrinkToFit="1"/>
    </xf>
    <xf numFmtId="0" fontId="9" fillId="0" borderId="8" xfId="0" applyFont="1" applyBorder="1" applyAlignment="1">
      <alignment horizontal="left" vertical="center" wrapText="1" shrinkToFit="1"/>
    </xf>
    <xf numFmtId="0" fontId="9" fillId="0" borderId="9" xfId="0" applyFont="1" applyBorder="1" applyAlignment="1">
      <alignment horizontal="left" vertical="center" wrapText="1" shrinkToFit="1"/>
    </xf>
    <xf numFmtId="0" fontId="16" fillId="0" borderId="2" xfId="0" applyFont="1" applyBorder="1" applyAlignment="1">
      <alignment horizontal="center" vertical="center" shrinkToFit="1"/>
    </xf>
    <xf numFmtId="0" fontId="16" fillId="0" borderId="4" xfId="0" applyFont="1" applyBorder="1" applyAlignment="1">
      <alignment horizontal="center" vertical="center"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3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5" xfId="0" applyFont="1" applyBorder="1" applyAlignment="1">
      <alignment horizontal="center" vertical="center" shrinkToFit="1"/>
    </xf>
    <xf numFmtId="0" fontId="4" fillId="0" borderId="16" xfId="0" applyFont="1" applyBorder="1" applyAlignment="1">
      <alignment horizontal="center" vertical="center"/>
    </xf>
    <xf numFmtId="0" fontId="4"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5" fillId="0" borderId="0" xfId="0" applyFont="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6" fillId="0" borderId="8" xfId="0" applyFont="1" applyBorder="1" applyAlignment="1">
      <alignment horizontal="center" vertical="center" wrapText="1"/>
    </xf>
    <xf numFmtId="0" fontId="6" fillId="0" borderId="0" xfId="0" applyFont="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wrapText="1"/>
    </xf>
    <xf numFmtId="0" fontId="6" fillId="0" borderId="5" xfId="0" applyFont="1" applyBorder="1" applyAlignment="1">
      <alignment horizontal="center" vertical="center" wrapText="1"/>
    </xf>
    <xf numFmtId="0" fontId="6" fillId="0" borderId="11"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12" xfId="0" applyFont="1" applyBorder="1" applyAlignment="1">
      <alignment horizontal="center" vertical="center"/>
    </xf>
    <xf numFmtId="0" fontId="6" fillId="0" borderId="15" xfId="0" applyFont="1" applyBorder="1" applyAlignment="1">
      <alignment horizontal="center" vertical="center" wrapText="1"/>
    </xf>
    <xf numFmtId="0" fontId="6" fillId="0" borderId="50" xfId="0" applyFont="1" applyBorder="1" applyAlignment="1">
      <alignment horizontal="center" vertical="center" wrapText="1"/>
    </xf>
    <xf numFmtId="0" fontId="6" fillId="0" borderId="13" xfId="0" applyFont="1" applyBorder="1" applyAlignment="1">
      <alignment horizontal="center" vertical="center"/>
    </xf>
    <xf numFmtId="0" fontId="9" fillId="0" borderId="7" xfId="0" applyFont="1" applyBorder="1" applyAlignment="1">
      <alignment vertical="top" wrapText="1"/>
    </xf>
    <xf numFmtId="0" fontId="9" fillId="0" borderId="8" xfId="0" applyFont="1" applyBorder="1" applyAlignment="1">
      <alignment vertical="top" wrapText="1"/>
    </xf>
    <xf numFmtId="0" fontId="9" fillId="0" borderId="9" xfId="0" applyFont="1" applyBorder="1" applyAlignment="1">
      <alignment vertical="top" wrapText="1"/>
    </xf>
    <xf numFmtId="0" fontId="9" fillId="0" borderId="5" xfId="0" applyFont="1" applyBorder="1" applyAlignment="1">
      <alignment vertical="top" wrapText="1"/>
    </xf>
    <xf numFmtId="0" fontId="9" fillId="0" borderId="0" xfId="0" applyFont="1" applyAlignment="1">
      <alignment vertical="top" wrapText="1"/>
    </xf>
    <xf numFmtId="0" fontId="9" fillId="0" borderId="10" xfId="0" applyFont="1" applyBorder="1" applyAlignment="1">
      <alignment vertical="top" wrapText="1"/>
    </xf>
    <xf numFmtId="0" fontId="9" fillId="0" borderId="11" xfId="0" applyFont="1" applyBorder="1" applyAlignment="1">
      <alignment vertical="top" wrapText="1"/>
    </xf>
    <xf numFmtId="0" fontId="9" fillId="0" borderId="6" xfId="0" applyFont="1" applyBorder="1" applyAlignment="1">
      <alignment vertical="top" wrapText="1"/>
    </xf>
    <xf numFmtId="0" fontId="9" fillId="0" borderId="12" xfId="0" applyFont="1" applyBorder="1" applyAlignment="1">
      <alignment vertical="top" wrapText="1"/>
    </xf>
    <xf numFmtId="0" fontId="9" fillId="0" borderId="9" xfId="0" applyFont="1" applyBorder="1" applyAlignment="1">
      <alignment vertical="top"/>
    </xf>
    <xf numFmtId="0" fontId="9" fillId="0" borderId="5" xfId="0" applyFont="1" applyBorder="1" applyAlignment="1">
      <alignment vertical="top"/>
    </xf>
    <xf numFmtId="0" fontId="9" fillId="0" borderId="0" xfId="0" applyFont="1" applyAlignment="1">
      <alignment vertical="top"/>
    </xf>
    <xf numFmtId="0" fontId="9" fillId="0" borderId="10" xfId="0" applyFont="1" applyBorder="1" applyAlignment="1">
      <alignment vertical="top"/>
    </xf>
    <xf numFmtId="0" fontId="9" fillId="0" borderId="11" xfId="0" applyFont="1" applyBorder="1" applyAlignment="1">
      <alignment vertical="top"/>
    </xf>
    <xf numFmtId="0" fontId="9" fillId="0" borderId="6" xfId="0" applyFont="1" applyBorder="1" applyAlignment="1">
      <alignment vertical="top"/>
    </xf>
    <xf numFmtId="0" fontId="9" fillId="0" borderId="12" xfId="0" applyFont="1" applyBorder="1" applyAlignment="1">
      <alignment vertical="top"/>
    </xf>
    <xf numFmtId="9" fontId="9" fillId="0" borderId="1" xfId="0" applyNumberFormat="1" applyFont="1" applyFill="1" applyBorder="1" applyAlignment="1">
      <alignment horizontal="center" vertical="center" wrapText="1" shrinkToFit="1"/>
    </xf>
    <xf numFmtId="9" fontId="9" fillId="0" borderId="1" xfId="0" applyNumberFormat="1" applyFont="1" applyFill="1" applyBorder="1" applyAlignment="1">
      <alignment horizontal="center" vertical="center" shrinkToFit="1"/>
    </xf>
    <xf numFmtId="0" fontId="9" fillId="0" borderId="7" xfId="0" applyFont="1" applyBorder="1" applyAlignment="1">
      <alignment horizontal="left" vertical="top" wrapText="1"/>
    </xf>
    <xf numFmtId="0" fontId="9" fillId="0" borderId="8" xfId="0" applyFont="1" applyBorder="1" applyAlignment="1">
      <alignment horizontal="left" vertical="top" wrapText="1"/>
    </xf>
    <xf numFmtId="0" fontId="9" fillId="0" borderId="9" xfId="0" applyFont="1" applyBorder="1" applyAlignment="1">
      <alignment horizontal="left" vertical="top" wrapText="1"/>
    </xf>
    <xf numFmtId="0" fontId="9" fillId="0" borderId="5" xfId="0" applyFont="1" applyBorder="1" applyAlignment="1">
      <alignment horizontal="left" vertical="top" wrapText="1"/>
    </xf>
    <xf numFmtId="0" fontId="9" fillId="0" borderId="0" xfId="0" applyFont="1" applyAlignment="1">
      <alignment horizontal="left" vertical="top" wrapText="1"/>
    </xf>
    <xf numFmtId="0" fontId="9" fillId="0" borderId="10" xfId="0" applyFont="1" applyBorder="1" applyAlignment="1">
      <alignment horizontal="left" vertical="top" wrapText="1"/>
    </xf>
    <xf numFmtId="0" fontId="9" fillId="0" borderId="11" xfId="0" applyFont="1" applyBorder="1" applyAlignment="1">
      <alignment horizontal="left" vertical="top" wrapText="1"/>
    </xf>
    <xf numFmtId="0" fontId="9" fillId="0" borderId="6" xfId="0" applyFont="1" applyBorder="1" applyAlignment="1">
      <alignment horizontal="left" vertical="top" wrapText="1"/>
    </xf>
    <xf numFmtId="0" fontId="9" fillId="0" borderId="12" xfId="0" applyFont="1" applyBorder="1" applyAlignment="1">
      <alignment horizontal="left" vertical="top" wrapText="1"/>
    </xf>
    <xf numFmtId="0" fontId="9" fillId="0" borderId="7" xfId="0" applyFont="1" applyBorder="1" applyAlignment="1">
      <alignment vertical="top" wrapText="1" shrinkToFit="1"/>
    </xf>
    <xf numFmtId="0" fontId="9" fillId="0" borderId="8" xfId="0" applyFont="1" applyBorder="1" applyAlignment="1">
      <alignment vertical="top" wrapText="1" shrinkToFit="1"/>
    </xf>
    <xf numFmtId="0" fontId="9" fillId="0" borderId="9" xfId="0" applyFont="1" applyBorder="1" applyAlignment="1">
      <alignment vertical="top" shrinkToFit="1"/>
    </xf>
    <xf numFmtId="0" fontId="9" fillId="0" borderId="5" xfId="0" applyFont="1" applyBorder="1" applyAlignment="1">
      <alignment vertical="top" shrinkToFit="1"/>
    </xf>
    <xf numFmtId="0" fontId="9" fillId="0" borderId="0" xfId="0" applyFont="1" applyAlignment="1">
      <alignment vertical="top" shrinkToFit="1"/>
    </xf>
    <xf numFmtId="0" fontId="9" fillId="0" borderId="10" xfId="0" applyFont="1" applyBorder="1" applyAlignment="1">
      <alignment vertical="top" shrinkToFit="1"/>
    </xf>
    <xf numFmtId="0" fontId="9" fillId="0" borderId="11" xfId="0" applyFont="1" applyBorder="1" applyAlignment="1">
      <alignment vertical="top" shrinkToFit="1"/>
    </xf>
    <xf numFmtId="0" fontId="9" fillId="0" borderId="6" xfId="0" applyFont="1" applyBorder="1" applyAlignment="1">
      <alignment vertical="top" shrinkToFit="1"/>
    </xf>
    <xf numFmtId="0" fontId="9" fillId="0" borderId="12" xfId="0" applyFont="1" applyBorder="1" applyAlignment="1">
      <alignment vertical="top" shrinkToFit="1"/>
    </xf>
    <xf numFmtId="0" fontId="9" fillId="0" borderId="0" xfId="0" applyFont="1">
      <alignment vertical="center"/>
    </xf>
    <xf numFmtId="0" fontId="9" fillId="0" borderId="2" xfId="0" applyFont="1" applyFill="1" applyBorder="1" applyAlignment="1">
      <alignment vertical="center" shrinkToFit="1"/>
    </xf>
    <xf numFmtId="0" fontId="9" fillId="0" borderId="3" xfId="0" applyFont="1" applyFill="1" applyBorder="1" applyAlignment="1">
      <alignment vertical="center" shrinkToFit="1"/>
    </xf>
    <xf numFmtId="0" fontId="9" fillId="0" borderId="4" xfId="0" applyFont="1" applyFill="1" applyBorder="1" applyAlignment="1">
      <alignment vertical="center" shrinkToFit="1"/>
    </xf>
    <xf numFmtId="0" fontId="9" fillId="0" borderId="5" xfId="0" applyFont="1" applyBorder="1" applyAlignment="1">
      <alignment vertical="top" wrapText="1" shrinkToFit="1"/>
    </xf>
    <xf numFmtId="0" fontId="9" fillId="0" borderId="0" xfId="0" applyFont="1" applyAlignment="1">
      <alignment vertical="top" wrapText="1" shrinkToFit="1"/>
    </xf>
    <xf numFmtId="0" fontId="9" fillId="2" borderId="5" xfId="0" applyFont="1" applyFill="1" applyBorder="1" applyAlignment="1">
      <alignment horizontal="center" vertical="center" shrinkToFit="1"/>
    </xf>
    <xf numFmtId="0" fontId="9" fillId="2" borderId="0" xfId="0" applyFont="1" applyFill="1" applyAlignment="1">
      <alignment horizontal="center" vertical="center" shrinkToFit="1"/>
    </xf>
    <xf numFmtId="0" fontId="9" fillId="2" borderId="10" xfId="0" applyFont="1" applyFill="1" applyBorder="1" applyAlignment="1">
      <alignment horizontal="center" vertical="center" shrinkToFit="1"/>
    </xf>
    <xf numFmtId="0" fontId="9" fillId="0" borderId="2" xfId="0" applyFont="1" applyBorder="1" applyAlignment="1">
      <alignment horizontal="left" vertical="center"/>
    </xf>
    <xf numFmtId="0" fontId="12" fillId="0" borderId="3" xfId="0" applyFont="1" applyBorder="1">
      <alignment vertical="center"/>
    </xf>
    <xf numFmtId="0" fontId="12" fillId="0" borderId="4" xfId="0" applyFont="1" applyBorder="1">
      <alignment vertical="center"/>
    </xf>
    <xf numFmtId="0" fontId="12" fillId="0" borderId="3" xfId="0" applyFont="1" applyBorder="1" applyAlignment="1">
      <alignment horizontal="left" vertical="center"/>
    </xf>
    <xf numFmtId="0" fontId="12" fillId="0" borderId="4" xfId="0" applyFont="1" applyBorder="1" applyAlignment="1">
      <alignment horizontal="left" vertical="center"/>
    </xf>
    <xf numFmtId="0" fontId="9" fillId="0" borderId="2" xfId="0" applyFont="1" applyBorder="1" applyAlignment="1">
      <alignment horizontal="left" vertical="center" shrinkToFit="1"/>
    </xf>
    <xf numFmtId="0" fontId="12" fillId="0" borderId="4" xfId="0" applyFont="1" applyBorder="1" applyAlignment="1">
      <alignment horizontal="left" vertical="center" shrinkToFit="1"/>
    </xf>
    <xf numFmtId="0" fontId="9" fillId="0" borderId="0" xfId="0" applyFont="1" applyAlignment="1">
      <alignment horizontal="center" vertical="center"/>
    </xf>
    <xf numFmtId="0" fontId="9" fillId="0" borderId="11" xfId="0" applyFont="1" applyBorder="1" applyAlignment="1">
      <alignment vertical="center" wrapText="1"/>
    </xf>
    <xf numFmtId="0" fontId="9" fillId="0" borderId="6" xfId="0" applyFont="1" applyBorder="1" applyAlignment="1">
      <alignment vertical="center" wrapText="1"/>
    </xf>
    <xf numFmtId="0" fontId="9" fillId="0" borderId="12" xfId="0" applyFont="1" applyBorder="1" applyAlignment="1">
      <alignment vertical="center" wrapText="1"/>
    </xf>
    <xf numFmtId="0" fontId="9" fillId="0" borderId="6" xfId="0" applyFont="1" applyBorder="1" applyAlignment="1">
      <alignment vertical="top" wrapText="1" shrinkToFit="1"/>
    </xf>
    <xf numFmtId="0" fontId="9" fillId="0" borderId="12" xfId="0" applyFont="1" applyBorder="1" applyAlignment="1">
      <alignment vertical="top" wrapText="1" shrinkToFit="1"/>
    </xf>
    <xf numFmtId="0" fontId="9" fillId="0" borderId="17" xfId="0" applyFont="1" applyBorder="1" applyAlignment="1">
      <alignment vertical="center" wrapText="1"/>
    </xf>
    <xf numFmtId="0" fontId="9" fillId="0" borderId="18" xfId="0" applyFont="1" applyBorder="1" applyAlignment="1">
      <alignment vertical="center" wrapText="1"/>
    </xf>
    <xf numFmtId="0" fontId="9" fillId="0" borderId="20" xfId="0" applyFont="1" applyBorder="1" applyAlignment="1">
      <alignment vertical="top" wrapText="1" shrinkToFit="1"/>
    </xf>
    <xf numFmtId="0" fontId="9" fillId="0" borderId="18" xfId="0" applyFont="1" applyBorder="1" applyAlignment="1">
      <alignment vertical="top" wrapText="1" shrinkToFit="1"/>
    </xf>
    <xf numFmtId="0" fontId="9" fillId="0" borderId="59" xfId="0" applyFont="1" applyBorder="1" applyAlignment="1">
      <alignment vertical="center" wrapText="1"/>
    </xf>
    <xf numFmtId="0" fontId="9" fillId="0" borderId="39" xfId="0" applyFont="1" applyBorder="1" applyAlignment="1">
      <alignment vertical="center" wrapText="1"/>
    </xf>
    <xf numFmtId="0" fontId="9" fillId="0" borderId="38" xfId="0" applyFont="1" applyBorder="1" applyAlignment="1">
      <alignment vertical="top" wrapText="1" shrinkToFit="1"/>
    </xf>
    <xf numFmtId="0" fontId="9" fillId="0" borderId="39" xfId="0" applyFont="1" applyBorder="1" applyAlignment="1">
      <alignment vertical="top" wrapText="1" shrinkToFit="1"/>
    </xf>
    <xf numFmtId="0" fontId="9" fillId="0" borderId="41" xfId="0" applyFont="1" applyBorder="1" applyAlignment="1">
      <alignment vertical="center" wrapText="1"/>
    </xf>
    <xf numFmtId="0" fontId="9" fillId="0" borderId="42" xfId="0" applyFont="1" applyBorder="1" applyAlignment="1">
      <alignment vertical="center" wrapText="1"/>
    </xf>
    <xf numFmtId="0" fontId="9" fillId="0" borderId="43" xfId="0" applyFont="1" applyBorder="1" applyAlignment="1">
      <alignment vertical="center" wrapText="1"/>
    </xf>
    <xf numFmtId="0" fontId="9" fillId="0" borderId="42" xfId="0" applyFont="1" applyBorder="1" applyAlignment="1">
      <alignment vertical="top" wrapText="1" shrinkToFit="1"/>
    </xf>
    <xf numFmtId="0" fontId="9" fillId="0" borderId="43" xfId="0" applyFont="1" applyBorder="1" applyAlignment="1">
      <alignment vertical="top" wrapText="1" shrinkToFit="1"/>
    </xf>
    <xf numFmtId="0" fontId="9" fillId="0" borderId="19" xfId="0" applyFont="1" applyBorder="1" applyAlignment="1">
      <alignment vertical="top" wrapText="1" shrinkToFit="1"/>
    </xf>
    <xf numFmtId="0" fontId="9" fillId="0" borderId="37" xfId="0" applyFont="1" applyBorder="1" applyAlignment="1">
      <alignment vertical="top" wrapText="1" shrinkToFit="1"/>
    </xf>
    <xf numFmtId="0" fontId="9" fillId="0" borderId="17" xfId="0" applyFont="1" applyBorder="1">
      <alignment vertical="center"/>
    </xf>
    <xf numFmtId="0" fontId="12" fillId="0" borderId="18" xfId="0" applyFont="1" applyBorder="1">
      <alignment vertical="center"/>
    </xf>
    <xf numFmtId="0" fontId="9" fillId="0" borderId="3" xfId="0" applyFont="1" applyBorder="1" applyAlignment="1">
      <alignment horizontal="left" vertical="center"/>
    </xf>
    <xf numFmtId="0" fontId="9"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110"/>
  <sheetViews>
    <sheetView showZeros="0" tabSelected="1" view="pageBreakPreview" zoomScaleNormal="100" zoomScaleSheetLayoutView="100" workbookViewId="0">
      <selection activeCell="C3" sqref="C3:I3"/>
    </sheetView>
  </sheetViews>
  <sheetFormatPr defaultColWidth="9" defaultRowHeight="18.75" customHeight="1" x14ac:dyDescent="0.15"/>
  <cols>
    <col min="1" max="1" width="2.5" style="44" customWidth="1"/>
    <col min="2" max="2" width="16.5" style="44" customWidth="1"/>
    <col min="3" max="19" width="5.625" style="44" customWidth="1"/>
    <col min="20" max="20" width="9" style="44"/>
    <col min="21" max="21" width="3.625" style="44" customWidth="1"/>
    <col min="22" max="22" width="48.625" style="44" hidden="1" customWidth="1"/>
    <col min="23" max="23" width="9" style="44"/>
    <col min="24" max="16384" width="9" style="1"/>
  </cols>
  <sheetData>
    <row r="1" spans="1:22" ht="18.600000000000001" customHeight="1" x14ac:dyDescent="0.15">
      <c r="R1" s="114" t="s">
        <v>12</v>
      </c>
      <c r="S1" s="114"/>
      <c r="T1" s="45" t="s">
        <v>110</v>
      </c>
    </row>
    <row r="2" spans="1:22" ht="18.75" customHeight="1" x14ac:dyDescent="0.15">
      <c r="B2" s="46" t="s">
        <v>109</v>
      </c>
      <c r="C2" s="107" t="s">
        <v>177</v>
      </c>
      <c r="D2" s="108"/>
      <c r="E2" s="108"/>
      <c r="F2" s="108"/>
      <c r="G2" s="108"/>
      <c r="H2" s="108"/>
      <c r="I2" s="109"/>
      <c r="J2" s="47"/>
      <c r="K2" s="48"/>
      <c r="L2" s="48"/>
      <c r="M2" s="48"/>
      <c r="N2" s="48"/>
      <c r="O2" s="48"/>
      <c r="P2" s="48"/>
      <c r="Q2" s="48"/>
      <c r="R2" s="48"/>
      <c r="S2" s="48"/>
    </row>
    <row r="3" spans="1:22" ht="18.75" customHeight="1" x14ac:dyDescent="0.15">
      <c r="B3" s="46" t="s">
        <v>103</v>
      </c>
      <c r="C3" s="118" t="s">
        <v>141</v>
      </c>
      <c r="D3" s="119"/>
      <c r="E3" s="119"/>
      <c r="F3" s="119"/>
      <c r="G3" s="119"/>
      <c r="H3" s="119"/>
      <c r="I3" s="120"/>
      <c r="J3" s="47"/>
      <c r="K3" s="48"/>
      <c r="L3" s="48"/>
      <c r="M3" s="48"/>
      <c r="N3" s="48"/>
      <c r="O3" s="48"/>
      <c r="P3" s="48"/>
      <c r="Q3" s="48"/>
      <c r="R3" s="48"/>
      <c r="S3" s="48"/>
    </row>
    <row r="4" spans="1:22" ht="15" customHeight="1" x14ac:dyDescent="0.15">
      <c r="K4" s="47"/>
      <c r="L4" s="49"/>
      <c r="M4" s="49"/>
      <c r="N4" s="49"/>
      <c r="O4" s="49"/>
      <c r="P4" s="49"/>
      <c r="Q4" s="49"/>
      <c r="R4" s="49"/>
      <c r="S4" s="49"/>
    </row>
    <row r="5" spans="1:22" ht="18" customHeight="1" x14ac:dyDescent="0.15">
      <c r="A5" s="121" t="s">
        <v>39</v>
      </c>
      <c r="B5" s="121"/>
      <c r="C5" s="121"/>
      <c r="D5" s="121"/>
      <c r="E5" s="121"/>
      <c r="F5" s="121"/>
      <c r="G5" s="121"/>
      <c r="H5" s="121"/>
      <c r="I5" s="121"/>
      <c r="J5" s="121"/>
      <c r="K5" s="121"/>
      <c r="L5" s="121"/>
      <c r="M5" s="121"/>
      <c r="N5" s="121"/>
      <c r="O5" s="121"/>
      <c r="P5" s="121"/>
      <c r="Q5" s="121"/>
      <c r="R5" s="121"/>
      <c r="S5" s="121"/>
    </row>
    <row r="6" spans="1:22" ht="15" customHeight="1" x14ac:dyDescent="0.15">
      <c r="B6" s="50"/>
      <c r="C6" s="50"/>
      <c r="D6" s="50"/>
      <c r="E6" s="50"/>
      <c r="F6" s="50"/>
      <c r="G6" s="50"/>
      <c r="H6" s="50"/>
      <c r="I6" s="50"/>
      <c r="J6" s="50"/>
      <c r="K6" s="50"/>
      <c r="L6" s="50"/>
      <c r="M6" s="50"/>
      <c r="N6" s="50"/>
      <c r="O6" s="50"/>
      <c r="P6" s="50"/>
      <c r="Q6" s="50"/>
      <c r="R6" s="50"/>
      <c r="S6" s="50"/>
    </row>
    <row r="7" spans="1:22" ht="18" customHeight="1" x14ac:dyDescent="0.15">
      <c r="A7" s="44" t="s">
        <v>124</v>
      </c>
      <c r="C7" s="50"/>
      <c r="J7" s="51" t="s">
        <v>108</v>
      </c>
      <c r="K7" s="131" t="s">
        <v>126</v>
      </c>
      <c r="L7" s="132"/>
      <c r="M7" s="132"/>
      <c r="N7" s="132"/>
      <c r="O7" s="132"/>
      <c r="P7" s="132"/>
      <c r="Q7" s="132"/>
      <c r="R7" s="132"/>
      <c r="S7" s="133"/>
    </row>
    <row r="8" spans="1:22" ht="6" customHeight="1" x14ac:dyDescent="0.15">
      <c r="B8" s="50"/>
      <c r="C8" s="50"/>
      <c r="D8" s="50"/>
      <c r="E8" s="50"/>
      <c r="F8" s="50"/>
      <c r="G8" s="50"/>
      <c r="H8" s="50"/>
      <c r="I8" s="50"/>
      <c r="J8" s="50"/>
      <c r="K8" s="52"/>
      <c r="L8" s="50"/>
      <c r="M8" s="50"/>
      <c r="N8" s="50"/>
      <c r="O8" s="50"/>
      <c r="P8" s="50"/>
      <c r="Q8" s="50"/>
      <c r="R8" s="50"/>
      <c r="S8" s="50"/>
    </row>
    <row r="9" spans="1:22" ht="18" customHeight="1" x14ac:dyDescent="0.15">
      <c r="B9" s="95"/>
      <c r="C9" s="96"/>
      <c r="D9" s="96"/>
      <c r="E9" s="96"/>
      <c r="F9" s="96"/>
      <c r="G9" s="96"/>
      <c r="H9" s="96"/>
      <c r="I9" s="96"/>
      <c r="J9" s="96"/>
      <c r="K9" s="96"/>
      <c r="L9" s="96"/>
      <c r="M9" s="96"/>
      <c r="N9" s="96"/>
      <c r="O9" s="96"/>
      <c r="P9" s="96"/>
      <c r="Q9" s="96"/>
      <c r="R9" s="96"/>
      <c r="S9" s="97"/>
    </row>
    <row r="10" spans="1:22" ht="18" customHeight="1" x14ac:dyDescent="0.15">
      <c r="B10" s="98"/>
      <c r="C10" s="99"/>
      <c r="D10" s="99"/>
      <c r="E10" s="99"/>
      <c r="F10" s="99"/>
      <c r="G10" s="99"/>
      <c r="H10" s="99"/>
      <c r="I10" s="99"/>
      <c r="J10" s="99"/>
      <c r="K10" s="99"/>
      <c r="L10" s="99"/>
      <c r="M10" s="99"/>
      <c r="N10" s="99"/>
      <c r="O10" s="99"/>
      <c r="P10" s="99"/>
      <c r="Q10" s="99"/>
      <c r="R10" s="99"/>
      <c r="S10" s="100"/>
    </row>
    <row r="11" spans="1:22" ht="6" customHeight="1" x14ac:dyDescent="0.15">
      <c r="B11" s="50"/>
      <c r="C11" s="50"/>
      <c r="D11" s="50"/>
      <c r="E11" s="50"/>
      <c r="F11" s="50"/>
      <c r="G11" s="50"/>
      <c r="H11" s="50"/>
      <c r="I11" s="50"/>
      <c r="J11" s="50"/>
      <c r="K11" s="52"/>
      <c r="L11" s="50"/>
      <c r="M11" s="50"/>
      <c r="N11" s="50"/>
      <c r="O11" s="50"/>
      <c r="P11" s="50"/>
      <c r="Q11" s="50"/>
      <c r="R11" s="50"/>
      <c r="S11" s="50"/>
    </row>
    <row r="12" spans="1:22" ht="18" customHeight="1" x14ac:dyDescent="0.15">
      <c r="A12" s="44" t="s">
        <v>112</v>
      </c>
      <c r="B12" s="50"/>
      <c r="C12" s="50"/>
      <c r="D12" s="47"/>
      <c r="E12" s="47"/>
      <c r="F12" s="47"/>
      <c r="G12" s="47"/>
      <c r="H12" s="47"/>
      <c r="I12" s="47"/>
      <c r="J12" s="47"/>
      <c r="K12" s="53"/>
      <c r="L12" s="53"/>
      <c r="M12" s="53"/>
      <c r="N12" s="53"/>
      <c r="O12" s="53"/>
      <c r="P12" s="53"/>
      <c r="Q12" s="53"/>
      <c r="R12" s="53"/>
      <c r="S12" s="53"/>
    </row>
    <row r="13" spans="1:22" ht="18" customHeight="1" x14ac:dyDescent="0.15">
      <c r="B13" s="122" t="s">
        <v>142</v>
      </c>
      <c r="C13" s="123"/>
      <c r="D13" s="123"/>
      <c r="E13" s="123"/>
      <c r="F13" s="123"/>
      <c r="G13" s="123"/>
      <c r="H13" s="123"/>
      <c r="I13" s="123"/>
      <c r="J13" s="123"/>
      <c r="K13" s="123"/>
      <c r="L13" s="123"/>
      <c r="M13" s="123"/>
      <c r="N13" s="123"/>
      <c r="O13" s="123"/>
      <c r="P13" s="123"/>
      <c r="Q13" s="123"/>
      <c r="R13" s="123"/>
      <c r="S13" s="124"/>
      <c r="V13" s="44" t="s">
        <v>104</v>
      </c>
    </row>
    <row r="14" spans="1:22" ht="18" customHeight="1" x14ac:dyDescent="0.15">
      <c r="B14" s="125"/>
      <c r="C14" s="126"/>
      <c r="D14" s="126"/>
      <c r="E14" s="126"/>
      <c r="F14" s="126"/>
      <c r="G14" s="126"/>
      <c r="H14" s="126"/>
      <c r="I14" s="126"/>
      <c r="J14" s="126"/>
      <c r="K14" s="126"/>
      <c r="L14" s="126"/>
      <c r="M14" s="126"/>
      <c r="N14" s="126"/>
      <c r="O14" s="126"/>
      <c r="P14" s="126"/>
      <c r="Q14" s="126"/>
      <c r="R14" s="126"/>
      <c r="S14" s="127"/>
      <c r="V14" s="44" t="s">
        <v>111</v>
      </c>
    </row>
    <row r="15" spans="1:22" ht="18" customHeight="1" x14ac:dyDescent="0.15">
      <c r="B15" s="125"/>
      <c r="C15" s="126"/>
      <c r="D15" s="126"/>
      <c r="E15" s="126"/>
      <c r="F15" s="126"/>
      <c r="G15" s="126"/>
      <c r="H15" s="126"/>
      <c r="I15" s="126"/>
      <c r="J15" s="126"/>
      <c r="K15" s="126"/>
      <c r="L15" s="126"/>
      <c r="M15" s="126"/>
      <c r="N15" s="126"/>
      <c r="O15" s="126"/>
      <c r="P15" s="126"/>
      <c r="Q15" s="126"/>
      <c r="R15" s="126"/>
      <c r="S15" s="127"/>
      <c r="V15" s="44" t="s">
        <v>123</v>
      </c>
    </row>
    <row r="16" spans="1:22" ht="18" customHeight="1" x14ac:dyDescent="0.15">
      <c r="B16" s="125"/>
      <c r="C16" s="126"/>
      <c r="D16" s="126"/>
      <c r="E16" s="126"/>
      <c r="F16" s="126"/>
      <c r="G16" s="126"/>
      <c r="H16" s="126"/>
      <c r="I16" s="126"/>
      <c r="J16" s="126"/>
      <c r="K16" s="126"/>
      <c r="L16" s="126"/>
      <c r="M16" s="126"/>
      <c r="N16" s="126"/>
      <c r="O16" s="126"/>
      <c r="P16" s="126"/>
      <c r="Q16" s="126"/>
      <c r="R16" s="126"/>
      <c r="S16" s="127"/>
      <c r="V16" s="44" t="s">
        <v>125</v>
      </c>
    </row>
    <row r="17" spans="1:19" ht="18" customHeight="1" x14ac:dyDescent="0.15">
      <c r="B17" s="125"/>
      <c r="C17" s="126"/>
      <c r="D17" s="126"/>
      <c r="E17" s="126"/>
      <c r="F17" s="126"/>
      <c r="G17" s="126"/>
      <c r="H17" s="126"/>
      <c r="I17" s="126"/>
      <c r="J17" s="126"/>
      <c r="K17" s="126"/>
      <c r="L17" s="126"/>
      <c r="M17" s="126"/>
      <c r="N17" s="126"/>
      <c r="O17" s="126"/>
      <c r="P17" s="126"/>
      <c r="Q17" s="126"/>
      <c r="R17" s="126"/>
      <c r="S17" s="127"/>
    </row>
    <row r="18" spans="1:19" ht="18" customHeight="1" x14ac:dyDescent="0.15">
      <c r="B18" s="128"/>
      <c r="C18" s="129"/>
      <c r="D18" s="129"/>
      <c r="E18" s="129"/>
      <c r="F18" s="129"/>
      <c r="G18" s="129"/>
      <c r="H18" s="129"/>
      <c r="I18" s="129"/>
      <c r="J18" s="129"/>
      <c r="K18" s="129"/>
      <c r="L18" s="129"/>
      <c r="M18" s="129"/>
      <c r="N18" s="129"/>
      <c r="O18" s="129"/>
      <c r="P18" s="129"/>
      <c r="Q18" s="129"/>
      <c r="R18" s="129"/>
      <c r="S18" s="130"/>
    </row>
    <row r="19" spans="1:19" ht="7.5" customHeight="1" x14ac:dyDescent="0.15">
      <c r="B19" s="50"/>
      <c r="C19" s="50"/>
      <c r="D19" s="50"/>
      <c r="E19" s="50"/>
      <c r="F19" s="50"/>
      <c r="G19" s="50"/>
      <c r="H19" s="50"/>
      <c r="I19" s="50"/>
      <c r="J19" s="50"/>
      <c r="K19" s="50"/>
      <c r="L19" s="50"/>
      <c r="M19" s="50"/>
      <c r="N19" s="50"/>
      <c r="O19" s="50"/>
      <c r="P19" s="50"/>
      <c r="Q19" s="50"/>
      <c r="R19" s="50"/>
      <c r="S19" s="50"/>
    </row>
    <row r="20" spans="1:19" ht="20.100000000000001" customHeight="1" x14ac:dyDescent="0.15">
      <c r="B20" s="44" t="s">
        <v>113</v>
      </c>
      <c r="C20" s="107">
        <v>2</v>
      </c>
      <c r="D20" s="109"/>
      <c r="E20" s="54" t="s">
        <v>96</v>
      </c>
      <c r="G20" s="52"/>
      <c r="H20" s="50"/>
      <c r="I20" s="50"/>
      <c r="J20" s="47" t="s">
        <v>122</v>
      </c>
      <c r="K20" s="115" t="s">
        <v>125</v>
      </c>
      <c r="L20" s="116"/>
      <c r="M20" s="116"/>
      <c r="N20" s="116"/>
      <c r="O20" s="116"/>
      <c r="P20" s="116"/>
      <c r="Q20" s="116"/>
      <c r="R20" s="116"/>
      <c r="S20" s="117"/>
    </row>
    <row r="21" spans="1:19" ht="7.5" customHeight="1" x14ac:dyDescent="0.15">
      <c r="B21" s="50"/>
      <c r="C21" s="50"/>
      <c r="D21" s="50"/>
      <c r="E21" s="50"/>
      <c r="F21" s="50"/>
      <c r="G21" s="50"/>
      <c r="H21" s="50"/>
      <c r="I21" s="50"/>
      <c r="J21" s="50"/>
      <c r="K21" s="50"/>
      <c r="L21" s="50"/>
      <c r="M21" s="50"/>
      <c r="N21" s="50"/>
      <c r="O21" s="50"/>
      <c r="P21" s="50"/>
      <c r="Q21" s="50"/>
      <c r="R21" s="50"/>
      <c r="S21" s="50"/>
    </row>
    <row r="22" spans="1:19" ht="18" customHeight="1" x14ac:dyDescent="0.15">
      <c r="A22" s="110" t="s">
        <v>114</v>
      </c>
      <c r="B22" s="110"/>
      <c r="C22" s="110"/>
      <c r="D22" s="110"/>
      <c r="E22" s="110"/>
      <c r="F22" s="110"/>
      <c r="G22" s="110"/>
      <c r="H22" s="110"/>
      <c r="I22" s="110"/>
      <c r="J22" s="110"/>
      <c r="K22" s="110"/>
      <c r="L22" s="110"/>
      <c r="M22" s="110"/>
      <c r="N22" s="110"/>
      <c r="O22" s="110"/>
      <c r="P22" s="110"/>
      <c r="Q22" s="110"/>
      <c r="R22" s="110"/>
      <c r="S22" s="110"/>
    </row>
    <row r="23" spans="1:19" ht="18" customHeight="1" x14ac:dyDescent="0.15">
      <c r="A23" s="110"/>
      <c r="B23" s="110"/>
      <c r="C23" s="110"/>
      <c r="D23" s="110"/>
      <c r="E23" s="110"/>
      <c r="F23" s="110"/>
      <c r="G23" s="110"/>
      <c r="H23" s="110"/>
      <c r="I23" s="110"/>
      <c r="J23" s="110"/>
      <c r="K23" s="110"/>
      <c r="L23" s="110"/>
      <c r="M23" s="110"/>
      <c r="N23" s="110"/>
      <c r="O23" s="110"/>
      <c r="P23" s="110"/>
      <c r="Q23" s="110"/>
      <c r="R23" s="110"/>
      <c r="S23" s="110"/>
    </row>
    <row r="24" spans="1:19" ht="18" customHeight="1" x14ac:dyDescent="0.15">
      <c r="B24" s="107" t="s">
        <v>54</v>
      </c>
      <c r="C24" s="108"/>
      <c r="D24" s="108"/>
      <c r="E24" s="109"/>
      <c r="F24" s="55" t="s">
        <v>81</v>
      </c>
      <c r="G24" s="56" t="s">
        <v>85</v>
      </c>
      <c r="H24" s="57" t="s">
        <v>57</v>
      </c>
      <c r="I24" s="57" t="s">
        <v>60</v>
      </c>
      <c r="J24" s="107" t="s">
        <v>54</v>
      </c>
      <c r="K24" s="108"/>
      <c r="L24" s="108"/>
      <c r="M24" s="108"/>
      <c r="N24" s="108"/>
      <c r="O24" s="109"/>
      <c r="P24" s="55" t="s">
        <v>81</v>
      </c>
      <c r="Q24" s="56" t="s">
        <v>85</v>
      </c>
      <c r="R24" s="57" t="s">
        <v>57</v>
      </c>
      <c r="S24" s="57" t="s">
        <v>60</v>
      </c>
    </row>
    <row r="25" spans="1:19" ht="18" customHeight="1" x14ac:dyDescent="0.15">
      <c r="B25" s="111" t="s">
        <v>127</v>
      </c>
      <c r="C25" s="112"/>
      <c r="D25" s="112"/>
      <c r="E25" s="113"/>
      <c r="F25" s="58">
        <v>2</v>
      </c>
      <c r="G25" s="58" t="s">
        <v>128</v>
      </c>
      <c r="H25" s="58" t="s">
        <v>128</v>
      </c>
      <c r="I25" s="58" t="s">
        <v>128</v>
      </c>
      <c r="J25" s="111"/>
      <c r="K25" s="112"/>
      <c r="L25" s="112"/>
      <c r="M25" s="112"/>
      <c r="N25" s="112"/>
      <c r="O25" s="113"/>
      <c r="P25" s="58"/>
      <c r="Q25" s="58"/>
      <c r="R25" s="58"/>
      <c r="S25" s="58"/>
    </row>
    <row r="26" spans="1:19" ht="18" customHeight="1" x14ac:dyDescent="0.15">
      <c r="B26" s="101"/>
      <c r="C26" s="102"/>
      <c r="D26" s="102"/>
      <c r="E26" s="103"/>
      <c r="F26" s="59"/>
      <c r="G26" s="59"/>
      <c r="H26" s="59"/>
      <c r="I26" s="59"/>
      <c r="J26" s="101"/>
      <c r="K26" s="102"/>
      <c r="L26" s="102"/>
      <c r="M26" s="102"/>
      <c r="N26" s="102"/>
      <c r="O26" s="103"/>
      <c r="P26" s="59"/>
      <c r="Q26" s="59"/>
      <c r="R26" s="59"/>
      <c r="S26" s="59"/>
    </row>
    <row r="27" spans="1:19" ht="18" customHeight="1" x14ac:dyDescent="0.15">
      <c r="B27" s="101"/>
      <c r="C27" s="102"/>
      <c r="D27" s="102"/>
      <c r="E27" s="103"/>
      <c r="F27" s="59"/>
      <c r="G27" s="59"/>
      <c r="H27" s="59"/>
      <c r="I27" s="59"/>
      <c r="J27" s="101"/>
      <c r="K27" s="102"/>
      <c r="L27" s="102"/>
      <c r="M27" s="102"/>
      <c r="N27" s="102"/>
      <c r="O27" s="103"/>
      <c r="P27" s="59"/>
      <c r="Q27" s="59"/>
      <c r="R27" s="59"/>
      <c r="S27" s="59"/>
    </row>
    <row r="28" spans="1:19" ht="18" customHeight="1" x14ac:dyDescent="0.15">
      <c r="B28" s="101"/>
      <c r="C28" s="102"/>
      <c r="D28" s="102"/>
      <c r="E28" s="103"/>
      <c r="F28" s="59"/>
      <c r="G28" s="59"/>
      <c r="H28" s="59"/>
      <c r="I28" s="59"/>
      <c r="J28" s="101"/>
      <c r="K28" s="102"/>
      <c r="L28" s="102"/>
      <c r="M28" s="102"/>
      <c r="N28" s="102"/>
      <c r="O28" s="103"/>
      <c r="P28" s="59"/>
      <c r="Q28" s="59"/>
      <c r="R28" s="59"/>
      <c r="S28" s="59"/>
    </row>
    <row r="29" spans="1:19" ht="18" customHeight="1" x14ac:dyDescent="0.15">
      <c r="B29" s="101"/>
      <c r="C29" s="102"/>
      <c r="D29" s="102"/>
      <c r="E29" s="103"/>
      <c r="F29" s="59"/>
      <c r="G29" s="59"/>
      <c r="H29" s="59"/>
      <c r="I29" s="59"/>
      <c r="J29" s="101"/>
      <c r="K29" s="102"/>
      <c r="L29" s="102"/>
      <c r="M29" s="102"/>
      <c r="N29" s="102"/>
      <c r="O29" s="103"/>
      <c r="P29" s="59"/>
      <c r="Q29" s="59"/>
      <c r="R29" s="59"/>
      <c r="S29" s="59"/>
    </row>
    <row r="30" spans="1:19" ht="18" customHeight="1" x14ac:dyDescent="0.15">
      <c r="A30" s="50"/>
      <c r="B30" s="101"/>
      <c r="C30" s="102"/>
      <c r="D30" s="102"/>
      <c r="E30" s="103"/>
      <c r="F30" s="59"/>
      <c r="G30" s="59"/>
      <c r="H30" s="59"/>
      <c r="I30" s="59"/>
      <c r="J30" s="101"/>
      <c r="K30" s="102"/>
      <c r="L30" s="102"/>
      <c r="M30" s="102"/>
      <c r="N30" s="102"/>
      <c r="O30" s="103"/>
      <c r="P30" s="59"/>
      <c r="Q30" s="59"/>
      <c r="R30" s="59"/>
      <c r="S30" s="59"/>
    </row>
    <row r="31" spans="1:19" ht="18" customHeight="1" x14ac:dyDescent="0.15">
      <c r="A31" s="50"/>
      <c r="B31" s="104"/>
      <c r="C31" s="105"/>
      <c r="D31" s="105"/>
      <c r="E31" s="106"/>
      <c r="F31" s="60"/>
      <c r="G31" s="60"/>
      <c r="H31" s="61"/>
      <c r="I31" s="61"/>
      <c r="J31" s="104"/>
      <c r="K31" s="105"/>
      <c r="L31" s="105"/>
      <c r="M31" s="105"/>
      <c r="N31" s="105"/>
      <c r="O31" s="106"/>
      <c r="P31" s="60"/>
      <c r="Q31" s="60"/>
      <c r="R31" s="61"/>
      <c r="S31" s="61"/>
    </row>
    <row r="32" spans="1:19" ht="7.5" customHeight="1" x14ac:dyDescent="0.15">
      <c r="A32" s="50"/>
      <c r="B32" s="48"/>
      <c r="C32" s="48"/>
      <c r="D32" s="50"/>
      <c r="E32" s="50"/>
      <c r="F32" s="50"/>
      <c r="G32" s="50"/>
      <c r="H32" s="48"/>
      <c r="I32" s="48"/>
      <c r="J32" s="48"/>
      <c r="K32" s="48"/>
      <c r="L32" s="48"/>
      <c r="M32" s="48"/>
      <c r="N32" s="48"/>
      <c r="O32" s="48"/>
      <c r="P32" s="48"/>
      <c r="Q32" s="48"/>
      <c r="R32" s="48"/>
      <c r="S32" s="50"/>
    </row>
    <row r="33" spans="1:19" ht="18" customHeight="1" x14ac:dyDescent="0.15">
      <c r="A33" s="110" t="s">
        <v>115</v>
      </c>
      <c r="B33" s="110"/>
      <c r="C33" s="110"/>
      <c r="D33" s="110"/>
      <c r="E33" s="110"/>
      <c r="F33" s="110"/>
      <c r="G33" s="110"/>
      <c r="H33" s="110"/>
      <c r="I33" s="110"/>
      <c r="J33" s="110"/>
      <c r="K33" s="110"/>
      <c r="L33" s="110"/>
      <c r="M33" s="110"/>
      <c r="N33" s="110"/>
      <c r="O33" s="110"/>
      <c r="P33" s="110"/>
      <c r="Q33" s="110"/>
      <c r="R33" s="110"/>
      <c r="S33" s="110"/>
    </row>
    <row r="34" spans="1:19" ht="18" customHeight="1" x14ac:dyDescent="0.15">
      <c r="A34" s="110"/>
      <c r="B34" s="110"/>
      <c r="C34" s="110"/>
      <c r="D34" s="110"/>
      <c r="E34" s="110"/>
      <c r="F34" s="110"/>
      <c r="G34" s="110"/>
      <c r="H34" s="110"/>
      <c r="I34" s="110"/>
      <c r="J34" s="110"/>
      <c r="K34" s="110"/>
      <c r="L34" s="110"/>
      <c r="M34" s="110"/>
      <c r="N34" s="110"/>
      <c r="O34" s="110"/>
      <c r="P34" s="110"/>
      <c r="Q34" s="110"/>
      <c r="R34" s="110"/>
      <c r="S34" s="110"/>
    </row>
    <row r="35" spans="1:19" ht="18" customHeight="1" x14ac:dyDescent="0.15">
      <c r="B35" s="107" t="s">
        <v>54</v>
      </c>
      <c r="C35" s="108"/>
      <c r="D35" s="108"/>
      <c r="E35" s="109"/>
      <c r="F35" s="55" t="s">
        <v>81</v>
      </c>
      <c r="G35" s="56" t="s">
        <v>85</v>
      </c>
      <c r="H35" s="57" t="s">
        <v>72</v>
      </c>
      <c r="I35" s="57" t="s">
        <v>73</v>
      </c>
      <c r="J35" s="107" t="s">
        <v>54</v>
      </c>
      <c r="K35" s="108"/>
      <c r="L35" s="108"/>
      <c r="M35" s="108"/>
      <c r="N35" s="108"/>
      <c r="O35" s="109"/>
      <c r="P35" s="55" t="s">
        <v>81</v>
      </c>
      <c r="Q35" s="56" t="s">
        <v>85</v>
      </c>
      <c r="R35" s="57" t="s">
        <v>72</v>
      </c>
      <c r="S35" s="57" t="s">
        <v>73</v>
      </c>
    </row>
    <row r="36" spans="1:19" ht="18" customHeight="1" x14ac:dyDescent="0.15">
      <c r="B36" s="111" t="s">
        <v>127</v>
      </c>
      <c r="C36" s="112"/>
      <c r="D36" s="112"/>
      <c r="E36" s="113"/>
      <c r="F36" s="58">
        <v>2</v>
      </c>
      <c r="G36" s="58" t="s">
        <v>128</v>
      </c>
      <c r="H36" s="58" t="s">
        <v>128</v>
      </c>
      <c r="I36" s="58" t="s">
        <v>128</v>
      </c>
      <c r="J36" s="111"/>
      <c r="K36" s="112"/>
      <c r="L36" s="112"/>
      <c r="M36" s="112"/>
      <c r="N36" s="112"/>
      <c r="O36" s="113"/>
      <c r="P36" s="58"/>
      <c r="Q36" s="58"/>
      <c r="R36" s="58"/>
      <c r="S36" s="58"/>
    </row>
    <row r="37" spans="1:19" ht="18" customHeight="1" x14ac:dyDescent="0.15">
      <c r="B37" s="101"/>
      <c r="C37" s="102"/>
      <c r="D37" s="102"/>
      <c r="E37" s="103"/>
      <c r="F37" s="59"/>
      <c r="G37" s="59"/>
      <c r="H37" s="59"/>
      <c r="I37" s="59"/>
      <c r="J37" s="101"/>
      <c r="K37" s="102"/>
      <c r="L37" s="102"/>
      <c r="M37" s="102"/>
      <c r="N37" s="102"/>
      <c r="O37" s="103"/>
      <c r="P37" s="59"/>
      <c r="Q37" s="59"/>
      <c r="R37" s="59"/>
      <c r="S37" s="59"/>
    </row>
    <row r="38" spans="1:19" ht="18" customHeight="1" x14ac:dyDescent="0.15">
      <c r="B38" s="101"/>
      <c r="C38" s="102"/>
      <c r="D38" s="102"/>
      <c r="E38" s="103"/>
      <c r="F38" s="59"/>
      <c r="G38" s="59"/>
      <c r="H38" s="59"/>
      <c r="I38" s="59"/>
      <c r="J38" s="101"/>
      <c r="K38" s="102"/>
      <c r="L38" s="102"/>
      <c r="M38" s="102"/>
      <c r="N38" s="102"/>
      <c r="O38" s="103"/>
      <c r="P38" s="59"/>
      <c r="Q38" s="59"/>
      <c r="R38" s="59"/>
      <c r="S38" s="59"/>
    </row>
    <row r="39" spans="1:19" ht="18" customHeight="1" x14ac:dyDescent="0.15">
      <c r="B39" s="101"/>
      <c r="C39" s="102"/>
      <c r="D39" s="102"/>
      <c r="E39" s="103"/>
      <c r="F39" s="59"/>
      <c r="G39" s="59"/>
      <c r="H39" s="59"/>
      <c r="I39" s="59"/>
      <c r="J39" s="101"/>
      <c r="K39" s="102"/>
      <c r="L39" s="102"/>
      <c r="M39" s="102"/>
      <c r="N39" s="102"/>
      <c r="O39" s="103"/>
      <c r="P39" s="59"/>
      <c r="Q39" s="59"/>
      <c r="R39" s="59"/>
      <c r="S39" s="59"/>
    </row>
    <row r="40" spans="1:19" ht="18" customHeight="1" x14ac:dyDescent="0.15">
      <c r="B40" s="101"/>
      <c r="C40" s="102"/>
      <c r="D40" s="102"/>
      <c r="E40" s="103"/>
      <c r="F40" s="59"/>
      <c r="G40" s="59"/>
      <c r="H40" s="59"/>
      <c r="I40" s="59"/>
      <c r="J40" s="101"/>
      <c r="K40" s="102"/>
      <c r="L40" s="102"/>
      <c r="M40" s="102"/>
      <c r="N40" s="102"/>
      <c r="O40" s="103"/>
      <c r="P40" s="59"/>
      <c r="Q40" s="59"/>
      <c r="R40" s="59"/>
      <c r="S40" s="59"/>
    </row>
    <row r="41" spans="1:19" ht="18" customHeight="1" x14ac:dyDescent="0.15">
      <c r="B41" s="101"/>
      <c r="C41" s="102"/>
      <c r="D41" s="102"/>
      <c r="E41" s="103"/>
      <c r="F41" s="59"/>
      <c r="G41" s="59"/>
      <c r="H41" s="59"/>
      <c r="I41" s="59"/>
      <c r="J41" s="101"/>
      <c r="K41" s="102"/>
      <c r="L41" s="102"/>
      <c r="M41" s="102"/>
      <c r="N41" s="102"/>
      <c r="O41" s="103"/>
      <c r="P41" s="59"/>
      <c r="Q41" s="59"/>
      <c r="R41" s="59"/>
      <c r="S41" s="59"/>
    </row>
    <row r="42" spans="1:19" ht="18" customHeight="1" x14ac:dyDescent="0.15">
      <c r="B42" s="104"/>
      <c r="C42" s="105"/>
      <c r="D42" s="105"/>
      <c r="E42" s="106"/>
      <c r="F42" s="60"/>
      <c r="G42" s="60"/>
      <c r="H42" s="61"/>
      <c r="I42" s="61"/>
      <c r="J42" s="104"/>
      <c r="K42" s="105"/>
      <c r="L42" s="105"/>
      <c r="M42" s="105"/>
      <c r="N42" s="105"/>
      <c r="O42" s="106"/>
      <c r="P42" s="60"/>
      <c r="Q42" s="60"/>
      <c r="R42" s="61"/>
      <c r="S42" s="61"/>
    </row>
    <row r="43" spans="1:19" ht="7.5" customHeight="1" x14ac:dyDescent="0.15">
      <c r="A43" s="50"/>
      <c r="B43" s="48"/>
      <c r="C43" s="48"/>
      <c r="D43" s="50"/>
      <c r="E43" s="50"/>
      <c r="F43" s="50"/>
      <c r="G43" s="50"/>
      <c r="H43" s="48"/>
      <c r="I43" s="48"/>
      <c r="J43" s="48"/>
      <c r="K43" s="48"/>
      <c r="L43" s="48"/>
      <c r="M43" s="48"/>
      <c r="N43" s="48"/>
      <c r="O43" s="48"/>
      <c r="P43" s="48"/>
      <c r="Q43" s="48"/>
      <c r="R43" s="48"/>
      <c r="S43" s="50"/>
    </row>
    <row r="44" spans="1:19" ht="18" customHeight="1" x14ac:dyDescent="0.15">
      <c r="A44" s="110" t="s">
        <v>116</v>
      </c>
      <c r="B44" s="110"/>
      <c r="C44" s="110"/>
      <c r="D44" s="110"/>
      <c r="E44" s="110"/>
      <c r="F44" s="110"/>
      <c r="G44" s="110"/>
      <c r="H44" s="110"/>
      <c r="I44" s="110"/>
      <c r="J44" s="110"/>
      <c r="K44" s="110"/>
      <c r="L44" s="110"/>
      <c r="M44" s="110"/>
      <c r="N44" s="110"/>
      <c r="O44" s="110"/>
      <c r="P44" s="110"/>
      <c r="Q44" s="110"/>
      <c r="R44" s="110"/>
      <c r="S44" s="110"/>
    </row>
    <row r="45" spans="1:19" ht="18" customHeight="1" x14ac:dyDescent="0.15">
      <c r="A45" s="110"/>
      <c r="B45" s="110"/>
      <c r="C45" s="110"/>
      <c r="D45" s="110"/>
      <c r="E45" s="110"/>
      <c r="F45" s="110"/>
      <c r="G45" s="110"/>
      <c r="H45" s="110"/>
      <c r="I45" s="110"/>
      <c r="J45" s="110"/>
      <c r="K45" s="110"/>
      <c r="L45" s="110"/>
      <c r="M45" s="110"/>
      <c r="N45" s="110"/>
      <c r="O45" s="110"/>
      <c r="P45" s="110"/>
      <c r="Q45" s="110"/>
      <c r="R45" s="110"/>
      <c r="S45" s="110"/>
    </row>
    <row r="46" spans="1:19" ht="18" customHeight="1" x14ac:dyDescent="0.15">
      <c r="B46" s="107" t="s">
        <v>54</v>
      </c>
      <c r="C46" s="108"/>
      <c r="D46" s="108"/>
      <c r="E46" s="109"/>
      <c r="F46" s="55" t="s">
        <v>81</v>
      </c>
      <c r="G46" s="56" t="s">
        <v>85</v>
      </c>
      <c r="H46" s="57" t="s">
        <v>74</v>
      </c>
      <c r="I46" s="57" t="s">
        <v>75</v>
      </c>
      <c r="J46" s="107" t="s">
        <v>54</v>
      </c>
      <c r="K46" s="108"/>
      <c r="L46" s="108"/>
      <c r="M46" s="108"/>
      <c r="N46" s="108"/>
      <c r="O46" s="109"/>
      <c r="P46" s="55" t="s">
        <v>81</v>
      </c>
      <c r="Q46" s="56" t="s">
        <v>85</v>
      </c>
      <c r="R46" s="57" t="s">
        <v>74</v>
      </c>
      <c r="S46" s="57" t="s">
        <v>75</v>
      </c>
    </row>
    <row r="47" spans="1:19" ht="18" customHeight="1" x14ac:dyDescent="0.15">
      <c r="A47" s="50"/>
      <c r="B47" s="111" t="s">
        <v>127</v>
      </c>
      <c r="C47" s="112"/>
      <c r="D47" s="112"/>
      <c r="E47" s="113"/>
      <c r="F47" s="58">
        <v>2</v>
      </c>
      <c r="G47" s="58" t="s">
        <v>128</v>
      </c>
      <c r="H47" s="58" t="s">
        <v>128</v>
      </c>
      <c r="I47" s="58" t="s">
        <v>128</v>
      </c>
      <c r="J47" s="111"/>
      <c r="K47" s="112"/>
      <c r="L47" s="112"/>
      <c r="M47" s="112"/>
      <c r="N47" s="112"/>
      <c r="O47" s="113"/>
      <c r="P47" s="58"/>
      <c r="Q47" s="58"/>
      <c r="R47" s="58"/>
      <c r="S47" s="58"/>
    </row>
    <row r="48" spans="1:19" ht="18" customHeight="1" x14ac:dyDescent="0.15">
      <c r="A48" s="50"/>
      <c r="B48" s="101"/>
      <c r="C48" s="102"/>
      <c r="D48" s="102"/>
      <c r="E48" s="103"/>
      <c r="F48" s="59"/>
      <c r="G48" s="59"/>
      <c r="H48" s="59"/>
      <c r="I48" s="59"/>
      <c r="J48" s="101"/>
      <c r="K48" s="102"/>
      <c r="L48" s="102"/>
      <c r="M48" s="102"/>
      <c r="N48" s="102"/>
      <c r="O48" s="103"/>
      <c r="P48" s="59"/>
      <c r="Q48" s="59"/>
      <c r="R48" s="59"/>
      <c r="S48" s="59"/>
    </row>
    <row r="49" spans="1:19" ht="18" customHeight="1" x14ac:dyDescent="0.15">
      <c r="A49" s="50"/>
      <c r="B49" s="101"/>
      <c r="C49" s="102"/>
      <c r="D49" s="102"/>
      <c r="E49" s="103"/>
      <c r="F49" s="59"/>
      <c r="G49" s="59"/>
      <c r="H49" s="59"/>
      <c r="I49" s="59"/>
      <c r="J49" s="101"/>
      <c r="K49" s="102"/>
      <c r="L49" s="102"/>
      <c r="M49" s="102"/>
      <c r="N49" s="102"/>
      <c r="O49" s="103"/>
      <c r="P49" s="59"/>
      <c r="Q49" s="59"/>
      <c r="R49" s="59"/>
      <c r="S49" s="59"/>
    </row>
    <row r="50" spans="1:19" ht="18" customHeight="1" x14ac:dyDescent="0.15">
      <c r="A50" s="50"/>
      <c r="B50" s="101"/>
      <c r="C50" s="102"/>
      <c r="D50" s="102"/>
      <c r="E50" s="103"/>
      <c r="F50" s="59"/>
      <c r="G50" s="59"/>
      <c r="H50" s="59"/>
      <c r="I50" s="59"/>
      <c r="J50" s="101"/>
      <c r="K50" s="102"/>
      <c r="L50" s="102"/>
      <c r="M50" s="102"/>
      <c r="N50" s="102"/>
      <c r="O50" s="103"/>
      <c r="P50" s="59"/>
      <c r="Q50" s="59"/>
      <c r="R50" s="59"/>
      <c r="S50" s="59"/>
    </row>
    <row r="51" spans="1:19" ht="18" customHeight="1" x14ac:dyDescent="0.15">
      <c r="A51" s="50"/>
      <c r="B51" s="101"/>
      <c r="C51" s="102"/>
      <c r="D51" s="102"/>
      <c r="E51" s="103"/>
      <c r="F51" s="59"/>
      <c r="G51" s="59"/>
      <c r="H51" s="59"/>
      <c r="I51" s="59"/>
      <c r="J51" s="101"/>
      <c r="K51" s="102"/>
      <c r="L51" s="102"/>
      <c r="M51" s="102"/>
      <c r="N51" s="102"/>
      <c r="O51" s="103"/>
      <c r="P51" s="59"/>
      <c r="Q51" s="59"/>
      <c r="R51" s="59"/>
      <c r="S51" s="59"/>
    </row>
    <row r="52" spans="1:19" ht="18" customHeight="1" x14ac:dyDescent="0.15">
      <c r="A52" s="50"/>
      <c r="B52" s="101"/>
      <c r="C52" s="102"/>
      <c r="D52" s="102"/>
      <c r="E52" s="103"/>
      <c r="F52" s="59"/>
      <c r="G52" s="59"/>
      <c r="H52" s="59"/>
      <c r="I52" s="59"/>
      <c r="J52" s="101"/>
      <c r="K52" s="102"/>
      <c r="L52" s="102"/>
      <c r="M52" s="102"/>
      <c r="N52" s="102"/>
      <c r="O52" s="103"/>
      <c r="P52" s="59"/>
      <c r="Q52" s="59"/>
      <c r="R52" s="59"/>
      <c r="S52" s="59"/>
    </row>
    <row r="53" spans="1:19" ht="18" customHeight="1" x14ac:dyDescent="0.15">
      <c r="A53" s="50"/>
      <c r="B53" s="104"/>
      <c r="C53" s="105"/>
      <c r="D53" s="105"/>
      <c r="E53" s="106"/>
      <c r="F53" s="60"/>
      <c r="G53" s="60"/>
      <c r="H53" s="61"/>
      <c r="I53" s="61"/>
      <c r="J53" s="104"/>
      <c r="K53" s="105"/>
      <c r="L53" s="105"/>
      <c r="M53" s="105"/>
      <c r="N53" s="105"/>
      <c r="O53" s="106"/>
      <c r="P53" s="60"/>
      <c r="Q53" s="60"/>
      <c r="R53" s="61"/>
      <c r="S53" s="61"/>
    </row>
    <row r="54" spans="1:19" ht="7.5" customHeight="1" x14ac:dyDescent="0.15">
      <c r="B54" s="43"/>
      <c r="C54" s="43"/>
      <c r="D54" s="43"/>
      <c r="E54" s="43"/>
      <c r="F54" s="43"/>
      <c r="G54" s="43"/>
      <c r="H54" s="43"/>
      <c r="I54" s="43"/>
      <c r="J54" s="43"/>
      <c r="K54" s="43"/>
      <c r="L54" s="43"/>
      <c r="M54" s="43"/>
      <c r="N54" s="43"/>
      <c r="O54" s="43"/>
      <c r="P54" s="43"/>
      <c r="Q54" s="43"/>
      <c r="R54" s="43"/>
    </row>
    <row r="55" spans="1:19" ht="18" customHeight="1" x14ac:dyDescent="0.15">
      <c r="A55" s="110" t="s">
        <v>117</v>
      </c>
      <c r="B55" s="110"/>
      <c r="C55" s="110"/>
      <c r="D55" s="110"/>
      <c r="E55" s="110"/>
      <c r="F55" s="110"/>
      <c r="G55" s="110"/>
      <c r="H55" s="110"/>
      <c r="I55" s="110"/>
      <c r="J55" s="110"/>
      <c r="K55" s="110"/>
      <c r="L55" s="110"/>
      <c r="M55" s="110"/>
      <c r="N55" s="110"/>
      <c r="O55" s="110"/>
      <c r="P55" s="110"/>
      <c r="Q55" s="110"/>
      <c r="R55" s="110"/>
      <c r="S55" s="110"/>
    </row>
    <row r="56" spans="1:19" ht="18" customHeight="1" x14ac:dyDescent="0.15">
      <c r="A56" s="110"/>
      <c r="B56" s="110"/>
      <c r="C56" s="110"/>
      <c r="D56" s="110"/>
      <c r="E56" s="110"/>
      <c r="F56" s="110"/>
      <c r="G56" s="110"/>
      <c r="H56" s="110"/>
      <c r="I56" s="110"/>
      <c r="J56" s="110"/>
      <c r="K56" s="110"/>
      <c r="L56" s="110"/>
      <c r="M56" s="110"/>
      <c r="N56" s="110"/>
      <c r="O56" s="110"/>
      <c r="P56" s="110"/>
      <c r="Q56" s="110"/>
      <c r="R56" s="110"/>
      <c r="S56" s="110"/>
    </row>
    <row r="57" spans="1:19" ht="18" customHeight="1" x14ac:dyDescent="0.15">
      <c r="B57" s="107" t="s">
        <v>54</v>
      </c>
      <c r="C57" s="108"/>
      <c r="D57" s="108"/>
      <c r="E57" s="109"/>
      <c r="F57" s="55" t="s">
        <v>81</v>
      </c>
      <c r="G57" s="56" t="s">
        <v>85</v>
      </c>
      <c r="H57" s="57" t="s">
        <v>59</v>
      </c>
      <c r="I57" s="57" t="s">
        <v>61</v>
      </c>
      <c r="J57" s="107" t="s">
        <v>54</v>
      </c>
      <c r="K57" s="108"/>
      <c r="L57" s="108"/>
      <c r="M57" s="108"/>
      <c r="N57" s="108"/>
      <c r="O57" s="109"/>
      <c r="P57" s="55" t="s">
        <v>81</v>
      </c>
      <c r="Q57" s="56" t="s">
        <v>85</v>
      </c>
      <c r="R57" s="57" t="s">
        <v>59</v>
      </c>
      <c r="S57" s="57" t="s">
        <v>61</v>
      </c>
    </row>
    <row r="58" spans="1:19" ht="18" customHeight="1" x14ac:dyDescent="0.15">
      <c r="A58" s="50"/>
      <c r="B58" s="111" t="s">
        <v>127</v>
      </c>
      <c r="C58" s="112"/>
      <c r="D58" s="112"/>
      <c r="E58" s="113"/>
      <c r="F58" s="58">
        <v>2</v>
      </c>
      <c r="G58" s="58" t="s">
        <v>128</v>
      </c>
      <c r="H58" s="58" t="s">
        <v>128</v>
      </c>
      <c r="I58" s="58" t="s">
        <v>128</v>
      </c>
      <c r="J58" s="111"/>
      <c r="K58" s="112"/>
      <c r="L58" s="112"/>
      <c r="M58" s="112"/>
      <c r="N58" s="112"/>
      <c r="O58" s="113"/>
      <c r="P58" s="58"/>
      <c r="Q58" s="58"/>
      <c r="R58" s="58"/>
      <c r="S58" s="58"/>
    </row>
    <row r="59" spans="1:19" ht="18" customHeight="1" x14ac:dyDescent="0.15">
      <c r="A59" s="50"/>
      <c r="B59" s="101"/>
      <c r="C59" s="102"/>
      <c r="D59" s="102"/>
      <c r="E59" s="103"/>
      <c r="F59" s="59"/>
      <c r="G59" s="59"/>
      <c r="H59" s="59"/>
      <c r="I59" s="59"/>
      <c r="J59" s="101"/>
      <c r="K59" s="102"/>
      <c r="L59" s="102"/>
      <c r="M59" s="102"/>
      <c r="N59" s="102"/>
      <c r="O59" s="103"/>
      <c r="P59" s="59"/>
      <c r="Q59" s="59"/>
      <c r="R59" s="59"/>
      <c r="S59" s="59"/>
    </row>
    <row r="60" spans="1:19" ht="18" customHeight="1" x14ac:dyDescent="0.15">
      <c r="A60" s="50"/>
      <c r="B60" s="101"/>
      <c r="C60" s="102"/>
      <c r="D60" s="102"/>
      <c r="E60" s="103"/>
      <c r="F60" s="59"/>
      <c r="G60" s="59"/>
      <c r="H60" s="59"/>
      <c r="I60" s="59"/>
      <c r="J60" s="101"/>
      <c r="K60" s="102"/>
      <c r="L60" s="102"/>
      <c r="M60" s="102"/>
      <c r="N60" s="102"/>
      <c r="O60" s="103"/>
      <c r="P60" s="59"/>
      <c r="Q60" s="59"/>
      <c r="R60" s="59"/>
      <c r="S60" s="59"/>
    </row>
    <row r="61" spans="1:19" ht="18" customHeight="1" x14ac:dyDescent="0.15">
      <c r="A61" s="50"/>
      <c r="B61" s="101"/>
      <c r="C61" s="102"/>
      <c r="D61" s="102"/>
      <c r="E61" s="103"/>
      <c r="F61" s="59"/>
      <c r="G61" s="59"/>
      <c r="H61" s="59"/>
      <c r="I61" s="59"/>
      <c r="J61" s="101"/>
      <c r="K61" s="102"/>
      <c r="L61" s="102"/>
      <c r="M61" s="102"/>
      <c r="N61" s="102"/>
      <c r="O61" s="103"/>
      <c r="P61" s="59"/>
      <c r="Q61" s="59"/>
      <c r="R61" s="59"/>
      <c r="S61" s="59"/>
    </row>
    <row r="62" spans="1:19" ht="18" customHeight="1" x14ac:dyDescent="0.15">
      <c r="A62" s="50"/>
      <c r="B62" s="101"/>
      <c r="C62" s="102"/>
      <c r="D62" s="102"/>
      <c r="E62" s="103"/>
      <c r="F62" s="59"/>
      <c r="G62" s="59"/>
      <c r="H62" s="59"/>
      <c r="I62" s="59"/>
      <c r="J62" s="101"/>
      <c r="K62" s="102"/>
      <c r="L62" s="102"/>
      <c r="M62" s="102"/>
      <c r="N62" s="102"/>
      <c r="O62" s="103"/>
      <c r="P62" s="59"/>
      <c r="Q62" s="59"/>
      <c r="R62" s="59"/>
      <c r="S62" s="59"/>
    </row>
    <row r="63" spans="1:19" ht="18" customHeight="1" x14ac:dyDescent="0.15">
      <c r="A63" s="50"/>
      <c r="B63" s="101"/>
      <c r="C63" s="102"/>
      <c r="D63" s="102"/>
      <c r="E63" s="103"/>
      <c r="F63" s="59"/>
      <c r="G63" s="59"/>
      <c r="H63" s="59"/>
      <c r="I63" s="59"/>
      <c r="J63" s="101"/>
      <c r="K63" s="102"/>
      <c r="L63" s="102"/>
      <c r="M63" s="102"/>
      <c r="N63" s="102"/>
      <c r="O63" s="103"/>
      <c r="P63" s="59"/>
      <c r="Q63" s="59"/>
      <c r="R63" s="59"/>
      <c r="S63" s="59"/>
    </row>
    <row r="64" spans="1:19" ht="18" customHeight="1" x14ac:dyDescent="0.15">
      <c r="A64" s="50"/>
      <c r="B64" s="104"/>
      <c r="C64" s="105"/>
      <c r="D64" s="105"/>
      <c r="E64" s="106"/>
      <c r="F64" s="60"/>
      <c r="G64" s="60"/>
      <c r="H64" s="61"/>
      <c r="I64" s="61"/>
      <c r="J64" s="104"/>
      <c r="K64" s="105"/>
      <c r="L64" s="105"/>
      <c r="M64" s="105"/>
      <c r="N64" s="105"/>
      <c r="O64" s="106"/>
      <c r="P64" s="60"/>
      <c r="Q64" s="60"/>
      <c r="R64" s="61"/>
      <c r="S64" s="61"/>
    </row>
    <row r="65" spans="1:19" ht="7.5" customHeight="1" x14ac:dyDescent="0.15">
      <c r="B65" s="43"/>
      <c r="C65" s="43"/>
      <c r="D65" s="43"/>
      <c r="E65" s="43"/>
      <c r="F65" s="43"/>
      <c r="G65" s="43"/>
      <c r="H65" s="43"/>
      <c r="I65" s="43"/>
      <c r="J65" s="43"/>
      <c r="K65" s="43"/>
      <c r="L65" s="43"/>
      <c r="M65" s="43"/>
      <c r="N65" s="43"/>
      <c r="O65" s="43"/>
      <c r="P65" s="43"/>
      <c r="Q65" s="43"/>
      <c r="R65" s="43"/>
    </row>
    <row r="66" spans="1:19" ht="18" customHeight="1" x14ac:dyDescent="0.15">
      <c r="A66" s="110" t="s">
        <v>118</v>
      </c>
      <c r="B66" s="110"/>
      <c r="C66" s="110"/>
      <c r="D66" s="110"/>
      <c r="E66" s="110"/>
      <c r="F66" s="110"/>
      <c r="G66" s="110"/>
      <c r="H66" s="110"/>
      <c r="I66" s="110"/>
      <c r="J66" s="110"/>
      <c r="K66" s="110"/>
      <c r="L66" s="110"/>
      <c r="M66" s="110"/>
      <c r="N66" s="110"/>
      <c r="O66" s="110"/>
      <c r="P66" s="110"/>
      <c r="Q66" s="110"/>
      <c r="R66" s="110"/>
      <c r="S66" s="110"/>
    </row>
    <row r="67" spans="1:19" ht="18" customHeight="1" x14ac:dyDescent="0.15">
      <c r="A67" s="110"/>
      <c r="B67" s="110"/>
      <c r="C67" s="110"/>
      <c r="D67" s="110"/>
      <c r="E67" s="110"/>
      <c r="F67" s="110"/>
      <c r="G67" s="110"/>
      <c r="H67" s="110"/>
      <c r="I67" s="110"/>
      <c r="J67" s="110"/>
      <c r="K67" s="110"/>
      <c r="L67" s="110"/>
      <c r="M67" s="110"/>
      <c r="N67" s="110"/>
      <c r="O67" s="110"/>
      <c r="P67" s="110"/>
      <c r="Q67" s="110"/>
      <c r="R67" s="110"/>
      <c r="S67" s="110"/>
    </row>
    <row r="68" spans="1:19" ht="18" customHeight="1" x14ac:dyDescent="0.15">
      <c r="B68" s="107" t="s">
        <v>54</v>
      </c>
      <c r="C68" s="108"/>
      <c r="D68" s="108"/>
      <c r="E68" s="55" t="s">
        <v>81</v>
      </c>
      <c r="F68" s="56" t="s">
        <v>85</v>
      </c>
      <c r="G68" s="57" t="s">
        <v>102</v>
      </c>
      <c r="H68" s="57" t="s">
        <v>76</v>
      </c>
      <c r="I68" s="57" t="s">
        <v>77</v>
      </c>
      <c r="J68" s="107" t="s">
        <v>54</v>
      </c>
      <c r="K68" s="108"/>
      <c r="L68" s="108"/>
      <c r="M68" s="108"/>
      <c r="N68" s="109"/>
      <c r="O68" s="55" t="s">
        <v>81</v>
      </c>
      <c r="P68" s="56" t="s">
        <v>85</v>
      </c>
      <c r="Q68" s="57" t="s">
        <v>102</v>
      </c>
      <c r="R68" s="57" t="s">
        <v>76</v>
      </c>
      <c r="S68" s="57" t="s">
        <v>77</v>
      </c>
    </row>
    <row r="69" spans="1:19" ht="18" customHeight="1" x14ac:dyDescent="0.15">
      <c r="A69" s="50"/>
      <c r="B69" s="111" t="s">
        <v>127</v>
      </c>
      <c r="C69" s="112"/>
      <c r="D69" s="112"/>
      <c r="E69" s="58">
        <v>2</v>
      </c>
      <c r="F69" s="58" t="s">
        <v>128</v>
      </c>
      <c r="G69" s="58" t="s">
        <v>128</v>
      </c>
      <c r="H69" s="58" t="s">
        <v>128</v>
      </c>
      <c r="I69" s="58" t="s">
        <v>128</v>
      </c>
      <c r="J69" s="111"/>
      <c r="K69" s="112"/>
      <c r="L69" s="112"/>
      <c r="M69" s="112"/>
      <c r="N69" s="113"/>
      <c r="O69" s="58"/>
      <c r="P69" s="58"/>
      <c r="Q69" s="58"/>
      <c r="R69" s="58"/>
      <c r="S69" s="58"/>
    </row>
    <row r="70" spans="1:19" ht="18" customHeight="1" x14ac:dyDescent="0.15">
      <c r="A70" s="50"/>
      <c r="B70" s="101"/>
      <c r="C70" s="102"/>
      <c r="D70" s="102"/>
      <c r="E70" s="59"/>
      <c r="F70" s="59"/>
      <c r="G70" s="59"/>
      <c r="H70" s="59"/>
      <c r="I70" s="59"/>
      <c r="J70" s="101"/>
      <c r="K70" s="102"/>
      <c r="L70" s="102"/>
      <c r="M70" s="102"/>
      <c r="N70" s="103"/>
      <c r="O70" s="59"/>
      <c r="P70" s="59"/>
      <c r="Q70" s="59"/>
      <c r="R70" s="59"/>
      <c r="S70" s="59"/>
    </row>
    <row r="71" spans="1:19" ht="18" customHeight="1" x14ac:dyDescent="0.15">
      <c r="A71" s="50"/>
      <c r="B71" s="101"/>
      <c r="C71" s="102"/>
      <c r="D71" s="102"/>
      <c r="E71" s="59"/>
      <c r="F71" s="59"/>
      <c r="G71" s="59"/>
      <c r="H71" s="59"/>
      <c r="I71" s="59"/>
      <c r="J71" s="101"/>
      <c r="K71" s="102"/>
      <c r="L71" s="102"/>
      <c r="M71" s="102"/>
      <c r="N71" s="103"/>
      <c r="O71" s="59"/>
      <c r="P71" s="59"/>
      <c r="Q71" s="59"/>
      <c r="R71" s="59"/>
      <c r="S71" s="59"/>
    </row>
    <row r="72" spans="1:19" ht="18" customHeight="1" x14ac:dyDescent="0.15">
      <c r="A72" s="50"/>
      <c r="B72" s="101"/>
      <c r="C72" s="102"/>
      <c r="D72" s="102"/>
      <c r="E72" s="59"/>
      <c r="F72" s="59"/>
      <c r="G72" s="59"/>
      <c r="H72" s="59"/>
      <c r="I72" s="59"/>
      <c r="J72" s="101"/>
      <c r="K72" s="102"/>
      <c r="L72" s="102"/>
      <c r="M72" s="102"/>
      <c r="N72" s="103"/>
      <c r="O72" s="59"/>
      <c r="P72" s="59"/>
      <c r="Q72" s="59"/>
      <c r="R72" s="59"/>
      <c r="S72" s="59"/>
    </row>
    <row r="73" spans="1:19" ht="18" customHeight="1" x14ac:dyDescent="0.15">
      <c r="A73" s="50"/>
      <c r="B73" s="101"/>
      <c r="C73" s="102"/>
      <c r="D73" s="102"/>
      <c r="E73" s="59"/>
      <c r="F73" s="59"/>
      <c r="G73" s="59"/>
      <c r="H73" s="59"/>
      <c r="I73" s="59"/>
      <c r="J73" s="101"/>
      <c r="K73" s="102"/>
      <c r="L73" s="102"/>
      <c r="M73" s="102"/>
      <c r="N73" s="103"/>
      <c r="O73" s="59"/>
      <c r="P73" s="59"/>
      <c r="Q73" s="59"/>
      <c r="R73" s="59"/>
      <c r="S73" s="59"/>
    </row>
    <row r="74" spans="1:19" ht="18" customHeight="1" x14ac:dyDescent="0.15">
      <c r="A74" s="50"/>
      <c r="B74" s="101"/>
      <c r="C74" s="102"/>
      <c r="D74" s="102"/>
      <c r="E74" s="59"/>
      <c r="F74" s="59"/>
      <c r="G74" s="59"/>
      <c r="H74" s="59"/>
      <c r="I74" s="59"/>
      <c r="J74" s="101"/>
      <c r="K74" s="102"/>
      <c r="L74" s="102"/>
      <c r="M74" s="102"/>
      <c r="N74" s="103"/>
      <c r="O74" s="59"/>
      <c r="P74" s="59"/>
      <c r="Q74" s="59"/>
      <c r="R74" s="59"/>
      <c r="S74" s="59"/>
    </row>
    <row r="75" spans="1:19" ht="18" customHeight="1" x14ac:dyDescent="0.15">
      <c r="A75" s="50"/>
      <c r="B75" s="104"/>
      <c r="C75" s="105"/>
      <c r="D75" s="105"/>
      <c r="E75" s="60"/>
      <c r="F75" s="60"/>
      <c r="G75" s="61"/>
      <c r="H75" s="61"/>
      <c r="I75" s="61"/>
      <c r="J75" s="104"/>
      <c r="K75" s="105"/>
      <c r="L75" s="105"/>
      <c r="M75" s="105"/>
      <c r="N75" s="106"/>
      <c r="O75" s="60"/>
      <c r="P75" s="60"/>
      <c r="Q75" s="61"/>
      <c r="R75" s="61"/>
      <c r="S75" s="61"/>
    </row>
    <row r="76" spans="1:19" ht="7.5" customHeight="1" x14ac:dyDescent="0.15">
      <c r="B76" s="43"/>
      <c r="C76" s="43"/>
      <c r="D76" s="43"/>
      <c r="E76" s="43"/>
      <c r="F76" s="43"/>
      <c r="G76" s="43"/>
      <c r="H76" s="43"/>
      <c r="I76" s="43"/>
      <c r="J76" s="43"/>
      <c r="K76" s="43"/>
      <c r="L76" s="43"/>
      <c r="M76" s="43"/>
      <c r="N76" s="43"/>
      <c r="O76" s="43"/>
      <c r="P76" s="43"/>
      <c r="Q76" s="43"/>
      <c r="R76" s="43"/>
    </row>
    <row r="77" spans="1:19" ht="18" customHeight="1" x14ac:dyDescent="0.15">
      <c r="A77" s="44" t="s">
        <v>119</v>
      </c>
      <c r="H77" s="50"/>
      <c r="I77" s="50"/>
      <c r="J77" s="50"/>
      <c r="K77" s="50"/>
      <c r="L77" s="50"/>
      <c r="M77" s="50"/>
      <c r="N77" s="50"/>
      <c r="O77" s="50"/>
      <c r="P77" s="50"/>
      <c r="Q77" s="50"/>
      <c r="R77" s="50"/>
      <c r="S77" s="50"/>
    </row>
    <row r="78" spans="1:19" ht="18" customHeight="1" x14ac:dyDescent="0.15">
      <c r="B78" s="107" t="s">
        <v>54</v>
      </c>
      <c r="C78" s="108"/>
      <c r="D78" s="108"/>
      <c r="E78" s="109"/>
      <c r="F78" s="107" t="s">
        <v>83</v>
      </c>
      <c r="G78" s="108"/>
      <c r="H78" s="108"/>
      <c r="I78" s="109"/>
      <c r="J78" s="154" t="s">
        <v>54</v>
      </c>
      <c r="K78" s="155"/>
      <c r="L78" s="155"/>
      <c r="M78" s="155"/>
      <c r="N78" s="155"/>
      <c r="O78" s="156"/>
      <c r="P78" s="107" t="s">
        <v>83</v>
      </c>
      <c r="Q78" s="108"/>
      <c r="R78" s="108"/>
      <c r="S78" s="109"/>
    </row>
    <row r="79" spans="1:19" ht="18" customHeight="1" x14ac:dyDescent="0.15">
      <c r="A79" s="50"/>
      <c r="B79" s="111"/>
      <c r="C79" s="112"/>
      <c r="D79" s="112"/>
      <c r="E79" s="113"/>
      <c r="F79" s="170"/>
      <c r="G79" s="171"/>
      <c r="H79" s="171"/>
      <c r="I79" s="172"/>
      <c r="J79" s="111"/>
      <c r="K79" s="112"/>
      <c r="L79" s="112"/>
      <c r="M79" s="112"/>
      <c r="N79" s="112"/>
      <c r="O79" s="113"/>
      <c r="P79" s="170"/>
      <c r="Q79" s="171"/>
      <c r="R79" s="171"/>
      <c r="S79" s="172"/>
    </row>
    <row r="80" spans="1:19" ht="18" customHeight="1" x14ac:dyDescent="0.15">
      <c r="A80" s="50"/>
      <c r="B80" s="101"/>
      <c r="C80" s="102"/>
      <c r="D80" s="102"/>
      <c r="E80" s="103"/>
      <c r="F80" s="140"/>
      <c r="G80" s="141"/>
      <c r="H80" s="141"/>
      <c r="I80" s="142"/>
      <c r="J80" s="101"/>
      <c r="K80" s="102"/>
      <c r="L80" s="102"/>
      <c r="M80" s="102"/>
      <c r="N80" s="102"/>
      <c r="O80" s="103"/>
      <c r="P80" s="140"/>
      <c r="Q80" s="141"/>
      <c r="R80" s="141"/>
      <c r="S80" s="142"/>
    </row>
    <row r="81" spans="1:19" ht="18" customHeight="1" x14ac:dyDescent="0.15">
      <c r="A81" s="50"/>
      <c r="B81" s="101"/>
      <c r="C81" s="102"/>
      <c r="D81" s="102"/>
      <c r="E81" s="103"/>
      <c r="F81" s="140"/>
      <c r="G81" s="141"/>
      <c r="H81" s="141"/>
      <c r="I81" s="142"/>
      <c r="J81" s="101"/>
      <c r="K81" s="102"/>
      <c r="L81" s="102"/>
      <c r="M81" s="102"/>
      <c r="N81" s="102"/>
      <c r="O81" s="103"/>
      <c r="P81" s="140"/>
      <c r="Q81" s="141"/>
      <c r="R81" s="141"/>
      <c r="S81" s="142"/>
    </row>
    <row r="82" spans="1:19" ht="18" customHeight="1" x14ac:dyDescent="0.15">
      <c r="A82" s="50"/>
      <c r="B82" s="101"/>
      <c r="C82" s="102"/>
      <c r="D82" s="102"/>
      <c r="E82" s="103"/>
      <c r="F82" s="140"/>
      <c r="G82" s="141"/>
      <c r="H82" s="141"/>
      <c r="I82" s="142"/>
      <c r="J82" s="101"/>
      <c r="K82" s="102"/>
      <c r="L82" s="102"/>
      <c r="M82" s="102"/>
      <c r="N82" s="102"/>
      <c r="O82" s="103"/>
      <c r="P82" s="140"/>
      <c r="Q82" s="141"/>
      <c r="R82" s="141"/>
      <c r="S82" s="142"/>
    </row>
    <row r="83" spans="1:19" ht="18" customHeight="1" x14ac:dyDescent="0.15">
      <c r="A83" s="50"/>
      <c r="B83" s="101"/>
      <c r="C83" s="102"/>
      <c r="D83" s="102"/>
      <c r="E83" s="103"/>
      <c r="F83" s="140"/>
      <c r="G83" s="141"/>
      <c r="H83" s="141"/>
      <c r="I83" s="142"/>
      <c r="J83" s="101"/>
      <c r="K83" s="102"/>
      <c r="L83" s="102"/>
      <c r="M83" s="102"/>
      <c r="N83" s="102"/>
      <c r="O83" s="103"/>
      <c r="P83" s="140"/>
      <c r="Q83" s="141"/>
      <c r="R83" s="141"/>
      <c r="S83" s="142"/>
    </row>
    <row r="84" spans="1:19" ht="18" customHeight="1" x14ac:dyDescent="0.15">
      <c r="A84" s="50"/>
      <c r="B84" s="101"/>
      <c r="C84" s="102"/>
      <c r="D84" s="102"/>
      <c r="E84" s="103"/>
      <c r="F84" s="140"/>
      <c r="G84" s="141"/>
      <c r="H84" s="141"/>
      <c r="I84" s="142"/>
      <c r="J84" s="101"/>
      <c r="K84" s="102"/>
      <c r="L84" s="102"/>
      <c r="M84" s="102"/>
      <c r="N84" s="102"/>
      <c r="O84" s="103"/>
      <c r="P84" s="140"/>
      <c r="Q84" s="141"/>
      <c r="R84" s="141"/>
      <c r="S84" s="142"/>
    </row>
    <row r="85" spans="1:19" ht="18" customHeight="1" x14ac:dyDescent="0.15">
      <c r="A85" s="50"/>
      <c r="B85" s="104"/>
      <c r="C85" s="105"/>
      <c r="D85" s="105"/>
      <c r="E85" s="106"/>
      <c r="F85" s="137"/>
      <c r="G85" s="138"/>
      <c r="H85" s="138"/>
      <c r="I85" s="139"/>
      <c r="J85" s="104"/>
      <c r="K85" s="105"/>
      <c r="L85" s="105"/>
      <c r="M85" s="105"/>
      <c r="N85" s="105"/>
      <c r="O85" s="106"/>
      <c r="P85" s="137"/>
      <c r="Q85" s="138"/>
      <c r="R85" s="138"/>
      <c r="S85" s="139"/>
    </row>
    <row r="86" spans="1:19" ht="18" customHeight="1" x14ac:dyDescent="0.15">
      <c r="A86" s="50"/>
      <c r="B86" s="48"/>
      <c r="C86" s="48"/>
      <c r="D86" s="48"/>
      <c r="E86" s="48"/>
      <c r="F86" s="62"/>
      <c r="G86" s="62"/>
      <c r="H86" s="62"/>
      <c r="I86" s="62"/>
      <c r="J86" s="48"/>
      <c r="K86" s="48"/>
      <c r="L86" s="48"/>
      <c r="M86" s="48"/>
      <c r="N86" s="48"/>
      <c r="O86" s="48"/>
      <c r="P86" s="62"/>
      <c r="Q86" s="62"/>
      <c r="R86" s="62"/>
      <c r="S86" s="62"/>
    </row>
    <row r="87" spans="1:19" ht="18.75" customHeight="1" x14ac:dyDescent="0.15">
      <c r="A87" s="44" t="s">
        <v>120</v>
      </c>
    </row>
    <row r="88" spans="1:19" ht="18.75" customHeight="1" x14ac:dyDescent="0.15">
      <c r="B88" s="166" t="s">
        <v>55</v>
      </c>
      <c r="C88" s="167"/>
      <c r="D88" s="108" t="s">
        <v>56</v>
      </c>
      <c r="E88" s="108"/>
      <c r="F88" s="108"/>
      <c r="G88" s="108"/>
      <c r="H88" s="108"/>
      <c r="I88" s="108"/>
      <c r="J88" s="108"/>
      <c r="K88" s="108"/>
      <c r="L88" s="108"/>
      <c r="M88" s="108"/>
      <c r="N88" s="108"/>
      <c r="O88" s="108"/>
      <c r="P88" s="108"/>
      <c r="Q88" s="108"/>
      <c r="R88" s="108"/>
      <c r="S88" s="109"/>
    </row>
    <row r="89" spans="1:19" ht="97.5" customHeight="1" x14ac:dyDescent="0.15">
      <c r="B89" s="157" t="s">
        <v>62</v>
      </c>
      <c r="C89" s="63" t="s">
        <v>57</v>
      </c>
      <c r="D89" s="164" t="s">
        <v>151</v>
      </c>
      <c r="E89" s="168"/>
      <c r="F89" s="168"/>
      <c r="G89" s="168"/>
      <c r="H89" s="168"/>
      <c r="I89" s="168"/>
      <c r="J89" s="168"/>
      <c r="K89" s="168"/>
      <c r="L89" s="168"/>
      <c r="M89" s="168"/>
      <c r="N89" s="168"/>
      <c r="O89" s="168"/>
      <c r="P89" s="168"/>
      <c r="Q89" s="168"/>
      <c r="R89" s="168"/>
      <c r="S89" s="169"/>
    </row>
    <row r="90" spans="1:19" ht="97.5" customHeight="1" x14ac:dyDescent="0.15">
      <c r="B90" s="159"/>
      <c r="C90" s="64" t="s">
        <v>78</v>
      </c>
      <c r="D90" s="143" t="s">
        <v>143</v>
      </c>
      <c r="E90" s="143"/>
      <c r="F90" s="143"/>
      <c r="G90" s="143"/>
      <c r="H90" s="143"/>
      <c r="I90" s="143"/>
      <c r="J90" s="143"/>
      <c r="K90" s="143"/>
      <c r="L90" s="143"/>
      <c r="M90" s="143"/>
      <c r="N90" s="143"/>
      <c r="O90" s="143"/>
      <c r="P90" s="143"/>
      <c r="Q90" s="143"/>
      <c r="R90" s="143"/>
      <c r="S90" s="144"/>
    </row>
    <row r="91" spans="1:19" ht="97.5" customHeight="1" x14ac:dyDescent="0.15">
      <c r="B91" s="157" t="s">
        <v>63</v>
      </c>
      <c r="C91" s="65" t="s">
        <v>72</v>
      </c>
      <c r="D91" s="145" t="s">
        <v>145</v>
      </c>
      <c r="E91" s="145"/>
      <c r="F91" s="145"/>
      <c r="G91" s="145"/>
      <c r="H91" s="145"/>
      <c r="I91" s="145"/>
      <c r="J91" s="145"/>
      <c r="K91" s="145"/>
      <c r="L91" s="145"/>
      <c r="M91" s="145"/>
      <c r="N91" s="145"/>
      <c r="O91" s="145"/>
      <c r="P91" s="145"/>
      <c r="Q91" s="145"/>
      <c r="R91" s="145"/>
      <c r="S91" s="146"/>
    </row>
    <row r="92" spans="1:19" ht="97.5" customHeight="1" x14ac:dyDescent="0.15">
      <c r="B92" s="158"/>
      <c r="C92" s="66" t="s">
        <v>73</v>
      </c>
      <c r="D92" s="149" t="s">
        <v>144</v>
      </c>
      <c r="E92" s="149"/>
      <c r="F92" s="149"/>
      <c r="G92" s="149"/>
      <c r="H92" s="149"/>
      <c r="I92" s="149"/>
      <c r="J92" s="149"/>
      <c r="K92" s="149"/>
      <c r="L92" s="149"/>
      <c r="M92" s="149"/>
      <c r="N92" s="149"/>
      <c r="O92" s="149"/>
      <c r="P92" s="149"/>
      <c r="Q92" s="149"/>
      <c r="R92" s="149"/>
      <c r="S92" s="150"/>
    </row>
    <row r="93" spans="1:19" ht="97.5" customHeight="1" x14ac:dyDescent="0.15">
      <c r="B93" s="157" t="s">
        <v>64</v>
      </c>
      <c r="C93" s="65" t="s">
        <v>74</v>
      </c>
      <c r="D93" s="145" t="s">
        <v>155</v>
      </c>
      <c r="E93" s="145"/>
      <c r="F93" s="145"/>
      <c r="G93" s="145"/>
      <c r="H93" s="145"/>
      <c r="I93" s="145"/>
      <c r="J93" s="145"/>
      <c r="K93" s="145"/>
      <c r="L93" s="145"/>
      <c r="M93" s="145"/>
      <c r="N93" s="145"/>
      <c r="O93" s="145"/>
      <c r="P93" s="145"/>
      <c r="Q93" s="145"/>
      <c r="R93" s="145"/>
      <c r="S93" s="146"/>
    </row>
    <row r="94" spans="1:19" ht="97.5" customHeight="1" x14ac:dyDescent="0.15">
      <c r="B94" s="158"/>
      <c r="C94" s="67" t="s">
        <v>75</v>
      </c>
      <c r="D94" s="147" t="s">
        <v>146</v>
      </c>
      <c r="E94" s="147"/>
      <c r="F94" s="147"/>
      <c r="G94" s="147"/>
      <c r="H94" s="147"/>
      <c r="I94" s="147"/>
      <c r="J94" s="147"/>
      <c r="K94" s="147"/>
      <c r="L94" s="147"/>
      <c r="M94" s="147"/>
      <c r="N94" s="147"/>
      <c r="O94" s="147"/>
      <c r="P94" s="147"/>
      <c r="Q94" s="147"/>
      <c r="R94" s="147"/>
      <c r="S94" s="148"/>
    </row>
    <row r="95" spans="1:19" ht="97.5" customHeight="1" x14ac:dyDescent="0.15">
      <c r="B95" s="157" t="s">
        <v>79</v>
      </c>
      <c r="C95" s="63" t="s">
        <v>59</v>
      </c>
      <c r="D95" s="164" t="s">
        <v>159</v>
      </c>
      <c r="E95" s="164"/>
      <c r="F95" s="164"/>
      <c r="G95" s="164"/>
      <c r="H95" s="164"/>
      <c r="I95" s="164"/>
      <c r="J95" s="164"/>
      <c r="K95" s="164"/>
      <c r="L95" s="164"/>
      <c r="M95" s="164"/>
      <c r="N95" s="164"/>
      <c r="O95" s="164"/>
      <c r="P95" s="164"/>
      <c r="Q95" s="164"/>
      <c r="R95" s="164"/>
      <c r="S95" s="165"/>
    </row>
    <row r="96" spans="1:19" ht="97.5" customHeight="1" x14ac:dyDescent="0.15">
      <c r="B96" s="158"/>
      <c r="C96" s="66" t="s">
        <v>61</v>
      </c>
      <c r="D96" s="149" t="s">
        <v>147</v>
      </c>
      <c r="E96" s="149"/>
      <c r="F96" s="149"/>
      <c r="G96" s="149"/>
      <c r="H96" s="149"/>
      <c r="I96" s="149"/>
      <c r="J96" s="149"/>
      <c r="K96" s="149"/>
      <c r="L96" s="149"/>
      <c r="M96" s="149"/>
      <c r="N96" s="149"/>
      <c r="O96" s="149"/>
      <c r="P96" s="149"/>
      <c r="Q96" s="149"/>
      <c r="R96" s="149"/>
      <c r="S96" s="150"/>
    </row>
    <row r="97" spans="1:19" ht="97.5" customHeight="1" x14ac:dyDescent="0.15">
      <c r="B97" s="157" t="s">
        <v>80</v>
      </c>
      <c r="C97" s="65" t="s">
        <v>58</v>
      </c>
      <c r="D97" s="160" t="s">
        <v>148</v>
      </c>
      <c r="E97" s="160"/>
      <c r="F97" s="160"/>
      <c r="G97" s="160"/>
      <c r="H97" s="160"/>
      <c r="I97" s="160"/>
      <c r="J97" s="160"/>
      <c r="K97" s="160"/>
      <c r="L97" s="160"/>
      <c r="M97" s="160"/>
      <c r="N97" s="160"/>
      <c r="O97" s="160"/>
      <c r="P97" s="160"/>
      <c r="Q97" s="160"/>
      <c r="R97" s="160"/>
      <c r="S97" s="161"/>
    </row>
    <row r="98" spans="1:19" ht="97.5" customHeight="1" x14ac:dyDescent="0.15">
      <c r="B98" s="159"/>
      <c r="C98" s="68" t="s">
        <v>76</v>
      </c>
      <c r="D98" s="151" t="s">
        <v>149</v>
      </c>
      <c r="E98" s="152"/>
      <c r="F98" s="152"/>
      <c r="G98" s="152"/>
      <c r="H98" s="152"/>
      <c r="I98" s="152"/>
      <c r="J98" s="152"/>
      <c r="K98" s="152"/>
      <c r="L98" s="152"/>
      <c r="M98" s="152"/>
      <c r="N98" s="152"/>
      <c r="O98" s="152"/>
      <c r="P98" s="152"/>
      <c r="Q98" s="152"/>
      <c r="R98" s="152"/>
      <c r="S98" s="153"/>
    </row>
    <row r="99" spans="1:19" ht="97.5" customHeight="1" x14ac:dyDescent="0.15">
      <c r="B99" s="158"/>
      <c r="C99" s="67" t="s">
        <v>77</v>
      </c>
      <c r="D99" s="162" t="s">
        <v>150</v>
      </c>
      <c r="E99" s="162"/>
      <c r="F99" s="162"/>
      <c r="G99" s="162"/>
      <c r="H99" s="162"/>
      <c r="I99" s="162"/>
      <c r="J99" s="162"/>
      <c r="K99" s="162"/>
      <c r="L99" s="162"/>
      <c r="M99" s="162"/>
      <c r="N99" s="162"/>
      <c r="O99" s="162"/>
      <c r="P99" s="162"/>
      <c r="Q99" s="162"/>
      <c r="R99" s="162"/>
      <c r="S99" s="163"/>
    </row>
    <row r="100" spans="1:19" ht="6" customHeight="1" x14ac:dyDescent="0.15"/>
    <row r="101" spans="1:19" ht="18.75" customHeight="1" x14ac:dyDescent="0.15">
      <c r="A101" s="44" t="s">
        <v>121</v>
      </c>
    </row>
    <row r="102" spans="1:19" ht="81.75" customHeight="1" x14ac:dyDescent="0.15">
      <c r="B102" s="134" t="s">
        <v>129</v>
      </c>
      <c r="C102" s="135"/>
      <c r="D102" s="135"/>
      <c r="E102" s="135"/>
      <c r="F102" s="135"/>
      <c r="G102" s="135"/>
      <c r="H102" s="135"/>
      <c r="I102" s="135"/>
      <c r="J102" s="135"/>
      <c r="K102" s="135"/>
      <c r="L102" s="135"/>
      <c r="M102" s="135"/>
      <c r="N102" s="135"/>
      <c r="O102" s="135"/>
      <c r="P102" s="135"/>
      <c r="Q102" s="135"/>
      <c r="R102" s="135"/>
      <c r="S102" s="136"/>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topLeftCell="C1" zoomScaleNormal="100" zoomScaleSheetLayoutView="100" workbookViewId="0">
      <selection activeCell="F32" sqref="F32"/>
    </sheetView>
  </sheetViews>
  <sheetFormatPr defaultColWidth="9" defaultRowHeight="18.75" customHeight="1" x14ac:dyDescent="0.15"/>
  <cols>
    <col min="1" max="1" width="2.875" style="1" customWidth="1"/>
    <col min="2" max="2" width="20.8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15"/>
      <c r="Q2" s="15"/>
      <c r="W2" s="15"/>
      <c r="AC2" s="15"/>
      <c r="AI2" s="15"/>
      <c r="AL2" s="15" t="s">
        <v>109</v>
      </c>
      <c r="AM2" s="176" t="str">
        <f>'様式１　プログラムを構成する授業科目'!C2</f>
        <v>福岡大学</v>
      </c>
      <c r="AN2" s="176"/>
      <c r="AO2" s="176"/>
      <c r="AP2" s="176"/>
      <c r="AQ2" s="176"/>
    </row>
    <row r="3" spans="1:45" ht="18" customHeight="1" x14ac:dyDescent="0.15">
      <c r="A3" s="177" t="s">
        <v>48</v>
      </c>
      <c r="B3" s="177"/>
      <c r="C3" s="177"/>
      <c r="D3" s="177"/>
      <c r="E3" s="177"/>
      <c r="F3" s="177"/>
      <c r="G3" s="177"/>
      <c r="H3" s="177"/>
      <c r="I3" s="177"/>
      <c r="J3" s="177"/>
      <c r="K3" s="177"/>
      <c r="L3" s="177"/>
      <c r="M3" s="177"/>
      <c r="N3" s="177"/>
      <c r="O3" s="177"/>
      <c r="P3" s="177"/>
      <c r="Q3" s="177"/>
      <c r="R3" s="177"/>
      <c r="S3" s="177"/>
      <c r="T3" s="177"/>
      <c r="U3" s="177"/>
      <c r="V3" s="177"/>
      <c r="W3" s="177"/>
      <c r="X3" s="177"/>
      <c r="Y3" s="177"/>
      <c r="Z3" s="177"/>
      <c r="AA3" s="177"/>
      <c r="AB3" s="177"/>
      <c r="AC3" s="177"/>
      <c r="AD3" s="177"/>
      <c r="AE3" s="177"/>
      <c r="AF3" s="177"/>
      <c r="AG3" s="177"/>
      <c r="AH3" s="177"/>
      <c r="AI3" s="177"/>
      <c r="AJ3" s="177"/>
      <c r="AK3" s="177"/>
      <c r="AL3" s="177"/>
      <c r="AM3" s="177"/>
      <c r="AN3" s="177"/>
      <c r="AO3" s="177"/>
      <c r="AP3" s="177"/>
      <c r="AQ3" s="177"/>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78" t="s">
        <v>130</v>
      </c>
      <c r="D5" s="179"/>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4"/>
      <c r="AQ5" s="4"/>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80" t="s">
        <v>45</v>
      </c>
      <c r="C9" s="195" t="s">
        <v>87</v>
      </c>
      <c r="D9" s="183" t="s">
        <v>47</v>
      </c>
      <c r="E9" s="186" t="s">
        <v>40</v>
      </c>
      <c r="F9" s="175" t="s">
        <v>86</v>
      </c>
      <c r="G9" s="175"/>
      <c r="H9" s="175"/>
      <c r="I9" s="175"/>
      <c r="J9" s="175"/>
      <c r="K9" s="175"/>
      <c r="L9" s="175" t="s">
        <v>49</v>
      </c>
      <c r="M9" s="175"/>
      <c r="N9" s="175"/>
      <c r="O9" s="175"/>
      <c r="P9" s="175"/>
      <c r="Q9" s="175"/>
      <c r="R9" s="175" t="s">
        <v>50</v>
      </c>
      <c r="S9" s="175"/>
      <c r="T9" s="175"/>
      <c r="U9" s="175"/>
      <c r="V9" s="175"/>
      <c r="W9" s="175"/>
      <c r="X9" s="175" t="s">
        <v>101</v>
      </c>
      <c r="Y9" s="175"/>
      <c r="Z9" s="175"/>
      <c r="AA9" s="175"/>
      <c r="AB9" s="175"/>
      <c r="AC9" s="175"/>
      <c r="AD9" s="175" t="s">
        <v>51</v>
      </c>
      <c r="AE9" s="175"/>
      <c r="AF9" s="175"/>
      <c r="AG9" s="175"/>
      <c r="AH9" s="175"/>
      <c r="AI9" s="175"/>
      <c r="AJ9" s="175" t="s">
        <v>52</v>
      </c>
      <c r="AK9" s="175"/>
      <c r="AL9" s="175"/>
      <c r="AM9" s="175"/>
      <c r="AN9" s="175"/>
      <c r="AO9" s="175"/>
      <c r="AP9" s="189" t="s">
        <v>35</v>
      </c>
      <c r="AQ9" s="192" t="s">
        <v>32</v>
      </c>
      <c r="AS9" s="2"/>
    </row>
    <row r="10" spans="1:45" ht="17.100000000000001" customHeight="1" x14ac:dyDescent="0.15">
      <c r="B10" s="181"/>
      <c r="C10" s="196"/>
      <c r="D10" s="184"/>
      <c r="E10" s="187"/>
      <c r="F10" s="173" t="s">
        <v>97</v>
      </c>
      <c r="G10" s="174"/>
      <c r="H10" s="174"/>
      <c r="I10" s="173" t="s">
        <v>29</v>
      </c>
      <c r="J10" s="174"/>
      <c r="K10" s="174"/>
      <c r="L10" s="173" t="s">
        <v>97</v>
      </c>
      <c r="M10" s="174"/>
      <c r="N10" s="174"/>
      <c r="O10" s="173" t="s">
        <v>29</v>
      </c>
      <c r="P10" s="174"/>
      <c r="Q10" s="174"/>
      <c r="R10" s="173" t="s">
        <v>97</v>
      </c>
      <c r="S10" s="174"/>
      <c r="T10" s="174"/>
      <c r="U10" s="173" t="s">
        <v>29</v>
      </c>
      <c r="V10" s="174"/>
      <c r="W10" s="174"/>
      <c r="X10" s="173" t="s">
        <v>97</v>
      </c>
      <c r="Y10" s="174"/>
      <c r="Z10" s="174"/>
      <c r="AA10" s="173" t="s">
        <v>29</v>
      </c>
      <c r="AB10" s="174"/>
      <c r="AC10" s="174"/>
      <c r="AD10" s="173" t="s">
        <v>97</v>
      </c>
      <c r="AE10" s="174"/>
      <c r="AF10" s="174"/>
      <c r="AG10" s="173" t="s">
        <v>29</v>
      </c>
      <c r="AH10" s="174"/>
      <c r="AI10" s="174"/>
      <c r="AJ10" s="173" t="s">
        <v>97</v>
      </c>
      <c r="AK10" s="174"/>
      <c r="AL10" s="174"/>
      <c r="AM10" s="173" t="s">
        <v>29</v>
      </c>
      <c r="AN10" s="174"/>
      <c r="AO10" s="174"/>
      <c r="AP10" s="190"/>
      <c r="AQ10" s="193"/>
      <c r="AS10" s="2"/>
    </row>
    <row r="11" spans="1:45" ht="18" customHeight="1" x14ac:dyDescent="0.15">
      <c r="B11" s="182"/>
      <c r="C11" s="197"/>
      <c r="D11" s="185"/>
      <c r="E11" s="188"/>
      <c r="F11" s="12" t="s">
        <v>98</v>
      </c>
      <c r="G11" s="13" t="s">
        <v>99</v>
      </c>
      <c r="H11" s="14" t="s">
        <v>100</v>
      </c>
      <c r="I11" s="12" t="s">
        <v>98</v>
      </c>
      <c r="J11" s="13" t="s">
        <v>99</v>
      </c>
      <c r="K11" s="14" t="s">
        <v>100</v>
      </c>
      <c r="L11" s="12" t="s">
        <v>98</v>
      </c>
      <c r="M11" s="13" t="s">
        <v>99</v>
      </c>
      <c r="N11" s="14" t="s">
        <v>100</v>
      </c>
      <c r="O11" s="12" t="s">
        <v>98</v>
      </c>
      <c r="P11" s="13" t="s">
        <v>99</v>
      </c>
      <c r="Q11" s="14" t="s">
        <v>100</v>
      </c>
      <c r="R11" s="12" t="s">
        <v>98</v>
      </c>
      <c r="S11" s="13" t="s">
        <v>99</v>
      </c>
      <c r="T11" s="14" t="s">
        <v>100</v>
      </c>
      <c r="U11" s="12" t="s">
        <v>98</v>
      </c>
      <c r="V11" s="13" t="s">
        <v>99</v>
      </c>
      <c r="W11" s="14" t="s">
        <v>100</v>
      </c>
      <c r="X11" s="12" t="s">
        <v>98</v>
      </c>
      <c r="Y11" s="13" t="s">
        <v>99</v>
      </c>
      <c r="Z11" s="14" t="s">
        <v>100</v>
      </c>
      <c r="AA11" s="12" t="s">
        <v>98</v>
      </c>
      <c r="AB11" s="13" t="s">
        <v>99</v>
      </c>
      <c r="AC11" s="14" t="s">
        <v>100</v>
      </c>
      <c r="AD11" s="12" t="s">
        <v>98</v>
      </c>
      <c r="AE11" s="13" t="s">
        <v>99</v>
      </c>
      <c r="AF11" s="14" t="s">
        <v>100</v>
      </c>
      <c r="AG11" s="12" t="s">
        <v>98</v>
      </c>
      <c r="AH11" s="13" t="s">
        <v>99</v>
      </c>
      <c r="AI11" s="14" t="s">
        <v>100</v>
      </c>
      <c r="AJ11" s="12" t="s">
        <v>98</v>
      </c>
      <c r="AK11" s="13" t="s">
        <v>99</v>
      </c>
      <c r="AL11" s="14" t="s">
        <v>100</v>
      </c>
      <c r="AM11" s="12" t="s">
        <v>98</v>
      </c>
      <c r="AN11" s="13" t="s">
        <v>99</v>
      </c>
      <c r="AO11" s="14" t="s">
        <v>100</v>
      </c>
      <c r="AP11" s="191"/>
      <c r="AQ11" s="194"/>
      <c r="AS11" s="2"/>
    </row>
    <row r="12" spans="1:45" ht="18" customHeight="1" x14ac:dyDescent="0.15">
      <c r="A12" s="4"/>
      <c r="B12" s="8" t="s">
        <v>131</v>
      </c>
      <c r="C12" s="17">
        <v>2484</v>
      </c>
      <c r="D12" s="18">
        <v>605</v>
      </c>
      <c r="E12" s="19">
        <v>2420</v>
      </c>
      <c r="F12" s="19">
        <f>G12+H12</f>
        <v>164</v>
      </c>
      <c r="G12" s="20">
        <v>59</v>
      </c>
      <c r="H12" s="21">
        <v>105</v>
      </c>
      <c r="I12" s="19">
        <f>J12+K12</f>
        <v>142</v>
      </c>
      <c r="J12" s="20">
        <v>47</v>
      </c>
      <c r="K12" s="21">
        <v>95</v>
      </c>
      <c r="L12" s="19">
        <f>M12+N12</f>
        <v>0</v>
      </c>
      <c r="M12" s="20"/>
      <c r="N12" s="21"/>
      <c r="O12" s="19">
        <f>P12+Q12</f>
        <v>0</v>
      </c>
      <c r="P12" s="20"/>
      <c r="Q12" s="21"/>
      <c r="R12" s="19">
        <f>S12+T12</f>
        <v>0</v>
      </c>
      <c r="S12" s="20"/>
      <c r="T12" s="21"/>
      <c r="U12" s="19">
        <f>V12+W12</f>
        <v>0</v>
      </c>
      <c r="V12" s="20"/>
      <c r="W12" s="21"/>
      <c r="X12" s="19">
        <f>Y12+Z12</f>
        <v>0</v>
      </c>
      <c r="Y12" s="20"/>
      <c r="Z12" s="21"/>
      <c r="AA12" s="19">
        <f>AB12+AC12</f>
        <v>0</v>
      </c>
      <c r="AB12" s="20"/>
      <c r="AC12" s="21"/>
      <c r="AD12" s="19">
        <f>AE12+AF12</f>
        <v>0</v>
      </c>
      <c r="AE12" s="20"/>
      <c r="AF12" s="21"/>
      <c r="AG12" s="19">
        <f>AH12+AI12</f>
        <v>0</v>
      </c>
      <c r="AH12" s="20"/>
      <c r="AI12" s="21"/>
      <c r="AJ12" s="19">
        <f>AK12+AL12</f>
        <v>0</v>
      </c>
      <c r="AK12" s="20"/>
      <c r="AL12" s="21"/>
      <c r="AM12" s="19">
        <f>AN12+AO12</f>
        <v>0</v>
      </c>
      <c r="AN12" s="20"/>
      <c r="AO12" s="21"/>
      <c r="AP12" s="18">
        <f>F12+L12+R12+X12+AD12+AJ12</f>
        <v>164</v>
      </c>
      <c r="AQ12" s="37">
        <f t="shared" ref="AQ12:AQ32" si="0">AP12/E12</f>
        <v>6.7768595041322308E-2</v>
      </c>
    </row>
    <row r="13" spans="1:45" ht="18" customHeight="1" x14ac:dyDescent="0.15">
      <c r="A13" s="4"/>
      <c r="B13" s="9" t="s">
        <v>132</v>
      </c>
      <c r="C13" s="22">
        <v>2541</v>
      </c>
      <c r="D13" s="23">
        <v>630</v>
      </c>
      <c r="E13" s="24">
        <v>2520</v>
      </c>
      <c r="F13" s="25">
        <f t="shared" ref="F13:F31" si="1">G13+H13</f>
        <v>155</v>
      </c>
      <c r="G13" s="26">
        <v>99</v>
      </c>
      <c r="H13" s="27">
        <v>56</v>
      </c>
      <c r="I13" s="25">
        <f t="shared" ref="I13:I31" si="2">J13+K13</f>
        <v>134</v>
      </c>
      <c r="J13" s="26">
        <v>84</v>
      </c>
      <c r="K13" s="27">
        <v>50</v>
      </c>
      <c r="L13" s="25">
        <f t="shared" ref="L13:L31" si="3">M13+N13</f>
        <v>0</v>
      </c>
      <c r="M13" s="26"/>
      <c r="N13" s="27"/>
      <c r="O13" s="25">
        <f t="shared" ref="O13:O31" si="4">P13+Q13</f>
        <v>0</v>
      </c>
      <c r="P13" s="26"/>
      <c r="Q13" s="27"/>
      <c r="R13" s="25">
        <f t="shared" ref="R13:R31" si="5">S13+T13</f>
        <v>0</v>
      </c>
      <c r="S13" s="26"/>
      <c r="T13" s="27"/>
      <c r="U13" s="25">
        <f t="shared" ref="U13:U31" si="6">V13+W13</f>
        <v>0</v>
      </c>
      <c r="V13" s="26"/>
      <c r="W13" s="27"/>
      <c r="X13" s="25">
        <f t="shared" ref="X13:X31" si="7">Y13+Z13</f>
        <v>0</v>
      </c>
      <c r="Y13" s="26"/>
      <c r="Z13" s="27"/>
      <c r="AA13" s="25">
        <f t="shared" ref="AA13:AA31" si="8">AB13+AC13</f>
        <v>0</v>
      </c>
      <c r="AB13" s="26"/>
      <c r="AC13" s="27"/>
      <c r="AD13" s="25">
        <f t="shared" ref="AD13:AD31" si="9">AE13+AF13</f>
        <v>0</v>
      </c>
      <c r="AE13" s="26"/>
      <c r="AF13" s="27"/>
      <c r="AG13" s="25">
        <f t="shared" ref="AG13:AG31" si="10">AH13+AI13</f>
        <v>0</v>
      </c>
      <c r="AH13" s="26"/>
      <c r="AI13" s="27"/>
      <c r="AJ13" s="25">
        <f t="shared" ref="AJ13:AJ31" si="11">AK13+AL13</f>
        <v>0</v>
      </c>
      <c r="AK13" s="26"/>
      <c r="AL13" s="27"/>
      <c r="AM13" s="25">
        <f t="shared" ref="AM13:AM31" si="12">AN13+AO13</f>
        <v>0</v>
      </c>
      <c r="AN13" s="26"/>
      <c r="AO13" s="27"/>
      <c r="AP13" s="23">
        <f t="shared" ref="AP13:AP31" si="13">F13+L13+R13+X13+AD13+AJ13</f>
        <v>155</v>
      </c>
      <c r="AQ13" s="6">
        <f t="shared" si="0"/>
        <v>6.1507936507936505E-2</v>
      </c>
    </row>
    <row r="14" spans="1:45" ht="18" customHeight="1" x14ac:dyDescent="0.15">
      <c r="A14" s="4"/>
      <c r="B14" s="9" t="s">
        <v>133</v>
      </c>
      <c r="C14" s="22">
        <v>2716</v>
      </c>
      <c r="D14" s="23">
        <v>660</v>
      </c>
      <c r="E14" s="24">
        <v>2640</v>
      </c>
      <c r="F14" s="25">
        <f t="shared" si="1"/>
        <v>154</v>
      </c>
      <c r="G14" s="26">
        <v>106</v>
      </c>
      <c r="H14" s="27">
        <v>48</v>
      </c>
      <c r="I14" s="25">
        <f t="shared" si="2"/>
        <v>124</v>
      </c>
      <c r="J14" s="26">
        <v>83</v>
      </c>
      <c r="K14" s="27">
        <v>41</v>
      </c>
      <c r="L14" s="25">
        <f t="shared" si="3"/>
        <v>0</v>
      </c>
      <c r="M14" s="26"/>
      <c r="N14" s="27"/>
      <c r="O14" s="25">
        <f t="shared" si="4"/>
        <v>0</v>
      </c>
      <c r="P14" s="26"/>
      <c r="Q14" s="27"/>
      <c r="R14" s="25">
        <f t="shared" si="5"/>
        <v>0</v>
      </c>
      <c r="S14" s="26"/>
      <c r="T14" s="27"/>
      <c r="U14" s="25">
        <f t="shared" si="6"/>
        <v>0</v>
      </c>
      <c r="V14" s="26"/>
      <c r="W14" s="27"/>
      <c r="X14" s="25">
        <f t="shared" si="7"/>
        <v>0</v>
      </c>
      <c r="Y14" s="26"/>
      <c r="Z14" s="27"/>
      <c r="AA14" s="25">
        <f t="shared" si="8"/>
        <v>0</v>
      </c>
      <c r="AB14" s="26"/>
      <c r="AC14" s="27"/>
      <c r="AD14" s="25">
        <f t="shared" si="9"/>
        <v>0</v>
      </c>
      <c r="AE14" s="26"/>
      <c r="AF14" s="27"/>
      <c r="AG14" s="25">
        <f t="shared" si="10"/>
        <v>0</v>
      </c>
      <c r="AH14" s="26"/>
      <c r="AI14" s="27"/>
      <c r="AJ14" s="25">
        <f t="shared" si="11"/>
        <v>0</v>
      </c>
      <c r="AK14" s="26"/>
      <c r="AL14" s="27"/>
      <c r="AM14" s="25">
        <f t="shared" si="12"/>
        <v>0</v>
      </c>
      <c r="AN14" s="26"/>
      <c r="AO14" s="27"/>
      <c r="AP14" s="23">
        <f t="shared" si="13"/>
        <v>154</v>
      </c>
      <c r="AQ14" s="6">
        <f t="shared" si="0"/>
        <v>5.8333333333333334E-2</v>
      </c>
    </row>
    <row r="15" spans="1:45" ht="18" customHeight="1" x14ac:dyDescent="0.15">
      <c r="A15" s="4"/>
      <c r="B15" s="9" t="s">
        <v>134</v>
      </c>
      <c r="C15" s="22">
        <v>2745</v>
      </c>
      <c r="D15" s="23">
        <v>665</v>
      </c>
      <c r="E15" s="24">
        <v>2660</v>
      </c>
      <c r="F15" s="25">
        <f t="shared" si="1"/>
        <v>89</v>
      </c>
      <c r="G15" s="26">
        <v>35</v>
      </c>
      <c r="H15" s="27">
        <v>54</v>
      </c>
      <c r="I15" s="25">
        <f t="shared" si="2"/>
        <v>74</v>
      </c>
      <c r="J15" s="26">
        <v>23</v>
      </c>
      <c r="K15" s="27">
        <v>51</v>
      </c>
      <c r="L15" s="25">
        <f t="shared" si="3"/>
        <v>0</v>
      </c>
      <c r="M15" s="26"/>
      <c r="N15" s="27"/>
      <c r="O15" s="25">
        <f t="shared" si="4"/>
        <v>0</v>
      </c>
      <c r="P15" s="26"/>
      <c r="Q15" s="27"/>
      <c r="R15" s="25">
        <f t="shared" si="5"/>
        <v>0</v>
      </c>
      <c r="S15" s="26"/>
      <c r="T15" s="27"/>
      <c r="U15" s="25">
        <f t="shared" si="6"/>
        <v>0</v>
      </c>
      <c r="V15" s="26"/>
      <c r="W15" s="27"/>
      <c r="X15" s="25">
        <f t="shared" si="7"/>
        <v>0</v>
      </c>
      <c r="Y15" s="26"/>
      <c r="Z15" s="27"/>
      <c r="AA15" s="25">
        <f t="shared" si="8"/>
        <v>0</v>
      </c>
      <c r="AB15" s="26"/>
      <c r="AC15" s="27"/>
      <c r="AD15" s="25">
        <f t="shared" si="9"/>
        <v>0</v>
      </c>
      <c r="AE15" s="26"/>
      <c r="AF15" s="27"/>
      <c r="AG15" s="25">
        <f t="shared" si="10"/>
        <v>0</v>
      </c>
      <c r="AH15" s="26"/>
      <c r="AI15" s="27"/>
      <c r="AJ15" s="25">
        <f t="shared" si="11"/>
        <v>0</v>
      </c>
      <c r="AK15" s="26"/>
      <c r="AL15" s="27"/>
      <c r="AM15" s="25">
        <f t="shared" si="12"/>
        <v>0</v>
      </c>
      <c r="AN15" s="26"/>
      <c r="AO15" s="27"/>
      <c r="AP15" s="23">
        <f t="shared" si="13"/>
        <v>89</v>
      </c>
      <c r="AQ15" s="6">
        <f t="shared" si="0"/>
        <v>3.3458646616541354E-2</v>
      </c>
    </row>
    <row r="16" spans="1:45" ht="18" customHeight="1" x14ac:dyDescent="0.15">
      <c r="A16" s="4"/>
      <c r="B16" s="9" t="s">
        <v>135</v>
      </c>
      <c r="C16" s="22">
        <v>654</v>
      </c>
      <c r="D16" s="23">
        <v>165</v>
      </c>
      <c r="E16" s="24">
        <v>660</v>
      </c>
      <c r="F16" s="25">
        <f t="shared" si="1"/>
        <v>48</v>
      </c>
      <c r="G16" s="26">
        <v>35</v>
      </c>
      <c r="H16" s="27">
        <v>13</v>
      </c>
      <c r="I16" s="25">
        <f t="shared" si="2"/>
        <v>32</v>
      </c>
      <c r="J16" s="26">
        <v>20</v>
      </c>
      <c r="K16" s="27">
        <v>12</v>
      </c>
      <c r="L16" s="25">
        <f t="shared" si="3"/>
        <v>0</v>
      </c>
      <c r="M16" s="26"/>
      <c r="N16" s="27"/>
      <c r="O16" s="25">
        <f t="shared" si="4"/>
        <v>0</v>
      </c>
      <c r="P16" s="26"/>
      <c r="Q16" s="27"/>
      <c r="R16" s="25">
        <f t="shared" si="5"/>
        <v>0</v>
      </c>
      <c r="S16" s="26"/>
      <c r="T16" s="27"/>
      <c r="U16" s="25">
        <f t="shared" si="6"/>
        <v>0</v>
      </c>
      <c r="V16" s="26"/>
      <c r="W16" s="27"/>
      <c r="X16" s="25">
        <f t="shared" si="7"/>
        <v>0</v>
      </c>
      <c r="Y16" s="26"/>
      <c r="Z16" s="27"/>
      <c r="AA16" s="25">
        <f t="shared" si="8"/>
        <v>0</v>
      </c>
      <c r="AB16" s="26"/>
      <c r="AC16" s="27"/>
      <c r="AD16" s="25">
        <f t="shared" si="9"/>
        <v>0</v>
      </c>
      <c r="AE16" s="26"/>
      <c r="AF16" s="27"/>
      <c r="AG16" s="25">
        <f t="shared" si="10"/>
        <v>0</v>
      </c>
      <c r="AH16" s="26"/>
      <c r="AI16" s="27"/>
      <c r="AJ16" s="25">
        <f t="shared" si="11"/>
        <v>0</v>
      </c>
      <c r="AK16" s="26"/>
      <c r="AL16" s="27"/>
      <c r="AM16" s="25">
        <f t="shared" si="12"/>
        <v>0</v>
      </c>
      <c r="AN16" s="26"/>
      <c r="AO16" s="27"/>
      <c r="AP16" s="23">
        <f t="shared" si="13"/>
        <v>48</v>
      </c>
      <c r="AQ16" s="6">
        <f t="shared" si="0"/>
        <v>7.2727272727272724E-2</v>
      </c>
    </row>
    <row r="17" spans="1:43" ht="18" customHeight="1" x14ac:dyDescent="0.15">
      <c r="A17" s="4"/>
      <c r="B17" s="9" t="s">
        <v>136</v>
      </c>
      <c r="C17" s="22">
        <v>976</v>
      </c>
      <c r="D17" s="23">
        <v>250</v>
      </c>
      <c r="E17" s="24">
        <v>1000</v>
      </c>
      <c r="F17" s="25">
        <f t="shared" si="1"/>
        <v>109</v>
      </c>
      <c r="G17" s="26">
        <v>84</v>
      </c>
      <c r="H17" s="27">
        <v>25</v>
      </c>
      <c r="I17" s="25">
        <f t="shared" si="2"/>
        <v>95</v>
      </c>
      <c r="J17" s="26">
        <v>71</v>
      </c>
      <c r="K17" s="27">
        <v>24</v>
      </c>
      <c r="L17" s="25">
        <f t="shared" si="3"/>
        <v>0</v>
      </c>
      <c r="M17" s="26"/>
      <c r="N17" s="27"/>
      <c r="O17" s="25">
        <f t="shared" si="4"/>
        <v>0</v>
      </c>
      <c r="P17" s="26"/>
      <c r="Q17" s="27"/>
      <c r="R17" s="25">
        <f t="shared" si="5"/>
        <v>0</v>
      </c>
      <c r="S17" s="26"/>
      <c r="T17" s="27"/>
      <c r="U17" s="25">
        <f t="shared" si="6"/>
        <v>0</v>
      </c>
      <c r="V17" s="26"/>
      <c r="W17" s="27"/>
      <c r="X17" s="25">
        <f t="shared" si="7"/>
        <v>0</v>
      </c>
      <c r="Y17" s="26"/>
      <c r="Z17" s="27"/>
      <c r="AA17" s="25">
        <f t="shared" si="8"/>
        <v>0</v>
      </c>
      <c r="AB17" s="26"/>
      <c r="AC17" s="27"/>
      <c r="AD17" s="25">
        <f t="shared" si="9"/>
        <v>0</v>
      </c>
      <c r="AE17" s="26"/>
      <c r="AF17" s="27"/>
      <c r="AG17" s="25">
        <f t="shared" si="10"/>
        <v>0</v>
      </c>
      <c r="AH17" s="26"/>
      <c r="AI17" s="27"/>
      <c r="AJ17" s="25">
        <f t="shared" si="11"/>
        <v>0</v>
      </c>
      <c r="AK17" s="26"/>
      <c r="AL17" s="27"/>
      <c r="AM17" s="25">
        <f t="shared" si="12"/>
        <v>0</v>
      </c>
      <c r="AN17" s="26"/>
      <c r="AO17" s="27"/>
      <c r="AP17" s="23">
        <f t="shared" si="13"/>
        <v>109</v>
      </c>
      <c r="AQ17" s="6">
        <f t="shared" si="0"/>
        <v>0.109</v>
      </c>
    </row>
    <row r="18" spans="1:43" ht="18" customHeight="1" x14ac:dyDescent="0.15">
      <c r="A18" s="4"/>
      <c r="B18" s="9" t="s">
        <v>137</v>
      </c>
      <c r="C18" s="22">
        <v>2828</v>
      </c>
      <c r="D18" s="23">
        <v>700</v>
      </c>
      <c r="E18" s="24">
        <v>2800</v>
      </c>
      <c r="F18" s="25">
        <f t="shared" si="1"/>
        <v>204</v>
      </c>
      <c r="G18" s="26">
        <v>176</v>
      </c>
      <c r="H18" s="27">
        <v>28</v>
      </c>
      <c r="I18" s="25">
        <f t="shared" si="2"/>
        <v>165</v>
      </c>
      <c r="J18" s="26">
        <v>138</v>
      </c>
      <c r="K18" s="27">
        <v>27</v>
      </c>
      <c r="L18" s="25">
        <f t="shared" si="3"/>
        <v>0</v>
      </c>
      <c r="M18" s="26"/>
      <c r="N18" s="27"/>
      <c r="O18" s="25">
        <f t="shared" si="4"/>
        <v>0</v>
      </c>
      <c r="P18" s="26"/>
      <c r="Q18" s="27"/>
      <c r="R18" s="25">
        <f t="shared" si="5"/>
        <v>0</v>
      </c>
      <c r="S18" s="26"/>
      <c r="T18" s="27"/>
      <c r="U18" s="25">
        <f t="shared" si="6"/>
        <v>0</v>
      </c>
      <c r="V18" s="26"/>
      <c r="W18" s="27"/>
      <c r="X18" s="25">
        <f t="shared" si="7"/>
        <v>0</v>
      </c>
      <c r="Y18" s="26"/>
      <c r="Z18" s="27"/>
      <c r="AA18" s="25">
        <f t="shared" si="8"/>
        <v>0</v>
      </c>
      <c r="AB18" s="26"/>
      <c r="AC18" s="27"/>
      <c r="AD18" s="25">
        <f t="shared" si="9"/>
        <v>0</v>
      </c>
      <c r="AE18" s="26"/>
      <c r="AF18" s="27"/>
      <c r="AG18" s="25">
        <f t="shared" si="10"/>
        <v>0</v>
      </c>
      <c r="AH18" s="26"/>
      <c r="AI18" s="27"/>
      <c r="AJ18" s="25">
        <f t="shared" si="11"/>
        <v>0</v>
      </c>
      <c r="AK18" s="26"/>
      <c r="AL18" s="27"/>
      <c r="AM18" s="25">
        <f t="shared" si="12"/>
        <v>0</v>
      </c>
      <c r="AN18" s="26"/>
      <c r="AO18" s="27"/>
      <c r="AP18" s="23">
        <f t="shared" si="13"/>
        <v>204</v>
      </c>
      <c r="AQ18" s="6">
        <f t="shared" si="0"/>
        <v>7.2857142857142856E-2</v>
      </c>
    </row>
    <row r="19" spans="1:43" ht="18" customHeight="1" x14ac:dyDescent="0.15">
      <c r="A19" s="4"/>
      <c r="B19" s="9" t="s">
        <v>138</v>
      </c>
      <c r="C19" s="22">
        <v>1133</v>
      </c>
      <c r="D19" s="23">
        <v>220</v>
      </c>
      <c r="E19" s="24">
        <v>1100</v>
      </c>
      <c r="F19" s="25">
        <f t="shared" si="1"/>
        <v>117</v>
      </c>
      <c r="G19" s="26">
        <v>45</v>
      </c>
      <c r="H19" s="27">
        <v>72</v>
      </c>
      <c r="I19" s="25">
        <f t="shared" si="2"/>
        <v>112</v>
      </c>
      <c r="J19" s="26">
        <v>41</v>
      </c>
      <c r="K19" s="27">
        <v>71</v>
      </c>
      <c r="L19" s="25">
        <f t="shared" si="3"/>
        <v>0</v>
      </c>
      <c r="M19" s="26"/>
      <c r="N19" s="27"/>
      <c r="O19" s="25">
        <f t="shared" si="4"/>
        <v>0</v>
      </c>
      <c r="P19" s="26"/>
      <c r="Q19" s="27"/>
      <c r="R19" s="25">
        <f t="shared" si="5"/>
        <v>0</v>
      </c>
      <c r="S19" s="26"/>
      <c r="T19" s="27"/>
      <c r="U19" s="25">
        <f t="shared" si="6"/>
        <v>0</v>
      </c>
      <c r="V19" s="26"/>
      <c r="W19" s="27"/>
      <c r="X19" s="25">
        <f t="shared" si="7"/>
        <v>0</v>
      </c>
      <c r="Y19" s="26"/>
      <c r="Z19" s="27"/>
      <c r="AA19" s="25">
        <f t="shared" si="8"/>
        <v>0</v>
      </c>
      <c r="AB19" s="26"/>
      <c r="AC19" s="27"/>
      <c r="AD19" s="25">
        <f t="shared" si="9"/>
        <v>0</v>
      </c>
      <c r="AE19" s="26"/>
      <c r="AF19" s="27"/>
      <c r="AG19" s="25">
        <f t="shared" si="10"/>
        <v>0</v>
      </c>
      <c r="AH19" s="26"/>
      <c r="AI19" s="27"/>
      <c r="AJ19" s="25">
        <f t="shared" si="11"/>
        <v>0</v>
      </c>
      <c r="AK19" s="26"/>
      <c r="AL19" s="27"/>
      <c r="AM19" s="25">
        <f t="shared" si="12"/>
        <v>0</v>
      </c>
      <c r="AN19" s="26"/>
      <c r="AO19" s="27"/>
      <c r="AP19" s="23">
        <f t="shared" si="13"/>
        <v>117</v>
      </c>
      <c r="AQ19" s="6">
        <f t="shared" si="0"/>
        <v>0.10636363636363637</v>
      </c>
    </row>
    <row r="20" spans="1:43" ht="18" customHeight="1" x14ac:dyDescent="0.15">
      <c r="A20" s="4"/>
      <c r="B20" s="9" t="s">
        <v>139</v>
      </c>
      <c r="C20" s="22">
        <v>1424</v>
      </c>
      <c r="D20" s="23">
        <v>230</v>
      </c>
      <c r="E20" s="24">
        <v>1380</v>
      </c>
      <c r="F20" s="25">
        <f t="shared" si="1"/>
        <v>225</v>
      </c>
      <c r="G20" s="26">
        <v>66</v>
      </c>
      <c r="H20" s="27">
        <v>159</v>
      </c>
      <c r="I20" s="25">
        <f t="shared" si="2"/>
        <v>221</v>
      </c>
      <c r="J20" s="26">
        <v>63</v>
      </c>
      <c r="K20" s="27">
        <v>158</v>
      </c>
      <c r="L20" s="25">
        <f t="shared" si="3"/>
        <v>0</v>
      </c>
      <c r="M20" s="26"/>
      <c r="N20" s="27"/>
      <c r="O20" s="25">
        <f t="shared" si="4"/>
        <v>0</v>
      </c>
      <c r="P20" s="26"/>
      <c r="Q20" s="27"/>
      <c r="R20" s="25">
        <f t="shared" si="5"/>
        <v>0</v>
      </c>
      <c r="S20" s="26"/>
      <c r="T20" s="27"/>
      <c r="U20" s="25">
        <f t="shared" si="6"/>
        <v>0</v>
      </c>
      <c r="V20" s="26"/>
      <c r="W20" s="27"/>
      <c r="X20" s="25">
        <f t="shared" si="7"/>
        <v>0</v>
      </c>
      <c r="Y20" s="26"/>
      <c r="Z20" s="27"/>
      <c r="AA20" s="25">
        <f t="shared" si="8"/>
        <v>0</v>
      </c>
      <c r="AB20" s="26"/>
      <c r="AC20" s="27"/>
      <c r="AD20" s="25">
        <f t="shared" si="9"/>
        <v>0</v>
      </c>
      <c r="AE20" s="26"/>
      <c r="AF20" s="27"/>
      <c r="AG20" s="25">
        <f t="shared" si="10"/>
        <v>0</v>
      </c>
      <c r="AH20" s="26"/>
      <c r="AI20" s="27"/>
      <c r="AJ20" s="25">
        <f t="shared" si="11"/>
        <v>0</v>
      </c>
      <c r="AK20" s="26"/>
      <c r="AL20" s="27"/>
      <c r="AM20" s="25">
        <f t="shared" si="12"/>
        <v>0</v>
      </c>
      <c r="AN20" s="26"/>
      <c r="AO20" s="27"/>
      <c r="AP20" s="23">
        <f t="shared" si="13"/>
        <v>225</v>
      </c>
      <c r="AQ20" s="6">
        <f t="shared" si="0"/>
        <v>0.16304347826086957</v>
      </c>
    </row>
    <row r="21" spans="1:43" ht="18" customHeight="1" x14ac:dyDescent="0.15">
      <c r="A21" s="4"/>
      <c r="B21" s="9" t="s">
        <v>140</v>
      </c>
      <c r="C21" s="22">
        <v>1210</v>
      </c>
      <c r="D21" s="23">
        <v>295</v>
      </c>
      <c r="E21" s="24">
        <v>1180</v>
      </c>
      <c r="F21" s="25">
        <f t="shared" si="1"/>
        <v>20</v>
      </c>
      <c r="G21" s="26">
        <v>17</v>
      </c>
      <c r="H21" s="27">
        <v>3</v>
      </c>
      <c r="I21" s="25">
        <f t="shared" si="2"/>
        <v>16</v>
      </c>
      <c r="J21" s="26">
        <v>13</v>
      </c>
      <c r="K21" s="27">
        <v>3</v>
      </c>
      <c r="L21" s="25">
        <f t="shared" si="3"/>
        <v>0</v>
      </c>
      <c r="M21" s="26"/>
      <c r="N21" s="27"/>
      <c r="O21" s="25">
        <f t="shared" si="4"/>
        <v>0</v>
      </c>
      <c r="P21" s="26"/>
      <c r="Q21" s="27"/>
      <c r="R21" s="25">
        <f t="shared" si="5"/>
        <v>0</v>
      </c>
      <c r="S21" s="26"/>
      <c r="T21" s="27"/>
      <c r="U21" s="25">
        <f t="shared" si="6"/>
        <v>0</v>
      </c>
      <c r="V21" s="26"/>
      <c r="W21" s="27"/>
      <c r="X21" s="25">
        <f t="shared" si="7"/>
        <v>0</v>
      </c>
      <c r="Y21" s="26"/>
      <c r="Z21" s="27"/>
      <c r="AA21" s="25">
        <f t="shared" si="8"/>
        <v>0</v>
      </c>
      <c r="AB21" s="26"/>
      <c r="AC21" s="27"/>
      <c r="AD21" s="25">
        <f t="shared" si="9"/>
        <v>0</v>
      </c>
      <c r="AE21" s="26"/>
      <c r="AF21" s="27"/>
      <c r="AG21" s="25">
        <f t="shared" si="10"/>
        <v>0</v>
      </c>
      <c r="AH21" s="26"/>
      <c r="AI21" s="27"/>
      <c r="AJ21" s="25">
        <f t="shared" si="11"/>
        <v>0</v>
      </c>
      <c r="AK21" s="26"/>
      <c r="AL21" s="27"/>
      <c r="AM21" s="25">
        <f t="shared" si="12"/>
        <v>0</v>
      </c>
      <c r="AN21" s="26"/>
      <c r="AO21" s="27"/>
      <c r="AP21" s="23">
        <f t="shared" si="13"/>
        <v>20</v>
      </c>
      <c r="AQ21" s="6">
        <f t="shared" si="0"/>
        <v>1.6949152542372881E-2</v>
      </c>
    </row>
    <row r="22" spans="1:43" ht="18" customHeight="1" x14ac:dyDescent="0.15">
      <c r="A22" s="4"/>
      <c r="B22" s="9"/>
      <c r="C22" s="22"/>
      <c r="D22" s="23"/>
      <c r="E22" s="24"/>
      <c r="F22" s="25">
        <f t="shared" si="1"/>
        <v>0</v>
      </c>
      <c r="G22" s="26"/>
      <c r="H22" s="27"/>
      <c r="I22" s="25">
        <f t="shared" si="2"/>
        <v>0</v>
      </c>
      <c r="J22" s="26"/>
      <c r="K22" s="27"/>
      <c r="L22" s="25">
        <f t="shared" si="3"/>
        <v>0</v>
      </c>
      <c r="M22" s="26"/>
      <c r="N22" s="27"/>
      <c r="O22" s="25">
        <f t="shared" si="4"/>
        <v>0</v>
      </c>
      <c r="P22" s="26"/>
      <c r="Q22" s="27"/>
      <c r="R22" s="25">
        <f t="shared" si="5"/>
        <v>0</v>
      </c>
      <c r="S22" s="26"/>
      <c r="T22" s="27"/>
      <c r="U22" s="25">
        <f t="shared" si="6"/>
        <v>0</v>
      </c>
      <c r="V22" s="26"/>
      <c r="W22" s="27"/>
      <c r="X22" s="25">
        <f t="shared" si="7"/>
        <v>0</v>
      </c>
      <c r="Y22" s="26"/>
      <c r="Z22" s="27"/>
      <c r="AA22" s="25">
        <f t="shared" si="8"/>
        <v>0</v>
      </c>
      <c r="AB22" s="26"/>
      <c r="AC22" s="27"/>
      <c r="AD22" s="25">
        <f t="shared" si="9"/>
        <v>0</v>
      </c>
      <c r="AE22" s="26"/>
      <c r="AF22" s="27"/>
      <c r="AG22" s="25">
        <f t="shared" si="10"/>
        <v>0</v>
      </c>
      <c r="AH22" s="26"/>
      <c r="AI22" s="27"/>
      <c r="AJ22" s="25">
        <f t="shared" si="11"/>
        <v>0</v>
      </c>
      <c r="AK22" s="26"/>
      <c r="AL22" s="27"/>
      <c r="AM22" s="25">
        <f t="shared" si="12"/>
        <v>0</v>
      </c>
      <c r="AN22" s="26"/>
      <c r="AO22" s="27"/>
      <c r="AP22" s="23">
        <f t="shared" si="13"/>
        <v>0</v>
      </c>
      <c r="AQ22" s="6" t="e">
        <f t="shared" si="0"/>
        <v>#DIV/0!</v>
      </c>
    </row>
    <row r="23" spans="1:43" ht="18" customHeight="1" x14ac:dyDescent="0.15">
      <c r="A23" s="4"/>
      <c r="B23" s="9"/>
      <c r="C23" s="22"/>
      <c r="D23" s="23"/>
      <c r="E23" s="24"/>
      <c r="F23" s="25">
        <f t="shared" si="1"/>
        <v>0</v>
      </c>
      <c r="G23" s="26"/>
      <c r="H23" s="27"/>
      <c r="I23" s="25">
        <f t="shared" si="2"/>
        <v>0</v>
      </c>
      <c r="J23" s="26"/>
      <c r="K23" s="27"/>
      <c r="L23" s="25">
        <f t="shared" si="3"/>
        <v>0</v>
      </c>
      <c r="M23" s="26"/>
      <c r="N23" s="27"/>
      <c r="O23" s="25">
        <f t="shared" si="4"/>
        <v>0</v>
      </c>
      <c r="P23" s="26"/>
      <c r="Q23" s="27"/>
      <c r="R23" s="25">
        <f t="shared" si="5"/>
        <v>0</v>
      </c>
      <c r="S23" s="26"/>
      <c r="T23" s="27"/>
      <c r="U23" s="25">
        <f t="shared" si="6"/>
        <v>0</v>
      </c>
      <c r="V23" s="26"/>
      <c r="W23" s="27"/>
      <c r="X23" s="25">
        <f t="shared" si="7"/>
        <v>0</v>
      </c>
      <c r="Y23" s="26"/>
      <c r="Z23" s="27"/>
      <c r="AA23" s="25">
        <f t="shared" si="8"/>
        <v>0</v>
      </c>
      <c r="AB23" s="26"/>
      <c r="AC23" s="27"/>
      <c r="AD23" s="25">
        <f t="shared" si="9"/>
        <v>0</v>
      </c>
      <c r="AE23" s="26"/>
      <c r="AF23" s="27"/>
      <c r="AG23" s="25">
        <f t="shared" si="10"/>
        <v>0</v>
      </c>
      <c r="AH23" s="26"/>
      <c r="AI23" s="27"/>
      <c r="AJ23" s="25">
        <f t="shared" si="11"/>
        <v>0</v>
      </c>
      <c r="AK23" s="26"/>
      <c r="AL23" s="27"/>
      <c r="AM23" s="25">
        <f t="shared" si="12"/>
        <v>0</v>
      </c>
      <c r="AN23" s="26"/>
      <c r="AO23" s="27"/>
      <c r="AP23" s="23">
        <f t="shared" si="13"/>
        <v>0</v>
      </c>
      <c r="AQ23" s="6" t="e">
        <f t="shared" si="0"/>
        <v>#DIV/0!</v>
      </c>
    </row>
    <row r="24" spans="1:43" ht="18" customHeight="1" x14ac:dyDescent="0.15">
      <c r="A24" s="4"/>
      <c r="B24" s="9"/>
      <c r="C24" s="22"/>
      <c r="D24" s="23"/>
      <c r="E24" s="24"/>
      <c r="F24" s="25">
        <f t="shared" si="1"/>
        <v>0</v>
      </c>
      <c r="G24" s="26"/>
      <c r="H24" s="27"/>
      <c r="I24" s="25">
        <f t="shared" si="2"/>
        <v>0</v>
      </c>
      <c r="J24" s="26"/>
      <c r="K24" s="27"/>
      <c r="L24" s="25">
        <f t="shared" si="3"/>
        <v>0</v>
      </c>
      <c r="M24" s="26"/>
      <c r="N24" s="27"/>
      <c r="O24" s="25">
        <f t="shared" si="4"/>
        <v>0</v>
      </c>
      <c r="P24" s="26"/>
      <c r="Q24" s="27"/>
      <c r="R24" s="25">
        <f t="shared" si="5"/>
        <v>0</v>
      </c>
      <c r="S24" s="26"/>
      <c r="T24" s="27"/>
      <c r="U24" s="25">
        <f t="shared" si="6"/>
        <v>0</v>
      </c>
      <c r="V24" s="26"/>
      <c r="W24" s="27"/>
      <c r="X24" s="25">
        <f t="shared" si="7"/>
        <v>0</v>
      </c>
      <c r="Y24" s="26"/>
      <c r="Z24" s="27"/>
      <c r="AA24" s="25">
        <f t="shared" si="8"/>
        <v>0</v>
      </c>
      <c r="AB24" s="26"/>
      <c r="AC24" s="27"/>
      <c r="AD24" s="25">
        <f t="shared" si="9"/>
        <v>0</v>
      </c>
      <c r="AE24" s="26"/>
      <c r="AF24" s="27"/>
      <c r="AG24" s="25">
        <f t="shared" si="10"/>
        <v>0</v>
      </c>
      <c r="AH24" s="26"/>
      <c r="AI24" s="27"/>
      <c r="AJ24" s="25">
        <f t="shared" si="11"/>
        <v>0</v>
      </c>
      <c r="AK24" s="26"/>
      <c r="AL24" s="27"/>
      <c r="AM24" s="25">
        <f t="shared" si="12"/>
        <v>0</v>
      </c>
      <c r="AN24" s="26"/>
      <c r="AO24" s="27"/>
      <c r="AP24" s="23">
        <f t="shared" si="13"/>
        <v>0</v>
      </c>
      <c r="AQ24" s="6" t="e">
        <f t="shared" si="0"/>
        <v>#DIV/0!</v>
      </c>
    </row>
    <row r="25" spans="1:43" ht="18" customHeight="1" x14ac:dyDescent="0.15">
      <c r="A25" s="4"/>
      <c r="B25" s="9"/>
      <c r="C25" s="22"/>
      <c r="D25" s="23"/>
      <c r="E25" s="24"/>
      <c r="F25" s="25">
        <f t="shared" si="1"/>
        <v>0</v>
      </c>
      <c r="G25" s="26"/>
      <c r="H25" s="27"/>
      <c r="I25" s="25">
        <f t="shared" si="2"/>
        <v>0</v>
      </c>
      <c r="J25" s="26"/>
      <c r="K25" s="27"/>
      <c r="L25" s="25">
        <f t="shared" si="3"/>
        <v>0</v>
      </c>
      <c r="M25" s="26"/>
      <c r="N25" s="27"/>
      <c r="O25" s="25">
        <f t="shared" si="4"/>
        <v>0</v>
      </c>
      <c r="P25" s="26"/>
      <c r="Q25" s="27"/>
      <c r="R25" s="25">
        <f t="shared" si="5"/>
        <v>0</v>
      </c>
      <c r="S25" s="26"/>
      <c r="T25" s="27"/>
      <c r="U25" s="25">
        <f t="shared" si="6"/>
        <v>0</v>
      </c>
      <c r="V25" s="26"/>
      <c r="W25" s="27"/>
      <c r="X25" s="25">
        <f t="shared" si="7"/>
        <v>0</v>
      </c>
      <c r="Y25" s="26"/>
      <c r="Z25" s="27"/>
      <c r="AA25" s="25">
        <f t="shared" si="8"/>
        <v>0</v>
      </c>
      <c r="AB25" s="26"/>
      <c r="AC25" s="27"/>
      <c r="AD25" s="25">
        <f t="shared" si="9"/>
        <v>0</v>
      </c>
      <c r="AE25" s="26"/>
      <c r="AF25" s="27"/>
      <c r="AG25" s="25">
        <f t="shared" si="10"/>
        <v>0</v>
      </c>
      <c r="AH25" s="26"/>
      <c r="AI25" s="27"/>
      <c r="AJ25" s="25">
        <f t="shared" si="11"/>
        <v>0</v>
      </c>
      <c r="AK25" s="26"/>
      <c r="AL25" s="27"/>
      <c r="AM25" s="25">
        <f t="shared" si="12"/>
        <v>0</v>
      </c>
      <c r="AN25" s="26"/>
      <c r="AO25" s="27"/>
      <c r="AP25" s="23">
        <f t="shared" si="13"/>
        <v>0</v>
      </c>
      <c r="AQ25" s="6" t="e">
        <f t="shared" si="0"/>
        <v>#DIV/0!</v>
      </c>
    </row>
    <row r="26" spans="1:43" ht="18" customHeight="1" x14ac:dyDescent="0.15">
      <c r="A26" s="4"/>
      <c r="B26" s="9"/>
      <c r="C26" s="22"/>
      <c r="D26" s="23"/>
      <c r="E26" s="24"/>
      <c r="F26" s="25">
        <f t="shared" si="1"/>
        <v>0</v>
      </c>
      <c r="G26" s="26"/>
      <c r="H26" s="27"/>
      <c r="I26" s="25">
        <f t="shared" si="2"/>
        <v>0</v>
      </c>
      <c r="J26" s="26"/>
      <c r="K26" s="27"/>
      <c r="L26" s="25">
        <f t="shared" si="3"/>
        <v>0</v>
      </c>
      <c r="M26" s="26"/>
      <c r="N26" s="27"/>
      <c r="O26" s="25">
        <f t="shared" si="4"/>
        <v>0</v>
      </c>
      <c r="P26" s="26"/>
      <c r="Q26" s="27"/>
      <c r="R26" s="25">
        <f t="shared" si="5"/>
        <v>0</v>
      </c>
      <c r="S26" s="26"/>
      <c r="T26" s="27"/>
      <c r="U26" s="25">
        <f t="shared" si="6"/>
        <v>0</v>
      </c>
      <c r="V26" s="26"/>
      <c r="W26" s="27"/>
      <c r="X26" s="25">
        <f t="shared" si="7"/>
        <v>0</v>
      </c>
      <c r="Y26" s="26"/>
      <c r="Z26" s="27"/>
      <c r="AA26" s="25">
        <f t="shared" si="8"/>
        <v>0</v>
      </c>
      <c r="AB26" s="26"/>
      <c r="AC26" s="27"/>
      <c r="AD26" s="25">
        <f t="shared" si="9"/>
        <v>0</v>
      </c>
      <c r="AE26" s="26"/>
      <c r="AF26" s="27"/>
      <c r="AG26" s="25">
        <f t="shared" si="10"/>
        <v>0</v>
      </c>
      <c r="AH26" s="26"/>
      <c r="AI26" s="27"/>
      <c r="AJ26" s="25">
        <f t="shared" si="11"/>
        <v>0</v>
      </c>
      <c r="AK26" s="26"/>
      <c r="AL26" s="27"/>
      <c r="AM26" s="25">
        <f t="shared" si="12"/>
        <v>0</v>
      </c>
      <c r="AN26" s="26"/>
      <c r="AO26" s="27"/>
      <c r="AP26" s="23">
        <f t="shared" si="13"/>
        <v>0</v>
      </c>
      <c r="AQ26" s="6" t="e">
        <f t="shared" si="0"/>
        <v>#DIV/0!</v>
      </c>
    </row>
    <row r="27" spans="1:43" ht="18" customHeight="1" x14ac:dyDescent="0.15">
      <c r="A27" s="4"/>
      <c r="B27" s="9"/>
      <c r="C27" s="22"/>
      <c r="D27" s="23"/>
      <c r="E27" s="24"/>
      <c r="F27" s="25">
        <f t="shared" si="1"/>
        <v>0</v>
      </c>
      <c r="G27" s="26"/>
      <c r="H27" s="27"/>
      <c r="I27" s="25">
        <f t="shared" si="2"/>
        <v>0</v>
      </c>
      <c r="J27" s="26"/>
      <c r="K27" s="27"/>
      <c r="L27" s="25">
        <f t="shared" si="3"/>
        <v>0</v>
      </c>
      <c r="M27" s="26"/>
      <c r="N27" s="27"/>
      <c r="O27" s="25">
        <f t="shared" si="4"/>
        <v>0</v>
      </c>
      <c r="P27" s="26"/>
      <c r="Q27" s="27"/>
      <c r="R27" s="25">
        <f t="shared" si="5"/>
        <v>0</v>
      </c>
      <c r="S27" s="26"/>
      <c r="T27" s="27"/>
      <c r="U27" s="25">
        <f t="shared" si="6"/>
        <v>0</v>
      </c>
      <c r="V27" s="26"/>
      <c r="W27" s="27"/>
      <c r="X27" s="25">
        <f t="shared" si="7"/>
        <v>0</v>
      </c>
      <c r="Y27" s="26"/>
      <c r="Z27" s="27"/>
      <c r="AA27" s="25">
        <f t="shared" si="8"/>
        <v>0</v>
      </c>
      <c r="AB27" s="26"/>
      <c r="AC27" s="27"/>
      <c r="AD27" s="25">
        <f t="shared" si="9"/>
        <v>0</v>
      </c>
      <c r="AE27" s="26"/>
      <c r="AF27" s="27"/>
      <c r="AG27" s="25">
        <f t="shared" si="10"/>
        <v>0</v>
      </c>
      <c r="AH27" s="26"/>
      <c r="AI27" s="27"/>
      <c r="AJ27" s="25">
        <f t="shared" si="11"/>
        <v>0</v>
      </c>
      <c r="AK27" s="26"/>
      <c r="AL27" s="27"/>
      <c r="AM27" s="25">
        <f t="shared" si="12"/>
        <v>0</v>
      </c>
      <c r="AN27" s="26"/>
      <c r="AO27" s="27"/>
      <c r="AP27" s="23">
        <f t="shared" si="13"/>
        <v>0</v>
      </c>
      <c r="AQ27" s="6" t="e">
        <f t="shared" si="0"/>
        <v>#DIV/0!</v>
      </c>
    </row>
    <row r="28" spans="1:43" ht="18" customHeight="1" x14ac:dyDescent="0.15">
      <c r="A28" s="4"/>
      <c r="B28" s="9"/>
      <c r="C28" s="22"/>
      <c r="D28" s="23"/>
      <c r="E28" s="24"/>
      <c r="F28" s="25">
        <f t="shared" si="1"/>
        <v>0</v>
      </c>
      <c r="G28" s="26"/>
      <c r="H28" s="27"/>
      <c r="I28" s="25">
        <f t="shared" si="2"/>
        <v>0</v>
      </c>
      <c r="J28" s="26"/>
      <c r="K28" s="27"/>
      <c r="L28" s="25">
        <f t="shared" si="3"/>
        <v>0</v>
      </c>
      <c r="M28" s="26"/>
      <c r="N28" s="27"/>
      <c r="O28" s="25">
        <f t="shared" si="4"/>
        <v>0</v>
      </c>
      <c r="P28" s="26"/>
      <c r="Q28" s="27"/>
      <c r="R28" s="25">
        <f t="shared" si="5"/>
        <v>0</v>
      </c>
      <c r="S28" s="26"/>
      <c r="T28" s="27"/>
      <c r="U28" s="25">
        <f t="shared" si="6"/>
        <v>0</v>
      </c>
      <c r="V28" s="26"/>
      <c r="W28" s="27"/>
      <c r="X28" s="25">
        <f t="shared" si="7"/>
        <v>0</v>
      </c>
      <c r="Y28" s="26"/>
      <c r="Z28" s="27"/>
      <c r="AA28" s="25">
        <f t="shared" si="8"/>
        <v>0</v>
      </c>
      <c r="AB28" s="26"/>
      <c r="AC28" s="27"/>
      <c r="AD28" s="25">
        <f t="shared" si="9"/>
        <v>0</v>
      </c>
      <c r="AE28" s="26"/>
      <c r="AF28" s="27"/>
      <c r="AG28" s="25">
        <f t="shared" si="10"/>
        <v>0</v>
      </c>
      <c r="AH28" s="26"/>
      <c r="AI28" s="27"/>
      <c r="AJ28" s="25">
        <f t="shared" si="11"/>
        <v>0</v>
      </c>
      <c r="AK28" s="26"/>
      <c r="AL28" s="27"/>
      <c r="AM28" s="25">
        <f t="shared" si="12"/>
        <v>0</v>
      </c>
      <c r="AN28" s="26"/>
      <c r="AO28" s="27"/>
      <c r="AP28" s="23">
        <f t="shared" si="13"/>
        <v>0</v>
      </c>
      <c r="AQ28" s="6" t="e">
        <f t="shared" si="0"/>
        <v>#DIV/0!</v>
      </c>
    </row>
    <row r="29" spans="1:43" ht="18" customHeight="1" x14ac:dyDescent="0.15">
      <c r="A29" s="4"/>
      <c r="B29" s="9"/>
      <c r="C29" s="22"/>
      <c r="D29" s="28"/>
      <c r="E29" s="24"/>
      <c r="F29" s="25">
        <f t="shared" si="1"/>
        <v>0</v>
      </c>
      <c r="G29" s="26"/>
      <c r="H29" s="27"/>
      <c r="I29" s="25">
        <f t="shared" si="2"/>
        <v>0</v>
      </c>
      <c r="J29" s="26"/>
      <c r="K29" s="27"/>
      <c r="L29" s="25">
        <f t="shared" si="3"/>
        <v>0</v>
      </c>
      <c r="M29" s="26"/>
      <c r="N29" s="27"/>
      <c r="O29" s="25">
        <f t="shared" si="4"/>
        <v>0</v>
      </c>
      <c r="P29" s="26"/>
      <c r="Q29" s="27"/>
      <c r="R29" s="25">
        <f t="shared" si="5"/>
        <v>0</v>
      </c>
      <c r="S29" s="26"/>
      <c r="T29" s="27"/>
      <c r="U29" s="25">
        <f t="shared" si="6"/>
        <v>0</v>
      </c>
      <c r="V29" s="26"/>
      <c r="W29" s="27"/>
      <c r="X29" s="25">
        <f t="shared" si="7"/>
        <v>0</v>
      </c>
      <c r="Y29" s="26"/>
      <c r="Z29" s="27"/>
      <c r="AA29" s="25">
        <f t="shared" si="8"/>
        <v>0</v>
      </c>
      <c r="AB29" s="26"/>
      <c r="AC29" s="27"/>
      <c r="AD29" s="25">
        <f t="shared" si="9"/>
        <v>0</v>
      </c>
      <c r="AE29" s="26"/>
      <c r="AF29" s="27"/>
      <c r="AG29" s="25">
        <f t="shared" si="10"/>
        <v>0</v>
      </c>
      <c r="AH29" s="26"/>
      <c r="AI29" s="27"/>
      <c r="AJ29" s="25">
        <f t="shared" si="11"/>
        <v>0</v>
      </c>
      <c r="AK29" s="26"/>
      <c r="AL29" s="27"/>
      <c r="AM29" s="25">
        <f t="shared" si="12"/>
        <v>0</v>
      </c>
      <c r="AN29" s="26"/>
      <c r="AO29" s="27"/>
      <c r="AP29" s="28">
        <f t="shared" si="13"/>
        <v>0</v>
      </c>
      <c r="AQ29" s="6" t="e">
        <f t="shared" si="0"/>
        <v>#DIV/0!</v>
      </c>
    </row>
    <row r="30" spans="1:43" ht="18" customHeight="1" x14ac:dyDescent="0.15">
      <c r="A30" s="4"/>
      <c r="B30" s="9"/>
      <c r="C30" s="22"/>
      <c r="D30" s="28"/>
      <c r="E30" s="24"/>
      <c r="F30" s="25">
        <f t="shared" si="1"/>
        <v>0</v>
      </c>
      <c r="G30" s="26"/>
      <c r="H30" s="27"/>
      <c r="I30" s="25">
        <f t="shared" si="2"/>
        <v>0</v>
      </c>
      <c r="J30" s="26"/>
      <c r="K30" s="27"/>
      <c r="L30" s="25">
        <f t="shared" si="3"/>
        <v>0</v>
      </c>
      <c r="M30" s="26"/>
      <c r="N30" s="27"/>
      <c r="O30" s="25">
        <f t="shared" si="4"/>
        <v>0</v>
      </c>
      <c r="P30" s="26"/>
      <c r="Q30" s="27"/>
      <c r="R30" s="25">
        <f t="shared" si="5"/>
        <v>0</v>
      </c>
      <c r="S30" s="26"/>
      <c r="T30" s="27"/>
      <c r="U30" s="25">
        <f t="shared" si="6"/>
        <v>0</v>
      </c>
      <c r="V30" s="26"/>
      <c r="W30" s="27"/>
      <c r="X30" s="25">
        <f t="shared" si="7"/>
        <v>0</v>
      </c>
      <c r="Y30" s="26"/>
      <c r="Z30" s="27"/>
      <c r="AA30" s="25">
        <f t="shared" si="8"/>
        <v>0</v>
      </c>
      <c r="AB30" s="26"/>
      <c r="AC30" s="27"/>
      <c r="AD30" s="25">
        <f t="shared" si="9"/>
        <v>0</v>
      </c>
      <c r="AE30" s="26"/>
      <c r="AF30" s="27"/>
      <c r="AG30" s="25">
        <f t="shared" si="10"/>
        <v>0</v>
      </c>
      <c r="AH30" s="26"/>
      <c r="AI30" s="27"/>
      <c r="AJ30" s="25">
        <f t="shared" si="11"/>
        <v>0</v>
      </c>
      <c r="AK30" s="26"/>
      <c r="AL30" s="27"/>
      <c r="AM30" s="25">
        <f t="shared" si="12"/>
        <v>0</v>
      </c>
      <c r="AN30" s="26"/>
      <c r="AO30" s="27"/>
      <c r="AP30" s="28">
        <f t="shared" si="13"/>
        <v>0</v>
      </c>
      <c r="AQ30" s="6" t="e">
        <f t="shared" si="0"/>
        <v>#DIV/0!</v>
      </c>
    </row>
    <row r="31" spans="1:43" ht="18" customHeight="1" thickBot="1" x14ac:dyDescent="0.2">
      <c r="A31" s="4"/>
      <c r="B31" s="10"/>
      <c r="C31" s="17"/>
      <c r="D31" s="29"/>
      <c r="E31" s="19"/>
      <c r="F31" s="19">
        <f t="shared" si="1"/>
        <v>0</v>
      </c>
      <c r="G31" s="30"/>
      <c r="H31" s="31"/>
      <c r="I31" s="19">
        <f t="shared" si="2"/>
        <v>0</v>
      </c>
      <c r="J31" s="30"/>
      <c r="K31" s="31"/>
      <c r="L31" s="19">
        <f t="shared" si="3"/>
        <v>0</v>
      </c>
      <c r="M31" s="30"/>
      <c r="N31" s="31"/>
      <c r="O31" s="19">
        <f t="shared" si="4"/>
        <v>0</v>
      </c>
      <c r="P31" s="30"/>
      <c r="Q31" s="31"/>
      <c r="R31" s="19">
        <f t="shared" si="5"/>
        <v>0</v>
      </c>
      <c r="S31" s="30"/>
      <c r="T31" s="31"/>
      <c r="U31" s="19">
        <f t="shared" si="6"/>
        <v>0</v>
      </c>
      <c r="V31" s="30"/>
      <c r="W31" s="31"/>
      <c r="X31" s="19">
        <f t="shared" si="7"/>
        <v>0</v>
      </c>
      <c r="Y31" s="30"/>
      <c r="Z31" s="31"/>
      <c r="AA31" s="19">
        <f t="shared" si="8"/>
        <v>0</v>
      </c>
      <c r="AB31" s="30"/>
      <c r="AC31" s="31"/>
      <c r="AD31" s="19">
        <f t="shared" si="9"/>
        <v>0</v>
      </c>
      <c r="AE31" s="30"/>
      <c r="AF31" s="31"/>
      <c r="AG31" s="19">
        <f t="shared" si="10"/>
        <v>0</v>
      </c>
      <c r="AH31" s="30"/>
      <c r="AI31" s="31"/>
      <c r="AJ31" s="19">
        <f t="shared" si="11"/>
        <v>0</v>
      </c>
      <c r="AK31" s="30"/>
      <c r="AL31" s="31"/>
      <c r="AM31" s="19">
        <f t="shared" si="12"/>
        <v>0</v>
      </c>
      <c r="AN31" s="30"/>
      <c r="AO31" s="31"/>
      <c r="AP31" s="29">
        <f t="shared" si="13"/>
        <v>0</v>
      </c>
      <c r="AQ31" s="5" t="e">
        <f t="shared" si="0"/>
        <v>#DIV/0!</v>
      </c>
    </row>
    <row r="32" spans="1:43" ht="18" customHeight="1" thickTop="1" x14ac:dyDescent="0.15">
      <c r="B32" s="11" t="s">
        <v>33</v>
      </c>
      <c r="C32" s="32">
        <f t="shared" ref="C32" si="14">SUM(C12:C31)</f>
        <v>18711</v>
      </c>
      <c r="D32" s="33">
        <f t="shared" ref="D32:AP32" si="15">SUM(D12:D31)</f>
        <v>4420</v>
      </c>
      <c r="E32" s="34">
        <f t="shared" si="15"/>
        <v>18360</v>
      </c>
      <c r="F32" s="34">
        <f t="shared" si="15"/>
        <v>1285</v>
      </c>
      <c r="G32" s="35">
        <f t="shared" si="15"/>
        <v>722</v>
      </c>
      <c r="H32" s="36">
        <f t="shared" si="15"/>
        <v>563</v>
      </c>
      <c r="I32" s="34">
        <f t="shared" ref="I32:N32" si="16">SUM(I12:I31)</f>
        <v>1115</v>
      </c>
      <c r="J32" s="35">
        <f t="shared" si="16"/>
        <v>583</v>
      </c>
      <c r="K32" s="36">
        <f t="shared" si="16"/>
        <v>532</v>
      </c>
      <c r="L32" s="34">
        <f t="shared" si="16"/>
        <v>0</v>
      </c>
      <c r="M32" s="35">
        <f t="shared" si="16"/>
        <v>0</v>
      </c>
      <c r="N32" s="36">
        <f t="shared" si="16"/>
        <v>0</v>
      </c>
      <c r="O32" s="34">
        <f t="shared" ref="O32:T32" si="17">SUM(O12:O31)</f>
        <v>0</v>
      </c>
      <c r="P32" s="35">
        <f t="shared" si="17"/>
        <v>0</v>
      </c>
      <c r="Q32" s="36">
        <f t="shared" si="17"/>
        <v>0</v>
      </c>
      <c r="R32" s="34">
        <f t="shared" si="17"/>
        <v>0</v>
      </c>
      <c r="S32" s="35">
        <f t="shared" si="17"/>
        <v>0</v>
      </c>
      <c r="T32" s="36">
        <f t="shared" si="17"/>
        <v>0</v>
      </c>
      <c r="U32" s="34">
        <f t="shared" ref="U32:AI32" si="18">SUM(U12:U31)</f>
        <v>0</v>
      </c>
      <c r="V32" s="35">
        <f t="shared" si="18"/>
        <v>0</v>
      </c>
      <c r="W32" s="36">
        <f t="shared" si="18"/>
        <v>0</v>
      </c>
      <c r="X32" s="34">
        <f t="shared" si="18"/>
        <v>0</v>
      </c>
      <c r="Y32" s="35">
        <f t="shared" si="18"/>
        <v>0</v>
      </c>
      <c r="Z32" s="36">
        <f t="shared" si="18"/>
        <v>0</v>
      </c>
      <c r="AA32" s="34">
        <f t="shared" si="18"/>
        <v>0</v>
      </c>
      <c r="AB32" s="35">
        <f t="shared" si="18"/>
        <v>0</v>
      </c>
      <c r="AC32" s="36">
        <f t="shared" si="18"/>
        <v>0</v>
      </c>
      <c r="AD32" s="34">
        <f t="shared" si="18"/>
        <v>0</v>
      </c>
      <c r="AE32" s="35">
        <f t="shared" si="18"/>
        <v>0</v>
      </c>
      <c r="AF32" s="36">
        <f t="shared" si="18"/>
        <v>0</v>
      </c>
      <c r="AG32" s="34">
        <f t="shared" si="18"/>
        <v>0</v>
      </c>
      <c r="AH32" s="35">
        <f t="shared" si="18"/>
        <v>0</v>
      </c>
      <c r="AI32" s="36">
        <f t="shared" si="18"/>
        <v>0</v>
      </c>
      <c r="AJ32" s="34">
        <f t="shared" ref="AJ32:AO32" si="19">SUM(AJ12:AJ31)</f>
        <v>0</v>
      </c>
      <c r="AK32" s="35">
        <f t="shared" si="19"/>
        <v>0</v>
      </c>
      <c r="AL32" s="36">
        <f t="shared" si="19"/>
        <v>0</v>
      </c>
      <c r="AM32" s="34">
        <f t="shared" si="19"/>
        <v>0</v>
      </c>
      <c r="AN32" s="35">
        <f t="shared" si="19"/>
        <v>0</v>
      </c>
      <c r="AO32" s="36">
        <f t="shared" si="19"/>
        <v>0</v>
      </c>
      <c r="AP32" s="33">
        <f t="shared" si="15"/>
        <v>1285</v>
      </c>
      <c r="AQ32" s="7">
        <f t="shared" si="0"/>
        <v>6.9989106753812633E-2</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103" zoomScaleNormal="100" zoomScaleSheetLayoutView="100" workbookViewId="0">
      <selection activeCell="L115" sqref="L115"/>
    </sheetView>
  </sheetViews>
  <sheetFormatPr defaultColWidth="11.375" defaultRowHeight="18.75" customHeight="1" x14ac:dyDescent="0.15"/>
  <cols>
    <col min="1" max="1" width="2.875" style="69" customWidth="1"/>
    <col min="2" max="2" width="16.625" style="44" customWidth="1"/>
    <col min="3" max="3" width="8.875" style="44" customWidth="1"/>
    <col min="4" max="4" width="2.125" style="44" customWidth="1"/>
    <col min="5" max="5" width="16.625" style="44" customWidth="1"/>
    <col min="6" max="6" width="4.375" style="44" customWidth="1"/>
    <col min="7" max="7" width="9" style="44" customWidth="1"/>
    <col min="8" max="8" width="16.625" style="44" customWidth="1"/>
    <col min="9" max="9" width="12.125" style="44" customWidth="1"/>
    <col min="10" max="11" width="11.375" style="44"/>
    <col min="12" max="16384" width="11.375" style="1"/>
  </cols>
  <sheetData>
    <row r="1" spans="1:9" ht="18.75" customHeight="1" x14ac:dyDescent="0.15">
      <c r="A1" s="69" t="s">
        <v>65</v>
      </c>
      <c r="I1" s="47" t="s">
        <v>106</v>
      </c>
    </row>
    <row r="2" spans="1:9" ht="18.75" customHeight="1" x14ac:dyDescent="0.15">
      <c r="G2" s="47" t="s">
        <v>109</v>
      </c>
      <c r="H2" s="107" t="str">
        <f>'様式１　プログラムを構成する授業科目'!C2</f>
        <v>福岡大学</v>
      </c>
      <c r="I2" s="109"/>
    </row>
    <row r="3" spans="1:9" ht="18.75" customHeight="1" x14ac:dyDescent="0.15">
      <c r="G3" s="47"/>
      <c r="H3" s="52"/>
      <c r="I3" s="52"/>
    </row>
    <row r="4" spans="1:9" ht="18.600000000000001" customHeight="1" x14ac:dyDescent="0.15">
      <c r="A4" s="121" t="s">
        <v>36</v>
      </c>
      <c r="B4" s="121"/>
      <c r="C4" s="121"/>
      <c r="D4" s="121"/>
      <c r="E4" s="121"/>
      <c r="F4" s="121"/>
      <c r="G4" s="121"/>
      <c r="H4" s="121"/>
      <c r="I4" s="121"/>
    </row>
    <row r="5" spans="1:9" ht="13.35" customHeight="1" x14ac:dyDescent="0.15">
      <c r="B5" s="50"/>
      <c r="C5" s="50"/>
      <c r="D5" s="50"/>
      <c r="E5" s="50"/>
      <c r="F5" s="50"/>
      <c r="G5" s="50"/>
      <c r="H5" s="50"/>
      <c r="I5" s="50"/>
    </row>
    <row r="6" spans="1:9" ht="18" customHeight="1" x14ac:dyDescent="0.15">
      <c r="A6" s="44" t="s">
        <v>0</v>
      </c>
      <c r="B6" s="52" t="s">
        <v>91</v>
      </c>
      <c r="C6" s="250" t="s">
        <v>92</v>
      </c>
      <c r="D6" s="250"/>
      <c r="E6" s="46">
        <v>1695</v>
      </c>
      <c r="F6" s="50" t="s">
        <v>1</v>
      </c>
      <c r="G6" s="50" t="s">
        <v>2</v>
      </c>
      <c r="H6" s="46">
        <v>758</v>
      </c>
      <c r="I6" s="52" t="s">
        <v>1</v>
      </c>
    </row>
    <row r="7" spans="1:9" ht="12" customHeight="1" x14ac:dyDescent="0.15">
      <c r="C7" s="45"/>
      <c r="D7" s="45"/>
      <c r="E7" s="45"/>
      <c r="F7" s="45"/>
      <c r="G7" s="45"/>
      <c r="H7" s="45"/>
      <c r="I7" s="70"/>
    </row>
    <row r="8" spans="1:9" ht="18" customHeight="1" x14ac:dyDescent="0.15">
      <c r="A8" s="44" t="s">
        <v>3</v>
      </c>
      <c r="B8" s="52" t="s">
        <v>93</v>
      </c>
      <c r="E8" s="50"/>
      <c r="F8" s="50"/>
      <c r="G8" s="50"/>
      <c r="H8" s="46">
        <v>5</v>
      </c>
      <c r="I8" s="52" t="s">
        <v>1</v>
      </c>
    </row>
    <row r="9" spans="1:9" ht="9" customHeight="1" x14ac:dyDescent="0.15">
      <c r="B9" s="50"/>
      <c r="C9" s="50"/>
      <c r="D9" s="50"/>
      <c r="E9" s="50"/>
      <c r="F9" s="50"/>
      <c r="G9" s="50"/>
      <c r="H9" s="50"/>
      <c r="I9" s="50"/>
    </row>
    <row r="10" spans="1:9" ht="18" customHeight="1" x14ac:dyDescent="0.15">
      <c r="A10" s="44" t="s">
        <v>4</v>
      </c>
      <c r="B10" s="52" t="s">
        <v>94</v>
      </c>
      <c r="C10" s="50"/>
      <c r="D10" s="50"/>
      <c r="E10" s="50"/>
      <c r="F10" s="50"/>
      <c r="G10" s="50"/>
      <c r="H10" s="50"/>
      <c r="I10" s="50"/>
    </row>
    <row r="11" spans="1:9" ht="18" customHeight="1" x14ac:dyDescent="0.15">
      <c r="B11" s="47" t="s">
        <v>43</v>
      </c>
      <c r="C11" s="243" t="s">
        <v>152</v>
      </c>
      <c r="D11" s="246"/>
      <c r="E11" s="247"/>
      <c r="F11" s="70"/>
      <c r="G11" s="47" t="s">
        <v>10</v>
      </c>
      <c r="H11" s="248" t="s">
        <v>154</v>
      </c>
      <c r="I11" s="249"/>
    </row>
    <row r="12" spans="1:9" ht="10.35" customHeight="1" x14ac:dyDescent="0.15">
      <c r="B12" s="47"/>
      <c r="C12" s="52"/>
      <c r="D12" s="70"/>
      <c r="E12" s="70"/>
      <c r="F12" s="70"/>
      <c r="G12" s="47"/>
      <c r="H12" s="52"/>
      <c r="I12" s="70"/>
    </row>
    <row r="13" spans="1:9" ht="18" customHeight="1" x14ac:dyDescent="0.15">
      <c r="A13" s="44" t="s">
        <v>7</v>
      </c>
      <c r="B13" s="52" t="s">
        <v>88</v>
      </c>
      <c r="C13" s="50"/>
      <c r="D13" s="50"/>
      <c r="E13" s="50"/>
      <c r="F13" s="50"/>
      <c r="G13" s="50"/>
      <c r="H13" s="50"/>
      <c r="I13" s="50"/>
    </row>
    <row r="14" spans="1:9" ht="18" customHeight="1" x14ac:dyDescent="0.15">
      <c r="B14" s="243" t="s">
        <v>153</v>
      </c>
      <c r="C14" s="244"/>
      <c r="D14" s="244"/>
      <c r="E14" s="244"/>
      <c r="F14" s="244"/>
      <c r="G14" s="244"/>
      <c r="H14" s="244"/>
      <c r="I14" s="245"/>
    </row>
    <row r="15" spans="1:9" ht="9" customHeight="1" x14ac:dyDescent="0.15">
      <c r="B15" s="50"/>
      <c r="C15" s="50"/>
      <c r="D15" s="50"/>
      <c r="E15" s="50"/>
      <c r="F15" s="50"/>
      <c r="G15" s="50"/>
      <c r="H15" s="50"/>
      <c r="I15" s="50"/>
    </row>
    <row r="16" spans="1:9" ht="18" customHeight="1" x14ac:dyDescent="0.15">
      <c r="B16" s="47" t="s">
        <v>43</v>
      </c>
      <c r="C16" s="243" t="s">
        <v>152</v>
      </c>
      <c r="D16" s="246"/>
      <c r="E16" s="247"/>
      <c r="F16" s="70"/>
      <c r="G16" s="47" t="s">
        <v>10</v>
      </c>
      <c r="H16" s="248" t="s">
        <v>154</v>
      </c>
      <c r="I16" s="249"/>
    </row>
    <row r="17" spans="1:11" ht="18" customHeight="1" x14ac:dyDescent="0.15">
      <c r="B17" s="50"/>
      <c r="C17" s="50"/>
      <c r="D17" s="50"/>
      <c r="E17" s="50"/>
      <c r="F17" s="50"/>
      <c r="G17" s="50"/>
      <c r="H17" s="50"/>
      <c r="I17" s="50"/>
    </row>
    <row r="18" spans="1:11" ht="18.75" customHeight="1" x14ac:dyDescent="0.15">
      <c r="A18" s="44" t="s">
        <v>5</v>
      </c>
      <c r="B18" s="44" t="s">
        <v>42</v>
      </c>
      <c r="I18" s="50"/>
    </row>
    <row r="19" spans="1:11" ht="18.75" customHeight="1" x14ac:dyDescent="0.15">
      <c r="A19" s="44"/>
      <c r="B19" s="235" t="s">
        <v>156</v>
      </c>
      <c r="C19" s="236"/>
      <c r="D19" s="236"/>
      <c r="E19" s="236"/>
      <c r="F19" s="236"/>
      <c r="G19" s="236"/>
      <c r="H19" s="236"/>
      <c r="I19" s="237"/>
    </row>
    <row r="20" spans="1:11" ht="7.5" customHeight="1" x14ac:dyDescent="0.15">
      <c r="B20" s="50"/>
      <c r="C20" s="50"/>
      <c r="D20" s="50"/>
      <c r="E20" s="50"/>
      <c r="F20" s="50"/>
      <c r="G20" s="50"/>
      <c r="H20" s="50"/>
      <c r="I20" s="50"/>
    </row>
    <row r="21" spans="1:11" ht="18.75" customHeight="1" x14ac:dyDescent="0.15">
      <c r="A21" s="44" t="s">
        <v>8</v>
      </c>
      <c r="B21" s="44" t="s">
        <v>25</v>
      </c>
    </row>
    <row r="22" spans="1:11" ht="18.75" customHeight="1" x14ac:dyDescent="0.15">
      <c r="A22" s="43"/>
      <c r="B22" s="225" t="s">
        <v>171</v>
      </c>
      <c r="C22" s="226"/>
      <c r="D22" s="226"/>
      <c r="E22" s="226"/>
      <c r="F22" s="226"/>
      <c r="G22" s="226"/>
      <c r="H22" s="226"/>
      <c r="I22" s="227"/>
    </row>
    <row r="23" spans="1:11" ht="18.75" customHeight="1" x14ac:dyDescent="0.15">
      <c r="A23" s="43"/>
      <c r="B23" s="238"/>
      <c r="C23" s="239"/>
      <c r="D23" s="239"/>
      <c r="E23" s="239"/>
      <c r="F23" s="239"/>
      <c r="G23" s="239"/>
      <c r="H23" s="239"/>
      <c r="I23" s="230"/>
      <c r="K23" s="71"/>
    </row>
    <row r="24" spans="1:11" ht="18.75" customHeight="1" x14ac:dyDescent="0.15">
      <c r="A24" s="43"/>
      <c r="B24" s="238"/>
      <c r="C24" s="239"/>
      <c r="D24" s="239"/>
      <c r="E24" s="239"/>
      <c r="F24" s="239"/>
      <c r="G24" s="239"/>
      <c r="H24" s="239"/>
      <c r="I24" s="230"/>
      <c r="K24" s="71"/>
    </row>
    <row r="25" spans="1:11" ht="18.75" customHeight="1" x14ac:dyDescent="0.15">
      <c r="A25" s="43"/>
      <c r="B25" s="238"/>
      <c r="C25" s="239"/>
      <c r="D25" s="239"/>
      <c r="E25" s="239"/>
      <c r="F25" s="239"/>
      <c r="G25" s="239"/>
      <c r="H25" s="239"/>
      <c r="I25" s="230"/>
      <c r="K25" s="71"/>
    </row>
    <row r="26" spans="1:11" ht="18.75" customHeight="1" x14ac:dyDescent="0.15">
      <c r="A26" s="43"/>
      <c r="B26" s="238"/>
      <c r="C26" s="239"/>
      <c r="D26" s="239"/>
      <c r="E26" s="239"/>
      <c r="F26" s="239"/>
      <c r="G26" s="239"/>
      <c r="H26" s="239"/>
      <c r="I26" s="230"/>
    </row>
    <row r="27" spans="1:11" ht="18.75" customHeight="1" x14ac:dyDescent="0.15">
      <c r="A27" s="43"/>
      <c r="B27" s="238"/>
      <c r="C27" s="239"/>
      <c r="D27" s="239"/>
      <c r="E27" s="239"/>
      <c r="F27" s="239"/>
      <c r="G27" s="239"/>
      <c r="H27" s="239"/>
      <c r="I27" s="230"/>
    </row>
    <row r="28" spans="1:11" ht="18.75" customHeight="1" x14ac:dyDescent="0.15">
      <c r="A28" s="43"/>
      <c r="B28" s="238"/>
      <c r="C28" s="239"/>
      <c r="D28" s="239"/>
      <c r="E28" s="239"/>
      <c r="F28" s="239"/>
      <c r="G28" s="239"/>
      <c r="H28" s="239"/>
      <c r="I28" s="230"/>
    </row>
    <row r="29" spans="1:11" ht="18.75" customHeight="1" x14ac:dyDescent="0.15">
      <c r="A29" s="43"/>
      <c r="B29" s="238"/>
      <c r="C29" s="239"/>
      <c r="D29" s="239"/>
      <c r="E29" s="239"/>
      <c r="F29" s="239"/>
      <c r="G29" s="239"/>
      <c r="H29" s="239"/>
      <c r="I29" s="230"/>
    </row>
    <row r="30" spans="1:11" ht="18.75" customHeight="1" x14ac:dyDescent="0.15">
      <c r="A30" s="43"/>
      <c r="B30" s="228"/>
      <c r="C30" s="229"/>
      <c r="D30" s="229"/>
      <c r="E30" s="229"/>
      <c r="F30" s="229"/>
      <c r="G30" s="229"/>
      <c r="H30" s="229"/>
      <c r="I30" s="230"/>
    </row>
    <row r="31" spans="1:11" ht="18.75" customHeight="1" x14ac:dyDescent="0.15">
      <c r="A31" s="43"/>
      <c r="B31" s="228"/>
      <c r="C31" s="229"/>
      <c r="D31" s="229"/>
      <c r="E31" s="229"/>
      <c r="F31" s="229"/>
      <c r="G31" s="229"/>
      <c r="H31" s="229"/>
      <c r="I31" s="230"/>
    </row>
    <row r="32" spans="1:11" ht="18.75" customHeight="1" x14ac:dyDescent="0.15">
      <c r="A32" s="43"/>
      <c r="B32" s="231"/>
      <c r="C32" s="232"/>
      <c r="D32" s="232"/>
      <c r="E32" s="232"/>
      <c r="F32" s="232"/>
      <c r="G32" s="232"/>
      <c r="H32" s="232"/>
      <c r="I32" s="233"/>
    </row>
    <row r="33" spans="1:9" ht="7.5" customHeight="1" x14ac:dyDescent="0.15">
      <c r="A33" s="43"/>
      <c r="B33" s="43"/>
      <c r="C33" s="43"/>
      <c r="D33" s="43"/>
      <c r="E33" s="43"/>
      <c r="F33" s="43"/>
      <c r="G33" s="43"/>
      <c r="H33" s="43"/>
      <c r="I33" s="43"/>
    </row>
    <row r="34" spans="1:9" ht="18.75" customHeight="1" x14ac:dyDescent="0.15">
      <c r="A34" s="71" t="s">
        <v>6</v>
      </c>
      <c r="B34" s="71" t="s">
        <v>9</v>
      </c>
      <c r="C34" s="52"/>
      <c r="D34" s="71"/>
      <c r="E34" s="71"/>
      <c r="F34" s="71"/>
      <c r="G34" s="71"/>
      <c r="H34" s="71"/>
      <c r="I34" s="71"/>
    </row>
    <row r="35" spans="1:9" ht="18.75" customHeight="1" x14ac:dyDescent="0.15">
      <c r="A35" s="43"/>
      <c r="B35" s="225" t="s">
        <v>161</v>
      </c>
      <c r="C35" s="226"/>
      <c r="D35" s="226"/>
      <c r="E35" s="226"/>
      <c r="F35" s="226"/>
      <c r="G35" s="226"/>
      <c r="H35" s="226"/>
      <c r="I35" s="227"/>
    </row>
    <row r="36" spans="1:9" ht="18.75" customHeight="1" x14ac:dyDescent="0.15">
      <c r="A36" s="43"/>
      <c r="B36" s="228"/>
      <c r="C36" s="229"/>
      <c r="D36" s="229"/>
      <c r="E36" s="229"/>
      <c r="F36" s="229"/>
      <c r="G36" s="229"/>
      <c r="H36" s="229"/>
      <c r="I36" s="230"/>
    </row>
    <row r="37" spans="1:9" ht="18.75" customHeight="1" x14ac:dyDescent="0.15">
      <c r="A37" s="43"/>
      <c r="B37" s="228"/>
      <c r="C37" s="229"/>
      <c r="D37" s="229"/>
      <c r="E37" s="229"/>
      <c r="F37" s="229"/>
      <c r="G37" s="229"/>
      <c r="H37" s="229"/>
      <c r="I37" s="230"/>
    </row>
    <row r="38" spans="1:9" ht="18.75" customHeight="1" x14ac:dyDescent="0.15">
      <c r="A38" s="43"/>
      <c r="B38" s="228"/>
      <c r="C38" s="229"/>
      <c r="D38" s="229"/>
      <c r="E38" s="229"/>
      <c r="F38" s="229"/>
      <c r="G38" s="229"/>
      <c r="H38" s="229"/>
      <c r="I38" s="230"/>
    </row>
    <row r="39" spans="1:9" ht="18.75" customHeight="1" x14ac:dyDescent="0.15">
      <c r="A39" s="43"/>
      <c r="B39" s="228"/>
      <c r="C39" s="229"/>
      <c r="D39" s="229"/>
      <c r="E39" s="229"/>
      <c r="F39" s="229"/>
      <c r="G39" s="229"/>
      <c r="H39" s="229"/>
      <c r="I39" s="230"/>
    </row>
    <row r="40" spans="1:9" ht="18.75" customHeight="1" x14ac:dyDescent="0.15">
      <c r="A40" s="43"/>
      <c r="B40" s="228"/>
      <c r="C40" s="229"/>
      <c r="D40" s="229"/>
      <c r="E40" s="229"/>
      <c r="F40" s="229"/>
      <c r="G40" s="229"/>
      <c r="H40" s="229"/>
      <c r="I40" s="230"/>
    </row>
    <row r="41" spans="1:9" ht="18.75" customHeight="1" x14ac:dyDescent="0.15">
      <c r="A41" s="43"/>
      <c r="B41" s="228"/>
      <c r="C41" s="229"/>
      <c r="D41" s="229"/>
      <c r="E41" s="229"/>
      <c r="F41" s="229"/>
      <c r="G41" s="229"/>
      <c r="H41" s="229"/>
      <c r="I41" s="230"/>
    </row>
    <row r="42" spans="1:9" ht="18.75" customHeight="1" x14ac:dyDescent="0.15">
      <c r="A42" s="43"/>
      <c r="B42" s="228"/>
      <c r="C42" s="229"/>
      <c r="D42" s="229"/>
      <c r="E42" s="229"/>
      <c r="F42" s="229"/>
      <c r="G42" s="229"/>
      <c r="H42" s="229"/>
      <c r="I42" s="230"/>
    </row>
    <row r="43" spans="1:9" ht="18.75" customHeight="1" x14ac:dyDescent="0.15">
      <c r="A43" s="43"/>
      <c r="B43" s="228"/>
      <c r="C43" s="229"/>
      <c r="D43" s="229"/>
      <c r="E43" s="229"/>
      <c r="F43" s="229"/>
      <c r="G43" s="229"/>
      <c r="H43" s="229"/>
      <c r="I43" s="230"/>
    </row>
    <row r="44" spans="1:9" ht="18.75" customHeight="1" x14ac:dyDescent="0.15">
      <c r="A44" s="43"/>
      <c r="B44" s="228"/>
      <c r="C44" s="229"/>
      <c r="D44" s="229"/>
      <c r="E44" s="229"/>
      <c r="F44" s="229"/>
      <c r="G44" s="229"/>
      <c r="H44" s="229"/>
      <c r="I44" s="230"/>
    </row>
    <row r="45" spans="1:9" ht="18.75" customHeight="1" x14ac:dyDescent="0.15">
      <c r="A45" s="43"/>
      <c r="B45" s="228"/>
      <c r="C45" s="229"/>
      <c r="D45" s="229"/>
      <c r="E45" s="229"/>
      <c r="F45" s="229"/>
      <c r="G45" s="229"/>
      <c r="H45" s="229"/>
      <c r="I45" s="230"/>
    </row>
    <row r="46" spans="1:9" ht="18.75" customHeight="1" x14ac:dyDescent="0.15">
      <c r="A46" s="43"/>
      <c r="B46" s="231"/>
      <c r="C46" s="232"/>
      <c r="D46" s="232"/>
      <c r="E46" s="232"/>
      <c r="F46" s="232"/>
      <c r="G46" s="232"/>
      <c r="H46" s="232"/>
      <c r="I46" s="233"/>
    </row>
    <row r="47" spans="1:9" ht="7.5" customHeight="1" x14ac:dyDescent="0.15">
      <c r="A47" s="72"/>
      <c r="B47" s="72"/>
      <c r="C47" s="72"/>
      <c r="D47" s="72"/>
      <c r="E47" s="72"/>
      <c r="F47" s="72"/>
      <c r="G47" s="72"/>
      <c r="H47" s="72"/>
      <c r="I47" s="72"/>
    </row>
    <row r="48" spans="1:9" ht="18.75" customHeight="1" x14ac:dyDescent="0.15">
      <c r="A48" s="44" t="s">
        <v>31</v>
      </c>
      <c r="B48" s="44" t="s">
        <v>168</v>
      </c>
    </row>
    <row r="49" spans="1:15" s="3" customFormat="1" ht="18.75" customHeight="1" x14ac:dyDescent="0.15">
      <c r="A49" s="50"/>
      <c r="B49" s="73" t="s">
        <v>89</v>
      </c>
      <c r="C49" s="214">
        <f>'様式２ 履修者等数の実績'!AQ32</f>
        <v>6.9989106753812633E-2</v>
      </c>
      <c r="D49" s="214"/>
      <c r="E49" s="74" t="s">
        <v>66</v>
      </c>
      <c r="F49" s="214">
        <v>0.15</v>
      </c>
      <c r="G49" s="214"/>
      <c r="H49" s="74" t="s">
        <v>67</v>
      </c>
      <c r="I49" s="75">
        <v>0.23</v>
      </c>
      <c r="J49" s="44"/>
      <c r="K49" s="50"/>
      <c r="M49" s="1"/>
      <c r="N49" s="16"/>
    </row>
    <row r="50" spans="1:15" s="3" customFormat="1" ht="18.75" customHeight="1" x14ac:dyDescent="0.15">
      <c r="A50" s="50"/>
      <c r="B50" s="76" t="s">
        <v>68</v>
      </c>
      <c r="C50" s="215">
        <v>0.33</v>
      </c>
      <c r="D50" s="215"/>
      <c r="E50" s="77" t="s">
        <v>90</v>
      </c>
      <c r="F50" s="215">
        <v>0.48</v>
      </c>
      <c r="G50" s="215"/>
      <c r="H50" s="77" t="s">
        <v>69</v>
      </c>
      <c r="I50" s="78">
        <f>'様式２ 履修者等数の実績'!E32</f>
        <v>18360</v>
      </c>
      <c r="J50" s="44"/>
      <c r="K50" s="50"/>
      <c r="M50" s="1"/>
      <c r="N50" s="16"/>
    </row>
    <row r="51" spans="1:15" ht="18.75" customHeight="1" x14ac:dyDescent="0.15">
      <c r="A51" s="44"/>
      <c r="B51" s="240" t="s">
        <v>70</v>
      </c>
      <c r="C51" s="241"/>
      <c r="D51" s="241"/>
      <c r="E51" s="241"/>
      <c r="F51" s="241"/>
      <c r="G51" s="241"/>
      <c r="H51" s="241"/>
      <c r="I51" s="242"/>
      <c r="N51" s="16"/>
      <c r="O51" s="3"/>
    </row>
    <row r="52" spans="1:15" ht="18.75" customHeight="1" x14ac:dyDescent="0.15">
      <c r="A52" s="44"/>
      <c r="B52" s="216" t="s">
        <v>172</v>
      </c>
      <c r="C52" s="217"/>
      <c r="D52" s="217"/>
      <c r="E52" s="217"/>
      <c r="F52" s="217"/>
      <c r="G52" s="217"/>
      <c r="H52" s="217"/>
      <c r="I52" s="218"/>
      <c r="K52" s="71"/>
      <c r="L52" s="38"/>
      <c r="N52" s="16"/>
      <c r="O52" s="3"/>
    </row>
    <row r="53" spans="1:15" ht="18.75" customHeight="1" x14ac:dyDescent="0.15">
      <c r="A53" s="44"/>
      <c r="B53" s="219"/>
      <c r="C53" s="220"/>
      <c r="D53" s="220"/>
      <c r="E53" s="220"/>
      <c r="F53" s="220"/>
      <c r="G53" s="220"/>
      <c r="H53" s="220"/>
      <c r="I53" s="221"/>
      <c r="N53" s="16"/>
      <c r="O53" s="3"/>
    </row>
    <row r="54" spans="1:15" ht="18.75" customHeight="1" x14ac:dyDescent="0.15">
      <c r="A54" s="44"/>
      <c r="B54" s="219"/>
      <c r="C54" s="220"/>
      <c r="D54" s="220"/>
      <c r="E54" s="220"/>
      <c r="F54" s="220"/>
      <c r="G54" s="220"/>
      <c r="H54" s="220"/>
      <c r="I54" s="221"/>
      <c r="J54" s="47"/>
      <c r="K54" s="50"/>
      <c r="L54" s="39"/>
      <c r="M54" s="39"/>
    </row>
    <row r="55" spans="1:15" ht="18.75" customHeight="1" x14ac:dyDescent="0.15">
      <c r="A55" s="44"/>
      <c r="B55" s="219"/>
      <c r="C55" s="220"/>
      <c r="D55" s="220"/>
      <c r="E55" s="220"/>
      <c r="F55" s="220"/>
      <c r="G55" s="220"/>
      <c r="H55" s="220"/>
      <c r="I55" s="221"/>
      <c r="J55" s="47"/>
      <c r="K55" s="79"/>
      <c r="L55" s="40"/>
      <c r="M55" s="41"/>
    </row>
    <row r="56" spans="1:15" ht="18.75" customHeight="1" x14ac:dyDescent="0.15">
      <c r="A56" s="44"/>
      <c r="B56" s="219"/>
      <c r="C56" s="220"/>
      <c r="D56" s="220"/>
      <c r="E56" s="220"/>
      <c r="F56" s="220"/>
      <c r="G56" s="220"/>
      <c r="H56" s="220"/>
      <c r="I56" s="221"/>
      <c r="J56" s="47"/>
      <c r="K56" s="79"/>
      <c r="L56" s="40"/>
      <c r="M56" s="41"/>
    </row>
    <row r="57" spans="1:15" ht="18.75" customHeight="1" x14ac:dyDescent="0.15">
      <c r="A57" s="44"/>
      <c r="B57" s="219"/>
      <c r="C57" s="220"/>
      <c r="D57" s="220"/>
      <c r="E57" s="220"/>
      <c r="F57" s="220"/>
      <c r="G57" s="220"/>
      <c r="H57" s="220"/>
      <c r="I57" s="221"/>
      <c r="J57" s="47"/>
      <c r="K57" s="79"/>
      <c r="L57" s="40"/>
      <c r="M57" s="41"/>
    </row>
    <row r="58" spans="1:15" ht="18.75" customHeight="1" x14ac:dyDescent="0.15">
      <c r="A58" s="44"/>
      <c r="B58" s="219"/>
      <c r="C58" s="220"/>
      <c r="D58" s="220"/>
      <c r="E58" s="220"/>
      <c r="F58" s="220"/>
      <c r="G58" s="220"/>
      <c r="H58" s="220"/>
      <c r="I58" s="221"/>
      <c r="J58" s="47"/>
      <c r="K58" s="79"/>
      <c r="L58" s="40"/>
      <c r="M58" s="41"/>
    </row>
    <row r="59" spans="1:15" ht="18.75" customHeight="1" x14ac:dyDescent="0.15">
      <c r="A59" s="44"/>
      <c r="B59" s="219"/>
      <c r="C59" s="220"/>
      <c r="D59" s="220"/>
      <c r="E59" s="220"/>
      <c r="F59" s="220"/>
      <c r="G59" s="220"/>
      <c r="H59" s="220"/>
      <c r="I59" s="221"/>
      <c r="J59" s="47"/>
      <c r="K59" s="79"/>
      <c r="L59" s="40"/>
      <c r="M59" s="41"/>
    </row>
    <row r="60" spans="1:15" ht="18.75" customHeight="1" x14ac:dyDescent="0.15">
      <c r="A60" s="44"/>
      <c r="B60" s="219"/>
      <c r="C60" s="220"/>
      <c r="D60" s="220"/>
      <c r="E60" s="220"/>
      <c r="F60" s="220"/>
      <c r="G60" s="220"/>
      <c r="H60" s="220"/>
      <c r="I60" s="221"/>
    </row>
    <row r="61" spans="1:15" ht="18.75" customHeight="1" x14ac:dyDescent="0.15">
      <c r="A61" s="44"/>
      <c r="B61" s="219"/>
      <c r="C61" s="220"/>
      <c r="D61" s="220"/>
      <c r="E61" s="220"/>
      <c r="F61" s="220"/>
      <c r="G61" s="220"/>
      <c r="H61" s="220"/>
      <c r="I61" s="221"/>
    </row>
    <row r="62" spans="1:15" ht="18.75" customHeight="1" x14ac:dyDescent="0.15">
      <c r="A62" s="44"/>
      <c r="B62" s="219"/>
      <c r="C62" s="220"/>
      <c r="D62" s="220"/>
      <c r="E62" s="220"/>
      <c r="F62" s="220"/>
      <c r="G62" s="220"/>
      <c r="H62" s="220"/>
      <c r="I62" s="221"/>
    </row>
    <row r="63" spans="1:15" ht="18.75" customHeight="1" x14ac:dyDescent="0.15">
      <c r="A63" s="44"/>
      <c r="B63" s="222"/>
      <c r="C63" s="223"/>
      <c r="D63" s="223"/>
      <c r="E63" s="223"/>
      <c r="F63" s="223"/>
      <c r="G63" s="223"/>
      <c r="H63" s="223"/>
      <c r="I63" s="224"/>
    </row>
    <row r="64" spans="1:15" ht="7.5" customHeight="1" x14ac:dyDescent="0.15">
      <c r="A64" s="43"/>
      <c r="B64" s="43"/>
      <c r="C64" s="43"/>
      <c r="D64" s="43"/>
      <c r="E64" s="43"/>
      <c r="F64" s="43"/>
      <c r="G64" s="43"/>
      <c r="H64" s="43"/>
      <c r="I64" s="43"/>
    </row>
    <row r="65" spans="1:9" ht="18.75" customHeight="1" x14ac:dyDescent="0.15">
      <c r="A65" s="71" t="s">
        <v>34</v>
      </c>
      <c r="B65" s="44" t="s">
        <v>37</v>
      </c>
      <c r="I65" s="71"/>
    </row>
    <row r="66" spans="1:9" ht="18.75" customHeight="1" x14ac:dyDescent="0.15">
      <c r="A66" s="72"/>
      <c r="B66" s="198" t="s">
        <v>173</v>
      </c>
      <c r="C66" s="199"/>
      <c r="D66" s="199"/>
      <c r="E66" s="199"/>
      <c r="F66" s="199"/>
      <c r="G66" s="199"/>
      <c r="H66" s="199"/>
      <c r="I66" s="200"/>
    </row>
    <row r="67" spans="1:9" ht="18.75" customHeight="1" x14ac:dyDescent="0.15">
      <c r="A67" s="72"/>
      <c r="B67" s="201"/>
      <c r="C67" s="202"/>
      <c r="D67" s="202"/>
      <c r="E67" s="202"/>
      <c r="F67" s="202"/>
      <c r="G67" s="202"/>
      <c r="H67" s="202"/>
      <c r="I67" s="203"/>
    </row>
    <row r="68" spans="1:9" ht="18.75" customHeight="1" x14ac:dyDescent="0.15">
      <c r="A68" s="72"/>
      <c r="B68" s="201"/>
      <c r="C68" s="202"/>
      <c r="D68" s="202"/>
      <c r="E68" s="202"/>
      <c r="F68" s="202"/>
      <c r="G68" s="202"/>
      <c r="H68" s="202"/>
      <c r="I68" s="203"/>
    </row>
    <row r="69" spans="1:9" ht="18.75" customHeight="1" x14ac:dyDescent="0.15">
      <c r="A69" s="72"/>
      <c r="B69" s="201"/>
      <c r="C69" s="202"/>
      <c r="D69" s="202"/>
      <c r="E69" s="202"/>
      <c r="F69" s="202"/>
      <c r="G69" s="202"/>
      <c r="H69" s="202"/>
      <c r="I69" s="203"/>
    </row>
    <row r="70" spans="1:9" ht="18.75" customHeight="1" x14ac:dyDescent="0.15">
      <c r="A70" s="72"/>
      <c r="B70" s="201"/>
      <c r="C70" s="202"/>
      <c r="D70" s="202"/>
      <c r="E70" s="202"/>
      <c r="F70" s="202"/>
      <c r="G70" s="202"/>
      <c r="H70" s="202"/>
      <c r="I70" s="203"/>
    </row>
    <row r="71" spans="1:9" ht="18.75" customHeight="1" x14ac:dyDescent="0.15">
      <c r="A71" s="72"/>
      <c r="B71" s="201"/>
      <c r="C71" s="202"/>
      <c r="D71" s="202"/>
      <c r="E71" s="202"/>
      <c r="F71" s="202"/>
      <c r="G71" s="202"/>
      <c r="H71" s="202"/>
      <c r="I71" s="203"/>
    </row>
    <row r="72" spans="1:9" ht="18.75" customHeight="1" x14ac:dyDescent="0.15">
      <c r="A72" s="72"/>
      <c r="B72" s="201"/>
      <c r="C72" s="202"/>
      <c r="D72" s="202"/>
      <c r="E72" s="202"/>
      <c r="F72" s="202"/>
      <c r="G72" s="202"/>
      <c r="H72" s="202"/>
      <c r="I72" s="203"/>
    </row>
    <row r="73" spans="1:9" ht="18.75" customHeight="1" x14ac:dyDescent="0.15">
      <c r="A73" s="72"/>
      <c r="B73" s="201"/>
      <c r="C73" s="202"/>
      <c r="D73" s="202"/>
      <c r="E73" s="202"/>
      <c r="F73" s="202"/>
      <c r="G73" s="202"/>
      <c r="H73" s="202"/>
      <c r="I73" s="203"/>
    </row>
    <row r="74" spans="1:9" ht="18.75" customHeight="1" x14ac:dyDescent="0.15">
      <c r="A74" s="72"/>
      <c r="B74" s="201"/>
      <c r="C74" s="202"/>
      <c r="D74" s="202"/>
      <c r="E74" s="202"/>
      <c r="F74" s="202"/>
      <c r="G74" s="202"/>
      <c r="H74" s="202"/>
      <c r="I74" s="203"/>
    </row>
    <row r="75" spans="1:9" ht="18.75" customHeight="1" x14ac:dyDescent="0.15">
      <c r="A75" s="72"/>
      <c r="B75" s="201"/>
      <c r="C75" s="202"/>
      <c r="D75" s="202"/>
      <c r="E75" s="202"/>
      <c r="F75" s="202"/>
      <c r="G75" s="202"/>
      <c r="H75" s="202"/>
      <c r="I75" s="203"/>
    </row>
    <row r="76" spans="1:9" ht="18.75" customHeight="1" x14ac:dyDescent="0.15">
      <c r="A76" s="72"/>
      <c r="B76" s="201"/>
      <c r="C76" s="202"/>
      <c r="D76" s="202"/>
      <c r="E76" s="202"/>
      <c r="F76" s="202"/>
      <c r="G76" s="202"/>
      <c r="H76" s="202"/>
      <c r="I76" s="203"/>
    </row>
    <row r="77" spans="1:9" ht="18.75" customHeight="1" x14ac:dyDescent="0.15">
      <c r="A77" s="72"/>
      <c r="B77" s="204"/>
      <c r="C77" s="205"/>
      <c r="D77" s="205"/>
      <c r="E77" s="205"/>
      <c r="F77" s="205"/>
      <c r="G77" s="205"/>
      <c r="H77" s="205"/>
      <c r="I77" s="206"/>
    </row>
    <row r="78" spans="1:9" ht="7.5" customHeight="1" x14ac:dyDescent="0.15">
      <c r="A78" s="72"/>
      <c r="B78" s="72"/>
      <c r="C78" s="72"/>
      <c r="D78" s="72"/>
      <c r="E78" s="72"/>
      <c r="F78" s="72"/>
      <c r="G78" s="72"/>
      <c r="H78" s="72"/>
      <c r="I78" s="72"/>
    </row>
    <row r="79" spans="1:9" ht="18.75" customHeight="1" x14ac:dyDescent="0.15">
      <c r="A79" s="44" t="s">
        <v>11</v>
      </c>
      <c r="B79" s="44" t="s">
        <v>41</v>
      </c>
    </row>
    <row r="80" spans="1:9" ht="18.75" customHeight="1" x14ac:dyDescent="0.15">
      <c r="A80" s="44"/>
      <c r="B80" s="198" t="s">
        <v>169</v>
      </c>
      <c r="C80" s="199"/>
      <c r="D80" s="199"/>
      <c r="E80" s="199"/>
      <c r="F80" s="199"/>
      <c r="G80" s="199"/>
      <c r="H80" s="199"/>
      <c r="I80" s="207"/>
    </row>
    <row r="81" spans="1:9" ht="18.75" customHeight="1" x14ac:dyDescent="0.15">
      <c r="A81" s="44"/>
      <c r="B81" s="208"/>
      <c r="C81" s="209"/>
      <c r="D81" s="209"/>
      <c r="E81" s="209"/>
      <c r="F81" s="209"/>
      <c r="G81" s="209"/>
      <c r="H81" s="209"/>
      <c r="I81" s="210"/>
    </row>
    <row r="82" spans="1:9" ht="18.75" customHeight="1" x14ac:dyDescent="0.15">
      <c r="A82" s="44"/>
      <c r="B82" s="208"/>
      <c r="C82" s="209"/>
      <c r="D82" s="209"/>
      <c r="E82" s="209"/>
      <c r="F82" s="209"/>
      <c r="G82" s="209"/>
      <c r="H82" s="209"/>
      <c r="I82" s="210"/>
    </row>
    <row r="83" spans="1:9" ht="18.75" customHeight="1" x14ac:dyDescent="0.15">
      <c r="A83" s="44"/>
      <c r="B83" s="208"/>
      <c r="C83" s="209"/>
      <c r="D83" s="209"/>
      <c r="E83" s="209"/>
      <c r="F83" s="209"/>
      <c r="G83" s="209"/>
      <c r="H83" s="209"/>
      <c r="I83" s="210"/>
    </row>
    <row r="84" spans="1:9" ht="18.75" customHeight="1" x14ac:dyDescent="0.15">
      <c r="A84" s="44"/>
      <c r="B84" s="208"/>
      <c r="C84" s="209"/>
      <c r="D84" s="209"/>
      <c r="E84" s="209"/>
      <c r="F84" s="209"/>
      <c r="G84" s="209"/>
      <c r="H84" s="209"/>
      <c r="I84" s="210"/>
    </row>
    <row r="85" spans="1:9" ht="18.75" customHeight="1" x14ac:dyDescent="0.15">
      <c r="A85" s="44"/>
      <c r="B85" s="208"/>
      <c r="C85" s="209"/>
      <c r="D85" s="209"/>
      <c r="E85" s="209"/>
      <c r="F85" s="209"/>
      <c r="G85" s="209"/>
      <c r="H85" s="209"/>
      <c r="I85" s="210"/>
    </row>
    <row r="86" spans="1:9" ht="18.75" customHeight="1" x14ac:dyDescent="0.15">
      <c r="A86" s="44"/>
      <c r="B86" s="208"/>
      <c r="C86" s="209"/>
      <c r="D86" s="209"/>
      <c r="E86" s="209"/>
      <c r="F86" s="209"/>
      <c r="G86" s="209"/>
      <c r="H86" s="209"/>
      <c r="I86" s="210"/>
    </row>
    <row r="87" spans="1:9" ht="18.75" customHeight="1" x14ac:dyDescent="0.15">
      <c r="A87" s="44"/>
      <c r="B87" s="208"/>
      <c r="C87" s="209"/>
      <c r="D87" s="209"/>
      <c r="E87" s="209"/>
      <c r="F87" s="209"/>
      <c r="G87" s="209"/>
      <c r="H87" s="209"/>
      <c r="I87" s="210"/>
    </row>
    <row r="88" spans="1:9" ht="18.75" customHeight="1" x14ac:dyDescent="0.15">
      <c r="A88" s="44"/>
      <c r="B88" s="208"/>
      <c r="C88" s="209"/>
      <c r="D88" s="209"/>
      <c r="E88" s="209"/>
      <c r="F88" s="209"/>
      <c r="G88" s="209"/>
      <c r="H88" s="209"/>
      <c r="I88" s="210"/>
    </row>
    <row r="89" spans="1:9" ht="18.75" customHeight="1" x14ac:dyDescent="0.15">
      <c r="A89" s="44"/>
      <c r="B89" s="208"/>
      <c r="C89" s="209"/>
      <c r="D89" s="209"/>
      <c r="E89" s="209"/>
      <c r="F89" s="209"/>
      <c r="G89" s="209"/>
      <c r="H89" s="209"/>
      <c r="I89" s="210"/>
    </row>
    <row r="90" spans="1:9" ht="18.75" customHeight="1" x14ac:dyDescent="0.15">
      <c r="A90" s="72"/>
      <c r="B90" s="208"/>
      <c r="C90" s="209"/>
      <c r="D90" s="209"/>
      <c r="E90" s="209"/>
      <c r="F90" s="209"/>
      <c r="G90" s="209"/>
      <c r="H90" s="209"/>
      <c r="I90" s="210"/>
    </row>
    <row r="91" spans="1:9" ht="18.75" customHeight="1" x14ac:dyDescent="0.15">
      <c r="A91" s="72"/>
      <c r="B91" s="211"/>
      <c r="C91" s="212"/>
      <c r="D91" s="212"/>
      <c r="E91" s="212"/>
      <c r="F91" s="212"/>
      <c r="G91" s="212"/>
      <c r="H91" s="212"/>
      <c r="I91" s="213"/>
    </row>
    <row r="92" spans="1:9" ht="7.5" customHeight="1" x14ac:dyDescent="0.15">
      <c r="A92" s="72"/>
      <c r="B92" s="72"/>
      <c r="C92" s="72"/>
      <c r="D92" s="72"/>
      <c r="E92" s="72"/>
      <c r="F92" s="72"/>
      <c r="G92" s="72"/>
      <c r="H92" s="72"/>
      <c r="I92" s="72"/>
    </row>
    <row r="93" spans="1:9" ht="18.75" customHeight="1" x14ac:dyDescent="0.15">
      <c r="A93" s="44" t="s">
        <v>44</v>
      </c>
      <c r="B93" s="44" t="s">
        <v>13</v>
      </c>
    </row>
    <row r="94" spans="1:9" ht="18.75" customHeight="1" x14ac:dyDescent="0.15">
      <c r="A94" s="44"/>
      <c r="B94" s="225" t="s">
        <v>160</v>
      </c>
      <c r="C94" s="226"/>
      <c r="D94" s="226"/>
      <c r="E94" s="226"/>
      <c r="F94" s="226"/>
      <c r="G94" s="226"/>
      <c r="H94" s="226"/>
      <c r="I94" s="227"/>
    </row>
    <row r="95" spans="1:9" ht="18.75" customHeight="1" x14ac:dyDescent="0.15">
      <c r="A95" s="44"/>
      <c r="B95" s="228"/>
      <c r="C95" s="229"/>
      <c r="D95" s="229"/>
      <c r="E95" s="229"/>
      <c r="F95" s="229"/>
      <c r="G95" s="229"/>
      <c r="H95" s="229"/>
      <c r="I95" s="230"/>
    </row>
    <row r="96" spans="1:9" ht="18.75" customHeight="1" x14ac:dyDescent="0.15">
      <c r="A96" s="44"/>
      <c r="B96" s="228"/>
      <c r="C96" s="229"/>
      <c r="D96" s="229"/>
      <c r="E96" s="229"/>
      <c r="F96" s="229"/>
      <c r="G96" s="229"/>
      <c r="H96" s="229"/>
      <c r="I96" s="230"/>
    </row>
    <row r="97" spans="1:9" ht="18.75" customHeight="1" x14ac:dyDescent="0.15">
      <c r="A97" s="44"/>
      <c r="B97" s="228"/>
      <c r="C97" s="229"/>
      <c r="D97" s="229"/>
      <c r="E97" s="229"/>
      <c r="F97" s="229"/>
      <c r="G97" s="229"/>
      <c r="H97" s="229"/>
      <c r="I97" s="230"/>
    </row>
    <row r="98" spans="1:9" ht="18.75" customHeight="1" x14ac:dyDescent="0.15">
      <c r="A98" s="44"/>
      <c r="B98" s="228"/>
      <c r="C98" s="229"/>
      <c r="D98" s="229"/>
      <c r="E98" s="229"/>
      <c r="F98" s="229"/>
      <c r="G98" s="229"/>
      <c r="H98" s="229"/>
      <c r="I98" s="230"/>
    </row>
    <row r="99" spans="1:9" ht="18.75" customHeight="1" x14ac:dyDescent="0.15">
      <c r="A99" s="44"/>
      <c r="B99" s="228"/>
      <c r="C99" s="229"/>
      <c r="D99" s="229"/>
      <c r="E99" s="229"/>
      <c r="F99" s="229"/>
      <c r="G99" s="229"/>
      <c r="H99" s="229"/>
      <c r="I99" s="230"/>
    </row>
    <row r="100" spans="1:9" ht="18.75" customHeight="1" x14ac:dyDescent="0.15">
      <c r="A100" s="44"/>
      <c r="B100" s="228"/>
      <c r="C100" s="229"/>
      <c r="D100" s="229"/>
      <c r="E100" s="229"/>
      <c r="F100" s="229"/>
      <c r="G100" s="229"/>
      <c r="H100" s="229"/>
      <c r="I100" s="230"/>
    </row>
    <row r="101" spans="1:9" ht="18.75" customHeight="1" x14ac:dyDescent="0.15">
      <c r="A101" s="44"/>
      <c r="B101" s="228"/>
      <c r="C101" s="229"/>
      <c r="D101" s="229"/>
      <c r="E101" s="229"/>
      <c r="F101" s="229"/>
      <c r="G101" s="229"/>
      <c r="H101" s="229"/>
      <c r="I101" s="230"/>
    </row>
    <row r="102" spans="1:9" ht="18.75" customHeight="1" x14ac:dyDescent="0.15">
      <c r="A102" s="44"/>
      <c r="B102" s="228"/>
      <c r="C102" s="229"/>
      <c r="D102" s="229"/>
      <c r="E102" s="229"/>
      <c r="F102" s="229"/>
      <c r="G102" s="229"/>
      <c r="H102" s="229"/>
      <c r="I102" s="230"/>
    </row>
    <row r="103" spans="1:9" ht="18.75" customHeight="1" x14ac:dyDescent="0.15">
      <c r="A103" s="44"/>
      <c r="B103" s="228"/>
      <c r="C103" s="229"/>
      <c r="D103" s="229"/>
      <c r="E103" s="229"/>
      <c r="F103" s="229"/>
      <c r="G103" s="229"/>
      <c r="H103" s="229"/>
      <c r="I103" s="230"/>
    </row>
    <row r="104" spans="1:9" ht="18.75" customHeight="1" x14ac:dyDescent="0.15">
      <c r="A104" s="44"/>
      <c r="B104" s="228"/>
      <c r="C104" s="229"/>
      <c r="D104" s="229"/>
      <c r="E104" s="229"/>
      <c r="F104" s="229"/>
      <c r="G104" s="229"/>
      <c r="H104" s="229"/>
      <c r="I104" s="230"/>
    </row>
    <row r="105" spans="1:9" ht="18.75" customHeight="1" x14ac:dyDescent="0.15">
      <c r="A105" s="72"/>
      <c r="B105" s="231"/>
      <c r="C105" s="232"/>
      <c r="D105" s="232"/>
      <c r="E105" s="232"/>
      <c r="F105" s="232"/>
      <c r="G105" s="232"/>
      <c r="H105" s="232"/>
      <c r="I105" s="233"/>
    </row>
    <row r="106" spans="1:9" ht="7.5" customHeight="1" x14ac:dyDescent="0.15">
      <c r="A106" s="72"/>
      <c r="B106" s="72"/>
      <c r="C106" s="72"/>
      <c r="D106" s="72"/>
      <c r="E106" s="72"/>
      <c r="F106" s="72"/>
      <c r="G106" s="72"/>
      <c r="H106" s="72"/>
      <c r="I106" s="72"/>
    </row>
    <row r="107" spans="1:9" ht="18.75" customHeight="1" x14ac:dyDescent="0.15">
      <c r="A107" s="44" t="s">
        <v>30</v>
      </c>
      <c r="B107" s="234" t="s">
        <v>46</v>
      </c>
      <c r="C107" s="234"/>
      <c r="D107" s="234"/>
      <c r="E107" s="234"/>
      <c r="F107" s="234"/>
      <c r="G107" s="234"/>
      <c r="H107" s="234"/>
      <c r="I107" s="234"/>
    </row>
    <row r="108" spans="1:9" ht="18.75" customHeight="1" x14ac:dyDescent="0.15">
      <c r="A108" s="72"/>
      <c r="B108" s="225" t="s">
        <v>174</v>
      </c>
      <c r="C108" s="226"/>
      <c r="D108" s="226"/>
      <c r="E108" s="226"/>
      <c r="F108" s="226"/>
      <c r="G108" s="226"/>
      <c r="H108" s="226"/>
      <c r="I108" s="227"/>
    </row>
    <row r="109" spans="1:9" ht="18.75" customHeight="1" x14ac:dyDescent="0.15">
      <c r="A109" s="72"/>
      <c r="B109" s="228"/>
      <c r="C109" s="229"/>
      <c r="D109" s="229"/>
      <c r="E109" s="229"/>
      <c r="F109" s="229"/>
      <c r="G109" s="229"/>
      <c r="H109" s="229"/>
      <c r="I109" s="230"/>
    </row>
    <row r="110" spans="1:9" ht="18.75" customHeight="1" x14ac:dyDescent="0.15">
      <c r="A110" s="72"/>
      <c r="B110" s="228"/>
      <c r="C110" s="229"/>
      <c r="D110" s="229"/>
      <c r="E110" s="229"/>
      <c r="F110" s="229"/>
      <c r="G110" s="229"/>
      <c r="H110" s="229"/>
      <c r="I110" s="230"/>
    </row>
    <row r="111" spans="1:9" ht="18.75" customHeight="1" x14ac:dyDescent="0.15">
      <c r="A111" s="72"/>
      <c r="B111" s="228"/>
      <c r="C111" s="229"/>
      <c r="D111" s="229"/>
      <c r="E111" s="229"/>
      <c r="F111" s="229"/>
      <c r="G111" s="229"/>
      <c r="H111" s="229"/>
      <c r="I111" s="230"/>
    </row>
    <row r="112" spans="1:9" ht="18.75" customHeight="1" x14ac:dyDescent="0.15">
      <c r="A112" s="72"/>
      <c r="B112" s="228"/>
      <c r="C112" s="229"/>
      <c r="D112" s="229"/>
      <c r="E112" s="229"/>
      <c r="F112" s="229"/>
      <c r="G112" s="229"/>
      <c r="H112" s="229"/>
      <c r="I112" s="230"/>
    </row>
    <row r="113" spans="1:9" ht="18.75" customHeight="1" x14ac:dyDescent="0.15">
      <c r="A113" s="72"/>
      <c r="B113" s="228"/>
      <c r="C113" s="229"/>
      <c r="D113" s="229"/>
      <c r="E113" s="229"/>
      <c r="F113" s="229"/>
      <c r="G113" s="229"/>
      <c r="H113" s="229"/>
      <c r="I113" s="230"/>
    </row>
    <row r="114" spans="1:9" ht="18.75" customHeight="1" x14ac:dyDescent="0.15">
      <c r="A114" s="72"/>
      <c r="B114" s="228"/>
      <c r="C114" s="229"/>
      <c r="D114" s="229"/>
      <c r="E114" s="229"/>
      <c r="F114" s="229"/>
      <c r="G114" s="229"/>
      <c r="H114" s="229"/>
      <c r="I114" s="230"/>
    </row>
    <row r="115" spans="1:9" ht="18.75" customHeight="1" x14ac:dyDescent="0.15">
      <c r="A115" s="72"/>
      <c r="B115" s="228"/>
      <c r="C115" s="229"/>
      <c r="D115" s="229"/>
      <c r="E115" s="229"/>
      <c r="F115" s="229"/>
      <c r="G115" s="229"/>
      <c r="H115" s="229"/>
      <c r="I115" s="230"/>
    </row>
    <row r="116" spans="1:9" ht="18.75" customHeight="1" x14ac:dyDescent="0.15">
      <c r="A116" s="72"/>
      <c r="B116" s="228"/>
      <c r="C116" s="229"/>
      <c r="D116" s="229"/>
      <c r="E116" s="229"/>
      <c r="F116" s="229"/>
      <c r="G116" s="229"/>
      <c r="H116" s="229"/>
      <c r="I116" s="230"/>
    </row>
    <row r="117" spans="1:9" ht="18.75" customHeight="1" x14ac:dyDescent="0.15">
      <c r="A117" s="72"/>
      <c r="B117" s="228"/>
      <c r="C117" s="229"/>
      <c r="D117" s="229"/>
      <c r="E117" s="229"/>
      <c r="F117" s="229"/>
      <c r="G117" s="229"/>
      <c r="H117" s="229"/>
      <c r="I117" s="230"/>
    </row>
    <row r="118" spans="1:9" ht="18.75" customHeight="1" x14ac:dyDescent="0.15">
      <c r="A118" s="72"/>
      <c r="B118" s="228"/>
      <c r="C118" s="229"/>
      <c r="D118" s="229"/>
      <c r="E118" s="229"/>
      <c r="F118" s="229"/>
      <c r="G118" s="229"/>
      <c r="H118" s="229"/>
      <c r="I118" s="230"/>
    </row>
    <row r="119" spans="1:9" ht="18.75" customHeight="1" x14ac:dyDescent="0.15">
      <c r="A119" s="72"/>
      <c r="B119" s="231"/>
      <c r="C119" s="232"/>
      <c r="D119" s="232"/>
      <c r="E119" s="232"/>
      <c r="F119" s="232"/>
      <c r="G119" s="232"/>
      <c r="H119" s="232"/>
      <c r="I119" s="233"/>
    </row>
    <row r="120" spans="1:9" ht="7.5" customHeight="1" x14ac:dyDescent="0.15">
      <c r="A120" s="72"/>
      <c r="B120" s="80"/>
      <c r="C120" s="80"/>
      <c r="D120" s="80"/>
      <c r="E120" s="80"/>
      <c r="F120" s="80"/>
      <c r="G120" s="80"/>
      <c r="H120" s="80"/>
      <c r="I120" s="80"/>
    </row>
    <row r="121" spans="1:9" ht="18.75" customHeight="1" x14ac:dyDescent="0.15">
      <c r="A121" s="72"/>
      <c r="B121" s="72"/>
      <c r="C121" s="72"/>
      <c r="D121" s="72"/>
      <c r="E121" s="72"/>
      <c r="F121" s="72"/>
      <c r="G121" s="72"/>
      <c r="H121" s="72"/>
      <c r="I121" s="72"/>
    </row>
    <row r="122" spans="1:9" ht="18.75" customHeight="1" x14ac:dyDescent="0.15">
      <c r="A122" s="72"/>
      <c r="B122" s="72"/>
      <c r="C122" s="72"/>
      <c r="D122" s="72"/>
      <c r="E122" s="72"/>
      <c r="F122" s="72"/>
      <c r="G122" s="72"/>
      <c r="H122" s="72"/>
      <c r="I122" s="72"/>
    </row>
    <row r="123" spans="1:9" ht="18.75" customHeight="1" x14ac:dyDescent="0.15">
      <c r="A123" s="72"/>
      <c r="B123" s="72"/>
      <c r="C123" s="72"/>
      <c r="D123" s="72"/>
      <c r="E123" s="72"/>
      <c r="F123" s="72"/>
      <c r="G123" s="72"/>
      <c r="H123" s="72"/>
      <c r="I123" s="72"/>
    </row>
    <row r="124" spans="1:9" ht="18.75" customHeight="1" x14ac:dyDescent="0.15">
      <c r="A124" s="72"/>
      <c r="B124" s="72"/>
      <c r="C124" s="72"/>
      <c r="D124" s="72"/>
      <c r="E124" s="72"/>
      <c r="F124" s="72"/>
      <c r="G124" s="72"/>
      <c r="H124" s="72"/>
      <c r="I124" s="72"/>
    </row>
    <row r="125" spans="1:9" ht="18.75" customHeight="1" x14ac:dyDescent="0.15">
      <c r="A125" s="72"/>
      <c r="B125" s="72"/>
      <c r="C125" s="72"/>
      <c r="D125" s="72"/>
      <c r="E125" s="72"/>
      <c r="F125" s="72"/>
      <c r="G125" s="72"/>
      <c r="H125" s="72"/>
      <c r="I125" s="72"/>
    </row>
    <row r="126" spans="1:9" ht="18.75" customHeight="1" x14ac:dyDescent="0.15">
      <c r="A126" s="72"/>
      <c r="B126" s="72"/>
      <c r="C126" s="72"/>
      <c r="D126" s="72"/>
      <c r="E126" s="72"/>
      <c r="F126" s="72"/>
      <c r="G126" s="72"/>
      <c r="H126" s="72"/>
      <c r="I126" s="72"/>
    </row>
    <row r="127" spans="1:9" ht="18.75" customHeight="1" x14ac:dyDescent="0.15">
      <c r="A127" s="72"/>
      <c r="B127" s="72"/>
      <c r="C127" s="72"/>
      <c r="D127" s="72"/>
      <c r="E127" s="72"/>
      <c r="F127" s="72"/>
      <c r="G127" s="72"/>
      <c r="H127" s="72"/>
      <c r="I127" s="72"/>
    </row>
    <row r="128" spans="1:9" ht="18.75" customHeight="1" x14ac:dyDescent="0.15">
      <c r="A128" s="72"/>
      <c r="B128" s="72"/>
      <c r="C128" s="72"/>
      <c r="D128" s="72"/>
      <c r="E128" s="72"/>
      <c r="F128" s="72"/>
      <c r="G128" s="72"/>
      <c r="H128" s="72"/>
      <c r="I128" s="72"/>
    </row>
    <row r="129" spans="1:9" ht="18.75" customHeight="1" x14ac:dyDescent="0.15">
      <c r="A129" s="72"/>
      <c r="B129" s="72"/>
      <c r="C129" s="72"/>
      <c r="D129" s="72"/>
      <c r="E129" s="72"/>
      <c r="F129" s="72"/>
      <c r="G129" s="72"/>
      <c r="H129" s="72"/>
      <c r="I129" s="72"/>
    </row>
    <row r="130" spans="1:9" ht="18.75" customHeight="1" x14ac:dyDescent="0.15">
      <c r="A130" s="72"/>
      <c r="B130" s="72"/>
      <c r="C130" s="72"/>
      <c r="D130" s="72"/>
      <c r="E130" s="72"/>
      <c r="F130" s="72"/>
      <c r="G130" s="72"/>
      <c r="H130" s="72"/>
      <c r="I130" s="72"/>
    </row>
    <row r="131" spans="1:9" ht="18.75" customHeight="1" x14ac:dyDescent="0.15">
      <c r="A131" s="72"/>
      <c r="B131" s="72"/>
      <c r="C131" s="72"/>
      <c r="D131" s="72"/>
      <c r="E131" s="72"/>
      <c r="F131" s="72"/>
      <c r="G131" s="72"/>
      <c r="H131" s="72"/>
      <c r="I131" s="72"/>
    </row>
    <row r="132" spans="1:9" ht="18.75" customHeight="1" x14ac:dyDescent="0.15">
      <c r="A132" s="72"/>
      <c r="B132" s="72"/>
      <c r="C132" s="72"/>
      <c r="D132" s="72"/>
      <c r="E132" s="72"/>
      <c r="F132" s="72"/>
      <c r="G132" s="72"/>
      <c r="H132" s="72"/>
      <c r="I132" s="72"/>
    </row>
    <row r="133" spans="1:9" ht="14.25" x14ac:dyDescent="0.15">
      <c r="A133" s="72"/>
      <c r="B133" s="72"/>
      <c r="C133" s="72"/>
      <c r="D133" s="72"/>
      <c r="E133" s="72"/>
      <c r="F133" s="72"/>
      <c r="G133" s="72"/>
      <c r="H133" s="72"/>
      <c r="I133" s="72"/>
    </row>
    <row r="134" spans="1:9" ht="7.5" customHeight="1" x14ac:dyDescent="0.15">
      <c r="A134" s="81"/>
      <c r="B134" s="81"/>
      <c r="C134" s="81"/>
      <c r="D134" s="81"/>
      <c r="E134" s="81"/>
      <c r="F134" s="81"/>
      <c r="G134" s="81"/>
      <c r="H134" s="81"/>
      <c r="I134" s="81"/>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0"/>
  <sheetViews>
    <sheetView showZeros="0" view="pageBreakPreview" topLeftCell="A16" zoomScale="90" zoomScaleNormal="100" zoomScaleSheetLayoutView="90" workbookViewId="0">
      <selection activeCell="E18" sqref="E18"/>
    </sheetView>
  </sheetViews>
  <sheetFormatPr defaultColWidth="11.375" defaultRowHeight="22.5" customHeight="1" x14ac:dyDescent="0.15"/>
  <cols>
    <col min="1" max="3" width="2.875" style="44" customWidth="1"/>
    <col min="4" max="4" width="22.125" style="44" customWidth="1"/>
    <col min="5" max="5" width="30.875" style="44" customWidth="1"/>
    <col min="6" max="7" width="7.875" style="44" customWidth="1"/>
    <col min="8" max="9" width="30.875" style="44" customWidth="1"/>
    <col min="10" max="10" width="4.125" style="44" customWidth="1"/>
    <col min="11" max="16384" width="11.375" style="1"/>
  </cols>
  <sheetData>
    <row r="1" spans="1:12" ht="18.75" customHeight="1" x14ac:dyDescent="0.15">
      <c r="A1" s="44" t="s">
        <v>71</v>
      </c>
      <c r="I1" s="47" t="s">
        <v>105</v>
      </c>
    </row>
    <row r="2" spans="1:12" ht="18.75" customHeight="1" x14ac:dyDescent="0.15">
      <c r="H2" s="47" t="s">
        <v>109</v>
      </c>
      <c r="I2" s="46" t="str">
        <f>'様式１　プログラムを構成する授業科目'!C2</f>
        <v>福岡大学</v>
      </c>
    </row>
    <row r="3" spans="1:12" ht="18.75" customHeight="1" x14ac:dyDescent="0.15">
      <c r="A3" s="121" t="s">
        <v>28</v>
      </c>
      <c r="B3" s="121"/>
      <c r="C3" s="121"/>
      <c r="D3" s="121"/>
      <c r="E3" s="121"/>
      <c r="F3" s="121"/>
      <c r="G3" s="121"/>
      <c r="H3" s="121"/>
      <c r="I3" s="121"/>
    </row>
    <row r="4" spans="1:12" ht="18.75" customHeight="1" x14ac:dyDescent="0.15">
      <c r="A4" s="82"/>
      <c r="B4" s="82"/>
      <c r="C4" s="82"/>
      <c r="D4" s="82"/>
      <c r="E4" s="82"/>
      <c r="F4" s="82"/>
      <c r="G4" s="82"/>
      <c r="H4" s="82"/>
      <c r="I4" s="82"/>
    </row>
    <row r="5" spans="1:12" ht="18.75" customHeight="1" x14ac:dyDescent="0.15">
      <c r="A5" s="44" t="s">
        <v>0</v>
      </c>
      <c r="B5" s="52" t="s">
        <v>95</v>
      </c>
      <c r="C5" s="82"/>
      <c r="D5" s="82"/>
      <c r="E5" s="82"/>
      <c r="F5" s="82"/>
      <c r="G5" s="82"/>
      <c r="H5" s="82"/>
      <c r="I5" s="82"/>
    </row>
    <row r="6" spans="1:12" ht="26.25" customHeight="1" x14ac:dyDescent="0.15">
      <c r="A6" s="82"/>
      <c r="B6" s="243" t="s">
        <v>157</v>
      </c>
      <c r="C6" s="273"/>
      <c r="D6" s="273"/>
      <c r="E6" s="273"/>
      <c r="F6" s="273"/>
      <c r="G6" s="273"/>
      <c r="H6" s="274"/>
      <c r="I6" s="50"/>
    </row>
    <row r="7" spans="1:12" ht="9" customHeight="1" x14ac:dyDescent="0.15">
      <c r="A7" s="82"/>
      <c r="B7" s="52"/>
      <c r="C7" s="52"/>
      <c r="D7" s="52"/>
      <c r="E7" s="52"/>
      <c r="F7" s="52"/>
      <c r="G7" s="52"/>
      <c r="H7" s="52"/>
      <c r="I7" s="50"/>
    </row>
    <row r="8" spans="1:12" ht="18.75" customHeight="1" x14ac:dyDescent="0.15">
      <c r="A8" s="82"/>
      <c r="B8" s="50"/>
      <c r="C8" s="50"/>
      <c r="D8" s="47" t="s">
        <v>43</v>
      </c>
      <c r="E8" s="83" t="s">
        <v>158</v>
      </c>
      <c r="F8" s="50"/>
      <c r="G8" s="47" t="s">
        <v>10</v>
      </c>
      <c r="H8" s="94" t="s">
        <v>154</v>
      </c>
      <c r="I8" s="50"/>
    </row>
    <row r="9" spans="1:12" ht="7.5" customHeight="1" x14ac:dyDescent="0.15">
      <c r="A9" s="82"/>
      <c r="B9" s="82"/>
      <c r="C9" s="82"/>
      <c r="D9" s="82"/>
      <c r="E9" s="82"/>
      <c r="F9" s="82"/>
      <c r="G9" s="82"/>
      <c r="H9" s="82"/>
      <c r="I9" s="82"/>
    </row>
    <row r="10" spans="1:12" ht="18.75" customHeight="1" x14ac:dyDescent="0.15">
      <c r="A10" s="44" t="s">
        <v>3</v>
      </c>
      <c r="B10" s="44" t="s">
        <v>27</v>
      </c>
      <c r="C10" s="72"/>
      <c r="D10" s="72"/>
      <c r="E10" s="72"/>
      <c r="F10" s="72"/>
      <c r="G10" s="72"/>
      <c r="H10" s="72"/>
      <c r="I10" s="72"/>
    </row>
    <row r="11" spans="1:12" ht="18.75" customHeight="1" x14ac:dyDescent="0.15">
      <c r="B11" s="107" t="s">
        <v>24</v>
      </c>
      <c r="C11" s="108"/>
      <c r="D11" s="109"/>
      <c r="E11" s="108" t="s">
        <v>26</v>
      </c>
      <c r="F11" s="108"/>
      <c r="G11" s="108"/>
      <c r="H11" s="108"/>
      <c r="I11" s="109"/>
    </row>
    <row r="12" spans="1:12" ht="26.25" customHeight="1" x14ac:dyDescent="0.15">
      <c r="B12" s="84" t="s">
        <v>14</v>
      </c>
      <c r="C12" s="85"/>
      <c r="D12" s="86"/>
      <c r="E12" s="87"/>
      <c r="F12" s="87"/>
      <c r="G12" s="87"/>
      <c r="H12" s="87"/>
      <c r="I12" s="86"/>
    </row>
    <row r="13" spans="1:12" ht="210.75" customHeight="1" x14ac:dyDescent="0.15">
      <c r="B13" s="88"/>
      <c r="C13" s="256" t="s">
        <v>15</v>
      </c>
      <c r="D13" s="257"/>
      <c r="E13" s="269" t="s">
        <v>162</v>
      </c>
      <c r="F13" s="258"/>
      <c r="G13" s="258"/>
      <c r="H13" s="258"/>
      <c r="I13" s="259"/>
      <c r="L13" s="42"/>
    </row>
    <row r="14" spans="1:12" ht="210.75" customHeight="1" x14ac:dyDescent="0.15">
      <c r="B14" s="88"/>
      <c r="C14" s="271" t="s">
        <v>16</v>
      </c>
      <c r="D14" s="272"/>
      <c r="E14" s="269" t="s">
        <v>167</v>
      </c>
      <c r="F14" s="258"/>
      <c r="G14" s="258"/>
      <c r="H14" s="258"/>
      <c r="I14" s="259"/>
    </row>
    <row r="15" spans="1:12" ht="210.75" customHeight="1" x14ac:dyDescent="0.15">
      <c r="B15" s="88"/>
      <c r="C15" s="256" t="s">
        <v>17</v>
      </c>
      <c r="D15" s="257"/>
      <c r="E15" s="269" t="s">
        <v>163</v>
      </c>
      <c r="F15" s="258"/>
      <c r="G15" s="258"/>
      <c r="H15" s="258"/>
      <c r="I15" s="259"/>
    </row>
    <row r="16" spans="1:12" ht="210.75" customHeight="1" x14ac:dyDescent="0.15">
      <c r="B16" s="88"/>
      <c r="C16" s="256" t="s">
        <v>18</v>
      </c>
      <c r="D16" s="257"/>
      <c r="E16" s="269" t="s">
        <v>175</v>
      </c>
      <c r="F16" s="258"/>
      <c r="G16" s="258"/>
      <c r="H16" s="258"/>
      <c r="I16" s="259"/>
    </row>
    <row r="17" spans="2:9" ht="210.75" customHeight="1" x14ac:dyDescent="0.15">
      <c r="B17" s="89"/>
      <c r="C17" s="260" t="s">
        <v>19</v>
      </c>
      <c r="D17" s="261"/>
      <c r="E17" s="270" t="s">
        <v>176</v>
      </c>
      <c r="F17" s="262"/>
      <c r="G17" s="262"/>
      <c r="H17" s="262"/>
      <c r="I17" s="263"/>
    </row>
    <row r="18" spans="2:9" ht="24" customHeight="1" x14ac:dyDescent="0.15">
      <c r="B18" s="84" t="s">
        <v>20</v>
      </c>
      <c r="C18" s="90"/>
      <c r="D18" s="91"/>
      <c r="E18" s="92"/>
      <c r="F18" s="92"/>
      <c r="G18" s="92"/>
      <c r="H18" s="92"/>
      <c r="I18" s="93"/>
    </row>
    <row r="19" spans="2:9" ht="218.25" customHeight="1" x14ac:dyDescent="0.15">
      <c r="B19" s="88"/>
      <c r="C19" s="256" t="s">
        <v>21</v>
      </c>
      <c r="D19" s="257"/>
      <c r="E19" s="258" t="s">
        <v>170</v>
      </c>
      <c r="F19" s="258"/>
      <c r="G19" s="258"/>
      <c r="H19" s="258"/>
      <c r="I19" s="259"/>
    </row>
    <row r="20" spans="2:9" ht="218.25" customHeight="1" x14ac:dyDescent="0.15">
      <c r="B20" s="89"/>
      <c r="C20" s="260" t="s">
        <v>22</v>
      </c>
      <c r="D20" s="261"/>
      <c r="E20" s="262" t="s">
        <v>164</v>
      </c>
      <c r="F20" s="262"/>
      <c r="G20" s="262"/>
      <c r="H20" s="262"/>
      <c r="I20" s="263"/>
    </row>
    <row r="21" spans="2:9" ht="218.25" customHeight="1" x14ac:dyDescent="0.15">
      <c r="B21" s="264" t="s">
        <v>23</v>
      </c>
      <c r="C21" s="265"/>
      <c r="D21" s="266"/>
      <c r="E21" s="267" t="s">
        <v>166</v>
      </c>
      <c r="F21" s="267"/>
      <c r="G21" s="267"/>
      <c r="H21" s="267"/>
      <c r="I21" s="268"/>
    </row>
    <row r="22" spans="2:9" ht="218.25" customHeight="1" x14ac:dyDescent="0.15">
      <c r="B22" s="251" t="s">
        <v>38</v>
      </c>
      <c r="C22" s="252"/>
      <c r="D22" s="253"/>
      <c r="E22" s="254" t="s">
        <v>165</v>
      </c>
      <c r="F22" s="254"/>
      <c r="G22" s="254"/>
      <c r="H22" s="254"/>
      <c r="I22" s="255"/>
    </row>
    <row r="23" spans="2:9" ht="22.5" customHeight="1" x14ac:dyDescent="0.15">
      <c r="B23" s="72"/>
      <c r="C23" s="72"/>
      <c r="D23" s="72"/>
      <c r="E23" s="72"/>
      <c r="F23" s="72"/>
      <c r="G23" s="72"/>
      <c r="H23" s="72"/>
      <c r="I23" s="72"/>
    </row>
    <row r="24" spans="2:9" ht="22.5" customHeight="1" x14ac:dyDescent="0.15">
      <c r="B24" s="72"/>
      <c r="C24" s="72"/>
      <c r="D24" s="72"/>
      <c r="E24" s="72"/>
      <c r="F24" s="72"/>
      <c r="G24" s="72"/>
      <c r="H24" s="72"/>
      <c r="I24" s="72"/>
    </row>
    <row r="25" spans="2:9" ht="22.5" customHeight="1" x14ac:dyDescent="0.15">
      <c r="B25" s="72"/>
      <c r="C25" s="72"/>
      <c r="D25" s="72"/>
      <c r="E25" s="72"/>
      <c r="F25" s="72"/>
      <c r="G25" s="72"/>
      <c r="H25" s="72"/>
      <c r="I25" s="72"/>
    </row>
    <row r="26" spans="2:9" ht="22.5" customHeight="1" x14ac:dyDescent="0.15">
      <c r="B26" s="72"/>
      <c r="C26" s="72"/>
      <c r="D26" s="72"/>
      <c r="E26" s="72"/>
      <c r="F26" s="72"/>
      <c r="G26" s="72"/>
      <c r="H26" s="72"/>
      <c r="I26" s="72"/>
    </row>
    <row r="27" spans="2:9" ht="22.5" customHeight="1" x14ac:dyDescent="0.15">
      <c r="B27" s="72"/>
      <c r="C27" s="72"/>
      <c r="D27" s="72"/>
      <c r="E27" s="72"/>
      <c r="F27" s="72"/>
      <c r="G27" s="72"/>
      <c r="H27" s="72"/>
      <c r="I27" s="72"/>
    </row>
    <row r="28" spans="2:9" ht="22.5" customHeight="1" x14ac:dyDescent="0.15">
      <c r="B28" s="43"/>
      <c r="C28" s="43"/>
      <c r="D28" s="43"/>
      <c r="E28" s="43"/>
      <c r="F28" s="43"/>
      <c r="G28" s="43"/>
      <c r="H28" s="43"/>
      <c r="I28" s="43"/>
    </row>
    <row r="29" spans="2:9" ht="22.5" customHeight="1" x14ac:dyDescent="0.15">
      <c r="B29" s="43"/>
      <c r="C29" s="43"/>
      <c r="D29" s="43"/>
      <c r="E29" s="43"/>
      <c r="F29" s="43"/>
      <c r="G29" s="43"/>
      <c r="H29" s="43"/>
      <c r="I29" s="43"/>
    </row>
    <row r="30" spans="2:9" ht="22.5" customHeight="1" x14ac:dyDescent="0.15">
      <c r="B30" s="43"/>
      <c r="C30" s="43"/>
      <c r="D30" s="43"/>
      <c r="E30" s="43"/>
      <c r="F30" s="43"/>
      <c r="G30" s="43"/>
      <c r="H30" s="43"/>
      <c r="I30" s="43"/>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山口　龍太郎</cp:lastModifiedBy>
  <cp:lastPrinted>2023-05-12T03:15:42Z</cp:lastPrinted>
  <dcterms:created xsi:type="dcterms:W3CDTF">2011-06-14T05:32:50Z</dcterms:created>
  <dcterms:modified xsi:type="dcterms:W3CDTF">2023-07-14T10:01:45Z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