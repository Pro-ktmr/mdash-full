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o-file\public\10　教育支援室\10　学部運営・国際交流・教務管理\10　学部運営\67_文理融合データサイエンス教育プログラム\01　MDASH（数理・データサイエンス・AI教育プログラム認定制度）\R5認定（R5.3～R5.5受付）\6　申請書類の確認\岩手県立大学宮古短期大学部\01 岩手県立大学宮古短期大学部_リテラシー\"/>
    </mc:Choice>
  </mc:AlternateContent>
  <bookViews>
    <workbookView xWindow="3075" yWindow="495" windowWidth="16815" windowHeight="17505"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<sst xmlns="http://schemas.openxmlformats.org/spreadsheetml/2006/main" count="314" uniqueCount="179">
  <si>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</si>
  <si>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</si>
  <si>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</si>
  <si>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</si>
  <si>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</si>
  <si>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</si>
  <si>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</si>
  <si>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</si>
  <si>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</si>
  <si>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</si>
  <si>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</si>
  <si>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</si>
  <si>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</si>
  <si>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</si>
  <si>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</si>
  <si>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</si>
  <si>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</si>
  <si>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</si>
  <si>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</si>
  <si>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</si>
  <si>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</si>
  <si>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</si>
  <si>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</si>
  <si>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</si>
  <si>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</si>
  <si>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</si>
  <si>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</si>
  <si>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</si>
  <si>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</si>
  <si>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</si>
  <si>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</si>
  <si>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</si>
  <si>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</si>
  <si>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</si>
  <si>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</si>
  <si>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</si>
  <si>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</si>
  <si>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</si>
  <si>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</si>
  <si>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</si>
  <si>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</si>
  <si>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</si>
  <si>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</si>
  <si>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</si>
  <si>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</si>
  <si>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</si>
  <si>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</si>
  <si>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</si>
  <si>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</si>
  <si>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</si>
  <si>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</si>
  <si>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</si>
  <si>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</si>
  <si>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</si>
  <si>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</si>
  <si>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</si>
  <si>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</si>
  <si>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</si>
  <si>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</si>
  <si>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</si>
  <si>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</si>
  <si>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</si>
  <si>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</si>
  <si>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</si>
  <si>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</si>
  <si>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</si>
  <si>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</si>
  <si>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</si>
  <si>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</si>
  <si>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</si>
  <si>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</si>
  <si>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</si>
  <si>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</si>
  <si>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</si>
  <si>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</si>
  <si>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</si>
  <si>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</si>
  <si>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</si>
  <si>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</si>
  <si>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</si>
  <si>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</si>
  <si>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</si>
  <si>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</si>
  <si>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</si>
  <si>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</si>
  <si>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</si>
  <si>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</si>
  <si>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</si>
  <si>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</si>
  <si>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</si>
  <si>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</si>
  <si>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</si>
  <si>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</si>
  <si>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</si>
  <si>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</si>
  <si>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</si>
  <si>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</si>
  <si>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</si>
  <si>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</si>
  <si>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</si>
  <si>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</si>
  <si>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</si>
  <si>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</si>
  <si>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</si>
  <si>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</si>
  <si>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</si>
  <si>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</si>
  <si>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</si>
  <si>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</si>
  <si>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</si>
  <si>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</si>
  <si>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</si>
  <si>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</si>
  <si>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</si>
  <si>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</si>
  <si>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</si>
  <si>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</si>
  <si>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</si>
  <si>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</si>
  <si>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</si>
  <si>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</si>
  <si>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</si>
  <si>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</si>
  <si>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</si>
  <si>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</si>
  <si>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</si>
  <si>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</si>
  <si>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学部・学科によって、修了要件は相違しない</t>
  </si>
  <si>
    <t>岩手県立大学宮古短期大学部</t>
    <rPh sb="0" eb="6">
      <t>イワ</t>
    </rPh>
    <rPh sb="6" eb="13">
      <t xml:space="preserve">ミヤコタンキダイガクブ </t>
    </rPh>
    <phoneticPr fontId="1"/>
  </si>
  <si>
    <t>文理融合データサイエンス教育プログラム</t>
    <rPh sb="0" eb="4">
      <t>ブｎ</t>
    </rPh>
    <phoneticPr fontId="1"/>
  </si>
  <si>
    <t>経営情報概論</t>
    <rPh sb="0" eb="2">
      <t xml:space="preserve">ケイエイ </t>
    </rPh>
    <rPh sb="2" eb="4">
      <t xml:space="preserve">ジョウホウガイロｎ </t>
    </rPh>
    <rPh sb="4" eb="6">
      <t xml:space="preserve">ガイロｎ </t>
    </rPh>
    <phoneticPr fontId="1"/>
  </si>
  <si>
    <t>情報社会論</t>
  </si>
  <si>
    <t>情報社会論</t>
    <rPh sb="0" eb="5">
      <t xml:space="preserve">ジョウホウシャカイロｎ </t>
    </rPh>
    <phoneticPr fontId="1"/>
  </si>
  <si>
    <t>○</t>
  </si>
  <si>
    <t>情報ネットワーク概論</t>
    <rPh sb="0" eb="2">
      <t xml:space="preserve">ジョウホウネットワーク </t>
    </rPh>
    <rPh sb="8" eb="10">
      <t xml:space="preserve">ガイロｎ </t>
    </rPh>
    <phoneticPr fontId="1"/>
  </si>
  <si>
    <t>経営情報システム論</t>
    <rPh sb="0" eb="2">
      <t xml:space="preserve">ケイエイ </t>
    </rPh>
    <rPh sb="2" eb="4">
      <t xml:space="preserve">ジョウホウシステム </t>
    </rPh>
    <rPh sb="8" eb="9">
      <t xml:space="preserve">ロｎ </t>
    </rPh>
    <phoneticPr fontId="1"/>
  </si>
  <si>
    <t>コンピュータ概論</t>
    <phoneticPr fontId="1"/>
  </si>
  <si>
    <t>経営統計学</t>
    <rPh sb="0" eb="1">
      <t xml:space="preserve">ケイエイトウケイガク </t>
    </rPh>
    <phoneticPr fontId="1"/>
  </si>
  <si>
    <t>データ分析演習</t>
    <rPh sb="3" eb="7">
      <t xml:space="preserve">ブンセキエンシュウ </t>
    </rPh>
    <phoneticPr fontId="1"/>
  </si>
  <si>
    <t>電子文書実務</t>
    <rPh sb="0" eb="4">
      <t xml:space="preserve">デンシブンショ </t>
    </rPh>
    <rPh sb="4" eb="6">
      <t xml:space="preserve">ジツム </t>
    </rPh>
    <phoneticPr fontId="1"/>
  </si>
  <si>
    <t>アプリケーション演習</t>
    <rPh sb="8" eb="10">
      <t xml:space="preserve">エンシュウ </t>
    </rPh>
    <phoneticPr fontId="1"/>
  </si>
  <si>
    <t>宮古短期大学部</t>
    <rPh sb="0" eb="7">
      <t>ミヤ</t>
    </rPh>
    <phoneticPr fontId="1"/>
  </si>
  <si>
    <t>「経営情報概論（必修２単位）」と「情報社会論（必修２単位」に加えて、
「情報ネットワーク概論（選択２単位）、経営情報システム論（選択２単位）」から１科目以上、かつ、
「コンピュータ概論（選択２単位）、経営統計学（選択２単位）、データ分析演習（選択２単位）」から１科目以上、かつ、
「電子文書実務（選択２単位）、アプリケーション演習（選択２単位）」から１科目以上を取得すること。</t>
    <rPh sb="0" eb="1">
      <t>ケイエイ</t>
    </rPh>
    <phoneticPr fontId="1"/>
  </si>
  <si>
    <t>猪股俊光</t>
    <phoneticPr fontId="1"/>
  </si>
  <si>
    <t>教育支援本部長</t>
    <rPh sb="0" eb="3">
      <t>ホンブチョウ</t>
    </rPh>
    <phoneticPr fontId="1"/>
  </si>
  <si>
    <t>猪股俊光</t>
    <rPh sb="0" eb="2">
      <t>イノマタ</t>
    </rPh>
    <phoneticPr fontId="1"/>
  </si>
  <si>
    <t>学務調整委員会、宮古短期大学部教務委員会</t>
    <rPh sb="0" eb="7">
      <t>、</t>
    </rPh>
    <phoneticPr fontId="1"/>
  </si>
  <si>
    <r>
      <t xml:space="preserve">　本プログラムの履修者が必要な単位を修得できるように、入学時オリエンテーションの期間中には、本プログラムを履修するために必要なアプリケーションソフトウェアを学生個人が所有しているノートＰＣへインストールするためのガイダンスを短期大学部生全員を対象に開催している。さらに、前期の授業開始前までに、学内のＬＭＳの利用方法のガイダンスも行い、本プログラムの履修に必要な学内情報システムの利用法について全入学生に周知している。
</t>
    </r>
    <r>
      <rPr>
        <sz val="12"/>
        <color theme="1"/>
        <rFont val="ＭＳ Ｐゴシック"/>
        <family val="3"/>
        <charset val="128"/>
        <scheme val="minor"/>
      </rPr>
      <t xml:space="preserve">
</t>
    </r>
    <rPh sb="0" eb="1">
      <t>ホンプログラムヲワケ マナビアイ カノウトシテイル ナカデハ テイドノ ガクセイヲ フクスウノ ワケ， カクグループ カンシンノ タカイ ガクセイガ チュウシントナッテ エンシュウ オコナエルヨウニ _x0000__x0000__x0001__x0008_胙_x0001__x000B_胢_x0001__x0011_胧_x0002__x001A_胴_x0001__x001F_胺_x0002_$能_x0002_*脀_x0002_0脇_x0001_4脊_x0001_;_x0000__x0002_A_x0000__x0001_E_x0000__x0002_K</t>
    </rPh>
    <rPh sb="112" eb="117">
      <t xml:space="preserve">タンキダイガクブ </t>
    </rPh>
    <rPh sb="118" eb="120">
      <t xml:space="preserve">ゼンイｎ </t>
    </rPh>
    <rPh sb="135" eb="137">
      <t xml:space="preserve">ゼンキ </t>
    </rPh>
    <rPh sb="138" eb="143">
      <t xml:space="preserve">ジュギョウカイシマエマデニ </t>
    </rPh>
    <rPh sb="147" eb="149">
      <t xml:space="preserve">ガクナイノ </t>
    </rPh>
    <rPh sb="154" eb="158">
      <t xml:space="preserve">リヨウホウホウノ </t>
    </rPh>
    <rPh sb="165" eb="166">
      <t xml:space="preserve">オコナイ， </t>
    </rPh>
    <rPh sb="168" eb="169">
      <t xml:space="preserve">ホンプログラｍヲ </t>
    </rPh>
    <rPh sb="175" eb="177">
      <t xml:space="preserve">リシュウスルノニ </t>
    </rPh>
    <rPh sb="178" eb="180">
      <t xml:space="preserve">ヒツヨウナ </t>
    </rPh>
    <rPh sb="181" eb="183">
      <t xml:space="preserve">ガクナイ </t>
    </rPh>
    <rPh sb="183" eb="185">
      <t xml:space="preserve">ジョウホウシステムノ </t>
    </rPh>
    <rPh sb="190" eb="193">
      <t xml:space="preserve">リヨウホウニ </t>
    </rPh>
    <rPh sb="197" eb="201">
      <t xml:space="preserve">ゼンニュウガクセイ </t>
    </rPh>
    <rPh sb="202" eb="204">
      <t xml:space="preserve">シュウチ </t>
    </rPh>
    <rPh sb="209" eb="211">
      <t xml:space="preserve">ヒッシュウ </t>
    </rPh>
    <phoneticPr fontId="1"/>
  </si>
  <si>
    <t>猪股俊光</t>
    <rPh sb="0" eb="2">
      <t xml:space="preserve">イノマタ </t>
    </rPh>
    <rPh sb="2" eb="4">
      <t xml:space="preserve">トシミツ </t>
    </rPh>
    <phoneticPr fontId="1"/>
  </si>
  <si>
    <t xml:space="preserve">教育支援本部長	</t>
  </si>
  <si>
    <t>公立大学法人岩手県立大学学務調整会議設置要綱</t>
    <phoneticPr fontId="1"/>
  </si>
  <si>
    <r>
      <t xml:space="preserve">　本プログラムは１年次に開講される７科目（必修２科目、選択５科目）と２年次に開講される２科目（選択２科目）からなる。選択科目の選びに方によっては、１年次のうちに本プログラムの修了要件を満たすことができる。令和３年度（本プログラム開始前年度）に該当する科目を選択した学生の実績は約80％であり、実績値としての変化は無いが、本プログラムをスタートしたことにより各科目間のつながりをより体系的に示すことができ、学生の関心度や学習意欲が高められたといえる。
　令和５年度には、２年次開講科目の履修者の増加によって本プログラム修了生の増加が期待される。さらに、令和６年度以降は、それまでの実績をもとに、さらに履修率が向上するよう学内外への本プログラムの周知と、新入生への履修指導に努めていく。
</t>
    </r>
    <r>
      <rPr>
        <sz val="12"/>
        <color rgb="FFFF0000"/>
        <rFont val="ＭＳ Ｐゴシック"/>
        <family val="3"/>
        <charset val="128"/>
      </rPr>
      <t xml:space="preserve">
</t>
    </r>
    <rPh sb="0" eb="2">
      <t>レイワカモクノ カイコウジキガ ガッカ センコウ リシュウリツ ツギノ ミコミ セイカツカガクカ セイカツデザイｎ センコウ バアイ レイワ ジョウホウカガクガイロｎ ヒッシュウ ジョウホウショリ ニュウモｎ ゼンイｎ リシュウシテイル ホンプログラムノ シュウリョウシテイル レイワ ゼンイｎ リシュウスルコトカラ リシュウリツノ コウジョウスル セイカツカガクカ ショクモツエイヨウセンコウ バアイ レイワ ネンド ジョウホウカガク ガイロｎ ヒッシュウ２タンイ ゼンイｎ リシュウシテオリ レイワ エイヨウジョウホウセンタク タンイ リシュウスルコト ホンプログラムヲシュウリョウスル ホンプログラム カイシマエノ エイヨウリシュウシャハ レイワ リシュウシャモドウテイドヲ ミコンデイル コンゴ リシュウリツノ コウジョウニ ツトメテイク リシュウリツガ セイカツカガクカ コクサイブンカガッカ ジョウホウショリ エンシュウ ゼンキ ジョウホウショリエンシュウ センタク タンイ レイワ ネンドノ リシュウリツハ ホンプログラム リョウカモク ネンド カクガッカ リシュウリツニ ミコマレル セイカツカガクカ セイカツデザイｎ センコウ ガクセイ ジョウホウショリ _x0000__x0000__x0002__x0003_芟_x0002__x0008_芢_x0004__x0010_芧_x0002__x0014_芪_x0002__x0019_芸_x0003_ 芼_x0001_$苃_x0002_(苌_x0005_1苑_x0002_:苗_x0002_?苚_x0002_C苝_x0002_G苤_x0006_T苬_x0002_Z苴_x0004_c苸
i_x0000__x0002_n_x0000__x0002_w_x0000__x0001__x0000_</t>
    </rPh>
    <rPh sb="138" eb="139">
      <t>ヤク</t>
    </rPh>
    <rPh sb="146" eb="149">
      <t>ジッセキチ</t>
    </rPh>
    <rPh sb="153" eb="155">
      <t>ヘンカ</t>
    </rPh>
    <rPh sb="156" eb="157">
      <t>ナ</t>
    </rPh>
    <rPh sb="178" eb="182">
      <t>カクカモクカン</t>
    </rPh>
    <rPh sb="190" eb="193">
      <t>タイケイテキ</t>
    </rPh>
    <rPh sb="194" eb="195">
      <t>シメ</t>
    </rPh>
    <phoneticPr fontId="1"/>
  </si>
  <si>
    <t>数理・データサイエンス・ＡＩが社会でどのように活用されているのか理解し、自らの専門分野の学びに活用することができるための基礎的素養が身につけられる。</t>
    <rPh sb="0" eb="2">
      <t xml:space="preserve">スウリ </t>
    </rPh>
    <rPh sb="15" eb="17">
      <t xml:space="preserve">シャカイデ </t>
    </rPh>
    <rPh sb="23" eb="25">
      <t xml:space="preserve">カツヨウサレテイルノカ </t>
    </rPh>
    <rPh sb="32" eb="34">
      <t xml:space="preserve">リカイシ </t>
    </rPh>
    <rPh sb="36" eb="37">
      <t xml:space="preserve">ミズカラノ </t>
    </rPh>
    <rPh sb="39" eb="43">
      <t xml:space="preserve">センモンブンヤノ </t>
    </rPh>
    <rPh sb="44" eb="45">
      <t xml:space="preserve">マナビニ </t>
    </rPh>
    <rPh sb="47" eb="49">
      <t xml:space="preserve">カツヨウスルコトガ </t>
    </rPh>
    <rPh sb="60" eb="65">
      <t xml:space="preserve">キソテキソヨウ </t>
    </rPh>
    <rPh sb="66" eb="67">
      <t xml:space="preserve">ミニツケラレル </t>
    </rPh>
    <phoneticPr fontId="1"/>
  </si>
  <si>
    <t>学務調整会議、宮古短期大学部カリキュラム検討会議、教務委員会</t>
    <rPh sb="0" eb="2">
      <t>ガクム</t>
    </rPh>
    <rPh sb="2" eb="4">
      <t>チョウセイ</t>
    </rPh>
    <rPh sb="4" eb="6">
      <t>カイギ</t>
    </rPh>
    <rPh sb="20" eb="24">
      <t>ケントウカイギ</t>
    </rPh>
    <phoneticPr fontId="1"/>
  </si>
  <si>
    <t>学務調整会議
　委員長　猪股俊光
　　宮古短期大学部教務委員長　昇高茂樹、盛岡短期大学部教務委員長　大澤朋子、
　　高等教育企画部副部長　渡部芳栄、教育支援本部　工藤真由美
　　看護学部教務委員長　内海香子、社会福祉学部教務委員長　鈴木力雄
　　ソフトウェア情報学部教務委員長　新井義和、総合政策学部教務委員長　Tee Kian Heng
　　高等教育推進センター教務委員長　高橋英也、教職教育センター　福島朋子
　  看護学研究科教務委員長　高橋有里、社会福祉学研究科教務委員長　佐藤哲郎
　　ソフトウェア情報学研究科教務委員長　高田豊雄、総合政策研究科教務委員長　倉原宗孝
宮古短期大学部　カリキュラム検討会議
　議長　鈴木将人
　　委員　松田　淳、大志田　憲、昇高茂樹、雲然祥子
宮古短期大学部　教務委員会
　委員長　昇高茂樹
　　委員　鈴木将人、岩田智、田中宣廣、谷藤真琴　</t>
    <rPh sb="289" eb="296">
      <t>ミヤコタンキダイガクブ</t>
    </rPh>
    <rPh sb="303" eb="307">
      <t>ケントウカイギ</t>
    </rPh>
    <rPh sb="309" eb="311">
      <t>ギチョウ</t>
    </rPh>
    <rPh sb="319" eb="321">
      <t>イイン</t>
    </rPh>
    <phoneticPr fontId="1"/>
  </si>
  <si>
    <t>　学務調整会議は、全学部（宮古短期大学部他、四年生学部も含む）並びに各センター（高等教育推進センター、教職教育センター）の教務責任者からなり、全学の教育課程の推進に関する事項の協議及び連絡調整のための組織である。その中では、全学科目の担当者・時間割の調整、授業アンケートの実施などを行っている。
　また、宮古短期大学部カリキュラム検討会議では「カリキュラム構成に関すること」、教務委員会では「教育の質保証のための検証及び支援に関すること」「ファカルティ・ディベロップメントに関すること」などを所掌している。学部調整会議を通じて実施した授業アンケートの結果をもとに、宮古短期大学部教務委員会にて本プログラムの改善を図っている。</t>
    <rPh sb="31" eb="32">
      <t>ナラ</t>
    </rPh>
    <rPh sb="165" eb="167">
      <t>ケントウ</t>
    </rPh>
    <rPh sb="167" eb="169">
      <t>カイギ</t>
    </rPh>
    <rPh sb="178" eb="180">
      <t>コウセイ</t>
    </rPh>
    <rPh sb="181" eb="182">
      <t>カン</t>
    </rPh>
    <rPh sb="264" eb="265">
      <t>ツウ</t>
    </rPh>
    <phoneticPr fontId="1"/>
  </si>
  <si>
    <t xml:space="preserve">　本学の学生が学科に関係なく本プログラムを履修することを、次の媒体を通じながら学内外に周知することで、本学志願者や入学者らの本プログラムへの認知度が高まるよう努めた。
　・本学Webページでの本プログラムの紹介
　・「入学案内」（受験生向けのパンフレット）での本プログラムの紹介
　・本学の広報誌（Arch 第83号）での本プログラムの紹介
　とくに、入学予定者（入試合格者）には、BYODの導入の案内とともにノートＰＣを活用した本プログラムが開始されることを伝えた。
　さらに、入学後の新入生ガイダンスにおいて、本プログラムを説明するとともに、「履修の手引き」のなかで本プログラムの目的・対象科目・修了要件などを記載している。
</t>
    <rPh sb="0" eb="3">
      <t>ニュウガクゴノゼンガクセイガゼンガクブセイ ヒッシュウカモクト クワエ， ツギノ トリクミ オコナウコトデ ホンブプログラムノ ナイヨウヲ シュウチ ホンガク ジュケンセイ ムケノ ニュウガクアンナイ ジュケンセイ ムケノ ホンプログラムノ ガイヨウヲ コウカイ カクガクブノ リシュウノ テビキ ホンプログラムノ モクテキ タイショウカモク シュウリョウジョウケｎ ヨウケｎ キサイシテイル ニュウガクジノ シンニュウセイガイダンス ホンプログラムニツイエ セツメイ ダイガクノ コウホウシデ ホンプログラムヲ ショウカイシテイル ドウニュウ</t>
    </rPh>
    <rPh sb="34" eb="35">
      <t>ツウ</t>
    </rPh>
    <phoneticPr fontId="1"/>
  </si>
  <si>
    <t xml:space="preserve">  ＬＭＳ（WebClass）を活用して、講義資料の配付や課題の提出、質問の受付・回答が行えるようにしている。また、全教員が週２回実施するオフィスアワーを活用し、授業内容についての個別指導に対応している。
　</t>
    <rPh sb="0" eb="2">
      <t>ハイチ</t>
    </rPh>
    <rPh sb="2" eb="5">
      <t xml:space="preserve">カクカモクノ </t>
    </rPh>
    <rPh sb="6" eb="9">
      <t xml:space="preserve">タントウシャハ </t>
    </rPh>
    <rPh sb="11" eb="13">
      <t xml:space="preserve">ドウイツキャンパスニ </t>
    </rPh>
    <rPh sb="19" eb="21">
      <t xml:space="preserve">セッチサレテイル </t>
    </rPh>
    <rPh sb="27" eb="29">
      <t>ネンセイ</t>
    </rPh>
    <rPh sb="29" eb="31">
      <t xml:space="preserve">ダイガク </t>
    </rPh>
    <rPh sb="32" eb="34">
      <t xml:space="preserve">ジョウキｎ </t>
    </rPh>
    <rPh sb="34" eb="36">
      <t xml:space="preserve">キョウイｎ </t>
    </rPh>
    <rPh sb="43" eb="47">
      <t xml:space="preserve">ジョウホウガクブ </t>
    </rPh>
    <rPh sb="47" eb="48">
      <t xml:space="preserve">トウ </t>
    </rPh>
    <rPh sb="48" eb="50">
      <t xml:space="preserve">ショゾク </t>
    </rPh>
    <rPh sb="58" eb="61">
      <t>ゼンキョウイン</t>
    </rPh>
    <rPh sb="62" eb="63">
      <t>シュウ</t>
    </rPh>
    <rPh sb="64" eb="65">
      <t>カイ</t>
    </rPh>
    <rPh sb="65" eb="67">
      <t>ジッシ</t>
    </rPh>
    <rPh sb="77" eb="79">
      <t>カツヨウ</t>
    </rPh>
    <phoneticPr fontId="1"/>
  </si>
  <si>
    <t>　本プログラムを構成する各科目では、全学部共通の学務システムによって履修・修得状況を、授業支援システムによって受講者毎の課題提出状況を、出席管理システムによって授業の出席状況をそれぞれ把握することができる。
　プログラムを構成する科目のうち、1年次開講科目は５科目であり終了要件を満たした学生は新入生の80名(新入生の80％)がプログラムを終了している。プログラムの終了条件を満たしていない学生においても4つのカテゴリーの内3つのカテゴリーで要件を満たしている学生が新入生の18名(18％)となっており2年次で終了条件を満たすことが期待されている。</t>
    <rPh sb="37" eb="39">
      <t xml:space="preserve">シュウトク </t>
    </rPh>
    <rPh sb="68" eb="72">
      <t>シュッセキカンリ</t>
    </rPh>
    <rPh sb="80" eb="82">
      <t>ジュギョウ</t>
    </rPh>
    <rPh sb="83" eb="87">
      <t>シュッセキジョウキョウ</t>
    </rPh>
    <rPh sb="111" eb="113">
      <t>コウセイ</t>
    </rPh>
    <rPh sb="115" eb="117">
      <t>カモク</t>
    </rPh>
    <rPh sb="122" eb="128">
      <t>ネンジカイコウカモク</t>
    </rPh>
    <rPh sb="130" eb="132">
      <t>カモク</t>
    </rPh>
    <rPh sb="135" eb="139">
      <t>シュウリョウヨウケン</t>
    </rPh>
    <rPh sb="140" eb="141">
      <t>ミ</t>
    </rPh>
    <rPh sb="144" eb="146">
      <t>ガクセイ</t>
    </rPh>
    <rPh sb="147" eb="150">
      <t>シンニュウセイ</t>
    </rPh>
    <rPh sb="153" eb="154">
      <t>メイ</t>
    </rPh>
    <rPh sb="155" eb="158">
      <t>シンニュウセイ</t>
    </rPh>
    <rPh sb="170" eb="172">
      <t>シュウリョウ</t>
    </rPh>
    <rPh sb="183" eb="187">
      <t>シュウリョウジョウケン</t>
    </rPh>
    <rPh sb="188" eb="189">
      <t>ミ</t>
    </rPh>
    <rPh sb="195" eb="197">
      <t>ガクセイ</t>
    </rPh>
    <rPh sb="211" eb="212">
      <t>ウチ</t>
    </rPh>
    <rPh sb="221" eb="223">
      <t>ヨウケン</t>
    </rPh>
    <rPh sb="224" eb="225">
      <t>ミ</t>
    </rPh>
    <rPh sb="230" eb="232">
      <t>ガクセイ</t>
    </rPh>
    <rPh sb="233" eb="236">
      <t>シンニュウセイ</t>
    </rPh>
    <rPh sb="239" eb="240">
      <t>メイ</t>
    </rPh>
    <rPh sb="252" eb="254">
      <t>ネンジ</t>
    </rPh>
    <rPh sb="255" eb="259">
      <t>シュウリョウジョウケン</t>
    </rPh>
    <rPh sb="260" eb="261">
      <t>ミ</t>
    </rPh>
    <rPh sb="266" eb="268">
      <t>キタイ</t>
    </rPh>
    <phoneticPr fontId="1"/>
  </si>
  <si>
    <t>　授業における評価方法が、課題の達成度、内容の理解に基づいている。また授業アンケートにおける「得たものが多かったですか」「到達目標は達成てきましたか」の項目を分析することにより、学生自身による理解度の自己評価を把握することができる。これらを統合的に分析することにより、学修成果の把握を行う。
　また、これらの結果を担当教員を中心に教員間で共有し、検証することで、本教育プログラムの評価・改善を行う。</t>
    <rPh sb="35" eb="37">
      <t xml:space="preserve">ジュギョウ </t>
    </rPh>
    <phoneticPr fontId="1"/>
  </si>
  <si>
    <t>　本教育プログラムを構成する授業科目について、授業アンケートを実施している。授業アンケートにおける「得たものが多かったですか」「到達目標は達成できましたか」という項目を分析することにより、学生の内容の理解度を把握する。
　令和４年度においては「得たもの」について、肯定的な評価となる6段階中上位3段階が科目平均で87％を占めている。また、「到達目標」については83％を占めている。このような情報を担当教員を中心にフィードバックすることで、学生の理解度を把握するとともに、理解度向上への改善につなげる。</t>
    <rPh sb="23" eb="25">
      <t xml:space="preserve">ジュギョウ </t>
    </rPh>
    <rPh sb="38" eb="40">
      <t xml:space="preserve">ジュギョウ </t>
    </rPh>
    <rPh sb="151" eb="155">
      <t>カモクヘイキン</t>
    </rPh>
    <rPh sb="160" eb="161">
      <t>シ</t>
    </rPh>
    <rPh sb="170" eb="174">
      <t>トウタツモクヒョウ</t>
    </rPh>
    <rPh sb="184" eb="185">
      <t>シ</t>
    </rPh>
    <phoneticPr fontId="1"/>
  </si>
  <si>
    <t>　各科目について授業アンケートには「得たものが多かったですか」「到達目標は達成できましたか」に加え、「真剣な態度で参加できましたか」も含まれている。令和4年度においては、「真剣な態度」で肯定的な評価となる6段階中上位3段階が87％を占めている。これらの結果を、本教育プログラムを構成する授業科目において、学生に伝えることで、授業の履修を推奨する。また個人情報にも配慮したうえで学生の意見を公開するほか、学ぶ内容の活用機会などを必修科目において紹介することで、推奨を強化する。</t>
    <rPh sb="8" eb="10">
      <t xml:space="preserve">ジュギョウ </t>
    </rPh>
    <rPh sb="86" eb="88">
      <t>シンケン</t>
    </rPh>
    <rPh sb="89" eb="91">
      <t>タイド</t>
    </rPh>
    <rPh sb="93" eb="96">
      <t>コウテイテキ</t>
    </rPh>
    <rPh sb="97" eb="99">
      <t>ヒョウカ</t>
    </rPh>
    <rPh sb="116" eb="117">
      <t>シ</t>
    </rPh>
    <phoneticPr fontId="1"/>
  </si>
  <si>
    <t>　　本短期大学部の卒業生の就職先は、金融・保険業、医療・福祉、製造業、建設業、情報通信業、卸・小売業、サービス業など、多業種にわたっており、卒業生には、AIをはじめとする最新技術を活用し、新たな価値やあらたな社会を創造することが求められている。本プログラムの修了生が卒業する令和６年度以降からは、企業等へのアンケートなどをもとに本プログラムを改善していく。</t>
    <phoneticPr fontId="1"/>
  </si>
  <si>
    <t>　岩手県内の高等教育機関や地方公共団体、経済・産業団体からなる「いわて高等教育地域連携プラットフォーム」による、「高等教育人材の教育及び県内定着促進に関するアンケート調査によれば、岩手県内の430事業所のうち、約７割の事業所大学等高等教育機関に求める教育プログラムとして「数理・データサイエンス・ＡＩ・ＩＴ教育」をあげている。また、本学の設立団体が示した「いわて県民計画（2019〜2028）」では、AIをはじめとする第４次産業革命技術を活用し、新たな社会を創造し、岩手県の未来をけん引する人材の育成が求められている。　このような社会的な要請に応えるべく、本プログラムの改善に努めていく。
　　</t>
    <rPh sb="0" eb="5">
      <t>コウトウキョウイクキカｎスウリヲイワテケｎ</t>
    </rPh>
    <rPh sb="122" eb="124">
      <t xml:space="preserve">ダイガク </t>
    </rPh>
    <rPh sb="125" eb="127">
      <t xml:space="preserve">タンダイ </t>
    </rPh>
    <rPh sb="128" eb="130">
      <t xml:space="preserve">コウセン </t>
    </rPh>
    <phoneticPr fontId="1"/>
  </si>
  <si>
    <t xml:space="preserve">本プログラムを構成する必修科目である「経営情報概論（１年前期）」ならびに「情報社会論（１年後期）」において、数理・データサイエンス・AIを学ぶことについて、社会での実例等をまじえながら講義することで、「学ぶことの楽しさ」や「学ぶことの意義」の理解の向上に努めている。今後も授業アンケート等を活用しながらプログラムの改善を続けていく。
</t>
    <rPh sb="0" eb="2">
      <t>コウセイスルジュゴウヲ</t>
    </rPh>
    <rPh sb="136" eb="138">
      <t xml:space="preserve">ジュギョウ </t>
    </rPh>
    <phoneticPr fontId="1"/>
  </si>
  <si>
    <t>「わかりやすい」授業の評価として、授業アンケートの「総合的に考えてこの授業に満足できましたか」を参考として取り上げると、令和４年度において「満足」について、肯定的な評価となる6段階中上位3段階が科目平均で85％を占めており満足度の高いものとなっておりわかりやすい授業運営が行われてると推測される。今後とも授業アンケート等を参考にしながら「分かりやすい」授業となるように改善に努めていく。</t>
    <rPh sb="11" eb="13">
      <t>ヒョウカ</t>
    </rPh>
    <rPh sb="17" eb="19">
      <t xml:space="preserve">ジュギョウ </t>
    </rPh>
    <rPh sb="26" eb="29">
      <t>ソウゴウテキ</t>
    </rPh>
    <rPh sb="30" eb="31">
      <t>カンガ</t>
    </rPh>
    <rPh sb="35" eb="37">
      <t>ジュギョウ</t>
    </rPh>
    <rPh sb="38" eb="40">
      <t>マンゾク</t>
    </rPh>
    <rPh sb="48" eb="50">
      <t>サンコウ</t>
    </rPh>
    <rPh sb="53" eb="54">
      <t>ト</t>
    </rPh>
    <rPh sb="55" eb="56">
      <t>ア</t>
    </rPh>
    <rPh sb="60" eb="62">
      <t>レイワ</t>
    </rPh>
    <rPh sb="63" eb="65">
      <t>ネンド</t>
    </rPh>
    <rPh sb="70" eb="72">
      <t>マンゾク</t>
    </rPh>
    <rPh sb="78" eb="81">
      <t>コウテイテキ</t>
    </rPh>
    <rPh sb="82" eb="84">
      <t>ヒョウカ</t>
    </rPh>
    <rPh sb="88" eb="91">
      <t>ダンカイチュウ</t>
    </rPh>
    <rPh sb="91" eb="93">
      <t>ジョウイ</t>
    </rPh>
    <rPh sb="94" eb="96">
      <t>ダンカイ</t>
    </rPh>
    <rPh sb="97" eb="101">
      <t>カモクヘイキン</t>
    </rPh>
    <rPh sb="106" eb="107">
      <t>シ</t>
    </rPh>
    <rPh sb="111" eb="114">
      <t>マンゾクド</t>
    </rPh>
    <rPh sb="115" eb="116">
      <t>タカ</t>
    </rPh>
    <rPh sb="131" eb="135">
      <t>ジュギョウウンエイ</t>
    </rPh>
    <rPh sb="136" eb="137">
      <t>オコナ</t>
    </rPh>
    <rPh sb="142" eb="144">
      <t>スイソク</t>
    </rPh>
    <rPh sb="148" eb="150">
      <t>コンゴ</t>
    </rPh>
    <rPh sb="152" eb="154">
      <t xml:space="preserve">ジュギョウ </t>
    </rPh>
    <phoneticPr fontId="1"/>
  </si>
  <si>
    <t>・ビッグデータ、IoT、AI、ロボット　「経営情報概論」（第15回）
・第4次産業革命、Society 5.0、データ駆動型社会　「経営情報概論」（第15回）
・複数技術を組み合わせたAIサービス　「情報社会論」（第８回）</t>
    <phoneticPr fontId="1"/>
  </si>
  <si>
    <t xml:space="preserve">・データ・AI活用領域の広がり(生産、消費、文化活動など)　「情報社会論」（第10回）
</t>
    <phoneticPr fontId="1"/>
  </si>
  <si>
    <t>・調査データ、実験データ、人の行動ログデータ、機械の稼働ログデータなど　「情報社会論」（第９回）
・データ作成(ビッグデータとアノテーション)　「情報社会論」（第９回）
・データのオープン化(オープンデータ)　「情報社会論」（第９回）</t>
    <phoneticPr fontId="1"/>
  </si>
  <si>
    <t>・データ解析:予測、グルーピング、パターン発見、最適化、シミュレーション・データ同化など　
　「情報社会論」（第11回）
・データ可視化:複合グラフ、2軸グラフ、多次元の可視化、関係性の可視化、地図上の可視化、
　挙動・軌跡の可視化、リアルタイム可視化など　「情報社会論」（第12回）</t>
    <phoneticPr fontId="1"/>
  </si>
  <si>
    <t>・データサイエンスのサイクル(課題抽出と定式化、データの取得・管理・加工、
 　探索的データ解析、データ解析と推論、結果の共有・伝達、課題解決に向けた提案)
　　「情報社会論」（第12回）</t>
    <phoneticPr fontId="1"/>
  </si>
  <si>
    <t xml:space="preserve">
・AI等を活用した新しいビジネスモデル(シェアリングエコノミー、商品のレコメンデーションなど)
　「経営情報概論」（第15回）、 「情報社会論」（第６回） 
・AI最新技術の活用例(深層生成モデル、敵対的生成ネットワーク、強化学習、転移学習など)
　「情報社会論」（第６回）
</t>
    <phoneticPr fontId="1"/>
  </si>
  <si>
    <t>・ELSI(Ethical, Legal and Social Issues)
　 「情報ネットワーク概論」（第14回）、「経営情報システム論」（第14回）
・個人情報保護、EU一般データ保護規則(GDPR)、忘れられる権利、オプトアウト
　　「情報ネットワーク概論」（第14回）、「経営情報システム論」（第14回）
・データ倫理:データのねつ造、改ざん、盗用、プライバシー保護
　　「情報ネットワーク概論」（第14回）、「経営情報システム論」（第14回）
・データバイアス、アルゴリズムバイアス
　　「情報ネットワーク概論」（第14回）、「経営情報システム論」（第14回）
・データ・AI活用における負の事例紹介
　　「情報ネットワーク概論」（第14回）、「経営情報システム論」（第14回）</t>
    <rPh sb="51" eb="53">
      <t>ジョウホウ</t>
    </rPh>
    <rPh sb="59" eb="61">
      <t>ガイロン</t>
    </rPh>
    <rPh sb="70" eb="74">
      <t>ケイエイジョウホウ</t>
    </rPh>
    <rPh sb="78" eb="79">
      <t>ロン</t>
    </rPh>
    <phoneticPr fontId="1"/>
  </si>
  <si>
    <t>・情報セキュリティ:機密性、完全性、可用性
　　「情報ネットワーク概論」（第14回）、「経営情報システム論」（第14回）
・匿名加工情報、暗号化、パスワード、悪意ある情報搾取
　　「情報ネットワーク概論」（第14回）、「経営情報システム論」（第14回）
・情報漏洩等によるセキュリティ事故の事例紹介
　　「情報ネットワーク概論」（第14回）、「経営情報システム論」（第14回）</t>
    <rPh sb="133" eb="134">
      <t>モ</t>
    </rPh>
    <rPh sb="135" eb="136">
      <t>ダ</t>
    </rPh>
    <rPh sb="138" eb="140">
      <t>フンシツ</t>
    </rPh>
    <rPh sb="141" eb="143">
      <t>コウゲキ</t>
    </rPh>
    <rPh sb="146" eb="150">
      <t>ジョウホウロウエイ</t>
    </rPh>
    <phoneticPr fontId="1"/>
  </si>
  <si>
    <t xml:space="preserve">・データ表現(棒グラフ、折線グラフ、散布図、ヒートマップ)
　　「コンピュータ概論」（第13回、第14回）、「アプリケーション演習」（第６回）、
　　「電子文書実務」(第７回、第１２回)、「経営統計学」第２回、
　　「データ分析演習」（第６回、第10回～第13回）
・データの比較(条件をそろえた比較、処理の前後での比較、A/Bテスト)　
　　「データ分析演習」（第10回～第13回）
・優れた可視化事例の紹介(可視化することによって新たな気づきがあった事例など)
　　「コンピュータ概論」（第13回、第14回）
</t>
    <rPh sb="27" eb="29">
      <t>セツメイ</t>
    </rPh>
    <rPh sb="75" eb="76">
      <t>カイ</t>
    </rPh>
    <rPh sb="77" eb="78">
      <t>ダイ</t>
    </rPh>
    <rPh sb="115" eb="116">
      <t>カイ</t>
    </rPh>
    <rPh sb="117" eb="118">
      <t>ダイ</t>
    </rPh>
    <rPh sb="158" eb="159">
      <t>カイ</t>
    </rPh>
    <rPh sb="200" eb="201">
      <t>カイカイダイ</t>
    </rPh>
    <phoneticPr fontId="1"/>
  </si>
  <si>
    <t>・データの集計(和、平均)　「コンピュータ概論」（第13回、第14回）、「電子文書実務」(第７回、第12回)、
　「経営統計学」（第３回）、「データ分析演習」（第３回）
・データの並び替え、ランキング　「データ分析演習」（第５回）
・データ解析ツール(スプレッドシート)　　「アプリケーション演習」（第７回）</t>
    <rPh sb="56" eb="57">
      <t>カイ</t>
    </rPh>
    <rPh sb="58" eb="59">
      <t>ダイ</t>
    </rPh>
    <rPh sb="75" eb="76">
      <t>カイ</t>
    </rPh>
    <rPh sb="77" eb="78">
      <t>ダイ</t>
    </rPh>
    <phoneticPr fontId="1"/>
  </si>
  <si>
    <t>・データの種類(量的変数、質的変数)
　　「コンピュータ概論」（第13回、第14回）、「データ分析演習」（第12回）
・データの分布(ヒストグラム)と代表値(平均値、中央値、最頻値)
　　「コンピュータ概論」（第13回、第14回）、「経営統計学」（第２回、第３回、第７回）、
　　「データ分析演習」（第３回）
・代表値の性質の違い(実社会では平均値=最頻値でないことが多い)
　　「経営統計学」（第２回、第３回、第７回）、「データ分析演習」（第３回）
・データのばらつき(分散、標準偏差、偏差値)
　　「経営統計学」（第４回～第６回）、「データ分析演習」（第４回）
・観測データに含まれる誤差の扱い　　「経営統計学」（第７回～第９回）
・相関と因果(相関係数、擬似相関、交絡)
　　「コンピュータ概論」（第13、第14回）、「データ分析演習」（第６回、第９回）
・クロス集計表、分割表、相関係数行列、散布図行列　「データ分析演習」（第12回、第13回）</t>
    <rPh sb="37" eb="38">
      <t>カイ</t>
    </rPh>
    <rPh sb="39" eb="40">
      <t>ダイ</t>
    </rPh>
    <rPh sb="95" eb="96">
      <t>カイ</t>
    </rPh>
    <rPh sb="97" eb="98">
      <t>ダイ</t>
    </rPh>
    <rPh sb="162" eb="164">
      <t>セイシツ</t>
    </rPh>
    <rPh sb="411" eb="412">
      <t>ダイ</t>
    </rPh>
    <phoneticPr fontId="1"/>
  </si>
  <si>
    <t>　本プログラムを構成する各学科の科目については、時間割の調整をして、同一時限に他科目との重複開講を避けることで、希望する学生全員が受講できるようにしている。具体的には、必修科目である「経営情報概論、情報社会論」に加えて、選択科目である「情報ネットワーク概論、経営情報システム論、アプリケーション演習」などはいずれも希望する学生が履修できるよう時間割や使用する教室を調整している。
　　　　</t>
    <rPh sb="0" eb="4">
      <t>キバンキョウイク</t>
    </rPh>
    <rPh sb="12" eb="13">
      <t xml:space="preserve">カク </t>
    </rPh>
    <rPh sb="13" eb="15">
      <t xml:space="preserve">ガッカノ </t>
    </rPh>
    <rPh sb="16" eb="18">
      <t xml:space="preserve">カモク </t>
    </rPh>
    <rPh sb="25" eb="27">
      <t xml:space="preserve">キボウスル </t>
    </rPh>
    <rPh sb="29" eb="31">
      <t xml:space="preserve">ガクセイ </t>
    </rPh>
    <rPh sb="31" eb="33">
      <t xml:space="preserve">ゼンイｎ </t>
    </rPh>
    <rPh sb="37" eb="40">
      <t xml:space="preserve">ジカンワリノ </t>
    </rPh>
    <rPh sb="41" eb="43">
      <t xml:space="preserve">チョウセイヲ </t>
    </rPh>
    <rPh sb="51" eb="53">
      <t xml:space="preserve">ドウイツ </t>
    </rPh>
    <rPh sb="53" eb="55">
      <t xml:space="preserve">ジゲンニ </t>
    </rPh>
    <rPh sb="56" eb="57">
      <t xml:space="preserve">タ </t>
    </rPh>
    <rPh sb="57" eb="59">
      <t xml:space="preserve">カモク </t>
    </rPh>
    <rPh sb="61" eb="65">
      <t xml:space="preserve">チョウフクカイコウヲ </t>
    </rPh>
    <rPh sb="66" eb="67">
      <t xml:space="preserve">サケルコトデ </t>
    </rPh>
    <rPh sb="78" eb="81">
      <t>グタイテキニハ _x0000__x0000__x0004__x0008__x000C_</t>
    </rPh>
    <phoneticPr fontId="1"/>
  </si>
  <si>
    <r>
      <rPr>
        <sz val="12"/>
        <color theme="1"/>
        <rFont val="ＭＳ Ｐゴシック"/>
        <family val="3"/>
        <charset val="128"/>
      </rPr>
      <t>　本プログラムは１年次に開講される７科目（必修２科目、選択５科目）と２年次に開講される２科目（選択２科目）からなる。選択科目の選び方によっては、１年次のうちに本プログラムの修了要件を満たすことができる。実際に令和４年度には１年生の約</t>
    </r>
    <r>
      <rPr>
        <sz val="12"/>
        <color theme="1"/>
        <rFont val="ＭＳ Ｐゴシック (本文)"/>
        <family val="3"/>
        <charset val="128"/>
      </rPr>
      <t>80</t>
    </r>
    <r>
      <rPr>
        <sz val="12"/>
        <color theme="1"/>
        <rFont val="ＭＳ Ｐゴシック"/>
        <family val="3"/>
        <charset val="128"/>
      </rPr>
      <t>%が本プログラムを修了している。令和５年度には、２年次の開講科目を取得することによって本プログラムを修了する学生も出てくることから履修率のさらなる向上が見込まれる。令和６年度以降では、本プログラムの内容や計画的な履修方法についての周知を徹底していき</t>
    </r>
    <r>
      <rPr>
        <sz val="12"/>
        <color theme="1"/>
        <rFont val="ＭＳ Ｐゴシック (本文)"/>
        <family val="3"/>
        <charset val="128"/>
      </rPr>
      <t>100%</t>
    </r>
    <r>
      <rPr>
        <sz val="12"/>
        <color theme="1"/>
        <rFont val="ＭＳ Ｐゴシック"/>
        <family val="3"/>
        <charset val="128"/>
      </rPr>
      <t>を目指す。</t>
    </r>
    <r>
      <rPr>
        <sz val="12"/>
        <color theme="1"/>
        <rFont val="ＭＳ Ｐゴシック (本文)"/>
        <family val="3"/>
        <charset val="128"/>
      </rPr>
      <t/>
    </r>
    <rPh sb="0" eb="1">
      <t>ホンプログラムハレイワ ネンド セイカツカガクカ セイカツデザイｎ センコウ ガクセイ ジョウホウカガク ガイロｎ ジョウホウショリエンシュウ ネンジノ ヒッシュウカモク リシュウリツハ レイワ ネンド ヨテイデアル セイカツカガク ショクモツ エイヨウセンコウ ガクセイニツイテハ ネンジノ ジョウホウカガクガイロｎ ヒッシュウカモク リシュウ シュウリョウヨウケンヲサクセイトチュウ レイワ リシュウリツヲ カキナオス ホンプログラムヲ_x0000__x0000__x0001__x0008_胑_x0002__x000C_胔_x0002__x0010_胘_x0005__x0019_胝_x0002_"胣_x0002_'胦_x0002_,胺_x0004_5胾_x0002_:脃_x0006_H脏_x0002_M脒_x0004_V脜_x0003_^脧_x0002_b脪_x0002_f脵_x0002_m脻_x0004_u脿_x0002_{腁_x0004_</t>
    </rPh>
    <rPh sb="175" eb="176">
      <t>デ</t>
    </rPh>
    <rPh sb="247" eb="249">
      <t>メザ</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</si>
</sst>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5">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000000"/>
      <name val="ＭＳ Ｐゴシック"/>
      <family val="2"/>
      <charset val="128"/>
      <scheme val="minor"/>
    </font>
    <font>
      <sz val="12"/>
      <color rgb="FFFF0000"/>
      <name val="ＭＳ Ｐゴシック"/>
      <family val="3"/>
      <charset val="128"/>
    </font>
    <font>
      <sz val="12"/>
      <color theme="1"/>
      <name val="ＭＳ Ｐゴシック"/>
      <family val="3"/>
      <charset val="128"/>
    </font>
    <font>
      <sz val="12"/>
      <color theme="1"/>
      <name val="ＭＳ Ｐゴシック (本文)"/>
      <family val="3"/>
      <charset val="128"/>
    </font>
  </fonts>
  <fills count="3">
    <fill>
      <patternFill patternType="none"/>
    </fill>
    <fill>
      <patternFill patternType="gray125"/>
    </fill>
    <fill>
      <patternFill patternType="solid">
        <fgColor theme="0" tint="-4.9989318521683403E-2"/>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diagonalUp="1">
      <left style="dotted">
        <color auto="1"/>
      </left>
      <right/>
      <top style="thin">
        <color auto="1"/>
      </top>
      <bottom style="hair">
        <color auto="1"/>
      </bottom>
      <diagonal style="thin">
        <color auto="1"/>
      </diagonal>
    </border>
    <border diagonalUp="1">
      <left style="hair">
        <color auto="1"/>
      </left>
      <right style="thin">
        <color auto="1"/>
      </right>
      <top style="thin">
        <color auto="1"/>
      </top>
      <bottom style="hair">
        <color auto="1"/>
      </bottom>
      <diagonal style="thin">
        <color auto="1"/>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5" xfId="2" applyFont="1" applyFill="1" applyBorder="1" applyAlignment="1">
      <alignment vertical="center" shrinkToFit="1"/>
    </xf>
    <xf numFmtId="0" fontId="5" fillId="0" borderId="0" xfId="0" applyFont="1" applyAlignment="1">
      <alignment horizontal="left" vertical="center"/>
    </xf>
    <xf numFmtId="0" fontId="2" fillId="0" borderId="1" xfId="0" applyFont="1" applyBorder="1" applyAlignment="1">
      <alignment horizontal="left" vertical="center"/>
    </xf>
    <xf numFmtId="38" fontId="2" fillId="0" borderId="61" xfId="2" applyFont="1" applyFill="1" applyBorder="1" applyAlignment="1">
      <alignment vertical="center" shrinkToFit="1"/>
    </xf>
    <xf numFmtId="38" fontId="2" fillId="0" borderId="62" xfId="2" applyFont="1" applyFill="1" applyBorder="1" applyAlignment="1">
      <alignment vertical="center" shrinkToFit="1"/>
    </xf>
    <xf numFmtId="9" fontId="2" fillId="0" borderId="14" xfId="0" applyNumberFormat="1"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11" fillId="0" borderId="34" xfId="0" applyFont="1" applyBorder="1" applyAlignment="1">
      <alignment vertical="center" shrinkToFit="1"/>
    </xf>
    <xf numFmtId="0" fontId="11" fillId="0" borderId="36" xfId="0" applyFont="1" applyBorder="1" applyAlignment="1">
      <alignment vertical="center" shrinkToFit="1"/>
    </xf>
    <xf numFmtId="0" fontId="11"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xf>
    <xf numFmtId="0" fontId="2" fillId="0" borderId="39" xfId="0" applyFont="1" applyBorder="1" applyAlignment="1">
      <alignment horizontal="left" vertical="center" wrapTex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18"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xf>
    <xf numFmtId="0" fontId="2" fillId="0" borderId="35" xfId="0" applyFont="1" applyBorder="1" applyAlignment="1">
      <alignment vertical="center" wrapTex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2" xfId="0" applyFont="1" applyBorder="1" applyAlignment="1">
      <alignment vertical="top" wrapText="1" shrinkToFit="1"/>
    </xf>
    <xf numFmtId="0" fontId="2" fillId="0" borderId="3" xfId="0" applyFont="1" applyBorder="1" applyAlignment="1">
      <alignment vertical="top" wrapText="1" shrinkToFit="1"/>
    </xf>
    <xf numFmtId="0" fontId="2" fillId="0" borderId="4" xfId="0" applyFont="1" applyBorder="1" applyAlignment="1">
      <alignment vertical="top" wrapText="1" shrinkToFi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3" fillId="0" borderId="7" xfId="0" applyFont="1" applyBorder="1" applyAlignment="1">
      <alignment horizontal="left" vertical="top" wrapTex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B1" zoomScaleNormal="100" zoomScaleSheetLayoutView="100" workbookViewId="0">
      <selection activeCell="B1" sqref="B1"/>
    </sheetView>
  </sheetViews>
  <sheetFormatPr defaultColWidth="9" defaultRowHeight="18.75" customHeight="1"/>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09" t="s">
        <v>12</v>
      </c>
      <c r="S1" s="109"/>
      <c r="T1" s="2" t="s">
        <v>110</v>
      </c>
    </row>
    <row r="2" spans="1:22" ht="18.75" customHeight="1">
      <c r="B2" s="33" t="s">
        <v>109</v>
      </c>
      <c r="C2" s="99" t="s">
        <v>128</v>
      </c>
      <c r="D2" s="100"/>
      <c r="E2" s="100"/>
      <c r="F2" s="100"/>
      <c r="G2" s="100"/>
      <c r="H2" s="100"/>
      <c r="I2" s="101"/>
      <c r="J2" s="34"/>
      <c r="K2" s="6"/>
      <c r="L2" s="6"/>
      <c r="M2" s="6"/>
      <c r="N2" s="6"/>
      <c r="O2" s="6"/>
      <c r="P2" s="6"/>
      <c r="Q2" s="6"/>
      <c r="R2" s="6"/>
      <c r="S2" s="6"/>
    </row>
    <row r="3" spans="1:22" ht="18.75" customHeight="1">
      <c r="B3" s="33" t="s">
        <v>103</v>
      </c>
      <c r="C3" s="99" t="s">
        <v>129</v>
      </c>
      <c r="D3" s="100"/>
      <c r="E3" s="100"/>
      <c r="F3" s="100"/>
      <c r="G3" s="100"/>
      <c r="H3" s="100"/>
      <c r="I3" s="101"/>
      <c r="J3" s="34"/>
      <c r="K3" s="6"/>
      <c r="L3" s="6"/>
      <c r="M3" s="6"/>
      <c r="N3" s="6"/>
      <c r="O3" s="6"/>
      <c r="P3" s="6"/>
      <c r="Q3" s="6"/>
      <c r="R3" s="6"/>
      <c r="S3" s="6"/>
    </row>
    <row r="4" spans="1:22" ht="15" customHeight="1">
      <c r="K4" s="34"/>
      <c r="L4" s="35"/>
      <c r="M4" s="35"/>
      <c r="N4" s="35"/>
      <c r="O4" s="35"/>
      <c r="P4" s="35"/>
      <c r="Q4" s="35"/>
      <c r="R4" s="35"/>
      <c r="S4" s="35"/>
    </row>
    <row r="5" spans="1:22" ht="18" customHeight="1">
      <c r="A5" s="113" t="s">
        <v>39</v>
      </c>
      <c r="B5" s="113"/>
      <c r="C5" s="113"/>
      <c r="D5" s="113"/>
      <c r="E5" s="113"/>
      <c r="F5" s="113"/>
      <c r="G5" s="113"/>
      <c r="H5" s="113"/>
      <c r="I5" s="113"/>
      <c r="J5" s="113"/>
      <c r="K5" s="113"/>
      <c r="L5" s="113"/>
      <c r="M5" s="113"/>
      <c r="N5" s="113"/>
      <c r="O5" s="113"/>
      <c r="P5" s="113"/>
      <c r="Q5" s="113"/>
      <c r="R5" s="113"/>
      <c r="S5" s="113"/>
    </row>
    <row r="6" spans="1:22" ht="15" customHeight="1">
      <c r="B6" s="3"/>
      <c r="C6" s="3"/>
      <c r="D6" s="3"/>
      <c r="E6" s="3"/>
      <c r="F6" s="3"/>
      <c r="G6" s="3"/>
      <c r="H6" s="3"/>
      <c r="I6" s="3"/>
      <c r="J6" s="3"/>
      <c r="K6" s="3"/>
      <c r="L6" s="3"/>
      <c r="M6" s="3"/>
      <c r="N6" s="3"/>
      <c r="O6" s="3"/>
      <c r="P6" s="3"/>
      <c r="Q6" s="3"/>
      <c r="R6" s="3"/>
      <c r="S6" s="3"/>
    </row>
    <row r="7" spans="1:22" ht="18" customHeight="1">
      <c r="A7" s="1" t="s">
        <v>125</v>
      </c>
      <c r="C7" s="3"/>
      <c r="J7" s="36" t="s">
        <v>108</v>
      </c>
      <c r="K7" s="123" t="s">
        <v>127</v>
      </c>
      <c r="L7" s="124"/>
      <c r="M7" s="124"/>
      <c r="N7" s="124"/>
      <c r="O7" s="124"/>
      <c r="P7" s="124"/>
      <c r="Q7" s="124"/>
      <c r="R7" s="124"/>
      <c r="S7" s="125"/>
    </row>
    <row r="8" spans="1:22" ht="6" customHeight="1">
      <c r="B8" s="3"/>
      <c r="C8" s="3"/>
      <c r="D8" s="3"/>
      <c r="E8" s="3"/>
      <c r="F8" s="3"/>
      <c r="G8" s="3"/>
      <c r="H8" s="3"/>
      <c r="I8" s="3"/>
      <c r="J8" s="3"/>
      <c r="K8" s="10"/>
      <c r="L8" s="3"/>
      <c r="M8" s="3"/>
      <c r="N8" s="3"/>
      <c r="O8" s="3"/>
      <c r="P8" s="3"/>
      <c r="Q8" s="3"/>
      <c r="R8" s="3"/>
      <c r="S8" s="3"/>
    </row>
    <row r="9" spans="1:22" ht="18" customHeight="1">
      <c r="B9" s="87"/>
      <c r="C9" s="88"/>
      <c r="D9" s="88"/>
      <c r="E9" s="88"/>
      <c r="F9" s="88"/>
      <c r="G9" s="88"/>
      <c r="H9" s="88"/>
      <c r="I9" s="88"/>
      <c r="J9" s="88"/>
      <c r="K9" s="88"/>
      <c r="L9" s="88"/>
      <c r="M9" s="88"/>
      <c r="N9" s="88"/>
      <c r="O9" s="88"/>
      <c r="P9" s="88"/>
      <c r="Q9" s="88"/>
      <c r="R9" s="88"/>
      <c r="S9" s="89"/>
    </row>
    <row r="10" spans="1:22" ht="18" customHeight="1">
      <c r="B10" s="90"/>
      <c r="C10" s="91"/>
      <c r="D10" s="91"/>
      <c r="E10" s="91"/>
      <c r="F10" s="91"/>
      <c r="G10" s="91"/>
      <c r="H10" s="91"/>
      <c r="I10" s="91"/>
      <c r="J10" s="91"/>
      <c r="K10" s="91"/>
      <c r="L10" s="91"/>
      <c r="M10" s="91"/>
      <c r="N10" s="91"/>
      <c r="O10" s="91"/>
      <c r="P10" s="91"/>
      <c r="Q10" s="91"/>
      <c r="R10" s="91"/>
      <c r="S10" s="92"/>
    </row>
    <row r="11" spans="1:22" ht="6" customHeight="1">
      <c r="B11" s="3"/>
      <c r="C11" s="3"/>
      <c r="D11" s="3"/>
      <c r="E11" s="3"/>
      <c r="F11" s="3"/>
      <c r="G11" s="3"/>
      <c r="H11" s="3"/>
      <c r="I11" s="3"/>
      <c r="J11" s="3"/>
      <c r="K11" s="10"/>
      <c r="L11" s="3"/>
      <c r="M11" s="3"/>
      <c r="N11" s="3"/>
      <c r="O11" s="3"/>
      <c r="P11" s="3"/>
      <c r="Q11" s="3"/>
      <c r="R11" s="3"/>
      <c r="S11" s="3"/>
    </row>
    <row r="12" spans="1:22" ht="18" customHeight="1">
      <c r="A12" s="1" t="s">
        <v>112</v>
      </c>
      <c r="B12" s="3"/>
      <c r="C12" s="3"/>
      <c r="D12" s="34"/>
      <c r="E12" s="34"/>
      <c r="F12" s="34"/>
      <c r="G12" s="34"/>
      <c r="H12" s="34"/>
      <c r="I12" s="34"/>
      <c r="J12" s="34"/>
      <c r="K12" s="37"/>
      <c r="L12" s="37"/>
      <c r="M12" s="37"/>
      <c r="N12" s="37"/>
      <c r="O12" s="37"/>
      <c r="P12" s="37"/>
      <c r="Q12" s="37"/>
      <c r="R12" s="37"/>
      <c r="S12" s="37"/>
    </row>
    <row r="13" spans="1:22" ht="18" customHeight="1">
      <c r="B13" s="114" t="s">
        <v>142</v>
      </c>
      <c r="C13" s="115"/>
      <c r="D13" s="115"/>
      <c r="E13" s="115"/>
      <c r="F13" s="115"/>
      <c r="G13" s="115"/>
      <c r="H13" s="115"/>
      <c r="I13" s="115"/>
      <c r="J13" s="115"/>
      <c r="K13" s="115"/>
      <c r="L13" s="115"/>
      <c r="M13" s="115"/>
      <c r="N13" s="115"/>
      <c r="O13" s="115"/>
      <c r="P13" s="115"/>
      <c r="Q13" s="115"/>
      <c r="R13" s="115"/>
      <c r="S13" s="116"/>
      <c r="V13" s="1" t="s">
        <v>104</v>
      </c>
    </row>
    <row r="14" spans="1:22" ht="18" customHeight="1">
      <c r="B14" s="117"/>
      <c r="C14" s="118"/>
      <c r="D14" s="118"/>
      <c r="E14" s="118"/>
      <c r="F14" s="118"/>
      <c r="G14" s="118"/>
      <c r="H14" s="118"/>
      <c r="I14" s="118"/>
      <c r="J14" s="118"/>
      <c r="K14" s="118"/>
      <c r="L14" s="118"/>
      <c r="M14" s="118"/>
      <c r="N14" s="118"/>
      <c r="O14" s="118"/>
      <c r="P14" s="118"/>
      <c r="Q14" s="118"/>
      <c r="R14" s="118"/>
      <c r="S14" s="119"/>
      <c r="V14" s="1" t="s">
        <v>111</v>
      </c>
    </row>
    <row r="15" spans="1:22" ht="18" customHeight="1">
      <c r="B15" s="117"/>
      <c r="C15" s="118"/>
      <c r="D15" s="118"/>
      <c r="E15" s="118"/>
      <c r="F15" s="118"/>
      <c r="G15" s="118"/>
      <c r="H15" s="118"/>
      <c r="I15" s="118"/>
      <c r="J15" s="118"/>
      <c r="K15" s="118"/>
      <c r="L15" s="118"/>
      <c r="M15" s="118"/>
      <c r="N15" s="118"/>
      <c r="O15" s="118"/>
      <c r="P15" s="118"/>
      <c r="Q15" s="118"/>
      <c r="R15" s="118"/>
      <c r="S15" s="119"/>
      <c r="V15" s="1" t="s">
        <v>124</v>
      </c>
    </row>
    <row r="16" spans="1:22" ht="18" customHeight="1">
      <c r="B16" s="117"/>
      <c r="C16" s="118"/>
      <c r="D16" s="118"/>
      <c r="E16" s="118"/>
      <c r="F16" s="118"/>
      <c r="G16" s="118"/>
      <c r="H16" s="118"/>
      <c r="I16" s="118"/>
      <c r="J16" s="118"/>
      <c r="K16" s="118"/>
      <c r="L16" s="118"/>
      <c r="M16" s="118"/>
      <c r="N16" s="118"/>
      <c r="O16" s="118"/>
      <c r="P16" s="118"/>
      <c r="Q16" s="118"/>
      <c r="R16" s="118"/>
      <c r="S16" s="119"/>
      <c r="V16" s="1" t="s">
        <v>126</v>
      </c>
    </row>
    <row r="17" spans="1:19" ht="18" customHeight="1">
      <c r="B17" s="117"/>
      <c r="C17" s="118"/>
      <c r="D17" s="118"/>
      <c r="E17" s="118"/>
      <c r="F17" s="118"/>
      <c r="G17" s="118"/>
      <c r="H17" s="118"/>
      <c r="I17" s="118"/>
      <c r="J17" s="118"/>
      <c r="K17" s="118"/>
      <c r="L17" s="118"/>
      <c r="M17" s="118"/>
      <c r="N17" s="118"/>
      <c r="O17" s="118"/>
      <c r="P17" s="118"/>
      <c r="Q17" s="118"/>
      <c r="R17" s="118"/>
      <c r="S17" s="119"/>
    </row>
    <row r="18" spans="1:19" ht="18" customHeight="1">
      <c r="B18" s="120"/>
      <c r="C18" s="121"/>
      <c r="D18" s="121"/>
      <c r="E18" s="121"/>
      <c r="F18" s="121"/>
      <c r="G18" s="121"/>
      <c r="H18" s="121"/>
      <c r="I18" s="121"/>
      <c r="J18" s="121"/>
      <c r="K18" s="121"/>
      <c r="L18" s="121"/>
      <c r="M18" s="121"/>
      <c r="N18" s="121"/>
      <c r="O18" s="121"/>
      <c r="P18" s="121"/>
      <c r="Q18" s="121"/>
      <c r="R18" s="121"/>
      <c r="S18" s="122"/>
    </row>
    <row r="19" spans="1:19" ht="7.5" customHeight="1">
      <c r="B19" s="3"/>
      <c r="C19" s="3"/>
      <c r="D19" s="3"/>
      <c r="E19" s="3"/>
      <c r="F19" s="3"/>
      <c r="G19" s="3"/>
      <c r="H19" s="3"/>
      <c r="I19" s="3"/>
      <c r="J19" s="3"/>
      <c r="K19" s="3"/>
      <c r="L19" s="3"/>
      <c r="M19" s="3"/>
      <c r="N19" s="3"/>
      <c r="O19" s="3"/>
      <c r="P19" s="3"/>
      <c r="Q19" s="3"/>
      <c r="R19" s="3"/>
      <c r="S19" s="3"/>
    </row>
    <row r="20" spans="1:19" ht="20.100000000000001" customHeight="1">
      <c r="B20" s="1" t="s">
        <v>113</v>
      </c>
      <c r="C20" s="99">
        <v>10</v>
      </c>
      <c r="D20" s="101"/>
      <c r="E20" s="38" t="s">
        <v>96</v>
      </c>
      <c r="G20" s="10"/>
      <c r="H20" s="3"/>
      <c r="I20" s="3"/>
      <c r="J20" s="34" t="s">
        <v>122</v>
      </c>
      <c r="K20" s="110" t="s">
        <v>126</v>
      </c>
      <c r="L20" s="111"/>
      <c r="M20" s="111"/>
      <c r="N20" s="111"/>
      <c r="O20" s="111"/>
      <c r="P20" s="111"/>
      <c r="Q20" s="111"/>
      <c r="R20" s="111"/>
      <c r="S20" s="112"/>
    </row>
    <row r="21" spans="1:19" ht="7.5" customHeight="1">
      <c r="B21" s="3"/>
      <c r="C21" s="3"/>
      <c r="D21" s="3"/>
      <c r="E21" s="3"/>
      <c r="F21" s="3"/>
      <c r="G21" s="3"/>
      <c r="H21" s="3"/>
      <c r="I21" s="3"/>
      <c r="J21" s="3"/>
      <c r="K21" s="3"/>
      <c r="L21" s="3"/>
      <c r="M21" s="3"/>
      <c r="N21" s="3"/>
      <c r="O21" s="3"/>
      <c r="P21" s="3"/>
      <c r="Q21" s="3"/>
      <c r="R21" s="3"/>
      <c r="S21" s="3"/>
    </row>
    <row r="22" spans="1:19" ht="18" customHeight="1">
      <c r="A22" s="102" t="s">
        <v>114</v>
      </c>
      <c r="B22" s="102"/>
      <c r="C22" s="102"/>
      <c r="D22" s="102"/>
      <c r="E22" s="102"/>
      <c r="F22" s="102"/>
      <c r="G22" s="102"/>
      <c r="H22" s="102"/>
      <c r="I22" s="102"/>
      <c r="J22" s="102"/>
      <c r="K22" s="102"/>
      <c r="L22" s="102"/>
      <c r="M22" s="102"/>
      <c r="N22" s="102"/>
      <c r="O22" s="102"/>
      <c r="P22" s="102"/>
      <c r="Q22" s="102"/>
      <c r="R22" s="102"/>
      <c r="S22" s="102"/>
    </row>
    <row r="23" spans="1:19" ht="18" customHeight="1">
      <c r="A23" s="102"/>
      <c r="B23" s="102"/>
      <c r="C23" s="102"/>
      <c r="D23" s="102"/>
      <c r="E23" s="102"/>
      <c r="F23" s="102"/>
      <c r="G23" s="102"/>
      <c r="H23" s="102"/>
      <c r="I23" s="102"/>
      <c r="J23" s="102"/>
      <c r="K23" s="102"/>
      <c r="L23" s="102"/>
      <c r="M23" s="102"/>
      <c r="N23" s="102"/>
      <c r="O23" s="102"/>
      <c r="P23" s="102"/>
      <c r="Q23" s="102"/>
      <c r="R23" s="102"/>
      <c r="S23" s="102"/>
    </row>
    <row r="24" spans="1:19" ht="18" customHeight="1">
      <c r="B24" s="99" t="s">
        <v>54</v>
      </c>
      <c r="C24" s="100"/>
      <c r="D24" s="100"/>
      <c r="E24" s="101"/>
      <c r="F24" s="58" t="s">
        <v>81</v>
      </c>
      <c r="G24" s="57" t="s">
        <v>85</v>
      </c>
      <c r="H24" s="21" t="s">
        <v>57</v>
      </c>
      <c r="I24" s="21" t="s">
        <v>60</v>
      </c>
      <c r="J24" s="99" t="s">
        <v>54</v>
      </c>
      <c r="K24" s="100"/>
      <c r="L24" s="100"/>
      <c r="M24" s="100"/>
      <c r="N24" s="100"/>
      <c r="O24" s="101"/>
      <c r="P24" s="58" t="s">
        <v>81</v>
      </c>
      <c r="Q24" s="57" t="s">
        <v>85</v>
      </c>
      <c r="R24" s="21" t="s">
        <v>57</v>
      </c>
      <c r="S24" s="21" t="s">
        <v>60</v>
      </c>
    </row>
    <row r="25" spans="1:19" ht="18" customHeight="1">
      <c r="B25" s="103" t="s">
        <v>130</v>
      </c>
      <c r="C25" s="104"/>
      <c r="D25" s="104"/>
      <c r="E25" s="105"/>
      <c r="F25" s="22">
        <v>2</v>
      </c>
      <c r="G25" s="22" t="s">
        <v>133</v>
      </c>
      <c r="H25" s="22" t="s">
        <v>133</v>
      </c>
      <c r="I25" s="22" t="s">
        <v>133</v>
      </c>
      <c r="J25" s="103"/>
      <c r="K25" s="104"/>
      <c r="L25" s="104"/>
      <c r="M25" s="104"/>
      <c r="N25" s="104"/>
      <c r="O25" s="105"/>
      <c r="P25" s="22"/>
      <c r="Q25" s="22"/>
      <c r="R25" s="22"/>
      <c r="S25" s="22"/>
    </row>
    <row r="26" spans="1:19" ht="18" customHeight="1">
      <c r="B26" s="93" t="s">
        <v>132</v>
      </c>
      <c r="C26" s="94"/>
      <c r="D26" s="94"/>
      <c r="E26" s="95"/>
      <c r="F26" s="23">
        <v>2</v>
      </c>
      <c r="G26" s="23" t="s">
        <v>133</v>
      </c>
      <c r="H26" s="23" t="s">
        <v>133</v>
      </c>
      <c r="I26" s="23" t="s">
        <v>133</v>
      </c>
      <c r="J26" s="93"/>
      <c r="K26" s="94"/>
      <c r="L26" s="94"/>
      <c r="M26" s="94"/>
      <c r="N26" s="94"/>
      <c r="O26" s="95"/>
      <c r="P26" s="23"/>
      <c r="Q26" s="23"/>
      <c r="R26" s="23"/>
      <c r="S26" s="23"/>
    </row>
    <row r="27" spans="1:19" ht="18" customHeight="1">
      <c r="B27" s="93"/>
      <c r="C27" s="94"/>
      <c r="D27" s="94"/>
      <c r="E27" s="95"/>
      <c r="F27" s="23"/>
      <c r="G27" s="23"/>
      <c r="H27" s="23"/>
      <c r="I27" s="23"/>
      <c r="J27" s="93"/>
      <c r="K27" s="94"/>
      <c r="L27" s="94"/>
      <c r="M27" s="94"/>
      <c r="N27" s="94"/>
      <c r="O27" s="95"/>
      <c r="P27" s="23"/>
      <c r="Q27" s="23"/>
      <c r="R27" s="23"/>
      <c r="S27" s="23"/>
    </row>
    <row r="28" spans="1:19" ht="18" customHeight="1">
      <c r="B28" s="93"/>
      <c r="C28" s="94"/>
      <c r="D28" s="94"/>
      <c r="E28" s="95"/>
      <c r="F28" s="23"/>
      <c r="G28" s="23"/>
      <c r="H28" s="23"/>
      <c r="I28" s="23"/>
      <c r="J28" s="93"/>
      <c r="K28" s="94"/>
      <c r="L28" s="94"/>
      <c r="M28" s="94"/>
      <c r="N28" s="94"/>
      <c r="O28" s="95"/>
      <c r="P28" s="23"/>
      <c r="Q28" s="23"/>
      <c r="R28" s="23"/>
      <c r="S28" s="23"/>
    </row>
    <row r="29" spans="1:19" ht="18" customHeight="1">
      <c r="B29" s="93"/>
      <c r="C29" s="94"/>
      <c r="D29" s="94"/>
      <c r="E29" s="95"/>
      <c r="F29" s="23"/>
      <c r="G29" s="23"/>
      <c r="H29" s="23"/>
      <c r="I29" s="23"/>
      <c r="J29" s="93"/>
      <c r="K29" s="94"/>
      <c r="L29" s="94"/>
      <c r="M29" s="94"/>
      <c r="N29" s="94"/>
      <c r="O29" s="95"/>
      <c r="P29" s="23"/>
      <c r="Q29" s="23"/>
      <c r="R29" s="23"/>
      <c r="S29" s="23"/>
    </row>
    <row r="30" spans="1:19" ht="18" customHeight="1">
      <c r="A30" s="3"/>
      <c r="B30" s="93"/>
      <c r="C30" s="94"/>
      <c r="D30" s="94"/>
      <c r="E30" s="95"/>
      <c r="F30" s="23"/>
      <c r="G30" s="23"/>
      <c r="H30" s="23"/>
      <c r="I30" s="23"/>
      <c r="J30" s="93"/>
      <c r="K30" s="94"/>
      <c r="L30" s="94"/>
      <c r="M30" s="94"/>
      <c r="N30" s="94"/>
      <c r="O30" s="95"/>
      <c r="P30" s="23"/>
      <c r="Q30" s="23"/>
      <c r="R30" s="23"/>
      <c r="S30" s="23"/>
    </row>
    <row r="31" spans="1:19" ht="18" customHeight="1">
      <c r="A31" s="3"/>
      <c r="B31" s="96"/>
      <c r="C31" s="97"/>
      <c r="D31" s="97"/>
      <c r="E31" s="98"/>
      <c r="F31" s="24"/>
      <c r="G31" s="24"/>
      <c r="H31" s="25"/>
      <c r="I31" s="25"/>
      <c r="J31" s="96"/>
      <c r="K31" s="97"/>
      <c r="L31" s="97"/>
      <c r="M31" s="97"/>
      <c r="N31" s="97"/>
      <c r="O31" s="98"/>
      <c r="P31" s="24"/>
      <c r="Q31" s="24"/>
      <c r="R31" s="25"/>
      <c r="S31" s="25"/>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02" t="s">
        <v>115</v>
      </c>
      <c r="B33" s="102"/>
      <c r="C33" s="102"/>
      <c r="D33" s="102"/>
      <c r="E33" s="102"/>
      <c r="F33" s="102"/>
      <c r="G33" s="102"/>
      <c r="H33" s="102"/>
      <c r="I33" s="102"/>
      <c r="J33" s="102"/>
      <c r="K33" s="102"/>
      <c r="L33" s="102"/>
      <c r="M33" s="102"/>
      <c r="N33" s="102"/>
      <c r="O33" s="102"/>
      <c r="P33" s="102"/>
      <c r="Q33" s="102"/>
      <c r="R33" s="102"/>
      <c r="S33" s="102"/>
    </row>
    <row r="34" spans="1:19" ht="18" customHeight="1">
      <c r="A34" s="102"/>
      <c r="B34" s="102"/>
      <c r="C34" s="102"/>
      <c r="D34" s="102"/>
      <c r="E34" s="102"/>
      <c r="F34" s="102"/>
      <c r="G34" s="102"/>
      <c r="H34" s="102"/>
      <c r="I34" s="102"/>
      <c r="J34" s="102"/>
      <c r="K34" s="102"/>
      <c r="L34" s="102"/>
      <c r="M34" s="102"/>
      <c r="N34" s="102"/>
      <c r="O34" s="102"/>
      <c r="P34" s="102"/>
      <c r="Q34" s="102"/>
      <c r="R34" s="102"/>
      <c r="S34" s="102"/>
    </row>
    <row r="35" spans="1:19" ht="18" customHeight="1">
      <c r="B35" s="99" t="s">
        <v>54</v>
      </c>
      <c r="C35" s="100"/>
      <c r="D35" s="100"/>
      <c r="E35" s="101"/>
      <c r="F35" s="58" t="s">
        <v>81</v>
      </c>
      <c r="G35" s="57" t="s">
        <v>85</v>
      </c>
      <c r="H35" s="21" t="s">
        <v>72</v>
      </c>
      <c r="I35" s="21" t="s">
        <v>73</v>
      </c>
      <c r="J35" s="99" t="s">
        <v>54</v>
      </c>
      <c r="K35" s="100"/>
      <c r="L35" s="100"/>
      <c r="M35" s="100"/>
      <c r="N35" s="100"/>
      <c r="O35" s="101"/>
      <c r="P35" s="58" t="s">
        <v>81</v>
      </c>
      <c r="Q35" s="57" t="s">
        <v>85</v>
      </c>
      <c r="R35" s="21" t="s">
        <v>72</v>
      </c>
      <c r="S35" s="21" t="s">
        <v>73</v>
      </c>
    </row>
    <row r="36" spans="1:19" ht="18" customHeight="1">
      <c r="B36" s="93" t="s">
        <v>132</v>
      </c>
      <c r="C36" s="94"/>
      <c r="D36" s="94"/>
      <c r="E36" s="95"/>
      <c r="F36" s="22">
        <v>2</v>
      </c>
      <c r="G36" s="22" t="s">
        <v>133</v>
      </c>
      <c r="H36" s="22" t="s">
        <v>133</v>
      </c>
      <c r="I36" s="22" t="s">
        <v>133</v>
      </c>
      <c r="J36" s="103"/>
      <c r="K36" s="104"/>
      <c r="L36" s="104"/>
      <c r="M36" s="104"/>
      <c r="N36" s="104"/>
      <c r="O36" s="105"/>
      <c r="P36" s="22"/>
      <c r="Q36" s="22"/>
      <c r="R36" s="22"/>
      <c r="S36" s="22"/>
    </row>
    <row r="37" spans="1:19" ht="18" customHeight="1">
      <c r="B37" s="93"/>
      <c r="C37" s="94"/>
      <c r="D37" s="94"/>
      <c r="E37" s="95"/>
      <c r="F37" s="23"/>
      <c r="G37" s="23"/>
      <c r="H37" s="23"/>
      <c r="I37" s="23"/>
      <c r="J37" s="93"/>
      <c r="K37" s="94"/>
      <c r="L37" s="94"/>
      <c r="M37" s="94"/>
      <c r="N37" s="94"/>
      <c r="O37" s="95"/>
      <c r="P37" s="23"/>
      <c r="Q37" s="23"/>
      <c r="R37" s="23"/>
      <c r="S37" s="23"/>
    </row>
    <row r="38" spans="1:19" ht="18" customHeight="1">
      <c r="B38" s="93"/>
      <c r="C38" s="94"/>
      <c r="D38" s="94"/>
      <c r="E38" s="95"/>
      <c r="F38" s="23"/>
      <c r="G38" s="23"/>
      <c r="H38" s="23"/>
      <c r="I38" s="23"/>
      <c r="J38" s="93"/>
      <c r="K38" s="94"/>
      <c r="L38" s="94"/>
      <c r="M38" s="94"/>
      <c r="N38" s="94"/>
      <c r="O38" s="95"/>
      <c r="P38" s="23"/>
      <c r="Q38" s="23"/>
      <c r="R38" s="23"/>
      <c r="S38" s="23"/>
    </row>
    <row r="39" spans="1:19" ht="18" customHeight="1">
      <c r="B39" s="93"/>
      <c r="C39" s="94"/>
      <c r="D39" s="94"/>
      <c r="E39" s="95"/>
      <c r="F39" s="23"/>
      <c r="G39" s="23"/>
      <c r="H39" s="23"/>
      <c r="I39" s="23"/>
      <c r="J39" s="93"/>
      <c r="K39" s="94"/>
      <c r="L39" s="94"/>
      <c r="M39" s="94"/>
      <c r="N39" s="94"/>
      <c r="O39" s="95"/>
      <c r="P39" s="23"/>
      <c r="Q39" s="23"/>
      <c r="R39" s="23"/>
      <c r="S39" s="23"/>
    </row>
    <row r="40" spans="1:19" ht="18" customHeight="1">
      <c r="B40" s="93"/>
      <c r="C40" s="94"/>
      <c r="D40" s="94"/>
      <c r="E40" s="95"/>
      <c r="F40" s="23"/>
      <c r="G40" s="23"/>
      <c r="H40" s="23"/>
      <c r="I40" s="23"/>
      <c r="J40" s="93"/>
      <c r="K40" s="94"/>
      <c r="L40" s="94"/>
      <c r="M40" s="94"/>
      <c r="N40" s="94"/>
      <c r="O40" s="95"/>
      <c r="P40" s="23"/>
      <c r="Q40" s="23"/>
      <c r="R40" s="23"/>
      <c r="S40" s="23"/>
    </row>
    <row r="41" spans="1:19" ht="18" customHeight="1">
      <c r="B41" s="93"/>
      <c r="C41" s="94"/>
      <c r="D41" s="94"/>
      <c r="E41" s="95"/>
      <c r="F41" s="23"/>
      <c r="G41" s="23"/>
      <c r="H41" s="23"/>
      <c r="I41" s="23"/>
      <c r="J41" s="93"/>
      <c r="K41" s="94"/>
      <c r="L41" s="94"/>
      <c r="M41" s="94"/>
      <c r="N41" s="94"/>
      <c r="O41" s="95"/>
      <c r="P41" s="23"/>
      <c r="Q41" s="23"/>
      <c r="R41" s="23"/>
      <c r="S41" s="23"/>
    </row>
    <row r="42" spans="1:19" ht="18" customHeight="1">
      <c r="B42" s="96"/>
      <c r="C42" s="97"/>
      <c r="D42" s="97"/>
      <c r="E42" s="98"/>
      <c r="F42" s="24"/>
      <c r="G42" s="24"/>
      <c r="H42" s="25"/>
      <c r="I42" s="25"/>
      <c r="J42" s="96"/>
      <c r="K42" s="97"/>
      <c r="L42" s="97"/>
      <c r="M42" s="97"/>
      <c r="N42" s="97"/>
      <c r="O42" s="98"/>
      <c r="P42" s="24"/>
      <c r="Q42" s="24"/>
      <c r="R42" s="25"/>
      <c r="S42" s="25"/>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02" t="s">
        <v>116</v>
      </c>
      <c r="B44" s="102"/>
      <c r="C44" s="102"/>
      <c r="D44" s="102"/>
      <c r="E44" s="102"/>
      <c r="F44" s="102"/>
      <c r="G44" s="102"/>
      <c r="H44" s="102"/>
      <c r="I44" s="102"/>
      <c r="J44" s="102"/>
      <c r="K44" s="102"/>
      <c r="L44" s="102"/>
      <c r="M44" s="102"/>
      <c r="N44" s="102"/>
      <c r="O44" s="102"/>
      <c r="P44" s="102"/>
      <c r="Q44" s="102"/>
      <c r="R44" s="102"/>
      <c r="S44" s="102"/>
    </row>
    <row r="45" spans="1:19" ht="18" customHeight="1">
      <c r="A45" s="102"/>
      <c r="B45" s="102"/>
      <c r="C45" s="102"/>
      <c r="D45" s="102"/>
      <c r="E45" s="102"/>
      <c r="F45" s="102"/>
      <c r="G45" s="102"/>
      <c r="H45" s="102"/>
      <c r="I45" s="102"/>
      <c r="J45" s="102"/>
      <c r="K45" s="102"/>
      <c r="L45" s="102"/>
      <c r="M45" s="102"/>
      <c r="N45" s="102"/>
      <c r="O45" s="102"/>
      <c r="P45" s="102"/>
      <c r="Q45" s="102"/>
      <c r="R45" s="102"/>
      <c r="S45" s="102"/>
    </row>
    <row r="46" spans="1:19" ht="18" customHeight="1">
      <c r="B46" s="99" t="s">
        <v>54</v>
      </c>
      <c r="C46" s="100"/>
      <c r="D46" s="100"/>
      <c r="E46" s="101"/>
      <c r="F46" s="58" t="s">
        <v>81</v>
      </c>
      <c r="G46" s="57" t="s">
        <v>85</v>
      </c>
      <c r="H46" s="21" t="s">
        <v>74</v>
      </c>
      <c r="I46" s="21" t="s">
        <v>75</v>
      </c>
      <c r="J46" s="99" t="s">
        <v>54</v>
      </c>
      <c r="K46" s="100"/>
      <c r="L46" s="100"/>
      <c r="M46" s="100"/>
      <c r="N46" s="100"/>
      <c r="O46" s="101"/>
      <c r="P46" s="58" t="s">
        <v>81</v>
      </c>
      <c r="Q46" s="57" t="s">
        <v>85</v>
      </c>
      <c r="R46" s="21" t="s">
        <v>74</v>
      </c>
      <c r="S46" s="21" t="s">
        <v>75</v>
      </c>
    </row>
    <row r="47" spans="1:19" ht="18" customHeight="1">
      <c r="A47" s="3"/>
      <c r="B47" s="106" t="s">
        <v>131</v>
      </c>
      <c r="C47" s="107"/>
      <c r="D47" s="107"/>
      <c r="E47" s="108"/>
      <c r="F47" s="22">
        <v>2</v>
      </c>
      <c r="G47" s="22" t="s">
        <v>133</v>
      </c>
      <c r="H47" s="22" t="s">
        <v>133</v>
      </c>
      <c r="I47" s="22" t="s">
        <v>133</v>
      </c>
      <c r="J47" s="103"/>
      <c r="K47" s="104"/>
      <c r="L47" s="104"/>
      <c r="M47" s="104"/>
      <c r="N47" s="104"/>
      <c r="O47" s="105"/>
      <c r="P47" s="22"/>
      <c r="Q47" s="22"/>
      <c r="R47" s="22"/>
      <c r="S47" s="22"/>
    </row>
    <row r="48" spans="1:19" ht="18" customHeight="1">
      <c r="A48" s="3"/>
      <c r="B48" s="93"/>
      <c r="C48" s="94"/>
      <c r="D48" s="94"/>
      <c r="E48" s="95"/>
      <c r="F48" s="23"/>
      <c r="G48" s="23"/>
      <c r="H48" s="23"/>
      <c r="I48" s="23"/>
      <c r="J48" s="93"/>
      <c r="K48" s="94"/>
      <c r="L48" s="94"/>
      <c r="M48" s="94"/>
      <c r="N48" s="94"/>
      <c r="O48" s="95"/>
      <c r="P48" s="23"/>
      <c r="Q48" s="23"/>
      <c r="R48" s="23"/>
      <c r="S48" s="23"/>
    </row>
    <row r="49" spans="1:19" ht="18" customHeight="1">
      <c r="A49" s="3"/>
      <c r="B49" s="93"/>
      <c r="C49" s="94"/>
      <c r="D49" s="94"/>
      <c r="E49" s="95"/>
      <c r="F49" s="23"/>
      <c r="G49" s="23"/>
      <c r="H49" s="23"/>
      <c r="I49" s="23"/>
      <c r="J49" s="93"/>
      <c r="K49" s="94"/>
      <c r="L49" s="94"/>
      <c r="M49" s="94"/>
      <c r="N49" s="94"/>
      <c r="O49" s="95"/>
      <c r="P49" s="23"/>
      <c r="Q49" s="23"/>
      <c r="R49" s="23"/>
      <c r="S49" s="23"/>
    </row>
    <row r="50" spans="1:19" ht="18" customHeight="1">
      <c r="A50" s="3"/>
      <c r="B50" s="93"/>
      <c r="C50" s="94"/>
      <c r="D50" s="94"/>
      <c r="E50" s="95"/>
      <c r="F50" s="23"/>
      <c r="G50" s="23"/>
      <c r="H50" s="23"/>
      <c r="I50" s="23"/>
      <c r="J50" s="93"/>
      <c r="K50" s="94"/>
      <c r="L50" s="94"/>
      <c r="M50" s="94"/>
      <c r="N50" s="94"/>
      <c r="O50" s="95"/>
      <c r="P50" s="23"/>
      <c r="Q50" s="23"/>
      <c r="R50" s="23"/>
      <c r="S50" s="23"/>
    </row>
    <row r="51" spans="1:19" ht="18" customHeight="1">
      <c r="A51" s="3"/>
      <c r="B51" s="93"/>
      <c r="C51" s="94"/>
      <c r="D51" s="94"/>
      <c r="E51" s="95"/>
      <c r="F51" s="23"/>
      <c r="G51" s="23"/>
      <c r="H51" s="23"/>
      <c r="I51" s="23"/>
      <c r="J51" s="93"/>
      <c r="K51" s="94"/>
      <c r="L51" s="94"/>
      <c r="M51" s="94"/>
      <c r="N51" s="94"/>
      <c r="O51" s="95"/>
      <c r="P51" s="23"/>
      <c r="Q51" s="23"/>
      <c r="R51" s="23"/>
      <c r="S51" s="23"/>
    </row>
    <row r="52" spans="1:19" ht="18" customHeight="1">
      <c r="A52" s="3"/>
      <c r="B52" s="93"/>
      <c r="C52" s="94"/>
      <c r="D52" s="94"/>
      <c r="E52" s="95"/>
      <c r="F52" s="23"/>
      <c r="G52" s="23"/>
      <c r="H52" s="23"/>
      <c r="I52" s="23"/>
      <c r="J52" s="93"/>
      <c r="K52" s="94"/>
      <c r="L52" s="94"/>
      <c r="M52" s="94"/>
      <c r="N52" s="94"/>
      <c r="O52" s="95"/>
      <c r="P52" s="23"/>
      <c r="Q52" s="23"/>
      <c r="R52" s="23"/>
      <c r="S52" s="23"/>
    </row>
    <row r="53" spans="1:19" ht="18" customHeight="1">
      <c r="A53" s="3"/>
      <c r="B53" s="96"/>
      <c r="C53" s="97"/>
      <c r="D53" s="97"/>
      <c r="E53" s="98"/>
      <c r="F53" s="24"/>
      <c r="G53" s="24"/>
      <c r="H53" s="25"/>
      <c r="I53" s="25"/>
      <c r="J53" s="96"/>
      <c r="K53" s="97"/>
      <c r="L53" s="97"/>
      <c r="M53" s="97"/>
      <c r="N53" s="97"/>
      <c r="O53" s="98"/>
      <c r="P53" s="24"/>
      <c r="Q53" s="24"/>
      <c r="R53" s="25"/>
      <c r="S53" s="25"/>
    </row>
    <row r="54" spans="1:19" ht="7.5" customHeight="1">
      <c r="B54" s="15"/>
      <c r="C54" s="15"/>
      <c r="D54" s="15"/>
      <c r="E54" s="15"/>
      <c r="F54" s="15"/>
      <c r="G54" s="15"/>
      <c r="H54" s="15"/>
      <c r="I54" s="15"/>
      <c r="J54" s="15"/>
      <c r="K54" s="15"/>
      <c r="L54" s="15"/>
      <c r="M54" s="15"/>
      <c r="N54" s="15"/>
      <c r="O54" s="15"/>
      <c r="P54" s="15"/>
      <c r="Q54" s="15"/>
      <c r="R54" s="15"/>
    </row>
    <row r="55" spans="1:19" ht="18" customHeight="1">
      <c r="A55" s="102" t="s">
        <v>117</v>
      </c>
      <c r="B55" s="102"/>
      <c r="C55" s="102"/>
      <c r="D55" s="102"/>
      <c r="E55" s="102"/>
      <c r="F55" s="102"/>
      <c r="G55" s="102"/>
      <c r="H55" s="102"/>
      <c r="I55" s="102"/>
      <c r="J55" s="102"/>
      <c r="K55" s="102"/>
      <c r="L55" s="102"/>
      <c r="M55" s="102"/>
      <c r="N55" s="102"/>
      <c r="O55" s="102"/>
      <c r="P55" s="102"/>
      <c r="Q55" s="102"/>
      <c r="R55" s="102"/>
      <c r="S55" s="102"/>
    </row>
    <row r="56" spans="1:19" ht="18" customHeight="1">
      <c r="A56" s="102"/>
      <c r="B56" s="102"/>
      <c r="C56" s="102"/>
      <c r="D56" s="102"/>
      <c r="E56" s="102"/>
      <c r="F56" s="102"/>
      <c r="G56" s="102"/>
      <c r="H56" s="102"/>
      <c r="I56" s="102"/>
      <c r="J56" s="102"/>
      <c r="K56" s="102"/>
      <c r="L56" s="102"/>
      <c r="M56" s="102"/>
      <c r="N56" s="102"/>
      <c r="O56" s="102"/>
      <c r="P56" s="102"/>
      <c r="Q56" s="102"/>
      <c r="R56" s="102"/>
      <c r="S56" s="102"/>
    </row>
    <row r="57" spans="1:19" ht="18" customHeight="1">
      <c r="B57" s="99" t="s">
        <v>54</v>
      </c>
      <c r="C57" s="100"/>
      <c r="D57" s="100"/>
      <c r="E57" s="101"/>
      <c r="F57" s="58" t="s">
        <v>81</v>
      </c>
      <c r="G57" s="57" t="s">
        <v>85</v>
      </c>
      <c r="H57" s="21" t="s">
        <v>59</v>
      </c>
      <c r="I57" s="21" t="s">
        <v>61</v>
      </c>
      <c r="J57" s="99" t="s">
        <v>54</v>
      </c>
      <c r="K57" s="100"/>
      <c r="L57" s="100"/>
      <c r="M57" s="100"/>
      <c r="N57" s="100"/>
      <c r="O57" s="101"/>
      <c r="P57" s="58" t="s">
        <v>81</v>
      </c>
      <c r="Q57" s="57" t="s">
        <v>85</v>
      </c>
      <c r="R57" s="21" t="s">
        <v>59</v>
      </c>
      <c r="S57" s="21" t="s">
        <v>61</v>
      </c>
    </row>
    <row r="58" spans="1:19" ht="18" customHeight="1">
      <c r="A58" s="3"/>
      <c r="B58" s="103" t="s">
        <v>134</v>
      </c>
      <c r="C58" s="104"/>
      <c r="D58" s="104"/>
      <c r="E58" s="105"/>
      <c r="F58" s="22">
        <v>2</v>
      </c>
      <c r="G58" s="22"/>
      <c r="H58" s="22" t="s">
        <v>133</v>
      </c>
      <c r="I58" s="22" t="s">
        <v>133</v>
      </c>
      <c r="J58" s="103"/>
      <c r="K58" s="104"/>
      <c r="L58" s="104"/>
      <c r="M58" s="104"/>
      <c r="N58" s="104"/>
      <c r="O58" s="105"/>
      <c r="P58" s="22"/>
      <c r="Q58" s="22"/>
      <c r="R58" s="22"/>
      <c r="S58" s="22"/>
    </row>
    <row r="59" spans="1:19" ht="18" customHeight="1">
      <c r="A59" s="3"/>
      <c r="B59" s="93" t="s">
        <v>135</v>
      </c>
      <c r="C59" s="94"/>
      <c r="D59" s="94"/>
      <c r="E59" s="95"/>
      <c r="F59" s="23">
        <v>2</v>
      </c>
      <c r="G59" s="23"/>
      <c r="H59" s="23" t="s">
        <v>133</v>
      </c>
      <c r="I59" s="23" t="s">
        <v>133</v>
      </c>
      <c r="J59" s="93"/>
      <c r="K59" s="94"/>
      <c r="L59" s="94"/>
      <c r="M59" s="94"/>
      <c r="N59" s="94"/>
      <c r="O59" s="95"/>
      <c r="P59" s="23"/>
      <c r="Q59" s="23"/>
      <c r="R59" s="23"/>
      <c r="S59" s="23"/>
    </row>
    <row r="60" spans="1:19" ht="18" customHeight="1">
      <c r="A60" s="3"/>
      <c r="B60" s="93"/>
      <c r="C60" s="94"/>
      <c r="D60" s="94"/>
      <c r="E60" s="95"/>
      <c r="F60" s="23"/>
      <c r="G60" s="23"/>
      <c r="H60" s="23"/>
      <c r="I60" s="23"/>
      <c r="J60" s="93"/>
      <c r="K60" s="94"/>
      <c r="L60" s="94"/>
      <c r="M60" s="94"/>
      <c r="N60" s="94"/>
      <c r="O60" s="95"/>
      <c r="P60" s="23"/>
      <c r="Q60" s="23"/>
      <c r="R60" s="23"/>
      <c r="S60" s="23"/>
    </row>
    <row r="61" spans="1:19" ht="18" customHeight="1">
      <c r="A61" s="3"/>
      <c r="B61" s="93"/>
      <c r="C61" s="94"/>
      <c r="D61" s="94"/>
      <c r="E61" s="95"/>
      <c r="F61" s="23"/>
      <c r="G61" s="23"/>
      <c r="H61" s="23"/>
      <c r="I61" s="23"/>
      <c r="J61" s="93"/>
      <c r="K61" s="94"/>
      <c r="L61" s="94"/>
      <c r="M61" s="94"/>
      <c r="N61" s="94"/>
      <c r="O61" s="95"/>
      <c r="P61" s="23"/>
      <c r="Q61" s="23"/>
      <c r="R61" s="23"/>
      <c r="S61" s="23"/>
    </row>
    <row r="62" spans="1:19" ht="18" customHeight="1">
      <c r="A62" s="3"/>
      <c r="B62" s="93"/>
      <c r="C62" s="94"/>
      <c r="D62" s="94"/>
      <c r="E62" s="95"/>
      <c r="F62" s="23"/>
      <c r="G62" s="23"/>
      <c r="H62" s="23"/>
      <c r="I62" s="23"/>
      <c r="J62" s="93"/>
      <c r="K62" s="94"/>
      <c r="L62" s="94"/>
      <c r="M62" s="94"/>
      <c r="N62" s="94"/>
      <c r="O62" s="95"/>
      <c r="P62" s="23"/>
      <c r="Q62" s="23"/>
      <c r="R62" s="23"/>
      <c r="S62" s="23"/>
    </row>
    <row r="63" spans="1:19" ht="18" customHeight="1">
      <c r="A63" s="3"/>
      <c r="B63" s="93"/>
      <c r="C63" s="94"/>
      <c r="D63" s="94"/>
      <c r="E63" s="95"/>
      <c r="F63" s="23"/>
      <c r="G63" s="23"/>
      <c r="H63" s="23"/>
      <c r="I63" s="23"/>
      <c r="J63" s="93"/>
      <c r="K63" s="94"/>
      <c r="L63" s="94"/>
      <c r="M63" s="94"/>
      <c r="N63" s="94"/>
      <c r="O63" s="95"/>
      <c r="P63" s="23"/>
      <c r="Q63" s="23"/>
      <c r="R63" s="23"/>
      <c r="S63" s="23"/>
    </row>
    <row r="64" spans="1:19" ht="18" customHeight="1">
      <c r="A64" s="3"/>
      <c r="B64" s="96"/>
      <c r="C64" s="97"/>
      <c r="D64" s="97"/>
      <c r="E64" s="98"/>
      <c r="F64" s="24"/>
      <c r="G64" s="24"/>
      <c r="H64" s="25"/>
      <c r="I64" s="25"/>
      <c r="J64" s="96"/>
      <c r="K64" s="97"/>
      <c r="L64" s="97"/>
      <c r="M64" s="97"/>
      <c r="N64" s="97"/>
      <c r="O64" s="98"/>
      <c r="P64" s="24"/>
      <c r="Q64" s="24"/>
      <c r="R64" s="25"/>
      <c r="S64" s="25"/>
    </row>
    <row r="65" spans="1:19" ht="7.5" customHeight="1">
      <c r="B65" s="15"/>
      <c r="C65" s="15"/>
      <c r="D65" s="15"/>
      <c r="E65" s="15"/>
      <c r="F65" s="15"/>
      <c r="G65" s="15"/>
      <c r="H65" s="15"/>
      <c r="I65" s="15"/>
      <c r="J65" s="15"/>
      <c r="K65" s="15"/>
      <c r="L65" s="15"/>
      <c r="M65" s="15"/>
      <c r="N65" s="15"/>
      <c r="O65" s="15"/>
      <c r="P65" s="15"/>
      <c r="Q65" s="15"/>
      <c r="R65" s="15"/>
    </row>
    <row r="66" spans="1:19" ht="18" customHeight="1">
      <c r="A66" s="102" t="s">
        <v>118</v>
      </c>
      <c r="B66" s="102"/>
      <c r="C66" s="102"/>
      <c r="D66" s="102"/>
      <c r="E66" s="102"/>
      <c r="F66" s="102"/>
      <c r="G66" s="102"/>
      <c r="H66" s="102"/>
      <c r="I66" s="102"/>
      <c r="J66" s="102"/>
      <c r="K66" s="102"/>
      <c r="L66" s="102"/>
      <c r="M66" s="102"/>
      <c r="N66" s="102"/>
      <c r="O66" s="102"/>
      <c r="P66" s="102"/>
      <c r="Q66" s="102"/>
      <c r="R66" s="102"/>
      <c r="S66" s="102"/>
    </row>
    <row r="67" spans="1:19" ht="18" customHeight="1">
      <c r="A67" s="102"/>
      <c r="B67" s="102"/>
      <c r="C67" s="102"/>
      <c r="D67" s="102"/>
      <c r="E67" s="102"/>
      <c r="F67" s="102"/>
      <c r="G67" s="102"/>
      <c r="H67" s="102"/>
      <c r="I67" s="102"/>
      <c r="J67" s="102"/>
      <c r="K67" s="102"/>
      <c r="L67" s="102"/>
      <c r="M67" s="102"/>
      <c r="N67" s="102"/>
      <c r="O67" s="102"/>
      <c r="P67" s="102"/>
      <c r="Q67" s="102"/>
      <c r="R67" s="102"/>
      <c r="S67" s="102"/>
    </row>
    <row r="68" spans="1:19" ht="18" customHeight="1">
      <c r="B68" s="99" t="s">
        <v>54</v>
      </c>
      <c r="C68" s="100"/>
      <c r="D68" s="100"/>
      <c r="E68" s="58" t="s">
        <v>81</v>
      </c>
      <c r="F68" s="57" t="s">
        <v>85</v>
      </c>
      <c r="G68" s="21" t="s">
        <v>102</v>
      </c>
      <c r="H68" s="21" t="s">
        <v>76</v>
      </c>
      <c r="I68" s="21" t="s">
        <v>77</v>
      </c>
      <c r="J68" s="99" t="s">
        <v>54</v>
      </c>
      <c r="K68" s="100"/>
      <c r="L68" s="100"/>
      <c r="M68" s="100"/>
      <c r="N68" s="101"/>
      <c r="O68" s="58" t="s">
        <v>81</v>
      </c>
      <c r="P68" s="57" t="s">
        <v>85</v>
      </c>
      <c r="Q68" s="21" t="s">
        <v>102</v>
      </c>
      <c r="R68" s="21" t="s">
        <v>76</v>
      </c>
      <c r="S68" s="21" t="s">
        <v>77</v>
      </c>
    </row>
    <row r="69" spans="1:19" ht="18" customHeight="1">
      <c r="A69" s="3"/>
      <c r="B69" s="85" t="s">
        <v>136</v>
      </c>
      <c r="C69" s="86"/>
      <c r="D69" s="86"/>
      <c r="E69" s="23">
        <v>2</v>
      </c>
      <c r="F69" s="23"/>
      <c r="G69" s="23" t="s">
        <v>133</v>
      </c>
      <c r="H69" s="23" t="s">
        <v>133</v>
      </c>
      <c r="I69" s="23" t="s">
        <v>133</v>
      </c>
      <c r="J69" s="103"/>
      <c r="K69" s="104"/>
      <c r="L69" s="104"/>
      <c r="M69" s="104"/>
      <c r="N69" s="105"/>
      <c r="O69" s="22"/>
      <c r="P69" s="22"/>
      <c r="Q69" s="22"/>
      <c r="R69" s="22"/>
      <c r="S69" s="22"/>
    </row>
    <row r="70" spans="1:19" ht="18" customHeight="1">
      <c r="A70" s="3"/>
      <c r="B70" s="85" t="s">
        <v>137</v>
      </c>
      <c r="C70" s="86"/>
      <c r="D70" s="86"/>
      <c r="E70" s="23">
        <v>2</v>
      </c>
      <c r="F70" s="23"/>
      <c r="G70" s="23" t="s">
        <v>133</v>
      </c>
      <c r="H70" s="23" t="s">
        <v>133</v>
      </c>
      <c r="I70" s="23" t="s">
        <v>133</v>
      </c>
      <c r="J70" s="93"/>
      <c r="K70" s="94"/>
      <c r="L70" s="94"/>
      <c r="M70" s="94"/>
      <c r="N70" s="95"/>
      <c r="O70" s="23"/>
      <c r="P70" s="23"/>
      <c r="Q70" s="23"/>
      <c r="R70" s="23"/>
      <c r="S70" s="23"/>
    </row>
    <row r="71" spans="1:19" ht="18" customHeight="1">
      <c r="A71" s="3"/>
      <c r="B71" s="85" t="s">
        <v>138</v>
      </c>
      <c r="C71" s="86"/>
      <c r="D71" s="86"/>
      <c r="E71" s="23">
        <v>2</v>
      </c>
      <c r="F71" s="23"/>
      <c r="G71" s="23" t="s">
        <v>133</v>
      </c>
      <c r="H71" s="23" t="s">
        <v>133</v>
      </c>
      <c r="I71" s="23" t="s">
        <v>133</v>
      </c>
      <c r="J71" s="93"/>
      <c r="K71" s="94"/>
      <c r="L71" s="94"/>
      <c r="M71" s="94"/>
      <c r="N71" s="95"/>
      <c r="O71" s="23"/>
      <c r="P71" s="23"/>
      <c r="Q71" s="23"/>
      <c r="R71" s="23"/>
      <c r="S71" s="23"/>
    </row>
    <row r="72" spans="1:19" ht="18" customHeight="1">
      <c r="A72" s="3"/>
      <c r="B72" s="85" t="s">
        <v>139</v>
      </c>
      <c r="C72" s="86"/>
      <c r="D72" s="86"/>
      <c r="E72" s="23">
        <v>2</v>
      </c>
      <c r="F72" s="23"/>
      <c r="G72" s="23"/>
      <c r="H72" s="23" t="s">
        <v>133</v>
      </c>
      <c r="I72" s="23" t="s">
        <v>133</v>
      </c>
      <c r="J72" s="93"/>
      <c r="K72" s="94"/>
      <c r="L72" s="94"/>
      <c r="M72" s="94"/>
      <c r="N72" s="95"/>
      <c r="O72" s="23"/>
      <c r="P72" s="23"/>
      <c r="Q72" s="23"/>
      <c r="R72" s="23"/>
      <c r="S72" s="23"/>
    </row>
    <row r="73" spans="1:19" ht="18" customHeight="1">
      <c r="A73" s="3"/>
      <c r="B73" s="93" t="s">
        <v>140</v>
      </c>
      <c r="C73" s="94"/>
      <c r="D73" s="94"/>
      <c r="E73" s="23">
        <v>2</v>
      </c>
      <c r="F73" s="23"/>
      <c r="G73" s="23"/>
      <c r="H73" s="23" t="s">
        <v>133</v>
      </c>
      <c r="I73" s="23" t="s">
        <v>133</v>
      </c>
      <c r="J73" s="93"/>
      <c r="K73" s="94"/>
      <c r="L73" s="94"/>
      <c r="M73" s="94"/>
      <c r="N73" s="95"/>
      <c r="O73" s="23"/>
      <c r="P73" s="23"/>
      <c r="Q73" s="23"/>
      <c r="R73" s="23"/>
      <c r="S73" s="23"/>
    </row>
    <row r="74" spans="1:19" ht="18" customHeight="1">
      <c r="A74" s="3"/>
      <c r="B74" s="93"/>
      <c r="C74" s="94"/>
      <c r="D74" s="94"/>
      <c r="E74" s="23"/>
      <c r="F74" s="23"/>
      <c r="G74" s="23"/>
      <c r="H74" s="23"/>
      <c r="I74" s="23"/>
      <c r="J74" s="93"/>
      <c r="K74" s="94"/>
      <c r="L74" s="94"/>
      <c r="M74" s="94"/>
      <c r="N74" s="95"/>
      <c r="O74" s="23"/>
      <c r="P74" s="23"/>
      <c r="Q74" s="23"/>
      <c r="R74" s="23"/>
      <c r="S74" s="23"/>
    </row>
    <row r="75" spans="1:19" ht="18" customHeight="1">
      <c r="A75" s="3"/>
      <c r="B75" s="96"/>
      <c r="C75" s="97"/>
      <c r="D75" s="97"/>
      <c r="E75" s="24"/>
      <c r="F75" s="24"/>
      <c r="G75" s="25"/>
      <c r="H75" s="25"/>
      <c r="I75" s="25"/>
      <c r="J75" s="96"/>
      <c r="K75" s="97"/>
      <c r="L75" s="97"/>
      <c r="M75" s="97"/>
      <c r="N75" s="98"/>
      <c r="O75" s="24"/>
      <c r="P75" s="24"/>
      <c r="Q75" s="25"/>
      <c r="R75" s="25"/>
      <c r="S75" s="25"/>
    </row>
    <row r="76" spans="1:19" ht="7.5" customHeight="1">
      <c r="B76" s="15"/>
      <c r="C76" s="15"/>
      <c r="D76" s="15"/>
      <c r="E76" s="15"/>
      <c r="F76" s="15"/>
      <c r="G76" s="15"/>
      <c r="H76" s="15"/>
      <c r="I76" s="15"/>
      <c r="J76" s="15"/>
      <c r="K76" s="15"/>
      <c r="L76" s="15"/>
      <c r="M76" s="15"/>
      <c r="N76" s="15"/>
      <c r="O76" s="15"/>
      <c r="P76" s="15"/>
      <c r="Q76" s="15"/>
      <c r="R76" s="15"/>
    </row>
    <row r="77" spans="1:19" ht="18" customHeight="1">
      <c r="A77" s="1" t="s">
        <v>119</v>
      </c>
      <c r="H77" s="3"/>
      <c r="I77" s="3"/>
      <c r="J77" s="3"/>
      <c r="K77" s="3"/>
      <c r="L77" s="3"/>
      <c r="M77" s="3"/>
      <c r="N77" s="3"/>
      <c r="O77" s="3"/>
      <c r="P77" s="3"/>
      <c r="Q77" s="3"/>
      <c r="R77" s="3"/>
      <c r="S77" s="3"/>
    </row>
    <row r="78" spans="1:19" ht="18" customHeight="1">
      <c r="B78" s="99" t="s">
        <v>54</v>
      </c>
      <c r="C78" s="100"/>
      <c r="D78" s="100"/>
      <c r="E78" s="101"/>
      <c r="F78" s="99" t="s">
        <v>83</v>
      </c>
      <c r="G78" s="100"/>
      <c r="H78" s="100"/>
      <c r="I78" s="101"/>
      <c r="J78" s="152" t="s">
        <v>54</v>
      </c>
      <c r="K78" s="153"/>
      <c r="L78" s="153"/>
      <c r="M78" s="153"/>
      <c r="N78" s="153"/>
      <c r="O78" s="154"/>
      <c r="P78" s="99" t="s">
        <v>83</v>
      </c>
      <c r="Q78" s="100"/>
      <c r="R78" s="100"/>
      <c r="S78" s="101"/>
    </row>
    <row r="79" spans="1:19" ht="18" customHeight="1">
      <c r="A79" s="3"/>
      <c r="B79" s="103"/>
      <c r="C79" s="104"/>
      <c r="D79" s="104"/>
      <c r="E79" s="105"/>
      <c r="F79" s="168"/>
      <c r="G79" s="169"/>
      <c r="H79" s="169"/>
      <c r="I79" s="170"/>
      <c r="J79" s="103"/>
      <c r="K79" s="104"/>
      <c r="L79" s="104"/>
      <c r="M79" s="104"/>
      <c r="N79" s="104"/>
      <c r="O79" s="105"/>
      <c r="P79" s="168"/>
      <c r="Q79" s="169"/>
      <c r="R79" s="169"/>
      <c r="S79" s="170"/>
    </row>
    <row r="80" spans="1:19" ht="18" customHeight="1">
      <c r="A80" s="3"/>
      <c r="B80" s="93"/>
      <c r="C80" s="94"/>
      <c r="D80" s="94"/>
      <c r="E80" s="95"/>
      <c r="F80" s="132"/>
      <c r="G80" s="133"/>
      <c r="H80" s="133"/>
      <c r="I80" s="134"/>
      <c r="J80" s="93"/>
      <c r="K80" s="94"/>
      <c r="L80" s="94"/>
      <c r="M80" s="94"/>
      <c r="N80" s="94"/>
      <c r="O80" s="95"/>
      <c r="P80" s="132"/>
      <c r="Q80" s="133"/>
      <c r="R80" s="133"/>
      <c r="S80" s="134"/>
    </row>
    <row r="81" spans="1:19" ht="18" customHeight="1">
      <c r="A81" s="3"/>
      <c r="B81" s="93"/>
      <c r="C81" s="94"/>
      <c r="D81" s="94"/>
      <c r="E81" s="95"/>
      <c r="F81" s="132"/>
      <c r="G81" s="133"/>
      <c r="H81" s="133"/>
      <c r="I81" s="134"/>
      <c r="J81" s="93"/>
      <c r="K81" s="94"/>
      <c r="L81" s="94"/>
      <c r="M81" s="94"/>
      <c r="N81" s="94"/>
      <c r="O81" s="95"/>
      <c r="P81" s="132"/>
      <c r="Q81" s="133"/>
      <c r="R81" s="133"/>
      <c r="S81" s="134"/>
    </row>
    <row r="82" spans="1:19" ht="18" customHeight="1">
      <c r="A82" s="3"/>
      <c r="B82" s="93"/>
      <c r="C82" s="94"/>
      <c r="D82" s="94"/>
      <c r="E82" s="95"/>
      <c r="F82" s="132"/>
      <c r="G82" s="133"/>
      <c r="H82" s="133"/>
      <c r="I82" s="134"/>
      <c r="J82" s="93"/>
      <c r="K82" s="94"/>
      <c r="L82" s="94"/>
      <c r="M82" s="94"/>
      <c r="N82" s="94"/>
      <c r="O82" s="95"/>
      <c r="P82" s="132"/>
      <c r="Q82" s="133"/>
      <c r="R82" s="133"/>
      <c r="S82" s="134"/>
    </row>
    <row r="83" spans="1:19" ht="18" customHeight="1">
      <c r="A83" s="3"/>
      <c r="B83" s="93"/>
      <c r="C83" s="94"/>
      <c r="D83" s="94"/>
      <c r="E83" s="95"/>
      <c r="F83" s="132"/>
      <c r="G83" s="133"/>
      <c r="H83" s="133"/>
      <c r="I83" s="134"/>
      <c r="J83" s="93"/>
      <c r="K83" s="94"/>
      <c r="L83" s="94"/>
      <c r="M83" s="94"/>
      <c r="N83" s="94"/>
      <c r="O83" s="95"/>
      <c r="P83" s="132"/>
      <c r="Q83" s="133"/>
      <c r="R83" s="133"/>
      <c r="S83" s="134"/>
    </row>
    <row r="84" spans="1:19" ht="18" customHeight="1">
      <c r="A84" s="3"/>
      <c r="B84" s="93"/>
      <c r="C84" s="94"/>
      <c r="D84" s="94"/>
      <c r="E84" s="95"/>
      <c r="F84" s="132"/>
      <c r="G84" s="133"/>
      <c r="H84" s="133"/>
      <c r="I84" s="134"/>
      <c r="J84" s="93"/>
      <c r="K84" s="94"/>
      <c r="L84" s="94"/>
      <c r="M84" s="94"/>
      <c r="N84" s="94"/>
      <c r="O84" s="95"/>
      <c r="P84" s="132"/>
      <c r="Q84" s="133"/>
      <c r="R84" s="133"/>
      <c r="S84" s="134"/>
    </row>
    <row r="85" spans="1:19" ht="18" customHeight="1">
      <c r="A85" s="3"/>
      <c r="B85" s="96"/>
      <c r="C85" s="97"/>
      <c r="D85" s="97"/>
      <c r="E85" s="98"/>
      <c r="F85" s="129"/>
      <c r="G85" s="130"/>
      <c r="H85" s="130"/>
      <c r="I85" s="131"/>
      <c r="J85" s="96"/>
      <c r="K85" s="97"/>
      <c r="L85" s="97"/>
      <c r="M85" s="97"/>
      <c r="N85" s="97"/>
      <c r="O85" s="98"/>
      <c r="P85" s="129"/>
      <c r="Q85" s="130"/>
      <c r="R85" s="130"/>
      <c r="S85" s="131"/>
    </row>
    <row r="86" spans="1:19" ht="18" customHeight="1">
      <c r="A86" s="3"/>
      <c r="B86" s="6"/>
      <c r="C86" s="6"/>
      <c r="D86" s="6"/>
      <c r="E86" s="6"/>
      <c r="F86" s="26"/>
      <c r="G86" s="26"/>
      <c r="H86" s="26"/>
      <c r="I86" s="26"/>
      <c r="J86" s="6"/>
      <c r="K86" s="6"/>
      <c r="L86" s="6"/>
      <c r="M86" s="6"/>
      <c r="N86" s="6"/>
      <c r="O86" s="6"/>
      <c r="P86" s="26"/>
      <c r="Q86" s="26"/>
      <c r="R86" s="26"/>
      <c r="S86" s="26"/>
    </row>
    <row r="87" spans="1:19" ht="18.75" customHeight="1">
      <c r="A87" s="1" t="s">
        <v>120</v>
      </c>
    </row>
    <row r="88" spans="1:19" ht="18.75" customHeight="1">
      <c r="B88" s="166" t="s">
        <v>55</v>
      </c>
      <c r="C88" s="167"/>
      <c r="D88" s="100" t="s">
        <v>56</v>
      </c>
      <c r="E88" s="100"/>
      <c r="F88" s="100"/>
      <c r="G88" s="100"/>
      <c r="H88" s="100"/>
      <c r="I88" s="100"/>
      <c r="J88" s="100"/>
      <c r="K88" s="100"/>
      <c r="L88" s="100"/>
      <c r="M88" s="100"/>
      <c r="N88" s="100"/>
      <c r="O88" s="100"/>
      <c r="P88" s="100"/>
      <c r="Q88" s="100"/>
      <c r="R88" s="100"/>
      <c r="S88" s="101"/>
    </row>
    <row r="89" spans="1:19" ht="97.5" customHeight="1">
      <c r="B89" s="155" t="s">
        <v>62</v>
      </c>
      <c r="C89" s="27" t="s">
        <v>57</v>
      </c>
      <c r="D89" s="163" t="s">
        <v>166</v>
      </c>
      <c r="E89" s="164"/>
      <c r="F89" s="164"/>
      <c r="G89" s="164"/>
      <c r="H89" s="164"/>
      <c r="I89" s="164"/>
      <c r="J89" s="164"/>
      <c r="K89" s="164"/>
      <c r="L89" s="164"/>
      <c r="M89" s="164"/>
      <c r="N89" s="164"/>
      <c r="O89" s="164"/>
      <c r="P89" s="164"/>
      <c r="Q89" s="164"/>
      <c r="R89" s="164"/>
      <c r="S89" s="165"/>
    </row>
    <row r="90" spans="1:19" ht="97.5" customHeight="1">
      <c r="B90" s="157"/>
      <c r="C90" s="28" t="s">
        <v>78</v>
      </c>
      <c r="D90" s="135" t="s">
        <v>171</v>
      </c>
      <c r="E90" s="136"/>
      <c r="F90" s="136"/>
      <c r="G90" s="136"/>
      <c r="H90" s="136"/>
      <c r="I90" s="136"/>
      <c r="J90" s="136"/>
      <c r="K90" s="136"/>
      <c r="L90" s="136"/>
      <c r="M90" s="136"/>
      <c r="N90" s="136"/>
      <c r="O90" s="136"/>
      <c r="P90" s="136"/>
      <c r="Q90" s="136"/>
      <c r="R90" s="136"/>
      <c r="S90" s="137"/>
    </row>
    <row r="91" spans="1:19" ht="97.5" customHeight="1">
      <c r="B91" s="155" t="s">
        <v>63</v>
      </c>
      <c r="C91" s="29" t="s">
        <v>72</v>
      </c>
      <c r="D91" s="138" t="s">
        <v>168</v>
      </c>
      <c r="E91" s="139"/>
      <c r="F91" s="139"/>
      <c r="G91" s="139"/>
      <c r="H91" s="139"/>
      <c r="I91" s="139"/>
      <c r="J91" s="139"/>
      <c r="K91" s="139"/>
      <c r="L91" s="139"/>
      <c r="M91" s="139"/>
      <c r="N91" s="139"/>
      <c r="O91" s="139"/>
      <c r="P91" s="139"/>
      <c r="Q91" s="139"/>
      <c r="R91" s="139"/>
      <c r="S91" s="140"/>
    </row>
    <row r="92" spans="1:19" ht="97.5" customHeight="1">
      <c r="B92" s="156"/>
      <c r="C92" s="30" t="s">
        <v>73</v>
      </c>
      <c r="D92" s="144" t="s">
        <v>167</v>
      </c>
      <c r="E92" s="144"/>
      <c r="F92" s="144"/>
      <c r="G92" s="144"/>
      <c r="H92" s="144"/>
      <c r="I92" s="144"/>
      <c r="J92" s="144"/>
      <c r="K92" s="144"/>
      <c r="L92" s="144"/>
      <c r="M92" s="144"/>
      <c r="N92" s="144"/>
      <c r="O92" s="144"/>
      <c r="P92" s="144"/>
      <c r="Q92" s="144"/>
      <c r="R92" s="144"/>
      <c r="S92" s="145"/>
    </row>
    <row r="93" spans="1:19" ht="125.25" customHeight="1">
      <c r="B93" s="155" t="s">
        <v>64</v>
      </c>
      <c r="C93" s="29" t="s">
        <v>74</v>
      </c>
      <c r="D93" s="138" t="s">
        <v>169</v>
      </c>
      <c r="E93" s="139"/>
      <c r="F93" s="139"/>
      <c r="G93" s="139"/>
      <c r="H93" s="139"/>
      <c r="I93" s="139"/>
      <c r="J93" s="139"/>
      <c r="K93" s="139"/>
      <c r="L93" s="139"/>
      <c r="M93" s="139"/>
      <c r="N93" s="139"/>
      <c r="O93" s="139"/>
      <c r="P93" s="139"/>
      <c r="Q93" s="139"/>
      <c r="R93" s="139"/>
      <c r="S93" s="140"/>
    </row>
    <row r="94" spans="1:19" ht="97.5" customHeight="1">
      <c r="B94" s="156"/>
      <c r="C94" s="31" t="s">
        <v>75</v>
      </c>
      <c r="D94" s="141" t="s">
        <v>170</v>
      </c>
      <c r="E94" s="142"/>
      <c r="F94" s="142"/>
      <c r="G94" s="142"/>
      <c r="H94" s="142"/>
      <c r="I94" s="142"/>
      <c r="J94" s="142"/>
      <c r="K94" s="142"/>
      <c r="L94" s="142"/>
      <c r="M94" s="142"/>
      <c r="N94" s="142"/>
      <c r="O94" s="142"/>
      <c r="P94" s="142"/>
      <c r="Q94" s="142"/>
      <c r="R94" s="142"/>
      <c r="S94" s="143"/>
    </row>
    <row r="95" spans="1:19" ht="151.5" customHeight="1">
      <c r="B95" s="155" t="s">
        <v>79</v>
      </c>
      <c r="C95" s="27" t="s">
        <v>59</v>
      </c>
      <c r="D95" s="163" t="s">
        <v>172</v>
      </c>
      <c r="E95" s="164"/>
      <c r="F95" s="164"/>
      <c r="G95" s="164"/>
      <c r="H95" s="164"/>
      <c r="I95" s="164"/>
      <c r="J95" s="164"/>
      <c r="K95" s="164"/>
      <c r="L95" s="164"/>
      <c r="M95" s="164"/>
      <c r="N95" s="164"/>
      <c r="O95" s="164"/>
      <c r="P95" s="164"/>
      <c r="Q95" s="164"/>
      <c r="R95" s="164"/>
      <c r="S95" s="165"/>
    </row>
    <row r="96" spans="1:19" ht="129" customHeight="1">
      <c r="B96" s="156"/>
      <c r="C96" s="30" t="s">
        <v>61</v>
      </c>
      <c r="D96" s="146" t="s">
        <v>173</v>
      </c>
      <c r="E96" s="147"/>
      <c r="F96" s="147"/>
      <c r="G96" s="147"/>
      <c r="H96" s="147"/>
      <c r="I96" s="147"/>
      <c r="J96" s="147"/>
      <c r="K96" s="147"/>
      <c r="L96" s="147"/>
      <c r="M96" s="147"/>
      <c r="N96" s="147"/>
      <c r="O96" s="147"/>
      <c r="P96" s="147"/>
      <c r="Q96" s="147"/>
      <c r="R96" s="147"/>
      <c r="S96" s="148"/>
    </row>
    <row r="97" spans="1:19" ht="252" customHeight="1">
      <c r="B97" s="155" t="s">
        <v>80</v>
      </c>
      <c r="C97" s="29" t="s">
        <v>58</v>
      </c>
      <c r="D97" s="158" t="s">
        <v>176</v>
      </c>
      <c r="E97" s="158"/>
      <c r="F97" s="158"/>
      <c r="G97" s="158"/>
      <c r="H97" s="158"/>
      <c r="I97" s="158"/>
      <c r="J97" s="158"/>
      <c r="K97" s="158"/>
      <c r="L97" s="158"/>
      <c r="M97" s="158"/>
      <c r="N97" s="158"/>
      <c r="O97" s="158"/>
      <c r="P97" s="158"/>
      <c r="Q97" s="158"/>
      <c r="R97" s="158"/>
      <c r="S97" s="159"/>
    </row>
    <row r="98" spans="1:19" ht="154.5" customHeight="1">
      <c r="B98" s="157"/>
      <c r="C98" s="32" t="s">
        <v>76</v>
      </c>
      <c r="D98" s="149" t="s">
        <v>174</v>
      </c>
      <c r="E98" s="150"/>
      <c r="F98" s="150"/>
      <c r="G98" s="150"/>
      <c r="H98" s="150"/>
      <c r="I98" s="150"/>
      <c r="J98" s="150"/>
      <c r="K98" s="150"/>
      <c r="L98" s="150"/>
      <c r="M98" s="150"/>
      <c r="N98" s="150"/>
      <c r="O98" s="150"/>
      <c r="P98" s="150"/>
      <c r="Q98" s="150"/>
      <c r="R98" s="150"/>
      <c r="S98" s="151"/>
    </row>
    <row r="99" spans="1:19" ht="97.5" customHeight="1">
      <c r="B99" s="156"/>
      <c r="C99" s="31" t="s">
        <v>77</v>
      </c>
      <c r="D99" s="160" t="s">
        <v>175</v>
      </c>
      <c r="E99" s="161"/>
      <c r="F99" s="161"/>
      <c r="G99" s="161"/>
      <c r="H99" s="161"/>
      <c r="I99" s="161"/>
      <c r="J99" s="161"/>
      <c r="K99" s="161"/>
      <c r="L99" s="161"/>
      <c r="M99" s="161"/>
      <c r="N99" s="161"/>
      <c r="O99" s="161"/>
      <c r="P99" s="161"/>
      <c r="Q99" s="161"/>
      <c r="R99" s="161"/>
      <c r="S99" s="162"/>
    </row>
    <row r="100" spans="1:19" ht="6" customHeight="1"/>
    <row r="101" spans="1:19" ht="18.75" customHeight="1">
      <c r="A101" s="1" t="s">
        <v>121</v>
      </c>
    </row>
    <row r="102" spans="1:19" ht="81.75" customHeight="1">
      <c r="B102" s="126" t="s">
        <v>152</v>
      </c>
      <c r="C102" s="127"/>
      <c r="D102" s="127"/>
      <c r="E102" s="127"/>
      <c r="F102" s="127"/>
      <c r="G102" s="127"/>
      <c r="H102" s="127"/>
      <c r="I102" s="127"/>
      <c r="J102" s="127"/>
      <c r="K102" s="127"/>
      <c r="L102" s="127"/>
      <c r="M102" s="127"/>
      <c r="N102" s="127"/>
      <c r="O102" s="127"/>
      <c r="P102" s="127"/>
      <c r="Q102" s="127"/>
      <c r="R102" s="127"/>
      <c r="S102" s="128"/>
    </row>
    <row r="110" spans="1:19" ht="18" customHeight="1"/>
  </sheetData>
  <mergeCells count="141">
    <mergeCell ref="J36:O36"/>
    <mergeCell ref="J37:O37"/>
    <mergeCell ref="J38:O38"/>
    <mergeCell ref="J57:O57"/>
    <mergeCell ref="J58:O58"/>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J53:O53"/>
    <mergeCell ref="A66:S6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P69:S75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tabSelected="1" view="pageBreakPreview" topLeftCell="B1" zoomScaleNormal="100" zoomScaleSheetLayoutView="100" workbookViewId="0">
      <selection activeCell="B1" sqref="B1"/>
    </sheetView>
  </sheetViews>
  <sheetFormatPr defaultColWidth="9" defaultRowHeight="18.75" customHeight="1"/>
  <cols>
    <col min="1" max="1" width="2.875" style="1" customWidth="1"/>
    <col min="2" max="2" width="20.875" style="1" customWidth="1"/>
    <col min="3" max="5" width="6.125" style="1" customWidth="1"/>
    <col min="6" max="42" width="4.875" style="1" customWidth="1"/>
    <col min="43" max="43" width="6.625" style="1" customWidth="1"/>
    <col min="44" max="16384" width="9" style="1"/>
  </cols>
  <sheetData>
    <row r="1" spans="1:45" ht="18" customHeight="1">
      <c r="AQ1" s="1" t="s">
        <v>107</v>
      </c>
    </row>
    <row r="2" spans="1:45" ht="18" customHeight="1">
      <c r="K2" s="34"/>
      <c r="Q2" s="34"/>
      <c r="W2" s="34"/>
      <c r="AC2" s="34"/>
      <c r="AI2" s="34"/>
      <c r="AL2" s="34" t="s">
        <v>109</v>
      </c>
      <c r="AM2" s="174" t="str">
        <f>'様式１　プログラムを構成する授業科目'!C2</f>
        <v>岩手県立大学宮古短期大学部</v>
      </c>
      <c r="AN2" s="174"/>
      <c r="AO2" s="174"/>
      <c r="AP2" s="174"/>
      <c r="AQ2" s="174"/>
    </row>
    <row r="3" spans="1:45" ht="18" customHeight="1">
      <c r="A3" s="113" t="s">
        <v>48</v>
      </c>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c r="AO3" s="113"/>
      <c r="AP3" s="113"/>
      <c r="AQ3" s="113"/>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84</v>
      </c>
      <c r="C5" s="175">
        <v>4</v>
      </c>
      <c r="D5" s="176"/>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177" t="s">
        <v>45</v>
      </c>
      <c r="C9" s="192" t="s">
        <v>87</v>
      </c>
      <c r="D9" s="180" t="s">
        <v>47</v>
      </c>
      <c r="E9" s="183" t="s">
        <v>40</v>
      </c>
      <c r="F9" s="173" t="s">
        <v>86</v>
      </c>
      <c r="G9" s="173"/>
      <c r="H9" s="173"/>
      <c r="I9" s="173"/>
      <c r="J9" s="173"/>
      <c r="K9" s="173"/>
      <c r="L9" s="173" t="s">
        <v>49</v>
      </c>
      <c r="M9" s="173"/>
      <c r="N9" s="173"/>
      <c r="O9" s="173"/>
      <c r="P9" s="173"/>
      <c r="Q9" s="173"/>
      <c r="R9" s="173" t="s">
        <v>50</v>
      </c>
      <c r="S9" s="173"/>
      <c r="T9" s="173"/>
      <c r="U9" s="173"/>
      <c r="V9" s="173"/>
      <c r="W9" s="173"/>
      <c r="X9" s="173" t="s">
        <v>101</v>
      </c>
      <c r="Y9" s="173"/>
      <c r="Z9" s="173"/>
      <c r="AA9" s="173"/>
      <c r="AB9" s="173"/>
      <c r="AC9" s="173"/>
      <c r="AD9" s="173" t="s">
        <v>51</v>
      </c>
      <c r="AE9" s="173"/>
      <c r="AF9" s="173"/>
      <c r="AG9" s="173"/>
      <c r="AH9" s="173"/>
      <c r="AI9" s="173"/>
      <c r="AJ9" s="173" t="s">
        <v>52</v>
      </c>
      <c r="AK9" s="173"/>
      <c r="AL9" s="173"/>
      <c r="AM9" s="173"/>
      <c r="AN9" s="173"/>
      <c r="AO9" s="173"/>
      <c r="AP9" s="186" t="s">
        <v>35</v>
      </c>
      <c r="AQ9" s="189" t="s">
        <v>32</v>
      </c>
      <c r="AS9" s="2"/>
    </row>
    <row r="10" spans="1:45" ht="17.100000000000001" customHeight="1">
      <c r="B10" s="178"/>
      <c r="C10" s="193"/>
      <c r="D10" s="181"/>
      <c r="E10" s="184"/>
      <c r="F10" s="171" t="s">
        <v>97</v>
      </c>
      <c r="G10" s="172"/>
      <c r="H10" s="172"/>
      <c r="I10" s="171" t="s">
        <v>29</v>
      </c>
      <c r="J10" s="172"/>
      <c r="K10" s="172"/>
      <c r="L10" s="171" t="s">
        <v>97</v>
      </c>
      <c r="M10" s="172"/>
      <c r="N10" s="172"/>
      <c r="O10" s="171" t="s">
        <v>29</v>
      </c>
      <c r="P10" s="172"/>
      <c r="Q10" s="172"/>
      <c r="R10" s="171" t="s">
        <v>97</v>
      </c>
      <c r="S10" s="172"/>
      <c r="T10" s="172"/>
      <c r="U10" s="171" t="s">
        <v>29</v>
      </c>
      <c r="V10" s="172"/>
      <c r="W10" s="172"/>
      <c r="X10" s="171" t="s">
        <v>97</v>
      </c>
      <c r="Y10" s="172"/>
      <c r="Z10" s="172"/>
      <c r="AA10" s="171" t="s">
        <v>29</v>
      </c>
      <c r="AB10" s="172"/>
      <c r="AC10" s="172"/>
      <c r="AD10" s="171" t="s">
        <v>97</v>
      </c>
      <c r="AE10" s="172"/>
      <c r="AF10" s="172"/>
      <c r="AG10" s="171" t="s">
        <v>29</v>
      </c>
      <c r="AH10" s="172"/>
      <c r="AI10" s="172"/>
      <c r="AJ10" s="171" t="s">
        <v>97</v>
      </c>
      <c r="AK10" s="172"/>
      <c r="AL10" s="172"/>
      <c r="AM10" s="171" t="s">
        <v>29</v>
      </c>
      <c r="AN10" s="172"/>
      <c r="AO10" s="172"/>
      <c r="AP10" s="187"/>
      <c r="AQ10" s="190"/>
      <c r="AS10" s="2"/>
    </row>
    <row r="11" spans="1:45" ht="18" customHeight="1">
      <c r="B11" s="179"/>
      <c r="C11" s="194"/>
      <c r="D11" s="182"/>
      <c r="E11" s="185"/>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88"/>
      <c r="AQ11" s="191"/>
      <c r="AS11" s="2"/>
    </row>
    <row r="12" spans="1:45" ht="18" customHeight="1">
      <c r="A12" s="6"/>
      <c r="B12" s="11" t="s">
        <v>141</v>
      </c>
      <c r="C12" s="59">
        <v>214</v>
      </c>
      <c r="D12" s="60">
        <v>100</v>
      </c>
      <c r="E12" s="61">
        <v>200</v>
      </c>
      <c r="F12" s="79">
        <v>100</v>
      </c>
      <c r="G12" s="82"/>
      <c r="H12" s="83"/>
      <c r="I12" s="79">
        <v>80</v>
      </c>
      <c r="J12" s="82"/>
      <c r="K12" s="83"/>
      <c r="L12" s="61">
        <f>M12+N12</f>
        <v>0</v>
      </c>
      <c r="M12" s="62"/>
      <c r="N12" s="63"/>
      <c r="O12" s="61">
        <f>P12+Q12</f>
        <v>0</v>
      </c>
      <c r="P12" s="62"/>
      <c r="Q12" s="63"/>
      <c r="R12" s="61">
        <f>S12+T12</f>
        <v>0</v>
      </c>
      <c r="S12" s="62"/>
      <c r="T12" s="63"/>
      <c r="U12" s="61">
        <f>V12+W12</f>
        <v>0</v>
      </c>
      <c r="V12" s="62"/>
      <c r="W12" s="63"/>
      <c r="X12" s="61">
        <f>Y12+Z12</f>
        <v>0</v>
      </c>
      <c r="Y12" s="62"/>
      <c r="Z12" s="63"/>
      <c r="AA12" s="61">
        <f>AB12+AC12</f>
        <v>0</v>
      </c>
      <c r="AB12" s="62"/>
      <c r="AC12" s="63"/>
      <c r="AD12" s="61">
        <f>AE12+AF12</f>
        <v>0</v>
      </c>
      <c r="AE12" s="62"/>
      <c r="AF12" s="63"/>
      <c r="AG12" s="61">
        <f>AH12+AI12</f>
        <v>0</v>
      </c>
      <c r="AH12" s="62"/>
      <c r="AI12" s="63"/>
      <c r="AJ12" s="61">
        <f>AK12+AL12</f>
        <v>0</v>
      </c>
      <c r="AK12" s="62"/>
      <c r="AL12" s="63"/>
      <c r="AM12" s="61">
        <f>AN12+AO12</f>
        <v>0</v>
      </c>
      <c r="AN12" s="62"/>
      <c r="AO12" s="63"/>
      <c r="AP12" s="60">
        <f>F12+L12+R12+X12+AD12+AJ12</f>
        <v>100</v>
      </c>
      <c r="AQ12" s="84">
        <f t="shared" ref="AQ12:AQ32" si="0">AP12/E12</f>
        <v>0.5</v>
      </c>
    </row>
    <row r="13" spans="1:45" ht="18" customHeight="1">
      <c r="A13" s="6"/>
      <c r="B13" s="12"/>
      <c r="C13" s="64"/>
      <c r="D13" s="65"/>
      <c r="E13" s="66"/>
      <c r="F13" s="67">
        <f t="shared" ref="F13:F31" si="1">G13+H13</f>
        <v>0</v>
      </c>
      <c r="G13" s="68"/>
      <c r="H13" s="69"/>
      <c r="I13" s="67">
        <f t="shared" ref="I13:I31" si="2">J13+K13</f>
        <v>0</v>
      </c>
      <c r="J13" s="68"/>
      <c r="K13" s="69"/>
      <c r="L13" s="67">
        <f t="shared" ref="L13:L31" si="3">M13+N13</f>
        <v>0</v>
      </c>
      <c r="M13" s="68"/>
      <c r="N13" s="69"/>
      <c r="O13" s="67">
        <f t="shared" ref="O13:O31" si="4">P13+Q13</f>
        <v>0</v>
      </c>
      <c r="P13" s="68"/>
      <c r="Q13" s="69"/>
      <c r="R13" s="67">
        <f t="shared" ref="R13:R31" si="5">S13+T13</f>
        <v>0</v>
      </c>
      <c r="S13" s="68"/>
      <c r="T13" s="69"/>
      <c r="U13" s="67">
        <f t="shared" ref="U13:U31" si="6">V13+W13</f>
        <v>0</v>
      </c>
      <c r="V13" s="68"/>
      <c r="W13" s="69"/>
      <c r="X13" s="67">
        <f t="shared" ref="X13:X31" si="7">Y13+Z13</f>
        <v>0</v>
      </c>
      <c r="Y13" s="68"/>
      <c r="Z13" s="69"/>
      <c r="AA13" s="67">
        <f t="shared" ref="AA13:AA31" si="8">AB13+AC13</f>
        <v>0</v>
      </c>
      <c r="AB13" s="68"/>
      <c r="AC13" s="69"/>
      <c r="AD13" s="67">
        <f t="shared" ref="AD13:AD31" si="9">AE13+AF13</f>
        <v>0</v>
      </c>
      <c r="AE13" s="68"/>
      <c r="AF13" s="69"/>
      <c r="AG13" s="67">
        <f t="shared" ref="AG13:AG31" si="10">AH13+AI13</f>
        <v>0</v>
      </c>
      <c r="AH13" s="68"/>
      <c r="AI13" s="69"/>
      <c r="AJ13" s="67">
        <f t="shared" ref="AJ13:AJ31" si="11">AK13+AL13</f>
        <v>0</v>
      </c>
      <c r="AK13" s="68"/>
      <c r="AL13" s="69"/>
      <c r="AM13" s="67">
        <f t="shared" ref="AM13:AM31" si="12">AN13+AO13</f>
        <v>0</v>
      </c>
      <c r="AN13" s="68"/>
      <c r="AO13" s="69"/>
      <c r="AP13" s="65">
        <f t="shared" ref="AP13:AP31" si="13">F13+L13+R13+X13+AD13+AJ13</f>
        <v>0</v>
      </c>
      <c r="AQ13" s="20" t="e">
        <f t="shared" si="0"/>
        <v>#DIV/0!</v>
      </c>
    </row>
    <row r="14" spans="1:45" ht="18" customHeight="1">
      <c r="A14" s="6"/>
      <c r="B14" s="12"/>
      <c r="C14" s="64"/>
      <c r="D14" s="65"/>
      <c r="E14" s="66"/>
      <c r="F14" s="67">
        <f t="shared" si="1"/>
        <v>0</v>
      </c>
      <c r="G14" s="68"/>
      <c r="H14" s="69"/>
      <c r="I14" s="67">
        <f t="shared" si="2"/>
        <v>0</v>
      </c>
      <c r="J14" s="68"/>
      <c r="K14" s="69"/>
      <c r="L14" s="67">
        <f t="shared" si="3"/>
        <v>0</v>
      </c>
      <c r="M14" s="68"/>
      <c r="N14" s="69"/>
      <c r="O14" s="67">
        <f t="shared" si="4"/>
        <v>0</v>
      </c>
      <c r="P14" s="68"/>
      <c r="Q14" s="69"/>
      <c r="R14" s="67">
        <f t="shared" si="5"/>
        <v>0</v>
      </c>
      <c r="S14" s="68"/>
      <c r="T14" s="69"/>
      <c r="U14" s="67">
        <f t="shared" si="6"/>
        <v>0</v>
      </c>
      <c r="V14" s="68"/>
      <c r="W14" s="69"/>
      <c r="X14" s="67">
        <f t="shared" si="7"/>
        <v>0</v>
      </c>
      <c r="Y14" s="68"/>
      <c r="Z14" s="69"/>
      <c r="AA14" s="67">
        <f t="shared" si="8"/>
        <v>0</v>
      </c>
      <c r="AB14" s="68"/>
      <c r="AC14" s="69"/>
      <c r="AD14" s="67">
        <f t="shared" si="9"/>
        <v>0</v>
      </c>
      <c r="AE14" s="68"/>
      <c r="AF14" s="69"/>
      <c r="AG14" s="67">
        <f t="shared" si="10"/>
        <v>0</v>
      </c>
      <c r="AH14" s="68"/>
      <c r="AI14" s="69"/>
      <c r="AJ14" s="67">
        <f t="shared" si="11"/>
        <v>0</v>
      </c>
      <c r="AK14" s="68"/>
      <c r="AL14" s="69"/>
      <c r="AM14" s="67">
        <f t="shared" si="12"/>
        <v>0</v>
      </c>
      <c r="AN14" s="68"/>
      <c r="AO14" s="69"/>
      <c r="AP14" s="65">
        <f t="shared" si="13"/>
        <v>0</v>
      </c>
      <c r="AQ14" s="8" t="e">
        <f t="shared" si="0"/>
        <v>#DIV/0!</v>
      </c>
    </row>
    <row r="15" spans="1:45" ht="18" customHeight="1">
      <c r="A15" s="6"/>
      <c r="B15" s="12"/>
      <c r="C15" s="64"/>
      <c r="D15" s="65"/>
      <c r="E15" s="66"/>
      <c r="F15" s="67">
        <f t="shared" si="1"/>
        <v>0</v>
      </c>
      <c r="G15" s="68"/>
      <c r="H15" s="69"/>
      <c r="I15" s="67">
        <f t="shared" si="2"/>
        <v>0</v>
      </c>
      <c r="J15" s="68"/>
      <c r="K15" s="69"/>
      <c r="L15" s="67">
        <f t="shared" si="3"/>
        <v>0</v>
      </c>
      <c r="M15" s="68"/>
      <c r="N15" s="69"/>
      <c r="O15" s="67">
        <f t="shared" si="4"/>
        <v>0</v>
      </c>
      <c r="P15" s="68"/>
      <c r="Q15" s="69"/>
      <c r="R15" s="67">
        <f t="shared" si="5"/>
        <v>0</v>
      </c>
      <c r="S15" s="68"/>
      <c r="T15" s="69"/>
      <c r="U15" s="67">
        <f t="shared" si="6"/>
        <v>0</v>
      </c>
      <c r="V15" s="68"/>
      <c r="W15" s="69"/>
      <c r="X15" s="67">
        <f t="shared" si="7"/>
        <v>0</v>
      </c>
      <c r="Y15" s="68"/>
      <c r="Z15" s="69"/>
      <c r="AA15" s="67">
        <f t="shared" si="8"/>
        <v>0</v>
      </c>
      <c r="AB15" s="68"/>
      <c r="AC15" s="69"/>
      <c r="AD15" s="67">
        <f t="shared" si="9"/>
        <v>0</v>
      </c>
      <c r="AE15" s="68"/>
      <c r="AF15" s="69"/>
      <c r="AG15" s="67">
        <f t="shared" si="10"/>
        <v>0</v>
      </c>
      <c r="AH15" s="68"/>
      <c r="AI15" s="69"/>
      <c r="AJ15" s="67">
        <f t="shared" si="11"/>
        <v>0</v>
      </c>
      <c r="AK15" s="68"/>
      <c r="AL15" s="69"/>
      <c r="AM15" s="67">
        <f t="shared" si="12"/>
        <v>0</v>
      </c>
      <c r="AN15" s="68"/>
      <c r="AO15" s="69"/>
      <c r="AP15" s="65">
        <f t="shared" si="13"/>
        <v>0</v>
      </c>
      <c r="AQ15" s="8" t="e">
        <f t="shared" si="0"/>
        <v>#DIV/0!</v>
      </c>
    </row>
    <row r="16" spans="1:45" ht="18" customHeight="1">
      <c r="A16" s="6"/>
      <c r="B16" s="12"/>
      <c r="C16" s="64"/>
      <c r="D16" s="65"/>
      <c r="E16" s="66"/>
      <c r="F16" s="67">
        <f t="shared" si="1"/>
        <v>0</v>
      </c>
      <c r="G16" s="68"/>
      <c r="H16" s="69"/>
      <c r="I16" s="67">
        <f t="shared" si="2"/>
        <v>0</v>
      </c>
      <c r="J16" s="68"/>
      <c r="K16" s="69"/>
      <c r="L16" s="67">
        <f t="shared" si="3"/>
        <v>0</v>
      </c>
      <c r="M16" s="68"/>
      <c r="N16" s="69"/>
      <c r="O16" s="67">
        <f t="shared" si="4"/>
        <v>0</v>
      </c>
      <c r="P16" s="68"/>
      <c r="Q16" s="69"/>
      <c r="R16" s="67">
        <f t="shared" si="5"/>
        <v>0</v>
      </c>
      <c r="S16" s="68"/>
      <c r="T16" s="69"/>
      <c r="U16" s="67">
        <f t="shared" si="6"/>
        <v>0</v>
      </c>
      <c r="V16" s="68"/>
      <c r="W16" s="69"/>
      <c r="X16" s="67">
        <f t="shared" si="7"/>
        <v>0</v>
      </c>
      <c r="Y16" s="68"/>
      <c r="Z16" s="69"/>
      <c r="AA16" s="67">
        <f t="shared" si="8"/>
        <v>0</v>
      </c>
      <c r="AB16" s="68"/>
      <c r="AC16" s="69"/>
      <c r="AD16" s="67">
        <f t="shared" si="9"/>
        <v>0</v>
      </c>
      <c r="AE16" s="68"/>
      <c r="AF16" s="69"/>
      <c r="AG16" s="67">
        <f t="shared" si="10"/>
        <v>0</v>
      </c>
      <c r="AH16" s="68"/>
      <c r="AI16" s="69"/>
      <c r="AJ16" s="67">
        <f t="shared" si="11"/>
        <v>0</v>
      </c>
      <c r="AK16" s="68"/>
      <c r="AL16" s="69"/>
      <c r="AM16" s="67">
        <f t="shared" si="12"/>
        <v>0</v>
      </c>
      <c r="AN16" s="68"/>
      <c r="AO16" s="69"/>
      <c r="AP16" s="65">
        <f t="shared" si="13"/>
        <v>0</v>
      </c>
      <c r="AQ16" s="8" t="e">
        <f t="shared" si="0"/>
        <v>#DIV/0!</v>
      </c>
    </row>
    <row r="17" spans="1:43" ht="18" customHeight="1">
      <c r="A17" s="6"/>
      <c r="B17" s="12"/>
      <c r="C17" s="64"/>
      <c r="D17" s="65"/>
      <c r="E17" s="66"/>
      <c r="F17" s="67">
        <f t="shared" si="1"/>
        <v>0</v>
      </c>
      <c r="G17" s="68"/>
      <c r="H17" s="69"/>
      <c r="I17" s="67">
        <f t="shared" si="2"/>
        <v>0</v>
      </c>
      <c r="J17" s="68"/>
      <c r="K17" s="69"/>
      <c r="L17" s="67">
        <f t="shared" si="3"/>
        <v>0</v>
      </c>
      <c r="M17" s="68"/>
      <c r="N17" s="69"/>
      <c r="O17" s="67">
        <f t="shared" si="4"/>
        <v>0</v>
      </c>
      <c r="P17" s="68"/>
      <c r="Q17" s="69"/>
      <c r="R17" s="67">
        <f t="shared" si="5"/>
        <v>0</v>
      </c>
      <c r="S17" s="68"/>
      <c r="T17" s="69"/>
      <c r="U17" s="67">
        <f t="shared" si="6"/>
        <v>0</v>
      </c>
      <c r="V17" s="68"/>
      <c r="W17" s="69"/>
      <c r="X17" s="67">
        <f t="shared" si="7"/>
        <v>0</v>
      </c>
      <c r="Y17" s="68"/>
      <c r="Z17" s="69"/>
      <c r="AA17" s="67">
        <f t="shared" si="8"/>
        <v>0</v>
      </c>
      <c r="AB17" s="68"/>
      <c r="AC17" s="69"/>
      <c r="AD17" s="67">
        <f t="shared" si="9"/>
        <v>0</v>
      </c>
      <c r="AE17" s="68"/>
      <c r="AF17" s="69"/>
      <c r="AG17" s="67">
        <f t="shared" si="10"/>
        <v>0</v>
      </c>
      <c r="AH17" s="68"/>
      <c r="AI17" s="69"/>
      <c r="AJ17" s="67">
        <f t="shared" si="11"/>
        <v>0</v>
      </c>
      <c r="AK17" s="68"/>
      <c r="AL17" s="69"/>
      <c r="AM17" s="67">
        <f t="shared" si="12"/>
        <v>0</v>
      </c>
      <c r="AN17" s="68"/>
      <c r="AO17" s="69"/>
      <c r="AP17" s="65">
        <f t="shared" si="13"/>
        <v>0</v>
      </c>
      <c r="AQ17" s="8" t="e">
        <f t="shared" si="0"/>
        <v>#DIV/0!</v>
      </c>
    </row>
    <row r="18" spans="1:43" ht="18" customHeight="1">
      <c r="A18" s="6"/>
      <c r="B18" s="12"/>
      <c r="C18" s="64"/>
      <c r="D18" s="65"/>
      <c r="E18" s="66"/>
      <c r="F18" s="67">
        <f t="shared" si="1"/>
        <v>0</v>
      </c>
      <c r="G18" s="68"/>
      <c r="H18" s="69"/>
      <c r="I18" s="67">
        <f t="shared" si="2"/>
        <v>0</v>
      </c>
      <c r="J18" s="68"/>
      <c r="K18" s="69"/>
      <c r="L18" s="67">
        <f t="shared" si="3"/>
        <v>0</v>
      </c>
      <c r="M18" s="68"/>
      <c r="N18" s="69"/>
      <c r="O18" s="67">
        <f t="shared" si="4"/>
        <v>0</v>
      </c>
      <c r="P18" s="68"/>
      <c r="Q18" s="69"/>
      <c r="R18" s="67">
        <f t="shared" si="5"/>
        <v>0</v>
      </c>
      <c r="S18" s="68"/>
      <c r="T18" s="69"/>
      <c r="U18" s="67">
        <f t="shared" si="6"/>
        <v>0</v>
      </c>
      <c r="V18" s="68"/>
      <c r="W18" s="69"/>
      <c r="X18" s="67">
        <f t="shared" si="7"/>
        <v>0</v>
      </c>
      <c r="Y18" s="68"/>
      <c r="Z18" s="69"/>
      <c r="AA18" s="67">
        <f t="shared" si="8"/>
        <v>0</v>
      </c>
      <c r="AB18" s="68"/>
      <c r="AC18" s="69"/>
      <c r="AD18" s="67">
        <f t="shared" si="9"/>
        <v>0</v>
      </c>
      <c r="AE18" s="68"/>
      <c r="AF18" s="69"/>
      <c r="AG18" s="67">
        <f t="shared" si="10"/>
        <v>0</v>
      </c>
      <c r="AH18" s="68"/>
      <c r="AI18" s="69"/>
      <c r="AJ18" s="67">
        <f t="shared" si="11"/>
        <v>0</v>
      </c>
      <c r="AK18" s="68"/>
      <c r="AL18" s="69"/>
      <c r="AM18" s="67">
        <f t="shared" si="12"/>
        <v>0</v>
      </c>
      <c r="AN18" s="68"/>
      <c r="AO18" s="69"/>
      <c r="AP18" s="65">
        <f t="shared" si="13"/>
        <v>0</v>
      </c>
      <c r="AQ18" s="8" t="e">
        <f t="shared" si="0"/>
        <v>#DIV/0!</v>
      </c>
    </row>
    <row r="19" spans="1:43" ht="18" customHeight="1">
      <c r="A19" s="6"/>
      <c r="B19" s="12"/>
      <c r="C19" s="64"/>
      <c r="D19" s="65"/>
      <c r="E19" s="66"/>
      <c r="F19" s="67">
        <f t="shared" si="1"/>
        <v>0</v>
      </c>
      <c r="G19" s="68"/>
      <c r="H19" s="69"/>
      <c r="I19" s="67">
        <f t="shared" si="2"/>
        <v>0</v>
      </c>
      <c r="J19" s="68"/>
      <c r="K19" s="69"/>
      <c r="L19" s="67">
        <f t="shared" si="3"/>
        <v>0</v>
      </c>
      <c r="M19" s="68"/>
      <c r="N19" s="69"/>
      <c r="O19" s="67">
        <f t="shared" si="4"/>
        <v>0</v>
      </c>
      <c r="P19" s="68"/>
      <c r="Q19" s="69"/>
      <c r="R19" s="67">
        <f t="shared" si="5"/>
        <v>0</v>
      </c>
      <c r="S19" s="68"/>
      <c r="T19" s="69"/>
      <c r="U19" s="67">
        <f t="shared" si="6"/>
        <v>0</v>
      </c>
      <c r="V19" s="68"/>
      <c r="W19" s="69"/>
      <c r="X19" s="67">
        <f t="shared" si="7"/>
        <v>0</v>
      </c>
      <c r="Y19" s="68"/>
      <c r="Z19" s="69"/>
      <c r="AA19" s="67">
        <f t="shared" si="8"/>
        <v>0</v>
      </c>
      <c r="AB19" s="68"/>
      <c r="AC19" s="69"/>
      <c r="AD19" s="67">
        <f t="shared" si="9"/>
        <v>0</v>
      </c>
      <c r="AE19" s="68"/>
      <c r="AF19" s="69"/>
      <c r="AG19" s="67">
        <f t="shared" si="10"/>
        <v>0</v>
      </c>
      <c r="AH19" s="68"/>
      <c r="AI19" s="69"/>
      <c r="AJ19" s="67">
        <f t="shared" si="11"/>
        <v>0</v>
      </c>
      <c r="AK19" s="68"/>
      <c r="AL19" s="69"/>
      <c r="AM19" s="67">
        <f t="shared" si="12"/>
        <v>0</v>
      </c>
      <c r="AN19" s="68"/>
      <c r="AO19" s="69"/>
      <c r="AP19" s="65">
        <f t="shared" si="13"/>
        <v>0</v>
      </c>
      <c r="AQ19" s="8" t="e">
        <f t="shared" si="0"/>
        <v>#DIV/0!</v>
      </c>
    </row>
    <row r="20" spans="1:43" ht="18" customHeight="1">
      <c r="A20" s="6"/>
      <c r="B20" s="12"/>
      <c r="C20" s="64"/>
      <c r="D20" s="65"/>
      <c r="E20" s="66"/>
      <c r="F20" s="67">
        <f t="shared" si="1"/>
        <v>0</v>
      </c>
      <c r="G20" s="68"/>
      <c r="H20" s="69"/>
      <c r="I20" s="67">
        <f t="shared" si="2"/>
        <v>0</v>
      </c>
      <c r="J20" s="68"/>
      <c r="K20" s="69"/>
      <c r="L20" s="67">
        <f t="shared" si="3"/>
        <v>0</v>
      </c>
      <c r="M20" s="68"/>
      <c r="N20" s="69"/>
      <c r="O20" s="67">
        <f t="shared" si="4"/>
        <v>0</v>
      </c>
      <c r="P20" s="68"/>
      <c r="Q20" s="69"/>
      <c r="R20" s="67">
        <f t="shared" si="5"/>
        <v>0</v>
      </c>
      <c r="S20" s="68"/>
      <c r="T20" s="69"/>
      <c r="U20" s="67">
        <f t="shared" si="6"/>
        <v>0</v>
      </c>
      <c r="V20" s="68"/>
      <c r="W20" s="69"/>
      <c r="X20" s="67">
        <f t="shared" si="7"/>
        <v>0</v>
      </c>
      <c r="Y20" s="68"/>
      <c r="Z20" s="69"/>
      <c r="AA20" s="67">
        <f t="shared" si="8"/>
        <v>0</v>
      </c>
      <c r="AB20" s="68"/>
      <c r="AC20" s="69"/>
      <c r="AD20" s="67">
        <f t="shared" si="9"/>
        <v>0</v>
      </c>
      <c r="AE20" s="68"/>
      <c r="AF20" s="69"/>
      <c r="AG20" s="67">
        <f t="shared" si="10"/>
        <v>0</v>
      </c>
      <c r="AH20" s="68"/>
      <c r="AI20" s="69"/>
      <c r="AJ20" s="67">
        <f t="shared" si="11"/>
        <v>0</v>
      </c>
      <c r="AK20" s="68"/>
      <c r="AL20" s="69"/>
      <c r="AM20" s="67">
        <f t="shared" si="12"/>
        <v>0</v>
      </c>
      <c r="AN20" s="68"/>
      <c r="AO20" s="69"/>
      <c r="AP20" s="65">
        <f t="shared" si="13"/>
        <v>0</v>
      </c>
      <c r="AQ20" s="8" t="e">
        <f t="shared" si="0"/>
        <v>#DIV/0!</v>
      </c>
    </row>
    <row r="21" spans="1:43" ht="18" customHeight="1">
      <c r="A21" s="6"/>
      <c r="B21" s="12"/>
      <c r="C21" s="64"/>
      <c r="D21" s="65"/>
      <c r="E21" s="66"/>
      <c r="F21" s="67">
        <f t="shared" si="1"/>
        <v>0</v>
      </c>
      <c r="G21" s="68"/>
      <c r="H21" s="69"/>
      <c r="I21" s="67">
        <f t="shared" si="2"/>
        <v>0</v>
      </c>
      <c r="J21" s="68"/>
      <c r="K21" s="69"/>
      <c r="L21" s="67">
        <f t="shared" si="3"/>
        <v>0</v>
      </c>
      <c r="M21" s="68"/>
      <c r="N21" s="69"/>
      <c r="O21" s="67">
        <f t="shared" si="4"/>
        <v>0</v>
      </c>
      <c r="P21" s="68"/>
      <c r="Q21" s="69"/>
      <c r="R21" s="67">
        <f t="shared" si="5"/>
        <v>0</v>
      </c>
      <c r="S21" s="68"/>
      <c r="T21" s="69"/>
      <c r="U21" s="67">
        <f t="shared" si="6"/>
        <v>0</v>
      </c>
      <c r="V21" s="68"/>
      <c r="W21" s="69"/>
      <c r="X21" s="67">
        <f t="shared" si="7"/>
        <v>0</v>
      </c>
      <c r="Y21" s="68"/>
      <c r="Z21" s="69"/>
      <c r="AA21" s="67">
        <f t="shared" si="8"/>
        <v>0</v>
      </c>
      <c r="AB21" s="68"/>
      <c r="AC21" s="69"/>
      <c r="AD21" s="67">
        <f t="shared" si="9"/>
        <v>0</v>
      </c>
      <c r="AE21" s="68"/>
      <c r="AF21" s="69"/>
      <c r="AG21" s="67">
        <f t="shared" si="10"/>
        <v>0</v>
      </c>
      <c r="AH21" s="68"/>
      <c r="AI21" s="69"/>
      <c r="AJ21" s="67">
        <f t="shared" si="11"/>
        <v>0</v>
      </c>
      <c r="AK21" s="68"/>
      <c r="AL21" s="69"/>
      <c r="AM21" s="67">
        <f t="shared" si="12"/>
        <v>0</v>
      </c>
      <c r="AN21" s="68"/>
      <c r="AO21" s="69"/>
      <c r="AP21" s="65">
        <f t="shared" si="13"/>
        <v>0</v>
      </c>
      <c r="AQ21" s="8" t="e">
        <f t="shared" si="0"/>
        <v>#DIV/0!</v>
      </c>
    </row>
    <row r="22" spans="1:43" ht="18" customHeight="1">
      <c r="A22" s="6"/>
      <c r="B22" s="12"/>
      <c r="C22" s="64"/>
      <c r="D22" s="65"/>
      <c r="E22" s="66"/>
      <c r="F22" s="67">
        <f t="shared" si="1"/>
        <v>0</v>
      </c>
      <c r="G22" s="68"/>
      <c r="H22" s="69"/>
      <c r="I22" s="67">
        <f t="shared" si="2"/>
        <v>0</v>
      </c>
      <c r="J22" s="68"/>
      <c r="K22" s="69"/>
      <c r="L22" s="67">
        <f t="shared" si="3"/>
        <v>0</v>
      </c>
      <c r="M22" s="68"/>
      <c r="N22" s="69"/>
      <c r="O22" s="67">
        <f t="shared" si="4"/>
        <v>0</v>
      </c>
      <c r="P22" s="68"/>
      <c r="Q22" s="69"/>
      <c r="R22" s="67">
        <f t="shared" si="5"/>
        <v>0</v>
      </c>
      <c r="S22" s="68"/>
      <c r="T22" s="69"/>
      <c r="U22" s="67">
        <f t="shared" si="6"/>
        <v>0</v>
      </c>
      <c r="V22" s="68"/>
      <c r="W22" s="69"/>
      <c r="X22" s="67">
        <f t="shared" si="7"/>
        <v>0</v>
      </c>
      <c r="Y22" s="68"/>
      <c r="Z22" s="69"/>
      <c r="AA22" s="67">
        <f t="shared" si="8"/>
        <v>0</v>
      </c>
      <c r="AB22" s="68"/>
      <c r="AC22" s="69"/>
      <c r="AD22" s="67">
        <f t="shared" si="9"/>
        <v>0</v>
      </c>
      <c r="AE22" s="68"/>
      <c r="AF22" s="69"/>
      <c r="AG22" s="67">
        <f t="shared" si="10"/>
        <v>0</v>
      </c>
      <c r="AH22" s="68"/>
      <c r="AI22" s="69"/>
      <c r="AJ22" s="67">
        <f t="shared" si="11"/>
        <v>0</v>
      </c>
      <c r="AK22" s="68"/>
      <c r="AL22" s="69"/>
      <c r="AM22" s="67">
        <f t="shared" si="12"/>
        <v>0</v>
      </c>
      <c r="AN22" s="68"/>
      <c r="AO22" s="69"/>
      <c r="AP22" s="65">
        <f t="shared" si="13"/>
        <v>0</v>
      </c>
      <c r="AQ22" s="8" t="e">
        <f t="shared" si="0"/>
        <v>#DIV/0!</v>
      </c>
    </row>
    <row r="23" spans="1:43" ht="18" customHeight="1">
      <c r="A23" s="6"/>
      <c r="B23" s="12"/>
      <c r="C23" s="64"/>
      <c r="D23" s="65"/>
      <c r="E23" s="66"/>
      <c r="F23" s="67">
        <f t="shared" si="1"/>
        <v>0</v>
      </c>
      <c r="G23" s="68"/>
      <c r="H23" s="69"/>
      <c r="I23" s="67">
        <f t="shared" si="2"/>
        <v>0</v>
      </c>
      <c r="J23" s="68"/>
      <c r="K23" s="69"/>
      <c r="L23" s="67">
        <f t="shared" si="3"/>
        <v>0</v>
      </c>
      <c r="M23" s="68"/>
      <c r="N23" s="69"/>
      <c r="O23" s="67">
        <f t="shared" si="4"/>
        <v>0</v>
      </c>
      <c r="P23" s="68"/>
      <c r="Q23" s="69"/>
      <c r="R23" s="67">
        <f t="shared" si="5"/>
        <v>0</v>
      </c>
      <c r="S23" s="68"/>
      <c r="T23" s="69"/>
      <c r="U23" s="67">
        <f t="shared" si="6"/>
        <v>0</v>
      </c>
      <c r="V23" s="68"/>
      <c r="W23" s="69"/>
      <c r="X23" s="67">
        <f t="shared" si="7"/>
        <v>0</v>
      </c>
      <c r="Y23" s="68"/>
      <c r="Z23" s="69"/>
      <c r="AA23" s="67">
        <f t="shared" si="8"/>
        <v>0</v>
      </c>
      <c r="AB23" s="68"/>
      <c r="AC23" s="69"/>
      <c r="AD23" s="67">
        <f t="shared" si="9"/>
        <v>0</v>
      </c>
      <c r="AE23" s="68"/>
      <c r="AF23" s="69"/>
      <c r="AG23" s="67">
        <f t="shared" si="10"/>
        <v>0</v>
      </c>
      <c r="AH23" s="68"/>
      <c r="AI23" s="69"/>
      <c r="AJ23" s="67">
        <f t="shared" si="11"/>
        <v>0</v>
      </c>
      <c r="AK23" s="68"/>
      <c r="AL23" s="69"/>
      <c r="AM23" s="67">
        <f t="shared" si="12"/>
        <v>0</v>
      </c>
      <c r="AN23" s="68"/>
      <c r="AO23" s="69"/>
      <c r="AP23" s="65">
        <f t="shared" si="13"/>
        <v>0</v>
      </c>
      <c r="AQ23" s="8" t="e">
        <f t="shared" si="0"/>
        <v>#DIV/0!</v>
      </c>
    </row>
    <row r="24" spans="1:43" ht="18" customHeight="1">
      <c r="A24" s="6"/>
      <c r="B24" s="12"/>
      <c r="C24" s="64"/>
      <c r="D24" s="65"/>
      <c r="E24" s="66"/>
      <c r="F24" s="67">
        <f t="shared" si="1"/>
        <v>0</v>
      </c>
      <c r="G24" s="68"/>
      <c r="H24" s="69"/>
      <c r="I24" s="67">
        <f t="shared" si="2"/>
        <v>0</v>
      </c>
      <c r="J24" s="68"/>
      <c r="K24" s="69"/>
      <c r="L24" s="67">
        <f t="shared" si="3"/>
        <v>0</v>
      </c>
      <c r="M24" s="68"/>
      <c r="N24" s="69"/>
      <c r="O24" s="67">
        <f t="shared" si="4"/>
        <v>0</v>
      </c>
      <c r="P24" s="68"/>
      <c r="Q24" s="69"/>
      <c r="R24" s="67">
        <f t="shared" si="5"/>
        <v>0</v>
      </c>
      <c r="S24" s="68"/>
      <c r="T24" s="69"/>
      <c r="U24" s="67">
        <f t="shared" si="6"/>
        <v>0</v>
      </c>
      <c r="V24" s="68"/>
      <c r="W24" s="69"/>
      <c r="X24" s="67">
        <f t="shared" si="7"/>
        <v>0</v>
      </c>
      <c r="Y24" s="68"/>
      <c r="Z24" s="69"/>
      <c r="AA24" s="67">
        <f t="shared" si="8"/>
        <v>0</v>
      </c>
      <c r="AB24" s="68"/>
      <c r="AC24" s="69"/>
      <c r="AD24" s="67">
        <f t="shared" si="9"/>
        <v>0</v>
      </c>
      <c r="AE24" s="68"/>
      <c r="AF24" s="69"/>
      <c r="AG24" s="67">
        <f t="shared" si="10"/>
        <v>0</v>
      </c>
      <c r="AH24" s="68"/>
      <c r="AI24" s="69"/>
      <c r="AJ24" s="67">
        <f t="shared" si="11"/>
        <v>0</v>
      </c>
      <c r="AK24" s="68"/>
      <c r="AL24" s="69"/>
      <c r="AM24" s="67">
        <f t="shared" si="12"/>
        <v>0</v>
      </c>
      <c r="AN24" s="68"/>
      <c r="AO24" s="69"/>
      <c r="AP24" s="65">
        <f t="shared" si="13"/>
        <v>0</v>
      </c>
      <c r="AQ24" s="8" t="e">
        <f t="shared" si="0"/>
        <v>#DIV/0!</v>
      </c>
    </row>
    <row r="25" spans="1:43" ht="18" customHeight="1">
      <c r="A25" s="6"/>
      <c r="B25" s="12"/>
      <c r="C25" s="64"/>
      <c r="D25" s="65"/>
      <c r="E25" s="66"/>
      <c r="F25" s="67">
        <f t="shared" si="1"/>
        <v>0</v>
      </c>
      <c r="G25" s="68"/>
      <c r="H25" s="69"/>
      <c r="I25" s="67">
        <f t="shared" si="2"/>
        <v>0</v>
      </c>
      <c r="J25" s="68"/>
      <c r="K25" s="69"/>
      <c r="L25" s="67">
        <f t="shared" si="3"/>
        <v>0</v>
      </c>
      <c r="M25" s="68"/>
      <c r="N25" s="69"/>
      <c r="O25" s="67">
        <f t="shared" si="4"/>
        <v>0</v>
      </c>
      <c r="P25" s="68"/>
      <c r="Q25" s="69"/>
      <c r="R25" s="67">
        <f t="shared" si="5"/>
        <v>0</v>
      </c>
      <c r="S25" s="68"/>
      <c r="T25" s="69"/>
      <c r="U25" s="67">
        <f t="shared" si="6"/>
        <v>0</v>
      </c>
      <c r="V25" s="68"/>
      <c r="W25" s="69"/>
      <c r="X25" s="67">
        <f t="shared" si="7"/>
        <v>0</v>
      </c>
      <c r="Y25" s="68"/>
      <c r="Z25" s="69"/>
      <c r="AA25" s="67">
        <f t="shared" si="8"/>
        <v>0</v>
      </c>
      <c r="AB25" s="68"/>
      <c r="AC25" s="69"/>
      <c r="AD25" s="67">
        <f t="shared" si="9"/>
        <v>0</v>
      </c>
      <c r="AE25" s="68"/>
      <c r="AF25" s="69"/>
      <c r="AG25" s="67">
        <f t="shared" si="10"/>
        <v>0</v>
      </c>
      <c r="AH25" s="68"/>
      <c r="AI25" s="69"/>
      <c r="AJ25" s="67">
        <f t="shared" si="11"/>
        <v>0</v>
      </c>
      <c r="AK25" s="68"/>
      <c r="AL25" s="69"/>
      <c r="AM25" s="67">
        <f t="shared" si="12"/>
        <v>0</v>
      </c>
      <c r="AN25" s="68"/>
      <c r="AO25" s="69"/>
      <c r="AP25" s="65">
        <f t="shared" si="13"/>
        <v>0</v>
      </c>
      <c r="AQ25" s="8" t="e">
        <f t="shared" si="0"/>
        <v>#DIV/0!</v>
      </c>
    </row>
    <row r="26" spans="1:43" ht="18" customHeight="1">
      <c r="A26" s="6"/>
      <c r="B26" s="12"/>
      <c r="C26" s="64"/>
      <c r="D26" s="65"/>
      <c r="E26" s="66"/>
      <c r="F26" s="67">
        <f t="shared" si="1"/>
        <v>0</v>
      </c>
      <c r="G26" s="68"/>
      <c r="H26" s="69"/>
      <c r="I26" s="67">
        <f t="shared" si="2"/>
        <v>0</v>
      </c>
      <c r="J26" s="68"/>
      <c r="K26" s="69"/>
      <c r="L26" s="67">
        <f t="shared" si="3"/>
        <v>0</v>
      </c>
      <c r="M26" s="68"/>
      <c r="N26" s="69"/>
      <c r="O26" s="67">
        <f t="shared" si="4"/>
        <v>0</v>
      </c>
      <c r="P26" s="68"/>
      <c r="Q26" s="69"/>
      <c r="R26" s="67">
        <f t="shared" si="5"/>
        <v>0</v>
      </c>
      <c r="S26" s="68"/>
      <c r="T26" s="69"/>
      <c r="U26" s="67">
        <f t="shared" si="6"/>
        <v>0</v>
      </c>
      <c r="V26" s="68"/>
      <c r="W26" s="69"/>
      <c r="X26" s="67">
        <f t="shared" si="7"/>
        <v>0</v>
      </c>
      <c r="Y26" s="68"/>
      <c r="Z26" s="69"/>
      <c r="AA26" s="67">
        <f t="shared" si="8"/>
        <v>0</v>
      </c>
      <c r="AB26" s="68"/>
      <c r="AC26" s="69"/>
      <c r="AD26" s="67">
        <f t="shared" si="9"/>
        <v>0</v>
      </c>
      <c r="AE26" s="68"/>
      <c r="AF26" s="69"/>
      <c r="AG26" s="67">
        <f t="shared" si="10"/>
        <v>0</v>
      </c>
      <c r="AH26" s="68"/>
      <c r="AI26" s="69"/>
      <c r="AJ26" s="67">
        <f t="shared" si="11"/>
        <v>0</v>
      </c>
      <c r="AK26" s="68"/>
      <c r="AL26" s="69"/>
      <c r="AM26" s="67">
        <f t="shared" si="12"/>
        <v>0</v>
      </c>
      <c r="AN26" s="68"/>
      <c r="AO26" s="69"/>
      <c r="AP26" s="65">
        <f t="shared" si="13"/>
        <v>0</v>
      </c>
      <c r="AQ26" s="8" t="e">
        <f t="shared" si="0"/>
        <v>#DIV/0!</v>
      </c>
    </row>
    <row r="27" spans="1:43" ht="18" customHeight="1">
      <c r="A27" s="6"/>
      <c r="B27" s="12"/>
      <c r="C27" s="64"/>
      <c r="D27" s="65"/>
      <c r="E27" s="66"/>
      <c r="F27" s="67">
        <f t="shared" si="1"/>
        <v>0</v>
      </c>
      <c r="G27" s="68"/>
      <c r="H27" s="69"/>
      <c r="I27" s="67">
        <f t="shared" si="2"/>
        <v>0</v>
      </c>
      <c r="J27" s="68"/>
      <c r="K27" s="69"/>
      <c r="L27" s="67">
        <f t="shared" si="3"/>
        <v>0</v>
      </c>
      <c r="M27" s="68"/>
      <c r="N27" s="69"/>
      <c r="O27" s="67">
        <f t="shared" si="4"/>
        <v>0</v>
      </c>
      <c r="P27" s="68"/>
      <c r="Q27" s="69"/>
      <c r="R27" s="67">
        <f t="shared" si="5"/>
        <v>0</v>
      </c>
      <c r="S27" s="68"/>
      <c r="T27" s="69"/>
      <c r="U27" s="67">
        <f t="shared" si="6"/>
        <v>0</v>
      </c>
      <c r="V27" s="68"/>
      <c r="W27" s="69"/>
      <c r="X27" s="67">
        <f t="shared" si="7"/>
        <v>0</v>
      </c>
      <c r="Y27" s="68"/>
      <c r="Z27" s="69"/>
      <c r="AA27" s="67">
        <f t="shared" si="8"/>
        <v>0</v>
      </c>
      <c r="AB27" s="68"/>
      <c r="AC27" s="69"/>
      <c r="AD27" s="67">
        <f t="shared" si="9"/>
        <v>0</v>
      </c>
      <c r="AE27" s="68"/>
      <c r="AF27" s="69"/>
      <c r="AG27" s="67">
        <f t="shared" si="10"/>
        <v>0</v>
      </c>
      <c r="AH27" s="68"/>
      <c r="AI27" s="69"/>
      <c r="AJ27" s="67">
        <f t="shared" si="11"/>
        <v>0</v>
      </c>
      <c r="AK27" s="68"/>
      <c r="AL27" s="69"/>
      <c r="AM27" s="67">
        <f t="shared" si="12"/>
        <v>0</v>
      </c>
      <c r="AN27" s="68"/>
      <c r="AO27" s="69"/>
      <c r="AP27" s="65">
        <f t="shared" si="13"/>
        <v>0</v>
      </c>
      <c r="AQ27" s="8" t="e">
        <f t="shared" si="0"/>
        <v>#DIV/0!</v>
      </c>
    </row>
    <row r="28" spans="1:43" ht="18" customHeight="1">
      <c r="A28" s="6"/>
      <c r="B28" s="12"/>
      <c r="C28" s="64"/>
      <c r="D28" s="65"/>
      <c r="E28" s="66"/>
      <c r="F28" s="67">
        <f t="shared" si="1"/>
        <v>0</v>
      </c>
      <c r="G28" s="68"/>
      <c r="H28" s="69"/>
      <c r="I28" s="67">
        <f t="shared" si="2"/>
        <v>0</v>
      </c>
      <c r="J28" s="68"/>
      <c r="K28" s="69"/>
      <c r="L28" s="67">
        <f t="shared" si="3"/>
        <v>0</v>
      </c>
      <c r="M28" s="68"/>
      <c r="N28" s="69"/>
      <c r="O28" s="67">
        <f t="shared" si="4"/>
        <v>0</v>
      </c>
      <c r="P28" s="68"/>
      <c r="Q28" s="69"/>
      <c r="R28" s="67">
        <f t="shared" si="5"/>
        <v>0</v>
      </c>
      <c r="S28" s="68"/>
      <c r="T28" s="69"/>
      <c r="U28" s="67">
        <f t="shared" si="6"/>
        <v>0</v>
      </c>
      <c r="V28" s="68"/>
      <c r="W28" s="69"/>
      <c r="X28" s="67">
        <f t="shared" si="7"/>
        <v>0</v>
      </c>
      <c r="Y28" s="68"/>
      <c r="Z28" s="69"/>
      <c r="AA28" s="67">
        <f t="shared" si="8"/>
        <v>0</v>
      </c>
      <c r="AB28" s="68"/>
      <c r="AC28" s="69"/>
      <c r="AD28" s="67">
        <f t="shared" si="9"/>
        <v>0</v>
      </c>
      <c r="AE28" s="68"/>
      <c r="AF28" s="69"/>
      <c r="AG28" s="67">
        <f t="shared" si="10"/>
        <v>0</v>
      </c>
      <c r="AH28" s="68"/>
      <c r="AI28" s="69"/>
      <c r="AJ28" s="67">
        <f t="shared" si="11"/>
        <v>0</v>
      </c>
      <c r="AK28" s="68"/>
      <c r="AL28" s="69"/>
      <c r="AM28" s="67">
        <f t="shared" si="12"/>
        <v>0</v>
      </c>
      <c r="AN28" s="68"/>
      <c r="AO28" s="69"/>
      <c r="AP28" s="65">
        <f t="shared" si="13"/>
        <v>0</v>
      </c>
      <c r="AQ28" s="8" t="e">
        <f t="shared" si="0"/>
        <v>#DIV/0!</v>
      </c>
    </row>
    <row r="29" spans="1:43" ht="18" customHeight="1">
      <c r="A29" s="6"/>
      <c r="B29" s="12"/>
      <c r="C29" s="64"/>
      <c r="D29" s="70"/>
      <c r="E29" s="66"/>
      <c r="F29" s="67">
        <f t="shared" si="1"/>
        <v>0</v>
      </c>
      <c r="G29" s="68"/>
      <c r="H29" s="69"/>
      <c r="I29" s="67">
        <f t="shared" si="2"/>
        <v>0</v>
      </c>
      <c r="J29" s="68"/>
      <c r="K29" s="69"/>
      <c r="L29" s="67">
        <f t="shared" si="3"/>
        <v>0</v>
      </c>
      <c r="M29" s="68"/>
      <c r="N29" s="69"/>
      <c r="O29" s="67">
        <f t="shared" si="4"/>
        <v>0</v>
      </c>
      <c r="P29" s="68"/>
      <c r="Q29" s="69"/>
      <c r="R29" s="67">
        <f t="shared" si="5"/>
        <v>0</v>
      </c>
      <c r="S29" s="68"/>
      <c r="T29" s="69"/>
      <c r="U29" s="67">
        <f t="shared" si="6"/>
        <v>0</v>
      </c>
      <c r="V29" s="68"/>
      <c r="W29" s="69"/>
      <c r="X29" s="67">
        <f t="shared" si="7"/>
        <v>0</v>
      </c>
      <c r="Y29" s="68"/>
      <c r="Z29" s="69"/>
      <c r="AA29" s="67">
        <f t="shared" si="8"/>
        <v>0</v>
      </c>
      <c r="AB29" s="68"/>
      <c r="AC29" s="69"/>
      <c r="AD29" s="67">
        <f t="shared" si="9"/>
        <v>0</v>
      </c>
      <c r="AE29" s="68"/>
      <c r="AF29" s="69"/>
      <c r="AG29" s="67">
        <f t="shared" si="10"/>
        <v>0</v>
      </c>
      <c r="AH29" s="68"/>
      <c r="AI29" s="69"/>
      <c r="AJ29" s="67">
        <f t="shared" si="11"/>
        <v>0</v>
      </c>
      <c r="AK29" s="68"/>
      <c r="AL29" s="69"/>
      <c r="AM29" s="67">
        <f t="shared" si="12"/>
        <v>0</v>
      </c>
      <c r="AN29" s="68"/>
      <c r="AO29" s="69"/>
      <c r="AP29" s="70">
        <f t="shared" si="13"/>
        <v>0</v>
      </c>
      <c r="AQ29" s="8" t="e">
        <f t="shared" si="0"/>
        <v>#DIV/0!</v>
      </c>
    </row>
    <row r="30" spans="1:43" ht="18" customHeight="1">
      <c r="A30" s="6"/>
      <c r="B30" s="12"/>
      <c r="C30" s="64"/>
      <c r="D30" s="70"/>
      <c r="E30" s="66"/>
      <c r="F30" s="67">
        <f t="shared" si="1"/>
        <v>0</v>
      </c>
      <c r="G30" s="68"/>
      <c r="H30" s="69"/>
      <c r="I30" s="67">
        <f t="shared" si="2"/>
        <v>0</v>
      </c>
      <c r="J30" s="68"/>
      <c r="K30" s="69"/>
      <c r="L30" s="67">
        <f t="shared" si="3"/>
        <v>0</v>
      </c>
      <c r="M30" s="68"/>
      <c r="N30" s="69"/>
      <c r="O30" s="67">
        <f t="shared" si="4"/>
        <v>0</v>
      </c>
      <c r="P30" s="68"/>
      <c r="Q30" s="69"/>
      <c r="R30" s="67">
        <f t="shared" si="5"/>
        <v>0</v>
      </c>
      <c r="S30" s="68"/>
      <c r="T30" s="69"/>
      <c r="U30" s="67">
        <f t="shared" si="6"/>
        <v>0</v>
      </c>
      <c r="V30" s="68"/>
      <c r="W30" s="69"/>
      <c r="X30" s="67">
        <f t="shared" si="7"/>
        <v>0</v>
      </c>
      <c r="Y30" s="68"/>
      <c r="Z30" s="69"/>
      <c r="AA30" s="67">
        <f t="shared" si="8"/>
        <v>0</v>
      </c>
      <c r="AB30" s="68"/>
      <c r="AC30" s="69"/>
      <c r="AD30" s="67">
        <f t="shared" si="9"/>
        <v>0</v>
      </c>
      <c r="AE30" s="68"/>
      <c r="AF30" s="69"/>
      <c r="AG30" s="67">
        <f t="shared" si="10"/>
        <v>0</v>
      </c>
      <c r="AH30" s="68"/>
      <c r="AI30" s="69"/>
      <c r="AJ30" s="67">
        <f t="shared" si="11"/>
        <v>0</v>
      </c>
      <c r="AK30" s="68"/>
      <c r="AL30" s="69"/>
      <c r="AM30" s="67">
        <f t="shared" si="12"/>
        <v>0</v>
      </c>
      <c r="AN30" s="68"/>
      <c r="AO30" s="69"/>
      <c r="AP30" s="70">
        <f t="shared" si="13"/>
        <v>0</v>
      </c>
      <c r="AQ30" s="8" t="e">
        <f t="shared" si="0"/>
        <v>#DIV/0!</v>
      </c>
    </row>
    <row r="31" spans="1:43" ht="18" customHeight="1" thickBot="1">
      <c r="A31" s="6"/>
      <c r="B31" s="13"/>
      <c r="C31" s="59"/>
      <c r="D31" s="71"/>
      <c r="E31" s="61"/>
      <c r="F31" s="61">
        <f t="shared" si="1"/>
        <v>0</v>
      </c>
      <c r="G31" s="72"/>
      <c r="H31" s="73"/>
      <c r="I31" s="61">
        <f t="shared" si="2"/>
        <v>0</v>
      </c>
      <c r="J31" s="72"/>
      <c r="K31" s="73"/>
      <c r="L31" s="61">
        <f t="shared" si="3"/>
        <v>0</v>
      </c>
      <c r="M31" s="72"/>
      <c r="N31" s="73"/>
      <c r="O31" s="61">
        <f t="shared" si="4"/>
        <v>0</v>
      </c>
      <c r="P31" s="72"/>
      <c r="Q31" s="73"/>
      <c r="R31" s="61">
        <f t="shared" si="5"/>
        <v>0</v>
      </c>
      <c r="S31" s="72"/>
      <c r="T31" s="73"/>
      <c r="U31" s="61">
        <f t="shared" si="6"/>
        <v>0</v>
      </c>
      <c r="V31" s="72"/>
      <c r="W31" s="73"/>
      <c r="X31" s="61">
        <f t="shared" si="7"/>
        <v>0</v>
      </c>
      <c r="Y31" s="72"/>
      <c r="Z31" s="73"/>
      <c r="AA31" s="61">
        <f t="shared" si="8"/>
        <v>0</v>
      </c>
      <c r="AB31" s="72"/>
      <c r="AC31" s="73"/>
      <c r="AD31" s="61">
        <f t="shared" si="9"/>
        <v>0</v>
      </c>
      <c r="AE31" s="72"/>
      <c r="AF31" s="73"/>
      <c r="AG31" s="61">
        <f t="shared" si="10"/>
        <v>0</v>
      </c>
      <c r="AH31" s="72"/>
      <c r="AI31" s="73"/>
      <c r="AJ31" s="61">
        <f t="shared" si="11"/>
        <v>0</v>
      </c>
      <c r="AK31" s="72"/>
      <c r="AL31" s="73"/>
      <c r="AM31" s="61">
        <f t="shared" si="12"/>
        <v>0</v>
      </c>
      <c r="AN31" s="72"/>
      <c r="AO31" s="73"/>
      <c r="AP31" s="71">
        <f t="shared" si="13"/>
        <v>0</v>
      </c>
      <c r="AQ31" s="7" t="e">
        <f t="shared" si="0"/>
        <v>#DIV/0!</v>
      </c>
    </row>
    <row r="32" spans="1:43" ht="18" customHeight="1" thickTop="1">
      <c r="B32" s="14" t="s">
        <v>33</v>
      </c>
      <c r="C32" s="74">
        <f t="shared" ref="C32" si="14">SUM(C12:C31)</f>
        <v>214</v>
      </c>
      <c r="D32" s="75">
        <f t="shared" ref="D32:AP32" si="15">SUM(D12:D31)</f>
        <v>100</v>
      </c>
      <c r="E32" s="76">
        <f t="shared" si="15"/>
        <v>200</v>
      </c>
      <c r="F32" s="76">
        <f t="shared" si="15"/>
        <v>100</v>
      </c>
      <c r="G32" s="77">
        <f t="shared" si="15"/>
        <v>0</v>
      </c>
      <c r="H32" s="78">
        <f t="shared" si="15"/>
        <v>0</v>
      </c>
      <c r="I32" s="76">
        <f t="shared" ref="I32:N32" si="16">SUM(I12:I31)</f>
        <v>80</v>
      </c>
      <c r="J32" s="77">
        <f t="shared" si="16"/>
        <v>0</v>
      </c>
      <c r="K32" s="78">
        <f t="shared" si="16"/>
        <v>0</v>
      </c>
      <c r="L32" s="76">
        <f t="shared" si="16"/>
        <v>0</v>
      </c>
      <c r="M32" s="77">
        <f t="shared" si="16"/>
        <v>0</v>
      </c>
      <c r="N32" s="78">
        <f t="shared" si="16"/>
        <v>0</v>
      </c>
      <c r="O32" s="76">
        <f t="shared" ref="O32:T32" si="17">SUM(O12:O31)</f>
        <v>0</v>
      </c>
      <c r="P32" s="77">
        <f t="shared" si="17"/>
        <v>0</v>
      </c>
      <c r="Q32" s="78">
        <f t="shared" si="17"/>
        <v>0</v>
      </c>
      <c r="R32" s="76">
        <f t="shared" si="17"/>
        <v>0</v>
      </c>
      <c r="S32" s="77">
        <f t="shared" si="17"/>
        <v>0</v>
      </c>
      <c r="T32" s="78">
        <f t="shared" si="17"/>
        <v>0</v>
      </c>
      <c r="U32" s="76">
        <f t="shared" ref="U32:AI32" si="18">SUM(U12:U31)</f>
        <v>0</v>
      </c>
      <c r="V32" s="77">
        <f t="shared" si="18"/>
        <v>0</v>
      </c>
      <c r="W32" s="78">
        <f t="shared" si="18"/>
        <v>0</v>
      </c>
      <c r="X32" s="76">
        <f t="shared" si="18"/>
        <v>0</v>
      </c>
      <c r="Y32" s="77">
        <f t="shared" si="18"/>
        <v>0</v>
      </c>
      <c r="Z32" s="78">
        <f t="shared" si="18"/>
        <v>0</v>
      </c>
      <c r="AA32" s="76">
        <f t="shared" si="18"/>
        <v>0</v>
      </c>
      <c r="AB32" s="77">
        <f t="shared" si="18"/>
        <v>0</v>
      </c>
      <c r="AC32" s="78">
        <f t="shared" si="18"/>
        <v>0</v>
      </c>
      <c r="AD32" s="76">
        <f t="shared" si="18"/>
        <v>0</v>
      </c>
      <c r="AE32" s="77">
        <f t="shared" si="18"/>
        <v>0</v>
      </c>
      <c r="AF32" s="78">
        <f t="shared" si="18"/>
        <v>0</v>
      </c>
      <c r="AG32" s="76">
        <f t="shared" si="18"/>
        <v>0</v>
      </c>
      <c r="AH32" s="77">
        <f t="shared" si="18"/>
        <v>0</v>
      </c>
      <c r="AI32" s="78">
        <f t="shared" si="18"/>
        <v>0</v>
      </c>
      <c r="AJ32" s="76">
        <f t="shared" ref="AJ32:AO32" si="19">SUM(AJ12:AJ31)</f>
        <v>0</v>
      </c>
      <c r="AK32" s="77">
        <f t="shared" si="19"/>
        <v>0</v>
      </c>
      <c r="AL32" s="78">
        <f t="shared" si="19"/>
        <v>0</v>
      </c>
      <c r="AM32" s="76">
        <f t="shared" si="19"/>
        <v>0</v>
      </c>
      <c r="AN32" s="77">
        <f t="shared" si="19"/>
        <v>0</v>
      </c>
      <c r="AO32" s="78">
        <f t="shared" si="19"/>
        <v>0</v>
      </c>
      <c r="AP32" s="75">
        <f t="shared" si="15"/>
        <v>100</v>
      </c>
      <c r="AQ32" s="9">
        <f t="shared" si="0"/>
        <v>0.5</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topLeftCell="A41" zoomScaleNormal="100" zoomScaleSheetLayoutView="100" workbookViewId="0">
      <selection activeCell="B1" sqref="B1"/>
    </sheetView>
  </sheetViews>
  <sheetFormatPr defaultColWidth="11.375" defaultRowHeight="18.75" customHeight="1"/>
  <cols>
    <col min="1" max="1" width="2.875" style="39"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39" t="s">
        <v>65</v>
      </c>
      <c r="I1" s="34" t="s">
        <v>106</v>
      </c>
    </row>
    <row r="2" spans="1:9" ht="18.75" customHeight="1">
      <c r="G2" s="34" t="s">
        <v>109</v>
      </c>
      <c r="H2" s="175" t="str">
        <f>'様式１　プログラムを構成する授業科目'!C2</f>
        <v>岩手県立大学宮古短期大学部</v>
      </c>
      <c r="I2" s="176"/>
    </row>
    <row r="3" spans="1:9" ht="18.75" customHeight="1">
      <c r="G3" s="34"/>
      <c r="H3" s="10"/>
      <c r="I3" s="10"/>
    </row>
    <row r="4" spans="1:9" ht="18.600000000000001" customHeight="1">
      <c r="A4" s="113" t="s">
        <v>36</v>
      </c>
      <c r="B4" s="113"/>
      <c r="C4" s="113"/>
      <c r="D4" s="113"/>
      <c r="E4" s="113"/>
      <c r="F4" s="113"/>
      <c r="G4" s="113"/>
      <c r="H4" s="113"/>
      <c r="I4" s="113"/>
    </row>
    <row r="5" spans="1:9" ht="13.35" customHeight="1">
      <c r="B5" s="3"/>
      <c r="C5" s="3"/>
      <c r="D5" s="3"/>
      <c r="E5" s="3"/>
      <c r="F5" s="3"/>
      <c r="G5" s="3"/>
      <c r="H5" s="3"/>
      <c r="I5" s="3"/>
    </row>
    <row r="6" spans="1:9" ht="18" customHeight="1">
      <c r="A6" s="1" t="s">
        <v>0</v>
      </c>
      <c r="B6" s="10" t="s">
        <v>91</v>
      </c>
      <c r="C6" s="238" t="s">
        <v>92</v>
      </c>
      <c r="D6" s="238"/>
      <c r="E6" s="33">
        <v>14</v>
      </c>
      <c r="F6" s="3" t="s">
        <v>1</v>
      </c>
      <c r="G6" s="3" t="s">
        <v>2</v>
      </c>
      <c r="H6" s="33">
        <v>9</v>
      </c>
      <c r="I6" s="10" t="s">
        <v>1</v>
      </c>
    </row>
    <row r="7" spans="1:9" ht="12" customHeight="1">
      <c r="C7" s="2"/>
      <c r="D7" s="2"/>
      <c r="E7" s="2"/>
      <c r="F7" s="2"/>
      <c r="G7" s="2"/>
      <c r="H7" s="2"/>
      <c r="I7" s="80"/>
    </row>
    <row r="8" spans="1:9" ht="18" customHeight="1">
      <c r="A8" s="1" t="s">
        <v>3</v>
      </c>
      <c r="B8" s="10" t="s">
        <v>93</v>
      </c>
      <c r="E8" s="3"/>
      <c r="F8" s="3"/>
      <c r="G8" s="3"/>
      <c r="H8" s="33">
        <v>5</v>
      </c>
      <c r="I8" s="10" t="s">
        <v>1</v>
      </c>
    </row>
    <row r="9" spans="1:9" ht="9" customHeight="1">
      <c r="B9" s="3"/>
      <c r="C9" s="3"/>
      <c r="D9" s="3"/>
      <c r="E9" s="3"/>
      <c r="F9" s="3"/>
      <c r="G9" s="3"/>
      <c r="H9" s="3"/>
      <c r="I9" s="3"/>
    </row>
    <row r="10" spans="1:9" ht="18" customHeight="1">
      <c r="A10" s="1" t="s">
        <v>4</v>
      </c>
      <c r="B10" s="10" t="s">
        <v>94</v>
      </c>
      <c r="C10" s="3"/>
      <c r="D10" s="3"/>
      <c r="E10" s="3"/>
      <c r="F10" s="3"/>
      <c r="G10" s="3"/>
      <c r="H10" s="3"/>
      <c r="I10" s="3"/>
    </row>
    <row r="11" spans="1:9" ht="18" customHeight="1">
      <c r="B11" s="34" t="s">
        <v>43</v>
      </c>
      <c r="C11" s="233" t="s">
        <v>148</v>
      </c>
      <c r="D11" s="236"/>
      <c r="E11" s="237"/>
      <c r="F11" s="80"/>
      <c r="G11" s="34" t="s">
        <v>10</v>
      </c>
      <c r="H11" s="233" t="s">
        <v>149</v>
      </c>
      <c r="I11" s="237"/>
    </row>
    <row r="12" spans="1:9" ht="10.35" customHeight="1">
      <c r="B12" s="34"/>
      <c r="C12" s="10"/>
      <c r="D12" s="80"/>
      <c r="E12" s="80"/>
      <c r="F12" s="80"/>
      <c r="G12" s="34"/>
      <c r="H12" s="10"/>
      <c r="I12" s="80"/>
    </row>
    <row r="13" spans="1:9" ht="18" customHeight="1">
      <c r="A13" s="1" t="s">
        <v>7</v>
      </c>
      <c r="B13" s="10" t="s">
        <v>88</v>
      </c>
      <c r="C13" s="3"/>
      <c r="D13" s="3"/>
      <c r="E13" s="3"/>
      <c r="F13" s="3"/>
      <c r="G13" s="3"/>
      <c r="H13" s="3"/>
      <c r="I13" s="3"/>
    </row>
    <row r="14" spans="1:9" ht="18" customHeight="1">
      <c r="B14" s="233" t="s">
        <v>153</v>
      </c>
      <c r="C14" s="234"/>
      <c r="D14" s="234"/>
      <c r="E14" s="234"/>
      <c r="F14" s="234"/>
      <c r="G14" s="234"/>
      <c r="H14" s="234"/>
      <c r="I14" s="235"/>
    </row>
    <row r="15" spans="1:9" ht="9" customHeight="1">
      <c r="B15" s="3"/>
      <c r="C15" s="3"/>
      <c r="D15" s="3"/>
      <c r="E15" s="3"/>
      <c r="F15" s="3"/>
      <c r="G15" s="3"/>
      <c r="H15" s="3"/>
      <c r="I15" s="3"/>
    </row>
    <row r="16" spans="1:9" ht="18" customHeight="1">
      <c r="B16" s="34" t="s">
        <v>43</v>
      </c>
      <c r="C16" s="233" t="s">
        <v>143</v>
      </c>
      <c r="D16" s="236"/>
      <c r="E16" s="237"/>
      <c r="F16" s="80"/>
      <c r="G16" s="34" t="s">
        <v>10</v>
      </c>
      <c r="H16" s="233" t="s">
        <v>144</v>
      </c>
      <c r="I16" s="237"/>
    </row>
    <row r="17" spans="1:9" ht="18" customHeight="1">
      <c r="B17" s="3"/>
      <c r="C17" s="3"/>
      <c r="D17" s="3"/>
      <c r="E17" s="3"/>
      <c r="F17" s="3"/>
      <c r="G17" s="3"/>
      <c r="H17" s="3"/>
      <c r="I17" s="3"/>
    </row>
    <row r="18" spans="1:9" ht="18.75" customHeight="1">
      <c r="A18" s="1" t="s">
        <v>5</v>
      </c>
      <c r="B18" s="1" t="s">
        <v>42</v>
      </c>
      <c r="I18" s="3"/>
    </row>
    <row r="19" spans="1:9" ht="18.75" customHeight="1">
      <c r="A19" s="1"/>
      <c r="B19" s="225" t="s">
        <v>150</v>
      </c>
      <c r="C19" s="226"/>
      <c r="D19" s="226"/>
      <c r="E19" s="226"/>
      <c r="F19" s="226"/>
      <c r="G19" s="226"/>
      <c r="H19" s="226"/>
      <c r="I19" s="227"/>
    </row>
    <row r="20" spans="1:9" ht="7.5" customHeight="1">
      <c r="B20" s="3"/>
      <c r="C20" s="3"/>
      <c r="D20" s="3"/>
      <c r="E20" s="3"/>
      <c r="F20" s="3"/>
      <c r="G20" s="3"/>
      <c r="H20" s="3"/>
      <c r="I20" s="3"/>
    </row>
    <row r="21" spans="1:9" ht="18.75" customHeight="1">
      <c r="A21" s="1" t="s">
        <v>8</v>
      </c>
      <c r="B21" s="1" t="s">
        <v>25</v>
      </c>
    </row>
    <row r="22" spans="1:9" ht="18.75" customHeight="1">
      <c r="A22" s="15"/>
      <c r="B22" s="215" t="s">
        <v>155</v>
      </c>
      <c r="C22" s="216"/>
      <c r="D22" s="216"/>
      <c r="E22" s="216"/>
      <c r="F22" s="216"/>
      <c r="G22" s="216"/>
      <c r="H22" s="216"/>
      <c r="I22" s="217"/>
    </row>
    <row r="23" spans="1:9" ht="18.75" customHeight="1">
      <c r="A23" s="15"/>
      <c r="B23" s="228"/>
      <c r="C23" s="229"/>
      <c r="D23" s="229"/>
      <c r="E23" s="229"/>
      <c r="F23" s="229"/>
      <c r="G23" s="229"/>
      <c r="H23" s="229"/>
      <c r="I23" s="220"/>
    </row>
    <row r="24" spans="1:9" ht="18.75" customHeight="1">
      <c r="A24" s="15"/>
      <c r="B24" s="228"/>
      <c r="C24" s="229"/>
      <c r="D24" s="229"/>
      <c r="E24" s="229"/>
      <c r="F24" s="229"/>
      <c r="G24" s="229"/>
      <c r="H24" s="229"/>
      <c r="I24" s="220"/>
    </row>
    <row r="25" spans="1:9" ht="18.75" customHeight="1">
      <c r="A25" s="15"/>
      <c r="B25" s="228"/>
      <c r="C25" s="229"/>
      <c r="D25" s="229"/>
      <c r="E25" s="229"/>
      <c r="F25" s="229"/>
      <c r="G25" s="229"/>
      <c r="H25" s="229"/>
      <c r="I25" s="220"/>
    </row>
    <row r="26" spans="1:9" ht="18.75" customHeight="1">
      <c r="A26" s="15"/>
      <c r="B26" s="228"/>
      <c r="C26" s="229"/>
      <c r="D26" s="229"/>
      <c r="E26" s="229"/>
      <c r="F26" s="229"/>
      <c r="G26" s="229"/>
      <c r="H26" s="229"/>
      <c r="I26" s="220"/>
    </row>
    <row r="27" spans="1:9" ht="18.75" customHeight="1">
      <c r="A27" s="15"/>
      <c r="B27" s="228"/>
      <c r="C27" s="229"/>
      <c r="D27" s="229"/>
      <c r="E27" s="229"/>
      <c r="F27" s="229"/>
      <c r="G27" s="229"/>
      <c r="H27" s="229"/>
      <c r="I27" s="220"/>
    </row>
    <row r="28" spans="1:9" ht="18.75" customHeight="1">
      <c r="A28" s="15"/>
      <c r="B28" s="228"/>
      <c r="C28" s="229"/>
      <c r="D28" s="229"/>
      <c r="E28" s="229"/>
      <c r="F28" s="229"/>
      <c r="G28" s="229"/>
      <c r="H28" s="229"/>
      <c r="I28" s="220"/>
    </row>
    <row r="29" spans="1:9" ht="18.75" customHeight="1">
      <c r="A29" s="15"/>
      <c r="B29" s="228"/>
      <c r="C29" s="229"/>
      <c r="D29" s="229"/>
      <c r="E29" s="229"/>
      <c r="F29" s="229"/>
      <c r="G29" s="229"/>
      <c r="H29" s="229"/>
      <c r="I29" s="220"/>
    </row>
    <row r="30" spans="1:9" ht="18.75" customHeight="1">
      <c r="A30" s="15"/>
      <c r="B30" s="218"/>
      <c r="C30" s="219"/>
      <c r="D30" s="219"/>
      <c r="E30" s="219"/>
      <c r="F30" s="219"/>
      <c r="G30" s="219"/>
      <c r="H30" s="219"/>
      <c r="I30" s="220"/>
    </row>
    <row r="31" spans="1:9" ht="18.75" customHeight="1">
      <c r="A31" s="15"/>
      <c r="B31" s="218"/>
      <c r="C31" s="219"/>
      <c r="D31" s="219"/>
      <c r="E31" s="219"/>
      <c r="F31" s="219"/>
      <c r="G31" s="219"/>
      <c r="H31" s="219"/>
      <c r="I31" s="220"/>
    </row>
    <row r="32" spans="1:9" ht="18.75" customHeight="1">
      <c r="A32" s="15"/>
      <c r="B32" s="221"/>
      <c r="C32" s="222"/>
      <c r="D32" s="222"/>
      <c r="E32" s="222"/>
      <c r="F32" s="222"/>
      <c r="G32" s="222"/>
      <c r="H32" s="222"/>
      <c r="I32" s="223"/>
    </row>
    <row r="33" spans="1:9" ht="7.5" customHeight="1">
      <c r="A33" s="15"/>
      <c r="B33" s="15"/>
      <c r="C33" s="15"/>
      <c r="D33" s="15"/>
      <c r="E33" s="15"/>
      <c r="F33" s="15"/>
      <c r="G33" s="15"/>
      <c r="H33" s="15"/>
      <c r="I33" s="15"/>
    </row>
    <row r="34" spans="1:9" ht="18.75" customHeight="1">
      <c r="A34" s="16" t="s">
        <v>6</v>
      </c>
      <c r="B34" s="16" t="s">
        <v>9</v>
      </c>
      <c r="C34" s="10"/>
      <c r="D34" s="16"/>
      <c r="E34" s="16"/>
      <c r="F34" s="16"/>
      <c r="G34" s="16"/>
      <c r="H34" s="16"/>
      <c r="I34" s="16"/>
    </row>
    <row r="35" spans="1:9" ht="18.75" customHeight="1">
      <c r="A35" s="15"/>
      <c r="B35" s="215" t="s">
        <v>154</v>
      </c>
      <c r="C35" s="216"/>
      <c r="D35" s="216"/>
      <c r="E35" s="216"/>
      <c r="F35" s="216"/>
      <c r="G35" s="216"/>
      <c r="H35" s="216"/>
      <c r="I35" s="217"/>
    </row>
    <row r="36" spans="1:9" ht="18.75" customHeight="1">
      <c r="A36" s="15"/>
      <c r="B36" s="218"/>
      <c r="C36" s="219"/>
      <c r="D36" s="219"/>
      <c r="E36" s="219"/>
      <c r="F36" s="219"/>
      <c r="G36" s="219"/>
      <c r="H36" s="219"/>
      <c r="I36" s="220"/>
    </row>
    <row r="37" spans="1:9" ht="18.75" customHeight="1">
      <c r="A37" s="15"/>
      <c r="B37" s="218"/>
      <c r="C37" s="219"/>
      <c r="D37" s="219"/>
      <c r="E37" s="219"/>
      <c r="F37" s="219"/>
      <c r="G37" s="219"/>
      <c r="H37" s="219"/>
      <c r="I37" s="220"/>
    </row>
    <row r="38" spans="1:9" ht="18.75" customHeight="1">
      <c r="A38" s="15"/>
      <c r="B38" s="218"/>
      <c r="C38" s="219"/>
      <c r="D38" s="219"/>
      <c r="E38" s="219"/>
      <c r="F38" s="219"/>
      <c r="G38" s="219"/>
      <c r="H38" s="219"/>
      <c r="I38" s="220"/>
    </row>
    <row r="39" spans="1:9" ht="18.75" customHeight="1">
      <c r="A39" s="15"/>
      <c r="B39" s="218"/>
      <c r="C39" s="219"/>
      <c r="D39" s="219"/>
      <c r="E39" s="219"/>
      <c r="F39" s="219"/>
      <c r="G39" s="219"/>
      <c r="H39" s="219"/>
      <c r="I39" s="220"/>
    </row>
    <row r="40" spans="1:9" ht="18.75" customHeight="1">
      <c r="A40" s="15"/>
      <c r="B40" s="218"/>
      <c r="C40" s="219"/>
      <c r="D40" s="219"/>
      <c r="E40" s="219"/>
      <c r="F40" s="219"/>
      <c r="G40" s="219"/>
      <c r="H40" s="219"/>
      <c r="I40" s="220"/>
    </row>
    <row r="41" spans="1:9" ht="18.75" customHeight="1">
      <c r="A41" s="15"/>
      <c r="B41" s="218"/>
      <c r="C41" s="219"/>
      <c r="D41" s="219"/>
      <c r="E41" s="219"/>
      <c r="F41" s="219"/>
      <c r="G41" s="219"/>
      <c r="H41" s="219"/>
      <c r="I41" s="220"/>
    </row>
    <row r="42" spans="1:9" ht="18.75" customHeight="1">
      <c r="A42" s="15"/>
      <c r="B42" s="218"/>
      <c r="C42" s="219"/>
      <c r="D42" s="219"/>
      <c r="E42" s="219"/>
      <c r="F42" s="219"/>
      <c r="G42" s="219"/>
      <c r="H42" s="219"/>
      <c r="I42" s="220"/>
    </row>
    <row r="43" spans="1:9" ht="18.75" customHeight="1">
      <c r="A43" s="15"/>
      <c r="B43" s="218"/>
      <c r="C43" s="219"/>
      <c r="D43" s="219"/>
      <c r="E43" s="219"/>
      <c r="F43" s="219"/>
      <c r="G43" s="219"/>
      <c r="H43" s="219"/>
      <c r="I43" s="220"/>
    </row>
    <row r="44" spans="1:9" ht="18.75" customHeight="1">
      <c r="A44" s="15"/>
      <c r="B44" s="218"/>
      <c r="C44" s="219"/>
      <c r="D44" s="219"/>
      <c r="E44" s="219"/>
      <c r="F44" s="219"/>
      <c r="G44" s="219"/>
      <c r="H44" s="219"/>
      <c r="I44" s="220"/>
    </row>
    <row r="45" spans="1:9" ht="18.75" customHeight="1">
      <c r="A45" s="15"/>
      <c r="B45" s="218"/>
      <c r="C45" s="219"/>
      <c r="D45" s="219"/>
      <c r="E45" s="219"/>
      <c r="F45" s="219"/>
      <c r="G45" s="219"/>
      <c r="H45" s="219"/>
      <c r="I45" s="220"/>
    </row>
    <row r="46" spans="1:9" ht="18.75" customHeight="1">
      <c r="A46" s="15"/>
      <c r="B46" s="221"/>
      <c r="C46" s="222"/>
      <c r="D46" s="222"/>
      <c r="E46" s="222"/>
      <c r="F46" s="222"/>
      <c r="G46" s="222"/>
      <c r="H46" s="222"/>
      <c r="I46" s="223"/>
    </row>
    <row r="47" spans="1:9" ht="7.5" customHeight="1">
      <c r="A47" s="4"/>
      <c r="B47" s="4"/>
      <c r="C47" s="4"/>
      <c r="D47" s="4"/>
      <c r="E47" s="4"/>
      <c r="F47" s="4"/>
      <c r="G47" s="4"/>
      <c r="H47" s="4"/>
      <c r="I47" s="4"/>
    </row>
    <row r="48" spans="1:9" ht="18.75" customHeight="1">
      <c r="A48" s="1" t="s">
        <v>31</v>
      </c>
      <c r="B48" s="1" t="s">
        <v>123</v>
      </c>
    </row>
    <row r="49" spans="1:15" s="3" customFormat="1" ht="18.75" customHeight="1">
      <c r="B49" s="40" t="s">
        <v>89</v>
      </c>
      <c r="C49" s="213">
        <f>'様式２ 履修者等数の実績'!AQ32</f>
        <v>0.5</v>
      </c>
      <c r="D49" s="213"/>
      <c r="E49" s="40" t="s">
        <v>66</v>
      </c>
      <c r="F49" s="213">
        <v>0.75</v>
      </c>
      <c r="G49" s="213"/>
      <c r="H49" s="40" t="s">
        <v>67</v>
      </c>
      <c r="I49" s="41">
        <v>1</v>
      </c>
      <c r="J49" s="1"/>
      <c r="M49" s="1"/>
      <c r="N49" s="42"/>
    </row>
    <row r="50" spans="1:15" s="3" customFormat="1" ht="18.75" customHeight="1">
      <c r="B50" s="43" t="s">
        <v>68</v>
      </c>
      <c r="C50" s="214">
        <v>1</v>
      </c>
      <c r="D50" s="214"/>
      <c r="E50" s="43" t="s">
        <v>90</v>
      </c>
      <c r="F50" s="214">
        <v>1</v>
      </c>
      <c r="G50" s="214"/>
      <c r="H50" s="43" t="s">
        <v>69</v>
      </c>
      <c r="I50" s="44">
        <f>'様式２ 履修者等数の実績'!E32</f>
        <v>200</v>
      </c>
      <c r="J50" s="1"/>
      <c r="M50" s="1"/>
      <c r="N50" s="42"/>
    </row>
    <row r="51" spans="1:15" ht="18.75" customHeight="1">
      <c r="A51" s="1"/>
      <c r="B51" s="230" t="s">
        <v>70</v>
      </c>
      <c r="C51" s="231"/>
      <c r="D51" s="231"/>
      <c r="E51" s="231"/>
      <c r="F51" s="231"/>
      <c r="G51" s="231"/>
      <c r="H51" s="231"/>
      <c r="I51" s="232"/>
      <c r="N51" s="42"/>
      <c r="O51" s="3"/>
    </row>
    <row r="52" spans="1:15" ht="18.75" customHeight="1">
      <c r="A52" s="1"/>
      <c r="B52" s="261" t="s">
        <v>178</v>
      </c>
      <c r="C52" s="196"/>
      <c r="D52" s="196"/>
      <c r="E52" s="196"/>
      <c r="F52" s="196"/>
      <c r="G52" s="196"/>
      <c r="H52" s="196"/>
      <c r="I52" s="197"/>
      <c r="N52" s="42"/>
      <c r="O52" s="3"/>
    </row>
    <row r="53" spans="1:15" ht="18.75" customHeight="1">
      <c r="A53" s="1"/>
      <c r="B53" s="198"/>
      <c r="C53" s="199"/>
      <c r="D53" s="199"/>
      <c r="E53" s="199"/>
      <c r="F53" s="199"/>
      <c r="G53" s="199"/>
      <c r="H53" s="199"/>
      <c r="I53" s="200"/>
      <c r="N53" s="42"/>
      <c r="O53" s="3"/>
    </row>
    <row r="54" spans="1:15" ht="18.75" customHeight="1">
      <c r="A54" s="1"/>
      <c r="B54" s="198"/>
      <c r="C54" s="199"/>
      <c r="D54" s="199"/>
      <c r="E54" s="199"/>
      <c r="F54" s="199"/>
      <c r="G54" s="199"/>
      <c r="H54" s="199"/>
      <c r="I54" s="200"/>
    </row>
    <row r="55" spans="1:15" ht="18.75" customHeight="1">
      <c r="A55" s="1"/>
      <c r="B55" s="198"/>
      <c r="C55" s="199"/>
      <c r="D55" s="199"/>
      <c r="E55" s="199"/>
      <c r="F55" s="199"/>
      <c r="G55" s="199"/>
      <c r="H55" s="199"/>
      <c r="I55" s="200"/>
    </row>
    <row r="56" spans="1:15" ht="18.75" customHeight="1">
      <c r="A56" s="1"/>
      <c r="B56" s="198"/>
      <c r="C56" s="199"/>
      <c r="D56" s="199"/>
      <c r="E56" s="199"/>
      <c r="F56" s="199"/>
      <c r="G56" s="199"/>
      <c r="H56" s="199"/>
      <c r="I56" s="200"/>
    </row>
    <row r="57" spans="1:15" ht="18.75" customHeight="1">
      <c r="A57" s="1"/>
      <c r="B57" s="198"/>
      <c r="C57" s="199"/>
      <c r="D57" s="199"/>
      <c r="E57" s="199"/>
      <c r="F57" s="199"/>
      <c r="G57" s="199"/>
      <c r="H57" s="199"/>
      <c r="I57" s="200"/>
    </row>
    <row r="58" spans="1:15" ht="18.75" customHeight="1">
      <c r="A58" s="1"/>
      <c r="B58" s="198"/>
      <c r="C58" s="199"/>
      <c r="D58" s="199"/>
      <c r="E58" s="199"/>
      <c r="F58" s="199"/>
      <c r="G58" s="199"/>
      <c r="H58" s="199"/>
      <c r="I58" s="200"/>
    </row>
    <row r="59" spans="1:15" ht="18.75" customHeight="1">
      <c r="A59" s="1"/>
      <c r="B59" s="198"/>
      <c r="C59" s="199"/>
      <c r="D59" s="199"/>
      <c r="E59" s="199"/>
      <c r="F59" s="199"/>
      <c r="G59" s="199"/>
      <c r="H59" s="199"/>
      <c r="I59" s="200"/>
    </row>
    <row r="60" spans="1:15" ht="18.75" customHeight="1">
      <c r="A60" s="1"/>
      <c r="B60" s="198"/>
      <c r="C60" s="199"/>
      <c r="D60" s="199"/>
      <c r="E60" s="199"/>
      <c r="F60" s="199"/>
      <c r="G60" s="199"/>
      <c r="H60" s="199"/>
      <c r="I60" s="200"/>
    </row>
    <row r="61" spans="1:15" ht="18.75" customHeight="1">
      <c r="A61" s="1"/>
      <c r="B61" s="198"/>
      <c r="C61" s="199"/>
      <c r="D61" s="199"/>
      <c r="E61" s="199"/>
      <c r="F61" s="199"/>
      <c r="G61" s="199"/>
      <c r="H61" s="199"/>
      <c r="I61" s="200"/>
    </row>
    <row r="62" spans="1:15" ht="18.75" customHeight="1">
      <c r="A62" s="1"/>
      <c r="B62" s="198"/>
      <c r="C62" s="199"/>
      <c r="D62" s="199"/>
      <c r="E62" s="199"/>
      <c r="F62" s="199"/>
      <c r="G62" s="199"/>
      <c r="H62" s="199"/>
      <c r="I62" s="200"/>
    </row>
    <row r="63" spans="1:15" ht="18.75" customHeight="1">
      <c r="A63" s="1"/>
      <c r="B63" s="201"/>
      <c r="C63" s="202"/>
      <c r="D63" s="202"/>
      <c r="E63" s="202"/>
      <c r="F63" s="202"/>
      <c r="G63" s="202"/>
      <c r="H63" s="202"/>
      <c r="I63" s="203"/>
    </row>
    <row r="64" spans="1:15" ht="7.5" customHeight="1">
      <c r="A64" s="15"/>
      <c r="B64" s="15"/>
      <c r="C64" s="15"/>
      <c r="D64" s="15"/>
      <c r="E64" s="15"/>
      <c r="F64" s="15"/>
      <c r="G64" s="15"/>
      <c r="H64" s="15"/>
      <c r="I64" s="15"/>
    </row>
    <row r="65" spans="1:9" ht="18.75" customHeight="1">
      <c r="A65" s="16" t="s">
        <v>34</v>
      </c>
      <c r="B65" s="1" t="s">
        <v>37</v>
      </c>
      <c r="I65" s="16"/>
    </row>
    <row r="66" spans="1:9" ht="18.75" customHeight="1">
      <c r="A66" s="4"/>
      <c r="B66" s="195" t="s">
        <v>177</v>
      </c>
      <c r="C66" s="196"/>
      <c r="D66" s="196"/>
      <c r="E66" s="196"/>
      <c r="F66" s="196"/>
      <c r="G66" s="196"/>
      <c r="H66" s="196"/>
      <c r="I66" s="197"/>
    </row>
    <row r="67" spans="1:9" ht="18.75" customHeight="1">
      <c r="A67" s="4"/>
      <c r="B67" s="198"/>
      <c r="C67" s="199"/>
      <c r="D67" s="199"/>
      <c r="E67" s="199"/>
      <c r="F67" s="199"/>
      <c r="G67" s="199"/>
      <c r="H67" s="199"/>
      <c r="I67" s="200"/>
    </row>
    <row r="68" spans="1:9" ht="18.75" customHeight="1">
      <c r="A68" s="4"/>
      <c r="B68" s="198"/>
      <c r="C68" s="199"/>
      <c r="D68" s="199"/>
      <c r="E68" s="199"/>
      <c r="F68" s="199"/>
      <c r="G68" s="199"/>
      <c r="H68" s="199"/>
      <c r="I68" s="200"/>
    </row>
    <row r="69" spans="1:9" ht="18.75" customHeight="1">
      <c r="A69" s="4"/>
      <c r="B69" s="198"/>
      <c r="C69" s="199"/>
      <c r="D69" s="199"/>
      <c r="E69" s="199"/>
      <c r="F69" s="199"/>
      <c r="G69" s="199"/>
      <c r="H69" s="199"/>
      <c r="I69" s="200"/>
    </row>
    <row r="70" spans="1:9" ht="18.75" customHeight="1">
      <c r="A70" s="4"/>
      <c r="B70" s="198"/>
      <c r="C70" s="199"/>
      <c r="D70" s="199"/>
      <c r="E70" s="199"/>
      <c r="F70" s="199"/>
      <c r="G70" s="199"/>
      <c r="H70" s="199"/>
      <c r="I70" s="200"/>
    </row>
    <row r="71" spans="1:9" ht="18.75" customHeight="1">
      <c r="A71" s="4"/>
      <c r="B71" s="198"/>
      <c r="C71" s="199"/>
      <c r="D71" s="199"/>
      <c r="E71" s="199"/>
      <c r="F71" s="199"/>
      <c r="G71" s="199"/>
      <c r="H71" s="199"/>
      <c r="I71" s="200"/>
    </row>
    <row r="72" spans="1:9" ht="18.75" customHeight="1">
      <c r="A72" s="4"/>
      <c r="B72" s="198"/>
      <c r="C72" s="199"/>
      <c r="D72" s="199"/>
      <c r="E72" s="199"/>
      <c r="F72" s="199"/>
      <c r="G72" s="199"/>
      <c r="H72" s="199"/>
      <c r="I72" s="200"/>
    </row>
    <row r="73" spans="1:9" ht="18.75" customHeight="1">
      <c r="A73" s="4"/>
      <c r="B73" s="198"/>
      <c r="C73" s="199"/>
      <c r="D73" s="199"/>
      <c r="E73" s="199"/>
      <c r="F73" s="199"/>
      <c r="G73" s="199"/>
      <c r="H73" s="199"/>
      <c r="I73" s="200"/>
    </row>
    <row r="74" spans="1:9" ht="18.75" customHeight="1">
      <c r="A74" s="4"/>
      <c r="B74" s="198"/>
      <c r="C74" s="199"/>
      <c r="D74" s="199"/>
      <c r="E74" s="199"/>
      <c r="F74" s="199"/>
      <c r="G74" s="199"/>
      <c r="H74" s="199"/>
      <c r="I74" s="200"/>
    </row>
    <row r="75" spans="1:9" ht="18.75" customHeight="1">
      <c r="A75" s="4"/>
      <c r="B75" s="198"/>
      <c r="C75" s="199"/>
      <c r="D75" s="199"/>
      <c r="E75" s="199"/>
      <c r="F75" s="199"/>
      <c r="G75" s="199"/>
      <c r="H75" s="199"/>
      <c r="I75" s="200"/>
    </row>
    <row r="76" spans="1:9" ht="18.75" customHeight="1">
      <c r="A76" s="4"/>
      <c r="B76" s="198"/>
      <c r="C76" s="199"/>
      <c r="D76" s="199"/>
      <c r="E76" s="199"/>
      <c r="F76" s="199"/>
      <c r="G76" s="199"/>
      <c r="H76" s="199"/>
      <c r="I76" s="200"/>
    </row>
    <row r="77" spans="1:9" ht="18.75" customHeight="1">
      <c r="A77" s="4"/>
      <c r="B77" s="201"/>
      <c r="C77" s="202"/>
      <c r="D77" s="202"/>
      <c r="E77" s="202"/>
      <c r="F77" s="202"/>
      <c r="G77" s="202"/>
      <c r="H77" s="202"/>
      <c r="I77" s="203"/>
    </row>
    <row r="78" spans="1:9" ht="7.5" customHeight="1">
      <c r="A78" s="4"/>
      <c r="B78" s="4"/>
      <c r="C78" s="4"/>
      <c r="D78" s="4"/>
      <c r="E78" s="4"/>
      <c r="F78" s="4"/>
      <c r="G78" s="4"/>
      <c r="H78" s="4"/>
      <c r="I78" s="4"/>
    </row>
    <row r="79" spans="1:9" ht="18.75" customHeight="1">
      <c r="A79" s="1" t="s">
        <v>11</v>
      </c>
      <c r="B79" s="1" t="s">
        <v>41</v>
      </c>
    </row>
    <row r="80" spans="1:9" ht="18.75" customHeight="1">
      <c r="A80" s="1"/>
      <c r="B80" s="204" t="s">
        <v>156</v>
      </c>
      <c r="C80" s="205"/>
      <c r="D80" s="205"/>
      <c r="E80" s="205"/>
      <c r="F80" s="205"/>
      <c r="G80" s="205"/>
      <c r="H80" s="205"/>
      <c r="I80" s="206"/>
    </row>
    <row r="81" spans="1:9" ht="18.75" customHeight="1">
      <c r="A81" s="1"/>
      <c r="B81" s="207"/>
      <c r="C81" s="208"/>
      <c r="D81" s="208"/>
      <c r="E81" s="208"/>
      <c r="F81" s="208"/>
      <c r="G81" s="208"/>
      <c r="H81" s="208"/>
      <c r="I81" s="209"/>
    </row>
    <row r="82" spans="1:9" ht="18.75" customHeight="1">
      <c r="A82" s="1"/>
      <c r="B82" s="207"/>
      <c r="C82" s="208"/>
      <c r="D82" s="208"/>
      <c r="E82" s="208"/>
      <c r="F82" s="208"/>
      <c r="G82" s="208"/>
      <c r="H82" s="208"/>
      <c r="I82" s="209"/>
    </row>
    <row r="83" spans="1:9" ht="18.75" customHeight="1">
      <c r="A83" s="1"/>
      <c r="B83" s="207"/>
      <c r="C83" s="208"/>
      <c r="D83" s="208"/>
      <c r="E83" s="208"/>
      <c r="F83" s="208"/>
      <c r="G83" s="208"/>
      <c r="H83" s="208"/>
      <c r="I83" s="209"/>
    </row>
    <row r="84" spans="1:9" ht="18.75" customHeight="1">
      <c r="A84" s="1"/>
      <c r="B84" s="207"/>
      <c r="C84" s="208"/>
      <c r="D84" s="208"/>
      <c r="E84" s="208"/>
      <c r="F84" s="208"/>
      <c r="G84" s="208"/>
      <c r="H84" s="208"/>
      <c r="I84" s="209"/>
    </row>
    <row r="85" spans="1:9" ht="18.75" customHeight="1">
      <c r="A85" s="1"/>
      <c r="B85" s="207"/>
      <c r="C85" s="208"/>
      <c r="D85" s="208"/>
      <c r="E85" s="208"/>
      <c r="F85" s="208"/>
      <c r="G85" s="208"/>
      <c r="H85" s="208"/>
      <c r="I85" s="209"/>
    </row>
    <row r="86" spans="1:9" ht="18.75" customHeight="1">
      <c r="A86" s="1"/>
      <c r="B86" s="207"/>
      <c r="C86" s="208"/>
      <c r="D86" s="208"/>
      <c r="E86" s="208"/>
      <c r="F86" s="208"/>
      <c r="G86" s="208"/>
      <c r="H86" s="208"/>
      <c r="I86" s="209"/>
    </row>
    <row r="87" spans="1:9" ht="18.75" customHeight="1">
      <c r="A87" s="1"/>
      <c r="B87" s="207"/>
      <c r="C87" s="208"/>
      <c r="D87" s="208"/>
      <c r="E87" s="208"/>
      <c r="F87" s="208"/>
      <c r="G87" s="208"/>
      <c r="H87" s="208"/>
      <c r="I87" s="209"/>
    </row>
    <row r="88" spans="1:9" ht="18.75" customHeight="1">
      <c r="A88" s="1"/>
      <c r="B88" s="207"/>
      <c r="C88" s="208"/>
      <c r="D88" s="208"/>
      <c r="E88" s="208"/>
      <c r="F88" s="208"/>
      <c r="G88" s="208"/>
      <c r="H88" s="208"/>
      <c r="I88" s="209"/>
    </row>
    <row r="89" spans="1:9" ht="18.75" customHeight="1">
      <c r="A89" s="1"/>
      <c r="B89" s="207"/>
      <c r="C89" s="208"/>
      <c r="D89" s="208"/>
      <c r="E89" s="208"/>
      <c r="F89" s="208"/>
      <c r="G89" s="208"/>
      <c r="H89" s="208"/>
      <c r="I89" s="209"/>
    </row>
    <row r="90" spans="1:9" ht="18.75" customHeight="1">
      <c r="A90" s="4"/>
      <c r="B90" s="207"/>
      <c r="C90" s="208"/>
      <c r="D90" s="208"/>
      <c r="E90" s="208"/>
      <c r="F90" s="208"/>
      <c r="G90" s="208"/>
      <c r="H90" s="208"/>
      <c r="I90" s="209"/>
    </row>
    <row r="91" spans="1:9" ht="18.75" customHeight="1">
      <c r="A91" s="4"/>
      <c r="B91" s="210"/>
      <c r="C91" s="211"/>
      <c r="D91" s="211"/>
      <c r="E91" s="211"/>
      <c r="F91" s="211"/>
      <c r="G91" s="211"/>
      <c r="H91" s="211"/>
      <c r="I91" s="212"/>
    </row>
    <row r="92" spans="1:9" ht="7.5" customHeight="1">
      <c r="A92" s="4"/>
      <c r="B92" s="4"/>
      <c r="C92" s="4"/>
      <c r="D92" s="4"/>
      <c r="E92" s="4"/>
      <c r="F92" s="4"/>
      <c r="G92" s="4"/>
      <c r="H92" s="4"/>
      <c r="I92" s="4"/>
    </row>
    <row r="93" spans="1:9" ht="18.75" customHeight="1">
      <c r="A93" s="1" t="s">
        <v>44</v>
      </c>
      <c r="B93" s="1" t="s">
        <v>13</v>
      </c>
    </row>
    <row r="94" spans="1:9" ht="18.75" customHeight="1">
      <c r="A94" s="1"/>
      <c r="B94" s="215" t="s">
        <v>147</v>
      </c>
      <c r="C94" s="216"/>
      <c r="D94" s="216"/>
      <c r="E94" s="216"/>
      <c r="F94" s="216"/>
      <c r="G94" s="216"/>
      <c r="H94" s="216"/>
      <c r="I94" s="217"/>
    </row>
    <row r="95" spans="1:9" ht="18.75" customHeight="1">
      <c r="A95" s="1"/>
      <c r="B95" s="218"/>
      <c r="C95" s="219"/>
      <c r="D95" s="219"/>
      <c r="E95" s="219"/>
      <c r="F95" s="219"/>
      <c r="G95" s="219"/>
      <c r="H95" s="219"/>
      <c r="I95" s="220"/>
    </row>
    <row r="96" spans="1:9" ht="18.75" customHeight="1">
      <c r="A96" s="1"/>
      <c r="B96" s="218"/>
      <c r="C96" s="219"/>
      <c r="D96" s="219"/>
      <c r="E96" s="219"/>
      <c r="F96" s="219"/>
      <c r="G96" s="219"/>
      <c r="H96" s="219"/>
      <c r="I96" s="220"/>
    </row>
    <row r="97" spans="1:9" ht="18.75" customHeight="1">
      <c r="A97" s="1"/>
      <c r="B97" s="218"/>
      <c r="C97" s="219"/>
      <c r="D97" s="219"/>
      <c r="E97" s="219"/>
      <c r="F97" s="219"/>
      <c r="G97" s="219"/>
      <c r="H97" s="219"/>
      <c r="I97" s="220"/>
    </row>
    <row r="98" spans="1:9" ht="18.75" customHeight="1">
      <c r="A98" s="1"/>
      <c r="B98" s="218"/>
      <c r="C98" s="219"/>
      <c r="D98" s="219"/>
      <c r="E98" s="219"/>
      <c r="F98" s="219"/>
      <c r="G98" s="219"/>
      <c r="H98" s="219"/>
      <c r="I98" s="220"/>
    </row>
    <row r="99" spans="1:9" ht="18.75" customHeight="1">
      <c r="A99" s="1"/>
      <c r="B99" s="218"/>
      <c r="C99" s="219"/>
      <c r="D99" s="219"/>
      <c r="E99" s="219"/>
      <c r="F99" s="219"/>
      <c r="G99" s="219"/>
      <c r="H99" s="219"/>
      <c r="I99" s="220"/>
    </row>
    <row r="100" spans="1:9" ht="18.75" customHeight="1">
      <c r="A100" s="1"/>
      <c r="B100" s="218"/>
      <c r="C100" s="219"/>
      <c r="D100" s="219"/>
      <c r="E100" s="219"/>
      <c r="F100" s="219"/>
      <c r="G100" s="219"/>
      <c r="H100" s="219"/>
      <c r="I100" s="220"/>
    </row>
    <row r="101" spans="1:9" ht="18.75" customHeight="1">
      <c r="A101" s="1"/>
      <c r="B101" s="218"/>
      <c r="C101" s="219"/>
      <c r="D101" s="219"/>
      <c r="E101" s="219"/>
      <c r="F101" s="219"/>
      <c r="G101" s="219"/>
      <c r="H101" s="219"/>
      <c r="I101" s="220"/>
    </row>
    <row r="102" spans="1:9" ht="18.75" customHeight="1">
      <c r="A102" s="1"/>
      <c r="B102" s="218"/>
      <c r="C102" s="219"/>
      <c r="D102" s="219"/>
      <c r="E102" s="219"/>
      <c r="F102" s="219"/>
      <c r="G102" s="219"/>
      <c r="H102" s="219"/>
      <c r="I102" s="220"/>
    </row>
    <row r="103" spans="1:9" ht="18.75" customHeight="1">
      <c r="A103" s="1"/>
      <c r="B103" s="218"/>
      <c r="C103" s="219"/>
      <c r="D103" s="219"/>
      <c r="E103" s="219"/>
      <c r="F103" s="219"/>
      <c r="G103" s="219"/>
      <c r="H103" s="219"/>
      <c r="I103" s="220"/>
    </row>
    <row r="104" spans="1:9" ht="18.75" customHeight="1">
      <c r="A104" s="1"/>
      <c r="B104" s="218"/>
      <c r="C104" s="219"/>
      <c r="D104" s="219"/>
      <c r="E104" s="219"/>
      <c r="F104" s="219"/>
      <c r="G104" s="219"/>
      <c r="H104" s="219"/>
      <c r="I104" s="220"/>
    </row>
    <row r="105" spans="1:9" ht="18.75" customHeight="1">
      <c r="A105" s="4"/>
      <c r="B105" s="221"/>
      <c r="C105" s="222"/>
      <c r="D105" s="222"/>
      <c r="E105" s="222"/>
      <c r="F105" s="222"/>
      <c r="G105" s="222"/>
      <c r="H105" s="222"/>
      <c r="I105" s="223"/>
    </row>
    <row r="106" spans="1:9" ht="7.5" customHeight="1">
      <c r="A106" s="4"/>
      <c r="B106" s="4"/>
      <c r="C106" s="4"/>
      <c r="D106" s="4"/>
      <c r="E106" s="4"/>
      <c r="F106" s="4"/>
      <c r="G106" s="4"/>
      <c r="H106" s="4"/>
      <c r="I106" s="4"/>
    </row>
    <row r="107" spans="1:9" ht="18.75" customHeight="1">
      <c r="A107" s="1" t="s">
        <v>30</v>
      </c>
      <c r="B107" s="224" t="s">
        <v>46</v>
      </c>
      <c r="C107" s="224"/>
      <c r="D107" s="224"/>
      <c r="E107" s="224"/>
      <c r="F107" s="224"/>
      <c r="G107" s="224"/>
      <c r="H107" s="224"/>
      <c r="I107" s="224"/>
    </row>
    <row r="108" spans="1:9" ht="18.75" customHeight="1">
      <c r="A108" s="4"/>
      <c r="B108" s="215" t="s">
        <v>157</v>
      </c>
      <c r="C108" s="216"/>
      <c r="D108" s="216"/>
      <c r="E108" s="216"/>
      <c r="F108" s="216"/>
      <c r="G108" s="216"/>
      <c r="H108" s="216"/>
      <c r="I108" s="217"/>
    </row>
    <row r="109" spans="1:9" ht="18.75" customHeight="1">
      <c r="A109" s="4"/>
      <c r="B109" s="218"/>
      <c r="C109" s="219"/>
      <c r="D109" s="219"/>
      <c r="E109" s="219"/>
      <c r="F109" s="219"/>
      <c r="G109" s="219"/>
      <c r="H109" s="219"/>
      <c r="I109" s="220"/>
    </row>
    <row r="110" spans="1:9" ht="18.75" customHeight="1">
      <c r="A110" s="4"/>
      <c r="B110" s="218"/>
      <c r="C110" s="219"/>
      <c r="D110" s="219"/>
      <c r="E110" s="219"/>
      <c r="F110" s="219"/>
      <c r="G110" s="219"/>
      <c r="H110" s="219"/>
      <c r="I110" s="220"/>
    </row>
    <row r="111" spans="1:9" ht="18.75" customHeight="1">
      <c r="A111" s="4"/>
      <c r="B111" s="218"/>
      <c r="C111" s="219"/>
      <c r="D111" s="219"/>
      <c r="E111" s="219"/>
      <c r="F111" s="219"/>
      <c r="G111" s="219"/>
      <c r="H111" s="219"/>
      <c r="I111" s="220"/>
    </row>
    <row r="112" spans="1:9" ht="18.75" customHeight="1">
      <c r="A112" s="4"/>
      <c r="B112" s="218"/>
      <c r="C112" s="219"/>
      <c r="D112" s="219"/>
      <c r="E112" s="219"/>
      <c r="F112" s="219"/>
      <c r="G112" s="219"/>
      <c r="H112" s="219"/>
      <c r="I112" s="220"/>
    </row>
    <row r="113" spans="1:9" ht="18.75" customHeight="1">
      <c r="A113" s="4"/>
      <c r="B113" s="218"/>
      <c r="C113" s="219"/>
      <c r="D113" s="219"/>
      <c r="E113" s="219"/>
      <c r="F113" s="219"/>
      <c r="G113" s="219"/>
      <c r="H113" s="219"/>
      <c r="I113" s="220"/>
    </row>
    <row r="114" spans="1:9" ht="18.75" customHeight="1">
      <c r="A114" s="4"/>
      <c r="B114" s="218"/>
      <c r="C114" s="219"/>
      <c r="D114" s="219"/>
      <c r="E114" s="219"/>
      <c r="F114" s="219"/>
      <c r="G114" s="219"/>
      <c r="H114" s="219"/>
      <c r="I114" s="220"/>
    </row>
    <row r="115" spans="1:9" ht="18.75" customHeight="1">
      <c r="A115" s="4"/>
      <c r="B115" s="218"/>
      <c r="C115" s="219"/>
      <c r="D115" s="219"/>
      <c r="E115" s="219"/>
      <c r="F115" s="219"/>
      <c r="G115" s="219"/>
      <c r="H115" s="219"/>
      <c r="I115" s="220"/>
    </row>
    <row r="116" spans="1:9" ht="18.75" customHeight="1">
      <c r="A116" s="4"/>
      <c r="B116" s="218"/>
      <c r="C116" s="219"/>
      <c r="D116" s="219"/>
      <c r="E116" s="219"/>
      <c r="F116" s="219"/>
      <c r="G116" s="219"/>
      <c r="H116" s="219"/>
      <c r="I116" s="220"/>
    </row>
    <row r="117" spans="1:9" ht="18.75" customHeight="1">
      <c r="A117" s="4"/>
      <c r="B117" s="218"/>
      <c r="C117" s="219"/>
      <c r="D117" s="219"/>
      <c r="E117" s="219"/>
      <c r="F117" s="219"/>
      <c r="G117" s="219"/>
      <c r="H117" s="219"/>
      <c r="I117" s="220"/>
    </row>
    <row r="118" spans="1:9" ht="18.75" customHeight="1">
      <c r="A118" s="4"/>
      <c r="B118" s="218"/>
      <c r="C118" s="219"/>
      <c r="D118" s="219"/>
      <c r="E118" s="219"/>
      <c r="F118" s="219"/>
      <c r="G118" s="219"/>
      <c r="H118" s="219"/>
      <c r="I118" s="220"/>
    </row>
    <row r="119" spans="1:9" ht="18.75" customHeight="1">
      <c r="A119" s="4"/>
      <c r="B119" s="221"/>
      <c r="C119" s="222"/>
      <c r="D119" s="222"/>
      <c r="E119" s="222"/>
      <c r="F119" s="222"/>
      <c r="G119" s="222"/>
      <c r="H119" s="222"/>
      <c r="I119" s="223"/>
    </row>
    <row r="120" spans="1:9" ht="7.5" customHeight="1">
      <c r="A120" s="4"/>
      <c r="B120" s="45"/>
      <c r="C120" s="45"/>
      <c r="D120" s="45"/>
      <c r="E120" s="45"/>
      <c r="F120" s="45"/>
      <c r="G120" s="45"/>
      <c r="H120" s="45"/>
      <c r="I120" s="45"/>
    </row>
    <row r="121" spans="1:9" ht="18.75" customHeight="1">
      <c r="A121" s="4"/>
      <c r="B121" s="4"/>
      <c r="C121" s="4"/>
      <c r="D121" s="4"/>
      <c r="E121" s="4"/>
      <c r="F121" s="4"/>
      <c r="G121" s="4"/>
      <c r="H121" s="4"/>
      <c r="I121" s="4"/>
    </row>
    <row r="122" spans="1:9" ht="18.75" customHeight="1">
      <c r="A122" s="4"/>
      <c r="B122" s="4"/>
      <c r="C122" s="4"/>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4.25">
      <c r="A133" s="4"/>
      <c r="B133" s="4"/>
      <c r="C133" s="4"/>
      <c r="D133" s="4"/>
      <c r="E133" s="4"/>
      <c r="F133" s="4"/>
      <c r="G133" s="4"/>
      <c r="H133" s="4"/>
      <c r="I133" s="4"/>
    </row>
    <row r="134" spans="1:9" ht="7.5" customHeight="1">
      <c r="A134" s="46"/>
      <c r="B134" s="46"/>
      <c r="C134" s="46"/>
      <c r="D134" s="46"/>
      <c r="E134" s="46"/>
      <c r="F134" s="46"/>
      <c r="G134" s="46"/>
      <c r="H134" s="46"/>
      <c r="I134" s="46"/>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tabSelected="1" view="pageBreakPreview" topLeftCell="D4" zoomScaleNormal="100" zoomScaleSheetLayoutView="100" workbookViewId="0">
      <selection activeCell="B1" sqref="B1"/>
    </sheetView>
  </sheetViews>
  <sheetFormatPr defaultColWidth="11.375" defaultRowHeight="22.5" customHeight="1"/>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c r="A1" s="1" t="s">
        <v>71</v>
      </c>
      <c r="I1" s="34" t="s">
        <v>105</v>
      </c>
    </row>
    <row r="2" spans="1:9" ht="18.75" customHeight="1">
      <c r="H2" s="34" t="s">
        <v>109</v>
      </c>
      <c r="I2" s="33" t="str">
        <f>'様式１　プログラムを構成する授業科目'!C2</f>
        <v>岩手県立大学宮古短期大学部</v>
      </c>
    </row>
    <row r="3" spans="1:9" ht="18.75" customHeight="1">
      <c r="A3" s="113" t="s">
        <v>28</v>
      </c>
      <c r="B3" s="113"/>
      <c r="C3" s="113"/>
      <c r="D3" s="113"/>
      <c r="E3" s="113"/>
      <c r="F3" s="113"/>
      <c r="G3" s="113"/>
      <c r="H3" s="113"/>
      <c r="I3" s="113"/>
    </row>
    <row r="4" spans="1:9" ht="18.75" customHeight="1">
      <c r="A4" s="5"/>
      <c r="B4" s="5"/>
      <c r="C4" s="5"/>
      <c r="D4" s="5"/>
      <c r="E4" s="5"/>
      <c r="F4" s="5"/>
      <c r="G4" s="5"/>
      <c r="H4" s="5"/>
      <c r="I4" s="5"/>
    </row>
    <row r="5" spans="1:9" ht="18.75" customHeight="1">
      <c r="A5" s="1" t="s">
        <v>0</v>
      </c>
      <c r="B5" s="10" t="s">
        <v>95</v>
      </c>
      <c r="C5" s="5"/>
      <c r="D5" s="5"/>
      <c r="E5" s="5"/>
      <c r="F5" s="5"/>
      <c r="G5" s="5"/>
      <c r="H5" s="5"/>
      <c r="I5" s="5"/>
    </row>
    <row r="6" spans="1:9" ht="26.25" customHeight="1">
      <c r="A6" s="5"/>
      <c r="B6" s="233" t="s">
        <v>146</v>
      </c>
      <c r="C6" s="259"/>
      <c r="D6" s="259"/>
      <c r="E6" s="259"/>
      <c r="F6" s="259"/>
      <c r="G6" s="259"/>
      <c r="H6" s="260"/>
      <c r="I6" s="3"/>
    </row>
    <row r="7" spans="1:9" ht="9" customHeight="1">
      <c r="A7" s="5"/>
      <c r="B7" s="10"/>
      <c r="C7" s="10"/>
      <c r="D7" s="10"/>
      <c r="E7" s="10"/>
      <c r="F7" s="10"/>
      <c r="G7" s="10"/>
      <c r="H7" s="10"/>
      <c r="I7" s="3"/>
    </row>
    <row r="8" spans="1:9" ht="18.75" customHeight="1">
      <c r="A8" s="5"/>
      <c r="B8" s="3"/>
      <c r="C8" s="3"/>
      <c r="D8" s="34" t="s">
        <v>43</v>
      </c>
      <c r="E8" s="81" t="s">
        <v>145</v>
      </c>
      <c r="F8" s="3"/>
      <c r="G8" s="34" t="s">
        <v>10</v>
      </c>
      <c r="H8" s="81" t="s">
        <v>144</v>
      </c>
      <c r="I8" s="3"/>
    </row>
    <row r="9" spans="1:9" ht="7.5" customHeight="1">
      <c r="A9" s="5"/>
      <c r="B9" s="5"/>
      <c r="C9" s="5"/>
      <c r="D9" s="5"/>
      <c r="E9" s="5"/>
      <c r="F9" s="5"/>
      <c r="G9" s="5"/>
      <c r="H9" s="5"/>
      <c r="I9" s="5"/>
    </row>
    <row r="10" spans="1:9" ht="18.75" customHeight="1">
      <c r="A10" s="1" t="s">
        <v>3</v>
      </c>
      <c r="B10" s="1" t="s">
        <v>27</v>
      </c>
      <c r="C10" s="4"/>
      <c r="D10" s="4"/>
      <c r="E10" s="4"/>
      <c r="F10" s="4"/>
      <c r="G10" s="4"/>
      <c r="H10" s="4"/>
      <c r="I10" s="4"/>
    </row>
    <row r="11" spans="1:9" ht="18.75" customHeight="1">
      <c r="B11" s="99" t="s">
        <v>24</v>
      </c>
      <c r="C11" s="100"/>
      <c r="D11" s="101"/>
      <c r="E11" s="100" t="s">
        <v>26</v>
      </c>
      <c r="F11" s="100"/>
      <c r="G11" s="100"/>
      <c r="H11" s="100"/>
      <c r="I11" s="101"/>
    </row>
    <row r="12" spans="1:9" ht="26.25" customHeight="1">
      <c r="B12" s="47" t="s">
        <v>14</v>
      </c>
      <c r="C12" s="54"/>
      <c r="D12" s="48"/>
      <c r="E12" s="55"/>
      <c r="F12" s="55"/>
      <c r="G12" s="55"/>
      <c r="H12" s="55"/>
      <c r="I12" s="48"/>
    </row>
    <row r="13" spans="1:9" ht="210.75" customHeight="1">
      <c r="B13" s="49"/>
      <c r="C13" s="245" t="s">
        <v>15</v>
      </c>
      <c r="D13" s="151"/>
      <c r="E13" s="246" t="s">
        <v>158</v>
      </c>
      <c r="F13" s="247"/>
      <c r="G13" s="247"/>
      <c r="H13" s="247"/>
      <c r="I13" s="248"/>
    </row>
    <row r="14" spans="1:9" ht="210.75" customHeight="1">
      <c r="B14" s="49"/>
      <c r="C14" s="257" t="s">
        <v>16</v>
      </c>
      <c r="D14" s="258"/>
      <c r="E14" s="246" t="s">
        <v>159</v>
      </c>
      <c r="F14" s="247"/>
      <c r="G14" s="247"/>
      <c r="H14" s="247"/>
      <c r="I14" s="248"/>
    </row>
    <row r="15" spans="1:9" ht="210.75" customHeight="1">
      <c r="B15" s="49"/>
      <c r="C15" s="245" t="s">
        <v>17</v>
      </c>
      <c r="D15" s="151"/>
      <c r="E15" s="246" t="s">
        <v>160</v>
      </c>
      <c r="F15" s="247"/>
      <c r="G15" s="247"/>
      <c r="H15" s="247"/>
      <c r="I15" s="248"/>
    </row>
    <row r="16" spans="1:9" ht="210.75" customHeight="1">
      <c r="B16" s="49"/>
      <c r="C16" s="245" t="s">
        <v>18</v>
      </c>
      <c r="D16" s="151"/>
      <c r="E16" s="246" t="s">
        <v>161</v>
      </c>
      <c r="F16" s="247"/>
      <c r="G16" s="247"/>
      <c r="H16" s="247"/>
      <c r="I16" s="248"/>
    </row>
    <row r="17" spans="2:9" ht="210.75" customHeight="1">
      <c r="B17" s="50"/>
      <c r="C17" s="249" t="s">
        <v>19</v>
      </c>
      <c r="D17" s="250"/>
      <c r="E17" s="251" t="s">
        <v>151</v>
      </c>
      <c r="F17" s="252"/>
      <c r="G17" s="252"/>
      <c r="H17" s="252"/>
      <c r="I17" s="253"/>
    </row>
    <row r="18" spans="2:9" ht="24" customHeight="1">
      <c r="B18" s="47" t="s">
        <v>20</v>
      </c>
      <c r="C18" s="51"/>
      <c r="D18" s="52"/>
      <c r="E18" s="53"/>
      <c r="F18" s="53"/>
      <c r="G18" s="53"/>
      <c r="H18" s="53"/>
      <c r="I18" s="56"/>
    </row>
    <row r="19" spans="2:9" ht="218.25" customHeight="1">
      <c r="B19" s="49"/>
      <c r="C19" s="245" t="s">
        <v>21</v>
      </c>
      <c r="D19" s="151"/>
      <c r="E19" s="246" t="s">
        <v>162</v>
      </c>
      <c r="F19" s="247"/>
      <c r="G19" s="247"/>
      <c r="H19" s="247"/>
      <c r="I19" s="248"/>
    </row>
    <row r="20" spans="2:9" ht="218.25" customHeight="1">
      <c r="B20" s="50"/>
      <c r="C20" s="249" t="s">
        <v>22</v>
      </c>
      <c r="D20" s="250"/>
      <c r="E20" s="251" t="s">
        <v>163</v>
      </c>
      <c r="F20" s="252"/>
      <c r="G20" s="252"/>
      <c r="H20" s="252"/>
      <c r="I20" s="253"/>
    </row>
    <row r="21" spans="2:9" ht="218.25" customHeight="1">
      <c r="B21" s="254" t="s">
        <v>23</v>
      </c>
      <c r="C21" s="255"/>
      <c r="D21" s="256"/>
      <c r="E21" s="242" t="s">
        <v>164</v>
      </c>
      <c r="F21" s="243"/>
      <c r="G21" s="243"/>
      <c r="H21" s="243"/>
      <c r="I21" s="244"/>
    </row>
    <row r="22" spans="2:9" ht="218.25" customHeight="1">
      <c r="B22" s="239" t="s">
        <v>38</v>
      </c>
      <c r="C22" s="240"/>
      <c r="D22" s="241"/>
      <c r="E22" s="242" t="s">
        <v>165</v>
      </c>
      <c r="F22" s="243"/>
      <c r="G22" s="243"/>
      <c r="H22" s="243"/>
      <c r="I22" s="244"/>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5"/>
      <c r="C28" s="15"/>
      <c r="D28" s="15"/>
      <c r="E28" s="15"/>
      <c r="F28" s="15"/>
      <c r="G28" s="15"/>
      <c r="H28" s="15"/>
      <c r="I28" s="15"/>
    </row>
    <row r="29" spans="2:9" ht="22.5" customHeight="1">
      <c r="B29" s="15"/>
      <c r="C29" s="15"/>
      <c r="D29" s="15"/>
      <c r="E29" s="15"/>
      <c r="F29" s="15"/>
      <c r="G29" s="15"/>
      <c r="H29" s="15"/>
      <c r="I29" s="15"/>
    </row>
    <row r="30" spans="2:9" ht="22.5" customHeight="1">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ipu</cp:lastModifiedBy>
  <cp:lastPrinted>2023-06-26T06:16:33Z</cp:lastPrinted>
  <dcterms:created xsi:type="dcterms:W3CDTF">2011-06-14T05:32:50Z</dcterms:created>
  <dcterms:modified xsi:type="dcterms:W3CDTF">2023-06-26T06:16:53Z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