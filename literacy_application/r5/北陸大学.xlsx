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29"/>
  <workbookPr defaultThemeVersion="124226"/>
  <mc:AlternateContent xmlns:mc="http://schemas.openxmlformats.org/markup-compatibility/2006">
    <mc:Choice Requires="x15">
      <x15ac:absPath xmlns:x15ac="http://schemas.microsoft.com/office/spreadsheetml/2010/11/ac" url="\\172.16.19.207\gakumugakusei-kyoyu$\学務・学生課\共有（学務課）\共有\全学教務委員会\データサイエンス・AI教育\数理・DS・AI申請関係資料\提出書類（PDF）\リテラシー\訂正提出\"/>
    </mc:Choice>
  </mc:AlternateContent>
  <xr:revisionPtr revIDLastSave="0" documentId="13_ncr:1_{C44B7BDB-9B6C-4D01-8ADF-C9AB57D5D237}" xr6:coauthVersionLast="47" xr6:coauthVersionMax="47" xr10:uidLastSave="{00000000-0000-0000-0000-000000000000}"/>
  <bookViews>
    <workbookView xWindow="-110" yWindow="-110" windowWidth="19420" windowHeight="10420" tabRatio="885" firstSheet="3" activeTab="6" xr2:uid="{00000000-000D-0000-FFFF-FFFF00000000}"/>
  </bookViews>
  <sheets>
    <sheet name="様式１-①　プログラムを構成する授業科目" sheetId="39" r:id="rId1"/>
    <sheet name="様式１-②　プログラムを構成する授業科目" sheetId="46" r:id="rId2"/>
    <sheet name="様式１-③　プログラムを構成する授業科目" sheetId="47" r:id="rId3"/>
    <sheet name="様式１-④　プログラムを構成する授業科目" sheetId="44" r:id="rId4"/>
    <sheet name="様式２ 履修者等数の実績" sheetId="40" r:id="rId5"/>
    <sheet name="様式３ 教育の質・履修者数を向上させるための体制・計画" sheetId="41" r:id="rId6"/>
    <sheet name="様式４　自己点検・評価" sheetId="42" r:id="rId7"/>
  </sheets>
  <definedNames>
    <definedName name="_xlnm._FilterDatabase" localSheetId="0" hidden="1">'様式１-①　プログラムを構成する授業科目'!$V$14:$V$16</definedName>
    <definedName name="_xlnm._FilterDatabase" localSheetId="1" hidden="1">'様式１-②　プログラムを構成する授業科目'!$V$14:$V$16</definedName>
    <definedName name="_xlnm._FilterDatabase" localSheetId="2" hidden="1">'様式１-③　プログラムを構成する授業科目'!$V$14:$V$16</definedName>
    <definedName name="_xlnm._FilterDatabase" localSheetId="3" hidden="1">'様式１-④　プログラムを構成する授業科目'!$V$14:$V$16</definedName>
    <definedName name="_xlnm._FilterDatabase" localSheetId="4" hidden="1">'様式２ 履修者等数の実績'!#REF!</definedName>
    <definedName name="_xlnm.Print_Area" localSheetId="0">'様式１-①　プログラムを構成する授業科目'!$A$1:$S$102</definedName>
    <definedName name="_xlnm.Print_Area" localSheetId="1">'様式１-②　プログラムを構成する授業科目'!$A$1:$S$102</definedName>
    <definedName name="_xlnm.Print_Area" localSheetId="2">'様式１-③　プログラムを構成する授業科目'!$A$1:$S$102</definedName>
    <definedName name="_xlnm.Print_Area" localSheetId="3">'様式１-④　プログラムを構成する授業科目'!$A$1:$S$102</definedName>
    <definedName name="_xlnm.Print_Area" localSheetId="4">'様式２ 履修者等数の実績'!$A$1:$AQ$32</definedName>
    <definedName name="_xlnm.Print_Area" localSheetId="5">'様式３ 教育の質・履修者数を向上させるための体制・計画'!$A$1:$I$120</definedName>
    <definedName name="_xlnm.Print_Area" localSheetId="6">'様式４　自己点検・評価'!$A$1:$I$22</definedName>
    <definedName name="_xlnm.Print_Titles" localSheetId="6">'様式４　自己点検・評価'!$11:$11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40" l="1"/>
  <c r="F15" i="40"/>
  <c r="F14" i="40"/>
  <c r="F13" i="40"/>
  <c r="F12" i="40"/>
  <c r="F18" i="40"/>
  <c r="I2" i="42"/>
  <c r="H2" i="41"/>
  <c r="AM2" i="40"/>
  <c r="AO32" i="40" l="1"/>
  <c r="AN32" i="40"/>
  <c r="AL32" i="40"/>
  <c r="AK32" i="40"/>
  <c r="AM31" i="40"/>
  <c r="AJ31" i="40"/>
  <c r="AM30" i="40"/>
  <c r="AJ30" i="40"/>
  <c r="AM29" i="40"/>
  <c r="AJ29" i="40"/>
  <c r="AM28" i="40"/>
  <c r="AJ28" i="40"/>
  <c r="AM27" i="40"/>
  <c r="AJ27" i="40"/>
  <c r="AM26" i="40"/>
  <c r="AJ26" i="40"/>
  <c r="AM25" i="40"/>
  <c r="AJ25" i="40"/>
  <c r="AM24" i="40"/>
  <c r="AJ24" i="40"/>
  <c r="AM23" i="40"/>
  <c r="AJ23" i="40"/>
  <c r="AM22" i="40"/>
  <c r="AJ22" i="40"/>
  <c r="AM21" i="40"/>
  <c r="AJ21" i="40"/>
  <c r="AM20" i="40"/>
  <c r="AJ20" i="40"/>
  <c r="AM19" i="40"/>
  <c r="AJ19" i="40"/>
  <c r="AM18" i="40"/>
  <c r="AJ18" i="40"/>
  <c r="AM17" i="40"/>
  <c r="AJ17" i="40"/>
  <c r="AM16" i="40"/>
  <c r="AJ16" i="40"/>
  <c r="AM15" i="40"/>
  <c r="AJ15" i="40"/>
  <c r="AM14" i="40"/>
  <c r="AJ14" i="40"/>
  <c r="AM13" i="40"/>
  <c r="AJ13" i="40"/>
  <c r="AM12" i="40"/>
  <c r="AJ12" i="40"/>
  <c r="AI32" i="40"/>
  <c r="AH32" i="40"/>
  <c r="AF32" i="40"/>
  <c r="AE32" i="40"/>
  <c r="AG31" i="40"/>
  <c r="AD31" i="40"/>
  <c r="AG30" i="40"/>
  <c r="AD30" i="40"/>
  <c r="AG29" i="40"/>
  <c r="AD29" i="40"/>
  <c r="AG28" i="40"/>
  <c r="AD28" i="40"/>
  <c r="AG27" i="40"/>
  <c r="AD27" i="40"/>
  <c r="AG26" i="40"/>
  <c r="AD26" i="40"/>
  <c r="AG25" i="40"/>
  <c r="AD25" i="40"/>
  <c r="AG24" i="40"/>
  <c r="AD24" i="40"/>
  <c r="AG23" i="40"/>
  <c r="AD23" i="40"/>
  <c r="AG22" i="40"/>
  <c r="AD22" i="40"/>
  <c r="AG21" i="40"/>
  <c r="AD21" i="40"/>
  <c r="AG20" i="40"/>
  <c r="AD20" i="40"/>
  <c r="AG19" i="40"/>
  <c r="AD19" i="40"/>
  <c r="AG18" i="40"/>
  <c r="AD18" i="40"/>
  <c r="AG17" i="40"/>
  <c r="AD17" i="40"/>
  <c r="AG16" i="40"/>
  <c r="AD16" i="40"/>
  <c r="AG15" i="40"/>
  <c r="AD15" i="40"/>
  <c r="AG14" i="40"/>
  <c r="AD14" i="40"/>
  <c r="AG13" i="40"/>
  <c r="AD13" i="40"/>
  <c r="AG12" i="40"/>
  <c r="AD12" i="40"/>
  <c r="AC32" i="40"/>
  <c r="AB32" i="40"/>
  <c r="Z32" i="40"/>
  <c r="Y32" i="40"/>
  <c r="AA31" i="40"/>
  <c r="X31" i="40"/>
  <c r="AA30" i="40"/>
  <c r="X30" i="40"/>
  <c r="AA29" i="40"/>
  <c r="X29" i="40"/>
  <c r="AA28" i="40"/>
  <c r="X28" i="40"/>
  <c r="AA27" i="40"/>
  <c r="X27" i="40"/>
  <c r="AA26" i="40"/>
  <c r="X26" i="40"/>
  <c r="AA25" i="40"/>
  <c r="X25" i="40"/>
  <c r="AA24" i="40"/>
  <c r="X24" i="40"/>
  <c r="AA23" i="40"/>
  <c r="X23" i="40"/>
  <c r="AA22" i="40"/>
  <c r="X22" i="40"/>
  <c r="AA21" i="40"/>
  <c r="X21" i="40"/>
  <c r="AA20" i="40"/>
  <c r="X20" i="40"/>
  <c r="AA19" i="40"/>
  <c r="X19" i="40"/>
  <c r="AA18" i="40"/>
  <c r="X18" i="40"/>
  <c r="AA17" i="40"/>
  <c r="X17" i="40"/>
  <c r="AA16" i="40"/>
  <c r="X16" i="40"/>
  <c r="AA15" i="40"/>
  <c r="X15" i="40"/>
  <c r="AA14" i="40"/>
  <c r="X14" i="40"/>
  <c r="AA13" i="40"/>
  <c r="X13" i="40"/>
  <c r="AA12" i="40"/>
  <c r="X12" i="40"/>
  <c r="W32" i="40"/>
  <c r="V32" i="40"/>
  <c r="T32" i="40"/>
  <c r="S32" i="40"/>
  <c r="U31" i="40"/>
  <c r="R31" i="40"/>
  <c r="U30" i="40"/>
  <c r="R30" i="40"/>
  <c r="U29" i="40"/>
  <c r="R29" i="40"/>
  <c r="U28" i="40"/>
  <c r="R28" i="40"/>
  <c r="U27" i="40"/>
  <c r="R27" i="40"/>
  <c r="U26" i="40"/>
  <c r="R26" i="40"/>
  <c r="U25" i="40"/>
  <c r="R25" i="40"/>
  <c r="U24" i="40"/>
  <c r="R24" i="40"/>
  <c r="U23" i="40"/>
  <c r="R23" i="40"/>
  <c r="U22" i="40"/>
  <c r="R22" i="40"/>
  <c r="U21" i="40"/>
  <c r="R21" i="40"/>
  <c r="U20" i="40"/>
  <c r="R20" i="40"/>
  <c r="U19" i="40"/>
  <c r="R19" i="40"/>
  <c r="U18" i="40"/>
  <c r="R18" i="40"/>
  <c r="U17" i="40"/>
  <c r="R17" i="40"/>
  <c r="U16" i="40"/>
  <c r="R16" i="40"/>
  <c r="U15" i="40"/>
  <c r="R15" i="40"/>
  <c r="U14" i="40"/>
  <c r="R14" i="40"/>
  <c r="U13" i="40"/>
  <c r="R13" i="40"/>
  <c r="U12" i="40"/>
  <c r="R12" i="40"/>
  <c r="Q32" i="40"/>
  <c r="P32" i="40"/>
  <c r="N32" i="40"/>
  <c r="M32" i="40"/>
  <c r="O31" i="40"/>
  <c r="L31" i="40"/>
  <c r="O30" i="40"/>
  <c r="L30" i="40"/>
  <c r="O29" i="40"/>
  <c r="L29" i="40"/>
  <c r="O28" i="40"/>
  <c r="L28" i="40"/>
  <c r="O27" i="40"/>
  <c r="L27" i="40"/>
  <c r="O26" i="40"/>
  <c r="L26" i="40"/>
  <c r="O25" i="40"/>
  <c r="L25" i="40"/>
  <c r="O24" i="40"/>
  <c r="L24" i="40"/>
  <c r="O23" i="40"/>
  <c r="L23" i="40"/>
  <c r="O22" i="40"/>
  <c r="L22" i="40"/>
  <c r="O21" i="40"/>
  <c r="L21" i="40"/>
  <c r="O20" i="40"/>
  <c r="L20" i="40"/>
  <c r="O19" i="40"/>
  <c r="L19" i="40"/>
  <c r="O18" i="40"/>
  <c r="L18" i="40"/>
  <c r="O17" i="40"/>
  <c r="L17" i="40"/>
  <c r="O16" i="40"/>
  <c r="L16" i="40"/>
  <c r="O15" i="40"/>
  <c r="L15" i="40"/>
  <c r="O14" i="40"/>
  <c r="L14" i="40"/>
  <c r="O13" i="40"/>
  <c r="L13" i="40"/>
  <c r="O12" i="40"/>
  <c r="L12" i="40"/>
  <c r="O32" i="40" l="1"/>
  <c r="AA32" i="40"/>
  <c r="AJ32" i="40"/>
  <c r="AM32" i="40"/>
  <c r="AG32" i="40"/>
  <c r="AD32" i="40"/>
  <c r="X32" i="40"/>
  <c r="R32" i="40"/>
  <c r="U32" i="40"/>
  <c r="L32" i="40"/>
  <c r="K32" i="40" l="1"/>
  <c r="J32" i="40"/>
  <c r="I31" i="40"/>
  <c r="I30" i="40"/>
  <c r="I29" i="40"/>
  <c r="I28" i="40"/>
  <c r="I27" i="40"/>
  <c r="I26" i="40"/>
  <c r="I25" i="40"/>
  <c r="I24" i="40"/>
  <c r="I23" i="40"/>
  <c r="I22" i="40"/>
  <c r="I21" i="40"/>
  <c r="I20" i="40"/>
  <c r="I19" i="40"/>
  <c r="I18" i="40"/>
  <c r="I17" i="40"/>
  <c r="I16" i="40"/>
  <c r="I15" i="40"/>
  <c r="I14" i="40"/>
  <c r="I13" i="40"/>
  <c r="I12" i="40"/>
  <c r="G32" i="40"/>
  <c r="H32" i="40"/>
  <c r="AP13" i="40"/>
  <c r="AP14" i="40"/>
  <c r="AP15" i="40"/>
  <c r="AP16" i="40"/>
  <c r="F17" i="40"/>
  <c r="AP17" i="40" s="1"/>
  <c r="AP18" i="40"/>
  <c r="F19" i="40"/>
  <c r="AP19" i="40" s="1"/>
  <c r="F20" i="40"/>
  <c r="AP20" i="40" s="1"/>
  <c r="F21" i="40"/>
  <c r="AP21" i="40" s="1"/>
  <c r="F22" i="40"/>
  <c r="AP22" i="40" s="1"/>
  <c r="F23" i="40"/>
  <c r="AP23" i="40" s="1"/>
  <c r="F24" i="40"/>
  <c r="AP24" i="40" s="1"/>
  <c r="F25" i="40"/>
  <c r="AP25" i="40" s="1"/>
  <c r="F26" i="40"/>
  <c r="AP26" i="40" s="1"/>
  <c r="F27" i="40"/>
  <c r="AP27" i="40" s="1"/>
  <c r="F28" i="40"/>
  <c r="AP28" i="40" s="1"/>
  <c r="F29" i="40"/>
  <c r="AP29" i="40" s="1"/>
  <c r="F30" i="40"/>
  <c r="AP30" i="40" s="1"/>
  <c r="F31" i="40"/>
  <c r="AP31" i="40" s="1"/>
  <c r="AP12" i="40"/>
  <c r="AQ12" i="40" s="1"/>
  <c r="C32" i="40"/>
  <c r="I32" i="40" l="1"/>
  <c r="F32" i="40" l="1"/>
  <c r="E32" i="40"/>
  <c r="I50" i="41" s="1"/>
  <c r="D32" i="40"/>
  <c r="AQ31" i="40"/>
  <c r="AQ30" i="40"/>
  <c r="AQ29" i="40"/>
  <c r="AQ28" i="40"/>
  <c r="AQ27" i="40"/>
  <c r="AQ26" i="40"/>
  <c r="AQ25" i="40"/>
  <c r="AQ24" i="40"/>
  <c r="AQ23" i="40"/>
  <c r="AQ22" i="40"/>
  <c r="AQ21" i="40"/>
  <c r="AQ20" i="40"/>
  <c r="AQ19" i="40"/>
  <c r="AQ18" i="40"/>
  <c r="AQ17" i="40"/>
  <c r="AQ16" i="40"/>
  <c r="AQ15" i="40"/>
  <c r="AQ14" i="40"/>
  <c r="AQ13" i="40"/>
  <c r="AP32" i="40" l="1"/>
  <c r="AQ32" i="40" s="1"/>
  <c r="C49" i="41" s="1"/>
</calcChain>
</file>

<file path=xl/sharedStrings.xml><?xml version="1.0" encoding="utf-8"?>
<sst xmlns="http://schemas.openxmlformats.org/spreadsheetml/2006/main" count="795" uniqueCount="217">
  <si>
    <t>様式１-①</t>
    <rPh sb="0" eb="2">
      <t>ヨウシキ</t>
    </rPh>
    <phoneticPr fontId="1"/>
  </si>
  <si>
    <t>「学部・学科によって、修了要件は相違する」場合は、本シートを複製の上＜様式１－〇＞と枝番号を付してください</t>
    <rPh sb="21" eb="23">
      <t>バアイ</t>
    </rPh>
    <rPh sb="25" eb="26">
      <t>ホン</t>
    </rPh>
    <rPh sb="30" eb="32">
      <t>フクセイ</t>
    </rPh>
    <rPh sb="33" eb="34">
      <t>ウエ</t>
    </rPh>
    <rPh sb="42" eb="45">
      <t>エダバンゴウ</t>
    </rPh>
    <rPh sb="46" eb="47">
      <t>フ</t>
    </rPh>
    <phoneticPr fontId="1"/>
  </si>
  <si>
    <t>大学等名</t>
    <rPh sb="0" eb="2">
      <t>ダイガク</t>
    </rPh>
    <rPh sb="2" eb="3">
      <t>トウ</t>
    </rPh>
    <rPh sb="3" eb="4">
      <t>メイ</t>
    </rPh>
    <phoneticPr fontId="1"/>
  </si>
  <si>
    <t>北陸大学</t>
    <rPh sb="0" eb="4">
      <t>ホクリクダイガク</t>
    </rPh>
    <phoneticPr fontId="1"/>
  </si>
  <si>
    <t>プログラム名</t>
    <rPh sb="5" eb="6">
      <t>メイ</t>
    </rPh>
    <phoneticPr fontId="1"/>
  </si>
  <si>
    <t>北陸大学データサイエンス・AI教育プログラム</t>
    <rPh sb="0" eb="2">
      <t>ホクリク</t>
    </rPh>
    <rPh sb="2" eb="4">
      <t>ダイガク</t>
    </rPh>
    <phoneticPr fontId="1"/>
  </si>
  <si>
    <t>プログラムを構成する授業科目について</t>
    <phoneticPr fontId="1"/>
  </si>
  <si>
    <t>① 対象となる学部・学科名称</t>
    <phoneticPr fontId="1"/>
  </si>
  <si>
    <t>② 教育プログラムの修了要件</t>
    <phoneticPr fontId="1"/>
  </si>
  <si>
    <t>学部・学科によって、修了要件は相違する</t>
  </si>
  <si>
    <t>薬学部・薬学科</t>
    <phoneticPr fontId="1"/>
  </si>
  <si>
    <t>③ 修了要件</t>
    <phoneticPr fontId="1"/>
  </si>
  <si>
    <t>情報リテラシー及び臨床統計学の単位を修得すること</t>
    <rPh sb="0" eb="2">
      <t>ジョウホウ</t>
    </rPh>
    <rPh sb="7" eb="8">
      <t>オヨ</t>
    </rPh>
    <rPh sb="9" eb="11">
      <t>リンショウ</t>
    </rPh>
    <rPh sb="11" eb="14">
      <t>トウケイガク</t>
    </rPh>
    <rPh sb="15" eb="17">
      <t>タンイ</t>
    </rPh>
    <rPh sb="18" eb="20">
      <t>シュウトク</t>
    </rPh>
    <phoneticPr fontId="1"/>
  </si>
  <si>
    <t>【プルダウンリスト】</t>
    <phoneticPr fontId="1"/>
  </si>
  <si>
    <t>令和４年度以前より、履修することが必須のプログラムとして実施</t>
    <rPh sb="0" eb="2">
      <t>レイワ</t>
    </rPh>
    <rPh sb="3" eb="5">
      <t>ネンド</t>
    </rPh>
    <rPh sb="5" eb="7">
      <t>イゼン</t>
    </rPh>
    <phoneticPr fontId="1"/>
  </si>
  <si>
    <t>令和７年度までに履修必須とする計画</t>
    <rPh sb="3" eb="4">
      <t>ネン</t>
    </rPh>
    <phoneticPr fontId="1"/>
  </si>
  <si>
    <t>令和８年度以降に履修必須とする計画、又は未定</t>
    <rPh sb="18" eb="19">
      <t>マタ</t>
    </rPh>
    <rPh sb="20" eb="22">
      <t>ミテイ</t>
    </rPh>
    <phoneticPr fontId="1"/>
  </si>
  <si>
    <t>必要最低単位数</t>
    <phoneticPr fontId="1"/>
  </si>
  <si>
    <t>単位</t>
    <rPh sb="0" eb="2">
      <t>タンイ</t>
    </rPh>
    <phoneticPr fontId="1"/>
  </si>
  <si>
    <t>履修必須の有無</t>
    <rPh sb="0" eb="2">
      <t>リシュウ</t>
    </rPh>
    <rPh sb="2" eb="4">
      <t>ヒッス</t>
    </rPh>
    <rPh sb="5" eb="7">
      <t>ウム</t>
    </rPh>
    <phoneticPr fontId="1"/>
  </si>
  <si>
    <t>④ 現在進行中の社会変化（第４次産業革命、Society 5.0、データ駆動型社会等）に深く寄与しているものであり、それが自らの生活と密接に結びついている」の内容を含む授業科目</t>
    <rPh sb="2" eb="4">
      <t>ゲンザイ</t>
    </rPh>
    <rPh sb="4" eb="6">
      <t>シンコウ</t>
    </rPh>
    <rPh sb="6" eb="7">
      <t>チュウ</t>
    </rPh>
    <rPh sb="8" eb="10">
      <t>シャカイ</t>
    </rPh>
    <rPh sb="10" eb="12">
      <t>ヘンカ</t>
    </rPh>
    <rPh sb="13" eb="14">
      <t>ダイ</t>
    </rPh>
    <rPh sb="15" eb="16">
      <t>ジ</t>
    </rPh>
    <rPh sb="16" eb="18">
      <t>サンギョウ</t>
    </rPh>
    <rPh sb="18" eb="20">
      <t>カクメイ</t>
    </rPh>
    <rPh sb="36" eb="38">
      <t>クドウ</t>
    </rPh>
    <rPh sb="38" eb="39">
      <t>ガタ</t>
    </rPh>
    <rPh sb="39" eb="41">
      <t>シャカイ</t>
    </rPh>
    <rPh sb="41" eb="42">
      <t>トウ</t>
    </rPh>
    <rPh sb="44" eb="45">
      <t>フカ</t>
    </rPh>
    <rPh sb="46" eb="48">
      <t>キヨ</t>
    </rPh>
    <rPh sb="61" eb="62">
      <t>ミズカ</t>
    </rPh>
    <rPh sb="64" eb="66">
      <t>セイカツ</t>
    </rPh>
    <rPh sb="67" eb="69">
      <t>ミッセツ</t>
    </rPh>
    <rPh sb="70" eb="71">
      <t>ムス</t>
    </rPh>
    <rPh sb="79" eb="81">
      <t>ナイヨウ</t>
    </rPh>
    <rPh sb="82" eb="83">
      <t>フク</t>
    </rPh>
    <rPh sb="84" eb="86">
      <t>ジュギョウ</t>
    </rPh>
    <rPh sb="86" eb="88">
      <t>カモク</t>
    </rPh>
    <phoneticPr fontId="1"/>
  </si>
  <si>
    <t>授業科目</t>
    <rPh sb="0" eb="2">
      <t>ジュギョウ</t>
    </rPh>
    <rPh sb="2" eb="4">
      <t>カモク</t>
    </rPh>
    <phoneticPr fontId="1"/>
  </si>
  <si>
    <t>単位数</t>
    <rPh sb="0" eb="3">
      <t>タンイスウ</t>
    </rPh>
    <phoneticPr fontId="1"/>
  </si>
  <si>
    <t>必須</t>
    <rPh sb="0" eb="2">
      <t>ヒッス</t>
    </rPh>
    <phoneticPr fontId="1"/>
  </si>
  <si>
    <t>1-1</t>
    <phoneticPr fontId="1"/>
  </si>
  <si>
    <t>1-6</t>
  </si>
  <si>
    <t>情報リテラシー</t>
    <rPh sb="0" eb="2">
      <t>ジョウホウ</t>
    </rPh>
    <phoneticPr fontId="1"/>
  </si>
  <si>
    <t>○</t>
  </si>
  <si>
    <t>⑤ 「社会で活用されているデータ」や「データの活用領域」は非常に広範囲であって、日常生活や社会の課題を解決する有用なツールになり得るもの」の内容を含む授業科目</t>
    <rPh sb="3" eb="5">
      <t>シャカイ</t>
    </rPh>
    <rPh sb="6" eb="8">
      <t>カツヨウ</t>
    </rPh>
    <rPh sb="23" eb="25">
      <t>カツヨウ</t>
    </rPh>
    <rPh sb="25" eb="27">
      <t>リョウイキ</t>
    </rPh>
    <rPh sb="29" eb="31">
      <t>ヒジョウ</t>
    </rPh>
    <rPh sb="32" eb="35">
      <t>コウハンイ</t>
    </rPh>
    <rPh sb="40" eb="42">
      <t>ニチジョウ</t>
    </rPh>
    <rPh sb="42" eb="44">
      <t>セイカツ</t>
    </rPh>
    <rPh sb="45" eb="47">
      <t>シャカイ</t>
    </rPh>
    <rPh sb="48" eb="50">
      <t>カダイ</t>
    </rPh>
    <rPh sb="51" eb="53">
      <t>カイケツ</t>
    </rPh>
    <rPh sb="55" eb="57">
      <t>ユウヨウ</t>
    </rPh>
    <rPh sb="64" eb="65">
      <t>ウ</t>
    </rPh>
    <rPh sb="70" eb="72">
      <t>ナイヨウ</t>
    </rPh>
    <phoneticPr fontId="1"/>
  </si>
  <si>
    <t>1-2</t>
    <phoneticPr fontId="1"/>
  </si>
  <si>
    <t>1-3</t>
    <phoneticPr fontId="1"/>
  </si>
  <si>
    <t>⑥ 「様々なデータ利活用の現場におけるデータ利活用事例が示され、様々な適用領域（流通、製造、金融、サービス、インフラ、公共、ヘルスケア等）の知見と組み合わせることで価値を創出するもの」の内容を含む授業科目</t>
    <rPh sb="3" eb="5">
      <t>サマザマ</t>
    </rPh>
    <rPh sb="9" eb="12">
      <t>リカツヨウ</t>
    </rPh>
    <rPh sb="13" eb="15">
      <t>ゲンバ</t>
    </rPh>
    <rPh sb="22" eb="25">
      <t>リカツヨウ</t>
    </rPh>
    <rPh sb="25" eb="27">
      <t>ジレイ</t>
    </rPh>
    <rPh sb="28" eb="29">
      <t>シメ</t>
    </rPh>
    <rPh sb="32" eb="34">
      <t>サマザマ</t>
    </rPh>
    <rPh sb="35" eb="37">
      <t>テキヨウ</t>
    </rPh>
    <rPh sb="37" eb="39">
      <t>リョウイキ</t>
    </rPh>
    <rPh sb="40" eb="42">
      <t>リュウツウ</t>
    </rPh>
    <rPh sb="43" eb="45">
      <t>セイゾウ</t>
    </rPh>
    <rPh sb="46" eb="48">
      <t>キンユウ</t>
    </rPh>
    <rPh sb="59" eb="61">
      <t>コウキョウ</t>
    </rPh>
    <rPh sb="67" eb="68">
      <t>ナド</t>
    </rPh>
    <rPh sb="70" eb="72">
      <t>チケン</t>
    </rPh>
    <rPh sb="73" eb="74">
      <t>ク</t>
    </rPh>
    <rPh sb="75" eb="76">
      <t>ア</t>
    </rPh>
    <rPh sb="82" eb="84">
      <t>カチ</t>
    </rPh>
    <rPh sb="85" eb="87">
      <t>ソウシュツ</t>
    </rPh>
    <phoneticPr fontId="1"/>
  </si>
  <si>
    <t>1-4</t>
    <phoneticPr fontId="1"/>
  </si>
  <si>
    <t>1-5</t>
    <phoneticPr fontId="1"/>
  </si>
  <si>
    <t>⑦ 「活用に当たっての様々な留意事項（ELSI、個人情報、データ倫理、ＡＩ社会原則等）を考慮し、情報セキュリティや情報漏洩等、データを守る上での留意事項への理解をする」の内容を含む授業科目</t>
    <rPh sb="3" eb="5">
      <t>カツヨウ</t>
    </rPh>
    <rPh sb="6" eb="7">
      <t>ア</t>
    </rPh>
    <rPh sb="11" eb="13">
      <t>サマザマ</t>
    </rPh>
    <rPh sb="14" eb="16">
      <t>リュウイ</t>
    </rPh>
    <rPh sb="16" eb="18">
      <t>ジコウ</t>
    </rPh>
    <rPh sb="24" eb="26">
      <t>コジン</t>
    </rPh>
    <rPh sb="26" eb="28">
      <t>ジョウホウ</t>
    </rPh>
    <rPh sb="32" eb="34">
      <t>リンリ</t>
    </rPh>
    <rPh sb="37" eb="39">
      <t>シャカイ</t>
    </rPh>
    <rPh sb="39" eb="41">
      <t>ゲンソク</t>
    </rPh>
    <rPh sb="41" eb="42">
      <t>ナド</t>
    </rPh>
    <rPh sb="44" eb="46">
      <t>コウリョ</t>
    </rPh>
    <rPh sb="48" eb="50">
      <t>ジョウホウ</t>
    </rPh>
    <rPh sb="57" eb="59">
      <t>ジョウホウ</t>
    </rPh>
    <rPh sb="59" eb="61">
      <t>ロウエイ</t>
    </rPh>
    <rPh sb="61" eb="62">
      <t>ナド</t>
    </rPh>
    <rPh sb="67" eb="68">
      <t>マモ</t>
    </rPh>
    <rPh sb="69" eb="70">
      <t>ウエ</t>
    </rPh>
    <rPh sb="72" eb="74">
      <t>リュウイ</t>
    </rPh>
    <rPh sb="74" eb="76">
      <t>ジコウ</t>
    </rPh>
    <rPh sb="78" eb="80">
      <t>リカイ</t>
    </rPh>
    <phoneticPr fontId="1"/>
  </si>
  <si>
    <t>3-1</t>
    <phoneticPr fontId="1"/>
  </si>
  <si>
    <t>3-2</t>
    <phoneticPr fontId="1"/>
  </si>
  <si>
    <t>臨床統計学</t>
    <rPh sb="0" eb="2">
      <t>リンショウ</t>
    </rPh>
    <rPh sb="2" eb="5">
      <t>トウケイガク</t>
    </rPh>
    <phoneticPr fontId="1"/>
  </si>
  <si>
    <t>⑧ 「実データ・実課題（学術データ等を含む）を用いた演習など、社会での実例を題材として、「データを読む、説明する、扱う」といった数理・データサイエンス・ＡＩの基本的な活用法に関するもの」の内容を含む授業科目</t>
    <phoneticPr fontId="1"/>
  </si>
  <si>
    <t>2-1</t>
  </si>
  <si>
    <t>2-2</t>
    <phoneticPr fontId="1"/>
  </si>
  <si>
    <t>2-3</t>
    <phoneticPr fontId="1"/>
  </si>
  <si>
    <t>⑨ 選択「４．オプション」の内容を含む授業科目</t>
    <rPh sb="14" eb="16">
      <t>ナイヨウ</t>
    </rPh>
    <rPh sb="17" eb="18">
      <t>フク</t>
    </rPh>
    <rPh sb="19" eb="21">
      <t>ジュギョウ</t>
    </rPh>
    <rPh sb="21" eb="23">
      <t>カモク</t>
    </rPh>
    <phoneticPr fontId="1"/>
  </si>
  <si>
    <t>選択項目</t>
    <rPh sb="0" eb="2">
      <t>センタク</t>
    </rPh>
    <rPh sb="2" eb="4">
      <t>コウモク</t>
    </rPh>
    <phoneticPr fontId="1"/>
  </si>
  <si>
    <t>4‐6画像解析</t>
  </si>
  <si>
    <t>⑩ プログラムを構成する授業の内容</t>
    <phoneticPr fontId="1"/>
  </si>
  <si>
    <t>授業に含まれている内容・要素</t>
    <phoneticPr fontId="1"/>
  </si>
  <si>
    <t>講義内容</t>
    <rPh sb="0" eb="2">
      <t>コウギ</t>
    </rPh>
    <rPh sb="2" eb="4">
      <t>ナイヨウ</t>
    </rPh>
    <phoneticPr fontId="1"/>
  </si>
  <si>
    <t>（１）現在進行中の社会変化（第４次産業革命、Society 5.0、データ駆動型社会等）に深く寄与しているものであり、それが自らの生活と密接に結びついている</t>
    <phoneticPr fontId="1"/>
  </si>
  <si>
    <t>【情報リテラシー／第３回・第７回・第８回】
・データ量の増加、計算機の処理性能の向上、AIの非連続的進化  
・複数技術を組み合わせたAIサービス</t>
    <rPh sb="1" eb="3">
      <t>ジョウホウ</t>
    </rPh>
    <rPh sb="9" eb="10">
      <t>ダイ</t>
    </rPh>
    <rPh sb="11" eb="12">
      <t>カイ</t>
    </rPh>
    <rPh sb="13" eb="14">
      <t>ダイ</t>
    </rPh>
    <rPh sb="15" eb="16">
      <t>カイ</t>
    </rPh>
    <rPh sb="17" eb="18">
      <t>ダイ</t>
    </rPh>
    <rPh sb="19" eb="20">
      <t>カイ</t>
    </rPh>
    <phoneticPr fontId="1"/>
  </si>
  <si>
    <t>1-6</t>
    <phoneticPr fontId="1"/>
  </si>
  <si>
    <t>【情報リテラシー／第７回】
・AI最新技術の活用例（深層生成モデル、敵対的生成ネットワーク、強化学習、転移学習など）</t>
    <rPh sb="9" eb="10">
      <t>ダイ</t>
    </rPh>
    <rPh sb="11" eb="12">
      <t>カイ</t>
    </rPh>
    <phoneticPr fontId="1"/>
  </si>
  <si>
    <t>（２）「社会で活用されているデータ」や「データの活用領域」は非常に広範囲であって、日常生活や社会の課題を解決する有用なツールになり得るもの</t>
    <phoneticPr fontId="1"/>
  </si>
  <si>
    <t xml:space="preserve">【情報リテラシー／第７回・第８回】
・調査データ、実験データ、人の行動ログデータ、機械の稼働ログデータなど
</t>
    <rPh sb="9" eb="10">
      <t>ダイ</t>
    </rPh>
    <rPh sb="11" eb="12">
      <t>カイ</t>
    </rPh>
    <rPh sb="13" eb="14">
      <t>ダイ</t>
    </rPh>
    <rPh sb="15" eb="16">
      <t>カイ</t>
    </rPh>
    <phoneticPr fontId="1"/>
  </si>
  <si>
    <t>【情報リテラシー／第８回】
・研究開発、調達、製造、物流、販売、マーケティング、サービスなど　
・仮説検証、知識発見、原因究明、計画策定、判断支援、活動代替</t>
    <rPh sb="9" eb="10">
      <t>ダイ</t>
    </rPh>
    <rPh sb="11" eb="12">
      <t>カイ</t>
    </rPh>
    <phoneticPr fontId="1"/>
  </si>
  <si>
    <t>（３）様々なデータ利活用の現場におけるデータ利活用事例が示され、様々な適用領域（流通、製造、金融、サービス、インフラ、公共、ヘルスケア等）の知見と組み合わせることで価値を創出するもの</t>
    <phoneticPr fontId="1"/>
  </si>
  <si>
    <t>【情報リテラシー／第４回・第５回・第６回・第７回・第８回】
・データ可視化：複合グラフ、2軸グラフ、多次元の可視化、関係性の可視化、地図上の可視化、挙動
・軌跡の可視化、リアルタイム可視化など</t>
    <rPh sb="9" eb="10">
      <t>ダイ</t>
    </rPh>
    <rPh sb="11" eb="12">
      <t>カイ</t>
    </rPh>
    <rPh sb="13" eb="14">
      <t>ダイ</t>
    </rPh>
    <rPh sb="15" eb="16">
      <t>カイ</t>
    </rPh>
    <rPh sb="25" eb="26">
      <t>ダイ</t>
    </rPh>
    <rPh sb="27" eb="28">
      <t>カイ</t>
    </rPh>
    <rPh sb="74" eb="76">
      <t>キョドウ</t>
    </rPh>
    <phoneticPr fontId="1"/>
  </si>
  <si>
    <t>【情報リテラシー／第８回】
・流通、製造、金融、サービス、インフラ、公共、ヘルスケア等におけるデータ
・AI利活用事例紹介</t>
    <rPh sb="9" eb="10">
      <t>ダイ</t>
    </rPh>
    <rPh sb="11" eb="12">
      <t>カイ</t>
    </rPh>
    <phoneticPr fontId="1"/>
  </si>
  <si>
    <t>（４）活用に当たっての様々な留意事項（ELSI、個人情報、データ倫理、ＡＩ社会原則等）を考慮し、情報セキュリティや情報漏洩等、データを守る上での留意事項への理解をする</t>
    <phoneticPr fontId="1"/>
  </si>
  <si>
    <t>【情報リテラシー／第６回・第８回】
・個人情報保護、EU一般データ保護規則(GDPR)、忘れられる権利、オプトアウト
・データ倫理：データのねつ造、改ざん、盗用、プライバシー保護
・データ・AI活用における負の事例紹介
【臨床統計学／第12回】
 ・ELSI（Ethical, Legal and Social Issues）
・ 個人情報保護、EU一般データ保護規則(GDPR)、忘れられる権利、オプトアウト</t>
    <rPh sb="9" eb="10">
      <t>ダイ</t>
    </rPh>
    <rPh sb="11" eb="12">
      <t>カイ</t>
    </rPh>
    <rPh sb="13" eb="14">
      <t>ダイ</t>
    </rPh>
    <rPh sb="15" eb="16">
      <t>カイ</t>
    </rPh>
    <rPh sb="111" eb="113">
      <t>リンショウ</t>
    </rPh>
    <rPh sb="113" eb="116">
      <t>トウケイガク</t>
    </rPh>
    <rPh sb="117" eb="118">
      <t>ダイ</t>
    </rPh>
    <rPh sb="120" eb="121">
      <t>カイ</t>
    </rPh>
    <phoneticPr fontId="1"/>
  </si>
  <si>
    <t>【情報リテラシー／第５回・第６回・第８回】
・情報セキュリティ：機密性、完全性、可用性
・匿名加工情報、暗号化、パスワード、悪意ある情報搾取
・情報漏洩等によるセキュリティ事故の事例紹介</t>
    <rPh sb="9" eb="10">
      <t>ダイ</t>
    </rPh>
    <rPh sb="11" eb="12">
      <t>カイ</t>
    </rPh>
    <rPh sb="13" eb="14">
      <t>ダイ</t>
    </rPh>
    <rPh sb="15" eb="16">
      <t>カイ</t>
    </rPh>
    <rPh sb="17" eb="18">
      <t>ダイ</t>
    </rPh>
    <rPh sb="19" eb="20">
      <t>カイ</t>
    </rPh>
    <phoneticPr fontId="1"/>
  </si>
  <si>
    <t>（５）実データ・実課題（学術データ等を含む）を用いた演習など、社会での実例を題材として、「データを読む、説明する、扱う」といった数理・データサイエンス・ＡＩの基本的な活用法に関するもの</t>
    <phoneticPr fontId="1"/>
  </si>
  <si>
    <t>2-1</t>
    <phoneticPr fontId="1"/>
  </si>
  <si>
    <t>【情報リテラシー／第12回・第13回】
・データの種類（量的変数、質的変数）　・データの分布(ヒストグラム)と代表値（平均値、中央値、最頻値）
【臨床統計学／第１回】
・データの種類（量的変数、質的変数）・データの分布(ヒストグラム)と代表値（平均値、中央値、最頻値）・代表値の性質の違い（実社会では平均値＝最頻値でないことが多い）・データのばらつき（分散、標準偏差、偏差値）・相関と因果（相関係数、擬似相関、交絡）
【臨床統計学／第２回】・母集団と標本抽出（国勢調査、アンケート調査、全数調査、単純無作為抽出、層別抽出、多段抽出）
【臨床統計学／第７回】・相関と因果（相関係数、擬似相関、交絡）
【臨床統計学／第11回】・打ち切りや脱落を含むデータ、層別の必要なデータ</t>
    <rPh sb="9" eb="10">
      <t>ダイ</t>
    </rPh>
    <rPh sb="12" eb="13">
      <t>カイ</t>
    </rPh>
    <rPh sb="14" eb="15">
      <t>ダイ</t>
    </rPh>
    <rPh sb="17" eb="18">
      <t>カイ</t>
    </rPh>
    <phoneticPr fontId="1"/>
  </si>
  <si>
    <t>【情報リテラシー／第４回・第５回・第６回・第７回・８回】
・データ表現（棒グラフ、折線グラフ、散布図、ヒートマップ）
・データの図表表現（チャート化）
・優れた可視化事例の紹介（可視化することによって新たな気づきがあった事例など）
【臨床統計学／第１回】
 ・データ表現（棒グラフ、折線グラフ、散布図、ヒートマップ）</t>
    <rPh sb="17" eb="18">
      <t>ダイ</t>
    </rPh>
    <rPh sb="19" eb="20">
      <t>カイ</t>
    </rPh>
    <rPh sb="21" eb="22">
      <t>ダイ</t>
    </rPh>
    <rPh sb="23" eb="24">
      <t>カイ</t>
    </rPh>
    <rPh sb="26" eb="27">
      <t>カイ</t>
    </rPh>
    <phoneticPr fontId="1"/>
  </si>
  <si>
    <t>【情報リテラシー／第12回・第13回】
・データ解析ツール（スプレッドシート）
【臨床統計学／第１回】
 ・データの集計（和、平均）, データ解析ツール（スプレッドシート）</t>
    <phoneticPr fontId="1"/>
  </si>
  <si>
    <t>⑪ プログラムの学修成果（学生等が身に付けられる能力等）</t>
    <phoneticPr fontId="1"/>
  </si>
  <si>
    <t>「北陸大学データサイエンス・AI教育プログラム」を通じて、学生はデータサイエンス・ＡＩに関する基礎的な知識の修得に加え、データを理解・活用し、情報の解釈と意味を見いだすことを可能にする「データリテラシー」を身に付ける。</t>
    <rPh sb="25" eb="26">
      <t>ツウ</t>
    </rPh>
    <rPh sb="29" eb="31">
      <t>ガクセイ</t>
    </rPh>
    <rPh sb="44" eb="45">
      <t>カン</t>
    </rPh>
    <rPh sb="47" eb="49">
      <t>キソ</t>
    </rPh>
    <rPh sb="51" eb="53">
      <t>チシキ</t>
    </rPh>
    <rPh sb="54" eb="56">
      <t>シュウトク</t>
    </rPh>
    <rPh sb="57" eb="58">
      <t>クワ</t>
    </rPh>
    <rPh sb="64" eb="66">
      <t>リカイ</t>
    </rPh>
    <rPh sb="67" eb="69">
      <t>カツヨウ</t>
    </rPh>
    <rPh sb="71" eb="73">
      <t>ジョウホウ</t>
    </rPh>
    <rPh sb="74" eb="76">
      <t>カイシャク</t>
    </rPh>
    <rPh sb="77" eb="79">
      <t>イミ</t>
    </rPh>
    <rPh sb="80" eb="81">
      <t>ミ</t>
    </rPh>
    <rPh sb="87" eb="89">
      <t>カノウ</t>
    </rPh>
    <rPh sb="103" eb="104">
      <t>ミ</t>
    </rPh>
    <rPh sb="105" eb="106">
      <t>ツ</t>
    </rPh>
    <phoneticPr fontId="1"/>
  </si>
  <si>
    <t>様式１-②</t>
    <rPh sb="0" eb="2">
      <t>ヨウシキ</t>
    </rPh>
    <phoneticPr fontId="1"/>
  </si>
  <si>
    <t>経済経営学部・マネジメント学科</t>
    <phoneticPr fontId="1"/>
  </si>
  <si>
    <t>情報リテラシー及び統計学Ⅰの単位を修得すること</t>
    <rPh sb="0" eb="2">
      <t>ジョウホウ</t>
    </rPh>
    <rPh sb="7" eb="8">
      <t>オヨ</t>
    </rPh>
    <rPh sb="9" eb="12">
      <t>トウケイガク</t>
    </rPh>
    <phoneticPr fontId="1"/>
  </si>
  <si>
    <t>統計学Ⅰ</t>
    <rPh sb="0" eb="3">
      <t>トウケイガク</t>
    </rPh>
    <phoneticPr fontId="1"/>
  </si>
  <si>
    <t>4-1統計および数理基礎</t>
  </si>
  <si>
    <t>4‐4時系列データ解析</t>
  </si>
  <si>
    <t>4‐7データハンドリング</t>
  </si>
  <si>
    <t>4‐8データ活用実践（教師あり学習）</t>
  </si>
  <si>
    <t xml:space="preserve">【情報リテラシー／第３回・第７回・第８回】
・データ量の増加、計算機の処理性能の向上、AIの非連続的進化  
・複数技術を組み合わせたAIサービス
【統計学Ⅰ／第１回】
・データ量の増加、計算機の処理性能の向上、AIの非連続的進化  </t>
    <rPh sb="1" eb="3">
      <t>ジョウホウ</t>
    </rPh>
    <rPh sb="9" eb="10">
      <t>ダイ</t>
    </rPh>
    <rPh sb="11" eb="12">
      <t>カイ</t>
    </rPh>
    <rPh sb="13" eb="14">
      <t>ダイ</t>
    </rPh>
    <rPh sb="15" eb="16">
      <t>カイ</t>
    </rPh>
    <rPh sb="17" eb="18">
      <t>ダイ</t>
    </rPh>
    <rPh sb="19" eb="20">
      <t>カイ</t>
    </rPh>
    <phoneticPr fontId="1"/>
  </si>
  <si>
    <t>【情報リテラシー／第７回・第８回】
・調査データ、実験データ、人の行動ログデータ、機械の稼働ログデータなど</t>
    <rPh sb="9" eb="10">
      <t>ダイ</t>
    </rPh>
    <rPh sb="11" eb="12">
      <t>カイ</t>
    </rPh>
    <rPh sb="13" eb="14">
      <t>ダイ</t>
    </rPh>
    <rPh sb="15" eb="16">
      <t>カイ</t>
    </rPh>
    <phoneticPr fontId="1"/>
  </si>
  <si>
    <t>【情報リテラシー／第６回・第８回】
・個人情報保護、EU一般データ保護規則(GDPR)、忘れられる権利、オプトアウト
・データ倫理：データのねつ造、改ざん、盗用、プライバシー保護
・データ・AI活用における負の事例紹介</t>
    <rPh sb="9" eb="10">
      <t>ダイ</t>
    </rPh>
    <rPh sb="11" eb="12">
      <t>カイ</t>
    </rPh>
    <rPh sb="13" eb="14">
      <t>ダイ</t>
    </rPh>
    <rPh sb="15" eb="16">
      <t>カイ</t>
    </rPh>
    <phoneticPr fontId="1"/>
  </si>
  <si>
    <t>【情報リテラシー／第12回・第13回】
・データの種類（量的変数、質的変数）　・データの分布(ヒストグラム)と代表値（平均値、中央値、最頻値）
【統計学Ⅰ／第３回・第４回・第５回】
・データの種類（量的変数、質的変数）
・データの分布(ヒストグラム)と代表値（平均値、中央値、最頻値）
・代表値の性質の違い（実社会では平均値＝最頻値でないことが多い）
・データのばらつき（分散、標準偏差、偏差値）
・相関と因果（相関係数、擬似相関、交絡）</t>
    <rPh sb="9" eb="10">
      <t>ダイ</t>
    </rPh>
    <rPh sb="12" eb="13">
      <t>カイ</t>
    </rPh>
    <rPh sb="14" eb="15">
      <t>ダイ</t>
    </rPh>
    <rPh sb="17" eb="18">
      <t>カイ</t>
    </rPh>
    <rPh sb="73" eb="76">
      <t>トウケイガク</t>
    </rPh>
    <rPh sb="82" eb="83">
      <t>ダイ</t>
    </rPh>
    <rPh sb="84" eb="85">
      <t>カイ</t>
    </rPh>
    <rPh sb="86" eb="87">
      <t>ダイ</t>
    </rPh>
    <rPh sb="88" eb="89">
      <t>カイ</t>
    </rPh>
    <phoneticPr fontId="1"/>
  </si>
  <si>
    <t>【情報リテラシー／第４回・第５回・第６回・第７回・第８回】
・データ表現（棒グラフ、折線グラフ、散布図、ヒートマップ）
・データの図表表現（チャート化）
・優れた可視化事例の紹介（可視化することによって新たな気づきがあった事例など）
【統計学Ⅰ／第３回・第４回・第５回】
・データ表現（棒グラフ、折線グラフ、散布図、ヒートマップ）
・データの図表表現（チャート化）</t>
    <rPh sb="17" eb="18">
      <t>ダイ</t>
    </rPh>
    <rPh sb="19" eb="20">
      <t>カイ</t>
    </rPh>
    <rPh sb="21" eb="22">
      <t>ダイ</t>
    </rPh>
    <rPh sb="23" eb="24">
      <t>カイ</t>
    </rPh>
    <rPh sb="25" eb="26">
      <t>ダイ</t>
    </rPh>
    <rPh sb="27" eb="28">
      <t>カイ</t>
    </rPh>
    <rPh sb="127" eb="128">
      <t>ダイ</t>
    </rPh>
    <rPh sb="129" eb="130">
      <t>カイ</t>
    </rPh>
    <rPh sb="131" eb="132">
      <t>ダイ</t>
    </rPh>
    <rPh sb="133" eb="134">
      <t>カイ</t>
    </rPh>
    <phoneticPr fontId="1"/>
  </si>
  <si>
    <t>【情報リテラシー／第12回・第13回】
・データ解析ツール（スプレッドシート）
【統計学Ⅰ／第４回・第５回】
・データの集計（和、平均）
・データの並び替え、ランキング</t>
    <rPh sb="50" eb="51">
      <t>ダイ</t>
    </rPh>
    <rPh sb="52" eb="53">
      <t>カイ</t>
    </rPh>
    <phoneticPr fontId="1"/>
  </si>
  <si>
    <t>様式１-③</t>
    <rPh sb="0" eb="2">
      <t>ヨウシキ</t>
    </rPh>
    <phoneticPr fontId="1"/>
  </si>
  <si>
    <t>データ解析</t>
    <rPh sb="3" eb="5">
      <t>カイセキ</t>
    </rPh>
    <phoneticPr fontId="1"/>
  </si>
  <si>
    <t>情報処理入門</t>
    <rPh sb="0" eb="2">
      <t>ジョウホウ</t>
    </rPh>
    <rPh sb="2" eb="4">
      <t>ショリ</t>
    </rPh>
    <rPh sb="4" eb="6">
      <t>ニュウモン</t>
    </rPh>
    <phoneticPr fontId="1"/>
  </si>
  <si>
    <t>情報処理応用</t>
    <rPh sb="0" eb="2">
      <t>ジョウホウ</t>
    </rPh>
    <rPh sb="2" eb="4">
      <t>ショリ</t>
    </rPh>
    <rPh sb="4" eb="6">
      <t>オウヨウ</t>
    </rPh>
    <phoneticPr fontId="1"/>
  </si>
  <si>
    <t>4‐2アルゴリズム基礎</t>
  </si>
  <si>
    <t>様式１-⑤</t>
    <rPh sb="0" eb="2">
      <t>ヨウシキ</t>
    </rPh>
    <phoneticPr fontId="1"/>
  </si>
  <si>
    <t>情報リテラシー及びデータサイエンスの単位を修得すること</t>
    <rPh sb="0" eb="2">
      <t>ジョウホウ</t>
    </rPh>
    <rPh sb="7" eb="8">
      <t>オヨ</t>
    </rPh>
    <phoneticPr fontId="1"/>
  </si>
  <si>
    <t>情報リテラシー</t>
    <phoneticPr fontId="1"/>
  </si>
  <si>
    <t>データサイエンス</t>
    <phoneticPr fontId="1"/>
  </si>
  <si>
    <t>【情報リテラシー／第12回・第13回】
・データの種類（量的変数、質的変数）　・データの分布(ヒストグラム)と代表値（平均値、中央値、最頻値）
【データサイエンス／第８回・第12回】
・データの分布(ヒストグラム)と代表値（平均値、中央値、最頻値）
【データサイエンス／第９回・第13回】
・相関と因果（相関係数、擬似相関、交絡）</t>
    <rPh sb="9" eb="10">
      <t>ダイ</t>
    </rPh>
    <rPh sb="12" eb="13">
      <t>カイ</t>
    </rPh>
    <rPh sb="14" eb="15">
      <t>ダイ</t>
    </rPh>
    <rPh sb="17" eb="18">
      <t>カイ</t>
    </rPh>
    <rPh sb="86" eb="87">
      <t>ダイ</t>
    </rPh>
    <rPh sb="89" eb="90">
      <t>カイ</t>
    </rPh>
    <phoneticPr fontId="1"/>
  </si>
  <si>
    <t>【情報リテラシー／第４回・第５回・第６回・第７回・第８回】
・データ表現（棒グラフ、折線グラフ、散布図、ヒートマップ）
・データの図表表現（チャート化）
・優れた可視化事例の紹介（可視化することによって新たな気づきがあった事例など）
【データサイエンス／第９回・第10回・第13回】
・データの比較（条件をそろえた比較、処理の前後での比較、A/Bテスト)
【データサイエンス／第12回】
・データ表現（棒グラフ、折線グラフ、散布図、ヒートマップ）</t>
    <rPh sb="17" eb="18">
      <t>ダイ</t>
    </rPh>
    <rPh sb="19" eb="20">
      <t>カイ</t>
    </rPh>
    <rPh sb="21" eb="22">
      <t>ダイ</t>
    </rPh>
    <rPh sb="23" eb="24">
      <t>カイ</t>
    </rPh>
    <rPh sb="25" eb="26">
      <t>ダイ</t>
    </rPh>
    <rPh sb="27" eb="28">
      <t>カイ</t>
    </rPh>
    <rPh sb="131" eb="132">
      <t>ダイ</t>
    </rPh>
    <rPh sb="134" eb="135">
      <t>カイ</t>
    </rPh>
    <rPh sb="136" eb="137">
      <t>ダイ</t>
    </rPh>
    <rPh sb="139" eb="140">
      <t>カイ</t>
    </rPh>
    <phoneticPr fontId="1"/>
  </si>
  <si>
    <t>【情報リテラシー／第12回・第13回】
・データ解析ツール（スプレッドシート）
【データサイエンス／第８回・第９回・第10回】
・データ解析ツール（スプレッドシート）</t>
    <rPh sb="52" eb="53">
      <t>カイ</t>
    </rPh>
    <rPh sb="54" eb="55">
      <t>ダイ</t>
    </rPh>
    <rPh sb="56" eb="57">
      <t>カイ</t>
    </rPh>
    <rPh sb="58" eb="59">
      <t>ダイ</t>
    </rPh>
    <rPh sb="61" eb="62">
      <t>カイ</t>
    </rPh>
    <phoneticPr fontId="1"/>
  </si>
  <si>
    <t>様式２</t>
    <phoneticPr fontId="1"/>
  </si>
  <si>
    <t>プログラムの履修者数等の実績について</t>
    <phoneticPr fontId="1"/>
  </si>
  <si>
    <t>①プログラム開設年度</t>
    <rPh sb="6" eb="8">
      <t>カイセツ</t>
    </rPh>
    <rPh sb="8" eb="10">
      <t>ネンド</t>
    </rPh>
    <phoneticPr fontId="1"/>
  </si>
  <si>
    <t>令和４</t>
    <rPh sb="0" eb="2">
      <t>レイワ</t>
    </rPh>
    <phoneticPr fontId="1"/>
  </si>
  <si>
    <t>年度</t>
    <rPh sb="0" eb="2">
      <t>ネンド</t>
    </rPh>
    <phoneticPr fontId="1"/>
  </si>
  <si>
    <t>②履修者・修了者の実績</t>
    <rPh sb="1" eb="3">
      <t>リシュウ</t>
    </rPh>
    <rPh sb="3" eb="4">
      <t>シャ</t>
    </rPh>
    <rPh sb="5" eb="8">
      <t>シュウリョウシャ</t>
    </rPh>
    <rPh sb="9" eb="11">
      <t>ジッセキ</t>
    </rPh>
    <phoneticPr fontId="1"/>
  </si>
  <si>
    <t>学部・学科名称</t>
    <rPh sb="0" eb="2">
      <t>ガクブ</t>
    </rPh>
    <rPh sb="3" eb="5">
      <t>ガッカ</t>
    </rPh>
    <rPh sb="5" eb="7">
      <t>メイショウ</t>
    </rPh>
    <phoneticPr fontId="1"/>
  </si>
  <si>
    <t>学生数</t>
    <rPh sb="0" eb="3">
      <t>ガクセイスウ</t>
    </rPh>
    <phoneticPr fontId="1"/>
  </si>
  <si>
    <t>入学
定員</t>
    <rPh sb="0" eb="2">
      <t>ニュウガク</t>
    </rPh>
    <rPh sb="3" eb="5">
      <t>テイイン</t>
    </rPh>
    <phoneticPr fontId="1"/>
  </si>
  <si>
    <t>収容
定員</t>
    <rPh sb="0" eb="2">
      <t>シュウヨウ</t>
    </rPh>
    <rPh sb="3" eb="5">
      <t>テイイン</t>
    </rPh>
    <phoneticPr fontId="1"/>
  </si>
  <si>
    <t>令和4年度</t>
    <rPh sb="0" eb="2">
      <t>レイワ</t>
    </rPh>
    <rPh sb="3" eb="5">
      <t>ネンド</t>
    </rPh>
    <phoneticPr fontId="1"/>
  </si>
  <si>
    <t>令和3年度</t>
    <rPh sb="0" eb="2">
      <t>レイワ</t>
    </rPh>
    <rPh sb="3" eb="5">
      <t>ネンド</t>
    </rPh>
    <phoneticPr fontId="1"/>
  </si>
  <si>
    <t>令和2年度</t>
    <rPh sb="0" eb="2">
      <t>レイワ</t>
    </rPh>
    <rPh sb="3" eb="5">
      <t>ネンド</t>
    </rPh>
    <phoneticPr fontId="1"/>
  </si>
  <si>
    <t>令和元年度</t>
    <rPh sb="0" eb="2">
      <t>レイワ</t>
    </rPh>
    <rPh sb="2" eb="3">
      <t>モト</t>
    </rPh>
    <rPh sb="3" eb="5">
      <t>ネンド</t>
    </rPh>
    <phoneticPr fontId="1"/>
  </si>
  <si>
    <t>平成30年度</t>
    <rPh sb="0" eb="2">
      <t>ヘイセイ</t>
    </rPh>
    <rPh sb="4" eb="6">
      <t>ネンド</t>
    </rPh>
    <phoneticPr fontId="1"/>
  </si>
  <si>
    <t>平成29年度</t>
    <rPh sb="0" eb="2">
      <t>ヘイセイ</t>
    </rPh>
    <rPh sb="4" eb="6">
      <t>ネンド</t>
    </rPh>
    <phoneticPr fontId="1"/>
  </si>
  <si>
    <t>履修者数
合計</t>
    <rPh sb="0" eb="2">
      <t>リシュウ</t>
    </rPh>
    <rPh sb="2" eb="3">
      <t>シャ</t>
    </rPh>
    <rPh sb="3" eb="4">
      <t>スウ</t>
    </rPh>
    <rPh sb="5" eb="7">
      <t>ゴウケイ</t>
    </rPh>
    <phoneticPr fontId="1"/>
  </si>
  <si>
    <t>履修率</t>
    <rPh sb="0" eb="2">
      <t>リシュウ</t>
    </rPh>
    <rPh sb="2" eb="3">
      <t>リツ</t>
    </rPh>
    <phoneticPr fontId="1"/>
  </si>
  <si>
    <t>履修者数</t>
    <rPh sb="0" eb="3">
      <t>リシュウシャ</t>
    </rPh>
    <rPh sb="3" eb="4">
      <t>スウ</t>
    </rPh>
    <phoneticPr fontId="1"/>
  </si>
  <si>
    <t>修了者数</t>
    <rPh sb="0" eb="3">
      <t>シュウリョウシャ</t>
    </rPh>
    <rPh sb="3" eb="4">
      <t>スウ</t>
    </rPh>
    <phoneticPr fontId="1"/>
  </si>
  <si>
    <t>合計</t>
    <rPh sb="0" eb="2">
      <t>ゴウケイ</t>
    </rPh>
    <phoneticPr fontId="1"/>
  </si>
  <si>
    <t>男性</t>
    <rPh sb="0" eb="2">
      <t>ダンセイ</t>
    </rPh>
    <phoneticPr fontId="1"/>
  </si>
  <si>
    <t>女性</t>
    <rPh sb="0" eb="2">
      <t>ジョセイ</t>
    </rPh>
    <phoneticPr fontId="1"/>
  </si>
  <si>
    <t>薬学部・薬学科</t>
    <rPh sb="0" eb="3">
      <t>ヤクガクブ</t>
    </rPh>
    <rPh sb="4" eb="7">
      <t>ヤクガッカ</t>
    </rPh>
    <phoneticPr fontId="1"/>
  </si>
  <si>
    <t>経済経営学部・ﾏﾈｼﾞﾒﾝﾄ学科</t>
    <rPh sb="0" eb="6">
      <t>ケイザイケイエイガクブ</t>
    </rPh>
    <rPh sb="14" eb="16">
      <t>ガッカ</t>
    </rPh>
    <phoneticPr fontId="1"/>
  </si>
  <si>
    <t>国際コミュニケーション学部・国際コミュニケーション学科</t>
    <rPh sb="0" eb="2">
      <t>コクサイ</t>
    </rPh>
    <rPh sb="11" eb="13">
      <t>ガクブ</t>
    </rPh>
    <rPh sb="14" eb="16">
      <t>コクサイ</t>
    </rPh>
    <rPh sb="25" eb="27">
      <t>ガッカ</t>
    </rPh>
    <phoneticPr fontId="1"/>
  </si>
  <si>
    <t>国際コミュニケーション学部・心理社会学科</t>
    <rPh sb="0" eb="2">
      <t>コクサイ</t>
    </rPh>
    <rPh sb="11" eb="13">
      <t>ガクブ</t>
    </rPh>
    <rPh sb="14" eb="20">
      <t>シンリシャカイガッカ</t>
    </rPh>
    <phoneticPr fontId="1"/>
  </si>
  <si>
    <t>医療保健学部・医療技術学科</t>
    <rPh sb="0" eb="6">
      <t>イリョウホケンガクブ</t>
    </rPh>
    <rPh sb="7" eb="9">
      <t>イリョウ</t>
    </rPh>
    <rPh sb="9" eb="13">
      <t>ギジュツガッカ</t>
    </rPh>
    <phoneticPr fontId="1"/>
  </si>
  <si>
    <t>合　計</t>
    <phoneticPr fontId="1"/>
  </si>
  <si>
    <t>　　　　　　　　　　　　　　　　　　　　　　　　　　　　　　　　　　　　　　　　　　　　　　　　　　　　　　　　　　　　　　　　　　　　　　　　　　　　　　　　　　　　　　　　　　　　　　　　　　　　　　　　　　　　　　　　　　　　　　　　　　　　　　　　　　　　　　　　　　　　　　　　　　　　　　　　　　　　　　　　　　　　　　　　　　　　　　　　　　　　　　　　　　　　　　　　　　　　　　　　　　　　　　　　　　　　　　　　　　　　　　　　　　　　　　　　　　　　　　　　　　　　　　　　　　　　　　　　　　　　　　　　　　　　　　　　　　　　　　　　　　　　　　　　　　　　　　　　　　　　　　　　　　　　　　　　　　　　　　　　　　　　　　　　　　　　　　　　　　　　　　　　　　　　　　　　　　　　　　　　　　　　　　　　　　　　　　　　　　　　　　　　　　　　　　　　　　　　　　　　　　　　　　　　　　　　　　　　　　　　　　　　　　　　　　　　　　　　　　　　　　　　　　　　　　　　　　　　　　　　　　　　　　　　　　　　　　　　　　　　　　　　　　　　　　　　　　　　　　　　　　　　　　　　　　　　　　　　　　　　　　　　　　　　　　　　　　　　　　　　　　　　　　　　　　　　　　　　　　　　　　　　　　　　　　　　　　　　　　　　　　　　　　　　　　　　　　　　　　　　　　　　　　　　　　　　　　　　　　　　　　　　　　　　　　　　　　　　　　　　　　　　　　　　　　　　　　　　　　　　　　　　　　　　　　　　　　　　　　　　　　　　　　　　　　　　　　　　　　　　　　　　　　　　　　　　　　　　　　　　　　　　　　　　　　　　　　</t>
    <phoneticPr fontId="1"/>
  </si>
  <si>
    <t>様式３</t>
    <phoneticPr fontId="1"/>
  </si>
  <si>
    <t>教育の質・履修者数を向上させるための体制・計画について</t>
    <rPh sb="0" eb="2">
      <t>キョウイク</t>
    </rPh>
    <rPh sb="3" eb="4">
      <t>シツ</t>
    </rPh>
    <rPh sb="5" eb="7">
      <t>リシュウ</t>
    </rPh>
    <rPh sb="7" eb="8">
      <t>シャ</t>
    </rPh>
    <rPh sb="8" eb="9">
      <t>スウ</t>
    </rPh>
    <rPh sb="10" eb="12">
      <t>コウジョウ</t>
    </rPh>
    <rPh sb="18" eb="20">
      <t>タイセイ</t>
    </rPh>
    <rPh sb="21" eb="23">
      <t>ケイカク</t>
    </rPh>
    <phoneticPr fontId="1"/>
  </si>
  <si>
    <t>①</t>
    <phoneticPr fontId="1"/>
  </si>
  <si>
    <t>全学の教員数</t>
    <rPh sb="0" eb="2">
      <t>ゼンガク</t>
    </rPh>
    <rPh sb="3" eb="6">
      <t>キョウインスウ</t>
    </rPh>
    <phoneticPr fontId="1"/>
  </si>
  <si>
    <t>(常勤）</t>
    <rPh sb="1" eb="3">
      <t>ジョウキン</t>
    </rPh>
    <phoneticPr fontId="1"/>
  </si>
  <si>
    <t>人</t>
    <rPh sb="0" eb="1">
      <t>ニン</t>
    </rPh>
    <phoneticPr fontId="1"/>
  </si>
  <si>
    <t>（非常勤）</t>
    <rPh sb="1" eb="4">
      <t>ヒジョウキン</t>
    </rPh>
    <phoneticPr fontId="1"/>
  </si>
  <si>
    <t>②</t>
    <phoneticPr fontId="1"/>
  </si>
  <si>
    <t>プログラムの授業を教えている教員数</t>
    <rPh sb="6" eb="8">
      <t>ジュギョウ</t>
    </rPh>
    <rPh sb="9" eb="10">
      <t>オシ</t>
    </rPh>
    <rPh sb="14" eb="17">
      <t>キョウインスウ</t>
    </rPh>
    <phoneticPr fontId="1"/>
  </si>
  <si>
    <t>③</t>
    <phoneticPr fontId="1"/>
  </si>
  <si>
    <t>プログラムの運営責任者</t>
    <rPh sb="6" eb="8">
      <t>ウンエイ</t>
    </rPh>
    <rPh sb="8" eb="11">
      <t>セキニンシャ</t>
    </rPh>
    <phoneticPr fontId="1"/>
  </si>
  <si>
    <t>（責任者名）</t>
    <rPh sb="1" eb="4">
      <t>セキニンシャ</t>
    </rPh>
    <rPh sb="4" eb="5">
      <t>メイ</t>
    </rPh>
    <phoneticPr fontId="1"/>
  </si>
  <si>
    <t>田尻　慎太郎</t>
    <rPh sb="0" eb="2">
      <t>タジリ</t>
    </rPh>
    <rPh sb="3" eb="6">
      <t>シンタロウ</t>
    </rPh>
    <phoneticPr fontId="1"/>
  </si>
  <si>
    <t>（役職名）</t>
    <rPh sb="1" eb="4">
      <t>ヤクショクメイ</t>
    </rPh>
    <phoneticPr fontId="1"/>
  </si>
  <si>
    <t>学長補佐(情報・IR担当)</t>
    <rPh sb="0" eb="2">
      <t>ガクチョウ</t>
    </rPh>
    <rPh sb="2" eb="4">
      <t>ホサ</t>
    </rPh>
    <rPh sb="5" eb="7">
      <t>ジョウホウ</t>
    </rPh>
    <rPh sb="10" eb="12">
      <t>タントウ</t>
    </rPh>
    <phoneticPr fontId="1"/>
  </si>
  <si>
    <t>④</t>
    <phoneticPr fontId="1"/>
  </si>
  <si>
    <t>プログラムを改善・進化させるための体制（委員会・組織等）</t>
    <phoneticPr fontId="1"/>
  </si>
  <si>
    <t>全学教務委員会</t>
    <rPh sb="0" eb="7">
      <t>ゼンガクキョウムイインカイ</t>
    </rPh>
    <phoneticPr fontId="1"/>
  </si>
  <si>
    <t>杉森　公一</t>
    <rPh sb="0" eb="2">
      <t>スギモリ</t>
    </rPh>
    <rPh sb="3" eb="5">
      <t>コウイチ</t>
    </rPh>
    <phoneticPr fontId="1"/>
  </si>
  <si>
    <t>教務部長</t>
    <rPh sb="0" eb="4">
      <t>キョウムブチョウ</t>
    </rPh>
    <phoneticPr fontId="1"/>
  </si>
  <si>
    <t>⑤</t>
    <phoneticPr fontId="1"/>
  </si>
  <si>
    <t>プログラムを改善・進化させるための体制を定める規則名称</t>
    <phoneticPr fontId="1"/>
  </si>
  <si>
    <t>全学教務委員会規程</t>
    <rPh sb="0" eb="7">
      <t>ゼンガクキョウムイインカイ</t>
    </rPh>
    <rPh sb="7" eb="9">
      <t>キテイ</t>
    </rPh>
    <phoneticPr fontId="1"/>
  </si>
  <si>
    <t>⑥</t>
    <phoneticPr fontId="1"/>
  </si>
  <si>
    <t>体制の目的</t>
    <rPh sb="0" eb="2">
      <t>タイセイ</t>
    </rPh>
    <rPh sb="3" eb="5">
      <t>モクテキ</t>
    </rPh>
    <phoneticPr fontId="1"/>
  </si>
  <si>
    <t>北陸大学では、全学的な教育編成方針、教育の質保証・質的な向上などに関する事項について審議し、学長に意見を述べることを目的に全学教務委員会を平成29年（2017年）から設置し、教務に係る全学的な取り組みの企画立案や取組を実施している。
「北陸大学データサイエンス・AI教育プログラム」（以下「本教育プログラム」）は、学生の専門分野に関わらず、データを理解・活用し、情報の解釈と意味を見出すことを可能にするデータリテラシーを身につけることを目的として、全学部で実施する教育プログラムである。
本教育プログラムの円滑な実施及び運営を行うため、全学教務委員会にて実施計画の策定や修了証の発行等の実施に関する事項に加え、自己点検・評価の実施や改善方策の検討を行う。</t>
    <rPh sb="0" eb="4">
      <t>ホクリクダイガク</t>
    </rPh>
    <rPh sb="7" eb="10">
      <t>ゼンガクテキ</t>
    </rPh>
    <rPh sb="11" eb="15">
      <t>キョウイクヘンセイ</t>
    </rPh>
    <rPh sb="15" eb="17">
      <t>ホウシン</t>
    </rPh>
    <rPh sb="18" eb="20">
      <t>キョウイク</t>
    </rPh>
    <rPh sb="21" eb="24">
      <t>シツホショウ</t>
    </rPh>
    <rPh sb="25" eb="27">
      <t>シツテキ</t>
    </rPh>
    <rPh sb="28" eb="30">
      <t>コウジョウ</t>
    </rPh>
    <rPh sb="33" eb="34">
      <t>カン</t>
    </rPh>
    <rPh sb="36" eb="38">
      <t>ジコウ</t>
    </rPh>
    <rPh sb="42" eb="44">
      <t>シンギ</t>
    </rPh>
    <rPh sb="46" eb="48">
      <t>ガクチョウ</t>
    </rPh>
    <rPh sb="49" eb="51">
      <t>イケン</t>
    </rPh>
    <rPh sb="52" eb="53">
      <t>ノ</t>
    </rPh>
    <rPh sb="58" eb="60">
      <t>モクテキ</t>
    </rPh>
    <rPh sb="61" eb="68">
      <t>ゼンガクキョウムイインカイ</t>
    </rPh>
    <rPh sb="69" eb="71">
      <t>ヘイセイ</t>
    </rPh>
    <rPh sb="73" eb="74">
      <t>ネン</t>
    </rPh>
    <rPh sb="79" eb="80">
      <t>ネン</t>
    </rPh>
    <rPh sb="83" eb="85">
      <t>セッチ</t>
    </rPh>
    <rPh sb="87" eb="89">
      <t>キョウム</t>
    </rPh>
    <rPh sb="90" eb="91">
      <t>カカ</t>
    </rPh>
    <rPh sb="92" eb="94">
      <t>ゼンガク</t>
    </rPh>
    <rPh sb="94" eb="95">
      <t>テキ</t>
    </rPh>
    <rPh sb="96" eb="97">
      <t>ト</t>
    </rPh>
    <rPh sb="98" eb="99">
      <t>ク</t>
    </rPh>
    <rPh sb="101" eb="103">
      <t>キカク</t>
    </rPh>
    <rPh sb="103" eb="105">
      <t>リツアン</t>
    </rPh>
    <rPh sb="106" eb="107">
      <t>ト</t>
    </rPh>
    <rPh sb="107" eb="108">
      <t>ク</t>
    </rPh>
    <rPh sb="109" eb="111">
      <t>ジッシ</t>
    </rPh>
    <rPh sb="118" eb="122">
      <t>ホクリクダイガク</t>
    </rPh>
    <rPh sb="133" eb="135">
      <t>キョウイク</t>
    </rPh>
    <rPh sb="142" eb="144">
      <t>イカ</t>
    </rPh>
    <rPh sb="145" eb="148">
      <t>ホンキョウイク</t>
    </rPh>
    <rPh sb="157" eb="159">
      <t>ガクセイ</t>
    </rPh>
    <rPh sb="160" eb="164">
      <t>センモンブンヤ</t>
    </rPh>
    <rPh sb="165" eb="166">
      <t>カカ</t>
    </rPh>
    <rPh sb="174" eb="176">
      <t>リカイ</t>
    </rPh>
    <rPh sb="177" eb="179">
      <t>カツヨウ</t>
    </rPh>
    <rPh sb="181" eb="183">
      <t>ジョウホウ</t>
    </rPh>
    <rPh sb="184" eb="186">
      <t>カイシャク</t>
    </rPh>
    <rPh sb="187" eb="189">
      <t>イミ</t>
    </rPh>
    <rPh sb="190" eb="192">
      <t>ミイダ</t>
    </rPh>
    <rPh sb="196" eb="198">
      <t>カノウ</t>
    </rPh>
    <rPh sb="210" eb="211">
      <t>ミ</t>
    </rPh>
    <rPh sb="218" eb="220">
      <t>モクテキ</t>
    </rPh>
    <rPh sb="224" eb="227">
      <t>ゼンガクブ</t>
    </rPh>
    <rPh sb="228" eb="230">
      <t>ジッシ</t>
    </rPh>
    <rPh sb="232" eb="234">
      <t>キョウイク</t>
    </rPh>
    <rPh sb="244" eb="245">
      <t>ホン</t>
    </rPh>
    <rPh sb="245" eb="247">
      <t>キョウイク</t>
    </rPh>
    <rPh sb="253" eb="255">
      <t>エンカツ</t>
    </rPh>
    <rPh sb="256" eb="258">
      <t>ジッシ</t>
    </rPh>
    <rPh sb="258" eb="259">
      <t>オヨ</t>
    </rPh>
    <rPh sb="260" eb="262">
      <t>ウンエイ</t>
    </rPh>
    <rPh sb="263" eb="264">
      <t>オコナ</t>
    </rPh>
    <rPh sb="268" eb="270">
      <t>ゼンガク</t>
    </rPh>
    <rPh sb="270" eb="275">
      <t>キョウムイインカイ</t>
    </rPh>
    <rPh sb="277" eb="281">
      <t>ジッシケイカク</t>
    </rPh>
    <rPh sb="282" eb="284">
      <t>サクテイ</t>
    </rPh>
    <rPh sb="285" eb="288">
      <t>シュウリョウショウ</t>
    </rPh>
    <rPh sb="289" eb="291">
      <t>ハッコウ</t>
    </rPh>
    <rPh sb="291" eb="292">
      <t>ナド</t>
    </rPh>
    <rPh sb="293" eb="295">
      <t>ジッシ</t>
    </rPh>
    <rPh sb="296" eb="297">
      <t>カン</t>
    </rPh>
    <rPh sb="299" eb="301">
      <t>ジコウ</t>
    </rPh>
    <rPh sb="302" eb="303">
      <t>クワ</t>
    </rPh>
    <rPh sb="305" eb="309">
      <t>ジコテンケン</t>
    </rPh>
    <rPh sb="310" eb="312">
      <t>ヒョウカ</t>
    </rPh>
    <rPh sb="313" eb="315">
      <t>ジッシ</t>
    </rPh>
    <rPh sb="316" eb="320">
      <t>カイゼンホウサク</t>
    </rPh>
    <rPh sb="321" eb="323">
      <t>ケントウ</t>
    </rPh>
    <rPh sb="324" eb="325">
      <t>オコナ</t>
    </rPh>
    <phoneticPr fontId="1"/>
  </si>
  <si>
    <t>⑦</t>
    <phoneticPr fontId="1"/>
  </si>
  <si>
    <t>具体的な構成員</t>
    <rPh sb="0" eb="3">
      <t>グタイテキ</t>
    </rPh>
    <rPh sb="4" eb="7">
      <t>コウセイイン</t>
    </rPh>
    <phoneticPr fontId="1"/>
  </si>
  <si>
    <t>杉森　公一　　教務部長／高等教育推進センター長・教授　　
野村　政明　　薬学部教務委員長・教授
鈴木　大助　　経済経営学部教務委員長・教授　　
村田　和弘　　国際コミュニケーション学部教務委員長・教授
寺澤　文子　　医療保健学部教務委員長・教授
田尻　慎太郎 学長補佐（情報・IR担当）／経済経営学部教授
山澤　千尋　　事務局教学支援センター長
江口　美保　　事務局教学支援センター次長
堀川　靖子　　事務局教務課課長</t>
    <rPh sb="7" eb="11">
      <t>キョウムブチョウ</t>
    </rPh>
    <rPh sb="12" eb="18">
      <t>コウトウキョウイクスイシン</t>
    </rPh>
    <rPh sb="22" eb="23">
      <t>チョウ</t>
    </rPh>
    <rPh sb="24" eb="26">
      <t>キョウジュ</t>
    </rPh>
    <rPh sb="36" eb="39">
      <t>ヤクガクブ</t>
    </rPh>
    <rPh sb="39" eb="44">
      <t>キョウムイインチョウ</t>
    </rPh>
    <rPh sb="45" eb="47">
      <t>キョウジュ</t>
    </rPh>
    <rPh sb="67" eb="69">
      <t>キョウジュ</t>
    </rPh>
    <rPh sb="72" eb="74">
      <t>ムラタ</t>
    </rPh>
    <rPh sb="75" eb="77">
      <t>カズヒロ</t>
    </rPh>
    <rPh sb="79" eb="81">
      <t>コクサイ</t>
    </rPh>
    <rPh sb="90" eb="92">
      <t>ガクブ</t>
    </rPh>
    <rPh sb="92" eb="97">
      <t>キョウムイインチョウ</t>
    </rPh>
    <rPh sb="98" eb="100">
      <t>キョウジュ</t>
    </rPh>
    <rPh sb="101" eb="103">
      <t>テラサワ</t>
    </rPh>
    <rPh sb="104" eb="106">
      <t>フミコ</t>
    </rPh>
    <rPh sb="108" eb="114">
      <t>イリョウホケンガクブ</t>
    </rPh>
    <rPh sb="114" eb="119">
      <t>キョウムイインチョウ</t>
    </rPh>
    <rPh sb="120" eb="122">
      <t>キョウジュ</t>
    </rPh>
    <rPh sb="123" eb="125">
      <t>タジリ</t>
    </rPh>
    <rPh sb="126" eb="129">
      <t>シンタロウ</t>
    </rPh>
    <rPh sb="130" eb="132">
      <t>ガクチョウ</t>
    </rPh>
    <rPh sb="132" eb="134">
      <t>ホサ</t>
    </rPh>
    <rPh sb="135" eb="137">
      <t>ジョウホウ</t>
    </rPh>
    <rPh sb="140" eb="142">
      <t>タントウ</t>
    </rPh>
    <rPh sb="144" eb="150">
      <t>ケイザイケイエイガクブ</t>
    </rPh>
    <rPh sb="150" eb="152">
      <t>キョウジュ</t>
    </rPh>
    <rPh sb="153" eb="155">
      <t>ヤマザワ</t>
    </rPh>
    <rPh sb="156" eb="158">
      <t>チヒロ</t>
    </rPh>
    <phoneticPr fontId="1"/>
  </si>
  <si>
    <t>⑧</t>
    <phoneticPr fontId="1"/>
  </si>
  <si>
    <r>
      <t xml:space="preserve">履修者数・履修率の向上に向けた計画 </t>
    </r>
    <r>
      <rPr>
        <sz val="6"/>
        <color theme="1"/>
        <rFont val="ＭＳ Ｐゴシック"/>
        <family val="3"/>
        <charset val="128"/>
        <scheme val="minor"/>
      </rPr>
      <t>※様式１の「履修必須の有無」で「計画がある」としている場合は詳細について記載すること</t>
    </r>
    <rPh sb="5" eb="7">
      <t>リシュウ</t>
    </rPh>
    <rPh sb="7" eb="8">
      <t>リツ</t>
    </rPh>
    <rPh sb="19" eb="21">
      <t>ヨウシキ</t>
    </rPh>
    <rPh sb="34" eb="36">
      <t>ケイカク</t>
    </rPh>
    <rPh sb="45" eb="47">
      <t>バアイ</t>
    </rPh>
    <rPh sb="48" eb="50">
      <t>ショウサイ</t>
    </rPh>
    <rPh sb="54" eb="56">
      <t>キサイ</t>
    </rPh>
    <phoneticPr fontId="1"/>
  </si>
  <si>
    <t>令和４年度実績</t>
    <rPh sb="0" eb="2">
      <t>レイワ</t>
    </rPh>
    <rPh sb="3" eb="5">
      <t>ネンド</t>
    </rPh>
    <rPh sb="5" eb="7">
      <t>ジッセキ</t>
    </rPh>
    <phoneticPr fontId="1"/>
  </si>
  <si>
    <t>令和５年度予定</t>
    <rPh sb="0" eb="2">
      <t>レイワ</t>
    </rPh>
    <rPh sb="3" eb="5">
      <t>ネンド</t>
    </rPh>
    <rPh sb="5" eb="7">
      <t>ヨテイ</t>
    </rPh>
    <phoneticPr fontId="1"/>
  </si>
  <si>
    <t>令和６年度予定</t>
    <rPh sb="0" eb="2">
      <t>レイワ</t>
    </rPh>
    <rPh sb="3" eb="5">
      <t>ネンド</t>
    </rPh>
    <rPh sb="5" eb="7">
      <t>ヨテイ</t>
    </rPh>
    <phoneticPr fontId="1"/>
  </si>
  <si>
    <t>令和７年度予定</t>
    <rPh sb="0" eb="2">
      <t>レイワ</t>
    </rPh>
    <rPh sb="3" eb="5">
      <t>ネンド</t>
    </rPh>
    <rPh sb="5" eb="7">
      <t>ヨテイ</t>
    </rPh>
    <phoneticPr fontId="1"/>
  </si>
  <si>
    <t>令和８年度予定</t>
    <rPh sb="0" eb="2">
      <t>レイワ</t>
    </rPh>
    <rPh sb="3" eb="5">
      <t>ネンド</t>
    </rPh>
    <rPh sb="5" eb="7">
      <t>ヨテイ</t>
    </rPh>
    <phoneticPr fontId="1"/>
  </si>
  <si>
    <t>収容定員（名）</t>
    <rPh sb="0" eb="4">
      <t>シュウヨウテイイン</t>
    </rPh>
    <rPh sb="5" eb="6">
      <t>メイ</t>
    </rPh>
    <phoneticPr fontId="1"/>
  </si>
  <si>
    <t>具体的な計画</t>
    <rPh sb="0" eb="3">
      <t>グタイテキ</t>
    </rPh>
    <rPh sb="4" eb="6">
      <t>ケイカク</t>
    </rPh>
    <phoneticPr fontId="1"/>
  </si>
  <si>
    <t>⑨</t>
    <phoneticPr fontId="1"/>
  </si>
  <si>
    <t>学部・学科に関係なく希望する学生全員が受講可能となるような必要な体制・取組等</t>
    <rPh sb="29" eb="31">
      <t>ヒツヨウ</t>
    </rPh>
    <rPh sb="32" eb="34">
      <t>タイセイ</t>
    </rPh>
    <rPh sb="35" eb="37">
      <t>トリクミ</t>
    </rPh>
    <rPh sb="37" eb="38">
      <t>トウ</t>
    </rPh>
    <phoneticPr fontId="1"/>
  </si>
  <si>
    <t xml:space="preserve">全学部・全学科に本プログラム対象科目を配置していることから、希望するすべての学生が受講可能である。
</t>
    <rPh sb="0" eb="3">
      <t>ゼンガクブ</t>
    </rPh>
    <rPh sb="4" eb="5">
      <t>ゼン</t>
    </rPh>
    <rPh sb="5" eb="7">
      <t>ガッカ</t>
    </rPh>
    <rPh sb="8" eb="9">
      <t>ホン</t>
    </rPh>
    <rPh sb="14" eb="16">
      <t>タイショウ</t>
    </rPh>
    <rPh sb="16" eb="18">
      <t>カモク</t>
    </rPh>
    <rPh sb="19" eb="21">
      <t>ハイチ</t>
    </rPh>
    <rPh sb="30" eb="32">
      <t>キボウ</t>
    </rPh>
    <rPh sb="38" eb="40">
      <t>ガクセイ</t>
    </rPh>
    <rPh sb="41" eb="43">
      <t>ジュコウ</t>
    </rPh>
    <rPh sb="43" eb="45">
      <t>カノウ</t>
    </rPh>
    <phoneticPr fontId="1"/>
  </si>
  <si>
    <t>⑩</t>
    <phoneticPr fontId="1"/>
  </si>
  <si>
    <t>できる限り多くの学生が履修できるような具体的な周知方法・取組</t>
    <rPh sb="3" eb="4">
      <t>カギ</t>
    </rPh>
    <rPh sb="5" eb="6">
      <t>オオ</t>
    </rPh>
    <rPh sb="8" eb="10">
      <t>ガクセイ</t>
    </rPh>
    <rPh sb="11" eb="13">
      <t>リシュウ</t>
    </rPh>
    <rPh sb="19" eb="22">
      <t>グタイテキ</t>
    </rPh>
    <rPh sb="23" eb="25">
      <t>シュウチ</t>
    </rPh>
    <rPh sb="25" eb="27">
      <t>ホウホウ</t>
    </rPh>
    <rPh sb="28" eb="30">
      <t>トリクミ</t>
    </rPh>
    <phoneticPr fontId="1"/>
  </si>
  <si>
    <t>全学部・全学科に本プログラム対象科目を配置していることから、学生全員が受講可能である。
入学直後のガイダンスに加え、本プログラム対象科目の開講年次に合わせ、年度初めのガイダンスにて周知を行うとともに、本学ホームページ上に本教育プログラムのサイトを作成している。</t>
    <rPh sb="44" eb="48">
      <t>ニュウガクチョクゴ</t>
    </rPh>
    <rPh sb="55" eb="56">
      <t>クワ</t>
    </rPh>
    <rPh sb="58" eb="59">
      <t>ホン</t>
    </rPh>
    <rPh sb="64" eb="66">
      <t>タイショウ</t>
    </rPh>
    <rPh sb="66" eb="68">
      <t>カモク</t>
    </rPh>
    <rPh sb="69" eb="71">
      <t>カイコウ</t>
    </rPh>
    <rPh sb="71" eb="73">
      <t>ネンジ</t>
    </rPh>
    <rPh sb="78" eb="80">
      <t>ネンド</t>
    </rPh>
    <rPh sb="80" eb="81">
      <t>ハジ</t>
    </rPh>
    <rPh sb="90" eb="92">
      <t>シュウチ</t>
    </rPh>
    <rPh sb="100" eb="102">
      <t>ホンガク</t>
    </rPh>
    <rPh sb="108" eb="109">
      <t>ジョウ</t>
    </rPh>
    <rPh sb="110" eb="113">
      <t>ホンキョウイク</t>
    </rPh>
    <rPh sb="123" eb="125">
      <t>サクセイ</t>
    </rPh>
    <phoneticPr fontId="1"/>
  </si>
  <si>
    <t>⑪</t>
    <phoneticPr fontId="1"/>
  </si>
  <si>
    <t>できる限り多くの学生が履修・修得できるようなサポート体制</t>
    <rPh sb="26" eb="28">
      <t>タイセイ</t>
    </rPh>
    <phoneticPr fontId="1"/>
  </si>
  <si>
    <t>⑫</t>
    <phoneticPr fontId="1"/>
  </si>
  <si>
    <t>授業時間内外で学習指導、質問を受け付ける具体的な仕組み</t>
    <rPh sb="20" eb="23">
      <t>グタイテキ</t>
    </rPh>
    <phoneticPr fontId="1"/>
  </si>
  <si>
    <t>　　　　　　　　　　　　　　　　　　　　　　　　　　　　　　　　　　　　　　　　　　　　　　　　　　　　　　　　　　　　　　　　　　　　　　　　　</t>
    <phoneticPr fontId="1"/>
  </si>
  <si>
    <t>様式４</t>
    <phoneticPr fontId="1"/>
  </si>
  <si>
    <t>自己点検・評価について</t>
    <rPh sb="0" eb="2">
      <t>ジコ</t>
    </rPh>
    <rPh sb="2" eb="4">
      <t>テンケン</t>
    </rPh>
    <rPh sb="5" eb="7">
      <t>ヒョウカ</t>
    </rPh>
    <phoneticPr fontId="1"/>
  </si>
  <si>
    <t>プログラムの自己点検・評価を行う体制（委員会・組織等）</t>
    <phoneticPr fontId="1"/>
  </si>
  <si>
    <t>教務部長</t>
    <rPh sb="0" eb="2">
      <t>キョウム</t>
    </rPh>
    <rPh sb="2" eb="4">
      <t>ブチョウ</t>
    </rPh>
    <phoneticPr fontId="1"/>
  </si>
  <si>
    <t>自己点検・評価体制における意見等</t>
    <rPh sb="15" eb="16">
      <t>トウ</t>
    </rPh>
    <phoneticPr fontId="1"/>
  </si>
  <si>
    <t>自己点検・評価の視点</t>
    <rPh sb="0" eb="2">
      <t>ジコ</t>
    </rPh>
    <rPh sb="2" eb="4">
      <t>テンケン</t>
    </rPh>
    <rPh sb="5" eb="7">
      <t>ヒョウカ</t>
    </rPh>
    <rPh sb="8" eb="10">
      <t>シテン</t>
    </rPh>
    <phoneticPr fontId="1"/>
  </si>
  <si>
    <t>自己点検・評価体制における意見・結果・改善に向けた取組等</t>
    <rPh sb="7" eb="9">
      <t>タイセイ</t>
    </rPh>
    <rPh sb="13" eb="15">
      <t>イケン</t>
    </rPh>
    <rPh sb="16" eb="18">
      <t>ケッカ</t>
    </rPh>
    <rPh sb="19" eb="21">
      <t>カイゼン</t>
    </rPh>
    <rPh sb="22" eb="23">
      <t>ム</t>
    </rPh>
    <rPh sb="25" eb="27">
      <t>トリクミ</t>
    </rPh>
    <rPh sb="27" eb="28">
      <t>トウ</t>
    </rPh>
    <phoneticPr fontId="1"/>
  </si>
  <si>
    <t>学内からの視点</t>
    <rPh sb="0" eb="2">
      <t>ガクナイ</t>
    </rPh>
    <rPh sb="5" eb="7">
      <t>シテン</t>
    </rPh>
    <phoneticPr fontId="1"/>
  </si>
  <si>
    <t>プログラムの履修・修得状況</t>
    <rPh sb="6" eb="8">
      <t>リシュウ</t>
    </rPh>
    <rPh sb="9" eb="11">
      <t>シュウトク</t>
    </rPh>
    <rPh sb="11" eb="13">
      <t>ジョウキョウ</t>
    </rPh>
    <phoneticPr fontId="1"/>
  </si>
  <si>
    <t>北陸大学データサイエンス・AI教育プログラムは全学部・学科において、情報リテラシー科目と統計学入門科目をそれぞれ開講し、その両科目を合格した学生に対し修了証としてオープンバッジを発行するものである。プログラム開始初年度である2022（令和4）年度は、全学部・学科において「情報リテラシー科目」を必修科目として開講した。「統計学入門科目」については、国際コミュニケーション学部心理社会学科では履修指定（選択）科目、医療保健学部では選択科目として開講した。他の学科については、複数年プログラムとなっているため、2023（令和５）年度以降の開講となる。
2022（令和4）年度の履修・修得状況は以下のとおりである。</t>
    <rPh sb="0" eb="4">
      <t xml:space="preserve">ホクリクダイガク </t>
    </rPh>
    <rPh sb="15" eb="17">
      <t xml:space="preserve">キョウイク </t>
    </rPh>
    <rPh sb="23" eb="26">
      <t xml:space="preserve">ゼンガクブ </t>
    </rPh>
    <rPh sb="26" eb="29">
      <t xml:space="preserve">ゼンガッカ </t>
    </rPh>
    <rPh sb="38" eb="40">
      <t xml:space="preserve">ジョウホウリテラシー </t>
    </rPh>
    <rPh sb="45" eb="47">
      <t xml:space="preserve">カモクト </t>
    </rPh>
    <rPh sb="48" eb="51">
      <t xml:space="preserve">トウケイガク </t>
    </rPh>
    <rPh sb="51" eb="53">
      <t xml:space="preserve">ニュウモン </t>
    </rPh>
    <rPh sb="53" eb="55">
      <t xml:space="preserve">カモクヲ </t>
    </rPh>
    <rPh sb="56" eb="58">
      <t xml:space="preserve">カイコウ </t>
    </rPh>
    <rPh sb="62" eb="65">
      <t xml:space="preserve">リョウカモクヲ </t>
    </rPh>
    <rPh sb="66" eb="68">
      <t xml:space="preserve">ゴウカク </t>
    </rPh>
    <rPh sb="70" eb="72">
      <t xml:space="preserve">ガクセイ </t>
    </rPh>
    <rPh sb="73" eb="74">
      <t xml:space="preserve">タイシ </t>
    </rPh>
    <rPh sb="75" eb="78">
      <t xml:space="preserve">シュウリョウショウ </t>
    </rPh>
    <rPh sb="104" eb="106">
      <t xml:space="preserve">カイシ </t>
    </rPh>
    <rPh sb="106" eb="109">
      <t xml:space="preserve">ショネンド </t>
    </rPh>
    <rPh sb="112" eb="114">
      <t xml:space="preserve">レイワ </t>
    </rPh>
    <rPh sb="115" eb="117">
      <t xml:space="preserve">ネンド </t>
    </rPh>
    <rPh sb="119" eb="121">
      <t xml:space="preserve">ジョウホウリテラシー </t>
    </rPh>
    <rPh sb="126" eb="128">
      <t xml:space="preserve">カモクハ </t>
    </rPh>
    <rPh sb="129" eb="134">
      <t xml:space="preserve">ゼンガッカ </t>
    </rPh>
    <rPh sb="135" eb="137">
      <t xml:space="preserve">ゼンキ </t>
    </rPh>
    <rPh sb="138" eb="140">
      <t xml:space="preserve">ヒッシュウ </t>
    </rPh>
    <rPh sb="143" eb="145">
      <t xml:space="preserve">カイコウ </t>
    </rPh>
    <rPh sb="147" eb="150">
      <t xml:space="preserve">トウケイガク </t>
    </rPh>
    <rPh sb="150" eb="152">
      <t xml:space="preserve">ニュウモン </t>
    </rPh>
    <rPh sb="152" eb="154">
      <t xml:space="preserve">カモクハ </t>
    </rPh>
    <rPh sb="155" eb="161">
      <t xml:space="preserve">イリョウホケンガクブ </t>
    </rPh>
    <rPh sb="162" eb="164">
      <t xml:space="preserve">コクサイ </t>
    </rPh>
    <rPh sb="175" eb="179">
      <t xml:space="preserve">シンリシャカイ </t>
    </rPh>
    <rPh sb="179" eb="181">
      <t xml:space="preserve">ガッカ </t>
    </rPh>
    <rPh sb="182" eb="184">
      <t xml:space="preserve">センタク </t>
    </rPh>
    <rPh sb="184" eb="186">
      <t xml:space="preserve">カモク </t>
    </rPh>
    <rPh sb="189" eb="191">
      <t xml:space="preserve">カイコウ </t>
    </rPh>
    <rPh sb="195" eb="201">
      <t xml:space="preserve">ケイザイケイエイガクブ </t>
    </rPh>
    <rPh sb="202" eb="204">
      <t xml:space="preserve">コクサイコミュニケーションガクブ </t>
    </rPh>
    <rPh sb="213" eb="215">
      <t xml:space="preserve">ガクブ </t>
    </rPh>
    <rPh sb="215" eb="217">
      <t xml:space="preserve">コクサイコミュニケーションガクブ </t>
    </rPh>
    <rPh sb="226" eb="228">
      <t xml:space="preserve">ガッカ </t>
    </rPh>
    <rPh sb="230" eb="232">
      <t xml:space="preserve">コウキ </t>
    </rPh>
    <rPh sb="233" eb="236">
      <t xml:space="preserve">サイリシュウ </t>
    </rPh>
    <rPh sb="240" eb="242">
      <t xml:space="preserve">カイコウ </t>
    </rPh>
    <rPh sb="247" eb="253">
      <t xml:space="preserve">ケイザイケイエイガクブ </t>
    </rPh>
    <rPh sb="256" eb="258">
      <t xml:space="preserve">ハイトウ </t>
    </rPh>
    <rPh sb="259" eb="262">
      <t xml:space="preserve">トウケイガク </t>
    </rPh>
    <rPh sb="264" eb="266">
      <t xml:space="preserve">レイワ </t>
    </rPh>
    <rPh sb="275" eb="277">
      <t xml:space="preserve">タイショウ </t>
    </rPh>
    <rPh sb="284" eb="286">
      <t xml:space="preserve">センコウ </t>
    </rPh>
    <rPh sb="294" eb="295">
      <t xml:space="preserve">ソッタ </t>
    </rPh>
    <rPh sb="297" eb="299">
      <t xml:space="preserve">ナイヨウ </t>
    </rPh>
    <rPh sb="300" eb="302">
      <t xml:space="preserve">ヘンコウ カクカモク リシュウ シュウトク ジョウキョウ イカノ ヒョウ ジョウホウリテラシー カモク ゴウケイ タカイ シュウトクリツ ケッカ レイワ4ネンド キョウイク シュウリョウシャ イリョウホケンガクブ メイ コクサイコミュニケーションガクブ シンリシャカイガッカ ケイ メイ </t>
    </rPh>
    <phoneticPr fontId="1"/>
  </si>
  <si>
    <t>学修成果</t>
    <rPh sb="0" eb="2">
      <t>ガクシュウ</t>
    </rPh>
    <rPh sb="2" eb="4">
      <t>セイカ</t>
    </rPh>
    <phoneticPr fontId="1"/>
  </si>
  <si>
    <t>学生アンケート等を通じた学生の内容の理解度</t>
    <rPh sb="0" eb="2">
      <t>ガクセイ</t>
    </rPh>
    <rPh sb="7" eb="8">
      <t>トウ</t>
    </rPh>
    <rPh sb="9" eb="10">
      <t>ツウ</t>
    </rPh>
    <rPh sb="12" eb="14">
      <t>ガクセイ</t>
    </rPh>
    <rPh sb="15" eb="17">
      <t>ナイヨウ</t>
    </rPh>
    <rPh sb="18" eb="21">
      <t>リカイド</t>
    </rPh>
    <phoneticPr fontId="1"/>
  </si>
  <si>
    <t>科目終了時の学修アンケートでは、前期情報リテラシー科目全体で「あなたは、この授業のシラバスに記載されている学修の目標（GIOまたは目的）をどの程度達成できましたか」という設問において「9割以上」と「7割程度」と回答した割合が84.5%であった。また「あなたが、この授業を履修して身についたと思うことは何ですか」という設問では、知識・技能45.3%、課題を発見し解決する力23.2%、コミュニケーション力7.9%、的確な判断力11.2%、様々な人と協働する力12.5%であった。後期統計学入門科目においても同様に、学修目標を達成できたかという設問において「9割以上」と「7割程度」と回答した割合が61.8%、身についたと思うことはという設問において知識・技能66.3%であった。情報リテラシー科目では週1回の担当教員とSAによるミーティングを実施し、そこででた意見を授業教材・運営に随時反映し、理解度を高める工夫・改善に努めている。またSAは高等教育推進センター主催の研修を受講することで適切な学習支援ができるようにしている。今後も、授業内容、教材動画の活用、教材の改善を図るとともに、学生の理解度と社会的ニーズの双方を踏まえて、学生の理解度をより向上させるよう改善を図る必要がある。</t>
    <rPh sb="0" eb="2">
      <t xml:space="preserve">カモク </t>
    </rPh>
    <rPh sb="2" eb="5">
      <t xml:space="preserve">シュウリョウジ </t>
    </rPh>
    <rPh sb="6" eb="8">
      <t xml:space="preserve">ガクシュウ </t>
    </rPh>
    <rPh sb="16" eb="18">
      <t xml:space="preserve">ゼンキ </t>
    </rPh>
    <rPh sb="18" eb="20">
      <t xml:space="preserve">ジョウホウ </t>
    </rPh>
    <rPh sb="25" eb="27">
      <t xml:space="preserve">カモク </t>
    </rPh>
    <rPh sb="27" eb="29">
      <t xml:space="preserve">ゼンタイデ </t>
    </rPh>
    <rPh sb="85" eb="87">
      <t>_x0000__x0000__x0002__x0004__x0002__x0003__x000C__x0006__x0002__x0012__x0010__x0002__x0016__x0012__x0002__x001C__x0019__x0002_ _x001B__x0002_&amp;U_x0002_+U_x0002_0^_x0002_5d_x0003_;i_x0002_@m_x0002_E_x0002_J£_x0002_N¦_x0002_R®_x0002_V±_x0002_\´_x0002_a¸_x0001_eÎ_x0002_kÑ_x0003_sî_x0002_wð_x0003_~ó_x0002_õ_x0002_ü_x0002_Ā_x0004_ą_x0002_Ď_x0002_¢į_x0001_¨ĵ_x0001_¯Ľ_x0002_´Ń_x0002_¸ņ_x0002_¼Œ_x0002_Âř_x0002_Æŝ_x0001_Íš_x0004_×Ų_x0002_ÛŻ_x0002_àž_x0004_ëƃ_x0002_ðƆ_x0002_ôƈ_x0002_úƌ_x0003_ÿƐ_x0001_ĄƓ_x0002_ĈƖ_x0002_čƙ_x0001_ĔƤ_x0004_Ğƨ_x0002_ħƮ_x0002_ĬƱ_x0002_ĳƴ_x0002_ĸƻ_x0002_ľƾ_x0004_Ňǎ_x0002_Ōǒ_x0004_ŖǗ_x0002_ŜǙ_x0002_Šǜ_x0002_ťǟ_x0002_ūǢ_x0002_Űǥ_x0001_ŴǬ_x0002_Źǯ_x0003_ſǳ_x0003_ƆǺ_x0002_ƌǽ_x0001_ƑȂ_x0002_Ɨȅ_x0003_Ɲȋ_x0002_ƣȒ_x0002_Ʃȕ_x0001_ƭȗ_x0002__x0000__x0000__x0000__x0000_ƺ_x0000_ÿ北陸大学データサイエンス・AI教育プログラムハ薬、医療保健、経済経営、国際コミュニケーションノ全学部全学科ニオイテ、ソレゾレ情報リテラシー科目ト統計学入門科目ヲ開講シ、ソノ両科目ヲ合格シタ学生ニ対シ修了証トシテオープンバッジヲ発行スルモノデアル。プログラム開始初年度デアル令和4年度デハ情報リテラシー科目ハ全学部</t>
    </rPh>
    <phoneticPr fontId="1"/>
  </si>
  <si>
    <t>学生アンケート等を通じた後輩等他の学生への推奨度</t>
    <rPh sb="0" eb="2">
      <t>ガクセイ</t>
    </rPh>
    <rPh sb="7" eb="8">
      <t>トウ</t>
    </rPh>
    <rPh sb="9" eb="10">
      <t>ツウ</t>
    </rPh>
    <rPh sb="12" eb="14">
      <t>コウハイ</t>
    </rPh>
    <rPh sb="14" eb="15">
      <t>トウ</t>
    </rPh>
    <rPh sb="15" eb="16">
      <t>タ</t>
    </rPh>
    <rPh sb="17" eb="19">
      <t>ガクセイ</t>
    </rPh>
    <rPh sb="21" eb="23">
      <t>スイショウ</t>
    </rPh>
    <rPh sb="23" eb="24">
      <t>ド</t>
    </rPh>
    <phoneticPr fontId="1"/>
  </si>
  <si>
    <t>全学的な履修者数、履修率向上に向けた計画の達成・進捗状況</t>
    <rPh sb="0" eb="3">
      <t>ゼンガクテキ</t>
    </rPh>
    <rPh sb="4" eb="6">
      <t>リシュウ</t>
    </rPh>
    <rPh sb="6" eb="7">
      <t>シャ</t>
    </rPh>
    <rPh sb="7" eb="8">
      <t>スウ</t>
    </rPh>
    <rPh sb="9" eb="11">
      <t>リシュウ</t>
    </rPh>
    <rPh sb="11" eb="12">
      <t>リツ</t>
    </rPh>
    <rPh sb="12" eb="14">
      <t>コウジョウ</t>
    </rPh>
    <rPh sb="15" eb="16">
      <t>ム</t>
    </rPh>
    <rPh sb="18" eb="20">
      <t>ケイカク</t>
    </rPh>
    <rPh sb="21" eb="23">
      <t>タッセイ</t>
    </rPh>
    <rPh sb="24" eb="26">
      <t>シンチョク</t>
    </rPh>
    <rPh sb="26" eb="28">
      <t>ジョウキョウ</t>
    </rPh>
    <phoneticPr fontId="1"/>
  </si>
  <si>
    <t>学外からの視点</t>
    <rPh sb="0" eb="2">
      <t>ガクガイ</t>
    </rPh>
    <rPh sb="5" eb="7">
      <t>シテン</t>
    </rPh>
    <phoneticPr fontId="1"/>
  </si>
  <si>
    <t>教育プログラム修了者の進路、活躍状況、企業等の評価</t>
    <rPh sb="0" eb="2">
      <t>キョウイク</t>
    </rPh>
    <rPh sb="7" eb="10">
      <t>シュウリョウシャ</t>
    </rPh>
    <rPh sb="11" eb="13">
      <t>シンロ</t>
    </rPh>
    <rPh sb="14" eb="16">
      <t>カツヤク</t>
    </rPh>
    <rPh sb="16" eb="18">
      <t>ジョウキョウ</t>
    </rPh>
    <rPh sb="19" eb="21">
      <t>キギョウ</t>
    </rPh>
    <rPh sb="21" eb="22">
      <t>トウ</t>
    </rPh>
    <rPh sb="23" eb="25">
      <t>ヒョウカ</t>
    </rPh>
    <phoneticPr fontId="1"/>
  </si>
  <si>
    <t>本プログラムは令和4（2022）年度に開始し、本プログラムを修了した卒業生の輩出は令和７（2025）年度となるため、本プログラム修了者の進路調査や活躍状況調査、企業等からの評価は実施していない。具体的な評価方法等については、今後検討を行う。ただし、履修学生の成果ではあるが、上述の企業分析AWARD参加チームに対する企業審査員からの評価は極めて高かった。これを模範事例として、今後もこのような外部コンテストへの参加を促すような積極的な支援を検討する必要がある。</t>
    <rPh sb="7" eb="9">
      <t xml:space="preserve">レイワ4ネンド </t>
    </rPh>
    <rPh sb="12" eb="14">
      <t xml:space="preserve">カイシ </t>
    </rPh>
    <rPh sb="15" eb="18">
      <t xml:space="preserve">ショネンド </t>
    </rPh>
    <rPh sb="28" eb="31">
      <t xml:space="preserve">シュウリョウシャ </t>
    </rPh>
    <rPh sb="32" eb="35">
      <t xml:space="preserve">ソツギョウセイ </t>
    </rPh>
    <rPh sb="39" eb="42">
      <t xml:space="preserve">グタイテキナ </t>
    </rPh>
    <rPh sb="43" eb="45">
      <t xml:space="preserve">ヒョウカハ </t>
    </rPh>
    <rPh sb="46" eb="48">
      <t xml:space="preserve">コンゴノ </t>
    </rPh>
    <rPh sb="49" eb="50">
      <t xml:space="preserve">トリクミ </t>
    </rPh>
    <rPh sb="60" eb="62">
      <t xml:space="preserve">ジョウジュツ </t>
    </rPh>
    <rPh sb="63" eb="65">
      <t xml:space="preserve">キギョウ </t>
    </rPh>
    <rPh sb="65" eb="67">
      <t xml:space="preserve">ブンセキ </t>
    </rPh>
    <rPh sb="72" eb="74">
      <t xml:space="preserve">サンカ </t>
    </rPh>
    <rPh sb="78" eb="79">
      <t xml:space="preserve">タイスル </t>
    </rPh>
    <rPh sb="81" eb="83">
      <t xml:space="preserve">キギョウ </t>
    </rPh>
    <rPh sb="83" eb="86">
      <t xml:space="preserve">シンサイン </t>
    </rPh>
    <rPh sb="89" eb="91">
      <t xml:space="preserve">ヒョウカ </t>
    </rPh>
    <rPh sb="92" eb="93">
      <t xml:space="preserve">キワメテ </t>
    </rPh>
    <rPh sb="95" eb="96">
      <t xml:space="preserve">タカカッタ </t>
    </rPh>
    <rPh sb="103" eb="107">
      <t xml:space="preserve">モハンジレイ </t>
    </rPh>
    <rPh sb="111" eb="113">
      <t xml:space="preserve">コンゴモ </t>
    </rPh>
    <rPh sb="124" eb="126">
      <t xml:space="preserve">リシュウ </t>
    </rPh>
    <rPh sb="126" eb="128">
      <t xml:space="preserve">ガクセイ </t>
    </rPh>
    <rPh sb="129" eb="131">
      <t xml:space="preserve">セイカ </t>
    </rPh>
    <rPh sb="137" eb="139">
      <t xml:space="preserve">ジョウジュツ ガイブ </t>
    </rPh>
    <phoneticPr fontId="1"/>
  </si>
  <si>
    <t>産業界からの視点を含めた教育プログラム内容・手法等への意見</t>
    <rPh sb="0" eb="3">
      <t>サンギョウカイ</t>
    </rPh>
    <rPh sb="6" eb="8">
      <t>シテン</t>
    </rPh>
    <rPh sb="9" eb="10">
      <t>フク</t>
    </rPh>
    <rPh sb="12" eb="14">
      <t>キョウイク</t>
    </rPh>
    <rPh sb="19" eb="21">
      <t>ナイヨウ</t>
    </rPh>
    <rPh sb="22" eb="24">
      <t>シュホウ</t>
    </rPh>
    <rPh sb="24" eb="25">
      <t>トウ</t>
    </rPh>
    <rPh sb="27" eb="29">
      <t>イケン</t>
    </rPh>
    <phoneticPr fontId="1"/>
  </si>
  <si>
    <t>本プログラムは、情報リテラシー科目ではセールスフォース社のビジュアル分析ツールであるTableau、先行して内容を変更した経済経営学部の統計学入門科目「統計学Ⅰ」ではExploratory, Inc.のExploratoryを採用した全国初のプログラムであり、授業を計画する段階で様々な助言をいただいている。また、株式会社太陽アソシエイツの売店販売の実データを活用した課題探求・解決型の教育を行っており、学生の分析結果に対しては、これら企業に加えてデータ分析専業の株式会社ヴェルクからも意見をいただく等、産業界からの視点を含めた先進的な教育プログラムと言える。
本学主催で開催した「データサイエンス・AI教育シンポジウム」には約300名が参加し、その他、金沢市近郊私大等プラットフォームシンポジウム、金沢工業大学「教育DXシンポジウム」、Tableau大学ユーザー会、神田外語大学ICP 2022で事例発表を行い、産業界を含む参加者からも様々な意見を収集した。またセールスフォース社のカスタマーストーリーに本学事例が採用され、ホワイトペーパーが公開されている。</t>
    <rPh sb="0" eb="1">
      <t xml:space="preserve">ホン </t>
    </rPh>
    <rPh sb="8" eb="10">
      <t xml:space="preserve">ジョウホウ </t>
    </rPh>
    <rPh sb="15" eb="17">
      <t xml:space="preserve">カモク </t>
    </rPh>
    <rPh sb="30" eb="31">
      <t xml:space="preserve">シャ </t>
    </rPh>
    <rPh sb="37" eb="39">
      <t xml:space="preserve">ブンセキ </t>
    </rPh>
    <rPh sb="53" eb="55">
      <t xml:space="preserve">センコウシテ </t>
    </rPh>
    <rPh sb="57" eb="59">
      <t xml:space="preserve">ナイヨウヲ </t>
    </rPh>
    <rPh sb="60" eb="62">
      <t xml:space="preserve">ヘンコウ </t>
    </rPh>
    <rPh sb="64" eb="70">
      <t xml:space="preserve">ケイザイケイエイガクブ </t>
    </rPh>
    <rPh sb="71" eb="74">
      <t xml:space="preserve">トウケイガク </t>
    </rPh>
    <rPh sb="106" eb="108">
      <t xml:space="preserve">サイヨウ </t>
    </rPh>
    <rPh sb="110" eb="113">
      <t xml:space="preserve">ゼンコクハツ </t>
    </rPh>
    <rPh sb="123" eb="125">
      <t xml:space="preserve">レンケイシタ </t>
    </rPh>
    <rPh sb="127" eb="131">
      <t xml:space="preserve">カブシキカイシャ </t>
    </rPh>
    <rPh sb="131" eb="133">
      <t xml:space="preserve">タイヨウ </t>
    </rPh>
    <rPh sb="140" eb="142">
      <t xml:space="preserve">バイテン </t>
    </rPh>
    <rPh sb="142" eb="144">
      <t xml:space="preserve">ハンバイ </t>
    </rPh>
    <rPh sb="145" eb="146">
      <t xml:space="preserve">ジツデータ </t>
    </rPh>
    <rPh sb="150" eb="152">
      <t xml:space="preserve">カツヨウ </t>
    </rPh>
    <rPh sb="154" eb="156">
      <t xml:space="preserve">カダイ </t>
    </rPh>
    <rPh sb="156" eb="158">
      <t xml:space="preserve">タンキュウ </t>
    </rPh>
    <rPh sb="159" eb="162">
      <t xml:space="preserve">カイケツガタ </t>
    </rPh>
    <rPh sb="163" eb="165">
      <t xml:space="preserve">キョウイクヲ </t>
    </rPh>
    <rPh sb="166" eb="167">
      <t xml:space="preserve">オコナッタ </t>
    </rPh>
    <rPh sb="170" eb="172">
      <t xml:space="preserve">ガクセイ </t>
    </rPh>
    <rPh sb="173" eb="175">
      <t xml:space="preserve">ブンセキ </t>
    </rPh>
    <rPh sb="175" eb="177">
      <t xml:space="preserve">ケッカ </t>
    </rPh>
    <rPh sb="178" eb="179">
      <t xml:space="preserve">タイシテハ </t>
    </rPh>
    <rPh sb="185" eb="187">
      <t xml:space="preserve">キギョウ </t>
    </rPh>
    <rPh sb="188" eb="189">
      <t xml:space="preserve">クワエテ </t>
    </rPh>
    <rPh sb="196" eb="198">
      <t xml:space="preserve">センギョウ </t>
    </rPh>
    <rPh sb="199" eb="203">
      <t xml:space="preserve">カブシキカイシャ </t>
    </rPh>
    <rPh sb="209" eb="211">
      <t xml:space="preserve">イケンヲ </t>
    </rPh>
    <rPh sb="216" eb="217">
      <t xml:space="preserve">トウ </t>
    </rPh>
    <rPh sb="218" eb="221">
      <t xml:space="preserve">サンギョウカイ </t>
    </rPh>
    <rPh sb="224" eb="226">
      <t xml:space="preserve">シテンヲ </t>
    </rPh>
    <rPh sb="227" eb="228">
      <t xml:space="preserve">フクメタ </t>
    </rPh>
    <rPh sb="230" eb="233">
      <t xml:space="preserve">センシンテキナ </t>
    </rPh>
    <rPh sb="234" eb="236">
      <t xml:space="preserve">キョウイク </t>
    </rPh>
    <rPh sb="243" eb="244">
      <t xml:space="preserve">イエル </t>
    </rPh>
    <rPh sb="247" eb="249">
      <t xml:space="preserve">ジッシ </t>
    </rPh>
    <rPh sb="255" eb="258">
      <t xml:space="preserve">レンケイサキ </t>
    </rPh>
    <rPh sb="258" eb="260">
      <t xml:space="preserve">キギョウト </t>
    </rPh>
    <rPh sb="261" eb="262">
      <t xml:space="preserve">ミツニ </t>
    </rPh>
    <rPh sb="263" eb="265">
      <t xml:space="preserve">レンラクヲ </t>
    </rPh>
    <rPh sb="266" eb="267">
      <t xml:space="preserve">トリアイ </t>
    </rPh>
    <rPh sb="276" eb="277">
      <t xml:space="preserve">シツ </t>
    </rPh>
    <rPh sb="277" eb="279">
      <t xml:space="preserve">コウジョウ </t>
    </rPh>
    <rPh sb="280" eb="281">
      <t xml:space="preserve">ツトメテイル </t>
    </rPh>
    <rPh sb="285" eb="287">
      <t xml:space="preserve">ホンガク </t>
    </rPh>
    <rPh sb="287" eb="289">
      <t xml:space="preserve">シュサイ </t>
    </rPh>
    <rPh sb="290" eb="292">
      <t xml:space="preserve">カイサイ </t>
    </rPh>
    <rPh sb="306" eb="308">
      <t xml:space="preserve">キョウイク </t>
    </rPh>
    <rPh sb="317" eb="318">
      <t xml:space="preserve">ヤク </t>
    </rPh>
    <rPh sb="323" eb="325">
      <t xml:space="preserve">サンカシ </t>
    </rPh>
    <rPh sb="331" eb="334">
      <t xml:space="preserve">カナザワシ </t>
    </rPh>
    <rPh sb="334" eb="336">
      <t xml:space="preserve">キンコウ </t>
    </rPh>
    <rPh sb="336" eb="338">
      <t xml:space="preserve">シダイ </t>
    </rPh>
    <rPh sb="338" eb="339">
      <t xml:space="preserve">トウ </t>
    </rPh>
    <rPh sb="354" eb="360">
      <t xml:space="preserve">カナザワコウギョウダイガク </t>
    </rPh>
    <rPh sb="360" eb="362">
      <t xml:space="preserve">キョウイク </t>
    </rPh>
    <rPh sb="378" eb="380">
      <t xml:space="preserve">ダイガク </t>
    </rPh>
    <rPh sb="386" eb="392">
      <t xml:space="preserve">カンダガイゴダイガク </t>
    </rPh>
    <rPh sb="401" eb="403">
      <t xml:space="preserve">ジレイ </t>
    </rPh>
    <rPh sb="403" eb="405">
      <t xml:space="preserve">ハッピョウ </t>
    </rPh>
    <rPh sb="406" eb="407">
      <t xml:space="preserve">オコナイ </t>
    </rPh>
    <rPh sb="408" eb="409">
      <t xml:space="preserve">タカイ </t>
    </rPh>
    <rPh sb="410" eb="412">
      <t xml:space="preserve">ヒョウカヲ </t>
    </rPh>
    <rPh sb="413" eb="414">
      <t xml:space="preserve">エタ </t>
    </rPh>
    <rPh sb="426" eb="427">
      <t xml:space="preserve">シャ </t>
    </rPh>
    <rPh sb="439" eb="441">
      <t xml:space="preserve">ホンガク </t>
    </rPh>
    <rPh sb="441" eb="443">
      <t xml:space="preserve">ジレイ </t>
    </rPh>
    <rPh sb="444" eb="446">
      <t xml:space="preserve">サイヨウ </t>
    </rPh>
    <rPh sb="458" eb="460">
      <t xml:space="preserve">コウカイ </t>
    </rPh>
    <phoneticPr fontId="1"/>
  </si>
  <si>
    <t>数理・データサイエンス・ＡＩを「学ぶ楽しさ」「学ぶことの意義」を理解させること</t>
    <rPh sb="0" eb="2">
      <t>スウリ</t>
    </rPh>
    <rPh sb="16" eb="17">
      <t>マナ</t>
    </rPh>
    <rPh sb="18" eb="19">
      <t>タノ</t>
    </rPh>
    <rPh sb="23" eb="24">
      <t>マナ</t>
    </rPh>
    <rPh sb="28" eb="30">
      <t>イギ</t>
    </rPh>
    <rPh sb="32" eb="34">
      <t>リカイ</t>
    </rPh>
    <phoneticPr fontId="1"/>
  </si>
  <si>
    <t>内容・水準を維持・向上しつつ、より「分かりやすい」授業とすること</t>
    <rPh sb="0" eb="2">
      <t>ナイヨウ</t>
    </rPh>
    <rPh sb="3" eb="5">
      <t>スイジュン</t>
    </rPh>
    <rPh sb="6" eb="8">
      <t>イジ</t>
    </rPh>
    <rPh sb="9" eb="11">
      <t>コウジョウ</t>
    </rPh>
    <rPh sb="18" eb="19">
      <t>ワ</t>
    </rPh>
    <rPh sb="25" eb="27">
      <t>ジュギョウ</t>
    </rPh>
    <phoneticPr fontId="1"/>
  </si>
  <si>
    <t>学生数が多い学部においては複数クラスを開講する等、1クラスのクラスサイズを60人程度に設定し、授業を展開している。また、情報リテラシー科目では、授業内容に一貫性を持たせ、学部・学科間やクラス間で内容や水準に齟齬が生じないよう、週１回の担当教員とSAによるミーティングを実施し、そこで出た意見を授業教材や授業運営に随時反映し、より「分かりやすい」授業を実施した。
今後は、情報推進課における貸出ノートPCへのツールのインストールやUSB-C充電器の貸し出しに加え、分析課題の対象実データの変更やオープンソースデータの活用、生成AIの内容を取り上げるといった改善を進めることが、内容・水準の維持・向上につながると考える。</t>
    <rPh sb="0" eb="3">
      <t xml:space="preserve">ガクセイスウ </t>
    </rPh>
    <rPh sb="4" eb="5">
      <t xml:space="preserve">オオイ </t>
    </rPh>
    <rPh sb="6" eb="8">
      <t xml:space="preserve">ガクブ </t>
    </rPh>
    <rPh sb="13" eb="15">
      <t xml:space="preserve">フクスウ </t>
    </rPh>
    <rPh sb="19" eb="21">
      <t xml:space="preserve">カイコウスル </t>
    </rPh>
    <rPh sb="23" eb="24">
      <t xml:space="preserve">トウ </t>
    </rPh>
    <rPh sb="39" eb="40">
      <t xml:space="preserve">ニン </t>
    </rPh>
    <rPh sb="40" eb="42">
      <t xml:space="preserve">テイド </t>
    </rPh>
    <rPh sb="43" eb="45">
      <t xml:space="preserve">セッテイシ </t>
    </rPh>
    <rPh sb="47" eb="49">
      <t xml:space="preserve">ジュギョウ </t>
    </rPh>
    <rPh sb="50" eb="52">
      <t xml:space="preserve">テンカイ </t>
    </rPh>
    <rPh sb="60" eb="62">
      <t xml:space="preserve">ジョウホウリテラシー </t>
    </rPh>
    <rPh sb="67" eb="69">
      <t xml:space="preserve">カモクデハ </t>
    </rPh>
    <rPh sb="72" eb="76">
      <t xml:space="preserve">ジュギョウナイヨウニ </t>
    </rPh>
    <rPh sb="77" eb="80">
      <t xml:space="preserve">イッカンセイ </t>
    </rPh>
    <rPh sb="81" eb="82">
      <t xml:space="preserve">モタセ </t>
    </rPh>
    <rPh sb="85" eb="87">
      <t xml:space="preserve">ガクブ </t>
    </rPh>
    <rPh sb="88" eb="90">
      <t xml:space="preserve">ガッカ </t>
    </rPh>
    <rPh sb="90" eb="91">
      <t xml:space="preserve">アイダ </t>
    </rPh>
    <rPh sb="95" eb="96">
      <t xml:space="preserve">アイダ </t>
    </rPh>
    <rPh sb="97" eb="99">
      <t xml:space="preserve">ナイヨウヤ </t>
    </rPh>
    <rPh sb="100" eb="102">
      <t xml:space="preserve">スイジュン </t>
    </rPh>
    <rPh sb="103" eb="105">
      <t xml:space="preserve">ソゴガ </t>
    </rPh>
    <rPh sb="106" eb="107">
      <t xml:space="preserve">ショウジナイヨウ </t>
    </rPh>
    <rPh sb="113" eb="114">
      <t xml:space="preserve">シュウ </t>
    </rPh>
    <rPh sb="115" eb="116">
      <t xml:space="preserve">カイ </t>
    </rPh>
    <rPh sb="117" eb="121">
      <t xml:space="preserve">タントウキョウイン </t>
    </rPh>
    <rPh sb="134" eb="136">
      <t xml:space="preserve">ジッシシ </t>
    </rPh>
    <rPh sb="141" eb="142">
      <t xml:space="preserve">デタ </t>
    </rPh>
    <rPh sb="143" eb="145">
      <t xml:space="preserve">イケン </t>
    </rPh>
    <rPh sb="146" eb="148">
      <t xml:space="preserve">ジュギョウ </t>
    </rPh>
    <rPh sb="148" eb="150">
      <t xml:space="preserve">キョウザイヤ </t>
    </rPh>
    <rPh sb="151" eb="155">
      <t xml:space="preserve">ジュギョウウンエイ </t>
    </rPh>
    <rPh sb="156" eb="158">
      <t xml:space="preserve">ズイジ </t>
    </rPh>
    <rPh sb="158" eb="160">
      <t xml:space="preserve">ハンエイ </t>
    </rPh>
    <rPh sb="165" eb="166">
      <t xml:space="preserve">ワカリヤスイ </t>
    </rPh>
    <rPh sb="172" eb="174">
      <t xml:space="preserve">ジュギョウヲ </t>
    </rPh>
    <rPh sb="175" eb="177">
      <t xml:space="preserve">ジッシシタ </t>
    </rPh>
    <rPh sb="180" eb="181">
      <t xml:space="preserve">ホン </t>
    </rPh>
    <rPh sb="181" eb="183">
      <t xml:space="preserve">コンゴ </t>
    </rPh>
    <rPh sb="185" eb="189">
      <t xml:space="preserve">ジョウホウスイシンカ </t>
    </rPh>
    <rPh sb="189" eb="190">
      <t xml:space="preserve">カ </t>
    </rPh>
    <rPh sb="217" eb="220">
      <t xml:space="preserve">ジュウデンキ </t>
    </rPh>
    <rPh sb="221" eb="222">
      <t xml:space="preserve">カシダス </t>
    </rPh>
    <rPh sb="228" eb="229">
      <t xml:space="preserve">クワエ </t>
    </rPh>
    <rPh sb="231" eb="233">
      <t xml:space="preserve">カダイ </t>
    </rPh>
    <rPh sb="234" eb="236">
      <t xml:space="preserve">タイショウ </t>
    </rPh>
    <rPh sb="236" eb="237">
      <t xml:space="preserve">ジツ </t>
    </rPh>
    <rPh sb="241" eb="242">
      <t xml:space="preserve">ヘンコウスル </t>
    </rPh>
    <rPh sb="255" eb="256">
      <t xml:space="preserve">カツヨウ </t>
    </rPh>
    <rPh sb="257" eb="259">
      <t xml:space="preserve">カツヨウ </t>
    </rPh>
    <rPh sb="259" eb="260">
      <t xml:space="preserve">セイセイ </t>
    </rPh>
    <rPh sb="263" eb="265">
      <t xml:space="preserve">ナイヨウヲ </t>
    </rPh>
    <rPh sb="266" eb="267">
      <t xml:space="preserve">トリアゲル </t>
    </rPh>
    <rPh sb="275" eb="277">
      <t xml:space="preserve">カイゼンヲ </t>
    </rPh>
    <rPh sb="278" eb="279">
      <t xml:space="preserve">ススメル </t>
    </rPh>
    <rPh sb="281" eb="283">
      <t xml:space="preserve">ヒツヨウ </t>
    </rPh>
    <rPh sb="287" eb="289">
      <t xml:space="preserve">ナイヨウ </t>
    </rPh>
    <rPh sb="290" eb="292">
      <t xml:space="preserve">スイジュン </t>
    </rPh>
    <rPh sb="293" eb="295">
      <t xml:space="preserve">イジ </t>
    </rPh>
    <rPh sb="296" eb="298">
      <t xml:space="preserve">コウジョウ </t>
    </rPh>
    <rPh sb="304" eb="305">
      <t xml:space="preserve">カンガエル </t>
    </rPh>
    <phoneticPr fontId="1"/>
  </si>
  <si>
    <t>北陸大学データサイエンス・AI教育プログラムでは、全科目共通で実施している学期末の学修アンケートと、プログラム科目受講者のみに対して実施している授業内アンケートの2つの調査で学修成果を把握し、学生の成績評価と合わせて教育内容の妥当性ついて定量的・定性的に分析している。情報リテラシー科目においては、セールスフォース社のビジュアル分析ツールであるTableauを採用しており、アンケートでは「Tableauセクションに意欲的に取り組んだ」という設問において「とてもあてはまる」、「あてはまる」と回答した割合は95.5%、「Tableauセクションに満足した」という設問においては88.8%となっている。これらを踏まえ、データサイエンスに主体的に取り組む姿勢が高くなったと評価できる。また、情報リテラシー科目の単位を修得した学生有志が、学外のコンテスト「企業分析AWARD 2022」に参加して3位入賞する等、次の学修ステップに進む学生を輩出したことは大きな成果である。
次年度以降は、今年度授業内で実施したアンケートの構成を改善し、プログラムで掲げる目標への到達を測れるようにする。</t>
    <rPh sb="0" eb="2">
      <t xml:space="preserve">レイワ </t>
    </rPh>
    <rPh sb="5" eb="7">
      <t xml:space="preserve">ゼンキ </t>
    </rPh>
    <rPh sb="11" eb="13">
      <t xml:space="preserve">ジョウホウ </t>
    </rPh>
    <rPh sb="18" eb="20">
      <t xml:space="preserve">カモク </t>
    </rPh>
    <rPh sb="21" eb="22">
      <t xml:space="preserve">セイセキ </t>
    </rPh>
    <rPh sb="25" eb="28">
      <t xml:space="preserve">ゼンカモク </t>
    </rPh>
    <rPh sb="28" eb="30">
      <t xml:space="preserve">キョウツウ </t>
    </rPh>
    <rPh sb="31" eb="33">
      <t xml:space="preserve">ジッシ </t>
    </rPh>
    <rPh sb="37" eb="40">
      <t xml:space="preserve">ガッキマツ </t>
    </rPh>
    <rPh sb="41" eb="43">
      <t xml:space="preserve">ガクシュウ </t>
    </rPh>
    <rPh sb="55" eb="57">
      <t xml:space="preserve">カモク </t>
    </rPh>
    <rPh sb="66" eb="68">
      <t xml:space="preserve">ジッシ </t>
    </rPh>
    <rPh sb="84" eb="86">
      <t xml:space="preserve">チョウサ </t>
    </rPh>
    <rPh sb="118" eb="119">
      <t xml:space="preserve">ホン </t>
    </rPh>
    <rPh sb="119" eb="121">
      <t xml:space="preserve">キョウイク </t>
    </rPh>
    <rPh sb="129" eb="132">
      <t xml:space="preserve">ジュコウシャ </t>
    </rPh>
    <rPh sb="133" eb="134">
      <t xml:space="preserve">タイシテ </t>
    </rPh>
    <rPh sb="136" eb="139">
      <t xml:space="preserve">ジュギョウナイ </t>
    </rPh>
    <rPh sb="145" eb="147">
      <t xml:space="preserve">ジッシ </t>
    </rPh>
    <rPh sb="149" eb="153">
      <t xml:space="preserve">ガクシュウセイカヲ </t>
    </rPh>
    <rPh sb="154" eb="156">
      <t xml:space="preserve">ハアク </t>
    </rPh>
    <rPh sb="161" eb="163">
      <t xml:space="preserve">ガクセイ </t>
    </rPh>
    <rPh sb="164" eb="168">
      <t xml:space="preserve">セイセキヒョウカ </t>
    </rPh>
    <rPh sb="169" eb="170">
      <t xml:space="preserve">アワセテ </t>
    </rPh>
    <rPh sb="173" eb="175">
      <t xml:space="preserve">キョウイク </t>
    </rPh>
    <rPh sb="175" eb="177">
      <t xml:space="preserve">ナイヨウ </t>
    </rPh>
    <rPh sb="178" eb="181">
      <t xml:space="preserve">ダトウセイ </t>
    </rPh>
    <rPh sb="184" eb="187">
      <t xml:space="preserve">テイリョウテキ </t>
    </rPh>
    <rPh sb="188" eb="191">
      <t xml:space="preserve">テイセイテキニ </t>
    </rPh>
    <rPh sb="192" eb="194">
      <t xml:space="preserve">ブンセキ </t>
    </rPh>
    <rPh sb="199" eb="201">
      <t xml:space="preserve">ジョウホウ </t>
    </rPh>
    <rPh sb="206" eb="208">
      <t xml:space="preserve">カモク </t>
    </rPh>
    <rPh sb="209" eb="215">
      <t xml:space="preserve">ケイザイケイエイガクブ </t>
    </rPh>
    <rPh sb="216" eb="219">
      <t xml:space="preserve">トウケイガク </t>
    </rPh>
    <rPh sb="221" eb="223">
      <t xml:space="preserve">ジッシ </t>
    </rPh>
    <rPh sb="247" eb="250">
      <t xml:space="preserve">イヨクテキ </t>
    </rPh>
    <rPh sb="251" eb="252">
      <t xml:space="preserve">トリクンダ </t>
    </rPh>
    <rPh sb="260" eb="262">
      <t xml:space="preserve">セツモン </t>
    </rPh>
    <rPh sb="285" eb="287">
      <t xml:space="preserve">カイトウ </t>
    </rPh>
    <rPh sb="289" eb="291">
      <t xml:space="preserve">ワリアイ </t>
    </rPh>
    <rPh sb="312" eb="314">
      <t xml:space="preserve">マンゾクシタ </t>
    </rPh>
    <rPh sb="320" eb="322">
      <t xml:space="preserve">セツモン </t>
    </rPh>
    <rPh sb="334" eb="336">
      <t xml:space="preserve">コンゴモ </t>
    </rPh>
    <rPh sb="340" eb="342">
      <t xml:space="preserve">ブンセキ </t>
    </rPh>
    <rPh sb="346" eb="347">
      <t xml:space="preserve">マナビタイ </t>
    </rPh>
    <rPh sb="354" eb="356">
      <t xml:space="preserve">セツモン </t>
    </rPh>
    <rPh sb="382" eb="385">
      <t xml:space="preserve">シュタイテキ </t>
    </rPh>
    <rPh sb="386" eb="387">
      <t xml:space="preserve">トリクム </t>
    </rPh>
    <rPh sb="390" eb="392">
      <t xml:space="preserve">シセイ </t>
    </rPh>
    <rPh sb="396" eb="397">
      <t xml:space="preserve">タカク </t>
    </rPh>
    <rPh sb="402" eb="404">
      <t xml:space="preserve">ヒョウカ </t>
    </rPh>
    <rPh sb="410" eb="412">
      <t xml:space="preserve">シュウリョウ </t>
    </rPh>
    <rPh sb="412" eb="414">
      <t xml:space="preserve">ガクセイ </t>
    </rPh>
    <rPh sb="415" eb="417">
      <t xml:space="preserve">ユウシ </t>
    </rPh>
    <rPh sb="419" eb="421">
      <t xml:space="preserve">キギョウ </t>
    </rPh>
    <rPh sb="421" eb="423">
      <t xml:space="preserve">ブンセキ </t>
    </rPh>
    <rPh sb="436" eb="438">
      <t xml:space="preserve">ガクガイ </t>
    </rPh>
    <rPh sb="441" eb="444">
      <t xml:space="preserve">コンネンド </t>
    </rPh>
    <rPh sb="444" eb="447">
      <t xml:space="preserve">ジュギョウナイ </t>
    </rPh>
    <rPh sb="448" eb="450">
      <t xml:space="preserve">ジッシ </t>
    </rPh>
    <rPh sb="458" eb="460">
      <t xml:space="preserve">コウセイヲ </t>
    </rPh>
    <rPh sb="461" eb="463">
      <t xml:space="preserve">カイゼンシ </t>
    </rPh>
    <rPh sb="471" eb="472">
      <t xml:space="preserve">カカゲル </t>
    </rPh>
    <rPh sb="474" eb="476">
      <t xml:space="preserve">モクヒョウ </t>
    </rPh>
    <rPh sb="478" eb="480">
      <t xml:space="preserve">トウタツヲ </t>
    </rPh>
    <rPh sb="481" eb="482">
      <t xml:space="preserve">ハカレル </t>
    </rPh>
    <phoneticPr fontId="1"/>
  </si>
  <si>
    <t>情報リテラシー科目は全学部・学科で必修科目であることから、授業内アンケートにおいて後輩学生への推奨といった設問を設定していないが、「今後もデータ分析について学びたい」という設問では「とてもあてはまる」「あてはまる」と回答した割合は73.2%、「将来の仕事においてデータ分析を活用したい」という設問では66.7%、「データ分析を仕事にしたい」という設問では40.6％となっている。
一方、今年度は一部学部学科のみでしか統計学入門科目は開講していなかったため、全クラス共通内容の授業内アンケートは実施しなかった。来年度以降、各学部で統計学入門科目が揃うので、共通アンケートを設計、実施する予定である。
なお、令和５（2023）年度に経済経営学部の統計学入門科目として開講する「統計学Ⅰ」で先行実施した授業内アンケートでは、「グラフを自分で創り、分析することで達成感を得ることができた」、「初めは難しい印象だったが回を重ねるごとに便利なものだと分かった」、「社会に出たときに使いたいと思った」、「統計学がどのようなものか知ることができ、様々なビジネスのデータを分析してみたい」などの自由記述を得ている。</t>
    <rPh sb="0" eb="2">
      <t xml:space="preserve">ジョウホウ </t>
    </rPh>
    <rPh sb="7" eb="9">
      <t xml:space="preserve">カモク </t>
    </rPh>
    <rPh sb="10" eb="13">
      <t xml:space="preserve">ゼンガッカ </t>
    </rPh>
    <rPh sb="14" eb="16">
      <t xml:space="preserve">ヒッシュウ </t>
    </rPh>
    <rPh sb="21" eb="24">
      <t xml:space="preserve">ジュギョウナイ </t>
    </rPh>
    <rPh sb="33" eb="35">
      <t xml:space="preserve">コウハイ </t>
    </rPh>
    <rPh sb="35" eb="37">
      <t xml:space="preserve">ガクセイ </t>
    </rPh>
    <rPh sb="39" eb="41">
      <t xml:space="preserve">スイショウ </t>
    </rPh>
    <rPh sb="45" eb="47">
      <t xml:space="preserve">セツモンヲ </t>
    </rPh>
    <rPh sb="48" eb="50">
      <t xml:space="preserve">セッテイ </t>
    </rPh>
    <rPh sb="104" eb="106">
      <t xml:space="preserve">カイトウ </t>
    </rPh>
    <rPh sb="108" eb="110">
      <t xml:space="preserve">ワリアイ </t>
    </rPh>
    <rPh sb="118" eb="120">
      <t xml:space="preserve">レイワ ホン ジュコウシャ コヨウ コウハイヘノ ガクシュウ シエン ニナッテ リシュウ ガクセイ メザス ガクセイ _x0000__x0000__x0002__x0006__x0007__x0002_
_x0003__x0010__x000E__x0002__x0016__x0015__x0003__x001E_!_x0002_##_x0002_('_x0002_.-_x0002_40_x0002_9h_x0002_&gt;l_x0002_Cv_x0002_Iv_x0002_Oy_x0002_S_x0002_X_x0002_]_x0002_a©_x0002_f¹_x0006_r¿_x0003_yÇ_x0003_Ð_x0002_Ò_x0002_Ü_x0002_ß_x0001_â_x0002_é_x0003_í_x0001_¢ø_x0001_¦û_x0001_¬þ_x0002_²Ą_x0001_¶Ć_x0001_»č_x0002_¿Ĕ_x0001_Äě_x0002_ÉĞ_x0001_Ïģ_x0001_ÖĨ_x0001_ÛĮ_x0003_ãĺ_x0001_æł_x0001_ìŎ_x0002_ñř_x0002_÷Ŝ_x0001_úŠ_x0002_ÿţ_x0003_ĆŦ_x0002_ČŨ_x0002_ĐŬ_x0003_Ęŵ_x0002_ĜƁ_x0002_ĠƄ_x0001_ģƊ_x0002_ĩƌ_x0002_ĭƒ_x0002_ĳƚ_x0002_ĸƞ_x0002_ļƥ_x0002_CƬ_x0002_Gƴ_x0001_Jƺ_x0003_Qレイワ ホン ジュコウシャ コヨウ コウハイヘノ ガクシュウ シエン ニナッテ リシュウ ガクセイ メザス ガクセイ </t>
    </rPh>
    <rPh sb="193" eb="196">
      <t xml:space="preserve">コンネンドハ </t>
    </rPh>
    <rPh sb="197" eb="199">
      <t xml:space="preserve">イチブ </t>
    </rPh>
    <rPh sb="199" eb="201">
      <t xml:space="preserve">ガクブ </t>
    </rPh>
    <rPh sb="201" eb="203">
      <t xml:space="preserve">ガッカ </t>
    </rPh>
    <rPh sb="208" eb="213">
      <t xml:space="preserve">トウケイガクニュウモン </t>
    </rPh>
    <rPh sb="213" eb="215">
      <t xml:space="preserve">カモクハ </t>
    </rPh>
    <rPh sb="216" eb="218">
      <t xml:space="preserve">カイコウ </t>
    </rPh>
    <rPh sb="228" eb="229">
      <t xml:space="preserve">ゼンクラス </t>
    </rPh>
    <rPh sb="232" eb="236">
      <t xml:space="preserve">キョウツウナイヨウ </t>
    </rPh>
    <rPh sb="254" eb="257">
      <t xml:space="preserve">ライネンド </t>
    </rPh>
    <rPh sb="257" eb="259">
      <t xml:space="preserve">イコウ </t>
    </rPh>
    <rPh sb="260" eb="263">
      <t xml:space="preserve">カクガクブ </t>
    </rPh>
    <rPh sb="264" eb="267">
      <t xml:space="preserve">トウケイガク </t>
    </rPh>
    <rPh sb="267" eb="269">
      <t xml:space="preserve">ニュウモン </t>
    </rPh>
    <rPh sb="269" eb="271">
      <t xml:space="preserve">カモク </t>
    </rPh>
    <rPh sb="272" eb="273">
      <t xml:space="preserve">ソロウ </t>
    </rPh>
    <rPh sb="292" eb="294">
      <t xml:space="preserve">ヨテイ </t>
    </rPh>
    <phoneticPr fontId="1"/>
  </si>
  <si>
    <t>本プログラムにおける情報リテラシー科目は全学部学科で1年次必修科目なので、最終的な単位修得率は100%を目指している。1年次に限れば95%の合格を目標としており、令和4（2022）年度は目標を達成（全学平均）することができた。
統計学入門科目については、国際コミュニケーション学部心理社会学科では履修指定科目としており、情報リテラシー科目受講学生を分母とした履修率は98.3%となっているが、医療保健学部では選択科目であるため、69.1%となっている。他方、単位修得率は心理社会学科では84.2%にとどまったが、医療保健学部では95.7%とほとんどの受講生が単位を修得している。
今後は、データサイエンス・AI教育プログラムの修了には情報リテラシー科目及び統計学入門科目の合格が必要であることを周知徹底するとともに、統計学入門科目が選択科目となっている学部・学科においては、履修率、単位修得率の向上に向け、履修必須化を含む組織的な取り組みを検討する。</t>
    <rPh sb="0" eb="1">
      <t xml:space="preserve">ホンプログラム </t>
    </rPh>
    <rPh sb="10" eb="12">
      <t xml:space="preserve">ジョウホウ </t>
    </rPh>
    <rPh sb="17" eb="19">
      <t xml:space="preserve">カモク </t>
    </rPh>
    <rPh sb="20" eb="23">
      <t xml:space="preserve">ゼンガクブ </t>
    </rPh>
    <rPh sb="23" eb="25">
      <t xml:space="preserve">ガッカデ </t>
    </rPh>
    <rPh sb="29" eb="31">
      <t xml:space="preserve">ヒッシュウ </t>
    </rPh>
    <rPh sb="31" eb="33">
      <t xml:space="preserve">カモク </t>
    </rPh>
    <rPh sb="37" eb="40">
      <t xml:space="preserve">サイシュウテキナ </t>
    </rPh>
    <rPh sb="41" eb="43">
      <t xml:space="preserve">タンイ </t>
    </rPh>
    <rPh sb="43" eb="46">
      <t xml:space="preserve">シュウトクリツ </t>
    </rPh>
    <rPh sb="52" eb="54">
      <t xml:space="preserve">メザシテイル </t>
    </rPh>
    <rPh sb="63" eb="64">
      <t xml:space="preserve">カギレバ </t>
    </rPh>
    <rPh sb="66" eb="70">
      <t>トウケイガクニュウモン</t>
    </rPh>
    <rPh sb="70" eb="72">
      <t>カモク</t>
    </rPh>
    <rPh sb="73" eb="77">
      <t>リシュウシテイ</t>
    </rPh>
    <rPh sb="119" eb="125">
      <t>イリョウホケンガクブ</t>
    </rPh>
    <rPh sb="127" eb="129">
      <t xml:space="preserve">センタク </t>
    </rPh>
    <rPh sb="143" eb="145">
      <t>タホウ</t>
    </rPh>
    <rPh sb="146" eb="151">
      <t xml:space="preserve">タンイシュウトクリツ </t>
    </rPh>
    <rPh sb="152" eb="158">
      <t xml:space="preserve">シンリシャカイガッカ </t>
    </rPh>
    <rPh sb="192" eb="195">
      <t>ジュコウセイ</t>
    </rPh>
    <rPh sb="196" eb="198">
      <t>タンイ</t>
    </rPh>
    <rPh sb="199" eb="201">
      <t>シュウトク</t>
    </rPh>
    <rPh sb="207" eb="209">
      <t xml:space="preserve">コンゴハ </t>
    </rPh>
    <rPh sb="222" eb="224">
      <t xml:space="preserve">キョウイク </t>
    </rPh>
    <rPh sb="230" eb="232">
      <t xml:space="preserve">シュウリョウ </t>
    </rPh>
    <rPh sb="234" eb="236">
      <t xml:space="preserve">ジョウホウリテラシー </t>
    </rPh>
    <rPh sb="241" eb="243">
      <t xml:space="preserve">カモク </t>
    </rPh>
    <rPh sb="243" eb="244">
      <t>オヨ</t>
    </rPh>
    <rPh sb="245" eb="248">
      <t xml:space="preserve">トウケイガク </t>
    </rPh>
    <rPh sb="248" eb="250">
      <t xml:space="preserve">ニュウモン </t>
    </rPh>
    <rPh sb="250" eb="252">
      <t xml:space="preserve">カモク </t>
    </rPh>
    <rPh sb="253" eb="255">
      <t xml:space="preserve">ゴウカク </t>
    </rPh>
    <rPh sb="256" eb="258">
      <t>ヒツヨウ</t>
    </rPh>
    <rPh sb="264" eb="266">
      <t xml:space="preserve">シュウチ </t>
    </rPh>
    <rPh sb="266" eb="268">
      <t>テッテイ</t>
    </rPh>
    <rPh sb="306" eb="308">
      <t>コクサイ</t>
    </rPh>
    <rPh sb="317" eb="319">
      <t>ガッカ</t>
    </rPh>
    <rPh sb="319" eb="320">
      <t>オヨ</t>
    </rPh>
    <rPh sb="321" eb="327">
      <t>イリョウホケンガクブ</t>
    </rPh>
    <rPh sb="337" eb="339">
      <t xml:space="preserve">タンイ </t>
    </rPh>
    <rPh sb="339" eb="342">
      <t xml:space="preserve">シュウトクリツ </t>
    </rPh>
    <rPh sb="343" eb="345">
      <t xml:space="preserve">コウジョウ </t>
    </rPh>
    <rPh sb="346" eb="347">
      <t>ム</t>
    </rPh>
    <rPh sb="349" eb="352">
      <t xml:space="preserve">ソシキテキナ </t>
    </rPh>
    <rPh sb="353" eb="354">
      <t xml:space="preserve">トリクミ </t>
    </rPh>
    <rPh sb="358" eb="360">
      <t xml:space="preserve">ケントウスル </t>
    </rPh>
    <rPh sb="403" eb="405">
      <t xml:space="preserve">リシュウ </t>
    </rPh>
    <rPh sb="405" eb="408">
      <t xml:space="preserve">ヒッスカ </t>
    </rPh>
    <rPh sb="409" eb="410">
      <t xml:space="preserve">フクム </t>
    </rPh>
    <phoneticPr fontId="1"/>
  </si>
  <si>
    <t>各学期末に実施する学修アンケートでは、情報リテラシー科目において「あなたは、この授業を履修して満足しましたか」という設問に「強くそう思う」「そう思う」と回答した割合は80.7%、国際コミュニケーション学部心理社会学科及び医療保健学部の統計学入門科目では73.5%であり、数理・データサイエンス・AIへの「学ぶ楽しさ」「学ぶ意義」を理解させることは、一定程度達成することができた。これは使いやすいTableauをツールとして選定したこと、売店の実データを活用することで、学生生活の延長上で考えることができるテーマを設定し、授業設計を行ったことによるものと考える。AIに関してはGoogleのTeachable Machineを用いた教師あり学習のグループ演習を行うことで、実践的に理解を深める設計としている。加えて、受講生の質問に対し、担当教員及びSAが丁寧に回答を行うとともに、操作部分の演習については動画を作成していつでもそれを見ながら取り組めるように工夫している。</t>
    <rPh sb="0" eb="2">
      <t xml:space="preserve">スウリ </t>
    </rPh>
    <rPh sb="17" eb="18">
      <t xml:space="preserve">マナブ </t>
    </rPh>
    <rPh sb="19" eb="20">
      <t xml:space="preserve">タノシサ </t>
    </rPh>
    <rPh sb="24" eb="25">
      <t xml:space="preserve">マナブ </t>
    </rPh>
    <rPh sb="26" eb="28">
      <t xml:space="preserve">イギ </t>
    </rPh>
    <rPh sb="30" eb="32">
      <t xml:space="preserve">リカイ </t>
    </rPh>
    <rPh sb="39" eb="41">
      <t xml:space="preserve">ジョウジュツ </t>
    </rPh>
    <rPh sb="42" eb="45">
      <t xml:space="preserve">ジュギョウナイ </t>
    </rPh>
    <rPh sb="50" eb="52">
      <t xml:space="preserve">ケッカカラ </t>
    </rPh>
    <rPh sb="54" eb="55">
      <t xml:space="preserve">ミテトレル </t>
    </rPh>
    <rPh sb="62" eb="64">
      <t xml:space="preserve">イッテイ </t>
    </rPh>
    <rPh sb="64" eb="66">
      <t xml:space="preserve">テイド </t>
    </rPh>
    <rPh sb="66" eb="68">
      <t xml:space="preserve">タッセイ </t>
    </rPh>
    <rPh sb="82" eb="83">
      <t xml:space="preserve">ツカイヤスイ </t>
    </rPh>
    <rPh sb="101" eb="103">
      <t xml:space="preserve">センテイ </t>
    </rPh>
    <rPh sb="109" eb="111">
      <t xml:space="preserve">バイテン </t>
    </rPh>
    <rPh sb="112" eb="113">
      <t xml:space="preserve">ジツ </t>
    </rPh>
    <rPh sb="120" eb="124">
      <t xml:space="preserve">ガクセイセイカツ </t>
    </rPh>
    <rPh sb="125" eb="128">
      <t xml:space="preserve">エンチョウジョウ </t>
    </rPh>
    <rPh sb="129" eb="130">
      <t xml:space="preserve">カンガエル </t>
    </rPh>
    <rPh sb="132" eb="134">
      <t>コト</t>
    </rPh>
    <rPh sb="142" eb="144">
      <t xml:space="preserve">センテイ </t>
    </rPh>
    <rPh sb="146" eb="148">
      <t xml:space="preserve">コウギ </t>
    </rPh>
    <rPh sb="149" eb="151">
      <t xml:space="preserve">エンシュウ </t>
    </rPh>
    <rPh sb="152" eb="154">
      <t xml:space="preserve">ケイカク </t>
    </rPh>
    <rPh sb="168" eb="169">
      <t xml:space="preserve">カンシテハ </t>
    </rPh>
    <rPh sb="197" eb="198">
      <t xml:space="preserve">モチイタ </t>
    </rPh>
    <rPh sb="204" eb="206">
      <t xml:space="preserve">ガクシュウ </t>
    </rPh>
    <rPh sb="211" eb="213">
      <t xml:space="preserve">エンシュウヲ </t>
    </rPh>
    <rPh sb="214" eb="215">
      <t xml:space="preserve">オコナウ </t>
    </rPh>
    <rPh sb="220" eb="223">
      <t xml:space="preserve">ジッセンテキ </t>
    </rPh>
    <rPh sb="224" eb="226">
      <t xml:space="preserve">リカイヲ </t>
    </rPh>
    <rPh sb="227" eb="228">
      <t xml:space="preserve">フカメル </t>
    </rPh>
    <rPh sb="230" eb="232">
      <t xml:space="preserve">セッケイ </t>
    </rPh>
    <rPh sb="239" eb="241">
      <t xml:space="preserve">ジュギョウ </t>
    </rPh>
    <rPh sb="246" eb="249">
      <t xml:space="preserve">ジュコウセイ </t>
    </rPh>
    <rPh sb="250" eb="252">
      <t xml:space="preserve">シツモン </t>
    </rPh>
    <rPh sb="253" eb="257">
      <t xml:space="preserve">タントウキョウイン </t>
    </rPh>
    <rPh sb="267" eb="269">
      <t xml:space="preserve">タイメンヲ </t>
    </rPh>
    <rPh sb="270" eb="271">
      <t xml:space="preserve">ツウジテ </t>
    </rPh>
    <rPh sb="273" eb="275">
      <t xml:space="preserve">テイネイ </t>
    </rPh>
    <rPh sb="276" eb="278">
      <t xml:space="preserve">カイトウ </t>
    </rPh>
    <rPh sb="279" eb="280">
      <t xml:space="preserve">オコナウ </t>
    </rPh>
    <rPh sb="286" eb="290">
      <t xml:space="preserve">ソウサブブン </t>
    </rPh>
    <rPh sb="291" eb="293">
      <t xml:space="preserve">エンシュウ </t>
    </rPh>
    <rPh sb="298" eb="300">
      <t xml:space="preserve">ドウガ </t>
    </rPh>
    <rPh sb="301" eb="303">
      <t xml:space="preserve">サクセイ </t>
    </rPh>
    <rPh sb="312" eb="313">
      <t xml:space="preserve">ミナガラ </t>
    </rPh>
    <rPh sb="315" eb="317">
      <t xml:space="preserve">キョウシ </t>
    </rPh>
    <rPh sb="324" eb="326">
      <t xml:space="preserve">クフウ </t>
    </rPh>
    <rPh sb="331" eb="333">
      <t xml:space="preserve">ガクシュウ </t>
    </rPh>
    <rPh sb="335" eb="337">
      <t xml:space="preserve">ジッセン </t>
    </rPh>
    <rPh sb="341" eb="343">
      <t xml:space="preserve">ジョウホウ </t>
    </rPh>
    <rPh sb="348" eb="350">
      <t xml:space="preserve">カモク </t>
    </rPh>
    <rPh sb="377" eb="379">
      <t xml:space="preserve">セツモン </t>
    </rPh>
    <rPh sb="381" eb="382">
      <t xml:space="preserve">ツヨク </t>
    </rPh>
    <rPh sb="395" eb="397">
      <t xml:space="preserve">カイトウ </t>
    </rPh>
    <rPh sb="399" eb="401">
      <t xml:space="preserve">ワリアイ </t>
    </rPh>
    <rPh sb="412" eb="414">
      <t xml:space="preserve">コクサイコミュニケーションガクブ </t>
    </rPh>
    <rPh sb="425" eb="431">
      <t>シンリシャカイガッカ オヨ</t>
    </rPh>
    <phoneticPr fontId="1"/>
  </si>
  <si>
    <t>医療保健学部・医療技術学科</t>
    <phoneticPr fontId="1"/>
  </si>
  <si>
    <t>国際コミュニケーション学部・国際コミュニケーション学科/国際コミュニケーション学部・心理社会学科</t>
    <phoneticPr fontId="1"/>
  </si>
  <si>
    <t>情報リテラシー及びデータ解析の単位を修得すること（国際コミュニケーション学部・国際コミュニケーション学科）
情報処理入門及び情報処理応用の単位を修得すること（国際コミュニケーション学部・心理社会学科）</t>
    <rPh sb="0" eb="2">
      <t>ジョウホウ</t>
    </rPh>
    <rPh sb="7" eb="8">
      <t>オヨ</t>
    </rPh>
    <rPh sb="12" eb="14">
      <t>カイセキ</t>
    </rPh>
    <phoneticPr fontId="1"/>
  </si>
  <si>
    <t>令和４年度新入学生から開始したプログラムであり、「情報リテラシー科目」については、全学部において1年次必修科目として開講している。
「統計学入門科目」は、各学部・学科の特性に応じた科目を配置しており、薬学部の「臨床統計学」は３年次必修科目、経済経営学部の「統計学Ⅰ」及び国際コミュニケーション学部心理社会学科の「情報処理応用」については、履修指定科目として、全員が履修する仕組みを講じている。
国際コミュニケーション学部国際コミュニケーション学科及び医療保健学部医療技術学科においては選択科目ではあるが、履修ガイダンスにて履修を強く推奨している。</t>
    <rPh sb="0" eb="2">
      <t>レイワ</t>
    </rPh>
    <rPh sb="3" eb="5">
      <t>ネンド</t>
    </rPh>
    <rPh sb="5" eb="9">
      <t>シンニュウガクセイ</t>
    </rPh>
    <rPh sb="11" eb="13">
      <t>カイシ</t>
    </rPh>
    <rPh sb="25" eb="27">
      <t>ジョウホウ</t>
    </rPh>
    <rPh sb="32" eb="34">
      <t>カモク</t>
    </rPh>
    <rPh sb="41" eb="42">
      <t>ゼン</t>
    </rPh>
    <rPh sb="42" eb="43">
      <t>ガク</t>
    </rPh>
    <rPh sb="43" eb="44">
      <t>ブ</t>
    </rPh>
    <rPh sb="49" eb="51">
      <t>ネンジ</t>
    </rPh>
    <rPh sb="51" eb="53">
      <t>ヒッシュウ</t>
    </rPh>
    <rPh sb="53" eb="55">
      <t>カモク</t>
    </rPh>
    <rPh sb="58" eb="60">
      <t>カイコウ</t>
    </rPh>
    <rPh sb="67" eb="74">
      <t>トウケイガクニュウモンカモク</t>
    </rPh>
    <rPh sb="77" eb="80">
      <t>カクガクブ</t>
    </rPh>
    <rPh sb="81" eb="83">
      <t>ガッカ</t>
    </rPh>
    <rPh sb="84" eb="86">
      <t>トクセイ</t>
    </rPh>
    <rPh sb="87" eb="88">
      <t>オウ</t>
    </rPh>
    <rPh sb="90" eb="92">
      <t>カモク</t>
    </rPh>
    <rPh sb="93" eb="95">
      <t>ハイチ</t>
    </rPh>
    <rPh sb="100" eb="103">
      <t>ヤクガクブ</t>
    </rPh>
    <rPh sb="105" eb="107">
      <t>リンショウ</t>
    </rPh>
    <rPh sb="107" eb="110">
      <t>トウケイガク</t>
    </rPh>
    <rPh sb="113" eb="115">
      <t>ネンジ</t>
    </rPh>
    <rPh sb="115" eb="117">
      <t>ヒッシュウ</t>
    </rPh>
    <rPh sb="117" eb="119">
      <t>カモク</t>
    </rPh>
    <rPh sb="120" eb="126">
      <t>ケイザイケイエイガクブ</t>
    </rPh>
    <rPh sb="128" eb="131">
      <t>トウケイガク</t>
    </rPh>
    <rPh sb="133" eb="134">
      <t>オヨ</t>
    </rPh>
    <rPh sb="135" eb="137">
      <t>コクサイ</t>
    </rPh>
    <rPh sb="146" eb="148">
      <t>ガクブ</t>
    </rPh>
    <rPh sb="148" eb="150">
      <t>シンリ</t>
    </rPh>
    <rPh sb="150" eb="154">
      <t>シャカイガッカ</t>
    </rPh>
    <rPh sb="156" eb="162">
      <t>ジョウホウショリオウヨウ</t>
    </rPh>
    <rPh sb="169" eb="171">
      <t>リシュウ</t>
    </rPh>
    <rPh sb="171" eb="173">
      <t>シテイ</t>
    </rPh>
    <rPh sb="173" eb="175">
      <t>カモク</t>
    </rPh>
    <rPh sb="179" eb="181">
      <t>ゼンイン</t>
    </rPh>
    <rPh sb="182" eb="184">
      <t>リシュウ</t>
    </rPh>
    <rPh sb="186" eb="188">
      <t>シク</t>
    </rPh>
    <rPh sb="190" eb="191">
      <t>コウ</t>
    </rPh>
    <rPh sb="197" eb="199">
      <t>コクサイ</t>
    </rPh>
    <rPh sb="208" eb="210">
      <t>ガクブ</t>
    </rPh>
    <rPh sb="210" eb="212">
      <t>コクサイ</t>
    </rPh>
    <rPh sb="221" eb="223">
      <t>ガッカ</t>
    </rPh>
    <rPh sb="223" eb="224">
      <t>オヨ</t>
    </rPh>
    <rPh sb="225" eb="231">
      <t>イリョウホケンガクブ</t>
    </rPh>
    <rPh sb="231" eb="237">
      <t>イリョウギジュツガッカ</t>
    </rPh>
    <rPh sb="242" eb="246">
      <t>センタクカモク</t>
    </rPh>
    <rPh sb="252" eb="254">
      <t>リシュウ</t>
    </rPh>
    <rPh sb="261" eb="263">
      <t>リシュウ</t>
    </rPh>
    <rPh sb="264" eb="265">
      <t>ツヨ</t>
    </rPh>
    <rPh sb="266" eb="268">
      <t>スイショウ</t>
    </rPh>
    <phoneticPr fontId="1"/>
  </si>
  <si>
    <t>全学部・全学科に本プログラム対象科目を配置していることから、学生全員が受講可能である。
学部によっては、遠隔授業方式を採用しているが、数回程度は教室での受講を必須としており、受講生の希望により、指定された回以外でも、教室での受講を認めている。
また、クラスサイズ等に応じて、所定の研修を受講したスチューデント・アシスタント（SA）を配置している。</t>
    <rPh sb="44" eb="46">
      <t>ガクブ</t>
    </rPh>
    <rPh sb="52" eb="56">
      <t>エンカクジュギョウ</t>
    </rPh>
    <rPh sb="56" eb="58">
      <t>ホウシキ</t>
    </rPh>
    <rPh sb="59" eb="61">
      <t>サイヨウ</t>
    </rPh>
    <rPh sb="67" eb="69">
      <t>スウカイ</t>
    </rPh>
    <rPh sb="69" eb="71">
      <t>テイド</t>
    </rPh>
    <rPh sb="72" eb="74">
      <t>キョウシツ</t>
    </rPh>
    <rPh sb="76" eb="78">
      <t>ジュコウ</t>
    </rPh>
    <rPh sb="79" eb="81">
      <t>ヒッス</t>
    </rPh>
    <rPh sb="87" eb="90">
      <t>ジュコウセイ</t>
    </rPh>
    <rPh sb="91" eb="93">
      <t>キボウ</t>
    </rPh>
    <rPh sb="97" eb="99">
      <t>シテイ</t>
    </rPh>
    <rPh sb="102" eb="103">
      <t>カイ</t>
    </rPh>
    <rPh sb="103" eb="105">
      <t>イガイ</t>
    </rPh>
    <rPh sb="108" eb="110">
      <t>キョウシツ</t>
    </rPh>
    <rPh sb="112" eb="114">
      <t>ジュコウ</t>
    </rPh>
    <rPh sb="115" eb="116">
      <t>ミト</t>
    </rPh>
    <rPh sb="133" eb="134">
      <t>オウ</t>
    </rPh>
    <rPh sb="137" eb="139">
      <t>ショテイ</t>
    </rPh>
    <rPh sb="140" eb="142">
      <t>ケンシュウ</t>
    </rPh>
    <rPh sb="143" eb="145">
      <t>ジュコウ</t>
    </rPh>
    <rPh sb="166" eb="168">
      <t>ハイチ</t>
    </rPh>
    <phoneticPr fontId="1"/>
  </si>
  <si>
    <t>対象科目を担当する教員のオフィスアワーで質問を受け付けるほか、「情報リテラシー科目」では、１５回の授業時間以外に、スチューデント・アシスタント（SA）と担当教員グループによる教室サポート回を別途、設定して学修支援体制の充実に努めている。また、本学ではBYODによりノートPC必携化を行っていることから、情報推進課の窓口に常時「ヘルプデスク」を開設し、学生アルバイトとともに技術的な質問対応やノートPC修理時の貸出対応を行っている。</t>
    <rPh sb="39" eb="41">
      <t>カモク</t>
    </rPh>
    <rPh sb="171" eb="173">
      <t>カイセツ</t>
    </rPh>
    <phoneticPr fontId="1"/>
  </si>
  <si>
    <t>【情報リテラシー／第３回・第７回・第８回】
・データ量の増加、計算機の処理性能の向上、AIの非連続的進化  
・複数技術を組み合わせたAIサービス
【情報処理入門／第３回・第７回・第８回】
・データ量の増加、計算機の処理性能の向上、AIの非連続的進化  
・複数技術を組み合わせたAIサービス</t>
    <rPh sb="1" eb="3">
      <t>ジョウホウ</t>
    </rPh>
    <rPh sb="9" eb="10">
      <t>ダイ</t>
    </rPh>
    <rPh sb="11" eb="12">
      <t>カイ</t>
    </rPh>
    <rPh sb="13" eb="14">
      <t>ダイ</t>
    </rPh>
    <rPh sb="15" eb="16">
      <t>カイ</t>
    </rPh>
    <rPh sb="17" eb="18">
      <t>ダイ</t>
    </rPh>
    <rPh sb="19" eb="20">
      <t>カイ</t>
    </rPh>
    <phoneticPr fontId="1"/>
  </si>
  <si>
    <t>【情報リテラシー／第７回】
・AI最新技術の活用例（深層生成モデル、敵対的生成ネットワーク、強化学習、転移学習など）
【情報処理入門／第７回】
・AI最新技術の活用例（深層生成モデル、敵対的生成ネットワーク、強化学習、転移学習など）</t>
    <rPh sb="9" eb="10">
      <t>ダイ</t>
    </rPh>
    <rPh sb="11" eb="12">
      <t>カイ</t>
    </rPh>
    <phoneticPr fontId="1"/>
  </si>
  <si>
    <t xml:space="preserve">【情報リテラシー／第７回・第８回】
・調査データ、実験データ、人の行動ログデータ、機械の稼働ログデータなど
【情報処理入門／第７回・第８回】
・調査データ、実験データ、人の行動ログデータ、機械の稼働ログデータなど
</t>
    <rPh sb="9" eb="10">
      <t>ダイ</t>
    </rPh>
    <rPh sb="11" eb="12">
      <t>カイ</t>
    </rPh>
    <rPh sb="13" eb="14">
      <t>ダイ</t>
    </rPh>
    <rPh sb="15" eb="16">
      <t>カイ</t>
    </rPh>
    <phoneticPr fontId="1"/>
  </si>
  <si>
    <t>【情報リテラシー／第８回】
・研究開発、調達、製造、物流、販売、マーケティング、サービスなど　
・仮説検証、知識発見、原因究明、計画策定、判断支援、活動代替
【情報処理入門／第８回】
・研究開発、調達、製造、物流、販売、マーケティング、サービスなど　
・仮説検証、知識発見、原因究明、計画策定、判断支援、活動代替</t>
    <rPh sb="9" eb="10">
      <t>ダイ</t>
    </rPh>
    <rPh sb="11" eb="12">
      <t>カイ</t>
    </rPh>
    <phoneticPr fontId="1"/>
  </si>
  <si>
    <t>【情報リテラシー／第４回・第５回・第６回・第７回・第８回】
・データ可視化：複合グラフ、2軸グラフ、多次元の可視化、関係性の可視化、地図上の可視化、挙動
・軌跡の可視化、リアルタイム可視化など
【情報処理入門／第４回・第５回・第６回・第７回・第８回】
・データ可視化：複合グラフ、2軸グラフ、多次元の可視化、関係性の可視化、地図上の可視化、挙動
・軌跡の可視化、リアルタイム可視化など</t>
    <rPh sb="9" eb="10">
      <t>ダイ</t>
    </rPh>
    <rPh sb="11" eb="12">
      <t>カイ</t>
    </rPh>
    <rPh sb="13" eb="14">
      <t>ダイ</t>
    </rPh>
    <rPh sb="15" eb="16">
      <t>カイ</t>
    </rPh>
    <rPh sb="25" eb="26">
      <t>ダイ</t>
    </rPh>
    <rPh sb="27" eb="28">
      <t>カイ</t>
    </rPh>
    <rPh sb="74" eb="76">
      <t>キョドウ</t>
    </rPh>
    <phoneticPr fontId="1"/>
  </si>
  <si>
    <t>【情報リテラシー／第８回】
・流通、製造、金融、サービス、インフラ、公共、ヘルスケア等におけるデータ
・AI利活用事例紹介
【情報処理入門／第８回】
・流通、製造、金融、サービス、インフラ、公共、ヘルスケア等におけるデータ
・AI利活用事例紹介</t>
    <rPh sb="9" eb="10">
      <t>ダイ</t>
    </rPh>
    <rPh sb="11" eb="12">
      <t>カイ</t>
    </rPh>
    <phoneticPr fontId="1"/>
  </si>
  <si>
    <t>【情報リテラシー／第６回・第８回】
・個人情報保護、EU一般データ保護規則(GDPR)、忘れられる権利、オプトアウト  　   ・データ倫理：データのねつ造、改ざん、盗用、プライバシー保護
・データ・AI活用における負の事例紹介
【データ解析／第14回・第15回】
・個人情報保護　　　・データ倫理：データのねつ造、改ざん、盗用、プライバシー保護
【情報処理入門／第６回・第８回】
・個人情報保護、EU一般データ保護規則(GDPR)、忘れられる権利、オプトアウト　　　・データ倫理：データのねつ造、改ざん、盗用、プライバシー保護
・データ・AI活用における負の事例紹介
【情報処理応用／第１回】
・データ・AIを利活用する上で知っておくべきこと</t>
    <rPh sb="9" eb="10">
      <t>ダイ</t>
    </rPh>
    <rPh sb="11" eb="12">
      <t>カイ</t>
    </rPh>
    <rPh sb="13" eb="14">
      <t>ダイ</t>
    </rPh>
    <rPh sb="15" eb="16">
      <t>カイ</t>
    </rPh>
    <rPh sb="119" eb="121">
      <t>カイセキ</t>
    </rPh>
    <phoneticPr fontId="1"/>
  </si>
  <si>
    <t>【情報リテラシー／第５回・第６回・第８回】
・情報セキュリティ：機密性、完全性、可用性　　　・匿名加工情報、暗号化、パスワード、悪意ある情報搾取　　　・情報漏洩等によるセキュリティ事故の事例紹介
【データ解析／第14回・第15回】
・情報セキュリティ：機密性、完全性、可用性　　　・匿名加工情報、パスワード、悪意ある情報搾取　　　・情報漏洩等によるセキュリティ事故の事例紹介
【情報処理入門／第５回・第６回・第８回】
・情報セキュリティ：機密性、完全性、可用性　　　・匿名加工情報、暗号化、パスワード、悪意ある情報搾取　　　・情報漏洩等によるセキュリティ事故の事例紹介
【情報処理応用／第１回】
・データを守る上で知っておくべきこと</t>
    <rPh sb="9" eb="10">
      <t>ダイ</t>
    </rPh>
    <rPh sb="11" eb="12">
      <t>カイ</t>
    </rPh>
    <rPh sb="13" eb="14">
      <t>ダイ</t>
    </rPh>
    <rPh sb="15" eb="16">
      <t>カイ</t>
    </rPh>
    <rPh sb="17" eb="18">
      <t>ダイ</t>
    </rPh>
    <rPh sb="19" eb="20">
      <t>カイ</t>
    </rPh>
    <rPh sb="102" eb="104">
      <t>カイセキ</t>
    </rPh>
    <rPh sb="105" eb="106">
      <t>ダイ</t>
    </rPh>
    <rPh sb="108" eb="109">
      <t>カイ</t>
    </rPh>
    <rPh sb="110" eb="111">
      <t>ダイ</t>
    </rPh>
    <rPh sb="113" eb="114">
      <t>カイ</t>
    </rPh>
    <phoneticPr fontId="1"/>
  </si>
  <si>
    <t>【情報リテラシー／第12回・第13回】
・データの種類（量的変数、質的変数）　　　・データの分布(ヒストグラム)と代表値（平均値、中央値、最頻値）
【データ解析／第８回・第９回・第10回・第13回】
・データの分布(ヒストグラム)と代表値（平均値、中央値、最頻値）、代表値の性質の違い（実社会では平均値＝最頻値でないことが多い）
・データのばらつき（分散、標準偏差、偏差値）　　　・相関と因果（相関係数、擬似相関、交絡）　　　・クロス集計表、統計情報の正しい理解（誇張表現に惑わされない）
【情報処理入門／第12回・第13回】
・データの種類（量的変数、質的変数）　・データの分布(ヒストグラム)と代表値（平均値、中央値、最頻値）
【情報処理応用／第２回～第11回】
データの分布(ヒストグラム)と代表値（平均値、中央値、最頻値）　　　・代表値の性質の違い（実社会では平均値＝最頻値でないことが多い）
・データのばらつき（分散、標準偏差、偏差値）　　　・相関と因果（相関係数、擬似相関、交絡）、クロス集計表、統計情報の正しい理解（誇張表現に惑わされない）</t>
    <rPh sb="9" eb="10">
      <t>ダイ</t>
    </rPh>
    <rPh sb="12" eb="13">
      <t>カイ</t>
    </rPh>
    <rPh sb="14" eb="15">
      <t>ダイ</t>
    </rPh>
    <rPh sb="17" eb="18">
      <t>カイ</t>
    </rPh>
    <rPh sb="78" eb="80">
      <t>カイセキ</t>
    </rPh>
    <rPh sb="85" eb="86">
      <t>ダイ</t>
    </rPh>
    <rPh sb="87" eb="88">
      <t>カイ</t>
    </rPh>
    <rPh sb="89" eb="90">
      <t>ダイ</t>
    </rPh>
    <rPh sb="92" eb="93">
      <t>カイ</t>
    </rPh>
    <rPh sb="94" eb="95">
      <t>ダイ</t>
    </rPh>
    <rPh sb="97" eb="98">
      <t>カイ</t>
    </rPh>
    <phoneticPr fontId="1"/>
  </si>
  <si>
    <t>【情報リテラシー／第４回・第５回・第６回・第７回・第８回】
・データ表現（棒グラフ、折線グラフ、散布図、ヒートマップ）　　　・データの図表表現（チャート化）
・優れた可視化事例の紹介（可視化することによって新たな気づきがあった事例など）
【データ解析／第５回・第６回・第７回】
・データ表現（棒グラフ、折線グラフ、散布図）
【情報処理入門／第４回・第５回・第６回・第７回・第８回】
・データ表現（棒グラフ、折線グラフ、散布図、ヒートマップ）　　　・データの図表表現（チャート化）
・優れた可視化事例の紹介（可視化することによって新たな気づきがあった事例など）
【情報処理応用／第２回～第11回】
・データの図表表現（チャート化）　　　
・データの比較（条件をそろえた比較、処理の前後での比較、A/Bテスト)</t>
    <rPh sb="17" eb="18">
      <t>ダイ</t>
    </rPh>
    <rPh sb="19" eb="20">
      <t>カイ</t>
    </rPh>
    <rPh sb="21" eb="22">
      <t>ダイ</t>
    </rPh>
    <rPh sb="23" eb="24">
      <t>カイ</t>
    </rPh>
    <rPh sb="25" eb="26">
      <t>ダイ</t>
    </rPh>
    <rPh sb="27" eb="28">
      <t>カイ</t>
    </rPh>
    <rPh sb="123" eb="125">
      <t>カイセキ</t>
    </rPh>
    <rPh sb="130" eb="131">
      <t>ダイ</t>
    </rPh>
    <rPh sb="132" eb="133">
      <t>カイ</t>
    </rPh>
    <rPh sb="134" eb="135">
      <t>ダイ</t>
    </rPh>
    <rPh sb="136" eb="137">
      <t>カイ</t>
    </rPh>
    <phoneticPr fontId="1"/>
  </si>
  <si>
    <t>【情報リテラシー／第12回・第13回】
・データ解析ツール（スプレッドシート）
【データ解析／第３回】
・データの集計（和、平均）　　　・データの並び替え
【情報処理入門／第12回・第13回】
・データ解析ツール（スプレッドシート）
【情報処理応用／第２回～第11回】
・データの集計（和、平均）　　　・データの並び替え、ランキング　　　・データ解析ツール（スプレッドシート）　　　・表形式のデータ（csv）</t>
    <rPh sb="44" eb="46">
      <t>カイセキ</t>
    </rPh>
    <rPh sb="49" eb="50">
      <t>カイ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</si>
</sst>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8" x14ac:knownFonts="1">
    <font>
      <sz val="11"/>
      <color theme="1"/>
      <name val="ＭＳ Ｐゴシック"/>
      <family val="2"/>
      <charset val="128"/>
      <scheme val="minor"/>
    </font>
    <font>
      <sz val="6"/>
      <name val="ＭＳ Ｐゴシック"/>
      <family val="2"/>
      <charset val="128"/>
      <scheme val="minor"/>
    </font>
    <font>
      <sz val="12"/>
      <color theme="1"/>
      <name val="ＭＳ Ｐゴシック"/>
      <family val="3"/>
      <charset val="128"/>
      <scheme val="minor"/>
    </font>
    <font>
      <sz val="9"/>
      <color theme="1"/>
      <name val="ＭＳ Ｐゴシック"/>
      <family val="3"/>
      <charset val="128"/>
      <scheme val="minor"/>
    </font>
    <font>
      <sz val="11"/>
      <color theme="1"/>
      <name val="ＭＳ Ｐゴシック"/>
      <family val="2"/>
      <charset val="128"/>
      <scheme val="minor"/>
    </font>
    <font>
      <sz val="11"/>
      <color theme="1"/>
      <name val="ＭＳ Ｐゴシック"/>
      <family val="3"/>
      <charset val="128"/>
      <scheme val="minor"/>
    </font>
    <font>
      <sz val="14"/>
      <color theme="1"/>
      <name val="ＭＳ Ｐゴシック"/>
      <family val="3"/>
      <charset val="128"/>
      <scheme val="minor"/>
    </font>
    <font>
      <sz val="10"/>
      <color theme="1"/>
      <name val="ＭＳ Ｐゴシック"/>
      <family val="3"/>
      <charset val="128"/>
      <scheme val="minor"/>
    </font>
    <font>
      <sz val="7"/>
      <color theme="1"/>
      <name val="ＭＳ Ｐゴシック"/>
      <family val="3"/>
      <charset val="128"/>
      <scheme val="minor"/>
    </font>
    <font>
      <sz val="8"/>
      <color theme="1"/>
      <name val="ＭＳ Ｐゴシック"/>
      <family val="3"/>
      <charset val="128"/>
      <scheme val="minor"/>
    </font>
    <font>
      <sz val="6"/>
      <color theme="1"/>
      <name val="ＭＳ Ｐゴシック"/>
      <family val="3"/>
      <charset val="128"/>
      <scheme val="minor"/>
    </font>
    <font>
      <sz val="12"/>
      <name val="ＭＳ Ｐゴシック"/>
      <family val="3"/>
      <charset val="128"/>
      <scheme val="minor"/>
    </font>
    <font>
      <sz val="11"/>
      <name val="ＭＳ Ｐゴシック"/>
      <family val="3"/>
      <charset val="128"/>
      <scheme val="minor"/>
    </font>
    <font>
      <sz val="14"/>
      <name val="ＭＳ Ｐゴシック"/>
      <family val="3"/>
      <charset val="128"/>
      <scheme val="minor"/>
    </font>
    <font>
      <sz val="9"/>
      <name val="ＭＳ Ｐゴシック"/>
      <family val="3"/>
      <charset val="128"/>
      <scheme val="minor"/>
    </font>
    <font>
      <sz val="10"/>
      <name val="ＭＳ Ｐゴシック"/>
      <family val="3"/>
      <charset val="128"/>
      <scheme val="minor"/>
    </font>
    <font>
      <sz val="7"/>
      <name val="ＭＳ Ｐゴシック"/>
      <family val="3"/>
      <charset val="128"/>
      <scheme val="minor"/>
    </font>
    <font>
      <sz val="8"/>
      <name val="ＭＳ Ｐゴシック"/>
      <family val="3"/>
      <charset val="128"/>
      <scheme val="minor"/>
    </font>
  </fonts>
  <fills count="3">
    <fill>
      <patternFill patternType="none"/>
    </fill>
    <fill>
      <patternFill patternType="gray125"/>
    </fill>
    <fill>
      <patternFill patternType="solid">
        <fgColor theme="0" tint="-4.9989318521683403E-2"/>
        <bgColor indexed="64"/>
      </patternFill>
    </fill>
  </fills>
  <borders count="6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hair">
        <color auto="1"/>
      </bottom>
      <diagonal/>
    </border>
    <border>
      <left style="thin">
        <color auto="1"/>
      </left>
      <right style="thin">
        <color auto="1"/>
      </right>
      <top style="thin">
        <color auto="1"/>
      </top>
      <bottom/>
      <diagonal/>
    </border>
    <border>
      <left style="thin">
        <color auto="1"/>
      </left>
      <right/>
      <top style="hair">
        <color auto="1"/>
      </top>
      <bottom/>
      <diagonal/>
    </border>
    <border>
      <left style="hair">
        <color auto="1"/>
      </left>
      <right/>
      <top style="hair">
        <color auto="1"/>
      </top>
      <bottom style="hair">
        <color auto="1"/>
      </bottom>
      <diagonal/>
    </border>
    <border>
      <left/>
      <right style="thin">
        <color auto="1"/>
      </right>
      <top style="hair">
        <color auto="1"/>
      </top>
      <bottom style="hair">
        <color auto="1"/>
      </bottom>
      <diagonal/>
    </border>
    <border>
      <left style="thin">
        <color auto="1"/>
      </left>
      <right/>
      <top style="hair">
        <color auto="1"/>
      </top>
      <bottom style="hair">
        <color auto="1"/>
      </bottom>
      <diagonal/>
    </border>
    <border>
      <left/>
      <right/>
      <top style="hair">
        <color auto="1"/>
      </top>
      <bottom style="hair">
        <color auto="1"/>
      </bottom>
      <diagonal/>
    </border>
    <border>
      <left/>
      <right/>
      <top style="hair">
        <color auto="1"/>
      </top>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bottom/>
      <diagonal/>
    </border>
    <border>
      <left style="thin">
        <color auto="1"/>
      </left>
      <right style="hair">
        <color auto="1"/>
      </right>
      <top/>
      <bottom/>
      <diagonal/>
    </border>
    <border>
      <left style="hair">
        <color auto="1"/>
      </left>
      <right style="thin">
        <color auto="1"/>
      </right>
      <top style="hair">
        <color auto="1"/>
      </top>
      <bottom style="hair">
        <color auto="1"/>
      </bottom>
      <diagonal/>
    </border>
    <border>
      <left style="hair">
        <color auto="1"/>
      </left>
      <right style="thin">
        <color auto="1"/>
      </right>
      <top style="double">
        <color auto="1"/>
      </top>
      <bottom style="thin">
        <color auto="1"/>
      </bottom>
      <diagonal/>
    </border>
    <border>
      <left style="thin">
        <color auto="1"/>
      </left>
      <right/>
      <top style="thin">
        <color auto="1"/>
      </top>
      <bottom style="hair">
        <color auto="1"/>
      </bottom>
      <diagonal/>
    </border>
    <border>
      <left/>
      <right style="thin">
        <color auto="1"/>
      </right>
      <top style="thin">
        <color auto="1"/>
      </top>
      <bottom style="hair">
        <color auto="1"/>
      </bottom>
      <diagonal/>
    </border>
    <border>
      <left/>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thin">
        <color auto="1"/>
      </left>
      <right/>
      <top/>
      <bottom style="hair">
        <color auto="1"/>
      </bottom>
      <diagonal/>
    </border>
    <border>
      <left/>
      <right/>
      <top/>
      <bottom style="hair">
        <color auto="1"/>
      </bottom>
      <diagonal/>
    </border>
    <border>
      <left/>
      <right style="thin">
        <color auto="1"/>
      </right>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thin">
        <color auto="1"/>
      </top>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thin">
        <color auto="1"/>
      </right>
      <top style="thin">
        <color auto="1"/>
      </top>
      <bottom/>
      <diagonal/>
    </border>
    <border>
      <left style="hair">
        <color auto="1"/>
      </left>
      <right style="thin">
        <color auto="1"/>
      </right>
      <top style="hair">
        <color auto="1"/>
      </top>
      <bottom/>
      <diagonal/>
    </border>
    <border>
      <left style="thin">
        <color auto="1"/>
      </left>
      <right style="thin">
        <color auto="1"/>
      </right>
      <top/>
      <bottom/>
      <diagonal/>
    </border>
    <border>
      <left style="hair">
        <color auto="1"/>
      </left>
      <right style="thin">
        <color auto="1"/>
      </right>
      <top/>
      <bottom style="double">
        <color auto="1"/>
      </bottom>
      <diagonal/>
    </border>
    <border>
      <left style="dotted">
        <color auto="1"/>
      </left>
      <right/>
      <top style="dotted">
        <color auto="1"/>
      </top>
      <bottom style="thin">
        <color auto="1"/>
      </bottom>
      <diagonal/>
    </border>
    <border>
      <left style="hair">
        <color auto="1"/>
      </left>
      <right style="thin">
        <color auto="1"/>
      </right>
      <top style="dotted">
        <color auto="1"/>
      </top>
      <bottom style="thin">
        <color auto="1"/>
      </bottom>
      <diagonal/>
    </border>
    <border>
      <left style="dotted">
        <color auto="1"/>
      </left>
      <right/>
      <top/>
      <bottom/>
      <diagonal/>
    </border>
    <border>
      <left style="dotted">
        <color auto="1"/>
      </left>
      <right/>
      <top style="hair">
        <color auto="1"/>
      </top>
      <bottom style="hair">
        <color auto="1"/>
      </bottom>
      <diagonal/>
    </border>
    <border>
      <left style="dotted">
        <color auto="1"/>
      </left>
      <right/>
      <top/>
      <bottom style="double">
        <color auto="1"/>
      </bottom>
      <diagonal/>
    </border>
    <border>
      <left style="thin">
        <color auto="1"/>
      </left>
      <right style="dotted">
        <color auto="1"/>
      </right>
      <top style="hair">
        <color auto="1"/>
      </top>
      <bottom style="hair">
        <color auto="1"/>
      </bottom>
      <diagonal/>
    </border>
    <border>
      <left style="dotted">
        <color auto="1"/>
      </left>
      <right style="hair">
        <color auto="1"/>
      </right>
      <top style="double">
        <color auto="1"/>
      </top>
      <bottom style="thin">
        <color auto="1"/>
      </bottom>
      <diagonal/>
    </border>
    <border>
      <left style="hair">
        <color auto="1"/>
      </left>
      <right/>
      <top style="hair">
        <color auto="1"/>
      </top>
      <bottom style="thin">
        <color indexed="64"/>
      </bottom>
      <diagonal/>
    </border>
    <border>
      <left style="thin">
        <color auto="1"/>
      </left>
      <right style="thin">
        <color auto="1"/>
      </right>
      <top/>
      <bottom style="hair">
        <color auto="1"/>
      </bottom>
      <diagonal/>
    </border>
    <border>
      <left/>
      <right style="thin">
        <color auto="1"/>
      </right>
      <top style="hair">
        <color auto="1"/>
      </top>
      <bottom/>
      <diagonal/>
    </border>
    <border>
      <left style="thin">
        <color auto="1"/>
      </left>
      <right style="thin">
        <color auto="1"/>
      </right>
      <top style="hair">
        <color auto="1"/>
      </top>
      <bottom/>
      <diagonal/>
    </border>
  </borders>
  <cellStyleXfs count="4">
    <xf numFmtId="0" fontId="0" fillId="0" borderId="0">
      <alignment vertical="center"/>
    </xf>
    <xf numFmtId="9" fontId="4" fillId="0" borderId="0" applyFont="0" applyFill="0" applyBorder="0" applyAlignment="0" applyProtection="0">
      <alignment vertical="center"/>
    </xf>
    <xf numFmtId="38" fontId="4" fillId="0" borderId="0" applyFont="0" applyFill="0" applyBorder="0" applyAlignment="0" applyProtection="0">
      <alignment vertical="center"/>
    </xf>
    <xf numFmtId="0" fontId="4" fillId="0" borderId="0">
      <alignment vertical="center" wrapText="1"/>
    </xf>
  </cellStyleXfs>
  <cellXfs count="386">
    <xf numFmtId="0" fontId="0" fillId="0" borderId="0" xfId="0">
      <alignment vertical="center"/>
    </xf>
    <xf numFmtId="0" fontId="2" fillId="0" borderId="0" xfId="0" applyFont="1">
      <alignment vertical="center"/>
    </xf>
    <xf numFmtId="0" fontId="5" fillId="0" borderId="0" xfId="0" applyFont="1">
      <alignment vertical="center"/>
    </xf>
    <xf numFmtId="0" fontId="2" fillId="0" borderId="0" xfId="0" applyFont="1" applyAlignment="1">
      <alignment horizontal="center" vertical="center"/>
    </xf>
    <xf numFmtId="0" fontId="3" fillId="0" borderId="0" xfId="0" applyFont="1" applyAlignment="1">
      <alignment vertical="top" wrapText="1"/>
    </xf>
    <xf numFmtId="0" fontId="6" fillId="0" borderId="0" xfId="0" applyFont="1" applyAlignment="1">
      <alignment horizontal="center" vertical="center"/>
    </xf>
    <xf numFmtId="0" fontId="2" fillId="0" borderId="0" xfId="0" applyFont="1" applyAlignment="1">
      <alignment vertical="center" shrinkToFit="1"/>
    </xf>
    <xf numFmtId="9" fontId="2" fillId="0" borderId="10" xfId="0" applyNumberFormat="1" applyFont="1" applyBorder="1" applyAlignment="1">
      <alignment vertical="center" shrinkToFit="1"/>
    </xf>
    <xf numFmtId="9" fontId="2" fillId="0" borderId="22" xfId="0" applyNumberFormat="1" applyFont="1" applyBorder="1" applyAlignment="1">
      <alignment vertical="center" shrinkToFit="1"/>
    </xf>
    <xf numFmtId="9" fontId="2" fillId="0" borderId="26" xfId="0" applyNumberFormat="1" applyFont="1" applyBorder="1" applyAlignment="1">
      <alignment vertical="center" shrinkToFit="1"/>
    </xf>
    <xf numFmtId="0" fontId="2" fillId="0" borderId="0" xfId="0" applyFont="1" applyAlignment="1">
      <alignment horizontal="left" vertical="center"/>
    </xf>
    <xf numFmtId="0" fontId="2" fillId="0" borderId="14" xfId="0" applyFont="1" applyBorder="1" applyAlignment="1">
      <alignment horizontal="left" vertical="center" shrinkToFit="1"/>
    </xf>
    <xf numFmtId="0" fontId="2" fillId="0" borderId="22" xfId="0" applyFont="1" applyBorder="1" applyAlignment="1">
      <alignment horizontal="left" vertical="center" shrinkToFit="1"/>
    </xf>
    <xf numFmtId="0" fontId="2" fillId="0" borderId="23" xfId="0" applyFont="1" applyBorder="1" applyAlignment="1">
      <alignment horizontal="left" vertical="center" shrinkToFit="1"/>
    </xf>
    <xf numFmtId="0" fontId="2" fillId="0" borderId="27" xfId="0" applyFont="1" applyBorder="1" applyAlignment="1">
      <alignment horizontal="center" vertical="center" shrinkToFit="1"/>
    </xf>
    <xf numFmtId="0" fontId="2" fillId="0" borderId="0" xfId="0" applyFont="1" applyAlignment="1">
      <alignment vertical="top" wrapText="1"/>
    </xf>
    <xf numFmtId="0" fontId="2" fillId="0" borderId="0" xfId="0" applyFont="1" applyAlignment="1">
      <alignment vertical="center" wrapText="1"/>
    </xf>
    <xf numFmtId="0" fontId="9" fillId="0" borderId="11" xfId="0" applyFont="1" applyBorder="1" applyAlignment="1">
      <alignment horizontal="center" vertical="center"/>
    </xf>
    <xf numFmtId="0" fontId="9" fillId="0" borderId="51" xfId="0" applyFont="1" applyBorder="1" applyAlignment="1">
      <alignment horizontal="center" vertical="center"/>
    </xf>
    <xf numFmtId="0" fontId="9" fillId="0" borderId="52" xfId="0" applyFont="1" applyBorder="1" applyAlignment="1">
      <alignment horizontal="center" vertical="center"/>
    </xf>
    <xf numFmtId="9" fontId="2" fillId="0" borderId="59" xfId="0" applyNumberFormat="1" applyFont="1" applyBorder="1" applyAlignment="1">
      <alignment vertical="center" shrinkToFit="1"/>
    </xf>
    <xf numFmtId="9" fontId="2" fillId="0" borderId="1" xfId="0" applyNumberFormat="1" applyFont="1" applyBorder="1" applyAlignment="1">
      <alignment vertical="center" shrinkToFit="1"/>
    </xf>
    <xf numFmtId="49" fontId="3" fillId="0" borderId="1" xfId="0" applyNumberFormat="1" applyFont="1" applyBorder="1" applyAlignment="1">
      <alignment horizontal="center" vertical="center"/>
    </xf>
    <xf numFmtId="0" fontId="2" fillId="0" borderId="14" xfId="0" applyFont="1" applyBorder="1" applyAlignment="1">
      <alignment horizontal="center" vertical="center" shrinkToFit="1"/>
    </xf>
    <xf numFmtId="0" fontId="2" fillId="0" borderId="22" xfId="0" applyFont="1" applyBorder="1" applyAlignment="1">
      <alignment horizontal="center" vertical="center" shrinkToFit="1"/>
    </xf>
    <xf numFmtId="0" fontId="2" fillId="0" borderId="13" xfId="0" applyFont="1" applyBorder="1" applyAlignment="1">
      <alignment horizontal="center" vertical="center" shrinkToFit="1"/>
    </xf>
    <xf numFmtId="0" fontId="2" fillId="0" borderId="39" xfId="0" applyFont="1" applyBorder="1" applyAlignment="1">
      <alignment horizontal="center" vertical="center" shrinkToFit="1"/>
    </xf>
    <xf numFmtId="0" fontId="2" fillId="0" borderId="0" xfId="0" applyFont="1" applyAlignment="1">
      <alignment horizontal="center" vertical="center" shrinkToFit="1"/>
    </xf>
    <xf numFmtId="49" fontId="3" fillId="0" borderId="47" xfId="0" applyNumberFormat="1" applyFont="1" applyBorder="1" applyAlignment="1">
      <alignment horizontal="center" vertical="center"/>
    </xf>
    <xf numFmtId="49" fontId="3" fillId="0" borderId="48" xfId="0" applyNumberFormat="1" applyFont="1" applyBorder="1" applyAlignment="1">
      <alignment horizontal="center" vertical="center"/>
    </xf>
    <xf numFmtId="49" fontId="3" fillId="0" borderId="43" xfId="0" applyNumberFormat="1" applyFont="1" applyBorder="1" applyAlignment="1">
      <alignment horizontal="center" vertical="center"/>
    </xf>
    <xf numFmtId="49" fontId="3" fillId="0" borderId="28" xfId="0" applyNumberFormat="1" applyFont="1" applyBorder="1" applyAlignment="1">
      <alignment horizontal="center" vertical="center"/>
    </xf>
    <xf numFmtId="49" fontId="3" fillId="0" borderId="46" xfId="0" applyNumberFormat="1" applyFont="1" applyBorder="1" applyAlignment="1">
      <alignment horizontal="center" vertical="center"/>
    </xf>
    <xf numFmtId="49" fontId="3" fillId="0" borderId="31" xfId="0" applyNumberFormat="1" applyFont="1" applyBorder="1" applyAlignment="1">
      <alignment horizontal="center" vertical="center"/>
    </xf>
    <xf numFmtId="0" fontId="2" fillId="0" borderId="1" xfId="0" applyFont="1" applyBorder="1" applyAlignment="1">
      <alignment horizontal="center" vertical="center"/>
    </xf>
    <xf numFmtId="0" fontId="2" fillId="0" borderId="0" xfId="0" applyFont="1" applyAlignment="1">
      <alignment horizontal="right" vertical="center"/>
    </xf>
    <xf numFmtId="0" fontId="2" fillId="0" borderId="1" xfId="0" applyFont="1" applyBorder="1" applyAlignment="1">
      <alignment horizontal="left" vertical="center"/>
    </xf>
    <xf numFmtId="0" fontId="2" fillId="0" borderId="0" xfId="0" applyFont="1" applyAlignment="1">
      <alignment horizontal="left" vertical="center" shrinkToFit="1"/>
    </xf>
    <xf numFmtId="0" fontId="2" fillId="0" borderId="10" xfId="0" applyFont="1" applyBorder="1" applyAlignment="1">
      <alignment horizontal="right" vertical="center"/>
    </xf>
    <xf numFmtId="0" fontId="5" fillId="0" borderId="0" xfId="0" applyFont="1" applyAlignment="1">
      <alignment horizontal="center" vertical="center"/>
    </xf>
    <xf numFmtId="0" fontId="2" fillId="0" borderId="5" xfId="0" applyFont="1" applyBorder="1">
      <alignment vertical="center"/>
    </xf>
    <xf numFmtId="0" fontId="3" fillId="0" borderId="0" xfId="0" applyFont="1">
      <alignment vertical="center"/>
    </xf>
    <xf numFmtId="0" fontId="5" fillId="0" borderId="0" xfId="0" applyFont="1" applyAlignment="1">
      <alignment horizontal="left" vertical="center"/>
    </xf>
    <xf numFmtId="0" fontId="2" fillId="0" borderId="1" xfId="0" applyFont="1" applyBorder="1" applyAlignment="1">
      <alignment horizontal="center" vertical="center" wrapText="1" shrinkToFit="1"/>
    </xf>
    <xf numFmtId="9" fontId="2" fillId="0" borderId="1" xfId="0" applyNumberFormat="1" applyFont="1" applyBorder="1" applyAlignment="1">
      <alignment horizontal="center" vertical="center" shrinkToFit="1"/>
    </xf>
    <xf numFmtId="9" fontId="2" fillId="0" borderId="0" xfId="1" applyFont="1" applyAlignment="1">
      <alignment horizontal="center" vertical="center"/>
    </xf>
    <xf numFmtId="0" fontId="2" fillId="0" borderId="1" xfId="0" applyFont="1" applyBorder="1" applyAlignment="1">
      <alignment horizontal="center" vertical="center" shrinkToFit="1"/>
    </xf>
    <xf numFmtId="176" fontId="2" fillId="0" borderId="1" xfId="0" applyNumberFormat="1" applyFont="1" applyBorder="1" applyAlignment="1">
      <alignment horizontal="center" vertical="center" shrinkToFit="1"/>
    </xf>
    <xf numFmtId="0" fontId="3" fillId="0" borderId="0" xfId="0" applyFont="1" applyAlignment="1">
      <alignment vertical="top" shrinkToFit="1"/>
    </xf>
    <xf numFmtId="0" fontId="3" fillId="0" borderId="0" xfId="0" applyFont="1" applyAlignment="1">
      <alignment vertical="center" wrapText="1"/>
    </xf>
    <xf numFmtId="0" fontId="2" fillId="2" borderId="5" xfId="0" applyFont="1" applyFill="1" applyBorder="1">
      <alignment vertical="center"/>
    </xf>
    <xf numFmtId="0" fontId="3" fillId="2" borderId="10" xfId="0" applyFont="1" applyFill="1" applyBorder="1" applyAlignment="1">
      <alignment vertical="top" wrapText="1"/>
    </xf>
    <xf numFmtId="0" fontId="3" fillId="2" borderId="5" xfId="0" applyFont="1" applyFill="1" applyBorder="1" applyAlignment="1">
      <alignment vertical="top" wrapText="1"/>
    </xf>
    <xf numFmtId="0" fontId="3" fillId="2" borderId="11" xfId="0" applyFont="1" applyFill="1" applyBorder="1" applyAlignment="1">
      <alignment vertical="top" wrapText="1"/>
    </xf>
    <xf numFmtId="0" fontId="3" fillId="2" borderId="41" xfId="0" applyFont="1" applyFill="1" applyBorder="1" applyAlignment="1">
      <alignment vertical="top" wrapText="1"/>
    </xf>
    <xf numFmtId="0" fontId="3" fillId="2" borderId="42" xfId="0" applyFont="1" applyFill="1" applyBorder="1" applyAlignment="1">
      <alignment vertical="top" wrapText="1"/>
    </xf>
    <xf numFmtId="0" fontId="3" fillId="2" borderId="41" xfId="0" applyFont="1" applyFill="1" applyBorder="1" applyAlignment="1">
      <alignment vertical="top" shrinkToFit="1"/>
    </xf>
    <xf numFmtId="0" fontId="3" fillId="2" borderId="0" xfId="0" applyFont="1" applyFill="1" applyAlignment="1">
      <alignment vertical="top" wrapText="1"/>
    </xf>
    <xf numFmtId="0" fontId="2" fillId="2" borderId="0" xfId="0" applyFont="1" applyFill="1">
      <alignment vertical="center"/>
    </xf>
    <xf numFmtId="0" fontId="3" fillId="2" borderId="42" xfId="0" applyFont="1" applyFill="1" applyBorder="1" applyAlignment="1">
      <alignment vertical="top" shrinkToFit="1"/>
    </xf>
    <xf numFmtId="0" fontId="3" fillId="0" borderId="4" xfId="0" applyFont="1" applyBorder="1" applyAlignment="1">
      <alignment horizontal="center" vertical="center" shrinkToFit="1"/>
    </xf>
    <xf numFmtId="0" fontId="3" fillId="0" borderId="1" xfId="0" applyFont="1" applyBorder="1" applyAlignment="1">
      <alignment horizontal="center" vertical="center" shrinkToFit="1"/>
    </xf>
    <xf numFmtId="38" fontId="2" fillId="0" borderId="49" xfId="2" applyFont="1" applyBorder="1" applyAlignment="1">
      <alignment vertical="center" shrinkToFit="1"/>
    </xf>
    <xf numFmtId="38" fontId="2" fillId="0" borderId="0" xfId="2" applyFont="1" applyAlignment="1">
      <alignment vertical="center" shrinkToFit="1"/>
    </xf>
    <xf numFmtId="38" fontId="2" fillId="0" borderId="5" xfId="2" applyFont="1" applyBorder="1" applyAlignment="1">
      <alignment vertical="center" shrinkToFit="1"/>
    </xf>
    <xf numFmtId="38" fontId="2" fillId="0" borderId="53" xfId="2" applyFont="1" applyBorder="1" applyAlignment="1">
      <alignment vertical="center" shrinkToFit="1"/>
    </xf>
    <xf numFmtId="38" fontId="2" fillId="0" borderId="29" xfId="2" applyFont="1" applyBorder="1" applyAlignment="1">
      <alignment vertical="center" shrinkToFit="1"/>
    </xf>
    <xf numFmtId="38" fontId="2" fillId="0" borderId="22" xfId="2" applyFont="1" applyBorder="1" applyAlignment="1">
      <alignment vertical="center" shrinkToFit="1"/>
    </xf>
    <xf numFmtId="38" fontId="2" fillId="0" borderId="20" xfId="2" applyFont="1" applyBorder="1" applyAlignment="1">
      <alignment vertical="center" shrinkToFit="1"/>
    </xf>
    <xf numFmtId="38" fontId="2" fillId="0" borderId="19" xfId="2" applyFont="1" applyBorder="1" applyAlignment="1">
      <alignment vertical="center" shrinkToFit="1"/>
    </xf>
    <xf numFmtId="38" fontId="2" fillId="0" borderId="56" xfId="2" applyFont="1" applyBorder="1" applyAlignment="1">
      <alignment vertical="center" shrinkToFit="1"/>
    </xf>
    <xf numFmtId="38" fontId="2" fillId="0" borderId="54" xfId="2" applyFont="1" applyBorder="1" applyAlignment="1">
      <alignment vertical="center" shrinkToFit="1"/>
    </xf>
    <xf numFmtId="38" fontId="2" fillId="0" borderId="31" xfId="2" applyFont="1" applyBorder="1" applyAlignment="1">
      <alignment vertical="center" shrinkToFit="1"/>
    </xf>
    <xf numFmtId="38" fontId="2" fillId="0" borderId="18" xfId="2" applyFont="1" applyBorder="1" applyAlignment="1">
      <alignment vertical="center" shrinkToFit="1"/>
    </xf>
    <xf numFmtId="38" fontId="2" fillId="0" borderId="10" xfId="2" applyFont="1" applyBorder="1" applyAlignment="1">
      <alignment vertical="center" shrinkToFit="1"/>
    </xf>
    <xf numFmtId="38" fontId="2" fillId="0" borderId="55" xfId="2" applyFont="1" applyBorder="1" applyAlignment="1">
      <alignment vertical="center" shrinkToFit="1"/>
    </xf>
    <xf numFmtId="38" fontId="2" fillId="0" borderId="50" xfId="2" applyFont="1" applyBorder="1" applyAlignment="1">
      <alignment vertical="center" shrinkToFit="1"/>
    </xf>
    <xf numFmtId="38" fontId="2" fillId="0" borderId="27" xfId="2" applyFont="1" applyBorder="1" applyAlignment="1">
      <alignment vertical="center" shrinkToFit="1"/>
    </xf>
    <xf numFmtId="38" fontId="2" fillId="0" borderId="25" xfId="2" applyFont="1" applyBorder="1" applyAlignment="1">
      <alignment vertical="center" shrinkToFit="1"/>
    </xf>
    <xf numFmtId="38" fontId="2" fillId="0" borderId="24" xfId="2" applyFont="1" applyBorder="1" applyAlignment="1">
      <alignment vertical="center" shrinkToFit="1"/>
    </xf>
    <xf numFmtId="38" fontId="2" fillId="0" borderId="57" xfId="2" applyFont="1" applyBorder="1" applyAlignment="1">
      <alignment vertical="center" shrinkToFit="1"/>
    </xf>
    <xf numFmtId="38" fontId="2" fillId="0" borderId="32" xfId="2" applyFont="1" applyBorder="1" applyAlignment="1">
      <alignment vertical="center" shrinkToFit="1"/>
    </xf>
    <xf numFmtId="0" fontId="2" fillId="0" borderId="7" xfId="0" applyFont="1" applyBorder="1" applyAlignment="1">
      <alignment horizontal="left" vertical="center" wrapText="1"/>
    </xf>
    <xf numFmtId="0" fontId="2" fillId="0" borderId="8" xfId="0" applyFont="1" applyBorder="1" applyAlignment="1">
      <alignment horizontal="left" vertical="center" wrapText="1"/>
    </xf>
    <xf numFmtId="0" fontId="2" fillId="0" borderId="9" xfId="0" applyFont="1" applyBorder="1" applyAlignment="1">
      <alignment horizontal="left" vertical="center" wrapText="1"/>
    </xf>
    <xf numFmtId="0" fontId="2" fillId="0" borderId="11" xfId="0" applyFont="1" applyBorder="1" applyAlignment="1">
      <alignment horizontal="left" vertical="center" wrapText="1"/>
    </xf>
    <xf numFmtId="0" fontId="2" fillId="0" borderId="6" xfId="0" applyFont="1" applyBorder="1" applyAlignment="1">
      <alignment horizontal="left" vertical="center" wrapText="1"/>
    </xf>
    <xf numFmtId="0" fontId="2" fillId="0" borderId="12" xfId="0" applyFont="1" applyBorder="1" applyAlignment="1">
      <alignment horizontal="left" vertical="center" wrapText="1"/>
    </xf>
    <xf numFmtId="0" fontId="2" fillId="0" borderId="19" xfId="0" applyFont="1" applyBorder="1" applyAlignment="1">
      <alignment vertical="center" shrinkToFit="1"/>
    </xf>
    <xf numFmtId="0" fontId="2" fillId="0" borderId="20" xfId="0" applyFont="1" applyBorder="1" applyAlignment="1">
      <alignment vertical="center" shrinkToFit="1"/>
    </xf>
    <xf numFmtId="0" fontId="2" fillId="0" borderId="18" xfId="0" applyFont="1" applyBorder="1" applyAlignment="1">
      <alignment vertical="center" shrinkToFit="1"/>
    </xf>
    <xf numFmtId="0" fontId="2" fillId="0" borderId="36" xfId="0" applyFont="1" applyBorder="1" applyAlignment="1">
      <alignment vertical="center" shrinkToFit="1"/>
    </xf>
    <xf numFmtId="0" fontId="2" fillId="0" borderId="37" xfId="0" applyFont="1" applyBorder="1" applyAlignment="1">
      <alignment vertical="center" shrinkToFit="1"/>
    </xf>
    <xf numFmtId="0" fontId="2" fillId="0" borderId="38" xfId="0" applyFont="1" applyBorder="1" applyAlignment="1">
      <alignment vertical="center" shrinkToFit="1"/>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0" xfId="0" applyFont="1" applyAlignment="1">
      <alignment vertical="center" wrapText="1"/>
    </xf>
    <xf numFmtId="0" fontId="2" fillId="0" borderId="33" xfId="0" applyFont="1" applyBorder="1" applyAlignment="1">
      <alignment vertical="center" shrinkToFit="1"/>
    </xf>
    <xf numFmtId="0" fontId="2" fillId="0" borderId="35" xfId="0" applyFont="1" applyBorder="1" applyAlignment="1">
      <alignment vertical="center" shrinkToFit="1"/>
    </xf>
    <xf numFmtId="0" fontId="2" fillId="0" borderId="34" xfId="0" applyFont="1" applyBorder="1" applyAlignment="1">
      <alignment vertical="center" shrinkToFit="1"/>
    </xf>
    <xf numFmtId="0" fontId="2" fillId="0" borderId="0" xfId="0" applyFont="1" applyAlignment="1">
      <alignment horizontal="right" vertical="center"/>
    </xf>
    <xf numFmtId="0" fontId="5" fillId="0" borderId="2" xfId="0" applyFont="1" applyBorder="1" applyAlignment="1">
      <alignment horizontal="center" vertical="center" shrinkToFit="1"/>
    </xf>
    <xf numFmtId="0" fontId="5" fillId="0" borderId="3" xfId="0" applyFont="1" applyBorder="1" applyAlignment="1">
      <alignment horizontal="center" vertical="center" shrinkToFit="1"/>
    </xf>
    <xf numFmtId="0" fontId="5" fillId="0" borderId="4" xfId="0" applyFont="1" applyBorder="1" applyAlignment="1">
      <alignment horizontal="center" vertical="center" shrinkToFit="1"/>
    </xf>
    <xf numFmtId="0" fontId="2" fillId="0" borderId="2" xfId="0" applyFont="1" applyBorder="1" applyAlignment="1">
      <alignment horizontal="center" vertical="center" shrinkToFit="1"/>
    </xf>
    <xf numFmtId="0" fontId="2" fillId="0" borderId="3" xfId="0" applyFont="1" applyBorder="1" applyAlignment="1">
      <alignment horizontal="center" vertical="center" shrinkToFit="1"/>
    </xf>
    <xf numFmtId="0" fontId="2" fillId="0" borderId="4" xfId="0" applyFont="1" applyBorder="1" applyAlignment="1">
      <alignment horizontal="center" vertical="center" shrinkToFit="1"/>
    </xf>
    <xf numFmtId="0" fontId="6" fillId="0" borderId="0" xfId="0" applyFont="1" applyAlignment="1">
      <alignment horizontal="center" vertical="center"/>
    </xf>
    <xf numFmtId="0" fontId="2" fillId="0" borderId="7" xfId="0" applyFont="1" applyBorder="1" applyAlignment="1">
      <alignment horizontal="left" vertical="top" wrapText="1" shrinkToFit="1"/>
    </xf>
    <xf numFmtId="0" fontId="2" fillId="0" borderId="8" xfId="0" applyFont="1" applyBorder="1" applyAlignment="1">
      <alignment horizontal="left" vertical="top" wrapText="1" shrinkToFit="1"/>
    </xf>
    <xf numFmtId="0" fontId="2" fillId="0" borderId="9" xfId="0" applyFont="1" applyBorder="1" applyAlignment="1">
      <alignment horizontal="left" vertical="top" wrapText="1" shrinkToFit="1"/>
    </xf>
    <xf numFmtId="0" fontId="2" fillId="0" borderId="5" xfId="0" applyFont="1" applyBorder="1" applyAlignment="1">
      <alignment horizontal="left" vertical="top" wrapText="1" shrinkToFit="1"/>
    </xf>
    <xf numFmtId="0" fontId="2" fillId="0" borderId="0" xfId="0" applyFont="1" applyAlignment="1">
      <alignment horizontal="left" vertical="top" wrapText="1" shrinkToFit="1"/>
    </xf>
    <xf numFmtId="0" fontId="2" fillId="0" borderId="10" xfId="0" applyFont="1" applyBorder="1" applyAlignment="1">
      <alignment horizontal="left" vertical="top" wrapText="1" shrinkToFit="1"/>
    </xf>
    <xf numFmtId="0" fontId="2" fillId="0" borderId="11" xfId="0" applyFont="1" applyBorder="1" applyAlignment="1">
      <alignment horizontal="left" vertical="top" wrapText="1" shrinkToFit="1"/>
    </xf>
    <xf numFmtId="0" fontId="2" fillId="0" borderId="6" xfId="0" applyFont="1" applyBorder="1" applyAlignment="1">
      <alignment horizontal="left" vertical="top" wrapText="1" shrinkToFit="1"/>
    </xf>
    <xf numFmtId="0" fontId="2" fillId="0" borderId="12" xfId="0" applyFont="1" applyBorder="1" applyAlignment="1">
      <alignment horizontal="left" vertical="top" wrapText="1" shrinkToFit="1"/>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2" fillId="0" borderId="2" xfId="0" applyFont="1" applyBorder="1" applyAlignment="1">
      <alignment vertical="center" wrapText="1" shrinkToFit="1"/>
    </xf>
    <xf numFmtId="0" fontId="2" fillId="0" borderId="3" xfId="0" applyFont="1" applyBorder="1" applyAlignment="1">
      <alignment vertical="center" wrapText="1" shrinkToFit="1"/>
    </xf>
    <xf numFmtId="0" fontId="2" fillId="0" borderId="4" xfId="0" applyFont="1" applyBorder="1" applyAlignment="1">
      <alignment vertical="center" wrapText="1" shrinkToFit="1"/>
    </xf>
    <xf numFmtId="0" fontId="2" fillId="0" borderId="36" xfId="0" applyFont="1" applyBorder="1" applyAlignment="1">
      <alignment horizontal="center" vertical="center" shrinkToFit="1"/>
    </xf>
    <xf numFmtId="0" fontId="2" fillId="0" borderId="37" xfId="0" applyFont="1" applyBorder="1" applyAlignment="1">
      <alignment horizontal="center" vertical="center" shrinkToFit="1"/>
    </xf>
    <xf numFmtId="0" fontId="2" fillId="0" borderId="38" xfId="0" applyFont="1" applyBorder="1" applyAlignment="1">
      <alignment horizontal="center" vertical="center" shrinkToFit="1"/>
    </xf>
    <xf numFmtId="0" fontId="2" fillId="0" borderId="19" xfId="0" applyFont="1" applyBorder="1" applyAlignment="1">
      <alignment horizontal="center" vertical="center" shrinkToFit="1"/>
    </xf>
    <xf numFmtId="0" fontId="2" fillId="0" borderId="20" xfId="0" applyFont="1" applyBorder="1" applyAlignment="1">
      <alignment horizontal="center" vertical="center" shrinkToFit="1"/>
    </xf>
    <xf numFmtId="0" fontId="2" fillId="0" borderId="18" xfId="0" applyFont="1" applyBorder="1" applyAlignment="1">
      <alignment horizontal="center" vertical="center" shrinkToFit="1"/>
    </xf>
    <xf numFmtId="0" fontId="2" fillId="0" borderId="37" xfId="0" applyFont="1" applyBorder="1" applyAlignment="1">
      <alignment horizontal="left" vertical="center" wrapText="1" shrinkToFit="1"/>
    </xf>
    <xf numFmtId="0" fontId="2" fillId="0" borderId="37" xfId="0" applyFont="1" applyBorder="1" applyAlignment="1">
      <alignment horizontal="left" vertical="center" shrinkToFit="1"/>
    </xf>
    <xf numFmtId="0" fontId="2" fillId="0" borderId="38" xfId="0" applyFont="1" applyBorder="1" applyAlignment="1">
      <alignment horizontal="left" vertical="center" shrinkToFit="1"/>
    </xf>
    <xf numFmtId="0" fontId="2" fillId="0" borderId="35" xfId="0" applyFont="1" applyBorder="1" applyAlignment="1">
      <alignment horizontal="left" vertical="center" wrapText="1" shrinkToFit="1"/>
    </xf>
    <xf numFmtId="0" fontId="2" fillId="0" borderId="35" xfId="0" applyFont="1" applyBorder="1" applyAlignment="1">
      <alignment horizontal="left" vertical="center" shrinkToFit="1"/>
    </xf>
    <xf numFmtId="0" fontId="2" fillId="0" borderId="34" xfId="0" applyFont="1" applyBorder="1" applyAlignment="1">
      <alignment horizontal="left" vertical="center" shrinkToFit="1"/>
    </xf>
    <xf numFmtId="0" fontId="2" fillId="0" borderId="19" xfId="0" applyFont="1" applyBorder="1" applyAlignment="1">
      <alignment vertical="center" wrapText="1" shrinkToFit="1"/>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3" fillId="0" borderId="44" xfId="0" applyFont="1" applyBorder="1" applyAlignment="1">
      <alignment vertical="center" wrapText="1"/>
    </xf>
    <xf numFmtId="0" fontId="3" fillId="0" borderId="45" xfId="0" applyFont="1" applyBorder="1" applyAlignment="1">
      <alignment vertical="center" wrapText="1"/>
    </xf>
    <xf numFmtId="0" fontId="3" fillId="0" borderId="30" xfId="0" applyFont="1" applyBorder="1" applyAlignment="1">
      <alignment vertical="center" wrapText="1"/>
    </xf>
    <xf numFmtId="0" fontId="3" fillId="0" borderId="35" xfId="0" applyFont="1" applyBorder="1" applyAlignment="1">
      <alignment horizontal="left" vertical="center" wrapText="1" shrinkToFit="1"/>
    </xf>
    <xf numFmtId="0" fontId="3" fillId="0" borderId="35" xfId="0" applyFont="1" applyBorder="1" applyAlignment="1">
      <alignment horizontal="left" vertical="center" shrinkToFit="1"/>
    </xf>
    <xf numFmtId="0" fontId="3" fillId="0" borderId="34" xfId="0" applyFont="1" applyBorder="1" applyAlignment="1">
      <alignment horizontal="left" vertical="center" shrinkToFit="1"/>
    </xf>
    <xf numFmtId="0" fontId="5" fillId="0" borderId="35" xfId="0" applyFont="1" applyBorder="1" applyAlignment="1">
      <alignment horizontal="left" vertical="center" wrapText="1" shrinkToFit="1"/>
    </xf>
    <xf numFmtId="0" fontId="5" fillId="0" borderId="35" xfId="0" applyFont="1" applyBorder="1" applyAlignment="1">
      <alignment horizontal="left" vertical="center" shrinkToFit="1"/>
    </xf>
    <xf numFmtId="0" fontId="5" fillId="0" borderId="34" xfId="0" applyFont="1" applyBorder="1" applyAlignment="1">
      <alignment horizontal="left" vertical="center" shrinkToFit="1"/>
    </xf>
    <xf numFmtId="0" fontId="7" fillId="0" borderId="2" xfId="0" applyFont="1" applyBorder="1" applyAlignment="1">
      <alignment horizontal="center" vertical="center" shrinkToFit="1"/>
    </xf>
    <xf numFmtId="0" fontId="7" fillId="0" borderId="4" xfId="0" applyFont="1" applyBorder="1" applyAlignment="1">
      <alignment horizontal="center" vertical="center" shrinkToFit="1"/>
    </xf>
    <xf numFmtId="0" fontId="2" fillId="0" borderId="8" xfId="0" applyFont="1" applyBorder="1" applyAlignment="1">
      <alignment horizontal="left" vertical="center" wrapText="1" shrinkToFit="1"/>
    </xf>
    <xf numFmtId="0" fontId="2" fillId="0" borderId="8" xfId="0" applyFont="1" applyBorder="1" applyAlignment="1">
      <alignment horizontal="left" vertical="center" shrinkToFit="1"/>
    </xf>
    <xf numFmtId="0" fontId="2" fillId="0" borderId="9" xfId="0" applyFont="1" applyBorder="1" applyAlignment="1">
      <alignment horizontal="left" vertical="center" shrinkToFit="1"/>
    </xf>
    <xf numFmtId="0" fontId="2" fillId="0" borderId="33" xfId="0" applyFont="1" applyBorder="1" applyAlignment="1">
      <alignment horizontal="center" vertical="center" shrinkToFit="1"/>
    </xf>
    <xf numFmtId="0" fontId="2" fillId="0" borderId="35" xfId="0" applyFont="1" applyBorder="1" applyAlignment="1">
      <alignment horizontal="center" vertical="center" shrinkToFit="1"/>
    </xf>
    <xf numFmtId="0" fontId="2" fillId="0" borderId="34" xfId="0" applyFont="1" applyBorder="1" applyAlignment="1">
      <alignment horizontal="center" vertical="center" shrinkToFit="1"/>
    </xf>
    <xf numFmtId="0" fontId="7" fillId="0" borderId="35" xfId="0" applyFont="1" applyBorder="1" applyAlignment="1">
      <alignment horizontal="left" vertical="center" wrapText="1" shrinkToFit="1"/>
    </xf>
    <xf numFmtId="0" fontId="7" fillId="0" borderId="35" xfId="0" applyFont="1" applyBorder="1" applyAlignment="1">
      <alignment horizontal="left" vertical="center" shrinkToFit="1"/>
    </xf>
    <xf numFmtId="0" fontId="7" fillId="0" borderId="34" xfId="0" applyFont="1" applyBorder="1" applyAlignment="1">
      <alignment horizontal="left" vertical="center" shrinkToFit="1"/>
    </xf>
    <xf numFmtId="0" fontId="7" fillId="0" borderId="19" xfId="0" applyFont="1" applyBorder="1" applyAlignment="1">
      <alignment vertical="center" wrapText="1" shrinkToFit="1"/>
    </xf>
    <xf numFmtId="0" fontId="7" fillId="0" borderId="20" xfId="0" applyFont="1" applyBorder="1" applyAlignment="1">
      <alignment vertical="center" shrinkToFit="1"/>
    </xf>
    <xf numFmtId="0" fontId="7" fillId="0" borderId="18" xfId="0" applyFont="1" applyBorder="1" applyAlignment="1">
      <alignment vertical="center" shrinkToFit="1"/>
    </xf>
    <xf numFmtId="0" fontId="2" fillId="0" borderId="19" xfId="0" applyFont="1" applyBorder="1" applyAlignment="1">
      <alignment horizontal="left" vertical="center" shrinkToFit="1"/>
    </xf>
    <xf numFmtId="0" fontId="2" fillId="0" borderId="20" xfId="0" applyFont="1" applyBorder="1" applyAlignment="1">
      <alignment horizontal="left" vertical="center" shrinkToFit="1"/>
    </xf>
    <xf numFmtId="0" fontId="2" fillId="0" borderId="18" xfId="0" applyFont="1" applyBorder="1" applyAlignment="1">
      <alignment horizontal="left" vertical="center" shrinkToFit="1"/>
    </xf>
    <xf numFmtId="0" fontId="5" fillId="0" borderId="16" xfId="0" applyFont="1" applyBorder="1" applyAlignment="1">
      <alignment horizontal="center" vertical="center"/>
    </xf>
    <xf numFmtId="0" fontId="5" fillId="0" borderId="21" xfId="0" applyFont="1" applyBorder="1" applyAlignment="1">
      <alignment horizontal="center" vertical="center"/>
    </xf>
    <xf numFmtId="0" fontId="2" fillId="0" borderId="14" xfId="0" applyFont="1" applyBorder="1" applyAlignment="1">
      <alignment horizontal="center" vertical="center"/>
    </xf>
    <xf numFmtId="0" fontId="2" fillId="0" borderId="1" xfId="0" applyFont="1" applyBorder="1" applyAlignment="1">
      <alignment horizontal="center" vertical="center"/>
    </xf>
    <xf numFmtId="0" fontId="2" fillId="0" borderId="15" xfId="0" applyFont="1" applyBorder="1" applyAlignment="1">
      <alignment horizontal="center" vertical="center"/>
    </xf>
    <xf numFmtId="0" fontId="2" fillId="0" borderId="49" xfId="0" applyFont="1" applyBorder="1" applyAlignment="1">
      <alignment horizontal="center" vertical="center"/>
    </xf>
    <xf numFmtId="0" fontId="2" fillId="0" borderId="13" xfId="0" applyFont="1" applyBorder="1" applyAlignment="1">
      <alignment horizontal="center" vertical="center"/>
    </xf>
    <xf numFmtId="0" fontId="7" fillId="0" borderId="8" xfId="0" applyFont="1" applyBorder="1" applyAlignment="1">
      <alignment horizontal="center" vertical="center" wrapText="1"/>
    </xf>
    <xf numFmtId="0" fontId="7" fillId="0" borderId="0" xfId="0" applyFont="1" applyAlignment="1">
      <alignment horizontal="center" vertical="center" wrapText="1"/>
    </xf>
    <xf numFmtId="0" fontId="7" fillId="0" borderId="6" xfId="0" applyFont="1" applyBorder="1" applyAlignment="1">
      <alignment horizontal="center" vertical="center"/>
    </xf>
    <xf numFmtId="0" fontId="7" fillId="0" borderId="7"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1" xfId="0" applyFont="1" applyBorder="1" applyAlignment="1">
      <alignment horizontal="center" vertical="center"/>
    </xf>
    <xf numFmtId="0" fontId="8" fillId="0" borderId="15" xfId="0" applyFont="1" applyBorder="1" applyAlignment="1">
      <alignment horizontal="center" vertical="center" wrapText="1"/>
    </xf>
    <xf numFmtId="0" fontId="8" fillId="0" borderId="49" xfId="0" applyFont="1" applyBorder="1" applyAlignment="1">
      <alignment horizontal="center" vertical="center" wrapText="1"/>
    </xf>
    <xf numFmtId="0" fontId="8" fillId="0" borderId="13" xfId="0" applyFont="1" applyBorder="1" applyAlignment="1">
      <alignment horizontal="center" vertical="center"/>
    </xf>
    <xf numFmtId="0" fontId="7" fillId="0" borderId="9" xfId="0" applyFont="1" applyBorder="1" applyAlignment="1">
      <alignment horizontal="center" vertical="center"/>
    </xf>
    <xf numFmtId="0" fontId="7" fillId="0" borderId="10" xfId="0" applyFont="1" applyBorder="1" applyAlignment="1">
      <alignment horizontal="center" vertical="center"/>
    </xf>
    <xf numFmtId="0" fontId="7" fillId="0" borderId="12" xfId="0" applyFont="1" applyBorder="1" applyAlignment="1">
      <alignment horizontal="center" vertical="center"/>
    </xf>
    <xf numFmtId="0" fontId="7" fillId="0" borderId="15" xfId="0" applyFont="1" applyBorder="1" applyAlignment="1">
      <alignment horizontal="center" vertical="center" wrapText="1"/>
    </xf>
    <xf numFmtId="0" fontId="7" fillId="0" borderId="49" xfId="0" applyFont="1" applyBorder="1" applyAlignment="1">
      <alignment horizontal="center" vertical="center" wrapText="1"/>
    </xf>
    <xf numFmtId="0" fontId="7" fillId="0" borderId="13" xfId="0" applyFont="1" applyBorder="1" applyAlignment="1">
      <alignment horizontal="center" vertical="center"/>
    </xf>
    <xf numFmtId="0" fontId="2" fillId="0" borderId="7" xfId="0" applyFont="1" applyBorder="1" applyAlignment="1">
      <alignment vertical="top" wrapText="1"/>
    </xf>
    <xf numFmtId="0" fontId="2" fillId="0" borderId="8" xfId="0" applyFont="1" applyBorder="1" applyAlignment="1">
      <alignment vertical="top" wrapText="1"/>
    </xf>
    <xf numFmtId="0" fontId="2" fillId="0" borderId="9"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2" fillId="0" borderId="10" xfId="0" applyFont="1" applyBorder="1" applyAlignment="1">
      <alignment vertical="top" wrapText="1"/>
    </xf>
    <xf numFmtId="0" fontId="2" fillId="0" borderId="11" xfId="0" applyFont="1" applyBorder="1" applyAlignment="1">
      <alignment vertical="top" wrapText="1"/>
    </xf>
    <xf numFmtId="0" fontId="2" fillId="0" borderId="6" xfId="0" applyFont="1" applyBorder="1" applyAlignment="1">
      <alignment vertical="top" wrapText="1"/>
    </xf>
    <xf numFmtId="0" fontId="2" fillId="0" borderId="12" xfId="0" applyFont="1" applyBorder="1" applyAlignment="1">
      <alignment vertical="top" wrapText="1"/>
    </xf>
    <xf numFmtId="0" fontId="2" fillId="0" borderId="9" xfId="0" applyFont="1" applyBorder="1" applyAlignment="1">
      <alignment vertical="top"/>
    </xf>
    <xf numFmtId="0" fontId="2" fillId="0" borderId="5" xfId="0" applyFont="1" applyBorder="1" applyAlignment="1">
      <alignment vertical="top"/>
    </xf>
    <xf numFmtId="0" fontId="2" fillId="0" borderId="0" xfId="0" applyFont="1" applyAlignment="1">
      <alignment vertical="top"/>
    </xf>
    <xf numFmtId="0" fontId="2" fillId="0" borderId="10" xfId="0" applyFont="1" applyBorder="1" applyAlignment="1">
      <alignment vertical="top"/>
    </xf>
    <xf numFmtId="0" fontId="2" fillId="0" borderId="11" xfId="0" applyFont="1" applyBorder="1" applyAlignment="1">
      <alignment vertical="top"/>
    </xf>
    <xf numFmtId="0" fontId="2" fillId="0" borderId="6" xfId="0" applyFont="1" applyBorder="1" applyAlignment="1">
      <alignment vertical="top"/>
    </xf>
    <xf numFmtId="0" fontId="2" fillId="0" borderId="12" xfId="0" applyFont="1" applyBorder="1" applyAlignment="1">
      <alignment vertical="top"/>
    </xf>
    <xf numFmtId="9" fontId="2" fillId="0" borderId="1" xfId="0" applyNumberFormat="1" applyFont="1" applyBorder="1" applyAlignment="1">
      <alignment horizontal="center" vertical="center" wrapText="1" shrinkToFit="1"/>
    </xf>
    <xf numFmtId="9" fontId="2" fillId="0" borderId="1" xfId="0" applyNumberFormat="1" applyFont="1" applyBorder="1" applyAlignment="1">
      <alignment horizontal="center" vertical="center" shrinkToFit="1"/>
    </xf>
    <xf numFmtId="0" fontId="2" fillId="0" borderId="7" xfId="0" applyFont="1" applyBorder="1" applyAlignment="1">
      <alignment horizontal="left" vertical="top" wrapText="1"/>
    </xf>
    <xf numFmtId="0" fontId="2" fillId="0" borderId="8" xfId="0" applyFont="1" applyBorder="1" applyAlignment="1">
      <alignment horizontal="left" vertical="top" wrapText="1"/>
    </xf>
    <xf numFmtId="0" fontId="2" fillId="0" borderId="9" xfId="0" applyFont="1" applyBorder="1" applyAlignment="1">
      <alignment horizontal="left" vertical="top" wrapText="1"/>
    </xf>
    <xf numFmtId="0" fontId="2" fillId="0" borderId="5" xfId="0" applyFont="1" applyBorder="1" applyAlignment="1">
      <alignment horizontal="left" vertical="top" wrapText="1"/>
    </xf>
    <xf numFmtId="0" fontId="2" fillId="0" borderId="0" xfId="0" applyFont="1" applyAlignment="1">
      <alignment horizontal="left" vertical="top" wrapText="1"/>
    </xf>
    <xf numFmtId="0" fontId="2" fillId="0" borderId="10" xfId="0" applyFont="1" applyBorder="1" applyAlignment="1">
      <alignment horizontal="left" vertical="top" wrapText="1"/>
    </xf>
    <xf numFmtId="0" fontId="2" fillId="0" borderId="11" xfId="0" applyFont="1" applyBorder="1" applyAlignment="1">
      <alignment horizontal="left" vertical="top" wrapText="1"/>
    </xf>
    <xf numFmtId="0" fontId="2" fillId="0" borderId="6" xfId="0" applyFont="1" applyBorder="1" applyAlignment="1">
      <alignment horizontal="left" vertical="top" wrapText="1"/>
    </xf>
    <xf numFmtId="0" fontId="2" fillId="0" borderId="12" xfId="0" applyFont="1" applyBorder="1" applyAlignment="1">
      <alignment horizontal="left" vertical="top" wrapText="1"/>
    </xf>
    <xf numFmtId="0" fontId="2" fillId="0" borderId="7" xfId="0" applyFont="1" applyBorder="1" applyAlignment="1">
      <alignment vertical="top" wrapText="1" shrinkToFit="1"/>
    </xf>
    <xf numFmtId="0" fontId="2" fillId="0" borderId="8" xfId="0" applyFont="1" applyBorder="1" applyAlignment="1">
      <alignment vertical="top" wrapText="1" shrinkToFit="1"/>
    </xf>
    <xf numFmtId="0" fontId="2" fillId="0" borderId="9" xfId="0" applyFont="1" applyBorder="1" applyAlignment="1">
      <alignment vertical="top" shrinkToFit="1"/>
    </xf>
    <xf numFmtId="0" fontId="2" fillId="0" borderId="5" xfId="0" applyFont="1" applyBorder="1" applyAlignment="1">
      <alignment vertical="top" shrinkToFit="1"/>
    </xf>
    <xf numFmtId="0" fontId="2" fillId="0" borderId="0" xfId="0" applyFont="1" applyAlignment="1">
      <alignment vertical="top" shrinkToFit="1"/>
    </xf>
    <xf numFmtId="0" fontId="2" fillId="0" borderId="10" xfId="0" applyFont="1" applyBorder="1" applyAlignment="1">
      <alignment vertical="top" shrinkToFit="1"/>
    </xf>
    <xf numFmtId="0" fontId="2" fillId="0" borderId="11" xfId="0" applyFont="1" applyBorder="1" applyAlignment="1">
      <alignment vertical="top" shrinkToFit="1"/>
    </xf>
    <xf numFmtId="0" fontId="2" fillId="0" borderId="6" xfId="0" applyFont="1" applyBorder="1" applyAlignment="1">
      <alignment vertical="top" shrinkToFit="1"/>
    </xf>
    <xf numFmtId="0" fontId="2" fillId="0" borderId="12" xfId="0" applyFont="1" applyBorder="1" applyAlignment="1">
      <alignment vertical="top" shrinkToFit="1"/>
    </xf>
    <xf numFmtId="0" fontId="2" fillId="0" borderId="0" xfId="0" applyFont="1">
      <alignment vertical="center"/>
    </xf>
    <xf numFmtId="0" fontId="2" fillId="0" borderId="2" xfId="0" applyFont="1" applyBorder="1" applyAlignment="1">
      <alignment vertical="center" shrinkToFit="1"/>
    </xf>
    <xf numFmtId="0" fontId="2" fillId="0" borderId="3" xfId="0" applyFont="1" applyBorder="1" applyAlignment="1">
      <alignment vertical="center" shrinkToFit="1"/>
    </xf>
    <xf numFmtId="0" fontId="2" fillId="0" borderId="4" xfId="0" applyFont="1" applyBorder="1" applyAlignment="1">
      <alignment vertical="center" shrinkToFit="1"/>
    </xf>
    <xf numFmtId="0" fontId="2" fillId="0" borderId="5" xfId="0" applyFont="1" applyBorder="1" applyAlignment="1">
      <alignment vertical="top" wrapText="1" shrinkToFit="1"/>
    </xf>
    <xf numFmtId="0" fontId="2" fillId="0" borderId="0" xfId="0" applyFont="1" applyAlignment="1">
      <alignment vertical="top" wrapText="1" shrinkToFit="1"/>
    </xf>
    <xf numFmtId="0" fontId="2" fillId="2" borderId="5" xfId="0" applyFont="1" applyFill="1" applyBorder="1" applyAlignment="1">
      <alignment horizontal="center" vertical="center" shrinkToFit="1"/>
    </xf>
    <xf numFmtId="0" fontId="2" fillId="2" borderId="0" xfId="0" applyFont="1" applyFill="1" applyAlignment="1">
      <alignment horizontal="center" vertical="center" shrinkToFit="1"/>
    </xf>
    <xf numFmtId="0" fontId="2" fillId="2" borderId="10" xfId="0" applyFont="1" applyFill="1" applyBorder="1" applyAlignment="1">
      <alignment horizontal="center" vertical="center" shrinkToFit="1"/>
    </xf>
    <xf numFmtId="0" fontId="2" fillId="0" borderId="2" xfId="0" applyFont="1" applyBorder="1" applyAlignment="1">
      <alignment horizontal="left" vertical="center"/>
    </xf>
    <xf numFmtId="0" fontId="5" fillId="0" borderId="3" xfId="0" applyFont="1" applyBorder="1">
      <alignment vertical="center"/>
    </xf>
    <xf numFmtId="0" fontId="5" fillId="0" borderId="4" xfId="0" applyFont="1" applyBorder="1">
      <alignment vertical="center"/>
    </xf>
    <xf numFmtId="0" fontId="5" fillId="0" borderId="3" xfId="0" applyFont="1" applyBorder="1" applyAlignment="1">
      <alignment horizontal="left" vertical="center"/>
    </xf>
    <xf numFmtId="0" fontId="5" fillId="0" borderId="4" xfId="0" applyFont="1" applyBorder="1" applyAlignment="1">
      <alignment horizontal="left" vertical="center"/>
    </xf>
    <xf numFmtId="0" fontId="2" fillId="0" borderId="0" xfId="0" applyFont="1" applyAlignment="1">
      <alignment horizontal="center" vertical="center"/>
    </xf>
    <xf numFmtId="0" fontId="2" fillId="0" borderId="11" xfId="0" applyFont="1" applyBorder="1" applyAlignment="1">
      <alignment vertical="center" wrapText="1"/>
    </xf>
    <xf numFmtId="0" fontId="2" fillId="0" borderId="6" xfId="0" applyFont="1" applyBorder="1" applyAlignment="1">
      <alignment vertical="center" wrapText="1"/>
    </xf>
    <xf numFmtId="0" fontId="2" fillId="0" borderId="12" xfId="0" applyFont="1" applyBorder="1" applyAlignment="1">
      <alignment vertical="center" wrapText="1"/>
    </xf>
    <xf numFmtId="0" fontId="2" fillId="0" borderId="6" xfId="0" applyFont="1" applyBorder="1" applyAlignment="1">
      <alignment vertical="top" wrapText="1" shrinkToFit="1"/>
    </xf>
    <xf numFmtId="0" fontId="2" fillId="0" borderId="12" xfId="0" applyFont="1" applyBorder="1" applyAlignment="1">
      <alignment vertical="top" wrapText="1" shrinkToFit="1"/>
    </xf>
    <xf numFmtId="0" fontId="2" fillId="0" borderId="17" xfId="0" applyFont="1" applyBorder="1" applyAlignment="1">
      <alignment vertical="center" wrapText="1"/>
    </xf>
    <xf numFmtId="0" fontId="2" fillId="0" borderId="18" xfId="0" applyFont="1" applyBorder="1" applyAlignment="1">
      <alignment vertical="center" wrapText="1"/>
    </xf>
    <xf numFmtId="0" fontId="2" fillId="0" borderId="20" xfId="0" applyFont="1" applyBorder="1" applyAlignment="1">
      <alignment vertical="top" wrapText="1" shrinkToFit="1"/>
    </xf>
    <xf numFmtId="0" fontId="2" fillId="0" borderId="18" xfId="0" applyFont="1" applyBorder="1" applyAlignment="1">
      <alignment vertical="top" wrapText="1" shrinkToFit="1"/>
    </xf>
    <xf numFmtId="0" fontId="2" fillId="0" borderId="58" xfId="0" applyFont="1" applyBorder="1" applyAlignment="1">
      <alignment vertical="center" wrapText="1"/>
    </xf>
    <xf numFmtId="0" fontId="2" fillId="0" borderId="38" xfId="0" applyFont="1" applyBorder="1" applyAlignment="1">
      <alignment vertical="center" wrapText="1"/>
    </xf>
    <xf numFmtId="0" fontId="2" fillId="0" borderId="37" xfId="0" applyFont="1" applyBorder="1" applyAlignment="1">
      <alignment vertical="top" wrapText="1" shrinkToFit="1"/>
    </xf>
    <xf numFmtId="0" fontId="2" fillId="0" borderId="38" xfId="0" applyFont="1" applyBorder="1" applyAlignment="1">
      <alignment vertical="top" wrapText="1" shrinkToFit="1"/>
    </xf>
    <xf numFmtId="0" fontId="2" fillId="0" borderId="40" xfId="0" applyFont="1" applyBorder="1" applyAlignment="1">
      <alignment vertical="center" wrapText="1"/>
    </xf>
    <xf numFmtId="0" fontId="2" fillId="0" borderId="41" xfId="0" applyFont="1" applyBorder="1" applyAlignment="1">
      <alignment vertical="center" wrapText="1"/>
    </xf>
    <xf numFmtId="0" fontId="2" fillId="0" borderId="42" xfId="0" applyFont="1" applyBorder="1" applyAlignment="1">
      <alignment vertical="center" wrapText="1"/>
    </xf>
    <xf numFmtId="0" fontId="2" fillId="0" borderId="41" xfId="0" applyFont="1" applyBorder="1" applyAlignment="1">
      <alignment vertical="top" wrapText="1" shrinkToFit="1"/>
    </xf>
    <xf numFmtId="0" fontId="2" fillId="0" borderId="42" xfId="0" applyFont="1" applyBorder="1" applyAlignment="1">
      <alignment vertical="top" wrapText="1" shrinkToFit="1"/>
    </xf>
    <xf numFmtId="0" fontId="2" fillId="0" borderId="19" xfId="0" applyFont="1" applyBorder="1" applyAlignment="1">
      <alignment vertical="top" wrapText="1" shrinkToFit="1"/>
    </xf>
    <xf numFmtId="0" fontId="2" fillId="0" borderId="36" xfId="0" applyFont="1" applyBorder="1" applyAlignment="1">
      <alignment vertical="top" wrapText="1" shrinkToFit="1"/>
    </xf>
    <xf numFmtId="0" fontId="2" fillId="0" borderId="17" xfId="0" applyFont="1" applyBorder="1">
      <alignment vertical="center"/>
    </xf>
    <xf numFmtId="0" fontId="5" fillId="0" borderId="18" xfId="0" applyFont="1" applyBorder="1">
      <alignment vertical="center"/>
    </xf>
    <xf numFmtId="0" fontId="2" fillId="0" borderId="3" xfId="0" applyFont="1" applyBorder="1" applyAlignment="1">
      <alignment horizontal="left" vertical="center"/>
    </xf>
    <xf numFmtId="0" fontId="2" fillId="0" borderId="4" xfId="0" applyFont="1" applyBorder="1" applyAlignment="1">
      <alignment horizontal="left" vertical="center"/>
    </xf>
    <xf numFmtId="0" fontId="11" fillId="0" borderId="0" xfId="0" applyFont="1">
      <alignment vertical="center"/>
    </xf>
    <xf numFmtId="0" fontId="11" fillId="0" borderId="0" xfId="0" applyFont="1" applyAlignment="1">
      <alignment horizontal="right" vertical="center"/>
    </xf>
    <xf numFmtId="0" fontId="12" fillId="0" borderId="0" xfId="0" applyFont="1">
      <alignment vertical="center"/>
    </xf>
    <xf numFmtId="0" fontId="11" fillId="0" borderId="1" xfId="0" applyFont="1" applyBorder="1" applyAlignment="1">
      <alignment horizontal="center" vertical="center"/>
    </xf>
    <xf numFmtId="0" fontId="11" fillId="0" borderId="2" xfId="0" applyFont="1" applyBorder="1" applyAlignment="1">
      <alignment horizontal="center" vertical="center"/>
    </xf>
    <xf numFmtId="0" fontId="11" fillId="0" borderId="3" xfId="0" applyFont="1" applyBorder="1" applyAlignment="1">
      <alignment horizontal="center" vertical="center"/>
    </xf>
    <xf numFmtId="0" fontId="11" fillId="0" borderId="4" xfId="0" applyFont="1" applyBorder="1" applyAlignment="1">
      <alignment horizontal="center" vertical="center"/>
    </xf>
    <xf numFmtId="0" fontId="11" fillId="0" borderId="0" xfId="0" applyFont="1" applyAlignment="1">
      <alignment horizontal="right" vertical="center"/>
    </xf>
    <xf numFmtId="0" fontId="11" fillId="0" borderId="0" xfId="0" applyFont="1" applyAlignment="1">
      <alignment vertical="center" shrinkToFit="1"/>
    </xf>
    <xf numFmtId="0" fontId="11" fillId="0" borderId="2" xfId="0" applyFont="1" applyBorder="1" applyAlignment="1">
      <alignment horizontal="center" vertical="center" shrinkToFit="1"/>
    </xf>
    <xf numFmtId="0" fontId="11" fillId="0" borderId="3" xfId="0" applyFont="1" applyBorder="1" applyAlignment="1">
      <alignment horizontal="center" vertical="center" shrinkToFit="1"/>
    </xf>
    <xf numFmtId="0" fontId="11" fillId="0" borderId="4" xfId="0" applyFont="1" applyBorder="1" applyAlignment="1">
      <alignment horizontal="center" vertical="center" shrinkToFit="1"/>
    </xf>
    <xf numFmtId="0" fontId="11" fillId="0" borderId="0" xfId="0" applyFont="1" applyAlignment="1">
      <alignment horizontal="left" vertical="center" shrinkToFit="1"/>
    </xf>
    <xf numFmtId="0" fontId="13" fillId="0" borderId="0" xfId="0" applyFont="1" applyAlignment="1">
      <alignment horizontal="center" vertical="center"/>
    </xf>
    <xf numFmtId="0" fontId="11" fillId="0" borderId="0" xfId="0" applyFont="1" applyAlignment="1">
      <alignment horizontal="center" vertical="center"/>
    </xf>
    <xf numFmtId="0" fontId="11" fillId="0" borderId="10" xfId="0" applyFont="1" applyBorder="1" applyAlignment="1">
      <alignment horizontal="righ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11" fillId="0" borderId="0" xfId="0" applyFont="1" applyAlignment="1">
      <alignment horizontal="left" vertical="center"/>
    </xf>
    <xf numFmtId="0" fontId="11" fillId="0" borderId="7" xfId="0" applyFont="1" applyBorder="1" applyAlignment="1">
      <alignment horizontal="left" vertical="center" wrapText="1"/>
    </xf>
    <xf numFmtId="0" fontId="11" fillId="0" borderId="8" xfId="0" applyFont="1" applyBorder="1" applyAlignment="1">
      <alignment horizontal="left" vertical="center" wrapText="1"/>
    </xf>
    <xf numFmtId="0" fontId="11" fillId="0" borderId="9" xfId="0" applyFont="1" applyBorder="1" applyAlignment="1">
      <alignment horizontal="left" vertical="center" wrapText="1"/>
    </xf>
    <xf numFmtId="0" fontId="11" fillId="0" borderId="11" xfId="0" applyFont="1" applyBorder="1" applyAlignment="1">
      <alignment horizontal="left" vertical="center" wrapText="1"/>
    </xf>
    <xf numFmtId="0" fontId="11" fillId="0" borderId="6" xfId="0" applyFont="1" applyBorder="1" applyAlignment="1">
      <alignment horizontal="left" vertical="center" wrapText="1"/>
    </xf>
    <xf numFmtId="0" fontId="11" fillId="0" borderId="12" xfId="0" applyFont="1" applyBorder="1" applyAlignment="1">
      <alignment horizontal="left" vertical="center" wrapText="1"/>
    </xf>
    <xf numFmtId="0" fontId="12" fillId="0" borderId="0" xfId="0" applyFont="1" applyAlignment="1">
      <alignment horizontal="center" vertical="center"/>
    </xf>
    <xf numFmtId="0" fontId="11" fillId="0" borderId="7" xfId="0" applyFont="1" applyBorder="1" applyAlignment="1">
      <alignment horizontal="left" vertical="top" wrapText="1" shrinkToFit="1"/>
    </xf>
    <xf numFmtId="0" fontId="11" fillId="0" borderId="8" xfId="0" applyFont="1" applyBorder="1" applyAlignment="1">
      <alignment horizontal="left" vertical="top" wrapText="1" shrinkToFit="1"/>
    </xf>
    <xf numFmtId="0" fontId="11" fillId="0" borderId="9" xfId="0" applyFont="1" applyBorder="1" applyAlignment="1">
      <alignment horizontal="left" vertical="top" wrapText="1" shrinkToFit="1"/>
    </xf>
    <xf numFmtId="0" fontId="11" fillId="0" borderId="5" xfId="0" applyFont="1" applyBorder="1" applyAlignment="1">
      <alignment horizontal="left" vertical="top" wrapText="1" shrinkToFit="1"/>
    </xf>
    <xf numFmtId="0" fontId="11" fillId="0" borderId="0" xfId="0" applyFont="1" applyAlignment="1">
      <alignment horizontal="left" vertical="top" wrapText="1" shrinkToFit="1"/>
    </xf>
    <xf numFmtId="0" fontId="11" fillId="0" borderId="10" xfId="0" applyFont="1" applyBorder="1" applyAlignment="1">
      <alignment horizontal="left" vertical="top" wrapText="1" shrinkToFit="1"/>
    </xf>
    <xf numFmtId="0" fontId="11" fillId="0" borderId="11" xfId="0" applyFont="1" applyBorder="1" applyAlignment="1">
      <alignment horizontal="left" vertical="top" wrapText="1" shrinkToFit="1"/>
    </xf>
    <xf numFmtId="0" fontId="11" fillId="0" borderId="6" xfId="0" applyFont="1" applyBorder="1" applyAlignment="1">
      <alignment horizontal="left" vertical="top" wrapText="1" shrinkToFit="1"/>
    </xf>
    <xf numFmtId="0" fontId="11" fillId="0" borderId="12" xfId="0" applyFont="1" applyBorder="1" applyAlignment="1">
      <alignment horizontal="left" vertical="top" wrapText="1" shrinkToFit="1"/>
    </xf>
    <xf numFmtId="0" fontId="11" fillId="0" borderId="5" xfId="0" applyFont="1" applyBorder="1">
      <alignment vertical="center"/>
    </xf>
    <xf numFmtId="0" fontId="12" fillId="0" borderId="2" xfId="0" applyFont="1" applyBorder="1" applyAlignment="1">
      <alignment horizontal="center" vertical="center" shrinkToFit="1"/>
    </xf>
    <xf numFmtId="0" fontId="12" fillId="0" borderId="3" xfId="0" applyFont="1" applyBorder="1" applyAlignment="1">
      <alignment horizontal="center" vertical="center" shrinkToFit="1"/>
    </xf>
    <xf numFmtId="0" fontId="12" fillId="0" borderId="4" xfId="0" applyFont="1" applyBorder="1" applyAlignment="1">
      <alignment horizontal="center" vertical="center" shrinkToFit="1"/>
    </xf>
    <xf numFmtId="0" fontId="11" fillId="0" borderId="0" xfId="0" applyFont="1" applyAlignment="1">
      <alignment vertical="center" wrapText="1"/>
    </xf>
    <xf numFmtId="0" fontId="14" fillId="0" borderId="1" xfId="0" applyFont="1" applyBorder="1" applyAlignment="1">
      <alignment horizontal="center" vertical="center" shrinkToFit="1"/>
    </xf>
    <xf numFmtId="0" fontId="14" fillId="0" borderId="4" xfId="0" applyFont="1" applyBorder="1" applyAlignment="1">
      <alignment horizontal="center" vertical="center" shrinkToFit="1"/>
    </xf>
    <xf numFmtId="49" fontId="14" fillId="0" borderId="1" xfId="0" applyNumberFormat="1" applyFont="1" applyBorder="1" applyAlignment="1">
      <alignment horizontal="center" vertical="center"/>
    </xf>
    <xf numFmtId="0" fontId="11" fillId="0" borderId="33" xfId="0" applyFont="1" applyBorder="1" applyAlignment="1">
      <alignment vertical="center" shrinkToFit="1"/>
    </xf>
    <xf numFmtId="0" fontId="11" fillId="0" borderId="35" xfId="0" applyFont="1" applyBorder="1" applyAlignment="1">
      <alignment vertical="center" shrinkToFit="1"/>
    </xf>
    <xf numFmtId="0" fontId="11" fillId="0" borderId="34" xfId="0" applyFont="1" applyBorder="1" applyAlignment="1">
      <alignment vertical="center" shrinkToFit="1"/>
    </xf>
    <xf numFmtId="0" fontId="11" fillId="0" borderId="14" xfId="0" applyFont="1" applyBorder="1" applyAlignment="1">
      <alignment horizontal="center" vertical="center" shrinkToFit="1"/>
    </xf>
    <xf numFmtId="0" fontId="11" fillId="0" borderId="19" xfId="0" applyFont="1" applyBorder="1" applyAlignment="1">
      <alignment vertical="center" shrinkToFit="1"/>
    </xf>
    <xf numFmtId="0" fontId="11" fillId="0" borderId="20" xfId="0" applyFont="1" applyBorder="1" applyAlignment="1">
      <alignment vertical="center" shrinkToFit="1"/>
    </xf>
    <xf numFmtId="0" fontId="11" fillId="0" borderId="18" xfId="0" applyFont="1" applyBorder="1" applyAlignment="1">
      <alignment vertical="center" shrinkToFit="1"/>
    </xf>
    <xf numFmtId="0" fontId="11" fillId="0" borderId="22" xfId="0" applyFont="1" applyBorder="1" applyAlignment="1">
      <alignment horizontal="center" vertical="center" shrinkToFit="1"/>
    </xf>
    <xf numFmtId="0" fontId="11" fillId="0" borderId="36" xfId="0" applyFont="1" applyBorder="1" applyAlignment="1">
      <alignment vertical="center" shrinkToFit="1"/>
    </xf>
    <xf numFmtId="0" fontId="11" fillId="0" borderId="37" xfId="0" applyFont="1" applyBorder="1" applyAlignment="1">
      <alignment vertical="center" shrinkToFit="1"/>
    </xf>
    <xf numFmtId="0" fontId="11" fillId="0" borderId="38" xfId="0" applyFont="1" applyBorder="1" applyAlignment="1">
      <alignment vertical="center" shrinkToFit="1"/>
    </xf>
    <xf numFmtId="0" fontId="11" fillId="0" borderId="13" xfId="0" applyFont="1" applyBorder="1" applyAlignment="1">
      <alignment horizontal="center" vertical="center" shrinkToFit="1"/>
    </xf>
    <xf numFmtId="0" fontId="11" fillId="0" borderId="39" xfId="0" applyFont="1" applyBorder="1" applyAlignment="1">
      <alignment horizontal="center" vertical="center" shrinkToFit="1"/>
    </xf>
    <xf numFmtId="0" fontId="11" fillId="0" borderId="0" xfId="0" applyFont="1" applyAlignment="1">
      <alignment vertical="top" wrapText="1"/>
    </xf>
    <xf numFmtId="0" fontId="11" fillId="0" borderId="7" xfId="0" applyFont="1" applyBorder="1" applyAlignment="1">
      <alignment horizontal="center" vertical="center"/>
    </xf>
    <xf numFmtId="0" fontId="11" fillId="0" borderId="8" xfId="0" applyFont="1" applyBorder="1" applyAlignment="1">
      <alignment horizontal="center" vertical="center"/>
    </xf>
    <xf numFmtId="0" fontId="11" fillId="0" borderId="9" xfId="0" applyFont="1" applyBorder="1" applyAlignment="1">
      <alignment horizontal="center" vertical="center"/>
    </xf>
    <xf numFmtId="0" fontId="11" fillId="0" borderId="33" xfId="0" applyFont="1" applyBorder="1" applyAlignment="1">
      <alignment horizontal="center" vertical="center" shrinkToFit="1"/>
    </xf>
    <xf numFmtId="0" fontId="11" fillId="0" borderId="35" xfId="0" applyFont="1" applyBorder="1" applyAlignment="1">
      <alignment horizontal="center" vertical="center" shrinkToFit="1"/>
    </xf>
    <xf numFmtId="0" fontId="11" fillId="0" borderId="34" xfId="0" applyFont="1" applyBorder="1" applyAlignment="1">
      <alignment horizontal="center" vertical="center" shrinkToFit="1"/>
    </xf>
    <xf numFmtId="0" fontId="11" fillId="0" borderId="19" xfId="0" applyFont="1" applyBorder="1" applyAlignment="1">
      <alignment horizontal="center" vertical="center" shrinkToFit="1"/>
    </xf>
    <xf numFmtId="0" fontId="11" fillId="0" borderId="20" xfId="0" applyFont="1" applyBorder="1" applyAlignment="1">
      <alignment horizontal="center" vertical="center" shrinkToFit="1"/>
    </xf>
    <xf numFmtId="0" fontId="11" fillId="0" borderId="18" xfId="0" applyFont="1" applyBorder="1" applyAlignment="1">
      <alignment horizontal="center" vertical="center" shrinkToFit="1"/>
    </xf>
    <xf numFmtId="0" fontId="11" fillId="0" borderId="36" xfId="0" applyFont="1" applyBorder="1" applyAlignment="1">
      <alignment horizontal="center" vertical="center" shrinkToFit="1"/>
    </xf>
    <xf numFmtId="0" fontId="11" fillId="0" borderId="37" xfId="0" applyFont="1" applyBorder="1" applyAlignment="1">
      <alignment horizontal="center" vertical="center" shrinkToFit="1"/>
    </xf>
    <xf numFmtId="0" fontId="11" fillId="0" borderId="38" xfId="0" applyFont="1" applyBorder="1" applyAlignment="1">
      <alignment horizontal="center" vertical="center" shrinkToFit="1"/>
    </xf>
    <xf numFmtId="0" fontId="11" fillId="0" borderId="0" xfId="0" applyFont="1" applyAlignment="1">
      <alignment horizontal="center" vertical="center" shrinkToFit="1"/>
    </xf>
    <xf numFmtId="0" fontId="15" fillId="0" borderId="2" xfId="0" applyFont="1" applyBorder="1" applyAlignment="1">
      <alignment horizontal="center" vertical="center" shrinkToFit="1"/>
    </xf>
    <xf numFmtId="0" fontId="15" fillId="0" borderId="4" xfId="0" applyFont="1" applyBorder="1" applyAlignment="1">
      <alignment horizontal="center" vertical="center" shrinkToFit="1"/>
    </xf>
    <xf numFmtId="0" fontId="14" fillId="0" borderId="44" xfId="0" applyFont="1" applyBorder="1" applyAlignment="1">
      <alignment vertical="center" wrapText="1"/>
    </xf>
    <xf numFmtId="49" fontId="14" fillId="0" borderId="47" xfId="0" applyNumberFormat="1" applyFont="1" applyBorder="1" applyAlignment="1">
      <alignment horizontal="center" vertical="center"/>
    </xf>
    <xf numFmtId="0" fontId="11" fillId="0" borderId="8" xfId="0" applyFont="1" applyBorder="1" applyAlignment="1">
      <alignment horizontal="left" vertical="center" wrapText="1" shrinkToFit="1"/>
    </xf>
    <xf numFmtId="0" fontId="11" fillId="0" borderId="8" xfId="0" applyFont="1" applyBorder="1" applyAlignment="1">
      <alignment horizontal="left" vertical="center" shrinkToFit="1"/>
    </xf>
    <xf numFmtId="0" fontId="11" fillId="0" borderId="9" xfId="0" applyFont="1" applyBorder="1" applyAlignment="1">
      <alignment horizontal="left" vertical="center" shrinkToFit="1"/>
    </xf>
    <xf numFmtId="0" fontId="14" fillId="0" borderId="30" xfId="0" applyFont="1" applyBorder="1" applyAlignment="1">
      <alignment vertical="center" wrapText="1"/>
    </xf>
    <xf numFmtId="49" fontId="14" fillId="0" borderId="48" xfId="0" applyNumberFormat="1" applyFont="1" applyBorder="1" applyAlignment="1">
      <alignment horizontal="center" vertical="center"/>
    </xf>
    <xf numFmtId="0" fontId="11" fillId="0" borderId="37" xfId="0" applyFont="1" applyBorder="1" applyAlignment="1">
      <alignment horizontal="left" vertical="center" wrapText="1" shrinkToFit="1"/>
    </xf>
    <xf numFmtId="0" fontId="11" fillId="0" borderId="37" xfId="0" applyFont="1" applyBorder="1" applyAlignment="1">
      <alignment horizontal="left" vertical="center" shrinkToFit="1"/>
    </xf>
    <xf numFmtId="0" fontId="11" fillId="0" borderId="38" xfId="0" applyFont="1" applyBorder="1" applyAlignment="1">
      <alignment horizontal="left" vertical="center" shrinkToFit="1"/>
    </xf>
    <xf numFmtId="49" fontId="14" fillId="0" borderId="43" xfId="0" applyNumberFormat="1" applyFont="1" applyBorder="1" applyAlignment="1">
      <alignment horizontal="center" vertical="center"/>
    </xf>
    <xf numFmtId="0" fontId="11" fillId="0" borderId="35" xfId="0" applyFont="1" applyBorder="1" applyAlignment="1">
      <alignment horizontal="left" vertical="center" wrapText="1" shrinkToFit="1"/>
    </xf>
    <xf numFmtId="0" fontId="11" fillId="0" borderId="35" xfId="0" applyFont="1" applyBorder="1" applyAlignment="1">
      <alignment horizontal="left" vertical="center" shrinkToFit="1"/>
    </xf>
    <xf numFmtId="0" fontId="11" fillId="0" borderId="34" xfId="0" applyFont="1" applyBorder="1" applyAlignment="1">
      <alignment horizontal="left" vertical="center" shrinkToFit="1"/>
    </xf>
    <xf numFmtId="0" fontId="14" fillId="0" borderId="45" xfId="0" applyFont="1" applyBorder="1" applyAlignment="1">
      <alignment vertical="center" wrapText="1"/>
    </xf>
    <xf numFmtId="49" fontId="14" fillId="0" borderId="28" xfId="0" applyNumberFormat="1" applyFont="1" applyBorder="1" applyAlignment="1">
      <alignment horizontal="center" vertical="center"/>
    </xf>
    <xf numFmtId="49" fontId="14" fillId="0" borderId="46" xfId="0" applyNumberFormat="1" applyFont="1" applyBorder="1" applyAlignment="1">
      <alignment horizontal="center" vertical="center"/>
    </xf>
    <xf numFmtId="0" fontId="12" fillId="0" borderId="35" xfId="0" applyFont="1" applyBorder="1" applyAlignment="1">
      <alignment horizontal="left" vertical="center" wrapText="1" shrinkToFit="1"/>
    </xf>
    <xf numFmtId="0" fontId="12" fillId="0" borderId="35" xfId="0" applyFont="1" applyBorder="1" applyAlignment="1">
      <alignment horizontal="left" vertical="center" shrinkToFit="1"/>
    </xf>
    <xf numFmtId="0" fontId="12" fillId="0" borderId="34" xfId="0" applyFont="1" applyBorder="1" applyAlignment="1">
      <alignment horizontal="left" vertical="center" shrinkToFit="1"/>
    </xf>
    <xf numFmtId="49" fontId="14" fillId="0" borderId="31" xfId="0" applyNumberFormat="1" applyFont="1" applyBorder="1" applyAlignment="1">
      <alignment horizontal="center" vertical="center"/>
    </xf>
    <xf numFmtId="0" fontId="15" fillId="0" borderId="19" xfId="0" applyFont="1" applyBorder="1" applyAlignment="1">
      <alignment vertical="center" wrapText="1" shrinkToFit="1"/>
    </xf>
    <xf numFmtId="0" fontId="15" fillId="0" borderId="20" xfId="0" applyFont="1" applyBorder="1" applyAlignment="1">
      <alignment vertical="center" shrinkToFit="1"/>
    </xf>
    <xf numFmtId="0" fontId="15" fillId="0" borderId="18" xfId="0" applyFont="1" applyBorder="1" applyAlignment="1">
      <alignment vertical="center" shrinkToFit="1"/>
    </xf>
    <xf numFmtId="0" fontId="11" fillId="0" borderId="2" xfId="0" applyFont="1" applyBorder="1" applyAlignment="1">
      <alignment vertical="center" wrapText="1" shrinkToFit="1"/>
    </xf>
    <xf numFmtId="0" fontId="11" fillId="0" borderId="3" xfId="0" applyFont="1" applyBorder="1" applyAlignment="1">
      <alignment vertical="center" wrapText="1" shrinkToFit="1"/>
    </xf>
    <xf numFmtId="0" fontId="11" fillId="0" borderId="4" xfId="0" applyFont="1" applyBorder="1" applyAlignment="1">
      <alignment vertical="center" wrapText="1" shrinkToFit="1"/>
    </xf>
    <xf numFmtId="0" fontId="11" fillId="0" borderId="7" xfId="0" applyFont="1" applyBorder="1" applyAlignment="1">
      <alignment vertical="center" shrinkToFit="1"/>
    </xf>
    <xf numFmtId="0" fontId="11" fillId="0" borderId="8" xfId="0" applyFont="1" applyBorder="1" applyAlignment="1">
      <alignment vertical="center" shrinkToFit="1"/>
    </xf>
    <xf numFmtId="0" fontId="11" fillId="0" borderId="9" xfId="0" applyFont="1" applyBorder="1" applyAlignment="1">
      <alignment vertical="center" shrinkToFit="1"/>
    </xf>
    <xf numFmtId="0" fontId="11" fillId="0" borderId="15" xfId="0" applyFont="1" applyBorder="1" applyAlignment="1">
      <alignment horizontal="center" vertical="center" shrinkToFit="1"/>
    </xf>
    <xf numFmtId="0" fontId="11" fillId="0" borderId="16" xfId="0" applyFont="1" applyBorder="1" applyAlignment="1">
      <alignment vertical="center" shrinkToFit="1"/>
    </xf>
    <xf numFmtId="0" fontId="11" fillId="0" borderId="21" xfId="0" applyFont="1" applyBorder="1" applyAlignment="1">
      <alignment vertical="center" shrinkToFit="1"/>
    </xf>
    <xf numFmtId="0" fontId="11" fillId="0" borderId="60" xfId="0" applyFont="1" applyBorder="1" applyAlignment="1">
      <alignment vertical="center" shrinkToFit="1"/>
    </xf>
    <xf numFmtId="0" fontId="11" fillId="0" borderId="61" xfId="0" applyFont="1" applyBorder="1" applyAlignment="1">
      <alignment horizontal="center" vertical="center" shrinkToFit="1"/>
    </xf>
    <xf numFmtId="0" fontId="15" fillId="0" borderId="35" xfId="0" applyFont="1" applyBorder="1" applyAlignment="1">
      <alignment horizontal="left" vertical="center" wrapText="1" shrinkToFit="1"/>
    </xf>
    <xf numFmtId="0" fontId="15" fillId="0" borderId="35" xfId="0" applyFont="1" applyBorder="1" applyAlignment="1">
      <alignment horizontal="left" vertical="center" shrinkToFit="1"/>
    </xf>
    <xf numFmtId="0" fontId="15" fillId="0" borderId="34" xfId="0" applyFont="1" applyBorder="1" applyAlignment="1">
      <alignment horizontal="left" vertical="center" shrinkToFit="1"/>
    </xf>
    <xf numFmtId="0" fontId="16" fillId="0" borderId="35" xfId="0" applyFont="1" applyBorder="1" applyAlignment="1">
      <alignment horizontal="left" vertical="center" wrapText="1" shrinkToFit="1"/>
    </xf>
    <xf numFmtId="0" fontId="16" fillId="0" borderId="35" xfId="0" applyFont="1" applyBorder="1" applyAlignment="1">
      <alignment horizontal="left" vertical="center" shrinkToFit="1"/>
    </xf>
    <xf numFmtId="0" fontId="16" fillId="0" borderId="34" xfId="0" applyFont="1" applyBorder="1" applyAlignment="1">
      <alignment horizontal="left" vertical="center" shrinkToFit="1"/>
    </xf>
    <xf numFmtId="0" fontId="16" fillId="0" borderId="37" xfId="0" applyFont="1" applyBorder="1" applyAlignment="1">
      <alignment horizontal="left" vertical="center" wrapText="1" shrinkToFit="1"/>
    </xf>
    <xf numFmtId="0" fontId="16" fillId="0" borderId="37" xfId="0" applyFont="1" applyBorder="1" applyAlignment="1">
      <alignment horizontal="left" vertical="center" shrinkToFit="1"/>
    </xf>
    <xf numFmtId="0" fontId="16" fillId="0" borderId="38" xfId="0" applyFont="1" applyBorder="1" applyAlignment="1">
      <alignment horizontal="left" vertical="center" shrinkToFit="1"/>
    </xf>
    <xf numFmtId="0" fontId="16" fillId="0" borderId="19" xfId="0" applyFont="1" applyBorder="1" applyAlignment="1">
      <alignment vertical="center" wrapText="1" shrinkToFit="1"/>
    </xf>
    <xf numFmtId="0" fontId="16" fillId="0" borderId="20" xfId="0" applyFont="1" applyBorder="1" applyAlignment="1">
      <alignment vertical="center" shrinkToFit="1"/>
    </xf>
    <xf numFmtId="0" fontId="16" fillId="0" borderId="18" xfId="0" applyFont="1" applyBorder="1" applyAlignment="1">
      <alignment vertical="center" shrinkToFit="1"/>
    </xf>
    <xf numFmtId="0" fontId="17" fillId="0" borderId="37" xfId="0" applyFont="1" applyBorder="1" applyAlignment="1">
      <alignment horizontal="left" vertical="center" wrapText="1" shrinkToFit="1"/>
    </xf>
    <xf numFmtId="0" fontId="17" fillId="0" borderId="37" xfId="0" applyFont="1" applyBorder="1" applyAlignment="1">
      <alignment horizontal="left" vertical="center" shrinkToFit="1"/>
    </xf>
    <xf numFmtId="0" fontId="17" fillId="0" borderId="38" xfId="0" applyFont="1" applyBorder="1" applyAlignment="1">
      <alignment horizontal="left" vertical="center" shrinkToFit="1"/>
    </xf>
  </cellXfs>
  <cellStyles count="4">
    <cellStyle name="パーセント" xfId="1" builtinId="5"/>
    <cellStyle name="桁区切り" xfId="2" builtinId="6"/>
    <cellStyle name="標準" xfId="0" builtinId="0"/>
    <cellStyle name="標準 2" xfId="3" xr:uid="{CFCEDBEF-0801-4E32-8FE0-032B2619E08D}"/>
  </cellStyles>
  <dxfs count="4">
    <dxf>
      <font>
        <color theme="0" tint="-0.34998626667073579"/>
      </font>
      <fill>
        <patternFill>
          <bgColor theme="0" tint="-0.34998626667073579"/>
        </patternFill>
      </fill>
    </dxf>
    <dxf>
      <font>
        <color theme="0" tint="-0.34998626667073579"/>
      </font>
      <fill>
        <patternFill>
          <bgColor theme="0" tint="-0.34998626667073579"/>
        </patternFill>
      </fill>
    </dxf>
    <dxf>
      <font>
        <color theme="0" tint="-0.34998626667073579"/>
      </font>
      <fill>
        <patternFill>
          <bgColor theme="0" tint="-0.34998626667073579"/>
        </patternFill>
      </fill>
    </dxf>
    <dxf>
      <font>
        <color theme="0" tint="-0.34998626667073579"/>
      </font>
      <fill>
        <patternFill>
          <bgColor theme="0" tint="-0.3499862666707357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220132</xdr:colOff>
      <xdr:row>12</xdr:row>
      <xdr:rowOff>1336430</xdr:rowOff>
    </xdr:from>
    <xdr:to>
      <xdr:col>7</xdr:col>
      <xdr:colOff>2109893</xdr:colOff>
      <xdr:row>12</xdr:row>
      <xdr:rowOff>4284117</xdr:rowOff>
    </xdr:to>
    <xdr:pic>
      <xdr:nvPicPr>
        <xdr:cNvPr id="2" name="図 1">
          <a:extLst>
            <a:ext uri="{FF2B5EF4-FFF2-40B4-BE49-F238E27FC236}">
              <a16:creationId xmlns:a16="http://schemas.microsoft.com/office/drawing/2014/main" id="{E2699B3D-1E45-68F4-66AA-3C8670BD812D}"/>
            </a:ext>
          </a:extLst>
        </xdr:cNvPr>
        <xdr:cNvPicPr>
          <a:picLocks noChangeAspect="1"/>
        </xdr:cNvPicPr>
      </xdr:nvPicPr>
      <xdr:blipFill rotWithShape="1">
        <a:blip xmlns:r="http://schemas.openxmlformats.org/officeDocument/2006/relationships" r:embed="rId1"/>
        <a:srcRect l="1705" t="704" r="465" b="2189"/>
        <a:stretch/>
      </xdr:blipFill>
      <xdr:spPr>
        <a:xfrm>
          <a:off x="2318563" y="4079630"/>
          <a:ext cx="5066715" cy="2947687"/>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C4E09-CA47-4A5D-8092-9270AEEBA0DE}">
  <sheetPr>
    <pageSetUpPr fitToPage="1"/>
  </sheetPr>
  <dimension ref="A1:V110"/>
  <sheetViews>
    <sheetView showZeros="0" view="pageBreakPreview" topLeftCell="A6" zoomScaleNormal="100" zoomScaleSheetLayoutView="100" workbookViewId="0">
      <selection activeCell="D98" sqref="D98:S98"/>
    </sheetView>
  </sheetViews>
  <sheetFormatPr defaultColWidth="9" defaultRowHeight="18.75" customHeight="1" x14ac:dyDescent="0.2"/>
  <cols>
    <col min="1" max="1" width="2.453125" style="1" customWidth="1"/>
    <col min="2" max="2" width="16.453125" style="1" customWidth="1"/>
    <col min="3" max="19" width="5.6328125" style="1" customWidth="1"/>
    <col min="20" max="20" width="9" style="1"/>
    <col min="21" max="21" width="3.6328125" style="1" customWidth="1"/>
    <col min="22" max="22" width="48.6328125" style="1" hidden="1" customWidth="1"/>
    <col min="23" max="16384" width="9" style="1"/>
  </cols>
  <sheetData>
    <row r="1" spans="1:22" ht="18.5" customHeight="1" x14ac:dyDescent="0.2">
      <c r="R1" s="101" t="s">
        <v>0</v>
      </c>
      <c r="S1" s="101"/>
      <c r="T1" s="2" t="s">
        <v>1</v>
      </c>
    </row>
    <row r="2" spans="1:22" ht="18.75" customHeight="1" x14ac:dyDescent="0.2">
      <c r="B2" s="34" t="s">
        <v>2</v>
      </c>
      <c r="C2" s="94" t="s">
        <v>3</v>
      </c>
      <c r="D2" s="95"/>
      <c r="E2" s="95"/>
      <c r="F2" s="95"/>
      <c r="G2" s="95"/>
      <c r="H2" s="95"/>
      <c r="I2" s="96"/>
      <c r="J2" s="35"/>
      <c r="K2" s="6"/>
      <c r="L2" s="6"/>
      <c r="M2" s="6"/>
      <c r="N2" s="6"/>
      <c r="O2" s="6"/>
      <c r="P2" s="6"/>
      <c r="Q2" s="6"/>
      <c r="R2" s="6"/>
      <c r="S2" s="6"/>
    </row>
    <row r="3" spans="1:22" ht="18.75" customHeight="1" x14ac:dyDescent="0.2">
      <c r="B3" s="34" t="s">
        <v>4</v>
      </c>
      <c r="C3" s="105" t="s">
        <v>5</v>
      </c>
      <c r="D3" s="106"/>
      <c r="E3" s="106"/>
      <c r="F3" s="106"/>
      <c r="G3" s="106"/>
      <c r="H3" s="106"/>
      <c r="I3" s="107"/>
      <c r="J3" s="35"/>
      <c r="K3" s="6"/>
      <c r="L3" s="6"/>
      <c r="M3" s="6"/>
      <c r="N3" s="6"/>
      <c r="O3" s="6"/>
      <c r="P3" s="6"/>
      <c r="Q3" s="6"/>
      <c r="R3" s="6"/>
      <c r="S3" s="6"/>
    </row>
    <row r="4" spans="1:22" ht="15" customHeight="1" x14ac:dyDescent="0.2">
      <c r="K4" s="35"/>
      <c r="L4" s="37"/>
      <c r="M4" s="37"/>
      <c r="N4" s="37"/>
      <c r="O4" s="37"/>
      <c r="P4" s="37"/>
      <c r="Q4" s="37"/>
      <c r="R4" s="37"/>
      <c r="S4" s="37"/>
    </row>
    <row r="5" spans="1:22" ht="18" customHeight="1" x14ac:dyDescent="0.2">
      <c r="A5" s="108" t="s">
        <v>6</v>
      </c>
      <c r="B5" s="108"/>
      <c r="C5" s="108"/>
      <c r="D5" s="108"/>
      <c r="E5" s="108"/>
      <c r="F5" s="108"/>
      <c r="G5" s="108"/>
      <c r="H5" s="108"/>
      <c r="I5" s="108"/>
      <c r="J5" s="108"/>
      <c r="K5" s="108"/>
      <c r="L5" s="108"/>
      <c r="M5" s="108"/>
      <c r="N5" s="108"/>
      <c r="O5" s="108"/>
      <c r="P5" s="108"/>
      <c r="Q5" s="108"/>
      <c r="R5" s="108"/>
      <c r="S5" s="108"/>
    </row>
    <row r="6" spans="1:22" ht="15" customHeight="1" x14ac:dyDescent="0.2">
      <c r="B6" s="3"/>
      <c r="C6" s="3"/>
      <c r="D6" s="3"/>
      <c r="E6" s="3"/>
      <c r="F6" s="3"/>
      <c r="G6" s="3"/>
      <c r="H6" s="3"/>
      <c r="I6" s="3"/>
      <c r="J6" s="3"/>
      <c r="K6" s="3"/>
      <c r="L6" s="3"/>
      <c r="M6" s="3"/>
      <c r="N6" s="3"/>
      <c r="O6" s="3"/>
      <c r="P6" s="3"/>
      <c r="Q6" s="3"/>
      <c r="R6" s="3"/>
      <c r="S6" s="3"/>
    </row>
    <row r="7" spans="1:22" ht="18" customHeight="1" x14ac:dyDescent="0.2">
      <c r="A7" s="1" t="s">
        <v>7</v>
      </c>
      <c r="C7" s="3"/>
      <c r="J7" s="38" t="s">
        <v>8</v>
      </c>
      <c r="K7" s="118" t="s">
        <v>9</v>
      </c>
      <c r="L7" s="119"/>
      <c r="M7" s="119"/>
      <c r="N7" s="119"/>
      <c r="O7" s="119"/>
      <c r="P7" s="119"/>
      <c r="Q7" s="119"/>
      <c r="R7" s="119"/>
      <c r="S7" s="120"/>
    </row>
    <row r="8" spans="1:22" ht="6" customHeight="1" x14ac:dyDescent="0.2">
      <c r="B8" s="3"/>
      <c r="C8" s="3"/>
      <c r="D8" s="3"/>
      <c r="E8" s="3"/>
      <c r="F8" s="3"/>
      <c r="G8" s="3"/>
      <c r="H8" s="3"/>
      <c r="I8" s="3"/>
      <c r="J8" s="3"/>
      <c r="K8" s="10"/>
      <c r="L8" s="3"/>
      <c r="M8" s="3"/>
      <c r="N8" s="3"/>
      <c r="O8" s="3"/>
      <c r="P8" s="3"/>
      <c r="Q8" s="3"/>
      <c r="R8" s="3"/>
      <c r="S8" s="3"/>
    </row>
    <row r="9" spans="1:22" ht="18" customHeight="1" x14ac:dyDescent="0.2">
      <c r="B9" s="82" t="s">
        <v>10</v>
      </c>
      <c r="C9" s="83"/>
      <c r="D9" s="83"/>
      <c r="E9" s="83"/>
      <c r="F9" s="83"/>
      <c r="G9" s="83"/>
      <c r="H9" s="83"/>
      <c r="I9" s="83"/>
      <c r="J9" s="83"/>
      <c r="K9" s="83"/>
      <c r="L9" s="83"/>
      <c r="M9" s="83"/>
      <c r="N9" s="83"/>
      <c r="O9" s="83"/>
      <c r="P9" s="83"/>
      <c r="Q9" s="83"/>
      <c r="R9" s="83"/>
      <c r="S9" s="84"/>
    </row>
    <row r="10" spans="1:22" ht="18" customHeight="1" x14ac:dyDescent="0.2">
      <c r="B10" s="85"/>
      <c r="C10" s="86"/>
      <c r="D10" s="86"/>
      <c r="E10" s="86"/>
      <c r="F10" s="86"/>
      <c r="G10" s="86"/>
      <c r="H10" s="86"/>
      <c r="I10" s="86"/>
      <c r="J10" s="86"/>
      <c r="K10" s="86"/>
      <c r="L10" s="86"/>
      <c r="M10" s="86"/>
      <c r="N10" s="86"/>
      <c r="O10" s="86"/>
      <c r="P10" s="86"/>
      <c r="Q10" s="86"/>
      <c r="R10" s="86"/>
      <c r="S10" s="87"/>
    </row>
    <row r="11" spans="1:22" ht="6" customHeight="1" x14ac:dyDescent="0.2">
      <c r="B11" s="3"/>
      <c r="C11" s="3"/>
      <c r="D11" s="3"/>
      <c r="E11" s="3"/>
      <c r="F11" s="3"/>
      <c r="G11" s="3"/>
      <c r="H11" s="3"/>
      <c r="I11" s="3"/>
      <c r="J11" s="3"/>
      <c r="K11" s="10"/>
      <c r="L11" s="3"/>
      <c r="M11" s="3"/>
      <c r="N11" s="3"/>
      <c r="O11" s="3"/>
      <c r="P11" s="3"/>
      <c r="Q11" s="3"/>
      <c r="R11" s="3"/>
      <c r="S11" s="3"/>
    </row>
    <row r="12" spans="1:22" ht="18" customHeight="1" x14ac:dyDescent="0.2">
      <c r="A12" s="1" t="s">
        <v>11</v>
      </c>
      <c r="B12" s="3"/>
      <c r="C12" s="3"/>
      <c r="D12" s="35"/>
      <c r="E12" s="35"/>
      <c r="F12" s="35"/>
      <c r="G12" s="35"/>
      <c r="H12" s="35"/>
      <c r="I12" s="35"/>
      <c r="J12" s="35"/>
      <c r="K12" s="39"/>
      <c r="L12" s="39"/>
      <c r="M12" s="39"/>
      <c r="N12" s="39"/>
      <c r="O12" s="39"/>
      <c r="P12" s="39"/>
      <c r="Q12" s="39"/>
      <c r="R12" s="39"/>
      <c r="S12" s="39"/>
    </row>
    <row r="13" spans="1:22" ht="18" customHeight="1" x14ac:dyDescent="0.2">
      <c r="B13" s="109" t="s">
        <v>12</v>
      </c>
      <c r="C13" s="110"/>
      <c r="D13" s="110"/>
      <c r="E13" s="110"/>
      <c r="F13" s="110"/>
      <c r="G13" s="110"/>
      <c r="H13" s="110"/>
      <c r="I13" s="110"/>
      <c r="J13" s="110"/>
      <c r="K13" s="110"/>
      <c r="L13" s="110"/>
      <c r="M13" s="110"/>
      <c r="N13" s="110"/>
      <c r="O13" s="110"/>
      <c r="P13" s="110"/>
      <c r="Q13" s="110"/>
      <c r="R13" s="110"/>
      <c r="S13" s="111"/>
      <c r="V13" s="1" t="s">
        <v>13</v>
      </c>
    </row>
    <row r="14" spans="1:22" ht="18" customHeight="1" x14ac:dyDescent="0.2">
      <c r="B14" s="112"/>
      <c r="C14" s="113"/>
      <c r="D14" s="113"/>
      <c r="E14" s="113"/>
      <c r="F14" s="113"/>
      <c r="G14" s="113"/>
      <c r="H14" s="113"/>
      <c r="I14" s="113"/>
      <c r="J14" s="113"/>
      <c r="K14" s="113"/>
      <c r="L14" s="113"/>
      <c r="M14" s="113"/>
      <c r="N14" s="113"/>
      <c r="O14" s="113"/>
      <c r="P14" s="113"/>
      <c r="Q14" s="113"/>
      <c r="R14" s="113"/>
      <c r="S14" s="114"/>
      <c r="V14" s="1" t="s">
        <v>14</v>
      </c>
    </row>
    <row r="15" spans="1:22" ht="18" customHeight="1" x14ac:dyDescent="0.2">
      <c r="B15" s="112"/>
      <c r="C15" s="113"/>
      <c r="D15" s="113"/>
      <c r="E15" s="113"/>
      <c r="F15" s="113"/>
      <c r="G15" s="113"/>
      <c r="H15" s="113"/>
      <c r="I15" s="113"/>
      <c r="J15" s="113"/>
      <c r="K15" s="113"/>
      <c r="L15" s="113"/>
      <c r="M15" s="113"/>
      <c r="N15" s="113"/>
      <c r="O15" s="113"/>
      <c r="P15" s="113"/>
      <c r="Q15" s="113"/>
      <c r="R15" s="113"/>
      <c r="S15" s="114"/>
      <c r="V15" s="1" t="s">
        <v>15</v>
      </c>
    </row>
    <row r="16" spans="1:22" ht="18" customHeight="1" x14ac:dyDescent="0.2">
      <c r="B16" s="112"/>
      <c r="C16" s="113"/>
      <c r="D16" s="113"/>
      <c r="E16" s="113"/>
      <c r="F16" s="113"/>
      <c r="G16" s="113"/>
      <c r="H16" s="113"/>
      <c r="I16" s="113"/>
      <c r="J16" s="113"/>
      <c r="K16" s="113"/>
      <c r="L16" s="113"/>
      <c r="M16" s="113"/>
      <c r="N16" s="113"/>
      <c r="O16" s="113"/>
      <c r="P16" s="113"/>
      <c r="Q16" s="113"/>
      <c r="R16" s="113"/>
      <c r="S16" s="114"/>
      <c r="V16" s="1" t="s">
        <v>16</v>
      </c>
    </row>
    <row r="17" spans="1:19" ht="18" customHeight="1" x14ac:dyDescent="0.2">
      <c r="B17" s="112"/>
      <c r="C17" s="113"/>
      <c r="D17" s="113"/>
      <c r="E17" s="113"/>
      <c r="F17" s="113"/>
      <c r="G17" s="113"/>
      <c r="H17" s="113"/>
      <c r="I17" s="113"/>
      <c r="J17" s="113"/>
      <c r="K17" s="113"/>
      <c r="L17" s="113"/>
      <c r="M17" s="113"/>
      <c r="N17" s="113"/>
      <c r="O17" s="113"/>
      <c r="P17" s="113"/>
      <c r="Q17" s="113"/>
      <c r="R17" s="113"/>
      <c r="S17" s="114"/>
    </row>
    <row r="18" spans="1:19" ht="18" customHeight="1" x14ac:dyDescent="0.2">
      <c r="B18" s="115"/>
      <c r="C18" s="116"/>
      <c r="D18" s="116"/>
      <c r="E18" s="116"/>
      <c r="F18" s="116"/>
      <c r="G18" s="116"/>
      <c r="H18" s="116"/>
      <c r="I18" s="116"/>
      <c r="J18" s="116"/>
      <c r="K18" s="116"/>
      <c r="L18" s="116"/>
      <c r="M18" s="116"/>
      <c r="N18" s="116"/>
      <c r="O18" s="116"/>
      <c r="P18" s="116"/>
      <c r="Q18" s="116"/>
      <c r="R18" s="116"/>
      <c r="S18" s="117"/>
    </row>
    <row r="19" spans="1:19" ht="7.5" customHeight="1" x14ac:dyDescent="0.2">
      <c r="B19" s="3"/>
      <c r="C19" s="3"/>
      <c r="D19" s="3"/>
      <c r="E19" s="3"/>
      <c r="F19" s="3"/>
      <c r="G19" s="3"/>
      <c r="H19" s="3"/>
      <c r="I19" s="3"/>
      <c r="J19" s="3"/>
      <c r="K19" s="3"/>
      <c r="L19" s="3"/>
      <c r="M19" s="3"/>
      <c r="N19" s="3"/>
      <c r="O19" s="3"/>
      <c r="P19" s="3"/>
      <c r="Q19" s="3"/>
      <c r="R19" s="3"/>
      <c r="S19" s="3"/>
    </row>
    <row r="20" spans="1:19" ht="20" customHeight="1" x14ac:dyDescent="0.2">
      <c r="B20" s="1" t="s">
        <v>17</v>
      </c>
      <c r="C20" s="94">
        <v>3</v>
      </c>
      <c r="D20" s="96"/>
      <c r="E20" s="40" t="s">
        <v>18</v>
      </c>
      <c r="G20" s="10"/>
      <c r="H20" s="3"/>
      <c r="I20" s="3"/>
      <c r="J20" s="35" t="s">
        <v>19</v>
      </c>
      <c r="K20" s="102" t="s">
        <v>14</v>
      </c>
      <c r="L20" s="103"/>
      <c r="M20" s="103"/>
      <c r="N20" s="103"/>
      <c r="O20" s="103"/>
      <c r="P20" s="103"/>
      <c r="Q20" s="103"/>
      <c r="R20" s="103"/>
      <c r="S20" s="104"/>
    </row>
    <row r="21" spans="1:19" ht="7.5" customHeight="1" x14ac:dyDescent="0.2">
      <c r="B21" s="3"/>
      <c r="C21" s="3"/>
      <c r="D21" s="3"/>
      <c r="E21" s="3"/>
      <c r="F21" s="3"/>
      <c r="G21" s="3"/>
      <c r="H21" s="3"/>
      <c r="I21" s="3"/>
      <c r="J21" s="3"/>
      <c r="K21" s="3"/>
      <c r="L21" s="3"/>
      <c r="M21" s="3"/>
      <c r="N21" s="3"/>
      <c r="O21" s="3"/>
      <c r="P21" s="3"/>
      <c r="Q21" s="3"/>
      <c r="R21" s="3"/>
      <c r="S21" s="3"/>
    </row>
    <row r="22" spans="1:19" ht="18" customHeight="1" x14ac:dyDescent="0.2">
      <c r="A22" s="97" t="s">
        <v>20</v>
      </c>
      <c r="B22" s="97"/>
      <c r="C22" s="97"/>
      <c r="D22" s="97"/>
      <c r="E22" s="97"/>
      <c r="F22" s="97"/>
      <c r="G22" s="97"/>
      <c r="H22" s="97"/>
      <c r="I22" s="97"/>
      <c r="J22" s="97"/>
      <c r="K22" s="97"/>
      <c r="L22" s="97"/>
      <c r="M22" s="97"/>
      <c r="N22" s="97"/>
      <c r="O22" s="97"/>
      <c r="P22" s="97"/>
      <c r="Q22" s="97"/>
      <c r="R22" s="97"/>
      <c r="S22" s="97"/>
    </row>
    <row r="23" spans="1:19" ht="18" customHeight="1" x14ac:dyDescent="0.2">
      <c r="A23" s="97"/>
      <c r="B23" s="97"/>
      <c r="C23" s="97"/>
      <c r="D23" s="97"/>
      <c r="E23" s="97"/>
      <c r="F23" s="97"/>
      <c r="G23" s="97"/>
      <c r="H23" s="97"/>
      <c r="I23" s="97"/>
      <c r="J23" s="97"/>
      <c r="K23" s="97"/>
      <c r="L23" s="97"/>
      <c r="M23" s="97"/>
      <c r="N23" s="97"/>
      <c r="O23" s="97"/>
      <c r="P23" s="97"/>
      <c r="Q23" s="97"/>
      <c r="R23" s="97"/>
      <c r="S23" s="97"/>
    </row>
    <row r="24" spans="1:19" ht="18" customHeight="1" x14ac:dyDescent="0.2">
      <c r="B24" s="94" t="s">
        <v>21</v>
      </c>
      <c r="C24" s="95"/>
      <c r="D24" s="95"/>
      <c r="E24" s="96"/>
      <c r="F24" s="61" t="s">
        <v>22</v>
      </c>
      <c r="G24" s="60" t="s">
        <v>23</v>
      </c>
      <c r="H24" s="22" t="s">
        <v>24</v>
      </c>
      <c r="I24" s="22" t="s">
        <v>25</v>
      </c>
      <c r="J24" s="94" t="s">
        <v>21</v>
      </c>
      <c r="K24" s="95"/>
      <c r="L24" s="95"/>
      <c r="M24" s="95"/>
      <c r="N24" s="95"/>
      <c r="O24" s="96"/>
      <c r="P24" s="61" t="s">
        <v>22</v>
      </c>
      <c r="Q24" s="60" t="s">
        <v>23</v>
      </c>
      <c r="R24" s="22" t="s">
        <v>24</v>
      </c>
      <c r="S24" s="22" t="s">
        <v>25</v>
      </c>
    </row>
    <row r="25" spans="1:19" ht="18" customHeight="1" x14ac:dyDescent="0.2">
      <c r="B25" s="98" t="s">
        <v>26</v>
      </c>
      <c r="C25" s="99"/>
      <c r="D25" s="99"/>
      <c r="E25" s="100"/>
      <c r="F25" s="23">
        <v>1.5</v>
      </c>
      <c r="G25" s="23" t="s">
        <v>27</v>
      </c>
      <c r="H25" s="23" t="s">
        <v>27</v>
      </c>
      <c r="I25" s="23" t="s">
        <v>27</v>
      </c>
      <c r="J25" s="98"/>
      <c r="K25" s="99"/>
      <c r="L25" s="99"/>
      <c r="M25" s="99"/>
      <c r="N25" s="99"/>
      <c r="O25" s="100"/>
      <c r="P25" s="23"/>
      <c r="Q25" s="23"/>
      <c r="R25" s="23"/>
      <c r="S25" s="23"/>
    </row>
    <row r="26" spans="1:19" ht="18" customHeight="1" x14ac:dyDescent="0.2">
      <c r="B26" s="88"/>
      <c r="C26" s="89"/>
      <c r="D26" s="89"/>
      <c r="E26" s="90"/>
      <c r="F26" s="24"/>
      <c r="G26" s="24"/>
      <c r="H26" s="24"/>
      <c r="I26" s="24"/>
      <c r="J26" s="88"/>
      <c r="K26" s="89"/>
      <c r="L26" s="89"/>
      <c r="M26" s="89"/>
      <c r="N26" s="89"/>
      <c r="O26" s="90"/>
      <c r="P26" s="24"/>
      <c r="Q26" s="24"/>
      <c r="R26" s="24"/>
      <c r="S26" s="24"/>
    </row>
    <row r="27" spans="1:19" ht="18" customHeight="1" x14ac:dyDescent="0.2">
      <c r="B27" s="88"/>
      <c r="C27" s="89"/>
      <c r="D27" s="89"/>
      <c r="E27" s="90"/>
      <c r="F27" s="24"/>
      <c r="G27" s="24"/>
      <c r="H27" s="24"/>
      <c r="I27" s="24"/>
      <c r="J27" s="88"/>
      <c r="K27" s="89"/>
      <c r="L27" s="89"/>
      <c r="M27" s="89"/>
      <c r="N27" s="89"/>
      <c r="O27" s="90"/>
      <c r="P27" s="24"/>
      <c r="Q27" s="24"/>
      <c r="R27" s="24"/>
      <c r="S27" s="24"/>
    </row>
    <row r="28" spans="1:19" ht="18" customHeight="1" x14ac:dyDescent="0.2">
      <c r="B28" s="88"/>
      <c r="C28" s="89"/>
      <c r="D28" s="89"/>
      <c r="E28" s="90"/>
      <c r="F28" s="24"/>
      <c r="G28" s="24"/>
      <c r="H28" s="24"/>
      <c r="I28" s="24"/>
      <c r="J28" s="88"/>
      <c r="K28" s="89"/>
      <c r="L28" s="89"/>
      <c r="M28" s="89"/>
      <c r="N28" s="89"/>
      <c r="O28" s="90"/>
      <c r="P28" s="24"/>
      <c r="Q28" s="24"/>
      <c r="R28" s="24"/>
      <c r="S28" s="24"/>
    </row>
    <row r="29" spans="1:19" ht="18" customHeight="1" x14ac:dyDescent="0.2">
      <c r="B29" s="88"/>
      <c r="C29" s="89"/>
      <c r="D29" s="89"/>
      <c r="E29" s="90"/>
      <c r="F29" s="24"/>
      <c r="G29" s="24"/>
      <c r="H29" s="24"/>
      <c r="I29" s="24"/>
      <c r="J29" s="88"/>
      <c r="K29" s="89"/>
      <c r="L29" s="89"/>
      <c r="M29" s="89"/>
      <c r="N29" s="89"/>
      <c r="O29" s="90"/>
      <c r="P29" s="24"/>
      <c r="Q29" s="24"/>
      <c r="R29" s="24"/>
      <c r="S29" s="24"/>
    </row>
    <row r="30" spans="1:19" ht="18" customHeight="1" x14ac:dyDescent="0.2">
      <c r="A30" s="3"/>
      <c r="B30" s="88"/>
      <c r="C30" s="89"/>
      <c r="D30" s="89"/>
      <c r="E30" s="90"/>
      <c r="F30" s="24"/>
      <c r="G30" s="24"/>
      <c r="H30" s="24"/>
      <c r="I30" s="24"/>
      <c r="J30" s="88"/>
      <c r="K30" s="89"/>
      <c r="L30" s="89"/>
      <c r="M30" s="89"/>
      <c r="N30" s="89"/>
      <c r="O30" s="90"/>
      <c r="P30" s="24"/>
      <c r="Q30" s="24"/>
      <c r="R30" s="24"/>
      <c r="S30" s="24"/>
    </row>
    <row r="31" spans="1:19" ht="18" customHeight="1" x14ac:dyDescent="0.2">
      <c r="A31" s="3"/>
      <c r="B31" s="91"/>
      <c r="C31" s="92"/>
      <c r="D31" s="92"/>
      <c r="E31" s="93"/>
      <c r="F31" s="25"/>
      <c r="G31" s="25"/>
      <c r="H31" s="26"/>
      <c r="I31" s="26"/>
      <c r="J31" s="91"/>
      <c r="K31" s="92"/>
      <c r="L31" s="92"/>
      <c r="M31" s="92"/>
      <c r="N31" s="92"/>
      <c r="O31" s="93"/>
      <c r="P31" s="25"/>
      <c r="Q31" s="25"/>
      <c r="R31" s="26"/>
      <c r="S31" s="26"/>
    </row>
    <row r="32" spans="1:19" ht="7.5" customHeight="1" x14ac:dyDescent="0.2">
      <c r="A32" s="3"/>
      <c r="B32" s="6"/>
      <c r="C32" s="6"/>
      <c r="D32" s="3"/>
      <c r="E32" s="3"/>
      <c r="F32" s="3"/>
      <c r="G32" s="3"/>
      <c r="H32" s="6"/>
      <c r="I32" s="6"/>
      <c r="J32" s="6"/>
      <c r="K32" s="6"/>
      <c r="L32" s="6"/>
      <c r="M32" s="6"/>
      <c r="N32" s="6"/>
      <c r="O32" s="6"/>
      <c r="P32" s="6"/>
      <c r="Q32" s="6"/>
      <c r="R32" s="6"/>
      <c r="S32" s="3"/>
    </row>
    <row r="33" spans="1:19" ht="18" customHeight="1" x14ac:dyDescent="0.2">
      <c r="A33" s="97" t="s">
        <v>28</v>
      </c>
      <c r="B33" s="97"/>
      <c r="C33" s="97"/>
      <c r="D33" s="97"/>
      <c r="E33" s="97"/>
      <c r="F33" s="97"/>
      <c r="G33" s="97"/>
      <c r="H33" s="97"/>
      <c r="I33" s="97"/>
      <c r="J33" s="97"/>
      <c r="K33" s="97"/>
      <c r="L33" s="97"/>
      <c r="M33" s="97"/>
      <c r="N33" s="97"/>
      <c r="O33" s="97"/>
      <c r="P33" s="97"/>
      <c r="Q33" s="97"/>
      <c r="R33" s="97"/>
      <c r="S33" s="97"/>
    </row>
    <row r="34" spans="1:19" ht="18" customHeight="1" x14ac:dyDescent="0.2">
      <c r="A34" s="97"/>
      <c r="B34" s="97"/>
      <c r="C34" s="97"/>
      <c r="D34" s="97"/>
      <c r="E34" s="97"/>
      <c r="F34" s="97"/>
      <c r="G34" s="97"/>
      <c r="H34" s="97"/>
      <c r="I34" s="97"/>
      <c r="J34" s="97"/>
      <c r="K34" s="97"/>
      <c r="L34" s="97"/>
      <c r="M34" s="97"/>
      <c r="N34" s="97"/>
      <c r="O34" s="97"/>
      <c r="P34" s="97"/>
      <c r="Q34" s="97"/>
      <c r="R34" s="97"/>
      <c r="S34" s="97"/>
    </row>
    <row r="35" spans="1:19" ht="18" customHeight="1" x14ac:dyDescent="0.2">
      <c r="B35" s="94" t="s">
        <v>21</v>
      </c>
      <c r="C35" s="95"/>
      <c r="D35" s="95"/>
      <c r="E35" s="96"/>
      <c r="F35" s="61" t="s">
        <v>22</v>
      </c>
      <c r="G35" s="60" t="s">
        <v>23</v>
      </c>
      <c r="H35" s="22" t="s">
        <v>29</v>
      </c>
      <c r="I35" s="22" t="s">
        <v>30</v>
      </c>
      <c r="J35" s="94" t="s">
        <v>21</v>
      </c>
      <c r="K35" s="95"/>
      <c r="L35" s="95"/>
      <c r="M35" s="95"/>
      <c r="N35" s="95"/>
      <c r="O35" s="96"/>
      <c r="P35" s="61" t="s">
        <v>22</v>
      </c>
      <c r="Q35" s="60" t="s">
        <v>23</v>
      </c>
      <c r="R35" s="22" t="s">
        <v>29</v>
      </c>
      <c r="S35" s="22" t="s">
        <v>30</v>
      </c>
    </row>
    <row r="36" spans="1:19" ht="18" customHeight="1" x14ac:dyDescent="0.2">
      <c r="B36" s="98" t="s">
        <v>26</v>
      </c>
      <c r="C36" s="99"/>
      <c r="D36" s="99"/>
      <c r="E36" s="100"/>
      <c r="F36" s="23">
        <v>1.5</v>
      </c>
      <c r="G36" s="23" t="s">
        <v>27</v>
      </c>
      <c r="H36" s="23" t="s">
        <v>27</v>
      </c>
      <c r="I36" s="23" t="s">
        <v>27</v>
      </c>
      <c r="J36" s="98"/>
      <c r="K36" s="99"/>
      <c r="L36" s="99"/>
      <c r="M36" s="99"/>
      <c r="N36" s="99"/>
      <c r="O36" s="100"/>
      <c r="P36" s="23"/>
      <c r="Q36" s="23"/>
      <c r="R36" s="23"/>
      <c r="S36" s="23"/>
    </row>
    <row r="37" spans="1:19" ht="18" customHeight="1" x14ac:dyDescent="0.2">
      <c r="B37" s="88"/>
      <c r="C37" s="89"/>
      <c r="D37" s="89"/>
      <c r="E37" s="90"/>
      <c r="F37" s="24"/>
      <c r="G37" s="24"/>
      <c r="H37" s="24"/>
      <c r="I37" s="24"/>
      <c r="J37" s="88"/>
      <c r="K37" s="89"/>
      <c r="L37" s="89"/>
      <c r="M37" s="89"/>
      <c r="N37" s="89"/>
      <c r="O37" s="90"/>
      <c r="P37" s="24"/>
      <c r="Q37" s="24"/>
      <c r="R37" s="24"/>
      <c r="S37" s="24"/>
    </row>
    <row r="38" spans="1:19" ht="18" customHeight="1" x14ac:dyDescent="0.2">
      <c r="B38" s="88"/>
      <c r="C38" s="89"/>
      <c r="D38" s="89"/>
      <c r="E38" s="90"/>
      <c r="F38" s="24"/>
      <c r="G38" s="24"/>
      <c r="H38" s="24"/>
      <c r="I38" s="24"/>
      <c r="J38" s="88"/>
      <c r="K38" s="89"/>
      <c r="L38" s="89"/>
      <c r="M38" s="89"/>
      <c r="N38" s="89"/>
      <c r="O38" s="90"/>
      <c r="P38" s="24"/>
      <c r="Q38" s="24"/>
      <c r="R38" s="24"/>
      <c r="S38" s="24"/>
    </row>
    <row r="39" spans="1:19" ht="18" customHeight="1" x14ac:dyDescent="0.2">
      <c r="B39" s="88"/>
      <c r="C39" s="89"/>
      <c r="D39" s="89"/>
      <c r="E39" s="90"/>
      <c r="F39" s="24"/>
      <c r="G39" s="24"/>
      <c r="H39" s="24"/>
      <c r="I39" s="24"/>
      <c r="J39" s="88"/>
      <c r="K39" s="89"/>
      <c r="L39" s="89"/>
      <c r="M39" s="89"/>
      <c r="N39" s="89"/>
      <c r="O39" s="90"/>
      <c r="P39" s="24"/>
      <c r="Q39" s="24"/>
      <c r="R39" s="24"/>
      <c r="S39" s="24"/>
    </row>
    <row r="40" spans="1:19" ht="18" customHeight="1" x14ac:dyDescent="0.2">
      <c r="B40" s="88"/>
      <c r="C40" s="89"/>
      <c r="D40" s="89"/>
      <c r="E40" s="90"/>
      <c r="F40" s="24"/>
      <c r="G40" s="24"/>
      <c r="H40" s="24"/>
      <c r="I40" s="24"/>
      <c r="J40" s="88"/>
      <c r="K40" s="89"/>
      <c r="L40" s="89"/>
      <c r="M40" s="89"/>
      <c r="N40" s="89"/>
      <c r="O40" s="90"/>
      <c r="P40" s="24"/>
      <c r="Q40" s="24"/>
      <c r="R40" s="24"/>
      <c r="S40" s="24"/>
    </row>
    <row r="41" spans="1:19" ht="18" customHeight="1" x14ac:dyDescent="0.2">
      <c r="B41" s="88"/>
      <c r="C41" s="89"/>
      <c r="D41" s="89"/>
      <c r="E41" s="90"/>
      <c r="F41" s="24"/>
      <c r="G41" s="24"/>
      <c r="H41" s="24"/>
      <c r="I41" s="24"/>
      <c r="J41" s="88"/>
      <c r="K41" s="89"/>
      <c r="L41" s="89"/>
      <c r="M41" s="89"/>
      <c r="N41" s="89"/>
      <c r="O41" s="90"/>
      <c r="P41" s="24"/>
      <c r="Q41" s="24"/>
      <c r="R41" s="24"/>
      <c r="S41" s="24"/>
    </row>
    <row r="42" spans="1:19" ht="18" customHeight="1" x14ac:dyDescent="0.2">
      <c r="B42" s="91"/>
      <c r="C42" s="92"/>
      <c r="D42" s="92"/>
      <c r="E42" s="93"/>
      <c r="F42" s="25"/>
      <c r="G42" s="25"/>
      <c r="H42" s="26"/>
      <c r="I42" s="26"/>
      <c r="J42" s="91"/>
      <c r="K42" s="92"/>
      <c r="L42" s="92"/>
      <c r="M42" s="92"/>
      <c r="N42" s="92"/>
      <c r="O42" s="93"/>
      <c r="P42" s="25"/>
      <c r="Q42" s="25"/>
      <c r="R42" s="26"/>
      <c r="S42" s="26"/>
    </row>
    <row r="43" spans="1:19" ht="7.5" customHeight="1" x14ac:dyDescent="0.2">
      <c r="A43" s="3"/>
      <c r="B43" s="6"/>
      <c r="C43" s="6"/>
      <c r="D43" s="3"/>
      <c r="E43" s="3"/>
      <c r="F43" s="3"/>
      <c r="G43" s="3"/>
      <c r="H43" s="6"/>
      <c r="I43" s="6"/>
      <c r="J43" s="6"/>
      <c r="K43" s="6"/>
      <c r="L43" s="6"/>
      <c r="M43" s="6"/>
      <c r="N43" s="6"/>
      <c r="O43" s="6"/>
      <c r="P43" s="6"/>
      <c r="Q43" s="6"/>
      <c r="R43" s="6"/>
      <c r="S43" s="3"/>
    </row>
    <row r="44" spans="1:19" ht="18" customHeight="1" x14ac:dyDescent="0.2">
      <c r="A44" s="97" t="s">
        <v>31</v>
      </c>
      <c r="B44" s="97"/>
      <c r="C44" s="97"/>
      <c r="D44" s="97"/>
      <c r="E44" s="97"/>
      <c r="F44" s="97"/>
      <c r="G44" s="97"/>
      <c r="H44" s="97"/>
      <c r="I44" s="97"/>
      <c r="J44" s="97"/>
      <c r="K44" s="97"/>
      <c r="L44" s="97"/>
      <c r="M44" s="97"/>
      <c r="N44" s="97"/>
      <c r="O44" s="97"/>
      <c r="P44" s="97"/>
      <c r="Q44" s="97"/>
      <c r="R44" s="97"/>
      <c r="S44" s="97"/>
    </row>
    <row r="45" spans="1:19" ht="18" customHeight="1" x14ac:dyDescent="0.2">
      <c r="A45" s="97"/>
      <c r="B45" s="97"/>
      <c r="C45" s="97"/>
      <c r="D45" s="97"/>
      <c r="E45" s="97"/>
      <c r="F45" s="97"/>
      <c r="G45" s="97"/>
      <c r="H45" s="97"/>
      <c r="I45" s="97"/>
      <c r="J45" s="97"/>
      <c r="K45" s="97"/>
      <c r="L45" s="97"/>
      <c r="M45" s="97"/>
      <c r="N45" s="97"/>
      <c r="O45" s="97"/>
      <c r="P45" s="97"/>
      <c r="Q45" s="97"/>
      <c r="R45" s="97"/>
      <c r="S45" s="97"/>
    </row>
    <row r="46" spans="1:19" ht="18" customHeight="1" x14ac:dyDescent="0.2">
      <c r="B46" s="94" t="s">
        <v>21</v>
      </c>
      <c r="C46" s="95"/>
      <c r="D46" s="95"/>
      <c r="E46" s="96"/>
      <c r="F46" s="61" t="s">
        <v>22</v>
      </c>
      <c r="G46" s="60" t="s">
        <v>23</v>
      </c>
      <c r="H46" s="22" t="s">
        <v>32</v>
      </c>
      <c r="I46" s="22" t="s">
        <v>33</v>
      </c>
      <c r="J46" s="94" t="s">
        <v>21</v>
      </c>
      <c r="K46" s="95"/>
      <c r="L46" s="95"/>
      <c r="M46" s="95"/>
      <c r="N46" s="95"/>
      <c r="O46" s="96"/>
      <c r="P46" s="61" t="s">
        <v>22</v>
      </c>
      <c r="Q46" s="60" t="s">
        <v>23</v>
      </c>
      <c r="R46" s="22" t="s">
        <v>32</v>
      </c>
      <c r="S46" s="22" t="s">
        <v>33</v>
      </c>
    </row>
    <row r="47" spans="1:19" ht="18" customHeight="1" x14ac:dyDescent="0.2">
      <c r="A47" s="3"/>
      <c r="B47" s="98" t="s">
        <v>26</v>
      </c>
      <c r="C47" s="99"/>
      <c r="D47" s="99"/>
      <c r="E47" s="100"/>
      <c r="F47" s="23">
        <v>1.5</v>
      </c>
      <c r="G47" s="23" t="s">
        <v>27</v>
      </c>
      <c r="H47" s="23" t="s">
        <v>27</v>
      </c>
      <c r="I47" s="23" t="s">
        <v>27</v>
      </c>
      <c r="J47" s="98"/>
      <c r="K47" s="99"/>
      <c r="L47" s="99"/>
      <c r="M47" s="99"/>
      <c r="N47" s="99"/>
      <c r="O47" s="100"/>
      <c r="P47" s="23"/>
      <c r="Q47" s="23"/>
      <c r="R47" s="23"/>
      <c r="S47" s="23"/>
    </row>
    <row r="48" spans="1:19" ht="18" customHeight="1" x14ac:dyDescent="0.2">
      <c r="A48" s="3"/>
      <c r="B48" s="88"/>
      <c r="C48" s="89"/>
      <c r="D48" s="89"/>
      <c r="E48" s="90"/>
      <c r="F48" s="24"/>
      <c r="G48" s="24"/>
      <c r="H48" s="24"/>
      <c r="I48" s="24"/>
      <c r="J48" s="88"/>
      <c r="K48" s="89"/>
      <c r="L48" s="89"/>
      <c r="M48" s="89"/>
      <c r="N48" s="89"/>
      <c r="O48" s="90"/>
      <c r="P48" s="24"/>
      <c r="Q48" s="24"/>
      <c r="R48" s="24"/>
      <c r="S48" s="24"/>
    </row>
    <row r="49" spans="1:19" ht="18" customHeight="1" x14ac:dyDescent="0.2">
      <c r="A49" s="3"/>
      <c r="B49" s="88"/>
      <c r="C49" s="89"/>
      <c r="D49" s="89"/>
      <c r="E49" s="90"/>
      <c r="F49" s="24"/>
      <c r="G49" s="24"/>
      <c r="H49" s="24"/>
      <c r="I49" s="24"/>
      <c r="J49" s="88"/>
      <c r="K49" s="89"/>
      <c r="L49" s="89"/>
      <c r="M49" s="89"/>
      <c r="N49" s="89"/>
      <c r="O49" s="90"/>
      <c r="P49" s="24"/>
      <c r="Q49" s="24"/>
      <c r="R49" s="24"/>
      <c r="S49" s="24"/>
    </row>
    <row r="50" spans="1:19" ht="18" customHeight="1" x14ac:dyDescent="0.2">
      <c r="A50" s="3"/>
      <c r="B50" s="88"/>
      <c r="C50" s="89"/>
      <c r="D50" s="89"/>
      <c r="E50" s="90"/>
      <c r="F50" s="24"/>
      <c r="G50" s="24"/>
      <c r="H50" s="24"/>
      <c r="I50" s="24"/>
      <c r="J50" s="88"/>
      <c r="K50" s="89"/>
      <c r="L50" s="89"/>
      <c r="M50" s="89"/>
      <c r="N50" s="89"/>
      <c r="O50" s="90"/>
      <c r="P50" s="24"/>
      <c r="Q50" s="24"/>
      <c r="R50" s="24"/>
      <c r="S50" s="24"/>
    </row>
    <row r="51" spans="1:19" ht="18" customHeight="1" x14ac:dyDescent="0.2">
      <c r="A51" s="3"/>
      <c r="B51" s="88"/>
      <c r="C51" s="89"/>
      <c r="D51" s="89"/>
      <c r="E51" s="90"/>
      <c r="F51" s="24"/>
      <c r="G51" s="24"/>
      <c r="H51" s="24"/>
      <c r="I51" s="24"/>
      <c r="J51" s="88"/>
      <c r="K51" s="89"/>
      <c r="L51" s="89"/>
      <c r="M51" s="89"/>
      <c r="N51" s="89"/>
      <c r="O51" s="90"/>
      <c r="P51" s="24"/>
      <c r="Q51" s="24"/>
      <c r="R51" s="24"/>
      <c r="S51" s="24"/>
    </row>
    <row r="52" spans="1:19" ht="18" customHeight="1" x14ac:dyDescent="0.2">
      <c r="A52" s="3"/>
      <c r="B52" s="88"/>
      <c r="C52" s="89"/>
      <c r="D52" s="89"/>
      <c r="E52" s="90"/>
      <c r="F52" s="24"/>
      <c r="G52" s="24"/>
      <c r="H52" s="24"/>
      <c r="I52" s="24"/>
      <c r="J52" s="88"/>
      <c r="K52" s="89"/>
      <c r="L52" s="89"/>
      <c r="M52" s="89"/>
      <c r="N52" s="89"/>
      <c r="O52" s="90"/>
      <c r="P52" s="24"/>
      <c r="Q52" s="24"/>
      <c r="R52" s="24"/>
      <c r="S52" s="24"/>
    </row>
    <row r="53" spans="1:19" ht="18" customHeight="1" x14ac:dyDescent="0.2">
      <c r="A53" s="3"/>
      <c r="B53" s="91"/>
      <c r="C53" s="92"/>
      <c r="D53" s="92"/>
      <c r="E53" s="93"/>
      <c r="F53" s="25"/>
      <c r="G53" s="25"/>
      <c r="H53" s="26"/>
      <c r="I53" s="26"/>
      <c r="J53" s="91"/>
      <c r="K53" s="92"/>
      <c r="L53" s="92"/>
      <c r="M53" s="92"/>
      <c r="N53" s="92"/>
      <c r="O53" s="93"/>
      <c r="P53" s="25"/>
      <c r="Q53" s="25"/>
      <c r="R53" s="26"/>
      <c r="S53" s="26"/>
    </row>
    <row r="54" spans="1:19" ht="7.5" customHeight="1" x14ac:dyDescent="0.2">
      <c r="B54" s="15"/>
      <c r="C54" s="15"/>
      <c r="D54" s="15"/>
      <c r="E54" s="15"/>
      <c r="F54" s="15"/>
      <c r="G54" s="15"/>
      <c r="H54" s="15"/>
      <c r="I54" s="15"/>
      <c r="J54" s="15"/>
      <c r="K54" s="15"/>
      <c r="L54" s="15"/>
      <c r="M54" s="15"/>
      <c r="N54" s="15"/>
      <c r="O54" s="15"/>
      <c r="P54" s="15"/>
      <c r="Q54" s="15"/>
      <c r="R54" s="15"/>
    </row>
    <row r="55" spans="1:19" ht="18" customHeight="1" x14ac:dyDescent="0.2">
      <c r="A55" s="97" t="s">
        <v>34</v>
      </c>
      <c r="B55" s="97"/>
      <c r="C55" s="97"/>
      <c r="D55" s="97"/>
      <c r="E55" s="97"/>
      <c r="F55" s="97"/>
      <c r="G55" s="97"/>
      <c r="H55" s="97"/>
      <c r="I55" s="97"/>
      <c r="J55" s="97"/>
      <c r="K55" s="97"/>
      <c r="L55" s="97"/>
      <c r="M55" s="97"/>
      <c r="N55" s="97"/>
      <c r="O55" s="97"/>
      <c r="P55" s="97"/>
      <c r="Q55" s="97"/>
      <c r="R55" s="97"/>
      <c r="S55" s="97"/>
    </row>
    <row r="56" spans="1:19" ht="18" customHeight="1" x14ac:dyDescent="0.2">
      <c r="A56" s="97"/>
      <c r="B56" s="97"/>
      <c r="C56" s="97"/>
      <c r="D56" s="97"/>
      <c r="E56" s="97"/>
      <c r="F56" s="97"/>
      <c r="G56" s="97"/>
      <c r="H56" s="97"/>
      <c r="I56" s="97"/>
      <c r="J56" s="97"/>
      <c r="K56" s="97"/>
      <c r="L56" s="97"/>
      <c r="M56" s="97"/>
      <c r="N56" s="97"/>
      <c r="O56" s="97"/>
      <c r="P56" s="97"/>
      <c r="Q56" s="97"/>
      <c r="R56" s="97"/>
      <c r="S56" s="97"/>
    </row>
    <row r="57" spans="1:19" ht="18" customHeight="1" x14ac:dyDescent="0.2">
      <c r="B57" s="94" t="s">
        <v>21</v>
      </c>
      <c r="C57" s="95"/>
      <c r="D57" s="95"/>
      <c r="E57" s="96"/>
      <c r="F57" s="61" t="s">
        <v>22</v>
      </c>
      <c r="G57" s="60" t="s">
        <v>23</v>
      </c>
      <c r="H57" s="22" t="s">
        <v>35</v>
      </c>
      <c r="I57" s="22" t="s">
        <v>36</v>
      </c>
      <c r="J57" s="94" t="s">
        <v>21</v>
      </c>
      <c r="K57" s="95"/>
      <c r="L57" s="95"/>
      <c r="M57" s="95"/>
      <c r="N57" s="95"/>
      <c r="O57" s="96"/>
      <c r="P57" s="61" t="s">
        <v>22</v>
      </c>
      <c r="Q57" s="60" t="s">
        <v>23</v>
      </c>
      <c r="R57" s="22" t="s">
        <v>35</v>
      </c>
      <c r="S57" s="22" t="s">
        <v>36</v>
      </c>
    </row>
    <row r="58" spans="1:19" ht="18" customHeight="1" x14ac:dyDescent="0.2">
      <c r="A58" s="3"/>
      <c r="B58" s="98" t="s">
        <v>26</v>
      </c>
      <c r="C58" s="99"/>
      <c r="D58" s="99"/>
      <c r="E58" s="100"/>
      <c r="F58" s="23">
        <v>1.5</v>
      </c>
      <c r="G58" s="23" t="s">
        <v>27</v>
      </c>
      <c r="H58" s="23" t="s">
        <v>27</v>
      </c>
      <c r="I58" s="23" t="s">
        <v>27</v>
      </c>
      <c r="J58" s="98"/>
      <c r="K58" s="99"/>
      <c r="L58" s="99"/>
      <c r="M58" s="99"/>
      <c r="N58" s="99"/>
      <c r="O58" s="100"/>
      <c r="P58" s="23"/>
      <c r="Q58" s="23"/>
      <c r="R58" s="23"/>
      <c r="S58" s="23"/>
    </row>
    <row r="59" spans="1:19" ht="18" customHeight="1" x14ac:dyDescent="0.2">
      <c r="A59" s="3"/>
      <c r="B59" s="88" t="s">
        <v>37</v>
      </c>
      <c r="C59" s="89"/>
      <c r="D59" s="89"/>
      <c r="E59" s="90"/>
      <c r="F59" s="24">
        <v>1.5</v>
      </c>
      <c r="G59" s="24" t="s">
        <v>27</v>
      </c>
      <c r="H59" s="24" t="s">
        <v>27</v>
      </c>
      <c r="I59" s="24"/>
      <c r="J59" s="88"/>
      <c r="K59" s="89"/>
      <c r="L59" s="89"/>
      <c r="M59" s="89"/>
      <c r="N59" s="89"/>
      <c r="O59" s="90"/>
      <c r="P59" s="24"/>
      <c r="Q59" s="24"/>
      <c r="R59" s="24"/>
      <c r="S59" s="24"/>
    </row>
    <row r="60" spans="1:19" ht="18" customHeight="1" x14ac:dyDescent="0.2">
      <c r="A60" s="3"/>
      <c r="B60" s="88"/>
      <c r="C60" s="89"/>
      <c r="D60" s="89"/>
      <c r="E60" s="90"/>
      <c r="F60" s="24"/>
      <c r="G60" s="24"/>
      <c r="H60" s="24"/>
      <c r="I60" s="24"/>
      <c r="J60" s="88"/>
      <c r="K60" s="89"/>
      <c r="L60" s="89"/>
      <c r="M60" s="89"/>
      <c r="N60" s="89"/>
      <c r="O60" s="90"/>
      <c r="P60" s="24"/>
      <c r="Q60" s="24"/>
      <c r="R60" s="24"/>
      <c r="S60" s="24"/>
    </row>
    <row r="61" spans="1:19" ht="18" customHeight="1" x14ac:dyDescent="0.2">
      <c r="A61" s="3"/>
      <c r="B61" s="88"/>
      <c r="C61" s="89"/>
      <c r="D61" s="89"/>
      <c r="E61" s="90"/>
      <c r="F61" s="24"/>
      <c r="G61" s="24"/>
      <c r="H61" s="24"/>
      <c r="I61" s="24"/>
      <c r="J61" s="88"/>
      <c r="K61" s="89"/>
      <c r="L61" s="89"/>
      <c r="M61" s="89"/>
      <c r="N61" s="89"/>
      <c r="O61" s="90"/>
      <c r="P61" s="24"/>
      <c r="Q61" s="24"/>
      <c r="R61" s="24"/>
      <c r="S61" s="24"/>
    </row>
    <row r="62" spans="1:19" ht="18" customHeight="1" x14ac:dyDescent="0.2">
      <c r="A62" s="3"/>
      <c r="B62" s="88"/>
      <c r="C62" s="89"/>
      <c r="D62" s="89"/>
      <c r="E62" s="90"/>
      <c r="F62" s="24"/>
      <c r="G62" s="24"/>
      <c r="H62" s="24"/>
      <c r="I62" s="24"/>
      <c r="J62" s="88"/>
      <c r="K62" s="89"/>
      <c r="L62" s="89"/>
      <c r="M62" s="89"/>
      <c r="N62" s="89"/>
      <c r="O62" s="90"/>
      <c r="P62" s="24"/>
      <c r="Q62" s="24"/>
      <c r="R62" s="24"/>
      <c r="S62" s="24"/>
    </row>
    <row r="63" spans="1:19" ht="18" customHeight="1" x14ac:dyDescent="0.2">
      <c r="A63" s="3"/>
      <c r="B63" s="88"/>
      <c r="C63" s="89"/>
      <c r="D63" s="89"/>
      <c r="E63" s="90"/>
      <c r="F63" s="24"/>
      <c r="G63" s="24"/>
      <c r="H63" s="24"/>
      <c r="I63" s="24"/>
      <c r="J63" s="88"/>
      <c r="K63" s="89"/>
      <c r="L63" s="89"/>
      <c r="M63" s="89"/>
      <c r="N63" s="89"/>
      <c r="O63" s="90"/>
      <c r="P63" s="24"/>
      <c r="Q63" s="24"/>
      <c r="R63" s="24"/>
      <c r="S63" s="24"/>
    </row>
    <row r="64" spans="1:19" ht="18" customHeight="1" x14ac:dyDescent="0.2">
      <c r="A64" s="3"/>
      <c r="B64" s="91"/>
      <c r="C64" s="92"/>
      <c r="D64" s="92"/>
      <c r="E64" s="93"/>
      <c r="F64" s="25"/>
      <c r="G64" s="25"/>
      <c r="H64" s="26"/>
      <c r="I64" s="26"/>
      <c r="J64" s="91"/>
      <c r="K64" s="92"/>
      <c r="L64" s="92"/>
      <c r="M64" s="92"/>
      <c r="N64" s="92"/>
      <c r="O64" s="93"/>
      <c r="P64" s="25"/>
      <c r="Q64" s="25"/>
      <c r="R64" s="26"/>
      <c r="S64" s="26"/>
    </row>
    <row r="65" spans="1:19" ht="7.5" customHeight="1" x14ac:dyDescent="0.2">
      <c r="B65" s="15"/>
      <c r="C65" s="15"/>
      <c r="D65" s="15"/>
      <c r="E65" s="15"/>
      <c r="F65" s="15"/>
      <c r="G65" s="15"/>
      <c r="H65" s="15"/>
      <c r="I65" s="15"/>
      <c r="J65" s="15"/>
      <c r="K65" s="15"/>
      <c r="L65" s="15"/>
      <c r="M65" s="15"/>
      <c r="N65" s="15"/>
      <c r="O65" s="15"/>
      <c r="P65" s="15"/>
      <c r="Q65" s="15"/>
      <c r="R65" s="15"/>
    </row>
    <row r="66" spans="1:19" ht="18" customHeight="1" x14ac:dyDescent="0.2">
      <c r="A66" s="97" t="s">
        <v>38</v>
      </c>
      <c r="B66" s="97"/>
      <c r="C66" s="97"/>
      <c r="D66" s="97"/>
      <c r="E66" s="97"/>
      <c r="F66" s="97"/>
      <c r="G66" s="97"/>
      <c r="H66" s="97"/>
      <c r="I66" s="97"/>
      <c r="J66" s="97"/>
      <c r="K66" s="97"/>
      <c r="L66" s="97"/>
      <c r="M66" s="97"/>
      <c r="N66" s="97"/>
      <c r="O66" s="97"/>
      <c r="P66" s="97"/>
      <c r="Q66" s="97"/>
      <c r="R66" s="97"/>
      <c r="S66" s="97"/>
    </row>
    <row r="67" spans="1:19" ht="18" customHeight="1" x14ac:dyDescent="0.2">
      <c r="A67" s="97"/>
      <c r="B67" s="97"/>
      <c r="C67" s="97"/>
      <c r="D67" s="97"/>
      <c r="E67" s="97"/>
      <c r="F67" s="97"/>
      <c r="G67" s="97"/>
      <c r="H67" s="97"/>
      <c r="I67" s="97"/>
      <c r="J67" s="97"/>
      <c r="K67" s="97"/>
      <c r="L67" s="97"/>
      <c r="M67" s="97"/>
      <c r="N67" s="97"/>
      <c r="O67" s="97"/>
      <c r="P67" s="97"/>
      <c r="Q67" s="97"/>
      <c r="R67" s="97"/>
      <c r="S67" s="97"/>
    </row>
    <row r="68" spans="1:19" ht="18" customHeight="1" x14ac:dyDescent="0.2">
      <c r="B68" s="94" t="s">
        <v>21</v>
      </c>
      <c r="C68" s="95"/>
      <c r="D68" s="95"/>
      <c r="E68" s="61" t="s">
        <v>22</v>
      </c>
      <c r="F68" s="60" t="s">
        <v>23</v>
      </c>
      <c r="G68" s="22" t="s">
        <v>39</v>
      </c>
      <c r="H68" s="22" t="s">
        <v>40</v>
      </c>
      <c r="I68" s="22" t="s">
        <v>41</v>
      </c>
      <c r="J68" s="94" t="s">
        <v>21</v>
      </c>
      <c r="K68" s="95"/>
      <c r="L68" s="95"/>
      <c r="M68" s="95"/>
      <c r="N68" s="96"/>
      <c r="O68" s="61" t="s">
        <v>22</v>
      </c>
      <c r="P68" s="60" t="s">
        <v>23</v>
      </c>
      <c r="Q68" s="22" t="s">
        <v>39</v>
      </c>
      <c r="R68" s="22" t="s">
        <v>40</v>
      </c>
      <c r="S68" s="22" t="s">
        <v>41</v>
      </c>
    </row>
    <row r="69" spans="1:19" ht="18" customHeight="1" x14ac:dyDescent="0.2">
      <c r="A69" s="3"/>
      <c r="B69" s="98" t="s">
        <v>26</v>
      </c>
      <c r="C69" s="99"/>
      <c r="D69" s="100"/>
      <c r="E69" s="23">
        <v>1.5</v>
      </c>
      <c r="F69" s="23" t="s">
        <v>27</v>
      </c>
      <c r="G69" s="23" t="s">
        <v>27</v>
      </c>
      <c r="H69" s="23" t="s">
        <v>27</v>
      </c>
      <c r="I69" s="23" t="s">
        <v>27</v>
      </c>
      <c r="J69" s="98"/>
      <c r="K69" s="99"/>
      <c r="L69" s="99"/>
      <c r="M69" s="99"/>
      <c r="N69" s="100"/>
      <c r="O69" s="23"/>
      <c r="P69" s="23"/>
      <c r="Q69" s="23"/>
      <c r="R69" s="23"/>
      <c r="S69" s="23"/>
    </row>
    <row r="70" spans="1:19" ht="18" customHeight="1" x14ac:dyDescent="0.2">
      <c r="A70" s="3"/>
      <c r="B70" s="88" t="s">
        <v>37</v>
      </c>
      <c r="C70" s="89"/>
      <c r="D70" s="90"/>
      <c r="E70" s="24">
        <v>1.5</v>
      </c>
      <c r="F70" s="24" t="s">
        <v>27</v>
      </c>
      <c r="G70" s="24" t="s">
        <v>27</v>
      </c>
      <c r="H70" s="24" t="s">
        <v>27</v>
      </c>
      <c r="I70" s="24" t="s">
        <v>27</v>
      </c>
      <c r="J70" s="88"/>
      <c r="K70" s="89"/>
      <c r="L70" s="89"/>
      <c r="M70" s="89"/>
      <c r="N70" s="90"/>
      <c r="O70" s="24"/>
      <c r="P70" s="24"/>
      <c r="Q70" s="24"/>
      <c r="R70" s="24"/>
      <c r="S70" s="24"/>
    </row>
    <row r="71" spans="1:19" ht="18" customHeight="1" x14ac:dyDescent="0.2">
      <c r="A71" s="3"/>
      <c r="B71" s="88"/>
      <c r="C71" s="89"/>
      <c r="D71" s="89"/>
      <c r="E71" s="24"/>
      <c r="F71" s="24"/>
      <c r="G71" s="24"/>
      <c r="H71" s="24"/>
      <c r="I71" s="24"/>
      <c r="J71" s="88"/>
      <c r="K71" s="89"/>
      <c r="L71" s="89"/>
      <c r="M71" s="89"/>
      <c r="N71" s="90"/>
      <c r="O71" s="24"/>
      <c r="P71" s="24"/>
      <c r="Q71" s="24"/>
      <c r="R71" s="24"/>
      <c r="S71" s="24"/>
    </row>
    <row r="72" spans="1:19" ht="18" customHeight="1" x14ac:dyDescent="0.2">
      <c r="A72" s="3"/>
      <c r="B72" s="88"/>
      <c r="C72" s="89"/>
      <c r="D72" s="89"/>
      <c r="E72" s="24"/>
      <c r="F72" s="24"/>
      <c r="G72" s="24"/>
      <c r="H72" s="24"/>
      <c r="I72" s="24"/>
      <c r="J72" s="88"/>
      <c r="K72" s="89"/>
      <c r="L72" s="89"/>
      <c r="M72" s="89"/>
      <c r="N72" s="90"/>
      <c r="O72" s="24"/>
      <c r="P72" s="24"/>
      <c r="Q72" s="24"/>
      <c r="R72" s="24"/>
      <c r="S72" s="24"/>
    </row>
    <row r="73" spans="1:19" ht="18" customHeight="1" x14ac:dyDescent="0.2">
      <c r="A73" s="3"/>
      <c r="B73" s="88"/>
      <c r="C73" s="89"/>
      <c r="D73" s="89"/>
      <c r="E73" s="24"/>
      <c r="F73" s="24"/>
      <c r="G73" s="24"/>
      <c r="H73" s="24"/>
      <c r="I73" s="24"/>
      <c r="J73" s="88"/>
      <c r="K73" s="89"/>
      <c r="L73" s="89"/>
      <c r="M73" s="89"/>
      <c r="N73" s="90"/>
      <c r="O73" s="24"/>
      <c r="P73" s="24"/>
      <c r="Q73" s="24"/>
      <c r="R73" s="24"/>
      <c r="S73" s="24"/>
    </row>
    <row r="74" spans="1:19" ht="18" customHeight="1" x14ac:dyDescent="0.2">
      <c r="A74" s="3"/>
      <c r="B74" s="88"/>
      <c r="C74" s="89"/>
      <c r="D74" s="89"/>
      <c r="E74" s="24"/>
      <c r="F74" s="24"/>
      <c r="G74" s="24"/>
      <c r="H74" s="24"/>
      <c r="I74" s="24"/>
      <c r="J74" s="88"/>
      <c r="K74" s="89"/>
      <c r="L74" s="89"/>
      <c r="M74" s="89"/>
      <c r="N74" s="90"/>
      <c r="O74" s="24"/>
      <c r="P74" s="24"/>
      <c r="Q74" s="24"/>
      <c r="R74" s="24"/>
      <c r="S74" s="24"/>
    </row>
    <row r="75" spans="1:19" ht="18" customHeight="1" x14ac:dyDescent="0.2">
      <c r="A75" s="3"/>
      <c r="B75" s="91"/>
      <c r="C75" s="92"/>
      <c r="D75" s="92"/>
      <c r="E75" s="25"/>
      <c r="F75" s="25"/>
      <c r="G75" s="26"/>
      <c r="H75" s="26"/>
      <c r="I75" s="26"/>
      <c r="J75" s="91"/>
      <c r="K75" s="92"/>
      <c r="L75" s="92"/>
      <c r="M75" s="92"/>
      <c r="N75" s="93"/>
      <c r="O75" s="25"/>
      <c r="P75" s="25"/>
      <c r="Q75" s="26"/>
      <c r="R75" s="26"/>
      <c r="S75" s="26"/>
    </row>
    <row r="76" spans="1:19" ht="7.5" customHeight="1" x14ac:dyDescent="0.2">
      <c r="B76" s="15"/>
      <c r="C76" s="15"/>
      <c r="D76" s="15"/>
      <c r="E76" s="15"/>
      <c r="F76" s="15"/>
      <c r="G76" s="15"/>
      <c r="H76" s="15"/>
      <c r="I76" s="15"/>
      <c r="J76" s="15"/>
      <c r="K76" s="15"/>
      <c r="L76" s="15"/>
      <c r="M76" s="15"/>
      <c r="N76" s="15"/>
      <c r="O76" s="15"/>
      <c r="P76" s="15"/>
      <c r="Q76" s="15"/>
      <c r="R76" s="15"/>
    </row>
    <row r="77" spans="1:19" ht="18" customHeight="1" x14ac:dyDescent="0.2">
      <c r="A77" s="1" t="s">
        <v>42</v>
      </c>
      <c r="H77" s="3"/>
      <c r="I77" s="3"/>
      <c r="J77" s="3"/>
      <c r="K77" s="3"/>
      <c r="L77" s="3"/>
      <c r="M77" s="3"/>
      <c r="N77" s="3"/>
      <c r="O77" s="3"/>
      <c r="P77" s="3"/>
      <c r="Q77" s="3"/>
      <c r="R77" s="3"/>
      <c r="S77" s="3"/>
    </row>
    <row r="78" spans="1:19" ht="18" customHeight="1" x14ac:dyDescent="0.2">
      <c r="B78" s="94" t="s">
        <v>21</v>
      </c>
      <c r="C78" s="95"/>
      <c r="D78" s="95"/>
      <c r="E78" s="96"/>
      <c r="F78" s="94" t="s">
        <v>43</v>
      </c>
      <c r="G78" s="95"/>
      <c r="H78" s="95"/>
      <c r="I78" s="96"/>
      <c r="J78" s="137" t="s">
        <v>21</v>
      </c>
      <c r="K78" s="138"/>
      <c r="L78" s="138"/>
      <c r="M78" s="138"/>
      <c r="N78" s="138"/>
      <c r="O78" s="139"/>
      <c r="P78" s="94" t="s">
        <v>43</v>
      </c>
      <c r="Q78" s="95"/>
      <c r="R78" s="95"/>
      <c r="S78" s="96"/>
    </row>
    <row r="79" spans="1:19" ht="18" customHeight="1" x14ac:dyDescent="0.2">
      <c r="A79" s="3"/>
      <c r="B79" s="98" t="s">
        <v>26</v>
      </c>
      <c r="C79" s="99"/>
      <c r="D79" s="99"/>
      <c r="E79" s="100"/>
      <c r="F79" s="154" t="s">
        <v>44</v>
      </c>
      <c r="G79" s="155"/>
      <c r="H79" s="155"/>
      <c r="I79" s="156"/>
      <c r="J79" s="98"/>
      <c r="K79" s="99"/>
      <c r="L79" s="99"/>
      <c r="M79" s="99"/>
      <c r="N79" s="99"/>
      <c r="O79" s="100"/>
      <c r="P79" s="154"/>
      <c r="Q79" s="155"/>
      <c r="R79" s="155"/>
      <c r="S79" s="156"/>
    </row>
    <row r="80" spans="1:19" ht="18" customHeight="1" x14ac:dyDescent="0.2">
      <c r="A80" s="3"/>
      <c r="B80" s="88"/>
      <c r="C80" s="89"/>
      <c r="D80" s="89"/>
      <c r="E80" s="90"/>
      <c r="F80" s="127"/>
      <c r="G80" s="128"/>
      <c r="H80" s="128"/>
      <c r="I80" s="129"/>
      <c r="J80" s="88"/>
      <c r="K80" s="89"/>
      <c r="L80" s="89"/>
      <c r="M80" s="89"/>
      <c r="N80" s="89"/>
      <c r="O80" s="90"/>
      <c r="P80" s="127"/>
      <c r="Q80" s="128"/>
      <c r="R80" s="128"/>
      <c r="S80" s="129"/>
    </row>
    <row r="81" spans="1:19" ht="18" customHeight="1" x14ac:dyDescent="0.2">
      <c r="A81" s="3"/>
      <c r="B81" s="88"/>
      <c r="C81" s="89"/>
      <c r="D81" s="89"/>
      <c r="E81" s="90"/>
      <c r="F81" s="127"/>
      <c r="G81" s="128"/>
      <c r="H81" s="128"/>
      <c r="I81" s="129"/>
      <c r="J81" s="88"/>
      <c r="K81" s="89"/>
      <c r="L81" s="89"/>
      <c r="M81" s="89"/>
      <c r="N81" s="89"/>
      <c r="O81" s="90"/>
      <c r="P81" s="127"/>
      <c r="Q81" s="128"/>
      <c r="R81" s="128"/>
      <c r="S81" s="129"/>
    </row>
    <row r="82" spans="1:19" ht="18" customHeight="1" x14ac:dyDescent="0.2">
      <c r="A82" s="3"/>
      <c r="B82" s="88"/>
      <c r="C82" s="89"/>
      <c r="D82" s="89"/>
      <c r="E82" s="90"/>
      <c r="F82" s="127"/>
      <c r="G82" s="128"/>
      <c r="H82" s="128"/>
      <c r="I82" s="129"/>
      <c r="J82" s="88"/>
      <c r="K82" s="89"/>
      <c r="L82" s="89"/>
      <c r="M82" s="89"/>
      <c r="N82" s="89"/>
      <c r="O82" s="90"/>
      <c r="P82" s="127"/>
      <c r="Q82" s="128"/>
      <c r="R82" s="128"/>
      <c r="S82" s="129"/>
    </row>
    <row r="83" spans="1:19" ht="18" customHeight="1" x14ac:dyDescent="0.2">
      <c r="A83" s="3"/>
      <c r="B83" s="88"/>
      <c r="C83" s="89"/>
      <c r="D83" s="89"/>
      <c r="E83" s="90"/>
      <c r="F83" s="127"/>
      <c r="G83" s="128"/>
      <c r="H83" s="128"/>
      <c r="I83" s="129"/>
      <c r="J83" s="88"/>
      <c r="K83" s="89"/>
      <c r="L83" s="89"/>
      <c r="M83" s="89"/>
      <c r="N83" s="89"/>
      <c r="O83" s="90"/>
      <c r="P83" s="127"/>
      <c r="Q83" s="128"/>
      <c r="R83" s="128"/>
      <c r="S83" s="129"/>
    </row>
    <row r="84" spans="1:19" ht="18" customHeight="1" x14ac:dyDescent="0.2">
      <c r="A84" s="3"/>
      <c r="B84" s="88"/>
      <c r="C84" s="89"/>
      <c r="D84" s="89"/>
      <c r="E84" s="90"/>
      <c r="F84" s="127"/>
      <c r="G84" s="128"/>
      <c r="H84" s="128"/>
      <c r="I84" s="129"/>
      <c r="J84" s="88"/>
      <c r="K84" s="89"/>
      <c r="L84" s="89"/>
      <c r="M84" s="89"/>
      <c r="N84" s="89"/>
      <c r="O84" s="90"/>
      <c r="P84" s="127"/>
      <c r="Q84" s="128"/>
      <c r="R84" s="128"/>
      <c r="S84" s="129"/>
    </row>
    <row r="85" spans="1:19" ht="18" customHeight="1" x14ac:dyDescent="0.2">
      <c r="A85" s="3"/>
      <c r="B85" s="91"/>
      <c r="C85" s="92"/>
      <c r="D85" s="92"/>
      <c r="E85" s="93"/>
      <c r="F85" s="124"/>
      <c r="G85" s="125"/>
      <c r="H85" s="125"/>
      <c r="I85" s="126"/>
      <c r="J85" s="91"/>
      <c r="K85" s="92"/>
      <c r="L85" s="92"/>
      <c r="M85" s="92"/>
      <c r="N85" s="92"/>
      <c r="O85" s="93"/>
      <c r="P85" s="124"/>
      <c r="Q85" s="125"/>
      <c r="R85" s="125"/>
      <c r="S85" s="126"/>
    </row>
    <row r="86" spans="1:19" ht="18" customHeight="1" x14ac:dyDescent="0.2">
      <c r="A86" s="3"/>
      <c r="B86" s="6"/>
      <c r="C86" s="6"/>
      <c r="D86" s="6"/>
      <c r="E86" s="6"/>
      <c r="F86" s="27"/>
      <c r="G86" s="27"/>
      <c r="H86" s="27"/>
      <c r="I86" s="27"/>
      <c r="J86" s="6"/>
      <c r="K86" s="6"/>
      <c r="L86" s="6"/>
      <c r="M86" s="6"/>
      <c r="N86" s="6"/>
      <c r="O86" s="6"/>
      <c r="P86" s="27"/>
      <c r="Q86" s="27"/>
      <c r="R86" s="27"/>
      <c r="S86" s="27"/>
    </row>
    <row r="87" spans="1:19" ht="18.75" customHeight="1" x14ac:dyDescent="0.2">
      <c r="A87" s="1" t="s">
        <v>45</v>
      </c>
    </row>
    <row r="88" spans="1:19" ht="18.75" customHeight="1" x14ac:dyDescent="0.2">
      <c r="B88" s="149" t="s">
        <v>46</v>
      </c>
      <c r="C88" s="150"/>
      <c r="D88" s="95" t="s">
        <v>47</v>
      </c>
      <c r="E88" s="95"/>
      <c r="F88" s="95"/>
      <c r="G88" s="95"/>
      <c r="H88" s="95"/>
      <c r="I88" s="95"/>
      <c r="J88" s="95"/>
      <c r="K88" s="95"/>
      <c r="L88" s="95"/>
      <c r="M88" s="95"/>
      <c r="N88" s="95"/>
      <c r="O88" s="95"/>
      <c r="P88" s="95"/>
      <c r="Q88" s="95"/>
      <c r="R88" s="95"/>
      <c r="S88" s="96"/>
    </row>
    <row r="89" spans="1:19" ht="97.5" customHeight="1" x14ac:dyDescent="0.2">
      <c r="B89" s="140" t="s">
        <v>48</v>
      </c>
      <c r="C89" s="28" t="s">
        <v>24</v>
      </c>
      <c r="D89" s="151" t="s">
        <v>49</v>
      </c>
      <c r="E89" s="152"/>
      <c r="F89" s="152"/>
      <c r="G89" s="152"/>
      <c r="H89" s="152"/>
      <c r="I89" s="152"/>
      <c r="J89" s="152"/>
      <c r="K89" s="152"/>
      <c r="L89" s="152"/>
      <c r="M89" s="152"/>
      <c r="N89" s="152"/>
      <c r="O89" s="152"/>
      <c r="P89" s="152"/>
      <c r="Q89" s="152"/>
      <c r="R89" s="152"/>
      <c r="S89" s="153"/>
    </row>
    <row r="90" spans="1:19" ht="97.5" customHeight="1" x14ac:dyDescent="0.2">
      <c r="B90" s="142"/>
      <c r="C90" s="29" t="s">
        <v>50</v>
      </c>
      <c r="D90" s="130" t="s">
        <v>51</v>
      </c>
      <c r="E90" s="131"/>
      <c r="F90" s="131"/>
      <c r="G90" s="131"/>
      <c r="H90" s="131"/>
      <c r="I90" s="131"/>
      <c r="J90" s="131"/>
      <c r="K90" s="131"/>
      <c r="L90" s="131"/>
      <c r="M90" s="131"/>
      <c r="N90" s="131"/>
      <c r="O90" s="131"/>
      <c r="P90" s="131"/>
      <c r="Q90" s="131"/>
      <c r="R90" s="131"/>
      <c r="S90" s="132"/>
    </row>
    <row r="91" spans="1:19" ht="97.5" customHeight="1" x14ac:dyDescent="0.2">
      <c r="B91" s="140" t="s">
        <v>52</v>
      </c>
      <c r="C91" s="30" t="s">
        <v>29</v>
      </c>
      <c r="D91" s="133" t="s">
        <v>53</v>
      </c>
      <c r="E91" s="134"/>
      <c r="F91" s="134"/>
      <c r="G91" s="134"/>
      <c r="H91" s="134"/>
      <c r="I91" s="134"/>
      <c r="J91" s="134"/>
      <c r="K91" s="134"/>
      <c r="L91" s="134"/>
      <c r="M91" s="134"/>
      <c r="N91" s="134"/>
      <c r="O91" s="134"/>
      <c r="P91" s="134"/>
      <c r="Q91" s="134"/>
      <c r="R91" s="134"/>
      <c r="S91" s="135"/>
    </row>
    <row r="92" spans="1:19" ht="97.5" customHeight="1" x14ac:dyDescent="0.2">
      <c r="B92" s="141"/>
      <c r="C92" s="31" t="s">
        <v>30</v>
      </c>
      <c r="D92" s="130" t="s">
        <v>54</v>
      </c>
      <c r="E92" s="131"/>
      <c r="F92" s="131"/>
      <c r="G92" s="131"/>
      <c r="H92" s="131"/>
      <c r="I92" s="131"/>
      <c r="J92" s="131"/>
      <c r="K92" s="131"/>
      <c r="L92" s="131"/>
      <c r="M92" s="131"/>
      <c r="N92" s="131"/>
      <c r="O92" s="131"/>
      <c r="P92" s="131"/>
      <c r="Q92" s="131"/>
      <c r="R92" s="131"/>
      <c r="S92" s="132"/>
    </row>
    <row r="93" spans="1:19" ht="97.5" customHeight="1" x14ac:dyDescent="0.2">
      <c r="B93" s="140" t="s">
        <v>55</v>
      </c>
      <c r="C93" s="30" t="s">
        <v>32</v>
      </c>
      <c r="D93" s="133" t="s">
        <v>56</v>
      </c>
      <c r="E93" s="134"/>
      <c r="F93" s="134"/>
      <c r="G93" s="134"/>
      <c r="H93" s="134"/>
      <c r="I93" s="134"/>
      <c r="J93" s="134"/>
      <c r="K93" s="134"/>
      <c r="L93" s="134"/>
      <c r="M93" s="134"/>
      <c r="N93" s="134"/>
      <c r="O93" s="134"/>
      <c r="P93" s="134"/>
      <c r="Q93" s="134"/>
      <c r="R93" s="134"/>
      <c r="S93" s="135"/>
    </row>
    <row r="94" spans="1:19" ht="97.5" customHeight="1" x14ac:dyDescent="0.2">
      <c r="B94" s="141"/>
      <c r="C94" s="32" t="s">
        <v>33</v>
      </c>
      <c r="D94" s="130" t="s">
        <v>57</v>
      </c>
      <c r="E94" s="131"/>
      <c r="F94" s="131"/>
      <c r="G94" s="131"/>
      <c r="H94" s="131"/>
      <c r="I94" s="131"/>
      <c r="J94" s="131"/>
      <c r="K94" s="131"/>
      <c r="L94" s="131"/>
      <c r="M94" s="131"/>
      <c r="N94" s="131"/>
      <c r="O94" s="131"/>
      <c r="P94" s="131"/>
      <c r="Q94" s="131"/>
      <c r="R94" s="131"/>
      <c r="S94" s="132"/>
    </row>
    <row r="95" spans="1:19" ht="97.5" customHeight="1" x14ac:dyDescent="0.2">
      <c r="B95" s="140" t="s">
        <v>58</v>
      </c>
      <c r="C95" s="28" t="s">
        <v>35</v>
      </c>
      <c r="D95" s="146" t="s">
        <v>59</v>
      </c>
      <c r="E95" s="147"/>
      <c r="F95" s="147"/>
      <c r="G95" s="147"/>
      <c r="H95" s="147"/>
      <c r="I95" s="147"/>
      <c r="J95" s="147"/>
      <c r="K95" s="147"/>
      <c r="L95" s="147"/>
      <c r="M95" s="147"/>
      <c r="N95" s="147"/>
      <c r="O95" s="147"/>
      <c r="P95" s="147"/>
      <c r="Q95" s="147"/>
      <c r="R95" s="147"/>
      <c r="S95" s="148"/>
    </row>
    <row r="96" spans="1:19" ht="97.5" customHeight="1" x14ac:dyDescent="0.2">
      <c r="B96" s="141"/>
      <c r="C96" s="31" t="s">
        <v>36</v>
      </c>
      <c r="D96" s="130" t="s">
        <v>60</v>
      </c>
      <c r="E96" s="131"/>
      <c r="F96" s="131"/>
      <c r="G96" s="131"/>
      <c r="H96" s="131"/>
      <c r="I96" s="131"/>
      <c r="J96" s="131"/>
      <c r="K96" s="131"/>
      <c r="L96" s="131"/>
      <c r="M96" s="131"/>
      <c r="N96" s="131"/>
      <c r="O96" s="131"/>
      <c r="P96" s="131"/>
      <c r="Q96" s="131"/>
      <c r="R96" s="131"/>
      <c r="S96" s="132"/>
    </row>
    <row r="97" spans="1:19" ht="104.75" customHeight="1" x14ac:dyDescent="0.2">
      <c r="B97" s="140" t="s">
        <v>61</v>
      </c>
      <c r="C97" s="30" t="s">
        <v>62</v>
      </c>
      <c r="D97" s="143" t="s">
        <v>63</v>
      </c>
      <c r="E97" s="144"/>
      <c r="F97" s="144"/>
      <c r="G97" s="144"/>
      <c r="H97" s="144"/>
      <c r="I97" s="144"/>
      <c r="J97" s="144"/>
      <c r="K97" s="144"/>
      <c r="L97" s="144"/>
      <c r="M97" s="144"/>
      <c r="N97" s="144"/>
      <c r="O97" s="144"/>
      <c r="P97" s="144"/>
      <c r="Q97" s="144"/>
      <c r="R97" s="144"/>
      <c r="S97" s="145"/>
    </row>
    <row r="98" spans="1:19" ht="97.5" customHeight="1" x14ac:dyDescent="0.2">
      <c r="B98" s="142"/>
      <c r="C98" s="33" t="s">
        <v>40</v>
      </c>
      <c r="D98" s="136" t="s">
        <v>64</v>
      </c>
      <c r="E98" s="89"/>
      <c r="F98" s="89"/>
      <c r="G98" s="89"/>
      <c r="H98" s="89"/>
      <c r="I98" s="89"/>
      <c r="J98" s="89"/>
      <c r="K98" s="89"/>
      <c r="L98" s="89"/>
      <c r="M98" s="89"/>
      <c r="N98" s="89"/>
      <c r="O98" s="89"/>
      <c r="P98" s="89"/>
      <c r="Q98" s="89"/>
      <c r="R98" s="89"/>
      <c r="S98" s="90"/>
    </row>
    <row r="99" spans="1:19" ht="97.5" customHeight="1" x14ac:dyDescent="0.2">
      <c r="B99" s="141"/>
      <c r="C99" s="32" t="s">
        <v>41</v>
      </c>
      <c r="D99" s="130" t="s">
        <v>65</v>
      </c>
      <c r="E99" s="131"/>
      <c r="F99" s="131"/>
      <c r="G99" s="131"/>
      <c r="H99" s="131"/>
      <c r="I99" s="131"/>
      <c r="J99" s="131"/>
      <c r="K99" s="131"/>
      <c r="L99" s="131"/>
      <c r="M99" s="131"/>
      <c r="N99" s="131"/>
      <c r="O99" s="131"/>
      <c r="P99" s="131"/>
      <c r="Q99" s="131"/>
      <c r="R99" s="131"/>
      <c r="S99" s="132"/>
    </row>
    <row r="100" spans="1:19" ht="6" customHeight="1" x14ac:dyDescent="0.2"/>
    <row r="101" spans="1:19" ht="18.75" customHeight="1" x14ac:dyDescent="0.2">
      <c r="A101" s="1" t="s">
        <v>66</v>
      </c>
    </row>
    <row r="102" spans="1:19" ht="81.75" customHeight="1" x14ac:dyDescent="0.2">
      <c r="B102" s="121" t="s">
        <v>67</v>
      </c>
      <c r="C102" s="122"/>
      <c r="D102" s="122"/>
      <c r="E102" s="122"/>
      <c r="F102" s="122"/>
      <c r="G102" s="122"/>
      <c r="H102" s="122"/>
      <c r="I102" s="122"/>
      <c r="J102" s="122"/>
      <c r="K102" s="122"/>
      <c r="L102" s="122"/>
      <c r="M102" s="122"/>
      <c r="N102" s="122"/>
      <c r="O102" s="122"/>
      <c r="P102" s="122"/>
      <c r="Q102" s="122"/>
      <c r="R102" s="122"/>
      <c r="S102" s="123"/>
    </row>
    <row r="110" spans="1:19" ht="18" customHeight="1" x14ac:dyDescent="0.2"/>
  </sheetData>
  <mergeCells count="145">
    <mergeCell ref="J36:O36"/>
    <mergeCell ref="J37:O37"/>
    <mergeCell ref="J38:O38"/>
    <mergeCell ref="J57:O57"/>
    <mergeCell ref="J58:O58"/>
    <mergeCell ref="B71:D71"/>
    <mergeCell ref="B72:D72"/>
    <mergeCell ref="B38:E38"/>
    <mergeCell ref="B39:E39"/>
    <mergeCell ref="B40:E40"/>
    <mergeCell ref="B41:E41"/>
    <mergeCell ref="B42:E42"/>
    <mergeCell ref="J47:O47"/>
    <mergeCell ref="J48:O48"/>
    <mergeCell ref="J49:O49"/>
    <mergeCell ref="J50:O50"/>
    <mergeCell ref="J51:O51"/>
    <mergeCell ref="J52:O52"/>
    <mergeCell ref="J39:O39"/>
    <mergeCell ref="J40:O40"/>
    <mergeCell ref="J41:O41"/>
    <mergeCell ref="J42:O42"/>
    <mergeCell ref="A44:S45"/>
    <mergeCell ref="A66:S67"/>
    <mergeCell ref="B97:B99"/>
    <mergeCell ref="D97:S97"/>
    <mergeCell ref="D99:S99"/>
    <mergeCell ref="B95:B96"/>
    <mergeCell ref="D95:S95"/>
    <mergeCell ref="J73:N73"/>
    <mergeCell ref="J74:N74"/>
    <mergeCell ref="B49:E49"/>
    <mergeCell ref="A55:S56"/>
    <mergeCell ref="J75:N75"/>
    <mergeCell ref="J85:O85"/>
    <mergeCell ref="B88:C88"/>
    <mergeCell ref="D88:S88"/>
    <mergeCell ref="D89:S89"/>
    <mergeCell ref="J79:O79"/>
    <mergeCell ref="P79:S79"/>
    <mergeCell ref="P78:S78"/>
    <mergeCell ref="B79:E79"/>
    <mergeCell ref="J59:O59"/>
    <mergeCell ref="B78:E78"/>
    <mergeCell ref="F79:I79"/>
    <mergeCell ref="P81:S81"/>
    <mergeCell ref="P82:S82"/>
    <mergeCell ref="B91:B92"/>
    <mergeCell ref="B93:B94"/>
    <mergeCell ref="B89:B90"/>
    <mergeCell ref="J69:N69"/>
    <mergeCell ref="J70:N70"/>
    <mergeCell ref="J71:N71"/>
    <mergeCell ref="B82:E82"/>
    <mergeCell ref="F81:I81"/>
    <mergeCell ref="F82:I82"/>
    <mergeCell ref="J81:O81"/>
    <mergeCell ref="J82:O82"/>
    <mergeCell ref="B73:D73"/>
    <mergeCell ref="B74:D74"/>
    <mergeCell ref="B75:D75"/>
    <mergeCell ref="J72:N72"/>
    <mergeCell ref="B60:E60"/>
    <mergeCell ref="B61:E61"/>
    <mergeCell ref="B62:E62"/>
    <mergeCell ref="B63:E63"/>
    <mergeCell ref="B64:E64"/>
    <mergeCell ref="J46:O46"/>
    <mergeCell ref="F78:I78"/>
    <mergeCell ref="J78:O78"/>
    <mergeCell ref="B69:D69"/>
    <mergeCell ref="B70:D70"/>
    <mergeCell ref="J53:O53"/>
    <mergeCell ref="B102:S102"/>
    <mergeCell ref="P85:S85"/>
    <mergeCell ref="B80:E80"/>
    <mergeCell ref="F80:I80"/>
    <mergeCell ref="J80:O80"/>
    <mergeCell ref="P80:S80"/>
    <mergeCell ref="B83:E83"/>
    <mergeCell ref="F83:I83"/>
    <mergeCell ref="J83:O83"/>
    <mergeCell ref="P83:S83"/>
    <mergeCell ref="B81:E81"/>
    <mergeCell ref="D90:S90"/>
    <mergeCell ref="D91:S91"/>
    <mergeCell ref="D94:S94"/>
    <mergeCell ref="D92:S92"/>
    <mergeCell ref="D93:S93"/>
    <mergeCell ref="B84:E84"/>
    <mergeCell ref="F84:I84"/>
    <mergeCell ref="J84:O84"/>
    <mergeCell ref="P84:S84"/>
    <mergeCell ref="B85:E85"/>
    <mergeCell ref="D96:S96"/>
    <mergeCell ref="F85:I85"/>
    <mergeCell ref="D98:S98"/>
    <mergeCell ref="R1:S1"/>
    <mergeCell ref="B24:E24"/>
    <mergeCell ref="B25:E25"/>
    <mergeCell ref="B26:E26"/>
    <mergeCell ref="B27:E27"/>
    <mergeCell ref="B28:E28"/>
    <mergeCell ref="B29:E29"/>
    <mergeCell ref="B30:E30"/>
    <mergeCell ref="B31:E31"/>
    <mergeCell ref="J24:O24"/>
    <mergeCell ref="J25:O25"/>
    <mergeCell ref="J26:O26"/>
    <mergeCell ref="J27:O27"/>
    <mergeCell ref="J28:O28"/>
    <mergeCell ref="J29:O29"/>
    <mergeCell ref="J30:O30"/>
    <mergeCell ref="J31:O31"/>
    <mergeCell ref="K20:S20"/>
    <mergeCell ref="C2:I2"/>
    <mergeCell ref="C3:I3"/>
    <mergeCell ref="A5:S5"/>
    <mergeCell ref="B13:S18"/>
    <mergeCell ref="A22:S23"/>
    <mergeCell ref="K7:S7"/>
    <mergeCell ref="B9:S10"/>
    <mergeCell ref="J60:O60"/>
    <mergeCell ref="J61:O61"/>
    <mergeCell ref="J62:O62"/>
    <mergeCell ref="J63:O63"/>
    <mergeCell ref="J64:O64"/>
    <mergeCell ref="B68:D68"/>
    <mergeCell ref="J68:N68"/>
    <mergeCell ref="B50:E50"/>
    <mergeCell ref="B51:E51"/>
    <mergeCell ref="B52:E52"/>
    <mergeCell ref="B53:E53"/>
    <mergeCell ref="A33:S34"/>
    <mergeCell ref="C20:D20"/>
    <mergeCell ref="B35:E35"/>
    <mergeCell ref="B36:E36"/>
    <mergeCell ref="B37:E37"/>
    <mergeCell ref="B57:E57"/>
    <mergeCell ref="B58:E58"/>
    <mergeCell ref="B59:E59"/>
    <mergeCell ref="B46:E46"/>
    <mergeCell ref="B47:E47"/>
    <mergeCell ref="B48:E48"/>
    <mergeCell ref="J35:O35"/>
  </mergeCells>
  <phoneticPr fontId="1"/>
  <conditionalFormatting sqref="B9:S10">
    <cfRule type="expression" dxfId="3" priority="1">
      <formula>$K$7="学部・学科によって、修了要件は相違しない"</formula>
    </cfRule>
  </conditionalFormatting>
  <dataValidations count="5">
    <dataValidation type="list" allowBlank="1" showInputMessage="1" showErrorMessage="1" sqref="G25:I31 Q25:S31 P69:S75 Q36:S42 G36:I42 Q47:S53 G47:I53 Q58:S64 F69:I75 G58:I64" xr:uid="{9D50FD6D-5A78-4A73-A74A-CFA81B4A6988}">
      <formula1>"○"</formula1>
    </dataValidation>
    <dataValidation type="list" allowBlank="1" showInputMessage="1" showErrorMessage="1" sqref="S32 S43 D32:G32 D43:G43" xr:uid="{E060920E-930E-4517-AADC-147FD3032BA0}">
      <formula1>"全学開講,一部開講"</formula1>
    </dataValidation>
    <dataValidation type="list" allowBlank="1" showInputMessage="1" showErrorMessage="1" sqref="K7 K12" xr:uid="{7B985F3C-9687-4C99-93D5-E4589130E2EC}">
      <formula1>"学部・学科によって、修了要件は相違する,学部・学科によって、修了要件は相違しない"</formula1>
    </dataValidation>
    <dataValidation type="list" allowBlank="1" showInputMessage="1" showErrorMessage="1" sqref="P79:P86 G83:I86 Q83:S86 F79:F86 G79:I80 Q79:S80" xr:uid="{D2BB2C57-16C1-4C09-B9C3-9ECFC3635D65}">
      <formula1>"4-1統計および数理基礎,4‐2アルゴリズム基礎,4‐3データ構造とプログラミング基礎,4‐4時系列データ解析,4‐5テキスト解析,4‐6画像解析,4‐7データハンドリング,4‐8データ活用実践（教師あり学習）,4‐9データ活用実践（教師なし学習）,その他"</formula1>
    </dataValidation>
    <dataValidation type="list" allowBlank="1" showInputMessage="1" showErrorMessage="1" sqref="K20:S20" xr:uid="{8D0781BD-BB46-47E4-B306-E5D299761C76}">
      <formula1>$V$14:$V$16</formula1>
    </dataValidation>
  </dataValidations>
  <printOptions horizontalCentered="1"/>
  <pageMargins left="0.78740157480314965" right="0.78740157480314965" top="0.78740157480314965" bottom="0.19685039370078741" header="0.31496062992125984" footer="0.19685039370078741"/>
  <pageSetup paperSize="9" scale="75" fitToHeight="0" orientation="portrait" r:id="rId1"/>
  <headerFooter>
    <oddHeader>&amp;C数理・データサイエンス・AI教育プログラム認定制度【リテラシーレベル】</oddHeader>
  </headerFooter>
  <rowBreaks count="2" manualBreakCount="2">
    <brk id="65" max="18" man="1"/>
    <brk id="94" max="18"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E6099-4905-4130-BC32-8D8A20017F38}">
  <sheetPr>
    <pageSetUpPr fitToPage="1"/>
  </sheetPr>
  <dimension ref="A1:V110"/>
  <sheetViews>
    <sheetView showZeros="0" view="pageBreakPreview" zoomScaleNormal="100" zoomScaleSheetLayoutView="100" workbookViewId="0">
      <selection activeCell="W11" sqref="W11"/>
    </sheetView>
  </sheetViews>
  <sheetFormatPr defaultColWidth="9" defaultRowHeight="18.75" customHeight="1" x14ac:dyDescent="0.2"/>
  <cols>
    <col min="1" max="1" width="2.453125" style="1" customWidth="1"/>
    <col min="2" max="2" width="16.453125" style="1" customWidth="1"/>
    <col min="3" max="19" width="5.6328125" style="1" customWidth="1"/>
    <col min="20" max="20" width="9" style="1"/>
    <col min="21" max="21" width="3.6328125" style="1" customWidth="1"/>
    <col min="22" max="22" width="48.6328125" style="1" hidden="1" customWidth="1"/>
    <col min="23" max="16384" width="9" style="1"/>
  </cols>
  <sheetData>
    <row r="1" spans="1:22" ht="18.5" customHeight="1" x14ac:dyDescent="0.2">
      <c r="R1" s="101" t="s">
        <v>68</v>
      </c>
      <c r="S1" s="101"/>
      <c r="T1" s="2" t="s">
        <v>1</v>
      </c>
    </row>
    <row r="2" spans="1:22" ht="18.75" customHeight="1" x14ac:dyDescent="0.2">
      <c r="B2" s="34" t="s">
        <v>2</v>
      </c>
      <c r="C2" s="94" t="s">
        <v>3</v>
      </c>
      <c r="D2" s="95"/>
      <c r="E2" s="95"/>
      <c r="F2" s="95"/>
      <c r="G2" s="95"/>
      <c r="H2" s="95"/>
      <c r="I2" s="96"/>
      <c r="J2" s="35"/>
      <c r="K2" s="6"/>
      <c r="L2" s="6"/>
      <c r="M2" s="6"/>
      <c r="N2" s="6"/>
      <c r="O2" s="6"/>
      <c r="P2" s="6"/>
      <c r="Q2" s="6"/>
      <c r="R2" s="6"/>
      <c r="S2" s="6"/>
    </row>
    <row r="3" spans="1:22" ht="18.75" customHeight="1" x14ac:dyDescent="0.2">
      <c r="B3" s="34" t="s">
        <v>4</v>
      </c>
      <c r="C3" s="105" t="s">
        <v>5</v>
      </c>
      <c r="D3" s="106"/>
      <c r="E3" s="106"/>
      <c r="F3" s="106"/>
      <c r="G3" s="106"/>
      <c r="H3" s="106"/>
      <c r="I3" s="107"/>
      <c r="J3" s="35"/>
      <c r="K3" s="6"/>
      <c r="L3" s="6"/>
      <c r="M3" s="6"/>
      <c r="N3" s="6"/>
      <c r="O3" s="6"/>
      <c r="P3" s="6"/>
      <c r="Q3" s="6"/>
      <c r="R3" s="6"/>
      <c r="S3" s="6"/>
    </row>
    <row r="4" spans="1:22" ht="15" customHeight="1" x14ac:dyDescent="0.2">
      <c r="K4" s="35"/>
      <c r="L4" s="37"/>
      <c r="M4" s="37"/>
      <c r="N4" s="37"/>
      <c r="O4" s="37"/>
      <c r="P4" s="37"/>
      <c r="Q4" s="37"/>
      <c r="R4" s="37"/>
      <c r="S4" s="37"/>
    </row>
    <row r="5" spans="1:22" ht="18" customHeight="1" x14ac:dyDescent="0.2">
      <c r="A5" s="108" t="s">
        <v>6</v>
      </c>
      <c r="B5" s="108"/>
      <c r="C5" s="108"/>
      <c r="D5" s="108"/>
      <c r="E5" s="108"/>
      <c r="F5" s="108"/>
      <c r="G5" s="108"/>
      <c r="H5" s="108"/>
      <c r="I5" s="108"/>
      <c r="J5" s="108"/>
      <c r="K5" s="108"/>
      <c r="L5" s="108"/>
      <c r="M5" s="108"/>
      <c r="N5" s="108"/>
      <c r="O5" s="108"/>
      <c r="P5" s="108"/>
      <c r="Q5" s="108"/>
      <c r="R5" s="108"/>
      <c r="S5" s="108"/>
    </row>
    <row r="6" spans="1:22" ht="15" customHeight="1" x14ac:dyDescent="0.2">
      <c r="B6" s="3"/>
      <c r="C6" s="3"/>
      <c r="D6" s="3"/>
      <c r="E6" s="3"/>
      <c r="F6" s="3"/>
      <c r="G6" s="3"/>
      <c r="H6" s="3"/>
      <c r="I6" s="3"/>
      <c r="J6" s="3"/>
      <c r="K6" s="3"/>
      <c r="L6" s="3"/>
      <c r="M6" s="3"/>
      <c r="N6" s="3"/>
      <c r="O6" s="3"/>
      <c r="P6" s="3"/>
      <c r="Q6" s="3"/>
      <c r="R6" s="3"/>
      <c r="S6" s="3"/>
    </row>
    <row r="7" spans="1:22" ht="18" customHeight="1" x14ac:dyDescent="0.2">
      <c r="A7" s="1" t="s">
        <v>7</v>
      </c>
      <c r="C7" s="3"/>
      <c r="J7" s="38" t="s">
        <v>8</v>
      </c>
      <c r="K7" s="118" t="s">
        <v>9</v>
      </c>
      <c r="L7" s="119"/>
      <c r="M7" s="119"/>
      <c r="N7" s="119"/>
      <c r="O7" s="119"/>
      <c r="P7" s="119"/>
      <c r="Q7" s="119"/>
      <c r="R7" s="119"/>
      <c r="S7" s="120"/>
    </row>
    <row r="8" spans="1:22" ht="6" customHeight="1" x14ac:dyDescent="0.2">
      <c r="B8" s="3"/>
      <c r="C8" s="3"/>
      <c r="D8" s="3"/>
      <c r="E8" s="3"/>
      <c r="F8" s="3"/>
      <c r="G8" s="3"/>
      <c r="H8" s="3"/>
      <c r="I8" s="3"/>
      <c r="J8" s="3"/>
      <c r="K8" s="10"/>
      <c r="L8" s="3"/>
      <c r="M8" s="3"/>
      <c r="N8" s="3"/>
      <c r="O8" s="3"/>
      <c r="P8" s="3"/>
      <c r="Q8" s="3"/>
      <c r="R8" s="3"/>
      <c r="S8" s="3"/>
    </row>
    <row r="9" spans="1:22" ht="18" customHeight="1" x14ac:dyDescent="0.2">
      <c r="B9" s="82" t="s">
        <v>69</v>
      </c>
      <c r="C9" s="83"/>
      <c r="D9" s="83"/>
      <c r="E9" s="83"/>
      <c r="F9" s="83"/>
      <c r="G9" s="83"/>
      <c r="H9" s="83"/>
      <c r="I9" s="83"/>
      <c r="J9" s="83"/>
      <c r="K9" s="83"/>
      <c r="L9" s="83"/>
      <c r="M9" s="83"/>
      <c r="N9" s="83"/>
      <c r="O9" s="83"/>
      <c r="P9" s="83"/>
      <c r="Q9" s="83"/>
      <c r="R9" s="83"/>
      <c r="S9" s="84"/>
    </row>
    <row r="10" spans="1:22" ht="18" customHeight="1" x14ac:dyDescent="0.2">
      <c r="B10" s="85"/>
      <c r="C10" s="86"/>
      <c r="D10" s="86"/>
      <c r="E10" s="86"/>
      <c r="F10" s="86"/>
      <c r="G10" s="86"/>
      <c r="H10" s="86"/>
      <c r="I10" s="86"/>
      <c r="J10" s="86"/>
      <c r="K10" s="86"/>
      <c r="L10" s="86"/>
      <c r="M10" s="86"/>
      <c r="N10" s="86"/>
      <c r="O10" s="86"/>
      <c r="P10" s="86"/>
      <c r="Q10" s="86"/>
      <c r="R10" s="86"/>
      <c r="S10" s="87"/>
    </row>
    <row r="11" spans="1:22" ht="6" customHeight="1" x14ac:dyDescent="0.2">
      <c r="B11" s="3"/>
      <c r="C11" s="3"/>
      <c r="D11" s="3"/>
      <c r="E11" s="3"/>
      <c r="F11" s="3"/>
      <c r="G11" s="3"/>
      <c r="H11" s="3"/>
      <c r="I11" s="3"/>
      <c r="J11" s="3"/>
      <c r="K11" s="10"/>
      <c r="L11" s="3"/>
      <c r="M11" s="3"/>
      <c r="N11" s="3"/>
      <c r="O11" s="3"/>
      <c r="P11" s="3"/>
      <c r="Q11" s="3"/>
      <c r="R11" s="3"/>
      <c r="S11" s="3"/>
    </row>
    <row r="12" spans="1:22" ht="18" customHeight="1" x14ac:dyDescent="0.2">
      <c r="A12" s="1" t="s">
        <v>11</v>
      </c>
      <c r="B12" s="3"/>
      <c r="C12" s="3"/>
      <c r="D12" s="35"/>
      <c r="E12" s="35"/>
      <c r="F12" s="35"/>
      <c r="G12" s="35"/>
      <c r="H12" s="35"/>
      <c r="I12" s="35"/>
      <c r="J12" s="35"/>
      <c r="K12" s="39"/>
      <c r="L12" s="39"/>
      <c r="M12" s="39"/>
      <c r="N12" s="39"/>
      <c r="O12" s="39"/>
      <c r="P12" s="39"/>
      <c r="Q12" s="39"/>
      <c r="R12" s="39"/>
      <c r="S12" s="39"/>
    </row>
    <row r="13" spans="1:22" ht="18" customHeight="1" x14ac:dyDescent="0.2">
      <c r="B13" s="109" t="s">
        <v>70</v>
      </c>
      <c r="C13" s="110"/>
      <c r="D13" s="110"/>
      <c r="E13" s="110"/>
      <c r="F13" s="110"/>
      <c r="G13" s="110"/>
      <c r="H13" s="110"/>
      <c r="I13" s="110"/>
      <c r="J13" s="110"/>
      <c r="K13" s="110"/>
      <c r="L13" s="110"/>
      <c r="M13" s="110"/>
      <c r="N13" s="110"/>
      <c r="O13" s="110"/>
      <c r="P13" s="110"/>
      <c r="Q13" s="110"/>
      <c r="R13" s="110"/>
      <c r="S13" s="111"/>
      <c r="V13" s="1" t="s">
        <v>13</v>
      </c>
    </row>
    <row r="14" spans="1:22" ht="18" customHeight="1" x14ac:dyDescent="0.2">
      <c r="B14" s="112"/>
      <c r="C14" s="113"/>
      <c r="D14" s="113"/>
      <c r="E14" s="113"/>
      <c r="F14" s="113"/>
      <c r="G14" s="113"/>
      <c r="H14" s="113"/>
      <c r="I14" s="113"/>
      <c r="J14" s="113"/>
      <c r="K14" s="113"/>
      <c r="L14" s="113"/>
      <c r="M14" s="113"/>
      <c r="N14" s="113"/>
      <c r="O14" s="113"/>
      <c r="P14" s="113"/>
      <c r="Q14" s="113"/>
      <c r="R14" s="113"/>
      <c r="S14" s="114"/>
      <c r="V14" s="1" t="s">
        <v>14</v>
      </c>
    </row>
    <row r="15" spans="1:22" ht="18" customHeight="1" x14ac:dyDescent="0.2">
      <c r="B15" s="112"/>
      <c r="C15" s="113"/>
      <c r="D15" s="113"/>
      <c r="E15" s="113"/>
      <c r="F15" s="113"/>
      <c r="G15" s="113"/>
      <c r="H15" s="113"/>
      <c r="I15" s="113"/>
      <c r="J15" s="113"/>
      <c r="K15" s="113"/>
      <c r="L15" s="113"/>
      <c r="M15" s="113"/>
      <c r="N15" s="113"/>
      <c r="O15" s="113"/>
      <c r="P15" s="113"/>
      <c r="Q15" s="113"/>
      <c r="R15" s="113"/>
      <c r="S15" s="114"/>
      <c r="V15" s="1" t="s">
        <v>15</v>
      </c>
    </row>
    <row r="16" spans="1:22" ht="18" customHeight="1" x14ac:dyDescent="0.2">
      <c r="B16" s="112"/>
      <c r="C16" s="113"/>
      <c r="D16" s="113"/>
      <c r="E16" s="113"/>
      <c r="F16" s="113"/>
      <c r="G16" s="113"/>
      <c r="H16" s="113"/>
      <c r="I16" s="113"/>
      <c r="J16" s="113"/>
      <c r="K16" s="113"/>
      <c r="L16" s="113"/>
      <c r="M16" s="113"/>
      <c r="N16" s="113"/>
      <c r="O16" s="113"/>
      <c r="P16" s="113"/>
      <c r="Q16" s="113"/>
      <c r="R16" s="113"/>
      <c r="S16" s="114"/>
      <c r="V16" s="1" t="s">
        <v>16</v>
      </c>
    </row>
    <row r="17" spans="1:19" ht="18" customHeight="1" x14ac:dyDescent="0.2">
      <c r="B17" s="112"/>
      <c r="C17" s="113"/>
      <c r="D17" s="113"/>
      <c r="E17" s="113"/>
      <c r="F17" s="113"/>
      <c r="G17" s="113"/>
      <c r="H17" s="113"/>
      <c r="I17" s="113"/>
      <c r="J17" s="113"/>
      <c r="K17" s="113"/>
      <c r="L17" s="113"/>
      <c r="M17" s="113"/>
      <c r="N17" s="113"/>
      <c r="O17" s="113"/>
      <c r="P17" s="113"/>
      <c r="Q17" s="113"/>
      <c r="R17" s="113"/>
      <c r="S17" s="114"/>
    </row>
    <row r="18" spans="1:19" ht="18" customHeight="1" x14ac:dyDescent="0.2">
      <c r="B18" s="115"/>
      <c r="C18" s="116"/>
      <c r="D18" s="116"/>
      <c r="E18" s="116"/>
      <c r="F18" s="116"/>
      <c r="G18" s="116"/>
      <c r="H18" s="116"/>
      <c r="I18" s="116"/>
      <c r="J18" s="116"/>
      <c r="K18" s="116"/>
      <c r="L18" s="116"/>
      <c r="M18" s="116"/>
      <c r="N18" s="116"/>
      <c r="O18" s="116"/>
      <c r="P18" s="116"/>
      <c r="Q18" s="116"/>
      <c r="R18" s="116"/>
      <c r="S18" s="117"/>
    </row>
    <row r="19" spans="1:19" ht="7.5" customHeight="1" x14ac:dyDescent="0.2">
      <c r="B19" s="3"/>
      <c r="C19" s="3"/>
      <c r="D19" s="3"/>
      <c r="E19" s="3"/>
      <c r="F19" s="3"/>
      <c r="G19" s="3"/>
      <c r="H19" s="3"/>
      <c r="I19" s="3"/>
      <c r="J19" s="3"/>
      <c r="K19" s="3"/>
      <c r="L19" s="3"/>
      <c r="M19" s="3"/>
      <c r="N19" s="3"/>
      <c r="O19" s="3"/>
      <c r="P19" s="3"/>
      <c r="Q19" s="3"/>
      <c r="R19" s="3"/>
      <c r="S19" s="3"/>
    </row>
    <row r="20" spans="1:19" ht="20" customHeight="1" x14ac:dyDescent="0.2">
      <c r="B20" s="1" t="s">
        <v>17</v>
      </c>
      <c r="C20" s="94">
        <v>4</v>
      </c>
      <c r="D20" s="96"/>
      <c r="E20" s="40" t="s">
        <v>18</v>
      </c>
      <c r="G20" s="10"/>
      <c r="H20" s="3"/>
      <c r="I20" s="3"/>
      <c r="J20" s="35" t="s">
        <v>19</v>
      </c>
      <c r="K20" s="102" t="s">
        <v>14</v>
      </c>
      <c r="L20" s="103"/>
      <c r="M20" s="103"/>
      <c r="N20" s="103"/>
      <c r="O20" s="103"/>
      <c r="P20" s="103"/>
      <c r="Q20" s="103"/>
      <c r="R20" s="103"/>
      <c r="S20" s="104"/>
    </row>
    <row r="21" spans="1:19" ht="7.5" customHeight="1" x14ac:dyDescent="0.2">
      <c r="B21" s="3"/>
      <c r="C21" s="3"/>
      <c r="D21" s="3"/>
      <c r="E21" s="3"/>
      <c r="F21" s="3"/>
      <c r="G21" s="3"/>
      <c r="H21" s="3"/>
      <c r="I21" s="3"/>
      <c r="J21" s="3"/>
      <c r="K21" s="3"/>
      <c r="L21" s="3"/>
      <c r="M21" s="3"/>
      <c r="N21" s="3"/>
      <c r="O21" s="3"/>
      <c r="P21" s="3"/>
      <c r="Q21" s="3"/>
      <c r="R21" s="3"/>
      <c r="S21" s="3"/>
    </row>
    <row r="22" spans="1:19" ht="18" customHeight="1" x14ac:dyDescent="0.2">
      <c r="A22" s="97" t="s">
        <v>20</v>
      </c>
      <c r="B22" s="97"/>
      <c r="C22" s="97"/>
      <c r="D22" s="97"/>
      <c r="E22" s="97"/>
      <c r="F22" s="97"/>
      <c r="G22" s="97"/>
      <c r="H22" s="97"/>
      <c r="I22" s="97"/>
      <c r="J22" s="97"/>
      <c r="K22" s="97"/>
      <c r="L22" s="97"/>
      <c r="M22" s="97"/>
      <c r="N22" s="97"/>
      <c r="O22" s="97"/>
      <c r="P22" s="97"/>
      <c r="Q22" s="97"/>
      <c r="R22" s="97"/>
      <c r="S22" s="97"/>
    </row>
    <row r="23" spans="1:19" ht="18" customHeight="1" x14ac:dyDescent="0.2">
      <c r="A23" s="97"/>
      <c r="B23" s="97"/>
      <c r="C23" s="97"/>
      <c r="D23" s="97"/>
      <c r="E23" s="97"/>
      <c r="F23" s="97"/>
      <c r="G23" s="97"/>
      <c r="H23" s="97"/>
      <c r="I23" s="97"/>
      <c r="J23" s="97"/>
      <c r="K23" s="97"/>
      <c r="L23" s="97"/>
      <c r="M23" s="97"/>
      <c r="N23" s="97"/>
      <c r="O23" s="97"/>
      <c r="P23" s="97"/>
      <c r="Q23" s="97"/>
      <c r="R23" s="97"/>
      <c r="S23" s="97"/>
    </row>
    <row r="24" spans="1:19" ht="18" customHeight="1" x14ac:dyDescent="0.2">
      <c r="B24" s="94" t="s">
        <v>21</v>
      </c>
      <c r="C24" s="95"/>
      <c r="D24" s="95"/>
      <c r="E24" s="96"/>
      <c r="F24" s="61" t="s">
        <v>22</v>
      </c>
      <c r="G24" s="60" t="s">
        <v>23</v>
      </c>
      <c r="H24" s="22" t="s">
        <v>24</v>
      </c>
      <c r="I24" s="22" t="s">
        <v>25</v>
      </c>
      <c r="J24" s="94" t="s">
        <v>21</v>
      </c>
      <c r="K24" s="95"/>
      <c r="L24" s="95"/>
      <c r="M24" s="95"/>
      <c r="N24" s="95"/>
      <c r="O24" s="96"/>
      <c r="P24" s="61" t="s">
        <v>22</v>
      </c>
      <c r="Q24" s="60" t="s">
        <v>23</v>
      </c>
      <c r="R24" s="22" t="s">
        <v>24</v>
      </c>
      <c r="S24" s="22" t="s">
        <v>25</v>
      </c>
    </row>
    <row r="25" spans="1:19" ht="18" customHeight="1" x14ac:dyDescent="0.2">
      <c r="B25" s="98" t="s">
        <v>26</v>
      </c>
      <c r="C25" s="99"/>
      <c r="D25" s="99"/>
      <c r="E25" s="100"/>
      <c r="F25" s="23">
        <v>2</v>
      </c>
      <c r="G25" s="23" t="s">
        <v>27</v>
      </c>
      <c r="H25" s="23" t="s">
        <v>27</v>
      </c>
      <c r="I25" s="23" t="s">
        <v>27</v>
      </c>
      <c r="J25" s="98"/>
      <c r="K25" s="99"/>
      <c r="L25" s="99"/>
      <c r="M25" s="99"/>
      <c r="N25" s="99"/>
      <c r="O25" s="100"/>
      <c r="P25" s="23"/>
      <c r="Q25" s="23"/>
      <c r="R25" s="23"/>
      <c r="S25" s="23"/>
    </row>
    <row r="26" spans="1:19" ht="18" customHeight="1" x14ac:dyDescent="0.2">
      <c r="B26" s="88" t="s">
        <v>71</v>
      </c>
      <c r="C26" s="89"/>
      <c r="D26" s="89"/>
      <c r="E26" s="90"/>
      <c r="F26" s="24">
        <v>2</v>
      </c>
      <c r="G26" s="24" t="s">
        <v>27</v>
      </c>
      <c r="H26" s="24" t="s">
        <v>27</v>
      </c>
      <c r="I26" s="24"/>
      <c r="J26" s="88"/>
      <c r="K26" s="89"/>
      <c r="L26" s="89"/>
      <c r="M26" s="89"/>
      <c r="N26" s="89"/>
      <c r="O26" s="90"/>
      <c r="P26" s="24"/>
      <c r="Q26" s="24"/>
      <c r="R26" s="24"/>
      <c r="S26" s="24"/>
    </row>
    <row r="27" spans="1:19" ht="18" customHeight="1" x14ac:dyDescent="0.2">
      <c r="B27" s="88"/>
      <c r="C27" s="89"/>
      <c r="D27" s="89"/>
      <c r="E27" s="90"/>
      <c r="F27" s="24"/>
      <c r="G27" s="24"/>
      <c r="H27" s="24"/>
      <c r="I27" s="24"/>
      <c r="J27" s="88"/>
      <c r="K27" s="89"/>
      <c r="L27" s="89"/>
      <c r="M27" s="89"/>
      <c r="N27" s="89"/>
      <c r="O27" s="90"/>
      <c r="P27" s="24"/>
      <c r="Q27" s="24"/>
      <c r="R27" s="24"/>
      <c r="S27" s="24"/>
    </row>
    <row r="28" spans="1:19" ht="18" customHeight="1" x14ac:dyDescent="0.2">
      <c r="B28" s="88"/>
      <c r="C28" s="89"/>
      <c r="D28" s="89"/>
      <c r="E28" s="90"/>
      <c r="F28" s="24"/>
      <c r="G28" s="24"/>
      <c r="H28" s="24"/>
      <c r="I28" s="24"/>
      <c r="J28" s="88"/>
      <c r="K28" s="89"/>
      <c r="L28" s="89"/>
      <c r="M28" s="89"/>
      <c r="N28" s="89"/>
      <c r="O28" s="90"/>
      <c r="P28" s="24"/>
      <c r="Q28" s="24"/>
      <c r="R28" s="24"/>
      <c r="S28" s="24"/>
    </row>
    <row r="29" spans="1:19" ht="18" customHeight="1" x14ac:dyDescent="0.2">
      <c r="B29" s="88"/>
      <c r="C29" s="89"/>
      <c r="D29" s="89"/>
      <c r="E29" s="90"/>
      <c r="F29" s="24"/>
      <c r="G29" s="24"/>
      <c r="H29" s="24"/>
      <c r="I29" s="24"/>
      <c r="J29" s="88"/>
      <c r="K29" s="89"/>
      <c r="L29" s="89"/>
      <c r="M29" s="89"/>
      <c r="N29" s="89"/>
      <c r="O29" s="90"/>
      <c r="P29" s="24"/>
      <c r="Q29" s="24"/>
      <c r="R29" s="24"/>
      <c r="S29" s="24"/>
    </row>
    <row r="30" spans="1:19" ht="18" customHeight="1" x14ac:dyDescent="0.2">
      <c r="A30" s="3"/>
      <c r="B30" s="88"/>
      <c r="C30" s="89"/>
      <c r="D30" s="89"/>
      <c r="E30" s="90"/>
      <c r="F30" s="24"/>
      <c r="G30" s="24"/>
      <c r="H30" s="24"/>
      <c r="I30" s="24"/>
      <c r="J30" s="88"/>
      <c r="K30" s="89"/>
      <c r="L30" s="89"/>
      <c r="M30" s="89"/>
      <c r="N30" s="89"/>
      <c r="O30" s="90"/>
      <c r="P30" s="24"/>
      <c r="Q30" s="24"/>
      <c r="R30" s="24"/>
      <c r="S30" s="24"/>
    </row>
    <row r="31" spans="1:19" ht="18" customHeight="1" x14ac:dyDescent="0.2">
      <c r="A31" s="3"/>
      <c r="B31" s="91"/>
      <c r="C31" s="92"/>
      <c r="D31" s="92"/>
      <c r="E31" s="93"/>
      <c r="F31" s="25"/>
      <c r="G31" s="25"/>
      <c r="H31" s="26"/>
      <c r="I31" s="26"/>
      <c r="J31" s="91"/>
      <c r="K31" s="92"/>
      <c r="L31" s="92"/>
      <c r="M31" s="92"/>
      <c r="N31" s="92"/>
      <c r="O31" s="93"/>
      <c r="P31" s="25"/>
      <c r="Q31" s="25"/>
      <c r="R31" s="26"/>
      <c r="S31" s="26"/>
    </row>
    <row r="32" spans="1:19" ht="7.5" customHeight="1" x14ac:dyDescent="0.2">
      <c r="A32" s="3"/>
      <c r="B32" s="6"/>
      <c r="C32" s="6"/>
      <c r="D32" s="3"/>
      <c r="E32" s="3"/>
      <c r="F32" s="3"/>
      <c r="G32" s="3"/>
      <c r="H32" s="6"/>
      <c r="I32" s="6"/>
      <c r="J32" s="6"/>
      <c r="K32" s="6"/>
      <c r="L32" s="6"/>
      <c r="M32" s="6"/>
      <c r="N32" s="6"/>
      <c r="O32" s="6"/>
      <c r="P32" s="6"/>
      <c r="Q32" s="6"/>
      <c r="R32" s="6"/>
      <c r="S32" s="3"/>
    </row>
    <row r="33" spans="1:19" ht="18" customHeight="1" x14ac:dyDescent="0.2">
      <c r="A33" s="97" t="s">
        <v>28</v>
      </c>
      <c r="B33" s="97"/>
      <c r="C33" s="97"/>
      <c r="D33" s="97"/>
      <c r="E33" s="97"/>
      <c r="F33" s="97"/>
      <c r="G33" s="97"/>
      <c r="H33" s="97"/>
      <c r="I33" s="97"/>
      <c r="J33" s="97"/>
      <c r="K33" s="97"/>
      <c r="L33" s="97"/>
      <c r="M33" s="97"/>
      <c r="N33" s="97"/>
      <c r="O33" s="97"/>
      <c r="P33" s="97"/>
      <c r="Q33" s="97"/>
      <c r="R33" s="97"/>
      <c r="S33" s="97"/>
    </row>
    <row r="34" spans="1:19" ht="18" customHeight="1" x14ac:dyDescent="0.2">
      <c r="A34" s="97"/>
      <c r="B34" s="97"/>
      <c r="C34" s="97"/>
      <c r="D34" s="97"/>
      <c r="E34" s="97"/>
      <c r="F34" s="97"/>
      <c r="G34" s="97"/>
      <c r="H34" s="97"/>
      <c r="I34" s="97"/>
      <c r="J34" s="97"/>
      <c r="K34" s="97"/>
      <c r="L34" s="97"/>
      <c r="M34" s="97"/>
      <c r="N34" s="97"/>
      <c r="O34" s="97"/>
      <c r="P34" s="97"/>
      <c r="Q34" s="97"/>
      <c r="R34" s="97"/>
      <c r="S34" s="97"/>
    </row>
    <row r="35" spans="1:19" ht="18" customHeight="1" x14ac:dyDescent="0.2">
      <c r="B35" s="94" t="s">
        <v>21</v>
      </c>
      <c r="C35" s="95"/>
      <c r="D35" s="95"/>
      <c r="E35" s="96"/>
      <c r="F35" s="61" t="s">
        <v>22</v>
      </c>
      <c r="G35" s="60" t="s">
        <v>23</v>
      </c>
      <c r="H35" s="22" t="s">
        <v>29</v>
      </c>
      <c r="I35" s="22" t="s">
        <v>30</v>
      </c>
      <c r="J35" s="94" t="s">
        <v>21</v>
      </c>
      <c r="K35" s="95"/>
      <c r="L35" s="95"/>
      <c r="M35" s="95"/>
      <c r="N35" s="95"/>
      <c r="O35" s="96"/>
      <c r="P35" s="61" t="s">
        <v>22</v>
      </c>
      <c r="Q35" s="60" t="s">
        <v>23</v>
      </c>
      <c r="R35" s="22" t="s">
        <v>29</v>
      </c>
      <c r="S35" s="22" t="s">
        <v>30</v>
      </c>
    </row>
    <row r="36" spans="1:19" ht="18" customHeight="1" x14ac:dyDescent="0.2">
      <c r="B36" s="98" t="s">
        <v>26</v>
      </c>
      <c r="C36" s="99"/>
      <c r="D36" s="99"/>
      <c r="E36" s="100"/>
      <c r="F36" s="23">
        <v>2</v>
      </c>
      <c r="G36" s="23" t="s">
        <v>27</v>
      </c>
      <c r="H36" s="23" t="s">
        <v>27</v>
      </c>
      <c r="I36" s="23" t="s">
        <v>27</v>
      </c>
      <c r="J36" s="98"/>
      <c r="K36" s="99"/>
      <c r="L36" s="99"/>
      <c r="M36" s="99"/>
      <c r="N36" s="99"/>
      <c r="O36" s="100"/>
      <c r="P36" s="23"/>
      <c r="Q36" s="23"/>
      <c r="R36" s="23"/>
      <c r="S36" s="23"/>
    </row>
    <row r="37" spans="1:19" ht="18" customHeight="1" x14ac:dyDescent="0.2">
      <c r="B37" s="88"/>
      <c r="C37" s="89"/>
      <c r="D37" s="89"/>
      <c r="E37" s="90"/>
      <c r="F37" s="24"/>
      <c r="G37" s="24"/>
      <c r="H37" s="24"/>
      <c r="I37" s="24"/>
      <c r="J37" s="88"/>
      <c r="K37" s="89"/>
      <c r="L37" s="89"/>
      <c r="M37" s="89"/>
      <c r="N37" s="89"/>
      <c r="O37" s="90"/>
      <c r="P37" s="24"/>
      <c r="Q37" s="24"/>
      <c r="R37" s="24"/>
      <c r="S37" s="24"/>
    </row>
    <row r="38" spans="1:19" ht="18" customHeight="1" x14ac:dyDescent="0.2">
      <c r="B38" s="88"/>
      <c r="C38" s="89"/>
      <c r="D38" s="89"/>
      <c r="E38" s="90"/>
      <c r="F38" s="24"/>
      <c r="G38" s="24"/>
      <c r="H38" s="24"/>
      <c r="I38" s="24"/>
      <c r="J38" s="88"/>
      <c r="K38" s="89"/>
      <c r="L38" s="89"/>
      <c r="M38" s="89"/>
      <c r="N38" s="89"/>
      <c r="O38" s="90"/>
      <c r="P38" s="24"/>
      <c r="Q38" s="24"/>
      <c r="R38" s="24"/>
      <c r="S38" s="24"/>
    </row>
    <row r="39" spans="1:19" ht="18" customHeight="1" x14ac:dyDescent="0.2">
      <c r="B39" s="88"/>
      <c r="C39" s="89"/>
      <c r="D39" s="89"/>
      <c r="E39" s="90"/>
      <c r="F39" s="24"/>
      <c r="G39" s="24"/>
      <c r="H39" s="24"/>
      <c r="I39" s="24"/>
      <c r="J39" s="88"/>
      <c r="K39" s="89"/>
      <c r="L39" s="89"/>
      <c r="M39" s="89"/>
      <c r="N39" s="89"/>
      <c r="O39" s="90"/>
      <c r="P39" s="24"/>
      <c r="Q39" s="24"/>
      <c r="R39" s="24"/>
      <c r="S39" s="24"/>
    </row>
    <row r="40" spans="1:19" ht="18" customHeight="1" x14ac:dyDescent="0.2">
      <c r="B40" s="88"/>
      <c r="C40" s="89"/>
      <c r="D40" s="89"/>
      <c r="E40" s="90"/>
      <c r="F40" s="24"/>
      <c r="G40" s="24"/>
      <c r="H40" s="24"/>
      <c r="I40" s="24"/>
      <c r="J40" s="88"/>
      <c r="K40" s="89"/>
      <c r="L40" s="89"/>
      <c r="M40" s="89"/>
      <c r="N40" s="89"/>
      <c r="O40" s="90"/>
      <c r="P40" s="24"/>
      <c r="Q40" s="24"/>
      <c r="R40" s="24"/>
      <c r="S40" s="24"/>
    </row>
    <row r="41" spans="1:19" ht="18" customHeight="1" x14ac:dyDescent="0.2">
      <c r="B41" s="88"/>
      <c r="C41" s="89"/>
      <c r="D41" s="89"/>
      <c r="E41" s="90"/>
      <c r="F41" s="24"/>
      <c r="G41" s="24"/>
      <c r="H41" s="24"/>
      <c r="I41" s="24"/>
      <c r="J41" s="88"/>
      <c r="K41" s="89"/>
      <c r="L41" s="89"/>
      <c r="M41" s="89"/>
      <c r="N41" s="89"/>
      <c r="O41" s="90"/>
      <c r="P41" s="24"/>
      <c r="Q41" s="24"/>
      <c r="R41" s="24"/>
      <c r="S41" s="24"/>
    </row>
    <row r="42" spans="1:19" ht="18" customHeight="1" x14ac:dyDescent="0.2">
      <c r="B42" s="91"/>
      <c r="C42" s="92"/>
      <c r="D42" s="92"/>
      <c r="E42" s="93"/>
      <c r="F42" s="25"/>
      <c r="G42" s="25"/>
      <c r="H42" s="26"/>
      <c r="I42" s="26"/>
      <c r="J42" s="91"/>
      <c r="K42" s="92"/>
      <c r="L42" s="92"/>
      <c r="M42" s="92"/>
      <c r="N42" s="92"/>
      <c r="O42" s="93"/>
      <c r="P42" s="25"/>
      <c r="Q42" s="25"/>
      <c r="R42" s="26"/>
      <c r="S42" s="26"/>
    </row>
    <row r="43" spans="1:19" ht="7.5" customHeight="1" x14ac:dyDescent="0.2">
      <c r="A43" s="3"/>
      <c r="B43" s="6"/>
      <c r="C43" s="6"/>
      <c r="D43" s="3"/>
      <c r="E43" s="3"/>
      <c r="F43" s="3"/>
      <c r="G43" s="3"/>
      <c r="H43" s="6"/>
      <c r="I43" s="6"/>
      <c r="J43" s="6"/>
      <c r="K43" s="6"/>
      <c r="L43" s="6"/>
      <c r="M43" s="6"/>
      <c r="N43" s="6"/>
      <c r="O43" s="6"/>
      <c r="P43" s="6"/>
      <c r="Q43" s="6"/>
      <c r="R43" s="6"/>
      <c r="S43" s="3"/>
    </row>
    <row r="44" spans="1:19" ht="18" customHeight="1" x14ac:dyDescent="0.2">
      <c r="A44" s="97" t="s">
        <v>31</v>
      </c>
      <c r="B44" s="97"/>
      <c r="C44" s="97"/>
      <c r="D44" s="97"/>
      <c r="E44" s="97"/>
      <c r="F44" s="97"/>
      <c r="G44" s="97"/>
      <c r="H44" s="97"/>
      <c r="I44" s="97"/>
      <c r="J44" s="97"/>
      <c r="K44" s="97"/>
      <c r="L44" s="97"/>
      <c r="M44" s="97"/>
      <c r="N44" s="97"/>
      <c r="O44" s="97"/>
      <c r="P44" s="97"/>
      <c r="Q44" s="97"/>
      <c r="R44" s="97"/>
      <c r="S44" s="97"/>
    </row>
    <row r="45" spans="1:19" ht="18" customHeight="1" x14ac:dyDescent="0.2">
      <c r="A45" s="97"/>
      <c r="B45" s="97"/>
      <c r="C45" s="97"/>
      <c r="D45" s="97"/>
      <c r="E45" s="97"/>
      <c r="F45" s="97"/>
      <c r="G45" s="97"/>
      <c r="H45" s="97"/>
      <c r="I45" s="97"/>
      <c r="J45" s="97"/>
      <c r="K45" s="97"/>
      <c r="L45" s="97"/>
      <c r="M45" s="97"/>
      <c r="N45" s="97"/>
      <c r="O45" s="97"/>
      <c r="P45" s="97"/>
      <c r="Q45" s="97"/>
      <c r="R45" s="97"/>
      <c r="S45" s="97"/>
    </row>
    <row r="46" spans="1:19" ht="18" customHeight="1" x14ac:dyDescent="0.2">
      <c r="B46" s="94" t="s">
        <v>21</v>
      </c>
      <c r="C46" s="95"/>
      <c r="D46" s="95"/>
      <c r="E46" s="96"/>
      <c r="F46" s="61" t="s">
        <v>22</v>
      </c>
      <c r="G46" s="60" t="s">
        <v>23</v>
      </c>
      <c r="H46" s="22" t="s">
        <v>32</v>
      </c>
      <c r="I46" s="22" t="s">
        <v>33</v>
      </c>
      <c r="J46" s="94" t="s">
        <v>21</v>
      </c>
      <c r="K46" s="95"/>
      <c r="L46" s="95"/>
      <c r="M46" s="95"/>
      <c r="N46" s="95"/>
      <c r="O46" s="96"/>
      <c r="P46" s="61" t="s">
        <v>22</v>
      </c>
      <c r="Q46" s="60" t="s">
        <v>23</v>
      </c>
      <c r="R46" s="22" t="s">
        <v>32</v>
      </c>
      <c r="S46" s="22" t="s">
        <v>33</v>
      </c>
    </row>
    <row r="47" spans="1:19" ht="18" customHeight="1" x14ac:dyDescent="0.2">
      <c r="A47" s="3"/>
      <c r="B47" s="98" t="s">
        <v>26</v>
      </c>
      <c r="C47" s="99"/>
      <c r="D47" s="99"/>
      <c r="E47" s="100"/>
      <c r="F47" s="23">
        <v>2</v>
      </c>
      <c r="G47" s="23" t="s">
        <v>27</v>
      </c>
      <c r="H47" s="23" t="s">
        <v>27</v>
      </c>
      <c r="I47" s="23" t="s">
        <v>27</v>
      </c>
      <c r="J47" s="98"/>
      <c r="K47" s="99"/>
      <c r="L47" s="99"/>
      <c r="M47" s="99"/>
      <c r="N47" s="99"/>
      <c r="O47" s="100"/>
      <c r="P47" s="23"/>
      <c r="Q47" s="23"/>
      <c r="R47" s="23"/>
      <c r="S47" s="23"/>
    </row>
    <row r="48" spans="1:19" ht="18" customHeight="1" x14ac:dyDescent="0.2">
      <c r="A48" s="3"/>
      <c r="B48" s="88"/>
      <c r="C48" s="89"/>
      <c r="D48" s="89"/>
      <c r="E48" s="90"/>
      <c r="F48" s="24"/>
      <c r="G48" s="24"/>
      <c r="H48" s="24"/>
      <c r="I48" s="24"/>
      <c r="J48" s="88"/>
      <c r="K48" s="89"/>
      <c r="L48" s="89"/>
      <c r="M48" s="89"/>
      <c r="N48" s="89"/>
      <c r="O48" s="90"/>
      <c r="P48" s="24"/>
      <c r="Q48" s="24"/>
      <c r="R48" s="24"/>
      <c r="S48" s="24"/>
    </row>
    <row r="49" spans="1:19" ht="18" customHeight="1" x14ac:dyDescent="0.2">
      <c r="A49" s="3"/>
      <c r="B49" s="88"/>
      <c r="C49" s="89"/>
      <c r="D49" s="89"/>
      <c r="E49" s="90"/>
      <c r="F49" s="24"/>
      <c r="G49" s="24"/>
      <c r="H49" s="24"/>
      <c r="I49" s="24"/>
      <c r="J49" s="88"/>
      <c r="K49" s="89"/>
      <c r="L49" s="89"/>
      <c r="M49" s="89"/>
      <c r="N49" s="89"/>
      <c r="O49" s="90"/>
      <c r="P49" s="24"/>
      <c r="Q49" s="24"/>
      <c r="R49" s="24"/>
      <c r="S49" s="24"/>
    </row>
    <row r="50" spans="1:19" ht="18" customHeight="1" x14ac:dyDescent="0.2">
      <c r="A50" s="3"/>
      <c r="B50" s="88"/>
      <c r="C50" s="89"/>
      <c r="D50" s="89"/>
      <c r="E50" s="90"/>
      <c r="F50" s="24"/>
      <c r="G50" s="24"/>
      <c r="H50" s="24"/>
      <c r="I50" s="24"/>
      <c r="J50" s="88"/>
      <c r="K50" s="89"/>
      <c r="L50" s="89"/>
      <c r="M50" s="89"/>
      <c r="N50" s="89"/>
      <c r="O50" s="90"/>
      <c r="P50" s="24"/>
      <c r="Q50" s="24"/>
      <c r="R50" s="24"/>
      <c r="S50" s="24"/>
    </row>
    <row r="51" spans="1:19" ht="18" customHeight="1" x14ac:dyDescent="0.2">
      <c r="A51" s="3"/>
      <c r="B51" s="88"/>
      <c r="C51" s="89"/>
      <c r="D51" s="89"/>
      <c r="E51" s="90"/>
      <c r="F51" s="24"/>
      <c r="G51" s="24"/>
      <c r="H51" s="24"/>
      <c r="I51" s="24"/>
      <c r="J51" s="88"/>
      <c r="K51" s="89"/>
      <c r="L51" s="89"/>
      <c r="M51" s="89"/>
      <c r="N51" s="89"/>
      <c r="O51" s="90"/>
      <c r="P51" s="24"/>
      <c r="Q51" s="24"/>
      <c r="R51" s="24"/>
      <c r="S51" s="24"/>
    </row>
    <row r="52" spans="1:19" ht="18" customHeight="1" x14ac:dyDescent="0.2">
      <c r="A52" s="3"/>
      <c r="B52" s="88"/>
      <c r="C52" s="89"/>
      <c r="D52" s="89"/>
      <c r="E52" s="90"/>
      <c r="F52" s="24"/>
      <c r="G52" s="24"/>
      <c r="H52" s="24"/>
      <c r="I52" s="24"/>
      <c r="J52" s="88"/>
      <c r="K52" s="89"/>
      <c r="L52" s="89"/>
      <c r="M52" s="89"/>
      <c r="N52" s="89"/>
      <c r="O52" s="90"/>
      <c r="P52" s="24"/>
      <c r="Q52" s="24"/>
      <c r="R52" s="24"/>
      <c r="S52" s="24"/>
    </row>
    <row r="53" spans="1:19" ht="18" customHeight="1" x14ac:dyDescent="0.2">
      <c r="A53" s="3"/>
      <c r="B53" s="91"/>
      <c r="C53" s="92"/>
      <c r="D53" s="92"/>
      <c r="E53" s="93"/>
      <c r="F53" s="25"/>
      <c r="G53" s="25"/>
      <c r="H53" s="26"/>
      <c r="I53" s="26"/>
      <c r="J53" s="91"/>
      <c r="K53" s="92"/>
      <c r="L53" s="92"/>
      <c r="M53" s="92"/>
      <c r="N53" s="92"/>
      <c r="O53" s="93"/>
      <c r="P53" s="25"/>
      <c r="Q53" s="25"/>
      <c r="R53" s="26"/>
      <c r="S53" s="26"/>
    </row>
    <row r="54" spans="1:19" ht="7.5" customHeight="1" x14ac:dyDescent="0.2">
      <c r="B54" s="15"/>
      <c r="C54" s="15"/>
      <c r="D54" s="15"/>
      <c r="E54" s="15"/>
      <c r="F54" s="15"/>
      <c r="G54" s="15"/>
      <c r="H54" s="15"/>
      <c r="I54" s="15"/>
      <c r="J54" s="15"/>
      <c r="K54" s="15"/>
      <c r="L54" s="15"/>
      <c r="M54" s="15"/>
      <c r="N54" s="15"/>
      <c r="O54" s="15"/>
      <c r="P54" s="15"/>
      <c r="Q54" s="15"/>
      <c r="R54" s="15"/>
    </row>
    <row r="55" spans="1:19" ht="18" customHeight="1" x14ac:dyDescent="0.2">
      <c r="A55" s="97" t="s">
        <v>34</v>
      </c>
      <c r="B55" s="97"/>
      <c r="C55" s="97"/>
      <c r="D55" s="97"/>
      <c r="E55" s="97"/>
      <c r="F55" s="97"/>
      <c r="G55" s="97"/>
      <c r="H55" s="97"/>
      <c r="I55" s="97"/>
      <c r="J55" s="97"/>
      <c r="K55" s="97"/>
      <c r="L55" s="97"/>
      <c r="M55" s="97"/>
      <c r="N55" s="97"/>
      <c r="O55" s="97"/>
      <c r="P55" s="97"/>
      <c r="Q55" s="97"/>
      <c r="R55" s="97"/>
      <c r="S55" s="97"/>
    </row>
    <row r="56" spans="1:19" ht="18" customHeight="1" x14ac:dyDescent="0.2">
      <c r="A56" s="97"/>
      <c r="B56" s="97"/>
      <c r="C56" s="97"/>
      <c r="D56" s="97"/>
      <c r="E56" s="97"/>
      <c r="F56" s="97"/>
      <c r="G56" s="97"/>
      <c r="H56" s="97"/>
      <c r="I56" s="97"/>
      <c r="J56" s="97"/>
      <c r="K56" s="97"/>
      <c r="L56" s="97"/>
      <c r="M56" s="97"/>
      <c r="N56" s="97"/>
      <c r="O56" s="97"/>
      <c r="P56" s="97"/>
      <c r="Q56" s="97"/>
      <c r="R56" s="97"/>
      <c r="S56" s="97"/>
    </row>
    <row r="57" spans="1:19" ht="18" customHeight="1" x14ac:dyDescent="0.2">
      <c r="B57" s="94" t="s">
        <v>21</v>
      </c>
      <c r="C57" s="95"/>
      <c r="D57" s="95"/>
      <c r="E57" s="96"/>
      <c r="F57" s="61" t="s">
        <v>22</v>
      </c>
      <c r="G57" s="60" t="s">
        <v>23</v>
      </c>
      <c r="H57" s="22" t="s">
        <v>35</v>
      </c>
      <c r="I57" s="22" t="s">
        <v>36</v>
      </c>
      <c r="J57" s="94" t="s">
        <v>21</v>
      </c>
      <c r="K57" s="95"/>
      <c r="L57" s="95"/>
      <c r="M57" s="95"/>
      <c r="N57" s="95"/>
      <c r="O57" s="96"/>
      <c r="P57" s="61" t="s">
        <v>22</v>
      </c>
      <c r="Q57" s="60" t="s">
        <v>23</v>
      </c>
      <c r="R57" s="22" t="s">
        <v>35</v>
      </c>
      <c r="S57" s="22" t="s">
        <v>36</v>
      </c>
    </row>
    <row r="58" spans="1:19" ht="18" customHeight="1" x14ac:dyDescent="0.2">
      <c r="A58" s="3"/>
      <c r="B58" s="98" t="s">
        <v>26</v>
      </c>
      <c r="C58" s="99"/>
      <c r="D58" s="99"/>
      <c r="E58" s="100"/>
      <c r="F58" s="23">
        <v>2</v>
      </c>
      <c r="G58" s="23" t="s">
        <v>27</v>
      </c>
      <c r="H58" s="23" t="s">
        <v>27</v>
      </c>
      <c r="I58" s="23" t="s">
        <v>27</v>
      </c>
      <c r="J58" s="98"/>
      <c r="K58" s="99"/>
      <c r="L58" s="99"/>
      <c r="M58" s="99"/>
      <c r="N58" s="99"/>
      <c r="O58" s="100"/>
      <c r="P58" s="23"/>
      <c r="Q58" s="23"/>
      <c r="R58" s="23"/>
      <c r="S58" s="23"/>
    </row>
    <row r="59" spans="1:19" ht="18" customHeight="1" x14ac:dyDescent="0.2">
      <c r="A59" s="3"/>
      <c r="B59" s="88"/>
      <c r="C59" s="89"/>
      <c r="D59" s="89"/>
      <c r="E59" s="90"/>
      <c r="F59" s="24"/>
      <c r="G59" s="24"/>
      <c r="H59" s="24"/>
      <c r="I59" s="24"/>
      <c r="J59" s="88"/>
      <c r="K59" s="89"/>
      <c r="L59" s="89"/>
      <c r="M59" s="89"/>
      <c r="N59" s="89"/>
      <c r="O59" s="90"/>
      <c r="P59" s="24"/>
      <c r="Q59" s="24"/>
      <c r="R59" s="24"/>
      <c r="S59" s="24"/>
    </row>
    <row r="60" spans="1:19" ht="18" customHeight="1" x14ac:dyDescent="0.2">
      <c r="A60" s="3"/>
      <c r="B60" s="88"/>
      <c r="C60" s="89"/>
      <c r="D60" s="89"/>
      <c r="E60" s="90"/>
      <c r="F60" s="24"/>
      <c r="G60" s="24"/>
      <c r="H60" s="24"/>
      <c r="I60" s="24"/>
      <c r="J60" s="88"/>
      <c r="K60" s="89"/>
      <c r="L60" s="89"/>
      <c r="M60" s="89"/>
      <c r="N60" s="89"/>
      <c r="O60" s="90"/>
      <c r="P60" s="24"/>
      <c r="Q60" s="24"/>
      <c r="R60" s="24"/>
      <c r="S60" s="24"/>
    </row>
    <row r="61" spans="1:19" ht="18" customHeight="1" x14ac:dyDescent="0.2">
      <c r="A61" s="3"/>
      <c r="B61" s="88"/>
      <c r="C61" s="89"/>
      <c r="D61" s="89"/>
      <c r="E61" s="90"/>
      <c r="F61" s="24"/>
      <c r="G61" s="24"/>
      <c r="H61" s="24"/>
      <c r="I61" s="24"/>
      <c r="J61" s="88"/>
      <c r="K61" s="89"/>
      <c r="L61" s="89"/>
      <c r="M61" s="89"/>
      <c r="N61" s="89"/>
      <c r="O61" s="90"/>
      <c r="P61" s="24"/>
      <c r="Q61" s="24"/>
      <c r="R61" s="24"/>
      <c r="S61" s="24"/>
    </row>
    <row r="62" spans="1:19" ht="18" customHeight="1" x14ac:dyDescent="0.2">
      <c r="A62" s="3"/>
      <c r="B62" s="88"/>
      <c r="C62" s="89"/>
      <c r="D62" s="89"/>
      <c r="E62" s="90"/>
      <c r="F62" s="24"/>
      <c r="G62" s="24"/>
      <c r="H62" s="24"/>
      <c r="I62" s="24"/>
      <c r="J62" s="88"/>
      <c r="K62" s="89"/>
      <c r="L62" s="89"/>
      <c r="M62" s="89"/>
      <c r="N62" s="89"/>
      <c r="O62" s="90"/>
      <c r="P62" s="24"/>
      <c r="Q62" s="24"/>
      <c r="R62" s="24"/>
      <c r="S62" s="24"/>
    </row>
    <row r="63" spans="1:19" ht="18" customHeight="1" x14ac:dyDescent="0.2">
      <c r="A63" s="3"/>
      <c r="B63" s="88"/>
      <c r="C63" s="89"/>
      <c r="D63" s="89"/>
      <c r="E63" s="90"/>
      <c r="F63" s="24"/>
      <c r="G63" s="24"/>
      <c r="H63" s="24"/>
      <c r="I63" s="24"/>
      <c r="J63" s="88"/>
      <c r="K63" s="89"/>
      <c r="L63" s="89"/>
      <c r="M63" s="89"/>
      <c r="N63" s="89"/>
      <c r="O63" s="90"/>
      <c r="P63" s="24"/>
      <c r="Q63" s="24"/>
      <c r="R63" s="24"/>
      <c r="S63" s="24"/>
    </row>
    <row r="64" spans="1:19" ht="18" customHeight="1" x14ac:dyDescent="0.2">
      <c r="A64" s="3"/>
      <c r="B64" s="91"/>
      <c r="C64" s="92"/>
      <c r="D64" s="92"/>
      <c r="E64" s="93"/>
      <c r="F64" s="25"/>
      <c r="G64" s="25"/>
      <c r="H64" s="26"/>
      <c r="I64" s="26"/>
      <c r="J64" s="91"/>
      <c r="K64" s="92"/>
      <c r="L64" s="92"/>
      <c r="M64" s="92"/>
      <c r="N64" s="92"/>
      <c r="O64" s="93"/>
      <c r="P64" s="25"/>
      <c r="Q64" s="25"/>
      <c r="R64" s="26"/>
      <c r="S64" s="26"/>
    </row>
    <row r="65" spans="1:19" ht="7.5" customHeight="1" x14ac:dyDescent="0.2">
      <c r="B65" s="15"/>
      <c r="C65" s="15"/>
      <c r="D65" s="15"/>
      <c r="E65" s="15"/>
      <c r="F65" s="15"/>
      <c r="G65" s="15"/>
      <c r="H65" s="15"/>
      <c r="I65" s="15"/>
      <c r="J65" s="15"/>
      <c r="K65" s="15"/>
      <c r="L65" s="15"/>
      <c r="M65" s="15"/>
      <c r="N65" s="15"/>
      <c r="O65" s="15"/>
      <c r="P65" s="15"/>
      <c r="Q65" s="15"/>
      <c r="R65" s="15"/>
    </row>
    <row r="66" spans="1:19" ht="18" customHeight="1" x14ac:dyDescent="0.2">
      <c r="A66" s="97" t="s">
        <v>38</v>
      </c>
      <c r="B66" s="97"/>
      <c r="C66" s="97"/>
      <c r="D66" s="97"/>
      <c r="E66" s="97"/>
      <c r="F66" s="97"/>
      <c r="G66" s="97"/>
      <c r="H66" s="97"/>
      <c r="I66" s="97"/>
      <c r="J66" s="97"/>
      <c r="K66" s="97"/>
      <c r="L66" s="97"/>
      <c r="M66" s="97"/>
      <c r="N66" s="97"/>
      <c r="O66" s="97"/>
      <c r="P66" s="97"/>
      <c r="Q66" s="97"/>
      <c r="R66" s="97"/>
      <c r="S66" s="97"/>
    </row>
    <row r="67" spans="1:19" ht="18" customHeight="1" x14ac:dyDescent="0.2">
      <c r="A67" s="97"/>
      <c r="B67" s="97"/>
      <c r="C67" s="97"/>
      <c r="D67" s="97"/>
      <c r="E67" s="97"/>
      <c r="F67" s="97"/>
      <c r="G67" s="97"/>
      <c r="H67" s="97"/>
      <c r="I67" s="97"/>
      <c r="J67" s="97"/>
      <c r="K67" s="97"/>
      <c r="L67" s="97"/>
      <c r="M67" s="97"/>
      <c r="N67" s="97"/>
      <c r="O67" s="97"/>
      <c r="P67" s="97"/>
      <c r="Q67" s="97"/>
      <c r="R67" s="97"/>
      <c r="S67" s="97"/>
    </row>
    <row r="68" spans="1:19" ht="18" customHeight="1" x14ac:dyDescent="0.2">
      <c r="B68" s="94" t="s">
        <v>21</v>
      </c>
      <c r="C68" s="95"/>
      <c r="D68" s="95"/>
      <c r="E68" s="61" t="s">
        <v>22</v>
      </c>
      <c r="F68" s="60" t="s">
        <v>23</v>
      </c>
      <c r="G68" s="22" t="s">
        <v>39</v>
      </c>
      <c r="H68" s="22" t="s">
        <v>40</v>
      </c>
      <c r="I68" s="22" t="s">
        <v>41</v>
      </c>
      <c r="J68" s="94" t="s">
        <v>21</v>
      </c>
      <c r="K68" s="95"/>
      <c r="L68" s="95"/>
      <c r="M68" s="95"/>
      <c r="N68" s="96"/>
      <c r="O68" s="61" t="s">
        <v>22</v>
      </c>
      <c r="P68" s="60" t="s">
        <v>23</v>
      </c>
      <c r="Q68" s="22" t="s">
        <v>39</v>
      </c>
      <c r="R68" s="22" t="s">
        <v>40</v>
      </c>
      <c r="S68" s="22" t="s">
        <v>41</v>
      </c>
    </row>
    <row r="69" spans="1:19" ht="18" customHeight="1" x14ac:dyDescent="0.2">
      <c r="A69" s="3"/>
      <c r="B69" s="98" t="s">
        <v>26</v>
      </c>
      <c r="C69" s="99"/>
      <c r="D69" s="100"/>
      <c r="E69" s="23">
        <v>2</v>
      </c>
      <c r="F69" s="23" t="s">
        <v>27</v>
      </c>
      <c r="G69" s="23" t="s">
        <v>27</v>
      </c>
      <c r="H69" s="23" t="s">
        <v>27</v>
      </c>
      <c r="I69" s="23" t="s">
        <v>27</v>
      </c>
      <c r="J69" s="98"/>
      <c r="K69" s="99"/>
      <c r="L69" s="99"/>
      <c r="M69" s="99"/>
      <c r="N69" s="100"/>
      <c r="O69" s="23"/>
      <c r="P69" s="23"/>
      <c r="Q69" s="23"/>
      <c r="R69" s="23"/>
      <c r="S69" s="23"/>
    </row>
    <row r="70" spans="1:19" ht="18" customHeight="1" x14ac:dyDescent="0.2">
      <c r="A70" s="3"/>
      <c r="B70" s="88" t="s">
        <v>71</v>
      </c>
      <c r="C70" s="89"/>
      <c r="D70" s="90"/>
      <c r="E70" s="24">
        <v>2</v>
      </c>
      <c r="F70" s="24" t="s">
        <v>27</v>
      </c>
      <c r="G70" s="24" t="s">
        <v>27</v>
      </c>
      <c r="H70" s="24" t="s">
        <v>27</v>
      </c>
      <c r="I70" s="24" t="s">
        <v>27</v>
      </c>
      <c r="J70" s="88"/>
      <c r="K70" s="89"/>
      <c r="L70" s="89"/>
      <c r="M70" s="89"/>
      <c r="N70" s="90"/>
      <c r="O70" s="24"/>
      <c r="P70" s="24"/>
      <c r="Q70" s="24"/>
      <c r="R70" s="24"/>
      <c r="S70" s="24"/>
    </row>
    <row r="71" spans="1:19" ht="18" customHeight="1" x14ac:dyDescent="0.2">
      <c r="A71" s="3"/>
      <c r="B71" s="88"/>
      <c r="C71" s="89"/>
      <c r="D71" s="89"/>
      <c r="E71" s="24"/>
      <c r="F71" s="24"/>
      <c r="G71" s="24"/>
      <c r="H71" s="24"/>
      <c r="I71" s="24"/>
      <c r="J71" s="88"/>
      <c r="K71" s="89"/>
      <c r="L71" s="89"/>
      <c r="M71" s="89"/>
      <c r="N71" s="90"/>
      <c r="O71" s="24"/>
      <c r="P71" s="24"/>
      <c r="Q71" s="24"/>
      <c r="R71" s="24"/>
      <c r="S71" s="24"/>
    </row>
    <row r="72" spans="1:19" ht="18" customHeight="1" x14ac:dyDescent="0.2">
      <c r="A72" s="3"/>
      <c r="B72" s="88"/>
      <c r="C72" s="89"/>
      <c r="D72" s="89"/>
      <c r="E72" s="24"/>
      <c r="F72" s="24"/>
      <c r="G72" s="24"/>
      <c r="H72" s="24"/>
      <c r="I72" s="24"/>
      <c r="J72" s="88"/>
      <c r="K72" s="89"/>
      <c r="L72" s="89"/>
      <c r="M72" s="89"/>
      <c r="N72" s="90"/>
      <c r="O72" s="24"/>
      <c r="P72" s="24"/>
      <c r="Q72" s="24"/>
      <c r="R72" s="24"/>
      <c r="S72" s="24"/>
    </row>
    <row r="73" spans="1:19" ht="18" customHeight="1" x14ac:dyDescent="0.2">
      <c r="A73" s="3"/>
      <c r="B73" s="88"/>
      <c r="C73" s="89"/>
      <c r="D73" s="89"/>
      <c r="E73" s="24"/>
      <c r="F73" s="24"/>
      <c r="G73" s="24"/>
      <c r="H73" s="24"/>
      <c r="I73" s="24"/>
      <c r="J73" s="88"/>
      <c r="K73" s="89"/>
      <c r="L73" s="89"/>
      <c r="M73" s="89"/>
      <c r="N73" s="90"/>
      <c r="O73" s="24"/>
      <c r="P73" s="24"/>
      <c r="Q73" s="24"/>
      <c r="R73" s="24"/>
      <c r="S73" s="24"/>
    </row>
    <row r="74" spans="1:19" ht="18" customHeight="1" x14ac:dyDescent="0.2">
      <c r="A74" s="3"/>
      <c r="B74" s="88"/>
      <c r="C74" s="89"/>
      <c r="D74" s="89"/>
      <c r="E74" s="24"/>
      <c r="F74" s="24"/>
      <c r="G74" s="24"/>
      <c r="H74" s="24"/>
      <c r="I74" s="24"/>
      <c r="J74" s="88"/>
      <c r="K74" s="89"/>
      <c r="L74" s="89"/>
      <c r="M74" s="89"/>
      <c r="N74" s="90"/>
      <c r="O74" s="24"/>
      <c r="P74" s="24"/>
      <c r="Q74" s="24"/>
      <c r="R74" s="24"/>
      <c r="S74" s="24"/>
    </row>
    <row r="75" spans="1:19" ht="18" customHeight="1" x14ac:dyDescent="0.2">
      <c r="A75" s="3"/>
      <c r="B75" s="91"/>
      <c r="C75" s="92"/>
      <c r="D75" s="92"/>
      <c r="E75" s="25"/>
      <c r="F75" s="25"/>
      <c r="G75" s="26"/>
      <c r="H75" s="26"/>
      <c r="I75" s="26"/>
      <c r="J75" s="91"/>
      <c r="K75" s="92"/>
      <c r="L75" s="92"/>
      <c r="M75" s="92"/>
      <c r="N75" s="93"/>
      <c r="O75" s="25"/>
      <c r="P75" s="25"/>
      <c r="Q75" s="26"/>
      <c r="R75" s="26"/>
      <c r="S75" s="26"/>
    </row>
    <row r="76" spans="1:19" ht="7.5" customHeight="1" x14ac:dyDescent="0.2">
      <c r="B76" s="15"/>
      <c r="C76" s="15"/>
      <c r="D76" s="15"/>
      <c r="E76" s="15"/>
      <c r="F76" s="15"/>
      <c r="G76" s="15"/>
      <c r="H76" s="15"/>
      <c r="I76" s="15"/>
      <c r="J76" s="15"/>
      <c r="K76" s="15"/>
      <c r="L76" s="15"/>
      <c r="M76" s="15"/>
      <c r="N76" s="15"/>
      <c r="O76" s="15"/>
      <c r="P76" s="15"/>
      <c r="Q76" s="15"/>
      <c r="R76" s="15"/>
    </row>
    <row r="77" spans="1:19" ht="18" customHeight="1" x14ac:dyDescent="0.2">
      <c r="A77" s="1" t="s">
        <v>42</v>
      </c>
      <c r="H77" s="3"/>
      <c r="I77" s="3"/>
      <c r="J77" s="3"/>
      <c r="K77" s="3"/>
      <c r="L77" s="3"/>
      <c r="M77" s="3"/>
      <c r="N77" s="3"/>
      <c r="O77" s="3"/>
      <c r="P77" s="3"/>
      <c r="Q77" s="3"/>
      <c r="R77" s="3"/>
      <c r="S77" s="3"/>
    </row>
    <row r="78" spans="1:19" ht="18" customHeight="1" x14ac:dyDescent="0.2">
      <c r="B78" s="94" t="s">
        <v>21</v>
      </c>
      <c r="C78" s="95"/>
      <c r="D78" s="95"/>
      <c r="E78" s="96"/>
      <c r="F78" s="94" t="s">
        <v>43</v>
      </c>
      <c r="G78" s="95"/>
      <c r="H78" s="95"/>
      <c r="I78" s="96"/>
      <c r="J78" s="137" t="s">
        <v>21</v>
      </c>
      <c r="K78" s="138"/>
      <c r="L78" s="138"/>
      <c r="M78" s="138"/>
      <c r="N78" s="138"/>
      <c r="O78" s="139"/>
      <c r="P78" s="94" t="s">
        <v>43</v>
      </c>
      <c r="Q78" s="95"/>
      <c r="R78" s="95"/>
      <c r="S78" s="96"/>
    </row>
    <row r="79" spans="1:19" ht="18" customHeight="1" x14ac:dyDescent="0.2">
      <c r="A79" s="3"/>
      <c r="B79" s="98" t="s">
        <v>26</v>
      </c>
      <c r="C79" s="99"/>
      <c r="D79" s="99"/>
      <c r="E79" s="100"/>
      <c r="F79" s="154" t="s">
        <v>44</v>
      </c>
      <c r="G79" s="155"/>
      <c r="H79" s="155"/>
      <c r="I79" s="156"/>
      <c r="J79" s="98"/>
      <c r="K79" s="99"/>
      <c r="L79" s="99"/>
      <c r="M79" s="99"/>
      <c r="N79" s="99"/>
      <c r="O79" s="100"/>
      <c r="P79" s="154"/>
      <c r="Q79" s="155"/>
      <c r="R79" s="155"/>
      <c r="S79" s="156"/>
    </row>
    <row r="80" spans="1:19" ht="18" customHeight="1" x14ac:dyDescent="0.2">
      <c r="A80" s="3"/>
      <c r="B80" s="88" t="s">
        <v>71</v>
      </c>
      <c r="C80" s="89"/>
      <c r="D80" s="89"/>
      <c r="E80" s="90"/>
      <c r="F80" s="127" t="s">
        <v>72</v>
      </c>
      <c r="G80" s="128"/>
      <c r="H80" s="128"/>
      <c r="I80" s="129"/>
      <c r="J80" s="88"/>
      <c r="K80" s="89"/>
      <c r="L80" s="89"/>
      <c r="M80" s="89"/>
      <c r="N80" s="89"/>
      <c r="O80" s="90"/>
      <c r="P80" s="127"/>
      <c r="Q80" s="128"/>
      <c r="R80" s="128"/>
      <c r="S80" s="129"/>
    </row>
    <row r="81" spans="1:19" ht="18" customHeight="1" x14ac:dyDescent="0.2">
      <c r="A81" s="3"/>
      <c r="B81" s="88" t="s">
        <v>71</v>
      </c>
      <c r="C81" s="89"/>
      <c r="D81" s="89"/>
      <c r="E81" s="90"/>
      <c r="F81" s="127" t="s">
        <v>73</v>
      </c>
      <c r="G81" s="128"/>
      <c r="H81" s="128"/>
      <c r="I81" s="129"/>
      <c r="J81" s="88"/>
      <c r="K81" s="89"/>
      <c r="L81" s="89"/>
      <c r="M81" s="89"/>
      <c r="N81" s="89"/>
      <c r="O81" s="90"/>
      <c r="P81" s="127"/>
      <c r="Q81" s="128"/>
      <c r="R81" s="128"/>
      <c r="S81" s="129"/>
    </row>
    <row r="82" spans="1:19" ht="18" customHeight="1" x14ac:dyDescent="0.2">
      <c r="A82" s="3"/>
      <c r="B82" s="88" t="s">
        <v>71</v>
      </c>
      <c r="C82" s="89"/>
      <c r="D82" s="89"/>
      <c r="E82" s="90"/>
      <c r="F82" s="127" t="s">
        <v>74</v>
      </c>
      <c r="G82" s="128"/>
      <c r="H82" s="128"/>
      <c r="I82" s="129"/>
      <c r="J82" s="88"/>
      <c r="K82" s="89"/>
      <c r="L82" s="89"/>
      <c r="M82" s="89"/>
      <c r="N82" s="89"/>
      <c r="O82" s="90"/>
      <c r="P82" s="127"/>
      <c r="Q82" s="128"/>
      <c r="R82" s="128"/>
      <c r="S82" s="129"/>
    </row>
    <row r="83" spans="1:19" ht="18" customHeight="1" x14ac:dyDescent="0.2">
      <c r="A83" s="3"/>
      <c r="B83" s="163" t="s">
        <v>71</v>
      </c>
      <c r="C83" s="164"/>
      <c r="D83" s="164"/>
      <c r="E83" s="165"/>
      <c r="F83" s="127" t="s">
        <v>75</v>
      </c>
      <c r="G83" s="128"/>
      <c r="H83" s="128"/>
      <c r="I83" s="129"/>
      <c r="J83" s="88"/>
      <c r="K83" s="89"/>
      <c r="L83" s="89"/>
      <c r="M83" s="89"/>
      <c r="N83" s="89"/>
      <c r="O83" s="90"/>
      <c r="P83" s="127"/>
      <c r="Q83" s="128"/>
      <c r="R83" s="128"/>
      <c r="S83" s="129"/>
    </row>
    <row r="84" spans="1:19" ht="18" customHeight="1" x14ac:dyDescent="0.2">
      <c r="A84" s="3"/>
      <c r="B84" s="88"/>
      <c r="C84" s="89"/>
      <c r="D84" s="89"/>
      <c r="E84" s="90"/>
      <c r="F84" s="127"/>
      <c r="G84" s="128"/>
      <c r="H84" s="128"/>
      <c r="I84" s="129"/>
      <c r="J84" s="88"/>
      <c r="K84" s="89"/>
      <c r="L84" s="89"/>
      <c r="M84" s="89"/>
      <c r="N84" s="89"/>
      <c r="O84" s="90"/>
      <c r="P84" s="127"/>
      <c r="Q84" s="128"/>
      <c r="R84" s="128"/>
      <c r="S84" s="129"/>
    </row>
    <row r="85" spans="1:19" ht="18" customHeight="1" x14ac:dyDescent="0.2">
      <c r="A85" s="3"/>
      <c r="B85" s="91"/>
      <c r="C85" s="92"/>
      <c r="D85" s="92"/>
      <c r="E85" s="93"/>
      <c r="F85" s="124"/>
      <c r="G85" s="125"/>
      <c r="H85" s="125"/>
      <c r="I85" s="126"/>
      <c r="J85" s="91"/>
      <c r="K85" s="92"/>
      <c r="L85" s="92"/>
      <c r="M85" s="92"/>
      <c r="N85" s="92"/>
      <c r="O85" s="93"/>
      <c r="P85" s="124"/>
      <c r="Q85" s="125"/>
      <c r="R85" s="125"/>
      <c r="S85" s="126"/>
    </row>
    <row r="86" spans="1:19" ht="18" customHeight="1" x14ac:dyDescent="0.2">
      <c r="A86" s="3"/>
      <c r="B86" s="6"/>
      <c r="C86" s="6"/>
      <c r="D86" s="6"/>
      <c r="E86" s="6"/>
      <c r="F86" s="27"/>
      <c r="G86" s="27"/>
      <c r="H86" s="27"/>
      <c r="I86" s="27"/>
      <c r="J86" s="6"/>
      <c r="K86" s="6"/>
      <c r="L86" s="6"/>
      <c r="M86" s="6"/>
      <c r="N86" s="6"/>
      <c r="O86" s="6"/>
      <c r="P86" s="27"/>
      <c r="Q86" s="27"/>
      <c r="R86" s="27"/>
      <c r="S86" s="27"/>
    </row>
    <row r="87" spans="1:19" ht="18.75" customHeight="1" x14ac:dyDescent="0.2">
      <c r="A87" s="1" t="s">
        <v>45</v>
      </c>
    </row>
    <row r="88" spans="1:19" ht="18.75" customHeight="1" x14ac:dyDescent="0.2">
      <c r="B88" s="149" t="s">
        <v>46</v>
      </c>
      <c r="C88" s="150"/>
      <c r="D88" s="95" t="s">
        <v>47</v>
      </c>
      <c r="E88" s="95"/>
      <c r="F88" s="95"/>
      <c r="G88" s="95"/>
      <c r="H88" s="95"/>
      <c r="I88" s="95"/>
      <c r="J88" s="95"/>
      <c r="K88" s="95"/>
      <c r="L88" s="95"/>
      <c r="M88" s="95"/>
      <c r="N88" s="95"/>
      <c r="O88" s="95"/>
      <c r="P88" s="95"/>
      <c r="Q88" s="95"/>
      <c r="R88" s="95"/>
      <c r="S88" s="96"/>
    </row>
    <row r="89" spans="1:19" ht="97.5" customHeight="1" x14ac:dyDescent="0.2">
      <c r="B89" s="140" t="s">
        <v>48</v>
      </c>
      <c r="C89" s="28" t="s">
        <v>24</v>
      </c>
      <c r="D89" s="151" t="s">
        <v>76</v>
      </c>
      <c r="E89" s="152"/>
      <c r="F89" s="152"/>
      <c r="G89" s="152"/>
      <c r="H89" s="152"/>
      <c r="I89" s="152"/>
      <c r="J89" s="152"/>
      <c r="K89" s="152"/>
      <c r="L89" s="152"/>
      <c r="M89" s="152"/>
      <c r="N89" s="152"/>
      <c r="O89" s="152"/>
      <c r="P89" s="152"/>
      <c r="Q89" s="152"/>
      <c r="R89" s="152"/>
      <c r="S89" s="153"/>
    </row>
    <row r="90" spans="1:19" ht="97.5" customHeight="1" x14ac:dyDescent="0.2">
      <c r="B90" s="142"/>
      <c r="C90" s="29" t="s">
        <v>50</v>
      </c>
      <c r="D90" s="130" t="s">
        <v>51</v>
      </c>
      <c r="E90" s="131"/>
      <c r="F90" s="131"/>
      <c r="G90" s="131"/>
      <c r="H90" s="131"/>
      <c r="I90" s="131"/>
      <c r="J90" s="131"/>
      <c r="K90" s="131"/>
      <c r="L90" s="131"/>
      <c r="M90" s="131"/>
      <c r="N90" s="131"/>
      <c r="O90" s="131"/>
      <c r="P90" s="131"/>
      <c r="Q90" s="131"/>
      <c r="R90" s="131"/>
      <c r="S90" s="132"/>
    </row>
    <row r="91" spans="1:19" ht="97.5" customHeight="1" x14ac:dyDescent="0.2">
      <c r="B91" s="140" t="s">
        <v>52</v>
      </c>
      <c r="C91" s="30" t="s">
        <v>29</v>
      </c>
      <c r="D91" s="133" t="s">
        <v>77</v>
      </c>
      <c r="E91" s="134"/>
      <c r="F91" s="134"/>
      <c r="G91" s="134"/>
      <c r="H91" s="134"/>
      <c r="I91" s="134"/>
      <c r="J91" s="134"/>
      <c r="K91" s="134"/>
      <c r="L91" s="134"/>
      <c r="M91" s="134"/>
      <c r="N91" s="134"/>
      <c r="O91" s="134"/>
      <c r="P91" s="134"/>
      <c r="Q91" s="134"/>
      <c r="R91" s="134"/>
      <c r="S91" s="135"/>
    </row>
    <row r="92" spans="1:19" ht="97.5" customHeight="1" x14ac:dyDescent="0.2">
      <c r="B92" s="141"/>
      <c r="C92" s="31" t="s">
        <v>30</v>
      </c>
      <c r="D92" s="130" t="s">
        <v>54</v>
      </c>
      <c r="E92" s="131"/>
      <c r="F92" s="131"/>
      <c r="G92" s="131"/>
      <c r="H92" s="131"/>
      <c r="I92" s="131"/>
      <c r="J92" s="131"/>
      <c r="K92" s="131"/>
      <c r="L92" s="131"/>
      <c r="M92" s="131"/>
      <c r="N92" s="131"/>
      <c r="O92" s="131"/>
      <c r="P92" s="131"/>
      <c r="Q92" s="131"/>
      <c r="R92" s="131"/>
      <c r="S92" s="132"/>
    </row>
    <row r="93" spans="1:19" ht="97.5" customHeight="1" x14ac:dyDescent="0.2">
      <c r="B93" s="140" t="s">
        <v>55</v>
      </c>
      <c r="C93" s="30" t="s">
        <v>32</v>
      </c>
      <c r="D93" s="133" t="s">
        <v>56</v>
      </c>
      <c r="E93" s="134"/>
      <c r="F93" s="134"/>
      <c r="G93" s="134"/>
      <c r="H93" s="134"/>
      <c r="I93" s="134"/>
      <c r="J93" s="134"/>
      <c r="K93" s="134"/>
      <c r="L93" s="134"/>
      <c r="M93" s="134"/>
      <c r="N93" s="134"/>
      <c r="O93" s="134"/>
      <c r="P93" s="134"/>
      <c r="Q93" s="134"/>
      <c r="R93" s="134"/>
      <c r="S93" s="135"/>
    </row>
    <row r="94" spans="1:19" ht="97.5" customHeight="1" x14ac:dyDescent="0.2">
      <c r="B94" s="141"/>
      <c r="C94" s="32" t="s">
        <v>33</v>
      </c>
      <c r="D94" s="130" t="s">
        <v>57</v>
      </c>
      <c r="E94" s="131"/>
      <c r="F94" s="131"/>
      <c r="G94" s="131"/>
      <c r="H94" s="131"/>
      <c r="I94" s="131"/>
      <c r="J94" s="131"/>
      <c r="K94" s="131"/>
      <c r="L94" s="131"/>
      <c r="M94" s="131"/>
      <c r="N94" s="131"/>
      <c r="O94" s="131"/>
      <c r="P94" s="131"/>
      <c r="Q94" s="131"/>
      <c r="R94" s="131"/>
      <c r="S94" s="132"/>
    </row>
    <row r="95" spans="1:19" ht="97.5" customHeight="1" x14ac:dyDescent="0.2">
      <c r="B95" s="140" t="s">
        <v>58</v>
      </c>
      <c r="C95" s="28" t="s">
        <v>35</v>
      </c>
      <c r="D95" s="133" t="s">
        <v>78</v>
      </c>
      <c r="E95" s="134"/>
      <c r="F95" s="134"/>
      <c r="G95" s="134"/>
      <c r="H95" s="134"/>
      <c r="I95" s="134"/>
      <c r="J95" s="134"/>
      <c r="K95" s="134"/>
      <c r="L95" s="134"/>
      <c r="M95" s="134"/>
      <c r="N95" s="134"/>
      <c r="O95" s="134"/>
      <c r="P95" s="134"/>
      <c r="Q95" s="134"/>
      <c r="R95" s="134"/>
      <c r="S95" s="135"/>
    </row>
    <row r="96" spans="1:19" ht="97.5" customHeight="1" x14ac:dyDescent="0.2">
      <c r="B96" s="141"/>
      <c r="C96" s="31" t="s">
        <v>36</v>
      </c>
      <c r="D96" s="130" t="s">
        <v>60</v>
      </c>
      <c r="E96" s="131"/>
      <c r="F96" s="131"/>
      <c r="G96" s="131"/>
      <c r="H96" s="131"/>
      <c r="I96" s="131"/>
      <c r="J96" s="131"/>
      <c r="K96" s="131"/>
      <c r="L96" s="131"/>
      <c r="M96" s="131"/>
      <c r="N96" s="131"/>
      <c r="O96" s="131"/>
      <c r="P96" s="131"/>
      <c r="Q96" s="131"/>
      <c r="R96" s="131"/>
      <c r="S96" s="132"/>
    </row>
    <row r="97" spans="1:19" ht="104.75" customHeight="1" x14ac:dyDescent="0.2">
      <c r="B97" s="140" t="s">
        <v>61</v>
      </c>
      <c r="C97" s="30" t="s">
        <v>62</v>
      </c>
      <c r="D97" s="157" t="s">
        <v>79</v>
      </c>
      <c r="E97" s="158"/>
      <c r="F97" s="158"/>
      <c r="G97" s="158"/>
      <c r="H97" s="158"/>
      <c r="I97" s="158"/>
      <c r="J97" s="158"/>
      <c r="K97" s="158"/>
      <c r="L97" s="158"/>
      <c r="M97" s="158"/>
      <c r="N97" s="158"/>
      <c r="O97" s="158"/>
      <c r="P97" s="158"/>
      <c r="Q97" s="158"/>
      <c r="R97" s="158"/>
      <c r="S97" s="159"/>
    </row>
    <row r="98" spans="1:19" ht="97.5" customHeight="1" x14ac:dyDescent="0.2">
      <c r="B98" s="142"/>
      <c r="C98" s="33" t="s">
        <v>40</v>
      </c>
      <c r="D98" s="160" t="s">
        <v>80</v>
      </c>
      <c r="E98" s="161"/>
      <c r="F98" s="161"/>
      <c r="G98" s="161"/>
      <c r="H98" s="161"/>
      <c r="I98" s="161"/>
      <c r="J98" s="161"/>
      <c r="K98" s="161"/>
      <c r="L98" s="161"/>
      <c r="M98" s="161"/>
      <c r="N98" s="161"/>
      <c r="O98" s="161"/>
      <c r="P98" s="161"/>
      <c r="Q98" s="161"/>
      <c r="R98" s="161"/>
      <c r="S98" s="162"/>
    </row>
    <row r="99" spans="1:19" ht="97.5" customHeight="1" x14ac:dyDescent="0.2">
      <c r="B99" s="141"/>
      <c r="C99" s="32" t="s">
        <v>41</v>
      </c>
      <c r="D99" s="130" t="s">
        <v>81</v>
      </c>
      <c r="E99" s="131"/>
      <c r="F99" s="131"/>
      <c r="G99" s="131"/>
      <c r="H99" s="131"/>
      <c r="I99" s="131"/>
      <c r="J99" s="131"/>
      <c r="K99" s="131"/>
      <c r="L99" s="131"/>
      <c r="M99" s="131"/>
      <c r="N99" s="131"/>
      <c r="O99" s="131"/>
      <c r="P99" s="131"/>
      <c r="Q99" s="131"/>
      <c r="R99" s="131"/>
      <c r="S99" s="132"/>
    </row>
    <row r="100" spans="1:19" ht="6" customHeight="1" x14ac:dyDescent="0.2"/>
    <row r="101" spans="1:19" ht="18.75" customHeight="1" x14ac:dyDescent="0.2">
      <c r="A101" s="1" t="s">
        <v>66</v>
      </c>
    </row>
    <row r="102" spans="1:19" ht="81.75" customHeight="1" x14ac:dyDescent="0.2">
      <c r="B102" s="121" t="s">
        <v>67</v>
      </c>
      <c r="C102" s="122"/>
      <c r="D102" s="122"/>
      <c r="E102" s="122"/>
      <c r="F102" s="122"/>
      <c r="G102" s="122"/>
      <c r="H102" s="122"/>
      <c r="I102" s="122"/>
      <c r="J102" s="122"/>
      <c r="K102" s="122"/>
      <c r="L102" s="122"/>
      <c r="M102" s="122"/>
      <c r="N102" s="122"/>
      <c r="O102" s="122"/>
      <c r="P102" s="122"/>
      <c r="Q102" s="122"/>
      <c r="R102" s="122"/>
      <c r="S102" s="123"/>
    </row>
    <row r="110" spans="1:19" ht="18" customHeight="1" x14ac:dyDescent="0.2"/>
  </sheetData>
  <mergeCells count="145">
    <mergeCell ref="B13:S18"/>
    <mergeCell ref="C20:D20"/>
    <mergeCell ref="K20:S20"/>
    <mergeCell ref="A22:S23"/>
    <mergeCell ref="B24:E24"/>
    <mergeCell ref="J24:O24"/>
    <mergeCell ref="R1:S1"/>
    <mergeCell ref="C2:I2"/>
    <mergeCell ref="C3:I3"/>
    <mergeCell ref="A5:S5"/>
    <mergeCell ref="K7:S7"/>
    <mergeCell ref="B9:S10"/>
    <mergeCell ref="B28:E28"/>
    <mergeCell ref="J28:O28"/>
    <mergeCell ref="B29:E29"/>
    <mergeCell ref="J29:O29"/>
    <mergeCell ref="B30:E30"/>
    <mergeCell ref="J30:O30"/>
    <mergeCell ref="B25:E25"/>
    <mergeCell ref="J25:O25"/>
    <mergeCell ref="B26:E26"/>
    <mergeCell ref="J26:O26"/>
    <mergeCell ref="B27:E27"/>
    <mergeCell ref="J27:O27"/>
    <mergeCell ref="B37:E37"/>
    <mergeCell ref="J37:O37"/>
    <mergeCell ref="B38:E38"/>
    <mergeCell ref="J38:O38"/>
    <mergeCell ref="B39:E39"/>
    <mergeCell ref="J39:O39"/>
    <mergeCell ref="B31:E31"/>
    <mergeCell ref="J31:O31"/>
    <mergeCell ref="A33:S34"/>
    <mergeCell ref="B35:E35"/>
    <mergeCell ref="J35:O35"/>
    <mergeCell ref="B36:E36"/>
    <mergeCell ref="J36:O36"/>
    <mergeCell ref="A44:S45"/>
    <mergeCell ref="B46:E46"/>
    <mergeCell ref="J46:O46"/>
    <mergeCell ref="B47:E47"/>
    <mergeCell ref="J47:O47"/>
    <mergeCell ref="B48:E48"/>
    <mergeCell ref="J48:O48"/>
    <mergeCell ref="B40:E40"/>
    <mergeCell ref="J40:O40"/>
    <mergeCell ref="B41:E41"/>
    <mergeCell ref="J41:O41"/>
    <mergeCell ref="B42:E42"/>
    <mergeCell ref="J42:O42"/>
    <mergeCell ref="B52:E52"/>
    <mergeCell ref="J52:O52"/>
    <mergeCell ref="B53:E53"/>
    <mergeCell ref="J53:O53"/>
    <mergeCell ref="A55:S56"/>
    <mergeCell ref="B57:E57"/>
    <mergeCell ref="J57:O57"/>
    <mergeCell ref="B49:E49"/>
    <mergeCell ref="J49:O49"/>
    <mergeCell ref="B50:E50"/>
    <mergeCell ref="J50:O50"/>
    <mergeCell ref="B51:E51"/>
    <mergeCell ref="J51:O51"/>
    <mergeCell ref="B61:E61"/>
    <mergeCell ref="J61:O61"/>
    <mergeCell ref="B62:E62"/>
    <mergeCell ref="J62:O62"/>
    <mergeCell ref="B63:E63"/>
    <mergeCell ref="J63:O63"/>
    <mergeCell ref="B58:E58"/>
    <mergeCell ref="J58:O58"/>
    <mergeCell ref="B59:E59"/>
    <mergeCell ref="J59:O59"/>
    <mergeCell ref="B60:E60"/>
    <mergeCell ref="J60:O60"/>
    <mergeCell ref="B70:D70"/>
    <mergeCell ref="J70:N70"/>
    <mergeCell ref="B71:D71"/>
    <mergeCell ref="J71:N71"/>
    <mergeCell ref="B72:D72"/>
    <mergeCell ref="J72:N72"/>
    <mergeCell ref="B64:E64"/>
    <mergeCell ref="J64:O64"/>
    <mergeCell ref="A66:S67"/>
    <mergeCell ref="B68:D68"/>
    <mergeCell ref="J68:N68"/>
    <mergeCell ref="B69:D69"/>
    <mergeCell ref="J69:N69"/>
    <mergeCell ref="B78:E78"/>
    <mergeCell ref="F78:I78"/>
    <mergeCell ref="J78:O78"/>
    <mergeCell ref="P78:S78"/>
    <mergeCell ref="B79:E79"/>
    <mergeCell ref="F79:I79"/>
    <mergeCell ref="J79:O79"/>
    <mergeCell ref="P79:S79"/>
    <mergeCell ref="B73:D73"/>
    <mergeCell ref="J73:N73"/>
    <mergeCell ref="B74:D74"/>
    <mergeCell ref="J74:N74"/>
    <mergeCell ref="B75:D75"/>
    <mergeCell ref="J75:N75"/>
    <mergeCell ref="B82:E82"/>
    <mergeCell ref="F82:I82"/>
    <mergeCell ref="J82:O82"/>
    <mergeCell ref="P82:S82"/>
    <mergeCell ref="B83:E83"/>
    <mergeCell ref="F83:I83"/>
    <mergeCell ref="J83:O83"/>
    <mergeCell ref="P83:S83"/>
    <mergeCell ref="B80:E80"/>
    <mergeCell ref="F80:I80"/>
    <mergeCell ref="J80:O80"/>
    <mergeCell ref="P80:S80"/>
    <mergeCell ref="B81:E81"/>
    <mergeCell ref="F81:I81"/>
    <mergeCell ref="J81:O81"/>
    <mergeCell ref="P81:S81"/>
    <mergeCell ref="B88:C88"/>
    <mergeCell ref="D88:S88"/>
    <mergeCell ref="B89:B90"/>
    <mergeCell ref="D89:S89"/>
    <mergeCell ref="D90:S90"/>
    <mergeCell ref="B91:B92"/>
    <mergeCell ref="D91:S91"/>
    <mergeCell ref="D92:S92"/>
    <mergeCell ref="B84:E84"/>
    <mergeCell ref="F84:I84"/>
    <mergeCell ref="J84:O84"/>
    <mergeCell ref="P84:S84"/>
    <mergeCell ref="B85:E85"/>
    <mergeCell ref="F85:I85"/>
    <mergeCell ref="J85:O85"/>
    <mergeCell ref="P85:S85"/>
    <mergeCell ref="B97:B99"/>
    <mergeCell ref="D97:S97"/>
    <mergeCell ref="D98:S98"/>
    <mergeCell ref="D99:S99"/>
    <mergeCell ref="B102:S102"/>
    <mergeCell ref="B93:B94"/>
    <mergeCell ref="D93:S93"/>
    <mergeCell ref="D94:S94"/>
    <mergeCell ref="B95:B96"/>
    <mergeCell ref="D95:S95"/>
    <mergeCell ref="D96:S96"/>
  </mergeCells>
  <phoneticPr fontId="1"/>
  <conditionalFormatting sqref="B9:S10">
    <cfRule type="expression" dxfId="2" priority="1">
      <formula>$K$7="学部・学科によって、修了要件は相違しない"</formula>
    </cfRule>
  </conditionalFormatting>
  <dataValidations count="5">
    <dataValidation type="list" allowBlank="1" showInputMessage="1" showErrorMessage="1" sqref="K20:S20" xr:uid="{5F3B8951-0C43-41B6-8579-84A29F77D526}">
      <formula1>$V$14:$V$16</formula1>
    </dataValidation>
    <dataValidation type="list" allowBlank="1" showInputMessage="1" showErrorMessage="1" sqref="G84:I86 P79:P86 G79:I80 Q79:S80 Q83:S86 F79:F86" xr:uid="{F5E53ADB-9C04-4D1C-9988-DF40BC476AD7}">
      <formula1>"4-1統計および数理基礎,4‐2アルゴリズム基礎,4‐3データ構造とプログラミング基礎,4‐4時系列データ解析,4‐5テキスト解析,4‐6画像解析,4‐7データハンドリング,4‐8データ活用実践（教師あり学習）,4‐9データ活用実践（教師なし学習）,その他"</formula1>
    </dataValidation>
    <dataValidation type="list" allowBlank="1" showInputMessage="1" showErrorMessage="1" sqref="K7 K12" xr:uid="{925EF6ED-DB17-44B3-A68F-6CA67F6FC921}">
      <formula1>"学部・学科によって、修了要件は相違する,学部・学科によって、修了要件は相違しない"</formula1>
    </dataValidation>
    <dataValidation type="list" allowBlank="1" showInputMessage="1" showErrorMessage="1" sqref="S32 S43 D32:G32 D43:G43" xr:uid="{2A5D6579-07C8-400A-90CD-69AE6E49CCCA}">
      <formula1>"全学開講,一部開講"</formula1>
    </dataValidation>
    <dataValidation type="list" allowBlank="1" showInputMessage="1" showErrorMessage="1" sqref="G25:I31 Q25:S31 P69:S75 Q36:S42 G36:I42 Q47:S53 G47:I53 Q58:S64 F69:I75 G58:I64" xr:uid="{A4F37537-E86B-4F4C-A183-D11224F47BF1}">
      <formula1>"○"</formula1>
    </dataValidation>
  </dataValidations>
  <printOptions horizontalCentered="1"/>
  <pageMargins left="0.78740157480314965" right="0.78740157480314965" top="0.78740157480314965" bottom="0.19685039370078741" header="0.31496062992125984" footer="0.19685039370078741"/>
  <pageSetup paperSize="9" scale="75" fitToHeight="0" orientation="portrait" horizontalDpi="300" verticalDpi="300" r:id="rId1"/>
  <headerFooter>
    <oddHeader>&amp;C数理・データサイエンス・AI教育プログラム認定制度【リテラシーレベル】</oddHeader>
  </headerFooter>
  <rowBreaks count="2" manualBreakCount="2">
    <brk id="65" max="18" man="1"/>
    <brk id="94" max="18"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61E30-6582-43DA-AE4C-2604A4A6AD06}">
  <sheetPr>
    <pageSetUpPr fitToPage="1"/>
  </sheetPr>
  <dimension ref="A1:V110"/>
  <sheetViews>
    <sheetView showZeros="0" view="pageBreakPreview" topLeftCell="A18" zoomScaleNormal="100" zoomScaleSheetLayoutView="100" workbookViewId="0">
      <selection activeCell="F26" sqref="F26"/>
    </sheetView>
  </sheetViews>
  <sheetFormatPr defaultColWidth="9" defaultRowHeight="18.75" customHeight="1" x14ac:dyDescent="0.2"/>
  <cols>
    <col min="1" max="1" width="2.453125" style="263" customWidth="1"/>
    <col min="2" max="2" width="16.453125" style="263" customWidth="1"/>
    <col min="3" max="19" width="5.6328125" style="263" customWidth="1"/>
    <col min="20" max="20" width="9" style="263"/>
    <col min="21" max="21" width="3.6328125" style="263" customWidth="1"/>
    <col min="22" max="22" width="48.6328125" style="263" hidden="1" customWidth="1"/>
    <col min="23" max="16384" width="9" style="263"/>
  </cols>
  <sheetData>
    <row r="1" spans="1:22" ht="18.5" customHeight="1" x14ac:dyDescent="0.2">
      <c r="R1" s="264" t="s">
        <v>82</v>
      </c>
      <c r="S1" s="264"/>
      <c r="T1" s="265" t="s">
        <v>1</v>
      </c>
    </row>
    <row r="2" spans="1:22" ht="18.75" customHeight="1" x14ac:dyDescent="0.2">
      <c r="B2" s="266" t="s">
        <v>2</v>
      </c>
      <c r="C2" s="267" t="s">
        <v>3</v>
      </c>
      <c r="D2" s="268"/>
      <c r="E2" s="268"/>
      <c r="F2" s="268"/>
      <c r="G2" s="268"/>
      <c r="H2" s="268"/>
      <c r="I2" s="269"/>
      <c r="J2" s="270"/>
      <c r="K2" s="271"/>
      <c r="L2" s="271"/>
      <c r="M2" s="271"/>
      <c r="N2" s="271"/>
      <c r="O2" s="271"/>
      <c r="P2" s="271"/>
      <c r="Q2" s="271"/>
      <c r="R2" s="271"/>
      <c r="S2" s="271"/>
    </row>
    <row r="3" spans="1:22" ht="18.75" customHeight="1" x14ac:dyDescent="0.2">
      <c r="B3" s="266" t="s">
        <v>4</v>
      </c>
      <c r="C3" s="272" t="s">
        <v>5</v>
      </c>
      <c r="D3" s="273"/>
      <c r="E3" s="273"/>
      <c r="F3" s="273"/>
      <c r="G3" s="273"/>
      <c r="H3" s="273"/>
      <c r="I3" s="274"/>
      <c r="J3" s="270"/>
      <c r="K3" s="271"/>
      <c r="L3" s="271"/>
      <c r="M3" s="271"/>
      <c r="N3" s="271"/>
      <c r="O3" s="271"/>
      <c r="P3" s="271"/>
      <c r="Q3" s="271"/>
      <c r="R3" s="271"/>
      <c r="S3" s="271"/>
    </row>
    <row r="4" spans="1:22" ht="15" customHeight="1" x14ac:dyDescent="0.2">
      <c r="K4" s="270"/>
      <c r="L4" s="275"/>
      <c r="M4" s="275"/>
      <c r="N4" s="275"/>
      <c r="O4" s="275"/>
      <c r="P4" s="275"/>
      <c r="Q4" s="275"/>
      <c r="R4" s="275"/>
      <c r="S4" s="275"/>
    </row>
    <row r="5" spans="1:22" ht="18" customHeight="1" x14ac:dyDescent="0.2">
      <c r="A5" s="276" t="s">
        <v>6</v>
      </c>
      <c r="B5" s="276"/>
      <c r="C5" s="276"/>
      <c r="D5" s="276"/>
      <c r="E5" s="276"/>
      <c r="F5" s="276"/>
      <c r="G5" s="276"/>
      <c r="H5" s="276"/>
      <c r="I5" s="276"/>
      <c r="J5" s="276"/>
      <c r="K5" s="276"/>
      <c r="L5" s="276"/>
      <c r="M5" s="276"/>
      <c r="N5" s="276"/>
      <c r="O5" s="276"/>
      <c r="P5" s="276"/>
      <c r="Q5" s="276"/>
      <c r="R5" s="276"/>
      <c r="S5" s="276"/>
    </row>
    <row r="6" spans="1:22" ht="15" customHeight="1" x14ac:dyDescent="0.2">
      <c r="B6" s="277"/>
      <c r="C6" s="277"/>
      <c r="D6" s="277"/>
      <c r="E6" s="277"/>
      <c r="F6" s="277"/>
      <c r="G6" s="277"/>
      <c r="H6" s="277"/>
      <c r="I6" s="277"/>
      <c r="J6" s="277"/>
      <c r="K6" s="277"/>
      <c r="L6" s="277"/>
      <c r="M6" s="277"/>
      <c r="N6" s="277"/>
      <c r="O6" s="277"/>
      <c r="P6" s="277"/>
      <c r="Q6" s="277"/>
      <c r="R6" s="277"/>
      <c r="S6" s="277"/>
    </row>
    <row r="7" spans="1:22" ht="18" customHeight="1" x14ac:dyDescent="0.2">
      <c r="A7" s="263" t="s">
        <v>7</v>
      </c>
      <c r="C7" s="277"/>
      <c r="J7" s="278" t="s">
        <v>8</v>
      </c>
      <c r="K7" s="279" t="s">
        <v>9</v>
      </c>
      <c r="L7" s="280"/>
      <c r="M7" s="280"/>
      <c r="N7" s="280"/>
      <c r="O7" s="280"/>
      <c r="P7" s="280"/>
      <c r="Q7" s="280"/>
      <c r="R7" s="280"/>
      <c r="S7" s="281"/>
    </row>
    <row r="8" spans="1:22" ht="6" customHeight="1" x14ac:dyDescent="0.2">
      <c r="B8" s="277"/>
      <c r="C8" s="277"/>
      <c r="D8" s="277"/>
      <c r="E8" s="277"/>
      <c r="F8" s="277"/>
      <c r="G8" s="277"/>
      <c r="H8" s="277"/>
      <c r="I8" s="277"/>
      <c r="J8" s="277"/>
      <c r="K8" s="282"/>
      <c r="L8" s="277"/>
      <c r="M8" s="277"/>
      <c r="N8" s="277"/>
      <c r="O8" s="277"/>
      <c r="P8" s="277"/>
      <c r="Q8" s="277"/>
      <c r="R8" s="277"/>
      <c r="S8" s="277"/>
    </row>
    <row r="9" spans="1:22" ht="18" customHeight="1" x14ac:dyDescent="0.2">
      <c r="B9" s="283" t="s">
        <v>201</v>
      </c>
      <c r="C9" s="284"/>
      <c r="D9" s="284"/>
      <c r="E9" s="284"/>
      <c r="F9" s="284"/>
      <c r="G9" s="284"/>
      <c r="H9" s="284"/>
      <c r="I9" s="284"/>
      <c r="J9" s="284"/>
      <c r="K9" s="284"/>
      <c r="L9" s="284"/>
      <c r="M9" s="284"/>
      <c r="N9" s="284"/>
      <c r="O9" s="284"/>
      <c r="P9" s="284"/>
      <c r="Q9" s="284"/>
      <c r="R9" s="284"/>
      <c r="S9" s="285"/>
    </row>
    <row r="10" spans="1:22" ht="18" customHeight="1" x14ac:dyDescent="0.2">
      <c r="B10" s="286"/>
      <c r="C10" s="287"/>
      <c r="D10" s="287"/>
      <c r="E10" s="287"/>
      <c r="F10" s="287"/>
      <c r="G10" s="287"/>
      <c r="H10" s="287"/>
      <c r="I10" s="287"/>
      <c r="J10" s="287"/>
      <c r="K10" s="287"/>
      <c r="L10" s="287"/>
      <c r="M10" s="287"/>
      <c r="N10" s="287"/>
      <c r="O10" s="287"/>
      <c r="P10" s="287"/>
      <c r="Q10" s="287"/>
      <c r="R10" s="287"/>
      <c r="S10" s="288"/>
    </row>
    <row r="11" spans="1:22" ht="6" customHeight="1" x14ac:dyDescent="0.2">
      <c r="B11" s="277"/>
      <c r="C11" s="277"/>
      <c r="D11" s="277"/>
      <c r="E11" s="277"/>
      <c r="F11" s="277"/>
      <c r="G11" s="277"/>
      <c r="H11" s="277"/>
      <c r="I11" s="277"/>
      <c r="J11" s="277"/>
      <c r="K11" s="282"/>
      <c r="L11" s="277"/>
      <c r="M11" s="277"/>
      <c r="N11" s="277"/>
      <c r="O11" s="277"/>
      <c r="P11" s="277"/>
      <c r="Q11" s="277"/>
      <c r="R11" s="277"/>
      <c r="S11" s="277"/>
    </row>
    <row r="12" spans="1:22" ht="18" customHeight="1" x14ac:dyDescent="0.2">
      <c r="A12" s="263" t="s">
        <v>11</v>
      </c>
      <c r="B12" s="277"/>
      <c r="C12" s="277"/>
      <c r="D12" s="270"/>
      <c r="E12" s="270"/>
      <c r="F12" s="270"/>
      <c r="G12" s="270"/>
      <c r="H12" s="270"/>
      <c r="I12" s="270"/>
      <c r="J12" s="270"/>
      <c r="K12" s="289"/>
      <c r="L12" s="289"/>
      <c r="M12" s="289"/>
      <c r="N12" s="289"/>
      <c r="O12" s="289"/>
      <c r="P12" s="289"/>
      <c r="Q12" s="289"/>
      <c r="R12" s="289"/>
      <c r="S12" s="289"/>
    </row>
    <row r="13" spans="1:22" ht="18" customHeight="1" x14ac:dyDescent="0.2">
      <c r="B13" s="290" t="s">
        <v>202</v>
      </c>
      <c r="C13" s="291"/>
      <c r="D13" s="291"/>
      <c r="E13" s="291"/>
      <c r="F13" s="291"/>
      <c r="G13" s="291"/>
      <c r="H13" s="291"/>
      <c r="I13" s="291"/>
      <c r="J13" s="291"/>
      <c r="K13" s="291"/>
      <c r="L13" s="291"/>
      <c r="M13" s="291"/>
      <c r="N13" s="291"/>
      <c r="O13" s="291"/>
      <c r="P13" s="291"/>
      <c r="Q13" s="291"/>
      <c r="R13" s="291"/>
      <c r="S13" s="292"/>
      <c r="V13" s="263" t="s">
        <v>13</v>
      </c>
    </row>
    <row r="14" spans="1:22" ht="18" customHeight="1" x14ac:dyDescent="0.2">
      <c r="B14" s="293"/>
      <c r="C14" s="294"/>
      <c r="D14" s="294"/>
      <c r="E14" s="294"/>
      <c r="F14" s="294"/>
      <c r="G14" s="294"/>
      <c r="H14" s="294"/>
      <c r="I14" s="294"/>
      <c r="J14" s="294"/>
      <c r="K14" s="294"/>
      <c r="L14" s="294"/>
      <c r="M14" s="294"/>
      <c r="N14" s="294"/>
      <c r="O14" s="294"/>
      <c r="P14" s="294"/>
      <c r="Q14" s="294"/>
      <c r="R14" s="294"/>
      <c r="S14" s="295"/>
      <c r="V14" s="263" t="s">
        <v>14</v>
      </c>
    </row>
    <row r="15" spans="1:22" ht="18" customHeight="1" x14ac:dyDescent="0.2">
      <c r="B15" s="293"/>
      <c r="C15" s="294"/>
      <c r="D15" s="294"/>
      <c r="E15" s="294"/>
      <c r="F15" s="294"/>
      <c r="G15" s="294"/>
      <c r="H15" s="294"/>
      <c r="I15" s="294"/>
      <c r="J15" s="294"/>
      <c r="K15" s="294"/>
      <c r="L15" s="294"/>
      <c r="M15" s="294"/>
      <c r="N15" s="294"/>
      <c r="O15" s="294"/>
      <c r="P15" s="294"/>
      <c r="Q15" s="294"/>
      <c r="R15" s="294"/>
      <c r="S15" s="295"/>
      <c r="V15" s="263" t="s">
        <v>15</v>
      </c>
    </row>
    <row r="16" spans="1:22" ht="18" customHeight="1" x14ac:dyDescent="0.2">
      <c r="B16" s="293"/>
      <c r="C16" s="294"/>
      <c r="D16" s="294"/>
      <c r="E16" s="294"/>
      <c r="F16" s="294"/>
      <c r="G16" s="294"/>
      <c r="H16" s="294"/>
      <c r="I16" s="294"/>
      <c r="J16" s="294"/>
      <c r="K16" s="294"/>
      <c r="L16" s="294"/>
      <c r="M16" s="294"/>
      <c r="N16" s="294"/>
      <c r="O16" s="294"/>
      <c r="P16" s="294"/>
      <c r="Q16" s="294"/>
      <c r="R16" s="294"/>
      <c r="S16" s="295"/>
      <c r="V16" s="263" t="s">
        <v>16</v>
      </c>
    </row>
    <row r="17" spans="1:19" ht="18" customHeight="1" x14ac:dyDescent="0.2">
      <c r="B17" s="293"/>
      <c r="C17" s="294"/>
      <c r="D17" s="294"/>
      <c r="E17" s="294"/>
      <c r="F17" s="294"/>
      <c r="G17" s="294"/>
      <c r="H17" s="294"/>
      <c r="I17" s="294"/>
      <c r="J17" s="294"/>
      <c r="K17" s="294"/>
      <c r="L17" s="294"/>
      <c r="M17" s="294"/>
      <c r="N17" s="294"/>
      <c r="O17" s="294"/>
      <c r="P17" s="294"/>
      <c r="Q17" s="294"/>
      <c r="R17" s="294"/>
      <c r="S17" s="295"/>
    </row>
    <row r="18" spans="1:19" ht="18" customHeight="1" x14ac:dyDescent="0.2">
      <c r="B18" s="296"/>
      <c r="C18" s="297"/>
      <c r="D18" s="297"/>
      <c r="E18" s="297"/>
      <c r="F18" s="297"/>
      <c r="G18" s="297"/>
      <c r="H18" s="297"/>
      <c r="I18" s="297"/>
      <c r="J18" s="297"/>
      <c r="K18" s="297"/>
      <c r="L18" s="297"/>
      <c r="M18" s="297"/>
      <c r="N18" s="297"/>
      <c r="O18" s="297"/>
      <c r="P18" s="297"/>
      <c r="Q18" s="297"/>
      <c r="R18" s="297"/>
      <c r="S18" s="298"/>
    </row>
    <row r="19" spans="1:19" ht="7.5" customHeight="1" x14ac:dyDescent="0.2">
      <c r="B19" s="277"/>
      <c r="C19" s="277"/>
      <c r="D19" s="277"/>
      <c r="E19" s="277"/>
      <c r="F19" s="277"/>
      <c r="G19" s="277"/>
      <c r="H19" s="277"/>
      <c r="I19" s="277"/>
      <c r="J19" s="277"/>
      <c r="K19" s="277"/>
      <c r="L19" s="277"/>
      <c r="M19" s="277"/>
      <c r="N19" s="277"/>
      <c r="O19" s="277"/>
      <c r="P19" s="277"/>
      <c r="Q19" s="277"/>
      <c r="R19" s="277"/>
      <c r="S19" s="277"/>
    </row>
    <row r="20" spans="1:19" ht="20" customHeight="1" x14ac:dyDescent="0.2">
      <c r="B20" s="263" t="s">
        <v>17</v>
      </c>
      <c r="C20" s="267">
        <v>2</v>
      </c>
      <c r="D20" s="269"/>
      <c r="E20" s="299" t="s">
        <v>18</v>
      </c>
      <c r="G20" s="282"/>
      <c r="H20" s="277"/>
      <c r="I20" s="277"/>
      <c r="J20" s="270" t="s">
        <v>19</v>
      </c>
      <c r="K20" s="300" t="s">
        <v>16</v>
      </c>
      <c r="L20" s="301"/>
      <c r="M20" s="301"/>
      <c r="N20" s="301"/>
      <c r="O20" s="301"/>
      <c r="P20" s="301"/>
      <c r="Q20" s="301"/>
      <c r="R20" s="301"/>
      <c r="S20" s="302"/>
    </row>
    <row r="21" spans="1:19" ht="7.5" customHeight="1" x14ac:dyDescent="0.2">
      <c r="B21" s="277"/>
      <c r="C21" s="277"/>
      <c r="D21" s="277"/>
      <c r="E21" s="277"/>
      <c r="F21" s="277"/>
      <c r="G21" s="277"/>
      <c r="H21" s="277"/>
      <c r="I21" s="277"/>
      <c r="J21" s="277"/>
      <c r="K21" s="277"/>
      <c r="L21" s="277"/>
      <c r="M21" s="277"/>
      <c r="N21" s="277"/>
      <c r="O21" s="277"/>
      <c r="P21" s="277"/>
      <c r="Q21" s="277"/>
      <c r="R21" s="277"/>
      <c r="S21" s="277"/>
    </row>
    <row r="22" spans="1:19" ht="18" customHeight="1" x14ac:dyDescent="0.2">
      <c r="A22" s="303" t="s">
        <v>20</v>
      </c>
      <c r="B22" s="303"/>
      <c r="C22" s="303"/>
      <c r="D22" s="303"/>
      <c r="E22" s="303"/>
      <c r="F22" s="303"/>
      <c r="G22" s="303"/>
      <c r="H22" s="303"/>
      <c r="I22" s="303"/>
      <c r="J22" s="303"/>
      <c r="K22" s="303"/>
      <c r="L22" s="303"/>
      <c r="M22" s="303"/>
      <c r="N22" s="303"/>
      <c r="O22" s="303"/>
      <c r="P22" s="303"/>
      <c r="Q22" s="303"/>
      <c r="R22" s="303"/>
      <c r="S22" s="303"/>
    </row>
    <row r="23" spans="1:19" ht="18" customHeight="1" x14ac:dyDescent="0.2">
      <c r="A23" s="303"/>
      <c r="B23" s="303"/>
      <c r="C23" s="303"/>
      <c r="D23" s="303"/>
      <c r="E23" s="303"/>
      <c r="F23" s="303"/>
      <c r="G23" s="303"/>
      <c r="H23" s="303"/>
      <c r="I23" s="303"/>
      <c r="J23" s="303"/>
      <c r="K23" s="303"/>
      <c r="L23" s="303"/>
      <c r="M23" s="303"/>
      <c r="N23" s="303"/>
      <c r="O23" s="303"/>
      <c r="P23" s="303"/>
      <c r="Q23" s="303"/>
      <c r="R23" s="303"/>
      <c r="S23" s="303"/>
    </row>
    <row r="24" spans="1:19" ht="18" customHeight="1" x14ac:dyDescent="0.2">
      <c r="B24" s="267" t="s">
        <v>21</v>
      </c>
      <c r="C24" s="268"/>
      <c r="D24" s="268"/>
      <c r="E24" s="269"/>
      <c r="F24" s="304" t="s">
        <v>22</v>
      </c>
      <c r="G24" s="305" t="s">
        <v>23</v>
      </c>
      <c r="H24" s="306" t="s">
        <v>24</v>
      </c>
      <c r="I24" s="306" t="s">
        <v>25</v>
      </c>
      <c r="J24" s="267" t="s">
        <v>21</v>
      </c>
      <c r="K24" s="268"/>
      <c r="L24" s="268"/>
      <c r="M24" s="268"/>
      <c r="N24" s="268"/>
      <c r="O24" s="269"/>
      <c r="P24" s="304" t="s">
        <v>22</v>
      </c>
      <c r="Q24" s="305" t="s">
        <v>23</v>
      </c>
      <c r="R24" s="306" t="s">
        <v>24</v>
      </c>
      <c r="S24" s="306" t="s">
        <v>25</v>
      </c>
    </row>
    <row r="25" spans="1:19" ht="18" customHeight="1" x14ac:dyDescent="0.2">
      <c r="B25" s="363" t="s">
        <v>26</v>
      </c>
      <c r="C25" s="364"/>
      <c r="D25" s="364"/>
      <c r="E25" s="365"/>
      <c r="F25" s="366">
        <v>1</v>
      </c>
      <c r="G25" s="366"/>
      <c r="H25" s="366" t="s">
        <v>27</v>
      </c>
      <c r="I25" s="366" t="s">
        <v>27</v>
      </c>
      <c r="J25" s="307"/>
      <c r="K25" s="308"/>
      <c r="L25" s="308"/>
      <c r="M25" s="308"/>
      <c r="N25" s="308"/>
      <c r="O25" s="309"/>
      <c r="P25" s="310"/>
      <c r="Q25" s="310"/>
      <c r="R25" s="310"/>
      <c r="S25" s="310"/>
    </row>
    <row r="26" spans="1:19" ht="18" customHeight="1" x14ac:dyDescent="0.2">
      <c r="B26" s="311" t="s">
        <v>84</v>
      </c>
      <c r="C26" s="312"/>
      <c r="D26" s="312"/>
      <c r="E26" s="313"/>
      <c r="F26" s="314">
        <v>1</v>
      </c>
      <c r="G26" s="314"/>
      <c r="H26" s="314" t="s">
        <v>27</v>
      </c>
      <c r="I26" s="314" t="s">
        <v>27</v>
      </c>
      <c r="J26" s="311"/>
      <c r="K26" s="312"/>
      <c r="L26" s="312"/>
      <c r="M26" s="312"/>
      <c r="N26" s="312"/>
      <c r="O26" s="313"/>
      <c r="P26" s="314"/>
      <c r="Q26" s="314"/>
      <c r="R26" s="314"/>
      <c r="S26" s="314"/>
    </row>
    <row r="27" spans="1:19" ht="18" customHeight="1" x14ac:dyDescent="0.2">
      <c r="B27" s="311" t="s">
        <v>85</v>
      </c>
      <c r="C27" s="312"/>
      <c r="D27" s="312"/>
      <c r="E27" s="313"/>
      <c r="F27" s="314">
        <v>1</v>
      </c>
      <c r="G27" s="314"/>
      <c r="H27" s="314" t="s">
        <v>27</v>
      </c>
      <c r="I27" s="314"/>
      <c r="J27" s="311"/>
      <c r="K27" s="312"/>
      <c r="L27" s="312"/>
      <c r="M27" s="312"/>
      <c r="N27" s="312"/>
      <c r="O27" s="313"/>
      <c r="P27" s="314"/>
      <c r="Q27" s="314"/>
      <c r="R27" s="314"/>
      <c r="S27" s="314"/>
    </row>
    <row r="28" spans="1:19" ht="18" customHeight="1" x14ac:dyDescent="0.2">
      <c r="B28" s="311"/>
      <c r="C28" s="312"/>
      <c r="D28" s="312"/>
      <c r="E28" s="313"/>
      <c r="F28" s="314"/>
      <c r="G28" s="314"/>
      <c r="H28" s="314"/>
      <c r="I28" s="314"/>
      <c r="J28" s="311"/>
      <c r="K28" s="312"/>
      <c r="L28" s="312"/>
      <c r="M28" s="312"/>
      <c r="N28" s="312"/>
      <c r="O28" s="313"/>
      <c r="P28" s="314"/>
      <c r="Q28" s="314"/>
      <c r="R28" s="314"/>
      <c r="S28" s="314"/>
    </row>
    <row r="29" spans="1:19" ht="18" customHeight="1" x14ac:dyDescent="0.2">
      <c r="B29" s="311"/>
      <c r="C29" s="312"/>
      <c r="D29" s="312"/>
      <c r="E29" s="313"/>
      <c r="F29" s="314"/>
      <c r="G29" s="314"/>
      <c r="H29" s="314"/>
      <c r="I29" s="314"/>
      <c r="J29" s="311"/>
      <c r="K29" s="312"/>
      <c r="L29" s="312"/>
      <c r="M29" s="312"/>
      <c r="N29" s="312"/>
      <c r="O29" s="313"/>
      <c r="P29" s="314"/>
      <c r="Q29" s="314"/>
      <c r="R29" s="314"/>
      <c r="S29" s="314"/>
    </row>
    <row r="30" spans="1:19" ht="18" customHeight="1" x14ac:dyDescent="0.2">
      <c r="A30" s="277"/>
      <c r="B30" s="311"/>
      <c r="C30" s="312"/>
      <c r="D30" s="312"/>
      <c r="E30" s="313"/>
      <c r="F30" s="314"/>
      <c r="G30" s="314"/>
      <c r="H30" s="314"/>
      <c r="I30" s="314"/>
      <c r="J30" s="311"/>
      <c r="K30" s="312"/>
      <c r="L30" s="312"/>
      <c r="M30" s="312"/>
      <c r="N30" s="312"/>
      <c r="O30" s="313"/>
      <c r="P30" s="314"/>
      <c r="Q30" s="314"/>
      <c r="R30" s="314"/>
      <c r="S30" s="314"/>
    </row>
    <row r="31" spans="1:19" ht="18" customHeight="1" x14ac:dyDescent="0.2">
      <c r="A31" s="277"/>
      <c r="B31" s="315"/>
      <c r="C31" s="316"/>
      <c r="D31" s="316"/>
      <c r="E31" s="317"/>
      <c r="F31" s="318"/>
      <c r="G31" s="318"/>
      <c r="H31" s="319"/>
      <c r="I31" s="319"/>
      <c r="J31" s="315"/>
      <c r="K31" s="316"/>
      <c r="L31" s="316"/>
      <c r="M31" s="316"/>
      <c r="N31" s="316"/>
      <c r="O31" s="317"/>
      <c r="P31" s="318"/>
      <c r="Q31" s="318"/>
      <c r="R31" s="319"/>
      <c r="S31" s="319"/>
    </row>
    <row r="32" spans="1:19" ht="7.5" customHeight="1" x14ac:dyDescent="0.2">
      <c r="A32" s="277"/>
      <c r="B32" s="271"/>
      <c r="C32" s="271"/>
      <c r="D32" s="277"/>
      <c r="E32" s="277"/>
      <c r="F32" s="277"/>
      <c r="G32" s="277"/>
      <c r="H32" s="271"/>
      <c r="I32" s="271"/>
      <c r="J32" s="271"/>
      <c r="K32" s="271"/>
      <c r="L32" s="271"/>
      <c r="M32" s="271"/>
      <c r="N32" s="271"/>
      <c r="O32" s="271"/>
      <c r="P32" s="271"/>
      <c r="Q32" s="271"/>
      <c r="R32" s="271"/>
      <c r="S32" s="277"/>
    </row>
    <row r="33" spans="1:19" ht="18" customHeight="1" x14ac:dyDescent="0.2">
      <c r="A33" s="303" t="s">
        <v>28</v>
      </c>
      <c r="B33" s="303"/>
      <c r="C33" s="303"/>
      <c r="D33" s="303"/>
      <c r="E33" s="303"/>
      <c r="F33" s="303"/>
      <c r="G33" s="303"/>
      <c r="H33" s="303"/>
      <c r="I33" s="303"/>
      <c r="J33" s="303"/>
      <c r="K33" s="303"/>
      <c r="L33" s="303"/>
      <c r="M33" s="303"/>
      <c r="N33" s="303"/>
      <c r="O33" s="303"/>
      <c r="P33" s="303"/>
      <c r="Q33" s="303"/>
      <c r="R33" s="303"/>
      <c r="S33" s="303"/>
    </row>
    <row r="34" spans="1:19" ht="18" customHeight="1" x14ac:dyDescent="0.2">
      <c r="A34" s="303"/>
      <c r="B34" s="303"/>
      <c r="C34" s="303"/>
      <c r="D34" s="303"/>
      <c r="E34" s="303"/>
      <c r="F34" s="303"/>
      <c r="G34" s="303"/>
      <c r="H34" s="303"/>
      <c r="I34" s="303"/>
      <c r="J34" s="303"/>
      <c r="K34" s="303"/>
      <c r="L34" s="303"/>
      <c r="M34" s="303"/>
      <c r="N34" s="303"/>
      <c r="O34" s="303"/>
      <c r="P34" s="303"/>
      <c r="Q34" s="303"/>
      <c r="R34" s="303"/>
      <c r="S34" s="303"/>
    </row>
    <row r="35" spans="1:19" ht="18" customHeight="1" x14ac:dyDescent="0.2">
      <c r="B35" s="267" t="s">
        <v>21</v>
      </c>
      <c r="C35" s="268"/>
      <c r="D35" s="268"/>
      <c r="E35" s="269"/>
      <c r="F35" s="304" t="s">
        <v>22</v>
      </c>
      <c r="G35" s="305" t="s">
        <v>23</v>
      </c>
      <c r="H35" s="306" t="s">
        <v>29</v>
      </c>
      <c r="I35" s="306" t="s">
        <v>30</v>
      </c>
      <c r="J35" s="267" t="s">
        <v>21</v>
      </c>
      <c r="K35" s="268"/>
      <c r="L35" s="268"/>
      <c r="M35" s="268"/>
      <c r="N35" s="268"/>
      <c r="O35" s="269"/>
      <c r="P35" s="304" t="s">
        <v>22</v>
      </c>
      <c r="Q35" s="305" t="s">
        <v>23</v>
      </c>
      <c r="R35" s="306" t="s">
        <v>29</v>
      </c>
      <c r="S35" s="306" t="s">
        <v>30</v>
      </c>
    </row>
    <row r="36" spans="1:19" ht="18" customHeight="1" x14ac:dyDescent="0.2">
      <c r="B36" s="307" t="s">
        <v>26</v>
      </c>
      <c r="C36" s="308"/>
      <c r="D36" s="308"/>
      <c r="E36" s="309"/>
      <c r="F36" s="310">
        <v>1</v>
      </c>
      <c r="G36" s="310"/>
      <c r="H36" s="310" t="s">
        <v>27</v>
      </c>
      <c r="I36" s="310" t="s">
        <v>27</v>
      </c>
      <c r="J36" s="307"/>
      <c r="K36" s="308"/>
      <c r="L36" s="308"/>
      <c r="M36" s="308"/>
      <c r="N36" s="308"/>
      <c r="O36" s="309"/>
      <c r="P36" s="310"/>
      <c r="Q36" s="310"/>
      <c r="R36" s="310"/>
      <c r="S36" s="310"/>
    </row>
    <row r="37" spans="1:19" ht="18" customHeight="1" x14ac:dyDescent="0.2">
      <c r="B37" s="367" t="s">
        <v>83</v>
      </c>
      <c r="C37" s="368"/>
      <c r="D37" s="368"/>
      <c r="E37" s="369"/>
      <c r="F37" s="370">
        <v>2</v>
      </c>
      <c r="G37" s="370"/>
      <c r="H37" s="370" t="s">
        <v>27</v>
      </c>
      <c r="I37" s="370"/>
      <c r="J37" s="311"/>
      <c r="K37" s="312"/>
      <c r="L37" s="312"/>
      <c r="M37" s="312"/>
      <c r="N37" s="312"/>
      <c r="O37" s="313"/>
      <c r="P37" s="314"/>
      <c r="Q37" s="314"/>
      <c r="R37" s="314"/>
      <c r="S37" s="314"/>
    </row>
    <row r="38" spans="1:19" ht="18" customHeight="1" x14ac:dyDescent="0.2">
      <c r="B38" s="311" t="s">
        <v>84</v>
      </c>
      <c r="C38" s="312"/>
      <c r="D38" s="312"/>
      <c r="E38" s="313"/>
      <c r="F38" s="314">
        <v>1</v>
      </c>
      <c r="G38" s="314"/>
      <c r="H38" s="314" t="s">
        <v>27</v>
      </c>
      <c r="I38" s="314" t="s">
        <v>27</v>
      </c>
      <c r="J38" s="311"/>
      <c r="K38" s="312"/>
      <c r="L38" s="312"/>
      <c r="M38" s="312"/>
      <c r="N38" s="312"/>
      <c r="O38" s="313"/>
      <c r="P38" s="314"/>
      <c r="Q38" s="314"/>
      <c r="R38" s="314"/>
      <c r="S38" s="314"/>
    </row>
    <row r="39" spans="1:19" ht="18" customHeight="1" x14ac:dyDescent="0.2">
      <c r="B39" s="311" t="s">
        <v>85</v>
      </c>
      <c r="C39" s="312"/>
      <c r="D39" s="312"/>
      <c r="E39" s="313"/>
      <c r="F39" s="314">
        <v>1</v>
      </c>
      <c r="G39" s="314"/>
      <c r="H39" s="314" t="s">
        <v>27</v>
      </c>
      <c r="I39" s="314" t="s">
        <v>27</v>
      </c>
      <c r="J39" s="311"/>
      <c r="K39" s="312"/>
      <c r="L39" s="312"/>
      <c r="M39" s="312"/>
      <c r="N39" s="312"/>
      <c r="O39" s="313"/>
      <c r="P39" s="314"/>
      <c r="Q39" s="314"/>
      <c r="R39" s="314"/>
      <c r="S39" s="314"/>
    </row>
    <row r="40" spans="1:19" ht="18" customHeight="1" x14ac:dyDescent="0.2">
      <c r="B40" s="311"/>
      <c r="C40" s="312"/>
      <c r="D40" s="312"/>
      <c r="E40" s="313"/>
      <c r="F40" s="314"/>
      <c r="G40" s="314"/>
      <c r="H40" s="314"/>
      <c r="I40" s="314"/>
      <c r="J40" s="311"/>
      <c r="K40" s="312"/>
      <c r="L40" s="312"/>
      <c r="M40" s="312"/>
      <c r="N40" s="312"/>
      <c r="O40" s="313"/>
      <c r="P40" s="314"/>
      <c r="Q40" s="314"/>
      <c r="R40" s="314"/>
      <c r="S40" s="314"/>
    </row>
    <row r="41" spans="1:19" ht="18" customHeight="1" x14ac:dyDescent="0.2">
      <c r="B41" s="311"/>
      <c r="C41" s="312"/>
      <c r="D41" s="312"/>
      <c r="E41" s="313"/>
      <c r="F41" s="314"/>
      <c r="G41" s="314"/>
      <c r="H41" s="314"/>
      <c r="I41" s="314"/>
      <c r="J41" s="311"/>
      <c r="K41" s="312"/>
      <c r="L41" s="312"/>
      <c r="M41" s="312"/>
      <c r="N41" s="312"/>
      <c r="O41" s="313"/>
      <c r="P41" s="314"/>
      <c r="Q41" s="314"/>
      <c r="R41" s="314"/>
      <c r="S41" s="314"/>
    </row>
    <row r="42" spans="1:19" ht="18" customHeight="1" x14ac:dyDescent="0.2">
      <c r="B42" s="315"/>
      <c r="C42" s="316"/>
      <c r="D42" s="316"/>
      <c r="E42" s="317"/>
      <c r="F42" s="318"/>
      <c r="G42" s="318"/>
      <c r="H42" s="319"/>
      <c r="I42" s="319"/>
      <c r="J42" s="315"/>
      <c r="K42" s="316"/>
      <c r="L42" s="316"/>
      <c r="M42" s="316"/>
      <c r="N42" s="316"/>
      <c r="O42" s="317"/>
      <c r="P42" s="318"/>
      <c r="Q42" s="318"/>
      <c r="R42" s="319"/>
      <c r="S42" s="319"/>
    </row>
    <row r="43" spans="1:19" ht="7.5" customHeight="1" x14ac:dyDescent="0.2">
      <c r="A43" s="277"/>
      <c r="B43" s="271"/>
      <c r="C43" s="271"/>
      <c r="D43" s="277"/>
      <c r="E43" s="277"/>
      <c r="F43" s="277"/>
      <c r="G43" s="277"/>
      <c r="H43" s="271"/>
      <c r="I43" s="271"/>
      <c r="J43" s="271"/>
      <c r="K43" s="271"/>
      <c r="L43" s="271"/>
      <c r="M43" s="271"/>
      <c r="N43" s="271"/>
      <c r="O43" s="271"/>
      <c r="P43" s="271"/>
      <c r="Q43" s="271"/>
      <c r="R43" s="271"/>
      <c r="S43" s="277"/>
    </row>
    <row r="44" spans="1:19" ht="18" customHeight="1" x14ac:dyDescent="0.2">
      <c r="A44" s="303" t="s">
        <v>31</v>
      </c>
      <c r="B44" s="303"/>
      <c r="C44" s="303"/>
      <c r="D44" s="303"/>
      <c r="E44" s="303"/>
      <c r="F44" s="303"/>
      <c r="G44" s="303"/>
      <c r="H44" s="303"/>
      <c r="I44" s="303"/>
      <c r="J44" s="303"/>
      <c r="K44" s="303"/>
      <c r="L44" s="303"/>
      <c r="M44" s="303"/>
      <c r="N44" s="303"/>
      <c r="O44" s="303"/>
      <c r="P44" s="303"/>
      <c r="Q44" s="303"/>
      <c r="R44" s="303"/>
      <c r="S44" s="303"/>
    </row>
    <row r="45" spans="1:19" ht="18" customHeight="1" x14ac:dyDescent="0.2">
      <c r="A45" s="303"/>
      <c r="B45" s="303"/>
      <c r="C45" s="303"/>
      <c r="D45" s="303"/>
      <c r="E45" s="303"/>
      <c r="F45" s="303"/>
      <c r="G45" s="303"/>
      <c r="H45" s="303"/>
      <c r="I45" s="303"/>
      <c r="J45" s="303"/>
      <c r="K45" s="303"/>
      <c r="L45" s="303"/>
      <c r="M45" s="303"/>
      <c r="N45" s="303"/>
      <c r="O45" s="303"/>
      <c r="P45" s="303"/>
      <c r="Q45" s="303"/>
      <c r="R45" s="303"/>
      <c r="S45" s="303"/>
    </row>
    <row r="46" spans="1:19" ht="18" customHeight="1" x14ac:dyDescent="0.2">
      <c r="B46" s="267" t="s">
        <v>21</v>
      </c>
      <c r="C46" s="268"/>
      <c r="D46" s="268"/>
      <c r="E46" s="269"/>
      <c r="F46" s="304" t="s">
        <v>22</v>
      </c>
      <c r="G46" s="305" t="s">
        <v>23</v>
      </c>
      <c r="H46" s="306" t="s">
        <v>32</v>
      </c>
      <c r="I46" s="306" t="s">
        <v>33</v>
      </c>
      <c r="J46" s="267" t="s">
        <v>21</v>
      </c>
      <c r="K46" s="268"/>
      <c r="L46" s="268"/>
      <c r="M46" s="268"/>
      <c r="N46" s="268"/>
      <c r="O46" s="269"/>
      <c r="P46" s="304" t="s">
        <v>22</v>
      </c>
      <c r="Q46" s="305" t="s">
        <v>23</v>
      </c>
      <c r="R46" s="306" t="s">
        <v>32</v>
      </c>
      <c r="S46" s="306" t="s">
        <v>33</v>
      </c>
    </row>
    <row r="47" spans="1:19" ht="18" customHeight="1" x14ac:dyDescent="0.2">
      <c r="A47" s="277"/>
      <c r="B47" s="307" t="s">
        <v>26</v>
      </c>
      <c r="C47" s="308"/>
      <c r="D47" s="308"/>
      <c r="E47" s="309"/>
      <c r="F47" s="310">
        <v>1</v>
      </c>
      <c r="G47" s="310"/>
      <c r="H47" s="310" t="s">
        <v>27</v>
      </c>
      <c r="I47" s="310" t="s">
        <v>27</v>
      </c>
      <c r="J47" s="307"/>
      <c r="K47" s="308"/>
      <c r="L47" s="308"/>
      <c r="M47" s="308"/>
      <c r="N47" s="308"/>
      <c r="O47" s="309"/>
      <c r="P47" s="310"/>
      <c r="Q47" s="310"/>
      <c r="R47" s="310"/>
      <c r="S47" s="310"/>
    </row>
    <row r="48" spans="1:19" ht="18" customHeight="1" x14ac:dyDescent="0.2">
      <c r="A48" s="277"/>
      <c r="B48" s="311" t="s">
        <v>83</v>
      </c>
      <c r="C48" s="312"/>
      <c r="D48" s="312"/>
      <c r="E48" s="313"/>
      <c r="F48" s="314">
        <v>2</v>
      </c>
      <c r="G48" s="314"/>
      <c r="H48" s="314"/>
      <c r="I48" s="314" t="s">
        <v>27</v>
      </c>
      <c r="J48" s="311"/>
      <c r="K48" s="312"/>
      <c r="L48" s="312"/>
      <c r="M48" s="312"/>
      <c r="N48" s="312"/>
      <c r="O48" s="313"/>
      <c r="P48" s="314"/>
      <c r="Q48" s="314"/>
      <c r="R48" s="314"/>
      <c r="S48" s="314"/>
    </row>
    <row r="49" spans="1:19" ht="18" customHeight="1" x14ac:dyDescent="0.2">
      <c r="A49" s="277"/>
      <c r="B49" s="311" t="s">
        <v>84</v>
      </c>
      <c r="C49" s="312"/>
      <c r="D49" s="312"/>
      <c r="E49" s="313"/>
      <c r="F49" s="314">
        <v>1</v>
      </c>
      <c r="G49" s="314"/>
      <c r="H49" s="314" t="s">
        <v>27</v>
      </c>
      <c r="I49" s="314" t="s">
        <v>27</v>
      </c>
      <c r="J49" s="311"/>
      <c r="K49" s="312"/>
      <c r="L49" s="312"/>
      <c r="M49" s="312"/>
      <c r="N49" s="312"/>
      <c r="O49" s="313"/>
      <c r="P49" s="314"/>
      <c r="Q49" s="314"/>
      <c r="R49" s="314"/>
      <c r="S49" s="314"/>
    </row>
    <row r="50" spans="1:19" ht="18" customHeight="1" x14ac:dyDescent="0.2">
      <c r="A50" s="277"/>
      <c r="B50" s="311"/>
      <c r="C50" s="312"/>
      <c r="D50" s="312"/>
      <c r="E50" s="313"/>
      <c r="F50" s="314"/>
      <c r="G50" s="314"/>
      <c r="H50" s="314"/>
      <c r="I50" s="314"/>
      <c r="J50" s="311"/>
      <c r="K50" s="312"/>
      <c r="L50" s="312"/>
      <c r="M50" s="312"/>
      <c r="N50" s="312"/>
      <c r="O50" s="313"/>
      <c r="P50" s="314"/>
      <c r="Q50" s="314"/>
      <c r="R50" s="314"/>
      <c r="S50" s="314"/>
    </row>
    <row r="51" spans="1:19" ht="18" customHeight="1" x14ac:dyDescent="0.2">
      <c r="A51" s="277"/>
      <c r="B51" s="311"/>
      <c r="C51" s="312"/>
      <c r="D51" s="312"/>
      <c r="E51" s="313"/>
      <c r="F51" s="314"/>
      <c r="G51" s="314"/>
      <c r="H51" s="314"/>
      <c r="I51" s="314"/>
      <c r="J51" s="311"/>
      <c r="K51" s="312"/>
      <c r="L51" s="312"/>
      <c r="M51" s="312"/>
      <c r="N51" s="312"/>
      <c r="O51" s="313"/>
      <c r="P51" s="314"/>
      <c r="Q51" s="314"/>
      <c r="R51" s="314"/>
      <c r="S51" s="314"/>
    </row>
    <row r="52" spans="1:19" ht="18" customHeight="1" x14ac:dyDescent="0.2">
      <c r="A52" s="277"/>
      <c r="B52" s="311"/>
      <c r="C52" s="312"/>
      <c r="D52" s="312"/>
      <c r="E52" s="313"/>
      <c r="F52" s="314"/>
      <c r="G52" s="314"/>
      <c r="H52" s="314"/>
      <c r="I52" s="314"/>
      <c r="J52" s="311"/>
      <c r="K52" s="312"/>
      <c r="L52" s="312"/>
      <c r="M52" s="312"/>
      <c r="N52" s="312"/>
      <c r="O52" s="313"/>
      <c r="P52" s="314"/>
      <c r="Q52" s="314"/>
      <c r="R52" s="314"/>
      <c r="S52" s="314"/>
    </row>
    <row r="53" spans="1:19" ht="18" customHeight="1" x14ac:dyDescent="0.2">
      <c r="A53" s="277"/>
      <c r="B53" s="315"/>
      <c r="C53" s="316"/>
      <c r="D53" s="316"/>
      <c r="E53" s="317"/>
      <c r="F53" s="318"/>
      <c r="G53" s="318"/>
      <c r="H53" s="319"/>
      <c r="I53" s="319"/>
      <c r="J53" s="315"/>
      <c r="K53" s="316"/>
      <c r="L53" s="316"/>
      <c r="M53" s="316"/>
      <c r="N53" s="316"/>
      <c r="O53" s="317"/>
      <c r="P53" s="318"/>
      <c r="Q53" s="318"/>
      <c r="R53" s="319"/>
      <c r="S53" s="319"/>
    </row>
    <row r="54" spans="1:19" ht="7.5" customHeight="1" x14ac:dyDescent="0.2">
      <c r="B54" s="320"/>
      <c r="C54" s="320"/>
      <c r="D54" s="320"/>
      <c r="E54" s="320"/>
      <c r="F54" s="320"/>
      <c r="G54" s="320"/>
      <c r="H54" s="320"/>
      <c r="I54" s="320"/>
      <c r="J54" s="320"/>
      <c r="K54" s="320"/>
      <c r="L54" s="320"/>
      <c r="M54" s="320"/>
      <c r="N54" s="320"/>
      <c r="O54" s="320"/>
      <c r="P54" s="320"/>
      <c r="Q54" s="320"/>
      <c r="R54" s="320"/>
    </row>
    <row r="55" spans="1:19" ht="18" customHeight="1" x14ac:dyDescent="0.2">
      <c r="A55" s="303" t="s">
        <v>34</v>
      </c>
      <c r="B55" s="303"/>
      <c r="C55" s="303"/>
      <c r="D55" s="303"/>
      <c r="E55" s="303"/>
      <c r="F55" s="303"/>
      <c r="G55" s="303"/>
      <c r="H55" s="303"/>
      <c r="I55" s="303"/>
      <c r="J55" s="303"/>
      <c r="K55" s="303"/>
      <c r="L55" s="303"/>
      <c r="M55" s="303"/>
      <c r="N55" s="303"/>
      <c r="O55" s="303"/>
      <c r="P55" s="303"/>
      <c r="Q55" s="303"/>
      <c r="R55" s="303"/>
      <c r="S55" s="303"/>
    </row>
    <row r="56" spans="1:19" ht="18" customHeight="1" x14ac:dyDescent="0.2">
      <c r="A56" s="303"/>
      <c r="B56" s="303"/>
      <c r="C56" s="303"/>
      <c r="D56" s="303"/>
      <c r="E56" s="303"/>
      <c r="F56" s="303"/>
      <c r="G56" s="303"/>
      <c r="H56" s="303"/>
      <c r="I56" s="303"/>
      <c r="J56" s="303"/>
      <c r="K56" s="303"/>
      <c r="L56" s="303"/>
      <c r="M56" s="303"/>
      <c r="N56" s="303"/>
      <c r="O56" s="303"/>
      <c r="P56" s="303"/>
      <c r="Q56" s="303"/>
      <c r="R56" s="303"/>
      <c r="S56" s="303"/>
    </row>
    <row r="57" spans="1:19" ht="18" customHeight="1" x14ac:dyDescent="0.2">
      <c r="B57" s="267" t="s">
        <v>21</v>
      </c>
      <c r="C57" s="268"/>
      <c r="D57" s="268"/>
      <c r="E57" s="269"/>
      <c r="F57" s="304" t="s">
        <v>22</v>
      </c>
      <c r="G57" s="305" t="s">
        <v>23</v>
      </c>
      <c r="H57" s="306" t="s">
        <v>35</v>
      </c>
      <c r="I57" s="306" t="s">
        <v>36</v>
      </c>
      <c r="J57" s="267" t="s">
        <v>21</v>
      </c>
      <c r="K57" s="268"/>
      <c r="L57" s="268"/>
      <c r="M57" s="268"/>
      <c r="N57" s="268"/>
      <c r="O57" s="269"/>
      <c r="P57" s="304" t="s">
        <v>22</v>
      </c>
      <c r="Q57" s="305" t="s">
        <v>23</v>
      </c>
      <c r="R57" s="306" t="s">
        <v>35</v>
      </c>
      <c r="S57" s="306" t="s">
        <v>36</v>
      </c>
    </row>
    <row r="58" spans="1:19" ht="18" customHeight="1" x14ac:dyDescent="0.2">
      <c r="A58" s="277"/>
      <c r="B58" s="307" t="s">
        <v>26</v>
      </c>
      <c r="C58" s="308"/>
      <c r="D58" s="308"/>
      <c r="E58" s="309"/>
      <c r="F58" s="310">
        <v>1</v>
      </c>
      <c r="G58" s="310"/>
      <c r="H58" s="310" t="s">
        <v>27</v>
      </c>
      <c r="I58" s="310" t="s">
        <v>27</v>
      </c>
      <c r="J58" s="307"/>
      <c r="K58" s="308"/>
      <c r="L58" s="308"/>
      <c r="M58" s="308"/>
      <c r="N58" s="308"/>
      <c r="O58" s="309"/>
      <c r="P58" s="310"/>
      <c r="Q58" s="310"/>
      <c r="R58" s="310"/>
      <c r="S58" s="310"/>
    </row>
    <row r="59" spans="1:19" ht="18" customHeight="1" x14ac:dyDescent="0.2">
      <c r="A59" s="277"/>
      <c r="B59" s="311" t="s">
        <v>83</v>
      </c>
      <c r="C59" s="312"/>
      <c r="D59" s="312"/>
      <c r="E59" s="313"/>
      <c r="F59" s="314">
        <v>2</v>
      </c>
      <c r="G59" s="314"/>
      <c r="H59" s="314" t="s">
        <v>27</v>
      </c>
      <c r="I59" s="314" t="s">
        <v>27</v>
      </c>
      <c r="J59" s="311"/>
      <c r="K59" s="312"/>
      <c r="L59" s="312"/>
      <c r="M59" s="312"/>
      <c r="N59" s="312"/>
      <c r="O59" s="313"/>
      <c r="P59" s="314"/>
      <c r="Q59" s="314"/>
      <c r="R59" s="314"/>
      <c r="S59" s="314"/>
    </row>
    <row r="60" spans="1:19" ht="18" customHeight="1" x14ac:dyDescent="0.2">
      <c r="A60" s="277"/>
      <c r="B60" s="311" t="s">
        <v>84</v>
      </c>
      <c r="C60" s="312"/>
      <c r="D60" s="312"/>
      <c r="E60" s="313"/>
      <c r="F60" s="314">
        <v>1</v>
      </c>
      <c r="G60" s="314"/>
      <c r="H60" s="314" t="s">
        <v>27</v>
      </c>
      <c r="I60" s="314" t="s">
        <v>27</v>
      </c>
      <c r="J60" s="311"/>
      <c r="K60" s="312"/>
      <c r="L60" s="312"/>
      <c r="M60" s="312"/>
      <c r="N60" s="312"/>
      <c r="O60" s="313"/>
      <c r="P60" s="314"/>
      <c r="Q60" s="314"/>
      <c r="R60" s="314"/>
      <c r="S60" s="314"/>
    </row>
    <row r="61" spans="1:19" ht="18" customHeight="1" x14ac:dyDescent="0.2">
      <c r="A61" s="277"/>
      <c r="B61" s="311" t="s">
        <v>85</v>
      </c>
      <c r="C61" s="312"/>
      <c r="D61" s="312"/>
      <c r="E61" s="313"/>
      <c r="F61" s="314">
        <v>1</v>
      </c>
      <c r="G61" s="314"/>
      <c r="H61" s="314" t="s">
        <v>27</v>
      </c>
      <c r="I61" s="314" t="s">
        <v>27</v>
      </c>
      <c r="J61" s="311"/>
      <c r="K61" s="312"/>
      <c r="L61" s="312"/>
      <c r="M61" s="312"/>
      <c r="N61" s="312"/>
      <c r="O61" s="313"/>
      <c r="P61" s="314"/>
      <c r="Q61" s="314"/>
      <c r="R61" s="314"/>
      <c r="S61" s="314"/>
    </row>
    <row r="62" spans="1:19" ht="18" customHeight="1" x14ac:dyDescent="0.2">
      <c r="A62" s="277"/>
      <c r="B62" s="311"/>
      <c r="C62" s="312"/>
      <c r="D62" s="312"/>
      <c r="E62" s="313"/>
      <c r="F62" s="314"/>
      <c r="G62" s="314"/>
      <c r="H62" s="314"/>
      <c r="I62" s="314"/>
      <c r="J62" s="311"/>
      <c r="K62" s="312"/>
      <c r="L62" s="312"/>
      <c r="M62" s="312"/>
      <c r="N62" s="312"/>
      <c r="O62" s="313"/>
      <c r="P62" s="314"/>
      <c r="Q62" s="314"/>
      <c r="R62" s="314"/>
      <c r="S62" s="314"/>
    </row>
    <row r="63" spans="1:19" ht="18" customHeight="1" x14ac:dyDescent="0.2">
      <c r="A63" s="277"/>
      <c r="B63" s="311"/>
      <c r="C63" s="312"/>
      <c r="D63" s="312"/>
      <c r="E63" s="313"/>
      <c r="F63" s="314"/>
      <c r="G63" s="314"/>
      <c r="H63" s="314"/>
      <c r="I63" s="314"/>
      <c r="J63" s="311"/>
      <c r="K63" s="312"/>
      <c r="L63" s="312"/>
      <c r="M63" s="312"/>
      <c r="N63" s="312"/>
      <c r="O63" s="313"/>
      <c r="P63" s="314"/>
      <c r="Q63" s="314"/>
      <c r="R63" s="314"/>
      <c r="S63" s="314"/>
    </row>
    <row r="64" spans="1:19" ht="18" customHeight="1" x14ac:dyDescent="0.2">
      <c r="A64" s="277"/>
      <c r="B64" s="315"/>
      <c r="C64" s="316"/>
      <c r="D64" s="316"/>
      <c r="E64" s="317"/>
      <c r="F64" s="318"/>
      <c r="G64" s="318"/>
      <c r="H64" s="319"/>
      <c r="I64" s="319"/>
      <c r="J64" s="315"/>
      <c r="K64" s="316"/>
      <c r="L64" s="316"/>
      <c r="M64" s="316"/>
      <c r="N64" s="316"/>
      <c r="O64" s="317"/>
      <c r="P64" s="318"/>
      <c r="Q64" s="318"/>
      <c r="R64" s="319"/>
      <c r="S64" s="319"/>
    </row>
    <row r="65" spans="1:19" ht="7.5" customHeight="1" x14ac:dyDescent="0.2">
      <c r="B65" s="320"/>
      <c r="C65" s="320"/>
      <c r="D65" s="320"/>
      <c r="E65" s="320"/>
      <c r="F65" s="320"/>
      <c r="G65" s="320"/>
      <c r="H65" s="320"/>
      <c r="I65" s="320"/>
      <c r="J65" s="320"/>
      <c r="K65" s="320"/>
      <c r="L65" s="320"/>
      <c r="M65" s="320"/>
      <c r="N65" s="320"/>
      <c r="O65" s="320"/>
      <c r="P65" s="320"/>
      <c r="Q65" s="320"/>
      <c r="R65" s="320"/>
    </row>
    <row r="66" spans="1:19" ht="18" customHeight="1" x14ac:dyDescent="0.2">
      <c r="A66" s="303" t="s">
        <v>38</v>
      </c>
      <c r="B66" s="303"/>
      <c r="C66" s="303"/>
      <c r="D66" s="303"/>
      <c r="E66" s="303"/>
      <c r="F66" s="303"/>
      <c r="G66" s="303"/>
      <c r="H66" s="303"/>
      <c r="I66" s="303"/>
      <c r="J66" s="303"/>
      <c r="K66" s="303"/>
      <c r="L66" s="303"/>
      <c r="M66" s="303"/>
      <c r="N66" s="303"/>
      <c r="O66" s="303"/>
      <c r="P66" s="303"/>
      <c r="Q66" s="303"/>
      <c r="R66" s="303"/>
      <c r="S66" s="303"/>
    </row>
    <row r="67" spans="1:19" ht="18" customHeight="1" x14ac:dyDescent="0.2">
      <c r="A67" s="303"/>
      <c r="B67" s="303"/>
      <c r="C67" s="303"/>
      <c r="D67" s="303"/>
      <c r="E67" s="303"/>
      <c r="F67" s="303"/>
      <c r="G67" s="303"/>
      <c r="H67" s="303"/>
      <c r="I67" s="303"/>
      <c r="J67" s="303"/>
      <c r="K67" s="303"/>
      <c r="L67" s="303"/>
      <c r="M67" s="303"/>
      <c r="N67" s="303"/>
      <c r="O67" s="303"/>
      <c r="P67" s="303"/>
      <c r="Q67" s="303"/>
      <c r="R67" s="303"/>
      <c r="S67" s="303"/>
    </row>
    <row r="68" spans="1:19" ht="18" customHeight="1" x14ac:dyDescent="0.2">
      <c r="B68" s="267" t="s">
        <v>21</v>
      </c>
      <c r="C68" s="268"/>
      <c r="D68" s="268"/>
      <c r="E68" s="304" t="s">
        <v>22</v>
      </c>
      <c r="F68" s="305" t="s">
        <v>23</v>
      </c>
      <c r="G68" s="306" t="s">
        <v>39</v>
      </c>
      <c r="H68" s="306" t="s">
        <v>40</v>
      </c>
      <c r="I68" s="306" t="s">
        <v>41</v>
      </c>
      <c r="J68" s="267" t="s">
        <v>21</v>
      </c>
      <c r="K68" s="268"/>
      <c r="L68" s="268"/>
      <c r="M68" s="268"/>
      <c r="N68" s="269"/>
      <c r="O68" s="304" t="s">
        <v>22</v>
      </c>
      <c r="P68" s="305" t="s">
        <v>23</v>
      </c>
      <c r="Q68" s="306" t="s">
        <v>39</v>
      </c>
      <c r="R68" s="306" t="s">
        <v>40</v>
      </c>
      <c r="S68" s="306" t="s">
        <v>41</v>
      </c>
    </row>
    <row r="69" spans="1:19" ht="18" customHeight="1" x14ac:dyDescent="0.2">
      <c r="A69" s="277"/>
      <c r="B69" s="307" t="s">
        <v>26</v>
      </c>
      <c r="C69" s="308"/>
      <c r="D69" s="309"/>
      <c r="E69" s="310">
        <v>1</v>
      </c>
      <c r="F69" s="310"/>
      <c r="G69" s="310" t="s">
        <v>27</v>
      </c>
      <c r="H69" s="310" t="s">
        <v>27</v>
      </c>
      <c r="I69" s="310" t="s">
        <v>27</v>
      </c>
      <c r="J69" s="307"/>
      <c r="K69" s="308"/>
      <c r="L69" s="308"/>
      <c r="M69" s="308"/>
      <c r="N69" s="309"/>
      <c r="O69" s="310"/>
      <c r="P69" s="310"/>
      <c r="Q69" s="310"/>
      <c r="R69" s="310"/>
      <c r="S69" s="310"/>
    </row>
    <row r="70" spans="1:19" ht="18" customHeight="1" x14ac:dyDescent="0.2">
      <c r="A70" s="277"/>
      <c r="B70" s="311" t="s">
        <v>83</v>
      </c>
      <c r="C70" s="312"/>
      <c r="D70" s="313"/>
      <c r="E70" s="314">
        <v>2</v>
      </c>
      <c r="F70" s="314"/>
      <c r="G70" s="314" t="s">
        <v>27</v>
      </c>
      <c r="H70" s="314" t="s">
        <v>27</v>
      </c>
      <c r="I70" s="314" t="s">
        <v>27</v>
      </c>
      <c r="J70" s="311"/>
      <c r="K70" s="312"/>
      <c r="L70" s="312"/>
      <c r="M70" s="312"/>
      <c r="N70" s="313"/>
      <c r="O70" s="314"/>
      <c r="P70" s="314"/>
      <c r="Q70" s="314"/>
      <c r="R70" s="314"/>
      <c r="S70" s="314"/>
    </row>
    <row r="71" spans="1:19" ht="18" customHeight="1" x14ac:dyDescent="0.2">
      <c r="A71" s="277"/>
      <c r="B71" s="311" t="s">
        <v>84</v>
      </c>
      <c r="C71" s="312"/>
      <c r="D71" s="313"/>
      <c r="E71" s="314">
        <v>1</v>
      </c>
      <c r="F71" s="314"/>
      <c r="G71" s="314" t="s">
        <v>27</v>
      </c>
      <c r="H71" s="314" t="s">
        <v>27</v>
      </c>
      <c r="I71" s="314" t="s">
        <v>27</v>
      </c>
      <c r="J71" s="311"/>
      <c r="K71" s="312"/>
      <c r="L71" s="312"/>
      <c r="M71" s="312"/>
      <c r="N71" s="313"/>
      <c r="O71" s="314"/>
      <c r="P71" s="314"/>
      <c r="Q71" s="314"/>
      <c r="R71" s="314"/>
      <c r="S71" s="314"/>
    </row>
    <row r="72" spans="1:19" ht="18" customHeight="1" x14ac:dyDescent="0.2">
      <c r="A72" s="277"/>
      <c r="B72" s="311" t="s">
        <v>85</v>
      </c>
      <c r="C72" s="312"/>
      <c r="D72" s="313"/>
      <c r="E72" s="314">
        <v>1</v>
      </c>
      <c r="F72" s="314"/>
      <c r="G72" s="314" t="s">
        <v>27</v>
      </c>
      <c r="H72" s="314" t="s">
        <v>27</v>
      </c>
      <c r="I72" s="314" t="s">
        <v>27</v>
      </c>
      <c r="J72" s="311"/>
      <c r="K72" s="312"/>
      <c r="L72" s="312"/>
      <c r="M72" s="312"/>
      <c r="N72" s="313"/>
      <c r="O72" s="314"/>
      <c r="P72" s="314"/>
      <c r="Q72" s="314"/>
      <c r="R72" s="314"/>
      <c r="S72" s="314"/>
    </row>
    <row r="73" spans="1:19" ht="18" customHeight="1" x14ac:dyDescent="0.2">
      <c r="A73" s="277"/>
      <c r="B73" s="311"/>
      <c r="C73" s="312"/>
      <c r="D73" s="312"/>
      <c r="E73" s="314"/>
      <c r="F73" s="314"/>
      <c r="G73" s="314"/>
      <c r="H73" s="314"/>
      <c r="I73" s="314"/>
      <c r="J73" s="311"/>
      <c r="K73" s="312"/>
      <c r="L73" s="312"/>
      <c r="M73" s="312"/>
      <c r="N73" s="313"/>
      <c r="O73" s="314"/>
      <c r="P73" s="314"/>
      <c r="Q73" s="314"/>
      <c r="R73" s="314"/>
      <c r="S73" s="314"/>
    </row>
    <row r="74" spans="1:19" ht="18" customHeight="1" x14ac:dyDescent="0.2">
      <c r="A74" s="277"/>
      <c r="B74" s="311"/>
      <c r="C74" s="312"/>
      <c r="D74" s="312"/>
      <c r="E74" s="314"/>
      <c r="F74" s="314"/>
      <c r="G74" s="314"/>
      <c r="H74" s="314"/>
      <c r="I74" s="314"/>
      <c r="J74" s="311"/>
      <c r="K74" s="312"/>
      <c r="L74" s="312"/>
      <c r="M74" s="312"/>
      <c r="N74" s="313"/>
      <c r="O74" s="314"/>
      <c r="P74" s="314"/>
      <c r="Q74" s="314"/>
      <c r="R74" s="314"/>
      <c r="S74" s="314"/>
    </row>
    <row r="75" spans="1:19" ht="18" customHeight="1" x14ac:dyDescent="0.2">
      <c r="A75" s="277"/>
      <c r="B75" s="315"/>
      <c r="C75" s="316"/>
      <c r="D75" s="316"/>
      <c r="E75" s="318"/>
      <c r="F75" s="318"/>
      <c r="G75" s="319"/>
      <c r="H75" s="319"/>
      <c r="I75" s="319"/>
      <c r="J75" s="315"/>
      <c r="K75" s="316"/>
      <c r="L75" s="316"/>
      <c r="M75" s="316"/>
      <c r="N75" s="317"/>
      <c r="O75" s="318"/>
      <c r="P75" s="318"/>
      <c r="Q75" s="319"/>
      <c r="R75" s="319"/>
      <c r="S75" s="319"/>
    </row>
    <row r="76" spans="1:19" ht="7.5" customHeight="1" x14ac:dyDescent="0.2">
      <c r="B76" s="320"/>
      <c r="C76" s="320"/>
      <c r="D76" s="320"/>
      <c r="E76" s="320"/>
      <c r="F76" s="320"/>
      <c r="G76" s="320"/>
      <c r="H76" s="320"/>
      <c r="I76" s="320"/>
      <c r="J76" s="320"/>
      <c r="K76" s="320"/>
      <c r="L76" s="320"/>
      <c r="M76" s="320"/>
      <c r="N76" s="320"/>
      <c r="O76" s="320"/>
      <c r="P76" s="320"/>
      <c r="Q76" s="320"/>
      <c r="R76" s="320"/>
    </row>
    <row r="77" spans="1:19" ht="18" customHeight="1" x14ac:dyDescent="0.2">
      <c r="A77" s="263" t="s">
        <v>42</v>
      </c>
      <c r="H77" s="277"/>
      <c r="I77" s="277"/>
      <c r="J77" s="277"/>
      <c r="K77" s="277"/>
      <c r="L77" s="277"/>
      <c r="M77" s="277"/>
      <c r="N77" s="277"/>
      <c r="O77" s="277"/>
      <c r="P77" s="277"/>
      <c r="Q77" s="277"/>
      <c r="R77" s="277"/>
      <c r="S77" s="277"/>
    </row>
    <row r="78" spans="1:19" ht="18" customHeight="1" x14ac:dyDescent="0.2">
      <c r="B78" s="267" t="s">
        <v>21</v>
      </c>
      <c r="C78" s="268"/>
      <c r="D78" s="268"/>
      <c r="E78" s="269"/>
      <c r="F78" s="267" t="s">
        <v>43</v>
      </c>
      <c r="G78" s="268"/>
      <c r="H78" s="268"/>
      <c r="I78" s="269"/>
      <c r="J78" s="321" t="s">
        <v>21</v>
      </c>
      <c r="K78" s="322"/>
      <c r="L78" s="322"/>
      <c r="M78" s="322"/>
      <c r="N78" s="322"/>
      <c r="O78" s="323"/>
      <c r="P78" s="267" t="s">
        <v>43</v>
      </c>
      <c r="Q78" s="268"/>
      <c r="R78" s="268"/>
      <c r="S78" s="269"/>
    </row>
    <row r="79" spans="1:19" ht="18" customHeight="1" x14ac:dyDescent="0.2">
      <c r="A79" s="277"/>
      <c r="B79" s="307" t="s">
        <v>26</v>
      </c>
      <c r="C79" s="308"/>
      <c r="D79" s="308"/>
      <c r="E79" s="309"/>
      <c r="F79" s="324" t="s">
        <v>44</v>
      </c>
      <c r="G79" s="325"/>
      <c r="H79" s="325"/>
      <c r="I79" s="326"/>
      <c r="J79" s="307"/>
      <c r="K79" s="308"/>
      <c r="L79" s="308"/>
      <c r="M79" s="308"/>
      <c r="N79" s="308"/>
      <c r="O79" s="309"/>
      <c r="P79" s="324"/>
      <c r="Q79" s="325"/>
      <c r="R79" s="325"/>
      <c r="S79" s="326"/>
    </row>
    <row r="80" spans="1:19" ht="18" customHeight="1" x14ac:dyDescent="0.2">
      <c r="A80" s="277"/>
      <c r="B80" s="311" t="s">
        <v>83</v>
      </c>
      <c r="C80" s="312"/>
      <c r="D80" s="312"/>
      <c r="E80" s="313"/>
      <c r="F80" s="327" t="s">
        <v>74</v>
      </c>
      <c r="G80" s="328"/>
      <c r="H80" s="328"/>
      <c r="I80" s="329"/>
      <c r="J80" s="311"/>
      <c r="K80" s="312"/>
      <c r="L80" s="312"/>
      <c r="M80" s="312"/>
      <c r="N80" s="312"/>
      <c r="O80" s="313"/>
      <c r="P80" s="327"/>
      <c r="Q80" s="328"/>
      <c r="R80" s="328"/>
      <c r="S80" s="329"/>
    </row>
    <row r="81" spans="1:19" ht="18" customHeight="1" x14ac:dyDescent="0.2">
      <c r="A81" s="277"/>
      <c r="B81" s="311" t="s">
        <v>84</v>
      </c>
      <c r="C81" s="312"/>
      <c r="D81" s="312"/>
      <c r="E81" s="313"/>
      <c r="F81" s="327" t="s">
        <v>44</v>
      </c>
      <c r="G81" s="328"/>
      <c r="H81" s="328"/>
      <c r="I81" s="329"/>
      <c r="J81" s="311"/>
      <c r="K81" s="312"/>
      <c r="L81" s="312"/>
      <c r="M81" s="312"/>
      <c r="N81" s="312"/>
      <c r="O81" s="313"/>
      <c r="P81" s="327"/>
      <c r="Q81" s="328"/>
      <c r="R81" s="328"/>
      <c r="S81" s="329"/>
    </row>
    <row r="82" spans="1:19" ht="18" customHeight="1" x14ac:dyDescent="0.2">
      <c r="A82" s="277"/>
      <c r="B82" s="311" t="s">
        <v>85</v>
      </c>
      <c r="C82" s="312"/>
      <c r="D82" s="312"/>
      <c r="E82" s="313"/>
      <c r="F82" s="327" t="s">
        <v>86</v>
      </c>
      <c r="G82" s="328"/>
      <c r="H82" s="328"/>
      <c r="I82" s="329"/>
      <c r="J82" s="311"/>
      <c r="K82" s="312"/>
      <c r="L82" s="312"/>
      <c r="M82" s="312"/>
      <c r="N82" s="312"/>
      <c r="O82" s="313"/>
      <c r="P82" s="327"/>
      <c r="Q82" s="328"/>
      <c r="R82" s="328"/>
      <c r="S82" s="329"/>
    </row>
    <row r="83" spans="1:19" ht="18" customHeight="1" x14ac:dyDescent="0.2">
      <c r="A83" s="277"/>
      <c r="B83" s="311" t="s">
        <v>85</v>
      </c>
      <c r="C83" s="312"/>
      <c r="D83" s="312"/>
      <c r="E83" s="313"/>
      <c r="F83" s="327" t="s">
        <v>74</v>
      </c>
      <c r="G83" s="328"/>
      <c r="H83" s="328"/>
      <c r="I83" s="329"/>
      <c r="J83" s="311"/>
      <c r="K83" s="312"/>
      <c r="L83" s="312"/>
      <c r="M83" s="312"/>
      <c r="N83" s="312"/>
      <c r="O83" s="313"/>
      <c r="P83" s="327"/>
      <c r="Q83" s="328"/>
      <c r="R83" s="328"/>
      <c r="S83" s="329"/>
    </row>
    <row r="84" spans="1:19" ht="18" customHeight="1" x14ac:dyDescent="0.2">
      <c r="A84" s="277"/>
      <c r="B84" s="311"/>
      <c r="C84" s="312"/>
      <c r="D84" s="312"/>
      <c r="E84" s="313"/>
      <c r="F84" s="327"/>
      <c r="G84" s="328"/>
      <c r="H84" s="328"/>
      <c r="I84" s="329"/>
      <c r="J84" s="311"/>
      <c r="K84" s="312"/>
      <c r="L84" s="312"/>
      <c r="M84" s="312"/>
      <c r="N84" s="312"/>
      <c r="O84" s="313"/>
      <c r="P84" s="327"/>
      <c r="Q84" s="328"/>
      <c r="R84" s="328"/>
      <c r="S84" s="329"/>
    </row>
    <row r="85" spans="1:19" ht="18" customHeight="1" x14ac:dyDescent="0.2">
      <c r="A85" s="277"/>
      <c r="B85" s="315"/>
      <c r="C85" s="316"/>
      <c r="D85" s="316"/>
      <c r="E85" s="317"/>
      <c r="F85" s="330"/>
      <c r="G85" s="331"/>
      <c r="H85" s="331"/>
      <c r="I85" s="332"/>
      <c r="J85" s="315"/>
      <c r="K85" s="316"/>
      <c r="L85" s="316"/>
      <c r="M85" s="316"/>
      <c r="N85" s="316"/>
      <c r="O85" s="317"/>
      <c r="P85" s="330"/>
      <c r="Q85" s="331"/>
      <c r="R85" s="331"/>
      <c r="S85" s="332"/>
    </row>
    <row r="86" spans="1:19" ht="18" customHeight="1" x14ac:dyDescent="0.2">
      <c r="A86" s="277"/>
      <c r="B86" s="271"/>
      <c r="C86" s="271"/>
      <c r="D86" s="271"/>
      <c r="E86" s="271"/>
      <c r="F86" s="333"/>
      <c r="G86" s="333"/>
      <c r="H86" s="333"/>
      <c r="I86" s="333"/>
      <c r="J86" s="271"/>
      <c r="K86" s="271"/>
      <c r="L86" s="271"/>
      <c r="M86" s="271"/>
      <c r="N86" s="271"/>
      <c r="O86" s="271"/>
      <c r="P86" s="333"/>
      <c r="Q86" s="333"/>
      <c r="R86" s="333"/>
      <c r="S86" s="333"/>
    </row>
    <row r="87" spans="1:19" ht="18.75" customHeight="1" x14ac:dyDescent="0.2">
      <c r="A87" s="263" t="s">
        <v>45</v>
      </c>
    </row>
    <row r="88" spans="1:19" ht="18.75" customHeight="1" x14ac:dyDescent="0.2">
      <c r="B88" s="334" t="s">
        <v>46</v>
      </c>
      <c r="C88" s="335"/>
      <c r="D88" s="268" t="s">
        <v>47</v>
      </c>
      <c r="E88" s="268"/>
      <c r="F88" s="268"/>
      <c r="G88" s="268"/>
      <c r="H88" s="268"/>
      <c r="I88" s="268"/>
      <c r="J88" s="268"/>
      <c r="K88" s="268"/>
      <c r="L88" s="268"/>
      <c r="M88" s="268"/>
      <c r="N88" s="268"/>
      <c r="O88" s="268"/>
      <c r="P88" s="268"/>
      <c r="Q88" s="268"/>
      <c r="R88" s="268"/>
      <c r="S88" s="269"/>
    </row>
    <row r="89" spans="1:19" ht="97.5" customHeight="1" x14ac:dyDescent="0.2">
      <c r="B89" s="336" t="s">
        <v>48</v>
      </c>
      <c r="C89" s="337" t="s">
        <v>24</v>
      </c>
      <c r="D89" s="338" t="s">
        <v>206</v>
      </c>
      <c r="E89" s="339"/>
      <c r="F89" s="339"/>
      <c r="G89" s="339"/>
      <c r="H89" s="339"/>
      <c r="I89" s="339"/>
      <c r="J89" s="339"/>
      <c r="K89" s="339"/>
      <c r="L89" s="339"/>
      <c r="M89" s="339"/>
      <c r="N89" s="339"/>
      <c r="O89" s="339"/>
      <c r="P89" s="339"/>
      <c r="Q89" s="339"/>
      <c r="R89" s="339"/>
      <c r="S89" s="340"/>
    </row>
    <row r="90" spans="1:19" ht="97.5" customHeight="1" x14ac:dyDescent="0.2">
      <c r="B90" s="341"/>
      <c r="C90" s="342" t="s">
        <v>50</v>
      </c>
      <c r="D90" s="343" t="s">
        <v>207</v>
      </c>
      <c r="E90" s="344"/>
      <c r="F90" s="344"/>
      <c r="G90" s="344"/>
      <c r="H90" s="344"/>
      <c r="I90" s="344"/>
      <c r="J90" s="344"/>
      <c r="K90" s="344"/>
      <c r="L90" s="344"/>
      <c r="M90" s="344"/>
      <c r="N90" s="344"/>
      <c r="O90" s="344"/>
      <c r="P90" s="344"/>
      <c r="Q90" s="344"/>
      <c r="R90" s="344"/>
      <c r="S90" s="345"/>
    </row>
    <row r="91" spans="1:19" ht="97.5" customHeight="1" x14ac:dyDescent="0.2">
      <c r="B91" s="336" t="s">
        <v>52</v>
      </c>
      <c r="C91" s="346" t="s">
        <v>29</v>
      </c>
      <c r="D91" s="347" t="s">
        <v>208</v>
      </c>
      <c r="E91" s="348"/>
      <c r="F91" s="348"/>
      <c r="G91" s="348"/>
      <c r="H91" s="348"/>
      <c r="I91" s="348"/>
      <c r="J91" s="348"/>
      <c r="K91" s="348"/>
      <c r="L91" s="348"/>
      <c r="M91" s="348"/>
      <c r="N91" s="348"/>
      <c r="O91" s="348"/>
      <c r="P91" s="348"/>
      <c r="Q91" s="348"/>
      <c r="R91" s="348"/>
      <c r="S91" s="349"/>
    </row>
    <row r="92" spans="1:19" ht="97.5" customHeight="1" x14ac:dyDescent="0.2">
      <c r="B92" s="350"/>
      <c r="C92" s="351" t="s">
        <v>30</v>
      </c>
      <c r="D92" s="343" t="s">
        <v>209</v>
      </c>
      <c r="E92" s="344"/>
      <c r="F92" s="344"/>
      <c r="G92" s="344"/>
      <c r="H92" s="344"/>
      <c r="I92" s="344"/>
      <c r="J92" s="344"/>
      <c r="K92" s="344"/>
      <c r="L92" s="344"/>
      <c r="M92" s="344"/>
      <c r="N92" s="344"/>
      <c r="O92" s="344"/>
      <c r="P92" s="344"/>
      <c r="Q92" s="344"/>
      <c r="R92" s="344"/>
      <c r="S92" s="345"/>
    </row>
    <row r="93" spans="1:19" ht="97.5" customHeight="1" x14ac:dyDescent="0.2">
      <c r="B93" s="336" t="s">
        <v>55</v>
      </c>
      <c r="C93" s="346" t="s">
        <v>32</v>
      </c>
      <c r="D93" s="371" t="s">
        <v>210</v>
      </c>
      <c r="E93" s="372"/>
      <c r="F93" s="372"/>
      <c r="G93" s="372"/>
      <c r="H93" s="372"/>
      <c r="I93" s="372"/>
      <c r="J93" s="372"/>
      <c r="K93" s="372"/>
      <c r="L93" s="372"/>
      <c r="M93" s="372"/>
      <c r="N93" s="372"/>
      <c r="O93" s="372"/>
      <c r="P93" s="372"/>
      <c r="Q93" s="372"/>
      <c r="R93" s="372"/>
      <c r="S93" s="373"/>
    </row>
    <row r="94" spans="1:19" ht="97.5" customHeight="1" x14ac:dyDescent="0.2">
      <c r="B94" s="350"/>
      <c r="C94" s="352" t="s">
        <v>33</v>
      </c>
      <c r="D94" s="343" t="s">
        <v>211</v>
      </c>
      <c r="E94" s="344"/>
      <c r="F94" s="344"/>
      <c r="G94" s="344"/>
      <c r="H94" s="344"/>
      <c r="I94" s="344"/>
      <c r="J94" s="344"/>
      <c r="K94" s="344"/>
      <c r="L94" s="344"/>
      <c r="M94" s="344"/>
      <c r="N94" s="344"/>
      <c r="O94" s="344"/>
      <c r="P94" s="344"/>
      <c r="Q94" s="344"/>
      <c r="R94" s="344"/>
      <c r="S94" s="345"/>
    </row>
    <row r="95" spans="1:19" ht="97.5" customHeight="1" x14ac:dyDescent="0.2">
      <c r="B95" s="336" t="s">
        <v>58</v>
      </c>
      <c r="C95" s="337" t="s">
        <v>35</v>
      </c>
      <c r="D95" s="374" t="s">
        <v>212</v>
      </c>
      <c r="E95" s="375"/>
      <c r="F95" s="375"/>
      <c r="G95" s="375"/>
      <c r="H95" s="375"/>
      <c r="I95" s="375"/>
      <c r="J95" s="375"/>
      <c r="K95" s="375"/>
      <c r="L95" s="375"/>
      <c r="M95" s="375"/>
      <c r="N95" s="375"/>
      <c r="O95" s="375"/>
      <c r="P95" s="375"/>
      <c r="Q95" s="375"/>
      <c r="R95" s="375"/>
      <c r="S95" s="376"/>
    </row>
    <row r="96" spans="1:19" ht="100.25" customHeight="1" x14ac:dyDescent="0.2">
      <c r="B96" s="350"/>
      <c r="C96" s="351" t="s">
        <v>36</v>
      </c>
      <c r="D96" s="377" t="s">
        <v>213</v>
      </c>
      <c r="E96" s="378"/>
      <c r="F96" s="378"/>
      <c r="G96" s="378"/>
      <c r="H96" s="378"/>
      <c r="I96" s="378"/>
      <c r="J96" s="378"/>
      <c r="K96" s="378"/>
      <c r="L96" s="378"/>
      <c r="M96" s="378"/>
      <c r="N96" s="378"/>
      <c r="O96" s="378"/>
      <c r="P96" s="378"/>
      <c r="Q96" s="378"/>
      <c r="R96" s="378"/>
      <c r="S96" s="379"/>
    </row>
    <row r="97" spans="1:19" ht="104.75" customHeight="1" x14ac:dyDescent="0.2">
      <c r="B97" s="336" t="s">
        <v>61</v>
      </c>
      <c r="C97" s="346" t="s">
        <v>62</v>
      </c>
      <c r="D97" s="374" t="s">
        <v>214</v>
      </c>
      <c r="E97" s="375"/>
      <c r="F97" s="375"/>
      <c r="G97" s="375"/>
      <c r="H97" s="375"/>
      <c r="I97" s="375"/>
      <c r="J97" s="375"/>
      <c r="K97" s="375"/>
      <c r="L97" s="375"/>
      <c r="M97" s="375"/>
      <c r="N97" s="375"/>
      <c r="O97" s="375"/>
      <c r="P97" s="375"/>
      <c r="Q97" s="375"/>
      <c r="R97" s="375"/>
      <c r="S97" s="376"/>
    </row>
    <row r="98" spans="1:19" ht="97.5" customHeight="1" x14ac:dyDescent="0.2">
      <c r="B98" s="341"/>
      <c r="C98" s="356" t="s">
        <v>40</v>
      </c>
      <c r="D98" s="380" t="s">
        <v>215</v>
      </c>
      <c r="E98" s="381"/>
      <c r="F98" s="381"/>
      <c r="G98" s="381"/>
      <c r="H98" s="381"/>
      <c r="I98" s="381"/>
      <c r="J98" s="381"/>
      <c r="K98" s="381"/>
      <c r="L98" s="381"/>
      <c r="M98" s="381"/>
      <c r="N98" s="381"/>
      <c r="O98" s="381"/>
      <c r="P98" s="381"/>
      <c r="Q98" s="381"/>
      <c r="R98" s="381"/>
      <c r="S98" s="382"/>
    </row>
    <row r="99" spans="1:19" ht="97.5" customHeight="1" x14ac:dyDescent="0.2">
      <c r="B99" s="350"/>
      <c r="C99" s="352" t="s">
        <v>41</v>
      </c>
      <c r="D99" s="383" t="s">
        <v>216</v>
      </c>
      <c r="E99" s="384"/>
      <c r="F99" s="384"/>
      <c r="G99" s="384"/>
      <c r="H99" s="384"/>
      <c r="I99" s="384"/>
      <c r="J99" s="384"/>
      <c r="K99" s="384"/>
      <c r="L99" s="384"/>
      <c r="M99" s="384"/>
      <c r="N99" s="384"/>
      <c r="O99" s="384"/>
      <c r="P99" s="384"/>
      <c r="Q99" s="384"/>
      <c r="R99" s="384"/>
      <c r="S99" s="385"/>
    </row>
    <row r="100" spans="1:19" ht="6" customHeight="1" x14ac:dyDescent="0.2"/>
    <row r="101" spans="1:19" ht="18.75" customHeight="1" x14ac:dyDescent="0.2">
      <c r="A101" s="263" t="s">
        <v>66</v>
      </c>
    </row>
    <row r="102" spans="1:19" ht="81.75" customHeight="1" x14ac:dyDescent="0.2">
      <c r="B102" s="360" t="s">
        <v>67</v>
      </c>
      <c r="C102" s="361"/>
      <c r="D102" s="361"/>
      <c r="E102" s="361"/>
      <c r="F102" s="361"/>
      <c r="G102" s="361"/>
      <c r="H102" s="361"/>
      <c r="I102" s="361"/>
      <c r="J102" s="361"/>
      <c r="K102" s="361"/>
      <c r="L102" s="361"/>
      <c r="M102" s="361"/>
      <c r="N102" s="361"/>
      <c r="O102" s="361"/>
      <c r="P102" s="361"/>
      <c r="Q102" s="361"/>
      <c r="R102" s="361"/>
      <c r="S102" s="362"/>
    </row>
    <row r="110" spans="1:19" ht="18" customHeight="1" x14ac:dyDescent="0.2"/>
  </sheetData>
  <mergeCells count="145">
    <mergeCell ref="B13:S18"/>
    <mergeCell ref="C20:D20"/>
    <mergeCell ref="K20:S20"/>
    <mergeCell ref="A22:S23"/>
    <mergeCell ref="B24:E24"/>
    <mergeCell ref="J24:O24"/>
    <mergeCell ref="R1:S1"/>
    <mergeCell ref="C2:I2"/>
    <mergeCell ref="C3:I3"/>
    <mergeCell ref="A5:S5"/>
    <mergeCell ref="K7:S7"/>
    <mergeCell ref="B9:S10"/>
    <mergeCell ref="B28:E28"/>
    <mergeCell ref="J28:O28"/>
    <mergeCell ref="B29:E29"/>
    <mergeCell ref="J29:O29"/>
    <mergeCell ref="B30:E30"/>
    <mergeCell ref="J30:O30"/>
    <mergeCell ref="B25:E25"/>
    <mergeCell ref="J25:O25"/>
    <mergeCell ref="B26:E26"/>
    <mergeCell ref="J26:O26"/>
    <mergeCell ref="B27:E27"/>
    <mergeCell ref="J27:O27"/>
    <mergeCell ref="B37:E37"/>
    <mergeCell ref="J37:O37"/>
    <mergeCell ref="B38:E38"/>
    <mergeCell ref="J38:O38"/>
    <mergeCell ref="B39:E39"/>
    <mergeCell ref="J39:O39"/>
    <mergeCell ref="B31:E31"/>
    <mergeCell ref="J31:O31"/>
    <mergeCell ref="A33:S34"/>
    <mergeCell ref="B35:E35"/>
    <mergeCell ref="J35:O35"/>
    <mergeCell ref="B36:E36"/>
    <mergeCell ref="J36:O36"/>
    <mergeCell ref="A44:S45"/>
    <mergeCell ref="B46:E46"/>
    <mergeCell ref="J46:O46"/>
    <mergeCell ref="B47:E47"/>
    <mergeCell ref="J47:O47"/>
    <mergeCell ref="B48:E48"/>
    <mergeCell ref="J48:O48"/>
    <mergeCell ref="B40:E40"/>
    <mergeCell ref="J40:O40"/>
    <mergeCell ref="B41:E41"/>
    <mergeCell ref="J41:O41"/>
    <mergeCell ref="B42:E42"/>
    <mergeCell ref="J42:O42"/>
    <mergeCell ref="B52:E52"/>
    <mergeCell ref="J52:O52"/>
    <mergeCell ref="B53:E53"/>
    <mergeCell ref="J53:O53"/>
    <mergeCell ref="A55:S56"/>
    <mergeCell ref="B57:E57"/>
    <mergeCell ref="J57:O57"/>
    <mergeCell ref="B49:E49"/>
    <mergeCell ref="J49:O49"/>
    <mergeCell ref="B50:E50"/>
    <mergeCell ref="J50:O50"/>
    <mergeCell ref="B51:E51"/>
    <mergeCell ref="J51:O51"/>
    <mergeCell ref="B61:E61"/>
    <mergeCell ref="J61:O61"/>
    <mergeCell ref="B62:E62"/>
    <mergeCell ref="J62:O62"/>
    <mergeCell ref="B63:E63"/>
    <mergeCell ref="J63:O63"/>
    <mergeCell ref="B58:E58"/>
    <mergeCell ref="J58:O58"/>
    <mergeCell ref="B59:E59"/>
    <mergeCell ref="J59:O59"/>
    <mergeCell ref="B60:E60"/>
    <mergeCell ref="J60:O60"/>
    <mergeCell ref="B70:D70"/>
    <mergeCell ref="J70:N70"/>
    <mergeCell ref="B71:D71"/>
    <mergeCell ref="J71:N71"/>
    <mergeCell ref="B72:D72"/>
    <mergeCell ref="J72:N72"/>
    <mergeCell ref="B64:E64"/>
    <mergeCell ref="J64:O64"/>
    <mergeCell ref="A66:S67"/>
    <mergeCell ref="B68:D68"/>
    <mergeCell ref="J68:N68"/>
    <mergeCell ref="B69:D69"/>
    <mergeCell ref="J69:N69"/>
    <mergeCell ref="B78:E78"/>
    <mergeCell ref="F78:I78"/>
    <mergeCell ref="J78:O78"/>
    <mergeCell ref="P78:S78"/>
    <mergeCell ref="B79:E79"/>
    <mergeCell ref="F79:I79"/>
    <mergeCell ref="J79:O79"/>
    <mergeCell ref="P79:S79"/>
    <mergeCell ref="B73:D73"/>
    <mergeCell ref="J73:N73"/>
    <mergeCell ref="B74:D74"/>
    <mergeCell ref="J74:N74"/>
    <mergeCell ref="B75:D75"/>
    <mergeCell ref="J75:N75"/>
    <mergeCell ref="B82:E82"/>
    <mergeCell ref="F82:I82"/>
    <mergeCell ref="J82:O82"/>
    <mergeCell ref="P82:S82"/>
    <mergeCell ref="B83:E83"/>
    <mergeCell ref="F83:I83"/>
    <mergeCell ref="J83:O83"/>
    <mergeCell ref="P83:S83"/>
    <mergeCell ref="B80:E80"/>
    <mergeCell ref="F80:I80"/>
    <mergeCell ref="J80:O80"/>
    <mergeCell ref="P80:S80"/>
    <mergeCell ref="B81:E81"/>
    <mergeCell ref="F81:I81"/>
    <mergeCell ref="J81:O81"/>
    <mergeCell ref="P81:S81"/>
    <mergeCell ref="B88:C88"/>
    <mergeCell ref="D88:S88"/>
    <mergeCell ref="B89:B90"/>
    <mergeCell ref="D89:S89"/>
    <mergeCell ref="D90:S90"/>
    <mergeCell ref="B91:B92"/>
    <mergeCell ref="D91:S91"/>
    <mergeCell ref="D92:S92"/>
    <mergeCell ref="B84:E84"/>
    <mergeCell ref="F84:I84"/>
    <mergeCell ref="J84:O84"/>
    <mergeCell ref="P84:S84"/>
    <mergeCell ref="B85:E85"/>
    <mergeCell ref="F85:I85"/>
    <mergeCell ref="J85:O85"/>
    <mergeCell ref="P85:S85"/>
    <mergeCell ref="B97:B99"/>
    <mergeCell ref="D97:S97"/>
    <mergeCell ref="D98:S98"/>
    <mergeCell ref="D99:S99"/>
    <mergeCell ref="B102:S102"/>
    <mergeCell ref="B93:B94"/>
    <mergeCell ref="D93:S93"/>
    <mergeCell ref="D94:S94"/>
    <mergeCell ref="B95:B96"/>
    <mergeCell ref="D95:S95"/>
    <mergeCell ref="D96:S96"/>
  </mergeCells>
  <phoneticPr fontId="1"/>
  <conditionalFormatting sqref="B9:S10">
    <cfRule type="expression" dxfId="1" priority="1">
      <formula>$K$7="学部・学科によって、修了要件は相違しない"</formula>
    </cfRule>
  </conditionalFormatting>
  <dataValidations count="5">
    <dataValidation type="list" allowBlank="1" showInputMessage="1" showErrorMessage="1" sqref="K20:S20" xr:uid="{CF26D362-79E5-4B76-9BDB-4D7231BD31CC}">
      <formula1>$V$14:$V$16</formula1>
    </dataValidation>
    <dataValidation type="list" allowBlank="1" showInputMessage="1" showErrorMessage="1" sqref="P79:P86 Q83:S86 Q79:S80 G79:I82 F79:F86 G84:I86" xr:uid="{2D9946E4-BB5D-4F19-ACCB-DC387547CF58}">
      <formula1>"4-1統計および数理基礎,4‐2アルゴリズム基礎,4‐3データ構造とプログラミング基礎,4‐4時系列データ解析,4‐5テキスト解析,4‐6画像解析,4‐7データハンドリング,4‐8データ活用実践（教師あり学習）,4‐9データ活用実践（教師なし学習）,その他"</formula1>
    </dataValidation>
    <dataValidation type="list" allowBlank="1" showInputMessage="1" showErrorMessage="1" sqref="K7 K12" xr:uid="{8ECA6585-49AC-443A-A9BD-74E937C32462}">
      <formula1>"学部・学科によって、修了要件は相違する,学部・学科によって、修了要件は相違しない"</formula1>
    </dataValidation>
    <dataValidation type="list" allowBlank="1" showInputMessage="1" showErrorMessage="1" sqref="S32 S43 D32:G32 D43:G43" xr:uid="{07CE7DED-C1D0-461E-BC84-3720AA579107}">
      <formula1>"全学開講,一部開講"</formula1>
    </dataValidation>
    <dataValidation type="list" allowBlank="1" showInputMessage="1" showErrorMessage="1" sqref="G47:I53 Q25:S31 P69:S75 Q36:S42 G25:I31 Q47:S53 G36:I42 Q58:S64 G58:I64 F69:I75" xr:uid="{58565E5C-E4FA-4968-8D4F-D141EE86C582}">
      <formula1>"○"</formula1>
    </dataValidation>
  </dataValidations>
  <printOptions horizontalCentered="1"/>
  <pageMargins left="0.78740157480314965" right="0.78740157480314965" top="0.78740157480314965" bottom="0.19685039370078741" header="0.31496062992125984" footer="0.19685039370078741"/>
  <pageSetup paperSize="9" scale="75" fitToHeight="0" orientation="portrait" horizontalDpi="300" verticalDpi="300" r:id="rId1"/>
  <headerFooter>
    <oddHeader>&amp;C数理・データサイエンス・AI教育プログラム認定制度【リテラシーレベル】</oddHeader>
  </headerFooter>
  <rowBreaks count="2" manualBreakCount="2">
    <brk id="65" max="18" man="1"/>
    <brk id="94" max="18"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BCA01-3781-499D-9448-F7DD32F3E6C6}">
  <sheetPr>
    <pageSetUpPr fitToPage="1"/>
  </sheetPr>
  <dimension ref="A1:V110"/>
  <sheetViews>
    <sheetView showZeros="0" view="pageBreakPreview" zoomScaleNormal="100" zoomScaleSheetLayoutView="100" workbookViewId="0">
      <selection sqref="A1:XFD1048576"/>
    </sheetView>
  </sheetViews>
  <sheetFormatPr defaultColWidth="9" defaultRowHeight="18.75" customHeight="1" x14ac:dyDescent="0.2"/>
  <cols>
    <col min="1" max="1" width="2.453125" style="263" customWidth="1"/>
    <col min="2" max="2" width="16.453125" style="263" customWidth="1"/>
    <col min="3" max="19" width="5.6328125" style="263" customWidth="1"/>
    <col min="20" max="20" width="9" style="263"/>
    <col min="21" max="21" width="3.6328125" style="263" customWidth="1"/>
    <col min="22" max="22" width="48.6328125" style="263" hidden="1" customWidth="1"/>
    <col min="23" max="16384" width="9" style="263"/>
  </cols>
  <sheetData>
    <row r="1" spans="1:22" ht="18.5" customHeight="1" x14ac:dyDescent="0.2">
      <c r="R1" s="264" t="s">
        <v>87</v>
      </c>
      <c r="S1" s="264"/>
      <c r="T1" s="265" t="s">
        <v>1</v>
      </c>
    </row>
    <row r="2" spans="1:22" ht="18.75" customHeight="1" x14ac:dyDescent="0.2">
      <c r="B2" s="266" t="s">
        <v>2</v>
      </c>
      <c r="C2" s="267" t="s">
        <v>3</v>
      </c>
      <c r="D2" s="268"/>
      <c r="E2" s="268"/>
      <c r="F2" s="268"/>
      <c r="G2" s="268"/>
      <c r="H2" s="268"/>
      <c r="I2" s="269"/>
      <c r="J2" s="270"/>
      <c r="K2" s="271"/>
      <c r="L2" s="271"/>
      <c r="M2" s="271"/>
      <c r="N2" s="271"/>
      <c r="O2" s="271"/>
      <c r="P2" s="271"/>
      <c r="Q2" s="271"/>
      <c r="R2" s="271"/>
      <c r="S2" s="271"/>
    </row>
    <row r="3" spans="1:22" ht="18.75" customHeight="1" x14ac:dyDescent="0.2">
      <c r="B3" s="266" t="s">
        <v>4</v>
      </c>
      <c r="C3" s="272" t="s">
        <v>5</v>
      </c>
      <c r="D3" s="273"/>
      <c r="E3" s="273"/>
      <c r="F3" s="273"/>
      <c r="G3" s="273"/>
      <c r="H3" s="273"/>
      <c r="I3" s="274"/>
      <c r="J3" s="270"/>
      <c r="K3" s="271"/>
      <c r="L3" s="271"/>
      <c r="M3" s="271"/>
      <c r="N3" s="271"/>
      <c r="O3" s="271"/>
      <c r="P3" s="271"/>
      <c r="Q3" s="271"/>
      <c r="R3" s="271"/>
      <c r="S3" s="271"/>
    </row>
    <row r="4" spans="1:22" ht="15" customHeight="1" x14ac:dyDescent="0.2">
      <c r="K4" s="270"/>
      <c r="L4" s="275"/>
      <c r="M4" s="275"/>
      <c r="N4" s="275"/>
      <c r="O4" s="275"/>
      <c r="P4" s="275"/>
      <c r="Q4" s="275"/>
      <c r="R4" s="275"/>
      <c r="S4" s="275"/>
    </row>
    <row r="5" spans="1:22" ht="18" customHeight="1" x14ac:dyDescent="0.2">
      <c r="A5" s="276" t="s">
        <v>6</v>
      </c>
      <c r="B5" s="276"/>
      <c r="C5" s="276"/>
      <c r="D5" s="276"/>
      <c r="E5" s="276"/>
      <c r="F5" s="276"/>
      <c r="G5" s="276"/>
      <c r="H5" s="276"/>
      <c r="I5" s="276"/>
      <c r="J5" s="276"/>
      <c r="K5" s="276"/>
      <c r="L5" s="276"/>
      <c r="M5" s="276"/>
      <c r="N5" s="276"/>
      <c r="O5" s="276"/>
      <c r="P5" s="276"/>
      <c r="Q5" s="276"/>
      <c r="R5" s="276"/>
      <c r="S5" s="276"/>
    </row>
    <row r="6" spans="1:22" ht="15" customHeight="1" x14ac:dyDescent="0.2">
      <c r="B6" s="277"/>
      <c r="C6" s="277"/>
      <c r="D6" s="277"/>
      <c r="E6" s="277"/>
      <c r="F6" s="277"/>
      <c r="G6" s="277"/>
      <c r="H6" s="277"/>
      <c r="I6" s="277"/>
      <c r="J6" s="277"/>
      <c r="K6" s="277"/>
      <c r="L6" s="277"/>
      <c r="M6" s="277"/>
      <c r="N6" s="277"/>
      <c r="O6" s="277"/>
      <c r="P6" s="277"/>
      <c r="Q6" s="277"/>
      <c r="R6" s="277"/>
      <c r="S6" s="277"/>
    </row>
    <row r="7" spans="1:22" ht="18" customHeight="1" x14ac:dyDescent="0.2">
      <c r="A7" s="263" t="s">
        <v>7</v>
      </c>
      <c r="C7" s="277"/>
      <c r="J7" s="278" t="s">
        <v>8</v>
      </c>
      <c r="K7" s="279" t="s">
        <v>9</v>
      </c>
      <c r="L7" s="280"/>
      <c r="M7" s="280"/>
      <c r="N7" s="280"/>
      <c r="O7" s="280"/>
      <c r="P7" s="280"/>
      <c r="Q7" s="280"/>
      <c r="R7" s="280"/>
      <c r="S7" s="281"/>
    </row>
    <row r="8" spans="1:22" ht="6" customHeight="1" x14ac:dyDescent="0.2">
      <c r="B8" s="277"/>
      <c r="C8" s="277"/>
      <c r="D8" s="277"/>
      <c r="E8" s="277"/>
      <c r="F8" s="277"/>
      <c r="G8" s="277"/>
      <c r="H8" s="277"/>
      <c r="I8" s="277"/>
      <c r="J8" s="277"/>
      <c r="K8" s="282"/>
      <c r="L8" s="277"/>
      <c r="M8" s="277"/>
      <c r="N8" s="277"/>
      <c r="O8" s="277"/>
      <c r="P8" s="277"/>
      <c r="Q8" s="277"/>
      <c r="R8" s="277"/>
      <c r="S8" s="277"/>
    </row>
    <row r="9" spans="1:22" ht="18" customHeight="1" x14ac:dyDescent="0.2">
      <c r="B9" s="283" t="s">
        <v>200</v>
      </c>
      <c r="C9" s="284"/>
      <c r="D9" s="284"/>
      <c r="E9" s="284"/>
      <c r="F9" s="284"/>
      <c r="G9" s="284"/>
      <c r="H9" s="284"/>
      <c r="I9" s="284"/>
      <c r="J9" s="284"/>
      <c r="K9" s="284"/>
      <c r="L9" s="284"/>
      <c r="M9" s="284"/>
      <c r="N9" s="284"/>
      <c r="O9" s="284"/>
      <c r="P9" s="284"/>
      <c r="Q9" s="284"/>
      <c r="R9" s="284"/>
      <c r="S9" s="285"/>
    </row>
    <row r="10" spans="1:22" ht="18" customHeight="1" x14ac:dyDescent="0.2">
      <c r="B10" s="286"/>
      <c r="C10" s="287"/>
      <c r="D10" s="287"/>
      <c r="E10" s="287"/>
      <c r="F10" s="287"/>
      <c r="G10" s="287"/>
      <c r="H10" s="287"/>
      <c r="I10" s="287"/>
      <c r="J10" s="287"/>
      <c r="K10" s="287"/>
      <c r="L10" s="287"/>
      <c r="M10" s="287"/>
      <c r="N10" s="287"/>
      <c r="O10" s="287"/>
      <c r="P10" s="287"/>
      <c r="Q10" s="287"/>
      <c r="R10" s="287"/>
      <c r="S10" s="288"/>
    </row>
    <row r="11" spans="1:22" ht="6" customHeight="1" x14ac:dyDescent="0.2">
      <c r="B11" s="277"/>
      <c r="C11" s="277"/>
      <c r="D11" s="277"/>
      <c r="E11" s="277"/>
      <c r="F11" s="277"/>
      <c r="G11" s="277"/>
      <c r="H11" s="277"/>
      <c r="I11" s="277"/>
      <c r="J11" s="277"/>
      <c r="K11" s="282"/>
      <c r="L11" s="277"/>
      <c r="M11" s="277"/>
      <c r="N11" s="277"/>
      <c r="O11" s="277"/>
      <c r="P11" s="277"/>
      <c r="Q11" s="277"/>
      <c r="R11" s="277"/>
      <c r="S11" s="277"/>
    </row>
    <row r="12" spans="1:22" ht="18" customHeight="1" x14ac:dyDescent="0.2">
      <c r="A12" s="263" t="s">
        <v>11</v>
      </c>
      <c r="B12" s="277"/>
      <c r="C12" s="277"/>
      <c r="D12" s="270"/>
      <c r="E12" s="270"/>
      <c r="F12" s="270"/>
      <c r="G12" s="270"/>
      <c r="H12" s="270"/>
      <c r="I12" s="270"/>
      <c r="J12" s="270"/>
      <c r="K12" s="289"/>
      <c r="L12" s="289"/>
      <c r="M12" s="289"/>
      <c r="N12" s="289"/>
      <c r="O12" s="289"/>
      <c r="P12" s="289"/>
      <c r="Q12" s="289"/>
      <c r="R12" s="289"/>
      <c r="S12" s="289"/>
    </row>
    <row r="13" spans="1:22" ht="18" customHeight="1" x14ac:dyDescent="0.2">
      <c r="B13" s="290" t="s">
        <v>88</v>
      </c>
      <c r="C13" s="291"/>
      <c r="D13" s="291"/>
      <c r="E13" s="291"/>
      <c r="F13" s="291"/>
      <c r="G13" s="291"/>
      <c r="H13" s="291"/>
      <c r="I13" s="291"/>
      <c r="J13" s="291"/>
      <c r="K13" s="291"/>
      <c r="L13" s="291"/>
      <c r="M13" s="291"/>
      <c r="N13" s="291"/>
      <c r="O13" s="291"/>
      <c r="P13" s="291"/>
      <c r="Q13" s="291"/>
      <c r="R13" s="291"/>
      <c r="S13" s="292"/>
      <c r="V13" s="263" t="s">
        <v>13</v>
      </c>
    </row>
    <row r="14" spans="1:22" ht="18" customHeight="1" x14ac:dyDescent="0.2">
      <c r="B14" s="293"/>
      <c r="C14" s="294"/>
      <c r="D14" s="294"/>
      <c r="E14" s="294"/>
      <c r="F14" s="294"/>
      <c r="G14" s="294"/>
      <c r="H14" s="294"/>
      <c r="I14" s="294"/>
      <c r="J14" s="294"/>
      <c r="K14" s="294"/>
      <c r="L14" s="294"/>
      <c r="M14" s="294"/>
      <c r="N14" s="294"/>
      <c r="O14" s="294"/>
      <c r="P14" s="294"/>
      <c r="Q14" s="294"/>
      <c r="R14" s="294"/>
      <c r="S14" s="295"/>
      <c r="V14" s="263" t="s">
        <v>14</v>
      </c>
    </row>
    <row r="15" spans="1:22" ht="18" customHeight="1" x14ac:dyDescent="0.2">
      <c r="B15" s="293"/>
      <c r="C15" s="294"/>
      <c r="D15" s="294"/>
      <c r="E15" s="294"/>
      <c r="F15" s="294"/>
      <c r="G15" s="294"/>
      <c r="H15" s="294"/>
      <c r="I15" s="294"/>
      <c r="J15" s="294"/>
      <c r="K15" s="294"/>
      <c r="L15" s="294"/>
      <c r="M15" s="294"/>
      <c r="N15" s="294"/>
      <c r="O15" s="294"/>
      <c r="P15" s="294"/>
      <c r="Q15" s="294"/>
      <c r="R15" s="294"/>
      <c r="S15" s="295"/>
      <c r="V15" s="263" t="s">
        <v>15</v>
      </c>
    </row>
    <row r="16" spans="1:22" ht="18" customHeight="1" x14ac:dyDescent="0.2">
      <c r="B16" s="293"/>
      <c r="C16" s="294"/>
      <c r="D16" s="294"/>
      <c r="E16" s="294"/>
      <c r="F16" s="294"/>
      <c r="G16" s="294"/>
      <c r="H16" s="294"/>
      <c r="I16" s="294"/>
      <c r="J16" s="294"/>
      <c r="K16" s="294"/>
      <c r="L16" s="294"/>
      <c r="M16" s="294"/>
      <c r="N16" s="294"/>
      <c r="O16" s="294"/>
      <c r="P16" s="294"/>
      <c r="Q16" s="294"/>
      <c r="R16" s="294"/>
      <c r="S16" s="295"/>
      <c r="V16" s="263" t="s">
        <v>16</v>
      </c>
    </row>
    <row r="17" spans="1:19" ht="18" customHeight="1" x14ac:dyDescent="0.2">
      <c r="B17" s="293"/>
      <c r="C17" s="294"/>
      <c r="D17" s="294"/>
      <c r="E17" s="294"/>
      <c r="F17" s="294"/>
      <c r="G17" s="294"/>
      <c r="H17" s="294"/>
      <c r="I17" s="294"/>
      <c r="J17" s="294"/>
      <c r="K17" s="294"/>
      <c r="L17" s="294"/>
      <c r="M17" s="294"/>
      <c r="N17" s="294"/>
      <c r="O17" s="294"/>
      <c r="P17" s="294"/>
      <c r="Q17" s="294"/>
      <c r="R17" s="294"/>
      <c r="S17" s="295"/>
    </row>
    <row r="18" spans="1:19" ht="18" customHeight="1" x14ac:dyDescent="0.2">
      <c r="B18" s="296"/>
      <c r="C18" s="297"/>
      <c r="D18" s="297"/>
      <c r="E18" s="297"/>
      <c r="F18" s="297"/>
      <c r="G18" s="297"/>
      <c r="H18" s="297"/>
      <c r="I18" s="297"/>
      <c r="J18" s="297"/>
      <c r="K18" s="297"/>
      <c r="L18" s="297"/>
      <c r="M18" s="297"/>
      <c r="N18" s="297"/>
      <c r="O18" s="297"/>
      <c r="P18" s="297"/>
      <c r="Q18" s="297"/>
      <c r="R18" s="297"/>
      <c r="S18" s="298"/>
    </row>
    <row r="19" spans="1:19" ht="7.5" customHeight="1" x14ac:dyDescent="0.2">
      <c r="B19" s="277"/>
      <c r="C19" s="277"/>
      <c r="D19" s="277"/>
      <c r="E19" s="277"/>
      <c r="F19" s="277"/>
      <c r="G19" s="277"/>
      <c r="H19" s="277"/>
      <c r="I19" s="277"/>
      <c r="J19" s="277"/>
      <c r="K19" s="277"/>
      <c r="L19" s="277"/>
      <c r="M19" s="277"/>
      <c r="N19" s="277"/>
      <c r="O19" s="277"/>
      <c r="P19" s="277"/>
      <c r="Q19" s="277"/>
      <c r="R19" s="277"/>
      <c r="S19" s="277"/>
    </row>
    <row r="20" spans="1:19" ht="20" customHeight="1" x14ac:dyDescent="0.2">
      <c r="B20" s="263" t="s">
        <v>17</v>
      </c>
      <c r="C20" s="267">
        <v>2</v>
      </c>
      <c r="D20" s="269"/>
      <c r="E20" s="299" t="s">
        <v>18</v>
      </c>
      <c r="G20" s="282"/>
      <c r="H20" s="277"/>
      <c r="I20" s="277"/>
      <c r="J20" s="270" t="s">
        <v>19</v>
      </c>
      <c r="K20" s="300" t="s">
        <v>16</v>
      </c>
      <c r="L20" s="301"/>
      <c r="M20" s="301"/>
      <c r="N20" s="301"/>
      <c r="O20" s="301"/>
      <c r="P20" s="301"/>
      <c r="Q20" s="301"/>
      <c r="R20" s="301"/>
      <c r="S20" s="302"/>
    </row>
    <row r="21" spans="1:19" ht="7.5" customHeight="1" x14ac:dyDescent="0.2">
      <c r="B21" s="277"/>
      <c r="C21" s="277"/>
      <c r="D21" s="277"/>
      <c r="E21" s="277"/>
      <c r="F21" s="277"/>
      <c r="G21" s="277"/>
      <c r="H21" s="277"/>
      <c r="I21" s="277"/>
      <c r="J21" s="277"/>
      <c r="K21" s="277"/>
      <c r="L21" s="277"/>
      <c r="M21" s="277"/>
      <c r="N21" s="277"/>
      <c r="O21" s="277"/>
      <c r="P21" s="277"/>
      <c r="Q21" s="277"/>
      <c r="R21" s="277"/>
      <c r="S21" s="277"/>
    </row>
    <row r="22" spans="1:19" ht="18" customHeight="1" x14ac:dyDescent="0.2">
      <c r="A22" s="303" t="s">
        <v>20</v>
      </c>
      <c r="B22" s="303"/>
      <c r="C22" s="303"/>
      <c r="D22" s="303"/>
      <c r="E22" s="303"/>
      <c r="F22" s="303"/>
      <c r="G22" s="303"/>
      <c r="H22" s="303"/>
      <c r="I22" s="303"/>
      <c r="J22" s="303"/>
      <c r="K22" s="303"/>
      <c r="L22" s="303"/>
      <c r="M22" s="303"/>
      <c r="N22" s="303"/>
      <c r="O22" s="303"/>
      <c r="P22" s="303"/>
      <c r="Q22" s="303"/>
      <c r="R22" s="303"/>
      <c r="S22" s="303"/>
    </row>
    <row r="23" spans="1:19" ht="18" customHeight="1" x14ac:dyDescent="0.2">
      <c r="A23" s="303"/>
      <c r="B23" s="303"/>
      <c r="C23" s="303"/>
      <c r="D23" s="303"/>
      <c r="E23" s="303"/>
      <c r="F23" s="303"/>
      <c r="G23" s="303"/>
      <c r="H23" s="303"/>
      <c r="I23" s="303"/>
      <c r="J23" s="303"/>
      <c r="K23" s="303"/>
      <c r="L23" s="303"/>
      <c r="M23" s="303"/>
      <c r="N23" s="303"/>
      <c r="O23" s="303"/>
      <c r="P23" s="303"/>
      <c r="Q23" s="303"/>
      <c r="R23" s="303"/>
      <c r="S23" s="303"/>
    </row>
    <row r="24" spans="1:19" ht="18" customHeight="1" x14ac:dyDescent="0.2">
      <c r="B24" s="267" t="s">
        <v>21</v>
      </c>
      <c r="C24" s="268"/>
      <c r="D24" s="268"/>
      <c r="E24" s="269"/>
      <c r="F24" s="304" t="s">
        <v>22</v>
      </c>
      <c r="G24" s="305" t="s">
        <v>23</v>
      </c>
      <c r="H24" s="306" t="s">
        <v>24</v>
      </c>
      <c r="I24" s="306" t="s">
        <v>25</v>
      </c>
      <c r="J24" s="267" t="s">
        <v>21</v>
      </c>
      <c r="K24" s="268"/>
      <c r="L24" s="268"/>
      <c r="M24" s="268"/>
      <c r="N24" s="268"/>
      <c r="O24" s="269"/>
      <c r="P24" s="304" t="s">
        <v>22</v>
      </c>
      <c r="Q24" s="305" t="s">
        <v>23</v>
      </c>
      <c r="R24" s="306" t="s">
        <v>24</v>
      </c>
      <c r="S24" s="306" t="s">
        <v>25</v>
      </c>
    </row>
    <row r="25" spans="1:19" ht="18" customHeight="1" x14ac:dyDescent="0.2">
      <c r="B25" s="307" t="s">
        <v>89</v>
      </c>
      <c r="C25" s="308"/>
      <c r="D25" s="308"/>
      <c r="E25" s="309"/>
      <c r="F25" s="310">
        <v>1</v>
      </c>
      <c r="G25" s="310" t="s">
        <v>27</v>
      </c>
      <c r="H25" s="310" t="s">
        <v>27</v>
      </c>
      <c r="I25" s="310" t="s">
        <v>27</v>
      </c>
      <c r="J25" s="307"/>
      <c r="K25" s="308"/>
      <c r="L25" s="308"/>
      <c r="M25" s="308"/>
      <c r="N25" s="308"/>
      <c r="O25" s="309"/>
      <c r="P25" s="310"/>
      <c r="Q25" s="310"/>
      <c r="R25" s="310"/>
      <c r="S25" s="310"/>
    </row>
    <row r="26" spans="1:19" ht="18" customHeight="1" x14ac:dyDescent="0.2">
      <c r="B26" s="311"/>
      <c r="C26" s="312"/>
      <c r="D26" s="312"/>
      <c r="E26" s="313"/>
      <c r="F26" s="314"/>
      <c r="G26" s="314"/>
      <c r="H26" s="314"/>
      <c r="I26" s="314"/>
      <c r="J26" s="311"/>
      <c r="K26" s="312"/>
      <c r="L26" s="312"/>
      <c r="M26" s="312"/>
      <c r="N26" s="312"/>
      <c r="O26" s="313"/>
      <c r="P26" s="314"/>
      <c r="Q26" s="314"/>
      <c r="R26" s="314"/>
      <c r="S26" s="314"/>
    </row>
    <row r="27" spans="1:19" ht="18" customHeight="1" x14ac:dyDescent="0.2">
      <c r="B27" s="311"/>
      <c r="C27" s="312"/>
      <c r="D27" s="312"/>
      <c r="E27" s="313"/>
      <c r="F27" s="314"/>
      <c r="G27" s="314"/>
      <c r="H27" s="314"/>
      <c r="I27" s="314"/>
      <c r="J27" s="311"/>
      <c r="K27" s="312"/>
      <c r="L27" s="312"/>
      <c r="M27" s="312"/>
      <c r="N27" s="312"/>
      <c r="O27" s="313"/>
      <c r="P27" s="314"/>
      <c r="Q27" s="314"/>
      <c r="R27" s="314"/>
      <c r="S27" s="314"/>
    </row>
    <row r="28" spans="1:19" ht="18" customHeight="1" x14ac:dyDescent="0.2">
      <c r="B28" s="311"/>
      <c r="C28" s="312"/>
      <c r="D28" s="312"/>
      <c r="E28" s="313"/>
      <c r="F28" s="314"/>
      <c r="G28" s="314"/>
      <c r="H28" s="314"/>
      <c r="I28" s="314"/>
      <c r="J28" s="311"/>
      <c r="K28" s="312"/>
      <c r="L28" s="312"/>
      <c r="M28" s="312"/>
      <c r="N28" s="312"/>
      <c r="O28" s="313"/>
      <c r="P28" s="314"/>
      <c r="Q28" s="314"/>
      <c r="R28" s="314"/>
      <c r="S28" s="314"/>
    </row>
    <row r="29" spans="1:19" ht="18" customHeight="1" x14ac:dyDescent="0.2">
      <c r="B29" s="311"/>
      <c r="C29" s="312"/>
      <c r="D29" s="312"/>
      <c r="E29" s="313"/>
      <c r="F29" s="314"/>
      <c r="G29" s="314"/>
      <c r="H29" s="314"/>
      <c r="I29" s="314"/>
      <c r="J29" s="311"/>
      <c r="K29" s="312"/>
      <c r="L29" s="312"/>
      <c r="M29" s="312"/>
      <c r="N29" s="312"/>
      <c r="O29" s="313"/>
      <c r="P29" s="314"/>
      <c r="Q29" s="314"/>
      <c r="R29" s="314"/>
      <c r="S29" s="314"/>
    </row>
    <row r="30" spans="1:19" ht="18" customHeight="1" x14ac:dyDescent="0.2">
      <c r="A30" s="277"/>
      <c r="B30" s="311"/>
      <c r="C30" s="312"/>
      <c r="D30" s="312"/>
      <c r="E30" s="313"/>
      <c r="F30" s="314"/>
      <c r="G30" s="314"/>
      <c r="H30" s="314"/>
      <c r="I30" s="314"/>
      <c r="J30" s="311"/>
      <c r="K30" s="312"/>
      <c r="L30" s="312"/>
      <c r="M30" s="312"/>
      <c r="N30" s="312"/>
      <c r="O30" s="313"/>
      <c r="P30" s="314"/>
      <c r="Q30" s="314"/>
      <c r="R30" s="314"/>
      <c r="S30" s="314"/>
    </row>
    <row r="31" spans="1:19" ht="18" customHeight="1" x14ac:dyDescent="0.2">
      <c r="A31" s="277"/>
      <c r="B31" s="315"/>
      <c r="C31" s="316"/>
      <c r="D31" s="316"/>
      <c r="E31" s="317"/>
      <c r="F31" s="318"/>
      <c r="G31" s="318"/>
      <c r="H31" s="319"/>
      <c r="I31" s="319"/>
      <c r="J31" s="315"/>
      <c r="K31" s="316"/>
      <c r="L31" s="316"/>
      <c r="M31" s="316"/>
      <c r="N31" s="316"/>
      <c r="O31" s="317"/>
      <c r="P31" s="318"/>
      <c r="Q31" s="318"/>
      <c r="R31" s="319"/>
      <c r="S31" s="319"/>
    </row>
    <row r="32" spans="1:19" ht="7.5" customHeight="1" x14ac:dyDescent="0.2">
      <c r="A32" s="277"/>
      <c r="B32" s="271"/>
      <c r="C32" s="271"/>
      <c r="D32" s="277"/>
      <c r="E32" s="277"/>
      <c r="F32" s="277"/>
      <c r="G32" s="277"/>
      <c r="H32" s="271"/>
      <c r="I32" s="271"/>
      <c r="J32" s="271"/>
      <c r="K32" s="271"/>
      <c r="L32" s="271"/>
      <c r="M32" s="271"/>
      <c r="N32" s="271"/>
      <c r="O32" s="271"/>
      <c r="P32" s="271"/>
      <c r="Q32" s="271"/>
      <c r="R32" s="271"/>
      <c r="S32" s="277"/>
    </row>
    <row r="33" spans="1:19" ht="18" customHeight="1" x14ac:dyDescent="0.2">
      <c r="A33" s="303" t="s">
        <v>28</v>
      </c>
      <c r="B33" s="303"/>
      <c r="C33" s="303"/>
      <c r="D33" s="303"/>
      <c r="E33" s="303"/>
      <c r="F33" s="303"/>
      <c r="G33" s="303"/>
      <c r="H33" s="303"/>
      <c r="I33" s="303"/>
      <c r="J33" s="303"/>
      <c r="K33" s="303"/>
      <c r="L33" s="303"/>
      <c r="M33" s="303"/>
      <c r="N33" s="303"/>
      <c r="O33" s="303"/>
      <c r="P33" s="303"/>
      <c r="Q33" s="303"/>
      <c r="R33" s="303"/>
      <c r="S33" s="303"/>
    </row>
    <row r="34" spans="1:19" ht="18" customHeight="1" x14ac:dyDescent="0.2">
      <c r="A34" s="303"/>
      <c r="B34" s="303"/>
      <c r="C34" s="303"/>
      <c r="D34" s="303"/>
      <c r="E34" s="303"/>
      <c r="F34" s="303"/>
      <c r="G34" s="303"/>
      <c r="H34" s="303"/>
      <c r="I34" s="303"/>
      <c r="J34" s="303"/>
      <c r="K34" s="303"/>
      <c r="L34" s="303"/>
      <c r="M34" s="303"/>
      <c r="N34" s="303"/>
      <c r="O34" s="303"/>
      <c r="P34" s="303"/>
      <c r="Q34" s="303"/>
      <c r="R34" s="303"/>
      <c r="S34" s="303"/>
    </row>
    <row r="35" spans="1:19" ht="18" customHeight="1" x14ac:dyDescent="0.2">
      <c r="B35" s="267" t="s">
        <v>21</v>
      </c>
      <c r="C35" s="268"/>
      <c r="D35" s="268"/>
      <c r="E35" s="269"/>
      <c r="F35" s="304" t="s">
        <v>22</v>
      </c>
      <c r="G35" s="305" t="s">
        <v>23</v>
      </c>
      <c r="H35" s="306" t="s">
        <v>29</v>
      </c>
      <c r="I35" s="306" t="s">
        <v>30</v>
      </c>
      <c r="J35" s="267" t="s">
        <v>21</v>
      </c>
      <c r="K35" s="268"/>
      <c r="L35" s="268"/>
      <c r="M35" s="268"/>
      <c r="N35" s="268"/>
      <c r="O35" s="269"/>
      <c r="P35" s="304" t="s">
        <v>22</v>
      </c>
      <c r="Q35" s="305" t="s">
        <v>23</v>
      </c>
      <c r="R35" s="306" t="s">
        <v>29</v>
      </c>
      <c r="S35" s="306" t="s">
        <v>30</v>
      </c>
    </row>
    <row r="36" spans="1:19" ht="18" customHeight="1" x14ac:dyDescent="0.2">
      <c r="B36" s="307" t="s">
        <v>89</v>
      </c>
      <c r="C36" s="308"/>
      <c r="D36" s="308"/>
      <c r="E36" s="309"/>
      <c r="F36" s="310">
        <v>1</v>
      </c>
      <c r="G36" s="310" t="s">
        <v>27</v>
      </c>
      <c r="H36" s="310" t="s">
        <v>27</v>
      </c>
      <c r="I36" s="310" t="s">
        <v>27</v>
      </c>
      <c r="J36" s="307"/>
      <c r="K36" s="308"/>
      <c r="L36" s="308"/>
      <c r="M36" s="308"/>
      <c r="N36" s="308"/>
      <c r="O36" s="309"/>
      <c r="P36" s="310"/>
      <c r="Q36" s="310"/>
      <c r="R36" s="310"/>
      <c r="S36" s="310"/>
    </row>
    <row r="37" spans="1:19" ht="18" customHeight="1" x14ac:dyDescent="0.2">
      <c r="B37" s="311"/>
      <c r="C37" s="312"/>
      <c r="D37" s="312"/>
      <c r="E37" s="313"/>
      <c r="F37" s="314"/>
      <c r="G37" s="314"/>
      <c r="H37" s="314"/>
      <c r="I37" s="314"/>
      <c r="J37" s="311"/>
      <c r="K37" s="312"/>
      <c r="L37" s="312"/>
      <c r="M37" s="312"/>
      <c r="N37" s="312"/>
      <c r="O37" s="313"/>
      <c r="P37" s="314"/>
      <c r="Q37" s="314"/>
      <c r="R37" s="314"/>
      <c r="S37" s="314"/>
    </row>
    <row r="38" spans="1:19" ht="18" customHeight="1" x14ac:dyDescent="0.2">
      <c r="B38" s="311"/>
      <c r="C38" s="312"/>
      <c r="D38" s="312"/>
      <c r="E38" s="313"/>
      <c r="F38" s="314"/>
      <c r="G38" s="314"/>
      <c r="H38" s="314"/>
      <c r="I38" s="314"/>
      <c r="J38" s="311"/>
      <c r="K38" s="312"/>
      <c r="L38" s="312"/>
      <c r="M38" s="312"/>
      <c r="N38" s="312"/>
      <c r="O38" s="313"/>
      <c r="P38" s="314"/>
      <c r="Q38" s="314"/>
      <c r="R38" s="314"/>
      <c r="S38" s="314"/>
    </row>
    <row r="39" spans="1:19" ht="18" customHeight="1" x14ac:dyDescent="0.2">
      <c r="B39" s="311"/>
      <c r="C39" s="312"/>
      <c r="D39" s="312"/>
      <c r="E39" s="313"/>
      <c r="F39" s="314"/>
      <c r="G39" s="314"/>
      <c r="H39" s="314"/>
      <c r="I39" s="314"/>
      <c r="J39" s="311"/>
      <c r="K39" s="312"/>
      <c r="L39" s="312"/>
      <c r="M39" s="312"/>
      <c r="N39" s="312"/>
      <c r="O39" s="313"/>
      <c r="P39" s="314"/>
      <c r="Q39" s="314"/>
      <c r="R39" s="314"/>
      <c r="S39" s="314"/>
    </row>
    <row r="40" spans="1:19" ht="18" customHeight="1" x14ac:dyDescent="0.2">
      <c r="B40" s="311"/>
      <c r="C40" s="312"/>
      <c r="D40" s="312"/>
      <c r="E40" s="313"/>
      <c r="F40" s="314"/>
      <c r="G40" s="314"/>
      <c r="H40" s="314"/>
      <c r="I40" s="314"/>
      <c r="J40" s="311"/>
      <c r="K40" s="312"/>
      <c r="L40" s="312"/>
      <c r="M40" s="312"/>
      <c r="N40" s="312"/>
      <c r="O40" s="313"/>
      <c r="P40" s="314"/>
      <c r="Q40" s="314"/>
      <c r="R40" s="314"/>
      <c r="S40" s="314"/>
    </row>
    <row r="41" spans="1:19" ht="18" customHeight="1" x14ac:dyDescent="0.2">
      <c r="B41" s="311"/>
      <c r="C41" s="312"/>
      <c r="D41" s="312"/>
      <c r="E41" s="313"/>
      <c r="F41" s="314"/>
      <c r="G41" s="314"/>
      <c r="H41" s="314"/>
      <c r="I41" s="314"/>
      <c r="J41" s="311"/>
      <c r="K41" s="312"/>
      <c r="L41" s="312"/>
      <c r="M41" s="312"/>
      <c r="N41" s="312"/>
      <c r="O41" s="313"/>
      <c r="P41" s="314"/>
      <c r="Q41" s="314"/>
      <c r="R41" s="314"/>
      <c r="S41" s="314"/>
    </row>
    <row r="42" spans="1:19" ht="18" customHeight="1" x14ac:dyDescent="0.2">
      <c r="B42" s="315"/>
      <c r="C42" s="316"/>
      <c r="D42" s="316"/>
      <c r="E42" s="317"/>
      <c r="F42" s="318"/>
      <c r="G42" s="318"/>
      <c r="H42" s="319"/>
      <c r="I42" s="319"/>
      <c r="J42" s="315"/>
      <c r="K42" s="316"/>
      <c r="L42" s="316"/>
      <c r="M42" s="316"/>
      <c r="N42" s="316"/>
      <c r="O42" s="317"/>
      <c r="P42" s="318"/>
      <c r="Q42" s="318"/>
      <c r="R42" s="319"/>
      <c r="S42" s="319"/>
    </row>
    <row r="43" spans="1:19" ht="7.5" customHeight="1" x14ac:dyDescent="0.2">
      <c r="A43" s="277"/>
      <c r="B43" s="271"/>
      <c r="C43" s="271"/>
      <c r="D43" s="277"/>
      <c r="E43" s="277"/>
      <c r="F43" s="277"/>
      <c r="G43" s="277"/>
      <c r="H43" s="271"/>
      <c r="I43" s="271"/>
      <c r="J43" s="271"/>
      <c r="K43" s="271"/>
      <c r="L43" s="271"/>
      <c r="M43" s="271"/>
      <c r="N43" s="271"/>
      <c r="O43" s="271"/>
      <c r="P43" s="271"/>
      <c r="Q43" s="271"/>
      <c r="R43" s="271"/>
      <c r="S43" s="277"/>
    </row>
    <row r="44" spans="1:19" ht="18" customHeight="1" x14ac:dyDescent="0.2">
      <c r="A44" s="303" t="s">
        <v>31</v>
      </c>
      <c r="B44" s="303"/>
      <c r="C44" s="303"/>
      <c r="D44" s="303"/>
      <c r="E44" s="303"/>
      <c r="F44" s="303"/>
      <c r="G44" s="303"/>
      <c r="H44" s="303"/>
      <c r="I44" s="303"/>
      <c r="J44" s="303"/>
      <c r="K44" s="303"/>
      <c r="L44" s="303"/>
      <c r="M44" s="303"/>
      <c r="N44" s="303"/>
      <c r="O44" s="303"/>
      <c r="P44" s="303"/>
      <c r="Q44" s="303"/>
      <c r="R44" s="303"/>
      <c r="S44" s="303"/>
    </row>
    <row r="45" spans="1:19" ht="18" customHeight="1" x14ac:dyDescent="0.2">
      <c r="A45" s="303"/>
      <c r="B45" s="303"/>
      <c r="C45" s="303"/>
      <c r="D45" s="303"/>
      <c r="E45" s="303"/>
      <c r="F45" s="303"/>
      <c r="G45" s="303"/>
      <c r="H45" s="303"/>
      <c r="I45" s="303"/>
      <c r="J45" s="303"/>
      <c r="K45" s="303"/>
      <c r="L45" s="303"/>
      <c r="M45" s="303"/>
      <c r="N45" s="303"/>
      <c r="O45" s="303"/>
      <c r="P45" s="303"/>
      <c r="Q45" s="303"/>
      <c r="R45" s="303"/>
      <c r="S45" s="303"/>
    </row>
    <row r="46" spans="1:19" ht="18" customHeight="1" x14ac:dyDescent="0.2">
      <c r="B46" s="267" t="s">
        <v>21</v>
      </c>
      <c r="C46" s="268"/>
      <c r="D46" s="268"/>
      <c r="E46" s="269"/>
      <c r="F46" s="304" t="s">
        <v>22</v>
      </c>
      <c r="G46" s="305" t="s">
        <v>23</v>
      </c>
      <c r="H46" s="306" t="s">
        <v>32</v>
      </c>
      <c r="I46" s="306" t="s">
        <v>33</v>
      </c>
      <c r="J46" s="267" t="s">
        <v>21</v>
      </c>
      <c r="K46" s="268"/>
      <c r="L46" s="268"/>
      <c r="M46" s="268"/>
      <c r="N46" s="268"/>
      <c r="O46" s="269"/>
      <c r="P46" s="304" t="s">
        <v>22</v>
      </c>
      <c r="Q46" s="305" t="s">
        <v>23</v>
      </c>
      <c r="R46" s="306" t="s">
        <v>32</v>
      </c>
      <c r="S46" s="306" t="s">
        <v>33</v>
      </c>
    </row>
    <row r="47" spans="1:19" ht="18" customHeight="1" x14ac:dyDescent="0.2">
      <c r="A47" s="277"/>
      <c r="B47" s="307" t="s">
        <v>89</v>
      </c>
      <c r="C47" s="308"/>
      <c r="D47" s="308"/>
      <c r="E47" s="309"/>
      <c r="F47" s="310">
        <v>1</v>
      </c>
      <c r="G47" s="310" t="s">
        <v>27</v>
      </c>
      <c r="H47" s="310" t="s">
        <v>27</v>
      </c>
      <c r="I47" s="310" t="s">
        <v>27</v>
      </c>
      <c r="J47" s="307"/>
      <c r="K47" s="308"/>
      <c r="L47" s="308"/>
      <c r="M47" s="308"/>
      <c r="N47" s="308"/>
      <c r="O47" s="309"/>
      <c r="P47" s="310"/>
      <c r="Q47" s="310"/>
      <c r="R47" s="310"/>
      <c r="S47" s="310"/>
    </row>
    <row r="48" spans="1:19" ht="18" customHeight="1" x14ac:dyDescent="0.2">
      <c r="A48" s="277"/>
      <c r="B48" s="311" t="s">
        <v>90</v>
      </c>
      <c r="C48" s="312"/>
      <c r="D48" s="312"/>
      <c r="E48" s="313"/>
      <c r="F48" s="314">
        <v>1</v>
      </c>
      <c r="G48" s="314" t="s">
        <v>27</v>
      </c>
      <c r="H48" s="314" t="s">
        <v>27</v>
      </c>
      <c r="I48" s="314"/>
      <c r="J48" s="311"/>
      <c r="K48" s="312"/>
      <c r="L48" s="312"/>
      <c r="M48" s="312"/>
      <c r="N48" s="312"/>
      <c r="O48" s="313"/>
      <c r="P48" s="314"/>
      <c r="Q48" s="314"/>
      <c r="R48" s="314"/>
      <c r="S48" s="314"/>
    </row>
    <row r="49" spans="1:19" ht="18" customHeight="1" x14ac:dyDescent="0.2">
      <c r="A49" s="277"/>
      <c r="B49" s="311"/>
      <c r="C49" s="312"/>
      <c r="D49" s="312"/>
      <c r="E49" s="313"/>
      <c r="F49" s="314"/>
      <c r="G49" s="314"/>
      <c r="H49" s="314"/>
      <c r="I49" s="314"/>
      <c r="J49" s="311"/>
      <c r="K49" s="312"/>
      <c r="L49" s="312"/>
      <c r="M49" s="312"/>
      <c r="N49" s="312"/>
      <c r="O49" s="313"/>
      <c r="P49" s="314"/>
      <c r="Q49" s="314"/>
      <c r="R49" s="314"/>
      <c r="S49" s="314"/>
    </row>
    <row r="50" spans="1:19" ht="18" customHeight="1" x14ac:dyDescent="0.2">
      <c r="A50" s="277"/>
      <c r="B50" s="311"/>
      <c r="C50" s="312"/>
      <c r="D50" s="312"/>
      <c r="E50" s="313"/>
      <c r="F50" s="314"/>
      <c r="G50" s="314"/>
      <c r="H50" s="314"/>
      <c r="I50" s="314"/>
      <c r="J50" s="311"/>
      <c r="K50" s="312"/>
      <c r="L50" s="312"/>
      <c r="M50" s="312"/>
      <c r="N50" s="312"/>
      <c r="O50" s="313"/>
      <c r="P50" s="314"/>
      <c r="Q50" s="314"/>
      <c r="R50" s="314"/>
      <c r="S50" s="314"/>
    </row>
    <row r="51" spans="1:19" ht="18" customHeight="1" x14ac:dyDescent="0.2">
      <c r="A51" s="277"/>
      <c r="B51" s="311"/>
      <c r="C51" s="312"/>
      <c r="D51" s="312"/>
      <c r="E51" s="313"/>
      <c r="F51" s="314"/>
      <c r="G51" s="314"/>
      <c r="H51" s="314"/>
      <c r="I51" s="314"/>
      <c r="J51" s="311"/>
      <c r="K51" s="312"/>
      <c r="L51" s="312"/>
      <c r="M51" s="312"/>
      <c r="N51" s="312"/>
      <c r="O51" s="313"/>
      <c r="P51" s="314"/>
      <c r="Q51" s="314"/>
      <c r="R51" s="314"/>
      <c r="S51" s="314"/>
    </row>
    <row r="52" spans="1:19" ht="18" customHeight="1" x14ac:dyDescent="0.2">
      <c r="A52" s="277"/>
      <c r="B52" s="311"/>
      <c r="C52" s="312"/>
      <c r="D52" s="312"/>
      <c r="E52" s="313"/>
      <c r="F52" s="314"/>
      <c r="G52" s="314"/>
      <c r="H52" s="314"/>
      <c r="I52" s="314"/>
      <c r="J52" s="311"/>
      <c r="K52" s="312"/>
      <c r="L52" s="312"/>
      <c r="M52" s="312"/>
      <c r="N52" s="312"/>
      <c r="O52" s="313"/>
      <c r="P52" s="314"/>
      <c r="Q52" s="314"/>
      <c r="R52" s="314"/>
      <c r="S52" s="314"/>
    </row>
    <row r="53" spans="1:19" ht="18" customHeight="1" x14ac:dyDescent="0.2">
      <c r="A53" s="277"/>
      <c r="B53" s="315"/>
      <c r="C53" s="316"/>
      <c r="D53" s="316"/>
      <c r="E53" s="317"/>
      <c r="F53" s="318"/>
      <c r="G53" s="318"/>
      <c r="H53" s="319"/>
      <c r="I53" s="319"/>
      <c r="J53" s="315"/>
      <c r="K53" s="316"/>
      <c r="L53" s="316"/>
      <c r="M53" s="316"/>
      <c r="N53" s="316"/>
      <c r="O53" s="317"/>
      <c r="P53" s="318"/>
      <c r="Q53" s="318"/>
      <c r="R53" s="319"/>
      <c r="S53" s="319"/>
    </row>
    <row r="54" spans="1:19" ht="7.5" customHeight="1" x14ac:dyDescent="0.2">
      <c r="B54" s="320"/>
      <c r="C54" s="320"/>
      <c r="D54" s="320"/>
      <c r="E54" s="320"/>
      <c r="F54" s="320"/>
      <c r="G54" s="320"/>
      <c r="H54" s="320"/>
      <c r="I54" s="320"/>
      <c r="J54" s="320"/>
      <c r="K54" s="320"/>
      <c r="L54" s="320"/>
      <c r="M54" s="320"/>
      <c r="N54" s="320"/>
      <c r="O54" s="320"/>
      <c r="P54" s="320"/>
      <c r="Q54" s="320"/>
      <c r="R54" s="320"/>
    </row>
    <row r="55" spans="1:19" ht="18" customHeight="1" x14ac:dyDescent="0.2">
      <c r="A55" s="303" t="s">
        <v>34</v>
      </c>
      <c r="B55" s="303"/>
      <c r="C55" s="303"/>
      <c r="D55" s="303"/>
      <c r="E55" s="303"/>
      <c r="F55" s="303"/>
      <c r="G55" s="303"/>
      <c r="H55" s="303"/>
      <c r="I55" s="303"/>
      <c r="J55" s="303"/>
      <c r="K55" s="303"/>
      <c r="L55" s="303"/>
      <c r="M55" s="303"/>
      <c r="N55" s="303"/>
      <c r="O55" s="303"/>
      <c r="P55" s="303"/>
      <c r="Q55" s="303"/>
      <c r="R55" s="303"/>
      <c r="S55" s="303"/>
    </row>
    <row r="56" spans="1:19" ht="18" customHeight="1" x14ac:dyDescent="0.2">
      <c r="A56" s="303"/>
      <c r="B56" s="303"/>
      <c r="C56" s="303"/>
      <c r="D56" s="303"/>
      <c r="E56" s="303"/>
      <c r="F56" s="303"/>
      <c r="G56" s="303"/>
      <c r="H56" s="303"/>
      <c r="I56" s="303"/>
      <c r="J56" s="303"/>
      <c r="K56" s="303"/>
      <c r="L56" s="303"/>
      <c r="M56" s="303"/>
      <c r="N56" s="303"/>
      <c r="O56" s="303"/>
      <c r="P56" s="303"/>
      <c r="Q56" s="303"/>
      <c r="R56" s="303"/>
      <c r="S56" s="303"/>
    </row>
    <row r="57" spans="1:19" ht="18" customHeight="1" x14ac:dyDescent="0.2">
      <c r="B57" s="267" t="s">
        <v>21</v>
      </c>
      <c r="C57" s="268"/>
      <c r="D57" s="268"/>
      <c r="E57" s="269"/>
      <c r="F57" s="304" t="s">
        <v>22</v>
      </c>
      <c r="G57" s="305" t="s">
        <v>23</v>
      </c>
      <c r="H57" s="306" t="s">
        <v>35</v>
      </c>
      <c r="I57" s="306" t="s">
        <v>36</v>
      </c>
      <c r="J57" s="267" t="s">
        <v>21</v>
      </c>
      <c r="K57" s="268"/>
      <c r="L57" s="268"/>
      <c r="M57" s="268"/>
      <c r="N57" s="268"/>
      <c r="O57" s="269"/>
      <c r="P57" s="304" t="s">
        <v>22</v>
      </c>
      <c r="Q57" s="305" t="s">
        <v>23</v>
      </c>
      <c r="R57" s="306" t="s">
        <v>35</v>
      </c>
      <c r="S57" s="306" t="s">
        <v>36</v>
      </c>
    </row>
    <row r="58" spans="1:19" ht="18" customHeight="1" x14ac:dyDescent="0.2">
      <c r="A58" s="277"/>
      <c r="B58" s="307" t="s">
        <v>89</v>
      </c>
      <c r="C58" s="308"/>
      <c r="D58" s="308"/>
      <c r="E58" s="309"/>
      <c r="F58" s="310">
        <v>1</v>
      </c>
      <c r="G58" s="310" t="s">
        <v>27</v>
      </c>
      <c r="H58" s="310" t="s">
        <v>27</v>
      </c>
      <c r="I58" s="310" t="s">
        <v>27</v>
      </c>
      <c r="J58" s="307"/>
      <c r="K58" s="308"/>
      <c r="L58" s="308"/>
      <c r="M58" s="308"/>
      <c r="N58" s="308"/>
      <c r="O58" s="309"/>
      <c r="P58" s="310"/>
      <c r="Q58" s="310"/>
      <c r="R58" s="310"/>
      <c r="S58" s="310"/>
    </row>
    <row r="59" spans="1:19" ht="18" customHeight="1" x14ac:dyDescent="0.2">
      <c r="A59" s="277"/>
      <c r="B59" s="311"/>
      <c r="C59" s="312"/>
      <c r="D59" s="312"/>
      <c r="E59" s="313"/>
      <c r="F59" s="314"/>
      <c r="G59" s="314"/>
      <c r="H59" s="314"/>
      <c r="I59" s="314"/>
      <c r="J59" s="311"/>
      <c r="K59" s="312"/>
      <c r="L59" s="312"/>
      <c r="M59" s="312"/>
      <c r="N59" s="312"/>
      <c r="O59" s="313"/>
      <c r="P59" s="314"/>
      <c r="Q59" s="314"/>
      <c r="R59" s="314"/>
      <c r="S59" s="314"/>
    </row>
    <row r="60" spans="1:19" ht="18" customHeight="1" x14ac:dyDescent="0.2">
      <c r="A60" s="277"/>
      <c r="B60" s="311"/>
      <c r="C60" s="312"/>
      <c r="D60" s="312"/>
      <c r="E60" s="313"/>
      <c r="F60" s="314"/>
      <c r="G60" s="314"/>
      <c r="H60" s="314"/>
      <c r="I60" s="314"/>
      <c r="J60" s="311"/>
      <c r="K60" s="312"/>
      <c r="L60" s="312"/>
      <c r="M60" s="312"/>
      <c r="N60" s="312"/>
      <c r="O60" s="313"/>
      <c r="P60" s="314"/>
      <c r="Q60" s="314"/>
      <c r="R60" s="314"/>
      <c r="S60" s="314"/>
    </row>
    <row r="61" spans="1:19" ht="18" customHeight="1" x14ac:dyDescent="0.2">
      <c r="A61" s="277"/>
      <c r="B61" s="311"/>
      <c r="C61" s="312"/>
      <c r="D61" s="312"/>
      <c r="E61" s="313"/>
      <c r="F61" s="314"/>
      <c r="G61" s="314"/>
      <c r="H61" s="314"/>
      <c r="I61" s="314"/>
      <c r="J61" s="311"/>
      <c r="K61" s="312"/>
      <c r="L61" s="312"/>
      <c r="M61" s="312"/>
      <c r="N61" s="312"/>
      <c r="O61" s="313"/>
      <c r="P61" s="314"/>
      <c r="Q61" s="314"/>
      <c r="R61" s="314"/>
      <c r="S61" s="314"/>
    </row>
    <row r="62" spans="1:19" ht="18" customHeight="1" x14ac:dyDescent="0.2">
      <c r="A62" s="277"/>
      <c r="B62" s="311"/>
      <c r="C62" s="312"/>
      <c r="D62" s="312"/>
      <c r="E62" s="313"/>
      <c r="F62" s="314"/>
      <c r="G62" s="314"/>
      <c r="H62" s="314"/>
      <c r="I62" s="314"/>
      <c r="J62" s="311"/>
      <c r="K62" s="312"/>
      <c r="L62" s="312"/>
      <c r="M62" s="312"/>
      <c r="N62" s="312"/>
      <c r="O62" s="313"/>
      <c r="P62" s="314"/>
      <c r="Q62" s="314"/>
      <c r="R62" s="314"/>
      <c r="S62" s="314"/>
    </row>
    <row r="63" spans="1:19" ht="18" customHeight="1" x14ac:dyDescent="0.2">
      <c r="A63" s="277"/>
      <c r="B63" s="311"/>
      <c r="C63" s="312"/>
      <c r="D63" s="312"/>
      <c r="E63" s="313"/>
      <c r="F63" s="314"/>
      <c r="G63" s="314"/>
      <c r="H63" s="314"/>
      <c r="I63" s="314"/>
      <c r="J63" s="311"/>
      <c r="K63" s="312"/>
      <c r="L63" s="312"/>
      <c r="M63" s="312"/>
      <c r="N63" s="312"/>
      <c r="O63" s="313"/>
      <c r="P63" s="314"/>
      <c r="Q63" s="314"/>
      <c r="R63" s="314"/>
      <c r="S63" s="314"/>
    </row>
    <row r="64" spans="1:19" ht="18" customHeight="1" x14ac:dyDescent="0.2">
      <c r="A64" s="277"/>
      <c r="B64" s="315"/>
      <c r="C64" s="316"/>
      <c r="D64" s="316"/>
      <c r="E64" s="317"/>
      <c r="F64" s="318"/>
      <c r="G64" s="318"/>
      <c r="H64" s="319"/>
      <c r="I64" s="319"/>
      <c r="J64" s="315"/>
      <c r="K64" s="316"/>
      <c r="L64" s="316"/>
      <c r="M64" s="316"/>
      <c r="N64" s="316"/>
      <c r="O64" s="317"/>
      <c r="P64" s="318"/>
      <c r="Q64" s="318"/>
      <c r="R64" s="319"/>
      <c r="S64" s="319"/>
    </row>
    <row r="65" spans="1:19" ht="7.5" customHeight="1" x14ac:dyDescent="0.2">
      <c r="B65" s="320"/>
      <c r="C65" s="320"/>
      <c r="D65" s="320"/>
      <c r="E65" s="320"/>
      <c r="F65" s="320"/>
      <c r="G65" s="320"/>
      <c r="H65" s="320"/>
      <c r="I65" s="320"/>
      <c r="J65" s="320"/>
      <c r="K65" s="320"/>
      <c r="L65" s="320"/>
      <c r="M65" s="320"/>
      <c r="N65" s="320"/>
      <c r="O65" s="320"/>
      <c r="P65" s="320"/>
      <c r="Q65" s="320"/>
      <c r="R65" s="320"/>
    </row>
    <row r="66" spans="1:19" ht="18" customHeight="1" x14ac:dyDescent="0.2">
      <c r="A66" s="303" t="s">
        <v>38</v>
      </c>
      <c r="B66" s="303"/>
      <c r="C66" s="303"/>
      <c r="D66" s="303"/>
      <c r="E66" s="303"/>
      <c r="F66" s="303"/>
      <c r="G66" s="303"/>
      <c r="H66" s="303"/>
      <c r="I66" s="303"/>
      <c r="J66" s="303"/>
      <c r="K66" s="303"/>
      <c r="L66" s="303"/>
      <c r="M66" s="303"/>
      <c r="N66" s="303"/>
      <c r="O66" s="303"/>
      <c r="P66" s="303"/>
      <c r="Q66" s="303"/>
      <c r="R66" s="303"/>
      <c r="S66" s="303"/>
    </row>
    <row r="67" spans="1:19" ht="18" customHeight="1" x14ac:dyDescent="0.2">
      <c r="A67" s="303"/>
      <c r="B67" s="303"/>
      <c r="C67" s="303"/>
      <c r="D67" s="303"/>
      <c r="E67" s="303"/>
      <c r="F67" s="303"/>
      <c r="G67" s="303"/>
      <c r="H67" s="303"/>
      <c r="I67" s="303"/>
      <c r="J67" s="303"/>
      <c r="K67" s="303"/>
      <c r="L67" s="303"/>
      <c r="M67" s="303"/>
      <c r="N67" s="303"/>
      <c r="O67" s="303"/>
      <c r="P67" s="303"/>
      <c r="Q67" s="303"/>
      <c r="R67" s="303"/>
      <c r="S67" s="303"/>
    </row>
    <row r="68" spans="1:19" ht="18" customHeight="1" x14ac:dyDescent="0.2">
      <c r="B68" s="267" t="s">
        <v>21</v>
      </c>
      <c r="C68" s="268"/>
      <c r="D68" s="268"/>
      <c r="E68" s="304" t="s">
        <v>22</v>
      </c>
      <c r="F68" s="305" t="s">
        <v>23</v>
      </c>
      <c r="G68" s="306" t="s">
        <v>39</v>
      </c>
      <c r="H68" s="306" t="s">
        <v>40</v>
      </c>
      <c r="I68" s="306" t="s">
        <v>41</v>
      </c>
      <c r="J68" s="267" t="s">
        <v>21</v>
      </c>
      <c r="K68" s="268"/>
      <c r="L68" s="268"/>
      <c r="M68" s="268"/>
      <c r="N68" s="269"/>
      <c r="O68" s="304" t="s">
        <v>22</v>
      </c>
      <c r="P68" s="305" t="s">
        <v>23</v>
      </c>
      <c r="Q68" s="306" t="s">
        <v>39</v>
      </c>
      <c r="R68" s="306" t="s">
        <v>40</v>
      </c>
      <c r="S68" s="306" t="s">
        <v>41</v>
      </c>
    </row>
    <row r="69" spans="1:19" ht="18" customHeight="1" x14ac:dyDescent="0.2">
      <c r="A69" s="277"/>
      <c r="B69" s="307" t="s">
        <v>89</v>
      </c>
      <c r="C69" s="308"/>
      <c r="D69" s="309"/>
      <c r="E69" s="310">
        <v>1</v>
      </c>
      <c r="F69" s="310" t="s">
        <v>27</v>
      </c>
      <c r="G69" s="310" t="s">
        <v>27</v>
      </c>
      <c r="H69" s="310" t="s">
        <v>27</v>
      </c>
      <c r="I69" s="310" t="s">
        <v>27</v>
      </c>
      <c r="J69" s="307"/>
      <c r="K69" s="308"/>
      <c r="L69" s="308"/>
      <c r="M69" s="308"/>
      <c r="N69" s="309"/>
      <c r="O69" s="310"/>
      <c r="P69" s="310"/>
      <c r="Q69" s="310"/>
      <c r="R69" s="310"/>
      <c r="S69" s="310"/>
    </row>
    <row r="70" spans="1:19" ht="18" customHeight="1" x14ac:dyDescent="0.2">
      <c r="A70" s="277"/>
      <c r="B70" s="311" t="s">
        <v>90</v>
      </c>
      <c r="C70" s="312"/>
      <c r="D70" s="313"/>
      <c r="E70" s="314">
        <v>1</v>
      </c>
      <c r="F70" s="314" t="s">
        <v>27</v>
      </c>
      <c r="G70" s="314" t="s">
        <v>27</v>
      </c>
      <c r="H70" s="314" t="s">
        <v>27</v>
      </c>
      <c r="I70" s="314" t="s">
        <v>27</v>
      </c>
      <c r="J70" s="311"/>
      <c r="K70" s="312"/>
      <c r="L70" s="312"/>
      <c r="M70" s="312"/>
      <c r="N70" s="313"/>
      <c r="O70" s="314"/>
      <c r="P70" s="314"/>
      <c r="Q70" s="314"/>
      <c r="R70" s="314"/>
      <c r="S70" s="314"/>
    </row>
    <row r="71" spans="1:19" ht="18" customHeight="1" x14ac:dyDescent="0.2">
      <c r="A71" s="277"/>
      <c r="B71" s="311"/>
      <c r="C71" s="312"/>
      <c r="D71" s="312"/>
      <c r="E71" s="314"/>
      <c r="F71" s="314"/>
      <c r="G71" s="314"/>
      <c r="H71" s="314"/>
      <c r="I71" s="314"/>
      <c r="J71" s="311"/>
      <c r="K71" s="312"/>
      <c r="L71" s="312"/>
      <c r="M71" s="312"/>
      <c r="N71" s="313"/>
      <c r="O71" s="314"/>
      <c r="P71" s="314"/>
      <c r="Q71" s="314"/>
      <c r="R71" s="314"/>
      <c r="S71" s="314"/>
    </row>
    <row r="72" spans="1:19" ht="18" customHeight="1" x14ac:dyDescent="0.2">
      <c r="A72" s="277"/>
      <c r="B72" s="311"/>
      <c r="C72" s="312"/>
      <c r="D72" s="312"/>
      <c r="E72" s="314"/>
      <c r="F72" s="314"/>
      <c r="G72" s="314"/>
      <c r="H72" s="314"/>
      <c r="I72" s="314"/>
      <c r="J72" s="311"/>
      <c r="K72" s="312"/>
      <c r="L72" s="312"/>
      <c r="M72" s="312"/>
      <c r="N72" s="313"/>
      <c r="O72" s="314"/>
      <c r="P72" s="314"/>
      <c r="Q72" s="314"/>
      <c r="R72" s="314"/>
      <c r="S72" s="314"/>
    </row>
    <row r="73" spans="1:19" ht="18" customHeight="1" x14ac:dyDescent="0.2">
      <c r="A73" s="277"/>
      <c r="B73" s="311"/>
      <c r="C73" s="312"/>
      <c r="D73" s="312"/>
      <c r="E73" s="314"/>
      <c r="F73" s="314"/>
      <c r="G73" s="314"/>
      <c r="H73" s="314"/>
      <c r="I73" s="314"/>
      <c r="J73" s="311"/>
      <c r="K73" s="312"/>
      <c r="L73" s="312"/>
      <c r="M73" s="312"/>
      <c r="N73" s="313"/>
      <c r="O73" s="314"/>
      <c r="P73" s="314"/>
      <c r="Q73" s="314"/>
      <c r="R73" s="314"/>
      <c r="S73" s="314"/>
    </row>
    <row r="74" spans="1:19" ht="18" customHeight="1" x14ac:dyDescent="0.2">
      <c r="A74" s="277"/>
      <c r="B74" s="311"/>
      <c r="C74" s="312"/>
      <c r="D74" s="312"/>
      <c r="E74" s="314"/>
      <c r="F74" s="314"/>
      <c r="G74" s="314"/>
      <c r="H74" s="314"/>
      <c r="I74" s="314"/>
      <c r="J74" s="311"/>
      <c r="K74" s="312"/>
      <c r="L74" s="312"/>
      <c r="M74" s="312"/>
      <c r="N74" s="313"/>
      <c r="O74" s="314"/>
      <c r="P74" s="314"/>
      <c r="Q74" s="314"/>
      <c r="R74" s="314"/>
      <c r="S74" s="314"/>
    </row>
    <row r="75" spans="1:19" ht="18" customHeight="1" x14ac:dyDescent="0.2">
      <c r="A75" s="277"/>
      <c r="B75" s="315"/>
      <c r="C75" s="316"/>
      <c r="D75" s="316"/>
      <c r="E75" s="318"/>
      <c r="F75" s="318"/>
      <c r="G75" s="319"/>
      <c r="H75" s="319"/>
      <c r="I75" s="319"/>
      <c r="J75" s="315"/>
      <c r="K75" s="316"/>
      <c r="L75" s="316"/>
      <c r="M75" s="316"/>
      <c r="N75" s="317"/>
      <c r="O75" s="318"/>
      <c r="P75" s="318"/>
      <c r="Q75" s="319"/>
      <c r="R75" s="319"/>
      <c r="S75" s="319"/>
    </row>
    <row r="76" spans="1:19" ht="7.5" customHeight="1" x14ac:dyDescent="0.2">
      <c r="B76" s="320"/>
      <c r="C76" s="320"/>
      <c r="D76" s="320"/>
      <c r="E76" s="320"/>
      <c r="F76" s="320"/>
      <c r="G76" s="320"/>
      <c r="H76" s="320"/>
      <c r="I76" s="320"/>
      <c r="J76" s="320"/>
      <c r="K76" s="320"/>
      <c r="L76" s="320"/>
      <c r="M76" s="320"/>
      <c r="N76" s="320"/>
      <c r="O76" s="320"/>
      <c r="P76" s="320"/>
      <c r="Q76" s="320"/>
      <c r="R76" s="320"/>
    </row>
    <row r="77" spans="1:19" ht="18" customHeight="1" x14ac:dyDescent="0.2">
      <c r="A77" s="263" t="s">
        <v>42</v>
      </c>
      <c r="H77" s="277"/>
      <c r="I77" s="277"/>
      <c r="J77" s="277"/>
      <c r="K77" s="277"/>
      <c r="L77" s="277"/>
      <c r="M77" s="277"/>
      <c r="N77" s="277"/>
      <c r="O77" s="277"/>
      <c r="P77" s="277"/>
      <c r="Q77" s="277"/>
      <c r="R77" s="277"/>
      <c r="S77" s="277"/>
    </row>
    <row r="78" spans="1:19" ht="18" customHeight="1" x14ac:dyDescent="0.2">
      <c r="B78" s="267" t="s">
        <v>21</v>
      </c>
      <c r="C78" s="268"/>
      <c r="D78" s="268"/>
      <c r="E78" s="269"/>
      <c r="F78" s="267" t="s">
        <v>43</v>
      </c>
      <c r="G78" s="268"/>
      <c r="H78" s="268"/>
      <c r="I78" s="269"/>
      <c r="J78" s="321" t="s">
        <v>21</v>
      </c>
      <c r="K78" s="322"/>
      <c r="L78" s="322"/>
      <c r="M78" s="322"/>
      <c r="N78" s="322"/>
      <c r="O78" s="323"/>
      <c r="P78" s="267" t="s">
        <v>43</v>
      </c>
      <c r="Q78" s="268"/>
      <c r="R78" s="268"/>
      <c r="S78" s="269"/>
    </row>
    <row r="79" spans="1:19" ht="18" customHeight="1" x14ac:dyDescent="0.2">
      <c r="A79" s="277"/>
      <c r="B79" s="307" t="s">
        <v>89</v>
      </c>
      <c r="C79" s="308"/>
      <c r="D79" s="308"/>
      <c r="E79" s="309"/>
      <c r="F79" s="324" t="s">
        <v>44</v>
      </c>
      <c r="G79" s="325"/>
      <c r="H79" s="325"/>
      <c r="I79" s="326"/>
      <c r="J79" s="307"/>
      <c r="K79" s="308"/>
      <c r="L79" s="308"/>
      <c r="M79" s="308"/>
      <c r="N79" s="308"/>
      <c r="O79" s="309"/>
      <c r="P79" s="324"/>
      <c r="Q79" s="325"/>
      <c r="R79" s="325"/>
      <c r="S79" s="326"/>
    </row>
    <row r="80" spans="1:19" ht="18" customHeight="1" x14ac:dyDescent="0.2">
      <c r="A80" s="277"/>
      <c r="B80" s="311" t="s">
        <v>90</v>
      </c>
      <c r="C80" s="312"/>
      <c r="D80" s="312"/>
      <c r="E80" s="313"/>
      <c r="F80" s="327" t="s">
        <v>86</v>
      </c>
      <c r="G80" s="328"/>
      <c r="H80" s="328"/>
      <c r="I80" s="329"/>
      <c r="J80" s="311"/>
      <c r="K80" s="312"/>
      <c r="L80" s="312"/>
      <c r="M80" s="312"/>
      <c r="N80" s="312"/>
      <c r="O80" s="313"/>
      <c r="P80" s="327"/>
      <c r="Q80" s="328"/>
      <c r="R80" s="328"/>
      <c r="S80" s="329"/>
    </row>
    <row r="81" spans="1:19" ht="18" customHeight="1" x14ac:dyDescent="0.2">
      <c r="A81" s="277"/>
      <c r="B81" s="311" t="s">
        <v>90</v>
      </c>
      <c r="C81" s="312"/>
      <c r="D81" s="312"/>
      <c r="E81" s="313"/>
      <c r="F81" s="327" t="s">
        <v>74</v>
      </c>
      <c r="G81" s="328"/>
      <c r="H81" s="328"/>
      <c r="I81" s="329"/>
      <c r="J81" s="311"/>
      <c r="K81" s="312"/>
      <c r="L81" s="312"/>
      <c r="M81" s="312"/>
      <c r="N81" s="312"/>
      <c r="O81" s="313"/>
      <c r="P81" s="327"/>
      <c r="Q81" s="328"/>
      <c r="R81" s="328"/>
      <c r="S81" s="329"/>
    </row>
    <row r="82" spans="1:19" ht="18" customHeight="1" x14ac:dyDescent="0.2">
      <c r="A82" s="277"/>
      <c r="B82" s="311"/>
      <c r="C82" s="312"/>
      <c r="D82" s="312"/>
      <c r="E82" s="313"/>
      <c r="F82" s="327"/>
      <c r="G82" s="328"/>
      <c r="H82" s="328"/>
      <c r="I82" s="329"/>
      <c r="J82" s="311"/>
      <c r="K82" s="312"/>
      <c r="L82" s="312"/>
      <c r="M82" s="312"/>
      <c r="N82" s="312"/>
      <c r="O82" s="313"/>
      <c r="P82" s="327"/>
      <c r="Q82" s="328"/>
      <c r="R82" s="328"/>
      <c r="S82" s="329"/>
    </row>
    <row r="83" spans="1:19" ht="18" customHeight="1" x14ac:dyDescent="0.2">
      <c r="A83" s="277"/>
      <c r="B83" s="311"/>
      <c r="C83" s="312"/>
      <c r="D83" s="312"/>
      <c r="E83" s="313"/>
      <c r="F83" s="327"/>
      <c r="G83" s="328"/>
      <c r="H83" s="328"/>
      <c r="I83" s="329"/>
      <c r="J83" s="311"/>
      <c r="K83" s="312"/>
      <c r="L83" s="312"/>
      <c r="M83" s="312"/>
      <c r="N83" s="312"/>
      <c r="O83" s="313"/>
      <c r="P83" s="327"/>
      <c r="Q83" s="328"/>
      <c r="R83" s="328"/>
      <c r="S83" s="329"/>
    </row>
    <row r="84" spans="1:19" ht="18" customHeight="1" x14ac:dyDescent="0.2">
      <c r="A84" s="277"/>
      <c r="B84" s="311"/>
      <c r="C84" s="312"/>
      <c r="D84" s="312"/>
      <c r="E84" s="313"/>
      <c r="F84" s="327"/>
      <c r="G84" s="328"/>
      <c r="H84" s="328"/>
      <c r="I84" s="329"/>
      <c r="J84" s="311"/>
      <c r="K84" s="312"/>
      <c r="L84" s="312"/>
      <c r="M84" s="312"/>
      <c r="N84" s="312"/>
      <c r="O84" s="313"/>
      <c r="P84" s="327"/>
      <c r="Q84" s="328"/>
      <c r="R84" s="328"/>
      <c r="S84" s="329"/>
    </row>
    <row r="85" spans="1:19" ht="18" customHeight="1" x14ac:dyDescent="0.2">
      <c r="A85" s="277"/>
      <c r="B85" s="315"/>
      <c r="C85" s="316"/>
      <c r="D85" s="316"/>
      <c r="E85" s="317"/>
      <c r="F85" s="330"/>
      <c r="G85" s="331"/>
      <c r="H85" s="331"/>
      <c r="I85" s="332"/>
      <c r="J85" s="315"/>
      <c r="K85" s="316"/>
      <c r="L85" s="316"/>
      <c r="M85" s="316"/>
      <c r="N85" s="316"/>
      <c r="O85" s="317"/>
      <c r="P85" s="330"/>
      <c r="Q85" s="331"/>
      <c r="R85" s="331"/>
      <c r="S85" s="332"/>
    </row>
    <row r="86" spans="1:19" ht="18" customHeight="1" x14ac:dyDescent="0.2">
      <c r="A86" s="277"/>
      <c r="B86" s="271"/>
      <c r="C86" s="271"/>
      <c r="D86" s="271"/>
      <c r="E86" s="271"/>
      <c r="F86" s="333"/>
      <c r="G86" s="333"/>
      <c r="H86" s="333"/>
      <c r="I86" s="333"/>
      <c r="J86" s="271"/>
      <c r="K86" s="271"/>
      <c r="L86" s="271"/>
      <c r="M86" s="271"/>
      <c r="N86" s="271"/>
      <c r="O86" s="271"/>
      <c r="P86" s="333"/>
      <c r="Q86" s="333"/>
      <c r="R86" s="333"/>
      <c r="S86" s="333"/>
    </row>
    <row r="87" spans="1:19" ht="18.75" customHeight="1" x14ac:dyDescent="0.2">
      <c r="A87" s="263" t="s">
        <v>45</v>
      </c>
    </row>
    <row r="88" spans="1:19" ht="18.75" customHeight="1" x14ac:dyDescent="0.2">
      <c r="B88" s="334" t="s">
        <v>46</v>
      </c>
      <c r="C88" s="335"/>
      <c r="D88" s="268" t="s">
        <v>47</v>
      </c>
      <c r="E88" s="268"/>
      <c r="F88" s="268"/>
      <c r="G88" s="268"/>
      <c r="H88" s="268"/>
      <c r="I88" s="268"/>
      <c r="J88" s="268"/>
      <c r="K88" s="268"/>
      <c r="L88" s="268"/>
      <c r="M88" s="268"/>
      <c r="N88" s="268"/>
      <c r="O88" s="268"/>
      <c r="P88" s="268"/>
      <c r="Q88" s="268"/>
      <c r="R88" s="268"/>
      <c r="S88" s="269"/>
    </row>
    <row r="89" spans="1:19" ht="97.5" customHeight="1" x14ac:dyDescent="0.2">
      <c r="B89" s="336" t="s">
        <v>48</v>
      </c>
      <c r="C89" s="337" t="s">
        <v>24</v>
      </c>
      <c r="D89" s="338" t="s">
        <v>49</v>
      </c>
      <c r="E89" s="339"/>
      <c r="F89" s="339"/>
      <c r="G89" s="339"/>
      <c r="H89" s="339"/>
      <c r="I89" s="339"/>
      <c r="J89" s="339"/>
      <c r="K89" s="339"/>
      <c r="L89" s="339"/>
      <c r="M89" s="339"/>
      <c r="N89" s="339"/>
      <c r="O89" s="339"/>
      <c r="P89" s="339"/>
      <c r="Q89" s="339"/>
      <c r="R89" s="339"/>
      <c r="S89" s="340"/>
    </row>
    <row r="90" spans="1:19" ht="97.5" customHeight="1" x14ac:dyDescent="0.2">
      <c r="B90" s="341"/>
      <c r="C90" s="342" t="s">
        <v>50</v>
      </c>
      <c r="D90" s="343" t="s">
        <v>51</v>
      </c>
      <c r="E90" s="344"/>
      <c r="F90" s="344"/>
      <c r="G90" s="344"/>
      <c r="H90" s="344"/>
      <c r="I90" s="344"/>
      <c r="J90" s="344"/>
      <c r="K90" s="344"/>
      <c r="L90" s="344"/>
      <c r="M90" s="344"/>
      <c r="N90" s="344"/>
      <c r="O90" s="344"/>
      <c r="P90" s="344"/>
      <c r="Q90" s="344"/>
      <c r="R90" s="344"/>
      <c r="S90" s="345"/>
    </row>
    <row r="91" spans="1:19" ht="97.5" customHeight="1" x14ac:dyDescent="0.2">
      <c r="B91" s="336" t="s">
        <v>52</v>
      </c>
      <c r="C91" s="346" t="s">
        <v>29</v>
      </c>
      <c r="D91" s="347" t="s">
        <v>53</v>
      </c>
      <c r="E91" s="348"/>
      <c r="F91" s="348"/>
      <c r="G91" s="348"/>
      <c r="H91" s="348"/>
      <c r="I91" s="348"/>
      <c r="J91" s="348"/>
      <c r="K91" s="348"/>
      <c r="L91" s="348"/>
      <c r="M91" s="348"/>
      <c r="N91" s="348"/>
      <c r="O91" s="348"/>
      <c r="P91" s="348"/>
      <c r="Q91" s="348"/>
      <c r="R91" s="348"/>
      <c r="S91" s="349"/>
    </row>
    <row r="92" spans="1:19" ht="97.5" customHeight="1" x14ac:dyDescent="0.2">
      <c r="B92" s="350"/>
      <c r="C92" s="351" t="s">
        <v>30</v>
      </c>
      <c r="D92" s="343" t="s">
        <v>54</v>
      </c>
      <c r="E92" s="344"/>
      <c r="F92" s="344"/>
      <c r="G92" s="344"/>
      <c r="H92" s="344"/>
      <c r="I92" s="344"/>
      <c r="J92" s="344"/>
      <c r="K92" s="344"/>
      <c r="L92" s="344"/>
      <c r="M92" s="344"/>
      <c r="N92" s="344"/>
      <c r="O92" s="344"/>
      <c r="P92" s="344"/>
      <c r="Q92" s="344"/>
      <c r="R92" s="344"/>
      <c r="S92" s="345"/>
    </row>
    <row r="93" spans="1:19" ht="97.5" customHeight="1" x14ac:dyDescent="0.2">
      <c r="B93" s="336" t="s">
        <v>55</v>
      </c>
      <c r="C93" s="346" t="s">
        <v>32</v>
      </c>
      <c r="D93" s="347" t="s">
        <v>56</v>
      </c>
      <c r="E93" s="348"/>
      <c r="F93" s="348"/>
      <c r="G93" s="348"/>
      <c r="H93" s="348"/>
      <c r="I93" s="348"/>
      <c r="J93" s="348"/>
      <c r="K93" s="348"/>
      <c r="L93" s="348"/>
      <c r="M93" s="348"/>
      <c r="N93" s="348"/>
      <c r="O93" s="348"/>
      <c r="P93" s="348"/>
      <c r="Q93" s="348"/>
      <c r="R93" s="348"/>
      <c r="S93" s="349"/>
    </row>
    <row r="94" spans="1:19" ht="97.5" customHeight="1" x14ac:dyDescent="0.2">
      <c r="B94" s="350"/>
      <c r="C94" s="352" t="s">
        <v>33</v>
      </c>
      <c r="D94" s="343" t="s">
        <v>57</v>
      </c>
      <c r="E94" s="344"/>
      <c r="F94" s="344"/>
      <c r="G94" s="344"/>
      <c r="H94" s="344"/>
      <c r="I94" s="344"/>
      <c r="J94" s="344"/>
      <c r="K94" s="344"/>
      <c r="L94" s="344"/>
      <c r="M94" s="344"/>
      <c r="N94" s="344"/>
      <c r="O94" s="344"/>
      <c r="P94" s="344"/>
      <c r="Q94" s="344"/>
      <c r="R94" s="344"/>
      <c r="S94" s="345"/>
    </row>
    <row r="95" spans="1:19" ht="97.5" customHeight="1" x14ac:dyDescent="0.2">
      <c r="B95" s="336" t="s">
        <v>58</v>
      </c>
      <c r="C95" s="337" t="s">
        <v>35</v>
      </c>
      <c r="D95" s="347" t="s">
        <v>78</v>
      </c>
      <c r="E95" s="348"/>
      <c r="F95" s="348"/>
      <c r="G95" s="348"/>
      <c r="H95" s="348"/>
      <c r="I95" s="348"/>
      <c r="J95" s="348"/>
      <c r="K95" s="348"/>
      <c r="L95" s="348"/>
      <c r="M95" s="348"/>
      <c r="N95" s="348"/>
      <c r="O95" s="348"/>
      <c r="P95" s="348"/>
      <c r="Q95" s="348"/>
      <c r="R95" s="348"/>
      <c r="S95" s="349"/>
    </row>
    <row r="96" spans="1:19" ht="100.25" customHeight="1" x14ac:dyDescent="0.2">
      <c r="B96" s="350"/>
      <c r="C96" s="351" t="s">
        <v>36</v>
      </c>
      <c r="D96" s="343" t="s">
        <v>60</v>
      </c>
      <c r="E96" s="344"/>
      <c r="F96" s="344"/>
      <c r="G96" s="344"/>
      <c r="H96" s="344"/>
      <c r="I96" s="344"/>
      <c r="J96" s="344"/>
      <c r="K96" s="344"/>
      <c r="L96" s="344"/>
      <c r="M96" s="344"/>
      <c r="N96" s="344"/>
      <c r="O96" s="344"/>
      <c r="P96" s="344"/>
      <c r="Q96" s="344"/>
      <c r="R96" s="344"/>
      <c r="S96" s="345"/>
    </row>
    <row r="97" spans="1:19" ht="104.75" customHeight="1" x14ac:dyDescent="0.2">
      <c r="B97" s="336" t="s">
        <v>61</v>
      </c>
      <c r="C97" s="346" t="s">
        <v>62</v>
      </c>
      <c r="D97" s="353" t="s">
        <v>91</v>
      </c>
      <c r="E97" s="354"/>
      <c r="F97" s="354"/>
      <c r="G97" s="354"/>
      <c r="H97" s="354"/>
      <c r="I97" s="354"/>
      <c r="J97" s="354"/>
      <c r="K97" s="354"/>
      <c r="L97" s="354"/>
      <c r="M97" s="354"/>
      <c r="N97" s="354"/>
      <c r="O97" s="354"/>
      <c r="P97" s="354"/>
      <c r="Q97" s="354"/>
      <c r="R97" s="354"/>
      <c r="S97" s="355"/>
    </row>
    <row r="98" spans="1:19" ht="101" customHeight="1" x14ac:dyDescent="0.2">
      <c r="B98" s="341"/>
      <c r="C98" s="356" t="s">
        <v>40</v>
      </c>
      <c r="D98" s="357" t="s">
        <v>92</v>
      </c>
      <c r="E98" s="358"/>
      <c r="F98" s="358"/>
      <c r="G98" s="358"/>
      <c r="H98" s="358"/>
      <c r="I98" s="358"/>
      <c r="J98" s="358"/>
      <c r="K98" s="358"/>
      <c r="L98" s="358"/>
      <c r="M98" s="358"/>
      <c r="N98" s="358"/>
      <c r="O98" s="358"/>
      <c r="P98" s="358"/>
      <c r="Q98" s="358"/>
      <c r="R98" s="358"/>
      <c r="S98" s="359"/>
    </row>
    <row r="99" spans="1:19" ht="97.5" customHeight="1" x14ac:dyDescent="0.2">
      <c r="B99" s="350"/>
      <c r="C99" s="352" t="s">
        <v>41</v>
      </c>
      <c r="D99" s="343" t="s">
        <v>93</v>
      </c>
      <c r="E99" s="344"/>
      <c r="F99" s="344"/>
      <c r="G99" s="344"/>
      <c r="H99" s="344"/>
      <c r="I99" s="344"/>
      <c r="J99" s="344"/>
      <c r="K99" s="344"/>
      <c r="L99" s="344"/>
      <c r="M99" s="344"/>
      <c r="N99" s="344"/>
      <c r="O99" s="344"/>
      <c r="P99" s="344"/>
      <c r="Q99" s="344"/>
      <c r="R99" s="344"/>
      <c r="S99" s="345"/>
    </row>
    <row r="100" spans="1:19" ht="6" customHeight="1" x14ac:dyDescent="0.2"/>
    <row r="101" spans="1:19" ht="18.75" customHeight="1" x14ac:dyDescent="0.2">
      <c r="A101" s="263" t="s">
        <v>66</v>
      </c>
    </row>
    <row r="102" spans="1:19" ht="81.75" customHeight="1" x14ac:dyDescent="0.2">
      <c r="B102" s="360" t="s">
        <v>67</v>
      </c>
      <c r="C102" s="361"/>
      <c r="D102" s="361"/>
      <c r="E102" s="361"/>
      <c r="F102" s="361"/>
      <c r="G102" s="361"/>
      <c r="H102" s="361"/>
      <c r="I102" s="361"/>
      <c r="J102" s="361"/>
      <c r="K102" s="361"/>
      <c r="L102" s="361"/>
      <c r="M102" s="361"/>
      <c r="N102" s="361"/>
      <c r="O102" s="361"/>
      <c r="P102" s="361"/>
      <c r="Q102" s="361"/>
      <c r="R102" s="361"/>
      <c r="S102" s="362"/>
    </row>
    <row r="110" spans="1:19" ht="18" customHeight="1" x14ac:dyDescent="0.2"/>
  </sheetData>
  <mergeCells count="145">
    <mergeCell ref="B13:S18"/>
    <mergeCell ref="C20:D20"/>
    <mergeCell ref="K20:S20"/>
    <mergeCell ref="A22:S23"/>
    <mergeCell ref="B24:E24"/>
    <mergeCell ref="J24:O24"/>
    <mergeCell ref="R1:S1"/>
    <mergeCell ref="C2:I2"/>
    <mergeCell ref="C3:I3"/>
    <mergeCell ref="A5:S5"/>
    <mergeCell ref="K7:S7"/>
    <mergeCell ref="B9:S10"/>
    <mergeCell ref="B28:E28"/>
    <mergeCell ref="J28:O28"/>
    <mergeCell ref="B29:E29"/>
    <mergeCell ref="J29:O29"/>
    <mergeCell ref="B30:E30"/>
    <mergeCell ref="J30:O30"/>
    <mergeCell ref="B25:E25"/>
    <mergeCell ref="J25:O25"/>
    <mergeCell ref="B26:E26"/>
    <mergeCell ref="J26:O26"/>
    <mergeCell ref="B27:E27"/>
    <mergeCell ref="J27:O27"/>
    <mergeCell ref="B37:E37"/>
    <mergeCell ref="J37:O37"/>
    <mergeCell ref="B38:E38"/>
    <mergeCell ref="J38:O38"/>
    <mergeCell ref="B39:E39"/>
    <mergeCell ref="J39:O39"/>
    <mergeCell ref="B31:E31"/>
    <mergeCell ref="J31:O31"/>
    <mergeCell ref="A33:S34"/>
    <mergeCell ref="B35:E35"/>
    <mergeCell ref="J35:O35"/>
    <mergeCell ref="B36:E36"/>
    <mergeCell ref="J36:O36"/>
    <mergeCell ref="A44:S45"/>
    <mergeCell ref="B46:E46"/>
    <mergeCell ref="J46:O46"/>
    <mergeCell ref="B47:E47"/>
    <mergeCell ref="J47:O47"/>
    <mergeCell ref="B48:E48"/>
    <mergeCell ref="J48:O48"/>
    <mergeCell ref="B40:E40"/>
    <mergeCell ref="J40:O40"/>
    <mergeCell ref="B41:E41"/>
    <mergeCell ref="J41:O41"/>
    <mergeCell ref="B42:E42"/>
    <mergeCell ref="J42:O42"/>
    <mergeCell ref="B52:E52"/>
    <mergeCell ref="J52:O52"/>
    <mergeCell ref="B53:E53"/>
    <mergeCell ref="J53:O53"/>
    <mergeCell ref="A55:S56"/>
    <mergeCell ref="B57:E57"/>
    <mergeCell ref="J57:O57"/>
    <mergeCell ref="B49:E49"/>
    <mergeCell ref="J49:O49"/>
    <mergeCell ref="B50:E50"/>
    <mergeCell ref="J50:O50"/>
    <mergeCell ref="B51:E51"/>
    <mergeCell ref="J51:O51"/>
    <mergeCell ref="B61:E61"/>
    <mergeCell ref="J61:O61"/>
    <mergeCell ref="B62:E62"/>
    <mergeCell ref="J62:O62"/>
    <mergeCell ref="B63:E63"/>
    <mergeCell ref="J63:O63"/>
    <mergeCell ref="B58:E58"/>
    <mergeCell ref="J58:O58"/>
    <mergeCell ref="B59:E59"/>
    <mergeCell ref="J59:O59"/>
    <mergeCell ref="B60:E60"/>
    <mergeCell ref="J60:O60"/>
    <mergeCell ref="B70:D70"/>
    <mergeCell ref="J70:N70"/>
    <mergeCell ref="B71:D71"/>
    <mergeCell ref="J71:N71"/>
    <mergeCell ref="B72:D72"/>
    <mergeCell ref="J72:N72"/>
    <mergeCell ref="B64:E64"/>
    <mergeCell ref="J64:O64"/>
    <mergeCell ref="A66:S67"/>
    <mergeCell ref="B68:D68"/>
    <mergeCell ref="J68:N68"/>
    <mergeCell ref="B69:D69"/>
    <mergeCell ref="J69:N69"/>
    <mergeCell ref="B78:E78"/>
    <mergeCell ref="F78:I78"/>
    <mergeCell ref="J78:O78"/>
    <mergeCell ref="P78:S78"/>
    <mergeCell ref="B79:E79"/>
    <mergeCell ref="F79:I79"/>
    <mergeCell ref="J79:O79"/>
    <mergeCell ref="P79:S79"/>
    <mergeCell ref="B73:D73"/>
    <mergeCell ref="J73:N73"/>
    <mergeCell ref="B74:D74"/>
    <mergeCell ref="J74:N74"/>
    <mergeCell ref="B75:D75"/>
    <mergeCell ref="J75:N75"/>
    <mergeCell ref="B82:E82"/>
    <mergeCell ref="F82:I82"/>
    <mergeCell ref="J82:O82"/>
    <mergeCell ref="P82:S82"/>
    <mergeCell ref="B83:E83"/>
    <mergeCell ref="F83:I83"/>
    <mergeCell ref="J83:O83"/>
    <mergeCell ref="P83:S83"/>
    <mergeCell ref="B80:E80"/>
    <mergeCell ref="F80:I80"/>
    <mergeCell ref="J80:O80"/>
    <mergeCell ref="P80:S80"/>
    <mergeCell ref="B81:E81"/>
    <mergeCell ref="F81:I81"/>
    <mergeCell ref="J81:O81"/>
    <mergeCell ref="P81:S81"/>
    <mergeCell ref="B88:C88"/>
    <mergeCell ref="D88:S88"/>
    <mergeCell ref="B89:B90"/>
    <mergeCell ref="D89:S89"/>
    <mergeCell ref="D90:S90"/>
    <mergeCell ref="B91:B92"/>
    <mergeCell ref="D91:S91"/>
    <mergeCell ref="D92:S92"/>
    <mergeCell ref="B84:E84"/>
    <mergeCell ref="F84:I84"/>
    <mergeCell ref="J84:O84"/>
    <mergeCell ref="P84:S84"/>
    <mergeCell ref="B85:E85"/>
    <mergeCell ref="F85:I85"/>
    <mergeCell ref="J85:O85"/>
    <mergeCell ref="P85:S85"/>
    <mergeCell ref="B97:B99"/>
    <mergeCell ref="D97:S97"/>
    <mergeCell ref="D98:S98"/>
    <mergeCell ref="D99:S99"/>
    <mergeCell ref="B102:S102"/>
    <mergeCell ref="B93:B94"/>
    <mergeCell ref="D93:S93"/>
    <mergeCell ref="D94:S94"/>
    <mergeCell ref="B95:B96"/>
    <mergeCell ref="D95:S95"/>
    <mergeCell ref="D96:S96"/>
  </mergeCells>
  <phoneticPr fontId="1"/>
  <conditionalFormatting sqref="B9:S10">
    <cfRule type="expression" dxfId="0" priority="1">
      <formula>$K$7="学部・学科によって、修了要件は相違しない"</formula>
    </cfRule>
  </conditionalFormatting>
  <dataValidations count="5">
    <dataValidation type="list" allowBlank="1" showInputMessage="1" showErrorMessage="1" sqref="K20:S20" xr:uid="{62A847CE-34CB-4866-9F0D-923674E18C4E}">
      <formula1>$V$14:$V$16</formula1>
    </dataValidation>
    <dataValidation type="list" allowBlank="1" showInputMessage="1" showErrorMessage="1" sqref="P79:P86 Q83:S86 G83:I86 F79:F86 G79:I80 Q79:S80" xr:uid="{D5F81AED-8893-4035-82A2-EEA6EA5D9B90}">
      <formula1>"4-1統計および数理基礎,4‐2アルゴリズム基礎,4‐3データ構造とプログラミング基礎,4‐4時系列データ解析,4‐5テキスト解析,4‐6画像解析,4‐7データハンドリング,4‐8データ活用実践（教師あり学習）,4‐9データ活用実践（教師なし学習）,その他"</formula1>
    </dataValidation>
    <dataValidation type="list" allowBlank="1" showInputMessage="1" showErrorMessage="1" sqref="K7 K12" xr:uid="{7B557313-236F-4069-A847-45F8FAC21F0D}">
      <formula1>"学部・学科によって、修了要件は相違する,学部・学科によって、修了要件は相違しない"</formula1>
    </dataValidation>
    <dataValidation type="list" allowBlank="1" showInputMessage="1" showErrorMessage="1" sqref="S32 S43 D32:G32 D43:G43" xr:uid="{B0BFB8AD-46BD-410A-B2A9-69EB04DA0D42}">
      <formula1>"全学開講,一部開講"</formula1>
    </dataValidation>
    <dataValidation type="list" allowBlank="1" showInputMessage="1" showErrorMessage="1" sqref="G25:I31 Q25:S31 P69:S75 Q36:S42 G36:I42 Q47:S53 G47:I53 Q58:S64 F69:I75 G58:I64" xr:uid="{71A989C6-FB13-434D-A3DF-A29B8EB8D5FD}">
      <formula1>"○"</formula1>
    </dataValidation>
  </dataValidations>
  <printOptions horizontalCentered="1"/>
  <pageMargins left="0.78740157480314965" right="0.78740157480314965" top="0.78740157480314965" bottom="0.19685039370078741" header="0.31496062992125984" footer="0.19685039370078741"/>
  <pageSetup paperSize="9" scale="75" fitToHeight="0" orientation="portrait" horizontalDpi="300" verticalDpi="300" r:id="rId1"/>
  <headerFooter>
    <oddHeader>&amp;C数理・データサイエンス・AI教育プログラム認定制度【リテラシーレベル】</oddHeader>
  </headerFooter>
  <rowBreaks count="2" manualBreakCount="2">
    <brk id="65" max="18" man="1"/>
    <brk id="94" max="18"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F80AA-BA43-436E-9327-767BF1887A12}">
  <sheetPr>
    <pageSetUpPr fitToPage="1"/>
  </sheetPr>
  <dimension ref="A1:AS32"/>
  <sheetViews>
    <sheetView view="pageBreakPreview" topLeftCell="A12" zoomScaleNormal="100" zoomScaleSheetLayoutView="100" workbookViewId="0">
      <selection activeCell="O21" sqref="O21"/>
    </sheetView>
  </sheetViews>
  <sheetFormatPr defaultColWidth="9" defaultRowHeight="18.75" customHeight="1" x14ac:dyDescent="0.2"/>
  <cols>
    <col min="1" max="1" width="2.81640625" style="1" customWidth="1"/>
    <col min="2" max="2" width="20.81640625" style="1" customWidth="1"/>
    <col min="3" max="5" width="6.08984375" style="1" customWidth="1"/>
    <col min="6" max="42" width="4.81640625" style="1" customWidth="1"/>
    <col min="43" max="43" width="6.6328125" style="1" customWidth="1"/>
    <col min="44" max="16384" width="9" style="1"/>
  </cols>
  <sheetData>
    <row r="1" spans="1:45" ht="18" customHeight="1" x14ac:dyDescent="0.2">
      <c r="AQ1" s="1" t="s">
        <v>94</v>
      </c>
    </row>
    <row r="2" spans="1:45" ht="18" customHeight="1" x14ac:dyDescent="0.2">
      <c r="K2" s="35"/>
      <c r="Q2" s="35"/>
      <c r="W2" s="35"/>
      <c r="AC2" s="35"/>
      <c r="AI2" s="35"/>
      <c r="AL2" s="35" t="s">
        <v>2</v>
      </c>
      <c r="AM2" s="169" t="str">
        <f>'様式１-①　プログラムを構成する授業科目'!C2</f>
        <v>北陸大学</v>
      </c>
      <c r="AN2" s="169"/>
      <c r="AO2" s="169"/>
      <c r="AP2" s="169"/>
      <c r="AQ2" s="169"/>
    </row>
    <row r="3" spans="1:45" ht="18" customHeight="1" x14ac:dyDescent="0.2">
      <c r="A3" s="108" t="s">
        <v>95</v>
      </c>
      <c r="B3" s="108"/>
      <c r="C3" s="108"/>
      <c r="D3" s="108"/>
      <c r="E3" s="108"/>
      <c r="F3" s="108"/>
      <c r="G3" s="108"/>
      <c r="H3" s="108"/>
      <c r="I3" s="108"/>
      <c r="J3" s="108"/>
      <c r="K3" s="108"/>
      <c r="L3" s="108"/>
      <c r="M3" s="108"/>
      <c r="N3" s="108"/>
      <c r="O3" s="108"/>
      <c r="P3" s="108"/>
      <c r="Q3" s="108"/>
      <c r="R3" s="108"/>
      <c r="S3" s="108"/>
      <c r="T3" s="108"/>
      <c r="U3" s="108"/>
      <c r="V3" s="108"/>
      <c r="W3" s="108"/>
      <c r="X3" s="108"/>
      <c r="Y3" s="108"/>
      <c r="Z3" s="108"/>
      <c r="AA3" s="108"/>
      <c r="AB3" s="108"/>
      <c r="AC3" s="108"/>
      <c r="AD3" s="108"/>
      <c r="AE3" s="108"/>
      <c r="AF3" s="108"/>
      <c r="AG3" s="108"/>
      <c r="AH3" s="108"/>
      <c r="AI3" s="108"/>
      <c r="AJ3" s="108"/>
      <c r="AK3" s="108"/>
      <c r="AL3" s="108"/>
      <c r="AM3" s="108"/>
      <c r="AN3" s="108"/>
      <c r="AO3" s="108"/>
      <c r="AP3" s="108"/>
      <c r="AQ3" s="108"/>
    </row>
    <row r="4" spans="1:45" ht="7.5" customHeight="1" x14ac:dyDescent="0.2">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row>
    <row r="5" spans="1:45" ht="18" customHeight="1" x14ac:dyDescent="0.2">
      <c r="A5" s="1" t="s">
        <v>96</v>
      </c>
      <c r="C5" s="105" t="s">
        <v>97</v>
      </c>
      <c r="D5" s="107"/>
      <c r="E5" s="3" t="s">
        <v>98</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6"/>
      <c r="AQ5" s="6"/>
    </row>
    <row r="6" spans="1:45" ht="6" customHeight="1" x14ac:dyDescent="0.2">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spans="1:45" ht="18" customHeight="1" x14ac:dyDescent="0.2">
      <c r="A7" s="1" t="s">
        <v>99</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spans="1:45" ht="6" customHeight="1" x14ac:dyDescent="0.2">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spans="1:45" ht="18" customHeight="1" x14ac:dyDescent="0.2">
      <c r="B9" s="170" t="s">
        <v>100</v>
      </c>
      <c r="C9" s="185" t="s">
        <v>101</v>
      </c>
      <c r="D9" s="173" t="s">
        <v>102</v>
      </c>
      <c r="E9" s="176" t="s">
        <v>103</v>
      </c>
      <c r="F9" s="168" t="s">
        <v>104</v>
      </c>
      <c r="G9" s="168"/>
      <c r="H9" s="168"/>
      <c r="I9" s="168"/>
      <c r="J9" s="168"/>
      <c r="K9" s="168"/>
      <c r="L9" s="168" t="s">
        <v>105</v>
      </c>
      <c r="M9" s="168"/>
      <c r="N9" s="168"/>
      <c r="O9" s="168"/>
      <c r="P9" s="168"/>
      <c r="Q9" s="168"/>
      <c r="R9" s="168" t="s">
        <v>106</v>
      </c>
      <c r="S9" s="168"/>
      <c r="T9" s="168"/>
      <c r="U9" s="168"/>
      <c r="V9" s="168"/>
      <c r="W9" s="168"/>
      <c r="X9" s="168" t="s">
        <v>107</v>
      </c>
      <c r="Y9" s="168"/>
      <c r="Z9" s="168"/>
      <c r="AA9" s="168"/>
      <c r="AB9" s="168"/>
      <c r="AC9" s="168"/>
      <c r="AD9" s="168" t="s">
        <v>108</v>
      </c>
      <c r="AE9" s="168"/>
      <c r="AF9" s="168"/>
      <c r="AG9" s="168"/>
      <c r="AH9" s="168"/>
      <c r="AI9" s="168"/>
      <c r="AJ9" s="168" t="s">
        <v>109</v>
      </c>
      <c r="AK9" s="168"/>
      <c r="AL9" s="168"/>
      <c r="AM9" s="168"/>
      <c r="AN9" s="168"/>
      <c r="AO9" s="168"/>
      <c r="AP9" s="179" t="s">
        <v>110</v>
      </c>
      <c r="AQ9" s="182" t="s">
        <v>111</v>
      </c>
      <c r="AS9" s="2"/>
    </row>
    <row r="10" spans="1:45" ht="17" customHeight="1" x14ac:dyDescent="0.2">
      <c r="B10" s="171"/>
      <c r="C10" s="186"/>
      <c r="D10" s="174"/>
      <c r="E10" s="177"/>
      <c r="F10" s="166" t="s">
        <v>112</v>
      </c>
      <c r="G10" s="167"/>
      <c r="H10" s="167"/>
      <c r="I10" s="166" t="s">
        <v>113</v>
      </c>
      <c r="J10" s="167"/>
      <c r="K10" s="167"/>
      <c r="L10" s="166" t="s">
        <v>112</v>
      </c>
      <c r="M10" s="167"/>
      <c r="N10" s="167"/>
      <c r="O10" s="166" t="s">
        <v>113</v>
      </c>
      <c r="P10" s="167"/>
      <c r="Q10" s="167"/>
      <c r="R10" s="166" t="s">
        <v>112</v>
      </c>
      <c r="S10" s="167"/>
      <c r="T10" s="167"/>
      <c r="U10" s="166" t="s">
        <v>113</v>
      </c>
      <c r="V10" s="167"/>
      <c r="W10" s="167"/>
      <c r="X10" s="166" t="s">
        <v>112</v>
      </c>
      <c r="Y10" s="167"/>
      <c r="Z10" s="167"/>
      <c r="AA10" s="166" t="s">
        <v>113</v>
      </c>
      <c r="AB10" s="167"/>
      <c r="AC10" s="167"/>
      <c r="AD10" s="166" t="s">
        <v>112</v>
      </c>
      <c r="AE10" s="167"/>
      <c r="AF10" s="167"/>
      <c r="AG10" s="166" t="s">
        <v>113</v>
      </c>
      <c r="AH10" s="167"/>
      <c r="AI10" s="167"/>
      <c r="AJ10" s="166" t="s">
        <v>112</v>
      </c>
      <c r="AK10" s="167"/>
      <c r="AL10" s="167"/>
      <c r="AM10" s="166" t="s">
        <v>113</v>
      </c>
      <c r="AN10" s="167"/>
      <c r="AO10" s="167"/>
      <c r="AP10" s="180"/>
      <c r="AQ10" s="183"/>
      <c r="AS10" s="2"/>
    </row>
    <row r="11" spans="1:45" ht="18" customHeight="1" x14ac:dyDescent="0.2">
      <c r="B11" s="172"/>
      <c r="C11" s="187"/>
      <c r="D11" s="175"/>
      <c r="E11" s="178"/>
      <c r="F11" s="17" t="s">
        <v>114</v>
      </c>
      <c r="G11" s="18" t="s">
        <v>115</v>
      </c>
      <c r="H11" s="19" t="s">
        <v>116</v>
      </c>
      <c r="I11" s="17" t="s">
        <v>114</v>
      </c>
      <c r="J11" s="18" t="s">
        <v>115</v>
      </c>
      <c r="K11" s="19" t="s">
        <v>116</v>
      </c>
      <c r="L11" s="17" t="s">
        <v>114</v>
      </c>
      <c r="M11" s="18" t="s">
        <v>115</v>
      </c>
      <c r="N11" s="19" t="s">
        <v>116</v>
      </c>
      <c r="O11" s="17" t="s">
        <v>114</v>
      </c>
      <c r="P11" s="18" t="s">
        <v>115</v>
      </c>
      <c r="Q11" s="19" t="s">
        <v>116</v>
      </c>
      <c r="R11" s="17" t="s">
        <v>114</v>
      </c>
      <c r="S11" s="18" t="s">
        <v>115</v>
      </c>
      <c r="T11" s="19" t="s">
        <v>116</v>
      </c>
      <c r="U11" s="17" t="s">
        <v>114</v>
      </c>
      <c r="V11" s="18" t="s">
        <v>115</v>
      </c>
      <c r="W11" s="19" t="s">
        <v>116</v>
      </c>
      <c r="X11" s="17" t="s">
        <v>114</v>
      </c>
      <c r="Y11" s="18" t="s">
        <v>115</v>
      </c>
      <c r="Z11" s="19" t="s">
        <v>116</v>
      </c>
      <c r="AA11" s="17" t="s">
        <v>114</v>
      </c>
      <c r="AB11" s="18" t="s">
        <v>115</v>
      </c>
      <c r="AC11" s="19" t="s">
        <v>116</v>
      </c>
      <c r="AD11" s="17" t="s">
        <v>114</v>
      </c>
      <c r="AE11" s="18" t="s">
        <v>115</v>
      </c>
      <c r="AF11" s="19" t="s">
        <v>116</v>
      </c>
      <c r="AG11" s="17" t="s">
        <v>114</v>
      </c>
      <c r="AH11" s="18" t="s">
        <v>115</v>
      </c>
      <c r="AI11" s="19" t="s">
        <v>116</v>
      </c>
      <c r="AJ11" s="17" t="s">
        <v>114</v>
      </c>
      <c r="AK11" s="18" t="s">
        <v>115</v>
      </c>
      <c r="AL11" s="19" t="s">
        <v>116</v>
      </c>
      <c r="AM11" s="17" t="s">
        <v>114</v>
      </c>
      <c r="AN11" s="18" t="s">
        <v>115</v>
      </c>
      <c r="AO11" s="19" t="s">
        <v>116</v>
      </c>
      <c r="AP11" s="181"/>
      <c r="AQ11" s="184"/>
      <c r="AS11" s="2"/>
    </row>
    <row r="12" spans="1:45" ht="18" customHeight="1" x14ac:dyDescent="0.2">
      <c r="A12" s="6"/>
      <c r="B12" s="11" t="s">
        <v>117</v>
      </c>
      <c r="C12" s="62">
        <v>523</v>
      </c>
      <c r="D12" s="63">
        <v>105</v>
      </c>
      <c r="E12" s="64">
        <v>630</v>
      </c>
      <c r="F12" s="70">
        <f t="shared" ref="F12:F31" si="0">G12+H12</f>
        <v>72</v>
      </c>
      <c r="G12" s="65">
        <v>27</v>
      </c>
      <c r="H12" s="66">
        <v>45</v>
      </c>
      <c r="I12" s="64">
        <f>J12+K12</f>
        <v>0</v>
      </c>
      <c r="J12" s="65"/>
      <c r="K12" s="66"/>
      <c r="L12" s="64">
        <f>M12+N12</f>
        <v>0</v>
      </c>
      <c r="M12" s="65"/>
      <c r="N12" s="66"/>
      <c r="O12" s="64">
        <f>P12+Q12</f>
        <v>0</v>
      </c>
      <c r="P12" s="65"/>
      <c r="Q12" s="66"/>
      <c r="R12" s="64">
        <f>S12+T12</f>
        <v>0</v>
      </c>
      <c r="S12" s="65"/>
      <c r="T12" s="66"/>
      <c r="U12" s="64">
        <f>V12+W12</f>
        <v>0</v>
      </c>
      <c r="V12" s="65"/>
      <c r="W12" s="66"/>
      <c r="X12" s="64">
        <f>Y12+Z12</f>
        <v>0</v>
      </c>
      <c r="Y12" s="65"/>
      <c r="Z12" s="66"/>
      <c r="AA12" s="64">
        <f>AB12+AC12</f>
        <v>0</v>
      </c>
      <c r="AB12" s="65"/>
      <c r="AC12" s="66"/>
      <c r="AD12" s="64">
        <f>AE12+AF12</f>
        <v>0</v>
      </c>
      <c r="AE12" s="65"/>
      <c r="AF12" s="66"/>
      <c r="AG12" s="64">
        <f>AH12+AI12</f>
        <v>0</v>
      </c>
      <c r="AH12" s="65"/>
      <c r="AI12" s="66"/>
      <c r="AJ12" s="64">
        <f>AK12+AL12</f>
        <v>0</v>
      </c>
      <c r="AK12" s="65"/>
      <c r="AL12" s="66"/>
      <c r="AM12" s="64">
        <f>AN12+AO12</f>
        <v>0</v>
      </c>
      <c r="AN12" s="65"/>
      <c r="AO12" s="66"/>
      <c r="AP12" s="63">
        <f>F12+L12+R12+X12+AD12+AJ12</f>
        <v>72</v>
      </c>
      <c r="AQ12" s="21">
        <f t="shared" ref="AQ12:AQ32" si="1">AP12/E12</f>
        <v>0.11428571428571428</v>
      </c>
    </row>
    <row r="13" spans="1:45" ht="18" customHeight="1" x14ac:dyDescent="0.2">
      <c r="A13" s="6"/>
      <c r="B13" s="12" t="s">
        <v>118</v>
      </c>
      <c r="C13" s="67">
        <v>1137</v>
      </c>
      <c r="D13" s="68">
        <v>305</v>
      </c>
      <c r="E13" s="69">
        <v>1436</v>
      </c>
      <c r="F13" s="70">
        <f t="shared" si="0"/>
        <v>219</v>
      </c>
      <c r="G13" s="71">
        <v>188</v>
      </c>
      <c r="H13" s="72">
        <v>31</v>
      </c>
      <c r="I13" s="70">
        <f t="shared" ref="I13:I31" si="2">J13+K13</f>
        <v>0</v>
      </c>
      <c r="J13" s="71"/>
      <c r="K13" s="72"/>
      <c r="L13" s="70">
        <f t="shared" ref="L13:L31" si="3">M13+N13</f>
        <v>0</v>
      </c>
      <c r="M13" s="71"/>
      <c r="N13" s="72"/>
      <c r="O13" s="70">
        <f t="shared" ref="O13:O31" si="4">P13+Q13</f>
        <v>0</v>
      </c>
      <c r="P13" s="71"/>
      <c r="Q13" s="72"/>
      <c r="R13" s="70">
        <f t="shared" ref="R13:R31" si="5">S13+T13</f>
        <v>0</v>
      </c>
      <c r="S13" s="71"/>
      <c r="T13" s="72"/>
      <c r="U13" s="70">
        <f t="shared" ref="U13:U31" si="6">V13+W13</f>
        <v>0</v>
      </c>
      <c r="V13" s="71"/>
      <c r="W13" s="72"/>
      <c r="X13" s="70">
        <f t="shared" ref="X13:X31" si="7">Y13+Z13</f>
        <v>0</v>
      </c>
      <c r="Y13" s="71"/>
      <c r="Z13" s="72"/>
      <c r="AA13" s="70">
        <f t="shared" ref="AA13:AA31" si="8">AB13+AC13</f>
        <v>0</v>
      </c>
      <c r="AB13" s="71"/>
      <c r="AC13" s="72"/>
      <c r="AD13" s="70">
        <f t="shared" ref="AD13:AD31" si="9">AE13+AF13</f>
        <v>0</v>
      </c>
      <c r="AE13" s="71"/>
      <c r="AF13" s="72"/>
      <c r="AG13" s="70">
        <f t="shared" ref="AG13:AG31" si="10">AH13+AI13</f>
        <v>0</v>
      </c>
      <c r="AH13" s="71"/>
      <c r="AI13" s="72"/>
      <c r="AJ13" s="70">
        <f t="shared" ref="AJ13:AJ31" si="11">AK13+AL13</f>
        <v>0</v>
      </c>
      <c r="AK13" s="71"/>
      <c r="AL13" s="72"/>
      <c r="AM13" s="70">
        <f t="shared" ref="AM13:AM31" si="12">AN13+AO13</f>
        <v>0</v>
      </c>
      <c r="AN13" s="71"/>
      <c r="AO13" s="72"/>
      <c r="AP13" s="68">
        <f t="shared" ref="AP13:AP31" si="13">F13+L13+R13+X13+AD13+AJ13</f>
        <v>219</v>
      </c>
      <c r="AQ13" s="20">
        <f t="shared" si="1"/>
        <v>0.15250696378830084</v>
      </c>
    </row>
    <row r="14" spans="1:45" ht="18" customHeight="1" x14ac:dyDescent="0.2">
      <c r="A14" s="6"/>
      <c r="B14" s="12" t="s">
        <v>119</v>
      </c>
      <c r="C14" s="67">
        <v>330</v>
      </c>
      <c r="D14" s="68">
        <v>95</v>
      </c>
      <c r="E14" s="69">
        <v>460</v>
      </c>
      <c r="F14" s="70">
        <f t="shared" si="0"/>
        <v>65</v>
      </c>
      <c r="G14" s="71">
        <v>14</v>
      </c>
      <c r="H14" s="72">
        <v>51</v>
      </c>
      <c r="I14" s="70">
        <f t="shared" si="2"/>
        <v>0</v>
      </c>
      <c r="J14" s="71"/>
      <c r="K14" s="72"/>
      <c r="L14" s="70">
        <f t="shared" si="3"/>
        <v>0</v>
      </c>
      <c r="M14" s="71"/>
      <c r="N14" s="72"/>
      <c r="O14" s="70">
        <f t="shared" si="4"/>
        <v>0</v>
      </c>
      <c r="P14" s="71"/>
      <c r="Q14" s="72"/>
      <c r="R14" s="70">
        <f t="shared" si="5"/>
        <v>0</v>
      </c>
      <c r="S14" s="71"/>
      <c r="T14" s="72"/>
      <c r="U14" s="70">
        <f t="shared" si="6"/>
        <v>0</v>
      </c>
      <c r="V14" s="71"/>
      <c r="W14" s="72"/>
      <c r="X14" s="70">
        <f t="shared" si="7"/>
        <v>0</v>
      </c>
      <c r="Y14" s="71"/>
      <c r="Z14" s="72"/>
      <c r="AA14" s="70">
        <f t="shared" si="8"/>
        <v>0</v>
      </c>
      <c r="AB14" s="71"/>
      <c r="AC14" s="72"/>
      <c r="AD14" s="70">
        <f t="shared" si="9"/>
        <v>0</v>
      </c>
      <c r="AE14" s="71"/>
      <c r="AF14" s="72"/>
      <c r="AG14" s="70">
        <f t="shared" si="10"/>
        <v>0</v>
      </c>
      <c r="AH14" s="71"/>
      <c r="AI14" s="72"/>
      <c r="AJ14" s="70">
        <f t="shared" si="11"/>
        <v>0</v>
      </c>
      <c r="AK14" s="71"/>
      <c r="AL14" s="72"/>
      <c r="AM14" s="70">
        <f t="shared" si="12"/>
        <v>0</v>
      </c>
      <c r="AN14" s="71"/>
      <c r="AO14" s="72"/>
      <c r="AP14" s="68">
        <f t="shared" si="13"/>
        <v>65</v>
      </c>
      <c r="AQ14" s="8">
        <f t="shared" si="1"/>
        <v>0.14130434782608695</v>
      </c>
    </row>
    <row r="15" spans="1:45" ht="18" customHeight="1" x14ac:dyDescent="0.2">
      <c r="A15" s="6"/>
      <c r="B15" s="12" t="s">
        <v>120</v>
      </c>
      <c r="C15" s="67">
        <v>104</v>
      </c>
      <c r="D15" s="68">
        <v>45</v>
      </c>
      <c r="E15" s="69">
        <v>180</v>
      </c>
      <c r="F15" s="70">
        <f t="shared" si="0"/>
        <v>57</v>
      </c>
      <c r="G15" s="71">
        <v>22</v>
      </c>
      <c r="H15" s="72">
        <v>35</v>
      </c>
      <c r="I15" s="70">
        <f t="shared" si="2"/>
        <v>48</v>
      </c>
      <c r="J15" s="71">
        <v>15</v>
      </c>
      <c r="K15" s="72">
        <v>33</v>
      </c>
      <c r="L15" s="70">
        <f t="shared" si="3"/>
        <v>0</v>
      </c>
      <c r="M15" s="71"/>
      <c r="N15" s="72"/>
      <c r="O15" s="70">
        <f t="shared" si="4"/>
        <v>0</v>
      </c>
      <c r="P15" s="71"/>
      <c r="Q15" s="72"/>
      <c r="R15" s="70">
        <f t="shared" si="5"/>
        <v>0</v>
      </c>
      <c r="S15" s="71"/>
      <c r="T15" s="72"/>
      <c r="U15" s="70">
        <f t="shared" si="6"/>
        <v>0</v>
      </c>
      <c r="V15" s="71"/>
      <c r="W15" s="72"/>
      <c r="X15" s="70">
        <f t="shared" si="7"/>
        <v>0</v>
      </c>
      <c r="Y15" s="71"/>
      <c r="Z15" s="72"/>
      <c r="AA15" s="70">
        <f t="shared" si="8"/>
        <v>0</v>
      </c>
      <c r="AB15" s="71"/>
      <c r="AC15" s="72"/>
      <c r="AD15" s="70">
        <f t="shared" si="9"/>
        <v>0</v>
      </c>
      <c r="AE15" s="71"/>
      <c r="AF15" s="72"/>
      <c r="AG15" s="70">
        <f t="shared" si="10"/>
        <v>0</v>
      </c>
      <c r="AH15" s="71"/>
      <c r="AI15" s="72"/>
      <c r="AJ15" s="70">
        <f t="shared" si="11"/>
        <v>0</v>
      </c>
      <c r="AK15" s="71"/>
      <c r="AL15" s="72"/>
      <c r="AM15" s="70">
        <f t="shared" si="12"/>
        <v>0</v>
      </c>
      <c r="AN15" s="71"/>
      <c r="AO15" s="72"/>
      <c r="AP15" s="68">
        <f t="shared" si="13"/>
        <v>57</v>
      </c>
      <c r="AQ15" s="8">
        <f t="shared" si="1"/>
        <v>0.31666666666666665</v>
      </c>
    </row>
    <row r="16" spans="1:45" ht="18" customHeight="1" x14ac:dyDescent="0.2">
      <c r="A16" s="6"/>
      <c r="B16" s="12" t="s">
        <v>121</v>
      </c>
      <c r="C16" s="67">
        <v>256</v>
      </c>
      <c r="D16" s="68">
        <v>65</v>
      </c>
      <c r="E16" s="69">
        <v>260</v>
      </c>
      <c r="F16" s="70">
        <f t="shared" si="0"/>
        <v>47</v>
      </c>
      <c r="G16" s="71">
        <v>16</v>
      </c>
      <c r="H16" s="72">
        <v>31</v>
      </c>
      <c r="I16" s="70">
        <f t="shared" si="2"/>
        <v>45</v>
      </c>
      <c r="J16" s="71">
        <v>16</v>
      </c>
      <c r="K16" s="72">
        <v>29</v>
      </c>
      <c r="L16" s="70">
        <f t="shared" si="3"/>
        <v>0</v>
      </c>
      <c r="M16" s="71"/>
      <c r="N16" s="72"/>
      <c r="O16" s="70">
        <f t="shared" si="4"/>
        <v>0</v>
      </c>
      <c r="P16" s="71"/>
      <c r="Q16" s="72"/>
      <c r="R16" s="70">
        <f t="shared" si="5"/>
        <v>0</v>
      </c>
      <c r="S16" s="71"/>
      <c r="T16" s="72"/>
      <c r="U16" s="70">
        <f t="shared" si="6"/>
        <v>0</v>
      </c>
      <c r="V16" s="71"/>
      <c r="W16" s="72"/>
      <c r="X16" s="70">
        <f t="shared" si="7"/>
        <v>0</v>
      </c>
      <c r="Y16" s="71"/>
      <c r="Z16" s="72"/>
      <c r="AA16" s="70">
        <f t="shared" si="8"/>
        <v>0</v>
      </c>
      <c r="AB16" s="71"/>
      <c r="AC16" s="72"/>
      <c r="AD16" s="70">
        <f t="shared" si="9"/>
        <v>0</v>
      </c>
      <c r="AE16" s="71"/>
      <c r="AF16" s="72"/>
      <c r="AG16" s="70">
        <f t="shared" si="10"/>
        <v>0</v>
      </c>
      <c r="AH16" s="71"/>
      <c r="AI16" s="72"/>
      <c r="AJ16" s="70">
        <f t="shared" si="11"/>
        <v>0</v>
      </c>
      <c r="AK16" s="71"/>
      <c r="AL16" s="72"/>
      <c r="AM16" s="70">
        <f t="shared" si="12"/>
        <v>0</v>
      </c>
      <c r="AN16" s="71"/>
      <c r="AO16" s="72"/>
      <c r="AP16" s="68">
        <f t="shared" si="13"/>
        <v>47</v>
      </c>
      <c r="AQ16" s="8">
        <f t="shared" si="1"/>
        <v>0.18076923076923077</v>
      </c>
    </row>
    <row r="17" spans="1:43" ht="18" customHeight="1" x14ac:dyDescent="0.2">
      <c r="A17" s="6"/>
      <c r="B17" s="12"/>
      <c r="C17" s="67"/>
      <c r="D17" s="68"/>
      <c r="E17" s="69"/>
      <c r="F17" s="70">
        <f t="shared" si="0"/>
        <v>0</v>
      </c>
      <c r="G17" s="71"/>
      <c r="H17" s="72"/>
      <c r="I17" s="70">
        <f t="shared" si="2"/>
        <v>0</v>
      </c>
      <c r="J17" s="71"/>
      <c r="K17" s="72"/>
      <c r="L17" s="70">
        <f t="shared" si="3"/>
        <v>0</v>
      </c>
      <c r="M17" s="71"/>
      <c r="N17" s="72"/>
      <c r="O17" s="70">
        <f t="shared" si="4"/>
        <v>0</v>
      </c>
      <c r="P17" s="71"/>
      <c r="Q17" s="72"/>
      <c r="R17" s="70">
        <f t="shared" si="5"/>
        <v>0</v>
      </c>
      <c r="S17" s="71"/>
      <c r="T17" s="72"/>
      <c r="U17" s="70">
        <f t="shared" si="6"/>
        <v>0</v>
      </c>
      <c r="V17" s="71"/>
      <c r="W17" s="72"/>
      <c r="X17" s="70">
        <f t="shared" si="7"/>
        <v>0</v>
      </c>
      <c r="Y17" s="71"/>
      <c r="Z17" s="72"/>
      <c r="AA17" s="70">
        <f t="shared" si="8"/>
        <v>0</v>
      </c>
      <c r="AB17" s="71"/>
      <c r="AC17" s="72"/>
      <c r="AD17" s="70">
        <f t="shared" si="9"/>
        <v>0</v>
      </c>
      <c r="AE17" s="71"/>
      <c r="AF17" s="72"/>
      <c r="AG17" s="70">
        <f t="shared" si="10"/>
        <v>0</v>
      </c>
      <c r="AH17" s="71"/>
      <c r="AI17" s="72"/>
      <c r="AJ17" s="70">
        <f t="shared" si="11"/>
        <v>0</v>
      </c>
      <c r="AK17" s="71"/>
      <c r="AL17" s="72"/>
      <c r="AM17" s="70">
        <f t="shared" si="12"/>
        <v>0</v>
      </c>
      <c r="AN17" s="71"/>
      <c r="AO17" s="72"/>
      <c r="AP17" s="68">
        <f t="shared" si="13"/>
        <v>0</v>
      </c>
      <c r="AQ17" s="8" t="e">
        <f t="shared" si="1"/>
        <v>#DIV/0!</v>
      </c>
    </row>
    <row r="18" spans="1:43" ht="18" customHeight="1" x14ac:dyDescent="0.2">
      <c r="A18" s="6"/>
      <c r="B18" s="12"/>
      <c r="C18" s="67"/>
      <c r="D18" s="68"/>
      <c r="E18" s="69"/>
      <c r="F18" s="70">
        <f t="shared" si="0"/>
        <v>0</v>
      </c>
      <c r="G18" s="71"/>
      <c r="H18" s="72"/>
      <c r="I18" s="70">
        <f t="shared" si="2"/>
        <v>0</v>
      </c>
      <c r="J18" s="71"/>
      <c r="K18" s="72"/>
      <c r="L18" s="70">
        <f t="shared" si="3"/>
        <v>0</v>
      </c>
      <c r="M18" s="71"/>
      <c r="N18" s="72"/>
      <c r="O18" s="70">
        <f t="shared" si="4"/>
        <v>0</v>
      </c>
      <c r="P18" s="71"/>
      <c r="Q18" s="72"/>
      <c r="R18" s="70">
        <f t="shared" si="5"/>
        <v>0</v>
      </c>
      <c r="S18" s="71"/>
      <c r="T18" s="72"/>
      <c r="U18" s="70">
        <f t="shared" si="6"/>
        <v>0</v>
      </c>
      <c r="V18" s="71"/>
      <c r="W18" s="72"/>
      <c r="X18" s="70">
        <f t="shared" si="7"/>
        <v>0</v>
      </c>
      <c r="Y18" s="71"/>
      <c r="Z18" s="72"/>
      <c r="AA18" s="70">
        <f t="shared" si="8"/>
        <v>0</v>
      </c>
      <c r="AB18" s="71"/>
      <c r="AC18" s="72"/>
      <c r="AD18" s="70">
        <f t="shared" si="9"/>
        <v>0</v>
      </c>
      <c r="AE18" s="71"/>
      <c r="AF18" s="72"/>
      <c r="AG18" s="70">
        <f t="shared" si="10"/>
        <v>0</v>
      </c>
      <c r="AH18" s="71"/>
      <c r="AI18" s="72"/>
      <c r="AJ18" s="70">
        <f t="shared" si="11"/>
        <v>0</v>
      </c>
      <c r="AK18" s="71"/>
      <c r="AL18" s="72"/>
      <c r="AM18" s="70">
        <f t="shared" si="12"/>
        <v>0</v>
      </c>
      <c r="AN18" s="71"/>
      <c r="AO18" s="72"/>
      <c r="AP18" s="68">
        <f t="shared" si="13"/>
        <v>0</v>
      </c>
      <c r="AQ18" s="8" t="e">
        <f t="shared" si="1"/>
        <v>#DIV/0!</v>
      </c>
    </row>
    <row r="19" spans="1:43" ht="18" customHeight="1" x14ac:dyDescent="0.2">
      <c r="A19" s="6"/>
      <c r="B19" s="12"/>
      <c r="C19" s="67"/>
      <c r="D19" s="68"/>
      <c r="E19" s="69"/>
      <c r="F19" s="70">
        <f t="shared" si="0"/>
        <v>0</v>
      </c>
      <c r="G19" s="71"/>
      <c r="H19" s="72"/>
      <c r="I19" s="70">
        <f t="shared" si="2"/>
        <v>0</v>
      </c>
      <c r="J19" s="71"/>
      <c r="K19" s="72"/>
      <c r="L19" s="70">
        <f t="shared" si="3"/>
        <v>0</v>
      </c>
      <c r="M19" s="71"/>
      <c r="N19" s="72"/>
      <c r="O19" s="70">
        <f t="shared" si="4"/>
        <v>0</v>
      </c>
      <c r="P19" s="71"/>
      <c r="Q19" s="72"/>
      <c r="R19" s="70">
        <f t="shared" si="5"/>
        <v>0</v>
      </c>
      <c r="S19" s="71"/>
      <c r="T19" s="72"/>
      <c r="U19" s="70">
        <f t="shared" si="6"/>
        <v>0</v>
      </c>
      <c r="V19" s="71"/>
      <c r="W19" s="72"/>
      <c r="X19" s="70">
        <f t="shared" si="7"/>
        <v>0</v>
      </c>
      <c r="Y19" s="71"/>
      <c r="Z19" s="72"/>
      <c r="AA19" s="70">
        <f t="shared" si="8"/>
        <v>0</v>
      </c>
      <c r="AB19" s="71"/>
      <c r="AC19" s="72"/>
      <c r="AD19" s="70">
        <f t="shared" si="9"/>
        <v>0</v>
      </c>
      <c r="AE19" s="71"/>
      <c r="AF19" s="72"/>
      <c r="AG19" s="70">
        <f t="shared" si="10"/>
        <v>0</v>
      </c>
      <c r="AH19" s="71"/>
      <c r="AI19" s="72"/>
      <c r="AJ19" s="70">
        <f t="shared" si="11"/>
        <v>0</v>
      </c>
      <c r="AK19" s="71"/>
      <c r="AL19" s="72"/>
      <c r="AM19" s="70">
        <f t="shared" si="12"/>
        <v>0</v>
      </c>
      <c r="AN19" s="71"/>
      <c r="AO19" s="72"/>
      <c r="AP19" s="68">
        <f t="shared" si="13"/>
        <v>0</v>
      </c>
      <c r="AQ19" s="8" t="e">
        <f t="shared" si="1"/>
        <v>#DIV/0!</v>
      </c>
    </row>
    <row r="20" spans="1:43" ht="18" customHeight="1" x14ac:dyDescent="0.2">
      <c r="A20" s="6"/>
      <c r="B20" s="12"/>
      <c r="C20" s="67"/>
      <c r="D20" s="68"/>
      <c r="E20" s="69"/>
      <c r="F20" s="70">
        <f t="shared" si="0"/>
        <v>0</v>
      </c>
      <c r="G20" s="71"/>
      <c r="H20" s="72"/>
      <c r="I20" s="70">
        <f t="shared" si="2"/>
        <v>0</v>
      </c>
      <c r="J20" s="71"/>
      <c r="K20" s="72"/>
      <c r="L20" s="70">
        <f t="shared" si="3"/>
        <v>0</v>
      </c>
      <c r="M20" s="71"/>
      <c r="N20" s="72"/>
      <c r="O20" s="70">
        <f t="shared" si="4"/>
        <v>0</v>
      </c>
      <c r="P20" s="71"/>
      <c r="Q20" s="72"/>
      <c r="R20" s="70">
        <f t="shared" si="5"/>
        <v>0</v>
      </c>
      <c r="S20" s="71"/>
      <c r="T20" s="72"/>
      <c r="U20" s="70">
        <f t="shared" si="6"/>
        <v>0</v>
      </c>
      <c r="V20" s="71"/>
      <c r="W20" s="72"/>
      <c r="X20" s="70">
        <f t="shared" si="7"/>
        <v>0</v>
      </c>
      <c r="Y20" s="71"/>
      <c r="Z20" s="72"/>
      <c r="AA20" s="70">
        <f t="shared" si="8"/>
        <v>0</v>
      </c>
      <c r="AB20" s="71"/>
      <c r="AC20" s="72"/>
      <c r="AD20" s="70">
        <f t="shared" si="9"/>
        <v>0</v>
      </c>
      <c r="AE20" s="71"/>
      <c r="AF20" s="72"/>
      <c r="AG20" s="70">
        <f t="shared" si="10"/>
        <v>0</v>
      </c>
      <c r="AH20" s="71"/>
      <c r="AI20" s="72"/>
      <c r="AJ20" s="70">
        <f t="shared" si="11"/>
        <v>0</v>
      </c>
      <c r="AK20" s="71"/>
      <c r="AL20" s="72"/>
      <c r="AM20" s="70">
        <f t="shared" si="12"/>
        <v>0</v>
      </c>
      <c r="AN20" s="71"/>
      <c r="AO20" s="72"/>
      <c r="AP20" s="68">
        <f t="shared" si="13"/>
        <v>0</v>
      </c>
      <c r="AQ20" s="8" t="e">
        <f t="shared" si="1"/>
        <v>#DIV/0!</v>
      </c>
    </row>
    <row r="21" spans="1:43" ht="18" customHeight="1" x14ac:dyDescent="0.2">
      <c r="A21" s="6"/>
      <c r="B21" s="12"/>
      <c r="C21" s="67"/>
      <c r="D21" s="68"/>
      <c r="E21" s="69"/>
      <c r="F21" s="70">
        <f t="shared" si="0"/>
        <v>0</v>
      </c>
      <c r="G21" s="71"/>
      <c r="H21" s="72"/>
      <c r="I21" s="70">
        <f t="shared" si="2"/>
        <v>0</v>
      </c>
      <c r="J21" s="71"/>
      <c r="K21" s="72"/>
      <c r="L21" s="70">
        <f t="shared" si="3"/>
        <v>0</v>
      </c>
      <c r="M21" s="71"/>
      <c r="N21" s="72"/>
      <c r="O21" s="70">
        <f t="shared" si="4"/>
        <v>0</v>
      </c>
      <c r="P21" s="71"/>
      <c r="Q21" s="72"/>
      <c r="R21" s="70">
        <f t="shared" si="5"/>
        <v>0</v>
      </c>
      <c r="S21" s="71"/>
      <c r="T21" s="72"/>
      <c r="U21" s="70">
        <f t="shared" si="6"/>
        <v>0</v>
      </c>
      <c r="V21" s="71"/>
      <c r="W21" s="72"/>
      <c r="X21" s="70">
        <f t="shared" si="7"/>
        <v>0</v>
      </c>
      <c r="Y21" s="71"/>
      <c r="Z21" s="72"/>
      <c r="AA21" s="70">
        <f t="shared" si="8"/>
        <v>0</v>
      </c>
      <c r="AB21" s="71"/>
      <c r="AC21" s="72"/>
      <c r="AD21" s="70">
        <f t="shared" si="9"/>
        <v>0</v>
      </c>
      <c r="AE21" s="71"/>
      <c r="AF21" s="72"/>
      <c r="AG21" s="70">
        <f t="shared" si="10"/>
        <v>0</v>
      </c>
      <c r="AH21" s="71"/>
      <c r="AI21" s="72"/>
      <c r="AJ21" s="70">
        <f t="shared" si="11"/>
        <v>0</v>
      </c>
      <c r="AK21" s="71"/>
      <c r="AL21" s="72"/>
      <c r="AM21" s="70">
        <f t="shared" si="12"/>
        <v>0</v>
      </c>
      <c r="AN21" s="71"/>
      <c r="AO21" s="72"/>
      <c r="AP21" s="68">
        <f t="shared" si="13"/>
        <v>0</v>
      </c>
      <c r="AQ21" s="8" t="e">
        <f t="shared" si="1"/>
        <v>#DIV/0!</v>
      </c>
    </row>
    <row r="22" spans="1:43" ht="18" customHeight="1" x14ac:dyDescent="0.2">
      <c r="A22" s="6"/>
      <c r="B22" s="12"/>
      <c r="C22" s="67"/>
      <c r="D22" s="68"/>
      <c r="E22" s="69"/>
      <c r="F22" s="70">
        <f t="shared" si="0"/>
        <v>0</v>
      </c>
      <c r="G22" s="71"/>
      <c r="H22" s="72"/>
      <c r="I22" s="70">
        <f t="shared" si="2"/>
        <v>0</v>
      </c>
      <c r="J22" s="71"/>
      <c r="K22" s="72"/>
      <c r="L22" s="70">
        <f t="shared" si="3"/>
        <v>0</v>
      </c>
      <c r="M22" s="71"/>
      <c r="N22" s="72"/>
      <c r="O22" s="70">
        <f t="shared" si="4"/>
        <v>0</v>
      </c>
      <c r="P22" s="71"/>
      <c r="Q22" s="72"/>
      <c r="R22" s="70">
        <f t="shared" si="5"/>
        <v>0</v>
      </c>
      <c r="S22" s="71"/>
      <c r="T22" s="72"/>
      <c r="U22" s="70">
        <f t="shared" si="6"/>
        <v>0</v>
      </c>
      <c r="V22" s="71"/>
      <c r="W22" s="72"/>
      <c r="X22" s="70">
        <f t="shared" si="7"/>
        <v>0</v>
      </c>
      <c r="Y22" s="71"/>
      <c r="Z22" s="72"/>
      <c r="AA22" s="70">
        <f t="shared" si="8"/>
        <v>0</v>
      </c>
      <c r="AB22" s="71"/>
      <c r="AC22" s="72"/>
      <c r="AD22" s="70">
        <f t="shared" si="9"/>
        <v>0</v>
      </c>
      <c r="AE22" s="71"/>
      <c r="AF22" s="72"/>
      <c r="AG22" s="70">
        <f t="shared" si="10"/>
        <v>0</v>
      </c>
      <c r="AH22" s="71"/>
      <c r="AI22" s="72"/>
      <c r="AJ22" s="70">
        <f t="shared" si="11"/>
        <v>0</v>
      </c>
      <c r="AK22" s="71"/>
      <c r="AL22" s="72"/>
      <c r="AM22" s="70">
        <f t="shared" si="12"/>
        <v>0</v>
      </c>
      <c r="AN22" s="71"/>
      <c r="AO22" s="72"/>
      <c r="AP22" s="68">
        <f t="shared" si="13"/>
        <v>0</v>
      </c>
      <c r="AQ22" s="8" t="e">
        <f t="shared" si="1"/>
        <v>#DIV/0!</v>
      </c>
    </row>
    <row r="23" spans="1:43" ht="18" customHeight="1" x14ac:dyDescent="0.2">
      <c r="A23" s="6"/>
      <c r="B23" s="12"/>
      <c r="C23" s="67"/>
      <c r="D23" s="68"/>
      <c r="E23" s="69"/>
      <c r="F23" s="70">
        <f t="shared" si="0"/>
        <v>0</v>
      </c>
      <c r="G23" s="71"/>
      <c r="H23" s="72"/>
      <c r="I23" s="70">
        <f t="shared" si="2"/>
        <v>0</v>
      </c>
      <c r="J23" s="71"/>
      <c r="K23" s="72"/>
      <c r="L23" s="70">
        <f t="shared" si="3"/>
        <v>0</v>
      </c>
      <c r="M23" s="71"/>
      <c r="N23" s="72"/>
      <c r="O23" s="70">
        <f t="shared" si="4"/>
        <v>0</v>
      </c>
      <c r="P23" s="71"/>
      <c r="Q23" s="72"/>
      <c r="R23" s="70">
        <f t="shared" si="5"/>
        <v>0</v>
      </c>
      <c r="S23" s="71"/>
      <c r="T23" s="72"/>
      <c r="U23" s="70">
        <f t="shared" si="6"/>
        <v>0</v>
      </c>
      <c r="V23" s="71"/>
      <c r="W23" s="72"/>
      <c r="X23" s="70">
        <f t="shared" si="7"/>
        <v>0</v>
      </c>
      <c r="Y23" s="71"/>
      <c r="Z23" s="72"/>
      <c r="AA23" s="70">
        <f t="shared" si="8"/>
        <v>0</v>
      </c>
      <c r="AB23" s="71"/>
      <c r="AC23" s="72"/>
      <c r="AD23" s="70">
        <f t="shared" si="9"/>
        <v>0</v>
      </c>
      <c r="AE23" s="71"/>
      <c r="AF23" s="72"/>
      <c r="AG23" s="70">
        <f t="shared" si="10"/>
        <v>0</v>
      </c>
      <c r="AH23" s="71"/>
      <c r="AI23" s="72"/>
      <c r="AJ23" s="70">
        <f t="shared" si="11"/>
        <v>0</v>
      </c>
      <c r="AK23" s="71"/>
      <c r="AL23" s="72"/>
      <c r="AM23" s="70">
        <f t="shared" si="12"/>
        <v>0</v>
      </c>
      <c r="AN23" s="71"/>
      <c r="AO23" s="72"/>
      <c r="AP23" s="68">
        <f t="shared" si="13"/>
        <v>0</v>
      </c>
      <c r="AQ23" s="8" t="e">
        <f t="shared" si="1"/>
        <v>#DIV/0!</v>
      </c>
    </row>
    <row r="24" spans="1:43" ht="18" customHeight="1" x14ac:dyDescent="0.2">
      <c r="A24" s="6"/>
      <c r="B24" s="12"/>
      <c r="C24" s="67"/>
      <c r="D24" s="68"/>
      <c r="E24" s="69"/>
      <c r="F24" s="70">
        <f t="shared" si="0"/>
        <v>0</v>
      </c>
      <c r="G24" s="71"/>
      <c r="H24" s="72"/>
      <c r="I24" s="70">
        <f t="shared" si="2"/>
        <v>0</v>
      </c>
      <c r="J24" s="71"/>
      <c r="K24" s="72"/>
      <c r="L24" s="70">
        <f t="shared" si="3"/>
        <v>0</v>
      </c>
      <c r="M24" s="71"/>
      <c r="N24" s="72"/>
      <c r="O24" s="70">
        <f t="shared" si="4"/>
        <v>0</v>
      </c>
      <c r="P24" s="71"/>
      <c r="Q24" s="72"/>
      <c r="R24" s="70">
        <f t="shared" si="5"/>
        <v>0</v>
      </c>
      <c r="S24" s="71"/>
      <c r="T24" s="72"/>
      <c r="U24" s="70">
        <f t="shared" si="6"/>
        <v>0</v>
      </c>
      <c r="V24" s="71"/>
      <c r="W24" s="72"/>
      <c r="X24" s="70">
        <f t="shared" si="7"/>
        <v>0</v>
      </c>
      <c r="Y24" s="71"/>
      <c r="Z24" s="72"/>
      <c r="AA24" s="70">
        <f t="shared" si="8"/>
        <v>0</v>
      </c>
      <c r="AB24" s="71"/>
      <c r="AC24" s="72"/>
      <c r="AD24" s="70">
        <f t="shared" si="9"/>
        <v>0</v>
      </c>
      <c r="AE24" s="71"/>
      <c r="AF24" s="72"/>
      <c r="AG24" s="70">
        <f t="shared" si="10"/>
        <v>0</v>
      </c>
      <c r="AH24" s="71"/>
      <c r="AI24" s="72"/>
      <c r="AJ24" s="70">
        <f t="shared" si="11"/>
        <v>0</v>
      </c>
      <c r="AK24" s="71"/>
      <c r="AL24" s="72"/>
      <c r="AM24" s="70">
        <f t="shared" si="12"/>
        <v>0</v>
      </c>
      <c r="AN24" s="71"/>
      <c r="AO24" s="72"/>
      <c r="AP24" s="68">
        <f t="shared" si="13"/>
        <v>0</v>
      </c>
      <c r="AQ24" s="8" t="e">
        <f t="shared" si="1"/>
        <v>#DIV/0!</v>
      </c>
    </row>
    <row r="25" spans="1:43" ht="18" customHeight="1" x14ac:dyDescent="0.2">
      <c r="A25" s="6"/>
      <c r="B25" s="12"/>
      <c r="C25" s="67"/>
      <c r="D25" s="68"/>
      <c r="E25" s="69"/>
      <c r="F25" s="70">
        <f t="shared" si="0"/>
        <v>0</v>
      </c>
      <c r="G25" s="71"/>
      <c r="H25" s="72"/>
      <c r="I25" s="70">
        <f t="shared" si="2"/>
        <v>0</v>
      </c>
      <c r="J25" s="71"/>
      <c r="K25" s="72"/>
      <c r="L25" s="70">
        <f t="shared" si="3"/>
        <v>0</v>
      </c>
      <c r="M25" s="71"/>
      <c r="N25" s="72"/>
      <c r="O25" s="70">
        <f t="shared" si="4"/>
        <v>0</v>
      </c>
      <c r="P25" s="71"/>
      <c r="Q25" s="72"/>
      <c r="R25" s="70">
        <f t="shared" si="5"/>
        <v>0</v>
      </c>
      <c r="S25" s="71"/>
      <c r="T25" s="72"/>
      <c r="U25" s="70">
        <f t="shared" si="6"/>
        <v>0</v>
      </c>
      <c r="V25" s="71"/>
      <c r="W25" s="72"/>
      <c r="X25" s="70">
        <f t="shared" si="7"/>
        <v>0</v>
      </c>
      <c r="Y25" s="71"/>
      <c r="Z25" s="72"/>
      <c r="AA25" s="70">
        <f t="shared" si="8"/>
        <v>0</v>
      </c>
      <c r="AB25" s="71"/>
      <c r="AC25" s="72"/>
      <c r="AD25" s="70">
        <f t="shared" si="9"/>
        <v>0</v>
      </c>
      <c r="AE25" s="71"/>
      <c r="AF25" s="72"/>
      <c r="AG25" s="70">
        <f t="shared" si="10"/>
        <v>0</v>
      </c>
      <c r="AH25" s="71"/>
      <c r="AI25" s="72"/>
      <c r="AJ25" s="70">
        <f t="shared" si="11"/>
        <v>0</v>
      </c>
      <c r="AK25" s="71"/>
      <c r="AL25" s="72"/>
      <c r="AM25" s="70">
        <f t="shared" si="12"/>
        <v>0</v>
      </c>
      <c r="AN25" s="71"/>
      <c r="AO25" s="72"/>
      <c r="AP25" s="68">
        <f t="shared" si="13"/>
        <v>0</v>
      </c>
      <c r="AQ25" s="8" t="e">
        <f t="shared" si="1"/>
        <v>#DIV/0!</v>
      </c>
    </row>
    <row r="26" spans="1:43" ht="18" customHeight="1" x14ac:dyDescent="0.2">
      <c r="A26" s="6"/>
      <c r="B26" s="12"/>
      <c r="C26" s="67"/>
      <c r="D26" s="68"/>
      <c r="E26" s="69"/>
      <c r="F26" s="70">
        <f t="shared" si="0"/>
        <v>0</v>
      </c>
      <c r="G26" s="71"/>
      <c r="H26" s="72"/>
      <c r="I26" s="70">
        <f t="shared" si="2"/>
        <v>0</v>
      </c>
      <c r="J26" s="71"/>
      <c r="K26" s="72"/>
      <c r="L26" s="70">
        <f t="shared" si="3"/>
        <v>0</v>
      </c>
      <c r="M26" s="71"/>
      <c r="N26" s="72"/>
      <c r="O26" s="70">
        <f t="shared" si="4"/>
        <v>0</v>
      </c>
      <c r="P26" s="71"/>
      <c r="Q26" s="72"/>
      <c r="R26" s="70">
        <f t="shared" si="5"/>
        <v>0</v>
      </c>
      <c r="S26" s="71"/>
      <c r="T26" s="72"/>
      <c r="U26" s="70">
        <f t="shared" si="6"/>
        <v>0</v>
      </c>
      <c r="V26" s="71"/>
      <c r="W26" s="72"/>
      <c r="X26" s="70">
        <f t="shared" si="7"/>
        <v>0</v>
      </c>
      <c r="Y26" s="71"/>
      <c r="Z26" s="72"/>
      <c r="AA26" s="70">
        <f t="shared" si="8"/>
        <v>0</v>
      </c>
      <c r="AB26" s="71"/>
      <c r="AC26" s="72"/>
      <c r="AD26" s="70">
        <f t="shared" si="9"/>
        <v>0</v>
      </c>
      <c r="AE26" s="71"/>
      <c r="AF26" s="72"/>
      <c r="AG26" s="70">
        <f t="shared" si="10"/>
        <v>0</v>
      </c>
      <c r="AH26" s="71"/>
      <c r="AI26" s="72"/>
      <c r="AJ26" s="70">
        <f t="shared" si="11"/>
        <v>0</v>
      </c>
      <c r="AK26" s="71"/>
      <c r="AL26" s="72"/>
      <c r="AM26" s="70">
        <f t="shared" si="12"/>
        <v>0</v>
      </c>
      <c r="AN26" s="71"/>
      <c r="AO26" s="72"/>
      <c r="AP26" s="68">
        <f t="shared" si="13"/>
        <v>0</v>
      </c>
      <c r="AQ26" s="8" t="e">
        <f t="shared" si="1"/>
        <v>#DIV/0!</v>
      </c>
    </row>
    <row r="27" spans="1:43" ht="18" customHeight="1" x14ac:dyDescent="0.2">
      <c r="A27" s="6"/>
      <c r="B27" s="12"/>
      <c r="C27" s="67"/>
      <c r="D27" s="68"/>
      <c r="E27" s="69"/>
      <c r="F27" s="70">
        <f t="shared" si="0"/>
        <v>0</v>
      </c>
      <c r="G27" s="71"/>
      <c r="H27" s="72"/>
      <c r="I27" s="70">
        <f t="shared" si="2"/>
        <v>0</v>
      </c>
      <c r="J27" s="71"/>
      <c r="K27" s="72"/>
      <c r="L27" s="70">
        <f t="shared" si="3"/>
        <v>0</v>
      </c>
      <c r="M27" s="71"/>
      <c r="N27" s="72"/>
      <c r="O27" s="70">
        <f t="shared" si="4"/>
        <v>0</v>
      </c>
      <c r="P27" s="71"/>
      <c r="Q27" s="72"/>
      <c r="R27" s="70">
        <f t="shared" si="5"/>
        <v>0</v>
      </c>
      <c r="S27" s="71"/>
      <c r="T27" s="72"/>
      <c r="U27" s="70">
        <f t="shared" si="6"/>
        <v>0</v>
      </c>
      <c r="V27" s="71"/>
      <c r="W27" s="72"/>
      <c r="X27" s="70">
        <f t="shared" si="7"/>
        <v>0</v>
      </c>
      <c r="Y27" s="71"/>
      <c r="Z27" s="72"/>
      <c r="AA27" s="70">
        <f t="shared" si="8"/>
        <v>0</v>
      </c>
      <c r="AB27" s="71"/>
      <c r="AC27" s="72"/>
      <c r="AD27" s="70">
        <f t="shared" si="9"/>
        <v>0</v>
      </c>
      <c r="AE27" s="71"/>
      <c r="AF27" s="72"/>
      <c r="AG27" s="70">
        <f t="shared" si="10"/>
        <v>0</v>
      </c>
      <c r="AH27" s="71"/>
      <c r="AI27" s="72"/>
      <c r="AJ27" s="70">
        <f t="shared" si="11"/>
        <v>0</v>
      </c>
      <c r="AK27" s="71"/>
      <c r="AL27" s="72"/>
      <c r="AM27" s="70">
        <f t="shared" si="12"/>
        <v>0</v>
      </c>
      <c r="AN27" s="71"/>
      <c r="AO27" s="72"/>
      <c r="AP27" s="68">
        <f t="shared" si="13"/>
        <v>0</v>
      </c>
      <c r="AQ27" s="8" t="e">
        <f t="shared" si="1"/>
        <v>#DIV/0!</v>
      </c>
    </row>
    <row r="28" spans="1:43" ht="18" customHeight="1" x14ac:dyDescent="0.2">
      <c r="A28" s="6"/>
      <c r="B28" s="12"/>
      <c r="C28" s="67"/>
      <c r="D28" s="68"/>
      <c r="E28" s="69"/>
      <c r="F28" s="70">
        <f t="shared" si="0"/>
        <v>0</v>
      </c>
      <c r="G28" s="71"/>
      <c r="H28" s="72"/>
      <c r="I28" s="70">
        <f t="shared" si="2"/>
        <v>0</v>
      </c>
      <c r="J28" s="71"/>
      <c r="K28" s="72"/>
      <c r="L28" s="70">
        <f t="shared" si="3"/>
        <v>0</v>
      </c>
      <c r="M28" s="71"/>
      <c r="N28" s="72"/>
      <c r="O28" s="70">
        <f t="shared" si="4"/>
        <v>0</v>
      </c>
      <c r="P28" s="71"/>
      <c r="Q28" s="72"/>
      <c r="R28" s="70">
        <f t="shared" si="5"/>
        <v>0</v>
      </c>
      <c r="S28" s="71"/>
      <c r="T28" s="72"/>
      <c r="U28" s="70">
        <f t="shared" si="6"/>
        <v>0</v>
      </c>
      <c r="V28" s="71"/>
      <c r="W28" s="72"/>
      <c r="X28" s="70">
        <f t="shared" si="7"/>
        <v>0</v>
      </c>
      <c r="Y28" s="71"/>
      <c r="Z28" s="72"/>
      <c r="AA28" s="70">
        <f t="shared" si="8"/>
        <v>0</v>
      </c>
      <c r="AB28" s="71"/>
      <c r="AC28" s="72"/>
      <c r="AD28" s="70">
        <f t="shared" si="9"/>
        <v>0</v>
      </c>
      <c r="AE28" s="71"/>
      <c r="AF28" s="72"/>
      <c r="AG28" s="70">
        <f t="shared" si="10"/>
        <v>0</v>
      </c>
      <c r="AH28" s="71"/>
      <c r="AI28" s="72"/>
      <c r="AJ28" s="70">
        <f t="shared" si="11"/>
        <v>0</v>
      </c>
      <c r="AK28" s="71"/>
      <c r="AL28" s="72"/>
      <c r="AM28" s="70">
        <f t="shared" si="12"/>
        <v>0</v>
      </c>
      <c r="AN28" s="71"/>
      <c r="AO28" s="72"/>
      <c r="AP28" s="68">
        <f t="shared" si="13"/>
        <v>0</v>
      </c>
      <c r="AQ28" s="8" t="e">
        <f t="shared" si="1"/>
        <v>#DIV/0!</v>
      </c>
    </row>
    <row r="29" spans="1:43" ht="18" customHeight="1" x14ac:dyDescent="0.2">
      <c r="A29" s="6"/>
      <c r="B29" s="12"/>
      <c r="C29" s="67"/>
      <c r="D29" s="73"/>
      <c r="E29" s="69"/>
      <c r="F29" s="70">
        <f t="shared" si="0"/>
        <v>0</v>
      </c>
      <c r="G29" s="71"/>
      <c r="H29" s="72"/>
      <c r="I29" s="70">
        <f t="shared" si="2"/>
        <v>0</v>
      </c>
      <c r="J29" s="71"/>
      <c r="K29" s="72"/>
      <c r="L29" s="70">
        <f t="shared" si="3"/>
        <v>0</v>
      </c>
      <c r="M29" s="71"/>
      <c r="N29" s="72"/>
      <c r="O29" s="70">
        <f t="shared" si="4"/>
        <v>0</v>
      </c>
      <c r="P29" s="71"/>
      <c r="Q29" s="72"/>
      <c r="R29" s="70">
        <f t="shared" si="5"/>
        <v>0</v>
      </c>
      <c r="S29" s="71"/>
      <c r="T29" s="72"/>
      <c r="U29" s="70">
        <f t="shared" si="6"/>
        <v>0</v>
      </c>
      <c r="V29" s="71"/>
      <c r="W29" s="72"/>
      <c r="X29" s="70">
        <f t="shared" si="7"/>
        <v>0</v>
      </c>
      <c r="Y29" s="71"/>
      <c r="Z29" s="72"/>
      <c r="AA29" s="70">
        <f t="shared" si="8"/>
        <v>0</v>
      </c>
      <c r="AB29" s="71"/>
      <c r="AC29" s="72"/>
      <c r="AD29" s="70">
        <f t="shared" si="9"/>
        <v>0</v>
      </c>
      <c r="AE29" s="71"/>
      <c r="AF29" s="72"/>
      <c r="AG29" s="70">
        <f t="shared" si="10"/>
        <v>0</v>
      </c>
      <c r="AH29" s="71"/>
      <c r="AI29" s="72"/>
      <c r="AJ29" s="70">
        <f t="shared" si="11"/>
        <v>0</v>
      </c>
      <c r="AK29" s="71"/>
      <c r="AL29" s="72"/>
      <c r="AM29" s="70">
        <f t="shared" si="12"/>
        <v>0</v>
      </c>
      <c r="AN29" s="71"/>
      <c r="AO29" s="72"/>
      <c r="AP29" s="73">
        <f t="shared" si="13"/>
        <v>0</v>
      </c>
      <c r="AQ29" s="8" t="e">
        <f t="shared" si="1"/>
        <v>#DIV/0!</v>
      </c>
    </row>
    <row r="30" spans="1:43" ht="18" customHeight="1" x14ac:dyDescent="0.2">
      <c r="A30" s="6"/>
      <c r="B30" s="12"/>
      <c r="C30" s="67"/>
      <c r="D30" s="73"/>
      <c r="E30" s="69"/>
      <c r="F30" s="70">
        <f t="shared" si="0"/>
        <v>0</v>
      </c>
      <c r="G30" s="71"/>
      <c r="H30" s="72"/>
      <c r="I30" s="70">
        <f t="shared" si="2"/>
        <v>0</v>
      </c>
      <c r="J30" s="71"/>
      <c r="K30" s="72"/>
      <c r="L30" s="70">
        <f t="shared" si="3"/>
        <v>0</v>
      </c>
      <c r="M30" s="71"/>
      <c r="N30" s="72"/>
      <c r="O30" s="70">
        <f t="shared" si="4"/>
        <v>0</v>
      </c>
      <c r="P30" s="71"/>
      <c r="Q30" s="72"/>
      <c r="R30" s="70">
        <f t="shared" si="5"/>
        <v>0</v>
      </c>
      <c r="S30" s="71"/>
      <c r="T30" s="72"/>
      <c r="U30" s="70">
        <f t="shared" si="6"/>
        <v>0</v>
      </c>
      <c r="V30" s="71"/>
      <c r="W30" s="72"/>
      <c r="X30" s="70">
        <f t="shared" si="7"/>
        <v>0</v>
      </c>
      <c r="Y30" s="71"/>
      <c r="Z30" s="72"/>
      <c r="AA30" s="70">
        <f t="shared" si="8"/>
        <v>0</v>
      </c>
      <c r="AB30" s="71"/>
      <c r="AC30" s="72"/>
      <c r="AD30" s="70">
        <f t="shared" si="9"/>
        <v>0</v>
      </c>
      <c r="AE30" s="71"/>
      <c r="AF30" s="72"/>
      <c r="AG30" s="70">
        <f t="shared" si="10"/>
        <v>0</v>
      </c>
      <c r="AH30" s="71"/>
      <c r="AI30" s="72"/>
      <c r="AJ30" s="70">
        <f t="shared" si="11"/>
        <v>0</v>
      </c>
      <c r="AK30" s="71"/>
      <c r="AL30" s="72"/>
      <c r="AM30" s="70">
        <f t="shared" si="12"/>
        <v>0</v>
      </c>
      <c r="AN30" s="71"/>
      <c r="AO30" s="72"/>
      <c r="AP30" s="73">
        <f t="shared" si="13"/>
        <v>0</v>
      </c>
      <c r="AQ30" s="8" t="e">
        <f t="shared" si="1"/>
        <v>#DIV/0!</v>
      </c>
    </row>
    <row r="31" spans="1:43" ht="18" customHeight="1" thickBot="1" x14ac:dyDescent="0.25">
      <c r="A31" s="6"/>
      <c r="B31" s="13"/>
      <c r="C31" s="62"/>
      <c r="D31" s="74"/>
      <c r="E31" s="64"/>
      <c r="F31" s="64">
        <f t="shared" si="0"/>
        <v>0</v>
      </c>
      <c r="G31" s="75"/>
      <c r="H31" s="76"/>
      <c r="I31" s="64">
        <f t="shared" si="2"/>
        <v>0</v>
      </c>
      <c r="J31" s="75"/>
      <c r="K31" s="76"/>
      <c r="L31" s="64">
        <f t="shared" si="3"/>
        <v>0</v>
      </c>
      <c r="M31" s="75"/>
      <c r="N31" s="76"/>
      <c r="O31" s="64">
        <f t="shared" si="4"/>
        <v>0</v>
      </c>
      <c r="P31" s="75"/>
      <c r="Q31" s="76"/>
      <c r="R31" s="64">
        <f t="shared" si="5"/>
        <v>0</v>
      </c>
      <c r="S31" s="75"/>
      <c r="T31" s="76"/>
      <c r="U31" s="64">
        <f t="shared" si="6"/>
        <v>0</v>
      </c>
      <c r="V31" s="75"/>
      <c r="W31" s="76"/>
      <c r="X31" s="64">
        <f t="shared" si="7"/>
        <v>0</v>
      </c>
      <c r="Y31" s="75"/>
      <c r="Z31" s="76"/>
      <c r="AA31" s="64">
        <f t="shared" si="8"/>
        <v>0</v>
      </c>
      <c r="AB31" s="75"/>
      <c r="AC31" s="76"/>
      <c r="AD31" s="64">
        <f t="shared" si="9"/>
        <v>0</v>
      </c>
      <c r="AE31" s="75"/>
      <c r="AF31" s="76"/>
      <c r="AG31" s="64">
        <f t="shared" si="10"/>
        <v>0</v>
      </c>
      <c r="AH31" s="75"/>
      <c r="AI31" s="76"/>
      <c r="AJ31" s="64">
        <f t="shared" si="11"/>
        <v>0</v>
      </c>
      <c r="AK31" s="75"/>
      <c r="AL31" s="76"/>
      <c r="AM31" s="64">
        <f t="shared" si="12"/>
        <v>0</v>
      </c>
      <c r="AN31" s="75"/>
      <c r="AO31" s="76"/>
      <c r="AP31" s="74">
        <f t="shared" si="13"/>
        <v>0</v>
      </c>
      <c r="AQ31" s="7" t="e">
        <f t="shared" si="1"/>
        <v>#DIV/0!</v>
      </c>
    </row>
    <row r="32" spans="1:43" ht="18" customHeight="1" thickTop="1" x14ac:dyDescent="0.2">
      <c r="B32" s="14" t="s">
        <v>122</v>
      </c>
      <c r="C32" s="77">
        <f t="shared" ref="C32" si="14">SUM(C12:C31)</f>
        <v>2350</v>
      </c>
      <c r="D32" s="78">
        <f t="shared" ref="D32:AP32" si="15">SUM(D12:D31)</f>
        <v>615</v>
      </c>
      <c r="E32" s="79">
        <f t="shared" si="15"/>
        <v>2966</v>
      </c>
      <c r="F32" s="79">
        <f t="shared" si="15"/>
        <v>460</v>
      </c>
      <c r="G32" s="80">
        <f t="shared" si="15"/>
        <v>267</v>
      </c>
      <c r="H32" s="81">
        <f t="shared" si="15"/>
        <v>193</v>
      </c>
      <c r="I32" s="79">
        <f t="shared" ref="I32:N32" si="16">SUM(I12:I31)</f>
        <v>93</v>
      </c>
      <c r="J32" s="80">
        <f t="shared" si="16"/>
        <v>31</v>
      </c>
      <c r="K32" s="81">
        <f t="shared" si="16"/>
        <v>62</v>
      </c>
      <c r="L32" s="79">
        <f t="shared" si="16"/>
        <v>0</v>
      </c>
      <c r="M32" s="80">
        <f t="shared" si="16"/>
        <v>0</v>
      </c>
      <c r="N32" s="81">
        <f t="shared" si="16"/>
        <v>0</v>
      </c>
      <c r="O32" s="79">
        <f t="shared" ref="O32:T32" si="17">SUM(O12:O31)</f>
        <v>0</v>
      </c>
      <c r="P32" s="80">
        <f t="shared" si="17"/>
        <v>0</v>
      </c>
      <c r="Q32" s="81">
        <f t="shared" si="17"/>
        <v>0</v>
      </c>
      <c r="R32" s="79">
        <f t="shared" si="17"/>
        <v>0</v>
      </c>
      <c r="S32" s="80">
        <f t="shared" si="17"/>
        <v>0</v>
      </c>
      <c r="T32" s="81">
        <f t="shared" si="17"/>
        <v>0</v>
      </c>
      <c r="U32" s="79">
        <f t="shared" ref="U32:AI32" si="18">SUM(U12:U31)</f>
        <v>0</v>
      </c>
      <c r="V32" s="80">
        <f t="shared" si="18"/>
        <v>0</v>
      </c>
      <c r="W32" s="81">
        <f t="shared" si="18"/>
        <v>0</v>
      </c>
      <c r="X32" s="79">
        <f t="shared" si="18"/>
        <v>0</v>
      </c>
      <c r="Y32" s="80">
        <f t="shared" si="18"/>
        <v>0</v>
      </c>
      <c r="Z32" s="81">
        <f t="shared" si="18"/>
        <v>0</v>
      </c>
      <c r="AA32" s="79">
        <f t="shared" si="18"/>
        <v>0</v>
      </c>
      <c r="AB32" s="80">
        <f t="shared" si="18"/>
        <v>0</v>
      </c>
      <c r="AC32" s="81">
        <f t="shared" si="18"/>
        <v>0</v>
      </c>
      <c r="AD32" s="79">
        <f t="shared" si="18"/>
        <v>0</v>
      </c>
      <c r="AE32" s="80">
        <f t="shared" si="18"/>
        <v>0</v>
      </c>
      <c r="AF32" s="81">
        <f t="shared" si="18"/>
        <v>0</v>
      </c>
      <c r="AG32" s="79">
        <f t="shared" si="18"/>
        <v>0</v>
      </c>
      <c r="AH32" s="80">
        <f t="shared" si="18"/>
        <v>0</v>
      </c>
      <c r="AI32" s="81">
        <f t="shared" si="18"/>
        <v>0</v>
      </c>
      <c r="AJ32" s="79">
        <f t="shared" ref="AJ32:AO32" si="19">SUM(AJ12:AJ31)</f>
        <v>0</v>
      </c>
      <c r="AK32" s="80">
        <f t="shared" si="19"/>
        <v>0</v>
      </c>
      <c r="AL32" s="81">
        <f t="shared" si="19"/>
        <v>0</v>
      </c>
      <c r="AM32" s="79">
        <f t="shared" si="19"/>
        <v>0</v>
      </c>
      <c r="AN32" s="80">
        <f t="shared" si="19"/>
        <v>0</v>
      </c>
      <c r="AO32" s="81">
        <f t="shared" si="19"/>
        <v>0</v>
      </c>
      <c r="AP32" s="78">
        <f t="shared" si="15"/>
        <v>460</v>
      </c>
      <c r="AQ32" s="9">
        <f t="shared" si="1"/>
        <v>0.15509103169251517</v>
      </c>
    </row>
  </sheetData>
  <mergeCells count="27">
    <mergeCell ref="AD9:AI9"/>
    <mergeCell ref="AD10:AF10"/>
    <mergeCell ref="AG10:AI10"/>
    <mergeCell ref="AJ9:AO9"/>
    <mergeCell ref="AJ10:AL10"/>
    <mergeCell ref="AM10:AO10"/>
    <mergeCell ref="AM2:AQ2"/>
    <mergeCell ref="R10:T10"/>
    <mergeCell ref="U10:W10"/>
    <mergeCell ref="X9:AC9"/>
    <mergeCell ref="X10:Z10"/>
    <mergeCell ref="AA10:AC10"/>
    <mergeCell ref="A3:AQ3"/>
    <mergeCell ref="C5:D5"/>
    <mergeCell ref="B9:B11"/>
    <mergeCell ref="D9:D11"/>
    <mergeCell ref="E9:E11"/>
    <mergeCell ref="F9:K9"/>
    <mergeCell ref="AP9:AP11"/>
    <mergeCell ref="AQ9:AQ11"/>
    <mergeCell ref="C9:C11"/>
    <mergeCell ref="F10:H10"/>
    <mergeCell ref="I10:K10"/>
    <mergeCell ref="L9:Q9"/>
    <mergeCell ref="L10:N10"/>
    <mergeCell ref="O10:Q10"/>
    <mergeCell ref="R9:W9"/>
  </mergeCells>
  <phoneticPr fontId="1"/>
  <conditionalFormatting sqref="C5:D5">
    <cfRule type="cellIs" priority="1" operator="equal">
      <formula>0</formula>
    </cfRule>
  </conditionalFormatting>
  <printOptions horizontalCentered="1"/>
  <pageMargins left="0.78740157480314965" right="0.78740157480314965" top="0.78740157480314965" bottom="0.59055118110236227" header="0.31496062992125984" footer="0.31496062992125984"/>
  <pageSetup paperSize="9" scale="57" orientation="landscape" horizontalDpi="300" verticalDpi="300" r:id="rId1"/>
  <headerFooter>
    <oddHeader>&amp;C数理・データサイエンス・AI教育プログラム認定制度【リテラシーレベル】</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AE0C7-83C6-4345-921C-F61EEA09E522}">
  <sheetPr>
    <pageSetUpPr fitToPage="1"/>
  </sheetPr>
  <dimension ref="A1:O134"/>
  <sheetViews>
    <sheetView showZeros="0" view="pageBreakPreview" topLeftCell="A54" zoomScaleNormal="100" zoomScaleSheetLayoutView="100" workbookViewId="0">
      <selection activeCell="L55" sqref="L55"/>
    </sheetView>
  </sheetViews>
  <sheetFormatPr defaultColWidth="11.36328125" defaultRowHeight="18.75" customHeight="1" x14ac:dyDescent="0.2"/>
  <cols>
    <col min="1" max="1" width="2.81640625" style="41" customWidth="1"/>
    <col min="2" max="2" width="16.6328125" style="1" customWidth="1"/>
    <col min="3" max="3" width="8.81640625" style="1" customWidth="1"/>
    <col min="4" max="4" width="2.08984375" style="1" customWidth="1"/>
    <col min="5" max="5" width="16.6328125" style="1" customWidth="1"/>
    <col min="6" max="6" width="4.36328125" style="1" customWidth="1"/>
    <col min="7" max="7" width="9" style="1" customWidth="1"/>
    <col min="8" max="8" width="16.6328125" style="1" customWidth="1"/>
    <col min="9" max="9" width="12.08984375" style="1" customWidth="1"/>
    <col min="10" max="16384" width="11.36328125" style="1"/>
  </cols>
  <sheetData>
    <row r="1" spans="1:9" ht="18.75" customHeight="1" x14ac:dyDescent="0.2">
      <c r="A1" s="41" t="s">
        <v>123</v>
      </c>
      <c r="I1" s="35" t="s">
        <v>124</v>
      </c>
    </row>
    <row r="2" spans="1:9" ht="18.75" customHeight="1" x14ac:dyDescent="0.2">
      <c r="G2" s="35" t="s">
        <v>2</v>
      </c>
      <c r="H2" s="94" t="str">
        <f>'様式１-①　プログラムを構成する授業科目'!C2</f>
        <v>北陸大学</v>
      </c>
      <c r="I2" s="96"/>
    </row>
    <row r="3" spans="1:9" ht="18.75" customHeight="1" x14ac:dyDescent="0.2">
      <c r="G3" s="35"/>
      <c r="H3" s="10"/>
      <c r="I3" s="10"/>
    </row>
    <row r="4" spans="1:9" ht="18.5" customHeight="1" x14ac:dyDescent="0.2">
      <c r="A4" s="108" t="s">
        <v>125</v>
      </c>
      <c r="B4" s="108"/>
      <c r="C4" s="108"/>
      <c r="D4" s="108"/>
      <c r="E4" s="108"/>
      <c r="F4" s="108"/>
      <c r="G4" s="108"/>
      <c r="H4" s="108"/>
      <c r="I4" s="108"/>
    </row>
    <row r="5" spans="1:9" ht="13.25" customHeight="1" x14ac:dyDescent="0.2">
      <c r="B5" s="3"/>
      <c r="C5" s="3"/>
      <c r="D5" s="3"/>
      <c r="E5" s="3"/>
      <c r="F5" s="3"/>
      <c r="G5" s="3"/>
      <c r="H5" s="3"/>
      <c r="I5" s="3"/>
    </row>
    <row r="6" spans="1:9" ht="18" customHeight="1" x14ac:dyDescent="0.2">
      <c r="A6" s="1" t="s">
        <v>126</v>
      </c>
      <c r="B6" s="10" t="s">
        <v>127</v>
      </c>
      <c r="C6" s="238" t="s">
        <v>128</v>
      </c>
      <c r="D6" s="238"/>
      <c r="E6" s="34">
        <v>132</v>
      </c>
      <c r="F6" s="3" t="s">
        <v>129</v>
      </c>
      <c r="G6" s="3" t="s">
        <v>130</v>
      </c>
      <c r="H6" s="34">
        <v>86</v>
      </c>
      <c r="I6" s="10" t="s">
        <v>129</v>
      </c>
    </row>
    <row r="7" spans="1:9" ht="12" customHeight="1" x14ac:dyDescent="0.2">
      <c r="C7" s="2"/>
      <c r="D7" s="2"/>
      <c r="E7" s="2"/>
      <c r="F7" s="2"/>
      <c r="G7" s="2"/>
      <c r="H7" s="2"/>
      <c r="I7" s="42"/>
    </row>
    <row r="8" spans="1:9" ht="18" customHeight="1" x14ac:dyDescent="0.2">
      <c r="A8" s="1" t="s">
        <v>131</v>
      </c>
      <c r="B8" s="10" t="s">
        <v>132</v>
      </c>
      <c r="E8" s="3"/>
      <c r="F8" s="3"/>
      <c r="G8" s="3"/>
      <c r="H8" s="34">
        <v>11</v>
      </c>
      <c r="I8" s="10" t="s">
        <v>129</v>
      </c>
    </row>
    <row r="9" spans="1:9" ht="9" customHeight="1" x14ac:dyDescent="0.2">
      <c r="B9" s="3"/>
      <c r="C9" s="3"/>
      <c r="D9" s="3"/>
      <c r="E9" s="3"/>
      <c r="F9" s="3"/>
      <c r="G9" s="3"/>
      <c r="H9" s="3"/>
      <c r="I9" s="3"/>
    </row>
    <row r="10" spans="1:9" ht="18" customHeight="1" x14ac:dyDescent="0.2">
      <c r="A10" s="1" t="s">
        <v>133</v>
      </c>
      <c r="B10" s="10" t="s">
        <v>134</v>
      </c>
      <c r="C10" s="3"/>
      <c r="D10" s="3"/>
      <c r="E10" s="3"/>
      <c r="F10" s="3"/>
      <c r="G10" s="3"/>
      <c r="H10" s="3"/>
      <c r="I10" s="3"/>
    </row>
    <row r="11" spans="1:9" ht="18" customHeight="1" x14ac:dyDescent="0.2">
      <c r="B11" s="35" t="s">
        <v>135</v>
      </c>
      <c r="C11" s="233" t="s">
        <v>136</v>
      </c>
      <c r="D11" s="236"/>
      <c r="E11" s="237"/>
      <c r="F11" s="42"/>
      <c r="G11" s="35" t="s">
        <v>137</v>
      </c>
      <c r="H11" s="233" t="s">
        <v>138</v>
      </c>
      <c r="I11" s="237"/>
    </row>
    <row r="12" spans="1:9" ht="10.25" customHeight="1" x14ac:dyDescent="0.2">
      <c r="B12" s="35"/>
      <c r="C12" s="10"/>
      <c r="D12" s="42"/>
      <c r="E12" s="42"/>
      <c r="F12" s="42"/>
      <c r="G12" s="35"/>
      <c r="H12" s="10"/>
      <c r="I12" s="42"/>
    </row>
    <row r="13" spans="1:9" ht="18" customHeight="1" x14ac:dyDescent="0.2">
      <c r="A13" s="1" t="s">
        <v>139</v>
      </c>
      <c r="B13" s="10" t="s">
        <v>140</v>
      </c>
      <c r="C13" s="3"/>
      <c r="D13" s="3"/>
      <c r="E13" s="3"/>
      <c r="F13" s="3"/>
      <c r="G13" s="3"/>
      <c r="H13" s="3"/>
      <c r="I13" s="3"/>
    </row>
    <row r="14" spans="1:9" ht="18" customHeight="1" x14ac:dyDescent="0.2">
      <c r="B14" s="233" t="s">
        <v>141</v>
      </c>
      <c r="C14" s="234"/>
      <c r="D14" s="234"/>
      <c r="E14" s="234"/>
      <c r="F14" s="234"/>
      <c r="G14" s="234"/>
      <c r="H14" s="234"/>
      <c r="I14" s="235"/>
    </row>
    <row r="15" spans="1:9" ht="9" customHeight="1" x14ac:dyDescent="0.2">
      <c r="B15" s="3"/>
      <c r="C15" s="3"/>
      <c r="D15" s="3"/>
      <c r="E15" s="3"/>
      <c r="F15" s="3"/>
      <c r="G15" s="3"/>
      <c r="H15" s="3"/>
      <c r="I15" s="3"/>
    </row>
    <row r="16" spans="1:9" ht="18" customHeight="1" x14ac:dyDescent="0.2">
      <c r="B16" s="35" t="s">
        <v>135</v>
      </c>
      <c r="C16" s="233" t="s">
        <v>142</v>
      </c>
      <c r="D16" s="236"/>
      <c r="E16" s="237"/>
      <c r="F16" s="42"/>
      <c r="G16" s="35" t="s">
        <v>137</v>
      </c>
      <c r="H16" s="233" t="s">
        <v>143</v>
      </c>
      <c r="I16" s="237"/>
    </row>
    <row r="17" spans="1:9" ht="18" customHeight="1" x14ac:dyDescent="0.2">
      <c r="B17" s="3"/>
      <c r="C17" s="3"/>
      <c r="D17" s="3"/>
      <c r="E17" s="3"/>
      <c r="F17" s="3"/>
      <c r="G17" s="3"/>
      <c r="H17" s="3"/>
      <c r="I17" s="3"/>
    </row>
    <row r="18" spans="1:9" ht="18.75" customHeight="1" x14ac:dyDescent="0.2">
      <c r="A18" s="1" t="s">
        <v>144</v>
      </c>
      <c r="B18" s="1" t="s">
        <v>145</v>
      </c>
      <c r="I18" s="3"/>
    </row>
    <row r="19" spans="1:9" ht="18.75" customHeight="1" x14ac:dyDescent="0.2">
      <c r="A19" s="1"/>
      <c r="B19" s="225" t="s">
        <v>146</v>
      </c>
      <c r="C19" s="226"/>
      <c r="D19" s="226"/>
      <c r="E19" s="226"/>
      <c r="F19" s="226"/>
      <c r="G19" s="226"/>
      <c r="H19" s="226"/>
      <c r="I19" s="227"/>
    </row>
    <row r="20" spans="1:9" ht="7.5" customHeight="1" x14ac:dyDescent="0.2">
      <c r="B20" s="3"/>
      <c r="C20" s="3"/>
      <c r="D20" s="3"/>
      <c r="E20" s="3"/>
      <c r="F20" s="3"/>
      <c r="G20" s="3"/>
      <c r="H20" s="3"/>
      <c r="I20" s="3"/>
    </row>
    <row r="21" spans="1:9" ht="18.75" customHeight="1" x14ac:dyDescent="0.2">
      <c r="A21" s="1" t="s">
        <v>147</v>
      </c>
      <c r="B21" s="1" t="s">
        <v>148</v>
      </c>
    </row>
    <row r="22" spans="1:9" ht="18.75" customHeight="1" x14ac:dyDescent="0.2">
      <c r="A22" s="15"/>
      <c r="B22" s="215" t="s">
        <v>149</v>
      </c>
      <c r="C22" s="216"/>
      <c r="D22" s="216"/>
      <c r="E22" s="216"/>
      <c r="F22" s="216"/>
      <c r="G22" s="216"/>
      <c r="H22" s="216"/>
      <c r="I22" s="217"/>
    </row>
    <row r="23" spans="1:9" ht="18.75" customHeight="1" x14ac:dyDescent="0.2">
      <c r="A23" s="15"/>
      <c r="B23" s="228"/>
      <c r="C23" s="229"/>
      <c r="D23" s="229"/>
      <c r="E23" s="229"/>
      <c r="F23" s="229"/>
      <c r="G23" s="229"/>
      <c r="H23" s="229"/>
      <c r="I23" s="220"/>
    </row>
    <row r="24" spans="1:9" ht="18.75" customHeight="1" x14ac:dyDescent="0.2">
      <c r="A24" s="15"/>
      <c r="B24" s="228"/>
      <c r="C24" s="229"/>
      <c r="D24" s="229"/>
      <c r="E24" s="229"/>
      <c r="F24" s="229"/>
      <c r="G24" s="229"/>
      <c r="H24" s="229"/>
      <c r="I24" s="220"/>
    </row>
    <row r="25" spans="1:9" ht="18.75" customHeight="1" x14ac:dyDescent="0.2">
      <c r="A25" s="15"/>
      <c r="B25" s="228"/>
      <c r="C25" s="229"/>
      <c r="D25" s="229"/>
      <c r="E25" s="229"/>
      <c r="F25" s="229"/>
      <c r="G25" s="229"/>
      <c r="H25" s="229"/>
      <c r="I25" s="220"/>
    </row>
    <row r="26" spans="1:9" ht="18.75" customHeight="1" x14ac:dyDescent="0.2">
      <c r="A26" s="15"/>
      <c r="B26" s="228"/>
      <c r="C26" s="229"/>
      <c r="D26" s="229"/>
      <c r="E26" s="229"/>
      <c r="F26" s="229"/>
      <c r="G26" s="229"/>
      <c r="H26" s="229"/>
      <c r="I26" s="220"/>
    </row>
    <row r="27" spans="1:9" ht="18.75" customHeight="1" x14ac:dyDescent="0.2">
      <c r="A27" s="15"/>
      <c r="B27" s="228"/>
      <c r="C27" s="229"/>
      <c r="D27" s="229"/>
      <c r="E27" s="229"/>
      <c r="F27" s="229"/>
      <c r="G27" s="229"/>
      <c r="H27" s="229"/>
      <c r="I27" s="220"/>
    </row>
    <row r="28" spans="1:9" ht="18.75" customHeight="1" x14ac:dyDescent="0.2">
      <c r="A28" s="15"/>
      <c r="B28" s="228"/>
      <c r="C28" s="229"/>
      <c r="D28" s="229"/>
      <c r="E28" s="229"/>
      <c r="F28" s="229"/>
      <c r="G28" s="229"/>
      <c r="H28" s="229"/>
      <c r="I28" s="220"/>
    </row>
    <row r="29" spans="1:9" ht="18.75" customHeight="1" x14ac:dyDescent="0.2">
      <c r="A29" s="15"/>
      <c r="B29" s="228"/>
      <c r="C29" s="229"/>
      <c r="D29" s="229"/>
      <c r="E29" s="229"/>
      <c r="F29" s="229"/>
      <c r="G29" s="229"/>
      <c r="H29" s="229"/>
      <c r="I29" s="220"/>
    </row>
    <row r="30" spans="1:9" ht="18.75" customHeight="1" x14ac:dyDescent="0.2">
      <c r="A30" s="15"/>
      <c r="B30" s="218"/>
      <c r="C30" s="219"/>
      <c r="D30" s="219"/>
      <c r="E30" s="219"/>
      <c r="F30" s="219"/>
      <c r="G30" s="219"/>
      <c r="H30" s="219"/>
      <c r="I30" s="220"/>
    </row>
    <row r="31" spans="1:9" ht="18.75" customHeight="1" x14ac:dyDescent="0.2">
      <c r="A31" s="15"/>
      <c r="B31" s="218"/>
      <c r="C31" s="219"/>
      <c r="D31" s="219"/>
      <c r="E31" s="219"/>
      <c r="F31" s="219"/>
      <c r="G31" s="219"/>
      <c r="H31" s="219"/>
      <c r="I31" s="220"/>
    </row>
    <row r="32" spans="1:9" ht="18.75" customHeight="1" x14ac:dyDescent="0.2">
      <c r="A32" s="15"/>
      <c r="B32" s="221"/>
      <c r="C32" s="222"/>
      <c r="D32" s="222"/>
      <c r="E32" s="222"/>
      <c r="F32" s="222"/>
      <c r="G32" s="222"/>
      <c r="H32" s="222"/>
      <c r="I32" s="223"/>
    </row>
    <row r="33" spans="1:9" ht="7.5" customHeight="1" x14ac:dyDescent="0.2">
      <c r="A33" s="15"/>
      <c r="B33" s="15"/>
      <c r="C33" s="15"/>
      <c r="D33" s="15"/>
      <c r="E33" s="15"/>
      <c r="F33" s="15"/>
      <c r="G33" s="15"/>
      <c r="H33" s="15"/>
      <c r="I33" s="15"/>
    </row>
    <row r="34" spans="1:9" ht="18.75" customHeight="1" x14ac:dyDescent="0.2">
      <c r="A34" s="16" t="s">
        <v>150</v>
      </c>
      <c r="B34" s="16" t="s">
        <v>151</v>
      </c>
      <c r="C34" s="10"/>
      <c r="D34" s="16"/>
      <c r="E34" s="16"/>
      <c r="F34" s="16"/>
      <c r="G34" s="16"/>
      <c r="H34" s="16"/>
      <c r="I34" s="16"/>
    </row>
    <row r="35" spans="1:9" ht="18" customHeight="1" x14ac:dyDescent="0.2">
      <c r="A35" s="15"/>
      <c r="B35" s="215" t="s">
        <v>152</v>
      </c>
      <c r="C35" s="216"/>
      <c r="D35" s="216"/>
      <c r="E35" s="216"/>
      <c r="F35" s="216"/>
      <c r="G35" s="216"/>
      <c r="H35" s="216"/>
      <c r="I35" s="217"/>
    </row>
    <row r="36" spans="1:9" ht="18" customHeight="1" x14ac:dyDescent="0.2">
      <c r="A36" s="15"/>
      <c r="B36" s="218"/>
      <c r="C36" s="219"/>
      <c r="D36" s="219"/>
      <c r="E36" s="219"/>
      <c r="F36" s="219"/>
      <c r="G36" s="219"/>
      <c r="H36" s="219"/>
      <c r="I36" s="220"/>
    </row>
    <row r="37" spans="1:9" ht="18" customHeight="1" x14ac:dyDescent="0.2">
      <c r="A37" s="15"/>
      <c r="B37" s="218"/>
      <c r="C37" s="219"/>
      <c r="D37" s="219"/>
      <c r="E37" s="219"/>
      <c r="F37" s="219"/>
      <c r="G37" s="219"/>
      <c r="H37" s="219"/>
      <c r="I37" s="220"/>
    </row>
    <row r="38" spans="1:9" ht="18" customHeight="1" x14ac:dyDescent="0.2">
      <c r="A38" s="15"/>
      <c r="B38" s="218"/>
      <c r="C38" s="219"/>
      <c r="D38" s="219"/>
      <c r="E38" s="219"/>
      <c r="F38" s="219"/>
      <c r="G38" s="219"/>
      <c r="H38" s="219"/>
      <c r="I38" s="220"/>
    </row>
    <row r="39" spans="1:9" ht="18" customHeight="1" x14ac:dyDescent="0.2">
      <c r="A39" s="15"/>
      <c r="B39" s="218"/>
      <c r="C39" s="219"/>
      <c r="D39" s="219"/>
      <c r="E39" s="219"/>
      <c r="F39" s="219"/>
      <c r="G39" s="219"/>
      <c r="H39" s="219"/>
      <c r="I39" s="220"/>
    </row>
    <row r="40" spans="1:9" ht="18" customHeight="1" x14ac:dyDescent="0.2">
      <c r="A40" s="15"/>
      <c r="B40" s="218"/>
      <c r="C40" s="219"/>
      <c r="D40" s="219"/>
      <c r="E40" s="219"/>
      <c r="F40" s="219"/>
      <c r="G40" s="219"/>
      <c r="H40" s="219"/>
      <c r="I40" s="220"/>
    </row>
    <row r="41" spans="1:9" ht="18" customHeight="1" x14ac:dyDescent="0.2">
      <c r="A41" s="15"/>
      <c r="B41" s="218"/>
      <c r="C41" s="219"/>
      <c r="D41" s="219"/>
      <c r="E41" s="219"/>
      <c r="F41" s="219"/>
      <c r="G41" s="219"/>
      <c r="H41" s="219"/>
      <c r="I41" s="220"/>
    </row>
    <row r="42" spans="1:9" ht="18" customHeight="1" x14ac:dyDescent="0.2">
      <c r="A42" s="15"/>
      <c r="B42" s="218"/>
      <c r="C42" s="219"/>
      <c r="D42" s="219"/>
      <c r="E42" s="219"/>
      <c r="F42" s="219"/>
      <c r="G42" s="219"/>
      <c r="H42" s="219"/>
      <c r="I42" s="220"/>
    </row>
    <row r="43" spans="1:9" ht="18" customHeight="1" x14ac:dyDescent="0.2">
      <c r="A43" s="15"/>
      <c r="B43" s="218"/>
      <c r="C43" s="219"/>
      <c r="D43" s="219"/>
      <c r="E43" s="219"/>
      <c r="F43" s="219"/>
      <c r="G43" s="219"/>
      <c r="H43" s="219"/>
      <c r="I43" s="220"/>
    </row>
    <row r="44" spans="1:9" ht="18" customHeight="1" x14ac:dyDescent="0.2">
      <c r="A44" s="15"/>
      <c r="B44" s="218"/>
      <c r="C44" s="219"/>
      <c r="D44" s="219"/>
      <c r="E44" s="219"/>
      <c r="F44" s="219"/>
      <c r="G44" s="219"/>
      <c r="H44" s="219"/>
      <c r="I44" s="220"/>
    </row>
    <row r="45" spans="1:9" ht="18" customHeight="1" x14ac:dyDescent="0.2">
      <c r="A45" s="15"/>
      <c r="B45" s="218"/>
      <c r="C45" s="219"/>
      <c r="D45" s="219"/>
      <c r="E45" s="219"/>
      <c r="F45" s="219"/>
      <c r="G45" s="219"/>
      <c r="H45" s="219"/>
      <c r="I45" s="220"/>
    </row>
    <row r="46" spans="1:9" ht="18" customHeight="1" x14ac:dyDescent="0.2">
      <c r="A46" s="15"/>
      <c r="B46" s="221"/>
      <c r="C46" s="222"/>
      <c r="D46" s="222"/>
      <c r="E46" s="222"/>
      <c r="F46" s="222"/>
      <c r="G46" s="222"/>
      <c r="H46" s="222"/>
      <c r="I46" s="223"/>
    </row>
    <row r="47" spans="1:9" ht="7.5" customHeight="1" x14ac:dyDescent="0.2">
      <c r="A47" s="4"/>
      <c r="B47" s="4"/>
      <c r="C47" s="4"/>
      <c r="D47" s="4"/>
      <c r="E47" s="4"/>
      <c r="F47" s="4"/>
      <c r="G47" s="4"/>
      <c r="H47" s="4"/>
      <c r="I47" s="4"/>
    </row>
    <row r="48" spans="1:9" ht="18.75" customHeight="1" x14ac:dyDescent="0.2">
      <c r="A48" s="1" t="s">
        <v>153</v>
      </c>
      <c r="B48" s="1" t="s">
        <v>154</v>
      </c>
    </row>
    <row r="49" spans="1:15" s="3" customFormat="1" ht="18" customHeight="1" x14ac:dyDescent="0.2">
      <c r="B49" s="43" t="s">
        <v>155</v>
      </c>
      <c r="C49" s="204">
        <f>'様式２ 履修者等数の実績'!AQ32</f>
        <v>0.15509103169251517</v>
      </c>
      <c r="D49" s="204"/>
      <c r="E49" s="43" t="s">
        <v>156</v>
      </c>
      <c r="F49" s="204">
        <v>0.33100000000000002</v>
      </c>
      <c r="G49" s="204"/>
      <c r="H49" s="43" t="s">
        <v>157</v>
      </c>
      <c r="I49" s="44">
        <v>0.53839999999999999</v>
      </c>
      <c r="J49" s="1"/>
      <c r="M49" s="1"/>
      <c r="N49" s="45"/>
    </row>
    <row r="50" spans="1:15" s="3" customFormat="1" ht="18" customHeight="1" x14ac:dyDescent="0.2">
      <c r="B50" s="46" t="s">
        <v>158</v>
      </c>
      <c r="C50" s="205">
        <v>0.74580000000000002</v>
      </c>
      <c r="D50" s="205"/>
      <c r="E50" s="46" t="s">
        <v>159</v>
      </c>
      <c r="F50" s="205">
        <v>0.78120000000000001</v>
      </c>
      <c r="G50" s="205"/>
      <c r="H50" s="46" t="s">
        <v>160</v>
      </c>
      <c r="I50" s="47">
        <f>'様式２ 履修者等数の実績'!E32</f>
        <v>2966</v>
      </c>
      <c r="J50" s="1"/>
      <c r="M50" s="1"/>
      <c r="N50" s="45"/>
    </row>
    <row r="51" spans="1:15" ht="18" customHeight="1" x14ac:dyDescent="0.2">
      <c r="A51" s="1"/>
      <c r="B51" s="230" t="s">
        <v>161</v>
      </c>
      <c r="C51" s="231"/>
      <c r="D51" s="231"/>
      <c r="E51" s="231"/>
      <c r="F51" s="231"/>
      <c r="G51" s="231"/>
      <c r="H51" s="231"/>
      <c r="I51" s="232"/>
      <c r="N51" s="45"/>
      <c r="O51" s="3"/>
    </row>
    <row r="52" spans="1:15" ht="18" customHeight="1" x14ac:dyDescent="0.2">
      <c r="A52" s="1"/>
      <c r="B52" s="206" t="s">
        <v>203</v>
      </c>
      <c r="C52" s="207"/>
      <c r="D52" s="207"/>
      <c r="E52" s="207"/>
      <c r="F52" s="207"/>
      <c r="G52" s="207"/>
      <c r="H52" s="207"/>
      <c r="I52" s="208"/>
      <c r="N52" s="45"/>
      <c r="O52" s="3"/>
    </row>
    <row r="53" spans="1:15" ht="18" customHeight="1" x14ac:dyDescent="0.2">
      <c r="A53" s="1"/>
      <c r="B53" s="209"/>
      <c r="C53" s="210"/>
      <c r="D53" s="210"/>
      <c r="E53" s="210"/>
      <c r="F53" s="210"/>
      <c r="G53" s="210"/>
      <c r="H53" s="210"/>
      <c r="I53" s="211"/>
      <c r="N53" s="45"/>
      <c r="O53" s="3"/>
    </row>
    <row r="54" spans="1:15" ht="18" customHeight="1" x14ac:dyDescent="0.2">
      <c r="A54" s="1"/>
      <c r="B54" s="209"/>
      <c r="C54" s="210"/>
      <c r="D54" s="210"/>
      <c r="E54" s="210"/>
      <c r="F54" s="210"/>
      <c r="G54" s="210"/>
      <c r="H54" s="210"/>
      <c r="I54" s="211"/>
    </row>
    <row r="55" spans="1:15" ht="18" customHeight="1" x14ac:dyDescent="0.2">
      <c r="A55" s="1"/>
      <c r="B55" s="209"/>
      <c r="C55" s="210"/>
      <c r="D55" s="210"/>
      <c r="E55" s="210"/>
      <c r="F55" s="210"/>
      <c r="G55" s="210"/>
      <c r="H55" s="210"/>
      <c r="I55" s="211"/>
    </row>
    <row r="56" spans="1:15" ht="18" customHeight="1" x14ac:dyDescent="0.2">
      <c r="A56" s="1"/>
      <c r="B56" s="209"/>
      <c r="C56" s="210"/>
      <c r="D56" s="210"/>
      <c r="E56" s="210"/>
      <c r="F56" s="210"/>
      <c r="G56" s="210"/>
      <c r="H56" s="210"/>
      <c r="I56" s="211"/>
    </row>
    <row r="57" spans="1:15" ht="18" customHeight="1" x14ac:dyDescent="0.2">
      <c r="A57" s="1"/>
      <c r="B57" s="209"/>
      <c r="C57" s="210"/>
      <c r="D57" s="210"/>
      <c r="E57" s="210"/>
      <c r="F57" s="210"/>
      <c r="G57" s="210"/>
      <c r="H57" s="210"/>
      <c r="I57" s="211"/>
    </row>
    <row r="58" spans="1:15" ht="18" customHeight="1" x14ac:dyDescent="0.2">
      <c r="A58" s="1"/>
      <c r="B58" s="209"/>
      <c r="C58" s="210"/>
      <c r="D58" s="210"/>
      <c r="E58" s="210"/>
      <c r="F58" s="210"/>
      <c r="G58" s="210"/>
      <c r="H58" s="210"/>
      <c r="I58" s="211"/>
    </row>
    <row r="59" spans="1:15" ht="18" customHeight="1" x14ac:dyDescent="0.2">
      <c r="A59" s="1"/>
      <c r="B59" s="209"/>
      <c r="C59" s="210"/>
      <c r="D59" s="210"/>
      <c r="E59" s="210"/>
      <c r="F59" s="210"/>
      <c r="G59" s="210"/>
      <c r="H59" s="210"/>
      <c r="I59" s="211"/>
    </row>
    <row r="60" spans="1:15" ht="18" customHeight="1" x14ac:dyDescent="0.2">
      <c r="A60" s="1"/>
      <c r="B60" s="209"/>
      <c r="C60" s="210"/>
      <c r="D60" s="210"/>
      <c r="E60" s="210"/>
      <c r="F60" s="210"/>
      <c r="G60" s="210"/>
      <c r="H60" s="210"/>
      <c r="I60" s="211"/>
    </row>
    <row r="61" spans="1:15" ht="18" customHeight="1" x14ac:dyDescent="0.2">
      <c r="A61" s="1"/>
      <c r="B61" s="209"/>
      <c r="C61" s="210"/>
      <c r="D61" s="210"/>
      <c r="E61" s="210"/>
      <c r="F61" s="210"/>
      <c r="G61" s="210"/>
      <c r="H61" s="210"/>
      <c r="I61" s="211"/>
    </row>
    <row r="62" spans="1:15" ht="18" customHeight="1" x14ac:dyDescent="0.2">
      <c r="A62" s="1"/>
      <c r="B62" s="209"/>
      <c r="C62" s="210"/>
      <c r="D62" s="210"/>
      <c r="E62" s="210"/>
      <c r="F62" s="210"/>
      <c r="G62" s="210"/>
      <c r="H62" s="210"/>
      <c r="I62" s="211"/>
    </row>
    <row r="63" spans="1:15" ht="18" customHeight="1" x14ac:dyDescent="0.2">
      <c r="A63" s="1"/>
      <c r="B63" s="212"/>
      <c r="C63" s="213"/>
      <c r="D63" s="213"/>
      <c r="E63" s="213"/>
      <c r="F63" s="213"/>
      <c r="G63" s="213"/>
      <c r="H63" s="213"/>
      <c r="I63" s="214"/>
    </row>
    <row r="64" spans="1:15" ht="7.5" customHeight="1" x14ac:dyDescent="0.2">
      <c r="A64" s="15"/>
      <c r="B64" s="15"/>
      <c r="C64" s="15"/>
      <c r="D64" s="15"/>
      <c r="E64" s="15"/>
      <c r="F64" s="15"/>
      <c r="G64" s="15"/>
      <c r="H64" s="15"/>
      <c r="I64" s="15"/>
    </row>
    <row r="65" spans="1:9" ht="18.75" customHeight="1" x14ac:dyDescent="0.2">
      <c r="A65" s="16" t="s">
        <v>162</v>
      </c>
      <c r="B65" s="1" t="s">
        <v>163</v>
      </c>
      <c r="I65" s="16"/>
    </row>
    <row r="66" spans="1:9" ht="18" customHeight="1" x14ac:dyDescent="0.2">
      <c r="A66" s="4"/>
      <c r="B66" s="188" t="s">
        <v>164</v>
      </c>
      <c r="C66" s="189"/>
      <c r="D66" s="189"/>
      <c r="E66" s="189"/>
      <c r="F66" s="189"/>
      <c r="G66" s="189"/>
      <c r="H66" s="189"/>
      <c r="I66" s="190"/>
    </row>
    <row r="67" spans="1:9" ht="18" customHeight="1" x14ac:dyDescent="0.2">
      <c r="A67" s="4"/>
      <c r="B67" s="191"/>
      <c r="C67" s="192"/>
      <c r="D67" s="192"/>
      <c r="E67" s="192"/>
      <c r="F67" s="192"/>
      <c r="G67" s="192"/>
      <c r="H67" s="192"/>
      <c r="I67" s="193"/>
    </row>
    <row r="68" spans="1:9" ht="18" customHeight="1" x14ac:dyDescent="0.2">
      <c r="A68" s="4"/>
      <c r="B68" s="191"/>
      <c r="C68" s="192"/>
      <c r="D68" s="192"/>
      <c r="E68" s="192"/>
      <c r="F68" s="192"/>
      <c r="G68" s="192"/>
      <c r="H68" s="192"/>
      <c r="I68" s="193"/>
    </row>
    <row r="69" spans="1:9" ht="18" customHeight="1" x14ac:dyDescent="0.2">
      <c r="A69" s="4"/>
      <c r="B69" s="191"/>
      <c r="C69" s="192"/>
      <c r="D69" s="192"/>
      <c r="E69" s="192"/>
      <c r="F69" s="192"/>
      <c r="G69" s="192"/>
      <c r="H69" s="192"/>
      <c r="I69" s="193"/>
    </row>
    <row r="70" spans="1:9" ht="18" customHeight="1" x14ac:dyDescent="0.2">
      <c r="A70" s="4"/>
      <c r="B70" s="191"/>
      <c r="C70" s="192"/>
      <c r="D70" s="192"/>
      <c r="E70" s="192"/>
      <c r="F70" s="192"/>
      <c r="G70" s="192"/>
      <c r="H70" s="192"/>
      <c r="I70" s="193"/>
    </row>
    <row r="71" spans="1:9" ht="18" customHeight="1" x14ac:dyDescent="0.2">
      <c r="A71" s="4"/>
      <c r="B71" s="191"/>
      <c r="C71" s="192"/>
      <c r="D71" s="192"/>
      <c r="E71" s="192"/>
      <c r="F71" s="192"/>
      <c r="G71" s="192"/>
      <c r="H71" s="192"/>
      <c r="I71" s="193"/>
    </row>
    <row r="72" spans="1:9" ht="18" customHeight="1" x14ac:dyDescent="0.2">
      <c r="A72" s="4"/>
      <c r="B72" s="191"/>
      <c r="C72" s="192"/>
      <c r="D72" s="192"/>
      <c r="E72" s="192"/>
      <c r="F72" s="192"/>
      <c r="G72" s="192"/>
      <c r="H72" s="192"/>
      <c r="I72" s="193"/>
    </row>
    <row r="73" spans="1:9" ht="18" customHeight="1" x14ac:dyDescent="0.2">
      <c r="A73" s="4"/>
      <c r="B73" s="191"/>
      <c r="C73" s="192"/>
      <c r="D73" s="192"/>
      <c r="E73" s="192"/>
      <c r="F73" s="192"/>
      <c r="G73" s="192"/>
      <c r="H73" s="192"/>
      <c r="I73" s="193"/>
    </row>
    <row r="74" spans="1:9" ht="18" customHeight="1" x14ac:dyDescent="0.2">
      <c r="A74" s="4"/>
      <c r="B74" s="191"/>
      <c r="C74" s="192"/>
      <c r="D74" s="192"/>
      <c r="E74" s="192"/>
      <c r="F74" s="192"/>
      <c r="G74" s="192"/>
      <c r="H74" s="192"/>
      <c r="I74" s="193"/>
    </row>
    <row r="75" spans="1:9" ht="18" customHeight="1" x14ac:dyDescent="0.2">
      <c r="A75" s="4"/>
      <c r="B75" s="191"/>
      <c r="C75" s="192"/>
      <c r="D75" s="192"/>
      <c r="E75" s="192"/>
      <c r="F75" s="192"/>
      <c r="G75" s="192"/>
      <c r="H75" s="192"/>
      <c r="I75" s="193"/>
    </row>
    <row r="76" spans="1:9" ht="18" customHeight="1" x14ac:dyDescent="0.2">
      <c r="A76" s="4"/>
      <c r="B76" s="191"/>
      <c r="C76" s="192"/>
      <c r="D76" s="192"/>
      <c r="E76" s="192"/>
      <c r="F76" s="192"/>
      <c r="G76" s="192"/>
      <c r="H76" s="192"/>
      <c r="I76" s="193"/>
    </row>
    <row r="77" spans="1:9" ht="18" customHeight="1" x14ac:dyDescent="0.2">
      <c r="A77" s="4"/>
      <c r="B77" s="194"/>
      <c r="C77" s="195"/>
      <c r="D77" s="195"/>
      <c r="E77" s="195"/>
      <c r="F77" s="195"/>
      <c r="G77" s="195"/>
      <c r="H77" s="195"/>
      <c r="I77" s="196"/>
    </row>
    <row r="78" spans="1:9" ht="7.5" customHeight="1" x14ac:dyDescent="0.2">
      <c r="A78" s="4"/>
      <c r="B78" s="4"/>
      <c r="C78" s="4"/>
      <c r="D78" s="4"/>
      <c r="E78" s="4"/>
      <c r="F78" s="4"/>
      <c r="G78" s="4"/>
      <c r="H78" s="4"/>
      <c r="I78" s="4"/>
    </row>
    <row r="79" spans="1:9" ht="18.75" customHeight="1" x14ac:dyDescent="0.2">
      <c r="A79" s="1" t="s">
        <v>165</v>
      </c>
      <c r="B79" s="1" t="s">
        <v>166</v>
      </c>
    </row>
    <row r="80" spans="1:9" ht="18" customHeight="1" x14ac:dyDescent="0.2">
      <c r="A80" s="1"/>
      <c r="B80" s="188" t="s">
        <v>167</v>
      </c>
      <c r="C80" s="189"/>
      <c r="D80" s="189"/>
      <c r="E80" s="189"/>
      <c r="F80" s="189"/>
      <c r="G80" s="189"/>
      <c r="H80" s="189"/>
      <c r="I80" s="197"/>
    </row>
    <row r="81" spans="1:9" ht="18" customHeight="1" x14ac:dyDescent="0.2">
      <c r="A81" s="1"/>
      <c r="B81" s="198"/>
      <c r="C81" s="199"/>
      <c r="D81" s="199"/>
      <c r="E81" s="199"/>
      <c r="F81" s="199"/>
      <c r="G81" s="199"/>
      <c r="H81" s="199"/>
      <c r="I81" s="200"/>
    </row>
    <row r="82" spans="1:9" ht="18" customHeight="1" x14ac:dyDescent="0.2">
      <c r="A82" s="1"/>
      <c r="B82" s="198"/>
      <c r="C82" s="199"/>
      <c r="D82" s="199"/>
      <c r="E82" s="199"/>
      <c r="F82" s="199"/>
      <c r="G82" s="199"/>
      <c r="H82" s="199"/>
      <c r="I82" s="200"/>
    </row>
    <row r="83" spans="1:9" ht="18" customHeight="1" x14ac:dyDescent="0.2">
      <c r="A83" s="1"/>
      <c r="B83" s="198"/>
      <c r="C83" s="199"/>
      <c r="D83" s="199"/>
      <c r="E83" s="199"/>
      <c r="F83" s="199"/>
      <c r="G83" s="199"/>
      <c r="H83" s="199"/>
      <c r="I83" s="200"/>
    </row>
    <row r="84" spans="1:9" ht="18" customHeight="1" x14ac:dyDescent="0.2">
      <c r="A84" s="1"/>
      <c r="B84" s="198"/>
      <c r="C84" s="199"/>
      <c r="D84" s="199"/>
      <c r="E84" s="199"/>
      <c r="F84" s="199"/>
      <c r="G84" s="199"/>
      <c r="H84" s="199"/>
      <c r="I84" s="200"/>
    </row>
    <row r="85" spans="1:9" ht="18" customHeight="1" x14ac:dyDescent="0.2">
      <c r="A85" s="1"/>
      <c r="B85" s="198"/>
      <c r="C85" s="199"/>
      <c r="D85" s="199"/>
      <c r="E85" s="199"/>
      <c r="F85" s="199"/>
      <c r="G85" s="199"/>
      <c r="H85" s="199"/>
      <c r="I85" s="200"/>
    </row>
    <row r="86" spans="1:9" ht="18" customHeight="1" x14ac:dyDescent="0.2">
      <c r="A86" s="1"/>
      <c r="B86" s="198"/>
      <c r="C86" s="199"/>
      <c r="D86" s="199"/>
      <c r="E86" s="199"/>
      <c r="F86" s="199"/>
      <c r="G86" s="199"/>
      <c r="H86" s="199"/>
      <c r="I86" s="200"/>
    </row>
    <row r="87" spans="1:9" ht="18" customHeight="1" x14ac:dyDescent="0.2">
      <c r="A87" s="1"/>
      <c r="B87" s="198"/>
      <c r="C87" s="199"/>
      <c r="D87" s="199"/>
      <c r="E87" s="199"/>
      <c r="F87" s="199"/>
      <c r="G87" s="199"/>
      <c r="H87" s="199"/>
      <c r="I87" s="200"/>
    </row>
    <row r="88" spans="1:9" ht="18" customHeight="1" x14ac:dyDescent="0.2">
      <c r="A88" s="1"/>
      <c r="B88" s="198"/>
      <c r="C88" s="199"/>
      <c r="D88" s="199"/>
      <c r="E88" s="199"/>
      <c r="F88" s="199"/>
      <c r="G88" s="199"/>
      <c r="H88" s="199"/>
      <c r="I88" s="200"/>
    </row>
    <row r="89" spans="1:9" ht="18" customHeight="1" x14ac:dyDescent="0.2">
      <c r="A89" s="1"/>
      <c r="B89" s="198"/>
      <c r="C89" s="199"/>
      <c r="D89" s="199"/>
      <c r="E89" s="199"/>
      <c r="F89" s="199"/>
      <c r="G89" s="199"/>
      <c r="H89" s="199"/>
      <c r="I89" s="200"/>
    </row>
    <row r="90" spans="1:9" ht="18" customHeight="1" x14ac:dyDescent="0.2">
      <c r="A90" s="4"/>
      <c r="B90" s="198"/>
      <c r="C90" s="199"/>
      <c r="D90" s="199"/>
      <c r="E90" s="199"/>
      <c r="F90" s="199"/>
      <c r="G90" s="199"/>
      <c r="H90" s="199"/>
      <c r="I90" s="200"/>
    </row>
    <row r="91" spans="1:9" ht="18" customHeight="1" x14ac:dyDescent="0.2">
      <c r="A91" s="4"/>
      <c r="B91" s="201"/>
      <c r="C91" s="202"/>
      <c r="D91" s="202"/>
      <c r="E91" s="202"/>
      <c r="F91" s="202"/>
      <c r="G91" s="202"/>
      <c r="H91" s="202"/>
      <c r="I91" s="203"/>
    </row>
    <row r="92" spans="1:9" ht="7.5" customHeight="1" x14ac:dyDescent="0.2">
      <c r="A92" s="4"/>
      <c r="B92" s="4"/>
      <c r="C92" s="4"/>
      <c r="D92" s="4"/>
      <c r="E92" s="4"/>
      <c r="F92" s="4"/>
      <c r="G92" s="4"/>
      <c r="H92" s="4"/>
      <c r="I92" s="4"/>
    </row>
    <row r="93" spans="1:9" ht="18.75" customHeight="1" x14ac:dyDescent="0.2">
      <c r="A93" s="1" t="s">
        <v>168</v>
      </c>
      <c r="B93" s="1" t="s">
        <v>169</v>
      </c>
    </row>
    <row r="94" spans="1:9" ht="18.75" customHeight="1" x14ac:dyDescent="0.2">
      <c r="A94" s="1"/>
      <c r="B94" s="215" t="s">
        <v>204</v>
      </c>
      <c r="C94" s="216"/>
      <c r="D94" s="216"/>
      <c r="E94" s="216"/>
      <c r="F94" s="216"/>
      <c r="G94" s="216"/>
      <c r="H94" s="216"/>
      <c r="I94" s="217"/>
    </row>
    <row r="95" spans="1:9" ht="18.75" customHeight="1" x14ac:dyDescent="0.2">
      <c r="A95" s="1"/>
      <c r="B95" s="218"/>
      <c r="C95" s="219"/>
      <c r="D95" s="219"/>
      <c r="E95" s="219"/>
      <c r="F95" s="219"/>
      <c r="G95" s="219"/>
      <c r="H95" s="219"/>
      <c r="I95" s="220"/>
    </row>
    <row r="96" spans="1:9" ht="18.75" customHeight="1" x14ac:dyDescent="0.2">
      <c r="A96" s="1"/>
      <c r="B96" s="218"/>
      <c r="C96" s="219"/>
      <c r="D96" s="219"/>
      <c r="E96" s="219"/>
      <c r="F96" s="219"/>
      <c r="G96" s="219"/>
      <c r="H96" s="219"/>
      <c r="I96" s="220"/>
    </row>
    <row r="97" spans="1:9" ht="18.75" customHeight="1" x14ac:dyDescent="0.2">
      <c r="A97" s="1"/>
      <c r="B97" s="218"/>
      <c r="C97" s="219"/>
      <c r="D97" s="219"/>
      <c r="E97" s="219"/>
      <c r="F97" s="219"/>
      <c r="G97" s="219"/>
      <c r="H97" s="219"/>
      <c r="I97" s="220"/>
    </row>
    <row r="98" spans="1:9" ht="18.75" customHeight="1" x14ac:dyDescent="0.2">
      <c r="A98" s="1"/>
      <c r="B98" s="218"/>
      <c r="C98" s="219"/>
      <c r="D98" s="219"/>
      <c r="E98" s="219"/>
      <c r="F98" s="219"/>
      <c r="G98" s="219"/>
      <c r="H98" s="219"/>
      <c r="I98" s="220"/>
    </row>
    <row r="99" spans="1:9" ht="18.75" customHeight="1" x14ac:dyDescent="0.2">
      <c r="A99" s="1"/>
      <c r="B99" s="218"/>
      <c r="C99" s="219"/>
      <c r="D99" s="219"/>
      <c r="E99" s="219"/>
      <c r="F99" s="219"/>
      <c r="G99" s="219"/>
      <c r="H99" s="219"/>
      <c r="I99" s="220"/>
    </row>
    <row r="100" spans="1:9" ht="18.75" customHeight="1" x14ac:dyDescent="0.2">
      <c r="A100" s="1"/>
      <c r="B100" s="218"/>
      <c r="C100" s="219"/>
      <c r="D100" s="219"/>
      <c r="E100" s="219"/>
      <c r="F100" s="219"/>
      <c r="G100" s="219"/>
      <c r="H100" s="219"/>
      <c r="I100" s="220"/>
    </row>
    <row r="101" spans="1:9" ht="18.75" customHeight="1" x14ac:dyDescent="0.2">
      <c r="A101" s="1"/>
      <c r="B101" s="218"/>
      <c r="C101" s="219"/>
      <c r="D101" s="219"/>
      <c r="E101" s="219"/>
      <c r="F101" s="219"/>
      <c r="G101" s="219"/>
      <c r="H101" s="219"/>
      <c r="I101" s="220"/>
    </row>
    <row r="102" spans="1:9" ht="18.75" customHeight="1" x14ac:dyDescent="0.2">
      <c r="A102" s="1"/>
      <c r="B102" s="218"/>
      <c r="C102" s="219"/>
      <c r="D102" s="219"/>
      <c r="E102" s="219"/>
      <c r="F102" s="219"/>
      <c r="G102" s="219"/>
      <c r="H102" s="219"/>
      <c r="I102" s="220"/>
    </row>
    <row r="103" spans="1:9" ht="18.75" customHeight="1" x14ac:dyDescent="0.2">
      <c r="A103" s="1"/>
      <c r="B103" s="218"/>
      <c r="C103" s="219"/>
      <c r="D103" s="219"/>
      <c r="E103" s="219"/>
      <c r="F103" s="219"/>
      <c r="G103" s="219"/>
      <c r="H103" s="219"/>
      <c r="I103" s="220"/>
    </row>
    <row r="104" spans="1:9" ht="18.75" customHeight="1" x14ac:dyDescent="0.2">
      <c r="A104" s="1"/>
      <c r="B104" s="218"/>
      <c r="C104" s="219"/>
      <c r="D104" s="219"/>
      <c r="E104" s="219"/>
      <c r="F104" s="219"/>
      <c r="G104" s="219"/>
      <c r="H104" s="219"/>
      <c r="I104" s="220"/>
    </row>
    <row r="105" spans="1:9" ht="18.75" customHeight="1" x14ac:dyDescent="0.2">
      <c r="A105" s="4"/>
      <c r="B105" s="221"/>
      <c r="C105" s="222"/>
      <c r="D105" s="222"/>
      <c r="E105" s="222"/>
      <c r="F105" s="222"/>
      <c r="G105" s="222"/>
      <c r="H105" s="222"/>
      <c r="I105" s="223"/>
    </row>
    <row r="106" spans="1:9" ht="7.5" customHeight="1" x14ac:dyDescent="0.2">
      <c r="A106" s="4"/>
      <c r="B106" s="4"/>
      <c r="C106" s="4"/>
      <c r="D106" s="4"/>
      <c r="E106" s="4"/>
      <c r="F106" s="4"/>
      <c r="G106" s="4"/>
      <c r="H106" s="4"/>
      <c r="I106" s="4"/>
    </row>
    <row r="107" spans="1:9" ht="18.75" customHeight="1" x14ac:dyDescent="0.2">
      <c r="A107" s="1" t="s">
        <v>170</v>
      </c>
      <c r="B107" s="224" t="s">
        <v>171</v>
      </c>
      <c r="C107" s="224"/>
      <c r="D107" s="224"/>
      <c r="E107" s="224"/>
      <c r="F107" s="224"/>
      <c r="G107" s="224"/>
      <c r="H107" s="224"/>
      <c r="I107" s="224"/>
    </row>
    <row r="108" spans="1:9" ht="18.75" customHeight="1" x14ac:dyDescent="0.2">
      <c r="A108" s="4"/>
      <c r="B108" s="215" t="s">
        <v>205</v>
      </c>
      <c r="C108" s="216"/>
      <c r="D108" s="216"/>
      <c r="E108" s="216"/>
      <c r="F108" s="216"/>
      <c r="G108" s="216"/>
      <c r="H108" s="216"/>
      <c r="I108" s="217"/>
    </row>
    <row r="109" spans="1:9" ht="18.75" customHeight="1" x14ac:dyDescent="0.2">
      <c r="A109" s="4"/>
      <c r="B109" s="218"/>
      <c r="C109" s="219"/>
      <c r="D109" s="219"/>
      <c r="E109" s="219"/>
      <c r="F109" s="219"/>
      <c r="G109" s="219"/>
      <c r="H109" s="219"/>
      <c r="I109" s="220"/>
    </row>
    <row r="110" spans="1:9" ht="18.75" customHeight="1" x14ac:dyDescent="0.2">
      <c r="A110" s="4"/>
      <c r="B110" s="218"/>
      <c r="C110" s="219"/>
      <c r="D110" s="219"/>
      <c r="E110" s="219"/>
      <c r="F110" s="219"/>
      <c r="G110" s="219"/>
      <c r="H110" s="219"/>
      <c r="I110" s="220"/>
    </row>
    <row r="111" spans="1:9" ht="18.75" customHeight="1" x14ac:dyDescent="0.2">
      <c r="A111" s="4"/>
      <c r="B111" s="218"/>
      <c r="C111" s="219"/>
      <c r="D111" s="219"/>
      <c r="E111" s="219"/>
      <c r="F111" s="219"/>
      <c r="G111" s="219"/>
      <c r="H111" s="219"/>
      <c r="I111" s="220"/>
    </row>
    <row r="112" spans="1:9" ht="18.75" customHeight="1" x14ac:dyDescent="0.2">
      <c r="A112" s="4"/>
      <c r="B112" s="218"/>
      <c r="C112" s="219"/>
      <c r="D112" s="219"/>
      <c r="E112" s="219"/>
      <c r="F112" s="219"/>
      <c r="G112" s="219"/>
      <c r="H112" s="219"/>
      <c r="I112" s="220"/>
    </row>
    <row r="113" spans="1:9" ht="18.75" customHeight="1" x14ac:dyDescent="0.2">
      <c r="A113" s="4"/>
      <c r="B113" s="218"/>
      <c r="C113" s="219"/>
      <c r="D113" s="219"/>
      <c r="E113" s="219"/>
      <c r="F113" s="219"/>
      <c r="G113" s="219"/>
      <c r="H113" s="219"/>
      <c r="I113" s="220"/>
    </row>
    <row r="114" spans="1:9" ht="18.75" customHeight="1" x14ac:dyDescent="0.2">
      <c r="A114" s="4"/>
      <c r="B114" s="218"/>
      <c r="C114" s="219"/>
      <c r="D114" s="219"/>
      <c r="E114" s="219"/>
      <c r="F114" s="219"/>
      <c r="G114" s="219"/>
      <c r="H114" s="219"/>
      <c r="I114" s="220"/>
    </row>
    <row r="115" spans="1:9" ht="18.75" customHeight="1" x14ac:dyDescent="0.2">
      <c r="A115" s="4"/>
      <c r="B115" s="218"/>
      <c r="C115" s="219"/>
      <c r="D115" s="219"/>
      <c r="E115" s="219"/>
      <c r="F115" s="219"/>
      <c r="G115" s="219"/>
      <c r="H115" s="219"/>
      <c r="I115" s="220"/>
    </row>
    <row r="116" spans="1:9" ht="18.75" customHeight="1" x14ac:dyDescent="0.2">
      <c r="A116" s="4"/>
      <c r="B116" s="218"/>
      <c r="C116" s="219"/>
      <c r="D116" s="219"/>
      <c r="E116" s="219"/>
      <c r="F116" s="219"/>
      <c r="G116" s="219"/>
      <c r="H116" s="219"/>
      <c r="I116" s="220"/>
    </row>
    <row r="117" spans="1:9" ht="18.75" customHeight="1" x14ac:dyDescent="0.2">
      <c r="A117" s="4"/>
      <c r="B117" s="218"/>
      <c r="C117" s="219"/>
      <c r="D117" s="219"/>
      <c r="E117" s="219"/>
      <c r="F117" s="219"/>
      <c r="G117" s="219"/>
      <c r="H117" s="219"/>
      <c r="I117" s="220"/>
    </row>
    <row r="118" spans="1:9" ht="18.75" customHeight="1" x14ac:dyDescent="0.2">
      <c r="A118" s="4"/>
      <c r="B118" s="218"/>
      <c r="C118" s="219"/>
      <c r="D118" s="219"/>
      <c r="E118" s="219"/>
      <c r="F118" s="219"/>
      <c r="G118" s="219"/>
      <c r="H118" s="219"/>
      <c r="I118" s="220"/>
    </row>
    <row r="119" spans="1:9" ht="18.75" customHeight="1" x14ac:dyDescent="0.2">
      <c r="A119" s="4"/>
      <c r="B119" s="221"/>
      <c r="C119" s="222"/>
      <c r="D119" s="222"/>
      <c r="E119" s="222"/>
      <c r="F119" s="222"/>
      <c r="G119" s="222"/>
      <c r="H119" s="222"/>
      <c r="I119" s="223"/>
    </row>
    <row r="120" spans="1:9" ht="7.5" customHeight="1" x14ac:dyDescent="0.2">
      <c r="A120" s="4"/>
      <c r="B120" s="48"/>
      <c r="C120" s="48"/>
      <c r="D120" s="48"/>
      <c r="E120" s="48"/>
      <c r="F120" s="48"/>
      <c r="G120" s="48"/>
      <c r="H120" s="48"/>
      <c r="I120" s="48"/>
    </row>
    <row r="121" spans="1:9" ht="18.75" customHeight="1" x14ac:dyDescent="0.2">
      <c r="A121" s="4"/>
      <c r="B121" s="4"/>
      <c r="C121" s="4"/>
      <c r="D121" s="4"/>
      <c r="E121" s="4"/>
      <c r="F121" s="4"/>
      <c r="G121" s="4"/>
      <c r="H121" s="4"/>
      <c r="I121" s="4"/>
    </row>
    <row r="122" spans="1:9" ht="18.75" customHeight="1" x14ac:dyDescent="0.2">
      <c r="A122" s="4"/>
      <c r="B122" s="4"/>
      <c r="C122" s="4"/>
      <c r="D122" s="4"/>
      <c r="E122" s="4"/>
      <c r="F122" s="4"/>
      <c r="G122" s="4"/>
      <c r="H122" s="4"/>
      <c r="I122" s="4"/>
    </row>
    <row r="123" spans="1:9" ht="18.75" customHeight="1" x14ac:dyDescent="0.2">
      <c r="A123" s="4"/>
      <c r="B123" s="4"/>
      <c r="C123" s="4"/>
      <c r="D123" s="4"/>
      <c r="E123" s="4"/>
      <c r="F123" s="4"/>
      <c r="G123" s="4"/>
      <c r="H123" s="4"/>
      <c r="I123" s="4"/>
    </row>
    <row r="124" spans="1:9" ht="18.75" customHeight="1" x14ac:dyDescent="0.2">
      <c r="A124" s="4"/>
      <c r="B124" s="4"/>
      <c r="C124" s="4"/>
      <c r="D124" s="4"/>
      <c r="E124" s="4"/>
      <c r="F124" s="4"/>
      <c r="G124" s="4"/>
      <c r="H124" s="4"/>
      <c r="I124" s="4"/>
    </row>
    <row r="125" spans="1:9" ht="18.75" customHeight="1" x14ac:dyDescent="0.2">
      <c r="A125" s="4"/>
      <c r="B125" s="4"/>
      <c r="C125" s="4"/>
      <c r="D125" s="4"/>
      <c r="E125" s="4"/>
      <c r="F125" s="4"/>
      <c r="G125" s="4"/>
      <c r="H125" s="4"/>
      <c r="I125" s="4"/>
    </row>
    <row r="126" spans="1:9" ht="18.75" customHeight="1" x14ac:dyDescent="0.2">
      <c r="A126" s="4"/>
      <c r="B126" s="4"/>
      <c r="C126" s="4"/>
      <c r="D126" s="4"/>
      <c r="E126" s="4"/>
      <c r="F126" s="4"/>
      <c r="G126" s="4"/>
      <c r="H126" s="4"/>
      <c r="I126" s="4"/>
    </row>
    <row r="127" spans="1:9" ht="18.75" customHeight="1" x14ac:dyDescent="0.2">
      <c r="A127" s="4"/>
      <c r="B127" s="4"/>
      <c r="C127" s="4"/>
      <c r="D127" s="4"/>
      <c r="E127" s="4"/>
      <c r="F127" s="4"/>
      <c r="G127" s="4"/>
      <c r="H127" s="4"/>
      <c r="I127" s="4"/>
    </row>
    <row r="128" spans="1:9" ht="18.75" customHeight="1" x14ac:dyDescent="0.2">
      <c r="A128" s="4"/>
      <c r="B128" s="4"/>
      <c r="C128" s="4"/>
      <c r="D128" s="4"/>
      <c r="E128" s="4"/>
      <c r="F128" s="4"/>
      <c r="G128" s="4"/>
      <c r="H128" s="4"/>
      <c r="I128" s="4"/>
    </row>
    <row r="129" spans="1:9" ht="18.75" customHeight="1" x14ac:dyDescent="0.2">
      <c r="A129" s="4"/>
      <c r="B129" s="4"/>
      <c r="C129" s="4"/>
      <c r="D129" s="4"/>
      <c r="E129" s="4"/>
      <c r="F129" s="4"/>
      <c r="G129" s="4"/>
      <c r="H129" s="4"/>
      <c r="I129" s="4"/>
    </row>
    <row r="130" spans="1:9" ht="18.75" customHeight="1" x14ac:dyDescent="0.2">
      <c r="A130" s="4"/>
      <c r="B130" s="4"/>
      <c r="C130" s="4"/>
      <c r="D130" s="4"/>
      <c r="E130" s="4"/>
      <c r="F130" s="4"/>
      <c r="G130" s="4"/>
      <c r="H130" s="4"/>
      <c r="I130" s="4"/>
    </row>
    <row r="131" spans="1:9" ht="18.75" customHeight="1" x14ac:dyDescent="0.2">
      <c r="A131" s="4"/>
      <c r="B131" s="4"/>
      <c r="C131" s="4"/>
      <c r="D131" s="4"/>
      <c r="E131" s="4"/>
      <c r="F131" s="4"/>
      <c r="G131" s="4"/>
      <c r="H131" s="4"/>
      <c r="I131" s="4"/>
    </row>
    <row r="132" spans="1:9" ht="18.75" customHeight="1" x14ac:dyDescent="0.2">
      <c r="A132" s="4"/>
      <c r="B132" s="4"/>
      <c r="C132" s="4"/>
      <c r="D132" s="4"/>
      <c r="E132" s="4"/>
      <c r="F132" s="4"/>
      <c r="G132" s="4"/>
      <c r="H132" s="4"/>
      <c r="I132" s="4"/>
    </row>
    <row r="133" spans="1:9" ht="14" x14ac:dyDescent="0.2">
      <c r="A133" s="4"/>
      <c r="B133" s="4"/>
      <c r="C133" s="4"/>
      <c r="D133" s="4"/>
      <c r="E133" s="4"/>
      <c r="F133" s="4"/>
      <c r="G133" s="4"/>
      <c r="H133" s="4"/>
      <c r="I133" s="4"/>
    </row>
    <row r="134" spans="1:9" ht="7.5" customHeight="1" x14ac:dyDescent="0.2">
      <c r="A134" s="49"/>
      <c r="B134" s="49"/>
      <c r="C134" s="49"/>
      <c r="D134" s="49"/>
      <c r="E134" s="49"/>
      <c r="F134" s="49"/>
      <c r="G134" s="49"/>
      <c r="H134" s="49"/>
      <c r="I134" s="49"/>
    </row>
  </sheetData>
  <mergeCells count="22">
    <mergeCell ref="B94:I105"/>
    <mergeCell ref="B107:I107"/>
    <mergeCell ref="B108:I119"/>
    <mergeCell ref="H2:I2"/>
    <mergeCell ref="A4:I4"/>
    <mergeCell ref="B19:I19"/>
    <mergeCell ref="B22:I32"/>
    <mergeCell ref="B35:I46"/>
    <mergeCell ref="B51:I51"/>
    <mergeCell ref="B14:I14"/>
    <mergeCell ref="C16:E16"/>
    <mergeCell ref="H16:I16"/>
    <mergeCell ref="C11:E11"/>
    <mergeCell ref="H11:I11"/>
    <mergeCell ref="C6:D6"/>
    <mergeCell ref="F50:G50"/>
    <mergeCell ref="B66:I77"/>
    <mergeCell ref="B80:I91"/>
    <mergeCell ref="C49:D49"/>
    <mergeCell ref="C50:D50"/>
    <mergeCell ref="F49:G49"/>
    <mergeCell ref="B52:I63"/>
  </mergeCells>
  <phoneticPr fontId="1"/>
  <printOptions horizontalCentered="1"/>
  <pageMargins left="0.59055118110236227" right="0.59055118110236227" top="0.78740157480314965" bottom="0.39370078740157483" header="0.31496062992125984" footer="0.19685039370078741"/>
  <pageSetup paperSize="9" fitToHeight="0" orientation="portrait" horizontalDpi="300" verticalDpi="300" r:id="rId1"/>
  <headerFooter>
    <oddHeader>&amp;C数理・データサイエンス・AI教育プログラム認定制度【リテラシーレベル】</oddHeader>
  </headerFooter>
  <rowBreaks count="2" manualBreakCount="2">
    <brk id="47" max="9" man="1"/>
    <brk id="92" max="9"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52A5A-34E0-4F6E-8C0D-898E40E9B28D}">
  <sheetPr>
    <pageSetUpPr fitToPage="1"/>
  </sheetPr>
  <dimension ref="A1:I30"/>
  <sheetViews>
    <sheetView showZeros="0" tabSelected="1" view="pageBreakPreview" topLeftCell="A6" zoomScaleNormal="100" zoomScaleSheetLayoutView="100" workbookViewId="0">
      <selection activeCell="K12" sqref="K12"/>
    </sheetView>
  </sheetViews>
  <sheetFormatPr defaultColWidth="11.36328125" defaultRowHeight="22.5" customHeight="1" x14ac:dyDescent="0.2"/>
  <cols>
    <col min="1" max="3" width="2.81640625" style="1" customWidth="1"/>
    <col min="4" max="4" width="22.08984375" style="1" customWidth="1"/>
    <col min="5" max="5" width="30.81640625" style="1" customWidth="1"/>
    <col min="6" max="7" width="7.81640625" style="1" customWidth="1"/>
    <col min="8" max="9" width="30.81640625" style="1" customWidth="1"/>
    <col min="10" max="10" width="4.08984375" style="1" customWidth="1"/>
    <col min="11" max="16384" width="11.36328125" style="1"/>
  </cols>
  <sheetData>
    <row r="1" spans="1:9" ht="18.75" customHeight="1" x14ac:dyDescent="0.2">
      <c r="A1" s="1" t="s">
        <v>172</v>
      </c>
      <c r="I1" s="35" t="s">
        <v>173</v>
      </c>
    </row>
    <row r="2" spans="1:9" ht="18.75" customHeight="1" x14ac:dyDescent="0.2">
      <c r="H2" s="35" t="s">
        <v>2</v>
      </c>
      <c r="I2" s="34" t="str">
        <f>'様式１-①　プログラムを構成する授業科目'!C2</f>
        <v>北陸大学</v>
      </c>
    </row>
    <row r="3" spans="1:9" ht="18.75" customHeight="1" x14ac:dyDescent="0.2">
      <c r="A3" s="108" t="s">
        <v>174</v>
      </c>
      <c r="B3" s="108"/>
      <c r="C3" s="108"/>
      <c r="D3" s="108"/>
      <c r="E3" s="108"/>
      <c r="F3" s="108"/>
      <c r="G3" s="108"/>
      <c r="H3" s="108"/>
      <c r="I3" s="108"/>
    </row>
    <row r="4" spans="1:9" ht="18.75" customHeight="1" x14ac:dyDescent="0.2">
      <c r="A4" s="5"/>
      <c r="B4" s="5"/>
      <c r="C4" s="5"/>
      <c r="D4" s="5"/>
      <c r="E4" s="5"/>
      <c r="F4" s="5"/>
      <c r="G4" s="5"/>
      <c r="H4" s="5"/>
      <c r="I4" s="5"/>
    </row>
    <row r="5" spans="1:9" ht="18.75" customHeight="1" x14ac:dyDescent="0.2">
      <c r="A5" s="1" t="s">
        <v>126</v>
      </c>
      <c r="B5" s="10" t="s">
        <v>175</v>
      </c>
      <c r="C5" s="5"/>
      <c r="D5" s="5"/>
      <c r="E5" s="5"/>
      <c r="F5" s="5"/>
      <c r="G5" s="5"/>
      <c r="H5" s="5"/>
      <c r="I5" s="5"/>
    </row>
    <row r="6" spans="1:9" ht="26.25" customHeight="1" x14ac:dyDescent="0.2">
      <c r="A6" s="5"/>
      <c r="B6" s="233" t="s">
        <v>141</v>
      </c>
      <c r="C6" s="261"/>
      <c r="D6" s="261"/>
      <c r="E6" s="261"/>
      <c r="F6" s="261"/>
      <c r="G6" s="261"/>
      <c r="H6" s="262"/>
      <c r="I6" s="3"/>
    </row>
    <row r="7" spans="1:9" ht="9" customHeight="1" x14ac:dyDescent="0.2">
      <c r="A7" s="5"/>
      <c r="B7" s="10"/>
      <c r="C7" s="10"/>
      <c r="D7" s="10"/>
      <c r="E7" s="10"/>
      <c r="F7" s="10"/>
      <c r="G7" s="10"/>
      <c r="H7" s="10"/>
      <c r="I7" s="3"/>
    </row>
    <row r="8" spans="1:9" ht="18.75" customHeight="1" x14ac:dyDescent="0.2">
      <c r="A8" s="5"/>
      <c r="B8" s="3"/>
      <c r="C8" s="3"/>
      <c r="D8" s="35" t="s">
        <v>135</v>
      </c>
      <c r="E8" s="36" t="s">
        <v>142</v>
      </c>
      <c r="F8" s="3"/>
      <c r="G8" s="35" t="s">
        <v>137</v>
      </c>
      <c r="H8" s="36" t="s">
        <v>176</v>
      </c>
      <c r="I8" s="3"/>
    </row>
    <row r="9" spans="1:9" ht="7.5" customHeight="1" x14ac:dyDescent="0.2">
      <c r="A9" s="5"/>
      <c r="B9" s="5"/>
      <c r="C9" s="5"/>
      <c r="D9" s="5"/>
      <c r="E9" s="5"/>
      <c r="F9" s="5"/>
      <c r="G9" s="5"/>
      <c r="H9" s="5"/>
      <c r="I9" s="5"/>
    </row>
    <row r="10" spans="1:9" ht="18.75" customHeight="1" x14ac:dyDescent="0.2">
      <c r="A10" s="1" t="s">
        <v>131</v>
      </c>
      <c r="B10" s="1" t="s">
        <v>177</v>
      </c>
      <c r="C10" s="4"/>
      <c r="D10" s="4"/>
      <c r="E10" s="4"/>
      <c r="F10" s="4"/>
      <c r="G10" s="4"/>
      <c r="H10" s="4"/>
      <c r="I10" s="4"/>
    </row>
    <row r="11" spans="1:9" ht="18.75" customHeight="1" x14ac:dyDescent="0.2">
      <c r="B11" s="94" t="s">
        <v>178</v>
      </c>
      <c r="C11" s="95"/>
      <c r="D11" s="96"/>
      <c r="E11" s="95" t="s">
        <v>179</v>
      </c>
      <c r="F11" s="95"/>
      <c r="G11" s="95"/>
      <c r="H11" s="95"/>
      <c r="I11" s="96"/>
    </row>
    <row r="12" spans="1:9" ht="26.25" customHeight="1" x14ac:dyDescent="0.2">
      <c r="B12" s="50" t="s">
        <v>180</v>
      </c>
      <c r="C12" s="57"/>
      <c r="D12" s="51"/>
      <c r="E12" s="58"/>
      <c r="F12" s="58"/>
      <c r="G12" s="58"/>
      <c r="H12" s="58"/>
      <c r="I12" s="51"/>
    </row>
    <row r="13" spans="1:9" ht="346.25" customHeight="1" x14ac:dyDescent="0.2">
      <c r="B13" s="52"/>
      <c r="C13" s="244" t="s">
        <v>181</v>
      </c>
      <c r="D13" s="245"/>
      <c r="E13" s="257" t="s">
        <v>182</v>
      </c>
      <c r="F13" s="246"/>
      <c r="G13" s="246"/>
      <c r="H13" s="246"/>
      <c r="I13" s="247"/>
    </row>
    <row r="14" spans="1:9" ht="169.25" customHeight="1" x14ac:dyDescent="0.2">
      <c r="B14" s="52"/>
      <c r="C14" s="259" t="s">
        <v>183</v>
      </c>
      <c r="D14" s="260"/>
      <c r="E14" s="257" t="s">
        <v>196</v>
      </c>
      <c r="F14" s="246"/>
      <c r="G14" s="246"/>
      <c r="H14" s="246"/>
      <c r="I14" s="247"/>
    </row>
    <row r="15" spans="1:9" ht="169.25" customHeight="1" x14ac:dyDescent="0.2">
      <c r="B15" s="52"/>
      <c r="C15" s="244" t="s">
        <v>184</v>
      </c>
      <c r="D15" s="245"/>
      <c r="E15" s="257" t="s">
        <v>185</v>
      </c>
      <c r="F15" s="246"/>
      <c r="G15" s="246"/>
      <c r="H15" s="246"/>
      <c r="I15" s="247"/>
    </row>
    <row r="16" spans="1:9" ht="183" customHeight="1" x14ac:dyDescent="0.2">
      <c r="B16" s="52"/>
      <c r="C16" s="244" t="s">
        <v>186</v>
      </c>
      <c r="D16" s="245"/>
      <c r="E16" s="257" t="s">
        <v>197</v>
      </c>
      <c r="F16" s="246"/>
      <c r="G16" s="246"/>
      <c r="H16" s="246"/>
      <c r="I16" s="247"/>
    </row>
    <row r="17" spans="2:9" ht="169.25" customHeight="1" x14ac:dyDescent="0.2">
      <c r="B17" s="53"/>
      <c r="C17" s="248" t="s">
        <v>187</v>
      </c>
      <c r="D17" s="249"/>
      <c r="E17" s="258" t="s">
        <v>198</v>
      </c>
      <c r="F17" s="250"/>
      <c r="G17" s="250"/>
      <c r="H17" s="250"/>
      <c r="I17" s="251"/>
    </row>
    <row r="18" spans="2:9" ht="24" customHeight="1" x14ac:dyDescent="0.2">
      <c r="B18" s="50" t="s">
        <v>188</v>
      </c>
      <c r="C18" s="54"/>
      <c r="D18" s="55"/>
      <c r="E18" s="56"/>
      <c r="F18" s="56"/>
      <c r="G18" s="56"/>
      <c r="H18" s="56"/>
      <c r="I18" s="59"/>
    </row>
    <row r="19" spans="2:9" ht="94.25" customHeight="1" x14ac:dyDescent="0.2">
      <c r="B19" s="52"/>
      <c r="C19" s="244" t="s">
        <v>189</v>
      </c>
      <c r="D19" s="245"/>
      <c r="E19" s="246" t="s">
        <v>190</v>
      </c>
      <c r="F19" s="246"/>
      <c r="G19" s="246"/>
      <c r="H19" s="246"/>
      <c r="I19" s="247"/>
    </row>
    <row r="20" spans="2:9" ht="185" customHeight="1" x14ac:dyDescent="0.2">
      <c r="B20" s="53"/>
      <c r="C20" s="248" t="s">
        <v>191</v>
      </c>
      <c r="D20" s="249"/>
      <c r="E20" s="250" t="s">
        <v>192</v>
      </c>
      <c r="F20" s="250"/>
      <c r="G20" s="250"/>
      <c r="H20" s="250"/>
      <c r="I20" s="251"/>
    </row>
    <row r="21" spans="2:9" ht="232.25" customHeight="1" x14ac:dyDescent="0.2">
      <c r="B21" s="252" t="s">
        <v>193</v>
      </c>
      <c r="C21" s="253"/>
      <c r="D21" s="254"/>
      <c r="E21" s="255" t="s">
        <v>199</v>
      </c>
      <c r="F21" s="255"/>
      <c r="G21" s="255"/>
      <c r="H21" s="255"/>
      <c r="I21" s="256"/>
    </row>
    <row r="22" spans="2:9" ht="226.25" customHeight="1" x14ac:dyDescent="0.2">
      <c r="B22" s="239" t="s">
        <v>194</v>
      </c>
      <c r="C22" s="240"/>
      <c r="D22" s="241"/>
      <c r="E22" s="242" t="s">
        <v>195</v>
      </c>
      <c r="F22" s="242"/>
      <c r="G22" s="242"/>
      <c r="H22" s="242"/>
      <c r="I22" s="243"/>
    </row>
    <row r="23" spans="2:9" ht="22.5" customHeight="1" x14ac:dyDescent="0.2">
      <c r="B23" s="4"/>
      <c r="C23" s="4"/>
      <c r="D23" s="4"/>
      <c r="E23" s="4"/>
      <c r="F23" s="4"/>
      <c r="G23" s="4"/>
      <c r="H23" s="4"/>
      <c r="I23" s="4"/>
    </row>
    <row r="24" spans="2:9" ht="22.5" customHeight="1" x14ac:dyDescent="0.2">
      <c r="B24" s="4"/>
      <c r="C24" s="4"/>
      <c r="D24" s="4"/>
      <c r="E24" s="4"/>
      <c r="F24" s="4"/>
      <c r="G24" s="4"/>
      <c r="H24" s="4"/>
      <c r="I24" s="4"/>
    </row>
    <row r="25" spans="2:9" ht="22.5" customHeight="1" x14ac:dyDescent="0.2">
      <c r="B25" s="4"/>
      <c r="C25" s="4"/>
      <c r="D25" s="4"/>
      <c r="E25" s="4"/>
      <c r="F25" s="4"/>
      <c r="G25" s="4"/>
      <c r="H25" s="4"/>
      <c r="I25" s="4"/>
    </row>
    <row r="26" spans="2:9" ht="22.5" customHeight="1" x14ac:dyDescent="0.2">
      <c r="B26" s="4"/>
      <c r="C26" s="4"/>
      <c r="D26" s="4"/>
      <c r="E26" s="4"/>
      <c r="F26" s="4"/>
      <c r="G26" s="4"/>
      <c r="H26" s="4"/>
      <c r="I26" s="4"/>
    </row>
    <row r="27" spans="2:9" ht="22.5" customHeight="1" x14ac:dyDescent="0.2">
      <c r="B27" s="4"/>
      <c r="C27" s="4"/>
      <c r="D27" s="4"/>
      <c r="E27" s="4"/>
      <c r="F27" s="4"/>
      <c r="G27" s="4"/>
      <c r="H27" s="4"/>
      <c r="I27" s="4"/>
    </row>
    <row r="28" spans="2:9" ht="22.5" customHeight="1" x14ac:dyDescent="0.2">
      <c r="B28" s="15"/>
      <c r="C28" s="15"/>
      <c r="D28" s="15"/>
      <c r="E28" s="15"/>
      <c r="F28" s="15"/>
      <c r="G28" s="15"/>
      <c r="H28" s="15"/>
      <c r="I28" s="15"/>
    </row>
    <row r="29" spans="2:9" ht="22.5" customHeight="1" x14ac:dyDescent="0.2">
      <c r="B29" s="15"/>
      <c r="C29" s="15"/>
      <c r="D29" s="15"/>
      <c r="E29" s="15"/>
      <c r="F29" s="15"/>
      <c r="G29" s="15"/>
      <c r="H29" s="15"/>
      <c r="I29" s="15"/>
    </row>
    <row r="30" spans="2:9" ht="22.5" customHeight="1" x14ac:dyDescent="0.2">
      <c r="B30" s="15"/>
      <c r="C30" s="15"/>
      <c r="D30" s="15"/>
      <c r="E30" s="15"/>
      <c r="F30" s="15"/>
      <c r="G30" s="15"/>
      <c r="H30" s="15"/>
      <c r="I30" s="15"/>
    </row>
  </sheetData>
  <mergeCells count="22">
    <mergeCell ref="C14:D14"/>
    <mergeCell ref="E14:I14"/>
    <mergeCell ref="A3:I3"/>
    <mergeCell ref="B11:D11"/>
    <mergeCell ref="E11:I11"/>
    <mergeCell ref="C13:D13"/>
    <mergeCell ref="E13:I13"/>
    <mergeCell ref="B6:H6"/>
    <mergeCell ref="C15:D15"/>
    <mergeCell ref="E15:I15"/>
    <mergeCell ref="C16:D16"/>
    <mergeCell ref="E16:I16"/>
    <mergeCell ref="C17:D17"/>
    <mergeCell ref="E17:I17"/>
    <mergeCell ref="B22:D22"/>
    <mergeCell ref="E22:I22"/>
    <mergeCell ref="C19:D19"/>
    <mergeCell ref="E19:I19"/>
    <mergeCell ref="C20:D20"/>
    <mergeCell ref="E20:I20"/>
    <mergeCell ref="B21:D21"/>
    <mergeCell ref="E21:I21"/>
  </mergeCells>
  <phoneticPr fontId="1"/>
  <printOptions horizontalCentered="1"/>
  <pageMargins left="0.78740157480314965" right="0.78740157480314965" top="0.78740157480314965" bottom="0.59055118110236227" header="0.31496062992125984" footer="0.31496062992125984"/>
  <pageSetup paperSize="9" scale="62" fitToHeight="0" orientation="portrait" horizontalDpi="300" verticalDpi="300" r:id="rId1"/>
  <headerFooter>
    <oddHeader>&amp;C数理・データサイエンス・AI教育プログラム認定制度【リテラシーレベル】</oddHeader>
  </headerFooter>
  <rowBreaks count="1" manualBreakCount="1">
    <brk id="16" max="8" man="1"/>
  </rowBreak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175914f3-9321-4d27-adb0-8f7c517548f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9D282AF9B440704DB2B8FA2F03781211" ma:contentTypeVersion="14" ma:contentTypeDescription="新しいドキュメントを作成します。" ma:contentTypeScope="" ma:versionID="6c1fdc7e5acd3546a45e0594736714f6">
  <xsd:schema xmlns:xsd="http://www.w3.org/2001/XMLSchema" xmlns:xs="http://www.w3.org/2001/XMLSchema" xmlns:p="http://schemas.microsoft.com/office/2006/metadata/properties" xmlns:ns3="f7860370-6574-4ce5-8ffb-6f0964484f2f" xmlns:ns4="175914f3-9321-4d27-adb0-8f7c517548fc" targetNamespace="http://schemas.microsoft.com/office/2006/metadata/properties" ma:root="true" ma:fieldsID="497461dbc8446be81c5c2443b6f4d994" ns3:_="" ns4:_="">
    <xsd:import namespace="f7860370-6574-4ce5-8ffb-6f0964484f2f"/>
    <xsd:import namespace="175914f3-9321-4d27-adb0-8f7c517548fc"/>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DateTaken" minOccurs="0"/>
                <xsd:element ref="ns4:MediaServiceAutoTags" minOccurs="0"/>
                <xsd:element ref="ns4:MediaServiceGenerationTime" minOccurs="0"/>
                <xsd:element ref="ns4:MediaServiceEventHashCode" minOccurs="0"/>
                <xsd:element ref="ns4:MediaServiceOCR" minOccurs="0"/>
                <xsd:element ref="ns4:MediaServiceAutoKeyPoints" minOccurs="0"/>
                <xsd:element ref="ns4:MediaServiceKeyPoints" minOccurs="0"/>
                <xsd:element ref="ns4:MediaLengthInSeconds" minOccurs="0"/>
                <xsd:element ref="ns4: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7860370-6574-4ce5-8ffb-6f0964484f2f"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75914f3-9321-4d27-adb0-8f7c517548fc"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ternalName="MediaServiceDateTaken" ma:readOnly="true">
      <xsd:simpleType>
        <xsd:restriction base="dms:Text"/>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_activity" ma:index="21"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462CC06-0AC5-42F4-9C6B-E12452752C1F}">
  <ds:schemaRefs>
    <ds:schemaRef ds:uri="http://schemas.openxmlformats.org/package/2006/metadata/core-properties"/>
    <ds:schemaRef ds:uri="http://www.w3.org/XML/1998/namespace"/>
    <ds:schemaRef ds:uri="http://schemas.microsoft.com/office/2006/documentManagement/types"/>
    <ds:schemaRef ds:uri="http://purl.org/dc/terms/"/>
    <ds:schemaRef ds:uri="175914f3-9321-4d27-adb0-8f7c517548fc"/>
    <ds:schemaRef ds:uri="http://purl.org/dc/dcmitype/"/>
    <ds:schemaRef ds:uri="http://purl.org/dc/elements/1.1/"/>
    <ds:schemaRef ds:uri="http://schemas.microsoft.com/office/infopath/2007/PartnerControls"/>
    <ds:schemaRef ds:uri="f7860370-6574-4ce5-8ffb-6f0964484f2f"/>
    <ds:schemaRef ds:uri="http://schemas.microsoft.com/office/2006/metadata/properties"/>
  </ds:schemaRefs>
</ds:datastoreItem>
</file>

<file path=customXml/itemProps2.xml><?xml version="1.0" encoding="utf-8"?>
<ds:datastoreItem xmlns:ds="http://schemas.openxmlformats.org/officeDocument/2006/customXml" ds:itemID="{D83432FF-D35F-429E-9AD3-9D0C80E3F422}">
  <ds:schemaRefs>
    <ds:schemaRef ds:uri="http://schemas.microsoft.com/sharepoint/v3/contenttype/forms"/>
  </ds:schemaRefs>
</ds:datastoreItem>
</file>

<file path=customXml/itemProps3.xml><?xml version="1.0" encoding="utf-8"?>
<ds:datastoreItem xmlns:ds="http://schemas.openxmlformats.org/officeDocument/2006/customXml" ds:itemID="{50DC1DA5-C513-4A46-B544-F68CEF27B0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7860370-6574-4ce5-8ffb-6f0964484f2f"/>
    <ds:schemaRef ds:uri="175914f3-9321-4d27-adb0-8f7c517548f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8</vt:i4>
      </vt:variant>
    </vt:vector>
  </HeadingPairs>
  <TitlesOfParts>
    <vt:vector size="15" baseType="lpstr">
      <vt:lpstr>様式１-①　プログラムを構成する授業科目</vt:lpstr>
      <vt:lpstr>様式１-②　プログラムを構成する授業科目</vt:lpstr>
      <vt:lpstr>様式１-③　プログラムを構成する授業科目</vt:lpstr>
      <vt:lpstr>様式１-④　プログラムを構成する授業科目</vt:lpstr>
      <vt:lpstr>様式２ 履修者等数の実績</vt:lpstr>
      <vt:lpstr>様式３ 教育の質・履修者数を向上させるための体制・計画</vt:lpstr>
      <vt:lpstr>様式４　自己点検・評価</vt:lpstr>
      <vt:lpstr>'様式１-①　プログラムを構成する授業科目'!Print_Area</vt:lpstr>
      <vt:lpstr>'様式１-②　プログラムを構成する授業科目'!Print_Area</vt:lpstr>
      <vt:lpstr>'様式１-③　プログラムを構成する授業科目'!Print_Area</vt:lpstr>
      <vt:lpstr>'様式１-④　プログラムを構成する授業科目'!Print_Area</vt:lpstr>
      <vt:lpstr>'様式２ 履修者等数の実績'!Print_Area</vt:lpstr>
      <vt:lpstr>'様式３ 教育の質・履修者数を向上させるための体制・計画'!Print_Area</vt:lpstr>
      <vt:lpstr>'様式４　自己点検・評価'!Print_Area</vt:lpstr>
      <vt:lpstr>'様式４　自己点検・評価'!Print_Titles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文部科学省</dc:creator>
  <cp:keywords/>
  <dc:description/>
  <cp:lastModifiedBy>Eguchi</cp:lastModifiedBy>
  <cp:revision/>
  <cp:lastPrinted>2023-07-10T04:14:37Z</cp:lastPrinted>
  <dcterms:created xsi:type="dcterms:W3CDTF">2011-06-14T05:32:50Z</dcterms:created>
  <dcterms:modified xsi:type="dcterms:W3CDTF">2023-07-10T04:54:34Z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899a617-f30e-4fb8-b81c-fb6d0b94ac5b_Enabled">
    <vt:lpwstr>true</vt:lpwstr>
  </property>
  <property fmtid="{D5CDD505-2E9C-101B-9397-08002B2CF9AE}" pid="3" name="MSIP_Label_d899a617-f30e-4fb8-b81c-fb6d0b94ac5b_SetDate">
    <vt:lpwstr>2022-02-15T08:32:27Z</vt:lpwstr>
  </property>
  <property fmtid="{D5CDD505-2E9C-101B-9397-08002B2CF9AE}" pid="4" name="MSIP_Label_d899a617-f30e-4fb8-b81c-fb6d0b94ac5b_Method">
    <vt:lpwstr>Standard</vt:lpwstr>
  </property>
  <property fmtid="{D5CDD505-2E9C-101B-9397-08002B2CF9AE}" pid="5" name="MSIP_Label_d899a617-f30e-4fb8-b81c-fb6d0b94ac5b_Name">
    <vt:lpwstr>機密性2情報</vt:lpwstr>
  </property>
  <property fmtid="{D5CDD505-2E9C-101B-9397-08002B2CF9AE}" pid="6" name="MSIP_Label_d899a617-f30e-4fb8-b81c-fb6d0b94ac5b_SiteId">
    <vt:lpwstr>545810b0-36cb-4290-8926-48dbc0f9e92f</vt:lpwstr>
  </property>
  <property fmtid="{D5CDD505-2E9C-101B-9397-08002B2CF9AE}" pid="7" name="MSIP_Label_d899a617-f30e-4fb8-b81c-fb6d0b94ac5b_ActionId">
    <vt:lpwstr>2e617815-3938-4bbf-9581-e4cafc8cacf8</vt:lpwstr>
  </property>
  <property fmtid="{D5CDD505-2E9C-101B-9397-08002B2CF9AE}" pid="8" name="MSIP_Label_d899a617-f30e-4fb8-b81c-fb6d0b94ac5b_ContentBits">
    <vt:lpwstr>0</vt:lpwstr>
  </property>
  <property fmtid="{D5CDD505-2E9C-101B-9397-08002B2CF9AE}" pid="9" name="ContentTypeId">
    <vt:lpwstr>0x0101009D282AF9B440704DB2B8FA2F03781211</vt:lpwstr>
  </property>
</Properties>
</file>