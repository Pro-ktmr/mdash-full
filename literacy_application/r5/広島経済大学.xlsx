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defaultThemeVersion="124226"/>
  <mc:AlternateContent xmlns:mc="http://schemas.openxmlformats.org/markup-compatibility/2006">
    <mc:Choice Requires="x15">
      <x15ac:absPath xmlns:x15ac="http://schemas.microsoft.com/office/spreadsheetml/2010/11/ac" url="\\file.campus.hue.ac.jp\staff\教務課\数理・データサイエンス・AI教育プログラム認定制度(2023年度申請予定)\●20230511_申請  ●20230629_修正\●20230629_修正\広島経済大学\"/>
    </mc:Choice>
  </mc:AlternateContent>
  <xr:revisionPtr revIDLastSave="0" documentId="13_ncr:1_{745098AF-A438-4D87-BB4E-07B563B41937}" xr6:coauthVersionLast="36" xr6:coauthVersionMax="36" xr10:uidLastSave="{00000000-0000-0000-0000-000000000000}"/>
  <bookViews>
    <workbookView xWindow="630" yWindow="630" windowWidth="13410" windowHeight="1177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プログラムを構成する授業科目'!#REF!</definedName>
    <definedName name="_xlnm._FilterDatabase" localSheetId="1" hidden="1">'様式２ 履修者等数の実績'!#REF!</definedName>
    <definedName name="_xlnm.Print_Area" localSheetId="0">'様式１　プログラムを構成する授業科目'!$A$1:$S$104</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I2" i="42" l="1"/>
  <c r="H2" i="41"/>
  <c r="AO32" i="40"/>
  <c r="AN32" i="40"/>
  <c r="AL32" i="40"/>
  <c r="AK32" i="40"/>
  <c r="AI32" i="40"/>
  <c r="AH32" i="40"/>
  <c r="AF32" i="40"/>
  <c r="AE32" i="40"/>
  <c r="AC32" i="40"/>
  <c r="AB32" i="40"/>
  <c r="Z32" i="40"/>
  <c r="Y32" i="40"/>
  <c r="W32" i="40"/>
  <c r="V32" i="40"/>
  <c r="T32" i="40"/>
  <c r="S32" i="40"/>
  <c r="Q32" i="40"/>
  <c r="P32" i="40"/>
  <c r="N32" i="40"/>
  <c r="M32" i="40"/>
  <c r="K32" i="40"/>
  <c r="J32" i="40"/>
  <c r="H32" i="40"/>
  <c r="G32" i="40"/>
  <c r="E32" i="40"/>
  <c r="I50" i="41" s="1"/>
  <c r="D32" i="40"/>
  <c r="C32" i="40"/>
  <c r="AM31" i="40"/>
  <c r="AJ31" i="40"/>
  <c r="AG31" i="40"/>
  <c r="AD31" i="40"/>
  <c r="AA31" i="40"/>
  <c r="X31" i="40"/>
  <c r="U31" i="40"/>
  <c r="R31" i="40"/>
  <c r="O31" i="40"/>
  <c r="L31" i="40"/>
  <c r="I31" i="40"/>
  <c r="F31" i="40"/>
  <c r="AM30" i="40"/>
  <c r="AJ30" i="40"/>
  <c r="AG30" i="40"/>
  <c r="AD30" i="40"/>
  <c r="AA30" i="40"/>
  <c r="X30" i="40"/>
  <c r="U30" i="40"/>
  <c r="R30" i="40"/>
  <c r="O30" i="40"/>
  <c r="L30" i="40"/>
  <c r="I30" i="40"/>
  <c r="F30" i="40"/>
  <c r="AM29" i="40"/>
  <c r="AJ29" i="40"/>
  <c r="AG29" i="40"/>
  <c r="AD29" i="40"/>
  <c r="AA29" i="40"/>
  <c r="X29" i="40"/>
  <c r="U29" i="40"/>
  <c r="R29" i="40"/>
  <c r="O29" i="40"/>
  <c r="L29" i="40"/>
  <c r="I29" i="40"/>
  <c r="F29" i="40"/>
  <c r="AM28" i="40"/>
  <c r="AJ28" i="40"/>
  <c r="AG28" i="40"/>
  <c r="AD28" i="40"/>
  <c r="AA28" i="40"/>
  <c r="X28" i="40"/>
  <c r="U28" i="40"/>
  <c r="R28" i="40"/>
  <c r="O28" i="40"/>
  <c r="L28" i="40"/>
  <c r="I28" i="40"/>
  <c r="F28" i="40"/>
  <c r="AM27" i="40"/>
  <c r="AJ27" i="40"/>
  <c r="AG27" i="40"/>
  <c r="AD27" i="40"/>
  <c r="AA27" i="40"/>
  <c r="X27" i="40"/>
  <c r="U27" i="40"/>
  <c r="R27" i="40"/>
  <c r="O27" i="40"/>
  <c r="L27" i="40"/>
  <c r="I27" i="40"/>
  <c r="F27" i="40"/>
  <c r="AM26" i="40"/>
  <c r="AJ26" i="40"/>
  <c r="AG26" i="40"/>
  <c r="AD26" i="40"/>
  <c r="AA26" i="40"/>
  <c r="X26" i="40"/>
  <c r="U26" i="40"/>
  <c r="R26" i="40"/>
  <c r="O26" i="40"/>
  <c r="L26" i="40"/>
  <c r="I26" i="40"/>
  <c r="F26" i="40"/>
  <c r="AM25" i="40"/>
  <c r="AJ25" i="40"/>
  <c r="AG25" i="40"/>
  <c r="AD25" i="40"/>
  <c r="AA25" i="40"/>
  <c r="X25" i="40"/>
  <c r="U25" i="40"/>
  <c r="R25" i="40"/>
  <c r="O25" i="40"/>
  <c r="L25" i="40"/>
  <c r="I25" i="40"/>
  <c r="F25" i="40"/>
  <c r="AM24" i="40"/>
  <c r="AJ24" i="40"/>
  <c r="AG24" i="40"/>
  <c r="AD24" i="40"/>
  <c r="AA24" i="40"/>
  <c r="X24" i="40"/>
  <c r="U24" i="40"/>
  <c r="R24" i="40"/>
  <c r="O24" i="40"/>
  <c r="L24" i="40"/>
  <c r="I24" i="40"/>
  <c r="F24" i="40"/>
  <c r="AM23" i="40"/>
  <c r="AJ23" i="40"/>
  <c r="AG23" i="40"/>
  <c r="AD23" i="40"/>
  <c r="AA23" i="40"/>
  <c r="X23" i="40"/>
  <c r="U23" i="40"/>
  <c r="R23" i="40"/>
  <c r="O23" i="40"/>
  <c r="L23" i="40"/>
  <c r="I23" i="40"/>
  <c r="F23" i="40"/>
  <c r="AM22" i="40"/>
  <c r="AJ22" i="40"/>
  <c r="AG22" i="40"/>
  <c r="AD22" i="40"/>
  <c r="AA22" i="40"/>
  <c r="X22" i="40"/>
  <c r="U22" i="40"/>
  <c r="R22" i="40"/>
  <c r="O22" i="40"/>
  <c r="L22" i="40"/>
  <c r="I22" i="40"/>
  <c r="F22" i="40"/>
  <c r="AM21" i="40"/>
  <c r="AJ21" i="40"/>
  <c r="AG21" i="40"/>
  <c r="AD21" i="40"/>
  <c r="AA21" i="40"/>
  <c r="X21" i="40"/>
  <c r="U21" i="40"/>
  <c r="R21" i="40"/>
  <c r="O21" i="40"/>
  <c r="L21" i="40"/>
  <c r="I21" i="40"/>
  <c r="F21" i="40"/>
  <c r="AM20" i="40"/>
  <c r="AJ20" i="40"/>
  <c r="AG20" i="40"/>
  <c r="AD20" i="40"/>
  <c r="AA20" i="40"/>
  <c r="X20" i="40"/>
  <c r="U20" i="40"/>
  <c r="R20" i="40"/>
  <c r="O20" i="40"/>
  <c r="L20" i="40"/>
  <c r="AM19" i="40"/>
  <c r="AJ19" i="40"/>
  <c r="AG19" i="40"/>
  <c r="AD19" i="40"/>
  <c r="AA19" i="40"/>
  <c r="X19" i="40"/>
  <c r="U19" i="40"/>
  <c r="R19" i="40"/>
  <c r="O19" i="40"/>
  <c r="L19" i="40"/>
  <c r="AM18" i="40"/>
  <c r="AJ18" i="40"/>
  <c r="AG18" i="40"/>
  <c r="AD18" i="40"/>
  <c r="AA18" i="40"/>
  <c r="X18" i="40"/>
  <c r="U18" i="40"/>
  <c r="R18" i="40"/>
  <c r="O18" i="40"/>
  <c r="L18" i="40"/>
  <c r="AM17" i="40"/>
  <c r="AJ17" i="40"/>
  <c r="AG17" i="40"/>
  <c r="AD17" i="40"/>
  <c r="AA17" i="40"/>
  <c r="X17" i="40"/>
  <c r="U17" i="40"/>
  <c r="R17" i="40"/>
  <c r="O17" i="40"/>
  <c r="L17" i="40"/>
  <c r="AM16" i="40"/>
  <c r="AJ16" i="40"/>
  <c r="AG16" i="40"/>
  <c r="AD16" i="40"/>
  <c r="AA16" i="40"/>
  <c r="X16" i="40"/>
  <c r="U16" i="40"/>
  <c r="R16" i="40"/>
  <c r="O16" i="40"/>
  <c r="L16" i="40"/>
  <c r="I16" i="40"/>
  <c r="F16" i="40"/>
  <c r="AM15" i="40"/>
  <c r="AJ15" i="40"/>
  <c r="AG15" i="40"/>
  <c r="AD15" i="40"/>
  <c r="AA15" i="40"/>
  <c r="X15" i="40"/>
  <c r="U15" i="40"/>
  <c r="R15" i="40"/>
  <c r="O15" i="40"/>
  <c r="L15" i="40"/>
  <c r="I15" i="40"/>
  <c r="F15" i="40"/>
  <c r="AP15" i="40" s="1"/>
  <c r="AQ15" i="40" s="1"/>
  <c r="AM14" i="40"/>
  <c r="AJ14" i="40"/>
  <c r="AG14" i="40"/>
  <c r="AD14" i="40"/>
  <c r="AA14" i="40"/>
  <c r="X14" i="40"/>
  <c r="U14" i="40"/>
  <c r="R14" i="40"/>
  <c r="O14" i="40"/>
  <c r="L14" i="40"/>
  <c r="I14" i="40"/>
  <c r="F14" i="40"/>
  <c r="AM13" i="40"/>
  <c r="AJ13" i="40"/>
  <c r="AG13" i="40"/>
  <c r="AD13" i="40"/>
  <c r="AA13" i="40"/>
  <c r="X13" i="40"/>
  <c r="U13" i="40"/>
  <c r="R13" i="40"/>
  <c r="O13" i="40"/>
  <c r="L13" i="40"/>
  <c r="I13" i="40"/>
  <c r="I32" i="40" s="1"/>
  <c r="F13" i="40"/>
  <c r="AM12" i="40"/>
  <c r="AJ12" i="40"/>
  <c r="AG12" i="40"/>
  <c r="AD12" i="40"/>
  <c r="AA12" i="40"/>
  <c r="X12" i="40"/>
  <c r="X32" i="40" s="1"/>
  <c r="U12" i="40"/>
  <c r="U32" i="40" s="1"/>
  <c r="R12" i="40"/>
  <c r="O12" i="40"/>
  <c r="L12" i="40"/>
  <c r="L32" i="40" s="1"/>
  <c r="AM2" i="40"/>
  <c r="AA32" i="40" l="1"/>
  <c r="AD32" i="40"/>
  <c r="AP18" i="40"/>
  <c r="AQ18" i="40" s="1"/>
  <c r="AG32" i="40"/>
  <c r="AP14" i="40"/>
  <c r="AQ14" i="40" s="1"/>
  <c r="AP21" i="40"/>
  <c r="AQ21" i="40" s="1"/>
  <c r="AP25" i="40"/>
  <c r="AQ25" i="40" s="1"/>
  <c r="AP29" i="40"/>
  <c r="AQ29" i="40" s="1"/>
  <c r="AM32" i="40"/>
  <c r="AP24" i="40"/>
  <c r="AQ24" i="40" s="1"/>
  <c r="AP28" i="40"/>
  <c r="AQ28" i="40" s="1"/>
  <c r="AP20" i="40"/>
  <c r="AQ20" i="40" s="1"/>
  <c r="AP31" i="40"/>
  <c r="AQ31" i="40" s="1"/>
  <c r="AP12" i="40"/>
  <c r="AQ12" i="40" s="1"/>
  <c r="AP23" i="40"/>
  <c r="AQ23" i="40" s="1"/>
  <c r="AJ32" i="40"/>
  <c r="AP13" i="40"/>
  <c r="AQ13" i="40" s="1"/>
  <c r="AP17" i="40"/>
  <c r="AQ17" i="40" s="1"/>
  <c r="AP27" i="40"/>
  <c r="AQ27" i="40" s="1"/>
  <c r="AP19" i="40"/>
  <c r="AQ19" i="40" s="1"/>
  <c r="AP22" i="40"/>
  <c r="AQ22" i="40" s="1"/>
  <c r="AP26" i="40"/>
  <c r="AQ26" i="40" s="1"/>
  <c r="AP30" i="40"/>
  <c r="AQ30" i="40" s="1"/>
  <c r="O32" i="40"/>
  <c r="R32" i="40"/>
  <c r="AP16" i="40"/>
  <c r="AQ16" i="40" s="1"/>
  <c r="F32" i="40"/>
  <c r="AP32" i="40" l="1"/>
  <c r="AQ32" i="40" s="1"/>
  <c r="C49" i="41" s="1"/>
</calcChain>
</file>

<file path=xl/sharedStrings.xml><?xml version="1.0" encoding="utf-8"?>
<sst xmlns="http://schemas.openxmlformats.org/spreadsheetml/2006/main" count="308" uniqueCount="181">
  <si>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</si>
  <si>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</si>
  <si>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</si>
  <si>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</si>
  <si>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</si>
  <si>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</si>
  <si>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</si>
  <si>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</si>
  <si>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</si>
  <si>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</si>
  <si>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</si>
  <si>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</si>
  <si>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</si>
  <si>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</si>
  <si>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</si>
  <si>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</si>
  <si>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</si>
  <si>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</si>
  <si>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</si>
  <si>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</si>
  <si>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</si>
  <si>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</si>
  <si>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</si>
  <si>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</si>
  <si>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</si>
  <si>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</si>
  <si>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</si>
  <si>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</si>
  <si>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</si>
  <si>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</si>
  <si>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</si>
  <si>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</si>
  <si>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</si>
  <si>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</si>
  <si>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</si>
  <si>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</si>
  <si>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</si>
  <si>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</si>
  <si>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</si>
  <si>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</si>
  <si>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</si>
  <si>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</si>
  <si>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</si>
  <si>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</si>
  <si>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</si>
  <si>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</si>
  <si>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</si>
  <si>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</si>
  <si>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</si>
  <si>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</si>
  <si>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</si>
  <si>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</si>
  <si>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</si>
  <si>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</si>
  <si>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</si>
  <si>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</si>
  <si>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</si>
  <si>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</si>
  <si>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</si>
  <si>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</si>
  <si>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</si>
  <si>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</si>
  <si>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</si>
  <si>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</si>
  <si>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</si>
  <si>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</si>
  <si>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</si>
  <si>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</si>
  <si>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</si>
  <si>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</si>
  <si>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</si>
  <si>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</si>
  <si>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</si>
  <si>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</si>
  <si>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</si>
  <si>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</si>
  <si>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</si>
  <si>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</si>
  <si>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</si>
  <si>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</si>
  <si>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</si>
  <si>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</si>
  <si>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</si>
  <si>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</si>
  <si>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</si>
  <si>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</si>
  <si>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</si>
  <si>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</si>
  <si>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</si>
  <si>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</si>
  <si>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</si>
  <si>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</si>
  <si>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</si>
  <si>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</si>
  <si>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</si>
  <si>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</si>
  <si>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</si>
  <si>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</si>
  <si>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</si>
  <si>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</si>
  <si>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</si>
  <si>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</si>
  <si>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</si>
  <si>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</si>
  <si>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</si>
  <si>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</si>
  <si>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</si>
  <si>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</si>
  <si>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</si>
  <si>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</si>
  <si>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</si>
  <si>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</si>
  <si>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</si>
  <si>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</si>
  <si>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</si>
  <si>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</si>
  <si>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</si>
  <si>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</si>
  <si>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</si>
  <si>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</si>
  <si>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① 対象となる学部・学科名称</t>
    <phoneticPr fontId="1"/>
  </si>
  <si>
    <t>令和８年度以降に履修必須とする計画、又は未定</t>
    <rPh sb="18" eb="19">
      <t>マタ</t>
    </rPh>
    <rPh sb="20" eb="22">
      <t>ミテイ</t>
    </rPh>
    <phoneticPr fontId="1"/>
  </si>
  <si>
    <t>広島経済大学</t>
    <rPh sb="0" eb="4">
      <t>ヒロシマケイザイ</t>
    </rPh>
    <rPh sb="4" eb="6">
      <t>ダイガク</t>
    </rPh>
    <phoneticPr fontId="1"/>
  </si>
  <si>
    <t>学部・学科によって、修了要件は相違しない</t>
  </si>
  <si>
    <t>経</t>
    <rPh sb="0" eb="1">
      <t>キョウ</t>
    </rPh>
    <phoneticPr fontId="1"/>
  </si>
  <si>
    <t>「AIリテラシー入門」 （共通科目群 基礎教養科目）2単位を取得すること。</t>
    <phoneticPr fontId="1"/>
  </si>
  <si>
    <t>AIリテラシー入門</t>
    <phoneticPr fontId="1"/>
  </si>
  <si>
    <t>4‐6画像解析</t>
  </si>
  <si>
    <t>4‐2アルゴリズム基礎</t>
  </si>
  <si>
    <t>4‐4時系列データ解析</t>
  </si>
  <si>
    <t>4‐5テキスト解析</t>
  </si>
  <si>
    <t>○</t>
  </si>
  <si>
    <t>経済学部　経済学科</t>
    <rPh sb="0" eb="2">
      <t>ケイザイ</t>
    </rPh>
    <rPh sb="2" eb="4">
      <t>ガクブ</t>
    </rPh>
    <rPh sb="5" eb="7">
      <t>ケイザイ</t>
    </rPh>
    <phoneticPr fontId="1"/>
  </si>
  <si>
    <t>経営学部　経営学科</t>
    <rPh sb="0" eb="2">
      <t>ケイエイ</t>
    </rPh>
    <rPh sb="2" eb="4">
      <t>ガクブ</t>
    </rPh>
    <rPh sb="5" eb="7">
      <t>ケイエイ</t>
    </rPh>
    <rPh sb="7" eb="9">
      <t>ガッカ</t>
    </rPh>
    <phoneticPr fontId="1"/>
  </si>
  <si>
    <t>経営学部　スポーツ経営学科</t>
    <rPh sb="0" eb="2">
      <t>ケイエイ</t>
    </rPh>
    <rPh sb="2" eb="4">
      <t>ガクブ</t>
    </rPh>
    <rPh sb="9" eb="11">
      <t>ケイエイ</t>
    </rPh>
    <rPh sb="11" eb="13">
      <t>ガッカ</t>
    </rPh>
    <phoneticPr fontId="1"/>
  </si>
  <si>
    <t>メディアビジネス学部 ビジネス情報学科</t>
    <rPh sb="8" eb="10">
      <t>ガクブ</t>
    </rPh>
    <rPh sb="15" eb="19">
      <t>ジョウホウガッカ</t>
    </rPh>
    <phoneticPr fontId="1"/>
  </si>
  <si>
    <t>メディアビジネス学部 メディアビジネス学科</t>
    <rPh sb="8" eb="10">
      <t>ガクブ</t>
    </rPh>
    <rPh sb="19" eb="21">
      <t>ガッカ</t>
    </rPh>
    <phoneticPr fontId="1"/>
  </si>
  <si>
    <t>北野 尚人</t>
    <rPh sb="0" eb="5">
      <t>キタ</t>
    </rPh>
    <phoneticPr fontId="1"/>
  </si>
  <si>
    <t>メディアビジネス学部学部長・教授</t>
    <rPh sb="8" eb="10">
      <t>ガクブ</t>
    </rPh>
    <rPh sb="10" eb="12">
      <t>ガクブ</t>
    </rPh>
    <rPh sb="12" eb="13">
      <t>チョウ</t>
    </rPh>
    <rPh sb="14" eb="16">
      <t>キョウジュ</t>
    </rPh>
    <phoneticPr fontId="1"/>
  </si>
  <si>
    <t>石田 優子</t>
    <phoneticPr fontId="1"/>
  </si>
  <si>
    <t>丹羽 啓一</t>
    <phoneticPr fontId="1"/>
  </si>
  <si>
    <t>メディアビジネス学部ビジネス情報学科主任・教授</t>
    <rPh sb="21" eb="23">
      <t>キョウジュ</t>
    </rPh>
    <phoneticPr fontId="1"/>
  </si>
  <si>
    <t>令和４</t>
    <rPh sb="0" eb="2">
      <t>レイワ</t>
    </rPh>
    <phoneticPr fontId="1"/>
  </si>
  <si>
    <t>データサイエンス教育プログラム推進ワーキンググループ</t>
    <rPh sb="15" eb="17">
      <t>スイシン</t>
    </rPh>
    <phoneticPr fontId="1"/>
  </si>
  <si>
    <t>データサイエンス教育プログラム</t>
    <rPh sb="8" eb="10">
      <t>キョウイク</t>
    </rPh>
    <phoneticPr fontId="1"/>
  </si>
  <si>
    <t>経済学部　経営学科</t>
    <rPh sb="0" eb="2">
      <t>ケイザイ</t>
    </rPh>
    <rPh sb="2" eb="4">
      <t>ガクブ</t>
    </rPh>
    <rPh sb="5" eb="7">
      <t>ケイエイ</t>
    </rPh>
    <rPh sb="7" eb="9">
      <t>ガッカ</t>
    </rPh>
    <phoneticPr fontId="1"/>
  </si>
  <si>
    <t>経済学部　 ビジネス情報学科</t>
    <rPh sb="0" eb="2">
      <t>ケイザイ</t>
    </rPh>
    <rPh sb="2" eb="4">
      <t>ガクブ</t>
    </rPh>
    <phoneticPr fontId="1"/>
  </si>
  <si>
    <t>経済学部 スポーツ経営学科</t>
    <rPh sb="0" eb="2">
      <t>ケイザイ</t>
    </rPh>
    <rPh sb="2" eb="4">
      <t>ガクブ</t>
    </rPh>
    <phoneticPr fontId="1"/>
  </si>
  <si>
    <t>経済学部 メディアビジネス学科</t>
    <rPh sb="0" eb="2">
      <t>ケイザイ</t>
    </rPh>
    <rPh sb="2" eb="4">
      <t>ガクブ</t>
    </rPh>
    <phoneticPr fontId="1"/>
  </si>
  <si>
    <t>自己点検・評価委員会</t>
    <phoneticPr fontId="1"/>
  </si>
  <si>
    <t>学長　・　自己点検・評価委員会委員長</t>
    <phoneticPr fontId="1"/>
  </si>
  <si>
    <t>　広島経済大学に在籍するすべての学生がリテラシーレベルの数理・データサイエンス・AI教育を学ぶことのできる環境を整備し、身につけた数理・データサイエンス・AIに関する能力（知識とスキル）を、学生が卒業後の個々の実務現場で発揮できることを目指し、学部・学科、部署間の枠を超えて、全学的な取り組みを行うことを目的として組織されたワーキンググループとする。
　 ワーキンググルーブは主に教育プログラムの企画・立案、改善・進化を担当し、プログラムを構成する科目の設置を管轄する教養教育部会と科目担当教員が所属するメディアビジネス学部、学務センター教務課が中心となって、目的の達成を目指す。
　 自己点検評価は、既存組織である自己点検・評価委員会が担当する。それぞれの役割分担が明確であり、PDCAサイクルを機能させる組織体制となっている。</t>
    <rPh sb="7" eb="9">
      <t>ザイセキ</t>
    </rPh>
    <rPh sb="15" eb="17">
      <t>ガクセイ</t>
    </rPh>
    <rPh sb="27" eb="29">
      <t>スウリ</t>
    </rPh>
    <rPh sb="41" eb="43">
      <t>キョウイク</t>
    </rPh>
    <rPh sb="44" eb="45">
      <t>マナ</t>
    </rPh>
    <rPh sb="52" eb="54">
      <t>カンキョウ</t>
    </rPh>
    <rPh sb="55" eb="57">
      <t>セイビ</t>
    </rPh>
    <rPh sb="64" eb="66">
      <t>スウリ</t>
    </rPh>
    <rPh sb="79" eb="80">
      <t>カン</t>
    </rPh>
    <rPh sb="82" eb="84">
      <t>ノウリョク</t>
    </rPh>
    <rPh sb="85" eb="87">
      <t>チシキ</t>
    </rPh>
    <rPh sb="118" eb="120">
      <t>メザ</t>
    </rPh>
    <rPh sb="121" eb="123">
      <t>ガクブ</t>
    </rPh>
    <rPh sb="124" eb="126">
      <t>ガッカ</t>
    </rPh>
    <rPh sb="127" eb="130">
      <t>ブショカン</t>
    </rPh>
    <rPh sb="131" eb="132">
      <t>ワク</t>
    </rPh>
    <rPh sb="133" eb="134">
      <t>コ</t>
    </rPh>
    <rPh sb="137" eb="140">
      <t>ゼンガクテキ</t>
    </rPh>
    <rPh sb="141" eb="142">
      <t>ト</t>
    </rPh>
    <rPh sb="143" eb="144">
      <t>ク</t>
    </rPh>
    <rPh sb="146" eb="147">
      <t>オコナ</t>
    </rPh>
    <rPh sb="152" eb="154">
      <t>モクテキ</t>
    </rPh>
    <rPh sb="187" eb="188">
      <t>オモ</t>
    </rPh>
    <rPh sb="189" eb="191">
      <t>キョウイク</t>
    </rPh>
    <rPh sb="197" eb="199">
      <t>キカク</t>
    </rPh>
    <rPh sb="200" eb="202">
      <t>リツアン</t>
    </rPh>
    <rPh sb="207" eb="209">
      <t>シンカ</t>
    </rPh>
    <rPh sb="209" eb="211">
      <t>タントウ</t>
    </rPh>
    <rPh sb="220" eb="222">
      <t>コウセイ</t>
    </rPh>
    <rPh sb="224" eb="226">
      <t>カモク</t>
    </rPh>
    <rPh sb="227" eb="229">
      <t>セッチ</t>
    </rPh>
    <rPh sb="230" eb="232">
      <t>カンカツ</t>
    </rPh>
    <rPh sb="234" eb="236">
      <t>キョウヨウ</t>
    </rPh>
    <rPh sb="236" eb="238">
      <t>キョウイク</t>
    </rPh>
    <rPh sb="238" eb="240">
      <t>ブカイ</t>
    </rPh>
    <rPh sb="241" eb="243">
      <t>カモク</t>
    </rPh>
    <rPh sb="263" eb="265">
      <t>ガクム</t>
    </rPh>
    <rPh sb="273" eb="275">
      <t>チュウシン</t>
    </rPh>
    <rPh sb="280" eb="282">
      <t>モクテキ</t>
    </rPh>
    <rPh sb="283" eb="285">
      <t>タッセイ</t>
    </rPh>
    <rPh sb="286" eb="288">
      <t>メザ</t>
    </rPh>
    <rPh sb="314" eb="317">
      <t>イインカイ</t>
    </rPh>
    <rPh sb="318" eb="320">
      <t>タントウ</t>
    </rPh>
    <rPh sb="328" eb="332">
      <t>ヤクワリブンタン</t>
    </rPh>
    <rPh sb="333" eb="335">
      <t>メイカク</t>
    </rPh>
    <rPh sb="348" eb="350">
      <t>キノウ</t>
    </rPh>
    <rPh sb="353" eb="357">
      <t>ソシキタイセイ</t>
    </rPh>
    <phoneticPr fontId="1"/>
  </si>
  <si>
    <t>　 学修成果について、全授業終了後の学内定期試験の結果を分析することの他、受講後の理解度アンケート (演習問題を含む) の回答、全学的に行われている授業アンケートの回答などのデータを分析することで、各講ならびに授業全体としての受講生の理解度について把握している。
　 また、この授業を受けたことによって興味をもつに至った授業内容を把握するとともに、上位学年になった時にさらに深く学んでみたい内容の把握に努めている。
　 収集したデータの分析と今後の授業内容の検討に関しては、授業担当者だけでなくデータサイエンス教育プログラム推進ワーキンググループでも行っており、自己点検・評価委員会での評価と合わせて、改善につなげていく必要がある。</t>
    <rPh sb="262" eb="264">
      <t>スイシン</t>
    </rPh>
    <rPh sb="310" eb="312">
      <t>ヒツヨウ</t>
    </rPh>
    <phoneticPr fontId="1"/>
  </si>
  <si>
    <t>　 本プログラムの受講生の就職先となっている企業や本学の正課科目である「インターンシップ」に協力して頂いている企業・団体に対して本プログラムに関するアンケート調査を行い、産業界におけるニーズの把握に努めるとともに本プログラムに対する企業からの要望なども併せて意見聴取することで本プログラムの改善・進化に役立てる予定である。</t>
    <rPh sb="28" eb="30">
      <t>セイカ</t>
    </rPh>
    <phoneticPr fontId="1"/>
  </si>
  <si>
    <t xml:space="preserve">   本学のLearning Management SystemのQ&amp;A機能や学内mailを使用した質問の受付とそのSystemを活用した回答の提示を行うことが出来る。文章での回答が難しい場合は、Microsoft Teamsを活用した回答機会を設けたり、授業の前後に回答を説明する時間を設ける予定である。
　 また、教員は週に１回は必ず研究室に在室している時間（オフィスアワー）を設けて学生にも時間を公開しているため、その時間に質問等に対応することも可能である。
   さらに、本学では、教育・学習支援センターラーニングサポートコーナーに情報スチューデントアシスタント（SA）を配置しており、申し込みによって学習相談を受けることができる。SAでは対応が難しい内容は、担当教員につなぐ体制も整えている。　                                                                           </t>
    <rPh sb="212" eb="214">
      <t>ジカン</t>
    </rPh>
    <rPh sb="219" eb="221">
      <t>タイオウ</t>
    </rPh>
    <rPh sb="307" eb="309">
      <t>ソウダン</t>
    </rPh>
    <rPh sb="324" eb="326">
      <t>タイオウ</t>
    </rPh>
    <rPh sb="327" eb="328">
      <t>ムズカ</t>
    </rPh>
    <rPh sb="330" eb="332">
      <t>ナイヨウ</t>
    </rPh>
    <rPh sb="334" eb="336">
      <t>タントウ</t>
    </rPh>
    <rPh sb="336" eb="338">
      <t>キョウイン</t>
    </rPh>
    <rPh sb="342" eb="344">
      <t>タイセイ</t>
    </rPh>
    <rPh sb="345" eb="346">
      <t>トトノ</t>
    </rPh>
    <phoneticPr fontId="1"/>
  </si>
  <si>
    <t xml:space="preserve">　本プログラムを構成する「AIリテラシー入門」の履修者数や履修率の向上に向けて、まず学期毎に実施している履修ガイダンスにおいて本授業のことを特別に取り上げ、プログラム設置、科目設置の目的である「デジタル時代に必要な数理・データサイエンス・AIの基礎などの必要な力をすべての国民が育み、あらゆる分野で人材が活躍する環境を構築する」ことを説明し、履修を促す取り組みを行っている。初年度は目標履修者数を上回る履修登録があった。
　 さらに、２年目に向けて、本授業の授業内容や授業風景等の取材記事を本学のホームページNews &amp; Topicsに掲載し、本授業の認知度を高めることで履修者数の増加を促した。
　また、今年度からは、令和8（2026)年の履修必修化に向けて検討を始める。
　 </t>
    <rPh sb="44" eb="45">
      <t>ゴト</t>
    </rPh>
    <rPh sb="46" eb="48">
      <t>ジッシ</t>
    </rPh>
    <rPh sb="218" eb="220">
      <t>ネンメ</t>
    </rPh>
    <rPh sb="221" eb="222">
      <t>ム</t>
    </rPh>
    <rPh sb="303" eb="306">
      <t>コンネンド</t>
    </rPh>
    <rPh sb="310" eb="312">
      <t>レイワ</t>
    </rPh>
    <rPh sb="319" eb="320">
      <t>ネン</t>
    </rPh>
    <rPh sb="321" eb="326">
      <t>リシュウヒッシュウカ</t>
    </rPh>
    <rPh sb="327" eb="328">
      <t>ム</t>
    </rPh>
    <rPh sb="330" eb="332">
      <t>ケントウ</t>
    </rPh>
    <rPh sb="333" eb="334">
      <t>ハジ</t>
    </rPh>
    <phoneticPr fontId="1"/>
  </si>
  <si>
    <t>　 大学で行われている基礎研究を紹介するだけでなく、映像資料や画像資料を用いて企業の適用事例を紹介することでデータサイエンスやAIが受講生の身近なものとして認識できるようにするとともに、データサイエンスやAIのことを学ぶことが将来においてどのように役立つかを理解できるよう工夫している。
　 また、データサイエンスやAIの手法に触れて楽しむ目的で授業内に演習時間を設けて、実際に計算を行ったりプログラムを動かしてみることで能動的に学ぶ仕組みも取り入れている。</t>
    <rPh sb="136" eb="138">
      <t>クフウ</t>
    </rPh>
    <rPh sb="186" eb="188">
      <t>ジッサイ</t>
    </rPh>
    <rPh sb="192" eb="193">
      <t>オコナ</t>
    </rPh>
    <phoneticPr fontId="1"/>
  </si>
  <si>
    <t>　 受講前アンケートの結果から各講の授業内容に関する受講生の前知識を把握し、授業内容と難易度の調整に活用している。受講後の理解度アンケートの結果からは、各講の授業内容において受講生が得意な項目、不得意な項目を把握し、特に不得意な項目に関しては、わかりやすい補助教材を準備するなど授業の理解度の向上に努めている。
　 また、全学的に行われている授業アンケートの結果からは、学生の授業への参加度合いによって分類されたデータを分析することで、授業に積極的に参加していないと思われる学生の割合を把握するとともにそのような学生に対しても魅力的な授業にできるよう、内容の検討につなげていく必要がある。</t>
    <rPh sb="221" eb="223">
      <t>セッキョク</t>
    </rPh>
    <rPh sb="223" eb="224">
      <t>テキ</t>
    </rPh>
    <rPh sb="225" eb="227">
      <t>サンカ</t>
    </rPh>
    <rPh sb="233" eb="234">
      <t>オモ</t>
    </rPh>
    <rPh sb="288" eb="290">
      <t>ヒツヨウ</t>
    </rPh>
    <phoneticPr fontId="1"/>
  </si>
  <si>
    <t>　 最終講に実施した受講後の理解度アンケート (演習問題を含む) において友人・後輩に本授業の履修を推奨するかどうかを問うことで、その度合いを把握している。初年度は76．3％が推奨するという肯定的な回答であった。
　 また、教育・学習支援センターに配置している情報スチューデントアシスタント（SA）のもとに、学習相談に訪れた学生に対して本授業の履修を推奨する取り組みを実施している。今後も本授業の推奨度を高めるためには、より魅力的な授業を行うことが前提となるため、SAを通じた授業に対する学生の生の声やニーズも捉えながら本プログラムのブラッシュアップを図っていく必要がある。</t>
    <rPh sb="37" eb="39">
      <t>ユウジン</t>
    </rPh>
    <rPh sb="40" eb="42">
      <t>コウハイ</t>
    </rPh>
    <rPh sb="88" eb="90">
      <t>スイショウ</t>
    </rPh>
    <rPh sb="99" eb="101">
      <t>カイトウ</t>
    </rPh>
    <rPh sb="281" eb="283">
      <t>ヒツヨウ</t>
    </rPh>
    <phoneticPr fontId="1"/>
  </si>
  <si>
    <t>数理・データサイエンス・ＡＩ教育に関するガイドライン</t>
    <phoneticPr fontId="1"/>
  </si>
  <si>
    <t xml:space="preserve">　 多くの学生が履修できるように、特に低学年配当の必修科目と出来るだけ重複しない時間帯にこの科目を設置している。本学では、令和３(2021)年度入学生から順次、ノートパソコン必携化を行っており、従来の席数が限られた情報処理教室の利用ではなく、一般教室での開講が可能となったことによっても、より多くの学生が履修できる環境が整った。
　 また、 各授業回でアンケート、小テスト等を実施し履修生の理解度を確認して、翌回の授業でフォーロアップすることで、より多くの履修者が単位修得に向けて理解が深まるよう工夫している。
</t>
    <rPh sb="56" eb="58">
      <t>ホンガク</t>
    </rPh>
    <rPh sb="61" eb="63">
      <t>レイワ</t>
    </rPh>
    <rPh sb="70" eb="72">
      <t>ネンド</t>
    </rPh>
    <rPh sb="72" eb="75">
      <t>ニュウガクセイ</t>
    </rPh>
    <rPh sb="77" eb="79">
      <t>ジュンジ</t>
    </rPh>
    <rPh sb="87" eb="90">
      <t>ヒッケイカ</t>
    </rPh>
    <rPh sb="91" eb="92">
      <t>オコナ</t>
    </rPh>
    <rPh sb="97" eb="99">
      <t>ジュウライ</t>
    </rPh>
    <rPh sb="100" eb="102">
      <t>セキスウ</t>
    </rPh>
    <rPh sb="103" eb="104">
      <t>カギ</t>
    </rPh>
    <rPh sb="107" eb="111">
      <t>ジョウホウショリ</t>
    </rPh>
    <rPh sb="111" eb="113">
      <t>キョウシツ</t>
    </rPh>
    <rPh sb="114" eb="116">
      <t>リヨウ</t>
    </rPh>
    <rPh sb="121" eb="125">
      <t>イッパンキョウシツ</t>
    </rPh>
    <rPh sb="127" eb="129">
      <t>カイコウ</t>
    </rPh>
    <rPh sb="130" eb="132">
      <t>カノウ</t>
    </rPh>
    <rPh sb="146" eb="147">
      <t>オオ</t>
    </rPh>
    <rPh sb="149" eb="151">
      <t>ガクセイ</t>
    </rPh>
    <rPh sb="152" eb="154">
      <t>リシュウ</t>
    </rPh>
    <rPh sb="160" eb="161">
      <t>トトノ</t>
    </rPh>
    <rPh sb="182" eb="183">
      <t>ショウ</t>
    </rPh>
    <rPh sb="186" eb="187">
      <t>トウ</t>
    </rPh>
    <rPh sb="188" eb="190">
      <t>ジッシ</t>
    </rPh>
    <rPh sb="191" eb="193">
      <t>リシュウ</t>
    </rPh>
    <rPh sb="193" eb="194">
      <t>セイ</t>
    </rPh>
    <rPh sb="195" eb="198">
      <t>リカイド</t>
    </rPh>
    <rPh sb="199" eb="201">
      <t>カクニン</t>
    </rPh>
    <rPh sb="204" eb="205">
      <t>ヨク</t>
    </rPh>
    <rPh sb="205" eb="206">
      <t>カイ</t>
    </rPh>
    <rPh sb="207" eb="209">
      <t>ジュギョウ</t>
    </rPh>
    <rPh sb="225" eb="226">
      <t>オオ</t>
    </rPh>
    <rPh sb="228" eb="231">
      <t>リシュウシャ</t>
    </rPh>
    <rPh sb="232" eb="236">
      <t>タンイシュウトク</t>
    </rPh>
    <rPh sb="237" eb="238">
      <t>ム</t>
    </rPh>
    <rPh sb="240" eb="242">
      <t>リカイ</t>
    </rPh>
    <rPh sb="243" eb="244">
      <t>フカ</t>
    </rPh>
    <rPh sb="248" eb="250">
      <t>クフウ</t>
    </rPh>
    <phoneticPr fontId="1"/>
  </si>
  <si>
    <t>令和３（2021）年度  ワーキンググループを設置、条件を満たす科目内容の検討を開始する
令和４（2022）年度  新規科目設置・開講（後期２単位）・履修者実績131名
令和５（2023）年度  履修者目標200名・全学履修必修化に向けた検討を開始する
令和６（2024）年度  履修者目標300名・オンデマンド授業一部導入を検討する
令和７（2025）年度　履修者目標400名・オンデマンド授業導入、ハイブリット型での開講を目指す
令和８（2026）年度　令和８(2026)年度新入生(850名)から履修必修化スタート予定　</t>
    <rPh sb="0" eb="2">
      <t>レイワ</t>
    </rPh>
    <rPh sb="26" eb="28">
      <t>ジョウケン</t>
    </rPh>
    <rPh sb="29" eb="30">
      <t>ミ</t>
    </rPh>
    <rPh sb="40" eb="42">
      <t>カイシ</t>
    </rPh>
    <rPh sb="45" eb="47">
      <t>レイワ</t>
    </rPh>
    <rPh sb="65" eb="67">
      <t>カイコウ</t>
    </rPh>
    <rPh sb="75" eb="77">
      <t>リシュウ</t>
    </rPh>
    <rPh sb="77" eb="78">
      <t>シャ</t>
    </rPh>
    <rPh sb="78" eb="80">
      <t>ジッセキ</t>
    </rPh>
    <rPh sb="83" eb="84">
      <t>メイ</t>
    </rPh>
    <rPh sb="85" eb="87">
      <t>レイワ</t>
    </rPh>
    <rPh sb="98" eb="101">
      <t>リシュウシャ</t>
    </rPh>
    <rPh sb="101" eb="103">
      <t>モクヒョウ</t>
    </rPh>
    <rPh sb="106" eb="107">
      <t>メイ</t>
    </rPh>
    <rPh sb="108" eb="110">
      <t>ゼンガク</t>
    </rPh>
    <rPh sb="110" eb="112">
      <t>リシュウ</t>
    </rPh>
    <rPh sb="112" eb="115">
      <t>ヒッシュウカ</t>
    </rPh>
    <rPh sb="116" eb="117">
      <t>ム</t>
    </rPh>
    <rPh sb="119" eb="121">
      <t>ケントウ</t>
    </rPh>
    <rPh sb="122" eb="124">
      <t>カイシ</t>
    </rPh>
    <rPh sb="127" eb="129">
      <t>レイワ</t>
    </rPh>
    <rPh sb="140" eb="143">
      <t>リシュウシャ</t>
    </rPh>
    <rPh sb="143" eb="145">
      <t>モクヒョウ</t>
    </rPh>
    <rPh sb="148" eb="149">
      <t>メイ</t>
    </rPh>
    <rPh sb="156" eb="158">
      <t>ジュギョウ</t>
    </rPh>
    <rPh sb="158" eb="160">
      <t>イチブ</t>
    </rPh>
    <rPh sb="160" eb="162">
      <t>ドウニュウ</t>
    </rPh>
    <rPh sb="163" eb="165">
      <t>ケントウ</t>
    </rPh>
    <rPh sb="168" eb="170">
      <t>レイワ</t>
    </rPh>
    <rPh sb="180" eb="183">
      <t>リシュウシャ</t>
    </rPh>
    <rPh sb="183" eb="185">
      <t>モクヒョウ</t>
    </rPh>
    <rPh sb="188" eb="189">
      <t>メイ</t>
    </rPh>
    <rPh sb="198" eb="200">
      <t>ドウニュウ</t>
    </rPh>
    <rPh sb="213" eb="215">
      <t>メザ</t>
    </rPh>
    <rPh sb="217" eb="219">
      <t>レイワ</t>
    </rPh>
    <rPh sb="226" eb="228">
      <t>ネンド</t>
    </rPh>
    <rPh sb="247" eb="248">
      <t>メイ</t>
    </rPh>
    <rPh sb="251" eb="253">
      <t>リシュウ</t>
    </rPh>
    <rPh sb="255" eb="256">
      <t>カ</t>
    </rPh>
    <rPh sb="260" eb="262">
      <t>ヨテイ</t>
    </rPh>
    <phoneticPr fontId="1"/>
  </si>
  <si>
    <t>　 本プログラムを構成する「AIリテラシー入門」の開講初年度の履修生は、予定（120名）を上回る131名となった。また、全学部全学科からの履修者を得てのスタートとなった。新入生向け履修ガイダンス及び在校生向けに学期毎に行う履修ガイダンスなどでの周知が功を奏したと判断できる。
　 修得状況については、131名の履修者に対して単位修得者が94名となり、目標の8割に届いていない。教授方法、授業の難易度についての検討が必要であると考えられる。</t>
    <rPh sb="85" eb="88">
      <t>シンニュウセイ</t>
    </rPh>
    <rPh sb="88" eb="89">
      <t>ム</t>
    </rPh>
    <rPh sb="90" eb="92">
      <t>リシュウ</t>
    </rPh>
    <rPh sb="97" eb="98">
      <t>オヨ</t>
    </rPh>
    <rPh sb="99" eb="102">
      <t>ザイコウセイ</t>
    </rPh>
    <rPh sb="102" eb="103">
      <t>ム</t>
    </rPh>
    <rPh sb="109" eb="110">
      <t>オコナ</t>
    </rPh>
    <rPh sb="111" eb="113">
      <t>リシュウ</t>
    </rPh>
    <phoneticPr fontId="1"/>
  </si>
  <si>
    <t xml:space="preserve">　 プログラムを修了した卒業生の進路は、卒業時にキャリアセンターに提出する最終進路報告書によって確認することができる。
　 また、卒業生の就職先企業（卒業3年目の卒業生を対象）に対して、キャリアセンターと教育・学習支援センターが毎年協同で行っている「企業アンケート」の活用やキャリアセンターに来訪のあった企業の採用担当者にヒアリングをするなどして、本プログラムと本プログラムの受講生の活躍状況、評価を確認する予定である。
</t>
    <rPh sb="8" eb="10">
      <t>シュウリョウ</t>
    </rPh>
    <rPh sb="12" eb="14">
      <t>ソツギョウ</t>
    </rPh>
    <rPh sb="14" eb="15">
      <t>セイ</t>
    </rPh>
    <rPh sb="16" eb="18">
      <t>シンロ</t>
    </rPh>
    <rPh sb="20" eb="23">
      <t>ソツギョウジ</t>
    </rPh>
    <rPh sb="33" eb="35">
      <t>テイシュツ</t>
    </rPh>
    <rPh sb="37" eb="41">
      <t>サイシュウシンロ</t>
    </rPh>
    <rPh sb="79" eb="80">
      <t>メ</t>
    </rPh>
    <rPh sb="81" eb="83">
      <t>ソツギョウ</t>
    </rPh>
    <rPh sb="83" eb="84">
      <t>セイ</t>
    </rPh>
    <rPh sb="155" eb="157">
      <t>サイヨウ</t>
    </rPh>
    <rPh sb="192" eb="196">
      <t>カツヤクジョウキョウ</t>
    </rPh>
    <rPh sb="200" eb="202">
      <t>カクニン</t>
    </rPh>
    <rPh sb="204" eb="206">
      <t>ヨテイ</t>
    </rPh>
    <phoneticPr fontId="1"/>
  </si>
  <si>
    <t>　 本授業の担当者間による打ち合わせを頻繁に行うことで、受講生の傾向を把握し、授業内容や授業難易度を適切に設定しようとしている。 「より分かりやすく」の観点から、企業の実データをもとにした分析・ワークや直近の話題が反映されたデータなどを取り入れ学生が興味を持つ内容も盛り込むことも検討している。
   また、今後、各学部からの意見、要望なども取り入れ、本学の特色を活かした授業内容とすることも検討していきたい。
　 各種アンケートの結果を、データサイエンス教育プログラム推進ワーキンググループにて分析し、学生にとってより分かりやすく、興味の深まる授業となるよう内容や実施方法を改善・進化させていくことが重要である。
　</t>
    <rPh sb="68" eb="69">
      <t>ワ</t>
    </rPh>
    <rPh sb="107" eb="109">
      <t>ハンエイ</t>
    </rPh>
    <rPh sb="140" eb="142">
      <t>ケントウ</t>
    </rPh>
    <rPh sb="154" eb="156">
      <t>コンゴ</t>
    </rPh>
    <rPh sb="166" eb="168">
      <t>ヨウボウ</t>
    </rPh>
    <rPh sb="171" eb="172">
      <t>ト</t>
    </rPh>
    <rPh sb="173" eb="174">
      <t>イ</t>
    </rPh>
    <rPh sb="176" eb="178">
      <t>ホンガク</t>
    </rPh>
    <rPh sb="179" eb="181">
      <t>トクショク</t>
    </rPh>
    <rPh sb="182" eb="183">
      <t>イ</t>
    </rPh>
    <rPh sb="188" eb="190">
      <t>ナイヨウ</t>
    </rPh>
    <rPh sb="196" eb="198">
      <t>ケントウ</t>
    </rPh>
    <rPh sb="208" eb="210">
      <t>カクシュ</t>
    </rPh>
    <rPh sb="291" eb="293">
      <t>シンカ</t>
    </rPh>
    <rPh sb="301" eb="303">
      <t>ジュウヨウ</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</si>
  <si>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</si>
  <si>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　 全学部対象の共通科目の基礎教養科目群に設置し、全学生が受講できるカリキュラムとしている。時間割についても、可能な限り１年次の必修科目と重複しないよう調整し、多くの学生が受講可能な時間に配置している。予定する教室の定員を上回る履修希望があった場合は、教室を変更して希望者全員が受講できるよう対応する。さらに多くの履修希望が合った場合は、オンデマンド授業の前倒し実施など臨機応変に対応する予定である。</t>
    <rPh sb="129" eb="131">
      <t>ヘンコウ</t>
    </rPh>
    <rPh sb="133" eb="135">
      <t>キボウ</t>
    </rPh>
    <rPh sb="135" eb="136">
      <t>シャ</t>
    </rPh>
    <rPh sb="136" eb="138">
      <t>ゼンイン</t>
    </rPh>
    <rPh sb="139" eb="141">
      <t>ジュコウ</t>
    </rPh>
    <rPh sb="146" eb="148">
      <t>タイオウ</t>
    </rPh>
    <rPh sb="154" eb="155">
      <t>オオ</t>
    </rPh>
    <rPh sb="157" eb="161">
      <t>リシュウキボウ</t>
    </rPh>
    <rPh sb="162" eb="163">
      <t>ア</t>
    </rPh>
    <rPh sb="165" eb="167">
      <t>バアイ</t>
    </rPh>
    <rPh sb="175" eb="177">
      <t>ジュギョウ</t>
    </rPh>
    <rPh sb="178" eb="180">
      <t>マエダオ</t>
    </rPh>
    <rPh sb="181" eb="183">
      <t>ジッシ</t>
    </rPh>
    <rPh sb="185" eb="189">
      <t>リンキオウヘン</t>
    </rPh>
    <rPh sb="190" eb="192">
      <t>タイオウ</t>
    </rPh>
    <rPh sb="194" eb="196">
      <t>ヨテイ</t>
    </rPh>
    <phoneticPr fontId="1"/>
  </si>
  <si>
    <t xml:space="preserve">　 令和４(2022)年度は、新規科目（後期科目）として、入学後のガイダンスおよび前期・後期各履修ガイダンスで紹介することで履修を促し、前期ガイダンス終了後に84名、後期ガイダンス終了後には47名が履修登録し、初年度の最終的な履修登録者は131名となった。授業の様子は本学ホームページＴｏｐｉｃｓで紹介し、学内外への周知を図った。　（https://www.hue.ac.jp/news/topics/b0b5mu000000k882.html）
　 令和５(2023)年度は、プログラムの目的、授業内容、今年度の様子などの詳細も紹介動画に加え、在校生には履修ガイダンスで、新入生には入学後のガイダンスで周知した。前期履修登録時点で、昨年度の履修者数を超える142名が登録している。
</t>
    <rPh sb="2" eb="4">
      <t>レイワ</t>
    </rPh>
    <rPh sb="75" eb="77">
      <t>シュウリョウ</t>
    </rPh>
    <rPh sb="77" eb="78">
      <t>ゴ</t>
    </rPh>
    <rPh sb="90" eb="92">
      <t>シュウリョウ</t>
    </rPh>
    <rPh sb="92" eb="93">
      <t>ゴ</t>
    </rPh>
    <rPh sb="109" eb="112">
      <t>サイシュウテキ</t>
    </rPh>
    <rPh sb="128" eb="130">
      <t>ジュギョウ</t>
    </rPh>
    <rPh sb="131" eb="133">
      <t>ヨウス</t>
    </rPh>
    <rPh sb="134" eb="136">
      <t>ホンガク</t>
    </rPh>
    <rPh sb="149" eb="151">
      <t>ショウカイ</t>
    </rPh>
    <rPh sb="153" eb="156">
      <t>ガクナイガイ</t>
    </rPh>
    <rPh sb="158" eb="160">
      <t>シュウチ</t>
    </rPh>
    <rPh sb="161" eb="162">
      <t>ハカ</t>
    </rPh>
    <rPh sb="226" eb="228">
      <t>レイワ</t>
    </rPh>
    <rPh sb="262" eb="264">
      <t>ショウサイ</t>
    </rPh>
    <rPh sb="307" eb="309">
      <t>ゼンキ</t>
    </rPh>
    <rPh sb="309" eb="313">
      <t>リシュウトウロク</t>
    </rPh>
    <rPh sb="313" eb="315">
      <t>ジテン</t>
    </rPh>
    <rPh sb="317" eb="320">
      <t>サクネンド</t>
    </rPh>
    <rPh sb="321" eb="326">
      <t>リシュウシ</t>
    </rPh>
    <rPh sb="326" eb="327">
      <t>コ</t>
    </rPh>
    <rPh sb="332" eb="333">
      <t>メイ</t>
    </rPh>
    <rPh sb="334" eb="336">
      <t>トウロク</t>
    </rPh>
    <phoneticPr fontId="1"/>
  </si>
  <si>
    <t xml:space="preserve">データサイエンス教育プログラム推進ワーキンググループ
2023年度メンバー
・メディアビジネス学部学部長・教授 北野 尚人
・メディアビジネス学部ビジネス情報学科主任・教授 丹羽 啓一
・プログラム構成科目担当教員　教養教育部・准教授　青谷 章弘
・学務センター教務課課長　栗田 宰子
</t>
    <rPh sb="31" eb="33">
      <t>ネンド</t>
    </rPh>
    <rPh sb="99" eb="101">
      <t>コウセイ</t>
    </rPh>
    <phoneticPr fontId="1"/>
  </si>
  <si>
    <t>AIの技術が加速度的に発展する時代において求められる、AIを活用して新たな価値を生み出せる人材にとって必要な３つの力、「知識」「情報リテラシー」「論理的思考力・分析力」を備えていること。
具体的には、下記の３つの点を理解し、この知識を活用することができること。
・社会においてデータがどのように生み出され、統計的手法やAIを用いて利活用されているのかということ
・データが表していることを適切に読み取り、それを効果的に説明する手段があるということ
・データを実際に扱い、守る上で特に注意しなければならないこと</t>
    <phoneticPr fontId="1"/>
  </si>
  <si>
    <t>・変化の激しい現代社会においてなぜAIが必要とされるのか（ビッグデータ、IoT、AI、ロボット、第4次産業革命、Society 5.0、データ駆動型社会、データを起点としたものの見方、人間の知的活動を起点としたものの見方）　「AIリテラシー入門」　（第１回）</t>
    <rPh sb="125" eb="126">
      <t>ダイ</t>
    </rPh>
    <rPh sb="127" eb="128">
      <t>カイ</t>
    </rPh>
    <phoneticPr fontId="1"/>
  </si>
  <si>
    <t>・データや人工知能の活用（AI等を活用した新しいビジネスモデル、AI最新技術の活用例）　「AIリテラシー入門」（ 第４回）
・人工知能の活用②：人間に勝利する人工知能（AI等を活用した新しいビジネスモデル、AI最新技術の活用例）　　「AIリテラシー入門」　（第12回）
・人工知能の活用③：人間の言葉を理解する人工知能（AI等を活用した新しいビジネスモデル、AI最新技術の活用例）　　「AIリテラシー入門」　（第13回）
・人工知能の活用④：人間を楽しませる人工知能（AI等を活用した新しいビジネスモデル、AI最新技術の活用例）　「AIリテラシー入門」　（第14回）
・人工知能の活用⑤：人工知能で未来はどこまで予測できるのか（AI等を活用した新しいビジネスモデル、AI最新技術の活用例）　「AIリテラシー入門」　（第15回）</t>
    <phoneticPr fontId="1"/>
  </si>
  <si>
    <t>・社会で活用されるデータの種類（調査・実験・ログデータ、1次・2次データ、データのメタ化、構造化・非構造化データ、データ作成、データのオープン化）　「AIリテラシー入門」　（第２回）
・データの活用②：収集したデータを用いて予測する（調査・実験データ、1次・2次データ）　「AIリテラシー入門」　（第７回）
・データの活用④：確率で表されたデータをきちんと読む（調査データ、1次・2次データ）　「AIリテラシー入門」　（第９回）
・データの活用⑤：相関関係の背後にある因果関係をさぐる（調査データ、1次・2次データ）　「AIリテラシー入門」　（第10回）</t>
    <rPh sb="32" eb="33">
      <t>ジ</t>
    </rPh>
    <rPh sb="49" eb="50">
      <t>ヒ</t>
    </rPh>
    <rPh sb="50" eb="53">
      <t>コウゾウカ</t>
    </rPh>
    <phoneticPr fontId="1"/>
  </si>
  <si>
    <t>・データや人工知能の活用（データ・AI活用領域の広がり、仮説検証、知識発見、原因究明）　「AIリテラシー入門」　（第４回）
・データの活用②：収集したデータを用いて予測する（仮説検証、原因究明）　「AIリテラシー入門」　（第７回）
・人工知能の活用①：自ら学ぶ人工知能の仕組み（データ・AI活用領域の広がり）　「AIリテラシー入門」　（第11回）</t>
    <phoneticPr fontId="1"/>
  </si>
  <si>
    <t>・人工知能ではデータがどのように処理されているのか（データ解析、データ可視化）　「AIリテラシー入門」　（第３回）
・人工知能の活用①：自ら学ぶ人工知能の仕組み（データ解析、特化型AIと汎用AI、今のAIで出来ることと出来ないこと、AIとビッグデータ）　「AIリテラシー入門」　（第11回）
・人工知能の活用②：人間に勝利する人工知能（データ解析、特化型AIと汎用AI、今のAIで出来ることと出来ないこと、AIとビッグデータ）　「AIリテラシー入門」　（第12回）
・人工知能の活用③：人間の言葉を理解する人工知能（非構造化データ処理）　「AIリテラシー入門」　（第13回）
・人工知能の活用④：人間を楽しませる人工知能（非構造化データ処理、認識技術、ルールベース、自動化技術）　「AIリテラシー入門」　（第14回）</t>
    <rPh sb="35" eb="38">
      <t>カシカ</t>
    </rPh>
    <phoneticPr fontId="1"/>
  </si>
  <si>
    <t>・データや人工知能の活用（データサイエンスのサイクル、流通業界・製造業界・インフラ・公共におけるデータ・AI利活用事例紹介）　「AIリテラシー入門」 （第４回）
・人工知能の活用②：人間に勝利する人工知能（流通、製造、金融、サービス、インフラ、公共、ヘルスケア等におけるデータ・AI利活用事例紹介）　「AIリテラシー入門」　（第12回）
・人工知能の活用③：人間の言葉を理解する人工知能（流通、製造、金融、サービス、インフラ、公共、ヘルスケア等におけるデータ・AI利活用事例紹介）　「AIリテラシー入門」　（第13回）
・人工知能の活用④：人間を楽しませる人工知能（流通、製造、金融、サービス、インフラ、公共、ヘルスケア等におけるデータ・AI利活用事例紹介）　「AIリテラシー入門」　（第14回）
・人工知能の活用⑤：人工知能で未来はどこまで予測できるのか（流通、製造、金融、サービス、インフラ、公共、ヘルスケア等におけるデータ・AI利活用事例紹介）　「AIリテラシー入門」　（第15回）　</t>
    <rPh sb="27" eb="29">
      <t>リュウツウ</t>
    </rPh>
    <rPh sb="29" eb="31">
      <t>ギョウカイ</t>
    </rPh>
    <rPh sb="32" eb="36">
      <t>セイゾウギョウカイ</t>
    </rPh>
    <rPh sb="42" eb="44">
      <t>コウキョウ</t>
    </rPh>
    <phoneticPr fontId="1"/>
  </si>
  <si>
    <t>・データや人工知能を扱う注意点ならびにセキュリティ（ELSI、個人情報保護、EU一般データ保護規則、忘れられる権利、オプトアウト、データ倫理：データのねつ造、改ざん、盗用、プライバシー保護、AI社会原則、データバイアス、データ・AI活用における負の事例紹介）　「AIリテラシー入門」　（第５回）
・データの活用④：確率で表されたデータをきちんと読む（データバイアス、アルゴリズムバイアス）　「AIリテラシー入門」　（第９回）
・データの活用⑤：相関関係の背後にある因果関係をさぐる（データの改ざん、データバイアス、データ・AI活用における負の事例紹介）　「AIリテラシー入門」　（第10回）</t>
    <rPh sb="97" eb="101">
      <t>シャカイゲンソク</t>
    </rPh>
    <phoneticPr fontId="1"/>
  </si>
  <si>
    <t>・データや人工知能を扱う注意点ならびにセキュリティ（情報セキュリティ、匿名加工情報、暗号化、パスワード、悪意ある情報搾取、セキュリティ事故の事例紹介）　「AIリテラシー入門」　（第５回）</t>
    <phoneticPr fontId="1"/>
  </si>
  <si>
    <t>・データの活用①：データを収集し、可視化し、数値化する（データの種類、データの分布と代表値、代表値の性質の違い、標準偏差）　「AIリテラシー入門」　（第６回）
・データの活用②：収集したデータを用いて予測する（相関と因果、クロス集計表）　「AIリテラシー入門」　（第７回）
・データの活用③：あるできごとがおこる“まれさ”を数値化する（母集団と標本抽出、統計情報の正しい理解）　「AIリテラシー入門」　（第８回）
・データの活用④：確率で表されたデータをきちんと読む（統計情報の正しい理解）　「AIリテラシー入門」　（第９回）
・データの活用⑤：相関関係の背後にある因果関係をさぐる（母集団と標本抽出、統計情報の正しい理解、擬似相関）　「AIリテラシー入門」　（第10回）</t>
    <rPh sb="32" eb="34">
      <t>シュルイ</t>
    </rPh>
    <phoneticPr fontId="1"/>
  </si>
  <si>
    <t>・データの活用①：データを収集し、可視化し、数値化する（棒グラフ、折線グラフ、データの図表表現）　「AIリテラシー入門」　（第６回）
・データの活用②：収集したデータを用いて予測する（散布図、データの図表表現）　「AIリテラシー入門」　（第７回）
・データの活用③：あるできごとがおこる“まれさ”を数値化する（データの図表表現）　「AIリテラシー入門」　（第８回）
・データの活用④：確率で表されたデータをきちんと読む（データの比較）　「AIリテラシー入門」　（第９回）
・データの活用⑤：相関関係の背後にある因果関係をさぐる（散布図、チャートジャンク）　「AIリテラシー入門」　（第10回）</t>
    <rPh sb="214" eb="216">
      <t>ヒカク</t>
    </rPh>
    <phoneticPr fontId="1"/>
  </si>
  <si>
    <t>・データの活用①：データを収集し、可視化し、数値化する（データの集計、データ解析ツール）　「AIリテラシー入門」　（第６回）
・データの活用②：収集したデータを用いて予測する（データの集計、データの並び替え、データ解析ツール）　「AIリテラシー入門」　（第７回）
・データの活用③：あるできごとがおこる“まれさ”を数値化する（データの集計、データ解析ツール）　「AIリテラシー入門」　（第８回）</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</si>
</sst>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12"/>
      <name val="ＭＳ Ｐゴシック"/>
      <family val="3"/>
      <charset val="128"/>
      <scheme val="minor"/>
    </font>
    <font>
      <sz val="14"/>
      <name val="ＭＳ Ｐゴシック"/>
      <family val="3"/>
      <charset val="128"/>
      <scheme val="minor"/>
    </font>
    <font>
      <sz val="11"/>
      <name val="ＭＳ Ｐゴシック"/>
      <family val="3"/>
      <charset val="128"/>
      <scheme val="minor"/>
    </font>
    <font>
      <sz val="9"/>
      <name val="ＭＳ Ｐゴシック"/>
      <family val="3"/>
      <charset val="128"/>
      <scheme val="minor"/>
    </font>
    <font>
      <sz val="6"/>
      <name val="ＭＳ Ｐゴシック"/>
      <family val="3"/>
      <charset val="128"/>
      <scheme val="minor"/>
    </font>
    <font>
      <sz val="9"/>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2">
    <xf numFmtId="0" fontId="0" fillId="0" borderId="0">
      <alignment vertical="center"/>
    </xf>
    <xf numFmtId="38" fontId="3" fillId="0" borderId="0" applyFont="0" applyFill="0" applyBorder="0" applyAlignment="0" applyProtection="0">
      <alignment vertical="center"/>
    </xf>
  </cellStyleXfs>
  <cellXfs count="287">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Alignment="1">
      <alignment horizontal="center" vertical="center"/>
    </xf>
    <xf numFmtId="0" fontId="5"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8" fillId="0" borderId="11" xfId="0" applyFont="1" applyBorder="1" applyAlignment="1">
      <alignment horizontal="center" vertical="center"/>
    </xf>
    <xf numFmtId="0" fontId="8" fillId="0" borderId="52" xfId="0" applyFont="1" applyBorder="1" applyAlignment="1">
      <alignment horizontal="center" vertical="center"/>
    </xf>
    <xf numFmtId="0" fontId="8" fillId="0" borderId="53" xfId="0" applyFont="1" applyBorder="1" applyAlignment="1">
      <alignment horizontal="center" vertical="center"/>
    </xf>
    <xf numFmtId="9" fontId="2" fillId="0" borderId="60" xfId="0" applyNumberFormat="1" applyFont="1" applyBorder="1" applyAlignment="1">
      <alignment vertical="center" shrinkToFit="1"/>
    </xf>
    <xf numFmtId="0" fontId="2" fillId="0" borderId="0" xfId="0" applyFont="1" applyAlignment="1">
      <alignment horizontal="right" vertical="center"/>
    </xf>
    <xf numFmtId="38" fontId="2" fillId="0" borderId="50" xfId="1" applyFont="1" applyBorder="1" applyAlignment="1">
      <alignment vertical="center" shrinkToFit="1"/>
    </xf>
    <xf numFmtId="38" fontId="2" fillId="0" borderId="0" xfId="1" applyFont="1" applyAlignment="1">
      <alignment vertical="center" shrinkToFit="1"/>
    </xf>
    <xf numFmtId="38" fontId="2" fillId="0" borderId="5" xfId="1" applyFont="1" applyBorder="1" applyAlignment="1">
      <alignment vertical="center" shrinkToFit="1"/>
    </xf>
    <xf numFmtId="38" fontId="2" fillId="0" borderId="54" xfId="1" applyFont="1" applyBorder="1" applyAlignment="1">
      <alignment vertical="center" shrinkToFit="1"/>
    </xf>
    <xf numFmtId="38" fontId="2" fillId="0" borderId="30" xfId="1" applyFont="1" applyBorder="1" applyAlignment="1">
      <alignment vertical="center" shrinkToFit="1"/>
    </xf>
    <xf numFmtId="38" fontId="2" fillId="0" borderId="23" xfId="1" applyFont="1" applyBorder="1" applyAlignment="1">
      <alignment vertical="center" shrinkToFit="1"/>
    </xf>
    <xf numFmtId="38" fontId="2" fillId="0" borderId="20" xfId="1" applyFont="1" applyBorder="1" applyAlignment="1">
      <alignment vertical="center" shrinkToFit="1"/>
    </xf>
    <xf numFmtId="38" fontId="2" fillId="0" borderId="19" xfId="1" applyFont="1" applyBorder="1" applyAlignment="1">
      <alignment vertical="center" shrinkToFit="1"/>
    </xf>
    <xf numFmtId="38" fontId="2" fillId="0" borderId="57" xfId="1" applyFont="1" applyBorder="1" applyAlignment="1">
      <alignment vertical="center" shrinkToFit="1"/>
    </xf>
    <xf numFmtId="38" fontId="2" fillId="0" borderId="55" xfId="1" applyFont="1" applyBorder="1" applyAlignment="1">
      <alignment vertical="center" shrinkToFit="1"/>
    </xf>
    <xf numFmtId="38" fontId="2" fillId="0" borderId="32" xfId="1" applyFont="1" applyBorder="1" applyAlignment="1">
      <alignment vertical="center" shrinkToFit="1"/>
    </xf>
    <xf numFmtId="38" fontId="2" fillId="0" borderId="18" xfId="1" applyFont="1" applyBorder="1" applyAlignment="1">
      <alignment vertical="center" shrinkToFit="1"/>
    </xf>
    <xf numFmtId="38" fontId="2" fillId="0" borderId="10" xfId="1" applyFont="1" applyBorder="1" applyAlignment="1">
      <alignment vertical="center" shrinkToFit="1"/>
    </xf>
    <xf numFmtId="38" fontId="2" fillId="0" borderId="56" xfId="1" applyFont="1" applyBorder="1" applyAlignment="1">
      <alignment vertical="center" shrinkToFit="1"/>
    </xf>
    <xf numFmtId="38" fontId="2" fillId="0" borderId="51" xfId="1" applyFont="1" applyBorder="1" applyAlignment="1">
      <alignment vertical="center" shrinkToFit="1"/>
    </xf>
    <xf numFmtId="38" fontId="2" fillId="0" borderId="28" xfId="1" applyFont="1" applyBorder="1" applyAlignment="1">
      <alignment vertical="center" shrinkToFit="1"/>
    </xf>
    <xf numFmtId="38" fontId="2" fillId="0" borderId="26" xfId="1" applyFont="1" applyBorder="1" applyAlignment="1">
      <alignment vertical="center" shrinkToFit="1"/>
    </xf>
    <xf numFmtId="38" fontId="2" fillId="0" borderId="25" xfId="1" applyFont="1" applyBorder="1" applyAlignment="1">
      <alignment vertical="center" shrinkToFit="1"/>
    </xf>
    <xf numFmtId="38" fontId="2" fillId="0" borderId="58" xfId="1" applyFont="1" applyBorder="1" applyAlignment="1">
      <alignment vertical="center" shrinkToFit="1"/>
    </xf>
    <xf numFmtId="38" fontId="2" fillId="0" borderId="33" xfId="1" applyFont="1" applyBorder="1" applyAlignment="1">
      <alignment vertical="center" shrinkToFit="1"/>
    </xf>
    <xf numFmtId="9" fontId="2" fillId="0" borderId="14" xfId="0" applyNumberFormat="1" applyFont="1" applyBorder="1" applyAlignment="1">
      <alignment vertical="center" shrinkToFit="1"/>
    </xf>
    <xf numFmtId="0" fontId="9" fillId="0" borderId="0" xfId="0" applyFont="1">
      <alignment vertical="center"/>
    </xf>
    <xf numFmtId="0" fontId="9" fillId="0" borderId="1" xfId="0" applyFont="1" applyBorder="1" applyAlignment="1">
      <alignment horizontal="center" vertical="center"/>
    </xf>
    <xf numFmtId="0" fontId="9" fillId="0" borderId="0" xfId="0" applyFont="1" applyAlignment="1">
      <alignment horizontal="right" vertical="center"/>
    </xf>
    <xf numFmtId="0" fontId="9" fillId="0" borderId="0" xfId="0" applyFont="1" applyAlignment="1">
      <alignment vertical="center" shrinkToFit="1"/>
    </xf>
    <xf numFmtId="0" fontId="9" fillId="0" borderId="0" xfId="0" applyFont="1" applyAlignment="1">
      <alignment horizontal="left" vertical="center" shrinkToFit="1"/>
    </xf>
    <xf numFmtId="0" fontId="9" fillId="0" borderId="0" xfId="0" applyFont="1" applyAlignment="1">
      <alignment horizontal="center" vertical="center"/>
    </xf>
    <xf numFmtId="0" fontId="9" fillId="0" borderId="10" xfId="0" applyFont="1" applyBorder="1" applyAlignment="1">
      <alignment horizontal="right" vertical="center"/>
    </xf>
    <xf numFmtId="0" fontId="9" fillId="0" borderId="0" xfId="0" applyFont="1" applyAlignment="1">
      <alignment horizontal="left" vertical="center"/>
    </xf>
    <xf numFmtId="0" fontId="11" fillId="0" borderId="0" xfId="0" applyFont="1" applyAlignment="1">
      <alignment horizontal="center" vertical="center"/>
    </xf>
    <xf numFmtId="0" fontId="9" fillId="0" borderId="0" xfId="0" applyFont="1" applyAlignment="1">
      <alignment vertical="top" wrapText="1"/>
    </xf>
    <xf numFmtId="0" fontId="12" fillId="0" borderId="0" xfId="0" applyFont="1">
      <alignment vertical="center"/>
    </xf>
    <xf numFmtId="0" fontId="11" fillId="0" borderId="0" xfId="0" applyFont="1">
      <alignment vertical="center"/>
    </xf>
    <xf numFmtId="0" fontId="11" fillId="0" borderId="0" xfId="0" applyFont="1" applyAlignment="1">
      <alignment horizontal="left" vertical="center"/>
    </xf>
    <xf numFmtId="0" fontId="9" fillId="0" borderId="0" xfId="0" applyFont="1" applyAlignment="1">
      <alignment vertical="center" wrapText="1"/>
    </xf>
    <xf numFmtId="0" fontId="12" fillId="0" borderId="0" xfId="0" applyFont="1" applyAlignment="1">
      <alignment vertical="top" wrapText="1"/>
    </xf>
    <xf numFmtId="0" fontId="9" fillId="0" borderId="1" xfId="0" applyFont="1" applyBorder="1" applyAlignment="1">
      <alignment horizontal="center" vertical="center" wrapText="1" shrinkToFit="1"/>
    </xf>
    <xf numFmtId="9" fontId="9" fillId="0" borderId="1" xfId="0" applyNumberFormat="1" applyFont="1" applyBorder="1" applyAlignment="1">
      <alignment horizontal="center" vertical="center" shrinkToFit="1"/>
    </xf>
    <xf numFmtId="0" fontId="9" fillId="0" borderId="1" xfId="0" applyFont="1" applyBorder="1" applyAlignment="1">
      <alignment horizontal="center" vertical="center" shrinkToFit="1"/>
    </xf>
    <xf numFmtId="176" fontId="9" fillId="0" borderId="1" xfId="0" applyNumberFormat="1" applyFont="1" applyBorder="1" applyAlignment="1">
      <alignment horizontal="center" vertical="center" shrinkToFit="1"/>
    </xf>
    <xf numFmtId="0" fontId="12" fillId="0" borderId="0" xfId="0" applyFont="1" applyAlignment="1">
      <alignment vertical="top" shrinkToFit="1"/>
    </xf>
    <xf numFmtId="0" fontId="12" fillId="0" borderId="0" xfId="0" applyFont="1" applyAlignment="1">
      <alignment vertical="center" wrapText="1"/>
    </xf>
    <xf numFmtId="0" fontId="10" fillId="0" borderId="0" xfId="0" applyFont="1" applyAlignment="1">
      <alignment horizontal="center" vertical="center"/>
    </xf>
    <xf numFmtId="0" fontId="9" fillId="0" borderId="1" xfId="0" applyFont="1" applyBorder="1" applyAlignment="1">
      <alignment horizontal="left" vertical="center"/>
    </xf>
    <xf numFmtId="0" fontId="9" fillId="2" borderId="5" xfId="0" applyFont="1" applyFill="1" applyBorder="1">
      <alignment vertical="center"/>
    </xf>
    <xf numFmtId="0" fontId="12" fillId="2" borderId="0" xfId="0" applyFont="1" applyFill="1" applyAlignment="1">
      <alignment vertical="top" wrapText="1"/>
    </xf>
    <xf numFmtId="0" fontId="12" fillId="2" borderId="10" xfId="0" applyFont="1" applyFill="1" applyBorder="1" applyAlignment="1">
      <alignment vertical="top" wrapText="1"/>
    </xf>
    <xf numFmtId="0" fontId="9" fillId="2" borderId="0" xfId="0" applyFont="1" applyFill="1">
      <alignment vertical="center"/>
    </xf>
    <xf numFmtId="0" fontId="12" fillId="2" borderId="5" xfId="0" applyFont="1" applyFill="1" applyBorder="1" applyAlignment="1">
      <alignment vertical="top" wrapText="1"/>
    </xf>
    <xf numFmtId="0" fontId="12" fillId="2" borderId="11" xfId="0" applyFont="1" applyFill="1" applyBorder="1" applyAlignment="1">
      <alignment vertical="top" wrapText="1"/>
    </xf>
    <xf numFmtId="0" fontId="12" fillId="2" borderId="42" xfId="0" applyFont="1" applyFill="1" applyBorder="1" applyAlignment="1">
      <alignment vertical="top" wrapText="1"/>
    </xf>
    <xf numFmtId="0" fontId="12" fillId="2" borderId="43" xfId="0" applyFont="1" applyFill="1" applyBorder="1" applyAlignment="1">
      <alignment vertical="top" wrapText="1"/>
    </xf>
    <xf numFmtId="0" fontId="12" fillId="2" borderId="42" xfId="0" applyFont="1" applyFill="1" applyBorder="1" applyAlignment="1">
      <alignment vertical="top" shrinkToFit="1"/>
    </xf>
    <xf numFmtId="0" fontId="12" fillId="2" borderId="43" xfId="0" applyFont="1" applyFill="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11" xfId="0" applyFont="1" applyBorder="1" applyAlignment="1">
      <alignment horizontal="left" vertical="center" wrapText="1"/>
    </xf>
    <xf numFmtId="0" fontId="9" fillId="0" borderId="6" xfId="0" applyFont="1" applyBorder="1" applyAlignment="1">
      <alignment horizontal="left" vertical="center" wrapText="1"/>
    </xf>
    <xf numFmtId="0" fontId="9" fillId="0" borderId="12" xfId="0" applyFont="1" applyBorder="1" applyAlignment="1">
      <alignment horizontal="left" vertical="center" wrapTex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0" xfId="0" applyFont="1" applyAlignment="1">
      <alignment horizontal="right" vertical="center"/>
    </xf>
    <xf numFmtId="0" fontId="10" fillId="0" borderId="0" xfId="0" applyFont="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4" fillId="0" borderId="16" xfId="0" applyFont="1" applyBorder="1" applyAlignment="1">
      <alignment horizontal="center" vertical="center"/>
    </xf>
    <xf numFmtId="0" fontId="4"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5"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6" fillId="0" borderId="8" xfId="0" applyFont="1" applyBorder="1" applyAlignment="1">
      <alignment horizontal="center" vertical="center" wrapText="1"/>
    </xf>
    <xf numFmtId="0" fontId="6" fillId="0" borderId="0" xfId="0" applyFont="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2" xfId="0" applyFont="1" applyBorder="1" applyAlignment="1">
      <alignment horizontal="center" vertical="center"/>
    </xf>
    <xf numFmtId="0" fontId="6" fillId="0" borderId="15"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13" xfId="0" applyFont="1" applyBorder="1" applyAlignment="1">
      <alignment horizontal="center" vertical="center"/>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12" xfId="0" applyFont="1" applyBorder="1" applyAlignment="1">
      <alignment vertical="top" wrapText="1"/>
    </xf>
    <xf numFmtId="0" fontId="9" fillId="0" borderId="9" xfId="0" applyFont="1" applyBorder="1" applyAlignment="1">
      <alignment vertical="top"/>
    </xf>
    <xf numFmtId="0" fontId="9" fillId="0" borderId="5" xfId="0" applyFont="1" applyBorder="1" applyAlignment="1">
      <alignment vertical="top"/>
    </xf>
    <xf numFmtId="0" fontId="9" fillId="0" borderId="0" xfId="0" applyFont="1" applyAlignment="1">
      <alignment vertical="top"/>
    </xf>
    <xf numFmtId="0" fontId="9" fillId="0" borderId="10" xfId="0" applyFont="1" applyBorder="1" applyAlignment="1">
      <alignment vertical="top"/>
    </xf>
    <xf numFmtId="0" fontId="9" fillId="0" borderId="11" xfId="0" applyFont="1" applyBorder="1" applyAlignment="1">
      <alignment vertical="top"/>
    </xf>
    <xf numFmtId="0" fontId="9" fillId="0" borderId="6" xfId="0" applyFont="1" applyBorder="1" applyAlignment="1">
      <alignment vertical="top"/>
    </xf>
    <xf numFmtId="0" fontId="9" fillId="0" borderId="12" xfId="0" applyFont="1" applyBorder="1" applyAlignment="1">
      <alignment vertical="top"/>
    </xf>
    <xf numFmtId="9" fontId="9" fillId="0" borderId="1" xfId="0" applyNumberFormat="1" applyFont="1" applyBorder="1" applyAlignment="1">
      <alignment horizontal="center" vertical="center" wrapText="1" shrinkToFit="1"/>
    </xf>
    <xf numFmtId="9" fontId="9" fillId="0" borderId="1" xfId="0" applyNumberFormat="1" applyFont="1" applyBorder="1" applyAlignment="1">
      <alignment horizontal="center" vertical="center" shrinkToFi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5" xfId="0" applyFont="1" applyBorder="1" applyAlignment="1">
      <alignment horizontal="left"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6" xfId="0" applyFont="1" applyBorder="1" applyAlignment="1">
      <alignment horizontal="left" vertical="top" wrapText="1"/>
    </xf>
    <xf numFmtId="0" fontId="9" fillId="0" borderId="12" xfId="0" applyFont="1" applyBorder="1" applyAlignment="1">
      <alignment horizontal="left" vertical="top" wrapTex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0" xfId="0" applyFont="1">
      <alignment vertical="center"/>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5" xfId="0" applyFont="1" applyBorder="1" applyAlignment="1">
      <alignment vertical="top" wrapText="1" shrinkToFit="1"/>
    </xf>
    <xf numFmtId="0" fontId="9" fillId="0" borderId="0" xfId="0" applyFont="1" applyAlignment="1">
      <alignment vertical="top" wrapText="1"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9" fillId="2" borderId="5" xfId="0" applyFont="1" applyFill="1" applyBorder="1" applyAlignment="1">
      <alignment horizontal="center" vertical="center" shrinkToFit="1"/>
    </xf>
    <xf numFmtId="0" fontId="9" fillId="2" borderId="0" xfId="0" applyFont="1" applyFill="1" applyAlignment="1">
      <alignment horizontal="center" vertical="center" shrinkToFit="1"/>
    </xf>
    <xf numFmtId="0" fontId="9" fillId="2" borderId="10" xfId="0" applyFont="1" applyFill="1" applyBorder="1" applyAlignment="1">
      <alignment horizontal="center" vertical="center" shrinkToFit="1"/>
    </xf>
    <xf numFmtId="0" fontId="9" fillId="0" borderId="2" xfId="0" applyFont="1" applyBorder="1" applyAlignment="1">
      <alignment horizontal="left" vertical="center"/>
    </xf>
    <xf numFmtId="0" fontId="11" fillId="0" borderId="3" xfId="0" applyFont="1" applyBorder="1">
      <alignment vertical="center"/>
    </xf>
    <xf numFmtId="0" fontId="11" fillId="0" borderId="4" xfId="0" applyFont="1" applyBorder="1">
      <alignment vertical="center"/>
    </xf>
    <xf numFmtId="0" fontId="11" fillId="0" borderId="3" xfId="0" applyFont="1" applyBorder="1" applyAlignment="1">
      <alignment horizontal="left" vertical="center"/>
    </xf>
    <xf numFmtId="0" fontId="11" fillId="0" borderId="4" xfId="0" applyFont="1" applyBorder="1" applyAlignment="1">
      <alignment horizontal="left" vertical="center"/>
    </xf>
    <xf numFmtId="0" fontId="9" fillId="0" borderId="2" xfId="0" applyFont="1" applyBorder="1" applyAlignment="1">
      <alignment horizontal="left" vertical="center" shrinkToFit="1"/>
    </xf>
    <xf numFmtId="0" fontId="11" fillId="0" borderId="4" xfId="0" applyFont="1" applyBorder="1" applyAlignment="1">
      <alignment horizontal="left" vertical="center" shrinkToFit="1"/>
    </xf>
    <xf numFmtId="0" fontId="9" fillId="0" borderId="0" xfId="0" applyFont="1" applyAlignment="1">
      <alignment horizontal="center" vertical="center"/>
    </xf>
    <xf numFmtId="0" fontId="9" fillId="0" borderId="11"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9" fillId="0" borderId="17" xfId="0" applyFont="1" applyBorder="1" applyAlignment="1">
      <alignment vertical="center" wrapText="1"/>
    </xf>
    <xf numFmtId="0" fontId="9" fillId="0" borderId="18" xfId="0" applyFont="1" applyBorder="1" applyAlignment="1">
      <alignment vertical="center" wrapText="1"/>
    </xf>
    <xf numFmtId="0" fontId="9" fillId="0" borderId="20" xfId="0" applyFont="1" applyBorder="1" applyAlignment="1">
      <alignment vertical="top" wrapText="1" shrinkToFit="1"/>
    </xf>
    <xf numFmtId="0" fontId="9" fillId="0" borderId="18" xfId="0" applyFont="1" applyBorder="1" applyAlignment="1">
      <alignment vertical="top" wrapText="1" shrinkToFit="1"/>
    </xf>
    <xf numFmtId="0" fontId="9" fillId="0" borderId="59" xfId="0" applyFont="1" applyBorder="1" applyAlignment="1">
      <alignment vertical="center" wrapText="1"/>
    </xf>
    <xf numFmtId="0" fontId="9" fillId="0" borderId="39" xfId="0" applyFont="1" applyBorder="1" applyAlignment="1">
      <alignment vertical="center" wrapText="1"/>
    </xf>
    <xf numFmtId="0" fontId="9" fillId="0" borderId="38" xfId="0" applyFont="1" applyBorder="1" applyAlignment="1">
      <alignment vertical="top" wrapText="1" shrinkToFit="1"/>
    </xf>
    <xf numFmtId="0" fontId="9" fillId="0" borderId="39" xfId="0" applyFont="1" applyBorder="1" applyAlignment="1">
      <alignment vertical="top" wrapText="1" shrinkToFit="1"/>
    </xf>
    <xf numFmtId="0" fontId="9" fillId="0" borderId="41" xfId="0" applyFont="1" applyBorder="1" applyAlignment="1">
      <alignment vertical="center" wrapText="1"/>
    </xf>
    <xf numFmtId="0" fontId="9" fillId="0" borderId="42" xfId="0" applyFont="1" applyBorder="1" applyAlignment="1">
      <alignment vertical="center" wrapText="1"/>
    </xf>
    <xf numFmtId="0" fontId="9" fillId="0" borderId="43" xfId="0" applyFont="1" applyBorder="1" applyAlignment="1">
      <alignment vertical="center" wrapText="1"/>
    </xf>
    <xf numFmtId="0" fontId="9" fillId="0" borderId="42" xfId="0" applyFont="1" applyBorder="1" applyAlignment="1">
      <alignment vertical="top" wrapText="1" shrinkToFit="1"/>
    </xf>
    <xf numFmtId="0" fontId="9" fillId="0" borderId="43" xfId="0" applyFont="1" applyBorder="1" applyAlignment="1">
      <alignment vertical="top" wrapText="1" shrinkToFit="1"/>
    </xf>
    <xf numFmtId="0" fontId="9" fillId="0" borderId="19" xfId="0" applyFont="1" applyBorder="1" applyAlignment="1">
      <alignment vertical="top" wrapText="1" shrinkToFit="1"/>
    </xf>
    <xf numFmtId="0" fontId="9" fillId="0" borderId="37" xfId="0" applyFont="1" applyBorder="1" applyAlignment="1">
      <alignment vertical="top" wrapText="1" shrinkToFit="1"/>
    </xf>
    <xf numFmtId="0" fontId="9" fillId="0" borderId="17" xfId="0" applyFont="1" applyBorder="1">
      <alignment vertical="center"/>
    </xf>
    <xf numFmtId="0" fontId="11" fillId="0" borderId="18" xfId="0" applyFont="1" applyBorder="1">
      <alignment vertical="center"/>
    </xf>
    <xf numFmtId="0" fontId="9" fillId="0" borderId="3" xfId="0" applyFont="1" applyBorder="1" applyAlignment="1">
      <alignment horizontal="left" vertical="center"/>
    </xf>
    <xf numFmtId="0" fontId="9" fillId="0" borderId="4" xfId="0" applyFont="1" applyBorder="1" applyAlignment="1">
      <alignment horizontal="left"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lignment vertical="center"/>
    </xf>
    <xf numFmtId="0" fontId="2" fillId="0" borderId="0" xfId="0" applyFont="1" applyAlignment="1">
      <alignment horizontal="left" vertical="center"/>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2" fillId="0" borderId="0" xfId="0" applyFont="1" applyAlignment="1">
      <alignment vertical="center" wrapText="1"/>
    </xf>
    <xf numFmtId="0" fontId="2" fillId="0" borderId="3" xfId="0" applyFont="1" applyBorder="1" applyAlignment="1">
      <alignment horizontal="center" vertical="center"/>
    </xf>
    <xf numFmtId="0" fontId="14" fillId="0" borderId="1" xfId="0" applyFont="1" applyBorder="1" applyAlignment="1">
      <alignment horizontal="center" vertical="center" shrinkToFit="1"/>
    </xf>
    <xf numFmtId="0" fontId="14" fillId="0" borderId="4" xfId="0" applyFont="1" applyBorder="1" applyAlignment="1">
      <alignment horizontal="center" vertical="center" shrinkToFit="1"/>
    </xf>
    <xf numFmtId="49" fontId="14" fillId="0" borderId="1" xfId="0" applyNumberFormat="1" applyFont="1" applyBorder="1" applyAlignment="1">
      <alignment horizontal="center"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4" xfId="0" applyFont="1" applyBorder="1" applyAlignment="1">
      <alignment horizontal="center"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3" xfId="0" applyFont="1" applyBorder="1" applyAlignment="1">
      <alignment horizontal="center"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vertical="top"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0" fontId="6" fillId="0" borderId="2" xfId="0" applyFont="1" applyBorder="1" applyAlignment="1">
      <alignment horizontal="center" vertical="center" shrinkToFit="1"/>
    </xf>
    <xf numFmtId="0" fontId="6" fillId="0" borderId="4" xfId="0" applyFont="1" applyBorder="1" applyAlignment="1">
      <alignment horizontal="center" vertical="center" shrinkToFit="1"/>
    </xf>
    <xf numFmtId="0" fontId="14" fillId="0" borderId="45" xfId="0" applyFont="1" applyBorder="1" applyAlignment="1">
      <alignment vertical="center" wrapText="1"/>
    </xf>
    <xf numFmtId="49" fontId="14" fillId="0" borderId="48" xfId="0" applyNumberFormat="1" applyFont="1" applyBorder="1" applyAlignment="1">
      <alignment horizontal="center" vertical="center"/>
    </xf>
    <xf numFmtId="0" fontId="6" fillId="0" borderId="34" xfId="0" applyFont="1" applyBorder="1" applyAlignment="1">
      <alignment horizontal="left" vertical="center" wrapText="1" shrinkToFit="1"/>
    </xf>
    <xf numFmtId="0" fontId="6" fillId="0" borderId="36" xfId="0" applyFont="1" applyBorder="1" applyAlignment="1">
      <alignment horizontal="left" vertical="center" wrapText="1" shrinkToFit="1"/>
    </xf>
    <xf numFmtId="0" fontId="6" fillId="0" borderId="35" xfId="0" applyFont="1" applyBorder="1" applyAlignment="1">
      <alignment horizontal="left" vertical="center" wrapText="1" shrinkToFit="1"/>
    </xf>
    <xf numFmtId="0" fontId="14" fillId="0" borderId="31" xfId="0" applyFont="1" applyBorder="1" applyAlignment="1">
      <alignment vertical="center" wrapText="1"/>
    </xf>
    <xf numFmtId="49" fontId="14" fillId="0" borderId="49" xfId="0" applyNumberFormat="1" applyFont="1" applyBorder="1" applyAlignment="1">
      <alignment horizontal="center" vertical="center"/>
    </xf>
    <xf numFmtId="0" fontId="6" fillId="0" borderId="16" xfId="0" applyFont="1" applyBorder="1" applyAlignment="1">
      <alignment horizontal="left" vertical="center" wrapText="1" shrinkToFit="1"/>
    </xf>
    <xf numFmtId="0" fontId="6" fillId="0" borderId="22" xfId="0" applyFont="1" applyBorder="1" applyAlignment="1">
      <alignment horizontal="left" vertical="center" shrinkToFit="1"/>
    </xf>
    <xf numFmtId="0" fontId="6" fillId="0" borderId="21" xfId="0" applyFont="1" applyBorder="1" applyAlignment="1">
      <alignment horizontal="left" vertical="center" shrinkToFit="1"/>
    </xf>
    <xf numFmtId="49" fontId="14" fillId="0" borderId="44" xfId="0" applyNumberFormat="1" applyFont="1" applyBorder="1" applyAlignment="1">
      <alignment horizontal="center" vertical="center"/>
    </xf>
    <xf numFmtId="0" fontId="6" fillId="0" borderId="36" xfId="0" applyFont="1" applyBorder="1" applyAlignment="1">
      <alignment horizontal="left" vertical="center" shrinkToFit="1"/>
    </xf>
    <xf numFmtId="0" fontId="6" fillId="0" borderId="35" xfId="0" applyFont="1" applyBorder="1" applyAlignment="1">
      <alignment horizontal="left" vertical="center" shrinkToFit="1"/>
    </xf>
    <xf numFmtId="0" fontId="14" fillId="0" borderId="46" xfId="0" applyFont="1" applyBorder="1" applyAlignment="1">
      <alignment vertical="center" wrapText="1"/>
    </xf>
    <xf numFmtId="49" fontId="14" fillId="0" borderId="29" xfId="0" applyNumberFormat="1" applyFont="1" applyBorder="1" applyAlignment="1">
      <alignment horizontal="center" vertical="center"/>
    </xf>
    <xf numFmtId="0" fontId="6" fillId="0" borderId="37" xfId="0" applyFont="1" applyBorder="1" applyAlignment="1">
      <alignment horizontal="left" vertical="center" wrapText="1" shrinkToFit="1"/>
    </xf>
    <xf numFmtId="0" fontId="6" fillId="0" borderId="38" xfId="0" applyFont="1" applyBorder="1" applyAlignment="1">
      <alignment horizontal="left" vertical="center" shrinkToFit="1"/>
    </xf>
    <xf numFmtId="0" fontId="6" fillId="0" borderId="39" xfId="0" applyFont="1" applyBorder="1" applyAlignment="1">
      <alignment horizontal="left" vertical="center" shrinkToFit="1"/>
    </xf>
    <xf numFmtId="49" fontId="14" fillId="0" borderId="47" xfId="0" applyNumberFormat="1" applyFont="1" applyBorder="1" applyAlignment="1">
      <alignment horizontal="center" vertical="center"/>
    </xf>
    <xf numFmtId="0" fontId="6" fillId="0" borderId="11" xfId="0" applyFont="1" applyBorder="1" applyAlignment="1">
      <alignment horizontal="left" vertical="center" wrapText="1" shrinkToFit="1"/>
    </xf>
    <xf numFmtId="0" fontId="6" fillId="0" borderId="6" xfId="0" applyFont="1" applyBorder="1" applyAlignment="1">
      <alignment horizontal="left" vertical="center" shrinkToFit="1"/>
    </xf>
    <xf numFmtId="0" fontId="6" fillId="0" borderId="12" xfId="0" applyFont="1" applyBorder="1" applyAlignment="1">
      <alignment horizontal="left" vertical="center" shrinkToFit="1"/>
    </xf>
    <xf numFmtId="0" fontId="6" fillId="0" borderId="7" xfId="0" applyFont="1" applyBorder="1" applyAlignment="1">
      <alignment horizontal="left" vertical="center" wrapText="1" shrinkToFit="1"/>
    </xf>
    <xf numFmtId="0" fontId="6" fillId="0" borderId="8" xfId="0" applyFont="1" applyBorder="1" applyAlignment="1">
      <alignment horizontal="left" vertical="center" shrinkToFit="1"/>
    </xf>
    <xf numFmtId="0" fontId="6" fillId="0" borderId="9" xfId="0" applyFont="1" applyBorder="1" applyAlignment="1">
      <alignment horizontal="left" vertical="center" shrinkToFit="1"/>
    </xf>
    <xf numFmtId="0" fontId="6" fillId="0" borderId="19" xfId="0" applyFont="1" applyBorder="1" applyAlignment="1">
      <alignment horizontal="left" vertical="center" wrapText="1" shrinkToFit="1"/>
    </xf>
    <xf numFmtId="0" fontId="6" fillId="0" borderId="20" xfId="0" applyFont="1" applyBorder="1" applyAlignment="1">
      <alignment horizontal="left" vertical="center" wrapText="1" shrinkToFit="1"/>
    </xf>
    <xf numFmtId="0" fontId="6" fillId="0" borderId="18" xfId="0" applyFont="1" applyBorder="1" applyAlignment="1">
      <alignment horizontal="left" vertical="center" wrapText="1" shrinkToFit="1"/>
    </xf>
    <xf numFmtId="0" fontId="6" fillId="0" borderId="34" xfId="0" applyFont="1" applyBorder="1" applyAlignment="1">
      <alignment vertical="center" wrapText="1" shrinkToFit="1"/>
    </xf>
    <xf numFmtId="0" fontId="6" fillId="0" borderId="36" xfId="0" applyFont="1" applyBorder="1" applyAlignment="1">
      <alignment vertical="center" shrinkToFit="1"/>
    </xf>
    <xf numFmtId="0" fontId="6" fillId="0" borderId="35" xfId="0" applyFont="1" applyBorder="1" applyAlignment="1">
      <alignment vertical="center" shrinkToFit="1"/>
    </xf>
    <xf numFmtId="49" fontId="14" fillId="0" borderId="32" xfId="0" applyNumberFormat="1" applyFont="1" applyBorder="1" applyAlignment="1">
      <alignment horizontal="center" vertical="center"/>
    </xf>
    <xf numFmtId="0" fontId="6" fillId="0" borderId="19" xfId="0" applyFont="1" applyBorder="1" applyAlignment="1">
      <alignment vertical="center" wrapText="1"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6" fillId="0" borderId="11" xfId="0" applyFont="1" applyBorder="1" applyAlignment="1">
      <alignment vertical="center" wrapText="1" shrinkToFit="1"/>
    </xf>
    <xf numFmtId="0" fontId="6" fillId="0" borderId="6" xfId="0" applyFont="1" applyBorder="1" applyAlignment="1">
      <alignment vertical="center" shrinkToFit="1"/>
    </xf>
    <xf numFmtId="0" fontId="6" fillId="0" borderId="12" xfId="0" applyFont="1" applyBorder="1" applyAlignment="1">
      <alignment vertical="center" shrinkToFit="1"/>
    </xf>
    <xf numFmtId="0" fontId="6" fillId="0" borderId="7" xfId="0" applyFont="1" applyBorder="1" applyAlignment="1">
      <alignment vertical="top" wrapText="1" shrinkToFit="1"/>
    </xf>
    <xf numFmtId="0" fontId="2" fillId="0" borderId="8" xfId="0" applyFont="1" applyBorder="1" applyAlignment="1">
      <alignment vertical="top" shrinkToFit="1"/>
    </xf>
  </cellXfs>
  <cellStyles count="2">
    <cellStyle name="桁区切り" xfId="1"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W110"/>
  <sheetViews>
    <sheetView showZeros="0" tabSelected="1" view="pageBreakPreview" zoomScaleNormal="100" zoomScaleSheetLayoutView="100" workbookViewId="0">
      <selection activeCell="W18" sqref="W18"/>
    </sheetView>
  </sheetViews>
  <sheetFormatPr defaultColWidth="9" defaultRowHeight="18.75" customHeight="1" x14ac:dyDescent="0.15"/>
  <cols>
    <col min="1" max="1" width="2.5" style="39" customWidth="1"/>
    <col min="2" max="2" width="16.5" style="39" customWidth="1"/>
    <col min="3" max="19" width="5.625" style="39" customWidth="1"/>
    <col min="20" max="23" width="9" style="39"/>
    <col min="24" max="16384" width="9" style="1"/>
  </cols>
  <sheetData>
    <row r="1" spans="1:19" ht="18.600000000000001" customHeight="1" x14ac:dyDescent="0.15">
      <c r="R1" s="88" t="s">
        <v>12</v>
      </c>
      <c r="S1" s="88"/>
    </row>
    <row r="2" spans="1:19" ht="18.75" customHeight="1" x14ac:dyDescent="0.15">
      <c r="B2" s="40" t="s">
        <v>108</v>
      </c>
      <c r="C2" s="85" t="s">
        <v>122</v>
      </c>
      <c r="D2" s="86"/>
      <c r="E2" s="86"/>
      <c r="F2" s="86"/>
      <c r="G2" s="86"/>
      <c r="H2" s="86"/>
      <c r="I2" s="87"/>
      <c r="J2" s="41"/>
      <c r="K2" s="42"/>
      <c r="L2" s="42"/>
      <c r="M2" s="42"/>
      <c r="N2" s="42"/>
      <c r="O2" s="42"/>
      <c r="P2" s="42"/>
      <c r="Q2" s="42"/>
      <c r="R2" s="42"/>
      <c r="S2" s="42"/>
    </row>
    <row r="3" spans="1:19" ht="18.75" customHeight="1" x14ac:dyDescent="0.15">
      <c r="B3" s="40" t="s">
        <v>103</v>
      </c>
      <c r="C3" s="85" t="s">
        <v>144</v>
      </c>
      <c r="D3" s="86"/>
      <c r="E3" s="86"/>
      <c r="F3" s="86"/>
      <c r="G3" s="86"/>
      <c r="H3" s="86"/>
      <c r="I3" s="87"/>
      <c r="J3" s="41"/>
      <c r="K3" s="42"/>
      <c r="L3" s="42"/>
      <c r="M3" s="42"/>
      <c r="N3" s="42"/>
      <c r="O3" s="42"/>
      <c r="P3" s="42"/>
      <c r="Q3" s="42"/>
      <c r="R3" s="42"/>
      <c r="S3" s="42"/>
    </row>
    <row r="4" spans="1:19" ht="15" customHeight="1" x14ac:dyDescent="0.15">
      <c r="K4" s="41"/>
      <c r="L4" s="43"/>
      <c r="M4" s="43"/>
      <c r="N4" s="43"/>
      <c r="O4" s="43"/>
      <c r="P4" s="43"/>
      <c r="Q4" s="43"/>
      <c r="R4" s="43"/>
      <c r="S4" s="43"/>
    </row>
    <row r="5" spans="1:19" ht="18" customHeight="1" x14ac:dyDescent="0.15">
      <c r="A5" s="89" t="s">
        <v>39</v>
      </c>
      <c r="B5" s="89"/>
      <c r="C5" s="89"/>
      <c r="D5" s="89"/>
      <c r="E5" s="89"/>
      <c r="F5" s="89"/>
      <c r="G5" s="89"/>
      <c r="H5" s="89"/>
      <c r="I5" s="89"/>
      <c r="J5" s="89"/>
      <c r="K5" s="89"/>
      <c r="L5" s="89"/>
      <c r="M5" s="89"/>
      <c r="N5" s="89"/>
      <c r="O5" s="89"/>
      <c r="P5" s="89"/>
      <c r="Q5" s="89"/>
      <c r="R5" s="89"/>
      <c r="S5" s="89"/>
    </row>
    <row r="6" spans="1:19" ht="15" customHeight="1" x14ac:dyDescent="0.15">
      <c r="B6" s="44"/>
      <c r="C6" s="44"/>
      <c r="D6" s="44"/>
      <c r="E6" s="44"/>
      <c r="F6" s="44"/>
      <c r="G6" s="44"/>
      <c r="H6" s="44"/>
      <c r="I6" s="44"/>
      <c r="J6" s="44"/>
      <c r="K6" s="44"/>
      <c r="L6" s="44"/>
      <c r="M6" s="44"/>
      <c r="N6" s="44"/>
      <c r="O6" s="44"/>
      <c r="P6" s="44"/>
      <c r="Q6" s="44"/>
      <c r="R6" s="44"/>
      <c r="S6" s="44"/>
    </row>
    <row r="7" spans="1:19" ht="18" customHeight="1" x14ac:dyDescent="0.15">
      <c r="A7" s="39" t="s">
        <v>120</v>
      </c>
      <c r="C7" s="44"/>
      <c r="J7" s="45" t="s">
        <v>107</v>
      </c>
      <c r="K7" s="90" t="s">
        <v>123</v>
      </c>
      <c r="L7" s="91"/>
      <c r="M7" s="91"/>
      <c r="N7" s="91"/>
      <c r="O7" s="91"/>
      <c r="P7" s="91"/>
      <c r="Q7" s="91"/>
      <c r="R7" s="91"/>
      <c r="S7" s="92"/>
    </row>
    <row r="8" spans="1:19" ht="6" customHeight="1" x14ac:dyDescent="0.15">
      <c r="B8" s="44"/>
      <c r="C8" s="44"/>
      <c r="D8" s="44"/>
      <c r="E8" s="44"/>
      <c r="F8" s="44"/>
      <c r="G8" s="44"/>
      <c r="H8" s="44"/>
      <c r="I8" s="44"/>
      <c r="J8" s="44"/>
      <c r="K8" s="46"/>
      <c r="L8" s="44"/>
      <c r="M8" s="44"/>
      <c r="N8" s="44"/>
      <c r="O8" s="44"/>
      <c r="P8" s="44"/>
      <c r="Q8" s="44"/>
      <c r="R8" s="44"/>
      <c r="S8" s="44"/>
    </row>
    <row r="9" spans="1:19" ht="18" customHeight="1" x14ac:dyDescent="0.15">
      <c r="B9" s="79" t="s">
        <v>124</v>
      </c>
      <c r="C9" s="80"/>
      <c r="D9" s="80"/>
      <c r="E9" s="80"/>
      <c r="F9" s="80"/>
      <c r="G9" s="80"/>
      <c r="H9" s="80"/>
      <c r="I9" s="80"/>
      <c r="J9" s="80"/>
      <c r="K9" s="80"/>
      <c r="L9" s="80"/>
      <c r="M9" s="80"/>
      <c r="N9" s="80"/>
      <c r="O9" s="80"/>
      <c r="P9" s="80"/>
      <c r="Q9" s="80"/>
      <c r="R9" s="80"/>
      <c r="S9" s="81"/>
    </row>
    <row r="10" spans="1:19" ht="18" customHeight="1" x14ac:dyDescent="0.15">
      <c r="B10" s="82"/>
      <c r="C10" s="83"/>
      <c r="D10" s="83"/>
      <c r="E10" s="83"/>
      <c r="F10" s="83"/>
      <c r="G10" s="83"/>
      <c r="H10" s="83"/>
      <c r="I10" s="83"/>
      <c r="J10" s="83"/>
      <c r="K10" s="83"/>
      <c r="L10" s="83"/>
      <c r="M10" s="83"/>
      <c r="N10" s="83"/>
      <c r="O10" s="83"/>
      <c r="P10" s="83"/>
      <c r="Q10" s="83"/>
      <c r="R10" s="83"/>
      <c r="S10" s="84"/>
    </row>
    <row r="11" spans="1:19" ht="6" customHeight="1" x14ac:dyDescent="0.15">
      <c r="B11" s="44"/>
      <c r="C11" s="44"/>
      <c r="D11" s="44"/>
      <c r="E11" s="44"/>
      <c r="F11" s="44"/>
      <c r="G11" s="44"/>
      <c r="H11" s="44"/>
      <c r="I11" s="44"/>
      <c r="J11" s="44"/>
      <c r="K11" s="46"/>
      <c r="L11" s="44"/>
      <c r="M11" s="44"/>
      <c r="N11" s="44"/>
      <c r="O11" s="44"/>
      <c r="P11" s="44"/>
      <c r="Q11" s="44"/>
      <c r="R11" s="44"/>
      <c r="S11" s="44"/>
    </row>
    <row r="12" spans="1:19" ht="18" customHeight="1" x14ac:dyDescent="0.15">
      <c r="A12" s="39" t="s">
        <v>109</v>
      </c>
      <c r="B12" s="44"/>
      <c r="C12" s="44"/>
      <c r="D12" s="41"/>
      <c r="E12" s="41"/>
      <c r="F12" s="41"/>
      <c r="G12" s="41"/>
      <c r="H12" s="41"/>
      <c r="I12" s="41"/>
      <c r="J12" s="41"/>
      <c r="K12" s="47"/>
      <c r="L12" s="47"/>
      <c r="M12" s="47"/>
      <c r="N12" s="47"/>
      <c r="O12" s="47"/>
      <c r="P12" s="47"/>
      <c r="Q12" s="47"/>
      <c r="R12" s="47"/>
      <c r="S12" s="47"/>
    </row>
    <row r="13" spans="1:19" ht="18" customHeight="1" x14ac:dyDescent="0.15">
      <c r="A13" s="1"/>
      <c r="B13" s="197" t="s">
        <v>125</v>
      </c>
      <c r="C13" s="198"/>
      <c r="D13" s="198"/>
      <c r="E13" s="198"/>
      <c r="F13" s="198"/>
      <c r="G13" s="198"/>
      <c r="H13" s="198"/>
      <c r="I13" s="198"/>
      <c r="J13" s="198"/>
      <c r="K13" s="198"/>
      <c r="L13" s="198"/>
      <c r="M13" s="198"/>
      <c r="N13" s="198"/>
      <c r="O13" s="198"/>
      <c r="P13" s="198"/>
      <c r="Q13" s="198"/>
      <c r="R13" s="198"/>
      <c r="S13" s="199"/>
    </row>
    <row r="14" spans="1:19" ht="18" customHeight="1" x14ac:dyDescent="0.15">
      <c r="A14" s="1"/>
      <c r="B14" s="200"/>
      <c r="C14" s="201"/>
      <c r="D14" s="201"/>
      <c r="E14" s="201"/>
      <c r="F14" s="201"/>
      <c r="G14" s="201"/>
      <c r="H14" s="201"/>
      <c r="I14" s="201"/>
      <c r="J14" s="201"/>
      <c r="K14" s="201"/>
      <c r="L14" s="201"/>
      <c r="M14" s="201"/>
      <c r="N14" s="201"/>
      <c r="O14" s="201"/>
      <c r="P14" s="201"/>
      <c r="Q14" s="201"/>
      <c r="R14" s="201"/>
      <c r="S14" s="202"/>
    </row>
    <row r="15" spans="1:19" ht="18" customHeight="1" x14ac:dyDescent="0.15">
      <c r="A15" s="1"/>
      <c r="B15" s="200"/>
      <c r="C15" s="201"/>
      <c r="D15" s="201"/>
      <c r="E15" s="201"/>
      <c r="F15" s="201"/>
      <c r="G15" s="201"/>
      <c r="H15" s="201"/>
      <c r="I15" s="201"/>
      <c r="J15" s="201"/>
      <c r="K15" s="201"/>
      <c r="L15" s="201"/>
      <c r="M15" s="201"/>
      <c r="N15" s="201"/>
      <c r="O15" s="201"/>
      <c r="P15" s="201"/>
      <c r="Q15" s="201"/>
      <c r="R15" s="201"/>
      <c r="S15" s="202"/>
    </row>
    <row r="16" spans="1:19" ht="18" customHeight="1" x14ac:dyDescent="0.15">
      <c r="A16" s="1"/>
      <c r="B16" s="200"/>
      <c r="C16" s="201"/>
      <c r="D16" s="201"/>
      <c r="E16" s="201"/>
      <c r="F16" s="201"/>
      <c r="G16" s="201"/>
      <c r="H16" s="201"/>
      <c r="I16" s="201"/>
      <c r="J16" s="201"/>
      <c r="K16" s="201"/>
      <c r="L16" s="201"/>
      <c r="M16" s="201"/>
      <c r="N16" s="201"/>
      <c r="O16" s="201"/>
      <c r="P16" s="201"/>
      <c r="Q16" s="201"/>
      <c r="R16" s="201"/>
      <c r="S16" s="202"/>
    </row>
    <row r="17" spans="1:19" ht="18" customHeight="1" x14ac:dyDescent="0.15">
      <c r="A17" s="1"/>
      <c r="B17" s="200"/>
      <c r="C17" s="201"/>
      <c r="D17" s="201"/>
      <c r="E17" s="201"/>
      <c r="F17" s="201"/>
      <c r="G17" s="201"/>
      <c r="H17" s="201"/>
      <c r="I17" s="201"/>
      <c r="J17" s="201"/>
      <c r="K17" s="201"/>
      <c r="L17" s="201"/>
      <c r="M17" s="201"/>
      <c r="N17" s="201"/>
      <c r="O17" s="201"/>
      <c r="P17" s="201"/>
      <c r="Q17" s="201"/>
      <c r="R17" s="201"/>
      <c r="S17" s="202"/>
    </row>
    <row r="18" spans="1:19" ht="18" customHeight="1" x14ac:dyDescent="0.15">
      <c r="A18" s="1"/>
      <c r="B18" s="203"/>
      <c r="C18" s="204"/>
      <c r="D18" s="204"/>
      <c r="E18" s="204"/>
      <c r="F18" s="204"/>
      <c r="G18" s="204"/>
      <c r="H18" s="204"/>
      <c r="I18" s="204"/>
      <c r="J18" s="204"/>
      <c r="K18" s="204"/>
      <c r="L18" s="204"/>
      <c r="M18" s="204"/>
      <c r="N18" s="204"/>
      <c r="O18" s="204"/>
      <c r="P18" s="204"/>
      <c r="Q18" s="204"/>
      <c r="R18" s="204"/>
      <c r="S18" s="205"/>
    </row>
    <row r="19" spans="1:19" ht="7.5" customHeight="1" x14ac:dyDescent="0.15">
      <c r="A19" s="1"/>
      <c r="B19" s="3"/>
      <c r="C19" s="3"/>
      <c r="D19" s="3"/>
      <c r="E19" s="3"/>
      <c r="F19" s="3"/>
      <c r="G19" s="3"/>
      <c r="H19" s="3"/>
      <c r="I19" s="3"/>
      <c r="J19" s="3"/>
      <c r="K19" s="3"/>
      <c r="L19" s="3"/>
      <c r="M19" s="3"/>
      <c r="N19" s="3"/>
      <c r="O19" s="3"/>
      <c r="P19" s="3"/>
      <c r="Q19" s="3"/>
      <c r="R19" s="3"/>
      <c r="S19" s="3"/>
    </row>
    <row r="20" spans="1:19" ht="19.899999999999999" customHeight="1" x14ac:dyDescent="0.15">
      <c r="A20" s="1"/>
      <c r="B20" s="1" t="s">
        <v>110</v>
      </c>
      <c r="C20" s="206">
        <v>2</v>
      </c>
      <c r="D20" s="207"/>
      <c r="E20" s="208" t="s">
        <v>96</v>
      </c>
      <c r="F20" s="1"/>
      <c r="G20" s="209"/>
      <c r="H20" s="3"/>
      <c r="I20" s="3"/>
      <c r="J20" s="17" t="s">
        <v>119</v>
      </c>
      <c r="K20" s="210" t="s">
        <v>121</v>
      </c>
      <c r="L20" s="211"/>
      <c r="M20" s="211"/>
      <c r="N20" s="211"/>
      <c r="O20" s="211"/>
      <c r="P20" s="211"/>
      <c r="Q20" s="211"/>
      <c r="R20" s="211"/>
      <c r="S20" s="212"/>
    </row>
    <row r="21" spans="1:19" ht="7.5" customHeight="1" x14ac:dyDescent="0.15">
      <c r="A21" s="1"/>
      <c r="B21" s="3"/>
      <c r="C21" s="3"/>
      <c r="D21" s="3"/>
      <c r="E21" s="3"/>
      <c r="F21" s="3"/>
      <c r="G21" s="3"/>
      <c r="H21" s="3"/>
      <c r="I21" s="3"/>
      <c r="J21" s="3"/>
      <c r="K21" s="3"/>
      <c r="L21" s="3"/>
      <c r="M21" s="3"/>
      <c r="N21" s="3"/>
      <c r="O21" s="3"/>
      <c r="P21" s="3"/>
      <c r="Q21" s="3"/>
      <c r="R21" s="3"/>
      <c r="S21" s="3"/>
    </row>
    <row r="22" spans="1:19" ht="18" customHeight="1" x14ac:dyDescent="0.15">
      <c r="A22" s="213" t="s">
        <v>111</v>
      </c>
      <c r="B22" s="213"/>
      <c r="C22" s="213"/>
      <c r="D22" s="213"/>
      <c r="E22" s="213"/>
      <c r="F22" s="213"/>
      <c r="G22" s="213"/>
      <c r="H22" s="213"/>
      <c r="I22" s="213"/>
      <c r="J22" s="213"/>
      <c r="K22" s="213"/>
      <c r="L22" s="213"/>
      <c r="M22" s="213"/>
      <c r="N22" s="213"/>
      <c r="O22" s="213"/>
      <c r="P22" s="213"/>
      <c r="Q22" s="213"/>
      <c r="R22" s="213"/>
      <c r="S22" s="213"/>
    </row>
    <row r="23" spans="1:19" ht="18" customHeight="1" x14ac:dyDescent="0.15">
      <c r="A23" s="213"/>
      <c r="B23" s="213"/>
      <c r="C23" s="213"/>
      <c r="D23" s="213"/>
      <c r="E23" s="213"/>
      <c r="F23" s="213"/>
      <c r="G23" s="213"/>
      <c r="H23" s="213"/>
      <c r="I23" s="213"/>
      <c r="J23" s="213"/>
      <c r="K23" s="213"/>
      <c r="L23" s="213"/>
      <c r="M23" s="213"/>
      <c r="N23" s="213"/>
      <c r="O23" s="213"/>
      <c r="P23" s="213"/>
      <c r="Q23" s="213"/>
      <c r="R23" s="213"/>
      <c r="S23" s="213"/>
    </row>
    <row r="24" spans="1:19" ht="18" customHeight="1" x14ac:dyDescent="0.15">
      <c r="A24" s="1"/>
      <c r="B24" s="206" t="s">
        <v>54</v>
      </c>
      <c r="C24" s="214"/>
      <c r="D24" s="214"/>
      <c r="E24" s="207"/>
      <c r="F24" s="215" t="s">
        <v>81</v>
      </c>
      <c r="G24" s="216" t="s">
        <v>85</v>
      </c>
      <c r="H24" s="217" t="s">
        <v>57</v>
      </c>
      <c r="I24" s="217" t="s">
        <v>60</v>
      </c>
      <c r="J24" s="206" t="s">
        <v>54</v>
      </c>
      <c r="K24" s="214"/>
      <c r="L24" s="214"/>
      <c r="M24" s="214"/>
      <c r="N24" s="214"/>
      <c r="O24" s="207"/>
      <c r="P24" s="215" t="s">
        <v>81</v>
      </c>
      <c r="Q24" s="216" t="s">
        <v>85</v>
      </c>
      <c r="R24" s="217" t="s">
        <v>57</v>
      </c>
      <c r="S24" s="217" t="s">
        <v>60</v>
      </c>
    </row>
    <row r="25" spans="1:19" ht="18" customHeight="1" x14ac:dyDescent="0.15">
      <c r="A25" s="1"/>
      <c r="B25" s="218" t="s">
        <v>126</v>
      </c>
      <c r="C25" s="219"/>
      <c r="D25" s="219"/>
      <c r="E25" s="220"/>
      <c r="F25" s="221">
        <v>2</v>
      </c>
      <c r="G25" s="221" t="s">
        <v>131</v>
      </c>
      <c r="H25" s="221" t="s">
        <v>131</v>
      </c>
      <c r="I25" s="221" t="s">
        <v>131</v>
      </c>
      <c r="J25" s="218"/>
      <c r="K25" s="219"/>
      <c r="L25" s="219"/>
      <c r="M25" s="219"/>
      <c r="N25" s="219"/>
      <c r="O25" s="220"/>
      <c r="P25" s="221"/>
      <c r="Q25" s="221"/>
      <c r="R25" s="221"/>
      <c r="S25" s="221"/>
    </row>
    <row r="26" spans="1:19" ht="18" customHeight="1" x14ac:dyDescent="0.15">
      <c r="A26" s="1"/>
      <c r="B26" s="222"/>
      <c r="C26" s="223"/>
      <c r="D26" s="223"/>
      <c r="E26" s="224"/>
      <c r="F26" s="225"/>
      <c r="G26" s="225"/>
      <c r="H26" s="225"/>
      <c r="I26" s="225"/>
      <c r="J26" s="222"/>
      <c r="K26" s="223"/>
      <c r="L26" s="223"/>
      <c r="M26" s="223"/>
      <c r="N26" s="223"/>
      <c r="O26" s="224"/>
      <c r="P26" s="225"/>
      <c r="Q26" s="225"/>
      <c r="R26" s="225"/>
      <c r="S26" s="225"/>
    </row>
    <row r="27" spans="1:19" ht="18" customHeight="1" x14ac:dyDescent="0.15">
      <c r="A27" s="1"/>
      <c r="B27" s="222"/>
      <c r="C27" s="223"/>
      <c r="D27" s="223"/>
      <c r="E27" s="224"/>
      <c r="F27" s="225"/>
      <c r="G27" s="225"/>
      <c r="H27" s="225"/>
      <c r="I27" s="225"/>
      <c r="J27" s="222"/>
      <c r="K27" s="223"/>
      <c r="L27" s="223"/>
      <c r="M27" s="223"/>
      <c r="N27" s="223"/>
      <c r="O27" s="224"/>
      <c r="P27" s="225"/>
      <c r="Q27" s="225"/>
      <c r="R27" s="225"/>
      <c r="S27" s="225"/>
    </row>
    <row r="28" spans="1:19" ht="18" customHeight="1" x14ac:dyDescent="0.15">
      <c r="A28" s="1"/>
      <c r="B28" s="222"/>
      <c r="C28" s="223"/>
      <c r="D28" s="223"/>
      <c r="E28" s="224"/>
      <c r="F28" s="225"/>
      <c r="G28" s="225"/>
      <c r="H28" s="225"/>
      <c r="I28" s="225"/>
      <c r="J28" s="222"/>
      <c r="K28" s="223"/>
      <c r="L28" s="223"/>
      <c r="M28" s="223"/>
      <c r="N28" s="223"/>
      <c r="O28" s="224"/>
      <c r="P28" s="225"/>
      <c r="Q28" s="225"/>
      <c r="R28" s="225"/>
      <c r="S28" s="225"/>
    </row>
    <row r="29" spans="1:19" ht="18" customHeight="1" x14ac:dyDescent="0.15">
      <c r="A29" s="1"/>
      <c r="B29" s="222"/>
      <c r="C29" s="223"/>
      <c r="D29" s="223"/>
      <c r="E29" s="224"/>
      <c r="F29" s="225"/>
      <c r="G29" s="225"/>
      <c r="H29" s="225"/>
      <c r="I29" s="225"/>
      <c r="J29" s="222"/>
      <c r="K29" s="223"/>
      <c r="L29" s="223"/>
      <c r="M29" s="223"/>
      <c r="N29" s="223"/>
      <c r="O29" s="224"/>
      <c r="P29" s="225"/>
      <c r="Q29" s="225"/>
      <c r="R29" s="225"/>
      <c r="S29" s="225"/>
    </row>
    <row r="30" spans="1:19" ht="18" customHeight="1" x14ac:dyDescent="0.15">
      <c r="A30" s="3"/>
      <c r="B30" s="222"/>
      <c r="C30" s="223"/>
      <c r="D30" s="223"/>
      <c r="E30" s="224"/>
      <c r="F30" s="225"/>
      <c r="G30" s="225"/>
      <c r="H30" s="225"/>
      <c r="I30" s="225"/>
      <c r="J30" s="222"/>
      <c r="K30" s="223"/>
      <c r="L30" s="223"/>
      <c r="M30" s="223"/>
      <c r="N30" s="223"/>
      <c r="O30" s="224"/>
      <c r="P30" s="225"/>
      <c r="Q30" s="225"/>
      <c r="R30" s="225"/>
      <c r="S30" s="225"/>
    </row>
    <row r="31" spans="1:19" ht="18" customHeight="1" x14ac:dyDescent="0.15">
      <c r="A31" s="3"/>
      <c r="B31" s="226"/>
      <c r="C31" s="227"/>
      <c r="D31" s="227"/>
      <c r="E31" s="228"/>
      <c r="F31" s="229"/>
      <c r="G31" s="229"/>
      <c r="H31" s="230"/>
      <c r="I31" s="230"/>
      <c r="J31" s="226"/>
      <c r="K31" s="227"/>
      <c r="L31" s="227"/>
      <c r="M31" s="227"/>
      <c r="N31" s="227"/>
      <c r="O31" s="228"/>
      <c r="P31" s="229"/>
      <c r="Q31" s="229"/>
      <c r="R31" s="230"/>
      <c r="S31" s="230"/>
    </row>
    <row r="32" spans="1:19" ht="7.5" customHeight="1" x14ac:dyDescent="0.15">
      <c r="A32" s="3"/>
      <c r="B32" s="5"/>
      <c r="C32" s="5"/>
      <c r="D32" s="3"/>
      <c r="E32" s="3"/>
      <c r="F32" s="3"/>
      <c r="G32" s="3"/>
      <c r="H32" s="5"/>
      <c r="I32" s="5"/>
      <c r="J32" s="5"/>
      <c r="K32" s="5"/>
      <c r="L32" s="5"/>
      <c r="M32" s="5"/>
      <c r="N32" s="5"/>
      <c r="O32" s="5"/>
      <c r="P32" s="5"/>
      <c r="Q32" s="5"/>
      <c r="R32" s="5"/>
      <c r="S32" s="3"/>
    </row>
    <row r="33" spans="1:19" ht="18" customHeight="1" x14ac:dyDescent="0.15">
      <c r="A33" s="213" t="s">
        <v>112</v>
      </c>
      <c r="B33" s="213"/>
      <c r="C33" s="213"/>
      <c r="D33" s="213"/>
      <c r="E33" s="213"/>
      <c r="F33" s="213"/>
      <c r="G33" s="213"/>
      <c r="H33" s="213"/>
      <c r="I33" s="213"/>
      <c r="J33" s="213"/>
      <c r="K33" s="213"/>
      <c r="L33" s="213"/>
      <c r="M33" s="213"/>
      <c r="N33" s="213"/>
      <c r="O33" s="213"/>
      <c r="P33" s="213"/>
      <c r="Q33" s="213"/>
      <c r="R33" s="213"/>
      <c r="S33" s="213"/>
    </row>
    <row r="34" spans="1:19" ht="18" customHeight="1" x14ac:dyDescent="0.15">
      <c r="A34" s="213"/>
      <c r="B34" s="213"/>
      <c r="C34" s="213"/>
      <c r="D34" s="213"/>
      <c r="E34" s="213"/>
      <c r="F34" s="213"/>
      <c r="G34" s="213"/>
      <c r="H34" s="213"/>
      <c r="I34" s="213"/>
      <c r="J34" s="213"/>
      <c r="K34" s="213"/>
      <c r="L34" s="213"/>
      <c r="M34" s="213"/>
      <c r="N34" s="213"/>
      <c r="O34" s="213"/>
      <c r="P34" s="213"/>
      <c r="Q34" s="213"/>
      <c r="R34" s="213"/>
      <c r="S34" s="213"/>
    </row>
    <row r="35" spans="1:19" ht="18" customHeight="1" x14ac:dyDescent="0.15">
      <c r="A35" s="1"/>
      <c r="B35" s="206" t="s">
        <v>54</v>
      </c>
      <c r="C35" s="214"/>
      <c r="D35" s="214"/>
      <c r="E35" s="207"/>
      <c r="F35" s="215" t="s">
        <v>81</v>
      </c>
      <c r="G35" s="216" t="s">
        <v>85</v>
      </c>
      <c r="H35" s="217" t="s">
        <v>72</v>
      </c>
      <c r="I35" s="217" t="s">
        <v>73</v>
      </c>
      <c r="J35" s="206" t="s">
        <v>54</v>
      </c>
      <c r="K35" s="214"/>
      <c r="L35" s="214"/>
      <c r="M35" s="214"/>
      <c r="N35" s="214"/>
      <c r="O35" s="207"/>
      <c r="P35" s="215" t="s">
        <v>81</v>
      </c>
      <c r="Q35" s="216" t="s">
        <v>85</v>
      </c>
      <c r="R35" s="217" t="s">
        <v>72</v>
      </c>
      <c r="S35" s="217" t="s">
        <v>73</v>
      </c>
    </row>
    <row r="36" spans="1:19" ht="18" customHeight="1" x14ac:dyDescent="0.15">
      <c r="A36" s="1"/>
      <c r="B36" s="218" t="s">
        <v>126</v>
      </c>
      <c r="C36" s="219"/>
      <c r="D36" s="219"/>
      <c r="E36" s="220"/>
      <c r="F36" s="221">
        <v>2</v>
      </c>
      <c r="G36" s="221" t="s">
        <v>131</v>
      </c>
      <c r="H36" s="221" t="s">
        <v>131</v>
      </c>
      <c r="I36" s="221" t="s">
        <v>131</v>
      </c>
      <c r="J36" s="218"/>
      <c r="K36" s="219"/>
      <c r="L36" s="219"/>
      <c r="M36" s="219"/>
      <c r="N36" s="219"/>
      <c r="O36" s="220"/>
      <c r="P36" s="221"/>
      <c r="Q36" s="221"/>
      <c r="R36" s="221"/>
      <c r="S36" s="221"/>
    </row>
    <row r="37" spans="1:19" ht="18" customHeight="1" x14ac:dyDescent="0.15">
      <c r="A37" s="1"/>
      <c r="B37" s="222"/>
      <c r="C37" s="223"/>
      <c r="D37" s="223"/>
      <c r="E37" s="224"/>
      <c r="F37" s="225"/>
      <c r="G37" s="225"/>
      <c r="H37" s="225"/>
      <c r="I37" s="225"/>
      <c r="J37" s="222"/>
      <c r="K37" s="223"/>
      <c r="L37" s="223"/>
      <c r="M37" s="223"/>
      <c r="N37" s="223"/>
      <c r="O37" s="224"/>
      <c r="P37" s="225"/>
      <c r="Q37" s="225"/>
      <c r="R37" s="225"/>
      <c r="S37" s="225"/>
    </row>
    <row r="38" spans="1:19" ht="18" customHeight="1" x14ac:dyDescent="0.15">
      <c r="A38" s="1"/>
      <c r="B38" s="222"/>
      <c r="C38" s="223"/>
      <c r="D38" s="223"/>
      <c r="E38" s="224"/>
      <c r="F38" s="225"/>
      <c r="G38" s="225"/>
      <c r="H38" s="225"/>
      <c r="I38" s="225"/>
      <c r="J38" s="222"/>
      <c r="K38" s="223"/>
      <c r="L38" s="223"/>
      <c r="M38" s="223"/>
      <c r="N38" s="223"/>
      <c r="O38" s="224"/>
      <c r="P38" s="225"/>
      <c r="Q38" s="225"/>
      <c r="R38" s="225"/>
      <c r="S38" s="225"/>
    </row>
    <row r="39" spans="1:19" ht="18" customHeight="1" x14ac:dyDescent="0.15">
      <c r="A39" s="1"/>
      <c r="B39" s="222"/>
      <c r="C39" s="223"/>
      <c r="D39" s="223"/>
      <c r="E39" s="224"/>
      <c r="F39" s="225"/>
      <c r="G39" s="225"/>
      <c r="H39" s="225"/>
      <c r="I39" s="225"/>
      <c r="J39" s="222"/>
      <c r="K39" s="223"/>
      <c r="L39" s="223"/>
      <c r="M39" s="223"/>
      <c r="N39" s="223"/>
      <c r="O39" s="224"/>
      <c r="P39" s="225"/>
      <c r="Q39" s="225"/>
      <c r="R39" s="225"/>
      <c r="S39" s="225"/>
    </row>
    <row r="40" spans="1:19" ht="18" customHeight="1" x14ac:dyDescent="0.15">
      <c r="A40" s="1"/>
      <c r="B40" s="222"/>
      <c r="C40" s="223"/>
      <c r="D40" s="223"/>
      <c r="E40" s="224"/>
      <c r="F40" s="225"/>
      <c r="G40" s="225"/>
      <c r="H40" s="225"/>
      <c r="I40" s="225"/>
      <c r="J40" s="222"/>
      <c r="K40" s="223"/>
      <c r="L40" s="223"/>
      <c r="M40" s="223"/>
      <c r="N40" s="223"/>
      <c r="O40" s="224"/>
      <c r="P40" s="225"/>
      <c r="Q40" s="225"/>
      <c r="R40" s="225"/>
      <c r="S40" s="225"/>
    </row>
    <row r="41" spans="1:19" ht="18" customHeight="1" x14ac:dyDescent="0.15">
      <c r="A41" s="1"/>
      <c r="B41" s="222"/>
      <c r="C41" s="223"/>
      <c r="D41" s="223"/>
      <c r="E41" s="224"/>
      <c r="F41" s="225"/>
      <c r="G41" s="225"/>
      <c r="H41" s="225"/>
      <c r="I41" s="225"/>
      <c r="J41" s="222"/>
      <c r="K41" s="223"/>
      <c r="L41" s="223"/>
      <c r="M41" s="223"/>
      <c r="N41" s="223"/>
      <c r="O41" s="224"/>
      <c r="P41" s="225"/>
      <c r="Q41" s="225"/>
      <c r="R41" s="225"/>
      <c r="S41" s="225"/>
    </row>
    <row r="42" spans="1:19" ht="18" customHeight="1" x14ac:dyDescent="0.15">
      <c r="A42" s="1"/>
      <c r="B42" s="226"/>
      <c r="C42" s="227"/>
      <c r="D42" s="227"/>
      <c r="E42" s="228"/>
      <c r="F42" s="229"/>
      <c r="G42" s="229"/>
      <c r="H42" s="230"/>
      <c r="I42" s="230"/>
      <c r="J42" s="226"/>
      <c r="K42" s="227"/>
      <c r="L42" s="227"/>
      <c r="M42" s="227"/>
      <c r="N42" s="227"/>
      <c r="O42" s="228"/>
      <c r="P42" s="229"/>
      <c r="Q42" s="229"/>
      <c r="R42" s="230"/>
      <c r="S42" s="230"/>
    </row>
    <row r="43" spans="1:19" ht="7.5" customHeight="1" x14ac:dyDescent="0.15">
      <c r="A43" s="3"/>
      <c r="B43" s="5"/>
      <c r="C43" s="5"/>
      <c r="D43" s="3"/>
      <c r="E43" s="3"/>
      <c r="F43" s="3"/>
      <c r="G43" s="3"/>
      <c r="H43" s="5"/>
      <c r="I43" s="5"/>
      <c r="J43" s="5"/>
      <c r="K43" s="5"/>
      <c r="L43" s="5"/>
      <c r="M43" s="5"/>
      <c r="N43" s="5"/>
      <c r="O43" s="5"/>
      <c r="P43" s="5"/>
      <c r="Q43" s="5"/>
      <c r="R43" s="5"/>
      <c r="S43" s="3"/>
    </row>
    <row r="44" spans="1:19" ht="18" customHeight="1" x14ac:dyDescent="0.15">
      <c r="A44" s="213" t="s">
        <v>113</v>
      </c>
      <c r="B44" s="213"/>
      <c r="C44" s="213"/>
      <c r="D44" s="213"/>
      <c r="E44" s="213"/>
      <c r="F44" s="213"/>
      <c r="G44" s="213"/>
      <c r="H44" s="213"/>
      <c r="I44" s="213"/>
      <c r="J44" s="213"/>
      <c r="K44" s="213"/>
      <c r="L44" s="213"/>
      <c r="M44" s="213"/>
      <c r="N44" s="213"/>
      <c r="O44" s="213"/>
      <c r="P44" s="213"/>
      <c r="Q44" s="213"/>
      <c r="R44" s="213"/>
      <c r="S44" s="213"/>
    </row>
    <row r="45" spans="1:19" ht="18" customHeight="1" x14ac:dyDescent="0.15">
      <c r="A45" s="213"/>
      <c r="B45" s="213"/>
      <c r="C45" s="213"/>
      <c r="D45" s="213"/>
      <c r="E45" s="213"/>
      <c r="F45" s="213"/>
      <c r="G45" s="213"/>
      <c r="H45" s="213"/>
      <c r="I45" s="213"/>
      <c r="J45" s="213"/>
      <c r="K45" s="213"/>
      <c r="L45" s="213"/>
      <c r="M45" s="213"/>
      <c r="N45" s="213"/>
      <c r="O45" s="213"/>
      <c r="P45" s="213"/>
      <c r="Q45" s="213"/>
      <c r="R45" s="213"/>
      <c r="S45" s="213"/>
    </row>
    <row r="46" spans="1:19" ht="18" customHeight="1" x14ac:dyDescent="0.15">
      <c r="A46" s="1"/>
      <c r="B46" s="206" t="s">
        <v>54</v>
      </c>
      <c r="C46" s="214"/>
      <c r="D46" s="214"/>
      <c r="E46" s="207"/>
      <c r="F46" s="215" t="s">
        <v>81</v>
      </c>
      <c r="G46" s="216" t="s">
        <v>85</v>
      </c>
      <c r="H46" s="217" t="s">
        <v>74</v>
      </c>
      <c r="I46" s="217" t="s">
        <v>75</v>
      </c>
      <c r="J46" s="206" t="s">
        <v>54</v>
      </c>
      <c r="K46" s="214"/>
      <c r="L46" s="214"/>
      <c r="M46" s="214"/>
      <c r="N46" s="214"/>
      <c r="O46" s="207"/>
      <c r="P46" s="215" t="s">
        <v>81</v>
      </c>
      <c r="Q46" s="216" t="s">
        <v>85</v>
      </c>
      <c r="R46" s="217" t="s">
        <v>74</v>
      </c>
      <c r="S46" s="217" t="s">
        <v>75</v>
      </c>
    </row>
    <row r="47" spans="1:19" ht="18" customHeight="1" x14ac:dyDescent="0.15">
      <c r="A47" s="3"/>
      <c r="B47" s="218" t="s">
        <v>126</v>
      </c>
      <c r="C47" s="219"/>
      <c r="D47" s="219"/>
      <c r="E47" s="220"/>
      <c r="F47" s="221">
        <v>2</v>
      </c>
      <c r="G47" s="221" t="s">
        <v>131</v>
      </c>
      <c r="H47" s="221" t="s">
        <v>131</v>
      </c>
      <c r="I47" s="221" t="s">
        <v>131</v>
      </c>
      <c r="J47" s="218"/>
      <c r="K47" s="219"/>
      <c r="L47" s="219"/>
      <c r="M47" s="219"/>
      <c r="N47" s="219"/>
      <c r="O47" s="220"/>
      <c r="P47" s="221"/>
      <c r="Q47" s="221"/>
      <c r="R47" s="221"/>
      <c r="S47" s="221"/>
    </row>
    <row r="48" spans="1:19" ht="18" customHeight="1" x14ac:dyDescent="0.15">
      <c r="A48" s="3"/>
      <c r="B48" s="222"/>
      <c r="C48" s="223"/>
      <c r="D48" s="223"/>
      <c r="E48" s="224"/>
      <c r="F48" s="225"/>
      <c r="G48" s="225"/>
      <c r="H48" s="225"/>
      <c r="I48" s="225"/>
      <c r="J48" s="222"/>
      <c r="K48" s="223"/>
      <c r="L48" s="223"/>
      <c r="M48" s="223"/>
      <c r="N48" s="223"/>
      <c r="O48" s="224"/>
      <c r="P48" s="225"/>
      <c r="Q48" s="225"/>
      <c r="R48" s="225"/>
      <c r="S48" s="225"/>
    </row>
    <row r="49" spans="1:19" ht="18" customHeight="1" x14ac:dyDescent="0.15">
      <c r="A49" s="3"/>
      <c r="B49" s="222"/>
      <c r="C49" s="223"/>
      <c r="D49" s="223"/>
      <c r="E49" s="224"/>
      <c r="F49" s="225"/>
      <c r="G49" s="225"/>
      <c r="H49" s="225"/>
      <c r="I49" s="225"/>
      <c r="J49" s="222"/>
      <c r="K49" s="223"/>
      <c r="L49" s="223"/>
      <c r="M49" s="223"/>
      <c r="N49" s="223"/>
      <c r="O49" s="224"/>
      <c r="P49" s="225"/>
      <c r="Q49" s="225"/>
      <c r="R49" s="225"/>
      <c r="S49" s="225"/>
    </row>
    <row r="50" spans="1:19" ht="18" customHeight="1" x14ac:dyDescent="0.15">
      <c r="A50" s="3"/>
      <c r="B50" s="222"/>
      <c r="C50" s="223"/>
      <c r="D50" s="223"/>
      <c r="E50" s="224"/>
      <c r="F50" s="225"/>
      <c r="G50" s="225"/>
      <c r="H50" s="225"/>
      <c r="I50" s="225"/>
      <c r="J50" s="222"/>
      <c r="K50" s="223"/>
      <c r="L50" s="223"/>
      <c r="M50" s="223"/>
      <c r="N50" s="223"/>
      <c r="O50" s="224"/>
      <c r="P50" s="225"/>
      <c r="Q50" s="225"/>
      <c r="R50" s="225"/>
      <c r="S50" s="225"/>
    </row>
    <row r="51" spans="1:19" ht="18" customHeight="1" x14ac:dyDescent="0.15">
      <c r="A51" s="3"/>
      <c r="B51" s="222"/>
      <c r="C51" s="223"/>
      <c r="D51" s="223"/>
      <c r="E51" s="224"/>
      <c r="F51" s="225"/>
      <c r="G51" s="225"/>
      <c r="H51" s="225"/>
      <c r="I51" s="225"/>
      <c r="J51" s="222"/>
      <c r="K51" s="223"/>
      <c r="L51" s="223"/>
      <c r="M51" s="223"/>
      <c r="N51" s="223"/>
      <c r="O51" s="224"/>
      <c r="P51" s="225"/>
      <c r="Q51" s="225"/>
      <c r="R51" s="225"/>
      <c r="S51" s="225"/>
    </row>
    <row r="52" spans="1:19" ht="18" customHeight="1" x14ac:dyDescent="0.15">
      <c r="A52" s="3"/>
      <c r="B52" s="222"/>
      <c r="C52" s="223"/>
      <c r="D52" s="223"/>
      <c r="E52" s="224"/>
      <c r="F52" s="225"/>
      <c r="G52" s="225"/>
      <c r="H52" s="225"/>
      <c r="I52" s="225"/>
      <c r="J52" s="222"/>
      <c r="K52" s="223"/>
      <c r="L52" s="223"/>
      <c r="M52" s="223"/>
      <c r="N52" s="223"/>
      <c r="O52" s="224"/>
      <c r="P52" s="225"/>
      <c r="Q52" s="225"/>
      <c r="R52" s="225"/>
      <c r="S52" s="225"/>
    </row>
    <row r="53" spans="1:19" ht="18" customHeight="1" x14ac:dyDescent="0.15">
      <c r="A53" s="3"/>
      <c r="B53" s="226"/>
      <c r="C53" s="227"/>
      <c r="D53" s="227"/>
      <c r="E53" s="228"/>
      <c r="F53" s="229"/>
      <c r="G53" s="229"/>
      <c r="H53" s="230"/>
      <c r="I53" s="230"/>
      <c r="J53" s="226"/>
      <c r="K53" s="227"/>
      <c r="L53" s="227"/>
      <c r="M53" s="227"/>
      <c r="N53" s="227"/>
      <c r="O53" s="228"/>
      <c r="P53" s="229"/>
      <c r="Q53" s="229"/>
      <c r="R53" s="230"/>
      <c r="S53" s="230"/>
    </row>
    <row r="54" spans="1:19" ht="7.5" customHeight="1" x14ac:dyDescent="0.15">
      <c r="A54" s="1"/>
      <c r="B54" s="231"/>
      <c r="C54" s="231"/>
      <c r="D54" s="231"/>
      <c r="E54" s="231"/>
      <c r="F54" s="231"/>
      <c r="G54" s="231"/>
      <c r="H54" s="231"/>
      <c r="I54" s="231"/>
      <c r="J54" s="231"/>
      <c r="K54" s="231"/>
      <c r="L54" s="231"/>
      <c r="M54" s="231"/>
      <c r="N54" s="231"/>
      <c r="O54" s="231"/>
      <c r="P54" s="231"/>
      <c r="Q54" s="231"/>
      <c r="R54" s="231"/>
      <c r="S54" s="1"/>
    </row>
    <row r="55" spans="1:19" ht="18" customHeight="1" x14ac:dyDescent="0.15">
      <c r="A55" s="213" t="s">
        <v>114</v>
      </c>
      <c r="B55" s="213"/>
      <c r="C55" s="213"/>
      <c r="D55" s="213"/>
      <c r="E55" s="213"/>
      <c r="F55" s="213"/>
      <c r="G55" s="213"/>
      <c r="H55" s="213"/>
      <c r="I55" s="213"/>
      <c r="J55" s="213"/>
      <c r="K55" s="213"/>
      <c r="L55" s="213"/>
      <c r="M55" s="213"/>
      <c r="N55" s="213"/>
      <c r="O55" s="213"/>
      <c r="P55" s="213"/>
      <c r="Q55" s="213"/>
      <c r="R55" s="213"/>
      <c r="S55" s="213"/>
    </row>
    <row r="56" spans="1:19" ht="18" customHeight="1" x14ac:dyDescent="0.15">
      <c r="A56" s="213"/>
      <c r="B56" s="213"/>
      <c r="C56" s="213"/>
      <c r="D56" s="213"/>
      <c r="E56" s="213"/>
      <c r="F56" s="213"/>
      <c r="G56" s="213"/>
      <c r="H56" s="213"/>
      <c r="I56" s="213"/>
      <c r="J56" s="213"/>
      <c r="K56" s="213"/>
      <c r="L56" s="213"/>
      <c r="M56" s="213"/>
      <c r="N56" s="213"/>
      <c r="O56" s="213"/>
      <c r="P56" s="213"/>
      <c r="Q56" s="213"/>
      <c r="R56" s="213"/>
      <c r="S56" s="213"/>
    </row>
    <row r="57" spans="1:19" ht="18" customHeight="1" x14ac:dyDescent="0.15">
      <c r="A57" s="1"/>
      <c r="B57" s="206" t="s">
        <v>54</v>
      </c>
      <c r="C57" s="214"/>
      <c r="D57" s="214"/>
      <c r="E57" s="207"/>
      <c r="F57" s="215" t="s">
        <v>81</v>
      </c>
      <c r="G57" s="216" t="s">
        <v>85</v>
      </c>
      <c r="H57" s="217" t="s">
        <v>59</v>
      </c>
      <c r="I57" s="217" t="s">
        <v>61</v>
      </c>
      <c r="J57" s="206" t="s">
        <v>54</v>
      </c>
      <c r="K57" s="214"/>
      <c r="L57" s="214"/>
      <c r="M57" s="214"/>
      <c r="N57" s="214"/>
      <c r="O57" s="207"/>
      <c r="P57" s="215" t="s">
        <v>81</v>
      </c>
      <c r="Q57" s="216" t="s">
        <v>85</v>
      </c>
      <c r="R57" s="217" t="s">
        <v>59</v>
      </c>
      <c r="S57" s="217" t="s">
        <v>61</v>
      </c>
    </row>
    <row r="58" spans="1:19" ht="18" customHeight="1" x14ac:dyDescent="0.15">
      <c r="A58" s="3"/>
      <c r="B58" s="218" t="s">
        <v>126</v>
      </c>
      <c r="C58" s="219"/>
      <c r="D58" s="219"/>
      <c r="E58" s="220"/>
      <c r="F58" s="221">
        <v>2</v>
      </c>
      <c r="G58" s="221" t="s">
        <v>131</v>
      </c>
      <c r="H58" s="221" t="s">
        <v>131</v>
      </c>
      <c r="I58" s="221" t="s">
        <v>131</v>
      </c>
      <c r="J58" s="218"/>
      <c r="K58" s="219"/>
      <c r="L58" s="219"/>
      <c r="M58" s="219"/>
      <c r="N58" s="219"/>
      <c r="O58" s="220"/>
      <c r="P58" s="221"/>
      <c r="Q58" s="221"/>
      <c r="R58" s="221"/>
      <c r="S58" s="221"/>
    </row>
    <row r="59" spans="1:19" ht="18" customHeight="1" x14ac:dyDescent="0.15">
      <c r="A59" s="3"/>
      <c r="B59" s="222"/>
      <c r="C59" s="223"/>
      <c r="D59" s="223"/>
      <c r="E59" s="224"/>
      <c r="F59" s="225"/>
      <c r="G59" s="225"/>
      <c r="H59" s="225"/>
      <c r="I59" s="225"/>
      <c r="J59" s="222"/>
      <c r="K59" s="223"/>
      <c r="L59" s="223"/>
      <c r="M59" s="223"/>
      <c r="N59" s="223"/>
      <c r="O59" s="224"/>
      <c r="P59" s="225"/>
      <c r="Q59" s="225"/>
      <c r="R59" s="225"/>
      <c r="S59" s="225"/>
    </row>
    <row r="60" spans="1:19" ht="18" customHeight="1" x14ac:dyDescent="0.15">
      <c r="A60" s="3"/>
      <c r="B60" s="222"/>
      <c r="C60" s="223"/>
      <c r="D60" s="223"/>
      <c r="E60" s="224"/>
      <c r="F60" s="225"/>
      <c r="G60" s="225"/>
      <c r="H60" s="225"/>
      <c r="I60" s="225"/>
      <c r="J60" s="222"/>
      <c r="K60" s="223"/>
      <c r="L60" s="223"/>
      <c r="M60" s="223"/>
      <c r="N60" s="223"/>
      <c r="O60" s="224"/>
      <c r="P60" s="225"/>
      <c r="Q60" s="225"/>
      <c r="R60" s="225"/>
      <c r="S60" s="225"/>
    </row>
    <row r="61" spans="1:19" ht="18" customHeight="1" x14ac:dyDescent="0.15">
      <c r="A61" s="3"/>
      <c r="B61" s="222"/>
      <c r="C61" s="223"/>
      <c r="D61" s="223"/>
      <c r="E61" s="224"/>
      <c r="F61" s="225"/>
      <c r="G61" s="225"/>
      <c r="H61" s="225"/>
      <c r="I61" s="225"/>
      <c r="J61" s="222"/>
      <c r="K61" s="223"/>
      <c r="L61" s="223"/>
      <c r="M61" s="223"/>
      <c r="N61" s="223"/>
      <c r="O61" s="224"/>
      <c r="P61" s="225"/>
      <c r="Q61" s="225"/>
      <c r="R61" s="225"/>
      <c r="S61" s="225"/>
    </row>
    <row r="62" spans="1:19" ht="18" customHeight="1" x14ac:dyDescent="0.15">
      <c r="A62" s="3"/>
      <c r="B62" s="222"/>
      <c r="C62" s="223"/>
      <c r="D62" s="223"/>
      <c r="E62" s="224"/>
      <c r="F62" s="225"/>
      <c r="G62" s="225"/>
      <c r="H62" s="225"/>
      <c r="I62" s="225"/>
      <c r="J62" s="222"/>
      <c r="K62" s="223"/>
      <c r="L62" s="223"/>
      <c r="M62" s="223"/>
      <c r="N62" s="223"/>
      <c r="O62" s="224"/>
      <c r="P62" s="225"/>
      <c r="Q62" s="225"/>
      <c r="R62" s="225"/>
      <c r="S62" s="225"/>
    </row>
    <row r="63" spans="1:19" ht="18" customHeight="1" x14ac:dyDescent="0.15">
      <c r="A63" s="3"/>
      <c r="B63" s="222"/>
      <c r="C63" s="223"/>
      <c r="D63" s="223"/>
      <c r="E63" s="224"/>
      <c r="F63" s="225"/>
      <c r="G63" s="225"/>
      <c r="H63" s="225"/>
      <c r="I63" s="225"/>
      <c r="J63" s="222"/>
      <c r="K63" s="223"/>
      <c r="L63" s="223"/>
      <c r="M63" s="223"/>
      <c r="N63" s="223"/>
      <c r="O63" s="224"/>
      <c r="P63" s="225"/>
      <c r="Q63" s="225"/>
      <c r="R63" s="225"/>
      <c r="S63" s="225"/>
    </row>
    <row r="64" spans="1:19" ht="18" customHeight="1" x14ac:dyDescent="0.15">
      <c r="A64" s="3"/>
      <c r="B64" s="226"/>
      <c r="C64" s="227"/>
      <c r="D64" s="227"/>
      <c r="E64" s="228"/>
      <c r="F64" s="229"/>
      <c r="G64" s="229"/>
      <c r="H64" s="230"/>
      <c r="I64" s="230"/>
      <c r="J64" s="226"/>
      <c r="K64" s="227"/>
      <c r="L64" s="227"/>
      <c r="M64" s="227"/>
      <c r="N64" s="227"/>
      <c r="O64" s="228"/>
      <c r="P64" s="229"/>
      <c r="Q64" s="229"/>
      <c r="R64" s="230"/>
      <c r="S64" s="230"/>
    </row>
    <row r="65" spans="1:19" ht="7.5" customHeight="1" x14ac:dyDescent="0.15">
      <c r="A65" s="1"/>
      <c r="B65" s="231"/>
      <c r="C65" s="231"/>
      <c r="D65" s="231"/>
      <c r="E65" s="231"/>
      <c r="F65" s="231"/>
      <c r="G65" s="231"/>
      <c r="H65" s="231"/>
      <c r="I65" s="231"/>
      <c r="J65" s="231"/>
      <c r="K65" s="231"/>
      <c r="L65" s="231"/>
      <c r="M65" s="231"/>
      <c r="N65" s="231"/>
      <c r="O65" s="231"/>
      <c r="P65" s="231"/>
      <c r="Q65" s="231"/>
      <c r="R65" s="231"/>
      <c r="S65" s="1"/>
    </row>
    <row r="66" spans="1:19" ht="18" customHeight="1" x14ac:dyDescent="0.15">
      <c r="A66" s="213" t="s">
        <v>115</v>
      </c>
      <c r="B66" s="213"/>
      <c r="C66" s="213"/>
      <c r="D66" s="213"/>
      <c r="E66" s="213"/>
      <c r="F66" s="213"/>
      <c r="G66" s="213"/>
      <c r="H66" s="213"/>
      <c r="I66" s="213"/>
      <c r="J66" s="213"/>
      <c r="K66" s="213"/>
      <c r="L66" s="213"/>
      <c r="M66" s="213"/>
      <c r="N66" s="213"/>
      <c r="O66" s="213"/>
      <c r="P66" s="213"/>
      <c r="Q66" s="213"/>
      <c r="R66" s="213"/>
      <c r="S66" s="213"/>
    </row>
    <row r="67" spans="1:19" ht="18" customHeight="1" x14ac:dyDescent="0.15">
      <c r="A67" s="213"/>
      <c r="B67" s="213"/>
      <c r="C67" s="213"/>
      <c r="D67" s="213"/>
      <c r="E67" s="213"/>
      <c r="F67" s="213"/>
      <c r="G67" s="213"/>
      <c r="H67" s="213"/>
      <c r="I67" s="213"/>
      <c r="J67" s="213"/>
      <c r="K67" s="213"/>
      <c r="L67" s="213"/>
      <c r="M67" s="213"/>
      <c r="N67" s="213"/>
      <c r="O67" s="213"/>
      <c r="P67" s="213"/>
      <c r="Q67" s="213"/>
      <c r="R67" s="213"/>
      <c r="S67" s="213"/>
    </row>
    <row r="68" spans="1:19" ht="18" customHeight="1" x14ac:dyDescent="0.15">
      <c r="A68" s="1"/>
      <c r="B68" s="206" t="s">
        <v>54</v>
      </c>
      <c r="C68" s="214"/>
      <c r="D68" s="214"/>
      <c r="E68" s="215" t="s">
        <v>81</v>
      </c>
      <c r="F68" s="216" t="s">
        <v>85</v>
      </c>
      <c r="G68" s="217" t="s">
        <v>102</v>
      </c>
      <c r="H68" s="217" t="s">
        <v>76</v>
      </c>
      <c r="I68" s="217" t="s">
        <v>77</v>
      </c>
      <c r="J68" s="206" t="s">
        <v>54</v>
      </c>
      <c r="K68" s="214"/>
      <c r="L68" s="214"/>
      <c r="M68" s="214"/>
      <c r="N68" s="207"/>
      <c r="O68" s="215" t="s">
        <v>81</v>
      </c>
      <c r="P68" s="216" t="s">
        <v>85</v>
      </c>
      <c r="Q68" s="217" t="s">
        <v>102</v>
      </c>
      <c r="R68" s="217" t="s">
        <v>76</v>
      </c>
      <c r="S68" s="217" t="s">
        <v>77</v>
      </c>
    </row>
    <row r="69" spans="1:19" ht="18" customHeight="1" x14ac:dyDescent="0.15">
      <c r="A69" s="3"/>
      <c r="B69" s="218" t="s">
        <v>126</v>
      </c>
      <c r="C69" s="219"/>
      <c r="D69" s="219"/>
      <c r="E69" s="221">
        <v>2</v>
      </c>
      <c r="F69" s="221" t="s">
        <v>131</v>
      </c>
      <c r="G69" s="221" t="s">
        <v>131</v>
      </c>
      <c r="H69" s="221" t="s">
        <v>131</v>
      </c>
      <c r="I69" s="221" t="s">
        <v>131</v>
      </c>
      <c r="J69" s="218"/>
      <c r="K69" s="219"/>
      <c r="L69" s="219"/>
      <c r="M69" s="219"/>
      <c r="N69" s="220"/>
      <c r="O69" s="221"/>
      <c r="P69" s="221"/>
      <c r="Q69" s="221"/>
      <c r="R69" s="221"/>
      <c r="S69" s="221"/>
    </row>
    <row r="70" spans="1:19" ht="18" customHeight="1" x14ac:dyDescent="0.15">
      <c r="A70" s="3"/>
      <c r="B70" s="222"/>
      <c r="C70" s="223"/>
      <c r="D70" s="223"/>
      <c r="E70" s="225"/>
      <c r="F70" s="225"/>
      <c r="G70" s="225"/>
      <c r="H70" s="225"/>
      <c r="I70" s="225"/>
      <c r="J70" s="222"/>
      <c r="K70" s="223"/>
      <c r="L70" s="223"/>
      <c r="M70" s="223"/>
      <c r="N70" s="224"/>
      <c r="O70" s="225"/>
      <c r="P70" s="225"/>
      <c r="Q70" s="225"/>
      <c r="R70" s="225"/>
      <c r="S70" s="225"/>
    </row>
    <row r="71" spans="1:19" ht="18" customHeight="1" x14ac:dyDescent="0.15">
      <c r="A71" s="3"/>
      <c r="B71" s="222"/>
      <c r="C71" s="223"/>
      <c r="D71" s="223"/>
      <c r="E71" s="225"/>
      <c r="F71" s="225"/>
      <c r="G71" s="225"/>
      <c r="H71" s="225"/>
      <c r="I71" s="225"/>
      <c r="J71" s="222"/>
      <c r="K71" s="223"/>
      <c r="L71" s="223"/>
      <c r="M71" s="223"/>
      <c r="N71" s="224"/>
      <c r="O71" s="225"/>
      <c r="P71" s="225"/>
      <c r="Q71" s="225"/>
      <c r="R71" s="225"/>
      <c r="S71" s="225"/>
    </row>
    <row r="72" spans="1:19" ht="18" customHeight="1" x14ac:dyDescent="0.15">
      <c r="A72" s="3"/>
      <c r="B72" s="222"/>
      <c r="C72" s="223"/>
      <c r="D72" s="223"/>
      <c r="E72" s="225"/>
      <c r="F72" s="225"/>
      <c r="G72" s="225"/>
      <c r="H72" s="225"/>
      <c r="I72" s="225"/>
      <c r="J72" s="222"/>
      <c r="K72" s="223"/>
      <c r="L72" s="223"/>
      <c r="M72" s="223"/>
      <c r="N72" s="224"/>
      <c r="O72" s="225"/>
      <c r="P72" s="225"/>
      <c r="Q72" s="225"/>
      <c r="R72" s="225"/>
      <c r="S72" s="225"/>
    </row>
    <row r="73" spans="1:19" ht="18" customHeight="1" x14ac:dyDescent="0.15">
      <c r="A73" s="3"/>
      <c r="B73" s="222"/>
      <c r="C73" s="223"/>
      <c r="D73" s="223"/>
      <c r="E73" s="225"/>
      <c r="F73" s="225"/>
      <c r="G73" s="225"/>
      <c r="H73" s="225"/>
      <c r="I73" s="225"/>
      <c r="J73" s="222"/>
      <c r="K73" s="223"/>
      <c r="L73" s="223"/>
      <c r="M73" s="223"/>
      <c r="N73" s="224"/>
      <c r="O73" s="225"/>
      <c r="P73" s="225"/>
      <c r="Q73" s="225"/>
      <c r="R73" s="225"/>
      <c r="S73" s="225"/>
    </row>
    <row r="74" spans="1:19" ht="18" customHeight="1" x14ac:dyDescent="0.15">
      <c r="A74" s="3"/>
      <c r="B74" s="222"/>
      <c r="C74" s="223"/>
      <c r="D74" s="223"/>
      <c r="E74" s="225"/>
      <c r="F74" s="225"/>
      <c r="G74" s="225"/>
      <c r="H74" s="225"/>
      <c r="I74" s="225"/>
      <c r="J74" s="222"/>
      <c r="K74" s="223"/>
      <c r="L74" s="223"/>
      <c r="M74" s="223"/>
      <c r="N74" s="224"/>
      <c r="O74" s="225"/>
      <c r="P74" s="225"/>
      <c r="Q74" s="225"/>
      <c r="R74" s="225"/>
      <c r="S74" s="225"/>
    </row>
    <row r="75" spans="1:19" ht="18" customHeight="1" x14ac:dyDescent="0.15">
      <c r="A75" s="3"/>
      <c r="B75" s="226"/>
      <c r="C75" s="227"/>
      <c r="D75" s="227"/>
      <c r="E75" s="229"/>
      <c r="F75" s="229"/>
      <c r="G75" s="230"/>
      <c r="H75" s="230"/>
      <c r="I75" s="230"/>
      <c r="J75" s="226"/>
      <c r="K75" s="227"/>
      <c r="L75" s="227"/>
      <c r="M75" s="227"/>
      <c r="N75" s="228"/>
      <c r="O75" s="229"/>
      <c r="P75" s="229"/>
      <c r="Q75" s="230"/>
      <c r="R75" s="230"/>
      <c r="S75" s="230"/>
    </row>
    <row r="76" spans="1:19" ht="7.5" customHeight="1" x14ac:dyDescent="0.15">
      <c r="A76" s="1"/>
      <c r="B76" s="231"/>
      <c r="C76" s="231"/>
      <c r="D76" s="231"/>
      <c r="E76" s="231"/>
      <c r="F76" s="231"/>
      <c r="G76" s="231"/>
      <c r="H76" s="231"/>
      <c r="I76" s="231"/>
      <c r="J76" s="231"/>
      <c r="K76" s="231"/>
      <c r="L76" s="231"/>
      <c r="M76" s="231"/>
      <c r="N76" s="231"/>
      <c r="O76" s="231"/>
      <c r="P76" s="231"/>
      <c r="Q76" s="231"/>
      <c r="R76" s="231"/>
      <c r="S76" s="1"/>
    </row>
    <row r="77" spans="1:19" ht="18" customHeight="1" x14ac:dyDescent="0.15">
      <c r="A77" s="1" t="s">
        <v>116</v>
      </c>
      <c r="B77" s="1"/>
      <c r="C77" s="1"/>
      <c r="D77" s="1"/>
      <c r="E77" s="1"/>
      <c r="F77" s="1"/>
      <c r="G77" s="1"/>
      <c r="H77" s="3"/>
      <c r="I77" s="3"/>
      <c r="J77" s="3"/>
      <c r="K77" s="3"/>
      <c r="L77" s="3"/>
      <c r="M77" s="3"/>
      <c r="N77" s="3"/>
      <c r="O77" s="3"/>
      <c r="P77" s="3"/>
      <c r="Q77" s="3"/>
      <c r="R77" s="3"/>
      <c r="S77" s="3"/>
    </row>
    <row r="78" spans="1:19" ht="18" customHeight="1" x14ac:dyDescent="0.15">
      <c r="A78" s="1"/>
      <c r="B78" s="206" t="s">
        <v>54</v>
      </c>
      <c r="C78" s="214"/>
      <c r="D78" s="214"/>
      <c r="E78" s="207"/>
      <c r="F78" s="206" t="s">
        <v>83</v>
      </c>
      <c r="G78" s="214"/>
      <c r="H78" s="214"/>
      <c r="I78" s="207"/>
      <c r="J78" s="232" t="s">
        <v>54</v>
      </c>
      <c r="K78" s="233"/>
      <c r="L78" s="233"/>
      <c r="M78" s="233"/>
      <c r="N78" s="233"/>
      <c r="O78" s="234"/>
      <c r="P78" s="206" t="s">
        <v>83</v>
      </c>
      <c r="Q78" s="214"/>
      <c r="R78" s="214"/>
      <c r="S78" s="207"/>
    </row>
    <row r="79" spans="1:19" ht="18" customHeight="1" x14ac:dyDescent="0.15">
      <c r="A79" s="3"/>
      <c r="B79" s="218" t="s">
        <v>126</v>
      </c>
      <c r="C79" s="219"/>
      <c r="D79" s="219"/>
      <c r="E79" s="220"/>
      <c r="F79" s="235" t="s">
        <v>128</v>
      </c>
      <c r="G79" s="236"/>
      <c r="H79" s="236"/>
      <c r="I79" s="237"/>
      <c r="J79" s="218"/>
      <c r="K79" s="219"/>
      <c r="L79" s="219"/>
      <c r="M79" s="219"/>
      <c r="N79" s="219"/>
      <c r="O79" s="220"/>
      <c r="P79" s="235"/>
      <c r="Q79" s="236"/>
      <c r="R79" s="236"/>
      <c r="S79" s="237"/>
    </row>
    <row r="80" spans="1:19" ht="18" customHeight="1" x14ac:dyDescent="0.15">
      <c r="A80" s="3"/>
      <c r="B80" s="222" t="s">
        <v>126</v>
      </c>
      <c r="C80" s="223"/>
      <c r="D80" s="223"/>
      <c r="E80" s="224"/>
      <c r="F80" s="238" t="s">
        <v>129</v>
      </c>
      <c r="G80" s="239"/>
      <c r="H80" s="239"/>
      <c r="I80" s="240"/>
      <c r="J80" s="222"/>
      <c r="K80" s="223"/>
      <c r="L80" s="223"/>
      <c r="M80" s="223"/>
      <c r="N80" s="223"/>
      <c r="O80" s="224"/>
      <c r="P80" s="238"/>
      <c r="Q80" s="239"/>
      <c r="R80" s="239"/>
      <c r="S80" s="240"/>
    </row>
    <row r="81" spans="1:19" ht="18" customHeight="1" x14ac:dyDescent="0.15">
      <c r="A81" s="3"/>
      <c r="B81" s="222" t="s">
        <v>126</v>
      </c>
      <c r="C81" s="223"/>
      <c r="D81" s="223"/>
      <c r="E81" s="224"/>
      <c r="F81" s="238" t="s">
        <v>130</v>
      </c>
      <c r="G81" s="239"/>
      <c r="H81" s="239"/>
      <c r="I81" s="240"/>
      <c r="J81" s="222"/>
      <c r="K81" s="223"/>
      <c r="L81" s="223"/>
      <c r="M81" s="223"/>
      <c r="N81" s="223"/>
      <c r="O81" s="224"/>
      <c r="P81" s="238"/>
      <c r="Q81" s="239"/>
      <c r="R81" s="239"/>
      <c r="S81" s="240"/>
    </row>
    <row r="82" spans="1:19" ht="18" customHeight="1" x14ac:dyDescent="0.15">
      <c r="A82" s="3"/>
      <c r="B82" s="222" t="s">
        <v>126</v>
      </c>
      <c r="C82" s="223"/>
      <c r="D82" s="223"/>
      <c r="E82" s="224"/>
      <c r="F82" s="238" t="s">
        <v>127</v>
      </c>
      <c r="G82" s="239"/>
      <c r="H82" s="239"/>
      <c r="I82" s="240"/>
      <c r="J82" s="222"/>
      <c r="K82" s="223"/>
      <c r="L82" s="223"/>
      <c r="M82" s="223"/>
      <c r="N82" s="223"/>
      <c r="O82" s="224"/>
      <c r="P82" s="238"/>
      <c r="Q82" s="239"/>
      <c r="R82" s="239"/>
      <c r="S82" s="240"/>
    </row>
    <row r="83" spans="1:19" ht="18" customHeight="1" x14ac:dyDescent="0.15">
      <c r="A83" s="3"/>
      <c r="B83" s="222"/>
      <c r="C83" s="223"/>
      <c r="D83" s="223"/>
      <c r="E83" s="224"/>
      <c r="F83" s="238"/>
      <c r="G83" s="239"/>
      <c r="H83" s="239"/>
      <c r="I83" s="240"/>
      <c r="J83" s="222"/>
      <c r="K83" s="223"/>
      <c r="L83" s="223"/>
      <c r="M83" s="223"/>
      <c r="N83" s="223"/>
      <c r="O83" s="224"/>
      <c r="P83" s="238"/>
      <c r="Q83" s="239"/>
      <c r="R83" s="239"/>
      <c r="S83" s="240"/>
    </row>
    <row r="84" spans="1:19" ht="18" customHeight="1" x14ac:dyDescent="0.15">
      <c r="A84" s="3"/>
      <c r="B84" s="222"/>
      <c r="C84" s="223"/>
      <c r="D84" s="223"/>
      <c r="E84" s="224"/>
      <c r="F84" s="238"/>
      <c r="G84" s="239"/>
      <c r="H84" s="239"/>
      <c r="I84" s="240"/>
      <c r="J84" s="222"/>
      <c r="K84" s="223"/>
      <c r="L84" s="223"/>
      <c r="M84" s="223"/>
      <c r="N84" s="223"/>
      <c r="O84" s="224"/>
      <c r="P84" s="238"/>
      <c r="Q84" s="239"/>
      <c r="R84" s="239"/>
      <c r="S84" s="240"/>
    </row>
    <row r="85" spans="1:19" ht="18" customHeight="1" x14ac:dyDescent="0.15">
      <c r="A85" s="3"/>
      <c r="B85" s="226"/>
      <c r="C85" s="227"/>
      <c r="D85" s="227"/>
      <c r="E85" s="228"/>
      <c r="F85" s="241"/>
      <c r="G85" s="242"/>
      <c r="H85" s="242"/>
      <c r="I85" s="243"/>
      <c r="J85" s="226"/>
      <c r="K85" s="227"/>
      <c r="L85" s="227"/>
      <c r="M85" s="227"/>
      <c r="N85" s="227"/>
      <c r="O85" s="228"/>
      <c r="P85" s="241"/>
      <c r="Q85" s="242"/>
      <c r="R85" s="242"/>
      <c r="S85" s="243"/>
    </row>
    <row r="86" spans="1:19" ht="18" customHeight="1" x14ac:dyDescent="0.15">
      <c r="A86" s="3"/>
      <c r="B86" s="5"/>
      <c r="C86" s="5"/>
      <c r="D86" s="5"/>
      <c r="E86" s="5"/>
      <c r="F86" s="244"/>
      <c r="G86" s="244"/>
      <c r="H86" s="244"/>
      <c r="I86" s="244"/>
      <c r="J86" s="5"/>
      <c r="K86" s="5"/>
      <c r="L86" s="5"/>
      <c r="M86" s="5"/>
      <c r="N86" s="5"/>
      <c r="O86" s="5"/>
      <c r="P86" s="244"/>
      <c r="Q86" s="244"/>
      <c r="R86" s="244"/>
      <c r="S86" s="244"/>
    </row>
    <row r="87" spans="1:19" ht="18.75" customHeight="1" x14ac:dyDescent="0.15">
      <c r="A87" s="1" t="s">
        <v>117</v>
      </c>
      <c r="B87" s="1"/>
      <c r="C87" s="1"/>
      <c r="D87" s="1"/>
      <c r="E87" s="1"/>
      <c r="F87" s="1"/>
      <c r="G87" s="1"/>
      <c r="H87" s="1"/>
      <c r="I87" s="1"/>
      <c r="J87" s="1"/>
      <c r="K87" s="1"/>
      <c r="L87" s="1"/>
      <c r="M87" s="1"/>
      <c r="N87" s="1"/>
      <c r="O87" s="1"/>
      <c r="P87" s="1"/>
      <c r="Q87" s="1"/>
      <c r="R87" s="1"/>
      <c r="S87" s="1"/>
    </row>
    <row r="88" spans="1:19" ht="18.75" customHeight="1" x14ac:dyDescent="0.15">
      <c r="A88" s="1"/>
      <c r="B88" s="245" t="s">
        <v>55</v>
      </c>
      <c r="C88" s="246"/>
      <c r="D88" s="214" t="s">
        <v>56</v>
      </c>
      <c r="E88" s="214"/>
      <c r="F88" s="214"/>
      <c r="G88" s="214"/>
      <c r="H88" s="214"/>
      <c r="I88" s="214"/>
      <c r="J88" s="214"/>
      <c r="K88" s="214"/>
      <c r="L88" s="214"/>
      <c r="M88" s="214"/>
      <c r="N88" s="214"/>
      <c r="O88" s="214"/>
      <c r="P88" s="214"/>
      <c r="Q88" s="214"/>
      <c r="R88" s="214"/>
      <c r="S88" s="207"/>
    </row>
    <row r="89" spans="1:19" ht="97.5" customHeight="1" x14ac:dyDescent="0.15">
      <c r="A89" s="1"/>
      <c r="B89" s="247" t="s">
        <v>62</v>
      </c>
      <c r="C89" s="248" t="s">
        <v>57</v>
      </c>
      <c r="D89" s="249" t="s">
        <v>170</v>
      </c>
      <c r="E89" s="250"/>
      <c r="F89" s="250"/>
      <c r="G89" s="250"/>
      <c r="H89" s="250"/>
      <c r="I89" s="250"/>
      <c r="J89" s="250"/>
      <c r="K89" s="250"/>
      <c r="L89" s="250"/>
      <c r="M89" s="250"/>
      <c r="N89" s="250"/>
      <c r="O89" s="250"/>
      <c r="P89" s="250"/>
      <c r="Q89" s="250"/>
      <c r="R89" s="250"/>
      <c r="S89" s="251"/>
    </row>
    <row r="90" spans="1:19" ht="133.15" customHeight="1" x14ac:dyDescent="0.15">
      <c r="A90" s="1"/>
      <c r="B90" s="252"/>
      <c r="C90" s="253" t="s">
        <v>78</v>
      </c>
      <c r="D90" s="254" t="s">
        <v>171</v>
      </c>
      <c r="E90" s="255"/>
      <c r="F90" s="255"/>
      <c r="G90" s="255"/>
      <c r="H90" s="255"/>
      <c r="I90" s="255"/>
      <c r="J90" s="255"/>
      <c r="K90" s="255"/>
      <c r="L90" s="255"/>
      <c r="M90" s="255"/>
      <c r="N90" s="255"/>
      <c r="O90" s="255"/>
      <c r="P90" s="255"/>
      <c r="Q90" s="255"/>
      <c r="R90" s="255"/>
      <c r="S90" s="256"/>
    </row>
    <row r="91" spans="1:19" ht="103.9" customHeight="1" x14ac:dyDescent="0.15">
      <c r="A91" s="1"/>
      <c r="B91" s="247" t="s">
        <v>63</v>
      </c>
      <c r="C91" s="257" t="s">
        <v>72</v>
      </c>
      <c r="D91" s="249" t="s">
        <v>172</v>
      </c>
      <c r="E91" s="258"/>
      <c r="F91" s="258"/>
      <c r="G91" s="258"/>
      <c r="H91" s="258"/>
      <c r="I91" s="258"/>
      <c r="J91" s="258"/>
      <c r="K91" s="258"/>
      <c r="L91" s="258"/>
      <c r="M91" s="258"/>
      <c r="N91" s="258"/>
      <c r="O91" s="258"/>
      <c r="P91" s="258"/>
      <c r="Q91" s="258"/>
      <c r="R91" s="258"/>
      <c r="S91" s="259"/>
    </row>
    <row r="92" spans="1:19" ht="60" customHeight="1" x14ac:dyDescent="0.15">
      <c r="A92" s="1"/>
      <c r="B92" s="260"/>
      <c r="C92" s="261" t="s">
        <v>73</v>
      </c>
      <c r="D92" s="262" t="s">
        <v>173</v>
      </c>
      <c r="E92" s="263"/>
      <c r="F92" s="263"/>
      <c r="G92" s="263"/>
      <c r="H92" s="263"/>
      <c r="I92" s="263"/>
      <c r="J92" s="263"/>
      <c r="K92" s="263"/>
      <c r="L92" s="263"/>
      <c r="M92" s="263"/>
      <c r="N92" s="263"/>
      <c r="O92" s="263"/>
      <c r="P92" s="263"/>
      <c r="Q92" s="263"/>
      <c r="R92" s="263"/>
      <c r="S92" s="264"/>
    </row>
    <row r="93" spans="1:19" ht="109.15" customHeight="1" x14ac:dyDescent="0.15">
      <c r="A93" s="1"/>
      <c r="B93" s="247" t="s">
        <v>64</v>
      </c>
      <c r="C93" s="257" t="s">
        <v>74</v>
      </c>
      <c r="D93" s="249" t="s">
        <v>174</v>
      </c>
      <c r="E93" s="258"/>
      <c r="F93" s="258"/>
      <c r="G93" s="258"/>
      <c r="H93" s="258"/>
      <c r="I93" s="258"/>
      <c r="J93" s="258"/>
      <c r="K93" s="258"/>
      <c r="L93" s="258"/>
      <c r="M93" s="258"/>
      <c r="N93" s="258"/>
      <c r="O93" s="258"/>
      <c r="P93" s="258"/>
      <c r="Q93" s="258"/>
      <c r="R93" s="258"/>
      <c r="S93" s="259"/>
    </row>
    <row r="94" spans="1:19" ht="136.9" customHeight="1" x14ac:dyDescent="0.15">
      <c r="A94" s="1"/>
      <c r="B94" s="260"/>
      <c r="C94" s="265" t="s">
        <v>75</v>
      </c>
      <c r="D94" s="266" t="s">
        <v>175</v>
      </c>
      <c r="E94" s="267"/>
      <c r="F94" s="267"/>
      <c r="G94" s="267"/>
      <c r="H94" s="267"/>
      <c r="I94" s="267"/>
      <c r="J94" s="267"/>
      <c r="K94" s="267"/>
      <c r="L94" s="267"/>
      <c r="M94" s="267"/>
      <c r="N94" s="267"/>
      <c r="O94" s="267"/>
      <c r="P94" s="267"/>
      <c r="Q94" s="267"/>
      <c r="R94" s="267"/>
      <c r="S94" s="268"/>
    </row>
    <row r="95" spans="1:19" ht="97.5" customHeight="1" x14ac:dyDescent="0.15">
      <c r="A95" s="1"/>
      <c r="B95" s="247" t="s">
        <v>79</v>
      </c>
      <c r="C95" s="248" t="s">
        <v>59</v>
      </c>
      <c r="D95" s="269" t="s">
        <v>176</v>
      </c>
      <c r="E95" s="270"/>
      <c r="F95" s="270"/>
      <c r="G95" s="270"/>
      <c r="H95" s="270"/>
      <c r="I95" s="270"/>
      <c r="J95" s="270"/>
      <c r="K95" s="270"/>
      <c r="L95" s="270"/>
      <c r="M95" s="270"/>
      <c r="N95" s="270"/>
      <c r="O95" s="270"/>
      <c r="P95" s="270"/>
      <c r="Q95" s="270"/>
      <c r="R95" s="270"/>
      <c r="S95" s="271"/>
    </row>
    <row r="96" spans="1:19" ht="97.5" customHeight="1" x14ac:dyDescent="0.15">
      <c r="A96" s="1"/>
      <c r="B96" s="260"/>
      <c r="C96" s="261" t="s">
        <v>61</v>
      </c>
      <c r="D96" s="272" t="s">
        <v>177</v>
      </c>
      <c r="E96" s="273"/>
      <c r="F96" s="273"/>
      <c r="G96" s="273"/>
      <c r="H96" s="273"/>
      <c r="I96" s="273"/>
      <c r="J96" s="273"/>
      <c r="K96" s="273"/>
      <c r="L96" s="273"/>
      <c r="M96" s="273"/>
      <c r="N96" s="273"/>
      <c r="O96" s="273"/>
      <c r="P96" s="273"/>
      <c r="Q96" s="273"/>
      <c r="R96" s="273"/>
      <c r="S96" s="274"/>
    </row>
    <row r="97" spans="1:19" ht="97.5" customHeight="1" x14ac:dyDescent="0.15">
      <c r="A97" s="1"/>
      <c r="B97" s="247" t="s">
        <v>80</v>
      </c>
      <c r="C97" s="257" t="s">
        <v>58</v>
      </c>
      <c r="D97" s="275" t="s">
        <v>178</v>
      </c>
      <c r="E97" s="276"/>
      <c r="F97" s="276"/>
      <c r="G97" s="276"/>
      <c r="H97" s="276"/>
      <c r="I97" s="276"/>
      <c r="J97" s="276"/>
      <c r="K97" s="276"/>
      <c r="L97" s="276"/>
      <c r="M97" s="276"/>
      <c r="N97" s="276"/>
      <c r="O97" s="276"/>
      <c r="P97" s="276"/>
      <c r="Q97" s="276"/>
      <c r="R97" s="276"/>
      <c r="S97" s="277"/>
    </row>
    <row r="98" spans="1:19" ht="97.5" customHeight="1" x14ac:dyDescent="0.15">
      <c r="A98" s="1"/>
      <c r="B98" s="252"/>
      <c r="C98" s="278" t="s">
        <v>76</v>
      </c>
      <c r="D98" s="279" t="s">
        <v>179</v>
      </c>
      <c r="E98" s="280"/>
      <c r="F98" s="280"/>
      <c r="G98" s="280"/>
      <c r="H98" s="280"/>
      <c r="I98" s="280"/>
      <c r="J98" s="280"/>
      <c r="K98" s="280"/>
      <c r="L98" s="280"/>
      <c r="M98" s="280"/>
      <c r="N98" s="280"/>
      <c r="O98" s="280"/>
      <c r="P98" s="280"/>
      <c r="Q98" s="280"/>
      <c r="R98" s="280"/>
      <c r="S98" s="281"/>
    </row>
    <row r="99" spans="1:19" ht="97.5" customHeight="1" x14ac:dyDescent="0.15">
      <c r="A99" s="1"/>
      <c r="B99" s="260"/>
      <c r="C99" s="265" t="s">
        <v>77</v>
      </c>
      <c r="D99" s="282" t="s">
        <v>180</v>
      </c>
      <c r="E99" s="283"/>
      <c r="F99" s="283"/>
      <c r="G99" s="283"/>
      <c r="H99" s="283"/>
      <c r="I99" s="283"/>
      <c r="J99" s="283"/>
      <c r="K99" s="283"/>
      <c r="L99" s="283"/>
      <c r="M99" s="283"/>
      <c r="N99" s="283"/>
      <c r="O99" s="283"/>
      <c r="P99" s="283"/>
      <c r="Q99" s="283"/>
      <c r="R99" s="283"/>
      <c r="S99" s="284"/>
    </row>
    <row r="100" spans="1:19" ht="6" customHeight="1" x14ac:dyDescent="0.15">
      <c r="A100" s="1"/>
      <c r="B100" s="1"/>
      <c r="C100" s="1"/>
      <c r="D100" s="1"/>
      <c r="E100" s="1"/>
      <c r="F100" s="1"/>
      <c r="G100" s="1"/>
      <c r="H100" s="1"/>
      <c r="I100" s="1"/>
      <c r="J100" s="1"/>
      <c r="K100" s="1"/>
      <c r="L100" s="1"/>
      <c r="M100" s="1"/>
      <c r="N100" s="1"/>
      <c r="O100" s="1"/>
      <c r="P100" s="1"/>
      <c r="Q100" s="1"/>
      <c r="R100" s="1"/>
      <c r="S100" s="1"/>
    </row>
    <row r="101" spans="1:19" ht="18.75" customHeight="1" x14ac:dyDescent="0.15">
      <c r="A101" s="1" t="s">
        <v>118</v>
      </c>
      <c r="B101" s="1"/>
      <c r="C101" s="1"/>
      <c r="D101" s="1"/>
      <c r="E101" s="1"/>
      <c r="F101" s="1"/>
      <c r="G101" s="1"/>
      <c r="H101" s="1"/>
      <c r="I101" s="1"/>
      <c r="J101" s="1"/>
      <c r="K101" s="1"/>
      <c r="L101" s="1"/>
      <c r="M101" s="1"/>
      <c r="N101" s="1"/>
      <c r="O101" s="1"/>
      <c r="P101" s="1"/>
      <c r="Q101" s="1"/>
      <c r="R101" s="1"/>
      <c r="S101" s="1"/>
    </row>
    <row r="102" spans="1:19" ht="81.75" customHeight="1" x14ac:dyDescent="0.15">
      <c r="A102" s="1"/>
      <c r="B102" s="285" t="s">
        <v>169</v>
      </c>
      <c r="C102" s="286"/>
      <c r="D102" s="286"/>
      <c r="E102" s="286"/>
      <c r="F102" s="286"/>
      <c r="G102" s="286"/>
      <c r="H102" s="286"/>
      <c r="I102" s="286"/>
      <c r="J102" s="286"/>
      <c r="K102" s="286"/>
      <c r="L102" s="286"/>
      <c r="M102" s="286"/>
      <c r="N102" s="286"/>
      <c r="O102" s="286"/>
      <c r="P102" s="286"/>
      <c r="Q102" s="286"/>
      <c r="R102" s="286"/>
      <c r="S102" s="155"/>
    </row>
    <row r="103" spans="1:19" ht="18.75" customHeight="1" x14ac:dyDescent="0.15">
      <c r="A103" s="1"/>
      <c r="B103" s="156"/>
      <c r="C103" s="157"/>
      <c r="D103" s="157"/>
      <c r="E103" s="157"/>
      <c r="F103" s="157"/>
      <c r="G103" s="157"/>
      <c r="H103" s="157"/>
      <c r="I103" s="157"/>
      <c r="J103" s="157"/>
      <c r="K103" s="157"/>
      <c r="L103" s="157"/>
      <c r="M103" s="157"/>
      <c r="N103" s="157"/>
      <c r="O103" s="157"/>
      <c r="P103" s="157"/>
      <c r="Q103" s="157"/>
      <c r="R103" s="157"/>
      <c r="S103" s="158"/>
    </row>
    <row r="104" spans="1:19" ht="18.75" customHeight="1" x14ac:dyDescent="0.15">
      <c r="A104" s="1"/>
      <c r="B104" s="159"/>
      <c r="C104" s="160"/>
      <c r="D104" s="160"/>
      <c r="E104" s="160"/>
      <c r="F104" s="160"/>
      <c r="G104" s="160"/>
      <c r="H104" s="160"/>
      <c r="I104" s="160"/>
      <c r="J104" s="160"/>
      <c r="K104" s="160"/>
      <c r="L104" s="160"/>
      <c r="M104" s="160"/>
      <c r="N104" s="160"/>
      <c r="O104" s="160"/>
      <c r="P104" s="160"/>
      <c r="Q104" s="160"/>
      <c r="R104" s="160"/>
      <c r="S104" s="161"/>
    </row>
    <row r="110" spans="1:19" ht="18" customHeight="1" x14ac:dyDescent="0.15"/>
  </sheetData>
  <mergeCells count="145">
    <mergeCell ref="B42:E42"/>
    <mergeCell ref="J47:O47"/>
    <mergeCell ref="J48:O48"/>
    <mergeCell ref="J49:O49"/>
    <mergeCell ref="J50:O50"/>
    <mergeCell ref="J51:O51"/>
    <mergeCell ref="B97:B99"/>
    <mergeCell ref="B95:B96"/>
    <mergeCell ref="J73:N73"/>
    <mergeCell ref="J74:N74"/>
    <mergeCell ref="B49:E49"/>
    <mergeCell ref="A55:S56"/>
    <mergeCell ref="J75:N75"/>
    <mergeCell ref="J85:O85"/>
    <mergeCell ref="B88:C88"/>
    <mergeCell ref="D88:S88"/>
    <mergeCell ref="J79:O79"/>
    <mergeCell ref="P79:S79"/>
    <mergeCell ref="P78:S78"/>
    <mergeCell ref="B79:E79"/>
    <mergeCell ref="J59:O59"/>
    <mergeCell ref="B78:E78"/>
    <mergeCell ref="F79:I79"/>
    <mergeCell ref="P81:S81"/>
    <mergeCell ref="B93:B94"/>
    <mergeCell ref="B89:B90"/>
    <mergeCell ref="A66:S67"/>
    <mergeCell ref="J70:N70"/>
    <mergeCell ref="D90:S90"/>
    <mergeCell ref="D91:S91"/>
    <mergeCell ref="D92:S92"/>
    <mergeCell ref="D93:S93"/>
    <mergeCell ref="D94:S94"/>
    <mergeCell ref="J82:O82"/>
    <mergeCell ref="B73:D73"/>
    <mergeCell ref="B74:D74"/>
    <mergeCell ref="B75:D75"/>
    <mergeCell ref="J69:N69"/>
    <mergeCell ref="D89:S89"/>
    <mergeCell ref="J72:N72"/>
    <mergeCell ref="B85:E85"/>
    <mergeCell ref="F85:I85"/>
    <mergeCell ref="B82:E82"/>
    <mergeCell ref="F81:I81"/>
    <mergeCell ref="F82:I82"/>
    <mergeCell ref="J81:O81"/>
    <mergeCell ref="P82:S82"/>
    <mergeCell ref="B91:B92"/>
    <mergeCell ref="P85:S85"/>
    <mergeCell ref="B80:E80"/>
    <mergeCell ref="F80:I80"/>
    <mergeCell ref="J80:O80"/>
    <mergeCell ref="P80:S80"/>
    <mergeCell ref="B83:E83"/>
    <mergeCell ref="F83:I83"/>
    <mergeCell ref="J83:O83"/>
    <mergeCell ref="P83:S83"/>
    <mergeCell ref="B81:E81"/>
    <mergeCell ref="B84:E84"/>
    <mergeCell ref="F84:I84"/>
    <mergeCell ref="J84:O84"/>
    <mergeCell ref="P84:S84"/>
    <mergeCell ref="B58:E58"/>
    <mergeCell ref="B59:E59"/>
    <mergeCell ref="B46:E46"/>
    <mergeCell ref="B47:E47"/>
    <mergeCell ref="B48:E48"/>
    <mergeCell ref="B71:D71"/>
    <mergeCell ref="B72:D72"/>
    <mergeCell ref="B57:E57"/>
    <mergeCell ref="B62:E62"/>
    <mergeCell ref="B63:E63"/>
    <mergeCell ref="B64:E64"/>
    <mergeCell ref="J46:O46"/>
    <mergeCell ref="F78:I78"/>
    <mergeCell ref="J78:O78"/>
    <mergeCell ref="B69:D69"/>
    <mergeCell ref="B70:D70"/>
    <mergeCell ref="J53:O53"/>
    <mergeCell ref="J71:N71"/>
    <mergeCell ref="A44:S45"/>
    <mergeCell ref="J36:O36"/>
    <mergeCell ref="J37:O37"/>
    <mergeCell ref="J38:O38"/>
    <mergeCell ref="J57:O57"/>
    <mergeCell ref="J58:O58"/>
    <mergeCell ref="B38:E38"/>
    <mergeCell ref="J52:O52"/>
    <mergeCell ref="J39:O39"/>
    <mergeCell ref="J40:O40"/>
    <mergeCell ref="J41:O41"/>
    <mergeCell ref="J42:O42"/>
    <mergeCell ref="B39:E39"/>
    <mergeCell ref="B40:E40"/>
    <mergeCell ref="B41:E41"/>
    <mergeCell ref="B60:E60"/>
    <mergeCell ref="B61:E61"/>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D95:S95"/>
    <mergeCell ref="D96:S96"/>
    <mergeCell ref="D97:S97"/>
    <mergeCell ref="D98:S98"/>
    <mergeCell ref="D99:S99"/>
    <mergeCell ref="B102:S104"/>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#REF!</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G1" zoomScaleNormal="100" zoomScaleSheetLayoutView="100" workbookViewId="0">
      <selection activeCell="L105" sqref="L105"/>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17"/>
      <c r="Q2" s="17"/>
      <c r="W2" s="17"/>
      <c r="AC2" s="17"/>
      <c r="AI2" s="17"/>
      <c r="AL2" s="17" t="s">
        <v>108</v>
      </c>
      <c r="AM2" s="96" t="str">
        <f>'様式１　プログラムを構成する授業科目'!C2</f>
        <v>広島経済大学</v>
      </c>
      <c r="AN2" s="96"/>
      <c r="AO2" s="96"/>
      <c r="AP2" s="96"/>
      <c r="AQ2" s="96"/>
    </row>
    <row r="3" spans="1:45" ht="18" customHeight="1" x14ac:dyDescent="0.15">
      <c r="A3" s="97" t="s">
        <v>48</v>
      </c>
      <c r="B3" s="97"/>
      <c r="C3" s="97"/>
      <c r="D3" s="97"/>
      <c r="E3" s="97"/>
      <c r="F3" s="97"/>
      <c r="G3" s="97"/>
      <c r="H3" s="97"/>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98" t="s">
        <v>142</v>
      </c>
      <c r="D5" s="99"/>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5"/>
      <c r="AQ5" s="5"/>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00" t="s">
        <v>45</v>
      </c>
      <c r="C9" s="115" t="s">
        <v>87</v>
      </c>
      <c r="D9" s="103" t="s">
        <v>47</v>
      </c>
      <c r="E9" s="106" t="s">
        <v>40</v>
      </c>
      <c r="F9" s="95" t="s">
        <v>86</v>
      </c>
      <c r="G9" s="95"/>
      <c r="H9" s="95"/>
      <c r="I9" s="95"/>
      <c r="J9" s="95"/>
      <c r="K9" s="95"/>
      <c r="L9" s="95" t="s">
        <v>49</v>
      </c>
      <c r="M9" s="95"/>
      <c r="N9" s="95"/>
      <c r="O9" s="95"/>
      <c r="P9" s="95"/>
      <c r="Q9" s="95"/>
      <c r="R9" s="95" t="s">
        <v>50</v>
      </c>
      <c r="S9" s="95"/>
      <c r="T9" s="95"/>
      <c r="U9" s="95"/>
      <c r="V9" s="95"/>
      <c r="W9" s="95"/>
      <c r="X9" s="95" t="s">
        <v>101</v>
      </c>
      <c r="Y9" s="95"/>
      <c r="Z9" s="95"/>
      <c r="AA9" s="95"/>
      <c r="AB9" s="95"/>
      <c r="AC9" s="95"/>
      <c r="AD9" s="95" t="s">
        <v>51</v>
      </c>
      <c r="AE9" s="95"/>
      <c r="AF9" s="95"/>
      <c r="AG9" s="95"/>
      <c r="AH9" s="95"/>
      <c r="AI9" s="95"/>
      <c r="AJ9" s="95" t="s">
        <v>52</v>
      </c>
      <c r="AK9" s="95"/>
      <c r="AL9" s="95"/>
      <c r="AM9" s="95"/>
      <c r="AN9" s="95"/>
      <c r="AO9" s="95"/>
      <c r="AP9" s="109" t="s">
        <v>35</v>
      </c>
      <c r="AQ9" s="112" t="s">
        <v>32</v>
      </c>
      <c r="AS9" s="2"/>
    </row>
    <row r="10" spans="1:45" ht="16.899999999999999" customHeight="1" x14ac:dyDescent="0.15">
      <c r="B10" s="101"/>
      <c r="C10" s="116"/>
      <c r="D10" s="104"/>
      <c r="E10" s="107"/>
      <c r="F10" s="93" t="s">
        <v>97</v>
      </c>
      <c r="G10" s="94"/>
      <c r="H10" s="94"/>
      <c r="I10" s="93" t="s">
        <v>29</v>
      </c>
      <c r="J10" s="94"/>
      <c r="K10" s="94"/>
      <c r="L10" s="93" t="s">
        <v>97</v>
      </c>
      <c r="M10" s="94"/>
      <c r="N10" s="94"/>
      <c r="O10" s="93" t="s">
        <v>29</v>
      </c>
      <c r="P10" s="94"/>
      <c r="Q10" s="94"/>
      <c r="R10" s="93" t="s">
        <v>97</v>
      </c>
      <c r="S10" s="94"/>
      <c r="T10" s="94"/>
      <c r="U10" s="93" t="s">
        <v>29</v>
      </c>
      <c r="V10" s="94"/>
      <c r="W10" s="94"/>
      <c r="X10" s="93" t="s">
        <v>97</v>
      </c>
      <c r="Y10" s="94"/>
      <c r="Z10" s="94"/>
      <c r="AA10" s="93" t="s">
        <v>29</v>
      </c>
      <c r="AB10" s="94"/>
      <c r="AC10" s="94"/>
      <c r="AD10" s="93" t="s">
        <v>97</v>
      </c>
      <c r="AE10" s="94"/>
      <c r="AF10" s="94"/>
      <c r="AG10" s="93" t="s">
        <v>29</v>
      </c>
      <c r="AH10" s="94"/>
      <c r="AI10" s="94"/>
      <c r="AJ10" s="93" t="s">
        <v>97</v>
      </c>
      <c r="AK10" s="94"/>
      <c r="AL10" s="94"/>
      <c r="AM10" s="93" t="s">
        <v>29</v>
      </c>
      <c r="AN10" s="94"/>
      <c r="AO10" s="94"/>
      <c r="AP10" s="110"/>
      <c r="AQ10" s="113"/>
      <c r="AS10" s="2"/>
    </row>
    <row r="11" spans="1:45" ht="18" customHeight="1" x14ac:dyDescent="0.15">
      <c r="B11" s="102"/>
      <c r="C11" s="117"/>
      <c r="D11" s="105"/>
      <c r="E11" s="108"/>
      <c r="F11" s="13" t="s">
        <v>98</v>
      </c>
      <c r="G11" s="14" t="s">
        <v>99</v>
      </c>
      <c r="H11" s="15" t="s">
        <v>100</v>
      </c>
      <c r="I11" s="13" t="s">
        <v>98</v>
      </c>
      <c r="J11" s="14" t="s">
        <v>99</v>
      </c>
      <c r="K11" s="15" t="s">
        <v>100</v>
      </c>
      <c r="L11" s="13" t="s">
        <v>98</v>
      </c>
      <c r="M11" s="14" t="s">
        <v>99</v>
      </c>
      <c r="N11" s="15" t="s">
        <v>100</v>
      </c>
      <c r="O11" s="13" t="s">
        <v>98</v>
      </c>
      <c r="P11" s="14" t="s">
        <v>99</v>
      </c>
      <c r="Q11" s="15" t="s">
        <v>100</v>
      </c>
      <c r="R11" s="13" t="s">
        <v>98</v>
      </c>
      <c r="S11" s="14" t="s">
        <v>99</v>
      </c>
      <c r="T11" s="15" t="s">
        <v>100</v>
      </c>
      <c r="U11" s="13" t="s">
        <v>98</v>
      </c>
      <c r="V11" s="14" t="s">
        <v>99</v>
      </c>
      <c r="W11" s="15" t="s">
        <v>100</v>
      </c>
      <c r="X11" s="13" t="s">
        <v>98</v>
      </c>
      <c r="Y11" s="14" t="s">
        <v>99</v>
      </c>
      <c r="Z11" s="15" t="s">
        <v>100</v>
      </c>
      <c r="AA11" s="13" t="s">
        <v>98</v>
      </c>
      <c r="AB11" s="14" t="s">
        <v>99</v>
      </c>
      <c r="AC11" s="15" t="s">
        <v>100</v>
      </c>
      <c r="AD11" s="13" t="s">
        <v>98</v>
      </c>
      <c r="AE11" s="14" t="s">
        <v>99</v>
      </c>
      <c r="AF11" s="15" t="s">
        <v>100</v>
      </c>
      <c r="AG11" s="13" t="s">
        <v>98</v>
      </c>
      <c r="AH11" s="14" t="s">
        <v>99</v>
      </c>
      <c r="AI11" s="15" t="s">
        <v>100</v>
      </c>
      <c r="AJ11" s="13" t="s">
        <v>98</v>
      </c>
      <c r="AK11" s="14" t="s">
        <v>99</v>
      </c>
      <c r="AL11" s="15" t="s">
        <v>100</v>
      </c>
      <c r="AM11" s="13" t="s">
        <v>98</v>
      </c>
      <c r="AN11" s="14" t="s">
        <v>99</v>
      </c>
      <c r="AO11" s="15" t="s">
        <v>100</v>
      </c>
      <c r="AP11" s="111"/>
      <c r="AQ11" s="114"/>
      <c r="AS11" s="2"/>
    </row>
    <row r="12" spans="1:45" ht="18" customHeight="1" x14ac:dyDescent="0.15">
      <c r="A12" s="5"/>
      <c r="B12" s="9" t="s">
        <v>132</v>
      </c>
      <c r="C12" s="18">
        <v>1241</v>
      </c>
      <c r="D12" s="19">
        <v>330</v>
      </c>
      <c r="E12" s="20">
        <v>1320</v>
      </c>
      <c r="F12" s="20">
        <v>49</v>
      </c>
      <c r="G12" s="21"/>
      <c r="H12" s="22"/>
      <c r="I12" s="20">
        <v>36</v>
      </c>
      <c r="J12" s="21"/>
      <c r="K12" s="22"/>
      <c r="L12" s="20">
        <f>M12+N12</f>
        <v>0</v>
      </c>
      <c r="M12" s="21"/>
      <c r="N12" s="22"/>
      <c r="O12" s="20">
        <f>P12+Q12</f>
        <v>0</v>
      </c>
      <c r="P12" s="21"/>
      <c r="Q12" s="22"/>
      <c r="R12" s="20">
        <f>S12+T12</f>
        <v>0</v>
      </c>
      <c r="S12" s="21"/>
      <c r="T12" s="22"/>
      <c r="U12" s="20">
        <f>V12+W12</f>
        <v>0</v>
      </c>
      <c r="V12" s="21"/>
      <c r="W12" s="22"/>
      <c r="X12" s="20">
        <f>Y12+Z12</f>
        <v>0</v>
      </c>
      <c r="Y12" s="21"/>
      <c r="Z12" s="22"/>
      <c r="AA12" s="20">
        <f>AB12+AC12</f>
        <v>0</v>
      </c>
      <c r="AB12" s="21"/>
      <c r="AC12" s="22"/>
      <c r="AD12" s="20">
        <f>AE12+AF12</f>
        <v>0</v>
      </c>
      <c r="AE12" s="21"/>
      <c r="AF12" s="22"/>
      <c r="AG12" s="20">
        <f>AH12+AI12</f>
        <v>0</v>
      </c>
      <c r="AH12" s="21"/>
      <c r="AI12" s="22"/>
      <c r="AJ12" s="20">
        <f>AK12+AL12</f>
        <v>0</v>
      </c>
      <c r="AK12" s="21"/>
      <c r="AL12" s="22"/>
      <c r="AM12" s="20">
        <f>AN12+AO12</f>
        <v>0</v>
      </c>
      <c r="AN12" s="21"/>
      <c r="AO12" s="22"/>
      <c r="AP12" s="19">
        <f>F12+L12+R12+X12+AD12+AJ12</f>
        <v>49</v>
      </c>
      <c r="AQ12" s="38">
        <f t="shared" ref="AQ12:AQ32" si="0">AP12/E12</f>
        <v>3.7121212121212124E-2</v>
      </c>
    </row>
    <row r="13" spans="1:45" ht="18" customHeight="1" x14ac:dyDescent="0.15">
      <c r="A13" s="5"/>
      <c r="B13" s="10" t="s">
        <v>145</v>
      </c>
      <c r="C13" s="23">
        <v>33</v>
      </c>
      <c r="D13" s="24"/>
      <c r="E13" s="25"/>
      <c r="F13" s="26">
        <f>G13+H13</f>
        <v>0</v>
      </c>
      <c r="G13" s="27"/>
      <c r="H13" s="28"/>
      <c r="I13" s="26">
        <f>J13+K13</f>
        <v>0</v>
      </c>
      <c r="J13" s="27"/>
      <c r="K13" s="28"/>
      <c r="L13" s="26">
        <f t="shared" ref="L13:L31" si="1">M13+N13</f>
        <v>0</v>
      </c>
      <c r="M13" s="27"/>
      <c r="N13" s="28"/>
      <c r="O13" s="26">
        <f t="shared" ref="O13:O31" si="2">P13+Q13</f>
        <v>0</v>
      </c>
      <c r="P13" s="27"/>
      <c r="Q13" s="28"/>
      <c r="R13" s="26">
        <f t="shared" ref="R13:R31" si="3">S13+T13</f>
        <v>0</v>
      </c>
      <c r="S13" s="27"/>
      <c r="T13" s="28"/>
      <c r="U13" s="26">
        <f t="shared" ref="U13:U31" si="4">V13+W13</f>
        <v>0</v>
      </c>
      <c r="V13" s="27"/>
      <c r="W13" s="28"/>
      <c r="X13" s="26">
        <f t="shared" ref="X13:X31" si="5">Y13+Z13</f>
        <v>0</v>
      </c>
      <c r="Y13" s="27"/>
      <c r="Z13" s="28"/>
      <c r="AA13" s="26">
        <f t="shared" ref="AA13:AA31" si="6">AB13+AC13</f>
        <v>0</v>
      </c>
      <c r="AB13" s="27"/>
      <c r="AC13" s="28"/>
      <c r="AD13" s="26">
        <f t="shared" ref="AD13:AD31" si="7">AE13+AF13</f>
        <v>0</v>
      </c>
      <c r="AE13" s="27"/>
      <c r="AF13" s="28"/>
      <c r="AG13" s="26">
        <f t="shared" ref="AG13:AG31" si="8">AH13+AI13</f>
        <v>0</v>
      </c>
      <c r="AH13" s="27"/>
      <c r="AI13" s="28"/>
      <c r="AJ13" s="26">
        <f t="shared" ref="AJ13:AJ31" si="9">AK13+AL13</f>
        <v>0</v>
      </c>
      <c r="AK13" s="27"/>
      <c r="AL13" s="28"/>
      <c r="AM13" s="26">
        <f t="shared" ref="AM13:AM31" si="10">AN13+AO13</f>
        <v>0</v>
      </c>
      <c r="AN13" s="27"/>
      <c r="AO13" s="28"/>
      <c r="AP13" s="24">
        <f t="shared" ref="AP13:AP31" si="11">F13+L13+R13+X13+AD13+AJ13</f>
        <v>0</v>
      </c>
      <c r="AQ13" s="16" t="e">
        <f t="shared" si="0"/>
        <v>#DIV/0!</v>
      </c>
    </row>
    <row r="14" spans="1:45" ht="18" customHeight="1" x14ac:dyDescent="0.15">
      <c r="A14" s="5"/>
      <c r="B14" s="10" t="s">
        <v>146</v>
      </c>
      <c r="C14" s="23">
        <v>11</v>
      </c>
      <c r="D14" s="24"/>
      <c r="E14" s="25"/>
      <c r="F14" s="26">
        <f>G14+H14</f>
        <v>0</v>
      </c>
      <c r="G14" s="27"/>
      <c r="H14" s="28"/>
      <c r="I14" s="26">
        <f>J14+K14</f>
        <v>0</v>
      </c>
      <c r="J14" s="27"/>
      <c r="K14" s="28"/>
      <c r="L14" s="26">
        <f t="shared" si="1"/>
        <v>0</v>
      </c>
      <c r="M14" s="27"/>
      <c r="N14" s="28"/>
      <c r="O14" s="26">
        <f t="shared" si="2"/>
        <v>0</v>
      </c>
      <c r="P14" s="27"/>
      <c r="Q14" s="28"/>
      <c r="R14" s="26">
        <f t="shared" si="3"/>
        <v>0</v>
      </c>
      <c r="S14" s="27"/>
      <c r="T14" s="28"/>
      <c r="U14" s="26">
        <f t="shared" si="4"/>
        <v>0</v>
      </c>
      <c r="V14" s="27"/>
      <c r="W14" s="28"/>
      <c r="X14" s="26">
        <f t="shared" si="5"/>
        <v>0</v>
      </c>
      <c r="Y14" s="27"/>
      <c r="Z14" s="28"/>
      <c r="AA14" s="26">
        <f t="shared" si="6"/>
        <v>0</v>
      </c>
      <c r="AB14" s="27"/>
      <c r="AC14" s="28"/>
      <c r="AD14" s="26">
        <f t="shared" si="7"/>
        <v>0</v>
      </c>
      <c r="AE14" s="27"/>
      <c r="AF14" s="28"/>
      <c r="AG14" s="26">
        <f t="shared" si="8"/>
        <v>0</v>
      </c>
      <c r="AH14" s="27"/>
      <c r="AI14" s="28"/>
      <c r="AJ14" s="26">
        <f t="shared" si="9"/>
        <v>0</v>
      </c>
      <c r="AK14" s="27"/>
      <c r="AL14" s="28"/>
      <c r="AM14" s="26">
        <f t="shared" si="10"/>
        <v>0</v>
      </c>
      <c r="AN14" s="27"/>
      <c r="AO14" s="28"/>
      <c r="AP14" s="24">
        <f t="shared" si="11"/>
        <v>0</v>
      </c>
      <c r="AQ14" s="7" t="e">
        <f t="shared" si="0"/>
        <v>#DIV/0!</v>
      </c>
    </row>
    <row r="15" spans="1:45" ht="18" customHeight="1" x14ac:dyDescent="0.15">
      <c r="A15" s="5"/>
      <c r="B15" s="10" t="s">
        <v>148</v>
      </c>
      <c r="C15" s="23">
        <v>11</v>
      </c>
      <c r="D15" s="24"/>
      <c r="E15" s="25"/>
      <c r="F15" s="26">
        <f>G15+H15</f>
        <v>0</v>
      </c>
      <c r="G15" s="27"/>
      <c r="H15" s="28"/>
      <c r="I15" s="26">
        <f>J15+K15</f>
        <v>0</v>
      </c>
      <c r="J15" s="27"/>
      <c r="K15" s="28"/>
      <c r="L15" s="26">
        <f t="shared" si="1"/>
        <v>0</v>
      </c>
      <c r="M15" s="27"/>
      <c r="N15" s="28"/>
      <c r="O15" s="26">
        <f t="shared" si="2"/>
        <v>0</v>
      </c>
      <c r="P15" s="27"/>
      <c r="Q15" s="28"/>
      <c r="R15" s="26">
        <f t="shared" si="3"/>
        <v>0</v>
      </c>
      <c r="S15" s="27"/>
      <c r="T15" s="28"/>
      <c r="U15" s="26">
        <f t="shared" si="4"/>
        <v>0</v>
      </c>
      <c r="V15" s="27"/>
      <c r="W15" s="28"/>
      <c r="X15" s="26">
        <f t="shared" si="5"/>
        <v>0</v>
      </c>
      <c r="Y15" s="27"/>
      <c r="Z15" s="28"/>
      <c r="AA15" s="26">
        <f t="shared" si="6"/>
        <v>0</v>
      </c>
      <c r="AB15" s="27"/>
      <c r="AC15" s="28"/>
      <c r="AD15" s="26">
        <f t="shared" si="7"/>
        <v>0</v>
      </c>
      <c r="AE15" s="27"/>
      <c r="AF15" s="28"/>
      <c r="AG15" s="26">
        <f t="shared" si="8"/>
        <v>0</v>
      </c>
      <c r="AH15" s="27"/>
      <c r="AI15" s="28"/>
      <c r="AJ15" s="26">
        <f t="shared" si="9"/>
        <v>0</v>
      </c>
      <c r="AK15" s="27"/>
      <c r="AL15" s="28"/>
      <c r="AM15" s="26">
        <f t="shared" si="10"/>
        <v>0</v>
      </c>
      <c r="AN15" s="27"/>
      <c r="AO15" s="28"/>
      <c r="AP15" s="24">
        <f t="shared" si="11"/>
        <v>0</v>
      </c>
      <c r="AQ15" s="7" t="e">
        <f t="shared" si="0"/>
        <v>#DIV/0!</v>
      </c>
    </row>
    <row r="16" spans="1:45" ht="18" customHeight="1" x14ac:dyDescent="0.15">
      <c r="A16" s="5"/>
      <c r="B16" s="10" t="s">
        <v>147</v>
      </c>
      <c r="C16" s="23">
        <v>3</v>
      </c>
      <c r="D16" s="24"/>
      <c r="E16" s="25"/>
      <c r="F16" s="26">
        <f>G16+H16</f>
        <v>0</v>
      </c>
      <c r="G16" s="27"/>
      <c r="H16" s="28"/>
      <c r="I16" s="26">
        <f>J16+K16</f>
        <v>0</v>
      </c>
      <c r="J16" s="27"/>
      <c r="K16" s="28"/>
      <c r="L16" s="26">
        <f t="shared" si="1"/>
        <v>0</v>
      </c>
      <c r="M16" s="27"/>
      <c r="N16" s="28"/>
      <c r="O16" s="26">
        <f t="shared" si="2"/>
        <v>0</v>
      </c>
      <c r="P16" s="27"/>
      <c r="Q16" s="28"/>
      <c r="R16" s="26">
        <f t="shared" si="3"/>
        <v>0</v>
      </c>
      <c r="S16" s="27"/>
      <c r="T16" s="28"/>
      <c r="U16" s="26">
        <f t="shared" si="4"/>
        <v>0</v>
      </c>
      <c r="V16" s="27"/>
      <c r="W16" s="28"/>
      <c r="X16" s="26">
        <f t="shared" si="5"/>
        <v>0</v>
      </c>
      <c r="Y16" s="27"/>
      <c r="Z16" s="28"/>
      <c r="AA16" s="26">
        <f t="shared" si="6"/>
        <v>0</v>
      </c>
      <c r="AB16" s="27"/>
      <c r="AC16" s="28"/>
      <c r="AD16" s="26">
        <f t="shared" si="7"/>
        <v>0</v>
      </c>
      <c r="AE16" s="27"/>
      <c r="AF16" s="28"/>
      <c r="AG16" s="26">
        <f t="shared" si="8"/>
        <v>0</v>
      </c>
      <c r="AH16" s="27"/>
      <c r="AI16" s="28"/>
      <c r="AJ16" s="26">
        <f t="shared" si="9"/>
        <v>0</v>
      </c>
      <c r="AK16" s="27"/>
      <c r="AL16" s="28"/>
      <c r="AM16" s="26">
        <f t="shared" si="10"/>
        <v>0</v>
      </c>
      <c r="AN16" s="27"/>
      <c r="AO16" s="28"/>
      <c r="AP16" s="24">
        <f t="shared" si="11"/>
        <v>0</v>
      </c>
      <c r="AQ16" s="7" t="e">
        <f t="shared" si="0"/>
        <v>#DIV/0!</v>
      </c>
    </row>
    <row r="17" spans="1:43" ht="18" customHeight="1" x14ac:dyDescent="0.15">
      <c r="A17" s="5"/>
      <c r="B17" s="10" t="s">
        <v>133</v>
      </c>
      <c r="C17" s="23">
        <v>1191</v>
      </c>
      <c r="D17" s="24">
        <v>310</v>
      </c>
      <c r="E17" s="25">
        <v>1240</v>
      </c>
      <c r="F17" s="26">
        <v>27</v>
      </c>
      <c r="G17" s="27"/>
      <c r="H17" s="28"/>
      <c r="I17" s="26">
        <v>16</v>
      </c>
      <c r="J17" s="27"/>
      <c r="K17" s="28"/>
      <c r="L17" s="26">
        <f t="shared" si="1"/>
        <v>0</v>
      </c>
      <c r="M17" s="27"/>
      <c r="N17" s="28"/>
      <c r="O17" s="26">
        <f t="shared" si="2"/>
        <v>0</v>
      </c>
      <c r="P17" s="27"/>
      <c r="Q17" s="28"/>
      <c r="R17" s="26">
        <f t="shared" si="3"/>
        <v>0</v>
      </c>
      <c r="S17" s="27"/>
      <c r="T17" s="28"/>
      <c r="U17" s="26">
        <f t="shared" si="4"/>
        <v>0</v>
      </c>
      <c r="V17" s="27"/>
      <c r="W17" s="28"/>
      <c r="X17" s="26">
        <f t="shared" si="5"/>
        <v>0</v>
      </c>
      <c r="Y17" s="27"/>
      <c r="Z17" s="28"/>
      <c r="AA17" s="26">
        <f t="shared" si="6"/>
        <v>0</v>
      </c>
      <c r="AB17" s="27"/>
      <c r="AC17" s="28"/>
      <c r="AD17" s="26">
        <f t="shared" si="7"/>
        <v>0</v>
      </c>
      <c r="AE17" s="27"/>
      <c r="AF17" s="28"/>
      <c r="AG17" s="26">
        <f t="shared" si="8"/>
        <v>0</v>
      </c>
      <c r="AH17" s="27"/>
      <c r="AI17" s="28"/>
      <c r="AJ17" s="26">
        <f t="shared" si="9"/>
        <v>0</v>
      </c>
      <c r="AK17" s="27"/>
      <c r="AL17" s="28"/>
      <c r="AM17" s="26">
        <f t="shared" si="10"/>
        <v>0</v>
      </c>
      <c r="AN17" s="27"/>
      <c r="AO17" s="28"/>
      <c r="AP17" s="24">
        <f t="shared" si="11"/>
        <v>27</v>
      </c>
      <c r="AQ17" s="7">
        <f t="shared" si="0"/>
        <v>2.1774193548387097E-2</v>
      </c>
    </row>
    <row r="18" spans="1:43" ht="18" customHeight="1" x14ac:dyDescent="0.15">
      <c r="A18" s="5"/>
      <c r="B18" s="10" t="s">
        <v>134</v>
      </c>
      <c r="C18" s="23">
        <v>264</v>
      </c>
      <c r="D18" s="24">
        <v>70</v>
      </c>
      <c r="E18" s="25">
        <v>280</v>
      </c>
      <c r="F18" s="26">
        <v>8</v>
      </c>
      <c r="G18" s="27"/>
      <c r="H18" s="28"/>
      <c r="I18" s="26">
        <v>4</v>
      </c>
      <c r="J18" s="27"/>
      <c r="K18" s="28"/>
      <c r="L18" s="26">
        <f t="shared" si="1"/>
        <v>0</v>
      </c>
      <c r="M18" s="27"/>
      <c r="N18" s="28"/>
      <c r="O18" s="26">
        <f t="shared" si="2"/>
        <v>0</v>
      </c>
      <c r="P18" s="27"/>
      <c r="Q18" s="28"/>
      <c r="R18" s="26">
        <f t="shared" si="3"/>
        <v>0</v>
      </c>
      <c r="S18" s="27"/>
      <c r="T18" s="28"/>
      <c r="U18" s="26">
        <f t="shared" si="4"/>
        <v>0</v>
      </c>
      <c r="V18" s="27"/>
      <c r="W18" s="28"/>
      <c r="X18" s="26">
        <f t="shared" si="5"/>
        <v>0</v>
      </c>
      <c r="Y18" s="27"/>
      <c r="Z18" s="28"/>
      <c r="AA18" s="26">
        <f t="shared" si="6"/>
        <v>0</v>
      </c>
      <c r="AB18" s="27"/>
      <c r="AC18" s="28"/>
      <c r="AD18" s="26">
        <f t="shared" si="7"/>
        <v>0</v>
      </c>
      <c r="AE18" s="27"/>
      <c r="AF18" s="28"/>
      <c r="AG18" s="26">
        <f t="shared" si="8"/>
        <v>0</v>
      </c>
      <c r="AH18" s="27"/>
      <c r="AI18" s="28"/>
      <c r="AJ18" s="26">
        <f t="shared" si="9"/>
        <v>0</v>
      </c>
      <c r="AK18" s="27"/>
      <c r="AL18" s="28"/>
      <c r="AM18" s="26">
        <f t="shared" si="10"/>
        <v>0</v>
      </c>
      <c r="AN18" s="27"/>
      <c r="AO18" s="28"/>
      <c r="AP18" s="24">
        <f t="shared" si="11"/>
        <v>8</v>
      </c>
      <c r="AQ18" s="7">
        <f t="shared" si="0"/>
        <v>2.8571428571428571E-2</v>
      </c>
    </row>
    <row r="19" spans="1:43" ht="18" customHeight="1" x14ac:dyDescent="0.15">
      <c r="A19" s="5"/>
      <c r="B19" s="10" t="s">
        <v>135</v>
      </c>
      <c r="C19" s="23">
        <v>266</v>
      </c>
      <c r="D19" s="24">
        <v>80</v>
      </c>
      <c r="E19" s="25">
        <v>320</v>
      </c>
      <c r="F19" s="26">
        <v>42</v>
      </c>
      <c r="G19" s="27"/>
      <c r="H19" s="28"/>
      <c r="I19" s="26">
        <v>34</v>
      </c>
      <c r="J19" s="27"/>
      <c r="K19" s="28"/>
      <c r="L19" s="26">
        <f t="shared" si="1"/>
        <v>0</v>
      </c>
      <c r="M19" s="27"/>
      <c r="N19" s="28"/>
      <c r="O19" s="26">
        <f t="shared" si="2"/>
        <v>0</v>
      </c>
      <c r="P19" s="27"/>
      <c r="Q19" s="28"/>
      <c r="R19" s="26">
        <f t="shared" si="3"/>
        <v>0</v>
      </c>
      <c r="S19" s="27"/>
      <c r="T19" s="28"/>
      <c r="U19" s="26">
        <f t="shared" si="4"/>
        <v>0</v>
      </c>
      <c r="V19" s="27"/>
      <c r="W19" s="28"/>
      <c r="X19" s="26">
        <f t="shared" si="5"/>
        <v>0</v>
      </c>
      <c r="Y19" s="27"/>
      <c r="Z19" s="28"/>
      <c r="AA19" s="26">
        <f t="shared" si="6"/>
        <v>0</v>
      </c>
      <c r="AB19" s="27"/>
      <c r="AC19" s="28"/>
      <c r="AD19" s="26">
        <f t="shared" si="7"/>
        <v>0</v>
      </c>
      <c r="AE19" s="27"/>
      <c r="AF19" s="28"/>
      <c r="AG19" s="26">
        <f t="shared" si="8"/>
        <v>0</v>
      </c>
      <c r="AH19" s="27"/>
      <c r="AI19" s="28"/>
      <c r="AJ19" s="26">
        <f t="shared" si="9"/>
        <v>0</v>
      </c>
      <c r="AK19" s="27"/>
      <c r="AL19" s="28"/>
      <c r="AM19" s="26">
        <f t="shared" si="10"/>
        <v>0</v>
      </c>
      <c r="AN19" s="27"/>
      <c r="AO19" s="28"/>
      <c r="AP19" s="24">
        <f t="shared" si="11"/>
        <v>42</v>
      </c>
      <c r="AQ19" s="7">
        <f t="shared" si="0"/>
        <v>0.13125000000000001</v>
      </c>
    </row>
    <row r="20" spans="1:43" ht="18" customHeight="1" x14ac:dyDescent="0.15">
      <c r="A20" s="5"/>
      <c r="B20" s="10" t="s">
        <v>136</v>
      </c>
      <c r="C20" s="23">
        <v>233</v>
      </c>
      <c r="D20" s="24">
        <v>60</v>
      </c>
      <c r="E20" s="25">
        <v>240</v>
      </c>
      <c r="F20" s="26">
        <v>5</v>
      </c>
      <c r="G20" s="27"/>
      <c r="H20" s="28"/>
      <c r="I20" s="26">
        <v>4</v>
      </c>
      <c r="J20" s="27"/>
      <c r="K20" s="28"/>
      <c r="L20" s="26">
        <f t="shared" si="1"/>
        <v>0</v>
      </c>
      <c r="M20" s="27"/>
      <c r="N20" s="28"/>
      <c r="O20" s="26">
        <f t="shared" si="2"/>
        <v>0</v>
      </c>
      <c r="P20" s="27"/>
      <c r="Q20" s="28"/>
      <c r="R20" s="26">
        <f t="shared" si="3"/>
        <v>0</v>
      </c>
      <c r="S20" s="27"/>
      <c r="T20" s="28"/>
      <c r="U20" s="26">
        <f t="shared" si="4"/>
        <v>0</v>
      </c>
      <c r="V20" s="27"/>
      <c r="W20" s="28"/>
      <c r="X20" s="26">
        <f t="shared" si="5"/>
        <v>0</v>
      </c>
      <c r="Y20" s="27"/>
      <c r="Z20" s="28"/>
      <c r="AA20" s="26">
        <f t="shared" si="6"/>
        <v>0</v>
      </c>
      <c r="AB20" s="27"/>
      <c r="AC20" s="28"/>
      <c r="AD20" s="26">
        <f t="shared" si="7"/>
        <v>0</v>
      </c>
      <c r="AE20" s="27"/>
      <c r="AF20" s="28"/>
      <c r="AG20" s="26">
        <f t="shared" si="8"/>
        <v>0</v>
      </c>
      <c r="AH20" s="27"/>
      <c r="AI20" s="28"/>
      <c r="AJ20" s="26">
        <f t="shared" si="9"/>
        <v>0</v>
      </c>
      <c r="AK20" s="27"/>
      <c r="AL20" s="28"/>
      <c r="AM20" s="26">
        <f t="shared" si="10"/>
        <v>0</v>
      </c>
      <c r="AN20" s="27"/>
      <c r="AO20" s="28"/>
      <c r="AP20" s="24">
        <f t="shared" si="11"/>
        <v>5</v>
      </c>
      <c r="AQ20" s="7">
        <f t="shared" si="0"/>
        <v>2.0833333333333332E-2</v>
      </c>
    </row>
    <row r="21" spans="1:43" ht="18" customHeight="1" x14ac:dyDescent="0.15">
      <c r="A21" s="5"/>
      <c r="B21" s="10"/>
      <c r="C21" s="23"/>
      <c r="D21" s="24"/>
      <c r="E21" s="25"/>
      <c r="F21" s="26">
        <f t="shared" ref="F21:F31" si="12">G21+H21</f>
        <v>0</v>
      </c>
      <c r="G21" s="27"/>
      <c r="H21" s="28"/>
      <c r="I21" s="26">
        <f t="shared" ref="I21:I31" si="13">J21+K21</f>
        <v>0</v>
      </c>
      <c r="J21" s="27"/>
      <c r="K21" s="28"/>
      <c r="L21" s="26">
        <f t="shared" si="1"/>
        <v>0</v>
      </c>
      <c r="M21" s="27"/>
      <c r="N21" s="28"/>
      <c r="O21" s="26">
        <f t="shared" si="2"/>
        <v>0</v>
      </c>
      <c r="P21" s="27"/>
      <c r="Q21" s="28"/>
      <c r="R21" s="26">
        <f t="shared" si="3"/>
        <v>0</v>
      </c>
      <c r="S21" s="27"/>
      <c r="T21" s="28"/>
      <c r="U21" s="26">
        <f t="shared" si="4"/>
        <v>0</v>
      </c>
      <c r="V21" s="27"/>
      <c r="W21" s="28"/>
      <c r="X21" s="26">
        <f t="shared" si="5"/>
        <v>0</v>
      </c>
      <c r="Y21" s="27"/>
      <c r="Z21" s="28"/>
      <c r="AA21" s="26">
        <f t="shared" si="6"/>
        <v>0</v>
      </c>
      <c r="AB21" s="27"/>
      <c r="AC21" s="28"/>
      <c r="AD21" s="26">
        <f t="shared" si="7"/>
        <v>0</v>
      </c>
      <c r="AE21" s="27"/>
      <c r="AF21" s="28"/>
      <c r="AG21" s="26">
        <f t="shared" si="8"/>
        <v>0</v>
      </c>
      <c r="AH21" s="27"/>
      <c r="AI21" s="28"/>
      <c r="AJ21" s="26">
        <f t="shared" si="9"/>
        <v>0</v>
      </c>
      <c r="AK21" s="27"/>
      <c r="AL21" s="28"/>
      <c r="AM21" s="26">
        <f t="shared" si="10"/>
        <v>0</v>
      </c>
      <c r="AN21" s="27"/>
      <c r="AO21" s="28"/>
      <c r="AP21" s="24">
        <f t="shared" si="11"/>
        <v>0</v>
      </c>
      <c r="AQ21" s="7" t="e">
        <f t="shared" si="0"/>
        <v>#DIV/0!</v>
      </c>
    </row>
    <row r="22" spans="1:43" ht="18" customHeight="1" x14ac:dyDescent="0.15">
      <c r="A22" s="5"/>
      <c r="B22" s="10"/>
      <c r="C22" s="23"/>
      <c r="D22" s="24"/>
      <c r="E22" s="25"/>
      <c r="F22" s="26">
        <f t="shared" si="12"/>
        <v>0</v>
      </c>
      <c r="G22" s="27"/>
      <c r="H22" s="28"/>
      <c r="I22" s="26">
        <f t="shared" si="13"/>
        <v>0</v>
      </c>
      <c r="J22" s="27"/>
      <c r="K22" s="28"/>
      <c r="L22" s="26">
        <f t="shared" si="1"/>
        <v>0</v>
      </c>
      <c r="M22" s="27"/>
      <c r="N22" s="28"/>
      <c r="O22" s="26">
        <f t="shared" si="2"/>
        <v>0</v>
      </c>
      <c r="P22" s="27"/>
      <c r="Q22" s="28"/>
      <c r="R22" s="26">
        <f t="shared" si="3"/>
        <v>0</v>
      </c>
      <c r="S22" s="27"/>
      <c r="T22" s="28"/>
      <c r="U22" s="26">
        <f t="shared" si="4"/>
        <v>0</v>
      </c>
      <c r="V22" s="27"/>
      <c r="W22" s="28"/>
      <c r="X22" s="26">
        <f t="shared" si="5"/>
        <v>0</v>
      </c>
      <c r="Y22" s="27"/>
      <c r="Z22" s="28"/>
      <c r="AA22" s="26">
        <f t="shared" si="6"/>
        <v>0</v>
      </c>
      <c r="AB22" s="27"/>
      <c r="AC22" s="28"/>
      <c r="AD22" s="26">
        <f t="shared" si="7"/>
        <v>0</v>
      </c>
      <c r="AE22" s="27"/>
      <c r="AF22" s="28"/>
      <c r="AG22" s="26">
        <f t="shared" si="8"/>
        <v>0</v>
      </c>
      <c r="AH22" s="27"/>
      <c r="AI22" s="28"/>
      <c r="AJ22" s="26">
        <f t="shared" si="9"/>
        <v>0</v>
      </c>
      <c r="AK22" s="27"/>
      <c r="AL22" s="28"/>
      <c r="AM22" s="26">
        <f t="shared" si="10"/>
        <v>0</v>
      </c>
      <c r="AN22" s="27"/>
      <c r="AO22" s="28"/>
      <c r="AP22" s="24">
        <f t="shared" si="11"/>
        <v>0</v>
      </c>
      <c r="AQ22" s="7" t="e">
        <f t="shared" si="0"/>
        <v>#DIV/0!</v>
      </c>
    </row>
    <row r="23" spans="1:43" ht="18" customHeight="1" x14ac:dyDescent="0.15">
      <c r="A23" s="5"/>
      <c r="B23" s="10"/>
      <c r="C23" s="23"/>
      <c r="D23" s="24"/>
      <c r="E23" s="25"/>
      <c r="F23" s="26">
        <f t="shared" si="12"/>
        <v>0</v>
      </c>
      <c r="G23" s="27"/>
      <c r="H23" s="28"/>
      <c r="I23" s="26">
        <f t="shared" si="13"/>
        <v>0</v>
      </c>
      <c r="J23" s="27"/>
      <c r="K23" s="28"/>
      <c r="L23" s="26">
        <f t="shared" si="1"/>
        <v>0</v>
      </c>
      <c r="M23" s="27"/>
      <c r="N23" s="28"/>
      <c r="O23" s="26">
        <f t="shared" si="2"/>
        <v>0</v>
      </c>
      <c r="P23" s="27"/>
      <c r="Q23" s="28"/>
      <c r="R23" s="26">
        <f t="shared" si="3"/>
        <v>0</v>
      </c>
      <c r="S23" s="27"/>
      <c r="T23" s="28"/>
      <c r="U23" s="26">
        <f t="shared" si="4"/>
        <v>0</v>
      </c>
      <c r="V23" s="27"/>
      <c r="W23" s="28"/>
      <c r="X23" s="26">
        <f t="shared" si="5"/>
        <v>0</v>
      </c>
      <c r="Y23" s="27"/>
      <c r="Z23" s="28"/>
      <c r="AA23" s="26">
        <f t="shared" si="6"/>
        <v>0</v>
      </c>
      <c r="AB23" s="27"/>
      <c r="AC23" s="28"/>
      <c r="AD23" s="26">
        <f t="shared" si="7"/>
        <v>0</v>
      </c>
      <c r="AE23" s="27"/>
      <c r="AF23" s="28"/>
      <c r="AG23" s="26">
        <f t="shared" si="8"/>
        <v>0</v>
      </c>
      <c r="AH23" s="27"/>
      <c r="AI23" s="28"/>
      <c r="AJ23" s="26">
        <f t="shared" si="9"/>
        <v>0</v>
      </c>
      <c r="AK23" s="27"/>
      <c r="AL23" s="28"/>
      <c r="AM23" s="26">
        <f t="shared" si="10"/>
        <v>0</v>
      </c>
      <c r="AN23" s="27"/>
      <c r="AO23" s="28"/>
      <c r="AP23" s="24">
        <f t="shared" si="11"/>
        <v>0</v>
      </c>
      <c r="AQ23" s="7" t="e">
        <f t="shared" si="0"/>
        <v>#DIV/0!</v>
      </c>
    </row>
    <row r="24" spans="1:43" ht="18" customHeight="1" x14ac:dyDescent="0.15">
      <c r="A24" s="5"/>
      <c r="B24" s="10"/>
      <c r="C24" s="23"/>
      <c r="D24" s="24"/>
      <c r="E24" s="25"/>
      <c r="F24" s="26">
        <f t="shared" si="12"/>
        <v>0</v>
      </c>
      <c r="G24" s="27"/>
      <c r="H24" s="28"/>
      <c r="I24" s="26">
        <f t="shared" si="13"/>
        <v>0</v>
      </c>
      <c r="J24" s="27"/>
      <c r="K24" s="28"/>
      <c r="L24" s="26">
        <f t="shared" si="1"/>
        <v>0</v>
      </c>
      <c r="M24" s="27"/>
      <c r="N24" s="28"/>
      <c r="O24" s="26">
        <f t="shared" si="2"/>
        <v>0</v>
      </c>
      <c r="P24" s="27"/>
      <c r="Q24" s="28"/>
      <c r="R24" s="26">
        <f t="shared" si="3"/>
        <v>0</v>
      </c>
      <c r="S24" s="27"/>
      <c r="T24" s="28"/>
      <c r="U24" s="26">
        <f t="shared" si="4"/>
        <v>0</v>
      </c>
      <c r="V24" s="27"/>
      <c r="W24" s="28"/>
      <c r="X24" s="26">
        <f t="shared" si="5"/>
        <v>0</v>
      </c>
      <c r="Y24" s="27"/>
      <c r="Z24" s="28"/>
      <c r="AA24" s="26">
        <f t="shared" si="6"/>
        <v>0</v>
      </c>
      <c r="AB24" s="27"/>
      <c r="AC24" s="28"/>
      <c r="AD24" s="26">
        <f t="shared" si="7"/>
        <v>0</v>
      </c>
      <c r="AE24" s="27"/>
      <c r="AF24" s="28"/>
      <c r="AG24" s="26">
        <f t="shared" si="8"/>
        <v>0</v>
      </c>
      <c r="AH24" s="27"/>
      <c r="AI24" s="28"/>
      <c r="AJ24" s="26">
        <f t="shared" si="9"/>
        <v>0</v>
      </c>
      <c r="AK24" s="27"/>
      <c r="AL24" s="28"/>
      <c r="AM24" s="26">
        <f t="shared" si="10"/>
        <v>0</v>
      </c>
      <c r="AN24" s="27"/>
      <c r="AO24" s="28"/>
      <c r="AP24" s="24">
        <f t="shared" si="11"/>
        <v>0</v>
      </c>
      <c r="AQ24" s="7" t="e">
        <f t="shared" si="0"/>
        <v>#DIV/0!</v>
      </c>
    </row>
    <row r="25" spans="1:43" ht="18" customHeight="1" x14ac:dyDescent="0.15">
      <c r="A25" s="5"/>
      <c r="B25" s="10"/>
      <c r="C25" s="23"/>
      <c r="D25" s="24"/>
      <c r="E25" s="25"/>
      <c r="F25" s="26">
        <f t="shared" si="12"/>
        <v>0</v>
      </c>
      <c r="G25" s="27"/>
      <c r="H25" s="28"/>
      <c r="I25" s="26">
        <f t="shared" si="13"/>
        <v>0</v>
      </c>
      <c r="J25" s="27"/>
      <c r="K25" s="28"/>
      <c r="L25" s="26">
        <f t="shared" si="1"/>
        <v>0</v>
      </c>
      <c r="M25" s="27"/>
      <c r="N25" s="28"/>
      <c r="O25" s="26">
        <f t="shared" si="2"/>
        <v>0</v>
      </c>
      <c r="P25" s="27"/>
      <c r="Q25" s="28"/>
      <c r="R25" s="26">
        <f t="shared" si="3"/>
        <v>0</v>
      </c>
      <c r="S25" s="27"/>
      <c r="T25" s="28"/>
      <c r="U25" s="26">
        <f t="shared" si="4"/>
        <v>0</v>
      </c>
      <c r="V25" s="27"/>
      <c r="W25" s="28"/>
      <c r="X25" s="26">
        <f t="shared" si="5"/>
        <v>0</v>
      </c>
      <c r="Y25" s="27"/>
      <c r="Z25" s="28"/>
      <c r="AA25" s="26">
        <f t="shared" si="6"/>
        <v>0</v>
      </c>
      <c r="AB25" s="27"/>
      <c r="AC25" s="28"/>
      <c r="AD25" s="26">
        <f t="shared" si="7"/>
        <v>0</v>
      </c>
      <c r="AE25" s="27"/>
      <c r="AF25" s="28"/>
      <c r="AG25" s="26">
        <f t="shared" si="8"/>
        <v>0</v>
      </c>
      <c r="AH25" s="27"/>
      <c r="AI25" s="28"/>
      <c r="AJ25" s="26">
        <f t="shared" si="9"/>
        <v>0</v>
      </c>
      <c r="AK25" s="27"/>
      <c r="AL25" s="28"/>
      <c r="AM25" s="26">
        <f t="shared" si="10"/>
        <v>0</v>
      </c>
      <c r="AN25" s="27"/>
      <c r="AO25" s="28"/>
      <c r="AP25" s="24">
        <f t="shared" si="11"/>
        <v>0</v>
      </c>
      <c r="AQ25" s="7" t="e">
        <f t="shared" si="0"/>
        <v>#DIV/0!</v>
      </c>
    </row>
    <row r="26" spans="1:43" ht="18" customHeight="1" x14ac:dyDescent="0.15">
      <c r="A26" s="5"/>
      <c r="B26" s="10"/>
      <c r="C26" s="23"/>
      <c r="D26" s="24"/>
      <c r="E26" s="25"/>
      <c r="F26" s="26">
        <f t="shared" si="12"/>
        <v>0</v>
      </c>
      <c r="G26" s="27"/>
      <c r="H26" s="28"/>
      <c r="I26" s="26">
        <f t="shared" si="13"/>
        <v>0</v>
      </c>
      <c r="J26" s="27"/>
      <c r="K26" s="28"/>
      <c r="L26" s="26">
        <f t="shared" si="1"/>
        <v>0</v>
      </c>
      <c r="M26" s="27"/>
      <c r="N26" s="28"/>
      <c r="O26" s="26">
        <f t="shared" si="2"/>
        <v>0</v>
      </c>
      <c r="P26" s="27"/>
      <c r="Q26" s="28"/>
      <c r="R26" s="26">
        <f t="shared" si="3"/>
        <v>0</v>
      </c>
      <c r="S26" s="27"/>
      <c r="T26" s="28"/>
      <c r="U26" s="26">
        <f t="shared" si="4"/>
        <v>0</v>
      </c>
      <c r="V26" s="27"/>
      <c r="W26" s="28"/>
      <c r="X26" s="26">
        <f t="shared" si="5"/>
        <v>0</v>
      </c>
      <c r="Y26" s="27"/>
      <c r="Z26" s="28"/>
      <c r="AA26" s="26">
        <f t="shared" si="6"/>
        <v>0</v>
      </c>
      <c r="AB26" s="27"/>
      <c r="AC26" s="28"/>
      <c r="AD26" s="26">
        <f t="shared" si="7"/>
        <v>0</v>
      </c>
      <c r="AE26" s="27"/>
      <c r="AF26" s="28"/>
      <c r="AG26" s="26">
        <f t="shared" si="8"/>
        <v>0</v>
      </c>
      <c r="AH26" s="27"/>
      <c r="AI26" s="28"/>
      <c r="AJ26" s="26">
        <f t="shared" si="9"/>
        <v>0</v>
      </c>
      <c r="AK26" s="27"/>
      <c r="AL26" s="28"/>
      <c r="AM26" s="26">
        <f t="shared" si="10"/>
        <v>0</v>
      </c>
      <c r="AN26" s="27"/>
      <c r="AO26" s="28"/>
      <c r="AP26" s="24">
        <f t="shared" si="11"/>
        <v>0</v>
      </c>
      <c r="AQ26" s="7" t="e">
        <f t="shared" si="0"/>
        <v>#DIV/0!</v>
      </c>
    </row>
    <row r="27" spans="1:43" ht="18" customHeight="1" x14ac:dyDescent="0.15">
      <c r="A27" s="5"/>
      <c r="B27" s="10"/>
      <c r="C27" s="23"/>
      <c r="D27" s="24"/>
      <c r="E27" s="25"/>
      <c r="F27" s="26">
        <f t="shared" si="12"/>
        <v>0</v>
      </c>
      <c r="G27" s="27"/>
      <c r="H27" s="28"/>
      <c r="I27" s="26">
        <f t="shared" si="13"/>
        <v>0</v>
      </c>
      <c r="J27" s="27"/>
      <c r="K27" s="28"/>
      <c r="L27" s="26">
        <f t="shared" si="1"/>
        <v>0</v>
      </c>
      <c r="M27" s="27"/>
      <c r="N27" s="28"/>
      <c r="O27" s="26">
        <f t="shared" si="2"/>
        <v>0</v>
      </c>
      <c r="P27" s="27"/>
      <c r="Q27" s="28"/>
      <c r="R27" s="26">
        <f t="shared" si="3"/>
        <v>0</v>
      </c>
      <c r="S27" s="27"/>
      <c r="T27" s="28"/>
      <c r="U27" s="26">
        <f t="shared" si="4"/>
        <v>0</v>
      </c>
      <c r="V27" s="27"/>
      <c r="W27" s="28"/>
      <c r="X27" s="26">
        <f t="shared" si="5"/>
        <v>0</v>
      </c>
      <c r="Y27" s="27"/>
      <c r="Z27" s="28"/>
      <c r="AA27" s="26">
        <f t="shared" si="6"/>
        <v>0</v>
      </c>
      <c r="AB27" s="27"/>
      <c r="AC27" s="28"/>
      <c r="AD27" s="26">
        <f t="shared" si="7"/>
        <v>0</v>
      </c>
      <c r="AE27" s="27"/>
      <c r="AF27" s="28"/>
      <c r="AG27" s="26">
        <f t="shared" si="8"/>
        <v>0</v>
      </c>
      <c r="AH27" s="27"/>
      <c r="AI27" s="28"/>
      <c r="AJ27" s="26">
        <f t="shared" si="9"/>
        <v>0</v>
      </c>
      <c r="AK27" s="27"/>
      <c r="AL27" s="28"/>
      <c r="AM27" s="26">
        <f t="shared" si="10"/>
        <v>0</v>
      </c>
      <c r="AN27" s="27"/>
      <c r="AO27" s="28"/>
      <c r="AP27" s="24">
        <f t="shared" si="11"/>
        <v>0</v>
      </c>
      <c r="AQ27" s="7" t="e">
        <f t="shared" si="0"/>
        <v>#DIV/0!</v>
      </c>
    </row>
    <row r="28" spans="1:43" ht="18" customHeight="1" x14ac:dyDescent="0.15">
      <c r="A28" s="5"/>
      <c r="B28" s="10"/>
      <c r="C28" s="23"/>
      <c r="D28" s="24"/>
      <c r="E28" s="25"/>
      <c r="F28" s="26">
        <f t="shared" si="12"/>
        <v>0</v>
      </c>
      <c r="G28" s="27"/>
      <c r="H28" s="28"/>
      <c r="I28" s="26">
        <f t="shared" si="13"/>
        <v>0</v>
      </c>
      <c r="J28" s="27"/>
      <c r="K28" s="28"/>
      <c r="L28" s="26">
        <f t="shared" si="1"/>
        <v>0</v>
      </c>
      <c r="M28" s="27"/>
      <c r="N28" s="28"/>
      <c r="O28" s="26">
        <f t="shared" si="2"/>
        <v>0</v>
      </c>
      <c r="P28" s="27"/>
      <c r="Q28" s="28"/>
      <c r="R28" s="26">
        <f t="shared" si="3"/>
        <v>0</v>
      </c>
      <c r="S28" s="27"/>
      <c r="T28" s="28"/>
      <c r="U28" s="26">
        <f t="shared" si="4"/>
        <v>0</v>
      </c>
      <c r="V28" s="27"/>
      <c r="W28" s="28"/>
      <c r="X28" s="26">
        <f t="shared" si="5"/>
        <v>0</v>
      </c>
      <c r="Y28" s="27"/>
      <c r="Z28" s="28"/>
      <c r="AA28" s="26">
        <f t="shared" si="6"/>
        <v>0</v>
      </c>
      <c r="AB28" s="27"/>
      <c r="AC28" s="28"/>
      <c r="AD28" s="26">
        <f t="shared" si="7"/>
        <v>0</v>
      </c>
      <c r="AE28" s="27"/>
      <c r="AF28" s="28"/>
      <c r="AG28" s="26">
        <f t="shared" si="8"/>
        <v>0</v>
      </c>
      <c r="AH28" s="27"/>
      <c r="AI28" s="28"/>
      <c r="AJ28" s="26">
        <f t="shared" si="9"/>
        <v>0</v>
      </c>
      <c r="AK28" s="27"/>
      <c r="AL28" s="28"/>
      <c r="AM28" s="26">
        <f t="shared" si="10"/>
        <v>0</v>
      </c>
      <c r="AN28" s="27"/>
      <c r="AO28" s="28"/>
      <c r="AP28" s="24">
        <f t="shared" si="11"/>
        <v>0</v>
      </c>
      <c r="AQ28" s="7" t="e">
        <f t="shared" si="0"/>
        <v>#DIV/0!</v>
      </c>
    </row>
    <row r="29" spans="1:43" ht="18" customHeight="1" x14ac:dyDescent="0.15">
      <c r="A29" s="5"/>
      <c r="B29" s="10"/>
      <c r="C29" s="23"/>
      <c r="D29" s="29"/>
      <c r="E29" s="25"/>
      <c r="F29" s="26">
        <f t="shared" si="12"/>
        <v>0</v>
      </c>
      <c r="G29" s="27"/>
      <c r="H29" s="28"/>
      <c r="I29" s="26">
        <f t="shared" si="13"/>
        <v>0</v>
      </c>
      <c r="J29" s="27"/>
      <c r="K29" s="28"/>
      <c r="L29" s="26">
        <f t="shared" si="1"/>
        <v>0</v>
      </c>
      <c r="M29" s="27"/>
      <c r="N29" s="28"/>
      <c r="O29" s="26">
        <f t="shared" si="2"/>
        <v>0</v>
      </c>
      <c r="P29" s="27"/>
      <c r="Q29" s="28"/>
      <c r="R29" s="26">
        <f t="shared" si="3"/>
        <v>0</v>
      </c>
      <c r="S29" s="27"/>
      <c r="T29" s="28"/>
      <c r="U29" s="26">
        <f t="shared" si="4"/>
        <v>0</v>
      </c>
      <c r="V29" s="27"/>
      <c r="W29" s="28"/>
      <c r="X29" s="26">
        <f t="shared" si="5"/>
        <v>0</v>
      </c>
      <c r="Y29" s="27"/>
      <c r="Z29" s="28"/>
      <c r="AA29" s="26">
        <f t="shared" si="6"/>
        <v>0</v>
      </c>
      <c r="AB29" s="27"/>
      <c r="AC29" s="28"/>
      <c r="AD29" s="26">
        <f t="shared" si="7"/>
        <v>0</v>
      </c>
      <c r="AE29" s="27"/>
      <c r="AF29" s="28"/>
      <c r="AG29" s="26">
        <f t="shared" si="8"/>
        <v>0</v>
      </c>
      <c r="AH29" s="27"/>
      <c r="AI29" s="28"/>
      <c r="AJ29" s="26">
        <f t="shared" si="9"/>
        <v>0</v>
      </c>
      <c r="AK29" s="27"/>
      <c r="AL29" s="28"/>
      <c r="AM29" s="26">
        <f t="shared" si="10"/>
        <v>0</v>
      </c>
      <c r="AN29" s="27"/>
      <c r="AO29" s="28"/>
      <c r="AP29" s="29">
        <f t="shared" si="11"/>
        <v>0</v>
      </c>
      <c r="AQ29" s="7" t="e">
        <f t="shared" si="0"/>
        <v>#DIV/0!</v>
      </c>
    </row>
    <row r="30" spans="1:43" ht="18" customHeight="1" x14ac:dyDescent="0.15">
      <c r="A30" s="5"/>
      <c r="B30" s="10"/>
      <c r="C30" s="23"/>
      <c r="D30" s="29"/>
      <c r="E30" s="25"/>
      <c r="F30" s="26">
        <f t="shared" si="12"/>
        <v>0</v>
      </c>
      <c r="G30" s="27"/>
      <c r="H30" s="28"/>
      <c r="I30" s="26">
        <f t="shared" si="13"/>
        <v>0</v>
      </c>
      <c r="J30" s="27"/>
      <c r="K30" s="28"/>
      <c r="L30" s="26">
        <f t="shared" si="1"/>
        <v>0</v>
      </c>
      <c r="M30" s="27"/>
      <c r="N30" s="28"/>
      <c r="O30" s="26">
        <f t="shared" si="2"/>
        <v>0</v>
      </c>
      <c r="P30" s="27"/>
      <c r="Q30" s="28"/>
      <c r="R30" s="26">
        <f t="shared" si="3"/>
        <v>0</v>
      </c>
      <c r="S30" s="27"/>
      <c r="T30" s="28"/>
      <c r="U30" s="26">
        <f t="shared" si="4"/>
        <v>0</v>
      </c>
      <c r="V30" s="27"/>
      <c r="W30" s="28"/>
      <c r="X30" s="26">
        <f t="shared" si="5"/>
        <v>0</v>
      </c>
      <c r="Y30" s="27"/>
      <c r="Z30" s="28"/>
      <c r="AA30" s="26">
        <f t="shared" si="6"/>
        <v>0</v>
      </c>
      <c r="AB30" s="27"/>
      <c r="AC30" s="28"/>
      <c r="AD30" s="26">
        <f t="shared" si="7"/>
        <v>0</v>
      </c>
      <c r="AE30" s="27"/>
      <c r="AF30" s="28"/>
      <c r="AG30" s="26">
        <f t="shared" si="8"/>
        <v>0</v>
      </c>
      <c r="AH30" s="27"/>
      <c r="AI30" s="28"/>
      <c r="AJ30" s="26">
        <f t="shared" si="9"/>
        <v>0</v>
      </c>
      <c r="AK30" s="27"/>
      <c r="AL30" s="28"/>
      <c r="AM30" s="26">
        <f t="shared" si="10"/>
        <v>0</v>
      </c>
      <c r="AN30" s="27"/>
      <c r="AO30" s="28"/>
      <c r="AP30" s="29">
        <f t="shared" si="11"/>
        <v>0</v>
      </c>
      <c r="AQ30" s="7" t="e">
        <f t="shared" si="0"/>
        <v>#DIV/0!</v>
      </c>
    </row>
    <row r="31" spans="1:43" ht="18" customHeight="1" thickBot="1" x14ac:dyDescent="0.2">
      <c r="A31" s="5"/>
      <c r="B31" s="11"/>
      <c r="C31" s="18"/>
      <c r="D31" s="30"/>
      <c r="E31" s="20"/>
      <c r="F31" s="20">
        <f t="shared" si="12"/>
        <v>0</v>
      </c>
      <c r="G31" s="31"/>
      <c r="H31" s="32"/>
      <c r="I31" s="20">
        <f t="shared" si="13"/>
        <v>0</v>
      </c>
      <c r="J31" s="31"/>
      <c r="K31" s="32"/>
      <c r="L31" s="20">
        <f t="shared" si="1"/>
        <v>0</v>
      </c>
      <c r="M31" s="31"/>
      <c r="N31" s="32"/>
      <c r="O31" s="20">
        <f t="shared" si="2"/>
        <v>0</v>
      </c>
      <c r="P31" s="31"/>
      <c r="Q31" s="32"/>
      <c r="R31" s="20">
        <f t="shared" si="3"/>
        <v>0</v>
      </c>
      <c r="S31" s="31"/>
      <c r="T31" s="32"/>
      <c r="U31" s="20">
        <f t="shared" si="4"/>
        <v>0</v>
      </c>
      <c r="V31" s="31"/>
      <c r="W31" s="32"/>
      <c r="X31" s="20">
        <f t="shared" si="5"/>
        <v>0</v>
      </c>
      <c r="Y31" s="31"/>
      <c r="Z31" s="32"/>
      <c r="AA31" s="20">
        <f t="shared" si="6"/>
        <v>0</v>
      </c>
      <c r="AB31" s="31"/>
      <c r="AC31" s="32"/>
      <c r="AD31" s="20">
        <f t="shared" si="7"/>
        <v>0</v>
      </c>
      <c r="AE31" s="31"/>
      <c r="AF31" s="32"/>
      <c r="AG31" s="20">
        <f t="shared" si="8"/>
        <v>0</v>
      </c>
      <c r="AH31" s="31"/>
      <c r="AI31" s="32"/>
      <c r="AJ31" s="20">
        <f t="shared" si="9"/>
        <v>0</v>
      </c>
      <c r="AK31" s="31"/>
      <c r="AL31" s="32"/>
      <c r="AM31" s="20">
        <f t="shared" si="10"/>
        <v>0</v>
      </c>
      <c r="AN31" s="31"/>
      <c r="AO31" s="32"/>
      <c r="AP31" s="30">
        <f t="shared" si="11"/>
        <v>0</v>
      </c>
      <c r="AQ31" s="6" t="e">
        <f t="shared" si="0"/>
        <v>#DIV/0!</v>
      </c>
    </row>
    <row r="32" spans="1:43" ht="18" customHeight="1" thickTop="1" x14ac:dyDescent="0.15">
      <c r="B32" s="12" t="s">
        <v>33</v>
      </c>
      <c r="C32" s="33">
        <f t="shared" ref="C32:H32" si="14">SUM(C12:C31)</f>
        <v>3253</v>
      </c>
      <c r="D32" s="34">
        <f t="shared" si="14"/>
        <v>850</v>
      </c>
      <c r="E32" s="35">
        <f t="shared" si="14"/>
        <v>3400</v>
      </c>
      <c r="F32" s="35">
        <f t="shared" si="14"/>
        <v>131</v>
      </c>
      <c r="G32" s="36">
        <f t="shared" si="14"/>
        <v>0</v>
      </c>
      <c r="H32" s="37">
        <f t="shared" si="14"/>
        <v>0</v>
      </c>
      <c r="I32" s="35">
        <f t="shared" ref="I32:N32" si="15">SUM(I12:I31)</f>
        <v>94</v>
      </c>
      <c r="J32" s="36">
        <f t="shared" si="15"/>
        <v>0</v>
      </c>
      <c r="K32" s="37">
        <f t="shared" si="15"/>
        <v>0</v>
      </c>
      <c r="L32" s="35">
        <f t="shared" si="15"/>
        <v>0</v>
      </c>
      <c r="M32" s="36">
        <f t="shared" si="15"/>
        <v>0</v>
      </c>
      <c r="N32" s="37">
        <f t="shared" si="15"/>
        <v>0</v>
      </c>
      <c r="O32" s="35">
        <f t="shared" ref="O32:T32" si="16">SUM(O12:O31)</f>
        <v>0</v>
      </c>
      <c r="P32" s="36">
        <f t="shared" si="16"/>
        <v>0</v>
      </c>
      <c r="Q32" s="37">
        <f t="shared" si="16"/>
        <v>0</v>
      </c>
      <c r="R32" s="35">
        <f t="shared" si="16"/>
        <v>0</v>
      </c>
      <c r="S32" s="36">
        <f t="shared" si="16"/>
        <v>0</v>
      </c>
      <c r="T32" s="37">
        <f t="shared" si="16"/>
        <v>0</v>
      </c>
      <c r="U32" s="35">
        <f t="shared" ref="U32:AI32" si="17">SUM(U12:U31)</f>
        <v>0</v>
      </c>
      <c r="V32" s="36">
        <f t="shared" si="17"/>
        <v>0</v>
      </c>
      <c r="W32" s="37">
        <f t="shared" si="17"/>
        <v>0</v>
      </c>
      <c r="X32" s="35">
        <f t="shared" si="17"/>
        <v>0</v>
      </c>
      <c r="Y32" s="36">
        <f t="shared" si="17"/>
        <v>0</v>
      </c>
      <c r="Z32" s="37">
        <f t="shared" si="17"/>
        <v>0</v>
      </c>
      <c r="AA32" s="35">
        <f t="shared" si="17"/>
        <v>0</v>
      </c>
      <c r="AB32" s="36">
        <f t="shared" si="17"/>
        <v>0</v>
      </c>
      <c r="AC32" s="37">
        <f t="shared" si="17"/>
        <v>0</v>
      </c>
      <c r="AD32" s="35">
        <f t="shared" si="17"/>
        <v>0</v>
      </c>
      <c r="AE32" s="36">
        <f t="shared" si="17"/>
        <v>0</v>
      </c>
      <c r="AF32" s="37">
        <f t="shared" si="17"/>
        <v>0</v>
      </c>
      <c r="AG32" s="35">
        <f t="shared" si="17"/>
        <v>0</v>
      </c>
      <c r="AH32" s="36">
        <f t="shared" si="17"/>
        <v>0</v>
      </c>
      <c r="AI32" s="37">
        <f t="shared" si="17"/>
        <v>0</v>
      </c>
      <c r="AJ32" s="35">
        <f t="shared" ref="AJ32:AO32" si="18">SUM(AJ12:AJ31)</f>
        <v>0</v>
      </c>
      <c r="AK32" s="36">
        <f t="shared" si="18"/>
        <v>0</v>
      </c>
      <c r="AL32" s="37">
        <f t="shared" si="18"/>
        <v>0</v>
      </c>
      <c r="AM32" s="35">
        <f t="shared" si="18"/>
        <v>0</v>
      </c>
      <c r="AN32" s="36">
        <f t="shared" si="18"/>
        <v>0</v>
      </c>
      <c r="AO32" s="37">
        <f t="shared" si="18"/>
        <v>0</v>
      </c>
      <c r="AP32" s="34">
        <f>SUM(AP12:AP31)</f>
        <v>131</v>
      </c>
      <c r="AQ32" s="8">
        <f t="shared" si="0"/>
        <v>3.8529411764705881E-2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19685039370078741" header="0.31496062992125984" footer="0.19685039370078741"/>
  <pageSetup paperSize="9" scale="57" fitToHeight="0"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I134"/>
  <sheetViews>
    <sheetView showZeros="0" view="pageBreakPreview" topLeftCell="A41" zoomScaleNormal="100" zoomScaleSheetLayoutView="100" workbookViewId="0">
      <selection activeCell="L105" sqref="L105"/>
    </sheetView>
  </sheetViews>
  <sheetFormatPr defaultColWidth="11.375" defaultRowHeight="18.75" customHeight="1" x14ac:dyDescent="0.15"/>
  <cols>
    <col min="1" max="1" width="2.75" style="49" customWidth="1"/>
    <col min="2" max="2" width="16.625" style="39" customWidth="1"/>
    <col min="3" max="3" width="8.875" style="39" customWidth="1"/>
    <col min="4" max="4" width="2.25" style="39" customWidth="1"/>
    <col min="5" max="5" width="16.625" style="39" customWidth="1"/>
    <col min="6" max="6" width="4.375" style="39" customWidth="1"/>
    <col min="7" max="7" width="9" style="39" customWidth="1"/>
    <col min="8" max="8" width="16.625" style="39" customWidth="1"/>
    <col min="9" max="9" width="12.125" style="39" customWidth="1"/>
    <col min="10" max="16384" width="11.375" style="1"/>
  </cols>
  <sheetData>
    <row r="1" spans="1:9" ht="18.75" customHeight="1" x14ac:dyDescent="0.15">
      <c r="A1" s="49" t="s">
        <v>65</v>
      </c>
      <c r="I1" s="41" t="s">
        <v>105</v>
      </c>
    </row>
    <row r="2" spans="1:9" ht="18.75" customHeight="1" x14ac:dyDescent="0.15">
      <c r="G2" s="41" t="s">
        <v>108</v>
      </c>
      <c r="H2" s="85" t="str">
        <f>'様式１　プログラムを構成する授業科目'!C2</f>
        <v>広島経済大学</v>
      </c>
      <c r="I2" s="87"/>
    </row>
    <row r="3" spans="1:9" ht="18.75" customHeight="1" x14ac:dyDescent="0.15">
      <c r="G3" s="41"/>
      <c r="H3" s="46"/>
      <c r="I3" s="46"/>
    </row>
    <row r="4" spans="1:9" ht="18.600000000000001" customHeight="1" x14ac:dyDescent="0.15">
      <c r="A4" s="89" t="s">
        <v>36</v>
      </c>
      <c r="B4" s="89"/>
      <c r="C4" s="89"/>
      <c r="D4" s="89"/>
      <c r="E4" s="89"/>
      <c r="F4" s="89"/>
      <c r="G4" s="89"/>
      <c r="H4" s="89"/>
      <c r="I4" s="89"/>
    </row>
    <row r="5" spans="1:9" ht="13.15" customHeight="1" x14ac:dyDescent="0.15">
      <c r="B5" s="44"/>
      <c r="C5" s="44"/>
      <c r="D5" s="44"/>
      <c r="E5" s="44"/>
      <c r="F5" s="44"/>
      <c r="G5" s="44"/>
      <c r="H5" s="44"/>
      <c r="I5" s="44"/>
    </row>
    <row r="6" spans="1:9" ht="18" customHeight="1" x14ac:dyDescent="0.15">
      <c r="A6" s="39" t="s">
        <v>0</v>
      </c>
      <c r="B6" s="46" t="s">
        <v>91</v>
      </c>
      <c r="C6" s="172" t="s">
        <v>92</v>
      </c>
      <c r="D6" s="172"/>
      <c r="E6" s="40">
        <v>103</v>
      </c>
      <c r="F6" s="44" t="s">
        <v>1</v>
      </c>
      <c r="G6" s="44" t="s">
        <v>2</v>
      </c>
      <c r="H6" s="40">
        <v>109</v>
      </c>
      <c r="I6" s="46" t="s">
        <v>1</v>
      </c>
    </row>
    <row r="7" spans="1:9" ht="12" customHeight="1" x14ac:dyDescent="0.15">
      <c r="C7" s="50"/>
      <c r="D7" s="50"/>
      <c r="E7" s="50"/>
      <c r="F7" s="50"/>
      <c r="G7" s="50"/>
      <c r="H7" s="50"/>
      <c r="I7" s="51"/>
    </row>
    <row r="8" spans="1:9" ht="18" customHeight="1" x14ac:dyDescent="0.15">
      <c r="A8" s="39" t="s">
        <v>3</v>
      </c>
      <c r="B8" s="46" t="s">
        <v>93</v>
      </c>
      <c r="E8" s="44"/>
      <c r="F8" s="44"/>
      <c r="G8" s="44"/>
      <c r="H8" s="40">
        <v>3</v>
      </c>
      <c r="I8" s="46" t="s">
        <v>1</v>
      </c>
    </row>
    <row r="9" spans="1:9" ht="9" customHeight="1" x14ac:dyDescent="0.15">
      <c r="B9" s="44"/>
      <c r="C9" s="44"/>
      <c r="D9" s="44"/>
      <c r="E9" s="44"/>
      <c r="F9" s="44"/>
      <c r="G9" s="44"/>
      <c r="H9" s="44"/>
      <c r="I9" s="44"/>
    </row>
    <row r="10" spans="1:9" ht="18" customHeight="1" x14ac:dyDescent="0.15">
      <c r="A10" s="39" t="s">
        <v>4</v>
      </c>
      <c r="B10" s="46" t="s">
        <v>94</v>
      </c>
      <c r="C10" s="44"/>
      <c r="D10" s="44"/>
      <c r="E10" s="44"/>
      <c r="F10" s="44"/>
      <c r="G10" s="44"/>
      <c r="H10" s="44"/>
      <c r="I10" s="44"/>
    </row>
    <row r="11" spans="1:9" ht="18" customHeight="1" x14ac:dyDescent="0.15">
      <c r="B11" s="41" t="s">
        <v>43</v>
      </c>
      <c r="C11" s="165" t="s">
        <v>137</v>
      </c>
      <c r="D11" s="168"/>
      <c r="E11" s="169"/>
      <c r="F11" s="51"/>
      <c r="G11" s="41" t="s">
        <v>10</v>
      </c>
      <c r="H11" s="170" t="s">
        <v>138</v>
      </c>
      <c r="I11" s="171"/>
    </row>
    <row r="12" spans="1:9" ht="10.15" customHeight="1" x14ac:dyDescent="0.15">
      <c r="B12" s="41"/>
      <c r="C12" s="46"/>
      <c r="D12" s="51"/>
      <c r="E12" s="51"/>
      <c r="F12" s="51"/>
      <c r="G12" s="41"/>
      <c r="H12" s="46"/>
      <c r="I12" s="51"/>
    </row>
    <row r="13" spans="1:9" ht="18" customHeight="1" x14ac:dyDescent="0.15">
      <c r="A13" s="39" t="s">
        <v>7</v>
      </c>
      <c r="B13" s="46" t="s">
        <v>88</v>
      </c>
      <c r="C13" s="44"/>
      <c r="D13" s="44"/>
      <c r="E13" s="44"/>
      <c r="F13" s="44"/>
      <c r="G13" s="44"/>
      <c r="H13" s="44"/>
      <c r="I13" s="44"/>
    </row>
    <row r="14" spans="1:9" ht="18" customHeight="1" x14ac:dyDescent="0.15">
      <c r="B14" s="165" t="s">
        <v>143</v>
      </c>
      <c r="C14" s="166"/>
      <c r="D14" s="166"/>
      <c r="E14" s="166"/>
      <c r="F14" s="166"/>
      <c r="G14" s="166"/>
      <c r="H14" s="166"/>
      <c r="I14" s="167"/>
    </row>
    <row r="15" spans="1:9" ht="9" customHeight="1" x14ac:dyDescent="0.15">
      <c r="B15" s="44"/>
      <c r="C15" s="44"/>
      <c r="D15" s="44"/>
      <c r="E15" s="44"/>
      <c r="F15" s="44"/>
      <c r="G15" s="44"/>
      <c r="H15" s="44"/>
      <c r="I15" s="44"/>
    </row>
    <row r="16" spans="1:9" ht="18" customHeight="1" x14ac:dyDescent="0.15">
      <c r="B16" s="41" t="s">
        <v>43</v>
      </c>
      <c r="C16" s="165" t="s">
        <v>140</v>
      </c>
      <c r="D16" s="168"/>
      <c r="E16" s="169"/>
      <c r="F16" s="51"/>
      <c r="G16" s="41" t="s">
        <v>10</v>
      </c>
      <c r="H16" s="170" t="s">
        <v>141</v>
      </c>
      <c r="I16" s="171"/>
    </row>
    <row r="17" spans="1:9" ht="18" customHeight="1" x14ac:dyDescent="0.15">
      <c r="B17" s="44"/>
      <c r="C17" s="44"/>
      <c r="D17" s="44"/>
      <c r="E17" s="44"/>
      <c r="F17" s="44"/>
      <c r="G17" s="44"/>
      <c r="H17" s="44"/>
      <c r="I17" s="44"/>
    </row>
    <row r="18" spans="1:9" ht="18.75" customHeight="1" x14ac:dyDescent="0.15">
      <c r="A18" s="39" t="s">
        <v>5</v>
      </c>
      <c r="B18" s="39" t="s">
        <v>42</v>
      </c>
      <c r="I18" s="44"/>
    </row>
    <row r="19" spans="1:9" ht="18.75" customHeight="1" x14ac:dyDescent="0.15">
      <c r="A19" s="39"/>
      <c r="B19" s="148" t="s">
        <v>159</v>
      </c>
      <c r="C19" s="149"/>
      <c r="D19" s="149"/>
      <c r="E19" s="149"/>
      <c r="F19" s="149"/>
      <c r="G19" s="149"/>
      <c r="H19" s="149"/>
      <c r="I19" s="150"/>
    </row>
    <row r="20" spans="1:9" ht="7.5" customHeight="1" x14ac:dyDescent="0.15">
      <c r="B20" s="44"/>
      <c r="C20" s="44"/>
      <c r="D20" s="44"/>
      <c r="E20" s="44"/>
      <c r="F20" s="44"/>
      <c r="G20" s="44"/>
      <c r="H20" s="44"/>
      <c r="I20" s="44"/>
    </row>
    <row r="21" spans="1:9" ht="18.75" customHeight="1" x14ac:dyDescent="0.15">
      <c r="A21" s="39" t="s">
        <v>8</v>
      </c>
      <c r="B21" s="39" t="s">
        <v>25</v>
      </c>
    </row>
    <row r="22" spans="1:9" ht="18.75" customHeight="1" x14ac:dyDescent="0.15">
      <c r="A22" s="48"/>
      <c r="B22" s="145" t="s">
        <v>151</v>
      </c>
      <c r="C22" s="146"/>
      <c r="D22" s="146"/>
      <c r="E22" s="146"/>
      <c r="F22" s="146"/>
      <c r="G22" s="146"/>
      <c r="H22" s="146"/>
      <c r="I22" s="72"/>
    </row>
    <row r="23" spans="1:9" ht="18.75" customHeight="1" x14ac:dyDescent="0.15">
      <c r="A23" s="48"/>
      <c r="B23" s="151"/>
      <c r="C23" s="152"/>
      <c r="D23" s="152"/>
      <c r="E23" s="152"/>
      <c r="F23" s="152"/>
      <c r="G23" s="152"/>
      <c r="H23" s="152"/>
      <c r="I23" s="75"/>
    </row>
    <row r="24" spans="1:9" ht="18.75" customHeight="1" x14ac:dyDescent="0.15">
      <c r="A24" s="48"/>
      <c r="B24" s="151"/>
      <c r="C24" s="152"/>
      <c r="D24" s="152"/>
      <c r="E24" s="152"/>
      <c r="F24" s="152"/>
      <c r="G24" s="152"/>
      <c r="H24" s="152"/>
      <c r="I24" s="75"/>
    </row>
    <row r="25" spans="1:9" ht="18.75" customHeight="1" x14ac:dyDescent="0.15">
      <c r="A25" s="48"/>
      <c r="B25" s="151"/>
      <c r="C25" s="152"/>
      <c r="D25" s="152"/>
      <c r="E25" s="152"/>
      <c r="F25" s="152"/>
      <c r="G25" s="152"/>
      <c r="H25" s="152"/>
      <c r="I25" s="75"/>
    </row>
    <row r="26" spans="1:9" ht="18.75" customHeight="1" x14ac:dyDescent="0.15">
      <c r="A26" s="48"/>
      <c r="B26" s="151"/>
      <c r="C26" s="152"/>
      <c r="D26" s="152"/>
      <c r="E26" s="152"/>
      <c r="F26" s="152"/>
      <c r="G26" s="152"/>
      <c r="H26" s="152"/>
      <c r="I26" s="75"/>
    </row>
    <row r="27" spans="1:9" ht="18.75" customHeight="1" x14ac:dyDescent="0.15">
      <c r="A27" s="48"/>
      <c r="B27" s="151"/>
      <c r="C27" s="152"/>
      <c r="D27" s="152"/>
      <c r="E27" s="152"/>
      <c r="F27" s="152"/>
      <c r="G27" s="152"/>
      <c r="H27" s="152"/>
      <c r="I27" s="75"/>
    </row>
    <row r="28" spans="1:9" ht="18.75" customHeight="1" x14ac:dyDescent="0.15">
      <c r="A28" s="48"/>
      <c r="B28" s="151"/>
      <c r="C28" s="152"/>
      <c r="D28" s="152"/>
      <c r="E28" s="152"/>
      <c r="F28" s="152"/>
      <c r="G28" s="152"/>
      <c r="H28" s="152"/>
      <c r="I28" s="75"/>
    </row>
    <row r="29" spans="1:9" ht="18.75" customHeight="1" x14ac:dyDescent="0.15">
      <c r="A29" s="48"/>
      <c r="B29" s="151"/>
      <c r="C29" s="152"/>
      <c r="D29" s="152"/>
      <c r="E29" s="152"/>
      <c r="F29" s="152"/>
      <c r="G29" s="152"/>
      <c r="H29" s="152"/>
      <c r="I29" s="75"/>
    </row>
    <row r="30" spans="1:9" ht="18.75" customHeight="1" x14ac:dyDescent="0.15">
      <c r="A30" s="48"/>
      <c r="B30" s="73"/>
      <c r="C30" s="74"/>
      <c r="D30" s="74"/>
      <c r="E30" s="74"/>
      <c r="F30" s="74"/>
      <c r="G30" s="74"/>
      <c r="H30" s="74"/>
      <c r="I30" s="75"/>
    </row>
    <row r="31" spans="1:9" ht="18.75" customHeight="1" x14ac:dyDescent="0.15">
      <c r="A31" s="48"/>
      <c r="B31" s="73"/>
      <c r="C31" s="74"/>
      <c r="D31" s="74"/>
      <c r="E31" s="74"/>
      <c r="F31" s="74"/>
      <c r="G31" s="74"/>
      <c r="H31" s="74"/>
      <c r="I31" s="75"/>
    </row>
    <row r="32" spans="1:9" ht="18.75" customHeight="1" x14ac:dyDescent="0.15">
      <c r="A32" s="48"/>
      <c r="B32" s="76"/>
      <c r="C32" s="77"/>
      <c r="D32" s="77"/>
      <c r="E32" s="77"/>
      <c r="F32" s="77"/>
      <c r="G32" s="77"/>
      <c r="H32" s="77"/>
      <c r="I32" s="78"/>
    </row>
    <row r="33" spans="1:9" ht="7.5" customHeight="1" x14ac:dyDescent="0.15">
      <c r="A33" s="48"/>
      <c r="B33" s="48"/>
      <c r="C33" s="48"/>
      <c r="D33" s="48"/>
      <c r="E33" s="48"/>
      <c r="F33" s="48"/>
      <c r="G33" s="48"/>
      <c r="H33" s="48"/>
      <c r="I33" s="48"/>
    </row>
    <row r="34" spans="1:9" ht="18.75" customHeight="1" x14ac:dyDescent="0.15">
      <c r="A34" s="52" t="s">
        <v>6</v>
      </c>
      <c r="B34" s="52" t="s">
        <v>9</v>
      </c>
      <c r="C34" s="46"/>
      <c r="D34" s="52"/>
      <c r="E34" s="52"/>
      <c r="F34" s="52"/>
      <c r="G34" s="52"/>
      <c r="H34" s="52"/>
      <c r="I34" s="52"/>
    </row>
    <row r="35" spans="1:9" ht="18.75" customHeight="1" x14ac:dyDescent="0.15">
      <c r="A35" s="48"/>
      <c r="B35" s="153" t="s">
        <v>168</v>
      </c>
      <c r="C35" s="154"/>
      <c r="D35" s="154"/>
      <c r="E35" s="154"/>
      <c r="F35" s="154"/>
      <c r="G35" s="154"/>
      <c r="H35" s="154"/>
      <c r="I35" s="155"/>
    </row>
    <row r="36" spans="1:9" ht="18.75" customHeight="1" x14ac:dyDescent="0.15">
      <c r="A36" s="48"/>
      <c r="B36" s="156"/>
      <c r="C36" s="157"/>
      <c r="D36" s="157"/>
      <c r="E36" s="157"/>
      <c r="F36" s="157"/>
      <c r="G36" s="157"/>
      <c r="H36" s="157"/>
      <c r="I36" s="158"/>
    </row>
    <row r="37" spans="1:9" ht="18.75" customHeight="1" x14ac:dyDescent="0.15">
      <c r="A37" s="48"/>
      <c r="B37" s="156"/>
      <c r="C37" s="157"/>
      <c r="D37" s="157"/>
      <c r="E37" s="157"/>
      <c r="F37" s="157"/>
      <c r="G37" s="157"/>
      <c r="H37" s="157"/>
      <c r="I37" s="158"/>
    </row>
    <row r="38" spans="1:9" ht="18.75" customHeight="1" x14ac:dyDescent="0.15">
      <c r="A38" s="48"/>
      <c r="B38" s="156"/>
      <c r="C38" s="157"/>
      <c r="D38" s="157"/>
      <c r="E38" s="157"/>
      <c r="F38" s="157"/>
      <c r="G38" s="157"/>
      <c r="H38" s="157"/>
      <c r="I38" s="158"/>
    </row>
    <row r="39" spans="1:9" ht="18.75" customHeight="1" x14ac:dyDescent="0.15">
      <c r="A39" s="48"/>
      <c r="B39" s="156"/>
      <c r="C39" s="157"/>
      <c r="D39" s="157"/>
      <c r="E39" s="157"/>
      <c r="F39" s="157"/>
      <c r="G39" s="157"/>
      <c r="H39" s="157"/>
      <c r="I39" s="158"/>
    </row>
    <row r="40" spans="1:9" ht="18.75" customHeight="1" x14ac:dyDescent="0.15">
      <c r="A40" s="48"/>
      <c r="B40" s="156"/>
      <c r="C40" s="157"/>
      <c r="D40" s="157"/>
      <c r="E40" s="157"/>
      <c r="F40" s="157"/>
      <c r="G40" s="157"/>
      <c r="H40" s="157"/>
      <c r="I40" s="158"/>
    </row>
    <row r="41" spans="1:9" ht="18.75" customHeight="1" x14ac:dyDescent="0.15">
      <c r="A41" s="48"/>
      <c r="B41" s="156"/>
      <c r="C41" s="157"/>
      <c r="D41" s="157"/>
      <c r="E41" s="157"/>
      <c r="F41" s="157"/>
      <c r="G41" s="157"/>
      <c r="H41" s="157"/>
      <c r="I41" s="158"/>
    </row>
    <row r="42" spans="1:9" ht="18.75" customHeight="1" x14ac:dyDescent="0.15">
      <c r="A42" s="48"/>
      <c r="B42" s="156"/>
      <c r="C42" s="157"/>
      <c r="D42" s="157"/>
      <c r="E42" s="157"/>
      <c r="F42" s="157"/>
      <c r="G42" s="157"/>
      <c r="H42" s="157"/>
      <c r="I42" s="158"/>
    </row>
    <row r="43" spans="1:9" ht="18.75" customHeight="1" x14ac:dyDescent="0.15">
      <c r="A43" s="48"/>
      <c r="B43" s="156"/>
      <c r="C43" s="157"/>
      <c r="D43" s="157"/>
      <c r="E43" s="157"/>
      <c r="F43" s="157"/>
      <c r="G43" s="157"/>
      <c r="H43" s="157"/>
      <c r="I43" s="158"/>
    </row>
    <row r="44" spans="1:9" ht="18.75" customHeight="1" x14ac:dyDescent="0.15">
      <c r="A44" s="48"/>
      <c r="B44" s="156"/>
      <c r="C44" s="157"/>
      <c r="D44" s="157"/>
      <c r="E44" s="157"/>
      <c r="F44" s="157"/>
      <c r="G44" s="157"/>
      <c r="H44" s="157"/>
      <c r="I44" s="158"/>
    </row>
    <row r="45" spans="1:9" ht="18.75" customHeight="1" x14ac:dyDescent="0.15">
      <c r="A45" s="48"/>
      <c r="B45" s="156"/>
      <c r="C45" s="157"/>
      <c r="D45" s="157"/>
      <c r="E45" s="157"/>
      <c r="F45" s="157"/>
      <c r="G45" s="157"/>
      <c r="H45" s="157"/>
      <c r="I45" s="158"/>
    </row>
    <row r="46" spans="1:9" ht="18.75" customHeight="1" x14ac:dyDescent="0.15">
      <c r="A46" s="48"/>
      <c r="B46" s="159"/>
      <c r="C46" s="160"/>
      <c r="D46" s="160"/>
      <c r="E46" s="160"/>
      <c r="F46" s="160"/>
      <c r="G46" s="160"/>
      <c r="H46" s="160"/>
      <c r="I46" s="161"/>
    </row>
    <row r="47" spans="1:9" ht="7.5" customHeight="1" x14ac:dyDescent="0.15">
      <c r="A47" s="53"/>
      <c r="B47" s="53"/>
      <c r="C47" s="53"/>
      <c r="D47" s="53"/>
      <c r="E47" s="53"/>
      <c r="F47" s="53"/>
      <c r="G47" s="53"/>
      <c r="H47" s="53"/>
      <c r="I47" s="53"/>
    </row>
    <row r="48" spans="1:9" ht="18.75" customHeight="1" x14ac:dyDescent="0.15">
      <c r="A48" s="39" t="s">
        <v>31</v>
      </c>
      <c r="B48" s="39" t="s">
        <v>165</v>
      </c>
    </row>
    <row r="49" spans="1:9" s="3" customFormat="1" ht="18.75" customHeight="1" x14ac:dyDescent="0.15">
      <c r="A49" s="44"/>
      <c r="B49" s="54" t="s">
        <v>89</v>
      </c>
      <c r="C49" s="134">
        <f>'様式２ 履修者等数の実績'!AQ32</f>
        <v>3.8529411764705881E-2</v>
      </c>
      <c r="D49" s="134"/>
      <c r="E49" s="54" t="s">
        <v>66</v>
      </c>
      <c r="F49" s="134">
        <v>0.1</v>
      </c>
      <c r="G49" s="134"/>
      <c r="H49" s="54" t="s">
        <v>67</v>
      </c>
      <c r="I49" s="55">
        <v>0.19</v>
      </c>
    </row>
    <row r="50" spans="1:9" s="3" customFormat="1" ht="18.75" customHeight="1" x14ac:dyDescent="0.15">
      <c r="A50" s="44"/>
      <c r="B50" s="56" t="s">
        <v>68</v>
      </c>
      <c r="C50" s="135">
        <v>0.3</v>
      </c>
      <c r="D50" s="135"/>
      <c r="E50" s="56" t="s">
        <v>90</v>
      </c>
      <c r="F50" s="135">
        <v>0.51</v>
      </c>
      <c r="G50" s="135"/>
      <c r="H50" s="56" t="s">
        <v>69</v>
      </c>
      <c r="I50" s="57">
        <f>'様式２ 履修者等数の実績'!E32</f>
        <v>3400</v>
      </c>
    </row>
    <row r="51" spans="1:9" ht="18.75" customHeight="1" x14ac:dyDescent="0.15">
      <c r="A51" s="39"/>
      <c r="B51" s="162" t="s">
        <v>70</v>
      </c>
      <c r="C51" s="163"/>
      <c r="D51" s="163"/>
      <c r="E51" s="163"/>
      <c r="F51" s="163"/>
      <c r="G51" s="163"/>
      <c r="H51" s="163"/>
      <c r="I51" s="164"/>
    </row>
    <row r="52" spans="1:9" ht="18.75" customHeight="1" x14ac:dyDescent="0.15">
      <c r="A52" s="39"/>
      <c r="B52" s="136" t="s">
        <v>161</v>
      </c>
      <c r="C52" s="137"/>
      <c r="D52" s="137"/>
      <c r="E52" s="137"/>
      <c r="F52" s="137"/>
      <c r="G52" s="137"/>
      <c r="H52" s="137"/>
      <c r="I52" s="138"/>
    </row>
    <row r="53" spans="1:9" ht="18.75" customHeight="1" x14ac:dyDescent="0.15">
      <c r="A53" s="39"/>
      <c r="B53" s="139"/>
      <c r="C53" s="140"/>
      <c r="D53" s="140"/>
      <c r="E53" s="140"/>
      <c r="F53" s="140"/>
      <c r="G53" s="140"/>
      <c r="H53" s="140"/>
      <c r="I53" s="141"/>
    </row>
    <row r="54" spans="1:9" ht="18.75" customHeight="1" x14ac:dyDescent="0.15">
      <c r="A54" s="39"/>
      <c r="B54" s="139"/>
      <c r="C54" s="140"/>
      <c r="D54" s="140"/>
      <c r="E54" s="140"/>
      <c r="F54" s="140"/>
      <c r="G54" s="140"/>
      <c r="H54" s="140"/>
      <c r="I54" s="141"/>
    </row>
    <row r="55" spans="1:9" ht="18.75" customHeight="1" x14ac:dyDescent="0.15">
      <c r="A55" s="39"/>
      <c r="B55" s="139"/>
      <c r="C55" s="140"/>
      <c r="D55" s="140"/>
      <c r="E55" s="140"/>
      <c r="F55" s="140"/>
      <c r="G55" s="140"/>
      <c r="H55" s="140"/>
      <c r="I55" s="141"/>
    </row>
    <row r="56" spans="1:9" ht="18.75" customHeight="1" x14ac:dyDescent="0.15">
      <c r="A56" s="39"/>
      <c r="B56" s="139"/>
      <c r="C56" s="140"/>
      <c r="D56" s="140"/>
      <c r="E56" s="140"/>
      <c r="F56" s="140"/>
      <c r="G56" s="140"/>
      <c r="H56" s="140"/>
      <c r="I56" s="141"/>
    </row>
    <row r="57" spans="1:9" ht="18.75" customHeight="1" x14ac:dyDescent="0.15">
      <c r="A57" s="39"/>
      <c r="B57" s="139"/>
      <c r="C57" s="140"/>
      <c r="D57" s="140"/>
      <c r="E57" s="140"/>
      <c r="F57" s="140"/>
      <c r="G57" s="140"/>
      <c r="H57" s="140"/>
      <c r="I57" s="141"/>
    </row>
    <row r="58" spans="1:9" ht="18.75" customHeight="1" x14ac:dyDescent="0.15">
      <c r="A58" s="39"/>
      <c r="B58" s="139"/>
      <c r="C58" s="140"/>
      <c r="D58" s="140"/>
      <c r="E58" s="140"/>
      <c r="F58" s="140"/>
      <c r="G58" s="140"/>
      <c r="H58" s="140"/>
      <c r="I58" s="141"/>
    </row>
    <row r="59" spans="1:9" ht="18.75" customHeight="1" x14ac:dyDescent="0.15">
      <c r="A59" s="39"/>
      <c r="B59" s="139"/>
      <c r="C59" s="140"/>
      <c r="D59" s="140"/>
      <c r="E59" s="140"/>
      <c r="F59" s="140"/>
      <c r="G59" s="140"/>
      <c r="H59" s="140"/>
      <c r="I59" s="141"/>
    </row>
    <row r="60" spans="1:9" ht="18.75" customHeight="1" x14ac:dyDescent="0.15">
      <c r="A60" s="39"/>
      <c r="B60" s="139"/>
      <c r="C60" s="140"/>
      <c r="D60" s="140"/>
      <c r="E60" s="140"/>
      <c r="F60" s="140"/>
      <c r="G60" s="140"/>
      <c r="H60" s="140"/>
      <c r="I60" s="141"/>
    </row>
    <row r="61" spans="1:9" ht="18.75" customHeight="1" x14ac:dyDescent="0.15">
      <c r="A61" s="39"/>
      <c r="B61" s="139"/>
      <c r="C61" s="140"/>
      <c r="D61" s="140"/>
      <c r="E61" s="140"/>
      <c r="F61" s="140"/>
      <c r="G61" s="140"/>
      <c r="H61" s="140"/>
      <c r="I61" s="141"/>
    </row>
    <row r="62" spans="1:9" ht="18.75" customHeight="1" x14ac:dyDescent="0.15">
      <c r="A62" s="39"/>
      <c r="B62" s="139"/>
      <c r="C62" s="140"/>
      <c r="D62" s="140"/>
      <c r="E62" s="140"/>
      <c r="F62" s="140"/>
      <c r="G62" s="140"/>
      <c r="H62" s="140"/>
      <c r="I62" s="141"/>
    </row>
    <row r="63" spans="1:9" ht="18.75" customHeight="1" x14ac:dyDescent="0.15">
      <c r="A63" s="39"/>
      <c r="B63" s="142"/>
      <c r="C63" s="143"/>
      <c r="D63" s="143"/>
      <c r="E63" s="143"/>
      <c r="F63" s="143"/>
      <c r="G63" s="143"/>
      <c r="H63" s="143"/>
      <c r="I63" s="144"/>
    </row>
    <row r="64" spans="1:9" ht="7.5" customHeight="1" x14ac:dyDescent="0.15">
      <c r="A64" s="48"/>
      <c r="B64" s="48"/>
      <c r="C64" s="48"/>
      <c r="D64" s="48"/>
      <c r="E64" s="48"/>
      <c r="F64" s="48"/>
      <c r="G64" s="48"/>
      <c r="H64" s="48"/>
      <c r="I64" s="48"/>
    </row>
    <row r="65" spans="1:9" ht="18.75" customHeight="1" x14ac:dyDescent="0.15">
      <c r="A65" s="52" t="s">
        <v>34</v>
      </c>
      <c r="B65" s="39" t="s">
        <v>37</v>
      </c>
      <c r="I65" s="52"/>
    </row>
    <row r="66" spans="1:9" ht="18.75" customHeight="1" x14ac:dyDescent="0.15">
      <c r="A66" s="53"/>
      <c r="B66" s="118" t="s">
        <v>166</v>
      </c>
      <c r="C66" s="119"/>
      <c r="D66" s="119"/>
      <c r="E66" s="119"/>
      <c r="F66" s="119"/>
      <c r="G66" s="119"/>
      <c r="H66" s="119"/>
      <c r="I66" s="120"/>
    </row>
    <row r="67" spans="1:9" ht="18.75" customHeight="1" x14ac:dyDescent="0.15">
      <c r="A67" s="53"/>
      <c r="B67" s="121"/>
      <c r="C67" s="122"/>
      <c r="D67" s="122"/>
      <c r="E67" s="122"/>
      <c r="F67" s="122"/>
      <c r="G67" s="122"/>
      <c r="H67" s="122"/>
      <c r="I67" s="123"/>
    </row>
    <row r="68" spans="1:9" ht="18.75" customHeight="1" x14ac:dyDescent="0.15">
      <c r="A68" s="53"/>
      <c r="B68" s="121"/>
      <c r="C68" s="122"/>
      <c r="D68" s="122"/>
      <c r="E68" s="122"/>
      <c r="F68" s="122"/>
      <c r="G68" s="122"/>
      <c r="H68" s="122"/>
      <c r="I68" s="123"/>
    </row>
    <row r="69" spans="1:9" ht="18.75" customHeight="1" x14ac:dyDescent="0.15">
      <c r="A69" s="53"/>
      <c r="B69" s="121"/>
      <c r="C69" s="122"/>
      <c r="D69" s="122"/>
      <c r="E69" s="122"/>
      <c r="F69" s="122"/>
      <c r="G69" s="122"/>
      <c r="H69" s="122"/>
      <c r="I69" s="123"/>
    </row>
    <row r="70" spans="1:9" ht="18.75" customHeight="1" x14ac:dyDescent="0.15">
      <c r="A70" s="53"/>
      <c r="B70" s="121"/>
      <c r="C70" s="122"/>
      <c r="D70" s="122"/>
      <c r="E70" s="122"/>
      <c r="F70" s="122"/>
      <c r="G70" s="122"/>
      <c r="H70" s="122"/>
      <c r="I70" s="123"/>
    </row>
    <row r="71" spans="1:9" ht="18.75" customHeight="1" x14ac:dyDescent="0.15">
      <c r="A71" s="53"/>
      <c r="B71" s="121"/>
      <c r="C71" s="122"/>
      <c r="D71" s="122"/>
      <c r="E71" s="122"/>
      <c r="F71" s="122"/>
      <c r="G71" s="122"/>
      <c r="H71" s="122"/>
      <c r="I71" s="123"/>
    </row>
    <row r="72" spans="1:9" ht="18.75" customHeight="1" x14ac:dyDescent="0.15">
      <c r="A72" s="53"/>
      <c r="B72" s="121"/>
      <c r="C72" s="122"/>
      <c r="D72" s="122"/>
      <c r="E72" s="122"/>
      <c r="F72" s="122"/>
      <c r="G72" s="122"/>
      <c r="H72" s="122"/>
      <c r="I72" s="123"/>
    </row>
    <row r="73" spans="1:9" ht="18.75" customHeight="1" x14ac:dyDescent="0.15">
      <c r="A73" s="53"/>
      <c r="B73" s="121"/>
      <c r="C73" s="122"/>
      <c r="D73" s="122"/>
      <c r="E73" s="122"/>
      <c r="F73" s="122"/>
      <c r="G73" s="122"/>
      <c r="H73" s="122"/>
      <c r="I73" s="123"/>
    </row>
    <row r="74" spans="1:9" ht="18.75" customHeight="1" x14ac:dyDescent="0.15">
      <c r="A74" s="53"/>
      <c r="B74" s="121"/>
      <c r="C74" s="122"/>
      <c r="D74" s="122"/>
      <c r="E74" s="122"/>
      <c r="F74" s="122"/>
      <c r="G74" s="122"/>
      <c r="H74" s="122"/>
      <c r="I74" s="123"/>
    </row>
    <row r="75" spans="1:9" ht="18.75" customHeight="1" x14ac:dyDescent="0.15">
      <c r="A75" s="53"/>
      <c r="B75" s="121"/>
      <c r="C75" s="122"/>
      <c r="D75" s="122"/>
      <c r="E75" s="122"/>
      <c r="F75" s="122"/>
      <c r="G75" s="122"/>
      <c r="H75" s="122"/>
      <c r="I75" s="123"/>
    </row>
    <row r="76" spans="1:9" ht="18.75" customHeight="1" x14ac:dyDescent="0.15">
      <c r="A76" s="53"/>
      <c r="B76" s="121"/>
      <c r="C76" s="122"/>
      <c r="D76" s="122"/>
      <c r="E76" s="122"/>
      <c r="F76" s="122"/>
      <c r="G76" s="122"/>
      <c r="H76" s="122"/>
      <c r="I76" s="123"/>
    </row>
    <row r="77" spans="1:9" ht="18.75" customHeight="1" x14ac:dyDescent="0.15">
      <c r="A77" s="53"/>
      <c r="B77" s="124"/>
      <c r="C77" s="125"/>
      <c r="D77" s="125"/>
      <c r="E77" s="125"/>
      <c r="F77" s="125"/>
      <c r="G77" s="125"/>
      <c r="H77" s="125"/>
      <c r="I77" s="126"/>
    </row>
    <row r="78" spans="1:9" ht="7.5" customHeight="1" x14ac:dyDescent="0.15">
      <c r="A78" s="53"/>
      <c r="B78" s="53"/>
      <c r="C78" s="53"/>
      <c r="D78" s="53"/>
      <c r="E78" s="53"/>
      <c r="F78" s="53"/>
      <c r="G78" s="53"/>
      <c r="H78" s="53"/>
      <c r="I78" s="53"/>
    </row>
    <row r="79" spans="1:9" ht="18.75" customHeight="1" x14ac:dyDescent="0.15">
      <c r="A79" s="39" t="s">
        <v>11</v>
      </c>
      <c r="B79" s="39" t="s">
        <v>41</v>
      </c>
    </row>
    <row r="80" spans="1:9" ht="18.75" customHeight="1" x14ac:dyDescent="0.15">
      <c r="A80" s="39"/>
      <c r="B80" s="118" t="s">
        <v>167</v>
      </c>
      <c r="C80" s="119"/>
      <c r="D80" s="119"/>
      <c r="E80" s="119"/>
      <c r="F80" s="119"/>
      <c r="G80" s="119"/>
      <c r="H80" s="119"/>
      <c r="I80" s="127"/>
    </row>
    <row r="81" spans="1:9" ht="18.75" customHeight="1" x14ac:dyDescent="0.15">
      <c r="A81" s="39"/>
      <c r="B81" s="128"/>
      <c r="C81" s="129"/>
      <c r="D81" s="129"/>
      <c r="E81" s="129"/>
      <c r="F81" s="129"/>
      <c r="G81" s="129"/>
      <c r="H81" s="129"/>
      <c r="I81" s="130"/>
    </row>
    <row r="82" spans="1:9" ht="18.75" customHeight="1" x14ac:dyDescent="0.15">
      <c r="A82" s="39"/>
      <c r="B82" s="128"/>
      <c r="C82" s="129"/>
      <c r="D82" s="129"/>
      <c r="E82" s="129"/>
      <c r="F82" s="129"/>
      <c r="G82" s="129"/>
      <c r="H82" s="129"/>
      <c r="I82" s="130"/>
    </row>
    <row r="83" spans="1:9" ht="18.75" customHeight="1" x14ac:dyDescent="0.15">
      <c r="A83" s="39"/>
      <c r="B83" s="128"/>
      <c r="C83" s="129"/>
      <c r="D83" s="129"/>
      <c r="E83" s="129"/>
      <c r="F83" s="129"/>
      <c r="G83" s="129"/>
      <c r="H83" s="129"/>
      <c r="I83" s="130"/>
    </row>
    <row r="84" spans="1:9" ht="18.75" customHeight="1" x14ac:dyDescent="0.15">
      <c r="A84" s="39"/>
      <c r="B84" s="128"/>
      <c r="C84" s="129"/>
      <c r="D84" s="129"/>
      <c r="E84" s="129"/>
      <c r="F84" s="129"/>
      <c r="G84" s="129"/>
      <c r="H84" s="129"/>
      <c r="I84" s="130"/>
    </row>
    <row r="85" spans="1:9" ht="18.75" customHeight="1" x14ac:dyDescent="0.15">
      <c r="A85" s="39"/>
      <c r="B85" s="128"/>
      <c r="C85" s="129"/>
      <c r="D85" s="129"/>
      <c r="E85" s="129"/>
      <c r="F85" s="129"/>
      <c r="G85" s="129"/>
      <c r="H85" s="129"/>
      <c r="I85" s="130"/>
    </row>
    <row r="86" spans="1:9" ht="18.75" customHeight="1" x14ac:dyDescent="0.15">
      <c r="A86" s="39"/>
      <c r="B86" s="128"/>
      <c r="C86" s="129"/>
      <c r="D86" s="129"/>
      <c r="E86" s="129"/>
      <c r="F86" s="129"/>
      <c r="G86" s="129"/>
      <c r="H86" s="129"/>
      <c r="I86" s="130"/>
    </row>
    <row r="87" spans="1:9" ht="18.75" customHeight="1" x14ac:dyDescent="0.15">
      <c r="A87" s="39"/>
      <c r="B87" s="128"/>
      <c r="C87" s="129"/>
      <c r="D87" s="129"/>
      <c r="E87" s="129"/>
      <c r="F87" s="129"/>
      <c r="G87" s="129"/>
      <c r="H87" s="129"/>
      <c r="I87" s="130"/>
    </row>
    <row r="88" spans="1:9" ht="18.75" customHeight="1" x14ac:dyDescent="0.15">
      <c r="A88" s="39"/>
      <c r="B88" s="128"/>
      <c r="C88" s="129"/>
      <c r="D88" s="129"/>
      <c r="E88" s="129"/>
      <c r="F88" s="129"/>
      <c r="G88" s="129"/>
      <c r="H88" s="129"/>
      <c r="I88" s="130"/>
    </row>
    <row r="89" spans="1:9" ht="18.75" customHeight="1" x14ac:dyDescent="0.15">
      <c r="A89" s="39"/>
      <c r="B89" s="128"/>
      <c r="C89" s="129"/>
      <c r="D89" s="129"/>
      <c r="E89" s="129"/>
      <c r="F89" s="129"/>
      <c r="G89" s="129"/>
      <c r="H89" s="129"/>
      <c r="I89" s="130"/>
    </row>
    <row r="90" spans="1:9" ht="18.75" customHeight="1" x14ac:dyDescent="0.15">
      <c r="A90" s="53"/>
      <c r="B90" s="128"/>
      <c r="C90" s="129"/>
      <c r="D90" s="129"/>
      <c r="E90" s="129"/>
      <c r="F90" s="129"/>
      <c r="G90" s="129"/>
      <c r="H90" s="129"/>
      <c r="I90" s="130"/>
    </row>
    <row r="91" spans="1:9" ht="18.75" customHeight="1" x14ac:dyDescent="0.15">
      <c r="A91" s="53"/>
      <c r="B91" s="131"/>
      <c r="C91" s="132"/>
      <c r="D91" s="132"/>
      <c r="E91" s="132"/>
      <c r="F91" s="132"/>
      <c r="G91" s="132"/>
      <c r="H91" s="132"/>
      <c r="I91" s="133"/>
    </row>
    <row r="92" spans="1:9" ht="7.5" customHeight="1" x14ac:dyDescent="0.15">
      <c r="A92" s="53"/>
      <c r="B92" s="53"/>
      <c r="C92" s="53"/>
      <c r="D92" s="53"/>
      <c r="E92" s="53"/>
      <c r="F92" s="53"/>
      <c r="G92" s="53"/>
      <c r="H92" s="53"/>
      <c r="I92" s="53"/>
    </row>
    <row r="93" spans="1:9" ht="18.75" customHeight="1" x14ac:dyDescent="0.15">
      <c r="A93" s="39" t="s">
        <v>44</v>
      </c>
      <c r="B93" s="39" t="s">
        <v>13</v>
      </c>
    </row>
    <row r="94" spans="1:9" ht="18.75" customHeight="1" x14ac:dyDescent="0.15">
      <c r="A94" s="39"/>
      <c r="B94" s="145" t="s">
        <v>160</v>
      </c>
      <c r="C94" s="146"/>
      <c r="D94" s="146"/>
      <c r="E94" s="146"/>
      <c r="F94" s="146"/>
      <c r="G94" s="146"/>
      <c r="H94" s="146"/>
      <c r="I94" s="72"/>
    </row>
    <row r="95" spans="1:9" ht="18.75" customHeight="1" x14ac:dyDescent="0.15">
      <c r="A95" s="39"/>
      <c r="B95" s="73"/>
      <c r="C95" s="74"/>
      <c r="D95" s="74"/>
      <c r="E95" s="74"/>
      <c r="F95" s="74"/>
      <c r="G95" s="74"/>
      <c r="H95" s="74"/>
      <c r="I95" s="75"/>
    </row>
    <row r="96" spans="1:9" ht="18.75" customHeight="1" x14ac:dyDescent="0.15">
      <c r="A96" s="39"/>
      <c r="B96" s="73"/>
      <c r="C96" s="74"/>
      <c r="D96" s="74"/>
      <c r="E96" s="74"/>
      <c r="F96" s="74"/>
      <c r="G96" s="74"/>
      <c r="H96" s="74"/>
      <c r="I96" s="75"/>
    </row>
    <row r="97" spans="1:9" ht="18.75" customHeight="1" x14ac:dyDescent="0.15">
      <c r="A97" s="39"/>
      <c r="B97" s="73"/>
      <c r="C97" s="74"/>
      <c r="D97" s="74"/>
      <c r="E97" s="74"/>
      <c r="F97" s="74"/>
      <c r="G97" s="74"/>
      <c r="H97" s="74"/>
      <c r="I97" s="75"/>
    </row>
    <row r="98" spans="1:9" ht="18.75" customHeight="1" x14ac:dyDescent="0.15">
      <c r="A98" s="39"/>
      <c r="B98" s="73"/>
      <c r="C98" s="74"/>
      <c r="D98" s="74"/>
      <c r="E98" s="74"/>
      <c r="F98" s="74"/>
      <c r="G98" s="74"/>
      <c r="H98" s="74"/>
      <c r="I98" s="75"/>
    </row>
    <row r="99" spans="1:9" ht="18.75" customHeight="1" x14ac:dyDescent="0.15">
      <c r="A99" s="39"/>
      <c r="B99" s="73"/>
      <c r="C99" s="74"/>
      <c r="D99" s="74"/>
      <c r="E99" s="74"/>
      <c r="F99" s="74"/>
      <c r="G99" s="74"/>
      <c r="H99" s="74"/>
      <c r="I99" s="75"/>
    </row>
    <row r="100" spans="1:9" ht="18.75" customHeight="1" x14ac:dyDescent="0.15">
      <c r="A100" s="39"/>
      <c r="B100" s="73"/>
      <c r="C100" s="74"/>
      <c r="D100" s="74"/>
      <c r="E100" s="74"/>
      <c r="F100" s="74"/>
      <c r="G100" s="74"/>
      <c r="H100" s="74"/>
      <c r="I100" s="75"/>
    </row>
    <row r="101" spans="1:9" ht="18.75" customHeight="1" x14ac:dyDescent="0.15">
      <c r="A101" s="39"/>
      <c r="B101" s="73"/>
      <c r="C101" s="74"/>
      <c r="D101" s="74"/>
      <c r="E101" s="74"/>
      <c r="F101" s="74"/>
      <c r="G101" s="74"/>
      <c r="H101" s="74"/>
      <c r="I101" s="75"/>
    </row>
    <row r="102" spans="1:9" ht="18.75" customHeight="1" x14ac:dyDescent="0.15">
      <c r="A102" s="39"/>
      <c r="B102" s="73"/>
      <c r="C102" s="74"/>
      <c r="D102" s="74"/>
      <c r="E102" s="74"/>
      <c r="F102" s="74"/>
      <c r="G102" s="74"/>
      <c r="H102" s="74"/>
      <c r="I102" s="75"/>
    </row>
    <row r="103" spans="1:9" ht="18.75" customHeight="1" x14ac:dyDescent="0.15">
      <c r="A103" s="39"/>
      <c r="B103" s="73"/>
      <c r="C103" s="74"/>
      <c r="D103" s="74"/>
      <c r="E103" s="74"/>
      <c r="F103" s="74"/>
      <c r="G103" s="74"/>
      <c r="H103" s="74"/>
      <c r="I103" s="75"/>
    </row>
    <row r="104" spans="1:9" ht="18.75" customHeight="1" x14ac:dyDescent="0.15">
      <c r="A104" s="39"/>
      <c r="B104" s="73"/>
      <c r="C104" s="74"/>
      <c r="D104" s="74"/>
      <c r="E104" s="74"/>
      <c r="F104" s="74"/>
      <c r="G104" s="74"/>
      <c r="H104" s="74"/>
      <c r="I104" s="75"/>
    </row>
    <row r="105" spans="1:9" ht="18.75" customHeight="1" x14ac:dyDescent="0.15">
      <c r="A105" s="53"/>
      <c r="B105" s="76"/>
      <c r="C105" s="77"/>
      <c r="D105" s="77"/>
      <c r="E105" s="77"/>
      <c r="F105" s="77"/>
      <c r="G105" s="77"/>
      <c r="H105" s="77"/>
      <c r="I105" s="78"/>
    </row>
    <row r="106" spans="1:9" ht="7.5" customHeight="1" x14ac:dyDescent="0.15">
      <c r="A106" s="53"/>
      <c r="B106" s="53"/>
      <c r="C106" s="53"/>
      <c r="D106" s="53"/>
      <c r="E106" s="53"/>
      <c r="F106" s="53"/>
      <c r="G106" s="53"/>
      <c r="H106" s="53"/>
      <c r="I106" s="53"/>
    </row>
    <row r="107" spans="1:9" ht="18.75" customHeight="1" x14ac:dyDescent="0.15">
      <c r="A107" s="39" t="s">
        <v>30</v>
      </c>
      <c r="B107" s="147" t="s">
        <v>46</v>
      </c>
      <c r="C107" s="147"/>
      <c r="D107" s="147"/>
      <c r="E107" s="147"/>
      <c r="F107" s="147"/>
      <c r="G107" s="147"/>
      <c r="H107" s="147"/>
      <c r="I107" s="147"/>
    </row>
    <row r="108" spans="1:9" ht="18.75" customHeight="1" x14ac:dyDescent="0.15">
      <c r="A108" s="53"/>
      <c r="B108" s="145" t="s">
        <v>154</v>
      </c>
      <c r="C108" s="146"/>
      <c r="D108" s="146"/>
      <c r="E108" s="146"/>
      <c r="F108" s="146"/>
      <c r="G108" s="146"/>
      <c r="H108" s="146"/>
      <c r="I108" s="72"/>
    </row>
    <row r="109" spans="1:9" ht="18.75" customHeight="1" x14ac:dyDescent="0.15">
      <c r="A109" s="53"/>
      <c r="B109" s="73"/>
      <c r="C109" s="74"/>
      <c r="D109" s="74"/>
      <c r="E109" s="74"/>
      <c r="F109" s="74"/>
      <c r="G109" s="74"/>
      <c r="H109" s="74"/>
      <c r="I109" s="75"/>
    </row>
    <row r="110" spans="1:9" ht="18.75" customHeight="1" x14ac:dyDescent="0.15">
      <c r="A110" s="53"/>
      <c r="B110" s="73"/>
      <c r="C110" s="74"/>
      <c r="D110" s="74"/>
      <c r="E110" s="74"/>
      <c r="F110" s="74"/>
      <c r="G110" s="74"/>
      <c r="H110" s="74"/>
      <c r="I110" s="75"/>
    </row>
    <row r="111" spans="1:9" ht="18.75" customHeight="1" x14ac:dyDescent="0.15">
      <c r="A111" s="53"/>
      <c r="B111" s="73"/>
      <c r="C111" s="74"/>
      <c r="D111" s="74"/>
      <c r="E111" s="74"/>
      <c r="F111" s="74"/>
      <c r="G111" s="74"/>
      <c r="H111" s="74"/>
      <c r="I111" s="75"/>
    </row>
    <row r="112" spans="1:9" ht="18.75" customHeight="1" x14ac:dyDescent="0.15">
      <c r="A112" s="53"/>
      <c r="B112" s="73"/>
      <c r="C112" s="74"/>
      <c r="D112" s="74"/>
      <c r="E112" s="74"/>
      <c r="F112" s="74"/>
      <c r="G112" s="74"/>
      <c r="H112" s="74"/>
      <c r="I112" s="75"/>
    </row>
    <row r="113" spans="1:9" ht="18.75" customHeight="1" x14ac:dyDescent="0.15">
      <c r="A113" s="53"/>
      <c r="B113" s="73"/>
      <c r="C113" s="74"/>
      <c r="D113" s="74"/>
      <c r="E113" s="74"/>
      <c r="F113" s="74"/>
      <c r="G113" s="74"/>
      <c r="H113" s="74"/>
      <c r="I113" s="75"/>
    </row>
    <row r="114" spans="1:9" ht="18.75" customHeight="1" x14ac:dyDescent="0.15">
      <c r="A114" s="53"/>
      <c r="B114" s="73"/>
      <c r="C114" s="74"/>
      <c r="D114" s="74"/>
      <c r="E114" s="74"/>
      <c r="F114" s="74"/>
      <c r="G114" s="74"/>
      <c r="H114" s="74"/>
      <c r="I114" s="75"/>
    </row>
    <row r="115" spans="1:9" ht="18.75" customHeight="1" x14ac:dyDescent="0.15">
      <c r="A115" s="53"/>
      <c r="B115" s="73"/>
      <c r="C115" s="74"/>
      <c r="D115" s="74"/>
      <c r="E115" s="74"/>
      <c r="F115" s="74"/>
      <c r="G115" s="74"/>
      <c r="H115" s="74"/>
      <c r="I115" s="75"/>
    </row>
    <row r="116" spans="1:9" ht="18.75" customHeight="1" x14ac:dyDescent="0.15">
      <c r="A116" s="53"/>
      <c r="B116" s="73"/>
      <c r="C116" s="74"/>
      <c r="D116" s="74"/>
      <c r="E116" s="74"/>
      <c r="F116" s="74"/>
      <c r="G116" s="74"/>
      <c r="H116" s="74"/>
      <c r="I116" s="75"/>
    </row>
    <row r="117" spans="1:9" ht="18.75" customHeight="1" x14ac:dyDescent="0.15">
      <c r="A117" s="53"/>
      <c r="B117" s="73"/>
      <c r="C117" s="74"/>
      <c r="D117" s="74"/>
      <c r="E117" s="74"/>
      <c r="F117" s="74"/>
      <c r="G117" s="74"/>
      <c r="H117" s="74"/>
      <c r="I117" s="75"/>
    </row>
    <row r="118" spans="1:9" ht="18.75" customHeight="1" x14ac:dyDescent="0.15">
      <c r="A118" s="53"/>
      <c r="B118" s="73"/>
      <c r="C118" s="74"/>
      <c r="D118" s="74"/>
      <c r="E118" s="74"/>
      <c r="F118" s="74"/>
      <c r="G118" s="74"/>
      <c r="H118" s="74"/>
      <c r="I118" s="75"/>
    </row>
    <row r="119" spans="1:9" ht="18.75" customHeight="1" x14ac:dyDescent="0.15">
      <c r="A119" s="53"/>
      <c r="B119" s="76"/>
      <c r="C119" s="77"/>
      <c r="D119" s="77"/>
      <c r="E119" s="77"/>
      <c r="F119" s="77"/>
      <c r="G119" s="77"/>
      <c r="H119" s="77"/>
      <c r="I119" s="78"/>
    </row>
    <row r="120" spans="1:9" ht="7.5" customHeight="1" x14ac:dyDescent="0.15">
      <c r="A120" s="53"/>
      <c r="B120" s="58"/>
      <c r="C120" s="58"/>
      <c r="D120" s="58"/>
      <c r="E120" s="58"/>
      <c r="F120" s="58"/>
      <c r="G120" s="58"/>
      <c r="H120" s="58"/>
      <c r="I120" s="58"/>
    </row>
    <row r="121" spans="1:9" ht="18.75" customHeight="1" x14ac:dyDescent="0.15">
      <c r="A121" s="53"/>
      <c r="B121" s="53"/>
      <c r="C121" s="53"/>
      <c r="D121" s="53"/>
      <c r="E121" s="53"/>
      <c r="F121" s="53"/>
      <c r="G121" s="53"/>
      <c r="H121" s="53"/>
      <c r="I121" s="53"/>
    </row>
    <row r="122" spans="1:9" ht="18.75" customHeight="1" x14ac:dyDescent="0.15">
      <c r="A122" s="53"/>
      <c r="B122" s="53"/>
      <c r="C122" s="53"/>
      <c r="D122" s="53"/>
      <c r="E122" s="53"/>
      <c r="F122" s="53"/>
      <c r="G122" s="53"/>
      <c r="H122" s="53"/>
      <c r="I122" s="53"/>
    </row>
    <row r="123" spans="1:9" ht="18.75" customHeight="1" x14ac:dyDescent="0.15">
      <c r="A123" s="53"/>
      <c r="B123" s="53"/>
      <c r="C123" s="53"/>
      <c r="D123" s="53"/>
      <c r="E123" s="53"/>
      <c r="F123" s="53"/>
      <c r="G123" s="53"/>
      <c r="H123" s="53"/>
      <c r="I123" s="53"/>
    </row>
    <row r="124" spans="1:9" ht="18.75" customHeight="1" x14ac:dyDescent="0.15">
      <c r="A124" s="53"/>
      <c r="B124" s="53"/>
      <c r="C124" s="53"/>
      <c r="D124" s="53"/>
      <c r="E124" s="53"/>
      <c r="F124" s="53"/>
      <c r="G124" s="53"/>
      <c r="H124" s="53"/>
      <c r="I124" s="53"/>
    </row>
    <row r="125" spans="1:9" ht="18.75" customHeight="1" x14ac:dyDescent="0.15">
      <c r="A125" s="53"/>
      <c r="B125" s="53"/>
      <c r="C125" s="53"/>
      <c r="D125" s="53"/>
      <c r="E125" s="53"/>
      <c r="F125" s="53"/>
      <c r="G125" s="53"/>
      <c r="H125" s="53"/>
      <c r="I125" s="53"/>
    </row>
    <row r="126" spans="1:9" ht="18.75" customHeight="1" x14ac:dyDescent="0.15">
      <c r="A126" s="53"/>
      <c r="B126" s="53"/>
      <c r="C126" s="53"/>
      <c r="D126" s="53"/>
      <c r="E126" s="53"/>
      <c r="F126" s="53"/>
      <c r="G126" s="53"/>
      <c r="H126" s="53"/>
      <c r="I126" s="53"/>
    </row>
    <row r="127" spans="1:9" ht="18.75" customHeight="1" x14ac:dyDescent="0.15">
      <c r="A127" s="53"/>
      <c r="B127" s="53"/>
      <c r="C127" s="53"/>
      <c r="D127" s="53"/>
      <c r="E127" s="53"/>
      <c r="F127" s="53"/>
      <c r="G127" s="53"/>
      <c r="H127" s="53"/>
      <c r="I127" s="53"/>
    </row>
    <row r="128" spans="1:9" ht="18.75" customHeight="1" x14ac:dyDescent="0.15">
      <c r="A128" s="53"/>
      <c r="B128" s="53"/>
      <c r="C128" s="53"/>
      <c r="D128" s="53"/>
      <c r="E128" s="53"/>
      <c r="F128" s="53"/>
      <c r="G128" s="53"/>
      <c r="H128" s="53"/>
      <c r="I128" s="53"/>
    </row>
    <row r="129" spans="1:9" ht="18.75" customHeight="1" x14ac:dyDescent="0.15">
      <c r="A129" s="53"/>
      <c r="B129" s="53"/>
      <c r="C129" s="53"/>
      <c r="D129" s="53"/>
      <c r="E129" s="53"/>
      <c r="F129" s="53"/>
      <c r="G129" s="53"/>
      <c r="H129" s="53"/>
      <c r="I129" s="53"/>
    </row>
    <row r="130" spans="1:9" ht="18.75" customHeight="1" x14ac:dyDescent="0.15">
      <c r="A130" s="53"/>
      <c r="B130" s="53"/>
      <c r="C130" s="53"/>
      <c r="D130" s="53"/>
      <c r="E130" s="53"/>
      <c r="F130" s="53"/>
      <c r="G130" s="53"/>
      <c r="H130" s="53"/>
      <c r="I130" s="53"/>
    </row>
    <row r="131" spans="1:9" ht="18.75" customHeight="1" x14ac:dyDescent="0.15">
      <c r="A131" s="53"/>
      <c r="B131" s="53"/>
      <c r="C131" s="53"/>
      <c r="D131" s="53"/>
      <c r="E131" s="53"/>
      <c r="F131" s="53"/>
      <c r="G131" s="53"/>
      <c r="H131" s="53"/>
      <c r="I131" s="53"/>
    </row>
    <row r="132" spans="1:9" ht="18.75" customHeight="1" x14ac:dyDescent="0.15">
      <c r="A132" s="53"/>
      <c r="B132" s="53"/>
      <c r="C132" s="53"/>
      <c r="D132" s="53"/>
      <c r="E132" s="53"/>
      <c r="F132" s="53"/>
      <c r="G132" s="53"/>
      <c r="H132" s="53"/>
      <c r="I132" s="53"/>
    </row>
    <row r="133" spans="1:9" ht="14.25" x14ac:dyDescent="0.15">
      <c r="A133" s="53"/>
      <c r="B133" s="53"/>
      <c r="C133" s="53"/>
      <c r="D133" s="53"/>
      <c r="E133" s="53"/>
      <c r="F133" s="53"/>
      <c r="G133" s="53"/>
      <c r="H133" s="53"/>
      <c r="I133" s="53"/>
    </row>
    <row r="134" spans="1:9" ht="7.5" customHeight="1" x14ac:dyDescent="0.15">
      <c r="A134" s="59"/>
      <c r="B134" s="59"/>
      <c r="C134" s="59"/>
      <c r="D134" s="59"/>
      <c r="E134" s="59"/>
      <c r="F134" s="59"/>
      <c r="G134" s="59"/>
      <c r="H134" s="59"/>
      <c r="I134" s="5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78740157480314965" right="0.78740157480314965" top="0.78740157480314965" bottom="0.19685039370078741" header="0.31496062992125984" footer="0.19685039370078741"/>
  <pageSetup paperSize="9" scale="97"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B1" zoomScale="77" zoomScaleNormal="100" zoomScaleSheetLayoutView="77" workbookViewId="0">
      <selection activeCell="L105" sqref="L105"/>
    </sheetView>
  </sheetViews>
  <sheetFormatPr defaultColWidth="11.375" defaultRowHeight="22.5" customHeight="1" x14ac:dyDescent="0.15"/>
  <cols>
    <col min="1" max="1" width="2.75" style="1" customWidth="1"/>
    <col min="2" max="3" width="2.75" style="39" customWidth="1"/>
    <col min="4" max="4" width="22.25" style="39" customWidth="1"/>
    <col min="5" max="5" width="30.75" style="39" customWidth="1"/>
    <col min="6" max="7" width="7.75" style="39" customWidth="1"/>
    <col min="8" max="9" width="30.75" style="39" customWidth="1"/>
    <col min="10" max="16384" width="11.375" style="1"/>
  </cols>
  <sheetData>
    <row r="1" spans="1:9" ht="18.75" customHeight="1" x14ac:dyDescent="0.15">
      <c r="A1" s="1" t="s">
        <v>71</v>
      </c>
      <c r="I1" s="41" t="s">
        <v>104</v>
      </c>
    </row>
    <row r="2" spans="1:9" ht="18.75" customHeight="1" x14ac:dyDescent="0.15">
      <c r="H2" s="41" t="s">
        <v>108</v>
      </c>
      <c r="I2" s="40" t="str">
        <f>'様式１　プログラムを構成する授業科目'!C2</f>
        <v>広島経済大学</v>
      </c>
    </row>
    <row r="3" spans="1:9" ht="18.75" customHeight="1" x14ac:dyDescent="0.15">
      <c r="A3" s="97" t="s">
        <v>28</v>
      </c>
      <c r="B3" s="97"/>
      <c r="C3" s="97"/>
      <c r="D3" s="97"/>
      <c r="E3" s="97"/>
      <c r="F3" s="97"/>
      <c r="G3" s="97"/>
      <c r="H3" s="97"/>
      <c r="I3" s="97"/>
    </row>
    <row r="4" spans="1:9" ht="18.75" customHeight="1" x14ac:dyDescent="0.15">
      <c r="A4" s="4"/>
      <c r="B4" s="60"/>
      <c r="C4" s="60"/>
      <c r="D4" s="60"/>
      <c r="E4" s="60"/>
      <c r="F4" s="60"/>
      <c r="G4" s="60"/>
      <c r="H4" s="60"/>
      <c r="I4" s="60"/>
    </row>
    <row r="5" spans="1:9" ht="18.75" customHeight="1" x14ac:dyDescent="0.15">
      <c r="A5" s="1" t="s">
        <v>0</v>
      </c>
      <c r="B5" s="46" t="s">
        <v>95</v>
      </c>
      <c r="C5" s="60"/>
      <c r="D5" s="60"/>
      <c r="E5" s="60"/>
      <c r="F5" s="60"/>
      <c r="G5" s="60"/>
      <c r="H5" s="60"/>
      <c r="I5" s="60"/>
    </row>
    <row r="6" spans="1:9" ht="26.25" customHeight="1" x14ac:dyDescent="0.15">
      <c r="A6" s="4"/>
      <c r="B6" s="165" t="s">
        <v>149</v>
      </c>
      <c r="C6" s="195"/>
      <c r="D6" s="195"/>
      <c r="E6" s="195"/>
      <c r="F6" s="195"/>
      <c r="G6" s="195"/>
      <c r="H6" s="196"/>
      <c r="I6" s="44"/>
    </row>
    <row r="7" spans="1:9" ht="9" customHeight="1" x14ac:dyDescent="0.15">
      <c r="A7" s="4"/>
      <c r="B7" s="46"/>
      <c r="C7" s="46"/>
      <c r="D7" s="46"/>
      <c r="E7" s="46"/>
      <c r="F7" s="46"/>
      <c r="G7" s="46"/>
      <c r="H7" s="46"/>
      <c r="I7" s="44"/>
    </row>
    <row r="8" spans="1:9" ht="18.75" customHeight="1" x14ac:dyDescent="0.15">
      <c r="A8" s="4"/>
      <c r="B8" s="44"/>
      <c r="C8" s="44"/>
      <c r="D8" s="41" t="s">
        <v>43</v>
      </c>
      <c r="E8" s="61" t="s">
        <v>139</v>
      </c>
      <c r="F8" s="44"/>
      <c r="G8" s="41" t="s">
        <v>10</v>
      </c>
      <c r="H8" s="61" t="s">
        <v>150</v>
      </c>
      <c r="I8" s="44"/>
    </row>
    <row r="9" spans="1:9" ht="7.5" customHeight="1" x14ac:dyDescent="0.15">
      <c r="A9" s="4"/>
      <c r="B9" s="60"/>
      <c r="C9" s="60"/>
      <c r="D9" s="60"/>
      <c r="E9" s="60"/>
      <c r="F9" s="60"/>
      <c r="G9" s="60"/>
      <c r="H9" s="60"/>
      <c r="I9" s="60"/>
    </row>
    <row r="10" spans="1:9" ht="18.75" customHeight="1" x14ac:dyDescent="0.15">
      <c r="A10" s="1" t="s">
        <v>3</v>
      </c>
      <c r="B10" s="39" t="s">
        <v>27</v>
      </c>
      <c r="C10" s="53"/>
      <c r="D10" s="53"/>
      <c r="E10" s="53"/>
      <c r="F10" s="53"/>
      <c r="G10" s="53"/>
      <c r="H10" s="53"/>
      <c r="I10" s="53"/>
    </row>
    <row r="11" spans="1:9" ht="18.75" customHeight="1" x14ac:dyDescent="0.15">
      <c r="B11" s="85" t="s">
        <v>24</v>
      </c>
      <c r="C11" s="86"/>
      <c r="D11" s="87"/>
      <c r="E11" s="86" t="s">
        <v>26</v>
      </c>
      <c r="F11" s="86"/>
      <c r="G11" s="86"/>
      <c r="H11" s="86"/>
      <c r="I11" s="87"/>
    </row>
    <row r="12" spans="1:9" ht="26.25" customHeight="1" x14ac:dyDescent="0.15">
      <c r="B12" s="62" t="s">
        <v>14</v>
      </c>
      <c r="C12" s="63"/>
      <c r="D12" s="64"/>
      <c r="E12" s="65"/>
      <c r="F12" s="65"/>
      <c r="G12" s="65"/>
      <c r="H12" s="65"/>
      <c r="I12" s="64"/>
    </row>
    <row r="13" spans="1:9" ht="192.75" customHeight="1" x14ac:dyDescent="0.15">
      <c r="B13" s="66"/>
      <c r="C13" s="178" t="s">
        <v>15</v>
      </c>
      <c r="D13" s="179"/>
      <c r="E13" s="191" t="s">
        <v>162</v>
      </c>
      <c r="F13" s="180"/>
      <c r="G13" s="180"/>
      <c r="H13" s="180"/>
      <c r="I13" s="181"/>
    </row>
    <row r="14" spans="1:9" ht="181.5" customHeight="1" x14ac:dyDescent="0.15">
      <c r="B14" s="66"/>
      <c r="C14" s="193" t="s">
        <v>16</v>
      </c>
      <c r="D14" s="194"/>
      <c r="E14" s="191" t="s">
        <v>152</v>
      </c>
      <c r="F14" s="180"/>
      <c r="G14" s="180"/>
      <c r="H14" s="180"/>
      <c r="I14" s="181"/>
    </row>
    <row r="15" spans="1:9" ht="210.75" customHeight="1" x14ac:dyDescent="0.15">
      <c r="B15" s="66"/>
      <c r="C15" s="178" t="s">
        <v>17</v>
      </c>
      <c r="D15" s="179"/>
      <c r="E15" s="191" t="s">
        <v>157</v>
      </c>
      <c r="F15" s="180"/>
      <c r="G15" s="180"/>
      <c r="H15" s="180"/>
      <c r="I15" s="181"/>
    </row>
    <row r="16" spans="1:9" ht="210.75" customHeight="1" x14ac:dyDescent="0.15">
      <c r="B16" s="66"/>
      <c r="C16" s="178" t="s">
        <v>18</v>
      </c>
      <c r="D16" s="179"/>
      <c r="E16" s="191" t="s">
        <v>158</v>
      </c>
      <c r="F16" s="180"/>
      <c r="G16" s="180"/>
      <c r="H16" s="180"/>
      <c r="I16" s="181"/>
    </row>
    <row r="17" spans="2:9" ht="210.75" customHeight="1" x14ac:dyDescent="0.15">
      <c r="B17" s="67"/>
      <c r="C17" s="182" t="s">
        <v>19</v>
      </c>
      <c r="D17" s="183"/>
      <c r="E17" s="192" t="s">
        <v>155</v>
      </c>
      <c r="F17" s="184"/>
      <c r="G17" s="184"/>
      <c r="H17" s="184"/>
      <c r="I17" s="185"/>
    </row>
    <row r="18" spans="2:9" ht="24" customHeight="1" x14ac:dyDescent="0.15">
      <c r="B18" s="62" t="s">
        <v>20</v>
      </c>
      <c r="C18" s="68"/>
      <c r="D18" s="69"/>
      <c r="E18" s="70"/>
      <c r="F18" s="70"/>
      <c r="G18" s="70"/>
      <c r="H18" s="70"/>
      <c r="I18" s="71"/>
    </row>
    <row r="19" spans="2:9" ht="183.75" customHeight="1" x14ac:dyDescent="0.15">
      <c r="B19" s="66"/>
      <c r="C19" s="178" t="s">
        <v>21</v>
      </c>
      <c r="D19" s="179"/>
      <c r="E19" s="180" t="s">
        <v>163</v>
      </c>
      <c r="F19" s="180"/>
      <c r="G19" s="180"/>
      <c r="H19" s="180"/>
      <c r="I19" s="181"/>
    </row>
    <row r="20" spans="2:9" ht="183.75" customHeight="1" x14ac:dyDescent="0.15">
      <c r="B20" s="67"/>
      <c r="C20" s="182" t="s">
        <v>22</v>
      </c>
      <c r="D20" s="183"/>
      <c r="E20" s="184" t="s">
        <v>153</v>
      </c>
      <c r="F20" s="184"/>
      <c r="G20" s="184"/>
      <c r="H20" s="184"/>
      <c r="I20" s="185"/>
    </row>
    <row r="21" spans="2:9" ht="173.25" customHeight="1" x14ac:dyDescent="0.15">
      <c r="B21" s="186" t="s">
        <v>23</v>
      </c>
      <c r="C21" s="187"/>
      <c r="D21" s="188"/>
      <c r="E21" s="189" t="s">
        <v>156</v>
      </c>
      <c r="F21" s="189"/>
      <c r="G21" s="189"/>
      <c r="H21" s="189"/>
      <c r="I21" s="190"/>
    </row>
    <row r="22" spans="2:9" ht="179.25" customHeight="1" x14ac:dyDescent="0.15">
      <c r="B22" s="173" t="s">
        <v>38</v>
      </c>
      <c r="C22" s="174"/>
      <c r="D22" s="175"/>
      <c r="E22" s="176" t="s">
        <v>164</v>
      </c>
      <c r="F22" s="176"/>
      <c r="G22" s="176"/>
      <c r="H22" s="176"/>
      <c r="I22" s="177"/>
    </row>
    <row r="23" spans="2:9" ht="22.5" customHeight="1" x14ac:dyDescent="0.15">
      <c r="B23" s="53"/>
      <c r="C23" s="53"/>
      <c r="D23" s="53"/>
      <c r="E23" s="53"/>
      <c r="F23" s="53"/>
      <c r="G23" s="53"/>
      <c r="H23" s="53"/>
      <c r="I23" s="53"/>
    </row>
    <row r="24" spans="2:9" ht="22.5" customHeight="1" x14ac:dyDescent="0.15">
      <c r="B24" s="53"/>
      <c r="C24" s="53"/>
      <c r="D24" s="53"/>
      <c r="E24" s="53"/>
      <c r="F24" s="53"/>
      <c r="G24" s="53"/>
      <c r="H24" s="53"/>
      <c r="I24" s="53"/>
    </row>
    <row r="25" spans="2:9" ht="22.5" customHeight="1" x14ac:dyDescent="0.15">
      <c r="B25" s="53"/>
      <c r="C25" s="53"/>
      <c r="D25" s="53"/>
      <c r="E25" s="53"/>
      <c r="F25" s="53"/>
      <c r="G25" s="53"/>
      <c r="H25" s="53"/>
      <c r="I25" s="53"/>
    </row>
    <row r="26" spans="2:9" ht="22.5" customHeight="1" x14ac:dyDescent="0.15">
      <c r="B26" s="53"/>
      <c r="C26" s="53"/>
      <c r="D26" s="53"/>
      <c r="E26" s="53"/>
      <c r="F26" s="53"/>
      <c r="G26" s="53"/>
      <c r="H26" s="53"/>
      <c r="I26" s="53"/>
    </row>
    <row r="27" spans="2:9" ht="22.5" customHeight="1" x14ac:dyDescent="0.15">
      <c r="B27" s="53"/>
      <c r="C27" s="53"/>
      <c r="D27" s="53"/>
      <c r="E27" s="53"/>
      <c r="F27" s="53"/>
      <c r="G27" s="53"/>
      <c r="H27" s="53"/>
      <c r="I27" s="53"/>
    </row>
    <row r="28" spans="2:9" ht="22.5" customHeight="1" x14ac:dyDescent="0.15">
      <c r="B28" s="48"/>
      <c r="C28" s="48"/>
      <c r="D28" s="48"/>
      <c r="E28" s="48"/>
      <c r="F28" s="48"/>
      <c r="G28" s="48"/>
      <c r="H28" s="48"/>
      <c r="I28" s="48"/>
    </row>
    <row r="29" spans="2:9" ht="22.5" customHeight="1" x14ac:dyDescent="0.15">
      <c r="B29" s="48"/>
      <c r="C29" s="48"/>
      <c r="D29" s="48"/>
      <c r="E29" s="48"/>
      <c r="F29" s="48"/>
      <c r="G29" s="48"/>
      <c r="H29" s="48"/>
      <c r="I29" s="48"/>
    </row>
    <row r="30" spans="2:9" ht="22.5" customHeight="1" x14ac:dyDescent="0.15">
      <c r="B30" s="48"/>
      <c r="C30" s="48"/>
      <c r="D30" s="48"/>
      <c r="E30" s="48"/>
      <c r="F30" s="48"/>
      <c r="G30" s="48"/>
      <c r="H30" s="48"/>
      <c r="I30" s="48"/>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19685039370078741" header="0.31496062992125984" footer="0.19685039370078741"/>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栗田 宰子</cp:lastModifiedBy>
  <cp:lastPrinted>2023-06-29T06:53:00Z</cp:lastPrinted>
  <dcterms:created xsi:type="dcterms:W3CDTF">2011-06-14T05:32:50Z</dcterms:created>
  <dcterms:modified xsi:type="dcterms:W3CDTF">2023-06-29T06:59:20Z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