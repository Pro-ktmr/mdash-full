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Z:\2022（令和4）年度\02　文科省等申請関係\数理・データサイエンス・AI教育プログラム認定制度\提出\2_修正＆再提出\01_山口県立大学_リテラシー\"/>
    </mc:Choice>
  </mc:AlternateContent>
  <xr:revisionPtr revIDLastSave="0" documentId="13_ncr:1_{9C8AAD1F-9013-48C1-B835-C95CD63E14A1}" xr6:coauthVersionLast="47" xr6:coauthVersionMax="47" xr10:uidLastSave="{00000000-0000-0000-0000-000000000000}"/>
  <bookViews>
    <workbookView xWindow="-120" yWindow="-120" windowWidth="29040" windowHeight="158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40" l="1"/>
  <c r="F13" i="40"/>
  <c r="F14" i="40"/>
  <c r="F15" i="40"/>
  <c r="F16" i="40"/>
  <c r="I2" i="42"/>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AP13" i="40"/>
  <c r="AP14" i="40"/>
  <c r="AP15" i="40"/>
  <c r="AP16" i="40"/>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<sst xmlns="http://schemas.openxmlformats.org/spreadsheetml/2006/main" count="325" uniqueCount="180">
  <si>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</si>
  <si>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</si>
  <si>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</si>
  <si>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</si>
  <si>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</si>
  <si>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</si>
  <si>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</si>
  <si>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</si>
  <si>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</si>
  <si>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</si>
  <si>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</si>
  <si>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</si>
  <si>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</si>
  <si>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</si>
  <si>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</si>
  <si>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</si>
  <si>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</si>
  <si>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</si>
  <si>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</si>
  <si>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</si>
  <si>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</si>
  <si>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</si>
  <si>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</si>
  <si>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</si>
  <si>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</si>
  <si>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</si>
  <si>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</si>
  <si>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</si>
  <si>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</si>
  <si>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</si>
  <si>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</si>
  <si>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</si>
  <si>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</si>
  <si>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</si>
  <si>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</si>
  <si>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</si>
  <si>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</si>
  <si>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</si>
  <si>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</si>
  <si>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</si>
  <si>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</si>
  <si>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</si>
  <si>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</si>
  <si>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</si>
  <si>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</si>
  <si>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</si>
  <si>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</si>
  <si>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</si>
  <si>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</si>
  <si>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</si>
  <si>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</si>
  <si>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</si>
  <si>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</si>
  <si>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</si>
  <si>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</si>
  <si>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</si>
  <si>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</si>
  <si>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</si>
  <si>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</si>
  <si>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</si>
  <si>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</si>
  <si>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</si>
  <si>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</si>
  <si>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</si>
  <si>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</si>
  <si>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</si>
  <si>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</si>
  <si>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</si>
  <si>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</si>
  <si>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</si>
  <si>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</si>
  <si>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</si>
  <si>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</si>
  <si>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</si>
  <si>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</si>
  <si>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</si>
  <si>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</si>
  <si>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</si>
  <si>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</si>
  <si>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</si>
  <si>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</si>
  <si>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</si>
  <si>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</si>
  <si>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</si>
  <si>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</si>
  <si>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</si>
  <si>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</si>
  <si>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</si>
  <si>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</si>
  <si>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</si>
  <si>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</si>
  <si>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</si>
  <si>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</si>
  <si>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</si>
  <si>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</si>
  <si>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</si>
  <si>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</si>
  <si>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</si>
  <si>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</si>
  <si>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</si>
  <si>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</si>
  <si>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</si>
  <si>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</si>
  <si>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</si>
  <si>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</si>
  <si>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</si>
  <si>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</si>
  <si>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</si>
  <si>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</si>
  <si>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</si>
  <si>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</si>
  <si>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</si>
  <si>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</si>
  <si>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</si>
  <si>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</si>
  <si>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</si>
  <si>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</si>
  <si>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</si>
  <si>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</si>
  <si>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</si>
  <si>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</si>
  <si>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</si>
  <si>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</si>
  <si>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</si>
  <si>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</si>
  <si>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</si>
  <si>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</si>
  <si>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R4</t>
    <phoneticPr fontId="1"/>
  </si>
  <si>
    <t>国際文化学部国際文化学科</t>
    <rPh sb="0" eb="2">
      <t>コクサイ</t>
    </rPh>
    <rPh sb="2" eb="4">
      <t>ブンカ</t>
    </rPh>
    <rPh sb="4" eb="6">
      <t>ガクブ</t>
    </rPh>
    <rPh sb="6" eb="8">
      <t>コクサイ</t>
    </rPh>
    <rPh sb="8" eb="10">
      <t>ブンカ</t>
    </rPh>
    <rPh sb="10" eb="12">
      <t>ガッカ</t>
    </rPh>
    <phoneticPr fontId="1"/>
  </si>
  <si>
    <t>国際文化学部文化創造学科</t>
    <rPh sb="0" eb="2">
      <t>コクサイ</t>
    </rPh>
    <rPh sb="2" eb="4">
      <t>ブンカ</t>
    </rPh>
    <rPh sb="4" eb="6">
      <t>ガクブ</t>
    </rPh>
    <rPh sb="6" eb="8">
      <t>ブンカ</t>
    </rPh>
    <rPh sb="8" eb="10">
      <t>ソウゾウ</t>
    </rPh>
    <rPh sb="10" eb="12">
      <t>ガッカ</t>
    </rPh>
    <phoneticPr fontId="1"/>
  </si>
  <si>
    <t>社会福祉学部社会福祉学科</t>
    <rPh sb="0" eb="2">
      <t>シャカイ</t>
    </rPh>
    <rPh sb="2" eb="6">
      <t>フクシガクブ</t>
    </rPh>
    <rPh sb="6" eb="8">
      <t>シャカイ</t>
    </rPh>
    <rPh sb="8" eb="10">
      <t>フクシ</t>
    </rPh>
    <rPh sb="10" eb="12">
      <t>ガッカ</t>
    </rPh>
    <phoneticPr fontId="1"/>
  </si>
  <si>
    <t>看護栄養学部看護学科</t>
    <rPh sb="0" eb="2">
      <t>カンゴ</t>
    </rPh>
    <rPh sb="2" eb="4">
      <t>エイヨウ</t>
    </rPh>
    <rPh sb="4" eb="6">
      <t>ガクブ</t>
    </rPh>
    <rPh sb="6" eb="8">
      <t>カンゴ</t>
    </rPh>
    <rPh sb="8" eb="10">
      <t>ガッカ</t>
    </rPh>
    <phoneticPr fontId="1"/>
  </si>
  <si>
    <t>看護栄養学部栄養学科</t>
    <rPh sb="0" eb="2">
      <t>カンゴ</t>
    </rPh>
    <rPh sb="2" eb="4">
      <t>エイヨウ</t>
    </rPh>
    <rPh sb="4" eb="6">
      <t>ガクブ</t>
    </rPh>
    <rPh sb="6" eb="8">
      <t>エイヨウ</t>
    </rPh>
    <rPh sb="8" eb="10">
      <t>ガッカ</t>
    </rPh>
    <phoneticPr fontId="1"/>
  </si>
  <si>
    <t>山口県立大学</t>
    <phoneticPr fontId="1"/>
  </si>
  <si>
    <t>ひとや地域の課題解決人材育成のためのデータサイエンス教育プログラム</t>
    <phoneticPr fontId="1"/>
  </si>
  <si>
    <t>「データサイエンス概論」、「コンピュータ・リテラシー」、「データサイエンス演習」の単位（合計6単位）を修得すること。該当する科目は全て必修科目であり、これらの学修内容は、数理・データサイエンス・AI教育プログラム認定制度（リテラシーレベル）実施要項細目に記載の5つの審査項目に対して網羅的に対応している。</t>
    <phoneticPr fontId="1"/>
  </si>
  <si>
    <t>学部・学科によって、修了要件は相違しない</t>
  </si>
  <si>
    <t>○</t>
  </si>
  <si>
    <t>データサイエンス概論</t>
  </si>
  <si>
    <t>データサイエンス概論</t>
    <phoneticPr fontId="1"/>
  </si>
  <si>
    <t>データサイエンス演習</t>
  </si>
  <si>
    <t>データサイエンス演習</t>
    <phoneticPr fontId="1"/>
  </si>
  <si>
    <t>コンピュータ・リテラシー</t>
    <phoneticPr fontId="1"/>
  </si>
  <si>
    <t>Society5.0の社会で生活するリテラシー、特に地域の課題解決のためにデータを活用する方法や適切に解釈する能力を身に付ける。さらに、民間企業や研究機関からのゲストスピーカーなどとの意見交換を通して、データサイエンスと社会とのつながりも修得する。</t>
    <phoneticPr fontId="1"/>
  </si>
  <si>
    <t>田中マキ子</t>
    <phoneticPr fontId="1"/>
  </si>
  <si>
    <t>学長</t>
    <phoneticPr fontId="1"/>
  </si>
  <si>
    <t>基盤教育Ⅲ群責任者</t>
    <phoneticPr fontId="1"/>
  </si>
  <si>
    <t>本教育プログラムは全学必修であるため、入学時のオリエンテーションで情報教育に関する説明を行っている。また、Webページを通じて内容の周知を行っている。</t>
    <phoneticPr fontId="1"/>
  </si>
  <si>
    <t>基盤教育運営会議</t>
    <rPh sb="0" eb="4">
      <t>キバンキョウイク</t>
    </rPh>
    <rPh sb="4" eb="8">
      <t>ウンエイカイギ</t>
    </rPh>
    <phoneticPr fontId="1"/>
  </si>
  <si>
    <t>山口県立大学基盤教育運営会議規程</t>
    <phoneticPr fontId="1"/>
  </si>
  <si>
    <t>・ビッグデータ、IoT、AI「データサイエンス概論」(１回目、２回目)
・データ量の増加、計算機の処理性能の向上「データサイエンス概論」(１回目)
・第4次産業革命、Society 5.0、データ駆動型社会「データサイエンス概論」(１回目、３回目)
・複数技術を組み合わせたAIサービス「データサイエンス概論」(３回目)
・人間の知的活動とAIの関係性「データサイエンス概論」(２回目、３回目)
・データを起点としたものの見方、人間の知的活動を起点としたものの見方「データサイエンス概論」(２回目、３回目)</t>
    <phoneticPr fontId="1"/>
  </si>
  <si>
    <t>・AI等を活用した新しいビジネスモデル「データサイエンス概論」(３回目)
・AI最新技術の活用例「データサイエンス概論」(３回目、１４回目)</t>
    <phoneticPr fontId="1"/>
  </si>
  <si>
    <t>・ELSI「データサイエンス概論」(６回目)
・個人情報保護、忘れられる権利、オプトアウト「データサイエンス概論」(６回目)
・データ倫理：データのねつ造、改ざん、盗用、プライバシー保護「データサイエンス概論」(６回目)
・データバイアス、アルゴリズムバイアス「データサイエンス概論」(６回目)
・AIサービスの責任論「データサイエンス概論」(６回目)
・データ・AI活用における負の事例紹介「データサイエンス概論」(６回目)</t>
    <phoneticPr fontId="1"/>
  </si>
  <si>
    <t>・データサイエンスのサイクル（課題抽出と定式化、データの取得・管理・加工、探索的データ解析、データ解析と推論、結果の共有・伝達、課題解決に向けた提案）「データサイエンス概論」(４回目、５回目)
・流通、製造、サービス、インフラ、公共等におけるデータ・AI利活用事例紹介「データサイエンス概論」(３回目、１４回目)</t>
    <phoneticPr fontId="1"/>
  </si>
  <si>
    <t>・データ解析：予測、グルーピング、パターン発見、最適化、シミュレーションなど「データサイエンス演習」(１０回目～１３回目)
・データ可視化：複合グラフ、2軸グラフ、多次元の可視化、関係性の可視化、地図上の可視化など「データサイエンス概論」(８回目～１３回目)、「コンピュータ・リテラシ」(１１回目)、「データサイエンス演習」(３回目)
・非構造化データ処理：言語処理、画像/動画処理など「データサイエンス演習」(１２回目、１３回目)
・特化型AIと汎用AI、今のAIで出来ることと出来ないこと、AIとビッグデータ「データサイエンス概論」(２回目)
・認識技術「データサイエンス演習」(１５回目)</t>
    <rPh sb="53" eb="55">
      <t>カイメ</t>
    </rPh>
    <rPh sb="58" eb="60">
      <t>カイメ</t>
    </rPh>
    <rPh sb="159" eb="161">
      <t>エンシュウ</t>
    </rPh>
    <rPh sb="164" eb="166">
      <t>カイメ</t>
    </rPh>
    <rPh sb="208" eb="210">
      <t>カイメ</t>
    </rPh>
    <rPh sb="213" eb="215">
      <t>カイメ</t>
    </rPh>
    <rPh sb="294" eb="296">
      <t>カイメ</t>
    </rPh>
    <phoneticPr fontId="1"/>
  </si>
  <si>
    <t>・1次データ、2次データ、データのメタ化「データサイエンス概論」(８回目、１０回目～１３回目)、「コンピュータ・リテラシー」(４回目)
・構造化データ、非構造化データ（文章、画像/動画、音声/音楽など）「データサイエンス概論」(１４回目)、「コンピュータ・リテラシー」(４回目)
・データ作成（ビッグデータとアノテーション）「コンピュータ・リテラシー」(１０回目)、「データサイエンス演習」(１回目)
・データのオープン化（オープンデータ）「データサイエンス概論」(８回目、１０回目～１３回目)、「データサイエンス演習」(１回目)</t>
    <rPh sb="197" eb="199">
      <t>カイメ</t>
    </rPh>
    <rPh sb="262" eb="264">
      <t>カイメ</t>
    </rPh>
    <phoneticPr fontId="1"/>
  </si>
  <si>
    <t>・匿名加工情報、暗号化、パスワード、悪意ある情報搾取「データサイエンス概論」(６回目)、「コンピュータ・リテラシー」(１回目)
・情報漏洩等によるセキュリティ事故の事例紹介「データサイエンス概論」(６回目)</t>
  </si>
  <si>
    <t>・データの分布(ヒストグラム)と代表値（平均値、中央値、最頻値）「データサイエンス概論」（１０回目～１３回目）、「コンピュータ・リテラシー」(８回目)、「データサイエンス演習」(２回目)
・代表値の性質の違い（実社会では平均値＝最頻値でないことが多い）「データサイエンス概論」（１０回目～１３回目）、「データサイエンス演習」(２回目)
・データのばらつき（分散、標準偏差、偏差値）「データサイエンス概論」（１０回目～１３回目）、「コンピュータ・リテラシー」(９回目)、「データサイエンス演習」(２回目)
・観測データに含まれる誤差の扱い「データサイエンス概論」（１０回目～１３回目）、「データサイエンス演習」(１０回目、１１回目、１３回目)
・打ち切りや脱落を含むデータ「データサイエンス概論」（１０回目～１３回目）、「データサイエンス演習」(６回目)
・相関と因果（相関係数、擬似相関）「データサイエンス概論」（１０回目～１３回目）、「データサイエンス演習」(５回目)
・母集団と標本抽出（国勢調査、アンケート調査、全数調査）「データサイエンス概論」（１０回目～１３回目）、「データサイエンス演習」(１回目)
・クロス集計表、分割表、相関係数行列「データサイエンス概論」（１０回目～１３回目）、「データサイエンス演習」(５回目、６回目)
・統計情報の正しい理解「データサイエンス概論」（１０回目～１３回目）、「データサイエンス演習」(５回目)</t>
    <rPh sb="41" eb="43">
      <t>ガイロン</t>
    </rPh>
    <rPh sb="72" eb="74">
      <t>カイメ</t>
    </rPh>
    <rPh sb="85" eb="87">
      <t>エンシュウ</t>
    </rPh>
    <rPh sb="90" eb="92">
      <t>カイメ</t>
    </rPh>
    <rPh sb="230" eb="232">
      <t>カイメ</t>
    </rPh>
    <rPh sb="312" eb="314">
      <t>カイメ</t>
    </rPh>
    <rPh sb="317" eb="319">
      <t>カイメ</t>
    </rPh>
    <rPh sb="566" eb="568">
      <t>カイメ</t>
    </rPh>
    <phoneticPr fontId="1"/>
  </si>
  <si>
    <t>・データ表現（棒グラフ、折線グラフ、散布図、ヒートマップ）「データサイエンス概論」（１０回目～１３回目）、「コンピュータ・リテラシー」(１０回目、１１回目)、「データサイエンス演習」(３回目)
・データの図表表現（チャート化）「データサイエンス概論」（１０回目～１３回目）
・データの比較（条件をそろえた比較、処理の前後での比較)「データサイエンス演習(８回目)」
・不適切なグラフ表現（不必要な視覚的要素）「コンピュータ・リテラシー」(１０回目)、「データサイエンス演習」(３回目)
・優れた可視化事例の紹介（可視化することによって新たな気づきがあった事例など）「データサイエンス概論」（７回目）</t>
    <rPh sb="70" eb="72">
      <t>カイメ</t>
    </rPh>
    <rPh sb="88" eb="90">
      <t>エンシュウ</t>
    </rPh>
    <rPh sb="93" eb="95">
      <t>カイメ</t>
    </rPh>
    <rPh sb="174" eb="176">
      <t>エンシュウ</t>
    </rPh>
    <rPh sb="178" eb="180">
      <t>カイメ</t>
    </rPh>
    <rPh sb="221" eb="223">
      <t>カイメ</t>
    </rPh>
    <rPh sb="234" eb="236">
      <t>エンシュウ</t>
    </rPh>
    <rPh sb="239" eb="241">
      <t>カイメ</t>
    </rPh>
    <rPh sb="291" eb="293">
      <t>ガイロン</t>
    </rPh>
    <phoneticPr fontId="1"/>
  </si>
  <si>
    <t>・データの集計「データサイエンス概論」(１０回目～１３回目)、「コンピュータ・リテラシー」(８回目)、「データサイエンス演習」(６回目)
・データの並び替え、ランキング「データサイエンス概論」(１０回目～１３回目)、「コンピュータ・リテラシー」(８回目、９回目)
・データ解析ツール（スプレッドシート）「データサイエンス概論」(１０回目～１３回目)、「データサイエンス演習」(７回目～９回目)
・表形式のデータ（csv)「データサイエンス概論」(８回目)、「データサイエンス演習」(９回目)</t>
    <rPh sb="128" eb="130">
      <t>カイメ</t>
    </rPh>
    <rPh sb="184" eb="186">
      <t>エンシュウ</t>
    </rPh>
    <rPh sb="189" eb="191">
      <t>カイメ</t>
    </rPh>
    <rPh sb="193" eb="195">
      <t>カイメ</t>
    </rPh>
    <rPh sb="237" eb="239">
      <t>エンシュウ</t>
    </rPh>
    <rPh sb="242" eb="244">
      <t>カイメ</t>
    </rPh>
    <phoneticPr fontId="1"/>
  </si>
  <si>
    <t>基盤教育運営会議</t>
    <rPh sb="0" eb="8">
      <t>キバンキョウイクウンエイカイギ</t>
    </rPh>
    <phoneticPr fontId="1"/>
  </si>
  <si>
    <t>池田史子</t>
    <rPh sb="0" eb="2">
      <t>イケダ</t>
    </rPh>
    <rPh sb="2" eb="4">
      <t>フミコ</t>
    </rPh>
    <rPh sb="3" eb="4">
      <t>コ</t>
    </rPh>
    <phoneticPr fontId="1"/>
  </si>
  <si>
    <t>学長補佐（基盤教育担当）</t>
    <rPh sb="0" eb="2">
      <t>ガクチョウ</t>
    </rPh>
    <rPh sb="2" eb="4">
      <t>ホサ</t>
    </rPh>
    <rPh sb="5" eb="11">
      <t>キバンキョウイクタントウ</t>
    </rPh>
    <phoneticPr fontId="1"/>
  </si>
  <si>
    <t>本学では、本教育プログラムを構成する３科目を含めた全ての科目に対して学生による授業評価アンケートを行っている。授業担当者は、授業評価アンケートの結果と授業評価の現状や改善点などを記入した授業評価の振り返りシートを提出している。これらの振り返りシートをもとに、４つの科目群ごとに「授業改善のためのcheck &amp; action」シートに基づいて検討し、その結果を基盤教育運営会議長に提出、基盤教育運営会議の議長が全体を見て成果や改善点を会議で指示するほか、全学の教育推進本部会議に報告することとなっている。これにより、授業改善が科目レベル・プログラムレベル・全学レベルで共有できる仕組みとなっている。</t>
    <rPh sb="183" eb="185">
      <t>ウンエイ</t>
    </rPh>
    <rPh sb="194" eb="198">
      <t>キョウイクウンエイ</t>
    </rPh>
    <phoneticPr fontId="1"/>
  </si>
  <si>
    <t>本教育プログラムは令和4年度入学生から全学必修であるため、全学生の履修率100%を達成できる。また、学生の履修状況や基盤教育全体の教育の進捗、改善状況等については、毎月開催する全学の「教育推進本部会議」において確認したり審議したりすることとなっている。</t>
    <rPh sb="9" eb="11">
      <t>レイワ</t>
    </rPh>
    <rPh sb="12" eb="14">
      <t>ネンド</t>
    </rPh>
    <rPh sb="14" eb="17">
      <t>ニュウガクセイ</t>
    </rPh>
    <rPh sb="29" eb="32">
      <t>ゼンガクセイ</t>
    </rPh>
    <rPh sb="50" eb="52">
      <t>ガクセイ</t>
    </rPh>
    <rPh sb="53" eb="55">
      <t>リシュウ</t>
    </rPh>
    <rPh sb="55" eb="57">
      <t>ジョウキョウ</t>
    </rPh>
    <rPh sb="58" eb="60">
      <t>キバン</t>
    </rPh>
    <rPh sb="60" eb="62">
      <t>キョウイク</t>
    </rPh>
    <rPh sb="62" eb="64">
      <t>ゼンタイ</t>
    </rPh>
    <rPh sb="65" eb="67">
      <t>キョウイク</t>
    </rPh>
    <rPh sb="68" eb="70">
      <t>シンチョク</t>
    </rPh>
    <rPh sb="71" eb="73">
      <t>カイゼン</t>
    </rPh>
    <rPh sb="73" eb="75">
      <t>ジョウキョウ</t>
    </rPh>
    <rPh sb="75" eb="76">
      <t>トウ</t>
    </rPh>
    <rPh sb="82" eb="84">
      <t>マイツキ</t>
    </rPh>
    <rPh sb="84" eb="86">
      <t>カイサイ</t>
    </rPh>
    <rPh sb="88" eb="90">
      <t>ゼンガク</t>
    </rPh>
    <rPh sb="92" eb="94">
      <t>キョウイク</t>
    </rPh>
    <rPh sb="94" eb="96">
      <t>スイシン</t>
    </rPh>
    <rPh sb="96" eb="100">
      <t>ホンブカイギ</t>
    </rPh>
    <rPh sb="105" eb="107">
      <t>カクニン</t>
    </rPh>
    <rPh sb="110" eb="112">
      <t>シンギ</t>
    </rPh>
    <phoneticPr fontId="1"/>
  </si>
  <si>
    <t>本学では、毎年キャリサポートセンターが卒業生へアンケートを行っており、卒業生の進路や活躍状況が把握できる仕組みを構築している。令和4年度の新入生から開始した新カリキュラムの卒業生を輩出するのは令和7年度であり、毎年実施する卒業時調査と進路状況の把握において評価する。
なお、令和4年度末に実施した卒業生調査・企業調査には、情報教育・データサイエンス教育等に関する質問事項を入れている。令和5年度前期中に得られる調査結果をふまえ、具体的に授業への改善に反映させる。</t>
    <rPh sb="63" eb="65">
      <t>レイワ</t>
    </rPh>
    <rPh sb="66" eb="68">
      <t>ネンド</t>
    </rPh>
    <rPh sb="69" eb="72">
      <t>シンニュウセイ</t>
    </rPh>
    <rPh sb="74" eb="76">
      <t>カイシ</t>
    </rPh>
    <rPh sb="78" eb="79">
      <t>シン</t>
    </rPh>
    <rPh sb="86" eb="89">
      <t>ソツギョウセイ</t>
    </rPh>
    <rPh sb="90" eb="92">
      <t>ハイシュツ</t>
    </rPh>
    <rPh sb="96" eb="98">
      <t>レイワ</t>
    </rPh>
    <rPh sb="99" eb="101">
      <t>ネンド</t>
    </rPh>
    <rPh sb="105" eb="107">
      <t>マイトシ</t>
    </rPh>
    <rPh sb="107" eb="109">
      <t>ジッシ</t>
    </rPh>
    <rPh sb="111" eb="114">
      <t>ソツギョウジ</t>
    </rPh>
    <rPh sb="114" eb="116">
      <t>チョウサ</t>
    </rPh>
    <rPh sb="117" eb="121">
      <t>シンロジョウキョウ</t>
    </rPh>
    <rPh sb="122" eb="124">
      <t>ハアク</t>
    </rPh>
    <rPh sb="128" eb="130">
      <t>ヒョウカ</t>
    </rPh>
    <rPh sb="192" eb="194">
      <t>レイワ</t>
    </rPh>
    <rPh sb="195" eb="197">
      <t>ネンド</t>
    </rPh>
    <rPh sb="197" eb="199">
      <t>ゼンキ</t>
    </rPh>
    <rPh sb="199" eb="200">
      <t>チュウ</t>
    </rPh>
    <rPh sb="205" eb="207">
      <t>チョウサ</t>
    </rPh>
    <phoneticPr fontId="1"/>
  </si>
  <si>
    <t>本教育プログラムでは実社会でデータサイエンスがどのように活用されているかについて、複数のゲストスピーカーを招き、実践事例を紹介している。その際、これらの方々や関係者から、本教育プログラムの意見を収集している。さらに、令和4年度から開始した基盤教育科目「やまぐち未来デザインプロジェクトⅠ・Ⅱ」では、データサイエンスで学ぶ知識とスキルを活用するように授業デザインを行っている。具体的にはデータを用いて地域課題を説明するため、経済産業省の「地域経済分析システム（RESAS：リーサス）」の授業を組み込み、その他の統計情報も収集して資料を作成し、グループで議論を行い、発表する形をとっている。最終発表会では、行政や企業からの評価者を招き、学生へのフィードバックを得る他、授業に対するコメントも得ている。これらについても、数理・データサイエンス関連科目の内容・手法に反映している。</t>
    <rPh sb="293" eb="298">
      <t>サイシュウハッピョウカイ</t>
    </rPh>
    <rPh sb="301" eb="303">
      <t>ギョウセイ</t>
    </rPh>
    <rPh sb="304" eb="306">
      <t>キギョウ</t>
    </rPh>
    <rPh sb="309" eb="312">
      <t>ヒョウカシャ</t>
    </rPh>
    <rPh sb="313" eb="314">
      <t>マネ</t>
    </rPh>
    <rPh sb="316" eb="318">
      <t>ガクセイ</t>
    </rPh>
    <rPh sb="328" eb="329">
      <t>エ</t>
    </rPh>
    <rPh sb="330" eb="331">
      <t>ホカ</t>
    </rPh>
    <rPh sb="332" eb="334">
      <t>ジュギョウ</t>
    </rPh>
    <rPh sb="335" eb="336">
      <t>タイ</t>
    </rPh>
    <rPh sb="343" eb="344">
      <t>エ</t>
    </rPh>
    <rPh sb="357" eb="359">
      <t>スウリ</t>
    </rPh>
    <rPh sb="368" eb="370">
      <t>カンレン</t>
    </rPh>
    <rPh sb="370" eb="372">
      <t>カモク</t>
    </rPh>
    <rPh sb="373" eb="375">
      <t>ナイヨウ</t>
    </rPh>
    <rPh sb="376" eb="378">
      <t>シュホウ</t>
    </rPh>
    <rPh sb="379" eb="381">
      <t>ハンエイ</t>
    </rPh>
    <phoneticPr fontId="1"/>
  </si>
  <si>
    <t>本教育プログラムを構成する「データサイエンス概論」、「コンピュータ・リテラシー」、「データサイエンス演習」は１年次の必修科目であるため、履修者数は1年生全員である。そのため、履修者数・履修者率向上の工夫は必要なく、全員が履修する。このことは、入学時に配布する「履修の手引き」に記載しており、入学時のオリエンテーションで説明している。また、履修登録が自動的に行われるようになっている。</t>
    <rPh sb="68" eb="71">
      <t>リシュウシャ</t>
    </rPh>
    <rPh sb="71" eb="72">
      <t>スウ</t>
    </rPh>
    <rPh sb="74" eb="76">
      <t>ネンセイ</t>
    </rPh>
    <rPh sb="76" eb="78">
      <t>ゼンイン</t>
    </rPh>
    <rPh sb="87" eb="90">
      <t>リシュウシャ</t>
    </rPh>
    <rPh sb="90" eb="91">
      <t>スウ</t>
    </rPh>
    <rPh sb="92" eb="95">
      <t>リシュウシャ</t>
    </rPh>
    <rPh sb="95" eb="96">
      <t>リツ</t>
    </rPh>
    <rPh sb="96" eb="98">
      <t>コウジョウ</t>
    </rPh>
    <rPh sb="99" eb="101">
      <t>クフウ</t>
    </rPh>
    <rPh sb="102" eb="104">
      <t>ヒツヨウ</t>
    </rPh>
    <rPh sb="107" eb="109">
      <t>ゼンイン</t>
    </rPh>
    <rPh sb="110" eb="112">
      <t>リシュウ</t>
    </rPh>
    <phoneticPr fontId="1"/>
  </si>
  <si>
    <t>本教育プログラムは、令和４年度入学生から全学（3学部5学科）必修である。</t>
    <rPh sb="24" eb="26">
      <t>ガクブ</t>
    </rPh>
    <rPh sb="27" eb="29">
      <t>ガッカ</t>
    </rPh>
    <phoneticPr fontId="1"/>
  </si>
  <si>
    <t>本教育プログラムは令和４年度入学生から全学必修（3学部5学科）である。</t>
    <phoneticPr fontId="1"/>
  </si>
  <si>
    <t>本教育プログラムは令和４年度入学生から全学必修である。本教育プログラムを構成する「コンピュータ・リテラシー」、「データサイエンス演習」では、40名から60名程度のクラスに細分化し、それぞれ原則としてTAを１名配置している。また、令和5年度からは特任教員を2名配置し、授業の補助や時間外学修の相談時間を充実させ、学習支援体制を整備したところである。</t>
    <rPh sb="155" eb="157">
      <t>ガクシュウ</t>
    </rPh>
    <phoneticPr fontId="1"/>
  </si>
  <si>
    <t>授業では教員とTAが質問に応じ、授業時間外においてはLMSやメール等によるオンラインまたはオフィスアワー等による対面で応じている。また、コンピューター学習室を用意し、学生の自主学習環境を整備している。令和5年度からはさらに、予約制で学習相談に当たる学習支援制度を開始したほか、定期的に勉強会を開催することとしている。</t>
    <rPh sb="75" eb="78">
      <t>ガクシュウシツ</t>
    </rPh>
    <rPh sb="79" eb="81">
      <t>ヨウイ</t>
    </rPh>
    <rPh sb="83" eb="85">
      <t>ガクセイ</t>
    </rPh>
    <rPh sb="86" eb="90">
      <t>ジシュガクシュウ</t>
    </rPh>
    <rPh sb="90" eb="92">
      <t>カンキョウ</t>
    </rPh>
    <rPh sb="93" eb="95">
      <t>セイビ</t>
    </rPh>
    <rPh sb="100" eb="102">
      <t>レイワ</t>
    </rPh>
    <rPh sb="103" eb="105">
      <t>ネンド</t>
    </rPh>
    <rPh sb="112" eb="115">
      <t>ヨヤクセイ</t>
    </rPh>
    <rPh sb="116" eb="120">
      <t>ガクシュウソウダン</t>
    </rPh>
    <rPh sb="121" eb="122">
      <t>ア</t>
    </rPh>
    <rPh sb="124" eb="128">
      <t>ガクシュウシエン</t>
    </rPh>
    <rPh sb="128" eb="130">
      <t>セイド</t>
    </rPh>
    <rPh sb="131" eb="133">
      <t>カイシ</t>
    </rPh>
    <rPh sb="138" eb="141">
      <t>テイキテキ</t>
    </rPh>
    <rPh sb="142" eb="145">
      <t>ベンキョウカイ</t>
    </rPh>
    <rPh sb="146" eb="148">
      <t>カイサイ</t>
    </rPh>
    <phoneticPr fontId="1"/>
  </si>
  <si>
    <t>畔津忠博</t>
    <rPh sb="0" eb="2">
      <t>アゼツ</t>
    </rPh>
    <rPh sb="2" eb="4">
      <t>タダヒロ</t>
    </rPh>
    <phoneticPr fontId="1"/>
  </si>
  <si>
    <t>基盤教育運営会議　議長　国際文化学部　教授　池田史子
基盤教育運営会議　委員
　看護栄養学部看護学科　教授　甲原定房
　看護栄養学部栄養学科　教授　今村主税
　国際文化学部文化創造学科　准教授　吉岡一志
　社会福祉学部社会福祉学科　准教授　角田憲治
　国際文化学部文化創造学科　准教授　小橋圭介
　国際文化学部国際文化学科　教授　ウィルソン・エイミー
　国際文化学部国際文化学科　講師　スワンソン・マーク
　国際文化学部国際文化学科　教授　林炫情
　国際文化学部国際文化学科　准教授　畔津忠博
　国際文化学部文化創造学科　講師　仲村拓真
　国際文化学部文化創造学科　教授　松尾量子</t>
    <rPh sb="0" eb="4">
      <t>キバンキョウイク</t>
    </rPh>
    <rPh sb="4" eb="8">
      <t>ウンエイカイギ</t>
    </rPh>
    <rPh sb="9" eb="11">
      <t>ギチョウ</t>
    </rPh>
    <rPh sb="27" eb="29">
      <t>キバン</t>
    </rPh>
    <rPh sb="29" eb="31">
      <t>キョウイク</t>
    </rPh>
    <rPh sb="36" eb="38">
      <t>イイン</t>
    </rPh>
    <rPh sb="40" eb="46">
      <t>カンゴエイヨウガクブ</t>
    </rPh>
    <rPh sb="46" eb="50">
      <t>カンゴガッカ</t>
    </rPh>
    <rPh sb="51" eb="53">
      <t>キョウジュ</t>
    </rPh>
    <rPh sb="54" eb="56">
      <t>コウハラ</t>
    </rPh>
    <rPh sb="56" eb="58">
      <t>サダフサ</t>
    </rPh>
    <rPh sb="66" eb="70">
      <t>エイヨウガッカ</t>
    </rPh>
    <rPh sb="74" eb="76">
      <t>イマムラ</t>
    </rPh>
    <rPh sb="76" eb="78">
      <t>シュゼイ</t>
    </rPh>
    <rPh sb="86" eb="88">
      <t>ブンカ</t>
    </rPh>
    <rPh sb="88" eb="90">
      <t>ソウゾウ</t>
    </rPh>
    <rPh sb="90" eb="92">
      <t>ガッカ</t>
    </rPh>
    <rPh sb="93" eb="94">
      <t>ジュン</t>
    </rPh>
    <rPh sb="97" eb="101">
      <t>ヨシオカカズシ</t>
    </rPh>
    <rPh sb="103" eb="105">
      <t>シャカイ</t>
    </rPh>
    <rPh sb="105" eb="107">
      <t>フクシ</t>
    </rPh>
    <rPh sb="109" eb="115">
      <t>シャカイフクシガッカ</t>
    </rPh>
    <rPh sb="120" eb="122">
      <t>ツノダ</t>
    </rPh>
    <rPh sb="132" eb="134">
      <t>ブンカ</t>
    </rPh>
    <rPh sb="134" eb="136">
      <t>ソウゾウ</t>
    </rPh>
    <rPh sb="136" eb="138">
      <t>ガッカ</t>
    </rPh>
    <rPh sb="143" eb="145">
      <t>コハシ</t>
    </rPh>
    <rPh sb="145" eb="147">
      <t>ケイスケ</t>
    </rPh>
    <rPh sb="155" eb="157">
      <t>コクサイ</t>
    </rPh>
    <rPh sb="157" eb="159">
      <t>ブンカ</t>
    </rPh>
    <rPh sb="159" eb="161">
      <t>ガッカ</t>
    </rPh>
    <rPh sb="183" eb="185">
      <t>コクサイ</t>
    </rPh>
    <rPh sb="185" eb="187">
      <t>ブンカ</t>
    </rPh>
    <rPh sb="187" eb="189">
      <t>ガッカ</t>
    </rPh>
    <rPh sb="190" eb="192">
      <t>コウシ</t>
    </rPh>
    <rPh sb="210" eb="212">
      <t>コクサイ</t>
    </rPh>
    <rPh sb="212" eb="214">
      <t>ブンカ</t>
    </rPh>
    <rPh sb="214" eb="216">
      <t>ガッカ</t>
    </rPh>
    <rPh sb="220" eb="221">
      <t>イム</t>
    </rPh>
    <rPh sb="221" eb="223">
      <t>ヒョンジョン</t>
    </rPh>
    <rPh sb="231" eb="233">
      <t>コクサイ</t>
    </rPh>
    <rPh sb="233" eb="235">
      <t>ブンカ</t>
    </rPh>
    <rPh sb="235" eb="237">
      <t>ガッカ</t>
    </rPh>
    <rPh sb="254" eb="256">
      <t>ブンカ</t>
    </rPh>
    <rPh sb="256" eb="258">
      <t>ソウゾウ</t>
    </rPh>
    <rPh sb="258" eb="260">
      <t>ガッカ</t>
    </rPh>
    <rPh sb="264" eb="266">
      <t>ナカムラ</t>
    </rPh>
    <rPh sb="266" eb="268">
      <t>タクマ</t>
    </rPh>
    <rPh sb="276" eb="278">
      <t>ブンカ</t>
    </rPh>
    <rPh sb="278" eb="280">
      <t>ソウゾウ</t>
    </rPh>
    <rPh sb="280" eb="282">
      <t>ガッカ</t>
    </rPh>
    <rPh sb="286" eb="288">
      <t>マツオ</t>
    </rPh>
    <rPh sb="288" eb="290">
      <t>リョウコ</t>
    </rPh>
    <phoneticPr fontId="1"/>
  </si>
  <si>
    <t>本学の教務部門は学生情報システム(GAKUEN)の運用を通じて、本教育プログラムを構成する３科目を含めた全ての科目の履修状況、単位取得状況、成績分布を把握している。また、これらのデータの一部は、各学部の中で閲覧権限が付与されている学部長、学科長、チューター教員が確認できる。チューター教員は学科長からの指示により、グレードポイントアベレージ(GPA)に基づき必要に応じて学生に対して学習指導を行っている。
出席状況に不安がある学生については、実習助手を通して把握し、学科長に連絡後、チューター教員が他の科目の履修状況とも合わせて指導する体制となっている。また、毎学期末に学生が振り返りを入力し、チューター教員がコメントをフィードバックする学修ポートフォリオも活用し、履修・修得状況や学習状況を把握している。</t>
    <phoneticPr fontId="1"/>
  </si>
  <si>
    <t>授業評価の質問項目の中で、「演習では、各学生の意欲や理解を深める上での工夫がみられましたか？」、「全体を通して、演習の内容が理解できましたか？」、「総合的に判断して、この授業に満足できましたか？」などの、理解度や満足度に関連したものがあるので、これらの結果を分析することで、学生の理解度、満足度、それらの関連などの分析が可能である。この基礎分析は本学のアンケート実施主幹部署にて行い、成績分布図をそえて提出する。
本教育プログラムを構成する３科目については、まず、各授業科目の担当教員が授業アンケートに対する振り返りを記載し、成績分布とともに基盤教育運営会議議長に提出し、改善が必要な場合は議長が指示をする仕組みとなっている。次に、本事業の3科目からなる基盤教育第Ⅲ群「数理・データサイエンス科目」を担う教員全員が、Ⅲ群を構成する科目全体の運営について話し合い、その結果を記入する「教育改善を可視化する主体的Check &amp; Actionシステム」ワークシートで確認している。さらに、Ⅲ群を含めた４つの群全体のワークシートを基盤教育運営会議で協議し、教育改善に努めるほか、毎月開催される全学の「教育推進本部会議」（本部長：学長）において状況を共有している。
各科目では15回の授業中に小テストや課題を出し、その結果を見て学生の理解度を図りつつ授業を進めている。</t>
    <rPh sb="233" eb="235">
      <t>ジュギョウ</t>
    </rPh>
    <rPh sb="238" eb="240">
      <t>タントウ</t>
    </rPh>
    <rPh sb="240" eb="242">
      <t>キョウイン</t>
    </rPh>
    <rPh sb="243" eb="245">
      <t>ジュギョウ</t>
    </rPh>
    <rPh sb="251" eb="252">
      <t>タイ</t>
    </rPh>
    <rPh sb="254" eb="255">
      <t>フ</t>
    </rPh>
    <rPh sb="256" eb="257">
      <t>カエ</t>
    </rPh>
    <rPh sb="259" eb="261">
      <t>キサイ</t>
    </rPh>
    <rPh sb="263" eb="265">
      <t>セイセキ</t>
    </rPh>
    <rPh sb="265" eb="267">
      <t>ブンプ</t>
    </rPh>
    <rPh sb="271" eb="275">
      <t>キバンキョウイク</t>
    </rPh>
    <rPh sb="275" eb="279">
      <t>ウンエイカイギ</t>
    </rPh>
    <rPh sb="279" eb="281">
      <t>ギチョウ</t>
    </rPh>
    <rPh sb="282" eb="284">
      <t>テイシュツ</t>
    </rPh>
    <rPh sb="286" eb="288">
      <t>カイゼン</t>
    </rPh>
    <rPh sb="289" eb="291">
      <t>ヒツヨウ</t>
    </rPh>
    <rPh sb="292" eb="294">
      <t>バアイ</t>
    </rPh>
    <rPh sb="295" eb="297">
      <t>ギチョウ</t>
    </rPh>
    <rPh sb="298" eb="300">
      <t>シジ</t>
    </rPh>
    <rPh sb="303" eb="305">
      <t>シク</t>
    </rPh>
    <rPh sb="313" eb="314">
      <t>ツギ</t>
    </rPh>
    <rPh sb="316" eb="319">
      <t>ホンジギョウ</t>
    </rPh>
    <rPh sb="321" eb="323">
      <t>カモク</t>
    </rPh>
    <rPh sb="327" eb="331">
      <t>キバンキョウイク</t>
    </rPh>
    <rPh sb="331" eb="332">
      <t>ダイ</t>
    </rPh>
    <rPh sb="335" eb="337">
      <t>スウリ</t>
    </rPh>
    <rPh sb="346" eb="348">
      <t>カモク</t>
    </rPh>
    <rPh sb="350" eb="351">
      <t>ニナ</t>
    </rPh>
    <rPh sb="352" eb="354">
      <t>キョウイン</t>
    </rPh>
    <rPh sb="354" eb="356">
      <t>ゼンイン</t>
    </rPh>
    <rPh sb="359" eb="360">
      <t>グン</t>
    </rPh>
    <rPh sb="361" eb="363">
      <t>コウセイ</t>
    </rPh>
    <rPh sb="365" eb="367">
      <t>カモク</t>
    </rPh>
    <rPh sb="367" eb="369">
      <t>ゼンタイ</t>
    </rPh>
    <rPh sb="370" eb="372">
      <t>ウンエイ</t>
    </rPh>
    <rPh sb="376" eb="377">
      <t>ハナ</t>
    </rPh>
    <rPh sb="378" eb="379">
      <t>ア</t>
    </rPh>
    <rPh sb="383" eb="385">
      <t>ケッカ</t>
    </rPh>
    <rPh sb="386" eb="388">
      <t>キニュウ</t>
    </rPh>
    <rPh sb="442" eb="443">
      <t>グン</t>
    </rPh>
    <rPh sb="444" eb="445">
      <t>フク</t>
    </rPh>
    <rPh sb="450" eb="451">
      <t>グン</t>
    </rPh>
    <rPh sb="451" eb="453">
      <t>ゼンタイ</t>
    </rPh>
    <rPh sb="474" eb="476">
      <t>キョウイク</t>
    </rPh>
    <rPh sb="476" eb="478">
      <t>カイゼン</t>
    </rPh>
    <rPh sb="479" eb="480">
      <t>ツト</t>
    </rPh>
    <rPh sb="485" eb="487">
      <t>マイツキ</t>
    </rPh>
    <rPh sb="487" eb="489">
      <t>カイサイ</t>
    </rPh>
    <rPh sb="492" eb="494">
      <t>ゼンガク</t>
    </rPh>
    <rPh sb="496" eb="498">
      <t>キョウイク</t>
    </rPh>
    <rPh sb="498" eb="500">
      <t>スイシン</t>
    </rPh>
    <rPh sb="500" eb="504">
      <t>ホンブカイギ</t>
    </rPh>
    <rPh sb="506" eb="509">
      <t>ホンブチョウ</t>
    </rPh>
    <rPh sb="510" eb="512">
      <t>ガクチョウ</t>
    </rPh>
    <rPh sb="517" eb="519">
      <t>ジョウキョウ</t>
    </rPh>
    <rPh sb="520" eb="522">
      <t>キョウユウ</t>
    </rPh>
    <phoneticPr fontId="1"/>
  </si>
  <si>
    <t>「データサイエンス概論」においては、民間企業や研究機関で活躍している複数名の民間企業の方や研究者などをゲストスピーカーとして招聘している。過去に招聘したゲストスピーカーとしては、東証一部上場大手電機メーカーにおいて社内向けデータサイエンス教育を行っている部署の担当者の方と国立公文書館にてデジタルアーキビストとして勤務されている方であり、いずれも文系学部を出身して現在データサイエンスの現場で活躍されている方である。ゲストスピーカからは、文系がデータサイエンスを学ぶ意義とその社会への実装について実事例を交えた講義が行われ、講義時間の関係上当日対応しきれなかった学生からの質問のフィードバックも後日行う形で対応した。</t>
    <phoneticPr fontId="1"/>
  </si>
  <si>
    <t>LMSを活用することで、教材、資料に常にアクセスできるようにし予習・復習を行いやすい環境を整備している。また、一部の内容は教科書(『LibreOfficeで学ぶ情報リテラシー』, 東京電機大学出版局, 2016年)を作成している。また、教科書を用いない場合は、毎回資料を作成しPDFにして配布している。例えばプログラミングの演習では環境の構築手順から、基本的な文法、実際のプログラムの作成まで、資料を見て完結するようにしており、教材の充実に努めている。また、演習においては、データ分析やプログラムの作成など、ほぼ毎回課題を出して提出させ、段階的に理解が進むよう工夫している。</t>
    <rPh sb="269" eb="272">
      <t>ダンカイテキ</t>
    </rPh>
    <rPh sb="273" eb="275">
      <t>リカイ</t>
    </rPh>
    <rPh sb="276" eb="277">
      <t>スス</t>
    </rPh>
    <rPh sb="280" eb="282">
      <t>クフウ</t>
    </rPh>
    <phoneticPr fontId="1"/>
  </si>
  <si>
    <t>山口県立大学基盤教育運営会議は、基盤教育の組織及び運営について必要な事項を定めるために置かれている。基盤教育の中の数理・データサイエンス科目（Ⅲ群）は、身の回りのデータが持っている価値を見極めて、地域の課題解決のために効果的に役立てるにはどうすべきかを学ぶ科目群であり、客観的なデータに基づいて、科学的で合理的な分析や判断ができるようになることを目指している。Ⅲ群の授業を効果的に運営できるように基盤教育運営会議に数理・データサイエンス教育ワーキング・グループを置き、授業テーマの選定、教材の作成、授業状況の確認など定期的に授業内容の検討、見直しを行っている。</t>
    <phoneticPr fontId="1"/>
  </si>
  <si>
    <t>・データ・AI活用領域の広がり（生産、消費、文化活動など）　「データサイエンス概論」（１回目～３回目）
・研究開発、調達、製造、物流、販売、マーケティング、サービスなど　「データサイエンス概論」（１回目～３回目）
・仮説検証、知識発見、原因究明、計画策定、判断支援、活動代替、新規生成など　「データサイエンス概論」（１回目～３回目）</t>
    <rPh sb="7" eb="9">
      <t>カツヨウ</t>
    </rPh>
    <rPh sb="9" eb="11">
      <t>リョウイキ</t>
    </rPh>
    <rPh sb="12" eb="13">
      <t>ヒロ</t>
    </rPh>
    <rPh sb="16" eb="18">
      <t>セイサン</t>
    </rPh>
    <rPh sb="19" eb="21">
      <t>ショウヒ</t>
    </rPh>
    <rPh sb="22" eb="24">
      <t>ブンカ</t>
    </rPh>
    <rPh sb="24" eb="26">
      <t>カツドウ</t>
    </rPh>
    <rPh sb="39" eb="41">
      <t>ガイロン</t>
    </rPh>
    <rPh sb="53" eb="55">
      <t>ケンキュウ</t>
    </rPh>
    <rPh sb="55" eb="57">
      <t>カイハツ</t>
    </rPh>
    <rPh sb="58" eb="60">
      <t>チョウタツ</t>
    </rPh>
    <rPh sb="61" eb="63">
      <t>セイゾウ</t>
    </rPh>
    <rPh sb="64" eb="66">
      <t>ブツリュウ</t>
    </rPh>
    <rPh sb="67" eb="69">
      <t>ハンバイ</t>
    </rPh>
    <rPh sb="108" eb="110">
      <t>カセツ</t>
    </rPh>
    <rPh sb="110" eb="112">
      <t>ケンショウ</t>
    </rPh>
    <rPh sb="113" eb="115">
      <t>チシキ</t>
    </rPh>
    <rPh sb="115" eb="117">
      <t>ハッケン</t>
    </rPh>
    <rPh sb="118" eb="120">
      <t>ゲンイン</t>
    </rPh>
    <rPh sb="120" eb="122">
      <t>キュウメイ</t>
    </rPh>
    <rPh sb="123" eb="125">
      <t>ケイカク</t>
    </rPh>
    <rPh sb="125" eb="127">
      <t>サクテイ</t>
    </rPh>
    <rPh sb="128" eb="130">
      <t>ハンダン</t>
    </rPh>
    <rPh sb="130" eb="132">
      <t>シエン</t>
    </rPh>
    <rPh sb="133" eb="135">
      <t>カツドウ</t>
    </rPh>
    <rPh sb="135" eb="137">
      <t>ダイタイ</t>
    </rPh>
    <rPh sb="138" eb="140">
      <t>シンキ</t>
    </rPh>
    <rPh sb="140" eb="142">
      <t>セイセイ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</si>
</sst>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50" xfId="2" applyFont="1" applyFill="1" applyBorder="1" applyAlignment="1">
      <alignment vertical="center" shrinkToFit="1"/>
    </xf>
    <xf numFmtId="38" fontId="2" fillId="0" borderId="23" xfId="2" applyFont="1" applyFill="1" applyBorder="1" applyAlignment="1">
      <alignment vertical="center" shrinkToFit="1"/>
    </xf>
    <xf numFmtId="38" fontId="2" fillId="0" borderId="57" xfId="2" applyFont="1" applyFill="1" applyBorder="1" applyAlignment="1">
      <alignment vertical="center" shrinkToFit="1"/>
    </xf>
    <xf numFmtId="38" fontId="2" fillId="0" borderId="54" xfId="2" applyFont="1" applyFill="1" applyBorder="1" applyAlignment="1">
      <alignment vertical="center" shrinkToFit="1"/>
    </xf>
    <xf numFmtId="38" fontId="2" fillId="0" borderId="30" xfId="2" applyFont="1" applyFill="1" applyBorder="1" applyAlignment="1">
      <alignment vertical="center" shrinkToFit="1"/>
    </xf>
    <xf numFmtId="38" fontId="2" fillId="0" borderId="5" xfId="2" applyFont="1" applyFill="1" applyBorder="1" applyAlignment="1">
      <alignment vertical="center" shrinkToFit="1"/>
    </xf>
    <xf numFmtId="38" fontId="2" fillId="0" borderId="55" xfId="2" applyFont="1" applyFill="1" applyBorder="1" applyAlignment="1">
      <alignment vertical="center" shrinkToFit="1"/>
    </xf>
    <xf numFmtId="38" fontId="2" fillId="0" borderId="32" xfId="2" applyFont="1" applyFill="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11" fillId="0" borderId="22" xfId="0" applyFont="1" applyBorder="1" applyAlignment="1">
      <alignment horizontal="left" vertical="center" wrapText="1" shrinkToFit="1"/>
    </xf>
    <xf numFmtId="0" fontId="11" fillId="0" borderId="21" xfId="0" applyFont="1" applyBorder="1" applyAlignment="1">
      <alignment horizontal="left" vertical="center" wrapText="1" shrinkToFit="1"/>
    </xf>
    <xf numFmtId="0" fontId="2" fillId="0" borderId="36" xfId="0" applyFont="1" applyBorder="1" applyAlignment="1">
      <alignment horizontal="left" vertical="center" wrapText="1" shrinkToFit="1"/>
    </xf>
    <xf numFmtId="0" fontId="2" fillId="0" borderId="35"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11" fillId="0" borderId="6" xfId="0" applyFont="1" applyBorder="1" applyAlignment="1">
      <alignment horizontal="left" vertical="center" wrapText="1" shrinkToFit="1"/>
    </xf>
    <xf numFmtId="0" fontId="11" fillId="0" borderId="12"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11" fillId="0" borderId="38" xfId="0" applyFont="1" applyBorder="1" applyAlignment="1">
      <alignment horizontal="left" vertical="center" wrapText="1" shrinkToFit="1"/>
    </xf>
    <xf numFmtId="0" fontId="11" fillId="0" borderId="39"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35" xfId="0" applyFont="1" applyBorder="1" applyAlignment="1">
      <alignment vertical="center" wrapText="1" shrinkToFit="1"/>
    </xf>
    <xf numFmtId="0" fontId="2" fillId="0" borderId="6" xfId="0" applyFont="1" applyBorder="1" applyAlignment="1">
      <alignment vertical="center" wrapText="1" shrinkToFit="1"/>
    </xf>
    <xf numFmtId="0" fontId="2" fillId="0" borderId="12" xfId="0" applyFont="1" applyBorder="1" applyAlignment="1">
      <alignmen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8" xfId="0" applyFont="1" applyBorder="1" applyAlignment="1">
      <alignment horizontal="left" vertical="center" wrapText="1" shrinkToFit="1"/>
    </xf>
    <xf numFmtId="0" fontId="11" fillId="0" borderId="8" xfId="0" applyFont="1" applyBorder="1" applyAlignment="1">
      <alignment horizontal="left" vertical="center" wrapText="1" shrinkToFit="1"/>
    </xf>
    <xf numFmtId="0" fontId="11" fillId="0" borderId="9" xfId="0" applyFont="1" applyBorder="1" applyAlignment="1">
      <alignment horizontal="left" vertical="center" wrapText="1"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8" xfId="0" applyFont="1" applyFill="1" applyBorder="1" applyAlignment="1">
      <alignment horizontal="left" vertical="center" wrapText="1" shrinkToFit="1"/>
    </xf>
    <xf numFmtId="0" fontId="11" fillId="0" borderId="8" xfId="0" applyFont="1" applyFill="1" applyBorder="1" applyAlignment="1">
      <alignment horizontal="left" vertical="center" wrapText="1" shrinkToFit="1"/>
    </xf>
    <xf numFmtId="0" fontId="11" fillId="0" borderId="9" xfId="0" applyFont="1" applyFill="1" applyBorder="1" applyAlignment="1">
      <alignment horizontal="left" vertical="center" wrapText="1" shrinkToFit="1"/>
    </xf>
    <xf numFmtId="0" fontId="2" fillId="0" borderId="38" xfId="0" applyFont="1" applyFill="1" applyBorder="1" applyAlignment="1">
      <alignment horizontal="left" vertical="center" wrapText="1" shrinkToFit="1"/>
    </xf>
    <xf numFmtId="0" fontId="11" fillId="0" borderId="38" xfId="0" applyFont="1" applyFill="1" applyBorder="1" applyAlignment="1">
      <alignment horizontal="left" vertical="center" wrapText="1" shrinkToFit="1"/>
    </xf>
    <xf numFmtId="0" fontId="11" fillId="0" borderId="39" xfId="0" applyFont="1" applyFill="1" applyBorder="1" applyAlignment="1">
      <alignment horizontal="left" vertical="center"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topLeftCell="A91" zoomScaleNormal="100" zoomScaleSheetLayoutView="100" workbookViewId="0">
      <selection activeCell="D92" sqref="D92:S92"/>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9" t="s">
        <v>12</v>
      </c>
      <c r="S1" s="109"/>
      <c r="T1" s="2" t="s">
        <v>110</v>
      </c>
    </row>
    <row r="2" spans="1:22" ht="18.75" customHeight="1" x14ac:dyDescent="0.15">
      <c r="B2" s="34" t="s">
        <v>109</v>
      </c>
      <c r="C2" s="102" t="s">
        <v>133</v>
      </c>
      <c r="D2" s="103"/>
      <c r="E2" s="103"/>
      <c r="F2" s="103"/>
      <c r="G2" s="103"/>
      <c r="H2" s="103"/>
      <c r="I2" s="104"/>
      <c r="J2" s="35"/>
      <c r="K2" s="6"/>
      <c r="L2" s="6"/>
      <c r="M2" s="6"/>
      <c r="N2" s="6"/>
      <c r="O2" s="6"/>
      <c r="P2" s="6"/>
      <c r="Q2" s="6"/>
      <c r="R2" s="6"/>
      <c r="S2" s="6"/>
    </row>
    <row r="3" spans="1:22" ht="18.75" customHeight="1" x14ac:dyDescent="0.15">
      <c r="B3" s="34" t="s">
        <v>103</v>
      </c>
      <c r="C3" s="113" t="s">
        <v>134</v>
      </c>
      <c r="D3" s="114"/>
      <c r="E3" s="114"/>
      <c r="F3" s="114"/>
      <c r="G3" s="114"/>
      <c r="H3" s="114"/>
      <c r="I3" s="115"/>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16" t="s">
        <v>39</v>
      </c>
      <c r="B5" s="116"/>
      <c r="C5" s="116"/>
      <c r="D5" s="116"/>
      <c r="E5" s="116"/>
      <c r="F5" s="116"/>
      <c r="G5" s="116"/>
      <c r="H5" s="116"/>
      <c r="I5" s="116"/>
      <c r="J5" s="116"/>
      <c r="K5" s="116"/>
      <c r="L5" s="116"/>
      <c r="M5" s="116"/>
      <c r="N5" s="116"/>
      <c r="O5" s="116"/>
      <c r="P5" s="116"/>
      <c r="Q5" s="116"/>
      <c r="R5" s="116"/>
      <c r="S5" s="116"/>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26" t="s">
        <v>136</v>
      </c>
      <c r="L7" s="127"/>
      <c r="M7" s="127"/>
      <c r="N7" s="127"/>
      <c r="O7" s="127"/>
      <c r="P7" s="127"/>
      <c r="Q7" s="127"/>
      <c r="R7" s="127"/>
      <c r="S7" s="128"/>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90"/>
      <c r="C9" s="91"/>
      <c r="D9" s="91"/>
      <c r="E9" s="91"/>
      <c r="F9" s="91"/>
      <c r="G9" s="91"/>
      <c r="H9" s="91"/>
      <c r="I9" s="91"/>
      <c r="J9" s="91"/>
      <c r="K9" s="91"/>
      <c r="L9" s="91"/>
      <c r="M9" s="91"/>
      <c r="N9" s="91"/>
      <c r="O9" s="91"/>
      <c r="P9" s="91"/>
      <c r="Q9" s="91"/>
      <c r="R9" s="91"/>
      <c r="S9" s="92"/>
    </row>
    <row r="10" spans="1:22" ht="18" customHeight="1" x14ac:dyDescent="0.15">
      <c r="B10" s="93"/>
      <c r="C10" s="94"/>
      <c r="D10" s="94"/>
      <c r="E10" s="94"/>
      <c r="F10" s="94"/>
      <c r="G10" s="94"/>
      <c r="H10" s="94"/>
      <c r="I10" s="94"/>
      <c r="J10" s="94"/>
      <c r="K10" s="94"/>
      <c r="L10" s="94"/>
      <c r="M10" s="94"/>
      <c r="N10" s="94"/>
      <c r="O10" s="94"/>
      <c r="P10" s="94"/>
      <c r="Q10" s="94"/>
      <c r="R10" s="94"/>
      <c r="S10" s="95"/>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17" t="s">
        <v>135</v>
      </c>
      <c r="C13" s="118"/>
      <c r="D13" s="118"/>
      <c r="E13" s="118"/>
      <c r="F13" s="118"/>
      <c r="G13" s="118"/>
      <c r="H13" s="118"/>
      <c r="I13" s="118"/>
      <c r="J13" s="118"/>
      <c r="K13" s="118"/>
      <c r="L13" s="118"/>
      <c r="M13" s="118"/>
      <c r="N13" s="118"/>
      <c r="O13" s="118"/>
      <c r="P13" s="118"/>
      <c r="Q13" s="118"/>
      <c r="R13" s="118"/>
      <c r="S13" s="119"/>
      <c r="V13" s="1" t="s">
        <v>104</v>
      </c>
    </row>
    <row r="14" spans="1:22" ht="18" customHeight="1" x14ac:dyDescent="0.15">
      <c r="B14" s="120"/>
      <c r="C14" s="121"/>
      <c r="D14" s="121"/>
      <c r="E14" s="121"/>
      <c r="F14" s="121"/>
      <c r="G14" s="121"/>
      <c r="H14" s="121"/>
      <c r="I14" s="121"/>
      <c r="J14" s="121"/>
      <c r="K14" s="121"/>
      <c r="L14" s="121"/>
      <c r="M14" s="121"/>
      <c r="N14" s="121"/>
      <c r="O14" s="121"/>
      <c r="P14" s="121"/>
      <c r="Q14" s="121"/>
      <c r="R14" s="121"/>
      <c r="S14" s="122"/>
      <c r="V14" s="1" t="s">
        <v>111</v>
      </c>
    </row>
    <row r="15" spans="1:22" ht="18" customHeight="1" x14ac:dyDescent="0.15">
      <c r="B15" s="120"/>
      <c r="C15" s="121"/>
      <c r="D15" s="121"/>
      <c r="E15" s="121"/>
      <c r="F15" s="121"/>
      <c r="G15" s="121"/>
      <c r="H15" s="121"/>
      <c r="I15" s="121"/>
      <c r="J15" s="121"/>
      <c r="K15" s="121"/>
      <c r="L15" s="121"/>
      <c r="M15" s="121"/>
      <c r="N15" s="121"/>
      <c r="O15" s="121"/>
      <c r="P15" s="121"/>
      <c r="Q15" s="121"/>
      <c r="R15" s="121"/>
      <c r="S15" s="122"/>
      <c r="V15" s="1" t="s">
        <v>124</v>
      </c>
    </row>
    <row r="16" spans="1:22" ht="18" customHeight="1" x14ac:dyDescent="0.15">
      <c r="B16" s="120"/>
      <c r="C16" s="121"/>
      <c r="D16" s="121"/>
      <c r="E16" s="121"/>
      <c r="F16" s="121"/>
      <c r="G16" s="121"/>
      <c r="H16" s="121"/>
      <c r="I16" s="121"/>
      <c r="J16" s="121"/>
      <c r="K16" s="121"/>
      <c r="L16" s="121"/>
      <c r="M16" s="121"/>
      <c r="N16" s="121"/>
      <c r="O16" s="121"/>
      <c r="P16" s="121"/>
      <c r="Q16" s="121"/>
      <c r="R16" s="121"/>
      <c r="S16" s="122"/>
      <c r="V16" s="1" t="s">
        <v>126</v>
      </c>
    </row>
    <row r="17" spans="1:19" ht="18" customHeight="1" x14ac:dyDescent="0.15">
      <c r="B17" s="120"/>
      <c r="C17" s="121"/>
      <c r="D17" s="121"/>
      <c r="E17" s="121"/>
      <c r="F17" s="121"/>
      <c r="G17" s="121"/>
      <c r="H17" s="121"/>
      <c r="I17" s="121"/>
      <c r="J17" s="121"/>
      <c r="K17" s="121"/>
      <c r="L17" s="121"/>
      <c r="M17" s="121"/>
      <c r="N17" s="121"/>
      <c r="O17" s="121"/>
      <c r="P17" s="121"/>
      <c r="Q17" s="121"/>
      <c r="R17" s="121"/>
      <c r="S17" s="122"/>
    </row>
    <row r="18" spans="1:19" ht="18" customHeight="1" x14ac:dyDescent="0.15">
      <c r="B18" s="123"/>
      <c r="C18" s="124"/>
      <c r="D18" s="124"/>
      <c r="E18" s="124"/>
      <c r="F18" s="124"/>
      <c r="G18" s="124"/>
      <c r="H18" s="124"/>
      <c r="I18" s="124"/>
      <c r="J18" s="124"/>
      <c r="K18" s="124"/>
      <c r="L18" s="124"/>
      <c r="M18" s="124"/>
      <c r="N18" s="124"/>
      <c r="O18" s="124"/>
      <c r="P18" s="124"/>
      <c r="Q18" s="124"/>
      <c r="R18" s="124"/>
      <c r="S18" s="125"/>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102">
        <v>6</v>
      </c>
      <c r="D20" s="104"/>
      <c r="E20" s="40" t="s">
        <v>96</v>
      </c>
      <c r="G20" s="10"/>
      <c r="H20" s="3"/>
      <c r="I20" s="3"/>
      <c r="J20" s="35" t="s">
        <v>122</v>
      </c>
      <c r="K20" s="110" t="s">
        <v>111</v>
      </c>
      <c r="L20" s="111"/>
      <c r="M20" s="111"/>
      <c r="N20" s="111"/>
      <c r="O20" s="111"/>
      <c r="P20" s="111"/>
      <c r="Q20" s="111"/>
      <c r="R20" s="111"/>
      <c r="S20" s="112"/>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5" t="s">
        <v>114</v>
      </c>
      <c r="B22" s="105"/>
      <c r="C22" s="105"/>
      <c r="D22" s="105"/>
      <c r="E22" s="105"/>
      <c r="F22" s="105"/>
      <c r="G22" s="105"/>
      <c r="H22" s="105"/>
      <c r="I22" s="105"/>
      <c r="J22" s="105"/>
      <c r="K22" s="105"/>
      <c r="L22" s="105"/>
      <c r="M22" s="105"/>
      <c r="N22" s="105"/>
      <c r="O22" s="105"/>
      <c r="P22" s="105"/>
      <c r="Q22" s="105"/>
      <c r="R22" s="105"/>
      <c r="S22" s="105"/>
    </row>
    <row r="23" spans="1:19" ht="18" customHeight="1" x14ac:dyDescent="0.15">
      <c r="A23" s="105"/>
      <c r="B23" s="105"/>
      <c r="C23" s="105"/>
      <c r="D23" s="105"/>
      <c r="E23" s="105"/>
      <c r="F23" s="105"/>
      <c r="G23" s="105"/>
      <c r="H23" s="105"/>
      <c r="I23" s="105"/>
      <c r="J23" s="105"/>
      <c r="K23" s="105"/>
      <c r="L23" s="105"/>
      <c r="M23" s="105"/>
      <c r="N23" s="105"/>
      <c r="O23" s="105"/>
      <c r="P23" s="105"/>
      <c r="Q23" s="105"/>
      <c r="R23" s="105"/>
      <c r="S23" s="105"/>
    </row>
    <row r="24" spans="1:19" ht="18" customHeight="1" x14ac:dyDescent="0.15">
      <c r="B24" s="102" t="s">
        <v>54</v>
      </c>
      <c r="C24" s="103"/>
      <c r="D24" s="103"/>
      <c r="E24" s="104"/>
      <c r="F24" s="61" t="s">
        <v>81</v>
      </c>
      <c r="G24" s="60" t="s">
        <v>85</v>
      </c>
      <c r="H24" s="22" t="s">
        <v>57</v>
      </c>
      <c r="I24" s="22" t="s">
        <v>60</v>
      </c>
      <c r="J24" s="102" t="s">
        <v>54</v>
      </c>
      <c r="K24" s="103"/>
      <c r="L24" s="103"/>
      <c r="M24" s="103"/>
      <c r="N24" s="103"/>
      <c r="O24" s="104"/>
      <c r="P24" s="61" t="s">
        <v>81</v>
      </c>
      <c r="Q24" s="60" t="s">
        <v>85</v>
      </c>
      <c r="R24" s="22" t="s">
        <v>57</v>
      </c>
      <c r="S24" s="22" t="s">
        <v>60</v>
      </c>
    </row>
    <row r="25" spans="1:19" ht="18" customHeight="1" x14ac:dyDescent="0.15">
      <c r="B25" s="106" t="s">
        <v>139</v>
      </c>
      <c r="C25" s="107"/>
      <c r="D25" s="107"/>
      <c r="E25" s="108"/>
      <c r="F25" s="23">
        <v>2</v>
      </c>
      <c r="G25" s="23" t="s">
        <v>137</v>
      </c>
      <c r="H25" s="23" t="s">
        <v>137</v>
      </c>
      <c r="I25" s="23" t="s">
        <v>137</v>
      </c>
      <c r="J25" s="106"/>
      <c r="K25" s="107"/>
      <c r="L25" s="107"/>
      <c r="M25" s="107"/>
      <c r="N25" s="107"/>
      <c r="O25" s="108"/>
      <c r="P25" s="23"/>
      <c r="Q25" s="23"/>
      <c r="R25" s="23"/>
      <c r="S25" s="23"/>
    </row>
    <row r="26" spans="1:19" ht="18" customHeight="1" x14ac:dyDescent="0.15">
      <c r="B26" s="96"/>
      <c r="C26" s="97"/>
      <c r="D26" s="97"/>
      <c r="E26" s="98"/>
      <c r="F26" s="24"/>
      <c r="G26" s="24"/>
      <c r="H26" s="24"/>
      <c r="I26" s="24"/>
      <c r="J26" s="96"/>
      <c r="K26" s="97"/>
      <c r="L26" s="97"/>
      <c r="M26" s="97"/>
      <c r="N26" s="97"/>
      <c r="O26" s="98"/>
      <c r="P26" s="24"/>
      <c r="Q26" s="24"/>
      <c r="R26" s="24"/>
      <c r="S26" s="24"/>
    </row>
    <row r="27" spans="1:19" ht="18" customHeight="1" x14ac:dyDescent="0.15">
      <c r="B27" s="96"/>
      <c r="C27" s="97"/>
      <c r="D27" s="97"/>
      <c r="E27" s="98"/>
      <c r="F27" s="24"/>
      <c r="G27" s="24"/>
      <c r="H27" s="24"/>
      <c r="I27" s="24"/>
      <c r="J27" s="96"/>
      <c r="K27" s="97"/>
      <c r="L27" s="97"/>
      <c r="M27" s="97"/>
      <c r="N27" s="97"/>
      <c r="O27" s="98"/>
      <c r="P27" s="24"/>
      <c r="Q27" s="24"/>
      <c r="R27" s="24"/>
      <c r="S27" s="24"/>
    </row>
    <row r="28" spans="1:19" ht="18" customHeight="1" x14ac:dyDescent="0.15">
      <c r="B28" s="96"/>
      <c r="C28" s="97"/>
      <c r="D28" s="97"/>
      <c r="E28" s="98"/>
      <c r="F28" s="24"/>
      <c r="G28" s="24"/>
      <c r="H28" s="24"/>
      <c r="I28" s="24"/>
      <c r="J28" s="96"/>
      <c r="K28" s="97"/>
      <c r="L28" s="97"/>
      <c r="M28" s="97"/>
      <c r="N28" s="97"/>
      <c r="O28" s="98"/>
      <c r="P28" s="24"/>
      <c r="Q28" s="24"/>
      <c r="R28" s="24"/>
      <c r="S28" s="24"/>
    </row>
    <row r="29" spans="1:19" ht="18" customHeight="1" x14ac:dyDescent="0.15">
      <c r="B29" s="96"/>
      <c r="C29" s="97"/>
      <c r="D29" s="97"/>
      <c r="E29" s="98"/>
      <c r="F29" s="24"/>
      <c r="G29" s="24"/>
      <c r="H29" s="24"/>
      <c r="I29" s="24"/>
      <c r="J29" s="96"/>
      <c r="K29" s="97"/>
      <c r="L29" s="97"/>
      <c r="M29" s="97"/>
      <c r="N29" s="97"/>
      <c r="O29" s="98"/>
      <c r="P29" s="24"/>
      <c r="Q29" s="24"/>
      <c r="R29" s="24"/>
      <c r="S29" s="24"/>
    </row>
    <row r="30" spans="1:19" ht="18" customHeight="1" x14ac:dyDescent="0.15">
      <c r="A30" s="3"/>
      <c r="B30" s="96"/>
      <c r="C30" s="97"/>
      <c r="D30" s="97"/>
      <c r="E30" s="98"/>
      <c r="F30" s="24"/>
      <c r="G30" s="24"/>
      <c r="H30" s="24"/>
      <c r="I30" s="24"/>
      <c r="J30" s="96"/>
      <c r="K30" s="97"/>
      <c r="L30" s="97"/>
      <c r="M30" s="97"/>
      <c r="N30" s="97"/>
      <c r="O30" s="98"/>
      <c r="P30" s="24"/>
      <c r="Q30" s="24"/>
      <c r="R30" s="24"/>
      <c r="S30" s="24"/>
    </row>
    <row r="31" spans="1:19" ht="18" customHeight="1" x14ac:dyDescent="0.15">
      <c r="A31" s="3"/>
      <c r="B31" s="99"/>
      <c r="C31" s="100"/>
      <c r="D31" s="100"/>
      <c r="E31" s="101"/>
      <c r="F31" s="25"/>
      <c r="G31" s="25"/>
      <c r="H31" s="26"/>
      <c r="I31" s="26"/>
      <c r="J31" s="99"/>
      <c r="K31" s="100"/>
      <c r="L31" s="100"/>
      <c r="M31" s="100"/>
      <c r="N31" s="100"/>
      <c r="O31" s="101"/>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5" t="s">
        <v>115</v>
      </c>
      <c r="B33" s="105"/>
      <c r="C33" s="105"/>
      <c r="D33" s="105"/>
      <c r="E33" s="105"/>
      <c r="F33" s="105"/>
      <c r="G33" s="105"/>
      <c r="H33" s="105"/>
      <c r="I33" s="105"/>
      <c r="J33" s="105"/>
      <c r="K33" s="105"/>
      <c r="L33" s="105"/>
      <c r="M33" s="105"/>
      <c r="N33" s="105"/>
      <c r="O33" s="105"/>
      <c r="P33" s="105"/>
      <c r="Q33" s="105"/>
      <c r="R33" s="105"/>
      <c r="S33" s="105"/>
    </row>
    <row r="34" spans="1:19" ht="18" customHeight="1" x14ac:dyDescent="0.15">
      <c r="A34" s="105"/>
      <c r="B34" s="105"/>
      <c r="C34" s="105"/>
      <c r="D34" s="105"/>
      <c r="E34" s="105"/>
      <c r="F34" s="105"/>
      <c r="G34" s="105"/>
      <c r="H34" s="105"/>
      <c r="I34" s="105"/>
      <c r="J34" s="105"/>
      <c r="K34" s="105"/>
      <c r="L34" s="105"/>
      <c r="M34" s="105"/>
      <c r="N34" s="105"/>
      <c r="O34" s="105"/>
      <c r="P34" s="105"/>
      <c r="Q34" s="105"/>
      <c r="R34" s="105"/>
      <c r="S34" s="105"/>
    </row>
    <row r="35" spans="1:19" ht="18" customHeight="1" x14ac:dyDescent="0.15">
      <c r="B35" s="102" t="s">
        <v>54</v>
      </c>
      <c r="C35" s="103"/>
      <c r="D35" s="103"/>
      <c r="E35" s="104"/>
      <c r="F35" s="61" t="s">
        <v>81</v>
      </c>
      <c r="G35" s="60" t="s">
        <v>85</v>
      </c>
      <c r="H35" s="22" t="s">
        <v>72</v>
      </c>
      <c r="I35" s="22" t="s">
        <v>73</v>
      </c>
      <c r="J35" s="102" t="s">
        <v>54</v>
      </c>
      <c r="K35" s="103"/>
      <c r="L35" s="103"/>
      <c r="M35" s="103"/>
      <c r="N35" s="103"/>
      <c r="O35" s="104"/>
      <c r="P35" s="61" t="s">
        <v>81</v>
      </c>
      <c r="Q35" s="60" t="s">
        <v>85</v>
      </c>
      <c r="R35" s="22" t="s">
        <v>72</v>
      </c>
      <c r="S35" s="22" t="s">
        <v>73</v>
      </c>
    </row>
    <row r="36" spans="1:19" ht="18" customHeight="1" x14ac:dyDescent="0.15">
      <c r="B36" s="106" t="s">
        <v>139</v>
      </c>
      <c r="C36" s="107"/>
      <c r="D36" s="107"/>
      <c r="E36" s="108"/>
      <c r="F36" s="23">
        <v>2</v>
      </c>
      <c r="G36" s="23" t="s">
        <v>137</v>
      </c>
      <c r="H36" s="23" t="s">
        <v>137</v>
      </c>
      <c r="I36" s="23" t="s">
        <v>137</v>
      </c>
      <c r="J36" s="106"/>
      <c r="K36" s="107"/>
      <c r="L36" s="107"/>
      <c r="M36" s="107"/>
      <c r="N36" s="107"/>
      <c r="O36" s="108"/>
      <c r="P36" s="23"/>
      <c r="Q36" s="23"/>
      <c r="R36" s="23"/>
      <c r="S36" s="23"/>
    </row>
    <row r="37" spans="1:19" ht="18" customHeight="1" x14ac:dyDescent="0.15">
      <c r="B37" s="96" t="s">
        <v>142</v>
      </c>
      <c r="C37" s="97"/>
      <c r="D37" s="97"/>
      <c r="E37" s="98"/>
      <c r="F37" s="24">
        <v>2</v>
      </c>
      <c r="G37" s="24" t="s">
        <v>137</v>
      </c>
      <c r="H37" s="24" t="s">
        <v>137</v>
      </c>
      <c r="I37" s="24"/>
      <c r="J37" s="96"/>
      <c r="K37" s="97"/>
      <c r="L37" s="97"/>
      <c r="M37" s="97"/>
      <c r="N37" s="97"/>
      <c r="O37" s="98"/>
      <c r="P37" s="24"/>
      <c r="Q37" s="24"/>
      <c r="R37" s="24"/>
      <c r="S37" s="24"/>
    </row>
    <row r="38" spans="1:19" ht="18" customHeight="1" x14ac:dyDescent="0.15">
      <c r="B38" s="96" t="s">
        <v>141</v>
      </c>
      <c r="C38" s="97"/>
      <c r="D38" s="97"/>
      <c r="E38" s="98"/>
      <c r="F38" s="24">
        <v>2</v>
      </c>
      <c r="G38" s="24" t="s">
        <v>137</v>
      </c>
      <c r="H38" s="24" t="s">
        <v>137</v>
      </c>
      <c r="I38" s="24"/>
      <c r="J38" s="96"/>
      <c r="K38" s="97"/>
      <c r="L38" s="97"/>
      <c r="M38" s="97"/>
      <c r="N38" s="97"/>
      <c r="O38" s="98"/>
      <c r="P38" s="24"/>
      <c r="Q38" s="24"/>
      <c r="R38" s="24"/>
      <c r="S38" s="24"/>
    </row>
    <row r="39" spans="1:19" ht="18" customHeight="1" x14ac:dyDescent="0.15">
      <c r="B39" s="96"/>
      <c r="C39" s="97"/>
      <c r="D39" s="97"/>
      <c r="E39" s="98"/>
      <c r="F39" s="24"/>
      <c r="G39" s="24"/>
      <c r="H39" s="24"/>
      <c r="I39" s="24"/>
      <c r="J39" s="96"/>
      <c r="K39" s="97"/>
      <c r="L39" s="97"/>
      <c r="M39" s="97"/>
      <c r="N39" s="97"/>
      <c r="O39" s="98"/>
      <c r="P39" s="24"/>
      <c r="Q39" s="24"/>
      <c r="R39" s="24"/>
      <c r="S39" s="24"/>
    </row>
    <row r="40" spans="1:19" ht="18" customHeight="1" x14ac:dyDescent="0.15">
      <c r="B40" s="96"/>
      <c r="C40" s="97"/>
      <c r="D40" s="97"/>
      <c r="E40" s="98"/>
      <c r="F40" s="24"/>
      <c r="G40" s="24"/>
      <c r="H40" s="24"/>
      <c r="I40" s="24"/>
      <c r="J40" s="96"/>
      <c r="K40" s="97"/>
      <c r="L40" s="97"/>
      <c r="M40" s="97"/>
      <c r="N40" s="97"/>
      <c r="O40" s="98"/>
      <c r="P40" s="24"/>
      <c r="Q40" s="24"/>
      <c r="R40" s="24"/>
      <c r="S40" s="24"/>
    </row>
    <row r="41" spans="1:19" ht="18" customHeight="1" x14ac:dyDescent="0.15">
      <c r="B41" s="96"/>
      <c r="C41" s="97"/>
      <c r="D41" s="97"/>
      <c r="E41" s="98"/>
      <c r="F41" s="24"/>
      <c r="G41" s="24"/>
      <c r="H41" s="24"/>
      <c r="I41" s="24"/>
      <c r="J41" s="96"/>
      <c r="K41" s="97"/>
      <c r="L41" s="97"/>
      <c r="M41" s="97"/>
      <c r="N41" s="97"/>
      <c r="O41" s="98"/>
      <c r="P41" s="24"/>
      <c r="Q41" s="24"/>
      <c r="R41" s="24"/>
      <c r="S41" s="24"/>
    </row>
    <row r="42" spans="1:19" ht="18" customHeight="1" x14ac:dyDescent="0.15">
      <c r="B42" s="99"/>
      <c r="C42" s="100"/>
      <c r="D42" s="100"/>
      <c r="E42" s="101"/>
      <c r="F42" s="25"/>
      <c r="G42" s="25"/>
      <c r="H42" s="26"/>
      <c r="I42" s="26"/>
      <c r="J42" s="99"/>
      <c r="K42" s="100"/>
      <c r="L42" s="100"/>
      <c r="M42" s="100"/>
      <c r="N42" s="100"/>
      <c r="O42" s="101"/>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5" t="s">
        <v>116</v>
      </c>
      <c r="B44" s="105"/>
      <c r="C44" s="105"/>
      <c r="D44" s="105"/>
      <c r="E44" s="105"/>
      <c r="F44" s="105"/>
      <c r="G44" s="105"/>
      <c r="H44" s="105"/>
      <c r="I44" s="105"/>
      <c r="J44" s="105"/>
      <c r="K44" s="105"/>
      <c r="L44" s="105"/>
      <c r="M44" s="105"/>
      <c r="N44" s="105"/>
      <c r="O44" s="105"/>
      <c r="P44" s="105"/>
      <c r="Q44" s="105"/>
      <c r="R44" s="105"/>
      <c r="S44" s="105"/>
    </row>
    <row r="45" spans="1:19" ht="18" customHeight="1" x14ac:dyDescent="0.15">
      <c r="A45" s="105"/>
      <c r="B45" s="105"/>
      <c r="C45" s="105"/>
      <c r="D45" s="105"/>
      <c r="E45" s="105"/>
      <c r="F45" s="105"/>
      <c r="G45" s="105"/>
      <c r="H45" s="105"/>
      <c r="I45" s="105"/>
      <c r="J45" s="105"/>
      <c r="K45" s="105"/>
      <c r="L45" s="105"/>
      <c r="M45" s="105"/>
      <c r="N45" s="105"/>
      <c r="O45" s="105"/>
      <c r="P45" s="105"/>
      <c r="Q45" s="105"/>
      <c r="R45" s="105"/>
      <c r="S45" s="105"/>
    </row>
    <row r="46" spans="1:19" ht="18" customHeight="1" x14ac:dyDescent="0.15">
      <c r="B46" s="102" t="s">
        <v>54</v>
      </c>
      <c r="C46" s="103"/>
      <c r="D46" s="103"/>
      <c r="E46" s="104"/>
      <c r="F46" s="61" t="s">
        <v>81</v>
      </c>
      <c r="G46" s="60" t="s">
        <v>85</v>
      </c>
      <c r="H46" s="22" t="s">
        <v>74</v>
      </c>
      <c r="I46" s="22" t="s">
        <v>75</v>
      </c>
      <c r="J46" s="102" t="s">
        <v>54</v>
      </c>
      <c r="K46" s="103"/>
      <c r="L46" s="103"/>
      <c r="M46" s="103"/>
      <c r="N46" s="103"/>
      <c r="O46" s="104"/>
      <c r="P46" s="61" t="s">
        <v>81</v>
      </c>
      <c r="Q46" s="60" t="s">
        <v>85</v>
      </c>
      <c r="R46" s="22" t="s">
        <v>74</v>
      </c>
      <c r="S46" s="22" t="s">
        <v>75</v>
      </c>
    </row>
    <row r="47" spans="1:19" ht="18" customHeight="1" x14ac:dyDescent="0.15">
      <c r="A47" s="3"/>
      <c r="B47" s="106" t="s">
        <v>139</v>
      </c>
      <c r="C47" s="107"/>
      <c r="D47" s="107"/>
      <c r="E47" s="108"/>
      <c r="F47" s="23">
        <v>2</v>
      </c>
      <c r="G47" s="23" t="s">
        <v>137</v>
      </c>
      <c r="H47" s="23" t="s">
        <v>137</v>
      </c>
      <c r="I47" s="23" t="s">
        <v>137</v>
      </c>
      <c r="J47" s="106"/>
      <c r="K47" s="107"/>
      <c r="L47" s="107"/>
      <c r="M47" s="107"/>
      <c r="N47" s="107"/>
      <c r="O47" s="108"/>
      <c r="P47" s="23"/>
      <c r="Q47" s="23"/>
      <c r="R47" s="23"/>
      <c r="S47" s="23"/>
    </row>
    <row r="48" spans="1:19" ht="18" customHeight="1" x14ac:dyDescent="0.15">
      <c r="A48" s="3"/>
      <c r="B48" s="96" t="s">
        <v>142</v>
      </c>
      <c r="C48" s="97"/>
      <c r="D48" s="97"/>
      <c r="E48" s="98"/>
      <c r="F48" s="24">
        <v>2</v>
      </c>
      <c r="G48" s="24" t="s">
        <v>137</v>
      </c>
      <c r="H48" s="24" t="s">
        <v>137</v>
      </c>
      <c r="I48" s="24"/>
      <c r="J48" s="96"/>
      <c r="K48" s="97"/>
      <c r="L48" s="97"/>
      <c r="M48" s="97"/>
      <c r="N48" s="97"/>
      <c r="O48" s="98"/>
      <c r="P48" s="24"/>
      <c r="Q48" s="24"/>
      <c r="R48" s="24"/>
      <c r="S48" s="24"/>
    </row>
    <row r="49" spans="1:19" ht="18" customHeight="1" x14ac:dyDescent="0.15">
      <c r="A49" s="3"/>
      <c r="B49" s="96" t="s">
        <v>141</v>
      </c>
      <c r="C49" s="97"/>
      <c r="D49" s="97"/>
      <c r="E49" s="98"/>
      <c r="F49" s="24">
        <v>2</v>
      </c>
      <c r="G49" s="24" t="s">
        <v>137</v>
      </c>
      <c r="H49" s="24" t="s">
        <v>137</v>
      </c>
      <c r="I49" s="24"/>
      <c r="J49" s="96"/>
      <c r="K49" s="97"/>
      <c r="L49" s="97"/>
      <c r="M49" s="97"/>
      <c r="N49" s="97"/>
      <c r="O49" s="98"/>
      <c r="P49" s="24"/>
      <c r="Q49" s="24"/>
      <c r="R49" s="24"/>
      <c r="S49" s="24"/>
    </row>
    <row r="50" spans="1:19" ht="18" customHeight="1" x14ac:dyDescent="0.15">
      <c r="A50" s="3"/>
      <c r="B50" s="96"/>
      <c r="C50" s="97"/>
      <c r="D50" s="97"/>
      <c r="E50" s="98"/>
      <c r="F50" s="24"/>
      <c r="G50" s="24"/>
      <c r="H50" s="24"/>
      <c r="I50" s="24"/>
      <c r="J50" s="96"/>
      <c r="K50" s="97"/>
      <c r="L50" s="97"/>
      <c r="M50" s="97"/>
      <c r="N50" s="97"/>
      <c r="O50" s="98"/>
      <c r="P50" s="24"/>
      <c r="Q50" s="24"/>
      <c r="R50" s="24"/>
      <c r="S50" s="24"/>
    </row>
    <row r="51" spans="1:19" ht="18" customHeight="1" x14ac:dyDescent="0.15">
      <c r="A51" s="3"/>
      <c r="B51" s="96"/>
      <c r="C51" s="97"/>
      <c r="D51" s="97"/>
      <c r="E51" s="98"/>
      <c r="F51" s="24"/>
      <c r="G51" s="24"/>
      <c r="H51" s="24"/>
      <c r="I51" s="24"/>
      <c r="J51" s="96"/>
      <c r="K51" s="97"/>
      <c r="L51" s="97"/>
      <c r="M51" s="97"/>
      <c r="N51" s="97"/>
      <c r="O51" s="98"/>
      <c r="P51" s="24"/>
      <c r="Q51" s="24"/>
      <c r="R51" s="24"/>
      <c r="S51" s="24"/>
    </row>
    <row r="52" spans="1:19" ht="18" customHeight="1" x14ac:dyDescent="0.15">
      <c r="A52" s="3"/>
      <c r="B52" s="96"/>
      <c r="C52" s="97"/>
      <c r="D52" s="97"/>
      <c r="E52" s="98"/>
      <c r="F52" s="24"/>
      <c r="G52" s="24"/>
      <c r="H52" s="24"/>
      <c r="I52" s="24"/>
      <c r="J52" s="96"/>
      <c r="K52" s="97"/>
      <c r="L52" s="97"/>
      <c r="M52" s="97"/>
      <c r="N52" s="97"/>
      <c r="O52" s="98"/>
      <c r="P52" s="24"/>
      <c r="Q52" s="24"/>
      <c r="R52" s="24"/>
      <c r="S52" s="24"/>
    </row>
    <row r="53" spans="1:19" ht="18" customHeight="1" x14ac:dyDescent="0.15">
      <c r="A53" s="3"/>
      <c r="B53" s="99"/>
      <c r="C53" s="100"/>
      <c r="D53" s="100"/>
      <c r="E53" s="101"/>
      <c r="F53" s="25"/>
      <c r="G53" s="25"/>
      <c r="H53" s="26"/>
      <c r="I53" s="26"/>
      <c r="J53" s="99"/>
      <c r="K53" s="100"/>
      <c r="L53" s="100"/>
      <c r="M53" s="100"/>
      <c r="N53" s="100"/>
      <c r="O53" s="101"/>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5" t="s">
        <v>117</v>
      </c>
      <c r="B55" s="105"/>
      <c r="C55" s="105"/>
      <c r="D55" s="105"/>
      <c r="E55" s="105"/>
      <c r="F55" s="105"/>
      <c r="G55" s="105"/>
      <c r="H55" s="105"/>
      <c r="I55" s="105"/>
      <c r="J55" s="105"/>
      <c r="K55" s="105"/>
      <c r="L55" s="105"/>
      <c r="M55" s="105"/>
      <c r="N55" s="105"/>
      <c r="O55" s="105"/>
      <c r="P55" s="105"/>
      <c r="Q55" s="105"/>
      <c r="R55" s="105"/>
      <c r="S55" s="105"/>
    </row>
    <row r="56" spans="1:19" ht="18" customHeight="1" x14ac:dyDescent="0.15">
      <c r="A56" s="105"/>
      <c r="B56" s="105"/>
      <c r="C56" s="105"/>
      <c r="D56" s="105"/>
      <c r="E56" s="105"/>
      <c r="F56" s="105"/>
      <c r="G56" s="105"/>
      <c r="H56" s="105"/>
      <c r="I56" s="105"/>
      <c r="J56" s="105"/>
      <c r="K56" s="105"/>
      <c r="L56" s="105"/>
      <c r="M56" s="105"/>
      <c r="N56" s="105"/>
      <c r="O56" s="105"/>
      <c r="P56" s="105"/>
      <c r="Q56" s="105"/>
      <c r="R56" s="105"/>
      <c r="S56" s="105"/>
    </row>
    <row r="57" spans="1:19" ht="18" customHeight="1" x14ac:dyDescent="0.15">
      <c r="B57" s="102" t="s">
        <v>54</v>
      </c>
      <c r="C57" s="103"/>
      <c r="D57" s="103"/>
      <c r="E57" s="104"/>
      <c r="F57" s="61" t="s">
        <v>81</v>
      </c>
      <c r="G57" s="60" t="s">
        <v>85</v>
      </c>
      <c r="H57" s="22" t="s">
        <v>59</v>
      </c>
      <c r="I57" s="22" t="s">
        <v>61</v>
      </c>
      <c r="J57" s="102" t="s">
        <v>54</v>
      </c>
      <c r="K57" s="103"/>
      <c r="L57" s="103"/>
      <c r="M57" s="103"/>
      <c r="N57" s="103"/>
      <c r="O57" s="104"/>
      <c r="P57" s="61" t="s">
        <v>81</v>
      </c>
      <c r="Q57" s="60" t="s">
        <v>85</v>
      </c>
      <c r="R57" s="22" t="s">
        <v>59</v>
      </c>
      <c r="S57" s="22" t="s">
        <v>61</v>
      </c>
    </row>
    <row r="58" spans="1:19" ht="18" customHeight="1" x14ac:dyDescent="0.15">
      <c r="A58" s="3"/>
      <c r="B58" s="106" t="s">
        <v>139</v>
      </c>
      <c r="C58" s="107"/>
      <c r="D58" s="107"/>
      <c r="E58" s="108"/>
      <c r="F58" s="23">
        <v>2</v>
      </c>
      <c r="G58" s="23" t="s">
        <v>137</v>
      </c>
      <c r="H58" s="23" t="s">
        <v>137</v>
      </c>
      <c r="I58" s="23" t="s">
        <v>137</v>
      </c>
      <c r="J58" s="106"/>
      <c r="K58" s="107"/>
      <c r="L58" s="107"/>
      <c r="M58" s="107"/>
      <c r="N58" s="107"/>
      <c r="O58" s="108"/>
      <c r="P58" s="23"/>
      <c r="Q58" s="23"/>
      <c r="R58" s="23"/>
      <c r="S58" s="23"/>
    </row>
    <row r="59" spans="1:19" ht="18" customHeight="1" x14ac:dyDescent="0.15">
      <c r="A59" s="3"/>
      <c r="B59" s="96" t="s">
        <v>142</v>
      </c>
      <c r="C59" s="97"/>
      <c r="D59" s="97"/>
      <c r="E59" s="98"/>
      <c r="F59" s="24">
        <v>2</v>
      </c>
      <c r="G59" s="24" t="s">
        <v>137</v>
      </c>
      <c r="H59" s="24"/>
      <c r="I59" s="24" t="s">
        <v>137</v>
      </c>
      <c r="J59" s="96"/>
      <c r="K59" s="97"/>
      <c r="L59" s="97"/>
      <c r="M59" s="97"/>
      <c r="N59" s="97"/>
      <c r="O59" s="98"/>
      <c r="P59" s="24"/>
      <c r="Q59" s="24"/>
      <c r="R59" s="24"/>
      <c r="S59" s="24"/>
    </row>
    <row r="60" spans="1:19" ht="18" customHeight="1" x14ac:dyDescent="0.15">
      <c r="A60" s="3"/>
      <c r="B60" s="96"/>
      <c r="C60" s="97"/>
      <c r="D60" s="97"/>
      <c r="E60" s="98"/>
      <c r="F60" s="24"/>
      <c r="G60" s="24"/>
      <c r="H60" s="24"/>
      <c r="I60" s="24"/>
      <c r="J60" s="96"/>
      <c r="K60" s="97"/>
      <c r="L60" s="97"/>
      <c r="M60" s="97"/>
      <c r="N60" s="97"/>
      <c r="O60" s="98"/>
      <c r="P60" s="24"/>
      <c r="Q60" s="24"/>
      <c r="R60" s="24"/>
      <c r="S60" s="24"/>
    </row>
    <row r="61" spans="1:19" ht="18" customHeight="1" x14ac:dyDescent="0.15">
      <c r="A61" s="3"/>
      <c r="B61" s="96"/>
      <c r="C61" s="97"/>
      <c r="D61" s="97"/>
      <c r="E61" s="98"/>
      <c r="F61" s="24"/>
      <c r="G61" s="24"/>
      <c r="H61" s="24"/>
      <c r="I61" s="24"/>
      <c r="J61" s="96"/>
      <c r="K61" s="97"/>
      <c r="L61" s="97"/>
      <c r="M61" s="97"/>
      <c r="N61" s="97"/>
      <c r="O61" s="98"/>
      <c r="P61" s="24"/>
      <c r="Q61" s="24"/>
      <c r="R61" s="24"/>
      <c r="S61" s="24"/>
    </row>
    <row r="62" spans="1:19" ht="18" customHeight="1" x14ac:dyDescent="0.15">
      <c r="A62" s="3"/>
      <c r="B62" s="96"/>
      <c r="C62" s="97"/>
      <c r="D62" s="97"/>
      <c r="E62" s="98"/>
      <c r="F62" s="24"/>
      <c r="G62" s="24"/>
      <c r="H62" s="24"/>
      <c r="I62" s="24"/>
      <c r="J62" s="96"/>
      <c r="K62" s="97"/>
      <c r="L62" s="97"/>
      <c r="M62" s="97"/>
      <c r="N62" s="97"/>
      <c r="O62" s="98"/>
      <c r="P62" s="24"/>
      <c r="Q62" s="24"/>
      <c r="R62" s="24"/>
      <c r="S62" s="24"/>
    </row>
    <row r="63" spans="1:19" ht="18" customHeight="1" x14ac:dyDescent="0.15">
      <c r="A63" s="3"/>
      <c r="B63" s="96"/>
      <c r="C63" s="97"/>
      <c r="D63" s="97"/>
      <c r="E63" s="98"/>
      <c r="F63" s="24"/>
      <c r="G63" s="24"/>
      <c r="H63" s="24"/>
      <c r="I63" s="24"/>
      <c r="J63" s="96"/>
      <c r="K63" s="97"/>
      <c r="L63" s="97"/>
      <c r="M63" s="97"/>
      <c r="N63" s="97"/>
      <c r="O63" s="98"/>
      <c r="P63" s="24"/>
      <c r="Q63" s="24"/>
      <c r="R63" s="24"/>
      <c r="S63" s="24"/>
    </row>
    <row r="64" spans="1:19" ht="18" customHeight="1" x14ac:dyDescent="0.15">
      <c r="A64" s="3"/>
      <c r="B64" s="99"/>
      <c r="C64" s="100"/>
      <c r="D64" s="100"/>
      <c r="E64" s="101"/>
      <c r="F64" s="25"/>
      <c r="G64" s="25"/>
      <c r="H64" s="26"/>
      <c r="I64" s="26"/>
      <c r="J64" s="99"/>
      <c r="K64" s="100"/>
      <c r="L64" s="100"/>
      <c r="M64" s="100"/>
      <c r="N64" s="100"/>
      <c r="O64" s="101"/>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5" t="s">
        <v>118</v>
      </c>
      <c r="B66" s="105"/>
      <c r="C66" s="105"/>
      <c r="D66" s="105"/>
      <c r="E66" s="105"/>
      <c r="F66" s="105"/>
      <c r="G66" s="105"/>
      <c r="H66" s="105"/>
      <c r="I66" s="105"/>
      <c r="J66" s="105"/>
      <c r="K66" s="105"/>
      <c r="L66" s="105"/>
      <c r="M66" s="105"/>
      <c r="N66" s="105"/>
      <c r="O66" s="105"/>
      <c r="P66" s="105"/>
      <c r="Q66" s="105"/>
      <c r="R66" s="105"/>
      <c r="S66" s="105"/>
    </row>
    <row r="67" spans="1:19" ht="18" customHeight="1" x14ac:dyDescent="0.15">
      <c r="A67" s="105"/>
      <c r="B67" s="105"/>
      <c r="C67" s="105"/>
      <c r="D67" s="105"/>
      <c r="E67" s="105"/>
      <c r="F67" s="105"/>
      <c r="G67" s="105"/>
      <c r="H67" s="105"/>
      <c r="I67" s="105"/>
      <c r="J67" s="105"/>
      <c r="K67" s="105"/>
      <c r="L67" s="105"/>
      <c r="M67" s="105"/>
      <c r="N67" s="105"/>
      <c r="O67" s="105"/>
      <c r="P67" s="105"/>
      <c r="Q67" s="105"/>
      <c r="R67" s="105"/>
      <c r="S67" s="105"/>
    </row>
    <row r="68" spans="1:19" ht="18" customHeight="1" x14ac:dyDescent="0.15">
      <c r="B68" s="102" t="s">
        <v>54</v>
      </c>
      <c r="C68" s="103"/>
      <c r="D68" s="103"/>
      <c r="E68" s="61" t="s">
        <v>81</v>
      </c>
      <c r="F68" s="60" t="s">
        <v>85</v>
      </c>
      <c r="G68" s="22" t="s">
        <v>102</v>
      </c>
      <c r="H68" s="22" t="s">
        <v>76</v>
      </c>
      <c r="I68" s="22" t="s">
        <v>77</v>
      </c>
      <c r="J68" s="102" t="s">
        <v>54</v>
      </c>
      <c r="K68" s="103"/>
      <c r="L68" s="103"/>
      <c r="M68" s="103"/>
      <c r="N68" s="104"/>
      <c r="O68" s="61" t="s">
        <v>81</v>
      </c>
      <c r="P68" s="60" t="s">
        <v>85</v>
      </c>
      <c r="Q68" s="22" t="s">
        <v>102</v>
      </c>
      <c r="R68" s="22" t="s">
        <v>76</v>
      </c>
      <c r="S68" s="22" t="s">
        <v>77</v>
      </c>
    </row>
    <row r="69" spans="1:19" ht="18" customHeight="1" x14ac:dyDescent="0.15">
      <c r="A69" s="3"/>
      <c r="B69" s="106" t="s">
        <v>138</v>
      </c>
      <c r="C69" s="107"/>
      <c r="D69" s="107"/>
      <c r="E69" s="23">
        <v>2</v>
      </c>
      <c r="F69" s="23" t="s">
        <v>137</v>
      </c>
      <c r="G69" s="23" t="s">
        <v>137</v>
      </c>
      <c r="H69" s="23" t="s">
        <v>137</v>
      </c>
      <c r="I69" s="23" t="s">
        <v>137</v>
      </c>
      <c r="J69" s="106"/>
      <c r="K69" s="107"/>
      <c r="L69" s="107"/>
      <c r="M69" s="107"/>
      <c r="N69" s="108"/>
      <c r="O69" s="23"/>
      <c r="P69" s="23"/>
      <c r="Q69" s="23"/>
      <c r="R69" s="23"/>
      <c r="S69" s="23"/>
    </row>
    <row r="70" spans="1:19" ht="18" customHeight="1" x14ac:dyDescent="0.15">
      <c r="A70" s="3"/>
      <c r="B70" s="96" t="s">
        <v>142</v>
      </c>
      <c r="C70" s="97"/>
      <c r="D70" s="97"/>
      <c r="E70" s="24">
        <v>2</v>
      </c>
      <c r="F70" s="24" t="s">
        <v>137</v>
      </c>
      <c r="G70" s="24" t="s">
        <v>137</v>
      </c>
      <c r="H70" s="24" t="s">
        <v>137</v>
      </c>
      <c r="I70" s="24" t="s">
        <v>137</v>
      </c>
      <c r="J70" s="96"/>
      <c r="K70" s="97"/>
      <c r="L70" s="97"/>
      <c r="M70" s="97"/>
      <c r="N70" s="98"/>
      <c r="O70" s="24"/>
      <c r="P70" s="24"/>
      <c r="Q70" s="24"/>
      <c r="R70" s="24"/>
      <c r="S70" s="24"/>
    </row>
    <row r="71" spans="1:19" ht="18" customHeight="1" x14ac:dyDescent="0.15">
      <c r="A71" s="3"/>
      <c r="B71" s="96" t="s">
        <v>140</v>
      </c>
      <c r="C71" s="97"/>
      <c r="D71" s="97"/>
      <c r="E71" s="24">
        <v>2</v>
      </c>
      <c r="F71" s="24" t="s">
        <v>137</v>
      </c>
      <c r="G71" s="24" t="s">
        <v>137</v>
      </c>
      <c r="H71" s="24" t="s">
        <v>137</v>
      </c>
      <c r="I71" s="24" t="s">
        <v>137</v>
      </c>
      <c r="J71" s="96"/>
      <c r="K71" s="97"/>
      <c r="L71" s="97"/>
      <c r="M71" s="97"/>
      <c r="N71" s="98"/>
      <c r="O71" s="24"/>
      <c r="P71" s="24"/>
      <c r="Q71" s="24"/>
      <c r="R71" s="24"/>
      <c r="S71" s="24"/>
    </row>
    <row r="72" spans="1:19" ht="18" customHeight="1" x14ac:dyDescent="0.15">
      <c r="A72" s="3"/>
      <c r="B72" s="96"/>
      <c r="C72" s="97"/>
      <c r="D72" s="97"/>
      <c r="E72" s="24"/>
      <c r="F72" s="24"/>
      <c r="G72" s="24"/>
      <c r="H72" s="24"/>
      <c r="I72" s="24"/>
      <c r="J72" s="96"/>
      <c r="K72" s="97"/>
      <c r="L72" s="97"/>
      <c r="M72" s="97"/>
      <c r="N72" s="98"/>
      <c r="O72" s="24"/>
      <c r="P72" s="24"/>
      <c r="Q72" s="24"/>
      <c r="R72" s="24"/>
      <c r="S72" s="24"/>
    </row>
    <row r="73" spans="1:19" ht="18" customHeight="1" x14ac:dyDescent="0.15">
      <c r="A73" s="3"/>
      <c r="B73" s="96"/>
      <c r="C73" s="97"/>
      <c r="D73" s="97"/>
      <c r="E73" s="24"/>
      <c r="F73" s="24"/>
      <c r="G73" s="24"/>
      <c r="H73" s="24"/>
      <c r="I73" s="24"/>
      <c r="J73" s="96"/>
      <c r="K73" s="97"/>
      <c r="L73" s="97"/>
      <c r="M73" s="97"/>
      <c r="N73" s="98"/>
      <c r="O73" s="24"/>
      <c r="P73" s="24"/>
      <c r="Q73" s="24"/>
      <c r="R73" s="24"/>
      <c r="S73" s="24"/>
    </row>
    <row r="74" spans="1:19" ht="18" customHeight="1" x14ac:dyDescent="0.15">
      <c r="A74" s="3"/>
      <c r="B74" s="96"/>
      <c r="C74" s="97"/>
      <c r="D74" s="97"/>
      <c r="E74" s="24"/>
      <c r="F74" s="24"/>
      <c r="G74" s="24"/>
      <c r="H74" s="24"/>
      <c r="I74" s="24"/>
      <c r="J74" s="96"/>
      <c r="K74" s="97"/>
      <c r="L74" s="97"/>
      <c r="M74" s="97"/>
      <c r="N74" s="98"/>
      <c r="O74" s="24"/>
      <c r="P74" s="24"/>
      <c r="Q74" s="24"/>
      <c r="R74" s="24"/>
      <c r="S74" s="24"/>
    </row>
    <row r="75" spans="1:19" ht="18" customHeight="1" x14ac:dyDescent="0.15">
      <c r="A75" s="3"/>
      <c r="B75" s="99"/>
      <c r="C75" s="100"/>
      <c r="D75" s="100"/>
      <c r="E75" s="25"/>
      <c r="F75" s="25"/>
      <c r="G75" s="26"/>
      <c r="H75" s="26"/>
      <c r="I75" s="26"/>
      <c r="J75" s="99"/>
      <c r="K75" s="100"/>
      <c r="L75" s="100"/>
      <c r="M75" s="100"/>
      <c r="N75" s="101"/>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102" t="s">
        <v>54</v>
      </c>
      <c r="C78" s="103"/>
      <c r="D78" s="103"/>
      <c r="E78" s="104"/>
      <c r="F78" s="102" t="s">
        <v>83</v>
      </c>
      <c r="G78" s="103"/>
      <c r="H78" s="103"/>
      <c r="I78" s="104"/>
      <c r="J78" s="152" t="s">
        <v>54</v>
      </c>
      <c r="K78" s="153"/>
      <c r="L78" s="153"/>
      <c r="M78" s="153"/>
      <c r="N78" s="153"/>
      <c r="O78" s="154"/>
      <c r="P78" s="102" t="s">
        <v>83</v>
      </c>
      <c r="Q78" s="103"/>
      <c r="R78" s="103"/>
      <c r="S78" s="104"/>
    </row>
    <row r="79" spans="1:19" ht="18" customHeight="1" x14ac:dyDescent="0.15">
      <c r="A79" s="3"/>
      <c r="B79" s="106"/>
      <c r="C79" s="107"/>
      <c r="D79" s="107"/>
      <c r="E79" s="108"/>
      <c r="F79" s="167"/>
      <c r="G79" s="168"/>
      <c r="H79" s="168"/>
      <c r="I79" s="169"/>
      <c r="J79" s="106"/>
      <c r="K79" s="107"/>
      <c r="L79" s="107"/>
      <c r="M79" s="107"/>
      <c r="N79" s="107"/>
      <c r="O79" s="108"/>
      <c r="P79" s="167"/>
      <c r="Q79" s="168"/>
      <c r="R79" s="168"/>
      <c r="S79" s="169"/>
    </row>
    <row r="80" spans="1:19" ht="18" customHeight="1" x14ac:dyDescent="0.15">
      <c r="A80" s="3"/>
      <c r="B80" s="96"/>
      <c r="C80" s="97"/>
      <c r="D80" s="97"/>
      <c r="E80" s="98"/>
      <c r="F80" s="135"/>
      <c r="G80" s="136"/>
      <c r="H80" s="136"/>
      <c r="I80" s="137"/>
      <c r="J80" s="96"/>
      <c r="K80" s="97"/>
      <c r="L80" s="97"/>
      <c r="M80" s="97"/>
      <c r="N80" s="97"/>
      <c r="O80" s="98"/>
      <c r="P80" s="135"/>
      <c r="Q80" s="136"/>
      <c r="R80" s="136"/>
      <c r="S80" s="137"/>
    </row>
    <row r="81" spans="1:19" ht="18" customHeight="1" x14ac:dyDescent="0.15">
      <c r="A81" s="3"/>
      <c r="B81" s="96"/>
      <c r="C81" s="97"/>
      <c r="D81" s="97"/>
      <c r="E81" s="98"/>
      <c r="F81" s="135"/>
      <c r="G81" s="136"/>
      <c r="H81" s="136"/>
      <c r="I81" s="137"/>
      <c r="J81" s="96"/>
      <c r="K81" s="97"/>
      <c r="L81" s="97"/>
      <c r="M81" s="97"/>
      <c r="N81" s="97"/>
      <c r="O81" s="98"/>
      <c r="P81" s="135"/>
      <c r="Q81" s="136"/>
      <c r="R81" s="136"/>
      <c r="S81" s="137"/>
    </row>
    <row r="82" spans="1:19" ht="18" customHeight="1" x14ac:dyDescent="0.15">
      <c r="A82" s="3"/>
      <c r="B82" s="96"/>
      <c r="C82" s="97"/>
      <c r="D82" s="97"/>
      <c r="E82" s="98"/>
      <c r="F82" s="135"/>
      <c r="G82" s="136"/>
      <c r="H82" s="136"/>
      <c r="I82" s="137"/>
      <c r="J82" s="96"/>
      <c r="K82" s="97"/>
      <c r="L82" s="97"/>
      <c r="M82" s="97"/>
      <c r="N82" s="97"/>
      <c r="O82" s="98"/>
      <c r="P82" s="135"/>
      <c r="Q82" s="136"/>
      <c r="R82" s="136"/>
      <c r="S82" s="137"/>
    </row>
    <row r="83" spans="1:19" ht="18" customHeight="1" x14ac:dyDescent="0.15">
      <c r="A83" s="3"/>
      <c r="B83" s="96"/>
      <c r="C83" s="97"/>
      <c r="D83" s="97"/>
      <c r="E83" s="98"/>
      <c r="F83" s="135"/>
      <c r="G83" s="136"/>
      <c r="H83" s="136"/>
      <c r="I83" s="137"/>
      <c r="J83" s="96"/>
      <c r="K83" s="97"/>
      <c r="L83" s="97"/>
      <c r="M83" s="97"/>
      <c r="N83" s="97"/>
      <c r="O83" s="98"/>
      <c r="P83" s="135"/>
      <c r="Q83" s="136"/>
      <c r="R83" s="136"/>
      <c r="S83" s="137"/>
    </row>
    <row r="84" spans="1:19" ht="18" customHeight="1" x14ac:dyDescent="0.15">
      <c r="A84" s="3"/>
      <c r="B84" s="96"/>
      <c r="C84" s="97"/>
      <c r="D84" s="97"/>
      <c r="E84" s="98"/>
      <c r="F84" s="135"/>
      <c r="G84" s="136"/>
      <c r="H84" s="136"/>
      <c r="I84" s="137"/>
      <c r="J84" s="96"/>
      <c r="K84" s="97"/>
      <c r="L84" s="97"/>
      <c r="M84" s="97"/>
      <c r="N84" s="97"/>
      <c r="O84" s="98"/>
      <c r="P84" s="135"/>
      <c r="Q84" s="136"/>
      <c r="R84" s="136"/>
      <c r="S84" s="137"/>
    </row>
    <row r="85" spans="1:19" ht="18" customHeight="1" x14ac:dyDescent="0.15">
      <c r="A85" s="3"/>
      <c r="B85" s="99"/>
      <c r="C85" s="100"/>
      <c r="D85" s="100"/>
      <c r="E85" s="101"/>
      <c r="F85" s="132"/>
      <c r="G85" s="133"/>
      <c r="H85" s="133"/>
      <c r="I85" s="134"/>
      <c r="J85" s="99"/>
      <c r="K85" s="100"/>
      <c r="L85" s="100"/>
      <c r="M85" s="100"/>
      <c r="N85" s="100"/>
      <c r="O85" s="101"/>
      <c r="P85" s="132"/>
      <c r="Q85" s="133"/>
      <c r="R85" s="133"/>
      <c r="S85" s="134"/>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62" t="s">
        <v>55</v>
      </c>
      <c r="C88" s="163"/>
      <c r="D88" s="103" t="s">
        <v>56</v>
      </c>
      <c r="E88" s="103"/>
      <c r="F88" s="103"/>
      <c r="G88" s="103"/>
      <c r="H88" s="103"/>
      <c r="I88" s="103"/>
      <c r="J88" s="103"/>
      <c r="K88" s="103"/>
      <c r="L88" s="103"/>
      <c r="M88" s="103"/>
      <c r="N88" s="103"/>
      <c r="O88" s="103"/>
      <c r="P88" s="103"/>
      <c r="Q88" s="103"/>
      <c r="R88" s="103"/>
      <c r="S88" s="104"/>
    </row>
    <row r="89" spans="1:19" ht="111" customHeight="1" x14ac:dyDescent="0.15">
      <c r="B89" s="155" t="s">
        <v>62</v>
      </c>
      <c r="C89" s="28" t="s">
        <v>57</v>
      </c>
      <c r="D89" s="164" t="s">
        <v>150</v>
      </c>
      <c r="E89" s="165"/>
      <c r="F89" s="165"/>
      <c r="G89" s="165"/>
      <c r="H89" s="165"/>
      <c r="I89" s="165"/>
      <c r="J89" s="165"/>
      <c r="K89" s="165"/>
      <c r="L89" s="165"/>
      <c r="M89" s="165"/>
      <c r="N89" s="165"/>
      <c r="O89" s="165"/>
      <c r="P89" s="165"/>
      <c r="Q89" s="165"/>
      <c r="R89" s="165"/>
      <c r="S89" s="166"/>
    </row>
    <row r="90" spans="1:19" ht="48.75" customHeight="1" x14ac:dyDescent="0.15">
      <c r="B90" s="157"/>
      <c r="C90" s="29" t="s">
        <v>78</v>
      </c>
      <c r="D90" s="138" t="s">
        <v>151</v>
      </c>
      <c r="E90" s="139"/>
      <c r="F90" s="139"/>
      <c r="G90" s="139"/>
      <c r="H90" s="139"/>
      <c r="I90" s="139"/>
      <c r="J90" s="139"/>
      <c r="K90" s="139"/>
      <c r="L90" s="139"/>
      <c r="M90" s="139"/>
      <c r="N90" s="139"/>
      <c r="O90" s="139"/>
      <c r="P90" s="139"/>
      <c r="Q90" s="139"/>
      <c r="R90" s="139"/>
      <c r="S90" s="140"/>
    </row>
    <row r="91" spans="1:19" ht="141" customHeight="1" x14ac:dyDescent="0.15">
      <c r="B91" s="155" t="s">
        <v>63</v>
      </c>
      <c r="C91" s="30" t="s">
        <v>72</v>
      </c>
      <c r="D91" s="141" t="s">
        <v>155</v>
      </c>
      <c r="E91" s="141"/>
      <c r="F91" s="141"/>
      <c r="G91" s="141"/>
      <c r="H91" s="141"/>
      <c r="I91" s="141"/>
      <c r="J91" s="141"/>
      <c r="K91" s="141"/>
      <c r="L91" s="141"/>
      <c r="M91" s="141"/>
      <c r="N91" s="141"/>
      <c r="O91" s="141"/>
      <c r="P91" s="141"/>
      <c r="Q91" s="141"/>
      <c r="R91" s="141"/>
      <c r="S91" s="142"/>
    </row>
    <row r="92" spans="1:19" ht="96.75" customHeight="1" x14ac:dyDescent="0.15">
      <c r="B92" s="156"/>
      <c r="C92" s="31" t="s">
        <v>73</v>
      </c>
      <c r="D92" s="272" t="s">
        <v>179</v>
      </c>
      <c r="E92" s="273"/>
      <c r="F92" s="273"/>
      <c r="G92" s="273"/>
      <c r="H92" s="273"/>
      <c r="I92" s="273"/>
      <c r="J92" s="273"/>
      <c r="K92" s="273"/>
      <c r="L92" s="273"/>
      <c r="M92" s="273"/>
      <c r="N92" s="273"/>
      <c r="O92" s="273"/>
      <c r="P92" s="273"/>
      <c r="Q92" s="273"/>
      <c r="R92" s="273"/>
      <c r="S92" s="274"/>
    </row>
    <row r="93" spans="1:19" ht="140.25" customHeight="1" x14ac:dyDescent="0.15">
      <c r="B93" s="155" t="s">
        <v>64</v>
      </c>
      <c r="C93" s="30" t="s">
        <v>74</v>
      </c>
      <c r="D93" s="141" t="s">
        <v>154</v>
      </c>
      <c r="E93" s="141"/>
      <c r="F93" s="141"/>
      <c r="G93" s="141"/>
      <c r="H93" s="141"/>
      <c r="I93" s="141"/>
      <c r="J93" s="141"/>
      <c r="K93" s="141"/>
      <c r="L93" s="141"/>
      <c r="M93" s="141"/>
      <c r="N93" s="141"/>
      <c r="O93" s="141"/>
      <c r="P93" s="141"/>
      <c r="Q93" s="141"/>
      <c r="R93" s="141"/>
      <c r="S93" s="142"/>
    </row>
    <row r="94" spans="1:19" ht="73.5" customHeight="1" x14ac:dyDescent="0.15">
      <c r="B94" s="156"/>
      <c r="C94" s="32" t="s">
        <v>75</v>
      </c>
      <c r="D94" s="143" t="s">
        <v>153</v>
      </c>
      <c r="E94" s="144"/>
      <c r="F94" s="144"/>
      <c r="G94" s="144"/>
      <c r="H94" s="144"/>
      <c r="I94" s="144"/>
      <c r="J94" s="144"/>
      <c r="K94" s="144"/>
      <c r="L94" s="144"/>
      <c r="M94" s="144"/>
      <c r="N94" s="144"/>
      <c r="O94" s="144"/>
      <c r="P94" s="144"/>
      <c r="Q94" s="144"/>
      <c r="R94" s="144"/>
      <c r="S94" s="145"/>
    </row>
    <row r="95" spans="1:19" ht="104.25" customHeight="1" x14ac:dyDescent="0.15">
      <c r="B95" s="155" t="s">
        <v>79</v>
      </c>
      <c r="C95" s="28" t="s">
        <v>59</v>
      </c>
      <c r="D95" s="269" t="s">
        <v>152</v>
      </c>
      <c r="E95" s="270"/>
      <c r="F95" s="270"/>
      <c r="G95" s="270"/>
      <c r="H95" s="270"/>
      <c r="I95" s="270"/>
      <c r="J95" s="270"/>
      <c r="K95" s="270"/>
      <c r="L95" s="270"/>
      <c r="M95" s="270"/>
      <c r="N95" s="270"/>
      <c r="O95" s="270"/>
      <c r="P95" s="270"/>
      <c r="Q95" s="270"/>
      <c r="R95" s="270"/>
      <c r="S95" s="271"/>
    </row>
    <row r="96" spans="1:19" ht="62.25" customHeight="1" x14ac:dyDescent="0.15">
      <c r="B96" s="156"/>
      <c r="C96" s="31" t="s">
        <v>61</v>
      </c>
      <c r="D96" s="146" t="s">
        <v>156</v>
      </c>
      <c r="E96" s="147"/>
      <c r="F96" s="147"/>
      <c r="G96" s="147"/>
      <c r="H96" s="147"/>
      <c r="I96" s="147"/>
      <c r="J96" s="147"/>
      <c r="K96" s="147"/>
      <c r="L96" s="147"/>
      <c r="M96" s="147"/>
      <c r="N96" s="147"/>
      <c r="O96" s="147"/>
      <c r="P96" s="147"/>
      <c r="Q96" s="147"/>
      <c r="R96" s="147"/>
      <c r="S96" s="148"/>
    </row>
    <row r="97" spans="1:19" ht="270" customHeight="1" x14ac:dyDescent="0.15">
      <c r="B97" s="155" t="s">
        <v>80</v>
      </c>
      <c r="C97" s="30" t="s">
        <v>58</v>
      </c>
      <c r="D97" s="158" t="s">
        <v>157</v>
      </c>
      <c r="E97" s="158"/>
      <c r="F97" s="158"/>
      <c r="G97" s="158"/>
      <c r="H97" s="158"/>
      <c r="I97" s="158"/>
      <c r="J97" s="158"/>
      <c r="K97" s="158"/>
      <c r="L97" s="158"/>
      <c r="M97" s="158"/>
      <c r="N97" s="158"/>
      <c r="O97" s="158"/>
      <c r="P97" s="158"/>
      <c r="Q97" s="158"/>
      <c r="R97" s="158"/>
      <c r="S97" s="159"/>
    </row>
    <row r="98" spans="1:19" ht="141" customHeight="1" x14ac:dyDescent="0.15">
      <c r="B98" s="157"/>
      <c r="C98" s="33" t="s">
        <v>76</v>
      </c>
      <c r="D98" s="149" t="s">
        <v>158</v>
      </c>
      <c r="E98" s="150"/>
      <c r="F98" s="150"/>
      <c r="G98" s="150"/>
      <c r="H98" s="150"/>
      <c r="I98" s="150"/>
      <c r="J98" s="150"/>
      <c r="K98" s="150"/>
      <c r="L98" s="150"/>
      <c r="M98" s="150"/>
      <c r="N98" s="150"/>
      <c r="O98" s="150"/>
      <c r="P98" s="150"/>
      <c r="Q98" s="150"/>
      <c r="R98" s="150"/>
      <c r="S98" s="151"/>
    </row>
    <row r="99" spans="1:19" ht="117" customHeight="1" x14ac:dyDescent="0.15">
      <c r="B99" s="156"/>
      <c r="C99" s="32" t="s">
        <v>77</v>
      </c>
      <c r="D99" s="160" t="s">
        <v>159</v>
      </c>
      <c r="E99" s="160"/>
      <c r="F99" s="160"/>
      <c r="G99" s="160"/>
      <c r="H99" s="160"/>
      <c r="I99" s="160"/>
      <c r="J99" s="160"/>
      <c r="K99" s="160"/>
      <c r="L99" s="160"/>
      <c r="M99" s="160"/>
      <c r="N99" s="160"/>
      <c r="O99" s="160"/>
      <c r="P99" s="160"/>
      <c r="Q99" s="160"/>
      <c r="R99" s="160"/>
      <c r="S99" s="161"/>
    </row>
    <row r="100" spans="1:19" ht="6" customHeight="1" x14ac:dyDescent="0.15"/>
    <row r="101" spans="1:19" ht="18.75" customHeight="1" x14ac:dyDescent="0.15">
      <c r="A101" s="1" t="s">
        <v>121</v>
      </c>
    </row>
    <row r="102" spans="1:19" ht="81.75" customHeight="1" x14ac:dyDescent="0.15">
      <c r="B102" s="129" t="s">
        <v>143</v>
      </c>
      <c r="C102" s="130"/>
      <c r="D102" s="130"/>
      <c r="E102" s="130"/>
      <c r="F102" s="130"/>
      <c r="G102" s="130"/>
      <c r="H102" s="130"/>
      <c r="I102" s="130"/>
      <c r="J102" s="130"/>
      <c r="K102" s="130"/>
      <c r="L102" s="130"/>
      <c r="M102" s="130"/>
      <c r="N102" s="130"/>
      <c r="O102" s="130"/>
      <c r="P102" s="130"/>
      <c r="Q102" s="130"/>
      <c r="R102" s="130"/>
      <c r="S102" s="131"/>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36:I42 Q47:S53 G58:I64 Q58:S64 F69:I75 G47:I53"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B13" sqref="B13:S18"/>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73" t="str">
        <f>'様式１　プログラムを構成する授業科目'!C2</f>
        <v>山口県立大学</v>
      </c>
      <c r="AN2" s="173"/>
      <c r="AO2" s="173"/>
      <c r="AP2" s="173"/>
      <c r="AQ2" s="173"/>
    </row>
    <row r="3" spans="1:45" ht="18" customHeight="1" x14ac:dyDescent="0.15">
      <c r="A3" s="116" t="s">
        <v>48</v>
      </c>
      <c r="B3" s="116"/>
      <c r="C3" s="116"/>
      <c r="D3" s="116"/>
      <c r="E3" s="116"/>
      <c r="F3" s="116"/>
      <c r="G3" s="116"/>
      <c r="H3" s="116"/>
      <c r="I3" s="116"/>
      <c r="J3" s="116"/>
      <c r="K3" s="116"/>
      <c r="L3" s="116"/>
      <c r="M3" s="116"/>
      <c r="N3" s="116"/>
      <c r="O3" s="116"/>
      <c r="P3" s="116"/>
      <c r="Q3" s="116"/>
      <c r="R3" s="116"/>
      <c r="S3" s="116"/>
      <c r="T3" s="116"/>
      <c r="U3" s="116"/>
      <c r="V3" s="116"/>
      <c r="W3" s="116"/>
      <c r="X3" s="116"/>
      <c r="Y3" s="116"/>
      <c r="Z3" s="116"/>
      <c r="AA3" s="116"/>
      <c r="AB3" s="116"/>
      <c r="AC3" s="116"/>
      <c r="AD3" s="116"/>
      <c r="AE3" s="116"/>
      <c r="AF3" s="116"/>
      <c r="AG3" s="116"/>
      <c r="AH3" s="116"/>
      <c r="AI3" s="116"/>
      <c r="AJ3" s="116"/>
      <c r="AK3" s="116"/>
      <c r="AL3" s="116"/>
      <c r="AM3" s="116"/>
      <c r="AN3" s="116"/>
      <c r="AO3" s="116"/>
      <c r="AP3" s="116"/>
      <c r="AQ3" s="116"/>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74" t="s">
        <v>127</v>
      </c>
      <c r="D5" s="175"/>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76" t="s">
        <v>45</v>
      </c>
      <c r="C9" s="191" t="s">
        <v>87</v>
      </c>
      <c r="D9" s="179" t="s">
        <v>47</v>
      </c>
      <c r="E9" s="182" t="s">
        <v>40</v>
      </c>
      <c r="F9" s="172" t="s">
        <v>86</v>
      </c>
      <c r="G9" s="172"/>
      <c r="H9" s="172"/>
      <c r="I9" s="172"/>
      <c r="J9" s="172"/>
      <c r="K9" s="172"/>
      <c r="L9" s="172" t="s">
        <v>49</v>
      </c>
      <c r="M9" s="172"/>
      <c r="N9" s="172"/>
      <c r="O9" s="172"/>
      <c r="P9" s="172"/>
      <c r="Q9" s="172"/>
      <c r="R9" s="172" t="s">
        <v>50</v>
      </c>
      <c r="S9" s="172"/>
      <c r="T9" s="172"/>
      <c r="U9" s="172"/>
      <c r="V9" s="172"/>
      <c r="W9" s="172"/>
      <c r="X9" s="172" t="s">
        <v>101</v>
      </c>
      <c r="Y9" s="172"/>
      <c r="Z9" s="172"/>
      <c r="AA9" s="172"/>
      <c r="AB9" s="172"/>
      <c r="AC9" s="172"/>
      <c r="AD9" s="172" t="s">
        <v>51</v>
      </c>
      <c r="AE9" s="172"/>
      <c r="AF9" s="172"/>
      <c r="AG9" s="172"/>
      <c r="AH9" s="172"/>
      <c r="AI9" s="172"/>
      <c r="AJ9" s="172" t="s">
        <v>52</v>
      </c>
      <c r="AK9" s="172"/>
      <c r="AL9" s="172"/>
      <c r="AM9" s="172"/>
      <c r="AN9" s="172"/>
      <c r="AO9" s="172"/>
      <c r="AP9" s="185" t="s">
        <v>35</v>
      </c>
      <c r="AQ9" s="188" t="s">
        <v>32</v>
      </c>
      <c r="AS9" s="2"/>
    </row>
    <row r="10" spans="1:45" ht="16.899999999999999" customHeight="1" x14ac:dyDescent="0.15">
      <c r="B10" s="177"/>
      <c r="C10" s="192"/>
      <c r="D10" s="180"/>
      <c r="E10" s="183"/>
      <c r="F10" s="170" t="s">
        <v>97</v>
      </c>
      <c r="G10" s="171"/>
      <c r="H10" s="171"/>
      <c r="I10" s="170" t="s">
        <v>29</v>
      </c>
      <c r="J10" s="171"/>
      <c r="K10" s="171"/>
      <c r="L10" s="170" t="s">
        <v>97</v>
      </c>
      <c r="M10" s="171"/>
      <c r="N10" s="171"/>
      <c r="O10" s="170" t="s">
        <v>29</v>
      </c>
      <c r="P10" s="171"/>
      <c r="Q10" s="171"/>
      <c r="R10" s="170" t="s">
        <v>97</v>
      </c>
      <c r="S10" s="171"/>
      <c r="T10" s="171"/>
      <c r="U10" s="170" t="s">
        <v>29</v>
      </c>
      <c r="V10" s="171"/>
      <c r="W10" s="171"/>
      <c r="X10" s="170" t="s">
        <v>97</v>
      </c>
      <c r="Y10" s="171"/>
      <c r="Z10" s="171"/>
      <c r="AA10" s="170" t="s">
        <v>29</v>
      </c>
      <c r="AB10" s="171"/>
      <c r="AC10" s="171"/>
      <c r="AD10" s="170" t="s">
        <v>97</v>
      </c>
      <c r="AE10" s="171"/>
      <c r="AF10" s="171"/>
      <c r="AG10" s="170" t="s">
        <v>29</v>
      </c>
      <c r="AH10" s="171"/>
      <c r="AI10" s="171"/>
      <c r="AJ10" s="170" t="s">
        <v>97</v>
      </c>
      <c r="AK10" s="171"/>
      <c r="AL10" s="171"/>
      <c r="AM10" s="170" t="s">
        <v>29</v>
      </c>
      <c r="AN10" s="171"/>
      <c r="AO10" s="171"/>
      <c r="AP10" s="186"/>
      <c r="AQ10" s="189"/>
      <c r="AS10" s="2"/>
    </row>
    <row r="11" spans="1:45" ht="18" customHeight="1" x14ac:dyDescent="0.15">
      <c r="B11" s="178"/>
      <c r="C11" s="193"/>
      <c r="D11" s="181"/>
      <c r="E11" s="184"/>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7"/>
      <c r="AQ11" s="190"/>
      <c r="AS11" s="2"/>
    </row>
    <row r="12" spans="1:45" ht="18" customHeight="1" x14ac:dyDescent="0.15">
      <c r="A12" s="6"/>
      <c r="B12" s="11" t="s">
        <v>128</v>
      </c>
      <c r="C12" s="82">
        <v>69</v>
      </c>
      <c r="D12" s="63">
        <v>62</v>
      </c>
      <c r="E12" s="64">
        <v>248</v>
      </c>
      <c r="F12" s="84">
        <f t="shared" ref="F12:F16" si="0">G12+H12</f>
        <v>69</v>
      </c>
      <c r="G12" s="85">
        <v>12</v>
      </c>
      <c r="H12" s="86">
        <v>57</v>
      </c>
      <c r="I12" s="87">
        <f>J12+K12</f>
        <v>61</v>
      </c>
      <c r="J12" s="85">
        <v>8</v>
      </c>
      <c r="K12" s="86">
        <v>53</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69</v>
      </c>
      <c r="AQ12" s="21">
        <f>AP12/E12</f>
        <v>0.27822580645161288</v>
      </c>
    </row>
    <row r="13" spans="1:45" ht="18" customHeight="1" x14ac:dyDescent="0.15">
      <c r="A13" s="6"/>
      <c r="B13" s="12" t="s">
        <v>129</v>
      </c>
      <c r="C13" s="83">
        <v>58</v>
      </c>
      <c r="D13" s="68">
        <v>52</v>
      </c>
      <c r="E13" s="69">
        <v>208</v>
      </c>
      <c r="F13" s="84">
        <f t="shared" si="0"/>
        <v>58</v>
      </c>
      <c r="G13" s="88">
        <v>11</v>
      </c>
      <c r="H13" s="89">
        <v>47</v>
      </c>
      <c r="I13" s="84">
        <f t="shared" ref="I13:I31" si="1">J13+K13</f>
        <v>55</v>
      </c>
      <c r="J13" s="88">
        <v>11</v>
      </c>
      <c r="K13" s="89">
        <v>44</v>
      </c>
      <c r="L13" s="70">
        <f t="shared" ref="L13:L31" si="2">M13+N13</f>
        <v>0</v>
      </c>
      <c r="M13" s="71"/>
      <c r="N13" s="72"/>
      <c r="O13" s="70">
        <f t="shared" ref="O13:O31" si="3">P13+Q13</f>
        <v>0</v>
      </c>
      <c r="P13" s="71"/>
      <c r="Q13" s="72"/>
      <c r="R13" s="70">
        <f t="shared" ref="R13:R31" si="4">S13+T13</f>
        <v>0</v>
      </c>
      <c r="S13" s="71"/>
      <c r="T13" s="72"/>
      <c r="U13" s="70">
        <f t="shared" ref="U13:U31" si="5">V13+W13</f>
        <v>0</v>
      </c>
      <c r="V13" s="71"/>
      <c r="W13" s="72"/>
      <c r="X13" s="70">
        <f t="shared" ref="X13:X31" si="6">Y13+Z13</f>
        <v>0</v>
      </c>
      <c r="Y13" s="71"/>
      <c r="Z13" s="72"/>
      <c r="AA13" s="70">
        <f t="shared" ref="AA13:AA31" si="7">AB13+AC13</f>
        <v>0</v>
      </c>
      <c r="AB13" s="71"/>
      <c r="AC13" s="72"/>
      <c r="AD13" s="70">
        <f t="shared" ref="AD13:AD31" si="8">AE13+AF13</f>
        <v>0</v>
      </c>
      <c r="AE13" s="71"/>
      <c r="AF13" s="72"/>
      <c r="AG13" s="70">
        <f t="shared" ref="AG13:AG31" si="9">AH13+AI13</f>
        <v>0</v>
      </c>
      <c r="AH13" s="71"/>
      <c r="AI13" s="72"/>
      <c r="AJ13" s="70">
        <f t="shared" ref="AJ13:AJ31" si="10">AK13+AL13</f>
        <v>0</v>
      </c>
      <c r="AK13" s="71"/>
      <c r="AL13" s="72"/>
      <c r="AM13" s="70">
        <f t="shared" ref="AM13:AM31" si="11">AN13+AO13</f>
        <v>0</v>
      </c>
      <c r="AN13" s="71"/>
      <c r="AO13" s="72"/>
      <c r="AP13" s="68">
        <f t="shared" ref="AP13:AP31" si="12">F13+L13+R13+X13+AD13+AJ13</f>
        <v>58</v>
      </c>
      <c r="AQ13" s="20">
        <f t="shared" ref="AQ13:AQ32" si="13">AP13/E13</f>
        <v>0.27884615384615385</v>
      </c>
    </row>
    <row r="14" spans="1:45" ht="18" customHeight="1" x14ac:dyDescent="0.15">
      <c r="A14" s="6"/>
      <c r="B14" s="12" t="s">
        <v>130</v>
      </c>
      <c r="C14" s="83">
        <v>104</v>
      </c>
      <c r="D14" s="68">
        <v>103</v>
      </c>
      <c r="E14" s="69">
        <v>412</v>
      </c>
      <c r="F14" s="84">
        <f t="shared" si="0"/>
        <v>104</v>
      </c>
      <c r="G14" s="88">
        <v>20</v>
      </c>
      <c r="H14" s="89">
        <v>84</v>
      </c>
      <c r="I14" s="84">
        <f t="shared" si="1"/>
        <v>104</v>
      </c>
      <c r="J14" s="88">
        <v>20</v>
      </c>
      <c r="K14" s="89">
        <v>84</v>
      </c>
      <c r="L14" s="70">
        <f t="shared" si="2"/>
        <v>0</v>
      </c>
      <c r="M14" s="71"/>
      <c r="N14" s="72"/>
      <c r="O14" s="70">
        <f t="shared" si="3"/>
        <v>0</v>
      </c>
      <c r="P14" s="71"/>
      <c r="Q14" s="72"/>
      <c r="R14" s="70">
        <f t="shared" si="4"/>
        <v>0</v>
      </c>
      <c r="S14" s="71"/>
      <c r="T14" s="72"/>
      <c r="U14" s="70">
        <f t="shared" si="5"/>
        <v>0</v>
      </c>
      <c r="V14" s="71"/>
      <c r="W14" s="72"/>
      <c r="X14" s="70">
        <f t="shared" si="6"/>
        <v>0</v>
      </c>
      <c r="Y14" s="71"/>
      <c r="Z14" s="72"/>
      <c r="AA14" s="70">
        <f t="shared" si="7"/>
        <v>0</v>
      </c>
      <c r="AB14" s="71"/>
      <c r="AC14" s="72"/>
      <c r="AD14" s="70">
        <f t="shared" si="8"/>
        <v>0</v>
      </c>
      <c r="AE14" s="71"/>
      <c r="AF14" s="72"/>
      <c r="AG14" s="70">
        <f t="shared" si="9"/>
        <v>0</v>
      </c>
      <c r="AH14" s="71"/>
      <c r="AI14" s="72"/>
      <c r="AJ14" s="70">
        <f t="shared" si="10"/>
        <v>0</v>
      </c>
      <c r="AK14" s="71"/>
      <c r="AL14" s="72"/>
      <c r="AM14" s="70">
        <f t="shared" si="11"/>
        <v>0</v>
      </c>
      <c r="AN14" s="71"/>
      <c r="AO14" s="72"/>
      <c r="AP14" s="68">
        <f t="shared" si="12"/>
        <v>104</v>
      </c>
      <c r="AQ14" s="8">
        <f t="shared" si="13"/>
        <v>0.25242718446601942</v>
      </c>
    </row>
    <row r="15" spans="1:45" ht="18" customHeight="1" x14ac:dyDescent="0.15">
      <c r="A15" s="6"/>
      <c r="B15" s="12" t="s">
        <v>131</v>
      </c>
      <c r="C15" s="83">
        <v>56</v>
      </c>
      <c r="D15" s="68">
        <v>55</v>
      </c>
      <c r="E15" s="69">
        <v>220</v>
      </c>
      <c r="F15" s="84">
        <f t="shared" si="0"/>
        <v>56</v>
      </c>
      <c r="G15" s="88">
        <v>2</v>
      </c>
      <c r="H15" s="89">
        <v>54</v>
      </c>
      <c r="I15" s="84">
        <f t="shared" si="1"/>
        <v>55</v>
      </c>
      <c r="J15" s="88">
        <v>2</v>
      </c>
      <c r="K15" s="89">
        <v>53</v>
      </c>
      <c r="L15" s="70">
        <f t="shared" si="2"/>
        <v>0</v>
      </c>
      <c r="M15" s="71"/>
      <c r="N15" s="72"/>
      <c r="O15" s="70">
        <f t="shared" si="3"/>
        <v>0</v>
      </c>
      <c r="P15" s="71"/>
      <c r="Q15" s="72"/>
      <c r="R15" s="70">
        <f t="shared" si="4"/>
        <v>0</v>
      </c>
      <c r="S15" s="71"/>
      <c r="T15" s="72"/>
      <c r="U15" s="70">
        <f t="shared" si="5"/>
        <v>0</v>
      </c>
      <c r="V15" s="71"/>
      <c r="W15" s="72"/>
      <c r="X15" s="70">
        <f t="shared" si="6"/>
        <v>0</v>
      </c>
      <c r="Y15" s="71"/>
      <c r="Z15" s="72"/>
      <c r="AA15" s="70">
        <f t="shared" si="7"/>
        <v>0</v>
      </c>
      <c r="AB15" s="71"/>
      <c r="AC15" s="72"/>
      <c r="AD15" s="70">
        <f t="shared" si="8"/>
        <v>0</v>
      </c>
      <c r="AE15" s="71"/>
      <c r="AF15" s="72"/>
      <c r="AG15" s="70">
        <f t="shared" si="9"/>
        <v>0</v>
      </c>
      <c r="AH15" s="71"/>
      <c r="AI15" s="72"/>
      <c r="AJ15" s="70">
        <f t="shared" si="10"/>
        <v>0</v>
      </c>
      <c r="AK15" s="71"/>
      <c r="AL15" s="72"/>
      <c r="AM15" s="70">
        <f t="shared" si="11"/>
        <v>0</v>
      </c>
      <c r="AN15" s="71"/>
      <c r="AO15" s="72"/>
      <c r="AP15" s="68">
        <f t="shared" si="12"/>
        <v>56</v>
      </c>
      <c r="AQ15" s="8">
        <f t="shared" si="13"/>
        <v>0.25454545454545452</v>
      </c>
    </row>
    <row r="16" spans="1:45" ht="18" customHeight="1" x14ac:dyDescent="0.15">
      <c r="A16" s="6"/>
      <c r="B16" s="12" t="s">
        <v>132</v>
      </c>
      <c r="C16" s="83">
        <v>42</v>
      </c>
      <c r="D16" s="68">
        <v>42</v>
      </c>
      <c r="E16" s="69">
        <v>168</v>
      </c>
      <c r="F16" s="84">
        <f t="shared" si="0"/>
        <v>42</v>
      </c>
      <c r="G16" s="88">
        <v>4</v>
      </c>
      <c r="H16" s="89">
        <v>38</v>
      </c>
      <c r="I16" s="84">
        <f t="shared" si="1"/>
        <v>39</v>
      </c>
      <c r="J16" s="88">
        <v>4</v>
      </c>
      <c r="K16" s="89">
        <v>35</v>
      </c>
      <c r="L16" s="70">
        <f t="shared" si="2"/>
        <v>0</v>
      </c>
      <c r="M16" s="71"/>
      <c r="N16" s="72"/>
      <c r="O16" s="70">
        <f t="shared" si="3"/>
        <v>0</v>
      </c>
      <c r="P16" s="71"/>
      <c r="Q16" s="72"/>
      <c r="R16" s="70">
        <f t="shared" si="4"/>
        <v>0</v>
      </c>
      <c r="S16" s="71"/>
      <c r="T16" s="72"/>
      <c r="U16" s="70">
        <f t="shared" si="5"/>
        <v>0</v>
      </c>
      <c r="V16" s="71"/>
      <c r="W16" s="72"/>
      <c r="X16" s="70">
        <f t="shared" si="6"/>
        <v>0</v>
      </c>
      <c r="Y16" s="71"/>
      <c r="Z16" s="72"/>
      <c r="AA16" s="70">
        <f t="shared" si="7"/>
        <v>0</v>
      </c>
      <c r="AB16" s="71"/>
      <c r="AC16" s="72"/>
      <c r="AD16" s="70">
        <f t="shared" si="8"/>
        <v>0</v>
      </c>
      <c r="AE16" s="71"/>
      <c r="AF16" s="72"/>
      <c r="AG16" s="70">
        <f t="shared" si="9"/>
        <v>0</v>
      </c>
      <c r="AH16" s="71"/>
      <c r="AI16" s="72"/>
      <c r="AJ16" s="70">
        <f t="shared" si="10"/>
        <v>0</v>
      </c>
      <c r="AK16" s="71"/>
      <c r="AL16" s="72"/>
      <c r="AM16" s="70">
        <f t="shared" si="11"/>
        <v>0</v>
      </c>
      <c r="AN16" s="71"/>
      <c r="AO16" s="72"/>
      <c r="AP16" s="68">
        <f t="shared" si="12"/>
        <v>42</v>
      </c>
      <c r="AQ16" s="8">
        <f t="shared" si="13"/>
        <v>0.25</v>
      </c>
    </row>
    <row r="17" spans="1:43" ht="18" customHeight="1" x14ac:dyDescent="0.15">
      <c r="A17" s="6"/>
      <c r="B17" s="12"/>
      <c r="C17" s="67"/>
      <c r="D17" s="68"/>
      <c r="E17" s="69"/>
      <c r="F17" s="70">
        <f t="shared" ref="F17:F31" si="14">G17+H17</f>
        <v>0</v>
      </c>
      <c r="G17" s="71"/>
      <c r="H17" s="72"/>
      <c r="I17" s="70">
        <f t="shared" si="1"/>
        <v>0</v>
      </c>
      <c r="J17" s="71"/>
      <c r="K17" s="72"/>
      <c r="L17" s="70">
        <f t="shared" si="2"/>
        <v>0</v>
      </c>
      <c r="M17" s="71"/>
      <c r="N17" s="72"/>
      <c r="O17" s="70">
        <f t="shared" si="3"/>
        <v>0</v>
      </c>
      <c r="P17" s="71"/>
      <c r="Q17" s="72"/>
      <c r="R17" s="70">
        <f t="shared" si="4"/>
        <v>0</v>
      </c>
      <c r="S17" s="71"/>
      <c r="T17" s="72"/>
      <c r="U17" s="70">
        <f t="shared" si="5"/>
        <v>0</v>
      </c>
      <c r="V17" s="71"/>
      <c r="W17" s="72"/>
      <c r="X17" s="70">
        <f t="shared" si="6"/>
        <v>0</v>
      </c>
      <c r="Y17" s="71"/>
      <c r="Z17" s="72"/>
      <c r="AA17" s="70">
        <f t="shared" si="7"/>
        <v>0</v>
      </c>
      <c r="AB17" s="71"/>
      <c r="AC17" s="72"/>
      <c r="AD17" s="70">
        <f t="shared" si="8"/>
        <v>0</v>
      </c>
      <c r="AE17" s="71"/>
      <c r="AF17" s="72"/>
      <c r="AG17" s="70">
        <f t="shared" si="9"/>
        <v>0</v>
      </c>
      <c r="AH17" s="71"/>
      <c r="AI17" s="72"/>
      <c r="AJ17" s="70">
        <f t="shared" si="10"/>
        <v>0</v>
      </c>
      <c r="AK17" s="71"/>
      <c r="AL17" s="72"/>
      <c r="AM17" s="70">
        <f t="shared" si="11"/>
        <v>0</v>
      </c>
      <c r="AN17" s="71"/>
      <c r="AO17" s="72"/>
      <c r="AP17" s="68">
        <f t="shared" si="12"/>
        <v>0</v>
      </c>
      <c r="AQ17" s="8" t="e">
        <f t="shared" si="13"/>
        <v>#DIV/0!</v>
      </c>
    </row>
    <row r="18" spans="1:43" ht="18" customHeight="1" x14ac:dyDescent="0.15">
      <c r="A18" s="6"/>
      <c r="B18" s="12"/>
      <c r="C18" s="67"/>
      <c r="D18" s="68"/>
      <c r="E18" s="69"/>
      <c r="F18" s="70">
        <f t="shared" si="14"/>
        <v>0</v>
      </c>
      <c r="G18" s="71"/>
      <c r="H18" s="72"/>
      <c r="I18" s="70">
        <f t="shared" si="1"/>
        <v>0</v>
      </c>
      <c r="J18" s="71"/>
      <c r="K18" s="72"/>
      <c r="L18" s="70">
        <f t="shared" si="2"/>
        <v>0</v>
      </c>
      <c r="M18" s="71"/>
      <c r="N18" s="72"/>
      <c r="O18" s="70">
        <f t="shared" si="3"/>
        <v>0</v>
      </c>
      <c r="P18" s="71"/>
      <c r="Q18" s="72"/>
      <c r="R18" s="70">
        <f t="shared" si="4"/>
        <v>0</v>
      </c>
      <c r="S18" s="71"/>
      <c r="T18" s="72"/>
      <c r="U18" s="70">
        <f t="shared" si="5"/>
        <v>0</v>
      </c>
      <c r="V18" s="71"/>
      <c r="W18" s="72"/>
      <c r="X18" s="70">
        <f t="shared" si="6"/>
        <v>0</v>
      </c>
      <c r="Y18" s="71"/>
      <c r="Z18" s="72"/>
      <c r="AA18" s="70">
        <f t="shared" si="7"/>
        <v>0</v>
      </c>
      <c r="AB18" s="71"/>
      <c r="AC18" s="72"/>
      <c r="AD18" s="70">
        <f t="shared" si="8"/>
        <v>0</v>
      </c>
      <c r="AE18" s="71"/>
      <c r="AF18" s="72"/>
      <c r="AG18" s="70">
        <f t="shared" si="9"/>
        <v>0</v>
      </c>
      <c r="AH18" s="71"/>
      <c r="AI18" s="72"/>
      <c r="AJ18" s="70">
        <f t="shared" si="10"/>
        <v>0</v>
      </c>
      <c r="AK18" s="71"/>
      <c r="AL18" s="72"/>
      <c r="AM18" s="70">
        <f t="shared" si="11"/>
        <v>0</v>
      </c>
      <c r="AN18" s="71"/>
      <c r="AO18" s="72"/>
      <c r="AP18" s="68">
        <f t="shared" si="12"/>
        <v>0</v>
      </c>
      <c r="AQ18" s="8" t="e">
        <f t="shared" si="13"/>
        <v>#DIV/0!</v>
      </c>
    </row>
    <row r="19" spans="1:43" ht="18" customHeight="1" x14ac:dyDescent="0.15">
      <c r="A19" s="6"/>
      <c r="B19" s="12"/>
      <c r="C19" s="67"/>
      <c r="D19" s="68"/>
      <c r="E19" s="69"/>
      <c r="F19" s="70">
        <f t="shared" si="14"/>
        <v>0</v>
      </c>
      <c r="G19" s="71"/>
      <c r="H19" s="72"/>
      <c r="I19" s="70">
        <f t="shared" si="1"/>
        <v>0</v>
      </c>
      <c r="J19" s="71"/>
      <c r="K19" s="72"/>
      <c r="L19" s="70">
        <f t="shared" si="2"/>
        <v>0</v>
      </c>
      <c r="M19" s="71"/>
      <c r="N19" s="72"/>
      <c r="O19" s="70">
        <f t="shared" si="3"/>
        <v>0</v>
      </c>
      <c r="P19" s="71"/>
      <c r="Q19" s="72"/>
      <c r="R19" s="70">
        <f t="shared" si="4"/>
        <v>0</v>
      </c>
      <c r="S19" s="71"/>
      <c r="T19" s="72"/>
      <c r="U19" s="70">
        <f t="shared" si="5"/>
        <v>0</v>
      </c>
      <c r="V19" s="71"/>
      <c r="W19" s="72"/>
      <c r="X19" s="70">
        <f t="shared" si="6"/>
        <v>0</v>
      </c>
      <c r="Y19" s="71"/>
      <c r="Z19" s="72"/>
      <c r="AA19" s="70">
        <f t="shared" si="7"/>
        <v>0</v>
      </c>
      <c r="AB19" s="71"/>
      <c r="AC19" s="72"/>
      <c r="AD19" s="70">
        <f t="shared" si="8"/>
        <v>0</v>
      </c>
      <c r="AE19" s="71"/>
      <c r="AF19" s="72"/>
      <c r="AG19" s="70">
        <f t="shared" si="9"/>
        <v>0</v>
      </c>
      <c r="AH19" s="71"/>
      <c r="AI19" s="72"/>
      <c r="AJ19" s="70">
        <f t="shared" si="10"/>
        <v>0</v>
      </c>
      <c r="AK19" s="71"/>
      <c r="AL19" s="72"/>
      <c r="AM19" s="70">
        <f t="shared" si="11"/>
        <v>0</v>
      </c>
      <c r="AN19" s="71"/>
      <c r="AO19" s="72"/>
      <c r="AP19" s="68">
        <f t="shared" si="12"/>
        <v>0</v>
      </c>
      <c r="AQ19" s="8" t="e">
        <f t="shared" si="13"/>
        <v>#DIV/0!</v>
      </c>
    </row>
    <row r="20" spans="1:43" ht="18" customHeight="1" x14ac:dyDescent="0.15">
      <c r="A20" s="6"/>
      <c r="B20" s="12"/>
      <c r="C20" s="67"/>
      <c r="D20" s="68"/>
      <c r="E20" s="69"/>
      <c r="F20" s="70">
        <f t="shared" si="14"/>
        <v>0</v>
      </c>
      <c r="G20" s="71"/>
      <c r="H20" s="72"/>
      <c r="I20" s="70">
        <f t="shared" si="1"/>
        <v>0</v>
      </c>
      <c r="J20" s="71"/>
      <c r="K20" s="72"/>
      <c r="L20" s="70">
        <f t="shared" si="2"/>
        <v>0</v>
      </c>
      <c r="M20" s="71"/>
      <c r="N20" s="72"/>
      <c r="O20" s="70">
        <f t="shared" si="3"/>
        <v>0</v>
      </c>
      <c r="P20" s="71"/>
      <c r="Q20" s="72"/>
      <c r="R20" s="70">
        <f t="shared" si="4"/>
        <v>0</v>
      </c>
      <c r="S20" s="71"/>
      <c r="T20" s="72"/>
      <c r="U20" s="70">
        <f t="shared" si="5"/>
        <v>0</v>
      </c>
      <c r="V20" s="71"/>
      <c r="W20" s="72"/>
      <c r="X20" s="70">
        <f t="shared" si="6"/>
        <v>0</v>
      </c>
      <c r="Y20" s="71"/>
      <c r="Z20" s="72"/>
      <c r="AA20" s="70">
        <f t="shared" si="7"/>
        <v>0</v>
      </c>
      <c r="AB20" s="71"/>
      <c r="AC20" s="72"/>
      <c r="AD20" s="70">
        <f t="shared" si="8"/>
        <v>0</v>
      </c>
      <c r="AE20" s="71"/>
      <c r="AF20" s="72"/>
      <c r="AG20" s="70">
        <f t="shared" si="9"/>
        <v>0</v>
      </c>
      <c r="AH20" s="71"/>
      <c r="AI20" s="72"/>
      <c r="AJ20" s="70">
        <f t="shared" si="10"/>
        <v>0</v>
      </c>
      <c r="AK20" s="71"/>
      <c r="AL20" s="72"/>
      <c r="AM20" s="70">
        <f t="shared" si="11"/>
        <v>0</v>
      </c>
      <c r="AN20" s="71"/>
      <c r="AO20" s="72"/>
      <c r="AP20" s="68">
        <f t="shared" si="12"/>
        <v>0</v>
      </c>
      <c r="AQ20" s="8" t="e">
        <f t="shared" si="13"/>
        <v>#DIV/0!</v>
      </c>
    </row>
    <row r="21" spans="1:43" ht="18" customHeight="1" x14ac:dyDescent="0.15">
      <c r="A21" s="6"/>
      <c r="B21" s="12"/>
      <c r="C21" s="67"/>
      <c r="D21" s="68"/>
      <c r="E21" s="69"/>
      <c r="F21" s="70">
        <f t="shared" si="14"/>
        <v>0</v>
      </c>
      <c r="G21" s="71"/>
      <c r="H21" s="72"/>
      <c r="I21" s="70">
        <f t="shared" si="1"/>
        <v>0</v>
      </c>
      <c r="J21" s="71"/>
      <c r="K21" s="72"/>
      <c r="L21" s="70">
        <f t="shared" si="2"/>
        <v>0</v>
      </c>
      <c r="M21" s="71"/>
      <c r="N21" s="72"/>
      <c r="O21" s="70">
        <f t="shared" si="3"/>
        <v>0</v>
      </c>
      <c r="P21" s="71"/>
      <c r="Q21" s="72"/>
      <c r="R21" s="70">
        <f t="shared" si="4"/>
        <v>0</v>
      </c>
      <c r="S21" s="71"/>
      <c r="T21" s="72"/>
      <c r="U21" s="70">
        <f t="shared" si="5"/>
        <v>0</v>
      </c>
      <c r="V21" s="71"/>
      <c r="W21" s="72"/>
      <c r="X21" s="70">
        <f t="shared" si="6"/>
        <v>0</v>
      </c>
      <c r="Y21" s="71"/>
      <c r="Z21" s="72"/>
      <c r="AA21" s="70">
        <f t="shared" si="7"/>
        <v>0</v>
      </c>
      <c r="AB21" s="71"/>
      <c r="AC21" s="72"/>
      <c r="AD21" s="70">
        <f t="shared" si="8"/>
        <v>0</v>
      </c>
      <c r="AE21" s="71"/>
      <c r="AF21" s="72"/>
      <c r="AG21" s="70">
        <f t="shared" si="9"/>
        <v>0</v>
      </c>
      <c r="AH21" s="71"/>
      <c r="AI21" s="72"/>
      <c r="AJ21" s="70">
        <f t="shared" si="10"/>
        <v>0</v>
      </c>
      <c r="AK21" s="71"/>
      <c r="AL21" s="72"/>
      <c r="AM21" s="70">
        <f t="shared" si="11"/>
        <v>0</v>
      </c>
      <c r="AN21" s="71"/>
      <c r="AO21" s="72"/>
      <c r="AP21" s="68">
        <f t="shared" si="12"/>
        <v>0</v>
      </c>
      <c r="AQ21" s="8" t="e">
        <f t="shared" si="13"/>
        <v>#DIV/0!</v>
      </c>
    </row>
    <row r="22" spans="1:43" ht="18" customHeight="1" x14ac:dyDescent="0.15">
      <c r="A22" s="6"/>
      <c r="B22" s="12"/>
      <c r="C22" s="67"/>
      <c r="D22" s="68"/>
      <c r="E22" s="69"/>
      <c r="F22" s="70">
        <f t="shared" si="14"/>
        <v>0</v>
      </c>
      <c r="G22" s="71"/>
      <c r="H22" s="72"/>
      <c r="I22" s="70">
        <f t="shared" si="1"/>
        <v>0</v>
      </c>
      <c r="J22" s="71"/>
      <c r="K22" s="72"/>
      <c r="L22" s="70">
        <f t="shared" si="2"/>
        <v>0</v>
      </c>
      <c r="M22" s="71"/>
      <c r="N22" s="72"/>
      <c r="O22" s="70">
        <f t="shared" si="3"/>
        <v>0</v>
      </c>
      <c r="P22" s="71"/>
      <c r="Q22" s="72"/>
      <c r="R22" s="70">
        <f t="shared" si="4"/>
        <v>0</v>
      </c>
      <c r="S22" s="71"/>
      <c r="T22" s="72"/>
      <c r="U22" s="70">
        <f t="shared" si="5"/>
        <v>0</v>
      </c>
      <c r="V22" s="71"/>
      <c r="W22" s="72"/>
      <c r="X22" s="70">
        <f t="shared" si="6"/>
        <v>0</v>
      </c>
      <c r="Y22" s="71"/>
      <c r="Z22" s="72"/>
      <c r="AA22" s="70">
        <f t="shared" si="7"/>
        <v>0</v>
      </c>
      <c r="AB22" s="71"/>
      <c r="AC22" s="72"/>
      <c r="AD22" s="70">
        <f t="shared" si="8"/>
        <v>0</v>
      </c>
      <c r="AE22" s="71"/>
      <c r="AF22" s="72"/>
      <c r="AG22" s="70">
        <f t="shared" si="9"/>
        <v>0</v>
      </c>
      <c r="AH22" s="71"/>
      <c r="AI22" s="72"/>
      <c r="AJ22" s="70">
        <f t="shared" si="10"/>
        <v>0</v>
      </c>
      <c r="AK22" s="71"/>
      <c r="AL22" s="72"/>
      <c r="AM22" s="70">
        <f t="shared" si="11"/>
        <v>0</v>
      </c>
      <c r="AN22" s="71"/>
      <c r="AO22" s="72"/>
      <c r="AP22" s="68">
        <f t="shared" si="12"/>
        <v>0</v>
      </c>
      <c r="AQ22" s="8" t="e">
        <f t="shared" si="13"/>
        <v>#DIV/0!</v>
      </c>
    </row>
    <row r="23" spans="1:43" ht="18" customHeight="1" x14ac:dyDescent="0.15">
      <c r="A23" s="6"/>
      <c r="B23" s="12"/>
      <c r="C23" s="67"/>
      <c r="D23" s="68"/>
      <c r="E23" s="69"/>
      <c r="F23" s="70">
        <f t="shared" si="14"/>
        <v>0</v>
      </c>
      <c r="G23" s="71"/>
      <c r="H23" s="72"/>
      <c r="I23" s="70">
        <f t="shared" si="1"/>
        <v>0</v>
      </c>
      <c r="J23" s="71"/>
      <c r="K23" s="72"/>
      <c r="L23" s="70">
        <f t="shared" si="2"/>
        <v>0</v>
      </c>
      <c r="M23" s="71"/>
      <c r="N23" s="72"/>
      <c r="O23" s="70">
        <f t="shared" si="3"/>
        <v>0</v>
      </c>
      <c r="P23" s="71"/>
      <c r="Q23" s="72"/>
      <c r="R23" s="70">
        <f t="shared" si="4"/>
        <v>0</v>
      </c>
      <c r="S23" s="71"/>
      <c r="T23" s="72"/>
      <c r="U23" s="70">
        <f t="shared" si="5"/>
        <v>0</v>
      </c>
      <c r="V23" s="71"/>
      <c r="W23" s="72"/>
      <c r="X23" s="70">
        <f t="shared" si="6"/>
        <v>0</v>
      </c>
      <c r="Y23" s="71"/>
      <c r="Z23" s="72"/>
      <c r="AA23" s="70">
        <f t="shared" si="7"/>
        <v>0</v>
      </c>
      <c r="AB23" s="71"/>
      <c r="AC23" s="72"/>
      <c r="AD23" s="70">
        <f t="shared" si="8"/>
        <v>0</v>
      </c>
      <c r="AE23" s="71"/>
      <c r="AF23" s="72"/>
      <c r="AG23" s="70">
        <f t="shared" si="9"/>
        <v>0</v>
      </c>
      <c r="AH23" s="71"/>
      <c r="AI23" s="72"/>
      <c r="AJ23" s="70">
        <f t="shared" si="10"/>
        <v>0</v>
      </c>
      <c r="AK23" s="71"/>
      <c r="AL23" s="72"/>
      <c r="AM23" s="70">
        <f t="shared" si="11"/>
        <v>0</v>
      </c>
      <c r="AN23" s="71"/>
      <c r="AO23" s="72"/>
      <c r="AP23" s="68">
        <f t="shared" si="12"/>
        <v>0</v>
      </c>
      <c r="AQ23" s="8" t="e">
        <f t="shared" si="13"/>
        <v>#DIV/0!</v>
      </c>
    </row>
    <row r="24" spans="1:43" ht="18" customHeight="1" x14ac:dyDescent="0.15">
      <c r="A24" s="6"/>
      <c r="B24" s="12"/>
      <c r="C24" s="67"/>
      <c r="D24" s="68"/>
      <c r="E24" s="69"/>
      <c r="F24" s="70">
        <f t="shared" si="14"/>
        <v>0</v>
      </c>
      <c r="G24" s="71"/>
      <c r="H24" s="72"/>
      <c r="I24" s="70">
        <f t="shared" si="1"/>
        <v>0</v>
      </c>
      <c r="J24" s="71"/>
      <c r="K24" s="72"/>
      <c r="L24" s="70">
        <f t="shared" si="2"/>
        <v>0</v>
      </c>
      <c r="M24" s="71"/>
      <c r="N24" s="72"/>
      <c r="O24" s="70">
        <f t="shared" si="3"/>
        <v>0</v>
      </c>
      <c r="P24" s="71"/>
      <c r="Q24" s="72"/>
      <c r="R24" s="70">
        <f t="shared" si="4"/>
        <v>0</v>
      </c>
      <c r="S24" s="71"/>
      <c r="T24" s="72"/>
      <c r="U24" s="70">
        <f t="shared" si="5"/>
        <v>0</v>
      </c>
      <c r="V24" s="71"/>
      <c r="W24" s="72"/>
      <c r="X24" s="70">
        <f t="shared" si="6"/>
        <v>0</v>
      </c>
      <c r="Y24" s="71"/>
      <c r="Z24" s="72"/>
      <c r="AA24" s="70">
        <f t="shared" si="7"/>
        <v>0</v>
      </c>
      <c r="AB24" s="71"/>
      <c r="AC24" s="72"/>
      <c r="AD24" s="70">
        <f t="shared" si="8"/>
        <v>0</v>
      </c>
      <c r="AE24" s="71"/>
      <c r="AF24" s="72"/>
      <c r="AG24" s="70">
        <f t="shared" si="9"/>
        <v>0</v>
      </c>
      <c r="AH24" s="71"/>
      <c r="AI24" s="72"/>
      <c r="AJ24" s="70">
        <f t="shared" si="10"/>
        <v>0</v>
      </c>
      <c r="AK24" s="71"/>
      <c r="AL24" s="72"/>
      <c r="AM24" s="70">
        <f t="shared" si="11"/>
        <v>0</v>
      </c>
      <c r="AN24" s="71"/>
      <c r="AO24" s="72"/>
      <c r="AP24" s="68">
        <f t="shared" si="12"/>
        <v>0</v>
      </c>
      <c r="AQ24" s="8" t="e">
        <f t="shared" si="13"/>
        <v>#DIV/0!</v>
      </c>
    </row>
    <row r="25" spans="1:43" ht="18" customHeight="1" x14ac:dyDescent="0.15">
      <c r="A25" s="6"/>
      <c r="B25" s="12"/>
      <c r="C25" s="67"/>
      <c r="D25" s="68"/>
      <c r="E25" s="69"/>
      <c r="F25" s="70">
        <f t="shared" si="14"/>
        <v>0</v>
      </c>
      <c r="G25" s="71"/>
      <c r="H25" s="72"/>
      <c r="I25" s="70">
        <f t="shared" si="1"/>
        <v>0</v>
      </c>
      <c r="J25" s="71"/>
      <c r="K25" s="72"/>
      <c r="L25" s="70">
        <f t="shared" si="2"/>
        <v>0</v>
      </c>
      <c r="M25" s="71"/>
      <c r="N25" s="72"/>
      <c r="O25" s="70">
        <f t="shared" si="3"/>
        <v>0</v>
      </c>
      <c r="P25" s="71"/>
      <c r="Q25" s="72"/>
      <c r="R25" s="70">
        <f t="shared" si="4"/>
        <v>0</v>
      </c>
      <c r="S25" s="71"/>
      <c r="T25" s="72"/>
      <c r="U25" s="70">
        <f t="shared" si="5"/>
        <v>0</v>
      </c>
      <c r="V25" s="71"/>
      <c r="W25" s="72"/>
      <c r="X25" s="70">
        <f t="shared" si="6"/>
        <v>0</v>
      </c>
      <c r="Y25" s="71"/>
      <c r="Z25" s="72"/>
      <c r="AA25" s="70">
        <f t="shared" si="7"/>
        <v>0</v>
      </c>
      <c r="AB25" s="71"/>
      <c r="AC25" s="72"/>
      <c r="AD25" s="70">
        <f t="shared" si="8"/>
        <v>0</v>
      </c>
      <c r="AE25" s="71"/>
      <c r="AF25" s="72"/>
      <c r="AG25" s="70">
        <f t="shared" si="9"/>
        <v>0</v>
      </c>
      <c r="AH25" s="71"/>
      <c r="AI25" s="72"/>
      <c r="AJ25" s="70">
        <f t="shared" si="10"/>
        <v>0</v>
      </c>
      <c r="AK25" s="71"/>
      <c r="AL25" s="72"/>
      <c r="AM25" s="70">
        <f t="shared" si="11"/>
        <v>0</v>
      </c>
      <c r="AN25" s="71"/>
      <c r="AO25" s="72"/>
      <c r="AP25" s="68">
        <f t="shared" si="12"/>
        <v>0</v>
      </c>
      <c r="AQ25" s="8" t="e">
        <f t="shared" si="13"/>
        <v>#DIV/0!</v>
      </c>
    </row>
    <row r="26" spans="1:43" ht="18" customHeight="1" x14ac:dyDescent="0.15">
      <c r="A26" s="6"/>
      <c r="B26" s="12"/>
      <c r="C26" s="67"/>
      <c r="D26" s="68"/>
      <c r="E26" s="69"/>
      <c r="F26" s="70">
        <f t="shared" si="14"/>
        <v>0</v>
      </c>
      <c r="G26" s="71"/>
      <c r="H26" s="72"/>
      <c r="I26" s="70">
        <f t="shared" si="1"/>
        <v>0</v>
      </c>
      <c r="J26" s="71"/>
      <c r="K26" s="72"/>
      <c r="L26" s="70">
        <f t="shared" si="2"/>
        <v>0</v>
      </c>
      <c r="M26" s="71"/>
      <c r="N26" s="72"/>
      <c r="O26" s="70">
        <f t="shared" si="3"/>
        <v>0</v>
      </c>
      <c r="P26" s="71"/>
      <c r="Q26" s="72"/>
      <c r="R26" s="70">
        <f t="shared" si="4"/>
        <v>0</v>
      </c>
      <c r="S26" s="71"/>
      <c r="T26" s="72"/>
      <c r="U26" s="70">
        <f t="shared" si="5"/>
        <v>0</v>
      </c>
      <c r="V26" s="71"/>
      <c r="W26" s="72"/>
      <c r="X26" s="70">
        <f t="shared" si="6"/>
        <v>0</v>
      </c>
      <c r="Y26" s="71"/>
      <c r="Z26" s="72"/>
      <c r="AA26" s="70">
        <f t="shared" si="7"/>
        <v>0</v>
      </c>
      <c r="AB26" s="71"/>
      <c r="AC26" s="72"/>
      <c r="AD26" s="70">
        <f t="shared" si="8"/>
        <v>0</v>
      </c>
      <c r="AE26" s="71"/>
      <c r="AF26" s="72"/>
      <c r="AG26" s="70">
        <f t="shared" si="9"/>
        <v>0</v>
      </c>
      <c r="AH26" s="71"/>
      <c r="AI26" s="72"/>
      <c r="AJ26" s="70">
        <f t="shared" si="10"/>
        <v>0</v>
      </c>
      <c r="AK26" s="71"/>
      <c r="AL26" s="72"/>
      <c r="AM26" s="70">
        <f t="shared" si="11"/>
        <v>0</v>
      </c>
      <c r="AN26" s="71"/>
      <c r="AO26" s="72"/>
      <c r="AP26" s="68">
        <f t="shared" si="12"/>
        <v>0</v>
      </c>
      <c r="AQ26" s="8" t="e">
        <f t="shared" si="13"/>
        <v>#DIV/0!</v>
      </c>
    </row>
    <row r="27" spans="1:43" ht="18" customHeight="1" x14ac:dyDescent="0.15">
      <c r="A27" s="6"/>
      <c r="B27" s="12"/>
      <c r="C27" s="67"/>
      <c r="D27" s="68"/>
      <c r="E27" s="69"/>
      <c r="F27" s="70">
        <f t="shared" si="14"/>
        <v>0</v>
      </c>
      <c r="G27" s="71"/>
      <c r="H27" s="72"/>
      <c r="I27" s="70">
        <f t="shared" si="1"/>
        <v>0</v>
      </c>
      <c r="J27" s="71"/>
      <c r="K27" s="72"/>
      <c r="L27" s="70">
        <f t="shared" si="2"/>
        <v>0</v>
      </c>
      <c r="M27" s="71"/>
      <c r="N27" s="72"/>
      <c r="O27" s="70">
        <f t="shared" si="3"/>
        <v>0</v>
      </c>
      <c r="P27" s="71"/>
      <c r="Q27" s="72"/>
      <c r="R27" s="70">
        <f t="shared" si="4"/>
        <v>0</v>
      </c>
      <c r="S27" s="71"/>
      <c r="T27" s="72"/>
      <c r="U27" s="70">
        <f t="shared" si="5"/>
        <v>0</v>
      </c>
      <c r="V27" s="71"/>
      <c r="W27" s="72"/>
      <c r="X27" s="70">
        <f t="shared" si="6"/>
        <v>0</v>
      </c>
      <c r="Y27" s="71"/>
      <c r="Z27" s="72"/>
      <c r="AA27" s="70">
        <f t="shared" si="7"/>
        <v>0</v>
      </c>
      <c r="AB27" s="71"/>
      <c r="AC27" s="72"/>
      <c r="AD27" s="70">
        <f t="shared" si="8"/>
        <v>0</v>
      </c>
      <c r="AE27" s="71"/>
      <c r="AF27" s="72"/>
      <c r="AG27" s="70">
        <f t="shared" si="9"/>
        <v>0</v>
      </c>
      <c r="AH27" s="71"/>
      <c r="AI27" s="72"/>
      <c r="AJ27" s="70">
        <f t="shared" si="10"/>
        <v>0</v>
      </c>
      <c r="AK27" s="71"/>
      <c r="AL27" s="72"/>
      <c r="AM27" s="70">
        <f t="shared" si="11"/>
        <v>0</v>
      </c>
      <c r="AN27" s="71"/>
      <c r="AO27" s="72"/>
      <c r="AP27" s="68">
        <f t="shared" si="12"/>
        <v>0</v>
      </c>
      <c r="AQ27" s="8" t="e">
        <f t="shared" si="13"/>
        <v>#DIV/0!</v>
      </c>
    </row>
    <row r="28" spans="1:43" ht="18" customHeight="1" x14ac:dyDescent="0.15">
      <c r="A28" s="6"/>
      <c r="B28" s="12"/>
      <c r="C28" s="67"/>
      <c r="D28" s="68"/>
      <c r="E28" s="69"/>
      <c r="F28" s="70">
        <f t="shared" si="14"/>
        <v>0</v>
      </c>
      <c r="G28" s="71"/>
      <c r="H28" s="72"/>
      <c r="I28" s="70">
        <f t="shared" si="1"/>
        <v>0</v>
      </c>
      <c r="J28" s="71"/>
      <c r="K28" s="72"/>
      <c r="L28" s="70">
        <f t="shared" si="2"/>
        <v>0</v>
      </c>
      <c r="M28" s="71"/>
      <c r="N28" s="72"/>
      <c r="O28" s="70">
        <f t="shared" si="3"/>
        <v>0</v>
      </c>
      <c r="P28" s="71"/>
      <c r="Q28" s="72"/>
      <c r="R28" s="70">
        <f t="shared" si="4"/>
        <v>0</v>
      </c>
      <c r="S28" s="71"/>
      <c r="T28" s="72"/>
      <c r="U28" s="70">
        <f t="shared" si="5"/>
        <v>0</v>
      </c>
      <c r="V28" s="71"/>
      <c r="W28" s="72"/>
      <c r="X28" s="70">
        <f t="shared" si="6"/>
        <v>0</v>
      </c>
      <c r="Y28" s="71"/>
      <c r="Z28" s="72"/>
      <c r="AA28" s="70">
        <f t="shared" si="7"/>
        <v>0</v>
      </c>
      <c r="AB28" s="71"/>
      <c r="AC28" s="72"/>
      <c r="AD28" s="70">
        <f t="shared" si="8"/>
        <v>0</v>
      </c>
      <c r="AE28" s="71"/>
      <c r="AF28" s="72"/>
      <c r="AG28" s="70">
        <f t="shared" si="9"/>
        <v>0</v>
      </c>
      <c r="AH28" s="71"/>
      <c r="AI28" s="72"/>
      <c r="AJ28" s="70">
        <f t="shared" si="10"/>
        <v>0</v>
      </c>
      <c r="AK28" s="71"/>
      <c r="AL28" s="72"/>
      <c r="AM28" s="70">
        <f t="shared" si="11"/>
        <v>0</v>
      </c>
      <c r="AN28" s="71"/>
      <c r="AO28" s="72"/>
      <c r="AP28" s="68">
        <f t="shared" si="12"/>
        <v>0</v>
      </c>
      <c r="AQ28" s="8" t="e">
        <f t="shared" si="13"/>
        <v>#DIV/0!</v>
      </c>
    </row>
    <row r="29" spans="1:43" ht="18" customHeight="1" x14ac:dyDescent="0.15">
      <c r="A29" s="6"/>
      <c r="B29" s="12"/>
      <c r="C29" s="67"/>
      <c r="D29" s="73"/>
      <c r="E29" s="69"/>
      <c r="F29" s="70">
        <f t="shared" si="14"/>
        <v>0</v>
      </c>
      <c r="G29" s="71"/>
      <c r="H29" s="72"/>
      <c r="I29" s="70">
        <f t="shared" si="1"/>
        <v>0</v>
      </c>
      <c r="J29" s="71"/>
      <c r="K29" s="72"/>
      <c r="L29" s="70">
        <f t="shared" si="2"/>
        <v>0</v>
      </c>
      <c r="M29" s="71"/>
      <c r="N29" s="72"/>
      <c r="O29" s="70">
        <f t="shared" si="3"/>
        <v>0</v>
      </c>
      <c r="P29" s="71"/>
      <c r="Q29" s="72"/>
      <c r="R29" s="70">
        <f t="shared" si="4"/>
        <v>0</v>
      </c>
      <c r="S29" s="71"/>
      <c r="T29" s="72"/>
      <c r="U29" s="70">
        <f t="shared" si="5"/>
        <v>0</v>
      </c>
      <c r="V29" s="71"/>
      <c r="W29" s="72"/>
      <c r="X29" s="70">
        <f t="shared" si="6"/>
        <v>0</v>
      </c>
      <c r="Y29" s="71"/>
      <c r="Z29" s="72"/>
      <c r="AA29" s="70">
        <f t="shared" si="7"/>
        <v>0</v>
      </c>
      <c r="AB29" s="71"/>
      <c r="AC29" s="72"/>
      <c r="AD29" s="70">
        <f t="shared" si="8"/>
        <v>0</v>
      </c>
      <c r="AE29" s="71"/>
      <c r="AF29" s="72"/>
      <c r="AG29" s="70">
        <f t="shared" si="9"/>
        <v>0</v>
      </c>
      <c r="AH29" s="71"/>
      <c r="AI29" s="72"/>
      <c r="AJ29" s="70">
        <f t="shared" si="10"/>
        <v>0</v>
      </c>
      <c r="AK29" s="71"/>
      <c r="AL29" s="72"/>
      <c r="AM29" s="70">
        <f t="shared" si="11"/>
        <v>0</v>
      </c>
      <c r="AN29" s="71"/>
      <c r="AO29" s="72"/>
      <c r="AP29" s="73">
        <f t="shared" si="12"/>
        <v>0</v>
      </c>
      <c r="AQ29" s="8" t="e">
        <f t="shared" si="13"/>
        <v>#DIV/0!</v>
      </c>
    </row>
    <row r="30" spans="1:43" ht="18" customHeight="1" x14ac:dyDescent="0.15">
      <c r="A30" s="6"/>
      <c r="B30" s="12"/>
      <c r="C30" s="67"/>
      <c r="D30" s="73"/>
      <c r="E30" s="69"/>
      <c r="F30" s="70">
        <f t="shared" si="14"/>
        <v>0</v>
      </c>
      <c r="G30" s="71"/>
      <c r="H30" s="72"/>
      <c r="I30" s="70">
        <f t="shared" si="1"/>
        <v>0</v>
      </c>
      <c r="J30" s="71"/>
      <c r="K30" s="72"/>
      <c r="L30" s="70">
        <f t="shared" si="2"/>
        <v>0</v>
      </c>
      <c r="M30" s="71"/>
      <c r="N30" s="72"/>
      <c r="O30" s="70">
        <f t="shared" si="3"/>
        <v>0</v>
      </c>
      <c r="P30" s="71"/>
      <c r="Q30" s="72"/>
      <c r="R30" s="70">
        <f t="shared" si="4"/>
        <v>0</v>
      </c>
      <c r="S30" s="71"/>
      <c r="T30" s="72"/>
      <c r="U30" s="70">
        <f t="shared" si="5"/>
        <v>0</v>
      </c>
      <c r="V30" s="71"/>
      <c r="W30" s="72"/>
      <c r="X30" s="70">
        <f t="shared" si="6"/>
        <v>0</v>
      </c>
      <c r="Y30" s="71"/>
      <c r="Z30" s="72"/>
      <c r="AA30" s="70">
        <f t="shared" si="7"/>
        <v>0</v>
      </c>
      <c r="AB30" s="71"/>
      <c r="AC30" s="72"/>
      <c r="AD30" s="70">
        <f t="shared" si="8"/>
        <v>0</v>
      </c>
      <c r="AE30" s="71"/>
      <c r="AF30" s="72"/>
      <c r="AG30" s="70">
        <f t="shared" si="9"/>
        <v>0</v>
      </c>
      <c r="AH30" s="71"/>
      <c r="AI30" s="72"/>
      <c r="AJ30" s="70">
        <f t="shared" si="10"/>
        <v>0</v>
      </c>
      <c r="AK30" s="71"/>
      <c r="AL30" s="72"/>
      <c r="AM30" s="70">
        <f t="shared" si="11"/>
        <v>0</v>
      </c>
      <c r="AN30" s="71"/>
      <c r="AO30" s="72"/>
      <c r="AP30" s="73">
        <f t="shared" si="12"/>
        <v>0</v>
      </c>
      <c r="AQ30" s="8" t="e">
        <f t="shared" si="13"/>
        <v>#DIV/0!</v>
      </c>
    </row>
    <row r="31" spans="1:43" ht="18" customHeight="1" thickBot="1" x14ac:dyDescent="0.2">
      <c r="A31" s="6"/>
      <c r="B31" s="13"/>
      <c r="C31" s="62"/>
      <c r="D31" s="74"/>
      <c r="E31" s="64"/>
      <c r="F31" s="64">
        <f t="shared" si="14"/>
        <v>0</v>
      </c>
      <c r="G31" s="75"/>
      <c r="H31" s="76"/>
      <c r="I31" s="64">
        <f t="shared" si="1"/>
        <v>0</v>
      </c>
      <c r="J31" s="75"/>
      <c r="K31" s="76"/>
      <c r="L31" s="64">
        <f t="shared" si="2"/>
        <v>0</v>
      </c>
      <c r="M31" s="75"/>
      <c r="N31" s="76"/>
      <c r="O31" s="64">
        <f t="shared" si="3"/>
        <v>0</v>
      </c>
      <c r="P31" s="75"/>
      <c r="Q31" s="76"/>
      <c r="R31" s="64">
        <f t="shared" si="4"/>
        <v>0</v>
      </c>
      <c r="S31" s="75"/>
      <c r="T31" s="76"/>
      <c r="U31" s="64">
        <f t="shared" si="5"/>
        <v>0</v>
      </c>
      <c r="V31" s="75"/>
      <c r="W31" s="76"/>
      <c r="X31" s="64">
        <f t="shared" si="6"/>
        <v>0</v>
      </c>
      <c r="Y31" s="75"/>
      <c r="Z31" s="76"/>
      <c r="AA31" s="64">
        <f t="shared" si="7"/>
        <v>0</v>
      </c>
      <c r="AB31" s="75"/>
      <c r="AC31" s="76"/>
      <c r="AD31" s="64">
        <f t="shared" si="8"/>
        <v>0</v>
      </c>
      <c r="AE31" s="75"/>
      <c r="AF31" s="76"/>
      <c r="AG31" s="64">
        <f t="shared" si="9"/>
        <v>0</v>
      </c>
      <c r="AH31" s="75"/>
      <c r="AI31" s="76"/>
      <c r="AJ31" s="64">
        <f t="shared" si="10"/>
        <v>0</v>
      </c>
      <c r="AK31" s="75"/>
      <c r="AL31" s="76"/>
      <c r="AM31" s="64">
        <f t="shared" si="11"/>
        <v>0</v>
      </c>
      <c r="AN31" s="75"/>
      <c r="AO31" s="76"/>
      <c r="AP31" s="74">
        <f t="shared" si="12"/>
        <v>0</v>
      </c>
      <c r="AQ31" s="7" t="e">
        <f t="shared" si="13"/>
        <v>#DIV/0!</v>
      </c>
    </row>
    <row r="32" spans="1:43" ht="18" customHeight="1" thickTop="1" x14ac:dyDescent="0.15">
      <c r="B32" s="14" t="s">
        <v>33</v>
      </c>
      <c r="C32" s="77">
        <f t="shared" ref="C32" si="15">SUM(C12:C31)</f>
        <v>329</v>
      </c>
      <c r="D32" s="78">
        <f t="shared" ref="D32:AP32" si="16">SUM(D12:D31)</f>
        <v>314</v>
      </c>
      <c r="E32" s="79">
        <f t="shared" si="16"/>
        <v>1256</v>
      </c>
      <c r="F32" s="79">
        <f t="shared" si="16"/>
        <v>329</v>
      </c>
      <c r="G32" s="80">
        <f t="shared" si="16"/>
        <v>49</v>
      </c>
      <c r="H32" s="81">
        <f t="shared" si="16"/>
        <v>280</v>
      </c>
      <c r="I32" s="79">
        <f t="shared" ref="I32:N32" si="17">SUM(I12:I31)</f>
        <v>314</v>
      </c>
      <c r="J32" s="80">
        <f t="shared" si="17"/>
        <v>45</v>
      </c>
      <c r="K32" s="81">
        <f t="shared" si="17"/>
        <v>269</v>
      </c>
      <c r="L32" s="79">
        <f t="shared" si="17"/>
        <v>0</v>
      </c>
      <c r="M32" s="80">
        <f t="shared" si="17"/>
        <v>0</v>
      </c>
      <c r="N32" s="81">
        <f t="shared" si="17"/>
        <v>0</v>
      </c>
      <c r="O32" s="79">
        <f t="shared" ref="O32:T32" si="18">SUM(O12:O31)</f>
        <v>0</v>
      </c>
      <c r="P32" s="80">
        <f t="shared" si="18"/>
        <v>0</v>
      </c>
      <c r="Q32" s="81">
        <f t="shared" si="18"/>
        <v>0</v>
      </c>
      <c r="R32" s="79">
        <f t="shared" si="18"/>
        <v>0</v>
      </c>
      <c r="S32" s="80">
        <f t="shared" si="18"/>
        <v>0</v>
      </c>
      <c r="T32" s="81">
        <f t="shared" si="18"/>
        <v>0</v>
      </c>
      <c r="U32" s="79">
        <f t="shared" ref="U32:AI32" si="19">SUM(U12:U31)</f>
        <v>0</v>
      </c>
      <c r="V32" s="80">
        <f t="shared" si="19"/>
        <v>0</v>
      </c>
      <c r="W32" s="81">
        <f t="shared" si="19"/>
        <v>0</v>
      </c>
      <c r="X32" s="79">
        <f t="shared" si="19"/>
        <v>0</v>
      </c>
      <c r="Y32" s="80">
        <f t="shared" si="19"/>
        <v>0</v>
      </c>
      <c r="Z32" s="81">
        <f t="shared" si="19"/>
        <v>0</v>
      </c>
      <c r="AA32" s="79">
        <f t="shared" si="19"/>
        <v>0</v>
      </c>
      <c r="AB32" s="80">
        <f t="shared" si="19"/>
        <v>0</v>
      </c>
      <c r="AC32" s="81">
        <f t="shared" si="19"/>
        <v>0</v>
      </c>
      <c r="AD32" s="79">
        <f t="shared" si="19"/>
        <v>0</v>
      </c>
      <c r="AE32" s="80">
        <f t="shared" si="19"/>
        <v>0</v>
      </c>
      <c r="AF32" s="81">
        <f t="shared" si="19"/>
        <v>0</v>
      </c>
      <c r="AG32" s="79">
        <f t="shared" si="19"/>
        <v>0</v>
      </c>
      <c r="AH32" s="80">
        <f t="shared" si="19"/>
        <v>0</v>
      </c>
      <c r="AI32" s="81">
        <f t="shared" si="19"/>
        <v>0</v>
      </c>
      <c r="AJ32" s="79">
        <f t="shared" ref="AJ32:AO32" si="20">SUM(AJ12:AJ31)</f>
        <v>0</v>
      </c>
      <c r="AK32" s="80">
        <f t="shared" si="20"/>
        <v>0</v>
      </c>
      <c r="AL32" s="81">
        <f t="shared" si="20"/>
        <v>0</v>
      </c>
      <c r="AM32" s="79">
        <f t="shared" si="20"/>
        <v>0</v>
      </c>
      <c r="AN32" s="80">
        <f t="shared" si="20"/>
        <v>0</v>
      </c>
      <c r="AO32" s="81">
        <f t="shared" si="20"/>
        <v>0</v>
      </c>
      <c r="AP32" s="78">
        <f t="shared" si="16"/>
        <v>329</v>
      </c>
      <c r="AQ32" s="9">
        <f t="shared" si="13"/>
        <v>0.26194267515923569</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16" zoomScaleNormal="100" zoomScaleSheetLayoutView="100" workbookViewId="0">
      <selection activeCell="B13" sqref="B13:S18"/>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102" t="str">
        <f>'様式１　プログラムを構成する授業科目'!C2</f>
        <v>山口県立大学</v>
      </c>
      <c r="I2" s="104"/>
    </row>
    <row r="3" spans="1:9" ht="18.75" customHeight="1" x14ac:dyDescent="0.15">
      <c r="G3" s="35"/>
      <c r="H3" s="10"/>
      <c r="I3" s="10"/>
    </row>
    <row r="4" spans="1:9" ht="18.600000000000001" customHeight="1" x14ac:dyDescent="0.15">
      <c r="A4" s="116" t="s">
        <v>36</v>
      </c>
      <c r="B4" s="116"/>
      <c r="C4" s="116"/>
      <c r="D4" s="116"/>
      <c r="E4" s="116"/>
      <c r="F4" s="116"/>
      <c r="G4" s="116"/>
      <c r="H4" s="116"/>
      <c r="I4" s="116"/>
    </row>
    <row r="5" spans="1:9" ht="13.15" customHeight="1" x14ac:dyDescent="0.15">
      <c r="B5" s="3"/>
      <c r="C5" s="3"/>
      <c r="D5" s="3"/>
      <c r="E5" s="3"/>
      <c r="F5" s="3"/>
      <c r="G5" s="3"/>
      <c r="H5" s="3"/>
      <c r="I5" s="3"/>
    </row>
    <row r="6" spans="1:9" ht="18" customHeight="1" x14ac:dyDescent="0.15">
      <c r="A6" s="1" t="s">
        <v>0</v>
      </c>
      <c r="B6" s="10" t="s">
        <v>91</v>
      </c>
      <c r="C6" s="244" t="s">
        <v>92</v>
      </c>
      <c r="D6" s="244"/>
      <c r="E6" s="34">
        <v>87</v>
      </c>
      <c r="F6" s="3" t="s">
        <v>1</v>
      </c>
      <c r="G6" s="3" t="s">
        <v>2</v>
      </c>
      <c r="H6" s="34">
        <v>154</v>
      </c>
      <c r="I6" s="10" t="s">
        <v>1</v>
      </c>
    </row>
    <row r="7" spans="1:9" ht="12" customHeight="1" x14ac:dyDescent="0.15">
      <c r="C7" s="2"/>
      <c r="D7" s="2"/>
      <c r="E7" s="2"/>
      <c r="F7" s="2"/>
      <c r="G7" s="2"/>
      <c r="H7" s="2"/>
      <c r="I7" s="42"/>
    </row>
    <row r="8" spans="1:9" ht="18" customHeight="1" x14ac:dyDescent="0.15">
      <c r="A8" s="1" t="s">
        <v>3</v>
      </c>
      <c r="B8" s="10" t="s">
        <v>93</v>
      </c>
      <c r="E8" s="3"/>
      <c r="F8" s="3"/>
      <c r="G8" s="3"/>
      <c r="H8" s="34">
        <v>5</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39" t="s">
        <v>144</v>
      </c>
      <c r="D11" s="242"/>
      <c r="E11" s="243"/>
      <c r="F11" s="42"/>
      <c r="G11" s="35" t="s">
        <v>10</v>
      </c>
      <c r="H11" s="239" t="s">
        <v>145</v>
      </c>
      <c r="I11" s="243"/>
    </row>
    <row r="12" spans="1:9" ht="10.1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39" t="s">
        <v>148</v>
      </c>
      <c r="C14" s="240"/>
      <c r="D14" s="240"/>
      <c r="E14" s="240"/>
      <c r="F14" s="240"/>
      <c r="G14" s="240"/>
      <c r="H14" s="240"/>
      <c r="I14" s="241"/>
    </row>
    <row r="15" spans="1:9" ht="9" customHeight="1" x14ac:dyDescent="0.15">
      <c r="B15" s="3"/>
      <c r="C15" s="3"/>
      <c r="D15" s="3"/>
      <c r="E15" s="3"/>
      <c r="F15" s="3"/>
      <c r="G15" s="3"/>
      <c r="H15" s="3"/>
      <c r="I15" s="3"/>
    </row>
    <row r="16" spans="1:9" ht="18" customHeight="1" x14ac:dyDescent="0.15">
      <c r="B16" s="35" t="s">
        <v>43</v>
      </c>
      <c r="C16" s="239" t="s">
        <v>172</v>
      </c>
      <c r="D16" s="242"/>
      <c r="E16" s="243"/>
      <c r="F16" s="42"/>
      <c r="G16" s="35" t="s">
        <v>10</v>
      </c>
      <c r="H16" s="239" t="s">
        <v>146</v>
      </c>
      <c r="I16" s="243"/>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31" t="s">
        <v>149</v>
      </c>
      <c r="C19" s="232"/>
      <c r="D19" s="232"/>
      <c r="E19" s="232"/>
      <c r="F19" s="232"/>
      <c r="G19" s="232"/>
      <c r="H19" s="232"/>
      <c r="I19" s="233"/>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21" t="s">
        <v>178</v>
      </c>
      <c r="C22" s="222"/>
      <c r="D22" s="222"/>
      <c r="E22" s="222"/>
      <c r="F22" s="222"/>
      <c r="G22" s="222"/>
      <c r="H22" s="222"/>
      <c r="I22" s="223"/>
    </row>
    <row r="23" spans="1:9" ht="18.75" customHeight="1" x14ac:dyDescent="0.15">
      <c r="A23" s="15"/>
      <c r="B23" s="234"/>
      <c r="C23" s="235"/>
      <c r="D23" s="235"/>
      <c r="E23" s="235"/>
      <c r="F23" s="235"/>
      <c r="G23" s="235"/>
      <c r="H23" s="235"/>
      <c r="I23" s="226"/>
    </row>
    <row r="24" spans="1:9" ht="18.75" customHeight="1" x14ac:dyDescent="0.15">
      <c r="A24" s="15"/>
      <c r="B24" s="234"/>
      <c r="C24" s="235"/>
      <c r="D24" s="235"/>
      <c r="E24" s="235"/>
      <c r="F24" s="235"/>
      <c r="G24" s="235"/>
      <c r="H24" s="235"/>
      <c r="I24" s="226"/>
    </row>
    <row r="25" spans="1:9" ht="18.75" customHeight="1" x14ac:dyDescent="0.15">
      <c r="A25" s="15"/>
      <c r="B25" s="234"/>
      <c r="C25" s="235"/>
      <c r="D25" s="235"/>
      <c r="E25" s="235"/>
      <c r="F25" s="235"/>
      <c r="G25" s="235"/>
      <c r="H25" s="235"/>
      <c r="I25" s="226"/>
    </row>
    <row r="26" spans="1:9" ht="18.75" customHeight="1" x14ac:dyDescent="0.15">
      <c r="A26" s="15"/>
      <c r="B26" s="234"/>
      <c r="C26" s="235"/>
      <c r="D26" s="235"/>
      <c r="E26" s="235"/>
      <c r="F26" s="235"/>
      <c r="G26" s="235"/>
      <c r="H26" s="235"/>
      <c r="I26" s="226"/>
    </row>
    <row r="27" spans="1:9" ht="18.75" customHeight="1" x14ac:dyDescent="0.15">
      <c r="A27" s="15"/>
      <c r="B27" s="234"/>
      <c r="C27" s="235"/>
      <c r="D27" s="235"/>
      <c r="E27" s="235"/>
      <c r="F27" s="235"/>
      <c r="G27" s="235"/>
      <c r="H27" s="235"/>
      <c r="I27" s="226"/>
    </row>
    <row r="28" spans="1:9" ht="18.75" customHeight="1" x14ac:dyDescent="0.15">
      <c r="A28" s="15"/>
      <c r="B28" s="234"/>
      <c r="C28" s="235"/>
      <c r="D28" s="235"/>
      <c r="E28" s="235"/>
      <c r="F28" s="235"/>
      <c r="G28" s="235"/>
      <c r="H28" s="235"/>
      <c r="I28" s="226"/>
    </row>
    <row r="29" spans="1:9" ht="18.75" customHeight="1" x14ac:dyDescent="0.15">
      <c r="A29" s="15"/>
      <c r="B29" s="234"/>
      <c r="C29" s="235"/>
      <c r="D29" s="235"/>
      <c r="E29" s="235"/>
      <c r="F29" s="235"/>
      <c r="G29" s="235"/>
      <c r="H29" s="235"/>
      <c r="I29" s="226"/>
    </row>
    <row r="30" spans="1:9" ht="18.75" customHeight="1" x14ac:dyDescent="0.15">
      <c r="A30" s="15"/>
      <c r="B30" s="224"/>
      <c r="C30" s="225"/>
      <c r="D30" s="225"/>
      <c r="E30" s="225"/>
      <c r="F30" s="225"/>
      <c r="G30" s="225"/>
      <c r="H30" s="225"/>
      <c r="I30" s="226"/>
    </row>
    <row r="31" spans="1:9" ht="18.75" customHeight="1" x14ac:dyDescent="0.15">
      <c r="A31" s="15"/>
      <c r="B31" s="224"/>
      <c r="C31" s="225"/>
      <c r="D31" s="225"/>
      <c r="E31" s="225"/>
      <c r="F31" s="225"/>
      <c r="G31" s="225"/>
      <c r="H31" s="225"/>
      <c r="I31" s="226"/>
    </row>
    <row r="32" spans="1:9" ht="18.75" customHeight="1" x14ac:dyDescent="0.15">
      <c r="A32" s="15"/>
      <c r="B32" s="227"/>
      <c r="C32" s="228"/>
      <c r="D32" s="228"/>
      <c r="E32" s="228"/>
      <c r="F32" s="228"/>
      <c r="G32" s="228"/>
      <c r="H32" s="228"/>
      <c r="I32" s="229"/>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21" t="s">
        <v>173</v>
      </c>
      <c r="C35" s="222"/>
      <c r="D35" s="222"/>
      <c r="E35" s="222"/>
      <c r="F35" s="222"/>
      <c r="G35" s="222"/>
      <c r="H35" s="222"/>
      <c r="I35" s="223"/>
    </row>
    <row r="36" spans="1:9" ht="18.75" customHeight="1" x14ac:dyDescent="0.15">
      <c r="A36" s="15"/>
      <c r="B36" s="224"/>
      <c r="C36" s="225"/>
      <c r="D36" s="225"/>
      <c r="E36" s="225"/>
      <c r="F36" s="225"/>
      <c r="G36" s="225"/>
      <c r="H36" s="225"/>
      <c r="I36" s="226"/>
    </row>
    <row r="37" spans="1:9" ht="18.75" customHeight="1" x14ac:dyDescent="0.15">
      <c r="A37" s="15"/>
      <c r="B37" s="224"/>
      <c r="C37" s="225"/>
      <c r="D37" s="225"/>
      <c r="E37" s="225"/>
      <c r="F37" s="225"/>
      <c r="G37" s="225"/>
      <c r="H37" s="225"/>
      <c r="I37" s="226"/>
    </row>
    <row r="38" spans="1:9" ht="18.75" customHeight="1" x14ac:dyDescent="0.15">
      <c r="A38" s="15"/>
      <c r="B38" s="224"/>
      <c r="C38" s="225"/>
      <c r="D38" s="225"/>
      <c r="E38" s="225"/>
      <c r="F38" s="225"/>
      <c r="G38" s="225"/>
      <c r="H38" s="225"/>
      <c r="I38" s="226"/>
    </row>
    <row r="39" spans="1:9" ht="18.75" customHeight="1" x14ac:dyDescent="0.15">
      <c r="A39" s="15"/>
      <c r="B39" s="224"/>
      <c r="C39" s="225"/>
      <c r="D39" s="225"/>
      <c r="E39" s="225"/>
      <c r="F39" s="225"/>
      <c r="G39" s="225"/>
      <c r="H39" s="225"/>
      <c r="I39" s="226"/>
    </row>
    <row r="40" spans="1:9" ht="18.75" customHeight="1" x14ac:dyDescent="0.15">
      <c r="A40" s="15"/>
      <c r="B40" s="224"/>
      <c r="C40" s="225"/>
      <c r="D40" s="225"/>
      <c r="E40" s="225"/>
      <c r="F40" s="225"/>
      <c r="G40" s="225"/>
      <c r="H40" s="225"/>
      <c r="I40" s="226"/>
    </row>
    <row r="41" spans="1:9" ht="18.75" customHeight="1" x14ac:dyDescent="0.15">
      <c r="A41" s="15"/>
      <c r="B41" s="224"/>
      <c r="C41" s="225"/>
      <c r="D41" s="225"/>
      <c r="E41" s="225"/>
      <c r="F41" s="225"/>
      <c r="G41" s="225"/>
      <c r="H41" s="225"/>
      <c r="I41" s="226"/>
    </row>
    <row r="42" spans="1:9" ht="18.75" customHeight="1" x14ac:dyDescent="0.15">
      <c r="A42" s="15"/>
      <c r="B42" s="224"/>
      <c r="C42" s="225"/>
      <c r="D42" s="225"/>
      <c r="E42" s="225"/>
      <c r="F42" s="225"/>
      <c r="G42" s="225"/>
      <c r="H42" s="225"/>
      <c r="I42" s="226"/>
    </row>
    <row r="43" spans="1:9" ht="18.75" customHeight="1" x14ac:dyDescent="0.15">
      <c r="A43" s="15"/>
      <c r="B43" s="224"/>
      <c r="C43" s="225"/>
      <c r="D43" s="225"/>
      <c r="E43" s="225"/>
      <c r="F43" s="225"/>
      <c r="G43" s="225"/>
      <c r="H43" s="225"/>
      <c r="I43" s="226"/>
    </row>
    <row r="44" spans="1:9" ht="18.75" customHeight="1" x14ac:dyDescent="0.15">
      <c r="A44" s="15"/>
      <c r="B44" s="224"/>
      <c r="C44" s="225"/>
      <c r="D44" s="225"/>
      <c r="E44" s="225"/>
      <c r="F44" s="225"/>
      <c r="G44" s="225"/>
      <c r="H44" s="225"/>
      <c r="I44" s="226"/>
    </row>
    <row r="45" spans="1:9" ht="18.75" customHeight="1" x14ac:dyDescent="0.15">
      <c r="A45" s="15"/>
      <c r="B45" s="224"/>
      <c r="C45" s="225"/>
      <c r="D45" s="225"/>
      <c r="E45" s="225"/>
      <c r="F45" s="225"/>
      <c r="G45" s="225"/>
      <c r="H45" s="225"/>
      <c r="I45" s="226"/>
    </row>
    <row r="46" spans="1:9" ht="18.75" customHeight="1" x14ac:dyDescent="0.15">
      <c r="A46" s="15"/>
      <c r="B46" s="227"/>
      <c r="C46" s="228"/>
      <c r="D46" s="228"/>
      <c r="E46" s="228"/>
      <c r="F46" s="228"/>
      <c r="G46" s="228"/>
      <c r="H46" s="228"/>
      <c r="I46" s="229"/>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210">
        <f>'様式２ 履修者等数の実績'!AQ32</f>
        <v>0.26194267515923569</v>
      </c>
      <c r="D49" s="210"/>
      <c r="E49" s="43" t="s">
        <v>66</v>
      </c>
      <c r="F49" s="210">
        <v>0.5</v>
      </c>
      <c r="G49" s="210"/>
      <c r="H49" s="43" t="s">
        <v>67</v>
      </c>
      <c r="I49" s="44">
        <v>0.75</v>
      </c>
      <c r="J49" s="1"/>
      <c r="M49" s="1"/>
      <c r="N49" s="45"/>
    </row>
    <row r="50" spans="1:15" s="3" customFormat="1" ht="18.75" customHeight="1" x14ac:dyDescent="0.15">
      <c r="B50" s="46" t="s">
        <v>68</v>
      </c>
      <c r="C50" s="211">
        <v>1</v>
      </c>
      <c r="D50" s="211"/>
      <c r="E50" s="46" t="s">
        <v>90</v>
      </c>
      <c r="F50" s="211">
        <v>1</v>
      </c>
      <c r="G50" s="211"/>
      <c r="H50" s="46" t="s">
        <v>69</v>
      </c>
      <c r="I50" s="47">
        <f>'様式２ 履修者等数の実績'!E32</f>
        <v>1256</v>
      </c>
      <c r="J50" s="1"/>
      <c r="M50" s="1"/>
      <c r="N50" s="45"/>
    </row>
    <row r="51" spans="1:15" ht="18.75" customHeight="1" x14ac:dyDescent="0.15">
      <c r="A51" s="1"/>
      <c r="B51" s="236" t="s">
        <v>70</v>
      </c>
      <c r="C51" s="237"/>
      <c r="D51" s="237"/>
      <c r="E51" s="237"/>
      <c r="F51" s="237"/>
      <c r="G51" s="237"/>
      <c r="H51" s="237"/>
      <c r="I51" s="238"/>
      <c r="N51" s="45"/>
      <c r="O51" s="3"/>
    </row>
    <row r="52" spans="1:15" ht="18.75" customHeight="1" x14ac:dyDescent="0.15">
      <c r="A52" s="1"/>
      <c r="B52" s="212" t="s">
        <v>167</v>
      </c>
      <c r="C52" s="213"/>
      <c r="D52" s="213"/>
      <c r="E52" s="213"/>
      <c r="F52" s="213"/>
      <c r="G52" s="213"/>
      <c r="H52" s="213"/>
      <c r="I52" s="214"/>
      <c r="N52" s="45"/>
      <c r="O52" s="3"/>
    </row>
    <row r="53" spans="1:15" ht="18.75" customHeight="1" x14ac:dyDescent="0.15">
      <c r="A53" s="1"/>
      <c r="B53" s="215"/>
      <c r="C53" s="216"/>
      <c r="D53" s="216"/>
      <c r="E53" s="216"/>
      <c r="F53" s="216"/>
      <c r="G53" s="216"/>
      <c r="H53" s="216"/>
      <c r="I53" s="217"/>
      <c r="N53" s="45"/>
      <c r="O53" s="3"/>
    </row>
    <row r="54" spans="1:15" ht="18.75" customHeight="1" x14ac:dyDescent="0.15">
      <c r="A54" s="1"/>
      <c r="B54" s="215"/>
      <c r="C54" s="216"/>
      <c r="D54" s="216"/>
      <c r="E54" s="216"/>
      <c r="F54" s="216"/>
      <c r="G54" s="216"/>
      <c r="H54" s="216"/>
      <c r="I54" s="217"/>
    </row>
    <row r="55" spans="1:15" ht="18.75" customHeight="1" x14ac:dyDescent="0.15">
      <c r="A55" s="1"/>
      <c r="B55" s="215"/>
      <c r="C55" s="216"/>
      <c r="D55" s="216"/>
      <c r="E55" s="216"/>
      <c r="F55" s="216"/>
      <c r="G55" s="216"/>
      <c r="H55" s="216"/>
      <c r="I55" s="217"/>
    </row>
    <row r="56" spans="1:15" ht="18.75" customHeight="1" x14ac:dyDescent="0.15">
      <c r="A56" s="1"/>
      <c r="B56" s="215"/>
      <c r="C56" s="216"/>
      <c r="D56" s="216"/>
      <c r="E56" s="216"/>
      <c r="F56" s="216"/>
      <c r="G56" s="216"/>
      <c r="H56" s="216"/>
      <c r="I56" s="217"/>
    </row>
    <row r="57" spans="1:15" ht="18.75" customHeight="1" x14ac:dyDescent="0.15">
      <c r="A57" s="1"/>
      <c r="B57" s="215"/>
      <c r="C57" s="216"/>
      <c r="D57" s="216"/>
      <c r="E57" s="216"/>
      <c r="F57" s="216"/>
      <c r="G57" s="216"/>
      <c r="H57" s="216"/>
      <c r="I57" s="217"/>
    </row>
    <row r="58" spans="1:15" ht="18.75" customHeight="1" x14ac:dyDescent="0.15">
      <c r="A58" s="1"/>
      <c r="B58" s="215"/>
      <c r="C58" s="216"/>
      <c r="D58" s="216"/>
      <c r="E58" s="216"/>
      <c r="F58" s="216"/>
      <c r="G58" s="216"/>
      <c r="H58" s="216"/>
      <c r="I58" s="217"/>
    </row>
    <row r="59" spans="1:15" ht="18.75" customHeight="1" x14ac:dyDescent="0.15">
      <c r="A59" s="1"/>
      <c r="B59" s="215"/>
      <c r="C59" s="216"/>
      <c r="D59" s="216"/>
      <c r="E59" s="216"/>
      <c r="F59" s="216"/>
      <c r="G59" s="216"/>
      <c r="H59" s="216"/>
      <c r="I59" s="217"/>
    </row>
    <row r="60" spans="1:15" ht="18.75" customHeight="1" x14ac:dyDescent="0.15">
      <c r="A60" s="1"/>
      <c r="B60" s="215"/>
      <c r="C60" s="216"/>
      <c r="D60" s="216"/>
      <c r="E60" s="216"/>
      <c r="F60" s="216"/>
      <c r="G60" s="216"/>
      <c r="H60" s="216"/>
      <c r="I60" s="217"/>
    </row>
    <row r="61" spans="1:15" ht="18.75" customHeight="1" x14ac:dyDescent="0.15">
      <c r="A61" s="1"/>
      <c r="B61" s="215"/>
      <c r="C61" s="216"/>
      <c r="D61" s="216"/>
      <c r="E61" s="216"/>
      <c r="F61" s="216"/>
      <c r="G61" s="216"/>
      <c r="H61" s="216"/>
      <c r="I61" s="217"/>
    </row>
    <row r="62" spans="1:15" ht="18.75" customHeight="1" x14ac:dyDescent="0.15">
      <c r="A62" s="1"/>
      <c r="B62" s="215"/>
      <c r="C62" s="216"/>
      <c r="D62" s="216"/>
      <c r="E62" s="216"/>
      <c r="F62" s="216"/>
      <c r="G62" s="216"/>
      <c r="H62" s="216"/>
      <c r="I62" s="217"/>
    </row>
    <row r="63" spans="1:15" ht="18.75" customHeight="1" x14ac:dyDescent="0.15">
      <c r="A63" s="1"/>
      <c r="B63" s="218"/>
      <c r="C63" s="219"/>
      <c r="D63" s="219"/>
      <c r="E63" s="219"/>
      <c r="F63" s="219"/>
      <c r="G63" s="219"/>
      <c r="H63" s="219"/>
      <c r="I63" s="220"/>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94" t="s">
        <v>168</v>
      </c>
      <c r="C66" s="195"/>
      <c r="D66" s="195"/>
      <c r="E66" s="195"/>
      <c r="F66" s="195"/>
      <c r="G66" s="195"/>
      <c r="H66" s="195"/>
      <c r="I66" s="196"/>
    </row>
    <row r="67" spans="1:9" ht="18.75" customHeight="1" x14ac:dyDescent="0.15">
      <c r="A67" s="4"/>
      <c r="B67" s="197"/>
      <c r="C67" s="198"/>
      <c r="D67" s="198"/>
      <c r="E67" s="198"/>
      <c r="F67" s="198"/>
      <c r="G67" s="198"/>
      <c r="H67" s="198"/>
      <c r="I67" s="199"/>
    </row>
    <row r="68" spans="1:9" ht="18.75" customHeight="1" x14ac:dyDescent="0.15">
      <c r="A68" s="4"/>
      <c r="B68" s="197"/>
      <c r="C68" s="198"/>
      <c r="D68" s="198"/>
      <c r="E68" s="198"/>
      <c r="F68" s="198"/>
      <c r="G68" s="198"/>
      <c r="H68" s="198"/>
      <c r="I68" s="199"/>
    </row>
    <row r="69" spans="1:9" ht="18.75" customHeight="1" x14ac:dyDescent="0.15">
      <c r="A69" s="4"/>
      <c r="B69" s="197"/>
      <c r="C69" s="198"/>
      <c r="D69" s="198"/>
      <c r="E69" s="198"/>
      <c r="F69" s="198"/>
      <c r="G69" s="198"/>
      <c r="H69" s="198"/>
      <c r="I69" s="199"/>
    </row>
    <row r="70" spans="1:9" ht="18.75" customHeight="1" x14ac:dyDescent="0.15">
      <c r="A70" s="4"/>
      <c r="B70" s="197"/>
      <c r="C70" s="198"/>
      <c r="D70" s="198"/>
      <c r="E70" s="198"/>
      <c r="F70" s="198"/>
      <c r="G70" s="198"/>
      <c r="H70" s="198"/>
      <c r="I70" s="199"/>
    </row>
    <row r="71" spans="1:9" ht="18.75" customHeight="1" x14ac:dyDescent="0.15">
      <c r="A71" s="4"/>
      <c r="B71" s="197"/>
      <c r="C71" s="198"/>
      <c r="D71" s="198"/>
      <c r="E71" s="198"/>
      <c r="F71" s="198"/>
      <c r="G71" s="198"/>
      <c r="H71" s="198"/>
      <c r="I71" s="199"/>
    </row>
    <row r="72" spans="1:9" ht="18.75" customHeight="1" x14ac:dyDescent="0.15">
      <c r="A72" s="4"/>
      <c r="B72" s="197"/>
      <c r="C72" s="198"/>
      <c r="D72" s="198"/>
      <c r="E72" s="198"/>
      <c r="F72" s="198"/>
      <c r="G72" s="198"/>
      <c r="H72" s="198"/>
      <c r="I72" s="199"/>
    </row>
    <row r="73" spans="1:9" ht="18.75" customHeight="1" x14ac:dyDescent="0.15">
      <c r="A73" s="4"/>
      <c r="B73" s="197"/>
      <c r="C73" s="198"/>
      <c r="D73" s="198"/>
      <c r="E73" s="198"/>
      <c r="F73" s="198"/>
      <c r="G73" s="198"/>
      <c r="H73" s="198"/>
      <c r="I73" s="199"/>
    </row>
    <row r="74" spans="1:9" ht="18.75" customHeight="1" x14ac:dyDescent="0.15">
      <c r="A74" s="4"/>
      <c r="B74" s="197"/>
      <c r="C74" s="198"/>
      <c r="D74" s="198"/>
      <c r="E74" s="198"/>
      <c r="F74" s="198"/>
      <c r="G74" s="198"/>
      <c r="H74" s="198"/>
      <c r="I74" s="199"/>
    </row>
    <row r="75" spans="1:9" ht="18.75" customHeight="1" x14ac:dyDescent="0.15">
      <c r="A75" s="4"/>
      <c r="B75" s="197"/>
      <c r="C75" s="198"/>
      <c r="D75" s="198"/>
      <c r="E75" s="198"/>
      <c r="F75" s="198"/>
      <c r="G75" s="198"/>
      <c r="H75" s="198"/>
      <c r="I75" s="199"/>
    </row>
    <row r="76" spans="1:9" ht="18.75" customHeight="1" x14ac:dyDescent="0.15">
      <c r="A76" s="4"/>
      <c r="B76" s="197"/>
      <c r="C76" s="198"/>
      <c r="D76" s="198"/>
      <c r="E76" s="198"/>
      <c r="F76" s="198"/>
      <c r="G76" s="198"/>
      <c r="H76" s="198"/>
      <c r="I76" s="199"/>
    </row>
    <row r="77" spans="1:9" ht="18.75" customHeight="1" x14ac:dyDescent="0.15">
      <c r="A77" s="4"/>
      <c r="B77" s="200"/>
      <c r="C77" s="201"/>
      <c r="D77" s="201"/>
      <c r="E77" s="201"/>
      <c r="F77" s="201"/>
      <c r="G77" s="201"/>
      <c r="H77" s="201"/>
      <c r="I77" s="202"/>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94" t="s">
        <v>169</v>
      </c>
      <c r="C80" s="195"/>
      <c r="D80" s="195"/>
      <c r="E80" s="195"/>
      <c r="F80" s="195"/>
      <c r="G80" s="195"/>
      <c r="H80" s="195"/>
      <c r="I80" s="203"/>
    </row>
    <row r="81" spans="1:9" ht="18.75" customHeight="1" x14ac:dyDescent="0.15">
      <c r="A81" s="1"/>
      <c r="B81" s="204"/>
      <c r="C81" s="205"/>
      <c r="D81" s="205"/>
      <c r="E81" s="205"/>
      <c r="F81" s="205"/>
      <c r="G81" s="205"/>
      <c r="H81" s="205"/>
      <c r="I81" s="206"/>
    </row>
    <row r="82" spans="1:9" ht="18.75" customHeight="1" x14ac:dyDescent="0.15">
      <c r="A82" s="1"/>
      <c r="B82" s="204"/>
      <c r="C82" s="205"/>
      <c r="D82" s="205"/>
      <c r="E82" s="205"/>
      <c r="F82" s="205"/>
      <c r="G82" s="205"/>
      <c r="H82" s="205"/>
      <c r="I82" s="206"/>
    </row>
    <row r="83" spans="1:9" ht="18.75" customHeight="1" x14ac:dyDescent="0.15">
      <c r="A83" s="1"/>
      <c r="B83" s="204"/>
      <c r="C83" s="205"/>
      <c r="D83" s="205"/>
      <c r="E83" s="205"/>
      <c r="F83" s="205"/>
      <c r="G83" s="205"/>
      <c r="H83" s="205"/>
      <c r="I83" s="206"/>
    </row>
    <row r="84" spans="1:9" ht="18.75" customHeight="1" x14ac:dyDescent="0.15">
      <c r="A84" s="1"/>
      <c r="B84" s="204"/>
      <c r="C84" s="205"/>
      <c r="D84" s="205"/>
      <c r="E84" s="205"/>
      <c r="F84" s="205"/>
      <c r="G84" s="205"/>
      <c r="H84" s="205"/>
      <c r="I84" s="206"/>
    </row>
    <row r="85" spans="1:9" ht="18.75" customHeight="1" x14ac:dyDescent="0.15">
      <c r="A85" s="1"/>
      <c r="B85" s="204"/>
      <c r="C85" s="205"/>
      <c r="D85" s="205"/>
      <c r="E85" s="205"/>
      <c r="F85" s="205"/>
      <c r="G85" s="205"/>
      <c r="H85" s="205"/>
      <c r="I85" s="206"/>
    </row>
    <row r="86" spans="1:9" ht="18.75" customHeight="1" x14ac:dyDescent="0.15">
      <c r="A86" s="1"/>
      <c r="B86" s="204"/>
      <c r="C86" s="205"/>
      <c r="D86" s="205"/>
      <c r="E86" s="205"/>
      <c r="F86" s="205"/>
      <c r="G86" s="205"/>
      <c r="H86" s="205"/>
      <c r="I86" s="206"/>
    </row>
    <row r="87" spans="1:9" ht="18.75" customHeight="1" x14ac:dyDescent="0.15">
      <c r="A87" s="1"/>
      <c r="B87" s="204"/>
      <c r="C87" s="205"/>
      <c r="D87" s="205"/>
      <c r="E87" s="205"/>
      <c r="F87" s="205"/>
      <c r="G87" s="205"/>
      <c r="H87" s="205"/>
      <c r="I87" s="206"/>
    </row>
    <row r="88" spans="1:9" ht="18.75" customHeight="1" x14ac:dyDescent="0.15">
      <c r="A88" s="1"/>
      <c r="B88" s="204"/>
      <c r="C88" s="205"/>
      <c r="D88" s="205"/>
      <c r="E88" s="205"/>
      <c r="F88" s="205"/>
      <c r="G88" s="205"/>
      <c r="H88" s="205"/>
      <c r="I88" s="206"/>
    </row>
    <row r="89" spans="1:9" ht="18.75" customHeight="1" x14ac:dyDescent="0.15">
      <c r="A89" s="1"/>
      <c r="B89" s="204"/>
      <c r="C89" s="205"/>
      <c r="D89" s="205"/>
      <c r="E89" s="205"/>
      <c r="F89" s="205"/>
      <c r="G89" s="205"/>
      <c r="H89" s="205"/>
      <c r="I89" s="206"/>
    </row>
    <row r="90" spans="1:9" ht="18.75" customHeight="1" x14ac:dyDescent="0.15">
      <c r="A90" s="4"/>
      <c r="B90" s="204"/>
      <c r="C90" s="205"/>
      <c r="D90" s="205"/>
      <c r="E90" s="205"/>
      <c r="F90" s="205"/>
      <c r="G90" s="205"/>
      <c r="H90" s="205"/>
      <c r="I90" s="206"/>
    </row>
    <row r="91" spans="1:9" ht="18.75" customHeight="1" x14ac:dyDescent="0.15">
      <c r="A91" s="4"/>
      <c r="B91" s="207"/>
      <c r="C91" s="208"/>
      <c r="D91" s="208"/>
      <c r="E91" s="208"/>
      <c r="F91" s="208"/>
      <c r="G91" s="208"/>
      <c r="H91" s="208"/>
      <c r="I91" s="209"/>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21" t="s">
        <v>170</v>
      </c>
      <c r="C94" s="222"/>
      <c r="D94" s="222"/>
      <c r="E94" s="222"/>
      <c r="F94" s="222"/>
      <c r="G94" s="222"/>
      <c r="H94" s="222"/>
      <c r="I94" s="223"/>
    </row>
    <row r="95" spans="1:9" ht="18.75" customHeight="1" x14ac:dyDescent="0.15">
      <c r="A95" s="1"/>
      <c r="B95" s="224"/>
      <c r="C95" s="225"/>
      <c r="D95" s="225"/>
      <c r="E95" s="225"/>
      <c r="F95" s="225"/>
      <c r="G95" s="225"/>
      <c r="H95" s="225"/>
      <c r="I95" s="226"/>
    </row>
    <row r="96" spans="1:9" ht="18.75" customHeight="1" x14ac:dyDescent="0.15">
      <c r="A96" s="1"/>
      <c r="B96" s="224"/>
      <c r="C96" s="225"/>
      <c r="D96" s="225"/>
      <c r="E96" s="225"/>
      <c r="F96" s="225"/>
      <c r="G96" s="225"/>
      <c r="H96" s="225"/>
      <c r="I96" s="226"/>
    </row>
    <row r="97" spans="1:9" ht="18.75" customHeight="1" x14ac:dyDescent="0.15">
      <c r="A97" s="1"/>
      <c r="B97" s="224"/>
      <c r="C97" s="225"/>
      <c r="D97" s="225"/>
      <c r="E97" s="225"/>
      <c r="F97" s="225"/>
      <c r="G97" s="225"/>
      <c r="H97" s="225"/>
      <c r="I97" s="226"/>
    </row>
    <row r="98" spans="1:9" ht="18.75" customHeight="1" x14ac:dyDescent="0.15">
      <c r="A98" s="1"/>
      <c r="B98" s="224"/>
      <c r="C98" s="225"/>
      <c r="D98" s="225"/>
      <c r="E98" s="225"/>
      <c r="F98" s="225"/>
      <c r="G98" s="225"/>
      <c r="H98" s="225"/>
      <c r="I98" s="226"/>
    </row>
    <row r="99" spans="1:9" ht="18.75" customHeight="1" x14ac:dyDescent="0.15">
      <c r="A99" s="1"/>
      <c r="B99" s="224"/>
      <c r="C99" s="225"/>
      <c r="D99" s="225"/>
      <c r="E99" s="225"/>
      <c r="F99" s="225"/>
      <c r="G99" s="225"/>
      <c r="H99" s="225"/>
      <c r="I99" s="226"/>
    </row>
    <row r="100" spans="1:9" ht="18.75" customHeight="1" x14ac:dyDescent="0.15">
      <c r="A100" s="1"/>
      <c r="B100" s="224"/>
      <c r="C100" s="225"/>
      <c r="D100" s="225"/>
      <c r="E100" s="225"/>
      <c r="F100" s="225"/>
      <c r="G100" s="225"/>
      <c r="H100" s="225"/>
      <c r="I100" s="226"/>
    </row>
    <row r="101" spans="1:9" ht="18.75" customHeight="1" x14ac:dyDescent="0.15">
      <c r="A101" s="1"/>
      <c r="B101" s="224"/>
      <c r="C101" s="225"/>
      <c r="D101" s="225"/>
      <c r="E101" s="225"/>
      <c r="F101" s="225"/>
      <c r="G101" s="225"/>
      <c r="H101" s="225"/>
      <c r="I101" s="226"/>
    </row>
    <row r="102" spans="1:9" ht="18.75" customHeight="1" x14ac:dyDescent="0.15">
      <c r="A102" s="1"/>
      <c r="B102" s="224"/>
      <c r="C102" s="225"/>
      <c r="D102" s="225"/>
      <c r="E102" s="225"/>
      <c r="F102" s="225"/>
      <c r="G102" s="225"/>
      <c r="H102" s="225"/>
      <c r="I102" s="226"/>
    </row>
    <row r="103" spans="1:9" ht="18.75" customHeight="1" x14ac:dyDescent="0.15">
      <c r="A103" s="1"/>
      <c r="B103" s="224"/>
      <c r="C103" s="225"/>
      <c r="D103" s="225"/>
      <c r="E103" s="225"/>
      <c r="F103" s="225"/>
      <c r="G103" s="225"/>
      <c r="H103" s="225"/>
      <c r="I103" s="226"/>
    </row>
    <row r="104" spans="1:9" ht="18.75" customHeight="1" x14ac:dyDescent="0.15">
      <c r="A104" s="1"/>
      <c r="B104" s="224"/>
      <c r="C104" s="225"/>
      <c r="D104" s="225"/>
      <c r="E104" s="225"/>
      <c r="F104" s="225"/>
      <c r="G104" s="225"/>
      <c r="H104" s="225"/>
      <c r="I104" s="226"/>
    </row>
    <row r="105" spans="1:9" ht="18.75" customHeight="1" x14ac:dyDescent="0.15">
      <c r="A105" s="4"/>
      <c r="B105" s="227"/>
      <c r="C105" s="228"/>
      <c r="D105" s="228"/>
      <c r="E105" s="228"/>
      <c r="F105" s="228"/>
      <c r="G105" s="228"/>
      <c r="H105" s="228"/>
      <c r="I105" s="229"/>
    </row>
    <row r="106" spans="1:9" ht="7.5" customHeight="1" x14ac:dyDescent="0.15">
      <c r="A106" s="4"/>
      <c r="B106" s="4"/>
      <c r="C106" s="4"/>
      <c r="D106" s="4"/>
      <c r="E106" s="4"/>
      <c r="F106" s="4"/>
      <c r="G106" s="4"/>
      <c r="H106" s="4"/>
      <c r="I106" s="4"/>
    </row>
    <row r="107" spans="1:9" ht="18.75" customHeight="1" x14ac:dyDescent="0.15">
      <c r="A107" s="1" t="s">
        <v>30</v>
      </c>
      <c r="B107" s="230" t="s">
        <v>46</v>
      </c>
      <c r="C107" s="230"/>
      <c r="D107" s="230"/>
      <c r="E107" s="230"/>
      <c r="F107" s="230"/>
      <c r="G107" s="230"/>
      <c r="H107" s="230"/>
      <c r="I107" s="230"/>
    </row>
    <row r="108" spans="1:9" ht="18.75" customHeight="1" x14ac:dyDescent="0.15">
      <c r="A108" s="4"/>
      <c r="B108" s="221" t="s">
        <v>171</v>
      </c>
      <c r="C108" s="222"/>
      <c r="D108" s="222"/>
      <c r="E108" s="222"/>
      <c r="F108" s="222"/>
      <c r="G108" s="222"/>
      <c r="H108" s="222"/>
      <c r="I108" s="223"/>
    </row>
    <row r="109" spans="1:9" ht="18.75" customHeight="1" x14ac:dyDescent="0.15">
      <c r="A109" s="4"/>
      <c r="B109" s="224"/>
      <c r="C109" s="225"/>
      <c r="D109" s="225"/>
      <c r="E109" s="225"/>
      <c r="F109" s="225"/>
      <c r="G109" s="225"/>
      <c r="H109" s="225"/>
      <c r="I109" s="226"/>
    </row>
    <row r="110" spans="1:9" ht="18.75" customHeight="1" x14ac:dyDescent="0.15">
      <c r="A110" s="4"/>
      <c r="B110" s="224"/>
      <c r="C110" s="225"/>
      <c r="D110" s="225"/>
      <c r="E110" s="225"/>
      <c r="F110" s="225"/>
      <c r="G110" s="225"/>
      <c r="H110" s="225"/>
      <c r="I110" s="226"/>
    </row>
    <row r="111" spans="1:9" ht="18.75" customHeight="1" x14ac:dyDescent="0.15">
      <c r="A111" s="4"/>
      <c r="B111" s="224"/>
      <c r="C111" s="225"/>
      <c r="D111" s="225"/>
      <c r="E111" s="225"/>
      <c r="F111" s="225"/>
      <c r="G111" s="225"/>
      <c r="H111" s="225"/>
      <c r="I111" s="226"/>
    </row>
    <row r="112" spans="1:9" ht="18.75" customHeight="1" x14ac:dyDescent="0.15">
      <c r="A112" s="4"/>
      <c r="B112" s="224"/>
      <c r="C112" s="225"/>
      <c r="D112" s="225"/>
      <c r="E112" s="225"/>
      <c r="F112" s="225"/>
      <c r="G112" s="225"/>
      <c r="H112" s="225"/>
      <c r="I112" s="226"/>
    </row>
    <row r="113" spans="1:9" ht="18.75" customHeight="1" x14ac:dyDescent="0.15">
      <c r="A113" s="4"/>
      <c r="B113" s="224"/>
      <c r="C113" s="225"/>
      <c r="D113" s="225"/>
      <c r="E113" s="225"/>
      <c r="F113" s="225"/>
      <c r="G113" s="225"/>
      <c r="H113" s="225"/>
      <c r="I113" s="226"/>
    </row>
    <row r="114" spans="1:9" ht="18.75" customHeight="1" x14ac:dyDescent="0.15">
      <c r="A114" s="4"/>
      <c r="B114" s="224"/>
      <c r="C114" s="225"/>
      <c r="D114" s="225"/>
      <c r="E114" s="225"/>
      <c r="F114" s="225"/>
      <c r="G114" s="225"/>
      <c r="H114" s="225"/>
      <c r="I114" s="226"/>
    </row>
    <row r="115" spans="1:9" ht="18.75" customHeight="1" x14ac:dyDescent="0.15">
      <c r="A115" s="4"/>
      <c r="B115" s="224"/>
      <c r="C115" s="225"/>
      <c r="D115" s="225"/>
      <c r="E115" s="225"/>
      <c r="F115" s="225"/>
      <c r="G115" s="225"/>
      <c r="H115" s="225"/>
      <c r="I115" s="226"/>
    </row>
    <row r="116" spans="1:9" ht="18.75" customHeight="1" x14ac:dyDescent="0.15">
      <c r="A116" s="4"/>
      <c r="B116" s="224"/>
      <c r="C116" s="225"/>
      <c r="D116" s="225"/>
      <c r="E116" s="225"/>
      <c r="F116" s="225"/>
      <c r="G116" s="225"/>
      <c r="H116" s="225"/>
      <c r="I116" s="226"/>
    </row>
    <row r="117" spans="1:9" ht="18.75" customHeight="1" x14ac:dyDescent="0.15">
      <c r="A117" s="4"/>
      <c r="B117" s="224"/>
      <c r="C117" s="225"/>
      <c r="D117" s="225"/>
      <c r="E117" s="225"/>
      <c r="F117" s="225"/>
      <c r="G117" s="225"/>
      <c r="H117" s="225"/>
      <c r="I117" s="226"/>
    </row>
    <row r="118" spans="1:9" ht="18.75" customHeight="1" x14ac:dyDescent="0.15">
      <c r="A118" s="4"/>
      <c r="B118" s="224"/>
      <c r="C118" s="225"/>
      <c r="D118" s="225"/>
      <c r="E118" s="225"/>
      <c r="F118" s="225"/>
      <c r="G118" s="225"/>
      <c r="H118" s="225"/>
      <c r="I118" s="226"/>
    </row>
    <row r="119" spans="1:9" ht="18.75" customHeight="1" x14ac:dyDescent="0.15">
      <c r="A119" s="4"/>
      <c r="B119" s="227"/>
      <c r="C119" s="228"/>
      <c r="D119" s="228"/>
      <c r="E119" s="228"/>
      <c r="F119" s="228"/>
      <c r="G119" s="228"/>
      <c r="H119" s="228"/>
      <c r="I119" s="229"/>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20" zoomScaleNormal="100" zoomScaleSheetLayoutView="100" workbookViewId="0">
      <selection activeCell="B13" sqref="B13:S18"/>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山口県立大学</v>
      </c>
    </row>
    <row r="3" spans="1:9" ht="18.75" customHeight="1" x14ac:dyDescent="0.15">
      <c r="A3" s="116" t="s">
        <v>28</v>
      </c>
      <c r="B3" s="116"/>
      <c r="C3" s="116"/>
      <c r="D3" s="116"/>
      <c r="E3" s="116"/>
      <c r="F3" s="116"/>
      <c r="G3" s="116"/>
      <c r="H3" s="116"/>
      <c r="I3" s="116"/>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39" t="s">
        <v>160</v>
      </c>
      <c r="C6" s="267"/>
      <c r="D6" s="267"/>
      <c r="E6" s="267"/>
      <c r="F6" s="267"/>
      <c r="G6" s="267"/>
      <c r="H6" s="268"/>
      <c r="I6" s="3"/>
    </row>
    <row r="7" spans="1:9" ht="9" customHeight="1" x14ac:dyDescent="0.15">
      <c r="A7" s="5"/>
      <c r="B7" s="10"/>
      <c r="C7" s="10"/>
      <c r="D7" s="10"/>
      <c r="E7" s="10"/>
      <c r="F7" s="10"/>
      <c r="G7" s="10"/>
      <c r="H7" s="10"/>
      <c r="I7" s="3"/>
    </row>
    <row r="8" spans="1:9" ht="18.75" customHeight="1" x14ac:dyDescent="0.15">
      <c r="A8" s="5"/>
      <c r="B8" s="3"/>
      <c r="C8" s="3"/>
      <c r="D8" s="35" t="s">
        <v>43</v>
      </c>
      <c r="E8" s="36" t="s">
        <v>161</v>
      </c>
      <c r="F8" s="3"/>
      <c r="G8" s="35" t="s">
        <v>10</v>
      </c>
      <c r="H8" s="36" t="s">
        <v>162</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2" t="s">
        <v>24</v>
      </c>
      <c r="C11" s="103"/>
      <c r="D11" s="104"/>
      <c r="E11" s="103" t="s">
        <v>26</v>
      </c>
      <c r="F11" s="103"/>
      <c r="G11" s="103"/>
      <c r="H11" s="103"/>
      <c r="I11" s="104"/>
    </row>
    <row r="12" spans="1:9" ht="26.25" customHeight="1" x14ac:dyDescent="0.15">
      <c r="B12" s="50" t="s">
        <v>14</v>
      </c>
      <c r="C12" s="57"/>
      <c r="D12" s="51"/>
      <c r="E12" s="58"/>
      <c r="F12" s="58"/>
      <c r="G12" s="58"/>
      <c r="H12" s="58"/>
      <c r="I12" s="51"/>
    </row>
    <row r="13" spans="1:9" ht="210.75" customHeight="1" x14ac:dyDescent="0.15">
      <c r="B13" s="52"/>
      <c r="C13" s="250" t="s">
        <v>15</v>
      </c>
      <c r="D13" s="251"/>
      <c r="E13" s="263" t="s">
        <v>174</v>
      </c>
      <c r="F13" s="252"/>
      <c r="G13" s="252"/>
      <c r="H13" s="252"/>
      <c r="I13" s="253"/>
    </row>
    <row r="14" spans="1:9" ht="210.75" customHeight="1" x14ac:dyDescent="0.15">
      <c r="B14" s="52"/>
      <c r="C14" s="265" t="s">
        <v>16</v>
      </c>
      <c r="D14" s="266"/>
      <c r="E14" s="263" t="s">
        <v>163</v>
      </c>
      <c r="F14" s="252"/>
      <c r="G14" s="252"/>
      <c r="H14" s="252"/>
      <c r="I14" s="253"/>
    </row>
    <row r="15" spans="1:9" ht="210.75" customHeight="1" x14ac:dyDescent="0.15">
      <c r="B15" s="52"/>
      <c r="C15" s="250" t="s">
        <v>17</v>
      </c>
      <c r="D15" s="251"/>
      <c r="E15" s="263" t="s">
        <v>175</v>
      </c>
      <c r="F15" s="252"/>
      <c r="G15" s="252"/>
      <c r="H15" s="252"/>
      <c r="I15" s="253"/>
    </row>
    <row r="16" spans="1:9" ht="210.75" customHeight="1" x14ac:dyDescent="0.15">
      <c r="B16" s="52"/>
      <c r="C16" s="250" t="s">
        <v>18</v>
      </c>
      <c r="D16" s="251"/>
      <c r="E16" s="263" t="s">
        <v>147</v>
      </c>
      <c r="F16" s="252"/>
      <c r="G16" s="252"/>
      <c r="H16" s="252"/>
      <c r="I16" s="253"/>
    </row>
    <row r="17" spans="2:9" ht="210.75" customHeight="1" x14ac:dyDescent="0.15">
      <c r="B17" s="53"/>
      <c r="C17" s="254" t="s">
        <v>19</v>
      </c>
      <c r="D17" s="255"/>
      <c r="E17" s="264" t="s">
        <v>164</v>
      </c>
      <c r="F17" s="256"/>
      <c r="G17" s="256"/>
      <c r="H17" s="256"/>
      <c r="I17" s="257"/>
    </row>
    <row r="18" spans="2:9" ht="24" customHeight="1" x14ac:dyDescent="0.15">
      <c r="B18" s="50" t="s">
        <v>20</v>
      </c>
      <c r="C18" s="54"/>
      <c r="D18" s="55"/>
      <c r="E18" s="56"/>
      <c r="F18" s="56"/>
      <c r="G18" s="56"/>
      <c r="H18" s="56"/>
      <c r="I18" s="59"/>
    </row>
    <row r="19" spans="2:9" ht="210.75" customHeight="1" x14ac:dyDescent="0.15">
      <c r="B19" s="52"/>
      <c r="C19" s="250" t="s">
        <v>21</v>
      </c>
      <c r="D19" s="251"/>
      <c r="E19" s="252" t="s">
        <v>165</v>
      </c>
      <c r="F19" s="252"/>
      <c r="G19" s="252"/>
      <c r="H19" s="252"/>
      <c r="I19" s="253"/>
    </row>
    <row r="20" spans="2:9" ht="210.75" customHeight="1" x14ac:dyDescent="0.15">
      <c r="B20" s="53"/>
      <c r="C20" s="254" t="s">
        <v>22</v>
      </c>
      <c r="D20" s="255"/>
      <c r="E20" s="256" t="s">
        <v>166</v>
      </c>
      <c r="F20" s="256"/>
      <c r="G20" s="256"/>
      <c r="H20" s="256"/>
      <c r="I20" s="257"/>
    </row>
    <row r="21" spans="2:9" ht="120" customHeight="1" x14ac:dyDescent="0.15">
      <c r="B21" s="258" t="s">
        <v>23</v>
      </c>
      <c r="C21" s="259"/>
      <c r="D21" s="260"/>
      <c r="E21" s="261" t="s">
        <v>176</v>
      </c>
      <c r="F21" s="261"/>
      <c r="G21" s="261"/>
      <c r="H21" s="261"/>
      <c r="I21" s="262"/>
    </row>
    <row r="22" spans="2:9" ht="210.75" customHeight="1" x14ac:dyDescent="0.15">
      <c r="B22" s="245" t="s">
        <v>38</v>
      </c>
      <c r="C22" s="246"/>
      <c r="D22" s="247"/>
      <c r="E22" s="248" t="s">
        <v>177</v>
      </c>
      <c r="F22" s="248"/>
      <c r="G22" s="248"/>
      <c r="H22" s="248"/>
      <c r="I22" s="24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山口県立大学</cp:lastModifiedBy>
  <cp:lastPrinted>2023-04-21T04:26:06Z</cp:lastPrinted>
  <dcterms:created xsi:type="dcterms:W3CDTF">2011-06-14T05:32:50Z</dcterms:created>
  <dcterms:modified xsi:type="dcterms:W3CDTF">2023-06-20T23:58:31Z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