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file\public\10　教育支援室\10　学部運営・国際交流・教務管理\10　学部運営\67_文理融合データサイエンス教育プログラム\01　MDASH（数理・データサイエンス・AI教育プログラム認定制度）\R5認定（R5.3～R5.5受付）\6　申請書類の確認\岩手県立大学盛岡短期大学部\01 岩手県立大学盛岡短期大学部_リテラシー\"/>
    </mc:Choice>
  </mc:AlternateContent>
  <bookViews>
    <workbookView xWindow="4065" yWindow="495" windowWidth="18885" windowHeight="17505" tabRatio="885"/>
  </bookViews>
  <sheets>
    <sheet name="様式１−１　プログラムを構成する授業科目" sheetId="43" r:id="rId1"/>
    <sheet name="様式１−２　プログラムを構成する授業科目" sheetId="44"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'様式２ 履修者等数の実績'!$A$1:$AQ$31</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1" i="40" l="1"/>
  <c r="AN31" i="40"/>
  <c r="AL31" i="40"/>
  <c r="AK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1" i="40"/>
  <c r="AH31" i="40"/>
  <c r="AF31" i="40"/>
  <c r="AE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1" i="40"/>
  <c r="AB31" i="40"/>
  <c r="Z31" i="40"/>
  <c r="Y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1" i="40"/>
  <c r="V31" i="40"/>
  <c r="T31" i="40"/>
  <c r="S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1" i="40"/>
  <c r="P31" i="40"/>
  <c r="N31" i="40"/>
  <c r="M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1" i="40" l="1"/>
  <c r="AA31" i="40"/>
  <c r="AJ31" i="40"/>
  <c r="AM31" i="40"/>
  <c r="AG31" i="40"/>
  <c r="AD31" i="40"/>
  <c r="X31" i="40"/>
  <c r="R31" i="40"/>
  <c r="U31" i="40"/>
  <c r="L31" i="40"/>
  <c r="K31" i="40" l="1"/>
  <c r="J31" i="40"/>
  <c r="I30" i="40"/>
  <c r="I29" i="40"/>
  <c r="I28" i="40"/>
  <c r="I27" i="40"/>
  <c r="I26" i="40"/>
  <c r="I25" i="40"/>
  <c r="I24" i="40"/>
  <c r="I23" i="40"/>
  <c r="I22" i="40"/>
  <c r="I21" i="40"/>
  <c r="I20" i="40"/>
  <c r="I19" i="40"/>
  <c r="I18" i="40"/>
  <c r="I17" i="40"/>
  <c r="I16" i="40"/>
  <c r="I15" i="40"/>
  <c r="I14" i="40"/>
  <c r="G31" i="40"/>
  <c r="H31"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AP12" i="40"/>
  <c r="AQ12" i="40" s="1"/>
  <c r="C31" i="40"/>
  <c r="I31" i="40" l="1"/>
  <c r="F31" i="40" l="1"/>
  <c r="E31" i="40"/>
  <c r="I50" i="41" s="1"/>
  <c r="D31" i="40"/>
  <c r="AQ30" i="40"/>
  <c r="AQ29" i="40"/>
  <c r="AQ28" i="40"/>
  <c r="AQ27" i="40"/>
  <c r="AQ26" i="40"/>
  <c r="AQ25" i="40"/>
  <c r="AQ24" i="40"/>
  <c r="AQ23" i="40"/>
  <c r="AQ22" i="40"/>
  <c r="AQ21" i="40"/>
  <c r="AQ20" i="40"/>
  <c r="AQ19" i="40"/>
  <c r="AQ18" i="40"/>
  <c r="AQ17" i="40"/>
  <c r="AQ16" i="40"/>
  <c r="AQ15" i="40"/>
  <c r="AQ14" i="40"/>
  <c r="AQ13" i="40"/>
  <c r="AP31" i="40" l="1"/>
  <c r="AQ31" i="40" s="1"/>
  <c r="C49" i="41" s="1"/>
</calcChain>
</file>

<file path=xl/sharedStrings.xml><?xml version="1.0" encoding="utf-8"?>
<sst xmlns="http://schemas.openxmlformats.org/spreadsheetml/2006/main" count="462" uniqueCount="194">
  <si>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</si>
  <si>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</si>
  <si>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</si>
  <si>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</si>
  <si>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</si>
  <si>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</si>
  <si>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</si>
  <si>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</si>
  <si>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</si>
  <si>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</si>
  <si>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</si>
  <si>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</si>
  <si>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</si>
  <si>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</si>
  <si>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</si>
  <si>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</si>
  <si>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</si>
  <si>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</si>
  <si>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</si>
  <si>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</si>
  <si>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</si>
  <si>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</si>
  <si>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</si>
  <si>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</si>
  <si>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</si>
  <si>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</si>
  <si>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</si>
  <si>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</si>
  <si>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</si>
  <si>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</si>
  <si>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</si>
  <si>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</si>
  <si>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</si>
  <si>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</si>
  <si>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</si>
  <si>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</si>
  <si>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</si>
  <si>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</si>
  <si>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</si>
  <si>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</si>
  <si>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</si>
  <si>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</si>
  <si>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</si>
  <si>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</si>
  <si>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</si>
  <si>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</si>
  <si>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</si>
  <si>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</si>
  <si>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</si>
  <si>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</si>
  <si>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</si>
  <si>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</si>
  <si>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</si>
  <si>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</si>
  <si>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</si>
  <si>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</si>
  <si>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</si>
  <si>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</si>
  <si>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</si>
  <si>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</si>
  <si>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</si>
  <si>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</si>
  <si>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</si>
  <si>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</si>
  <si>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</si>
  <si>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</si>
  <si>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</si>
  <si>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</si>
  <si>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</si>
  <si>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</si>
  <si>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</si>
  <si>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</si>
  <si>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</si>
  <si>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</si>
  <si>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</si>
  <si>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</si>
  <si>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</si>
  <si>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</si>
  <si>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</si>
  <si>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</si>
  <si>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</si>
  <si>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</si>
  <si>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</si>
  <si>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</si>
  <si>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</si>
  <si>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</si>
  <si>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</si>
  <si>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</si>
  <si>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</si>
  <si>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</si>
  <si>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</si>
  <si>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</si>
  <si>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</si>
  <si>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</si>
  <si>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</si>
  <si>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</si>
  <si>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</si>
  <si>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</si>
  <si>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</si>
  <si>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</si>
  <si>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</si>
  <si>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</si>
  <si>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</si>
  <si>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</si>
  <si>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</si>
  <si>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</si>
  <si>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</si>
  <si>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</si>
  <si>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</si>
  <si>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</si>
  <si>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</si>
  <si>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</si>
  <si>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</si>
  <si>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</si>
  <si>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</si>
  <si>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</si>
  <si>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</si>
  <si>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</si>
  <si>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</si>
  <si>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</si>
  <si>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</si>
  <si>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</si>
  <si>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</si>
  <si>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</si>
  <si>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</si>
  <si>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</si>
  <si>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学部・学科によって、修了要件は相違する</t>
  </si>
  <si>
    <t>岩手県立大学盛岡短期大学部</t>
    <rPh sb="0" eb="6">
      <t>イワテ</t>
    </rPh>
    <rPh sb="6" eb="13">
      <t>モリオカタン</t>
    </rPh>
    <phoneticPr fontId="1"/>
  </si>
  <si>
    <t>文理融合データサイエンス教育プログラム</t>
    <rPh sb="0" eb="4">
      <t>ブ</t>
    </rPh>
    <phoneticPr fontId="1"/>
  </si>
  <si>
    <t>情報科学概論</t>
  </si>
  <si>
    <t>情報科学概論</t>
    <rPh sb="0" eb="4">
      <t xml:space="preserve">ジョウホウカガク </t>
    </rPh>
    <rPh sb="4" eb="6">
      <t xml:space="preserve">ガイロｎ </t>
    </rPh>
    <phoneticPr fontId="1"/>
  </si>
  <si>
    <t>○</t>
  </si>
  <si>
    <t>情報処理演習</t>
    <rPh sb="2" eb="6">
      <t xml:space="preserve">ショリエンシュウ </t>
    </rPh>
    <phoneticPr fontId="1"/>
  </si>
  <si>
    <t>情報処理入門</t>
    <rPh sb="0" eb="2">
      <t xml:space="preserve">ジョウホウカガク </t>
    </rPh>
    <rPh sb="2" eb="6">
      <t xml:space="preserve">ショリニュウモｎ </t>
    </rPh>
    <phoneticPr fontId="1"/>
  </si>
  <si>
    <t>情報処理演習Ｂ</t>
  </si>
  <si>
    <t>国際文化学科</t>
    <rPh sb="0" eb="6">
      <t>コクサイ</t>
    </rPh>
    <phoneticPr fontId="1"/>
  </si>
  <si>
    <t>　　本短期大学部の卒業生の就職先は、金融・保険業、サービス業、製造業・建設業、専門職（栄養士）、卸・小売業など、多業種にわたっており、卒業生には、AIをはじめとする最新技術を活用し、新たな価値やあらたな社会を創造することが求められている。本プログラムの修了生が卒業する令和６年度以降からは、企業等へのアンケートなどをもとに本プログラムの改善に努める予定である。</t>
    <rPh sb="0" eb="180">
      <t>ソツギョウセイノ</t>
    </rPh>
    <phoneticPr fontId="1"/>
  </si>
  <si>
    <t>令和４</t>
    <rPh sb="0" eb="2">
      <t xml:space="preserve">レイワ </t>
    </rPh>
    <phoneticPr fontId="1"/>
  </si>
  <si>
    <t>情報処理入門</t>
    <rPh sb="0" eb="2">
      <t>ジョウホウ</t>
    </rPh>
    <rPh sb="2" eb="4">
      <t>ショリ</t>
    </rPh>
    <rPh sb="4" eb="6">
      <t>ニュウモン</t>
    </rPh>
    <phoneticPr fontId="1"/>
  </si>
  <si>
    <t>猪股俊光</t>
    <rPh sb="0" eb="2">
      <t xml:space="preserve">イノマタ </t>
    </rPh>
    <rPh sb="2" eb="4">
      <t xml:space="preserve">トシミツ </t>
    </rPh>
    <phoneticPr fontId="1"/>
  </si>
  <si>
    <t xml:space="preserve">教育支援本部長	</t>
    <phoneticPr fontId="1"/>
  </si>
  <si>
    <t>学務調整委員会、高等教育推進センター高等教育企画部</t>
    <phoneticPr fontId="1"/>
  </si>
  <si>
    <t>公立大学法人岩手県立大学学務調整会議設置要綱</t>
    <phoneticPr fontId="1"/>
  </si>
  <si>
    <t xml:space="preserve">　本プログラムの履修者が必要な単位を修得できるように、入学時オリエンテーションの期間中には、本プログラムを履修するために必要なアプリケーションソフトウェアを学生個人が所有しているノートＰＣへインストールするためのガイダンスを短期大学部生全員を対象に開催している。さらに、前期の授業開始前までに、学内のＬＭＳの利用方法のガイダンスも行い、本プログラムの履修に必要な学内情報システムの利用法について全入学生に周知している。
</t>
    <rPh sb="0" eb="1">
      <t>ホンプログラムヲワケ マナビアイ カノウトシテイル ナカデハ テイドノ ガクセイヲ フクスウノ ワケ， カクグループ カンシンノ タカイ ガクセイガ チュウシントナッテ エンシュウ オコナエルヨウニ _x0000__x0000__x0001__x0008_胙_x0001__x000B_胢_x0001__x0011_胧_x0002__x001A_胴_x0001__x001F_胺_x0002_$能_x0002_*脀_x0002_0脇_x0001_4脊_x0001_;_x0000__x0002_A_x0000__x0001_E_x0000__x0002_K</t>
    </rPh>
    <rPh sb="112" eb="117">
      <t xml:space="preserve">タンキダイガクブ </t>
    </rPh>
    <rPh sb="118" eb="120">
      <t xml:space="preserve">ゼンイｎ </t>
    </rPh>
    <rPh sb="135" eb="137">
      <t xml:space="preserve">ゼンキ </t>
    </rPh>
    <rPh sb="138" eb="143">
      <t xml:space="preserve">ジュギョウカイシマエマデニ </t>
    </rPh>
    <rPh sb="147" eb="149">
      <t xml:space="preserve">ガクナイノ </t>
    </rPh>
    <rPh sb="154" eb="158">
      <t xml:space="preserve">リヨウホウホウノ </t>
    </rPh>
    <rPh sb="165" eb="166">
      <t xml:space="preserve">オコナイ， </t>
    </rPh>
    <rPh sb="168" eb="169">
      <t xml:space="preserve">ホンプログラｍヲ </t>
    </rPh>
    <rPh sb="175" eb="177">
      <t xml:space="preserve">リシュウスルノニ </t>
    </rPh>
    <rPh sb="178" eb="180">
      <t xml:space="preserve">ヒツヨウナ </t>
    </rPh>
    <rPh sb="181" eb="183">
      <t xml:space="preserve">ガクナイ </t>
    </rPh>
    <rPh sb="183" eb="185">
      <t xml:space="preserve">ジョウホウシステムノ </t>
    </rPh>
    <rPh sb="190" eb="193">
      <t xml:space="preserve">リヨウホウニ </t>
    </rPh>
    <rPh sb="197" eb="201">
      <t xml:space="preserve">ゼンニュウガクセイ </t>
    </rPh>
    <rPh sb="202" eb="204">
      <t xml:space="preserve">シュウチ </t>
    </rPh>
    <rPh sb="209" eb="210">
      <t xml:space="preserve">ヒッシュウ カモク カイコウシテイル </t>
    </rPh>
    <phoneticPr fontId="1"/>
  </si>
  <si>
    <t>情報処理入門</t>
    <phoneticPr fontId="1"/>
  </si>
  <si>
    <t>情報処理演習Ａ</t>
    <phoneticPr fontId="1"/>
  </si>
  <si>
    <t xml:space="preserve">　リコメンデーションシステムや経路探索など、学生が日頃接することが多いと考えられる事例を中心に、それらに関連する数理・データサイエンス・AIを紹介し、自分たちの生活との関連性を意識させている。また、映画などのコンテンツで紹介された事例をあげるとともに、企業などが展開している内容を紹介することで、将来をイメージさせている。さらにネットストーカーやフェイクニュース、個人情報流出など、自らも被害者にも加害者にもなりうる負の事例も紹介し、データリテラシーの重要性についても講義している。これらを通し、数理・データサイエンス・AIを学ぶことの楽しさや意義の理解を深めている。
</t>
    <rPh sb="69" eb="71">
      <t xml:space="preserve">カンレン </t>
    </rPh>
    <rPh sb="75" eb="77">
      <t xml:space="preserve">ショウカイ </t>
    </rPh>
    <rPh sb="78" eb="82">
      <t xml:space="preserve">シンブンキジ </t>
    </rPh>
    <rPh sb="83" eb="84">
      <t xml:space="preserve">トリアゲル </t>
    </rPh>
    <rPh sb="91" eb="94">
      <t xml:space="preserve">キサイレイ </t>
    </rPh>
    <phoneticPr fontId="1"/>
  </si>
  <si>
    <t>　授業アンケートでは、演習科目において難易度が高いと回答する傾向が見られる。これは実際のソフトウェア操作に係る点が大きい。この点に対し、独自に補足資料を用意するとともに、それらを学生がアクセスしやすい形で公開している。また実際に教員が作業内容を見せることで、わかりやすさの向上を図る。今後はそのような手順を動画などで用意することや、教育アシスタントを重点的に配置すること、ペアワークを取り入れるなどし、履修者間での教えあう形を推進するなどを通して、「わかりやすさ」の維持向上を進める。</t>
    <rPh sb="0" eb="2">
      <t>ジュゴウ</t>
    </rPh>
    <phoneticPr fontId="1"/>
  </si>
  <si>
    <t>猪股俊光</t>
    <phoneticPr fontId="1"/>
  </si>
  <si>
    <t>教育支援本部長</t>
    <phoneticPr fontId="1"/>
  </si>
  <si>
    <t>数理・データサイエンス・ＡＩが社会でどのように活用されているのか理解し、自らの専門分野の学びに活用することができるための基礎的素養が身につけられる。</t>
    <rPh sb="0" eb="2">
      <t xml:space="preserve">スウリ </t>
    </rPh>
    <rPh sb="15" eb="17">
      <t xml:space="preserve">シャカイデ </t>
    </rPh>
    <rPh sb="23" eb="25">
      <t xml:space="preserve">カツヨウサレテイルノカ </t>
    </rPh>
    <rPh sb="32" eb="34">
      <t xml:space="preserve">リカイシ </t>
    </rPh>
    <rPh sb="36" eb="37">
      <t xml:space="preserve">ミズカラノ </t>
    </rPh>
    <rPh sb="39" eb="43">
      <t xml:space="preserve">センモンブンヤノ </t>
    </rPh>
    <rPh sb="44" eb="45">
      <t xml:space="preserve">マナビニ </t>
    </rPh>
    <rPh sb="47" eb="49">
      <t xml:space="preserve">カツヨウスルコトガ </t>
    </rPh>
    <rPh sb="60" eb="65">
      <t xml:space="preserve">キソテキソヨウ </t>
    </rPh>
    <rPh sb="66" eb="67">
      <t xml:space="preserve">ミニツケラレル </t>
    </rPh>
    <phoneticPr fontId="1"/>
  </si>
  <si>
    <t>本プログラムを構成する「情報処理入門」（２単位）に加えて、「情報処理演習Ａ（２単位）」と「情報処理演習Ｂ（２単位）」から１科目以上取得すること。</t>
    <rPh sb="14" eb="18">
      <t xml:space="preserve">ショリニュウモｎ </t>
    </rPh>
    <rPh sb="25" eb="26">
      <t xml:space="preserve">クワエテ </t>
    </rPh>
    <rPh sb="30" eb="34">
      <t xml:space="preserve">ジョウホウショリ </t>
    </rPh>
    <rPh sb="34" eb="36">
      <t xml:space="preserve">エンシュウ </t>
    </rPh>
    <rPh sb="45" eb="51">
      <t xml:space="preserve">ジョウホウショリエンシュウ </t>
    </rPh>
    <rPh sb="54" eb="56">
      <t xml:space="preserve">タンイ </t>
    </rPh>
    <rPh sb="61" eb="63">
      <t xml:space="preserve">カモク </t>
    </rPh>
    <rPh sb="63" eb="65">
      <t xml:space="preserve">イジョウ </t>
    </rPh>
    <phoneticPr fontId="1"/>
  </si>
  <si>
    <t>学務調整会議、高等教育推進センター高等教育企画部</t>
    <rPh sb="4" eb="6">
      <t>カイギ</t>
    </rPh>
    <phoneticPr fontId="1"/>
  </si>
  <si>
    <t>　本プログラムを構成する各学科の科目については、時間割の調整をして、同一時限に他科目との重複開講を避けることで、希望する学生全員が受講できるようにしている。具体的には、必修科目として開講している生活科学科「情報科学概論、情報処理実習」と国際文化学科「情報処理入門」に加えて、選択科目である生活科学科「栄養情報処理実習」、国際文化学科「情報処理実習Ａ、情報処理実習Ｂ」はいずれも希望する学生が履修できるよう時間割や使用する教室を調整している。
　</t>
    <rPh sb="0" eb="4">
      <t>キバンキョウイク</t>
    </rPh>
    <rPh sb="12" eb="13">
      <t xml:space="preserve">カク </t>
    </rPh>
    <rPh sb="13" eb="15">
      <t xml:space="preserve">ガッカノ </t>
    </rPh>
    <rPh sb="16" eb="18">
      <t xml:space="preserve">カモク </t>
    </rPh>
    <rPh sb="25" eb="27">
      <t xml:space="preserve">キボウスル </t>
    </rPh>
    <rPh sb="29" eb="31">
      <t xml:space="preserve">ガクセイ </t>
    </rPh>
    <rPh sb="31" eb="33">
      <t xml:space="preserve">ゼンイｎ </t>
    </rPh>
    <rPh sb="37" eb="40">
      <t xml:space="preserve">ジカンワリノ </t>
    </rPh>
    <rPh sb="41" eb="43">
      <t xml:space="preserve">チョウセイヲ </t>
    </rPh>
    <rPh sb="51" eb="53">
      <t xml:space="preserve">ドウイツ </t>
    </rPh>
    <rPh sb="53" eb="55">
      <t xml:space="preserve">ジゲンニ </t>
    </rPh>
    <rPh sb="56" eb="57">
      <t xml:space="preserve">タ </t>
    </rPh>
    <rPh sb="57" eb="59">
      <t xml:space="preserve">カモク </t>
    </rPh>
    <rPh sb="61" eb="65">
      <t xml:space="preserve">チョウフクカイコウヲ </t>
    </rPh>
    <rPh sb="66" eb="67">
      <t xml:space="preserve">サケルコトデ </t>
    </rPh>
    <rPh sb="78" eb="81">
      <t xml:space="preserve">グタイテキニハ </t>
    </rPh>
    <rPh sb="133" eb="134">
      <t>_x0000__x0000__x0004__x0008__x000C_</t>
    </rPh>
    <phoneticPr fontId="1"/>
  </si>
  <si>
    <t>学務調整会議
　委員長　猪股俊光
　　盛岡短期大学部教務委員長　大澤朋子、宮古短期大学部教務委員長　昇高茂樹
　　高等教育企画部副部長　渡部芳栄、教育支援本部　工藤真由美
　　看護学部教務委員長　内海香子、社会福祉学部教務委員長　鈴木力雄
　　ソフトウェア情報学部教務委員長　新井義和、総合政策学部教務委員長　Tee Kian Heng
　　高等教育推進センター教務委員長　高橋英也、教職教育センター　福島朋子
　  看護学研究科教務委員長　高橋有里、社会福祉学研究科教務委員長　佐藤哲郎
　　ソフトウェア情報学研究科教務委員長　高田豊雄、総合政策研究科教務委員長　倉原宗孝
高等教育推進センター高等教育企画部
　部長　猪股俊光
　副部長　渡部芳栄
　准教授　天野哲彦
　准教授　高瀬和実</t>
    <rPh sb="187" eb="189">
      <t>タカハシ</t>
    </rPh>
    <phoneticPr fontId="1"/>
  </si>
  <si>
    <t>　学務調整会議は、全学部（盛岡短期大学部他、四年生学部も含む）並びに各センター（高等教育推進センター、教職教育センター）の教務責任者からなり、全学の教育課程の推進に関する事項の協議及び連絡調整のための組織である。その中では、全学科目の担当者・時間割の調整、授業アンケートの実施などを行っている。
　また、高等教育推進センター高等教育企画部では「教育の質保証のための検証及び支援に関すること」「全学に共通する新たな教育課題等への対応に関すること」「ファカルティ・ディベロップメントに関すること」を所掌している。全学共通の教育プログラムについては、高等教育推進センター高等教育企画部で企画・立案し、学部調整会議を通じて実施した授業アンケートの結果をもとに、高等教育推進センター高等教育企画部にて改善を図っている。</t>
    <rPh sb="13" eb="20">
      <t xml:space="preserve">モリオカタンキダイガクブ </t>
    </rPh>
    <rPh sb="20" eb="21">
      <t xml:space="preserve">ホカ </t>
    </rPh>
    <rPh sb="22" eb="25">
      <t xml:space="preserve">ヨネンセイ </t>
    </rPh>
    <rPh sb="25" eb="27">
      <t xml:space="preserve">ガクブ </t>
    </rPh>
    <rPh sb="28" eb="29">
      <t xml:space="preserve">フクム </t>
    </rPh>
    <rPh sb="31" eb="32">
      <t>ナラ</t>
    </rPh>
    <rPh sb="308" eb="309">
      <t>ツウ</t>
    </rPh>
    <phoneticPr fontId="1"/>
  </si>
  <si>
    <t xml:space="preserve">　本学の学生が学科に関係なく本プログラムを履修することを、次の媒体を通じながら学内外に周知することで、本学志願者や入学者らの本プログラムへの認知度が高まるよう努めた。
　・本学Webページでの本プログラムの紹介
　・「入学案内」（受験生向けのパンフレット）での本プログラムの紹介
　・本学の広報誌（Arch 第83号）での本プログラムの紹介
　とくに、入学予定者（入試合格者）には、BYODの導入の案内とともにノートＰＣを活用した本プログラムが開始されることを伝えた。
　さらに、入学後の新入生ガイダンスにおいて、本プログラムを説明するとともに、「履修の手引き」のなかで本プログラムの目的・対象科目・修了要件などを記載している。
</t>
    <rPh sb="0" eb="3">
      <t>ニュウガクゴノゼンガクセイガゼンガクブセイ ヒッシュウカモクト クワエ， ツギノ トリクミ オコナウコトデ ホンブプログラムノ ナイヨウヲ シュウチ ホンガク ジュケンセイ ムケノ ニュウガクアンナイ ジュケンセイ ムケノ ホンプログラムノ ガイヨウヲ コウカイ カクガクブノ リシュウノ テビキ ホンプログラムノ モクテキ タイショウカモク シュウリョウジョウケｎ ヨウケｎ キサイシテイル ニュウガクジノ シンニュウセイガイダンス ホンプログラムニツイエ セツメイ ダイガクノ コウホウシデ ホンプログラムヲ ショウカイシテイル ドウニュウ</t>
    </rPh>
    <rPh sb="34" eb="35">
      <t>ツウ</t>
    </rPh>
    <phoneticPr fontId="1"/>
  </si>
  <si>
    <t>　各科目の担当者は、同一キャンパスに設置されている４年生大学の常勤教員（ソフトウェア情報学部等所属）であり、ＬＭＳ（WebClass）を活用して、講義資料の配付や課題の提出、質問の受付・回答が行えるようにしている。また、学生個人所有のノートＰＣを利用した科目では各クラスに２名のＴＡ（主にソフトウェア情報学研究科の学生など）を配置し、授業内容についての個別指導に対応している。
　さらに、数理分野の質問は、短期大学部生が利用できる数学相談室（統計や微分積分などに対応）でも受け付けている。　そして、令和５年度からは、全学部の学生を対象として、データサイエンス・ＡＩや ＩＣＴ操作法に関する相談も受け付けられるよう体制を整えていく予定としている。</t>
    <rPh sb="0" eb="2">
      <t>カツヨウシテカツヨウ タイショウカモク ヒトツデアル ジョウホウメイ テイドヲ カイコウスルコトデ ショウニンズウ カ カククラスニハ ハイチシ， ジュコウセイ コベツアドバイスニ タイオウシテイル． _x0000__x0000__x0002__x0006_聛_x0002__x000B_聣_x0004__x0014_聨_x0001__x001B_聮_x0002_ 聻_x0001_#聼_x0002_(肍_x0002_2_x0000__x0003_:_x0000__x0001_&lt;</t>
    </rPh>
    <rPh sb="54" eb="57">
      <t xml:space="preserve">カクカモクノ </t>
    </rPh>
    <rPh sb="58" eb="61">
      <t xml:space="preserve">タントウシャハ </t>
    </rPh>
    <rPh sb="63" eb="65">
      <t xml:space="preserve">ドウイツキャンパスニ </t>
    </rPh>
    <rPh sb="71" eb="73">
      <t xml:space="preserve">セッチサレテイル </t>
    </rPh>
    <rPh sb="79" eb="81">
      <t>ネンセイ</t>
    </rPh>
    <rPh sb="81" eb="83">
      <t xml:space="preserve">ダイガク </t>
    </rPh>
    <rPh sb="84" eb="86">
      <t xml:space="preserve">ジョウキｎ </t>
    </rPh>
    <rPh sb="86" eb="88">
      <t xml:space="preserve">キョウイｎ </t>
    </rPh>
    <rPh sb="95" eb="99">
      <t xml:space="preserve">ジョウホウガクブ </t>
    </rPh>
    <rPh sb="99" eb="100">
      <t xml:space="preserve">トウ </t>
    </rPh>
    <rPh sb="100" eb="102">
      <t xml:space="preserve">ショゾク </t>
    </rPh>
    <rPh sb="110" eb="114">
      <t xml:space="preserve">ガクセイコジｎ </t>
    </rPh>
    <rPh sb="114" eb="116">
      <t xml:space="preserve">ショユウノ </t>
    </rPh>
    <rPh sb="123" eb="125">
      <t xml:space="preserve">リヨウスル </t>
    </rPh>
    <rPh sb="127" eb="129">
      <t xml:space="preserve">カモク </t>
    </rPh>
    <rPh sb="203" eb="209">
      <t>タンキダイガクブセイ</t>
    </rPh>
    <rPh sb="309" eb="310">
      <t>トトノ</t>
    </rPh>
    <phoneticPr fontId="1"/>
  </si>
  <si>
    <t>　本プログラムを構成する各科目では、全学部共通の学務システムによって履修・修得状況を、授業支援システムによって受講者毎の課題提出状況を、それぞれ把握することができる。
　生活科学科生活デザイン専攻においては、新入生26名が履修し、全員がプログラムを修了している。生活科学科食物栄養学専攻においては、プログラムを構成する科目のうち、１年次開講科目については、新入生全員が履修・取得している。プログラムを構成するもう1つの科目は2年次開講科目であるため、まだプログラムの修了者はいない。
　国際文化学科においては、37名が履修し、内33名が単位を修得、プログラムを修了している（新入生の約90%）。</t>
    <rPh sb="0" eb="2">
      <t>コクサイ</t>
    </rPh>
    <rPh sb="2" eb="4">
      <t>ブンカ</t>
    </rPh>
    <rPh sb="4" eb="6">
      <t>ガッカ</t>
    </rPh>
    <rPh sb="13" eb="15">
      <t>ジョウホウ</t>
    </rPh>
    <rPh sb="15" eb="17">
      <t>ショリ</t>
    </rPh>
    <rPh sb="17" eb="19">
      <t>ニュウモン</t>
    </rPh>
    <rPh sb="21" eb="23">
      <t>ヒッス</t>
    </rPh>
    <rPh sb="23" eb="25">
      <t>カモク</t>
    </rPh>
    <rPh sb="30" eb="31">
      <t>ミ</t>
    </rPh>
    <rPh sb="37" eb="39">
      <t xml:space="preserve">シュウトク </t>
    </rPh>
    <rPh sb="39" eb="41">
      <t>タンイ</t>
    </rPh>
    <rPh sb="41" eb="43">
      <t>シュウトク</t>
    </rPh>
    <rPh sb="104" eb="107">
      <t xml:space="preserve">シンニュウセイ </t>
    </rPh>
    <rPh sb="178" eb="181">
      <t xml:space="preserve">シンニュウセイ </t>
    </rPh>
    <rPh sb="181" eb="183">
      <t xml:space="preserve">ゼンイｎ </t>
    </rPh>
    <rPh sb="187" eb="189">
      <t xml:space="preserve">シュトク </t>
    </rPh>
    <rPh sb="235" eb="236">
      <t xml:space="preserve">シャハ </t>
    </rPh>
    <rPh sb="287" eb="290">
      <t xml:space="preserve">シンニュウセイ </t>
    </rPh>
    <rPh sb="291" eb="292">
      <t xml:space="preserve">ヤク </t>
    </rPh>
    <phoneticPr fontId="1"/>
  </si>
  <si>
    <t>　生活科学科、国際文化学科ともに、授業における評価方法が、課題の達成度、内容の理解に基づいている。また授業アンケートにおける「得たものが多かったですか」「到達目標は達成てきましたか」の項目を分析することにより、学生自身による理解度の自己評価を把握することができる。これらを統合的に分析することにより、学修成果の把握を行う。
　また、これらの結果を担当教員を中心に教員間で共有し、検証することで、本教育プログラムの評価・改善を行う。</t>
    <rPh sb="1" eb="3">
      <t>コクサイ</t>
    </rPh>
    <rPh sb="3" eb="5">
      <t>ブンカ</t>
    </rPh>
    <rPh sb="5" eb="7">
      <t>ガッカ</t>
    </rPh>
    <rPh sb="14" eb="16">
      <t>ジョウホウ</t>
    </rPh>
    <rPh sb="16" eb="18">
      <t>ショリ</t>
    </rPh>
    <rPh sb="18" eb="20">
      <t>ニュウモン</t>
    </rPh>
    <rPh sb="22" eb="23">
      <t>エ</t>
    </rPh>
    <rPh sb="28" eb="29">
      <t>タ</t>
    </rPh>
    <rPh sb="30" eb="32">
      <t>ジュギョウ</t>
    </rPh>
    <rPh sb="37" eb="38">
      <t>ナド</t>
    </rPh>
    <rPh sb="39" eb="41">
      <t>カツヨウ</t>
    </rPh>
    <rPh sb="43" eb="44">
      <t>スガタ</t>
    </rPh>
    <rPh sb="45" eb="47">
      <t>ミウ</t>
    </rPh>
    <rPh sb="51" eb="53">
      <t xml:space="preserve">ジュギョウ </t>
    </rPh>
    <rPh sb="57" eb="59">
      <t>サクセイ</t>
    </rPh>
    <rPh sb="65" eb="66">
      <t>タ</t>
    </rPh>
    <rPh sb="67" eb="69">
      <t>キョウイン</t>
    </rPh>
    <rPh sb="71" eb="73">
      <t>ヒョウカ</t>
    </rPh>
    <rPh sb="74" eb="75">
      <t>ウ</t>
    </rPh>
    <rPh sb="83" eb="85">
      <t>ジュギョウ</t>
    </rPh>
    <rPh sb="86" eb="87">
      <t>カン</t>
    </rPh>
    <rPh sb="89" eb="91">
      <t>ガクセイ</t>
    </rPh>
    <rPh sb="103" eb="104">
      <t>エ</t>
    </rPh>
    <rPh sb="108" eb="109">
      <t>オオ</t>
    </rPh>
    <rPh sb="117" eb="119">
      <t>セツモン</t>
    </rPh>
    <rPh sb="120" eb="121">
      <t>タイ</t>
    </rPh>
    <rPh sb="127" eb="128">
      <t>オモ</t>
    </rPh>
    <rPh sb="134" eb="135">
      <t>オモ</t>
    </rPh>
    <rPh sb="140" eb="142">
      <t>ダンカイ</t>
    </rPh>
    <rPh sb="142" eb="144">
      <t>ヒョウカ</t>
    </rPh>
    <rPh sb="149" eb="151">
      <t>ゼンイン</t>
    </rPh>
    <rPh sb="153" eb="155">
      <t>イジョウ</t>
    </rPh>
    <rPh sb="156" eb="157">
      <t>トク</t>
    </rPh>
    <rPh sb="166" eb="167">
      <t>タカ</t>
    </rPh>
    <rPh sb="168" eb="170">
      <t>ヒョウカ</t>
    </rPh>
    <rPh sb="171" eb="172">
      <t>エ</t>
    </rPh>
    <rPh sb="178" eb="180">
      <t>ガクシュウ</t>
    </rPh>
    <rPh sb="180" eb="182">
      <t>セイカ</t>
    </rPh>
    <rPh sb="188" eb="190">
      <t>ガクセイ</t>
    </rPh>
    <rPh sb="190" eb="192">
      <t>ジシン</t>
    </rPh>
    <rPh sb="193" eb="195">
      <t>ジッカン</t>
    </rPh>
    <rPh sb="201" eb="203">
      <t>モクヒョウ</t>
    </rPh>
    <rPh sb="203" eb="205">
      <t>セッテイカツヨウスイシン</t>
    </rPh>
    <phoneticPr fontId="1"/>
  </si>
  <si>
    <t>　本教育プログラムを構成する授業科目について、授業アンケートを実施している。授業アンケートにおける「得たものが多かったですか」「到達目標は達成できましたか」という項目を分析することにより、学生の内容の理解度を把握する。
　令和４年度においては「得たもの」について、6段階中上位2段階が、生活科学科では83%、国際文化学科については65%を占めている。また「到達目標」については、生活科学科では74%、国際文化学科については55%を占めている。このような情報を担当教員を中心にフィードバックすることで、学生の理解度を把握するとともに、理解度向上への改善につなげる。</t>
    <rPh sb="1" eb="3">
      <t>コクサイ</t>
    </rPh>
    <rPh sb="3" eb="5">
      <t>ブンカ</t>
    </rPh>
    <rPh sb="5" eb="7">
      <t>ガッカ</t>
    </rPh>
    <rPh sb="14" eb="16">
      <t>ジョウホウ</t>
    </rPh>
    <rPh sb="16" eb="18">
      <t>ショリ</t>
    </rPh>
    <rPh sb="18" eb="20">
      <t>ニュウモン</t>
    </rPh>
    <rPh sb="22" eb="23">
      <t>タイ</t>
    </rPh>
    <rPh sb="23" eb="25">
      <t xml:space="preserve">ジュギョウ </t>
    </rPh>
    <rPh sb="25" eb="27">
      <t>ガクセイ</t>
    </rPh>
    <rPh sb="38" eb="40">
      <t xml:space="preserve">ジュギョウ </t>
    </rPh>
    <rPh sb="41" eb="43">
      <t>トウタツ</t>
    </rPh>
    <rPh sb="43" eb="45">
      <t>モクヒョウ</t>
    </rPh>
    <rPh sb="46" eb="48">
      <t>タッセイ</t>
    </rPh>
    <rPh sb="58" eb="60">
      <t>セツモン</t>
    </rPh>
    <rPh sb="61" eb="62">
      <t>タイ</t>
    </rPh>
    <rPh sb="82" eb="84">
      <t>ダンカイ</t>
    </rPh>
    <rPh sb="84" eb="86">
      <t>ヒョウカ</t>
    </rPh>
    <rPh sb="115" eb="116">
      <t>タカ</t>
    </rPh>
    <rPh sb="117" eb="119">
      <t>ヒョウカ</t>
    </rPh>
    <rPh sb="120" eb="121">
      <t>エ</t>
    </rPh>
    <rPh sb="128" eb="130">
      <t>マンゾク</t>
    </rPh>
    <rPh sb="138" eb="140">
      <t>セツモン</t>
    </rPh>
    <rPh sb="164" eb="166">
      <t>ダンカイ</t>
    </rPh>
    <rPh sb="166" eb="167">
      <t>ヒョウ</t>
    </rPh>
    <rPh sb="167" eb="168">
      <t>カ</t>
    </rPh>
    <rPh sb="189" eb="191">
      <t>ドウヨウ</t>
    </rPh>
    <rPh sb="192" eb="193">
      <t>タカ</t>
    </rPh>
    <rPh sb="194" eb="196">
      <t>ヒョウカ</t>
    </rPh>
    <rPh sb="212" eb="214">
      <t>ガクセイ</t>
    </rPh>
    <rPh sb="215" eb="218">
      <t>リカイド</t>
    </rPh>
    <rPh sb="219" eb="221">
      <t>ジュウブン</t>
    </rPh>
    <rPh sb="227" eb="228">
      <t>トラ</t>
    </rPh>
    <rPh sb="233" eb="235">
      <t>イッポウ</t>
    </rPh>
    <rPh sb="237" eb="240">
      <t>ナンイド</t>
    </rPh>
    <rPh sb="248" eb="249">
      <t>ムズカ</t>
    </rPh>
    <rPh sb="254" eb="255">
      <t>ヤサ</t>
    </rPh>
    <rPh sb="259" eb="261">
      <t>ダンカイ</t>
    </rPh>
    <rPh sb="261" eb="263">
      <t>ヒョウカテンガクセイリカイドサテンタイエンシュウカダイカダイナンイドセッテイメイカクジブンリカイドカダイセンタクダンカイテキガクシュウリカイドコウジョウ</t>
    </rPh>
    <phoneticPr fontId="1"/>
  </si>
  <si>
    <t>　各科目について授業アンケートには「得たものが多かったですか」「到達目標は達成できましたか」に加え、「真剣な態度で参加できましたか」も含まれている。令和4年度においては、6段階中上位2段階が生活科学科で75%、国際文化学科で67%を占めている。これらの結果を、本教育プログラムを構成する授業科目に含まれる必須科目において、学生に伝えることで、授業の履修を推奨する。また個人情報にも配慮したうえで学生の意見を公開するほか、学ぶ内容の活用機会などを必修科目において紹介することで、推奨を強化する。</t>
    <rPh sb="2" eb="8">
      <t>ジョウホウショリニュウモン</t>
    </rPh>
    <rPh sb="8" eb="10">
      <t xml:space="preserve">ジュギョウ </t>
    </rPh>
    <rPh sb="10" eb="12">
      <t>コクサイ</t>
    </rPh>
    <rPh sb="12" eb="14">
      <t>ブンカ</t>
    </rPh>
    <rPh sb="14" eb="16">
      <t>ガッカ</t>
    </rPh>
    <rPh sb="17" eb="19">
      <t>ヒッス</t>
    </rPh>
    <rPh sb="19" eb="21">
      <t>カモク</t>
    </rPh>
    <rPh sb="27" eb="29">
      <t>コンゴ</t>
    </rPh>
    <rPh sb="30" eb="32">
      <t>ガクセイ</t>
    </rPh>
    <rPh sb="33" eb="35">
      <t>リシュウ</t>
    </rPh>
    <rPh sb="40" eb="42">
      <t>ヨソウ</t>
    </rPh>
    <rPh sb="48" eb="50">
      <t>ジュギョウ</t>
    </rPh>
    <rPh sb="51" eb="52">
      <t>カン</t>
    </rPh>
    <rPh sb="65" eb="68">
      <t>ヒカクテキ</t>
    </rPh>
    <rPh sb="68" eb="69">
      <t>タカ</t>
    </rPh>
    <rPh sb="70" eb="72">
      <t>ヒョウカ</t>
    </rPh>
    <rPh sb="73" eb="74">
      <t>エ</t>
    </rPh>
    <rPh sb="80" eb="83">
      <t>セッキョクテキ</t>
    </rPh>
    <rPh sb="84" eb="86">
      <t>ジュギョウ</t>
    </rPh>
    <rPh sb="87" eb="88">
      <t>ト</t>
    </rPh>
    <rPh sb="89" eb="90">
      <t>ク</t>
    </rPh>
    <rPh sb="97" eb="98">
      <t>カンガ</t>
    </rPh>
    <phoneticPr fontId="1"/>
  </si>
  <si>
    <t>　生活科学科生活デザイン専攻の場合、令和４年度の履修率は52％であり、令和５年度は100％に向上することが見込まれる。生活科学科食物栄養専攻の場合、令和４年度に「情報科学概論」を１年生全員が履修しており、令和５年度に「栄養情報処理実習（選択）」の履修予定者は前年度実績より２年生全員が見込めることから、令和５年度の履修率は50％、令和６年度の履修率は100％となる予定である。
　国際文化学科の場合、令和４年度の履修率は37％であり、令和５年度も同程度の修了者が見込まれ、令和５年度の履修率は約70％と向上する予定である。その後も履修率の向上に努めていく。</t>
    <rPh sb="1" eb="6">
      <t xml:space="preserve">セイカツカガクカ </t>
    </rPh>
    <rPh sb="6" eb="8">
      <t xml:space="preserve">セイカツデザイｎ </t>
    </rPh>
    <rPh sb="12" eb="14">
      <t xml:space="preserve">センコウ </t>
    </rPh>
    <rPh sb="15" eb="17">
      <t xml:space="preserve">バアイ </t>
    </rPh>
    <rPh sb="18" eb="23">
      <t xml:space="preserve">ショクモツエイヨウセンコウ </t>
    </rPh>
    <rPh sb="24" eb="26">
      <t xml:space="preserve">バアイ </t>
    </rPh>
    <rPh sb="27" eb="28">
      <t xml:space="preserve">レイワ </t>
    </rPh>
    <rPh sb="30" eb="31">
      <t xml:space="preserve">ネンド </t>
    </rPh>
    <rPh sb="37" eb="40">
      <t xml:space="preserve">ジョウホウカガク </t>
    </rPh>
    <rPh sb="44" eb="53">
      <t xml:space="preserve">ゼンイｎ </t>
    </rPh>
    <rPh sb="54" eb="56">
      <t xml:space="preserve">レイワ </t>
    </rPh>
    <rPh sb="59" eb="67">
      <t>エイヨウジョウホウ</t>
    </rPh>
    <rPh sb="68" eb="70">
      <t xml:space="preserve">センタク </t>
    </rPh>
    <rPh sb="71" eb="73">
      <t xml:space="preserve">タンイ </t>
    </rPh>
    <rPh sb="76" eb="78">
      <t xml:space="preserve">リシュウスルコト </t>
    </rPh>
    <rPh sb="85" eb="86">
      <t>ホンプログラムヲ</t>
    </rPh>
    <rPh sb="90" eb="91">
      <t xml:space="preserve">ホンプログラム </t>
    </rPh>
    <rPh sb="96" eb="98">
      <t xml:space="preserve">カイシマエノ </t>
    </rPh>
    <rPh sb="98" eb="101">
      <t xml:space="preserve">ゼンネンド </t>
    </rPh>
    <rPh sb="103" eb="111">
      <t>エイヨウ</t>
    </rPh>
    <rPh sb="113" eb="116">
      <t xml:space="preserve">リシュウシャハ </t>
    </rPh>
    <rPh sb="120" eb="122">
      <t xml:space="preserve">レイワ </t>
    </rPh>
    <rPh sb="123" eb="125">
      <t xml:space="preserve">リシュウ </t>
    </rPh>
    <rPh sb="125" eb="128">
      <t xml:space="preserve">ヨテイシャハ </t>
    </rPh>
    <rPh sb="129" eb="132">
      <t xml:space="preserve">ゼンネンド </t>
    </rPh>
    <rPh sb="132" eb="134">
      <t xml:space="preserve">ジッセキヨリ </t>
    </rPh>
    <rPh sb="137" eb="139">
      <t xml:space="preserve">ネンセイ </t>
    </rPh>
    <rPh sb="139" eb="141">
      <t xml:space="preserve">ゼンインガ </t>
    </rPh>
    <rPh sb="142" eb="144">
      <t xml:space="preserve">ミコメルコトカラ </t>
    </rPh>
    <rPh sb="151" eb="155">
      <t xml:space="preserve">リシュウリツガ </t>
    </rPh>
    <rPh sb="155" eb="156">
      <t xml:space="preserve">セイカツカガクカ </t>
    </rPh>
    <rPh sb="156" eb="157">
      <t xml:space="preserve">コクサイブンカガッカ </t>
    </rPh>
    <rPh sb="157" eb="161">
      <t xml:space="preserve">ジョウホウショリ </t>
    </rPh>
    <rPh sb="167" eb="168">
      <t xml:space="preserve">ゼンキ </t>
    </rPh>
    <rPh sb="173" eb="179">
      <t xml:space="preserve">ジョウホウショリエンシュウ </t>
    </rPh>
    <rPh sb="182" eb="184">
      <t xml:space="preserve">ヨテイデアル </t>
    </rPh>
    <rPh sb="187" eb="188">
      <t xml:space="preserve">イジョウヲ </t>
    </rPh>
    <rPh sb="191" eb="192">
      <t xml:space="preserve">ホンプログラム </t>
    </rPh>
    <rPh sb="194" eb="197">
      <t xml:space="preserve">シュウリョウシャハ </t>
    </rPh>
    <rPh sb="228" eb="230">
      <t xml:space="preserve">イジョウノ </t>
    </rPh>
    <rPh sb="235" eb="236">
      <t xml:space="preserve">タンキダイガクブ </t>
    </rPh>
    <rPh sb="237" eb="240">
      <t xml:space="preserve">リシュウリツハ </t>
    </rPh>
    <rPh sb="242" eb="244">
      <t xml:space="preserve">レイワ </t>
    </rPh>
    <rPh sb="246" eb="247">
      <t xml:space="preserve">ヤク </t>
    </rPh>
    <rPh sb="251" eb="253">
      <t xml:space="preserve">レイワ </t>
    </rPh>
    <rPh sb="254" eb="256">
      <t xml:space="preserve">ネンド </t>
    </rPh>
    <rPh sb="259" eb="261">
      <t xml:space="preserve">コウジョウサレル </t>
    </rPh>
    <rPh sb="264" eb="266">
      <t xml:space="preserve">ミコミデアル． </t>
    </rPh>
    <phoneticPr fontId="1"/>
  </si>
  <si>
    <t>　岩手県内の高等教育機関や地方公共団体、経済・産業団体からなる「いわて高等教育地域連携プラットフォーム」による、「高等教育人材の教育及び県内定着促進に関するアンケート調査によれば、岩手県内の430事業所のうち、約７割の事業所大学等高等教育機関に求める教育プログラムとして「数理・データサイエンス・ＡＩ・ＩＴ教育」をあげている。また、本学の設立団体が示した「いわて県民計画（2019〜2028）」では、AIをはじめとする第４次産業革命技術を活用し、新たな社会を創造し、岩手県の未来をけん引する人材の育成が求められている。　このような社会的な要請に応えるべく、本プログラムの改善に努めていく。</t>
    <rPh sb="0" eb="5">
      <t>コウトウキョウイクキカｎスウリヲイワテケｎ</t>
    </rPh>
    <rPh sb="122" eb="124">
      <t xml:space="preserve">ダイガク </t>
    </rPh>
    <rPh sb="125" eb="127">
      <t xml:space="preserve">タンダイ </t>
    </rPh>
    <rPh sb="128" eb="130">
      <t xml:space="preserve">コウセン </t>
    </rPh>
    <phoneticPr fontId="1"/>
  </si>
  <si>
    <t>生活デザイン専攻においては、本プログラムを構成する「情報科学概論」（２単位）と「情報処理演習（１単位）」を取得すること。
食物栄養学専攻においては、本プログラムを構成する「情報科学概論」（２単位）と「栄養情報処理実習（１単位）」を取得すること。</t>
    <rPh sb="0" eb="2">
      <t>セイカツ</t>
    </rPh>
    <rPh sb="6" eb="8">
      <t>センコウ</t>
    </rPh>
    <rPh sb="42" eb="46">
      <t xml:space="preserve">ショリエンシュウ </t>
    </rPh>
    <rPh sb="61" eb="68">
      <t>ショクモツエイヨウガクセンコウ</t>
    </rPh>
    <phoneticPr fontId="1"/>
  </si>
  <si>
    <t>栄養情報処理実習</t>
    <rPh sb="0" eb="2">
      <t>エイヨウ</t>
    </rPh>
    <rPh sb="2" eb="4">
      <t>ジョウホウ</t>
    </rPh>
    <rPh sb="4" eb="6">
      <t>ショリ</t>
    </rPh>
    <rPh sb="6" eb="8">
      <t>ジッシュウ</t>
    </rPh>
    <phoneticPr fontId="1"/>
  </si>
  <si>
    <t>栄養情報処理実習</t>
    <rPh sb="0" eb="2">
      <t xml:space="preserve">エイヨウ </t>
    </rPh>
    <rPh sb="4" eb="6">
      <t>ショリ</t>
    </rPh>
    <rPh sb="6" eb="8">
      <t>ジッシュウ</t>
    </rPh>
    <phoneticPr fontId="1"/>
  </si>
  <si>
    <t>生活科学科</t>
    <rPh sb="0" eb="5">
      <t xml:space="preserve">セイカツカガクカ </t>
    </rPh>
    <phoneticPr fontId="1"/>
  </si>
  <si>
    <t>国際文化学科</t>
    <rPh sb="0" eb="4">
      <t xml:space="preserve">コクサイブンカ </t>
    </rPh>
    <rPh sb="4" eb="6">
      <t xml:space="preserve">ガッカ </t>
    </rPh>
    <phoneticPr fontId="1"/>
  </si>
  <si>
    <t>・第4次産業革命、Society 5.0、データ駆動型社会　「情報科学概論」（第１回、第２回）
・ビッグデータ、IoT、AI、ロボット　「栄養情報処理実習」（第１回）</t>
    <rPh sb="5" eb="7">
      <t>ジョウホウ</t>
    </rPh>
    <rPh sb="14" eb="16">
      <t>ゲンザイ</t>
    </rPh>
    <rPh sb="17" eb="19">
      <t>シャカイ</t>
    </rPh>
    <rPh sb="21" eb="22">
      <t>ヘンカ</t>
    </rPh>
    <rPh sb="32" eb="33">
      <t>カクメイ</t>
    </rPh>
    <rPh sb="43" eb="44">
      <t>カイジッシュウ</t>
    </rPh>
    <phoneticPr fontId="1"/>
  </si>
  <si>
    <t>・AI等を活用した新しいビジネスモデル(シェアリングエコノミー、商品のレコメンデーションなど)
　「情報科学概論」（第１回、第２回）
・AI最新技術の活用例(深層生成モデル、敵対的生成ネットワーク、強化学習、転移学習など)　
　「栄養情報処理実習」（第１回）</t>
    <rPh sb="0" eb="2">
      <t>ジョウホウ</t>
    </rPh>
    <rPh sb="7" eb="9">
      <t>キソ</t>
    </rPh>
    <rPh sb="13" eb="15">
      <t>ゲンザイ</t>
    </rPh>
    <rPh sb="16" eb="18">
      <t>ジレイジッシュウ</t>
    </rPh>
    <phoneticPr fontId="1"/>
  </si>
  <si>
    <t xml:space="preserve">・調査データ、実験データ、人の行動ログデータ、機械の稼働ログデータなど　
　　「情報科学概論」（第３回～第５回）
・1次データ、2次データ、データのメタ化　「情報科学概論」（第３回～第５回）
</t>
    <rPh sb="8" eb="10">
      <t>リヨウ</t>
    </rPh>
    <rPh sb="12" eb="14">
      <t>ジョウホウ</t>
    </rPh>
    <rPh sb="14" eb="16">
      <t>シュウシュウ</t>
    </rPh>
    <rPh sb="17" eb="19">
      <t>セイリ</t>
    </rPh>
    <rPh sb="20" eb="22">
      <t>ダイザイ</t>
    </rPh>
    <rPh sb="24" eb="26">
      <t>ゲンザイ</t>
    </rPh>
    <rPh sb="26" eb="28">
      <t>リヨウ</t>
    </rPh>
    <rPh sb="41" eb="43">
      <t>カツヨウ</t>
    </rPh>
    <rPh sb="43" eb="45">
      <t>リョウイキ</t>
    </rPh>
    <phoneticPr fontId="1"/>
  </si>
  <si>
    <t>・データ・AI活用領域の広がり(生産、消費、文化活動など)　「情報科学概論」（第３回～第５回）</t>
    <rPh sb="7" eb="9">
      <t>リヨウ</t>
    </rPh>
    <rPh sb="11" eb="13">
      <t>ジョウホウ</t>
    </rPh>
    <rPh sb="13" eb="15">
      <t>シュウシュウ</t>
    </rPh>
    <rPh sb="16" eb="18">
      <t>セイリ</t>
    </rPh>
    <rPh sb="19" eb="21">
      <t>ダイザイ</t>
    </rPh>
    <rPh sb="23" eb="25">
      <t>ゲンザイ</t>
    </rPh>
    <rPh sb="25" eb="27">
      <t>リヨウ</t>
    </rPh>
    <rPh sb="37" eb="39">
      <t>カツヨウ</t>
    </rPh>
    <rPh sb="39" eb="41">
      <t>リョウイキ</t>
    </rPh>
    <phoneticPr fontId="1"/>
  </si>
  <si>
    <t xml:space="preserve">・情報セキュリティ:機密性、完全性、可用性　　「情報科学概論」（第３回～第５回）
・匿名加工情報、暗号化、パスワード、悪意ある情報搾取　
　　「情報科学概論」（第３回～第５回）、「栄養情報処理実習」（第１回）
・情報漏洩等によるセキュリティ事故の事例紹介　「栄養情報処理実習」（第１回）
</t>
    <rPh sb="8" eb="10">
      <t>リヨウ</t>
    </rPh>
    <rPh sb="12" eb="14">
      <t>ジョウホウ</t>
    </rPh>
    <rPh sb="15" eb="17">
      <t xml:space="preserve">ジョウホウセキュリティ </t>
    </rPh>
    <rPh sb="24" eb="27">
      <t xml:space="preserve">アンゴウカ </t>
    </rPh>
    <rPh sb="37" eb="39">
      <t xml:space="preserve">ホゴ </t>
    </rPh>
    <rPh sb="126" eb="129">
      <t>ジッシュウ</t>
    </rPh>
    <phoneticPr fontId="1"/>
  </si>
  <si>
    <t xml:space="preserve">・ELSI(Ethical, Legal and Social Issues)　「栄養情報処理実習」（第１回）
・個人情報保護、EU一般データ保護規則(GDPR)、忘れられる権利、オプトアウト
　　「情報科学概論」（第３回～第５回）
・データ倫理:データのねつ造、改ざん、盗用、プライバシー保護　
　　「情報科学概論」（第３回～第５回）、「栄養情報処理実習」（第１回）
・データバイアス、アルゴリズムバイアス　「栄養情報処理実習」（第１回）
・データ・AI活用における負の事例紹介　　「栄養情報処理実習」（第１回）
</t>
    <rPh sb="8" eb="10">
      <t>リヨウ</t>
    </rPh>
    <rPh sb="12" eb="14">
      <t>ジョウホウ</t>
    </rPh>
    <rPh sb="14" eb="16">
      <t>シュウシュウ</t>
    </rPh>
    <rPh sb="18" eb="20">
      <t xml:space="preserve">ジョウホウモラル </t>
    </rPh>
    <rPh sb="28" eb="30">
      <t>ジョウホウ</t>
    </rPh>
    <rPh sb="32" eb="36">
      <t xml:space="preserve">リュウイジコウ </t>
    </rPh>
    <rPh sb="94" eb="96">
      <t>ジッシュウ</t>
    </rPh>
    <phoneticPr fontId="1"/>
  </si>
  <si>
    <t xml:space="preserve">・データの分布(ヒストグラム)と代表値(平均値、中央値、最頻値)　
　「情報処理演習」（第１回、第２回）、　「栄養情報処理実習」（第７回、第８回）
・データのばらつき(分散、標準偏差、偏差値)
　「情報科学概論」（第６回～第８回）、「情報処理演習」（第１回、第２回）
・観測データに含まれる誤差の扱い　「情報処理演習」（第９回、第10回）
・相関と因果(相関係数、擬似相関、交絡)　　「栄養情報処理実習」（第７回、第８回）
</t>
    <rPh sb="5" eb="6">
      <t>ヨム</t>
    </rPh>
    <rPh sb="12" eb="14">
      <t xml:space="preserve">シュルイ </t>
    </rPh>
    <rPh sb="14" eb="16">
      <t xml:space="preserve">ブンプ </t>
    </rPh>
    <rPh sb="22" eb="25">
      <t xml:space="preserve">ソウカｎ </t>
    </rPh>
    <rPh sb="28" eb="30">
      <t>トウケイリョウ</t>
    </rPh>
    <rPh sb="32" eb="36">
      <t xml:space="preserve">トウケイガク </t>
    </rPh>
    <rPh sb="38" eb="41">
      <t>トウケイガク</t>
    </rPh>
    <rPh sb="84" eb="86">
      <t xml:space="preserve">チョウサノシカタ </t>
    </rPh>
    <rPh sb="102" eb="103">
      <t xml:space="preserve">トリアツカイ </t>
    </rPh>
    <rPh sb="107" eb="109">
      <t xml:space="preserve">シュウケイ </t>
    </rPh>
    <rPh sb="114" eb="116">
      <t xml:space="preserve">ゴサ </t>
    </rPh>
    <rPh sb="202" eb="204">
      <t>ジッシュウ</t>
    </rPh>
    <phoneticPr fontId="1"/>
  </si>
  <si>
    <t xml:space="preserve">・データ表現(棒グラフ、折線グラフ、散布図、ヒートマップ)　「情報科学概論」（第６回～第８回）、
　「情報処理演習」（第３回～第６回）、「栄養情報処理実習」（第７回、第８回）
・データの図表表現(チャート化)　「情報処理演習」（第３回～第６回）
・データの比較(条件をそろえた比較、処理の前後での比較、A/Bテスト)　「情報処理演習」（第７回、第８回）
・不適切なグラフ表現(チャートジャンク、不必要な視覚的要素)　「栄養情報処理実習」（第７回、第８回）
</t>
    <rPh sb="4" eb="6">
      <t>ジョウホウ</t>
    </rPh>
    <rPh sb="6" eb="8">
      <t>ショリ</t>
    </rPh>
    <rPh sb="13" eb="15">
      <t xml:space="preserve">サクセイ </t>
    </rPh>
    <rPh sb="31" eb="32">
      <t>ズ</t>
    </rPh>
    <rPh sb="39" eb="40">
      <t>セツメイ</t>
    </rPh>
    <rPh sb="44" eb="46">
      <t xml:space="preserve">サクセイト </t>
    </rPh>
    <rPh sb="53" eb="55">
      <t xml:space="preserve">ヒョウゲｎ </t>
    </rPh>
    <rPh sb="63" eb="65">
      <t xml:space="preserve">ヨウヤク </t>
    </rPh>
    <rPh sb="67" eb="68">
      <t xml:space="preserve">トウケイリョウ </t>
    </rPh>
    <rPh sb="69" eb="72">
      <t xml:space="preserve">サンプズ </t>
    </rPh>
    <rPh sb="100" eb="102">
      <t xml:space="preserve">ヒカク </t>
    </rPh>
    <rPh sb="103" eb="105">
      <t xml:space="preserve">タイオウアル </t>
    </rPh>
    <rPh sb="112" eb="114">
      <t xml:space="preserve">ヒカク </t>
    </rPh>
    <rPh sb="115" eb="117">
      <t xml:space="preserve">ケンテイ </t>
    </rPh>
    <rPh sb="190" eb="192">
      <t>ジッシュウ</t>
    </rPh>
    <phoneticPr fontId="1"/>
  </si>
  <si>
    <t>・データ解析:予測、グルーピング、パターン発見、最適化、シミュレーション・データ同化など
　　「情報科学概論」（第１回、第２回）
・データ可視化:複合グラフ、2軸グラフ、多次元の可視化、関係性の可視化、地図上の可視化、
　挙動・軌跡の可視化、リアルタイム可視化など　「情報科学概論」（第１回、第２回）
・特化型AIと汎用AI、今のAIで出来ることと出来ないこと、AIとビッグデータ　
　　「情報処理演習」（第13回～第15回）</t>
    <rPh sb="4" eb="6">
      <t xml:space="preserve">リカツヨウノ </t>
    </rPh>
    <rPh sb="24" eb="27">
      <t xml:space="preserve">リカツヨウ </t>
    </rPh>
    <rPh sb="28" eb="30">
      <t xml:space="preserve">サイシｎ </t>
    </rPh>
    <rPh sb="30" eb="32">
      <t xml:space="preserve">ドウコウ </t>
    </rPh>
    <phoneticPr fontId="1"/>
  </si>
  <si>
    <r>
      <t>・流通、製造、金融、サービス、インフラ、公共、ヘルスケア等におけるデータ・AI利活用事例紹介
　　「情報科学概論」（第３回～第５回）</t>
    </r>
    <r>
      <rPr>
        <sz val="12"/>
        <color theme="1"/>
        <rFont val="ＭＳ Ｐゴシック"/>
        <family val="2"/>
        <charset val="128"/>
      </rPr>
      <t>、「情報処理演習」（第13回～第15回）</t>
    </r>
    <r>
      <rPr>
        <sz val="12"/>
        <color theme="1"/>
        <rFont val="ＭＳ Ｐゴシック"/>
        <family val="3"/>
        <charset val="128"/>
        <scheme val="minor"/>
      </rPr>
      <t xml:space="preserve">
</t>
    </r>
    <rPh sb="7" eb="9">
      <t>リヨウ</t>
    </rPh>
    <rPh sb="11" eb="13">
      <t>ジョウホウ</t>
    </rPh>
    <rPh sb="16" eb="17">
      <t>セイリ</t>
    </rPh>
    <rPh sb="18" eb="20">
      <t>ダイザイ</t>
    </rPh>
    <rPh sb="22" eb="24">
      <t>ゲンザイ</t>
    </rPh>
    <rPh sb="24" eb="25">
      <t xml:space="preserve">トウ </t>
    </rPh>
    <rPh sb="25" eb="27">
      <t>リヨウ</t>
    </rPh>
    <rPh sb="36" eb="38">
      <t>カツヨウ</t>
    </rPh>
    <rPh sb="38" eb="40">
      <t>リョウイキ</t>
    </rPh>
    <rPh sb="43" eb="45">
      <t xml:space="preserve">カンレｎ </t>
    </rPh>
    <phoneticPr fontId="1"/>
  </si>
  <si>
    <t xml:space="preserve">・ビッグデータ、IoT、AI、ロボット　「情報処理入門」（第１回）
・データ量の増加、計算機の処理性能の向上、AIの非連続的進化　「情報処理入門」（第１回）
・第4次産業革命、Society 5.0、データ駆動型社会　「情報処理入門」（第１回）
</t>
    <rPh sb="25" eb="26">
      <t>ダイ</t>
    </rPh>
    <rPh sb="27" eb="28">
      <t>ジ</t>
    </rPh>
    <rPh sb="28" eb="30">
      <t>サンギョウ</t>
    </rPh>
    <rPh sb="30" eb="32">
      <t>カクメイ</t>
    </rPh>
    <rPh sb="55" eb="56">
      <t>リョウ</t>
    </rPh>
    <rPh sb="57" eb="59">
      <t>ゾウカ</t>
    </rPh>
    <rPh sb="60" eb="63">
      <t>ケイサンキ</t>
    </rPh>
    <rPh sb="65" eb="67">
      <t>ショリ</t>
    </rPh>
    <rPh sb="67" eb="69">
      <t>セイノウ</t>
    </rPh>
    <rPh sb="70" eb="72">
      <t>コウジョウ</t>
    </rPh>
    <rPh sb="76" eb="80">
      <t>ヒレンゾクテキ</t>
    </rPh>
    <rPh sb="80" eb="82">
      <t>シンカ</t>
    </rPh>
    <phoneticPr fontId="1"/>
  </si>
  <si>
    <t>・データ・AI活用領域の広がり(生産、消費、文化活動など)　「情報処理入門」（第４回）
・研究開発、調達、製造、物流、販売、マーケティング、サービスなど　「情報処理入門」（第４回）</t>
    <rPh sb="8" eb="10">
      <t>カツヨウ</t>
    </rPh>
    <rPh sb="10" eb="12">
      <t>リョウイキ</t>
    </rPh>
    <rPh sb="21" eb="23">
      <t>シュルイ</t>
    </rPh>
    <rPh sb="24" eb="25">
      <t>ヒモ</t>
    </rPh>
    <rPh sb="25" eb="26">
      <t>ヅ</t>
    </rPh>
    <rPh sb="32" eb="34">
      <t>ジレイ</t>
    </rPh>
    <rPh sb="35" eb="38">
      <t>ダイヒョウテキ</t>
    </rPh>
    <rPh sb="39" eb="41">
      <t>シュトク</t>
    </rPh>
    <rPh sb="41" eb="43">
      <t>ホウホウ</t>
    </rPh>
    <rPh sb="47" eb="49">
      <t>ソシキ</t>
    </rPh>
    <rPh sb="49" eb="50">
      <t>レイ</t>
    </rPh>
    <rPh sb="51" eb="53">
      <t>カツヨウ</t>
    </rPh>
    <rPh sb="53" eb="55">
      <t>ホウホウ</t>
    </rPh>
    <rPh sb="59" eb="61">
      <t>カイセツ</t>
    </rPh>
    <phoneticPr fontId="1"/>
  </si>
  <si>
    <r>
      <rPr>
        <sz val="12"/>
        <color theme="1"/>
        <rFont val="ＭＳ Ｐゴシック"/>
        <family val="2"/>
        <charset val="128"/>
      </rPr>
      <t>・情報セキュリティ:機密性、完全性、可用性　「情報処理入門」（第２回、第３回）、
　　「情報処理演習Ｂ」（第２回～第４回）
・匿名加工情報、暗号化、パスワード、悪意ある情報搾取　　「情報処理入門」（第２回、第３回）、
　　「情報処理演習Ｂ」（第２回～第４回）
・情報漏洩等によるセキュリティ事故の事例紹介　「情報処理入門」（第２回、第３回）、
　　「情報処理演習Ｂ」（第２回～第４回）</t>
    </r>
    <r>
      <rPr>
        <sz val="12"/>
        <color theme="1"/>
        <rFont val="ＭＳ Ｐゴシック"/>
        <family val="3"/>
        <charset val="128"/>
      </rPr>
      <t xml:space="preserve">
</t>
    </r>
    <phoneticPr fontId="1"/>
  </si>
  <si>
    <t xml:space="preserve">・データの集計(和、平均)　「情報科学概論」（第６回～第８回）、「情報処理演習」（第11回～第15回）、「栄養情報処理実習」（第７回、第８回）
・データの並び替え、ランキング　「栄養情報処理実習」（第７回、第８回）
・データ解析ツール(スプレッドシート)　「情報科学概論」（第６回～第８回）、「情報処理演習」（第11回～第15回）
</t>
    <rPh sb="5" eb="7">
      <t xml:space="preserve">シュウケイ </t>
    </rPh>
    <rPh sb="7" eb="11">
      <t xml:space="preserve">トウケイリョウノ </t>
    </rPh>
    <rPh sb="12" eb="15">
      <t xml:space="preserve">ケイサンシキ </t>
    </rPh>
    <rPh sb="16" eb="18">
      <t xml:space="preserve">カンスウ </t>
    </rPh>
    <rPh sb="21" eb="23">
      <t>スイテイ</t>
    </rPh>
    <rPh sb="24" eb="27">
      <t>ソウカン</t>
    </rPh>
    <rPh sb="30" eb="32">
      <t xml:space="preserve">ヘイキｎ </t>
    </rPh>
    <rPh sb="35" eb="38">
      <t>エンシュウ</t>
    </rPh>
    <rPh sb="46" eb="49">
      <t>カツヨウ ク</t>
    </rPh>
    <phoneticPr fontId="1"/>
  </si>
  <si>
    <t>・AI等を活用した新しいビジネスモデル(シェアリングエコノミー、商品のレコメンデーションなど)　「情報処理入門」（第１回）</t>
    <rPh sb="8" eb="11">
      <t>リカツヨウ</t>
    </rPh>
    <rPh sb="12" eb="14">
      <t>サイシン</t>
    </rPh>
    <rPh sb="14" eb="16">
      <t>ドウコウ</t>
    </rPh>
    <rPh sb="17" eb="21">
      <t xml:space="preserve">ケンキュウカイハツ </t>
    </rPh>
    <rPh sb="30" eb="32">
      <t xml:space="preserve">セイゾウ </t>
    </rPh>
    <rPh sb="33" eb="35">
      <t xml:space="preserve">ブツリュウ </t>
    </rPh>
    <rPh sb="36" eb="40">
      <t xml:space="preserve">カツヨウホウホウ </t>
    </rPh>
    <rPh sb="43" eb="45">
      <t xml:space="preserve">キギョウノ </t>
    </rPh>
    <rPh sb="46" eb="47">
      <t xml:space="preserve">トリクミ </t>
    </rPh>
    <phoneticPr fontId="1"/>
  </si>
  <si>
    <t>・調査データ、実験データ、人の行動ログデータ、機械の稼働ログデータなど　「情報処理入門」（第４回）</t>
    <rPh sb="1" eb="3">
      <t>シャカイ</t>
    </rPh>
    <rPh sb="4" eb="6">
      <t>カツヨウ</t>
    </rPh>
    <rPh sb="15" eb="17">
      <t xml:space="preserve">コクセイ </t>
    </rPh>
    <rPh sb="17" eb="19">
      <t xml:space="preserve">チョウサ </t>
    </rPh>
    <rPh sb="20" eb="22">
      <t xml:space="preserve">トウケイデータ </t>
    </rPh>
    <rPh sb="26" eb="28">
      <t xml:space="preserve">ジッケｎ </t>
    </rPh>
    <rPh sb="32" eb="34">
      <t xml:space="preserve">チョウサデータ </t>
    </rPh>
    <phoneticPr fontId="1"/>
  </si>
  <si>
    <t>・データ解析:予測、グルーピング、パターン発見、最適化、シミュレーション・データ同化など　「情報処理入門」（第13回）
・データ可視化:複合グラフ、2軸グラフ、多次元の可視化、関係性の可視化、地図上の可視化、挙動・軌跡の可視化、リアルタイム可視化など 　「情報処理入門」（第13回）
・非構造化データ処理:言語処理、画像/動画処理、音声/音楽処理など 　「情報処理入門」（第13回）
・特化型AIと汎用AI、今のAIで出来ることと出来ないこと、AIとビッグデータ　「情報処理入門」（第13回）</t>
    <rPh sb="7" eb="10">
      <t>リカツヨウ</t>
    </rPh>
    <rPh sb="14" eb="16">
      <t>ギジュツ</t>
    </rPh>
    <rPh sb="20" eb="22">
      <t>カイセキ</t>
    </rPh>
    <rPh sb="23" eb="25">
      <t xml:space="preserve">ヨソク </t>
    </rPh>
    <rPh sb="46" eb="49">
      <t>カシカ</t>
    </rPh>
    <rPh sb="50" eb="51">
      <t>ヒ</t>
    </rPh>
    <rPh sb="51" eb="53">
      <t>コウゾウ</t>
    </rPh>
    <rPh sb="56" eb="58">
      <t>ショリ</t>
    </rPh>
    <phoneticPr fontId="1"/>
  </si>
  <si>
    <t>・流通、製造、金融、サービス、インフラ、公共、ヘルスケア等におけるデータ・AI利活用事例紹介　「情報処理入門」（第13回）</t>
    <rPh sb="7" eb="10">
      <t>リカツヨウ</t>
    </rPh>
    <rPh sb="11" eb="13">
      <t>ゲンバ</t>
    </rPh>
    <rPh sb="24" eb="26">
      <t>レイメイ</t>
    </rPh>
    <rPh sb="26" eb="27">
      <t>キ</t>
    </rPh>
    <rPh sb="28" eb="30">
      <t>ジレイ</t>
    </rPh>
    <rPh sb="52" eb="54">
      <t>ジレイ</t>
    </rPh>
    <rPh sb="55" eb="57">
      <t>ショウカイ</t>
    </rPh>
    <rPh sb="59" eb="61">
      <t>ドウコウ</t>
    </rPh>
    <phoneticPr fontId="1"/>
  </si>
  <si>
    <t>・ELSI(Ethical, Legal and Social Issues)　　「情報処理入門」（第２回、第３回）、「情報処理演習Ｂ」（第２回～第４回）
・データ倫理:データのねつ造、改ざん、盗用、プライバシー保護　　「情報処理入門」（第２回、第３回）、「情報処理演習Ｂ」（第２回～第４回）
・AI社会原則(公平性、説明責任、透明性、人間中心の判断)　　「情報処理入門」（第２回、第３回）、「情報処理演習Ｂ」（第２回～第４回）
・データバイアス、アルゴリズムバイアス　　「情報処理入門」（第２回、第３回）
・データ・AI活用における負の事例紹介　　「情報処理入門」（第２回、第３回）</t>
    <rPh sb="15" eb="16">
      <t xml:space="preserve">ダイ </t>
    </rPh>
    <rPh sb="17" eb="18">
      <t xml:space="preserve">カイ </t>
    </rPh>
    <phoneticPr fontId="1"/>
  </si>
  <si>
    <t>・データの種類(量的変数、質的変数) 　「情報処理入門」（第５回～第８回）、「情報処理演習Ｂ」（第10回～第15回）
・データの分布(ヒストグラム)と代表値(平均値、中央値、最頻値)　「情報処理入門」（第５回～第８回）、「情報処理演習A」（第10回～第15回）
・データのばらつき(分散、標準偏差、偏差値)　「情報処理入門」（第５回～第８回）
・観測データに含まれる誤差の扱い　「情報処理演習Ｂ」（第10回～第15回）
・相関と因果(相関係数、擬似相関、交絡)　「情報処理入門」（第５回～第８回）、「情報処理演習Ｂ」（第10回～第15回）
・クロス集計表、分割表、相関係数行列、散布図行列　「情報処理入門」（第５回～第８回）
・統計情報の正しい理解(誇張表現に惑わされない)　「情報処理演習Ｂ」（第10回～第15回）</t>
    <rPh sb="4" eb="5">
      <t>ヨ</t>
    </rPh>
    <rPh sb="7" eb="9">
      <t>カンレン</t>
    </rPh>
    <rPh sb="11" eb="17">
      <t>ジョウホウショリニュウモンダイ</t>
    </rPh>
    <rPh sb="17" eb="19">
      <t>セツメイ</t>
    </rPh>
    <rPh sb="27" eb="29">
      <t>ソウカン</t>
    </rPh>
    <rPh sb="33" eb="35">
      <t>シュウケイ</t>
    </rPh>
    <rPh sb="44" eb="46">
      <t>カイセツ</t>
    </rPh>
    <rPh sb="54" eb="56">
      <t>ジョウホウ</t>
    </rPh>
    <rPh sb="56" eb="58">
      <t>ショリ</t>
    </rPh>
    <rPh sb="58" eb="60">
      <t>エンシュウ</t>
    </rPh>
    <rPh sb="61" eb="62">
      <t>ダイ</t>
    </rPh>
    <rPh sb="66" eb="67">
      <t>ダイ</t>
    </rPh>
    <rPh sb="71" eb="72">
      <t>ヒョウケイサン</t>
    </rPh>
    <rPh sb="76" eb="77">
      <t>モチ</t>
    </rPh>
    <rPh sb="79" eb="81">
      <t>エンシュウ</t>
    </rPh>
    <rPh sb="82" eb="84">
      <t>ジッシ</t>
    </rPh>
    <rPh sb="125" eb="128">
      <t xml:space="preserve">ジッシャカイノ </t>
    </rPh>
    <rPh sb="152" eb="153">
      <t xml:space="preserve">ヨム </t>
    </rPh>
    <phoneticPr fontId="1"/>
  </si>
  <si>
    <t xml:space="preserve">・データ表現(棒グラフ、折線グラフ、散布図、ヒートマップ) 　　「情報処理入門」（第５回～第８回）、「情報処理演習A」（第８回、第13回～第15回）、「情報処理演習Ｂ」（第10回～第15回）
・データの図表表現(チャート化)　　「情報処理入門」（第５回～第８回）、「情報処理演習A」（第８回、第13回～第15回）、「情報処理演習Ｂ」（第10回～第15回）
・不適切なグラフ表現(チャートジャンク、不必要な視覚的要素)　　「情報処理入門」（第５回～第８回）
</t>
    <rPh sb="5" eb="7">
      <t>セツメイ</t>
    </rPh>
    <rPh sb="18" eb="20">
      <t>チュウシン</t>
    </rPh>
    <rPh sb="21" eb="23">
      <t>カイセツ</t>
    </rPh>
    <rPh sb="29" eb="32">
      <t>キホンテキ</t>
    </rPh>
    <rPh sb="35" eb="36">
      <t>ゲンキュウ</t>
    </rPh>
    <rPh sb="47" eb="48">
      <t>ヒョウケイ</t>
    </rPh>
    <rPh sb="54" eb="55">
      <t>モチ</t>
    </rPh>
    <rPh sb="64" eb="66">
      <t>サクセイ</t>
    </rPh>
    <rPh sb="70" eb="72">
      <t>エンシュウ</t>
    </rPh>
    <rPh sb="78" eb="79">
      <t xml:space="preserve">ダイ </t>
    </rPh>
    <rPh sb="80" eb="81">
      <t xml:space="preserve">カイ </t>
    </rPh>
    <rPh sb="84" eb="85">
      <t xml:space="preserve">トウ </t>
    </rPh>
    <rPh sb="116" eb="119">
      <t xml:space="preserve">ヒョウケイサンソフト </t>
    </rPh>
    <phoneticPr fontId="1"/>
  </si>
  <si>
    <t xml:space="preserve">・データの集計(和、平均) 　　「情報処理入門」（第５回～第８回）、「情報処理演習Ａ」（第10回～第15回）、　「情報処理演習Ｂ」（第10回～第15回）
・データの並び替え、ランキング 　　「情報処理入門」（第５回～第８回）、「情報処理演習Ａ」（第10回～第15回）、　「情報処理演習Ｂ」（第10回～第15回）
・データ解析ツール(スプレッドシート)　　「情報処理入門」（第５回～第８回）、「情報処理演習Ａ」（第10回～第15回）、　「情報処理演習Ｂ」（第10回～第15回）
</t>
    <rPh sb="5" eb="6">
      <t xml:space="preserve">アツカウ </t>
    </rPh>
    <rPh sb="15" eb="17">
      <t>シュウケイ</t>
    </rPh>
    <rPh sb="18" eb="20">
      <t xml:space="preserve">エンシュウ </t>
    </rPh>
    <rPh sb="66" eb="68">
      <t>ジョウケン</t>
    </rPh>
    <rPh sb="76" eb="77">
      <t>カゾ</t>
    </rPh>
    <rPh sb="78" eb="79">
      <t>ア</t>
    </rPh>
    <phoneticPr fontId="1"/>
  </si>
  <si>
    <t>様式１－１</t>
    <rPh sb="0" eb="2">
      <t>ヨウシキ</t>
    </rPh>
    <phoneticPr fontId="1"/>
  </si>
  <si>
    <t>様式１－２</t>
    <rPh sb="0" eb="2">
      <t>ヨウシキ</t>
    </rPh>
    <phoneticPr fontId="1"/>
  </si>
  <si>
    <t>　生活科学科のうち生活デザイン専攻の学生については、本プログラムを構成する「情報科学概論」と「情報処理演習」はともに１年次の必修科目であることから令和４年度の新入生26人全員が履修し、26人が本プログラムを修了した。同学科生活科学食物栄養専攻の学生については、１年次の「情報科学概論」は新入生28人中27人が履修し、２年次（令和５年度）に「栄養情報処理演習」を選択科目として履修することで本プログラムを修了する。そのため、生活科学科の本プログラム修了生は令和４年度26人よりも令和５年度は約53人へと増加することが見込まれる。これにより、生活科学科の本プログラムの履修率は、令和４年度53％、令和５年度約100％と年々向上する予定である。
　	国際文化学科の学生の場合、本プログラムを構成する「情報処理入門」、「情報処理演習Ａ」、「情報処理演習Ｂ」はともに１年次の科目であることから令和４年度の時点で37人が本プログラムを履修した。来年度も同程度の履修者が見込まれることから、履修率は令和４年度37％、令和５年度約75％と年々向上する予定である。</t>
    <rPh sb="1" eb="3">
      <t xml:space="preserve">レイワ </t>
    </rPh>
    <rPh sb="4" eb="6">
      <t xml:space="preserve">ネンド </t>
    </rPh>
    <rPh sb="11" eb="16">
      <t xml:space="preserve">セイカツカガクカ </t>
    </rPh>
    <rPh sb="16" eb="18">
      <t xml:space="preserve">セイカツデザイｎ </t>
    </rPh>
    <rPh sb="22" eb="24">
      <t xml:space="preserve">センコウ </t>
    </rPh>
    <rPh sb="25" eb="27">
      <t xml:space="preserve">ガクセイ </t>
    </rPh>
    <rPh sb="45" eb="49">
      <t xml:space="preserve">ジョウホウカガク </t>
    </rPh>
    <rPh sb="49" eb="51">
      <t xml:space="preserve">ガイロｎ </t>
    </rPh>
    <rPh sb="66" eb="68">
      <t xml:space="preserve">ネンジノ </t>
    </rPh>
    <rPh sb="69" eb="73">
      <t xml:space="preserve">ヒッシュウカモク </t>
    </rPh>
    <rPh sb="79" eb="82">
      <t xml:space="preserve">シンニュウセイハ </t>
    </rPh>
    <rPh sb="84" eb="85">
      <t xml:space="preserve">ニｎ </t>
    </rPh>
    <rPh sb="85" eb="87">
      <t xml:space="preserve">ゼンインガ </t>
    </rPh>
    <rPh sb="88" eb="90">
      <t xml:space="preserve">リシュウシ </t>
    </rPh>
    <rPh sb="94" eb="95">
      <t xml:space="preserve">ニン </t>
    </rPh>
    <rPh sb="96" eb="97">
      <t xml:space="preserve">ホンプログラムヲ </t>
    </rPh>
    <rPh sb="103" eb="105">
      <t xml:space="preserve">シュウリョウシタノハ </t>
    </rPh>
    <rPh sb="108" eb="111">
      <t xml:space="preserve">ドウガッカ </t>
    </rPh>
    <rPh sb="111" eb="115">
      <t xml:space="preserve">セイカツカガク </t>
    </rPh>
    <rPh sb="115" eb="117">
      <t xml:space="preserve">ショクモツ </t>
    </rPh>
    <rPh sb="117" eb="121">
      <t xml:space="preserve">エイヨウセンコウ </t>
    </rPh>
    <rPh sb="122" eb="124">
      <t xml:space="preserve">ガクセイニツイテハ </t>
    </rPh>
    <rPh sb="131" eb="133">
      <t xml:space="preserve">ネンジノ </t>
    </rPh>
    <rPh sb="135" eb="141">
      <t xml:space="preserve">ジョウホウカガクガイロｎ </t>
    </rPh>
    <rPh sb="155" eb="156">
      <t xml:space="preserve">ネンジニ </t>
    </rPh>
    <rPh sb="160" eb="162">
      <t xml:space="preserve">レイワ </t>
    </rPh>
    <rPh sb="163" eb="165">
      <t xml:space="preserve">ネンド </t>
    </rPh>
    <rPh sb="175" eb="179">
      <t xml:space="preserve">センタクカモクトシテ </t>
    </rPh>
    <rPh sb="182" eb="184">
      <t xml:space="preserve">リシュウスルコトデ </t>
    </rPh>
    <rPh sb="189" eb="190">
      <t xml:space="preserve">ホンプログラム </t>
    </rPh>
    <rPh sb="199" eb="201">
      <t xml:space="preserve">シュウリョウスル． </t>
    </rPh>
    <rPh sb="209" eb="214">
      <t xml:space="preserve">セイカツカガクカノ </t>
    </rPh>
    <rPh sb="215" eb="216">
      <t xml:space="preserve">ホンプログラム </t>
    </rPh>
    <rPh sb="221" eb="224">
      <t xml:space="preserve">シュウリョウセイ </t>
    </rPh>
    <rPh sb="236" eb="238">
      <t xml:space="preserve">レイワ </t>
    </rPh>
    <rPh sb="239" eb="241">
      <t xml:space="preserve">ネンド </t>
    </rPh>
    <rPh sb="242" eb="243">
      <t xml:space="preserve">ヤク </t>
    </rPh>
    <rPh sb="248" eb="250">
      <t xml:space="preserve">ゾウカシ， </t>
    </rPh>
    <rPh sb="255" eb="257">
      <t xml:space="preserve">ミコマレル． </t>
    </rPh>
    <rPh sb="267" eb="272">
      <t xml:space="preserve">セイカツカガクカノ </t>
    </rPh>
    <rPh sb="273" eb="274">
      <t xml:space="preserve">ホンプログラムノ </t>
    </rPh>
    <rPh sb="280" eb="283">
      <t xml:space="preserve">リシュウリツハ </t>
    </rPh>
    <rPh sb="285" eb="287">
      <t xml:space="preserve">レイワ </t>
    </rPh>
    <rPh sb="301" eb="302">
      <t xml:space="preserve">ヤク </t>
    </rPh>
    <rPh sb="310" eb="314">
      <t xml:space="preserve">サクセイトチュウ </t>
    </rPh>
    <rPh sb="322" eb="324">
      <t xml:space="preserve">ガクセイノ </t>
    </rPh>
    <rPh sb="325" eb="327">
      <t xml:space="preserve">バアイ， </t>
    </rPh>
    <rPh sb="328" eb="329">
      <t xml:space="preserve">バアイ， </t>
    </rPh>
    <rPh sb="329" eb="331">
      <t xml:space="preserve">レイワ </t>
    </rPh>
    <rPh sb="335" eb="338">
      <t xml:space="preserve">リシュウリツヲ </t>
    </rPh>
    <rPh sb="342" eb="346">
      <t xml:space="preserve">ショリニュウモｎ </t>
    </rPh>
    <rPh sb="359" eb="365">
      <t>ジョウホウショリエンシュウ</t>
    </rPh>
    <rPh sb="390" eb="392">
      <t xml:space="preserve">ジテンデ </t>
    </rPh>
    <rPh sb="395" eb="396">
      <t xml:space="preserve">ニンガ </t>
    </rPh>
    <rPh sb="397" eb="398">
      <t xml:space="preserve">ホンプログラムヲ </t>
    </rPh>
    <rPh sb="404" eb="406">
      <t xml:space="preserve">シュウリョウシタ． </t>
    </rPh>
    <rPh sb="409" eb="411">
      <t xml:space="preserve">ライネンド </t>
    </rPh>
    <rPh sb="411" eb="413">
      <t xml:space="preserve">リシュウ </t>
    </rPh>
    <rPh sb="414" eb="417">
      <t xml:space="preserve">ドウテイドノ </t>
    </rPh>
    <rPh sb="418" eb="421">
      <t xml:space="preserve">リシュウシャガ </t>
    </rPh>
    <rPh sb="422" eb="424">
      <t xml:space="preserve">ミコマレルコトカラ </t>
    </rPh>
    <rPh sb="432" eb="435">
      <t xml:space="preserve">リシュウリツハ </t>
    </rPh>
    <rPh sb="436" eb="438">
      <t xml:space="preserve">レイワ </t>
    </rPh>
    <rPh sb="444" eb="446">
      <t xml:space="preserve">レイワ </t>
    </rPh>
    <rPh sb="452" eb="453">
      <t xml:space="preserve">ネンネン </t>
    </rPh>
    <rPh sb="454" eb="456">
      <t xml:space="preserve">コウジョウシテイク </t>
    </rPh>
    <rPh sb="456" eb="457">
      <t xml:space="preserve">ヤク </t>
    </rPh>
    <rPh sb="459" eb="461">
      <t xml:space="preserve">ヨテイデアル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</si>
</sst>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000000"/>
      <name val="ＭＳ Ｐゴシック"/>
      <family val="2"/>
      <charset val="128"/>
      <scheme val="minor"/>
    </font>
    <font>
      <sz val="12"/>
      <color theme="1"/>
      <name val="ＭＳ Ｐゴシック (本文)"/>
      <family val="3"/>
      <charset val="128"/>
    </font>
    <font>
      <sz val="12"/>
      <color theme="1"/>
      <name val="ＭＳ Ｐゴシック"/>
      <family val="3"/>
      <charset val="128"/>
    </font>
    <font>
      <sz val="12"/>
      <color theme="1"/>
      <name val="ＭＳ Ｐゴシック"/>
      <family val="2"/>
      <charset val="128"/>
    </font>
    <font>
      <sz val="12"/>
      <name val="ＭＳ Ｐゴシック"/>
      <family val="3"/>
      <charset val="128"/>
      <scheme val="minor"/>
    </font>
    <font>
      <sz val="12"/>
      <color theme="1"/>
      <name val="ＭＳ Ｐゴシック"/>
      <family val="3"/>
      <charset val="128"/>
      <scheme val="maj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right style="thin">
        <color rgb="FF000000"/>
      </right>
      <top style="thin">
        <color indexed="64"/>
      </top>
      <bottom style="thin">
        <color indexed="64"/>
      </bottom>
      <diagonal/>
    </border>
    <border diagonalUp="1">
      <left style="dotted">
        <color auto="1"/>
      </left>
      <right/>
      <top style="thin">
        <color auto="1"/>
      </top>
      <bottom/>
      <diagonal style="thin">
        <color auto="1"/>
      </diagonal>
    </border>
    <border diagonalUp="1">
      <left style="hair">
        <color auto="1"/>
      </left>
      <right style="thin">
        <color indexed="64"/>
      </right>
      <top style="thin">
        <color auto="1"/>
      </top>
      <bottom/>
      <diagonal style="thin">
        <color auto="1"/>
      </diagonal>
    </border>
    <border diagonalUp="1">
      <left style="dotted">
        <color auto="1"/>
      </left>
      <right/>
      <top/>
      <bottom style="hair">
        <color indexed="64"/>
      </bottom>
      <diagonal style="thin">
        <color auto="1"/>
      </diagonal>
    </border>
    <border diagonalUp="1">
      <left style="hair">
        <color indexed="64"/>
      </left>
      <right style="thin">
        <color indexed="64"/>
      </right>
      <top/>
      <bottom style="hair">
        <color indexed="64"/>
      </bottom>
      <diagonal style="thin">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 xfId="2" applyFont="1" applyFill="1" applyBorder="1" applyAlignment="1">
      <alignment vertical="center" shrinkToFit="1"/>
    </xf>
    <xf numFmtId="38" fontId="2" fillId="0" borderId="57" xfId="2" applyFont="1" applyFill="1" applyBorder="1" applyAlignment="1">
      <alignment vertical="center" shrinkToFit="1"/>
    </xf>
    <xf numFmtId="38" fontId="15" fillId="0" borderId="50" xfId="2" applyFont="1" applyFill="1" applyBorder="1" applyAlignment="1">
      <alignment vertical="center" shrinkToFit="1"/>
    </xf>
    <xf numFmtId="38" fontId="15" fillId="0" borderId="23" xfId="2" applyFont="1" applyFill="1" applyBorder="1" applyAlignment="1">
      <alignment vertical="center" shrinkToFit="1"/>
    </xf>
    <xf numFmtId="49" fontId="3" fillId="0" borderId="30" xfId="0" applyNumberFormat="1" applyFont="1" applyBorder="1" applyAlignment="1">
      <alignment horizontal="center" vertical="center"/>
    </xf>
    <xf numFmtId="0" fontId="2" fillId="0" borderId="6" xfId="0" applyFont="1" applyBorder="1">
      <alignment vertical="center"/>
    </xf>
    <xf numFmtId="9" fontId="2" fillId="0" borderId="14" xfId="0" applyNumberFormat="1" applyFont="1" applyBorder="1" applyAlignment="1">
      <alignment vertical="center" shrinkToFit="1"/>
    </xf>
    <xf numFmtId="38" fontId="11" fillId="0" borderId="61" xfId="0" applyNumberFormat="1" applyFont="1" applyBorder="1" applyAlignment="1">
      <alignment vertical="center" shrinkToFit="1"/>
    </xf>
    <xf numFmtId="38" fontId="11" fillId="0" borderId="62" xfId="0" applyNumberFormat="1" applyFont="1" applyBorder="1" applyAlignment="1">
      <alignment vertical="center" shrinkToFit="1"/>
    </xf>
    <xf numFmtId="38" fontId="11" fillId="0" borderId="63" xfId="0" applyNumberFormat="1" applyFont="1" applyBorder="1" applyAlignment="1">
      <alignment vertical="center" shrinkToFit="1"/>
    </xf>
    <xf numFmtId="38" fontId="11" fillId="0" borderId="64" xfId="0" applyNumberFormat="1" applyFont="1" applyBorder="1" applyAlignment="1">
      <alignment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top" wrapText="1"/>
    </xf>
    <xf numFmtId="0" fontId="2" fillId="0" borderId="35"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wrapText="1"/>
    </xf>
    <xf numFmtId="0" fontId="2" fillId="0" borderId="18"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0" xfId="0" applyFont="1" applyAlignment="1">
      <alignment vertical="center" wrapText="1"/>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41" xfId="0" applyFont="1" applyBorder="1" applyAlignment="1">
      <alignment vertical="center" shrinkToFit="1"/>
    </xf>
    <xf numFmtId="0" fontId="11" fillId="0" borderId="42" xfId="0" applyFont="1" applyBorder="1" applyAlignment="1">
      <alignment vertical="center" shrinkToFit="1"/>
    </xf>
    <xf numFmtId="0" fontId="11" fillId="0" borderId="43" xfId="0" applyFont="1" applyBorder="1" applyAlignment="1">
      <alignmen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13" fillId="0" borderId="36" xfId="0" applyFont="1" applyBorder="1" applyAlignment="1">
      <alignment vertical="top" wrapText="1"/>
    </xf>
    <xf numFmtId="0" fontId="12" fillId="0" borderId="36" xfId="0" applyFont="1" applyBorder="1" applyAlignment="1">
      <alignment vertical="top" wrapText="1"/>
    </xf>
    <xf numFmtId="0" fontId="12" fillId="0" borderId="35" xfId="0" applyFont="1" applyBorder="1" applyAlignment="1">
      <alignment vertical="top" wrapText="1"/>
    </xf>
    <xf numFmtId="0" fontId="16" fillId="0" borderId="19" xfId="0" applyFont="1" applyBorder="1" applyAlignment="1">
      <alignment vertical="top" wrapText="1"/>
    </xf>
    <xf numFmtId="0" fontId="16" fillId="0" borderId="20" xfId="0" applyFont="1" applyBorder="1" applyAlignment="1">
      <alignment vertical="top" wrapText="1"/>
    </xf>
    <xf numFmtId="0" fontId="16" fillId="0" borderId="18" xfId="0" applyFont="1" applyBorder="1" applyAlignment="1">
      <alignment vertical="top" wrapText="1"/>
    </xf>
    <xf numFmtId="0" fontId="13" fillId="0" borderId="6" xfId="0" applyFont="1" applyBorder="1" applyAlignment="1">
      <alignment vertical="top" wrapText="1"/>
    </xf>
    <xf numFmtId="0" fontId="12" fillId="0" borderId="6" xfId="0" applyFont="1" applyBorder="1" applyAlignment="1">
      <alignment vertical="top" wrapText="1"/>
    </xf>
    <xf numFmtId="0" fontId="12" fillId="0" borderId="12" xfId="0" applyFont="1" applyBorder="1" applyAlignment="1">
      <alignment vertical="top" wrapText="1"/>
    </xf>
    <xf numFmtId="0" fontId="16" fillId="0" borderId="36" xfId="0" applyFont="1" applyBorder="1" applyAlignment="1">
      <alignment horizontal="left" vertical="center" wrapText="1"/>
    </xf>
    <xf numFmtId="0" fontId="16" fillId="0" borderId="35" xfId="0" applyFont="1" applyBorder="1" applyAlignment="1">
      <alignment horizontal="left" vertical="center" wrapText="1"/>
    </xf>
    <xf numFmtId="0" fontId="16" fillId="0" borderId="6" xfId="0" applyFont="1" applyBorder="1" applyAlignment="1">
      <alignment horizontal="left" vertical="center" wrapText="1"/>
    </xf>
    <xf numFmtId="0" fontId="16" fillId="0" borderId="12" xfId="0" applyFont="1" applyBorder="1" applyAlignment="1">
      <alignment horizontal="left" vertical="center" wrapText="1"/>
    </xf>
    <xf numFmtId="0" fontId="14" fillId="0" borderId="38" xfId="0" applyFont="1" applyBorder="1" applyAlignment="1">
      <alignment horizontal="left" vertical="top" wrapText="1"/>
    </xf>
    <xf numFmtId="0" fontId="12" fillId="0" borderId="38" xfId="0" applyFont="1" applyBorder="1" applyAlignment="1">
      <alignment horizontal="left" vertical="top" wrapText="1"/>
    </xf>
    <xf numFmtId="0" fontId="12" fillId="0" borderId="39" xfId="0" applyFont="1" applyBorder="1" applyAlignment="1">
      <alignment horizontal="left" vertical="top"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22" xfId="0" applyFont="1" applyBorder="1" applyAlignment="1">
      <alignment horizontal="left" vertical="center" wrapText="1"/>
    </xf>
    <xf numFmtId="0" fontId="16" fillId="0" borderId="21" xfId="0" applyFont="1" applyBorder="1" applyAlignment="1">
      <alignment horizontal="left" vertical="center" wrapText="1"/>
    </xf>
    <xf numFmtId="0" fontId="16" fillId="0" borderId="37" xfId="0" applyFont="1" applyBorder="1" applyAlignment="1">
      <alignment horizontal="left" vertical="center" wrapText="1"/>
    </xf>
    <xf numFmtId="0" fontId="16" fillId="0" borderId="38" xfId="0" applyFont="1" applyBorder="1" applyAlignment="1">
      <alignment horizontal="left" vertical="center" wrapText="1"/>
    </xf>
    <xf numFmtId="0" fontId="16" fillId="0" borderId="39" xfId="0" applyFont="1" applyBorder="1" applyAlignment="1">
      <alignment horizontal="left" vertical="center" wrapTex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horizontal="left" vertical="top" wrapText="1"/>
    </xf>
    <xf numFmtId="0" fontId="2" fillId="0" borderId="5"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1" fillId="0" borderId="2" xfId="0" applyFont="1" applyBorder="1" applyAlignment="1">
      <alignment horizontal="left" vertical="center"/>
    </xf>
    <xf numFmtId="0" fontId="11" fillId="0" borderId="60"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3" fillId="0" borderId="42" xfId="0" applyFont="1" applyBorder="1" applyAlignment="1">
      <alignment vertical="top" wrapText="1" shrinkToFi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3" fillId="0" borderId="7" xfId="0" applyFont="1" applyBorder="1" applyAlignment="1">
      <alignment horizontal="left" vertical="top" wrapTex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110" zoomScaleNormal="100" zoomScaleSheetLayoutView="110" workbookViewId="0">
      <selection activeCell="R2" sqref="R2"/>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59" t="s">
        <v>191</v>
      </c>
      <c r="S1" s="159"/>
      <c r="T1" s="2" t="s">
        <v>109</v>
      </c>
    </row>
    <row r="2" spans="1:22" ht="18.75" customHeight="1">
      <c r="B2" s="32" t="s">
        <v>108</v>
      </c>
      <c r="C2" s="128" t="s">
        <v>127</v>
      </c>
      <c r="D2" s="114"/>
      <c r="E2" s="114"/>
      <c r="F2" s="114"/>
      <c r="G2" s="114"/>
      <c r="H2" s="114"/>
      <c r="I2" s="115"/>
      <c r="J2" s="33"/>
      <c r="K2" s="6"/>
      <c r="L2" s="6"/>
      <c r="M2" s="6"/>
      <c r="N2" s="6"/>
      <c r="O2" s="6"/>
      <c r="P2" s="6"/>
      <c r="Q2" s="6"/>
      <c r="R2" s="6"/>
      <c r="S2" s="6"/>
    </row>
    <row r="3" spans="1:22" ht="18.75" customHeight="1">
      <c r="B3" s="32" t="s">
        <v>102</v>
      </c>
      <c r="C3" s="128" t="s">
        <v>128</v>
      </c>
      <c r="D3" s="114"/>
      <c r="E3" s="114"/>
      <c r="F3" s="114"/>
      <c r="G3" s="114"/>
      <c r="H3" s="114"/>
      <c r="I3" s="115"/>
      <c r="J3" s="33"/>
      <c r="K3" s="6"/>
      <c r="L3" s="6"/>
      <c r="M3" s="6"/>
      <c r="N3" s="6"/>
      <c r="O3" s="6"/>
      <c r="P3" s="6"/>
      <c r="Q3" s="6"/>
      <c r="R3" s="6"/>
      <c r="S3" s="6"/>
    </row>
    <row r="4" spans="1:22" ht="15" customHeight="1">
      <c r="K4" s="33"/>
      <c r="L4" s="35"/>
      <c r="M4" s="35"/>
      <c r="N4" s="35"/>
      <c r="O4" s="35"/>
      <c r="P4" s="35"/>
      <c r="Q4" s="35"/>
      <c r="R4" s="35"/>
      <c r="S4" s="35"/>
    </row>
    <row r="5" spans="1:22" ht="18" customHeight="1">
      <c r="A5" s="160" t="s">
        <v>38</v>
      </c>
      <c r="B5" s="160"/>
      <c r="C5" s="160"/>
      <c r="D5" s="160"/>
      <c r="E5" s="160"/>
      <c r="F5" s="160"/>
      <c r="G5" s="160"/>
      <c r="H5" s="160"/>
      <c r="I5" s="160"/>
      <c r="J5" s="160"/>
      <c r="K5" s="160"/>
      <c r="L5" s="160"/>
      <c r="M5" s="160"/>
      <c r="N5" s="160"/>
      <c r="O5" s="160"/>
      <c r="P5" s="160"/>
      <c r="Q5" s="160"/>
      <c r="R5" s="160"/>
      <c r="S5" s="160"/>
    </row>
    <row r="6" spans="1:22" ht="15" customHeight="1">
      <c r="B6" s="3"/>
      <c r="C6" s="3"/>
      <c r="D6" s="3"/>
      <c r="E6" s="3"/>
      <c r="F6" s="3"/>
      <c r="G6" s="3"/>
      <c r="H6" s="3"/>
      <c r="I6" s="3"/>
      <c r="J6" s="3"/>
      <c r="K6" s="3"/>
      <c r="L6" s="3"/>
      <c r="M6" s="3"/>
      <c r="N6" s="3"/>
      <c r="O6" s="3"/>
      <c r="P6" s="3"/>
      <c r="Q6" s="3"/>
      <c r="R6" s="3"/>
      <c r="S6" s="3"/>
    </row>
    <row r="7" spans="1:22" ht="18" customHeight="1">
      <c r="A7" s="1" t="s">
        <v>124</v>
      </c>
      <c r="C7" s="3"/>
      <c r="J7" s="36" t="s">
        <v>107</v>
      </c>
      <c r="K7" s="161" t="s">
        <v>126</v>
      </c>
      <c r="L7" s="162"/>
      <c r="M7" s="162"/>
      <c r="N7" s="162"/>
      <c r="O7" s="162"/>
      <c r="P7" s="162"/>
      <c r="Q7" s="162"/>
      <c r="R7" s="162"/>
      <c r="S7" s="163"/>
    </row>
    <row r="8" spans="1:22" ht="6" customHeight="1">
      <c r="B8" s="3"/>
      <c r="C8" s="3"/>
      <c r="D8" s="3"/>
      <c r="E8" s="3"/>
      <c r="F8" s="3"/>
      <c r="G8" s="3"/>
      <c r="H8" s="3"/>
      <c r="I8" s="3"/>
      <c r="J8" s="3"/>
      <c r="K8" s="10"/>
      <c r="L8" s="3"/>
      <c r="M8" s="3"/>
      <c r="N8" s="3"/>
      <c r="O8" s="3"/>
      <c r="P8" s="3"/>
      <c r="Q8" s="3"/>
      <c r="R8" s="3"/>
      <c r="S8" s="3"/>
    </row>
    <row r="9" spans="1:22" ht="18" customHeight="1">
      <c r="B9" s="164" t="s">
        <v>167</v>
      </c>
      <c r="C9" s="110"/>
      <c r="D9" s="110"/>
      <c r="E9" s="110"/>
      <c r="F9" s="110"/>
      <c r="G9" s="110"/>
      <c r="H9" s="110"/>
      <c r="I9" s="110"/>
      <c r="J9" s="110"/>
      <c r="K9" s="110"/>
      <c r="L9" s="110"/>
      <c r="M9" s="110"/>
      <c r="N9" s="110"/>
      <c r="O9" s="110"/>
      <c r="P9" s="110"/>
      <c r="Q9" s="110"/>
      <c r="R9" s="110"/>
      <c r="S9" s="111"/>
    </row>
    <row r="10" spans="1:22" ht="18" customHeight="1">
      <c r="B10" s="165"/>
      <c r="C10" s="166"/>
      <c r="D10" s="166"/>
      <c r="E10" s="166"/>
      <c r="F10" s="166"/>
      <c r="G10" s="166"/>
      <c r="H10" s="166"/>
      <c r="I10" s="166"/>
      <c r="J10" s="166"/>
      <c r="K10" s="166"/>
      <c r="L10" s="166"/>
      <c r="M10" s="166"/>
      <c r="N10" s="166"/>
      <c r="O10" s="166"/>
      <c r="P10" s="166"/>
      <c r="Q10" s="166"/>
      <c r="R10" s="166"/>
      <c r="S10" s="167"/>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3"/>
      <c r="E12" s="33"/>
      <c r="F12" s="33"/>
      <c r="G12" s="33"/>
      <c r="H12" s="33"/>
      <c r="I12" s="33"/>
      <c r="J12" s="33"/>
      <c r="K12" s="37"/>
      <c r="L12" s="37"/>
      <c r="M12" s="37"/>
      <c r="N12" s="37"/>
      <c r="O12" s="37"/>
      <c r="P12" s="37"/>
      <c r="Q12" s="37"/>
      <c r="R12" s="37"/>
      <c r="S12" s="37"/>
    </row>
    <row r="13" spans="1:22" ht="18" customHeight="1">
      <c r="B13" s="147" t="s">
        <v>164</v>
      </c>
      <c r="C13" s="148"/>
      <c r="D13" s="148"/>
      <c r="E13" s="148"/>
      <c r="F13" s="148"/>
      <c r="G13" s="148"/>
      <c r="H13" s="148"/>
      <c r="I13" s="148"/>
      <c r="J13" s="148"/>
      <c r="K13" s="148"/>
      <c r="L13" s="148"/>
      <c r="M13" s="148"/>
      <c r="N13" s="148"/>
      <c r="O13" s="148"/>
      <c r="P13" s="148"/>
      <c r="Q13" s="148"/>
      <c r="R13" s="148"/>
      <c r="S13" s="149"/>
      <c r="V13" s="1" t="s">
        <v>103</v>
      </c>
    </row>
    <row r="14" spans="1:22" ht="18" customHeight="1">
      <c r="B14" s="150"/>
      <c r="C14" s="151"/>
      <c r="D14" s="151"/>
      <c r="E14" s="151"/>
      <c r="F14" s="151"/>
      <c r="G14" s="151"/>
      <c r="H14" s="151"/>
      <c r="I14" s="151"/>
      <c r="J14" s="151"/>
      <c r="K14" s="151"/>
      <c r="L14" s="151"/>
      <c r="M14" s="151"/>
      <c r="N14" s="151"/>
      <c r="O14" s="151"/>
      <c r="P14" s="151"/>
      <c r="Q14" s="151"/>
      <c r="R14" s="151"/>
      <c r="S14" s="152"/>
      <c r="V14" s="1" t="s">
        <v>110</v>
      </c>
    </row>
    <row r="15" spans="1:22" ht="18" customHeight="1">
      <c r="B15" s="150"/>
      <c r="C15" s="151"/>
      <c r="D15" s="151"/>
      <c r="E15" s="151"/>
      <c r="F15" s="151"/>
      <c r="G15" s="151"/>
      <c r="H15" s="151"/>
      <c r="I15" s="151"/>
      <c r="J15" s="151"/>
      <c r="K15" s="151"/>
      <c r="L15" s="151"/>
      <c r="M15" s="151"/>
      <c r="N15" s="151"/>
      <c r="O15" s="151"/>
      <c r="P15" s="151"/>
      <c r="Q15" s="151"/>
      <c r="R15" s="151"/>
      <c r="S15" s="152"/>
      <c r="V15" s="1" t="s">
        <v>123</v>
      </c>
    </row>
    <row r="16" spans="1:22" ht="18" customHeight="1">
      <c r="B16" s="150"/>
      <c r="C16" s="151"/>
      <c r="D16" s="151"/>
      <c r="E16" s="151"/>
      <c r="F16" s="151"/>
      <c r="G16" s="151"/>
      <c r="H16" s="151"/>
      <c r="I16" s="151"/>
      <c r="J16" s="151"/>
      <c r="K16" s="151"/>
      <c r="L16" s="151"/>
      <c r="M16" s="151"/>
      <c r="N16" s="151"/>
      <c r="O16" s="151"/>
      <c r="P16" s="151"/>
      <c r="Q16" s="151"/>
      <c r="R16" s="151"/>
      <c r="S16" s="152"/>
      <c r="V16" s="1" t="s">
        <v>125</v>
      </c>
    </row>
    <row r="17" spans="1:19" ht="18" customHeight="1">
      <c r="B17" s="150"/>
      <c r="C17" s="151"/>
      <c r="D17" s="151"/>
      <c r="E17" s="151"/>
      <c r="F17" s="151"/>
      <c r="G17" s="151"/>
      <c r="H17" s="151"/>
      <c r="I17" s="151"/>
      <c r="J17" s="151"/>
      <c r="K17" s="151"/>
      <c r="L17" s="151"/>
      <c r="M17" s="151"/>
      <c r="N17" s="151"/>
      <c r="O17" s="151"/>
      <c r="P17" s="151"/>
      <c r="Q17" s="151"/>
      <c r="R17" s="151"/>
      <c r="S17" s="152"/>
    </row>
    <row r="18" spans="1:19" ht="18" customHeight="1">
      <c r="B18" s="153"/>
      <c r="C18" s="154"/>
      <c r="D18" s="154"/>
      <c r="E18" s="154"/>
      <c r="F18" s="154"/>
      <c r="G18" s="154"/>
      <c r="H18" s="154"/>
      <c r="I18" s="154"/>
      <c r="J18" s="154"/>
      <c r="K18" s="154"/>
      <c r="L18" s="154"/>
      <c r="M18" s="154"/>
      <c r="N18" s="154"/>
      <c r="O18" s="154"/>
      <c r="P18" s="154"/>
      <c r="Q18" s="154"/>
      <c r="R18" s="154"/>
      <c r="S18" s="155"/>
    </row>
    <row r="19" spans="1:19" ht="7.5" customHeight="1">
      <c r="B19" s="3"/>
      <c r="C19" s="3"/>
      <c r="D19" s="3"/>
      <c r="E19" s="3"/>
      <c r="F19" s="3"/>
      <c r="G19" s="3"/>
      <c r="H19" s="3"/>
      <c r="I19" s="3"/>
      <c r="J19" s="3"/>
      <c r="K19" s="3"/>
      <c r="L19" s="3"/>
      <c r="M19" s="3"/>
      <c r="N19" s="3"/>
      <c r="O19" s="3"/>
      <c r="P19" s="3"/>
      <c r="Q19" s="3"/>
      <c r="R19" s="3"/>
      <c r="S19" s="3"/>
    </row>
    <row r="20" spans="1:19" ht="20.100000000000001" customHeight="1">
      <c r="B20" s="1" t="s">
        <v>112</v>
      </c>
      <c r="C20" s="128">
        <v>3</v>
      </c>
      <c r="D20" s="115"/>
      <c r="E20" s="38" t="s">
        <v>95</v>
      </c>
      <c r="G20" s="10"/>
      <c r="H20" s="3"/>
      <c r="I20" s="3"/>
      <c r="J20" s="33" t="s">
        <v>121</v>
      </c>
      <c r="K20" s="156" t="s">
        <v>125</v>
      </c>
      <c r="L20" s="157"/>
      <c r="M20" s="157"/>
      <c r="N20" s="157"/>
      <c r="O20" s="157"/>
      <c r="P20" s="157"/>
      <c r="Q20" s="157"/>
      <c r="R20" s="157"/>
      <c r="S20" s="158"/>
    </row>
    <row r="21" spans="1:19" ht="7.5" customHeight="1">
      <c r="B21" s="3"/>
      <c r="C21" s="3"/>
      <c r="D21" s="3"/>
      <c r="E21" s="3"/>
      <c r="F21" s="3"/>
      <c r="G21" s="3"/>
      <c r="H21" s="3"/>
      <c r="I21" s="3"/>
      <c r="J21" s="3"/>
      <c r="K21" s="3"/>
      <c r="L21" s="3"/>
      <c r="M21" s="3"/>
      <c r="N21" s="3"/>
      <c r="O21" s="3"/>
      <c r="P21" s="3"/>
      <c r="Q21" s="3"/>
      <c r="R21" s="3"/>
      <c r="S21" s="3"/>
    </row>
    <row r="22" spans="1:19" ht="18" customHeight="1">
      <c r="A22" s="140" t="s">
        <v>113</v>
      </c>
      <c r="B22" s="140"/>
      <c r="C22" s="140"/>
      <c r="D22" s="140"/>
      <c r="E22" s="140"/>
      <c r="F22" s="140"/>
      <c r="G22" s="140"/>
      <c r="H22" s="140"/>
      <c r="I22" s="140"/>
      <c r="J22" s="140"/>
      <c r="K22" s="140"/>
      <c r="L22" s="140"/>
      <c r="M22" s="140"/>
      <c r="N22" s="140"/>
      <c r="O22" s="140"/>
      <c r="P22" s="140"/>
      <c r="Q22" s="140"/>
      <c r="R22" s="140"/>
      <c r="S22" s="140"/>
    </row>
    <row r="23" spans="1:19" ht="18" customHeight="1">
      <c r="A23" s="140"/>
      <c r="B23" s="140"/>
      <c r="C23" s="140"/>
      <c r="D23" s="140"/>
      <c r="E23" s="140"/>
      <c r="F23" s="140"/>
      <c r="G23" s="140"/>
      <c r="H23" s="140"/>
      <c r="I23" s="140"/>
      <c r="J23" s="140"/>
      <c r="K23" s="140"/>
      <c r="L23" s="140"/>
      <c r="M23" s="140"/>
      <c r="N23" s="140"/>
      <c r="O23" s="140"/>
      <c r="P23" s="140"/>
      <c r="Q23" s="140"/>
      <c r="R23" s="140"/>
      <c r="S23" s="140"/>
    </row>
    <row r="24" spans="1:19" ht="18" customHeight="1">
      <c r="B24" s="128" t="s">
        <v>53</v>
      </c>
      <c r="C24" s="114"/>
      <c r="D24" s="114"/>
      <c r="E24" s="115"/>
      <c r="F24" s="59" t="s">
        <v>80</v>
      </c>
      <c r="G24" s="58" t="s">
        <v>84</v>
      </c>
      <c r="H24" s="20" t="s">
        <v>56</v>
      </c>
      <c r="I24" s="20" t="s">
        <v>59</v>
      </c>
      <c r="J24" s="128" t="s">
        <v>53</v>
      </c>
      <c r="K24" s="114"/>
      <c r="L24" s="114"/>
      <c r="M24" s="114"/>
      <c r="N24" s="114"/>
      <c r="O24" s="115"/>
      <c r="P24" s="59" t="s">
        <v>80</v>
      </c>
      <c r="Q24" s="58" t="s">
        <v>84</v>
      </c>
      <c r="R24" s="20" t="s">
        <v>56</v>
      </c>
      <c r="S24" s="20" t="s">
        <v>59</v>
      </c>
    </row>
    <row r="25" spans="1:19" ht="18" customHeight="1">
      <c r="B25" s="132" t="s">
        <v>130</v>
      </c>
      <c r="C25" s="133"/>
      <c r="D25" s="133"/>
      <c r="E25" s="134"/>
      <c r="F25" s="21">
        <v>2</v>
      </c>
      <c r="G25" s="21" t="s">
        <v>131</v>
      </c>
      <c r="H25" s="21" t="s">
        <v>131</v>
      </c>
      <c r="I25" s="21" t="s">
        <v>131</v>
      </c>
      <c r="J25" s="132"/>
      <c r="K25" s="133"/>
      <c r="L25" s="133"/>
      <c r="M25" s="133"/>
      <c r="N25" s="133"/>
      <c r="O25" s="134"/>
      <c r="P25" s="21"/>
      <c r="Q25" s="21"/>
      <c r="R25" s="21"/>
      <c r="S25" s="21"/>
    </row>
    <row r="26" spans="1:19" ht="18" customHeight="1">
      <c r="B26" s="116" t="s">
        <v>165</v>
      </c>
      <c r="C26" s="117"/>
      <c r="D26" s="117"/>
      <c r="E26" s="118"/>
      <c r="F26" s="22">
        <v>1</v>
      </c>
      <c r="G26" s="22"/>
      <c r="H26" s="22" t="s">
        <v>131</v>
      </c>
      <c r="I26" s="22" t="s">
        <v>131</v>
      </c>
      <c r="J26" s="116"/>
      <c r="K26" s="117"/>
      <c r="L26" s="117"/>
      <c r="M26" s="117"/>
      <c r="N26" s="117"/>
      <c r="O26" s="118"/>
      <c r="P26" s="22"/>
      <c r="Q26" s="22"/>
      <c r="R26" s="22"/>
      <c r="S26" s="22"/>
    </row>
    <row r="27" spans="1:19" ht="18" customHeight="1">
      <c r="B27" s="116"/>
      <c r="C27" s="117"/>
      <c r="D27" s="117"/>
      <c r="E27" s="118"/>
      <c r="F27" s="22"/>
      <c r="G27" s="22"/>
      <c r="H27" s="22"/>
      <c r="I27" s="22"/>
      <c r="J27" s="116"/>
      <c r="K27" s="117"/>
      <c r="L27" s="117"/>
      <c r="M27" s="117"/>
      <c r="N27" s="117"/>
      <c r="O27" s="118"/>
      <c r="P27" s="22"/>
      <c r="Q27" s="22"/>
      <c r="R27" s="22"/>
      <c r="S27" s="22"/>
    </row>
    <row r="28" spans="1:19" ht="18" customHeight="1">
      <c r="B28" s="116"/>
      <c r="C28" s="117"/>
      <c r="D28" s="117"/>
      <c r="E28" s="118"/>
      <c r="F28" s="22"/>
      <c r="G28" s="22"/>
      <c r="H28" s="22"/>
      <c r="I28" s="22"/>
      <c r="J28" s="116"/>
      <c r="K28" s="117"/>
      <c r="L28" s="117"/>
      <c r="M28" s="117"/>
      <c r="N28" s="117"/>
      <c r="O28" s="118"/>
      <c r="P28" s="22"/>
      <c r="Q28" s="22"/>
      <c r="R28" s="22"/>
      <c r="S28" s="22"/>
    </row>
    <row r="29" spans="1:19" ht="18" customHeight="1">
      <c r="B29" s="116"/>
      <c r="C29" s="117"/>
      <c r="D29" s="117"/>
      <c r="E29" s="118"/>
      <c r="F29" s="22"/>
      <c r="G29" s="22"/>
      <c r="H29" s="22"/>
      <c r="I29" s="22"/>
      <c r="J29" s="116"/>
      <c r="K29" s="117"/>
      <c r="L29" s="117"/>
      <c r="M29" s="117"/>
      <c r="N29" s="117"/>
      <c r="O29" s="118"/>
      <c r="P29" s="22"/>
      <c r="Q29" s="22"/>
      <c r="R29" s="22"/>
      <c r="S29" s="22"/>
    </row>
    <row r="30" spans="1:19" ht="18" customHeight="1">
      <c r="A30" s="3"/>
      <c r="B30" s="116"/>
      <c r="C30" s="117"/>
      <c r="D30" s="117"/>
      <c r="E30" s="118"/>
      <c r="F30" s="22"/>
      <c r="G30" s="22"/>
      <c r="H30" s="22"/>
      <c r="I30" s="22"/>
      <c r="J30" s="116"/>
      <c r="K30" s="117"/>
      <c r="L30" s="117"/>
      <c r="M30" s="117"/>
      <c r="N30" s="117"/>
      <c r="O30" s="118"/>
      <c r="P30" s="22"/>
      <c r="Q30" s="22"/>
      <c r="R30" s="22"/>
      <c r="S30" s="22"/>
    </row>
    <row r="31" spans="1:19" ht="18" customHeight="1">
      <c r="A31" s="3"/>
      <c r="B31" s="122"/>
      <c r="C31" s="123"/>
      <c r="D31" s="123"/>
      <c r="E31" s="124"/>
      <c r="F31" s="23"/>
      <c r="G31" s="23"/>
      <c r="H31" s="24"/>
      <c r="I31" s="24"/>
      <c r="J31" s="122"/>
      <c r="K31" s="123"/>
      <c r="L31" s="123"/>
      <c r="M31" s="123"/>
      <c r="N31" s="123"/>
      <c r="O31" s="124"/>
      <c r="P31" s="23"/>
      <c r="Q31" s="23"/>
      <c r="R31" s="24"/>
      <c r="S31" s="24"/>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40" t="s">
        <v>114</v>
      </c>
      <c r="B33" s="140"/>
      <c r="C33" s="140"/>
      <c r="D33" s="140"/>
      <c r="E33" s="140"/>
      <c r="F33" s="140"/>
      <c r="G33" s="140"/>
      <c r="H33" s="140"/>
      <c r="I33" s="140"/>
      <c r="J33" s="140"/>
      <c r="K33" s="140"/>
      <c r="L33" s="140"/>
      <c r="M33" s="140"/>
      <c r="N33" s="140"/>
      <c r="O33" s="140"/>
      <c r="P33" s="140"/>
      <c r="Q33" s="140"/>
      <c r="R33" s="140"/>
      <c r="S33" s="140"/>
    </row>
    <row r="34" spans="1:19" ht="18" customHeight="1">
      <c r="A34" s="140"/>
      <c r="B34" s="140"/>
      <c r="C34" s="140"/>
      <c r="D34" s="140"/>
      <c r="E34" s="140"/>
      <c r="F34" s="140"/>
      <c r="G34" s="140"/>
      <c r="H34" s="140"/>
      <c r="I34" s="140"/>
      <c r="J34" s="140"/>
      <c r="K34" s="140"/>
      <c r="L34" s="140"/>
      <c r="M34" s="140"/>
      <c r="N34" s="140"/>
      <c r="O34" s="140"/>
      <c r="P34" s="140"/>
      <c r="Q34" s="140"/>
      <c r="R34" s="140"/>
      <c r="S34" s="140"/>
    </row>
    <row r="35" spans="1:19" ht="18" customHeight="1">
      <c r="B35" s="128" t="s">
        <v>53</v>
      </c>
      <c r="C35" s="114"/>
      <c r="D35" s="114"/>
      <c r="E35" s="115"/>
      <c r="F35" s="59" t="s">
        <v>80</v>
      </c>
      <c r="G35" s="58" t="s">
        <v>84</v>
      </c>
      <c r="H35" s="20" t="s">
        <v>71</v>
      </c>
      <c r="I35" s="20" t="s">
        <v>72</v>
      </c>
      <c r="J35" s="128" t="s">
        <v>53</v>
      </c>
      <c r="K35" s="114"/>
      <c r="L35" s="114"/>
      <c r="M35" s="114"/>
      <c r="N35" s="114"/>
      <c r="O35" s="115"/>
      <c r="P35" s="59" t="s">
        <v>80</v>
      </c>
      <c r="Q35" s="58" t="s">
        <v>84</v>
      </c>
      <c r="R35" s="20" t="s">
        <v>71</v>
      </c>
      <c r="S35" s="20" t="s">
        <v>72</v>
      </c>
    </row>
    <row r="36" spans="1:19" ht="18" customHeight="1">
      <c r="B36" s="132" t="s">
        <v>130</v>
      </c>
      <c r="C36" s="133"/>
      <c r="D36" s="133"/>
      <c r="E36" s="134"/>
      <c r="F36" s="21">
        <v>2</v>
      </c>
      <c r="G36" s="21" t="s">
        <v>131</v>
      </c>
      <c r="H36" s="21" t="s">
        <v>131</v>
      </c>
      <c r="I36" s="21" t="s">
        <v>131</v>
      </c>
      <c r="J36" s="132"/>
      <c r="K36" s="133"/>
      <c r="L36" s="133"/>
      <c r="M36" s="133"/>
      <c r="N36" s="133"/>
      <c r="O36" s="134"/>
      <c r="P36" s="21"/>
      <c r="Q36" s="21"/>
      <c r="R36" s="21"/>
      <c r="S36" s="21"/>
    </row>
    <row r="37" spans="1:19" ht="18" customHeight="1">
      <c r="B37" s="116"/>
      <c r="C37" s="117"/>
      <c r="D37" s="117"/>
      <c r="E37" s="118"/>
      <c r="F37" s="22"/>
      <c r="G37" s="22"/>
      <c r="H37" s="22"/>
      <c r="I37" s="22"/>
      <c r="J37" s="116"/>
      <c r="K37" s="117"/>
      <c r="L37" s="117"/>
      <c r="M37" s="117"/>
      <c r="N37" s="117"/>
      <c r="O37" s="118"/>
      <c r="P37" s="22"/>
      <c r="Q37" s="22"/>
      <c r="R37" s="22"/>
      <c r="S37" s="22"/>
    </row>
    <row r="38" spans="1:19" ht="18" customHeight="1">
      <c r="B38" s="116"/>
      <c r="C38" s="117"/>
      <c r="D38" s="117"/>
      <c r="E38" s="118"/>
      <c r="F38" s="22"/>
      <c r="G38" s="22"/>
      <c r="H38" s="22"/>
      <c r="I38" s="22"/>
      <c r="J38" s="116"/>
      <c r="K38" s="117"/>
      <c r="L38" s="117"/>
      <c r="M38" s="117"/>
      <c r="N38" s="117"/>
      <c r="O38" s="118"/>
      <c r="P38" s="22"/>
      <c r="Q38" s="22"/>
      <c r="R38" s="22"/>
      <c r="S38" s="22"/>
    </row>
    <row r="39" spans="1:19" ht="18" customHeight="1">
      <c r="B39" s="116"/>
      <c r="C39" s="117"/>
      <c r="D39" s="117"/>
      <c r="E39" s="118"/>
      <c r="F39" s="22"/>
      <c r="G39" s="22"/>
      <c r="H39" s="22"/>
      <c r="I39" s="22"/>
      <c r="J39" s="116"/>
      <c r="K39" s="117"/>
      <c r="L39" s="117"/>
      <c r="M39" s="117"/>
      <c r="N39" s="117"/>
      <c r="O39" s="118"/>
      <c r="P39" s="22"/>
      <c r="Q39" s="22"/>
      <c r="R39" s="22"/>
      <c r="S39" s="22"/>
    </row>
    <row r="40" spans="1:19" ht="18" customHeight="1">
      <c r="B40" s="116"/>
      <c r="C40" s="117"/>
      <c r="D40" s="117"/>
      <c r="E40" s="118"/>
      <c r="F40" s="22"/>
      <c r="G40" s="22"/>
      <c r="H40" s="22"/>
      <c r="I40" s="22"/>
      <c r="J40" s="116"/>
      <c r="K40" s="117"/>
      <c r="L40" s="117"/>
      <c r="M40" s="117"/>
      <c r="N40" s="117"/>
      <c r="O40" s="118"/>
      <c r="P40" s="22"/>
      <c r="Q40" s="22"/>
      <c r="R40" s="22"/>
      <c r="S40" s="22"/>
    </row>
    <row r="41" spans="1:19" ht="18" customHeight="1">
      <c r="B41" s="116"/>
      <c r="C41" s="117"/>
      <c r="D41" s="117"/>
      <c r="E41" s="118"/>
      <c r="F41" s="22"/>
      <c r="G41" s="22"/>
      <c r="H41" s="22"/>
      <c r="I41" s="22"/>
      <c r="J41" s="116"/>
      <c r="K41" s="117"/>
      <c r="L41" s="117"/>
      <c r="M41" s="117"/>
      <c r="N41" s="117"/>
      <c r="O41" s="118"/>
      <c r="P41" s="22"/>
      <c r="Q41" s="22"/>
      <c r="R41" s="22"/>
      <c r="S41" s="22"/>
    </row>
    <row r="42" spans="1:19" ht="18" customHeight="1">
      <c r="B42" s="122"/>
      <c r="C42" s="123"/>
      <c r="D42" s="123"/>
      <c r="E42" s="124"/>
      <c r="F42" s="23"/>
      <c r="G42" s="23"/>
      <c r="H42" s="24"/>
      <c r="I42" s="24"/>
      <c r="J42" s="122"/>
      <c r="K42" s="123"/>
      <c r="L42" s="123"/>
      <c r="M42" s="123"/>
      <c r="N42" s="123"/>
      <c r="O42" s="124"/>
      <c r="P42" s="23"/>
      <c r="Q42" s="23"/>
      <c r="R42" s="24"/>
      <c r="S42" s="24"/>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40" t="s">
        <v>115</v>
      </c>
      <c r="B44" s="140"/>
      <c r="C44" s="140"/>
      <c r="D44" s="140"/>
      <c r="E44" s="140"/>
      <c r="F44" s="140"/>
      <c r="G44" s="140"/>
      <c r="H44" s="140"/>
      <c r="I44" s="140"/>
      <c r="J44" s="140"/>
      <c r="K44" s="140"/>
      <c r="L44" s="140"/>
      <c r="M44" s="140"/>
      <c r="N44" s="140"/>
      <c r="O44" s="140"/>
      <c r="P44" s="140"/>
      <c r="Q44" s="140"/>
      <c r="R44" s="140"/>
      <c r="S44" s="140"/>
    </row>
    <row r="45" spans="1:19" ht="18" customHeight="1">
      <c r="A45" s="140"/>
      <c r="B45" s="140"/>
      <c r="C45" s="140"/>
      <c r="D45" s="140"/>
      <c r="E45" s="140"/>
      <c r="F45" s="140"/>
      <c r="G45" s="140"/>
      <c r="H45" s="140"/>
      <c r="I45" s="140"/>
      <c r="J45" s="140"/>
      <c r="K45" s="140"/>
      <c r="L45" s="140"/>
      <c r="M45" s="140"/>
      <c r="N45" s="140"/>
      <c r="O45" s="140"/>
      <c r="P45" s="140"/>
      <c r="Q45" s="140"/>
      <c r="R45" s="140"/>
      <c r="S45" s="140"/>
    </row>
    <row r="46" spans="1:19" ht="18" customHeight="1">
      <c r="B46" s="128" t="s">
        <v>53</v>
      </c>
      <c r="C46" s="114"/>
      <c r="D46" s="114"/>
      <c r="E46" s="115"/>
      <c r="F46" s="59" t="s">
        <v>80</v>
      </c>
      <c r="G46" s="58" t="s">
        <v>84</v>
      </c>
      <c r="H46" s="20" t="s">
        <v>73</v>
      </c>
      <c r="I46" s="20" t="s">
        <v>74</v>
      </c>
      <c r="J46" s="128" t="s">
        <v>53</v>
      </c>
      <c r="K46" s="114"/>
      <c r="L46" s="114"/>
      <c r="M46" s="114"/>
      <c r="N46" s="114"/>
      <c r="O46" s="115"/>
      <c r="P46" s="59" t="s">
        <v>80</v>
      </c>
      <c r="Q46" s="58" t="s">
        <v>84</v>
      </c>
      <c r="R46" s="20" t="s">
        <v>73</v>
      </c>
      <c r="S46" s="20" t="s">
        <v>74</v>
      </c>
    </row>
    <row r="47" spans="1:19" ht="18" customHeight="1">
      <c r="A47" s="3"/>
      <c r="B47" s="141" t="s">
        <v>129</v>
      </c>
      <c r="C47" s="142"/>
      <c r="D47" s="142"/>
      <c r="E47" s="143"/>
      <c r="F47" s="21">
        <v>2</v>
      </c>
      <c r="G47" s="21" t="s">
        <v>131</v>
      </c>
      <c r="H47" s="21" t="s">
        <v>131</v>
      </c>
      <c r="I47" s="21" t="s">
        <v>131</v>
      </c>
      <c r="J47" s="132"/>
      <c r="K47" s="133"/>
      <c r="L47" s="133"/>
      <c r="M47" s="133"/>
      <c r="N47" s="133"/>
      <c r="O47" s="134"/>
      <c r="P47" s="21"/>
      <c r="Q47" s="21"/>
      <c r="R47" s="21"/>
      <c r="S47" s="21"/>
    </row>
    <row r="48" spans="1:19" ht="18" customHeight="1">
      <c r="A48" s="3"/>
      <c r="B48" s="116" t="s">
        <v>132</v>
      </c>
      <c r="C48" s="117"/>
      <c r="D48" s="117"/>
      <c r="E48" s="118"/>
      <c r="F48" s="22">
        <v>1</v>
      </c>
      <c r="G48" s="22"/>
      <c r="H48" s="22" t="s">
        <v>131</v>
      </c>
      <c r="I48" s="22" t="s">
        <v>131</v>
      </c>
      <c r="J48" s="116"/>
      <c r="K48" s="117"/>
      <c r="L48" s="117"/>
      <c r="M48" s="117"/>
      <c r="N48" s="117"/>
      <c r="O48" s="118"/>
      <c r="P48" s="22"/>
      <c r="Q48" s="22"/>
      <c r="R48" s="22"/>
      <c r="S48" s="22"/>
    </row>
    <row r="49" spans="1:19" ht="18" customHeight="1">
      <c r="A49" s="3"/>
      <c r="B49" s="116"/>
      <c r="C49" s="117"/>
      <c r="D49" s="117"/>
      <c r="E49" s="118"/>
      <c r="F49" s="22"/>
      <c r="G49" s="22"/>
      <c r="H49" s="22"/>
      <c r="I49" s="22"/>
      <c r="J49" s="116"/>
      <c r="K49" s="117"/>
      <c r="L49" s="117"/>
      <c r="M49" s="117"/>
      <c r="N49" s="117"/>
      <c r="O49" s="118"/>
      <c r="P49" s="22"/>
      <c r="Q49" s="22"/>
      <c r="R49" s="22"/>
      <c r="S49" s="22"/>
    </row>
    <row r="50" spans="1:19" ht="18" customHeight="1">
      <c r="A50" s="3"/>
      <c r="B50" s="116"/>
      <c r="C50" s="117"/>
      <c r="D50" s="117"/>
      <c r="E50" s="118"/>
      <c r="F50" s="22"/>
      <c r="G50" s="22"/>
      <c r="H50" s="22"/>
      <c r="I50" s="22"/>
      <c r="J50" s="116"/>
      <c r="K50" s="117"/>
      <c r="L50" s="117"/>
      <c r="M50" s="117"/>
      <c r="N50" s="117"/>
      <c r="O50" s="118"/>
      <c r="P50" s="22"/>
      <c r="Q50" s="22"/>
      <c r="R50" s="22"/>
      <c r="S50" s="22"/>
    </row>
    <row r="51" spans="1:19" ht="18" customHeight="1">
      <c r="A51" s="3"/>
      <c r="B51" s="116"/>
      <c r="C51" s="117"/>
      <c r="D51" s="117"/>
      <c r="E51" s="118"/>
      <c r="F51" s="22"/>
      <c r="G51" s="22"/>
      <c r="H51" s="22"/>
      <c r="I51" s="22"/>
      <c r="J51" s="116"/>
      <c r="K51" s="117"/>
      <c r="L51" s="117"/>
      <c r="M51" s="117"/>
      <c r="N51" s="117"/>
      <c r="O51" s="118"/>
      <c r="P51" s="22"/>
      <c r="Q51" s="22"/>
      <c r="R51" s="22"/>
      <c r="S51" s="22"/>
    </row>
    <row r="52" spans="1:19" ht="18" customHeight="1">
      <c r="A52" s="3"/>
      <c r="B52" s="116"/>
      <c r="C52" s="117"/>
      <c r="D52" s="117"/>
      <c r="E52" s="118"/>
      <c r="F52" s="22"/>
      <c r="G52" s="22"/>
      <c r="H52" s="22"/>
      <c r="I52" s="22"/>
      <c r="J52" s="116"/>
      <c r="K52" s="117"/>
      <c r="L52" s="117"/>
      <c r="M52" s="117"/>
      <c r="N52" s="117"/>
      <c r="O52" s="118"/>
      <c r="P52" s="22"/>
      <c r="Q52" s="22"/>
      <c r="R52" s="22"/>
      <c r="S52" s="22"/>
    </row>
    <row r="53" spans="1:19" ht="18" customHeight="1">
      <c r="A53" s="3"/>
      <c r="B53" s="122"/>
      <c r="C53" s="123"/>
      <c r="D53" s="123"/>
      <c r="E53" s="124"/>
      <c r="F53" s="23"/>
      <c r="G53" s="23"/>
      <c r="H53" s="24"/>
      <c r="I53" s="24"/>
      <c r="J53" s="122"/>
      <c r="K53" s="123"/>
      <c r="L53" s="123"/>
      <c r="M53" s="123"/>
      <c r="N53" s="123"/>
      <c r="O53" s="124"/>
      <c r="P53" s="23"/>
      <c r="Q53" s="23"/>
      <c r="R53" s="24"/>
      <c r="S53" s="24"/>
    </row>
    <row r="54" spans="1:19" ht="7.5" customHeight="1">
      <c r="B54" s="15"/>
      <c r="C54" s="15"/>
      <c r="D54" s="15"/>
      <c r="E54" s="15"/>
      <c r="F54" s="15"/>
      <c r="G54" s="15"/>
      <c r="H54" s="15"/>
      <c r="I54" s="15"/>
      <c r="J54" s="15"/>
      <c r="K54" s="15"/>
      <c r="L54" s="15"/>
      <c r="M54" s="15"/>
      <c r="N54" s="15"/>
      <c r="O54" s="15"/>
      <c r="P54" s="15"/>
      <c r="Q54" s="15"/>
      <c r="R54" s="15"/>
    </row>
    <row r="55" spans="1:19" ht="18" customHeight="1">
      <c r="A55" s="140" t="s">
        <v>116</v>
      </c>
      <c r="B55" s="140"/>
      <c r="C55" s="140"/>
      <c r="D55" s="140"/>
      <c r="E55" s="140"/>
      <c r="F55" s="140"/>
      <c r="G55" s="140"/>
      <c r="H55" s="140"/>
      <c r="I55" s="140"/>
      <c r="J55" s="140"/>
      <c r="K55" s="140"/>
      <c r="L55" s="140"/>
      <c r="M55" s="140"/>
      <c r="N55" s="140"/>
      <c r="O55" s="140"/>
      <c r="P55" s="140"/>
      <c r="Q55" s="140"/>
      <c r="R55" s="140"/>
      <c r="S55" s="140"/>
    </row>
    <row r="56" spans="1:19" ht="18" customHeight="1">
      <c r="A56" s="140"/>
      <c r="B56" s="140"/>
      <c r="C56" s="140"/>
      <c r="D56" s="140"/>
      <c r="E56" s="140"/>
      <c r="F56" s="140"/>
      <c r="G56" s="140"/>
      <c r="H56" s="140"/>
      <c r="I56" s="140"/>
      <c r="J56" s="140"/>
      <c r="K56" s="140"/>
      <c r="L56" s="140"/>
      <c r="M56" s="140"/>
      <c r="N56" s="140"/>
      <c r="O56" s="140"/>
      <c r="P56" s="140"/>
      <c r="Q56" s="140"/>
      <c r="R56" s="140"/>
      <c r="S56" s="140"/>
    </row>
    <row r="57" spans="1:19" ht="18" customHeight="1">
      <c r="B57" s="128" t="s">
        <v>53</v>
      </c>
      <c r="C57" s="114"/>
      <c r="D57" s="114"/>
      <c r="E57" s="115"/>
      <c r="F57" s="59" t="s">
        <v>80</v>
      </c>
      <c r="G57" s="58" t="s">
        <v>84</v>
      </c>
      <c r="H57" s="20" t="s">
        <v>58</v>
      </c>
      <c r="I57" s="20" t="s">
        <v>60</v>
      </c>
      <c r="J57" s="128" t="s">
        <v>53</v>
      </c>
      <c r="K57" s="114"/>
      <c r="L57" s="114"/>
      <c r="M57" s="114"/>
      <c r="N57" s="114"/>
      <c r="O57" s="115"/>
      <c r="P57" s="59" t="s">
        <v>80</v>
      </c>
      <c r="Q57" s="58" t="s">
        <v>84</v>
      </c>
      <c r="R57" s="20" t="s">
        <v>58</v>
      </c>
      <c r="S57" s="20" t="s">
        <v>60</v>
      </c>
    </row>
    <row r="58" spans="1:19" ht="18" customHeight="1">
      <c r="A58" s="3"/>
      <c r="B58" s="141" t="s">
        <v>129</v>
      </c>
      <c r="C58" s="142"/>
      <c r="D58" s="142"/>
      <c r="E58" s="143"/>
      <c r="F58" s="21">
        <v>2</v>
      </c>
      <c r="G58" s="21" t="s">
        <v>131</v>
      </c>
      <c r="H58" s="21" t="s">
        <v>131</v>
      </c>
      <c r="I58" s="21" t="s">
        <v>131</v>
      </c>
      <c r="J58" s="132"/>
      <c r="K58" s="133"/>
      <c r="L58" s="133"/>
      <c r="M58" s="133"/>
      <c r="N58" s="133"/>
      <c r="O58" s="134"/>
      <c r="P58" s="21"/>
      <c r="Q58" s="21"/>
      <c r="R58" s="21"/>
      <c r="S58" s="21"/>
    </row>
    <row r="59" spans="1:19" ht="18" customHeight="1">
      <c r="A59" s="3"/>
      <c r="B59" s="144" t="s">
        <v>166</v>
      </c>
      <c r="C59" s="145"/>
      <c r="D59" s="145"/>
      <c r="E59" s="146"/>
      <c r="F59" s="22">
        <v>1</v>
      </c>
      <c r="G59" s="22"/>
      <c r="H59" s="22" t="s">
        <v>131</v>
      </c>
      <c r="I59" s="22" t="s">
        <v>131</v>
      </c>
      <c r="J59" s="116"/>
      <c r="K59" s="117"/>
      <c r="L59" s="117"/>
      <c r="M59" s="117"/>
      <c r="N59" s="117"/>
      <c r="O59" s="118"/>
      <c r="P59" s="22"/>
      <c r="Q59" s="22"/>
      <c r="R59" s="22"/>
      <c r="S59" s="22"/>
    </row>
    <row r="60" spans="1:19" ht="18" customHeight="1">
      <c r="A60" s="3"/>
      <c r="B60" s="116"/>
      <c r="C60" s="117"/>
      <c r="D60" s="117"/>
      <c r="E60" s="118"/>
      <c r="F60" s="22"/>
      <c r="G60" s="22"/>
      <c r="H60" s="22"/>
      <c r="I60" s="22"/>
      <c r="J60" s="116"/>
      <c r="K60" s="117"/>
      <c r="L60" s="117"/>
      <c r="M60" s="117"/>
      <c r="N60" s="117"/>
      <c r="O60" s="118"/>
      <c r="P60" s="22"/>
      <c r="Q60" s="22"/>
      <c r="R60" s="22"/>
      <c r="S60" s="22"/>
    </row>
    <row r="61" spans="1:19" ht="18" customHeight="1">
      <c r="A61" s="3"/>
      <c r="B61" s="116"/>
      <c r="C61" s="117"/>
      <c r="D61" s="117"/>
      <c r="E61" s="118"/>
      <c r="F61" s="22"/>
      <c r="G61" s="22"/>
      <c r="H61" s="22"/>
      <c r="I61" s="22"/>
      <c r="J61" s="116"/>
      <c r="K61" s="117"/>
      <c r="L61" s="117"/>
      <c r="M61" s="117"/>
      <c r="N61" s="117"/>
      <c r="O61" s="118"/>
      <c r="P61" s="22"/>
      <c r="Q61" s="22"/>
      <c r="R61" s="22"/>
      <c r="S61" s="22"/>
    </row>
    <row r="62" spans="1:19" ht="18" customHeight="1">
      <c r="A62" s="3"/>
      <c r="B62" s="116"/>
      <c r="C62" s="117"/>
      <c r="D62" s="117"/>
      <c r="E62" s="118"/>
      <c r="F62" s="22"/>
      <c r="G62" s="22"/>
      <c r="H62" s="22"/>
      <c r="I62" s="22"/>
      <c r="J62" s="116"/>
      <c r="K62" s="117"/>
      <c r="L62" s="117"/>
      <c r="M62" s="117"/>
      <c r="N62" s="117"/>
      <c r="O62" s="118"/>
      <c r="P62" s="22"/>
      <c r="Q62" s="22"/>
      <c r="R62" s="22"/>
      <c r="S62" s="22"/>
    </row>
    <row r="63" spans="1:19" ht="18" customHeight="1">
      <c r="A63" s="3"/>
      <c r="B63" s="116"/>
      <c r="C63" s="117"/>
      <c r="D63" s="117"/>
      <c r="E63" s="118"/>
      <c r="F63" s="22"/>
      <c r="G63" s="22"/>
      <c r="H63" s="22"/>
      <c r="I63" s="22"/>
      <c r="J63" s="116"/>
      <c r="K63" s="117"/>
      <c r="L63" s="117"/>
      <c r="M63" s="117"/>
      <c r="N63" s="117"/>
      <c r="O63" s="118"/>
      <c r="P63" s="22"/>
      <c r="Q63" s="22"/>
      <c r="R63" s="22"/>
      <c r="S63" s="22"/>
    </row>
    <row r="64" spans="1:19" ht="18" customHeight="1">
      <c r="A64" s="3"/>
      <c r="B64" s="122"/>
      <c r="C64" s="123"/>
      <c r="D64" s="123"/>
      <c r="E64" s="124"/>
      <c r="F64" s="23"/>
      <c r="G64" s="23"/>
      <c r="H64" s="24"/>
      <c r="I64" s="24"/>
      <c r="J64" s="122"/>
      <c r="K64" s="123"/>
      <c r="L64" s="123"/>
      <c r="M64" s="123"/>
      <c r="N64" s="123"/>
      <c r="O64" s="124"/>
      <c r="P64" s="23"/>
      <c r="Q64" s="23"/>
      <c r="R64" s="24"/>
      <c r="S64" s="24"/>
    </row>
    <row r="65" spans="1:19" ht="7.5" customHeight="1">
      <c r="B65" s="15"/>
      <c r="C65" s="15"/>
      <c r="D65" s="15"/>
      <c r="E65" s="15"/>
      <c r="F65" s="15"/>
      <c r="G65" s="15"/>
      <c r="H65" s="15"/>
      <c r="I65" s="15"/>
      <c r="J65" s="15"/>
      <c r="K65" s="15"/>
      <c r="L65" s="15"/>
      <c r="M65" s="15"/>
      <c r="N65" s="15"/>
      <c r="O65" s="15"/>
      <c r="P65" s="15"/>
      <c r="Q65" s="15"/>
      <c r="R65" s="15"/>
    </row>
    <row r="66" spans="1:19" ht="18" customHeight="1">
      <c r="A66" s="140" t="s">
        <v>117</v>
      </c>
      <c r="B66" s="140"/>
      <c r="C66" s="140"/>
      <c r="D66" s="140"/>
      <c r="E66" s="140"/>
      <c r="F66" s="140"/>
      <c r="G66" s="140"/>
      <c r="H66" s="140"/>
      <c r="I66" s="140"/>
      <c r="J66" s="140"/>
      <c r="K66" s="140"/>
      <c r="L66" s="140"/>
      <c r="M66" s="140"/>
      <c r="N66" s="140"/>
      <c r="O66" s="140"/>
      <c r="P66" s="140"/>
      <c r="Q66" s="140"/>
      <c r="R66" s="140"/>
      <c r="S66" s="140"/>
    </row>
    <row r="67" spans="1:19" ht="18" customHeight="1">
      <c r="A67" s="140"/>
      <c r="B67" s="140"/>
      <c r="C67" s="140"/>
      <c r="D67" s="140"/>
      <c r="E67" s="140"/>
      <c r="F67" s="140"/>
      <c r="G67" s="140"/>
      <c r="H67" s="140"/>
      <c r="I67" s="140"/>
      <c r="J67" s="140"/>
      <c r="K67" s="140"/>
      <c r="L67" s="140"/>
      <c r="M67" s="140"/>
      <c r="N67" s="140"/>
      <c r="O67" s="140"/>
      <c r="P67" s="140"/>
      <c r="Q67" s="140"/>
      <c r="R67" s="140"/>
      <c r="S67" s="140"/>
    </row>
    <row r="68" spans="1:19" ht="18" customHeight="1">
      <c r="B68" s="128" t="s">
        <v>53</v>
      </c>
      <c r="C68" s="114"/>
      <c r="D68" s="114"/>
      <c r="E68" s="59" t="s">
        <v>80</v>
      </c>
      <c r="F68" s="58" t="s">
        <v>84</v>
      </c>
      <c r="G68" s="20" t="s">
        <v>101</v>
      </c>
      <c r="H68" s="20" t="s">
        <v>75</v>
      </c>
      <c r="I68" s="20" t="s">
        <v>76</v>
      </c>
      <c r="J68" s="128" t="s">
        <v>53</v>
      </c>
      <c r="K68" s="114"/>
      <c r="L68" s="114"/>
      <c r="M68" s="114"/>
      <c r="N68" s="115"/>
      <c r="O68" s="59" t="s">
        <v>80</v>
      </c>
      <c r="P68" s="58" t="s">
        <v>84</v>
      </c>
      <c r="Q68" s="20" t="s">
        <v>101</v>
      </c>
      <c r="R68" s="20" t="s">
        <v>75</v>
      </c>
      <c r="S68" s="20" t="s">
        <v>76</v>
      </c>
    </row>
    <row r="69" spans="1:19" ht="18" customHeight="1">
      <c r="A69" s="3"/>
      <c r="B69" s="132" t="s">
        <v>129</v>
      </c>
      <c r="C69" s="133"/>
      <c r="D69" s="133"/>
      <c r="E69" s="21">
        <v>2</v>
      </c>
      <c r="F69" s="21" t="s">
        <v>131</v>
      </c>
      <c r="G69" s="21" t="s">
        <v>131</v>
      </c>
      <c r="H69" s="21" t="s">
        <v>131</v>
      </c>
      <c r="I69" s="21" t="s">
        <v>131</v>
      </c>
      <c r="J69" s="132"/>
      <c r="K69" s="133"/>
      <c r="L69" s="133"/>
      <c r="M69" s="133"/>
      <c r="N69" s="134"/>
      <c r="O69" s="21"/>
      <c r="P69" s="21"/>
      <c r="Q69" s="21"/>
      <c r="R69" s="21"/>
      <c r="S69" s="21"/>
    </row>
    <row r="70" spans="1:19" ht="18" customHeight="1">
      <c r="A70" s="3"/>
      <c r="B70" s="116" t="s">
        <v>132</v>
      </c>
      <c r="C70" s="117"/>
      <c r="D70" s="117"/>
      <c r="E70" s="22">
        <v>1</v>
      </c>
      <c r="F70" s="22"/>
      <c r="G70" s="22" t="s">
        <v>131</v>
      </c>
      <c r="H70" s="22" t="s">
        <v>131</v>
      </c>
      <c r="I70" s="22" t="s">
        <v>131</v>
      </c>
      <c r="J70" s="116"/>
      <c r="K70" s="117"/>
      <c r="L70" s="117"/>
      <c r="M70" s="117"/>
      <c r="N70" s="118"/>
      <c r="O70" s="22"/>
      <c r="P70" s="22"/>
      <c r="Q70" s="22"/>
      <c r="R70" s="22"/>
      <c r="S70" s="22"/>
    </row>
    <row r="71" spans="1:19" ht="18" customHeight="1">
      <c r="A71" s="3"/>
      <c r="B71" s="138" t="s">
        <v>166</v>
      </c>
      <c r="C71" s="139"/>
      <c r="D71" s="139"/>
      <c r="E71" s="22">
        <v>1</v>
      </c>
      <c r="F71" s="22"/>
      <c r="G71" s="22" t="s">
        <v>131</v>
      </c>
      <c r="H71" s="22" t="s">
        <v>131</v>
      </c>
      <c r="I71" s="22" t="s">
        <v>131</v>
      </c>
      <c r="J71" s="116"/>
      <c r="K71" s="117"/>
      <c r="L71" s="117"/>
      <c r="M71" s="117"/>
      <c r="N71" s="118"/>
      <c r="O71" s="22"/>
      <c r="P71" s="22"/>
      <c r="Q71" s="22"/>
      <c r="R71" s="22"/>
      <c r="S71" s="22"/>
    </row>
    <row r="72" spans="1:19" ht="18" customHeight="1">
      <c r="A72" s="3"/>
      <c r="B72" s="116"/>
      <c r="C72" s="117"/>
      <c r="D72" s="117"/>
      <c r="E72" s="22"/>
      <c r="F72" s="22"/>
      <c r="G72" s="22"/>
      <c r="H72" s="22"/>
      <c r="I72" s="22"/>
      <c r="J72" s="116"/>
      <c r="K72" s="117"/>
      <c r="L72" s="117"/>
      <c r="M72" s="117"/>
      <c r="N72" s="118"/>
      <c r="O72" s="22"/>
      <c r="P72" s="22"/>
      <c r="Q72" s="22"/>
      <c r="R72" s="22"/>
      <c r="S72" s="22"/>
    </row>
    <row r="73" spans="1:19" ht="18" customHeight="1">
      <c r="A73" s="3"/>
      <c r="B73" s="116"/>
      <c r="C73" s="117"/>
      <c r="D73" s="117"/>
      <c r="E73" s="22"/>
      <c r="F73" s="22"/>
      <c r="G73" s="22"/>
      <c r="H73" s="22"/>
      <c r="I73" s="22"/>
      <c r="J73" s="116"/>
      <c r="K73" s="117"/>
      <c r="L73" s="117"/>
      <c r="M73" s="117"/>
      <c r="N73" s="118"/>
      <c r="O73" s="22"/>
      <c r="P73" s="22"/>
      <c r="Q73" s="22"/>
      <c r="R73" s="22"/>
      <c r="S73" s="22"/>
    </row>
    <row r="74" spans="1:19" ht="18" customHeight="1">
      <c r="A74" s="3"/>
      <c r="B74" s="116"/>
      <c r="C74" s="117"/>
      <c r="D74" s="117"/>
      <c r="E74" s="22"/>
      <c r="F74" s="22"/>
      <c r="G74" s="22"/>
      <c r="H74" s="22"/>
      <c r="I74" s="22"/>
      <c r="J74" s="116"/>
      <c r="K74" s="117"/>
      <c r="L74" s="117"/>
      <c r="M74" s="117"/>
      <c r="N74" s="118"/>
      <c r="O74" s="22"/>
      <c r="P74" s="22"/>
      <c r="Q74" s="22"/>
      <c r="R74" s="22"/>
      <c r="S74" s="22"/>
    </row>
    <row r="75" spans="1:19" ht="18" customHeight="1">
      <c r="A75" s="3"/>
      <c r="B75" s="122"/>
      <c r="C75" s="123"/>
      <c r="D75" s="123"/>
      <c r="E75" s="23"/>
      <c r="F75" s="23"/>
      <c r="G75" s="24"/>
      <c r="H75" s="24"/>
      <c r="I75" s="24"/>
      <c r="J75" s="122"/>
      <c r="K75" s="123"/>
      <c r="L75" s="123"/>
      <c r="M75" s="123"/>
      <c r="N75" s="124"/>
      <c r="O75" s="23"/>
      <c r="P75" s="23"/>
      <c r="Q75" s="24"/>
      <c r="R75" s="24"/>
      <c r="S75" s="24"/>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118</v>
      </c>
      <c r="H77" s="3"/>
      <c r="I77" s="3"/>
      <c r="J77" s="3"/>
      <c r="K77" s="3"/>
      <c r="L77" s="3"/>
      <c r="M77" s="3"/>
      <c r="N77" s="3"/>
      <c r="O77" s="3"/>
      <c r="P77" s="3"/>
      <c r="Q77" s="3"/>
      <c r="R77" s="3"/>
      <c r="S77" s="3"/>
    </row>
    <row r="78" spans="1:19" ht="18" customHeight="1">
      <c r="B78" s="128" t="s">
        <v>53</v>
      </c>
      <c r="C78" s="114"/>
      <c r="D78" s="114"/>
      <c r="E78" s="115"/>
      <c r="F78" s="128" t="s">
        <v>82</v>
      </c>
      <c r="G78" s="114"/>
      <c r="H78" s="114"/>
      <c r="I78" s="115"/>
      <c r="J78" s="129" t="s">
        <v>53</v>
      </c>
      <c r="K78" s="130"/>
      <c r="L78" s="130"/>
      <c r="M78" s="130"/>
      <c r="N78" s="130"/>
      <c r="O78" s="131"/>
      <c r="P78" s="128" t="s">
        <v>82</v>
      </c>
      <c r="Q78" s="114"/>
      <c r="R78" s="114"/>
      <c r="S78" s="115"/>
    </row>
    <row r="79" spans="1:19" ht="18" customHeight="1">
      <c r="A79" s="3"/>
      <c r="B79" s="132"/>
      <c r="C79" s="133"/>
      <c r="D79" s="133"/>
      <c r="E79" s="134"/>
      <c r="F79" s="135"/>
      <c r="G79" s="136"/>
      <c r="H79" s="136"/>
      <c r="I79" s="137"/>
      <c r="J79" s="132"/>
      <c r="K79" s="133"/>
      <c r="L79" s="133"/>
      <c r="M79" s="133"/>
      <c r="N79" s="133"/>
      <c r="O79" s="134"/>
      <c r="P79" s="135"/>
      <c r="Q79" s="136"/>
      <c r="R79" s="136"/>
      <c r="S79" s="137"/>
    </row>
    <row r="80" spans="1:19" ht="18" customHeight="1">
      <c r="A80" s="3"/>
      <c r="B80" s="116"/>
      <c r="C80" s="117"/>
      <c r="D80" s="117"/>
      <c r="E80" s="118"/>
      <c r="F80" s="119"/>
      <c r="G80" s="120"/>
      <c r="H80" s="120"/>
      <c r="I80" s="121"/>
      <c r="J80" s="116"/>
      <c r="K80" s="117"/>
      <c r="L80" s="117"/>
      <c r="M80" s="117"/>
      <c r="N80" s="117"/>
      <c r="O80" s="118"/>
      <c r="P80" s="119"/>
      <c r="Q80" s="120"/>
      <c r="R80" s="120"/>
      <c r="S80" s="121"/>
    </row>
    <row r="81" spans="1:19" ht="18" customHeight="1">
      <c r="A81" s="3"/>
      <c r="B81" s="116"/>
      <c r="C81" s="117"/>
      <c r="D81" s="117"/>
      <c r="E81" s="118"/>
      <c r="F81" s="119"/>
      <c r="G81" s="120"/>
      <c r="H81" s="120"/>
      <c r="I81" s="121"/>
      <c r="J81" s="116"/>
      <c r="K81" s="117"/>
      <c r="L81" s="117"/>
      <c r="M81" s="117"/>
      <c r="N81" s="117"/>
      <c r="O81" s="118"/>
      <c r="P81" s="119"/>
      <c r="Q81" s="120"/>
      <c r="R81" s="120"/>
      <c r="S81" s="121"/>
    </row>
    <row r="82" spans="1:19" ht="18" customHeight="1">
      <c r="A82" s="3"/>
      <c r="B82" s="116"/>
      <c r="C82" s="117"/>
      <c r="D82" s="117"/>
      <c r="E82" s="118"/>
      <c r="F82" s="119"/>
      <c r="G82" s="120"/>
      <c r="H82" s="120"/>
      <c r="I82" s="121"/>
      <c r="J82" s="116"/>
      <c r="K82" s="117"/>
      <c r="L82" s="117"/>
      <c r="M82" s="117"/>
      <c r="N82" s="117"/>
      <c r="O82" s="118"/>
      <c r="P82" s="119"/>
      <c r="Q82" s="120"/>
      <c r="R82" s="120"/>
      <c r="S82" s="121"/>
    </row>
    <row r="83" spans="1:19" ht="18" customHeight="1">
      <c r="A83" s="3"/>
      <c r="B83" s="116"/>
      <c r="C83" s="117"/>
      <c r="D83" s="117"/>
      <c r="E83" s="118"/>
      <c r="F83" s="119"/>
      <c r="G83" s="120"/>
      <c r="H83" s="120"/>
      <c r="I83" s="121"/>
      <c r="J83" s="116"/>
      <c r="K83" s="117"/>
      <c r="L83" s="117"/>
      <c r="M83" s="117"/>
      <c r="N83" s="117"/>
      <c r="O83" s="118"/>
      <c r="P83" s="119"/>
      <c r="Q83" s="120"/>
      <c r="R83" s="120"/>
      <c r="S83" s="121"/>
    </row>
    <row r="84" spans="1:19" ht="18" customHeight="1">
      <c r="A84" s="3"/>
      <c r="B84" s="116"/>
      <c r="C84" s="117"/>
      <c r="D84" s="117"/>
      <c r="E84" s="118"/>
      <c r="F84" s="119"/>
      <c r="G84" s="120"/>
      <c r="H84" s="120"/>
      <c r="I84" s="121"/>
      <c r="J84" s="116"/>
      <c r="K84" s="117"/>
      <c r="L84" s="117"/>
      <c r="M84" s="117"/>
      <c r="N84" s="117"/>
      <c r="O84" s="118"/>
      <c r="P84" s="119"/>
      <c r="Q84" s="120"/>
      <c r="R84" s="120"/>
      <c r="S84" s="121"/>
    </row>
    <row r="85" spans="1:19" ht="18" customHeight="1">
      <c r="A85" s="3"/>
      <c r="B85" s="122"/>
      <c r="C85" s="123"/>
      <c r="D85" s="123"/>
      <c r="E85" s="124"/>
      <c r="F85" s="125"/>
      <c r="G85" s="126"/>
      <c r="H85" s="126"/>
      <c r="I85" s="127"/>
      <c r="J85" s="122"/>
      <c r="K85" s="123"/>
      <c r="L85" s="123"/>
      <c r="M85" s="123"/>
      <c r="N85" s="123"/>
      <c r="O85" s="124"/>
      <c r="P85" s="125"/>
      <c r="Q85" s="126"/>
      <c r="R85" s="126"/>
      <c r="S85" s="127"/>
    </row>
    <row r="86" spans="1:19" ht="18" customHeight="1">
      <c r="A86" s="3"/>
      <c r="B86" s="6"/>
      <c r="C86" s="6"/>
      <c r="D86" s="6"/>
      <c r="E86" s="6"/>
      <c r="F86" s="25"/>
      <c r="G86" s="25"/>
      <c r="H86" s="25"/>
      <c r="I86" s="25"/>
      <c r="J86" s="6"/>
      <c r="K86" s="6"/>
      <c r="L86" s="6"/>
      <c r="M86" s="6"/>
      <c r="N86" s="6"/>
      <c r="O86" s="6"/>
      <c r="P86" s="25"/>
      <c r="Q86" s="25"/>
      <c r="R86" s="25"/>
      <c r="S86" s="25"/>
    </row>
    <row r="87" spans="1:19" ht="18.75" customHeight="1">
      <c r="A87" s="1" t="s">
        <v>119</v>
      </c>
    </row>
    <row r="88" spans="1:19" ht="18.75" customHeight="1">
      <c r="B88" s="112" t="s">
        <v>54</v>
      </c>
      <c r="C88" s="113"/>
      <c r="D88" s="114" t="s">
        <v>55</v>
      </c>
      <c r="E88" s="114"/>
      <c r="F88" s="114"/>
      <c r="G88" s="114"/>
      <c r="H88" s="114"/>
      <c r="I88" s="114"/>
      <c r="J88" s="114"/>
      <c r="K88" s="114"/>
      <c r="L88" s="114"/>
      <c r="M88" s="114"/>
      <c r="N88" s="114"/>
      <c r="O88" s="114"/>
      <c r="P88" s="114"/>
      <c r="Q88" s="114"/>
      <c r="R88" s="114"/>
      <c r="S88" s="115"/>
    </row>
    <row r="89" spans="1:19" ht="97.5" customHeight="1">
      <c r="B89" s="91" t="s">
        <v>61</v>
      </c>
      <c r="C89" s="26" t="s">
        <v>56</v>
      </c>
      <c r="D89" s="110" t="s">
        <v>169</v>
      </c>
      <c r="E89" s="110"/>
      <c r="F89" s="110"/>
      <c r="G89" s="110"/>
      <c r="H89" s="110"/>
      <c r="I89" s="110"/>
      <c r="J89" s="110"/>
      <c r="K89" s="110"/>
      <c r="L89" s="110"/>
      <c r="M89" s="110"/>
      <c r="N89" s="110"/>
      <c r="O89" s="110"/>
      <c r="P89" s="110"/>
      <c r="Q89" s="110"/>
      <c r="R89" s="110"/>
      <c r="S89" s="111"/>
    </row>
    <row r="90" spans="1:19" ht="97.5" customHeight="1">
      <c r="B90" s="92"/>
      <c r="C90" s="27" t="s">
        <v>77</v>
      </c>
      <c r="D90" s="110" t="s">
        <v>170</v>
      </c>
      <c r="E90" s="110"/>
      <c r="F90" s="110"/>
      <c r="G90" s="110"/>
      <c r="H90" s="110"/>
      <c r="I90" s="110"/>
      <c r="J90" s="110"/>
      <c r="K90" s="110"/>
      <c r="L90" s="110"/>
      <c r="M90" s="110"/>
      <c r="N90" s="110"/>
      <c r="O90" s="110"/>
      <c r="P90" s="110"/>
      <c r="Q90" s="110"/>
      <c r="R90" s="110"/>
      <c r="S90" s="111"/>
    </row>
    <row r="91" spans="1:19" ht="97.5" customHeight="1">
      <c r="B91" s="91" t="s">
        <v>62</v>
      </c>
      <c r="C91" s="28" t="s">
        <v>71</v>
      </c>
      <c r="D91" s="110" t="s">
        <v>171</v>
      </c>
      <c r="E91" s="110"/>
      <c r="F91" s="110"/>
      <c r="G91" s="110"/>
      <c r="H91" s="110"/>
      <c r="I91" s="110"/>
      <c r="J91" s="110"/>
      <c r="K91" s="110"/>
      <c r="L91" s="110"/>
      <c r="M91" s="110"/>
      <c r="N91" s="110"/>
      <c r="O91" s="110"/>
      <c r="P91" s="110"/>
      <c r="Q91" s="110"/>
      <c r="R91" s="110"/>
      <c r="S91" s="111"/>
    </row>
    <row r="92" spans="1:19" ht="97.5" customHeight="1">
      <c r="B92" s="93"/>
      <c r="C92" s="29" t="s">
        <v>72</v>
      </c>
      <c r="D92" s="110" t="s">
        <v>172</v>
      </c>
      <c r="E92" s="110"/>
      <c r="F92" s="110"/>
      <c r="G92" s="110"/>
      <c r="H92" s="110"/>
      <c r="I92" s="110"/>
      <c r="J92" s="110"/>
      <c r="K92" s="110"/>
      <c r="L92" s="110"/>
      <c r="M92" s="110"/>
      <c r="N92" s="110"/>
      <c r="O92" s="110"/>
      <c r="P92" s="110"/>
      <c r="Q92" s="110"/>
      <c r="R92" s="110"/>
      <c r="S92" s="111"/>
    </row>
    <row r="93" spans="1:19" ht="97.5" customHeight="1">
      <c r="B93" s="91" t="s">
        <v>63</v>
      </c>
      <c r="C93" s="28" t="s">
        <v>73</v>
      </c>
      <c r="D93" s="104" t="s">
        <v>177</v>
      </c>
      <c r="E93" s="104"/>
      <c r="F93" s="104"/>
      <c r="G93" s="104"/>
      <c r="H93" s="104"/>
      <c r="I93" s="104"/>
      <c r="J93" s="104"/>
      <c r="K93" s="104"/>
      <c r="L93" s="104"/>
      <c r="M93" s="104"/>
      <c r="N93" s="104"/>
      <c r="O93" s="104"/>
      <c r="P93" s="104"/>
      <c r="Q93" s="104"/>
      <c r="R93" s="104"/>
      <c r="S93" s="105"/>
    </row>
    <row r="94" spans="1:19" ht="97.5" customHeight="1">
      <c r="A94" s="85"/>
      <c r="B94" s="93"/>
      <c r="C94" s="30" t="s">
        <v>74</v>
      </c>
      <c r="D94" s="106" t="s">
        <v>178</v>
      </c>
      <c r="E94" s="106"/>
      <c r="F94" s="106"/>
      <c r="G94" s="106"/>
      <c r="H94" s="106"/>
      <c r="I94" s="106"/>
      <c r="J94" s="106"/>
      <c r="K94" s="106"/>
      <c r="L94" s="106"/>
      <c r="M94" s="106"/>
      <c r="N94" s="106"/>
      <c r="O94" s="106"/>
      <c r="P94" s="106"/>
      <c r="Q94" s="106"/>
      <c r="R94" s="106"/>
      <c r="S94" s="107"/>
    </row>
    <row r="95" spans="1:19" ht="120" customHeight="1">
      <c r="B95" s="92" t="s">
        <v>78</v>
      </c>
      <c r="C95" s="84" t="s">
        <v>58</v>
      </c>
      <c r="D95" s="108" t="s">
        <v>174</v>
      </c>
      <c r="E95" s="108"/>
      <c r="F95" s="108"/>
      <c r="G95" s="108"/>
      <c r="H95" s="108"/>
      <c r="I95" s="108"/>
      <c r="J95" s="108"/>
      <c r="K95" s="108"/>
      <c r="L95" s="108"/>
      <c r="M95" s="108"/>
      <c r="N95" s="108"/>
      <c r="O95" s="108"/>
      <c r="P95" s="108"/>
      <c r="Q95" s="108"/>
      <c r="R95" s="108"/>
      <c r="S95" s="109"/>
    </row>
    <row r="96" spans="1:19" ht="97.5" customHeight="1">
      <c r="B96" s="93"/>
      <c r="C96" s="29" t="s">
        <v>60</v>
      </c>
      <c r="D96" s="110" t="s">
        <v>173</v>
      </c>
      <c r="E96" s="110"/>
      <c r="F96" s="110"/>
      <c r="G96" s="110"/>
      <c r="H96" s="110"/>
      <c r="I96" s="110"/>
      <c r="J96" s="110"/>
      <c r="K96" s="110"/>
      <c r="L96" s="110"/>
      <c r="M96" s="110"/>
      <c r="N96" s="110"/>
      <c r="O96" s="110"/>
      <c r="P96" s="110"/>
      <c r="Q96" s="110"/>
      <c r="R96" s="110"/>
      <c r="S96" s="111"/>
    </row>
    <row r="97" spans="1:19" ht="97.5" customHeight="1">
      <c r="B97" s="91" t="s">
        <v>79</v>
      </c>
      <c r="C97" s="28" t="s">
        <v>57</v>
      </c>
      <c r="D97" s="94" t="s">
        <v>175</v>
      </c>
      <c r="E97" s="94"/>
      <c r="F97" s="94"/>
      <c r="G97" s="94"/>
      <c r="H97" s="94"/>
      <c r="I97" s="94"/>
      <c r="J97" s="94"/>
      <c r="K97" s="94"/>
      <c r="L97" s="94"/>
      <c r="M97" s="94"/>
      <c r="N97" s="94"/>
      <c r="O97" s="94"/>
      <c r="P97" s="94"/>
      <c r="Q97" s="94"/>
      <c r="R97" s="94"/>
      <c r="S97" s="95"/>
    </row>
    <row r="98" spans="1:19" ht="118.5" customHeight="1">
      <c r="B98" s="92"/>
      <c r="C98" s="31" t="s">
        <v>75</v>
      </c>
      <c r="D98" s="96" t="s">
        <v>176</v>
      </c>
      <c r="E98" s="97"/>
      <c r="F98" s="97"/>
      <c r="G98" s="97"/>
      <c r="H98" s="97"/>
      <c r="I98" s="97"/>
      <c r="J98" s="97"/>
      <c r="K98" s="97"/>
      <c r="L98" s="97"/>
      <c r="M98" s="97"/>
      <c r="N98" s="97"/>
      <c r="O98" s="97"/>
      <c r="P98" s="97"/>
      <c r="Q98" s="97"/>
      <c r="R98" s="97"/>
      <c r="S98" s="98"/>
    </row>
    <row r="99" spans="1:19" ht="97.5" customHeight="1">
      <c r="B99" s="93"/>
      <c r="C99" s="30" t="s">
        <v>76</v>
      </c>
      <c r="D99" s="99" t="s">
        <v>182</v>
      </c>
      <c r="E99" s="99"/>
      <c r="F99" s="99"/>
      <c r="G99" s="99"/>
      <c r="H99" s="99"/>
      <c r="I99" s="99"/>
      <c r="J99" s="99"/>
      <c r="K99" s="99"/>
      <c r="L99" s="99"/>
      <c r="M99" s="99"/>
      <c r="N99" s="99"/>
      <c r="O99" s="99"/>
      <c r="P99" s="99"/>
      <c r="Q99" s="99"/>
      <c r="R99" s="99"/>
      <c r="S99" s="100"/>
    </row>
    <row r="100" spans="1:19" ht="6" customHeight="1"/>
    <row r="101" spans="1:19" ht="18.75" customHeight="1">
      <c r="A101" s="1" t="s">
        <v>120</v>
      </c>
    </row>
    <row r="102" spans="1:19" ht="81.75" customHeight="1">
      <c r="B102" s="101" t="s">
        <v>150</v>
      </c>
      <c r="C102" s="102"/>
      <c r="D102" s="102"/>
      <c r="E102" s="102"/>
      <c r="F102" s="102"/>
      <c r="G102" s="102"/>
      <c r="H102" s="102"/>
      <c r="I102" s="102"/>
      <c r="J102" s="102"/>
      <c r="K102" s="102"/>
      <c r="L102" s="102"/>
      <c r="M102" s="102"/>
      <c r="N102" s="102"/>
      <c r="O102" s="102"/>
      <c r="P102" s="102"/>
      <c r="Q102" s="102"/>
      <c r="R102" s="102"/>
      <c r="S102" s="103"/>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P69:S75 Q25:S31 G36:I42 Q36:S42 G47:I53 Q47:S53 G25:I31 Q58:S64 G58:I64 F69:I75">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R2" sqref="R2"/>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59" t="s">
        <v>192</v>
      </c>
      <c r="S1" s="159"/>
      <c r="T1" s="2" t="s">
        <v>109</v>
      </c>
    </row>
    <row r="2" spans="1:22" ht="18.75" customHeight="1">
      <c r="B2" s="32" t="s">
        <v>108</v>
      </c>
      <c r="C2" s="128" t="s">
        <v>127</v>
      </c>
      <c r="D2" s="114"/>
      <c r="E2" s="114"/>
      <c r="F2" s="114"/>
      <c r="G2" s="114"/>
      <c r="H2" s="114"/>
      <c r="I2" s="115"/>
      <c r="J2" s="33"/>
      <c r="K2" s="6"/>
      <c r="L2" s="6"/>
      <c r="M2" s="6"/>
      <c r="N2" s="6"/>
      <c r="O2" s="6"/>
      <c r="P2" s="6"/>
      <c r="Q2" s="6"/>
      <c r="R2" s="6"/>
      <c r="S2" s="6"/>
    </row>
    <row r="3" spans="1:22" ht="18.75" customHeight="1">
      <c r="B3" s="32" t="s">
        <v>102</v>
      </c>
      <c r="C3" s="128" t="s">
        <v>128</v>
      </c>
      <c r="D3" s="114"/>
      <c r="E3" s="114"/>
      <c r="F3" s="114"/>
      <c r="G3" s="114"/>
      <c r="H3" s="114"/>
      <c r="I3" s="115"/>
      <c r="J3" s="33"/>
      <c r="K3" s="6"/>
      <c r="L3" s="6"/>
      <c r="M3" s="6"/>
      <c r="N3" s="6"/>
      <c r="O3" s="6"/>
      <c r="P3" s="6"/>
      <c r="Q3" s="6"/>
      <c r="R3" s="6"/>
      <c r="S3" s="6"/>
    </row>
    <row r="4" spans="1:22" ht="15" customHeight="1">
      <c r="K4" s="33"/>
      <c r="L4" s="35"/>
      <c r="M4" s="35"/>
      <c r="N4" s="35"/>
      <c r="O4" s="35"/>
      <c r="P4" s="35"/>
      <c r="Q4" s="35"/>
      <c r="R4" s="35"/>
      <c r="S4" s="35"/>
    </row>
    <row r="5" spans="1:22" ht="18" customHeight="1">
      <c r="A5" s="160" t="s">
        <v>38</v>
      </c>
      <c r="B5" s="160"/>
      <c r="C5" s="160"/>
      <c r="D5" s="160"/>
      <c r="E5" s="160"/>
      <c r="F5" s="160"/>
      <c r="G5" s="160"/>
      <c r="H5" s="160"/>
      <c r="I5" s="160"/>
      <c r="J5" s="160"/>
      <c r="K5" s="160"/>
      <c r="L5" s="160"/>
      <c r="M5" s="160"/>
      <c r="N5" s="160"/>
      <c r="O5" s="160"/>
      <c r="P5" s="160"/>
      <c r="Q5" s="160"/>
      <c r="R5" s="160"/>
      <c r="S5" s="160"/>
    </row>
    <row r="6" spans="1:22" ht="15" customHeight="1">
      <c r="B6" s="3"/>
      <c r="C6" s="3"/>
      <c r="D6" s="3"/>
      <c r="E6" s="3"/>
      <c r="F6" s="3"/>
      <c r="G6" s="3"/>
      <c r="H6" s="3"/>
      <c r="I6" s="3"/>
      <c r="J6" s="3"/>
      <c r="K6" s="3"/>
      <c r="L6" s="3"/>
      <c r="M6" s="3"/>
      <c r="N6" s="3"/>
      <c r="O6" s="3"/>
      <c r="P6" s="3"/>
      <c r="Q6" s="3"/>
      <c r="R6" s="3"/>
      <c r="S6" s="3"/>
    </row>
    <row r="7" spans="1:22" ht="18" customHeight="1">
      <c r="A7" s="1" t="s">
        <v>124</v>
      </c>
      <c r="C7" s="3"/>
      <c r="J7" s="36" t="s">
        <v>107</v>
      </c>
      <c r="K7" s="161" t="s">
        <v>126</v>
      </c>
      <c r="L7" s="162"/>
      <c r="M7" s="162"/>
      <c r="N7" s="162"/>
      <c r="O7" s="162"/>
      <c r="P7" s="162"/>
      <c r="Q7" s="162"/>
      <c r="R7" s="162"/>
      <c r="S7" s="163"/>
    </row>
    <row r="8" spans="1:22" ht="6" customHeight="1">
      <c r="B8" s="3"/>
      <c r="C8" s="3"/>
      <c r="D8" s="3"/>
      <c r="E8" s="3"/>
      <c r="F8" s="3"/>
      <c r="G8" s="3"/>
      <c r="H8" s="3"/>
      <c r="I8" s="3"/>
      <c r="J8" s="3"/>
      <c r="K8" s="10"/>
      <c r="L8" s="3"/>
      <c r="M8" s="3"/>
      <c r="N8" s="3"/>
      <c r="O8" s="3"/>
      <c r="P8" s="3"/>
      <c r="Q8" s="3"/>
      <c r="R8" s="3"/>
      <c r="S8" s="3"/>
    </row>
    <row r="9" spans="1:22" ht="18" customHeight="1">
      <c r="B9" s="164" t="s">
        <v>168</v>
      </c>
      <c r="C9" s="110"/>
      <c r="D9" s="110"/>
      <c r="E9" s="110"/>
      <c r="F9" s="110"/>
      <c r="G9" s="110"/>
      <c r="H9" s="110"/>
      <c r="I9" s="110"/>
      <c r="J9" s="110"/>
      <c r="K9" s="110"/>
      <c r="L9" s="110"/>
      <c r="M9" s="110"/>
      <c r="N9" s="110"/>
      <c r="O9" s="110"/>
      <c r="P9" s="110"/>
      <c r="Q9" s="110"/>
      <c r="R9" s="110"/>
      <c r="S9" s="111"/>
    </row>
    <row r="10" spans="1:22" ht="18" customHeight="1">
      <c r="B10" s="165"/>
      <c r="C10" s="166"/>
      <c r="D10" s="166"/>
      <c r="E10" s="166"/>
      <c r="F10" s="166"/>
      <c r="G10" s="166"/>
      <c r="H10" s="166"/>
      <c r="I10" s="166"/>
      <c r="J10" s="166"/>
      <c r="K10" s="166"/>
      <c r="L10" s="166"/>
      <c r="M10" s="166"/>
      <c r="N10" s="166"/>
      <c r="O10" s="166"/>
      <c r="P10" s="166"/>
      <c r="Q10" s="166"/>
      <c r="R10" s="166"/>
      <c r="S10" s="167"/>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3"/>
      <c r="E12" s="33"/>
      <c r="F12" s="33"/>
      <c r="G12" s="33"/>
      <c r="H12" s="33"/>
      <c r="I12" s="33"/>
      <c r="J12" s="33"/>
      <c r="K12" s="37"/>
      <c r="L12" s="37"/>
      <c r="M12" s="37"/>
      <c r="N12" s="37"/>
      <c r="O12" s="37"/>
      <c r="P12" s="37"/>
      <c r="Q12" s="37"/>
      <c r="R12" s="37"/>
      <c r="S12" s="37"/>
    </row>
    <row r="13" spans="1:22" ht="18" customHeight="1">
      <c r="B13" s="147" t="s">
        <v>151</v>
      </c>
      <c r="C13" s="148"/>
      <c r="D13" s="148"/>
      <c r="E13" s="148"/>
      <c r="F13" s="148"/>
      <c r="G13" s="148"/>
      <c r="H13" s="148"/>
      <c r="I13" s="148"/>
      <c r="J13" s="148"/>
      <c r="K13" s="148"/>
      <c r="L13" s="148"/>
      <c r="M13" s="148"/>
      <c r="N13" s="148"/>
      <c r="O13" s="148"/>
      <c r="P13" s="148"/>
      <c r="Q13" s="148"/>
      <c r="R13" s="148"/>
      <c r="S13" s="149"/>
      <c r="V13" s="1" t="s">
        <v>103</v>
      </c>
    </row>
    <row r="14" spans="1:22" ht="18" customHeight="1">
      <c r="B14" s="150"/>
      <c r="C14" s="151"/>
      <c r="D14" s="151"/>
      <c r="E14" s="151"/>
      <c r="F14" s="151"/>
      <c r="G14" s="151"/>
      <c r="H14" s="151"/>
      <c r="I14" s="151"/>
      <c r="J14" s="151"/>
      <c r="K14" s="151"/>
      <c r="L14" s="151"/>
      <c r="M14" s="151"/>
      <c r="N14" s="151"/>
      <c r="O14" s="151"/>
      <c r="P14" s="151"/>
      <c r="Q14" s="151"/>
      <c r="R14" s="151"/>
      <c r="S14" s="152"/>
      <c r="V14" s="1" t="s">
        <v>110</v>
      </c>
    </row>
    <row r="15" spans="1:22" ht="18" customHeight="1">
      <c r="B15" s="150"/>
      <c r="C15" s="151"/>
      <c r="D15" s="151"/>
      <c r="E15" s="151"/>
      <c r="F15" s="151"/>
      <c r="G15" s="151"/>
      <c r="H15" s="151"/>
      <c r="I15" s="151"/>
      <c r="J15" s="151"/>
      <c r="K15" s="151"/>
      <c r="L15" s="151"/>
      <c r="M15" s="151"/>
      <c r="N15" s="151"/>
      <c r="O15" s="151"/>
      <c r="P15" s="151"/>
      <c r="Q15" s="151"/>
      <c r="R15" s="151"/>
      <c r="S15" s="152"/>
      <c r="V15" s="1" t="s">
        <v>123</v>
      </c>
    </row>
    <row r="16" spans="1:22" ht="18" customHeight="1">
      <c r="B16" s="150"/>
      <c r="C16" s="151"/>
      <c r="D16" s="151"/>
      <c r="E16" s="151"/>
      <c r="F16" s="151"/>
      <c r="G16" s="151"/>
      <c r="H16" s="151"/>
      <c r="I16" s="151"/>
      <c r="J16" s="151"/>
      <c r="K16" s="151"/>
      <c r="L16" s="151"/>
      <c r="M16" s="151"/>
      <c r="N16" s="151"/>
      <c r="O16" s="151"/>
      <c r="P16" s="151"/>
      <c r="Q16" s="151"/>
      <c r="R16" s="151"/>
      <c r="S16" s="152"/>
      <c r="V16" s="1" t="s">
        <v>125</v>
      </c>
    </row>
    <row r="17" spans="1:19" ht="18" customHeight="1">
      <c r="B17" s="150"/>
      <c r="C17" s="151"/>
      <c r="D17" s="151"/>
      <c r="E17" s="151"/>
      <c r="F17" s="151"/>
      <c r="G17" s="151"/>
      <c r="H17" s="151"/>
      <c r="I17" s="151"/>
      <c r="J17" s="151"/>
      <c r="K17" s="151"/>
      <c r="L17" s="151"/>
      <c r="M17" s="151"/>
      <c r="N17" s="151"/>
      <c r="O17" s="151"/>
      <c r="P17" s="151"/>
      <c r="Q17" s="151"/>
      <c r="R17" s="151"/>
      <c r="S17" s="152"/>
    </row>
    <row r="18" spans="1:19" ht="18" customHeight="1">
      <c r="B18" s="153"/>
      <c r="C18" s="154"/>
      <c r="D18" s="154"/>
      <c r="E18" s="154"/>
      <c r="F18" s="154"/>
      <c r="G18" s="154"/>
      <c r="H18" s="154"/>
      <c r="I18" s="154"/>
      <c r="J18" s="154"/>
      <c r="K18" s="154"/>
      <c r="L18" s="154"/>
      <c r="M18" s="154"/>
      <c r="N18" s="154"/>
      <c r="O18" s="154"/>
      <c r="P18" s="154"/>
      <c r="Q18" s="154"/>
      <c r="R18" s="154"/>
      <c r="S18" s="155"/>
    </row>
    <row r="19" spans="1:19" ht="7.5" customHeight="1">
      <c r="B19" s="3"/>
      <c r="C19" s="3"/>
      <c r="D19" s="3"/>
      <c r="E19" s="3"/>
      <c r="F19" s="3"/>
      <c r="G19" s="3"/>
      <c r="H19" s="3"/>
      <c r="I19" s="3"/>
      <c r="J19" s="3"/>
      <c r="K19" s="3"/>
      <c r="L19" s="3"/>
      <c r="M19" s="3"/>
      <c r="N19" s="3"/>
      <c r="O19" s="3"/>
      <c r="P19" s="3"/>
      <c r="Q19" s="3"/>
      <c r="R19" s="3"/>
      <c r="S19" s="3"/>
    </row>
    <row r="20" spans="1:19" ht="20.100000000000001" customHeight="1">
      <c r="B20" s="1" t="s">
        <v>112</v>
      </c>
      <c r="C20" s="128">
        <v>4</v>
      </c>
      <c r="D20" s="115"/>
      <c r="E20" s="38" t="s">
        <v>95</v>
      </c>
      <c r="G20" s="10"/>
      <c r="H20" s="3"/>
      <c r="I20" s="3"/>
      <c r="J20" s="33" t="s">
        <v>121</v>
      </c>
      <c r="K20" s="156" t="s">
        <v>125</v>
      </c>
      <c r="L20" s="157"/>
      <c r="M20" s="157"/>
      <c r="N20" s="157"/>
      <c r="O20" s="157"/>
      <c r="P20" s="157"/>
      <c r="Q20" s="157"/>
      <c r="R20" s="157"/>
      <c r="S20" s="158"/>
    </row>
    <row r="21" spans="1:19" ht="7.5" customHeight="1">
      <c r="B21" s="3"/>
      <c r="C21" s="3"/>
      <c r="D21" s="3"/>
      <c r="E21" s="3"/>
      <c r="F21" s="3"/>
      <c r="G21" s="3"/>
      <c r="H21" s="3"/>
      <c r="I21" s="3"/>
      <c r="J21" s="3"/>
      <c r="K21" s="3"/>
      <c r="L21" s="3"/>
      <c r="M21" s="3"/>
      <c r="N21" s="3"/>
      <c r="O21" s="3"/>
      <c r="P21" s="3"/>
      <c r="Q21" s="3"/>
      <c r="R21" s="3"/>
      <c r="S21" s="3"/>
    </row>
    <row r="22" spans="1:19" ht="18" customHeight="1">
      <c r="A22" s="140" t="s">
        <v>113</v>
      </c>
      <c r="B22" s="140"/>
      <c r="C22" s="140"/>
      <c r="D22" s="140"/>
      <c r="E22" s="140"/>
      <c r="F22" s="140"/>
      <c r="G22" s="140"/>
      <c r="H22" s="140"/>
      <c r="I22" s="140"/>
      <c r="J22" s="140"/>
      <c r="K22" s="140"/>
      <c r="L22" s="140"/>
      <c r="M22" s="140"/>
      <c r="N22" s="140"/>
      <c r="O22" s="140"/>
      <c r="P22" s="140"/>
      <c r="Q22" s="140"/>
      <c r="R22" s="140"/>
      <c r="S22" s="140"/>
    </row>
    <row r="23" spans="1:19" ht="18" customHeight="1">
      <c r="A23" s="140"/>
      <c r="B23" s="140"/>
      <c r="C23" s="140"/>
      <c r="D23" s="140"/>
      <c r="E23" s="140"/>
      <c r="F23" s="140"/>
      <c r="G23" s="140"/>
      <c r="H23" s="140"/>
      <c r="I23" s="140"/>
      <c r="J23" s="140"/>
      <c r="K23" s="140"/>
      <c r="L23" s="140"/>
      <c r="M23" s="140"/>
      <c r="N23" s="140"/>
      <c r="O23" s="140"/>
      <c r="P23" s="140"/>
      <c r="Q23" s="140"/>
      <c r="R23" s="140"/>
      <c r="S23" s="140"/>
    </row>
    <row r="24" spans="1:19" ht="18" customHeight="1">
      <c r="B24" s="128" t="s">
        <v>53</v>
      </c>
      <c r="C24" s="114"/>
      <c r="D24" s="114"/>
      <c r="E24" s="115"/>
      <c r="F24" s="59" t="s">
        <v>80</v>
      </c>
      <c r="G24" s="58" t="s">
        <v>84</v>
      </c>
      <c r="H24" s="20" t="s">
        <v>56</v>
      </c>
      <c r="I24" s="20" t="s">
        <v>59</v>
      </c>
      <c r="J24" s="128" t="s">
        <v>53</v>
      </c>
      <c r="K24" s="114"/>
      <c r="L24" s="114"/>
      <c r="M24" s="114"/>
      <c r="N24" s="114"/>
      <c r="O24" s="115"/>
      <c r="P24" s="59" t="s">
        <v>80</v>
      </c>
      <c r="Q24" s="58" t="s">
        <v>84</v>
      </c>
      <c r="R24" s="20" t="s">
        <v>56</v>
      </c>
      <c r="S24" s="20" t="s">
        <v>59</v>
      </c>
    </row>
    <row r="25" spans="1:19" ht="18" customHeight="1">
      <c r="B25" s="132" t="s">
        <v>133</v>
      </c>
      <c r="C25" s="133"/>
      <c r="D25" s="133"/>
      <c r="E25" s="134"/>
      <c r="F25" s="21">
        <v>2</v>
      </c>
      <c r="G25" s="21" t="s">
        <v>131</v>
      </c>
      <c r="H25" s="21" t="s">
        <v>131</v>
      </c>
      <c r="I25" s="21" t="s">
        <v>131</v>
      </c>
      <c r="J25" s="132"/>
      <c r="K25" s="133"/>
      <c r="L25" s="133"/>
      <c r="M25" s="133"/>
      <c r="N25" s="133"/>
      <c r="O25" s="134"/>
      <c r="P25" s="21"/>
      <c r="Q25" s="21"/>
      <c r="R25" s="21"/>
      <c r="S25" s="21"/>
    </row>
    <row r="26" spans="1:19" ht="18" customHeight="1">
      <c r="B26" s="116"/>
      <c r="C26" s="117"/>
      <c r="D26" s="117"/>
      <c r="E26" s="118"/>
      <c r="F26" s="22"/>
      <c r="G26" s="22"/>
      <c r="H26" s="22"/>
      <c r="I26" s="22"/>
      <c r="J26" s="116"/>
      <c r="K26" s="117"/>
      <c r="L26" s="117"/>
      <c r="M26" s="117"/>
      <c r="N26" s="117"/>
      <c r="O26" s="118"/>
      <c r="P26" s="22"/>
      <c r="Q26" s="22"/>
      <c r="R26" s="22"/>
      <c r="S26" s="22"/>
    </row>
    <row r="27" spans="1:19" ht="18" customHeight="1">
      <c r="B27" s="116"/>
      <c r="C27" s="117"/>
      <c r="D27" s="117"/>
      <c r="E27" s="118"/>
      <c r="F27" s="22"/>
      <c r="G27" s="22"/>
      <c r="H27" s="22"/>
      <c r="I27" s="22"/>
      <c r="J27" s="116"/>
      <c r="K27" s="117"/>
      <c r="L27" s="117"/>
      <c r="M27" s="117"/>
      <c r="N27" s="117"/>
      <c r="O27" s="118"/>
      <c r="P27" s="22"/>
      <c r="Q27" s="22"/>
      <c r="R27" s="22"/>
      <c r="S27" s="22"/>
    </row>
    <row r="28" spans="1:19" ht="18" customHeight="1">
      <c r="B28" s="116"/>
      <c r="C28" s="117"/>
      <c r="D28" s="117"/>
      <c r="E28" s="118"/>
      <c r="F28" s="22"/>
      <c r="G28" s="22"/>
      <c r="H28" s="22"/>
      <c r="I28" s="22"/>
      <c r="J28" s="116"/>
      <c r="K28" s="117"/>
      <c r="L28" s="117"/>
      <c r="M28" s="117"/>
      <c r="N28" s="117"/>
      <c r="O28" s="118"/>
      <c r="P28" s="22"/>
      <c r="Q28" s="22"/>
      <c r="R28" s="22"/>
      <c r="S28" s="22"/>
    </row>
    <row r="29" spans="1:19" ht="18" customHeight="1">
      <c r="B29" s="116"/>
      <c r="C29" s="117"/>
      <c r="D29" s="117"/>
      <c r="E29" s="118"/>
      <c r="F29" s="22"/>
      <c r="G29" s="22"/>
      <c r="H29" s="22"/>
      <c r="I29" s="22"/>
      <c r="J29" s="116"/>
      <c r="K29" s="117"/>
      <c r="L29" s="117"/>
      <c r="M29" s="117"/>
      <c r="N29" s="117"/>
      <c r="O29" s="118"/>
      <c r="P29" s="22"/>
      <c r="Q29" s="22"/>
      <c r="R29" s="22"/>
      <c r="S29" s="22"/>
    </row>
    <row r="30" spans="1:19" ht="18" customHeight="1">
      <c r="A30" s="3"/>
      <c r="B30" s="116"/>
      <c r="C30" s="117"/>
      <c r="D30" s="117"/>
      <c r="E30" s="118"/>
      <c r="F30" s="22"/>
      <c r="G30" s="22"/>
      <c r="H30" s="22"/>
      <c r="I30" s="22"/>
      <c r="J30" s="116"/>
      <c r="K30" s="117"/>
      <c r="L30" s="117"/>
      <c r="M30" s="117"/>
      <c r="N30" s="117"/>
      <c r="O30" s="118"/>
      <c r="P30" s="22"/>
      <c r="Q30" s="22"/>
      <c r="R30" s="22"/>
      <c r="S30" s="22"/>
    </row>
    <row r="31" spans="1:19" ht="18" customHeight="1">
      <c r="A31" s="3"/>
      <c r="B31" s="122"/>
      <c r="C31" s="123"/>
      <c r="D31" s="123"/>
      <c r="E31" s="124"/>
      <c r="F31" s="23"/>
      <c r="G31" s="23"/>
      <c r="H31" s="24"/>
      <c r="I31" s="24"/>
      <c r="J31" s="122"/>
      <c r="K31" s="123"/>
      <c r="L31" s="123"/>
      <c r="M31" s="123"/>
      <c r="N31" s="123"/>
      <c r="O31" s="124"/>
      <c r="P31" s="23"/>
      <c r="Q31" s="23"/>
      <c r="R31" s="24"/>
      <c r="S31" s="24"/>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40" t="s">
        <v>114</v>
      </c>
      <c r="B33" s="140"/>
      <c r="C33" s="140"/>
      <c r="D33" s="140"/>
      <c r="E33" s="140"/>
      <c r="F33" s="140"/>
      <c r="G33" s="140"/>
      <c r="H33" s="140"/>
      <c r="I33" s="140"/>
      <c r="J33" s="140"/>
      <c r="K33" s="140"/>
      <c r="L33" s="140"/>
      <c r="M33" s="140"/>
      <c r="N33" s="140"/>
      <c r="O33" s="140"/>
      <c r="P33" s="140"/>
      <c r="Q33" s="140"/>
      <c r="R33" s="140"/>
      <c r="S33" s="140"/>
    </row>
    <row r="34" spans="1:19" ht="18" customHeight="1">
      <c r="A34" s="140"/>
      <c r="B34" s="140"/>
      <c r="C34" s="140"/>
      <c r="D34" s="140"/>
      <c r="E34" s="140"/>
      <c r="F34" s="140"/>
      <c r="G34" s="140"/>
      <c r="H34" s="140"/>
      <c r="I34" s="140"/>
      <c r="J34" s="140"/>
      <c r="K34" s="140"/>
      <c r="L34" s="140"/>
      <c r="M34" s="140"/>
      <c r="N34" s="140"/>
      <c r="O34" s="140"/>
      <c r="P34" s="140"/>
      <c r="Q34" s="140"/>
      <c r="R34" s="140"/>
      <c r="S34" s="140"/>
    </row>
    <row r="35" spans="1:19" ht="18" customHeight="1">
      <c r="B35" s="128" t="s">
        <v>53</v>
      </c>
      <c r="C35" s="114"/>
      <c r="D35" s="114"/>
      <c r="E35" s="115"/>
      <c r="F35" s="59" t="s">
        <v>80</v>
      </c>
      <c r="G35" s="58" t="s">
        <v>84</v>
      </c>
      <c r="H35" s="20" t="s">
        <v>71</v>
      </c>
      <c r="I35" s="20" t="s">
        <v>72</v>
      </c>
      <c r="J35" s="128" t="s">
        <v>53</v>
      </c>
      <c r="K35" s="114"/>
      <c r="L35" s="114"/>
      <c r="M35" s="114"/>
      <c r="N35" s="114"/>
      <c r="O35" s="115"/>
      <c r="P35" s="59" t="s">
        <v>80</v>
      </c>
      <c r="Q35" s="58" t="s">
        <v>84</v>
      </c>
      <c r="R35" s="20" t="s">
        <v>71</v>
      </c>
      <c r="S35" s="20" t="s">
        <v>72</v>
      </c>
    </row>
    <row r="36" spans="1:19" ht="18" customHeight="1">
      <c r="B36" s="132" t="s">
        <v>133</v>
      </c>
      <c r="C36" s="133"/>
      <c r="D36" s="133"/>
      <c r="E36" s="134"/>
      <c r="F36" s="21">
        <v>2</v>
      </c>
      <c r="G36" s="21" t="s">
        <v>131</v>
      </c>
      <c r="H36" s="21" t="s">
        <v>131</v>
      </c>
      <c r="I36" s="21" t="s">
        <v>131</v>
      </c>
      <c r="J36" s="132"/>
      <c r="K36" s="133"/>
      <c r="L36" s="133"/>
      <c r="M36" s="133"/>
      <c r="N36" s="133"/>
      <c r="O36" s="134"/>
      <c r="P36" s="21"/>
      <c r="Q36" s="21"/>
      <c r="R36" s="21"/>
      <c r="S36" s="21"/>
    </row>
    <row r="37" spans="1:19" ht="18" customHeight="1">
      <c r="B37" s="116"/>
      <c r="C37" s="117"/>
      <c r="D37" s="117"/>
      <c r="E37" s="118"/>
      <c r="F37" s="22"/>
      <c r="G37" s="22"/>
      <c r="H37" s="22"/>
      <c r="I37" s="22"/>
      <c r="J37" s="116"/>
      <c r="K37" s="117"/>
      <c r="L37" s="117"/>
      <c r="M37" s="117"/>
      <c r="N37" s="117"/>
      <c r="O37" s="118"/>
      <c r="P37" s="22"/>
      <c r="Q37" s="22"/>
      <c r="R37" s="22"/>
      <c r="S37" s="22"/>
    </row>
    <row r="38" spans="1:19" ht="18" customHeight="1">
      <c r="B38" s="116"/>
      <c r="C38" s="117"/>
      <c r="D38" s="117"/>
      <c r="E38" s="118"/>
      <c r="F38" s="22"/>
      <c r="G38" s="22"/>
      <c r="H38" s="22"/>
      <c r="I38" s="22"/>
      <c r="J38" s="116"/>
      <c r="K38" s="117"/>
      <c r="L38" s="117"/>
      <c r="M38" s="117"/>
      <c r="N38" s="117"/>
      <c r="O38" s="118"/>
      <c r="P38" s="22"/>
      <c r="Q38" s="22"/>
      <c r="R38" s="22"/>
      <c r="S38" s="22"/>
    </row>
    <row r="39" spans="1:19" ht="18" customHeight="1">
      <c r="B39" s="116"/>
      <c r="C39" s="117"/>
      <c r="D39" s="117"/>
      <c r="E39" s="118"/>
      <c r="F39" s="22"/>
      <c r="G39" s="22"/>
      <c r="H39" s="22"/>
      <c r="I39" s="22"/>
      <c r="J39" s="116"/>
      <c r="K39" s="117"/>
      <c r="L39" s="117"/>
      <c r="M39" s="117"/>
      <c r="N39" s="117"/>
      <c r="O39" s="118"/>
      <c r="P39" s="22"/>
      <c r="Q39" s="22"/>
      <c r="R39" s="22"/>
      <c r="S39" s="22"/>
    </row>
    <row r="40" spans="1:19" ht="18" customHeight="1">
      <c r="B40" s="116"/>
      <c r="C40" s="117"/>
      <c r="D40" s="117"/>
      <c r="E40" s="118"/>
      <c r="F40" s="22"/>
      <c r="G40" s="22"/>
      <c r="H40" s="22"/>
      <c r="I40" s="22"/>
      <c r="J40" s="116"/>
      <c r="K40" s="117"/>
      <c r="L40" s="117"/>
      <c r="M40" s="117"/>
      <c r="N40" s="117"/>
      <c r="O40" s="118"/>
      <c r="P40" s="22"/>
      <c r="Q40" s="22"/>
      <c r="R40" s="22"/>
      <c r="S40" s="22"/>
    </row>
    <row r="41" spans="1:19" ht="18" customHeight="1">
      <c r="B41" s="116"/>
      <c r="C41" s="117"/>
      <c r="D41" s="117"/>
      <c r="E41" s="118"/>
      <c r="F41" s="22"/>
      <c r="G41" s="22"/>
      <c r="H41" s="22"/>
      <c r="I41" s="22"/>
      <c r="J41" s="116"/>
      <c r="K41" s="117"/>
      <c r="L41" s="117"/>
      <c r="M41" s="117"/>
      <c r="N41" s="117"/>
      <c r="O41" s="118"/>
      <c r="P41" s="22"/>
      <c r="Q41" s="22"/>
      <c r="R41" s="22"/>
      <c r="S41" s="22"/>
    </row>
    <row r="42" spans="1:19" ht="18" customHeight="1">
      <c r="B42" s="122"/>
      <c r="C42" s="123"/>
      <c r="D42" s="123"/>
      <c r="E42" s="124"/>
      <c r="F42" s="23"/>
      <c r="G42" s="23"/>
      <c r="H42" s="24"/>
      <c r="I42" s="24"/>
      <c r="J42" s="122"/>
      <c r="K42" s="123"/>
      <c r="L42" s="123"/>
      <c r="M42" s="123"/>
      <c r="N42" s="123"/>
      <c r="O42" s="124"/>
      <c r="P42" s="23"/>
      <c r="Q42" s="23"/>
      <c r="R42" s="24"/>
      <c r="S42" s="24"/>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40" t="s">
        <v>115</v>
      </c>
      <c r="B44" s="140"/>
      <c r="C44" s="140"/>
      <c r="D44" s="140"/>
      <c r="E44" s="140"/>
      <c r="F44" s="140"/>
      <c r="G44" s="140"/>
      <c r="H44" s="140"/>
      <c r="I44" s="140"/>
      <c r="J44" s="140"/>
      <c r="K44" s="140"/>
      <c r="L44" s="140"/>
      <c r="M44" s="140"/>
      <c r="N44" s="140"/>
      <c r="O44" s="140"/>
      <c r="P44" s="140"/>
      <c r="Q44" s="140"/>
      <c r="R44" s="140"/>
      <c r="S44" s="140"/>
    </row>
    <row r="45" spans="1:19" ht="18" customHeight="1">
      <c r="A45" s="140"/>
      <c r="B45" s="140"/>
      <c r="C45" s="140"/>
      <c r="D45" s="140"/>
      <c r="E45" s="140"/>
      <c r="F45" s="140"/>
      <c r="G45" s="140"/>
      <c r="H45" s="140"/>
      <c r="I45" s="140"/>
      <c r="J45" s="140"/>
      <c r="K45" s="140"/>
      <c r="L45" s="140"/>
      <c r="M45" s="140"/>
      <c r="N45" s="140"/>
      <c r="O45" s="140"/>
      <c r="P45" s="140"/>
      <c r="Q45" s="140"/>
      <c r="R45" s="140"/>
      <c r="S45" s="140"/>
    </row>
    <row r="46" spans="1:19" ht="18" customHeight="1">
      <c r="B46" s="128" t="s">
        <v>53</v>
      </c>
      <c r="C46" s="114"/>
      <c r="D46" s="114"/>
      <c r="E46" s="115"/>
      <c r="F46" s="59" t="s">
        <v>80</v>
      </c>
      <c r="G46" s="58" t="s">
        <v>84</v>
      </c>
      <c r="H46" s="20" t="s">
        <v>73</v>
      </c>
      <c r="I46" s="20" t="s">
        <v>74</v>
      </c>
      <c r="J46" s="128" t="s">
        <v>53</v>
      </c>
      <c r="K46" s="114"/>
      <c r="L46" s="114"/>
      <c r="M46" s="114"/>
      <c r="N46" s="114"/>
      <c r="O46" s="115"/>
      <c r="P46" s="59" t="s">
        <v>80</v>
      </c>
      <c r="Q46" s="58" t="s">
        <v>84</v>
      </c>
      <c r="R46" s="20" t="s">
        <v>73</v>
      </c>
      <c r="S46" s="20" t="s">
        <v>74</v>
      </c>
    </row>
    <row r="47" spans="1:19" ht="18" customHeight="1">
      <c r="A47" s="3"/>
      <c r="B47" s="132" t="s">
        <v>133</v>
      </c>
      <c r="C47" s="133"/>
      <c r="D47" s="133"/>
      <c r="E47" s="134"/>
      <c r="F47" s="21">
        <v>2</v>
      </c>
      <c r="G47" s="21" t="s">
        <v>131</v>
      </c>
      <c r="H47" s="21" t="s">
        <v>131</v>
      </c>
      <c r="I47" s="21" t="s">
        <v>131</v>
      </c>
      <c r="J47" s="132"/>
      <c r="K47" s="133"/>
      <c r="L47" s="133"/>
      <c r="M47" s="133"/>
      <c r="N47" s="133"/>
      <c r="O47" s="134"/>
      <c r="P47" s="21"/>
      <c r="Q47" s="21"/>
      <c r="R47" s="21"/>
      <c r="S47" s="21"/>
    </row>
    <row r="48" spans="1:19" ht="18" customHeight="1">
      <c r="A48" s="3"/>
      <c r="B48" s="116"/>
      <c r="C48" s="117"/>
      <c r="D48" s="117"/>
      <c r="E48" s="118"/>
      <c r="F48" s="22"/>
      <c r="G48" s="22"/>
      <c r="H48" s="22"/>
      <c r="I48" s="22"/>
      <c r="J48" s="116"/>
      <c r="K48" s="117"/>
      <c r="L48" s="117"/>
      <c r="M48" s="117"/>
      <c r="N48" s="117"/>
      <c r="O48" s="118"/>
      <c r="P48" s="22"/>
      <c r="Q48" s="22"/>
      <c r="R48" s="22"/>
      <c r="S48" s="22"/>
    </row>
    <row r="49" spans="1:19" ht="18" customHeight="1">
      <c r="A49" s="3"/>
      <c r="B49" s="116"/>
      <c r="C49" s="117"/>
      <c r="D49" s="117"/>
      <c r="E49" s="118"/>
      <c r="F49" s="22"/>
      <c r="G49" s="22"/>
      <c r="H49" s="22"/>
      <c r="I49" s="22"/>
      <c r="J49" s="116"/>
      <c r="K49" s="117"/>
      <c r="L49" s="117"/>
      <c r="M49" s="117"/>
      <c r="N49" s="117"/>
      <c r="O49" s="118"/>
      <c r="P49" s="22"/>
      <c r="Q49" s="22"/>
      <c r="R49" s="22"/>
      <c r="S49" s="22"/>
    </row>
    <row r="50" spans="1:19" ht="18" customHeight="1">
      <c r="A50" s="3"/>
      <c r="B50" s="116"/>
      <c r="C50" s="117"/>
      <c r="D50" s="117"/>
      <c r="E50" s="118"/>
      <c r="F50" s="22"/>
      <c r="G50" s="22"/>
      <c r="H50" s="22"/>
      <c r="I50" s="22"/>
      <c r="J50" s="116"/>
      <c r="K50" s="117"/>
      <c r="L50" s="117"/>
      <c r="M50" s="117"/>
      <c r="N50" s="117"/>
      <c r="O50" s="118"/>
      <c r="P50" s="22"/>
      <c r="Q50" s="22"/>
      <c r="R50" s="22"/>
      <c r="S50" s="22"/>
    </row>
    <row r="51" spans="1:19" ht="18" customHeight="1">
      <c r="A51" s="3"/>
      <c r="B51" s="116"/>
      <c r="C51" s="117"/>
      <c r="D51" s="117"/>
      <c r="E51" s="118"/>
      <c r="F51" s="22"/>
      <c r="G51" s="22"/>
      <c r="H51" s="22"/>
      <c r="I51" s="22"/>
      <c r="J51" s="116"/>
      <c r="K51" s="117"/>
      <c r="L51" s="117"/>
      <c r="M51" s="117"/>
      <c r="N51" s="117"/>
      <c r="O51" s="118"/>
      <c r="P51" s="22"/>
      <c r="Q51" s="22"/>
      <c r="R51" s="22"/>
      <c r="S51" s="22"/>
    </row>
    <row r="52" spans="1:19" ht="18" customHeight="1">
      <c r="A52" s="3"/>
      <c r="B52" s="116"/>
      <c r="C52" s="117"/>
      <c r="D52" s="117"/>
      <c r="E52" s="118"/>
      <c r="F52" s="22"/>
      <c r="G52" s="22"/>
      <c r="H52" s="22"/>
      <c r="I52" s="22"/>
      <c r="J52" s="116"/>
      <c r="K52" s="117"/>
      <c r="L52" s="117"/>
      <c r="M52" s="117"/>
      <c r="N52" s="117"/>
      <c r="O52" s="118"/>
      <c r="P52" s="22"/>
      <c r="Q52" s="22"/>
      <c r="R52" s="22"/>
      <c r="S52" s="22"/>
    </row>
    <row r="53" spans="1:19" ht="18" customHeight="1">
      <c r="A53" s="3"/>
      <c r="B53" s="122"/>
      <c r="C53" s="123"/>
      <c r="D53" s="123"/>
      <c r="E53" s="124"/>
      <c r="F53" s="23"/>
      <c r="G53" s="23"/>
      <c r="H53" s="24"/>
      <c r="I53" s="24"/>
      <c r="J53" s="122"/>
      <c r="K53" s="123"/>
      <c r="L53" s="123"/>
      <c r="M53" s="123"/>
      <c r="N53" s="123"/>
      <c r="O53" s="124"/>
      <c r="P53" s="23"/>
      <c r="Q53" s="23"/>
      <c r="R53" s="24"/>
      <c r="S53" s="24"/>
    </row>
    <row r="54" spans="1:19" ht="7.5" customHeight="1">
      <c r="B54" s="15"/>
      <c r="C54" s="15"/>
      <c r="D54" s="15"/>
      <c r="E54" s="15"/>
      <c r="F54" s="15"/>
      <c r="G54" s="15"/>
      <c r="H54" s="15"/>
      <c r="I54" s="15"/>
      <c r="J54" s="15"/>
      <c r="K54" s="15"/>
      <c r="L54" s="15"/>
      <c r="M54" s="15"/>
      <c r="N54" s="15"/>
      <c r="O54" s="15"/>
      <c r="P54" s="15"/>
      <c r="Q54" s="15"/>
      <c r="R54" s="15"/>
    </row>
    <row r="55" spans="1:19" ht="18" customHeight="1">
      <c r="A55" s="140" t="s">
        <v>116</v>
      </c>
      <c r="B55" s="140"/>
      <c r="C55" s="140"/>
      <c r="D55" s="140"/>
      <c r="E55" s="140"/>
      <c r="F55" s="140"/>
      <c r="G55" s="140"/>
      <c r="H55" s="140"/>
      <c r="I55" s="140"/>
      <c r="J55" s="140"/>
      <c r="K55" s="140"/>
      <c r="L55" s="140"/>
      <c r="M55" s="140"/>
      <c r="N55" s="140"/>
      <c r="O55" s="140"/>
      <c r="P55" s="140"/>
      <c r="Q55" s="140"/>
      <c r="R55" s="140"/>
      <c r="S55" s="140"/>
    </row>
    <row r="56" spans="1:19" ht="18" customHeight="1">
      <c r="A56" s="140"/>
      <c r="B56" s="140"/>
      <c r="C56" s="140"/>
      <c r="D56" s="140"/>
      <c r="E56" s="140"/>
      <c r="F56" s="140"/>
      <c r="G56" s="140"/>
      <c r="H56" s="140"/>
      <c r="I56" s="140"/>
      <c r="J56" s="140"/>
      <c r="K56" s="140"/>
      <c r="L56" s="140"/>
      <c r="M56" s="140"/>
      <c r="N56" s="140"/>
      <c r="O56" s="140"/>
      <c r="P56" s="140"/>
      <c r="Q56" s="140"/>
      <c r="R56" s="140"/>
      <c r="S56" s="140"/>
    </row>
    <row r="57" spans="1:19" ht="18" customHeight="1">
      <c r="B57" s="128" t="s">
        <v>53</v>
      </c>
      <c r="C57" s="114"/>
      <c r="D57" s="114"/>
      <c r="E57" s="115"/>
      <c r="F57" s="59" t="s">
        <v>80</v>
      </c>
      <c r="G57" s="58" t="s">
        <v>84</v>
      </c>
      <c r="H57" s="20" t="s">
        <v>58</v>
      </c>
      <c r="I57" s="20" t="s">
        <v>60</v>
      </c>
      <c r="J57" s="128" t="s">
        <v>53</v>
      </c>
      <c r="K57" s="114"/>
      <c r="L57" s="114"/>
      <c r="M57" s="114"/>
      <c r="N57" s="114"/>
      <c r="O57" s="115"/>
      <c r="P57" s="59" t="s">
        <v>80</v>
      </c>
      <c r="Q57" s="58" t="s">
        <v>84</v>
      </c>
      <c r="R57" s="20" t="s">
        <v>58</v>
      </c>
      <c r="S57" s="20" t="s">
        <v>60</v>
      </c>
    </row>
    <row r="58" spans="1:19" ht="18" customHeight="1">
      <c r="A58" s="3"/>
      <c r="B58" s="132" t="s">
        <v>144</v>
      </c>
      <c r="C58" s="133"/>
      <c r="D58" s="133"/>
      <c r="E58" s="134"/>
      <c r="F58" s="21">
        <v>2</v>
      </c>
      <c r="G58" s="21" t="s">
        <v>131</v>
      </c>
      <c r="H58" s="21" t="s">
        <v>131</v>
      </c>
      <c r="I58" s="21" t="s">
        <v>131</v>
      </c>
      <c r="J58" s="132"/>
      <c r="K58" s="133"/>
      <c r="L58" s="133"/>
      <c r="M58" s="133"/>
      <c r="N58" s="133"/>
      <c r="O58" s="134"/>
      <c r="P58" s="21"/>
      <c r="Q58" s="21"/>
      <c r="R58" s="21"/>
      <c r="S58" s="21"/>
    </row>
    <row r="59" spans="1:19" ht="18" customHeight="1">
      <c r="A59" s="3"/>
      <c r="B59" s="144" t="s">
        <v>134</v>
      </c>
      <c r="C59" s="145"/>
      <c r="D59" s="145"/>
      <c r="E59" s="146"/>
      <c r="F59" s="22">
        <v>2</v>
      </c>
      <c r="G59" s="22"/>
      <c r="H59" s="22" t="s">
        <v>131</v>
      </c>
      <c r="I59" s="22" t="s">
        <v>131</v>
      </c>
      <c r="J59" s="116"/>
      <c r="K59" s="117"/>
      <c r="L59" s="117"/>
      <c r="M59" s="117"/>
      <c r="N59" s="117"/>
      <c r="O59" s="118"/>
      <c r="P59" s="22"/>
      <c r="Q59" s="22"/>
      <c r="R59" s="22"/>
      <c r="S59" s="22"/>
    </row>
    <row r="60" spans="1:19" ht="18" customHeight="1">
      <c r="A60" s="3"/>
      <c r="B60" s="116"/>
      <c r="C60" s="117"/>
      <c r="D60" s="117"/>
      <c r="E60" s="118"/>
      <c r="F60" s="22"/>
      <c r="G60" s="22"/>
      <c r="H60" s="22"/>
      <c r="I60" s="22"/>
      <c r="J60" s="116"/>
      <c r="K60" s="117"/>
      <c r="L60" s="117"/>
      <c r="M60" s="117"/>
      <c r="N60" s="117"/>
      <c r="O60" s="118"/>
      <c r="P60" s="22"/>
      <c r="Q60" s="22"/>
      <c r="R60" s="22"/>
      <c r="S60" s="22"/>
    </row>
    <row r="61" spans="1:19" ht="18" customHeight="1">
      <c r="A61" s="3"/>
      <c r="B61" s="116"/>
      <c r="C61" s="117"/>
      <c r="D61" s="117"/>
      <c r="E61" s="118"/>
      <c r="F61" s="22"/>
      <c r="G61" s="22"/>
      <c r="H61" s="22"/>
      <c r="I61" s="22"/>
      <c r="J61" s="116"/>
      <c r="K61" s="117"/>
      <c r="L61" s="117"/>
      <c r="M61" s="117"/>
      <c r="N61" s="117"/>
      <c r="O61" s="118"/>
      <c r="P61" s="22"/>
      <c r="Q61" s="22"/>
      <c r="R61" s="22"/>
      <c r="S61" s="22"/>
    </row>
    <row r="62" spans="1:19" ht="18" customHeight="1">
      <c r="A62" s="3"/>
      <c r="B62" s="116"/>
      <c r="C62" s="117"/>
      <c r="D62" s="117"/>
      <c r="E62" s="118"/>
      <c r="F62" s="22"/>
      <c r="G62" s="22"/>
      <c r="H62" s="22"/>
      <c r="I62" s="22"/>
      <c r="J62" s="116"/>
      <c r="K62" s="117"/>
      <c r="L62" s="117"/>
      <c r="M62" s="117"/>
      <c r="N62" s="117"/>
      <c r="O62" s="118"/>
      <c r="P62" s="22"/>
      <c r="Q62" s="22"/>
      <c r="R62" s="22"/>
      <c r="S62" s="22"/>
    </row>
    <row r="63" spans="1:19" ht="18" customHeight="1">
      <c r="A63" s="3"/>
      <c r="B63" s="116"/>
      <c r="C63" s="117"/>
      <c r="D63" s="117"/>
      <c r="E63" s="118"/>
      <c r="F63" s="22"/>
      <c r="G63" s="22"/>
      <c r="H63" s="22"/>
      <c r="I63" s="22"/>
      <c r="J63" s="116"/>
      <c r="K63" s="117"/>
      <c r="L63" s="117"/>
      <c r="M63" s="117"/>
      <c r="N63" s="117"/>
      <c r="O63" s="118"/>
      <c r="P63" s="22"/>
      <c r="Q63" s="22"/>
      <c r="R63" s="22"/>
      <c r="S63" s="22"/>
    </row>
    <row r="64" spans="1:19" ht="18" customHeight="1">
      <c r="A64" s="3"/>
      <c r="B64" s="122"/>
      <c r="C64" s="123"/>
      <c r="D64" s="123"/>
      <c r="E64" s="124"/>
      <c r="F64" s="23"/>
      <c r="G64" s="23"/>
      <c r="H64" s="24"/>
      <c r="I64" s="24"/>
      <c r="J64" s="122"/>
      <c r="K64" s="123"/>
      <c r="L64" s="123"/>
      <c r="M64" s="123"/>
      <c r="N64" s="123"/>
      <c r="O64" s="124"/>
      <c r="P64" s="23"/>
      <c r="Q64" s="23"/>
      <c r="R64" s="24"/>
      <c r="S64" s="24"/>
    </row>
    <row r="65" spans="1:19" ht="7.5" customHeight="1">
      <c r="B65" s="15"/>
      <c r="C65" s="15"/>
      <c r="D65" s="15"/>
      <c r="E65" s="15"/>
      <c r="F65" s="15"/>
      <c r="G65" s="15"/>
      <c r="H65" s="15"/>
      <c r="I65" s="15"/>
      <c r="J65" s="15"/>
      <c r="K65" s="15"/>
      <c r="L65" s="15"/>
      <c r="M65" s="15"/>
      <c r="N65" s="15"/>
      <c r="O65" s="15"/>
      <c r="P65" s="15"/>
      <c r="Q65" s="15"/>
      <c r="R65" s="15"/>
    </row>
    <row r="66" spans="1:19" ht="18" customHeight="1">
      <c r="A66" s="140" t="s">
        <v>117</v>
      </c>
      <c r="B66" s="140"/>
      <c r="C66" s="140"/>
      <c r="D66" s="140"/>
      <c r="E66" s="140"/>
      <c r="F66" s="140"/>
      <c r="G66" s="140"/>
      <c r="H66" s="140"/>
      <c r="I66" s="140"/>
      <c r="J66" s="140"/>
      <c r="K66" s="140"/>
      <c r="L66" s="140"/>
      <c r="M66" s="140"/>
      <c r="N66" s="140"/>
      <c r="O66" s="140"/>
      <c r="P66" s="140"/>
      <c r="Q66" s="140"/>
      <c r="R66" s="140"/>
      <c r="S66" s="140"/>
    </row>
    <row r="67" spans="1:19" ht="18" customHeight="1">
      <c r="A67" s="140"/>
      <c r="B67" s="140"/>
      <c r="C67" s="140"/>
      <c r="D67" s="140"/>
      <c r="E67" s="140"/>
      <c r="F67" s="140"/>
      <c r="G67" s="140"/>
      <c r="H67" s="140"/>
      <c r="I67" s="140"/>
      <c r="J67" s="140"/>
      <c r="K67" s="140"/>
      <c r="L67" s="140"/>
      <c r="M67" s="140"/>
      <c r="N67" s="140"/>
      <c r="O67" s="140"/>
      <c r="P67" s="140"/>
      <c r="Q67" s="140"/>
      <c r="R67" s="140"/>
      <c r="S67" s="140"/>
    </row>
    <row r="68" spans="1:19" ht="18" customHeight="1">
      <c r="B68" s="128" t="s">
        <v>53</v>
      </c>
      <c r="C68" s="114"/>
      <c r="D68" s="114"/>
      <c r="E68" s="59" t="s">
        <v>80</v>
      </c>
      <c r="F68" s="58" t="s">
        <v>84</v>
      </c>
      <c r="G68" s="20" t="s">
        <v>101</v>
      </c>
      <c r="H68" s="20" t="s">
        <v>75</v>
      </c>
      <c r="I68" s="20" t="s">
        <v>76</v>
      </c>
      <c r="J68" s="128" t="s">
        <v>53</v>
      </c>
      <c r="K68" s="114"/>
      <c r="L68" s="114"/>
      <c r="M68" s="114"/>
      <c r="N68" s="115"/>
      <c r="O68" s="59" t="s">
        <v>80</v>
      </c>
      <c r="P68" s="58" t="s">
        <v>84</v>
      </c>
      <c r="Q68" s="20" t="s">
        <v>101</v>
      </c>
      <c r="R68" s="20" t="s">
        <v>75</v>
      </c>
      <c r="S68" s="20" t="s">
        <v>76</v>
      </c>
    </row>
    <row r="69" spans="1:19" ht="18" customHeight="1">
      <c r="A69" s="3"/>
      <c r="B69" s="116" t="s">
        <v>138</v>
      </c>
      <c r="C69" s="117"/>
      <c r="D69" s="117"/>
      <c r="E69" s="21">
        <v>2</v>
      </c>
      <c r="F69" s="21" t="s">
        <v>131</v>
      </c>
      <c r="G69" s="21" t="s">
        <v>131</v>
      </c>
      <c r="H69" s="21" t="s">
        <v>131</v>
      </c>
      <c r="I69" s="21" t="s">
        <v>131</v>
      </c>
      <c r="J69" s="132"/>
      <c r="K69" s="133"/>
      <c r="L69" s="133"/>
      <c r="M69" s="133"/>
      <c r="N69" s="134"/>
      <c r="O69" s="21"/>
      <c r="P69" s="21"/>
      <c r="Q69" s="21"/>
      <c r="R69" s="21"/>
      <c r="S69" s="21"/>
    </row>
    <row r="70" spans="1:19" ht="18" customHeight="1">
      <c r="A70" s="3"/>
      <c r="B70" s="116" t="s">
        <v>145</v>
      </c>
      <c r="C70" s="117"/>
      <c r="D70" s="117"/>
      <c r="E70" s="22">
        <v>2</v>
      </c>
      <c r="F70" s="22"/>
      <c r="G70" s="22" t="s">
        <v>131</v>
      </c>
      <c r="H70" s="22" t="s">
        <v>131</v>
      </c>
      <c r="I70" s="22" t="s">
        <v>131</v>
      </c>
      <c r="J70" s="116"/>
      <c r="K70" s="117"/>
      <c r="L70" s="117"/>
      <c r="M70" s="117"/>
      <c r="N70" s="118"/>
      <c r="O70" s="22"/>
      <c r="P70" s="22"/>
      <c r="Q70" s="22"/>
      <c r="R70" s="22"/>
      <c r="S70" s="22"/>
    </row>
    <row r="71" spans="1:19" ht="18" customHeight="1">
      <c r="A71" s="3"/>
      <c r="B71" s="116" t="s">
        <v>134</v>
      </c>
      <c r="C71" s="117"/>
      <c r="D71" s="117"/>
      <c r="E71" s="22">
        <v>2</v>
      </c>
      <c r="F71" s="22"/>
      <c r="G71" s="22" t="s">
        <v>131</v>
      </c>
      <c r="H71" s="22" t="s">
        <v>131</v>
      </c>
      <c r="I71" s="22" t="s">
        <v>131</v>
      </c>
      <c r="J71" s="116"/>
      <c r="K71" s="117"/>
      <c r="L71" s="117"/>
      <c r="M71" s="117"/>
      <c r="N71" s="118"/>
      <c r="O71" s="22"/>
      <c r="P71" s="22"/>
      <c r="Q71" s="22"/>
      <c r="R71" s="22"/>
      <c r="S71" s="22"/>
    </row>
    <row r="72" spans="1:19" ht="18" customHeight="1">
      <c r="A72" s="3"/>
      <c r="B72" s="116"/>
      <c r="C72" s="117"/>
      <c r="D72" s="117"/>
      <c r="E72" s="22"/>
      <c r="F72" s="22"/>
      <c r="G72" s="22"/>
      <c r="H72" s="22"/>
      <c r="I72" s="22"/>
      <c r="J72" s="116"/>
      <c r="K72" s="117"/>
      <c r="L72" s="117"/>
      <c r="M72" s="117"/>
      <c r="N72" s="118"/>
      <c r="O72" s="22"/>
      <c r="P72" s="22"/>
      <c r="Q72" s="22"/>
      <c r="R72" s="22"/>
      <c r="S72" s="22"/>
    </row>
    <row r="73" spans="1:19" ht="18" customHeight="1">
      <c r="A73" s="3"/>
      <c r="B73" s="116"/>
      <c r="C73" s="117"/>
      <c r="D73" s="117"/>
      <c r="E73" s="22"/>
      <c r="F73" s="22"/>
      <c r="G73" s="22"/>
      <c r="H73" s="22"/>
      <c r="I73" s="22"/>
      <c r="J73" s="116"/>
      <c r="K73" s="117"/>
      <c r="L73" s="117"/>
      <c r="M73" s="117"/>
      <c r="N73" s="118"/>
      <c r="O73" s="22"/>
      <c r="P73" s="22"/>
      <c r="Q73" s="22"/>
      <c r="R73" s="22"/>
      <c r="S73" s="22"/>
    </row>
    <row r="74" spans="1:19" ht="18" customHeight="1">
      <c r="A74" s="3"/>
      <c r="B74" s="116"/>
      <c r="C74" s="117"/>
      <c r="D74" s="117"/>
      <c r="E74" s="22"/>
      <c r="F74" s="22"/>
      <c r="G74" s="22"/>
      <c r="H74" s="22"/>
      <c r="I74" s="22"/>
      <c r="J74" s="116"/>
      <c r="K74" s="117"/>
      <c r="L74" s="117"/>
      <c r="M74" s="117"/>
      <c r="N74" s="118"/>
      <c r="O74" s="22"/>
      <c r="P74" s="22"/>
      <c r="Q74" s="22"/>
      <c r="R74" s="22"/>
      <c r="S74" s="22"/>
    </row>
    <row r="75" spans="1:19" ht="18" customHeight="1">
      <c r="A75" s="3"/>
      <c r="B75" s="122"/>
      <c r="C75" s="123"/>
      <c r="D75" s="123"/>
      <c r="E75" s="23"/>
      <c r="F75" s="23"/>
      <c r="G75" s="24"/>
      <c r="H75" s="24"/>
      <c r="I75" s="24"/>
      <c r="J75" s="122"/>
      <c r="K75" s="123"/>
      <c r="L75" s="123"/>
      <c r="M75" s="123"/>
      <c r="N75" s="124"/>
      <c r="O75" s="23"/>
      <c r="P75" s="23"/>
      <c r="Q75" s="24"/>
      <c r="R75" s="24"/>
      <c r="S75" s="24"/>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118</v>
      </c>
      <c r="H77" s="3"/>
      <c r="I77" s="3"/>
      <c r="J77" s="3"/>
      <c r="K77" s="3"/>
      <c r="L77" s="3"/>
      <c r="M77" s="3"/>
      <c r="N77" s="3"/>
      <c r="O77" s="3"/>
      <c r="P77" s="3"/>
      <c r="Q77" s="3"/>
      <c r="R77" s="3"/>
      <c r="S77" s="3"/>
    </row>
    <row r="78" spans="1:19" ht="18" customHeight="1">
      <c r="B78" s="128" t="s">
        <v>53</v>
      </c>
      <c r="C78" s="114"/>
      <c r="D78" s="114"/>
      <c r="E78" s="115"/>
      <c r="F78" s="128" t="s">
        <v>82</v>
      </c>
      <c r="G78" s="114"/>
      <c r="H78" s="114"/>
      <c r="I78" s="115"/>
      <c r="J78" s="129" t="s">
        <v>53</v>
      </c>
      <c r="K78" s="130"/>
      <c r="L78" s="130"/>
      <c r="M78" s="130"/>
      <c r="N78" s="130"/>
      <c r="O78" s="131"/>
      <c r="P78" s="128" t="s">
        <v>82</v>
      </c>
      <c r="Q78" s="114"/>
      <c r="R78" s="114"/>
      <c r="S78" s="115"/>
    </row>
    <row r="79" spans="1:19" ht="18" customHeight="1">
      <c r="A79" s="3"/>
      <c r="B79" s="132"/>
      <c r="C79" s="133"/>
      <c r="D79" s="133"/>
      <c r="E79" s="134"/>
      <c r="F79" s="135"/>
      <c r="G79" s="136"/>
      <c r="H79" s="136"/>
      <c r="I79" s="137"/>
      <c r="J79" s="132"/>
      <c r="K79" s="133"/>
      <c r="L79" s="133"/>
      <c r="M79" s="133"/>
      <c r="N79" s="133"/>
      <c r="O79" s="134"/>
      <c r="P79" s="135"/>
      <c r="Q79" s="136"/>
      <c r="R79" s="136"/>
      <c r="S79" s="137"/>
    </row>
    <row r="80" spans="1:19" ht="18" customHeight="1">
      <c r="A80" s="3"/>
      <c r="B80" s="116"/>
      <c r="C80" s="117"/>
      <c r="D80" s="117"/>
      <c r="E80" s="118"/>
      <c r="F80" s="119"/>
      <c r="G80" s="120"/>
      <c r="H80" s="120"/>
      <c r="I80" s="121"/>
      <c r="J80" s="116"/>
      <c r="K80" s="117"/>
      <c r="L80" s="117"/>
      <c r="M80" s="117"/>
      <c r="N80" s="117"/>
      <c r="O80" s="118"/>
      <c r="P80" s="119"/>
      <c r="Q80" s="120"/>
      <c r="R80" s="120"/>
      <c r="S80" s="121"/>
    </row>
    <row r="81" spans="1:19" ht="18" customHeight="1">
      <c r="A81" s="3"/>
      <c r="B81" s="116"/>
      <c r="C81" s="117"/>
      <c r="D81" s="117"/>
      <c r="E81" s="118"/>
      <c r="F81" s="119"/>
      <c r="G81" s="120"/>
      <c r="H81" s="120"/>
      <c r="I81" s="121"/>
      <c r="J81" s="116"/>
      <c r="K81" s="117"/>
      <c r="L81" s="117"/>
      <c r="M81" s="117"/>
      <c r="N81" s="117"/>
      <c r="O81" s="118"/>
      <c r="P81" s="119"/>
      <c r="Q81" s="120"/>
      <c r="R81" s="120"/>
      <c r="S81" s="121"/>
    </row>
    <row r="82" spans="1:19" ht="18" customHeight="1">
      <c r="A82" s="3"/>
      <c r="B82" s="116"/>
      <c r="C82" s="117"/>
      <c r="D82" s="117"/>
      <c r="E82" s="118"/>
      <c r="F82" s="119"/>
      <c r="G82" s="120"/>
      <c r="H82" s="120"/>
      <c r="I82" s="121"/>
      <c r="J82" s="116"/>
      <c r="K82" s="117"/>
      <c r="L82" s="117"/>
      <c r="M82" s="117"/>
      <c r="N82" s="117"/>
      <c r="O82" s="118"/>
      <c r="P82" s="119"/>
      <c r="Q82" s="120"/>
      <c r="R82" s="120"/>
      <c r="S82" s="121"/>
    </row>
    <row r="83" spans="1:19" ht="18" customHeight="1">
      <c r="A83" s="3"/>
      <c r="B83" s="116"/>
      <c r="C83" s="117"/>
      <c r="D83" s="117"/>
      <c r="E83" s="118"/>
      <c r="F83" s="119"/>
      <c r="G83" s="120"/>
      <c r="H83" s="120"/>
      <c r="I83" s="121"/>
      <c r="J83" s="116"/>
      <c r="K83" s="117"/>
      <c r="L83" s="117"/>
      <c r="M83" s="117"/>
      <c r="N83" s="117"/>
      <c r="O83" s="118"/>
      <c r="P83" s="119"/>
      <c r="Q83" s="120"/>
      <c r="R83" s="120"/>
      <c r="S83" s="121"/>
    </row>
    <row r="84" spans="1:19" ht="18" customHeight="1">
      <c r="A84" s="3"/>
      <c r="B84" s="116"/>
      <c r="C84" s="117"/>
      <c r="D84" s="117"/>
      <c r="E84" s="118"/>
      <c r="F84" s="119"/>
      <c r="G84" s="120"/>
      <c r="H84" s="120"/>
      <c r="I84" s="121"/>
      <c r="J84" s="116"/>
      <c r="K84" s="117"/>
      <c r="L84" s="117"/>
      <c r="M84" s="117"/>
      <c r="N84" s="117"/>
      <c r="O84" s="118"/>
      <c r="P84" s="119"/>
      <c r="Q84" s="120"/>
      <c r="R84" s="120"/>
      <c r="S84" s="121"/>
    </row>
    <row r="85" spans="1:19" ht="18" customHeight="1">
      <c r="A85" s="3"/>
      <c r="B85" s="122"/>
      <c r="C85" s="123"/>
      <c r="D85" s="123"/>
      <c r="E85" s="124"/>
      <c r="F85" s="125"/>
      <c r="G85" s="126"/>
      <c r="H85" s="126"/>
      <c r="I85" s="127"/>
      <c r="J85" s="122"/>
      <c r="K85" s="123"/>
      <c r="L85" s="123"/>
      <c r="M85" s="123"/>
      <c r="N85" s="123"/>
      <c r="O85" s="124"/>
      <c r="P85" s="125"/>
      <c r="Q85" s="126"/>
      <c r="R85" s="126"/>
      <c r="S85" s="127"/>
    </row>
    <row r="86" spans="1:19" ht="18" customHeight="1">
      <c r="A86" s="3"/>
      <c r="B86" s="6"/>
      <c r="C86" s="6"/>
      <c r="D86" s="6"/>
      <c r="E86" s="6"/>
      <c r="F86" s="25"/>
      <c r="G86" s="25"/>
      <c r="H86" s="25"/>
      <c r="I86" s="25"/>
      <c r="J86" s="6"/>
      <c r="K86" s="6"/>
      <c r="L86" s="6"/>
      <c r="M86" s="6"/>
      <c r="N86" s="6"/>
      <c r="O86" s="6"/>
      <c r="P86" s="25"/>
      <c r="Q86" s="25"/>
      <c r="R86" s="25"/>
      <c r="S86" s="25"/>
    </row>
    <row r="87" spans="1:19" ht="18.75" customHeight="1">
      <c r="A87" s="1" t="s">
        <v>119</v>
      </c>
    </row>
    <row r="88" spans="1:19" ht="18.75" customHeight="1">
      <c r="B88" s="112" t="s">
        <v>54</v>
      </c>
      <c r="C88" s="113"/>
      <c r="D88" s="114" t="s">
        <v>55</v>
      </c>
      <c r="E88" s="114"/>
      <c r="F88" s="114"/>
      <c r="G88" s="114"/>
      <c r="H88" s="114"/>
      <c r="I88" s="114"/>
      <c r="J88" s="114"/>
      <c r="K88" s="114"/>
      <c r="L88" s="114"/>
      <c r="M88" s="114"/>
      <c r="N88" s="114"/>
      <c r="O88" s="114"/>
      <c r="P88" s="114"/>
      <c r="Q88" s="114"/>
      <c r="R88" s="114"/>
      <c r="S88" s="115"/>
    </row>
    <row r="89" spans="1:19" ht="97.5" customHeight="1">
      <c r="B89" s="91" t="s">
        <v>61</v>
      </c>
      <c r="C89" s="26" t="s">
        <v>56</v>
      </c>
      <c r="D89" s="184" t="s">
        <v>179</v>
      </c>
      <c r="E89" s="184"/>
      <c r="F89" s="184"/>
      <c r="G89" s="184"/>
      <c r="H89" s="184"/>
      <c r="I89" s="184"/>
      <c r="J89" s="184"/>
      <c r="K89" s="184"/>
      <c r="L89" s="184"/>
      <c r="M89" s="184"/>
      <c r="N89" s="184"/>
      <c r="O89" s="184"/>
      <c r="P89" s="184"/>
      <c r="Q89" s="184"/>
      <c r="R89" s="184"/>
      <c r="S89" s="185"/>
    </row>
    <row r="90" spans="1:19" ht="97.5" customHeight="1">
      <c r="B90" s="92"/>
      <c r="C90" s="27" t="s">
        <v>77</v>
      </c>
      <c r="D90" s="186" t="s">
        <v>183</v>
      </c>
      <c r="E90" s="186"/>
      <c r="F90" s="186"/>
      <c r="G90" s="186"/>
      <c r="H90" s="186"/>
      <c r="I90" s="186"/>
      <c r="J90" s="186"/>
      <c r="K90" s="186"/>
      <c r="L90" s="186"/>
      <c r="M90" s="186"/>
      <c r="N90" s="186"/>
      <c r="O90" s="186"/>
      <c r="P90" s="186"/>
      <c r="Q90" s="186"/>
      <c r="R90" s="186"/>
      <c r="S90" s="187"/>
    </row>
    <row r="91" spans="1:19" ht="97.5" customHeight="1">
      <c r="B91" s="91" t="s">
        <v>62</v>
      </c>
      <c r="C91" s="28" t="s">
        <v>71</v>
      </c>
      <c r="D91" s="177" t="s">
        <v>184</v>
      </c>
      <c r="E91" s="177"/>
      <c r="F91" s="177"/>
      <c r="G91" s="177"/>
      <c r="H91" s="177"/>
      <c r="I91" s="177"/>
      <c r="J91" s="177"/>
      <c r="K91" s="177"/>
      <c r="L91" s="177"/>
      <c r="M91" s="177"/>
      <c r="N91" s="177"/>
      <c r="O91" s="177"/>
      <c r="P91" s="177"/>
      <c r="Q91" s="177"/>
      <c r="R91" s="177"/>
      <c r="S91" s="178"/>
    </row>
    <row r="92" spans="1:19" ht="97.5" customHeight="1">
      <c r="B92" s="93"/>
      <c r="C92" s="29" t="s">
        <v>72</v>
      </c>
      <c r="D92" s="188" t="s">
        <v>180</v>
      </c>
      <c r="E92" s="189"/>
      <c r="F92" s="189"/>
      <c r="G92" s="189"/>
      <c r="H92" s="189"/>
      <c r="I92" s="189"/>
      <c r="J92" s="189"/>
      <c r="K92" s="189"/>
      <c r="L92" s="189"/>
      <c r="M92" s="189"/>
      <c r="N92" s="189"/>
      <c r="O92" s="189"/>
      <c r="P92" s="189"/>
      <c r="Q92" s="189"/>
      <c r="R92" s="189"/>
      <c r="S92" s="190"/>
    </row>
    <row r="93" spans="1:19" ht="128.25" customHeight="1">
      <c r="B93" s="91" t="s">
        <v>63</v>
      </c>
      <c r="C93" s="28" t="s">
        <v>73</v>
      </c>
      <c r="D93" s="177" t="s">
        <v>185</v>
      </c>
      <c r="E93" s="177"/>
      <c r="F93" s="177"/>
      <c r="G93" s="177"/>
      <c r="H93" s="177"/>
      <c r="I93" s="177"/>
      <c r="J93" s="177"/>
      <c r="K93" s="177"/>
      <c r="L93" s="177"/>
      <c r="M93" s="177"/>
      <c r="N93" s="177"/>
      <c r="O93" s="177"/>
      <c r="P93" s="177"/>
      <c r="Q93" s="177"/>
      <c r="R93" s="177"/>
      <c r="S93" s="178"/>
    </row>
    <row r="94" spans="1:19" ht="97.5" customHeight="1">
      <c r="B94" s="93"/>
      <c r="C94" s="30" t="s">
        <v>74</v>
      </c>
      <c r="D94" s="179" t="s">
        <v>186</v>
      </c>
      <c r="E94" s="179"/>
      <c r="F94" s="179"/>
      <c r="G94" s="179"/>
      <c r="H94" s="179"/>
      <c r="I94" s="179"/>
      <c r="J94" s="179"/>
      <c r="K94" s="179"/>
      <c r="L94" s="179"/>
      <c r="M94" s="179"/>
      <c r="N94" s="179"/>
      <c r="O94" s="179"/>
      <c r="P94" s="179"/>
      <c r="Q94" s="179"/>
      <c r="R94" s="179"/>
      <c r="S94" s="180"/>
    </row>
    <row r="95" spans="1:19" ht="159" customHeight="1">
      <c r="B95" s="91" t="s">
        <v>78</v>
      </c>
      <c r="C95" s="26" t="s">
        <v>58</v>
      </c>
      <c r="D95" s="104" t="s">
        <v>187</v>
      </c>
      <c r="E95" s="104"/>
      <c r="F95" s="104"/>
      <c r="G95" s="104"/>
      <c r="H95" s="104"/>
      <c r="I95" s="104"/>
      <c r="J95" s="104"/>
      <c r="K95" s="104"/>
      <c r="L95" s="104"/>
      <c r="M95" s="104"/>
      <c r="N95" s="104"/>
      <c r="O95" s="104"/>
      <c r="P95" s="104"/>
      <c r="Q95" s="104"/>
      <c r="R95" s="104"/>
      <c r="S95" s="105"/>
    </row>
    <row r="96" spans="1:19" ht="97.5" customHeight="1">
      <c r="B96" s="93"/>
      <c r="C96" s="29" t="s">
        <v>60</v>
      </c>
      <c r="D96" s="181" t="s">
        <v>181</v>
      </c>
      <c r="E96" s="182"/>
      <c r="F96" s="182"/>
      <c r="G96" s="182"/>
      <c r="H96" s="182"/>
      <c r="I96" s="182"/>
      <c r="J96" s="182"/>
      <c r="K96" s="182"/>
      <c r="L96" s="182"/>
      <c r="M96" s="182"/>
      <c r="N96" s="182"/>
      <c r="O96" s="182"/>
      <c r="P96" s="182"/>
      <c r="Q96" s="182"/>
      <c r="R96" s="182"/>
      <c r="S96" s="183"/>
    </row>
    <row r="97" spans="1:19" ht="178.5" customHeight="1">
      <c r="B97" s="91" t="s">
        <v>79</v>
      </c>
      <c r="C97" s="28" t="s">
        <v>57</v>
      </c>
      <c r="D97" s="168" t="s">
        <v>188</v>
      </c>
      <c r="E97" s="169"/>
      <c r="F97" s="169"/>
      <c r="G97" s="169"/>
      <c r="H97" s="169"/>
      <c r="I97" s="169"/>
      <c r="J97" s="169"/>
      <c r="K97" s="169"/>
      <c r="L97" s="169"/>
      <c r="M97" s="169"/>
      <c r="N97" s="169"/>
      <c r="O97" s="169"/>
      <c r="P97" s="169"/>
      <c r="Q97" s="169"/>
      <c r="R97" s="169"/>
      <c r="S97" s="170"/>
    </row>
    <row r="98" spans="1:19" ht="97.5" customHeight="1">
      <c r="B98" s="92"/>
      <c r="C98" s="31" t="s">
        <v>75</v>
      </c>
      <c r="D98" s="171" t="s">
        <v>189</v>
      </c>
      <c r="E98" s="172"/>
      <c r="F98" s="172"/>
      <c r="G98" s="172"/>
      <c r="H98" s="172"/>
      <c r="I98" s="172"/>
      <c r="J98" s="172"/>
      <c r="K98" s="172"/>
      <c r="L98" s="172"/>
      <c r="M98" s="172"/>
      <c r="N98" s="172"/>
      <c r="O98" s="172"/>
      <c r="P98" s="172"/>
      <c r="Q98" s="172"/>
      <c r="R98" s="172"/>
      <c r="S98" s="173"/>
    </row>
    <row r="99" spans="1:19" ht="97.5" customHeight="1">
      <c r="B99" s="93"/>
      <c r="C99" s="30" t="s">
        <v>76</v>
      </c>
      <c r="D99" s="174" t="s">
        <v>190</v>
      </c>
      <c r="E99" s="175"/>
      <c r="F99" s="175"/>
      <c r="G99" s="175"/>
      <c r="H99" s="175"/>
      <c r="I99" s="175"/>
      <c r="J99" s="175"/>
      <c r="K99" s="175"/>
      <c r="L99" s="175"/>
      <c r="M99" s="175"/>
      <c r="N99" s="175"/>
      <c r="O99" s="175"/>
      <c r="P99" s="175"/>
      <c r="Q99" s="175"/>
      <c r="R99" s="175"/>
      <c r="S99" s="176"/>
    </row>
    <row r="100" spans="1:19" ht="6" customHeight="1"/>
    <row r="101" spans="1:19" ht="18.75" customHeight="1">
      <c r="A101" s="1" t="s">
        <v>120</v>
      </c>
    </row>
    <row r="102" spans="1:19" ht="81.75" customHeight="1">
      <c r="B102" s="101" t="s">
        <v>150</v>
      </c>
      <c r="C102" s="102"/>
      <c r="D102" s="102"/>
      <c r="E102" s="102"/>
      <c r="F102" s="102"/>
      <c r="G102" s="102"/>
      <c r="H102" s="102"/>
      <c r="I102" s="102"/>
      <c r="J102" s="102"/>
      <c r="K102" s="102"/>
      <c r="L102" s="102"/>
      <c r="M102" s="102"/>
      <c r="N102" s="102"/>
      <c r="O102" s="102"/>
      <c r="P102" s="102"/>
      <c r="Q102" s="102"/>
      <c r="R102" s="102"/>
      <c r="S102" s="103"/>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1"/>
  <sheetViews>
    <sheetView tabSelected="1" view="pageBreakPreview" topLeftCell="C1" zoomScaleNormal="100" zoomScaleSheetLayoutView="100" workbookViewId="0">
      <selection activeCell="R2" sqref="R2"/>
    </sheetView>
  </sheetViews>
  <sheetFormatPr defaultColWidth="9" defaultRowHeight="18.75" customHeight="1"/>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c r="AQ1" s="1" t="s">
        <v>106</v>
      </c>
    </row>
    <row r="2" spans="1:45" ht="18" customHeight="1">
      <c r="K2" s="33"/>
      <c r="Q2" s="33"/>
      <c r="W2" s="33"/>
      <c r="AC2" s="33"/>
      <c r="AI2" s="33"/>
      <c r="AL2" s="33" t="s">
        <v>108</v>
      </c>
      <c r="AM2" s="194" t="str">
        <f>'様式１−１　プログラムを構成する授業科目'!C2</f>
        <v>岩手県立大学盛岡短期大学部</v>
      </c>
      <c r="AN2" s="194"/>
      <c r="AO2" s="194"/>
      <c r="AP2" s="194"/>
      <c r="AQ2" s="194"/>
    </row>
    <row r="3" spans="1:45" ht="18" customHeight="1">
      <c r="A3" s="160" t="s">
        <v>47</v>
      </c>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83</v>
      </c>
      <c r="C5" s="195" t="s">
        <v>137</v>
      </c>
      <c r="D5" s="196"/>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97" t="s">
        <v>44</v>
      </c>
      <c r="C9" s="212" t="s">
        <v>86</v>
      </c>
      <c r="D9" s="200" t="s">
        <v>46</v>
      </c>
      <c r="E9" s="203" t="s">
        <v>39</v>
      </c>
      <c r="F9" s="193" t="s">
        <v>85</v>
      </c>
      <c r="G9" s="193"/>
      <c r="H9" s="193"/>
      <c r="I9" s="193"/>
      <c r="J9" s="193"/>
      <c r="K9" s="193"/>
      <c r="L9" s="193" t="s">
        <v>48</v>
      </c>
      <c r="M9" s="193"/>
      <c r="N9" s="193"/>
      <c r="O9" s="193"/>
      <c r="P9" s="193"/>
      <c r="Q9" s="193"/>
      <c r="R9" s="193" t="s">
        <v>49</v>
      </c>
      <c r="S9" s="193"/>
      <c r="T9" s="193"/>
      <c r="U9" s="193"/>
      <c r="V9" s="193"/>
      <c r="W9" s="193"/>
      <c r="X9" s="193" t="s">
        <v>100</v>
      </c>
      <c r="Y9" s="193"/>
      <c r="Z9" s="193"/>
      <c r="AA9" s="193"/>
      <c r="AB9" s="193"/>
      <c r="AC9" s="193"/>
      <c r="AD9" s="193" t="s">
        <v>50</v>
      </c>
      <c r="AE9" s="193"/>
      <c r="AF9" s="193"/>
      <c r="AG9" s="193"/>
      <c r="AH9" s="193"/>
      <c r="AI9" s="193"/>
      <c r="AJ9" s="193" t="s">
        <v>51</v>
      </c>
      <c r="AK9" s="193"/>
      <c r="AL9" s="193"/>
      <c r="AM9" s="193"/>
      <c r="AN9" s="193"/>
      <c r="AO9" s="193"/>
      <c r="AP9" s="206" t="s">
        <v>34</v>
      </c>
      <c r="AQ9" s="209" t="s">
        <v>31</v>
      </c>
      <c r="AS9" s="2"/>
    </row>
    <row r="10" spans="1:45" ht="17.100000000000001" customHeight="1">
      <c r="B10" s="198"/>
      <c r="C10" s="213"/>
      <c r="D10" s="201"/>
      <c r="E10" s="204"/>
      <c r="F10" s="191" t="s">
        <v>96</v>
      </c>
      <c r="G10" s="192"/>
      <c r="H10" s="192"/>
      <c r="I10" s="191" t="s">
        <v>28</v>
      </c>
      <c r="J10" s="192"/>
      <c r="K10" s="192"/>
      <c r="L10" s="191" t="s">
        <v>96</v>
      </c>
      <c r="M10" s="192"/>
      <c r="N10" s="192"/>
      <c r="O10" s="191" t="s">
        <v>28</v>
      </c>
      <c r="P10" s="192"/>
      <c r="Q10" s="192"/>
      <c r="R10" s="191" t="s">
        <v>96</v>
      </c>
      <c r="S10" s="192"/>
      <c r="T10" s="192"/>
      <c r="U10" s="191" t="s">
        <v>28</v>
      </c>
      <c r="V10" s="192"/>
      <c r="W10" s="192"/>
      <c r="X10" s="191" t="s">
        <v>96</v>
      </c>
      <c r="Y10" s="192"/>
      <c r="Z10" s="192"/>
      <c r="AA10" s="191" t="s">
        <v>28</v>
      </c>
      <c r="AB10" s="192"/>
      <c r="AC10" s="192"/>
      <c r="AD10" s="191" t="s">
        <v>96</v>
      </c>
      <c r="AE10" s="192"/>
      <c r="AF10" s="192"/>
      <c r="AG10" s="191" t="s">
        <v>28</v>
      </c>
      <c r="AH10" s="192"/>
      <c r="AI10" s="192"/>
      <c r="AJ10" s="191" t="s">
        <v>96</v>
      </c>
      <c r="AK10" s="192"/>
      <c r="AL10" s="192"/>
      <c r="AM10" s="191" t="s">
        <v>28</v>
      </c>
      <c r="AN10" s="192"/>
      <c r="AO10" s="192"/>
      <c r="AP10" s="207"/>
      <c r="AQ10" s="210"/>
      <c r="AS10" s="2"/>
    </row>
    <row r="11" spans="1:45" ht="18" customHeight="1">
      <c r="B11" s="199"/>
      <c r="C11" s="214"/>
      <c r="D11" s="202"/>
      <c r="E11" s="205"/>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208"/>
      <c r="AQ11" s="211"/>
      <c r="AS11" s="2"/>
    </row>
    <row r="12" spans="1:45" ht="18" customHeight="1">
      <c r="A12" s="6"/>
      <c r="B12" s="11" t="s">
        <v>167</v>
      </c>
      <c r="C12" s="82">
        <v>108</v>
      </c>
      <c r="D12" s="61">
        <v>50</v>
      </c>
      <c r="E12" s="62">
        <v>100</v>
      </c>
      <c r="F12" s="62">
        <v>53</v>
      </c>
      <c r="G12" s="87"/>
      <c r="H12" s="88"/>
      <c r="I12" s="80">
        <v>26</v>
      </c>
      <c r="J12" s="87"/>
      <c r="K12" s="88"/>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53</v>
      </c>
      <c r="AQ12" s="86">
        <f t="shared" ref="AQ12:AQ31" si="0">AP12/E12</f>
        <v>0.53</v>
      </c>
    </row>
    <row r="13" spans="1:45" ht="18" customHeight="1">
      <c r="A13" s="6"/>
      <c r="B13" s="12" t="s">
        <v>135</v>
      </c>
      <c r="C13" s="83">
        <v>122</v>
      </c>
      <c r="D13" s="66">
        <v>50</v>
      </c>
      <c r="E13" s="67">
        <v>100</v>
      </c>
      <c r="F13" s="68">
        <v>37</v>
      </c>
      <c r="G13" s="89"/>
      <c r="H13" s="90"/>
      <c r="I13" s="81">
        <v>33</v>
      </c>
      <c r="J13" s="89"/>
      <c r="K13" s="90"/>
      <c r="L13" s="68">
        <f t="shared" ref="L13:L30" si="1">M13+N13</f>
        <v>0</v>
      </c>
      <c r="M13" s="69"/>
      <c r="N13" s="70"/>
      <c r="O13" s="68">
        <f t="shared" ref="O13:O30" si="2">P13+Q13</f>
        <v>0</v>
      </c>
      <c r="P13" s="69"/>
      <c r="Q13" s="70"/>
      <c r="R13" s="68">
        <f t="shared" ref="R13:R30" si="3">S13+T13</f>
        <v>0</v>
      </c>
      <c r="S13" s="69"/>
      <c r="T13" s="70"/>
      <c r="U13" s="68">
        <f t="shared" ref="U13:U30" si="4">V13+W13</f>
        <v>0</v>
      </c>
      <c r="V13" s="69"/>
      <c r="W13" s="70"/>
      <c r="X13" s="68">
        <f t="shared" ref="X13:X30" si="5">Y13+Z13</f>
        <v>0</v>
      </c>
      <c r="Y13" s="69"/>
      <c r="Z13" s="70"/>
      <c r="AA13" s="68">
        <f t="shared" ref="AA13:AA30" si="6">AB13+AC13</f>
        <v>0</v>
      </c>
      <c r="AB13" s="69"/>
      <c r="AC13" s="70"/>
      <c r="AD13" s="68">
        <f t="shared" ref="AD13:AD30" si="7">AE13+AF13</f>
        <v>0</v>
      </c>
      <c r="AE13" s="69"/>
      <c r="AF13" s="70"/>
      <c r="AG13" s="68">
        <f t="shared" ref="AG13:AG30" si="8">AH13+AI13</f>
        <v>0</v>
      </c>
      <c r="AH13" s="69"/>
      <c r="AI13" s="70"/>
      <c r="AJ13" s="68">
        <f t="shared" ref="AJ13:AJ30" si="9">AK13+AL13</f>
        <v>0</v>
      </c>
      <c r="AK13" s="69"/>
      <c r="AL13" s="70"/>
      <c r="AM13" s="68">
        <f t="shared" ref="AM13:AM30" si="10">AN13+AO13</f>
        <v>0</v>
      </c>
      <c r="AN13" s="69"/>
      <c r="AO13" s="70"/>
      <c r="AP13" s="66">
        <f t="shared" ref="AP13:AP30" si="11">F13+L13+R13+X13+AD13+AJ13</f>
        <v>37</v>
      </c>
      <c r="AQ13" s="8">
        <f t="shared" si="0"/>
        <v>0.37</v>
      </c>
    </row>
    <row r="14" spans="1:45" ht="18" customHeight="1">
      <c r="A14" s="6"/>
      <c r="B14" s="12"/>
      <c r="C14" s="65"/>
      <c r="D14" s="66"/>
      <c r="E14" s="67"/>
      <c r="F14" s="68">
        <f t="shared" ref="F14:F30" si="12">G14+H14</f>
        <v>0</v>
      </c>
      <c r="G14" s="69"/>
      <c r="H14" s="70"/>
      <c r="I14" s="68">
        <f t="shared" ref="I14:I30" si="13">J14+K14</f>
        <v>0</v>
      </c>
      <c r="J14" s="69"/>
      <c r="K14" s="70"/>
      <c r="L14" s="68">
        <f t="shared" si="1"/>
        <v>0</v>
      </c>
      <c r="M14" s="69"/>
      <c r="N14" s="70"/>
      <c r="O14" s="68">
        <f t="shared" si="2"/>
        <v>0</v>
      </c>
      <c r="P14" s="69"/>
      <c r="Q14" s="70"/>
      <c r="R14" s="68">
        <f t="shared" si="3"/>
        <v>0</v>
      </c>
      <c r="S14" s="69"/>
      <c r="T14" s="70"/>
      <c r="U14" s="68">
        <f t="shared" si="4"/>
        <v>0</v>
      </c>
      <c r="V14" s="69"/>
      <c r="W14" s="70"/>
      <c r="X14" s="68">
        <f t="shared" si="5"/>
        <v>0</v>
      </c>
      <c r="Y14" s="69"/>
      <c r="Z14" s="70"/>
      <c r="AA14" s="68">
        <f t="shared" si="6"/>
        <v>0</v>
      </c>
      <c r="AB14" s="69"/>
      <c r="AC14" s="70"/>
      <c r="AD14" s="68">
        <f t="shared" si="7"/>
        <v>0</v>
      </c>
      <c r="AE14" s="69"/>
      <c r="AF14" s="70"/>
      <c r="AG14" s="68">
        <f t="shared" si="8"/>
        <v>0</v>
      </c>
      <c r="AH14" s="69"/>
      <c r="AI14" s="70"/>
      <c r="AJ14" s="68">
        <f t="shared" si="9"/>
        <v>0</v>
      </c>
      <c r="AK14" s="69"/>
      <c r="AL14" s="70"/>
      <c r="AM14" s="68">
        <f t="shared" si="10"/>
        <v>0</v>
      </c>
      <c r="AN14" s="69"/>
      <c r="AO14" s="70"/>
      <c r="AP14" s="66">
        <f t="shared" si="11"/>
        <v>0</v>
      </c>
      <c r="AQ14" s="8" t="e">
        <f t="shared" si="0"/>
        <v>#DIV/0!</v>
      </c>
    </row>
    <row r="15" spans="1:45" ht="18" customHeight="1">
      <c r="A15" s="6"/>
      <c r="B15" s="12"/>
      <c r="C15" s="65"/>
      <c r="D15" s="66"/>
      <c r="E15" s="67"/>
      <c r="F15" s="68">
        <f t="shared" si="12"/>
        <v>0</v>
      </c>
      <c r="G15" s="69"/>
      <c r="H15" s="70"/>
      <c r="I15" s="68">
        <f t="shared" si="13"/>
        <v>0</v>
      </c>
      <c r="J15" s="69"/>
      <c r="K15" s="70"/>
      <c r="L15" s="68">
        <f t="shared" si="1"/>
        <v>0</v>
      </c>
      <c r="M15" s="69"/>
      <c r="N15" s="70"/>
      <c r="O15" s="68">
        <f t="shared" si="2"/>
        <v>0</v>
      </c>
      <c r="P15" s="69"/>
      <c r="Q15" s="70"/>
      <c r="R15" s="68">
        <f t="shared" si="3"/>
        <v>0</v>
      </c>
      <c r="S15" s="69"/>
      <c r="T15" s="70"/>
      <c r="U15" s="68">
        <f t="shared" si="4"/>
        <v>0</v>
      </c>
      <c r="V15" s="69"/>
      <c r="W15" s="70"/>
      <c r="X15" s="68">
        <f t="shared" si="5"/>
        <v>0</v>
      </c>
      <c r="Y15" s="69"/>
      <c r="Z15" s="70"/>
      <c r="AA15" s="68">
        <f t="shared" si="6"/>
        <v>0</v>
      </c>
      <c r="AB15" s="69"/>
      <c r="AC15" s="70"/>
      <c r="AD15" s="68">
        <f t="shared" si="7"/>
        <v>0</v>
      </c>
      <c r="AE15" s="69"/>
      <c r="AF15" s="70"/>
      <c r="AG15" s="68">
        <f t="shared" si="8"/>
        <v>0</v>
      </c>
      <c r="AH15" s="69"/>
      <c r="AI15" s="70"/>
      <c r="AJ15" s="68">
        <f t="shared" si="9"/>
        <v>0</v>
      </c>
      <c r="AK15" s="69"/>
      <c r="AL15" s="70"/>
      <c r="AM15" s="68">
        <f t="shared" si="10"/>
        <v>0</v>
      </c>
      <c r="AN15" s="69"/>
      <c r="AO15" s="70"/>
      <c r="AP15" s="66">
        <f t="shared" si="11"/>
        <v>0</v>
      </c>
      <c r="AQ15" s="8" t="e">
        <f t="shared" si="0"/>
        <v>#DIV/0!</v>
      </c>
    </row>
    <row r="16" spans="1:45" ht="18" customHeight="1">
      <c r="A16" s="6"/>
      <c r="B16" s="12"/>
      <c r="C16" s="65"/>
      <c r="D16" s="66"/>
      <c r="E16" s="67"/>
      <c r="F16" s="68">
        <f t="shared" si="12"/>
        <v>0</v>
      </c>
      <c r="G16" s="69"/>
      <c r="H16" s="70"/>
      <c r="I16" s="68">
        <f t="shared" si="13"/>
        <v>0</v>
      </c>
      <c r="J16" s="69"/>
      <c r="K16" s="70"/>
      <c r="L16" s="68">
        <f t="shared" si="1"/>
        <v>0</v>
      </c>
      <c r="M16" s="69"/>
      <c r="N16" s="70"/>
      <c r="O16" s="68">
        <f t="shared" si="2"/>
        <v>0</v>
      </c>
      <c r="P16" s="69"/>
      <c r="Q16" s="70"/>
      <c r="R16" s="68">
        <f t="shared" si="3"/>
        <v>0</v>
      </c>
      <c r="S16" s="69"/>
      <c r="T16" s="70"/>
      <c r="U16" s="68">
        <f t="shared" si="4"/>
        <v>0</v>
      </c>
      <c r="V16" s="69"/>
      <c r="W16" s="70"/>
      <c r="X16" s="68">
        <f t="shared" si="5"/>
        <v>0</v>
      </c>
      <c r="Y16" s="69"/>
      <c r="Z16" s="70"/>
      <c r="AA16" s="68">
        <f t="shared" si="6"/>
        <v>0</v>
      </c>
      <c r="AB16" s="69"/>
      <c r="AC16" s="70"/>
      <c r="AD16" s="68">
        <f t="shared" si="7"/>
        <v>0</v>
      </c>
      <c r="AE16" s="69"/>
      <c r="AF16" s="70"/>
      <c r="AG16" s="68">
        <f t="shared" si="8"/>
        <v>0</v>
      </c>
      <c r="AH16" s="69"/>
      <c r="AI16" s="70"/>
      <c r="AJ16" s="68">
        <f t="shared" si="9"/>
        <v>0</v>
      </c>
      <c r="AK16" s="69"/>
      <c r="AL16" s="70"/>
      <c r="AM16" s="68">
        <f t="shared" si="10"/>
        <v>0</v>
      </c>
      <c r="AN16" s="69"/>
      <c r="AO16" s="70"/>
      <c r="AP16" s="66">
        <f t="shared" si="11"/>
        <v>0</v>
      </c>
      <c r="AQ16" s="8" t="e">
        <f t="shared" si="0"/>
        <v>#DIV/0!</v>
      </c>
    </row>
    <row r="17" spans="1:43" ht="18" customHeight="1">
      <c r="A17" s="6"/>
      <c r="B17" s="12"/>
      <c r="C17" s="65"/>
      <c r="D17" s="66"/>
      <c r="E17" s="67"/>
      <c r="F17" s="68">
        <f t="shared" si="12"/>
        <v>0</v>
      </c>
      <c r="G17" s="69"/>
      <c r="H17" s="70"/>
      <c r="I17" s="68">
        <f t="shared" si="13"/>
        <v>0</v>
      </c>
      <c r="J17" s="69"/>
      <c r="K17" s="70"/>
      <c r="L17" s="68">
        <f t="shared" si="1"/>
        <v>0</v>
      </c>
      <c r="M17" s="69"/>
      <c r="N17" s="70"/>
      <c r="O17" s="68">
        <f t="shared" si="2"/>
        <v>0</v>
      </c>
      <c r="P17" s="69"/>
      <c r="Q17" s="70"/>
      <c r="R17" s="68">
        <f t="shared" si="3"/>
        <v>0</v>
      </c>
      <c r="S17" s="69"/>
      <c r="T17" s="70"/>
      <c r="U17" s="68">
        <f t="shared" si="4"/>
        <v>0</v>
      </c>
      <c r="V17" s="69"/>
      <c r="W17" s="70"/>
      <c r="X17" s="68">
        <f t="shared" si="5"/>
        <v>0</v>
      </c>
      <c r="Y17" s="69"/>
      <c r="Z17" s="70"/>
      <c r="AA17" s="68">
        <f t="shared" si="6"/>
        <v>0</v>
      </c>
      <c r="AB17" s="69"/>
      <c r="AC17" s="70"/>
      <c r="AD17" s="68">
        <f t="shared" si="7"/>
        <v>0</v>
      </c>
      <c r="AE17" s="69"/>
      <c r="AF17" s="70"/>
      <c r="AG17" s="68">
        <f t="shared" si="8"/>
        <v>0</v>
      </c>
      <c r="AH17" s="69"/>
      <c r="AI17" s="70"/>
      <c r="AJ17" s="68">
        <f t="shared" si="9"/>
        <v>0</v>
      </c>
      <c r="AK17" s="69"/>
      <c r="AL17" s="70"/>
      <c r="AM17" s="68">
        <f t="shared" si="10"/>
        <v>0</v>
      </c>
      <c r="AN17" s="69"/>
      <c r="AO17" s="70"/>
      <c r="AP17" s="66">
        <f t="shared" si="11"/>
        <v>0</v>
      </c>
      <c r="AQ17" s="8" t="e">
        <f t="shared" si="0"/>
        <v>#DIV/0!</v>
      </c>
    </row>
    <row r="18" spans="1:43" ht="18" customHeight="1">
      <c r="A18" s="6"/>
      <c r="B18" s="12"/>
      <c r="C18" s="65"/>
      <c r="D18" s="66"/>
      <c r="E18" s="67"/>
      <c r="F18" s="68">
        <f t="shared" si="12"/>
        <v>0</v>
      </c>
      <c r="G18" s="69"/>
      <c r="H18" s="70"/>
      <c r="I18" s="68">
        <f t="shared" si="13"/>
        <v>0</v>
      </c>
      <c r="J18" s="69"/>
      <c r="K18" s="70"/>
      <c r="L18" s="68">
        <f t="shared" si="1"/>
        <v>0</v>
      </c>
      <c r="M18" s="69"/>
      <c r="N18" s="70"/>
      <c r="O18" s="68">
        <f t="shared" si="2"/>
        <v>0</v>
      </c>
      <c r="P18" s="69"/>
      <c r="Q18" s="70"/>
      <c r="R18" s="68">
        <f t="shared" si="3"/>
        <v>0</v>
      </c>
      <c r="S18" s="69"/>
      <c r="T18" s="70"/>
      <c r="U18" s="68">
        <f t="shared" si="4"/>
        <v>0</v>
      </c>
      <c r="V18" s="69"/>
      <c r="W18" s="70"/>
      <c r="X18" s="68">
        <f t="shared" si="5"/>
        <v>0</v>
      </c>
      <c r="Y18" s="69"/>
      <c r="Z18" s="70"/>
      <c r="AA18" s="68">
        <f t="shared" si="6"/>
        <v>0</v>
      </c>
      <c r="AB18" s="69"/>
      <c r="AC18" s="70"/>
      <c r="AD18" s="68">
        <f t="shared" si="7"/>
        <v>0</v>
      </c>
      <c r="AE18" s="69"/>
      <c r="AF18" s="70"/>
      <c r="AG18" s="68">
        <f t="shared" si="8"/>
        <v>0</v>
      </c>
      <c r="AH18" s="69"/>
      <c r="AI18" s="70"/>
      <c r="AJ18" s="68">
        <f t="shared" si="9"/>
        <v>0</v>
      </c>
      <c r="AK18" s="69"/>
      <c r="AL18" s="70"/>
      <c r="AM18" s="68">
        <f t="shared" si="10"/>
        <v>0</v>
      </c>
      <c r="AN18" s="69"/>
      <c r="AO18" s="70"/>
      <c r="AP18" s="66">
        <f t="shared" si="11"/>
        <v>0</v>
      </c>
      <c r="AQ18" s="8" t="e">
        <f t="shared" si="0"/>
        <v>#DIV/0!</v>
      </c>
    </row>
    <row r="19" spans="1:43" ht="18" customHeight="1">
      <c r="A19" s="6"/>
      <c r="B19" s="12"/>
      <c r="C19" s="65"/>
      <c r="D19" s="66"/>
      <c r="E19" s="67"/>
      <c r="F19" s="68">
        <f t="shared" si="12"/>
        <v>0</v>
      </c>
      <c r="G19" s="69"/>
      <c r="H19" s="70"/>
      <c r="I19" s="68">
        <f t="shared" si="13"/>
        <v>0</v>
      </c>
      <c r="J19" s="69"/>
      <c r="K19" s="70"/>
      <c r="L19" s="68">
        <f t="shared" si="1"/>
        <v>0</v>
      </c>
      <c r="M19" s="69"/>
      <c r="N19" s="70"/>
      <c r="O19" s="68">
        <f t="shared" si="2"/>
        <v>0</v>
      </c>
      <c r="P19" s="69"/>
      <c r="Q19" s="70"/>
      <c r="R19" s="68">
        <f t="shared" si="3"/>
        <v>0</v>
      </c>
      <c r="S19" s="69"/>
      <c r="T19" s="70"/>
      <c r="U19" s="68">
        <f t="shared" si="4"/>
        <v>0</v>
      </c>
      <c r="V19" s="69"/>
      <c r="W19" s="70"/>
      <c r="X19" s="68">
        <f t="shared" si="5"/>
        <v>0</v>
      </c>
      <c r="Y19" s="69"/>
      <c r="Z19" s="70"/>
      <c r="AA19" s="68">
        <f t="shared" si="6"/>
        <v>0</v>
      </c>
      <c r="AB19" s="69"/>
      <c r="AC19" s="70"/>
      <c r="AD19" s="68">
        <f t="shared" si="7"/>
        <v>0</v>
      </c>
      <c r="AE19" s="69"/>
      <c r="AF19" s="70"/>
      <c r="AG19" s="68">
        <f t="shared" si="8"/>
        <v>0</v>
      </c>
      <c r="AH19" s="69"/>
      <c r="AI19" s="70"/>
      <c r="AJ19" s="68">
        <f t="shared" si="9"/>
        <v>0</v>
      </c>
      <c r="AK19" s="69"/>
      <c r="AL19" s="70"/>
      <c r="AM19" s="68">
        <f t="shared" si="10"/>
        <v>0</v>
      </c>
      <c r="AN19" s="69"/>
      <c r="AO19" s="70"/>
      <c r="AP19" s="66">
        <f t="shared" si="11"/>
        <v>0</v>
      </c>
      <c r="AQ19" s="8" t="e">
        <f t="shared" si="0"/>
        <v>#DIV/0!</v>
      </c>
    </row>
    <row r="20" spans="1:43" ht="18" customHeight="1">
      <c r="A20" s="6"/>
      <c r="B20" s="12"/>
      <c r="C20" s="65"/>
      <c r="D20" s="66"/>
      <c r="E20" s="67"/>
      <c r="F20" s="68">
        <f t="shared" si="12"/>
        <v>0</v>
      </c>
      <c r="G20" s="69"/>
      <c r="H20" s="70"/>
      <c r="I20" s="68">
        <f t="shared" si="13"/>
        <v>0</v>
      </c>
      <c r="J20" s="69"/>
      <c r="K20" s="70"/>
      <c r="L20" s="68">
        <f t="shared" si="1"/>
        <v>0</v>
      </c>
      <c r="M20" s="69"/>
      <c r="N20" s="70"/>
      <c r="O20" s="68">
        <f t="shared" si="2"/>
        <v>0</v>
      </c>
      <c r="P20" s="69"/>
      <c r="Q20" s="70"/>
      <c r="R20" s="68">
        <f t="shared" si="3"/>
        <v>0</v>
      </c>
      <c r="S20" s="69"/>
      <c r="T20" s="70"/>
      <c r="U20" s="68">
        <f t="shared" si="4"/>
        <v>0</v>
      </c>
      <c r="V20" s="69"/>
      <c r="W20" s="70"/>
      <c r="X20" s="68">
        <f t="shared" si="5"/>
        <v>0</v>
      </c>
      <c r="Y20" s="69"/>
      <c r="Z20" s="70"/>
      <c r="AA20" s="68">
        <f t="shared" si="6"/>
        <v>0</v>
      </c>
      <c r="AB20" s="69"/>
      <c r="AC20" s="70"/>
      <c r="AD20" s="68">
        <f t="shared" si="7"/>
        <v>0</v>
      </c>
      <c r="AE20" s="69"/>
      <c r="AF20" s="70"/>
      <c r="AG20" s="68">
        <f t="shared" si="8"/>
        <v>0</v>
      </c>
      <c r="AH20" s="69"/>
      <c r="AI20" s="70"/>
      <c r="AJ20" s="68">
        <f t="shared" si="9"/>
        <v>0</v>
      </c>
      <c r="AK20" s="69"/>
      <c r="AL20" s="70"/>
      <c r="AM20" s="68">
        <f t="shared" si="10"/>
        <v>0</v>
      </c>
      <c r="AN20" s="69"/>
      <c r="AO20" s="70"/>
      <c r="AP20" s="66">
        <f t="shared" si="11"/>
        <v>0</v>
      </c>
      <c r="AQ20" s="8" t="e">
        <f t="shared" si="0"/>
        <v>#DIV/0!</v>
      </c>
    </row>
    <row r="21" spans="1:43" ht="18" customHeight="1">
      <c r="A21" s="6"/>
      <c r="B21" s="12"/>
      <c r="C21" s="65"/>
      <c r="D21" s="66"/>
      <c r="E21" s="67"/>
      <c r="F21" s="68">
        <f t="shared" si="12"/>
        <v>0</v>
      </c>
      <c r="G21" s="69"/>
      <c r="H21" s="70"/>
      <c r="I21" s="68">
        <f t="shared" si="13"/>
        <v>0</v>
      </c>
      <c r="J21" s="69"/>
      <c r="K21" s="70"/>
      <c r="L21" s="68">
        <f t="shared" si="1"/>
        <v>0</v>
      </c>
      <c r="M21" s="69"/>
      <c r="N21" s="70"/>
      <c r="O21" s="68">
        <f t="shared" si="2"/>
        <v>0</v>
      </c>
      <c r="P21" s="69"/>
      <c r="Q21" s="70"/>
      <c r="R21" s="68">
        <f t="shared" si="3"/>
        <v>0</v>
      </c>
      <c r="S21" s="69"/>
      <c r="T21" s="70"/>
      <c r="U21" s="68">
        <f t="shared" si="4"/>
        <v>0</v>
      </c>
      <c r="V21" s="69"/>
      <c r="W21" s="70"/>
      <c r="X21" s="68">
        <f t="shared" si="5"/>
        <v>0</v>
      </c>
      <c r="Y21" s="69"/>
      <c r="Z21" s="70"/>
      <c r="AA21" s="68">
        <f t="shared" si="6"/>
        <v>0</v>
      </c>
      <c r="AB21" s="69"/>
      <c r="AC21" s="70"/>
      <c r="AD21" s="68">
        <f t="shared" si="7"/>
        <v>0</v>
      </c>
      <c r="AE21" s="69"/>
      <c r="AF21" s="70"/>
      <c r="AG21" s="68">
        <f t="shared" si="8"/>
        <v>0</v>
      </c>
      <c r="AH21" s="69"/>
      <c r="AI21" s="70"/>
      <c r="AJ21" s="68">
        <f t="shared" si="9"/>
        <v>0</v>
      </c>
      <c r="AK21" s="69"/>
      <c r="AL21" s="70"/>
      <c r="AM21" s="68">
        <f t="shared" si="10"/>
        <v>0</v>
      </c>
      <c r="AN21" s="69"/>
      <c r="AO21" s="70"/>
      <c r="AP21" s="66">
        <f t="shared" si="11"/>
        <v>0</v>
      </c>
      <c r="AQ21" s="8" t="e">
        <f t="shared" si="0"/>
        <v>#DIV/0!</v>
      </c>
    </row>
    <row r="22" spans="1:43" ht="18" customHeight="1">
      <c r="A22" s="6"/>
      <c r="B22" s="12"/>
      <c r="C22" s="65"/>
      <c r="D22" s="66"/>
      <c r="E22" s="67"/>
      <c r="F22" s="68">
        <f t="shared" si="12"/>
        <v>0</v>
      </c>
      <c r="G22" s="69"/>
      <c r="H22" s="70"/>
      <c r="I22" s="68">
        <f t="shared" si="13"/>
        <v>0</v>
      </c>
      <c r="J22" s="69"/>
      <c r="K22" s="70"/>
      <c r="L22" s="68">
        <f t="shared" si="1"/>
        <v>0</v>
      </c>
      <c r="M22" s="69"/>
      <c r="N22" s="70"/>
      <c r="O22" s="68">
        <f t="shared" si="2"/>
        <v>0</v>
      </c>
      <c r="P22" s="69"/>
      <c r="Q22" s="70"/>
      <c r="R22" s="68">
        <f t="shared" si="3"/>
        <v>0</v>
      </c>
      <c r="S22" s="69"/>
      <c r="T22" s="70"/>
      <c r="U22" s="68">
        <f t="shared" si="4"/>
        <v>0</v>
      </c>
      <c r="V22" s="69"/>
      <c r="W22" s="70"/>
      <c r="X22" s="68">
        <f t="shared" si="5"/>
        <v>0</v>
      </c>
      <c r="Y22" s="69"/>
      <c r="Z22" s="70"/>
      <c r="AA22" s="68">
        <f t="shared" si="6"/>
        <v>0</v>
      </c>
      <c r="AB22" s="69"/>
      <c r="AC22" s="70"/>
      <c r="AD22" s="68">
        <f t="shared" si="7"/>
        <v>0</v>
      </c>
      <c r="AE22" s="69"/>
      <c r="AF22" s="70"/>
      <c r="AG22" s="68">
        <f t="shared" si="8"/>
        <v>0</v>
      </c>
      <c r="AH22" s="69"/>
      <c r="AI22" s="70"/>
      <c r="AJ22" s="68">
        <f t="shared" si="9"/>
        <v>0</v>
      </c>
      <c r="AK22" s="69"/>
      <c r="AL22" s="70"/>
      <c r="AM22" s="68">
        <f t="shared" si="10"/>
        <v>0</v>
      </c>
      <c r="AN22" s="69"/>
      <c r="AO22" s="70"/>
      <c r="AP22" s="66">
        <f t="shared" si="11"/>
        <v>0</v>
      </c>
      <c r="AQ22" s="8" t="e">
        <f t="shared" si="0"/>
        <v>#DIV/0!</v>
      </c>
    </row>
    <row r="23" spans="1:43" ht="18" customHeight="1">
      <c r="A23" s="6"/>
      <c r="B23" s="12"/>
      <c r="C23" s="65"/>
      <c r="D23" s="66"/>
      <c r="E23" s="67"/>
      <c r="F23" s="68">
        <f t="shared" si="12"/>
        <v>0</v>
      </c>
      <c r="G23" s="69"/>
      <c r="H23" s="70"/>
      <c r="I23" s="68">
        <f t="shared" si="13"/>
        <v>0</v>
      </c>
      <c r="J23" s="69"/>
      <c r="K23" s="70"/>
      <c r="L23" s="68">
        <f t="shared" si="1"/>
        <v>0</v>
      </c>
      <c r="M23" s="69"/>
      <c r="N23" s="70"/>
      <c r="O23" s="68">
        <f t="shared" si="2"/>
        <v>0</v>
      </c>
      <c r="P23" s="69"/>
      <c r="Q23" s="70"/>
      <c r="R23" s="68">
        <f t="shared" si="3"/>
        <v>0</v>
      </c>
      <c r="S23" s="69"/>
      <c r="T23" s="70"/>
      <c r="U23" s="68">
        <f t="shared" si="4"/>
        <v>0</v>
      </c>
      <c r="V23" s="69"/>
      <c r="W23" s="70"/>
      <c r="X23" s="68">
        <f t="shared" si="5"/>
        <v>0</v>
      </c>
      <c r="Y23" s="69"/>
      <c r="Z23" s="70"/>
      <c r="AA23" s="68">
        <f t="shared" si="6"/>
        <v>0</v>
      </c>
      <c r="AB23" s="69"/>
      <c r="AC23" s="70"/>
      <c r="AD23" s="68">
        <f t="shared" si="7"/>
        <v>0</v>
      </c>
      <c r="AE23" s="69"/>
      <c r="AF23" s="70"/>
      <c r="AG23" s="68">
        <f t="shared" si="8"/>
        <v>0</v>
      </c>
      <c r="AH23" s="69"/>
      <c r="AI23" s="70"/>
      <c r="AJ23" s="68">
        <f t="shared" si="9"/>
        <v>0</v>
      </c>
      <c r="AK23" s="69"/>
      <c r="AL23" s="70"/>
      <c r="AM23" s="68">
        <f t="shared" si="10"/>
        <v>0</v>
      </c>
      <c r="AN23" s="69"/>
      <c r="AO23" s="70"/>
      <c r="AP23" s="66">
        <f t="shared" si="11"/>
        <v>0</v>
      </c>
      <c r="AQ23" s="8" t="e">
        <f t="shared" si="0"/>
        <v>#DIV/0!</v>
      </c>
    </row>
    <row r="24" spans="1:43" ht="18" customHeight="1">
      <c r="A24" s="6"/>
      <c r="B24" s="12"/>
      <c r="C24" s="65"/>
      <c r="D24" s="66"/>
      <c r="E24" s="67"/>
      <c r="F24" s="68">
        <f t="shared" si="12"/>
        <v>0</v>
      </c>
      <c r="G24" s="69"/>
      <c r="H24" s="70"/>
      <c r="I24" s="68">
        <f t="shared" si="13"/>
        <v>0</v>
      </c>
      <c r="J24" s="69"/>
      <c r="K24" s="70"/>
      <c r="L24" s="68">
        <f t="shared" si="1"/>
        <v>0</v>
      </c>
      <c r="M24" s="69"/>
      <c r="N24" s="70"/>
      <c r="O24" s="68">
        <f t="shared" si="2"/>
        <v>0</v>
      </c>
      <c r="P24" s="69"/>
      <c r="Q24" s="70"/>
      <c r="R24" s="68">
        <f t="shared" si="3"/>
        <v>0</v>
      </c>
      <c r="S24" s="69"/>
      <c r="T24" s="70"/>
      <c r="U24" s="68">
        <f t="shared" si="4"/>
        <v>0</v>
      </c>
      <c r="V24" s="69"/>
      <c r="W24" s="70"/>
      <c r="X24" s="68">
        <f t="shared" si="5"/>
        <v>0</v>
      </c>
      <c r="Y24" s="69"/>
      <c r="Z24" s="70"/>
      <c r="AA24" s="68">
        <f t="shared" si="6"/>
        <v>0</v>
      </c>
      <c r="AB24" s="69"/>
      <c r="AC24" s="70"/>
      <c r="AD24" s="68">
        <f t="shared" si="7"/>
        <v>0</v>
      </c>
      <c r="AE24" s="69"/>
      <c r="AF24" s="70"/>
      <c r="AG24" s="68">
        <f t="shared" si="8"/>
        <v>0</v>
      </c>
      <c r="AH24" s="69"/>
      <c r="AI24" s="70"/>
      <c r="AJ24" s="68">
        <f t="shared" si="9"/>
        <v>0</v>
      </c>
      <c r="AK24" s="69"/>
      <c r="AL24" s="70"/>
      <c r="AM24" s="68">
        <f t="shared" si="10"/>
        <v>0</v>
      </c>
      <c r="AN24" s="69"/>
      <c r="AO24" s="70"/>
      <c r="AP24" s="66">
        <f t="shared" si="11"/>
        <v>0</v>
      </c>
      <c r="AQ24" s="8" t="e">
        <f t="shared" si="0"/>
        <v>#DIV/0!</v>
      </c>
    </row>
    <row r="25" spans="1:43" ht="18" customHeight="1">
      <c r="A25" s="6"/>
      <c r="B25" s="12"/>
      <c r="C25" s="65"/>
      <c r="D25" s="66"/>
      <c r="E25" s="67"/>
      <c r="F25" s="68">
        <f t="shared" si="12"/>
        <v>0</v>
      </c>
      <c r="G25" s="69"/>
      <c r="H25" s="70"/>
      <c r="I25" s="68">
        <f t="shared" si="13"/>
        <v>0</v>
      </c>
      <c r="J25" s="69"/>
      <c r="K25" s="70"/>
      <c r="L25" s="68">
        <f t="shared" si="1"/>
        <v>0</v>
      </c>
      <c r="M25" s="69"/>
      <c r="N25" s="70"/>
      <c r="O25" s="68">
        <f t="shared" si="2"/>
        <v>0</v>
      </c>
      <c r="P25" s="69"/>
      <c r="Q25" s="70"/>
      <c r="R25" s="68">
        <f t="shared" si="3"/>
        <v>0</v>
      </c>
      <c r="S25" s="69"/>
      <c r="T25" s="70"/>
      <c r="U25" s="68">
        <f t="shared" si="4"/>
        <v>0</v>
      </c>
      <c r="V25" s="69"/>
      <c r="W25" s="70"/>
      <c r="X25" s="68">
        <f t="shared" si="5"/>
        <v>0</v>
      </c>
      <c r="Y25" s="69"/>
      <c r="Z25" s="70"/>
      <c r="AA25" s="68">
        <f t="shared" si="6"/>
        <v>0</v>
      </c>
      <c r="AB25" s="69"/>
      <c r="AC25" s="70"/>
      <c r="AD25" s="68">
        <f t="shared" si="7"/>
        <v>0</v>
      </c>
      <c r="AE25" s="69"/>
      <c r="AF25" s="70"/>
      <c r="AG25" s="68">
        <f t="shared" si="8"/>
        <v>0</v>
      </c>
      <c r="AH25" s="69"/>
      <c r="AI25" s="70"/>
      <c r="AJ25" s="68">
        <f t="shared" si="9"/>
        <v>0</v>
      </c>
      <c r="AK25" s="69"/>
      <c r="AL25" s="70"/>
      <c r="AM25" s="68">
        <f t="shared" si="10"/>
        <v>0</v>
      </c>
      <c r="AN25" s="69"/>
      <c r="AO25" s="70"/>
      <c r="AP25" s="66">
        <f t="shared" si="11"/>
        <v>0</v>
      </c>
      <c r="AQ25" s="8" t="e">
        <f t="shared" si="0"/>
        <v>#DIV/0!</v>
      </c>
    </row>
    <row r="26" spans="1:43" ht="18" customHeight="1">
      <c r="A26" s="6"/>
      <c r="B26" s="12"/>
      <c r="C26" s="65"/>
      <c r="D26" s="66"/>
      <c r="E26" s="67"/>
      <c r="F26" s="68">
        <f t="shared" si="12"/>
        <v>0</v>
      </c>
      <c r="G26" s="69"/>
      <c r="H26" s="70"/>
      <c r="I26" s="68">
        <f t="shared" si="13"/>
        <v>0</v>
      </c>
      <c r="J26" s="69"/>
      <c r="K26" s="70"/>
      <c r="L26" s="68">
        <f t="shared" si="1"/>
        <v>0</v>
      </c>
      <c r="M26" s="69"/>
      <c r="N26" s="70"/>
      <c r="O26" s="68">
        <f t="shared" si="2"/>
        <v>0</v>
      </c>
      <c r="P26" s="69"/>
      <c r="Q26" s="70"/>
      <c r="R26" s="68">
        <f t="shared" si="3"/>
        <v>0</v>
      </c>
      <c r="S26" s="69"/>
      <c r="T26" s="70"/>
      <c r="U26" s="68">
        <f t="shared" si="4"/>
        <v>0</v>
      </c>
      <c r="V26" s="69"/>
      <c r="W26" s="70"/>
      <c r="X26" s="68">
        <f t="shared" si="5"/>
        <v>0</v>
      </c>
      <c r="Y26" s="69"/>
      <c r="Z26" s="70"/>
      <c r="AA26" s="68">
        <f t="shared" si="6"/>
        <v>0</v>
      </c>
      <c r="AB26" s="69"/>
      <c r="AC26" s="70"/>
      <c r="AD26" s="68">
        <f t="shared" si="7"/>
        <v>0</v>
      </c>
      <c r="AE26" s="69"/>
      <c r="AF26" s="70"/>
      <c r="AG26" s="68">
        <f t="shared" si="8"/>
        <v>0</v>
      </c>
      <c r="AH26" s="69"/>
      <c r="AI26" s="70"/>
      <c r="AJ26" s="68">
        <f t="shared" si="9"/>
        <v>0</v>
      </c>
      <c r="AK26" s="69"/>
      <c r="AL26" s="70"/>
      <c r="AM26" s="68">
        <f t="shared" si="10"/>
        <v>0</v>
      </c>
      <c r="AN26" s="69"/>
      <c r="AO26" s="70"/>
      <c r="AP26" s="66">
        <f t="shared" si="11"/>
        <v>0</v>
      </c>
      <c r="AQ26" s="8" t="e">
        <f t="shared" si="0"/>
        <v>#DIV/0!</v>
      </c>
    </row>
    <row r="27" spans="1:43" ht="18" customHeight="1">
      <c r="A27" s="6"/>
      <c r="B27" s="12"/>
      <c r="C27" s="65"/>
      <c r="D27" s="66"/>
      <c r="E27" s="67"/>
      <c r="F27" s="68">
        <f t="shared" si="12"/>
        <v>0</v>
      </c>
      <c r="G27" s="69"/>
      <c r="H27" s="70"/>
      <c r="I27" s="68">
        <f t="shared" si="13"/>
        <v>0</v>
      </c>
      <c r="J27" s="69"/>
      <c r="K27" s="70"/>
      <c r="L27" s="68">
        <f t="shared" si="1"/>
        <v>0</v>
      </c>
      <c r="M27" s="69"/>
      <c r="N27" s="70"/>
      <c r="O27" s="68">
        <f t="shared" si="2"/>
        <v>0</v>
      </c>
      <c r="P27" s="69"/>
      <c r="Q27" s="70"/>
      <c r="R27" s="68">
        <f t="shared" si="3"/>
        <v>0</v>
      </c>
      <c r="S27" s="69"/>
      <c r="T27" s="70"/>
      <c r="U27" s="68">
        <f t="shared" si="4"/>
        <v>0</v>
      </c>
      <c r="V27" s="69"/>
      <c r="W27" s="70"/>
      <c r="X27" s="68">
        <f t="shared" si="5"/>
        <v>0</v>
      </c>
      <c r="Y27" s="69"/>
      <c r="Z27" s="70"/>
      <c r="AA27" s="68">
        <f t="shared" si="6"/>
        <v>0</v>
      </c>
      <c r="AB27" s="69"/>
      <c r="AC27" s="70"/>
      <c r="AD27" s="68">
        <f t="shared" si="7"/>
        <v>0</v>
      </c>
      <c r="AE27" s="69"/>
      <c r="AF27" s="70"/>
      <c r="AG27" s="68">
        <f t="shared" si="8"/>
        <v>0</v>
      </c>
      <c r="AH27" s="69"/>
      <c r="AI27" s="70"/>
      <c r="AJ27" s="68">
        <f t="shared" si="9"/>
        <v>0</v>
      </c>
      <c r="AK27" s="69"/>
      <c r="AL27" s="70"/>
      <c r="AM27" s="68">
        <f t="shared" si="10"/>
        <v>0</v>
      </c>
      <c r="AN27" s="69"/>
      <c r="AO27" s="70"/>
      <c r="AP27" s="66">
        <f t="shared" si="11"/>
        <v>0</v>
      </c>
      <c r="AQ27" s="8" t="e">
        <f t="shared" si="0"/>
        <v>#DIV/0!</v>
      </c>
    </row>
    <row r="28" spans="1:43" ht="18" customHeight="1">
      <c r="A28" s="6"/>
      <c r="B28" s="12"/>
      <c r="C28" s="65"/>
      <c r="D28" s="71"/>
      <c r="E28" s="67"/>
      <c r="F28" s="68">
        <f t="shared" si="12"/>
        <v>0</v>
      </c>
      <c r="G28" s="69"/>
      <c r="H28" s="70"/>
      <c r="I28" s="68">
        <f t="shared" si="13"/>
        <v>0</v>
      </c>
      <c r="J28" s="69"/>
      <c r="K28" s="70"/>
      <c r="L28" s="68">
        <f t="shared" si="1"/>
        <v>0</v>
      </c>
      <c r="M28" s="69"/>
      <c r="N28" s="70"/>
      <c r="O28" s="68">
        <f t="shared" si="2"/>
        <v>0</v>
      </c>
      <c r="P28" s="69"/>
      <c r="Q28" s="70"/>
      <c r="R28" s="68">
        <f t="shared" si="3"/>
        <v>0</v>
      </c>
      <c r="S28" s="69"/>
      <c r="T28" s="70"/>
      <c r="U28" s="68">
        <f t="shared" si="4"/>
        <v>0</v>
      </c>
      <c r="V28" s="69"/>
      <c r="W28" s="70"/>
      <c r="X28" s="68">
        <f t="shared" si="5"/>
        <v>0</v>
      </c>
      <c r="Y28" s="69"/>
      <c r="Z28" s="70"/>
      <c r="AA28" s="68">
        <f t="shared" si="6"/>
        <v>0</v>
      </c>
      <c r="AB28" s="69"/>
      <c r="AC28" s="70"/>
      <c r="AD28" s="68">
        <f t="shared" si="7"/>
        <v>0</v>
      </c>
      <c r="AE28" s="69"/>
      <c r="AF28" s="70"/>
      <c r="AG28" s="68">
        <f t="shared" si="8"/>
        <v>0</v>
      </c>
      <c r="AH28" s="69"/>
      <c r="AI28" s="70"/>
      <c r="AJ28" s="68">
        <f t="shared" si="9"/>
        <v>0</v>
      </c>
      <c r="AK28" s="69"/>
      <c r="AL28" s="70"/>
      <c r="AM28" s="68">
        <f t="shared" si="10"/>
        <v>0</v>
      </c>
      <c r="AN28" s="69"/>
      <c r="AO28" s="70"/>
      <c r="AP28" s="71">
        <f t="shared" si="11"/>
        <v>0</v>
      </c>
      <c r="AQ28" s="8" t="e">
        <f t="shared" si="0"/>
        <v>#DIV/0!</v>
      </c>
    </row>
    <row r="29" spans="1:43" ht="18" customHeight="1">
      <c r="A29" s="6"/>
      <c r="B29" s="12"/>
      <c r="C29" s="65"/>
      <c r="D29" s="71"/>
      <c r="E29" s="67"/>
      <c r="F29" s="68">
        <f t="shared" si="12"/>
        <v>0</v>
      </c>
      <c r="G29" s="69"/>
      <c r="H29" s="70"/>
      <c r="I29" s="68">
        <f t="shared" si="13"/>
        <v>0</v>
      </c>
      <c r="J29" s="69"/>
      <c r="K29" s="70"/>
      <c r="L29" s="68">
        <f t="shared" si="1"/>
        <v>0</v>
      </c>
      <c r="M29" s="69"/>
      <c r="N29" s="70"/>
      <c r="O29" s="68">
        <f t="shared" si="2"/>
        <v>0</v>
      </c>
      <c r="P29" s="69"/>
      <c r="Q29" s="70"/>
      <c r="R29" s="68">
        <f t="shared" si="3"/>
        <v>0</v>
      </c>
      <c r="S29" s="69"/>
      <c r="T29" s="70"/>
      <c r="U29" s="68">
        <f t="shared" si="4"/>
        <v>0</v>
      </c>
      <c r="V29" s="69"/>
      <c r="W29" s="70"/>
      <c r="X29" s="68">
        <f t="shared" si="5"/>
        <v>0</v>
      </c>
      <c r="Y29" s="69"/>
      <c r="Z29" s="70"/>
      <c r="AA29" s="68">
        <f t="shared" si="6"/>
        <v>0</v>
      </c>
      <c r="AB29" s="69"/>
      <c r="AC29" s="70"/>
      <c r="AD29" s="68">
        <f t="shared" si="7"/>
        <v>0</v>
      </c>
      <c r="AE29" s="69"/>
      <c r="AF29" s="70"/>
      <c r="AG29" s="68">
        <f t="shared" si="8"/>
        <v>0</v>
      </c>
      <c r="AH29" s="69"/>
      <c r="AI29" s="70"/>
      <c r="AJ29" s="68">
        <f t="shared" si="9"/>
        <v>0</v>
      </c>
      <c r="AK29" s="69"/>
      <c r="AL29" s="70"/>
      <c r="AM29" s="68">
        <f t="shared" si="10"/>
        <v>0</v>
      </c>
      <c r="AN29" s="69"/>
      <c r="AO29" s="70"/>
      <c r="AP29" s="71">
        <f t="shared" si="11"/>
        <v>0</v>
      </c>
      <c r="AQ29" s="8" t="e">
        <f t="shared" si="0"/>
        <v>#DIV/0!</v>
      </c>
    </row>
    <row r="30" spans="1:43" ht="18" customHeight="1" thickBot="1">
      <c r="A30" s="6"/>
      <c r="B30" s="13"/>
      <c r="C30" s="60"/>
      <c r="D30" s="72"/>
      <c r="E30" s="62"/>
      <c r="F30" s="62">
        <f t="shared" si="12"/>
        <v>0</v>
      </c>
      <c r="G30" s="73"/>
      <c r="H30" s="74"/>
      <c r="I30" s="62">
        <f t="shared" si="13"/>
        <v>0</v>
      </c>
      <c r="J30" s="73"/>
      <c r="K30" s="74"/>
      <c r="L30" s="62">
        <f t="shared" si="1"/>
        <v>0</v>
      </c>
      <c r="M30" s="73"/>
      <c r="N30" s="74"/>
      <c r="O30" s="62">
        <f t="shared" si="2"/>
        <v>0</v>
      </c>
      <c r="P30" s="73"/>
      <c r="Q30" s="74"/>
      <c r="R30" s="62">
        <f t="shared" si="3"/>
        <v>0</v>
      </c>
      <c r="S30" s="73"/>
      <c r="T30" s="74"/>
      <c r="U30" s="62">
        <f t="shared" si="4"/>
        <v>0</v>
      </c>
      <c r="V30" s="73"/>
      <c r="W30" s="74"/>
      <c r="X30" s="62">
        <f t="shared" si="5"/>
        <v>0</v>
      </c>
      <c r="Y30" s="73"/>
      <c r="Z30" s="74"/>
      <c r="AA30" s="62">
        <f t="shared" si="6"/>
        <v>0</v>
      </c>
      <c r="AB30" s="73"/>
      <c r="AC30" s="74"/>
      <c r="AD30" s="62">
        <f t="shared" si="7"/>
        <v>0</v>
      </c>
      <c r="AE30" s="73"/>
      <c r="AF30" s="74"/>
      <c r="AG30" s="62">
        <f t="shared" si="8"/>
        <v>0</v>
      </c>
      <c r="AH30" s="73"/>
      <c r="AI30" s="74"/>
      <c r="AJ30" s="62">
        <f t="shared" si="9"/>
        <v>0</v>
      </c>
      <c r="AK30" s="73"/>
      <c r="AL30" s="74"/>
      <c r="AM30" s="62">
        <f t="shared" si="10"/>
        <v>0</v>
      </c>
      <c r="AN30" s="73"/>
      <c r="AO30" s="74"/>
      <c r="AP30" s="72">
        <f t="shared" si="11"/>
        <v>0</v>
      </c>
      <c r="AQ30" s="7" t="e">
        <f t="shared" si="0"/>
        <v>#DIV/0!</v>
      </c>
    </row>
    <row r="31" spans="1:43" ht="18" customHeight="1" thickTop="1">
      <c r="B31" s="14" t="s">
        <v>32</v>
      </c>
      <c r="C31" s="75">
        <f t="shared" ref="C31:AI31" si="14">SUM(C12:C30)</f>
        <v>230</v>
      </c>
      <c r="D31" s="76">
        <f t="shared" si="14"/>
        <v>100</v>
      </c>
      <c r="E31" s="77">
        <f t="shared" si="14"/>
        <v>200</v>
      </c>
      <c r="F31" s="77">
        <f t="shared" si="14"/>
        <v>90</v>
      </c>
      <c r="G31" s="78">
        <f t="shared" si="14"/>
        <v>0</v>
      </c>
      <c r="H31" s="79">
        <f t="shared" si="14"/>
        <v>0</v>
      </c>
      <c r="I31" s="77">
        <f t="shared" si="14"/>
        <v>59</v>
      </c>
      <c r="J31" s="78">
        <f t="shared" si="14"/>
        <v>0</v>
      </c>
      <c r="K31" s="79">
        <f t="shared" si="14"/>
        <v>0</v>
      </c>
      <c r="L31" s="77">
        <f t="shared" si="14"/>
        <v>0</v>
      </c>
      <c r="M31" s="78">
        <f t="shared" si="14"/>
        <v>0</v>
      </c>
      <c r="N31" s="79">
        <f t="shared" si="14"/>
        <v>0</v>
      </c>
      <c r="O31" s="77">
        <f t="shared" si="14"/>
        <v>0</v>
      </c>
      <c r="P31" s="78">
        <f t="shared" si="14"/>
        <v>0</v>
      </c>
      <c r="Q31" s="79">
        <f t="shared" si="14"/>
        <v>0</v>
      </c>
      <c r="R31" s="77">
        <f t="shared" si="14"/>
        <v>0</v>
      </c>
      <c r="S31" s="78">
        <f t="shared" si="14"/>
        <v>0</v>
      </c>
      <c r="T31" s="79">
        <f t="shared" si="14"/>
        <v>0</v>
      </c>
      <c r="U31" s="77">
        <f t="shared" si="14"/>
        <v>0</v>
      </c>
      <c r="V31" s="78">
        <f t="shared" si="14"/>
        <v>0</v>
      </c>
      <c r="W31" s="79">
        <f t="shared" si="14"/>
        <v>0</v>
      </c>
      <c r="X31" s="77">
        <f t="shared" si="14"/>
        <v>0</v>
      </c>
      <c r="Y31" s="78">
        <f t="shared" si="14"/>
        <v>0</v>
      </c>
      <c r="Z31" s="79">
        <f t="shared" si="14"/>
        <v>0</v>
      </c>
      <c r="AA31" s="77">
        <f t="shared" si="14"/>
        <v>0</v>
      </c>
      <c r="AB31" s="78">
        <f t="shared" si="14"/>
        <v>0</v>
      </c>
      <c r="AC31" s="79">
        <f t="shared" si="14"/>
        <v>0</v>
      </c>
      <c r="AD31" s="77">
        <f t="shared" si="14"/>
        <v>0</v>
      </c>
      <c r="AE31" s="78">
        <f t="shared" si="14"/>
        <v>0</v>
      </c>
      <c r="AF31" s="79">
        <f t="shared" si="14"/>
        <v>0</v>
      </c>
      <c r="AG31" s="77">
        <f t="shared" si="14"/>
        <v>0</v>
      </c>
      <c r="AH31" s="78">
        <f t="shared" si="14"/>
        <v>0</v>
      </c>
      <c r="AI31" s="79">
        <f t="shared" si="14"/>
        <v>0</v>
      </c>
      <c r="AJ31" s="77">
        <f t="shared" ref="AJ31:AO31" si="15">SUM(AJ12:AJ30)</f>
        <v>0</v>
      </c>
      <c r="AK31" s="78">
        <f t="shared" si="15"/>
        <v>0</v>
      </c>
      <c r="AL31" s="79">
        <f t="shared" si="15"/>
        <v>0</v>
      </c>
      <c r="AM31" s="77">
        <f t="shared" si="15"/>
        <v>0</v>
      </c>
      <c r="AN31" s="78">
        <f t="shared" si="15"/>
        <v>0</v>
      </c>
      <c r="AO31" s="79">
        <f t="shared" si="15"/>
        <v>0</v>
      </c>
      <c r="AP31" s="76">
        <f>SUM(AP12:AP30)</f>
        <v>90</v>
      </c>
      <c r="AQ31" s="9">
        <f t="shared" si="0"/>
        <v>0.45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31" zoomScaleNormal="100" zoomScaleSheetLayoutView="100" workbookViewId="0">
      <selection activeCell="R2" sqref="R2"/>
    </sheetView>
  </sheetViews>
  <sheetFormatPr defaultColWidth="11.375" defaultRowHeight="18.75" customHeight="1"/>
  <cols>
    <col min="1" max="1" width="2.875" style="39"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39" t="s">
        <v>64</v>
      </c>
      <c r="I1" s="33" t="s">
        <v>105</v>
      </c>
    </row>
    <row r="2" spans="1:9" ht="18.75" customHeight="1">
      <c r="G2" s="33" t="s">
        <v>108</v>
      </c>
      <c r="H2" s="128" t="str">
        <f>'様式１−１　プログラムを構成する授業科目'!C2</f>
        <v>岩手県立大学盛岡短期大学部</v>
      </c>
      <c r="I2" s="115"/>
    </row>
    <row r="3" spans="1:9" ht="18.75" customHeight="1">
      <c r="G3" s="33"/>
      <c r="H3" s="10"/>
      <c r="I3" s="10"/>
    </row>
    <row r="4" spans="1:9" ht="18.600000000000001" customHeight="1">
      <c r="A4" s="160" t="s">
        <v>35</v>
      </c>
      <c r="B4" s="160"/>
      <c r="C4" s="160"/>
      <c r="D4" s="160"/>
      <c r="E4" s="160"/>
      <c r="F4" s="160"/>
      <c r="G4" s="160"/>
      <c r="H4" s="160"/>
      <c r="I4" s="160"/>
    </row>
    <row r="5" spans="1:9" ht="13.35" customHeight="1">
      <c r="B5" s="3"/>
      <c r="C5" s="3"/>
      <c r="D5" s="3"/>
      <c r="E5" s="3"/>
      <c r="F5" s="3"/>
      <c r="G5" s="3"/>
      <c r="H5" s="3"/>
      <c r="I5" s="3"/>
    </row>
    <row r="6" spans="1:9" ht="18" customHeight="1">
      <c r="A6" s="1" t="s">
        <v>0</v>
      </c>
      <c r="B6" s="10" t="s">
        <v>90</v>
      </c>
      <c r="C6" s="256" t="s">
        <v>91</v>
      </c>
      <c r="D6" s="256"/>
      <c r="E6" s="32">
        <v>25</v>
      </c>
      <c r="F6" s="3" t="s">
        <v>1</v>
      </c>
      <c r="G6" s="3" t="s">
        <v>2</v>
      </c>
      <c r="H6" s="32">
        <v>41</v>
      </c>
      <c r="I6" s="10" t="s">
        <v>1</v>
      </c>
    </row>
    <row r="7" spans="1:9" ht="12" customHeight="1">
      <c r="C7" s="2"/>
      <c r="D7" s="2"/>
      <c r="E7" s="2"/>
      <c r="F7" s="2"/>
      <c r="G7" s="2"/>
      <c r="H7" s="2"/>
      <c r="I7" s="40"/>
    </row>
    <row r="8" spans="1:9" ht="18" customHeight="1">
      <c r="A8" s="1" t="s">
        <v>3</v>
      </c>
      <c r="B8" s="10" t="s">
        <v>92</v>
      </c>
      <c r="E8" s="3"/>
      <c r="F8" s="3"/>
      <c r="G8" s="3"/>
      <c r="H8" s="32">
        <v>6</v>
      </c>
      <c r="I8" s="10" t="s">
        <v>1</v>
      </c>
    </row>
    <row r="9" spans="1:9" ht="9" customHeight="1">
      <c r="B9" s="3"/>
      <c r="C9" s="3"/>
      <c r="D9" s="3"/>
      <c r="E9" s="3"/>
      <c r="F9" s="3"/>
      <c r="G9" s="3"/>
      <c r="H9" s="3"/>
      <c r="I9" s="3"/>
    </row>
    <row r="10" spans="1:9" ht="18" customHeight="1">
      <c r="A10" s="1" t="s">
        <v>4</v>
      </c>
      <c r="B10" s="10" t="s">
        <v>93</v>
      </c>
      <c r="C10" s="3"/>
      <c r="D10" s="3"/>
      <c r="E10" s="3"/>
      <c r="F10" s="3"/>
      <c r="G10" s="3"/>
      <c r="H10" s="3"/>
      <c r="I10" s="3"/>
    </row>
    <row r="11" spans="1:9" ht="18" customHeight="1">
      <c r="B11" s="33" t="s">
        <v>42</v>
      </c>
      <c r="C11" s="249" t="s">
        <v>139</v>
      </c>
      <c r="D11" s="252"/>
      <c r="E11" s="253"/>
      <c r="F11" s="40"/>
      <c r="G11" s="33" t="s">
        <v>10</v>
      </c>
      <c r="H11" s="249" t="s">
        <v>140</v>
      </c>
      <c r="I11" s="253"/>
    </row>
    <row r="12" spans="1:9" ht="10.35" customHeight="1">
      <c r="B12" s="33"/>
      <c r="C12" s="10"/>
      <c r="D12" s="40"/>
      <c r="E12" s="40"/>
      <c r="F12" s="40"/>
      <c r="G12" s="33"/>
      <c r="H12" s="10"/>
      <c r="I12" s="40"/>
    </row>
    <row r="13" spans="1:9" ht="18" customHeight="1">
      <c r="A13" s="1" t="s">
        <v>7</v>
      </c>
      <c r="B13" s="10" t="s">
        <v>87</v>
      </c>
      <c r="C13" s="3"/>
      <c r="D13" s="3"/>
      <c r="E13" s="3"/>
      <c r="F13" s="3"/>
      <c r="G13" s="3"/>
      <c r="H13" s="3"/>
      <c r="I13" s="3"/>
    </row>
    <row r="14" spans="1:9" ht="18" customHeight="1">
      <c r="B14" s="249" t="s">
        <v>152</v>
      </c>
      <c r="C14" s="250"/>
      <c r="D14" s="250"/>
      <c r="E14" s="250"/>
      <c r="F14" s="250"/>
      <c r="G14" s="250"/>
      <c r="H14" s="250"/>
      <c r="I14" s="251"/>
    </row>
    <row r="15" spans="1:9" ht="9" customHeight="1">
      <c r="B15" s="3"/>
      <c r="C15" s="3"/>
      <c r="D15" s="3"/>
      <c r="E15" s="3"/>
      <c r="F15" s="3"/>
      <c r="G15" s="3"/>
      <c r="H15" s="3"/>
      <c r="I15" s="3"/>
    </row>
    <row r="16" spans="1:9" ht="18" customHeight="1">
      <c r="B16" s="33" t="s">
        <v>42</v>
      </c>
      <c r="C16" s="249" t="s">
        <v>139</v>
      </c>
      <c r="D16" s="252"/>
      <c r="E16" s="253"/>
      <c r="F16" s="40"/>
      <c r="G16" s="33" t="s">
        <v>10</v>
      </c>
      <c r="H16" s="254" t="s">
        <v>149</v>
      </c>
      <c r="I16" s="255"/>
    </row>
    <row r="17" spans="1:9" ht="18" customHeight="1">
      <c r="B17" s="3"/>
      <c r="C17" s="3"/>
      <c r="D17" s="3"/>
      <c r="E17" s="3"/>
      <c r="F17" s="3"/>
      <c r="G17" s="3"/>
      <c r="H17" s="3"/>
      <c r="I17" s="3"/>
    </row>
    <row r="18" spans="1:9" ht="18.75" customHeight="1">
      <c r="A18" s="1" t="s">
        <v>5</v>
      </c>
      <c r="B18" s="1" t="s">
        <v>41</v>
      </c>
      <c r="I18" s="3"/>
    </row>
    <row r="19" spans="1:9" ht="18.75" customHeight="1">
      <c r="A19" s="1"/>
      <c r="B19" s="241" t="s">
        <v>142</v>
      </c>
      <c r="C19" s="242"/>
      <c r="D19" s="242"/>
      <c r="E19" s="242"/>
      <c r="F19" s="242"/>
      <c r="G19" s="242"/>
      <c r="H19" s="242"/>
      <c r="I19" s="243"/>
    </row>
    <row r="20" spans="1:9" ht="7.5" customHeight="1">
      <c r="B20" s="3"/>
      <c r="C20" s="3"/>
      <c r="D20" s="3"/>
      <c r="E20" s="3"/>
      <c r="F20" s="3"/>
      <c r="G20" s="3"/>
      <c r="H20" s="3"/>
      <c r="I20" s="3"/>
    </row>
    <row r="21" spans="1:9" ht="18.75" customHeight="1">
      <c r="A21" s="1" t="s">
        <v>8</v>
      </c>
      <c r="B21" s="1" t="s">
        <v>24</v>
      </c>
    </row>
    <row r="22" spans="1:9" ht="18.75" customHeight="1">
      <c r="A22" s="15"/>
      <c r="B22" s="231" t="s">
        <v>155</v>
      </c>
      <c r="C22" s="232"/>
      <c r="D22" s="232"/>
      <c r="E22" s="232"/>
      <c r="F22" s="232"/>
      <c r="G22" s="232"/>
      <c r="H22" s="232"/>
      <c r="I22" s="233"/>
    </row>
    <row r="23" spans="1:9" ht="18.75" customHeight="1">
      <c r="A23" s="15"/>
      <c r="B23" s="244"/>
      <c r="C23" s="245"/>
      <c r="D23" s="245"/>
      <c r="E23" s="245"/>
      <c r="F23" s="245"/>
      <c r="G23" s="245"/>
      <c r="H23" s="245"/>
      <c r="I23" s="236"/>
    </row>
    <row r="24" spans="1:9" ht="18.75" customHeight="1">
      <c r="A24" s="15"/>
      <c r="B24" s="244"/>
      <c r="C24" s="245"/>
      <c r="D24" s="245"/>
      <c r="E24" s="245"/>
      <c r="F24" s="245"/>
      <c r="G24" s="245"/>
      <c r="H24" s="245"/>
      <c r="I24" s="236"/>
    </row>
    <row r="25" spans="1:9" ht="18.75" customHeight="1">
      <c r="A25" s="15"/>
      <c r="B25" s="244"/>
      <c r="C25" s="245"/>
      <c r="D25" s="245"/>
      <c r="E25" s="245"/>
      <c r="F25" s="245"/>
      <c r="G25" s="245"/>
      <c r="H25" s="245"/>
      <c r="I25" s="236"/>
    </row>
    <row r="26" spans="1:9" ht="18.75" customHeight="1">
      <c r="A26" s="15"/>
      <c r="B26" s="244"/>
      <c r="C26" s="245"/>
      <c r="D26" s="245"/>
      <c r="E26" s="245"/>
      <c r="F26" s="245"/>
      <c r="G26" s="245"/>
      <c r="H26" s="245"/>
      <c r="I26" s="236"/>
    </row>
    <row r="27" spans="1:9" ht="18.75" customHeight="1">
      <c r="A27" s="15"/>
      <c r="B27" s="244"/>
      <c r="C27" s="245"/>
      <c r="D27" s="245"/>
      <c r="E27" s="245"/>
      <c r="F27" s="245"/>
      <c r="G27" s="245"/>
      <c r="H27" s="245"/>
      <c r="I27" s="236"/>
    </row>
    <row r="28" spans="1:9" ht="18.75" customHeight="1">
      <c r="A28" s="15"/>
      <c r="B28" s="244"/>
      <c r="C28" s="245"/>
      <c r="D28" s="245"/>
      <c r="E28" s="245"/>
      <c r="F28" s="245"/>
      <c r="G28" s="245"/>
      <c r="H28" s="245"/>
      <c r="I28" s="236"/>
    </row>
    <row r="29" spans="1:9" ht="18.75" customHeight="1">
      <c r="A29" s="15"/>
      <c r="B29" s="244"/>
      <c r="C29" s="245"/>
      <c r="D29" s="245"/>
      <c r="E29" s="245"/>
      <c r="F29" s="245"/>
      <c r="G29" s="245"/>
      <c r="H29" s="245"/>
      <c r="I29" s="236"/>
    </row>
    <row r="30" spans="1:9" ht="18.75" customHeight="1">
      <c r="A30" s="15"/>
      <c r="B30" s="234"/>
      <c r="C30" s="235"/>
      <c r="D30" s="235"/>
      <c r="E30" s="235"/>
      <c r="F30" s="235"/>
      <c r="G30" s="235"/>
      <c r="H30" s="235"/>
      <c r="I30" s="236"/>
    </row>
    <row r="31" spans="1:9" ht="18.75" customHeight="1">
      <c r="A31" s="15"/>
      <c r="B31" s="234"/>
      <c r="C31" s="235"/>
      <c r="D31" s="235"/>
      <c r="E31" s="235"/>
      <c r="F31" s="235"/>
      <c r="G31" s="235"/>
      <c r="H31" s="235"/>
      <c r="I31" s="236"/>
    </row>
    <row r="32" spans="1:9" ht="18.75" customHeight="1">
      <c r="A32" s="15"/>
      <c r="B32" s="237"/>
      <c r="C32" s="238"/>
      <c r="D32" s="238"/>
      <c r="E32" s="238"/>
      <c r="F32" s="238"/>
      <c r="G32" s="238"/>
      <c r="H32" s="238"/>
      <c r="I32" s="239"/>
    </row>
    <row r="33" spans="1:9" ht="7.5" customHeight="1">
      <c r="A33" s="15"/>
      <c r="B33" s="15"/>
      <c r="C33" s="15"/>
      <c r="D33" s="15"/>
      <c r="E33" s="15"/>
      <c r="F33" s="15"/>
      <c r="G33" s="15"/>
      <c r="H33" s="15"/>
      <c r="I33" s="15"/>
    </row>
    <row r="34" spans="1:9" ht="18.75" customHeight="1">
      <c r="A34" s="16" t="s">
        <v>6</v>
      </c>
      <c r="B34" s="16" t="s">
        <v>9</v>
      </c>
      <c r="C34" s="10"/>
      <c r="D34" s="16"/>
      <c r="E34" s="16"/>
      <c r="F34" s="16"/>
      <c r="G34" s="16"/>
      <c r="H34" s="16"/>
      <c r="I34" s="16"/>
    </row>
    <row r="35" spans="1:9" ht="18.75" customHeight="1">
      <c r="A35" s="15"/>
      <c r="B35" s="231" t="s">
        <v>154</v>
      </c>
      <c r="C35" s="232"/>
      <c r="D35" s="232"/>
      <c r="E35" s="232"/>
      <c r="F35" s="232"/>
      <c r="G35" s="232"/>
      <c r="H35" s="232"/>
      <c r="I35" s="233"/>
    </row>
    <row r="36" spans="1:9" ht="18.75" customHeight="1">
      <c r="A36" s="15"/>
      <c r="B36" s="234"/>
      <c r="C36" s="235"/>
      <c r="D36" s="235"/>
      <c r="E36" s="235"/>
      <c r="F36" s="235"/>
      <c r="G36" s="235"/>
      <c r="H36" s="235"/>
      <c r="I36" s="236"/>
    </row>
    <row r="37" spans="1:9" ht="18.75" customHeight="1">
      <c r="A37" s="15"/>
      <c r="B37" s="234"/>
      <c r="C37" s="235"/>
      <c r="D37" s="235"/>
      <c r="E37" s="235"/>
      <c r="F37" s="235"/>
      <c r="G37" s="235"/>
      <c r="H37" s="235"/>
      <c r="I37" s="236"/>
    </row>
    <row r="38" spans="1:9" ht="18.75" customHeight="1">
      <c r="A38" s="15"/>
      <c r="B38" s="234"/>
      <c r="C38" s="235"/>
      <c r="D38" s="235"/>
      <c r="E38" s="235"/>
      <c r="F38" s="235"/>
      <c r="G38" s="235"/>
      <c r="H38" s="235"/>
      <c r="I38" s="236"/>
    </row>
    <row r="39" spans="1:9" ht="18.75" customHeight="1">
      <c r="A39" s="15"/>
      <c r="B39" s="234"/>
      <c r="C39" s="235"/>
      <c r="D39" s="235"/>
      <c r="E39" s="235"/>
      <c r="F39" s="235"/>
      <c r="G39" s="235"/>
      <c r="H39" s="235"/>
      <c r="I39" s="236"/>
    </row>
    <row r="40" spans="1:9" ht="18.75" customHeight="1">
      <c r="A40" s="15"/>
      <c r="B40" s="234"/>
      <c r="C40" s="235"/>
      <c r="D40" s="235"/>
      <c r="E40" s="235"/>
      <c r="F40" s="235"/>
      <c r="G40" s="235"/>
      <c r="H40" s="235"/>
      <c r="I40" s="236"/>
    </row>
    <row r="41" spans="1:9" ht="18.75" customHeight="1">
      <c r="A41" s="15"/>
      <c r="B41" s="234"/>
      <c r="C41" s="235"/>
      <c r="D41" s="235"/>
      <c r="E41" s="235"/>
      <c r="F41" s="235"/>
      <c r="G41" s="235"/>
      <c r="H41" s="235"/>
      <c r="I41" s="236"/>
    </row>
    <row r="42" spans="1:9" ht="18.75" customHeight="1">
      <c r="A42" s="15"/>
      <c r="B42" s="234"/>
      <c r="C42" s="235"/>
      <c r="D42" s="235"/>
      <c r="E42" s="235"/>
      <c r="F42" s="235"/>
      <c r="G42" s="235"/>
      <c r="H42" s="235"/>
      <c r="I42" s="236"/>
    </row>
    <row r="43" spans="1:9" ht="18.75" customHeight="1">
      <c r="A43" s="15"/>
      <c r="B43" s="234"/>
      <c r="C43" s="235"/>
      <c r="D43" s="235"/>
      <c r="E43" s="235"/>
      <c r="F43" s="235"/>
      <c r="G43" s="235"/>
      <c r="H43" s="235"/>
      <c r="I43" s="236"/>
    </row>
    <row r="44" spans="1:9" ht="18.75" customHeight="1">
      <c r="A44" s="15"/>
      <c r="B44" s="234"/>
      <c r="C44" s="235"/>
      <c r="D44" s="235"/>
      <c r="E44" s="235"/>
      <c r="F44" s="235"/>
      <c r="G44" s="235"/>
      <c r="H44" s="235"/>
      <c r="I44" s="236"/>
    </row>
    <row r="45" spans="1:9" ht="18.75" customHeight="1">
      <c r="A45" s="15"/>
      <c r="B45" s="234"/>
      <c r="C45" s="235"/>
      <c r="D45" s="235"/>
      <c r="E45" s="235"/>
      <c r="F45" s="235"/>
      <c r="G45" s="235"/>
      <c r="H45" s="235"/>
      <c r="I45" s="236"/>
    </row>
    <row r="46" spans="1:9" ht="18.75" customHeight="1">
      <c r="A46" s="15"/>
      <c r="B46" s="237"/>
      <c r="C46" s="238"/>
      <c r="D46" s="238"/>
      <c r="E46" s="238"/>
      <c r="F46" s="238"/>
      <c r="G46" s="238"/>
      <c r="H46" s="238"/>
      <c r="I46" s="239"/>
    </row>
    <row r="47" spans="1:9" ht="7.5" customHeight="1">
      <c r="A47" s="4"/>
      <c r="B47" s="4"/>
      <c r="C47" s="4"/>
      <c r="D47" s="4"/>
      <c r="E47" s="4"/>
      <c r="F47" s="4"/>
      <c r="G47" s="4"/>
      <c r="H47" s="4"/>
      <c r="I47" s="4"/>
    </row>
    <row r="48" spans="1:9" ht="18.75" customHeight="1">
      <c r="A48" s="1" t="s">
        <v>30</v>
      </c>
      <c r="B48" s="1" t="s">
        <v>122</v>
      </c>
    </row>
    <row r="49" spans="1:15" s="3" customFormat="1" ht="18.75" customHeight="1">
      <c r="B49" s="41" t="s">
        <v>88</v>
      </c>
      <c r="C49" s="229">
        <f>'様式２ 履修者等数の実績'!AQ31</f>
        <v>0.45</v>
      </c>
      <c r="D49" s="229"/>
      <c r="E49" s="41" t="s">
        <v>65</v>
      </c>
      <c r="F49" s="229">
        <v>0.87</v>
      </c>
      <c r="G49" s="229"/>
      <c r="H49" s="41" t="s">
        <v>66</v>
      </c>
      <c r="I49" s="42">
        <v>1</v>
      </c>
      <c r="J49" s="1"/>
      <c r="M49" s="1"/>
      <c r="N49" s="43"/>
    </row>
    <row r="50" spans="1:15" s="3" customFormat="1" ht="18.75" customHeight="1">
      <c r="B50" s="44" t="s">
        <v>67</v>
      </c>
      <c r="C50" s="230">
        <v>1</v>
      </c>
      <c r="D50" s="230"/>
      <c r="E50" s="44" t="s">
        <v>89</v>
      </c>
      <c r="F50" s="230">
        <v>1</v>
      </c>
      <c r="G50" s="230"/>
      <c r="H50" s="44" t="s">
        <v>68</v>
      </c>
      <c r="I50" s="45">
        <f>'様式２ 履修者等数の実績'!E31</f>
        <v>200</v>
      </c>
      <c r="J50" s="1"/>
      <c r="M50" s="1"/>
      <c r="N50" s="43"/>
    </row>
    <row r="51" spans="1:15" ht="18.75" customHeight="1">
      <c r="A51" s="1"/>
      <c r="B51" s="246" t="s">
        <v>69</v>
      </c>
      <c r="C51" s="247"/>
      <c r="D51" s="247"/>
      <c r="E51" s="247"/>
      <c r="F51" s="247"/>
      <c r="G51" s="247"/>
      <c r="H51" s="247"/>
      <c r="I51" s="248"/>
      <c r="N51" s="43"/>
      <c r="O51" s="3"/>
    </row>
    <row r="52" spans="1:15" ht="18.75" customHeight="1">
      <c r="A52" s="1"/>
      <c r="B52" s="282" t="s">
        <v>193</v>
      </c>
      <c r="C52" s="104"/>
      <c r="D52" s="104"/>
      <c r="E52" s="104"/>
      <c r="F52" s="104"/>
      <c r="G52" s="104"/>
      <c r="H52" s="104"/>
      <c r="I52" s="105"/>
      <c r="N52" s="43"/>
      <c r="O52" s="3"/>
    </row>
    <row r="53" spans="1:15" ht="18.75" customHeight="1">
      <c r="A53" s="1"/>
      <c r="B53" s="216"/>
      <c r="C53" s="108"/>
      <c r="D53" s="108"/>
      <c r="E53" s="108"/>
      <c r="F53" s="108"/>
      <c r="G53" s="108"/>
      <c r="H53" s="108"/>
      <c r="I53" s="109"/>
      <c r="N53" s="43"/>
      <c r="O53" s="3"/>
    </row>
    <row r="54" spans="1:15" ht="18.75" customHeight="1">
      <c r="A54" s="1"/>
      <c r="B54" s="216"/>
      <c r="C54" s="108"/>
      <c r="D54" s="108"/>
      <c r="E54" s="108"/>
      <c r="F54" s="108"/>
      <c r="G54" s="108"/>
      <c r="H54" s="108"/>
      <c r="I54" s="109"/>
    </row>
    <row r="55" spans="1:15" ht="18.75" customHeight="1">
      <c r="A55" s="1"/>
      <c r="B55" s="216"/>
      <c r="C55" s="108"/>
      <c r="D55" s="108"/>
      <c r="E55" s="108"/>
      <c r="F55" s="108"/>
      <c r="G55" s="108"/>
      <c r="H55" s="108"/>
      <c r="I55" s="109"/>
    </row>
    <row r="56" spans="1:15" ht="18.75" customHeight="1">
      <c r="A56" s="1"/>
      <c r="B56" s="216"/>
      <c r="C56" s="108"/>
      <c r="D56" s="108"/>
      <c r="E56" s="108"/>
      <c r="F56" s="108"/>
      <c r="G56" s="108"/>
      <c r="H56" s="108"/>
      <c r="I56" s="109"/>
    </row>
    <row r="57" spans="1:15" ht="18.75" customHeight="1">
      <c r="A57" s="1"/>
      <c r="B57" s="216"/>
      <c r="C57" s="108"/>
      <c r="D57" s="108"/>
      <c r="E57" s="108"/>
      <c r="F57" s="108"/>
      <c r="G57" s="108"/>
      <c r="H57" s="108"/>
      <c r="I57" s="109"/>
    </row>
    <row r="58" spans="1:15" ht="18.75" customHeight="1">
      <c r="A58" s="1"/>
      <c r="B58" s="216"/>
      <c r="C58" s="108"/>
      <c r="D58" s="108"/>
      <c r="E58" s="108"/>
      <c r="F58" s="108"/>
      <c r="G58" s="108"/>
      <c r="H58" s="108"/>
      <c r="I58" s="109"/>
    </row>
    <row r="59" spans="1:15" ht="18.75" customHeight="1">
      <c r="A59" s="1"/>
      <c r="B59" s="216"/>
      <c r="C59" s="108"/>
      <c r="D59" s="108"/>
      <c r="E59" s="108"/>
      <c r="F59" s="108"/>
      <c r="G59" s="108"/>
      <c r="H59" s="108"/>
      <c r="I59" s="109"/>
    </row>
    <row r="60" spans="1:15" ht="18.75" customHeight="1">
      <c r="A60" s="1"/>
      <c r="B60" s="216"/>
      <c r="C60" s="108"/>
      <c r="D60" s="108"/>
      <c r="E60" s="108"/>
      <c r="F60" s="108"/>
      <c r="G60" s="108"/>
      <c r="H60" s="108"/>
      <c r="I60" s="109"/>
    </row>
    <row r="61" spans="1:15" ht="18.75" customHeight="1">
      <c r="A61" s="1"/>
      <c r="B61" s="216"/>
      <c r="C61" s="108"/>
      <c r="D61" s="108"/>
      <c r="E61" s="108"/>
      <c r="F61" s="108"/>
      <c r="G61" s="108"/>
      <c r="H61" s="108"/>
      <c r="I61" s="109"/>
    </row>
    <row r="62" spans="1:15" ht="18.75" customHeight="1">
      <c r="A62" s="1"/>
      <c r="B62" s="216"/>
      <c r="C62" s="108"/>
      <c r="D62" s="108"/>
      <c r="E62" s="108"/>
      <c r="F62" s="108"/>
      <c r="G62" s="108"/>
      <c r="H62" s="108"/>
      <c r="I62" s="109"/>
    </row>
    <row r="63" spans="1:15" ht="18.75" customHeight="1">
      <c r="A63" s="1"/>
      <c r="B63" s="217"/>
      <c r="C63" s="218"/>
      <c r="D63" s="218"/>
      <c r="E63" s="218"/>
      <c r="F63" s="218"/>
      <c r="G63" s="218"/>
      <c r="H63" s="218"/>
      <c r="I63" s="219"/>
    </row>
    <row r="64" spans="1:15" ht="7.5" customHeight="1">
      <c r="A64" s="15"/>
      <c r="B64" s="15"/>
      <c r="C64" s="15"/>
      <c r="D64" s="15"/>
      <c r="E64" s="15"/>
      <c r="F64" s="15"/>
      <c r="G64" s="15"/>
      <c r="H64" s="15"/>
      <c r="I64" s="15"/>
    </row>
    <row r="65" spans="1:9" ht="18.75" customHeight="1">
      <c r="A65" s="16" t="s">
        <v>33</v>
      </c>
      <c r="B65" s="1" t="s">
        <v>36</v>
      </c>
      <c r="I65" s="16"/>
    </row>
    <row r="66" spans="1:9" ht="18.75" customHeight="1">
      <c r="A66" s="4"/>
      <c r="B66" s="215" t="s">
        <v>153</v>
      </c>
      <c r="C66" s="104"/>
      <c r="D66" s="104"/>
      <c r="E66" s="104"/>
      <c r="F66" s="104"/>
      <c r="G66" s="104"/>
      <c r="H66" s="104"/>
      <c r="I66" s="105"/>
    </row>
    <row r="67" spans="1:9" ht="18.75" customHeight="1">
      <c r="A67" s="4"/>
      <c r="B67" s="216"/>
      <c r="C67" s="108"/>
      <c r="D67" s="108"/>
      <c r="E67" s="108"/>
      <c r="F67" s="108"/>
      <c r="G67" s="108"/>
      <c r="H67" s="108"/>
      <c r="I67" s="109"/>
    </row>
    <row r="68" spans="1:9" ht="18.75" customHeight="1">
      <c r="A68" s="4"/>
      <c r="B68" s="216"/>
      <c r="C68" s="108"/>
      <c r="D68" s="108"/>
      <c r="E68" s="108"/>
      <c r="F68" s="108"/>
      <c r="G68" s="108"/>
      <c r="H68" s="108"/>
      <c r="I68" s="109"/>
    </row>
    <row r="69" spans="1:9" ht="18.75" customHeight="1">
      <c r="A69" s="4"/>
      <c r="B69" s="216"/>
      <c r="C69" s="108"/>
      <c r="D69" s="108"/>
      <c r="E69" s="108"/>
      <c r="F69" s="108"/>
      <c r="G69" s="108"/>
      <c r="H69" s="108"/>
      <c r="I69" s="109"/>
    </row>
    <row r="70" spans="1:9" ht="18.75" customHeight="1">
      <c r="A70" s="4"/>
      <c r="B70" s="216"/>
      <c r="C70" s="108"/>
      <c r="D70" s="108"/>
      <c r="E70" s="108"/>
      <c r="F70" s="108"/>
      <c r="G70" s="108"/>
      <c r="H70" s="108"/>
      <c r="I70" s="109"/>
    </row>
    <row r="71" spans="1:9" ht="18.75" customHeight="1">
      <c r="A71" s="4"/>
      <c r="B71" s="216"/>
      <c r="C71" s="108"/>
      <c r="D71" s="108"/>
      <c r="E71" s="108"/>
      <c r="F71" s="108"/>
      <c r="G71" s="108"/>
      <c r="H71" s="108"/>
      <c r="I71" s="109"/>
    </row>
    <row r="72" spans="1:9" ht="18.75" customHeight="1">
      <c r="A72" s="4"/>
      <c r="B72" s="216"/>
      <c r="C72" s="108"/>
      <c r="D72" s="108"/>
      <c r="E72" s="108"/>
      <c r="F72" s="108"/>
      <c r="G72" s="108"/>
      <c r="H72" s="108"/>
      <c r="I72" s="109"/>
    </row>
    <row r="73" spans="1:9" ht="18.75" customHeight="1">
      <c r="A73" s="4"/>
      <c r="B73" s="216"/>
      <c r="C73" s="108"/>
      <c r="D73" s="108"/>
      <c r="E73" s="108"/>
      <c r="F73" s="108"/>
      <c r="G73" s="108"/>
      <c r="H73" s="108"/>
      <c r="I73" s="109"/>
    </row>
    <row r="74" spans="1:9" ht="18.75" customHeight="1">
      <c r="A74" s="4"/>
      <c r="B74" s="216"/>
      <c r="C74" s="108"/>
      <c r="D74" s="108"/>
      <c r="E74" s="108"/>
      <c r="F74" s="108"/>
      <c r="G74" s="108"/>
      <c r="H74" s="108"/>
      <c r="I74" s="109"/>
    </row>
    <row r="75" spans="1:9" ht="18.75" customHeight="1">
      <c r="A75" s="4"/>
      <c r="B75" s="216"/>
      <c r="C75" s="108"/>
      <c r="D75" s="108"/>
      <c r="E75" s="108"/>
      <c r="F75" s="108"/>
      <c r="G75" s="108"/>
      <c r="H75" s="108"/>
      <c r="I75" s="109"/>
    </row>
    <row r="76" spans="1:9" ht="18.75" customHeight="1">
      <c r="A76" s="4"/>
      <c r="B76" s="216"/>
      <c r="C76" s="108"/>
      <c r="D76" s="108"/>
      <c r="E76" s="108"/>
      <c r="F76" s="108"/>
      <c r="G76" s="108"/>
      <c r="H76" s="108"/>
      <c r="I76" s="109"/>
    </row>
    <row r="77" spans="1:9" ht="18.75" customHeight="1">
      <c r="A77" s="4"/>
      <c r="B77" s="217"/>
      <c r="C77" s="218"/>
      <c r="D77" s="218"/>
      <c r="E77" s="218"/>
      <c r="F77" s="218"/>
      <c r="G77" s="218"/>
      <c r="H77" s="218"/>
      <c r="I77" s="219"/>
    </row>
    <row r="78" spans="1:9" ht="7.5" customHeight="1">
      <c r="A78" s="4"/>
      <c r="B78" s="4"/>
      <c r="C78" s="4"/>
      <c r="D78" s="4"/>
      <c r="E78" s="4"/>
      <c r="F78" s="4"/>
      <c r="G78" s="4"/>
      <c r="H78" s="4"/>
      <c r="I78" s="4"/>
    </row>
    <row r="79" spans="1:9" ht="18.75" customHeight="1">
      <c r="A79" s="1" t="s">
        <v>11</v>
      </c>
      <c r="B79" s="1" t="s">
        <v>40</v>
      </c>
    </row>
    <row r="80" spans="1:9" ht="18.75" customHeight="1">
      <c r="A80" s="1"/>
      <c r="B80" s="220" t="s">
        <v>156</v>
      </c>
      <c r="C80" s="221"/>
      <c r="D80" s="221"/>
      <c r="E80" s="221"/>
      <c r="F80" s="221"/>
      <c r="G80" s="221"/>
      <c r="H80" s="221"/>
      <c r="I80" s="222"/>
    </row>
    <row r="81" spans="1:9" ht="18.75" customHeight="1">
      <c r="A81" s="1"/>
      <c r="B81" s="223"/>
      <c r="C81" s="224"/>
      <c r="D81" s="224"/>
      <c r="E81" s="224"/>
      <c r="F81" s="224"/>
      <c r="G81" s="224"/>
      <c r="H81" s="224"/>
      <c r="I81" s="225"/>
    </row>
    <row r="82" spans="1:9" ht="18.75" customHeight="1">
      <c r="A82" s="1"/>
      <c r="B82" s="223"/>
      <c r="C82" s="224"/>
      <c r="D82" s="224"/>
      <c r="E82" s="224"/>
      <c r="F82" s="224"/>
      <c r="G82" s="224"/>
      <c r="H82" s="224"/>
      <c r="I82" s="225"/>
    </row>
    <row r="83" spans="1:9" ht="18.75" customHeight="1">
      <c r="A83" s="1"/>
      <c r="B83" s="223"/>
      <c r="C83" s="224"/>
      <c r="D83" s="224"/>
      <c r="E83" s="224"/>
      <c r="F83" s="224"/>
      <c r="G83" s="224"/>
      <c r="H83" s="224"/>
      <c r="I83" s="225"/>
    </row>
    <row r="84" spans="1:9" ht="18.75" customHeight="1">
      <c r="A84" s="1"/>
      <c r="B84" s="223"/>
      <c r="C84" s="224"/>
      <c r="D84" s="224"/>
      <c r="E84" s="224"/>
      <c r="F84" s="224"/>
      <c r="G84" s="224"/>
      <c r="H84" s="224"/>
      <c r="I84" s="225"/>
    </row>
    <row r="85" spans="1:9" ht="18.75" customHeight="1">
      <c r="A85" s="1"/>
      <c r="B85" s="223"/>
      <c r="C85" s="224"/>
      <c r="D85" s="224"/>
      <c r="E85" s="224"/>
      <c r="F85" s="224"/>
      <c r="G85" s="224"/>
      <c r="H85" s="224"/>
      <c r="I85" s="225"/>
    </row>
    <row r="86" spans="1:9" ht="18.75" customHeight="1">
      <c r="A86" s="1"/>
      <c r="B86" s="223"/>
      <c r="C86" s="224"/>
      <c r="D86" s="224"/>
      <c r="E86" s="224"/>
      <c r="F86" s="224"/>
      <c r="G86" s="224"/>
      <c r="H86" s="224"/>
      <c r="I86" s="225"/>
    </row>
    <row r="87" spans="1:9" ht="18.75" customHeight="1">
      <c r="A87" s="1"/>
      <c r="B87" s="223"/>
      <c r="C87" s="224"/>
      <c r="D87" s="224"/>
      <c r="E87" s="224"/>
      <c r="F87" s="224"/>
      <c r="G87" s="224"/>
      <c r="H87" s="224"/>
      <c r="I87" s="225"/>
    </row>
    <row r="88" spans="1:9" ht="18.75" customHeight="1">
      <c r="A88" s="1"/>
      <c r="B88" s="223"/>
      <c r="C88" s="224"/>
      <c r="D88" s="224"/>
      <c r="E88" s="224"/>
      <c r="F88" s="224"/>
      <c r="G88" s="224"/>
      <c r="H88" s="224"/>
      <c r="I88" s="225"/>
    </row>
    <row r="89" spans="1:9" ht="18.75" customHeight="1">
      <c r="A89" s="1"/>
      <c r="B89" s="223"/>
      <c r="C89" s="224"/>
      <c r="D89" s="224"/>
      <c r="E89" s="224"/>
      <c r="F89" s="224"/>
      <c r="G89" s="224"/>
      <c r="H89" s="224"/>
      <c r="I89" s="225"/>
    </row>
    <row r="90" spans="1:9" ht="18.75" customHeight="1">
      <c r="A90" s="4"/>
      <c r="B90" s="223"/>
      <c r="C90" s="224"/>
      <c r="D90" s="224"/>
      <c r="E90" s="224"/>
      <c r="F90" s="224"/>
      <c r="G90" s="224"/>
      <c r="H90" s="224"/>
      <c r="I90" s="225"/>
    </row>
    <row r="91" spans="1:9" ht="18.75" customHeight="1">
      <c r="A91" s="4"/>
      <c r="B91" s="226"/>
      <c r="C91" s="227"/>
      <c r="D91" s="227"/>
      <c r="E91" s="227"/>
      <c r="F91" s="227"/>
      <c r="G91" s="227"/>
      <c r="H91" s="227"/>
      <c r="I91" s="228"/>
    </row>
    <row r="92" spans="1:9" ht="7.5" customHeight="1">
      <c r="A92" s="4"/>
      <c r="B92" s="4"/>
      <c r="C92" s="4"/>
      <c r="D92" s="4"/>
      <c r="E92" s="4"/>
      <c r="F92" s="4"/>
      <c r="G92" s="4"/>
      <c r="H92" s="4"/>
      <c r="I92" s="4"/>
    </row>
    <row r="93" spans="1:9" ht="18.75" customHeight="1">
      <c r="A93" s="1" t="s">
        <v>43</v>
      </c>
      <c r="B93" s="1" t="s">
        <v>12</v>
      </c>
    </row>
    <row r="94" spans="1:9" ht="18.75" customHeight="1">
      <c r="A94" s="1"/>
      <c r="B94" s="231" t="s">
        <v>143</v>
      </c>
      <c r="C94" s="232"/>
      <c r="D94" s="232"/>
      <c r="E94" s="232"/>
      <c r="F94" s="232"/>
      <c r="G94" s="232"/>
      <c r="H94" s="232"/>
      <c r="I94" s="233"/>
    </row>
    <row r="95" spans="1:9" ht="18.75" customHeight="1">
      <c r="A95" s="1"/>
      <c r="B95" s="234"/>
      <c r="C95" s="235"/>
      <c r="D95" s="235"/>
      <c r="E95" s="235"/>
      <c r="F95" s="235"/>
      <c r="G95" s="235"/>
      <c r="H95" s="235"/>
      <c r="I95" s="236"/>
    </row>
    <row r="96" spans="1:9" ht="18.75" customHeight="1">
      <c r="A96" s="1"/>
      <c r="B96" s="234"/>
      <c r="C96" s="235"/>
      <c r="D96" s="235"/>
      <c r="E96" s="235"/>
      <c r="F96" s="235"/>
      <c r="G96" s="235"/>
      <c r="H96" s="235"/>
      <c r="I96" s="236"/>
    </row>
    <row r="97" spans="1:9" ht="18.75" customHeight="1">
      <c r="A97" s="1"/>
      <c r="B97" s="234"/>
      <c r="C97" s="235"/>
      <c r="D97" s="235"/>
      <c r="E97" s="235"/>
      <c r="F97" s="235"/>
      <c r="G97" s="235"/>
      <c r="H97" s="235"/>
      <c r="I97" s="236"/>
    </row>
    <row r="98" spans="1:9" ht="18.75" customHeight="1">
      <c r="A98" s="1"/>
      <c r="B98" s="234"/>
      <c r="C98" s="235"/>
      <c r="D98" s="235"/>
      <c r="E98" s="235"/>
      <c r="F98" s="235"/>
      <c r="G98" s="235"/>
      <c r="H98" s="235"/>
      <c r="I98" s="236"/>
    </row>
    <row r="99" spans="1:9" ht="18.75" customHeight="1">
      <c r="A99" s="1"/>
      <c r="B99" s="234"/>
      <c r="C99" s="235"/>
      <c r="D99" s="235"/>
      <c r="E99" s="235"/>
      <c r="F99" s="235"/>
      <c r="G99" s="235"/>
      <c r="H99" s="235"/>
      <c r="I99" s="236"/>
    </row>
    <row r="100" spans="1:9" ht="18.75" customHeight="1">
      <c r="A100" s="1"/>
      <c r="B100" s="234"/>
      <c r="C100" s="235"/>
      <c r="D100" s="235"/>
      <c r="E100" s="235"/>
      <c r="F100" s="235"/>
      <c r="G100" s="235"/>
      <c r="H100" s="235"/>
      <c r="I100" s="236"/>
    </row>
    <row r="101" spans="1:9" ht="18.75" customHeight="1">
      <c r="A101" s="1"/>
      <c r="B101" s="234"/>
      <c r="C101" s="235"/>
      <c r="D101" s="235"/>
      <c r="E101" s="235"/>
      <c r="F101" s="235"/>
      <c r="G101" s="235"/>
      <c r="H101" s="235"/>
      <c r="I101" s="236"/>
    </row>
    <row r="102" spans="1:9" ht="18.75" customHeight="1">
      <c r="A102" s="1"/>
      <c r="B102" s="234"/>
      <c r="C102" s="235"/>
      <c r="D102" s="235"/>
      <c r="E102" s="235"/>
      <c r="F102" s="235"/>
      <c r="G102" s="235"/>
      <c r="H102" s="235"/>
      <c r="I102" s="236"/>
    </row>
    <row r="103" spans="1:9" ht="18.75" customHeight="1">
      <c r="A103" s="1"/>
      <c r="B103" s="234"/>
      <c r="C103" s="235"/>
      <c r="D103" s="235"/>
      <c r="E103" s="235"/>
      <c r="F103" s="235"/>
      <c r="G103" s="235"/>
      <c r="H103" s="235"/>
      <c r="I103" s="236"/>
    </row>
    <row r="104" spans="1:9" ht="18.75" customHeight="1">
      <c r="A104" s="1"/>
      <c r="B104" s="234"/>
      <c r="C104" s="235"/>
      <c r="D104" s="235"/>
      <c r="E104" s="235"/>
      <c r="F104" s="235"/>
      <c r="G104" s="235"/>
      <c r="H104" s="235"/>
      <c r="I104" s="236"/>
    </row>
    <row r="105" spans="1:9" ht="18.75" customHeight="1">
      <c r="A105" s="4"/>
      <c r="B105" s="237"/>
      <c r="C105" s="238"/>
      <c r="D105" s="238"/>
      <c r="E105" s="238"/>
      <c r="F105" s="238"/>
      <c r="G105" s="238"/>
      <c r="H105" s="238"/>
      <c r="I105" s="239"/>
    </row>
    <row r="106" spans="1:9" ht="7.5" customHeight="1">
      <c r="A106" s="4"/>
      <c r="B106" s="4"/>
      <c r="C106" s="4"/>
      <c r="D106" s="4"/>
      <c r="E106" s="4"/>
      <c r="F106" s="4"/>
      <c r="G106" s="4"/>
      <c r="H106" s="4"/>
      <c r="I106" s="4"/>
    </row>
    <row r="107" spans="1:9" ht="18.75" customHeight="1">
      <c r="A107" s="1" t="s">
        <v>29</v>
      </c>
      <c r="B107" s="240" t="s">
        <v>45</v>
      </c>
      <c r="C107" s="240"/>
      <c r="D107" s="240"/>
      <c r="E107" s="240"/>
      <c r="F107" s="240"/>
      <c r="G107" s="240"/>
      <c r="H107" s="240"/>
      <c r="I107" s="240"/>
    </row>
    <row r="108" spans="1:9" ht="18.75" customHeight="1">
      <c r="A108" s="4"/>
      <c r="B108" s="231" t="s">
        <v>157</v>
      </c>
      <c r="C108" s="232"/>
      <c r="D108" s="232"/>
      <c r="E108" s="232"/>
      <c r="F108" s="232"/>
      <c r="G108" s="232"/>
      <c r="H108" s="232"/>
      <c r="I108" s="233"/>
    </row>
    <row r="109" spans="1:9" ht="18.75" customHeight="1">
      <c r="A109" s="4"/>
      <c r="B109" s="234"/>
      <c r="C109" s="235"/>
      <c r="D109" s="235"/>
      <c r="E109" s="235"/>
      <c r="F109" s="235"/>
      <c r="G109" s="235"/>
      <c r="H109" s="235"/>
      <c r="I109" s="236"/>
    </row>
    <row r="110" spans="1:9" ht="18.75" customHeight="1">
      <c r="A110" s="4"/>
      <c r="B110" s="234"/>
      <c r="C110" s="235"/>
      <c r="D110" s="235"/>
      <c r="E110" s="235"/>
      <c r="F110" s="235"/>
      <c r="G110" s="235"/>
      <c r="H110" s="235"/>
      <c r="I110" s="236"/>
    </row>
    <row r="111" spans="1:9" ht="18.75" customHeight="1">
      <c r="A111" s="4"/>
      <c r="B111" s="234"/>
      <c r="C111" s="235"/>
      <c r="D111" s="235"/>
      <c r="E111" s="235"/>
      <c r="F111" s="235"/>
      <c r="G111" s="235"/>
      <c r="H111" s="235"/>
      <c r="I111" s="236"/>
    </row>
    <row r="112" spans="1:9" ht="18.75" customHeight="1">
      <c r="A112" s="4"/>
      <c r="B112" s="234"/>
      <c r="C112" s="235"/>
      <c r="D112" s="235"/>
      <c r="E112" s="235"/>
      <c r="F112" s="235"/>
      <c r="G112" s="235"/>
      <c r="H112" s="235"/>
      <c r="I112" s="236"/>
    </row>
    <row r="113" spans="1:9" ht="18.75" customHeight="1">
      <c r="A113" s="4"/>
      <c r="B113" s="234"/>
      <c r="C113" s="235"/>
      <c r="D113" s="235"/>
      <c r="E113" s="235"/>
      <c r="F113" s="235"/>
      <c r="G113" s="235"/>
      <c r="H113" s="235"/>
      <c r="I113" s="236"/>
    </row>
    <row r="114" spans="1:9" ht="18.75" customHeight="1">
      <c r="A114" s="4"/>
      <c r="B114" s="234"/>
      <c r="C114" s="235"/>
      <c r="D114" s="235"/>
      <c r="E114" s="235"/>
      <c r="F114" s="235"/>
      <c r="G114" s="235"/>
      <c r="H114" s="235"/>
      <c r="I114" s="236"/>
    </row>
    <row r="115" spans="1:9" ht="18.75" customHeight="1">
      <c r="A115" s="4"/>
      <c r="B115" s="234"/>
      <c r="C115" s="235"/>
      <c r="D115" s="235"/>
      <c r="E115" s="235"/>
      <c r="F115" s="235"/>
      <c r="G115" s="235"/>
      <c r="H115" s="235"/>
      <c r="I115" s="236"/>
    </row>
    <row r="116" spans="1:9" ht="18.75" customHeight="1">
      <c r="A116" s="4"/>
      <c r="B116" s="234"/>
      <c r="C116" s="235"/>
      <c r="D116" s="235"/>
      <c r="E116" s="235"/>
      <c r="F116" s="235"/>
      <c r="G116" s="235"/>
      <c r="H116" s="235"/>
      <c r="I116" s="236"/>
    </row>
    <row r="117" spans="1:9" ht="18.75" customHeight="1">
      <c r="A117" s="4"/>
      <c r="B117" s="234"/>
      <c r="C117" s="235"/>
      <c r="D117" s="235"/>
      <c r="E117" s="235"/>
      <c r="F117" s="235"/>
      <c r="G117" s="235"/>
      <c r="H117" s="235"/>
      <c r="I117" s="236"/>
    </row>
    <row r="118" spans="1:9" ht="18.75" customHeight="1">
      <c r="A118" s="4"/>
      <c r="B118" s="234"/>
      <c r="C118" s="235"/>
      <c r="D118" s="235"/>
      <c r="E118" s="235"/>
      <c r="F118" s="235"/>
      <c r="G118" s="235"/>
      <c r="H118" s="235"/>
      <c r="I118" s="236"/>
    </row>
    <row r="119" spans="1:9" ht="18.75" customHeight="1">
      <c r="A119" s="4"/>
      <c r="B119" s="237"/>
      <c r="C119" s="238"/>
      <c r="D119" s="238"/>
      <c r="E119" s="238"/>
      <c r="F119" s="238"/>
      <c r="G119" s="238"/>
      <c r="H119" s="238"/>
      <c r="I119" s="239"/>
    </row>
    <row r="120" spans="1:9" ht="7.5" customHeight="1">
      <c r="A120" s="4"/>
      <c r="B120" s="46"/>
      <c r="C120" s="46"/>
      <c r="D120" s="46"/>
      <c r="E120" s="46"/>
      <c r="F120" s="46"/>
      <c r="G120" s="46"/>
      <c r="H120" s="46"/>
      <c r="I120" s="46"/>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tabSelected="1" view="pageBreakPreview" topLeftCell="E10" zoomScaleNormal="100" zoomScaleSheetLayoutView="100" workbookViewId="0">
      <selection activeCell="R2" sqref="R2"/>
    </sheetView>
  </sheetViews>
  <sheetFormatPr defaultColWidth="11.375" defaultRowHeight="22.5" customHeight="1"/>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c r="A1" s="1" t="s">
        <v>70</v>
      </c>
      <c r="I1" s="33" t="s">
        <v>104</v>
      </c>
    </row>
    <row r="2" spans="1:9" ht="18.75" customHeight="1">
      <c r="H2" s="33" t="s">
        <v>108</v>
      </c>
      <c r="I2" s="32" t="str">
        <f>'様式１−１　プログラムを構成する授業科目'!C2</f>
        <v>岩手県立大学盛岡短期大学部</v>
      </c>
    </row>
    <row r="3" spans="1:9" ht="18.75" customHeight="1">
      <c r="A3" s="160" t="s">
        <v>27</v>
      </c>
      <c r="B3" s="160"/>
      <c r="C3" s="160"/>
      <c r="D3" s="160"/>
      <c r="E3" s="160"/>
      <c r="F3" s="160"/>
      <c r="G3" s="160"/>
      <c r="H3" s="160"/>
      <c r="I3" s="160"/>
    </row>
    <row r="4" spans="1:9" ht="18.75" customHeight="1">
      <c r="A4" s="5"/>
      <c r="B4" s="5"/>
      <c r="C4" s="5"/>
      <c r="D4" s="5"/>
      <c r="E4" s="5"/>
      <c r="F4" s="5"/>
      <c r="G4" s="5"/>
      <c r="H4" s="5"/>
      <c r="I4" s="5"/>
    </row>
    <row r="5" spans="1:9" ht="18.75" customHeight="1">
      <c r="A5" s="1" t="s">
        <v>0</v>
      </c>
      <c r="B5" s="10" t="s">
        <v>94</v>
      </c>
      <c r="C5" s="5"/>
      <c r="D5" s="5"/>
      <c r="E5" s="5"/>
      <c r="F5" s="5"/>
      <c r="G5" s="5"/>
      <c r="H5" s="5"/>
      <c r="I5" s="5"/>
    </row>
    <row r="6" spans="1:9" ht="26.25" customHeight="1">
      <c r="A6" s="5"/>
      <c r="B6" s="249" t="s">
        <v>141</v>
      </c>
      <c r="C6" s="280"/>
      <c r="D6" s="280"/>
      <c r="E6" s="280"/>
      <c r="F6" s="280"/>
      <c r="G6" s="280"/>
      <c r="H6" s="281"/>
      <c r="I6" s="3"/>
    </row>
    <row r="7" spans="1:9" ht="9" customHeight="1">
      <c r="A7" s="5"/>
      <c r="B7" s="10"/>
      <c r="C7" s="10"/>
      <c r="D7" s="10"/>
      <c r="E7" s="10"/>
      <c r="F7" s="10"/>
      <c r="G7" s="10"/>
      <c r="H7" s="10"/>
      <c r="I7" s="3"/>
    </row>
    <row r="8" spans="1:9" ht="18.75" customHeight="1">
      <c r="A8" s="5"/>
      <c r="B8" s="3"/>
      <c r="C8" s="3"/>
      <c r="D8" s="33" t="s">
        <v>42</v>
      </c>
      <c r="E8" s="34" t="s">
        <v>148</v>
      </c>
      <c r="F8" s="3"/>
      <c r="G8" s="33" t="s">
        <v>10</v>
      </c>
      <c r="H8" s="34" t="s">
        <v>149</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128" t="s">
        <v>23</v>
      </c>
      <c r="C11" s="114"/>
      <c r="D11" s="115"/>
      <c r="E11" s="114" t="s">
        <v>25</v>
      </c>
      <c r="F11" s="114"/>
      <c r="G11" s="114"/>
      <c r="H11" s="114"/>
      <c r="I11" s="115"/>
    </row>
    <row r="12" spans="1:9" ht="26.25" customHeight="1">
      <c r="B12" s="48" t="s">
        <v>13</v>
      </c>
      <c r="C12" s="55"/>
      <c r="D12" s="49"/>
      <c r="E12" s="56"/>
      <c r="F12" s="56"/>
      <c r="G12" s="56"/>
      <c r="H12" s="56"/>
      <c r="I12" s="49"/>
    </row>
    <row r="13" spans="1:9" ht="210.75" customHeight="1">
      <c r="B13" s="50"/>
      <c r="C13" s="262" t="s">
        <v>14</v>
      </c>
      <c r="D13" s="263"/>
      <c r="E13" s="276" t="s">
        <v>158</v>
      </c>
      <c r="F13" s="264"/>
      <c r="G13" s="264"/>
      <c r="H13" s="264"/>
      <c r="I13" s="265"/>
    </row>
    <row r="14" spans="1:9" ht="210.75" customHeight="1">
      <c r="B14" s="50"/>
      <c r="C14" s="278" t="s">
        <v>15</v>
      </c>
      <c r="D14" s="279"/>
      <c r="E14" s="276" t="s">
        <v>159</v>
      </c>
      <c r="F14" s="264"/>
      <c r="G14" s="264"/>
      <c r="H14" s="264"/>
      <c r="I14" s="265"/>
    </row>
    <row r="15" spans="1:9" ht="210.75" customHeight="1">
      <c r="B15" s="50"/>
      <c r="C15" s="262" t="s">
        <v>16</v>
      </c>
      <c r="D15" s="263"/>
      <c r="E15" s="276" t="s">
        <v>160</v>
      </c>
      <c r="F15" s="264"/>
      <c r="G15" s="264"/>
      <c r="H15" s="264"/>
      <c r="I15" s="265"/>
    </row>
    <row r="16" spans="1:9" ht="210.75" customHeight="1">
      <c r="B16" s="50"/>
      <c r="C16" s="262" t="s">
        <v>17</v>
      </c>
      <c r="D16" s="263"/>
      <c r="E16" s="276" t="s">
        <v>161</v>
      </c>
      <c r="F16" s="264"/>
      <c r="G16" s="264"/>
      <c r="H16" s="264"/>
      <c r="I16" s="265"/>
    </row>
    <row r="17" spans="2:9" ht="210.75" customHeight="1">
      <c r="B17" s="51"/>
      <c r="C17" s="266" t="s">
        <v>18</v>
      </c>
      <c r="D17" s="267"/>
      <c r="E17" s="277" t="s">
        <v>162</v>
      </c>
      <c r="F17" s="268"/>
      <c r="G17" s="268"/>
      <c r="H17" s="268"/>
      <c r="I17" s="269"/>
    </row>
    <row r="18" spans="2:9" ht="24" customHeight="1">
      <c r="B18" s="48" t="s">
        <v>19</v>
      </c>
      <c r="C18" s="52"/>
      <c r="D18" s="53"/>
      <c r="E18" s="54"/>
      <c r="F18" s="54"/>
      <c r="G18" s="54"/>
      <c r="H18" s="54"/>
      <c r="I18" s="57"/>
    </row>
    <row r="19" spans="2:9" ht="218.25" customHeight="1">
      <c r="B19" s="50"/>
      <c r="C19" s="262" t="s">
        <v>20</v>
      </c>
      <c r="D19" s="263"/>
      <c r="E19" s="264" t="s">
        <v>136</v>
      </c>
      <c r="F19" s="264"/>
      <c r="G19" s="264"/>
      <c r="H19" s="264"/>
      <c r="I19" s="265"/>
    </row>
    <row r="20" spans="2:9" ht="218.25" customHeight="1">
      <c r="B20" s="51"/>
      <c r="C20" s="266" t="s">
        <v>21</v>
      </c>
      <c r="D20" s="267"/>
      <c r="E20" s="268" t="s">
        <v>163</v>
      </c>
      <c r="F20" s="268"/>
      <c r="G20" s="268"/>
      <c r="H20" s="268"/>
      <c r="I20" s="269"/>
    </row>
    <row r="21" spans="2:9" ht="218.25" customHeight="1">
      <c r="B21" s="270" t="s">
        <v>22</v>
      </c>
      <c r="C21" s="271"/>
      <c r="D21" s="272"/>
      <c r="E21" s="273" t="s">
        <v>146</v>
      </c>
      <c r="F21" s="274"/>
      <c r="G21" s="274"/>
      <c r="H21" s="274"/>
      <c r="I21" s="275"/>
    </row>
    <row r="22" spans="2:9" ht="218.25" customHeight="1">
      <c r="B22" s="257" t="s">
        <v>37</v>
      </c>
      <c r="C22" s="258"/>
      <c r="D22" s="259"/>
      <c r="E22" s="260" t="s">
        <v>147</v>
      </c>
      <c r="F22" s="260"/>
      <c r="G22" s="260"/>
      <c r="H22" s="260"/>
      <c r="I22" s="261"/>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ipu</dc:creator>
  <cp:lastModifiedBy>ipu</cp:lastModifiedBy>
  <cp:lastPrinted>2023-06-26T07:17:23Z</cp:lastPrinted>
  <dcterms:created xsi:type="dcterms:W3CDTF">2011-06-14T05:32:50Z</dcterms:created>
  <dcterms:modified xsi:type="dcterms:W3CDTF">2023-06-26T07:18:22Z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