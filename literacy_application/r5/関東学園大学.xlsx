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9"/>
  <workbookPr defaultThemeVersion="124226"/>
  <mc:AlternateContent xmlns:mc="http://schemas.openxmlformats.org/markup-compatibility/2006">
    <mc:Choice Requires="x15">
      <x15ac:absPath xmlns:x15ac="http://schemas.microsoft.com/office/spreadsheetml/2010/11/ac" url="/Users/chung/Dropbox/関東学園大学/2023/DSP/理事長認可最終提出資料/提出資料/01_関東学園大学_リテラシー/"/>
    </mc:Choice>
  </mc:AlternateContent>
  <xr:revisionPtr revIDLastSave="0" documentId="13_ncr:1_{74C7A4C5-D73E-5841-8D3E-19DDC08DB8C1}" xr6:coauthVersionLast="47" xr6:coauthVersionMax="47" xr10:uidLastSave="{00000000-0000-0000-0000-000000000000}"/>
  <bookViews>
    <workbookView xWindow="0" yWindow="500" windowWidth="25600" windowHeight="1444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3" i="40" l="1"/>
  <c r="AJ13" i="40"/>
  <c r="AG13" i="40"/>
  <c r="AD13" i="40"/>
  <c r="AA13" i="40"/>
  <c r="X13" i="40"/>
  <c r="U13" i="40"/>
  <c r="R13" i="40"/>
  <c r="O13" i="40"/>
  <c r="L13" i="40"/>
  <c r="I13" i="40"/>
  <c r="F13" i="40"/>
  <c r="AM12" i="40"/>
  <c r="AJ12" i="40"/>
  <c r="AG12" i="40"/>
  <c r="AD12" i="40"/>
  <c r="AA12" i="40"/>
  <c r="X12" i="40"/>
  <c r="U12" i="40"/>
  <c r="R12" i="40"/>
  <c r="O12" i="40"/>
  <c r="L12" i="40"/>
  <c r="I12" i="40"/>
  <c r="F12" i="40"/>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G32" i="40"/>
  <c r="H32" i="40"/>
  <c r="AP13" i="40"/>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<sst xmlns="http://schemas.openxmlformats.org/spreadsheetml/2006/main" count="341" uniqueCount="181">
  <si>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</si>
  <si>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</si>
  <si>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</si>
  <si>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</si>
  <si>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</si>
  <si>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</si>
  <si>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</si>
  <si>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</si>
  <si>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</si>
  <si>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</si>
  <si>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</si>
  <si>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</si>
  <si>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</si>
  <si>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</si>
  <si>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</si>
  <si>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</si>
  <si>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</si>
  <si>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</si>
  <si>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</si>
  <si>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</si>
  <si>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</si>
  <si>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</si>
  <si>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</si>
  <si>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</si>
  <si>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</si>
  <si>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</si>
  <si>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</si>
  <si>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</si>
  <si>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</si>
  <si>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</si>
  <si>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</si>
  <si>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</si>
  <si>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</si>
  <si>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</si>
  <si>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</si>
  <si>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</si>
  <si>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</si>
  <si>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</si>
  <si>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</si>
  <si>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</si>
  <si>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</si>
  <si>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</si>
  <si>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</si>
  <si>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</si>
  <si>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</si>
  <si>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</si>
  <si>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</si>
  <si>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</si>
  <si>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</si>
  <si>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</si>
  <si>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</si>
  <si>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</si>
  <si>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</si>
  <si>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</si>
  <si>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</si>
  <si>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</si>
  <si>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</si>
  <si>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</si>
  <si>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</si>
  <si>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</si>
  <si>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</si>
  <si>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</si>
  <si>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</si>
  <si>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</si>
  <si>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</si>
  <si>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</si>
  <si>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</si>
  <si>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</si>
  <si>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</si>
  <si>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</si>
  <si>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</si>
  <si>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</si>
  <si>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</si>
  <si>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</si>
  <si>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</si>
  <si>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</si>
  <si>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</si>
  <si>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</si>
  <si>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</si>
  <si>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</si>
  <si>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</si>
  <si>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</si>
  <si>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</si>
  <si>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</si>
  <si>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</si>
  <si>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</si>
  <si>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</si>
  <si>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</si>
  <si>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</si>
  <si>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</si>
  <si>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</si>
  <si>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</si>
  <si>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</si>
  <si>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</si>
  <si>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</si>
  <si>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</si>
  <si>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</si>
  <si>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</si>
  <si>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</si>
  <si>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</si>
  <si>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</si>
  <si>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</si>
  <si>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</si>
  <si>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</si>
  <si>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</si>
  <si>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</si>
  <si>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</si>
  <si>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</si>
  <si>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</si>
  <si>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</si>
  <si>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</si>
  <si>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</si>
  <si>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</si>
  <si>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</si>
  <si>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</si>
  <si>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</si>
  <si>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</si>
  <si>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</si>
  <si>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</si>
  <si>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</si>
  <si>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</si>
  <si>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</si>
  <si>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</si>
  <si>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</si>
  <si>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</si>
  <si>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</si>
  <si>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経済学部・経済学科</t>
    <rPh sb="0" eb="2">
      <t>ケイザイ</t>
    </rPh>
    <rPh sb="2" eb="4">
      <t>ガクブ</t>
    </rPh>
    <rPh sb="5" eb="9">
      <t>ケイザイガッカ</t>
    </rPh>
    <phoneticPr fontId="1"/>
  </si>
  <si>
    <t>経済学部・経営学科</t>
    <rPh sb="0" eb="2">
      <t>ケイザイ</t>
    </rPh>
    <rPh sb="2" eb="4">
      <t>ガクブ</t>
    </rPh>
    <rPh sb="5" eb="7">
      <t>ケイエイ</t>
    </rPh>
    <rPh sb="7" eb="9">
      <t>ガッカ</t>
    </rPh>
    <phoneticPr fontId="1"/>
  </si>
  <si>
    <t>関東学園大学</t>
    <rPh sb="0" eb="6">
      <t>カントウ</t>
    </rPh>
    <phoneticPr fontId="1"/>
  </si>
  <si>
    <t>データサイエンス教育プログラム</t>
    <phoneticPr fontId="1"/>
  </si>
  <si>
    <t>経済学部経済学科、経済学部経営学科</t>
    <rPh sb="0" eb="4">
      <t>ケイザイ</t>
    </rPh>
    <rPh sb="4" eb="8">
      <t>ケイザイ</t>
    </rPh>
    <rPh sb="9" eb="13">
      <t>ケイザイ</t>
    </rPh>
    <rPh sb="13" eb="17">
      <t>ケイエイ</t>
    </rPh>
    <phoneticPr fontId="1"/>
  </si>
  <si>
    <t>プログラムの履修・修得状況</t>
    <phoneticPr fontId="1"/>
  </si>
  <si>
    <t>本教育プログラムを修了するには、1年次から3年次まで体系的に構成された各科目を全て単位取得する必要がある。そのため、修了者数は現時点(令和4年度)では0人である。本教育プログラム修了者の進路及び活動状況を把握するために、卒業予定者の中で本教育プログラム履修者及び修了者に対する進路アンケートを設ける計画である。</t>
    <phoneticPr fontId="1"/>
  </si>
  <si>
    <t>令和４(2022)年度において、２回のFD研究会(7月、12月)を実施し、学生の理解度を高めるために授業担当教員の間の意見交換を行なっている。前期の議題は「講義における学生の学びの評価、学生の理解度を高めるための取り組み」で、後期の議題は「学生個人の習熟度を把握するための取り組み」であった。</t>
    <rPh sb="0" eb="2">
      <t>レイワ</t>
    </rPh>
    <phoneticPr fontId="1"/>
  </si>
  <si>
    <t>林　仁史</t>
    <phoneticPr fontId="1"/>
  </si>
  <si>
    <t>データサイエンス教育プログラム推進室</t>
    <rPh sb="15" eb="18">
      <t>スイシn</t>
    </rPh>
    <phoneticPr fontId="1"/>
  </si>
  <si>
    <t>経済学科長</t>
    <rPh sb="0" eb="2">
      <t>ケイザイ</t>
    </rPh>
    <rPh sb="2" eb="5">
      <t>ガッカ</t>
    </rPh>
    <phoneticPr fontId="1"/>
  </si>
  <si>
    <t>経済学科長</t>
    <rPh sb="0" eb="2">
      <t>ケイザイ</t>
    </rPh>
    <phoneticPr fontId="1"/>
  </si>
  <si>
    <t>関東学園大学 データサイエンス教育プログラム推進室に関する規程</t>
    <phoneticPr fontId="1"/>
  </si>
  <si>
    <t>プログラム推進室は、全学的なプログラムを推進し、学生のデータサイエンスに関する基礎的な能力の向上を図ることを目的とする。</t>
    <phoneticPr fontId="1"/>
  </si>
  <si>
    <t>テクノロジーと社会</t>
    <rPh sb="7" eb="9">
      <t>シャカイ</t>
    </rPh>
    <phoneticPr fontId="1"/>
  </si>
  <si>
    <t>テクノロジーと社会</t>
    <phoneticPr fontId="1"/>
  </si>
  <si>
    <t>○</t>
  </si>
  <si>
    <t>データリテラシー</t>
    <phoneticPr fontId="1"/>
  </si>
  <si>
    <t>データサイエンス</t>
    <phoneticPr fontId="1"/>
  </si>
  <si>
    <t>プログラミング実践</t>
    <phoneticPr fontId="1"/>
  </si>
  <si>
    <t>アルゴリズム論</t>
    <phoneticPr fontId="1"/>
  </si>
  <si>
    <t>データ分析基礎演習</t>
    <rPh sb="0" eb="1">
      <t>サイエンス</t>
    </rPh>
    <phoneticPr fontId="1"/>
  </si>
  <si>
    <t>スタティスティクス</t>
    <phoneticPr fontId="1"/>
  </si>
  <si>
    <t>エコノメトリクス</t>
    <phoneticPr fontId="1"/>
  </si>
  <si>
    <t>経営情報論</t>
    <rPh sb="0" eb="5">
      <t>ケイエイ</t>
    </rPh>
    <phoneticPr fontId="1"/>
  </si>
  <si>
    <t>経済学科長</t>
    <rPh sb="0" eb="5">
      <t>ケイザイ</t>
    </rPh>
    <phoneticPr fontId="1"/>
  </si>
  <si>
    <t>データサイエンス教育プログラム推進室</t>
    <phoneticPr fontId="1"/>
  </si>
  <si>
    <t>Microsoft社のシステムTeamsを通じて、学生の質問を受け付ける体制が整備されていて、質問のある学生はいつでも担当教員にチャットやフォーム投稿を通じて質問できる。また、各教員別に週１回のオフィスアワーを設けているため、授業外の時間に対面での質疑応答にも対応できている。</t>
    <rPh sb="9" eb="10">
      <t>シャ</t>
    </rPh>
    <rPh sb="21" eb="22">
      <t>ツウジテ</t>
    </rPh>
    <rPh sb="25" eb="27">
      <t>ガクセイ</t>
    </rPh>
    <rPh sb="28" eb="30">
      <t>シツモn</t>
    </rPh>
    <rPh sb="31" eb="32">
      <t>ウケ</t>
    </rPh>
    <rPh sb="36" eb="38">
      <t>タイセイ</t>
    </rPh>
    <rPh sb="39" eb="41">
      <t>セイビ</t>
    </rPh>
    <rPh sb="47" eb="49">
      <t>シツモn</t>
    </rPh>
    <rPh sb="59" eb="63">
      <t>タントウ</t>
    </rPh>
    <rPh sb="73" eb="75">
      <t>トウコウ</t>
    </rPh>
    <rPh sb="76" eb="77">
      <t>ツウジ</t>
    </rPh>
    <rPh sb="79" eb="81">
      <t>シツモn</t>
    </rPh>
    <rPh sb="88" eb="92">
      <t>カクキョウイ</t>
    </rPh>
    <rPh sb="93" eb="94">
      <t>シュウニ</t>
    </rPh>
    <rPh sb="105" eb="106">
      <t>モウケ</t>
    </rPh>
    <rPh sb="113" eb="116">
      <t>ジュギョウ</t>
    </rPh>
    <rPh sb="117" eb="119">
      <t>ジカn</t>
    </rPh>
    <rPh sb="120" eb="122">
      <t>タイメn</t>
    </rPh>
    <rPh sb="124" eb="128">
      <t>シツギ</t>
    </rPh>
    <rPh sb="130" eb="132">
      <t>タイオウ</t>
    </rPh>
    <phoneticPr fontId="1"/>
  </si>
  <si>
    <t>・個人情報保護、EU一般データ保護規則(GDPR)「データリテラシー」(１２回目)
・AI社会原則「データリテラシー」(１３回目)
・データ倫理「データリテラシー」(１４回目)</t>
    <phoneticPr fontId="1"/>
  </si>
  <si>
    <t>・情報セキュリティ、暗号化、パスワード「データリテラシー」(１１回目)</t>
    <phoneticPr fontId="1"/>
  </si>
  <si>
    <t>・Society 5.0「テクノロジーと社会」(２回目)
・人間の知的活動を起点としたものの見方「テクノロジーと社会」(３、５回目)
・計算機の処理性能の向上「テクノロジーと社会」(４回目)
・Society5.0、IoT「データリテラシー」(１、２回目)、「データサイエンス」(２回目)
・AI「データリテラシー」(３回目)、「データサイエンス」(１２、１３回目)
・データ駆動型社会「データリテラシー」(４回目)</t>
    <phoneticPr fontId="1"/>
  </si>
  <si>
    <t>・AI最新技術の活用例「テクノロジーと社会」(１９回目)、「データサイエンス」(１３回目)
・AI等を活用した新しいビジネスモデル「データリテラシー」(５、１０回目)</t>
    <phoneticPr fontId="1"/>
  </si>
  <si>
    <t>・データ・AI活用領域の広がり「テクノロジーと社会」(２５回目)
・マーケティング、仮説検証「データリテラシー」(９回目)
・知識発見、原因究明、計画策定、新規生成「データサイエンス」(４回目)</t>
    <phoneticPr fontId="1"/>
  </si>
  <si>
    <t>・データ可視化「データサイエンス」(８回目)、「プログラミング実践」(８、９回目)、「データ分析基礎演習」(３、４、５回目)
・データ解析「プログラミング実践」(６、７回目)
・自動化技術「アルゴリズム論」(１４、１５回目)</t>
    <rPh sb="38" eb="40">
      <t>カイメ</t>
    </rPh>
    <rPh sb="59" eb="61">
      <t>カイメ</t>
    </rPh>
    <phoneticPr fontId="1"/>
  </si>
  <si>
    <t>・データサイエンスのサイクル「データサイエンス」(３回目)
・データの取得・管理・加工「データ分析基礎演習」(６、７、８、９回目)</t>
    <phoneticPr fontId="1"/>
  </si>
  <si>
    <t>・調査データ「テクノロジーと社会」(２３回目)、「エコノメトリクス」(１回目)
・構造化データ、非構造化データ「データリテラシー」(８回目)
・データ作成、データのオープン化「データサイエンス」(１１回目)
・１次データ、２次データ「スタティスティクス」(２９回目)、「経営情報論」(２０、２１、２２、２３回目)</t>
    <rPh sb="36" eb="38">
      <t>カイメ</t>
    </rPh>
    <rPh sb="135" eb="140">
      <t>ケイエイ</t>
    </rPh>
    <rPh sb="153" eb="155">
      <t>カイ</t>
    </rPh>
    <phoneticPr fontId="1"/>
  </si>
  <si>
    <t>・データの種類「データサイエンス」(８回目)
・相関と因果「データサイエンス」(９回目)、「経営情報論」(８回目)、「エコノメトリクス」(２回目)
・データのばらつき「データサイエンス」(１０回目)、「スタティスティクス」(４、５回目)
・データの分布(ヒストグラム)「スタティスティクス」(１０、１１回目)
・母集団と標本抽出「スタティスティクス」(１３、１４、１５回目)</t>
    <rPh sb="46" eb="51">
      <t>ケイエイジョウホウル</t>
    </rPh>
    <rPh sb="115" eb="117">
      <t>カイメ</t>
    </rPh>
    <phoneticPr fontId="1"/>
  </si>
  <si>
    <t>・データ表現「データサイエンス」(８回目)、「スタティスティクス」(２９回目)、「経営情報論」(４回目)
・不適切なグラフ表現、優れた可視化事例の紹介「エコノメトリクス」(１、１７、２１回目)</t>
    <rPh sb="36" eb="38">
      <t>カイ</t>
    </rPh>
    <rPh sb="41" eb="46">
      <t>ケイエイ</t>
    </rPh>
    <rPh sb="49" eb="51">
      <t>カイメ</t>
    </rPh>
    <phoneticPr fontId="1"/>
  </si>
  <si>
    <t>・表形式のデータ「データサイエンス」(１１回目)
・データの集計(和、平均)「スタティスティクス」(２、３回目)
・データ解析ツール「経営情報論」(２、３、４回目)、「エコノメトリクス」(１７回目)</t>
    <rPh sb="2" eb="3">
      <t>ケイシキ</t>
    </rPh>
    <phoneticPr fontId="1"/>
  </si>
  <si>
    <t>学科に関係なく希望する学生全員が受講できるように、本教育プログラムの科目は学科に関係なく受講申請できるようになっている。３年次の専門教育科目においても、経済学科の「エコノメトリクス」は経営学科の学生が教員の許可を得れば受講可能で、経営学科の「経営情報論」は経済学科の年生が教員の許可を得れば受講可能な状態であるため、本教育プログラムの修了希望者は学科に関係なく科目を受講できる。また、本教育プログラムを構成するすべての科目は各学科の必修科目と時間割が重ならないように考慮されている。</t>
    <rPh sb="0" eb="1">
      <t>ガッカ</t>
    </rPh>
    <rPh sb="2" eb="3">
      <t>ニ</t>
    </rPh>
    <rPh sb="3" eb="4">
      <t>カンケイ</t>
    </rPh>
    <rPh sb="7" eb="9">
      <t>キボウ</t>
    </rPh>
    <rPh sb="11" eb="15">
      <t>ガクセイ</t>
    </rPh>
    <rPh sb="16" eb="18">
      <t>ジュコウ</t>
    </rPh>
    <rPh sb="25" eb="26">
      <t>ホn</t>
    </rPh>
    <rPh sb="34" eb="36">
      <t>カモク</t>
    </rPh>
    <rPh sb="37" eb="39">
      <t>ガッカ</t>
    </rPh>
    <rPh sb="40" eb="42">
      <t>カンケイ</t>
    </rPh>
    <rPh sb="44" eb="48">
      <t>ジュコウ</t>
    </rPh>
    <rPh sb="64" eb="70">
      <t>センモンキョウイクク</t>
    </rPh>
    <rPh sb="76" eb="80">
      <t>ケイザイ</t>
    </rPh>
    <rPh sb="92" eb="96">
      <t>ケイエイ</t>
    </rPh>
    <rPh sb="97" eb="99">
      <t>ガクセイ</t>
    </rPh>
    <rPh sb="100" eb="102">
      <t>キョウイn</t>
    </rPh>
    <rPh sb="103" eb="105">
      <t>キョカ</t>
    </rPh>
    <rPh sb="106" eb="107">
      <t>エレバ</t>
    </rPh>
    <rPh sb="109" eb="111">
      <t>ジュコウ</t>
    </rPh>
    <rPh sb="111" eb="113">
      <t>カノウ</t>
    </rPh>
    <rPh sb="115" eb="119">
      <t>ケイエイ</t>
    </rPh>
    <rPh sb="121" eb="126">
      <t>ケイエイ</t>
    </rPh>
    <rPh sb="128" eb="132">
      <t>ケイザイ</t>
    </rPh>
    <rPh sb="136" eb="138">
      <t>キョウイn</t>
    </rPh>
    <rPh sb="139" eb="141">
      <t>キョカ</t>
    </rPh>
    <rPh sb="142" eb="143">
      <t>エレバ</t>
    </rPh>
    <rPh sb="145" eb="149">
      <t>ジュコウ</t>
    </rPh>
    <rPh sb="150" eb="152">
      <t>ジョウタイ</t>
    </rPh>
    <rPh sb="158" eb="161">
      <t>ホンキョウイクプ</t>
    </rPh>
    <rPh sb="167" eb="169">
      <t>シュウリョウ</t>
    </rPh>
    <rPh sb="169" eb="172">
      <t>キボウ</t>
    </rPh>
    <rPh sb="173" eb="175">
      <t>ガッカ</t>
    </rPh>
    <rPh sb="176" eb="178">
      <t>カンケイ</t>
    </rPh>
    <rPh sb="180" eb="182">
      <t>カモクウ</t>
    </rPh>
    <rPh sb="183" eb="185">
      <t>ジュコウ</t>
    </rPh>
    <rPh sb="192" eb="195">
      <t>ホンキョウイ</t>
    </rPh>
    <rPh sb="201" eb="203">
      <t>コウセイ</t>
    </rPh>
    <rPh sb="212" eb="215">
      <t>カクガッカ</t>
    </rPh>
    <rPh sb="216" eb="218">
      <t>ヒッシュウ</t>
    </rPh>
    <rPh sb="218" eb="220">
      <t>カモク</t>
    </rPh>
    <rPh sb="221" eb="224">
      <t>ジカn</t>
    </rPh>
    <rPh sb="225" eb="226">
      <t>カサナラナ</t>
    </rPh>
    <rPh sb="233" eb="235">
      <t>コウリョ</t>
    </rPh>
    <phoneticPr fontId="1"/>
  </si>
  <si>
    <t>令和4(2022)年度における本教育プログラムの履修者数は、経済学科130人(学生数の34%)、経営学科121人(学生数の32%)であった。本教育プログラムの単位修得者数は、「テクノロジーと社会」が68人、「データリテラシー」が115人、「データサイエンス」が123人、「データ分析基礎演習」が49人、「プログラミング実践」が45人、「アルゴリズム論」が39人、「スタティスティクス」が23人、「エコノメトリクス」が33人、「経営情報論」が6人となっている。学内のシステムeSquareを通じて、各科目の単位修得状況を管理し、データサイエンス教育プログラム推進室で確認している。</t>
    <rPh sb="0" eb="2">
      <t>レイ</t>
    </rPh>
    <rPh sb="4" eb="6">
      <t>レイ</t>
    </rPh>
    <rPh sb="9" eb="11">
      <t>ネn</t>
    </rPh>
    <rPh sb="15" eb="17">
      <t>ネn</t>
    </rPh>
    <rPh sb="35" eb="37">
      <t>カイコウ</t>
    </rPh>
    <rPh sb="39" eb="43">
      <t>ケイエイ</t>
    </rPh>
    <rPh sb="44" eb="48">
      <t>ケイザイ</t>
    </rPh>
    <rPh sb="49" eb="50">
      <t>スベテ</t>
    </rPh>
    <rPh sb="52" eb="54">
      <t>ガクセイ</t>
    </rPh>
    <rPh sb="55" eb="57">
      <t>リシュウ</t>
    </rPh>
    <rPh sb="66" eb="69">
      <t>カクガッカ</t>
    </rPh>
    <rPh sb="70" eb="72">
      <t>カイコウス</t>
    </rPh>
    <rPh sb="77" eb="79">
      <t>カモク</t>
    </rPh>
    <rPh sb="81" eb="84">
      <t>ジカn</t>
    </rPh>
    <rPh sb="85" eb="87">
      <t>ジュウフク</t>
    </rPh>
    <rPh sb="101" eb="102">
      <t>ニン</t>
    </rPh>
    <rPh sb="117" eb="118">
      <t xml:space="preserve">ニン </t>
    </rPh>
    <rPh sb="133" eb="134">
      <t xml:space="preserve">ニン </t>
    </rPh>
    <rPh sb="139" eb="145">
      <t>ブンセキ</t>
    </rPh>
    <rPh sb="149" eb="150">
      <t xml:space="preserve">ニン </t>
    </rPh>
    <rPh sb="165" eb="166">
      <t>ニn</t>
    </rPh>
    <rPh sb="179" eb="180">
      <t>ニn</t>
    </rPh>
    <rPh sb="195" eb="196">
      <t xml:space="preserve">ニン </t>
    </rPh>
    <rPh sb="210" eb="211">
      <t>ニn</t>
    </rPh>
    <rPh sb="213" eb="218">
      <t>ケイエイ</t>
    </rPh>
    <rPh sb="221" eb="222">
      <t xml:space="preserve">ニン </t>
    </rPh>
    <rPh sb="228" eb="230">
      <t>リシュウ</t>
    </rPh>
    <rPh sb="231" eb="233">
      <t>ハイリョシテ</t>
    </rPh>
    <rPh sb="241" eb="243">
      <t>レイワ</t>
    </rPh>
    <rPh sb="251" eb="253">
      <t>ネn</t>
    </rPh>
    <rPh sb="254" eb="256">
      <t>リシュウ</t>
    </rPh>
    <rPh sb="257" eb="261">
      <t>シュウトク</t>
    </rPh>
    <rPh sb="263" eb="266">
      <t>リシュウ</t>
    </rPh>
    <phoneticPr fontId="1"/>
  </si>
  <si>
    <t>本教育プログラムの全ての構成科目において、エクセルやGoogle Formsを用いて各演習課題に対する学生の解答結果を記録しており、演習課題の進捗から、授業内容の理解を把握することが可能である。これらの結果をもとにして、データサイエンス教育プログラム推進室と科目担当教員との話し合いを通じて、学修成果の評価・改善を行なっている。</t>
    <phoneticPr fontId="1"/>
  </si>
  <si>
    <t>学部・学科によって、修了要件は相違しない</t>
  </si>
  <si>
    <t>プログラムを構成する「必修科目群」の単位を全て取得し、「選択必修科目群」から8単位以上、合計２２単位以上を取得すること。
必修科目群：1.テクノロジーと社会(4単位)、2.データリテラシー(2単位)、3.データサイエンス(2単位)、4.データ分析基礎演習(2単位)、
5.プログラミング実践(2単位)、6.アルゴリズム論(2単位)
選択必修科目群：7.スタティスティクス(4単位)、8.エコノメトリクス(4単位)、9.経営情報論(4単位)</t>
    <rPh sb="6" eb="8">
      <t>コウセイ</t>
    </rPh>
    <rPh sb="11" eb="16">
      <t>ヒッセィウ</t>
    </rPh>
    <rPh sb="18" eb="20">
      <t>タンイ</t>
    </rPh>
    <rPh sb="21" eb="22">
      <t>スベテ</t>
    </rPh>
    <rPh sb="23" eb="25">
      <t>シュトク</t>
    </rPh>
    <rPh sb="28" eb="35">
      <t>センタク</t>
    </rPh>
    <rPh sb="39" eb="43">
      <t>タンイイジ</t>
    </rPh>
    <rPh sb="44" eb="46">
      <t>ゴウケイ</t>
    </rPh>
    <rPh sb="50" eb="52">
      <t>イジョウ</t>
    </rPh>
    <rPh sb="53" eb="55">
      <t>シュトク</t>
    </rPh>
    <rPh sb="61" eb="66">
      <t>ヒッシュウ</t>
    </rPh>
    <rPh sb="80" eb="82">
      <t>タンイ</t>
    </rPh>
    <rPh sb="96" eb="98">
      <t>タンイ</t>
    </rPh>
    <rPh sb="112" eb="114">
      <t>タンイ</t>
    </rPh>
    <rPh sb="121" eb="127">
      <t>ブンセキ</t>
    </rPh>
    <rPh sb="129" eb="131">
      <t>タンイ</t>
    </rPh>
    <rPh sb="147" eb="149">
      <t>タンイ</t>
    </rPh>
    <rPh sb="162" eb="164">
      <t>タンイ</t>
    </rPh>
    <rPh sb="166" eb="173">
      <t>センタク</t>
    </rPh>
    <rPh sb="187" eb="189">
      <t>タンイ</t>
    </rPh>
    <rPh sb="203" eb="205">
      <t>タンイ</t>
    </rPh>
    <rPh sb="209" eb="214">
      <t>ケイエイ</t>
    </rPh>
    <rPh sb="216" eb="218">
      <t>タンイ</t>
    </rPh>
    <phoneticPr fontId="1"/>
  </si>
  <si>
    <t>○</t>
    <phoneticPr fontId="1"/>
  </si>
  <si>
    <t>本学のFD推進室が行う授業評価アンケートの設問(17)「授業の内容について理解できましたか」について理解できた(①、②、③の合計)という回答の比率を科目別に見ると、「テクノロジーと社会」が97%、「データリテラシー」が89%、「データサイエンス」が93%、「データ分析基礎演習」が98%、「プログラミング実践」が90%、「アルゴリズム論」が96%、「スタティスティクス」が97%、「エコノメトリクス」が83%となっている。本教育プログラムの全科目において80%を超えており、履修生が授業内容を理解していることが分かる。以上の結果は、アンケートの信頼性のため、アンケート回答率が50%を超える科目に限定した。</t>
    <rPh sb="0" eb="2">
      <t>ホn</t>
    </rPh>
    <rPh sb="5" eb="8">
      <t>スイシn</t>
    </rPh>
    <rPh sb="9" eb="10">
      <t>オコナウ</t>
    </rPh>
    <rPh sb="71" eb="73">
      <t>ヒリテゥ</t>
    </rPh>
    <rPh sb="74" eb="77">
      <t>カモク</t>
    </rPh>
    <phoneticPr fontId="1"/>
  </si>
  <si>
    <t>学科を問わず１年次から履修できる「テクノロジーと社会」、「データリテラシー」、「データサイエンス」の３科目は、モデルカリキュラムのリテラシーレベル領域(①：「1-1,1-6」,②「1-2,1-3」,③「1-4,1-5」,④「3-1,3-2」,⑤「2-1,2-2,2-3」)を網羅する内容である。そのため、本教育プログラム履修者は1年目から数理・データサイエンス・AIの全体像と学ぶ意義を把握できる仕組みとなっている。</t>
    <phoneticPr fontId="1"/>
  </si>
  <si>
    <t>令和４(2022)年度から開設された本教育プログラムは、「テクノロジーと社会」、「データリテラシー」、「データサイエンス」、「データ分析基礎演習」、「プログラミング実践」、「アルゴリズム論」、「スタティスティクス」、「エコノメトリクス」、「経営情報論」の9個の科目で構成されている。
令和5年度から8年度までの計画は次のとおりである。
令和5年度　312名(40%)
令和6年度　351名(45%)
令和7年度　390名(50%)
令和8年度　429名(55%)</t>
    <rPh sb="0" eb="2">
      <t>レイワ</t>
    </rPh>
    <rPh sb="9" eb="11">
      <t>ネn</t>
    </rPh>
    <rPh sb="13" eb="15">
      <t>カイセテゥ</t>
    </rPh>
    <rPh sb="18" eb="21">
      <t>ホn</t>
    </rPh>
    <rPh sb="120" eb="125">
      <t>ケイエイ</t>
    </rPh>
    <rPh sb="130" eb="132">
      <t>カモク</t>
    </rPh>
    <rPh sb="133" eb="135">
      <t>コウセイサレ</t>
    </rPh>
    <rPh sb="142" eb="144">
      <t>レイワ</t>
    </rPh>
    <rPh sb="155" eb="157">
      <t>ケイカク</t>
    </rPh>
    <rPh sb="158" eb="159">
      <t>ツギ</t>
    </rPh>
    <rPh sb="168" eb="170">
      <t>レイワ</t>
    </rPh>
    <rPh sb="171" eb="173">
      <t>ネn</t>
    </rPh>
    <rPh sb="177" eb="178">
      <t>メイ</t>
    </rPh>
    <rPh sb="184" eb="186">
      <t>レイワ</t>
    </rPh>
    <rPh sb="187" eb="189">
      <t>ネn</t>
    </rPh>
    <rPh sb="193" eb="194">
      <t>_x0000__x0000_</t>
    </rPh>
    <rPh sb="200" eb="202">
      <t xml:space="preserve">_x0002__x0003_	</t>
    </rPh>
    <rPh sb="203" eb="205">
      <t/>
    </rPh>
    <rPh sb="209" eb="210">
      <t>_x0000__x0000_</t>
    </rPh>
    <rPh sb="216" eb="218">
      <t xml:space="preserve">_x0002__x0003_	</t>
    </rPh>
    <rPh sb="219" eb="221">
      <t>_x0002__x0005_</t>
    </rPh>
    <rPh sb="225" eb="226">
      <t/>
    </rPh>
    <phoneticPr fontId="1"/>
  </si>
  <si>
    <t>関東学園大学「データサイエンス教育プログラム」は、Society 5.0を目指して変革する社会の全体像を理解し、AIの活用が日常になる社会を生きていく上で必要となる基礎知識と応用力を身につけることを目的とする教育プログラムである。本教育プログラムを通じて、学生はプログラミングの基礎的な原理から始めて、データ分析に必要なグラフ・統計の知識を学び、データから因果関係を検証する能力を高められる。最終的には、機械学習によって学習されるAIの活用範囲と限界をよく知り、情報セキュリティーとAI倫理に即した活用ができるようになることを目標とする。</t>
    <rPh sb="48" eb="51">
      <t>ゼンタイ</t>
    </rPh>
    <rPh sb="115" eb="118">
      <t>ホn</t>
    </rPh>
    <rPh sb="124" eb="125">
      <t>ツウジ</t>
    </rPh>
    <rPh sb="128" eb="130">
      <t>ガクセイ</t>
    </rPh>
    <rPh sb="147" eb="148">
      <t>ハジ</t>
    </rPh>
    <rPh sb="263" eb="265">
      <t>モクヒョウ</t>
    </rPh>
    <phoneticPr fontId="1"/>
  </si>
  <si>
    <t>経済学部経済学科　林　仁史（教授・運営責任者）
経済学部経済学科　長谷川 雄哉（准教授）
経済学部経済学科　鄭　宇景（講師）</t>
    <rPh sb="0" eb="4">
      <t>ケイザイ</t>
    </rPh>
    <rPh sb="4" eb="8">
      <t>ケイザイ</t>
    </rPh>
    <rPh sb="14" eb="16">
      <t>キョウ</t>
    </rPh>
    <rPh sb="17" eb="22">
      <t>ウンエイ</t>
    </rPh>
    <rPh sb="24" eb="28">
      <t>ケイザイ</t>
    </rPh>
    <rPh sb="28" eb="32">
      <t>ケイザイ</t>
    </rPh>
    <rPh sb="33" eb="36">
      <t>ハセガワ</t>
    </rPh>
    <rPh sb="40" eb="43">
      <t>ジュンキョウジユ</t>
    </rPh>
    <rPh sb="45" eb="49">
      <t>ケイザイ</t>
    </rPh>
    <rPh sb="49" eb="53">
      <t>ケイザイ</t>
    </rPh>
    <rPh sb="54" eb="55">
      <t xml:space="preserve">テイ </t>
    </rPh>
    <rPh sb="56" eb="57">
      <t>ウチュウ</t>
    </rPh>
    <rPh sb="57" eb="58">
      <t>ケシキ</t>
    </rPh>
    <rPh sb="59" eb="61">
      <t>コウセィ</t>
    </rPh>
    <phoneticPr fontId="1"/>
  </si>
  <si>
    <t>令和4(2022)年度の4月に行われた履修オリエンテーションにおける本教育プログラムの説明と履修誘導を通じて在学生に対して周知徹底を行なった。さらに、本教育プログラムの詳細をホームページに掲載し、より多くの学生に本教育プログラムの存在を知らせている。また、オープンキャンパス（令和4年度は11回実施）においても、本教育プログラムの周知を行なった。履修者数と履修率向上のために、次年度からは、数理・データサイエンス・AI教育プログラム認定制度のリテラシーレベル認定後に入試説明会とオープンキャンパスで本教育プログラムの認定を周知させる計画である。</t>
    <rPh sb="0" eb="2">
      <t>レイ</t>
    </rPh>
    <rPh sb="9" eb="11">
      <t>ネn</t>
    </rPh>
    <rPh sb="61" eb="63">
      <t>シュウチ</t>
    </rPh>
    <rPh sb="63" eb="65">
      <t>テッテイ</t>
    </rPh>
    <rPh sb="138" eb="140">
      <t>レイワ</t>
    </rPh>
    <rPh sb="141" eb="143">
      <t>ネn</t>
    </rPh>
    <rPh sb="146" eb="149">
      <t>カイジッセィ</t>
    </rPh>
    <rPh sb="156" eb="159">
      <t>ホンキョ</t>
    </rPh>
    <rPh sb="165" eb="167">
      <t>シュウチヲ</t>
    </rPh>
    <rPh sb="168" eb="169">
      <t>オコナッタ</t>
    </rPh>
    <rPh sb="232" eb="235">
      <t>ニンテイ</t>
    </rPh>
    <rPh sb="236" eb="241">
      <t>ニュウシス</t>
    </rPh>
    <rPh sb="252" eb="255">
      <t>ホn</t>
    </rPh>
    <rPh sb="261" eb="263">
      <t>ニンテイ</t>
    </rPh>
    <rPh sb="264" eb="266">
      <t>シュウチス</t>
    </rPh>
    <rPh sb="269" eb="271">
      <t>ケイカク</t>
    </rPh>
    <phoneticPr fontId="1"/>
  </si>
  <si>
    <r>
      <t>入学後の新入生オリエンテーションにてデータサイエンス教育プログラムの概要を説明し、周知を行なっている。また、２年生以上の学生に対しても新学期の履修オリエンテーションで本教育プログラムの内容を説明している。また本学のホームページに本教育プログラムの</t>
    </r>
    <r>
      <rPr>
        <sz val="12"/>
        <color theme="1"/>
        <rFont val="ＭＳ Ｐゴシック"/>
        <family val="3"/>
        <charset val="128"/>
      </rPr>
      <t>内容</t>
    </r>
    <r>
      <rPr>
        <sz val="12"/>
        <color theme="1"/>
        <rFont val="ＭＳ Ｐゴシック"/>
        <family val="3"/>
        <charset val="128"/>
        <scheme val="minor"/>
      </rPr>
      <t>を掲載し、学生が各科目の概要を知りやすいように</t>
    </r>
    <r>
      <rPr>
        <sz val="12"/>
        <color theme="1"/>
        <rFont val="ＭＳ Ｐゴシック"/>
        <family val="3"/>
        <charset val="128"/>
      </rPr>
      <t>周知徹底</t>
    </r>
    <r>
      <rPr>
        <sz val="12"/>
        <color theme="1"/>
        <rFont val="ＭＳ Ｐゴシック"/>
        <family val="3"/>
        <charset val="128"/>
        <scheme val="minor"/>
      </rPr>
      <t>している。</t>
    </r>
    <rPh sb="0" eb="3">
      <t>ニュウガク</t>
    </rPh>
    <rPh sb="4" eb="7">
      <t>シンニュウ</t>
    </rPh>
    <rPh sb="26" eb="28">
      <t>キョウイクプ</t>
    </rPh>
    <rPh sb="34" eb="36">
      <t>ガイヨウ</t>
    </rPh>
    <rPh sb="37" eb="39">
      <t>セツメイ</t>
    </rPh>
    <rPh sb="41" eb="43">
      <t>シュウティ</t>
    </rPh>
    <rPh sb="44" eb="45">
      <t>オコナッテ</t>
    </rPh>
    <rPh sb="55" eb="59">
      <t>ネンセイ</t>
    </rPh>
    <rPh sb="60" eb="62">
      <t>ガクセイ</t>
    </rPh>
    <rPh sb="63" eb="64">
      <t>タイ</t>
    </rPh>
    <rPh sb="67" eb="70">
      <t>シンガッキ</t>
    </rPh>
    <rPh sb="71" eb="73">
      <t>リシュウ</t>
    </rPh>
    <rPh sb="83" eb="86">
      <t>ホn</t>
    </rPh>
    <rPh sb="92" eb="94">
      <t>ナイヨウ</t>
    </rPh>
    <rPh sb="95" eb="97">
      <t>セツメイ</t>
    </rPh>
    <rPh sb="104" eb="106">
      <t>ホn</t>
    </rPh>
    <rPh sb="114" eb="117">
      <t>ホンキョウイ</t>
    </rPh>
    <rPh sb="123" eb="125">
      <t>ナイヨウ</t>
    </rPh>
    <rPh sb="126" eb="128">
      <t>ケイサイ</t>
    </rPh>
    <rPh sb="130" eb="132">
      <t>ガクセイ</t>
    </rPh>
    <rPh sb="133" eb="136">
      <t>カクカモク</t>
    </rPh>
    <rPh sb="137" eb="139">
      <t>ガイヨウ</t>
    </rPh>
    <rPh sb="140" eb="141">
      <t>シリイ</t>
    </rPh>
    <rPh sb="148" eb="150">
      <t>シュウチ</t>
    </rPh>
    <rPh sb="150" eb="152">
      <t>テッテイ</t>
    </rPh>
    <phoneticPr fontId="1"/>
  </si>
  <si>
    <t>本学に設置された各コース・プログラム別の履修オリエンテーションにおいて、学生の教育プログラム対象科目の履修を促すべく、各コースの学びと両立するような履修モデルを作成し、教育プログラム対象科目の担当教員だけでなく全教員が協力して学生に履修モデルを説明している。また、すべてのセミナー及びゼミにおいて、また、それ以外の授業科目において、担当教員が教育プログラム対象科目の重要性や学びの意義について繰り返し説明することで履修率向上に取り組んでいる。また、履修後は、学生が単位修得をしやすいように、質問があれば教育プログラム対象科目の担当教員にteamsのチャットやオフィスアワーを利用して疑問を解消するようセミナー・ゼミ担当教員に誘導してもらっている。</t>
    <rPh sb="34" eb="36">
      <t>セイ</t>
    </rPh>
    <rPh sb="43" eb="45">
      <t>ショクイn</t>
    </rPh>
    <rPh sb="54" eb="56">
      <t>キホn</t>
    </rPh>
    <rPh sb="56" eb="58">
      <t>ソウサ</t>
    </rPh>
    <rPh sb="69" eb="70">
      <t>sy</t>
    </rPh>
    <rPh sb="101" eb="102">
      <t>カンスル</t>
    </rPh>
    <rPh sb="109" eb="110">
      <t>オコナッテ</t>
    </rPh>
    <rPh sb="144" eb="146">
      <t>ジョウジ</t>
    </rPh>
    <rPh sb="146" eb="148">
      <t>リヨウ</t>
    </rPh>
    <rPh sb="148" eb="150">
      <t>カノ</t>
    </rPh>
    <rPh sb="154" eb="157">
      <t>リシュウ</t>
    </rPh>
    <rPh sb="158" eb="160">
      <t>ガクシュウ</t>
    </rPh>
    <rPh sb="161" eb="163">
      <t>シショウ</t>
    </rPh>
    <rPh sb="169" eb="171">
      <t>クフウ</t>
    </rPh>
    <rPh sb="178" eb="179">
      <t>カ</t>
    </rPh>
    <rPh sb="180" eb="181">
      <t>ナオ</t>
    </rPh>
    <rPh sb="183" eb="185">
      <t>ヒツヨウ</t>
    </rPh>
    <rPh sb="196" eb="198">
      <t>キョウイク</t>
    </rPh>
    <rPh sb="204" eb="206">
      <t>タイショウ</t>
    </rPh>
    <rPh sb="206" eb="208">
      <t>カモク</t>
    </rPh>
    <rPh sb="209" eb="211">
      <t>タントウ</t>
    </rPh>
    <rPh sb="215" eb="217">
      <t>キョウイン</t>
    </rPh>
    <rPh sb="220" eb="222">
      <t>イガイ</t>
    </rPh>
    <rPh sb="223" eb="225">
      <t>キョウイン</t>
    </rPh>
    <rPh sb="226" eb="228">
      <t>キョウイク</t>
    </rPh>
    <rPh sb="234" eb="235">
      <t>オオ</t>
    </rPh>
    <rPh sb="237" eb="239">
      <t>ガクセイ</t>
    </rPh>
    <rPh sb="240" eb="242">
      <t>リシュウ</t>
    </rPh>
    <rPh sb="253" eb="255">
      <t>リシュウ</t>
    </rPh>
    <rPh sb="255" eb="257">
      <t>ガクセイ</t>
    </rPh>
    <rPh sb="258" eb="260">
      <t>タンイ</t>
    </rPh>
    <rPh sb="261" eb="263">
      <t>シュウトク</t>
    </rPh>
    <rPh sb="272" eb="275">
      <t>チョクセツテキ</t>
    </rPh>
    <rPh sb="278" eb="281">
      <t>カンセツテキ</t>
    </rPh>
    <rPh sb="287" eb="289">
      <t>ガクセイ</t>
    </rPh>
    <rPh sb="301" eb="302">
      <t>カ</t>
    </rPh>
    <rPh sb="314" eb="315">
      <t>フ</t>
    </rPh>
    <rPh sb="319" eb="322">
      <t>ソウロンテキカゼンガクテキトクカ</t>
    </rPh>
    <phoneticPr fontId="1"/>
  </si>
  <si>
    <r>
      <t>本</t>
    </r>
    <r>
      <rPr>
        <sz val="12"/>
        <rFont val="ＭＳ Ｐゴシック"/>
        <family val="3"/>
        <charset val="128"/>
        <scheme val="minor"/>
      </rPr>
      <t>教育プログラムの外部評価のために外部評価者をインタビューし、プログラムの構成と授業方式に関する意見を求めた。その結果、</t>
    </r>
    <r>
      <rPr>
        <sz val="12"/>
        <rFont val="ＭＳ Ｐゴシック"/>
        <family val="3"/>
        <charset val="128"/>
      </rPr>
      <t>「モデルカリキュラムの各領域を複数の科目でカバーしていて、手厚い」、「自分の手を動かして学ぶ授業が多ければ多いほどいい」、「１年次の科目の場合、授業のタイトルが新入生の関心を引きやすいように改善する必要がある」</t>
    </r>
    <r>
      <rPr>
        <sz val="12"/>
        <rFont val="ＭＳ Ｐゴシック"/>
        <family val="3"/>
        <charset val="128"/>
        <scheme val="minor"/>
      </rPr>
      <t>という意見を得て、それをデータサイエンス教育プログラム推進室にてプログラムの改善に活用している。</t>
    </r>
    <phoneticPr fontId="1"/>
  </si>
  <si>
    <t>令和５(2023)年４月に行われた本教育プログラムの2022年度履修者に対するアンケートで、「後輩等他の学生への推奨度」を５段階に分けて調べた。アンケートを集計した結果、推奨する(①、②、③の合計)という回答の比率を科目別に見ると、「テクノロジーと社会」が97%、「データリテラシー」が98%、「データサイエンス」が97%、「データ分析基礎演習」が95%、「プログラミング実践」が96%、「アルゴリズム論」が93%、「スタティスティクス」が98%、「エコノメトリクス」が95%、「経営情報論」が90%となっている。本教育プログラムの全科目において90%以上である点から、履修生が今後、他学生へ推奨することが見込まれる。次年度からも本教育プログラムの各科目においてアンケートを実施する計画である。</t>
    <rPh sb="30" eb="32">
      <t>ネンド</t>
    </rPh>
    <rPh sb="201" eb="206">
      <t>ケイエイ</t>
    </rPh>
    <rPh sb="232" eb="233">
      <t>テンカラ</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</si>
</sst>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ＭＳ Ｐゴシック"/>
      <family val="3"/>
      <charset val="128"/>
    </font>
    <font>
      <sz val="12"/>
      <name val="ＭＳ Ｐゴシック"/>
      <family val="3"/>
      <charset val="128"/>
      <scheme val="minor"/>
    </font>
    <font>
      <sz val="12"/>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3" fillId="0" borderId="7" xfId="0" applyFont="1" applyBorder="1" applyAlignment="1">
      <alignment vertical="top" wrapText="1" shrinkToFit="1"/>
    </xf>
    <xf numFmtId="0" fontId="12" fillId="0" borderId="8" xfId="0" applyFont="1" applyBorder="1" applyAlignment="1">
      <alignment vertical="top" wrapText="1" shrinkToFit="1"/>
    </xf>
    <xf numFmtId="0" fontId="12" fillId="0" borderId="9" xfId="0" applyFont="1" applyBorder="1" applyAlignment="1">
      <alignment vertical="top" shrinkToFit="1"/>
    </xf>
    <xf numFmtId="0" fontId="12" fillId="0" borderId="5" xfId="0" applyFont="1" applyBorder="1" applyAlignment="1">
      <alignment vertical="top" shrinkToFit="1"/>
    </xf>
    <xf numFmtId="0" fontId="12" fillId="0" borderId="0" xfId="0" applyFont="1" applyAlignment="1">
      <alignment vertical="top" shrinkToFit="1"/>
    </xf>
    <xf numFmtId="0" fontId="12" fillId="0" borderId="10" xfId="0" applyFont="1" applyBorder="1" applyAlignment="1">
      <alignment vertical="top" shrinkToFit="1"/>
    </xf>
    <xf numFmtId="0" fontId="12" fillId="0" borderId="11" xfId="0" applyFont="1" applyBorder="1" applyAlignment="1">
      <alignment vertical="top" shrinkToFit="1"/>
    </xf>
    <xf numFmtId="0" fontId="12" fillId="0" borderId="6" xfId="0" applyFont="1" applyBorder="1" applyAlignment="1">
      <alignment vertical="top" shrinkToFit="1"/>
    </xf>
    <xf numFmtId="0" fontId="12" fillId="0" borderId="12" xfId="0" applyFont="1" applyBorder="1" applyAlignment="1">
      <alignment vertical="top" shrinkToFit="1"/>
    </xf>
    <xf numFmtId="0" fontId="2" fillId="0" borderId="0" xfId="0" applyFont="1">
      <alignment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13" fillId="0" borderId="19" xfId="0" applyFont="1" applyBorder="1" applyAlignment="1">
      <alignment vertical="top" wrapText="1" shrinkToFit="1"/>
    </xf>
    <xf numFmtId="0" fontId="12" fillId="0" borderId="20" xfId="0" applyFont="1" applyBorder="1" applyAlignment="1">
      <alignment vertical="top" wrapText="1" shrinkToFit="1"/>
    </xf>
    <xf numFmtId="0" fontId="12" fillId="0" borderId="18"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10"/>
  <sheetViews>
    <sheetView showZeros="0" tabSelected="1" view="pageBreakPreview" topLeftCell="A46" zoomScaleNormal="100" zoomScaleSheetLayoutView="100" workbookViewId="0">
      <selection activeCell="P73" sqref="P73"/>
    </sheetView>
  </sheetViews>
  <sheetFormatPr baseColWidth="10" defaultColWidth="9" defaultRowHeight="18.75" customHeight="1"/>
  <cols>
    <col min="1" max="1" width="2.5" style="1" customWidth="1"/>
    <col min="2" max="2" width="16.5" style="1" customWidth="1"/>
    <col min="3" max="19" width="5.6640625" style="1" customWidth="1"/>
    <col min="20" max="20" width="9" style="1"/>
    <col min="21" max="21" width="3.6640625" style="1" customWidth="1"/>
    <col min="22" max="22" width="48.6640625" style="1" hidden="1" customWidth="1"/>
    <col min="23" max="16384" width="9" style="1"/>
  </cols>
  <sheetData>
    <row r="1" spans="1:22" ht="18.5" customHeight="1">
      <c r="R1" s="101" t="s">
        <v>12</v>
      </c>
      <c r="S1" s="101"/>
      <c r="T1" s="2" t="s">
        <v>109</v>
      </c>
    </row>
    <row r="2" spans="1:22" ht="18.75" customHeight="1">
      <c r="B2" s="34" t="s">
        <v>108</v>
      </c>
      <c r="C2" s="94" t="s">
        <v>128</v>
      </c>
      <c r="D2" s="95"/>
      <c r="E2" s="95"/>
      <c r="F2" s="95"/>
      <c r="G2" s="95"/>
      <c r="H2" s="95"/>
      <c r="I2" s="96"/>
      <c r="J2" s="35"/>
      <c r="K2" s="6"/>
      <c r="L2" s="6"/>
      <c r="M2" s="6"/>
      <c r="N2" s="6"/>
      <c r="O2" s="6"/>
      <c r="P2" s="6"/>
      <c r="Q2" s="6"/>
      <c r="R2" s="6"/>
      <c r="S2" s="6"/>
    </row>
    <row r="3" spans="1:22" ht="18.75" customHeight="1">
      <c r="B3" s="34" t="s">
        <v>102</v>
      </c>
      <c r="C3" s="94" t="s">
        <v>129</v>
      </c>
      <c r="D3" s="95"/>
      <c r="E3" s="95"/>
      <c r="F3" s="95"/>
      <c r="G3" s="95"/>
      <c r="H3" s="95"/>
      <c r="I3" s="96"/>
      <c r="J3" s="35"/>
      <c r="K3" s="6"/>
      <c r="L3" s="6"/>
      <c r="M3" s="6"/>
      <c r="N3" s="6"/>
      <c r="O3" s="6"/>
      <c r="P3" s="6"/>
      <c r="Q3" s="6"/>
      <c r="R3" s="6"/>
      <c r="S3" s="6"/>
    </row>
    <row r="4" spans="1:22" ht="15" customHeight="1">
      <c r="K4" s="35"/>
      <c r="L4" s="37"/>
      <c r="M4" s="37"/>
      <c r="N4" s="37"/>
      <c r="O4" s="37"/>
      <c r="P4" s="37"/>
      <c r="Q4" s="37"/>
      <c r="R4" s="37"/>
      <c r="S4" s="37"/>
    </row>
    <row r="5" spans="1:22" ht="18" customHeight="1">
      <c r="A5" s="105" t="s">
        <v>38</v>
      </c>
      <c r="B5" s="105"/>
      <c r="C5" s="105"/>
      <c r="D5" s="105"/>
      <c r="E5" s="105"/>
      <c r="F5" s="105"/>
      <c r="G5" s="105"/>
      <c r="H5" s="105"/>
      <c r="I5" s="105"/>
      <c r="J5" s="105"/>
      <c r="K5" s="105"/>
      <c r="L5" s="105"/>
      <c r="M5" s="105"/>
      <c r="N5" s="105"/>
      <c r="O5" s="105"/>
      <c r="P5" s="105"/>
      <c r="Q5" s="105"/>
      <c r="R5" s="105"/>
      <c r="S5" s="105"/>
    </row>
    <row r="6" spans="1:22" ht="15" customHeight="1">
      <c r="B6" s="3"/>
      <c r="C6" s="3"/>
      <c r="D6" s="3"/>
      <c r="E6" s="3"/>
      <c r="F6" s="3"/>
      <c r="G6" s="3"/>
      <c r="H6" s="3"/>
      <c r="I6" s="3"/>
      <c r="J6" s="3"/>
      <c r="K6" s="3"/>
      <c r="L6" s="3"/>
      <c r="M6" s="3"/>
      <c r="N6" s="3"/>
      <c r="O6" s="3"/>
      <c r="P6" s="3"/>
      <c r="Q6" s="3"/>
      <c r="R6" s="3"/>
      <c r="S6" s="3"/>
    </row>
    <row r="7" spans="1:22" ht="18" customHeight="1">
      <c r="A7" s="1" t="s">
        <v>124</v>
      </c>
      <c r="C7" s="3"/>
      <c r="J7" s="38" t="s">
        <v>107</v>
      </c>
      <c r="K7" s="115" t="s">
        <v>168</v>
      </c>
      <c r="L7" s="116"/>
      <c r="M7" s="116"/>
      <c r="N7" s="116"/>
      <c r="O7" s="116"/>
      <c r="P7" s="116"/>
      <c r="Q7" s="116"/>
      <c r="R7" s="116"/>
      <c r="S7" s="117"/>
    </row>
    <row r="8" spans="1:22" ht="6" customHeight="1">
      <c r="B8" s="3"/>
      <c r="C8" s="3"/>
      <c r="D8" s="3"/>
      <c r="E8" s="3"/>
      <c r="F8" s="3"/>
      <c r="G8" s="3"/>
      <c r="H8" s="3"/>
      <c r="I8" s="3"/>
      <c r="J8" s="3"/>
      <c r="K8" s="10"/>
      <c r="L8" s="3"/>
      <c r="M8" s="3"/>
      <c r="N8" s="3"/>
      <c r="O8" s="3"/>
      <c r="P8" s="3"/>
      <c r="Q8" s="3"/>
      <c r="R8" s="3"/>
      <c r="S8" s="3"/>
    </row>
    <row r="9" spans="1:22" ht="18" customHeight="1">
      <c r="B9" s="82" t="s">
        <v>130</v>
      </c>
      <c r="C9" s="83"/>
      <c r="D9" s="83"/>
      <c r="E9" s="83"/>
      <c r="F9" s="83"/>
      <c r="G9" s="83"/>
      <c r="H9" s="83"/>
      <c r="I9" s="83"/>
      <c r="J9" s="83"/>
      <c r="K9" s="83"/>
      <c r="L9" s="83"/>
      <c r="M9" s="83"/>
      <c r="N9" s="83"/>
      <c r="O9" s="83"/>
      <c r="P9" s="83"/>
      <c r="Q9" s="83"/>
      <c r="R9" s="83"/>
      <c r="S9" s="84"/>
    </row>
    <row r="10" spans="1:22" ht="18" customHeight="1">
      <c r="B10" s="85"/>
      <c r="C10" s="86"/>
      <c r="D10" s="86"/>
      <c r="E10" s="86"/>
      <c r="F10" s="86"/>
      <c r="G10" s="86"/>
      <c r="H10" s="86"/>
      <c r="I10" s="86"/>
      <c r="J10" s="86"/>
      <c r="K10" s="86"/>
      <c r="L10" s="86"/>
      <c r="M10" s="86"/>
      <c r="N10" s="86"/>
      <c r="O10" s="86"/>
      <c r="P10" s="86"/>
      <c r="Q10" s="86"/>
      <c r="R10" s="86"/>
      <c r="S10" s="87"/>
    </row>
    <row r="11" spans="1:22" ht="6" customHeight="1">
      <c r="B11" s="3"/>
      <c r="C11" s="3"/>
      <c r="D11" s="3"/>
      <c r="E11" s="3"/>
      <c r="F11" s="3"/>
      <c r="G11" s="3"/>
      <c r="H11" s="3"/>
      <c r="I11" s="3"/>
      <c r="J11" s="3"/>
      <c r="K11" s="10"/>
      <c r="L11" s="3"/>
      <c r="M11" s="3"/>
      <c r="N11" s="3"/>
      <c r="O11" s="3"/>
      <c r="P11" s="3"/>
      <c r="Q11" s="3"/>
      <c r="R11" s="3"/>
      <c r="S11" s="3"/>
    </row>
    <row r="12" spans="1:22" ht="18" customHeight="1">
      <c r="A12" s="1" t="s">
        <v>111</v>
      </c>
      <c r="B12" s="3"/>
      <c r="C12" s="3"/>
      <c r="D12" s="35"/>
      <c r="E12" s="35"/>
      <c r="F12" s="35"/>
      <c r="G12" s="35"/>
      <c r="H12" s="35"/>
      <c r="I12" s="35"/>
      <c r="J12" s="35"/>
      <c r="K12" s="39"/>
      <c r="L12" s="39"/>
      <c r="M12" s="39"/>
      <c r="N12" s="39"/>
      <c r="O12" s="39"/>
      <c r="P12" s="39"/>
      <c r="Q12" s="39"/>
      <c r="R12" s="39"/>
      <c r="S12" s="39"/>
    </row>
    <row r="13" spans="1:22" ht="18" customHeight="1">
      <c r="B13" s="106" t="s">
        <v>169</v>
      </c>
      <c r="C13" s="107"/>
      <c r="D13" s="107"/>
      <c r="E13" s="107"/>
      <c r="F13" s="107"/>
      <c r="G13" s="107"/>
      <c r="H13" s="107"/>
      <c r="I13" s="107"/>
      <c r="J13" s="107"/>
      <c r="K13" s="107"/>
      <c r="L13" s="107"/>
      <c r="M13" s="107"/>
      <c r="N13" s="107"/>
      <c r="O13" s="107"/>
      <c r="P13" s="107"/>
      <c r="Q13" s="107"/>
      <c r="R13" s="107"/>
      <c r="S13" s="108"/>
      <c r="V13" s="1" t="s">
        <v>103</v>
      </c>
    </row>
    <row r="14" spans="1:22" ht="18" customHeight="1">
      <c r="B14" s="109"/>
      <c r="C14" s="110"/>
      <c r="D14" s="110"/>
      <c r="E14" s="110"/>
      <c r="F14" s="110"/>
      <c r="G14" s="110"/>
      <c r="H14" s="110"/>
      <c r="I14" s="110"/>
      <c r="J14" s="110"/>
      <c r="K14" s="110"/>
      <c r="L14" s="110"/>
      <c r="M14" s="110"/>
      <c r="N14" s="110"/>
      <c r="O14" s="110"/>
      <c r="P14" s="110"/>
      <c r="Q14" s="110"/>
      <c r="R14" s="110"/>
      <c r="S14" s="111"/>
      <c r="V14" s="1" t="s">
        <v>110</v>
      </c>
    </row>
    <row r="15" spans="1:22" ht="18" customHeight="1">
      <c r="B15" s="109"/>
      <c r="C15" s="110"/>
      <c r="D15" s="110"/>
      <c r="E15" s="110"/>
      <c r="F15" s="110"/>
      <c r="G15" s="110"/>
      <c r="H15" s="110"/>
      <c r="I15" s="110"/>
      <c r="J15" s="110"/>
      <c r="K15" s="110"/>
      <c r="L15" s="110"/>
      <c r="M15" s="110"/>
      <c r="N15" s="110"/>
      <c r="O15" s="110"/>
      <c r="P15" s="110"/>
      <c r="Q15" s="110"/>
      <c r="R15" s="110"/>
      <c r="S15" s="111"/>
      <c r="V15" s="1" t="s">
        <v>123</v>
      </c>
    </row>
    <row r="16" spans="1:22" ht="18" customHeight="1">
      <c r="B16" s="109"/>
      <c r="C16" s="110"/>
      <c r="D16" s="110"/>
      <c r="E16" s="110"/>
      <c r="F16" s="110"/>
      <c r="G16" s="110"/>
      <c r="H16" s="110"/>
      <c r="I16" s="110"/>
      <c r="J16" s="110"/>
      <c r="K16" s="110"/>
      <c r="L16" s="110"/>
      <c r="M16" s="110"/>
      <c r="N16" s="110"/>
      <c r="O16" s="110"/>
      <c r="P16" s="110"/>
      <c r="Q16" s="110"/>
      <c r="R16" s="110"/>
      <c r="S16" s="111"/>
      <c r="V16" s="1" t="s">
        <v>125</v>
      </c>
    </row>
    <row r="17" spans="1:19" ht="18" customHeight="1">
      <c r="B17" s="109"/>
      <c r="C17" s="110"/>
      <c r="D17" s="110"/>
      <c r="E17" s="110"/>
      <c r="F17" s="110"/>
      <c r="G17" s="110"/>
      <c r="H17" s="110"/>
      <c r="I17" s="110"/>
      <c r="J17" s="110"/>
      <c r="K17" s="110"/>
      <c r="L17" s="110"/>
      <c r="M17" s="110"/>
      <c r="N17" s="110"/>
      <c r="O17" s="110"/>
      <c r="P17" s="110"/>
      <c r="Q17" s="110"/>
      <c r="R17" s="110"/>
      <c r="S17" s="111"/>
    </row>
    <row r="18" spans="1:19" ht="18" customHeight="1">
      <c r="B18" s="112"/>
      <c r="C18" s="113"/>
      <c r="D18" s="113"/>
      <c r="E18" s="113"/>
      <c r="F18" s="113"/>
      <c r="G18" s="113"/>
      <c r="H18" s="113"/>
      <c r="I18" s="113"/>
      <c r="J18" s="113"/>
      <c r="K18" s="113"/>
      <c r="L18" s="113"/>
      <c r="M18" s="113"/>
      <c r="N18" s="113"/>
      <c r="O18" s="113"/>
      <c r="P18" s="113"/>
      <c r="Q18" s="113"/>
      <c r="R18" s="113"/>
      <c r="S18" s="114"/>
    </row>
    <row r="19" spans="1:19" ht="7.5" customHeight="1">
      <c r="B19" s="3"/>
      <c r="C19" s="3"/>
      <c r="D19" s="3"/>
      <c r="E19" s="3"/>
      <c r="F19" s="3"/>
      <c r="G19" s="3"/>
      <c r="H19" s="3"/>
      <c r="I19" s="3"/>
      <c r="J19" s="3"/>
      <c r="K19" s="3"/>
      <c r="L19" s="3"/>
      <c r="M19" s="3"/>
      <c r="N19" s="3"/>
      <c r="O19" s="3"/>
      <c r="P19" s="3"/>
      <c r="Q19" s="3"/>
      <c r="R19" s="3"/>
      <c r="S19" s="3"/>
    </row>
    <row r="20" spans="1:19" ht="20" customHeight="1">
      <c r="B20" s="1" t="s">
        <v>112</v>
      </c>
      <c r="C20" s="94">
        <v>22</v>
      </c>
      <c r="D20" s="96"/>
      <c r="E20" s="40" t="s">
        <v>95</v>
      </c>
      <c r="G20" s="10"/>
      <c r="H20" s="3"/>
      <c r="I20" s="3"/>
      <c r="J20" s="35" t="s">
        <v>121</v>
      </c>
      <c r="K20" s="102" t="s">
        <v>125</v>
      </c>
      <c r="L20" s="103"/>
      <c r="M20" s="103"/>
      <c r="N20" s="103"/>
      <c r="O20" s="103"/>
      <c r="P20" s="103"/>
      <c r="Q20" s="103"/>
      <c r="R20" s="103"/>
      <c r="S20" s="104"/>
    </row>
    <row r="21" spans="1:19" ht="7.5" customHeight="1">
      <c r="B21" s="3"/>
      <c r="C21" s="3"/>
      <c r="D21" s="3"/>
      <c r="E21" s="3"/>
      <c r="F21" s="3"/>
      <c r="G21" s="3"/>
      <c r="H21" s="3"/>
      <c r="I21" s="3"/>
      <c r="J21" s="3"/>
      <c r="K21" s="3"/>
      <c r="L21" s="3"/>
      <c r="M21" s="3"/>
      <c r="N21" s="3"/>
      <c r="O21" s="3"/>
      <c r="P21" s="3"/>
      <c r="Q21" s="3"/>
      <c r="R21" s="3"/>
      <c r="S21" s="3"/>
    </row>
    <row r="22" spans="1:19" ht="18" customHeight="1">
      <c r="A22" s="97" t="s">
        <v>113</v>
      </c>
      <c r="B22" s="97"/>
      <c r="C22" s="97"/>
      <c r="D22" s="97"/>
      <c r="E22" s="97"/>
      <c r="F22" s="97"/>
      <c r="G22" s="97"/>
      <c r="H22" s="97"/>
      <c r="I22" s="97"/>
      <c r="J22" s="97"/>
      <c r="K22" s="97"/>
      <c r="L22" s="97"/>
      <c r="M22" s="97"/>
      <c r="N22" s="97"/>
      <c r="O22" s="97"/>
      <c r="P22" s="97"/>
      <c r="Q22" s="97"/>
      <c r="R22" s="97"/>
      <c r="S22" s="97"/>
    </row>
    <row r="23" spans="1:19" ht="18" customHeight="1">
      <c r="A23" s="97"/>
      <c r="B23" s="97"/>
      <c r="C23" s="97"/>
      <c r="D23" s="97"/>
      <c r="E23" s="97"/>
      <c r="F23" s="97"/>
      <c r="G23" s="97"/>
      <c r="H23" s="97"/>
      <c r="I23" s="97"/>
      <c r="J23" s="97"/>
      <c r="K23" s="97"/>
      <c r="L23" s="97"/>
      <c r="M23" s="97"/>
      <c r="N23" s="97"/>
      <c r="O23" s="97"/>
      <c r="P23" s="97"/>
      <c r="Q23" s="97"/>
      <c r="R23" s="97"/>
      <c r="S23" s="97"/>
    </row>
    <row r="24" spans="1:19" ht="18" customHeight="1">
      <c r="B24" s="94" t="s">
        <v>53</v>
      </c>
      <c r="C24" s="95"/>
      <c r="D24" s="95"/>
      <c r="E24" s="96"/>
      <c r="F24" s="61" t="s">
        <v>80</v>
      </c>
      <c r="G24" s="60" t="s">
        <v>84</v>
      </c>
      <c r="H24" s="22" t="s">
        <v>56</v>
      </c>
      <c r="I24" s="22" t="s">
        <v>59</v>
      </c>
      <c r="J24" s="94" t="s">
        <v>53</v>
      </c>
      <c r="K24" s="95"/>
      <c r="L24" s="95"/>
      <c r="M24" s="95"/>
      <c r="N24" s="95"/>
      <c r="O24" s="96"/>
      <c r="P24" s="61" t="s">
        <v>80</v>
      </c>
      <c r="Q24" s="60" t="s">
        <v>84</v>
      </c>
      <c r="R24" s="22" t="s">
        <v>56</v>
      </c>
      <c r="S24" s="22" t="s">
        <v>59</v>
      </c>
    </row>
    <row r="25" spans="1:19" ht="18" customHeight="1">
      <c r="B25" s="98" t="s">
        <v>140</v>
      </c>
      <c r="C25" s="99"/>
      <c r="D25" s="99"/>
      <c r="E25" s="100"/>
      <c r="F25" s="23">
        <v>4</v>
      </c>
      <c r="G25" s="23" t="s">
        <v>142</v>
      </c>
      <c r="H25" s="23" t="s">
        <v>142</v>
      </c>
      <c r="I25" s="23" t="s">
        <v>142</v>
      </c>
      <c r="J25" s="98"/>
      <c r="K25" s="99"/>
      <c r="L25" s="99"/>
      <c r="M25" s="99"/>
      <c r="N25" s="99"/>
      <c r="O25" s="100"/>
      <c r="P25" s="23"/>
      <c r="Q25" s="23"/>
      <c r="R25" s="23"/>
      <c r="S25" s="23"/>
    </row>
    <row r="26" spans="1:19" ht="18" customHeight="1">
      <c r="B26" s="88" t="s">
        <v>143</v>
      </c>
      <c r="C26" s="89"/>
      <c r="D26" s="89"/>
      <c r="E26" s="90"/>
      <c r="F26" s="24">
        <v>2</v>
      </c>
      <c r="G26" s="24" t="s">
        <v>170</v>
      </c>
      <c r="H26" s="24" t="s">
        <v>142</v>
      </c>
      <c r="I26" s="24" t="s">
        <v>142</v>
      </c>
      <c r="J26" s="88"/>
      <c r="K26" s="89"/>
      <c r="L26" s="89"/>
      <c r="M26" s="89"/>
      <c r="N26" s="89"/>
      <c r="O26" s="90"/>
      <c r="P26" s="24"/>
      <c r="Q26" s="24"/>
      <c r="R26" s="24"/>
      <c r="S26" s="24"/>
    </row>
    <row r="27" spans="1:19" ht="18" customHeight="1">
      <c r="B27" s="88" t="s">
        <v>144</v>
      </c>
      <c r="C27" s="89"/>
      <c r="D27" s="89"/>
      <c r="E27" s="90"/>
      <c r="F27" s="24">
        <v>2</v>
      </c>
      <c r="G27" s="24" t="s">
        <v>142</v>
      </c>
      <c r="H27" s="24" t="s">
        <v>142</v>
      </c>
      <c r="I27" s="24" t="s">
        <v>142</v>
      </c>
      <c r="J27" s="88"/>
      <c r="K27" s="89"/>
      <c r="L27" s="89"/>
      <c r="M27" s="89"/>
      <c r="N27" s="89"/>
      <c r="O27" s="90"/>
      <c r="P27" s="24"/>
      <c r="Q27" s="24"/>
      <c r="R27" s="24"/>
      <c r="S27" s="24"/>
    </row>
    <row r="28" spans="1:19" ht="18" customHeight="1">
      <c r="B28" s="88"/>
      <c r="C28" s="89"/>
      <c r="D28" s="89"/>
      <c r="E28" s="90"/>
      <c r="F28" s="24"/>
      <c r="G28" s="24"/>
      <c r="H28" s="24"/>
      <c r="I28" s="24"/>
      <c r="J28" s="88"/>
      <c r="K28" s="89"/>
      <c r="L28" s="89"/>
      <c r="M28" s="89"/>
      <c r="N28" s="89"/>
      <c r="O28" s="90"/>
      <c r="P28" s="24"/>
      <c r="Q28" s="24"/>
      <c r="R28" s="24"/>
      <c r="S28" s="24"/>
    </row>
    <row r="29" spans="1:19" ht="18" customHeight="1">
      <c r="B29" s="88"/>
      <c r="C29" s="89"/>
      <c r="D29" s="89"/>
      <c r="E29" s="90"/>
      <c r="F29" s="24"/>
      <c r="G29" s="24"/>
      <c r="H29" s="24"/>
      <c r="I29" s="24"/>
      <c r="J29" s="88"/>
      <c r="K29" s="89"/>
      <c r="L29" s="89"/>
      <c r="M29" s="89"/>
      <c r="N29" s="89"/>
      <c r="O29" s="90"/>
      <c r="P29" s="24"/>
      <c r="Q29" s="24"/>
      <c r="R29" s="24"/>
      <c r="S29" s="24"/>
    </row>
    <row r="30" spans="1:19" ht="18" customHeight="1">
      <c r="A30" s="3"/>
      <c r="B30" s="88"/>
      <c r="C30" s="89"/>
      <c r="D30" s="89"/>
      <c r="E30" s="90"/>
      <c r="F30" s="24"/>
      <c r="G30" s="24"/>
      <c r="H30" s="24"/>
      <c r="I30" s="24"/>
      <c r="J30" s="88"/>
      <c r="K30" s="89"/>
      <c r="L30" s="89"/>
      <c r="M30" s="89"/>
      <c r="N30" s="89"/>
      <c r="O30" s="90"/>
      <c r="P30" s="24"/>
      <c r="Q30" s="24"/>
      <c r="R30" s="24"/>
      <c r="S30" s="24"/>
    </row>
    <row r="31" spans="1:19" ht="18" customHeight="1">
      <c r="A31" s="3"/>
      <c r="B31" s="91"/>
      <c r="C31" s="92"/>
      <c r="D31" s="92"/>
      <c r="E31" s="93"/>
      <c r="F31" s="25"/>
      <c r="G31" s="25"/>
      <c r="H31" s="26"/>
      <c r="I31" s="26"/>
      <c r="J31" s="91"/>
      <c r="K31" s="92"/>
      <c r="L31" s="92"/>
      <c r="M31" s="92"/>
      <c r="N31" s="92"/>
      <c r="O31" s="93"/>
      <c r="P31" s="25"/>
      <c r="Q31" s="25"/>
      <c r="R31" s="26"/>
      <c r="S31" s="26"/>
    </row>
    <row r="32" spans="1:19" ht="7.5" customHeight="1">
      <c r="A32" s="3"/>
      <c r="B32" s="6"/>
      <c r="C32" s="6"/>
      <c r="D32" s="3"/>
      <c r="E32" s="3"/>
      <c r="F32" s="3"/>
      <c r="G32" s="3"/>
      <c r="H32" s="6"/>
      <c r="I32" s="6"/>
      <c r="J32" s="6"/>
      <c r="K32" s="6"/>
      <c r="L32" s="6"/>
      <c r="M32" s="6"/>
      <c r="N32" s="6"/>
      <c r="O32" s="6"/>
      <c r="P32" s="6"/>
      <c r="Q32" s="6"/>
      <c r="R32" s="6"/>
      <c r="S32" s="3"/>
    </row>
    <row r="33" spans="1:19" ht="18" customHeight="1">
      <c r="A33" s="97" t="s">
        <v>114</v>
      </c>
      <c r="B33" s="97"/>
      <c r="C33" s="97"/>
      <c r="D33" s="97"/>
      <c r="E33" s="97"/>
      <c r="F33" s="97"/>
      <c r="G33" s="97"/>
      <c r="H33" s="97"/>
      <c r="I33" s="97"/>
      <c r="J33" s="97"/>
      <c r="K33" s="97"/>
      <c r="L33" s="97"/>
      <c r="M33" s="97"/>
      <c r="N33" s="97"/>
      <c r="O33" s="97"/>
      <c r="P33" s="97"/>
      <c r="Q33" s="97"/>
      <c r="R33" s="97"/>
      <c r="S33" s="97"/>
    </row>
    <row r="34" spans="1:19" ht="18" customHeight="1">
      <c r="A34" s="97"/>
      <c r="B34" s="97"/>
      <c r="C34" s="97"/>
      <c r="D34" s="97"/>
      <c r="E34" s="97"/>
      <c r="F34" s="97"/>
      <c r="G34" s="97"/>
      <c r="H34" s="97"/>
      <c r="I34" s="97"/>
      <c r="J34" s="97"/>
      <c r="K34" s="97"/>
      <c r="L34" s="97"/>
      <c r="M34" s="97"/>
      <c r="N34" s="97"/>
      <c r="O34" s="97"/>
      <c r="P34" s="97"/>
      <c r="Q34" s="97"/>
      <c r="R34" s="97"/>
      <c r="S34" s="97"/>
    </row>
    <row r="35" spans="1:19" ht="18" customHeight="1">
      <c r="B35" s="94" t="s">
        <v>53</v>
      </c>
      <c r="C35" s="95"/>
      <c r="D35" s="95"/>
      <c r="E35" s="96"/>
      <c r="F35" s="61" t="s">
        <v>80</v>
      </c>
      <c r="G35" s="60" t="s">
        <v>84</v>
      </c>
      <c r="H35" s="22" t="s">
        <v>71</v>
      </c>
      <c r="I35" s="22" t="s">
        <v>72</v>
      </c>
      <c r="J35" s="94" t="s">
        <v>53</v>
      </c>
      <c r="K35" s="95"/>
      <c r="L35" s="95"/>
      <c r="M35" s="95"/>
      <c r="N35" s="95"/>
      <c r="O35" s="96"/>
      <c r="P35" s="61" t="s">
        <v>80</v>
      </c>
      <c r="Q35" s="60" t="s">
        <v>84</v>
      </c>
      <c r="R35" s="22" t="s">
        <v>71</v>
      </c>
      <c r="S35" s="22" t="s">
        <v>72</v>
      </c>
    </row>
    <row r="36" spans="1:19" ht="18" customHeight="1">
      <c r="B36" s="98" t="s">
        <v>141</v>
      </c>
      <c r="C36" s="99"/>
      <c r="D36" s="99"/>
      <c r="E36" s="100"/>
      <c r="F36" s="23">
        <v>4</v>
      </c>
      <c r="G36" s="23" t="s">
        <v>142</v>
      </c>
      <c r="H36" s="23" t="s">
        <v>142</v>
      </c>
      <c r="I36" s="23" t="s">
        <v>142</v>
      </c>
      <c r="J36" s="98"/>
      <c r="K36" s="99"/>
      <c r="L36" s="99"/>
      <c r="M36" s="99"/>
      <c r="N36" s="99"/>
      <c r="O36" s="100"/>
      <c r="P36" s="23"/>
      <c r="Q36" s="23"/>
      <c r="R36" s="23"/>
      <c r="S36" s="23"/>
    </row>
    <row r="37" spans="1:19" ht="18" customHeight="1">
      <c r="B37" s="88" t="s">
        <v>143</v>
      </c>
      <c r="C37" s="89"/>
      <c r="D37" s="89"/>
      <c r="E37" s="90"/>
      <c r="F37" s="24">
        <v>2</v>
      </c>
      <c r="G37" s="24" t="s">
        <v>142</v>
      </c>
      <c r="H37" s="24" t="s">
        <v>142</v>
      </c>
      <c r="I37" s="24" t="s">
        <v>142</v>
      </c>
      <c r="J37" s="88"/>
      <c r="K37" s="89"/>
      <c r="L37" s="89"/>
      <c r="M37" s="89"/>
      <c r="N37" s="89"/>
      <c r="O37" s="90"/>
      <c r="P37" s="24"/>
      <c r="Q37" s="24"/>
      <c r="R37" s="24"/>
      <c r="S37" s="24"/>
    </row>
    <row r="38" spans="1:19" ht="18" customHeight="1">
      <c r="B38" s="88" t="s">
        <v>144</v>
      </c>
      <c r="C38" s="89"/>
      <c r="D38" s="89"/>
      <c r="E38" s="90"/>
      <c r="F38" s="24">
        <v>2</v>
      </c>
      <c r="G38" s="24" t="s">
        <v>142</v>
      </c>
      <c r="H38" s="24" t="s">
        <v>142</v>
      </c>
      <c r="I38" s="24" t="s">
        <v>142</v>
      </c>
      <c r="J38" s="88"/>
      <c r="K38" s="89"/>
      <c r="L38" s="89"/>
      <c r="M38" s="89"/>
      <c r="N38" s="89"/>
      <c r="O38" s="90"/>
      <c r="P38" s="24"/>
      <c r="Q38" s="24"/>
      <c r="R38" s="24"/>
      <c r="S38" s="24"/>
    </row>
    <row r="39" spans="1:19" ht="18" customHeight="1">
      <c r="B39" s="88" t="s">
        <v>148</v>
      </c>
      <c r="C39" s="89"/>
      <c r="D39" s="89"/>
      <c r="E39" s="90"/>
      <c r="F39" s="24">
        <v>4</v>
      </c>
      <c r="G39" s="24"/>
      <c r="H39" s="24" t="s">
        <v>142</v>
      </c>
      <c r="I39" s="24"/>
      <c r="J39" s="88"/>
      <c r="K39" s="89"/>
      <c r="L39" s="89"/>
      <c r="M39" s="89"/>
      <c r="N39" s="89"/>
      <c r="O39" s="90"/>
      <c r="P39" s="24"/>
      <c r="Q39" s="24"/>
      <c r="R39" s="24"/>
      <c r="S39" s="24"/>
    </row>
    <row r="40" spans="1:19" ht="18" customHeight="1">
      <c r="B40" s="88" t="s">
        <v>149</v>
      </c>
      <c r="C40" s="89"/>
      <c r="D40" s="89"/>
      <c r="E40" s="90"/>
      <c r="F40" s="24">
        <v>4</v>
      </c>
      <c r="G40" s="24"/>
      <c r="H40" s="24" t="s">
        <v>142</v>
      </c>
      <c r="I40" s="24"/>
      <c r="J40" s="88"/>
      <c r="K40" s="89"/>
      <c r="L40" s="89"/>
      <c r="M40" s="89"/>
      <c r="N40" s="89"/>
      <c r="O40" s="90"/>
      <c r="P40" s="24"/>
      <c r="Q40" s="24"/>
      <c r="R40" s="24"/>
      <c r="S40" s="24"/>
    </row>
    <row r="41" spans="1:19" ht="18" customHeight="1">
      <c r="B41" s="88" t="s">
        <v>150</v>
      </c>
      <c r="C41" s="89"/>
      <c r="D41" s="89"/>
      <c r="E41" s="90"/>
      <c r="F41" s="24">
        <v>4</v>
      </c>
      <c r="G41" s="24"/>
      <c r="H41" s="24" t="s">
        <v>142</v>
      </c>
      <c r="I41" s="24"/>
      <c r="J41" s="88"/>
      <c r="K41" s="89"/>
      <c r="L41" s="89"/>
      <c r="M41" s="89"/>
      <c r="N41" s="89"/>
      <c r="O41" s="90"/>
      <c r="P41" s="24"/>
      <c r="Q41" s="24"/>
      <c r="R41" s="24"/>
      <c r="S41" s="24"/>
    </row>
    <row r="42" spans="1:19" ht="18" customHeight="1">
      <c r="B42" s="91"/>
      <c r="C42" s="92"/>
      <c r="D42" s="92"/>
      <c r="E42" s="93"/>
      <c r="F42" s="25"/>
      <c r="G42" s="25"/>
      <c r="H42" s="26"/>
      <c r="I42" s="26"/>
      <c r="J42" s="91"/>
      <c r="K42" s="92"/>
      <c r="L42" s="92"/>
      <c r="M42" s="92"/>
      <c r="N42" s="92"/>
      <c r="O42" s="93"/>
      <c r="P42" s="25"/>
      <c r="Q42" s="25"/>
      <c r="R42" s="26"/>
      <c r="S42" s="26"/>
    </row>
    <row r="43" spans="1:19" ht="7.5" customHeight="1">
      <c r="A43" s="3"/>
      <c r="B43" s="6"/>
      <c r="C43" s="6"/>
      <c r="D43" s="3"/>
      <c r="E43" s="3"/>
      <c r="F43" s="3"/>
      <c r="G43" s="3"/>
      <c r="H43" s="6"/>
      <c r="I43" s="6"/>
      <c r="J43" s="6"/>
      <c r="K43" s="6"/>
      <c r="L43" s="6"/>
      <c r="M43" s="6"/>
      <c r="N43" s="6"/>
      <c r="O43" s="6"/>
      <c r="P43" s="6"/>
      <c r="Q43" s="6"/>
      <c r="R43" s="6"/>
      <c r="S43" s="3"/>
    </row>
    <row r="44" spans="1:19" ht="18" customHeight="1">
      <c r="A44" s="97" t="s">
        <v>115</v>
      </c>
      <c r="B44" s="97"/>
      <c r="C44" s="97"/>
      <c r="D44" s="97"/>
      <c r="E44" s="97"/>
      <c r="F44" s="97"/>
      <c r="G44" s="97"/>
      <c r="H44" s="97"/>
      <c r="I44" s="97"/>
      <c r="J44" s="97"/>
      <c r="K44" s="97"/>
      <c r="L44" s="97"/>
      <c r="M44" s="97"/>
      <c r="N44" s="97"/>
      <c r="O44" s="97"/>
      <c r="P44" s="97"/>
      <c r="Q44" s="97"/>
      <c r="R44" s="97"/>
      <c r="S44" s="97"/>
    </row>
    <row r="45" spans="1:19" ht="18" customHeight="1">
      <c r="A45" s="97"/>
      <c r="B45" s="97"/>
      <c r="C45" s="97"/>
      <c r="D45" s="97"/>
      <c r="E45" s="97"/>
      <c r="F45" s="97"/>
      <c r="G45" s="97"/>
      <c r="H45" s="97"/>
      <c r="I45" s="97"/>
      <c r="J45" s="97"/>
      <c r="K45" s="97"/>
      <c r="L45" s="97"/>
      <c r="M45" s="97"/>
      <c r="N45" s="97"/>
      <c r="O45" s="97"/>
      <c r="P45" s="97"/>
      <c r="Q45" s="97"/>
      <c r="R45" s="97"/>
      <c r="S45" s="97"/>
    </row>
    <row r="46" spans="1:19" ht="18" customHeight="1">
      <c r="B46" s="94" t="s">
        <v>53</v>
      </c>
      <c r="C46" s="95"/>
      <c r="D46" s="95"/>
      <c r="E46" s="96"/>
      <c r="F46" s="61" t="s">
        <v>80</v>
      </c>
      <c r="G46" s="60" t="s">
        <v>84</v>
      </c>
      <c r="H46" s="22" t="s">
        <v>73</v>
      </c>
      <c r="I46" s="22" t="s">
        <v>74</v>
      </c>
      <c r="J46" s="94" t="s">
        <v>53</v>
      </c>
      <c r="K46" s="95"/>
      <c r="L46" s="95"/>
      <c r="M46" s="95"/>
      <c r="N46" s="95"/>
      <c r="O46" s="96"/>
      <c r="P46" s="61" t="s">
        <v>80</v>
      </c>
      <c r="Q46" s="60" t="s">
        <v>84</v>
      </c>
      <c r="R46" s="22" t="s">
        <v>73</v>
      </c>
      <c r="S46" s="22" t="s">
        <v>74</v>
      </c>
    </row>
    <row r="47" spans="1:19" ht="18" customHeight="1">
      <c r="A47" s="3"/>
      <c r="B47" s="98" t="s">
        <v>144</v>
      </c>
      <c r="C47" s="99"/>
      <c r="D47" s="99"/>
      <c r="E47" s="100"/>
      <c r="F47" s="23">
        <v>2</v>
      </c>
      <c r="G47" s="23" t="s">
        <v>142</v>
      </c>
      <c r="H47" s="23" t="s">
        <v>142</v>
      </c>
      <c r="I47" s="23" t="s">
        <v>142</v>
      </c>
      <c r="J47" s="98"/>
      <c r="K47" s="99"/>
      <c r="L47" s="99"/>
      <c r="M47" s="99"/>
      <c r="N47" s="99"/>
      <c r="O47" s="100"/>
      <c r="P47" s="23"/>
      <c r="Q47" s="23"/>
      <c r="R47" s="23"/>
      <c r="S47" s="23"/>
    </row>
    <row r="48" spans="1:19" ht="18" customHeight="1">
      <c r="A48" s="3"/>
      <c r="B48" s="88" t="s">
        <v>145</v>
      </c>
      <c r="C48" s="89"/>
      <c r="D48" s="89"/>
      <c r="E48" s="90"/>
      <c r="F48" s="24">
        <v>2</v>
      </c>
      <c r="G48" s="24" t="s">
        <v>142</v>
      </c>
      <c r="H48" s="24" t="s">
        <v>142</v>
      </c>
      <c r="I48" s="24"/>
      <c r="J48" s="88"/>
      <c r="K48" s="89"/>
      <c r="L48" s="89"/>
      <c r="M48" s="89"/>
      <c r="N48" s="89"/>
      <c r="O48" s="90"/>
      <c r="P48" s="24"/>
      <c r="Q48" s="24"/>
      <c r="R48" s="24"/>
      <c r="S48" s="24"/>
    </row>
    <row r="49" spans="1:19" ht="18" customHeight="1">
      <c r="A49" s="3"/>
      <c r="B49" s="88" t="s">
        <v>146</v>
      </c>
      <c r="C49" s="89"/>
      <c r="D49" s="89"/>
      <c r="E49" s="90"/>
      <c r="F49" s="24">
        <v>2</v>
      </c>
      <c r="G49" s="24" t="s">
        <v>142</v>
      </c>
      <c r="H49" s="24" t="s">
        <v>142</v>
      </c>
      <c r="I49" s="24"/>
      <c r="J49" s="88"/>
      <c r="K49" s="89"/>
      <c r="L49" s="89"/>
      <c r="M49" s="89"/>
      <c r="N49" s="89"/>
      <c r="O49" s="90"/>
      <c r="P49" s="24"/>
      <c r="Q49" s="24"/>
      <c r="R49" s="24"/>
      <c r="S49" s="24"/>
    </row>
    <row r="50" spans="1:19" ht="18" customHeight="1">
      <c r="A50" s="3"/>
      <c r="B50" s="88" t="s">
        <v>147</v>
      </c>
      <c r="C50" s="89"/>
      <c r="D50" s="89"/>
      <c r="E50" s="90"/>
      <c r="F50" s="24">
        <v>2</v>
      </c>
      <c r="G50" s="24" t="s">
        <v>142</v>
      </c>
      <c r="H50" s="24" t="s">
        <v>142</v>
      </c>
      <c r="I50" s="24" t="s">
        <v>142</v>
      </c>
      <c r="J50" s="88"/>
      <c r="K50" s="89"/>
      <c r="L50" s="89"/>
      <c r="M50" s="89"/>
      <c r="N50" s="89"/>
      <c r="O50" s="90"/>
      <c r="P50" s="24"/>
      <c r="Q50" s="24"/>
      <c r="R50" s="24"/>
      <c r="S50" s="24"/>
    </row>
    <row r="51" spans="1:19" ht="18" customHeight="1">
      <c r="A51" s="3"/>
      <c r="B51" s="88"/>
      <c r="C51" s="89"/>
      <c r="D51" s="89"/>
      <c r="E51" s="90"/>
      <c r="F51" s="24"/>
      <c r="G51" s="24"/>
      <c r="H51" s="24"/>
      <c r="I51" s="24"/>
      <c r="J51" s="88"/>
      <c r="K51" s="89"/>
      <c r="L51" s="89"/>
      <c r="M51" s="89"/>
      <c r="N51" s="89"/>
      <c r="O51" s="90"/>
      <c r="P51" s="24"/>
      <c r="Q51" s="24"/>
      <c r="R51" s="24"/>
      <c r="S51" s="24"/>
    </row>
    <row r="52" spans="1:19" ht="18" customHeight="1">
      <c r="A52" s="3"/>
      <c r="B52" s="88"/>
      <c r="C52" s="89"/>
      <c r="D52" s="89"/>
      <c r="E52" s="90"/>
      <c r="F52" s="24"/>
      <c r="G52" s="24"/>
      <c r="H52" s="24"/>
      <c r="I52" s="24"/>
      <c r="J52" s="88"/>
      <c r="K52" s="89"/>
      <c r="L52" s="89"/>
      <c r="M52" s="89"/>
      <c r="N52" s="89"/>
      <c r="O52" s="90"/>
      <c r="P52" s="24"/>
      <c r="Q52" s="24"/>
      <c r="R52" s="24"/>
      <c r="S52" s="24"/>
    </row>
    <row r="53" spans="1:19" ht="18" customHeight="1">
      <c r="A53" s="3"/>
      <c r="B53" s="91"/>
      <c r="C53" s="92"/>
      <c r="D53" s="92"/>
      <c r="E53" s="93"/>
      <c r="F53" s="25"/>
      <c r="G53" s="25"/>
      <c r="H53" s="26"/>
      <c r="I53" s="26"/>
      <c r="J53" s="91"/>
      <c r="K53" s="92"/>
      <c r="L53" s="92"/>
      <c r="M53" s="92"/>
      <c r="N53" s="92"/>
      <c r="O53" s="93"/>
      <c r="P53" s="25"/>
      <c r="Q53" s="25"/>
      <c r="R53" s="26"/>
      <c r="S53" s="26"/>
    </row>
    <row r="54" spans="1:19" ht="7.5" customHeight="1">
      <c r="B54" s="15"/>
      <c r="C54" s="15"/>
      <c r="D54" s="15"/>
      <c r="E54" s="15"/>
      <c r="F54" s="15"/>
      <c r="G54" s="15"/>
      <c r="H54" s="15"/>
      <c r="I54" s="15"/>
      <c r="J54" s="15"/>
      <c r="K54" s="15"/>
      <c r="L54" s="15"/>
      <c r="M54" s="15"/>
      <c r="N54" s="15"/>
      <c r="O54" s="15"/>
      <c r="P54" s="15"/>
      <c r="Q54" s="15"/>
      <c r="R54" s="15"/>
    </row>
    <row r="55" spans="1:19" ht="18" customHeight="1">
      <c r="A55" s="97" t="s">
        <v>116</v>
      </c>
      <c r="B55" s="97"/>
      <c r="C55" s="97"/>
      <c r="D55" s="97"/>
      <c r="E55" s="97"/>
      <c r="F55" s="97"/>
      <c r="G55" s="97"/>
      <c r="H55" s="97"/>
      <c r="I55" s="97"/>
      <c r="J55" s="97"/>
      <c r="K55" s="97"/>
      <c r="L55" s="97"/>
      <c r="M55" s="97"/>
      <c r="N55" s="97"/>
      <c r="O55" s="97"/>
      <c r="P55" s="97"/>
      <c r="Q55" s="97"/>
      <c r="R55" s="97"/>
      <c r="S55" s="97"/>
    </row>
    <row r="56" spans="1:19" ht="18" customHeight="1">
      <c r="A56" s="97"/>
      <c r="B56" s="97"/>
      <c r="C56" s="97"/>
      <c r="D56" s="97"/>
      <c r="E56" s="97"/>
      <c r="F56" s="97"/>
      <c r="G56" s="97"/>
      <c r="H56" s="97"/>
      <c r="I56" s="97"/>
      <c r="J56" s="97"/>
      <c r="K56" s="97"/>
      <c r="L56" s="97"/>
      <c r="M56" s="97"/>
      <c r="N56" s="97"/>
      <c r="O56" s="97"/>
      <c r="P56" s="97"/>
      <c r="Q56" s="97"/>
      <c r="R56" s="97"/>
      <c r="S56" s="97"/>
    </row>
    <row r="57" spans="1:19" ht="18" customHeight="1">
      <c r="B57" s="94" t="s">
        <v>53</v>
      </c>
      <c r="C57" s="95"/>
      <c r="D57" s="95"/>
      <c r="E57" s="96"/>
      <c r="F57" s="61" t="s">
        <v>80</v>
      </c>
      <c r="G57" s="60" t="s">
        <v>84</v>
      </c>
      <c r="H57" s="22" t="s">
        <v>58</v>
      </c>
      <c r="I57" s="22" t="s">
        <v>60</v>
      </c>
      <c r="J57" s="94" t="s">
        <v>53</v>
      </c>
      <c r="K57" s="95"/>
      <c r="L57" s="95"/>
      <c r="M57" s="95"/>
      <c r="N57" s="95"/>
      <c r="O57" s="96"/>
      <c r="P57" s="61" t="s">
        <v>80</v>
      </c>
      <c r="Q57" s="60" t="s">
        <v>84</v>
      </c>
      <c r="R57" s="22" t="s">
        <v>58</v>
      </c>
      <c r="S57" s="22" t="s">
        <v>60</v>
      </c>
    </row>
    <row r="58" spans="1:19" ht="18" customHeight="1">
      <c r="A58" s="3"/>
      <c r="B58" s="98" t="s">
        <v>143</v>
      </c>
      <c r="C58" s="99"/>
      <c r="D58" s="99"/>
      <c r="E58" s="100"/>
      <c r="F58" s="23">
        <v>2</v>
      </c>
      <c r="G58" s="23" t="s">
        <v>142</v>
      </c>
      <c r="H58" s="23" t="s">
        <v>142</v>
      </c>
      <c r="I58" s="23" t="s">
        <v>142</v>
      </c>
      <c r="J58" s="98"/>
      <c r="K58" s="99"/>
      <c r="L58" s="99"/>
      <c r="M58" s="99"/>
      <c r="N58" s="99"/>
      <c r="O58" s="100"/>
      <c r="P58" s="23"/>
      <c r="Q58" s="23"/>
      <c r="R58" s="23"/>
      <c r="S58" s="23"/>
    </row>
    <row r="59" spans="1:19" ht="18" customHeight="1">
      <c r="A59" s="3"/>
      <c r="B59" s="88"/>
      <c r="C59" s="89"/>
      <c r="D59" s="89"/>
      <c r="E59" s="90"/>
      <c r="F59" s="24"/>
      <c r="G59" s="24"/>
      <c r="H59" s="24"/>
      <c r="I59" s="24"/>
      <c r="J59" s="88"/>
      <c r="K59" s="89"/>
      <c r="L59" s="89"/>
      <c r="M59" s="89"/>
      <c r="N59" s="89"/>
      <c r="O59" s="90"/>
      <c r="P59" s="24"/>
      <c r="Q59" s="24"/>
      <c r="R59" s="24"/>
      <c r="S59" s="24"/>
    </row>
    <row r="60" spans="1:19" ht="18" customHeight="1">
      <c r="A60" s="3"/>
      <c r="B60" s="88"/>
      <c r="C60" s="89"/>
      <c r="D60" s="89"/>
      <c r="E60" s="90"/>
      <c r="F60" s="24"/>
      <c r="G60" s="24"/>
      <c r="H60" s="24"/>
      <c r="I60" s="24"/>
      <c r="J60" s="88"/>
      <c r="K60" s="89"/>
      <c r="L60" s="89"/>
      <c r="M60" s="89"/>
      <c r="N60" s="89"/>
      <c r="O60" s="90"/>
      <c r="P60" s="24"/>
      <c r="Q60" s="24"/>
      <c r="R60" s="24"/>
      <c r="S60" s="24"/>
    </row>
    <row r="61" spans="1:19" ht="18" customHeight="1">
      <c r="A61" s="3"/>
      <c r="B61" s="88"/>
      <c r="C61" s="89"/>
      <c r="D61" s="89"/>
      <c r="E61" s="90"/>
      <c r="F61" s="24"/>
      <c r="G61" s="24"/>
      <c r="H61" s="24"/>
      <c r="I61" s="24"/>
      <c r="J61" s="88"/>
      <c r="K61" s="89"/>
      <c r="L61" s="89"/>
      <c r="M61" s="89"/>
      <c r="N61" s="89"/>
      <c r="O61" s="90"/>
      <c r="P61" s="24"/>
      <c r="Q61" s="24"/>
      <c r="R61" s="24"/>
      <c r="S61" s="24"/>
    </row>
    <row r="62" spans="1:19" ht="18" customHeight="1">
      <c r="A62" s="3"/>
      <c r="B62" s="88"/>
      <c r="C62" s="89"/>
      <c r="D62" s="89"/>
      <c r="E62" s="90"/>
      <c r="F62" s="24"/>
      <c r="G62" s="24"/>
      <c r="H62" s="24"/>
      <c r="I62" s="24"/>
      <c r="J62" s="88"/>
      <c r="K62" s="89"/>
      <c r="L62" s="89"/>
      <c r="M62" s="89"/>
      <c r="N62" s="89"/>
      <c r="O62" s="90"/>
      <c r="P62" s="24"/>
      <c r="Q62" s="24"/>
      <c r="R62" s="24"/>
      <c r="S62" s="24"/>
    </row>
    <row r="63" spans="1:19" ht="18" customHeight="1">
      <c r="A63" s="3"/>
      <c r="B63" s="88"/>
      <c r="C63" s="89"/>
      <c r="D63" s="89"/>
      <c r="E63" s="90"/>
      <c r="F63" s="24"/>
      <c r="G63" s="24"/>
      <c r="H63" s="24"/>
      <c r="I63" s="24"/>
      <c r="J63" s="88"/>
      <c r="K63" s="89"/>
      <c r="L63" s="89"/>
      <c r="M63" s="89"/>
      <c r="N63" s="89"/>
      <c r="O63" s="90"/>
      <c r="P63" s="24"/>
      <c r="Q63" s="24"/>
      <c r="R63" s="24"/>
      <c r="S63" s="24"/>
    </row>
    <row r="64" spans="1:19" ht="18" customHeight="1">
      <c r="A64" s="3"/>
      <c r="B64" s="91"/>
      <c r="C64" s="92"/>
      <c r="D64" s="92"/>
      <c r="E64" s="93"/>
      <c r="F64" s="25"/>
      <c r="G64" s="25"/>
      <c r="H64" s="26"/>
      <c r="I64" s="26"/>
      <c r="J64" s="91"/>
      <c r="K64" s="92"/>
      <c r="L64" s="92"/>
      <c r="M64" s="92"/>
      <c r="N64" s="92"/>
      <c r="O64" s="93"/>
      <c r="P64" s="25"/>
      <c r="Q64" s="25"/>
      <c r="R64" s="26"/>
      <c r="S64" s="26"/>
    </row>
    <row r="65" spans="1:19" ht="7.5" customHeight="1">
      <c r="B65" s="15"/>
      <c r="C65" s="15"/>
      <c r="D65" s="15"/>
      <c r="E65" s="15"/>
      <c r="F65" s="15"/>
      <c r="G65" s="15"/>
      <c r="H65" s="15"/>
      <c r="I65" s="15"/>
      <c r="J65" s="15"/>
      <c r="K65" s="15"/>
      <c r="L65" s="15"/>
      <c r="M65" s="15"/>
      <c r="N65" s="15"/>
      <c r="O65" s="15"/>
      <c r="P65" s="15"/>
      <c r="Q65" s="15"/>
      <c r="R65" s="15"/>
    </row>
    <row r="66" spans="1:19" ht="18" customHeight="1">
      <c r="A66" s="97" t="s">
        <v>117</v>
      </c>
      <c r="B66" s="97"/>
      <c r="C66" s="97"/>
      <c r="D66" s="97"/>
      <c r="E66" s="97"/>
      <c r="F66" s="97"/>
      <c r="G66" s="97"/>
      <c r="H66" s="97"/>
      <c r="I66" s="97"/>
      <c r="J66" s="97"/>
      <c r="K66" s="97"/>
      <c r="L66" s="97"/>
      <c r="M66" s="97"/>
      <c r="N66" s="97"/>
      <c r="O66" s="97"/>
      <c r="P66" s="97"/>
      <c r="Q66" s="97"/>
      <c r="R66" s="97"/>
      <c r="S66" s="97"/>
    </row>
    <row r="67" spans="1:19" ht="18" customHeight="1">
      <c r="A67" s="97"/>
      <c r="B67" s="97"/>
      <c r="C67" s="97"/>
      <c r="D67" s="97"/>
      <c r="E67" s="97"/>
      <c r="F67" s="97"/>
      <c r="G67" s="97"/>
      <c r="H67" s="97"/>
      <c r="I67" s="97"/>
      <c r="J67" s="97"/>
      <c r="K67" s="97"/>
      <c r="L67" s="97"/>
      <c r="M67" s="97"/>
      <c r="N67" s="97"/>
      <c r="O67" s="97"/>
      <c r="P67" s="97"/>
      <c r="Q67" s="97"/>
      <c r="R67" s="97"/>
      <c r="S67" s="97"/>
    </row>
    <row r="68" spans="1:19" ht="18" customHeight="1">
      <c r="B68" s="94" t="s">
        <v>53</v>
      </c>
      <c r="C68" s="95"/>
      <c r="D68" s="95"/>
      <c r="E68" s="61" t="s">
        <v>80</v>
      </c>
      <c r="F68" s="60" t="s">
        <v>84</v>
      </c>
      <c r="G68" s="22" t="s">
        <v>101</v>
      </c>
      <c r="H68" s="22" t="s">
        <v>75</v>
      </c>
      <c r="I68" s="22" t="s">
        <v>76</v>
      </c>
      <c r="J68" s="94" t="s">
        <v>53</v>
      </c>
      <c r="K68" s="95"/>
      <c r="L68" s="95"/>
      <c r="M68" s="95"/>
      <c r="N68" s="96"/>
      <c r="O68" s="61" t="s">
        <v>80</v>
      </c>
      <c r="P68" s="60" t="s">
        <v>84</v>
      </c>
      <c r="Q68" s="22" t="s">
        <v>101</v>
      </c>
      <c r="R68" s="22" t="s">
        <v>75</v>
      </c>
      <c r="S68" s="22" t="s">
        <v>76</v>
      </c>
    </row>
    <row r="69" spans="1:19" ht="18" customHeight="1">
      <c r="A69" s="3"/>
      <c r="B69" s="98" t="s">
        <v>144</v>
      </c>
      <c r="C69" s="99"/>
      <c r="D69" s="99"/>
      <c r="E69" s="23">
        <v>2</v>
      </c>
      <c r="F69" s="23" t="s">
        <v>142</v>
      </c>
      <c r="G69" s="23" t="s">
        <v>142</v>
      </c>
      <c r="H69" s="23" t="s">
        <v>142</v>
      </c>
      <c r="I69" s="23" t="s">
        <v>142</v>
      </c>
      <c r="J69" s="98"/>
      <c r="K69" s="99"/>
      <c r="L69" s="99"/>
      <c r="M69" s="99"/>
      <c r="N69" s="100"/>
      <c r="O69" s="23"/>
      <c r="P69" s="23"/>
      <c r="Q69" s="23"/>
      <c r="R69" s="23"/>
      <c r="S69" s="23"/>
    </row>
    <row r="70" spans="1:19" ht="18" customHeight="1">
      <c r="A70" s="3"/>
      <c r="B70" s="88" t="s">
        <v>148</v>
      </c>
      <c r="C70" s="89"/>
      <c r="D70" s="89"/>
      <c r="E70" s="24">
        <v>4</v>
      </c>
      <c r="F70" s="24"/>
      <c r="G70" s="24" t="s">
        <v>142</v>
      </c>
      <c r="H70" s="24" t="s">
        <v>142</v>
      </c>
      <c r="I70" s="24" t="s">
        <v>142</v>
      </c>
      <c r="J70" s="88"/>
      <c r="K70" s="89"/>
      <c r="L70" s="89"/>
      <c r="M70" s="89"/>
      <c r="N70" s="90"/>
      <c r="O70" s="24"/>
      <c r="P70" s="24"/>
      <c r="Q70" s="24"/>
      <c r="R70" s="24"/>
      <c r="S70" s="24"/>
    </row>
    <row r="71" spans="1:19" ht="18" customHeight="1">
      <c r="A71" s="3"/>
      <c r="B71" s="88" t="s">
        <v>149</v>
      </c>
      <c r="C71" s="89"/>
      <c r="D71" s="89"/>
      <c r="E71" s="24">
        <v>4</v>
      </c>
      <c r="F71" s="24"/>
      <c r="G71" s="24" t="s">
        <v>142</v>
      </c>
      <c r="H71" s="24" t="s">
        <v>142</v>
      </c>
      <c r="I71" s="24" t="s">
        <v>142</v>
      </c>
      <c r="J71" s="88"/>
      <c r="K71" s="89"/>
      <c r="L71" s="89"/>
      <c r="M71" s="89"/>
      <c r="N71" s="90"/>
      <c r="O71" s="24"/>
      <c r="P71" s="24"/>
      <c r="Q71" s="24"/>
      <c r="R71" s="24"/>
      <c r="S71" s="24"/>
    </row>
    <row r="72" spans="1:19" ht="18" customHeight="1">
      <c r="A72" s="3"/>
      <c r="B72" s="88" t="s">
        <v>150</v>
      </c>
      <c r="C72" s="89"/>
      <c r="D72" s="89"/>
      <c r="E72" s="24">
        <v>4</v>
      </c>
      <c r="F72" s="24"/>
      <c r="G72" s="24" t="s">
        <v>142</v>
      </c>
      <c r="H72" s="24" t="s">
        <v>142</v>
      </c>
      <c r="I72" s="24" t="s">
        <v>142</v>
      </c>
      <c r="J72" s="88"/>
      <c r="K72" s="89"/>
      <c r="L72" s="89"/>
      <c r="M72" s="89"/>
      <c r="N72" s="90"/>
      <c r="O72" s="24"/>
      <c r="P72" s="24"/>
      <c r="Q72" s="24"/>
      <c r="R72" s="24"/>
      <c r="S72" s="24"/>
    </row>
    <row r="73" spans="1:19" ht="18" customHeight="1">
      <c r="A73" s="3"/>
      <c r="B73" s="88"/>
      <c r="C73" s="89"/>
      <c r="D73" s="89"/>
      <c r="E73" s="24"/>
      <c r="F73" s="24"/>
      <c r="G73" s="24"/>
      <c r="H73" s="24"/>
      <c r="I73" s="24"/>
      <c r="J73" s="88"/>
      <c r="K73" s="89"/>
      <c r="L73" s="89"/>
      <c r="M73" s="89"/>
      <c r="N73" s="90"/>
      <c r="O73" s="24"/>
      <c r="P73" s="24"/>
      <c r="Q73" s="24"/>
      <c r="R73" s="24"/>
      <c r="S73" s="24"/>
    </row>
    <row r="74" spans="1:19" ht="18" customHeight="1">
      <c r="A74" s="3"/>
      <c r="B74" s="88"/>
      <c r="C74" s="89"/>
      <c r="D74" s="89"/>
      <c r="E74" s="24"/>
      <c r="F74" s="24"/>
      <c r="G74" s="24"/>
      <c r="H74" s="24"/>
      <c r="I74" s="24"/>
      <c r="J74" s="88"/>
      <c r="K74" s="89"/>
      <c r="L74" s="89"/>
      <c r="M74" s="89"/>
      <c r="N74" s="90"/>
      <c r="O74" s="24"/>
      <c r="P74" s="24"/>
      <c r="Q74" s="24"/>
      <c r="R74" s="24"/>
      <c r="S74" s="24"/>
    </row>
    <row r="75" spans="1:19" ht="18" customHeight="1">
      <c r="A75" s="3"/>
      <c r="B75" s="91"/>
      <c r="C75" s="92"/>
      <c r="D75" s="92"/>
      <c r="E75" s="25"/>
      <c r="F75" s="25"/>
      <c r="G75" s="26"/>
      <c r="H75" s="26"/>
      <c r="I75" s="26"/>
      <c r="J75" s="91"/>
      <c r="K75" s="92"/>
      <c r="L75" s="92"/>
      <c r="M75" s="92"/>
      <c r="N75" s="93"/>
      <c r="O75" s="25"/>
      <c r="P75" s="25"/>
      <c r="Q75" s="26"/>
      <c r="R75" s="26"/>
      <c r="S75" s="26"/>
    </row>
    <row r="76" spans="1:19" ht="7.5" customHeight="1">
      <c r="B76" s="15"/>
      <c r="C76" s="15"/>
      <c r="D76" s="15"/>
      <c r="E76" s="15"/>
      <c r="F76" s="15"/>
      <c r="G76" s="15"/>
      <c r="H76" s="15"/>
      <c r="I76" s="15"/>
      <c r="J76" s="15"/>
      <c r="K76" s="15"/>
      <c r="L76" s="15"/>
      <c r="M76" s="15"/>
      <c r="N76" s="15"/>
      <c r="O76" s="15"/>
      <c r="P76" s="15"/>
      <c r="Q76" s="15"/>
      <c r="R76" s="15"/>
    </row>
    <row r="77" spans="1:19" ht="18" customHeight="1">
      <c r="A77" s="1" t="s">
        <v>118</v>
      </c>
      <c r="H77" s="3"/>
      <c r="I77" s="3"/>
      <c r="J77" s="3"/>
      <c r="K77" s="3"/>
      <c r="L77" s="3"/>
      <c r="M77" s="3"/>
      <c r="N77" s="3"/>
      <c r="O77" s="3"/>
      <c r="P77" s="3"/>
      <c r="Q77" s="3"/>
      <c r="R77" s="3"/>
      <c r="S77" s="3"/>
    </row>
    <row r="78" spans="1:19" ht="18" customHeight="1">
      <c r="B78" s="94" t="s">
        <v>53</v>
      </c>
      <c r="C78" s="95"/>
      <c r="D78" s="95"/>
      <c r="E78" s="96"/>
      <c r="F78" s="94" t="s">
        <v>82</v>
      </c>
      <c r="G78" s="95"/>
      <c r="H78" s="95"/>
      <c r="I78" s="96"/>
      <c r="J78" s="140" t="s">
        <v>53</v>
      </c>
      <c r="K78" s="141"/>
      <c r="L78" s="141"/>
      <c r="M78" s="141"/>
      <c r="N78" s="141"/>
      <c r="O78" s="142"/>
      <c r="P78" s="94" t="s">
        <v>82</v>
      </c>
      <c r="Q78" s="95"/>
      <c r="R78" s="95"/>
      <c r="S78" s="96"/>
    </row>
    <row r="79" spans="1:19" ht="18" customHeight="1">
      <c r="A79" s="3"/>
      <c r="B79" s="98"/>
      <c r="C79" s="99"/>
      <c r="D79" s="99"/>
      <c r="E79" s="100"/>
      <c r="F79" s="155"/>
      <c r="G79" s="156"/>
      <c r="H79" s="156"/>
      <c r="I79" s="157"/>
      <c r="J79" s="98"/>
      <c r="K79" s="99"/>
      <c r="L79" s="99"/>
      <c r="M79" s="99"/>
      <c r="N79" s="99"/>
      <c r="O79" s="100"/>
      <c r="P79" s="155"/>
      <c r="Q79" s="156"/>
      <c r="R79" s="156"/>
      <c r="S79" s="157"/>
    </row>
    <row r="80" spans="1:19" ht="18" customHeight="1">
      <c r="A80" s="3"/>
      <c r="B80" s="88"/>
      <c r="C80" s="89"/>
      <c r="D80" s="89"/>
      <c r="E80" s="90"/>
      <c r="F80" s="124"/>
      <c r="G80" s="125"/>
      <c r="H80" s="125"/>
      <c r="I80" s="126"/>
      <c r="J80" s="88"/>
      <c r="K80" s="89"/>
      <c r="L80" s="89"/>
      <c r="M80" s="89"/>
      <c r="N80" s="89"/>
      <c r="O80" s="90"/>
      <c r="P80" s="124"/>
      <c r="Q80" s="125"/>
      <c r="R80" s="125"/>
      <c r="S80" s="126"/>
    </row>
    <row r="81" spans="1:19" ht="18" customHeight="1">
      <c r="A81" s="3"/>
      <c r="B81" s="88"/>
      <c r="C81" s="89"/>
      <c r="D81" s="89"/>
      <c r="E81" s="90"/>
      <c r="F81" s="124"/>
      <c r="G81" s="125"/>
      <c r="H81" s="125"/>
      <c r="I81" s="126"/>
      <c r="J81" s="88"/>
      <c r="K81" s="89"/>
      <c r="L81" s="89"/>
      <c r="M81" s="89"/>
      <c r="N81" s="89"/>
      <c r="O81" s="90"/>
      <c r="P81" s="124"/>
      <c r="Q81" s="125"/>
      <c r="R81" s="125"/>
      <c r="S81" s="126"/>
    </row>
    <row r="82" spans="1:19" ht="18" customHeight="1">
      <c r="A82" s="3"/>
      <c r="B82" s="88"/>
      <c r="C82" s="89"/>
      <c r="D82" s="89"/>
      <c r="E82" s="90"/>
      <c r="F82" s="124"/>
      <c r="G82" s="125"/>
      <c r="H82" s="125"/>
      <c r="I82" s="126"/>
      <c r="J82" s="88"/>
      <c r="K82" s="89"/>
      <c r="L82" s="89"/>
      <c r="M82" s="89"/>
      <c r="N82" s="89"/>
      <c r="O82" s="90"/>
      <c r="P82" s="124"/>
      <c r="Q82" s="125"/>
      <c r="R82" s="125"/>
      <c r="S82" s="126"/>
    </row>
    <row r="83" spans="1:19" ht="18" customHeight="1">
      <c r="A83" s="3"/>
      <c r="B83" s="88"/>
      <c r="C83" s="89"/>
      <c r="D83" s="89"/>
      <c r="E83" s="90"/>
      <c r="F83" s="124"/>
      <c r="G83" s="125"/>
      <c r="H83" s="125"/>
      <c r="I83" s="126"/>
      <c r="J83" s="88"/>
      <c r="K83" s="89"/>
      <c r="L83" s="89"/>
      <c r="M83" s="89"/>
      <c r="N83" s="89"/>
      <c r="O83" s="90"/>
      <c r="P83" s="124"/>
      <c r="Q83" s="125"/>
      <c r="R83" s="125"/>
      <c r="S83" s="126"/>
    </row>
    <row r="84" spans="1:19" ht="18" customHeight="1">
      <c r="A84" s="3"/>
      <c r="B84" s="88"/>
      <c r="C84" s="89"/>
      <c r="D84" s="89"/>
      <c r="E84" s="90"/>
      <c r="F84" s="124"/>
      <c r="G84" s="125"/>
      <c r="H84" s="125"/>
      <c r="I84" s="126"/>
      <c r="J84" s="88"/>
      <c r="K84" s="89"/>
      <c r="L84" s="89"/>
      <c r="M84" s="89"/>
      <c r="N84" s="89"/>
      <c r="O84" s="90"/>
      <c r="P84" s="124"/>
      <c r="Q84" s="125"/>
      <c r="R84" s="125"/>
      <c r="S84" s="126"/>
    </row>
    <row r="85" spans="1:19" ht="18" customHeight="1">
      <c r="A85" s="3"/>
      <c r="B85" s="91"/>
      <c r="C85" s="92"/>
      <c r="D85" s="92"/>
      <c r="E85" s="93"/>
      <c r="F85" s="121"/>
      <c r="G85" s="122"/>
      <c r="H85" s="122"/>
      <c r="I85" s="123"/>
      <c r="J85" s="91"/>
      <c r="K85" s="92"/>
      <c r="L85" s="92"/>
      <c r="M85" s="92"/>
      <c r="N85" s="92"/>
      <c r="O85" s="93"/>
      <c r="P85" s="121"/>
      <c r="Q85" s="122"/>
      <c r="R85" s="122"/>
      <c r="S85" s="123"/>
    </row>
    <row r="86" spans="1:19" ht="18" customHeight="1">
      <c r="A86" s="3"/>
      <c r="B86" s="6"/>
      <c r="C86" s="6"/>
      <c r="D86" s="6"/>
      <c r="E86" s="6"/>
      <c r="F86" s="27"/>
      <c r="G86" s="27"/>
      <c r="H86" s="27"/>
      <c r="I86" s="27"/>
      <c r="J86" s="6"/>
      <c r="K86" s="6"/>
      <c r="L86" s="6"/>
      <c r="M86" s="6"/>
      <c r="N86" s="6"/>
      <c r="O86" s="6"/>
      <c r="P86" s="27"/>
      <c r="Q86" s="27"/>
      <c r="R86" s="27"/>
      <c r="S86" s="27"/>
    </row>
    <row r="87" spans="1:19" ht="18.75" customHeight="1">
      <c r="A87" s="1" t="s">
        <v>119</v>
      </c>
    </row>
    <row r="88" spans="1:19" ht="18.75" customHeight="1">
      <c r="B88" s="153" t="s">
        <v>54</v>
      </c>
      <c r="C88" s="154"/>
      <c r="D88" s="95" t="s">
        <v>55</v>
      </c>
      <c r="E88" s="95"/>
      <c r="F88" s="95"/>
      <c r="G88" s="95"/>
      <c r="H88" s="95"/>
      <c r="I88" s="95"/>
      <c r="J88" s="95"/>
      <c r="K88" s="95"/>
      <c r="L88" s="95"/>
      <c r="M88" s="95"/>
      <c r="N88" s="95"/>
      <c r="O88" s="95"/>
      <c r="P88" s="95"/>
      <c r="Q88" s="95"/>
      <c r="R88" s="95"/>
      <c r="S88" s="96"/>
    </row>
    <row r="89" spans="1:19" ht="97.5" customHeight="1">
      <c r="B89" s="143" t="s">
        <v>61</v>
      </c>
      <c r="C89" s="28" t="s">
        <v>56</v>
      </c>
      <c r="D89" s="150" t="s">
        <v>156</v>
      </c>
      <c r="E89" s="151"/>
      <c r="F89" s="151"/>
      <c r="G89" s="151"/>
      <c r="H89" s="151"/>
      <c r="I89" s="151"/>
      <c r="J89" s="151"/>
      <c r="K89" s="151"/>
      <c r="L89" s="151"/>
      <c r="M89" s="151"/>
      <c r="N89" s="151"/>
      <c r="O89" s="151"/>
      <c r="P89" s="151"/>
      <c r="Q89" s="151"/>
      <c r="R89" s="151"/>
      <c r="S89" s="152"/>
    </row>
    <row r="90" spans="1:19" ht="97.5" customHeight="1">
      <c r="B90" s="145"/>
      <c r="C90" s="29" t="s">
        <v>77</v>
      </c>
      <c r="D90" s="127" t="s">
        <v>157</v>
      </c>
      <c r="E90" s="128"/>
      <c r="F90" s="128"/>
      <c r="G90" s="128"/>
      <c r="H90" s="128"/>
      <c r="I90" s="128"/>
      <c r="J90" s="128"/>
      <c r="K90" s="128"/>
      <c r="L90" s="128"/>
      <c r="M90" s="128"/>
      <c r="N90" s="128"/>
      <c r="O90" s="128"/>
      <c r="P90" s="128"/>
      <c r="Q90" s="128"/>
      <c r="R90" s="128"/>
      <c r="S90" s="129"/>
    </row>
    <row r="91" spans="1:19" ht="97.5" customHeight="1">
      <c r="B91" s="143" t="s">
        <v>62</v>
      </c>
      <c r="C91" s="30" t="s">
        <v>71</v>
      </c>
      <c r="D91" s="130" t="s">
        <v>161</v>
      </c>
      <c r="E91" s="131"/>
      <c r="F91" s="131"/>
      <c r="G91" s="131"/>
      <c r="H91" s="131"/>
      <c r="I91" s="131"/>
      <c r="J91" s="131"/>
      <c r="K91" s="131"/>
      <c r="L91" s="131"/>
      <c r="M91" s="131"/>
      <c r="N91" s="131"/>
      <c r="O91" s="131"/>
      <c r="P91" s="131"/>
      <c r="Q91" s="131"/>
      <c r="R91" s="131"/>
      <c r="S91" s="132"/>
    </row>
    <row r="92" spans="1:19" ht="97.5" customHeight="1">
      <c r="B92" s="144"/>
      <c r="C92" s="31" t="s">
        <v>72</v>
      </c>
      <c r="D92" s="136" t="s">
        <v>158</v>
      </c>
      <c r="E92" s="137"/>
      <c r="F92" s="137"/>
      <c r="G92" s="137"/>
      <c r="H92" s="137"/>
      <c r="I92" s="137"/>
      <c r="J92" s="137"/>
      <c r="K92" s="137"/>
      <c r="L92" s="137"/>
      <c r="M92" s="137"/>
      <c r="N92" s="137"/>
      <c r="O92" s="137"/>
      <c r="P92" s="137"/>
      <c r="Q92" s="137"/>
      <c r="R92" s="137"/>
      <c r="S92" s="138"/>
    </row>
    <row r="93" spans="1:19" ht="97.5" customHeight="1">
      <c r="B93" s="143" t="s">
        <v>63</v>
      </c>
      <c r="C93" s="30" t="s">
        <v>73</v>
      </c>
      <c r="D93" s="130" t="s">
        <v>159</v>
      </c>
      <c r="E93" s="131"/>
      <c r="F93" s="131"/>
      <c r="G93" s="131"/>
      <c r="H93" s="131"/>
      <c r="I93" s="131"/>
      <c r="J93" s="131"/>
      <c r="K93" s="131"/>
      <c r="L93" s="131"/>
      <c r="M93" s="131"/>
      <c r="N93" s="131"/>
      <c r="O93" s="131"/>
      <c r="P93" s="131"/>
      <c r="Q93" s="131"/>
      <c r="R93" s="131"/>
      <c r="S93" s="132"/>
    </row>
    <row r="94" spans="1:19" ht="97.5" customHeight="1">
      <c r="B94" s="144"/>
      <c r="C94" s="32" t="s">
        <v>74</v>
      </c>
      <c r="D94" s="133" t="s">
        <v>160</v>
      </c>
      <c r="E94" s="134"/>
      <c r="F94" s="134"/>
      <c r="G94" s="134"/>
      <c r="H94" s="134"/>
      <c r="I94" s="134"/>
      <c r="J94" s="134"/>
      <c r="K94" s="134"/>
      <c r="L94" s="134"/>
      <c r="M94" s="134"/>
      <c r="N94" s="134"/>
      <c r="O94" s="134"/>
      <c r="P94" s="134"/>
      <c r="Q94" s="134"/>
      <c r="R94" s="134"/>
      <c r="S94" s="135"/>
    </row>
    <row r="95" spans="1:19" ht="97.5" customHeight="1">
      <c r="B95" s="143" t="s">
        <v>78</v>
      </c>
      <c r="C95" s="28" t="s">
        <v>58</v>
      </c>
      <c r="D95" s="150" t="s">
        <v>154</v>
      </c>
      <c r="E95" s="151"/>
      <c r="F95" s="151"/>
      <c r="G95" s="151"/>
      <c r="H95" s="151"/>
      <c r="I95" s="151"/>
      <c r="J95" s="151"/>
      <c r="K95" s="151"/>
      <c r="L95" s="151"/>
      <c r="M95" s="151"/>
      <c r="N95" s="151"/>
      <c r="O95" s="151"/>
      <c r="P95" s="151"/>
      <c r="Q95" s="151"/>
      <c r="R95" s="151"/>
      <c r="S95" s="152"/>
    </row>
    <row r="96" spans="1:19" ht="97.5" customHeight="1">
      <c r="B96" s="144"/>
      <c r="C96" s="31" t="s">
        <v>60</v>
      </c>
      <c r="D96" s="137" t="s">
        <v>155</v>
      </c>
      <c r="E96" s="137"/>
      <c r="F96" s="137"/>
      <c r="G96" s="137"/>
      <c r="H96" s="137"/>
      <c r="I96" s="137"/>
      <c r="J96" s="137"/>
      <c r="K96" s="137"/>
      <c r="L96" s="137"/>
      <c r="M96" s="137"/>
      <c r="N96" s="137"/>
      <c r="O96" s="137"/>
      <c r="P96" s="137"/>
      <c r="Q96" s="137"/>
      <c r="R96" s="137"/>
      <c r="S96" s="138"/>
    </row>
    <row r="97" spans="1:19" ht="97.5" customHeight="1">
      <c r="B97" s="143" t="s">
        <v>79</v>
      </c>
      <c r="C97" s="30" t="s">
        <v>57</v>
      </c>
      <c r="D97" s="146" t="s">
        <v>162</v>
      </c>
      <c r="E97" s="99"/>
      <c r="F97" s="99"/>
      <c r="G97" s="99"/>
      <c r="H97" s="99"/>
      <c r="I97" s="99"/>
      <c r="J97" s="99"/>
      <c r="K97" s="99"/>
      <c r="L97" s="99"/>
      <c r="M97" s="99"/>
      <c r="N97" s="99"/>
      <c r="O97" s="99"/>
      <c r="P97" s="99"/>
      <c r="Q97" s="99"/>
      <c r="R97" s="99"/>
      <c r="S97" s="100"/>
    </row>
    <row r="98" spans="1:19" ht="97.5" customHeight="1">
      <c r="B98" s="145"/>
      <c r="C98" s="33" t="s">
        <v>75</v>
      </c>
      <c r="D98" s="139" t="s">
        <v>163</v>
      </c>
      <c r="E98" s="89"/>
      <c r="F98" s="89"/>
      <c r="G98" s="89"/>
      <c r="H98" s="89"/>
      <c r="I98" s="89"/>
      <c r="J98" s="89"/>
      <c r="K98" s="89"/>
      <c r="L98" s="89"/>
      <c r="M98" s="89"/>
      <c r="N98" s="89"/>
      <c r="O98" s="89"/>
      <c r="P98" s="89"/>
      <c r="Q98" s="89"/>
      <c r="R98" s="89"/>
      <c r="S98" s="90"/>
    </row>
    <row r="99" spans="1:19" ht="97.5" customHeight="1">
      <c r="B99" s="144"/>
      <c r="C99" s="32" t="s">
        <v>76</v>
      </c>
      <c r="D99" s="147" t="s">
        <v>164</v>
      </c>
      <c r="E99" s="148"/>
      <c r="F99" s="148"/>
      <c r="G99" s="148"/>
      <c r="H99" s="148"/>
      <c r="I99" s="148"/>
      <c r="J99" s="148"/>
      <c r="K99" s="148"/>
      <c r="L99" s="148"/>
      <c r="M99" s="148"/>
      <c r="N99" s="148"/>
      <c r="O99" s="148"/>
      <c r="P99" s="148"/>
      <c r="Q99" s="148"/>
      <c r="R99" s="148"/>
      <c r="S99" s="149"/>
    </row>
    <row r="100" spans="1:19" ht="6" customHeight="1"/>
    <row r="101" spans="1:19" ht="18.75" customHeight="1">
      <c r="A101" s="1" t="s">
        <v>120</v>
      </c>
    </row>
    <row r="102" spans="1:19" ht="81.75" customHeight="1">
      <c r="B102" s="118" t="s">
        <v>174</v>
      </c>
      <c r="C102" s="119"/>
      <c r="D102" s="119"/>
      <c r="E102" s="119"/>
      <c r="F102" s="119"/>
      <c r="G102" s="119"/>
      <c r="H102" s="119"/>
      <c r="I102" s="119"/>
      <c r="J102" s="119"/>
      <c r="K102" s="119"/>
      <c r="L102" s="119"/>
      <c r="M102" s="119"/>
      <c r="N102" s="119"/>
      <c r="O102" s="119"/>
      <c r="P102" s="119"/>
      <c r="Q102" s="119"/>
      <c r="R102" s="119"/>
      <c r="S102" s="120"/>
    </row>
    <row r="110" spans="1:19" ht="18" customHeight="1"/>
  </sheetData>
  <mergeCells count="145">
    <mergeCell ref="J36:O36"/>
    <mergeCell ref="J37:O37"/>
    <mergeCell ref="J38:O38"/>
    <mergeCell ref="J57:O57"/>
    <mergeCell ref="J58:O58"/>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70:D70"/>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71:D71"/>
    <mergeCell ref="B60:E60"/>
    <mergeCell ref="B61:E61"/>
    <mergeCell ref="B62:E62"/>
    <mergeCell ref="B63:E63"/>
    <mergeCell ref="B64:E64"/>
    <mergeCell ref="J46:O46"/>
    <mergeCell ref="F78:I78"/>
    <mergeCell ref="J78:O78"/>
    <mergeCell ref="B69:D69"/>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P69:S75 F69:I75" xr:uid="{00000000-0002-0000-0000-000000000000}">
      <formula1>"○"</formula1>
    </dataValidation>
    <dataValidation type="list" allowBlank="1" showInputMessage="1" showErrorMessage="1" sqref="S32 S43 D32:G32 D43:G43" xr:uid="{00000000-0002-0000-0000-000001000000}">
      <formula1>"全学開講,一部開講"</formula1>
    </dataValidation>
    <dataValidation type="list" allowBlank="1" showInputMessage="1" showErrorMessage="1" sqref="K7 K12" xr:uid="{00000000-0002-0000-0000-000002000000}">
      <formula1>"学部・学科によって、修了要件は相違する,学部・学科によって、修了要件は相違しない"</formula1>
    </dataValidation>
    <dataValidation type="list" allowBlank="1" showInputMessage="1" showErrorMessage="1" sqref="F79:F86 P79:P86 G79:I80 G83:I86 Q83:S86 Q79:S80"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00000000-0002-0000-0000-000004000000}">
      <formula1>$V$14:$V$16</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2"/>
  <sheetViews>
    <sheetView view="pageBreakPreview" topLeftCell="A6" zoomScaleNormal="100" zoomScaleSheetLayoutView="100" workbookViewId="0">
      <selection activeCell="I12" sqref="I12"/>
    </sheetView>
  </sheetViews>
  <sheetFormatPr baseColWidth="10" defaultColWidth="9" defaultRowHeight="18.75" customHeight="1"/>
  <cols>
    <col min="1" max="1" width="2.83203125" style="1" customWidth="1"/>
    <col min="2" max="2" width="20.83203125" style="1" customWidth="1"/>
    <col min="3" max="5" width="6.1640625" style="1" customWidth="1"/>
    <col min="6" max="42" width="4.83203125" style="1" customWidth="1"/>
    <col min="43" max="43" width="6.6640625" style="1" customWidth="1"/>
    <col min="44" max="16384" width="9" style="1"/>
  </cols>
  <sheetData>
    <row r="1" spans="1:45" ht="18" customHeight="1">
      <c r="AQ1" s="1" t="s">
        <v>106</v>
      </c>
    </row>
    <row r="2" spans="1:45" ht="18" customHeight="1">
      <c r="K2" s="35"/>
      <c r="Q2" s="35"/>
      <c r="W2" s="35"/>
      <c r="AC2" s="35"/>
      <c r="AI2" s="35"/>
      <c r="AL2" s="35" t="s">
        <v>108</v>
      </c>
      <c r="AM2" s="161" t="str">
        <f>'様式１　プログラムを構成する授業科目'!C2</f>
        <v>関東学園大学</v>
      </c>
      <c r="AN2" s="161"/>
      <c r="AO2" s="161"/>
      <c r="AP2" s="161"/>
      <c r="AQ2" s="161"/>
    </row>
    <row r="3" spans="1:45" ht="18" customHeight="1">
      <c r="A3" s="105" t="s">
        <v>47</v>
      </c>
      <c r="B3" s="105"/>
      <c r="C3" s="105"/>
      <c r="D3" s="105"/>
      <c r="E3" s="105"/>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83</v>
      </c>
      <c r="C5" s="162">
        <v>2022</v>
      </c>
      <c r="D5" s="163"/>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164" t="s">
        <v>44</v>
      </c>
      <c r="C9" s="179" t="s">
        <v>86</v>
      </c>
      <c r="D9" s="167" t="s">
        <v>46</v>
      </c>
      <c r="E9" s="170" t="s">
        <v>39</v>
      </c>
      <c r="F9" s="160" t="s">
        <v>85</v>
      </c>
      <c r="G9" s="160"/>
      <c r="H9" s="160"/>
      <c r="I9" s="160"/>
      <c r="J9" s="160"/>
      <c r="K9" s="160"/>
      <c r="L9" s="160" t="s">
        <v>48</v>
      </c>
      <c r="M9" s="160"/>
      <c r="N9" s="160"/>
      <c r="O9" s="160"/>
      <c r="P9" s="160"/>
      <c r="Q9" s="160"/>
      <c r="R9" s="160" t="s">
        <v>49</v>
      </c>
      <c r="S9" s="160"/>
      <c r="T9" s="160"/>
      <c r="U9" s="160"/>
      <c r="V9" s="160"/>
      <c r="W9" s="160"/>
      <c r="X9" s="160" t="s">
        <v>100</v>
      </c>
      <c r="Y9" s="160"/>
      <c r="Z9" s="160"/>
      <c r="AA9" s="160"/>
      <c r="AB9" s="160"/>
      <c r="AC9" s="160"/>
      <c r="AD9" s="160" t="s">
        <v>50</v>
      </c>
      <c r="AE9" s="160"/>
      <c r="AF9" s="160"/>
      <c r="AG9" s="160"/>
      <c r="AH9" s="160"/>
      <c r="AI9" s="160"/>
      <c r="AJ9" s="160" t="s">
        <v>51</v>
      </c>
      <c r="AK9" s="160"/>
      <c r="AL9" s="160"/>
      <c r="AM9" s="160"/>
      <c r="AN9" s="160"/>
      <c r="AO9" s="160"/>
      <c r="AP9" s="173" t="s">
        <v>34</v>
      </c>
      <c r="AQ9" s="176" t="s">
        <v>31</v>
      </c>
      <c r="AS9" s="2"/>
    </row>
    <row r="10" spans="1:45" ht="17" customHeight="1">
      <c r="B10" s="165"/>
      <c r="C10" s="180"/>
      <c r="D10" s="168"/>
      <c r="E10" s="171"/>
      <c r="F10" s="158" t="s">
        <v>96</v>
      </c>
      <c r="G10" s="159"/>
      <c r="H10" s="159"/>
      <c r="I10" s="158" t="s">
        <v>28</v>
      </c>
      <c r="J10" s="159"/>
      <c r="K10" s="159"/>
      <c r="L10" s="158" t="s">
        <v>96</v>
      </c>
      <c r="M10" s="159"/>
      <c r="N10" s="159"/>
      <c r="O10" s="158" t="s">
        <v>28</v>
      </c>
      <c r="P10" s="159"/>
      <c r="Q10" s="159"/>
      <c r="R10" s="158" t="s">
        <v>96</v>
      </c>
      <c r="S10" s="159"/>
      <c r="T10" s="159"/>
      <c r="U10" s="158" t="s">
        <v>28</v>
      </c>
      <c r="V10" s="159"/>
      <c r="W10" s="159"/>
      <c r="X10" s="158" t="s">
        <v>96</v>
      </c>
      <c r="Y10" s="159"/>
      <c r="Z10" s="159"/>
      <c r="AA10" s="158" t="s">
        <v>28</v>
      </c>
      <c r="AB10" s="159"/>
      <c r="AC10" s="159"/>
      <c r="AD10" s="158" t="s">
        <v>96</v>
      </c>
      <c r="AE10" s="159"/>
      <c r="AF10" s="159"/>
      <c r="AG10" s="158" t="s">
        <v>28</v>
      </c>
      <c r="AH10" s="159"/>
      <c r="AI10" s="159"/>
      <c r="AJ10" s="158" t="s">
        <v>96</v>
      </c>
      <c r="AK10" s="159"/>
      <c r="AL10" s="159"/>
      <c r="AM10" s="158" t="s">
        <v>28</v>
      </c>
      <c r="AN10" s="159"/>
      <c r="AO10" s="159"/>
      <c r="AP10" s="174"/>
      <c r="AQ10" s="177"/>
      <c r="AS10" s="2"/>
    </row>
    <row r="11" spans="1:45" ht="18" customHeight="1">
      <c r="B11" s="166"/>
      <c r="C11" s="181"/>
      <c r="D11" s="169"/>
      <c r="E11" s="172"/>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175"/>
      <c r="AQ11" s="178"/>
      <c r="AS11" s="2"/>
    </row>
    <row r="12" spans="1:45" ht="18" customHeight="1">
      <c r="A12" s="6"/>
      <c r="B12" s="11" t="s">
        <v>126</v>
      </c>
      <c r="C12" s="62">
        <v>219</v>
      </c>
      <c r="D12" s="63">
        <v>95</v>
      </c>
      <c r="E12" s="64">
        <v>380</v>
      </c>
      <c r="F12" s="64">
        <f>G12+H12</f>
        <v>130</v>
      </c>
      <c r="G12" s="65">
        <v>112</v>
      </c>
      <c r="H12" s="66">
        <v>18</v>
      </c>
      <c r="I12" s="64">
        <f>J12+K12</f>
        <v>0</v>
      </c>
      <c r="J12" s="65">
        <v>0</v>
      </c>
      <c r="K12" s="66">
        <v>0</v>
      </c>
      <c r="L12" s="64">
        <f>M12+N12</f>
        <v>0</v>
      </c>
      <c r="M12" s="65">
        <v>0</v>
      </c>
      <c r="N12" s="66">
        <v>0</v>
      </c>
      <c r="O12" s="64">
        <f>P12+Q12</f>
        <v>0</v>
      </c>
      <c r="P12" s="65">
        <v>0</v>
      </c>
      <c r="Q12" s="66">
        <v>0</v>
      </c>
      <c r="R12" s="64">
        <f>S12+T12</f>
        <v>0</v>
      </c>
      <c r="S12" s="65">
        <v>0</v>
      </c>
      <c r="T12" s="66">
        <v>0</v>
      </c>
      <c r="U12" s="64">
        <f>V12+W12</f>
        <v>0</v>
      </c>
      <c r="V12" s="65">
        <v>0</v>
      </c>
      <c r="W12" s="66">
        <v>0</v>
      </c>
      <c r="X12" s="64">
        <f>Y12+Z12</f>
        <v>0</v>
      </c>
      <c r="Y12" s="65">
        <v>0</v>
      </c>
      <c r="Z12" s="66">
        <v>0</v>
      </c>
      <c r="AA12" s="64">
        <f>AB12+AC12</f>
        <v>0</v>
      </c>
      <c r="AB12" s="65">
        <v>0</v>
      </c>
      <c r="AC12" s="66">
        <v>0</v>
      </c>
      <c r="AD12" s="64">
        <f>AE12+AF12</f>
        <v>0</v>
      </c>
      <c r="AE12" s="65">
        <v>0</v>
      </c>
      <c r="AF12" s="66">
        <v>0</v>
      </c>
      <c r="AG12" s="64">
        <f>AH12+AI12</f>
        <v>0</v>
      </c>
      <c r="AH12" s="65">
        <v>0</v>
      </c>
      <c r="AI12" s="66">
        <v>0</v>
      </c>
      <c r="AJ12" s="64">
        <f>AK12+AL12</f>
        <v>0</v>
      </c>
      <c r="AK12" s="65">
        <v>0</v>
      </c>
      <c r="AL12" s="66">
        <v>0</v>
      </c>
      <c r="AM12" s="64">
        <f>AN12+AO12</f>
        <v>0</v>
      </c>
      <c r="AN12" s="65">
        <v>0</v>
      </c>
      <c r="AO12" s="66">
        <v>0</v>
      </c>
      <c r="AP12" s="63">
        <f>F12+L12+R12+X12+AD12+AJ12</f>
        <v>130</v>
      </c>
      <c r="AQ12" s="21">
        <f t="shared" ref="AQ12:AQ32" si="0">AP12/E12</f>
        <v>0.34210526315789475</v>
      </c>
    </row>
    <row r="13" spans="1:45" ht="18" customHeight="1">
      <c r="A13" s="6"/>
      <c r="B13" s="12" t="s">
        <v>127</v>
      </c>
      <c r="C13" s="67">
        <v>283</v>
      </c>
      <c r="D13" s="68">
        <v>95</v>
      </c>
      <c r="E13" s="69">
        <v>380</v>
      </c>
      <c r="F13" s="70">
        <f t="shared" ref="F13" si="1">G13+H13</f>
        <v>121</v>
      </c>
      <c r="G13" s="71">
        <v>100</v>
      </c>
      <c r="H13" s="72">
        <v>21</v>
      </c>
      <c r="I13" s="70">
        <f t="shared" ref="I13" si="2">J13+K13</f>
        <v>0</v>
      </c>
      <c r="J13" s="71">
        <v>0</v>
      </c>
      <c r="K13" s="72">
        <v>0</v>
      </c>
      <c r="L13" s="70">
        <f t="shared" ref="L13" si="3">M13+N13</f>
        <v>0</v>
      </c>
      <c r="M13" s="71">
        <v>0</v>
      </c>
      <c r="N13" s="72">
        <v>0</v>
      </c>
      <c r="O13" s="70">
        <f t="shared" ref="O13" si="4">P13+Q13</f>
        <v>0</v>
      </c>
      <c r="P13" s="71">
        <v>0</v>
      </c>
      <c r="Q13" s="72">
        <v>0</v>
      </c>
      <c r="R13" s="70">
        <f t="shared" ref="R13" si="5">S13+T13</f>
        <v>0</v>
      </c>
      <c r="S13" s="71">
        <v>0</v>
      </c>
      <c r="T13" s="72">
        <v>0</v>
      </c>
      <c r="U13" s="70">
        <f t="shared" ref="U13" si="6">V13+W13</f>
        <v>0</v>
      </c>
      <c r="V13" s="71">
        <v>0</v>
      </c>
      <c r="W13" s="72">
        <v>0</v>
      </c>
      <c r="X13" s="70">
        <f t="shared" ref="X13" si="7">Y13+Z13</f>
        <v>0</v>
      </c>
      <c r="Y13" s="71">
        <v>0</v>
      </c>
      <c r="Z13" s="72">
        <v>0</v>
      </c>
      <c r="AA13" s="70">
        <f t="shared" ref="AA13" si="8">AB13+AC13</f>
        <v>0</v>
      </c>
      <c r="AB13" s="71">
        <v>0</v>
      </c>
      <c r="AC13" s="72">
        <v>0</v>
      </c>
      <c r="AD13" s="70">
        <f t="shared" ref="AD13" si="9">AE13+AF13</f>
        <v>0</v>
      </c>
      <c r="AE13" s="71">
        <v>0</v>
      </c>
      <c r="AF13" s="72">
        <v>0</v>
      </c>
      <c r="AG13" s="70">
        <f t="shared" ref="AG13" si="10">AH13+AI13</f>
        <v>0</v>
      </c>
      <c r="AH13" s="71">
        <v>0</v>
      </c>
      <c r="AI13" s="72">
        <v>0</v>
      </c>
      <c r="AJ13" s="70">
        <f t="shared" ref="AJ13" si="11">AK13+AL13</f>
        <v>0</v>
      </c>
      <c r="AK13" s="71">
        <v>0</v>
      </c>
      <c r="AL13" s="72">
        <v>0</v>
      </c>
      <c r="AM13" s="70">
        <f t="shared" ref="AM13" si="12">AN13+AO13</f>
        <v>0</v>
      </c>
      <c r="AN13" s="71">
        <v>0</v>
      </c>
      <c r="AO13" s="72">
        <v>0</v>
      </c>
      <c r="AP13" s="68">
        <f t="shared" ref="AP13:AP31" si="13">F13+L13+R13+X13+AD13+AJ13</f>
        <v>121</v>
      </c>
      <c r="AQ13" s="20">
        <f t="shared" si="0"/>
        <v>0.31842105263157894</v>
      </c>
    </row>
    <row r="14" spans="1:45" ht="18" customHeight="1">
      <c r="A14" s="6"/>
      <c r="B14" s="12"/>
      <c r="C14" s="67"/>
      <c r="D14" s="68"/>
      <c r="E14" s="69"/>
      <c r="F14" s="70">
        <f t="shared" ref="F14:F31" si="14">G14+H14</f>
        <v>0</v>
      </c>
      <c r="G14" s="71"/>
      <c r="H14" s="72"/>
      <c r="I14" s="70">
        <f t="shared" ref="I14:I31" si="15">J14+K14</f>
        <v>0</v>
      </c>
      <c r="J14" s="71"/>
      <c r="K14" s="72"/>
      <c r="L14" s="70">
        <f t="shared" ref="L14:L31" si="16">M14+N14</f>
        <v>0</v>
      </c>
      <c r="M14" s="71"/>
      <c r="N14" s="72"/>
      <c r="O14" s="70">
        <f t="shared" ref="O14:O31" si="17">P14+Q14</f>
        <v>0</v>
      </c>
      <c r="P14" s="71"/>
      <c r="Q14" s="72"/>
      <c r="R14" s="70">
        <f t="shared" ref="R14:R31" si="18">S14+T14</f>
        <v>0</v>
      </c>
      <c r="S14" s="71"/>
      <c r="T14" s="72"/>
      <c r="U14" s="70">
        <f t="shared" ref="U14:U31" si="19">V14+W14</f>
        <v>0</v>
      </c>
      <c r="V14" s="71"/>
      <c r="W14" s="72"/>
      <c r="X14" s="70">
        <f t="shared" ref="X14:X31" si="20">Y14+Z14</f>
        <v>0</v>
      </c>
      <c r="Y14" s="71"/>
      <c r="Z14" s="72"/>
      <c r="AA14" s="70">
        <f t="shared" ref="AA14:AA31" si="21">AB14+AC14</f>
        <v>0</v>
      </c>
      <c r="AB14" s="71"/>
      <c r="AC14" s="72"/>
      <c r="AD14" s="70">
        <f t="shared" ref="AD14:AD31" si="22">AE14+AF14</f>
        <v>0</v>
      </c>
      <c r="AE14" s="71"/>
      <c r="AF14" s="72"/>
      <c r="AG14" s="70">
        <f t="shared" ref="AG14:AG31" si="23">AH14+AI14</f>
        <v>0</v>
      </c>
      <c r="AH14" s="71"/>
      <c r="AI14" s="72"/>
      <c r="AJ14" s="70">
        <f t="shared" ref="AJ14:AJ31" si="24">AK14+AL14</f>
        <v>0</v>
      </c>
      <c r="AK14" s="71"/>
      <c r="AL14" s="72"/>
      <c r="AM14" s="70">
        <f t="shared" ref="AM14:AM31" si="25">AN14+AO14</f>
        <v>0</v>
      </c>
      <c r="AN14" s="71"/>
      <c r="AO14" s="72"/>
      <c r="AP14" s="68">
        <f t="shared" si="13"/>
        <v>0</v>
      </c>
      <c r="AQ14" s="8" t="e">
        <f t="shared" si="0"/>
        <v>#DIV/0!</v>
      </c>
    </row>
    <row r="15" spans="1:45" ht="18" customHeight="1">
      <c r="A15" s="6"/>
      <c r="B15" s="12"/>
      <c r="C15" s="67"/>
      <c r="D15" s="68"/>
      <c r="E15" s="69"/>
      <c r="F15" s="70">
        <f t="shared" si="14"/>
        <v>0</v>
      </c>
      <c r="G15" s="71"/>
      <c r="H15" s="72"/>
      <c r="I15" s="70">
        <f t="shared" si="15"/>
        <v>0</v>
      </c>
      <c r="J15" s="71"/>
      <c r="K15" s="72"/>
      <c r="L15" s="70">
        <f t="shared" si="16"/>
        <v>0</v>
      </c>
      <c r="M15" s="71"/>
      <c r="N15" s="72"/>
      <c r="O15" s="70">
        <f t="shared" si="17"/>
        <v>0</v>
      </c>
      <c r="P15" s="71"/>
      <c r="Q15" s="72"/>
      <c r="R15" s="70">
        <f t="shared" si="18"/>
        <v>0</v>
      </c>
      <c r="S15" s="71"/>
      <c r="T15" s="72"/>
      <c r="U15" s="70">
        <f t="shared" si="19"/>
        <v>0</v>
      </c>
      <c r="V15" s="71"/>
      <c r="W15" s="72"/>
      <c r="X15" s="70">
        <f t="shared" si="20"/>
        <v>0</v>
      </c>
      <c r="Y15" s="71"/>
      <c r="Z15" s="72"/>
      <c r="AA15" s="70">
        <f t="shared" si="21"/>
        <v>0</v>
      </c>
      <c r="AB15" s="71"/>
      <c r="AC15" s="72"/>
      <c r="AD15" s="70">
        <f t="shared" si="22"/>
        <v>0</v>
      </c>
      <c r="AE15" s="71"/>
      <c r="AF15" s="72"/>
      <c r="AG15" s="70">
        <f t="shared" si="23"/>
        <v>0</v>
      </c>
      <c r="AH15" s="71"/>
      <c r="AI15" s="72"/>
      <c r="AJ15" s="70">
        <f t="shared" si="24"/>
        <v>0</v>
      </c>
      <c r="AK15" s="71"/>
      <c r="AL15" s="72"/>
      <c r="AM15" s="70">
        <f t="shared" si="25"/>
        <v>0</v>
      </c>
      <c r="AN15" s="71"/>
      <c r="AO15" s="72"/>
      <c r="AP15" s="68">
        <f t="shared" si="13"/>
        <v>0</v>
      </c>
      <c r="AQ15" s="8" t="e">
        <f t="shared" si="0"/>
        <v>#DIV/0!</v>
      </c>
    </row>
    <row r="16" spans="1:45" ht="18" customHeight="1">
      <c r="A16" s="6"/>
      <c r="B16" s="12"/>
      <c r="C16" s="67"/>
      <c r="D16" s="68"/>
      <c r="E16" s="69"/>
      <c r="F16" s="70">
        <f t="shared" si="14"/>
        <v>0</v>
      </c>
      <c r="G16" s="71"/>
      <c r="H16" s="72"/>
      <c r="I16" s="70">
        <f t="shared" si="15"/>
        <v>0</v>
      </c>
      <c r="J16" s="71"/>
      <c r="K16" s="72"/>
      <c r="L16" s="70">
        <f t="shared" si="16"/>
        <v>0</v>
      </c>
      <c r="M16" s="71"/>
      <c r="N16" s="72"/>
      <c r="O16" s="70">
        <f t="shared" si="17"/>
        <v>0</v>
      </c>
      <c r="P16" s="71"/>
      <c r="Q16" s="72"/>
      <c r="R16" s="70">
        <f t="shared" si="18"/>
        <v>0</v>
      </c>
      <c r="S16" s="71"/>
      <c r="T16" s="72"/>
      <c r="U16" s="70">
        <f t="shared" si="19"/>
        <v>0</v>
      </c>
      <c r="V16" s="71"/>
      <c r="W16" s="72"/>
      <c r="X16" s="70">
        <f t="shared" si="20"/>
        <v>0</v>
      </c>
      <c r="Y16" s="71"/>
      <c r="Z16" s="72"/>
      <c r="AA16" s="70">
        <f t="shared" si="21"/>
        <v>0</v>
      </c>
      <c r="AB16" s="71"/>
      <c r="AC16" s="72"/>
      <c r="AD16" s="70">
        <f t="shared" si="22"/>
        <v>0</v>
      </c>
      <c r="AE16" s="71"/>
      <c r="AF16" s="72"/>
      <c r="AG16" s="70">
        <f t="shared" si="23"/>
        <v>0</v>
      </c>
      <c r="AH16" s="71"/>
      <c r="AI16" s="72"/>
      <c r="AJ16" s="70">
        <f t="shared" si="24"/>
        <v>0</v>
      </c>
      <c r="AK16" s="71"/>
      <c r="AL16" s="72"/>
      <c r="AM16" s="70">
        <f t="shared" si="25"/>
        <v>0</v>
      </c>
      <c r="AN16" s="71"/>
      <c r="AO16" s="72"/>
      <c r="AP16" s="68">
        <f t="shared" si="13"/>
        <v>0</v>
      </c>
      <c r="AQ16" s="8" t="e">
        <f t="shared" si="0"/>
        <v>#DIV/0!</v>
      </c>
    </row>
    <row r="17" spans="1:43" ht="18" customHeight="1">
      <c r="A17" s="6"/>
      <c r="B17" s="12"/>
      <c r="C17" s="67"/>
      <c r="D17" s="68"/>
      <c r="E17" s="69"/>
      <c r="F17" s="70">
        <f t="shared" si="14"/>
        <v>0</v>
      </c>
      <c r="G17" s="71"/>
      <c r="H17" s="72"/>
      <c r="I17" s="70">
        <f t="shared" si="15"/>
        <v>0</v>
      </c>
      <c r="J17" s="71"/>
      <c r="K17" s="72"/>
      <c r="L17" s="70">
        <f t="shared" si="16"/>
        <v>0</v>
      </c>
      <c r="M17" s="71"/>
      <c r="N17" s="72"/>
      <c r="O17" s="70">
        <f t="shared" si="17"/>
        <v>0</v>
      </c>
      <c r="P17" s="71"/>
      <c r="Q17" s="72"/>
      <c r="R17" s="70">
        <f t="shared" si="18"/>
        <v>0</v>
      </c>
      <c r="S17" s="71"/>
      <c r="T17" s="72"/>
      <c r="U17" s="70">
        <f t="shared" si="19"/>
        <v>0</v>
      </c>
      <c r="V17" s="71"/>
      <c r="W17" s="72"/>
      <c r="X17" s="70">
        <f t="shared" si="20"/>
        <v>0</v>
      </c>
      <c r="Y17" s="71"/>
      <c r="Z17" s="72"/>
      <c r="AA17" s="70">
        <f t="shared" si="21"/>
        <v>0</v>
      </c>
      <c r="AB17" s="71"/>
      <c r="AC17" s="72"/>
      <c r="AD17" s="70">
        <f t="shared" si="22"/>
        <v>0</v>
      </c>
      <c r="AE17" s="71"/>
      <c r="AF17" s="72"/>
      <c r="AG17" s="70">
        <f t="shared" si="23"/>
        <v>0</v>
      </c>
      <c r="AH17" s="71"/>
      <c r="AI17" s="72"/>
      <c r="AJ17" s="70">
        <f t="shared" si="24"/>
        <v>0</v>
      </c>
      <c r="AK17" s="71"/>
      <c r="AL17" s="72"/>
      <c r="AM17" s="70">
        <f t="shared" si="25"/>
        <v>0</v>
      </c>
      <c r="AN17" s="71"/>
      <c r="AO17" s="72"/>
      <c r="AP17" s="68">
        <f t="shared" si="13"/>
        <v>0</v>
      </c>
      <c r="AQ17" s="8" t="e">
        <f t="shared" si="0"/>
        <v>#DIV/0!</v>
      </c>
    </row>
    <row r="18" spans="1:43" ht="18" customHeight="1">
      <c r="A18" s="6"/>
      <c r="B18" s="12"/>
      <c r="C18" s="67"/>
      <c r="D18" s="68"/>
      <c r="E18" s="69"/>
      <c r="F18" s="70">
        <f t="shared" si="14"/>
        <v>0</v>
      </c>
      <c r="G18" s="71"/>
      <c r="H18" s="72"/>
      <c r="I18" s="70">
        <f t="shared" si="15"/>
        <v>0</v>
      </c>
      <c r="J18" s="71"/>
      <c r="K18" s="72"/>
      <c r="L18" s="70">
        <f t="shared" si="16"/>
        <v>0</v>
      </c>
      <c r="M18" s="71"/>
      <c r="N18" s="72"/>
      <c r="O18" s="70">
        <f t="shared" si="17"/>
        <v>0</v>
      </c>
      <c r="P18" s="71"/>
      <c r="Q18" s="72"/>
      <c r="R18" s="70">
        <f t="shared" si="18"/>
        <v>0</v>
      </c>
      <c r="S18" s="71"/>
      <c r="T18" s="72"/>
      <c r="U18" s="70">
        <f t="shared" si="19"/>
        <v>0</v>
      </c>
      <c r="V18" s="71"/>
      <c r="W18" s="72"/>
      <c r="X18" s="70">
        <f t="shared" si="20"/>
        <v>0</v>
      </c>
      <c r="Y18" s="71"/>
      <c r="Z18" s="72"/>
      <c r="AA18" s="70">
        <f t="shared" si="21"/>
        <v>0</v>
      </c>
      <c r="AB18" s="71"/>
      <c r="AC18" s="72"/>
      <c r="AD18" s="70">
        <f t="shared" si="22"/>
        <v>0</v>
      </c>
      <c r="AE18" s="71"/>
      <c r="AF18" s="72"/>
      <c r="AG18" s="70">
        <f t="shared" si="23"/>
        <v>0</v>
      </c>
      <c r="AH18" s="71"/>
      <c r="AI18" s="72"/>
      <c r="AJ18" s="70">
        <f t="shared" si="24"/>
        <v>0</v>
      </c>
      <c r="AK18" s="71"/>
      <c r="AL18" s="72"/>
      <c r="AM18" s="70">
        <f t="shared" si="25"/>
        <v>0</v>
      </c>
      <c r="AN18" s="71"/>
      <c r="AO18" s="72"/>
      <c r="AP18" s="68">
        <f t="shared" si="13"/>
        <v>0</v>
      </c>
      <c r="AQ18" s="8" t="e">
        <f t="shared" si="0"/>
        <v>#DIV/0!</v>
      </c>
    </row>
    <row r="19" spans="1:43" ht="18" customHeight="1">
      <c r="A19" s="6"/>
      <c r="B19" s="12"/>
      <c r="C19" s="67"/>
      <c r="D19" s="68"/>
      <c r="E19" s="69"/>
      <c r="F19" s="70">
        <f t="shared" si="14"/>
        <v>0</v>
      </c>
      <c r="G19" s="71"/>
      <c r="H19" s="72"/>
      <c r="I19" s="70">
        <f t="shared" si="15"/>
        <v>0</v>
      </c>
      <c r="J19" s="71"/>
      <c r="K19" s="72"/>
      <c r="L19" s="70">
        <f t="shared" si="16"/>
        <v>0</v>
      </c>
      <c r="M19" s="71"/>
      <c r="N19" s="72"/>
      <c r="O19" s="70">
        <f t="shared" si="17"/>
        <v>0</v>
      </c>
      <c r="P19" s="71"/>
      <c r="Q19" s="72"/>
      <c r="R19" s="70">
        <f t="shared" si="18"/>
        <v>0</v>
      </c>
      <c r="S19" s="71"/>
      <c r="T19" s="72"/>
      <c r="U19" s="70">
        <f t="shared" si="19"/>
        <v>0</v>
      </c>
      <c r="V19" s="71"/>
      <c r="W19" s="72"/>
      <c r="X19" s="70">
        <f t="shared" si="20"/>
        <v>0</v>
      </c>
      <c r="Y19" s="71"/>
      <c r="Z19" s="72"/>
      <c r="AA19" s="70">
        <f t="shared" si="21"/>
        <v>0</v>
      </c>
      <c r="AB19" s="71"/>
      <c r="AC19" s="72"/>
      <c r="AD19" s="70">
        <f t="shared" si="22"/>
        <v>0</v>
      </c>
      <c r="AE19" s="71"/>
      <c r="AF19" s="72"/>
      <c r="AG19" s="70">
        <f t="shared" si="23"/>
        <v>0</v>
      </c>
      <c r="AH19" s="71"/>
      <c r="AI19" s="72"/>
      <c r="AJ19" s="70">
        <f t="shared" si="24"/>
        <v>0</v>
      </c>
      <c r="AK19" s="71"/>
      <c r="AL19" s="72"/>
      <c r="AM19" s="70">
        <f t="shared" si="25"/>
        <v>0</v>
      </c>
      <c r="AN19" s="71"/>
      <c r="AO19" s="72"/>
      <c r="AP19" s="68">
        <f t="shared" si="13"/>
        <v>0</v>
      </c>
      <c r="AQ19" s="8" t="e">
        <f t="shared" si="0"/>
        <v>#DIV/0!</v>
      </c>
    </row>
    <row r="20" spans="1:43" ht="18" customHeight="1">
      <c r="A20" s="6"/>
      <c r="B20" s="12"/>
      <c r="C20" s="67"/>
      <c r="D20" s="68"/>
      <c r="E20" s="69"/>
      <c r="F20" s="70">
        <f t="shared" si="14"/>
        <v>0</v>
      </c>
      <c r="G20" s="71"/>
      <c r="H20" s="72"/>
      <c r="I20" s="70">
        <f t="shared" si="15"/>
        <v>0</v>
      </c>
      <c r="J20" s="71"/>
      <c r="K20" s="72"/>
      <c r="L20" s="70">
        <f t="shared" si="16"/>
        <v>0</v>
      </c>
      <c r="M20" s="71"/>
      <c r="N20" s="72"/>
      <c r="O20" s="70">
        <f t="shared" si="17"/>
        <v>0</v>
      </c>
      <c r="P20" s="71"/>
      <c r="Q20" s="72"/>
      <c r="R20" s="70">
        <f t="shared" si="18"/>
        <v>0</v>
      </c>
      <c r="S20" s="71"/>
      <c r="T20" s="72"/>
      <c r="U20" s="70">
        <f t="shared" si="19"/>
        <v>0</v>
      </c>
      <c r="V20" s="71"/>
      <c r="W20" s="72"/>
      <c r="X20" s="70">
        <f t="shared" si="20"/>
        <v>0</v>
      </c>
      <c r="Y20" s="71"/>
      <c r="Z20" s="72"/>
      <c r="AA20" s="70">
        <f t="shared" si="21"/>
        <v>0</v>
      </c>
      <c r="AB20" s="71"/>
      <c r="AC20" s="72"/>
      <c r="AD20" s="70">
        <f t="shared" si="22"/>
        <v>0</v>
      </c>
      <c r="AE20" s="71"/>
      <c r="AF20" s="72"/>
      <c r="AG20" s="70">
        <f t="shared" si="23"/>
        <v>0</v>
      </c>
      <c r="AH20" s="71"/>
      <c r="AI20" s="72"/>
      <c r="AJ20" s="70">
        <f t="shared" si="24"/>
        <v>0</v>
      </c>
      <c r="AK20" s="71"/>
      <c r="AL20" s="72"/>
      <c r="AM20" s="70">
        <f t="shared" si="25"/>
        <v>0</v>
      </c>
      <c r="AN20" s="71"/>
      <c r="AO20" s="72"/>
      <c r="AP20" s="68">
        <f t="shared" si="13"/>
        <v>0</v>
      </c>
      <c r="AQ20" s="8" t="e">
        <f t="shared" si="0"/>
        <v>#DIV/0!</v>
      </c>
    </row>
    <row r="21" spans="1:43" ht="18" customHeight="1">
      <c r="A21" s="6"/>
      <c r="B21" s="12"/>
      <c r="C21" s="67"/>
      <c r="D21" s="68"/>
      <c r="E21" s="69"/>
      <c r="F21" s="70">
        <f t="shared" si="14"/>
        <v>0</v>
      </c>
      <c r="G21" s="71"/>
      <c r="H21" s="72"/>
      <c r="I21" s="70">
        <f t="shared" si="15"/>
        <v>0</v>
      </c>
      <c r="J21" s="71"/>
      <c r="K21" s="72"/>
      <c r="L21" s="70">
        <f t="shared" si="16"/>
        <v>0</v>
      </c>
      <c r="M21" s="71"/>
      <c r="N21" s="72"/>
      <c r="O21" s="70">
        <f t="shared" si="17"/>
        <v>0</v>
      </c>
      <c r="P21" s="71"/>
      <c r="Q21" s="72"/>
      <c r="R21" s="70">
        <f t="shared" si="18"/>
        <v>0</v>
      </c>
      <c r="S21" s="71"/>
      <c r="T21" s="72"/>
      <c r="U21" s="70">
        <f t="shared" si="19"/>
        <v>0</v>
      </c>
      <c r="V21" s="71"/>
      <c r="W21" s="72"/>
      <c r="X21" s="70">
        <f t="shared" si="20"/>
        <v>0</v>
      </c>
      <c r="Y21" s="71"/>
      <c r="Z21" s="72"/>
      <c r="AA21" s="70">
        <f t="shared" si="21"/>
        <v>0</v>
      </c>
      <c r="AB21" s="71"/>
      <c r="AC21" s="72"/>
      <c r="AD21" s="70">
        <f t="shared" si="22"/>
        <v>0</v>
      </c>
      <c r="AE21" s="71"/>
      <c r="AF21" s="72"/>
      <c r="AG21" s="70">
        <f t="shared" si="23"/>
        <v>0</v>
      </c>
      <c r="AH21" s="71"/>
      <c r="AI21" s="72"/>
      <c r="AJ21" s="70">
        <f t="shared" si="24"/>
        <v>0</v>
      </c>
      <c r="AK21" s="71"/>
      <c r="AL21" s="72"/>
      <c r="AM21" s="70">
        <f t="shared" si="25"/>
        <v>0</v>
      </c>
      <c r="AN21" s="71"/>
      <c r="AO21" s="72"/>
      <c r="AP21" s="68">
        <f t="shared" si="13"/>
        <v>0</v>
      </c>
      <c r="AQ21" s="8" t="e">
        <f t="shared" si="0"/>
        <v>#DIV/0!</v>
      </c>
    </row>
    <row r="22" spans="1:43" ht="18" customHeight="1">
      <c r="A22" s="6"/>
      <c r="B22" s="12"/>
      <c r="C22" s="67"/>
      <c r="D22" s="68"/>
      <c r="E22" s="69"/>
      <c r="F22" s="70">
        <f t="shared" si="14"/>
        <v>0</v>
      </c>
      <c r="G22" s="71"/>
      <c r="H22" s="72"/>
      <c r="I22" s="70">
        <f t="shared" si="15"/>
        <v>0</v>
      </c>
      <c r="J22" s="71"/>
      <c r="K22" s="72"/>
      <c r="L22" s="70">
        <f t="shared" si="16"/>
        <v>0</v>
      </c>
      <c r="M22" s="71"/>
      <c r="N22" s="72"/>
      <c r="O22" s="70">
        <f t="shared" si="17"/>
        <v>0</v>
      </c>
      <c r="P22" s="71"/>
      <c r="Q22" s="72"/>
      <c r="R22" s="70">
        <f t="shared" si="18"/>
        <v>0</v>
      </c>
      <c r="S22" s="71"/>
      <c r="T22" s="72"/>
      <c r="U22" s="70">
        <f t="shared" si="19"/>
        <v>0</v>
      </c>
      <c r="V22" s="71"/>
      <c r="W22" s="72"/>
      <c r="X22" s="70">
        <f t="shared" si="20"/>
        <v>0</v>
      </c>
      <c r="Y22" s="71"/>
      <c r="Z22" s="72"/>
      <c r="AA22" s="70">
        <f t="shared" si="21"/>
        <v>0</v>
      </c>
      <c r="AB22" s="71"/>
      <c r="AC22" s="72"/>
      <c r="AD22" s="70">
        <f t="shared" si="22"/>
        <v>0</v>
      </c>
      <c r="AE22" s="71"/>
      <c r="AF22" s="72"/>
      <c r="AG22" s="70">
        <f t="shared" si="23"/>
        <v>0</v>
      </c>
      <c r="AH22" s="71"/>
      <c r="AI22" s="72"/>
      <c r="AJ22" s="70">
        <f t="shared" si="24"/>
        <v>0</v>
      </c>
      <c r="AK22" s="71"/>
      <c r="AL22" s="72"/>
      <c r="AM22" s="70">
        <f t="shared" si="25"/>
        <v>0</v>
      </c>
      <c r="AN22" s="71"/>
      <c r="AO22" s="72"/>
      <c r="AP22" s="68">
        <f t="shared" si="13"/>
        <v>0</v>
      </c>
      <c r="AQ22" s="8" t="e">
        <f t="shared" si="0"/>
        <v>#DIV/0!</v>
      </c>
    </row>
    <row r="23" spans="1:43" ht="18" customHeight="1">
      <c r="A23" s="6"/>
      <c r="B23" s="12"/>
      <c r="C23" s="67"/>
      <c r="D23" s="68"/>
      <c r="E23" s="69"/>
      <c r="F23" s="70">
        <f t="shared" si="14"/>
        <v>0</v>
      </c>
      <c r="G23" s="71"/>
      <c r="H23" s="72"/>
      <c r="I23" s="70">
        <f t="shared" si="15"/>
        <v>0</v>
      </c>
      <c r="J23" s="71"/>
      <c r="K23" s="72"/>
      <c r="L23" s="70">
        <f t="shared" si="16"/>
        <v>0</v>
      </c>
      <c r="M23" s="71"/>
      <c r="N23" s="72"/>
      <c r="O23" s="70">
        <f t="shared" si="17"/>
        <v>0</v>
      </c>
      <c r="P23" s="71"/>
      <c r="Q23" s="72"/>
      <c r="R23" s="70">
        <f t="shared" si="18"/>
        <v>0</v>
      </c>
      <c r="S23" s="71"/>
      <c r="T23" s="72"/>
      <c r="U23" s="70">
        <f t="shared" si="19"/>
        <v>0</v>
      </c>
      <c r="V23" s="71"/>
      <c r="W23" s="72"/>
      <c r="X23" s="70">
        <f t="shared" si="20"/>
        <v>0</v>
      </c>
      <c r="Y23" s="71"/>
      <c r="Z23" s="72"/>
      <c r="AA23" s="70">
        <f t="shared" si="21"/>
        <v>0</v>
      </c>
      <c r="AB23" s="71"/>
      <c r="AC23" s="72"/>
      <c r="AD23" s="70">
        <f t="shared" si="22"/>
        <v>0</v>
      </c>
      <c r="AE23" s="71"/>
      <c r="AF23" s="72"/>
      <c r="AG23" s="70">
        <f t="shared" si="23"/>
        <v>0</v>
      </c>
      <c r="AH23" s="71"/>
      <c r="AI23" s="72"/>
      <c r="AJ23" s="70">
        <f t="shared" si="24"/>
        <v>0</v>
      </c>
      <c r="AK23" s="71"/>
      <c r="AL23" s="72"/>
      <c r="AM23" s="70">
        <f t="shared" si="25"/>
        <v>0</v>
      </c>
      <c r="AN23" s="71"/>
      <c r="AO23" s="72"/>
      <c r="AP23" s="68">
        <f t="shared" si="13"/>
        <v>0</v>
      </c>
      <c r="AQ23" s="8" t="e">
        <f t="shared" si="0"/>
        <v>#DIV/0!</v>
      </c>
    </row>
    <row r="24" spans="1:43" ht="18" customHeight="1">
      <c r="A24" s="6"/>
      <c r="B24" s="12"/>
      <c r="C24" s="67"/>
      <c r="D24" s="68"/>
      <c r="E24" s="69"/>
      <c r="F24" s="70">
        <f t="shared" si="14"/>
        <v>0</v>
      </c>
      <c r="G24" s="71"/>
      <c r="H24" s="72"/>
      <c r="I24" s="70">
        <f t="shared" si="15"/>
        <v>0</v>
      </c>
      <c r="J24" s="71"/>
      <c r="K24" s="72"/>
      <c r="L24" s="70">
        <f t="shared" si="16"/>
        <v>0</v>
      </c>
      <c r="M24" s="71"/>
      <c r="N24" s="72"/>
      <c r="O24" s="70">
        <f t="shared" si="17"/>
        <v>0</v>
      </c>
      <c r="P24" s="71"/>
      <c r="Q24" s="72"/>
      <c r="R24" s="70">
        <f t="shared" si="18"/>
        <v>0</v>
      </c>
      <c r="S24" s="71"/>
      <c r="T24" s="72"/>
      <c r="U24" s="70">
        <f t="shared" si="19"/>
        <v>0</v>
      </c>
      <c r="V24" s="71"/>
      <c r="W24" s="72"/>
      <c r="X24" s="70">
        <f t="shared" si="20"/>
        <v>0</v>
      </c>
      <c r="Y24" s="71"/>
      <c r="Z24" s="72"/>
      <c r="AA24" s="70">
        <f t="shared" si="21"/>
        <v>0</v>
      </c>
      <c r="AB24" s="71"/>
      <c r="AC24" s="72"/>
      <c r="AD24" s="70">
        <f t="shared" si="22"/>
        <v>0</v>
      </c>
      <c r="AE24" s="71"/>
      <c r="AF24" s="72"/>
      <c r="AG24" s="70">
        <f t="shared" si="23"/>
        <v>0</v>
      </c>
      <c r="AH24" s="71"/>
      <c r="AI24" s="72"/>
      <c r="AJ24" s="70">
        <f t="shared" si="24"/>
        <v>0</v>
      </c>
      <c r="AK24" s="71"/>
      <c r="AL24" s="72"/>
      <c r="AM24" s="70">
        <f t="shared" si="25"/>
        <v>0</v>
      </c>
      <c r="AN24" s="71"/>
      <c r="AO24" s="72"/>
      <c r="AP24" s="68">
        <f t="shared" si="13"/>
        <v>0</v>
      </c>
      <c r="AQ24" s="8" t="e">
        <f t="shared" si="0"/>
        <v>#DIV/0!</v>
      </c>
    </row>
    <row r="25" spans="1:43" ht="18" customHeight="1">
      <c r="A25" s="6"/>
      <c r="B25" s="12"/>
      <c r="C25" s="67"/>
      <c r="D25" s="68"/>
      <c r="E25" s="69"/>
      <c r="F25" s="70">
        <f t="shared" si="14"/>
        <v>0</v>
      </c>
      <c r="G25" s="71"/>
      <c r="H25" s="72"/>
      <c r="I25" s="70">
        <f t="shared" si="15"/>
        <v>0</v>
      </c>
      <c r="J25" s="71"/>
      <c r="K25" s="72"/>
      <c r="L25" s="70">
        <f t="shared" si="16"/>
        <v>0</v>
      </c>
      <c r="M25" s="71"/>
      <c r="N25" s="72"/>
      <c r="O25" s="70">
        <f t="shared" si="17"/>
        <v>0</v>
      </c>
      <c r="P25" s="71"/>
      <c r="Q25" s="72"/>
      <c r="R25" s="70">
        <f t="shared" si="18"/>
        <v>0</v>
      </c>
      <c r="S25" s="71"/>
      <c r="T25" s="72"/>
      <c r="U25" s="70">
        <f t="shared" si="19"/>
        <v>0</v>
      </c>
      <c r="V25" s="71"/>
      <c r="W25" s="72"/>
      <c r="X25" s="70">
        <f t="shared" si="20"/>
        <v>0</v>
      </c>
      <c r="Y25" s="71"/>
      <c r="Z25" s="72"/>
      <c r="AA25" s="70">
        <f t="shared" si="21"/>
        <v>0</v>
      </c>
      <c r="AB25" s="71"/>
      <c r="AC25" s="72"/>
      <c r="AD25" s="70">
        <f t="shared" si="22"/>
        <v>0</v>
      </c>
      <c r="AE25" s="71"/>
      <c r="AF25" s="72"/>
      <c r="AG25" s="70">
        <f t="shared" si="23"/>
        <v>0</v>
      </c>
      <c r="AH25" s="71"/>
      <c r="AI25" s="72"/>
      <c r="AJ25" s="70">
        <f t="shared" si="24"/>
        <v>0</v>
      </c>
      <c r="AK25" s="71"/>
      <c r="AL25" s="72"/>
      <c r="AM25" s="70">
        <f t="shared" si="25"/>
        <v>0</v>
      </c>
      <c r="AN25" s="71"/>
      <c r="AO25" s="72"/>
      <c r="AP25" s="68">
        <f t="shared" si="13"/>
        <v>0</v>
      </c>
      <c r="AQ25" s="8" t="e">
        <f t="shared" si="0"/>
        <v>#DIV/0!</v>
      </c>
    </row>
    <row r="26" spans="1:43" ht="18" customHeight="1">
      <c r="A26" s="6"/>
      <c r="B26" s="12"/>
      <c r="C26" s="67"/>
      <c r="D26" s="68"/>
      <c r="E26" s="69"/>
      <c r="F26" s="70">
        <f t="shared" si="14"/>
        <v>0</v>
      </c>
      <c r="G26" s="71"/>
      <c r="H26" s="72"/>
      <c r="I26" s="70">
        <f t="shared" si="15"/>
        <v>0</v>
      </c>
      <c r="J26" s="71"/>
      <c r="K26" s="72"/>
      <c r="L26" s="70">
        <f t="shared" si="16"/>
        <v>0</v>
      </c>
      <c r="M26" s="71"/>
      <c r="N26" s="72"/>
      <c r="O26" s="70">
        <f t="shared" si="17"/>
        <v>0</v>
      </c>
      <c r="P26" s="71"/>
      <c r="Q26" s="72"/>
      <c r="R26" s="70">
        <f t="shared" si="18"/>
        <v>0</v>
      </c>
      <c r="S26" s="71"/>
      <c r="T26" s="72"/>
      <c r="U26" s="70">
        <f t="shared" si="19"/>
        <v>0</v>
      </c>
      <c r="V26" s="71"/>
      <c r="W26" s="72"/>
      <c r="X26" s="70">
        <f t="shared" si="20"/>
        <v>0</v>
      </c>
      <c r="Y26" s="71"/>
      <c r="Z26" s="72"/>
      <c r="AA26" s="70">
        <f t="shared" si="21"/>
        <v>0</v>
      </c>
      <c r="AB26" s="71"/>
      <c r="AC26" s="72"/>
      <c r="AD26" s="70">
        <f t="shared" si="22"/>
        <v>0</v>
      </c>
      <c r="AE26" s="71"/>
      <c r="AF26" s="72"/>
      <c r="AG26" s="70">
        <f t="shared" si="23"/>
        <v>0</v>
      </c>
      <c r="AH26" s="71"/>
      <c r="AI26" s="72"/>
      <c r="AJ26" s="70">
        <f t="shared" si="24"/>
        <v>0</v>
      </c>
      <c r="AK26" s="71"/>
      <c r="AL26" s="72"/>
      <c r="AM26" s="70">
        <f t="shared" si="25"/>
        <v>0</v>
      </c>
      <c r="AN26" s="71"/>
      <c r="AO26" s="72"/>
      <c r="AP26" s="68">
        <f t="shared" si="13"/>
        <v>0</v>
      </c>
      <c r="AQ26" s="8" t="e">
        <f t="shared" si="0"/>
        <v>#DIV/0!</v>
      </c>
    </row>
    <row r="27" spans="1:43" ht="18" customHeight="1">
      <c r="A27" s="6"/>
      <c r="B27" s="12"/>
      <c r="C27" s="67"/>
      <c r="D27" s="68"/>
      <c r="E27" s="69"/>
      <c r="F27" s="70">
        <f t="shared" si="14"/>
        <v>0</v>
      </c>
      <c r="G27" s="71"/>
      <c r="H27" s="72"/>
      <c r="I27" s="70">
        <f t="shared" si="15"/>
        <v>0</v>
      </c>
      <c r="J27" s="71"/>
      <c r="K27" s="72"/>
      <c r="L27" s="70">
        <f t="shared" si="16"/>
        <v>0</v>
      </c>
      <c r="M27" s="71"/>
      <c r="N27" s="72"/>
      <c r="O27" s="70">
        <f t="shared" si="17"/>
        <v>0</v>
      </c>
      <c r="P27" s="71"/>
      <c r="Q27" s="72"/>
      <c r="R27" s="70">
        <f t="shared" si="18"/>
        <v>0</v>
      </c>
      <c r="S27" s="71"/>
      <c r="T27" s="72"/>
      <c r="U27" s="70">
        <f t="shared" si="19"/>
        <v>0</v>
      </c>
      <c r="V27" s="71"/>
      <c r="W27" s="72"/>
      <c r="X27" s="70">
        <f t="shared" si="20"/>
        <v>0</v>
      </c>
      <c r="Y27" s="71"/>
      <c r="Z27" s="72"/>
      <c r="AA27" s="70">
        <f t="shared" si="21"/>
        <v>0</v>
      </c>
      <c r="AB27" s="71"/>
      <c r="AC27" s="72"/>
      <c r="AD27" s="70">
        <f t="shared" si="22"/>
        <v>0</v>
      </c>
      <c r="AE27" s="71"/>
      <c r="AF27" s="72"/>
      <c r="AG27" s="70">
        <f t="shared" si="23"/>
        <v>0</v>
      </c>
      <c r="AH27" s="71"/>
      <c r="AI27" s="72"/>
      <c r="AJ27" s="70">
        <f t="shared" si="24"/>
        <v>0</v>
      </c>
      <c r="AK27" s="71"/>
      <c r="AL27" s="72"/>
      <c r="AM27" s="70">
        <f t="shared" si="25"/>
        <v>0</v>
      </c>
      <c r="AN27" s="71"/>
      <c r="AO27" s="72"/>
      <c r="AP27" s="68">
        <f t="shared" si="13"/>
        <v>0</v>
      </c>
      <c r="AQ27" s="8" t="e">
        <f t="shared" si="0"/>
        <v>#DIV/0!</v>
      </c>
    </row>
    <row r="28" spans="1:43" ht="18" customHeight="1">
      <c r="A28" s="6"/>
      <c r="B28" s="12"/>
      <c r="C28" s="67"/>
      <c r="D28" s="68"/>
      <c r="E28" s="69"/>
      <c r="F28" s="70">
        <f t="shared" si="14"/>
        <v>0</v>
      </c>
      <c r="G28" s="71"/>
      <c r="H28" s="72"/>
      <c r="I28" s="70">
        <f t="shared" si="15"/>
        <v>0</v>
      </c>
      <c r="J28" s="71"/>
      <c r="K28" s="72"/>
      <c r="L28" s="70">
        <f t="shared" si="16"/>
        <v>0</v>
      </c>
      <c r="M28" s="71"/>
      <c r="N28" s="72"/>
      <c r="O28" s="70">
        <f t="shared" si="17"/>
        <v>0</v>
      </c>
      <c r="P28" s="71"/>
      <c r="Q28" s="72"/>
      <c r="R28" s="70">
        <f t="shared" si="18"/>
        <v>0</v>
      </c>
      <c r="S28" s="71"/>
      <c r="T28" s="72"/>
      <c r="U28" s="70">
        <f t="shared" si="19"/>
        <v>0</v>
      </c>
      <c r="V28" s="71"/>
      <c r="W28" s="72"/>
      <c r="X28" s="70">
        <f t="shared" si="20"/>
        <v>0</v>
      </c>
      <c r="Y28" s="71"/>
      <c r="Z28" s="72"/>
      <c r="AA28" s="70">
        <f t="shared" si="21"/>
        <v>0</v>
      </c>
      <c r="AB28" s="71"/>
      <c r="AC28" s="72"/>
      <c r="AD28" s="70">
        <f t="shared" si="22"/>
        <v>0</v>
      </c>
      <c r="AE28" s="71"/>
      <c r="AF28" s="72"/>
      <c r="AG28" s="70">
        <f t="shared" si="23"/>
        <v>0</v>
      </c>
      <c r="AH28" s="71"/>
      <c r="AI28" s="72"/>
      <c r="AJ28" s="70">
        <f t="shared" si="24"/>
        <v>0</v>
      </c>
      <c r="AK28" s="71"/>
      <c r="AL28" s="72"/>
      <c r="AM28" s="70">
        <f t="shared" si="25"/>
        <v>0</v>
      </c>
      <c r="AN28" s="71"/>
      <c r="AO28" s="72"/>
      <c r="AP28" s="68">
        <f t="shared" si="13"/>
        <v>0</v>
      </c>
      <c r="AQ28" s="8" t="e">
        <f t="shared" si="0"/>
        <v>#DIV/0!</v>
      </c>
    </row>
    <row r="29" spans="1:43" ht="18" customHeight="1">
      <c r="A29" s="6"/>
      <c r="B29" s="12"/>
      <c r="C29" s="67"/>
      <c r="D29" s="73"/>
      <c r="E29" s="69"/>
      <c r="F29" s="70">
        <f t="shared" si="14"/>
        <v>0</v>
      </c>
      <c r="G29" s="71"/>
      <c r="H29" s="72"/>
      <c r="I29" s="70">
        <f t="shared" si="15"/>
        <v>0</v>
      </c>
      <c r="J29" s="71"/>
      <c r="K29" s="72"/>
      <c r="L29" s="70">
        <f t="shared" si="16"/>
        <v>0</v>
      </c>
      <c r="M29" s="71"/>
      <c r="N29" s="72"/>
      <c r="O29" s="70">
        <f t="shared" si="17"/>
        <v>0</v>
      </c>
      <c r="P29" s="71"/>
      <c r="Q29" s="72"/>
      <c r="R29" s="70">
        <f t="shared" si="18"/>
        <v>0</v>
      </c>
      <c r="S29" s="71"/>
      <c r="T29" s="72"/>
      <c r="U29" s="70">
        <f t="shared" si="19"/>
        <v>0</v>
      </c>
      <c r="V29" s="71"/>
      <c r="W29" s="72"/>
      <c r="X29" s="70">
        <f t="shared" si="20"/>
        <v>0</v>
      </c>
      <c r="Y29" s="71"/>
      <c r="Z29" s="72"/>
      <c r="AA29" s="70">
        <f t="shared" si="21"/>
        <v>0</v>
      </c>
      <c r="AB29" s="71"/>
      <c r="AC29" s="72"/>
      <c r="AD29" s="70">
        <f t="shared" si="22"/>
        <v>0</v>
      </c>
      <c r="AE29" s="71"/>
      <c r="AF29" s="72"/>
      <c r="AG29" s="70">
        <f t="shared" si="23"/>
        <v>0</v>
      </c>
      <c r="AH29" s="71"/>
      <c r="AI29" s="72"/>
      <c r="AJ29" s="70">
        <f t="shared" si="24"/>
        <v>0</v>
      </c>
      <c r="AK29" s="71"/>
      <c r="AL29" s="72"/>
      <c r="AM29" s="70">
        <f t="shared" si="25"/>
        <v>0</v>
      </c>
      <c r="AN29" s="71"/>
      <c r="AO29" s="72"/>
      <c r="AP29" s="73">
        <f t="shared" si="13"/>
        <v>0</v>
      </c>
      <c r="AQ29" s="8" t="e">
        <f t="shared" si="0"/>
        <v>#DIV/0!</v>
      </c>
    </row>
    <row r="30" spans="1:43" ht="18" customHeight="1">
      <c r="A30" s="6"/>
      <c r="B30" s="12"/>
      <c r="C30" s="67"/>
      <c r="D30" s="73"/>
      <c r="E30" s="69"/>
      <c r="F30" s="70">
        <f t="shared" si="14"/>
        <v>0</v>
      </c>
      <c r="G30" s="71"/>
      <c r="H30" s="72"/>
      <c r="I30" s="70">
        <f t="shared" si="15"/>
        <v>0</v>
      </c>
      <c r="J30" s="71"/>
      <c r="K30" s="72"/>
      <c r="L30" s="70">
        <f t="shared" si="16"/>
        <v>0</v>
      </c>
      <c r="M30" s="71"/>
      <c r="N30" s="72"/>
      <c r="O30" s="70">
        <f t="shared" si="17"/>
        <v>0</v>
      </c>
      <c r="P30" s="71"/>
      <c r="Q30" s="72"/>
      <c r="R30" s="70">
        <f t="shared" si="18"/>
        <v>0</v>
      </c>
      <c r="S30" s="71"/>
      <c r="T30" s="72"/>
      <c r="U30" s="70">
        <f t="shared" si="19"/>
        <v>0</v>
      </c>
      <c r="V30" s="71"/>
      <c r="W30" s="72"/>
      <c r="X30" s="70">
        <f t="shared" si="20"/>
        <v>0</v>
      </c>
      <c r="Y30" s="71"/>
      <c r="Z30" s="72"/>
      <c r="AA30" s="70">
        <f t="shared" si="21"/>
        <v>0</v>
      </c>
      <c r="AB30" s="71"/>
      <c r="AC30" s="72"/>
      <c r="AD30" s="70">
        <f t="shared" si="22"/>
        <v>0</v>
      </c>
      <c r="AE30" s="71"/>
      <c r="AF30" s="72"/>
      <c r="AG30" s="70">
        <f t="shared" si="23"/>
        <v>0</v>
      </c>
      <c r="AH30" s="71"/>
      <c r="AI30" s="72"/>
      <c r="AJ30" s="70">
        <f t="shared" si="24"/>
        <v>0</v>
      </c>
      <c r="AK30" s="71"/>
      <c r="AL30" s="72"/>
      <c r="AM30" s="70">
        <f t="shared" si="25"/>
        <v>0</v>
      </c>
      <c r="AN30" s="71"/>
      <c r="AO30" s="72"/>
      <c r="AP30" s="73">
        <f t="shared" si="13"/>
        <v>0</v>
      </c>
      <c r="AQ30" s="8" t="e">
        <f t="shared" si="0"/>
        <v>#DIV/0!</v>
      </c>
    </row>
    <row r="31" spans="1:43" ht="18" customHeight="1" thickBot="1">
      <c r="A31" s="6"/>
      <c r="B31" s="13"/>
      <c r="C31" s="62"/>
      <c r="D31" s="74"/>
      <c r="E31" s="64"/>
      <c r="F31" s="64">
        <f t="shared" si="14"/>
        <v>0</v>
      </c>
      <c r="G31" s="75"/>
      <c r="H31" s="76"/>
      <c r="I31" s="64">
        <f t="shared" si="15"/>
        <v>0</v>
      </c>
      <c r="J31" s="75"/>
      <c r="K31" s="76"/>
      <c r="L31" s="64">
        <f t="shared" si="16"/>
        <v>0</v>
      </c>
      <c r="M31" s="75"/>
      <c r="N31" s="76"/>
      <c r="O31" s="64">
        <f t="shared" si="17"/>
        <v>0</v>
      </c>
      <c r="P31" s="75"/>
      <c r="Q31" s="76"/>
      <c r="R31" s="64">
        <f t="shared" si="18"/>
        <v>0</v>
      </c>
      <c r="S31" s="75"/>
      <c r="T31" s="76"/>
      <c r="U31" s="64">
        <f t="shared" si="19"/>
        <v>0</v>
      </c>
      <c r="V31" s="75"/>
      <c r="W31" s="76"/>
      <c r="X31" s="64">
        <f t="shared" si="20"/>
        <v>0</v>
      </c>
      <c r="Y31" s="75"/>
      <c r="Z31" s="76"/>
      <c r="AA31" s="64">
        <f t="shared" si="21"/>
        <v>0</v>
      </c>
      <c r="AB31" s="75"/>
      <c r="AC31" s="76"/>
      <c r="AD31" s="64">
        <f t="shared" si="22"/>
        <v>0</v>
      </c>
      <c r="AE31" s="75"/>
      <c r="AF31" s="76"/>
      <c r="AG31" s="64">
        <f t="shared" si="23"/>
        <v>0</v>
      </c>
      <c r="AH31" s="75"/>
      <c r="AI31" s="76"/>
      <c r="AJ31" s="64">
        <f t="shared" si="24"/>
        <v>0</v>
      </c>
      <c r="AK31" s="75"/>
      <c r="AL31" s="76"/>
      <c r="AM31" s="64">
        <f t="shared" si="25"/>
        <v>0</v>
      </c>
      <c r="AN31" s="75"/>
      <c r="AO31" s="76"/>
      <c r="AP31" s="74">
        <f t="shared" si="13"/>
        <v>0</v>
      </c>
      <c r="AQ31" s="7" t="e">
        <f t="shared" si="0"/>
        <v>#DIV/0!</v>
      </c>
    </row>
    <row r="32" spans="1:43" ht="18" customHeight="1" thickTop="1">
      <c r="B32" s="14" t="s">
        <v>32</v>
      </c>
      <c r="C32" s="77">
        <f t="shared" ref="C32" si="26">SUM(C12:C31)</f>
        <v>502</v>
      </c>
      <c r="D32" s="78">
        <f t="shared" ref="D32:AP32" si="27">SUM(D12:D31)</f>
        <v>190</v>
      </c>
      <c r="E32" s="79">
        <f t="shared" si="27"/>
        <v>760</v>
      </c>
      <c r="F32" s="79">
        <f t="shared" si="27"/>
        <v>251</v>
      </c>
      <c r="G32" s="80">
        <f t="shared" si="27"/>
        <v>212</v>
      </c>
      <c r="H32" s="81">
        <f t="shared" si="27"/>
        <v>39</v>
      </c>
      <c r="I32" s="79">
        <f t="shared" ref="I32:N32" si="28">SUM(I12:I31)</f>
        <v>0</v>
      </c>
      <c r="J32" s="80">
        <f t="shared" si="28"/>
        <v>0</v>
      </c>
      <c r="K32" s="81">
        <f t="shared" si="28"/>
        <v>0</v>
      </c>
      <c r="L32" s="79">
        <f t="shared" si="28"/>
        <v>0</v>
      </c>
      <c r="M32" s="80">
        <f t="shared" si="28"/>
        <v>0</v>
      </c>
      <c r="N32" s="81">
        <f t="shared" si="28"/>
        <v>0</v>
      </c>
      <c r="O32" s="79">
        <f t="shared" ref="O32:T32" si="29">SUM(O12:O31)</f>
        <v>0</v>
      </c>
      <c r="P32" s="80">
        <f t="shared" si="29"/>
        <v>0</v>
      </c>
      <c r="Q32" s="81">
        <f t="shared" si="29"/>
        <v>0</v>
      </c>
      <c r="R32" s="79">
        <f t="shared" si="29"/>
        <v>0</v>
      </c>
      <c r="S32" s="80">
        <f t="shared" si="29"/>
        <v>0</v>
      </c>
      <c r="T32" s="81">
        <f t="shared" si="29"/>
        <v>0</v>
      </c>
      <c r="U32" s="79">
        <f t="shared" ref="U32:AI32" si="30">SUM(U12:U31)</f>
        <v>0</v>
      </c>
      <c r="V32" s="80">
        <f t="shared" si="30"/>
        <v>0</v>
      </c>
      <c r="W32" s="81">
        <f t="shared" si="30"/>
        <v>0</v>
      </c>
      <c r="X32" s="79">
        <f t="shared" si="30"/>
        <v>0</v>
      </c>
      <c r="Y32" s="80">
        <f t="shared" si="30"/>
        <v>0</v>
      </c>
      <c r="Z32" s="81">
        <f t="shared" si="30"/>
        <v>0</v>
      </c>
      <c r="AA32" s="79">
        <f t="shared" si="30"/>
        <v>0</v>
      </c>
      <c r="AB32" s="80">
        <f t="shared" si="30"/>
        <v>0</v>
      </c>
      <c r="AC32" s="81">
        <f t="shared" si="30"/>
        <v>0</v>
      </c>
      <c r="AD32" s="79">
        <f t="shared" si="30"/>
        <v>0</v>
      </c>
      <c r="AE32" s="80">
        <f t="shared" si="30"/>
        <v>0</v>
      </c>
      <c r="AF32" s="81">
        <f t="shared" si="30"/>
        <v>0</v>
      </c>
      <c r="AG32" s="79">
        <f t="shared" si="30"/>
        <v>0</v>
      </c>
      <c r="AH32" s="80">
        <f t="shared" si="30"/>
        <v>0</v>
      </c>
      <c r="AI32" s="81">
        <f t="shared" si="30"/>
        <v>0</v>
      </c>
      <c r="AJ32" s="79">
        <f t="shared" ref="AJ32:AO32" si="31">SUM(AJ12:AJ31)</f>
        <v>0</v>
      </c>
      <c r="AK32" s="80">
        <f t="shared" si="31"/>
        <v>0</v>
      </c>
      <c r="AL32" s="81">
        <f t="shared" si="31"/>
        <v>0</v>
      </c>
      <c r="AM32" s="79">
        <f t="shared" si="31"/>
        <v>0</v>
      </c>
      <c r="AN32" s="80">
        <f t="shared" si="31"/>
        <v>0</v>
      </c>
      <c r="AO32" s="81">
        <f t="shared" si="31"/>
        <v>0</v>
      </c>
      <c r="AP32" s="78">
        <f t="shared" si="27"/>
        <v>251</v>
      </c>
      <c r="AQ32" s="9">
        <f t="shared" si="0"/>
        <v>0.33026315789473687</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3"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topLeftCell="A89" zoomScaleNormal="100" zoomScaleSheetLayoutView="100" workbookViewId="0">
      <selection activeCell="B80" sqref="B80:I91"/>
    </sheetView>
  </sheetViews>
  <sheetFormatPr baseColWidth="10" defaultColWidth="11.33203125" defaultRowHeight="18.75" customHeight="1"/>
  <cols>
    <col min="1" max="1" width="2.83203125" style="41" customWidth="1"/>
    <col min="2" max="2" width="16.6640625" style="1" customWidth="1"/>
    <col min="3" max="3" width="8.83203125" style="1" customWidth="1"/>
    <col min="4" max="4" width="2.1640625" style="1" customWidth="1"/>
    <col min="5" max="5" width="16.6640625" style="1" customWidth="1"/>
    <col min="6" max="6" width="4.33203125" style="1" customWidth="1"/>
    <col min="7" max="7" width="9" style="1" customWidth="1"/>
    <col min="8" max="8" width="16.6640625" style="1" customWidth="1"/>
    <col min="9" max="9" width="12.1640625" style="1" customWidth="1"/>
    <col min="10" max="16384" width="11.33203125" style="1"/>
  </cols>
  <sheetData>
    <row r="1" spans="1:9" ht="18.75" customHeight="1">
      <c r="A1" s="41" t="s">
        <v>64</v>
      </c>
      <c r="I1" s="35" t="s">
        <v>105</v>
      </c>
    </row>
    <row r="2" spans="1:9" ht="18.75" customHeight="1">
      <c r="G2" s="35" t="s">
        <v>108</v>
      </c>
      <c r="H2" s="94" t="str">
        <f>'様式１　プログラムを構成する授業科目'!C2</f>
        <v>関東学園大学</v>
      </c>
      <c r="I2" s="96"/>
    </row>
    <row r="3" spans="1:9" ht="18.75" customHeight="1">
      <c r="G3" s="35"/>
      <c r="H3" s="10"/>
      <c r="I3" s="10"/>
    </row>
    <row r="4" spans="1:9" ht="18.5" customHeight="1">
      <c r="A4" s="105" t="s">
        <v>35</v>
      </c>
      <c r="B4" s="105"/>
      <c r="C4" s="105"/>
      <c r="D4" s="105"/>
      <c r="E4" s="105"/>
      <c r="F4" s="105"/>
      <c r="G4" s="105"/>
      <c r="H4" s="105"/>
      <c r="I4" s="105"/>
    </row>
    <row r="5" spans="1:9" ht="13.25" customHeight="1">
      <c r="B5" s="3"/>
      <c r="C5" s="3"/>
      <c r="D5" s="3"/>
      <c r="E5" s="3"/>
      <c r="F5" s="3"/>
      <c r="G5" s="3"/>
      <c r="H5" s="3"/>
      <c r="I5" s="3"/>
    </row>
    <row r="6" spans="1:9" ht="18" customHeight="1">
      <c r="A6" s="1" t="s">
        <v>0</v>
      </c>
      <c r="B6" s="10" t="s">
        <v>90</v>
      </c>
      <c r="C6" s="241" t="s">
        <v>91</v>
      </c>
      <c r="D6" s="241"/>
      <c r="E6" s="34">
        <v>32</v>
      </c>
      <c r="F6" s="3" t="s">
        <v>1</v>
      </c>
      <c r="G6" s="3" t="s">
        <v>2</v>
      </c>
      <c r="H6" s="34">
        <v>24</v>
      </c>
      <c r="I6" s="10" t="s">
        <v>1</v>
      </c>
    </row>
    <row r="7" spans="1:9" ht="12" customHeight="1">
      <c r="C7" s="2"/>
      <c r="D7" s="2"/>
      <c r="E7" s="2"/>
      <c r="F7" s="2"/>
      <c r="G7" s="2"/>
      <c r="H7" s="2"/>
      <c r="I7" s="42"/>
    </row>
    <row r="8" spans="1:9" ht="18" customHeight="1">
      <c r="A8" s="1" t="s">
        <v>3</v>
      </c>
      <c r="B8" s="10" t="s">
        <v>92</v>
      </c>
      <c r="E8" s="3"/>
      <c r="F8" s="3"/>
      <c r="G8" s="3"/>
      <c r="H8" s="34">
        <v>4</v>
      </c>
      <c r="I8" s="10" t="s">
        <v>1</v>
      </c>
    </row>
    <row r="9" spans="1:9" ht="9" customHeight="1">
      <c r="B9" s="3"/>
      <c r="C9" s="3"/>
      <c r="D9" s="3"/>
      <c r="E9" s="3"/>
      <c r="F9" s="3"/>
      <c r="G9" s="3"/>
      <c r="H9" s="3"/>
      <c r="I9" s="3"/>
    </row>
    <row r="10" spans="1:9" ht="18" customHeight="1">
      <c r="A10" s="1" t="s">
        <v>4</v>
      </c>
      <c r="B10" s="10" t="s">
        <v>93</v>
      </c>
      <c r="C10" s="3"/>
      <c r="D10" s="3"/>
      <c r="E10" s="3"/>
      <c r="F10" s="3"/>
      <c r="G10" s="3"/>
      <c r="H10" s="3"/>
      <c r="I10" s="3"/>
    </row>
    <row r="11" spans="1:9" ht="18" customHeight="1">
      <c r="B11" s="35" t="s">
        <v>42</v>
      </c>
      <c r="C11" s="236" t="s">
        <v>134</v>
      </c>
      <c r="D11" s="239"/>
      <c r="E11" s="240"/>
      <c r="F11" s="42"/>
      <c r="G11" s="35" t="s">
        <v>10</v>
      </c>
      <c r="H11" s="236" t="s">
        <v>136</v>
      </c>
      <c r="I11" s="240"/>
    </row>
    <row r="12" spans="1:9" ht="10.25" customHeight="1">
      <c r="B12" s="35"/>
      <c r="C12" s="10"/>
      <c r="D12" s="42"/>
      <c r="E12" s="42"/>
      <c r="F12" s="42"/>
      <c r="G12" s="35"/>
      <c r="H12" s="10"/>
      <c r="I12" s="42"/>
    </row>
    <row r="13" spans="1:9" ht="18" customHeight="1">
      <c r="A13" s="1" t="s">
        <v>7</v>
      </c>
      <c r="B13" s="10" t="s">
        <v>87</v>
      </c>
      <c r="C13" s="3"/>
      <c r="D13" s="3"/>
      <c r="E13" s="3"/>
      <c r="F13" s="3"/>
      <c r="G13" s="3"/>
      <c r="H13" s="3"/>
      <c r="I13" s="3"/>
    </row>
    <row r="14" spans="1:9" ht="18" customHeight="1">
      <c r="B14" s="236" t="s">
        <v>135</v>
      </c>
      <c r="C14" s="237"/>
      <c r="D14" s="237"/>
      <c r="E14" s="237"/>
      <c r="F14" s="237"/>
      <c r="G14" s="237"/>
      <c r="H14" s="237"/>
      <c r="I14" s="238"/>
    </row>
    <row r="15" spans="1:9" ht="9" customHeight="1">
      <c r="B15" s="3"/>
      <c r="C15" s="3"/>
      <c r="D15" s="3"/>
      <c r="E15" s="3"/>
      <c r="F15" s="3"/>
      <c r="G15" s="3"/>
      <c r="H15" s="3"/>
      <c r="I15" s="3"/>
    </row>
    <row r="16" spans="1:9" ht="18" customHeight="1">
      <c r="B16" s="35" t="s">
        <v>42</v>
      </c>
      <c r="C16" s="236" t="s">
        <v>134</v>
      </c>
      <c r="D16" s="239"/>
      <c r="E16" s="240"/>
      <c r="F16" s="42"/>
      <c r="G16" s="35" t="s">
        <v>10</v>
      </c>
      <c r="H16" s="236" t="s">
        <v>137</v>
      </c>
      <c r="I16" s="240"/>
    </row>
    <row r="17" spans="1:9" ht="18" customHeight="1">
      <c r="B17" s="3"/>
      <c r="C17" s="3"/>
      <c r="D17" s="3"/>
      <c r="E17" s="3"/>
      <c r="F17" s="3"/>
      <c r="G17" s="3"/>
      <c r="H17" s="3"/>
      <c r="I17" s="3"/>
    </row>
    <row r="18" spans="1:9" ht="18.75" customHeight="1">
      <c r="A18" s="1" t="s">
        <v>5</v>
      </c>
      <c r="B18" s="1" t="s">
        <v>41</v>
      </c>
      <c r="I18" s="3"/>
    </row>
    <row r="19" spans="1:9" ht="18.75" customHeight="1">
      <c r="A19" s="1"/>
      <c r="B19" s="228" t="s">
        <v>138</v>
      </c>
      <c r="C19" s="229"/>
      <c r="D19" s="229"/>
      <c r="E19" s="229"/>
      <c r="F19" s="229"/>
      <c r="G19" s="229"/>
      <c r="H19" s="229"/>
      <c r="I19" s="230"/>
    </row>
    <row r="20" spans="1:9" ht="7.5" customHeight="1">
      <c r="B20" s="3"/>
      <c r="C20" s="3"/>
      <c r="D20" s="3"/>
      <c r="E20" s="3"/>
      <c r="F20" s="3"/>
      <c r="G20" s="3"/>
      <c r="H20" s="3"/>
      <c r="I20" s="3"/>
    </row>
    <row r="21" spans="1:9" ht="18.75" customHeight="1">
      <c r="A21" s="1" t="s">
        <v>8</v>
      </c>
      <c r="B21" s="1" t="s">
        <v>24</v>
      </c>
    </row>
    <row r="22" spans="1:9" ht="18.75" customHeight="1">
      <c r="A22" s="15"/>
      <c r="B22" s="219" t="s">
        <v>139</v>
      </c>
      <c r="C22" s="220"/>
      <c r="D22" s="220"/>
      <c r="E22" s="220"/>
      <c r="F22" s="220"/>
      <c r="G22" s="220"/>
      <c r="H22" s="220"/>
      <c r="I22" s="221"/>
    </row>
    <row r="23" spans="1:9" ht="18.75" customHeight="1">
      <c r="A23" s="15"/>
      <c r="B23" s="231"/>
      <c r="C23" s="232"/>
      <c r="D23" s="232"/>
      <c r="E23" s="232"/>
      <c r="F23" s="232"/>
      <c r="G23" s="232"/>
      <c r="H23" s="232"/>
      <c r="I23" s="224"/>
    </row>
    <row r="24" spans="1:9" ht="18.75" customHeight="1">
      <c r="A24" s="15"/>
      <c r="B24" s="231"/>
      <c r="C24" s="232"/>
      <c r="D24" s="232"/>
      <c r="E24" s="232"/>
      <c r="F24" s="232"/>
      <c r="G24" s="232"/>
      <c r="H24" s="232"/>
      <c r="I24" s="224"/>
    </row>
    <row r="25" spans="1:9" ht="18.75" customHeight="1">
      <c r="A25" s="15"/>
      <c r="B25" s="231"/>
      <c r="C25" s="232"/>
      <c r="D25" s="232"/>
      <c r="E25" s="232"/>
      <c r="F25" s="232"/>
      <c r="G25" s="232"/>
      <c r="H25" s="232"/>
      <c r="I25" s="224"/>
    </row>
    <row r="26" spans="1:9" ht="18.75" customHeight="1">
      <c r="A26" s="15"/>
      <c r="B26" s="231"/>
      <c r="C26" s="232"/>
      <c r="D26" s="232"/>
      <c r="E26" s="232"/>
      <c r="F26" s="232"/>
      <c r="G26" s="232"/>
      <c r="H26" s="232"/>
      <c r="I26" s="224"/>
    </row>
    <row r="27" spans="1:9" ht="18.75" customHeight="1">
      <c r="A27" s="15"/>
      <c r="B27" s="231"/>
      <c r="C27" s="232"/>
      <c r="D27" s="232"/>
      <c r="E27" s="232"/>
      <c r="F27" s="232"/>
      <c r="G27" s="232"/>
      <c r="H27" s="232"/>
      <c r="I27" s="224"/>
    </row>
    <row r="28" spans="1:9" ht="18.75" customHeight="1">
      <c r="A28" s="15"/>
      <c r="B28" s="231"/>
      <c r="C28" s="232"/>
      <c r="D28" s="232"/>
      <c r="E28" s="232"/>
      <c r="F28" s="232"/>
      <c r="G28" s="232"/>
      <c r="H28" s="232"/>
      <c r="I28" s="224"/>
    </row>
    <row r="29" spans="1:9" ht="18.75" customHeight="1">
      <c r="A29" s="15"/>
      <c r="B29" s="231"/>
      <c r="C29" s="232"/>
      <c r="D29" s="232"/>
      <c r="E29" s="232"/>
      <c r="F29" s="232"/>
      <c r="G29" s="232"/>
      <c r="H29" s="232"/>
      <c r="I29" s="224"/>
    </row>
    <row r="30" spans="1:9" ht="18.75" customHeight="1">
      <c r="A30" s="15"/>
      <c r="B30" s="222"/>
      <c r="C30" s="223"/>
      <c r="D30" s="223"/>
      <c r="E30" s="223"/>
      <c r="F30" s="223"/>
      <c r="G30" s="223"/>
      <c r="H30" s="223"/>
      <c r="I30" s="224"/>
    </row>
    <row r="31" spans="1:9" ht="18.75" customHeight="1">
      <c r="A31" s="15"/>
      <c r="B31" s="222"/>
      <c r="C31" s="223"/>
      <c r="D31" s="223"/>
      <c r="E31" s="223"/>
      <c r="F31" s="223"/>
      <c r="G31" s="223"/>
      <c r="H31" s="223"/>
      <c r="I31" s="224"/>
    </row>
    <row r="32" spans="1:9" ht="18.75" customHeight="1">
      <c r="A32" s="15"/>
      <c r="B32" s="225"/>
      <c r="C32" s="226"/>
      <c r="D32" s="226"/>
      <c r="E32" s="226"/>
      <c r="F32" s="226"/>
      <c r="G32" s="226"/>
      <c r="H32" s="226"/>
      <c r="I32" s="227"/>
    </row>
    <row r="33" spans="1:9" ht="7.5" customHeight="1">
      <c r="A33" s="15"/>
      <c r="B33" s="15"/>
      <c r="C33" s="15"/>
      <c r="D33" s="15"/>
      <c r="E33" s="15"/>
      <c r="F33" s="15"/>
      <c r="G33" s="15"/>
      <c r="H33" s="15"/>
      <c r="I33" s="15"/>
    </row>
    <row r="34" spans="1:9" ht="18.75" customHeight="1">
      <c r="A34" s="16" t="s">
        <v>6</v>
      </c>
      <c r="B34" s="16" t="s">
        <v>9</v>
      </c>
      <c r="C34" s="10"/>
      <c r="D34" s="16"/>
      <c r="E34" s="16"/>
      <c r="F34" s="16"/>
      <c r="G34" s="16"/>
      <c r="H34" s="16"/>
      <c r="I34" s="16"/>
    </row>
    <row r="35" spans="1:9" ht="18.75" customHeight="1">
      <c r="A35" s="15"/>
      <c r="B35" s="219" t="s">
        <v>175</v>
      </c>
      <c r="C35" s="220"/>
      <c r="D35" s="220"/>
      <c r="E35" s="220"/>
      <c r="F35" s="220"/>
      <c r="G35" s="220"/>
      <c r="H35" s="220"/>
      <c r="I35" s="221"/>
    </row>
    <row r="36" spans="1:9" ht="18.75" customHeight="1">
      <c r="A36" s="15"/>
      <c r="B36" s="222"/>
      <c r="C36" s="223"/>
      <c r="D36" s="223"/>
      <c r="E36" s="223"/>
      <c r="F36" s="223"/>
      <c r="G36" s="223"/>
      <c r="H36" s="223"/>
      <c r="I36" s="224"/>
    </row>
    <row r="37" spans="1:9" ht="18.75" customHeight="1">
      <c r="A37" s="15"/>
      <c r="B37" s="222"/>
      <c r="C37" s="223"/>
      <c r="D37" s="223"/>
      <c r="E37" s="223"/>
      <c r="F37" s="223"/>
      <c r="G37" s="223"/>
      <c r="H37" s="223"/>
      <c r="I37" s="224"/>
    </row>
    <row r="38" spans="1:9" ht="18.75" customHeight="1">
      <c r="A38" s="15"/>
      <c r="B38" s="222"/>
      <c r="C38" s="223"/>
      <c r="D38" s="223"/>
      <c r="E38" s="223"/>
      <c r="F38" s="223"/>
      <c r="G38" s="223"/>
      <c r="H38" s="223"/>
      <c r="I38" s="224"/>
    </row>
    <row r="39" spans="1:9" ht="18.75" customHeight="1">
      <c r="A39" s="15"/>
      <c r="B39" s="222"/>
      <c r="C39" s="223"/>
      <c r="D39" s="223"/>
      <c r="E39" s="223"/>
      <c r="F39" s="223"/>
      <c r="G39" s="223"/>
      <c r="H39" s="223"/>
      <c r="I39" s="224"/>
    </row>
    <row r="40" spans="1:9" ht="18.75" customHeight="1">
      <c r="A40" s="15"/>
      <c r="B40" s="222"/>
      <c r="C40" s="223"/>
      <c r="D40" s="223"/>
      <c r="E40" s="223"/>
      <c r="F40" s="223"/>
      <c r="G40" s="223"/>
      <c r="H40" s="223"/>
      <c r="I40" s="224"/>
    </row>
    <row r="41" spans="1:9" ht="18.75" customHeight="1">
      <c r="A41" s="15"/>
      <c r="B41" s="222"/>
      <c r="C41" s="223"/>
      <c r="D41" s="223"/>
      <c r="E41" s="223"/>
      <c r="F41" s="223"/>
      <c r="G41" s="223"/>
      <c r="H41" s="223"/>
      <c r="I41" s="224"/>
    </row>
    <row r="42" spans="1:9" ht="18.75" customHeight="1">
      <c r="A42" s="15"/>
      <c r="B42" s="222"/>
      <c r="C42" s="223"/>
      <c r="D42" s="223"/>
      <c r="E42" s="223"/>
      <c r="F42" s="223"/>
      <c r="G42" s="223"/>
      <c r="H42" s="223"/>
      <c r="I42" s="224"/>
    </row>
    <row r="43" spans="1:9" ht="18.75" customHeight="1">
      <c r="A43" s="15"/>
      <c r="B43" s="222"/>
      <c r="C43" s="223"/>
      <c r="D43" s="223"/>
      <c r="E43" s="223"/>
      <c r="F43" s="223"/>
      <c r="G43" s="223"/>
      <c r="H43" s="223"/>
      <c r="I43" s="224"/>
    </row>
    <row r="44" spans="1:9" ht="18.75" customHeight="1">
      <c r="A44" s="15"/>
      <c r="B44" s="222"/>
      <c r="C44" s="223"/>
      <c r="D44" s="223"/>
      <c r="E44" s="223"/>
      <c r="F44" s="223"/>
      <c r="G44" s="223"/>
      <c r="H44" s="223"/>
      <c r="I44" s="224"/>
    </row>
    <row r="45" spans="1:9" ht="18.75" customHeight="1">
      <c r="A45" s="15"/>
      <c r="B45" s="222"/>
      <c r="C45" s="223"/>
      <c r="D45" s="223"/>
      <c r="E45" s="223"/>
      <c r="F45" s="223"/>
      <c r="G45" s="223"/>
      <c r="H45" s="223"/>
      <c r="I45" s="224"/>
    </row>
    <row r="46" spans="1:9" ht="18.75" customHeight="1">
      <c r="A46" s="15"/>
      <c r="B46" s="225"/>
      <c r="C46" s="226"/>
      <c r="D46" s="226"/>
      <c r="E46" s="226"/>
      <c r="F46" s="226"/>
      <c r="G46" s="226"/>
      <c r="H46" s="226"/>
      <c r="I46" s="227"/>
    </row>
    <row r="47" spans="1:9" ht="7.5" customHeight="1">
      <c r="A47" s="4"/>
      <c r="B47" s="4"/>
      <c r="C47" s="4"/>
      <c r="D47" s="4"/>
      <c r="E47" s="4"/>
      <c r="F47" s="4"/>
      <c r="G47" s="4"/>
      <c r="H47" s="4"/>
      <c r="I47" s="4"/>
    </row>
    <row r="48" spans="1:9" ht="18.75" customHeight="1">
      <c r="A48" s="1" t="s">
        <v>30</v>
      </c>
      <c r="B48" s="1" t="s">
        <v>122</v>
      </c>
    </row>
    <row r="49" spans="1:15" s="3" customFormat="1" ht="18.75" customHeight="1">
      <c r="B49" s="43" t="s">
        <v>88</v>
      </c>
      <c r="C49" s="198">
        <f>'様式２ 履修者等数の実績'!AQ32</f>
        <v>0.33026315789473687</v>
      </c>
      <c r="D49" s="198"/>
      <c r="E49" s="43" t="s">
        <v>65</v>
      </c>
      <c r="F49" s="198">
        <v>0.4</v>
      </c>
      <c r="G49" s="198"/>
      <c r="H49" s="43" t="s">
        <v>66</v>
      </c>
      <c r="I49" s="44">
        <v>0.45</v>
      </c>
      <c r="J49" s="1"/>
      <c r="M49" s="1"/>
      <c r="N49" s="45"/>
    </row>
    <row r="50" spans="1:15" s="3" customFormat="1" ht="18.75" customHeight="1">
      <c r="B50" s="46" t="s">
        <v>67</v>
      </c>
      <c r="C50" s="199">
        <v>0.5</v>
      </c>
      <c r="D50" s="199"/>
      <c r="E50" s="46" t="s">
        <v>89</v>
      </c>
      <c r="F50" s="199">
        <v>0.55000000000000004</v>
      </c>
      <c r="G50" s="199"/>
      <c r="H50" s="46" t="s">
        <v>68</v>
      </c>
      <c r="I50" s="47">
        <v>760</v>
      </c>
      <c r="J50" s="1"/>
      <c r="M50" s="1"/>
      <c r="N50" s="45"/>
    </row>
    <row r="51" spans="1:15" ht="18.75" customHeight="1">
      <c r="A51" s="1"/>
      <c r="B51" s="233" t="s">
        <v>69</v>
      </c>
      <c r="C51" s="234"/>
      <c r="D51" s="234"/>
      <c r="E51" s="234"/>
      <c r="F51" s="234"/>
      <c r="G51" s="234"/>
      <c r="H51" s="234"/>
      <c r="I51" s="235"/>
      <c r="N51" s="45"/>
      <c r="O51" s="3"/>
    </row>
    <row r="52" spans="1:15" ht="18.75" customHeight="1">
      <c r="A52" s="1"/>
      <c r="B52" s="200" t="s">
        <v>173</v>
      </c>
      <c r="C52" s="201"/>
      <c r="D52" s="201"/>
      <c r="E52" s="201"/>
      <c r="F52" s="201"/>
      <c r="G52" s="201"/>
      <c r="H52" s="201"/>
      <c r="I52" s="202"/>
      <c r="N52" s="45"/>
      <c r="O52" s="3"/>
    </row>
    <row r="53" spans="1:15" ht="18.75" customHeight="1">
      <c r="A53" s="1"/>
      <c r="B53" s="203"/>
      <c r="C53" s="204"/>
      <c r="D53" s="204"/>
      <c r="E53" s="204"/>
      <c r="F53" s="204"/>
      <c r="G53" s="204"/>
      <c r="H53" s="204"/>
      <c r="I53" s="205"/>
      <c r="N53" s="45"/>
      <c r="O53" s="3"/>
    </row>
    <row r="54" spans="1:15" ht="18.75" customHeight="1">
      <c r="A54" s="1"/>
      <c r="B54" s="203"/>
      <c r="C54" s="204"/>
      <c r="D54" s="204"/>
      <c r="E54" s="204"/>
      <c r="F54" s="204"/>
      <c r="G54" s="204"/>
      <c r="H54" s="204"/>
      <c r="I54" s="205"/>
    </row>
    <row r="55" spans="1:15" ht="18.75" customHeight="1">
      <c r="A55" s="1"/>
      <c r="B55" s="203"/>
      <c r="C55" s="204"/>
      <c r="D55" s="204"/>
      <c r="E55" s="204"/>
      <c r="F55" s="204"/>
      <c r="G55" s="204"/>
      <c r="H55" s="204"/>
      <c r="I55" s="205"/>
    </row>
    <row r="56" spans="1:15" ht="18.75" customHeight="1">
      <c r="A56" s="1"/>
      <c r="B56" s="203"/>
      <c r="C56" s="204"/>
      <c r="D56" s="204"/>
      <c r="E56" s="204"/>
      <c r="F56" s="204"/>
      <c r="G56" s="204"/>
      <c r="H56" s="204"/>
      <c r="I56" s="205"/>
    </row>
    <row r="57" spans="1:15" ht="18.75" customHeight="1">
      <c r="A57" s="1"/>
      <c r="B57" s="203"/>
      <c r="C57" s="204"/>
      <c r="D57" s="204"/>
      <c r="E57" s="204"/>
      <c r="F57" s="204"/>
      <c r="G57" s="204"/>
      <c r="H57" s="204"/>
      <c r="I57" s="205"/>
    </row>
    <row r="58" spans="1:15" ht="18.75" customHeight="1">
      <c r="A58" s="1"/>
      <c r="B58" s="203"/>
      <c r="C58" s="204"/>
      <c r="D58" s="204"/>
      <c r="E58" s="204"/>
      <c r="F58" s="204"/>
      <c r="G58" s="204"/>
      <c r="H58" s="204"/>
      <c r="I58" s="205"/>
    </row>
    <row r="59" spans="1:15" ht="18.75" customHeight="1">
      <c r="A59" s="1"/>
      <c r="B59" s="203"/>
      <c r="C59" s="204"/>
      <c r="D59" s="204"/>
      <c r="E59" s="204"/>
      <c r="F59" s="204"/>
      <c r="G59" s="204"/>
      <c r="H59" s="204"/>
      <c r="I59" s="205"/>
    </row>
    <row r="60" spans="1:15" ht="18.75" customHeight="1">
      <c r="A60" s="1"/>
      <c r="B60" s="203"/>
      <c r="C60" s="204"/>
      <c r="D60" s="204"/>
      <c r="E60" s="204"/>
      <c r="F60" s="204"/>
      <c r="G60" s="204"/>
      <c r="H60" s="204"/>
      <c r="I60" s="205"/>
    </row>
    <row r="61" spans="1:15" ht="18.75" customHeight="1">
      <c r="A61" s="1"/>
      <c r="B61" s="203"/>
      <c r="C61" s="204"/>
      <c r="D61" s="204"/>
      <c r="E61" s="204"/>
      <c r="F61" s="204"/>
      <c r="G61" s="204"/>
      <c r="H61" s="204"/>
      <c r="I61" s="205"/>
    </row>
    <row r="62" spans="1:15" ht="18.75" customHeight="1">
      <c r="A62" s="1"/>
      <c r="B62" s="203"/>
      <c r="C62" s="204"/>
      <c r="D62" s="204"/>
      <c r="E62" s="204"/>
      <c r="F62" s="204"/>
      <c r="G62" s="204"/>
      <c r="H62" s="204"/>
      <c r="I62" s="205"/>
    </row>
    <row r="63" spans="1:15" ht="18.75" customHeight="1">
      <c r="A63" s="1"/>
      <c r="B63" s="206"/>
      <c r="C63" s="207"/>
      <c r="D63" s="207"/>
      <c r="E63" s="207"/>
      <c r="F63" s="207"/>
      <c r="G63" s="207"/>
      <c r="H63" s="207"/>
      <c r="I63" s="208"/>
    </row>
    <row r="64" spans="1:15" ht="7.5" customHeight="1">
      <c r="A64" s="15"/>
      <c r="B64" s="15"/>
      <c r="C64" s="15"/>
      <c r="D64" s="15"/>
      <c r="E64" s="15"/>
      <c r="F64" s="15"/>
      <c r="G64" s="15"/>
      <c r="H64" s="15"/>
      <c r="I64" s="15"/>
    </row>
    <row r="65" spans="1:9" ht="18.75" customHeight="1">
      <c r="A65" s="16" t="s">
        <v>33</v>
      </c>
      <c r="B65" s="1" t="s">
        <v>36</v>
      </c>
      <c r="I65" s="16"/>
    </row>
    <row r="66" spans="1:9" ht="18.75" customHeight="1">
      <c r="A66" s="4"/>
      <c r="B66" s="182" t="s">
        <v>165</v>
      </c>
      <c r="C66" s="183"/>
      <c r="D66" s="183"/>
      <c r="E66" s="183"/>
      <c r="F66" s="183"/>
      <c r="G66" s="183"/>
      <c r="H66" s="183"/>
      <c r="I66" s="184"/>
    </row>
    <row r="67" spans="1:9" ht="18.75" customHeight="1">
      <c r="A67" s="4"/>
      <c r="B67" s="185"/>
      <c r="C67" s="186"/>
      <c r="D67" s="186"/>
      <c r="E67" s="186"/>
      <c r="F67" s="186"/>
      <c r="G67" s="186"/>
      <c r="H67" s="186"/>
      <c r="I67" s="187"/>
    </row>
    <row r="68" spans="1:9" ht="18.75" customHeight="1">
      <c r="A68" s="4"/>
      <c r="B68" s="185"/>
      <c r="C68" s="186"/>
      <c r="D68" s="186"/>
      <c r="E68" s="186"/>
      <c r="F68" s="186"/>
      <c r="G68" s="186"/>
      <c r="H68" s="186"/>
      <c r="I68" s="187"/>
    </row>
    <row r="69" spans="1:9" ht="18.75" customHeight="1">
      <c r="A69" s="4"/>
      <c r="B69" s="185"/>
      <c r="C69" s="186"/>
      <c r="D69" s="186"/>
      <c r="E69" s="186"/>
      <c r="F69" s="186"/>
      <c r="G69" s="186"/>
      <c r="H69" s="186"/>
      <c r="I69" s="187"/>
    </row>
    <row r="70" spans="1:9" ht="18.75" customHeight="1">
      <c r="A70" s="4"/>
      <c r="B70" s="185"/>
      <c r="C70" s="186"/>
      <c r="D70" s="186"/>
      <c r="E70" s="186"/>
      <c r="F70" s="186"/>
      <c r="G70" s="186"/>
      <c r="H70" s="186"/>
      <c r="I70" s="187"/>
    </row>
    <row r="71" spans="1:9" ht="18.75" customHeight="1">
      <c r="A71" s="4"/>
      <c r="B71" s="185"/>
      <c r="C71" s="186"/>
      <c r="D71" s="186"/>
      <c r="E71" s="186"/>
      <c r="F71" s="186"/>
      <c r="G71" s="186"/>
      <c r="H71" s="186"/>
      <c r="I71" s="187"/>
    </row>
    <row r="72" spans="1:9" ht="18.75" customHeight="1">
      <c r="A72" s="4"/>
      <c r="B72" s="185"/>
      <c r="C72" s="186"/>
      <c r="D72" s="186"/>
      <c r="E72" s="186"/>
      <c r="F72" s="186"/>
      <c r="G72" s="186"/>
      <c r="H72" s="186"/>
      <c r="I72" s="187"/>
    </row>
    <row r="73" spans="1:9" ht="18.75" customHeight="1">
      <c r="A73" s="4"/>
      <c r="B73" s="185"/>
      <c r="C73" s="186"/>
      <c r="D73" s="186"/>
      <c r="E73" s="186"/>
      <c r="F73" s="186"/>
      <c r="G73" s="186"/>
      <c r="H73" s="186"/>
      <c r="I73" s="187"/>
    </row>
    <row r="74" spans="1:9" ht="18.75" customHeight="1">
      <c r="A74" s="4"/>
      <c r="B74" s="185"/>
      <c r="C74" s="186"/>
      <c r="D74" s="186"/>
      <c r="E74" s="186"/>
      <c r="F74" s="186"/>
      <c r="G74" s="186"/>
      <c r="H74" s="186"/>
      <c r="I74" s="187"/>
    </row>
    <row r="75" spans="1:9" ht="18.75" customHeight="1">
      <c r="A75" s="4"/>
      <c r="B75" s="185"/>
      <c r="C75" s="186"/>
      <c r="D75" s="186"/>
      <c r="E75" s="186"/>
      <c r="F75" s="186"/>
      <c r="G75" s="186"/>
      <c r="H75" s="186"/>
      <c r="I75" s="187"/>
    </row>
    <row r="76" spans="1:9" ht="18.75" customHeight="1">
      <c r="A76" s="4"/>
      <c r="B76" s="185"/>
      <c r="C76" s="186"/>
      <c r="D76" s="186"/>
      <c r="E76" s="186"/>
      <c r="F76" s="186"/>
      <c r="G76" s="186"/>
      <c r="H76" s="186"/>
      <c r="I76" s="187"/>
    </row>
    <row r="77" spans="1:9" ht="18.75" customHeight="1">
      <c r="A77" s="4"/>
      <c r="B77" s="188"/>
      <c r="C77" s="189"/>
      <c r="D77" s="189"/>
      <c r="E77" s="189"/>
      <c r="F77" s="189"/>
      <c r="G77" s="189"/>
      <c r="H77" s="189"/>
      <c r="I77" s="190"/>
    </row>
    <row r="78" spans="1:9" ht="7.5" customHeight="1">
      <c r="A78" s="4"/>
      <c r="B78" s="4"/>
      <c r="C78" s="4"/>
      <c r="D78" s="4"/>
      <c r="E78" s="4"/>
      <c r="F78" s="4"/>
      <c r="G78" s="4"/>
      <c r="H78" s="4"/>
      <c r="I78" s="4"/>
    </row>
    <row r="79" spans="1:9" ht="18.75" customHeight="1">
      <c r="A79" s="1" t="s">
        <v>11</v>
      </c>
      <c r="B79" s="1" t="s">
        <v>40</v>
      </c>
    </row>
    <row r="80" spans="1:9" ht="18.75" customHeight="1">
      <c r="A80" s="1"/>
      <c r="B80" s="182" t="s">
        <v>177</v>
      </c>
      <c r="C80" s="183"/>
      <c r="D80" s="183"/>
      <c r="E80" s="183"/>
      <c r="F80" s="183"/>
      <c r="G80" s="183"/>
      <c r="H80" s="183"/>
      <c r="I80" s="191"/>
    </row>
    <row r="81" spans="1:9" ht="18.75" customHeight="1">
      <c r="A81" s="1"/>
      <c r="B81" s="192"/>
      <c r="C81" s="193"/>
      <c r="D81" s="193"/>
      <c r="E81" s="193"/>
      <c r="F81" s="193"/>
      <c r="G81" s="193"/>
      <c r="H81" s="193"/>
      <c r="I81" s="194"/>
    </row>
    <row r="82" spans="1:9" ht="18.75" customHeight="1">
      <c r="A82" s="1"/>
      <c r="B82" s="192"/>
      <c r="C82" s="193"/>
      <c r="D82" s="193"/>
      <c r="E82" s="193"/>
      <c r="F82" s="193"/>
      <c r="G82" s="193"/>
      <c r="H82" s="193"/>
      <c r="I82" s="194"/>
    </row>
    <row r="83" spans="1:9" ht="18.75" customHeight="1">
      <c r="A83" s="1"/>
      <c r="B83" s="192"/>
      <c r="C83" s="193"/>
      <c r="D83" s="193"/>
      <c r="E83" s="193"/>
      <c r="F83" s="193"/>
      <c r="G83" s="193"/>
      <c r="H83" s="193"/>
      <c r="I83" s="194"/>
    </row>
    <row r="84" spans="1:9" ht="18.75" customHeight="1">
      <c r="A84" s="1"/>
      <c r="B84" s="192"/>
      <c r="C84" s="193"/>
      <c r="D84" s="193"/>
      <c r="E84" s="193"/>
      <c r="F84" s="193"/>
      <c r="G84" s="193"/>
      <c r="H84" s="193"/>
      <c r="I84" s="194"/>
    </row>
    <row r="85" spans="1:9" ht="18.75" customHeight="1">
      <c r="A85" s="1"/>
      <c r="B85" s="192"/>
      <c r="C85" s="193"/>
      <c r="D85" s="193"/>
      <c r="E85" s="193"/>
      <c r="F85" s="193"/>
      <c r="G85" s="193"/>
      <c r="H85" s="193"/>
      <c r="I85" s="194"/>
    </row>
    <row r="86" spans="1:9" ht="18.75" customHeight="1">
      <c r="A86" s="1"/>
      <c r="B86" s="192"/>
      <c r="C86" s="193"/>
      <c r="D86" s="193"/>
      <c r="E86" s="193"/>
      <c r="F86" s="193"/>
      <c r="G86" s="193"/>
      <c r="H86" s="193"/>
      <c r="I86" s="194"/>
    </row>
    <row r="87" spans="1:9" ht="18.75" customHeight="1">
      <c r="A87" s="1"/>
      <c r="B87" s="192"/>
      <c r="C87" s="193"/>
      <c r="D87" s="193"/>
      <c r="E87" s="193"/>
      <c r="F87" s="193"/>
      <c r="G87" s="193"/>
      <c r="H87" s="193"/>
      <c r="I87" s="194"/>
    </row>
    <row r="88" spans="1:9" ht="18.75" customHeight="1">
      <c r="A88" s="1"/>
      <c r="B88" s="192"/>
      <c r="C88" s="193"/>
      <c r="D88" s="193"/>
      <c r="E88" s="193"/>
      <c r="F88" s="193"/>
      <c r="G88" s="193"/>
      <c r="H88" s="193"/>
      <c r="I88" s="194"/>
    </row>
    <row r="89" spans="1:9" ht="18.75" customHeight="1">
      <c r="A89" s="1"/>
      <c r="B89" s="192"/>
      <c r="C89" s="193"/>
      <c r="D89" s="193"/>
      <c r="E89" s="193"/>
      <c r="F89" s="193"/>
      <c r="G89" s="193"/>
      <c r="H89" s="193"/>
      <c r="I89" s="194"/>
    </row>
    <row r="90" spans="1:9" ht="18.75" customHeight="1">
      <c r="A90" s="4"/>
      <c r="B90" s="192"/>
      <c r="C90" s="193"/>
      <c r="D90" s="193"/>
      <c r="E90" s="193"/>
      <c r="F90" s="193"/>
      <c r="G90" s="193"/>
      <c r="H90" s="193"/>
      <c r="I90" s="194"/>
    </row>
    <row r="91" spans="1:9" ht="18.75" customHeight="1">
      <c r="A91" s="4"/>
      <c r="B91" s="195"/>
      <c r="C91" s="196"/>
      <c r="D91" s="196"/>
      <c r="E91" s="196"/>
      <c r="F91" s="196"/>
      <c r="G91" s="196"/>
      <c r="H91" s="196"/>
      <c r="I91" s="197"/>
    </row>
    <row r="92" spans="1:9" ht="7.5" customHeight="1">
      <c r="A92" s="4"/>
      <c r="B92" s="4"/>
      <c r="C92" s="4"/>
      <c r="D92" s="4"/>
      <c r="E92" s="4"/>
      <c r="F92" s="4"/>
      <c r="G92" s="4"/>
      <c r="H92" s="4"/>
      <c r="I92" s="4"/>
    </row>
    <row r="93" spans="1:9" ht="18.75" customHeight="1">
      <c r="A93" s="1" t="s">
        <v>43</v>
      </c>
      <c r="B93" s="1" t="s">
        <v>13</v>
      </c>
    </row>
    <row r="94" spans="1:9" ht="18.75" customHeight="1">
      <c r="A94" s="1"/>
      <c r="B94" s="209" t="s">
        <v>178</v>
      </c>
      <c r="C94" s="210"/>
      <c r="D94" s="210"/>
      <c r="E94" s="210"/>
      <c r="F94" s="210"/>
      <c r="G94" s="210"/>
      <c r="H94" s="210"/>
      <c r="I94" s="211"/>
    </row>
    <row r="95" spans="1:9" ht="18.75" customHeight="1">
      <c r="A95" s="1"/>
      <c r="B95" s="212"/>
      <c r="C95" s="213"/>
      <c r="D95" s="213"/>
      <c r="E95" s="213"/>
      <c r="F95" s="213"/>
      <c r="G95" s="213"/>
      <c r="H95" s="213"/>
      <c r="I95" s="214"/>
    </row>
    <row r="96" spans="1:9" ht="18.75" customHeight="1">
      <c r="A96" s="1"/>
      <c r="B96" s="212"/>
      <c r="C96" s="213"/>
      <c r="D96" s="213"/>
      <c r="E96" s="213"/>
      <c r="F96" s="213"/>
      <c r="G96" s="213"/>
      <c r="H96" s="213"/>
      <c r="I96" s="214"/>
    </row>
    <row r="97" spans="1:9" ht="18.75" customHeight="1">
      <c r="A97" s="1"/>
      <c r="B97" s="212"/>
      <c r="C97" s="213"/>
      <c r="D97" s="213"/>
      <c r="E97" s="213"/>
      <c r="F97" s="213"/>
      <c r="G97" s="213"/>
      <c r="H97" s="213"/>
      <c r="I97" s="214"/>
    </row>
    <row r="98" spans="1:9" ht="18.75" customHeight="1">
      <c r="A98" s="1"/>
      <c r="B98" s="212"/>
      <c r="C98" s="213"/>
      <c r="D98" s="213"/>
      <c r="E98" s="213"/>
      <c r="F98" s="213"/>
      <c r="G98" s="213"/>
      <c r="H98" s="213"/>
      <c r="I98" s="214"/>
    </row>
    <row r="99" spans="1:9" ht="18.75" customHeight="1">
      <c r="A99" s="1"/>
      <c r="B99" s="212"/>
      <c r="C99" s="213"/>
      <c r="D99" s="213"/>
      <c r="E99" s="213"/>
      <c r="F99" s="213"/>
      <c r="G99" s="213"/>
      <c r="H99" s="213"/>
      <c r="I99" s="214"/>
    </row>
    <row r="100" spans="1:9" ht="18.75" customHeight="1">
      <c r="A100" s="1"/>
      <c r="B100" s="212"/>
      <c r="C100" s="213"/>
      <c r="D100" s="213"/>
      <c r="E100" s="213"/>
      <c r="F100" s="213"/>
      <c r="G100" s="213"/>
      <c r="H100" s="213"/>
      <c r="I100" s="214"/>
    </row>
    <row r="101" spans="1:9" ht="18.75" customHeight="1">
      <c r="A101" s="1"/>
      <c r="B101" s="212"/>
      <c r="C101" s="213"/>
      <c r="D101" s="213"/>
      <c r="E101" s="213"/>
      <c r="F101" s="213"/>
      <c r="G101" s="213"/>
      <c r="H101" s="213"/>
      <c r="I101" s="214"/>
    </row>
    <row r="102" spans="1:9" ht="18.75" customHeight="1">
      <c r="A102" s="1"/>
      <c r="B102" s="212"/>
      <c r="C102" s="213"/>
      <c r="D102" s="213"/>
      <c r="E102" s="213"/>
      <c r="F102" s="213"/>
      <c r="G102" s="213"/>
      <c r="H102" s="213"/>
      <c r="I102" s="214"/>
    </row>
    <row r="103" spans="1:9" ht="18.75" customHeight="1">
      <c r="A103" s="1"/>
      <c r="B103" s="212"/>
      <c r="C103" s="213"/>
      <c r="D103" s="213"/>
      <c r="E103" s="213"/>
      <c r="F103" s="213"/>
      <c r="G103" s="213"/>
      <c r="H103" s="213"/>
      <c r="I103" s="214"/>
    </row>
    <row r="104" spans="1:9" ht="18.75" customHeight="1">
      <c r="A104" s="1"/>
      <c r="B104" s="212"/>
      <c r="C104" s="213"/>
      <c r="D104" s="213"/>
      <c r="E104" s="213"/>
      <c r="F104" s="213"/>
      <c r="G104" s="213"/>
      <c r="H104" s="213"/>
      <c r="I104" s="214"/>
    </row>
    <row r="105" spans="1:9" ht="18.75" customHeight="1">
      <c r="A105" s="4"/>
      <c r="B105" s="215"/>
      <c r="C105" s="216"/>
      <c r="D105" s="216"/>
      <c r="E105" s="216"/>
      <c r="F105" s="216"/>
      <c r="G105" s="216"/>
      <c r="H105" s="216"/>
      <c r="I105" s="217"/>
    </row>
    <row r="106" spans="1:9" ht="7.5" customHeight="1">
      <c r="A106" s="4"/>
      <c r="B106" s="4"/>
      <c r="C106" s="4"/>
      <c r="D106" s="4"/>
      <c r="E106" s="4"/>
      <c r="F106" s="4"/>
      <c r="G106" s="4"/>
      <c r="H106" s="4"/>
      <c r="I106" s="4"/>
    </row>
    <row r="107" spans="1:9" ht="18.75" customHeight="1">
      <c r="A107" s="1" t="s">
        <v>29</v>
      </c>
      <c r="B107" s="218" t="s">
        <v>45</v>
      </c>
      <c r="C107" s="218"/>
      <c r="D107" s="218"/>
      <c r="E107" s="218"/>
      <c r="F107" s="218"/>
      <c r="G107" s="218"/>
      <c r="H107" s="218"/>
      <c r="I107" s="218"/>
    </row>
    <row r="108" spans="1:9" ht="18.75" customHeight="1">
      <c r="A108" s="4"/>
      <c r="B108" s="219" t="s">
        <v>153</v>
      </c>
      <c r="C108" s="220"/>
      <c r="D108" s="220"/>
      <c r="E108" s="220"/>
      <c r="F108" s="220"/>
      <c r="G108" s="220"/>
      <c r="H108" s="220"/>
      <c r="I108" s="221"/>
    </row>
    <row r="109" spans="1:9" ht="18.75" customHeight="1">
      <c r="A109" s="4"/>
      <c r="B109" s="222"/>
      <c r="C109" s="223"/>
      <c r="D109" s="223"/>
      <c r="E109" s="223"/>
      <c r="F109" s="223"/>
      <c r="G109" s="223"/>
      <c r="H109" s="223"/>
      <c r="I109" s="224"/>
    </row>
    <row r="110" spans="1:9" ht="18.75" customHeight="1">
      <c r="A110" s="4"/>
      <c r="B110" s="222"/>
      <c r="C110" s="223"/>
      <c r="D110" s="223"/>
      <c r="E110" s="223"/>
      <c r="F110" s="223"/>
      <c r="G110" s="223"/>
      <c r="H110" s="223"/>
      <c r="I110" s="224"/>
    </row>
    <row r="111" spans="1:9" ht="18.75" customHeight="1">
      <c r="A111" s="4"/>
      <c r="B111" s="222"/>
      <c r="C111" s="223"/>
      <c r="D111" s="223"/>
      <c r="E111" s="223"/>
      <c r="F111" s="223"/>
      <c r="G111" s="223"/>
      <c r="H111" s="223"/>
      <c r="I111" s="224"/>
    </row>
    <row r="112" spans="1:9" ht="18.75" customHeight="1">
      <c r="A112" s="4"/>
      <c r="B112" s="222"/>
      <c r="C112" s="223"/>
      <c r="D112" s="223"/>
      <c r="E112" s="223"/>
      <c r="F112" s="223"/>
      <c r="G112" s="223"/>
      <c r="H112" s="223"/>
      <c r="I112" s="224"/>
    </row>
    <row r="113" spans="1:9" ht="18.75" customHeight="1">
      <c r="A113" s="4"/>
      <c r="B113" s="222"/>
      <c r="C113" s="223"/>
      <c r="D113" s="223"/>
      <c r="E113" s="223"/>
      <c r="F113" s="223"/>
      <c r="G113" s="223"/>
      <c r="H113" s="223"/>
      <c r="I113" s="224"/>
    </row>
    <row r="114" spans="1:9" ht="18.75" customHeight="1">
      <c r="A114" s="4"/>
      <c r="B114" s="222"/>
      <c r="C114" s="223"/>
      <c r="D114" s="223"/>
      <c r="E114" s="223"/>
      <c r="F114" s="223"/>
      <c r="G114" s="223"/>
      <c r="H114" s="223"/>
      <c r="I114" s="224"/>
    </row>
    <row r="115" spans="1:9" ht="18.75" customHeight="1">
      <c r="A115" s="4"/>
      <c r="B115" s="222"/>
      <c r="C115" s="223"/>
      <c r="D115" s="223"/>
      <c r="E115" s="223"/>
      <c r="F115" s="223"/>
      <c r="G115" s="223"/>
      <c r="H115" s="223"/>
      <c r="I115" s="224"/>
    </row>
    <row r="116" spans="1:9" ht="18.75" customHeight="1">
      <c r="A116" s="4"/>
      <c r="B116" s="222"/>
      <c r="C116" s="223"/>
      <c r="D116" s="223"/>
      <c r="E116" s="223"/>
      <c r="F116" s="223"/>
      <c r="G116" s="223"/>
      <c r="H116" s="223"/>
      <c r="I116" s="224"/>
    </row>
    <row r="117" spans="1:9" ht="18.75" customHeight="1">
      <c r="A117" s="4"/>
      <c r="B117" s="222"/>
      <c r="C117" s="223"/>
      <c r="D117" s="223"/>
      <c r="E117" s="223"/>
      <c r="F117" s="223"/>
      <c r="G117" s="223"/>
      <c r="H117" s="223"/>
      <c r="I117" s="224"/>
    </row>
    <row r="118" spans="1:9" ht="18.75" customHeight="1">
      <c r="A118" s="4"/>
      <c r="B118" s="222"/>
      <c r="C118" s="223"/>
      <c r="D118" s="223"/>
      <c r="E118" s="223"/>
      <c r="F118" s="223"/>
      <c r="G118" s="223"/>
      <c r="H118" s="223"/>
      <c r="I118" s="224"/>
    </row>
    <row r="119" spans="1:9" ht="18.75" customHeight="1">
      <c r="A119" s="4"/>
      <c r="B119" s="225"/>
      <c r="C119" s="226"/>
      <c r="D119" s="226"/>
      <c r="E119" s="226"/>
      <c r="F119" s="226"/>
      <c r="G119" s="226"/>
      <c r="H119" s="226"/>
      <c r="I119" s="227"/>
    </row>
    <row r="120" spans="1:9" ht="7.5" customHeight="1">
      <c r="A120" s="4"/>
      <c r="B120" s="48"/>
      <c r="C120" s="48"/>
      <c r="D120" s="48"/>
      <c r="E120" s="48"/>
      <c r="F120" s="48"/>
      <c r="G120" s="48"/>
      <c r="H120" s="48"/>
      <c r="I120" s="48"/>
    </row>
    <row r="121" spans="1:9" ht="18.75" customHeight="1">
      <c r="A121" s="4"/>
      <c r="B121" s="4"/>
      <c r="C121" s="4"/>
      <c r="D121" s="4"/>
      <c r="E121" s="4"/>
      <c r="F121" s="4"/>
      <c r="G121" s="4"/>
      <c r="H121" s="4"/>
      <c r="I121" s="4"/>
    </row>
    <row r="122" spans="1:9" ht="18.75" customHeight="1">
      <c r="A122" s="4"/>
      <c r="B122" s="4"/>
      <c r="C122" s="4"/>
      <c r="D122" s="4"/>
      <c r="E122" s="4"/>
      <c r="F122" s="4"/>
      <c r="G122" s="4"/>
      <c r="H122" s="4"/>
      <c r="I122" s="4"/>
    </row>
    <row r="123" spans="1:9" ht="18.75" customHeight="1">
      <c r="A123" s="4"/>
      <c r="B123" s="4"/>
      <c r="C123" s="4"/>
      <c r="D123" s="4"/>
      <c r="E123" s="4"/>
      <c r="F123" s="4"/>
      <c r="G123" s="4"/>
      <c r="H123" s="4"/>
      <c r="I123" s="4"/>
    </row>
    <row r="124" spans="1:9" ht="18.75" customHeight="1">
      <c r="A124" s="4"/>
      <c r="B124" s="4"/>
      <c r="C124" s="4"/>
      <c r="D124" s="4"/>
      <c r="E124" s="4"/>
      <c r="F124" s="4"/>
      <c r="G124" s="4"/>
      <c r="H124" s="4"/>
      <c r="I124" s="4"/>
    </row>
    <row r="125" spans="1:9" ht="18.75" customHeight="1">
      <c r="A125" s="4"/>
      <c r="B125" s="4"/>
      <c r="C125" s="4"/>
      <c r="D125" s="4"/>
      <c r="E125" s="4"/>
      <c r="F125" s="4"/>
      <c r="G125" s="4"/>
      <c r="H125" s="4"/>
      <c r="I125" s="4"/>
    </row>
    <row r="126" spans="1:9" ht="18.75" customHeight="1">
      <c r="A126" s="4"/>
      <c r="B126" s="4"/>
      <c r="C126" s="4"/>
      <c r="D126" s="4"/>
      <c r="E126" s="4"/>
      <c r="F126" s="4"/>
      <c r="G126" s="4"/>
      <c r="H126" s="4"/>
      <c r="I126" s="4"/>
    </row>
    <row r="127" spans="1:9" ht="18.75" customHeight="1">
      <c r="A127" s="4"/>
      <c r="B127" s="4"/>
      <c r="C127" s="4"/>
      <c r="D127" s="4"/>
      <c r="E127" s="4"/>
      <c r="F127" s="4"/>
      <c r="G127" s="4"/>
      <c r="H127" s="4"/>
      <c r="I127" s="4"/>
    </row>
    <row r="128" spans="1:9" ht="18.75" customHeight="1">
      <c r="A128" s="4"/>
      <c r="B128" s="4"/>
      <c r="C128" s="4"/>
      <c r="D128" s="4"/>
      <c r="E128" s="4"/>
      <c r="F128" s="4"/>
      <c r="G128" s="4"/>
      <c r="H128" s="4"/>
      <c r="I128" s="4"/>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5">
      <c r="A133" s="4"/>
      <c r="B133" s="4"/>
      <c r="C133" s="4"/>
      <c r="D133" s="4"/>
      <c r="E133" s="4"/>
      <c r="F133" s="4"/>
      <c r="G133" s="4"/>
      <c r="H133" s="4"/>
      <c r="I133" s="4"/>
    </row>
    <row r="134" spans="1:9" ht="7.5" customHeight="1">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scale="95"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topLeftCell="B19" zoomScale="90" zoomScaleNormal="100" zoomScaleSheetLayoutView="90" workbookViewId="0">
      <selection activeCell="E16" sqref="E16:I16"/>
    </sheetView>
  </sheetViews>
  <sheetFormatPr baseColWidth="10" defaultColWidth="11.33203125" defaultRowHeight="22.5" customHeight="1"/>
  <cols>
    <col min="1" max="3" width="2.83203125" style="1" customWidth="1"/>
    <col min="4" max="4" width="22.1640625" style="1" customWidth="1"/>
    <col min="5" max="5" width="30.83203125" style="1" customWidth="1"/>
    <col min="6" max="7" width="7.83203125" style="1" customWidth="1"/>
    <col min="8" max="9" width="30.83203125" style="1" customWidth="1"/>
    <col min="10" max="10" width="4.1640625" style="1" customWidth="1"/>
    <col min="11" max="16384" width="11.33203125" style="1"/>
  </cols>
  <sheetData>
    <row r="1" spans="1:9" ht="18.75" customHeight="1">
      <c r="A1" s="1" t="s">
        <v>70</v>
      </c>
      <c r="I1" s="35" t="s">
        <v>104</v>
      </c>
    </row>
    <row r="2" spans="1:9" ht="18.75" customHeight="1">
      <c r="H2" s="35" t="s">
        <v>108</v>
      </c>
      <c r="I2" s="34" t="str">
        <f>'様式１　プログラムを構成する授業科目'!C2</f>
        <v>関東学園大学</v>
      </c>
    </row>
    <row r="3" spans="1:9" ht="18.75" customHeight="1">
      <c r="A3" s="105" t="s">
        <v>27</v>
      </c>
      <c r="B3" s="105"/>
      <c r="C3" s="105"/>
      <c r="D3" s="105"/>
      <c r="E3" s="105"/>
      <c r="F3" s="105"/>
      <c r="G3" s="105"/>
      <c r="H3" s="105"/>
      <c r="I3" s="105"/>
    </row>
    <row r="4" spans="1:9" ht="18.75" customHeight="1">
      <c r="A4" s="5"/>
      <c r="B4" s="5"/>
      <c r="C4" s="5"/>
      <c r="D4" s="5"/>
      <c r="E4" s="5"/>
      <c r="F4" s="5"/>
      <c r="G4" s="5"/>
      <c r="H4" s="5"/>
      <c r="I4" s="5"/>
    </row>
    <row r="5" spans="1:9" ht="18.75" customHeight="1">
      <c r="A5" s="1" t="s">
        <v>0</v>
      </c>
      <c r="B5" s="10" t="s">
        <v>94</v>
      </c>
      <c r="C5" s="5"/>
      <c r="D5" s="5"/>
      <c r="E5" s="5"/>
      <c r="F5" s="5"/>
      <c r="G5" s="5"/>
      <c r="H5" s="5"/>
      <c r="I5" s="5"/>
    </row>
    <row r="6" spans="1:9" ht="26.25" customHeight="1">
      <c r="A6" s="5"/>
      <c r="B6" s="236" t="s">
        <v>152</v>
      </c>
      <c r="C6" s="267"/>
      <c r="D6" s="267"/>
      <c r="E6" s="267"/>
      <c r="F6" s="267"/>
      <c r="G6" s="267"/>
      <c r="H6" s="268"/>
      <c r="I6" s="3"/>
    </row>
    <row r="7" spans="1:9" ht="9" customHeight="1">
      <c r="A7" s="5"/>
      <c r="B7" s="10"/>
      <c r="C7" s="10"/>
      <c r="D7" s="10"/>
      <c r="E7" s="10"/>
      <c r="F7" s="10"/>
      <c r="G7" s="10"/>
      <c r="H7" s="10"/>
      <c r="I7" s="3"/>
    </row>
    <row r="8" spans="1:9" ht="18.75" customHeight="1">
      <c r="A8" s="5"/>
      <c r="B8" s="3"/>
      <c r="C8" s="3"/>
      <c r="D8" s="35" t="s">
        <v>42</v>
      </c>
      <c r="E8" s="36" t="s">
        <v>134</v>
      </c>
      <c r="F8" s="3"/>
      <c r="G8" s="35" t="s">
        <v>10</v>
      </c>
      <c r="H8" s="36" t="s">
        <v>151</v>
      </c>
      <c r="I8" s="3"/>
    </row>
    <row r="9" spans="1:9" ht="7.5" customHeight="1">
      <c r="A9" s="5"/>
      <c r="B9" s="5"/>
      <c r="C9" s="5"/>
      <c r="D9" s="5"/>
      <c r="E9" s="5"/>
      <c r="F9" s="5"/>
      <c r="G9" s="5"/>
      <c r="H9" s="5"/>
      <c r="I9" s="5"/>
    </row>
    <row r="10" spans="1:9" ht="18.75" customHeight="1">
      <c r="A10" s="1" t="s">
        <v>3</v>
      </c>
      <c r="B10" s="1" t="s">
        <v>26</v>
      </c>
      <c r="C10" s="4"/>
      <c r="D10" s="4"/>
      <c r="E10" s="4"/>
      <c r="F10" s="4"/>
      <c r="G10" s="4"/>
      <c r="H10" s="4"/>
      <c r="I10" s="4"/>
    </row>
    <row r="11" spans="1:9" ht="18.75" customHeight="1">
      <c r="B11" s="94" t="s">
        <v>23</v>
      </c>
      <c r="C11" s="95"/>
      <c r="D11" s="96"/>
      <c r="E11" s="95" t="s">
        <v>25</v>
      </c>
      <c r="F11" s="95"/>
      <c r="G11" s="95"/>
      <c r="H11" s="95"/>
      <c r="I11" s="96"/>
    </row>
    <row r="12" spans="1:9" ht="26.25" customHeight="1">
      <c r="B12" s="50" t="s">
        <v>14</v>
      </c>
      <c r="C12" s="57"/>
      <c r="D12" s="51"/>
      <c r="E12" s="58"/>
      <c r="F12" s="58"/>
      <c r="G12" s="58"/>
      <c r="H12" s="58"/>
      <c r="I12" s="51"/>
    </row>
    <row r="13" spans="1:9" ht="210.75" customHeight="1">
      <c r="B13" s="52"/>
      <c r="C13" s="247" t="s">
        <v>131</v>
      </c>
      <c r="D13" s="248"/>
      <c r="E13" s="260" t="s">
        <v>166</v>
      </c>
      <c r="F13" s="249"/>
      <c r="G13" s="249"/>
      <c r="H13" s="249"/>
      <c r="I13" s="250"/>
    </row>
    <row r="14" spans="1:9" ht="210.75" customHeight="1">
      <c r="B14" s="52"/>
      <c r="C14" s="265" t="s">
        <v>15</v>
      </c>
      <c r="D14" s="266"/>
      <c r="E14" s="260" t="s">
        <v>167</v>
      </c>
      <c r="F14" s="249"/>
      <c r="G14" s="249"/>
      <c r="H14" s="249"/>
      <c r="I14" s="250"/>
    </row>
    <row r="15" spans="1:9" ht="210.75" customHeight="1">
      <c r="B15" s="52"/>
      <c r="C15" s="247" t="s">
        <v>16</v>
      </c>
      <c r="D15" s="248"/>
      <c r="E15" s="260" t="s">
        <v>171</v>
      </c>
      <c r="F15" s="249"/>
      <c r="G15" s="249"/>
      <c r="H15" s="249"/>
      <c r="I15" s="250"/>
    </row>
    <row r="16" spans="1:9" ht="210.75" customHeight="1">
      <c r="B16" s="52"/>
      <c r="C16" s="247" t="s">
        <v>17</v>
      </c>
      <c r="D16" s="248"/>
      <c r="E16" s="261" t="s">
        <v>180</v>
      </c>
      <c r="F16" s="262"/>
      <c r="G16" s="262"/>
      <c r="H16" s="262"/>
      <c r="I16" s="263"/>
    </row>
    <row r="17" spans="2:9" ht="210.75" customHeight="1">
      <c r="B17" s="53"/>
      <c r="C17" s="251" t="s">
        <v>18</v>
      </c>
      <c r="D17" s="252"/>
      <c r="E17" s="264" t="s">
        <v>176</v>
      </c>
      <c r="F17" s="253"/>
      <c r="G17" s="253"/>
      <c r="H17" s="253"/>
      <c r="I17" s="254"/>
    </row>
    <row r="18" spans="2:9" ht="24" customHeight="1">
      <c r="B18" s="50" t="s">
        <v>19</v>
      </c>
      <c r="C18" s="54"/>
      <c r="D18" s="55"/>
      <c r="E18" s="56"/>
      <c r="F18" s="56"/>
      <c r="G18" s="56"/>
      <c r="H18" s="56"/>
      <c r="I18" s="59"/>
    </row>
    <row r="19" spans="2:9" ht="218.25" customHeight="1">
      <c r="B19" s="52"/>
      <c r="C19" s="247" t="s">
        <v>20</v>
      </c>
      <c r="D19" s="248"/>
      <c r="E19" s="249" t="s">
        <v>132</v>
      </c>
      <c r="F19" s="249"/>
      <c r="G19" s="249"/>
      <c r="H19" s="249"/>
      <c r="I19" s="250"/>
    </row>
    <row r="20" spans="2:9" ht="218.25" customHeight="1">
      <c r="B20" s="53"/>
      <c r="C20" s="251" t="s">
        <v>21</v>
      </c>
      <c r="D20" s="252"/>
      <c r="E20" s="253" t="s">
        <v>179</v>
      </c>
      <c r="F20" s="253"/>
      <c r="G20" s="253"/>
      <c r="H20" s="253"/>
      <c r="I20" s="254"/>
    </row>
    <row r="21" spans="2:9" ht="218.25" customHeight="1">
      <c r="B21" s="255" t="s">
        <v>22</v>
      </c>
      <c r="C21" s="256"/>
      <c r="D21" s="257"/>
      <c r="E21" s="258" t="s">
        <v>172</v>
      </c>
      <c r="F21" s="258"/>
      <c r="G21" s="258"/>
      <c r="H21" s="258"/>
      <c r="I21" s="259"/>
    </row>
    <row r="22" spans="2:9" ht="218.25" customHeight="1">
      <c r="B22" s="242" t="s">
        <v>37</v>
      </c>
      <c r="C22" s="243"/>
      <c r="D22" s="244"/>
      <c r="E22" s="245" t="s">
        <v>133</v>
      </c>
      <c r="F22" s="245"/>
      <c r="G22" s="245"/>
      <c r="H22" s="245"/>
      <c r="I22" s="246"/>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5"/>
      <c r="C28" s="15"/>
      <c r="D28" s="15"/>
      <c r="E28" s="15"/>
      <c r="F28" s="15"/>
      <c r="G28" s="15"/>
      <c r="H28" s="15"/>
      <c r="I28" s="15"/>
    </row>
    <row r="29" spans="2:9" ht="22.5" customHeight="1">
      <c r="B29" s="15"/>
      <c r="C29" s="15"/>
      <c r="D29" s="15"/>
      <c r="E29" s="15"/>
      <c r="F29" s="15"/>
      <c r="G29" s="15"/>
      <c r="H29" s="15"/>
      <c r="I29" s="15"/>
    </row>
    <row r="30" spans="2:9" ht="22.5" customHeight="1">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57"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Chung Wookyung</cp:lastModifiedBy>
  <cp:lastPrinted>2023-02-27T05:46:39Z</cp:lastPrinted>
  <dcterms:created xsi:type="dcterms:W3CDTF">2011-06-14T05:32:50Z</dcterms:created>
  <dcterms:modified xsi:type="dcterms:W3CDTF">2023-05-07T21:27:17Z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