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https://d.docs.live.net/3d61da0272c3904e/デスクトップ/神奈川歯科大学/01_神奈川歯科大学_リテラシー/"/>
    </mc:Choice>
  </mc:AlternateContent>
  <xr:revisionPtr revIDLastSave="10" documentId="8_{2E539FB9-4D5F-46E4-9DA6-2FF7B3A12B43}" xr6:coauthVersionLast="36" xr6:coauthVersionMax="36" xr10:uidLastSave="{50C0CAD5-3D2D-44A3-89C5-F4434BE116A7}"/>
  <bookViews>
    <workbookView xWindow="0" yWindow="0" windowWidth="28800" windowHeight="117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<sst xmlns="http://schemas.openxmlformats.org/spreadsheetml/2006/main" count="311" uniqueCount="173">
  <si>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</si>
  <si>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</si>
  <si>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</si>
  <si>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</si>
  <si>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</si>
  <si>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</si>
  <si>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</si>
  <si>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</si>
  <si>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</si>
  <si>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</si>
  <si>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</si>
  <si>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</si>
  <si>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</si>
  <si>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</si>
  <si>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</si>
  <si>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</si>
  <si>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</si>
  <si>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</si>
  <si>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</si>
  <si>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</si>
  <si>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</si>
  <si>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</si>
  <si>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</si>
  <si>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</si>
  <si>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</si>
  <si>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</si>
  <si>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</si>
  <si>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</si>
  <si>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</si>
  <si>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</si>
  <si>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</si>
  <si>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</si>
  <si>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</si>
  <si>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</si>
  <si>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</si>
  <si>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</si>
  <si>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</si>
  <si>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</si>
  <si>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</si>
  <si>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</si>
  <si>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</si>
  <si>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</si>
  <si>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</si>
  <si>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</si>
  <si>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</si>
  <si>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</si>
  <si>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</si>
  <si>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</si>
  <si>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</si>
  <si>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</si>
  <si>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</si>
  <si>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</si>
  <si>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</si>
  <si>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</si>
  <si>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</si>
  <si>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</si>
  <si>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</si>
  <si>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</si>
  <si>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</si>
  <si>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</si>
  <si>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</si>
  <si>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</si>
  <si>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</si>
  <si>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</si>
  <si>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</si>
  <si>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</si>
  <si>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</si>
  <si>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</si>
  <si>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</si>
  <si>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</si>
  <si>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</si>
  <si>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</si>
  <si>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</si>
  <si>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</si>
  <si>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</si>
  <si>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</si>
  <si>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</si>
  <si>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</si>
  <si>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</si>
  <si>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</si>
  <si>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</si>
  <si>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</si>
  <si>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</si>
  <si>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</si>
  <si>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</si>
  <si>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</si>
  <si>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</si>
  <si>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</si>
  <si>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</si>
  <si>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</si>
  <si>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</si>
  <si>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</si>
  <si>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</si>
  <si>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</si>
  <si>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</si>
  <si>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</si>
  <si>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</si>
  <si>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</si>
  <si>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</si>
  <si>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</si>
  <si>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</si>
  <si>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</si>
  <si>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</si>
  <si>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</si>
  <si>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</si>
  <si>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</si>
  <si>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</si>
  <si>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</si>
  <si>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</si>
  <si>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</si>
  <si>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</si>
  <si>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</si>
  <si>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</si>
  <si>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</si>
  <si>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</si>
  <si>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</si>
  <si>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</si>
  <si>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</si>
  <si>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</si>
  <si>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</si>
  <si>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</si>
  <si>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</si>
  <si>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</si>
  <si>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</si>
  <si>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</si>
  <si>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</si>
  <si>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</si>
  <si>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神奈川歯科大学</t>
    <rPh sb="0" eb="7">
      <t>カナガワシカダイガク</t>
    </rPh>
    <phoneticPr fontId="1"/>
  </si>
  <si>
    <t>令和４</t>
    <rPh sb="0" eb="2">
      <t>レイワ</t>
    </rPh>
    <phoneticPr fontId="1"/>
  </si>
  <si>
    <t>歯学部</t>
    <rPh sb="0" eb="3">
      <t>シガクブ</t>
    </rPh>
    <phoneticPr fontId="1"/>
  </si>
  <si>
    <t>板宮朋基</t>
    <rPh sb="0" eb="1">
      <t>イタ</t>
    </rPh>
    <rPh sb="1" eb="2">
      <t>ミヤ</t>
    </rPh>
    <rPh sb="2" eb="3">
      <t>トモ</t>
    </rPh>
    <rPh sb="3" eb="4">
      <t>モトイ</t>
    </rPh>
    <phoneticPr fontId="1"/>
  </si>
  <si>
    <t>総合歯学教育学講座　教授</t>
    <rPh sb="0" eb="9">
      <t>ソウゴウシガクキョウイクガクコウザ</t>
    </rPh>
    <rPh sb="10" eb="12">
      <t>キョウジュ</t>
    </rPh>
    <phoneticPr fontId="1"/>
  </si>
  <si>
    <t>教育企画部</t>
    <rPh sb="0" eb="5">
      <t>キョウイクキカクブ</t>
    </rPh>
    <phoneticPr fontId="1"/>
  </si>
  <si>
    <t>加藤浩一</t>
    <rPh sb="0" eb="2">
      <t>カトウ</t>
    </rPh>
    <rPh sb="2" eb="4">
      <t>ヒロカズ</t>
    </rPh>
    <phoneticPr fontId="1"/>
  </si>
  <si>
    <t>教育企画部　部長</t>
    <rPh sb="0" eb="5">
      <t>キョウイクキカクブ</t>
    </rPh>
    <rPh sb="6" eb="8">
      <t>ブチョウ</t>
    </rPh>
    <phoneticPr fontId="1"/>
  </si>
  <si>
    <t>教育企画部規程</t>
    <rPh sb="0" eb="5">
      <t>キョウイクキカクブ</t>
    </rPh>
    <rPh sb="5" eb="7">
      <t>キテイ</t>
    </rPh>
    <phoneticPr fontId="1"/>
  </si>
  <si>
    <t>加藤浩一</t>
    <rPh sb="0" eb="4">
      <t>カトウヒロカズ</t>
    </rPh>
    <phoneticPr fontId="1"/>
  </si>
  <si>
    <t>本学では必修科目としいるが、ガイダンスにおいて授業評価アンケートや学年アンケート結果による評価を活用している。</t>
    <rPh sb="0" eb="2">
      <t>ホンガク</t>
    </rPh>
    <rPh sb="4" eb="8">
      <t>ヒッシュウカモク</t>
    </rPh>
    <rPh sb="23" eb="27">
      <t>ジュギョウヒョウカ</t>
    </rPh>
    <rPh sb="33" eb="35">
      <t>ガクネン</t>
    </rPh>
    <rPh sb="40" eb="42">
      <t>ケッカ</t>
    </rPh>
    <rPh sb="45" eb="47">
      <t>ヒョウカ</t>
    </rPh>
    <rPh sb="48" eb="50">
      <t>カツヨウ</t>
    </rPh>
    <phoneticPr fontId="1"/>
  </si>
  <si>
    <t>本学は歯学部歯学科のみの単科大学であり、本教育プログラムにおける授業課目は、令和４年度より一年生の必修科目としている。そのため５年後の令和９年度には全ての在学生が履修した状態となる予定である。</t>
    <rPh sb="0" eb="2">
      <t>ホンガク</t>
    </rPh>
    <rPh sb="3" eb="6">
      <t>シガクブ</t>
    </rPh>
    <rPh sb="6" eb="9">
      <t>シガクカ</t>
    </rPh>
    <rPh sb="12" eb="16">
      <t>タンカダイガク</t>
    </rPh>
    <rPh sb="20" eb="23">
      <t>ホンキョウイク</t>
    </rPh>
    <rPh sb="32" eb="34">
      <t>ジュギョウ</t>
    </rPh>
    <rPh sb="34" eb="36">
      <t>カモク</t>
    </rPh>
    <rPh sb="38" eb="40">
      <t>レイワ</t>
    </rPh>
    <rPh sb="41" eb="43">
      <t>ネンド</t>
    </rPh>
    <rPh sb="45" eb="48">
      <t>イチネンセイ</t>
    </rPh>
    <rPh sb="49" eb="51">
      <t>ヒッシュウ</t>
    </rPh>
    <rPh sb="51" eb="53">
      <t>カモク</t>
    </rPh>
    <rPh sb="64" eb="66">
      <t>ネンゴ</t>
    </rPh>
    <rPh sb="67" eb="69">
      <t>レイワ</t>
    </rPh>
    <rPh sb="70" eb="72">
      <t>ネンド</t>
    </rPh>
    <rPh sb="74" eb="75">
      <t>スベ</t>
    </rPh>
    <rPh sb="77" eb="78">
      <t>ザイ</t>
    </rPh>
    <rPh sb="78" eb="80">
      <t>ガクセイ</t>
    </rPh>
    <rPh sb="81" eb="83">
      <t>リシュウ</t>
    </rPh>
    <rPh sb="85" eb="87">
      <t>ジョウタイ</t>
    </rPh>
    <rPh sb="90" eb="92">
      <t>ヨテイ</t>
    </rPh>
    <phoneticPr fontId="1"/>
  </si>
  <si>
    <t>歯学部の学生として歯科に関連の深い内容を多く取り入れ興味を抱くようにしている。</t>
    <rPh sb="0" eb="3">
      <t>シガクブ</t>
    </rPh>
    <rPh sb="4" eb="6">
      <t>ガクセイ</t>
    </rPh>
    <rPh sb="9" eb="11">
      <t>シカ</t>
    </rPh>
    <rPh sb="12" eb="14">
      <t>カンレン</t>
    </rPh>
    <rPh sb="15" eb="16">
      <t>フカ</t>
    </rPh>
    <rPh sb="17" eb="19">
      <t>ナイヨウ</t>
    </rPh>
    <rPh sb="20" eb="21">
      <t>オオ</t>
    </rPh>
    <rPh sb="22" eb="23">
      <t>ト</t>
    </rPh>
    <rPh sb="24" eb="25">
      <t>イ</t>
    </rPh>
    <rPh sb="26" eb="28">
      <t>キョウミ</t>
    </rPh>
    <rPh sb="29" eb="30">
      <t>イダ</t>
    </rPh>
    <phoneticPr fontId="1"/>
  </si>
  <si>
    <t>一年生の履修が終了し令和５年度の講義も６月から開始する予定である。
卒後にどのように活かされるかにつては、卒後アンケートを実施して調査する予定である。</t>
    <rPh sb="0" eb="3">
      <t>イチネンセイ</t>
    </rPh>
    <rPh sb="4" eb="6">
      <t>リシュウ</t>
    </rPh>
    <rPh sb="7" eb="9">
      <t>シュウリョウ</t>
    </rPh>
    <rPh sb="10" eb="12">
      <t>レイワ</t>
    </rPh>
    <rPh sb="13" eb="15">
      <t>ネンド</t>
    </rPh>
    <rPh sb="16" eb="18">
      <t>コウギ</t>
    </rPh>
    <rPh sb="20" eb="21">
      <t>ガツ</t>
    </rPh>
    <rPh sb="23" eb="25">
      <t>カイシ</t>
    </rPh>
    <rPh sb="27" eb="29">
      <t>ヨテイ</t>
    </rPh>
    <rPh sb="34" eb="36">
      <t>ソツゴ</t>
    </rPh>
    <rPh sb="42" eb="43">
      <t>イ</t>
    </rPh>
    <rPh sb="53" eb="55">
      <t>ソツゴ</t>
    </rPh>
    <rPh sb="61" eb="63">
      <t>ジッシ</t>
    </rPh>
    <rPh sb="65" eb="67">
      <t>チョウサ</t>
    </rPh>
    <rPh sb="69" eb="71">
      <t>ヨテイ</t>
    </rPh>
    <phoneticPr fontId="1"/>
  </si>
  <si>
    <r>
      <t>令和４年度より一年生を対象に本プログラムを開始したが、休学者を除</t>
    </r>
    <r>
      <rPr>
        <sz val="12"/>
        <rFont val="ＭＳ Ｐゴシック"/>
        <family val="3"/>
        <charset val="128"/>
        <scheme val="minor"/>
      </rPr>
      <t>く107名が履修し、107名がプログラムを修了した。</t>
    </r>
    <rPh sb="0" eb="2">
      <t>レイワ</t>
    </rPh>
    <rPh sb="3" eb="5">
      <t>ネンド</t>
    </rPh>
    <rPh sb="7" eb="10">
      <t>イチネンセイ</t>
    </rPh>
    <rPh sb="11" eb="13">
      <t>タイショウ</t>
    </rPh>
    <rPh sb="14" eb="15">
      <t>ホン</t>
    </rPh>
    <rPh sb="21" eb="23">
      <t>カイシ</t>
    </rPh>
    <rPh sb="27" eb="30">
      <t>キュウガクシャ</t>
    </rPh>
    <rPh sb="31" eb="32">
      <t>ノゾ</t>
    </rPh>
    <rPh sb="36" eb="37">
      <t>メイ</t>
    </rPh>
    <rPh sb="38" eb="40">
      <t>リシュウ</t>
    </rPh>
    <rPh sb="45" eb="46">
      <t>メイ</t>
    </rPh>
    <rPh sb="53" eb="55">
      <t>シュウリョウ</t>
    </rPh>
    <phoneticPr fontId="1"/>
  </si>
  <si>
    <t>総合歯学教育学講座　　教授　板宮　朋基
総合歯学教育学講座　准教授　中野　亜希人
教育企画部　教授　加藤浩一
教育企画部　教授　香西雄介</t>
    <rPh sb="0" eb="9">
      <t>ソウゴウシガクキョウイクガクコウザ</t>
    </rPh>
    <rPh sb="11" eb="13">
      <t>キョウジュ</t>
    </rPh>
    <rPh sb="14" eb="16">
      <t>イタミヤ</t>
    </rPh>
    <rPh sb="17" eb="18">
      <t>トモ</t>
    </rPh>
    <rPh sb="18" eb="19">
      <t>モトイ</t>
    </rPh>
    <rPh sb="20" eb="29">
      <t>ソウゴウシガクキョウイクガクコウザ</t>
    </rPh>
    <rPh sb="30" eb="33">
      <t>ジュンキョウジュ</t>
    </rPh>
    <rPh sb="34" eb="36">
      <t>ナカノ</t>
    </rPh>
    <rPh sb="37" eb="38">
      <t>ア</t>
    </rPh>
    <rPh sb="39" eb="40">
      <t>ヒト</t>
    </rPh>
    <rPh sb="41" eb="46">
      <t>キョウイクキカクブ</t>
    </rPh>
    <rPh sb="47" eb="49">
      <t>キョウジュ</t>
    </rPh>
    <rPh sb="50" eb="52">
      <t>カトウ</t>
    </rPh>
    <rPh sb="52" eb="54">
      <t>コウイチ</t>
    </rPh>
    <rPh sb="55" eb="60">
      <t>キョウイクキカクブ</t>
    </rPh>
    <rPh sb="61" eb="63">
      <t>キョウジュ</t>
    </rPh>
    <rPh sb="64" eb="66">
      <t>コウザイ</t>
    </rPh>
    <rPh sb="66" eb="68">
      <t>ユウスケ</t>
    </rPh>
    <phoneticPr fontId="1"/>
  </si>
  <si>
    <t>本学は歯学部歯学科のみの単科大学であり、このプログラムは歯科医師、歯科医学研究者としてデジタル社会の進展に対応できる情報通信技術の育成を目指して取り入れた全学生必修の科目としている。
また、次年度に向けて、短期大学部の看護学科および歯科衛生学科の学生を積極的に受け入れるようにプラットフォーム化を構築している。</t>
    <rPh sb="0" eb="2">
      <t>ホンガク</t>
    </rPh>
    <rPh sb="3" eb="6">
      <t>シガクブ</t>
    </rPh>
    <rPh sb="6" eb="9">
      <t>シガクカ</t>
    </rPh>
    <rPh sb="12" eb="16">
      <t>タンカダイガク</t>
    </rPh>
    <rPh sb="28" eb="32">
      <t>シカイシ</t>
    </rPh>
    <rPh sb="33" eb="35">
      <t>シカ</t>
    </rPh>
    <rPh sb="35" eb="37">
      <t>イガク</t>
    </rPh>
    <rPh sb="37" eb="40">
      <t>ケンキュウシャ</t>
    </rPh>
    <rPh sb="47" eb="49">
      <t>シャカイ</t>
    </rPh>
    <rPh sb="50" eb="52">
      <t>シンテン</t>
    </rPh>
    <rPh sb="53" eb="55">
      <t>タイオウ</t>
    </rPh>
    <rPh sb="58" eb="60">
      <t>ジョウホウ</t>
    </rPh>
    <rPh sb="60" eb="62">
      <t>ツウシン</t>
    </rPh>
    <rPh sb="62" eb="64">
      <t>ギジュツ</t>
    </rPh>
    <rPh sb="65" eb="67">
      <t>イクセイ</t>
    </rPh>
    <rPh sb="68" eb="70">
      <t>メザ</t>
    </rPh>
    <rPh sb="72" eb="73">
      <t>ト</t>
    </rPh>
    <rPh sb="74" eb="75">
      <t>イ</t>
    </rPh>
    <rPh sb="77" eb="80">
      <t>ゼンガクセイ</t>
    </rPh>
    <rPh sb="80" eb="82">
      <t>ヒッシュウ</t>
    </rPh>
    <rPh sb="83" eb="85">
      <t>カモク</t>
    </rPh>
    <phoneticPr fontId="1"/>
  </si>
  <si>
    <t>本学は歯学部歯学科のみの単科大学であり、このプログラムは全学生必修の科目としている。本プルグラムの履修は進級要件となっており、すべての学生が履修する。これらの内容は入学時ガイダンス及びキャンパスガイドにて周知している。
また授業科目のシラバスは、数理・データサイエンス・AI（リテラシーレベル）に即した授業内容で組み立てている。</t>
    <rPh sb="0" eb="2">
      <t>ホンガク</t>
    </rPh>
    <rPh sb="3" eb="6">
      <t>シガクブ</t>
    </rPh>
    <rPh sb="6" eb="9">
      <t>シガクカ</t>
    </rPh>
    <rPh sb="12" eb="16">
      <t>タンカダイガク</t>
    </rPh>
    <rPh sb="28" eb="31">
      <t>ゼンガクセイ</t>
    </rPh>
    <rPh sb="31" eb="33">
      <t>ヒッシュウ</t>
    </rPh>
    <rPh sb="34" eb="36">
      <t>カモク</t>
    </rPh>
    <rPh sb="42" eb="43">
      <t>ホン</t>
    </rPh>
    <rPh sb="49" eb="51">
      <t>リシュウ</t>
    </rPh>
    <rPh sb="52" eb="54">
      <t>シンキュウ</t>
    </rPh>
    <rPh sb="54" eb="56">
      <t>ヨウケン</t>
    </rPh>
    <rPh sb="67" eb="69">
      <t>ガクセイ</t>
    </rPh>
    <rPh sb="70" eb="72">
      <t>リシュウ</t>
    </rPh>
    <rPh sb="79" eb="81">
      <t>ナイヨウ</t>
    </rPh>
    <rPh sb="82" eb="85">
      <t>ニュウガクジ</t>
    </rPh>
    <rPh sb="90" eb="91">
      <t>オヨ</t>
    </rPh>
    <rPh sb="102" eb="104">
      <t>シュウチ</t>
    </rPh>
    <rPh sb="112" eb="114">
      <t>ジュギョウ</t>
    </rPh>
    <rPh sb="114" eb="116">
      <t>カモク</t>
    </rPh>
    <rPh sb="123" eb="125">
      <t>スウリ</t>
    </rPh>
    <rPh sb="148" eb="149">
      <t>ソク</t>
    </rPh>
    <rPh sb="151" eb="153">
      <t>ジュギョウ</t>
    </rPh>
    <rPh sb="153" eb="155">
      <t>ナイヨウ</t>
    </rPh>
    <rPh sb="156" eb="157">
      <t>ク</t>
    </rPh>
    <rPh sb="158" eb="159">
      <t>タ</t>
    </rPh>
    <phoneticPr fontId="1"/>
  </si>
  <si>
    <t>本教育プログラムは、学習支援システム（オンライン講義用LMS）を活用して、事前に講義資料を配信し予習できるようにしている。また、当日の講義もオンデマンド配信しており、学生の理解度に応じ、自己学修ができるように環境を整備している。
また、担当教員のオフィスアワーを周知し、指導・質問を受ける体制がある。担当教員以外にも、学年担任が適宜面談を行っている。さらに、教育企画部、教務部、学生部、学生相談室がそれぞれ相談窓口を設置しており、科目の履修に関する内容や心理的な負担に対するサポート体制を構築している。</t>
    <rPh sb="0" eb="3">
      <t>ホンキョウイク</t>
    </rPh>
    <rPh sb="10" eb="14">
      <t>ガクシュウシエン</t>
    </rPh>
    <rPh sb="24" eb="26">
      <t>コウギ</t>
    </rPh>
    <rPh sb="26" eb="27">
      <t>ヨウ</t>
    </rPh>
    <rPh sb="32" eb="34">
      <t>カツヨウ</t>
    </rPh>
    <rPh sb="37" eb="39">
      <t>ジゼン</t>
    </rPh>
    <rPh sb="40" eb="42">
      <t>コウギ</t>
    </rPh>
    <rPh sb="42" eb="44">
      <t>シリョウ</t>
    </rPh>
    <rPh sb="45" eb="47">
      <t>ハイシン</t>
    </rPh>
    <rPh sb="48" eb="50">
      <t>ヨシュウ</t>
    </rPh>
    <rPh sb="64" eb="66">
      <t>トウジツ</t>
    </rPh>
    <rPh sb="67" eb="69">
      <t>コウギ</t>
    </rPh>
    <rPh sb="76" eb="78">
      <t>ハイシン</t>
    </rPh>
    <rPh sb="83" eb="85">
      <t>ガクセイ</t>
    </rPh>
    <rPh sb="86" eb="89">
      <t>リカイド</t>
    </rPh>
    <rPh sb="90" eb="91">
      <t>オウ</t>
    </rPh>
    <rPh sb="93" eb="97">
      <t>ジコガクシュウ</t>
    </rPh>
    <rPh sb="104" eb="106">
      <t>カンキョウ</t>
    </rPh>
    <rPh sb="107" eb="109">
      <t>セイビ</t>
    </rPh>
    <rPh sb="118" eb="122">
      <t>タントウキョウイン</t>
    </rPh>
    <rPh sb="131" eb="133">
      <t>シュウチ</t>
    </rPh>
    <rPh sb="135" eb="137">
      <t>シドウ</t>
    </rPh>
    <rPh sb="138" eb="140">
      <t>シツモン</t>
    </rPh>
    <rPh sb="141" eb="142">
      <t>ウ</t>
    </rPh>
    <rPh sb="144" eb="146">
      <t>タイセイ</t>
    </rPh>
    <rPh sb="150" eb="154">
      <t>タントウキョウイン</t>
    </rPh>
    <rPh sb="154" eb="156">
      <t>イガイ</t>
    </rPh>
    <rPh sb="159" eb="163">
      <t>ガクネンタンニン</t>
    </rPh>
    <rPh sb="164" eb="166">
      <t>テキギ</t>
    </rPh>
    <rPh sb="166" eb="168">
      <t>メンダン</t>
    </rPh>
    <rPh sb="169" eb="170">
      <t>オコナ</t>
    </rPh>
    <rPh sb="179" eb="184">
      <t>キョウイクキカクブ</t>
    </rPh>
    <rPh sb="185" eb="188">
      <t>キョウムブ</t>
    </rPh>
    <rPh sb="189" eb="192">
      <t>ガクセイブ</t>
    </rPh>
    <rPh sb="193" eb="198">
      <t>ガクセイソウダンシツ</t>
    </rPh>
    <rPh sb="203" eb="207">
      <t>ソウダンマドクチ</t>
    </rPh>
    <rPh sb="208" eb="210">
      <t>セッチ</t>
    </rPh>
    <rPh sb="215" eb="217">
      <t>カモク</t>
    </rPh>
    <rPh sb="218" eb="220">
      <t>リシュウ</t>
    </rPh>
    <rPh sb="221" eb="222">
      <t>カン</t>
    </rPh>
    <rPh sb="224" eb="226">
      <t>ナイヨウ</t>
    </rPh>
    <rPh sb="227" eb="230">
      <t>シンリテキ</t>
    </rPh>
    <rPh sb="231" eb="233">
      <t>フタン</t>
    </rPh>
    <rPh sb="234" eb="235">
      <t>タイ</t>
    </rPh>
    <rPh sb="241" eb="243">
      <t>タイセイ</t>
    </rPh>
    <rPh sb="244" eb="246">
      <t>コウチク</t>
    </rPh>
    <phoneticPr fontId="1"/>
  </si>
  <si>
    <t>シラバス等を通じて担当教員のオフィスアワーを学生に周知しており、質問のある学生に対し　個別に指導できる体制をとっている。さらに、担当教員のメールアドレスも公開しており、メールでの質問も常時受け付けている。
また講義後にレポート提出を行い、履修進捗状況を確認し、フィードバックしている。</t>
    <rPh sb="4" eb="5">
      <t>トウ</t>
    </rPh>
    <rPh sb="6" eb="7">
      <t>ツウ</t>
    </rPh>
    <rPh sb="9" eb="13">
      <t>タントウキョウイン</t>
    </rPh>
    <rPh sb="22" eb="24">
      <t>ガクセイ</t>
    </rPh>
    <rPh sb="25" eb="27">
      <t>シュウチ</t>
    </rPh>
    <rPh sb="32" eb="34">
      <t>シツモン</t>
    </rPh>
    <rPh sb="37" eb="39">
      <t>ガクセイ</t>
    </rPh>
    <rPh sb="40" eb="41">
      <t>タイ</t>
    </rPh>
    <rPh sb="43" eb="45">
      <t>コベツ</t>
    </rPh>
    <rPh sb="46" eb="48">
      <t>シドウ</t>
    </rPh>
    <rPh sb="51" eb="53">
      <t>タイセイ</t>
    </rPh>
    <rPh sb="64" eb="68">
      <t>タントウキョウイン</t>
    </rPh>
    <rPh sb="77" eb="79">
      <t>コウカイ</t>
    </rPh>
    <rPh sb="89" eb="91">
      <t>シツモン</t>
    </rPh>
    <rPh sb="92" eb="94">
      <t>ジョウジ</t>
    </rPh>
    <rPh sb="94" eb="95">
      <t>ウ</t>
    </rPh>
    <rPh sb="96" eb="97">
      <t>ツ</t>
    </rPh>
    <rPh sb="105" eb="107">
      <t>コウギ</t>
    </rPh>
    <rPh sb="107" eb="108">
      <t>ゴ</t>
    </rPh>
    <rPh sb="113" eb="115">
      <t>テイシュツ</t>
    </rPh>
    <rPh sb="116" eb="117">
      <t>オコナ</t>
    </rPh>
    <rPh sb="119" eb="121">
      <t>リシュウ</t>
    </rPh>
    <rPh sb="121" eb="123">
      <t>シンチョク</t>
    </rPh>
    <rPh sb="123" eb="125">
      <t>ジョウキョウ</t>
    </rPh>
    <rPh sb="126" eb="128">
      <t>カクニン</t>
    </rPh>
    <phoneticPr fontId="1"/>
  </si>
  <si>
    <t>教育企画部は、本学における教育に係る戦略的な意思決定を行うための学長直轄組織である。学生協働により各種教育内容を見直し、大学における教育の高度化を達成することを目的としている。業務の実施については、総合歯学教育学講座との協働によって運用している。
本学では１～６年生までの全科目を４つのコース「神奈川歯科大学固有系」「咬合医療系」「社会と歯科医療系」「生命科学口腔病態系」に分けている。本プログラムは、総合歯学教育学講座の教員が科目担当責任者として担当する科目であり、「神川歯科大学固有系」に属している。教育企画部構成員を含む3名の「神奈川歯科大学固有系」コース責任者が、本プログラムの授業内容や履修状況をチェックし、改善・進化を図っている。
手法としては、オンデマンド配信を確認、更には学生による授業評価アンケートや学年アンケート等を用い、収集した情報を分析、深く掘り下げPCDAサイクルを回している。</t>
    <rPh sb="0" eb="5">
      <t>キョウイクキカクブ</t>
    </rPh>
    <rPh sb="53" eb="55">
      <t>ナイヨウ</t>
    </rPh>
    <rPh sb="73" eb="75">
      <t>タッセイ</t>
    </rPh>
    <rPh sb="80" eb="82">
      <t>モクテキ</t>
    </rPh>
    <rPh sb="124" eb="126">
      <t>ホンガク</t>
    </rPh>
    <rPh sb="131" eb="133">
      <t>ネンセイ</t>
    </rPh>
    <rPh sb="136" eb="139">
      <t>ゼンカモク</t>
    </rPh>
    <rPh sb="147" eb="154">
      <t>カナガワシカダイガク</t>
    </rPh>
    <rPh sb="154" eb="157">
      <t>コユウケイ</t>
    </rPh>
    <rPh sb="159" eb="161">
      <t>コウゴウ</t>
    </rPh>
    <rPh sb="161" eb="164">
      <t>イリョウケイ</t>
    </rPh>
    <rPh sb="166" eb="168">
      <t>シャカイ</t>
    </rPh>
    <rPh sb="169" eb="171">
      <t>シカ</t>
    </rPh>
    <rPh sb="171" eb="173">
      <t>イリョウ</t>
    </rPh>
    <rPh sb="173" eb="174">
      <t>ケイ</t>
    </rPh>
    <rPh sb="176" eb="180">
      <t>セイメイカガク</t>
    </rPh>
    <rPh sb="180" eb="182">
      <t>コウクウ</t>
    </rPh>
    <rPh sb="182" eb="185">
      <t>ビョウタイケイ</t>
    </rPh>
    <rPh sb="187" eb="188">
      <t>ワ</t>
    </rPh>
    <rPh sb="193" eb="194">
      <t>ホン</t>
    </rPh>
    <rPh sb="252" eb="257">
      <t>キョウイクキカクブ</t>
    </rPh>
    <rPh sb="257" eb="260">
      <t>コウセイイン</t>
    </rPh>
    <rPh sb="261" eb="262">
      <t>フク</t>
    </rPh>
    <rPh sb="264" eb="265">
      <t>メイ</t>
    </rPh>
    <rPh sb="267" eb="274">
      <t>カナガワシカダイガク</t>
    </rPh>
    <rPh sb="274" eb="277">
      <t>コユウケイ</t>
    </rPh>
    <rPh sb="281" eb="284">
      <t>セキニンシャ</t>
    </rPh>
    <rPh sb="286" eb="287">
      <t>ホン</t>
    </rPh>
    <rPh sb="293" eb="297">
      <t>ジュギョウナイヨウ</t>
    </rPh>
    <rPh sb="298" eb="302">
      <t>リシュウジョウキョウ</t>
    </rPh>
    <rPh sb="322" eb="324">
      <t>シュホウ</t>
    </rPh>
    <rPh sb="335" eb="337">
      <t>ハイシン</t>
    </rPh>
    <rPh sb="338" eb="340">
      <t>カクニン</t>
    </rPh>
    <rPh sb="341" eb="342">
      <t>サラ</t>
    </rPh>
    <rPh sb="344" eb="346">
      <t>ガクセイ</t>
    </rPh>
    <rPh sb="349" eb="353">
      <t>ジュギョウヒョウカ</t>
    </rPh>
    <rPh sb="359" eb="361">
      <t>ガクネン</t>
    </rPh>
    <rPh sb="366" eb="367">
      <t>トウ</t>
    </rPh>
    <rPh sb="368" eb="369">
      <t>モチ</t>
    </rPh>
    <rPh sb="371" eb="373">
      <t>シュウシュウ</t>
    </rPh>
    <rPh sb="375" eb="377">
      <t>ジョウホウ</t>
    </rPh>
    <rPh sb="378" eb="380">
      <t>ブンセキ</t>
    </rPh>
    <rPh sb="381" eb="382">
      <t>フカ</t>
    </rPh>
    <rPh sb="383" eb="384">
      <t>ホ</t>
    </rPh>
    <rPh sb="385" eb="386">
      <t>サ</t>
    </rPh>
    <rPh sb="396" eb="397">
      <t>マワ</t>
    </rPh>
    <phoneticPr fontId="1"/>
  </si>
  <si>
    <t>本プログラムは歯学部１年生の必修科目として実施され、本科目の履修が進級に必須であるため、歯学部１年生は全員履修することになる。
入学後に実施されるガイダンスにて、本プログラムのシラバスを周知し、スムースに導入・履修されるような体制を構築している。
具体的には、数理・データサイエンス・AIの科目としては、先ずは「データサイエンスとAIの役割」、「デジタルとアナログ・デジタルと歯科」を導入として学び、次に確率や統計、データ分析について計１２コマ履修する。
シームレスに繋がる科目として更に情報リテラシー科目を取り入れ、プログラミング入門やデータ分析等を計６コマ履修する。</t>
    <rPh sb="0" eb="1">
      <t>ホン</t>
    </rPh>
    <rPh sb="7" eb="10">
      <t>シガクブ</t>
    </rPh>
    <rPh sb="11" eb="13">
      <t>ネンセイ</t>
    </rPh>
    <rPh sb="14" eb="18">
      <t>ヒッシュウカモク</t>
    </rPh>
    <rPh sb="21" eb="23">
      <t>ジッシ</t>
    </rPh>
    <rPh sb="26" eb="29">
      <t>ホンカモク</t>
    </rPh>
    <rPh sb="30" eb="32">
      <t>リシュウ</t>
    </rPh>
    <rPh sb="33" eb="35">
      <t>シンキュウ</t>
    </rPh>
    <rPh sb="36" eb="38">
      <t>ヒッス</t>
    </rPh>
    <rPh sb="44" eb="47">
      <t>シガクブ</t>
    </rPh>
    <rPh sb="48" eb="50">
      <t>ネンセイ</t>
    </rPh>
    <rPh sb="51" eb="53">
      <t>ゼンイン</t>
    </rPh>
    <rPh sb="53" eb="55">
      <t>リシュウ</t>
    </rPh>
    <rPh sb="64" eb="67">
      <t>ニュウガクゴ</t>
    </rPh>
    <rPh sb="68" eb="70">
      <t>ジッシ</t>
    </rPh>
    <rPh sb="81" eb="82">
      <t>ホン</t>
    </rPh>
    <rPh sb="93" eb="95">
      <t>シュウチ</t>
    </rPh>
    <rPh sb="102" eb="104">
      <t>ドウニュウ</t>
    </rPh>
    <rPh sb="105" eb="107">
      <t>リシュウ</t>
    </rPh>
    <rPh sb="113" eb="115">
      <t>タイセイ</t>
    </rPh>
    <rPh sb="116" eb="118">
      <t>コウチク</t>
    </rPh>
    <rPh sb="124" eb="127">
      <t>グタイテキ</t>
    </rPh>
    <rPh sb="130" eb="132">
      <t>スウリ</t>
    </rPh>
    <rPh sb="145" eb="147">
      <t>カモク</t>
    </rPh>
    <rPh sb="152" eb="153">
      <t>マ</t>
    </rPh>
    <rPh sb="168" eb="170">
      <t>ヤクワリ</t>
    </rPh>
    <rPh sb="188" eb="190">
      <t>シカ</t>
    </rPh>
    <rPh sb="192" eb="194">
      <t>ドウニュウ</t>
    </rPh>
    <rPh sb="197" eb="198">
      <t>マナ</t>
    </rPh>
    <rPh sb="200" eb="201">
      <t>ツギ</t>
    </rPh>
    <rPh sb="202" eb="204">
      <t>カクリツ</t>
    </rPh>
    <rPh sb="205" eb="207">
      <t>トウケイ</t>
    </rPh>
    <rPh sb="211" eb="213">
      <t>ブンセキ</t>
    </rPh>
    <rPh sb="217" eb="218">
      <t>ケイ</t>
    </rPh>
    <rPh sb="222" eb="224">
      <t>リシュウ</t>
    </rPh>
    <rPh sb="234" eb="235">
      <t>ツナ</t>
    </rPh>
    <rPh sb="237" eb="239">
      <t>カモク</t>
    </rPh>
    <rPh sb="242" eb="243">
      <t>サラ</t>
    </rPh>
    <rPh sb="244" eb="246">
      <t>ジョウホウ</t>
    </rPh>
    <rPh sb="251" eb="253">
      <t>カモク</t>
    </rPh>
    <rPh sb="254" eb="255">
      <t>ト</t>
    </rPh>
    <rPh sb="256" eb="257">
      <t>イ</t>
    </rPh>
    <rPh sb="266" eb="268">
      <t>ニュウモン</t>
    </rPh>
    <rPh sb="272" eb="274">
      <t>ブンセキ</t>
    </rPh>
    <rPh sb="274" eb="275">
      <t>トウ</t>
    </rPh>
    <rPh sb="276" eb="277">
      <t>ケイ</t>
    </rPh>
    <rPh sb="280" eb="282">
      <t>リシュウ</t>
    </rPh>
    <phoneticPr fontId="1"/>
  </si>
  <si>
    <t>各授業では毎回レポート提出を課した。
とくに歯学部ということもあり「デジタルとアナログ・デジタルと歯科」の講義において、日本デジタル歯科学会や日本顎顔面再建先進デジタルテクノロジー学会を例に上げて、AIによる診断支援に触れ、興味を示していた。
また、学生全員が授業を通じて基礎的なプログラミングを行えるようになり、一定にリテラシーを獲得することができた。</t>
    <rPh sb="0" eb="1">
      <t>カク</t>
    </rPh>
    <rPh sb="1" eb="3">
      <t>ジュギョウ</t>
    </rPh>
    <rPh sb="5" eb="7">
      <t>マイカイ</t>
    </rPh>
    <rPh sb="11" eb="13">
      <t>テイシュツ</t>
    </rPh>
    <rPh sb="14" eb="15">
      <t>カ</t>
    </rPh>
    <rPh sb="22" eb="25">
      <t>シガクブ</t>
    </rPh>
    <rPh sb="49" eb="51">
      <t>シカ</t>
    </rPh>
    <rPh sb="53" eb="55">
      <t>コウギ</t>
    </rPh>
    <rPh sb="60" eb="62">
      <t>ニホン</t>
    </rPh>
    <rPh sb="66" eb="68">
      <t>シカ</t>
    </rPh>
    <rPh sb="68" eb="70">
      <t>ガッカイ</t>
    </rPh>
    <rPh sb="71" eb="73">
      <t>ニホン</t>
    </rPh>
    <rPh sb="73" eb="74">
      <t>ガク</t>
    </rPh>
    <rPh sb="74" eb="76">
      <t>ガンメン</t>
    </rPh>
    <rPh sb="76" eb="78">
      <t>サイケン</t>
    </rPh>
    <rPh sb="78" eb="80">
      <t>センシン</t>
    </rPh>
    <rPh sb="90" eb="92">
      <t>ガッカイ</t>
    </rPh>
    <rPh sb="93" eb="94">
      <t>レイ</t>
    </rPh>
    <rPh sb="95" eb="96">
      <t>ア</t>
    </rPh>
    <rPh sb="104" eb="106">
      <t>シンダン</t>
    </rPh>
    <rPh sb="106" eb="108">
      <t>シエン</t>
    </rPh>
    <rPh sb="109" eb="110">
      <t>フ</t>
    </rPh>
    <rPh sb="112" eb="114">
      <t>キョウミ</t>
    </rPh>
    <rPh sb="115" eb="116">
      <t>シメ</t>
    </rPh>
    <phoneticPr fontId="1"/>
  </si>
  <si>
    <t>授業の最後に学生全員に対し授業評価アンケートを実施している。
また、授業ごとに課しているレポートを行うことで講義の振り返りが出来たことにより、リテラシーレベルの理解度には十分達していると思われる。
一方、プログラミングについては、数理・データサイエンス・AIのセカンドレベルとして情報リテラシーにて履修し段階を踏んで理解しやすいよう教えている。</t>
    <rPh sb="0" eb="2">
      <t>ジュギョウ</t>
    </rPh>
    <rPh sb="3" eb="5">
      <t>サイゴ</t>
    </rPh>
    <rPh sb="6" eb="8">
      <t>ガクセイ</t>
    </rPh>
    <rPh sb="8" eb="10">
      <t>ゼンイン</t>
    </rPh>
    <rPh sb="11" eb="12">
      <t>タイ</t>
    </rPh>
    <rPh sb="13" eb="17">
      <t>ジュギョウヒョウカ</t>
    </rPh>
    <rPh sb="23" eb="25">
      <t>ジッシ</t>
    </rPh>
    <rPh sb="34" eb="36">
      <t>ジュギョウ</t>
    </rPh>
    <rPh sb="39" eb="40">
      <t>カ</t>
    </rPh>
    <rPh sb="49" eb="50">
      <t>オコナ</t>
    </rPh>
    <rPh sb="54" eb="56">
      <t>コウギ</t>
    </rPh>
    <rPh sb="57" eb="58">
      <t>フ</t>
    </rPh>
    <rPh sb="59" eb="60">
      <t>カエ</t>
    </rPh>
    <rPh sb="62" eb="64">
      <t>デキ</t>
    </rPh>
    <rPh sb="80" eb="83">
      <t>リカイド</t>
    </rPh>
    <rPh sb="85" eb="87">
      <t>ジュウブン</t>
    </rPh>
    <rPh sb="87" eb="88">
      <t>タッ</t>
    </rPh>
    <rPh sb="93" eb="94">
      <t>オモ</t>
    </rPh>
    <rPh sb="99" eb="101">
      <t>イッポウ</t>
    </rPh>
    <rPh sb="115" eb="117">
      <t>スウリ</t>
    </rPh>
    <rPh sb="140" eb="142">
      <t>ジョウホウ</t>
    </rPh>
    <rPh sb="149" eb="151">
      <t>リシュウ</t>
    </rPh>
    <rPh sb="152" eb="154">
      <t>ダンカイ</t>
    </rPh>
    <rPh sb="155" eb="156">
      <t>フ</t>
    </rPh>
    <rPh sb="158" eb="160">
      <t>リカイ</t>
    </rPh>
    <rPh sb="166" eb="167">
      <t>オシ</t>
    </rPh>
    <phoneticPr fontId="1"/>
  </si>
  <si>
    <t>歯科医療に関わるデータを扱うことで学生が興味を持てるようにしている。
演習形式の授業やグループワークを積極的に取り入れ、学生が主体的に学修できるような授業を行えるように取り組んでいる。</t>
    <rPh sb="0" eb="4">
      <t>シカイリョウ</t>
    </rPh>
    <rPh sb="5" eb="6">
      <t>カカ</t>
    </rPh>
    <rPh sb="12" eb="13">
      <t>アツカ</t>
    </rPh>
    <rPh sb="17" eb="19">
      <t>ガクセイ</t>
    </rPh>
    <rPh sb="20" eb="22">
      <t>キョウミ</t>
    </rPh>
    <rPh sb="23" eb="24">
      <t>モ</t>
    </rPh>
    <rPh sb="35" eb="37">
      <t>エンシュウ</t>
    </rPh>
    <rPh sb="37" eb="39">
      <t>ケイシキ</t>
    </rPh>
    <rPh sb="40" eb="42">
      <t>ジュギョウ</t>
    </rPh>
    <rPh sb="51" eb="54">
      <t>セッキョクテキ</t>
    </rPh>
    <rPh sb="55" eb="56">
      <t>ト</t>
    </rPh>
    <rPh sb="57" eb="58">
      <t>イ</t>
    </rPh>
    <rPh sb="60" eb="62">
      <t>ガクセイ</t>
    </rPh>
    <rPh sb="63" eb="66">
      <t>シュタイテキ</t>
    </rPh>
    <rPh sb="67" eb="69">
      <t>ガクシュウ</t>
    </rPh>
    <rPh sb="75" eb="77">
      <t>ジュギョウ</t>
    </rPh>
    <rPh sb="78" eb="79">
      <t>オコナ</t>
    </rPh>
    <rPh sb="84" eb="85">
      <t>ト</t>
    </rPh>
    <rPh sb="86" eb="87">
      <t>ク</t>
    </rPh>
    <phoneticPr fontId="1"/>
  </si>
  <si>
    <t>数理・データサイエンス・AI教育プログラム</t>
    <rPh sb="0" eb="2">
      <t>スウリ</t>
    </rPh>
    <rPh sb="14" eb="16">
      <t>キョウイク</t>
    </rPh>
    <phoneticPr fontId="1"/>
  </si>
  <si>
    <t>数理・データサイエンス・AI</t>
    <phoneticPr fontId="1"/>
  </si>
  <si>
    <t>○</t>
  </si>
  <si>
    <t>「数理・データサイエンス・AI」、「情報リテラシー」、「歯学のための数学・物理」の単位を取得すること。</t>
    <rPh sb="18" eb="20">
      <t>ジョウホウ</t>
    </rPh>
    <rPh sb="28" eb="30">
      <t>シガク</t>
    </rPh>
    <rPh sb="34" eb="36">
      <t>スウガク</t>
    </rPh>
    <rPh sb="37" eb="39">
      <t>ブツリ</t>
    </rPh>
    <rPh sb="41" eb="43">
      <t>タンイ</t>
    </rPh>
    <rPh sb="44" eb="46">
      <t>シュトク</t>
    </rPh>
    <phoneticPr fontId="1"/>
  </si>
  <si>
    <t>情報リテラシー</t>
    <rPh sb="0" eb="2">
      <t>ジョウホウ</t>
    </rPh>
    <phoneticPr fontId="1"/>
  </si>
  <si>
    <t>情報リテラシー</t>
    <phoneticPr fontId="1"/>
  </si>
  <si>
    <t>歯学のための数学・物理</t>
    <phoneticPr fontId="1"/>
  </si>
  <si>
    <t>歯科医師・歯科医学研究者として必須の数理的思考、表現および科学的思考法およびデータサイエンスとAIの基礎を修得できる。具体的なデータを用いて実践する方法として、Pythonプログラムの基礎やMicrosoft Excelを用いた統計分析の手法を修得できる。</t>
    <rPh sb="53" eb="55">
      <t>シュウトク</t>
    </rPh>
    <rPh sb="59" eb="62">
      <t>グタイテキ</t>
    </rPh>
    <rPh sb="67" eb="68">
      <t>モチ</t>
    </rPh>
    <rPh sb="70" eb="72">
      <t>ジッセン</t>
    </rPh>
    <rPh sb="74" eb="76">
      <t>ホウホウ</t>
    </rPh>
    <rPh sb="92" eb="94">
      <t>キソ</t>
    </rPh>
    <rPh sb="111" eb="112">
      <t>モチ</t>
    </rPh>
    <rPh sb="114" eb="118">
      <t>トウケイブンセキ</t>
    </rPh>
    <rPh sb="119" eb="121">
      <t>シュホウ</t>
    </rPh>
    <rPh sb="122" eb="124">
      <t>シュウトク</t>
    </rPh>
    <phoneticPr fontId="1"/>
  </si>
  <si>
    <t>各種医療系学会において、成果の発表を予定している。また今後、企業とも意見交換する予定である。</t>
    <rPh sb="0" eb="2">
      <t>カクシュ</t>
    </rPh>
    <rPh sb="2" eb="5">
      <t>イリョウケイ</t>
    </rPh>
    <rPh sb="5" eb="7">
      <t>ガッカイ</t>
    </rPh>
    <rPh sb="12" eb="14">
      <t>セイカ</t>
    </rPh>
    <rPh sb="15" eb="17">
      <t>ハッピョウ</t>
    </rPh>
    <rPh sb="18" eb="20">
      <t>ヨテイ</t>
    </rPh>
    <rPh sb="27" eb="29">
      <t>コンゴ</t>
    </rPh>
    <rPh sb="30" eb="32">
      <t>キギョウ</t>
    </rPh>
    <rPh sb="34" eb="36">
      <t>イケン</t>
    </rPh>
    <rPh sb="36" eb="38">
      <t>コウカン</t>
    </rPh>
    <rPh sb="40" eb="42">
      <t>ヨテイ</t>
    </rPh>
    <phoneticPr fontId="1"/>
  </si>
  <si>
    <t>学部・学科によって、修了要件は相違しない</t>
  </si>
  <si>
    <t>「数理・データサイエンス・AI」(1回目)
・ELSI（Ethical,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・データ・AI活用における負の事例紹介</t>
    <phoneticPr fontId="1"/>
  </si>
  <si>
    <t>「情報リテラシー」(2回目)
・情報セキュリティ：機密性、完全性、可用性
・匿名加工情報、暗号化、パスワード、悪意ある情報搾取
・情報漏洩等によるセキュリティ事故の事例紹介</t>
    <rPh sb="16" eb="18">
      <t>ジョウホウ</t>
    </rPh>
    <rPh sb="25" eb="27">
      <t>キミツ</t>
    </rPh>
    <rPh sb="27" eb="28">
      <t>セイ</t>
    </rPh>
    <rPh sb="29" eb="32">
      <t>カンゼンセイ</t>
    </rPh>
    <rPh sb="33" eb="36">
      <t>カヨウセイ</t>
    </rPh>
    <rPh sb="38" eb="40">
      <t>トクメイ</t>
    </rPh>
    <rPh sb="40" eb="42">
      <t>カコウ</t>
    </rPh>
    <rPh sb="42" eb="44">
      <t>ジョウホウ</t>
    </rPh>
    <rPh sb="45" eb="48">
      <t>アンゴウカ</t>
    </rPh>
    <rPh sb="55" eb="57">
      <t>アクイ</t>
    </rPh>
    <rPh sb="59" eb="63">
      <t>ジョウホウサクシュ</t>
    </rPh>
    <rPh sb="65" eb="70">
      <t>ジョウホウロウエイトウ</t>
    </rPh>
    <rPh sb="79" eb="81">
      <t>ジコ</t>
    </rPh>
    <rPh sb="82" eb="86">
      <t>ジレイショウカイ</t>
    </rPh>
    <phoneticPr fontId="1"/>
  </si>
  <si>
    <t>「数理・データサイエンス・AI」(3～12回目)
・データの集計（和、平均）
・データの並び替え、ランキング
・データ解析ツール（スプレッドシート）
・表形式のデータ（csv）
・代表値の性質の違い（実社会では平均値＝最頻値でないことが多い）
・データのばらつき（分散、標準偏差、偏差値）
・観測データに含まれる誤差の扱い
・打ち切りや脱落を含むデータ、層別の必要なデータ
・相関と因果（相関係数、擬似相関、交絡）
・母集団と標本抽出（国勢調査、アンケート調査、全数調査、単純無作為抽出、層別抽出、多段抽出）
・クロス集計表、分割表、相関係数行列、散布図行列
・統計情報の正しい理解（誇張表現に惑わされない）</t>
    <phoneticPr fontId="1"/>
  </si>
  <si>
    <t>「数理・データサイエンス・AI」(1回目)
・ビッグデータ、IoT、AI、ロボット
・データ量の増加、計算機の処理性能の向上、AIの非連続的進化
・第4次産業革命、Society 5.0、データ駆動型社会
・複数技術を組み合わせたAIサービス
・人間の知的活動とAIの関係性
・データを起点としたものの見方、人間の知的活動を起点としたものの見方</t>
    <phoneticPr fontId="1"/>
  </si>
  <si>
    <t>「情報リテラシー」(1回目)
・AI等を活用した新しいビジネスモデル(シェアリングエコノミー、商品のレコメンデーションなど)
・AI最新技術の活用例（深層生成モデル、敵対的生成ネットワーク、強化学習、転移学習など）</t>
    <phoneticPr fontId="1"/>
  </si>
  <si>
    <t>「数理・データサイエンス・AI」(2回目)
・調査データ、実験データ、人の行動ログデータ、機械の稼働ログデータなど
・1次データ、2次データ、データのメタ化
・構造化データ、非構造化データ（文章、画像/動画、音声/音楽など）
・データ作成（ビッグデータとアノテーション）
・データのオープン化（オープンデータ）</t>
    <phoneticPr fontId="1"/>
  </si>
  <si>
    <t>「情報リテラシー」(5回目)
・データ・AI活用領域の広がり(生産、消費、文化活動など)
・研究開発、調達、製造、物流、販売、マーケティング、サービスなど
・仮説検証、知識発見、原因究明、計画策定、判断支援、活動代替、新規生成など</t>
    <phoneticPr fontId="1"/>
  </si>
  <si>
    <t>「数理・データサイエンス・AI」(2回目)
・データ解析：予測、グルーピング、パターン発見、最適化、シミュレーション・データ同化など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t>
    <rPh sb="1" eb="3">
      <t>スウリ</t>
    </rPh>
    <rPh sb="18" eb="19">
      <t>カイ</t>
    </rPh>
    <rPh sb="19" eb="20">
      <t>メ</t>
    </rPh>
    <phoneticPr fontId="1"/>
  </si>
  <si>
    <t>「情報リテラシー」(3～4回目)
・データサイエンスのサイクル（課題抽出と定式化、データの取得・管理・加工、
探索的データ解析、データ解析と推論、結果の共有・伝達、課題解決に向けた提案）
・流通、製造、金融、サービス、インフラ、公共、ヘルスケア等におけるデータ・AI利活用事例紹介</t>
    <rPh sb="1" eb="3">
      <t>ジョウホウ</t>
    </rPh>
    <rPh sb="13" eb="15">
      <t>カイメ</t>
    </rPh>
    <phoneticPr fontId="1"/>
  </si>
  <si>
    <t>「情報リテラシー」(6回目)
・データ表現（棒グラフ、折線グラフ、散布図、ヒートマップ）
・データの図表表現（チャート化）
・データの比較（条件をそろえた比較、処理の前後での比較、A/Bテスト)
・不適切なグラフ表現（チャートジャンク、不必要な視覚的要素）
・優れた可視化事例の紹介（可視化することによって新たな気づきがあった事例など）</t>
    <phoneticPr fontId="1"/>
  </si>
  <si>
    <t>「歯学のための数学・物理」(1回目)
・データの集計（和、平均）
・データの並び替え、ランキング
・データ解析ツール（スプレッドシート）</t>
    <rPh sb="15" eb="17">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</si>
</sst>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88" zoomScaleNormal="100" zoomScaleSheetLayoutView="100" workbookViewId="0">
      <selection activeCell="B102" sqref="B102:S10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1" t="s">
        <v>12</v>
      </c>
      <c r="S1" s="101"/>
      <c r="T1" s="2" t="s">
        <v>110</v>
      </c>
    </row>
    <row r="2" spans="1:22" ht="18.75" customHeight="1" x14ac:dyDescent="0.15">
      <c r="B2" s="34" t="s">
        <v>109</v>
      </c>
      <c r="C2" s="94" t="s">
        <v>127</v>
      </c>
      <c r="D2" s="95"/>
      <c r="E2" s="95"/>
      <c r="F2" s="95"/>
      <c r="G2" s="95"/>
      <c r="H2" s="95"/>
      <c r="I2" s="96"/>
      <c r="J2" s="35"/>
      <c r="K2" s="6"/>
      <c r="L2" s="6"/>
      <c r="M2" s="6"/>
      <c r="N2" s="6"/>
      <c r="O2" s="6"/>
      <c r="P2" s="6"/>
      <c r="Q2" s="6"/>
      <c r="R2" s="6"/>
      <c r="S2" s="6"/>
    </row>
    <row r="3" spans="1:22" ht="18.75" customHeight="1" x14ac:dyDescent="0.15">
      <c r="B3" s="34" t="s">
        <v>103</v>
      </c>
      <c r="C3" s="94" t="s">
        <v>152</v>
      </c>
      <c r="D3" s="95"/>
      <c r="E3" s="95"/>
      <c r="F3" s="95"/>
      <c r="G3" s="95"/>
      <c r="H3" s="95"/>
      <c r="I3" s="96"/>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5" t="s">
        <v>39</v>
      </c>
      <c r="B5" s="105"/>
      <c r="C5" s="105"/>
      <c r="D5" s="105"/>
      <c r="E5" s="105"/>
      <c r="F5" s="105"/>
      <c r="G5" s="105"/>
      <c r="H5" s="105"/>
      <c r="I5" s="105"/>
      <c r="J5" s="105"/>
      <c r="K5" s="105"/>
      <c r="L5" s="105"/>
      <c r="M5" s="105"/>
      <c r="N5" s="105"/>
      <c r="O5" s="105"/>
      <c r="P5" s="105"/>
      <c r="Q5" s="105"/>
      <c r="R5" s="105"/>
      <c r="S5" s="10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15" t="s">
        <v>161</v>
      </c>
      <c r="L7" s="116"/>
      <c r="M7" s="116"/>
      <c r="N7" s="116"/>
      <c r="O7" s="116"/>
      <c r="P7" s="116"/>
      <c r="Q7" s="116"/>
      <c r="R7" s="116"/>
      <c r="S7" s="11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2"/>
      <c r="C9" s="83"/>
      <c r="D9" s="83"/>
      <c r="E9" s="83"/>
      <c r="F9" s="83"/>
      <c r="G9" s="83"/>
      <c r="H9" s="83"/>
      <c r="I9" s="83"/>
      <c r="J9" s="83"/>
      <c r="K9" s="83"/>
      <c r="L9" s="83"/>
      <c r="M9" s="83"/>
      <c r="N9" s="83"/>
      <c r="O9" s="83"/>
      <c r="P9" s="83"/>
      <c r="Q9" s="83"/>
      <c r="R9" s="83"/>
      <c r="S9" s="84"/>
    </row>
    <row r="10" spans="1:22" ht="18" customHeight="1" x14ac:dyDescent="0.15">
      <c r="B10" s="85"/>
      <c r="C10" s="86"/>
      <c r="D10" s="86"/>
      <c r="E10" s="86"/>
      <c r="F10" s="86"/>
      <c r="G10" s="86"/>
      <c r="H10" s="86"/>
      <c r="I10" s="86"/>
      <c r="J10" s="86"/>
      <c r="K10" s="86"/>
      <c r="L10" s="86"/>
      <c r="M10" s="86"/>
      <c r="N10" s="86"/>
      <c r="O10" s="86"/>
      <c r="P10" s="86"/>
      <c r="Q10" s="86"/>
      <c r="R10" s="86"/>
      <c r="S10" s="8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06" t="s">
        <v>155</v>
      </c>
      <c r="C13" s="107"/>
      <c r="D13" s="107"/>
      <c r="E13" s="107"/>
      <c r="F13" s="107"/>
      <c r="G13" s="107"/>
      <c r="H13" s="107"/>
      <c r="I13" s="107"/>
      <c r="J13" s="107"/>
      <c r="K13" s="107"/>
      <c r="L13" s="107"/>
      <c r="M13" s="107"/>
      <c r="N13" s="107"/>
      <c r="O13" s="107"/>
      <c r="P13" s="107"/>
      <c r="Q13" s="107"/>
      <c r="R13" s="107"/>
      <c r="S13" s="108"/>
      <c r="V13" s="1" t="s">
        <v>104</v>
      </c>
    </row>
    <row r="14" spans="1:22" ht="18" customHeight="1" x14ac:dyDescent="0.15">
      <c r="B14" s="109"/>
      <c r="C14" s="110"/>
      <c r="D14" s="110"/>
      <c r="E14" s="110"/>
      <c r="F14" s="110"/>
      <c r="G14" s="110"/>
      <c r="H14" s="110"/>
      <c r="I14" s="110"/>
      <c r="J14" s="110"/>
      <c r="K14" s="110"/>
      <c r="L14" s="110"/>
      <c r="M14" s="110"/>
      <c r="N14" s="110"/>
      <c r="O14" s="110"/>
      <c r="P14" s="110"/>
      <c r="Q14" s="110"/>
      <c r="R14" s="110"/>
      <c r="S14" s="111"/>
      <c r="V14" s="1" t="s">
        <v>111</v>
      </c>
    </row>
    <row r="15" spans="1:22" ht="18" customHeight="1" x14ac:dyDescent="0.15">
      <c r="B15" s="109"/>
      <c r="C15" s="110"/>
      <c r="D15" s="110"/>
      <c r="E15" s="110"/>
      <c r="F15" s="110"/>
      <c r="G15" s="110"/>
      <c r="H15" s="110"/>
      <c r="I15" s="110"/>
      <c r="J15" s="110"/>
      <c r="K15" s="110"/>
      <c r="L15" s="110"/>
      <c r="M15" s="110"/>
      <c r="N15" s="110"/>
      <c r="O15" s="110"/>
      <c r="P15" s="110"/>
      <c r="Q15" s="110"/>
      <c r="R15" s="110"/>
      <c r="S15" s="111"/>
      <c r="V15" s="1" t="s">
        <v>124</v>
      </c>
    </row>
    <row r="16" spans="1:22" ht="18" customHeight="1" x14ac:dyDescent="0.15">
      <c r="B16" s="109"/>
      <c r="C16" s="110"/>
      <c r="D16" s="110"/>
      <c r="E16" s="110"/>
      <c r="F16" s="110"/>
      <c r="G16" s="110"/>
      <c r="H16" s="110"/>
      <c r="I16" s="110"/>
      <c r="J16" s="110"/>
      <c r="K16" s="110"/>
      <c r="L16" s="110"/>
      <c r="M16" s="110"/>
      <c r="N16" s="110"/>
      <c r="O16" s="110"/>
      <c r="P16" s="110"/>
      <c r="Q16" s="110"/>
      <c r="R16" s="110"/>
      <c r="S16" s="111"/>
      <c r="V16" s="1" t="s">
        <v>126</v>
      </c>
    </row>
    <row r="17" spans="1:19" ht="18" customHeight="1" x14ac:dyDescent="0.15">
      <c r="B17" s="109"/>
      <c r="C17" s="110"/>
      <c r="D17" s="110"/>
      <c r="E17" s="110"/>
      <c r="F17" s="110"/>
      <c r="G17" s="110"/>
      <c r="H17" s="110"/>
      <c r="I17" s="110"/>
      <c r="J17" s="110"/>
      <c r="K17" s="110"/>
      <c r="L17" s="110"/>
      <c r="M17" s="110"/>
      <c r="N17" s="110"/>
      <c r="O17" s="110"/>
      <c r="P17" s="110"/>
      <c r="Q17" s="110"/>
      <c r="R17" s="110"/>
      <c r="S17" s="111"/>
    </row>
    <row r="18" spans="1:19" ht="18" customHeight="1" x14ac:dyDescent="0.15">
      <c r="B18" s="112"/>
      <c r="C18" s="113"/>
      <c r="D18" s="113"/>
      <c r="E18" s="113"/>
      <c r="F18" s="113"/>
      <c r="G18" s="113"/>
      <c r="H18" s="113"/>
      <c r="I18" s="113"/>
      <c r="J18" s="113"/>
      <c r="K18" s="113"/>
      <c r="L18" s="113"/>
      <c r="M18" s="113"/>
      <c r="N18" s="113"/>
      <c r="O18" s="113"/>
      <c r="P18" s="113"/>
      <c r="Q18" s="113"/>
      <c r="R18" s="113"/>
      <c r="S18" s="11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4">
        <v>2.2000000000000002</v>
      </c>
      <c r="D20" s="96"/>
      <c r="E20" s="40" t="s">
        <v>96</v>
      </c>
      <c r="G20" s="10"/>
      <c r="H20" s="3"/>
      <c r="I20" s="3"/>
      <c r="J20" s="35" t="s">
        <v>122</v>
      </c>
      <c r="K20" s="102" t="s">
        <v>111</v>
      </c>
      <c r="L20" s="103"/>
      <c r="M20" s="103"/>
      <c r="N20" s="103"/>
      <c r="O20" s="103"/>
      <c r="P20" s="103"/>
      <c r="Q20" s="103"/>
      <c r="R20" s="103"/>
      <c r="S20" s="10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4" t="s">
        <v>54</v>
      </c>
      <c r="C24" s="95"/>
      <c r="D24" s="95"/>
      <c r="E24" s="96"/>
      <c r="F24" s="61" t="s">
        <v>81</v>
      </c>
      <c r="G24" s="60" t="s">
        <v>85</v>
      </c>
      <c r="H24" s="22" t="s">
        <v>57</v>
      </c>
      <c r="I24" s="22" t="s">
        <v>60</v>
      </c>
      <c r="J24" s="94" t="s">
        <v>54</v>
      </c>
      <c r="K24" s="95"/>
      <c r="L24" s="95"/>
      <c r="M24" s="95"/>
      <c r="N24" s="95"/>
      <c r="O24" s="96"/>
      <c r="P24" s="61" t="s">
        <v>81</v>
      </c>
      <c r="Q24" s="60" t="s">
        <v>85</v>
      </c>
      <c r="R24" s="22" t="s">
        <v>57</v>
      </c>
      <c r="S24" s="22" t="s">
        <v>60</v>
      </c>
    </row>
    <row r="25" spans="1:19" ht="18" customHeight="1" x14ac:dyDescent="0.15">
      <c r="B25" s="98" t="s">
        <v>153</v>
      </c>
      <c r="C25" s="99"/>
      <c r="D25" s="99"/>
      <c r="E25" s="100"/>
      <c r="F25" s="23">
        <v>0.9</v>
      </c>
      <c r="G25" s="23" t="s">
        <v>154</v>
      </c>
      <c r="H25" s="23" t="s">
        <v>154</v>
      </c>
      <c r="I25" s="23"/>
      <c r="J25" s="98"/>
      <c r="K25" s="99"/>
      <c r="L25" s="99"/>
      <c r="M25" s="99"/>
      <c r="N25" s="99"/>
      <c r="O25" s="100"/>
      <c r="P25" s="23"/>
      <c r="Q25" s="23"/>
      <c r="R25" s="23"/>
      <c r="S25" s="23"/>
    </row>
    <row r="26" spans="1:19" ht="18" customHeight="1" x14ac:dyDescent="0.15">
      <c r="B26" s="88" t="s">
        <v>156</v>
      </c>
      <c r="C26" s="89"/>
      <c r="D26" s="89"/>
      <c r="E26" s="90"/>
      <c r="F26" s="24">
        <v>0.4</v>
      </c>
      <c r="G26" s="24" t="s">
        <v>154</v>
      </c>
      <c r="H26" s="24"/>
      <c r="I26" s="24" t="s">
        <v>154</v>
      </c>
      <c r="J26" s="88"/>
      <c r="K26" s="89"/>
      <c r="L26" s="89"/>
      <c r="M26" s="89"/>
      <c r="N26" s="89"/>
      <c r="O26" s="90"/>
      <c r="P26" s="24"/>
      <c r="Q26" s="24"/>
      <c r="R26" s="24"/>
      <c r="S26" s="24"/>
    </row>
    <row r="27" spans="1:19" ht="18" customHeight="1" x14ac:dyDescent="0.15">
      <c r="B27" s="88"/>
      <c r="C27" s="89"/>
      <c r="D27" s="89"/>
      <c r="E27" s="90"/>
      <c r="F27" s="24"/>
      <c r="G27" s="24"/>
      <c r="H27" s="24"/>
      <c r="I27" s="24"/>
      <c r="J27" s="88"/>
      <c r="K27" s="89"/>
      <c r="L27" s="89"/>
      <c r="M27" s="89"/>
      <c r="N27" s="89"/>
      <c r="O27" s="90"/>
      <c r="P27" s="24"/>
      <c r="Q27" s="24"/>
      <c r="R27" s="24"/>
      <c r="S27" s="24"/>
    </row>
    <row r="28" spans="1:19" ht="18" customHeight="1" x14ac:dyDescent="0.15">
      <c r="B28" s="88"/>
      <c r="C28" s="89"/>
      <c r="D28" s="89"/>
      <c r="E28" s="90"/>
      <c r="F28" s="24"/>
      <c r="G28" s="24"/>
      <c r="H28" s="24"/>
      <c r="I28" s="24"/>
      <c r="J28" s="88"/>
      <c r="K28" s="89"/>
      <c r="L28" s="89"/>
      <c r="M28" s="89"/>
      <c r="N28" s="89"/>
      <c r="O28" s="90"/>
      <c r="P28" s="24"/>
      <c r="Q28" s="24"/>
      <c r="R28" s="24"/>
      <c r="S28" s="24"/>
    </row>
    <row r="29" spans="1:19" ht="18" customHeight="1" x14ac:dyDescent="0.15">
      <c r="B29" s="88"/>
      <c r="C29" s="89"/>
      <c r="D29" s="89"/>
      <c r="E29" s="90"/>
      <c r="F29" s="24"/>
      <c r="G29" s="24"/>
      <c r="H29" s="24"/>
      <c r="I29" s="24"/>
      <c r="J29" s="88"/>
      <c r="K29" s="89"/>
      <c r="L29" s="89"/>
      <c r="M29" s="89"/>
      <c r="N29" s="89"/>
      <c r="O29" s="90"/>
      <c r="P29" s="24"/>
      <c r="Q29" s="24"/>
      <c r="R29" s="24"/>
      <c r="S29" s="24"/>
    </row>
    <row r="30" spans="1:19" ht="18" customHeight="1" x14ac:dyDescent="0.15">
      <c r="A30" s="3"/>
      <c r="B30" s="88"/>
      <c r="C30" s="89"/>
      <c r="D30" s="89"/>
      <c r="E30" s="90"/>
      <c r="F30" s="24"/>
      <c r="G30" s="24"/>
      <c r="H30" s="24"/>
      <c r="I30" s="24"/>
      <c r="J30" s="88"/>
      <c r="K30" s="89"/>
      <c r="L30" s="89"/>
      <c r="M30" s="89"/>
      <c r="N30" s="89"/>
      <c r="O30" s="90"/>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4" t="s">
        <v>54</v>
      </c>
      <c r="C35" s="95"/>
      <c r="D35" s="95"/>
      <c r="E35" s="96"/>
      <c r="F35" s="61" t="s">
        <v>81</v>
      </c>
      <c r="G35" s="60" t="s">
        <v>85</v>
      </c>
      <c r="H35" s="22" t="s">
        <v>72</v>
      </c>
      <c r="I35" s="22" t="s">
        <v>73</v>
      </c>
      <c r="J35" s="94" t="s">
        <v>54</v>
      </c>
      <c r="K35" s="95"/>
      <c r="L35" s="95"/>
      <c r="M35" s="95"/>
      <c r="N35" s="95"/>
      <c r="O35" s="96"/>
      <c r="P35" s="61" t="s">
        <v>81</v>
      </c>
      <c r="Q35" s="60" t="s">
        <v>85</v>
      </c>
      <c r="R35" s="22" t="s">
        <v>72</v>
      </c>
      <c r="S35" s="22" t="s">
        <v>73</v>
      </c>
    </row>
    <row r="36" spans="1:19" ht="18" customHeight="1" x14ac:dyDescent="0.15">
      <c r="B36" s="98" t="s">
        <v>153</v>
      </c>
      <c r="C36" s="99"/>
      <c r="D36" s="99"/>
      <c r="E36" s="100"/>
      <c r="F36" s="23">
        <v>0.9</v>
      </c>
      <c r="G36" s="23" t="s">
        <v>154</v>
      </c>
      <c r="H36" s="23" t="s">
        <v>154</v>
      </c>
      <c r="I36" s="23"/>
      <c r="J36" s="98"/>
      <c r="K36" s="99"/>
      <c r="L36" s="99"/>
      <c r="M36" s="99"/>
      <c r="N36" s="99"/>
      <c r="O36" s="100"/>
      <c r="P36" s="23"/>
      <c r="Q36" s="23"/>
      <c r="R36" s="23"/>
      <c r="S36" s="23"/>
    </row>
    <row r="37" spans="1:19" ht="18" customHeight="1" x14ac:dyDescent="0.15">
      <c r="B37" s="88" t="s">
        <v>156</v>
      </c>
      <c r="C37" s="89"/>
      <c r="D37" s="89"/>
      <c r="E37" s="90"/>
      <c r="F37" s="24">
        <v>0.4</v>
      </c>
      <c r="G37" s="24" t="s">
        <v>154</v>
      </c>
      <c r="H37" s="24"/>
      <c r="I37" s="24" t="s">
        <v>154</v>
      </c>
      <c r="J37" s="88"/>
      <c r="K37" s="89"/>
      <c r="L37" s="89"/>
      <c r="M37" s="89"/>
      <c r="N37" s="89"/>
      <c r="O37" s="90"/>
      <c r="P37" s="24"/>
      <c r="Q37" s="24"/>
      <c r="R37" s="24"/>
      <c r="S37" s="24"/>
    </row>
    <row r="38" spans="1:19" ht="18" customHeight="1" x14ac:dyDescent="0.15">
      <c r="B38" s="88"/>
      <c r="C38" s="89"/>
      <c r="D38" s="89"/>
      <c r="E38" s="90"/>
      <c r="F38" s="24"/>
      <c r="G38" s="24"/>
      <c r="H38" s="24"/>
      <c r="I38" s="24"/>
      <c r="J38" s="88"/>
      <c r="K38" s="89"/>
      <c r="L38" s="89"/>
      <c r="M38" s="89"/>
      <c r="N38" s="89"/>
      <c r="O38" s="90"/>
      <c r="P38" s="24"/>
      <c r="Q38" s="24"/>
      <c r="R38" s="24"/>
      <c r="S38" s="24"/>
    </row>
    <row r="39" spans="1:19" ht="18" customHeight="1" x14ac:dyDescent="0.15">
      <c r="B39" s="88"/>
      <c r="C39" s="89"/>
      <c r="D39" s="89"/>
      <c r="E39" s="90"/>
      <c r="F39" s="24"/>
      <c r="G39" s="24"/>
      <c r="H39" s="24"/>
      <c r="I39" s="24"/>
      <c r="J39" s="88"/>
      <c r="K39" s="89"/>
      <c r="L39" s="89"/>
      <c r="M39" s="89"/>
      <c r="N39" s="89"/>
      <c r="O39" s="90"/>
      <c r="P39" s="24"/>
      <c r="Q39" s="24"/>
      <c r="R39" s="24"/>
      <c r="S39" s="24"/>
    </row>
    <row r="40" spans="1:19" ht="18" customHeight="1" x14ac:dyDescent="0.15">
      <c r="B40" s="88"/>
      <c r="C40" s="89"/>
      <c r="D40" s="89"/>
      <c r="E40" s="90"/>
      <c r="F40" s="24"/>
      <c r="G40" s="24"/>
      <c r="H40" s="24"/>
      <c r="I40" s="24"/>
      <c r="J40" s="88"/>
      <c r="K40" s="89"/>
      <c r="L40" s="89"/>
      <c r="M40" s="89"/>
      <c r="N40" s="89"/>
      <c r="O40" s="90"/>
      <c r="P40" s="24"/>
      <c r="Q40" s="24"/>
      <c r="R40" s="24"/>
      <c r="S40" s="24"/>
    </row>
    <row r="41" spans="1:19" ht="18" customHeight="1" x14ac:dyDescent="0.15">
      <c r="B41" s="88"/>
      <c r="C41" s="89"/>
      <c r="D41" s="89"/>
      <c r="E41" s="90"/>
      <c r="F41" s="24"/>
      <c r="G41" s="24"/>
      <c r="H41" s="24"/>
      <c r="I41" s="24"/>
      <c r="J41" s="88"/>
      <c r="K41" s="89"/>
      <c r="L41" s="89"/>
      <c r="M41" s="89"/>
      <c r="N41" s="89"/>
      <c r="O41" s="90"/>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4" t="s">
        <v>54</v>
      </c>
      <c r="C46" s="95"/>
      <c r="D46" s="95"/>
      <c r="E46" s="96"/>
      <c r="F46" s="61" t="s">
        <v>81</v>
      </c>
      <c r="G46" s="60" t="s">
        <v>85</v>
      </c>
      <c r="H46" s="22" t="s">
        <v>74</v>
      </c>
      <c r="I46" s="22" t="s">
        <v>75</v>
      </c>
      <c r="J46" s="94" t="s">
        <v>54</v>
      </c>
      <c r="K46" s="95"/>
      <c r="L46" s="95"/>
      <c r="M46" s="95"/>
      <c r="N46" s="95"/>
      <c r="O46" s="96"/>
      <c r="P46" s="61" t="s">
        <v>81</v>
      </c>
      <c r="Q46" s="60" t="s">
        <v>85</v>
      </c>
      <c r="R46" s="22" t="s">
        <v>74</v>
      </c>
      <c r="S46" s="22" t="s">
        <v>75</v>
      </c>
    </row>
    <row r="47" spans="1:19" ht="18" customHeight="1" x14ac:dyDescent="0.15">
      <c r="A47" s="3"/>
      <c r="B47" s="98" t="s">
        <v>153</v>
      </c>
      <c r="C47" s="99"/>
      <c r="D47" s="99"/>
      <c r="E47" s="100"/>
      <c r="F47" s="23">
        <v>0.9</v>
      </c>
      <c r="G47" s="23" t="s">
        <v>154</v>
      </c>
      <c r="H47" s="23" t="s">
        <v>154</v>
      </c>
      <c r="I47" s="23"/>
      <c r="J47" s="98"/>
      <c r="K47" s="99"/>
      <c r="L47" s="99"/>
      <c r="M47" s="99"/>
      <c r="N47" s="99"/>
      <c r="O47" s="100"/>
      <c r="P47" s="23"/>
      <c r="Q47" s="23"/>
      <c r="R47" s="23"/>
      <c r="S47" s="23"/>
    </row>
    <row r="48" spans="1:19" ht="18" customHeight="1" x14ac:dyDescent="0.15">
      <c r="A48" s="3"/>
      <c r="B48" s="88" t="s">
        <v>156</v>
      </c>
      <c r="C48" s="89"/>
      <c r="D48" s="89"/>
      <c r="E48" s="90"/>
      <c r="F48" s="24">
        <v>0.4</v>
      </c>
      <c r="G48" s="24" t="s">
        <v>154</v>
      </c>
      <c r="H48" s="24"/>
      <c r="I48" s="24" t="s">
        <v>154</v>
      </c>
      <c r="J48" s="88"/>
      <c r="K48" s="89"/>
      <c r="L48" s="89"/>
      <c r="M48" s="89"/>
      <c r="N48" s="89"/>
      <c r="O48" s="90"/>
      <c r="P48" s="24"/>
      <c r="Q48" s="24"/>
      <c r="R48" s="24"/>
      <c r="S48" s="24"/>
    </row>
    <row r="49" spans="1:19" ht="18" customHeight="1" x14ac:dyDescent="0.15">
      <c r="A49" s="3"/>
      <c r="B49" s="88"/>
      <c r="C49" s="89"/>
      <c r="D49" s="89"/>
      <c r="E49" s="90"/>
      <c r="F49" s="24"/>
      <c r="G49" s="24"/>
      <c r="H49" s="24"/>
      <c r="I49" s="24"/>
      <c r="J49" s="88"/>
      <c r="K49" s="89"/>
      <c r="L49" s="89"/>
      <c r="M49" s="89"/>
      <c r="N49" s="89"/>
      <c r="O49" s="90"/>
      <c r="P49" s="24"/>
      <c r="Q49" s="24"/>
      <c r="R49" s="24"/>
      <c r="S49" s="24"/>
    </row>
    <row r="50" spans="1:19" ht="18" customHeight="1" x14ac:dyDescent="0.15">
      <c r="A50" s="3"/>
      <c r="B50" s="88"/>
      <c r="C50" s="89"/>
      <c r="D50" s="89"/>
      <c r="E50" s="90"/>
      <c r="F50" s="24"/>
      <c r="G50" s="24"/>
      <c r="H50" s="24"/>
      <c r="I50" s="24"/>
      <c r="J50" s="88"/>
      <c r="K50" s="89"/>
      <c r="L50" s="89"/>
      <c r="M50" s="89"/>
      <c r="N50" s="89"/>
      <c r="O50" s="90"/>
      <c r="P50" s="24"/>
      <c r="Q50" s="24"/>
      <c r="R50" s="24"/>
      <c r="S50" s="24"/>
    </row>
    <row r="51" spans="1:19" ht="18" customHeight="1" x14ac:dyDescent="0.15">
      <c r="A51" s="3"/>
      <c r="B51" s="88"/>
      <c r="C51" s="89"/>
      <c r="D51" s="89"/>
      <c r="E51" s="90"/>
      <c r="F51" s="24"/>
      <c r="G51" s="24"/>
      <c r="H51" s="24"/>
      <c r="I51" s="24"/>
      <c r="J51" s="88"/>
      <c r="K51" s="89"/>
      <c r="L51" s="89"/>
      <c r="M51" s="89"/>
      <c r="N51" s="89"/>
      <c r="O51" s="90"/>
      <c r="P51" s="24"/>
      <c r="Q51" s="24"/>
      <c r="R51" s="24"/>
      <c r="S51" s="24"/>
    </row>
    <row r="52" spans="1:19" ht="18" customHeight="1" x14ac:dyDescent="0.15">
      <c r="A52" s="3"/>
      <c r="B52" s="88"/>
      <c r="C52" s="89"/>
      <c r="D52" s="89"/>
      <c r="E52" s="90"/>
      <c r="F52" s="24"/>
      <c r="G52" s="24"/>
      <c r="H52" s="24"/>
      <c r="I52" s="24"/>
      <c r="J52" s="88"/>
      <c r="K52" s="89"/>
      <c r="L52" s="89"/>
      <c r="M52" s="89"/>
      <c r="N52" s="89"/>
      <c r="O52" s="90"/>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4" t="s">
        <v>54</v>
      </c>
      <c r="C57" s="95"/>
      <c r="D57" s="95"/>
      <c r="E57" s="96"/>
      <c r="F57" s="61" t="s">
        <v>81</v>
      </c>
      <c r="G57" s="60" t="s">
        <v>85</v>
      </c>
      <c r="H57" s="22" t="s">
        <v>59</v>
      </c>
      <c r="I57" s="22" t="s">
        <v>61</v>
      </c>
      <c r="J57" s="94" t="s">
        <v>54</v>
      </c>
      <c r="K57" s="95"/>
      <c r="L57" s="95"/>
      <c r="M57" s="95"/>
      <c r="N57" s="95"/>
      <c r="O57" s="96"/>
      <c r="P57" s="61" t="s">
        <v>81</v>
      </c>
      <c r="Q57" s="60" t="s">
        <v>85</v>
      </c>
      <c r="R57" s="22" t="s">
        <v>59</v>
      </c>
      <c r="S57" s="22" t="s">
        <v>61</v>
      </c>
    </row>
    <row r="58" spans="1:19" ht="18" customHeight="1" x14ac:dyDescent="0.15">
      <c r="A58" s="3"/>
      <c r="B58" s="98" t="s">
        <v>153</v>
      </c>
      <c r="C58" s="99"/>
      <c r="D58" s="99"/>
      <c r="E58" s="100"/>
      <c r="F58" s="23">
        <v>0.9</v>
      </c>
      <c r="G58" s="23" t="s">
        <v>154</v>
      </c>
      <c r="H58" s="23" t="s">
        <v>154</v>
      </c>
      <c r="I58" s="23"/>
      <c r="J58" s="98"/>
      <c r="K58" s="99"/>
      <c r="L58" s="99"/>
      <c r="M58" s="99"/>
      <c r="N58" s="99"/>
      <c r="O58" s="100"/>
      <c r="P58" s="23"/>
      <c r="Q58" s="23"/>
      <c r="R58" s="23"/>
      <c r="S58" s="23"/>
    </row>
    <row r="59" spans="1:19" ht="18" customHeight="1" x14ac:dyDescent="0.15">
      <c r="A59" s="3"/>
      <c r="B59" s="88" t="s">
        <v>156</v>
      </c>
      <c r="C59" s="89"/>
      <c r="D59" s="89"/>
      <c r="E59" s="90"/>
      <c r="F59" s="24">
        <v>0.4</v>
      </c>
      <c r="G59" s="24" t="s">
        <v>154</v>
      </c>
      <c r="H59" s="24"/>
      <c r="I59" s="24" t="s">
        <v>154</v>
      </c>
      <c r="J59" s="88"/>
      <c r="K59" s="89"/>
      <c r="L59" s="89"/>
      <c r="M59" s="89"/>
      <c r="N59" s="89"/>
      <c r="O59" s="90"/>
      <c r="P59" s="24"/>
      <c r="Q59" s="24"/>
      <c r="R59" s="24"/>
      <c r="S59" s="24"/>
    </row>
    <row r="60" spans="1:19" ht="18" customHeight="1" x14ac:dyDescent="0.15">
      <c r="A60" s="3"/>
      <c r="B60" s="88"/>
      <c r="C60" s="89"/>
      <c r="D60" s="89"/>
      <c r="E60" s="90"/>
      <c r="F60" s="24"/>
      <c r="G60" s="24"/>
      <c r="H60" s="24"/>
      <c r="I60" s="24"/>
      <c r="J60" s="88"/>
      <c r="K60" s="89"/>
      <c r="L60" s="89"/>
      <c r="M60" s="89"/>
      <c r="N60" s="89"/>
      <c r="O60" s="90"/>
      <c r="P60" s="24"/>
      <c r="Q60" s="24"/>
      <c r="R60" s="24"/>
      <c r="S60" s="24"/>
    </row>
    <row r="61" spans="1:19" ht="18" customHeight="1" x14ac:dyDescent="0.15">
      <c r="A61" s="3"/>
      <c r="B61" s="88"/>
      <c r="C61" s="89"/>
      <c r="D61" s="89"/>
      <c r="E61" s="90"/>
      <c r="F61" s="24"/>
      <c r="G61" s="24"/>
      <c r="H61" s="24"/>
      <c r="I61" s="24"/>
      <c r="J61" s="88"/>
      <c r="K61" s="89"/>
      <c r="L61" s="89"/>
      <c r="M61" s="89"/>
      <c r="N61" s="89"/>
      <c r="O61" s="90"/>
      <c r="P61" s="24"/>
      <c r="Q61" s="24"/>
      <c r="R61" s="24"/>
      <c r="S61" s="24"/>
    </row>
    <row r="62" spans="1:19" ht="18" customHeight="1" x14ac:dyDescent="0.15">
      <c r="A62" s="3"/>
      <c r="B62" s="88"/>
      <c r="C62" s="89"/>
      <c r="D62" s="89"/>
      <c r="E62" s="90"/>
      <c r="F62" s="24"/>
      <c r="G62" s="24"/>
      <c r="H62" s="24"/>
      <c r="I62" s="24"/>
      <c r="J62" s="88"/>
      <c r="K62" s="89"/>
      <c r="L62" s="89"/>
      <c r="M62" s="89"/>
      <c r="N62" s="89"/>
      <c r="O62" s="90"/>
      <c r="P62" s="24"/>
      <c r="Q62" s="24"/>
      <c r="R62" s="24"/>
      <c r="S62" s="24"/>
    </row>
    <row r="63" spans="1:19" ht="18" customHeight="1" x14ac:dyDescent="0.15">
      <c r="A63" s="3"/>
      <c r="B63" s="88"/>
      <c r="C63" s="89"/>
      <c r="D63" s="89"/>
      <c r="E63" s="90"/>
      <c r="F63" s="24"/>
      <c r="G63" s="24"/>
      <c r="H63" s="24"/>
      <c r="I63" s="24"/>
      <c r="J63" s="88"/>
      <c r="K63" s="89"/>
      <c r="L63" s="89"/>
      <c r="M63" s="89"/>
      <c r="N63" s="89"/>
      <c r="O63" s="90"/>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4" t="s">
        <v>54</v>
      </c>
      <c r="C68" s="95"/>
      <c r="D68" s="95"/>
      <c r="E68" s="61" t="s">
        <v>81</v>
      </c>
      <c r="F68" s="60" t="s">
        <v>85</v>
      </c>
      <c r="G68" s="22" t="s">
        <v>102</v>
      </c>
      <c r="H68" s="22" t="s">
        <v>76</v>
      </c>
      <c r="I68" s="22" t="s">
        <v>77</v>
      </c>
      <c r="J68" s="94" t="s">
        <v>54</v>
      </c>
      <c r="K68" s="95"/>
      <c r="L68" s="95"/>
      <c r="M68" s="95"/>
      <c r="N68" s="96"/>
      <c r="O68" s="61" t="s">
        <v>81</v>
      </c>
      <c r="P68" s="60" t="s">
        <v>85</v>
      </c>
      <c r="Q68" s="22" t="s">
        <v>102</v>
      </c>
      <c r="R68" s="22" t="s">
        <v>76</v>
      </c>
      <c r="S68" s="22" t="s">
        <v>77</v>
      </c>
    </row>
    <row r="69" spans="1:19" ht="18" customHeight="1" x14ac:dyDescent="0.15">
      <c r="A69" s="3"/>
      <c r="B69" s="98" t="s">
        <v>153</v>
      </c>
      <c r="C69" s="99"/>
      <c r="D69" s="100"/>
      <c r="E69" s="23">
        <v>0.9</v>
      </c>
      <c r="F69" s="23" t="s">
        <v>154</v>
      </c>
      <c r="G69" s="23" t="s">
        <v>154</v>
      </c>
      <c r="H69" s="23"/>
      <c r="I69" s="23"/>
      <c r="J69" s="98"/>
      <c r="K69" s="99"/>
      <c r="L69" s="99"/>
      <c r="M69" s="99"/>
      <c r="N69" s="100"/>
      <c r="O69" s="23"/>
      <c r="P69" s="23"/>
      <c r="Q69" s="23"/>
      <c r="R69" s="23"/>
      <c r="S69" s="23"/>
    </row>
    <row r="70" spans="1:19" ht="18" customHeight="1" x14ac:dyDescent="0.15">
      <c r="A70" s="3"/>
      <c r="B70" s="88" t="s">
        <v>157</v>
      </c>
      <c r="C70" s="89"/>
      <c r="D70" s="90"/>
      <c r="E70" s="24">
        <v>0.4</v>
      </c>
      <c r="F70" s="24" t="s">
        <v>154</v>
      </c>
      <c r="G70" s="24"/>
      <c r="H70" s="24" t="s">
        <v>154</v>
      </c>
      <c r="I70" s="24"/>
      <c r="J70" s="88"/>
      <c r="K70" s="89"/>
      <c r="L70" s="89"/>
      <c r="M70" s="89"/>
      <c r="N70" s="90"/>
      <c r="O70" s="24"/>
      <c r="P70" s="24"/>
      <c r="Q70" s="24"/>
      <c r="R70" s="24"/>
      <c r="S70" s="24"/>
    </row>
    <row r="71" spans="1:19" ht="18" customHeight="1" x14ac:dyDescent="0.15">
      <c r="A71" s="3"/>
      <c r="B71" s="88" t="s">
        <v>158</v>
      </c>
      <c r="C71" s="89"/>
      <c r="D71" s="89"/>
      <c r="E71" s="24">
        <v>0.9</v>
      </c>
      <c r="F71" s="24" t="s">
        <v>154</v>
      </c>
      <c r="G71" s="24"/>
      <c r="H71" s="24"/>
      <c r="I71" s="24" t="s">
        <v>154</v>
      </c>
      <c r="J71" s="88"/>
      <c r="K71" s="89"/>
      <c r="L71" s="89"/>
      <c r="M71" s="89"/>
      <c r="N71" s="90"/>
      <c r="O71" s="24"/>
      <c r="P71" s="24"/>
      <c r="Q71" s="24"/>
      <c r="R71" s="24"/>
      <c r="S71" s="24"/>
    </row>
    <row r="72" spans="1:19" ht="18" customHeight="1" x14ac:dyDescent="0.15">
      <c r="A72" s="3"/>
      <c r="B72" s="88"/>
      <c r="C72" s="89"/>
      <c r="D72" s="89"/>
      <c r="E72" s="24"/>
      <c r="F72" s="24"/>
      <c r="G72" s="24"/>
      <c r="H72" s="24"/>
      <c r="I72" s="24"/>
      <c r="J72" s="88"/>
      <c r="K72" s="89"/>
      <c r="L72" s="89"/>
      <c r="M72" s="89"/>
      <c r="N72" s="90"/>
      <c r="O72" s="24"/>
      <c r="P72" s="24"/>
      <c r="Q72" s="24"/>
      <c r="R72" s="24"/>
      <c r="S72" s="24"/>
    </row>
    <row r="73" spans="1:19" ht="18" customHeight="1" x14ac:dyDescent="0.15">
      <c r="A73" s="3"/>
      <c r="B73" s="88"/>
      <c r="C73" s="89"/>
      <c r="D73" s="89"/>
      <c r="E73" s="24"/>
      <c r="F73" s="24"/>
      <c r="G73" s="24"/>
      <c r="H73" s="24"/>
      <c r="I73" s="24"/>
      <c r="J73" s="88"/>
      <c r="K73" s="89"/>
      <c r="L73" s="89"/>
      <c r="M73" s="89"/>
      <c r="N73" s="90"/>
      <c r="O73" s="24"/>
      <c r="P73" s="24"/>
      <c r="Q73" s="24"/>
      <c r="R73" s="24"/>
      <c r="S73" s="24"/>
    </row>
    <row r="74" spans="1:19" ht="18" customHeight="1" x14ac:dyDescent="0.15">
      <c r="A74" s="3"/>
      <c r="B74" s="88"/>
      <c r="C74" s="89"/>
      <c r="D74" s="89"/>
      <c r="E74" s="24"/>
      <c r="F74" s="24"/>
      <c r="G74" s="24"/>
      <c r="H74" s="24"/>
      <c r="I74" s="24"/>
      <c r="J74" s="88"/>
      <c r="K74" s="89"/>
      <c r="L74" s="89"/>
      <c r="M74" s="89"/>
      <c r="N74" s="90"/>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4" t="s">
        <v>54</v>
      </c>
      <c r="C78" s="95"/>
      <c r="D78" s="95"/>
      <c r="E78" s="96"/>
      <c r="F78" s="94" t="s">
        <v>83</v>
      </c>
      <c r="G78" s="95"/>
      <c r="H78" s="95"/>
      <c r="I78" s="96"/>
      <c r="J78" s="140" t="s">
        <v>54</v>
      </c>
      <c r="K78" s="141"/>
      <c r="L78" s="141"/>
      <c r="M78" s="141"/>
      <c r="N78" s="141"/>
      <c r="O78" s="142"/>
      <c r="P78" s="94" t="s">
        <v>83</v>
      </c>
      <c r="Q78" s="95"/>
      <c r="R78" s="95"/>
      <c r="S78" s="96"/>
    </row>
    <row r="79" spans="1:19" ht="18" customHeight="1" x14ac:dyDescent="0.15">
      <c r="A79" s="3"/>
      <c r="B79" s="98"/>
      <c r="C79" s="99"/>
      <c r="D79" s="99"/>
      <c r="E79" s="100"/>
      <c r="F79" s="155"/>
      <c r="G79" s="156"/>
      <c r="H79" s="156"/>
      <c r="I79" s="157"/>
      <c r="J79" s="98"/>
      <c r="K79" s="99"/>
      <c r="L79" s="99"/>
      <c r="M79" s="99"/>
      <c r="N79" s="99"/>
      <c r="O79" s="100"/>
      <c r="P79" s="155"/>
      <c r="Q79" s="156"/>
      <c r="R79" s="156"/>
      <c r="S79" s="157"/>
    </row>
    <row r="80" spans="1:19" ht="18" customHeight="1" x14ac:dyDescent="0.15">
      <c r="A80" s="3"/>
      <c r="B80" s="88"/>
      <c r="C80" s="89"/>
      <c r="D80" s="89"/>
      <c r="E80" s="90"/>
      <c r="F80" s="124"/>
      <c r="G80" s="125"/>
      <c r="H80" s="125"/>
      <c r="I80" s="126"/>
      <c r="J80" s="88"/>
      <c r="K80" s="89"/>
      <c r="L80" s="89"/>
      <c r="M80" s="89"/>
      <c r="N80" s="89"/>
      <c r="O80" s="90"/>
      <c r="P80" s="124"/>
      <c r="Q80" s="125"/>
      <c r="R80" s="125"/>
      <c r="S80" s="126"/>
    </row>
    <row r="81" spans="1:19" ht="18" customHeight="1" x14ac:dyDescent="0.15">
      <c r="A81" s="3"/>
      <c r="B81" s="88"/>
      <c r="C81" s="89"/>
      <c r="D81" s="89"/>
      <c r="E81" s="90"/>
      <c r="F81" s="124"/>
      <c r="G81" s="125"/>
      <c r="H81" s="125"/>
      <c r="I81" s="126"/>
      <c r="J81" s="88"/>
      <c r="K81" s="89"/>
      <c r="L81" s="89"/>
      <c r="M81" s="89"/>
      <c r="N81" s="89"/>
      <c r="O81" s="90"/>
      <c r="P81" s="124"/>
      <c r="Q81" s="125"/>
      <c r="R81" s="125"/>
      <c r="S81" s="126"/>
    </row>
    <row r="82" spans="1:19" ht="18" customHeight="1" x14ac:dyDescent="0.15">
      <c r="A82" s="3"/>
      <c r="B82" s="88"/>
      <c r="C82" s="89"/>
      <c r="D82" s="89"/>
      <c r="E82" s="90"/>
      <c r="F82" s="124"/>
      <c r="G82" s="125"/>
      <c r="H82" s="125"/>
      <c r="I82" s="126"/>
      <c r="J82" s="88"/>
      <c r="K82" s="89"/>
      <c r="L82" s="89"/>
      <c r="M82" s="89"/>
      <c r="N82" s="89"/>
      <c r="O82" s="90"/>
      <c r="P82" s="124"/>
      <c r="Q82" s="125"/>
      <c r="R82" s="125"/>
      <c r="S82" s="126"/>
    </row>
    <row r="83" spans="1:19" ht="18" customHeight="1" x14ac:dyDescent="0.15">
      <c r="A83" s="3"/>
      <c r="B83" s="88"/>
      <c r="C83" s="89"/>
      <c r="D83" s="89"/>
      <c r="E83" s="90"/>
      <c r="F83" s="124"/>
      <c r="G83" s="125"/>
      <c r="H83" s="125"/>
      <c r="I83" s="126"/>
      <c r="J83" s="88"/>
      <c r="K83" s="89"/>
      <c r="L83" s="89"/>
      <c r="M83" s="89"/>
      <c r="N83" s="89"/>
      <c r="O83" s="90"/>
      <c r="P83" s="124"/>
      <c r="Q83" s="125"/>
      <c r="R83" s="125"/>
      <c r="S83" s="126"/>
    </row>
    <row r="84" spans="1:19" ht="18" customHeight="1" x14ac:dyDescent="0.15">
      <c r="A84" s="3"/>
      <c r="B84" s="88"/>
      <c r="C84" s="89"/>
      <c r="D84" s="89"/>
      <c r="E84" s="90"/>
      <c r="F84" s="124"/>
      <c r="G84" s="125"/>
      <c r="H84" s="125"/>
      <c r="I84" s="126"/>
      <c r="J84" s="88"/>
      <c r="K84" s="89"/>
      <c r="L84" s="89"/>
      <c r="M84" s="89"/>
      <c r="N84" s="89"/>
      <c r="O84" s="90"/>
      <c r="P84" s="124"/>
      <c r="Q84" s="125"/>
      <c r="R84" s="125"/>
      <c r="S84" s="126"/>
    </row>
    <row r="85" spans="1:19" ht="18" customHeight="1" x14ac:dyDescent="0.15">
      <c r="A85" s="3"/>
      <c r="B85" s="91"/>
      <c r="C85" s="92"/>
      <c r="D85" s="92"/>
      <c r="E85" s="93"/>
      <c r="F85" s="121"/>
      <c r="G85" s="122"/>
      <c r="H85" s="122"/>
      <c r="I85" s="123"/>
      <c r="J85" s="91"/>
      <c r="K85" s="92"/>
      <c r="L85" s="92"/>
      <c r="M85" s="92"/>
      <c r="N85" s="92"/>
      <c r="O85" s="93"/>
      <c r="P85" s="121"/>
      <c r="Q85" s="122"/>
      <c r="R85" s="122"/>
      <c r="S85" s="123"/>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3" t="s">
        <v>55</v>
      </c>
      <c r="C88" s="154"/>
      <c r="D88" s="95" t="s">
        <v>56</v>
      </c>
      <c r="E88" s="95"/>
      <c r="F88" s="95"/>
      <c r="G88" s="95"/>
      <c r="H88" s="95"/>
      <c r="I88" s="95"/>
      <c r="J88" s="95"/>
      <c r="K88" s="95"/>
      <c r="L88" s="95"/>
      <c r="M88" s="95"/>
      <c r="N88" s="95"/>
      <c r="O88" s="95"/>
      <c r="P88" s="95"/>
      <c r="Q88" s="95"/>
      <c r="R88" s="95"/>
      <c r="S88" s="96"/>
    </row>
    <row r="89" spans="1:19" ht="97.5" customHeight="1" x14ac:dyDescent="0.15">
      <c r="B89" s="143" t="s">
        <v>62</v>
      </c>
      <c r="C89" s="28" t="s">
        <v>57</v>
      </c>
      <c r="D89" s="150" t="s">
        <v>165</v>
      </c>
      <c r="E89" s="151"/>
      <c r="F89" s="151"/>
      <c r="G89" s="151"/>
      <c r="H89" s="151"/>
      <c r="I89" s="151"/>
      <c r="J89" s="151"/>
      <c r="K89" s="151"/>
      <c r="L89" s="151"/>
      <c r="M89" s="151"/>
      <c r="N89" s="151"/>
      <c r="O89" s="151"/>
      <c r="P89" s="151"/>
      <c r="Q89" s="151"/>
      <c r="R89" s="151"/>
      <c r="S89" s="152"/>
    </row>
    <row r="90" spans="1:19" ht="97.5" customHeight="1" x14ac:dyDescent="0.15">
      <c r="B90" s="145"/>
      <c r="C90" s="29" t="s">
        <v>78</v>
      </c>
      <c r="D90" s="127" t="s">
        <v>166</v>
      </c>
      <c r="E90" s="128"/>
      <c r="F90" s="128"/>
      <c r="G90" s="128"/>
      <c r="H90" s="128"/>
      <c r="I90" s="128"/>
      <c r="J90" s="128"/>
      <c r="K90" s="128"/>
      <c r="L90" s="128"/>
      <c r="M90" s="128"/>
      <c r="N90" s="128"/>
      <c r="O90" s="128"/>
      <c r="P90" s="128"/>
      <c r="Q90" s="128"/>
      <c r="R90" s="128"/>
      <c r="S90" s="129"/>
    </row>
    <row r="91" spans="1:19" ht="97.5" customHeight="1" x14ac:dyDescent="0.15">
      <c r="B91" s="143" t="s">
        <v>63</v>
      </c>
      <c r="C91" s="30" t="s">
        <v>72</v>
      </c>
      <c r="D91" s="130" t="s">
        <v>167</v>
      </c>
      <c r="E91" s="131"/>
      <c r="F91" s="131"/>
      <c r="G91" s="131"/>
      <c r="H91" s="131"/>
      <c r="I91" s="131"/>
      <c r="J91" s="131"/>
      <c r="K91" s="131"/>
      <c r="L91" s="131"/>
      <c r="M91" s="131"/>
      <c r="N91" s="131"/>
      <c r="O91" s="131"/>
      <c r="P91" s="131"/>
      <c r="Q91" s="131"/>
      <c r="R91" s="131"/>
      <c r="S91" s="132"/>
    </row>
    <row r="92" spans="1:19" ht="97.5" customHeight="1" x14ac:dyDescent="0.15">
      <c r="B92" s="144"/>
      <c r="C92" s="31" t="s">
        <v>73</v>
      </c>
      <c r="D92" s="136" t="s">
        <v>168</v>
      </c>
      <c r="E92" s="137"/>
      <c r="F92" s="137"/>
      <c r="G92" s="137"/>
      <c r="H92" s="137"/>
      <c r="I92" s="137"/>
      <c r="J92" s="137"/>
      <c r="K92" s="137"/>
      <c r="L92" s="137"/>
      <c r="M92" s="137"/>
      <c r="N92" s="137"/>
      <c r="O92" s="137"/>
      <c r="P92" s="137"/>
      <c r="Q92" s="137"/>
      <c r="R92" s="137"/>
      <c r="S92" s="138"/>
    </row>
    <row r="93" spans="1:19" ht="97.5" customHeight="1" x14ac:dyDescent="0.15">
      <c r="B93" s="143" t="s">
        <v>64</v>
      </c>
      <c r="C93" s="30" t="s">
        <v>74</v>
      </c>
      <c r="D93" s="130" t="s">
        <v>169</v>
      </c>
      <c r="E93" s="131"/>
      <c r="F93" s="131"/>
      <c r="G93" s="131"/>
      <c r="H93" s="131"/>
      <c r="I93" s="131"/>
      <c r="J93" s="131"/>
      <c r="K93" s="131"/>
      <c r="L93" s="131"/>
      <c r="M93" s="131"/>
      <c r="N93" s="131"/>
      <c r="O93" s="131"/>
      <c r="P93" s="131"/>
      <c r="Q93" s="131"/>
      <c r="R93" s="131"/>
      <c r="S93" s="132"/>
    </row>
    <row r="94" spans="1:19" ht="97.5" customHeight="1" x14ac:dyDescent="0.15">
      <c r="B94" s="144"/>
      <c r="C94" s="32" t="s">
        <v>75</v>
      </c>
      <c r="D94" s="133" t="s">
        <v>170</v>
      </c>
      <c r="E94" s="134"/>
      <c r="F94" s="134"/>
      <c r="G94" s="134"/>
      <c r="H94" s="134"/>
      <c r="I94" s="134"/>
      <c r="J94" s="134"/>
      <c r="K94" s="134"/>
      <c r="L94" s="134"/>
      <c r="M94" s="134"/>
      <c r="N94" s="134"/>
      <c r="O94" s="134"/>
      <c r="P94" s="134"/>
      <c r="Q94" s="134"/>
      <c r="R94" s="134"/>
      <c r="S94" s="135"/>
    </row>
    <row r="95" spans="1:19" ht="140.25" customHeight="1" x14ac:dyDescent="0.15">
      <c r="B95" s="143" t="s">
        <v>79</v>
      </c>
      <c r="C95" s="28" t="s">
        <v>59</v>
      </c>
      <c r="D95" s="150" t="s">
        <v>162</v>
      </c>
      <c r="E95" s="151"/>
      <c r="F95" s="151"/>
      <c r="G95" s="151"/>
      <c r="H95" s="151"/>
      <c r="I95" s="151"/>
      <c r="J95" s="151"/>
      <c r="K95" s="151"/>
      <c r="L95" s="151"/>
      <c r="M95" s="151"/>
      <c r="N95" s="151"/>
      <c r="O95" s="151"/>
      <c r="P95" s="151"/>
      <c r="Q95" s="151"/>
      <c r="R95" s="151"/>
      <c r="S95" s="152"/>
    </row>
    <row r="96" spans="1:19" ht="97.5" customHeight="1" x14ac:dyDescent="0.15">
      <c r="B96" s="144"/>
      <c r="C96" s="31" t="s">
        <v>61</v>
      </c>
      <c r="D96" s="136" t="s">
        <v>163</v>
      </c>
      <c r="E96" s="137"/>
      <c r="F96" s="137"/>
      <c r="G96" s="137"/>
      <c r="H96" s="137"/>
      <c r="I96" s="137"/>
      <c r="J96" s="137"/>
      <c r="K96" s="137"/>
      <c r="L96" s="137"/>
      <c r="M96" s="137"/>
      <c r="N96" s="137"/>
      <c r="O96" s="137"/>
      <c r="P96" s="137"/>
      <c r="Q96" s="137"/>
      <c r="R96" s="137"/>
      <c r="S96" s="138"/>
    </row>
    <row r="97" spans="1:19" ht="198.75" customHeight="1" x14ac:dyDescent="0.15">
      <c r="B97" s="143" t="s">
        <v>80</v>
      </c>
      <c r="C97" s="30" t="s">
        <v>58</v>
      </c>
      <c r="D97" s="146" t="s">
        <v>164</v>
      </c>
      <c r="E97" s="99"/>
      <c r="F97" s="99"/>
      <c r="G97" s="99"/>
      <c r="H97" s="99"/>
      <c r="I97" s="99"/>
      <c r="J97" s="99"/>
      <c r="K97" s="99"/>
      <c r="L97" s="99"/>
      <c r="M97" s="99"/>
      <c r="N97" s="99"/>
      <c r="O97" s="99"/>
      <c r="P97" s="99"/>
      <c r="Q97" s="99"/>
      <c r="R97" s="99"/>
      <c r="S97" s="100"/>
    </row>
    <row r="98" spans="1:19" ht="97.5" customHeight="1" x14ac:dyDescent="0.15">
      <c r="B98" s="145"/>
      <c r="C98" s="33" t="s">
        <v>76</v>
      </c>
      <c r="D98" s="139" t="s">
        <v>171</v>
      </c>
      <c r="E98" s="89"/>
      <c r="F98" s="89"/>
      <c r="G98" s="89"/>
      <c r="H98" s="89"/>
      <c r="I98" s="89"/>
      <c r="J98" s="89"/>
      <c r="K98" s="89"/>
      <c r="L98" s="89"/>
      <c r="M98" s="89"/>
      <c r="N98" s="89"/>
      <c r="O98" s="89"/>
      <c r="P98" s="89"/>
      <c r="Q98" s="89"/>
      <c r="R98" s="89"/>
      <c r="S98" s="90"/>
    </row>
    <row r="99" spans="1:19" ht="97.5" customHeight="1" x14ac:dyDescent="0.15">
      <c r="B99" s="144"/>
      <c r="C99" s="32" t="s">
        <v>77</v>
      </c>
      <c r="D99" s="147" t="s">
        <v>172</v>
      </c>
      <c r="E99" s="148"/>
      <c r="F99" s="148"/>
      <c r="G99" s="148"/>
      <c r="H99" s="148"/>
      <c r="I99" s="148"/>
      <c r="J99" s="148"/>
      <c r="K99" s="148"/>
      <c r="L99" s="148"/>
      <c r="M99" s="148"/>
      <c r="N99" s="148"/>
      <c r="O99" s="148"/>
      <c r="P99" s="148"/>
      <c r="Q99" s="148"/>
      <c r="R99" s="148"/>
      <c r="S99" s="149"/>
    </row>
    <row r="100" spans="1:19" ht="6" customHeight="1" x14ac:dyDescent="0.15"/>
    <row r="101" spans="1:19" ht="18.75" customHeight="1" x14ac:dyDescent="0.15">
      <c r="A101" s="1" t="s">
        <v>121</v>
      </c>
    </row>
    <row r="102" spans="1:19" ht="81.75" customHeight="1" x14ac:dyDescent="0.15">
      <c r="B102" s="118" t="s">
        <v>159</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P69:S75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H18" sqref="H18"/>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1" t="s">
        <v>127</v>
      </c>
      <c r="AN2" s="161"/>
      <c r="AO2" s="161"/>
      <c r="AP2" s="161"/>
      <c r="AQ2" s="161"/>
    </row>
    <row r="3" spans="1:45" ht="18" customHeight="1" x14ac:dyDescent="0.15">
      <c r="A3" s="105" t="s">
        <v>48</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128</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3" t="s">
        <v>35</v>
      </c>
      <c r="AQ9" s="176" t="s">
        <v>32</v>
      </c>
      <c r="AS9" s="2"/>
    </row>
    <row r="10" spans="1:45" ht="16.899999999999999" customHeight="1" x14ac:dyDescent="0.15">
      <c r="B10" s="165"/>
      <c r="C10" s="180"/>
      <c r="D10" s="168"/>
      <c r="E10" s="171"/>
      <c r="F10" s="158" t="s">
        <v>97</v>
      </c>
      <c r="G10" s="159"/>
      <c r="H10" s="159"/>
      <c r="I10" s="158" t="s">
        <v>29</v>
      </c>
      <c r="J10" s="159"/>
      <c r="K10" s="159"/>
      <c r="L10" s="158" t="s">
        <v>97</v>
      </c>
      <c r="M10" s="159"/>
      <c r="N10" s="159"/>
      <c r="O10" s="158" t="s">
        <v>29</v>
      </c>
      <c r="P10" s="159"/>
      <c r="Q10" s="159"/>
      <c r="R10" s="158" t="s">
        <v>97</v>
      </c>
      <c r="S10" s="159"/>
      <c r="T10" s="159"/>
      <c r="U10" s="158" t="s">
        <v>29</v>
      </c>
      <c r="V10" s="159"/>
      <c r="W10" s="159"/>
      <c r="X10" s="158" t="s">
        <v>97</v>
      </c>
      <c r="Y10" s="159"/>
      <c r="Z10" s="159"/>
      <c r="AA10" s="158" t="s">
        <v>29</v>
      </c>
      <c r="AB10" s="159"/>
      <c r="AC10" s="159"/>
      <c r="AD10" s="158" t="s">
        <v>97</v>
      </c>
      <c r="AE10" s="159"/>
      <c r="AF10" s="159"/>
      <c r="AG10" s="158" t="s">
        <v>29</v>
      </c>
      <c r="AH10" s="159"/>
      <c r="AI10" s="159"/>
      <c r="AJ10" s="158" t="s">
        <v>97</v>
      </c>
      <c r="AK10" s="159"/>
      <c r="AL10" s="159"/>
      <c r="AM10" s="158" t="s">
        <v>29</v>
      </c>
      <c r="AN10" s="159"/>
      <c r="AO10" s="159"/>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129</v>
      </c>
      <c r="C12" s="62">
        <v>696</v>
      </c>
      <c r="D12" s="63">
        <v>120</v>
      </c>
      <c r="E12" s="64">
        <v>720</v>
      </c>
      <c r="F12" s="64">
        <v>107</v>
      </c>
      <c r="G12" s="65">
        <v>70</v>
      </c>
      <c r="H12" s="66">
        <v>37</v>
      </c>
      <c r="I12" s="64">
        <f>J12+K12</f>
        <v>0</v>
      </c>
      <c r="J12" s="65"/>
      <c r="K12" s="66"/>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107</v>
      </c>
      <c r="AQ12" s="21">
        <f t="shared" ref="AQ12:AQ32" si="0">AP12/E12</f>
        <v>0.14861111111111111</v>
      </c>
    </row>
    <row r="13" spans="1:45" ht="18" customHeight="1" x14ac:dyDescent="0.15">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696</v>
      </c>
      <c r="D32" s="78">
        <f t="shared" ref="D32:AP32" si="15">SUM(D12:D31)</f>
        <v>120</v>
      </c>
      <c r="E32" s="79">
        <f t="shared" si="15"/>
        <v>720</v>
      </c>
      <c r="F32" s="79">
        <f t="shared" si="15"/>
        <v>107</v>
      </c>
      <c r="G32" s="80">
        <f t="shared" si="15"/>
        <v>70</v>
      </c>
      <c r="H32" s="81">
        <f t="shared" si="15"/>
        <v>37</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107</v>
      </c>
      <c r="AQ32" s="9">
        <f t="shared" si="0"/>
        <v>0.14861111111111111</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4" zoomScaleNormal="100" zoomScaleSheetLayoutView="100" workbookViewId="0">
      <selection activeCell="B52" sqref="B52:I63"/>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4" t="s">
        <v>127</v>
      </c>
      <c r="I2" s="96"/>
    </row>
    <row r="3" spans="1:9" ht="18.75" customHeight="1" x14ac:dyDescent="0.15">
      <c r="G3" s="35"/>
      <c r="H3" s="10"/>
      <c r="I3" s="10"/>
    </row>
    <row r="4" spans="1:9" ht="18.600000000000001" customHeight="1" x14ac:dyDescent="0.15">
      <c r="A4" s="105" t="s">
        <v>36</v>
      </c>
      <c r="B4" s="105"/>
      <c r="C4" s="105"/>
      <c r="D4" s="105"/>
      <c r="E4" s="105"/>
      <c r="F4" s="105"/>
      <c r="G4" s="105"/>
      <c r="H4" s="105"/>
      <c r="I4" s="105"/>
    </row>
    <row r="5" spans="1:9" ht="13.15" customHeight="1" x14ac:dyDescent="0.15">
      <c r="B5" s="3"/>
      <c r="C5" s="3"/>
      <c r="D5" s="3"/>
      <c r="E5" s="3"/>
      <c r="F5" s="3"/>
      <c r="G5" s="3"/>
      <c r="H5" s="3"/>
      <c r="I5" s="3"/>
    </row>
    <row r="6" spans="1:9" ht="18" customHeight="1" x14ac:dyDescent="0.15">
      <c r="A6" s="1" t="s">
        <v>0</v>
      </c>
      <c r="B6" s="10" t="s">
        <v>91</v>
      </c>
      <c r="C6" s="232" t="s">
        <v>92</v>
      </c>
      <c r="D6" s="232"/>
      <c r="E6" s="34">
        <v>237</v>
      </c>
      <c r="F6" s="3" t="s">
        <v>1</v>
      </c>
      <c r="G6" s="3" t="s">
        <v>2</v>
      </c>
      <c r="H6" s="34">
        <v>131</v>
      </c>
      <c r="I6" s="10" t="s">
        <v>1</v>
      </c>
    </row>
    <row r="7" spans="1:9" ht="12" customHeight="1" x14ac:dyDescent="0.15">
      <c r="C7" s="2"/>
      <c r="D7" s="2"/>
      <c r="E7" s="2"/>
      <c r="F7" s="2"/>
      <c r="G7" s="2"/>
      <c r="H7" s="2"/>
      <c r="I7" s="42"/>
    </row>
    <row r="8" spans="1:9" ht="18" customHeight="1" x14ac:dyDescent="0.15">
      <c r="A8" s="1" t="s">
        <v>3</v>
      </c>
      <c r="B8" s="10" t="s">
        <v>93</v>
      </c>
      <c r="E8" s="3"/>
      <c r="F8" s="3"/>
      <c r="G8" s="3"/>
      <c r="H8" s="34">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27" t="s">
        <v>130</v>
      </c>
      <c r="D11" s="230"/>
      <c r="E11" s="231"/>
      <c r="F11" s="42"/>
      <c r="G11" s="35" t="s">
        <v>10</v>
      </c>
      <c r="H11" s="227" t="s">
        <v>131</v>
      </c>
      <c r="I11" s="231"/>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27" t="s">
        <v>132</v>
      </c>
      <c r="C14" s="228"/>
      <c r="D14" s="228"/>
      <c r="E14" s="228"/>
      <c r="F14" s="228"/>
      <c r="G14" s="228"/>
      <c r="H14" s="228"/>
      <c r="I14" s="229"/>
    </row>
    <row r="15" spans="1:9" ht="9" customHeight="1" x14ac:dyDescent="0.15">
      <c r="B15" s="3"/>
      <c r="C15" s="3"/>
      <c r="D15" s="3"/>
      <c r="E15" s="3"/>
      <c r="F15" s="3"/>
      <c r="G15" s="3"/>
      <c r="H15" s="3"/>
      <c r="I15" s="3"/>
    </row>
    <row r="16" spans="1:9" ht="18" customHeight="1" x14ac:dyDescent="0.15">
      <c r="B16" s="35" t="s">
        <v>43</v>
      </c>
      <c r="C16" s="227" t="s">
        <v>133</v>
      </c>
      <c r="D16" s="230"/>
      <c r="E16" s="231"/>
      <c r="F16" s="42"/>
      <c r="G16" s="35" t="s">
        <v>10</v>
      </c>
      <c r="H16" s="227" t="s">
        <v>134</v>
      </c>
      <c r="I16" s="23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9" t="s">
        <v>135</v>
      </c>
      <c r="C19" s="220"/>
      <c r="D19" s="220"/>
      <c r="E19" s="220"/>
      <c r="F19" s="220"/>
      <c r="G19" s="220"/>
      <c r="H19" s="220"/>
      <c r="I19" s="22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9" t="s">
        <v>147</v>
      </c>
      <c r="C22" s="210"/>
      <c r="D22" s="210"/>
      <c r="E22" s="210"/>
      <c r="F22" s="210"/>
      <c r="G22" s="210"/>
      <c r="H22" s="210"/>
      <c r="I22" s="211"/>
    </row>
    <row r="23" spans="1:9" ht="18.75" customHeight="1" x14ac:dyDescent="0.15">
      <c r="A23" s="15"/>
      <c r="B23" s="222"/>
      <c r="C23" s="223"/>
      <c r="D23" s="223"/>
      <c r="E23" s="223"/>
      <c r="F23" s="223"/>
      <c r="G23" s="223"/>
      <c r="H23" s="223"/>
      <c r="I23" s="214"/>
    </row>
    <row r="24" spans="1:9" ht="18.75" customHeight="1" x14ac:dyDescent="0.15">
      <c r="A24" s="15"/>
      <c r="B24" s="222"/>
      <c r="C24" s="223"/>
      <c r="D24" s="223"/>
      <c r="E24" s="223"/>
      <c r="F24" s="223"/>
      <c r="G24" s="223"/>
      <c r="H24" s="223"/>
      <c r="I24" s="214"/>
    </row>
    <row r="25" spans="1:9" ht="18.75" customHeight="1" x14ac:dyDescent="0.15">
      <c r="A25" s="15"/>
      <c r="B25" s="222"/>
      <c r="C25" s="223"/>
      <c r="D25" s="223"/>
      <c r="E25" s="223"/>
      <c r="F25" s="223"/>
      <c r="G25" s="223"/>
      <c r="H25" s="223"/>
      <c r="I25" s="214"/>
    </row>
    <row r="26" spans="1:9" ht="18.75" customHeight="1" x14ac:dyDescent="0.15">
      <c r="A26" s="15"/>
      <c r="B26" s="222"/>
      <c r="C26" s="223"/>
      <c r="D26" s="223"/>
      <c r="E26" s="223"/>
      <c r="F26" s="223"/>
      <c r="G26" s="223"/>
      <c r="H26" s="223"/>
      <c r="I26" s="214"/>
    </row>
    <row r="27" spans="1:9" ht="18.75" customHeight="1" x14ac:dyDescent="0.15">
      <c r="A27" s="15"/>
      <c r="B27" s="222"/>
      <c r="C27" s="223"/>
      <c r="D27" s="223"/>
      <c r="E27" s="223"/>
      <c r="F27" s="223"/>
      <c r="G27" s="223"/>
      <c r="H27" s="223"/>
      <c r="I27" s="214"/>
    </row>
    <row r="28" spans="1:9" ht="18.75" customHeight="1" x14ac:dyDescent="0.15">
      <c r="A28" s="15"/>
      <c r="B28" s="222"/>
      <c r="C28" s="223"/>
      <c r="D28" s="223"/>
      <c r="E28" s="223"/>
      <c r="F28" s="223"/>
      <c r="G28" s="223"/>
      <c r="H28" s="223"/>
      <c r="I28" s="214"/>
    </row>
    <row r="29" spans="1:9" ht="18.75" customHeight="1" x14ac:dyDescent="0.15">
      <c r="A29" s="15"/>
      <c r="B29" s="222"/>
      <c r="C29" s="223"/>
      <c r="D29" s="223"/>
      <c r="E29" s="223"/>
      <c r="F29" s="223"/>
      <c r="G29" s="223"/>
      <c r="H29" s="223"/>
      <c r="I29" s="214"/>
    </row>
    <row r="30" spans="1:9" ht="18.75" customHeight="1" x14ac:dyDescent="0.15">
      <c r="A30" s="15"/>
      <c r="B30" s="212"/>
      <c r="C30" s="213"/>
      <c r="D30" s="213"/>
      <c r="E30" s="213"/>
      <c r="F30" s="213"/>
      <c r="G30" s="213"/>
      <c r="H30" s="213"/>
      <c r="I30" s="214"/>
    </row>
    <row r="31" spans="1:9" ht="18.75" customHeight="1" x14ac:dyDescent="0.15">
      <c r="A31" s="15"/>
      <c r="B31" s="212"/>
      <c r="C31" s="213"/>
      <c r="D31" s="213"/>
      <c r="E31" s="213"/>
      <c r="F31" s="213"/>
      <c r="G31" s="213"/>
      <c r="H31" s="213"/>
      <c r="I31" s="214"/>
    </row>
    <row r="32" spans="1:9" ht="18.75" customHeight="1" x14ac:dyDescent="0.15">
      <c r="A32" s="15"/>
      <c r="B32" s="215"/>
      <c r="C32" s="216"/>
      <c r="D32" s="216"/>
      <c r="E32" s="216"/>
      <c r="F32" s="216"/>
      <c r="G32" s="216"/>
      <c r="H32" s="216"/>
      <c r="I32" s="21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9" t="s">
        <v>142</v>
      </c>
      <c r="C35" s="210"/>
      <c r="D35" s="210"/>
      <c r="E35" s="210"/>
      <c r="F35" s="210"/>
      <c r="G35" s="210"/>
      <c r="H35" s="210"/>
      <c r="I35" s="211"/>
    </row>
    <row r="36" spans="1:9" ht="18.75" customHeight="1" x14ac:dyDescent="0.15">
      <c r="A36" s="15"/>
      <c r="B36" s="212"/>
      <c r="C36" s="213"/>
      <c r="D36" s="213"/>
      <c r="E36" s="213"/>
      <c r="F36" s="213"/>
      <c r="G36" s="213"/>
      <c r="H36" s="213"/>
      <c r="I36" s="214"/>
    </row>
    <row r="37" spans="1:9" ht="18.75" customHeight="1" x14ac:dyDescent="0.15">
      <c r="A37" s="15"/>
      <c r="B37" s="212"/>
      <c r="C37" s="213"/>
      <c r="D37" s="213"/>
      <c r="E37" s="213"/>
      <c r="F37" s="213"/>
      <c r="G37" s="213"/>
      <c r="H37" s="213"/>
      <c r="I37" s="214"/>
    </row>
    <row r="38" spans="1:9" ht="18.75" customHeight="1" x14ac:dyDescent="0.15">
      <c r="A38" s="15"/>
      <c r="B38" s="212"/>
      <c r="C38" s="213"/>
      <c r="D38" s="213"/>
      <c r="E38" s="213"/>
      <c r="F38" s="213"/>
      <c r="G38" s="213"/>
      <c r="H38" s="213"/>
      <c r="I38" s="214"/>
    </row>
    <row r="39" spans="1:9" ht="18.75" customHeight="1" x14ac:dyDescent="0.15">
      <c r="A39" s="15"/>
      <c r="B39" s="212"/>
      <c r="C39" s="213"/>
      <c r="D39" s="213"/>
      <c r="E39" s="213"/>
      <c r="F39" s="213"/>
      <c r="G39" s="213"/>
      <c r="H39" s="213"/>
      <c r="I39" s="214"/>
    </row>
    <row r="40" spans="1:9" ht="18.75" customHeight="1" x14ac:dyDescent="0.15">
      <c r="A40" s="15"/>
      <c r="B40" s="212"/>
      <c r="C40" s="213"/>
      <c r="D40" s="213"/>
      <c r="E40" s="213"/>
      <c r="F40" s="213"/>
      <c r="G40" s="213"/>
      <c r="H40" s="213"/>
      <c r="I40" s="214"/>
    </row>
    <row r="41" spans="1:9" ht="18.75" customHeight="1" x14ac:dyDescent="0.15">
      <c r="A41" s="15"/>
      <c r="B41" s="212"/>
      <c r="C41" s="213"/>
      <c r="D41" s="213"/>
      <c r="E41" s="213"/>
      <c r="F41" s="213"/>
      <c r="G41" s="213"/>
      <c r="H41" s="213"/>
      <c r="I41" s="214"/>
    </row>
    <row r="42" spans="1:9" ht="18.75" customHeight="1" x14ac:dyDescent="0.15">
      <c r="A42" s="15"/>
      <c r="B42" s="212"/>
      <c r="C42" s="213"/>
      <c r="D42" s="213"/>
      <c r="E42" s="213"/>
      <c r="F42" s="213"/>
      <c r="G42" s="213"/>
      <c r="H42" s="213"/>
      <c r="I42" s="214"/>
    </row>
    <row r="43" spans="1:9" ht="18.75" customHeight="1" x14ac:dyDescent="0.15">
      <c r="A43" s="15"/>
      <c r="B43" s="212"/>
      <c r="C43" s="213"/>
      <c r="D43" s="213"/>
      <c r="E43" s="213"/>
      <c r="F43" s="213"/>
      <c r="G43" s="213"/>
      <c r="H43" s="213"/>
      <c r="I43" s="214"/>
    </row>
    <row r="44" spans="1:9" ht="18.75" customHeight="1" x14ac:dyDescent="0.15">
      <c r="A44" s="15"/>
      <c r="B44" s="212"/>
      <c r="C44" s="213"/>
      <c r="D44" s="213"/>
      <c r="E44" s="213"/>
      <c r="F44" s="213"/>
      <c r="G44" s="213"/>
      <c r="H44" s="213"/>
      <c r="I44" s="214"/>
    </row>
    <row r="45" spans="1:9" ht="18.75" customHeight="1" x14ac:dyDescent="0.15">
      <c r="A45" s="15"/>
      <c r="B45" s="212"/>
      <c r="C45" s="213"/>
      <c r="D45" s="213"/>
      <c r="E45" s="213"/>
      <c r="F45" s="213"/>
      <c r="G45" s="213"/>
      <c r="H45" s="213"/>
      <c r="I45" s="214"/>
    </row>
    <row r="46" spans="1:9" ht="18.75" customHeight="1" x14ac:dyDescent="0.15">
      <c r="A46" s="15"/>
      <c r="B46" s="215"/>
      <c r="C46" s="216"/>
      <c r="D46" s="216"/>
      <c r="E46" s="216"/>
      <c r="F46" s="216"/>
      <c r="G46" s="216"/>
      <c r="H46" s="216"/>
      <c r="I46" s="217"/>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198">
        <v>0.15</v>
      </c>
      <c r="D49" s="198"/>
      <c r="E49" s="43" t="s">
        <v>66</v>
      </c>
      <c r="F49" s="198">
        <v>0.33</v>
      </c>
      <c r="G49" s="198"/>
      <c r="H49" s="43" t="s">
        <v>67</v>
      </c>
      <c r="I49" s="44">
        <v>0.49</v>
      </c>
      <c r="J49" s="1"/>
      <c r="M49" s="1"/>
      <c r="N49" s="45"/>
    </row>
    <row r="50" spans="1:15" s="3" customFormat="1" ht="18.75" customHeight="1" x14ac:dyDescent="0.15">
      <c r="B50" s="46" t="s">
        <v>68</v>
      </c>
      <c r="C50" s="199">
        <v>0.65</v>
      </c>
      <c r="D50" s="199"/>
      <c r="E50" s="46" t="s">
        <v>90</v>
      </c>
      <c r="F50" s="199">
        <v>0.81</v>
      </c>
      <c r="G50" s="199"/>
      <c r="H50" s="46" t="s">
        <v>69</v>
      </c>
      <c r="I50" s="47">
        <f>'様式２ 履修者等数の実績'!E32</f>
        <v>720</v>
      </c>
      <c r="J50" s="1"/>
      <c r="M50" s="1"/>
      <c r="N50" s="45"/>
    </row>
    <row r="51" spans="1:15" ht="18.75" customHeight="1" x14ac:dyDescent="0.15">
      <c r="A51" s="1"/>
      <c r="B51" s="224" t="s">
        <v>70</v>
      </c>
      <c r="C51" s="225"/>
      <c r="D51" s="225"/>
      <c r="E51" s="225"/>
      <c r="F51" s="225"/>
      <c r="G51" s="225"/>
      <c r="H51" s="225"/>
      <c r="I51" s="226"/>
      <c r="N51" s="45"/>
      <c r="O51" s="3"/>
    </row>
    <row r="52" spans="1:15" ht="18.75" customHeight="1" x14ac:dyDescent="0.15">
      <c r="A52" s="1"/>
      <c r="B52" s="200" t="s">
        <v>148</v>
      </c>
      <c r="C52" s="201"/>
      <c r="D52" s="201"/>
      <c r="E52" s="201"/>
      <c r="F52" s="201"/>
      <c r="G52" s="201"/>
      <c r="H52" s="201"/>
      <c r="I52" s="202"/>
      <c r="N52" s="45"/>
      <c r="O52" s="3"/>
    </row>
    <row r="53" spans="1:15" ht="18.75" customHeight="1" x14ac:dyDescent="0.15">
      <c r="A53" s="1"/>
      <c r="B53" s="203"/>
      <c r="C53" s="204"/>
      <c r="D53" s="204"/>
      <c r="E53" s="204"/>
      <c r="F53" s="204"/>
      <c r="G53" s="204"/>
      <c r="H53" s="204"/>
      <c r="I53" s="205"/>
      <c r="N53" s="45"/>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2" t="s">
        <v>143</v>
      </c>
      <c r="C66" s="183"/>
      <c r="D66" s="183"/>
      <c r="E66" s="183"/>
      <c r="F66" s="183"/>
      <c r="G66" s="183"/>
      <c r="H66" s="183"/>
      <c r="I66" s="184"/>
    </row>
    <row r="67" spans="1:9" ht="18.75" customHeight="1" x14ac:dyDescent="0.15">
      <c r="A67" s="4"/>
      <c r="B67" s="185"/>
      <c r="C67" s="186"/>
      <c r="D67" s="186"/>
      <c r="E67" s="186"/>
      <c r="F67" s="186"/>
      <c r="G67" s="186"/>
      <c r="H67" s="186"/>
      <c r="I67" s="187"/>
    </row>
    <row r="68" spans="1:9" ht="18.75" customHeight="1" x14ac:dyDescent="0.15">
      <c r="A68" s="4"/>
      <c r="B68" s="185"/>
      <c r="C68" s="186"/>
      <c r="D68" s="186"/>
      <c r="E68" s="186"/>
      <c r="F68" s="186"/>
      <c r="G68" s="186"/>
      <c r="H68" s="186"/>
      <c r="I68" s="187"/>
    </row>
    <row r="69" spans="1:9" ht="18.75" customHeight="1" x14ac:dyDescent="0.15">
      <c r="A69" s="4"/>
      <c r="B69" s="185"/>
      <c r="C69" s="186"/>
      <c r="D69" s="186"/>
      <c r="E69" s="186"/>
      <c r="F69" s="186"/>
      <c r="G69" s="186"/>
      <c r="H69" s="186"/>
      <c r="I69" s="187"/>
    </row>
    <row r="70" spans="1:9" ht="18.75" customHeight="1" x14ac:dyDescent="0.15">
      <c r="A70" s="4"/>
      <c r="B70" s="185"/>
      <c r="C70" s="186"/>
      <c r="D70" s="186"/>
      <c r="E70" s="186"/>
      <c r="F70" s="186"/>
      <c r="G70" s="186"/>
      <c r="H70" s="186"/>
      <c r="I70" s="187"/>
    </row>
    <row r="71" spans="1:9" ht="18.75" customHeight="1" x14ac:dyDescent="0.15">
      <c r="A71" s="4"/>
      <c r="B71" s="185"/>
      <c r="C71" s="186"/>
      <c r="D71" s="186"/>
      <c r="E71" s="186"/>
      <c r="F71" s="186"/>
      <c r="G71" s="186"/>
      <c r="H71" s="186"/>
      <c r="I71" s="187"/>
    </row>
    <row r="72" spans="1:9" ht="18.75" customHeight="1" x14ac:dyDescent="0.15">
      <c r="A72" s="4"/>
      <c r="B72" s="185"/>
      <c r="C72" s="186"/>
      <c r="D72" s="186"/>
      <c r="E72" s="186"/>
      <c r="F72" s="186"/>
      <c r="G72" s="186"/>
      <c r="H72" s="186"/>
      <c r="I72" s="187"/>
    </row>
    <row r="73" spans="1:9" ht="18.75" customHeight="1" x14ac:dyDescent="0.15">
      <c r="A73" s="4"/>
      <c r="B73" s="185"/>
      <c r="C73" s="186"/>
      <c r="D73" s="186"/>
      <c r="E73" s="186"/>
      <c r="F73" s="186"/>
      <c r="G73" s="186"/>
      <c r="H73" s="186"/>
      <c r="I73" s="187"/>
    </row>
    <row r="74" spans="1:9" ht="18.75" customHeight="1" x14ac:dyDescent="0.15">
      <c r="A74" s="4"/>
      <c r="B74" s="185"/>
      <c r="C74" s="186"/>
      <c r="D74" s="186"/>
      <c r="E74" s="186"/>
      <c r="F74" s="186"/>
      <c r="G74" s="186"/>
      <c r="H74" s="186"/>
      <c r="I74" s="187"/>
    </row>
    <row r="75" spans="1:9" ht="18.75" customHeight="1" x14ac:dyDescent="0.15">
      <c r="A75" s="4"/>
      <c r="B75" s="185"/>
      <c r="C75" s="186"/>
      <c r="D75" s="186"/>
      <c r="E75" s="186"/>
      <c r="F75" s="186"/>
      <c r="G75" s="186"/>
      <c r="H75" s="186"/>
      <c r="I75" s="187"/>
    </row>
    <row r="76" spans="1:9" ht="18.75" customHeight="1" x14ac:dyDescent="0.15">
      <c r="A76" s="4"/>
      <c r="B76" s="185"/>
      <c r="C76" s="186"/>
      <c r="D76" s="186"/>
      <c r="E76" s="186"/>
      <c r="F76" s="186"/>
      <c r="G76" s="186"/>
      <c r="H76" s="186"/>
      <c r="I76" s="187"/>
    </row>
    <row r="77" spans="1:9" ht="18.75" customHeight="1" x14ac:dyDescent="0.15">
      <c r="A77" s="4"/>
      <c r="B77" s="188"/>
      <c r="C77" s="189"/>
      <c r="D77" s="189"/>
      <c r="E77" s="189"/>
      <c r="F77" s="189"/>
      <c r="G77" s="189"/>
      <c r="H77" s="189"/>
      <c r="I77" s="19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2" t="s">
        <v>144</v>
      </c>
      <c r="C80" s="183"/>
      <c r="D80" s="183"/>
      <c r="E80" s="183"/>
      <c r="F80" s="183"/>
      <c r="G80" s="183"/>
      <c r="H80" s="183"/>
      <c r="I80" s="191"/>
    </row>
    <row r="81" spans="1:9" ht="18.75" customHeight="1" x14ac:dyDescent="0.15">
      <c r="A81" s="1"/>
      <c r="B81" s="192"/>
      <c r="C81" s="193"/>
      <c r="D81" s="193"/>
      <c r="E81" s="193"/>
      <c r="F81" s="193"/>
      <c r="G81" s="193"/>
      <c r="H81" s="193"/>
      <c r="I81" s="194"/>
    </row>
    <row r="82" spans="1:9" ht="18.75" customHeight="1" x14ac:dyDescent="0.15">
      <c r="A82" s="1"/>
      <c r="B82" s="192"/>
      <c r="C82" s="193"/>
      <c r="D82" s="193"/>
      <c r="E82" s="193"/>
      <c r="F82" s="193"/>
      <c r="G82" s="193"/>
      <c r="H82" s="193"/>
      <c r="I82" s="194"/>
    </row>
    <row r="83" spans="1:9" ht="18.75" customHeight="1" x14ac:dyDescent="0.15">
      <c r="A83" s="1"/>
      <c r="B83" s="192"/>
      <c r="C83" s="193"/>
      <c r="D83" s="193"/>
      <c r="E83" s="193"/>
      <c r="F83" s="193"/>
      <c r="G83" s="193"/>
      <c r="H83" s="193"/>
      <c r="I83" s="194"/>
    </row>
    <row r="84" spans="1:9" ht="18.75" customHeight="1" x14ac:dyDescent="0.15">
      <c r="A84" s="1"/>
      <c r="B84" s="192"/>
      <c r="C84" s="193"/>
      <c r="D84" s="193"/>
      <c r="E84" s="193"/>
      <c r="F84" s="193"/>
      <c r="G84" s="193"/>
      <c r="H84" s="193"/>
      <c r="I84" s="194"/>
    </row>
    <row r="85" spans="1:9" ht="18.75" customHeight="1" x14ac:dyDescent="0.15">
      <c r="A85" s="1"/>
      <c r="B85" s="192"/>
      <c r="C85" s="193"/>
      <c r="D85" s="193"/>
      <c r="E85" s="193"/>
      <c r="F85" s="193"/>
      <c r="G85" s="193"/>
      <c r="H85" s="193"/>
      <c r="I85" s="194"/>
    </row>
    <row r="86" spans="1:9" ht="18.75" customHeight="1" x14ac:dyDescent="0.15">
      <c r="A86" s="1"/>
      <c r="B86" s="192"/>
      <c r="C86" s="193"/>
      <c r="D86" s="193"/>
      <c r="E86" s="193"/>
      <c r="F86" s="193"/>
      <c r="G86" s="193"/>
      <c r="H86" s="193"/>
      <c r="I86" s="194"/>
    </row>
    <row r="87" spans="1:9" ht="18.75" customHeight="1" x14ac:dyDescent="0.15">
      <c r="A87" s="1"/>
      <c r="B87" s="192"/>
      <c r="C87" s="193"/>
      <c r="D87" s="193"/>
      <c r="E87" s="193"/>
      <c r="F87" s="193"/>
      <c r="G87" s="193"/>
      <c r="H87" s="193"/>
      <c r="I87" s="194"/>
    </row>
    <row r="88" spans="1:9" ht="18.75" customHeight="1" x14ac:dyDescent="0.15">
      <c r="A88" s="1"/>
      <c r="B88" s="192"/>
      <c r="C88" s="193"/>
      <c r="D88" s="193"/>
      <c r="E88" s="193"/>
      <c r="F88" s="193"/>
      <c r="G88" s="193"/>
      <c r="H88" s="193"/>
      <c r="I88" s="194"/>
    </row>
    <row r="89" spans="1:9" ht="18.75" customHeight="1" x14ac:dyDescent="0.15">
      <c r="A89" s="1"/>
      <c r="B89" s="192"/>
      <c r="C89" s="193"/>
      <c r="D89" s="193"/>
      <c r="E89" s="193"/>
      <c r="F89" s="193"/>
      <c r="G89" s="193"/>
      <c r="H89" s="193"/>
      <c r="I89" s="194"/>
    </row>
    <row r="90" spans="1:9" ht="18.75" customHeight="1" x14ac:dyDescent="0.15">
      <c r="A90" s="4"/>
      <c r="B90" s="192"/>
      <c r="C90" s="193"/>
      <c r="D90" s="193"/>
      <c r="E90" s="193"/>
      <c r="F90" s="193"/>
      <c r="G90" s="193"/>
      <c r="H90" s="193"/>
      <c r="I90" s="194"/>
    </row>
    <row r="91" spans="1:9" ht="18.75" customHeight="1" x14ac:dyDescent="0.15">
      <c r="A91" s="4"/>
      <c r="B91" s="195"/>
      <c r="C91" s="196"/>
      <c r="D91" s="196"/>
      <c r="E91" s="196"/>
      <c r="F91" s="196"/>
      <c r="G91" s="196"/>
      <c r="H91" s="196"/>
      <c r="I91" s="19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9" t="s">
        <v>145</v>
      </c>
      <c r="C94" s="210"/>
      <c r="D94" s="210"/>
      <c r="E94" s="210"/>
      <c r="F94" s="210"/>
      <c r="G94" s="210"/>
      <c r="H94" s="210"/>
      <c r="I94" s="211"/>
    </row>
    <row r="95" spans="1:9" ht="18.75" customHeight="1" x14ac:dyDescent="0.15">
      <c r="A95" s="1"/>
      <c r="B95" s="212"/>
      <c r="C95" s="213"/>
      <c r="D95" s="213"/>
      <c r="E95" s="213"/>
      <c r="F95" s="213"/>
      <c r="G95" s="213"/>
      <c r="H95" s="213"/>
      <c r="I95" s="214"/>
    </row>
    <row r="96" spans="1:9" ht="18.75" customHeight="1" x14ac:dyDescent="0.15">
      <c r="A96" s="1"/>
      <c r="B96" s="212"/>
      <c r="C96" s="213"/>
      <c r="D96" s="213"/>
      <c r="E96" s="213"/>
      <c r="F96" s="213"/>
      <c r="G96" s="213"/>
      <c r="H96" s="213"/>
      <c r="I96" s="214"/>
    </row>
    <row r="97" spans="1:9" ht="18.75" customHeight="1" x14ac:dyDescent="0.15">
      <c r="A97" s="1"/>
      <c r="B97" s="212"/>
      <c r="C97" s="213"/>
      <c r="D97" s="213"/>
      <c r="E97" s="213"/>
      <c r="F97" s="213"/>
      <c r="G97" s="213"/>
      <c r="H97" s="213"/>
      <c r="I97" s="214"/>
    </row>
    <row r="98" spans="1:9" ht="18.75" customHeight="1" x14ac:dyDescent="0.15">
      <c r="A98" s="1"/>
      <c r="B98" s="212"/>
      <c r="C98" s="213"/>
      <c r="D98" s="213"/>
      <c r="E98" s="213"/>
      <c r="F98" s="213"/>
      <c r="G98" s="213"/>
      <c r="H98" s="213"/>
      <c r="I98" s="214"/>
    </row>
    <row r="99" spans="1:9" ht="18.75" customHeight="1" x14ac:dyDescent="0.15">
      <c r="A99" s="1"/>
      <c r="B99" s="212"/>
      <c r="C99" s="213"/>
      <c r="D99" s="213"/>
      <c r="E99" s="213"/>
      <c r="F99" s="213"/>
      <c r="G99" s="213"/>
      <c r="H99" s="213"/>
      <c r="I99" s="214"/>
    </row>
    <row r="100" spans="1:9" ht="18.75" customHeight="1" x14ac:dyDescent="0.15">
      <c r="A100" s="1"/>
      <c r="B100" s="212"/>
      <c r="C100" s="213"/>
      <c r="D100" s="213"/>
      <c r="E100" s="213"/>
      <c r="F100" s="213"/>
      <c r="G100" s="213"/>
      <c r="H100" s="213"/>
      <c r="I100" s="214"/>
    </row>
    <row r="101" spans="1:9" ht="18.75" customHeight="1" x14ac:dyDescent="0.15">
      <c r="A101" s="1"/>
      <c r="B101" s="212"/>
      <c r="C101" s="213"/>
      <c r="D101" s="213"/>
      <c r="E101" s="213"/>
      <c r="F101" s="213"/>
      <c r="G101" s="213"/>
      <c r="H101" s="213"/>
      <c r="I101" s="214"/>
    </row>
    <row r="102" spans="1:9" ht="18.75" customHeight="1" x14ac:dyDescent="0.15">
      <c r="A102" s="1"/>
      <c r="B102" s="212"/>
      <c r="C102" s="213"/>
      <c r="D102" s="213"/>
      <c r="E102" s="213"/>
      <c r="F102" s="213"/>
      <c r="G102" s="213"/>
      <c r="H102" s="213"/>
      <c r="I102" s="214"/>
    </row>
    <row r="103" spans="1:9" ht="18.75" customHeight="1" x14ac:dyDescent="0.15">
      <c r="A103" s="1"/>
      <c r="B103" s="212"/>
      <c r="C103" s="213"/>
      <c r="D103" s="213"/>
      <c r="E103" s="213"/>
      <c r="F103" s="213"/>
      <c r="G103" s="213"/>
      <c r="H103" s="213"/>
      <c r="I103" s="214"/>
    </row>
    <row r="104" spans="1:9" ht="18.75" customHeight="1" x14ac:dyDescent="0.15">
      <c r="A104" s="1"/>
      <c r="B104" s="212"/>
      <c r="C104" s="213"/>
      <c r="D104" s="213"/>
      <c r="E104" s="213"/>
      <c r="F104" s="213"/>
      <c r="G104" s="213"/>
      <c r="H104" s="213"/>
      <c r="I104" s="214"/>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30</v>
      </c>
      <c r="B107" s="218" t="s">
        <v>46</v>
      </c>
      <c r="C107" s="218"/>
      <c r="D107" s="218"/>
      <c r="E107" s="218"/>
      <c r="F107" s="218"/>
      <c r="G107" s="218"/>
      <c r="H107" s="218"/>
      <c r="I107" s="218"/>
    </row>
    <row r="108" spans="1:9" ht="18.75" customHeight="1" x14ac:dyDescent="0.15">
      <c r="A108" s="4"/>
      <c r="B108" s="209" t="s">
        <v>146</v>
      </c>
      <c r="C108" s="210"/>
      <c r="D108" s="210"/>
      <c r="E108" s="210"/>
      <c r="F108" s="210"/>
      <c r="G108" s="210"/>
      <c r="H108" s="210"/>
      <c r="I108" s="211"/>
    </row>
    <row r="109" spans="1:9" ht="18.75" customHeight="1" x14ac:dyDescent="0.15">
      <c r="A109" s="4"/>
      <c r="B109" s="212"/>
      <c r="C109" s="213"/>
      <c r="D109" s="213"/>
      <c r="E109" s="213"/>
      <c r="F109" s="213"/>
      <c r="G109" s="213"/>
      <c r="H109" s="213"/>
      <c r="I109" s="214"/>
    </row>
    <row r="110" spans="1:9" ht="18.75" customHeight="1" x14ac:dyDescent="0.15">
      <c r="A110" s="4"/>
      <c r="B110" s="212"/>
      <c r="C110" s="213"/>
      <c r="D110" s="213"/>
      <c r="E110" s="213"/>
      <c r="F110" s="213"/>
      <c r="G110" s="213"/>
      <c r="H110" s="213"/>
      <c r="I110" s="214"/>
    </row>
    <row r="111" spans="1:9" ht="18.75" customHeight="1" x14ac:dyDescent="0.15">
      <c r="A111" s="4"/>
      <c r="B111" s="212"/>
      <c r="C111" s="213"/>
      <c r="D111" s="213"/>
      <c r="E111" s="213"/>
      <c r="F111" s="213"/>
      <c r="G111" s="213"/>
      <c r="H111" s="213"/>
      <c r="I111" s="214"/>
    </row>
    <row r="112" spans="1:9" ht="18.75" customHeight="1" x14ac:dyDescent="0.15">
      <c r="A112" s="4"/>
      <c r="B112" s="212"/>
      <c r="C112" s="213"/>
      <c r="D112" s="213"/>
      <c r="E112" s="213"/>
      <c r="F112" s="213"/>
      <c r="G112" s="213"/>
      <c r="H112" s="213"/>
      <c r="I112" s="214"/>
    </row>
    <row r="113" spans="1:9" ht="18.75" customHeight="1" x14ac:dyDescent="0.15">
      <c r="A113" s="4"/>
      <c r="B113" s="212"/>
      <c r="C113" s="213"/>
      <c r="D113" s="213"/>
      <c r="E113" s="213"/>
      <c r="F113" s="213"/>
      <c r="G113" s="213"/>
      <c r="H113" s="213"/>
      <c r="I113" s="214"/>
    </row>
    <row r="114" spans="1:9" ht="18.75" customHeight="1" x14ac:dyDescent="0.15">
      <c r="A114" s="4"/>
      <c r="B114" s="212"/>
      <c r="C114" s="213"/>
      <c r="D114" s="213"/>
      <c r="E114" s="213"/>
      <c r="F114" s="213"/>
      <c r="G114" s="213"/>
      <c r="H114" s="213"/>
      <c r="I114" s="214"/>
    </row>
    <row r="115" spans="1:9" ht="18.75" customHeight="1" x14ac:dyDescent="0.15">
      <c r="A115" s="4"/>
      <c r="B115" s="212"/>
      <c r="C115" s="213"/>
      <c r="D115" s="213"/>
      <c r="E115" s="213"/>
      <c r="F115" s="213"/>
      <c r="G115" s="213"/>
      <c r="H115" s="213"/>
      <c r="I115" s="214"/>
    </row>
    <row r="116" spans="1:9" ht="18.75" customHeight="1" x14ac:dyDescent="0.15">
      <c r="A116" s="4"/>
      <c r="B116" s="212"/>
      <c r="C116" s="213"/>
      <c r="D116" s="213"/>
      <c r="E116" s="213"/>
      <c r="F116" s="213"/>
      <c r="G116" s="213"/>
      <c r="H116" s="213"/>
      <c r="I116" s="214"/>
    </row>
    <row r="117" spans="1:9" ht="18.75" customHeight="1" x14ac:dyDescent="0.15">
      <c r="A117" s="4"/>
      <c r="B117" s="212"/>
      <c r="C117" s="213"/>
      <c r="D117" s="213"/>
      <c r="E117" s="213"/>
      <c r="F117" s="213"/>
      <c r="G117" s="213"/>
      <c r="H117" s="213"/>
      <c r="I117" s="214"/>
    </row>
    <row r="118" spans="1:9" ht="18.75" customHeight="1" x14ac:dyDescent="0.15">
      <c r="A118" s="4"/>
      <c r="B118" s="212"/>
      <c r="C118" s="213"/>
      <c r="D118" s="213"/>
      <c r="E118" s="213"/>
      <c r="F118" s="213"/>
      <c r="G118" s="213"/>
      <c r="H118" s="213"/>
      <c r="I118" s="214"/>
    </row>
    <row r="119" spans="1:9" ht="18.75" customHeight="1" x14ac:dyDescent="0.15">
      <c r="A119" s="4"/>
      <c r="B119" s="215"/>
      <c r="C119" s="216"/>
      <c r="D119" s="216"/>
      <c r="E119" s="216"/>
      <c r="F119" s="216"/>
      <c r="G119" s="216"/>
      <c r="H119" s="216"/>
      <c r="I119" s="21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A10" sqref="A1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
        <v>127</v>
      </c>
    </row>
    <row r="3" spans="1:9" ht="18.75" customHeight="1" x14ac:dyDescent="0.15">
      <c r="A3" s="105" t="s">
        <v>28</v>
      </c>
      <c r="B3" s="105"/>
      <c r="C3" s="105"/>
      <c r="D3" s="105"/>
      <c r="E3" s="105"/>
      <c r="F3" s="105"/>
      <c r="G3" s="105"/>
      <c r="H3" s="105"/>
      <c r="I3" s="10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7" t="s">
        <v>132</v>
      </c>
      <c r="C6" s="255"/>
      <c r="D6" s="255"/>
      <c r="E6" s="255"/>
      <c r="F6" s="255"/>
      <c r="G6" s="255"/>
      <c r="H6" s="256"/>
      <c r="I6" s="3"/>
    </row>
    <row r="7" spans="1:9" ht="9" customHeight="1" x14ac:dyDescent="0.15">
      <c r="A7" s="5"/>
      <c r="B7" s="10"/>
      <c r="C7" s="10"/>
      <c r="D7" s="10"/>
      <c r="E7" s="10"/>
      <c r="F7" s="10"/>
      <c r="G7" s="10"/>
      <c r="H7" s="10"/>
      <c r="I7" s="3"/>
    </row>
    <row r="8" spans="1:9" ht="18.75" customHeight="1" x14ac:dyDescent="0.15">
      <c r="A8" s="5"/>
      <c r="B8" s="3"/>
      <c r="C8" s="3"/>
      <c r="D8" s="35" t="s">
        <v>43</v>
      </c>
      <c r="E8" s="36" t="s">
        <v>136</v>
      </c>
      <c r="F8" s="3"/>
      <c r="G8" s="35" t="s">
        <v>10</v>
      </c>
      <c r="H8" s="36" t="s">
        <v>134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50" t="s">
        <v>14</v>
      </c>
      <c r="C12" s="57"/>
      <c r="D12" s="51"/>
      <c r="E12" s="58"/>
      <c r="F12" s="58"/>
      <c r="G12" s="58"/>
      <c r="H12" s="58"/>
      <c r="I12" s="51"/>
    </row>
    <row r="13" spans="1:9" ht="210.75" customHeight="1" x14ac:dyDescent="0.15">
      <c r="B13" s="52"/>
      <c r="C13" s="238" t="s">
        <v>15</v>
      </c>
      <c r="D13" s="239"/>
      <c r="E13" s="251" t="s">
        <v>141</v>
      </c>
      <c r="F13" s="240"/>
      <c r="G13" s="240"/>
      <c r="H13" s="240"/>
      <c r="I13" s="241"/>
    </row>
    <row r="14" spans="1:9" ht="210.75" customHeight="1" x14ac:dyDescent="0.15">
      <c r="B14" s="52"/>
      <c r="C14" s="253" t="s">
        <v>16</v>
      </c>
      <c r="D14" s="254"/>
      <c r="E14" s="251" t="s">
        <v>149</v>
      </c>
      <c r="F14" s="240"/>
      <c r="G14" s="240"/>
      <c r="H14" s="240"/>
      <c r="I14" s="241"/>
    </row>
    <row r="15" spans="1:9" ht="210.75" customHeight="1" x14ac:dyDescent="0.15">
      <c r="B15" s="52"/>
      <c r="C15" s="238" t="s">
        <v>17</v>
      </c>
      <c r="D15" s="239"/>
      <c r="E15" s="251" t="s">
        <v>150</v>
      </c>
      <c r="F15" s="240"/>
      <c r="G15" s="240"/>
      <c r="H15" s="240"/>
      <c r="I15" s="241"/>
    </row>
    <row r="16" spans="1:9" ht="210.75" customHeight="1" x14ac:dyDescent="0.15">
      <c r="B16" s="52"/>
      <c r="C16" s="238" t="s">
        <v>18</v>
      </c>
      <c r="D16" s="239"/>
      <c r="E16" s="251" t="s">
        <v>137</v>
      </c>
      <c r="F16" s="240"/>
      <c r="G16" s="240"/>
      <c r="H16" s="240"/>
      <c r="I16" s="241"/>
    </row>
    <row r="17" spans="2:9" ht="210.75" customHeight="1" x14ac:dyDescent="0.15">
      <c r="B17" s="53"/>
      <c r="C17" s="242" t="s">
        <v>19</v>
      </c>
      <c r="D17" s="243"/>
      <c r="E17" s="252" t="s">
        <v>138</v>
      </c>
      <c r="F17" s="244"/>
      <c r="G17" s="244"/>
      <c r="H17" s="244"/>
      <c r="I17" s="245"/>
    </row>
    <row r="18" spans="2:9" ht="24" customHeight="1" x14ac:dyDescent="0.15">
      <c r="B18" s="50" t="s">
        <v>20</v>
      </c>
      <c r="C18" s="54"/>
      <c r="D18" s="55"/>
      <c r="E18" s="56"/>
      <c r="F18" s="56"/>
      <c r="G18" s="56"/>
      <c r="H18" s="56"/>
      <c r="I18" s="59"/>
    </row>
    <row r="19" spans="2:9" ht="218.25" customHeight="1" x14ac:dyDescent="0.15">
      <c r="B19" s="52"/>
      <c r="C19" s="238" t="s">
        <v>21</v>
      </c>
      <c r="D19" s="239"/>
      <c r="E19" s="240" t="s">
        <v>140</v>
      </c>
      <c r="F19" s="240"/>
      <c r="G19" s="240"/>
      <c r="H19" s="240"/>
      <c r="I19" s="241"/>
    </row>
    <row r="20" spans="2:9" ht="218.25" customHeight="1" x14ac:dyDescent="0.15">
      <c r="B20" s="53"/>
      <c r="C20" s="242" t="s">
        <v>22</v>
      </c>
      <c r="D20" s="243"/>
      <c r="E20" s="244" t="s">
        <v>160</v>
      </c>
      <c r="F20" s="244"/>
      <c r="G20" s="244"/>
      <c r="H20" s="244"/>
      <c r="I20" s="245"/>
    </row>
    <row r="21" spans="2:9" ht="218.25" customHeight="1" x14ac:dyDescent="0.15">
      <c r="B21" s="246" t="s">
        <v>23</v>
      </c>
      <c r="C21" s="247"/>
      <c r="D21" s="248"/>
      <c r="E21" s="249" t="s">
        <v>139</v>
      </c>
      <c r="F21" s="249"/>
      <c r="G21" s="249"/>
      <c r="H21" s="249"/>
      <c r="I21" s="250"/>
    </row>
    <row r="22" spans="2:9" ht="218.25" customHeight="1" x14ac:dyDescent="0.15">
      <c r="B22" s="233" t="s">
        <v>38</v>
      </c>
      <c r="C22" s="234"/>
      <c r="D22" s="235"/>
      <c r="E22" s="236" t="s">
        <v>151</v>
      </c>
      <c r="F22" s="236"/>
      <c r="G22" s="236"/>
      <c r="H22" s="236"/>
      <c r="I22" s="23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kato</cp:lastModifiedBy>
  <cp:lastPrinted>2023-02-27T05:46:39Z</cp:lastPrinted>
  <dcterms:created xsi:type="dcterms:W3CDTF">2011-06-14T05:32:50Z</dcterms:created>
  <dcterms:modified xsi:type="dcterms:W3CDTF">2023-08-08T04:09:37Z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