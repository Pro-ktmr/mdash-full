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24226"/>
  <mc:AlternateContent xmlns:mc="http://schemas.openxmlformats.org/markup-compatibility/2006">
    <mc:Choice Requires="x15">
      <x15ac:absPath xmlns:x15ac="http://schemas.microsoft.com/office/spreadsheetml/2010/11/ac" url="B:\kyoumuka\【岡崎キャンパス】\　(数理・データサイエンス・AI教育プログラム認定制度）\　申請後修正依頼23.8.1\01.人間環境大学_リテラシー（修正用）\"/>
    </mc:Choice>
  </mc:AlternateContent>
  <xr:revisionPtr revIDLastSave="0" documentId="13_ncr:1_{E37B7A37-5741-4F54-B6E9-5D069CEE5B5D}" xr6:coauthVersionLast="47" xr6:coauthVersionMax="47" xr10:uidLastSave="{00000000-0000-0000-0000-000000000000}"/>
  <bookViews>
    <workbookView xWindow="-120" yWindow="-120" windowWidth="29040" windowHeight="15840" tabRatio="927" firstSheet="1" activeTab="3" xr2:uid="{00000000-000D-0000-FFFF-FFFF00000000}"/>
  </bookViews>
  <sheets>
    <sheet name="様式１ー１　プログラムを構成する授業科目（心理・環境科学部）" sheetId="39" r:id="rId1"/>
    <sheet name="様式１ー２　プログラムを構成する授業科目（看護学部）" sheetId="47" r:id="rId2"/>
    <sheet name="様式１ー３　プログラムを構成する授業科目（松山看護学部）" sheetId="44" r:id="rId3"/>
    <sheet name="様式１ー４　プログラムを構成する授業科目（総合心理学部" sheetId="45" r:id="rId4"/>
    <sheet name="様式２ 履修者等数の実績" sheetId="40" r:id="rId5"/>
    <sheet name="様式３ 教育の質・履修者数を向上させるための体制・計画" sheetId="41" r:id="rId6"/>
    <sheet name="様式４　自己点検・評価" sheetId="46" r:id="rId7"/>
  </sheets>
  <externalReferences>
    <externalReference r:id="rId8"/>
  </externalReferences>
  <definedNames>
    <definedName name="_xlnm._FilterDatabase" localSheetId="0" hidden="1">'様式１ー１　プログラムを構成する授業科目（心理・環境科学部）'!$V$14:$V$16</definedName>
    <definedName name="_xlnm._FilterDatabase" localSheetId="1" hidden="1">'様式１ー２　プログラムを構成する授業科目（看護学部）'!$V$14:$V$16</definedName>
    <definedName name="_xlnm._FilterDatabase" localSheetId="2" hidden="1">'様式１ー３　プログラムを構成する授業科目（松山看護学部）'!$V$14:$V$16</definedName>
    <definedName name="_xlnm._FilterDatabase" localSheetId="3" hidden="1">'様式１ー４　プログラムを構成する授業科目（総合心理学部'!$V$14:$V$16</definedName>
    <definedName name="_xlnm._FilterDatabase" localSheetId="4" hidden="1">'様式２ 履修者等数の実績'!#REF!</definedName>
    <definedName name="_xlnm.Print_Area" localSheetId="0">'様式１ー１　プログラムを構成する授業科目（心理・環境科学部）'!$A$1:$S$102</definedName>
    <definedName name="_xlnm.Print_Area" localSheetId="1">'様式１ー２　プログラムを構成する授業科目（看護学部）'!$A$1:$T$102</definedName>
    <definedName name="_xlnm.Print_Area" localSheetId="2">'様式１ー３　プログラムを構成する授業科目（松山看護学部）'!$A$1:$S$102</definedName>
    <definedName name="_xlnm.Print_Area" localSheetId="3">'様式１ー４　プログラムを構成する授業科目（総合心理学部'!$A$1:$S$102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6" l="1"/>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<sst xmlns="http://schemas.openxmlformats.org/spreadsheetml/2006/main" count="823" uniqueCount="264">
  <si>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</si>
  <si>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</si>
  <si>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</si>
  <si>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</si>
  <si>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</si>
  <si>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</si>
  <si>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</si>
  <si>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</si>
  <si>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</si>
  <si>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</si>
  <si>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</si>
  <si>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</si>
  <si>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</si>
  <si>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</si>
  <si>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</si>
  <si>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</si>
  <si>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</si>
  <si>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</si>
  <si>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</si>
  <si>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</si>
  <si>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</si>
  <si>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</si>
  <si>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</si>
  <si>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</si>
  <si>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</si>
  <si>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</si>
  <si>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</si>
  <si>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</si>
  <si>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</si>
  <si>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</si>
  <si>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</si>
  <si>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</si>
  <si>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</si>
  <si>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</si>
  <si>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</si>
  <si>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</si>
  <si>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</si>
  <si>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</si>
  <si>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</si>
  <si>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</si>
  <si>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</si>
  <si>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</si>
  <si>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</si>
  <si>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</si>
  <si>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</si>
  <si>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</si>
  <si>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</si>
  <si>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</si>
  <si>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</si>
  <si>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</si>
  <si>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</si>
  <si>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</si>
  <si>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</si>
  <si>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</si>
  <si>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</si>
  <si>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</si>
  <si>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</si>
  <si>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</si>
  <si>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</si>
  <si>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</si>
  <si>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</si>
  <si>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</si>
  <si>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</si>
  <si>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</si>
  <si>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</si>
  <si>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</si>
  <si>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</si>
  <si>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</si>
  <si>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</si>
  <si>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</si>
  <si>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</si>
  <si>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</si>
  <si>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</si>
  <si>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</si>
  <si>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</si>
  <si>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</si>
  <si>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</si>
  <si>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</si>
  <si>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</si>
  <si>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</si>
  <si>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</si>
  <si>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</si>
  <si>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</si>
  <si>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</si>
  <si>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</si>
  <si>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</si>
  <si>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</si>
  <si>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</si>
  <si>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</si>
  <si>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</si>
  <si>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</si>
  <si>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</si>
  <si>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</si>
  <si>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</si>
  <si>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</si>
  <si>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</si>
  <si>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</si>
  <si>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</si>
  <si>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</si>
  <si>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</si>
  <si>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</si>
  <si>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</si>
  <si>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</si>
  <si>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</si>
  <si>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</si>
  <si>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</si>
  <si>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</si>
  <si>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</si>
  <si>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</si>
  <si>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</si>
  <si>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</si>
  <si>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</si>
  <si>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</si>
  <si>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</si>
  <si>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</si>
  <si>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</si>
  <si>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</si>
  <si>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</si>
  <si>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</si>
  <si>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</si>
  <si>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</si>
  <si>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</si>
  <si>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</si>
  <si>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</si>
  <si>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</si>
  <si>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</si>
  <si>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t>
  </si>
  <si>
    <t>人間環境大学</t>
    <rPh sb="0" eb="6">
      <t>ニンゲンカンキョウダイガク</t>
    </rPh>
    <phoneticPr fontId="1"/>
  </si>
  <si>
    <t>心と身体と環境の未来を拓くデータサイエンティスト育成プログラム</t>
    <phoneticPr fontId="1"/>
  </si>
  <si>
    <t>科目(1)データサイエンス概論</t>
    <rPh sb="0" eb="2">
      <t>カモク</t>
    </rPh>
    <phoneticPr fontId="1"/>
  </si>
  <si>
    <t>科目(1)データサイエンス概論</t>
    <phoneticPr fontId="1"/>
  </si>
  <si>
    <t>科目(2)環境情報リテラシー</t>
    <phoneticPr fontId="1"/>
  </si>
  <si>
    <t>全学部・学科を対象としたデータサイエンスの導入的教育であり、データサイエンスで必要とされる知識や技術，手法について理解するとともに、実社会の中でどのように活用されているのか、今後どのような分野で応用されるのか、などについて学習する。さらに、データサイエンスに必要な統計学や数学の基礎学力と素養を修得し、社会で必要とされている数理・データサイエンスの基礎知識と関連技術の理解、加えて、学習意欲と知的探究心を身につける。</t>
    <phoneticPr fontId="1"/>
  </si>
  <si>
    <t>・情報セキュリティ：機密性、完全性、可用性：「科目(2)第11回」
・匿名加工情報、暗号化、パスワード、悪意ある情報搾取：「科目(2)第11回」
・情報漏洩等によるセキュリティ事故の事例紹介：「科目(2)第11回」</t>
    <phoneticPr fontId="1"/>
  </si>
  <si>
    <t>薄井智貴</t>
    <rPh sb="0" eb="2">
      <t>ウスイ</t>
    </rPh>
    <rPh sb="2" eb="4">
      <t>トモタカ</t>
    </rPh>
    <phoneticPr fontId="1"/>
  </si>
  <si>
    <t>教授</t>
    <rPh sb="0" eb="2">
      <t>キョウジュ</t>
    </rPh>
    <phoneticPr fontId="1"/>
  </si>
  <si>
    <t>データサイエンス・AI教育推進室</t>
    <rPh sb="11" eb="13">
      <t>キョウイク</t>
    </rPh>
    <rPh sb="13" eb="16">
      <t>スイシンシツ</t>
    </rPh>
    <phoneticPr fontId="1"/>
  </si>
  <si>
    <t>城田純平</t>
    <rPh sb="0" eb="2">
      <t>シロタ</t>
    </rPh>
    <rPh sb="2" eb="4">
      <t>ジュンペイ</t>
    </rPh>
    <phoneticPr fontId="1"/>
  </si>
  <si>
    <t>室長</t>
    <rPh sb="0" eb="2">
      <t>シツチョウ</t>
    </rPh>
    <phoneticPr fontId="1"/>
  </si>
  <si>
    <t>数理・データサイエンス・AI教育の推進を目的として、岡崎キャンパス内にデータサイエンス・AI教育推進室を置く。本推進室は全学の共同施設として、データサイエンスおよびAI教育に関するカリキュラムを検討し、教育を進めるための教材の整備や資料等を提供する。また、教育方法や教育技術に関する情報を収集して共有するほか、学内教員へのFDも担当する。</t>
    <rPh sb="0" eb="2">
      <t>スウリ</t>
    </rPh>
    <rPh sb="26" eb="28">
      <t>オカザキ</t>
    </rPh>
    <rPh sb="116" eb="118">
      <t>シリョウ</t>
    </rPh>
    <rPh sb="118" eb="119">
      <t>トウ</t>
    </rPh>
    <rPh sb="148" eb="150">
      <t>キョウユウ</t>
    </rPh>
    <phoneticPr fontId="1"/>
  </si>
  <si>
    <t>室長：城田純平 講師（心理学部心理学科）
所員：中島紀子 教授(松山看護学部）、正司孝太郎 助教(看護学部)
プログラム担当者：薄井智貴（環境科学部）、杉下史紘（看護学部）、上西孝明（松山看護学部）、高野裕治（総合心理学部）
事務担当：横田典昭（教務課）</t>
    <rPh sb="3" eb="5">
      <t>シロタ</t>
    </rPh>
    <rPh sb="5" eb="7">
      <t>ジュンペイ</t>
    </rPh>
    <rPh sb="8" eb="10">
      <t>コウシ</t>
    </rPh>
    <rPh sb="11" eb="15">
      <t>シンリガクブ</t>
    </rPh>
    <rPh sb="15" eb="19">
      <t>シンリガッカ</t>
    </rPh>
    <rPh sb="21" eb="23">
      <t>ショイン</t>
    </rPh>
    <rPh sb="24" eb="26">
      <t>ナカジマ</t>
    </rPh>
    <rPh sb="26" eb="28">
      <t>ノリコ</t>
    </rPh>
    <rPh sb="32" eb="34">
      <t>マツヤマ</t>
    </rPh>
    <rPh sb="34" eb="38">
      <t>カンゴガクブ</t>
    </rPh>
    <rPh sb="40" eb="42">
      <t>ショウジ</t>
    </rPh>
    <rPh sb="42" eb="45">
      <t>コウタロウ</t>
    </rPh>
    <rPh sb="46" eb="48">
      <t>ジョキョウ</t>
    </rPh>
    <rPh sb="49" eb="53">
      <t>カンゴガクブ</t>
    </rPh>
    <rPh sb="60" eb="63">
      <t>タントウシャ</t>
    </rPh>
    <rPh sb="64" eb="68">
      <t>ウスイトモタカ</t>
    </rPh>
    <rPh sb="69" eb="74">
      <t>カンキョウカガクブ</t>
    </rPh>
    <rPh sb="76" eb="78">
      <t>スギシタ</t>
    </rPh>
    <rPh sb="78" eb="79">
      <t>シ</t>
    </rPh>
    <rPh sb="79" eb="80">
      <t>ヒロシ</t>
    </rPh>
    <rPh sb="81" eb="85">
      <t>カンゴガクブ</t>
    </rPh>
    <rPh sb="87" eb="89">
      <t>ウエニシ</t>
    </rPh>
    <rPh sb="89" eb="91">
      <t>タカアキ</t>
    </rPh>
    <rPh sb="92" eb="94">
      <t>マツヤマ</t>
    </rPh>
    <rPh sb="94" eb="98">
      <t>カンゴガクブ</t>
    </rPh>
    <rPh sb="100" eb="102">
      <t>タカノ</t>
    </rPh>
    <rPh sb="102" eb="103">
      <t>ユウ</t>
    </rPh>
    <rPh sb="103" eb="104">
      <t>ジ</t>
    </rPh>
    <rPh sb="105" eb="111">
      <t>ソウゴウシンリガクブ</t>
    </rPh>
    <rPh sb="113" eb="115">
      <t>ジム</t>
    </rPh>
    <rPh sb="115" eb="117">
      <t>タントウ</t>
    </rPh>
    <rPh sb="118" eb="120">
      <t>ヨコタ</t>
    </rPh>
    <rPh sb="120" eb="122">
      <t>ノリアキ</t>
    </rPh>
    <rPh sb="123" eb="126">
      <t>キョウムカ</t>
    </rPh>
    <phoneticPr fontId="1"/>
  </si>
  <si>
    <t>上記の⑧で説明しているように、多くの科目群は必修化しているが、必修化していない学部学科では特に履修指導を徹底しており、前期開始時のオリエンテーションや後期開始時のオリエンテーションにおいても履修を促す資料を作成し配布し、周知を徹底している。</t>
    <rPh sb="45" eb="46">
      <t>トク</t>
    </rPh>
    <rPh sb="59" eb="61">
      <t>ゼンキ</t>
    </rPh>
    <rPh sb="61" eb="64">
      <t>カイシジ</t>
    </rPh>
    <rPh sb="75" eb="80">
      <t>コウキカイシジ</t>
    </rPh>
    <rPh sb="95" eb="97">
      <t>リシュウ</t>
    </rPh>
    <rPh sb="98" eb="99">
      <t>ウナガ</t>
    </rPh>
    <rPh sb="100" eb="102">
      <t>シリョウ</t>
    </rPh>
    <rPh sb="103" eb="105">
      <t>サクセイ</t>
    </rPh>
    <rPh sb="106" eb="108">
      <t>ハイフ</t>
    </rPh>
    <rPh sb="110" eb="112">
      <t>シュウチ</t>
    </rPh>
    <rPh sb="113" eb="115">
      <t>テッテイ</t>
    </rPh>
    <phoneticPr fontId="1"/>
  </si>
  <si>
    <t>本プログラムを構成する科目群は、履修者にとってその多くは必修科目である。また、必修化していない学科（心理学部、環境科学部）においては、特に履修を強く推奨しており、できる限り全員が3年間で履修修了するよう時間割を工夫し、履修ガイダンスで履修を徹底的に指導している。今後も、必修化していない心理学部の履修指導を継続するほか、全学必修化についても検討していく。全学での履修率100%の維持を目標として、本プログラムを継続推進する。なお、環境科学部環境データサイエンス学科においては、全科目を必修化している。</t>
    <rPh sb="13" eb="14">
      <t>グン</t>
    </rPh>
    <rPh sb="16" eb="19">
      <t>リシュウシャ</t>
    </rPh>
    <rPh sb="25" eb="26">
      <t>オオ</t>
    </rPh>
    <rPh sb="28" eb="32">
      <t>ヒッシュウカモク</t>
    </rPh>
    <rPh sb="39" eb="42">
      <t>ヒッシュウカ</t>
    </rPh>
    <rPh sb="47" eb="49">
      <t>ガッカ</t>
    </rPh>
    <rPh sb="50" eb="54">
      <t>シンリガクブ</t>
    </rPh>
    <rPh sb="55" eb="60">
      <t>カンキョウカガクブ</t>
    </rPh>
    <rPh sb="84" eb="85">
      <t>カギ</t>
    </rPh>
    <rPh sb="86" eb="88">
      <t>ゼンイン</t>
    </rPh>
    <rPh sb="90" eb="92">
      <t>ネンカン</t>
    </rPh>
    <rPh sb="93" eb="95">
      <t>リシュウ</t>
    </rPh>
    <rPh sb="95" eb="97">
      <t>シュウリョウ</t>
    </rPh>
    <rPh sb="101" eb="104">
      <t>ジカンワリ</t>
    </rPh>
    <rPh sb="105" eb="107">
      <t>クフウ</t>
    </rPh>
    <rPh sb="117" eb="119">
      <t>リシュウ</t>
    </rPh>
    <rPh sb="143" eb="145">
      <t>シンリ</t>
    </rPh>
    <rPh sb="145" eb="147">
      <t>ガクブ</t>
    </rPh>
    <rPh sb="215" eb="220">
      <t>カンキョウカガクブ</t>
    </rPh>
    <rPh sb="220" eb="222">
      <t>カンキョウ</t>
    </rPh>
    <rPh sb="230" eb="232">
      <t>ガッカ</t>
    </rPh>
    <rPh sb="238" eb="241">
      <t>ゼンカモク</t>
    </rPh>
    <rPh sb="242" eb="245">
      <t>ヒッシュウカ</t>
    </rPh>
    <phoneticPr fontId="1"/>
  </si>
  <si>
    <t xml:space="preserve">授業時間内外で学習指導や質問を受け付けるために、以下の仕組みを整備して運営している。
(1) 本プログラムを構成する科目群は、より詳細な授業内容を記載したシラバスを作成しており、履修しているあるいは履修を検討している学生はいつでも確認することができる。
(2) 担当教員のオフィスアワーを公開し、学生がいつでも質問できるサポート体制も整備している。
(3) 学生が自由にPCを利用可能なPC教室を設置（100台）し、数理・データサイエンス・AIの統計解析・情報技術を学ぶために必要な様々なアプリケーションをインストールしている。学生や教職員はPCを自由に利用して学ぶことができるほか、PC相談室を常設して専門助手を配置し、PCや数理データサイエンスに関する質問やアドバイスを受けられるサポート体制を整えている。
</t>
    <rPh sb="47" eb="48">
      <t>ホン</t>
    </rPh>
    <rPh sb="54" eb="56">
      <t>コウセイ</t>
    </rPh>
    <rPh sb="58" eb="61">
      <t>カモクグン</t>
    </rPh>
    <rPh sb="65" eb="67">
      <t>ショウサイ</t>
    </rPh>
    <rPh sb="68" eb="70">
      <t>ジュギョウ</t>
    </rPh>
    <rPh sb="70" eb="72">
      <t>ナイヨウ</t>
    </rPh>
    <rPh sb="73" eb="75">
      <t>キサイ</t>
    </rPh>
    <rPh sb="82" eb="84">
      <t>サクセイ</t>
    </rPh>
    <rPh sb="89" eb="91">
      <t>リシュウ</t>
    </rPh>
    <rPh sb="99" eb="101">
      <t>リシュウ</t>
    </rPh>
    <rPh sb="102" eb="104">
      <t>ケントウ</t>
    </rPh>
    <rPh sb="115" eb="117">
      <t>カクニン</t>
    </rPh>
    <rPh sb="179" eb="181">
      <t xml:space="preserve">ガクセイガ </t>
    </rPh>
    <rPh sb="182" eb="184">
      <t xml:space="preserve">ジユウニ </t>
    </rPh>
    <rPh sb="188" eb="190">
      <t xml:space="preserve">リヨウ </t>
    </rPh>
    <rPh sb="190" eb="192">
      <t xml:space="preserve">カノウナ </t>
    </rPh>
    <rPh sb="195" eb="197">
      <t xml:space="preserve">キョウシツ </t>
    </rPh>
    <rPh sb="198" eb="200">
      <t xml:space="preserve">セッチシ </t>
    </rPh>
    <rPh sb="204" eb="205">
      <t xml:space="preserve">ダイ </t>
    </rPh>
    <rPh sb="208" eb="210">
      <t xml:space="preserve">スウリ </t>
    </rPh>
    <rPh sb="223" eb="227">
      <t xml:space="preserve">トウケイカイセキ </t>
    </rPh>
    <rPh sb="228" eb="232">
      <t xml:space="preserve">ジョウホウギジュツ </t>
    </rPh>
    <rPh sb="233" eb="234">
      <t xml:space="preserve">マナブタメニ </t>
    </rPh>
    <rPh sb="238" eb="240">
      <t xml:space="preserve">ヒツヨウナ </t>
    </rPh>
    <rPh sb="241" eb="242">
      <t xml:space="preserve">サマザマナ </t>
    </rPh>
    <rPh sb="264" eb="266">
      <t xml:space="preserve">ガクセイ </t>
    </rPh>
    <rPh sb="267" eb="270">
      <t xml:space="preserve">キョウショクイｎ </t>
    </rPh>
    <rPh sb="274" eb="276">
      <t xml:space="preserve">ジユウ </t>
    </rPh>
    <rPh sb="277" eb="279">
      <t xml:space="preserve">リヨウシテ </t>
    </rPh>
    <rPh sb="281" eb="282">
      <t xml:space="preserve">マナブコトガ </t>
    </rPh>
    <rPh sb="294" eb="297">
      <t xml:space="preserve">ソウダンシツ </t>
    </rPh>
    <rPh sb="298" eb="300">
      <t xml:space="preserve">ジョウセツシ </t>
    </rPh>
    <rPh sb="302" eb="304">
      <t xml:space="preserve">センモン </t>
    </rPh>
    <rPh sb="304" eb="306">
      <t xml:space="preserve">ジョシュ </t>
    </rPh>
    <rPh sb="307" eb="309">
      <t xml:space="preserve">ハイチシ </t>
    </rPh>
    <rPh sb="314" eb="316">
      <t xml:space="preserve">スウリ </t>
    </rPh>
    <rPh sb="325" eb="326">
      <t xml:space="preserve">カンスル </t>
    </rPh>
    <rPh sb="328" eb="330">
      <t xml:space="preserve">シツモｎ </t>
    </rPh>
    <rPh sb="337" eb="338">
      <t xml:space="preserve">ウケラレル </t>
    </rPh>
    <rPh sb="346" eb="348">
      <t xml:space="preserve">タイセイヲ </t>
    </rPh>
    <rPh sb="349" eb="350">
      <t xml:space="preserve">トトノエテイル </t>
    </rPh>
    <phoneticPr fontId="1"/>
  </si>
  <si>
    <t xml:space="preserve">1年生と2年生の前期と、1年生の後期の授業開始前に実施する授業オリエンテーション時において履修を促す資料を配布し、周知をしている。また、履修計画相談時においても、優先的に履修するように教員からアドバイスを徹底している。また、PC相談室を常設して専門助手を配置しており、PCや数理・データサイエンスに関する質問やアドバイスを受けられるサポート体制を整えている。さらに、授業履修科目群の担当者のオフィスアワーを公開しており、必要であれば、学生がいつでも履修相談できるサポート体制も整備している。
</t>
    <rPh sb="1" eb="2">
      <t xml:space="preserve">ネンジ </t>
    </rPh>
    <rPh sb="2" eb="3">
      <t xml:space="preserve">セイ </t>
    </rPh>
    <rPh sb="5" eb="7">
      <t xml:space="preserve">ネンセイ </t>
    </rPh>
    <rPh sb="13" eb="15">
      <t xml:space="preserve">ネンセイ </t>
    </rPh>
    <rPh sb="16" eb="18">
      <t>コウキ</t>
    </rPh>
    <rPh sb="19" eb="21">
      <t>ジュギョウ</t>
    </rPh>
    <rPh sb="23" eb="24">
      <t>マエ</t>
    </rPh>
    <rPh sb="25" eb="27">
      <t>ジッシ</t>
    </rPh>
    <rPh sb="29" eb="31">
      <t>ジュギョウ</t>
    </rPh>
    <rPh sb="40" eb="41">
      <t>ジ</t>
    </rPh>
    <rPh sb="57" eb="59">
      <t>シュウチ</t>
    </rPh>
    <rPh sb="81" eb="84">
      <t>ユウセンテキ</t>
    </rPh>
    <rPh sb="85" eb="87">
      <t>リシュウ</t>
    </rPh>
    <rPh sb="92" eb="94">
      <t>キョウイン</t>
    </rPh>
    <rPh sb="116" eb="118">
      <t>ジュギョウ</t>
    </rPh>
    <rPh sb="147" eb="149">
      <t>ヒツヨウ</t>
    </rPh>
    <rPh sb="161" eb="163">
      <t>リシュウ</t>
    </rPh>
    <rPh sb="163" eb="165">
      <t>ソウダン</t>
    </rPh>
    <phoneticPr fontId="1"/>
  </si>
  <si>
    <t>看護学原論（1）</t>
    <phoneticPr fontId="1"/>
  </si>
  <si>
    <t>コンピューター基礎・情報処理法（2）</t>
    <phoneticPr fontId="1"/>
  </si>
  <si>
    <t>○</t>
    <phoneticPr fontId="1"/>
  </si>
  <si>
    <t>学校保健（4）</t>
    <phoneticPr fontId="1"/>
  </si>
  <si>
    <t>保健看護情報学（5）</t>
    <phoneticPr fontId="1"/>
  </si>
  <si>
    <t>保健医療福祉行政論Ⅰ（6）</t>
    <phoneticPr fontId="1"/>
  </si>
  <si>
    <t>看護管理学（7）</t>
    <phoneticPr fontId="1"/>
  </si>
  <si>
    <t>地域・在宅看護学概論Ⅰ（8）</t>
    <rPh sb="0" eb="2">
      <t>チイキ</t>
    </rPh>
    <phoneticPr fontId="1"/>
  </si>
  <si>
    <t>コンピューター基礎・情報処理法(2)</t>
    <phoneticPr fontId="1"/>
  </si>
  <si>
    <t>基礎看護学実習Ⅰ（12）</t>
    <phoneticPr fontId="1"/>
  </si>
  <si>
    <t>科目（5）研究方法論（看護研究原論）</t>
    <rPh sb="0" eb="1">
      <t xml:space="preserve">カモク </t>
    </rPh>
    <rPh sb="5" eb="10">
      <t xml:space="preserve">ケンキュウホウホウロン </t>
    </rPh>
    <rPh sb="11" eb="17">
      <t xml:space="preserve">カンゴケンキュウゲンロン </t>
    </rPh>
    <phoneticPr fontId="1"/>
  </si>
  <si>
    <t>科目（7）疫学</t>
    <rPh sb="0" eb="1">
      <t xml:space="preserve">カモク </t>
    </rPh>
    <rPh sb="5" eb="7">
      <t xml:space="preserve">エキガク </t>
    </rPh>
    <phoneticPr fontId="1"/>
  </si>
  <si>
    <t>科目（4）統計学</t>
    <rPh sb="0" eb="1">
      <t xml:space="preserve">カモク </t>
    </rPh>
    <rPh sb="5" eb="8">
      <t xml:space="preserve">トウケイガク </t>
    </rPh>
    <phoneticPr fontId="1"/>
  </si>
  <si>
    <t>科目（6）コンピュータ基礎・情報処理法</t>
    <phoneticPr fontId="1"/>
  </si>
  <si>
    <t>科目（1）保健看護情報学（ICT）</t>
    <rPh sb="5" eb="12">
      <t>ホケ</t>
    </rPh>
    <phoneticPr fontId="1"/>
  </si>
  <si>
    <t>科目（5）研究方法論（看護研究原論）</t>
    <rPh sb="5" eb="10">
      <t xml:space="preserve">ケンキュウホウホウロン </t>
    </rPh>
    <rPh sb="11" eb="15">
      <t xml:space="preserve">カンゴケンキュウ </t>
    </rPh>
    <rPh sb="15" eb="17">
      <t xml:space="preserve">ゲンロン </t>
    </rPh>
    <phoneticPr fontId="1"/>
  </si>
  <si>
    <t>科目（4）統計学</t>
    <rPh sb="5" eb="8">
      <t xml:space="preserve">トウケイガク </t>
    </rPh>
    <phoneticPr fontId="1"/>
  </si>
  <si>
    <t>科目（1）保健看護情報学（ICT）</t>
    <rPh sb="0" eb="2">
      <t xml:space="preserve">カモク </t>
    </rPh>
    <rPh sb="5" eb="12">
      <t>ホケ</t>
    </rPh>
    <phoneticPr fontId="1"/>
  </si>
  <si>
    <t>科目（3）公衆衛生学</t>
    <rPh sb="0" eb="2">
      <t xml:space="preserve">カモク </t>
    </rPh>
    <rPh sb="5" eb="10">
      <t xml:space="preserve">コウシュウエイセイガク </t>
    </rPh>
    <phoneticPr fontId="1"/>
  </si>
  <si>
    <t>科目（2）（地域）在宅看護学概論</t>
    <rPh sb="0" eb="2">
      <t xml:space="preserve">カモク </t>
    </rPh>
    <rPh sb="6" eb="8">
      <t xml:space="preserve">チイキ </t>
    </rPh>
    <rPh sb="9" eb="16">
      <t xml:space="preserve">ザイタクカンゴガクガイロン </t>
    </rPh>
    <phoneticPr fontId="1"/>
  </si>
  <si>
    <t>科目(1) 情報リテラシー1</t>
    <rPh sb="0" eb="1">
      <t>カモk</t>
    </rPh>
    <phoneticPr fontId="1"/>
  </si>
  <si>
    <t>科目（2）こころとは何か（人間・動物・AI)</t>
    <rPh sb="0" eb="1">
      <t>カモk</t>
    </rPh>
    <phoneticPr fontId="1"/>
  </si>
  <si>
    <t>科目（3）こころは数値化できるか</t>
    <rPh sb="0" eb="1">
      <t>カモk</t>
    </rPh>
    <phoneticPr fontId="1"/>
  </si>
  <si>
    <t>科目(4) 心理学研究法</t>
    <rPh sb="0" eb="2">
      <t>カモク</t>
    </rPh>
    <phoneticPr fontId="1"/>
  </si>
  <si>
    <t>科目(6)消費者の心理学</t>
    <phoneticPr fontId="1"/>
  </si>
  <si>
    <t>科目（2）こころとは何か（人間・動物・AI)</t>
    <phoneticPr fontId="1"/>
  </si>
  <si>
    <t>科目(4) 心理学研究法</t>
    <phoneticPr fontId="1"/>
  </si>
  <si>
    <t>人間の心理や行動に関するデータについて，目的に応じて，データ収集計画を立案，データ収集，データ解析，そしてデータの解釈ができる能力が身につき，実社会でデータサイエンスの力を活用することができるようになる。</t>
    <rPh sb="0" eb="2">
      <t>コウド</t>
    </rPh>
    <phoneticPr fontId="1"/>
  </si>
  <si>
    <t>本プログラムの自己点検・評価を行うため、データサイエンス・AI教育推進室を設置した。また本プログラムに該当する科目については、データサイエンス・AI教育推進室が中心となり、プログラムの履修状況、学生の満足度、学習成果等を総合的に分析した結果について、本学の教学マネジメント委員会が点検・評価を行っている。　　　　　　　　　　　　　　　　　　　　　　　　　　　　　　　　　　　　　　　　　　　　　　　　　　　　　　　　　学生の履修に関する満足度等に関しては、各学部の該当科目で授業アンケートを実施し、評価と分析を行っている。
令和5年度からは4学部の教職員・学生を対象に合同のセミナーを実施し、プログラムのさらなる質向上を行う。</t>
    <rPh sb="33" eb="36">
      <t xml:space="preserve">スイシンシツ </t>
    </rPh>
    <rPh sb="44" eb="45">
      <t>ホン</t>
    </rPh>
    <rPh sb="51" eb="53">
      <t xml:space="preserve">ガイトウスル </t>
    </rPh>
    <rPh sb="55" eb="57">
      <t xml:space="preserve">カモク </t>
    </rPh>
    <rPh sb="74" eb="76">
      <t xml:space="preserve">キョウイク </t>
    </rPh>
    <rPh sb="76" eb="79">
      <t xml:space="preserve">スイシンシツ </t>
    </rPh>
    <rPh sb="80" eb="82">
      <t xml:space="preserve">チュウシントナリ </t>
    </rPh>
    <rPh sb="118" eb="120">
      <t xml:space="preserve">ケッカヲ </t>
    </rPh>
    <rPh sb="125" eb="127">
      <t xml:space="preserve">ホンガク </t>
    </rPh>
    <rPh sb="146" eb="147">
      <t xml:space="preserve">オコナッテイル </t>
    </rPh>
    <rPh sb="212" eb="214">
      <t xml:space="preserve">リシュウ </t>
    </rPh>
    <rPh sb="221" eb="222">
      <t xml:space="preserve">トウ </t>
    </rPh>
    <rPh sb="228" eb="229">
      <t xml:space="preserve">カク </t>
    </rPh>
    <rPh sb="229" eb="231">
      <t xml:space="preserve">ガクブ </t>
    </rPh>
    <rPh sb="232" eb="236">
      <t xml:space="preserve">ガイトウカモク </t>
    </rPh>
    <phoneticPr fontId="1"/>
  </si>
  <si>
    <t>全学部・学科を対象としたデータサイエンスの導入的教育であり、データサイエンスで必要とされる知識や技術、手法について理解するとともに、実社会の中でどのように活用されているのか、今後どのような分野で応用されるのか、などについて学習する。　さらに、データサイエンスに必要な統計学や数学の基礎学力と素養を修得し、社会で必要とされている数理・データサイエンスの基礎知識と関連技術の理解、加えて学習意欲と知的探究心を身につけることを目標としている。　　　　　　　　　　　　　　　　　　　　また、数理・データサイエンスを専門としない看護系学部に関しては、データサイエンスやAIが今後どのように医療分野に深くかかわってくるかを学び、看護職として求められるデータに対する倫理観や活用方法を理解することを目標としている。
令和5年度からは全学部の教職員・学生を対象に、数理データサイエンス、AI教育プログラムに精通している環境データサイエンス学科の教員が中心となり、合同のセミナー開催を予定している。</t>
    <rPh sb="261" eb="262">
      <t xml:space="preserve">ケイ </t>
    </rPh>
    <rPh sb="291" eb="293">
      <t xml:space="preserve">ブンヤ </t>
    </rPh>
    <rPh sb="359" eb="362">
      <t xml:space="preserve">ゼンガクブ </t>
    </rPh>
    <rPh sb="417" eb="419">
      <t xml:space="preserve">チュウシントナリ </t>
    </rPh>
    <rPh sb="430" eb="432">
      <t xml:space="preserve">カイサイヲ </t>
    </rPh>
    <rPh sb="433" eb="435">
      <t xml:space="preserve">ヨテイシテイル </t>
    </rPh>
    <phoneticPr fontId="1"/>
  </si>
  <si>
    <t>本学ではすべての授業に関して、前学期・後学期に授業アンケートおよびシラバスアンケートを実施している。また、授業の中間にも授業アンケートを実施し、授業の進行に沿ってフィードバックを行うことで、学生からの意見を早い段階から取り入れ、それ以降の授業改善に活用している。授業アンケートやシラバスアンケートを通じて授業内容の理解度、授業科目の運用等を評価している。
令和5年度からは数理・データサイエンス、AI教育プログラムに関する合同のセミナーを実施後にもアンケートを実施し、学生の理解度を評価していく予定である。</t>
    <rPh sb="15" eb="18">
      <t xml:space="preserve">ゼンガッキ </t>
    </rPh>
    <rPh sb="19" eb="20">
      <t xml:space="preserve">ウシロ </t>
    </rPh>
    <rPh sb="20" eb="22">
      <t xml:space="preserve">ガッキ </t>
    </rPh>
    <rPh sb="75" eb="77">
      <t xml:space="preserve">シンコウニ </t>
    </rPh>
    <rPh sb="78" eb="79">
      <t xml:space="preserve">ソッテ </t>
    </rPh>
    <rPh sb="95" eb="97">
      <t xml:space="preserve">ガクセイ </t>
    </rPh>
    <rPh sb="100" eb="102">
      <t xml:space="preserve">イケンヲ </t>
    </rPh>
    <rPh sb="103" eb="104">
      <t xml:space="preserve">ハヤイダンカイカラ </t>
    </rPh>
    <rPh sb="109" eb="110">
      <t xml:space="preserve">トリイレ </t>
    </rPh>
    <rPh sb="131" eb="133">
      <t xml:space="preserve">ジュギョウ </t>
    </rPh>
    <rPh sb="234" eb="236">
      <t xml:space="preserve">ガクセイノ </t>
    </rPh>
    <rPh sb="237" eb="240">
      <t xml:space="preserve">リカイドヲ </t>
    </rPh>
    <rPh sb="241" eb="243">
      <t xml:space="preserve">ヒョウカシテイク </t>
    </rPh>
    <rPh sb="247" eb="249">
      <t xml:space="preserve">ヨテイデアル </t>
    </rPh>
    <phoneticPr fontId="1"/>
  </si>
  <si>
    <t>本学では全ての授業アンケートの結果に関して、ホームページ上で公開しており、全学生が自由に閲覧できるようになっている。また、年度初めの学部オリエンテーションにて数理・データサイエンス、AI教育プログラムの周知を学生に行っている。</t>
    <rPh sb="0" eb="2">
      <t xml:space="preserve">ホンガクデハ </t>
    </rPh>
    <rPh sb="15" eb="17">
      <t xml:space="preserve">ケッカ </t>
    </rPh>
    <phoneticPr fontId="1"/>
  </si>
  <si>
    <t>数理・データサイエンス、AI教育プログラムに関する科目は各学部・学科ごとに異なっているが、全ての学部・学科において必修科目を履修すれば、プログラムを修了できるよう履修科目の確認、調整を行った。また、各学部・学科で年度初めのオリエンテーションにて本プログラムの概要や内容を周知することで、理解を深めている。
令和5年度からは全学部の教職員・学生を対象に合同のセミナーを実施し、全学部で共通して認識を深めていけるように計画している。</t>
    <rPh sb="14" eb="16">
      <t xml:space="preserve">キョウイク </t>
    </rPh>
    <rPh sb="28" eb="29">
      <t xml:space="preserve">カク </t>
    </rPh>
    <rPh sb="37" eb="38">
      <t xml:space="preserve">コトナッテイルガ </t>
    </rPh>
    <rPh sb="45" eb="46">
      <t xml:space="preserve">スベテノ </t>
    </rPh>
    <rPh sb="81" eb="85">
      <t xml:space="preserve">リシュウカモク </t>
    </rPh>
    <rPh sb="86" eb="88">
      <t xml:space="preserve">カクニン </t>
    </rPh>
    <rPh sb="92" eb="93">
      <t xml:space="preserve">オコナッタ </t>
    </rPh>
    <rPh sb="100" eb="102">
      <t xml:space="preserve">ガクブ </t>
    </rPh>
    <rPh sb="103" eb="105">
      <t xml:space="preserve">ガッカ </t>
    </rPh>
    <rPh sb="106" eb="109">
      <t xml:space="preserve">ネンドハジメ </t>
    </rPh>
    <rPh sb="122" eb="123">
      <t xml:space="preserve">ホン </t>
    </rPh>
    <rPh sb="129" eb="131">
      <t xml:space="preserve">ガイヨウ </t>
    </rPh>
    <rPh sb="132" eb="134">
      <t xml:space="preserve">ナイヨウ </t>
    </rPh>
    <rPh sb="161" eb="164">
      <t xml:space="preserve">ゼンガクブ </t>
    </rPh>
    <rPh sb="191" eb="193">
      <t xml:space="preserve">キョウツウシテ </t>
    </rPh>
    <phoneticPr fontId="1"/>
  </si>
  <si>
    <t>本プログラムは2022年度から設置されており、まだ修了生が出ていないため、進路、活躍状況、企業等の評価は確認できていないが、今後本学卒業生に関して評価の調査を実施し、プログラム修了者の状況把握を行う予定である。</t>
    <rPh sb="0" eb="1">
      <t xml:space="preserve">ホン </t>
    </rPh>
    <rPh sb="11" eb="13">
      <t xml:space="preserve">ネンド </t>
    </rPh>
    <rPh sb="15" eb="17">
      <t xml:space="preserve">セッチ </t>
    </rPh>
    <rPh sb="25" eb="28">
      <t xml:space="preserve">シュウリョウセイガ </t>
    </rPh>
    <rPh sb="29" eb="30">
      <t xml:space="preserve">デテイナイ </t>
    </rPh>
    <rPh sb="37" eb="39">
      <t xml:space="preserve">シンロ </t>
    </rPh>
    <rPh sb="40" eb="44">
      <t xml:space="preserve">カツヤクジョウキョウ </t>
    </rPh>
    <rPh sb="45" eb="48">
      <t xml:space="preserve">キギョウトウノ </t>
    </rPh>
    <rPh sb="49" eb="51">
      <t xml:space="preserve">ヒョウカ </t>
    </rPh>
    <rPh sb="52" eb="54">
      <t xml:space="preserve">カクニン </t>
    </rPh>
    <rPh sb="62" eb="64">
      <t xml:space="preserve">コンゴ </t>
    </rPh>
    <rPh sb="64" eb="66">
      <t xml:space="preserve">ホンガク </t>
    </rPh>
    <rPh sb="66" eb="69">
      <t xml:space="preserve">ソツギョウセイ </t>
    </rPh>
    <rPh sb="70" eb="71">
      <t xml:space="preserve">カンシテノ </t>
    </rPh>
    <rPh sb="73" eb="75">
      <t xml:space="preserve">ヒョウカノ </t>
    </rPh>
    <rPh sb="76" eb="78">
      <t xml:space="preserve">チョウサヲ </t>
    </rPh>
    <rPh sb="79" eb="81">
      <t xml:space="preserve">ジッシスル </t>
    </rPh>
    <rPh sb="88" eb="91">
      <t xml:space="preserve">シュウリョウシャ </t>
    </rPh>
    <rPh sb="92" eb="94">
      <t xml:space="preserve">ジョウキョウ </t>
    </rPh>
    <rPh sb="94" eb="96">
      <t xml:space="preserve">ハアク </t>
    </rPh>
    <rPh sb="97" eb="98">
      <t xml:space="preserve">オコナウ </t>
    </rPh>
    <rPh sb="99" eb="101">
      <t xml:space="preserve">ヨテイ </t>
    </rPh>
    <phoneticPr fontId="1"/>
  </si>
  <si>
    <t>今年度、ヤマハ発動機やANAなどの企業との連携・共同研究を進めており、企業との連携の場を通じて、
本プログラムを含む本学での教育に対する意見を求めている。また、奈良県川上村や愛知県西尾市佐久島などの地方自治体とも連携体制を確立させており、数理・データサイエンス・AI教育の実践の場として活用させて頂きつつ、定期的な意見交換会の中で、本プログラムへの意見を得ている。</t>
    <rPh sb="0" eb="3">
      <t>コンネンド</t>
    </rPh>
    <rPh sb="7" eb="10">
      <t>ハツドウキ</t>
    </rPh>
    <rPh sb="17" eb="19">
      <t>キギョウ</t>
    </rPh>
    <rPh sb="24" eb="28">
      <t>キョウドウケンキュウ</t>
    </rPh>
    <rPh sb="29" eb="30">
      <t>スス</t>
    </rPh>
    <rPh sb="80" eb="83">
      <t>ナラケン</t>
    </rPh>
    <rPh sb="83" eb="86">
      <t>カワカミムラ</t>
    </rPh>
    <rPh sb="87" eb="90">
      <t>アイチケン</t>
    </rPh>
    <rPh sb="90" eb="93">
      <t>ニシオシ</t>
    </rPh>
    <rPh sb="93" eb="96">
      <t>サクシマ</t>
    </rPh>
    <rPh sb="99" eb="101">
      <t>チホウ</t>
    </rPh>
    <rPh sb="101" eb="104">
      <t>ジチタイ</t>
    </rPh>
    <rPh sb="106" eb="110">
      <t>レンケイタイセイ</t>
    </rPh>
    <rPh sb="111" eb="113">
      <t>カクリツ</t>
    </rPh>
    <rPh sb="119" eb="121">
      <t>スウリ</t>
    </rPh>
    <rPh sb="133" eb="135">
      <t>キョウイク</t>
    </rPh>
    <rPh sb="136" eb="138">
      <t>ジッセン</t>
    </rPh>
    <rPh sb="139" eb="140">
      <t>バ</t>
    </rPh>
    <rPh sb="143" eb="145">
      <t>カツヨウ</t>
    </rPh>
    <rPh sb="148" eb="149">
      <t>イタダ</t>
    </rPh>
    <phoneticPr fontId="1"/>
  </si>
  <si>
    <t>各学部において、数理・データサイエンス、AI教育プログラムの該当科目の授業で、学ぶ楽しさや学ぶことの意義を理解させる工夫をしている。特に身近な社会での実例を紹介することや、今後の社会変化に関するディスカッション等を通して学生の興味関心を高めている。また授業アンケートやシラバスアンケートにより、これらの工夫の評価・改善を行なっている。今後は各学部の教員が本プログラムに参加し、学生が所属する学部・学科以外のAI・データサイエンスを活用した実例や研究事例を紹介することで、学習する意義を理解させ、学びへのモチベーションにつなげていく活動を行う予定である。</t>
    <rPh sb="0" eb="1">
      <t xml:space="preserve">カク </t>
    </rPh>
    <rPh sb="1" eb="3">
      <t xml:space="preserve">ガクブ </t>
    </rPh>
    <rPh sb="23" eb="25">
      <t xml:space="preserve">キョウイク </t>
    </rPh>
    <rPh sb="31" eb="33">
      <t xml:space="preserve">ガイトウカモク </t>
    </rPh>
    <rPh sb="33" eb="35">
      <t xml:space="preserve">カモク </t>
    </rPh>
    <rPh sb="36" eb="38">
      <t xml:space="preserve">ジュギョウ </t>
    </rPh>
    <rPh sb="69" eb="70">
      <t xml:space="preserve">トクニ </t>
    </rPh>
    <rPh sb="90" eb="92">
      <t xml:space="preserve">コンゴノ </t>
    </rPh>
    <rPh sb="93" eb="97">
      <t xml:space="preserve">シャカイヘンカ </t>
    </rPh>
    <rPh sb="98" eb="99">
      <t xml:space="preserve">カンスル </t>
    </rPh>
    <rPh sb="109" eb="110">
      <t xml:space="preserve">トウ </t>
    </rPh>
    <rPh sb="171" eb="173">
      <t xml:space="preserve">コンゴハ </t>
    </rPh>
    <rPh sb="174" eb="177">
      <t xml:space="preserve">カクガクブ </t>
    </rPh>
    <rPh sb="208" eb="210">
      <t xml:space="preserve">イガイ </t>
    </rPh>
    <rPh sb="228" eb="230">
      <t xml:space="preserve">ジツレイヤ </t>
    </rPh>
    <rPh sb="278" eb="280">
      <t xml:space="preserve">カツドウヲ </t>
    </rPh>
    <rPh sb="281" eb="282">
      <t xml:space="preserve">オコナウ </t>
    </rPh>
    <rPh sb="283" eb="285">
      <t xml:space="preserve">ヨテイデアル </t>
    </rPh>
    <phoneticPr fontId="1"/>
  </si>
  <si>
    <t>各学部で開講している数理・データサイエンス、AI教育プログラムに関する全ての科目の授業アンケートやシラバスアンケート、また授業コマ毎に行っているリアクションペーパー等を参考に、次年度に向けたよりよい教材作り、講義内容・ 実施方法を検討している。</t>
    <rPh sb="0" eb="1">
      <t xml:space="preserve">カク </t>
    </rPh>
    <rPh sb="1" eb="3">
      <t xml:space="preserve">ガクガクブ </t>
    </rPh>
    <rPh sb="4" eb="6">
      <t xml:space="preserve">カイコウシテイル </t>
    </rPh>
    <rPh sb="10" eb="12">
      <t xml:space="preserve">スウリ </t>
    </rPh>
    <rPh sb="25" eb="27">
      <t xml:space="preserve">キョウイク </t>
    </rPh>
    <rPh sb="33" eb="34">
      <t xml:space="preserve">カンスル </t>
    </rPh>
    <rPh sb="36" eb="37">
      <t xml:space="preserve">スベテノ </t>
    </rPh>
    <rPh sb="39" eb="41">
      <t xml:space="preserve">カモク </t>
    </rPh>
    <rPh sb="42" eb="44">
      <t xml:space="preserve">ジュギョウ </t>
    </rPh>
    <rPh sb="62" eb="64">
      <t xml:space="preserve">ジュギョウ </t>
    </rPh>
    <rPh sb="66" eb="67">
      <t xml:space="preserve">ゴト </t>
    </rPh>
    <rPh sb="68" eb="69">
      <t xml:space="preserve">オコナッテイル </t>
    </rPh>
    <rPh sb="83" eb="84">
      <t xml:space="preserve">トウ </t>
    </rPh>
    <rPh sb="85" eb="87">
      <t xml:space="preserve">サンコウニ </t>
    </rPh>
    <phoneticPr fontId="1"/>
  </si>
  <si>
    <t>看護学原論（1）</t>
    <rPh sb="0" eb="3">
      <t>カンゴガク</t>
    </rPh>
    <rPh sb="3" eb="5">
      <t>ゲンロン</t>
    </rPh>
    <phoneticPr fontId="1"/>
  </si>
  <si>
    <t>公衆衛生学（3）</t>
    <rPh sb="0" eb="2">
      <t>コウシュウ</t>
    </rPh>
    <rPh sb="2" eb="5">
      <t>エイセイガク</t>
    </rPh>
    <phoneticPr fontId="1"/>
  </si>
  <si>
    <t>看護学部：
（1）データサイエンスやAIが今後どのように看護・医療に深くかかわってくるかを学び、看護職として求められるデータに対する倫理観や活用方法を理解する
（2）基礎的なデータ処理方法や活用方法を学び、看護師として医療に従事する際に活用できるようにする
（3）データサイエンスやAIが地域医療にどのように活用され、今後どのように発展していくかを考察できるようにする</t>
    <phoneticPr fontId="1"/>
  </si>
  <si>
    <t>様式１ー３</t>
    <rPh sb="0" eb="2">
      <t>ヨウシキ</t>
    </rPh>
    <phoneticPr fontId="1"/>
  </si>
  <si>
    <t>松山看護学部</t>
    <rPh sb="0" eb="2">
      <t>マツヤマ</t>
    </rPh>
    <rPh sb="2" eb="4">
      <t>カンゴ</t>
    </rPh>
    <rPh sb="4" eb="6">
      <t>ガクブ</t>
    </rPh>
    <phoneticPr fontId="1"/>
  </si>
  <si>
    <t>看護学部</t>
    <rPh sb="0" eb="4">
      <t>カンゴガクブ</t>
    </rPh>
    <phoneticPr fontId="1"/>
  </si>
  <si>
    <t>様式１－４</t>
    <rPh sb="0" eb="2">
      <t>ヨウシキ</t>
    </rPh>
    <phoneticPr fontId="1"/>
  </si>
  <si>
    <t>総合心理学部</t>
    <rPh sb="0" eb="4">
      <t>ソウゴウシンリ</t>
    </rPh>
    <rPh sb="4" eb="6">
      <t>ガクブ</t>
    </rPh>
    <phoneticPr fontId="1"/>
  </si>
  <si>
    <t>様式１ー２</t>
    <rPh sb="0" eb="2">
      <t>ヨウシキ</t>
    </rPh>
    <phoneticPr fontId="1"/>
  </si>
  <si>
    <t>様式１ー１</t>
    <rPh sb="0" eb="2">
      <t>ヨウシキ</t>
    </rPh>
    <phoneticPr fontId="1"/>
  </si>
  <si>
    <t>令和４</t>
    <rPh sb="0" eb="2">
      <t>レイワ</t>
    </rPh>
    <phoneticPr fontId="1"/>
  </si>
  <si>
    <t>心理学部</t>
    <rPh sb="0" eb="4">
      <t>シンリガクブ</t>
    </rPh>
    <phoneticPr fontId="1"/>
  </si>
  <si>
    <t>環境科学部</t>
    <rPh sb="0" eb="5">
      <t>カンキョウカガクブ</t>
    </rPh>
    <phoneticPr fontId="1"/>
  </si>
  <si>
    <t>松山看護学部</t>
    <rPh sb="0" eb="2">
      <t>マツヤマ</t>
    </rPh>
    <rPh sb="2" eb="6">
      <t>カンゴガクブ</t>
    </rPh>
    <phoneticPr fontId="1"/>
  </si>
  <si>
    <t>総合心理学部</t>
    <rPh sb="0" eb="6">
      <t>ソウゴウシンリガクブ</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</si>
  <si>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</si>
  <si>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データサイエンス・AI教育推進室</t>
    <phoneticPr fontId="1"/>
  </si>
  <si>
    <t>城田　純平</t>
    <rPh sb="0" eb="2">
      <t>シロタ</t>
    </rPh>
    <rPh sb="3" eb="5">
      <t>ジュンペイ</t>
    </rPh>
    <phoneticPr fontId="1"/>
  </si>
  <si>
    <t>疫学(9)</t>
    <phoneticPr fontId="1"/>
  </si>
  <si>
    <t>統計学（10）</t>
    <phoneticPr fontId="1"/>
  </si>
  <si>
    <t>研究方法論（11）</t>
    <phoneticPr fontId="1"/>
  </si>
  <si>
    <t>疫学（9）</t>
    <rPh sb="0" eb="2">
      <t>エキガク</t>
    </rPh>
    <phoneticPr fontId="1"/>
  </si>
  <si>
    <t>心理学部、環境科学部</t>
    <rPh sb="0" eb="4">
      <t>シンリガクブ</t>
    </rPh>
    <rPh sb="5" eb="7">
      <t>カンキョウ</t>
    </rPh>
    <rPh sb="7" eb="10">
      <t>カガクブ</t>
    </rPh>
    <phoneticPr fontId="1"/>
  </si>
  <si>
    <t>上記の⑧で説明しているように、多くの科目群は必修化しているが、必修化していない学部学科では特に履修指導を徹底しており、本プログラム開始後においては、19%の履修が既に達成されている。なお、本プログラムの質向上や教材整備、学生の自習支援、学生からの質問対応、などのために、データサイエンス・AI教育推進室を設置している。</t>
    <rPh sb="15" eb="16">
      <t>オオ</t>
    </rPh>
    <rPh sb="18" eb="21">
      <t>カモクグン</t>
    </rPh>
    <rPh sb="39" eb="41">
      <t>ガクブ</t>
    </rPh>
    <rPh sb="41" eb="43">
      <t>ガッカ</t>
    </rPh>
    <phoneticPr fontId="1"/>
  </si>
  <si>
    <t>科目(5) 心理学調査実習</t>
    <rPh sb="0" eb="2">
      <t>カモク</t>
    </rPh>
    <phoneticPr fontId="1"/>
  </si>
  <si>
    <t>科目(7) 科学と人間</t>
    <rPh sb="0" eb="2">
      <t>カガkt</t>
    </rPh>
    <phoneticPr fontId="1"/>
  </si>
  <si>
    <t>科目(1)情報リテラシーⅠ</t>
    <rPh sb="0" eb="2">
      <t>Ⅰ</t>
    </rPh>
    <phoneticPr fontId="1"/>
  </si>
  <si>
    <t>科目(8)心理学統計法Ⅰ</t>
    <rPh sb="0" eb="2">
      <t>シンr</t>
    </rPh>
    <phoneticPr fontId="1"/>
  </si>
  <si>
    <t>科目(9)心理学統計法Ⅱ</t>
    <rPh sb="0" eb="2">
      <t>シンr</t>
    </rPh>
    <phoneticPr fontId="1"/>
  </si>
  <si>
    <t>科目(10)情報リテラシーⅡ</t>
    <rPh sb="0" eb="1">
      <t>②</t>
    </rPh>
    <phoneticPr fontId="1"/>
  </si>
  <si>
    <t>科目(5)心理学調査実習</t>
    <rPh sb="0" eb="2">
      <t>シンr</t>
    </rPh>
    <phoneticPr fontId="1"/>
  </si>
  <si>
    <t>科目(11)心理データ解析法</t>
    <rPh sb="0" eb="2">
      <t>シンr</t>
    </rPh>
    <phoneticPr fontId="1"/>
  </si>
  <si>
    <t>4-1統計および数理基礎</t>
  </si>
  <si>
    <t>数理・データサイエンス、AI教育プログラム認定に向けて</t>
    <phoneticPr fontId="1"/>
  </si>
  <si>
    <t>【看護学部】
「全学共通プログラム科目群」から、看護学部では1～4学年に開講する下記の指定された科目（11科目16単位）を履修すること。
1）基礎科目の中で数理・データーサイエンス・AIに関する科目群（コンピューター基礎・情報処理法 必修1科目1単位）を履修すること。
2）専門基礎科目の中で数理・データーサイエンス・AIに関する科目群（公衆衛生学,疫学,保健看護情報学,保健医療福祉行政論Ⅰ,統計学の必修5科目8単位）を履修すること。
3）専門科目の中で数理・データーサイエンス・AIに関する科目群（看護学原論,地域・在宅看護学概論Ⅰ,研究方法論,看護管理学,基礎看護学実習Ⅰの必修5科目7単位）を履修すること。
４）学校保健は選択科目（2単位）であるため、履修を薦める。
上記のうち11科目16単位以上の修得を履修要件とする。
※各科目各回の詳細な授業内容については、添付のシラバスを参照のこと。</t>
    <rPh sb="1" eb="5">
      <t>カンゴガクブ</t>
    </rPh>
    <phoneticPr fontId="1"/>
  </si>
  <si>
    <t xml:space="preserve">・ビッグデータ、IOT ：コンピューター基礎・情報処理法第2回」
・検索エンジンとSNS：「コンピューター基礎・情報処理法第１回・２回」
・第4次産業革命：「コンピューター基礎・情報処理法第８回」
</t>
    <rPh sb="28" eb="29">
      <t>ダイ</t>
    </rPh>
    <rPh sb="30" eb="31">
      <t>カイ</t>
    </rPh>
    <rPh sb="53" eb="55">
      <t>キソ</t>
    </rPh>
    <rPh sb="56" eb="58">
      <t>ジョウホウ</t>
    </rPh>
    <rPh sb="58" eb="60">
      <t>ショリ</t>
    </rPh>
    <rPh sb="60" eb="61">
      <t>ホウ</t>
    </rPh>
    <rPh sb="61" eb="62">
      <t>ダイ</t>
    </rPh>
    <rPh sb="63" eb="64">
      <t>カイ</t>
    </rPh>
    <rPh sb="66" eb="67">
      <t>カイ</t>
    </rPh>
    <rPh sb="94" eb="95">
      <t>ダイ</t>
    </rPh>
    <rPh sb="96" eb="97">
      <t>カイ</t>
    </rPh>
    <phoneticPr fontId="1"/>
  </si>
  <si>
    <t>・AI等を活用した新しいビジネスモデル：「コンピューター基礎・情報処理法第9回」
・AI最新技術の活用例：「コンピューター基礎・情報処理法第8回」、「看護学原論第15回」</t>
    <phoneticPr fontId="1"/>
  </si>
  <si>
    <t xml:space="preserve">・データの種類、データの保有者：「公衆衛生学第３回、第６回」、「地域・在宅看護学概論Ⅰ第1回」、「学校保健　第9回」、「保健医療福祉行政論Ⅰ第14回」、「疫学第３回」 </t>
    <phoneticPr fontId="1"/>
  </si>
  <si>
    <t>・活用目的ごとのデータ・AI活用の広がり：「疫学第10・11回」 、「看護管理学第3回」「保健看護情報学第1回」</t>
    <rPh sb="52" eb="53">
      <t>ダイ</t>
    </rPh>
    <rPh sb="54" eb="55">
      <t>カイ</t>
    </rPh>
    <phoneticPr fontId="1"/>
  </si>
  <si>
    <t>・誰もが無意識にデータを解析して生きている：「統計学第１回」
・さまざまなデータ予測-予測：「研究方法論第10回」、「統計学第2回」
・さまざまなデータ予測-グルーピングとクラスタリング：「疫学第８回」
・さまざまなデータ解析-発見：「疫学第9回」
・データ可視化：「コンピューター基礎・情報処理法第4回」、「統計学第２回」
・非構造化データ処理・テキストマイニング：「研究方法論第５回」
・パターン認識技術：「看護学原論　第15回」</t>
    <rPh sb="23" eb="26">
      <t>トウケイガク</t>
    </rPh>
    <rPh sb="47" eb="52">
      <t>ケンキュウホウホウロン</t>
    </rPh>
    <rPh sb="59" eb="62">
      <t>トウケイガク</t>
    </rPh>
    <rPh sb="95" eb="97">
      <t>エキガク</t>
    </rPh>
    <rPh sb="118" eb="120">
      <t>エキガク</t>
    </rPh>
    <rPh sb="155" eb="158">
      <t>トウケイガク</t>
    </rPh>
    <rPh sb="185" eb="190">
      <t>ケンキュウホウホウロン</t>
    </rPh>
    <phoneticPr fontId="1"/>
  </si>
  <si>
    <t>・情報技術による自動化、データ分析・自動化の実際：「看護学原論第15回」、「統計学第４回」
・データ分析による意思決定：「統計学第１３・１４回」
・組織的考慮点：「看護学原論第15回」
・ヘルスケアにおけるデータ解析：「統計学第４回」</t>
    <phoneticPr fontId="1"/>
  </si>
  <si>
    <t>・一般データ保護規則：GDPR、十分性認定:「保健看護情報学第１回」
・アカウンタビリティ、透明性、トラスト、公平性：「研究方法論第13回」</t>
    <phoneticPr fontId="1"/>
  </si>
  <si>
    <t xml:space="preserve">・データサイエンスにおけるセキュリティとプライバシー：「看護学原論第15回」、「コンピューター基礎・情報処理法第2回」
・データサイエンスと情報セキュリティ：「コンピューター基礎・情報処理法第11回」　、「基礎看護学実習Ⅰ」
・データサイエンスとプライバシー：「コンピューター基礎・情報処理法第３回」 </t>
    <phoneticPr fontId="1"/>
  </si>
  <si>
    <t>・データの種類・データの分布と代表値、代表値の性質の違い：「研究方法論第３・１０・１１回」、「統計学第１回」
・母集団と標本抽出：「統計学第８・９回」
・クロス集計表、相関係数行列、散布図行列：「統計学第１０・１２回」
・統計情報の正しい理解：「統計学第15回」
・相関と因果性：「統計学第２回」</t>
    <phoneticPr fontId="1"/>
  </si>
  <si>
    <t>・データの表現：「コンピューター基礎・情報処理法第１１回」</t>
    <phoneticPr fontId="1"/>
  </si>
  <si>
    <t>・データ解析ツール：「コンピューター基礎・情報処理法第１０・１２回」、「統計学第２回」
・データの集計、データの並べ替え・ランキング、ヒストグラム、散布図：「コンピューター基礎・情報処理法第１３回」「統計学第２回」</t>
    <phoneticPr fontId="1"/>
  </si>
  <si>
    <t>・ビッグデータ、IoT、AI、ロボット：「保健看護情報学（ICT） 第2回」
・検索エンジンとSNS：「保健看護情報学（ICT） 第2回」</t>
    <rPh sb="21" eb="28">
      <t>ホケン</t>
    </rPh>
    <rPh sb="34" eb="35">
      <t>ダイ</t>
    </rPh>
    <rPh sb="36" eb="37">
      <t>カイ</t>
    </rPh>
    <rPh sb="40" eb="42">
      <t xml:space="preserve">ケンサクエンジント </t>
    </rPh>
    <rPh sb="52" eb="53">
      <t xml:space="preserve">ダイ </t>
    </rPh>
    <rPh sb="54" eb="55">
      <t xml:space="preserve">カイ </t>
    </rPh>
    <phoneticPr fontId="1"/>
  </si>
  <si>
    <t>・AI等を活用した新しいビジネスモデル：「保健看護情報学（ICT） 第2回」「（地域）在宅看護学概論 第6回」
・AI最新技術の活用例：「保健看護情報学（ICT） 第2回」「（地域）在宅看護学概論 第6回」</t>
    <rPh sb="40" eb="42">
      <t xml:space="preserve">チイキ </t>
    </rPh>
    <rPh sb="43" eb="45">
      <t xml:space="preserve">ザイタク </t>
    </rPh>
    <rPh sb="45" eb="50">
      <t xml:space="preserve">カンゴガクガイロン </t>
    </rPh>
    <phoneticPr fontId="1"/>
  </si>
  <si>
    <t>・調査データ、実験データ、人の行動ログデータ、機械の稼働ログデータなど：「公衆衛生学第 1回」</t>
    <rPh sb="37" eb="42">
      <t xml:space="preserve">コウシュウエイセイガク </t>
    </rPh>
    <rPh sb="42" eb="43">
      <t xml:space="preserve">ダイ </t>
    </rPh>
    <rPh sb="45" eb="46">
      <t xml:space="preserve">カイ </t>
    </rPh>
    <phoneticPr fontId="1"/>
  </si>
  <si>
    <t>・データ・AI活用領域の広がり：「保健看護情報学（ICT） 第2回」</t>
    <rPh sb="17" eb="18">
      <t xml:space="preserve">ダイ </t>
    </rPh>
    <rPh sb="19" eb="20">
      <t xml:space="preserve">カイ </t>
    </rPh>
    <phoneticPr fontId="1"/>
  </si>
  <si>
    <t>・データ解析：予測、グルーピング、パターン発見、最適化、シミュレーション・データ同化など：「統計学 第1〜5回」
・データ可視化：複合グラフ、2軸グラフ、多次元の可視化、関係性の可視化、地図上の可視化、挙動・軌跡の可視化、リアルタイム可視化など：「統計学 第1〜5回」
・非構造化データ処理：言語処理、画像/動画処理、音声/音楽処理など：「統計学 第1〜5回」
・特化型AIと汎用AI、今のAIで出来ることと出来ないこと、AIとビッグデータ：「保健看護情報学（ICT） 第11回」</t>
    <rPh sb="46" eb="49">
      <t xml:space="preserve">トウケイガク </t>
    </rPh>
    <phoneticPr fontId="1"/>
  </si>
  <si>
    <t>・データサイエンスのサイクル（課題抽出と定式化、データの取得・管理・加工、探索的データ解析、データ解析と推論、結果の共有・伝達、課題解決に向けた提案）：「保健看護情報学（ICT） 第4回」
・流通、製造、金融、サービス、インフラ、公共、ヘルスケア等におけるデータ・AI利活用事例紹介：「保健看護情報学（ICT） 第4回」</t>
    <phoneticPr fontId="1"/>
  </si>
  <si>
    <t>・個人情報保護、EU一般データ保護規則(GDPR)、忘れられる権利、オプトアウト：「研究方法論（看護研究原論） 第3回」
・データ倫理：データのねつ造、改ざん、盗用、プライバシー保護：「研究方法論（看護研究原論） 第3回」
・AI社会原則（公平性、説明責任、透明性、人間中心の判断）：「研究方法論（看護研究原論） 第3回」
・データ・AI活用における負の事例紹介：「保健看護情報学（ICT） 第8回」</t>
    <rPh sb="42" eb="47">
      <t xml:space="preserve">ケンキュウホウホウロン </t>
    </rPh>
    <rPh sb="48" eb="54">
      <t xml:space="preserve">カンゴケンキュウゲンロン </t>
    </rPh>
    <phoneticPr fontId="1"/>
  </si>
  <si>
    <t>・情報セキュリティ：機密性、完全性、可用性：「保健看護情報学（ICT） 第10回」「コンピュータ基礎・情報処理法 第2回」
・匿名加工情報、暗号化、パスワード、悪意ある情報搾取：「保健看護情報学（ICT）第 10回」「コンピュータ基礎・情報処理法 第2回」
・情報漏洩等によるセキュリティ事故の事例紹介：「コンピュータ基礎・情報処理法 第2回」</t>
    <rPh sb="29" eb="31">
      <t xml:space="preserve">カモク </t>
    </rPh>
    <rPh sb="34" eb="35">
      <t xml:space="preserve">ダイ </t>
    </rPh>
    <rPh sb="37" eb="38">
      <t xml:space="preserve">カイ </t>
    </rPh>
    <phoneticPr fontId="1"/>
  </si>
  <si>
    <r>
      <t>・データの種類（量的変数、質的変数）：</t>
    </r>
    <r>
      <rPr>
        <sz val="12"/>
        <rFont val="ＭＳ Ｐゴシック"/>
        <family val="3"/>
        <charset val="128"/>
      </rPr>
      <t>「研究方法論（看護研究原論） 第4〜6回」「統計学 第1〜5回」「コンピュータ基礎・情報処理法 第2〜3回」</t>
    </r>
    <r>
      <rPr>
        <sz val="12"/>
        <rFont val="ＭＳ Ｐゴシック"/>
        <family val="3"/>
        <charset val="128"/>
        <scheme val="minor"/>
      </rPr>
      <t xml:space="preserve">
・データの分布(ヒストグラム)と代表値（平均値、中央値、最頻値）：</t>
    </r>
    <r>
      <rPr>
        <sz val="12"/>
        <rFont val="ＭＳ Ｐゴシック"/>
        <family val="3"/>
        <charset val="128"/>
      </rPr>
      <t>「研究方法論（看護研究原論） 第4〜6回」「統計学 第1〜5回」「コンピュータ基礎・情報処理法 第2〜3回」</t>
    </r>
    <r>
      <rPr>
        <sz val="12"/>
        <rFont val="ＭＳ Ｐゴシック"/>
        <family val="3"/>
        <charset val="128"/>
        <scheme val="minor"/>
      </rPr>
      <t xml:space="preserve">
・代表値の性質の違い（実社会では平均値＝最頻値でないことが多い）：</t>
    </r>
    <r>
      <rPr>
        <sz val="12"/>
        <rFont val="ＭＳ Ｐゴシック"/>
        <family val="3"/>
        <charset val="128"/>
      </rPr>
      <t>「研究方法論（看護研究原論） 第4〜6回」「統計学 第1〜5回」「コンピュータ基礎・情報処理法 第2〜3回」</t>
    </r>
    <r>
      <rPr>
        <sz val="12"/>
        <rFont val="ＭＳ Ｐゴシック"/>
        <family val="3"/>
        <charset val="128"/>
        <scheme val="minor"/>
      </rPr>
      <t xml:space="preserve">
・データのばらつき（分散、標準偏差、偏差値）：</t>
    </r>
    <r>
      <rPr>
        <sz val="12"/>
        <rFont val="ＭＳ Ｐゴシック"/>
        <family val="3"/>
        <charset val="128"/>
      </rPr>
      <t>「研究方法論（看護研究原論） 第4〜6回」「統計学 第1〜5回」「コンピュータ基礎・情報処理法 第2〜3回」</t>
    </r>
    <r>
      <rPr>
        <sz val="12"/>
        <rFont val="ＭＳ Ｐゴシック"/>
        <family val="3"/>
        <charset val="128"/>
        <scheme val="minor"/>
      </rPr>
      <t xml:space="preserve">
・観測データに含まれる誤差の扱い：</t>
    </r>
    <r>
      <rPr>
        <sz val="12"/>
        <rFont val="ＭＳ Ｐゴシック"/>
        <family val="3"/>
        <charset val="128"/>
      </rPr>
      <t>「研究方法論（看護研究原論） 第4〜6回」「統計学 第1〜5回」「コンピュータ基礎・情報処理法 第2〜3回」</t>
    </r>
    <r>
      <rPr>
        <sz val="12"/>
        <rFont val="ＭＳ Ｐゴシック"/>
        <family val="3"/>
        <charset val="128"/>
        <scheme val="minor"/>
      </rPr>
      <t xml:space="preserve">
・相関と因果（相関係数、擬似相関、交絡）：</t>
    </r>
    <r>
      <rPr>
        <sz val="12"/>
        <rFont val="ＭＳ Ｐゴシック"/>
        <family val="3"/>
        <charset val="128"/>
      </rPr>
      <t>「統計学第 12〜14回」</t>
    </r>
    <r>
      <rPr>
        <sz val="12"/>
        <rFont val="ＭＳ Ｐゴシック"/>
        <family val="3"/>
        <charset val="128"/>
        <scheme val="minor"/>
      </rPr>
      <t xml:space="preserve">
・母集団と標本抽出（国勢調査、アンケート調査、全数調査、単純無作為抽出、層別抽出、多段抽出）：「研究方法論（看護研究原論） 第4〜6回」「統計学 第1〜5回」「コンピュータ基礎・情報処理法 第2〜3回」
・クロス集計表、分割表、相関係数行列、散布図行列：</t>
    </r>
    <r>
      <rPr>
        <sz val="12"/>
        <rFont val="ＭＳ Ｐゴシック"/>
        <family val="3"/>
        <charset val="128"/>
      </rPr>
      <t>「統計学 第12〜14回」</t>
    </r>
    <r>
      <rPr>
        <sz val="12"/>
        <rFont val="ＭＳ Ｐゴシック"/>
        <family val="3"/>
        <charset val="128"/>
        <scheme val="minor"/>
      </rPr>
      <t xml:space="preserve">
・統計情報の正しい理解（誇張表現に惑わされない）：</t>
    </r>
    <r>
      <rPr>
        <sz val="12"/>
        <rFont val="ＭＳ Ｐゴシック"/>
        <family val="3"/>
        <charset val="128"/>
      </rPr>
      <t>「統計学 第15回」</t>
    </r>
    <rPh sb="27" eb="28">
      <t xml:space="preserve">ダイ </t>
    </rPh>
    <rPh sb="31" eb="32">
      <t xml:space="preserve">カイ </t>
    </rPh>
    <rPh sb="35" eb="37">
      <t xml:space="preserve">カモク </t>
    </rPh>
    <rPh sb="40" eb="41">
      <t xml:space="preserve">ダイ </t>
    </rPh>
    <rPh sb="45" eb="46">
      <t xml:space="preserve">カイ </t>
    </rPh>
    <rPh sb="252" eb="255">
      <t xml:space="preserve">トウケイガク </t>
    </rPh>
    <rPh sb="349" eb="352">
      <t xml:space="preserve">トウケイガク </t>
    </rPh>
    <phoneticPr fontId="1"/>
  </si>
  <si>
    <t>・データ表現（棒グラフ、折線グラフ、散布図、ヒートマップ）：「コンピュータ基礎・情報処理法 第8〜10回」
・データの図表表現（チャート化）：「コンピュータ基礎・情報処理法 第8〜10回」</t>
    <phoneticPr fontId="1"/>
  </si>
  <si>
    <t>・データの集計（和、平均）：「コンピュータ基礎・情報処理法 第11回」
・データの並び替え、ランキング：「コンピュータ基礎・情報処理法 第11回」
・表形式のデータ（csv）：「コンピュータ基礎・情報処理法 第11回」</t>
    <phoneticPr fontId="1"/>
  </si>
  <si>
    <t>科目（1）保健看護情報学（ICT）</t>
    <rPh sb="0" eb="2">
      <t xml:space="preserve">カモク </t>
    </rPh>
    <rPh sb="5" eb="12">
      <t xml:space="preserve">ホケンカンゴジョウホウガク </t>
    </rPh>
    <phoneticPr fontId="1"/>
  </si>
  <si>
    <t>【松山看護学部】
「全学共通プログラム科目群」の中からから、松山看護学部では、1～3学年に開講する下記の必修科目（7科目8単位）を履修し、単位を修得することを修了要件とする。
※各科目各回の詳細な授業内容については、添付のシラバスを参照のこと。</t>
    <rPh sb="1" eb="5">
      <t>マツヤマカンゴ</t>
    </rPh>
    <rPh sb="30" eb="32">
      <t>マツヤマ</t>
    </rPh>
    <rPh sb="32" eb="36">
      <t>カンゴガクブ</t>
    </rPh>
    <phoneticPr fontId="1"/>
  </si>
  <si>
    <t>【心理学部、環境科学部】
「全学共通プログラム科目群」の中から、心理学部、環境科学部では、第1〜2学年に開講する「データサイエンス概論」2単位、「環境情報リテラシー」2単位の2科目合計4単位を取得することを修了要件とする。
※各科目各回の詳細な授業内容については、添付のシラバスを参照のこと。</t>
    <rPh sb="28" eb="29">
      <t>ナカ</t>
    </rPh>
    <rPh sb="32" eb="36">
      <t>シンリガクブ</t>
    </rPh>
    <rPh sb="37" eb="42">
      <t>カンキョウカガクブ</t>
    </rPh>
    <rPh sb="69" eb="71">
      <t>タンイ</t>
    </rPh>
    <rPh sb="84" eb="86">
      <t>タンイ</t>
    </rPh>
    <rPh sb="90" eb="92">
      <t>ゴウケイ</t>
    </rPh>
    <phoneticPr fontId="1"/>
  </si>
  <si>
    <t>・ビッグデータ、IoT、AI、ロボット：「データサイエンス概論　第１回」
・データ量の増加、計算機の処理性能の向上、AIの非連続的進化：「データサイエンス概論　第１回」
・第4次産業革命、Society 5.0、データ駆動型社会：「データサイエンス概論　第１回」
・複数技術を組み合わせたAIサービス：「データサイエンス概論　第7回」
・人間の知的活動とAIの関係性：「データサイエンス概論　第１回」
・データを起点としたものの見方、人間の知的活動を起点としたものの見方：「データサイエンス概論　第１回」</t>
    <rPh sb="32" eb="33">
      <t>ダイ</t>
    </rPh>
    <rPh sb="34" eb="35">
      <t>カイ</t>
    </rPh>
    <phoneticPr fontId="1"/>
  </si>
  <si>
    <t>・AI等を活用した新しいビジネスモデル(シェアリングエコノミー、商品のレコメンデーションなど)：「データサイエンス概論　第7回」
・AI最新技術の活用例（深層生成モデル、敵対的生成ネットワーク、強化学習、転移学習など）：「データサイエンス概論　第7回」</t>
    <phoneticPr fontId="1"/>
  </si>
  <si>
    <t>・調査データ、実験データ、人の行動ログデータ、機械の稼働ログデータなど：「データサイエンス概論　第2回」
・1次データ、2次データ、データのメタ化：「データサイエンス概論　第2回」
・構造化データ、非構造化データ（文章、画像/動画、音声/音楽など）：「データサイエンス概論　第2回」
・データのオープン化（オープンデータ）：「データサイエンス概論　第3回」</t>
    <phoneticPr fontId="1"/>
  </si>
  <si>
    <t>・データ・AI活用領域の広がり(生産、消費、文化活動など)：「データサイエンス概論　第7回」
・研究開発、調達、製造、物流、販売、マーケティング、サービスなど：「データサイエンス概論　第7回」
・仮説検証、知識発見、原因究明、計画策定、判断支援、活動代替、新規生成など：「データサイエンス概論　第7回」</t>
    <phoneticPr fontId="1"/>
  </si>
  <si>
    <t>・データ解析：予測、グルーピング、パターン発見、最適化、シミュレーション・データ同化など：「データサイエンス概論　第5回」
・データ可視化：複合グラフ、2軸グラフ、多次元の可視化、関係性の可視化、地図上の可視化、挙動・軌跡の可視化、リアルタイム可視化など：「データサイエンス概論　第6回」
・非構造化データ処理：言語処理、画像/動画処理、音声/音楽処理など：「データサイエンス概論　第1回」
・特化型AIと汎用AI、今のAIで出来ることと出来ないこと、AIとビッグデータ：「データサイエンス概論　第2回」
・認識技術、ルールベース、自動化技術：「データサイエンス概論　第9回」</t>
    <phoneticPr fontId="1"/>
  </si>
  <si>
    <t>・データサイエンスのサイクル（課題抽出と定式化、データの取得・管理・加工、探索的データ解析、データ解析と推論、結果の共有・伝達、課題解決に向けた提案）：「データサイエンス概論　第2回」
・流通、製造、金融、サービス、インフラ、公共、ヘルスケア等におけるデータ・AI利活用事例紹介：「データサイエンス概論　第5回」</t>
    <phoneticPr fontId="1"/>
  </si>
  <si>
    <t>・個人情報保護、EU一般データ保護規則(GDPR)、忘れられる権利、オプトアウト：「環境情報リテラシー第4回」
・データ倫理：データのねつ造、改ざん、盗用、プライバシー保護：「環境情報リテラシー　第4回」
・AI社会原則（公平性、説明責任、透明性、人間中心の判断）：「環境情報リテラシー　第14回」
・データバイアス、アルゴリズムバイアス：「環境情報リテラシー　第14回」
・AIサービスの責任論：「環境情報リテラシー　第15回」
・データ・AI活用における負の事例紹介：「環境情報リテラシー　第14回」</t>
    <rPh sb="98" eb="99">
      <t>ダイ</t>
    </rPh>
    <phoneticPr fontId="1"/>
  </si>
  <si>
    <t>・データの種類（量的変数、質的変数）：「データサイエンス概論　第6回」
・データの分布(ヒストグラム)と代表値（平均値、中央値、最頻値）：「データサイエンス概論　第4回」
・代表値の性質の違い（実社会では平均値＝最頻値でないことが多い）：「データサイエンス概論　第4回」
・データのばらつき（分散、標準偏差、偏差値）：「データサイエンス概論　第4回」
・観測データに含まれる誤差の扱い：「データサイエンス概論　第5回」
・相関と因果（相関係数、擬似相関、交絡）：「データサイエンス概論　第6回」
・母集団と標本抽出（国勢調査、アンケート調査、全数調査、単純無作為抽出、層別抽出、多段抽出）：「データサイエンス概論　第5回」
・クロス集計表、分割表、相関係数行列、散布図行列：「データサイエンス概論　第6回」
・統計情報の正しい理解（誇張表現に惑わされない）：「データサイエンス概論第6回」</t>
    <phoneticPr fontId="1"/>
  </si>
  <si>
    <t>・データ表現（棒グラフ、折線グラフ、散布図、ヒートマップ）：「データサイエンス概論　第6回」
・データの図表表現（チャート化）：「データサイエンス概論　第6回」
・データの比較（条件をそろえた比較、処理の前後での比較、A/Bテスト)：「データサイエンス概論　第6回」
・優れた可視化事例の紹介（可視化することによって新たな気づきがあった事例など）：「データサイエンス概論　第5回」</t>
    <phoneticPr fontId="1"/>
  </si>
  <si>
    <t>・データの集計（和、平均）：「データサイエンス概論　第4回」
・データの並び替え、ランキング：「データサイエンス概論第4回」
・表形式のデータ（csv）：「データサイエンス概論　第6回」</t>
    <phoneticPr fontId="1"/>
  </si>
  <si>
    <t>・ビッグデータ、IoT、AI、ロボット：「こころとは何か（人間・動物・AI)第12-13回」
・データ量の増加、計算機の処理性能の向上、AIの非連続的進化：「こころは数値化できるか第１回」
・第4次産業革命、Society 5.0、データ駆動型社会：「情報リテラシーⅠ第1回」
・人間の知的活動とAIの関係性：「こころとは何か（人間・動物・AI)第１2-13回」
・データを起点としたものの見方、人間の知的活動を起点としたものの見方：「こころは数値化できるか第15回」</t>
    <phoneticPr fontId="1"/>
  </si>
  <si>
    <t xml:space="preserve">
・AI最新技術の活用例（深層生成モデル、敵対的生成ネットワーク、強化学習、転移学習など）：「こころとは何か（人間・動物・AI)第12-13回」</t>
    <phoneticPr fontId="1"/>
  </si>
  <si>
    <t xml:space="preserve">・調査データ、実験データ、人の行動ログデータ、機械の稼働ログデータなど：「心理学研究法第4-9回」「心理学調査実習第5回」
・1次データ、2次データ、データのメタ化：「心理学調査実習第6回」
</t>
    <rPh sb="0" eb="2">
      <t>カモk</t>
    </rPh>
    <phoneticPr fontId="1"/>
  </si>
  <si>
    <t>・データ・AI活用領域の広がり(生産、消費、文化活動など)：「こころとは何か（人間・動物・AI)第12-13回」
・研究開発、調達、製造、物流、販売、マーケティング、サービスなど：「消費者の心理学第2回」
・仮説検証、知識発見、原因究明、計画策定、判断支援、活動代替、新規生成など：「心理学調査実習第2-3回」</t>
    <rPh sb="0" eb="2">
      <t>カモk</t>
    </rPh>
    <phoneticPr fontId="1"/>
  </si>
  <si>
    <t>・データ解析：予測、グルーピング、パターン発見、最適化、シミュレーション・データ同化など：「消費者の心理学第2回」
・データ可視化：複合グラフ、2軸グラフ、多次元の可視化、関係性の可視化、地図上の可視化、挙動・軌跡の可視化、リアルタイム可視化など：「消費者の心理学第2回」
・特化型AIと汎用AI、今のAIで出来ることと出来ないこと、AIとビッグデータ：「情報リテラシーⅠ第2回」</t>
    <rPh sb="0" eb="2">
      <t>カモk</t>
    </rPh>
    <phoneticPr fontId="1"/>
  </si>
  <si>
    <t xml:space="preserve">・データサイエンスのサイクル（課題抽出と定式化、データの取得・管理・加工、探索的データ解析、データ解析と推論、結果の共有・伝達、課題解決に向けた提案）：「消費者の心理学第2回」
</t>
    <rPh sb="0" eb="2">
      <t>カモk</t>
    </rPh>
    <phoneticPr fontId="1"/>
  </si>
  <si>
    <t xml:space="preserve">・個人情報保護、EU一般データ保護規則(GDPR)、忘れられる権利、オプトアウト：「心理学研究法第14回」
・データ倫理：データのねつ造、改ざん、盗用、プライバシー保護：「心理学研究法第14回」
・AI社会原則（公平性、説明責任、透明性、人間中心の判断）：「こころとは何か（人間・動物・AI)第12-13回」
・データバイアス、アルゴリズムバイアス：「科学と人間第15回」
</t>
    <phoneticPr fontId="1"/>
  </si>
  <si>
    <t>・情報セキュリティ：機密性、完全性、可用性：「情報リテラシーⅠ第14-15回」
・匿名加工情報、暗号化、パスワード、悪意ある情報搾取：「情報リテラシーⅠ第14-15回」
・情報漏洩等によるセキュリティ事故の事例紹介：「情報リテラシーⅠ第14-15回」</t>
    <phoneticPr fontId="1"/>
  </si>
  <si>
    <t>・データの種類（量的変数、質的変数）：「心理学統計法Ⅰ第5回」
・データの分布(ヒストグラム)と代表値（平均値、中央値、最頻値）：「心理学統計法Ⅰ第6回」
・代表値の性質の違い（実社会では平均値＝最頻値でないことが多い）：「心理学統計法Ⅰ第6回」
・データのばらつき（分散、標準偏差、偏差値）：「心理学統計法Ⅰ第6回」
・観測データに含まれる誤差の扱い：「心理学統計法Ⅰ第6回」
・相関と因果（相関係数、擬似相関、交絡）：「心理学統計法Ⅰ第9回」
・母集団と標本抽出（国勢調査、アンケート調査、全数調査、単純無作為抽出、層別抽出、多段抽出）：「心理学統計法Ⅱ第2回」
・クロス集計表、分割表、相関係数行列、散布図行列：「心理学統計法Ⅰ第6回」
・統計情報の正しい理解（誇張表現に惑わされない）：「心理学統計法Ⅰ第1回」</t>
    <rPh sb="0" eb="2">
      <t>カモk</t>
    </rPh>
    <phoneticPr fontId="1"/>
  </si>
  <si>
    <t>・データ表現（棒グラフ、折線グラフ、散布図、ヒートマップ）：「心理学調査実習第6回」
・データの図表表現（チャート化）：「心理学調査実習第6回」
・データの比較（条件をそろえた比較、処理の前後での比較、A/Bテスト)：「心理学調査実習第8-15回」
・優れた可視化事例の紹介（可視化することによって新たな気づきがあった事例など）：「心理学調査実習第6回」</t>
    <rPh sb="0" eb="2">
      <t>ダイ</t>
    </rPh>
    <phoneticPr fontId="1"/>
  </si>
  <si>
    <t>・データの集計（和、平均）：「情報リテラシーⅡ第2-3回」
・データの並び替え、ランキング：「情報リテラシーⅡ第6-7回」
・表形式のデータ（csv）：「情報リテラシーⅡ第6回」</t>
    <phoneticPr fontId="1"/>
  </si>
  <si>
    <t>【総合心理学部】 
「全学共通プログラム科目群」の中からから、総合心理学部では、科目(1)「 情報リテラシーⅠ」　1単位、科目（2）「こころとは何か」（人間・動物・AI)　2単位、科目（3）「こころは数値化できるか」　2単位、科目(4) 「心理学研究法」　2単位、科目(5) 心理学調査実習　2単位、科目(6)消費者の心理学　2単位、科目(7) 科学と人間　2単位、科目(8)心理学統計法Ⅰ　2単位、科目(9)心理学統計法Ⅱ　2単位　、科目(10)情報リテラシーⅡ　1単位、科目(11)心理データ解析法　2単位の全ての科目（11科目20単位）を履修すること。
※各科目各回の詳細な授業内容については、添付のシラバスを参照のこと。</t>
    <rPh sb="0" eb="2">
      <t>カモk</t>
    </rPh>
    <rPh sb="31" eb="37">
      <t>ソウゴウシンリガクブ</t>
    </rPh>
    <rPh sb="58" eb="60">
      <t>タンイ</t>
    </rPh>
    <rPh sb="87" eb="89">
      <t>タンイ</t>
    </rPh>
    <rPh sb="110" eb="112">
      <t>タンイ</t>
    </rPh>
    <rPh sb="129" eb="131">
      <t>タンイ</t>
    </rPh>
    <rPh sb="258" eb="260">
      <t>カモク</t>
    </rPh>
    <rPh sb="263" eb="265">
      <t>カモク</t>
    </rPh>
    <rPh sb="267" eb="269">
      <t>タンイ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</si>
</sst>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12"/>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cellStyleXfs>
  <cellXfs count="32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8" fillId="0" borderId="11" xfId="0" applyFont="1" applyBorder="1" applyAlignment="1">
      <alignment horizontal="center"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0" fontId="2" fillId="0" borderId="0" xfId="0" applyFont="1" applyAlignment="1">
      <alignment horizontal="right" vertical="center"/>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60" xfId="0" applyFont="1" applyBorder="1" applyAlignment="1">
      <alignment horizontal="lef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9" fillId="0" borderId="0" xfId="0" applyFont="1">
      <alignment vertical="center"/>
    </xf>
    <xf numFmtId="0" fontId="9" fillId="0" borderId="0" xfId="0" applyFont="1" applyAlignment="1">
      <alignment horizontal="right" vertical="center"/>
    </xf>
    <xf numFmtId="0" fontId="10" fillId="0" borderId="0" xfId="0" applyFont="1">
      <alignment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9" fillId="0" borderId="0" xfId="0" applyFont="1" applyAlignment="1">
      <alignment vertical="center" shrinkToFit="1"/>
    </xf>
    <xf numFmtId="0" fontId="9" fillId="0" borderId="0" xfId="0" applyFont="1" applyAlignment="1">
      <alignment horizontal="left" vertical="center" shrinkToFit="1"/>
    </xf>
    <xf numFmtId="0" fontId="11" fillId="0" borderId="0" xfId="0" applyFont="1" applyAlignment="1">
      <alignment horizontal="center" vertical="center"/>
    </xf>
    <xf numFmtId="0" fontId="9" fillId="0" borderId="0" xfId="0" applyFont="1" applyAlignment="1">
      <alignment horizontal="center" vertical="center"/>
    </xf>
    <xf numFmtId="0" fontId="9" fillId="0" borderId="10" xfId="0" applyFont="1" applyBorder="1" applyAlignment="1">
      <alignment horizontal="right" vertical="center"/>
    </xf>
    <xf numFmtId="0" fontId="9" fillId="0" borderId="0" xfId="0" applyFont="1" applyAlignment="1">
      <alignment horizontal="left" vertical="center"/>
    </xf>
    <xf numFmtId="0" fontId="10" fillId="0" borderId="0" xfId="0" applyFont="1" applyAlignment="1">
      <alignment horizontal="center" vertical="center"/>
    </xf>
    <xf numFmtId="0" fontId="9" fillId="0" borderId="5" xfId="0" applyFont="1" applyBorder="1">
      <alignment vertical="center"/>
    </xf>
    <xf numFmtId="0" fontId="9" fillId="0" borderId="0" xfId="0" applyFont="1" applyAlignment="1">
      <alignment vertical="center" wrapText="1"/>
    </xf>
    <xf numFmtId="0" fontId="12" fillId="0" borderId="1" xfId="0" applyFont="1" applyBorder="1" applyAlignment="1">
      <alignment horizontal="center" vertical="center" shrinkToFit="1"/>
    </xf>
    <xf numFmtId="0" fontId="12" fillId="0" borderId="4" xfId="0" applyFont="1" applyBorder="1" applyAlignment="1">
      <alignment horizontal="center" vertical="center" shrinkToFit="1"/>
    </xf>
    <xf numFmtId="49" fontId="12" fillId="0" borderId="1" xfId="0" applyNumberFormat="1" applyFont="1" applyBorder="1" applyAlignment="1">
      <alignment horizontal="center" vertical="center"/>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40" xfId="0" applyFont="1" applyBorder="1" applyAlignment="1">
      <alignment horizontal="center" vertical="center" shrinkToFit="1"/>
    </xf>
    <xf numFmtId="0" fontId="9" fillId="0" borderId="0" xfId="0" applyFont="1" applyAlignment="1">
      <alignment vertical="top" wrapText="1"/>
    </xf>
    <xf numFmtId="0" fontId="9" fillId="0" borderId="35"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0" xfId="0" applyFont="1" applyAlignment="1">
      <alignment horizontal="center" vertical="center" shrinkToFit="1"/>
    </xf>
    <xf numFmtId="49" fontId="12" fillId="0" borderId="48" xfId="0" applyNumberFormat="1" applyFont="1" applyBorder="1" applyAlignment="1">
      <alignment horizontal="center" vertical="center"/>
    </xf>
    <xf numFmtId="49" fontId="12" fillId="0" borderId="49" xfId="0" applyNumberFormat="1" applyFont="1" applyBorder="1" applyAlignment="1">
      <alignment horizontal="center" vertical="center"/>
    </xf>
    <xf numFmtId="49" fontId="12" fillId="0" borderId="44" xfId="0" applyNumberFormat="1" applyFont="1" applyBorder="1" applyAlignment="1">
      <alignment horizontal="center" vertical="center"/>
    </xf>
    <xf numFmtId="49" fontId="12" fillId="0" borderId="29" xfId="0" applyNumberFormat="1" applyFont="1" applyBorder="1" applyAlignment="1">
      <alignment horizontal="center" vertical="center"/>
    </xf>
    <xf numFmtId="49" fontId="12" fillId="0" borderId="47" xfId="0" applyNumberFormat="1" applyFont="1" applyBorder="1" applyAlignment="1">
      <alignment horizontal="center" vertical="center"/>
    </xf>
    <xf numFmtId="49" fontId="12" fillId="0" borderId="32" xfId="0" applyNumberFormat="1" applyFont="1" applyBorder="1" applyAlignment="1">
      <alignment horizontal="center" vertical="center"/>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18" xfId="0" applyFont="1" applyBorder="1" applyAlignment="1">
      <alignment horizontal="center" vertical="center"/>
    </xf>
    <xf numFmtId="0" fontId="9" fillId="0" borderId="0" xfId="0" applyFont="1" applyAlignment="1">
      <alignment vertical="top" shrinkToFit="1"/>
    </xf>
    <xf numFmtId="0" fontId="9" fillId="0" borderId="12" xfId="0" applyFont="1" applyBorder="1" applyAlignment="1">
      <alignment horizontal="center" vertical="center" shrinkToFit="1"/>
    </xf>
    <xf numFmtId="0" fontId="9" fillId="0" borderId="43" xfId="0" applyFont="1" applyBorder="1" applyAlignment="1">
      <alignment horizontal="center" vertical="center" shrinkToFit="1"/>
    </xf>
    <xf numFmtId="0" fontId="12" fillId="0" borderId="0" xfId="0" applyFont="1">
      <alignment vertical="center"/>
    </xf>
    <xf numFmtId="0" fontId="10" fillId="0" borderId="0" xfId="0" applyFont="1" applyAlignment="1">
      <alignment horizontal="left" vertical="center"/>
    </xf>
    <xf numFmtId="0" fontId="12" fillId="0" borderId="0" xfId="0" applyFont="1" applyAlignment="1">
      <alignment vertical="top" wrapText="1"/>
    </xf>
    <xf numFmtId="0" fontId="9" fillId="0" borderId="1" xfId="0" applyFont="1" applyBorder="1" applyAlignment="1">
      <alignment horizontal="center" vertical="center" wrapText="1" shrinkToFit="1"/>
    </xf>
    <xf numFmtId="9" fontId="9" fillId="0" borderId="0" xfId="1" applyFont="1" applyAlignment="1">
      <alignment horizontal="center" vertical="center"/>
    </xf>
    <xf numFmtId="0" fontId="9" fillId="0" borderId="1" xfId="0" applyFont="1" applyBorder="1" applyAlignment="1">
      <alignment horizontal="center" vertical="center" shrinkToFit="1"/>
    </xf>
    <xf numFmtId="0" fontId="12" fillId="0" borderId="0" xfId="0" applyFont="1" applyAlignment="1">
      <alignment vertical="top" shrinkToFit="1"/>
    </xf>
    <xf numFmtId="0" fontId="12" fillId="0" borderId="0" xfId="0" applyFont="1" applyAlignment="1">
      <alignment vertical="center" wrapText="1"/>
    </xf>
    <xf numFmtId="0" fontId="9" fillId="2" borderId="5" xfId="0" applyFont="1" applyFill="1" applyBorder="1">
      <alignment vertical="center"/>
    </xf>
    <xf numFmtId="0" fontId="12" fillId="2" borderId="0" xfId="0" applyFont="1" applyFill="1" applyAlignment="1">
      <alignment vertical="top" wrapText="1"/>
    </xf>
    <xf numFmtId="0" fontId="12" fillId="2" borderId="10" xfId="0" applyFont="1" applyFill="1" applyBorder="1" applyAlignment="1">
      <alignment vertical="top" wrapText="1"/>
    </xf>
    <xf numFmtId="0" fontId="9" fillId="2" borderId="0" xfId="0" applyFont="1" applyFill="1">
      <alignment vertical="center"/>
    </xf>
    <xf numFmtId="0" fontId="12" fillId="2" borderId="5" xfId="0" applyFont="1" applyFill="1" applyBorder="1" applyAlignment="1">
      <alignment vertical="top" wrapText="1"/>
    </xf>
    <xf numFmtId="0" fontId="12" fillId="2" borderId="11" xfId="0" applyFont="1" applyFill="1" applyBorder="1" applyAlignment="1">
      <alignment vertical="top" wrapText="1"/>
    </xf>
    <xf numFmtId="0" fontId="12" fillId="2" borderId="42" xfId="0" applyFont="1" applyFill="1" applyBorder="1" applyAlignment="1">
      <alignment vertical="top" wrapText="1"/>
    </xf>
    <xf numFmtId="0" fontId="12" fillId="2" borderId="43" xfId="0" applyFont="1" applyFill="1" applyBorder="1" applyAlignment="1">
      <alignment vertical="top" wrapText="1"/>
    </xf>
    <xf numFmtId="0" fontId="12" fillId="2" borderId="42" xfId="0" applyFont="1" applyFill="1" applyBorder="1" applyAlignment="1">
      <alignment vertical="top" shrinkToFit="1"/>
    </xf>
    <xf numFmtId="0" fontId="12" fillId="2" borderId="43" xfId="0" applyFont="1" applyFill="1" applyBorder="1" applyAlignment="1">
      <alignment vertical="top" shrinkToFit="1"/>
    </xf>
    <xf numFmtId="38" fontId="9" fillId="0" borderId="5" xfId="2" applyFont="1" applyFill="1" applyBorder="1" applyAlignment="1">
      <alignment vertical="center" shrinkToFit="1"/>
    </xf>
    <xf numFmtId="38" fontId="9" fillId="0" borderId="57" xfId="2" applyFont="1" applyFill="1" applyBorder="1" applyAlignment="1">
      <alignment vertical="center" shrinkToFit="1"/>
    </xf>
    <xf numFmtId="0" fontId="9" fillId="3" borderId="1" xfId="0" applyFont="1" applyFill="1" applyBorder="1" applyAlignment="1">
      <alignment horizontal="center" vertical="center" wrapText="1" shrinkToFit="1"/>
    </xf>
    <xf numFmtId="9" fontId="9" fillId="3" borderId="1" xfId="0" applyNumberFormat="1" applyFont="1" applyFill="1" applyBorder="1" applyAlignment="1">
      <alignment horizontal="center" vertical="center" shrinkToFit="1"/>
    </xf>
    <xf numFmtId="0" fontId="9" fillId="3" borderId="1" xfId="0" applyFont="1" applyFill="1" applyBorder="1" applyAlignment="1">
      <alignment horizontal="center" vertical="center" shrinkToFit="1"/>
    </xf>
    <xf numFmtId="176" fontId="9" fillId="3" borderId="1" xfId="0" applyNumberFormat="1" applyFont="1" applyFill="1" applyBorder="1" applyAlignment="1">
      <alignment horizontal="center" vertical="center" shrinkToFit="1"/>
    </xf>
    <xf numFmtId="38" fontId="9" fillId="0" borderId="0" xfId="2" applyFont="1" applyAlignment="1">
      <alignment vertical="center" shrinkToFit="1"/>
    </xf>
    <xf numFmtId="9" fontId="9" fillId="0" borderId="13" xfId="0" applyNumberFormat="1" applyFont="1" applyBorder="1" applyAlignment="1">
      <alignment vertical="center" shrinkToFit="1"/>
    </xf>
    <xf numFmtId="38" fontId="9" fillId="0" borderId="20" xfId="2" applyFont="1" applyBorder="1" applyAlignment="1">
      <alignment vertical="center" shrinkToFit="1"/>
    </xf>
    <xf numFmtId="9" fontId="9" fillId="0" borderId="60" xfId="0" applyNumberFormat="1" applyFont="1" applyBorder="1" applyAlignment="1">
      <alignment vertical="center" shrinkToFit="1"/>
    </xf>
    <xf numFmtId="0" fontId="9" fillId="0" borderId="34" xfId="0" applyFont="1" applyBorder="1" applyAlignment="1">
      <alignment vertical="center" shrinkToFit="1"/>
    </xf>
    <xf numFmtId="0" fontId="9" fillId="0" borderId="36" xfId="0" applyFont="1" applyBorder="1" applyAlignment="1">
      <alignment vertical="center" shrinkToFit="1"/>
    </xf>
    <xf numFmtId="0" fontId="9" fillId="0" borderId="35" xfId="0" applyFont="1" applyBorder="1" applyAlignment="1">
      <alignmen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7" xfId="0" applyFont="1" applyBorder="1" applyAlignment="1">
      <alignment vertical="center" shrinkToFit="1"/>
    </xf>
    <xf numFmtId="0" fontId="9" fillId="0" borderId="38" xfId="0" applyFont="1" applyBorder="1" applyAlignment="1">
      <alignment vertical="center" shrinkToFit="1"/>
    </xf>
    <xf numFmtId="0" fontId="9" fillId="0" borderId="39" xfId="0" applyFont="1" applyBorder="1" applyAlignment="1">
      <alignment vertical="center" shrinkToFit="1"/>
    </xf>
    <xf numFmtId="0" fontId="9" fillId="0" borderId="0" xfId="0" applyFont="1" applyAlignment="1">
      <alignment vertical="center" wrapText="1"/>
    </xf>
    <xf numFmtId="0" fontId="12" fillId="0" borderId="45" xfId="0" applyFont="1" applyBorder="1" applyAlignment="1">
      <alignment vertical="center" wrapText="1"/>
    </xf>
    <xf numFmtId="0" fontId="12" fillId="0" borderId="31" xfId="0" applyFont="1" applyBorder="1" applyAlignment="1">
      <alignment vertical="center" wrapText="1"/>
    </xf>
    <xf numFmtId="0" fontId="12" fillId="0" borderId="46" xfId="0" applyFont="1" applyBorder="1" applyAlignment="1">
      <alignment vertical="center" wrapText="1"/>
    </xf>
    <xf numFmtId="0" fontId="9" fillId="0" borderId="36" xfId="0" applyFont="1" applyBorder="1" applyAlignment="1">
      <alignment horizontal="left" vertical="top" wrapText="1" shrinkToFit="1"/>
    </xf>
    <xf numFmtId="0" fontId="9" fillId="0" borderId="36" xfId="0" applyFont="1" applyBorder="1" applyAlignment="1">
      <alignment horizontal="left" vertical="top" shrinkToFit="1"/>
    </xf>
    <xf numFmtId="0" fontId="9" fillId="0" borderId="35" xfId="0" applyFont="1" applyBorder="1" applyAlignment="1">
      <alignment horizontal="left" vertical="top" shrinkToFit="1"/>
    </xf>
    <xf numFmtId="0" fontId="9" fillId="0" borderId="6" xfId="0" applyFont="1" applyBorder="1" applyAlignment="1">
      <alignment horizontal="left" vertical="top" wrapText="1" shrinkToFit="1"/>
    </xf>
    <xf numFmtId="0" fontId="9" fillId="0" borderId="6" xfId="0" applyFont="1" applyBorder="1" applyAlignment="1">
      <alignment horizontal="left" vertical="top" shrinkToFit="1"/>
    </xf>
    <xf numFmtId="0" fontId="9" fillId="0" borderId="12" xfId="0" applyFont="1" applyBorder="1" applyAlignment="1">
      <alignment horizontal="left" vertical="top" shrinkToFit="1"/>
    </xf>
    <xf numFmtId="0" fontId="9" fillId="0" borderId="8" xfId="0" applyFont="1" applyBorder="1" applyAlignment="1">
      <alignment horizontal="left" vertical="top" wrapText="1" shrinkToFit="1"/>
    </xf>
    <xf numFmtId="0" fontId="9" fillId="0" borderId="8" xfId="0" applyFont="1" applyBorder="1" applyAlignment="1">
      <alignment horizontal="left" vertical="top" shrinkToFit="1"/>
    </xf>
    <xf numFmtId="0" fontId="9" fillId="0" borderId="9" xfId="0" applyFont="1" applyBorder="1" applyAlignment="1">
      <alignment horizontal="left" vertical="top" shrinkToFit="1"/>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3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2" xfId="0" applyFont="1" applyBorder="1" applyAlignment="1">
      <alignment vertical="center" wrapText="1" shrinkToFit="1"/>
    </xf>
    <xf numFmtId="0" fontId="9" fillId="0" borderId="3" xfId="0" applyFont="1" applyBorder="1" applyAlignment="1">
      <alignment vertical="center" wrapText="1" shrinkToFit="1"/>
    </xf>
    <xf numFmtId="0" fontId="9" fillId="0" borderId="4" xfId="0" applyFont="1" applyBorder="1" applyAlignment="1">
      <alignment vertical="center" wrapText="1" shrinkToFit="1"/>
    </xf>
    <xf numFmtId="0" fontId="9" fillId="0" borderId="37" xfId="0" applyFont="1" applyBorder="1" applyAlignment="1">
      <alignment horizontal="center" vertical="center" shrinkToFit="1"/>
    </xf>
    <xf numFmtId="0" fontId="9" fillId="0" borderId="38"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22" xfId="0" applyFont="1" applyBorder="1" applyAlignment="1">
      <alignment horizontal="left" vertical="top" wrapText="1" shrinkToFit="1"/>
    </xf>
    <xf numFmtId="0" fontId="9" fillId="0" borderId="22" xfId="0" applyFont="1" applyBorder="1" applyAlignment="1">
      <alignment horizontal="left" vertical="top" shrinkToFit="1"/>
    </xf>
    <xf numFmtId="0" fontId="9" fillId="0" borderId="21" xfId="0" applyFont="1" applyBorder="1" applyAlignment="1">
      <alignment horizontal="left" vertical="top" shrinkToFit="1"/>
    </xf>
    <xf numFmtId="0" fontId="9" fillId="0" borderId="38" xfId="0" applyFont="1" applyBorder="1" applyAlignment="1">
      <alignment horizontal="left" vertical="top" wrapText="1" shrinkToFit="1"/>
    </xf>
    <xf numFmtId="0" fontId="9" fillId="0" borderId="38" xfId="0" applyFont="1" applyBorder="1" applyAlignment="1">
      <alignment horizontal="left" vertical="top" shrinkToFit="1"/>
    </xf>
    <xf numFmtId="0" fontId="9" fillId="0" borderId="39" xfId="0" applyFont="1" applyBorder="1" applyAlignment="1">
      <alignment horizontal="left" vertical="top" shrinkToFit="1"/>
    </xf>
    <xf numFmtId="0" fontId="9" fillId="0" borderId="19" xfId="0" applyFont="1" applyBorder="1" applyAlignment="1">
      <alignment horizontal="left" vertical="top" wrapText="1" shrinkToFit="1"/>
    </xf>
    <xf numFmtId="0" fontId="9" fillId="0" borderId="20" xfId="0" applyFont="1" applyBorder="1" applyAlignment="1">
      <alignment horizontal="left" vertical="top" shrinkToFit="1"/>
    </xf>
    <xf numFmtId="0" fontId="9" fillId="0" borderId="18" xfId="0" applyFont="1" applyBorder="1" applyAlignment="1">
      <alignment horizontal="left" vertical="top" shrinkToFit="1"/>
    </xf>
    <xf numFmtId="0" fontId="9" fillId="0" borderId="0" xfId="0" applyFont="1" applyAlignment="1">
      <alignment horizontal="right"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1"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12" xfId="0" applyFont="1" applyBorder="1" applyAlignment="1">
      <alignment horizontal="left" vertical="top" wrapText="1"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0" borderId="1" xfId="0" applyFont="1" applyBorder="1" applyAlignment="1">
      <alignment horizontal="left" vertical="center"/>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9" fillId="0" borderId="12" xfId="0" applyFont="1" applyBorder="1" applyAlignment="1">
      <alignment horizontal="left" vertical="center" wrapTex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4" xfId="0" applyFont="1" applyBorder="1" applyAlignment="1">
      <alignment horizontal="left" vertical="center" shrinkToFit="1"/>
    </xf>
    <xf numFmtId="0" fontId="9" fillId="0" borderId="36" xfId="0" applyFont="1" applyBorder="1" applyAlignment="1">
      <alignment horizontal="left" vertical="center" shrinkToFit="1"/>
    </xf>
    <xf numFmtId="0" fontId="9" fillId="0" borderId="35" xfId="0" applyFont="1" applyBorder="1" applyAlignment="1">
      <alignment horizontal="left" vertical="center" shrinkToFit="1"/>
    </xf>
    <xf numFmtId="0" fontId="9" fillId="0" borderId="2" xfId="0" applyFont="1" applyBorder="1" applyAlignment="1">
      <alignment horizontal="left" vertical="top" wrapText="1" shrinkToFit="1"/>
    </xf>
    <xf numFmtId="0" fontId="9" fillId="0" borderId="3" xfId="0" applyFont="1" applyBorder="1" applyAlignment="1">
      <alignment horizontal="left" vertical="top" wrapText="1" shrinkToFit="1"/>
    </xf>
    <xf numFmtId="0" fontId="9" fillId="0" borderId="4" xfId="0" applyFont="1" applyBorder="1" applyAlignment="1">
      <alignment horizontal="left" vertical="top" wrapText="1" shrinkToFit="1"/>
    </xf>
    <xf numFmtId="0" fontId="9" fillId="0" borderId="0" xfId="0" applyFont="1" applyAlignment="1">
      <alignment horizontal="left" vertical="top" shrinkToFit="1"/>
    </xf>
    <xf numFmtId="0" fontId="9" fillId="0" borderId="10" xfId="0" applyFont="1" applyBorder="1" applyAlignment="1">
      <alignment horizontal="left" vertical="top" shrinkToFit="1"/>
    </xf>
    <xf numFmtId="0" fontId="9" fillId="0" borderId="36" xfId="0" applyFont="1" applyBorder="1" applyAlignment="1">
      <alignment vertical="top" wrapText="1" shrinkToFit="1"/>
    </xf>
    <xf numFmtId="0" fontId="9" fillId="0" borderId="36" xfId="0" applyFont="1" applyBorder="1" applyAlignment="1">
      <alignment vertical="top" shrinkToFit="1"/>
    </xf>
    <xf numFmtId="0" fontId="9" fillId="0" borderId="35" xfId="0" applyFont="1" applyBorder="1" applyAlignment="1">
      <alignment vertical="top" shrinkToFit="1"/>
    </xf>
    <xf numFmtId="0" fontId="9" fillId="0" borderId="19" xfId="0" applyFont="1" applyBorder="1" applyAlignment="1">
      <alignment vertical="top" wrapText="1" shrinkToFit="1"/>
    </xf>
    <xf numFmtId="0" fontId="9" fillId="0" borderId="20" xfId="0" applyFont="1" applyBorder="1" applyAlignment="1">
      <alignment vertical="top" shrinkToFit="1"/>
    </xf>
    <xf numFmtId="0" fontId="9" fillId="0" borderId="18" xfId="0" applyFont="1" applyBorder="1" applyAlignment="1">
      <alignment vertical="top" shrinkToFit="1"/>
    </xf>
    <xf numFmtId="0" fontId="9" fillId="0" borderId="41" xfId="0" applyFont="1" applyBorder="1" applyAlignment="1">
      <alignment vertical="center" shrinkToFit="1"/>
    </xf>
    <xf numFmtId="0" fontId="9" fillId="0" borderId="42" xfId="0" applyFont="1" applyBorder="1" applyAlignment="1">
      <alignment vertical="center" shrinkToFit="1"/>
    </xf>
    <xf numFmtId="0" fontId="9" fillId="0" borderId="43" xfId="0" applyFont="1" applyBorder="1" applyAlignment="1">
      <alignment vertical="center" shrinkToFit="1"/>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38" xfId="0" applyFont="1" applyBorder="1" applyAlignment="1">
      <alignment horizontal="left" vertical="center" wrapText="1" shrinkToFit="1"/>
    </xf>
    <xf numFmtId="0" fontId="9" fillId="0" borderId="38"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36" xfId="0" applyFont="1" applyBorder="1" applyAlignment="1">
      <alignment horizontal="left" vertical="center" wrapText="1" shrinkToFit="1"/>
    </xf>
    <xf numFmtId="0" fontId="9" fillId="0" borderId="36" xfId="0" applyFont="1" applyBorder="1" applyAlignment="1">
      <alignment vertical="center" wrapText="1"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19" xfId="0" applyFont="1" applyBorder="1" applyAlignment="1">
      <alignment vertical="center" wrapText="1"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13" fillId="0" borderId="5" xfId="0" applyFont="1" applyBorder="1" applyAlignment="1">
      <alignment horizontal="center" vertical="center" shrinkToFit="1"/>
    </xf>
    <xf numFmtId="0" fontId="13" fillId="0" borderId="0" xfId="0" applyFont="1" applyAlignment="1">
      <alignment horizontal="center" vertical="center" shrinkToFit="1"/>
    </xf>
    <xf numFmtId="0" fontId="13" fillId="0" borderId="10" xfId="0" applyFont="1" applyBorder="1" applyAlignment="1">
      <alignment horizontal="center" vertical="center" shrinkToFit="1"/>
    </xf>
    <xf numFmtId="0" fontId="2" fillId="0" borderId="14" xfId="0" applyFont="1" applyBorder="1" applyAlignment="1">
      <alignment horizontal="center" vertical="center"/>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2" fillId="0" borderId="1"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13" xfId="0" applyFont="1" applyBorder="1" applyAlignment="1">
      <alignment horizontal="center" vertical="center"/>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0" xfId="0" applyFont="1">
      <alignment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2" borderId="5" xfId="0" applyFont="1" applyFill="1" applyBorder="1" applyAlignment="1">
      <alignment horizontal="center" vertical="center" shrinkToFit="1"/>
    </xf>
    <xf numFmtId="0" fontId="9" fillId="2" borderId="0" xfId="0" applyFont="1" applyFill="1" applyAlignment="1">
      <alignment horizontal="center" vertical="center" shrinkToFit="1"/>
    </xf>
    <xf numFmtId="0" fontId="9" fillId="2" borderId="10" xfId="0" applyFont="1" applyFill="1" applyBorder="1" applyAlignment="1">
      <alignment horizontal="center" vertical="center" shrinkToFit="1"/>
    </xf>
    <xf numFmtId="0" fontId="9" fillId="0" borderId="2" xfId="0" applyFont="1" applyBorder="1" applyAlignment="1">
      <alignment horizontal="left" vertical="center"/>
    </xf>
    <xf numFmtId="0" fontId="10" fillId="0" borderId="3" xfId="0" applyFont="1" applyBorder="1">
      <alignment vertical="center"/>
    </xf>
    <xf numFmtId="0" fontId="10" fillId="0" borderId="4" xfId="0" applyFont="1" applyBorder="1">
      <alignmen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9" fillId="0" borderId="0" xfId="0" applyFont="1" applyAlignment="1">
      <alignment horizontal="center" vertical="center"/>
    </xf>
    <xf numFmtId="9" fontId="9" fillId="3" borderId="1" xfId="0" applyNumberFormat="1" applyFont="1" applyFill="1" applyBorder="1" applyAlignment="1">
      <alignment horizontal="center"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10" xfId="0" applyFont="1" applyBorder="1" applyAlignment="1">
      <alignment vertical="top"/>
    </xf>
    <xf numFmtId="0" fontId="9" fillId="0" borderId="11" xfId="0" applyFont="1" applyBorder="1" applyAlignment="1">
      <alignment vertical="top"/>
    </xf>
    <xf numFmtId="0" fontId="9" fillId="0" borderId="6" xfId="0" applyFont="1" applyBorder="1" applyAlignment="1">
      <alignment vertical="top"/>
    </xf>
    <xf numFmtId="0" fontId="9" fillId="0" borderId="12" xfId="0" applyFont="1" applyBorder="1" applyAlignment="1">
      <alignment vertical="top"/>
    </xf>
    <xf numFmtId="9" fontId="9" fillId="3" borderId="1" xfId="0" applyNumberFormat="1" applyFont="1" applyFill="1" applyBorder="1" applyAlignment="1">
      <alignment horizontal="center" vertical="center" wrapText="1"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17" xfId="0" applyFont="1" applyBorder="1" applyAlignment="1">
      <alignment vertical="center" wrapText="1"/>
    </xf>
    <xf numFmtId="0" fontId="9" fillId="0" borderId="18" xfId="0" applyFont="1" applyBorder="1" applyAlignment="1">
      <alignment vertical="center" wrapTex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9" fillId="0" borderId="17" xfId="0" applyFont="1" applyBorder="1">
      <alignment vertical="center"/>
    </xf>
    <xf numFmtId="0" fontId="10" fillId="0" borderId="18" xfId="0" applyFont="1" applyBorder="1">
      <alignment vertical="center"/>
    </xf>
    <xf numFmtId="0" fontId="9" fillId="0" borderId="41" xfId="0" applyFont="1" applyBorder="1" applyAlignment="1">
      <alignment vertical="center" wrapText="1"/>
    </xf>
    <xf numFmtId="0" fontId="9" fillId="0" borderId="42" xfId="0" applyFont="1" applyBorder="1" applyAlignment="1">
      <alignment vertical="center" wrapText="1"/>
    </xf>
    <xf numFmtId="0" fontId="9" fillId="0" borderId="43" xfId="0" applyFont="1" applyBorder="1" applyAlignment="1">
      <alignment vertical="center" wrapText="1"/>
    </xf>
    <xf numFmtId="0" fontId="9" fillId="0" borderId="34" xfId="0" applyFont="1" applyBorder="1" applyAlignment="1">
      <alignment vertical="top" wrapText="1" shrinkToFit="1"/>
    </xf>
    <xf numFmtId="0" fontId="9" fillId="0" borderId="35" xfId="0" applyFont="1" applyBorder="1" applyAlignment="1">
      <alignment vertical="top" wrapText="1" shrinkToFi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37" xfId="0" applyFont="1" applyBorder="1" applyAlignment="1">
      <alignment vertical="top" wrapText="1" shrinkToFit="1"/>
    </xf>
    <xf numFmtId="0" fontId="9" fillId="0" borderId="38" xfId="0" applyFont="1" applyBorder="1" applyAlignment="1">
      <alignment vertical="top" wrapText="1" shrinkToFit="1"/>
    </xf>
    <xf numFmtId="0" fontId="9" fillId="0" borderId="39" xfId="0" applyFont="1" applyBorder="1" applyAlignment="1">
      <alignment vertical="top" wrapText="1" shrinkToFit="1"/>
    </xf>
    <xf numFmtId="0" fontId="9" fillId="0" borderId="59" xfId="0" applyFont="1" applyBorder="1" applyAlignment="1">
      <alignment vertical="center" wrapText="1"/>
    </xf>
    <xf numFmtId="0" fontId="9" fillId="0" borderId="39" xfId="0" applyFont="1" applyBorder="1" applyAlignment="1">
      <alignment vertical="center" wrapTex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ropbox\1_&#20154;&#38291;&#29872;&#22659;&#22823;&#23398;\13_&#25968;&#29702;&#12487;&#12540;&#12479;&#12469;&#12452;&#12456;&#12531;&#12473;AI\88_&#25968;&#29702;&#12539;&#12487;&#12540;&#12479;&#12469;&#12452;&#12456;&#12531;&#12473;&#12539;&#65313;&#65321;&#25945;&#32946;&#12503;&#12525;&#12464;&#12521;&#12512;&#35469;&#23450;&#21046;&#24230;\&#31532;3&#22238;&#30446;&#22996;&#21729;&#20250;\&#21512;&#20307;&#29256;&#65306;&#25552;&#20986;&#36039;&#26009;2023&#65288;&#30003;&#35531;&#27096;&#24335;1&#65293;4&#65289;.xlsx" TargetMode="External"/><Relationship Id="rId1" Type="http://schemas.openxmlformats.org/officeDocument/2006/relationships/externalLinkPath" Target="file:///D:\Dropbox\1_&#20154;&#38291;&#29872;&#22659;&#22823;&#23398;\13_&#25968;&#29702;&#12487;&#12540;&#12479;&#12469;&#12452;&#12456;&#12531;&#12473;AI\88_&#25968;&#29702;&#12539;&#12487;&#12540;&#12479;&#12469;&#12452;&#12456;&#12531;&#12473;&#12539;&#65313;&#65321;&#25945;&#32946;&#12503;&#12525;&#12464;&#12521;&#12512;&#35469;&#23450;&#21046;&#24230;\&#31532;3&#22238;&#30446;&#22996;&#21729;&#20250;\&#21512;&#20307;&#29256;&#65306;&#25552;&#20986;&#36039;&#26009;2023&#65288;&#30003;&#35531;&#27096;&#24335;1&#65293;4&#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様式１　プログラムを構成する授業科目"/>
      <sheetName val="様式２ 履修者等数の実績"/>
      <sheetName val="様式３ 教育の質・履修者数を向上させるための体制・計画"/>
      <sheetName val="様式４　自己点検・評価"/>
    </sheetNames>
    <sheetDataSet>
      <sheetData sheetId="0">
        <row r="2">
          <cell r="C2" t="str">
            <v>人間環境大学</v>
          </cell>
        </row>
      </sheetData>
      <sheetData sheetId="1" refreshError="1"/>
      <sheetData sheetId="2" refreshError="1"/>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zoomScaleNormal="100" zoomScaleSheetLayoutView="100" workbookViewId="0">
      <selection activeCell="B13" sqref="B13:S18"/>
    </sheetView>
  </sheetViews>
  <sheetFormatPr defaultColWidth="9" defaultRowHeight="18.75" customHeight="1" x14ac:dyDescent="0.15"/>
  <cols>
    <col min="1" max="1" width="2.5" style="40" customWidth="1"/>
    <col min="2" max="2" width="16.5" style="40" customWidth="1"/>
    <col min="3" max="19" width="5.625" style="40" customWidth="1"/>
    <col min="20" max="20" width="9" style="40"/>
    <col min="21" max="21" width="3.625" style="40" customWidth="1"/>
    <col min="22" max="22" width="48.625" style="40" hidden="1" customWidth="1"/>
    <col min="23" max="16384" width="9" style="40"/>
  </cols>
  <sheetData>
    <row r="1" spans="1:22" ht="18.75" customHeight="1" x14ac:dyDescent="0.15">
      <c r="R1" s="157" t="s">
        <v>191</v>
      </c>
      <c r="S1" s="157"/>
      <c r="T1" s="42" t="s">
        <v>109</v>
      </c>
    </row>
    <row r="2" spans="1:22" ht="18.75" customHeight="1" x14ac:dyDescent="0.15">
      <c r="B2" s="43" t="s">
        <v>108</v>
      </c>
      <c r="C2" s="172" t="s">
        <v>127</v>
      </c>
      <c r="D2" s="172"/>
      <c r="E2" s="172"/>
      <c r="F2" s="172"/>
      <c r="G2" s="172"/>
      <c r="H2" s="172"/>
      <c r="I2" s="172"/>
      <c r="J2" s="172"/>
      <c r="K2" s="172"/>
      <c r="L2" s="172"/>
      <c r="M2" s="172"/>
      <c r="N2" s="45"/>
      <c r="O2" s="45"/>
      <c r="P2" s="45"/>
      <c r="Q2" s="45"/>
      <c r="R2" s="45"/>
      <c r="S2" s="45"/>
    </row>
    <row r="3" spans="1:22" ht="18.75" customHeight="1" x14ac:dyDescent="0.15">
      <c r="B3" s="43" t="s">
        <v>102</v>
      </c>
      <c r="C3" s="172" t="s">
        <v>128</v>
      </c>
      <c r="D3" s="172"/>
      <c r="E3" s="172"/>
      <c r="F3" s="172"/>
      <c r="G3" s="172"/>
      <c r="H3" s="172"/>
      <c r="I3" s="172"/>
      <c r="J3" s="172"/>
      <c r="K3" s="172"/>
      <c r="L3" s="172"/>
      <c r="M3" s="172"/>
      <c r="N3" s="45"/>
      <c r="O3" s="45"/>
      <c r="P3" s="45"/>
      <c r="Q3" s="45"/>
      <c r="R3" s="45"/>
      <c r="S3" s="45"/>
    </row>
    <row r="4" spans="1:22" ht="15" customHeight="1" x14ac:dyDescent="0.15">
      <c r="K4" s="41"/>
      <c r="L4" s="46"/>
      <c r="M4" s="46"/>
      <c r="N4" s="46"/>
      <c r="O4" s="46"/>
      <c r="P4" s="46"/>
      <c r="Q4" s="46"/>
      <c r="R4" s="46"/>
      <c r="S4" s="46"/>
    </row>
    <row r="5" spans="1:22" ht="18" customHeight="1" x14ac:dyDescent="0.15">
      <c r="A5" s="161" t="s">
        <v>38</v>
      </c>
      <c r="B5" s="161"/>
      <c r="C5" s="161"/>
      <c r="D5" s="161"/>
      <c r="E5" s="161"/>
      <c r="F5" s="161"/>
      <c r="G5" s="161"/>
      <c r="H5" s="161"/>
      <c r="I5" s="161"/>
      <c r="J5" s="161"/>
      <c r="K5" s="161"/>
      <c r="L5" s="161"/>
      <c r="M5" s="161"/>
      <c r="N5" s="161"/>
      <c r="O5" s="161"/>
      <c r="P5" s="161"/>
      <c r="Q5" s="161"/>
      <c r="R5" s="161"/>
      <c r="S5" s="161"/>
    </row>
    <row r="6" spans="1:22" ht="15" customHeight="1" x14ac:dyDescent="0.15">
      <c r="B6" s="48"/>
      <c r="C6" s="48"/>
      <c r="D6" s="48"/>
      <c r="E6" s="48"/>
      <c r="F6" s="48"/>
      <c r="G6" s="48"/>
      <c r="H6" s="48"/>
      <c r="I6" s="48"/>
      <c r="J6" s="48"/>
      <c r="K6" s="48"/>
      <c r="L6" s="48"/>
      <c r="M6" s="48"/>
      <c r="N6" s="48"/>
      <c r="O6" s="48"/>
      <c r="P6" s="48"/>
      <c r="Q6" s="48"/>
      <c r="R6" s="48"/>
      <c r="S6" s="48"/>
    </row>
    <row r="7" spans="1:22" ht="18" customHeight="1" x14ac:dyDescent="0.15">
      <c r="A7" s="40" t="s">
        <v>123</v>
      </c>
      <c r="C7" s="48"/>
      <c r="J7" s="49" t="s">
        <v>107</v>
      </c>
      <c r="K7" s="169" t="s">
        <v>125</v>
      </c>
      <c r="L7" s="170"/>
      <c r="M7" s="170"/>
      <c r="N7" s="170"/>
      <c r="O7" s="170"/>
      <c r="P7" s="170"/>
      <c r="Q7" s="170"/>
      <c r="R7" s="170"/>
      <c r="S7" s="171"/>
    </row>
    <row r="8" spans="1:22" ht="6" customHeight="1" x14ac:dyDescent="0.15">
      <c r="B8" s="48"/>
      <c r="C8" s="48"/>
      <c r="D8" s="48"/>
      <c r="E8" s="48"/>
      <c r="F8" s="48"/>
      <c r="G8" s="48"/>
      <c r="H8" s="48"/>
      <c r="I8" s="48"/>
      <c r="J8" s="48"/>
      <c r="K8" s="50"/>
      <c r="L8" s="48"/>
      <c r="M8" s="48"/>
      <c r="N8" s="48"/>
      <c r="O8" s="48"/>
      <c r="P8" s="48"/>
      <c r="Q8" s="48"/>
      <c r="R8" s="48"/>
      <c r="S8" s="48"/>
    </row>
    <row r="9" spans="1:22" ht="18" customHeight="1" x14ac:dyDescent="0.15">
      <c r="B9" s="173" t="s">
        <v>204</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48"/>
      <c r="C11" s="48"/>
      <c r="D11" s="48"/>
      <c r="E11" s="48"/>
      <c r="F11" s="48"/>
      <c r="G11" s="48"/>
      <c r="H11" s="48"/>
      <c r="I11" s="48"/>
      <c r="J11" s="48"/>
      <c r="K11" s="50"/>
      <c r="L11" s="48"/>
      <c r="M11" s="48"/>
      <c r="N11" s="48"/>
      <c r="O11" s="48"/>
      <c r="P11" s="48"/>
      <c r="Q11" s="48"/>
      <c r="R11" s="48"/>
      <c r="S11" s="48"/>
    </row>
    <row r="12" spans="1:22" ht="18" customHeight="1" x14ac:dyDescent="0.15">
      <c r="A12" s="40" t="s">
        <v>111</v>
      </c>
      <c r="B12" s="48"/>
      <c r="C12" s="48"/>
      <c r="D12" s="41"/>
      <c r="E12" s="41"/>
      <c r="F12" s="41"/>
      <c r="G12" s="41"/>
      <c r="H12" s="41"/>
      <c r="I12" s="41"/>
      <c r="J12" s="41"/>
      <c r="K12" s="51"/>
      <c r="L12" s="51"/>
      <c r="M12" s="51"/>
      <c r="N12" s="51"/>
      <c r="O12" s="51"/>
      <c r="P12" s="51"/>
      <c r="Q12" s="51"/>
      <c r="R12" s="51"/>
      <c r="S12" s="51"/>
    </row>
    <row r="13" spans="1:22" ht="18" customHeight="1" x14ac:dyDescent="0.15">
      <c r="B13" s="162" t="s">
        <v>241</v>
      </c>
      <c r="C13" s="128"/>
      <c r="D13" s="128"/>
      <c r="E13" s="128"/>
      <c r="F13" s="128"/>
      <c r="G13" s="128"/>
      <c r="H13" s="128"/>
      <c r="I13" s="128"/>
      <c r="J13" s="128"/>
      <c r="K13" s="128"/>
      <c r="L13" s="128"/>
      <c r="M13" s="128"/>
      <c r="N13" s="128"/>
      <c r="O13" s="128"/>
      <c r="P13" s="128"/>
      <c r="Q13" s="128"/>
      <c r="R13" s="128"/>
      <c r="S13" s="163"/>
      <c r="V13" s="40" t="s">
        <v>103</v>
      </c>
    </row>
    <row r="14" spans="1:22" ht="18" customHeight="1" x14ac:dyDescent="0.15">
      <c r="B14" s="164"/>
      <c r="C14" s="165"/>
      <c r="D14" s="165"/>
      <c r="E14" s="165"/>
      <c r="F14" s="165"/>
      <c r="G14" s="165"/>
      <c r="H14" s="165"/>
      <c r="I14" s="165"/>
      <c r="J14" s="165"/>
      <c r="K14" s="165"/>
      <c r="L14" s="165"/>
      <c r="M14" s="165"/>
      <c r="N14" s="165"/>
      <c r="O14" s="165"/>
      <c r="P14" s="165"/>
      <c r="Q14" s="165"/>
      <c r="R14" s="165"/>
      <c r="S14" s="166"/>
      <c r="V14" s="40" t="s">
        <v>110</v>
      </c>
    </row>
    <row r="15" spans="1:22" ht="18" customHeight="1" x14ac:dyDescent="0.15">
      <c r="B15" s="164"/>
      <c r="C15" s="165"/>
      <c r="D15" s="165"/>
      <c r="E15" s="165"/>
      <c r="F15" s="165"/>
      <c r="G15" s="165"/>
      <c r="H15" s="165"/>
      <c r="I15" s="165"/>
      <c r="J15" s="165"/>
      <c r="K15" s="165"/>
      <c r="L15" s="165"/>
      <c r="M15" s="165"/>
      <c r="N15" s="165"/>
      <c r="O15" s="165"/>
      <c r="P15" s="165"/>
      <c r="Q15" s="165"/>
      <c r="R15" s="165"/>
      <c r="S15" s="166"/>
      <c r="V15" s="40" t="s">
        <v>122</v>
      </c>
    </row>
    <row r="16" spans="1:22" ht="18" customHeight="1" x14ac:dyDescent="0.15">
      <c r="B16" s="164"/>
      <c r="C16" s="165"/>
      <c r="D16" s="165"/>
      <c r="E16" s="165"/>
      <c r="F16" s="165"/>
      <c r="G16" s="165"/>
      <c r="H16" s="165"/>
      <c r="I16" s="165"/>
      <c r="J16" s="165"/>
      <c r="K16" s="165"/>
      <c r="L16" s="165"/>
      <c r="M16" s="165"/>
      <c r="N16" s="165"/>
      <c r="O16" s="165"/>
      <c r="P16" s="165"/>
      <c r="Q16" s="165"/>
      <c r="R16" s="165"/>
      <c r="S16" s="166"/>
      <c r="V16" s="40" t="s">
        <v>124</v>
      </c>
    </row>
    <row r="17" spans="1:19" ht="18" customHeight="1" x14ac:dyDescent="0.15">
      <c r="B17" s="164"/>
      <c r="C17" s="165"/>
      <c r="D17" s="165"/>
      <c r="E17" s="165"/>
      <c r="F17" s="165"/>
      <c r="G17" s="165"/>
      <c r="H17" s="165"/>
      <c r="I17" s="165"/>
      <c r="J17" s="165"/>
      <c r="K17" s="165"/>
      <c r="L17" s="165"/>
      <c r="M17" s="165"/>
      <c r="N17" s="165"/>
      <c r="O17" s="165"/>
      <c r="P17" s="165"/>
      <c r="Q17" s="165"/>
      <c r="R17" s="165"/>
      <c r="S17" s="166"/>
    </row>
    <row r="18" spans="1:19" ht="18" customHeight="1" x14ac:dyDescent="0.15">
      <c r="B18" s="167"/>
      <c r="C18" s="125"/>
      <c r="D18" s="125"/>
      <c r="E18" s="125"/>
      <c r="F18" s="125"/>
      <c r="G18" s="125"/>
      <c r="H18" s="125"/>
      <c r="I18" s="125"/>
      <c r="J18" s="125"/>
      <c r="K18" s="125"/>
      <c r="L18" s="125"/>
      <c r="M18" s="125"/>
      <c r="N18" s="125"/>
      <c r="O18" s="125"/>
      <c r="P18" s="125"/>
      <c r="Q18" s="125"/>
      <c r="R18" s="125"/>
      <c r="S18" s="168"/>
    </row>
    <row r="19" spans="1:19" ht="7.5" customHeight="1" x14ac:dyDescent="0.15">
      <c r="B19" s="48"/>
      <c r="C19" s="48"/>
      <c r="D19" s="48"/>
      <c r="E19" s="48"/>
      <c r="F19" s="48"/>
      <c r="G19" s="48"/>
      <c r="H19" s="48"/>
      <c r="I19" s="48"/>
      <c r="J19" s="48"/>
      <c r="K19" s="48"/>
      <c r="L19" s="48"/>
      <c r="M19" s="48"/>
      <c r="N19" s="48"/>
      <c r="O19" s="48"/>
      <c r="P19" s="48"/>
      <c r="Q19" s="48"/>
      <c r="R19" s="48"/>
      <c r="S19" s="48"/>
    </row>
    <row r="20" spans="1:19" ht="20.100000000000001" customHeight="1" x14ac:dyDescent="0.15">
      <c r="B20" s="40" t="s">
        <v>112</v>
      </c>
      <c r="C20" s="112">
        <v>4</v>
      </c>
      <c r="D20" s="114"/>
      <c r="E20" s="52" t="s">
        <v>95</v>
      </c>
      <c r="G20" s="50"/>
      <c r="H20" s="48"/>
      <c r="I20" s="48"/>
      <c r="J20" s="41" t="s">
        <v>121</v>
      </c>
      <c r="K20" s="158" t="s">
        <v>124</v>
      </c>
      <c r="L20" s="159"/>
      <c r="M20" s="159"/>
      <c r="N20" s="159"/>
      <c r="O20" s="159"/>
      <c r="P20" s="159"/>
      <c r="Q20" s="159"/>
      <c r="R20" s="159"/>
      <c r="S20" s="160"/>
    </row>
    <row r="21" spans="1:19" ht="7.5" customHeight="1" x14ac:dyDescent="0.15">
      <c r="B21" s="48"/>
      <c r="C21" s="48"/>
      <c r="D21" s="48"/>
      <c r="E21" s="48"/>
      <c r="F21" s="48"/>
      <c r="G21" s="48"/>
      <c r="H21" s="48"/>
      <c r="I21" s="48"/>
      <c r="J21" s="48"/>
      <c r="K21" s="48"/>
      <c r="L21" s="48"/>
      <c r="M21" s="48"/>
      <c r="N21" s="48"/>
      <c r="O21" s="48"/>
      <c r="P21" s="48"/>
      <c r="Q21" s="48"/>
      <c r="R21" s="48"/>
      <c r="S21" s="48"/>
    </row>
    <row r="22" spans="1:19" ht="18" customHeight="1" x14ac:dyDescent="0.15">
      <c r="A22" s="118" t="s">
        <v>113</v>
      </c>
      <c r="B22" s="118"/>
      <c r="C22" s="118"/>
      <c r="D22" s="118"/>
      <c r="E22" s="118"/>
      <c r="F22" s="118"/>
      <c r="G22" s="118"/>
      <c r="H22" s="118"/>
      <c r="I22" s="118"/>
      <c r="J22" s="118"/>
      <c r="K22" s="118"/>
      <c r="L22" s="118"/>
      <c r="M22" s="118"/>
      <c r="N22" s="118"/>
      <c r="O22" s="118"/>
      <c r="P22" s="118"/>
      <c r="Q22" s="118"/>
      <c r="R22" s="118"/>
      <c r="S22" s="118"/>
    </row>
    <row r="23" spans="1:19" ht="18" customHeight="1" x14ac:dyDescent="0.15">
      <c r="A23" s="118"/>
      <c r="B23" s="118"/>
      <c r="C23" s="118"/>
      <c r="D23" s="118"/>
      <c r="E23" s="118"/>
      <c r="F23" s="118"/>
      <c r="G23" s="118"/>
      <c r="H23" s="118"/>
      <c r="I23" s="118"/>
      <c r="J23" s="118"/>
      <c r="K23" s="118"/>
      <c r="L23" s="118"/>
      <c r="M23" s="118"/>
      <c r="N23" s="118"/>
      <c r="O23" s="118"/>
      <c r="P23" s="118"/>
      <c r="Q23" s="118"/>
      <c r="R23" s="118"/>
      <c r="S23" s="118"/>
    </row>
    <row r="24" spans="1:19" ht="18" customHeight="1" x14ac:dyDescent="0.15">
      <c r="B24" s="112" t="s">
        <v>53</v>
      </c>
      <c r="C24" s="113"/>
      <c r="D24" s="113"/>
      <c r="E24" s="114"/>
      <c r="F24" s="54" t="s">
        <v>80</v>
      </c>
      <c r="G24" s="55" t="s">
        <v>84</v>
      </c>
      <c r="H24" s="56" t="s">
        <v>56</v>
      </c>
      <c r="I24" s="56" t="s">
        <v>59</v>
      </c>
      <c r="J24" s="112" t="s">
        <v>53</v>
      </c>
      <c r="K24" s="113"/>
      <c r="L24" s="113"/>
      <c r="M24" s="113"/>
      <c r="N24" s="113"/>
      <c r="O24" s="114"/>
      <c r="P24" s="54" t="s">
        <v>80</v>
      </c>
      <c r="Q24" s="55" t="s">
        <v>84</v>
      </c>
      <c r="R24" s="56" t="s">
        <v>56</v>
      </c>
      <c r="S24" s="56" t="s">
        <v>59</v>
      </c>
    </row>
    <row r="25" spans="1:19" ht="18" customHeight="1" x14ac:dyDescent="0.15">
      <c r="B25" s="106" t="s">
        <v>129</v>
      </c>
      <c r="C25" s="107"/>
      <c r="D25" s="107"/>
      <c r="E25" s="108"/>
      <c r="F25" s="57">
        <v>2</v>
      </c>
      <c r="G25" s="57" t="s">
        <v>126</v>
      </c>
      <c r="H25" s="57" t="s">
        <v>126</v>
      </c>
      <c r="I25" s="57" t="s">
        <v>126</v>
      </c>
      <c r="J25" s="106"/>
      <c r="K25" s="107"/>
      <c r="L25" s="107"/>
      <c r="M25" s="107"/>
      <c r="N25" s="107"/>
      <c r="O25" s="108"/>
      <c r="P25" s="57"/>
      <c r="Q25" s="57"/>
      <c r="R25" s="57"/>
      <c r="S25" s="57"/>
    </row>
    <row r="26" spans="1:19" ht="18" customHeight="1" x14ac:dyDescent="0.15">
      <c r="B26" s="109"/>
      <c r="C26" s="110"/>
      <c r="D26" s="110"/>
      <c r="E26" s="111"/>
      <c r="F26" s="58"/>
      <c r="G26" s="58"/>
      <c r="H26" s="58"/>
      <c r="I26" s="58"/>
      <c r="J26" s="109"/>
      <c r="K26" s="110"/>
      <c r="L26" s="110"/>
      <c r="M26" s="110"/>
      <c r="N26" s="110"/>
      <c r="O26" s="111"/>
      <c r="P26" s="58"/>
      <c r="Q26" s="58"/>
      <c r="R26" s="58"/>
      <c r="S26" s="58"/>
    </row>
    <row r="27" spans="1:19" ht="18" customHeight="1" x14ac:dyDescent="0.15">
      <c r="B27" s="109"/>
      <c r="C27" s="110"/>
      <c r="D27" s="110"/>
      <c r="E27" s="111"/>
      <c r="F27" s="58"/>
      <c r="G27" s="58"/>
      <c r="H27" s="58"/>
      <c r="I27" s="58"/>
      <c r="J27" s="109"/>
      <c r="K27" s="110"/>
      <c r="L27" s="110"/>
      <c r="M27" s="110"/>
      <c r="N27" s="110"/>
      <c r="O27" s="111"/>
      <c r="P27" s="58"/>
      <c r="Q27" s="58"/>
      <c r="R27" s="58"/>
      <c r="S27" s="58"/>
    </row>
    <row r="28" spans="1:19" ht="18" customHeight="1" x14ac:dyDescent="0.15">
      <c r="B28" s="109"/>
      <c r="C28" s="110"/>
      <c r="D28" s="110"/>
      <c r="E28" s="111"/>
      <c r="F28" s="58"/>
      <c r="G28" s="58"/>
      <c r="H28" s="58"/>
      <c r="I28" s="58"/>
      <c r="J28" s="109"/>
      <c r="K28" s="110"/>
      <c r="L28" s="110"/>
      <c r="M28" s="110"/>
      <c r="N28" s="110"/>
      <c r="O28" s="111"/>
      <c r="P28" s="58"/>
      <c r="Q28" s="58"/>
      <c r="R28" s="58"/>
      <c r="S28" s="58"/>
    </row>
    <row r="29" spans="1:19" ht="18" customHeight="1" x14ac:dyDescent="0.15">
      <c r="B29" s="109"/>
      <c r="C29" s="110"/>
      <c r="D29" s="110"/>
      <c r="E29" s="111"/>
      <c r="F29" s="58"/>
      <c r="G29" s="58"/>
      <c r="H29" s="58"/>
      <c r="I29" s="58"/>
      <c r="J29" s="109"/>
      <c r="K29" s="110"/>
      <c r="L29" s="110"/>
      <c r="M29" s="110"/>
      <c r="N29" s="110"/>
      <c r="O29" s="111"/>
      <c r="P29" s="58"/>
      <c r="Q29" s="58"/>
      <c r="R29" s="58"/>
      <c r="S29" s="58"/>
    </row>
    <row r="30" spans="1:19" ht="18" customHeight="1" x14ac:dyDescent="0.15">
      <c r="A30" s="48"/>
      <c r="B30" s="109"/>
      <c r="C30" s="110"/>
      <c r="D30" s="110"/>
      <c r="E30" s="111"/>
      <c r="F30" s="58"/>
      <c r="G30" s="58"/>
      <c r="H30" s="58"/>
      <c r="I30" s="58"/>
      <c r="J30" s="109"/>
      <c r="K30" s="110"/>
      <c r="L30" s="110"/>
      <c r="M30" s="110"/>
      <c r="N30" s="110"/>
      <c r="O30" s="111"/>
      <c r="P30" s="58"/>
      <c r="Q30" s="58"/>
      <c r="R30" s="58"/>
      <c r="S30" s="58"/>
    </row>
    <row r="31" spans="1:19" ht="18" customHeight="1" x14ac:dyDescent="0.15">
      <c r="A31" s="48"/>
      <c r="B31" s="115"/>
      <c r="C31" s="116"/>
      <c r="D31" s="116"/>
      <c r="E31" s="117"/>
      <c r="F31" s="59"/>
      <c r="G31" s="59"/>
      <c r="H31" s="60"/>
      <c r="I31" s="60"/>
      <c r="J31" s="115"/>
      <c r="K31" s="116"/>
      <c r="L31" s="116"/>
      <c r="M31" s="116"/>
      <c r="N31" s="116"/>
      <c r="O31" s="117"/>
      <c r="P31" s="59"/>
      <c r="Q31" s="59"/>
      <c r="R31" s="60"/>
      <c r="S31" s="60"/>
    </row>
    <row r="32" spans="1:19" ht="7.5" customHeight="1" x14ac:dyDescent="0.15">
      <c r="A32" s="48"/>
      <c r="B32" s="45"/>
      <c r="C32" s="45"/>
      <c r="D32" s="48"/>
      <c r="E32" s="48"/>
      <c r="F32" s="48"/>
      <c r="G32" s="48"/>
      <c r="H32" s="45"/>
      <c r="I32" s="45"/>
      <c r="J32" s="45"/>
      <c r="K32" s="45"/>
      <c r="L32" s="45"/>
      <c r="M32" s="45"/>
      <c r="N32" s="45"/>
      <c r="O32" s="45"/>
      <c r="P32" s="45"/>
      <c r="Q32" s="45"/>
      <c r="R32" s="45"/>
      <c r="S32" s="48"/>
    </row>
    <row r="33" spans="1:19" ht="18" customHeight="1" x14ac:dyDescent="0.15">
      <c r="A33" s="118" t="s">
        <v>114</v>
      </c>
      <c r="B33" s="118"/>
      <c r="C33" s="118"/>
      <c r="D33" s="118"/>
      <c r="E33" s="118"/>
      <c r="F33" s="118"/>
      <c r="G33" s="118"/>
      <c r="H33" s="118"/>
      <c r="I33" s="118"/>
      <c r="J33" s="118"/>
      <c r="K33" s="118"/>
      <c r="L33" s="118"/>
      <c r="M33" s="118"/>
      <c r="N33" s="118"/>
      <c r="O33" s="118"/>
      <c r="P33" s="118"/>
      <c r="Q33" s="118"/>
      <c r="R33" s="118"/>
      <c r="S33" s="118"/>
    </row>
    <row r="34" spans="1:19" ht="18" customHeight="1" x14ac:dyDescent="0.15">
      <c r="A34" s="118"/>
      <c r="B34" s="118"/>
      <c r="C34" s="118"/>
      <c r="D34" s="118"/>
      <c r="E34" s="118"/>
      <c r="F34" s="118"/>
      <c r="G34" s="118"/>
      <c r="H34" s="118"/>
      <c r="I34" s="118"/>
      <c r="J34" s="118"/>
      <c r="K34" s="118"/>
      <c r="L34" s="118"/>
      <c r="M34" s="118"/>
      <c r="N34" s="118"/>
      <c r="O34" s="118"/>
      <c r="P34" s="118"/>
      <c r="Q34" s="118"/>
      <c r="R34" s="118"/>
      <c r="S34" s="118"/>
    </row>
    <row r="35" spans="1:19" ht="18" customHeight="1" x14ac:dyDescent="0.15">
      <c r="B35" s="112" t="s">
        <v>53</v>
      </c>
      <c r="C35" s="113"/>
      <c r="D35" s="113"/>
      <c r="E35" s="114"/>
      <c r="F35" s="54" t="s">
        <v>80</v>
      </c>
      <c r="G35" s="55" t="s">
        <v>84</v>
      </c>
      <c r="H35" s="56" t="s">
        <v>71</v>
      </c>
      <c r="I35" s="56" t="s">
        <v>72</v>
      </c>
      <c r="J35" s="112" t="s">
        <v>53</v>
      </c>
      <c r="K35" s="113"/>
      <c r="L35" s="113"/>
      <c r="M35" s="113"/>
      <c r="N35" s="113"/>
      <c r="O35" s="114"/>
      <c r="P35" s="54" t="s">
        <v>80</v>
      </c>
      <c r="Q35" s="55" t="s">
        <v>84</v>
      </c>
      <c r="R35" s="56" t="s">
        <v>71</v>
      </c>
      <c r="S35" s="56" t="s">
        <v>72</v>
      </c>
    </row>
    <row r="36" spans="1:19" ht="18" customHeight="1" x14ac:dyDescent="0.15">
      <c r="B36" s="106" t="s">
        <v>129</v>
      </c>
      <c r="C36" s="107"/>
      <c r="D36" s="107"/>
      <c r="E36" s="108"/>
      <c r="F36" s="57">
        <v>2</v>
      </c>
      <c r="G36" s="57" t="s">
        <v>126</v>
      </c>
      <c r="H36" s="57" t="s">
        <v>126</v>
      </c>
      <c r="I36" s="57" t="s">
        <v>126</v>
      </c>
      <c r="J36" s="106"/>
      <c r="K36" s="107"/>
      <c r="L36" s="107"/>
      <c r="M36" s="107"/>
      <c r="N36" s="107"/>
      <c r="O36" s="108"/>
      <c r="P36" s="57"/>
      <c r="Q36" s="57"/>
      <c r="R36" s="57"/>
      <c r="S36" s="57"/>
    </row>
    <row r="37" spans="1:19" ht="18" customHeight="1" x14ac:dyDescent="0.15">
      <c r="B37" s="109"/>
      <c r="C37" s="110"/>
      <c r="D37" s="110"/>
      <c r="E37" s="111"/>
      <c r="F37" s="58"/>
      <c r="G37" s="58"/>
      <c r="H37" s="58"/>
      <c r="I37" s="58"/>
      <c r="J37" s="109"/>
      <c r="K37" s="110"/>
      <c r="L37" s="110"/>
      <c r="M37" s="110"/>
      <c r="N37" s="110"/>
      <c r="O37" s="111"/>
      <c r="P37" s="58"/>
      <c r="Q37" s="58"/>
      <c r="R37" s="58"/>
      <c r="S37" s="58"/>
    </row>
    <row r="38" spans="1:19" ht="18" customHeight="1" x14ac:dyDescent="0.15">
      <c r="B38" s="109"/>
      <c r="C38" s="110"/>
      <c r="D38" s="110"/>
      <c r="E38" s="111"/>
      <c r="F38" s="58"/>
      <c r="G38" s="58"/>
      <c r="H38" s="58"/>
      <c r="I38" s="58"/>
      <c r="J38" s="109"/>
      <c r="K38" s="110"/>
      <c r="L38" s="110"/>
      <c r="M38" s="110"/>
      <c r="N38" s="110"/>
      <c r="O38" s="111"/>
      <c r="P38" s="58"/>
      <c r="Q38" s="58"/>
      <c r="R38" s="58"/>
      <c r="S38" s="58"/>
    </row>
    <row r="39" spans="1:19" ht="18" customHeight="1" x14ac:dyDescent="0.15">
      <c r="B39" s="109"/>
      <c r="C39" s="110"/>
      <c r="D39" s="110"/>
      <c r="E39" s="111"/>
      <c r="F39" s="58"/>
      <c r="G39" s="58"/>
      <c r="H39" s="58"/>
      <c r="I39" s="58"/>
      <c r="J39" s="109"/>
      <c r="K39" s="110"/>
      <c r="L39" s="110"/>
      <c r="M39" s="110"/>
      <c r="N39" s="110"/>
      <c r="O39" s="111"/>
      <c r="P39" s="58"/>
      <c r="Q39" s="58"/>
      <c r="R39" s="58"/>
      <c r="S39" s="58"/>
    </row>
    <row r="40" spans="1:19" ht="18" customHeight="1" x14ac:dyDescent="0.15">
      <c r="B40" s="109"/>
      <c r="C40" s="110"/>
      <c r="D40" s="110"/>
      <c r="E40" s="111"/>
      <c r="F40" s="58"/>
      <c r="G40" s="58"/>
      <c r="H40" s="58"/>
      <c r="I40" s="58"/>
      <c r="J40" s="109"/>
      <c r="K40" s="110"/>
      <c r="L40" s="110"/>
      <c r="M40" s="110"/>
      <c r="N40" s="110"/>
      <c r="O40" s="111"/>
      <c r="P40" s="58"/>
      <c r="Q40" s="58"/>
      <c r="R40" s="58"/>
      <c r="S40" s="58"/>
    </row>
    <row r="41" spans="1:19" ht="18" customHeight="1" x14ac:dyDescent="0.15">
      <c r="B41" s="109"/>
      <c r="C41" s="110"/>
      <c r="D41" s="110"/>
      <c r="E41" s="111"/>
      <c r="F41" s="58"/>
      <c r="G41" s="58"/>
      <c r="H41" s="58"/>
      <c r="I41" s="58"/>
      <c r="J41" s="109"/>
      <c r="K41" s="110"/>
      <c r="L41" s="110"/>
      <c r="M41" s="110"/>
      <c r="N41" s="110"/>
      <c r="O41" s="111"/>
      <c r="P41" s="58"/>
      <c r="Q41" s="58"/>
      <c r="R41" s="58"/>
      <c r="S41" s="58"/>
    </row>
    <row r="42" spans="1:19" ht="18" customHeight="1" x14ac:dyDescent="0.15">
      <c r="B42" s="115"/>
      <c r="C42" s="116"/>
      <c r="D42" s="116"/>
      <c r="E42" s="117"/>
      <c r="F42" s="59"/>
      <c r="G42" s="59"/>
      <c r="H42" s="60"/>
      <c r="I42" s="60"/>
      <c r="J42" s="115"/>
      <c r="K42" s="116"/>
      <c r="L42" s="116"/>
      <c r="M42" s="116"/>
      <c r="N42" s="116"/>
      <c r="O42" s="117"/>
      <c r="P42" s="59"/>
      <c r="Q42" s="59"/>
      <c r="R42" s="60"/>
      <c r="S42" s="60"/>
    </row>
    <row r="43" spans="1:19" ht="7.5" customHeight="1" x14ac:dyDescent="0.15">
      <c r="A43" s="48"/>
      <c r="B43" s="45"/>
      <c r="C43" s="45"/>
      <c r="D43" s="48"/>
      <c r="E43" s="48"/>
      <c r="F43" s="48"/>
      <c r="G43" s="48"/>
      <c r="H43" s="45"/>
      <c r="I43" s="45"/>
      <c r="J43" s="45"/>
      <c r="K43" s="45"/>
      <c r="L43" s="45"/>
      <c r="M43" s="45"/>
      <c r="N43" s="45"/>
      <c r="O43" s="45"/>
      <c r="P43" s="45"/>
      <c r="Q43" s="45"/>
      <c r="R43" s="45"/>
      <c r="S43" s="48"/>
    </row>
    <row r="44" spans="1:19" ht="18" customHeight="1" x14ac:dyDescent="0.15">
      <c r="A44" s="118" t="s">
        <v>115</v>
      </c>
      <c r="B44" s="118"/>
      <c r="C44" s="118"/>
      <c r="D44" s="118"/>
      <c r="E44" s="118"/>
      <c r="F44" s="118"/>
      <c r="G44" s="118"/>
      <c r="H44" s="118"/>
      <c r="I44" s="118"/>
      <c r="J44" s="118"/>
      <c r="K44" s="118"/>
      <c r="L44" s="118"/>
      <c r="M44" s="118"/>
      <c r="N44" s="118"/>
      <c r="O44" s="118"/>
      <c r="P44" s="118"/>
      <c r="Q44" s="118"/>
      <c r="R44" s="118"/>
      <c r="S44" s="118"/>
    </row>
    <row r="45" spans="1:19" ht="18" customHeight="1" x14ac:dyDescent="0.15">
      <c r="A45" s="118"/>
      <c r="B45" s="118"/>
      <c r="C45" s="118"/>
      <c r="D45" s="118"/>
      <c r="E45" s="118"/>
      <c r="F45" s="118"/>
      <c r="G45" s="118"/>
      <c r="H45" s="118"/>
      <c r="I45" s="118"/>
      <c r="J45" s="118"/>
      <c r="K45" s="118"/>
      <c r="L45" s="118"/>
      <c r="M45" s="118"/>
      <c r="N45" s="118"/>
      <c r="O45" s="118"/>
      <c r="P45" s="118"/>
      <c r="Q45" s="118"/>
      <c r="R45" s="118"/>
      <c r="S45" s="118"/>
    </row>
    <row r="46" spans="1:19" ht="18" customHeight="1" x14ac:dyDescent="0.15">
      <c r="B46" s="112" t="s">
        <v>53</v>
      </c>
      <c r="C46" s="113"/>
      <c r="D46" s="113"/>
      <c r="E46" s="114"/>
      <c r="F46" s="54" t="s">
        <v>80</v>
      </c>
      <c r="G46" s="55" t="s">
        <v>84</v>
      </c>
      <c r="H46" s="56" t="s">
        <v>73</v>
      </c>
      <c r="I46" s="56" t="s">
        <v>74</v>
      </c>
      <c r="J46" s="112" t="s">
        <v>53</v>
      </c>
      <c r="K46" s="113"/>
      <c r="L46" s="113"/>
      <c r="M46" s="113"/>
      <c r="N46" s="113"/>
      <c r="O46" s="114"/>
      <c r="P46" s="54" t="s">
        <v>80</v>
      </c>
      <c r="Q46" s="55" t="s">
        <v>84</v>
      </c>
      <c r="R46" s="56" t="s">
        <v>73</v>
      </c>
      <c r="S46" s="56" t="s">
        <v>74</v>
      </c>
    </row>
    <row r="47" spans="1:19" ht="18" customHeight="1" x14ac:dyDescent="0.15">
      <c r="A47" s="48"/>
      <c r="B47" s="106" t="s">
        <v>130</v>
      </c>
      <c r="C47" s="107"/>
      <c r="D47" s="107"/>
      <c r="E47" s="108"/>
      <c r="F47" s="57">
        <v>2</v>
      </c>
      <c r="G47" s="57" t="s">
        <v>126</v>
      </c>
      <c r="H47" s="57" t="s">
        <v>126</v>
      </c>
      <c r="I47" s="57" t="s">
        <v>126</v>
      </c>
      <c r="J47" s="106"/>
      <c r="K47" s="107"/>
      <c r="L47" s="107"/>
      <c r="M47" s="107"/>
      <c r="N47" s="107"/>
      <c r="O47" s="108"/>
      <c r="P47" s="57"/>
      <c r="Q47" s="57"/>
      <c r="R47" s="57"/>
      <c r="S47" s="57"/>
    </row>
    <row r="48" spans="1:19" ht="18" customHeight="1" x14ac:dyDescent="0.15">
      <c r="A48" s="48"/>
      <c r="B48" s="109"/>
      <c r="C48" s="110"/>
      <c r="D48" s="110"/>
      <c r="E48" s="111"/>
      <c r="F48" s="58"/>
      <c r="G48" s="58"/>
      <c r="H48" s="58"/>
      <c r="I48" s="58"/>
      <c r="J48" s="109"/>
      <c r="K48" s="110"/>
      <c r="L48" s="110"/>
      <c r="M48" s="110"/>
      <c r="N48" s="110"/>
      <c r="O48" s="111"/>
      <c r="P48" s="58"/>
      <c r="Q48" s="58"/>
      <c r="R48" s="58"/>
      <c r="S48" s="58"/>
    </row>
    <row r="49" spans="1:19" ht="18" customHeight="1" x14ac:dyDescent="0.15">
      <c r="A49" s="48"/>
      <c r="B49" s="109"/>
      <c r="C49" s="110"/>
      <c r="D49" s="110"/>
      <c r="E49" s="111"/>
      <c r="F49" s="58"/>
      <c r="G49" s="58"/>
      <c r="H49" s="58"/>
      <c r="I49" s="58"/>
      <c r="J49" s="109"/>
      <c r="K49" s="110"/>
      <c r="L49" s="110"/>
      <c r="M49" s="110"/>
      <c r="N49" s="110"/>
      <c r="O49" s="111"/>
      <c r="P49" s="58"/>
      <c r="Q49" s="58"/>
      <c r="R49" s="58"/>
      <c r="S49" s="58"/>
    </row>
    <row r="50" spans="1:19" ht="18" customHeight="1" x14ac:dyDescent="0.15">
      <c r="A50" s="48"/>
      <c r="B50" s="109"/>
      <c r="C50" s="110"/>
      <c r="D50" s="110"/>
      <c r="E50" s="111"/>
      <c r="F50" s="58"/>
      <c r="G50" s="58"/>
      <c r="H50" s="58"/>
      <c r="I50" s="58"/>
      <c r="J50" s="109"/>
      <c r="K50" s="110"/>
      <c r="L50" s="110"/>
      <c r="M50" s="110"/>
      <c r="N50" s="110"/>
      <c r="O50" s="111"/>
      <c r="P50" s="58"/>
      <c r="Q50" s="58"/>
      <c r="R50" s="58"/>
      <c r="S50" s="58"/>
    </row>
    <row r="51" spans="1:19" ht="18" customHeight="1" x14ac:dyDescent="0.15">
      <c r="A51" s="48"/>
      <c r="B51" s="109"/>
      <c r="C51" s="110"/>
      <c r="D51" s="110"/>
      <c r="E51" s="111"/>
      <c r="F51" s="58"/>
      <c r="G51" s="58"/>
      <c r="H51" s="58"/>
      <c r="I51" s="58"/>
      <c r="J51" s="109"/>
      <c r="K51" s="110"/>
      <c r="L51" s="110"/>
      <c r="M51" s="110"/>
      <c r="N51" s="110"/>
      <c r="O51" s="111"/>
      <c r="P51" s="58"/>
      <c r="Q51" s="58"/>
      <c r="R51" s="58"/>
      <c r="S51" s="58"/>
    </row>
    <row r="52" spans="1:19" ht="18" customHeight="1" x14ac:dyDescent="0.15">
      <c r="A52" s="48"/>
      <c r="B52" s="109"/>
      <c r="C52" s="110"/>
      <c r="D52" s="110"/>
      <c r="E52" s="111"/>
      <c r="F52" s="58"/>
      <c r="G52" s="58"/>
      <c r="H52" s="58"/>
      <c r="I52" s="58"/>
      <c r="J52" s="109"/>
      <c r="K52" s="110"/>
      <c r="L52" s="110"/>
      <c r="M52" s="110"/>
      <c r="N52" s="110"/>
      <c r="O52" s="111"/>
      <c r="P52" s="58"/>
      <c r="Q52" s="58"/>
      <c r="R52" s="58"/>
      <c r="S52" s="58"/>
    </row>
    <row r="53" spans="1:19" ht="18" customHeight="1" x14ac:dyDescent="0.15">
      <c r="A53" s="48"/>
      <c r="B53" s="115"/>
      <c r="C53" s="116"/>
      <c r="D53" s="116"/>
      <c r="E53" s="117"/>
      <c r="F53" s="59"/>
      <c r="G53" s="59"/>
      <c r="H53" s="60"/>
      <c r="I53" s="60"/>
      <c r="J53" s="115"/>
      <c r="K53" s="116"/>
      <c r="L53" s="116"/>
      <c r="M53" s="116"/>
      <c r="N53" s="116"/>
      <c r="O53" s="117"/>
      <c r="P53" s="59"/>
      <c r="Q53" s="59"/>
      <c r="R53" s="60"/>
      <c r="S53" s="60"/>
    </row>
    <row r="54" spans="1:19" ht="7.5" customHeight="1" x14ac:dyDescent="0.15">
      <c r="B54" s="61"/>
      <c r="C54" s="61"/>
      <c r="D54" s="61"/>
      <c r="E54" s="61"/>
      <c r="F54" s="61"/>
      <c r="G54" s="61"/>
      <c r="H54" s="61"/>
      <c r="I54" s="61"/>
      <c r="J54" s="61"/>
      <c r="K54" s="61"/>
      <c r="L54" s="61"/>
      <c r="M54" s="61"/>
      <c r="N54" s="61"/>
      <c r="O54" s="61"/>
      <c r="P54" s="61"/>
      <c r="Q54" s="61"/>
      <c r="R54" s="61"/>
    </row>
    <row r="55" spans="1:19" ht="18" customHeight="1" x14ac:dyDescent="0.15">
      <c r="A55" s="118" t="s">
        <v>116</v>
      </c>
      <c r="B55" s="118"/>
      <c r="C55" s="118"/>
      <c r="D55" s="118"/>
      <c r="E55" s="118"/>
      <c r="F55" s="118"/>
      <c r="G55" s="118"/>
      <c r="H55" s="118"/>
      <c r="I55" s="118"/>
      <c r="J55" s="118"/>
      <c r="K55" s="118"/>
      <c r="L55" s="118"/>
      <c r="M55" s="118"/>
      <c r="N55" s="118"/>
      <c r="O55" s="118"/>
      <c r="P55" s="118"/>
      <c r="Q55" s="118"/>
      <c r="R55" s="118"/>
      <c r="S55" s="118"/>
    </row>
    <row r="56" spans="1:19" ht="18" customHeight="1" x14ac:dyDescent="0.15">
      <c r="A56" s="118"/>
      <c r="B56" s="118"/>
      <c r="C56" s="118"/>
      <c r="D56" s="118"/>
      <c r="E56" s="118"/>
      <c r="F56" s="118"/>
      <c r="G56" s="118"/>
      <c r="H56" s="118"/>
      <c r="I56" s="118"/>
      <c r="J56" s="118"/>
      <c r="K56" s="118"/>
      <c r="L56" s="118"/>
      <c r="M56" s="118"/>
      <c r="N56" s="118"/>
      <c r="O56" s="118"/>
      <c r="P56" s="118"/>
      <c r="Q56" s="118"/>
      <c r="R56" s="118"/>
      <c r="S56" s="118"/>
    </row>
    <row r="57" spans="1:19" ht="18" customHeight="1" x14ac:dyDescent="0.15">
      <c r="B57" s="112" t="s">
        <v>53</v>
      </c>
      <c r="C57" s="113"/>
      <c r="D57" s="113"/>
      <c r="E57" s="114"/>
      <c r="F57" s="54" t="s">
        <v>80</v>
      </c>
      <c r="G57" s="55" t="s">
        <v>84</v>
      </c>
      <c r="H57" s="56" t="s">
        <v>58</v>
      </c>
      <c r="I57" s="56" t="s">
        <v>60</v>
      </c>
      <c r="J57" s="112" t="s">
        <v>53</v>
      </c>
      <c r="K57" s="113"/>
      <c r="L57" s="113"/>
      <c r="M57" s="113"/>
      <c r="N57" s="113"/>
      <c r="O57" s="114"/>
      <c r="P57" s="54" t="s">
        <v>80</v>
      </c>
      <c r="Q57" s="55" t="s">
        <v>84</v>
      </c>
      <c r="R57" s="56" t="s">
        <v>58</v>
      </c>
      <c r="S57" s="56" t="s">
        <v>60</v>
      </c>
    </row>
    <row r="58" spans="1:19" ht="18" customHeight="1" x14ac:dyDescent="0.15">
      <c r="A58" s="48"/>
      <c r="B58" s="106" t="s">
        <v>131</v>
      </c>
      <c r="C58" s="107"/>
      <c r="D58" s="107"/>
      <c r="E58" s="108"/>
      <c r="F58" s="57">
        <v>2</v>
      </c>
      <c r="G58" s="57" t="s">
        <v>126</v>
      </c>
      <c r="H58" s="57" t="s">
        <v>126</v>
      </c>
      <c r="I58" s="57" t="s">
        <v>126</v>
      </c>
      <c r="J58" s="106"/>
      <c r="K58" s="107"/>
      <c r="L58" s="107"/>
      <c r="M58" s="107"/>
      <c r="N58" s="107"/>
      <c r="O58" s="108"/>
      <c r="P58" s="57"/>
      <c r="Q58" s="57"/>
      <c r="R58" s="57"/>
      <c r="S58" s="57"/>
    </row>
    <row r="59" spans="1:19" ht="18" customHeight="1" x14ac:dyDescent="0.15">
      <c r="A59" s="48"/>
      <c r="B59" s="109"/>
      <c r="C59" s="110"/>
      <c r="D59" s="110"/>
      <c r="E59" s="111"/>
      <c r="F59" s="58"/>
      <c r="G59" s="58"/>
      <c r="H59" s="58"/>
      <c r="I59" s="58"/>
      <c r="J59" s="109"/>
      <c r="K59" s="110"/>
      <c r="L59" s="110"/>
      <c r="M59" s="110"/>
      <c r="N59" s="110"/>
      <c r="O59" s="111"/>
      <c r="P59" s="58"/>
      <c r="Q59" s="58"/>
      <c r="R59" s="58"/>
      <c r="S59" s="58"/>
    </row>
    <row r="60" spans="1:19" ht="18" customHeight="1" x14ac:dyDescent="0.15">
      <c r="A60" s="48"/>
      <c r="B60" s="109"/>
      <c r="C60" s="110"/>
      <c r="D60" s="110"/>
      <c r="E60" s="111"/>
      <c r="F60" s="58"/>
      <c r="G60" s="58"/>
      <c r="H60" s="58"/>
      <c r="I60" s="58"/>
      <c r="J60" s="109"/>
      <c r="K60" s="110"/>
      <c r="L60" s="110"/>
      <c r="M60" s="110"/>
      <c r="N60" s="110"/>
      <c r="O60" s="111"/>
      <c r="P60" s="58"/>
      <c r="Q60" s="58"/>
      <c r="R60" s="58"/>
      <c r="S60" s="58"/>
    </row>
    <row r="61" spans="1:19" ht="18" customHeight="1" x14ac:dyDescent="0.15">
      <c r="A61" s="48"/>
      <c r="B61" s="109"/>
      <c r="C61" s="110"/>
      <c r="D61" s="110"/>
      <c r="E61" s="111"/>
      <c r="F61" s="58"/>
      <c r="G61" s="58"/>
      <c r="H61" s="58"/>
      <c r="I61" s="58"/>
      <c r="J61" s="109"/>
      <c r="K61" s="110"/>
      <c r="L61" s="110"/>
      <c r="M61" s="110"/>
      <c r="N61" s="110"/>
      <c r="O61" s="111"/>
      <c r="P61" s="58"/>
      <c r="Q61" s="58"/>
      <c r="R61" s="58"/>
      <c r="S61" s="58"/>
    </row>
    <row r="62" spans="1:19" ht="18" customHeight="1" x14ac:dyDescent="0.15">
      <c r="A62" s="48"/>
      <c r="B62" s="109"/>
      <c r="C62" s="110"/>
      <c r="D62" s="110"/>
      <c r="E62" s="111"/>
      <c r="F62" s="58"/>
      <c r="G62" s="58"/>
      <c r="H62" s="58"/>
      <c r="I62" s="58"/>
      <c r="J62" s="109"/>
      <c r="K62" s="110"/>
      <c r="L62" s="110"/>
      <c r="M62" s="110"/>
      <c r="N62" s="110"/>
      <c r="O62" s="111"/>
      <c r="P62" s="58"/>
      <c r="Q62" s="58"/>
      <c r="R62" s="58"/>
      <c r="S62" s="58"/>
    </row>
    <row r="63" spans="1:19" ht="18" customHeight="1" x14ac:dyDescent="0.15">
      <c r="A63" s="48"/>
      <c r="B63" s="109"/>
      <c r="C63" s="110"/>
      <c r="D63" s="110"/>
      <c r="E63" s="111"/>
      <c r="F63" s="58"/>
      <c r="G63" s="58"/>
      <c r="H63" s="58"/>
      <c r="I63" s="58"/>
      <c r="J63" s="109"/>
      <c r="K63" s="110"/>
      <c r="L63" s="110"/>
      <c r="M63" s="110"/>
      <c r="N63" s="110"/>
      <c r="O63" s="111"/>
      <c r="P63" s="58"/>
      <c r="Q63" s="58"/>
      <c r="R63" s="58"/>
      <c r="S63" s="58"/>
    </row>
    <row r="64" spans="1:19" ht="18" customHeight="1" x14ac:dyDescent="0.15">
      <c r="A64" s="48"/>
      <c r="B64" s="115"/>
      <c r="C64" s="116"/>
      <c r="D64" s="116"/>
      <c r="E64" s="117"/>
      <c r="F64" s="59"/>
      <c r="G64" s="59"/>
      <c r="H64" s="60"/>
      <c r="I64" s="60"/>
      <c r="J64" s="115"/>
      <c r="K64" s="116"/>
      <c r="L64" s="116"/>
      <c r="M64" s="116"/>
      <c r="N64" s="116"/>
      <c r="O64" s="117"/>
      <c r="P64" s="59"/>
      <c r="Q64" s="59"/>
      <c r="R64" s="60"/>
      <c r="S64" s="60"/>
    </row>
    <row r="65" spans="1:19" ht="7.5" customHeight="1" x14ac:dyDescent="0.15">
      <c r="B65" s="61"/>
      <c r="C65" s="61"/>
      <c r="D65" s="61"/>
      <c r="E65" s="61"/>
      <c r="F65" s="61"/>
      <c r="G65" s="61"/>
      <c r="H65" s="61"/>
      <c r="I65" s="61"/>
      <c r="J65" s="61"/>
      <c r="K65" s="61"/>
      <c r="L65" s="61"/>
      <c r="M65" s="61"/>
      <c r="N65" s="61"/>
      <c r="O65" s="61"/>
      <c r="P65" s="61"/>
      <c r="Q65" s="61"/>
      <c r="R65" s="61"/>
    </row>
    <row r="66" spans="1:19" ht="18" customHeight="1" x14ac:dyDescent="0.15">
      <c r="A66" s="118" t="s">
        <v>117</v>
      </c>
      <c r="B66" s="118"/>
      <c r="C66" s="118"/>
      <c r="D66" s="118"/>
      <c r="E66" s="118"/>
      <c r="F66" s="118"/>
      <c r="G66" s="118"/>
      <c r="H66" s="118"/>
      <c r="I66" s="118"/>
      <c r="J66" s="118"/>
      <c r="K66" s="118"/>
      <c r="L66" s="118"/>
      <c r="M66" s="118"/>
      <c r="N66" s="118"/>
      <c r="O66" s="118"/>
      <c r="P66" s="118"/>
      <c r="Q66" s="118"/>
      <c r="R66" s="118"/>
      <c r="S66" s="118"/>
    </row>
    <row r="67" spans="1:19" ht="18" customHeight="1" x14ac:dyDescent="0.15">
      <c r="A67" s="118"/>
      <c r="B67" s="118"/>
      <c r="C67" s="118"/>
      <c r="D67" s="118"/>
      <c r="E67" s="118"/>
      <c r="F67" s="118"/>
      <c r="G67" s="118"/>
      <c r="H67" s="118"/>
      <c r="I67" s="118"/>
      <c r="J67" s="118"/>
      <c r="K67" s="118"/>
      <c r="L67" s="118"/>
      <c r="M67" s="118"/>
      <c r="N67" s="118"/>
      <c r="O67" s="118"/>
      <c r="P67" s="118"/>
      <c r="Q67" s="118"/>
      <c r="R67" s="118"/>
      <c r="S67" s="118"/>
    </row>
    <row r="68" spans="1:19" ht="18" customHeight="1" x14ac:dyDescent="0.15">
      <c r="B68" s="112" t="s">
        <v>53</v>
      </c>
      <c r="C68" s="113"/>
      <c r="D68" s="113"/>
      <c r="E68" s="54" t="s">
        <v>80</v>
      </c>
      <c r="F68" s="55" t="s">
        <v>84</v>
      </c>
      <c r="G68" s="56" t="s">
        <v>101</v>
      </c>
      <c r="H68" s="56" t="s">
        <v>75</v>
      </c>
      <c r="I68" s="56" t="s">
        <v>76</v>
      </c>
      <c r="J68" s="112" t="s">
        <v>53</v>
      </c>
      <c r="K68" s="113"/>
      <c r="L68" s="113"/>
      <c r="M68" s="113"/>
      <c r="N68" s="114"/>
      <c r="O68" s="54" t="s">
        <v>80</v>
      </c>
      <c r="P68" s="55" t="s">
        <v>84</v>
      </c>
      <c r="Q68" s="56" t="s">
        <v>101</v>
      </c>
      <c r="R68" s="56" t="s">
        <v>75</v>
      </c>
      <c r="S68" s="56" t="s">
        <v>76</v>
      </c>
    </row>
    <row r="69" spans="1:19" ht="18" customHeight="1" x14ac:dyDescent="0.15">
      <c r="A69" s="48"/>
      <c r="B69" s="106" t="s">
        <v>130</v>
      </c>
      <c r="C69" s="107"/>
      <c r="D69" s="107"/>
      <c r="E69" s="57">
        <v>2</v>
      </c>
      <c r="F69" s="57" t="s">
        <v>126</v>
      </c>
      <c r="G69" s="57" t="s">
        <v>126</v>
      </c>
      <c r="H69" s="57" t="s">
        <v>126</v>
      </c>
      <c r="I69" s="57" t="s">
        <v>126</v>
      </c>
      <c r="J69" s="106"/>
      <c r="K69" s="107"/>
      <c r="L69" s="107"/>
      <c r="M69" s="107"/>
      <c r="N69" s="108"/>
      <c r="O69" s="57"/>
      <c r="P69" s="57"/>
      <c r="Q69" s="57"/>
      <c r="R69" s="57"/>
      <c r="S69" s="57"/>
    </row>
    <row r="70" spans="1:19" ht="18" customHeight="1" x14ac:dyDescent="0.15">
      <c r="A70" s="48"/>
      <c r="B70" s="106"/>
      <c r="C70" s="107"/>
      <c r="D70" s="107"/>
      <c r="E70" s="58"/>
      <c r="F70" s="58"/>
      <c r="G70" s="58"/>
      <c r="H70" s="58"/>
      <c r="I70" s="58"/>
      <c r="J70" s="109"/>
      <c r="K70" s="110"/>
      <c r="L70" s="110"/>
      <c r="M70" s="110"/>
      <c r="N70" s="111"/>
      <c r="O70" s="58"/>
      <c r="P70" s="58"/>
      <c r="Q70" s="58"/>
      <c r="R70" s="58"/>
      <c r="S70" s="58"/>
    </row>
    <row r="71" spans="1:19" ht="18" customHeight="1" x14ac:dyDescent="0.15">
      <c r="A71" s="48"/>
      <c r="B71" s="109"/>
      <c r="C71" s="110"/>
      <c r="D71" s="110"/>
      <c r="E71" s="58"/>
      <c r="F71" s="58"/>
      <c r="G71" s="58"/>
      <c r="H71" s="58"/>
      <c r="I71" s="58"/>
      <c r="J71" s="109"/>
      <c r="K71" s="110"/>
      <c r="L71" s="110"/>
      <c r="M71" s="110"/>
      <c r="N71" s="111"/>
      <c r="O71" s="58"/>
      <c r="P71" s="58"/>
      <c r="Q71" s="58"/>
      <c r="R71" s="58"/>
      <c r="S71" s="58"/>
    </row>
    <row r="72" spans="1:19" ht="18" customHeight="1" x14ac:dyDescent="0.15">
      <c r="A72" s="48"/>
      <c r="B72" s="109"/>
      <c r="C72" s="110"/>
      <c r="D72" s="110"/>
      <c r="E72" s="58"/>
      <c r="F72" s="58"/>
      <c r="G72" s="58"/>
      <c r="H72" s="58"/>
      <c r="I72" s="58"/>
      <c r="J72" s="109"/>
      <c r="K72" s="110"/>
      <c r="L72" s="110"/>
      <c r="M72" s="110"/>
      <c r="N72" s="111"/>
      <c r="O72" s="58"/>
      <c r="P72" s="58"/>
      <c r="Q72" s="58"/>
      <c r="R72" s="58"/>
      <c r="S72" s="58"/>
    </row>
    <row r="73" spans="1:19" ht="18" customHeight="1" x14ac:dyDescent="0.15">
      <c r="A73" s="48"/>
      <c r="B73" s="109"/>
      <c r="C73" s="110"/>
      <c r="D73" s="110"/>
      <c r="E73" s="58"/>
      <c r="F73" s="58"/>
      <c r="G73" s="58"/>
      <c r="H73" s="58"/>
      <c r="I73" s="58"/>
      <c r="J73" s="109"/>
      <c r="K73" s="110"/>
      <c r="L73" s="110"/>
      <c r="M73" s="110"/>
      <c r="N73" s="111"/>
      <c r="O73" s="58"/>
      <c r="P73" s="58"/>
      <c r="Q73" s="58"/>
      <c r="R73" s="58"/>
      <c r="S73" s="58"/>
    </row>
    <row r="74" spans="1:19" ht="18" customHeight="1" x14ac:dyDescent="0.15">
      <c r="A74" s="48"/>
      <c r="B74" s="109"/>
      <c r="C74" s="110"/>
      <c r="D74" s="110"/>
      <c r="E74" s="58"/>
      <c r="F74" s="58"/>
      <c r="G74" s="58"/>
      <c r="H74" s="58"/>
      <c r="I74" s="58"/>
      <c r="J74" s="109"/>
      <c r="K74" s="110"/>
      <c r="L74" s="110"/>
      <c r="M74" s="110"/>
      <c r="N74" s="111"/>
      <c r="O74" s="58"/>
      <c r="P74" s="58"/>
      <c r="Q74" s="58"/>
      <c r="R74" s="58"/>
      <c r="S74" s="58"/>
    </row>
    <row r="75" spans="1:19" ht="18" customHeight="1" x14ac:dyDescent="0.15">
      <c r="A75" s="48"/>
      <c r="B75" s="115"/>
      <c r="C75" s="116"/>
      <c r="D75" s="116"/>
      <c r="E75" s="59"/>
      <c r="F75" s="59"/>
      <c r="G75" s="60"/>
      <c r="H75" s="60"/>
      <c r="I75" s="60"/>
      <c r="J75" s="115"/>
      <c r="K75" s="116"/>
      <c r="L75" s="116"/>
      <c r="M75" s="116"/>
      <c r="N75" s="117"/>
      <c r="O75" s="59"/>
      <c r="P75" s="59"/>
      <c r="Q75" s="60"/>
      <c r="R75" s="60"/>
      <c r="S75" s="60"/>
    </row>
    <row r="76" spans="1:19" ht="7.5" customHeight="1" x14ac:dyDescent="0.15">
      <c r="B76" s="61"/>
      <c r="C76" s="61"/>
      <c r="D76" s="61"/>
      <c r="E76" s="61"/>
      <c r="F76" s="61"/>
      <c r="G76" s="61"/>
      <c r="H76" s="61"/>
      <c r="I76" s="61"/>
      <c r="J76" s="61"/>
      <c r="K76" s="61"/>
      <c r="L76" s="61"/>
      <c r="M76" s="61"/>
      <c r="N76" s="61"/>
      <c r="O76" s="61"/>
      <c r="P76" s="61"/>
      <c r="Q76" s="61"/>
      <c r="R76" s="61"/>
    </row>
    <row r="77" spans="1:19" ht="18" customHeight="1" x14ac:dyDescent="0.15">
      <c r="A77" s="40" t="s">
        <v>118</v>
      </c>
      <c r="H77" s="48"/>
      <c r="I77" s="48"/>
      <c r="J77" s="48"/>
      <c r="K77" s="48"/>
      <c r="L77" s="48"/>
      <c r="M77" s="48"/>
      <c r="N77" s="48"/>
      <c r="O77" s="48"/>
      <c r="P77" s="48"/>
      <c r="Q77" s="48"/>
      <c r="R77" s="48"/>
      <c r="S77" s="48"/>
    </row>
    <row r="78" spans="1:19" ht="18" customHeight="1" x14ac:dyDescent="0.15">
      <c r="B78" s="112" t="s">
        <v>53</v>
      </c>
      <c r="C78" s="113"/>
      <c r="D78" s="113"/>
      <c r="E78" s="114"/>
      <c r="F78" s="112" t="s">
        <v>82</v>
      </c>
      <c r="G78" s="113"/>
      <c r="H78" s="113"/>
      <c r="I78" s="114"/>
      <c r="J78" s="139" t="s">
        <v>53</v>
      </c>
      <c r="K78" s="140"/>
      <c r="L78" s="140"/>
      <c r="M78" s="140"/>
      <c r="N78" s="140"/>
      <c r="O78" s="141"/>
      <c r="P78" s="112" t="s">
        <v>82</v>
      </c>
      <c r="Q78" s="113"/>
      <c r="R78" s="113"/>
      <c r="S78" s="114"/>
    </row>
    <row r="79" spans="1:19" ht="18" customHeight="1" x14ac:dyDescent="0.15">
      <c r="A79" s="48"/>
      <c r="B79" s="106"/>
      <c r="C79" s="107"/>
      <c r="D79" s="107"/>
      <c r="E79" s="108"/>
      <c r="F79" s="133"/>
      <c r="G79" s="134"/>
      <c r="H79" s="134"/>
      <c r="I79" s="135"/>
      <c r="J79" s="106"/>
      <c r="K79" s="107"/>
      <c r="L79" s="107"/>
      <c r="M79" s="107"/>
      <c r="N79" s="107"/>
      <c r="O79" s="108"/>
      <c r="P79" s="133"/>
      <c r="Q79" s="134"/>
      <c r="R79" s="134"/>
      <c r="S79" s="135"/>
    </row>
    <row r="80" spans="1:19" ht="18" customHeight="1" x14ac:dyDescent="0.15">
      <c r="A80" s="48"/>
      <c r="B80" s="109"/>
      <c r="C80" s="110"/>
      <c r="D80" s="110"/>
      <c r="E80" s="111"/>
      <c r="F80" s="136"/>
      <c r="G80" s="137"/>
      <c r="H80" s="137"/>
      <c r="I80" s="138"/>
      <c r="J80" s="109"/>
      <c r="K80" s="110"/>
      <c r="L80" s="110"/>
      <c r="M80" s="110"/>
      <c r="N80" s="110"/>
      <c r="O80" s="111"/>
      <c r="P80" s="136"/>
      <c r="Q80" s="137"/>
      <c r="R80" s="137"/>
      <c r="S80" s="138"/>
    </row>
    <row r="81" spans="1:19" ht="18" customHeight="1" x14ac:dyDescent="0.15">
      <c r="A81" s="48"/>
      <c r="B81" s="109"/>
      <c r="C81" s="110"/>
      <c r="D81" s="110"/>
      <c r="E81" s="111"/>
      <c r="F81" s="136"/>
      <c r="G81" s="137"/>
      <c r="H81" s="137"/>
      <c r="I81" s="138"/>
      <c r="J81" s="109"/>
      <c r="K81" s="110"/>
      <c r="L81" s="110"/>
      <c r="M81" s="110"/>
      <c r="N81" s="110"/>
      <c r="O81" s="111"/>
      <c r="P81" s="136"/>
      <c r="Q81" s="137"/>
      <c r="R81" s="137"/>
      <c r="S81" s="138"/>
    </row>
    <row r="82" spans="1:19" ht="18" customHeight="1" x14ac:dyDescent="0.15">
      <c r="A82" s="48"/>
      <c r="B82" s="109"/>
      <c r="C82" s="110"/>
      <c r="D82" s="110"/>
      <c r="E82" s="111"/>
      <c r="F82" s="136"/>
      <c r="G82" s="137"/>
      <c r="H82" s="137"/>
      <c r="I82" s="138"/>
      <c r="J82" s="109"/>
      <c r="K82" s="110"/>
      <c r="L82" s="110"/>
      <c r="M82" s="110"/>
      <c r="N82" s="110"/>
      <c r="O82" s="111"/>
      <c r="P82" s="136"/>
      <c r="Q82" s="137"/>
      <c r="R82" s="137"/>
      <c r="S82" s="138"/>
    </row>
    <row r="83" spans="1:19" ht="18" customHeight="1" x14ac:dyDescent="0.15">
      <c r="A83" s="48"/>
      <c r="B83" s="109"/>
      <c r="C83" s="110"/>
      <c r="D83" s="110"/>
      <c r="E83" s="111"/>
      <c r="F83" s="136"/>
      <c r="G83" s="137"/>
      <c r="H83" s="137"/>
      <c r="I83" s="138"/>
      <c r="J83" s="109"/>
      <c r="K83" s="110"/>
      <c r="L83" s="110"/>
      <c r="M83" s="110"/>
      <c r="N83" s="110"/>
      <c r="O83" s="111"/>
      <c r="P83" s="136"/>
      <c r="Q83" s="137"/>
      <c r="R83" s="137"/>
      <c r="S83" s="138"/>
    </row>
    <row r="84" spans="1:19" ht="18" customHeight="1" x14ac:dyDescent="0.15">
      <c r="A84" s="48"/>
      <c r="B84" s="109"/>
      <c r="C84" s="110"/>
      <c r="D84" s="110"/>
      <c r="E84" s="111"/>
      <c r="F84" s="136"/>
      <c r="G84" s="137"/>
      <c r="H84" s="137"/>
      <c r="I84" s="138"/>
      <c r="J84" s="109"/>
      <c r="K84" s="110"/>
      <c r="L84" s="110"/>
      <c r="M84" s="110"/>
      <c r="N84" s="110"/>
      <c r="O84" s="111"/>
      <c r="P84" s="136"/>
      <c r="Q84" s="137"/>
      <c r="R84" s="137"/>
      <c r="S84" s="138"/>
    </row>
    <row r="85" spans="1:19" ht="18" customHeight="1" x14ac:dyDescent="0.15">
      <c r="A85" s="48"/>
      <c r="B85" s="115"/>
      <c r="C85" s="116"/>
      <c r="D85" s="116"/>
      <c r="E85" s="117"/>
      <c r="F85" s="145"/>
      <c r="G85" s="146"/>
      <c r="H85" s="146"/>
      <c r="I85" s="147"/>
      <c r="J85" s="115"/>
      <c r="K85" s="116"/>
      <c r="L85" s="116"/>
      <c r="M85" s="116"/>
      <c r="N85" s="116"/>
      <c r="O85" s="117"/>
      <c r="P85" s="145"/>
      <c r="Q85" s="146"/>
      <c r="R85" s="146"/>
      <c r="S85" s="147"/>
    </row>
    <row r="86" spans="1:19" ht="18" customHeight="1" x14ac:dyDescent="0.15">
      <c r="A86" s="48"/>
      <c r="B86" s="45"/>
      <c r="C86" s="45"/>
      <c r="D86" s="45"/>
      <c r="E86" s="45"/>
      <c r="F86" s="64"/>
      <c r="G86" s="64"/>
      <c r="H86" s="64"/>
      <c r="I86" s="64"/>
      <c r="J86" s="45"/>
      <c r="K86" s="45"/>
      <c r="L86" s="45"/>
      <c r="M86" s="45"/>
      <c r="N86" s="45"/>
      <c r="O86" s="45"/>
      <c r="P86" s="64"/>
      <c r="Q86" s="64"/>
      <c r="R86" s="64"/>
      <c r="S86" s="64"/>
    </row>
    <row r="87" spans="1:19" ht="18.75" customHeight="1" x14ac:dyDescent="0.15">
      <c r="A87" s="40" t="s">
        <v>119</v>
      </c>
    </row>
    <row r="88" spans="1:19" ht="18.75" customHeight="1" x14ac:dyDescent="0.15">
      <c r="B88" s="131" t="s">
        <v>54</v>
      </c>
      <c r="C88" s="132"/>
      <c r="D88" s="113" t="s">
        <v>55</v>
      </c>
      <c r="E88" s="113"/>
      <c r="F88" s="113"/>
      <c r="G88" s="113"/>
      <c r="H88" s="113"/>
      <c r="I88" s="113"/>
      <c r="J88" s="113"/>
      <c r="K88" s="113"/>
      <c r="L88" s="113"/>
      <c r="M88" s="113"/>
      <c r="N88" s="113"/>
      <c r="O88" s="113"/>
      <c r="P88" s="113"/>
      <c r="Q88" s="113"/>
      <c r="R88" s="113"/>
      <c r="S88" s="114"/>
    </row>
    <row r="89" spans="1:19" ht="107.25" customHeight="1" x14ac:dyDescent="0.15">
      <c r="B89" s="119" t="s">
        <v>61</v>
      </c>
      <c r="C89" s="65" t="s">
        <v>56</v>
      </c>
      <c r="D89" s="128" t="s">
        <v>242</v>
      </c>
      <c r="E89" s="129"/>
      <c r="F89" s="129"/>
      <c r="G89" s="129"/>
      <c r="H89" s="129"/>
      <c r="I89" s="129"/>
      <c r="J89" s="129"/>
      <c r="K89" s="129"/>
      <c r="L89" s="129"/>
      <c r="M89" s="129"/>
      <c r="N89" s="129"/>
      <c r="O89" s="129"/>
      <c r="P89" s="129"/>
      <c r="Q89" s="129"/>
      <c r="R89" s="129"/>
      <c r="S89" s="130"/>
    </row>
    <row r="90" spans="1:19" ht="97.5" customHeight="1" x14ac:dyDescent="0.15">
      <c r="B90" s="120"/>
      <c r="C90" s="66" t="s">
        <v>77</v>
      </c>
      <c r="D90" s="148" t="s">
        <v>243</v>
      </c>
      <c r="E90" s="149"/>
      <c r="F90" s="149"/>
      <c r="G90" s="149"/>
      <c r="H90" s="149"/>
      <c r="I90" s="149"/>
      <c r="J90" s="149"/>
      <c r="K90" s="149"/>
      <c r="L90" s="149"/>
      <c r="M90" s="149"/>
      <c r="N90" s="149"/>
      <c r="O90" s="149"/>
      <c r="P90" s="149"/>
      <c r="Q90" s="149"/>
      <c r="R90" s="149"/>
      <c r="S90" s="150"/>
    </row>
    <row r="91" spans="1:19" ht="97.5" customHeight="1" x14ac:dyDescent="0.15">
      <c r="B91" s="119" t="s">
        <v>62</v>
      </c>
      <c r="C91" s="67" t="s">
        <v>71</v>
      </c>
      <c r="D91" s="122" t="s">
        <v>244</v>
      </c>
      <c r="E91" s="123"/>
      <c r="F91" s="123"/>
      <c r="G91" s="123"/>
      <c r="H91" s="123"/>
      <c r="I91" s="123"/>
      <c r="J91" s="123"/>
      <c r="K91" s="123"/>
      <c r="L91" s="123"/>
      <c r="M91" s="123"/>
      <c r="N91" s="123"/>
      <c r="O91" s="123"/>
      <c r="P91" s="123"/>
      <c r="Q91" s="123"/>
      <c r="R91" s="123"/>
      <c r="S91" s="124"/>
    </row>
    <row r="92" spans="1:19" ht="97.5" customHeight="1" x14ac:dyDescent="0.15">
      <c r="B92" s="121"/>
      <c r="C92" s="68" t="s">
        <v>72</v>
      </c>
      <c r="D92" s="151" t="s">
        <v>245</v>
      </c>
      <c r="E92" s="152"/>
      <c r="F92" s="152"/>
      <c r="G92" s="152"/>
      <c r="H92" s="152"/>
      <c r="I92" s="152"/>
      <c r="J92" s="152"/>
      <c r="K92" s="152"/>
      <c r="L92" s="152"/>
      <c r="M92" s="152"/>
      <c r="N92" s="152"/>
      <c r="O92" s="152"/>
      <c r="P92" s="152"/>
      <c r="Q92" s="152"/>
      <c r="R92" s="152"/>
      <c r="S92" s="153"/>
    </row>
    <row r="93" spans="1:19" ht="114" customHeight="1" x14ac:dyDescent="0.15">
      <c r="B93" s="119" t="s">
        <v>63</v>
      </c>
      <c r="C93" s="67" t="s">
        <v>73</v>
      </c>
      <c r="D93" s="122" t="s">
        <v>246</v>
      </c>
      <c r="E93" s="123"/>
      <c r="F93" s="123"/>
      <c r="G93" s="123"/>
      <c r="H93" s="123"/>
      <c r="I93" s="123"/>
      <c r="J93" s="123"/>
      <c r="K93" s="123"/>
      <c r="L93" s="123"/>
      <c r="M93" s="123"/>
      <c r="N93" s="123"/>
      <c r="O93" s="123"/>
      <c r="P93" s="123"/>
      <c r="Q93" s="123"/>
      <c r="R93" s="123"/>
      <c r="S93" s="124"/>
    </row>
    <row r="94" spans="1:19" ht="97.5" customHeight="1" x14ac:dyDescent="0.15">
      <c r="B94" s="121"/>
      <c r="C94" s="69" t="s">
        <v>74</v>
      </c>
      <c r="D94" s="125" t="s">
        <v>247</v>
      </c>
      <c r="E94" s="126"/>
      <c r="F94" s="126"/>
      <c r="G94" s="126"/>
      <c r="H94" s="126"/>
      <c r="I94" s="126"/>
      <c r="J94" s="126"/>
      <c r="K94" s="126"/>
      <c r="L94" s="126"/>
      <c r="M94" s="126"/>
      <c r="N94" s="126"/>
      <c r="O94" s="126"/>
      <c r="P94" s="126"/>
      <c r="Q94" s="126"/>
      <c r="R94" s="126"/>
      <c r="S94" s="127"/>
    </row>
    <row r="95" spans="1:19" ht="111" customHeight="1" x14ac:dyDescent="0.15">
      <c r="B95" s="119" t="s">
        <v>78</v>
      </c>
      <c r="C95" s="65" t="s">
        <v>58</v>
      </c>
      <c r="D95" s="128" t="s">
        <v>248</v>
      </c>
      <c r="E95" s="129"/>
      <c r="F95" s="129"/>
      <c r="G95" s="129"/>
      <c r="H95" s="129"/>
      <c r="I95" s="129"/>
      <c r="J95" s="129"/>
      <c r="K95" s="129"/>
      <c r="L95" s="129"/>
      <c r="M95" s="129"/>
      <c r="N95" s="129"/>
      <c r="O95" s="129"/>
      <c r="P95" s="129"/>
      <c r="Q95" s="129"/>
      <c r="R95" s="129"/>
      <c r="S95" s="130"/>
    </row>
    <row r="96" spans="1:19" ht="97.5" customHeight="1" x14ac:dyDescent="0.15">
      <c r="B96" s="121"/>
      <c r="C96" s="68" t="s">
        <v>60</v>
      </c>
      <c r="D96" s="151" t="s">
        <v>133</v>
      </c>
      <c r="E96" s="152"/>
      <c r="F96" s="152"/>
      <c r="G96" s="152"/>
      <c r="H96" s="152"/>
      <c r="I96" s="152"/>
      <c r="J96" s="152"/>
      <c r="K96" s="152"/>
      <c r="L96" s="152"/>
      <c r="M96" s="152"/>
      <c r="N96" s="152"/>
      <c r="O96" s="152"/>
      <c r="P96" s="152"/>
      <c r="Q96" s="152"/>
      <c r="R96" s="152"/>
      <c r="S96" s="153"/>
    </row>
    <row r="97" spans="1:19" ht="164.45" customHeight="1" x14ac:dyDescent="0.15">
      <c r="B97" s="119" t="s">
        <v>79</v>
      </c>
      <c r="C97" s="67" t="s">
        <v>57</v>
      </c>
      <c r="D97" s="122" t="s">
        <v>249</v>
      </c>
      <c r="E97" s="123"/>
      <c r="F97" s="123"/>
      <c r="G97" s="123"/>
      <c r="H97" s="123"/>
      <c r="I97" s="123"/>
      <c r="J97" s="123"/>
      <c r="K97" s="123"/>
      <c r="L97" s="123"/>
      <c r="M97" s="123"/>
      <c r="N97" s="123"/>
      <c r="O97" s="123"/>
      <c r="P97" s="123"/>
      <c r="Q97" s="123"/>
      <c r="R97" s="123"/>
      <c r="S97" s="124"/>
    </row>
    <row r="98" spans="1:19" ht="97.5" customHeight="1" x14ac:dyDescent="0.15">
      <c r="B98" s="120"/>
      <c r="C98" s="70" t="s">
        <v>75</v>
      </c>
      <c r="D98" s="154" t="s">
        <v>250</v>
      </c>
      <c r="E98" s="155"/>
      <c r="F98" s="155"/>
      <c r="G98" s="155"/>
      <c r="H98" s="155"/>
      <c r="I98" s="155"/>
      <c r="J98" s="155"/>
      <c r="K98" s="155"/>
      <c r="L98" s="155"/>
      <c r="M98" s="155"/>
      <c r="N98" s="155"/>
      <c r="O98" s="155"/>
      <c r="P98" s="155"/>
      <c r="Q98" s="155"/>
      <c r="R98" s="155"/>
      <c r="S98" s="156"/>
    </row>
    <row r="99" spans="1:19" ht="97.5" customHeight="1" x14ac:dyDescent="0.15">
      <c r="B99" s="121"/>
      <c r="C99" s="69" t="s">
        <v>76</v>
      </c>
      <c r="D99" s="125" t="s">
        <v>251</v>
      </c>
      <c r="E99" s="126"/>
      <c r="F99" s="126"/>
      <c r="G99" s="126"/>
      <c r="H99" s="126"/>
      <c r="I99" s="126"/>
      <c r="J99" s="126"/>
      <c r="K99" s="126"/>
      <c r="L99" s="126"/>
      <c r="M99" s="126"/>
      <c r="N99" s="126"/>
      <c r="O99" s="126"/>
      <c r="P99" s="126"/>
      <c r="Q99" s="126"/>
      <c r="R99" s="126"/>
      <c r="S99" s="127"/>
    </row>
    <row r="100" spans="1:19" ht="6" customHeight="1" x14ac:dyDescent="0.15"/>
    <row r="101" spans="1:19" ht="18.75" customHeight="1" x14ac:dyDescent="0.15">
      <c r="A101" s="40" t="s">
        <v>120</v>
      </c>
    </row>
    <row r="102" spans="1:19" ht="81.75" customHeight="1" x14ac:dyDescent="0.15">
      <c r="B102" s="142" t="s">
        <v>132</v>
      </c>
      <c r="C102" s="143"/>
      <c r="D102" s="143"/>
      <c r="E102" s="143"/>
      <c r="F102" s="143"/>
      <c r="G102" s="143"/>
      <c r="H102" s="143"/>
      <c r="I102" s="143"/>
      <c r="J102" s="143"/>
      <c r="K102" s="143"/>
      <c r="L102" s="143"/>
      <c r="M102" s="143"/>
      <c r="N102" s="143"/>
      <c r="O102" s="143"/>
      <c r="P102" s="143"/>
      <c r="Q102" s="143"/>
      <c r="R102" s="143"/>
      <c r="S102" s="144"/>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J35:O35"/>
    <mergeCell ref="B60:E60"/>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A5:S5"/>
    <mergeCell ref="B13:S18"/>
    <mergeCell ref="A22:S23"/>
    <mergeCell ref="K7:S7"/>
    <mergeCell ref="C3:M3"/>
    <mergeCell ref="C2:M2"/>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1:E61"/>
    <mergeCell ref="B62:E62"/>
    <mergeCell ref="B63:E63"/>
    <mergeCell ref="B64:E64"/>
    <mergeCell ref="J46:O46"/>
    <mergeCell ref="F78:I78"/>
    <mergeCell ref="J78:O78"/>
    <mergeCell ref="B69:D69"/>
    <mergeCell ref="B70:D70"/>
    <mergeCell ref="J53:O53"/>
    <mergeCell ref="B48:E48"/>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AB427-9F90-4F72-B28E-33417650DC4B}">
  <sheetPr>
    <pageSetUpPr fitToPage="1"/>
  </sheetPr>
  <dimension ref="A1:Z110"/>
  <sheetViews>
    <sheetView showZeros="0" view="pageBreakPreview" zoomScaleNormal="100" zoomScaleSheetLayoutView="100" workbookViewId="0"/>
  </sheetViews>
  <sheetFormatPr defaultColWidth="9" defaultRowHeight="18.75" customHeight="1" x14ac:dyDescent="0.15"/>
  <cols>
    <col min="1" max="1" width="2.5" style="40" customWidth="1"/>
    <col min="2" max="2" width="16.5" style="40" customWidth="1"/>
    <col min="3" max="19" width="5.625" style="40" customWidth="1"/>
    <col min="20" max="20" width="9" style="40"/>
    <col min="21" max="21" width="3.625" style="40" customWidth="1"/>
    <col min="22" max="22" width="48.625" style="40" hidden="1" customWidth="1"/>
    <col min="23" max="16384" width="9" style="40"/>
  </cols>
  <sheetData>
    <row r="1" spans="1:22" ht="18.75" customHeight="1" x14ac:dyDescent="0.15">
      <c r="R1" s="157" t="s">
        <v>190</v>
      </c>
      <c r="S1" s="157"/>
      <c r="T1" s="42" t="s">
        <v>109</v>
      </c>
    </row>
    <row r="2" spans="1:22" ht="18.75" customHeight="1" x14ac:dyDescent="0.15">
      <c r="B2" s="43" t="s">
        <v>108</v>
      </c>
      <c r="C2" s="172" t="s">
        <v>127</v>
      </c>
      <c r="D2" s="172"/>
      <c r="E2" s="172"/>
      <c r="F2" s="172"/>
      <c r="G2" s="172"/>
      <c r="H2" s="172"/>
      <c r="I2" s="172"/>
      <c r="J2" s="172"/>
      <c r="K2" s="172"/>
      <c r="L2" s="172"/>
      <c r="M2" s="172"/>
      <c r="N2" s="45"/>
      <c r="O2" s="45"/>
      <c r="P2" s="45"/>
      <c r="Q2" s="45"/>
      <c r="R2" s="45"/>
      <c r="S2" s="45"/>
    </row>
    <row r="3" spans="1:22" ht="18.75" customHeight="1" x14ac:dyDescent="0.15">
      <c r="B3" s="43" t="s">
        <v>102</v>
      </c>
      <c r="C3" s="172" t="s">
        <v>128</v>
      </c>
      <c r="D3" s="172"/>
      <c r="E3" s="172"/>
      <c r="F3" s="172"/>
      <c r="G3" s="172"/>
      <c r="H3" s="172"/>
      <c r="I3" s="172"/>
      <c r="J3" s="172"/>
      <c r="K3" s="172"/>
      <c r="L3" s="172"/>
      <c r="M3" s="172"/>
      <c r="N3" s="45"/>
      <c r="O3" s="45"/>
      <c r="P3" s="45"/>
      <c r="Q3" s="45"/>
      <c r="R3" s="45"/>
      <c r="S3" s="45"/>
    </row>
    <row r="4" spans="1:22" ht="15" customHeight="1" x14ac:dyDescent="0.15">
      <c r="K4" s="41"/>
      <c r="L4" s="46"/>
      <c r="M4" s="46"/>
      <c r="N4" s="46"/>
      <c r="O4" s="46"/>
      <c r="P4" s="46"/>
      <c r="Q4" s="46"/>
      <c r="R4" s="46"/>
      <c r="S4" s="46"/>
    </row>
    <row r="5" spans="1:22" ht="18" customHeight="1" x14ac:dyDescent="0.15">
      <c r="A5" s="161" t="s">
        <v>38</v>
      </c>
      <c r="B5" s="161"/>
      <c r="C5" s="161"/>
      <c r="D5" s="161"/>
      <c r="E5" s="161"/>
      <c r="F5" s="161"/>
      <c r="G5" s="161"/>
      <c r="H5" s="161"/>
      <c r="I5" s="161"/>
      <c r="J5" s="161"/>
      <c r="K5" s="161"/>
      <c r="L5" s="161"/>
      <c r="M5" s="161"/>
      <c r="N5" s="161"/>
      <c r="O5" s="161"/>
      <c r="P5" s="161"/>
      <c r="Q5" s="161"/>
      <c r="R5" s="161"/>
      <c r="S5" s="161"/>
    </row>
    <row r="6" spans="1:22" ht="15" customHeight="1" x14ac:dyDescent="0.15">
      <c r="B6" s="48"/>
      <c r="C6" s="48"/>
      <c r="D6" s="48"/>
      <c r="E6" s="48"/>
      <c r="F6" s="48"/>
      <c r="G6" s="48"/>
      <c r="H6" s="48"/>
      <c r="I6" s="48"/>
      <c r="J6" s="48"/>
      <c r="K6" s="48"/>
      <c r="L6" s="48"/>
      <c r="M6" s="48"/>
      <c r="N6" s="48"/>
      <c r="O6" s="48"/>
      <c r="P6" s="48"/>
      <c r="Q6" s="48"/>
      <c r="R6" s="48"/>
      <c r="S6" s="48"/>
    </row>
    <row r="7" spans="1:22" ht="18" customHeight="1" x14ac:dyDescent="0.15">
      <c r="A7" s="40" t="s">
        <v>123</v>
      </c>
      <c r="C7" s="48"/>
      <c r="J7" s="49" t="s">
        <v>107</v>
      </c>
      <c r="K7" s="169" t="s">
        <v>125</v>
      </c>
      <c r="L7" s="170"/>
      <c r="M7" s="170"/>
      <c r="N7" s="170"/>
      <c r="O7" s="170"/>
      <c r="P7" s="170"/>
      <c r="Q7" s="170"/>
      <c r="R7" s="170"/>
      <c r="S7" s="171"/>
    </row>
    <row r="8" spans="1:22" ht="6" customHeight="1" x14ac:dyDescent="0.15">
      <c r="B8" s="48"/>
      <c r="C8" s="48"/>
      <c r="D8" s="48"/>
      <c r="E8" s="48"/>
      <c r="F8" s="48"/>
      <c r="G8" s="48"/>
      <c r="H8" s="48"/>
      <c r="I8" s="48"/>
      <c r="J8" s="48"/>
      <c r="K8" s="50"/>
      <c r="L8" s="48"/>
      <c r="M8" s="48"/>
      <c r="N8" s="48"/>
      <c r="O8" s="48"/>
      <c r="P8" s="48"/>
      <c r="Q8" s="48"/>
      <c r="R8" s="48"/>
      <c r="S8" s="48"/>
    </row>
    <row r="9" spans="1:22" ht="18" customHeight="1" x14ac:dyDescent="0.15">
      <c r="B9" s="173" t="s">
        <v>187</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48"/>
      <c r="C11" s="48"/>
      <c r="D11" s="48"/>
      <c r="E11" s="48"/>
      <c r="F11" s="48"/>
      <c r="G11" s="48"/>
      <c r="H11" s="48"/>
      <c r="I11" s="48"/>
      <c r="J11" s="48"/>
      <c r="K11" s="50"/>
      <c r="L11" s="48"/>
      <c r="M11" s="48"/>
      <c r="N11" s="48"/>
      <c r="O11" s="48"/>
      <c r="P11" s="48"/>
      <c r="Q11" s="48"/>
      <c r="R11" s="48"/>
      <c r="S11" s="48"/>
    </row>
    <row r="12" spans="1:22" ht="18" customHeight="1" x14ac:dyDescent="0.15">
      <c r="A12" s="40" t="s">
        <v>111</v>
      </c>
      <c r="B12" s="48"/>
      <c r="C12" s="48"/>
      <c r="D12" s="41"/>
      <c r="E12" s="41"/>
      <c r="F12" s="41"/>
      <c r="G12" s="41"/>
      <c r="H12" s="41"/>
      <c r="I12" s="41"/>
      <c r="J12" s="41"/>
      <c r="K12" s="51"/>
      <c r="L12" s="51"/>
      <c r="M12" s="51"/>
      <c r="N12" s="51"/>
      <c r="O12" s="51"/>
      <c r="P12" s="51"/>
      <c r="Q12" s="51"/>
      <c r="R12" s="51"/>
      <c r="S12" s="51"/>
    </row>
    <row r="13" spans="1:22" ht="27" customHeight="1" x14ac:dyDescent="0.15">
      <c r="B13" s="162" t="s">
        <v>216</v>
      </c>
      <c r="C13" s="128"/>
      <c r="D13" s="128"/>
      <c r="E13" s="128"/>
      <c r="F13" s="128"/>
      <c r="G13" s="128"/>
      <c r="H13" s="128"/>
      <c r="I13" s="128"/>
      <c r="J13" s="128"/>
      <c r="K13" s="128"/>
      <c r="L13" s="128"/>
      <c r="M13" s="128"/>
      <c r="N13" s="128"/>
      <c r="O13" s="128"/>
      <c r="P13" s="128"/>
      <c r="Q13" s="128"/>
      <c r="R13" s="128"/>
      <c r="S13" s="163"/>
      <c r="V13" s="40" t="s">
        <v>103</v>
      </c>
    </row>
    <row r="14" spans="1:22" ht="27" customHeight="1" x14ac:dyDescent="0.15">
      <c r="B14" s="164"/>
      <c r="C14" s="165"/>
      <c r="D14" s="165"/>
      <c r="E14" s="165"/>
      <c r="F14" s="165"/>
      <c r="G14" s="165"/>
      <c r="H14" s="165"/>
      <c r="I14" s="165"/>
      <c r="J14" s="165"/>
      <c r="K14" s="165"/>
      <c r="L14" s="165"/>
      <c r="M14" s="165"/>
      <c r="N14" s="165"/>
      <c r="O14" s="165"/>
      <c r="P14" s="165"/>
      <c r="Q14" s="165"/>
      <c r="R14" s="165"/>
      <c r="S14" s="166"/>
      <c r="V14" s="40" t="s">
        <v>110</v>
      </c>
    </row>
    <row r="15" spans="1:22" ht="27" customHeight="1" x14ac:dyDescent="0.15">
      <c r="B15" s="164"/>
      <c r="C15" s="165"/>
      <c r="D15" s="165"/>
      <c r="E15" s="165"/>
      <c r="F15" s="165"/>
      <c r="G15" s="165"/>
      <c r="H15" s="165"/>
      <c r="I15" s="165"/>
      <c r="J15" s="165"/>
      <c r="K15" s="165"/>
      <c r="L15" s="165"/>
      <c r="M15" s="165"/>
      <c r="N15" s="165"/>
      <c r="O15" s="165"/>
      <c r="P15" s="165"/>
      <c r="Q15" s="165"/>
      <c r="R15" s="165"/>
      <c r="S15" s="166"/>
      <c r="V15" s="40" t="s">
        <v>122</v>
      </c>
    </row>
    <row r="16" spans="1:22" ht="27" customHeight="1" x14ac:dyDescent="0.15">
      <c r="B16" s="164"/>
      <c r="C16" s="165"/>
      <c r="D16" s="165"/>
      <c r="E16" s="165"/>
      <c r="F16" s="165"/>
      <c r="G16" s="165"/>
      <c r="H16" s="165"/>
      <c r="I16" s="165"/>
      <c r="J16" s="165"/>
      <c r="K16" s="165"/>
      <c r="L16" s="165"/>
      <c r="M16" s="165"/>
      <c r="N16" s="165"/>
      <c r="O16" s="165"/>
      <c r="P16" s="165"/>
      <c r="Q16" s="165"/>
      <c r="R16" s="165"/>
      <c r="S16" s="166"/>
      <c r="V16" s="40" t="s">
        <v>124</v>
      </c>
    </row>
    <row r="17" spans="1:19" ht="27" customHeight="1" x14ac:dyDescent="0.15">
      <c r="B17" s="164"/>
      <c r="C17" s="165"/>
      <c r="D17" s="165"/>
      <c r="E17" s="165"/>
      <c r="F17" s="165"/>
      <c r="G17" s="165"/>
      <c r="H17" s="165"/>
      <c r="I17" s="165"/>
      <c r="J17" s="165"/>
      <c r="K17" s="165"/>
      <c r="L17" s="165"/>
      <c r="M17" s="165"/>
      <c r="N17" s="165"/>
      <c r="O17" s="165"/>
      <c r="P17" s="165"/>
      <c r="Q17" s="165"/>
      <c r="R17" s="165"/>
      <c r="S17" s="166"/>
    </row>
    <row r="18" spans="1:19" ht="27" customHeight="1" x14ac:dyDescent="0.15">
      <c r="B18" s="167"/>
      <c r="C18" s="125"/>
      <c r="D18" s="125"/>
      <c r="E18" s="125"/>
      <c r="F18" s="125"/>
      <c r="G18" s="125"/>
      <c r="H18" s="125"/>
      <c r="I18" s="125"/>
      <c r="J18" s="125"/>
      <c r="K18" s="125"/>
      <c r="L18" s="125"/>
      <c r="M18" s="125"/>
      <c r="N18" s="125"/>
      <c r="O18" s="125"/>
      <c r="P18" s="125"/>
      <c r="Q18" s="125"/>
      <c r="R18" s="125"/>
      <c r="S18" s="168"/>
    </row>
    <row r="19" spans="1:19" ht="7.5" customHeight="1" x14ac:dyDescent="0.15">
      <c r="B19" s="48"/>
      <c r="C19" s="48"/>
      <c r="D19" s="48"/>
      <c r="E19" s="48"/>
      <c r="F19" s="48"/>
      <c r="G19" s="48"/>
      <c r="H19" s="48"/>
      <c r="I19" s="48"/>
      <c r="J19" s="48"/>
      <c r="K19" s="48"/>
      <c r="L19" s="48"/>
      <c r="M19" s="48"/>
      <c r="N19" s="48"/>
      <c r="O19" s="48"/>
      <c r="P19" s="48"/>
      <c r="Q19" s="48"/>
      <c r="R19" s="48"/>
      <c r="S19" s="48"/>
    </row>
    <row r="20" spans="1:19" ht="20.100000000000001" customHeight="1" x14ac:dyDescent="0.15">
      <c r="B20" s="40" t="s">
        <v>112</v>
      </c>
      <c r="C20" s="112">
        <v>4</v>
      </c>
      <c r="D20" s="114"/>
      <c r="E20" s="52" t="s">
        <v>95</v>
      </c>
      <c r="G20" s="50"/>
      <c r="H20" s="48"/>
      <c r="I20" s="48"/>
      <c r="J20" s="41" t="s">
        <v>121</v>
      </c>
      <c r="K20" s="158" t="s">
        <v>124</v>
      </c>
      <c r="L20" s="159"/>
      <c r="M20" s="159"/>
      <c r="N20" s="159"/>
      <c r="O20" s="159"/>
      <c r="P20" s="159"/>
      <c r="Q20" s="159"/>
      <c r="R20" s="159"/>
      <c r="S20" s="160"/>
    </row>
    <row r="21" spans="1:19" ht="7.5" customHeight="1" x14ac:dyDescent="0.15">
      <c r="B21" s="48"/>
      <c r="C21" s="48"/>
      <c r="D21" s="48"/>
      <c r="E21" s="48"/>
      <c r="F21" s="48"/>
      <c r="G21" s="48"/>
      <c r="H21" s="48"/>
      <c r="I21" s="48"/>
      <c r="J21" s="48"/>
      <c r="K21" s="48"/>
      <c r="L21" s="48"/>
      <c r="M21" s="48"/>
      <c r="N21" s="48"/>
      <c r="O21" s="48"/>
      <c r="P21" s="48"/>
      <c r="Q21" s="48"/>
      <c r="R21" s="48"/>
      <c r="S21" s="48"/>
    </row>
    <row r="22" spans="1:19" ht="18" customHeight="1" x14ac:dyDescent="0.15">
      <c r="A22" s="118" t="s">
        <v>113</v>
      </c>
      <c r="B22" s="118"/>
      <c r="C22" s="118"/>
      <c r="D22" s="118"/>
      <c r="E22" s="118"/>
      <c r="F22" s="118"/>
      <c r="G22" s="118"/>
      <c r="H22" s="118"/>
      <c r="I22" s="118"/>
      <c r="J22" s="118"/>
      <c r="K22" s="118"/>
      <c r="L22" s="118"/>
      <c r="M22" s="118"/>
      <c r="N22" s="118"/>
      <c r="O22" s="118"/>
      <c r="P22" s="118"/>
      <c r="Q22" s="118"/>
      <c r="R22" s="118"/>
      <c r="S22" s="118"/>
    </row>
    <row r="23" spans="1:19" ht="18" customHeight="1" x14ac:dyDescent="0.15">
      <c r="A23" s="118"/>
      <c r="B23" s="118"/>
      <c r="C23" s="118"/>
      <c r="D23" s="118"/>
      <c r="E23" s="118"/>
      <c r="F23" s="118"/>
      <c r="G23" s="118"/>
      <c r="H23" s="118"/>
      <c r="I23" s="118"/>
      <c r="J23" s="118"/>
      <c r="K23" s="118"/>
      <c r="L23" s="118"/>
      <c r="M23" s="118"/>
      <c r="N23" s="118"/>
      <c r="O23" s="118"/>
      <c r="P23" s="118"/>
      <c r="Q23" s="118"/>
      <c r="R23" s="118"/>
      <c r="S23" s="118"/>
    </row>
    <row r="24" spans="1:19" ht="18" customHeight="1" x14ac:dyDescent="0.15">
      <c r="B24" s="112" t="s">
        <v>53</v>
      </c>
      <c r="C24" s="113"/>
      <c r="D24" s="113"/>
      <c r="E24" s="114"/>
      <c r="F24" s="54" t="s">
        <v>80</v>
      </c>
      <c r="G24" s="55" t="s">
        <v>84</v>
      </c>
      <c r="H24" s="56" t="s">
        <v>56</v>
      </c>
      <c r="I24" s="56" t="s">
        <v>59</v>
      </c>
      <c r="J24" s="112" t="s">
        <v>53</v>
      </c>
      <c r="K24" s="113"/>
      <c r="L24" s="113"/>
      <c r="M24" s="113"/>
      <c r="N24" s="113"/>
      <c r="O24" s="114"/>
      <c r="P24" s="54" t="s">
        <v>80</v>
      </c>
      <c r="Q24" s="55" t="s">
        <v>84</v>
      </c>
      <c r="R24" s="56" t="s">
        <v>56</v>
      </c>
      <c r="S24" s="56" t="s">
        <v>59</v>
      </c>
    </row>
    <row r="25" spans="1:19" ht="18" customHeight="1" x14ac:dyDescent="0.15">
      <c r="B25" s="106" t="s">
        <v>182</v>
      </c>
      <c r="C25" s="107"/>
      <c r="D25" s="107"/>
      <c r="E25" s="108"/>
      <c r="F25" s="58">
        <v>2</v>
      </c>
      <c r="G25" s="58" t="s">
        <v>126</v>
      </c>
      <c r="H25" s="58"/>
      <c r="I25" s="58" t="s">
        <v>126</v>
      </c>
      <c r="J25" s="106"/>
      <c r="K25" s="107"/>
      <c r="L25" s="107"/>
      <c r="M25" s="107"/>
      <c r="N25" s="107"/>
      <c r="O25" s="108"/>
      <c r="P25" s="57"/>
      <c r="Q25" s="57"/>
      <c r="R25" s="57"/>
      <c r="S25" s="57"/>
    </row>
    <row r="26" spans="1:19" ht="18" customHeight="1" x14ac:dyDescent="0.15">
      <c r="B26" s="109" t="s">
        <v>146</v>
      </c>
      <c r="C26" s="110"/>
      <c r="D26" s="110"/>
      <c r="E26" s="111"/>
      <c r="F26" s="58">
        <v>1</v>
      </c>
      <c r="G26" s="58" t="s">
        <v>147</v>
      </c>
      <c r="H26" s="58" t="s">
        <v>126</v>
      </c>
      <c r="I26" s="58"/>
      <c r="J26" s="109"/>
      <c r="K26" s="110"/>
      <c r="L26" s="110"/>
      <c r="M26" s="110"/>
      <c r="N26" s="110"/>
      <c r="O26" s="111"/>
      <c r="P26" s="58"/>
      <c r="Q26" s="58"/>
      <c r="R26" s="58"/>
      <c r="S26" s="58"/>
    </row>
    <row r="27" spans="1:19" ht="18" customHeight="1" x14ac:dyDescent="0.15">
      <c r="B27" s="109"/>
      <c r="C27" s="110"/>
      <c r="D27" s="110"/>
      <c r="E27" s="111"/>
      <c r="F27" s="58"/>
      <c r="G27" s="58"/>
      <c r="H27" s="58"/>
      <c r="I27" s="58"/>
      <c r="J27" s="109"/>
      <c r="K27" s="110"/>
      <c r="L27" s="110"/>
      <c r="M27" s="110"/>
      <c r="N27" s="110"/>
      <c r="O27" s="111"/>
      <c r="P27" s="58"/>
      <c r="Q27" s="58"/>
      <c r="R27" s="58"/>
      <c r="S27" s="58"/>
    </row>
    <row r="28" spans="1:19" ht="18" customHeight="1" x14ac:dyDescent="0.15">
      <c r="B28" s="109"/>
      <c r="C28" s="110"/>
      <c r="D28" s="110"/>
      <c r="E28" s="111"/>
      <c r="F28" s="58"/>
      <c r="G28" s="58"/>
      <c r="H28" s="58"/>
      <c r="I28" s="58"/>
      <c r="J28" s="109"/>
      <c r="K28" s="110"/>
      <c r="L28" s="110"/>
      <c r="M28" s="110"/>
      <c r="N28" s="110"/>
      <c r="O28" s="111"/>
      <c r="P28" s="58"/>
      <c r="Q28" s="58"/>
      <c r="R28" s="58"/>
      <c r="S28" s="58"/>
    </row>
    <row r="29" spans="1:19" ht="18" customHeight="1" x14ac:dyDescent="0.15">
      <c r="B29" s="109"/>
      <c r="C29" s="110"/>
      <c r="D29" s="110"/>
      <c r="E29" s="111"/>
      <c r="F29" s="58"/>
      <c r="G29" s="58"/>
      <c r="H29" s="58"/>
      <c r="I29" s="58"/>
      <c r="J29" s="109"/>
      <c r="K29" s="110"/>
      <c r="L29" s="110"/>
      <c r="M29" s="110"/>
      <c r="N29" s="110"/>
      <c r="O29" s="111"/>
      <c r="P29" s="58"/>
      <c r="Q29" s="58"/>
      <c r="R29" s="58"/>
      <c r="S29" s="58"/>
    </row>
    <row r="30" spans="1:19" ht="18" customHeight="1" x14ac:dyDescent="0.15">
      <c r="A30" s="48"/>
      <c r="B30" s="109"/>
      <c r="C30" s="110"/>
      <c r="D30" s="110"/>
      <c r="E30" s="111"/>
      <c r="F30" s="58"/>
      <c r="G30" s="58"/>
      <c r="H30" s="58"/>
      <c r="I30" s="58"/>
      <c r="J30" s="109"/>
      <c r="K30" s="110"/>
      <c r="L30" s="110"/>
      <c r="M30" s="110"/>
      <c r="N30" s="110"/>
      <c r="O30" s="111"/>
      <c r="P30" s="58"/>
      <c r="Q30" s="58"/>
      <c r="R30" s="58"/>
      <c r="S30" s="58"/>
    </row>
    <row r="31" spans="1:19" ht="18" customHeight="1" x14ac:dyDescent="0.15">
      <c r="A31" s="48"/>
      <c r="B31" s="115"/>
      <c r="C31" s="116"/>
      <c r="D31" s="116"/>
      <c r="E31" s="117"/>
      <c r="F31" s="59"/>
      <c r="G31" s="59"/>
      <c r="H31" s="60"/>
      <c r="I31" s="60"/>
      <c r="J31" s="115"/>
      <c r="K31" s="116"/>
      <c r="L31" s="116"/>
      <c r="M31" s="116"/>
      <c r="N31" s="116"/>
      <c r="O31" s="117"/>
      <c r="P31" s="59"/>
      <c r="Q31" s="59"/>
      <c r="R31" s="60"/>
      <c r="S31" s="60"/>
    </row>
    <row r="32" spans="1:19" ht="7.5" customHeight="1" x14ac:dyDescent="0.15">
      <c r="A32" s="48"/>
      <c r="B32" s="45"/>
      <c r="C32" s="45"/>
      <c r="D32" s="48"/>
      <c r="E32" s="48"/>
      <c r="F32" s="48"/>
      <c r="G32" s="48"/>
      <c r="H32" s="45"/>
      <c r="I32" s="45"/>
      <c r="J32" s="45"/>
      <c r="K32" s="45"/>
      <c r="L32" s="45"/>
      <c r="M32" s="45"/>
      <c r="N32" s="45"/>
      <c r="O32" s="45"/>
      <c r="P32" s="45"/>
      <c r="Q32" s="45"/>
      <c r="R32" s="45"/>
      <c r="S32" s="48"/>
    </row>
    <row r="33" spans="1:19" ht="18" customHeight="1" x14ac:dyDescent="0.15">
      <c r="A33" s="118" t="s">
        <v>114</v>
      </c>
      <c r="B33" s="118"/>
      <c r="C33" s="118"/>
      <c r="D33" s="118"/>
      <c r="E33" s="118"/>
      <c r="F33" s="118"/>
      <c r="G33" s="118"/>
      <c r="H33" s="118"/>
      <c r="I33" s="118"/>
      <c r="J33" s="118"/>
      <c r="K33" s="118"/>
      <c r="L33" s="118"/>
      <c r="M33" s="118"/>
      <c r="N33" s="118"/>
      <c r="O33" s="118"/>
      <c r="P33" s="118"/>
      <c r="Q33" s="118"/>
      <c r="R33" s="118"/>
      <c r="S33" s="118"/>
    </row>
    <row r="34" spans="1:19" ht="18" customHeight="1" x14ac:dyDescent="0.15">
      <c r="A34" s="118"/>
      <c r="B34" s="118"/>
      <c r="C34" s="118"/>
      <c r="D34" s="118"/>
      <c r="E34" s="118"/>
      <c r="F34" s="118"/>
      <c r="G34" s="118"/>
      <c r="H34" s="118"/>
      <c r="I34" s="118"/>
      <c r="J34" s="118"/>
      <c r="K34" s="118"/>
      <c r="L34" s="118"/>
      <c r="M34" s="118"/>
      <c r="N34" s="118"/>
      <c r="O34" s="118"/>
      <c r="P34" s="118"/>
      <c r="Q34" s="118"/>
      <c r="R34" s="118"/>
      <c r="S34" s="118"/>
    </row>
    <row r="35" spans="1:19" ht="18" customHeight="1" x14ac:dyDescent="0.15">
      <c r="B35" s="112" t="s">
        <v>53</v>
      </c>
      <c r="C35" s="113"/>
      <c r="D35" s="113"/>
      <c r="E35" s="114"/>
      <c r="F35" s="54" t="s">
        <v>80</v>
      </c>
      <c r="G35" s="55" t="s">
        <v>84</v>
      </c>
      <c r="H35" s="56" t="s">
        <v>71</v>
      </c>
      <c r="I35" s="56" t="s">
        <v>72</v>
      </c>
      <c r="J35" s="112" t="s">
        <v>53</v>
      </c>
      <c r="K35" s="113"/>
      <c r="L35" s="113"/>
      <c r="M35" s="113"/>
      <c r="N35" s="113"/>
      <c r="O35" s="114"/>
      <c r="P35" s="54" t="s">
        <v>80</v>
      </c>
      <c r="Q35" s="55" t="s">
        <v>84</v>
      </c>
      <c r="R35" s="56" t="s">
        <v>71</v>
      </c>
      <c r="S35" s="56" t="s">
        <v>72</v>
      </c>
    </row>
    <row r="36" spans="1:19" ht="18" customHeight="1" x14ac:dyDescent="0.15">
      <c r="B36" s="106" t="s">
        <v>183</v>
      </c>
      <c r="C36" s="107"/>
      <c r="D36" s="107"/>
      <c r="E36" s="108"/>
      <c r="F36" s="57">
        <v>1</v>
      </c>
      <c r="G36" s="57" t="s">
        <v>126</v>
      </c>
      <c r="H36" s="57" t="s">
        <v>126</v>
      </c>
      <c r="I36" s="57"/>
      <c r="J36" s="106"/>
      <c r="K36" s="107"/>
      <c r="L36" s="107"/>
      <c r="M36" s="107"/>
      <c r="N36" s="107"/>
      <c r="O36" s="108"/>
      <c r="P36" s="57"/>
      <c r="Q36" s="57"/>
      <c r="R36" s="57"/>
      <c r="S36" s="57"/>
    </row>
    <row r="37" spans="1:19" ht="18" customHeight="1" x14ac:dyDescent="0.15">
      <c r="B37" s="109" t="s">
        <v>148</v>
      </c>
      <c r="C37" s="110"/>
      <c r="D37" s="110"/>
      <c r="E37" s="111"/>
      <c r="F37" s="58">
        <v>2</v>
      </c>
      <c r="G37" s="58"/>
      <c r="H37" s="58" t="s">
        <v>126</v>
      </c>
      <c r="I37" s="58"/>
      <c r="J37" s="109"/>
      <c r="K37" s="110"/>
      <c r="L37" s="110"/>
      <c r="M37" s="110"/>
      <c r="N37" s="110"/>
      <c r="O37" s="111"/>
      <c r="P37" s="58"/>
      <c r="Q37" s="58"/>
      <c r="R37" s="58"/>
      <c r="S37" s="58"/>
    </row>
    <row r="38" spans="1:19" ht="18" customHeight="1" x14ac:dyDescent="0.15">
      <c r="B38" s="109" t="s">
        <v>149</v>
      </c>
      <c r="C38" s="110"/>
      <c r="D38" s="110"/>
      <c r="E38" s="111"/>
      <c r="F38" s="58">
        <v>1</v>
      </c>
      <c r="G38" s="58" t="s">
        <v>126</v>
      </c>
      <c r="H38" s="58"/>
      <c r="I38" s="58" t="s">
        <v>126</v>
      </c>
      <c r="J38" s="109"/>
      <c r="K38" s="110"/>
      <c r="L38" s="110"/>
      <c r="M38" s="110"/>
      <c r="N38" s="110"/>
      <c r="O38" s="111"/>
      <c r="P38" s="58"/>
      <c r="Q38" s="58"/>
      <c r="R38" s="58"/>
      <c r="S38" s="58"/>
    </row>
    <row r="39" spans="1:19" ht="18" customHeight="1" x14ac:dyDescent="0.15">
      <c r="B39" s="179" t="s">
        <v>150</v>
      </c>
      <c r="C39" s="180"/>
      <c r="D39" s="180"/>
      <c r="E39" s="181"/>
      <c r="F39" s="58">
        <v>2</v>
      </c>
      <c r="G39" s="58" t="s">
        <v>126</v>
      </c>
      <c r="H39" s="58" t="s">
        <v>126</v>
      </c>
      <c r="I39" s="58"/>
      <c r="J39" s="109"/>
      <c r="K39" s="110"/>
      <c r="L39" s="110"/>
      <c r="M39" s="110"/>
      <c r="N39" s="110"/>
      <c r="O39" s="111"/>
      <c r="P39" s="58"/>
      <c r="Q39" s="58"/>
      <c r="R39" s="58"/>
      <c r="S39" s="58"/>
    </row>
    <row r="40" spans="1:19" ht="18" customHeight="1" x14ac:dyDescent="0.15">
      <c r="B40" s="179" t="s">
        <v>151</v>
      </c>
      <c r="C40" s="180"/>
      <c r="D40" s="180"/>
      <c r="E40" s="181"/>
      <c r="F40" s="58">
        <v>1</v>
      </c>
      <c r="G40" s="58" t="s">
        <v>126</v>
      </c>
      <c r="H40" s="58"/>
      <c r="I40" s="58" t="s">
        <v>126</v>
      </c>
      <c r="J40" s="109"/>
      <c r="K40" s="110"/>
      <c r="L40" s="110"/>
      <c r="M40" s="110"/>
      <c r="N40" s="110"/>
      <c r="O40" s="111"/>
      <c r="P40" s="58"/>
      <c r="Q40" s="58"/>
      <c r="R40" s="58"/>
      <c r="S40" s="58"/>
    </row>
    <row r="41" spans="1:19" ht="18" customHeight="1" x14ac:dyDescent="0.15">
      <c r="B41" s="179" t="s">
        <v>152</v>
      </c>
      <c r="C41" s="180"/>
      <c r="D41" s="180"/>
      <c r="E41" s="181"/>
      <c r="F41" s="58">
        <v>1</v>
      </c>
      <c r="G41" s="58" t="s">
        <v>126</v>
      </c>
      <c r="H41" s="58" t="s">
        <v>126</v>
      </c>
      <c r="I41" s="58"/>
      <c r="J41" s="109"/>
      <c r="K41" s="110"/>
      <c r="L41" s="110"/>
      <c r="M41" s="110"/>
      <c r="N41" s="110"/>
      <c r="O41" s="111"/>
      <c r="P41" s="58"/>
      <c r="Q41" s="58"/>
      <c r="R41" s="58"/>
      <c r="S41" s="58"/>
    </row>
    <row r="42" spans="1:19" ht="18" customHeight="1" x14ac:dyDescent="0.15">
      <c r="B42" s="115" t="s">
        <v>200</v>
      </c>
      <c r="C42" s="116"/>
      <c r="D42" s="116"/>
      <c r="E42" s="117"/>
      <c r="F42" s="58">
        <v>2</v>
      </c>
      <c r="G42" s="58" t="s">
        <v>126</v>
      </c>
      <c r="H42" s="60"/>
      <c r="I42" s="60" t="s">
        <v>126</v>
      </c>
      <c r="J42" s="115"/>
      <c r="K42" s="116"/>
      <c r="L42" s="116"/>
      <c r="M42" s="116"/>
      <c r="N42" s="116"/>
      <c r="O42" s="117"/>
      <c r="P42" s="59"/>
      <c r="Q42" s="59"/>
      <c r="R42" s="60"/>
      <c r="S42" s="60"/>
    </row>
    <row r="43" spans="1:19" ht="7.5" customHeight="1" x14ac:dyDescent="0.15">
      <c r="A43" s="48"/>
      <c r="B43" s="45"/>
      <c r="C43" s="45"/>
      <c r="D43" s="48"/>
      <c r="E43" s="48"/>
      <c r="F43" s="48"/>
      <c r="G43" s="48"/>
      <c r="H43" s="45"/>
      <c r="I43" s="45"/>
      <c r="J43" s="45"/>
      <c r="K43" s="45"/>
      <c r="L43" s="45"/>
      <c r="M43" s="45"/>
      <c r="N43" s="45"/>
      <c r="O43" s="45"/>
      <c r="P43" s="45"/>
      <c r="Q43" s="45"/>
      <c r="R43" s="45"/>
      <c r="S43" s="48"/>
    </row>
    <row r="44" spans="1:19" ht="18" customHeight="1" x14ac:dyDescent="0.15">
      <c r="A44" s="118" t="s">
        <v>115</v>
      </c>
      <c r="B44" s="118"/>
      <c r="C44" s="118"/>
      <c r="D44" s="118"/>
      <c r="E44" s="118"/>
      <c r="F44" s="118"/>
      <c r="G44" s="118"/>
      <c r="H44" s="118"/>
      <c r="I44" s="118"/>
      <c r="J44" s="118"/>
      <c r="K44" s="118"/>
      <c r="L44" s="118"/>
      <c r="M44" s="118"/>
      <c r="N44" s="118"/>
      <c r="O44" s="118"/>
      <c r="P44" s="118"/>
      <c r="Q44" s="118"/>
      <c r="R44" s="118"/>
      <c r="S44" s="118"/>
    </row>
    <row r="45" spans="1:19" ht="18" customHeight="1" x14ac:dyDescent="0.15">
      <c r="A45" s="118"/>
      <c r="B45" s="118"/>
      <c r="C45" s="118"/>
      <c r="D45" s="118"/>
      <c r="E45" s="118"/>
      <c r="F45" s="118"/>
      <c r="G45" s="118"/>
      <c r="H45" s="118"/>
      <c r="I45" s="118"/>
      <c r="J45" s="118"/>
      <c r="K45" s="118"/>
      <c r="L45" s="118"/>
      <c r="M45" s="118"/>
      <c r="N45" s="118"/>
      <c r="O45" s="118"/>
      <c r="P45" s="118"/>
      <c r="Q45" s="118"/>
      <c r="R45" s="118"/>
      <c r="S45" s="118"/>
    </row>
    <row r="46" spans="1:19" ht="18" customHeight="1" x14ac:dyDescent="0.15">
      <c r="B46" s="112" t="s">
        <v>53</v>
      </c>
      <c r="C46" s="113"/>
      <c r="D46" s="113"/>
      <c r="E46" s="114"/>
      <c r="F46" s="54" t="s">
        <v>80</v>
      </c>
      <c r="G46" s="55" t="s">
        <v>84</v>
      </c>
      <c r="H46" s="56" t="s">
        <v>73</v>
      </c>
      <c r="I46" s="56" t="s">
        <v>74</v>
      </c>
      <c r="J46" s="112" t="s">
        <v>53</v>
      </c>
      <c r="K46" s="113"/>
      <c r="L46" s="113"/>
      <c r="M46" s="113"/>
      <c r="N46" s="113"/>
      <c r="O46" s="114"/>
      <c r="P46" s="54" t="s">
        <v>80</v>
      </c>
      <c r="Q46" s="55" t="s">
        <v>84</v>
      </c>
      <c r="R46" s="56" t="s">
        <v>73</v>
      </c>
      <c r="S46" s="56" t="s">
        <v>74</v>
      </c>
    </row>
    <row r="47" spans="1:19" ht="18" customHeight="1" x14ac:dyDescent="0.15">
      <c r="A47" s="48"/>
      <c r="B47" s="182" t="s">
        <v>201</v>
      </c>
      <c r="C47" s="183"/>
      <c r="D47" s="183"/>
      <c r="E47" s="184"/>
      <c r="F47" s="57">
        <v>2</v>
      </c>
      <c r="G47" s="57" t="s">
        <v>126</v>
      </c>
      <c r="H47" s="57" t="s">
        <v>126</v>
      </c>
      <c r="I47" s="57" t="s">
        <v>126</v>
      </c>
      <c r="J47" s="106"/>
      <c r="K47" s="107"/>
      <c r="L47" s="107"/>
      <c r="M47" s="107"/>
      <c r="N47" s="107"/>
      <c r="O47" s="108"/>
      <c r="P47" s="57"/>
      <c r="Q47" s="57"/>
      <c r="R47" s="57"/>
      <c r="S47" s="57"/>
    </row>
    <row r="48" spans="1:19" ht="18" customHeight="1" x14ac:dyDescent="0.15">
      <c r="A48" s="48"/>
      <c r="B48" s="179" t="s">
        <v>146</v>
      </c>
      <c r="C48" s="180"/>
      <c r="D48" s="180"/>
      <c r="E48" s="181"/>
      <c r="F48" s="58">
        <v>1</v>
      </c>
      <c r="G48" s="58" t="s">
        <v>126</v>
      </c>
      <c r="H48" s="58" t="s">
        <v>126</v>
      </c>
      <c r="I48" s="58"/>
      <c r="J48" s="109"/>
      <c r="K48" s="110"/>
      <c r="L48" s="110"/>
      <c r="M48" s="110"/>
      <c r="N48" s="110"/>
      <c r="O48" s="111"/>
      <c r="P48" s="58"/>
      <c r="Q48" s="58"/>
      <c r="R48" s="58"/>
      <c r="S48" s="58"/>
    </row>
    <row r="49" spans="1:19" ht="18" customHeight="1" x14ac:dyDescent="0.15">
      <c r="A49" s="48"/>
      <c r="B49" s="179" t="s">
        <v>202</v>
      </c>
      <c r="C49" s="180"/>
      <c r="D49" s="180"/>
      <c r="E49" s="181"/>
      <c r="F49" s="58">
        <v>2</v>
      </c>
      <c r="G49" s="58" t="s">
        <v>126</v>
      </c>
      <c r="H49" s="58" t="s">
        <v>126</v>
      </c>
      <c r="I49" s="58"/>
      <c r="J49" s="109"/>
      <c r="K49" s="110"/>
      <c r="L49" s="110"/>
      <c r="M49" s="110"/>
      <c r="N49" s="110"/>
      <c r="O49" s="111"/>
      <c r="P49" s="58"/>
      <c r="Q49" s="58"/>
      <c r="R49" s="58"/>
      <c r="S49" s="58"/>
    </row>
    <row r="50" spans="1:19" ht="18" customHeight="1" x14ac:dyDescent="0.15">
      <c r="A50" s="48"/>
      <c r="B50" s="179" t="s">
        <v>145</v>
      </c>
      <c r="C50" s="180"/>
      <c r="D50" s="180"/>
      <c r="E50" s="181"/>
      <c r="F50" s="58">
        <v>2</v>
      </c>
      <c r="G50" s="58" t="s">
        <v>126</v>
      </c>
      <c r="H50" s="58" t="s">
        <v>126</v>
      </c>
      <c r="I50" s="58" t="s">
        <v>126</v>
      </c>
      <c r="J50" s="109"/>
      <c r="K50" s="110"/>
      <c r="L50" s="110"/>
      <c r="M50" s="110"/>
      <c r="N50" s="110"/>
      <c r="O50" s="111"/>
      <c r="P50" s="58"/>
      <c r="Q50" s="58"/>
      <c r="R50" s="58"/>
      <c r="S50" s="58"/>
    </row>
    <row r="51" spans="1:19" ht="18" customHeight="1" x14ac:dyDescent="0.15">
      <c r="A51" s="48"/>
      <c r="B51" s="179" t="s">
        <v>203</v>
      </c>
      <c r="C51" s="180"/>
      <c r="D51" s="180"/>
      <c r="E51" s="181"/>
      <c r="F51" s="58">
        <v>2</v>
      </c>
      <c r="G51" s="58" t="s">
        <v>126</v>
      </c>
      <c r="H51" s="58" t="s">
        <v>126</v>
      </c>
      <c r="I51" s="58"/>
      <c r="J51" s="109"/>
      <c r="K51" s="110"/>
      <c r="L51" s="110"/>
      <c r="M51" s="110"/>
      <c r="N51" s="110"/>
      <c r="O51" s="111"/>
      <c r="P51" s="58"/>
      <c r="Q51" s="58"/>
      <c r="R51" s="58"/>
      <c r="S51" s="58"/>
    </row>
    <row r="52" spans="1:19" ht="18" customHeight="1" x14ac:dyDescent="0.15">
      <c r="A52" s="48"/>
      <c r="B52" s="109"/>
      <c r="C52" s="110"/>
      <c r="D52" s="110"/>
      <c r="E52" s="111"/>
      <c r="F52" s="58"/>
      <c r="G52" s="58"/>
      <c r="H52" s="58"/>
      <c r="I52" s="58"/>
      <c r="J52" s="109"/>
      <c r="K52" s="110"/>
      <c r="L52" s="110"/>
      <c r="M52" s="110"/>
      <c r="N52" s="110"/>
      <c r="O52" s="111"/>
      <c r="P52" s="58"/>
      <c r="Q52" s="58"/>
      <c r="R52" s="58"/>
      <c r="S52" s="58"/>
    </row>
    <row r="53" spans="1:19" ht="18" customHeight="1" x14ac:dyDescent="0.15">
      <c r="A53" s="48"/>
      <c r="B53" s="115"/>
      <c r="C53" s="116"/>
      <c r="D53" s="116"/>
      <c r="E53" s="117"/>
      <c r="F53" s="59"/>
      <c r="G53" s="59"/>
      <c r="H53" s="60"/>
      <c r="I53" s="60"/>
      <c r="J53" s="115"/>
      <c r="K53" s="116"/>
      <c r="L53" s="116"/>
      <c r="M53" s="116"/>
      <c r="N53" s="116"/>
      <c r="O53" s="117"/>
      <c r="P53" s="59"/>
      <c r="Q53" s="59"/>
      <c r="R53" s="60"/>
      <c r="S53" s="60"/>
    </row>
    <row r="54" spans="1:19" ht="7.5" customHeight="1" x14ac:dyDescent="0.15">
      <c r="B54" s="61"/>
      <c r="C54" s="61"/>
      <c r="D54" s="61"/>
      <c r="E54" s="61"/>
      <c r="F54" s="61"/>
      <c r="G54" s="61"/>
      <c r="H54" s="61"/>
      <c r="I54" s="61"/>
      <c r="J54" s="61"/>
      <c r="K54" s="61"/>
      <c r="L54" s="61"/>
      <c r="M54" s="61"/>
      <c r="N54" s="61"/>
      <c r="O54" s="61"/>
      <c r="P54" s="61"/>
      <c r="Q54" s="61"/>
      <c r="R54" s="61"/>
    </row>
    <row r="55" spans="1:19" ht="18" customHeight="1" x14ac:dyDescent="0.15">
      <c r="A55" s="118" t="s">
        <v>116</v>
      </c>
      <c r="B55" s="118"/>
      <c r="C55" s="118"/>
      <c r="D55" s="118"/>
      <c r="E55" s="118"/>
      <c r="F55" s="118"/>
      <c r="G55" s="118"/>
      <c r="H55" s="118"/>
      <c r="I55" s="118"/>
      <c r="J55" s="118"/>
      <c r="K55" s="118"/>
      <c r="L55" s="118"/>
      <c r="M55" s="118"/>
      <c r="N55" s="118"/>
      <c r="O55" s="118"/>
      <c r="P55" s="118"/>
      <c r="Q55" s="118"/>
      <c r="R55" s="118"/>
      <c r="S55" s="118"/>
    </row>
    <row r="56" spans="1:19" ht="18" customHeight="1" x14ac:dyDescent="0.15">
      <c r="A56" s="118"/>
      <c r="B56" s="118"/>
      <c r="C56" s="118"/>
      <c r="D56" s="118"/>
      <c r="E56" s="118"/>
      <c r="F56" s="118"/>
      <c r="G56" s="118"/>
      <c r="H56" s="118"/>
      <c r="I56" s="118"/>
      <c r="J56" s="118"/>
      <c r="K56" s="118"/>
      <c r="L56" s="118"/>
      <c r="M56" s="118"/>
      <c r="N56" s="118"/>
      <c r="O56" s="118"/>
      <c r="P56" s="118"/>
      <c r="Q56" s="118"/>
      <c r="R56" s="118"/>
      <c r="S56" s="118"/>
    </row>
    <row r="57" spans="1:19" ht="18" customHeight="1" x14ac:dyDescent="0.15">
      <c r="B57" s="112" t="s">
        <v>53</v>
      </c>
      <c r="C57" s="113"/>
      <c r="D57" s="113"/>
      <c r="E57" s="114"/>
      <c r="F57" s="54" t="s">
        <v>80</v>
      </c>
      <c r="G57" s="55" t="s">
        <v>84</v>
      </c>
      <c r="H57" s="56" t="s">
        <v>58</v>
      </c>
      <c r="I57" s="56" t="s">
        <v>60</v>
      </c>
      <c r="J57" s="112" t="s">
        <v>53</v>
      </c>
      <c r="K57" s="113"/>
      <c r="L57" s="113"/>
      <c r="M57" s="113"/>
      <c r="N57" s="113"/>
      <c r="O57" s="114"/>
      <c r="P57" s="54" t="s">
        <v>80</v>
      </c>
      <c r="Q57" s="55" t="s">
        <v>84</v>
      </c>
      <c r="R57" s="56" t="s">
        <v>58</v>
      </c>
      <c r="S57" s="56" t="s">
        <v>60</v>
      </c>
    </row>
    <row r="58" spans="1:19" ht="18" customHeight="1" x14ac:dyDescent="0.15">
      <c r="A58" s="48"/>
      <c r="B58" s="182" t="s">
        <v>145</v>
      </c>
      <c r="C58" s="183"/>
      <c r="D58" s="183"/>
      <c r="E58" s="184"/>
      <c r="F58" s="58">
        <v>2</v>
      </c>
      <c r="G58" s="58" t="s">
        <v>126</v>
      </c>
      <c r="H58" s="57"/>
      <c r="I58" s="57" t="s">
        <v>126</v>
      </c>
      <c r="J58" s="106"/>
      <c r="K58" s="107"/>
      <c r="L58" s="107"/>
      <c r="M58" s="107"/>
      <c r="N58" s="107"/>
      <c r="O58" s="108"/>
      <c r="P58" s="57"/>
      <c r="Q58" s="57"/>
      <c r="R58" s="57"/>
      <c r="S58" s="57"/>
    </row>
    <row r="59" spans="1:19" ht="18" customHeight="1" x14ac:dyDescent="0.15">
      <c r="A59" s="48"/>
      <c r="B59" s="179" t="s">
        <v>202</v>
      </c>
      <c r="C59" s="180"/>
      <c r="D59" s="180"/>
      <c r="E59" s="181"/>
      <c r="F59" s="58">
        <v>2</v>
      </c>
      <c r="G59" s="58" t="s">
        <v>126</v>
      </c>
      <c r="H59" s="58" t="s">
        <v>126</v>
      </c>
      <c r="I59" s="58"/>
      <c r="J59" s="109"/>
      <c r="K59" s="110"/>
      <c r="L59" s="110"/>
      <c r="M59" s="110"/>
      <c r="N59" s="110"/>
      <c r="O59" s="111"/>
      <c r="P59" s="58"/>
      <c r="Q59" s="58"/>
      <c r="R59" s="58"/>
      <c r="S59" s="58"/>
    </row>
    <row r="60" spans="1:19" ht="18" customHeight="1" x14ac:dyDescent="0.15">
      <c r="A60" s="48"/>
      <c r="B60" s="71" t="s">
        <v>149</v>
      </c>
      <c r="C60" s="72"/>
      <c r="D60" s="72"/>
      <c r="E60" s="73"/>
      <c r="F60" s="58">
        <v>1</v>
      </c>
      <c r="G60" s="58" t="s">
        <v>126</v>
      </c>
      <c r="H60" s="58" t="s">
        <v>126</v>
      </c>
      <c r="I60" s="58"/>
      <c r="J60" s="109"/>
      <c r="K60" s="110"/>
      <c r="L60" s="110"/>
      <c r="M60" s="110"/>
      <c r="N60" s="110"/>
      <c r="O60" s="111"/>
      <c r="P60" s="58"/>
      <c r="Q60" s="58"/>
      <c r="R60" s="58"/>
      <c r="S60" s="58"/>
    </row>
    <row r="61" spans="1:19" ht="18" customHeight="1" x14ac:dyDescent="0.15">
      <c r="A61" s="48"/>
      <c r="B61" s="179" t="s">
        <v>153</v>
      </c>
      <c r="C61" s="180"/>
      <c r="D61" s="180"/>
      <c r="E61" s="181"/>
      <c r="F61" s="58">
        <v>1</v>
      </c>
      <c r="G61" s="58" t="s">
        <v>126</v>
      </c>
      <c r="H61" s="58"/>
      <c r="I61" s="58" t="s">
        <v>126</v>
      </c>
      <c r="J61" s="109"/>
      <c r="K61" s="110"/>
      <c r="L61" s="110"/>
      <c r="M61" s="110"/>
      <c r="N61" s="110"/>
      <c r="O61" s="111"/>
      <c r="P61" s="58"/>
      <c r="Q61" s="58"/>
      <c r="R61" s="58"/>
      <c r="S61" s="58"/>
    </row>
    <row r="62" spans="1:19" ht="18" customHeight="1" x14ac:dyDescent="0.15">
      <c r="A62" s="48"/>
      <c r="B62" s="179" t="s">
        <v>154</v>
      </c>
      <c r="C62" s="180"/>
      <c r="D62" s="180"/>
      <c r="E62" s="181"/>
      <c r="F62" s="58">
        <v>1</v>
      </c>
      <c r="G62" s="58" t="s">
        <v>126</v>
      </c>
      <c r="H62" s="58"/>
      <c r="I62" s="58" t="s">
        <v>126</v>
      </c>
      <c r="J62" s="109"/>
      <c r="K62" s="110"/>
      <c r="L62" s="110"/>
      <c r="M62" s="110"/>
      <c r="N62" s="110"/>
      <c r="O62" s="111"/>
      <c r="P62" s="58"/>
      <c r="Q62" s="58"/>
      <c r="R62" s="58"/>
      <c r="S62" s="58"/>
    </row>
    <row r="63" spans="1:19" ht="18" customHeight="1" x14ac:dyDescent="0.15">
      <c r="A63" s="48"/>
      <c r="B63" s="109"/>
      <c r="C63" s="110"/>
      <c r="D63" s="110"/>
      <c r="E63" s="111"/>
      <c r="F63" s="58"/>
      <c r="G63" s="58"/>
      <c r="H63" s="58"/>
      <c r="I63" s="58"/>
      <c r="J63" s="109"/>
      <c r="K63" s="110"/>
      <c r="L63" s="110"/>
      <c r="M63" s="110"/>
      <c r="N63" s="110"/>
      <c r="O63" s="111"/>
      <c r="P63" s="58"/>
      <c r="Q63" s="58"/>
      <c r="R63" s="58"/>
      <c r="S63" s="58"/>
    </row>
    <row r="64" spans="1:19" ht="18" customHeight="1" x14ac:dyDescent="0.15">
      <c r="A64" s="48"/>
      <c r="B64" s="115"/>
      <c r="C64" s="116"/>
      <c r="D64" s="116"/>
      <c r="E64" s="117"/>
      <c r="F64" s="59"/>
      <c r="G64" s="59"/>
      <c r="H64" s="60"/>
      <c r="I64" s="60"/>
      <c r="J64" s="115"/>
      <c r="K64" s="116"/>
      <c r="L64" s="116"/>
      <c r="M64" s="116"/>
      <c r="N64" s="116"/>
      <c r="O64" s="117"/>
      <c r="P64" s="59"/>
      <c r="Q64" s="59"/>
      <c r="R64" s="60"/>
      <c r="S64" s="60"/>
    </row>
    <row r="65" spans="1:19" ht="7.5" customHeight="1" x14ac:dyDescent="0.15">
      <c r="B65" s="61"/>
      <c r="C65" s="61"/>
      <c r="D65" s="61"/>
      <c r="E65" s="61"/>
      <c r="F65" s="61"/>
      <c r="G65" s="61"/>
      <c r="H65" s="61"/>
      <c r="I65" s="61"/>
      <c r="J65" s="61"/>
      <c r="K65" s="61"/>
      <c r="L65" s="61"/>
      <c r="M65" s="61"/>
      <c r="N65" s="61"/>
      <c r="O65" s="61"/>
      <c r="P65" s="61"/>
      <c r="Q65" s="61"/>
      <c r="R65" s="61"/>
    </row>
    <row r="66" spans="1:19" ht="18" customHeight="1" x14ac:dyDescent="0.15">
      <c r="A66" s="118" t="s">
        <v>117</v>
      </c>
      <c r="B66" s="118"/>
      <c r="C66" s="118"/>
      <c r="D66" s="118"/>
      <c r="E66" s="118"/>
      <c r="F66" s="118"/>
      <c r="G66" s="118"/>
      <c r="H66" s="118"/>
      <c r="I66" s="118"/>
      <c r="J66" s="118"/>
      <c r="K66" s="118"/>
      <c r="L66" s="118"/>
      <c r="M66" s="118"/>
      <c r="N66" s="118"/>
      <c r="O66" s="118"/>
      <c r="P66" s="118"/>
      <c r="Q66" s="118"/>
      <c r="R66" s="118"/>
      <c r="S66" s="118"/>
    </row>
    <row r="67" spans="1:19" ht="18" customHeight="1" x14ac:dyDescent="0.15">
      <c r="A67" s="118"/>
      <c r="B67" s="118"/>
      <c r="C67" s="118"/>
      <c r="D67" s="118"/>
      <c r="E67" s="118"/>
      <c r="F67" s="118"/>
      <c r="G67" s="118"/>
      <c r="H67" s="118"/>
      <c r="I67" s="118"/>
      <c r="J67" s="118"/>
      <c r="K67" s="118"/>
      <c r="L67" s="118"/>
      <c r="M67" s="118"/>
      <c r="N67" s="118"/>
      <c r="O67" s="118"/>
      <c r="P67" s="118"/>
      <c r="Q67" s="118"/>
      <c r="R67" s="118"/>
      <c r="S67" s="118"/>
    </row>
    <row r="68" spans="1:19" ht="18" customHeight="1" x14ac:dyDescent="0.15">
      <c r="B68" s="112" t="s">
        <v>53</v>
      </c>
      <c r="C68" s="113"/>
      <c r="D68" s="113"/>
      <c r="E68" s="54" t="s">
        <v>80</v>
      </c>
      <c r="F68" s="55" t="s">
        <v>84</v>
      </c>
      <c r="G68" s="56" t="s">
        <v>101</v>
      </c>
      <c r="H68" s="56" t="s">
        <v>75</v>
      </c>
      <c r="I68" s="56" t="s">
        <v>76</v>
      </c>
      <c r="J68" s="112" t="s">
        <v>53</v>
      </c>
      <c r="K68" s="113"/>
      <c r="L68" s="113"/>
      <c r="M68" s="113"/>
      <c r="N68" s="114"/>
      <c r="O68" s="54" t="s">
        <v>80</v>
      </c>
      <c r="P68" s="55" t="s">
        <v>84</v>
      </c>
      <c r="Q68" s="56" t="s">
        <v>101</v>
      </c>
      <c r="R68" s="56" t="s">
        <v>75</v>
      </c>
      <c r="S68" s="56" t="s">
        <v>76</v>
      </c>
    </row>
    <row r="69" spans="1:19" ht="18" customHeight="1" x14ac:dyDescent="0.15">
      <c r="A69" s="48"/>
      <c r="B69" s="106" t="s">
        <v>201</v>
      </c>
      <c r="C69" s="107"/>
      <c r="D69" s="107"/>
      <c r="E69" s="57">
        <v>2</v>
      </c>
      <c r="F69" s="57" t="s">
        <v>126</v>
      </c>
      <c r="G69" s="57" t="s">
        <v>126</v>
      </c>
      <c r="H69" s="57"/>
      <c r="I69" s="57" t="s">
        <v>126</v>
      </c>
      <c r="J69" s="106"/>
      <c r="K69" s="107"/>
      <c r="L69" s="107"/>
      <c r="M69" s="107"/>
      <c r="N69" s="108"/>
      <c r="O69" s="57"/>
      <c r="P69" s="57"/>
      <c r="Q69" s="57"/>
      <c r="R69" s="57"/>
      <c r="S69" s="57"/>
    </row>
    <row r="70" spans="1:19" ht="18" customHeight="1" x14ac:dyDescent="0.15">
      <c r="A70" s="48"/>
      <c r="B70" s="109" t="s">
        <v>146</v>
      </c>
      <c r="C70" s="110"/>
      <c r="D70" s="110"/>
      <c r="E70" s="58">
        <v>1</v>
      </c>
      <c r="F70" s="58" t="s">
        <v>126</v>
      </c>
      <c r="G70" s="74"/>
      <c r="H70" s="58" t="s">
        <v>126</v>
      </c>
      <c r="I70" s="58" t="s">
        <v>147</v>
      </c>
      <c r="J70" s="109"/>
      <c r="K70" s="110"/>
      <c r="L70" s="110"/>
      <c r="M70" s="110"/>
      <c r="N70" s="111"/>
      <c r="O70" s="58"/>
      <c r="P70" s="58"/>
      <c r="Q70" s="58"/>
      <c r="R70" s="58"/>
      <c r="S70" s="58"/>
    </row>
    <row r="71" spans="1:19" ht="18" customHeight="1" x14ac:dyDescent="0.15">
      <c r="A71" s="48"/>
      <c r="B71" s="109" t="s">
        <v>202</v>
      </c>
      <c r="C71" s="110"/>
      <c r="D71" s="110"/>
      <c r="E71" s="58">
        <v>2</v>
      </c>
      <c r="F71" s="58" t="s">
        <v>126</v>
      </c>
      <c r="G71" s="58" t="s">
        <v>126</v>
      </c>
      <c r="H71" s="58"/>
      <c r="I71" s="58"/>
      <c r="J71" s="109"/>
      <c r="K71" s="110"/>
      <c r="L71" s="110"/>
      <c r="M71" s="110"/>
      <c r="N71" s="111"/>
      <c r="O71" s="58"/>
      <c r="P71" s="58"/>
      <c r="Q71" s="58"/>
      <c r="R71" s="58"/>
      <c r="S71" s="58"/>
    </row>
    <row r="72" spans="1:19" ht="18" customHeight="1" x14ac:dyDescent="0.15">
      <c r="A72" s="48"/>
      <c r="B72" s="109"/>
      <c r="C72" s="110"/>
      <c r="D72" s="110"/>
      <c r="E72" s="58"/>
      <c r="F72" s="58"/>
      <c r="G72" s="58"/>
      <c r="H72" s="58"/>
      <c r="I72" s="58"/>
      <c r="J72" s="109"/>
      <c r="K72" s="110"/>
      <c r="L72" s="110"/>
      <c r="M72" s="110"/>
      <c r="N72" s="111"/>
      <c r="O72" s="58"/>
      <c r="P72" s="58"/>
      <c r="Q72" s="58"/>
      <c r="R72" s="58"/>
      <c r="S72" s="58"/>
    </row>
    <row r="73" spans="1:19" ht="18" customHeight="1" x14ac:dyDescent="0.15">
      <c r="A73" s="48"/>
      <c r="B73" s="109"/>
      <c r="C73" s="110"/>
      <c r="D73" s="110"/>
      <c r="E73" s="58"/>
      <c r="F73" s="58"/>
      <c r="G73" s="58"/>
      <c r="H73" s="58"/>
      <c r="I73" s="58"/>
      <c r="J73" s="109"/>
      <c r="K73" s="110"/>
      <c r="L73" s="110"/>
      <c r="M73" s="110"/>
      <c r="N73" s="111"/>
      <c r="O73" s="58"/>
      <c r="P73" s="58"/>
      <c r="Q73" s="58"/>
      <c r="R73" s="58"/>
      <c r="S73" s="58"/>
    </row>
    <row r="74" spans="1:19" ht="18" customHeight="1" x14ac:dyDescent="0.15">
      <c r="A74" s="48"/>
      <c r="B74" s="109"/>
      <c r="C74" s="110"/>
      <c r="D74" s="110"/>
      <c r="E74" s="58"/>
      <c r="F74" s="58"/>
      <c r="G74" s="58"/>
      <c r="H74" s="58"/>
      <c r="I74" s="58"/>
      <c r="J74" s="109"/>
      <c r="K74" s="110"/>
      <c r="L74" s="110"/>
      <c r="M74" s="110"/>
      <c r="N74" s="111"/>
      <c r="O74" s="58"/>
      <c r="P74" s="58"/>
      <c r="Q74" s="58"/>
      <c r="R74" s="58"/>
      <c r="S74" s="58"/>
    </row>
    <row r="75" spans="1:19" ht="18" customHeight="1" x14ac:dyDescent="0.15">
      <c r="A75" s="48"/>
      <c r="B75" s="115"/>
      <c r="C75" s="116"/>
      <c r="D75" s="116"/>
      <c r="E75" s="59"/>
      <c r="F75" s="59"/>
      <c r="G75" s="60"/>
      <c r="H75" s="60"/>
      <c r="I75" s="60"/>
      <c r="J75" s="115"/>
      <c r="K75" s="116"/>
      <c r="L75" s="116"/>
      <c r="M75" s="116"/>
      <c r="N75" s="117"/>
      <c r="O75" s="59"/>
      <c r="P75" s="59"/>
      <c r="Q75" s="60"/>
      <c r="R75" s="60"/>
      <c r="S75" s="60"/>
    </row>
    <row r="76" spans="1:19" ht="7.5" customHeight="1" x14ac:dyDescent="0.15">
      <c r="B76" s="61"/>
      <c r="C76" s="61"/>
      <c r="D76" s="61"/>
      <c r="E76" s="61"/>
      <c r="F76" s="61"/>
      <c r="G76" s="61"/>
      <c r="H76" s="61"/>
      <c r="I76" s="61"/>
      <c r="J76" s="61"/>
      <c r="K76" s="61"/>
      <c r="L76" s="61"/>
      <c r="M76" s="61"/>
      <c r="N76" s="61"/>
      <c r="O76" s="61"/>
      <c r="P76" s="61"/>
      <c r="Q76" s="61"/>
      <c r="R76" s="61"/>
    </row>
    <row r="77" spans="1:19" ht="18" customHeight="1" x14ac:dyDescent="0.15">
      <c r="A77" s="40" t="s">
        <v>118</v>
      </c>
      <c r="H77" s="48"/>
      <c r="I77" s="48"/>
      <c r="J77" s="48"/>
      <c r="K77" s="48"/>
      <c r="L77" s="48"/>
      <c r="M77" s="48"/>
      <c r="N77" s="48"/>
      <c r="O77" s="48"/>
      <c r="P77" s="48"/>
      <c r="Q77" s="48"/>
      <c r="R77" s="48"/>
      <c r="S77" s="48"/>
    </row>
    <row r="78" spans="1:19" ht="18" customHeight="1" x14ac:dyDescent="0.15">
      <c r="B78" s="112" t="s">
        <v>53</v>
      </c>
      <c r="C78" s="113"/>
      <c r="D78" s="113"/>
      <c r="E78" s="114"/>
      <c r="F78" s="112" t="s">
        <v>82</v>
      </c>
      <c r="G78" s="113"/>
      <c r="H78" s="113"/>
      <c r="I78" s="114"/>
      <c r="J78" s="139" t="s">
        <v>53</v>
      </c>
      <c r="K78" s="140"/>
      <c r="L78" s="140"/>
      <c r="M78" s="140"/>
      <c r="N78" s="140"/>
      <c r="O78" s="141"/>
      <c r="P78" s="112" t="s">
        <v>82</v>
      </c>
      <c r="Q78" s="113"/>
      <c r="R78" s="113"/>
      <c r="S78" s="114"/>
    </row>
    <row r="79" spans="1:19" ht="18" customHeight="1" x14ac:dyDescent="0.15">
      <c r="A79" s="48"/>
      <c r="B79" s="106"/>
      <c r="C79" s="107"/>
      <c r="D79" s="107"/>
      <c r="E79" s="108"/>
      <c r="F79" s="133"/>
      <c r="G79" s="134"/>
      <c r="H79" s="134"/>
      <c r="I79" s="135"/>
      <c r="J79" s="106"/>
      <c r="K79" s="107"/>
      <c r="L79" s="107"/>
      <c r="M79" s="107"/>
      <c r="N79" s="107"/>
      <c r="O79" s="108"/>
      <c r="P79" s="133"/>
      <c r="Q79" s="134"/>
      <c r="R79" s="134"/>
      <c r="S79" s="135"/>
    </row>
    <row r="80" spans="1:19" ht="18" customHeight="1" x14ac:dyDescent="0.15">
      <c r="A80" s="48"/>
      <c r="B80" s="109"/>
      <c r="C80" s="110"/>
      <c r="D80" s="110"/>
      <c r="E80" s="111"/>
      <c r="F80" s="136"/>
      <c r="G80" s="137"/>
      <c r="H80" s="137"/>
      <c r="I80" s="138"/>
      <c r="J80" s="109"/>
      <c r="K80" s="110"/>
      <c r="L80" s="110"/>
      <c r="M80" s="110"/>
      <c r="N80" s="110"/>
      <c r="O80" s="111"/>
      <c r="P80" s="136"/>
      <c r="Q80" s="137"/>
      <c r="R80" s="137"/>
      <c r="S80" s="138"/>
    </row>
    <row r="81" spans="1:26" ht="18" customHeight="1" x14ac:dyDescent="0.15">
      <c r="A81" s="48"/>
      <c r="B81" s="109"/>
      <c r="C81" s="110"/>
      <c r="D81" s="110"/>
      <c r="E81" s="111"/>
      <c r="F81" s="136"/>
      <c r="G81" s="137"/>
      <c r="H81" s="137"/>
      <c r="I81" s="138"/>
      <c r="J81" s="109"/>
      <c r="K81" s="110"/>
      <c r="L81" s="110"/>
      <c r="M81" s="110"/>
      <c r="N81" s="110"/>
      <c r="O81" s="111"/>
      <c r="P81" s="136"/>
      <c r="Q81" s="137"/>
      <c r="R81" s="137"/>
      <c r="S81" s="138"/>
    </row>
    <row r="82" spans="1:26" ht="18" customHeight="1" x14ac:dyDescent="0.15">
      <c r="A82" s="48"/>
      <c r="B82" s="109"/>
      <c r="C82" s="110"/>
      <c r="D82" s="110"/>
      <c r="E82" s="111"/>
      <c r="F82" s="136"/>
      <c r="G82" s="137"/>
      <c r="H82" s="137"/>
      <c r="I82" s="138"/>
      <c r="J82" s="109"/>
      <c r="K82" s="110"/>
      <c r="L82" s="110"/>
      <c r="M82" s="110"/>
      <c r="N82" s="110"/>
      <c r="O82" s="111"/>
      <c r="P82" s="136"/>
      <c r="Q82" s="137"/>
      <c r="R82" s="137"/>
      <c r="S82" s="138"/>
    </row>
    <row r="83" spans="1:26" ht="18" customHeight="1" x14ac:dyDescent="0.15">
      <c r="A83" s="48"/>
      <c r="B83" s="109"/>
      <c r="C83" s="110"/>
      <c r="D83" s="110"/>
      <c r="E83" s="111"/>
      <c r="F83" s="136"/>
      <c r="G83" s="137"/>
      <c r="H83" s="137"/>
      <c r="I83" s="138"/>
      <c r="J83" s="109"/>
      <c r="K83" s="110"/>
      <c r="L83" s="110"/>
      <c r="M83" s="110"/>
      <c r="N83" s="110"/>
      <c r="O83" s="111"/>
      <c r="P83" s="136"/>
      <c r="Q83" s="137"/>
      <c r="R83" s="137"/>
      <c r="S83" s="138"/>
    </row>
    <row r="84" spans="1:26" ht="18" customHeight="1" x14ac:dyDescent="0.15">
      <c r="A84" s="48"/>
      <c r="B84" s="109"/>
      <c r="C84" s="110"/>
      <c r="D84" s="110"/>
      <c r="E84" s="111"/>
      <c r="F84" s="136"/>
      <c r="G84" s="137"/>
      <c r="H84" s="137"/>
      <c r="I84" s="138"/>
      <c r="J84" s="109"/>
      <c r="K84" s="110"/>
      <c r="L84" s="110"/>
      <c r="M84" s="110"/>
      <c r="N84" s="110"/>
      <c r="O84" s="111"/>
      <c r="P84" s="136"/>
      <c r="Q84" s="137"/>
      <c r="R84" s="137"/>
      <c r="S84" s="138"/>
    </row>
    <row r="85" spans="1:26" ht="18" customHeight="1" x14ac:dyDescent="0.15">
      <c r="A85" s="48"/>
      <c r="B85" s="115"/>
      <c r="C85" s="116"/>
      <c r="D85" s="116"/>
      <c r="E85" s="117"/>
      <c r="F85" s="145"/>
      <c r="G85" s="146"/>
      <c r="H85" s="146"/>
      <c r="I85" s="147"/>
      <c r="J85" s="115"/>
      <c r="K85" s="116"/>
      <c r="L85" s="116"/>
      <c r="M85" s="116"/>
      <c r="N85" s="116"/>
      <c r="O85" s="117"/>
      <c r="P85" s="145"/>
      <c r="Q85" s="146"/>
      <c r="R85" s="146"/>
      <c r="S85" s="147"/>
    </row>
    <row r="86" spans="1:26" ht="18" customHeight="1" x14ac:dyDescent="0.15">
      <c r="A86" s="48"/>
      <c r="B86" s="45"/>
      <c r="C86" s="45"/>
      <c r="D86" s="45"/>
      <c r="E86" s="45"/>
      <c r="F86" s="64"/>
      <c r="G86" s="64"/>
      <c r="H86" s="64"/>
      <c r="I86" s="64"/>
      <c r="J86" s="45"/>
      <c r="K86" s="45"/>
      <c r="L86" s="45"/>
      <c r="M86" s="45"/>
      <c r="N86" s="45"/>
      <c r="O86" s="45"/>
      <c r="P86" s="64"/>
      <c r="Q86" s="64"/>
      <c r="R86" s="64"/>
      <c r="S86" s="64"/>
    </row>
    <row r="87" spans="1:26" ht="18.75" customHeight="1" x14ac:dyDescent="0.15">
      <c r="A87" s="40" t="s">
        <v>119</v>
      </c>
    </row>
    <row r="88" spans="1:26" ht="18.75" customHeight="1" x14ac:dyDescent="0.15">
      <c r="B88" s="131" t="s">
        <v>54</v>
      </c>
      <c r="C88" s="132"/>
      <c r="D88" s="113" t="s">
        <v>55</v>
      </c>
      <c r="E88" s="113"/>
      <c r="F88" s="113"/>
      <c r="G88" s="113"/>
      <c r="H88" s="113"/>
      <c r="I88" s="113"/>
      <c r="J88" s="113"/>
      <c r="K88" s="113"/>
      <c r="L88" s="113"/>
      <c r="M88" s="113"/>
      <c r="N88" s="113"/>
      <c r="O88" s="113"/>
      <c r="P88" s="113"/>
      <c r="Q88" s="113"/>
      <c r="R88" s="113"/>
      <c r="S88" s="114"/>
    </row>
    <row r="89" spans="1:26" ht="97.5" customHeight="1" x14ac:dyDescent="0.15">
      <c r="B89" s="119" t="s">
        <v>61</v>
      </c>
      <c r="C89" s="65" t="s">
        <v>56</v>
      </c>
      <c r="D89" s="185" t="s">
        <v>217</v>
      </c>
      <c r="E89" s="186"/>
      <c r="F89" s="186"/>
      <c r="G89" s="186"/>
      <c r="H89" s="186"/>
      <c r="I89" s="186"/>
      <c r="J89" s="186"/>
      <c r="K89" s="186"/>
      <c r="L89" s="186"/>
      <c r="M89" s="186"/>
      <c r="N89" s="186"/>
      <c r="O89" s="186"/>
      <c r="P89" s="186"/>
      <c r="Q89" s="186"/>
      <c r="R89" s="186"/>
      <c r="S89" s="187"/>
      <c r="T89" s="75"/>
      <c r="U89" s="75"/>
      <c r="V89" s="75"/>
      <c r="W89" s="75"/>
      <c r="X89" s="75"/>
      <c r="Y89" s="75"/>
      <c r="Z89" s="75"/>
    </row>
    <row r="90" spans="1:26" ht="97.5" customHeight="1" x14ac:dyDescent="0.15">
      <c r="B90" s="120"/>
      <c r="C90" s="66" t="s">
        <v>77</v>
      </c>
      <c r="D90" s="165" t="s">
        <v>218</v>
      </c>
      <c r="E90" s="188"/>
      <c r="F90" s="188"/>
      <c r="G90" s="188"/>
      <c r="H90" s="188"/>
      <c r="I90" s="188"/>
      <c r="J90" s="188"/>
      <c r="K90" s="188"/>
      <c r="L90" s="188"/>
      <c r="M90" s="188"/>
      <c r="N90" s="188"/>
      <c r="O90" s="188"/>
      <c r="P90" s="188"/>
      <c r="Q90" s="188"/>
      <c r="R90" s="188"/>
      <c r="S90" s="189"/>
    </row>
    <row r="91" spans="1:26" ht="97.5" customHeight="1" x14ac:dyDescent="0.15">
      <c r="B91" s="119" t="s">
        <v>62</v>
      </c>
      <c r="C91" s="67" t="s">
        <v>71</v>
      </c>
      <c r="D91" s="122" t="s">
        <v>219</v>
      </c>
      <c r="E91" s="123"/>
      <c r="F91" s="123"/>
      <c r="G91" s="123"/>
      <c r="H91" s="123"/>
      <c r="I91" s="123"/>
      <c r="J91" s="123"/>
      <c r="K91" s="123"/>
      <c r="L91" s="123"/>
      <c r="M91" s="123"/>
      <c r="N91" s="123"/>
      <c r="O91" s="123"/>
      <c r="P91" s="123"/>
      <c r="Q91" s="123"/>
      <c r="R91" s="123"/>
      <c r="S91" s="124"/>
    </row>
    <row r="92" spans="1:26" ht="97.5" customHeight="1" x14ac:dyDescent="0.15">
      <c r="B92" s="121"/>
      <c r="C92" s="68" t="s">
        <v>72</v>
      </c>
      <c r="D92" s="151" t="s">
        <v>220</v>
      </c>
      <c r="E92" s="152"/>
      <c r="F92" s="152"/>
      <c r="G92" s="152"/>
      <c r="H92" s="152"/>
      <c r="I92" s="152"/>
      <c r="J92" s="152"/>
      <c r="K92" s="152"/>
      <c r="L92" s="152"/>
      <c r="M92" s="152"/>
      <c r="N92" s="152"/>
      <c r="O92" s="152"/>
      <c r="P92" s="152"/>
      <c r="Q92" s="152"/>
      <c r="R92" s="152"/>
      <c r="S92" s="153"/>
    </row>
    <row r="93" spans="1:26" ht="132" customHeight="1" x14ac:dyDescent="0.15">
      <c r="B93" s="119" t="s">
        <v>63</v>
      </c>
      <c r="C93" s="67" t="s">
        <v>73</v>
      </c>
      <c r="D93" s="122" t="s">
        <v>221</v>
      </c>
      <c r="E93" s="123"/>
      <c r="F93" s="123"/>
      <c r="G93" s="123"/>
      <c r="H93" s="123"/>
      <c r="I93" s="123"/>
      <c r="J93" s="123"/>
      <c r="K93" s="123"/>
      <c r="L93" s="123"/>
      <c r="M93" s="123"/>
      <c r="N93" s="123"/>
      <c r="O93" s="123"/>
      <c r="P93" s="123"/>
      <c r="Q93" s="123"/>
      <c r="R93" s="123"/>
      <c r="S93" s="124"/>
    </row>
    <row r="94" spans="1:26" ht="97.5" customHeight="1" x14ac:dyDescent="0.15">
      <c r="B94" s="121"/>
      <c r="C94" s="69" t="s">
        <v>74</v>
      </c>
      <c r="D94" s="125" t="s">
        <v>222</v>
      </c>
      <c r="E94" s="126"/>
      <c r="F94" s="126"/>
      <c r="G94" s="126"/>
      <c r="H94" s="126"/>
      <c r="I94" s="126"/>
      <c r="J94" s="126"/>
      <c r="K94" s="126"/>
      <c r="L94" s="126"/>
      <c r="M94" s="126"/>
      <c r="N94" s="126"/>
      <c r="O94" s="126"/>
      <c r="P94" s="126"/>
      <c r="Q94" s="126"/>
      <c r="R94" s="126"/>
      <c r="S94" s="127"/>
    </row>
    <row r="95" spans="1:26" ht="97.5" customHeight="1" x14ac:dyDescent="0.15">
      <c r="B95" s="119" t="s">
        <v>78</v>
      </c>
      <c r="C95" s="65" t="s">
        <v>58</v>
      </c>
      <c r="D95" s="128" t="s">
        <v>223</v>
      </c>
      <c r="E95" s="129"/>
      <c r="F95" s="129"/>
      <c r="G95" s="129"/>
      <c r="H95" s="129"/>
      <c r="I95" s="129"/>
      <c r="J95" s="129"/>
      <c r="K95" s="129"/>
      <c r="L95" s="129"/>
      <c r="M95" s="129"/>
      <c r="N95" s="129"/>
      <c r="O95" s="129"/>
      <c r="P95" s="129"/>
      <c r="Q95" s="129"/>
      <c r="R95" s="129"/>
      <c r="S95" s="130"/>
    </row>
    <row r="96" spans="1:26" ht="97.5" customHeight="1" x14ac:dyDescent="0.15">
      <c r="B96" s="121"/>
      <c r="C96" s="68" t="s">
        <v>60</v>
      </c>
      <c r="D96" s="151" t="s">
        <v>224</v>
      </c>
      <c r="E96" s="152"/>
      <c r="F96" s="152"/>
      <c r="G96" s="152"/>
      <c r="H96" s="152"/>
      <c r="I96" s="152"/>
      <c r="J96" s="152"/>
      <c r="K96" s="152"/>
      <c r="L96" s="152"/>
      <c r="M96" s="152"/>
      <c r="N96" s="152"/>
      <c r="O96" s="152"/>
      <c r="P96" s="152"/>
      <c r="Q96" s="152"/>
      <c r="R96" s="152"/>
      <c r="S96" s="153"/>
    </row>
    <row r="97" spans="1:19" ht="164.45" customHeight="1" x14ac:dyDescent="0.15">
      <c r="B97" s="119" t="s">
        <v>79</v>
      </c>
      <c r="C97" s="67" t="s">
        <v>57</v>
      </c>
      <c r="D97" s="190" t="s">
        <v>225</v>
      </c>
      <c r="E97" s="191"/>
      <c r="F97" s="191"/>
      <c r="G97" s="191"/>
      <c r="H97" s="191"/>
      <c r="I97" s="191"/>
      <c r="J97" s="191"/>
      <c r="K97" s="191"/>
      <c r="L97" s="191"/>
      <c r="M97" s="191"/>
      <c r="N97" s="191"/>
      <c r="O97" s="191"/>
      <c r="P97" s="191"/>
      <c r="Q97" s="191"/>
      <c r="R97" s="191"/>
      <c r="S97" s="192"/>
    </row>
    <row r="98" spans="1:19" ht="97.5" customHeight="1" x14ac:dyDescent="0.15">
      <c r="B98" s="120"/>
      <c r="C98" s="70" t="s">
        <v>75</v>
      </c>
      <c r="D98" s="193" t="s">
        <v>226</v>
      </c>
      <c r="E98" s="194"/>
      <c r="F98" s="194"/>
      <c r="G98" s="194"/>
      <c r="H98" s="194"/>
      <c r="I98" s="194"/>
      <c r="J98" s="194"/>
      <c r="K98" s="194"/>
      <c r="L98" s="194"/>
      <c r="M98" s="194"/>
      <c r="N98" s="194"/>
      <c r="O98" s="194"/>
      <c r="P98" s="194"/>
      <c r="Q98" s="194"/>
      <c r="R98" s="194"/>
      <c r="S98" s="195"/>
    </row>
    <row r="99" spans="1:19" ht="97.5" customHeight="1" x14ac:dyDescent="0.15">
      <c r="B99" s="121"/>
      <c r="C99" s="69" t="s">
        <v>76</v>
      </c>
      <c r="D99" s="125" t="s">
        <v>227</v>
      </c>
      <c r="E99" s="126"/>
      <c r="F99" s="126"/>
      <c r="G99" s="126"/>
      <c r="H99" s="126"/>
      <c r="I99" s="126"/>
      <c r="J99" s="126"/>
      <c r="K99" s="126"/>
      <c r="L99" s="126"/>
      <c r="M99" s="126"/>
      <c r="N99" s="126"/>
      <c r="O99" s="126"/>
      <c r="P99" s="126"/>
      <c r="Q99" s="126"/>
      <c r="R99" s="126"/>
      <c r="S99" s="127"/>
    </row>
    <row r="100" spans="1:19" ht="6" customHeight="1" x14ac:dyDescent="0.15"/>
    <row r="101" spans="1:19" ht="18.75" customHeight="1" x14ac:dyDescent="0.15">
      <c r="A101" s="40" t="s">
        <v>120</v>
      </c>
    </row>
    <row r="102" spans="1:19" ht="81.75" customHeight="1" x14ac:dyDescent="0.15">
      <c r="B102" s="142" t="s">
        <v>184</v>
      </c>
      <c r="C102" s="143"/>
      <c r="D102" s="143"/>
      <c r="E102" s="143"/>
      <c r="F102" s="143"/>
      <c r="G102" s="143"/>
      <c r="H102" s="143"/>
      <c r="I102" s="143"/>
      <c r="J102" s="143"/>
      <c r="K102" s="143"/>
      <c r="L102" s="143"/>
      <c r="M102" s="143"/>
      <c r="N102" s="143"/>
      <c r="O102" s="143"/>
      <c r="P102" s="143"/>
      <c r="Q102" s="143"/>
      <c r="R102" s="143"/>
      <c r="S102" s="144"/>
    </row>
    <row r="110" spans="1:19" ht="18" customHeight="1" x14ac:dyDescent="0.15"/>
  </sheetData>
  <mergeCells count="144">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M2"/>
    <mergeCell ref="C3:M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0E35A56D-B058-4311-8ED5-B06144DF1435}">
      <formula1>$V$14:$V$16</formula1>
    </dataValidation>
    <dataValidation type="list" allowBlank="1" showInputMessage="1" showErrorMessage="1" sqref="F79:F86 P79:P86 G79:I80 G83:I86 Q83:S86 Q79:S80" xr:uid="{FCFC215B-DA61-440F-9985-BC9F29E5D17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6A9F0C0D-E26B-45CB-B210-EBC87397CDA7}">
      <formula1>"学部・学科によって、修了要件は相違する,学部・学科によって、修了要件は相違しない"</formula1>
    </dataValidation>
    <dataValidation type="list" allowBlank="1" showInputMessage="1" showErrorMessage="1" sqref="S32 S43 D32:G32 D43:G43" xr:uid="{CCF9F198-1BCC-4A21-BC7F-AE4548699670}">
      <formula1>"全学開講,一部開講"</formula1>
    </dataValidation>
    <dataValidation type="list" allowBlank="1" showInputMessage="1" showErrorMessage="1" sqref="P69:S75 Q25:S31 G25:I31 Q36:S42 G36:I42 Q47:S53 G47:I53 Q58:S64 G58:I64 F69:F75 G72:I75 G71 G69:H69 I69:I71 H70:H71" xr:uid="{098E1D88-7D17-4B82-ADD9-11C6F32FF774}">
      <formula1>"○"</formula1>
    </dataValidation>
  </dataValidations>
  <printOptions horizontalCentered="1"/>
  <pageMargins left="0.78740157480314965" right="0.78740157480314965" top="0.78740157480314965" bottom="0.19685039370078741" header="0.31496062992125984" footer="0.19685039370078741"/>
  <pageSetup paperSize="9" scale="70" fitToHeight="0" orientation="portrait" r:id="rId1"/>
  <headerFooter>
    <oddHeader>&amp;C数理・データサイエンス・AI教育プログラム認定制度【リテラシーレベル】</oddHeader>
  </headerFooter>
  <rowBreaks count="2" manualBreakCount="2">
    <brk id="65" max="19" man="1"/>
    <brk id="94" max="1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9669D-1405-4CCD-A9FA-EB817E972158}">
  <sheetPr>
    <pageSetUpPr fitToPage="1"/>
  </sheetPr>
  <dimension ref="A1:V110"/>
  <sheetViews>
    <sheetView showZeros="0" view="pageBreakPreview" zoomScaleNormal="100" zoomScaleSheetLayoutView="100" workbookViewId="0"/>
  </sheetViews>
  <sheetFormatPr defaultColWidth="9" defaultRowHeight="18.75" customHeight="1" x14ac:dyDescent="0.15"/>
  <cols>
    <col min="1" max="1" width="2.5" style="40" customWidth="1"/>
    <col min="2" max="2" width="16.5" style="40" customWidth="1"/>
    <col min="3" max="19" width="5.625" style="40" customWidth="1"/>
    <col min="20" max="20" width="9" style="40"/>
    <col min="21" max="21" width="3.625" style="40" customWidth="1"/>
    <col min="22" max="22" width="48.625" style="40" hidden="1" customWidth="1"/>
    <col min="23" max="16384" width="9" style="40"/>
  </cols>
  <sheetData>
    <row r="1" spans="1:22" ht="18.75" customHeight="1" x14ac:dyDescent="0.15">
      <c r="R1" s="157" t="s">
        <v>185</v>
      </c>
      <c r="S1" s="157"/>
      <c r="T1" s="42" t="s">
        <v>109</v>
      </c>
    </row>
    <row r="2" spans="1:22" ht="18.75" customHeight="1" x14ac:dyDescent="0.15">
      <c r="B2" s="43" t="s">
        <v>108</v>
      </c>
      <c r="C2" s="172" t="s">
        <v>127</v>
      </c>
      <c r="D2" s="172"/>
      <c r="E2" s="172"/>
      <c r="F2" s="172"/>
      <c r="G2" s="172"/>
      <c r="H2" s="172"/>
      <c r="I2" s="172"/>
      <c r="J2" s="172"/>
      <c r="K2" s="172"/>
      <c r="L2" s="172"/>
      <c r="M2" s="172"/>
      <c r="N2" s="45"/>
      <c r="O2" s="45"/>
      <c r="P2" s="45"/>
      <c r="Q2" s="45"/>
      <c r="R2" s="45"/>
      <c r="S2" s="45"/>
    </row>
    <row r="3" spans="1:22" ht="18.75" customHeight="1" x14ac:dyDescent="0.15">
      <c r="B3" s="43" t="s">
        <v>102</v>
      </c>
      <c r="C3" s="172" t="s">
        <v>128</v>
      </c>
      <c r="D3" s="172"/>
      <c r="E3" s="172"/>
      <c r="F3" s="172"/>
      <c r="G3" s="172"/>
      <c r="H3" s="172"/>
      <c r="I3" s="172"/>
      <c r="J3" s="172"/>
      <c r="K3" s="172"/>
      <c r="L3" s="172"/>
      <c r="M3" s="172"/>
      <c r="N3" s="45"/>
      <c r="O3" s="45"/>
      <c r="P3" s="45"/>
      <c r="Q3" s="45"/>
      <c r="R3" s="45"/>
      <c r="S3" s="45"/>
    </row>
    <row r="4" spans="1:22" ht="15" customHeight="1" x14ac:dyDescent="0.15">
      <c r="K4" s="41"/>
      <c r="L4" s="46"/>
      <c r="M4" s="46"/>
      <c r="N4" s="46"/>
      <c r="O4" s="46"/>
      <c r="P4" s="46"/>
      <c r="Q4" s="46"/>
      <c r="R4" s="46"/>
      <c r="S4" s="46"/>
    </row>
    <row r="5" spans="1:22" ht="18" customHeight="1" x14ac:dyDescent="0.15">
      <c r="A5" s="161" t="s">
        <v>38</v>
      </c>
      <c r="B5" s="161"/>
      <c r="C5" s="161"/>
      <c r="D5" s="161"/>
      <c r="E5" s="161"/>
      <c r="F5" s="161"/>
      <c r="G5" s="161"/>
      <c r="H5" s="161"/>
      <c r="I5" s="161"/>
      <c r="J5" s="161"/>
      <c r="K5" s="161"/>
      <c r="L5" s="161"/>
      <c r="M5" s="161"/>
      <c r="N5" s="161"/>
      <c r="O5" s="161"/>
      <c r="P5" s="161"/>
      <c r="Q5" s="161"/>
      <c r="R5" s="161"/>
      <c r="S5" s="161"/>
    </row>
    <row r="6" spans="1:22" ht="15" customHeight="1" x14ac:dyDescent="0.15">
      <c r="B6" s="48"/>
      <c r="C6" s="48"/>
      <c r="D6" s="48"/>
      <c r="E6" s="48"/>
      <c r="F6" s="48"/>
      <c r="G6" s="48"/>
      <c r="H6" s="48"/>
      <c r="I6" s="48"/>
      <c r="J6" s="48"/>
      <c r="K6" s="48"/>
      <c r="L6" s="48"/>
      <c r="M6" s="48"/>
      <c r="N6" s="48"/>
      <c r="O6" s="48"/>
      <c r="P6" s="48"/>
      <c r="Q6" s="48"/>
      <c r="R6" s="48"/>
      <c r="S6" s="48"/>
    </row>
    <row r="7" spans="1:22" ht="18" customHeight="1" x14ac:dyDescent="0.15">
      <c r="A7" s="40" t="s">
        <v>123</v>
      </c>
      <c r="C7" s="48"/>
      <c r="J7" s="49" t="s">
        <v>107</v>
      </c>
      <c r="K7" s="169" t="s">
        <v>125</v>
      </c>
      <c r="L7" s="170"/>
      <c r="M7" s="170"/>
      <c r="N7" s="170"/>
      <c r="O7" s="170"/>
      <c r="P7" s="170"/>
      <c r="Q7" s="170"/>
      <c r="R7" s="170"/>
      <c r="S7" s="171"/>
    </row>
    <row r="8" spans="1:22" ht="6" customHeight="1" x14ac:dyDescent="0.15">
      <c r="B8" s="48"/>
      <c r="C8" s="48"/>
      <c r="D8" s="48"/>
      <c r="E8" s="48"/>
      <c r="F8" s="48"/>
      <c r="G8" s="48"/>
      <c r="H8" s="48"/>
      <c r="I8" s="48"/>
      <c r="J8" s="48"/>
      <c r="K8" s="50"/>
      <c r="L8" s="48"/>
      <c r="M8" s="48"/>
      <c r="N8" s="48"/>
      <c r="O8" s="48"/>
      <c r="P8" s="48"/>
      <c r="Q8" s="48"/>
      <c r="R8" s="48"/>
      <c r="S8" s="48"/>
    </row>
    <row r="9" spans="1:22" ht="18" customHeight="1" x14ac:dyDescent="0.15">
      <c r="B9" s="173" t="s">
        <v>186</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48"/>
      <c r="C11" s="48"/>
      <c r="D11" s="48"/>
      <c r="E11" s="48"/>
      <c r="F11" s="48"/>
      <c r="G11" s="48"/>
      <c r="H11" s="48"/>
      <c r="I11" s="48"/>
      <c r="J11" s="48"/>
      <c r="K11" s="50"/>
      <c r="L11" s="48"/>
      <c r="M11" s="48"/>
      <c r="N11" s="48"/>
      <c r="O11" s="48"/>
      <c r="P11" s="48"/>
      <c r="Q11" s="48"/>
      <c r="R11" s="48"/>
      <c r="S11" s="48"/>
    </row>
    <row r="12" spans="1:22" ht="18" customHeight="1" x14ac:dyDescent="0.15">
      <c r="A12" s="40" t="s">
        <v>111</v>
      </c>
      <c r="B12" s="48"/>
      <c r="C12" s="48"/>
      <c r="D12" s="41"/>
      <c r="E12" s="41"/>
      <c r="F12" s="41"/>
      <c r="G12" s="41"/>
      <c r="H12" s="41"/>
      <c r="I12" s="41"/>
      <c r="J12" s="41"/>
      <c r="K12" s="51"/>
      <c r="L12" s="51"/>
      <c r="M12" s="51"/>
      <c r="N12" s="51"/>
      <c r="O12" s="51"/>
      <c r="P12" s="51"/>
      <c r="Q12" s="51"/>
      <c r="R12" s="51"/>
      <c r="S12" s="51"/>
    </row>
    <row r="13" spans="1:22" ht="18" customHeight="1" x14ac:dyDescent="0.15">
      <c r="B13" s="162" t="s">
        <v>240</v>
      </c>
      <c r="C13" s="128"/>
      <c r="D13" s="128"/>
      <c r="E13" s="128"/>
      <c r="F13" s="128"/>
      <c r="G13" s="128"/>
      <c r="H13" s="128"/>
      <c r="I13" s="128"/>
      <c r="J13" s="128"/>
      <c r="K13" s="128"/>
      <c r="L13" s="128"/>
      <c r="M13" s="128"/>
      <c r="N13" s="128"/>
      <c r="O13" s="128"/>
      <c r="P13" s="128"/>
      <c r="Q13" s="128"/>
      <c r="R13" s="128"/>
      <c r="S13" s="163"/>
      <c r="V13" s="40" t="s">
        <v>103</v>
      </c>
    </row>
    <row r="14" spans="1:22" ht="18" customHeight="1" x14ac:dyDescent="0.15">
      <c r="B14" s="164"/>
      <c r="C14" s="165"/>
      <c r="D14" s="165"/>
      <c r="E14" s="165"/>
      <c r="F14" s="165"/>
      <c r="G14" s="165"/>
      <c r="H14" s="165"/>
      <c r="I14" s="165"/>
      <c r="J14" s="165"/>
      <c r="K14" s="165"/>
      <c r="L14" s="165"/>
      <c r="M14" s="165"/>
      <c r="N14" s="165"/>
      <c r="O14" s="165"/>
      <c r="P14" s="165"/>
      <c r="Q14" s="165"/>
      <c r="R14" s="165"/>
      <c r="S14" s="166"/>
      <c r="V14" s="40" t="s">
        <v>110</v>
      </c>
    </row>
    <row r="15" spans="1:22" ht="18" customHeight="1" x14ac:dyDescent="0.15">
      <c r="B15" s="164"/>
      <c r="C15" s="165"/>
      <c r="D15" s="165"/>
      <c r="E15" s="165"/>
      <c r="F15" s="165"/>
      <c r="G15" s="165"/>
      <c r="H15" s="165"/>
      <c r="I15" s="165"/>
      <c r="J15" s="165"/>
      <c r="K15" s="165"/>
      <c r="L15" s="165"/>
      <c r="M15" s="165"/>
      <c r="N15" s="165"/>
      <c r="O15" s="165"/>
      <c r="P15" s="165"/>
      <c r="Q15" s="165"/>
      <c r="R15" s="165"/>
      <c r="S15" s="166"/>
      <c r="V15" s="40" t="s">
        <v>122</v>
      </c>
    </row>
    <row r="16" spans="1:22" ht="18" customHeight="1" x14ac:dyDescent="0.15">
      <c r="B16" s="164"/>
      <c r="C16" s="165"/>
      <c r="D16" s="165"/>
      <c r="E16" s="165"/>
      <c r="F16" s="165"/>
      <c r="G16" s="165"/>
      <c r="H16" s="165"/>
      <c r="I16" s="165"/>
      <c r="J16" s="165"/>
      <c r="K16" s="165"/>
      <c r="L16" s="165"/>
      <c r="M16" s="165"/>
      <c r="N16" s="165"/>
      <c r="O16" s="165"/>
      <c r="P16" s="165"/>
      <c r="Q16" s="165"/>
      <c r="R16" s="165"/>
      <c r="S16" s="166"/>
      <c r="V16" s="40" t="s">
        <v>124</v>
      </c>
    </row>
    <row r="17" spans="1:19" ht="18" customHeight="1" x14ac:dyDescent="0.15">
      <c r="B17" s="164"/>
      <c r="C17" s="165"/>
      <c r="D17" s="165"/>
      <c r="E17" s="165"/>
      <c r="F17" s="165"/>
      <c r="G17" s="165"/>
      <c r="H17" s="165"/>
      <c r="I17" s="165"/>
      <c r="J17" s="165"/>
      <c r="K17" s="165"/>
      <c r="L17" s="165"/>
      <c r="M17" s="165"/>
      <c r="N17" s="165"/>
      <c r="O17" s="165"/>
      <c r="P17" s="165"/>
      <c r="Q17" s="165"/>
      <c r="R17" s="165"/>
      <c r="S17" s="166"/>
    </row>
    <row r="18" spans="1:19" ht="18" customHeight="1" x14ac:dyDescent="0.15">
      <c r="B18" s="167"/>
      <c r="C18" s="125"/>
      <c r="D18" s="125"/>
      <c r="E18" s="125"/>
      <c r="F18" s="125"/>
      <c r="G18" s="125"/>
      <c r="H18" s="125"/>
      <c r="I18" s="125"/>
      <c r="J18" s="125"/>
      <c r="K18" s="125"/>
      <c r="L18" s="125"/>
      <c r="M18" s="125"/>
      <c r="N18" s="125"/>
      <c r="O18" s="125"/>
      <c r="P18" s="125"/>
      <c r="Q18" s="125"/>
      <c r="R18" s="125"/>
      <c r="S18" s="168"/>
    </row>
    <row r="19" spans="1:19" ht="7.5" customHeight="1" x14ac:dyDescent="0.15">
      <c r="B19" s="48"/>
      <c r="C19" s="48"/>
      <c r="D19" s="48"/>
      <c r="E19" s="48"/>
      <c r="F19" s="48"/>
      <c r="G19" s="48"/>
      <c r="H19" s="48"/>
      <c r="I19" s="48"/>
      <c r="J19" s="48"/>
      <c r="K19" s="48"/>
      <c r="L19" s="48"/>
      <c r="M19" s="48"/>
      <c r="N19" s="48"/>
      <c r="O19" s="48"/>
      <c r="P19" s="48"/>
      <c r="Q19" s="48"/>
      <c r="R19" s="48"/>
      <c r="S19" s="48"/>
    </row>
    <row r="20" spans="1:19" ht="20.100000000000001" customHeight="1" x14ac:dyDescent="0.15">
      <c r="B20" s="40" t="s">
        <v>112</v>
      </c>
      <c r="C20" s="112">
        <v>8</v>
      </c>
      <c r="D20" s="114"/>
      <c r="E20" s="52" t="s">
        <v>95</v>
      </c>
      <c r="G20" s="50"/>
      <c r="H20" s="48"/>
      <c r="I20" s="48"/>
      <c r="J20" s="41" t="s">
        <v>121</v>
      </c>
      <c r="K20" s="158" t="s">
        <v>110</v>
      </c>
      <c r="L20" s="159"/>
      <c r="M20" s="159"/>
      <c r="N20" s="159"/>
      <c r="O20" s="159"/>
      <c r="P20" s="159"/>
      <c r="Q20" s="159"/>
      <c r="R20" s="159"/>
      <c r="S20" s="160"/>
    </row>
    <row r="21" spans="1:19" ht="7.5" customHeight="1" x14ac:dyDescent="0.15">
      <c r="B21" s="48"/>
      <c r="C21" s="48"/>
      <c r="D21" s="48"/>
      <c r="E21" s="48"/>
      <c r="F21" s="48"/>
      <c r="G21" s="48"/>
      <c r="H21" s="48"/>
      <c r="I21" s="48"/>
      <c r="J21" s="48"/>
      <c r="K21" s="48"/>
      <c r="L21" s="48"/>
      <c r="M21" s="48"/>
      <c r="N21" s="48"/>
      <c r="O21" s="48"/>
      <c r="P21" s="48"/>
      <c r="Q21" s="48"/>
      <c r="R21" s="48"/>
      <c r="S21" s="48"/>
    </row>
    <row r="22" spans="1:19" ht="18" customHeight="1" x14ac:dyDescent="0.15">
      <c r="A22" s="118" t="s">
        <v>113</v>
      </c>
      <c r="B22" s="118"/>
      <c r="C22" s="118"/>
      <c r="D22" s="118"/>
      <c r="E22" s="118"/>
      <c r="F22" s="118"/>
      <c r="G22" s="118"/>
      <c r="H22" s="118"/>
      <c r="I22" s="118"/>
      <c r="J22" s="118"/>
      <c r="K22" s="118"/>
      <c r="L22" s="118"/>
      <c r="M22" s="118"/>
      <c r="N22" s="118"/>
      <c r="O22" s="118"/>
      <c r="P22" s="118"/>
      <c r="Q22" s="118"/>
      <c r="R22" s="118"/>
      <c r="S22" s="118"/>
    </row>
    <row r="23" spans="1:19" ht="18" customHeight="1" x14ac:dyDescent="0.15">
      <c r="A23" s="118"/>
      <c r="B23" s="118"/>
      <c r="C23" s="118"/>
      <c r="D23" s="118"/>
      <c r="E23" s="118"/>
      <c r="F23" s="118"/>
      <c r="G23" s="118"/>
      <c r="H23" s="118"/>
      <c r="I23" s="118"/>
      <c r="J23" s="118"/>
      <c r="K23" s="118"/>
      <c r="L23" s="118"/>
      <c r="M23" s="118"/>
      <c r="N23" s="118"/>
      <c r="O23" s="118"/>
      <c r="P23" s="118"/>
      <c r="Q23" s="118"/>
      <c r="R23" s="118"/>
      <c r="S23" s="118"/>
    </row>
    <row r="24" spans="1:19" ht="18" customHeight="1" x14ac:dyDescent="0.15">
      <c r="B24" s="112" t="s">
        <v>53</v>
      </c>
      <c r="C24" s="113"/>
      <c r="D24" s="113"/>
      <c r="E24" s="114"/>
      <c r="F24" s="55" t="s">
        <v>80</v>
      </c>
      <c r="G24" s="55" t="s">
        <v>84</v>
      </c>
      <c r="H24" s="56" t="s">
        <v>56</v>
      </c>
      <c r="I24" s="56" t="s">
        <v>59</v>
      </c>
      <c r="J24" s="112" t="s">
        <v>53</v>
      </c>
      <c r="K24" s="113"/>
      <c r="L24" s="113"/>
      <c r="M24" s="113"/>
      <c r="N24" s="113"/>
      <c r="O24" s="114"/>
      <c r="P24" s="54" t="s">
        <v>80</v>
      </c>
      <c r="Q24" s="55" t="s">
        <v>84</v>
      </c>
      <c r="R24" s="56" t="s">
        <v>56</v>
      </c>
      <c r="S24" s="56" t="s">
        <v>59</v>
      </c>
    </row>
    <row r="25" spans="1:19" ht="18" customHeight="1" x14ac:dyDescent="0.15">
      <c r="B25" s="202" t="s">
        <v>239</v>
      </c>
      <c r="C25" s="203"/>
      <c r="D25" s="203"/>
      <c r="E25" s="204"/>
      <c r="F25" s="62">
        <v>1</v>
      </c>
      <c r="G25" s="57" t="s">
        <v>126</v>
      </c>
      <c r="H25" s="57" t="s">
        <v>126</v>
      </c>
      <c r="I25" s="57" t="s">
        <v>126</v>
      </c>
      <c r="J25" s="106"/>
      <c r="K25" s="107"/>
      <c r="L25" s="107"/>
      <c r="M25" s="107"/>
      <c r="N25" s="107"/>
      <c r="O25" s="108"/>
      <c r="P25" s="57"/>
      <c r="Q25" s="57"/>
      <c r="R25" s="57"/>
      <c r="S25" s="57"/>
    </row>
    <row r="26" spans="1:19" ht="18" customHeight="1" x14ac:dyDescent="0.15">
      <c r="B26" s="196" t="s">
        <v>164</v>
      </c>
      <c r="C26" s="197"/>
      <c r="D26" s="197"/>
      <c r="E26" s="198"/>
      <c r="F26" s="63">
        <v>1</v>
      </c>
      <c r="G26" s="58" t="s">
        <v>126</v>
      </c>
      <c r="H26" s="58" t="s">
        <v>126</v>
      </c>
      <c r="I26" s="58" t="s">
        <v>126</v>
      </c>
      <c r="J26" s="109"/>
      <c r="K26" s="110"/>
      <c r="L26" s="110"/>
      <c r="M26" s="110"/>
      <c r="N26" s="110"/>
      <c r="O26" s="111"/>
      <c r="P26" s="58"/>
      <c r="Q26" s="58"/>
      <c r="R26" s="58"/>
      <c r="S26" s="58"/>
    </row>
    <row r="27" spans="1:19" ht="18" customHeight="1" x14ac:dyDescent="0.15">
      <c r="B27" s="109"/>
      <c r="C27" s="110"/>
      <c r="D27" s="110"/>
      <c r="E27" s="111"/>
      <c r="F27" s="63"/>
      <c r="G27" s="58"/>
      <c r="H27" s="58"/>
      <c r="I27" s="58"/>
      <c r="J27" s="109"/>
      <c r="K27" s="110"/>
      <c r="L27" s="110"/>
      <c r="M27" s="110"/>
      <c r="N27" s="110"/>
      <c r="O27" s="111"/>
      <c r="P27" s="58"/>
      <c r="Q27" s="58"/>
      <c r="R27" s="58"/>
      <c r="S27" s="58"/>
    </row>
    <row r="28" spans="1:19" ht="18" customHeight="1" x14ac:dyDescent="0.15">
      <c r="B28" s="109"/>
      <c r="C28" s="110"/>
      <c r="D28" s="110"/>
      <c r="E28" s="111"/>
      <c r="F28" s="63"/>
      <c r="G28" s="58"/>
      <c r="H28" s="58"/>
      <c r="I28" s="58"/>
      <c r="J28" s="109"/>
      <c r="K28" s="110"/>
      <c r="L28" s="110"/>
      <c r="M28" s="110"/>
      <c r="N28" s="110"/>
      <c r="O28" s="111"/>
      <c r="P28" s="58"/>
      <c r="Q28" s="58"/>
      <c r="R28" s="58"/>
      <c r="S28" s="58"/>
    </row>
    <row r="29" spans="1:19" ht="18" customHeight="1" x14ac:dyDescent="0.15">
      <c r="B29" s="109"/>
      <c r="C29" s="110"/>
      <c r="D29" s="110"/>
      <c r="E29" s="111"/>
      <c r="F29" s="63"/>
      <c r="G29" s="58"/>
      <c r="H29" s="58"/>
      <c r="I29" s="58"/>
      <c r="J29" s="109"/>
      <c r="K29" s="110"/>
      <c r="L29" s="110"/>
      <c r="M29" s="110"/>
      <c r="N29" s="110"/>
      <c r="O29" s="111"/>
      <c r="P29" s="58"/>
      <c r="Q29" s="58"/>
      <c r="R29" s="58"/>
      <c r="S29" s="58"/>
    </row>
    <row r="30" spans="1:19" ht="18" customHeight="1" x14ac:dyDescent="0.15">
      <c r="A30" s="48"/>
      <c r="B30" s="109"/>
      <c r="C30" s="110"/>
      <c r="D30" s="110"/>
      <c r="E30" s="111"/>
      <c r="F30" s="63"/>
      <c r="G30" s="58"/>
      <c r="H30" s="58"/>
      <c r="I30" s="58"/>
      <c r="J30" s="109"/>
      <c r="K30" s="110"/>
      <c r="L30" s="110"/>
      <c r="M30" s="110"/>
      <c r="N30" s="110"/>
      <c r="O30" s="111"/>
      <c r="P30" s="58"/>
      <c r="Q30" s="58"/>
      <c r="R30" s="58"/>
      <c r="S30" s="58"/>
    </row>
    <row r="31" spans="1:19" ht="18" customHeight="1" x14ac:dyDescent="0.15">
      <c r="A31" s="48"/>
      <c r="B31" s="115"/>
      <c r="C31" s="116"/>
      <c r="D31" s="116"/>
      <c r="E31" s="117"/>
      <c r="F31" s="76"/>
      <c r="G31" s="59"/>
      <c r="H31" s="60"/>
      <c r="I31" s="60"/>
      <c r="J31" s="115"/>
      <c r="K31" s="116"/>
      <c r="L31" s="116"/>
      <c r="M31" s="116"/>
      <c r="N31" s="116"/>
      <c r="O31" s="117"/>
      <c r="P31" s="59"/>
      <c r="Q31" s="59"/>
      <c r="R31" s="60"/>
      <c r="S31" s="60"/>
    </row>
    <row r="32" spans="1:19" ht="7.5" customHeight="1" x14ac:dyDescent="0.15">
      <c r="A32" s="48"/>
      <c r="B32" s="45"/>
      <c r="C32" s="45"/>
      <c r="D32" s="48"/>
      <c r="E32" s="48"/>
      <c r="F32" s="48"/>
      <c r="G32" s="48"/>
      <c r="H32" s="45"/>
      <c r="I32" s="45"/>
      <c r="J32" s="45"/>
      <c r="K32" s="45"/>
      <c r="L32" s="45"/>
      <c r="M32" s="45"/>
      <c r="N32" s="45"/>
      <c r="O32" s="45"/>
      <c r="P32" s="45"/>
      <c r="Q32" s="45"/>
      <c r="R32" s="45"/>
      <c r="S32" s="48"/>
    </row>
    <row r="33" spans="1:19" ht="18" customHeight="1" x14ac:dyDescent="0.15">
      <c r="A33" s="118" t="s">
        <v>114</v>
      </c>
      <c r="B33" s="118"/>
      <c r="C33" s="118"/>
      <c r="D33" s="118"/>
      <c r="E33" s="118"/>
      <c r="F33" s="118"/>
      <c r="G33" s="118"/>
      <c r="H33" s="118"/>
      <c r="I33" s="118"/>
      <c r="J33" s="118"/>
      <c r="K33" s="118"/>
      <c r="L33" s="118"/>
      <c r="M33" s="118"/>
      <c r="N33" s="118"/>
      <c r="O33" s="118"/>
      <c r="P33" s="118"/>
      <c r="Q33" s="118"/>
      <c r="R33" s="118"/>
      <c r="S33" s="118"/>
    </row>
    <row r="34" spans="1:19" ht="18" customHeight="1" x14ac:dyDescent="0.15">
      <c r="A34" s="118"/>
      <c r="B34" s="118"/>
      <c r="C34" s="118"/>
      <c r="D34" s="118"/>
      <c r="E34" s="118"/>
      <c r="F34" s="118"/>
      <c r="G34" s="118"/>
      <c r="H34" s="118"/>
      <c r="I34" s="118"/>
      <c r="J34" s="118"/>
      <c r="K34" s="118"/>
      <c r="L34" s="118"/>
      <c r="M34" s="118"/>
      <c r="N34" s="118"/>
      <c r="O34" s="118"/>
      <c r="P34" s="118"/>
      <c r="Q34" s="118"/>
      <c r="R34" s="118"/>
      <c r="S34" s="118"/>
    </row>
    <row r="35" spans="1:19" ht="18" customHeight="1" x14ac:dyDescent="0.15">
      <c r="B35" s="112" t="s">
        <v>53</v>
      </c>
      <c r="C35" s="113"/>
      <c r="D35" s="113"/>
      <c r="E35" s="114"/>
      <c r="F35" s="54" t="s">
        <v>80</v>
      </c>
      <c r="G35" s="55" t="s">
        <v>84</v>
      </c>
      <c r="H35" s="56" t="s">
        <v>71</v>
      </c>
      <c r="I35" s="56" t="s">
        <v>72</v>
      </c>
      <c r="J35" s="112" t="s">
        <v>53</v>
      </c>
      <c r="K35" s="113"/>
      <c r="L35" s="113"/>
      <c r="M35" s="113"/>
      <c r="N35" s="113"/>
      <c r="O35" s="114"/>
      <c r="P35" s="54" t="s">
        <v>80</v>
      </c>
      <c r="Q35" s="55" t="s">
        <v>84</v>
      </c>
      <c r="R35" s="56" t="s">
        <v>71</v>
      </c>
      <c r="S35" s="56" t="s">
        <v>72</v>
      </c>
    </row>
    <row r="36" spans="1:19" ht="18" customHeight="1" x14ac:dyDescent="0.15">
      <c r="B36" s="202" t="s">
        <v>163</v>
      </c>
      <c r="C36" s="203"/>
      <c r="D36" s="203"/>
      <c r="E36" s="204"/>
      <c r="F36" s="62">
        <v>1</v>
      </c>
      <c r="G36" s="57" t="s">
        <v>126</v>
      </c>
      <c r="H36" s="57" t="s">
        <v>126</v>
      </c>
      <c r="I36" s="57"/>
      <c r="J36" s="106"/>
      <c r="K36" s="107"/>
      <c r="L36" s="107"/>
      <c r="M36" s="107"/>
      <c r="N36" s="107"/>
      <c r="O36" s="108"/>
      <c r="P36" s="57"/>
      <c r="Q36" s="57"/>
      <c r="R36" s="57"/>
      <c r="S36" s="57"/>
    </row>
    <row r="37" spans="1:19" ht="18" customHeight="1" x14ac:dyDescent="0.15">
      <c r="B37" s="196" t="s">
        <v>162</v>
      </c>
      <c r="C37" s="197"/>
      <c r="D37" s="197"/>
      <c r="E37" s="198"/>
      <c r="F37" s="63">
        <v>1</v>
      </c>
      <c r="G37" s="58" t="s">
        <v>126</v>
      </c>
      <c r="H37" s="58"/>
      <c r="I37" s="58" t="s">
        <v>126</v>
      </c>
      <c r="J37" s="109"/>
      <c r="K37" s="110"/>
      <c r="L37" s="110"/>
      <c r="M37" s="110"/>
      <c r="N37" s="110"/>
      <c r="O37" s="111"/>
      <c r="P37" s="58"/>
      <c r="Q37" s="58"/>
      <c r="R37" s="58"/>
      <c r="S37" s="58"/>
    </row>
    <row r="38" spans="1:19" ht="18" customHeight="1" x14ac:dyDescent="0.15">
      <c r="B38" s="109"/>
      <c r="C38" s="110"/>
      <c r="D38" s="110"/>
      <c r="E38" s="111"/>
      <c r="F38" s="58"/>
      <c r="G38" s="58"/>
      <c r="H38" s="58"/>
      <c r="I38" s="58"/>
      <c r="J38" s="109"/>
      <c r="K38" s="110"/>
      <c r="L38" s="110"/>
      <c r="M38" s="110"/>
      <c r="N38" s="110"/>
      <c r="O38" s="111"/>
      <c r="P38" s="58"/>
      <c r="Q38" s="58"/>
      <c r="R38" s="58"/>
      <c r="S38" s="58"/>
    </row>
    <row r="39" spans="1:19" ht="18" customHeight="1" x14ac:dyDescent="0.15">
      <c r="B39" s="109"/>
      <c r="C39" s="110"/>
      <c r="D39" s="110"/>
      <c r="E39" s="111"/>
      <c r="F39" s="58"/>
      <c r="G39" s="58"/>
      <c r="H39" s="58"/>
      <c r="I39" s="58"/>
      <c r="J39" s="109"/>
      <c r="K39" s="110"/>
      <c r="L39" s="110"/>
      <c r="M39" s="110"/>
      <c r="N39" s="110"/>
      <c r="O39" s="111"/>
      <c r="P39" s="58"/>
      <c r="Q39" s="58"/>
      <c r="R39" s="58"/>
      <c r="S39" s="58"/>
    </row>
    <row r="40" spans="1:19" ht="18" customHeight="1" x14ac:dyDescent="0.15">
      <c r="B40" s="109"/>
      <c r="C40" s="110"/>
      <c r="D40" s="110"/>
      <c r="E40" s="111"/>
      <c r="F40" s="58"/>
      <c r="G40" s="58"/>
      <c r="H40" s="58"/>
      <c r="I40" s="58"/>
      <c r="J40" s="109"/>
      <c r="K40" s="110"/>
      <c r="L40" s="110"/>
      <c r="M40" s="110"/>
      <c r="N40" s="110"/>
      <c r="O40" s="111"/>
      <c r="P40" s="58"/>
      <c r="Q40" s="58"/>
      <c r="R40" s="58"/>
      <c r="S40" s="58"/>
    </row>
    <row r="41" spans="1:19" ht="18" customHeight="1" x14ac:dyDescent="0.15">
      <c r="B41" s="109"/>
      <c r="C41" s="110"/>
      <c r="D41" s="110"/>
      <c r="E41" s="111"/>
      <c r="F41" s="58"/>
      <c r="G41" s="58"/>
      <c r="H41" s="58"/>
      <c r="I41" s="58"/>
      <c r="J41" s="109"/>
      <c r="K41" s="110"/>
      <c r="L41" s="110"/>
      <c r="M41" s="110"/>
      <c r="N41" s="110"/>
      <c r="O41" s="111"/>
      <c r="P41" s="58"/>
      <c r="Q41" s="58"/>
      <c r="R41" s="58"/>
      <c r="S41" s="58"/>
    </row>
    <row r="42" spans="1:19" ht="18" customHeight="1" x14ac:dyDescent="0.15">
      <c r="B42" s="115"/>
      <c r="C42" s="116"/>
      <c r="D42" s="116"/>
      <c r="E42" s="117"/>
      <c r="F42" s="59"/>
      <c r="G42" s="59"/>
      <c r="H42" s="60"/>
      <c r="I42" s="60"/>
      <c r="J42" s="115"/>
      <c r="K42" s="116"/>
      <c r="L42" s="116"/>
      <c r="M42" s="116"/>
      <c r="N42" s="116"/>
      <c r="O42" s="117"/>
      <c r="P42" s="59"/>
      <c r="Q42" s="59"/>
      <c r="R42" s="60"/>
      <c r="S42" s="60"/>
    </row>
    <row r="43" spans="1:19" ht="7.5" customHeight="1" x14ac:dyDescent="0.15">
      <c r="A43" s="48"/>
      <c r="B43" s="45"/>
      <c r="C43" s="45"/>
      <c r="D43" s="48"/>
      <c r="E43" s="48"/>
      <c r="F43" s="48"/>
      <c r="G43" s="48"/>
      <c r="H43" s="45"/>
      <c r="I43" s="45"/>
      <c r="J43" s="45"/>
      <c r="K43" s="45"/>
      <c r="L43" s="45"/>
      <c r="M43" s="45"/>
      <c r="N43" s="45"/>
      <c r="O43" s="45"/>
      <c r="P43" s="45"/>
      <c r="Q43" s="45"/>
      <c r="R43" s="45"/>
      <c r="S43" s="48"/>
    </row>
    <row r="44" spans="1:19" ht="18" customHeight="1" x14ac:dyDescent="0.15">
      <c r="A44" s="118" t="s">
        <v>115</v>
      </c>
      <c r="B44" s="118"/>
      <c r="C44" s="118"/>
      <c r="D44" s="118"/>
      <c r="E44" s="118"/>
      <c r="F44" s="118"/>
      <c r="G44" s="118"/>
      <c r="H44" s="118"/>
      <c r="I44" s="118"/>
      <c r="J44" s="118"/>
      <c r="K44" s="118"/>
      <c r="L44" s="118"/>
      <c r="M44" s="118"/>
      <c r="N44" s="118"/>
      <c r="O44" s="118"/>
      <c r="P44" s="118"/>
      <c r="Q44" s="118"/>
      <c r="R44" s="118"/>
      <c r="S44" s="118"/>
    </row>
    <row r="45" spans="1:19" ht="18" customHeight="1" x14ac:dyDescent="0.15">
      <c r="A45" s="118"/>
      <c r="B45" s="118"/>
      <c r="C45" s="118"/>
      <c r="D45" s="118"/>
      <c r="E45" s="118"/>
      <c r="F45" s="118"/>
      <c r="G45" s="118"/>
      <c r="H45" s="118"/>
      <c r="I45" s="118"/>
      <c r="J45" s="118"/>
      <c r="K45" s="118"/>
      <c r="L45" s="118"/>
      <c r="M45" s="118"/>
      <c r="N45" s="118"/>
      <c r="O45" s="118"/>
      <c r="P45" s="118"/>
      <c r="Q45" s="118"/>
      <c r="R45" s="118"/>
      <c r="S45" s="118"/>
    </row>
    <row r="46" spans="1:19" ht="18" customHeight="1" x14ac:dyDescent="0.15">
      <c r="B46" s="112" t="s">
        <v>53</v>
      </c>
      <c r="C46" s="113"/>
      <c r="D46" s="113"/>
      <c r="E46" s="114"/>
      <c r="F46" s="54" t="s">
        <v>80</v>
      </c>
      <c r="G46" s="55" t="s">
        <v>84</v>
      </c>
      <c r="H46" s="56" t="s">
        <v>73</v>
      </c>
      <c r="I46" s="56" t="s">
        <v>74</v>
      </c>
      <c r="J46" s="112" t="s">
        <v>53</v>
      </c>
      <c r="K46" s="113"/>
      <c r="L46" s="113"/>
      <c r="M46" s="113"/>
      <c r="N46" s="113"/>
      <c r="O46" s="114"/>
      <c r="P46" s="54" t="s">
        <v>80</v>
      </c>
      <c r="Q46" s="55" t="s">
        <v>84</v>
      </c>
      <c r="R46" s="56" t="s">
        <v>73</v>
      </c>
      <c r="S46" s="56" t="s">
        <v>74</v>
      </c>
    </row>
    <row r="47" spans="1:19" ht="18" customHeight="1" x14ac:dyDescent="0.15">
      <c r="A47" s="48"/>
      <c r="B47" s="199" t="s">
        <v>161</v>
      </c>
      <c r="C47" s="200"/>
      <c r="D47" s="200"/>
      <c r="E47" s="201"/>
      <c r="F47" s="57">
        <v>2</v>
      </c>
      <c r="G47" s="57" t="s">
        <v>126</v>
      </c>
      <c r="H47" s="57" t="s">
        <v>126</v>
      </c>
      <c r="I47" s="57"/>
      <c r="J47" s="106"/>
      <c r="K47" s="107"/>
      <c r="L47" s="107"/>
      <c r="M47" s="107"/>
      <c r="N47" s="107"/>
      <c r="O47" s="108"/>
      <c r="P47" s="57"/>
      <c r="Q47" s="57"/>
      <c r="R47" s="57"/>
      <c r="S47" s="57"/>
    </row>
    <row r="48" spans="1:19" ht="18" customHeight="1" x14ac:dyDescent="0.15">
      <c r="A48" s="48"/>
      <c r="B48" s="196" t="s">
        <v>159</v>
      </c>
      <c r="C48" s="197"/>
      <c r="D48" s="197"/>
      <c r="E48" s="198"/>
      <c r="F48" s="58">
        <v>1</v>
      </c>
      <c r="G48" s="58" t="s">
        <v>126</v>
      </c>
      <c r="H48" s="58" t="s">
        <v>126</v>
      </c>
      <c r="I48" s="58" t="s">
        <v>126</v>
      </c>
      <c r="J48" s="109"/>
      <c r="K48" s="110"/>
      <c r="L48" s="110"/>
      <c r="M48" s="110"/>
      <c r="N48" s="110"/>
      <c r="O48" s="111"/>
      <c r="P48" s="58"/>
      <c r="Q48" s="58"/>
      <c r="R48" s="58"/>
      <c r="S48" s="58"/>
    </row>
    <row r="49" spans="1:19" ht="18" customHeight="1" x14ac:dyDescent="0.15">
      <c r="A49" s="48"/>
      <c r="B49" s="196" t="s">
        <v>160</v>
      </c>
      <c r="C49" s="197"/>
      <c r="D49" s="197"/>
      <c r="E49" s="198"/>
      <c r="F49" s="58">
        <v>1</v>
      </c>
      <c r="G49" s="58" t="s">
        <v>126</v>
      </c>
      <c r="H49" s="58"/>
      <c r="I49" s="58" t="s">
        <v>126</v>
      </c>
      <c r="J49" s="109"/>
      <c r="K49" s="110"/>
      <c r="L49" s="110"/>
      <c r="M49" s="110"/>
      <c r="N49" s="110"/>
      <c r="O49" s="111"/>
      <c r="P49" s="58"/>
      <c r="Q49" s="58"/>
      <c r="R49" s="58"/>
      <c r="S49" s="58"/>
    </row>
    <row r="50" spans="1:19" ht="18" customHeight="1" x14ac:dyDescent="0.15">
      <c r="A50" s="48"/>
      <c r="B50" s="109"/>
      <c r="C50" s="110"/>
      <c r="D50" s="110"/>
      <c r="E50" s="111"/>
      <c r="F50" s="58"/>
      <c r="G50" s="58"/>
      <c r="H50" s="58"/>
      <c r="I50" s="58"/>
      <c r="J50" s="109"/>
      <c r="K50" s="110"/>
      <c r="L50" s="110"/>
      <c r="M50" s="110"/>
      <c r="N50" s="110"/>
      <c r="O50" s="111"/>
      <c r="P50" s="58"/>
      <c r="Q50" s="58"/>
      <c r="R50" s="58"/>
      <c r="S50" s="58"/>
    </row>
    <row r="51" spans="1:19" ht="18" customHeight="1" x14ac:dyDescent="0.15">
      <c r="A51" s="48"/>
      <c r="B51" s="109"/>
      <c r="C51" s="110"/>
      <c r="D51" s="110"/>
      <c r="E51" s="111"/>
      <c r="F51" s="58"/>
      <c r="G51" s="58"/>
      <c r="H51" s="58"/>
      <c r="I51" s="58"/>
      <c r="J51" s="109"/>
      <c r="K51" s="110"/>
      <c r="L51" s="110"/>
      <c r="M51" s="110"/>
      <c r="N51" s="110"/>
      <c r="O51" s="111"/>
      <c r="P51" s="58"/>
      <c r="Q51" s="58"/>
      <c r="R51" s="58"/>
      <c r="S51" s="58"/>
    </row>
    <row r="52" spans="1:19" ht="18" customHeight="1" x14ac:dyDescent="0.15">
      <c r="A52" s="48"/>
      <c r="B52" s="109"/>
      <c r="C52" s="110"/>
      <c r="D52" s="110"/>
      <c r="E52" s="111"/>
      <c r="F52" s="58"/>
      <c r="G52" s="58"/>
      <c r="H52" s="58"/>
      <c r="I52" s="58"/>
      <c r="J52" s="109"/>
      <c r="K52" s="110"/>
      <c r="L52" s="110"/>
      <c r="M52" s="110"/>
      <c r="N52" s="110"/>
      <c r="O52" s="111"/>
      <c r="P52" s="58"/>
      <c r="Q52" s="58"/>
      <c r="R52" s="58"/>
      <c r="S52" s="58"/>
    </row>
    <row r="53" spans="1:19" ht="18" customHeight="1" x14ac:dyDescent="0.15">
      <c r="A53" s="48"/>
      <c r="B53" s="115"/>
      <c r="C53" s="116"/>
      <c r="D53" s="116"/>
      <c r="E53" s="117"/>
      <c r="F53" s="59"/>
      <c r="G53" s="59"/>
      <c r="H53" s="60"/>
      <c r="I53" s="60"/>
      <c r="J53" s="115"/>
      <c r="K53" s="116"/>
      <c r="L53" s="116"/>
      <c r="M53" s="116"/>
      <c r="N53" s="116"/>
      <c r="O53" s="117"/>
      <c r="P53" s="59"/>
      <c r="Q53" s="59"/>
      <c r="R53" s="60"/>
      <c r="S53" s="60"/>
    </row>
    <row r="54" spans="1:19" ht="7.5" customHeight="1" x14ac:dyDescent="0.15">
      <c r="B54" s="61"/>
      <c r="C54" s="61"/>
      <c r="D54" s="61"/>
      <c r="E54" s="61"/>
      <c r="F54" s="61"/>
      <c r="G54" s="61"/>
      <c r="H54" s="61"/>
      <c r="I54" s="61"/>
      <c r="J54" s="61"/>
      <c r="K54" s="61"/>
      <c r="L54" s="61"/>
      <c r="M54" s="61"/>
      <c r="N54" s="61"/>
      <c r="O54" s="61"/>
      <c r="P54" s="61"/>
      <c r="Q54" s="61"/>
      <c r="R54" s="61"/>
    </row>
    <row r="55" spans="1:19" ht="18" customHeight="1" x14ac:dyDescent="0.15">
      <c r="A55" s="118" t="s">
        <v>116</v>
      </c>
      <c r="B55" s="118"/>
      <c r="C55" s="118"/>
      <c r="D55" s="118"/>
      <c r="E55" s="118"/>
      <c r="F55" s="118"/>
      <c r="G55" s="118"/>
      <c r="H55" s="118"/>
      <c r="I55" s="118"/>
      <c r="J55" s="118"/>
      <c r="K55" s="118"/>
      <c r="L55" s="118"/>
      <c r="M55" s="118"/>
      <c r="N55" s="118"/>
      <c r="O55" s="118"/>
      <c r="P55" s="118"/>
      <c r="Q55" s="118"/>
      <c r="R55" s="118"/>
      <c r="S55" s="118"/>
    </row>
    <row r="56" spans="1:19" ht="18" customHeight="1" x14ac:dyDescent="0.15">
      <c r="A56" s="118"/>
      <c r="B56" s="118"/>
      <c r="C56" s="118"/>
      <c r="D56" s="118"/>
      <c r="E56" s="118"/>
      <c r="F56" s="118"/>
      <c r="G56" s="118"/>
      <c r="H56" s="118"/>
      <c r="I56" s="118"/>
      <c r="J56" s="118"/>
      <c r="K56" s="118"/>
      <c r="L56" s="118"/>
      <c r="M56" s="118"/>
      <c r="N56" s="118"/>
      <c r="O56" s="118"/>
      <c r="P56" s="118"/>
      <c r="Q56" s="118"/>
      <c r="R56" s="118"/>
      <c r="S56" s="118"/>
    </row>
    <row r="57" spans="1:19" ht="18" customHeight="1" x14ac:dyDescent="0.15">
      <c r="B57" s="112" t="s">
        <v>53</v>
      </c>
      <c r="C57" s="113"/>
      <c r="D57" s="113"/>
      <c r="E57" s="114"/>
      <c r="F57" s="54" t="s">
        <v>80</v>
      </c>
      <c r="G57" s="55" t="s">
        <v>84</v>
      </c>
      <c r="H57" s="56" t="s">
        <v>58</v>
      </c>
      <c r="I57" s="56" t="s">
        <v>60</v>
      </c>
      <c r="J57" s="112" t="s">
        <v>53</v>
      </c>
      <c r="K57" s="113"/>
      <c r="L57" s="113"/>
      <c r="M57" s="113"/>
      <c r="N57" s="113"/>
      <c r="O57" s="114"/>
      <c r="P57" s="54" t="s">
        <v>80</v>
      </c>
      <c r="Q57" s="55" t="s">
        <v>84</v>
      </c>
      <c r="R57" s="56" t="s">
        <v>58</v>
      </c>
      <c r="S57" s="56" t="s">
        <v>60</v>
      </c>
    </row>
    <row r="58" spans="1:19" ht="18" customHeight="1" x14ac:dyDescent="0.15">
      <c r="A58" s="48"/>
      <c r="B58" s="196" t="s">
        <v>160</v>
      </c>
      <c r="C58" s="197"/>
      <c r="D58" s="197"/>
      <c r="E58" s="198"/>
      <c r="F58" s="58">
        <v>1</v>
      </c>
      <c r="G58" s="57" t="s">
        <v>126</v>
      </c>
      <c r="H58" s="57" t="s">
        <v>126</v>
      </c>
      <c r="I58" s="57" t="s">
        <v>126</v>
      </c>
      <c r="J58" s="106"/>
      <c r="K58" s="107"/>
      <c r="L58" s="107"/>
      <c r="M58" s="107"/>
      <c r="N58" s="107"/>
      <c r="O58" s="108"/>
      <c r="P58" s="57"/>
      <c r="Q58" s="57"/>
      <c r="R58" s="57"/>
      <c r="S58" s="57"/>
    </row>
    <row r="59" spans="1:19" ht="18" customHeight="1" x14ac:dyDescent="0.15">
      <c r="A59" s="48"/>
      <c r="B59" s="196" t="s">
        <v>159</v>
      </c>
      <c r="C59" s="197"/>
      <c r="D59" s="197"/>
      <c r="E59" s="198"/>
      <c r="F59" s="58">
        <v>1</v>
      </c>
      <c r="G59" s="58" t="s">
        <v>126</v>
      </c>
      <c r="H59" s="58" t="s">
        <v>126</v>
      </c>
      <c r="I59" s="58" t="s">
        <v>126</v>
      </c>
      <c r="J59" s="109"/>
      <c r="K59" s="110"/>
      <c r="L59" s="110"/>
      <c r="M59" s="110"/>
      <c r="N59" s="110"/>
      <c r="O59" s="111"/>
      <c r="P59" s="58"/>
      <c r="Q59" s="58"/>
      <c r="R59" s="58"/>
      <c r="S59" s="58"/>
    </row>
    <row r="60" spans="1:19" ht="18" customHeight="1" x14ac:dyDescent="0.15">
      <c r="A60" s="48"/>
      <c r="B60" s="196" t="s">
        <v>158</v>
      </c>
      <c r="C60" s="197"/>
      <c r="D60" s="197"/>
      <c r="E60" s="198"/>
      <c r="F60" s="58">
        <v>1</v>
      </c>
      <c r="G60" s="58" t="s">
        <v>126</v>
      </c>
      <c r="H60" s="58"/>
      <c r="I60" s="58" t="s">
        <v>126</v>
      </c>
      <c r="J60" s="109"/>
      <c r="K60" s="110"/>
      <c r="L60" s="110"/>
      <c r="M60" s="110"/>
      <c r="N60" s="110"/>
      <c r="O60" s="111"/>
      <c r="P60" s="58"/>
      <c r="Q60" s="58"/>
      <c r="R60" s="58"/>
      <c r="S60" s="58"/>
    </row>
    <row r="61" spans="1:19" ht="18" customHeight="1" x14ac:dyDescent="0.15">
      <c r="A61" s="48"/>
      <c r="B61" s="109"/>
      <c r="C61" s="110"/>
      <c r="D61" s="110"/>
      <c r="E61" s="111"/>
      <c r="F61" s="58"/>
      <c r="G61" s="58"/>
      <c r="H61" s="58"/>
      <c r="I61" s="58"/>
      <c r="J61" s="109"/>
      <c r="K61" s="110"/>
      <c r="L61" s="110"/>
      <c r="M61" s="110"/>
      <c r="N61" s="110"/>
      <c r="O61" s="111"/>
      <c r="P61" s="58"/>
      <c r="Q61" s="58"/>
      <c r="R61" s="58"/>
      <c r="S61" s="58"/>
    </row>
    <row r="62" spans="1:19" ht="18" customHeight="1" x14ac:dyDescent="0.15">
      <c r="A62" s="48"/>
      <c r="B62" s="109"/>
      <c r="C62" s="110"/>
      <c r="D62" s="110"/>
      <c r="E62" s="111"/>
      <c r="F62" s="58"/>
      <c r="G62" s="58"/>
      <c r="H62" s="58"/>
      <c r="I62" s="58"/>
      <c r="J62" s="109"/>
      <c r="K62" s="110"/>
      <c r="L62" s="110"/>
      <c r="M62" s="110"/>
      <c r="N62" s="110"/>
      <c r="O62" s="111"/>
      <c r="P62" s="58"/>
      <c r="Q62" s="58"/>
      <c r="R62" s="58"/>
      <c r="S62" s="58"/>
    </row>
    <row r="63" spans="1:19" ht="18" customHeight="1" x14ac:dyDescent="0.15">
      <c r="A63" s="48"/>
      <c r="B63" s="109"/>
      <c r="C63" s="110"/>
      <c r="D63" s="110"/>
      <c r="E63" s="111"/>
      <c r="F63" s="58"/>
      <c r="G63" s="58"/>
      <c r="H63" s="58"/>
      <c r="I63" s="58"/>
      <c r="J63" s="109"/>
      <c r="K63" s="110"/>
      <c r="L63" s="110"/>
      <c r="M63" s="110"/>
      <c r="N63" s="110"/>
      <c r="O63" s="111"/>
      <c r="P63" s="58"/>
      <c r="Q63" s="58"/>
      <c r="R63" s="58"/>
      <c r="S63" s="58"/>
    </row>
    <row r="64" spans="1:19" ht="18" customHeight="1" x14ac:dyDescent="0.15">
      <c r="A64" s="48"/>
      <c r="B64" s="115"/>
      <c r="C64" s="116"/>
      <c r="D64" s="116"/>
      <c r="E64" s="117"/>
      <c r="F64" s="59"/>
      <c r="G64" s="59"/>
      <c r="H64" s="60"/>
      <c r="I64" s="60"/>
      <c r="J64" s="115"/>
      <c r="K64" s="116"/>
      <c r="L64" s="116"/>
      <c r="M64" s="116"/>
      <c r="N64" s="116"/>
      <c r="O64" s="117"/>
      <c r="P64" s="59"/>
      <c r="Q64" s="59"/>
      <c r="R64" s="60"/>
      <c r="S64" s="60"/>
    </row>
    <row r="65" spans="1:19" ht="7.5" customHeight="1" x14ac:dyDescent="0.15">
      <c r="B65" s="61"/>
      <c r="C65" s="61"/>
      <c r="D65" s="61"/>
      <c r="E65" s="61"/>
      <c r="F65" s="61"/>
      <c r="G65" s="61"/>
      <c r="H65" s="61"/>
      <c r="I65" s="61"/>
      <c r="J65" s="61"/>
      <c r="K65" s="61"/>
      <c r="L65" s="61"/>
      <c r="M65" s="61"/>
      <c r="N65" s="61"/>
      <c r="O65" s="61"/>
      <c r="P65" s="61"/>
      <c r="Q65" s="61"/>
      <c r="R65" s="61"/>
    </row>
    <row r="66" spans="1:19" ht="18" customHeight="1" x14ac:dyDescent="0.15">
      <c r="A66" s="118" t="s">
        <v>117</v>
      </c>
      <c r="B66" s="118"/>
      <c r="C66" s="118"/>
      <c r="D66" s="118"/>
      <c r="E66" s="118"/>
      <c r="F66" s="118"/>
      <c r="G66" s="118"/>
      <c r="H66" s="118"/>
      <c r="I66" s="118"/>
      <c r="J66" s="118"/>
      <c r="K66" s="118"/>
      <c r="L66" s="118"/>
      <c r="M66" s="118"/>
      <c r="N66" s="118"/>
      <c r="O66" s="118"/>
      <c r="P66" s="118"/>
      <c r="Q66" s="118"/>
      <c r="R66" s="118"/>
      <c r="S66" s="118"/>
    </row>
    <row r="67" spans="1:19" ht="18" customHeight="1" x14ac:dyDescent="0.15">
      <c r="A67" s="118"/>
      <c r="B67" s="118"/>
      <c r="C67" s="118"/>
      <c r="D67" s="118"/>
      <c r="E67" s="118"/>
      <c r="F67" s="118"/>
      <c r="G67" s="118"/>
      <c r="H67" s="118"/>
      <c r="I67" s="118"/>
      <c r="J67" s="118"/>
      <c r="K67" s="118"/>
      <c r="L67" s="118"/>
      <c r="M67" s="118"/>
      <c r="N67" s="118"/>
      <c r="O67" s="118"/>
      <c r="P67" s="118"/>
      <c r="Q67" s="118"/>
      <c r="R67" s="118"/>
      <c r="S67" s="118"/>
    </row>
    <row r="68" spans="1:19" ht="18" customHeight="1" x14ac:dyDescent="0.15">
      <c r="B68" s="112" t="s">
        <v>53</v>
      </c>
      <c r="C68" s="113"/>
      <c r="D68" s="114"/>
      <c r="E68" s="55" t="s">
        <v>80</v>
      </c>
      <c r="F68" s="55" t="s">
        <v>84</v>
      </c>
      <c r="G68" s="56" t="s">
        <v>101</v>
      </c>
      <c r="H68" s="56" t="s">
        <v>75</v>
      </c>
      <c r="I68" s="56" t="s">
        <v>76</v>
      </c>
      <c r="J68" s="112" t="s">
        <v>53</v>
      </c>
      <c r="K68" s="113"/>
      <c r="L68" s="113"/>
      <c r="M68" s="113"/>
      <c r="N68" s="114"/>
      <c r="O68" s="54" t="s">
        <v>80</v>
      </c>
      <c r="P68" s="55" t="s">
        <v>84</v>
      </c>
      <c r="Q68" s="56" t="s">
        <v>101</v>
      </c>
      <c r="R68" s="56" t="s">
        <v>75</v>
      </c>
      <c r="S68" s="56" t="s">
        <v>76</v>
      </c>
    </row>
    <row r="69" spans="1:19" ht="18" customHeight="1" x14ac:dyDescent="0.15">
      <c r="A69" s="48"/>
      <c r="B69" s="223" t="s">
        <v>158</v>
      </c>
      <c r="C69" s="224"/>
      <c r="D69" s="225"/>
      <c r="E69" s="77">
        <v>1</v>
      </c>
      <c r="F69" s="58" t="s">
        <v>147</v>
      </c>
      <c r="G69" s="57"/>
      <c r="H69" s="57" t="s">
        <v>126</v>
      </c>
      <c r="I69" s="57" t="s">
        <v>126</v>
      </c>
      <c r="J69" s="106"/>
      <c r="K69" s="107"/>
      <c r="L69" s="107"/>
      <c r="M69" s="107"/>
      <c r="N69" s="108"/>
      <c r="O69" s="57"/>
      <c r="P69" s="57"/>
      <c r="Q69" s="57"/>
      <c r="R69" s="57"/>
      <c r="S69" s="57"/>
    </row>
    <row r="70" spans="1:19" ht="18" customHeight="1" x14ac:dyDescent="0.15">
      <c r="A70" s="48"/>
      <c r="B70" s="202" t="s">
        <v>157</v>
      </c>
      <c r="C70" s="203"/>
      <c r="D70" s="204"/>
      <c r="E70" s="63">
        <v>2</v>
      </c>
      <c r="F70" s="58" t="s">
        <v>126</v>
      </c>
      <c r="G70" s="58" t="s">
        <v>126</v>
      </c>
      <c r="H70" s="58" t="s">
        <v>126</v>
      </c>
      <c r="I70" s="58"/>
      <c r="J70" s="109"/>
      <c r="K70" s="110"/>
      <c r="L70" s="110"/>
      <c r="M70" s="110"/>
      <c r="N70" s="111"/>
      <c r="O70" s="58"/>
      <c r="P70" s="58"/>
      <c r="Q70" s="58"/>
      <c r="R70" s="58"/>
      <c r="S70" s="58"/>
    </row>
    <row r="71" spans="1:19" ht="18" customHeight="1" x14ac:dyDescent="0.15">
      <c r="A71" s="48"/>
      <c r="B71" s="202" t="s">
        <v>156</v>
      </c>
      <c r="C71" s="203"/>
      <c r="D71" s="204"/>
      <c r="E71" s="63">
        <v>1</v>
      </c>
      <c r="F71" s="58" t="s">
        <v>126</v>
      </c>
      <c r="G71" s="58" t="s">
        <v>126</v>
      </c>
      <c r="H71" s="58"/>
      <c r="I71" s="58"/>
      <c r="J71" s="109"/>
      <c r="K71" s="110"/>
      <c r="L71" s="110"/>
      <c r="M71" s="110"/>
      <c r="N71" s="111"/>
      <c r="O71" s="58"/>
      <c r="P71" s="58"/>
      <c r="Q71" s="58"/>
      <c r="R71" s="58"/>
      <c r="S71" s="58"/>
    </row>
    <row r="72" spans="1:19" ht="18" customHeight="1" x14ac:dyDescent="0.15">
      <c r="A72" s="48"/>
      <c r="B72" s="202" t="s">
        <v>155</v>
      </c>
      <c r="C72" s="203"/>
      <c r="D72" s="204"/>
      <c r="E72" s="63">
        <v>1</v>
      </c>
      <c r="F72" s="58" t="s">
        <v>126</v>
      </c>
      <c r="G72" s="58" t="s">
        <v>126</v>
      </c>
      <c r="H72" s="58" t="s">
        <v>126</v>
      </c>
      <c r="I72" s="58"/>
      <c r="J72" s="109"/>
      <c r="K72" s="110"/>
      <c r="L72" s="110"/>
      <c r="M72" s="110"/>
      <c r="N72" s="111"/>
      <c r="O72" s="58"/>
      <c r="P72" s="58"/>
      <c r="Q72" s="58"/>
      <c r="R72" s="58"/>
      <c r="S72" s="58"/>
    </row>
    <row r="73" spans="1:19" ht="18" customHeight="1" x14ac:dyDescent="0.15">
      <c r="A73" s="48"/>
      <c r="B73" s="109"/>
      <c r="C73" s="110"/>
      <c r="D73" s="111"/>
      <c r="E73" s="63"/>
      <c r="F73" s="58"/>
      <c r="G73" s="58"/>
      <c r="H73" s="58"/>
      <c r="I73" s="58"/>
      <c r="J73" s="109"/>
      <c r="K73" s="110"/>
      <c r="L73" s="110"/>
      <c r="M73" s="110"/>
      <c r="N73" s="111"/>
      <c r="O73" s="58"/>
      <c r="P73" s="58"/>
      <c r="Q73" s="58"/>
      <c r="R73" s="58"/>
      <c r="S73" s="58"/>
    </row>
    <row r="74" spans="1:19" ht="18" customHeight="1" x14ac:dyDescent="0.15">
      <c r="A74" s="48"/>
      <c r="B74" s="109"/>
      <c r="C74" s="110"/>
      <c r="D74" s="111"/>
      <c r="E74" s="63"/>
      <c r="F74" s="58"/>
      <c r="G74" s="58"/>
      <c r="H74" s="58"/>
      <c r="I74" s="58"/>
      <c r="J74" s="109"/>
      <c r="K74" s="110"/>
      <c r="L74" s="110"/>
      <c r="M74" s="110"/>
      <c r="N74" s="111"/>
      <c r="O74" s="58"/>
      <c r="P74" s="58"/>
      <c r="Q74" s="58"/>
      <c r="R74" s="58"/>
      <c r="S74" s="58"/>
    </row>
    <row r="75" spans="1:19" ht="18" customHeight="1" x14ac:dyDescent="0.15">
      <c r="A75" s="48"/>
      <c r="B75" s="115"/>
      <c r="C75" s="116"/>
      <c r="D75" s="117"/>
      <c r="E75" s="76"/>
      <c r="F75" s="59"/>
      <c r="G75" s="60"/>
      <c r="H75" s="60"/>
      <c r="I75" s="60"/>
      <c r="J75" s="115"/>
      <c r="K75" s="116"/>
      <c r="L75" s="116"/>
      <c r="M75" s="116"/>
      <c r="N75" s="117"/>
      <c r="O75" s="59"/>
      <c r="P75" s="59"/>
      <c r="Q75" s="60"/>
      <c r="R75" s="60"/>
      <c r="S75" s="60"/>
    </row>
    <row r="76" spans="1:19" ht="7.5" customHeight="1" x14ac:dyDescent="0.15">
      <c r="B76" s="61"/>
      <c r="C76" s="61"/>
      <c r="D76" s="61"/>
      <c r="E76" s="61"/>
      <c r="F76" s="61"/>
      <c r="G76" s="61"/>
      <c r="H76" s="61"/>
      <c r="I76" s="61"/>
      <c r="J76" s="61"/>
      <c r="K76" s="61"/>
      <c r="L76" s="61"/>
      <c r="M76" s="61"/>
      <c r="N76" s="61"/>
      <c r="O76" s="61"/>
      <c r="P76" s="61"/>
      <c r="Q76" s="61"/>
      <c r="R76" s="61"/>
    </row>
    <row r="77" spans="1:19" ht="18" customHeight="1" x14ac:dyDescent="0.15">
      <c r="A77" s="40" t="s">
        <v>118</v>
      </c>
      <c r="H77" s="48"/>
      <c r="I77" s="48"/>
      <c r="J77" s="48"/>
      <c r="K77" s="48"/>
      <c r="L77" s="48"/>
      <c r="M77" s="48"/>
      <c r="N77" s="48"/>
      <c r="O77" s="48"/>
      <c r="P77" s="48"/>
      <c r="Q77" s="48"/>
      <c r="R77" s="48"/>
      <c r="S77" s="48"/>
    </row>
    <row r="78" spans="1:19" ht="18" customHeight="1" x14ac:dyDescent="0.15">
      <c r="B78" s="112" t="s">
        <v>53</v>
      </c>
      <c r="C78" s="113"/>
      <c r="D78" s="113"/>
      <c r="E78" s="114"/>
      <c r="F78" s="112" t="s">
        <v>82</v>
      </c>
      <c r="G78" s="113"/>
      <c r="H78" s="113"/>
      <c r="I78" s="114"/>
      <c r="J78" s="139" t="s">
        <v>53</v>
      </c>
      <c r="K78" s="140"/>
      <c r="L78" s="140"/>
      <c r="M78" s="140"/>
      <c r="N78" s="140"/>
      <c r="O78" s="141"/>
      <c r="P78" s="112" t="s">
        <v>82</v>
      </c>
      <c r="Q78" s="113"/>
      <c r="R78" s="113"/>
      <c r="S78" s="114"/>
    </row>
    <row r="79" spans="1:19" ht="18" customHeight="1" x14ac:dyDescent="0.15">
      <c r="A79" s="48"/>
      <c r="B79" s="106"/>
      <c r="C79" s="107"/>
      <c r="D79" s="107"/>
      <c r="E79" s="108"/>
      <c r="F79" s="133"/>
      <c r="G79" s="134"/>
      <c r="H79" s="134"/>
      <c r="I79" s="135"/>
      <c r="J79" s="106"/>
      <c r="K79" s="107"/>
      <c r="L79" s="107"/>
      <c r="M79" s="107"/>
      <c r="N79" s="107"/>
      <c r="O79" s="108"/>
      <c r="P79" s="133"/>
      <c r="Q79" s="134"/>
      <c r="R79" s="134"/>
      <c r="S79" s="135"/>
    </row>
    <row r="80" spans="1:19" ht="18" customHeight="1" x14ac:dyDescent="0.15">
      <c r="A80" s="48"/>
      <c r="B80" s="109"/>
      <c r="C80" s="110"/>
      <c r="D80" s="110"/>
      <c r="E80" s="111"/>
      <c r="F80" s="136"/>
      <c r="G80" s="137"/>
      <c r="H80" s="137"/>
      <c r="I80" s="138"/>
      <c r="J80" s="109"/>
      <c r="K80" s="110"/>
      <c r="L80" s="110"/>
      <c r="M80" s="110"/>
      <c r="N80" s="110"/>
      <c r="O80" s="111"/>
      <c r="P80" s="136"/>
      <c r="Q80" s="137"/>
      <c r="R80" s="137"/>
      <c r="S80" s="138"/>
    </row>
    <row r="81" spans="1:19" ht="18" customHeight="1" x14ac:dyDescent="0.15">
      <c r="A81" s="48"/>
      <c r="B81" s="109"/>
      <c r="C81" s="110"/>
      <c r="D81" s="110"/>
      <c r="E81" s="111"/>
      <c r="F81" s="136"/>
      <c r="G81" s="137"/>
      <c r="H81" s="137"/>
      <c r="I81" s="138"/>
      <c r="J81" s="109"/>
      <c r="K81" s="110"/>
      <c r="L81" s="110"/>
      <c r="M81" s="110"/>
      <c r="N81" s="110"/>
      <c r="O81" s="111"/>
      <c r="P81" s="136"/>
      <c r="Q81" s="137"/>
      <c r="R81" s="137"/>
      <c r="S81" s="138"/>
    </row>
    <row r="82" spans="1:19" ht="18" customHeight="1" x14ac:dyDescent="0.15">
      <c r="A82" s="48"/>
      <c r="B82" s="109"/>
      <c r="C82" s="110"/>
      <c r="D82" s="110"/>
      <c r="E82" s="111"/>
      <c r="F82" s="136"/>
      <c r="G82" s="137"/>
      <c r="H82" s="137"/>
      <c r="I82" s="138"/>
      <c r="J82" s="109"/>
      <c r="K82" s="110"/>
      <c r="L82" s="110"/>
      <c r="M82" s="110"/>
      <c r="N82" s="110"/>
      <c r="O82" s="111"/>
      <c r="P82" s="136"/>
      <c r="Q82" s="137"/>
      <c r="R82" s="137"/>
      <c r="S82" s="138"/>
    </row>
    <row r="83" spans="1:19" ht="18" customHeight="1" x14ac:dyDescent="0.15">
      <c r="A83" s="48"/>
      <c r="B83" s="109"/>
      <c r="C83" s="110"/>
      <c r="D83" s="110"/>
      <c r="E83" s="111"/>
      <c r="F83" s="136"/>
      <c r="G83" s="137"/>
      <c r="H83" s="137"/>
      <c r="I83" s="138"/>
      <c r="J83" s="109"/>
      <c r="K83" s="110"/>
      <c r="L83" s="110"/>
      <c r="M83" s="110"/>
      <c r="N83" s="110"/>
      <c r="O83" s="111"/>
      <c r="P83" s="136"/>
      <c r="Q83" s="137"/>
      <c r="R83" s="137"/>
      <c r="S83" s="138"/>
    </row>
    <row r="84" spans="1:19" ht="18" customHeight="1" x14ac:dyDescent="0.15">
      <c r="A84" s="48"/>
      <c r="B84" s="109"/>
      <c r="C84" s="110"/>
      <c r="D84" s="110"/>
      <c r="E84" s="111"/>
      <c r="F84" s="136"/>
      <c r="G84" s="137"/>
      <c r="H84" s="137"/>
      <c r="I84" s="138"/>
      <c r="J84" s="109"/>
      <c r="K84" s="110"/>
      <c r="L84" s="110"/>
      <c r="M84" s="110"/>
      <c r="N84" s="110"/>
      <c r="O84" s="111"/>
      <c r="P84" s="136"/>
      <c r="Q84" s="137"/>
      <c r="R84" s="137"/>
      <c r="S84" s="138"/>
    </row>
    <row r="85" spans="1:19" ht="18" customHeight="1" x14ac:dyDescent="0.15">
      <c r="A85" s="48"/>
      <c r="B85" s="115"/>
      <c r="C85" s="116"/>
      <c r="D85" s="116"/>
      <c r="E85" s="117"/>
      <c r="F85" s="145"/>
      <c r="G85" s="146"/>
      <c r="H85" s="146"/>
      <c r="I85" s="147"/>
      <c r="J85" s="115"/>
      <c r="K85" s="116"/>
      <c r="L85" s="116"/>
      <c r="M85" s="116"/>
      <c r="N85" s="116"/>
      <c r="O85" s="117"/>
      <c r="P85" s="145"/>
      <c r="Q85" s="146"/>
      <c r="R85" s="146"/>
      <c r="S85" s="147"/>
    </row>
    <row r="86" spans="1:19" ht="18" customHeight="1" x14ac:dyDescent="0.15">
      <c r="A86" s="48"/>
      <c r="B86" s="45"/>
      <c r="C86" s="45"/>
      <c r="D86" s="45"/>
      <c r="E86" s="45"/>
      <c r="F86" s="64"/>
      <c r="G86" s="64"/>
      <c r="H86" s="64"/>
      <c r="I86" s="64"/>
      <c r="J86" s="45"/>
      <c r="K86" s="45"/>
      <c r="L86" s="45"/>
      <c r="M86" s="45"/>
      <c r="N86" s="45"/>
      <c r="O86" s="45"/>
      <c r="P86" s="64"/>
      <c r="Q86" s="64"/>
      <c r="R86" s="64"/>
      <c r="S86" s="64"/>
    </row>
    <row r="87" spans="1:19" ht="18.75" customHeight="1" x14ac:dyDescent="0.15">
      <c r="A87" s="40" t="s">
        <v>119</v>
      </c>
    </row>
    <row r="88" spans="1:19" ht="18.75" customHeight="1" x14ac:dyDescent="0.15">
      <c r="B88" s="131" t="s">
        <v>54</v>
      </c>
      <c r="C88" s="132"/>
      <c r="D88" s="113" t="s">
        <v>55</v>
      </c>
      <c r="E88" s="113"/>
      <c r="F88" s="113"/>
      <c r="G88" s="113"/>
      <c r="H88" s="113"/>
      <c r="I88" s="113"/>
      <c r="J88" s="113"/>
      <c r="K88" s="113"/>
      <c r="L88" s="113"/>
      <c r="M88" s="113"/>
      <c r="N88" s="113"/>
      <c r="O88" s="113"/>
      <c r="P88" s="113"/>
      <c r="Q88" s="113"/>
      <c r="R88" s="113"/>
      <c r="S88" s="114"/>
    </row>
    <row r="89" spans="1:19" ht="97.5" customHeight="1" x14ac:dyDescent="0.15">
      <c r="B89" s="119" t="s">
        <v>61</v>
      </c>
      <c r="C89" s="65" t="s">
        <v>56</v>
      </c>
      <c r="D89" s="216" t="s">
        <v>228</v>
      </c>
      <c r="E89" s="217"/>
      <c r="F89" s="217"/>
      <c r="G89" s="217"/>
      <c r="H89" s="217"/>
      <c r="I89" s="217"/>
      <c r="J89" s="217"/>
      <c r="K89" s="217"/>
      <c r="L89" s="217"/>
      <c r="M89" s="217"/>
      <c r="N89" s="217"/>
      <c r="O89" s="217"/>
      <c r="P89" s="217"/>
      <c r="Q89" s="217"/>
      <c r="R89" s="217"/>
      <c r="S89" s="218"/>
    </row>
    <row r="90" spans="1:19" ht="97.5" customHeight="1" x14ac:dyDescent="0.15">
      <c r="B90" s="120"/>
      <c r="C90" s="66" t="s">
        <v>77</v>
      </c>
      <c r="D90" s="220" t="s">
        <v>229</v>
      </c>
      <c r="E90" s="221"/>
      <c r="F90" s="221"/>
      <c r="G90" s="221"/>
      <c r="H90" s="221"/>
      <c r="I90" s="221"/>
      <c r="J90" s="221"/>
      <c r="K90" s="221"/>
      <c r="L90" s="221"/>
      <c r="M90" s="221"/>
      <c r="N90" s="221"/>
      <c r="O90" s="221"/>
      <c r="P90" s="221"/>
      <c r="Q90" s="221"/>
      <c r="R90" s="221"/>
      <c r="S90" s="222"/>
    </row>
    <row r="91" spans="1:19" ht="97.5" customHeight="1" x14ac:dyDescent="0.15">
      <c r="B91" s="119" t="s">
        <v>62</v>
      </c>
      <c r="C91" s="67" t="s">
        <v>71</v>
      </c>
      <c r="D91" s="211" t="s">
        <v>230</v>
      </c>
      <c r="E91" s="183"/>
      <c r="F91" s="183"/>
      <c r="G91" s="183"/>
      <c r="H91" s="183"/>
      <c r="I91" s="183"/>
      <c r="J91" s="183"/>
      <c r="K91" s="183"/>
      <c r="L91" s="183"/>
      <c r="M91" s="183"/>
      <c r="N91" s="183"/>
      <c r="O91" s="183"/>
      <c r="P91" s="183"/>
      <c r="Q91" s="183"/>
      <c r="R91" s="183"/>
      <c r="S91" s="184"/>
    </row>
    <row r="92" spans="1:19" ht="97.5" customHeight="1" x14ac:dyDescent="0.15">
      <c r="B92" s="121"/>
      <c r="C92" s="68" t="s">
        <v>72</v>
      </c>
      <c r="D92" s="205" t="s">
        <v>231</v>
      </c>
      <c r="E92" s="206"/>
      <c r="F92" s="206"/>
      <c r="G92" s="206"/>
      <c r="H92" s="206"/>
      <c r="I92" s="206"/>
      <c r="J92" s="206"/>
      <c r="K92" s="206"/>
      <c r="L92" s="206"/>
      <c r="M92" s="206"/>
      <c r="N92" s="206"/>
      <c r="O92" s="206"/>
      <c r="P92" s="206"/>
      <c r="Q92" s="206"/>
      <c r="R92" s="206"/>
      <c r="S92" s="207"/>
    </row>
    <row r="93" spans="1:19" ht="97.5" customHeight="1" x14ac:dyDescent="0.15">
      <c r="B93" s="119" t="s">
        <v>63</v>
      </c>
      <c r="C93" s="67" t="s">
        <v>73</v>
      </c>
      <c r="D93" s="211" t="s">
        <v>232</v>
      </c>
      <c r="E93" s="183"/>
      <c r="F93" s="183"/>
      <c r="G93" s="183"/>
      <c r="H93" s="183"/>
      <c r="I93" s="183"/>
      <c r="J93" s="183"/>
      <c r="K93" s="183"/>
      <c r="L93" s="183"/>
      <c r="M93" s="183"/>
      <c r="N93" s="183"/>
      <c r="O93" s="183"/>
      <c r="P93" s="183"/>
      <c r="Q93" s="183"/>
      <c r="R93" s="183"/>
      <c r="S93" s="184"/>
    </row>
    <row r="94" spans="1:19" ht="97.5" customHeight="1" x14ac:dyDescent="0.15">
      <c r="B94" s="121"/>
      <c r="C94" s="69" t="s">
        <v>74</v>
      </c>
      <c r="D94" s="208" t="s">
        <v>233</v>
      </c>
      <c r="E94" s="209"/>
      <c r="F94" s="209"/>
      <c r="G94" s="209"/>
      <c r="H94" s="209"/>
      <c r="I94" s="209"/>
      <c r="J94" s="209"/>
      <c r="K94" s="209"/>
      <c r="L94" s="209"/>
      <c r="M94" s="209"/>
      <c r="N94" s="209"/>
      <c r="O94" s="209"/>
      <c r="P94" s="209"/>
      <c r="Q94" s="209"/>
      <c r="R94" s="209"/>
      <c r="S94" s="210"/>
    </row>
    <row r="95" spans="1:19" ht="97.5" customHeight="1" x14ac:dyDescent="0.15">
      <c r="B95" s="119" t="s">
        <v>78</v>
      </c>
      <c r="C95" s="65" t="s">
        <v>58</v>
      </c>
      <c r="D95" s="216" t="s">
        <v>234</v>
      </c>
      <c r="E95" s="217"/>
      <c r="F95" s="217"/>
      <c r="G95" s="217"/>
      <c r="H95" s="217"/>
      <c r="I95" s="217"/>
      <c r="J95" s="217"/>
      <c r="K95" s="217"/>
      <c r="L95" s="217"/>
      <c r="M95" s="217"/>
      <c r="N95" s="217"/>
      <c r="O95" s="217"/>
      <c r="P95" s="217"/>
      <c r="Q95" s="217"/>
      <c r="R95" s="217"/>
      <c r="S95" s="218"/>
    </row>
    <row r="96" spans="1:19" ht="97.5" customHeight="1" x14ac:dyDescent="0.15">
      <c r="B96" s="121"/>
      <c r="C96" s="68" t="s">
        <v>60</v>
      </c>
      <c r="D96" s="205" t="s">
        <v>235</v>
      </c>
      <c r="E96" s="206"/>
      <c r="F96" s="206"/>
      <c r="G96" s="206"/>
      <c r="H96" s="206"/>
      <c r="I96" s="206"/>
      <c r="J96" s="206"/>
      <c r="K96" s="206"/>
      <c r="L96" s="206"/>
      <c r="M96" s="206"/>
      <c r="N96" s="206"/>
      <c r="O96" s="206"/>
      <c r="P96" s="206"/>
      <c r="Q96" s="206"/>
      <c r="R96" s="206"/>
      <c r="S96" s="207"/>
    </row>
    <row r="97" spans="1:19" ht="234.95" customHeight="1" x14ac:dyDescent="0.15">
      <c r="B97" s="119" t="s">
        <v>79</v>
      </c>
      <c r="C97" s="67" t="s">
        <v>57</v>
      </c>
      <c r="D97" s="212" t="s">
        <v>236</v>
      </c>
      <c r="E97" s="107"/>
      <c r="F97" s="107"/>
      <c r="G97" s="107"/>
      <c r="H97" s="107"/>
      <c r="I97" s="107"/>
      <c r="J97" s="107"/>
      <c r="K97" s="107"/>
      <c r="L97" s="107"/>
      <c r="M97" s="107"/>
      <c r="N97" s="107"/>
      <c r="O97" s="107"/>
      <c r="P97" s="107"/>
      <c r="Q97" s="107"/>
      <c r="R97" s="107"/>
      <c r="S97" s="108"/>
    </row>
    <row r="98" spans="1:19" ht="97.5" customHeight="1" x14ac:dyDescent="0.15">
      <c r="B98" s="120"/>
      <c r="C98" s="70" t="s">
        <v>75</v>
      </c>
      <c r="D98" s="219" t="s">
        <v>237</v>
      </c>
      <c r="E98" s="110"/>
      <c r="F98" s="110"/>
      <c r="G98" s="110"/>
      <c r="H98" s="110"/>
      <c r="I98" s="110"/>
      <c r="J98" s="110"/>
      <c r="K98" s="110"/>
      <c r="L98" s="110"/>
      <c r="M98" s="110"/>
      <c r="N98" s="110"/>
      <c r="O98" s="110"/>
      <c r="P98" s="110"/>
      <c r="Q98" s="110"/>
      <c r="R98" s="110"/>
      <c r="S98" s="111"/>
    </row>
    <row r="99" spans="1:19" ht="97.5" customHeight="1" x14ac:dyDescent="0.15">
      <c r="B99" s="121"/>
      <c r="C99" s="69" t="s">
        <v>76</v>
      </c>
      <c r="D99" s="213" t="s">
        <v>238</v>
      </c>
      <c r="E99" s="214"/>
      <c r="F99" s="214"/>
      <c r="G99" s="214"/>
      <c r="H99" s="214"/>
      <c r="I99" s="214"/>
      <c r="J99" s="214"/>
      <c r="K99" s="214"/>
      <c r="L99" s="214"/>
      <c r="M99" s="214"/>
      <c r="N99" s="214"/>
      <c r="O99" s="214"/>
      <c r="P99" s="214"/>
      <c r="Q99" s="214"/>
      <c r="R99" s="214"/>
      <c r="S99" s="215"/>
    </row>
    <row r="100" spans="1:19" ht="6" customHeight="1" x14ac:dyDescent="0.15"/>
    <row r="101" spans="1:19" ht="18.75" customHeight="1" x14ac:dyDescent="0.15">
      <c r="A101" s="40" t="s">
        <v>120</v>
      </c>
    </row>
    <row r="102" spans="1:19" ht="81.75" customHeight="1" x14ac:dyDescent="0.15">
      <c r="B102" s="142" t="s">
        <v>132</v>
      </c>
      <c r="C102" s="143"/>
      <c r="D102" s="143"/>
      <c r="E102" s="143"/>
      <c r="F102" s="143"/>
      <c r="G102" s="143"/>
      <c r="H102" s="143"/>
      <c r="I102" s="143"/>
      <c r="J102" s="143"/>
      <c r="K102" s="143"/>
      <c r="L102" s="143"/>
      <c r="M102" s="143"/>
      <c r="N102" s="143"/>
      <c r="O102" s="143"/>
      <c r="P102" s="143"/>
      <c r="Q102" s="143"/>
      <c r="R102" s="143"/>
      <c r="S102" s="144"/>
    </row>
    <row r="110" spans="1:19" ht="18" customHeight="1" x14ac:dyDescent="0.15"/>
  </sheetData>
  <mergeCells count="145">
    <mergeCell ref="B69:D69"/>
    <mergeCell ref="B70:D70"/>
    <mergeCell ref="J53:O53"/>
    <mergeCell ref="B48:E48"/>
    <mergeCell ref="B61:E61"/>
    <mergeCell ref="B42:E42"/>
    <mergeCell ref="J47:O47"/>
    <mergeCell ref="J48:O48"/>
    <mergeCell ref="J49:O49"/>
    <mergeCell ref="J50:O50"/>
    <mergeCell ref="B52:E52"/>
    <mergeCell ref="B53:E53"/>
    <mergeCell ref="J51:O51"/>
    <mergeCell ref="J52:O52"/>
    <mergeCell ref="B62:E62"/>
    <mergeCell ref="B63:E63"/>
    <mergeCell ref="B64:E64"/>
    <mergeCell ref="B68:D68"/>
    <mergeCell ref="J68:N68"/>
    <mergeCell ref="J60:O60"/>
    <mergeCell ref="J61:O61"/>
    <mergeCell ref="J62:O62"/>
    <mergeCell ref="J63:O63"/>
    <mergeCell ref="J64:O64"/>
    <mergeCell ref="D98:S98"/>
    <mergeCell ref="B93:B94"/>
    <mergeCell ref="D90:S90"/>
    <mergeCell ref="D91:S91"/>
    <mergeCell ref="B91:B92"/>
    <mergeCell ref="J36:O36"/>
    <mergeCell ref="J37:O37"/>
    <mergeCell ref="J38:O38"/>
    <mergeCell ref="J57:O57"/>
    <mergeCell ref="J58:O58"/>
    <mergeCell ref="B71:D71"/>
    <mergeCell ref="B72:D72"/>
    <mergeCell ref="B38:E38"/>
    <mergeCell ref="B39:E39"/>
    <mergeCell ref="D88:S88"/>
    <mergeCell ref="D89:S89"/>
    <mergeCell ref="J79:O79"/>
    <mergeCell ref="P79:S79"/>
    <mergeCell ref="P78:S78"/>
    <mergeCell ref="B79:E79"/>
    <mergeCell ref="B78:E78"/>
    <mergeCell ref="F79:I79"/>
    <mergeCell ref="B51:E51"/>
    <mergeCell ref="J71:N71"/>
    <mergeCell ref="A66:S67"/>
    <mergeCell ref="B60:E60"/>
    <mergeCell ref="J69:N69"/>
    <mergeCell ref="J70:N70"/>
    <mergeCell ref="B102:S102"/>
    <mergeCell ref="P85:S85"/>
    <mergeCell ref="B80:E80"/>
    <mergeCell ref="F80:I80"/>
    <mergeCell ref="J80:O80"/>
    <mergeCell ref="P80:S80"/>
    <mergeCell ref="B83:E83"/>
    <mergeCell ref="F83:I83"/>
    <mergeCell ref="J83:O83"/>
    <mergeCell ref="P84:S84"/>
    <mergeCell ref="B85:E85"/>
    <mergeCell ref="F85:I85"/>
    <mergeCell ref="P83:S83"/>
    <mergeCell ref="B81:E81"/>
    <mergeCell ref="B97:B99"/>
    <mergeCell ref="D97:S97"/>
    <mergeCell ref="D99:S99"/>
    <mergeCell ref="B95:B96"/>
    <mergeCell ref="D95:S95"/>
    <mergeCell ref="J85:O85"/>
    <mergeCell ref="B88:C88"/>
    <mergeCell ref="D96:S96"/>
    <mergeCell ref="B89:B90"/>
    <mergeCell ref="B82:E82"/>
    <mergeCell ref="F81:I81"/>
    <mergeCell ref="D94:S94"/>
    <mergeCell ref="D92:S92"/>
    <mergeCell ref="D93:S93"/>
    <mergeCell ref="B84:E84"/>
    <mergeCell ref="F84:I84"/>
    <mergeCell ref="J84:O84"/>
    <mergeCell ref="P81:S81"/>
    <mergeCell ref="P82:S82"/>
    <mergeCell ref="B74:D74"/>
    <mergeCell ref="B75:D75"/>
    <mergeCell ref="J72:N72"/>
    <mergeCell ref="J73:N73"/>
    <mergeCell ref="J74:N74"/>
    <mergeCell ref="J75:N75"/>
    <mergeCell ref="F82:I82"/>
    <mergeCell ref="J81:O81"/>
    <mergeCell ref="J82:O82"/>
    <mergeCell ref="B73:D73"/>
    <mergeCell ref="F78:I78"/>
    <mergeCell ref="J78:O78"/>
    <mergeCell ref="B58:E58"/>
    <mergeCell ref="B59:E59"/>
    <mergeCell ref="B46:E46"/>
    <mergeCell ref="B47:E47"/>
    <mergeCell ref="B49:E49"/>
    <mergeCell ref="A55:S56"/>
    <mergeCell ref="J59:O59"/>
    <mergeCell ref="R1:S1"/>
    <mergeCell ref="B24:E24"/>
    <mergeCell ref="B25:E25"/>
    <mergeCell ref="B26:E26"/>
    <mergeCell ref="B27:E27"/>
    <mergeCell ref="B28:E28"/>
    <mergeCell ref="B29:E29"/>
    <mergeCell ref="B30:E30"/>
    <mergeCell ref="B37:E37"/>
    <mergeCell ref="B9:S10"/>
    <mergeCell ref="A33:S34"/>
    <mergeCell ref="C20:D20"/>
    <mergeCell ref="B35:E35"/>
    <mergeCell ref="B36:E36"/>
    <mergeCell ref="J25:O25"/>
    <mergeCell ref="J26:O26"/>
    <mergeCell ref="A5:S5"/>
    <mergeCell ref="J27:O27"/>
    <mergeCell ref="J28:O28"/>
    <mergeCell ref="J29:O29"/>
    <mergeCell ref="J30:O30"/>
    <mergeCell ref="J31:O31"/>
    <mergeCell ref="J35:O35"/>
    <mergeCell ref="C2:M2"/>
    <mergeCell ref="K20:S20"/>
    <mergeCell ref="B57:E57"/>
    <mergeCell ref="B13:S18"/>
    <mergeCell ref="A22:S23"/>
    <mergeCell ref="K7:S7"/>
    <mergeCell ref="C3:M3"/>
    <mergeCell ref="B31:E31"/>
    <mergeCell ref="J24:O24"/>
    <mergeCell ref="B40:E40"/>
    <mergeCell ref="B50:E50"/>
    <mergeCell ref="J46:O46"/>
    <mergeCell ref="J39:O39"/>
    <mergeCell ref="J40:O40"/>
    <mergeCell ref="J41:O41"/>
    <mergeCell ref="J42:O42"/>
    <mergeCell ref="A44:S45"/>
    <mergeCell ref="B41:E41"/>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8D0781BD-BB46-47E4-B306-E5D299761C76}">
      <formula1>$V$14:$V$16</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G25:I31 Q25:S31 G36:I42 Q36:S42 G47:I53 Q47:S53 G58:I64 Q58:S64 P69:S75 G69:I75 F70:F75" xr:uid="{4C0986EB-3601-4249-85F7-B678A400A117}">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70BA-8D62-4FBB-AC45-C33E6515AB6F}">
  <sheetPr>
    <pageSetUpPr fitToPage="1"/>
  </sheetPr>
  <dimension ref="A1:V110"/>
  <sheetViews>
    <sheetView showZeros="0" tabSelected="1" view="pageBreakPreview" zoomScaleNormal="100" zoomScaleSheetLayoutView="100" workbookViewId="0">
      <selection activeCell="B13" sqref="B13:S18"/>
    </sheetView>
  </sheetViews>
  <sheetFormatPr defaultColWidth="9" defaultRowHeight="18.75" customHeight="1" x14ac:dyDescent="0.15"/>
  <cols>
    <col min="1" max="1" width="2.5" style="40" customWidth="1"/>
    <col min="2" max="2" width="16.5" style="40" customWidth="1"/>
    <col min="3" max="19" width="5.625" style="40" customWidth="1"/>
    <col min="20" max="20" width="9" style="40"/>
    <col min="21" max="21" width="3.625" style="40" customWidth="1"/>
    <col min="22" max="22" width="48.625" style="40" hidden="1" customWidth="1"/>
    <col min="23" max="16384" width="9" style="40"/>
  </cols>
  <sheetData>
    <row r="1" spans="1:22" ht="18.75" customHeight="1" x14ac:dyDescent="0.15">
      <c r="R1" s="157" t="s">
        <v>188</v>
      </c>
      <c r="S1" s="157"/>
      <c r="T1" s="42" t="s">
        <v>109</v>
      </c>
    </row>
    <row r="2" spans="1:22" ht="18.75" customHeight="1" x14ac:dyDescent="0.15">
      <c r="B2" s="43" t="s">
        <v>108</v>
      </c>
      <c r="C2" s="172" t="s">
        <v>127</v>
      </c>
      <c r="D2" s="172"/>
      <c r="E2" s="172"/>
      <c r="F2" s="172"/>
      <c r="G2" s="172"/>
      <c r="H2" s="172"/>
      <c r="I2" s="172"/>
      <c r="J2" s="172"/>
      <c r="K2" s="172"/>
      <c r="L2" s="172"/>
      <c r="M2" s="172"/>
      <c r="N2" s="45"/>
      <c r="O2" s="45"/>
      <c r="P2" s="45"/>
      <c r="Q2" s="45"/>
      <c r="R2" s="45"/>
      <c r="S2" s="45"/>
    </row>
    <row r="3" spans="1:22" ht="18.75" customHeight="1" x14ac:dyDescent="0.15">
      <c r="B3" s="43" t="s">
        <v>102</v>
      </c>
      <c r="C3" s="172" t="s">
        <v>128</v>
      </c>
      <c r="D3" s="172"/>
      <c r="E3" s="172"/>
      <c r="F3" s="172"/>
      <c r="G3" s="172"/>
      <c r="H3" s="172"/>
      <c r="I3" s="172"/>
      <c r="J3" s="172"/>
      <c r="K3" s="172"/>
      <c r="L3" s="172"/>
      <c r="M3" s="172"/>
      <c r="N3" s="45"/>
      <c r="O3" s="45"/>
      <c r="P3" s="45"/>
      <c r="Q3" s="45"/>
      <c r="R3" s="45"/>
      <c r="S3" s="45"/>
    </row>
    <row r="4" spans="1:22" ht="15" customHeight="1" x14ac:dyDescent="0.15">
      <c r="K4" s="41"/>
      <c r="L4" s="46"/>
      <c r="M4" s="46"/>
      <c r="N4" s="46"/>
      <c r="O4" s="46"/>
      <c r="P4" s="46"/>
      <c r="Q4" s="46"/>
      <c r="R4" s="46"/>
      <c r="S4" s="46"/>
    </row>
    <row r="5" spans="1:22" ht="18" customHeight="1" x14ac:dyDescent="0.15">
      <c r="A5" s="161" t="s">
        <v>38</v>
      </c>
      <c r="B5" s="161"/>
      <c r="C5" s="161"/>
      <c r="D5" s="161"/>
      <c r="E5" s="161"/>
      <c r="F5" s="161"/>
      <c r="G5" s="161"/>
      <c r="H5" s="161"/>
      <c r="I5" s="161"/>
      <c r="J5" s="161"/>
      <c r="K5" s="161"/>
      <c r="L5" s="161"/>
      <c r="M5" s="161"/>
      <c r="N5" s="161"/>
      <c r="O5" s="161"/>
      <c r="P5" s="161"/>
      <c r="Q5" s="161"/>
      <c r="R5" s="161"/>
      <c r="S5" s="161"/>
    </row>
    <row r="6" spans="1:22" ht="15" customHeight="1" x14ac:dyDescent="0.15">
      <c r="B6" s="48"/>
      <c r="C6" s="48"/>
      <c r="D6" s="48"/>
      <c r="E6" s="48"/>
      <c r="F6" s="48"/>
      <c r="G6" s="48"/>
      <c r="H6" s="48"/>
      <c r="I6" s="48"/>
      <c r="J6" s="48"/>
      <c r="K6" s="48"/>
      <c r="L6" s="48"/>
      <c r="M6" s="48"/>
      <c r="N6" s="48"/>
      <c r="O6" s="48"/>
      <c r="P6" s="48"/>
      <c r="Q6" s="48"/>
      <c r="R6" s="48"/>
      <c r="S6" s="48"/>
    </row>
    <row r="7" spans="1:22" ht="18" customHeight="1" x14ac:dyDescent="0.15">
      <c r="A7" s="40" t="s">
        <v>123</v>
      </c>
      <c r="C7" s="48"/>
      <c r="J7" s="49" t="s">
        <v>107</v>
      </c>
      <c r="K7" s="169" t="s">
        <v>125</v>
      </c>
      <c r="L7" s="170"/>
      <c r="M7" s="170"/>
      <c r="N7" s="170"/>
      <c r="O7" s="170"/>
      <c r="P7" s="170"/>
      <c r="Q7" s="170"/>
      <c r="R7" s="170"/>
      <c r="S7" s="171"/>
    </row>
    <row r="8" spans="1:22" ht="6" customHeight="1" x14ac:dyDescent="0.15">
      <c r="B8" s="48"/>
      <c r="C8" s="48"/>
      <c r="D8" s="48"/>
      <c r="E8" s="48"/>
      <c r="F8" s="48"/>
      <c r="G8" s="48"/>
      <c r="H8" s="48"/>
      <c r="I8" s="48"/>
      <c r="J8" s="48"/>
      <c r="K8" s="50"/>
      <c r="L8" s="48"/>
      <c r="M8" s="48"/>
      <c r="N8" s="48"/>
      <c r="O8" s="48"/>
      <c r="P8" s="48"/>
      <c r="Q8" s="48"/>
      <c r="R8" s="48"/>
      <c r="S8" s="48"/>
    </row>
    <row r="9" spans="1:22" ht="18" customHeight="1" x14ac:dyDescent="0.15">
      <c r="B9" s="173" t="s">
        <v>189</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48"/>
      <c r="C11" s="48"/>
      <c r="D11" s="48"/>
      <c r="E11" s="48"/>
      <c r="F11" s="48"/>
      <c r="G11" s="48"/>
      <c r="H11" s="48"/>
      <c r="I11" s="48"/>
      <c r="J11" s="48"/>
      <c r="K11" s="50"/>
      <c r="L11" s="48"/>
      <c r="M11" s="48"/>
      <c r="N11" s="48"/>
      <c r="O11" s="48"/>
      <c r="P11" s="48"/>
      <c r="Q11" s="48"/>
      <c r="R11" s="48"/>
      <c r="S11" s="48"/>
    </row>
    <row r="12" spans="1:22" ht="18" customHeight="1" x14ac:dyDescent="0.15">
      <c r="A12" s="40" t="s">
        <v>111</v>
      </c>
      <c r="B12" s="48"/>
      <c r="C12" s="48"/>
      <c r="D12" s="41"/>
      <c r="E12" s="41"/>
      <c r="F12" s="41"/>
      <c r="G12" s="41"/>
      <c r="H12" s="41"/>
      <c r="I12" s="41"/>
      <c r="J12" s="41"/>
      <c r="K12" s="51"/>
      <c r="L12" s="51"/>
      <c r="M12" s="51"/>
      <c r="N12" s="51"/>
      <c r="O12" s="51"/>
      <c r="P12" s="51"/>
      <c r="Q12" s="51"/>
      <c r="R12" s="51"/>
      <c r="S12" s="51"/>
    </row>
    <row r="13" spans="1:22" ht="18" customHeight="1" x14ac:dyDescent="0.15">
      <c r="B13" s="162" t="s">
        <v>263</v>
      </c>
      <c r="C13" s="128"/>
      <c r="D13" s="128"/>
      <c r="E13" s="128"/>
      <c r="F13" s="128"/>
      <c r="G13" s="128"/>
      <c r="H13" s="128"/>
      <c r="I13" s="128"/>
      <c r="J13" s="128"/>
      <c r="K13" s="128"/>
      <c r="L13" s="128"/>
      <c r="M13" s="128"/>
      <c r="N13" s="128"/>
      <c r="O13" s="128"/>
      <c r="P13" s="128"/>
      <c r="Q13" s="128"/>
      <c r="R13" s="128"/>
      <c r="S13" s="163"/>
      <c r="V13" s="40" t="s">
        <v>103</v>
      </c>
    </row>
    <row r="14" spans="1:22" ht="18" customHeight="1" x14ac:dyDescent="0.15">
      <c r="B14" s="164"/>
      <c r="C14" s="165"/>
      <c r="D14" s="165"/>
      <c r="E14" s="165"/>
      <c r="F14" s="165"/>
      <c r="G14" s="165"/>
      <c r="H14" s="165"/>
      <c r="I14" s="165"/>
      <c r="J14" s="165"/>
      <c r="K14" s="165"/>
      <c r="L14" s="165"/>
      <c r="M14" s="165"/>
      <c r="N14" s="165"/>
      <c r="O14" s="165"/>
      <c r="P14" s="165"/>
      <c r="Q14" s="165"/>
      <c r="R14" s="165"/>
      <c r="S14" s="166"/>
      <c r="V14" s="40" t="s">
        <v>110</v>
      </c>
    </row>
    <row r="15" spans="1:22" ht="18" customHeight="1" x14ac:dyDescent="0.15">
      <c r="B15" s="164"/>
      <c r="C15" s="165"/>
      <c r="D15" s="165"/>
      <c r="E15" s="165"/>
      <c r="F15" s="165"/>
      <c r="G15" s="165"/>
      <c r="H15" s="165"/>
      <c r="I15" s="165"/>
      <c r="J15" s="165"/>
      <c r="K15" s="165"/>
      <c r="L15" s="165"/>
      <c r="M15" s="165"/>
      <c r="N15" s="165"/>
      <c r="O15" s="165"/>
      <c r="P15" s="165"/>
      <c r="Q15" s="165"/>
      <c r="R15" s="165"/>
      <c r="S15" s="166"/>
      <c r="V15" s="40" t="s">
        <v>122</v>
      </c>
    </row>
    <row r="16" spans="1:22" ht="18" customHeight="1" x14ac:dyDescent="0.15">
      <c r="B16" s="164"/>
      <c r="C16" s="165"/>
      <c r="D16" s="165"/>
      <c r="E16" s="165"/>
      <c r="F16" s="165"/>
      <c r="G16" s="165"/>
      <c r="H16" s="165"/>
      <c r="I16" s="165"/>
      <c r="J16" s="165"/>
      <c r="K16" s="165"/>
      <c r="L16" s="165"/>
      <c r="M16" s="165"/>
      <c r="N16" s="165"/>
      <c r="O16" s="165"/>
      <c r="P16" s="165"/>
      <c r="Q16" s="165"/>
      <c r="R16" s="165"/>
      <c r="S16" s="166"/>
      <c r="V16" s="40" t="s">
        <v>124</v>
      </c>
    </row>
    <row r="17" spans="1:19" ht="18" customHeight="1" x14ac:dyDescent="0.15">
      <c r="B17" s="164"/>
      <c r="C17" s="165"/>
      <c r="D17" s="165"/>
      <c r="E17" s="165"/>
      <c r="F17" s="165"/>
      <c r="G17" s="165"/>
      <c r="H17" s="165"/>
      <c r="I17" s="165"/>
      <c r="J17" s="165"/>
      <c r="K17" s="165"/>
      <c r="L17" s="165"/>
      <c r="M17" s="165"/>
      <c r="N17" s="165"/>
      <c r="O17" s="165"/>
      <c r="P17" s="165"/>
      <c r="Q17" s="165"/>
      <c r="R17" s="165"/>
      <c r="S17" s="166"/>
    </row>
    <row r="18" spans="1:19" ht="18" customHeight="1" x14ac:dyDescent="0.15">
      <c r="B18" s="167"/>
      <c r="C18" s="125"/>
      <c r="D18" s="125"/>
      <c r="E18" s="125"/>
      <c r="F18" s="125"/>
      <c r="G18" s="125"/>
      <c r="H18" s="125"/>
      <c r="I18" s="125"/>
      <c r="J18" s="125"/>
      <c r="K18" s="125"/>
      <c r="L18" s="125"/>
      <c r="M18" s="125"/>
      <c r="N18" s="125"/>
      <c r="O18" s="125"/>
      <c r="P18" s="125"/>
      <c r="Q18" s="125"/>
      <c r="R18" s="125"/>
      <c r="S18" s="168"/>
    </row>
    <row r="19" spans="1:19" ht="7.5" customHeight="1" x14ac:dyDescent="0.15">
      <c r="B19" s="48"/>
      <c r="C19" s="48"/>
      <c r="D19" s="48"/>
      <c r="E19" s="48"/>
      <c r="F19" s="48"/>
      <c r="G19" s="48"/>
      <c r="H19" s="48"/>
      <c r="I19" s="48"/>
      <c r="J19" s="48"/>
      <c r="K19" s="48"/>
      <c r="L19" s="48"/>
      <c r="M19" s="48"/>
      <c r="N19" s="48"/>
      <c r="O19" s="48"/>
      <c r="P19" s="48"/>
      <c r="Q19" s="48"/>
      <c r="R19" s="48"/>
      <c r="S19" s="48"/>
    </row>
    <row r="20" spans="1:19" ht="20.100000000000001" customHeight="1" x14ac:dyDescent="0.15">
      <c r="B20" s="40" t="s">
        <v>112</v>
      </c>
      <c r="C20" s="112">
        <v>20</v>
      </c>
      <c r="D20" s="114"/>
      <c r="E20" s="52" t="s">
        <v>95</v>
      </c>
      <c r="G20" s="50"/>
      <c r="H20" s="48"/>
      <c r="I20" s="48"/>
      <c r="J20" s="41" t="s">
        <v>121</v>
      </c>
      <c r="K20" s="158" t="s">
        <v>124</v>
      </c>
      <c r="L20" s="159"/>
      <c r="M20" s="159"/>
      <c r="N20" s="159"/>
      <c r="O20" s="159"/>
      <c r="P20" s="159"/>
      <c r="Q20" s="159"/>
      <c r="R20" s="159"/>
      <c r="S20" s="160"/>
    </row>
    <row r="21" spans="1:19" ht="7.5" customHeight="1" x14ac:dyDescent="0.15">
      <c r="B21" s="48"/>
      <c r="C21" s="48"/>
      <c r="D21" s="48"/>
      <c r="E21" s="48"/>
      <c r="F21" s="48"/>
      <c r="G21" s="48"/>
      <c r="H21" s="48"/>
      <c r="I21" s="48"/>
      <c r="J21" s="48"/>
      <c r="K21" s="48"/>
      <c r="L21" s="48"/>
      <c r="M21" s="48"/>
      <c r="N21" s="48"/>
      <c r="O21" s="48"/>
      <c r="P21" s="48"/>
      <c r="Q21" s="48"/>
      <c r="R21" s="48"/>
      <c r="S21" s="48"/>
    </row>
    <row r="22" spans="1:19" ht="18" customHeight="1" x14ac:dyDescent="0.15">
      <c r="A22" s="118" t="s">
        <v>113</v>
      </c>
      <c r="B22" s="118"/>
      <c r="C22" s="118"/>
      <c r="D22" s="118"/>
      <c r="E22" s="118"/>
      <c r="F22" s="118"/>
      <c r="G22" s="118"/>
      <c r="H22" s="118"/>
      <c r="I22" s="118"/>
      <c r="J22" s="118"/>
      <c r="K22" s="118"/>
      <c r="L22" s="118"/>
      <c r="M22" s="118"/>
      <c r="N22" s="118"/>
      <c r="O22" s="118"/>
      <c r="P22" s="118"/>
      <c r="Q22" s="118"/>
      <c r="R22" s="118"/>
      <c r="S22" s="118"/>
    </row>
    <row r="23" spans="1:19" ht="18" customHeight="1" x14ac:dyDescent="0.15">
      <c r="A23" s="118"/>
      <c r="B23" s="118"/>
      <c r="C23" s="118"/>
      <c r="D23" s="118"/>
      <c r="E23" s="118"/>
      <c r="F23" s="118"/>
      <c r="G23" s="118"/>
      <c r="H23" s="118"/>
      <c r="I23" s="118"/>
      <c r="J23" s="118"/>
      <c r="K23" s="118"/>
      <c r="L23" s="118"/>
      <c r="M23" s="118"/>
      <c r="N23" s="118"/>
      <c r="O23" s="118"/>
      <c r="P23" s="118"/>
      <c r="Q23" s="118"/>
      <c r="R23" s="118"/>
      <c r="S23" s="118"/>
    </row>
    <row r="24" spans="1:19" ht="18" customHeight="1" x14ac:dyDescent="0.15">
      <c r="B24" s="112" t="s">
        <v>53</v>
      </c>
      <c r="C24" s="113"/>
      <c r="D24" s="113"/>
      <c r="E24" s="114"/>
      <c r="F24" s="54" t="s">
        <v>80</v>
      </c>
      <c r="G24" s="55" t="s">
        <v>84</v>
      </c>
      <c r="H24" s="56" t="s">
        <v>56</v>
      </c>
      <c r="I24" s="56" t="s">
        <v>59</v>
      </c>
      <c r="J24" s="112" t="s">
        <v>53</v>
      </c>
      <c r="K24" s="113"/>
      <c r="L24" s="113"/>
      <c r="M24" s="113"/>
      <c r="N24" s="113"/>
      <c r="O24" s="114"/>
      <c r="P24" s="54" t="s">
        <v>80</v>
      </c>
      <c r="Q24" s="55" t="s">
        <v>84</v>
      </c>
      <c r="R24" s="56" t="s">
        <v>56</v>
      </c>
      <c r="S24" s="56" t="s">
        <v>59</v>
      </c>
    </row>
    <row r="25" spans="1:19" ht="18" customHeight="1" x14ac:dyDescent="0.15">
      <c r="B25" s="106" t="s">
        <v>165</v>
      </c>
      <c r="C25" s="107"/>
      <c r="D25" s="107"/>
      <c r="E25" s="108"/>
      <c r="F25" s="57">
        <v>1</v>
      </c>
      <c r="G25" s="57" t="s">
        <v>126</v>
      </c>
      <c r="H25" s="57" t="s">
        <v>126</v>
      </c>
      <c r="I25" s="57"/>
      <c r="J25" s="106"/>
      <c r="K25" s="107"/>
      <c r="L25" s="107"/>
      <c r="M25" s="107"/>
      <c r="N25" s="107"/>
      <c r="O25" s="108"/>
      <c r="P25" s="57"/>
      <c r="Q25" s="57"/>
      <c r="R25" s="57"/>
      <c r="S25" s="57"/>
    </row>
    <row r="26" spans="1:19" ht="18" customHeight="1" x14ac:dyDescent="0.15">
      <c r="B26" s="109" t="s">
        <v>166</v>
      </c>
      <c r="C26" s="110"/>
      <c r="D26" s="110"/>
      <c r="E26" s="111"/>
      <c r="F26" s="58">
        <v>2</v>
      </c>
      <c r="G26" s="58" t="s">
        <v>126</v>
      </c>
      <c r="H26" s="58" t="s">
        <v>126</v>
      </c>
      <c r="I26" s="58" t="s">
        <v>126</v>
      </c>
      <c r="J26" s="109"/>
      <c r="K26" s="110"/>
      <c r="L26" s="110"/>
      <c r="M26" s="110"/>
      <c r="N26" s="110"/>
      <c r="O26" s="111"/>
      <c r="P26" s="58"/>
      <c r="Q26" s="58"/>
      <c r="R26" s="58"/>
      <c r="S26" s="58"/>
    </row>
    <row r="27" spans="1:19" ht="18" customHeight="1" x14ac:dyDescent="0.15">
      <c r="B27" s="109" t="s">
        <v>167</v>
      </c>
      <c r="C27" s="110"/>
      <c r="D27" s="110"/>
      <c r="E27" s="111"/>
      <c r="F27" s="58">
        <v>2</v>
      </c>
      <c r="G27" s="58" t="s">
        <v>126</v>
      </c>
      <c r="H27" s="58" t="s">
        <v>126</v>
      </c>
      <c r="I27" s="58"/>
      <c r="J27" s="109"/>
      <c r="K27" s="110"/>
      <c r="L27" s="110"/>
      <c r="M27" s="110"/>
      <c r="N27" s="110"/>
      <c r="O27" s="111"/>
      <c r="P27" s="58"/>
      <c r="Q27" s="58"/>
      <c r="R27" s="58"/>
      <c r="S27" s="58"/>
    </row>
    <row r="28" spans="1:19" ht="18" customHeight="1" x14ac:dyDescent="0.15">
      <c r="B28" s="109"/>
      <c r="C28" s="110"/>
      <c r="D28" s="110"/>
      <c r="E28" s="111"/>
      <c r="F28" s="58"/>
      <c r="G28" s="58"/>
      <c r="H28" s="58"/>
      <c r="I28" s="58"/>
      <c r="J28" s="109"/>
      <c r="K28" s="110"/>
      <c r="L28" s="110"/>
      <c r="M28" s="110"/>
      <c r="N28" s="110"/>
      <c r="O28" s="111"/>
      <c r="P28" s="58"/>
      <c r="Q28" s="58"/>
      <c r="R28" s="58"/>
      <c r="S28" s="58"/>
    </row>
    <row r="29" spans="1:19" ht="18" customHeight="1" x14ac:dyDescent="0.15">
      <c r="B29" s="109"/>
      <c r="C29" s="110"/>
      <c r="D29" s="110"/>
      <c r="E29" s="111"/>
      <c r="F29" s="58"/>
      <c r="G29" s="58"/>
      <c r="H29" s="58"/>
      <c r="I29" s="58"/>
      <c r="J29" s="109"/>
      <c r="K29" s="110"/>
      <c r="L29" s="110"/>
      <c r="M29" s="110"/>
      <c r="N29" s="110"/>
      <c r="O29" s="111"/>
      <c r="P29" s="58"/>
      <c r="Q29" s="58"/>
      <c r="R29" s="58"/>
      <c r="S29" s="58"/>
    </row>
    <row r="30" spans="1:19" ht="18" customHeight="1" x14ac:dyDescent="0.15">
      <c r="A30" s="48"/>
      <c r="B30" s="109"/>
      <c r="C30" s="110"/>
      <c r="D30" s="110"/>
      <c r="E30" s="111"/>
      <c r="F30" s="58"/>
      <c r="G30" s="58"/>
      <c r="H30" s="58"/>
      <c r="I30" s="58"/>
      <c r="J30" s="109"/>
      <c r="K30" s="110"/>
      <c r="L30" s="110"/>
      <c r="M30" s="110"/>
      <c r="N30" s="110"/>
      <c r="O30" s="111"/>
      <c r="P30" s="58"/>
      <c r="Q30" s="58"/>
      <c r="R30" s="58"/>
      <c r="S30" s="58"/>
    </row>
    <row r="31" spans="1:19" ht="18" customHeight="1" x14ac:dyDescent="0.15">
      <c r="A31" s="48"/>
      <c r="B31" s="115"/>
      <c r="C31" s="116"/>
      <c r="D31" s="116"/>
      <c r="E31" s="117"/>
      <c r="F31" s="59"/>
      <c r="G31" s="59"/>
      <c r="H31" s="60"/>
      <c r="I31" s="60"/>
      <c r="J31" s="115"/>
      <c r="K31" s="116"/>
      <c r="L31" s="116"/>
      <c r="M31" s="116"/>
      <c r="N31" s="116"/>
      <c r="O31" s="117"/>
      <c r="P31" s="59"/>
      <c r="Q31" s="59"/>
      <c r="R31" s="60"/>
      <c r="S31" s="60"/>
    </row>
    <row r="32" spans="1:19" ht="7.5" customHeight="1" x14ac:dyDescent="0.15">
      <c r="A32" s="48"/>
      <c r="B32" s="45"/>
      <c r="C32" s="45"/>
      <c r="D32" s="48"/>
      <c r="E32" s="48"/>
      <c r="F32" s="48"/>
      <c r="G32" s="48"/>
      <c r="H32" s="45"/>
      <c r="I32" s="45"/>
      <c r="J32" s="45"/>
      <c r="K32" s="45"/>
      <c r="L32" s="45"/>
      <c r="M32" s="45"/>
      <c r="N32" s="45"/>
      <c r="O32" s="45"/>
      <c r="P32" s="45"/>
      <c r="Q32" s="45"/>
      <c r="R32" s="45"/>
      <c r="S32" s="48"/>
    </row>
    <row r="33" spans="1:19" ht="18" customHeight="1" x14ac:dyDescent="0.15">
      <c r="A33" s="118" t="s">
        <v>114</v>
      </c>
      <c r="B33" s="118"/>
      <c r="C33" s="118"/>
      <c r="D33" s="118"/>
      <c r="E33" s="118"/>
      <c r="F33" s="118"/>
      <c r="G33" s="118"/>
      <c r="H33" s="118"/>
      <c r="I33" s="118"/>
      <c r="J33" s="118"/>
      <c r="K33" s="118"/>
      <c r="L33" s="118"/>
      <c r="M33" s="118"/>
      <c r="N33" s="118"/>
      <c r="O33" s="118"/>
      <c r="P33" s="118"/>
      <c r="Q33" s="118"/>
      <c r="R33" s="118"/>
      <c r="S33" s="118"/>
    </row>
    <row r="34" spans="1:19" ht="18" customHeight="1" x14ac:dyDescent="0.15">
      <c r="A34" s="118"/>
      <c r="B34" s="118"/>
      <c r="C34" s="118"/>
      <c r="D34" s="118"/>
      <c r="E34" s="118"/>
      <c r="F34" s="118"/>
      <c r="G34" s="118"/>
      <c r="H34" s="118"/>
      <c r="I34" s="118"/>
      <c r="J34" s="118"/>
      <c r="K34" s="118"/>
      <c r="L34" s="118"/>
      <c r="M34" s="118"/>
      <c r="N34" s="118"/>
      <c r="O34" s="118"/>
      <c r="P34" s="118"/>
      <c r="Q34" s="118"/>
      <c r="R34" s="118"/>
      <c r="S34" s="118"/>
    </row>
    <row r="35" spans="1:19" ht="18" customHeight="1" x14ac:dyDescent="0.15">
      <c r="B35" s="112" t="s">
        <v>53</v>
      </c>
      <c r="C35" s="113"/>
      <c r="D35" s="113"/>
      <c r="E35" s="114"/>
      <c r="F35" s="54" t="s">
        <v>80</v>
      </c>
      <c r="G35" s="55" t="s">
        <v>84</v>
      </c>
      <c r="H35" s="56" t="s">
        <v>71</v>
      </c>
      <c r="I35" s="56" t="s">
        <v>72</v>
      </c>
      <c r="J35" s="112" t="s">
        <v>53</v>
      </c>
      <c r="K35" s="113"/>
      <c r="L35" s="113"/>
      <c r="M35" s="113"/>
      <c r="N35" s="113"/>
      <c r="O35" s="114"/>
      <c r="P35" s="54" t="s">
        <v>80</v>
      </c>
      <c r="Q35" s="55" t="s">
        <v>84</v>
      </c>
      <c r="R35" s="56" t="s">
        <v>71</v>
      </c>
      <c r="S35" s="56" t="s">
        <v>72</v>
      </c>
    </row>
    <row r="36" spans="1:19" ht="18" customHeight="1" x14ac:dyDescent="0.15">
      <c r="B36" s="106" t="s">
        <v>168</v>
      </c>
      <c r="C36" s="107"/>
      <c r="D36" s="107"/>
      <c r="E36" s="108"/>
      <c r="F36" s="57">
        <v>2</v>
      </c>
      <c r="G36" s="57" t="s">
        <v>126</v>
      </c>
      <c r="H36" s="57" t="s">
        <v>126</v>
      </c>
      <c r="I36" s="57"/>
      <c r="J36" s="106"/>
      <c r="K36" s="107"/>
      <c r="L36" s="107"/>
      <c r="M36" s="107"/>
      <c r="N36" s="107"/>
      <c r="O36" s="108"/>
      <c r="P36" s="57"/>
      <c r="Q36" s="57"/>
      <c r="R36" s="57"/>
      <c r="S36" s="57"/>
    </row>
    <row r="37" spans="1:19" ht="18" customHeight="1" x14ac:dyDescent="0.15">
      <c r="B37" s="109" t="s">
        <v>206</v>
      </c>
      <c r="C37" s="110"/>
      <c r="D37" s="110"/>
      <c r="E37" s="111"/>
      <c r="F37" s="58">
        <v>2</v>
      </c>
      <c r="G37" s="58" t="s">
        <v>126</v>
      </c>
      <c r="H37" s="58" t="s">
        <v>126</v>
      </c>
      <c r="I37" s="58" t="s">
        <v>126</v>
      </c>
      <c r="J37" s="109"/>
      <c r="K37" s="110"/>
      <c r="L37" s="110"/>
      <c r="M37" s="110"/>
      <c r="N37" s="110"/>
      <c r="O37" s="111"/>
      <c r="P37" s="58"/>
      <c r="Q37" s="58"/>
      <c r="R37" s="58"/>
      <c r="S37" s="58"/>
    </row>
    <row r="38" spans="1:19" ht="18" customHeight="1" x14ac:dyDescent="0.15">
      <c r="B38" s="109" t="s">
        <v>169</v>
      </c>
      <c r="C38" s="110"/>
      <c r="D38" s="110"/>
      <c r="E38" s="111"/>
      <c r="F38" s="58">
        <v>2</v>
      </c>
      <c r="G38" s="58" t="s">
        <v>126</v>
      </c>
      <c r="H38" s="58"/>
      <c r="I38" s="58" t="s">
        <v>126</v>
      </c>
      <c r="J38" s="109"/>
      <c r="K38" s="110"/>
      <c r="L38" s="110"/>
      <c r="M38" s="110"/>
      <c r="N38" s="110"/>
      <c r="O38" s="111"/>
      <c r="P38" s="58"/>
      <c r="Q38" s="58"/>
      <c r="R38" s="58"/>
      <c r="S38" s="58"/>
    </row>
    <row r="39" spans="1:19" ht="18" customHeight="1" x14ac:dyDescent="0.15">
      <c r="B39" s="109" t="s">
        <v>170</v>
      </c>
      <c r="C39" s="110"/>
      <c r="D39" s="110"/>
      <c r="E39" s="111"/>
      <c r="F39" s="58">
        <v>2</v>
      </c>
      <c r="G39" s="58" t="s">
        <v>126</v>
      </c>
      <c r="H39" s="58"/>
      <c r="I39" s="58" t="s">
        <v>126</v>
      </c>
      <c r="J39" s="109"/>
      <c r="K39" s="110"/>
      <c r="L39" s="110"/>
      <c r="M39" s="110"/>
      <c r="N39" s="110"/>
      <c r="O39" s="111"/>
      <c r="P39" s="58"/>
      <c r="Q39" s="58"/>
      <c r="R39" s="58"/>
      <c r="S39" s="58"/>
    </row>
    <row r="40" spans="1:19" ht="18" customHeight="1" x14ac:dyDescent="0.15">
      <c r="B40" s="109"/>
      <c r="C40" s="110"/>
      <c r="D40" s="110"/>
      <c r="E40" s="111"/>
      <c r="F40" s="58"/>
      <c r="G40" s="58"/>
      <c r="H40" s="58"/>
      <c r="I40" s="58"/>
      <c r="J40" s="109"/>
      <c r="K40" s="110"/>
      <c r="L40" s="110"/>
      <c r="M40" s="110"/>
      <c r="N40" s="110"/>
      <c r="O40" s="111"/>
      <c r="P40" s="58"/>
      <c r="Q40" s="58"/>
      <c r="R40" s="58"/>
      <c r="S40" s="58"/>
    </row>
    <row r="41" spans="1:19" ht="18" customHeight="1" x14ac:dyDescent="0.15">
      <c r="B41" s="109"/>
      <c r="C41" s="110"/>
      <c r="D41" s="110"/>
      <c r="E41" s="111"/>
      <c r="F41" s="58"/>
      <c r="G41" s="58"/>
      <c r="H41" s="58"/>
      <c r="I41" s="58"/>
      <c r="J41" s="109"/>
      <c r="K41" s="110"/>
      <c r="L41" s="110"/>
      <c r="M41" s="110"/>
      <c r="N41" s="110"/>
      <c r="O41" s="111"/>
      <c r="P41" s="58"/>
      <c r="Q41" s="58"/>
      <c r="R41" s="58"/>
      <c r="S41" s="58"/>
    </row>
    <row r="42" spans="1:19" ht="18" customHeight="1" x14ac:dyDescent="0.15">
      <c r="B42" s="115"/>
      <c r="C42" s="116"/>
      <c r="D42" s="116"/>
      <c r="E42" s="117"/>
      <c r="F42" s="59"/>
      <c r="G42" s="59"/>
      <c r="H42" s="60"/>
      <c r="I42" s="60"/>
      <c r="J42" s="115"/>
      <c r="K42" s="116"/>
      <c r="L42" s="116"/>
      <c r="M42" s="116"/>
      <c r="N42" s="116"/>
      <c r="O42" s="117"/>
      <c r="P42" s="59"/>
      <c r="Q42" s="59"/>
      <c r="R42" s="60"/>
      <c r="S42" s="60"/>
    </row>
    <row r="43" spans="1:19" ht="7.5" customHeight="1" x14ac:dyDescent="0.15">
      <c r="A43" s="48"/>
      <c r="B43" s="45"/>
      <c r="C43" s="45"/>
      <c r="D43" s="48"/>
      <c r="E43" s="48"/>
      <c r="F43" s="48"/>
      <c r="G43" s="48"/>
      <c r="H43" s="45"/>
      <c r="I43" s="45"/>
      <c r="J43" s="45"/>
      <c r="K43" s="45"/>
      <c r="L43" s="45"/>
      <c r="M43" s="45"/>
      <c r="N43" s="45"/>
      <c r="O43" s="45"/>
      <c r="P43" s="45"/>
      <c r="Q43" s="45"/>
      <c r="R43" s="45"/>
      <c r="S43" s="48"/>
    </row>
    <row r="44" spans="1:19" ht="18" customHeight="1" x14ac:dyDescent="0.15">
      <c r="A44" s="118" t="s">
        <v>115</v>
      </c>
      <c r="B44" s="118"/>
      <c r="C44" s="118"/>
      <c r="D44" s="118"/>
      <c r="E44" s="118"/>
      <c r="F44" s="118"/>
      <c r="G44" s="118"/>
      <c r="H44" s="118"/>
      <c r="I44" s="118"/>
      <c r="J44" s="118"/>
      <c r="K44" s="118"/>
      <c r="L44" s="118"/>
      <c r="M44" s="118"/>
      <c r="N44" s="118"/>
      <c r="O44" s="118"/>
      <c r="P44" s="118"/>
      <c r="Q44" s="118"/>
      <c r="R44" s="118"/>
      <c r="S44" s="118"/>
    </row>
    <row r="45" spans="1:19" ht="18" customHeight="1" x14ac:dyDescent="0.15">
      <c r="A45" s="118"/>
      <c r="B45" s="118"/>
      <c r="C45" s="118"/>
      <c r="D45" s="118"/>
      <c r="E45" s="118"/>
      <c r="F45" s="118"/>
      <c r="G45" s="118"/>
      <c r="H45" s="118"/>
      <c r="I45" s="118"/>
      <c r="J45" s="118"/>
      <c r="K45" s="118"/>
      <c r="L45" s="118"/>
      <c r="M45" s="118"/>
      <c r="N45" s="118"/>
      <c r="O45" s="118"/>
      <c r="P45" s="118"/>
      <c r="Q45" s="118"/>
      <c r="R45" s="118"/>
      <c r="S45" s="118"/>
    </row>
    <row r="46" spans="1:19" ht="18" customHeight="1" x14ac:dyDescent="0.15">
      <c r="B46" s="112" t="s">
        <v>53</v>
      </c>
      <c r="C46" s="113"/>
      <c r="D46" s="113"/>
      <c r="E46" s="114"/>
      <c r="F46" s="54" t="s">
        <v>80</v>
      </c>
      <c r="G46" s="55" t="s">
        <v>84</v>
      </c>
      <c r="H46" s="56" t="s">
        <v>73</v>
      </c>
      <c r="I46" s="56" t="s">
        <v>74</v>
      </c>
      <c r="J46" s="112" t="s">
        <v>53</v>
      </c>
      <c r="K46" s="113"/>
      <c r="L46" s="113"/>
      <c r="M46" s="113"/>
      <c r="N46" s="113"/>
      <c r="O46" s="114"/>
      <c r="P46" s="54" t="s">
        <v>80</v>
      </c>
      <c r="Q46" s="55" t="s">
        <v>84</v>
      </c>
      <c r="R46" s="56" t="s">
        <v>73</v>
      </c>
      <c r="S46" s="56" t="s">
        <v>74</v>
      </c>
    </row>
    <row r="47" spans="1:19" ht="18" customHeight="1" x14ac:dyDescent="0.15">
      <c r="A47" s="48"/>
      <c r="B47" s="106" t="s">
        <v>170</v>
      </c>
      <c r="C47" s="107"/>
      <c r="D47" s="107"/>
      <c r="E47" s="108"/>
      <c r="F47" s="57">
        <v>2</v>
      </c>
      <c r="G47" s="57" t="s">
        <v>126</v>
      </c>
      <c r="H47" s="57" t="s">
        <v>126</v>
      </c>
      <c r="I47" s="57" t="s">
        <v>126</v>
      </c>
      <c r="J47" s="106"/>
      <c r="K47" s="107"/>
      <c r="L47" s="107"/>
      <c r="M47" s="107"/>
      <c r="N47" s="107"/>
      <c r="O47" s="108"/>
      <c r="P47" s="57"/>
      <c r="Q47" s="57"/>
      <c r="R47" s="57"/>
      <c r="S47" s="57"/>
    </row>
    <row r="48" spans="1:19" ht="18" customHeight="1" x14ac:dyDescent="0.15">
      <c r="A48" s="48"/>
      <c r="B48" s="109" t="s">
        <v>169</v>
      </c>
      <c r="C48" s="110"/>
      <c r="D48" s="110"/>
      <c r="E48" s="111"/>
      <c r="F48" s="58">
        <v>2</v>
      </c>
      <c r="G48" s="58" t="s">
        <v>126</v>
      </c>
      <c r="H48" s="58" t="s">
        <v>126</v>
      </c>
      <c r="I48" s="58" t="s">
        <v>126</v>
      </c>
      <c r="J48" s="109"/>
      <c r="K48" s="110"/>
      <c r="L48" s="110"/>
      <c r="M48" s="110"/>
      <c r="N48" s="110"/>
      <c r="O48" s="111"/>
      <c r="P48" s="58"/>
      <c r="Q48" s="58"/>
      <c r="R48" s="58"/>
      <c r="S48" s="58"/>
    </row>
    <row r="49" spans="1:19" ht="18" customHeight="1" x14ac:dyDescent="0.15">
      <c r="A49" s="48"/>
      <c r="B49" s="109"/>
      <c r="C49" s="110"/>
      <c r="D49" s="110"/>
      <c r="E49" s="111"/>
      <c r="F49" s="58"/>
      <c r="G49" s="58"/>
      <c r="H49" s="58"/>
      <c r="I49" s="58"/>
      <c r="J49" s="109"/>
      <c r="K49" s="110"/>
      <c r="L49" s="110"/>
      <c r="M49" s="110"/>
      <c r="N49" s="110"/>
      <c r="O49" s="111"/>
      <c r="P49" s="58"/>
      <c r="Q49" s="58"/>
      <c r="R49" s="58"/>
      <c r="S49" s="58"/>
    </row>
    <row r="50" spans="1:19" ht="18" customHeight="1" x14ac:dyDescent="0.15">
      <c r="A50" s="48"/>
      <c r="B50" s="109"/>
      <c r="C50" s="110"/>
      <c r="D50" s="110"/>
      <c r="E50" s="111"/>
      <c r="F50" s="58"/>
      <c r="G50" s="58"/>
      <c r="H50" s="58"/>
      <c r="I50" s="58"/>
      <c r="J50" s="109"/>
      <c r="K50" s="110"/>
      <c r="L50" s="110"/>
      <c r="M50" s="110"/>
      <c r="N50" s="110"/>
      <c r="O50" s="111"/>
      <c r="P50" s="58"/>
      <c r="Q50" s="58"/>
      <c r="R50" s="58"/>
      <c r="S50" s="58"/>
    </row>
    <row r="51" spans="1:19" ht="18" customHeight="1" x14ac:dyDescent="0.15">
      <c r="A51" s="48"/>
      <c r="B51" s="109"/>
      <c r="C51" s="110"/>
      <c r="D51" s="110"/>
      <c r="E51" s="111"/>
      <c r="F51" s="58"/>
      <c r="G51" s="58"/>
      <c r="H51" s="58"/>
      <c r="I51" s="58"/>
      <c r="J51" s="109"/>
      <c r="K51" s="110"/>
      <c r="L51" s="110"/>
      <c r="M51" s="110"/>
      <c r="N51" s="110"/>
      <c r="O51" s="111"/>
      <c r="P51" s="58"/>
      <c r="Q51" s="58"/>
      <c r="R51" s="58"/>
      <c r="S51" s="58"/>
    </row>
    <row r="52" spans="1:19" ht="18" customHeight="1" x14ac:dyDescent="0.15">
      <c r="A52" s="48"/>
      <c r="B52" s="109"/>
      <c r="C52" s="110"/>
      <c r="D52" s="110"/>
      <c r="E52" s="111"/>
      <c r="F52" s="58"/>
      <c r="G52" s="58"/>
      <c r="H52" s="58"/>
      <c r="I52" s="58"/>
      <c r="J52" s="109"/>
      <c r="K52" s="110"/>
      <c r="L52" s="110"/>
      <c r="M52" s="110"/>
      <c r="N52" s="110"/>
      <c r="O52" s="111"/>
      <c r="P52" s="58"/>
      <c r="Q52" s="58"/>
      <c r="R52" s="58"/>
      <c r="S52" s="58"/>
    </row>
    <row r="53" spans="1:19" ht="18" customHeight="1" x14ac:dyDescent="0.15">
      <c r="A53" s="48"/>
      <c r="B53" s="115"/>
      <c r="C53" s="116"/>
      <c r="D53" s="116"/>
      <c r="E53" s="117"/>
      <c r="F53" s="59"/>
      <c r="G53" s="59"/>
      <c r="H53" s="60"/>
      <c r="I53" s="60"/>
      <c r="J53" s="115"/>
      <c r="K53" s="116"/>
      <c r="L53" s="116"/>
      <c r="M53" s="116"/>
      <c r="N53" s="116"/>
      <c r="O53" s="117"/>
      <c r="P53" s="59"/>
      <c r="Q53" s="59"/>
      <c r="R53" s="60"/>
      <c r="S53" s="60"/>
    </row>
    <row r="54" spans="1:19" ht="7.5" customHeight="1" x14ac:dyDescent="0.15">
      <c r="B54" s="61"/>
      <c r="C54" s="61"/>
      <c r="D54" s="61"/>
      <c r="E54" s="61"/>
      <c r="F54" s="61"/>
      <c r="G54" s="61"/>
      <c r="H54" s="61"/>
      <c r="I54" s="61"/>
      <c r="J54" s="61"/>
      <c r="K54" s="61"/>
      <c r="L54" s="61"/>
      <c r="M54" s="61"/>
      <c r="N54" s="61"/>
      <c r="O54" s="61"/>
      <c r="P54" s="61"/>
      <c r="Q54" s="61"/>
      <c r="R54" s="61"/>
    </row>
    <row r="55" spans="1:19" ht="18" customHeight="1" x14ac:dyDescent="0.15">
      <c r="A55" s="118" t="s">
        <v>116</v>
      </c>
      <c r="B55" s="118"/>
      <c r="C55" s="118"/>
      <c r="D55" s="118"/>
      <c r="E55" s="118"/>
      <c r="F55" s="118"/>
      <c r="G55" s="118"/>
      <c r="H55" s="118"/>
      <c r="I55" s="118"/>
      <c r="J55" s="118"/>
      <c r="K55" s="118"/>
      <c r="L55" s="118"/>
      <c r="M55" s="118"/>
      <c r="N55" s="118"/>
      <c r="O55" s="118"/>
      <c r="P55" s="118"/>
      <c r="Q55" s="118"/>
      <c r="R55" s="118"/>
      <c r="S55" s="118"/>
    </row>
    <row r="56" spans="1:19" ht="18" customHeight="1" x14ac:dyDescent="0.15">
      <c r="A56" s="118"/>
      <c r="B56" s="118"/>
      <c r="C56" s="118"/>
      <c r="D56" s="118"/>
      <c r="E56" s="118"/>
      <c r="F56" s="118"/>
      <c r="G56" s="118"/>
      <c r="H56" s="118"/>
      <c r="I56" s="118"/>
      <c r="J56" s="118"/>
      <c r="K56" s="118"/>
      <c r="L56" s="118"/>
      <c r="M56" s="118"/>
      <c r="N56" s="118"/>
      <c r="O56" s="118"/>
      <c r="P56" s="118"/>
      <c r="Q56" s="118"/>
      <c r="R56" s="118"/>
      <c r="S56" s="118"/>
    </row>
    <row r="57" spans="1:19" ht="18" customHeight="1" x14ac:dyDescent="0.15">
      <c r="B57" s="112" t="s">
        <v>53</v>
      </c>
      <c r="C57" s="113"/>
      <c r="D57" s="113"/>
      <c r="E57" s="114"/>
      <c r="F57" s="54" t="s">
        <v>80</v>
      </c>
      <c r="G57" s="55" t="s">
        <v>84</v>
      </c>
      <c r="H57" s="56" t="s">
        <v>58</v>
      </c>
      <c r="I57" s="56" t="s">
        <v>60</v>
      </c>
      <c r="J57" s="112" t="s">
        <v>53</v>
      </c>
      <c r="K57" s="113"/>
      <c r="L57" s="113"/>
      <c r="M57" s="113"/>
      <c r="N57" s="113"/>
      <c r="O57" s="114"/>
      <c r="P57" s="54" t="s">
        <v>80</v>
      </c>
      <c r="Q57" s="55" t="s">
        <v>84</v>
      </c>
      <c r="R57" s="56" t="s">
        <v>58</v>
      </c>
      <c r="S57" s="56" t="s">
        <v>60</v>
      </c>
    </row>
    <row r="58" spans="1:19" ht="18" customHeight="1" x14ac:dyDescent="0.15">
      <c r="A58" s="48"/>
      <c r="B58" s="106" t="s">
        <v>207</v>
      </c>
      <c r="C58" s="107"/>
      <c r="D58" s="107"/>
      <c r="E58" s="108"/>
      <c r="F58" s="57">
        <v>2</v>
      </c>
      <c r="G58" s="57" t="s">
        <v>126</v>
      </c>
      <c r="H58" s="57" t="s">
        <v>126</v>
      </c>
      <c r="I58" s="57"/>
      <c r="J58" s="106"/>
      <c r="K58" s="107"/>
      <c r="L58" s="107"/>
      <c r="M58" s="107"/>
      <c r="N58" s="107"/>
      <c r="O58" s="108"/>
      <c r="P58" s="57"/>
      <c r="Q58" s="57"/>
      <c r="R58" s="57"/>
      <c r="S58" s="57"/>
    </row>
    <row r="59" spans="1:19" ht="18" customHeight="1" x14ac:dyDescent="0.15">
      <c r="A59" s="48"/>
      <c r="B59" s="109" t="s">
        <v>208</v>
      </c>
      <c r="C59" s="110"/>
      <c r="D59" s="110"/>
      <c r="E59" s="111"/>
      <c r="F59" s="58">
        <v>1</v>
      </c>
      <c r="G59" s="58" t="s">
        <v>126</v>
      </c>
      <c r="H59" s="58"/>
      <c r="I59" s="58" t="s">
        <v>126</v>
      </c>
      <c r="J59" s="109"/>
      <c r="K59" s="110"/>
      <c r="L59" s="110"/>
      <c r="M59" s="110"/>
      <c r="N59" s="110"/>
      <c r="O59" s="111"/>
      <c r="P59" s="58"/>
      <c r="Q59" s="58"/>
      <c r="R59" s="58"/>
      <c r="S59" s="58"/>
    </row>
    <row r="60" spans="1:19" ht="18" customHeight="1" x14ac:dyDescent="0.15">
      <c r="A60" s="48"/>
      <c r="B60" s="109" t="s">
        <v>170</v>
      </c>
      <c r="C60" s="110"/>
      <c r="D60" s="110"/>
      <c r="E60" s="111"/>
      <c r="F60" s="58">
        <v>2</v>
      </c>
      <c r="G60" s="58" t="s">
        <v>126</v>
      </c>
      <c r="H60" s="58" t="s">
        <v>126</v>
      </c>
      <c r="I60" s="58"/>
      <c r="J60" s="109"/>
      <c r="K60" s="110"/>
      <c r="L60" s="110"/>
      <c r="M60" s="110"/>
      <c r="N60" s="110"/>
      <c r="O60" s="111"/>
      <c r="P60" s="58"/>
      <c r="Q60" s="58"/>
      <c r="R60" s="58"/>
      <c r="S60" s="58"/>
    </row>
    <row r="61" spans="1:19" ht="18" customHeight="1" x14ac:dyDescent="0.15">
      <c r="A61" s="48"/>
      <c r="B61" s="109" t="s">
        <v>171</v>
      </c>
      <c r="C61" s="110"/>
      <c r="D61" s="110"/>
      <c r="E61" s="111"/>
      <c r="F61" s="58">
        <v>2</v>
      </c>
      <c r="G61" s="58" t="s">
        <v>126</v>
      </c>
      <c r="H61" s="58" t="s">
        <v>126</v>
      </c>
      <c r="I61" s="58"/>
      <c r="J61" s="109"/>
      <c r="K61" s="110"/>
      <c r="L61" s="110"/>
      <c r="M61" s="110"/>
      <c r="N61" s="110"/>
      <c r="O61" s="111"/>
      <c r="P61" s="58"/>
      <c r="Q61" s="58"/>
      <c r="R61" s="58"/>
      <c r="S61" s="58"/>
    </row>
    <row r="62" spans="1:19" ht="18" customHeight="1" x14ac:dyDescent="0.15">
      <c r="A62" s="48"/>
      <c r="B62" s="109"/>
      <c r="C62" s="110"/>
      <c r="D62" s="110"/>
      <c r="E62" s="111"/>
      <c r="F62" s="58"/>
      <c r="G62" s="58"/>
      <c r="H62" s="58"/>
      <c r="I62" s="58"/>
      <c r="J62" s="109"/>
      <c r="K62" s="110"/>
      <c r="L62" s="110"/>
      <c r="M62" s="110"/>
      <c r="N62" s="110"/>
      <c r="O62" s="111"/>
      <c r="P62" s="58"/>
      <c r="Q62" s="58"/>
      <c r="R62" s="58"/>
      <c r="S62" s="58"/>
    </row>
    <row r="63" spans="1:19" ht="18" customHeight="1" x14ac:dyDescent="0.15">
      <c r="A63" s="48"/>
      <c r="B63" s="109"/>
      <c r="C63" s="110"/>
      <c r="D63" s="110"/>
      <c r="E63" s="111"/>
      <c r="F63" s="58"/>
      <c r="G63" s="58"/>
      <c r="H63" s="58"/>
      <c r="I63" s="58"/>
      <c r="J63" s="109"/>
      <c r="K63" s="110"/>
      <c r="L63" s="110"/>
      <c r="M63" s="110"/>
      <c r="N63" s="110"/>
      <c r="O63" s="111"/>
      <c r="P63" s="58"/>
      <c r="Q63" s="58"/>
      <c r="R63" s="58"/>
      <c r="S63" s="58"/>
    </row>
    <row r="64" spans="1:19" ht="18" customHeight="1" x14ac:dyDescent="0.15">
      <c r="A64" s="48"/>
      <c r="B64" s="115"/>
      <c r="C64" s="116"/>
      <c r="D64" s="116"/>
      <c r="E64" s="117"/>
      <c r="F64" s="59"/>
      <c r="G64" s="59"/>
      <c r="H64" s="60"/>
      <c r="I64" s="60"/>
      <c r="J64" s="115"/>
      <c r="K64" s="116"/>
      <c r="L64" s="116"/>
      <c r="M64" s="116"/>
      <c r="N64" s="116"/>
      <c r="O64" s="117"/>
      <c r="P64" s="59"/>
      <c r="Q64" s="59"/>
      <c r="R64" s="60"/>
      <c r="S64" s="60"/>
    </row>
    <row r="65" spans="1:19" ht="7.5" customHeight="1" x14ac:dyDescent="0.15">
      <c r="B65" s="61"/>
      <c r="C65" s="61"/>
      <c r="D65" s="61"/>
      <c r="E65" s="61"/>
      <c r="F65" s="61"/>
      <c r="G65" s="61"/>
      <c r="H65" s="61"/>
      <c r="I65" s="61"/>
      <c r="J65" s="61"/>
      <c r="K65" s="61"/>
      <c r="L65" s="61"/>
      <c r="M65" s="61"/>
      <c r="N65" s="61"/>
      <c r="O65" s="61"/>
      <c r="P65" s="61"/>
      <c r="Q65" s="61"/>
      <c r="R65" s="61"/>
    </row>
    <row r="66" spans="1:19" ht="18" customHeight="1" x14ac:dyDescent="0.15">
      <c r="A66" s="118" t="s">
        <v>117</v>
      </c>
      <c r="B66" s="118"/>
      <c r="C66" s="118"/>
      <c r="D66" s="118"/>
      <c r="E66" s="118"/>
      <c r="F66" s="118"/>
      <c r="G66" s="118"/>
      <c r="H66" s="118"/>
      <c r="I66" s="118"/>
      <c r="J66" s="118"/>
      <c r="K66" s="118"/>
      <c r="L66" s="118"/>
      <c r="M66" s="118"/>
      <c r="N66" s="118"/>
      <c r="O66" s="118"/>
      <c r="P66" s="118"/>
      <c r="Q66" s="118"/>
      <c r="R66" s="118"/>
      <c r="S66" s="118"/>
    </row>
    <row r="67" spans="1:19" ht="18" customHeight="1" x14ac:dyDescent="0.15">
      <c r="A67" s="118"/>
      <c r="B67" s="118"/>
      <c r="C67" s="118"/>
      <c r="D67" s="118"/>
      <c r="E67" s="118"/>
      <c r="F67" s="118"/>
      <c r="G67" s="118"/>
      <c r="H67" s="118"/>
      <c r="I67" s="118"/>
      <c r="J67" s="118"/>
      <c r="K67" s="118"/>
      <c r="L67" s="118"/>
      <c r="M67" s="118"/>
      <c r="N67" s="118"/>
      <c r="O67" s="118"/>
      <c r="P67" s="118"/>
      <c r="Q67" s="118"/>
      <c r="R67" s="118"/>
      <c r="S67" s="118"/>
    </row>
    <row r="68" spans="1:19" ht="18" customHeight="1" x14ac:dyDescent="0.15">
      <c r="B68" s="112" t="s">
        <v>53</v>
      </c>
      <c r="C68" s="113"/>
      <c r="D68" s="113"/>
      <c r="E68" s="54" t="s">
        <v>80</v>
      </c>
      <c r="F68" s="55" t="s">
        <v>84</v>
      </c>
      <c r="G68" s="56" t="s">
        <v>101</v>
      </c>
      <c r="H68" s="56" t="s">
        <v>75</v>
      </c>
      <c r="I68" s="56" t="s">
        <v>76</v>
      </c>
      <c r="J68" s="112" t="s">
        <v>53</v>
      </c>
      <c r="K68" s="113"/>
      <c r="L68" s="113"/>
      <c r="M68" s="113"/>
      <c r="N68" s="114"/>
      <c r="O68" s="54" t="s">
        <v>80</v>
      </c>
      <c r="P68" s="55" t="s">
        <v>84</v>
      </c>
      <c r="Q68" s="56" t="s">
        <v>101</v>
      </c>
      <c r="R68" s="56" t="s">
        <v>75</v>
      </c>
      <c r="S68" s="56" t="s">
        <v>76</v>
      </c>
    </row>
    <row r="69" spans="1:19" ht="18" customHeight="1" x14ac:dyDescent="0.15">
      <c r="A69" s="48"/>
      <c r="B69" s="106" t="s">
        <v>209</v>
      </c>
      <c r="C69" s="107"/>
      <c r="D69" s="107"/>
      <c r="E69" s="57">
        <v>2</v>
      </c>
      <c r="F69" s="57" t="s">
        <v>126</v>
      </c>
      <c r="G69" s="57" t="s">
        <v>126</v>
      </c>
      <c r="H69" s="57"/>
      <c r="I69" s="57"/>
      <c r="J69" s="106"/>
      <c r="K69" s="107"/>
      <c r="L69" s="107"/>
      <c r="M69" s="107"/>
      <c r="N69" s="108"/>
      <c r="O69" s="57"/>
      <c r="P69" s="57"/>
      <c r="Q69" s="57"/>
      <c r="R69" s="57"/>
      <c r="S69" s="57"/>
    </row>
    <row r="70" spans="1:19" ht="18" customHeight="1" x14ac:dyDescent="0.15">
      <c r="A70" s="48"/>
      <c r="B70" s="109" t="s">
        <v>210</v>
      </c>
      <c r="C70" s="110"/>
      <c r="D70" s="110"/>
      <c r="E70" s="58">
        <v>2</v>
      </c>
      <c r="F70" s="58" t="s">
        <v>126</v>
      </c>
      <c r="G70" s="58" t="s">
        <v>126</v>
      </c>
      <c r="H70" s="58" t="s">
        <v>126</v>
      </c>
      <c r="I70" s="58"/>
      <c r="J70" s="109"/>
      <c r="K70" s="110"/>
      <c r="L70" s="110"/>
      <c r="M70" s="110"/>
      <c r="N70" s="111"/>
      <c r="O70" s="58"/>
      <c r="P70" s="58"/>
      <c r="Q70" s="58"/>
      <c r="R70" s="58"/>
      <c r="S70" s="58"/>
    </row>
    <row r="71" spans="1:19" ht="18" customHeight="1" x14ac:dyDescent="0.15">
      <c r="A71" s="48"/>
      <c r="B71" s="109" t="s">
        <v>211</v>
      </c>
      <c r="C71" s="110"/>
      <c r="D71" s="110"/>
      <c r="E71" s="58">
        <v>1</v>
      </c>
      <c r="F71" s="58" t="s">
        <v>126</v>
      </c>
      <c r="G71" s="58"/>
      <c r="H71" s="58"/>
      <c r="I71" s="58" t="s">
        <v>126</v>
      </c>
      <c r="J71" s="109"/>
      <c r="K71" s="110"/>
      <c r="L71" s="110"/>
      <c r="M71" s="110"/>
      <c r="N71" s="111"/>
      <c r="O71" s="58"/>
      <c r="P71" s="58"/>
      <c r="Q71" s="58"/>
      <c r="R71" s="58"/>
      <c r="S71" s="58"/>
    </row>
    <row r="72" spans="1:19" ht="18" customHeight="1" x14ac:dyDescent="0.15">
      <c r="A72" s="48"/>
      <c r="B72" s="109" t="s">
        <v>212</v>
      </c>
      <c r="C72" s="110"/>
      <c r="D72" s="110"/>
      <c r="E72" s="58">
        <v>2</v>
      </c>
      <c r="F72" s="58" t="s">
        <v>126</v>
      </c>
      <c r="G72" s="58"/>
      <c r="H72" s="58" t="s">
        <v>126</v>
      </c>
      <c r="I72" s="58"/>
      <c r="J72" s="109"/>
      <c r="K72" s="110"/>
      <c r="L72" s="110"/>
      <c r="M72" s="110"/>
      <c r="N72" s="111"/>
      <c r="O72" s="58"/>
      <c r="P72" s="58"/>
      <c r="Q72" s="58"/>
      <c r="R72" s="58"/>
      <c r="S72" s="58"/>
    </row>
    <row r="73" spans="1:19" ht="18" customHeight="1" x14ac:dyDescent="0.15">
      <c r="A73" s="48"/>
      <c r="B73" s="109"/>
      <c r="C73" s="110"/>
      <c r="D73" s="110"/>
      <c r="E73" s="58"/>
      <c r="F73" s="58"/>
      <c r="G73" s="58"/>
      <c r="H73" s="58"/>
      <c r="I73" s="58"/>
      <c r="J73" s="109"/>
      <c r="K73" s="110"/>
      <c r="L73" s="110"/>
      <c r="M73" s="110"/>
      <c r="N73" s="111"/>
      <c r="O73" s="58"/>
      <c r="P73" s="58"/>
      <c r="Q73" s="58"/>
      <c r="R73" s="58"/>
      <c r="S73" s="58"/>
    </row>
    <row r="74" spans="1:19" ht="18" customHeight="1" x14ac:dyDescent="0.15">
      <c r="A74" s="48"/>
      <c r="B74" s="109"/>
      <c r="C74" s="110"/>
      <c r="D74" s="110"/>
      <c r="E74" s="58"/>
      <c r="F74" s="58"/>
      <c r="G74" s="58"/>
      <c r="H74" s="58"/>
      <c r="I74" s="58"/>
      <c r="J74" s="109"/>
      <c r="K74" s="110"/>
      <c r="L74" s="110"/>
      <c r="M74" s="110"/>
      <c r="N74" s="111"/>
      <c r="O74" s="58"/>
      <c r="P74" s="58"/>
      <c r="Q74" s="58"/>
      <c r="R74" s="58"/>
      <c r="S74" s="58"/>
    </row>
    <row r="75" spans="1:19" ht="18" customHeight="1" x14ac:dyDescent="0.15">
      <c r="A75" s="48"/>
      <c r="B75" s="109"/>
      <c r="C75" s="110"/>
      <c r="D75" s="110"/>
      <c r="E75" s="60"/>
      <c r="F75" s="60"/>
      <c r="G75" s="60"/>
      <c r="H75" s="60"/>
      <c r="I75" s="60"/>
      <c r="J75" s="115"/>
      <c r="K75" s="116"/>
      <c r="L75" s="116"/>
      <c r="M75" s="116"/>
      <c r="N75" s="117"/>
      <c r="O75" s="59"/>
      <c r="P75" s="59"/>
      <c r="Q75" s="60"/>
      <c r="R75" s="60"/>
      <c r="S75" s="60"/>
    </row>
    <row r="76" spans="1:19" ht="7.5" customHeight="1" x14ac:dyDescent="0.15">
      <c r="B76" s="61"/>
      <c r="C76" s="61"/>
      <c r="D76" s="61"/>
      <c r="E76" s="61"/>
      <c r="F76" s="61"/>
      <c r="G76" s="61"/>
      <c r="H76" s="61"/>
      <c r="I76" s="61"/>
      <c r="J76" s="61"/>
      <c r="K76" s="61"/>
      <c r="L76" s="61"/>
      <c r="M76" s="61"/>
      <c r="N76" s="61"/>
      <c r="O76" s="61"/>
      <c r="P76" s="61"/>
      <c r="Q76" s="61"/>
      <c r="R76" s="61"/>
    </row>
    <row r="77" spans="1:19" ht="18" customHeight="1" x14ac:dyDescent="0.15">
      <c r="A77" s="40" t="s">
        <v>118</v>
      </c>
      <c r="H77" s="48"/>
      <c r="I77" s="48"/>
      <c r="J77" s="48"/>
      <c r="K77" s="48"/>
      <c r="L77" s="48"/>
      <c r="M77" s="48"/>
      <c r="N77" s="48"/>
      <c r="O77" s="48"/>
      <c r="P77" s="48"/>
      <c r="Q77" s="48"/>
      <c r="R77" s="48"/>
      <c r="S77" s="48"/>
    </row>
    <row r="78" spans="1:19" ht="18" customHeight="1" x14ac:dyDescent="0.15">
      <c r="B78" s="112" t="s">
        <v>53</v>
      </c>
      <c r="C78" s="113"/>
      <c r="D78" s="113"/>
      <c r="E78" s="114"/>
      <c r="F78" s="112" t="s">
        <v>82</v>
      </c>
      <c r="G78" s="113"/>
      <c r="H78" s="113"/>
      <c r="I78" s="114"/>
      <c r="J78" s="139" t="s">
        <v>53</v>
      </c>
      <c r="K78" s="140"/>
      <c r="L78" s="140"/>
      <c r="M78" s="140"/>
      <c r="N78" s="140"/>
      <c r="O78" s="141"/>
      <c r="P78" s="112" t="s">
        <v>82</v>
      </c>
      <c r="Q78" s="113"/>
      <c r="R78" s="113"/>
      <c r="S78" s="114"/>
    </row>
    <row r="79" spans="1:19" ht="18" customHeight="1" x14ac:dyDescent="0.15">
      <c r="A79" s="48"/>
      <c r="B79" s="106" t="s">
        <v>213</v>
      </c>
      <c r="C79" s="107"/>
      <c r="D79" s="107"/>
      <c r="E79" s="108"/>
      <c r="F79" s="133" t="s">
        <v>214</v>
      </c>
      <c r="G79" s="134"/>
      <c r="H79" s="134"/>
      <c r="I79" s="135"/>
      <c r="J79" s="106"/>
      <c r="K79" s="107"/>
      <c r="L79" s="107"/>
      <c r="M79" s="107"/>
      <c r="N79" s="107"/>
      <c r="O79" s="108"/>
      <c r="P79" s="133"/>
      <c r="Q79" s="134"/>
      <c r="R79" s="134"/>
      <c r="S79" s="135"/>
    </row>
    <row r="80" spans="1:19" ht="18" customHeight="1" x14ac:dyDescent="0.15">
      <c r="A80" s="48"/>
      <c r="B80" s="109"/>
      <c r="C80" s="110"/>
      <c r="D80" s="110"/>
      <c r="E80" s="111"/>
      <c r="F80" s="136"/>
      <c r="G80" s="137"/>
      <c r="H80" s="137"/>
      <c r="I80" s="138"/>
      <c r="J80" s="109"/>
      <c r="K80" s="110"/>
      <c r="L80" s="110"/>
      <c r="M80" s="110"/>
      <c r="N80" s="110"/>
      <c r="O80" s="111"/>
      <c r="P80" s="136"/>
      <c r="Q80" s="137"/>
      <c r="R80" s="137"/>
      <c r="S80" s="138"/>
    </row>
    <row r="81" spans="1:19" ht="18" customHeight="1" x14ac:dyDescent="0.15">
      <c r="A81" s="48"/>
      <c r="B81" s="109"/>
      <c r="C81" s="110"/>
      <c r="D81" s="110"/>
      <c r="E81" s="111"/>
      <c r="F81" s="136"/>
      <c r="G81" s="137"/>
      <c r="H81" s="137"/>
      <c r="I81" s="138"/>
      <c r="J81" s="109"/>
      <c r="K81" s="110"/>
      <c r="L81" s="110"/>
      <c r="M81" s="110"/>
      <c r="N81" s="110"/>
      <c r="O81" s="111"/>
      <c r="P81" s="136"/>
      <c r="Q81" s="137"/>
      <c r="R81" s="137"/>
      <c r="S81" s="138"/>
    </row>
    <row r="82" spans="1:19" ht="18" customHeight="1" x14ac:dyDescent="0.15">
      <c r="A82" s="48"/>
      <c r="B82" s="109"/>
      <c r="C82" s="110"/>
      <c r="D82" s="110"/>
      <c r="E82" s="111"/>
      <c r="F82" s="136"/>
      <c r="G82" s="137"/>
      <c r="H82" s="137"/>
      <c r="I82" s="138"/>
      <c r="J82" s="109"/>
      <c r="K82" s="110"/>
      <c r="L82" s="110"/>
      <c r="M82" s="110"/>
      <c r="N82" s="110"/>
      <c r="O82" s="111"/>
      <c r="P82" s="136"/>
      <c r="Q82" s="137"/>
      <c r="R82" s="137"/>
      <c r="S82" s="138"/>
    </row>
    <row r="83" spans="1:19" ht="18" customHeight="1" x14ac:dyDescent="0.15">
      <c r="A83" s="48"/>
      <c r="B83" s="109"/>
      <c r="C83" s="110"/>
      <c r="D83" s="110"/>
      <c r="E83" s="111"/>
      <c r="F83" s="136"/>
      <c r="G83" s="137"/>
      <c r="H83" s="137"/>
      <c r="I83" s="138"/>
      <c r="J83" s="109"/>
      <c r="K83" s="110"/>
      <c r="L83" s="110"/>
      <c r="M83" s="110"/>
      <c r="N83" s="110"/>
      <c r="O83" s="111"/>
      <c r="P83" s="136"/>
      <c r="Q83" s="137"/>
      <c r="R83" s="137"/>
      <c r="S83" s="138"/>
    </row>
    <row r="84" spans="1:19" ht="18" customHeight="1" x14ac:dyDescent="0.15">
      <c r="A84" s="48"/>
      <c r="B84" s="109"/>
      <c r="C84" s="110"/>
      <c r="D84" s="110"/>
      <c r="E84" s="111"/>
      <c r="F84" s="136"/>
      <c r="G84" s="137"/>
      <c r="H84" s="137"/>
      <c r="I84" s="138"/>
      <c r="J84" s="109"/>
      <c r="K84" s="110"/>
      <c r="L84" s="110"/>
      <c r="M84" s="110"/>
      <c r="N84" s="110"/>
      <c r="O84" s="111"/>
      <c r="P84" s="136"/>
      <c r="Q84" s="137"/>
      <c r="R84" s="137"/>
      <c r="S84" s="138"/>
    </row>
    <row r="85" spans="1:19" ht="18" customHeight="1" x14ac:dyDescent="0.15">
      <c r="A85" s="48"/>
      <c r="B85" s="115"/>
      <c r="C85" s="116"/>
      <c r="D85" s="116"/>
      <c r="E85" s="117"/>
      <c r="F85" s="145"/>
      <c r="G85" s="146"/>
      <c r="H85" s="146"/>
      <c r="I85" s="147"/>
      <c r="J85" s="115"/>
      <c r="K85" s="116"/>
      <c r="L85" s="116"/>
      <c r="M85" s="116"/>
      <c r="N85" s="116"/>
      <c r="O85" s="117"/>
      <c r="P85" s="145"/>
      <c r="Q85" s="146"/>
      <c r="R85" s="146"/>
      <c r="S85" s="147"/>
    </row>
    <row r="86" spans="1:19" ht="18" customHeight="1" x14ac:dyDescent="0.15">
      <c r="A86" s="48"/>
      <c r="B86" s="45"/>
      <c r="C86" s="45"/>
      <c r="D86" s="45"/>
      <c r="E86" s="45"/>
      <c r="F86" s="64"/>
      <c r="G86" s="64"/>
      <c r="H86" s="64"/>
      <c r="I86" s="64"/>
      <c r="J86" s="45"/>
      <c r="K86" s="45"/>
      <c r="L86" s="45"/>
      <c r="M86" s="45"/>
      <c r="N86" s="45"/>
      <c r="O86" s="45"/>
      <c r="P86" s="64"/>
      <c r="Q86" s="64"/>
      <c r="R86" s="64"/>
      <c r="S86" s="64"/>
    </row>
    <row r="87" spans="1:19" ht="18.75" customHeight="1" x14ac:dyDescent="0.15">
      <c r="A87" s="40" t="s">
        <v>119</v>
      </c>
    </row>
    <row r="88" spans="1:19" ht="18.75" customHeight="1" x14ac:dyDescent="0.15">
      <c r="B88" s="131" t="s">
        <v>54</v>
      </c>
      <c r="C88" s="132"/>
      <c r="D88" s="113" t="s">
        <v>55</v>
      </c>
      <c r="E88" s="113"/>
      <c r="F88" s="113"/>
      <c r="G88" s="113"/>
      <c r="H88" s="113"/>
      <c r="I88" s="113"/>
      <c r="J88" s="113"/>
      <c r="K88" s="113"/>
      <c r="L88" s="113"/>
      <c r="M88" s="113"/>
      <c r="N88" s="113"/>
      <c r="O88" s="113"/>
      <c r="P88" s="113"/>
      <c r="Q88" s="113"/>
      <c r="R88" s="113"/>
      <c r="S88" s="114"/>
    </row>
    <row r="89" spans="1:19" ht="97.5" customHeight="1" x14ac:dyDescent="0.15">
      <c r="B89" s="119" t="s">
        <v>61</v>
      </c>
      <c r="C89" s="65" t="s">
        <v>56</v>
      </c>
      <c r="D89" s="216" t="s">
        <v>252</v>
      </c>
      <c r="E89" s="217"/>
      <c r="F89" s="217"/>
      <c r="G89" s="217"/>
      <c r="H89" s="217"/>
      <c r="I89" s="217"/>
      <c r="J89" s="217"/>
      <c r="K89" s="217"/>
      <c r="L89" s="217"/>
      <c r="M89" s="217"/>
      <c r="N89" s="217"/>
      <c r="O89" s="217"/>
      <c r="P89" s="217"/>
      <c r="Q89" s="217"/>
      <c r="R89" s="217"/>
      <c r="S89" s="218"/>
    </row>
    <row r="90" spans="1:19" ht="97.5" customHeight="1" x14ac:dyDescent="0.15">
      <c r="B90" s="120"/>
      <c r="C90" s="66" t="s">
        <v>77</v>
      </c>
      <c r="D90" s="220" t="s">
        <v>253</v>
      </c>
      <c r="E90" s="221"/>
      <c r="F90" s="221"/>
      <c r="G90" s="221"/>
      <c r="H90" s="221"/>
      <c r="I90" s="221"/>
      <c r="J90" s="221"/>
      <c r="K90" s="221"/>
      <c r="L90" s="221"/>
      <c r="M90" s="221"/>
      <c r="N90" s="221"/>
      <c r="O90" s="221"/>
      <c r="P90" s="221"/>
      <c r="Q90" s="221"/>
      <c r="R90" s="221"/>
      <c r="S90" s="222"/>
    </row>
    <row r="91" spans="1:19" ht="97.5" customHeight="1" x14ac:dyDescent="0.15">
      <c r="B91" s="119" t="s">
        <v>62</v>
      </c>
      <c r="C91" s="67" t="s">
        <v>71</v>
      </c>
      <c r="D91" s="211" t="s">
        <v>254</v>
      </c>
      <c r="E91" s="183"/>
      <c r="F91" s="183"/>
      <c r="G91" s="183"/>
      <c r="H91" s="183"/>
      <c r="I91" s="183"/>
      <c r="J91" s="183"/>
      <c r="K91" s="183"/>
      <c r="L91" s="183"/>
      <c r="M91" s="183"/>
      <c r="N91" s="183"/>
      <c r="O91" s="183"/>
      <c r="P91" s="183"/>
      <c r="Q91" s="183"/>
      <c r="R91" s="183"/>
      <c r="S91" s="184"/>
    </row>
    <row r="92" spans="1:19" ht="97.5" customHeight="1" x14ac:dyDescent="0.15">
      <c r="B92" s="121"/>
      <c r="C92" s="68" t="s">
        <v>72</v>
      </c>
      <c r="D92" s="205" t="s">
        <v>255</v>
      </c>
      <c r="E92" s="206"/>
      <c r="F92" s="206"/>
      <c r="G92" s="206"/>
      <c r="H92" s="206"/>
      <c r="I92" s="206"/>
      <c r="J92" s="206"/>
      <c r="K92" s="206"/>
      <c r="L92" s="206"/>
      <c r="M92" s="206"/>
      <c r="N92" s="206"/>
      <c r="O92" s="206"/>
      <c r="P92" s="206"/>
      <c r="Q92" s="206"/>
      <c r="R92" s="206"/>
      <c r="S92" s="207"/>
    </row>
    <row r="93" spans="1:19" ht="97.5" customHeight="1" x14ac:dyDescent="0.15">
      <c r="B93" s="119" t="s">
        <v>63</v>
      </c>
      <c r="C93" s="67" t="s">
        <v>73</v>
      </c>
      <c r="D93" s="211" t="s">
        <v>256</v>
      </c>
      <c r="E93" s="183"/>
      <c r="F93" s="183"/>
      <c r="G93" s="183"/>
      <c r="H93" s="183"/>
      <c r="I93" s="183"/>
      <c r="J93" s="183"/>
      <c r="K93" s="183"/>
      <c r="L93" s="183"/>
      <c r="M93" s="183"/>
      <c r="N93" s="183"/>
      <c r="O93" s="183"/>
      <c r="P93" s="183"/>
      <c r="Q93" s="183"/>
      <c r="R93" s="183"/>
      <c r="S93" s="184"/>
    </row>
    <row r="94" spans="1:19" ht="97.5" customHeight="1" x14ac:dyDescent="0.15">
      <c r="B94" s="121"/>
      <c r="C94" s="69" t="s">
        <v>74</v>
      </c>
      <c r="D94" s="208" t="s">
        <v>257</v>
      </c>
      <c r="E94" s="209"/>
      <c r="F94" s="209"/>
      <c r="G94" s="209"/>
      <c r="H94" s="209"/>
      <c r="I94" s="209"/>
      <c r="J94" s="209"/>
      <c r="K94" s="209"/>
      <c r="L94" s="209"/>
      <c r="M94" s="209"/>
      <c r="N94" s="209"/>
      <c r="O94" s="209"/>
      <c r="P94" s="209"/>
      <c r="Q94" s="209"/>
      <c r="R94" s="209"/>
      <c r="S94" s="210"/>
    </row>
    <row r="95" spans="1:19" ht="97.5" customHeight="1" x14ac:dyDescent="0.15">
      <c r="B95" s="119" t="s">
        <v>78</v>
      </c>
      <c r="C95" s="65" t="s">
        <v>58</v>
      </c>
      <c r="D95" s="216" t="s">
        <v>258</v>
      </c>
      <c r="E95" s="217"/>
      <c r="F95" s="217"/>
      <c r="G95" s="217"/>
      <c r="H95" s="217"/>
      <c r="I95" s="217"/>
      <c r="J95" s="217"/>
      <c r="K95" s="217"/>
      <c r="L95" s="217"/>
      <c r="M95" s="217"/>
      <c r="N95" s="217"/>
      <c r="O95" s="217"/>
      <c r="P95" s="217"/>
      <c r="Q95" s="217"/>
      <c r="R95" s="217"/>
      <c r="S95" s="218"/>
    </row>
    <row r="96" spans="1:19" ht="97.5" customHeight="1" x14ac:dyDescent="0.15">
      <c r="B96" s="121"/>
      <c r="C96" s="68" t="s">
        <v>60</v>
      </c>
      <c r="D96" s="205" t="s">
        <v>259</v>
      </c>
      <c r="E96" s="206"/>
      <c r="F96" s="206"/>
      <c r="G96" s="206"/>
      <c r="H96" s="206"/>
      <c r="I96" s="206"/>
      <c r="J96" s="206"/>
      <c r="K96" s="206"/>
      <c r="L96" s="206"/>
      <c r="M96" s="206"/>
      <c r="N96" s="206"/>
      <c r="O96" s="206"/>
      <c r="P96" s="206"/>
      <c r="Q96" s="206"/>
      <c r="R96" s="206"/>
      <c r="S96" s="207"/>
    </row>
    <row r="97" spans="1:19" ht="164.45" customHeight="1" x14ac:dyDescent="0.15">
      <c r="B97" s="119" t="s">
        <v>79</v>
      </c>
      <c r="C97" s="67" t="s">
        <v>57</v>
      </c>
      <c r="D97" s="212" t="s">
        <v>260</v>
      </c>
      <c r="E97" s="107"/>
      <c r="F97" s="107"/>
      <c r="G97" s="107"/>
      <c r="H97" s="107"/>
      <c r="I97" s="107"/>
      <c r="J97" s="107"/>
      <c r="K97" s="107"/>
      <c r="L97" s="107"/>
      <c r="M97" s="107"/>
      <c r="N97" s="107"/>
      <c r="O97" s="107"/>
      <c r="P97" s="107"/>
      <c r="Q97" s="107"/>
      <c r="R97" s="107"/>
      <c r="S97" s="108"/>
    </row>
    <row r="98" spans="1:19" ht="97.5" customHeight="1" x14ac:dyDescent="0.15">
      <c r="B98" s="120"/>
      <c r="C98" s="70" t="s">
        <v>75</v>
      </c>
      <c r="D98" s="219" t="s">
        <v>261</v>
      </c>
      <c r="E98" s="110"/>
      <c r="F98" s="110"/>
      <c r="G98" s="110"/>
      <c r="H98" s="110"/>
      <c r="I98" s="110"/>
      <c r="J98" s="110"/>
      <c r="K98" s="110"/>
      <c r="L98" s="110"/>
      <c r="M98" s="110"/>
      <c r="N98" s="110"/>
      <c r="O98" s="110"/>
      <c r="P98" s="110"/>
      <c r="Q98" s="110"/>
      <c r="R98" s="110"/>
      <c r="S98" s="111"/>
    </row>
    <row r="99" spans="1:19" ht="97.5" customHeight="1" x14ac:dyDescent="0.15">
      <c r="B99" s="121"/>
      <c r="C99" s="69" t="s">
        <v>76</v>
      </c>
      <c r="D99" s="213" t="s">
        <v>262</v>
      </c>
      <c r="E99" s="214"/>
      <c r="F99" s="214"/>
      <c r="G99" s="214"/>
      <c r="H99" s="214"/>
      <c r="I99" s="214"/>
      <c r="J99" s="214"/>
      <c r="K99" s="214"/>
      <c r="L99" s="214"/>
      <c r="M99" s="214"/>
      <c r="N99" s="214"/>
      <c r="O99" s="214"/>
      <c r="P99" s="214"/>
      <c r="Q99" s="214"/>
      <c r="R99" s="214"/>
      <c r="S99" s="215"/>
    </row>
    <row r="100" spans="1:19" ht="6" customHeight="1" x14ac:dyDescent="0.15"/>
    <row r="101" spans="1:19" ht="18.75" customHeight="1" x14ac:dyDescent="0.15">
      <c r="A101" s="40" t="s">
        <v>120</v>
      </c>
    </row>
    <row r="102" spans="1:19" ht="81.75" customHeight="1" x14ac:dyDescent="0.15">
      <c r="B102" s="142" t="s">
        <v>172</v>
      </c>
      <c r="C102" s="143"/>
      <c r="D102" s="143"/>
      <c r="E102" s="143"/>
      <c r="F102" s="143"/>
      <c r="G102" s="143"/>
      <c r="H102" s="143"/>
      <c r="I102" s="143"/>
      <c r="J102" s="143"/>
      <c r="K102" s="143"/>
      <c r="L102" s="143"/>
      <c r="M102" s="143"/>
      <c r="N102" s="143"/>
      <c r="O102" s="143"/>
      <c r="P102" s="143"/>
      <c r="Q102" s="143"/>
      <c r="R102" s="143"/>
      <c r="S102" s="144"/>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M2"/>
    <mergeCell ref="C3:M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ED6F6EA5-EB5B-439E-9A75-5A4E24A026F9}">
      <formula1>$V$14:$V$16</formula1>
    </dataValidation>
    <dataValidation type="list" allowBlank="1" showInputMessage="1" showErrorMessage="1" sqref="G79:I80 P79:P86 Q79:S80 G83:I86 Q83:S86 F79:F86" xr:uid="{0C2CBF70-E81B-49C0-A026-7FC97568F11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946AC34B-9FC8-4151-89AB-9CC78E4B01A9}">
      <formula1>"学部・学科によって、修了要件は相違する,学部・学科によって、修了要件は相違しない"</formula1>
    </dataValidation>
    <dataValidation type="list" allowBlank="1" showInputMessage="1" showErrorMessage="1" sqref="S32 S43 D32:G32 D43:G43" xr:uid="{304E8107-186A-4E41-952F-2DA9DF61B53D}">
      <formula1>"全学開講,一部開講"</formula1>
    </dataValidation>
    <dataValidation type="list" allowBlank="1" showInputMessage="1" showErrorMessage="1" sqref="G25:I31 Q25:S31 P69:S75 Q36:S42 G36:I42 Q47:S53 G47:I53 Q58:S64 G58:I64 F69:I75" xr:uid="{F750E200-80CB-4F18-8E1C-9F767B042076}">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W29" sqref="W28:W29"/>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14"/>
      <c r="Q2" s="14"/>
      <c r="W2" s="14"/>
      <c r="AC2" s="14"/>
      <c r="AI2" s="14"/>
      <c r="AL2" s="14" t="s">
        <v>108</v>
      </c>
      <c r="AM2" s="229" t="str">
        <f>'様式１ー１　プログラムを構成する授業科目（心理・環境科学部）'!C2</f>
        <v>人間環境大学</v>
      </c>
      <c r="AN2" s="229"/>
      <c r="AO2" s="229"/>
      <c r="AP2" s="229"/>
      <c r="AQ2" s="229"/>
    </row>
    <row r="3" spans="1:45" ht="18" customHeight="1" x14ac:dyDescent="0.15">
      <c r="A3" s="230" t="s">
        <v>47</v>
      </c>
      <c r="B3" s="230"/>
      <c r="C3" s="230"/>
      <c r="D3" s="230"/>
      <c r="E3" s="230"/>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c r="AG3" s="230"/>
      <c r="AH3" s="230"/>
      <c r="AI3" s="230"/>
      <c r="AJ3" s="230"/>
      <c r="AK3" s="230"/>
      <c r="AL3" s="230"/>
      <c r="AM3" s="230"/>
      <c r="AN3" s="230"/>
      <c r="AO3" s="230"/>
      <c r="AP3" s="230"/>
      <c r="AQ3" s="23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231" t="s">
        <v>192</v>
      </c>
      <c r="D5" s="232"/>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4"/>
      <c r="AQ5" s="4"/>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33" t="s">
        <v>44</v>
      </c>
      <c r="C9" s="248" t="s">
        <v>86</v>
      </c>
      <c r="D9" s="236" t="s">
        <v>46</v>
      </c>
      <c r="E9" s="239" t="s">
        <v>39</v>
      </c>
      <c r="F9" s="226" t="s">
        <v>85</v>
      </c>
      <c r="G9" s="226"/>
      <c r="H9" s="226"/>
      <c r="I9" s="226"/>
      <c r="J9" s="226"/>
      <c r="K9" s="226"/>
      <c r="L9" s="226" t="s">
        <v>48</v>
      </c>
      <c r="M9" s="226"/>
      <c r="N9" s="226"/>
      <c r="O9" s="226"/>
      <c r="P9" s="226"/>
      <c r="Q9" s="226"/>
      <c r="R9" s="226" t="s">
        <v>49</v>
      </c>
      <c r="S9" s="226"/>
      <c r="T9" s="226"/>
      <c r="U9" s="226"/>
      <c r="V9" s="226"/>
      <c r="W9" s="226"/>
      <c r="X9" s="226" t="s">
        <v>100</v>
      </c>
      <c r="Y9" s="226"/>
      <c r="Z9" s="226"/>
      <c r="AA9" s="226"/>
      <c r="AB9" s="226"/>
      <c r="AC9" s="226"/>
      <c r="AD9" s="226" t="s">
        <v>50</v>
      </c>
      <c r="AE9" s="226"/>
      <c r="AF9" s="226"/>
      <c r="AG9" s="226"/>
      <c r="AH9" s="226"/>
      <c r="AI9" s="226"/>
      <c r="AJ9" s="226" t="s">
        <v>51</v>
      </c>
      <c r="AK9" s="226"/>
      <c r="AL9" s="226"/>
      <c r="AM9" s="226"/>
      <c r="AN9" s="226"/>
      <c r="AO9" s="226"/>
      <c r="AP9" s="242" t="s">
        <v>34</v>
      </c>
      <c r="AQ9" s="245" t="s">
        <v>31</v>
      </c>
      <c r="AS9" s="2"/>
    </row>
    <row r="10" spans="1:45" ht="17.100000000000001" customHeight="1" x14ac:dyDescent="0.15">
      <c r="B10" s="234"/>
      <c r="C10" s="249"/>
      <c r="D10" s="237"/>
      <c r="E10" s="240"/>
      <c r="F10" s="227" t="s">
        <v>96</v>
      </c>
      <c r="G10" s="228"/>
      <c r="H10" s="228"/>
      <c r="I10" s="227" t="s">
        <v>28</v>
      </c>
      <c r="J10" s="228"/>
      <c r="K10" s="228"/>
      <c r="L10" s="227" t="s">
        <v>96</v>
      </c>
      <c r="M10" s="228"/>
      <c r="N10" s="228"/>
      <c r="O10" s="227" t="s">
        <v>28</v>
      </c>
      <c r="P10" s="228"/>
      <c r="Q10" s="228"/>
      <c r="R10" s="227" t="s">
        <v>96</v>
      </c>
      <c r="S10" s="228"/>
      <c r="T10" s="228"/>
      <c r="U10" s="227" t="s">
        <v>28</v>
      </c>
      <c r="V10" s="228"/>
      <c r="W10" s="228"/>
      <c r="X10" s="227" t="s">
        <v>96</v>
      </c>
      <c r="Y10" s="228"/>
      <c r="Z10" s="228"/>
      <c r="AA10" s="227" t="s">
        <v>28</v>
      </c>
      <c r="AB10" s="228"/>
      <c r="AC10" s="228"/>
      <c r="AD10" s="227" t="s">
        <v>96</v>
      </c>
      <c r="AE10" s="228"/>
      <c r="AF10" s="228"/>
      <c r="AG10" s="227" t="s">
        <v>28</v>
      </c>
      <c r="AH10" s="228"/>
      <c r="AI10" s="228"/>
      <c r="AJ10" s="227" t="s">
        <v>96</v>
      </c>
      <c r="AK10" s="228"/>
      <c r="AL10" s="228"/>
      <c r="AM10" s="227" t="s">
        <v>28</v>
      </c>
      <c r="AN10" s="228"/>
      <c r="AO10" s="228"/>
      <c r="AP10" s="243"/>
      <c r="AQ10" s="246"/>
      <c r="AS10" s="2"/>
    </row>
    <row r="11" spans="1:45" ht="18" customHeight="1" x14ac:dyDescent="0.15">
      <c r="B11" s="235"/>
      <c r="C11" s="250"/>
      <c r="D11" s="238"/>
      <c r="E11" s="241"/>
      <c r="F11" s="11" t="s">
        <v>97</v>
      </c>
      <c r="G11" s="12" t="s">
        <v>98</v>
      </c>
      <c r="H11" s="13" t="s">
        <v>99</v>
      </c>
      <c r="I11" s="11" t="s">
        <v>97</v>
      </c>
      <c r="J11" s="12" t="s">
        <v>98</v>
      </c>
      <c r="K11" s="13" t="s">
        <v>99</v>
      </c>
      <c r="L11" s="11" t="s">
        <v>97</v>
      </c>
      <c r="M11" s="12" t="s">
        <v>98</v>
      </c>
      <c r="N11" s="13" t="s">
        <v>99</v>
      </c>
      <c r="O11" s="11" t="s">
        <v>97</v>
      </c>
      <c r="P11" s="12" t="s">
        <v>98</v>
      </c>
      <c r="Q11" s="13" t="s">
        <v>99</v>
      </c>
      <c r="R11" s="11" t="s">
        <v>97</v>
      </c>
      <c r="S11" s="12" t="s">
        <v>98</v>
      </c>
      <c r="T11" s="13" t="s">
        <v>99</v>
      </c>
      <c r="U11" s="11" t="s">
        <v>97</v>
      </c>
      <c r="V11" s="12" t="s">
        <v>98</v>
      </c>
      <c r="W11" s="13" t="s">
        <v>99</v>
      </c>
      <c r="X11" s="11" t="s">
        <v>97</v>
      </c>
      <c r="Y11" s="12" t="s">
        <v>98</v>
      </c>
      <c r="Z11" s="13" t="s">
        <v>99</v>
      </c>
      <c r="AA11" s="11" t="s">
        <v>97</v>
      </c>
      <c r="AB11" s="12" t="s">
        <v>98</v>
      </c>
      <c r="AC11" s="13" t="s">
        <v>99</v>
      </c>
      <c r="AD11" s="11" t="s">
        <v>97</v>
      </c>
      <c r="AE11" s="12" t="s">
        <v>98</v>
      </c>
      <c r="AF11" s="13" t="s">
        <v>99</v>
      </c>
      <c r="AG11" s="11" t="s">
        <v>97</v>
      </c>
      <c r="AH11" s="12" t="s">
        <v>98</v>
      </c>
      <c r="AI11" s="13" t="s">
        <v>99</v>
      </c>
      <c r="AJ11" s="11" t="s">
        <v>97</v>
      </c>
      <c r="AK11" s="12" t="s">
        <v>98</v>
      </c>
      <c r="AL11" s="13" t="s">
        <v>99</v>
      </c>
      <c r="AM11" s="11" t="s">
        <v>97</v>
      </c>
      <c r="AN11" s="12" t="s">
        <v>98</v>
      </c>
      <c r="AO11" s="13" t="s">
        <v>99</v>
      </c>
      <c r="AP11" s="244"/>
      <c r="AQ11" s="247"/>
      <c r="AS11" s="2"/>
    </row>
    <row r="12" spans="1:45" ht="18" customHeight="1" x14ac:dyDescent="0.15">
      <c r="A12" s="4"/>
      <c r="B12" s="35" t="s">
        <v>193</v>
      </c>
      <c r="C12" s="15">
        <v>323</v>
      </c>
      <c r="D12" s="16">
        <v>150</v>
      </c>
      <c r="E12" s="17">
        <v>600</v>
      </c>
      <c r="F12" s="96">
        <v>41</v>
      </c>
      <c r="G12" s="36"/>
      <c r="H12" s="37"/>
      <c r="I12" s="96">
        <v>0</v>
      </c>
      <c r="J12" s="18"/>
      <c r="K12" s="19"/>
      <c r="L12" s="17">
        <f>M12+N12</f>
        <v>0</v>
      </c>
      <c r="M12" s="18"/>
      <c r="N12" s="19"/>
      <c r="O12" s="17">
        <f>P12+Q12</f>
        <v>0</v>
      </c>
      <c r="P12" s="18"/>
      <c r="Q12" s="19"/>
      <c r="R12" s="17">
        <f>S12+T12</f>
        <v>0</v>
      </c>
      <c r="S12" s="18"/>
      <c r="T12" s="19"/>
      <c r="U12" s="17">
        <f>V12+W12</f>
        <v>0</v>
      </c>
      <c r="V12" s="18"/>
      <c r="W12" s="19"/>
      <c r="X12" s="17">
        <f>Y12+Z12</f>
        <v>0</v>
      </c>
      <c r="Y12" s="18"/>
      <c r="Z12" s="19"/>
      <c r="AA12" s="17">
        <f>AB12+AC12</f>
        <v>0</v>
      </c>
      <c r="AB12" s="18"/>
      <c r="AC12" s="19"/>
      <c r="AD12" s="17">
        <f>AE12+AF12</f>
        <v>0</v>
      </c>
      <c r="AE12" s="18"/>
      <c r="AF12" s="19"/>
      <c r="AG12" s="17">
        <f>AH12+AI12</f>
        <v>0</v>
      </c>
      <c r="AH12" s="18"/>
      <c r="AI12" s="19"/>
      <c r="AJ12" s="17">
        <f>AK12+AL12</f>
        <v>0</v>
      </c>
      <c r="AK12" s="18"/>
      <c r="AL12" s="19"/>
      <c r="AM12" s="17">
        <f>AN12+AO12</f>
        <v>0</v>
      </c>
      <c r="AN12" s="18"/>
      <c r="AO12" s="19"/>
      <c r="AP12" s="102">
        <f>F12+L12+R12+X12+AD12+AJ12</f>
        <v>41</v>
      </c>
      <c r="AQ12" s="103">
        <f t="shared" ref="AQ12:AQ32" si="0">AP12/E12</f>
        <v>6.8333333333333329E-2</v>
      </c>
    </row>
    <row r="13" spans="1:45" ht="18" customHeight="1" x14ac:dyDescent="0.15">
      <c r="A13" s="4"/>
      <c r="B13" s="8" t="s">
        <v>194</v>
      </c>
      <c r="C13" s="20">
        <v>218</v>
      </c>
      <c r="D13" s="21">
        <v>100</v>
      </c>
      <c r="E13" s="22">
        <v>400</v>
      </c>
      <c r="F13" s="97">
        <v>84</v>
      </c>
      <c r="G13" s="38"/>
      <c r="H13" s="39"/>
      <c r="I13" s="97">
        <v>0</v>
      </c>
      <c r="J13" s="24"/>
      <c r="K13" s="25"/>
      <c r="L13" s="23">
        <f t="shared" ref="L13:L31" si="1">M13+N13</f>
        <v>0</v>
      </c>
      <c r="M13" s="24"/>
      <c r="N13" s="25"/>
      <c r="O13" s="23">
        <f t="shared" ref="O13:O31" si="2">P13+Q13</f>
        <v>0</v>
      </c>
      <c r="P13" s="24"/>
      <c r="Q13" s="25"/>
      <c r="R13" s="23">
        <f t="shared" ref="R13:R31" si="3">S13+T13</f>
        <v>0</v>
      </c>
      <c r="S13" s="24"/>
      <c r="T13" s="25"/>
      <c r="U13" s="23">
        <f t="shared" ref="U13:U31" si="4">V13+W13</f>
        <v>0</v>
      </c>
      <c r="V13" s="24"/>
      <c r="W13" s="25"/>
      <c r="X13" s="23">
        <f t="shared" ref="X13:X31" si="5">Y13+Z13</f>
        <v>0</v>
      </c>
      <c r="Y13" s="24"/>
      <c r="Z13" s="25"/>
      <c r="AA13" s="23">
        <f t="shared" ref="AA13:AA31" si="6">AB13+AC13</f>
        <v>0</v>
      </c>
      <c r="AB13" s="24"/>
      <c r="AC13" s="25"/>
      <c r="AD13" s="23">
        <f t="shared" ref="AD13:AD31" si="7">AE13+AF13</f>
        <v>0</v>
      </c>
      <c r="AE13" s="24"/>
      <c r="AF13" s="25"/>
      <c r="AG13" s="23">
        <f t="shared" ref="AG13:AG31" si="8">AH13+AI13</f>
        <v>0</v>
      </c>
      <c r="AH13" s="24"/>
      <c r="AI13" s="25"/>
      <c r="AJ13" s="23">
        <f t="shared" ref="AJ13:AJ31" si="9">AK13+AL13</f>
        <v>0</v>
      </c>
      <c r="AK13" s="24"/>
      <c r="AL13" s="25"/>
      <c r="AM13" s="23">
        <f t="shared" ref="AM13:AM31" si="10">AN13+AO13</f>
        <v>0</v>
      </c>
      <c r="AN13" s="24"/>
      <c r="AO13" s="25"/>
      <c r="AP13" s="104">
        <f t="shared" ref="AP13:AP31" si="11">F13+L13+R13+X13+AD13+AJ13</f>
        <v>84</v>
      </c>
      <c r="AQ13" s="105">
        <f t="shared" si="0"/>
        <v>0.21</v>
      </c>
    </row>
    <row r="14" spans="1:45" ht="18" customHeight="1" x14ac:dyDescent="0.15">
      <c r="A14" s="4"/>
      <c r="B14" s="8" t="s">
        <v>187</v>
      </c>
      <c r="C14" s="20">
        <v>429</v>
      </c>
      <c r="D14" s="21">
        <v>95</v>
      </c>
      <c r="E14" s="22">
        <v>380</v>
      </c>
      <c r="F14" s="23">
        <v>101</v>
      </c>
      <c r="G14" s="24"/>
      <c r="H14" s="25"/>
      <c r="I14" s="23">
        <v>0</v>
      </c>
      <c r="J14" s="24"/>
      <c r="K14" s="25"/>
      <c r="L14" s="23">
        <f t="shared" si="1"/>
        <v>0</v>
      </c>
      <c r="M14" s="24"/>
      <c r="N14" s="25"/>
      <c r="O14" s="23">
        <f t="shared" si="2"/>
        <v>0</v>
      </c>
      <c r="P14" s="24"/>
      <c r="Q14" s="25"/>
      <c r="R14" s="23">
        <f t="shared" si="3"/>
        <v>0</v>
      </c>
      <c r="S14" s="24"/>
      <c r="T14" s="25"/>
      <c r="U14" s="23">
        <f t="shared" si="4"/>
        <v>0</v>
      </c>
      <c r="V14" s="24"/>
      <c r="W14" s="25"/>
      <c r="X14" s="23">
        <f t="shared" si="5"/>
        <v>0</v>
      </c>
      <c r="Y14" s="24"/>
      <c r="Z14" s="25"/>
      <c r="AA14" s="23">
        <f t="shared" si="6"/>
        <v>0</v>
      </c>
      <c r="AB14" s="24"/>
      <c r="AC14" s="25"/>
      <c r="AD14" s="23">
        <f t="shared" si="7"/>
        <v>0</v>
      </c>
      <c r="AE14" s="24"/>
      <c r="AF14" s="25"/>
      <c r="AG14" s="23">
        <f t="shared" si="8"/>
        <v>0</v>
      </c>
      <c r="AH14" s="24"/>
      <c r="AI14" s="25"/>
      <c r="AJ14" s="23">
        <f t="shared" si="9"/>
        <v>0</v>
      </c>
      <c r="AK14" s="24"/>
      <c r="AL14" s="25"/>
      <c r="AM14" s="23">
        <f t="shared" si="10"/>
        <v>0</v>
      </c>
      <c r="AN14" s="24"/>
      <c r="AO14" s="25"/>
      <c r="AP14" s="21">
        <f t="shared" si="11"/>
        <v>101</v>
      </c>
      <c r="AQ14" s="6">
        <f t="shared" si="0"/>
        <v>0.26578947368421052</v>
      </c>
    </row>
    <row r="15" spans="1:45" ht="18" customHeight="1" x14ac:dyDescent="0.15">
      <c r="A15" s="4"/>
      <c r="B15" s="8" t="s">
        <v>195</v>
      </c>
      <c r="C15" s="20">
        <v>335</v>
      </c>
      <c r="D15" s="21">
        <v>80</v>
      </c>
      <c r="E15" s="22">
        <v>320</v>
      </c>
      <c r="F15" s="23">
        <v>80</v>
      </c>
      <c r="G15" s="24"/>
      <c r="H15" s="25"/>
      <c r="I15" s="23">
        <v>0</v>
      </c>
      <c r="J15" s="24"/>
      <c r="K15" s="25"/>
      <c r="L15" s="23">
        <f t="shared" si="1"/>
        <v>0</v>
      </c>
      <c r="M15" s="24"/>
      <c r="N15" s="25"/>
      <c r="O15" s="23">
        <f t="shared" si="2"/>
        <v>0</v>
      </c>
      <c r="P15" s="24"/>
      <c r="Q15" s="25"/>
      <c r="R15" s="23">
        <f t="shared" si="3"/>
        <v>0</v>
      </c>
      <c r="S15" s="24"/>
      <c r="T15" s="25"/>
      <c r="U15" s="23">
        <f t="shared" si="4"/>
        <v>0</v>
      </c>
      <c r="V15" s="24"/>
      <c r="W15" s="25"/>
      <c r="X15" s="23">
        <f t="shared" si="5"/>
        <v>0</v>
      </c>
      <c r="Y15" s="24"/>
      <c r="Z15" s="25"/>
      <c r="AA15" s="23">
        <f t="shared" si="6"/>
        <v>0</v>
      </c>
      <c r="AB15" s="24"/>
      <c r="AC15" s="25"/>
      <c r="AD15" s="23">
        <f t="shared" si="7"/>
        <v>0</v>
      </c>
      <c r="AE15" s="24"/>
      <c r="AF15" s="25"/>
      <c r="AG15" s="23">
        <f t="shared" si="8"/>
        <v>0</v>
      </c>
      <c r="AH15" s="24"/>
      <c r="AI15" s="25"/>
      <c r="AJ15" s="23">
        <f t="shared" si="9"/>
        <v>0</v>
      </c>
      <c r="AK15" s="24"/>
      <c r="AL15" s="25"/>
      <c r="AM15" s="23">
        <f t="shared" si="10"/>
        <v>0</v>
      </c>
      <c r="AN15" s="24"/>
      <c r="AO15" s="25"/>
      <c r="AP15" s="21">
        <f t="shared" si="11"/>
        <v>80</v>
      </c>
      <c r="AQ15" s="6">
        <f t="shared" si="0"/>
        <v>0.25</v>
      </c>
    </row>
    <row r="16" spans="1:45" ht="18" customHeight="1" x14ac:dyDescent="0.15">
      <c r="A16" s="4"/>
      <c r="B16" s="8" t="s">
        <v>196</v>
      </c>
      <c r="C16" s="20">
        <v>175</v>
      </c>
      <c r="D16" s="21">
        <v>80</v>
      </c>
      <c r="E16" s="22">
        <v>320</v>
      </c>
      <c r="F16" s="23">
        <v>82</v>
      </c>
      <c r="G16" s="24"/>
      <c r="H16" s="25"/>
      <c r="I16" s="23">
        <v>0</v>
      </c>
      <c r="J16" s="24"/>
      <c r="K16" s="25"/>
      <c r="L16" s="23">
        <f t="shared" si="1"/>
        <v>0</v>
      </c>
      <c r="M16" s="24"/>
      <c r="N16" s="25"/>
      <c r="O16" s="23">
        <f t="shared" si="2"/>
        <v>0</v>
      </c>
      <c r="P16" s="24"/>
      <c r="Q16" s="25"/>
      <c r="R16" s="23">
        <f t="shared" si="3"/>
        <v>0</v>
      </c>
      <c r="S16" s="24"/>
      <c r="T16" s="25"/>
      <c r="U16" s="23">
        <f t="shared" si="4"/>
        <v>0</v>
      </c>
      <c r="V16" s="24"/>
      <c r="W16" s="25"/>
      <c r="X16" s="23">
        <f t="shared" si="5"/>
        <v>0</v>
      </c>
      <c r="Y16" s="24"/>
      <c r="Z16" s="25"/>
      <c r="AA16" s="23">
        <f t="shared" si="6"/>
        <v>0</v>
      </c>
      <c r="AB16" s="24"/>
      <c r="AC16" s="25"/>
      <c r="AD16" s="23">
        <f t="shared" si="7"/>
        <v>0</v>
      </c>
      <c r="AE16" s="24"/>
      <c r="AF16" s="25"/>
      <c r="AG16" s="23">
        <f t="shared" si="8"/>
        <v>0</v>
      </c>
      <c r="AH16" s="24"/>
      <c r="AI16" s="25"/>
      <c r="AJ16" s="23">
        <f t="shared" si="9"/>
        <v>0</v>
      </c>
      <c r="AK16" s="24"/>
      <c r="AL16" s="25"/>
      <c r="AM16" s="23">
        <f t="shared" si="10"/>
        <v>0</v>
      </c>
      <c r="AN16" s="24"/>
      <c r="AO16" s="25"/>
      <c r="AP16" s="21">
        <f t="shared" si="11"/>
        <v>82</v>
      </c>
      <c r="AQ16" s="6">
        <f t="shared" si="0"/>
        <v>0.25624999999999998</v>
      </c>
    </row>
    <row r="17" spans="1:43" ht="18" customHeight="1" x14ac:dyDescent="0.15">
      <c r="A17" s="4"/>
      <c r="B17" s="8"/>
      <c r="C17" s="20"/>
      <c r="D17" s="21"/>
      <c r="E17" s="22"/>
      <c r="F17" s="23">
        <f t="shared" ref="F17:F31" si="12">G17+H17</f>
        <v>0</v>
      </c>
      <c r="G17" s="24"/>
      <c r="H17" s="25"/>
      <c r="I17" s="23">
        <f t="shared" ref="I17:I31" si="13">J17+K17</f>
        <v>0</v>
      </c>
      <c r="J17" s="24"/>
      <c r="K17" s="25"/>
      <c r="L17" s="23">
        <f t="shared" si="1"/>
        <v>0</v>
      </c>
      <c r="M17" s="24"/>
      <c r="N17" s="25"/>
      <c r="O17" s="23">
        <f t="shared" si="2"/>
        <v>0</v>
      </c>
      <c r="P17" s="24"/>
      <c r="Q17" s="25"/>
      <c r="R17" s="23">
        <f t="shared" si="3"/>
        <v>0</v>
      </c>
      <c r="S17" s="24"/>
      <c r="T17" s="25"/>
      <c r="U17" s="23">
        <f t="shared" si="4"/>
        <v>0</v>
      </c>
      <c r="V17" s="24"/>
      <c r="W17" s="25"/>
      <c r="X17" s="23">
        <f t="shared" si="5"/>
        <v>0</v>
      </c>
      <c r="Y17" s="24"/>
      <c r="Z17" s="25"/>
      <c r="AA17" s="23">
        <f t="shared" si="6"/>
        <v>0</v>
      </c>
      <c r="AB17" s="24"/>
      <c r="AC17" s="25"/>
      <c r="AD17" s="23">
        <f t="shared" si="7"/>
        <v>0</v>
      </c>
      <c r="AE17" s="24"/>
      <c r="AF17" s="25"/>
      <c r="AG17" s="23">
        <f t="shared" si="8"/>
        <v>0</v>
      </c>
      <c r="AH17" s="24"/>
      <c r="AI17" s="25"/>
      <c r="AJ17" s="23">
        <f t="shared" si="9"/>
        <v>0</v>
      </c>
      <c r="AK17" s="24"/>
      <c r="AL17" s="25"/>
      <c r="AM17" s="23">
        <f t="shared" si="10"/>
        <v>0</v>
      </c>
      <c r="AN17" s="24"/>
      <c r="AO17" s="25"/>
      <c r="AP17" s="21">
        <f t="shared" si="11"/>
        <v>0</v>
      </c>
      <c r="AQ17" s="6" t="e">
        <f t="shared" si="0"/>
        <v>#DIV/0!</v>
      </c>
    </row>
    <row r="18" spans="1:43" ht="18" customHeight="1" x14ac:dyDescent="0.15">
      <c r="A18" s="4"/>
      <c r="B18" s="8"/>
      <c r="C18" s="20"/>
      <c r="D18" s="21"/>
      <c r="E18" s="22"/>
      <c r="F18" s="23">
        <f t="shared" si="12"/>
        <v>0</v>
      </c>
      <c r="G18" s="24"/>
      <c r="H18" s="25"/>
      <c r="I18" s="23">
        <f t="shared" si="13"/>
        <v>0</v>
      </c>
      <c r="J18" s="24"/>
      <c r="K18" s="25"/>
      <c r="L18" s="23">
        <f t="shared" si="1"/>
        <v>0</v>
      </c>
      <c r="M18" s="24"/>
      <c r="N18" s="25"/>
      <c r="O18" s="23">
        <f t="shared" si="2"/>
        <v>0</v>
      </c>
      <c r="P18" s="24"/>
      <c r="Q18" s="25"/>
      <c r="R18" s="23">
        <f t="shared" si="3"/>
        <v>0</v>
      </c>
      <c r="S18" s="24"/>
      <c r="T18" s="25"/>
      <c r="U18" s="23">
        <f t="shared" si="4"/>
        <v>0</v>
      </c>
      <c r="V18" s="24"/>
      <c r="W18" s="25"/>
      <c r="X18" s="23">
        <f t="shared" si="5"/>
        <v>0</v>
      </c>
      <c r="Y18" s="24"/>
      <c r="Z18" s="25"/>
      <c r="AA18" s="23">
        <f t="shared" si="6"/>
        <v>0</v>
      </c>
      <c r="AB18" s="24"/>
      <c r="AC18" s="25"/>
      <c r="AD18" s="23">
        <f t="shared" si="7"/>
        <v>0</v>
      </c>
      <c r="AE18" s="24"/>
      <c r="AF18" s="25"/>
      <c r="AG18" s="23">
        <f t="shared" si="8"/>
        <v>0</v>
      </c>
      <c r="AH18" s="24"/>
      <c r="AI18" s="25"/>
      <c r="AJ18" s="23">
        <f t="shared" si="9"/>
        <v>0</v>
      </c>
      <c r="AK18" s="24"/>
      <c r="AL18" s="25"/>
      <c r="AM18" s="23">
        <f t="shared" si="10"/>
        <v>0</v>
      </c>
      <c r="AN18" s="24"/>
      <c r="AO18" s="25"/>
      <c r="AP18" s="21">
        <f t="shared" si="11"/>
        <v>0</v>
      </c>
      <c r="AQ18" s="6" t="e">
        <f t="shared" si="0"/>
        <v>#DIV/0!</v>
      </c>
    </row>
    <row r="19" spans="1:43" ht="18" customHeight="1" x14ac:dyDescent="0.15">
      <c r="A19" s="4"/>
      <c r="B19" s="8"/>
      <c r="C19" s="20"/>
      <c r="D19" s="21"/>
      <c r="E19" s="22"/>
      <c r="F19" s="23">
        <f t="shared" si="12"/>
        <v>0</v>
      </c>
      <c r="G19" s="24"/>
      <c r="H19" s="25"/>
      <c r="I19" s="23">
        <f t="shared" si="13"/>
        <v>0</v>
      </c>
      <c r="J19" s="24"/>
      <c r="K19" s="25"/>
      <c r="L19" s="23">
        <f t="shared" si="1"/>
        <v>0</v>
      </c>
      <c r="M19" s="24"/>
      <c r="N19" s="25"/>
      <c r="O19" s="23">
        <f t="shared" si="2"/>
        <v>0</v>
      </c>
      <c r="P19" s="24"/>
      <c r="Q19" s="25"/>
      <c r="R19" s="23">
        <f t="shared" si="3"/>
        <v>0</v>
      </c>
      <c r="S19" s="24"/>
      <c r="T19" s="25"/>
      <c r="U19" s="23">
        <f t="shared" si="4"/>
        <v>0</v>
      </c>
      <c r="V19" s="24"/>
      <c r="W19" s="25"/>
      <c r="X19" s="23">
        <f t="shared" si="5"/>
        <v>0</v>
      </c>
      <c r="Y19" s="24"/>
      <c r="Z19" s="25"/>
      <c r="AA19" s="23">
        <f t="shared" si="6"/>
        <v>0</v>
      </c>
      <c r="AB19" s="24"/>
      <c r="AC19" s="25"/>
      <c r="AD19" s="23">
        <f t="shared" si="7"/>
        <v>0</v>
      </c>
      <c r="AE19" s="24"/>
      <c r="AF19" s="25"/>
      <c r="AG19" s="23">
        <f t="shared" si="8"/>
        <v>0</v>
      </c>
      <c r="AH19" s="24"/>
      <c r="AI19" s="25"/>
      <c r="AJ19" s="23">
        <f t="shared" si="9"/>
        <v>0</v>
      </c>
      <c r="AK19" s="24"/>
      <c r="AL19" s="25"/>
      <c r="AM19" s="23">
        <f t="shared" si="10"/>
        <v>0</v>
      </c>
      <c r="AN19" s="24"/>
      <c r="AO19" s="25"/>
      <c r="AP19" s="21">
        <f t="shared" si="11"/>
        <v>0</v>
      </c>
      <c r="AQ19" s="6" t="e">
        <f t="shared" si="0"/>
        <v>#DIV/0!</v>
      </c>
    </row>
    <row r="20" spans="1:43" ht="18" customHeight="1" x14ac:dyDescent="0.15">
      <c r="A20" s="4"/>
      <c r="B20" s="8"/>
      <c r="C20" s="20"/>
      <c r="D20" s="21"/>
      <c r="E20" s="22"/>
      <c r="F20" s="23">
        <f t="shared" si="12"/>
        <v>0</v>
      </c>
      <c r="G20" s="24"/>
      <c r="H20" s="25"/>
      <c r="I20" s="23">
        <f t="shared" si="13"/>
        <v>0</v>
      </c>
      <c r="J20" s="24"/>
      <c r="K20" s="25"/>
      <c r="L20" s="23">
        <f t="shared" si="1"/>
        <v>0</v>
      </c>
      <c r="M20" s="24"/>
      <c r="N20" s="25"/>
      <c r="O20" s="23">
        <f t="shared" si="2"/>
        <v>0</v>
      </c>
      <c r="P20" s="24"/>
      <c r="Q20" s="25"/>
      <c r="R20" s="23">
        <f t="shared" si="3"/>
        <v>0</v>
      </c>
      <c r="S20" s="24"/>
      <c r="T20" s="25"/>
      <c r="U20" s="23">
        <f t="shared" si="4"/>
        <v>0</v>
      </c>
      <c r="V20" s="24"/>
      <c r="W20" s="25"/>
      <c r="X20" s="23">
        <f t="shared" si="5"/>
        <v>0</v>
      </c>
      <c r="Y20" s="24"/>
      <c r="Z20" s="25"/>
      <c r="AA20" s="23">
        <f t="shared" si="6"/>
        <v>0</v>
      </c>
      <c r="AB20" s="24"/>
      <c r="AC20" s="25"/>
      <c r="AD20" s="23">
        <f t="shared" si="7"/>
        <v>0</v>
      </c>
      <c r="AE20" s="24"/>
      <c r="AF20" s="25"/>
      <c r="AG20" s="23">
        <f t="shared" si="8"/>
        <v>0</v>
      </c>
      <c r="AH20" s="24"/>
      <c r="AI20" s="25"/>
      <c r="AJ20" s="23">
        <f t="shared" si="9"/>
        <v>0</v>
      </c>
      <c r="AK20" s="24"/>
      <c r="AL20" s="25"/>
      <c r="AM20" s="23">
        <f t="shared" si="10"/>
        <v>0</v>
      </c>
      <c r="AN20" s="24"/>
      <c r="AO20" s="25"/>
      <c r="AP20" s="21">
        <f t="shared" si="11"/>
        <v>0</v>
      </c>
      <c r="AQ20" s="6" t="e">
        <f t="shared" si="0"/>
        <v>#DIV/0!</v>
      </c>
    </row>
    <row r="21" spans="1:43" ht="18" customHeight="1" x14ac:dyDescent="0.15">
      <c r="A21" s="4"/>
      <c r="B21" s="8"/>
      <c r="C21" s="20"/>
      <c r="D21" s="21"/>
      <c r="E21" s="22"/>
      <c r="F21" s="23">
        <f t="shared" si="12"/>
        <v>0</v>
      </c>
      <c r="G21" s="24"/>
      <c r="H21" s="25"/>
      <c r="I21" s="23">
        <f t="shared" si="13"/>
        <v>0</v>
      </c>
      <c r="J21" s="24"/>
      <c r="K21" s="25"/>
      <c r="L21" s="23">
        <f t="shared" si="1"/>
        <v>0</v>
      </c>
      <c r="M21" s="24"/>
      <c r="N21" s="25"/>
      <c r="O21" s="23">
        <f t="shared" si="2"/>
        <v>0</v>
      </c>
      <c r="P21" s="24"/>
      <c r="Q21" s="25"/>
      <c r="R21" s="23">
        <f t="shared" si="3"/>
        <v>0</v>
      </c>
      <c r="S21" s="24"/>
      <c r="T21" s="25"/>
      <c r="U21" s="23">
        <f t="shared" si="4"/>
        <v>0</v>
      </c>
      <c r="V21" s="24"/>
      <c r="W21" s="25"/>
      <c r="X21" s="23">
        <f t="shared" si="5"/>
        <v>0</v>
      </c>
      <c r="Y21" s="24"/>
      <c r="Z21" s="25"/>
      <c r="AA21" s="23">
        <f t="shared" si="6"/>
        <v>0</v>
      </c>
      <c r="AB21" s="24"/>
      <c r="AC21" s="25"/>
      <c r="AD21" s="23">
        <f t="shared" si="7"/>
        <v>0</v>
      </c>
      <c r="AE21" s="24"/>
      <c r="AF21" s="25"/>
      <c r="AG21" s="23">
        <f t="shared" si="8"/>
        <v>0</v>
      </c>
      <c r="AH21" s="24"/>
      <c r="AI21" s="25"/>
      <c r="AJ21" s="23">
        <f t="shared" si="9"/>
        <v>0</v>
      </c>
      <c r="AK21" s="24"/>
      <c r="AL21" s="25"/>
      <c r="AM21" s="23">
        <f t="shared" si="10"/>
        <v>0</v>
      </c>
      <c r="AN21" s="24"/>
      <c r="AO21" s="25"/>
      <c r="AP21" s="21">
        <f t="shared" si="11"/>
        <v>0</v>
      </c>
      <c r="AQ21" s="6" t="e">
        <f t="shared" si="0"/>
        <v>#DIV/0!</v>
      </c>
    </row>
    <row r="22" spans="1:43" ht="18" customHeight="1" x14ac:dyDescent="0.15">
      <c r="A22" s="4"/>
      <c r="B22" s="8"/>
      <c r="C22" s="20"/>
      <c r="D22" s="21"/>
      <c r="E22" s="22"/>
      <c r="F22" s="23">
        <f t="shared" si="12"/>
        <v>0</v>
      </c>
      <c r="G22" s="24"/>
      <c r="H22" s="25"/>
      <c r="I22" s="23">
        <f t="shared" si="13"/>
        <v>0</v>
      </c>
      <c r="J22" s="24"/>
      <c r="K22" s="25"/>
      <c r="L22" s="23">
        <f t="shared" si="1"/>
        <v>0</v>
      </c>
      <c r="M22" s="24"/>
      <c r="N22" s="25"/>
      <c r="O22" s="23">
        <f t="shared" si="2"/>
        <v>0</v>
      </c>
      <c r="P22" s="24"/>
      <c r="Q22" s="25"/>
      <c r="R22" s="23">
        <f t="shared" si="3"/>
        <v>0</v>
      </c>
      <c r="S22" s="24"/>
      <c r="T22" s="25"/>
      <c r="U22" s="23">
        <f t="shared" si="4"/>
        <v>0</v>
      </c>
      <c r="V22" s="24"/>
      <c r="W22" s="25"/>
      <c r="X22" s="23">
        <f t="shared" si="5"/>
        <v>0</v>
      </c>
      <c r="Y22" s="24"/>
      <c r="Z22" s="25"/>
      <c r="AA22" s="23">
        <f t="shared" si="6"/>
        <v>0</v>
      </c>
      <c r="AB22" s="24"/>
      <c r="AC22" s="25"/>
      <c r="AD22" s="23">
        <f t="shared" si="7"/>
        <v>0</v>
      </c>
      <c r="AE22" s="24"/>
      <c r="AF22" s="25"/>
      <c r="AG22" s="23">
        <f t="shared" si="8"/>
        <v>0</v>
      </c>
      <c r="AH22" s="24"/>
      <c r="AI22" s="25"/>
      <c r="AJ22" s="23">
        <f t="shared" si="9"/>
        <v>0</v>
      </c>
      <c r="AK22" s="24"/>
      <c r="AL22" s="25"/>
      <c r="AM22" s="23">
        <f t="shared" si="10"/>
        <v>0</v>
      </c>
      <c r="AN22" s="24"/>
      <c r="AO22" s="25"/>
      <c r="AP22" s="21">
        <f t="shared" si="11"/>
        <v>0</v>
      </c>
      <c r="AQ22" s="6" t="e">
        <f t="shared" si="0"/>
        <v>#DIV/0!</v>
      </c>
    </row>
    <row r="23" spans="1:43" ht="18" customHeight="1" x14ac:dyDescent="0.15">
      <c r="A23" s="4"/>
      <c r="B23" s="8"/>
      <c r="C23" s="20"/>
      <c r="D23" s="21"/>
      <c r="E23" s="22"/>
      <c r="F23" s="23">
        <f t="shared" si="12"/>
        <v>0</v>
      </c>
      <c r="G23" s="24"/>
      <c r="H23" s="25"/>
      <c r="I23" s="23">
        <f t="shared" si="13"/>
        <v>0</v>
      </c>
      <c r="J23" s="24"/>
      <c r="K23" s="25"/>
      <c r="L23" s="23">
        <f t="shared" si="1"/>
        <v>0</v>
      </c>
      <c r="M23" s="24"/>
      <c r="N23" s="25"/>
      <c r="O23" s="23">
        <f t="shared" si="2"/>
        <v>0</v>
      </c>
      <c r="P23" s="24"/>
      <c r="Q23" s="25"/>
      <c r="R23" s="23">
        <f t="shared" si="3"/>
        <v>0</v>
      </c>
      <c r="S23" s="24"/>
      <c r="T23" s="25"/>
      <c r="U23" s="23">
        <f t="shared" si="4"/>
        <v>0</v>
      </c>
      <c r="V23" s="24"/>
      <c r="W23" s="25"/>
      <c r="X23" s="23">
        <f t="shared" si="5"/>
        <v>0</v>
      </c>
      <c r="Y23" s="24"/>
      <c r="Z23" s="25"/>
      <c r="AA23" s="23">
        <f t="shared" si="6"/>
        <v>0</v>
      </c>
      <c r="AB23" s="24"/>
      <c r="AC23" s="25"/>
      <c r="AD23" s="23">
        <f t="shared" si="7"/>
        <v>0</v>
      </c>
      <c r="AE23" s="24"/>
      <c r="AF23" s="25"/>
      <c r="AG23" s="23">
        <f t="shared" si="8"/>
        <v>0</v>
      </c>
      <c r="AH23" s="24"/>
      <c r="AI23" s="25"/>
      <c r="AJ23" s="23">
        <f t="shared" si="9"/>
        <v>0</v>
      </c>
      <c r="AK23" s="24"/>
      <c r="AL23" s="25"/>
      <c r="AM23" s="23">
        <f t="shared" si="10"/>
        <v>0</v>
      </c>
      <c r="AN23" s="24"/>
      <c r="AO23" s="25"/>
      <c r="AP23" s="21">
        <f t="shared" si="11"/>
        <v>0</v>
      </c>
      <c r="AQ23" s="6" t="e">
        <f t="shared" si="0"/>
        <v>#DIV/0!</v>
      </c>
    </row>
    <row r="24" spans="1:43" ht="18" customHeight="1" x14ac:dyDescent="0.15">
      <c r="A24" s="4"/>
      <c r="B24" s="8"/>
      <c r="C24" s="20"/>
      <c r="D24" s="21"/>
      <c r="E24" s="22"/>
      <c r="F24" s="23">
        <f t="shared" si="12"/>
        <v>0</v>
      </c>
      <c r="G24" s="24"/>
      <c r="H24" s="25"/>
      <c r="I24" s="23">
        <f t="shared" si="13"/>
        <v>0</v>
      </c>
      <c r="J24" s="24"/>
      <c r="K24" s="25"/>
      <c r="L24" s="23">
        <f t="shared" si="1"/>
        <v>0</v>
      </c>
      <c r="M24" s="24"/>
      <c r="N24" s="25"/>
      <c r="O24" s="23">
        <f t="shared" si="2"/>
        <v>0</v>
      </c>
      <c r="P24" s="24"/>
      <c r="Q24" s="25"/>
      <c r="R24" s="23">
        <f t="shared" si="3"/>
        <v>0</v>
      </c>
      <c r="S24" s="24"/>
      <c r="T24" s="25"/>
      <c r="U24" s="23">
        <f t="shared" si="4"/>
        <v>0</v>
      </c>
      <c r="V24" s="24"/>
      <c r="W24" s="25"/>
      <c r="X24" s="23">
        <f t="shared" si="5"/>
        <v>0</v>
      </c>
      <c r="Y24" s="24"/>
      <c r="Z24" s="25"/>
      <c r="AA24" s="23">
        <f t="shared" si="6"/>
        <v>0</v>
      </c>
      <c r="AB24" s="24"/>
      <c r="AC24" s="25"/>
      <c r="AD24" s="23">
        <f t="shared" si="7"/>
        <v>0</v>
      </c>
      <c r="AE24" s="24"/>
      <c r="AF24" s="25"/>
      <c r="AG24" s="23">
        <f t="shared" si="8"/>
        <v>0</v>
      </c>
      <c r="AH24" s="24"/>
      <c r="AI24" s="25"/>
      <c r="AJ24" s="23">
        <f t="shared" si="9"/>
        <v>0</v>
      </c>
      <c r="AK24" s="24"/>
      <c r="AL24" s="25"/>
      <c r="AM24" s="23">
        <f t="shared" si="10"/>
        <v>0</v>
      </c>
      <c r="AN24" s="24"/>
      <c r="AO24" s="25"/>
      <c r="AP24" s="21">
        <f t="shared" si="11"/>
        <v>0</v>
      </c>
      <c r="AQ24" s="6" t="e">
        <f t="shared" si="0"/>
        <v>#DIV/0!</v>
      </c>
    </row>
    <row r="25" spans="1:43" ht="18" customHeight="1" x14ac:dyDescent="0.15">
      <c r="A25" s="4"/>
      <c r="B25" s="8"/>
      <c r="C25" s="20"/>
      <c r="D25" s="21"/>
      <c r="E25" s="22"/>
      <c r="F25" s="23">
        <f t="shared" si="12"/>
        <v>0</v>
      </c>
      <c r="G25" s="24"/>
      <c r="H25" s="25"/>
      <c r="I25" s="23">
        <f t="shared" si="13"/>
        <v>0</v>
      </c>
      <c r="J25" s="24"/>
      <c r="K25" s="25"/>
      <c r="L25" s="23">
        <f t="shared" si="1"/>
        <v>0</v>
      </c>
      <c r="M25" s="24"/>
      <c r="N25" s="25"/>
      <c r="O25" s="23">
        <f t="shared" si="2"/>
        <v>0</v>
      </c>
      <c r="P25" s="24"/>
      <c r="Q25" s="25"/>
      <c r="R25" s="23">
        <f t="shared" si="3"/>
        <v>0</v>
      </c>
      <c r="S25" s="24"/>
      <c r="T25" s="25"/>
      <c r="U25" s="23">
        <f t="shared" si="4"/>
        <v>0</v>
      </c>
      <c r="V25" s="24"/>
      <c r="W25" s="25"/>
      <c r="X25" s="23">
        <f t="shared" si="5"/>
        <v>0</v>
      </c>
      <c r="Y25" s="24"/>
      <c r="Z25" s="25"/>
      <c r="AA25" s="23">
        <f t="shared" si="6"/>
        <v>0</v>
      </c>
      <c r="AB25" s="24"/>
      <c r="AC25" s="25"/>
      <c r="AD25" s="23">
        <f t="shared" si="7"/>
        <v>0</v>
      </c>
      <c r="AE25" s="24"/>
      <c r="AF25" s="25"/>
      <c r="AG25" s="23">
        <f t="shared" si="8"/>
        <v>0</v>
      </c>
      <c r="AH25" s="24"/>
      <c r="AI25" s="25"/>
      <c r="AJ25" s="23">
        <f t="shared" si="9"/>
        <v>0</v>
      </c>
      <c r="AK25" s="24"/>
      <c r="AL25" s="25"/>
      <c r="AM25" s="23">
        <f t="shared" si="10"/>
        <v>0</v>
      </c>
      <c r="AN25" s="24"/>
      <c r="AO25" s="25"/>
      <c r="AP25" s="21">
        <f t="shared" si="11"/>
        <v>0</v>
      </c>
      <c r="AQ25" s="6" t="e">
        <f t="shared" si="0"/>
        <v>#DIV/0!</v>
      </c>
    </row>
    <row r="26" spans="1:43" ht="18" customHeight="1" x14ac:dyDescent="0.15">
      <c r="A26" s="4"/>
      <c r="B26" s="8"/>
      <c r="C26" s="20"/>
      <c r="D26" s="21"/>
      <c r="E26" s="22"/>
      <c r="F26" s="23">
        <f t="shared" si="12"/>
        <v>0</v>
      </c>
      <c r="G26" s="24"/>
      <c r="H26" s="25"/>
      <c r="I26" s="23">
        <f t="shared" si="13"/>
        <v>0</v>
      </c>
      <c r="J26" s="24"/>
      <c r="K26" s="25"/>
      <c r="L26" s="23">
        <f t="shared" si="1"/>
        <v>0</v>
      </c>
      <c r="M26" s="24"/>
      <c r="N26" s="25"/>
      <c r="O26" s="23">
        <f t="shared" si="2"/>
        <v>0</v>
      </c>
      <c r="P26" s="24"/>
      <c r="Q26" s="25"/>
      <c r="R26" s="23">
        <f t="shared" si="3"/>
        <v>0</v>
      </c>
      <c r="S26" s="24"/>
      <c r="T26" s="25"/>
      <c r="U26" s="23">
        <f t="shared" si="4"/>
        <v>0</v>
      </c>
      <c r="V26" s="24"/>
      <c r="W26" s="25"/>
      <c r="X26" s="23">
        <f t="shared" si="5"/>
        <v>0</v>
      </c>
      <c r="Y26" s="24"/>
      <c r="Z26" s="25"/>
      <c r="AA26" s="23">
        <f t="shared" si="6"/>
        <v>0</v>
      </c>
      <c r="AB26" s="24"/>
      <c r="AC26" s="25"/>
      <c r="AD26" s="23">
        <f t="shared" si="7"/>
        <v>0</v>
      </c>
      <c r="AE26" s="24"/>
      <c r="AF26" s="25"/>
      <c r="AG26" s="23">
        <f t="shared" si="8"/>
        <v>0</v>
      </c>
      <c r="AH26" s="24"/>
      <c r="AI26" s="25"/>
      <c r="AJ26" s="23">
        <f t="shared" si="9"/>
        <v>0</v>
      </c>
      <c r="AK26" s="24"/>
      <c r="AL26" s="25"/>
      <c r="AM26" s="23">
        <f t="shared" si="10"/>
        <v>0</v>
      </c>
      <c r="AN26" s="24"/>
      <c r="AO26" s="25"/>
      <c r="AP26" s="21">
        <f t="shared" si="11"/>
        <v>0</v>
      </c>
      <c r="AQ26" s="6" t="e">
        <f t="shared" si="0"/>
        <v>#DIV/0!</v>
      </c>
    </row>
    <row r="27" spans="1:43" ht="18" customHeight="1" x14ac:dyDescent="0.15">
      <c r="A27" s="4"/>
      <c r="B27" s="8"/>
      <c r="C27" s="20"/>
      <c r="D27" s="21"/>
      <c r="E27" s="22"/>
      <c r="F27" s="23">
        <f t="shared" si="12"/>
        <v>0</v>
      </c>
      <c r="G27" s="24"/>
      <c r="H27" s="25"/>
      <c r="I27" s="23">
        <f t="shared" si="13"/>
        <v>0</v>
      </c>
      <c r="J27" s="24"/>
      <c r="K27" s="25"/>
      <c r="L27" s="23">
        <f t="shared" si="1"/>
        <v>0</v>
      </c>
      <c r="M27" s="24"/>
      <c r="N27" s="25"/>
      <c r="O27" s="23">
        <f t="shared" si="2"/>
        <v>0</v>
      </c>
      <c r="P27" s="24"/>
      <c r="Q27" s="25"/>
      <c r="R27" s="23">
        <f t="shared" si="3"/>
        <v>0</v>
      </c>
      <c r="S27" s="24"/>
      <c r="T27" s="25"/>
      <c r="U27" s="23">
        <f t="shared" si="4"/>
        <v>0</v>
      </c>
      <c r="V27" s="24"/>
      <c r="W27" s="25"/>
      <c r="X27" s="23">
        <f t="shared" si="5"/>
        <v>0</v>
      </c>
      <c r="Y27" s="24"/>
      <c r="Z27" s="25"/>
      <c r="AA27" s="23">
        <f t="shared" si="6"/>
        <v>0</v>
      </c>
      <c r="AB27" s="24"/>
      <c r="AC27" s="25"/>
      <c r="AD27" s="23">
        <f t="shared" si="7"/>
        <v>0</v>
      </c>
      <c r="AE27" s="24"/>
      <c r="AF27" s="25"/>
      <c r="AG27" s="23">
        <f t="shared" si="8"/>
        <v>0</v>
      </c>
      <c r="AH27" s="24"/>
      <c r="AI27" s="25"/>
      <c r="AJ27" s="23">
        <f t="shared" si="9"/>
        <v>0</v>
      </c>
      <c r="AK27" s="24"/>
      <c r="AL27" s="25"/>
      <c r="AM27" s="23">
        <f t="shared" si="10"/>
        <v>0</v>
      </c>
      <c r="AN27" s="24"/>
      <c r="AO27" s="25"/>
      <c r="AP27" s="21">
        <f t="shared" si="11"/>
        <v>0</v>
      </c>
      <c r="AQ27" s="6" t="e">
        <f t="shared" si="0"/>
        <v>#DIV/0!</v>
      </c>
    </row>
    <row r="28" spans="1:43" ht="18" customHeight="1" x14ac:dyDescent="0.15">
      <c r="A28" s="4"/>
      <c r="B28" s="8"/>
      <c r="C28" s="20"/>
      <c r="D28" s="21"/>
      <c r="E28" s="22"/>
      <c r="F28" s="23">
        <f t="shared" si="12"/>
        <v>0</v>
      </c>
      <c r="G28" s="24"/>
      <c r="H28" s="25"/>
      <c r="I28" s="23">
        <f t="shared" si="13"/>
        <v>0</v>
      </c>
      <c r="J28" s="24"/>
      <c r="K28" s="25"/>
      <c r="L28" s="23">
        <f t="shared" si="1"/>
        <v>0</v>
      </c>
      <c r="M28" s="24"/>
      <c r="N28" s="25"/>
      <c r="O28" s="23">
        <f t="shared" si="2"/>
        <v>0</v>
      </c>
      <c r="P28" s="24"/>
      <c r="Q28" s="25"/>
      <c r="R28" s="23">
        <f t="shared" si="3"/>
        <v>0</v>
      </c>
      <c r="S28" s="24"/>
      <c r="T28" s="25"/>
      <c r="U28" s="23">
        <f t="shared" si="4"/>
        <v>0</v>
      </c>
      <c r="V28" s="24"/>
      <c r="W28" s="25"/>
      <c r="X28" s="23">
        <f t="shared" si="5"/>
        <v>0</v>
      </c>
      <c r="Y28" s="24"/>
      <c r="Z28" s="25"/>
      <c r="AA28" s="23">
        <f t="shared" si="6"/>
        <v>0</v>
      </c>
      <c r="AB28" s="24"/>
      <c r="AC28" s="25"/>
      <c r="AD28" s="23">
        <f t="shared" si="7"/>
        <v>0</v>
      </c>
      <c r="AE28" s="24"/>
      <c r="AF28" s="25"/>
      <c r="AG28" s="23">
        <f t="shared" si="8"/>
        <v>0</v>
      </c>
      <c r="AH28" s="24"/>
      <c r="AI28" s="25"/>
      <c r="AJ28" s="23">
        <f t="shared" si="9"/>
        <v>0</v>
      </c>
      <c r="AK28" s="24"/>
      <c r="AL28" s="25"/>
      <c r="AM28" s="23">
        <f t="shared" si="10"/>
        <v>0</v>
      </c>
      <c r="AN28" s="24"/>
      <c r="AO28" s="25"/>
      <c r="AP28" s="21">
        <f t="shared" si="11"/>
        <v>0</v>
      </c>
      <c r="AQ28" s="6" t="e">
        <f t="shared" si="0"/>
        <v>#DIV/0!</v>
      </c>
    </row>
    <row r="29" spans="1:43" ht="18" customHeight="1" x14ac:dyDescent="0.15">
      <c r="A29" s="4"/>
      <c r="B29" s="8"/>
      <c r="C29" s="20"/>
      <c r="D29" s="26"/>
      <c r="E29" s="22"/>
      <c r="F29" s="23">
        <f t="shared" si="12"/>
        <v>0</v>
      </c>
      <c r="G29" s="24"/>
      <c r="H29" s="25"/>
      <c r="I29" s="23">
        <f t="shared" si="13"/>
        <v>0</v>
      </c>
      <c r="J29" s="24"/>
      <c r="K29" s="25"/>
      <c r="L29" s="23">
        <f t="shared" si="1"/>
        <v>0</v>
      </c>
      <c r="M29" s="24"/>
      <c r="N29" s="25"/>
      <c r="O29" s="23">
        <f t="shared" si="2"/>
        <v>0</v>
      </c>
      <c r="P29" s="24"/>
      <c r="Q29" s="25"/>
      <c r="R29" s="23">
        <f t="shared" si="3"/>
        <v>0</v>
      </c>
      <c r="S29" s="24"/>
      <c r="T29" s="25"/>
      <c r="U29" s="23">
        <f t="shared" si="4"/>
        <v>0</v>
      </c>
      <c r="V29" s="24"/>
      <c r="W29" s="25"/>
      <c r="X29" s="23">
        <f t="shared" si="5"/>
        <v>0</v>
      </c>
      <c r="Y29" s="24"/>
      <c r="Z29" s="25"/>
      <c r="AA29" s="23">
        <f t="shared" si="6"/>
        <v>0</v>
      </c>
      <c r="AB29" s="24"/>
      <c r="AC29" s="25"/>
      <c r="AD29" s="23">
        <f t="shared" si="7"/>
        <v>0</v>
      </c>
      <c r="AE29" s="24"/>
      <c r="AF29" s="25"/>
      <c r="AG29" s="23">
        <f t="shared" si="8"/>
        <v>0</v>
      </c>
      <c r="AH29" s="24"/>
      <c r="AI29" s="25"/>
      <c r="AJ29" s="23">
        <f t="shared" si="9"/>
        <v>0</v>
      </c>
      <c r="AK29" s="24"/>
      <c r="AL29" s="25"/>
      <c r="AM29" s="23">
        <f t="shared" si="10"/>
        <v>0</v>
      </c>
      <c r="AN29" s="24"/>
      <c r="AO29" s="25"/>
      <c r="AP29" s="26">
        <f t="shared" si="11"/>
        <v>0</v>
      </c>
      <c r="AQ29" s="6" t="e">
        <f t="shared" si="0"/>
        <v>#DIV/0!</v>
      </c>
    </row>
    <row r="30" spans="1:43" ht="18" customHeight="1" x14ac:dyDescent="0.15">
      <c r="A30" s="4"/>
      <c r="B30" s="8"/>
      <c r="C30" s="20"/>
      <c r="D30" s="26"/>
      <c r="E30" s="22"/>
      <c r="F30" s="23">
        <f t="shared" si="12"/>
        <v>0</v>
      </c>
      <c r="G30" s="24"/>
      <c r="H30" s="25"/>
      <c r="I30" s="23">
        <f t="shared" si="13"/>
        <v>0</v>
      </c>
      <c r="J30" s="24"/>
      <c r="K30" s="25"/>
      <c r="L30" s="23">
        <f t="shared" si="1"/>
        <v>0</v>
      </c>
      <c r="M30" s="24"/>
      <c r="N30" s="25"/>
      <c r="O30" s="23">
        <f t="shared" si="2"/>
        <v>0</v>
      </c>
      <c r="P30" s="24"/>
      <c r="Q30" s="25"/>
      <c r="R30" s="23">
        <f t="shared" si="3"/>
        <v>0</v>
      </c>
      <c r="S30" s="24"/>
      <c r="T30" s="25"/>
      <c r="U30" s="23">
        <f t="shared" si="4"/>
        <v>0</v>
      </c>
      <c r="V30" s="24"/>
      <c r="W30" s="25"/>
      <c r="X30" s="23">
        <f t="shared" si="5"/>
        <v>0</v>
      </c>
      <c r="Y30" s="24"/>
      <c r="Z30" s="25"/>
      <c r="AA30" s="23">
        <f t="shared" si="6"/>
        <v>0</v>
      </c>
      <c r="AB30" s="24"/>
      <c r="AC30" s="25"/>
      <c r="AD30" s="23">
        <f t="shared" si="7"/>
        <v>0</v>
      </c>
      <c r="AE30" s="24"/>
      <c r="AF30" s="25"/>
      <c r="AG30" s="23">
        <f t="shared" si="8"/>
        <v>0</v>
      </c>
      <c r="AH30" s="24"/>
      <c r="AI30" s="25"/>
      <c r="AJ30" s="23">
        <f t="shared" si="9"/>
        <v>0</v>
      </c>
      <c r="AK30" s="24"/>
      <c r="AL30" s="25"/>
      <c r="AM30" s="23">
        <f t="shared" si="10"/>
        <v>0</v>
      </c>
      <c r="AN30" s="24"/>
      <c r="AO30" s="25"/>
      <c r="AP30" s="26">
        <f t="shared" si="11"/>
        <v>0</v>
      </c>
      <c r="AQ30" s="6" t="e">
        <f t="shared" si="0"/>
        <v>#DIV/0!</v>
      </c>
    </row>
    <row r="31" spans="1:43" ht="18" customHeight="1" thickBot="1" x14ac:dyDescent="0.2">
      <c r="A31" s="4"/>
      <c r="B31" s="9"/>
      <c r="C31" s="15"/>
      <c r="D31" s="27"/>
      <c r="E31" s="17"/>
      <c r="F31" s="17">
        <f t="shared" si="12"/>
        <v>0</v>
      </c>
      <c r="G31" s="28"/>
      <c r="H31" s="29"/>
      <c r="I31" s="17">
        <f t="shared" si="13"/>
        <v>0</v>
      </c>
      <c r="J31" s="28"/>
      <c r="K31" s="29"/>
      <c r="L31" s="17">
        <f t="shared" si="1"/>
        <v>0</v>
      </c>
      <c r="M31" s="28"/>
      <c r="N31" s="29"/>
      <c r="O31" s="17">
        <f t="shared" si="2"/>
        <v>0</v>
      </c>
      <c r="P31" s="28"/>
      <c r="Q31" s="29"/>
      <c r="R31" s="17">
        <f t="shared" si="3"/>
        <v>0</v>
      </c>
      <c r="S31" s="28"/>
      <c r="T31" s="29"/>
      <c r="U31" s="17">
        <f t="shared" si="4"/>
        <v>0</v>
      </c>
      <c r="V31" s="28"/>
      <c r="W31" s="29"/>
      <c r="X31" s="17">
        <f t="shared" si="5"/>
        <v>0</v>
      </c>
      <c r="Y31" s="28"/>
      <c r="Z31" s="29"/>
      <c r="AA31" s="17">
        <f t="shared" si="6"/>
        <v>0</v>
      </c>
      <c r="AB31" s="28"/>
      <c r="AC31" s="29"/>
      <c r="AD31" s="17">
        <f t="shared" si="7"/>
        <v>0</v>
      </c>
      <c r="AE31" s="28"/>
      <c r="AF31" s="29"/>
      <c r="AG31" s="17">
        <f t="shared" si="8"/>
        <v>0</v>
      </c>
      <c r="AH31" s="28"/>
      <c r="AI31" s="29"/>
      <c r="AJ31" s="17">
        <f t="shared" si="9"/>
        <v>0</v>
      </c>
      <c r="AK31" s="28"/>
      <c r="AL31" s="29"/>
      <c r="AM31" s="17">
        <f t="shared" si="10"/>
        <v>0</v>
      </c>
      <c r="AN31" s="28"/>
      <c r="AO31" s="29"/>
      <c r="AP31" s="27">
        <f t="shared" si="11"/>
        <v>0</v>
      </c>
      <c r="AQ31" s="5" t="e">
        <f t="shared" si="0"/>
        <v>#DIV/0!</v>
      </c>
    </row>
    <row r="32" spans="1:43" ht="18" customHeight="1" thickTop="1" x14ac:dyDescent="0.15">
      <c r="B32" s="10" t="s">
        <v>32</v>
      </c>
      <c r="C32" s="30">
        <f t="shared" ref="C32" si="14">SUM(C12:C31)</f>
        <v>1480</v>
      </c>
      <c r="D32" s="31">
        <f t="shared" ref="D32:AP32" si="15">SUM(D12:D31)</f>
        <v>505</v>
      </c>
      <c r="E32" s="32">
        <f t="shared" si="15"/>
        <v>2020</v>
      </c>
      <c r="F32" s="32">
        <f t="shared" si="15"/>
        <v>388</v>
      </c>
      <c r="G32" s="33">
        <f t="shared" si="15"/>
        <v>0</v>
      </c>
      <c r="H32" s="34">
        <f t="shared" si="15"/>
        <v>0</v>
      </c>
      <c r="I32" s="32">
        <f t="shared" ref="I32:N32" si="16">SUM(I12:I31)</f>
        <v>0</v>
      </c>
      <c r="J32" s="33">
        <f t="shared" si="16"/>
        <v>0</v>
      </c>
      <c r="K32" s="34">
        <f t="shared" si="16"/>
        <v>0</v>
      </c>
      <c r="L32" s="32">
        <f t="shared" si="16"/>
        <v>0</v>
      </c>
      <c r="M32" s="33">
        <f t="shared" si="16"/>
        <v>0</v>
      </c>
      <c r="N32" s="34">
        <f t="shared" si="16"/>
        <v>0</v>
      </c>
      <c r="O32" s="32">
        <f t="shared" ref="O32:T32" si="17">SUM(O12:O31)</f>
        <v>0</v>
      </c>
      <c r="P32" s="33">
        <f t="shared" si="17"/>
        <v>0</v>
      </c>
      <c r="Q32" s="34">
        <f t="shared" si="17"/>
        <v>0</v>
      </c>
      <c r="R32" s="32">
        <f t="shared" si="17"/>
        <v>0</v>
      </c>
      <c r="S32" s="33">
        <f t="shared" si="17"/>
        <v>0</v>
      </c>
      <c r="T32" s="34">
        <f t="shared" si="17"/>
        <v>0</v>
      </c>
      <c r="U32" s="32">
        <f t="shared" ref="U32:AI32" si="18">SUM(U12:U31)</f>
        <v>0</v>
      </c>
      <c r="V32" s="33">
        <f t="shared" si="18"/>
        <v>0</v>
      </c>
      <c r="W32" s="34">
        <f t="shared" si="18"/>
        <v>0</v>
      </c>
      <c r="X32" s="32">
        <f t="shared" si="18"/>
        <v>0</v>
      </c>
      <c r="Y32" s="33">
        <f t="shared" si="18"/>
        <v>0</v>
      </c>
      <c r="Z32" s="34">
        <f t="shared" si="18"/>
        <v>0</v>
      </c>
      <c r="AA32" s="32">
        <f t="shared" si="18"/>
        <v>0</v>
      </c>
      <c r="AB32" s="33">
        <f t="shared" si="18"/>
        <v>0</v>
      </c>
      <c r="AC32" s="34">
        <f t="shared" si="18"/>
        <v>0</v>
      </c>
      <c r="AD32" s="32">
        <f t="shared" si="18"/>
        <v>0</v>
      </c>
      <c r="AE32" s="33">
        <f t="shared" si="18"/>
        <v>0</v>
      </c>
      <c r="AF32" s="34">
        <f t="shared" si="18"/>
        <v>0</v>
      </c>
      <c r="AG32" s="32">
        <f t="shared" si="18"/>
        <v>0</v>
      </c>
      <c r="AH32" s="33">
        <f t="shared" si="18"/>
        <v>0</v>
      </c>
      <c r="AI32" s="34">
        <f t="shared" si="18"/>
        <v>0</v>
      </c>
      <c r="AJ32" s="32">
        <f t="shared" ref="AJ32:AO32" si="19">SUM(AJ12:AJ31)</f>
        <v>0</v>
      </c>
      <c r="AK32" s="33">
        <f t="shared" si="19"/>
        <v>0</v>
      </c>
      <c r="AL32" s="34">
        <f t="shared" si="19"/>
        <v>0</v>
      </c>
      <c r="AM32" s="32">
        <f t="shared" si="19"/>
        <v>0</v>
      </c>
      <c r="AN32" s="33">
        <f t="shared" si="19"/>
        <v>0</v>
      </c>
      <c r="AO32" s="34">
        <f t="shared" si="19"/>
        <v>0</v>
      </c>
      <c r="AP32" s="31">
        <f t="shared" si="15"/>
        <v>388</v>
      </c>
      <c r="AQ32" s="7">
        <f t="shared" si="0"/>
        <v>0.19207920792079208</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1" zoomScaleNormal="100" zoomScaleSheetLayoutView="100" workbookViewId="0">
      <selection activeCell="B22" sqref="B22:I32"/>
    </sheetView>
  </sheetViews>
  <sheetFormatPr defaultColWidth="11.375" defaultRowHeight="18.75" customHeight="1" x14ac:dyDescent="0.15"/>
  <cols>
    <col min="1" max="1" width="2.875" style="78" customWidth="1"/>
    <col min="2" max="2" width="16.625" style="40" customWidth="1"/>
    <col min="3" max="3" width="8.875" style="40" customWidth="1"/>
    <col min="4" max="4" width="2.125" style="40" customWidth="1"/>
    <col min="5" max="5" width="16.625" style="40" customWidth="1"/>
    <col min="6" max="6" width="4.375" style="40" customWidth="1"/>
    <col min="7" max="7" width="9" style="40" customWidth="1"/>
    <col min="8" max="8" width="16.625" style="40" customWidth="1"/>
    <col min="9" max="9" width="12.125" style="40" customWidth="1"/>
    <col min="10" max="16384" width="11.375" style="40"/>
  </cols>
  <sheetData>
    <row r="1" spans="1:9" ht="18.75" customHeight="1" x14ac:dyDescent="0.15">
      <c r="A1" s="78" t="s">
        <v>64</v>
      </c>
      <c r="I1" s="41" t="s">
        <v>105</v>
      </c>
    </row>
    <row r="2" spans="1:9" ht="18.75" customHeight="1" x14ac:dyDescent="0.15">
      <c r="G2" s="41" t="s">
        <v>108</v>
      </c>
      <c r="H2" s="112" t="str">
        <f>'様式１ー１　プログラムを構成する授業科目（心理・環境科学部）'!C2</f>
        <v>人間環境大学</v>
      </c>
      <c r="I2" s="114"/>
    </row>
    <row r="3" spans="1:9" ht="18.75" customHeight="1" x14ac:dyDescent="0.15">
      <c r="G3" s="41"/>
      <c r="H3" s="50"/>
      <c r="I3" s="50"/>
    </row>
    <row r="4" spans="1:9" ht="18.75" customHeight="1" x14ac:dyDescent="0.15">
      <c r="A4" s="161" t="s">
        <v>35</v>
      </c>
      <c r="B4" s="161"/>
      <c r="C4" s="161"/>
      <c r="D4" s="161"/>
      <c r="E4" s="161"/>
      <c r="F4" s="161"/>
      <c r="G4" s="161"/>
      <c r="H4" s="161"/>
      <c r="I4" s="161"/>
    </row>
    <row r="5" spans="1:9" ht="13.35" customHeight="1" x14ac:dyDescent="0.15">
      <c r="B5" s="48"/>
      <c r="C5" s="48"/>
      <c r="D5" s="48"/>
      <c r="E5" s="48"/>
      <c r="F5" s="48"/>
      <c r="G5" s="48"/>
      <c r="H5" s="48"/>
      <c r="I5" s="48"/>
    </row>
    <row r="6" spans="1:9" ht="18" customHeight="1" x14ac:dyDescent="0.15">
      <c r="A6" s="40" t="s">
        <v>0</v>
      </c>
      <c r="B6" s="50" t="s">
        <v>90</v>
      </c>
      <c r="C6" s="274" t="s">
        <v>91</v>
      </c>
      <c r="D6" s="274"/>
      <c r="E6" s="43">
        <v>119</v>
      </c>
      <c r="F6" s="48" t="s">
        <v>1</v>
      </c>
      <c r="G6" s="48" t="s">
        <v>2</v>
      </c>
      <c r="H6" s="43">
        <v>119</v>
      </c>
      <c r="I6" s="50" t="s">
        <v>1</v>
      </c>
    </row>
    <row r="7" spans="1:9" ht="12" customHeight="1" x14ac:dyDescent="0.15">
      <c r="C7" s="42"/>
      <c r="D7" s="42"/>
      <c r="E7" s="42"/>
      <c r="F7" s="42"/>
      <c r="G7" s="42"/>
      <c r="H7" s="42"/>
      <c r="I7" s="79"/>
    </row>
    <row r="8" spans="1:9" ht="18" customHeight="1" x14ac:dyDescent="0.15">
      <c r="A8" s="40" t="s">
        <v>3</v>
      </c>
      <c r="B8" s="50" t="s">
        <v>92</v>
      </c>
      <c r="E8" s="48"/>
      <c r="F8" s="48"/>
      <c r="G8" s="48"/>
      <c r="H8" s="43">
        <v>35</v>
      </c>
      <c r="I8" s="50" t="s">
        <v>1</v>
      </c>
    </row>
    <row r="9" spans="1:9" ht="9" customHeight="1" x14ac:dyDescent="0.15">
      <c r="B9" s="48"/>
      <c r="C9" s="48"/>
      <c r="D9" s="48"/>
      <c r="E9" s="48"/>
      <c r="F9" s="48"/>
      <c r="G9" s="48"/>
      <c r="H9" s="48"/>
      <c r="I9" s="48"/>
    </row>
    <row r="10" spans="1:9" ht="18" customHeight="1" x14ac:dyDescent="0.15">
      <c r="A10" s="40" t="s">
        <v>4</v>
      </c>
      <c r="B10" s="50" t="s">
        <v>93</v>
      </c>
      <c r="C10" s="48"/>
      <c r="D10" s="48"/>
      <c r="E10" s="48"/>
      <c r="F10" s="48"/>
      <c r="G10" s="48"/>
      <c r="H10" s="48"/>
      <c r="I10" s="48"/>
    </row>
    <row r="11" spans="1:9" ht="18" customHeight="1" x14ac:dyDescent="0.15">
      <c r="B11" s="41" t="s">
        <v>42</v>
      </c>
      <c r="C11" s="269" t="s">
        <v>134</v>
      </c>
      <c r="D11" s="272"/>
      <c r="E11" s="273"/>
      <c r="F11" s="79"/>
      <c r="G11" s="41" t="s">
        <v>10</v>
      </c>
      <c r="H11" s="269" t="s">
        <v>135</v>
      </c>
      <c r="I11" s="273"/>
    </row>
    <row r="12" spans="1:9" ht="10.35" customHeight="1" x14ac:dyDescent="0.15">
      <c r="B12" s="41"/>
      <c r="C12" s="50"/>
      <c r="D12" s="79"/>
      <c r="E12" s="79"/>
      <c r="F12" s="79"/>
      <c r="G12" s="41"/>
      <c r="H12" s="50"/>
      <c r="I12" s="79"/>
    </row>
    <row r="13" spans="1:9" ht="18" customHeight="1" x14ac:dyDescent="0.15">
      <c r="A13" s="40" t="s">
        <v>7</v>
      </c>
      <c r="B13" s="50" t="s">
        <v>87</v>
      </c>
      <c r="C13" s="48"/>
      <c r="D13" s="48"/>
      <c r="E13" s="48"/>
      <c r="F13" s="48"/>
      <c r="G13" s="48"/>
      <c r="H13" s="48"/>
      <c r="I13" s="48"/>
    </row>
    <row r="14" spans="1:9" ht="18" customHeight="1" x14ac:dyDescent="0.15">
      <c r="B14" s="269" t="s">
        <v>136</v>
      </c>
      <c r="C14" s="270"/>
      <c r="D14" s="270"/>
      <c r="E14" s="270"/>
      <c r="F14" s="270"/>
      <c r="G14" s="270"/>
      <c r="H14" s="270"/>
      <c r="I14" s="271"/>
    </row>
    <row r="15" spans="1:9" ht="9" customHeight="1" x14ac:dyDescent="0.15">
      <c r="B15" s="48"/>
      <c r="C15" s="48"/>
      <c r="D15" s="48"/>
      <c r="E15" s="48"/>
      <c r="F15" s="48"/>
      <c r="G15" s="48"/>
      <c r="H15" s="48"/>
      <c r="I15" s="48"/>
    </row>
    <row r="16" spans="1:9" ht="18" customHeight="1" x14ac:dyDescent="0.15">
      <c r="B16" s="41" t="s">
        <v>42</v>
      </c>
      <c r="C16" s="269" t="s">
        <v>137</v>
      </c>
      <c r="D16" s="272"/>
      <c r="E16" s="273"/>
      <c r="F16" s="79"/>
      <c r="G16" s="41" t="s">
        <v>10</v>
      </c>
      <c r="H16" s="269" t="s">
        <v>138</v>
      </c>
      <c r="I16" s="273"/>
    </row>
    <row r="17" spans="1:9" ht="18" customHeight="1" x14ac:dyDescent="0.15">
      <c r="B17" s="48"/>
      <c r="C17" s="48"/>
      <c r="D17" s="48"/>
      <c r="E17" s="48"/>
      <c r="F17" s="48"/>
      <c r="G17" s="48"/>
      <c r="H17" s="48"/>
      <c r="I17" s="48"/>
    </row>
    <row r="18" spans="1:9" ht="18.75" customHeight="1" x14ac:dyDescent="0.15">
      <c r="A18" s="40" t="s">
        <v>5</v>
      </c>
      <c r="B18" s="40" t="s">
        <v>41</v>
      </c>
      <c r="I18" s="48"/>
    </row>
    <row r="19" spans="1:9" ht="18.75" customHeight="1" x14ac:dyDescent="0.15">
      <c r="A19" s="40"/>
      <c r="B19" s="261" t="s">
        <v>215</v>
      </c>
      <c r="C19" s="262"/>
      <c r="D19" s="262"/>
      <c r="E19" s="262"/>
      <c r="F19" s="262"/>
      <c r="G19" s="262"/>
      <c r="H19" s="262"/>
      <c r="I19" s="263"/>
    </row>
    <row r="20" spans="1:9" ht="7.5" customHeight="1" x14ac:dyDescent="0.15">
      <c r="B20" s="48"/>
      <c r="C20" s="48"/>
      <c r="D20" s="48"/>
      <c r="E20" s="48"/>
      <c r="F20" s="48"/>
      <c r="G20" s="48"/>
      <c r="H20" s="48"/>
      <c r="I20" s="48"/>
    </row>
    <row r="21" spans="1:9" ht="18.75" customHeight="1" x14ac:dyDescent="0.15">
      <c r="A21" s="40" t="s">
        <v>8</v>
      </c>
      <c r="B21" s="40" t="s">
        <v>24</v>
      </c>
    </row>
    <row r="22" spans="1:9" ht="18.75" customHeight="1" x14ac:dyDescent="0.15">
      <c r="A22" s="61"/>
      <c r="B22" s="251" t="s">
        <v>139</v>
      </c>
      <c r="C22" s="252"/>
      <c r="D22" s="252"/>
      <c r="E22" s="252"/>
      <c r="F22" s="252"/>
      <c r="G22" s="252"/>
      <c r="H22" s="252"/>
      <c r="I22" s="253"/>
    </row>
    <row r="23" spans="1:9" ht="18.75" customHeight="1" x14ac:dyDescent="0.15">
      <c r="A23" s="61"/>
      <c r="B23" s="264"/>
      <c r="C23" s="265"/>
      <c r="D23" s="265"/>
      <c r="E23" s="265"/>
      <c r="F23" s="265"/>
      <c r="G23" s="265"/>
      <c r="H23" s="265"/>
      <c r="I23" s="256"/>
    </row>
    <row r="24" spans="1:9" ht="18.75" customHeight="1" x14ac:dyDescent="0.15">
      <c r="A24" s="61"/>
      <c r="B24" s="264"/>
      <c r="C24" s="265"/>
      <c r="D24" s="265"/>
      <c r="E24" s="265"/>
      <c r="F24" s="265"/>
      <c r="G24" s="265"/>
      <c r="H24" s="265"/>
      <c r="I24" s="256"/>
    </row>
    <row r="25" spans="1:9" ht="18.75" customHeight="1" x14ac:dyDescent="0.15">
      <c r="A25" s="61"/>
      <c r="B25" s="264"/>
      <c r="C25" s="265"/>
      <c r="D25" s="265"/>
      <c r="E25" s="265"/>
      <c r="F25" s="265"/>
      <c r="G25" s="265"/>
      <c r="H25" s="265"/>
      <c r="I25" s="256"/>
    </row>
    <row r="26" spans="1:9" ht="18.75" customHeight="1" x14ac:dyDescent="0.15">
      <c r="A26" s="61"/>
      <c r="B26" s="264"/>
      <c r="C26" s="265"/>
      <c r="D26" s="265"/>
      <c r="E26" s="265"/>
      <c r="F26" s="265"/>
      <c r="G26" s="265"/>
      <c r="H26" s="265"/>
      <c r="I26" s="256"/>
    </row>
    <row r="27" spans="1:9" ht="18.75" customHeight="1" x14ac:dyDescent="0.15">
      <c r="A27" s="61"/>
      <c r="B27" s="264"/>
      <c r="C27" s="265"/>
      <c r="D27" s="265"/>
      <c r="E27" s="265"/>
      <c r="F27" s="265"/>
      <c r="G27" s="265"/>
      <c r="H27" s="265"/>
      <c r="I27" s="256"/>
    </row>
    <row r="28" spans="1:9" ht="18.75" customHeight="1" x14ac:dyDescent="0.15">
      <c r="A28" s="61"/>
      <c r="B28" s="264"/>
      <c r="C28" s="265"/>
      <c r="D28" s="265"/>
      <c r="E28" s="265"/>
      <c r="F28" s="265"/>
      <c r="G28" s="265"/>
      <c r="H28" s="265"/>
      <c r="I28" s="256"/>
    </row>
    <row r="29" spans="1:9" ht="18.75" customHeight="1" x14ac:dyDescent="0.15">
      <c r="A29" s="61"/>
      <c r="B29" s="264"/>
      <c r="C29" s="265"/>
      <c r="D29" s="265"/>
      <c r="E29" s="265"/>
      <c r="F29" s="265"/>
      <c r="G29" s="265"/>
      <c r="H29" s="265"/>
      <c r="I29" s="256"/>
    </row>
    <row r="30" spans="1:9" ht="18.75" customHeight="1" x14ac:dyDescent="0.15">
      <c r="A30" s="61"/>
      <c r="B30" s="254"/>
      <c r="C30" s="255"/>
      <c r="D30" s="255"/>
      <c r="E30" s="255"/>
      <c r="F30" s="255"/>
      <c r="G30" s="255"/>
      <c r="H30" s="255"/>
      <c r="I30" s="256"/>
    </row>
    <row r="31" spans="1:9" ht="18.75" customHeight="1" x14ac:dyDescent="0.15">
      <c r="A31" s="61"/>
      <c r="B31" s="254"/>
      <c r="C31" s="255"/>
      <c r="D31" s="255"/>
      <c r="E31" s="255"/>
      <c r="F31" s="255"/>
      <c r="G31" s="255"/>
      <c r="H31" s="255"/>
      <c r="I31" s="256"/>
    </row>
    <row r="32" spans="1:9" ht="18.75" customHeight="1" x14ac:dyDescent="0.15">
      <c r="A32" s="61"/>
      <c r="B32" s="257"/>
      <c r="C32" s="258"/>
      <c r="D32" s="258"/>
      <c r="E32" s="258"/>
      <c r="F32" s="258"/>
      <c r="G32" s="258"/>
      <c r="H32" s="258"/>
      <c r="I32" s="259"/>
    </row>
    <row r="33" spans="1:9" ht="7.5" customHeight="1" x14ac:dyDescent="0.15">
      <c r="A33" s="61"/>
      <c r="B33" s="61"/>
      <c r="C33" s="61"/>
      <c r="D33" s="61"/>
      <c r="E33" s="61"/>
      <c r="F33" s="61"/>
      <c r="G33" s="61"/>
      <c r="H33" s="61"/>
      <c r="I33" s="61"/>
    </row>
    <row r="34" spans="1:9" ht="18.75" customHeight="1" x14ac:dyDescent="0.15">
      <c r="A34" s="53" t="s">
        <v>6</v>
      </c>
      <c r="B34" s="53" t="s">
        <v>9</v>
      </c>
      <c r="C34" s="50"/>
      <c r="D34" s="53"/>
      <c r="E34" s="53"/>
      <c r="F34" s="53"/>
      <c r="G34" s="53"/>
      <c r="H34" s="53"/>
      <c r="I34" s="53"/>
    </row>
    <row r="35" spans="1:9" ht="18.75" customHeight="1" x14ac:dyDescent="0.15">
      <c r="A35" s="61"/>
      <c r="B35" s="251" t="s">
        <v>140</v>
      </c>
      <c r="C35" s="252"/>
      <c r="D35" s="252"/>
      <c r="E35" s="252"/>
      <c r="F35" s="252"/>
      <c r="G35" s="252"/>
      <c r="H35" s="252"/>
      <c r="I35" s="253"/>
    </row>
    <row r="36" spans="1:9" ht="18.75" customHeight="1" x14ac:dyDescent="0.15">
      <c r="A36" s="61"/>
      <c r="B36" s="254"/>
      <c r="C36" s="255"/>
      <c r="D36" s="255"/>
      <c r="E36" s="255"/>
      <c r="F36" s="255"/>
      <c r="G36" s="255"/>
      <c r="H36" s="255"/>
      <c r="I36" s="256"/>
    </row>
    <row r="37" spans="1:9" ht="18.75" customHeight="1" x14ac:dyDescent="0.15">
      <c r="A37" s="61"/>
      <c r="B37" s="254"/>
      <c r="C37" s="255"/>
      <c r="D37" s="255"/>
      <c r="E37" s="255"/>
      <c r="F37" s="255"/>
      <c r="G37" s="255"/>
      <c r="H37" s="255"/>
      <c r="I37" s="256"/>
    </row>
    <row r="38" spans="1:9" ht="18.75" customHeight="1" x14ac:dyDescent="0.15">
      <c r="A38" s="61"/>
      <c r="B38" s="254"/>
      <c r="C38" s="255"/>
      <c r="D38" s="255"/>
      <c r="E38" s="255"/>
      <c r="F38" s="255"/>
      <c r="G38" s="255"/>
      <c r="H38" s="255"/>
      <c r="I38" s="256"/>
    </row>
    <row r="39" spans="1:9" ht="18.75" customHeight="1" x14ac:dyDescent="0.15">
      <c r="A39" s="61"/>
      <c r="B39" s="254"/>
      <c r="C39" s="255"/>
      <c r="D39" s="255"/>
      <c r="E39" s="255"/>
      <c r="F39" s="255"/>
      <c r="G39" s="255"/>
      <c r="H39" s="255"/>
      <c r="I39" s="256"/>
    </row>
    <row r="40" spans="1:9" ht="18.75" customHeight="1" x14ac:dyDescent="0.15">
      <c r="A40" s="61"/>
      <c r="B40" s="254"/>
      <c r="C40" s="255"/>
      <c r="D40" s="255"/>
      <c r="E40" s="255"/>
      <c r="F40" s="255"/>
      <c r="G40" s="255"/>
      <c r="H40" s="255"/>
      <c r="I40" s="256"/>
    </row>
    <row r="41" spans="1:9" ht="18.75" customHeight="1" x14ac:dyDescent="0.15">
      <c r="A41" s="61"/>
      <c r="B41" s="254"/>
      <c r="C41" s="255"/>
      <c r="D41" s="255"/>
      <c r="E41" s="255"/>
      <c r="F41" s="255"/>
      <c r="G41" s="255"/>
      <c r="H41" s="255"/>
      <c r="I41" s="256"/>
    </row>
    <row r="42" spans="1:9" ht="18.75" customHeight="1" x14ac:dyDescent="0.15">
      <c r="A42" s="61"/>
      <c r="B42" s="254"/>
      <c r="C42" s="255"/>
      <c r="D42" s="255"/>
      <c r="E42" s="255"/>
      <c r="F42" s="255"/>
      <c r="G42" s="255"/>
      <c r="H42" s="255"/>
      <c r="I42" s="256"/>
    </row>
    <row r="43" spans="1:9" ht="18.75" customHeight="1" x14ac:dyDescent="0.15">
      <c r="A43" s="61"/>
      <c r="B43" s="254"/>
      <c r="C43" s="255"/>
      <c r="D43" s="255"/>
      <c r="E43" s="255"/>
      <c r="F43" s="255"/>
      <c r="G43" s="255"/>
      <c r="H43" s="255"/>
      <c r="I43" s="256"/>
    </row>
    <row r="44" spans="1:9" ht="18.75" customHeight="1" x14ac:dyDescent="0.15">
      <c r="A44" s="61"/>
      <c r="B44" s="254"/>
      <c r="C44" s="255"/>
      <c r="D44" s="255"/>
      <c r="E44" s="255"/>
      <c r="F44" s="255"/>
      <c r="G44" s="255"/>
      <c r="H44" s="255"/>
      <c r="I44" s="256"/>
    </row>
    <row r="45" spans="1:9" ht="18.75" customHeight="1" x14ac:dyDescent="0.15">
      <c r="A45" s="61"/>
      <c r="B45" s="254"/>
      <c r="C45" s="255"/>
      <c r="D45" s="255"/>
      <c r="E45" s="255"/>
      <c r="F45" s="255"/>
      <c r="G45" s="255"/>
      <c r="H45" s="255"/>
      <c r="I45" s="256"/>
    </row>
    <row r="46" spans="1:9" ht="18.75" customHeight="1" x14ac:dyDescent="0.15">
      <c r="A46" s="61"/>
      <c r="B46" s="257"/>
      <c r="C46" s="258"/>
      <c r="D46" s="258"/>
      <c r="E46" s="258"/>
      <c r="F46" s="258"/>
      <c r="G46" s="258"/>
      <c r="H46" s="258"/>
      <c r="I46" s="259"/>
    </row>
    <row r="47" spans="1:9" ht="7.5" customHeight="1" x14ac:dyDescent="0.15">
      <c r="A47" s="80"/>
      <c r="B47" s="80"/>
      <c r="C47" s="80"/>
      <c r="D47" s="80"/>
      <c r="E47" s="80"/>
      <c r="F47" s="80"/>
      <c r="G47" s="80"/>
      <c r="H47" s="80"/>
      <c r="I47" s="80"/>
    </row>
    <row r="48" spans="1:9" ht="18.75" customHeight="1" x14ac:dyDescent="0.15">
      <c r="A48" s="40" t="s">
        <v>30</v>
      </c>
      <c r="B48" s="40" t="s">
        <v>197</v>
      </c>
    </row>
    <row r="49" spans="1:15" s="48" customFormat="1" ht="18.75" customHeight="1" x14ac:dyDescent="0.15">
      <c r="B49" s="81" t="s">
        <v>88</v>
      </c>
      <c r="C49" s="292">
        <f>'様式２ 履修者等数の実績'!AQ32</f>
        <v>0.19207920792079208</v>
      </c>
      <c r="D49" s="292"/>
      <c r="E49" s="98" t="s">
        <v>65</v>
      </c>
      <c r="F49" s="292">
        <v>0.35</v>
      </c>
      <c r="G49" s="292"/>
      <c r="H49" s="98" t="s">
        <v>66</v>
      </c>
      <c r="I49" s="99">
        <v>0.6</v>
      </c>
      <c r="J49" s="40"/>
      <c r="M49" s="40"/>
      <c r="N49" s="82"/>
    </row>
    <row r="50" spans="1:15" s="48" customFormat="1" ht="18.75" customHeight="1" x14ac:dyDescent="0.15">
      <c r="B50" s="83" t="s">
        <v>67</v>
      </c>
      <c r="C50" s="275">
        <v>0.8</v>
      </c>
      <c r="D50" s="275"/>
      <c r="E50" s="100" t="s">
        <v>89</v>
      </c>
      <c r="F50" s="275">
        <v>1</v>
      </c>
      <c r="G50" s="275"/>
      <c r="H50" s="100" t="s">
        <v>68</v>
      </c>
      <c r="I50" s="101">
        <f>'様式２ 履修者等数の実績'!E32</f>
        <v>2020</v>
      </c>
      <c r="J50" s="40"/>
      <c r="M50" s="40"/>
      <c r="N50" s="82"/>
    </row>
    <row r="51" spans="1:15" ht="18.75" customHeight="1" x14ac:dyDescent="0.15">
      <c r="A51" s="40"/>
      <c r="B51" s="266" t="s">
        <v>69</v>
      </c>
      <c r="C51" s="267"/>
      <c r="D51" s="267"/>
      <c r="E51" s="267"/>
      <c r="F51" s="267"/>
      <c r="G51" s="267"/>
      <c r="H51" s="267"/>
      <c r="I51" s="268"/>
      <c r="N51" s="82"/>
      <c r="O51" s="48"/>
    </row>
    <row r="52" spans="1:15" ht="18.75" customHeight="1" x14ac:dyDescent="0.15">
      <c r="A52" s="40"/>
      <c r="B52" s="293" t="s">
        <v>142</v>
      </c>
      <c r="C52" s="294"/>
      <c r="D52" s="294"/>
      <c r="E52" s="294"/>
      <c r="F52" s="294"/>
      <c r="G52" s="294"/>
      <c r="H52" s="294"/>
      <c r="I52" s="295"/>
      <c r="N52" s="82"/>
      <c r="O52" s="48"/>
    </row>
    <row r="53" spans="1:15" ht="18.75" customHeight="1" x14ac:dyDescent="0.15">
      <c r="A53" s="40"/>
      <c r="B53" s="296"/>
      <c r="C53" s="297"/>
      <c r="D53" s="297"/>
      <c r="E53" s="297"/>
      <c r="F53" s="297"/>
      <c r="G53" s="297"/>
      <c r="H53" s="297"/>
      <c r="I53" s="298"/>
      <c r="N53" s="82"/>
      <c r="O53" s="48"/>
    </row>
    <row r="54" spans="1:15" ht="18.75" customHeight="1" x14ac:dyDescent="0.15">
      <c r="A54" s="40"/>
      <c r="B54" s="296"/>
      <c r="C54" s="297"/>
      <c r="D54" s="297"/>
      <c r="E54" s="297"/>
      <c r="F54" s="297"/>
      <c r="G54" s="297"/>
      <c r="H54" s="297"/>
      <c r="I54" s="298"/>
    </row>
    <row r="55" spans="1:15" ht="18.75" customHeight="1" x14ac:dyDescent="0.15">
      <c r="A55" s="40"/>
      <c r="B55" s="296"/>
      <c r="C55" s="297"/>
      <c r="D55" s="297"/>
      <c r="E55" s="297"/>
      <c r="F55" s="297"/>
      <c r="G55" s="297"/>
      <c r="H55" s="297"/>
      <c r="I55" s="298"/>
    </row>
    <row r="56" spans="1:15" ht="18.75" customHeight="1" x14ac:dyDescent="0.15">
      <c r="A56" s="40"/>
      <c r="B56" s="296"/>
      <c r="C56" s="297"/>
      <c r="D56" s="297"/>
      <c r="E56" s="297"/>
      <c r="F56" s="297"/>
      <c r="G56" s="297"/>
      <c r="H56" s="297"/>
      <c r="I56" s="298"/>
    </row>
    <row r="57" spans="1:15" ht="18.75" customHeight="1" x14ac:dyDescent="0.15">
      <c r="A57" s="40"/>
      <c r="B57" s="296"/>
      <c r="C57" s="297"/>
      <c r="D57" s="297"/>
      <c r="E57" s="297"/>
      <c r="F57" s="297"/>
      <c r="G57" s="297"/>
      <c r="H57" s="297"/>
      <c r="I57" s="298"/>
    </row>
    <row r="58" spans="1:15" ht="18.75" customHeight="1" x14ac:dyDescent="0.15">
      <c r="A58" s="40"/>
      <c r="B58" s="296"/>
      <c r="C58" s="297"/>
      <c r="D58" s="297"/>
      <c r="E58" s="297"/>
      <c r="F58" s="297"/>
      <c r="G58" s="297"/>
      <c r="H58" s="297"/>
      <c r="I58" s="298"/>
    </row>
    <row r="59" spans="1:15" ht="18.75" customHeight="1" x14ac:dyDescent="0.15">
      <c r="A59" s="40"/>
      <c r="B59" s="296"/>
      <c r="C59" s="297"/>
      <c r="D59" s="297"/>
      <c r="E59" s="297"/>
      <c r="F59" s="297"/>
      <c r="G59" s="297"/>
      <c r="H59" s="297"/>
      <c r="I59" s="298"/>
    </row>
    <row r="60" spans="1:15" ht="18.75" customHeight="1" x14ac:dyDescent="0.15">
      <c r="A60" s="40"/>
      <c r="B60" s="296"/>
      <c r="C60" s="297"/>
      <c r="D60" s="297"/>
      <c r="E60" s="297"/>
      <c r="F60" s="297"/>
      <c r="G60" s="297"/>
      <c r="H60" s="297"/>
      <c r="I60" s="298"/>
    </row>
    <row r="61" spans="1:15" ht="18.75" customHeight="1" x14ac:dyDescent="0.15">
      <c r="A61" s="40"/>
      <c r="B61" s="296"/>
      <c r="C61" s="297"/>
      <c r="D61" s="297"/>
      <c r="E61" s="297"/>
      <c r="F61" s="297"/>
      <c r="G61" s="297"/>
      <c r="H61" s="297"/>
      <c r="I61" s="298"/>
    </row>
    <row r="62" spans="1:15" ht="18.75" customHeight="1" x14ac:dyDescent="0.15">
      <c r="A62" s="40"/>
      <c r="B62" s="296"/>
      <c r="C62" s="297"/>
      <c r="D62" s="297"/>
      <c r="E62" s="297"/>
      <c r="F62" s="297"/>
      <c r="G62" s="297"/>
      <c r="H62" s="297"/>
      <c r="I62" s="298"/>
    </row>
    <row r="63" spans="1:15" ht="18.75" customHeight="1" x14ac:dyDescent="0.15">
      <c r="A63" s="40"/>
      <c r="B63" s="299"/>
      <c r="C63" s="300"/>
      <c r="D63" s="300"/>
      <c r="E63" s="300"/>
      <c r="F63" s="300"/>
      <c r="G63" s="300"/>
      <c r="H63" s="300"/>
      <c r="I63" s="301"/>
    </row>
    <row r="64" spans="1:15" ht="7.5" customHeight="1" x14ac:dyDescent="0.15">
      <c r="A64" s="61"/>
      <c r="B64" s="61"/>
      <c r="C64" s="61"/>
      <c r="D64" s="61"/>
      <c r="E64" s="61"/>
      <c r="F64" s="61"/>
      <c r="G64" s="61"/>
      <c r="H64" s="61"/>
      <c r="I64" s="61"/>
    </row>
    <row r="65" spans="1:9" ht="18.75" customHeight="1" x14ac:dyDescent="0.15">
      <c r="A65" s="53" t="s">
        <v>33</v>
      </c>
      <c r="B65" s="40" t="s">
        <v>36</v>
      </c>
      <c r="I65" s="53"/>
    </row>
    <row r="66" spans="1:9" ht="18.75" customHeight="1" x14ac:dyDescent="0.15">
      <c r="A66" s="80"/>
      <c r="B66" s="276" t="s">
        <v>205</v>
      </c>
      <c r="C66" s="277"/>
      <c r="D66" s="277"/>
      <c r="E66" s="277"/>
      <c r="F66" s="277"/>
      <c r="G66" s="277"/>
      <c r="H66" s="277"/>
      <c r="I66" s="278"/>
    </row>
    <row r="67" spans="1:9" ht="18.75" customHeight="1" x14ac:dyDescent="0.15">
      <c r="A67" s="80"/>
      <c r="B67" s="279"/>
      <c r="C67" s="280"/>
      <c r="D67" s="280"/>
      <c r="E67" s="280"/>
      <c r="F67" s="280"/>
      <c r="G67" s="280"/>
      <c r="H67" s="280"/>
      <c r="I67" s="281"/>
    </row>
    <row r="68" spans="1:9" ht="18.75" customHeight="1" x14ac:dyDescent="0.15">
      <c r="A68" s="80"/>
      <c r="B68" s="279"/>
      <c r="C68" s="280"/>
      <c r="D68" s="280"/>
      <c r="E68" s="280"/>
      <c r="F68" s="280"/>
      <c r="G68" s="280"/>
      <c r="H68" s="280"/>
      <c r="I68" s="281"/>
    </row>
    <row r="69" spans="1:9" ht="18.75" customHeight="1" x14ac:dyDescent="0.15">
      <c r="A69" s="80"/>
      <c r="B69" s="279"/>
      <c r="C69" s="280"/>
      <c r="D69" s="280"/>
      <c r="E69" s="280"/>
      <c r="F69" s="280"/>
      <c r="G69" s="280"/>
      <c r="H69" s="280"/>
      <c r="I69" s="281"/>
    </row>
    <row r="70" spans="1:9" ht="18.75" customHeight="1" x14ac:dyDescent="0.15">
      <c r="A70" s="80"/>
      <c r="B70" s="279"/>
      <c r="C70" s="280"/>
      <c r="D70" s="280"/>
      <c r="E70" s="280"/>
      <c r="F70" s="280"/>
      <c r="G70" s="280"/>
      <c r="H70" s="280"/>
      <c r="I70" s="281"/>
    </row>
    <row r="71" spans="1:9" ht="18.75" customHeight="1" x14ac:dyDescent="0.15">
      <c r="A71" s="80"/>
      <c r="B71" s="279"/>
      <c r="C71" s="280"/>
      <c r="D71" s="280"/>
      <c r="E71" s="280"/>
      <c r="F71" s="280"/>
      <c r="G71" s="280"/>
      <c r="H71" s="280"/>
      <c r="I71" s="281"/>
    </row>
    <row r="72" spans="1:9" ht="18.75" customHeight="1" x14ac:dyDescent="0.15">
      <c r="A72" s="80"/>
      <c r="B72" s="279"/>
      <c r="C72" s="280"/>
      <c r="D72" s="280"/>
      <c r="E72" s="280"/>
      <c r="F72" s="280"/>
      <c r="G72" s="280"/>
      <c r="H72" s="280"/>
      <c r="I72" s="281"/>
    </row>
    <row r="73" spans="1:9" ht="18.75" customHeight="1" x14ac:dyDescent="0.15">
      <c r="A73" s="80"/>
      <c r="B73" s="279"/>
      <c r="C73" s="280"/>
      <c r="D73" s="280"/>
      <c r="E73" s="280"/>
      <c r="F73" s="280"/>
      <c r="G73" s="280"/>
      <c r="H73" s="280"/>
      <c r="I73" s="281"/>
    </row>
    <row r="74" spans="1:9" ht="18.75" customHeight="1" x14ac:dyDescent="0.15">
      <c r="A74" s="80"/>
      <c r="B74" s="279"/>
      <c r="C74" s="280"/>
      <c r="D74" s="280"/>
      <c r="E74" s="280"/>
      <c r="F74" s="280"/>
      <c r="G74" s="280"/>
      <c r="H74" s="280"/>
      <c r="I74" s="281"/>
    </row>
    <row r="75" spans="1:9" ht="18.75" customHeight="1" x14ac:dyDescent="0.15">
      <c r="A75" s="80"/>
      <c r="B75" s="279"/>
      <c r="C75" s="280"/>
      <c r="D75" s="280"/>
      <c r="E75" s="280"/>
      <c r="F75" s="280"/>
      <c r="G75" s="280"/>
      <c r="H75" s="280"/>
      <c r="I75" s="281"/>
    </row>
    <row r="76" spans="1:9" ht="18.75" customHeight="1" x14ac:dyDescent="0.15">
      <c r="A76" s="80"/>
      <c r="B76" s="279"/>
      <c r="C76" s="280"/>
      <c r="D76" s="280"/>
      <c r="E76" s="280"/>
      <c r="F76" s="280"/>
      <c r="G76" s="280"/>
      <c r="H76" s="280"/>
      <c r="I76" s="281"/>
    </row>
    <row r="77" spans="1:9" ht="18.75" customHeight="1" x14ac:dyDescent="0.15">
      <c r="A77" s="80"/>
      <c r="B77" s="282"/>
      <c r="C77" s="283"/>
      <c r="D77" s="283"/>
      <c r="E77" s="283"/>
      <c r="F77" s="283"/>
      <c r="G77" s="283"/>
      <c r="H77" s="283"/>
      <c r="I77" s="284"/>
    </row>
    <row r="78" spans="1:9" ht="7.5" customHeight="1" x14ac:dyDescent="0.15">
      <c r="A78" s="80"/>
      <c r="B78" s="80"/>
      <c r="C78" s="80"/>
      <c r="D78" s="80"/>
      <c r="E78" s="80"/>
      <c r="F78" s="80"/>
      <c r="G78" s="80"/>
      <c r="H78" s="80"/>
      <c r="I78" s="80"/>
    </row>
    <row r="79" spans="1:9" ht="18.75" customHeight="1" x14ac:dyDescent="0.15">
      <c r="A79" s="40" t="s">
        <v>11</v>
      </c>
      <c r="B79" s="40" t="s">
        <v>40</v>
      </c>
    </row>
    <row r="80" spans="1:9" ht="18.75" customHeight="1" x14ac:dyDescent="0.15">
      <c r="A80" s="40"/>
      <c r="B80" s="276" t="s">
        <v>141</v>
      </c>
      <c r="C80" s="277"/>
      <c r="D80" s="277"/>
      <c r="E80" s="277"/>
      <c r="F80" s="277"/>
      <c r="G80" s="277"/>
      <c r="H80" s="277"/>
      <c r="I80" s="285"/>
    </row>
    <row r="81" spans="1:9" ht="18.75" customHeight="1" x14ac:dyDescent="0.15">
      <c r="A81" s="40"/>
      <c r="B81" s="286"/>
      <c r="C81" s="287"/>
      <c r="D81" s="287"/>
      <c r="E81" s="287"/>
      <c r="F81" s="287"/>
      <c r="G81" s="287"/>
      <c r="H81" s="287"/>
      <c r="I81" s="288"/>
    </row>
    <row r="82" spans="1:9" ht="18.75" customHeight="1" x14ac:dyDescent="0.15">
      <c r="A82" s="40"/>
      <c r="B82" s="286"/>
      <c r="C82" s="287"/>
      <c r="D82" s="287"/>
      <c r="E82" s="287"/>
      <c r="F82" s="287"/>
      <c r="G82" s="287"/>
      <c r="H82" s="287"/>
      <c r="I82" s="288"/>
    </row>
    <row r="83" spans="1:9" ht="18.75" customHeight="1" x14ac:dyDescent="0.15">
      <c r="A83" s="40"/>
      <c r="B83" s="286"/>
      <c r="C83" s="287"/>
      <c r="D83" s="287"/>
      <c r="E83" s="287"/>
      <c r="F83" s="287"/>
      <c r="G83" s="287"/>
      <c r="H83" s="287"/>
      <c r="I83" s="288"/>
    </row>
    <row r="84" spans="1:9" ht="18.75" customHeight="1" x14ac:dyDescent="0.15">
      <c r="A84" s="40"/>
      <c r="B84" s="286"/>
      <c r="C84" s="287"/>
      <c r="D84" s="287"/>
      <c r="E84" s="287"/>
      <c r="F84" s="287"/>
      <c r="G84" s="287"/>
      <c r="H84" s="287"/>
      <c r="I84" s="288"/>
    </row>
    <row r="85" spans="1:9" ht="18.75" customHeight="1" x14ac:dyDescent="0.15">
      <c r="A85" s="40"/>
      <c r="B85" s="286"/>
      <c r="C85" s="287"/>
      <c r="D85" s="287"/>
      <c r="E85" s="287"/>
      <c r="F85" s="287"/>
      <c r="G85" s="287"/>
      <c r="H85" s="287"/>
      <c r="I85" s="288"/>
    </row>
    <row r="86" spans="1:9" ht="18.75" customHeight="1" x14ac:dyDescent="0.15">
      <c r="A86" s="40"/>
      <c r="B86" s="286"/>
      <c r="C86" s="287"/>
      <c r="D86" s="287"/>
      <c r="E86" s="287"/>
      <c r="F86" s="287"/>
      <c r="G86" s="287"/>
      <c r="H86" s="287"/>
      <c r="I86" s="288"/>
    </row>
    <row r="87" spans="1:9" ht="18.75" customHeight="1" x14ac:dyDescent="0.15">
      <c r="A87" s="40"/>
      <c r="B87" s="286"/>
      <c r="C87" s="287"/>
      <c r="D87" s="287"/>
      <c r="E87" s="287"/>
      <c r="F87" s="287"/>
      <c r="G87" s="287"/>
      <c r="H87" s="287"/>
      <c r="I87" s="288"/>
    </row>
    <row r="88" spans="1:9" ht="18.75" customHeight="1" x14ac:dyDescent="0.15">
      <c r="A88" s="40"/>
      <c r="B88" s="286"/>
      <c r="C88" s="287"/>
      <c r="D88" s="287"/>
      <c r="E88" s="287"/>
      <c r="F88" s="287"/>
      <c r="G88" s="287"/>
      <c r="H88" s="287"/>
      <c r="I88" s="288"/>
    </row>
    <row r="89" spans="1:9" ht="18.75" customHeight="1" x14ac:dyDescent="0.15">
      <c r="A89" s="40"/>
      <c r="B89" s="286"/>
      <c r="C89" s="287"/>
      <c r="D89" s="287"/>
      <c r="E89" s="287"/>
      <c r="F89" s="287"/>
      <c r="G89" s="287"/>
      <c r="H89" s="287"/>
      <c r="I89" s="288"/>
    </row>
    <row r="90" spans="1:9" ht="18.75" customHeight="1" x14ac:dyDescent="0.15">
      <c r="A90" s="80"/>
      <c r="B90" s="286"/>
      <c r="C90" s="287"/>
      <c r="D90" s="287"/>
      <c r="E90" s="287"/>
      <c r="F90" s="287"/>
      <c r="G90" s="287"/>
      <c r="H90" s="287"/>
      <c r="I90" s="288"/>
    </row>
    <row r="91" spans="1:9" ht="18.75" customHeight="1" x14ac:dyDescent="0.15">
      <c r="A91" s="80"/>
      <c r="B91" s="289"/>
      <c r="C91" s="290"/>
      <c r="D91" s="290"/>
      <c r="E91" s="290"/>
      <c r="F91" s="290"/>
      <c r="G91" s="290"/>
      <c r="H91" s="290"/>
      <c r="I91" s="291"/>
    </row>
    <row r="92" spans="1:9" ht="7.5" customHeight="1" x14ac:dyDescent="0.15">
      <c r="A92" s="80"/>
      <c r="B92" s="80"/>
      <c r="C92" s="80"/>
      <c r="D92" s="80"/>
      <c r="E92" s="80"/>
      <c r="F92" s="80"/>
      <c r="G92" s="80"/>
      <c r="H92" s="80"/>
      <c r="I92" s="80"/>
    </row>
    <row r="93" spans="1:9" ht="18.75" customHeight="1" x14ac:dyDescent="0.15">
      <c r="A93" s="40" t="s">
        <v>43</v>
      </c>
      <c r="B93" s="40" t="s">
        <v>12</v>
      </c>
    </row>
    <row r="94" spans="1:9" ht="18.75" customHeight="1" x14ac:dyDescent="0.15">
      <c r="A94" s="40"/>
      <c r="B94" s="251" t="s">
        <v>144</v>
      </c>
      <c r="C94" s="252"/>
      <c r="D94" s="252"/>
      <c r="E94" s="252"/>
      <c r="F94" s="252"/>
      <c r="G94" s="252"/>
      <c r="H94" s="252"/>
      <c r="I94" s="253"/>
    </row>
    <row r="95" spans="1:9" ht="18.75" customHeight="1" x14ac:dyDescent="0.15">
      <c r="A95" s="40"/>
      <c r="B95" s="254"/>
      <c r="C95" s="255"/>
      <c r="D95" s="255"/>
      <c r="E95" s="255"/>
      <c r="F95" s="255"/>
      <c r="G95" s="255"/>
      <c r="H95" s="255"/>
      <c r="I95" s="256"/>
    </row>
    <row r="96" spans="1:9" ht="18.75" customHeight="1" x14ac:dyDescent="0.15">
      <c r="A96" s="40"/>
      <c r="B96" s="254"/>
      <c r="C96" s="255"/>
      <c r="D96" s="255"/>
      <c r="E96" s="255"/>
      <c r="F96" s="255"/>
      <c r="G96" s="255"/>
      <c r="H96" s="255"/>
      <c r="I96" s="256"/>
    </row>
    <row r="97" spans="1:9" ht="18.75" customHeight="1" x14ac:dyDescent="0.15">
      <c r="A97" s="40"/>
      <c r="B97" s="254"/>
      <c r="C97" s="255"/>
      <c r="D97" s="255"/>
      <c r="E97" s="255"/>
      <c r="F97" s="255"/>
      <c r="G97" s="255"/>
      <c r="H97" s="255"/>
      <c r="I97" s="256"/>
    </row>
    <row r="98" spans="1:9" ht="18.75" customHeight="1" x14ac:dyDescent="0.15">
      <c r="A98" s="40"/>
      <c r="B98" s="254"/>
      <c r="C98" s="255"/>
      <c r="D98" s="255"/>
      <c r="E98" s="255"/>
      <c r="F98" s="255"/>
      <c r="G98" s="255"/>
      <c r="H98" s="255"/>
      <c r="I98" s="256"/>
    </row>
    <row r="99" spans="1:9" ht="18.75" customHeight="1" x14ac:dyDescent="0.15">
      <c r="A99" s="40"/>
      <c r="B99" s="254"/>
      <c r="C99" s="255"/>
      <c r="D99" s="255"/>
      <c r="E99" s="255"/>
      <c r="F99" s="255"/>
      <c r="G99" s="255"/>
      <c r="H99" s="255"/>
      <c r="I99" s="256"/>
    </row>
    <row r="100" spans="1:9" ht="18.75" customHeight="1" x14ac:dyDescent="0.15">
      <c r="A100" s="40"/>
      <c r="B100" s="254"/>
      <c r="C100" s="255"/>
      <c r="D100" s="255"/>
      <c r="E100" s="255"/>
      <c r="F100" s="255"/>
      <c r="G100" s="255"/>
      <c r="H100" s="255"/>
      <c r="I100" s="256"/>
    </row>
    <row r="101" spans="1:9" ht="18.75" customHeight="1" x14ac:dyDescent="0.15">
      <c r="A101" s="40"/>
      <c r="B101" s="254"/>
      <c r="C101" s="255"/>
      <c r="D101" s="255"/>
      <c r="E101" s="255"/>
      <c r="F101" s="255"/>
      <c r="G101" s="255"/>
      <c r="H101" s="255"/>
      <c r="I101" s="256"/>
    </row>
    <row r="102" spans="1:9" ht="18.75" customHeight="1" x14ac:dyDescent="0.15">
      <c r="A102" s="40"/>
      <c r="B102" s="254"/>
      <c r="C102" s="255"/>
      <c r="D102" s="255"/>
      <c r="E102" s="255"/>
      <c r="F102" s="255"/>
      <c r="G102" s="255"/>
      <c r="H102" s="255"/>
      <c r="I102" s="256"/>
    </row>
    <row r="103" spans="1:9" ht="18.75" customHeight="1" x14ac:dyDescent="0.15">
      <c r="A103" s="40"/>
      <c r="B103" s="254"/>
      <c r="C103" s="255"/>
      <c r="D103" s="255"/>
      <c r="E103" s="255"/>
      <c r="F103" s="255"/>
      <c r="G103" s="255"/>
      <c r="H103" s="255"/>
      <c r="I103" s="256"/>
    </row>
    <row r="104" spans="1:9" ht="18.75" customHeight="1" x14ac:dyDescent="0.15">
      <c r="A104" s="40"/>
      <c r="B104" s="254"/>
      <c r="C104" s="255"/>
      <c r="D104" s="255"/>
      <c r="E104" s="255"/>
      <c r="F104" s="255"/>
      <c r="G104" s="255"/>
      <c r="H104" s="255"/>
      <c r="I104" s="256"/>
    </row>
    <row r="105" spans="1:9" ht="18.75" customHeight="1" x14ac:dyDescent="0.15">
      <c r="A105" s="80"/>
      <c r="B105" s="257"/>
      <c r="C105" s="258"/>
      <c r="D105" s="258"/>
      <c r="E105" s="258"/>
      <c r="F105" s="258"/>
      <c r="G105" s="258"/>
      <c r="H105" s="258"/>
      <c r="I105" s="259"/>
    </row>
    <row r="106" spans="1:9" ht="7.5" customHeight="1" x14ac:dyDescent="0.15">
      <c r="A106" s="80"/>
      <c r="B106" s="80"/>
      <c r="C106" s="80"/>
      <c r="D106" s="80"/>
      <c r="E106" s="80"/>
      <c r="F106" s="80"/>
      <c r="G106" s="80"/>
      <c r="H106" s="80"/>
      <c r="I106" s="80"/>
    </row>
    <row r="107" spans="1:9" ht="18.75" customHeight="1" x14ac:dyDescent="0.15">
      <c r="A107" s="40" t="s">
        <v>29</v>
      </c>
      <c r="B107" s="260" t="s">
        <v>45</v>
      </c>
      <c r="C107" s="260"/>
      <c r="D107" s="260"/>
      <c r="E107" s="260"/>
      <c r="F107" s="260"/>
      <c r="G107" s="260"/>
      <c r="H107" s="260"/>
      <c r="I107" s="260"/>
    </row>
    <row r="108" spans="1:9" ht="18.75" customHeight="1" x14ac:dyDescent="0.15">
      <c r="A108" s="80"/>
      <c r="B108" s="251" t="s">
        <v>143</v>
      </c>
      <c r="C108" s="252"/>
      <c r="D108" s="252"/>
      <c r="E108" s="252"/>
      <c r="F108" s="252"/>
      <c r="G108" s="252"/>
      <c r="H108" s="252"/>
      <c r="I108" s="253"/>
    </row>
    <row r="109" spans="1:9" ht="18.75" customHeight="1" x14ac:dyDescent="0.15">
      <c r="A109" s="80"/>
      <c r="B109" s="254"/>
      <c r="C109" s="255"/>
      <c r="D109" s="255"/>
      <c r="E109" s="255"/>
      <c r="F109" s="255"/>
      <c r="G109" s="255"/>
      <c r="H109" s="255"/>
      <c r="I109" s="256"/>
    </row>
    <row r="110" spans="1:9" ht="18.75" customHeight="1" x14ac:dyDescent="0.15">
      <c r="A110" s="80"/>
      <c r="B110" s="254"/>
      <c r="C110" s="255"/>
      <c r="D110" s="255"/>
      <c r="E110" s="255"/>
      <c r="F110" s="255"/>
      <c r="G110" s="255"/>
      <c r="H110" s="255"/>
      <c r="I110" s="256"/>
    </row>
    <row r="111" spans="1:9" ht="18.75" customHeight="1" x14ac:dyDescent="0.15">
      <c r="A111" s="80"/>
      <c r="B111" s="254"/>
      <c r="C111" s="255"/>
      <c r="D111" s="255"/>
      <c r="E111" s="255"/>
      <c r="F111" s="255"/>
      <c r="G111" s="255"/>
      <c r="H111" s="255"/>
      <c r="I111" s="256"/>
    </row>
    <row r="112" spans="1:9" ht="18.75" customHeight="1" x14ac:dyDescent="0.15">
      <c r="A112" s="80"/>
      <c r="B112" s="254"/>
      <c r="C112" s="255"/>
      <c r="D112" s="255"/>
      <c r="E112" s="255"/>
      <c r="F112" s="255"/>
      <c r="G112" s="255"/>
      <c r="H112" s="255"/>
      <c r="I112" s="256"/>
    </row>
    <row r="113" spans="1:9" ht="18.75" customHeight="1" x14ac:dyDescent="0.15">
      <c r="A113" s="80"/>
      <c r="B113" s="254"/>
      <c r="C113" s="255"/>
      <c r="D113" s="255"/>
      <c r="E113" s="255"/>
      <c r="F113" s="255"/>
      <c r="G113" s="255"/>
      <c r="H113" s="255"/>
      <c r="I113" s="256"/>
    </row>
    <row r="114" spans="1:9" ht="18.75" customHeight="1" x14ac:dyDescent="0.15">
      <c r="A114" s="80"/>
      <c r="B114" s="254"/>
      <c r="C114" s="255"/>
      <c r="D114" s="255"/>
      <c r="E114" s="255"/>
      <c r="F114" s="255"/>
      <c r="G114" s="255"/>
      <c r="H114" s="255"/>
      <c r="I114" s="256"/>
    </row>
    <row r="115" spans="1:9" ht="18.75" customHeight="1" x14ac:dyDescent="0.15">
      <c r="A115" s="80"/>
      <c r="B115" s="254"/>
      <c r="C115" s="255"/>
      <c r="D115" s="255"/>
      <c r="E115" s="255"/>
      <c r="F115" s="255"/>
      <c r="G115" s="255"/>
      <c r="H115" s="255"/>
      <c r="I115" s="256"/>
    </row>
    <row r="116" spans="1:9" ht="18.75" customHeight="1" x14ac:dyDescent="0.15">
      <c r="A116" s="80"/>
      <c r="B116" s="254"/>
      <c r="C116" s="255"/>
      <c r="D116" s="255"/>
      <c r="E116" s="255"/>
      <c r="F116" s="255"/>
      <c r="G116" s="255"/>
      <c r="H116" s="255"/>
      <c r="I116" s="256"/>
    </row>
    <row r="117" spans="1:9" ht="18.75" customHeight="1" x14ac:dyDescent="0.15">
      <c r="A117" s="80"/>
      <c r="B117" s="254"/>
      <c r="C117" s="255"/>
      <c r="D117" s="255"/>
      <c r="E117" s="255"/>
      <c r="F117" s="255"/>
      <c r="G117" s="255"/>
      <c r="H117" s="255"/>
      <c r="I117" s="256"/>
    </row>
    <row r="118" spans="1:9" ht="18.75" customHeight="1" x14ac:dyDescent="0.15">
      <c r="A118" s="80"/>
      <c r="B118" s="254"/>
      <c r="C118" s="255"/>
      <c r="D118" s="255"/>
      <c r="E118" s="255"/>
      <c r="F118" s="255"/>
      <c r="G118" s="255"/>
      <c r="H118" s="255"/>
      <c r="I118" s="256"/>
    </row>
    <row r="119" spans="1:9" ht="18.75" customHeight="1" x14ac:dyDescent="0.15">
      <c r="A119" s="80"/>
      <c r="B119" s="257"/>
      <c r="C119" s="258"/>
      <c r="D119" s="258"/>
      <c r="E119" s="258"/>
      <c r="F119" s="258"/>
      <c r="G119" s="258"/>
      <c r="H119" s="258"/>
      <c r="I119" s="259"/>
    </row>
    <row r="120" spans="1:9" ht="7.5" customHeight="1" x14ac:dyDescent="0.15">
      <c r="A120" s="80"/>
      <c r="B120" s="84"/>
      <c r="C120" s="84"/>
      <c r="D120" s="84"/>
      <c r="E120" s="84"/>
      <c r="F120" s="84"/>
      <c r="G120" s="84"/>
      <c r="H120" s="84"/>
      <c r="I120" s="84"/>
    </row>
    <row r="121" spans="1:9" ht="18.75" customHeight="1" x14ac:dyDescent="0.15">
      <c r="A121" s="80"/>
      <c r="B121" s="80"/>
      <c r="C121" s="80"/>
      <c r="D121" s="80"/>
      <c r="E121" s="80"/>
      <c r="F121" s="80"/>
      <c r="G121" s="80"/>
      <c r="H121" s="80"/>
      <c r="I121" s="80"/>
    </row>
    <row r="122" spans="1:9" ht="18.75" customHeight="1" x14ac:dyDescent="0.15">
      <c r="A122" s="80"/>
      <c r="B122" s="80"/>
      <c r="C122" s="80"/>
      <c r="D122" s="80"/>
      <c r="E122" s="80"/>
      <c r="F122" s="80"/>
      <c r="G122" s="80"/>
      <c r="H122" s="80"/>
      <c r="I122" s="80"/>
    </row>
    <row r="123" spans="1:9" ht="18.75" customHeight="1" x14ac:dyDescent="0.15">
      <c r="A123" s="80"/>
      <c r="B123" s="80"/>
      <c r="C123" s="80"/>
      <c r="D123" s="80"/>
      <c r="E123" s="80"/>
      <c r="F123" s="80"/>
      <c r="G123" s="80"/>
      <c r="H123" s="80"/>
      <c r="I123" s="80"/>
    </row>
    <row r="124" spans="1:9" ht="18.75" customHeight="1" x14ac:dyDescent="0.15">
      <c r="A124" s="80"/>
      <c r="B124" s="80"/>
      <c r="C124" s="80"/>
      <c r="D124" s="80"/>
      <c r="E124" s="80"/>
      <c r="F124" s="80"/>
      <c r="G124" s="80"/>
      <c r="H124" s="80"/>
      <c r="I124" s="80"/>
    </row>
    <row r="125" spans="1:9" ht="18.75" customHeight="1" x14ac:dyDescent="0.15">
      <c r="A125" s="80"/>
      <c r="B125" s="80"/>
      <c r="C125" s="80"/>
      <c r="D125" s="80"/>
      <c r="E125" s="80"/>
      <c r="F125" s="80"/>
      <c r="G125" s="80"/>
      <c r="H125" s="80"/>
      <c r="I125" s="80"/>
    </row>
    <row r="126" spans="1:9" ht="18.75" customHeight="1" x14ac:dyDescent="0.15">
      <c r="A126" s="80"/>
      <c r="B126" s="80"/>
      <c r="C126" s="80"/>
      <c r="D126" s="80"/>
      <c r="E126" s="80"/>
      <c r="F126" s="80"/>
      <c r="G126" s="80"/>
      <c r="H126" s="80"/>
      <c r="I126" s="80"/>
    </row>
    <row r="127" spans="1:9" ht="18.75" customHeight="1" x14ac:dyDescent="0.15">
      <c r="A127" s="80"/>
      <c r="B127" s="80"/>
      <c r="C127" s="80"/>
      <c r="D127" s="80"/>
      <c r="E127" s="80"/>
      <c r="F127" s="80"/>
      <c r="G127" s="80"/>
      <c r="H127" s="80"/>
      <c r="I127" s="80"/>
    </row>
    <row r="128" spans="1:9" ht="18.75" customHeight="1" x14ac:dyDescent="0.15">
      <c r="A128" s="80"/>
      <c r="B128" s="80"/>
      <c r="C128" s="80"/>
      <c r="D128" s="80"/>
      <c r="E128" s="80"/>
      <c r="F128" s="80"/>
      <c r="G128" s="80"/>
      <c r="H128" s="80"/>
      <c r="I128" s="80"/>
    </row>
    <row r="129" spans="1:9" ht="18.75" customHeight="1" x14ac:dyDescent="0.15">
      <c r="A129" s="80"/>
      <c r="B129" s="80"/>
      <c r="C129" s="80"/>
      <c r="D129" s="80"/>
      <c r="E129" s="80"/>
      <c r="F129" s="80"/>
      <c r="G129" s="80"/>
      <c r="H129" s="80"/>
      <c r="I129" s="80"/>
    </row>
    <row r="130" spans="1:9" ht="18.75" customHeight="1" x14ac:dyDescent="0.15">
      <c r="A130" s="80"/>
      <c r="B130" s="80"/>
      <c r="C130" s="80"/>
      <c r="D130" s="80"/>
      <c r="E130" s="80"/>
      <c r="F130" s="80"/>
      <c r="G130" s="80"/>
      <c r="H130" s="80"/>
      <c r="I130" s="80"/>
    </row>
    <row r="131" spans="1:9" ht="18.75" customHeight="1" x14ac:dyDescent="0.15">
      <c r="A131" s="80"/>
      <c r="B131" s="80"/>
      <c r="C131" s="80"/>
      <c r="D131" s="80"/>
      <c r="E131" s="80"/>
      <c r="F131" s="80"/>
      <c r="G131" s="80"/>
      <c r="H131" s="80"/>
      <c r="I131" s="80"/>
    </row>
    <row r="132" spans="1:9" ht="18.75" customHeight="1" x14ac:dyDescent="0.15">
      <c r="A132" s="80"/>
      <c r="B132" s="80"/>
      <c r="C132" s="80"/>
      <c r="D132" s="80"/>
      <c r="E132" s="80"/>
      <c r="F132" s="80"/>
      <c r="G132" s="80"/>
      <c r="H132" s="80"/>
      <c r="I132" s="80"/>
    </row>
    <row r="133" spans="1:9" ht="14.25" x14ac:dyDescent="0.15">
      <c r="A133" s="80"/>
      <c r="B133" s="80"/>
      <c r="C133" s="80"/>
      <c r="D133" s="80"/>
      <c r="E133" s="80"/>
      <c r="F133" s="80"/>
      <c r="G133" s="80"/>
      <c r="H133" s="80"/>
      <c r="I133" s="80"/>
    </row>
    <row r="134" spans="1:9" ht="7.5" customHeight="1" x14ac:dyDescent="0.15">
      <c r="A134" s="85"/>
      <c r="B134" s="85"/>
      <c r="C134" s="85"/>
      <c r="D134" s="85"/>
      <c r="E134" s="85"/>
      <c r="F134" s="85"/>
      <c r="G134" s="85"/>
      <c r="H134" s="85"/>
      <c r="I134" s="85"/>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9312-6677-410D-AACC-6BAF515EFDC7}">
  <sheetPr>
    <pageSetUpPr fitToPage="1"/>
  </sheetPr>
  <dimension ref="A1:I30"/>
  <sheetViews>
    <sheetView showZeros="0" view="pageBreakPreview" topLeftCell="A16" zoomScaleNormal="100" zoomScaleSheetLayoutView="100" workbookViewId="0">
      <selection activeCell="E14" sqref="E14:I14"/>
    </sheetView>
  </sheetViews>
  <sheetFormatPr defaultColWidth="11.375" defaultRowHeight="22.5" customHeight="1" x14ac:dyDescent="0.15"/>
  <cols>
    <col min="1" max="3" width="2.875" style="40" customWidth="1"/>
    <col min="4" max="4" width="22.125" style="40" customWidth="1"/>
    <col min="5" max="5" width="30.875" style="40" customWidth="1"/>
    <col min="6" max="7" width="7.875" style="40" customWidth="1"/>
    <col min="8" max="9" width="30.875" style="40" customWidth="1"/>
    <col min="10" max="10" width="4.125" style="40" customWidth="1"/>
    <col min="11" max="16384" width="11.375" style="40"/>
  </cols>
  <sheetData>
    <row r="1" spans="1:9" ht="18.75" customHeight="1" x14ac:dyDescent="0.15">
      <c r="A1" s="40" t="s">
        <v>70</v>
      </c>
      <c r="I1" s="41" t="s">
        <v>104</v>
      </c>
    </row>
    <row r="2" spans="1:9" ht="18.75" customHeight="1" x14ac:dyDescent="0.15">
      <c r="H2" s="41" t="s">
        <v>108</v>
      </c>
      <c r="I2" s="43" t="str">
        <f>'[1]様式１　プログラムを構成する授業科目'!C2</f>
        <v>人間環境大学</v>
      </c>
    </row>
    <row r="3" spans="1:9" ht="18.75" customHeight="1" x14ac:dyDescent="0.15">
      <c r="A3" s="161" t="s">
        <v>27</v>
      </c>
      <c r="B3" s="161"/>
      <c r="C3" s="161"/>
      <c r="D3" s="161"/>
      <c r="E3" s="161"/>
      <c r="F3" s="161"/>
      <c r="G3" s="161"/>
      <c r="H3" s="161"/>
      <c r="I3" s="161"/>
    </row>
    <row r="4" spans="1:9" ht="18.75" customHeight="1" x14ac:dyDescent="0.15">
      <c r="A4" s="47"/>
      <c r="B4" s="47"/>
      <c r="C4" s="47"/>
      <c r="D4" s="47"/>
      <c r="E4" s="47"/>
      <c r="F4" s="47"/>
      <c r="G4" s="47"/>
      <c r="H4" s="47"/>
      <c r="I4" s="47"/>
    </row>
    <row r="5" spans="1:9" ht="18.75" customHeight="1" x14ac:dyDescent="0.15">
      <c r="A5" s="40" t="s">
        <v>0</v>
      </c>
      <c r="B5" s="50" t="s">
        <v>94</v>
      </c>
      <c r="C5" s="47"/>
      <c r="D5" s="47"/>
      <c r="E5" s="47"/>
      <c r="F5" s="47"/>
      <c r="G5" s="47"/>
      <c r="H5" s="47"/>
      <c r="I5" s="47"/>
    </row>
    <row r="6" spans="1:9" ht="26.25" customHeight="1" x14ac:dyDescent="0.15">
      <c r="A6" s="47"/>
      <c r="B6" s="269" t="s">
        <v>198</v>
      </c>
      <c r="C6" s="302"/>
      <c r="D6" s="302"/>
      <c r="E6" s="302"/>
      <c r="F6" s="302"/>
      <c r="G6" s="302"/>
      <c r="H6" s="303"/>
      <c r="I6" s="48"/>
    </row>
    <row r="7" spans="1:9" ht="9" customHeight="1" x14ac:dyDescent="0.15">
      <c r="A7" s="47"/>
      <c r="B7" s="50"/>
      <c r="C7" s="50"/>
      <c r="D7" s="50"/>
      <c r="E7" s="50"/>
      <c r="F7" s="50"/>
      <c r="G7" s="50"/>
      <c r="H7" s="50"/>
      <c r="I7" s="48"/>
    </row>
    <row r="8" spans="1:9" ht="18.75" customHeight="1" x14ac:dyDescent="0.15">
      <c r="A8" s="47"/>
      <c r="B8" s="48"/>
      <c r="C8" s="48"/>
      <c r="D8" s="41" t="s">
        <v>42</v>
      </c>
      <c r="E8" s="44" t="s">
        <v>199</v>
      </c>
      <c r="F8" s="48"/>
      <c r="G8" s="41" t="s">
        <v>10</v>
      </c>
      <c r="H8" s="44" t="s">
        <v>138</v>
      </c>
      <c r="I8" s="48"/>
    </row>
    <row r="9" spans="1:9" ht="7.5" customHeight="1" x14ac:dyDescent="0.15">
      <c r="A9" s="47"/>
      <c r="B9" s="47"/>
      <c r="C9" s="47"/>
      <c r="D9" s="47"/>
      <c r="E9" s="47"/>
      <c r="F9" s="47"/>
      <c r="G9" s="47"/>
      <c r="H9" s="47"/>
      <c r="I9" s="47"/>
    </row>
    <row r="10" spans="1:9" ht="18.75" customHeight="1" x14ac:dyDescent="0.15">
      <c r="A10" s="40" t="s">
        <v>3</v>
      </c>
      <c r="B10" s="40" t="s">
        <v>26</v>
      </c>
      <c r="C10" s="80"/>
      <c r="D10" s="80"/>
      <c r="E10" s="80"/>
      <c r="F10" s="80"/>
      <c r="G10" s="80"/>
      <c r="H10" s="80"/>
      <c r="I10" s="80"/>
    </row>
    <row r="11" spans="1:9" ht="18.75" customHeight="1" x14ac:dyDescent="0.15">
      <c r="B11" s="112" t="s">
        <v>23</v>
      </c>
      <c r="C11" s="113"/>
      <c r="D11" s="114"/>
      <c r="E11" s="113" t="s">
        <v>25</v>
      </c>
      <c r="F11" s="113"/>
      <c r="G11" s="113"/>
      <c r="H11" s="113"/>
      <c r="I11" s="114"/>
    </row>
    <row r="12" spans="1:9" ht="26.25" customHeight="1" x14ac:dyDescent="0.15">
      <c r="B12" s="86" t="s">
        <v>13</v>
      </c>
      <c r="C12" s="87"/>
      <c r="D12" s="88"/>
      <c r="E12" s="89"/>
      <c r="F12" s="89"/>
      <c r="G12" s="89"/>
      <c r="H12" s="89"/>
      <c r="I12" s="88"/>
    </row>
    <row r="13" spans="1:9" ht="210.75" customHeight="1" x14ac:dyDescent="0.15">
      <c r="B13" s="90"/>
      <c r="C13" s="304" t="s">
        <v>14</v>
      </c>
      <c r="D13" s="305"/>
      <c r="E13" s="193" t="s">
        <v>173</v>
      </c>
      <c r="F13" s="306"/>
      <c r="G13" s="306"/>
      <c r="H13" s="306"/>
      <c r="I13" s="307"/>
    </row>
    <row r="14" spans="1:9" ht="210.75" customHeight="1" x14ac:dyDescent="0.15">
      <c r="B14" s="90"/>
      <c r="C14" s="308" t="s">
        <v>15</v>
      </c>
      <c r="D14" s="309"/>
      <c r="E14" s="193" t="s">
        <v>174</v>
      </c>
      <c r="F14" s="306"/>
      <c r="G14" s="306"/>
      <c r="H14" s="306"/>
      <c r="I14" s="307"/>
    </row>
    <row r="15" spans="1:9" ht="210.75" customHeight="1" x14ac:dyDescent="0.15">
      <c r="B15" s="90"/>
      <c r="C15" s="304" t="s">
        <v>16</v>
      </c>
      <c r="D15" s="305"/>
      <c r="E15" s="193" t="s">
        <v>175</v>
      </c>
      <c r="F15" s="306"/>
      <c r="G15" s="306"/>
      <c r="H15" s="306"/>
      <c r="I15" s="307"/>
    </row>
    <row r="16" spans="1:9" ht="210.75" customHeight="1" x14ac:dyDescent="0.15">
      <c r="B16" s="90"/>
      <c r="C16" s="304" t="s">
        <v>17</v>
      </c>
      <c r="D16" s="305"/>
      <c r="E16" s="193" t="s">
        <v>176</v>
      </c>
      <c r="F16" s="306"/>
      <c r="G16" s="306"/>
      <c r="H16" s="306"/>
      <c r="I16" s="307"/>
    </row>
    <row r="17" spans="2:9" ht="210.75" customHeight="1" x14ac:dyDescent="0.15">
      <c r="B17" s="91"/>
      <c r="C17" s="321" t="s">
        <v>18</v>
      </c>
      <c r="D17" s="322"/>
      <c r="E17" s="318" t="s">
        <v>177</v>
      </c>
      <c r="F17" s="319"/>
      <c r="G17" s="319"/>
      <c r="H17" s="319"/>
      <c r="I17" s="320"/>
    </row>
    <row r="18" spans="2:9" ht="24" customHeight="1" x14ac:dyDescent="0.15">
      <c r="B18" s="86" t="s">
        <v>19</v>
      </c>
      <c r="C18" s="92"/>
      <c r="D18" s="93"/>
      <c r="E18" s="94"/>
      <c r="F18" s="94"/>
      <c r="G18" s="94"/>
      <c r="H18" s="94"/>
      <c r="I18" s="95"/>
    </row>
    <row r="19" spans="2:9" ht="218.25" customHeight="1" x14ac:dyDescent="0.15">
      <c r="B19" s="90"/>
      <c r="C19" s="304" t="s">
        <v>20</v>
      </c>
      <c r="D19" s="305"/>
      <c r="E19" s="193" t="s">
        <v>178</v>
      </c>
      <c r="F19" s="306"/>
      <c r="G19" s="306"/>
      <c r="H19" s="306"/>
      <c r="I19" s="307"/>
    </row>
    <row r="20" spans="2:9" ht="218.25" customHeight="1" x14ac:dyDescent="0.15">
      <c r="B20" s="91"/>
      <c r="C20" s="321" t="s">
        <v>21</v>
      </c>
      <c r="D20" s="322"/>
      <c r="E20" s="318" t="s">
        <v>179</v>
      </c>
      <c r="F20" s="319"/>
      <c r="G20" s="319"/>
      <c r="H20" s="319"/>
      <c r="I20" s="320"/>
    </row>
    <row r="21" spans="2:9" ht="218.25" customHeight="1" x14ac:dyDescent="0.15">
      <c r="B21" s="310" t="s">
        <v>22</v>
      </c>
      <c r="C21" s="311"/>
      <c r="D21" s="312"/>
      <c r="E21" s="313" t="s">
        <v>180</v>
      </c>
      <c r="F21" s="190"/>
      <c r="G21" s="190"/>
      <c r="H21" s="190"/>
      <c r="I21" s="314"/>
    </row>
    <row r="22" spans="2:9" ht="218.25" customHeight="1" x14ac:dyDescent="0.15">
      <c r="B22" s="315" t="s">
        <v>37</v>
      </c>
      <c r="C22" s="316"/>
      <c r="D22" s="317"/>
      <c r="E22" s="318" t="s">
        <v>181</v>
      </c>
      <c r="F22" s="319"/>
      <c r="G22" s="319"/>
      <c r="H22" s="319"/>
      <c r="I22" s="320"/>
    </row>
    <row r="23" spans="2:9" ht="22.5" customHeight="1" x14ac:dyDescent="0.15">
      <c r="B23" s="80"/>
      <c r="C23" s="80"/>
      <c r="D23" s="80"/>
      <c r="E23" s="80"/>
      <c r="F23" s="80"/>
      <c r="G23" s="80"/>
      <c r="H23" s="80"/>
      <c r="I23" s="80"/>
    </row>
    <row r="24" spans="2:9" ht="22.5" customHeight="1" x14ac:dyDescent="0.15">
      <c r="B24" s="80"/>
      <c r="C24" s="80"/>
      <c r="D24" s="80"/>
      <c r="E24" s="80"/>
      <c r="F24" s="80"/>
      <c r="G24" s="80"/>
      <c r="H24" s="80"/>
      <c r="I24" s="80"/>
    </row>
    <row r="25" spans="2:9" ht="22.5" customHeight="1" x14ac:dyDescent="0.15">
      <c r="B25" s="80"/>
      <c r="C25" s="80"/>
      <c r="D25" s="80"/>
      <c r="E25" s="80"/>
      <c r="F25" s="80"/>
      <c r="G25" s="80"/>
      <c r="H25" s="80"/>
      <c r="I25" s="80"/>
    </row>
    <row r="26" spans="2:9" ht="22.5" customHeight="1" x14ac:dyDescent="0.15">
      <c r="B26" s="80"/>
      <c r="C26" s="80"/>
      <c r="D26" s="80"/>
      <c r="E26" s="80"/>
      <c r="F26" s="80"/>
      <c r="G26" s="80"/>
      <c r="H26" s="80"/>
      <c r="I26" s="80"/>
    </row>
    <row r="27" spans="2:9" ht="22.5" customHeight="1" x14ac:dyDescent="0.15">
      <c r="B27" s="80"/>
      <c r="C27" s="80"/>
      <c r="D27" s="80"/>
      <c r="E27" s="80"/>
      <c r="F27" s="80"/>
      <c r="G27" s="80"/>
      <c r="H27" s="80"/>
      <c r="I27" s="80"/>
    </row>
    <row r="28" spans="2:9" ht="22.5" customHeight="1" x14ac:dyDescent="0.15">
      <c r="B28" s="61"/>
      <c r="C28" s="61"/>
      <c r="D28" s="61"/>
      <c r="E28" s="61"/>
      <c r="F28" s="61"/>
      <c r="G28" s="61"/>
      <c r="H28" s="61"/>
      <c r="I28" s="61"/>
    </row>
    <row r="29" spans="2:9" ht="22.5" customHeight="1" x14ac:dyDescent="0.15">
      <c r="B29" s="61"/>
      <c r="C29" s="61"/>
      <c r="D29" s="61"/>
      <c r="E29" s="61"/>
      <c r="F29" s="61"/>
      <c r="G29" s="61"/>
      <c r="H29" s="61"/>
      <c r="I29" s="61"/>
    </row>
    <row r="30" spans="2:9" ht="22.5" customHeight="1" x14ac:dyDescent="0.15">
      <c r="B30" s="61"/>
      <c r="C30" s="61"/>
      <c r="D30" s="61"/>
      <c r="E30" s="61"/>
      <c r="F30" s="61"/>
      <c r="G30" s="61"/>
      <c r="H30" s="61"/>
      <c r="I30" s="61"/>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様式１ー１　プログラムを構成する授業科目（心理・環境科学部）</vt:lpstr>
      <vt:lpstr>様式１ー２　プログラムを構成する授業科目（看護学部）</vt:lpstr>
      <vt:lpstr>様式１ー３　プログラムを構成する授業科目（松山看護学部）</vt:lpstr>
      <vt:lpstr>様式１ー４　プログラムを構成する授業科目（総合心理学部</vt:lpstr>
      <vt:lpstr>様式２ 履修者等数の実績</vt:lpstr>
      <vt:lpstr>様式３ 教育の質・履修者数を向上させるための体制・計画</vt:lpstr>
      <vt:lpstr>様式４　自己点検・評価</vt:lpstr>
      <vt:lpstr>'様式１ー１　プログラムを構成する授業科目（心理・環境科学部）'!Print_Area</vt:lpstr>
      <vt:lpstr>'様式１ー２　プログラムを構成する授業科目（看護学部）'!Print_Area</vt:lpstr>
      <vt:lpstr>'様式１ー３　プログラムを構成する授業科目（松山看護学部）'!Print_Area</vt:lpstr>
      <vt:lpstr>'様式１ー４　プログラムを構成する授業科目（総合心理学部'!Print_Area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横田 典昭</cp:lastModifiedBy>
  <cp:lastPrinted>2023-08-07T23:50:59Z</cp:lastPrinted>
  <dcterms:created xsi:type="dcterms:W3CDTF">2011-06-14T05:32:50Z</dcterms:created>
  <dcterms:modified xsi:type="dcterms:W3CDTF">2023-08-07T23:51:27Z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