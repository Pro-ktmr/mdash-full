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Z:\大学\学生サービス部\教務関係\数理データサイエンスAI教育プログラム\2023年度申請書類\提出データ\修正再提出　山梨英和大学　6.27\"/>
    </mc:Choice>
  </mc:AlternateContent>
  <xr:revisionPtr revIDLastSave="0" documentId="13_ncr:1_{63F1E06A-1726-46E6-8FA9-46C552DE98F5}" xr6:coauthVersionLast="36" xr6:coauthVersionMax="36" xr10:uidLastSave="{00000000-0000-0000-0000-000000000000}"/>
  <bookViews>
    <workbookView xWindow="0" yWindow="0" windowWidth="16635" windowHeight="1039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<sst xmlns="http://schemas.openxmlformats.org/spreadsheetml/2006/main" count="329" uniqueCount="187">
  <si>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</si>
  <si>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</si>
  <si>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</si>
  <si>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</si>
  <si>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</si>
  <si>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</si>
  <si>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</si>
  <si>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</si>
  <si>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</si>
  <si>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</si>
  <si>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</si>
  <si>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</si>
  <si>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</si>
  <si>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</si>
  <si>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</si>
  <si>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</si>
  <si>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</si>
  <si>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</si>
  <si>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</si>
  <si>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</si>
  <si>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</si>
  <si>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</si>
  <si>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</si>
  <si>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</si>
  <si>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</si>
  <si>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</si>
  <si>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</si>
  <si>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</si>
  <si>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</si>
  <si>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</si>
  <si>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</si>
  <si>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</si>
  <si>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</si>
  <si>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</si>
  <si>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</si>
  <si>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</si>
  <si>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</si>
  <si>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</si>
  <si>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</si>
  <si>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</si>
  <si>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</si>
  <si>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</si>
  <si>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</si>
  <si>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</si>
  <si>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</si>
  <si>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</si>
  <si>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</si>
  <si>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</si>
  <si>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</si>
  <si>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</si>
  <si>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</si>
  <si>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</si>
  <si>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</si>
  <si>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</si>
  <si>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</si>
  <si>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</si>
  <si>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</si>
  <si>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</si>
  <si>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</si>
  <si>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</si>
  <si>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</si>
  <si>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</si>
  <si>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</si>
  <si>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</si>
  <si>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</si>
  <si>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</si>
  <si>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</si>
  <si>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</si>
  <si>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</si>
  <si>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</si>
  <si>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</si>
  <si>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</si>
  <si>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</si>
  <si>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</si>
  <si>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</si>
  <si>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</si>
  <si>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</si>
  <si>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</si>
  <si>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</si>
  <si>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</si>
  <si>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</si>
  <si>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</si>
  <si>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</si>
  <si>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</si>
  <si>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</si>
  <si>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</si>
  <si>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</si>
  <si>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</si>
  <si>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</si>
  <si>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</si>
  <si>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</si>
  <si>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</si>
  <si>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</si>
  <si>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</si>
  <si>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</si>
  <si>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</si>
  <si>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</si>
  <si>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</si>
  <si>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</si>
  <si>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</si>
  <si>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</si>
  <si>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</si>
  <si>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</si>
  <si>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</si>
  <si>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</si>
  <si>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</si>
  <si>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</si>
  <si>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</si>
  <si>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</si>
  <si>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</si>
  <si>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</si>
  <si>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</si>
  <si>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</si>
  <si>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</si>
  <si>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</si>
  <si>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</si>
  <si>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</si>
  <si>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</si>
  <si>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</si>
  <si>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</si>
  <si>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</si>
  <si>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</si>
  <si>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</si>
  <si>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</si>
  <si>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</si>
  <si>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</si>
  <si>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</si>
  <si>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山梨英和大学</t>
    <rPh sb="0" eb="6">
      <t>ヤマナシエイワダイガク</t>
    </rPh>
    <phoneticPr fontId="1"/>
  </si>
  <si>
    <t>データサイエンスプログラム</t>
    <phoneticPr fontId="1"/>
  </si>
  <si>
    <t>学部・学科によって、修了要件は相違しない</t>
  </si>
  <si>
    <t>令和４</t>
    <rPh sb="0" eb="2">
      <t>レイワ</t>
    </rPh>
    <phoneticPr fontId="1"/>
  </si>
  <si>
    <t>人間文化学部</t>
    <rPh sb="0" eb="4">
      <t>ニンゲンブンカ</t>
    </rPh>
    <rPh sb="4" eb="6">
      <t>ガクブ</t>
    </rPh>
    <phoneticPr fontId="1"/>
  </si>
  <si>
    <t>山梨英和大学カリキュラム委員会規程</t>
    <rPh sb="0" eb="6">
      <t>ヤマナシエイワダイガク</t>
    </rPh>
    <rPh sb="15" eb="17">
      <t>キテイ</t>
    </rPh>
    <phoneticPr fontId="1"/>
  </si>
  <si>
    <t>ICTスキル1</t>
  </si>
  <si>
    <t>ICTスキル2</t>
  </si>
  <si>
    <t>○</t>
  </si>
  <si>
    <t>ICTスキル2</t>
    <phoneticPr fontId="1"/>
  </si>
  <si>
    <t>メディアサイエンス概論</t>
    <phoneticPr fontId="1"/>
  </si>
  <si>
    <t>データサイエンス1</t>
  </si>
  <si>
    <t>データサイエンス2</t>
  </si>
  <si>
    <t>心理学統計法</t>
  </si>
  <si>
    <t>プログラミングl</t>
  </si>
  <si>
    <t>プログラミングII</t>
  </si>
  <si>
    <t>データアナリティクスI</t>
  </si>
  <si>
    <t>データアナリティクスII</t>
  </si>
  <si>
    <t>情報数理I</t>
  </si>
  <si>
    <t>情報数理II</t>
  </si>
  <si>
    <t>4-1統計および数理基礎</t>
  </si>
  <si>
    <t>4‐3データ構造とプログラミング基礎</t>
  </si>
  <si>
    <t>4‐2アルゴリズム基礎</t>
  </si>
  <si>
    <t>4‐7データハンドリング</t>
  </si>
  <si>
    <t>アルゴリズムとデータ構造I</t>
  </si>
  <si>
    <t>アルゴリズムとデータ構造II</t>
  </si>
  <si>
    <t>心理学データ分析演習I</t>
  </si>
  <si>
    <t>心理学データ分析演習II</t>
  </si>
  <si>
    <r>
      <t>・ビッグデータ、IoT 、 AI 、 ロボット「ICTスキル1」(3回目)
・データ量の増加、計算機の処理性能の向上、AI の</t>
    </r>
    <r>
      <rPr>
        <sz val="12"/>
        <color theme="1"/>
        <rFont val="Microsoft YaHei UI"/>
        <family val="3"/>
        <charset val="134"/>
      </rPr>
      <t>⾮</t>
    </r>
    <r>
      <rPr>
        <sz val="12"/>
        <color theme="1"/>
        <rFont val="ＭＳ Ｐゴシック"/>
        <family val="3"/>
        <charset val="128"/>
        <scheme val="minor"/>
      </rPr>
      <t>連続的進化「ICTスキル1」(1回目)
・第4次産業革命、 Society 5.0 、 データ駆動型社会「ICTスキル1」(3回目)</t>
    </r>
    <phoneticPr fontId="1"/>
  </si>
  <si>
    <t>現代社会においてデータやAIが果たす役割について理解し、その重要性について論じる能力を身につける。データの取り扱いについて基礎的な手法を習得し、統計学的手法を用いて適切に解析を行うことができるようになる。AIの基本的な動作原理について理解をし、実際にどのように活用されているかを学んだ上で、今後どのような利用が可能であるか論じる力を身につける。</t>
    <phoneticPr fontId="1"/>
  </si>
  <si>
    <t>難波　道弘</t>
    <phoneticPr fontId="1"/>
  </si>
  <si>
    <t>副学長</t>
    <rPh sb="0" eb="3">
      <t>フクガクチョウ</t>
    </rPh>
    <phoneticPr fontId="1"/>
  </si>
  <si>
    <t>山梨英和大学カリキュラム委員会（データサイエンスプログラム部会）</t>
    <rPh sb="0" eb="2">
      <t>ヤマナシ</t>
    </rPh>
    <rPh sb="2" eb="4">
      <t>エイワ</t>
    </rPh>
    <rPh sb="4" eb="6">
      <t>ダイガク</t>
    </rPh>
    <rPh sb="12" eb="15">
      <t>イインカイ</t>
    </rPh>
    <rPh sb="29" eb="31">
      <t>ブカイ</t>
    </rPh>
    <phoneticPr fontId="1"/>
  </si>
  <si>
    <t>本学カリキュラム委員会は、教育理念の実現のために大学全体のカリキュラム全体について運営・改善を行うための組織である。専門的事項であるデータサイエンスプログラムに関する運営・改善はカリキュラム委員会のもとに置いているデータサイエンス部会が担っている。構成員は同プログラムを構成する科目を担当している専任教員で構成している。</t>
    <phoneticPr fontId="1"/>
  </si>
  <si>
    <t>副学長・教授：難波　道弘
准教授：稲積　泰宏
准教授：長谷川　成明
准教授：槻舘　尚武
助教：河本　毬馨</t>
    <rPh sb="0" eb="1">
      <t>フク</t>
    </rPh>
    <rPh sb="1" eb="3">
      <t>ガクチョウ</t>
    </rPh>
    <rPh sb="4" eb="6">
      <t>キョウジュ</t>
    </rPh>
    <rPh sb="7" eb="9">
      <t>ナンバ</t>
    </rPh>
    <rPh sb="10" eb="12">
      <t>ミチヒロ</t>
    </rPh>
    <rPh sb="13" eb="16">
      <t>ジュンキョウジュ</t>
    </rPh>
    <rPh sb="17" eb="19">
      <t>イネツミ</t>
    </rPh>
    <rPh sb="20" eb="21">
      <t>ヤスシ</t>
    </rPh>
    <rPh sb="21" eb="22">
      <t>ヒロ</t>
    </rPh>
    <rPh sb="23" eb="26">
      <t>ジュンキョウジュ</t>
    </rPh>
    <rPh sb="27" eb="30">
      <t>ハセガワ</t>
    </rPh>
    <rPh sb="31" eb="33">
      <t>シゲアキ</t>
    </rPh>
    <rPh sb="34" eb="37">
      <t>ジュンキョウジュ</t>
    </rPh>
    <rPh sb="38" eb="39">
      <t>ツキ</t>
    </rPh>
    <rPh sb="39" eb="40">
      <t>タチ</t>
    </rPh>
    <rPh sb="41" eb="43">
      <t>ナオタケ</t>
    </rPh>
    <rPh sb="44" eb="46">
      <t>ジョキョウ</t>
    </rPh>
    <rPh sb="47" eb="49">
      <t>カワモト</t>
    </rPh>
    <rPh sb="50" eb="51">
      <t>マリ</t>
    </rPh>
    <rPh sb="51" eb="52">
      <t>カオル</t>
    </rPh>
    <phoneticPr fontId="1"/>
  </si>
  <si>
    <t>本学は1学部1学科であり、プログラムで指定されている科目は専門分野に関係なく全学生受講可能とするしくみを整えている。</t>
    <phoneticPr fontId="1"/>
  </si>
  <si>
    <t>入学後の新入生オリエンテーション、2年次4月オリエンテーションにおいてプログラムの説明を行っているほか、履修マニュアルへの記載やポータルシステムによるメッセージ配信も行っている。このほか、1年次必修科目であるICTスキルの授業の中でさらに説明と周知を行うようにしている。</t>
    <phoneticPr fontId="1"/>
  </si>
  <si>
    <t>本教育プログラムの必修科目である「ICTスキル1・2」、「データサイエンス１・２」においてはSAを導入し、教員とSAによるサポートを行っている。これに加えてICTスキルは複数クラスによる少人数教育の体制を敷いており、多くの学生が知識を修得できるようにしている。</t>
    <phoneticPr fontId="1"/>
  </si>
  <si>
    <t>本教育プログラムの必修科目である「ICTスキル1・2」、「データサイエンス1・2」を含む一部の科目でSAを導入し、教員とSAによるサポートを行っている。また全ての授業でGoogle Classroom(LMS)を導入し、教材配信、理解度確認、課題提出およびフィードバック、学生からの質問や学習指導等に活用している。</t>
    <phoneticPr fontId="1"/>
  </si>
  <si>
    <t>本プログラムは令和４年度入学生から開始したものであり、現時点で10名の学生が登録している。また、本プログラムの大半は卒業要件上の必修科目で構成されているため、修了のためのハードルはそれほど高くないと考えている。今後制度の周知により履修率の増加を目指す。
本プログラムへの登録は1年次後期以降セメスターごとに可能であるため、2年次以降に追加で登録する学生もいることが予想される。個々の学生の履修・修得状況はポータルシステムにより確認できるようになっており、必要に応じて学生に指導ができるしくみを整えている。</t>
    <phoneticPr fontId="1"/>
  </si>
  <si>
    <t>全学において実施している授業についての学生評価アンケートに含まれる「Q15. この授業では、新しい発見や学びがあった」の項目を分析することによって、授業内容から学生が新たな知識を身に着けることができたかを把握することができ、その結果を本プログラムの評価・改善に活用している。このアンケート項目について「強くそう思う」、「そう思う」との回答が本教育プログラムの授業ではおおむね6割を超えていた。
この結果から本プログラムの授業が多くの学生にとって数理・データサイエンス・AIについての新たな学びを得る機会として機能していることが伺えた。</t>
    <phoneticPr fontId="1"/>
  </si>
  <si>
    <t>全学において実施している授業についての学生アンケートのうち「Q12. この授業では、様々な知識や能力が身についたという実感がある。」の項目を分析することによって、授業内容の学生の理解度を把握することができる。本プログラムに含まれる授業ではこの設問について「強くそう思う」、「そう思う」との回答の合計が8割程度に達していた。
この結果から本プログラムを構成する授業において、大多数の学生が授業内容を理解してデータの基礎的な取り扱い方法や解析能力、統計学的な手法の習得につなげていたことが伺えた。</t>
    <phoneticPr fontId="1"/>
  </si>
  <si>
    <t>全学において実施している授業についての学生アンケートには、直接的に後輩等他の学生への推奨度を尋ねる設問は設定されていない。しかしながら「Q23. この授業で学んだ内容は、知っておくことが大切だと考えた。」の設問において授業内容の重要性を尋ねており、推奨度に代替できると考えられる。
本プログラムを構成する授業では、この設問に対して「強くそう思う」、「そう思う」と答えた回答を合計すると7割程度に達していた。また自由記述欄において「今後の学生生活に役立つと感じた」などの回答を多数得ており、多くの学生が授業内容の重要性を感じていることが伺えた。</t>
    <phoneticPr fontId="1"/>
  </si>
  <si>
    <t>現行プログラムの履修率を増やすために、オリエンテーションや基礎ゼミナール（初年次ゼミ）などの機会に制度の周知を行っている。
近年の情報化社会の進展に鑑みれば、数理・データサイエンス・AIに関する知見を身に着けることが全ての学生に望まれるため、カリキュラム委員会データサイエンスプログラム部会において、履修者数増加のための試みとして、授業内容等の再編による本プログラムの全学生必修化について検討を行っている。</t>
    <phoneticPr fontId="1"/>
  </si>
  <si>
    <t>令和４年度以降の入学生を対象としているため、現時点で修了者はいない。
本学は人間文化学部という一学部であるが、本プログラムとの関連性が深いと考えられる情報通信業等へ就職した学生も毎年いる。今後、卒業生に対するアンケート調査を実施し、本教育プログラムを修了した卒業生の進路先及び活躍状況の把握を行う計画である。</t>
    <phoneticPr fontId="1"/>
  </si>
  <si>
    <t>本学で毎年開催している学内合同業界研究フェアに参加している企業担当者に、求める学生像等を聞く機会を設けている。
また山梨県内にある大学のデータサイエンス教育担当者で構成される授業設計研究会を年に数回開催しており、各大学の関連する取り組みに対する意見交換や教材の共有などを行っている。
本学のインターンシップ受け入れ先の企業等に対して教育プログラムに関するプレゼンテーションや実データを活用した演習などについてアドバイスをもらい、本教育プログラムの改善に活用する予定である。</t>
    <phoneticPr fontId="1"/>
  </si>
  <si>
    <t>データサイエンスに関しては、データを扱うための基礎的な統計量の計算方法を学び、政府統計e-Statのデータを用いた解析を通してデータサイエンスが社会において果たす役割を理解する内容を展開している。
AIに関しては、単なる知識の伝達にとどめず、授業内で学生が実施するプレゼンテーションのテーマとして「近年の社会におけるAIの活用事例」を扱うことにより、近年のAIの発展に興味・関心をもつよう導く授業内容を設計している。</t>
    <phoneticPr fontId="1"/>
  </si>
  <si>
    <t>全学において授業についての学生アンケートを実施し、学生からのフィードバックを参考にしながら授業をより分かりやすく、かつ数理・データサイエンス・AIなどの発展を踏まえた内容になるよう授業内容や実施方法の見直しに取り組んでいる。
現時点でもScratchによるプログラミング体験やAIの活用事例に関する調査学習とプレゼンといった内容を取り入れ、学生に必要かつ身近なものとして受け止めてもらえる工夫を行っている。今後も学生アンケートなどの結果を踏まえ、質の高い授業を展開していきたいと考えている。</t>
    <phoneticPr fontId="1"/>
  </si>
  <si>
    <t>プログラムを構成する16科目30単位から、必修科目を5科目10単位、選択科目を4単位以上、合計14単位以上を取得すること。
必修科目：1．ICTスキル1、2．ICTスキル2、3．データサイエンス1、4．データサイエンス2、5．メディアサイエンス概論
選択科目：6．プログラミングⅠ、7．プログラミングⅡ、8．データアナリティクスⅠ、9．データアナリティクスⅡ、10．情報数理Ⅰ、11．情報数理Ⅱ、12．アルゴリズムとデータ構造Ⅰ、13．アルゴリズムとデータ構造Ⅱ、14．心理学統計法、15．心理学データ分析演習Ⅰ、16．心理学データ分析演習Ⅱ</t>
    <phoneticPr fontId="1"/>
  </si>
  <si>
    <t>データサイエンスプログラムの科目構成を見直し、モデルカリキュラムの導入、基礎、心得に含まれる内容を卒業要件上の必修科目である「ICTスキル1・2」および「データサイエンス1」でカバーできるよう授業内容を改訂する計画である。これにより学生は卒業と同時にデータサイエンスプログラムを修了することとなる。令和6年度から適用すると履修率は段階的に向上し、令和9年度には95%を超える見込みである。</t>
    <rPh sb="184" eb="185">
      <t>コ</t>
    </rPh>
    <phoneticPr fontId="1"/>
  </si>
  <si>
    <t>・AI等を活用した新しいビジネスモデル（シェアリングエコノミー、商品のレコメンデーションなど）「ICTスキル1」（3回目）
・AI最新技術の活用例（深層生成モデル、敵対的生成ネットワーク、強化学習、転移学習など）「ICTスキル1」（11回目）</t>
    <phoneticPr fontId="1"/>
  </si>
  <si>
    <t>・調査データ、実験データ、人の行動ログデータ、機械の稼働ログデータなど 「ICTスキル1」（7回目）
・データ作成 「ICTスキル1」（8回目）
・データのオープン化（オープンデータ）「ICTスキル1」（10回目）</t>
    <phoneticPr fontId="1"/>
  </si>
  <si>
    <t>・データ・AI活用領域の広がり 「ICTスキル1」（9回目）
・仮説検証、知識発見、原因究明、計画策定、判断支援、活動代替、新規生成など「データサイエンス2」（11回目）</t>
    <phoneticPr fontId="1"/>
  </si>
  <si>
    <t>・データ解析：予測、グルーピング、パターン発見、最適化、シミュレーション・データ同化など「データサイエンス2」（9回目）
・データ可視化：複合グラフ、2軸グラフ、多次元の可視化、関係性の可視化、地図上の可視化、挙動・軌跡の可視化、リアルタイム可視化など「ICTスキル2」（9回目）</t>
    <phoneticPr fontId="1"/>
  </si>
  <si>
    <t>・データサイエンスのサイクル（課題抽出と定式化、データの取得・管理・加工、探索的データ解析、データ解析と推論、結果の共有・伝達、課題解決に向けた提案）「データサイエンス2」（12回目）
・流通、製造、金融、サービス、インフラ、公共、ヘルスケア等におけるデータ・AI利活用事例紹介「ICTスキル2」（8～11回目）</t>
    <phoneticPr fontId="1"/>
  </si>
  <si>
    <t>・ELSI、個人情報保護、オプトアウト、データ倫理、AI社会原則、データ・AI活用における負の事例紹介「メディアサイエンス概論」（9回目）
・データ倫理：データのねつ造、改ざん、盗用、プライバシー保護「ICTスキル2」（7回目）
・データバイアス、アルゴリズムバイアス「データサイエンス2」（8回目）</t>
    <phoneticPr fontId="1"/>
  </si>
  <si>
    <t>・情報セキュリティ：機密性、完全性、可用性、暗号化、パスワード、悪意ある情報搾取、情報漏洩等によるセキュリティ事故の事例紹介「メディアサイエンス概論」（10回目）
・匿名加工情報、暗号化、パスワード、悪意ある情報搾取「ICTスキル2」（7回目）</t>
    <phoneticPr fontId="1"/>
  </si>
  <si>
    <t>・代表値の性質の違い「データサイエンス1」（13回目）
・データのばらつき「データサイエンス1」（7〜13回目）
・相関と因果「データサイエンス1」（13回目）
・データの分布（ヒストグラム）と代表値「データサイエンス1」（7〜13回目）
・データの種類（量的変数、質的変数）「心理学統計法」（8回目）
・データのばらつき「心理学統計法」「心理学統計法」（1回目）
・相関と因果（相関係数、疑似相関）「心理学統計法」（13回目）
・母集団と標本抽出「心理学統計法」「心理学統計法」（4回目）</t>
    <phoneticPr fontId="1"/>
  </si>
  <si>
    <t>・データ表現（棒グラフ、折線グラフ、散布図、ヒートマップ）「データサイエンス2」（4回目）、「心理学統計法」（８回目、13回目）
・データの図表表現（チャート化）「データサイエンス1」（12回目）</t>
    <phoneticPr fontId="1"/>
  </si>
  <si>
    <t>・データの集計（和、平均）「データサイエンス1」（12回目、13回目）
・データ解析ツール「データサイエンス2」（2回目）
・表形式のデータ（csv）「データサイエンス2」（2回目）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</si>
</sst>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icrosoft YaHei UI"/>
      <family val="3"/>
      <charset val="134"/>
    </font>
    <font>
      <sz val="12"/>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2" fillId="0" borderId="1"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2" fillId="0" borderId="34" xfId="0" applyFont="1" applyBorder="1" applyAlignment="1">
      <alignment horizontal="left" vertical="center"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7"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2" fillId="0" borderId="2" xfId="0" applyFont="1" applyBorder="1" applyAlignment="1">
      <alignment horizontal="left" vertical="center"/>
    </xf>
    <xf numFmtId="0" fontId="13" fillId="0" borderId="3" xfId="0" applyFont="1" applyBorder="1">
      <alignment vertical="center"/>
    </xf>
    <xf numFmtId="0" fontId="13"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6" xfId="0" applyFont="1" applyBorder="1" applyAlignment="1">
      <alignment horizontal="lef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D99" sqref="D9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2" t="s">
        <v>12</v>
      </c>
      <c r="S1" s="102"/>
      <c r="T1" s="2" t="s">
        <v>110</v>
      </c>
    </row>
    <row r="2" spans="1:22" ht="18.75" customHeight="1" x14ac:dyDescent="0.15">
      <c r="B2" s="34" t="s">
        <v>109</v>
      </c>
      <c r="C2" s="95" t="s">
        <v>127</v>
      </c>
      <c r="D2" s="96"/>
      <c r="E2" s="96"/>
      <c r="F2" s="96"/>
      <c r="G2" s="96"/>
      <c r="H2" s="96"/>
      <c r="I2" s="97"/>
      <c r="J2" s="35"/>
      <c r="K2" s="6"/>
      <c r="L2" s="6"/>
      <c r="M2" s="6"/>
      <c r="N2" s="6"/>
      <c r="O2" s="6"/>
      <c r="P2" s="6"/>
      <c r="Q2" s="6"/>
      <c r="R2" s="6"/>
      <c r="S2" s="6"/>
    </row>
    <row r="3" spans="1:22" ht="18.75" customHeight="1" x14ac:dyDescent="0.15">
      <c r="B3" s="34" t="s">
        <v>103</v>
      </c>
      <c r="C3" s="95" t="s">
        <v>128</v>
      </c>
      <c r="D3" s="96"/>
      <c r="E3" s="96"/>
      <c r="F3" s="96"/>
      <c r="G3" s="96"/>
      <c r="H3" s="96"/>
      <c r="I3" s="97"/>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2" t="s">
        <v>39</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22" t="s">
        <v>129</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3"/>
      <c r="C9" s="84"/>
      <c r="D9" s="84"/>
      <c r="E9" s="84"/>
      <c r="F9" s="84"/>
      <c r="G9" s="84"/>
      <c r="H9" s="84"/>
      <c r="I9" s="84"/>
      <c r="J9" s="84"/>
      <c r="K9" s="84"/>
      <c r="L9" s="84"/>
      <c r="M9" s="84"/>
      <c r="N9" s="84"/>
      <c r="O9" s="84"/>
      <c r="P9" s="84"/>
      <c r="Q9" s="84"/>
      <c r="R9" s="84"/>
      <c r="S9" s="85"/>
    </row>
    <row r="10" spans="1:22" ht="18" customHeight="1" x14ac:dyDescent="0.15">
      <c r="B10" s="86"/>
      <c r="C10" s="87"/>
      <c r="D10" s="87"/>
      <c r="E10" s="87"/>
      <c r="F10" s="87"/>
      <c r="G10" s="87"/>
      <c r="H10" s="87"/>
      <c r="I10" s="87"/>
      <c r="J10" s="87"/>
      <c r="K10" s="87"/>
      <c r="L10" s="87"/>
      <c r="M10" s="87"/>
      <c r="N10" s="87"/>
      <c r="O10" s="87"/>
      <c r="P10" s="87"/>
      <c r="Q10" s="87"/>
      <c r="R10" s="87"/>
      <c r="S10" s="8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13" t="s">
        <v>175</v>
      </c>
      <c r="C13" s="114"/>
      <c r="D13" s="114"/>
      <c r="E13" s="114"/>
      <c r="F13" s="114"/>
      <c r="G13" s="114"/>
      <c r="H13" s="114"/>
      <c r="I13" s="114"/>
      <c r="J13" s="114"/>
      <c r="K13" s="114"/>
      <c r="L13" s="114"/>
      <c r="M13" s="114"/>
      <c r="N13" s="114"/>
      <c r="O13" s="114"/>
      <c r="P13" s="114"/>
      <c r="Q13" s="114"/>
      <c r="R13" s="114"/>
      <c r="S13" s="115"/>
      <c r="V13" s="1" t="s">
        <v>104</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124</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126</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5">
        <v>14</v>
      </c>
      <c r="D20" s="97"/>
      <c r="E20" s="40" t="s">
        <v>96</v>
      </c>
      <c r="G20" s="10"/>
      <c r="H20" s="3"/>
      <c r="I20" s="3"/>
      <c r="J20" s="35" t="s">
        <v>122</v>
      </c>
      <c r="K20" s="109" t="s">
        <v>124</v>
      </c>
      <c r="L20" s="110"/>
      <c r="M20" s="110"/>
      <c r="N20" s="110"/>
      <c r="O20" s="110"/>
      <c r="P20" s="110"/>
      <c r="Q20" s="110"/>
      <c r="R20" s="110"/>
      <c r="S20" s="11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8" t="s">
        <v>114</v>
      </c>
      <c r="B22" s="98"/>
      <c r="C22" s="98"/>
      <c r="D22" s="98"/>
      <c r="E22" s="98"/>
      <c r="F22" s="98"/>
      <c r="G22" s="98"/>
      <c r="H22" s="98"/>
      <c r="I22" s="98"/>
      <c r="J22" s="98"/>
      <c r="K22" s="98"/>
      <c r="L22" s="98"/>
      <c r="M22" s="98"/>
      <c r="N22" s="98"/>
      <c r="O22" s="98"/>
      <c r="P22" s="98"/>
      <c r="Q22" s="98"/>
      <c r="R22" s="98"/>
      <c r="S22" s="98"/>
    </row>
    <row r="23" spans="1:19" ht="18" customHeight="1" x14ac:dyDescent="0.15">
      <c r="A23" s="98"/>
      <c r="B23" s="98"/>
      <c r="C23" s="98"/>
      <c r="D23" s="98"/>
      <c r="E23" s="98"/>
      <c r="F23" s="98"/>
      <c r="G23" s="98"/>
      <c r="H23" s="98"/>
      <c r="I23" s="98"/>
      <c r="J23" s="98"/>
      <c r="K23" s="98"/>
      <c r="L23" s="98"/>
      <c r="M23" s="98"/>
      <c r="N23" s="98"/>
      <c r="O23" s="98"/>
      <c r="P23" s="98"/>
      <c r="Q23" s="98"/>
      <c r="R23" s="98"/>
      <c r="S23" s="98"/>
    </row>
    <row r="24" spans="1:19" ht="18" customHeight="1" x14ac:dyDescent="0.15">
      <c r="B24" s="95" t="s">
        <v>54</v>
      </c>
      <c r="C24" s="96"/>
      <c r="D24" s="96"/>
      <c r="E24" s="97"/>
      <c r="F24" s="61" t="s">
        <v>81</v>
      </c>
      <c r="G24" s="60" t="s">
        <v>85</v>
      </c>
      <c r="H24" s="22" t="s">
        <v>57</v>
      </c>
      <c r="I24" s="22" t="s">
        <v>60</v>
      </c>
      <c r="J24" s="95" t="s">
        <v>54</v>
      </c>
      <c r="K24" s="96"/>
      <c r="L24" s="96"/>
      <c r="M24" s="96"/>
      <c r="N24" s="96"/>
      <c r="O24" s="97"/>
      <c r="P24" s="61" t="s">
        <v>81</v>
      </c>
      <c r="Q24" s="60" t="s">
        <v>85</v>
      </c>
      <c r="R24" s="22" t="s">
        <v>57</v>
      </c>
      <c r="S24" s="22" t="s">
        <v>60</v>
      </c>
    </row>
    <row r="25" spans="1:19" ht="18" customHeight="1" x14ac:dyDescent="0.15">
      <c r="B25" s="103" t="s">
        <v>133</v>
      </c>
      <c r="C25" s="104"/>
      <c r="D25" s="104"/>
      <c r="E25" s="105"/>
      <c r="F25" s="23">
        <v>2</v>
      </c>
      <c r="G25" s="23" t="s">
        <v>135</v>
      </c>
      <c r="H25" s="23" t="s">
        <v>135</v>
      </c>
      <c r="I25" s="23"/>
      <c r="J25" s="99"/>
      <c r="K25" s="100"/>
      <c r="L25" s="100"/>
      <c r="M25" s="100"/>
      <c r="N25" s="100"/>
      <c r="O25" s="101"/>
      <c r="P25" s="23"/>
      <c r="Q25" s="23"/>
      <c r="R25" s="23"/>
      <c r="S25" s="23"/>
    </row>
    <row r="26" spans="1:19" ht="18" customHeight="1" x14ac:dyDescent="0.15">
      <c r="B26" s="106" t="s">
        <v>134</v>
      </c>
      <c r="C26" s="107"/>
      <c r="D26" s="107"/>
      <c r="E26" s="108"/>
      <c r="F26" s="24">
        <v>2</v>
      </c>
      <c r="G26" s="24" t="s">
        <v>135</v>
      </c>
      <c r="H26" s="24"/>
      <c r="I26" s="24" t="s">
        <v>135</v>
      </c>
      <c r="J26" s="89"/>
      <c r="K26" s="90"/>
      <c r="L26" s="90"/>
      <c r="M26" s="90"/>
      <c r="N26" s="90"/>
      <c r="O26" s="91"/>
      <c r="P26" s="24"/>
      <c r="Q26" s="24"/>
      <c r="R26" s="24"/>
      <c r="S26" s="24"/>
    </row>
    <row r="27" spans="1:19" ht="18" customHeight="1" x14ac:dyDescent="0.15">
      <c r="B27" s="89"/>
      <c r="C27" s="90"/>
      <c r="D27" s="90"/>
      <c r="E27" s="91"/>
      <c r="F27" s="24"/>
      <c r="G27" s="24"/>
      <c r="H27" s="24"/>
      <c r="I27" s="24"/>
      <c r="J27" s="89"/>
      <c r="K27" s="90"/>
      <c r="L27" s="90"/>
      <c r="M27" s="90"/>
      <c r="N27" s="90"/>
      <c r="O27" s="91"/>
      <c r="P27" s="24"/>
      <c r="Q27" s="24"/>
      <c r="R27" s="24"/>
      <c r="S27" s="24"/>
    </row>
    <row r="28" spans="1:19" ht="18" customHeight="1" x14ac:dyDescent="0.15">
      <c r="B28" s="89"/>
      <c r="C28" s="90"/>
      <c r="D28" s="90"/>
      <c r="E28" s="91"/>
      <c r="F28" s="24"/>
      <c r="G28" s="24"/>
      <c r="H28" s="24"/>
      <c r="I28" s="24"/>
      <c r="J28" s="89"/>
      <c r="K28" s="90"/>
      <c r="L28" s="90"/>
      <c r="M28" s="90"/>
      <c r="N28" s="90"/>
      <c r="O28" s="91"/>
      <c r="P28" s="24"/>
      <c r="Q28" s="24"/>
      <c r="R28" s="24"/>
      <c r="S28" s="24"/>
    </row>
    <row r="29" spans="1:19" ht="18" customHeight="1" x14ac:dyDescent="0.15">
      <c r="B29" s="89"/>
      <c r="C29" s="90"/>
      <c r="D29" s="90"/>
      <c r="E29" s="91"/>
      <c r="F29" s="24"/>
      <c r="G29" s="24"/>
      <c r="H29" s="24"/>
      <c r="I29" s="24"/>
      <c r="J29" s="89"/>
      <c r="K29" s="90"/>
      <c r="L29" s="90"/>
      <c r="M29" s="90"/>
      <c r="N29" s="90"/>
      <c r="O29" s="91"/>
      <c r="P29" s="24"/>
      <c r="Q29" s="24"/>
      <c r="R29" s="24"/>
      <c r="S29" s="24"/>
    </row>
    <row r="30" spans="1:19" ht="18" customHeight="1" x14ac:dyDescent="0.15">
      <c r="A30" s="3"/>
      <c r="B30" s="89"/>
      <c r="C30" s="90"/>
      <c r="D30" s="90"/>
      <c r="E30" s="91"/>
      <c r="F30" s="24"/>
      <c r="G30" s="24"/>
      <c r="H30" s="24"/>
      <c r="I30" s="24"/>
      <c r="J30" s="89"/>
      <c r="K30" s="90"/>
      <c r="L30" s="90"/>
      <c r="M30" s="90"/>
      <c r="N30" s="90"/>
      <c r="O30" s="91"/>
      <c r="P30" s="24"/>
      <c r="Q30" s="24"/>
      <c r="R30" s="24"/>
      <c r="S30" s="24"/>
    </row>
    <row r="31" spans="1:19" ht="18" customHeight="1" x14ac:dyDescent="0.15">
      <c r="A31" s="3"/>
      <c r="B31" s="92"/>
      <c r="C31" s="93"/>
      <c r="D31" s="93"/>
      <c r="E31" s="94"/>
      <c r="F31" s="25"/>
      <c r="G31" s="25"/>
      <c r="H31" s="26"/>
      <c r="I31" s="26"/>
      <c r="J31" s="92"/>
      <c r="K31" s="93"/>
      <c r="L31" s="93"/>
      <c r="M31" s="93"/>
      <c r="N31" s="93"/>
      <c r="O31" s="94"/>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8" t="s">
        <v>115</v>
      </c>
      <c r="B33" s="98"/>
      <c r="C33" s="98"/>
      <c r="D33" s="98"/>
      <c r="E33" s="98"/>
      <c r="F33" s="98"/>
      <c r="G33" s="98"/>
      <c r="H33" s="98"/>
      <c r="I33" s="98"/>
      <c r="J33" s="98"/>
      <c r="K33" s="98"/>
      <c r="L33" s="98"/>
      <c r="M33" s="98"/>
      <c r="N33" s="98"/>
      <c r="O33" s="98"/>
      <c r="P33" s="98"/>
      <c r="Q33" s="98"/>
      <c r="R33" s="98"/>
      <c r="S33" s="98"/>
    </row>
    <row r="34" spans="1:19" ht="18" customHeight="1" x14ac:dyDescent="0.15">
      <c r="A34" s="98"/>
      <c r="B34" s="98"/>
      <c r="C34" s="98"/>
      <c r="D34" s="98"/>
      <c r="E34" s="98"/>
      <c r="F34" s="98"/>
      <c r="G34" s="98"/>
      <c r="H34" s="98"/>
      <c r="I34" s="98"/>
      <c r="J34" s="98"/>
      <c r="K34" s="98"/>
      <c r="L34" s="98"/>
      <c r="M34" s="98"/>
      <c r="N34" s="98"/>
      <c r="O34" s="98"/>
      <c r="P34" s="98"/>
      <c r="Q34" s="98"/>
      <c r="R34" s="98"/>
      <c r="S34" s="98"/>
    </row>
    <row r="35" spans="1:19" ht="18" customHeight="1" x14ac:dyDescent="0.15">
      <c r="B35" s="95" t="s">
        <v>54</v>
      </c>
      <c r="C35" s="96"/>
      <c r="D35" s="96"/>
      <c r="E35" s="97"/>
      <c r="F35" s="61" t="s">
        <v>81</v>
      </c>
      <c r="G35" s="60" t="s">
        <v>85</v>
      </c>
      <c r="H35" s="22" t="s">
        <v>72</v>
      </c>
      <c r="I35" s="22" t="s">
        <v>73</v>
      </c>
      <c r="J35" s="95" t="s">
        <v>54</v>
      </c>
      <c r="K35" s="96"/>
      <c r="L35" s="96"/>
      <c r="M35" s="96"/>
      <c r="N35" s="96"/>
      <c r="O35" s="97"/>
      <c r="P35" s="61" t="s">
        <v>81</v>
      </c>
      <c r="Q35" s="60" t="s">
        <v>85</v>
      </c>
      <c r="R35" s="22" t="s">
        <v>72</v>
      </c>
      <c r="S35" s="22" t="s">
        <v>73</v>
      </c>
    </row>
    <row r="36" spans="1:19" ht="18" customHeight="1" x14ac:dyDescent="0.15">
      <c r="B36" s="99" t="s">
        <v>133</v>
      </c>
      <c r="C36" s="100"/>
      <c r="D36" s="100"/>
      <c r="E36" s="101"/>
      <c r="F36" s="23">
        <v>2</v>
      </c>
      <c r="G36" s="23" t="s">
        <v>135</v>
      </c>
      <c r="H36" s="23" t="s">
        <v>135</v>
      </c>
      <c r="I36" s="23" t="s">
        <v>135</v>
      </c>
      <c r="J36" s="99"/>
      <c r="K36" s="100"/>
      <c r="L36" s="100"/>
      <c r="M36" s="100"/>
      <c r="N36" s="100"/>
      <c r="O36" s="101"/>
      <c r="P36" s="23"/>
      <c r="Q36" s="23"/>
      <c r="R36" s="23"/>
      <c r="S36" s="23"/>
    </row>
    <row r="37" spans="1:19" ht="18" customHeight="1" x14ac:dyDescent="0.15">
      <c r="B37" s="89"/>
      <c r="C37" s="90"/>
      <c r="D37" s="90"/>
      <c r="E37" s="91"/>
      <c r="F37" s="24"/>
      <c r="G37" s="24"/>
      <c r="H37" s="24"/>
      <c r="I37" s="24"/>
      <c r="J37" s="89"/>
      <c r="K37" s="90"/>
      <c r="L37" s="90"/>
      <c r="M37" s="90"/>
      <c r="N37" s="90"/>
      <c r="O37" s="91"/>
      <c r="P37" s="24"/>
      <c r="Q37" s="24"/>
      <c r="R37" s="24"/>
      <c r="S37" s="24"/>
    </row>
    <row r="38" spans="1:19" ht="18" customHeight="1" x14ac:dyDescent="0.15">
      <c r="B38" s="89"/>
      <c r="C38" s="90"/>
      <c r="D38" s="90"/>
      <c r="E38" s="91"/>
      <c r="F38" s="24"/>
      <c r="G38" s="24"/>
      <c r="H38" s="24"/>
      <c r="I38" s="24"/>
      <c r="J38" s="89"/>
      <c r="K38" s="90"/>
      <c r="L38" s="90"/>
      <c r="M38" s="90"/>
      <c r="N38" s="90"/>
      <c r="O38" s="91"/>
      <c r="P38" s="24"/>
      <c r="Q38" s="24"/>
      <c r="R38" s="24"/>
      <c r="S38" s="24"/>
    </row>
    <row r="39" spans="1:19" ht="18" customHeight="1" x14ac:dyDescent="0.15">
      <c r="B39" s="89"/>
      <c r="C39" s="90"/>
      <c r="D39" s="90"/>
      <c r="E39" s="91"/>
      <c r="F39" s="24"/>
      <c r="G39" s="24"/>
      <c r="H39" s="24"/>
      <c r="I39" s="24"/>
      <c r="J39" s="89"/>
      <c r="K39" s="90"/>
      <c r="L39" s="90"/>
      <c r="M39" s="90"/>
      <c r="N39" s="90"/>
      <c r="O39" s="91"/>
      <c r="P39" s="24"/>
      <c r="Q39" s="24"/>
      <c r="R39" s="24"/>
      <c r="S39" s="24"/>
    </row>
    <row r="40" spans="1:19" ht="18" customHeight="1" x14ac:dyDescent="0.15">
      <c r="B40" s="89"/>
      <c r="C40" s="90"/>
      <c r="D40" s="90"/>
      <c r="E40" s="91"/>
      <c r="F40" s="24"/>
      <c r="G40" s="24"/>
      <c r="H40" s="24"/>
      <c r="I40" s="24"/>
      <c r="J40" s="89"/>
      <c r="K40" s="90"/>
      <c r="L40" s="90"/>
      <c r="M40" s="90"/>
      <c r="N40" s="90"/>
      <c r="O40" s="91"/>
      <c r="P40" s="24"/>
      <c r="Q40" s="24"/>
      <c r="R40" s="24"/>
      <c r="S40" s="24"/>
    </row>
    <row r="41" spans="1:19" ht="18" customHeight="1" x14ac:dyDescent="0.15">
      <c r="B41" s="89"/>
      <c r="C41" s="90"/>
      <c r="D41" s="90"/>
      <c r="E41" s="91"/>
      <c r="F41" s="24"/>
      <c r="G41" s="24"/>
      <c r="H41" s="24"/>
      <c r="I41" s="24"/>
      <c r="J41" s="89"/>
      <c r="K41" s="90"/>
      <c r="L41" s="90"/>
      <c r="M41" s="90"/>
      <c r="N41" s="90"/>
      <c r="O41" s="91"/>
      <c r="P41" s="24"/>
      <c r="Q41" s="24"/>
      <c r="R41" s="24"/>
      <c r="S41" s="24"/>
    </row>
    <row r="42" spans="1:19" ht="18" customHeight="1" x14ac:dyDescent="0.15">
      <c r="B42" s="92"/>
      <c r="C42" s="93"/>
      <c r="D42" s="93"/>
      <c r="E42" s="94"/>
      <c r="F42" s="25"/>
      <c r="G42" s="25"/>
      <c r="H42" s="26"/>
      <c r="I42" s="26"/>
      <c r="J42" s="92"/>
      <c r="K42" s="93"/>
      <c r="L42" s="93"/>
      <c r="M42" s="93"/>
      <c r="N42" s="93"/>
      <c r="O42" s="94"/>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8" t="s">
        <v>116</v>
      </c>
      <c r="B44" s="98"/>
      <c r="C44" s="98"/>
      <c r="D44" s="98"/>
      <c r="E44" s="98"/>
      <c r="F44" s="98"/>
      <c r="G44" s="98"/>
      <c r="H44" s="98"/>
      <c r="I44" s="98"/>
      <c r="J44" s="98"/>
      <c r="K44" s="98"/>
      <c r="L44" s="98"/>
      <c r="M44" s="98"/>
      <c r="N44" s="98"/>
      <c r="O44" s="98"/>
      <c r="P44" s="98"/>
      <c r="Q44" s="98"/>
      <c r="R44" s="98"/>
      <c r="S44" s="98"/>
    </row>
    <row r="45" spans="1:19" ht="18" customHeight="1" x14ac:dyDescent="0.15">
      <c r="A45" s="98"/>
      <c r="B45" s="98"/>
      <c r="C45" s="98"/>
      <c r="D45" s="98"/>
      <c r="E45" s="98"/>
      <c r="F45" s="98"/>
      <c r="G45" s="98"/>
      <c r="H45" s="98"/>
      <c r="I45" s="98"/>
      <c r="J45" s="98"/>
      <c r="K45" s="98"/>
      <c r="L45" s="98"/>
      <c r="M45" s="98"/>
      <c r="N45" s="98"/>
      <c r="O45" s="98"/>
      <c r="P45" s="98"/>
      <c r="Q45" s="98"/>
      <c r="R45" s="98"/>
      <c r="S45" s="98"/>
    </row>
    <row r="46" spans="1:19" ht="18" customHeight="1" x14ac:dyDescent="0.15">
      <c r="B46" s="95" t="s">
        <v>54</v>
      </c>
      <c r="C46" s="96"/>
      <c r="D46" s="96"/>
      <c r="E46" s="97"/>
      <c r="F46" s="61" t="s">
        <v>81</v>
      </c>
      <c r="G46" s="60" t="s">
        <v>85</v>
      </c>
      <c r="H46" s="22" t="s">
        <v>74</v>
      </c>
      <c r="I46" s="22" t="s">
        <v>75</v>
      </c>
      <c r="J46" s="95" t="s">
        <v>54</v>
      </c>
      <c r="K46" s="96"/>
      <c r="L46" s="96"/>
      <c r="M46" s="96"/>
      <c r="N46" s="96"/>
      <c r="O46" s="97"/>
      <c r="P46" s="61" t="s">
        <v>81</v>
      </c>
      <c r="Q46" s="60" t="s">
        <v>85</v>
      </c>
      <c r="R46" s="22" t="s">
        <v>74</v>
      </c>
      <c r="S46" s="22" t="s">
        <v>75</v>
      </c>
    </row>
    <row r="47" spans="1:19" ht="18" customHeight="1" x14ac:dyDescent="0.15">
      <c r="A47" s="3"/>
      <c r="B47" s="99" t="s">
        <v>136</v>
      </c>
      <c r="C47" s="100"/>
      <c r="D47" s="100"/>
      <c r="E47" s="101"/>
      <c r="F47" s="23">
        <v>2</v>
      </c>
      <c r="G47" s="23" t="s">
        <v>135</v>
      </c>
      <c r="H47" s="23" t="s">
        <v>135</v>
      </c>
      <c r="I47" s="23" t="s">
        <v>135</v>
      </c>
      <c r="J47" s="99"/>
      <c r="K47" s="100"/>
      <c r="L47" s="100"/>
      <c r="M47" s="100"/>
      <c r="N47" s="100"/>
      <c r="O47" s="101"/>
      <c r="P47" s="23"/>
      <c r="Q47" s="23"/>
      <c r="R47" s="23"/>
      <c r="S47" s="23"/>
    </row>
    <row r="48" spans="1:19" ht="18" customHeight="1" x14ac:dyDescent="0.15">
      <c r="A48" s="3"/>
      <c r="B48" s="89"/>
      <c r="C48" s="90"/>
      <c r="D48" s="90"/>
      <c r="E48" s="91"/>
      <c r="F48" s="24"/>
      <c r="G48" s="24"/>
      <c r="H48" s="24"/>
      <c r="I48" s="24"/>
      <c r="J48" s="89"/>
      <c r="K48" s="90"/>
      <c r="L48" s="90"/>
      <c r="M48" s="90"/>
      <c r="N48" s="90"/>
      <c r="O48" s="91"/>
      <c r="P48" s="24"/>
      <c r="Q48" s="24"/>
      <c r="R48" s="24"/>
      <c r="S48" s="24"/>
    </row>
    <row r="49" spans="1:19" ht="18" customHeight="1" x14ac:dyDescent="0.15">
      <c r="A49" s="3"/>
      <c r="B49" s="89"/>
      <c r="C49" s="90"/>
      <c r="D49" s="90"/>
      <c r="E49" s="91"/>
      <c r="F49" s="24"/>
      <c r="G49" s="24"/>
      <c r="H49" s="24"/>
      <c r="I49" s="24"/>
      <c r="J49" s="89"/>
      <c r="K49" s="90"/>
      <c r="L49" s="90"/>
      <c r="M49" s="90"/>
      <c r="N49" s="90"/>
      <c r="O49" s="91"/>
      <c r="P49" s="24"/>
      <c r="Q49" s="24"/>
      <c r="R49" s="24"/>
      <c r="S49" s="24"/>
    </row>
    <row r="50" spans="1:19" ht="18" customHeight="1" x14ac:dyDescent="0.15">
      <c r="A50" s="3"/>
      <c r="B50" s="89"/>
      <c r="C50" s="90"/>
      <c r="D50" s="90"/>
      <c r="E50" s="91"/>
      <c r="F50" s="24"/>
      <c r="G50" s="24"/>
      <c r="H50" s="24"/>
      <c r="I50" s="24"/>
      <c r="J50" s="89"/>
      <c r="K50" s="90"/>
      <c r="L50" s="90"/>
      <c r="M50" s="90"/>
      <c r="N50" s="90"/>
      <c r="O50" s="91"/>
      <c r="P50" s="24"/>
      <c r="Q50" s="24"/>
      <c r="R50" s="24"/>
      <c r="S50" s="24"/>
    </row>
    <row r="51" spans="1:19" ht="18" customHeight="1" x14ac:dyDescent="0.15">
      <c r="A51" s="3"/>
      <c r="B51" s="89"/>
      <c r="C51" s="90"/>
      <c r="D51" s="90"/>
      <c r="E51" s="91"/>
      <c r="F51" s="24"/>
      <c r="G51" s="24"/>
      <c r="H51" s="24"/>
      <c r="I51" s="24"/>
      <c r="J51" s="89"/>
      <c r="K51" s="90"/>
      <c r="L51" s="90"/>
      <c r="M51" s="90"/>
      <c r="N51" s="90"/>
      <c r="O51" s="91"/>
      <c r="P51" s="24"/>
      <c r="Q51" s="24"/>
      <c r="R51" s="24"/>
      <c r="S51" s="24"/>
    </row>
    <row r="52" spans="1:19" ht="18" customHeight="1" x14ac:dyDescent="0.15">
      <c r="A52" s="3"/>
      <c r="B52" s="89"/>
      <c r="C52" s="90"/>
      <c r="D52" s="90"/>
      <c r="E52" s="91"/>
      <c r="F52" s="24"/>
      <c r="G52" s="24"/>
      <c r="H52" s="24"/>
      <c r="I52" s="24"/>
      <c r="J52" s="89"/>
      <c r="K52" s="90"/>
      <c r="L52" s="90"/>
      <c r="M52" s="90"/>
      <c r="N52" s="90"/>
      <c r="O52" s="91"/>
      <c r="P52" s="24"/>
      <c r="Q52" s="24"/>
      <c r="R52" s="24"/>
      <c r="S52" s="24"/>
    </row>
    <row r="53" spans="1:19" ht="18" customHeight="1" x14ac:dyDescent="0.15">
      <c r="A53" s="3"/>
      <c r="B53" s="92"/>
      <c r="C53" s="93"/>
      <c r="D53" s="93"/>
      <c r="E53" s="94"/>
      <c r="F53" s="25"/>
      <c r="G53" s="25"/>
      <c r="H53" s="26"/>
      <c r="I53" s="26"/>
      <c r="J53" s="92"/>
      <c r="K53" s="93"/>
      <c r="L53" s="93"/>
      <c r="M53" s="93"/>
      <c r="N53" s="93"/>
      <c r="O53" s="94"/>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8" t="s">
        <v>117</v>
      </c>
      <c r="B55" s="98"/>
      <c r="C55" s="98"/>
      <c r="D55" s="98"/>
      <c r="E55" s="98"/>
      <c r="F55" s="98"/>
      <c r="G55" s="98"/>
      <c r="H55" s="98"/>
      <c r="I55" s="98"/>
      <c r="J55" s="98"/>
      <c r="K55" s="98"/>
      <c r="L55" s="98"/>
      <c r="M55" s="98"/>
      <c r="N55" s="98"/>
      <c r="O55" s="98"/>
      <c r="P55" s="98"/>
      <c r="Q55" s="98"/>
      <c r="R55" s="98"/>
      <c r="S55" s="98"/>
    </row>
    <row r="56" spans="1:19" ht="18" customHeight="1" x14ac:dyDescent="0.15">
      <c r="A56" s="98"/>
      <c r="B56" s="98"/>
      <c r="C56" s="98"/>
      <c r="D56" s="98"/>
      <c r="E56" s="98"/>
      <c r="F56" s="98"/>
      <c r="G56" s="98"/>
      <c r="H56" s="98"/>
      <c r="I56" s="98"/>
      <c r="J56" s="98"/>
      <c r="K56" s="98"/>
      <c r="L56" s="98"/>
      <c r="M56" s="98"/>
      <c r="N56" s="98"/>
      <c r="O56" s="98"/>
      <c r="P56" s="98"/>
      <c r="Q56" s="98"/>
      <c r="R56" s="98"/>
      <c r="S56" s="98"/>
    </row>
    <row r="57" spans="1:19" ht="18" customHeight="1" x14ac:dyDescent="0.15">
      <c r="B57" s="95" t="s">
        <v>54</v>
      </c>
      <c r="C57" s="96"/>
      <c r="D57" s="96"/>
      <c r="E57" s="97"/>
      <c r="F57" s="61" t="s">
        <v>81</v>
      </c>
      <c r="G57" s="60" t="s">
        <v>85</v>
      </c>
      <c r="H57" s="22" t="s">
        <v>59</v>
      </c>
      <c r="I57" s="22" t="s">
        <v>61</v>
      </c>
      <c r="J57" s="95" t="s">
        <v>54</v>
      </c>
      <c r="K57" s="96"/>
      <c r="L57" s="96"/>
      <c r="M57" s="96"/>
      <c r="N57" s="96"/>
      <c r="O57" s="97"/>
      <c r="P57" s="61" t="s">
        <v>81</v>
      </c>
      <c r="Q57" s="60" t="s">
        <v>85</v>
      </c>
      <c r="R57" s="22" t="s">
        <v>59</v>
      </c>
      <c r="S57" s="22" t="s">
        <v>61</v>
      </c>
    </row>
    <row r="58" spans="1:19" ht="18" customHeight="1" x14ac:dyDescent="0.15">
      <c r="A58" s="3"/>
      <c r="B58" s="99" t="s">
        <v>137</v>
      </c>
      <c r="C58" s="100"/>
      <c r="D58" s="100"/>
      <c r="E58" s="101"/>
      <c r="F58" s="23">
        <v>2</v>
      </c>
      <c r="G58" s="23" t="s">
        <v>135</v>
      </c>
      <c r="H58" s="23" t="s">
        <v>135</v>
      </c>
      <c r="I58" s="23" t="s">
        <v>135</v>
      </c>
      <c r="J58" s="99"/>
      <c r="K58" s="100"/>
      <c r="L58" s="100"/>
      <c r="M58" s="100"/>
      <c r="N58" s="100"/>
      <c r="O58" s="101"/>
      <c r="P58" s="23"/>
      <c r="Q58" s="23"/>
      <c r="R58" s="23"/>
      <c r="S58" s="23"/>
    </row>
    <row r="59" spans="1:19" ht="18" customHeight="1" x14ac:dyDescent="0.15">
      <c r="A59" s="3"/>
      <c r="B59" s="89"/>
      <c r="C59" s="90"/>
      <c r="D59" s="90"/>
      <c r="E59" s="91"/>
      <c r="F59" s="24"/>
      <c r="G59" s="24"/>
      <c r="H59" s="24"/>
      <c r="I59" s="24"/>
      <c r="J59" s="89"/>
      <c r="K59" s="90"/>
      <c r="L59" s="90"/>
      <c r="M59" s="90"/>
      <c r="N59" s="90"/>
      <c r="O59" s="91"/>
      <c r="P59" s="24"/>
      <c r="Q59" s="24"/>
      <c r="R59" s="24"/>
      <c r="S59" s="24"/>
    </row>
    <row r="60" spans="1:19" ht="18" customHeight="1" x14ac:dyDescent="0.15">
      <c r="A60" s="3"/>
      <c r="B60" s="89"/>
      <c r="C60" s="90"/>
      <c r="D60" s="90"/>
      <c r="E60" s="91"/>
      <c r="F60" s="24"/>
      <c r="G60" s="24"/>
      <c r="H60" s="24"/>
      <c r="I60" s="24"/>
      <c r="J60" s="89"/>
      <c r="K60" s="90"/>
      <c r="L60" s="90"/>
      <c r="M60" s="90"/>
      <c r="N60" s="90"/>
      <c r="O60" s="91"/>
      <c r="P60" s="24"/>
      <c r="Q60" s="24"/>
      <c r="R60" s="24"/>
      <c r="S60" s="24"/>
    </row>
    <row r="61" spans="1:19" ht="18" customHeight="1" x14ac:dyDescent="0.15">
      <c r="A61" s="3"/>
      <c r="B61" s="89"/>
      <c r="C61" s="90"/>
      <c r="D61" s="90"/>
      <c r="E61" s="91"/>
      <c r="F61" s="24"/>
      <c r="G61" s="24"/>
      <c r="H61" s="24"/>
      <c r="I61" s="24"/>
      <c r="J61" s="89"/>
      <c r="K61" s="90"/>
      <c r="L61" s="90"/>
      <c r="M61" s="90"/>
      <c r="N61" s="90"/>
      <c r="O61" s="91"/>
      <c r="P61" s="24"/>
      <c r="Q61" s="24"/>
      <c r="R61" s="24"/>
      <c r="S61" s="24"/>
    </row>
    <row r="62" spans="1:19" ht="18" customHeight="1" x14ac:dyDescent="0.15">
      <c r="A62" s="3"/>
      <c r="B62" s="89"/>
      <c r="C62" s="90"/>
      <c r="D62" s="90"/>
      <c r="E62" s="91"/>
      <c r="F62" s="24"/>
      <c r="G62" s="24"/>
      <c r="H62" s="24"/>
      <c r="I62" s="24"/>
      <c r="J62" s="89"/>
      <c r="K62" s="90"/>
      <c r="L62" s="90"/>
      <c r="M62" s="90"/>
      <c r="N62" s="90"/>
      <c r="O62" s="91"/>
      <c r="P62" s="24"/>
      <c r="Q62" s="24"/>
      <c r="R62" s="24"/>
      <c r="S62" s="24"/>
    </row>
    <row r="63" spans="1:19" ht="18" customHeight="1" x14ac:dyDescent="0.15">
      <c r="A63" s="3"/>
      <c r="B63" s="89"/>
      <c r="C63" s="90"/>
      <c r="D63" s="90"/>
      <c r="E63" s="91"/>
      <c r="F63" s="24"/>
      <c r="G63" s="24"/>
      <c r="H63" s="24"/>
      <c r="I63" s="24"/>
      <c r="J63" s="89"/>
      <c r="K63" s="90"/>
      <c r="L63" s="90"/>
      <c r="M63" s="90"/>
      <c r="N63" s="90"/>
      <c r="O63" s="91"/>
      <c r="P63" s="24"/>
      <c r="Q63" s="24"/>
      <c r="R63" s="24"/>
      <c r="S63" s="24"/>
    </row>
    <row r="64" spans="1:19" ht="18" customHeight="1" x14ac:dyDescent="0.15">
      <c r="A64" s="3"/>
      <c r="B64" s="92"/>
      <c r="C64" s="93"/>
      <c r="D64" s="93"/>
      <c r="E64" s="94"/>
      <c r="F64" s="25"/>
      <c r="G64" s="25"/>
      <c r="H64" s="26"/>
      <c r="I64" s="26"/>
      <c r="J64" s="92"/>
      <c r="K64" s="93"/>
      <c r="L64" s="93"/>
      <c r="M64" s="93"/>
      <c r="N64" s="93"/>
      <c r="O64" s="94"/>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8" t="s">
        <v>118</v>
      </c>
      <c r="B66" s="98"/>
      <c r="C66" s="98"/>
      <c r="D66" s="98"/>
      <c r="E66" s="98"/>
      <c r="F66" s="98"/>
      <c r="G66" s="98"/>
      <c r="H66" s="98"/>
      <c r="I66" s="98"/>
      <c r="J66" s="98"/>
      <c r="K66" s="98"/>
      <c r="L66" s="98"/>
      <c r="M66" s="98"/>
      <c r="N66" s="98"/>
      <c r="O66" s="98"/>
      <c r="P66" s="98"/>
      <c r="Q66" s="98"/>
      <c r="R66" s="98"/>
      <c r="S66" s="98"/>
    </row>
    <row r="67" spans="1:19" ht="18" customHeight="1" x14ac:dyDescent="0.15">
      <c r="A67" s="98"/>
      <c r="B67" s="98"/>
      <c r="C67" s="98"/>
      <c r="D67" s="98"/>
      <c r="E67" s="98"/>
      <c r="F67" s="98"/>
      <c r="G67" s="98"/>
      <c r="H67" s="98"/>
      <c r="I67" s="98"/>
      <c r="J67" s="98"/>
      <c r="K67" s="98"/>
      <c r="L67" s="98"/>
      <c r="M67" s="98"/>
      <c r="N67" s="98"/>
      <c r="O67" s="98"/>
      <c r="P67" s="98"/>
      <c r="Q67" s="98"/>
      <c r="R67" s="98"/>
      <c r="S67" s="98"/>
    </row>
    <row r="68" spans="1:19" ht="18" customHeight="1" x14ac:dyDescent="0.15">
      <c r="B68" s="95" t="s">
        <v>54</v>
      </c>
      <c r="C68" s="96"/>
      <c r="D68" s="96"/>
      <c r="E68" s="61" t="s">
        <v>81</v>
      </c>
      <c r="F68" s="60" t="s">
        <v>85</v>
      </c>
      <c r="G68" s="22" t="s">
        <v>102</v>
      </c>
      <c r="H68" s="22" t="s">
        <v>76</v>
      </c>
      <c r="I68" s="22" t="s">
        <v>77</v>
      </c>
      <c r="J68" s="95" t="s">
        <v>54</v>
      </c>
      <c r="K68" s="96"/>
      <c r="L68" s="96"/>
      <c r="M68" s="96"/>
      <c r="N68" s="97"/>
      <c r="O68" s="61" t="s">
        <v>81</v>
      </c>
      <c r="P68" s="60" t="s">
        <v>85</v>
      </c>
      <c r="Q68" s="22" t="s">
        <v>102</v>
      </c>
      <c r="R68" s="22" t="s">
        <v>76</v>
      </c>
      <c r="S68" s="22" t="s">
        <v>77</v>
      </c>
    </row>
    <row r="69" spans="1:19" ht="18" customHeight="1" x14ac:dyDescent="0.15">
      <c r="A69" s="3"/>
      <c r="B69" s="103" t="s">
        <v>138</v>
      </c>
      <c r="C69" s="104"/>
      <c r="D69" s="105"/>
      <c r="E69" s="23">
        <v>2</v>
      </c>
      <c r="F69" s="23" t="s">
        <v>135</v>
      </c>
      <c r="G69" s="23" t="s">
        <v>135</v>
      </c>
      <c r="H69" s="23" t="s">
        <v>135</v>
      </c>
      <c r="I69" s="23" t="s">
        <v>135</v>
      </c>
      <c r="J69" s="99"/>
      <c r="K69" s="100"/>
      <c r="L69" s="100"/>
      <c r="M69" s="100"/>
      <c r="N69" s="101"/>
      <c r="O69" s="23"/>
      <c r="P69" s="23"/>
      <c r="Q69" s="23"/>
      <c r="R69" s="23"/>
      <c r="S69" s="23"/>
    </row>
    <row r="70" spans="1:19" ht="18" customHeight="1" x14ac:dyDescent="0.15">
      <c r="A70" s="3"/>
      <c r="B70" s="106" t="s">
        <v>139</v>
      </c>
      <c r="C70" s="107"/>
      <c r="D70" s="108"/>
      <c r="E70" s="24">
        <v>2</v>
      </c>
      <c r="F70" s="24" t="s">
        <v>135</v>
      </c>
      <c r="G70" s="24" t="s">
        <v>135</v>
      </c>
      <c r="H70" s="24" t="s">
        <v>135</v>
      </c>
      <c r="I70" s="24" t="s">
        <v>135</v>
      </c>
      <c r="J70" s="89"/>
      <c r="K70" s="90"/>
      <c r="L70" s="90"/>
      <c r="M70" s="90"/>
      <c r="N70" s="91"/>
      <c r="O70" s="24"/>
      <c r="P70" s="24"/>
      <c r="Q70" s="24"/>
      <c r="R70" s="24"/>
      <c r="S70" s="24"/>
    </row>
    <row r="71" spans="1:19" ht="18" customHeight="1" x14ac:dyDescent="0.15">
      <c r="A71" s="3"/>
      <c r="B71" s="106" t="s">
        <v>140</v>
      </c>
      <c r="C71" s="107"/>
      <c r="D71" s="108"/>
      <c r="E71" s="24">
        <v>2</v>
      </c>
      <c r="F71" s="24"/>
      <c r="G71" s="24" t="s">
        <v>135</v>
      </c>
      <c r="H71" s="24" t="s">
        <v>135</v>
      </c>
      <c r="I71" s="24" t="s">
        <v>135</v>
      </c>
      <c r="J71" s="89"/>
      <c r="K71" s="90"/>
      <c r="L71" s="90"/>
      <c r="M71" s="90"/>
      <c r="N71" s="91"/>
      <c r="O71" s="24"/>
      <c r="P71" s="24"/>
      <c r="Q71" s="24"/>
      <c r="R71" s="24"/>
      <c r="S71" s="24"/>
    </row>
    <row r="72" spans="1:19" ht="18" customHeight="1" x14ac:dyDescent="0.15">
      <c r="A72" s="3"/>
      <c r="B72" s="89"/>
      <c r="C72" s="90"/>
      <c r="D72" s="90"/>
      <c r="E72" s="24"/>
      <c r="F72" s="24"/>
      <c r="G72" s="24"/>
      <c r="H72" s="24"/>
      <c r="I72" s="24"/>
      <c r="J72" s="89"/>
      <c r="K72" s="90"/>
      <c r="L72" s="90"/>
      <c r="M72" s="90"/>
      <c r="N72" s="91"/>
      <c r="O72" s="24"/>
      <c r="P72" s="24"/>
      <c r="Q72" s="24"/>
      <c r="R72" s="24"/>
      <c r="S72" s="24"/>
    </row>
    <row r="73" spans="1:19" ht="18" customHeight="1" x14ac:dyDescent="0.15">
      <c r="A73" s="3"/>
      <c r="B73" s="89"/>
      <c r="C73" s="90"/>
      <c r="D73" s="90"/>
      <c r="E73" s="24"/>
      <c r="F73" s="24"/>
      <c r="G73" s="24"/>
      <c r="H73" s="24"/>
      <c r="I73" s="24"/>
      <c r="J73" s="89"/>
      <c r="K73" s="90"/>
      <c r="L73" s="90"/>
      <c r="M73" s="90"/>
      <c r="N73" s="91"/>
      <c r="O73" s="24"/>
      <c r="P73" s="24"/>
      <c r="Q73" s="24"/>
      <c r="R73" s="24"/>
      <c r="S73" s="24"/>
    </row>
    <row r="74" spans="1:19" ht="18" customHeight="1" x14ac:dyDescent="0.15">
      <c r="A74" s="3"/>
      <c r="B74" s="89"/>
      <c r="C74" s="90"/>
      <c r="D74" s="90"/>
      <c r="E74" s="24"/>
      <c r="F74" s="24"/>
      <c r="G74" s="24"/>
      <c r="H74" s="24"/>
      <c r="I74" s="24"/>
      <c r="J74" s="89"/>
      <c r="K74" s="90"/>
      <c r="L74" s="90"/>
      <c r="M74" s="90"/>
      <c r="N74" s="91"/>
      <c r="O74" s="24"/>
      <c r="P74" s="24"/>
      <c r="Q74" s="24"/>
      <c r="R74" s="24"/>
      <c r="S74" s="24"/>
    </row>
    <row r="75" spans="1:19" ht="18" customHeight="1" x14ac:dyDescent="0.15">
      <c r="A75" s="3"/>
      <c r="B75" s="92"/>
      <c r="C75" s="93"/>
      <c r="D75" s="93"/>
      <c r="E75" s="25"/>
      <c r="F75" s="25"/>
      <c r="G75" s="26"/>
      <c r="H75" s="26"/>
      <c r="I75" s="26"/>
      <c r="J75" s="92"/>
      <c r="K75" s="93"/>
      <c r="L75" s="93"/>
      <c r="M75" s="93"/>
      <c r="N75" s="94"/>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5" t="s">
        <v>54</v>
      </c>
      <c r="C78" s="96"/>
      <c r="D78" s="96"/>
      <c r="E78" s="97"/>
      <c r="F78" s="95" t="s">
        <v>83</v>
      </c>
      <c r="G78" s="96"/>
      <c r="H78" s="96"/>
      <c r="I78" s="97"/>
      <c r="J78" s="143" t="s">
        <v>54</v>
      </c>
      <c r="K78" s="144"/>
      <c r="L78" s="144"/>
      <c r="M78" s="144"/>
      <c r="N78" s="144"/>
      <c r="O78" s="145"/>
      <c r="P78" s="95" t="s">
        <v>83</v>
      </c>
      <c r="Q78" s="96"/>
      <c r="R78" s="96"/>
      <c r="S78" s="97"/>
    </row>
    <row r="79" spans="1:19" ht="18" customHeight="1" x14ac:dyDescent="0.15">
      <c r="A79" s="3"/>
      <c r="B79" s="103" t="s">
        <v>138</v>
      </c>
      <c r="C79" s="104"/>
      <c r="D79" s="104"/>
      <c r="E79" s="105"/>
      <c r="F79" s="103" t="s">
        <v>147</v>
      </c>
      <c r="G79" s="104"/>
      <c r="H79" s="104"/>
      <c r="I79" s="105"/>
      <c r="J79" s="103" t="s">
        <v>151</v>
      </c>
      <c r="K79" s="104"/>
      <c r="L79" s="104"/>
      <c r="M79" s="104"/>
      <c r="N79" s="104"/>
      <c r="O79" s="105"/>
      <c r="P79" s="103" t="s">
        <v>149</v>
      </c>
      <c r="Q79" s="104"/>
      <c r="R79" s="104"/>
      <c r="S79" s="105"/>
    </row>
    <row r="80" spans="1:19" ht="18" customHeight="1" x14ac:dyDescent="0.15">
      <c r="A80" s="3"/>
      <c r="B80" s="106" t="s">
        <v>141</v>
      </c>
      <c r="C80" s="107"/>
      <c r="D80" s="107"/>
      <c r="E80" s="108"/>
      <c r="F80" s="106" t="s">
        <v>148</v>
      </c>
      <c r="G80" s="107"/>
      <c r="H80" s="107"/>
      <c r="I80" s="108"/>
      <c r="J80" s="106" t="s">
        <v>152</v>
      </c>
      <c r="K80" s="107"/>
      <c r="L80" s="107"/>
      <c r="M80" s="107"/>
      <c r="N80" s="107"/>
      <c r="O80" s="108"/>
      <c r="P80" s="106" t="s">
        <v>149</v>
      </c>
      <c r="Q80" s="107"/>
      <c r="R80" s="107"/>
      <c r="S80" s="108"/>
    </row>
    <row r="81" spans="1:19" ht="18" customHeight="1" x14ac:dyDescent="0.15">
      <c r="A81" s="3"/>
      <c r="B81" s="106" t="s">
        <v>142</v>
      </c>
      <c r="C81" s="107"/>
      <c r="D81" s="107"/>
      <c r="E81" s="108"/>
      <c r="F81" s="106" t="s">
        <v>149</v>
      </c>
      <c r="G81" s="107"/>
      <c r="H81" s="107"/>
      <c r="I81" s="108"/>
      <c r="J81" s="106" t="s">
        <v>153</v>
      </c>
      <c r="K81" s="107"/>
      <c r="L81" s="107"/>
      <c r="M81" s="107"/>
      <c r="N81" s="107"/>
      <c r="O81" s="108"/>
      <c r="P81" s="106" t="s">
        <v>147</v>
      </c>
      <c r="Q81" s="107"/>
      <c r="R81" s="107"/>
      <c r="S81" s="108"/>
    </row>
    <row r="82" spans="1:19" ht="18" customHeight="1" x14ac:dyDescent="0.15">
      <c r="A82" s="3"/>
      <c r="B82" s="106" t="s">
        <v>143</v>
      </c>
      <c r="C82" s="107"/>
      <c r="D82" s="107"/>
      <c r="E82" s="108"/>
      <c r="F82" s="106" t="s">
        <v>150</v>
      </c>
      <c r="G82" s="107"/>
      <c r="H82" s="107"/>
      <c r="I82" s="108"/>
      <c r="J82" s="106" t="s">
        <v>154</v>
      </c>
      <c r="K82" s="107"/>
      <c r="L82" s="107"/>
      <c r="M82" s="107"/>
      <c r="N82" s="107"/>
      <c r="O82" s="108"/>
      <c r="P82" s="106" t="s">
        <v>147</v>
      </c>
      <c r="Q82" s="107"/>
      <c r="R82" s="107"/>
      <c r="S82" s="108"/>
    </row>
    <row r="83" spans="1:19" ht="18" customHeight="1" x14ac:dyDescent="0.15">
      <c r="A83" s="3"/>
      <c r="B83" s="106" t="s">
        <v>144</v>
      </c>
      <c r="C83" s="107"/>
      <c r="D83" s="107"/>
      <c r="E83" s="108"/>
      <c r="F83" s="106" t="s">
        <v>150</v>
      </c>
      <c r="G83" s="107"/>
      <c r="H83" s="107"/>
      <c r="I83" s="108"/>
      <c r="J83" s="89"/>
      <c r="K83" s="90"/>
      <c r="L83" s="90"/>
      <c r="M83" s="90"/>
      <c r="N83" s="90"/>
      <c r="O83" s="91"/>
      <c r="P83" s="131"/>
      <c r="Q83" s="132"/>
      <c r="R83" s="132"/>
      <c r="S83" s="133"/>
    </row>
    <row r="84" spans="1:19" ht="18" customHeight="1" x14ac:dyDescent="0.15">
      <c r="A84" s="3"/>
      <c r="B84" s="106" t="s">
        <v>145</v>
      </c>
      <c r="C84" s="107"/>
      <c r="D84" s="107"/>
      <c r="E84" s="108"/>
      <c r="F84" s="106" t="s">
        <v>147</v>
      </c>
      <c r="G84" s="107"/>
      <c r="H84" s="107"/>
      <c r="I84" s="108"/>
      <c r="J84" s="89"/>
      <c r="K84" s="90"/>
      <c r="L84" s="90"/>
      <c r="M84" s="90"/>
      <c r="N84" s="90"/>
      <c r="O84" s="91"/>
      <c r="P84" s="131"/>
      <c r="Q84" s="132"/>
      <c r="R84" s="132"/>
      <c r="S84" s="133"/>
    </row>
    <row r="85" spans="1:19" ht="18" customHeight="1" x14ac:dyDescent="0.15">
      <c r="A85" s="3"/>
      <c r="B85" s="141" t="s">
        <v>146</v>
      </c>
      <c r="C85" s="139"/>
      <c r="D85" s="139"/>
      <c r="E85" s="140"/>
      <c r="F85" s="141" t="s">
        <v>147</v>
      </c>
      <c r="G85" s="139"/>
      <c r="H85" s="139"/>
      <c r="I85" s="140"/>
      <c r="J85" s="92"/>
      <c r="K85" s="93"/>
      <c r="L85" s="93"/>
      <c r="M85" s="93"/>
      <c r="N85" s="93"/>
      <c r="O85" s="94"/>
      <c r="P85" s="128"/>
      <c r="Q85" s="129"/>
      <c r="R85" s="129"/>
      <c r="S85" s="130"/>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5" t="s">
        <v>55</v>
      </c>
      <c r="C88" s="156"/>
      <c r="D88" s="96" t="s">
        <v>56</v>
      </c>
      <c r="E88" s="96"/>
      <c r="F88" s="96"/>
      <c r="G88" s="96"/>
      <c r="H88" s="96"/>
      <c r="I88" s="96"/>
      <c r="J88" s="96"/>
      <c r="K88" s="96"/>
      <c r="L88" s="96"/>
      <c r="M88" s="96"/>
      <c r="N88" s="96"/>
      <c r="O88" s="96"/>
      <c r="P88" s="96"/>
      <c r="Q88" s="96"/>
      <c r="R88" s="96"/>
      <c r="S88" s="97"/>
    </row>
    <row r="89" spans="1:19" ht="97.5" customHeight="1" x14ac:dyDescent="0.15">
      <c r="B89" s="146" t="s">
        <v>62</v>
      </c>
      <c r="C89" s="28" t="s">
        <v>57</v>
      </c>
      <c r="D89" s="157" t="s">
        <v>155</v>
      </c>
      <c r="E89" s="153"/>
      <c r="F89" s="153"/>
      <c r="G89" s="153"/>
      <c r="H89" s="153"/>
      <c r="I89" s="153"/>
      <c r="J89" s="153"/>
      <c r="K89" s="153"/>
      <c r="L89" s="153"/>
      <c r="M89" s="153"/>
      <c r="N89" s="153"/>
      <c r="O89" s="153"/>
      <c r="P89" s="153"/>
      <c r="Q89" s="153"/>
      <c r="R89" s="153"/>
      <c r="S89" s="154"/>
    </row>
    <row r="90" spans="1:19" ht="97.5" customHeight="1" x14ac:dyDescent="0.15">
      <c r="B90" s="148"/>
      <c r="C90" s="29" t="s">
        <v>78</v>
      </c>
      <c r="D90" s="258" t="s">
        <v>177</v>
      </c>
      <c r="E90" s="134"/>
      <c r="F90" s="134"/>
      <c r="G90" s="134"/>
      <c r="H90" s="134"/>
      <c r="I90" s="134"/>
      <c r="J90" s="134"/>
      <c r="K90" s="134"/>
      <c r="L90" s="134"/>
      <c r="M90" s="134"/>
      <c r="N90" s="134"/>
      <c r="O90" s="134"/>
      <c r="P90" s="134"/>
      <c r="Q90" s="134"/>
      <c r="R90" s="134"/>
      <c r="S90" s="135"/>
    </row>
    <row r="91" spans="1:19" ht="97.5" customHeight="1" x14ac:dyDescent="0.15">
      <c r="B91" s="146" t="s">
        <v>63</v>
      </c>
      <c r="C91" s="30" t="s">
        <v>72</v>
      </c>
      <c r="D91" s="136" t="s">
        <v>178</v>
      </c>
      <c r="E91" s="104"/>
      <c r="F91" s="104"/>
      <c r="G91" s="104"/>
      <c r="H91" s="104"/>
      <c r="I91" s="104"/>
      <c r="J91" s="104"/>
      <c r="K91" s="104"/>
      <c r="L91" s="104"/>
      <c r="M91" s="104"/>
      <c r="N91" s="104"/>
      <c r="O91" s="104"/>
      <c r="P91" s="104"/>
      <c r="Q91" s="104"/>
      <c r="R91" s="104"/>
      <c r="S91" s="105"/>
    </row>
    <row r="92" spans="1:19" ht="97.5" customHeight="1" x14ac:dyDescent="0.15">
      <c r="B92" s="147"/>
      <c r="C92" s="31" t="s">
        <v>73</v>
      </c>
      <c r="D92" s="259" t="s">
        <v>179</v>
      </c>
      <c r="E92" s="139"/>
      <c r="F92" s="139"/>
      <c r="G92" s="139"/>
      <c r="H92" s="139"/>
      <c r="I92" s="139"/>
      <c r="J92" s="139"/>
      <c r="K92" s="139"/>
      <c r="L92" s="139"/>
      <c r="M92" s="139"/>
      <c r="N92" s="139"/>
      <c r="O92" s="139"/>
      <c r="P92" s="139"/>
      <c r="Q92" s="139"/>
      <c r="R92" s="139"/>
      <c r="S92" s="140"/>
    </row>
    <row r="93" spans="1:19" ht="97.5" customHeight="1" x14ac:dyDescent="0.15">
      <c r="B93" s="146" t="s">
        <v>64</v>
      </c>
      <c r="C93" s="30" t="s">
        <v>74</v>
      </c>
      <c r="D93" s="136" t="s">
        <v>180</v>
      </c>
      <c r="E93" s="104"/>
      <c r="F93" s="104"/>
      <c r="G93" s="104"/>
      <c r="H93" s="104"/>
      <c r="I93" s="104"/>
      <c r="J93" s="104"/>
      <c r="K93" s="104"/>
      <c r="L93" s="104"/>
      <c r="M93" s="104"/>
      <c r="N93" s="104"/>
      <c r="O93" s="104"/>
      <c r="P93" s="104"/>
      <c r="Q93" s="104"/>
      <c r="R93" s="104"/>
      <c r="S93" s="105"/>
    </row>
    <row r="94" spans="1:19" ht="97.5" customHeight="1" x14ac:dyDescent="0.15">
      <c r="B94" s="147"/>
      <c r="C94" s="32" t="s">
        <v>75</v>
      </c>
      <c r="D94" s="260" t="s">
        <v>181</v>
      </c>
      <c r="E94" s="137"/>
      <c r="F94" s="137"/>
      <c r="G94" s="137"/>
      <c r="H94" s="137"/>
      <c r="I94" s="137"/>
      <c r="J94" s="137"/>
      <c r="K94" s="137"/>
      <c r="L94" s="137"/>
      <c r="M94" s="137"/>
      <c r="N94" s="137"/>
      <c r="O94" s="137"/>
      <c r="P94" s="137"/>
      <c r="Q94" s="137"/>
      <c r="R94" s="137"/>
      <c r="S94" s="138"/>
    </row>
    <row r="95" spans="1:19" ht="97.5" customHeight="1" x14ac:dyDescent="0.15">
      <c r="B95" s="146" t="s">
        <v>79</v>
      </c>
      <c r="C95" s="28" t="s">
        <v>59</v>
      </c>
      <c r="D95" s="157" t="s">
        <v>182</v>
      </c>
      <c r="E95" s="153"/>
      <c r="F95" s="153"/>
      <c r="G95" s="153"/>
      <c r="H95" s="153"/>
      <c r="I95" s="153"/>
      <c r="J95" s="153"/>
      <c r="K95" s="153"/>
      <c r="L95" s="153"/>
      <c r="M95" s="153"/>
      <c r="N95" s="153"/>
      <c r="O95" s="153"/>
      <c r="P95" s="153"/>
      <c r="Q95" s="153"/>
      <c r="R95" s="153"/>
      <c r="S95" s="154"/>
    </row>
    <row r="96" spans="1:19" ht="97.5" customHeight="1" x14ac:dyDescent="0.15">
      <c r="B96" s="147"/>
      <c r="C96" s="31" t="s">
        <v>61</v>
      </c>
      <c r="D96" s="259" t="s">
        <v>183</v>
      </c>
      <c r="E96" s="139"/>
      <c r="F96" s="139"/>
      <c r="G96" s="139"/>
      <c r="H96" s="139"/>
      <c r="I96" s="139"/>
      <c r="J96" s="139"/>
      <c r="K96" s="139"/>
      <c r="L96" s="139"/>
      <c r="M96" s="139"/>
      <c r="N96" s="139"/>
      <c r="O96" s="139"/>
      <c r="P96" s="139"/>
      <c r="Q96" s="139"/>
      <c r="R96" s="139"/>
      <c r="S96" s="140"/>
    </row>
    <row r="97" spans="1:19" ht="126.75" customHeight="1" x14ac:dyDescent="0.15">
      <c r="B97" s="146" t="s">
        <v>80</v>
      </c>
      <c r="C97" s="30" t="s">
        <v>58</v>
      </c>
      <c r="D97" s="149" t="s">
        <v>184</v>
      </c>
      <c r="E97" s="100"/>
      <c r="F97" s="100"/>
      <c r="G97" s="100"/>
      <c r="H97" s="100"/>
      <c r="I97" s="100"/>
      <c r="J97" s="100"/>
      <c r="K97" s="100"/>
      <c r="L97" s="100"/>
      <c r="M97" s="100"/>
      <c r="N97" s="100"/>
      <c r="O97" s="100"/>
      <c r="P97" s="100"/>
      <c r="Q97" s="100"/>
      <c r="R97" s="100"/>
      <c r="S97" s="101"/>
    </row>
    <row r="98" spans="1:19" ht="78" customHeight="1" x14ac:dyDescent="0.15">
      <c r="B98" s="148"/>
      <c r="C98" s="33" t="s">
        <v>76</v>
      </c>
      <c r="D98" s="142" t="s">
        <v>185</v>
      </c>
      <c r="E98" s="90"/>
      <c r="F98" s="90"/>
      <c r="G98" s="90"/>
      <c r="H98" s="90"/>
      <c r="I98" s="90"/>
      <c r="J98" s="90"/>
      <c r="K98" s="90"/>
      <c r="L98" s="90"/>
      <c r="M98" s="90"/>
      <c r="N98" s="90"/>
      <c r="O98" s="90"/>
      <c r="P98" s="90"/>
      <c r="Q98" s="90"/>
      <c r="R98" s="90"/>
      <c r="S98" s="91"/>
    </row>
    <row r="99" spans="1:19" ht="97.5" customHeight="1" x14ac:dyDescent="0.15">
      <c r="B99" s="147"/>
      <c r="C99" s="32" t="s">
        <v>77</v>
      </c>
      <c r="D99" s="150" t="s">
        <v>186</v>
      </c>
      <c r="E99" s="151"/>
      <c r="F99" s="151"/>
      <c r="G99" s="151"/>
      <c r="H99" s="151"/>
      <c r="I99" s="151"/>
      <c r="J99" s="151"/>
      <c r="K99" s="151"/>
      <c r="L99" s="151"/>
      <c r="M99" s="151"/>
      <c r="N99" s="151"/>
      <c r="O99" s="151"/>
      <c r="P99" s="151"/>
      <c r="Q99" s="151"/>
      <c r="R99" s="151"/>
      <c r="S99" s="152"/>
    </row>
    <row r="100" spans="1:19" ht="6" customHeight="1" x14ac:dyDescent="0.15"/>
    <row r="101" spans="1:19" ht="18.75" customHeight="1" x14ac:dyDescent="0.15">
      <c r="A101" s="1" t="s">
        <v>121</v>
      </c>
    </row>
    <row r="102" spans="1:19" ht="81.75" customHeight="1" x14ac:dyDescent="0.15">
      <c r="B102" s="125" t="s">
        <v>156</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47:I53 Q47:S53 G58:I64 Q58:S64 F69:I75 G36:I42"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86:I86 Q83:S8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topLeftCell="S1" zoomScaleNormal="100" zoomScaleSheetLayoutView="100" workbookViewId="0">
      <selection activeCell="AQ12" sqref="AQ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1" t="str">
        <f>'様式１　プログラムを構成する授業科目'!C2</f>
        <v>山梨英和大学</v>
      </c>
      <c r="AN2" s="161"/>
      <c r="AO2" s="161"/>
      <c r="AP2" s="161"/>
      <c r="AQ2" s="161"/>
    </row>
    <row r="3" spans="1:45" ht="18" customHeight="1" x14ac:dyDescent="0.15">
      <c r="A3" s="112" t="s">
        <v>48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2" t="s">
        <v>130</v>
      </c>
      <c r="D5" s="16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60" t="s">
        <v>86</v>
      </c>
      <c r="G9" s="160"/>
      <c r="H9" s="160"/>
      <c r="I9" s="160"/>
      <c r="J9" s="160"/>
      <c r="K9" s="160"/>
      <c r="L9" s="160" t="s">
        <v>49</v>
      </c>
      <c r="M9" s="160"/>
      <c r="N9" s="160"/>
      <c r="O9" s="160"/>
      <c r="P9" s="160"/>
      <c r="Q9" s="160"/>
      <c r="R9" s="160" t="s">
        <v>50</v>
      </c>
      <c r="S9" s="160"/>
      <c r="T9" s="160"/>
      <c r="U9" s="160"/>
      <c r="V9" s="160"/>
      <c r="W9" s="160"/>
      <c r="X9" s="160" t="s">
        <v>101</v>
      </c>
      <c r="Y9" s="160"/>
      <c r="Z9" s="160"/>
      <c r="AA9" s="160"/>
      <c r="AB9" s="160"/>
      <c r="AC9" s="160"/>
      <c r="AD9" s="160" t="s">
        <v>51</v>
      </c>
      <c r="AE9" s="160"/>
      <c r="AF9" s="160"/>
      <c r="AG9" s="160"/>
      <c r="AH9" s="160"/>
      <c r="AI9" s="160"/>
      <c r="AJ9" s="160" t="s">
        <v>52</v>
      </c>
      <c r="AK9" s="160"/>
      <c r="AL9" s="160"/>
      <c r="AM9" s="160"/>
      <c r="AN9" s="160"/>
      <c r="AO9" s="160"/>
      <c r="AP9" s="173" t="s">
        <v>35</v>
      </c>
      <c r="AQ9" s="176" t="s">
        <v>32</v>
      </c>
      <c r="AS9" s="2"/>
    </row>
    <row r="10" spans="1:45" ht="16.899999999999999" customHeight="1" x14ac:dyDescent="0.15">
      <c r="B10" s="165"/>
      <c r="C10" s="180"/>
      <c r="D10" s="168"/>
      <c r="E10" s="171"/>
      <c r="F10" s="158" t="s">
        <v>97</v>
      </c>
      <c r="G10" s="159"/>
      <c r="H10" s="159"/>
      <c r="I10" s="158" t="s">
        <v>29</v>
      </c>
      <c r="J10" s="159"/>
      <c r="K10" s="159"/>
      <c r="L10" s="158" t="s">
        <v>97</v>
      </c>
      <c r="M10" s="159"/>
      <c r="N10" s="159"/>
      <c r="O10" s="158" t="s">
        <v>29</v>
      </c>
      <c r="P10" s="159"/>
      <c r="Q10" s="159"/>
      <c r="R10" s="158" t="s">
        <v>97</v>
      </c>
      <c r="S10" s="159"/>
      <c r="T10" s="159"/>
      <c r="U10" s="158" t="s">
        <v>29</v>
      </c>
      <c r="V10" s="159"/>
      <c r="W10" s="159"/>
      <c r="X10" s="158" t="s">
        <v>97</v>
      </c>
      <c r="Y10" s="159"/>
      <c r="Z10" s="159"/>
      <c r="AA10" s="158" t="s">
        <v>29</v>
      </c>
      <c r="AB10" s="159"/>
      <c r="AC10" s="159"/>
      <c r="AD10" s="158" t="s">
        <v>97</v>
      </c>
      <c r="AE10" s="159"/>
      <c r="AF10" s="159"/>
      <c r="AG10" s="158" t="s">
        <v>29</v>
      </c>
      <c r="AH10" s="159"/>
      <c r="AI10" s="159"/>
      <c r="AJ10" s="158" t="s">
        <v>97</v>
      </c>
      <c r="AK10" s="159"/>
      <c r="AL10" s="159"/>
      <c r="AM10" s="158" t="s">
        <v>29</v>
      </c>
      <c r="AN10" s="159"/>
      <c r="AO10" s="159"/>
      <c r="AP10" s="174"/>
      <c r="AQ10" s="177"/>
      <c r="AS10" s="2"/>
    </row>
    <row r="11" spans="1:45" ht="18" customHeight="1" x14ac:dyDescent="0.15">
      <c r="B11" s="166"/>
      <c r="C11" s="181"/>
      <c r="D11" s="169"/>
      <c r="E11" s="17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5"/>
      <c r="AQ11" s="178"/>
      <c r="AS11" s="2"/>
    </row>
    <row r="12" spans="1:45" ht="18" customHeight="1" x14ac:dyDescent="0.15">
      <c r="A12" s="6"/>
      <c r="B12" s="11" t="s">
        <v>131</v>
      </c>
      <c r="C12" s="62">
        <v>692</v>
      </c>
      <c r="D12" s="63">
        <v>155</v>
      </c>
      <c r="E12" s="64">
        <v>640</v>
      </c>
      <c r="F12" s="64">
        <f>G12+H12</f>
        <v>10</v>
      </c>
      <c r="G12" s="65">
        <v>2</v>
      </c>
      <c r="H12" s="66">
        <v>8</v>
      </c>
      <c r="I12" s="64">
        <f>J12+K12</f>
        <v>0</v>
      </c>
      <c r="J12" s="65">
        <v>0</v>
      </c>
      <c r="K12" s="66">
        <v>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10</v>
      </c>
      <c r="AQ12" s="21">
        <f t="shared" ref="AQ12:AQ32" si="0">AP12/E12</f>
        <v>1.5625E-2</v>
      </c>
    </row>
    <row r="13" spans="1:45" ht="18" customHeight="1" x14ac:dyDescent="0.15">
      <c r="A13" s="6"/>
      <c r="B13" s="12"/>
      <c r="C13" s="67"/>
      <c r="D13" s="68"/>
      <c r="E13" s="69"/>
      <c r="F13" s="70">
        <f t="shared" ref="F13:F31" si="1">G13+H13</f>
        <v>0</v>
      </c>
      <c r="G13" s="71"/>
      <c r="H13" s="72"/>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t="e">
        <f t="shared" si="0"/>
        <v>#DIV/0!</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692</v>
      </c>
      <c r="D32" s="78">
        <f t="shared" ref="D32:AP32" si="15">SUM(D12:D31)</f>
        <v>155</v>
      </c>
      <c r="E32" s="79">
        <f t="shared" si="15"/>
        <v>640</v>
      </c>
      <c r="F32" s="79">
        <f t="shared" si="15"/>
        <v>10</v>
      </c>
      <c r="G32" s="80">
        <f t="shared" si="15"/>
        <v>2</v>
      </c>
      <c r="H32" s="81">
        <f t="shared" si="15"/>
        <v>8</v>
      </c>
      <c r="I32" s="79">
        <f t="shared" ref="I32:N32" si="16">SUM(I12:I31)</f>
        <v>0</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10</v>
      </c>
      <c r="AQ32" s="9">
        <f t="shared" si="0"/>
        <v>1.5625E-2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22" sqref="B22:I32"/>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5" t="str">
        <f>'様式１　プログラムを構成する授業科目'!C2</f>
        <v>山梨英和大学</v>
      </c>
      <c r="I2" s="97"/>
    </row>
    <row r="3" spans="1:9" ht="18.75" customHeight="1" x14ac:dyDescent="0.15">
      <c r="G3" s="35"/>
      <c r="H3" s="10"/>
      <c r="I3" s="10"/>
    </row>
    <row r="4" spans="1:9" ht="18.600000000000001" customHeight="1" x14ac:dyDescent="0.15">
      <c r="A4" s="112" t="s">
        <v>36</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91</v>
      </c>
      <c r="C6" s="233" t="s">
        <v>92</v>
      </c>
      <c r="D6" s="233"/>
      <c r="E6" s="34">
        <v>29</v>
      </c>
      <c r="F6" s="3" t="s">
        <v>1</v>
      </c>
      <c r="G6" s="3" t="s">
        <v>2</v>
      </c>
      <c r="H6" s="82">
        <v>65</v>
      </c>
      <c r="I6" s="10" t="s">
        <v>1</v>
      </c>
    </row>
    <row r="7" spans="1:9" ht="12" customHeight="1" x14ac:dyDescent="0.15">
      <c r="C7" s="2"/>
      <c r="D7" s="2"/>
      <c r="E7" s="2"/>
      <c r="F7" s="2"/>
      <c r="G7" s="2"/>
      <c r="H7" s="2"/>
      <c r="I7" s="42"/>
    </row>
    <row r="8" spans="1:9" ht="18" customHeight="1" x14ac:dyDescent="0.15">
      <c r="A8" s="1" t="s">
        <v>3</v>
      </c>
      <c r="B8" s="10" t="s">
        <v>93</v>
      </c>
      <c r="E8" s="3"/>
      <c r="F8" s="3"/>
      <c r="G8" s="3"/>
      <c r="H8" s="34">
        <v>8</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0" t="s">
        <v>157</v>
      </c>
      <c r="D11" s="231"/>
      <c r="E11" s="232"/>
      <c r="F11" s="42"/>
      <c r="G11" s="35" t="s">
        <v>10</v>
      </c>
      <c r="H11" s="230" t="s">
        <v>158</v>
      </c>
      <c r="I11" s="232"/>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27" t="s">
        <v>159</v>
      </c>
      <c r="C14" s="228"/>
      <c r="D14" s="228"/>
      <c r="E14" s="228"/>
      <c r="F14" s="228"/>
      <c r="G14" s="228"/>
      <c r="H14" s="228"/>
      <c r="I14" s="229"/>
    </row>
    <row r="15" spans="1:9" ht="9" customHeight="1" x14ac:dyDescent="0.15">
      <c r="B15" s="3"/>
      <c r="C15" s="3"/>
      <c r="D15" s="3"/>
      <c r="E15" s="3"/>
      <c r="F15" s="3"/>
      <c r="G15" s="3"/>
      <c r="H15" s="3"/>
      <c r="I15" s="3"/>
    </row>
    <row r="16" spans="1:9" ht="18" customHeight="1" x14ac:dyDescent="0.15">
      <c r="B16" s="35" t="s">
        <v>43</v>
      </c>
      <c r="C16" s="230" t="s">
        <v>157</v>
      </c>
      <c r="D16" s="231"/>
      <c r="E16" s="232"/>
      <c r="F16" s="42"/>
      <c r="G16" s="35" t="s">
        <v>10</v>
      </c>
      <c r="H16" s="230" t="s">
        <v>158</v>
      </c>
      <c r="I16" s="232"/>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9" t="s">
        <v>132</v>
      </c>
      <c r="C19" s="220"/>
      <c r="D19" s="220"/>
      <c r="E19" s="220"/>
      <c r="F19" s="220"/>
      <c r="G19" s="220"/>
      <c r="H19" s="220"/>
      <c r="I19" s="22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9" t="s">
        <v>160</v>
      </c>
      <c r="C22" s="210"/>
      <c r="D22" s="210"/>
      <c r="E22" s="210"/>
      <c r="F22" s="210"/>
      <c r="G22" s="210"/>
      <c r="H22" s="210"/>
      <c r="I22" s="211"/>
    </row>
    <row r="23" spans="1:9" ht="18.75" customHeight="1" x14ac:dyDescent="0.15">
      <c r="A23" s="15"/>
      <c r="B23" s="222"/>
      <c r="C23" s="223"/>
      <c r="D23" s="223"/>
      <c r="E23" s="223"/>
      <c r="F23" s="223"/>
      <c r="G23" s="223"/>
      <c r="H23" s="223"/>
      <c r="I23" s="214"/>
    </row>
    <row r="24" spans="1:9" ht="18.75" customHeight="1" x14ac:dyDescent="0.15">
      <c r="A24" s="15"/>
      <c r="B24" s="222"/>
      <c r="C24" s="223"/>
      <c r="D24" s="223"/>
      <c r="E24" s="223"/>
      <c r="F24" s="223"/>
      <c r="G24" s="223"/>
      <c r="H24" s="223"/>
      <c r="I24" s="214"/>
    </row>
    <row r="25" spans="1:9" ht="18.75" customHeight="1" x14ac:dyDescent="0.15">
      <c r="A25" s="15"/>
      <c r="B25" s="222"/>
      <c r="C25" s="223"/>
      <c r="D25" s="223"/>
      <c r="E25" s="223"/>
      <c r="F25" s="223"/>
      <c r="G25" s="223"/>
      <c r="H25" s="223"/>
      <c r="I25" s="214"/>
    </row>
    <row r="26" spans="1:9" ht="18.75" customHeight="1" x14ac:dyDescent="0.15">
      <c r="A26" s="15"/>
      <c r="B26" s="222"/>
      <c r="C26" s="223"/>
      <c r="D26" s="223"/>
      <c r="E26" s="223"/>
      <c r="F26" s="223"/>
      <c r="G26" s="223"/>
      <c r="H26" s="223"/>
      <c r="I26" s="214"/>
    </row>
    <row r="27" spans="1:9" ht="18.75" customHeight="1" x14ac:dyDescent="0.15">
      <c r="A27" s="15"/>
      <c r="B27" s="222"/>
      <c r="C27" s="223"/>
      <c r="D27" s="223"/>
      <c r="E27" s="223"/>
      <c r="F27" s="223"/>
      <c r="G27" s="223"/>
      <c r="H27" s="223"/>
      <c r="I27" s="214"/>
    </row>
    <row r="28" spans="1:9" ht="18.75" customHeight="1" x14ac:dyDescent="0.15">
      <c r="A28" s="15"/>
      <c r="B28" s="222"/>
      <c r="C28" s="223"/>
      <c r="D28" s="223"/>
      <c r="E28" s="223"/>
      <c r="F28" s="223"/>
      <c r="G28" s="223"/>
      <c r="H28" s="223"/>
      <c r="I28" s="214"/>
    </row>
    <row r="29" spans="1:9" ht="18.75" customHeight="1" x14ac:dyDescent="0.15">
      <c r="A29" s="15"/>
      <c r="B29" s="222"/>
      <c r="C29" s="223"/>
      <c r="D29" s="223"/>
      <c r="E29" s="223"/>
      <c r="F29" s="223"/>
      <c r="G29" s="223"/>
      <c r="H29" s="223"/>
      <c r="I29" s="214"/>
    </row>
    <row r="30" spans="1:9" ht="18.75" customHeight="1" x14ac:dyDescent="0.15">
      <c r="A30" s="15"/>
      <c r="B30" s="212"/>
      <c r="C30" s="213"/>
      <c r="D30" s="213"/>
      <c r="E30" s="213"/>
      <c r="F30" s="213"/>
      <c r="G30" s="213"/>
      <c r="H30" s="213"/>
      <c r="I30" s="214"/>
    </row>
    <row r="31" spans="1:9" ht="18.75" customHeight="1" x14ac:dyDescent="0.15">
      <c r="A31" s="15"/>
      <c r="B31" s="212"/>
      <c r="C31" s="213"/>
      <c r="D31" s="213"/>
      <c r="E31" s="213"/>
      <c r="F31" s="213"/>
      <c r="G31" s="213"/>
      <c r="H31" s="213"/>
      <c r="I31" s="214"/>
    </row>
    <row r="32" spans="1:9" ht="18.75" customHeight="1" x14ac:dyDescent="0.15">
      <c r="A32" s="15"/>
      <c r="B32" s="215"/>
      <c r="C32" s="216"/>
      <c r="D32" s="216"/>
      <c r="E32" s="216"/>
      <c r="F32" s="216"/>
      <c r="G32" s="216"/>
      <c r="H32" s="216"/>
      <c r="I32" s="21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9" t="s">
        <v>161</v>
      </c>
      <c r="C35" s="210"/>
      <c r="D35" s="210"/>
      <c r="E35" s="210"/>
      <c r="F35" s="210"/>
      <c r="G35" s="210"/>
      <c r="H35" s="210"/>
      <c r="I35" s="211"/>
    </row>
    <row r="36" spans="1:9" ht="18.75" customHeight="1" x14ac:dyDescent="0.15">
      <c r="A36" s="15"/>
      <c r="B36" s="212"/>
      <c r="C36" s="213"/>
      <c r="D36" s="213"/>
      <c r="E36" s="213"/>
      <c r="F36" s="213"/>
      <c r="G36" s="213"/>
      <c r="H36" s="213"/>
      <c r="I36" s="214"/>
    </row>
    <row r="37" spans="1:9" ht="18.75" customHeight="1" x14ac:dyDescent="0.15">
      <c r="A37" s="15"/>
      <c r="B37" s="212"/>
      <c r="C37" s="213"/>
      <c r="D37" s="213"/>
      <c r="E37" s="213"/>
      <c r="F37" s="213"/>
      <c r="G37" s="213"/>
      <c r="H37" s="213"/>
      <c r="I37" s="214"/>
    </row>
    <row r="38" spans="1:9" ht="18.75" customHeight="1" x14ac:dyDescent="0.15">
      <c r="A38" s="15"/>
      <c r="B38" s="212"/>
      <c r="C38" s="213"/>
      <c r="D38" s="213"/>
      <c r="E38" s="213"/>
      <c r="F38" s="213"/>
      <c r="G38" s="213"/>
      <c r="H38" s="213"/>
      <c r="I38" s="214"/>
    </row>
    <row r="39" spans="1:9" ht="18.75" customHeight="1" x14ac:dyDescent="0.15">
      <c r="A39" s="15"/>
      <c r="B39" s="212"/>
      <c r="C39" s="213"/>
      <c r="D39" s="213"/>
      <c r="E39" s="213"/>
      <c r="F39" s="213"/>
      <c r="G39" s="213"/>
      <c r="H39" s="213"/>
      <c r="I39" s="214"/>
    </row>
    <row r="40" spans="1:9" ht="18.75" customHeight="1" x14ac:dyDescent="0.15">
      <c r="A40" s="15"/>
      <c r="B40" s="212"/>
      <c r="C40" s="213"/>
      <c r="D40" s="213"/>
      <c r="E40" s="213"/>
      <c r="F40" s="213"/>
      <c r="G40" s="213"/>
      <c r="H40" s="213"/>
      <c r="I40" s="214"/>
    </row>
    <row r="41" spans="1:9" ht="18.75" customHeight="1" x14ac:dyDescent="0.15">
      <c r="A41" s="15"/>
      <c r="B41" s="212"/>
      <c r="C41" s="213"/>
      <c r="D41" s="213"/>
      <c r="E41" s="213"/>
      <c r="F41" s="213"/>
      <c r="G41" s="213"/>
      <c r="H41" s="213"/>
      <c r="I41" s="214"/>
    </row>
    <row r="42" spans="1:9" ht="18.75" customHeight="1" x14ac:dyDescent="0.15">
      <c r="A42" s="15"/>
      <c r="B42" s="212"/>
      <c r="C42" s="213"/>
      <c r="D42" s="213"/>
      <c r="E42" s="213"/>
      <c r="F42" s="213"/>
      <c r="G42" s="213"/>
      <c r="H42" s="213"/>
      <c r="I42" s="214"/>
    </row>
    <row r="43" spans="1:9" ht="18.75" customHeight="1" x14ac:dyDescent="0.15">
      <c r="A43" s="15"/>
      <c r="B43" s="212"/>
      <c r="C43" s="213"/>
      <c r="D43" s="213"/>
      <c r="E43" s="213"/>
      <c r="F43" s="213"/>
      <c r="G43" s="213"/>
      <c r="H43" s="213"/>
      <c r="I43" s="214"/>
    </row>
    <row r="44" spans="1:9" ht="18.75" customHeight="1" x14ac:dyDescent="0.15">
      <c r="A44" s="15"/>
      <c r="B44" s="212"/>
      <c r="C44" s="213"/>
      <c r="D44" s="213"/>
      <c r="E44" s="213"/>
      <c r="F44" s="213"/>
      <c r="G44" s="213"/>
      <c r="H44" s="213"/>
      <c r="I44" s="214"/>
    </row>
    <row r="45" spans="1:9" ht="18.75" customHeight="1" x14ac:dyDescent="0.15">
      <c r="A45" s="15"/>
      <c r="B45" s="212"/>
      <c r="C45" s="213"/>
      <c r="D45" s="213"/>
      <c r="E45" s="213"/>
      <c r="F45" s="213"/>
      <c r="G45" s="213"/>
      <c r="H45" s="213"/>
      <c r="I45" s="214"/>
    </row>
    <row r="46" spans="1:9" ht="18.75" customHeight="1" x14ac:dyDescent="0.15">
      <c r="A46" s="15"/>
      <c r="B46" s="215"/>
      <c r="C46" s="216"/>
      <c r="D46" s="216"/>
      <c r="E46" s="216"/>
      <c r="F46" s="216"/>
      <c r="G46" s="216"/>
      <c r="H46" s="216"/>
      <c r="I46" s="217"/>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198">
        <f>'様式２ 履修者等数の実績'!AQ32</f>
        <v>1.5625E-2</v>
      </c>
      <c r="D49" s="198"/>
      <c r="E49" s="43" t="s">
        <v>66</v>
      </c>
      <c r="F49" s="198">
        <v>0.04</v>
      </c>
      <c r="G49" s="198"/>
      <c r="H49" s="43" t="s">
        <v>67</v>
      </c>
      <c r="I49" s="44">
        <v>0.3</v>
      </c>
      <c r="J49" s="1"/>
      <c r="M49" s="1"/>
      <c r="N49" s="45"/>
    </row>
    <row r="50" spans="1:15" s="3" customFormat="1" ht="18.75" customHeight="1" x14ac:dyDescent="0.15">
      <c r="B50" s="46" t="s">
        <v>68</v>
      </c>
      <c r="C50" s="199">
        <v>0.55000000000000004</v>
      </c>
      <c r="D50" s="199"/>
      <c r="E50" s="46" t="s">
        <v>90</v>
      </c>
      <c r="F50" s="199">
        <v>0.78</v>
      </c>
      <c r="G50" s="199"/>
      <c r="H50" s="46" t="s">
        <v>69</v>
      </c>
      <c r="I50" s="47">
        <f>'様式２ 履修者等数の実績'!E32</f>
        <v>640</v>
      </c>
      <c r="J50" s="1"/>
      <c r="M50" s="1"/>
      <c r="N50" s="45"/>
    </row>
    <row r="51" spans="1:15" ht="18.75" customHeight="1" x14ac:dyDescent="0.15">
      <c r="A51" s="1"/>
      <c r="B51" s="224" t="s">
        <v>70</v>
      </c>
      <c r="C51" s="225"/>
      <c r="D51" s="225"/>
      <c r="E51" s="225"/>
      <c r="F51" s="225"/>
      <c r="G51" s="225"/>
      <c r="H51" s="225"/>
      <c r="I51" s="226"/>
      <c r="N51" s="45"/>
      <c r="O51" s="3"/>
    </row>
    <row r="52" spans="1:15" ht="18.75" customHeight="1" x14ac:dyDescent="0.15">
      <c r="A52" s="1"/>
      <c r="B52" s="200" t="s">
        <v>176</v>
      </c>
      <c r="C52" s="201"/>
      <c r="D52" s="201"/>
      <c r="E52" s="201"/>
      <c r="F52" s="201"/>
      <c r="G52" s="201"/>
      <c r="H52" s="201"/>
      <c r="I52" s="202"/>
      <c r="N52" s="45"/>
      <c r="O52" s="3"/>
    </row>
    <row r="53" spans="1:15" ht="18.75" customHeight="1" x14ac:dyDescent="0.15">
      <c r="A53" s="1"/>
      <c r="B53" s="203"/>
      <c r="C53" s="204"/>
      <c r="D53" s="204"/>
      <c r="E53" s="204"/>
      <c r="F53" s="204"/>
      <c r="G53" s="204"/>
      <c r="H53" s="204"/>
      <c r="I53" s="205"/>
      <c r="N53" s="45"/>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2" t="s">
        <v>162</v>
      </c>
      <c r="C66" s="183"/>
      <c r="D66" s="183"/>
      <c r="E66" s="183"/>
      <c r="F66" s="183"/>
      <c r="G66" s="183"/>
      <c r="H66" s="183"/>
      <c r="I66" s="184"/>
    </row>
    <row r="67" spans="1:9" ht="18.75" customHeight="1" x14ac:dyDescent="0.15">
      <c r="A67" s="4"/>
      <c r="B67" s="185"/>
      <c r="C67" s="186"/>
      <c r="D67" s="186"/>
      <c r="E67" s="186"/>
      <c r="F67" s="186"/>
      <c r="G67" s="186"/>
      <c r="H67" s="186"/>
      <c r="I67" s="187"/>
    </row>
    <row r="68" spans="1:9" ht="18.75" customHeight="1" x14ac:dyDescent="0.15">
      <c r="A68" s="4"/>
      <c r="B68" s="185"/>
      <c r="C68" s="186"/>
      <c r="D68" s="186"/>
      <c r="E68" s="186"/>
      <c r="F68" s="186"/>
      <c r="G68" s="186"/>
      <c r="H68" s="186"/>
      <c r="I68" s="187"/>
    </row>
    <row r="69" spans="1:9" ht="18.75" customHeight="1" x14ac:dyDescent="0.15">
      <c r="A69" s="4"/>
      <c r="B69" s="185"/>
      <c r="C69" s="186"/>
      <c r="D69" s="186"/>
      <c r="E69" s="186"/>
      <c r="F69" s="186"/>
      <c r="G69" s="186"/>
      <c r="H69" s="186"/>
      <c r="I69" s="187"/>
    </row>
    <row r="70" spans="1:9" ht="18.75" customHeight="1" x14ac:dyDescent="0.15">
      <c r="A70" s="4"/>
      <c r="B70" s="185"/>
      <c r="C70" s="186"/>
      <c r="D70" s="186"/>
      <c r="E70" s="186"/>
      <c r="F70" s="186"/>
      <c r="G70" s="186"/>
      <c r="H70" s="186"/>
      <c r="I70" s="187"/>
    </row>
    <row r="71" spans="1:9" ht="18.75" customHeight="1" x14ac:dyDescent="0.15">
      <c r="A71" s="4"/>
      <c r="B71" s="185"/>
      <c r="C71" s="186"/>
      <c r="D71" s="186"/>
      <c r="E71" s="186"/>
      <c r="F71" s="186"/>
      <c r="G71" s="186"/>
      <c r="H71" s="186"/>
      <c r="I71" s="187"/>
    </row>
    <row r="72" spans="1:9" ht="18.75" customHeight="1" x14ac:dyDescent="0.15">
      <c r="A72" s="4"/>
      <c r="B72" s="185"/>
      <c r="C72" s="186"/>
      <c r="D72" s="186"/>
      <c r="E72" s="186"/>
      <c r="F72" s="186"/>
      <c r="G72" s="186"/>
      <c r="H72" s="186"/>
      <c r="I72" s="187"/>
    </row>
    <row r="73" spans="1:9" ht="18.75" customHeight="1" x14ac:dyDescent="0.15">
      <c r="A73" s="4"/>
      <c r="B73" s="185"/>
      <c r="C73" s="186"/>
      <c r="D73" s="186"/>
      <c r="E73" s="186"/>
      <c r="F73" s="186"/>
      <c r="G73" s="186"/>
      <c r="H73" s="186"/>
      <c r="I73" s="187"/>
    </row>
    <row r="74" spans="1:9" ht="18.75" customHeight="1" x14ac:dyDescent="0.15">
      <c r="A74" s="4"/>
      <c r="B74" s="185"/>
      <c r="C74" s="186"/>
      <c r="D74" s="186"/>
      <c r="E74" s="186"/>
      <c r="F74" s="186"/>
      <c r="G74" s="186"/>
      <c r="H74" s="186"/>
      <c r="I74" s="187"/>
    </row>
    <row r="75" spans="1:9" ht="18.75" customHeight="1" x14ac:dyDescent="0.15">
      <c r="A75" s="4"/>
      <c r="B75" s="185"/>
      <c r="C75" s="186"/>
      <c r="D75" s="186"/>
      <c r="E75" s="186"/>
      <c r="F75" s="186"/>
      <c r="G75" s="186"/>
      <c r="H75" s="186"/>
      <c r="I75" s="187"/>
    </row>
    <row r="76" spans="1:9" ht="18.75" customHeight="1" x14ac:dyDescent="0.15">
      <c r="A76" s="4"/>
      <c r="B76" s="185"/>
      <c r="C76" s="186"/>
      <c r="D76" s="186"/>
      <c r="E76" s="186"/>
      <c r="F76" s="186"/>
      <c r="G76" s="186"/>
      <c r="H76" s="186"/>
      <c r="I76" s="187"/>
    </row>
    <row r="77" spans="1:9" ht="18.75" customHeight="1" x14ac:dyDescent="0.15">
      <c r="A77" s="4"/>
      <c r="B77" s="188"/>
      <c r="C77" s="189"/>
      <c r="D77" s="189"/>
      <c r="E77" s="189"/>
      <c r="F77" s="189"/>
      <c r="G77" s="189"/>
      <c r="H77" s="189"/>
      <c r="I77" s="19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2" t="s">
        <v>163</v>
      </c>
      <c r="C80" s="183"/>
      <c r="D80" s="183"/>
      <c r="E80" s="183"/>
      <c r="F80" s="183"/>
      <c r="G80" s="183"/>
      <c r="H80" s="183"/>
      <c r="I80" s="191"/>
    </row>
    <row r="81" spans="1:9" ht="18.75" customHeight="1" x14ac:dyDescent="0.15">
      <c r="A81" s="1"/>
      <c r="B81" s="192"/>
      <c r="C81" s="193"/>
      <c r="D81" s="193"/>
      <c r="E81" s="193"/>
      <c r="F81" s="193"/>
      <c r="G81" s="193"/>
      <c r="H81" s="193"/>
      <c r="I81" s="194"/>
    </row>
    <row r="82" spans="1:9" ht="18.75" customHeight="1" x14ac:dyDescent="0.15">
      <c r="A82" s="1"/>
      <c r="B82" s="192"/>
      <c r="C82" s="193"/>
      <c r="D82" s="193"/>
      <c r="E82" s="193"/>
      <c r="F82" s="193"/>
      <c r="G82" s="193"/>
      <c r="H82" s="193"/>
      <c r="I82" s="194"/>
    </row>
    <row r="83" spans="1:9" ht="18.75" customHeight="1" x14ac:dyDescent="0.15">
      <c r="A83" s="1"/>
      <c r="B83" s="192"/>
      <c r="C83" s="193"/>
      <c r="D83" s="193"/>
      <c r="E83" s="193"/>
      <c r="F83" s="193"/>
      <c r="G83" s="193"/>
      <c r="H83" s="193"/>
      <c r="I83" s="194"/>
    </row>
    <row r="84" spans="1:9" ht="18.75" customHeight="1" x14ac:dyDescent="0.15">
      <c r="A84" s="1"/>
      <c r="B84" s="192"/>
      <c r="C84" s="193"/>
      <c r="D84" s="193"/>
      <c r="E84" s="193"/>
      <c r="F84" s="193"/>
      <c r="G84" s="193"/>
      <c r="H84" s="193"/>
      <c r="I84" s="194"/>
    </row>
    <row r="85" spans="1:9" ht="18.75" customHeight="1" x14ac:dyDescent="0.15">
      <c r="A85" s="1"/>
      <c r="B85" s="192"/>
      <c r="C85" s="193"/>
      <c r="D85" s="193"/>
      <c r="E85" s="193"/>
      <c r="F85" s="193"/>
      <c r="G85" s="193"/>
      <c r="H85" s="193"/>
      <c r="I85" s="194"/>
    </row>
    <row r="86" spans="1:9" ht="18.75" customHeight="1" x14ac:dyDescent="0.15">
      <c r="A86" s="1"/>
      <c r="B86" s="192"/>
      <c r="C86" s="193"/>
      <c r="D86" s="193"/>
      <c r="E86" s="193"/>
      <c r="F86" s="193"/>
      <c r="G86" s="193"/>
      <c r="H86" s="193"/>
      <c r="I86" s="194"/>
    </row>
    <row r="87" spans="1:9" ht="18.75" customHeight="1" x14ac:dyDescent="0.15">
      <c r="A87" s="1"/>
      <c r="B87" s="192"/>
      <c r="C87" s="193"/>
      <c r="D87" s="193"/>
      <c r="E87" s="193"/>
      <c r="F87" s="193"/>
      <c r="G87" s="193"/>
      <c r="H87" s="193"/>
      <c r="I87" s="194"/>
    </row>
    <row r="88" spans="1:9" ht="18.75" customHeight="1" x14ac:dyDescent="0.15">
      <c r="A88" s="1"/>
      <c r="B88" s="192"/>
      <c r="C88" s="193"/>
      <c r="D88" s="193"/>
      <c r="E88" s="193"/>
      <c r="F88" s="193"/>
      <c r="G88" s="193"/>
      <c r="H88" s="193"/>
      <c r="I88" s="194"/>
    </row>
    <row r="89" spans="1:9" ht="18.75" customHeight="1" x14ac:dyDescent="0.15">
      <c r="A89" s="1"/>
      <c r="B89" s="192"/>
      <c r="C89" s="193"/>
      <c r="D89" s="193"/>
      <c r="E89" s="193"/>
      <c r="F89" s="193"/>
      <c r="G89" s="193"/>
      <c r="H89" s="193"/>
      <c r="I89" s="194"/>
    </row>
    <row r="90" spans="1:9" ht="18.75" customHeight="1" x14ac:dyDescent="0.15">
      <c r="A90" s="4"/>
      <c r="B90" s="192"/>
      <c r="C90" s="193"/>
      <c r="D90" s="193"/>
      <c r="E90" s="193"/>
      <c r="F90" s="193"/>
      <c r="G90" s="193"/>
      <c r="H90" s="193"/>
      <c r="I90" s="194"/>
    </row>
    <row r="91" spans="1:9" ht="18.75" customHeight="1" x14ac:dyDescent="0.15">
      <c r="A91" s="4"/>
      <c r="B91" s="195"/>
      <c r="C91" s="196"/>
      <c r="D91" s="196"/>
      <c r="E91" s="196"/>
      <c r="F91" s="196"/>
      <c r="G91" s="196"/>
      <c r="H91" s="196"/>
      <c r="I91" s="19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9" t="s">
        <v>164</v>
      </c>
      <c r="C94" s="210"/>
      <c r="D94" s="210"/>
      <c r="E94" s="210"/>
      <c r="F94" s="210"/>
      <c r="G94" s="210"/>
      <c r="H94" s="210"/>
      <c r="I94" s="211"/>
    </row>
    <row r="95" spans="1:9" ht="18.75" customHeight="1" x14ac:dyDescent="0.15">
      <c r="A95" s="1"/>
      <c r="B95" s="212"/>
      <c r="C95" s="213"/>
      <c r="D95" s="213"/>
      <c r="E95" s="213"/>
      <c r="F95" s="213"/>
      <c r="G95" s="213"/>
      <c r="H95" s="213"/>
      <c r="I95" s="214"/>
    </row>
    <row r="96" spans="1:9" ht="18.75" customHeight="1" x14ac:dyDescent="0.15">
      <c r="A96" s="1"/>
      <c r="B96" s="212"/>
      <c r="C96" s="213"/>
      <c r="D96" s="213"/>
      <c r="E96" s="213"/>
      <c r="F96" s="213"/>
      <c r="G96" s="213"/>
      <c r="H96" s="213"/>
      <c r="I96" s="214"/>
    </row>
    <row r="97" spans="1:9" ht="18.75" customHeight="1" x14ac:dyDescent="0.15">
      <c r="A97" s="1"/>
      <c r="B97" s="212"/>
      <c r="C97" s="213"/>
      <c r="D97" s="213"/>
      <c r="E97" s="213"/>
      <c r="F97" s="213"/>
      <c r="G97" s="213"/>
      <c r="H97" s="213"/>
      <c r="I97" s="214"/>
    </row>
    <row r="98" spans="1:9" ht="18.75" customHeight="1" x14ac:dyDescent="0.15">
      <c r="A98" s="1"/>
      <c r="B98" s="212"/>
      <c r="C98" s="213"/>
      <c r="D98" s="213"/>
      <c r="E98" s="213"/>
      <c r="F98" s="213"/>
      <c r="G98" s="213"/>
      <c r="H98" s="213"/>
      <c r="I98" s="214"/>
    </row>
    <row r="99" spans="1:9" ht="18.75" customHeight="1" x14ac:dyDescent="0.15">
      <c r="A99" s="1"/>
      <c r="B99" s="212"/>
      <c r="C99" s="213"/>
      <c r="D99" s="213"/>
      <c r="E99" s="213"/>
      <c r="F99" s="213"/>
      <c r="G99" s="213"/>
      <c r="H99" s="213"/>
      <c r="I99" s="214"/>
    </row>
    <row r="100" spans="1:9" ht="18.75" customHeight="1" x14ac:dyDescent="0.15">
      <c r="A100" s="1"/>
      <c r="B100" s="212"/>
      <c r="C100" s="213"/>
      <c r="D100" s="213"/>
      <c r="E100" s="213"/>
      <c r="F100" s="213"/>
      <c r="G100" s="213"/>
      <c r="H100" s="213"/>
      <c r="I100" s="214"/>
    </row>
    <row r="101" spans="1:9" ht="18.75" customHeight="1" x14ac:dyDescent="0.15">
      <c r="A101" s="1"/>
      <c r="B101" s="212"/>
      <c r="C101" s="213"/>
      <c r="D101" s="213"/>
      <c r="E101" s="213"/>
      <c r="F101" s="213"/>
      <c r="G101" s="213"/>
      <c r="H101" s="213"/>
      <c r="I101" s="214"/>
    </row>
    <row r="102" spans="1:9" ht="18.75" customHeight="1" x14ac:dyDescent="0.15">
      <c r="A102" s="1"/>
      <c r="B102" s="212"/>
      <c r="C102" s="213"/>
      <c r="D102" s="213"/>
      <c r="E102" s="213"/>
      <c r="F102" s="213"/>
      <c r="G102" s="213"/>
      <c r="H102" s="213"/>
      <c r="I102" s="214"/>
    </row>
    <row r="103" spans="1:9" ht="18.75" customHeight="1" x14ac:dyDescent="0.15">
      <c r="A103" s="1"/>
      <c r="B103" s="212"/>
      <c r="C103" s="213"/>
      <c r="D103" s="213"/>
      <c r="E103" s="213"/>
      <c r="F103" s="213"/>
      <c r="G103" s="213"/>
      <c r="H103" s="213"/>
      <c r="I103" s="214"/>
    </row>
    <row r="104" spans="1:9" ht="18.75" customHeight="1" x14ac:dyDescent="0.15">
      <c r="A104" s="1"/>
      <c r="B104" s="212"/>
      <c r="C104" s="213"/>
      <c r="D104" s="213"/>
      <c r="E104" s="213"/>
      <c r="F104" s="213"/>
      <c r="G104" s="213"/>
      <c r="H104" s="213"/>
      <c r="I104" s="214"/>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30</v>
      </c>
      <c r="B107" s="218" t="s">
        <v>46</v>
      </c>
      <c r="C107" s="218"/>
      <c r="D107" s="218"/>
      <c r="E107" s="218"/>
      <c r="F107" s="218"/>
      <c r="G107" s="218"/>
      <c r="H107" s="218"/>
      <c r="I107" s="218"/>
    </row>
    <row r="108" spans="1:9" ht="18.75" customHeight="1" x14ac:dyDescent="0.15">
      <c r="A108" s="4"/>
      <c r="B108" s="209" t="s">
        <v>165</v>
      </c>
      <c r="C108" s="210"/>
      <c r="D108" s="210"/>
      <c r="E108" s="210"/>
      <c r="F108" s="210"/>
      <c r="G108" s="210"/>
      <c r="H108" s="210"/>
      <c r="I108" s="211"/>
    </row>
    <row r="109" spans="1:9" ht="18.75" customHeight="1" x14ac:dyDescent="0.15">
      <c r="A109" s="4"/>
      <c r="B109" s="212"/>
      <c r="C109" s="213"/>
      <c r="D109" s="213"/>
      <c r="E109" s="213"/>
      <c r="F109" s="213"/>
      <c r="G109" s="213"/>
      <c r="H109" s="213"/>
      <c r="I109" s="214"/>
    </row>
    <row r="110" spans="1:9" ht="18.75" customHeight="1" x14ac:dyDescent="0.15">
      <c r="A110" s="4"/>
      <c r="B110" s="212"/>
      <c r="C110" s="213"/>
      <c r="D110" s="213"/>
      <c r="E110" s="213"/>
      <c r="F110" s="213"/>
      <c r="G110" s="213"/>
      <c r="H110" s="213"/>
      <c r="I110" s="214"/>
    </row>
    <row r="111" spans="1:9" ht="18.75" customHeight="1" x14ac:dyDescent="0.15">
      <c r="A111" s="4"/>
      <c r="B111" s="212"/>
      <c r="C111" s="213"/>
      <c r="D111" s="213"/>
      <c r="E111" s="213"/>
      <c r="F111" s="213"/>
      <c r="G111" s="213"/>
      <c r="H111" s="213"/>
      <c r="I111" s="214"/>
    </row>
    <row r="112" spans="1:9" ht="18.75" customHeight="1" x14ac:dyDescent="0.15">
      <c r="A112" s="4"/>
      <c r="B112" s="212"/>
      <c r="C112" s="213"/>
      <c r="D112" s="213"/>
      <c r="E112" s="213"/>
      <c r="F112" s="213"/>
      <c r="G112" s="213"/>
      <c r="H112" s="213"/>
      <c r="I112" s="214"/>
    </row>
    <row r="113" spans="1:9" ht="18.75" customHeight="1" x14ac:dyDescent="0.15">
      <c r="A113" s="4"/>
      <c r="B113" s="212"/>
      <c r="C113" s="213"/>
      <c r="D113" s="213"/>
      <c r="E113" s="213"/>
      <c r="F113" s="213"/>
      <c r="G113" s="213"/>
      <c r="H113" s="213"/>
      <c r="I113" s="214"/>
    </row>
    <row r="114" spans="1:9" ht="18.75" customHeight="1" x14ac:dyDescent="0.15">
      <c r="A114" s="4"/>
      <c r="B114" s="212"/>
      <c r="C114" s="213"/>
      <c r="D114" s="213"/>
      <c r="E114" s="213"/>
      <c r="F114" s="213"/>
      <c r="G114" s="213"/>
      <c r="H114" s="213"/>
      <c r="I114" s="214"/>
    </row>
    <row r="115" spans="1:9" ht="18.75" customHeight="1" x14ac:dyDescent="0.15">
      <c r="A115" s="4"/>
      <c r="B115" s="212"/>
      <c r="C115" s="213"/>
      <c r="D115" s="213"/>
      <c r="E115" s="213"/>
      <c r="F115" s="213"/>
      <c r="G115" s="213"/>
      <c r="H115" s="213"/>
      <c r="I115" s="214"/>
    </row>
    <row r="116" spans="1:9" ht="18.75" customHeight="1" x14ac:dyDescent="0.15">
      <c r="A116" s="4"/>
      <c r="B116" s="212"/>
      <c r="C116" s="213"/>
      <c r="D116" s="213"/>
      <c r="E116" s="213"/>
      <c r="F116" s="213"/>
      <c r="G116" s="213"/>
      <c r="H116" s="213"/>
      <c r="I116" s="214"/>
    </row>
    <row r="117" spans="1:9" ht="18.75" customHeight="1" x14ac:dyDescent="0.15">
      <c r="A117" s="4"/>
      <c r="B117" s="212"/>
      <c r="C117" s="213"/>
      <c r="D117" s="213"/>
      <c r="E117" s="213"/>
      <c r="F117" s="213"/>
      <c r="G117" s="213"/>
      <c r="H117" s="213"/>
      <c r="I117" s="214"/>
    </row>
    <row r="118" spans="1:9" ht="18.75" customHeight="1" x14ac:dyDescent="0.15">
      <c r="A118" s="4"/>
      <c r="B118" s="212"/>
      <c r="C118" s="213"/>
      <c r="D118" s="213"/>
      <c r="E118" s="213"/>
      <c r="F118" s="213"/>
      <c r="G118" s="213"/>
      <c r="H118" s="213"/>
      <c r="I118" s="214"/>
    </row>
    <row r="119" spans="1:9" ht="18.75" customHeight="1" x14ac:dyDescent="0.15">
      <c r="A119" s="4"/>
      <c r="B119" s="215"/>
      <c r="C119" s="216"/>
      <c r="D119" s="216"/>
      <c r="E119" s="216"/>
      <c r="F119" s="216"/>
      <c r="G119" s="216"/>
      <c r="H119" s="216"/>
      <c r="I119" s="217"/>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4" zoomScale="85" zoomScaleNormal="100" zoomScaleSheetLayoutView="85"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山梨英和大学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0" t="s">
        <v>159</v>
      </c>
      <c r="C6" s="256"/>
      <c r="D6" s="256"/>
      <c r="E6" s="256"/>
      <c r="F6" s="256"/>
      <c r="G6" s="256"/>
      <c r="H6" s="257"/>
      <c r="I6" s="3"/>
    </row>
    <row r="7" spans="1:9" ht="9" customHeight="1" x14ac:dyDescent="0.15">
      <c r="A7" s="5"/>
      <c r="B7" s="10"/>
      <c r="C7" s="10"/>
      <c r="D7" s="10"/>
      <c r="E7" s="10"/>
      <c r="F7" s="10"/>
      <c r="G7" s="10"/>
      <c r="H7" s="10"/>
      <c r="I7" s="3"/>
    </row>
    <row r="8" spans="1:9" ht="18.75" customHeight="1" x14ac:dyDescent="0.15">
      <c r="A8" s="5"/>
      <c r="B8" s="3"/>
      <c r="C8" s="3"/>
      <c r="D8" s="35" t="s">
        <v>43</v>
      </c>
      <c r="E8" s="36" t="s">
        <v>157</v>
      </c>
      <c r="F8" s="3"/>
      <c r="G8" s="35" t="s">
        <v>10</v>
      </c>
      <c r="H8" s="36" t="s">
        <v>158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5" t="s">
        <v>24</v>
      </c>
      <c r="C11" s="96"/>
      <c r="D11" s="97"/>
      <c r="E11" s="96" t="s">
        <v>26</v>
      </c>
      <c r="F11" s="96"/>
      <c r="G11" s="96"/>
      <c r="H11" s="96"/>
      <c r="I11" s="97"/>
    </row>
    <row r="12" spans="1:9" ht="26.25" customHeight="1" x14ac:dyDescent="0.15">
      <c r="B12" s="50" t="s">
        <v>14</v>
      </c>
      <c r="C12" s="57"/>
      <c r="D12" s="51"/>
      <c r="E12" s="58"/>
      <c r="F12" s="58"/>
      <c r="G12" s="58"/>
      <c r="H12" s="58"/>
      <c r="I12" s="51"/>
    </row>
    <row r="13" spans="1:9" ht="210.75" customHeight="1" x14ac:dyDescent="0.15">
      <c r="B13" s="52"/>
      <c r="C13" s="239" t="s">
        <v>15</v>
      </c>
      <c r="D13" s="240"/>
      <c r="E13" s="252" t="s">
        <v>166</v>
      </c>
      <c r="F13" s="241"/>
      <c r="G13" s="241"/>
      <c r="H13" s="241"/>
      <c r="I13" s="242"/>
    </row>
    <row r="14" spans="1:9" ht="210.75" customHeight="1" x14ac:dyDescent="0.15">
      <c r="B14" s="52"/>
      <c r="C14" s="254" t="s">
        <v>16</v>
      </c>
      <c r="D14" s="255"/>
      <c r="E14" s="252" t="s">
        <v>167</v>
      </c>
      <c r="F14" s="241"/>
      <c r="G14" s="241"/>
      <c r="H14" s="241"/>
      <c r="I14" s="242"/>
    </row>
    <row r="15" spans="1:9" ht="210.75" customHeight="1" x14ac:dyDescent="0.15">
      <c r="B15" s="52"/>
      <c r="C15" s="239" t="s">
        <v>17</v>
      </c>
      <c r="D15" s="240"/>
      <c r="E15" s="252" t="s">
        <v>168</v>
      </c>
      <c r="F15" s="241"/>
      <c r="G15" s="241"/>
      <c r="H15" s="241"/>
      <c r="I15" s="242"/>
    </row>
    <row r="16" spans="1:9" ht="210.75" customHeight="1" x14ac:dyDescent="0.15">
      <c r="B16" s="52"/>
      <c r="C16" s="239" t="s">
        <v>18</v>
      </c>
      <c r="D16" s="240"/>
      <c r="E16" s="252" t="s">
        <v>169</v>
      </c>
      <c r="F16" s="241"/>
      <c r="G16" s="241"/>
      <c r="H16" s="241"/>
      <c r="I16" s="242"/>
    </row>
    <row r="17" spans="2:9" ht="210.75" customHeight="1" x14ac:dyDescent="0.15">
      <c r="B17" s="53"/>
      <c r="C17" s="243" t="s">
        <v>19</v>
      </c>
      <c r="D17" s="244"/>
      <c r="E17" s="253" t="s">
        <v>170</v>
      </c>
      <c r="F17" s="245"/>
      <c r="G17" s="245"/>
      <c r="H17" s="245"/>
      <c r="I17" s="246"/>
    </row>
    <row r="18" spans="2:9" ht="24" customHeight="1" x14ac:dyDescent="0.15">
      <c r="B18" s="50" t="s">
        <v>20</v>
      </c>
      <c r="C18" s="54"/>
      <c r="D18" s="55"/>
      <c r="E18" s="56"/>
      <c r="F18" s="56"/>
      <c r="G18" s="56"/>
      <c r="H18" s="56"/>
      <c r="I18" s="59"/>
    </row>
    <row r="19" spans="2:9" ht="218.25" customHeight="1" x14ac:dyDescent="0.15">
      <c r="B19" s="52"/>
      <c r="C19" s="239" t="s">
        <v>21</v>
      </c>
      <c r="D19" s="240"/>
      <c r="E19" s="241" t="s">
        <v>171</v>
      </c>
      <c r="F19" s="241"/>
      <c r="G19" s="241"/>
      <c r="H19" s="241"/>
      <c r="I19" s="242"/>
    </row>
    <row r="20" spans="2:9" ht="218.25" customHeight="1" x14ac:dyDescent="0.15">
      <c r="B20" s="53"/>
      <c r="C20" s="243" t="s">
        <v>22</v>
      </c>
      <c r="D20" s="244"/>
      <c r="E20" s="245" t="s">
        <v>172</v>
      </c>
      <c r="F20" s="245"/>
      <c r="G20" s="245"/>
      <c r="H20" s="245"/>
      <c r="I20" s="246"/>
    </row>
    <row r="21" spans="2:9" ht="218.25" customHeight="1" x14ac:dyDescent="0.15">
      <c r="B21" s="247" t="s">
        <v>23</v>
      </c>
      <c r="C21" s="248"/>
      <c r="D21" s="249"/>
      <c r="E21" s="250" t="s">
        <v>173</v>
      </c>
      <c r="F21" s="250"/>
      <c r="G21" s="250"/>
      <c r="H21" s="250"/>
      <c r="I21" s="251"/>
    </row>
    <row r="22" spans="2:9" ht="218.25" customHeight="1" x14ac:dyDescent="0.15">
      <c r="B22" s="234" t="s">
        <v>38</v>
      </c>
      <c r="C22" s="235"/>
      <c r="D22" s="236"/>
      <c r="E22" s="237" t="s">
        <v>174</v>
      </c>
      <c r="F22" s="237"/>
      <c r="G22" s="237"/>
      <c r="H22" s="237"/>
      <c r="I22" s="23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Horiuchi Hitoshi</cp:lastModifiedBy>
  <cp:lastPrinted>2023-06-26T01:10:53Z</cp:lastPrinted>
  <dcterms:created xsi:type="dcterms:W3CDTF">2011-06-14T05:32:50Z</dcterms:created>
  <dcterms:modified xsi:type="dcterms:W3CDTF">2023-06-26T01:12:17Z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