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eisen-jc.local\fserver\非公開\事務局\経営企画室\⑭数理・データサイエンス・AI教育プログラム\文科省申請　数理・データサイエンス・ＡＩ教育プログラム認定制度　20230515\提出 - コピー\大学\清泉女学院大学\01_清泉女学院大学_リテラシー\"/>
    </mc:Choice>
  </mc:AlternateContent>
  <bookViews>
    <workbookView xWindow="0" yWindow="0" windowWidth="28800" windowHeight="1401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<sst xmlns="http://schemas.openxmlformats.org/spreadsheetml/2006/main" count="297" uniqueCount="173">
  <si>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</si>
  <si>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</si>
  <si>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</si>
  <si>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</si>
  <si>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</si>
  <si>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</si>
  <si>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</si>
  <si>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</si>
  <si>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</si>
  <si>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</si>
  <si>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</si>
  <si>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</si>
  <si>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</si>
  <si>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</si>
  <si>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</si>
  <si>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</si>
  <si>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</si>
  <si>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</si>
  <si>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</si>
  <si>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</si>
  <si>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</si>
  <si>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</si>
  <si>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</si>
  <si>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</si>
  <si>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</si>
  <si>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</si>
  <si>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</si>
  <si>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</si>
  <si>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</si>
  <si>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</si>
  <si>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</si>
  <si>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</si>
  <si>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</si>
  <si>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</si>
  <si>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</si>
  <si>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</si>
  <si>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</si>
  <si>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</si>
  <si>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</si>
  <si>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</si>
  <si>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</si>
  <si>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</si>
  <si>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</si>
  <si>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</si>
  <si>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</si>
  <si>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</si>
  <si>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</si>
  <si>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</si>
  <si>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</si>
  <si>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</si>
  <si>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</si>
  <si>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</si>
  <si>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</si>
  <si>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</si>
  <si>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</si>
  <si>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</si>
  <si>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</si>
  <si>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</si>
  <si>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</si>
  <si>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</si>
  <si>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</si>
  <si>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</si>
  <si>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</si>
  <si>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</si>
  <si>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</si>
  <si>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</si>
  <si>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</si>
  <si>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</si>
  <si>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</si>
  <si>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</si>
  <si>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</si>
  <si>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</si>
  <si>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</si>
  <si>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</si>
  <si>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</si>
  <si>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</si>
  <si>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</si>
  <si>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</si>
  <si>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</si>
  <si>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</si>
  <si>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</si>
  <si>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</si>
  <si>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</si>
  <si>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</si>
  <si>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</si>
  <si>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</si>
  <si>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</si>
  <si>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</si>
  <si>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</si>
  <si>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</si>
  <si>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</si>
  <si>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</si>
  <si>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</si>
  <si>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</si>
  <si>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</si>
  <si>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</si>
  <si>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</si>
  <si>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</si>
  <si>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</si>
  <si>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</si>
  <si>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</si>
  <si>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</si>
  <si>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</si>
  <si>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</si>
  <si>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</si>
  <si>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</si>
  <si>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</si>
  <si>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</si>
  <si>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</si>
  <si>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</si>
  <si>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</si>
  <si>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</si>
  <si>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</si>
  <si>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</si>
  <si>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</si>
  <si>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</si>
  <si>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</si>
  <si>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</si>
  <si>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</si>
  <si>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</si>
  <si>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</si>
  <si>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</si>
  <si>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</si>
  <si>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</si>
  <si>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</si>
  <si>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</si>
  <si>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</si>
  <si>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清泉女学院大学</t>
    <rPh sb="0" eb="7">
      <t>セイセンジョガクインダイガク</t>
    </rPh>
    <phoneticPr fontId="1"/>
  </si>
  <si>
    <t>清泉AIリテラシー講座</t>
    <rPh sb="0" eb="2">
      <t>セイセン</t>
    </rPh>
    <rPh sb="9" eb="11">
      <t>コウザ</t>
    </rPh>
    <phoneticPr fontId="1"/>
  </si>
  <si>
    <t>学部・学科によって、修了要件は相違しない</t>
  </si>
  <si>
    <t>共通教育科目の「データサイエンスとAI」の単位を修得すること</t>
    <phoneticPr fontId="1"/>
  </si>
  <si>
    <t>データサイエンスとAI</t>
    <phoneticPr fontId="1"/>
  </si>
  <si>
    <t>国が示した「AI戦略2019」の初級レベルの数理・データサイエンス・AIの知識・技能を習得できる。</t>
    <phoneticPr fontId="1"/>
  </si>
  <si>
    <t>令和4</t>
    <rPh sb="0" eb="2">
      <t>レイワ</t>
    </rPh>
    <phoneticPr fontId="1"/>
  </si>
  <si>
    <t>○</t>
  </si>
  <si>
    <t xml:space="preserve">科目名【データサイエンスとAI】　第2講
補助教材内容【AIリテラシー講座　導入Bの第1,2回　動画15分程度×6本　小テスト6個】
社会で起きている変化（AIが注目される背景、★第4次産業革命、Society 5.0、データ駆動型社会）
AIは何に活用できるのか、AIが注目される背景、★複数技術を組み合わせたAIサービス
</t>
    <phoneticPr fontId="1"/>
  </si>
  <si>
    <t>科目名【データサイエンスとAI】　第4講
補助教材内容【AIリテラシー講座　導入Bの第8回　動画15分程度×3本　小テスト3個】
ニューラルネットと深層学習、AI最新技術の活用例（画像認識）、★深層生成モデル、強化学習、転移学習</t>
    <phoneticPr fontId="1"/>
  </si>
  <si>
    <t>科目名【データサイエンスとAI】　第2講
補助教材内容【AIリテラシー講座　導入Bの第3回　動画15分程度×3本　小テスト3個】
データの取得・作成・★オープン化、★1次データ、2次データ、データのメタ化、★構造化及び非構造化データ</t>
    <phoneticPr fontId="1"/>
  </si>
  <si>
    <t>科目名【データサイエンスとAI】　第3講
補助教材内容【AIリテラシー講座　導入Bの第4回　動画15分程度×3本　小テスト3個】
企業におけるデータサイエンスの利用（★仮説検証、知識発見、計画策定、判断支援）
★マーケティングと原因究明、機械による自動化（★製造、物流、販売）、★AIによる新規生成（音声、古文書翻訳等）
★商品のレコメンデーション、敵対的生成ネットワーク（GAN）　←（導入1.6の一部）</t>
    <phoneticPr fontId="1"/>
  </si>
  <si>
    <t>科目名【データサイエンスとAI】　第3講
補助教材内容【AIリテラシー講座　導入Bの第5,6回　動画15分程度×6本　小テスト6個】
データ・AIを活用の技術概要、★非構造化データ処理（音声、テキスト、画像、動画）
★データ可視化（複合グラフ、2軸グラフ）、★挙動・軌跡の可視化、★リアルタイム可視化
★パターン認識（認識技術、ルールベース、自動化技術）</t>
    <phoneticPr fontId="1"/>
  </si>
  <si>
    <t>科目名【データサイエンスとAI】　第4,5講
補助教材内容【AIリテラシー講座　導入Bの第7回　動画15分程度×3本　小テスト3個】
補助教材内容【AIリテラシー講座　導入Aの第3,8回　動画15分程度×7本　小テスト6個】
★データサイエンスのサイクル、★AI利活用の事例①（スポーツ、流通、製造、マーケティング）
★AI利活用の事例②（画像処理によるヘルスケア及びインフラ分野への適用、自動運転）</t>
    <phoneticPr fontId="1"/>
  </si>
  <si>
    <t>科目名【データサイエンスとAI】　第6,7講
補助教材内容【AIリテラシー講座　心得の第1,2,3,4回　動画15分程度×12本　小テスト12個】
★ELSI、個人情報保護、EU一般データ保護規則（GDPR）、忘れられる権利、オプトアウト
★データ倫理（ねつ造、改ざん、盗用、プライバシー保護）、★AI社会原則</t>
    <phoneticPr fontId="1"/>
  </si>
  <si>
    <t>科目名【データサイエンスとAI】　第12,13,14講
補助教材内容【AIリテラシー講座　基礎Bの第4,5,6回　動画15分程度×9本　小テスト9個】
データの信頼性、２つの質的データの関係、★統計情報の正しい理解、質的データの可視化、量的データの可視化
★データの図表表現（棒グラフ、折線グラフ、散布図、ヒートマップ）、★データの比較の方法</t>
    <phoneticPr fontId="1"/>
  </si>
  <si>
    <t>科目名【データサイエンスとAI】　第9,10,11講
補助教材内容【AIリテラシー講座　基礎Bの第1,2,3回　動画15分程度×9本　小テスト9個】
量的・質的データ、データの作り方の基本、★データの代表値（平均値、中央値、最頻値）
★データのばらつき（分散、標準偏差、偏差値）、データの標準化、5数要約と箱ひげ図
★2変数のデータと散布図、2変数の関係と共分散、★相関係数</t>
    <phoneticPr fontId="1"/>
  </si>
  <si>
    <t>科目名【データサイエンスとAI】　第6,7講
補助教材内容【AIリテラシー講座　心得の第5,6,7,8回　動画15分程度×12本　小テスト12個】
★データバイアス、★AIサービスの責任論、★AI活用における負の事例、★情報セキュリティ（機密性、完全性、可用性）
★暗号化（公開鍵暗号、電子署名）、★パスワード、★悪意ある情報搾取（ランサムウェア）</t>
    <phoneticPr fontId="1"/>
  </si>
  <si>
    <t>科目名【データサイエンスとAI】　第15,16講
補助教材内容【AIリテラシー講座　基礎Bの第7,8回　動画15分程度×6本　小テスト6個】
★データ解析ツール（スプレッドシート）、★データの並び替え・ランキング、
実データ（★表形式のcsvデータ）を活用した分析レポート作成</t>
    <phoneticPr fontId="1"/>
  </si>
  <si>
    <t>人間学部</t>
    <rPh sb="0" eb="2">
      <t>ニンゲン</t>
    </rPh>
    <rPh sb="2" eb="4">
      <t>ガクブ</t>
    </rPh>
    <phoneticPr fontId="1"/>
  </si>
  <si>
    <t>看護学部</t>
    <rPh sb="0" eb="2">
      <t>カンゴ</t>
    </rPh>
    <rPh sb="2" eb="4">
      <t>ガクブ</t>
    </rPh>
    <phoneticPr fontId="1"/>
  </si>
  <si>
    <t>榊原　直樹</t>
    <rPh sb="0" eb="2">
      <t>サカキバラ</t>
    </rPh>
    <rPh sb="3" eb="5">
      <t>ナオキ</t>
    </rPh>
    <phoneticPr fontId="1"/>
  </si>
  <si>
    <t>人間学部文化学科　講師</t>
    <rPh sb="0" eb="2">
      <t>ニンゲン</t>
    </rPh>
    <rPh sb="2" eb="4">
      <t>ガクブ</t>
    </rPh>
    <rPh sb="4" eb="6">
      <t>ブンカ</t>
    </rPh>
    <rPh sb="6" eb="8">
      <t>ガッカ</t>
    </rPh>
    <rPh sb="9" eb="11">
      <t>コウシ</t>
    </rPh>
    <phoneticPr fontId="1"/>
  </si>
  <si>
    <t>情報システム委員会　AIリテラシー教育部会</t>
    <rPh sb="0" eb="2">
      <t>ジョウホウ</t>
    </rPh>
    <rPh sb="6" eb="9">
      <t>イインカイ</t>
    </rPh>
    <rPh sb="17" eb="19">
      <t>キョウイク</t>
    </rPh>
    <rPh sb="19" eb="21">
      <t>ブカイ</t>
    </rPh>
    <phoneticPr fontId="1"/>
  </si>
  <si>
    <t>片瀬　拓弥</t>
    <rPh sb="0" eb="2">
      <t>カタセ</t>
    </rPh>
    <rPh sb="3" eb="5">
      <t>タクヤ</t>
    </rPh>
    <phoneticPr fontId="1"/>
  </si>
  <si>
    <t>清泉女学院短期大学　国際コミュニケーション科　教授</t>
    <rPh sb="0" eb="9">
      <t>セイセンジョガクインタンキダイガク</t>
    </rPh>
    <rPh sb="10" eb="12">
      <t>コクサイ</t>
    </rPh>
    <rPh sb="21" eb="22">
      <t>カ</t>
    </rPh>
    <rPh sb="23" eb="25">
      <t>キョウジュ</t>
    </rPh>
    <phoneticPr fontId="1"/>
  </si>
  <si>
    <t>清泉女学院短期大学　国際コミュニケーション科　教授　片瀬拓弥
清泉女学院大学　人間学部　講師　榊原直樹
事務局　経営企画室　事務局次長　木村喜昭
事務局　経営企画室　主任　広沢友美
以上4名で構成している。</t>
    <rPh sb="0" eb="9">
      <t>セイセンジョガクインタンキダイガク</t>
    </rPh>
    <rPh sb="10" eb="12">
      <t>コクサイ</t>
    </rPh>
    <rPh sb="21" eb="22">
      <t>カ</t>
    </rPh>
    <rPh sb="23" eb="25">
      <t>キョウジュ</t>
    </rPh>
    <rPh sb="26" eb="28">
      <t>カタセ</t>
    </rPh>
    <rPh sb="28" eb="30">
      <t>タクヤ</t>
    </rPh>
    <rPh sb="31" eb="38">
      <t>セイセンジョガクインダイガク</t>
    </rPh>
    <rPh sb="39" eb="41">
      <t>ニンゲン</t>
    </rPh>
    <rPh sb="41" eb="43">
      <t>ガクブ</t>
    </rPh>
    <rPh sb="44" eb="46">
      <t>コウシ</t>
    </rPh>
    <rPh sb="47" eb="49">
      <t>サカキバラ</t>
    </rPh>
    <rPh sb="49" eb="51">
      <t>ナオキ</t>
    </rPh>
    <rPh sb="52" eb="55">
      <t>ジムキョク</t>
    </rPh>
    <rPh sb="56" eb="58">
      <t>ケイエイ</t>
    </rPh>
    <rPh sb="58" eb="61">
      <t>キカクシツ</t>
    </rPh>
    <rPh sb="62" eb="65">
      <t>ジムキョク</t>
    </rPh>
    <rPh sb="65" eb="67">
      <t>ジチョウ</t>
    </rPh>
    <rPh sb="68" eb="70">
      <t>キムラ</t>
    </rPh>
    <rPh sb="70" eb="72">
      <t>ヨシアキ</t>
    </rPh>
    <rPh sb="73" eb="76">
      <t>ジムキョク</t>
    </rPh>
    <rPh sb="77" eb="82">
      <t>ケイエイキカクシツ</t>
    </rPh>
    <rPh sb="83" eb="85">
      <t>シュニン</t>
    </rPh>
    <rPh sb="86" eb="88">
      <t>ヒロサワ</t>
    </rPh>
    <rPh sb="88" eb="90">
      <t>トモミ</t>
    </rPh>
    <rPh sb="91" eb="93">
      <t>イジョウ</t>
    </rPh>
    <rPh sb="94" eb="95">
      <t>メイ</t>
    </rPh>
    <rPh sb="96" eb="98">
      <t>コウセイ</t>
    </rPh>
    <phoneticPr fontId="1"/>
  </si>
  <si>
    <t>清泉女学院大学・清泉女学院短期大学の情報システムの合理的運用、及び情報教育に関する調査・推進を行う情報システム委員会を設置している。
その中でも、「AIリテラシー教育部会」を設置し、本学のデータサイエンスをはじめとした情報教育のカリキュラム編成等を検討・運用する全学的な組織である。具体的には、情報教育の基本方針の策定を行うとともに、文部科学大臣が定める「数理・データサイエンス・AI教育プログラム認定制度」に基づく認定プログラム「清泉AIリテラシー講座」の立案、実施、検証、改善を継続的に行うこととしている。</t>
    <rPh sb="0" eb="7">
      <t>セイセンジョガクインダイガク</t>
    </rPh>
    <rPh sb="8" eb="17">
      <t>セイセンジョガクインタンキダイガク</t>
    </rPh>
    <rPh sb="18" eb="20">
      <t>ジョウホウ</t>
    </rPh>
    <rPh sb="25" eb="28">
      <t>ゴウリテキ</t>
    </rPh>
    <rPh sb="28" eb="30">
      <t>ウンヨウ</t>
    </rPh>
    <rPh sb="31" eb="32">
      <t>オヨ</t>
    </rPh>
    <rPh sb="33" eb="35">
      <t>ジョウホウ</t>
    </rPh>
    <rPh sb="35" eb="37">
      <t>キョウイク</t>
    </rPh>
    <rPh sb="38" eb="39">
      <t>カン</t>
    </rPh>
    <rPh sb="41" eb="43">
      <t>チョウサ</t>
    </rPh>
    <rPh sb="44" eb="46">
      <t>スイシン</t>
    </rPh>
    <rPh sb="47" eb="48">
      <t>オコナ</t>
    </rPh>
    <rPh sb="49" eb="51">
      <t>ジョウホウ</t>
    </rPh>
    <rPh sb="55" eb="58">
      <t>イインカイ</t>
    </rPh>
    <rPh sb="59" eb="61">
      <t>セッチ</t>
    </rPh>
    <rPh sb="69" eb="70">
      <t>ナカ</t>
    </rPh>
    <rPh sb="81" eb="83">
      <t>キョウイク</t>
    </rPh>
    <rPh sb="83" eb="85">
      <t>ブカイ</t>
    </rPh>
    <rPh sb="147" eb="149">
      <t>ジョウホウ</t>
    </rPh>
    <rPh sb="149" eb="151">
      <t>キョウイク</t>
    </rPh>
    <rPh sb="216" eb="218">
      <t>セイセン</t>
    </rPh>
    <rPh sb="225" eb="227">
      <t>コウザ</t>
    </rPh>
    <rPh sb="235" eb="237">
      <t>ケンショウ</t>
    </rPh>
    <phoneticPr fontId="1"/>
  </si>
  <si>
    <t>履修率の向上のために、「清泉AIリテラシー講座」に関する広報活動、履修者支援および今後の履修希望者増加に対する受け入れ整備の観点から以下を計画している。
①プログラムの広報活動として、本学学生全体に向けた普及を目的に、公式Webサイトや学生用のポータルサイトを作成し、情報提供を行う。
②本プログラムの履修者数向上を目指し、担当教員を中心にデータリテラシープログラムの科目における学びを支援するためのQ&amp;A教室等を開設し、学びの質の担保と共に修了率をあげることを目指す。
③毎年度、学生の履修後のアンケート等によるプログラム検証をし、適切なプログラムの開講を行う。</t>
    <rPh sb="238" eb="241">
      <t>マイネンド</t>
    </rPh>
    <rPh sb="242" eb="244">
      <t>ガクセイ</t>
    </rPh>
    <rPh sb="247" eb="248">
      <t>ゴ</t>
    </rPh>
    <rPh sb="254" eb="255">
      <t>トウ</t>
    </rPh>
    <rPh sb="263" eb="265">
      <t>ケンショウ</t>
    </rPh>
    <rPh sb="280" eb="281">
      <t>オコナ</t>
    </rPh>
    <phoneticPr fontId="1"/>
  </si>
  <si>
    <t>大学学生全員が受講可能となるよう、以下の取組をしている。
①清泉AIリテラシー講座の科目【データサイエンスとAI】　は全学の共通教育科目に位置づけている。
②オンデマンド型授業を併用しながら行う授業であり、自宅等でオンデマンドコンテンツを視聴、・小テストを実施することができる。</t>
    <rPh sb="0" eb="2">
      <t>ダイガク</t>
    </rPh>
    <rPh sb="2" eb="4">
      <t>ガクセイ</t>
    </rPh>
    <rPh sb="4" eb="6">
      <t>ゼンイン</t>
    </rPh>
    <rPh sb="7" eb="9">
      <t>ジュコウ</t>
    </rPh>
    <rPh sb="9" eb="11">
      <t>カノウ</t>
    </rPh>
    <rPh sb="17" eb="19">
      <t>イカ</t>
    </rPh>
    <rPh sb="20" eb="22">
      <t>トリクミ</t>
    </rPh>
    <rPh sb="31" eb="33">
      <t>セイセン</t>
    </rPh>
    <rPh sb="40" eb="42">
      <t>コウザ</t>
    </rPh>
    <rPh sb="43" eb="45">
      <t>カモク</t>
    </rPh>
    <rPh sb="60" eb="62">
      <t>ゼンガク</t>
    </rPh>
    <rPh sb="63" eb="69">
      <t>キョウツウキョウイクカモク</t>
    </rPh>
    <rPh sb="70" eb="72">
      <t>イチ</t>
    </rPh>
    <rPh sb="86" eb="87">
      <t>ガタ</t>
    </rPh>
    <rPh sb="87" eb="89">
      <t>ジュギョウ</t>
    </rPh>
    <rPh sb="90" eb="92">
      <t>ヘイヨウ</t>
    </rPh>
    <rPh sb="96" eb="97">
      <t>オコナ</t>
    </rPh>
    <rPh sb="98" eb="100">
      <t>ジュギョウ</t>
    </rPh>
    <rPh sb="104" eb="106">
      <t>ジタク</t>
    </rPh>
    <rPh sb="106" eb="107">
      <t>トウ</t>
    </rPh>
    <rPh sb="120" eb="122">
      <t>シチョウ</t>
    </rPh>
    <rPh sb="124" eb="125">
      <t>ショウ</t>
    </rPh>
    <rPh sb="129" eb="131">
      <t>ジッシ</t>
    </rPh>
    <phoneticPr fontId="1"/>
  </si>
  <si>
    <t>周知方法は以下の通り行った。
①オリエンテーションで科目履修の説明を行う際、清泉AIリテラシー講座の説明も同時に行い、学生に周知をした。
②学内連絡システムを用いて清泉AIリテラシー講座の科目【データサイエンスとAI】の履修促進を行った。</t>
    <rPh sb="0" eb="2">
      <t>シュウチ</t>
    </rPh>
    <rPh sb="2" eb="4">
      <t>ホウホウ</t>
    </rPh>
    <rPh sb="5" eb="7">
      <t>イカ</t>
    </rPh>
    <rPh sb="8" eb="9">
      <t>トオ</t>
    </rPh>
    <rPh sb="10" eb="11">
      <t>オコナ</t>
    </rPh>
    <rPh sb="27" eb="29">
      <t>カモク</t>
    </rPh>
    <rPh sb="29" eb="31">
      <t>リシュウ</t>
    </rPh>
    <rPh sb="32" eb="34">
      <t>セツメイ</t>
    </rPh>
    <rPh sb="35" eb="36">
      <t>オコナ</t>
    </rPh>
    <rPh sb="37" eb="38">
      <t>サイ</t>
    </rPh>
    <rPh sb="39" eb="41">
      <t>セイセン</t>
    </rPh>
    <rPh sb="48" eb="50">
      <t>コウザ</t>
    </rPh>
    <rPh sb="51" eb="53">
      <t>セツメイ</t>
    </rPh>
    <rPh sb="54" eb="56">
      <t>ドウジ</t>
    </rPh>
    <rPh sb="57" eb="58">
      <t>オコナ</t>
    </rPh>
    <rPh sb="60" eb="62">
      <t>ガクセイ</t>
    </rPh>
    <rPh sb="63" eb="65">
      <t>シュウチ</t>
    </rPh>
    <rPh sb="71" eb="73">
      <t>ガクナイ</t>
    </rPh>
    <rPh sb="73" eb="75">
      <t>レンラク</t>
    </rPh>
    <rPh sb="80" eb="81">
      <t>モチ</t>
    </rPh>
    <rPh sb="83" eb="85">
      <t>セイセン</t>
    </rPh>
    <rPh sb="92" eb="94">
      <t>コウザ</t>
    </rPh>
    <rPh sb="95" eb="97">
      <t>カモク</t>
    </rPh>
    <rPh sb="111" eb="113">
      <t>リシュウ</t>
    </rPh>
    <rPh sb="113" eb="115">
      <t>ソクシン</t>
    </rPh>
    <rPh sb="116" eb="117">
      <t>オコナ</t>
    </rPh>
    <phoneticPr fontId="1"/>
  </si>
  <si>
    <t>サポート体制は以下のとおりである。
①清泉AIリテラシー講座の科目【データサイエンスとAI】は、放送大学【数理・データサイエンス・AI講座（リテラシーレベル）】（以下、AIリテラシー講座と略す）の学習教材（映像・小テスト）を本授業の補助学習教材として活用し、その補助学習教材の内容を踏まえ（反転授業方式）、議論・発表・振り返り（小レポート作成）をオンライン又は対面の授業を併用して行う方式とした。そのため、担当教員は学生の学習進捗を放送大学の学習履歴システムを用い、逐次確認でき、対面授業時等にてサポートを行っている。</t>
    <rPh sb="4" eb="6">
      <t>タイセイ</t>
    </rPh>
    <rPh sb="7" eb="9">
      <t>イカ</t>
    </rPh>
    <rPh sb="204" eb="206">
      <t>タントウ</t>
    </rPh>
    <rPh sb="206" eb="208">
      <t>キョウイン</t>
    </rPh>
    <rPh sb="209" eb="211">
      <t>ガクセイ</t>
    </rPh>
    <rPh sb="234" eb="236">
      <t>チクジ</t>
    </rPh>
    <rPh sb="236" eb="238">
      <t>カクニン</t>
    </rPh>
    <rPh sb="241" eb="243">
      <t>タイメン</t>
    </rPh>
    <rPh sb="243" eb="245">
      <t>ジュギョウ</t>
    </rPh>
    <rPh sb="245" eb="246">
      <t>ジ</t>
    </rPh>
    <rPh sb="246" eb="247">
      <t>トウ</t>
    </rPh>
    <rPh sb="254" eb="255">
      <t>オコナ</t>
    </rPh>
    <phoneticPr fontId="1"/>
  </si>
  <si>
    <t>①オンデマンド型授業日においても担当教員は学内研究室にて待機し、学生からの質問に対応できる体制をとっている。
②オフィスアワー制度を設けており、専任教員が各種質問の対応ができる体制が整備されている。</t>
    <rPh sb="7" eb="8">
      <t>ガタ</t>
    </rPh>
    <rPh sb="8" eb="10">
      <t>ジュギョウ</t>
    </rPh>
    <rPh sb="10" eb="11">
      <t>ビ</t>
    </rPh>
    <rPh sb="16" eb="18">
      <t>タントウ</t>
    </rPh>
    <rPh sb="18" eb="20">
      <t>キョウイン</t>
    </rPh>
    <rPh sb="21" eb="23">
      <t>ガクナイ</t>
    </rPh>
    <rPh sb="23" eb="25">
      <t>ケンキュウ</t>
    </rPh>
    <rPh sb="25" eb="26">
      <t>シツ</t>
    </rPh>
    <rPh sb="28" eb="30">
      <t>タイキ</t>
    </rPh>
    <rPh sb="32" eb="34">
      <t>ガクセイ</t>
    </rPh>
    <rPh sb="37" eb="39">
      <t>シツモン</t>
    </rPh>
    <rPh sb="40" eb="42">
      <t>タイオウ</t>
    </rPh>
    <rPh sb="45" eb="47">
      <t>タイセイ</t>
    </rPh>
    <rPh sb="63" eb="65">
      <t>セイド</t>
    </rPh>
    <rPh sb="66" eb="67">
      <t>モウ</t>
    </rPh>
    <rPh sb="72" eb="74">
      <t>センニン</t>
    </rPh>
    <rPh sb="74" eb="76">
      <t>キョウイン</t>
    </rPh>
    <rPh sb="77" eb="79">
      <t>カクシュ</t>
    </rPh>
    <rPh sb="79" eb="81">
      <t>シツモン</t>
    </rPh>
    <rPh sb="82" eb="84">
      <t>タイオウ</t>
    </rPh>
    <rPh sb="88" eb="90">
      <t>タイセイ</t>
    </rPh>
    <rPh sb="91" eb="93">
      <t>セイビ</t>
    </rPh>
    <phoneticPr fontId="1"/>
  </si>
  <si>
    <t>情報システム委員会　AIリテラシー教育部会</t>
    <phoneticPr fontId="1"/>
  </si>
  <si>
    <t>片瀬　拓弥</t>
    <rPh sb="0" eb="2">
      <t>カタセ</t>
    </rPh>
    <rPh sb="3" eb="5">
      <t>タクヤ</t>
    </rPh>
    <phoneticPr fontId="1"/>
  </si>
  <si>
    <t>清泉女学院短期大学　国際コミュニケーション科　教授</t>
    <phoneticPr fontId="1"/>
  </si>
  <si>
    <t xml:space="preserve">科目担当教員及び経営企画室において、オンデマンド型補助教材である放送大学の数理・データサイエンス・AI講座の受講状況を分析し、各履修者の進捗状況を管理することにより、課題提出状況、提出期限への注意喚起、履修・修得状況の把握を行うことができる。その結果、2022年度の該当科目履修者（26名）のうち、88.5％が単位取得を実現した。
単位を取得できなかった履修者は、１度もオンラインの受講をしていない不受講なので、オリエンテーションでの説明やオンラインでの学習方法のサポートなど改善していく必要がある。
一方、単位取得した学生は、課題を完了している。
</t>
    <phoneticPr fontId="1"/>
  </si>
  <si>
    <t>授業＜データサイエンスとAI＞では、学生に身につけてもらいたい「7つの力」のうち、「課題発見力」、「論理的思考」をあげている。教務学生支援課が毎学期末に実施している授業評価アンケート結果のうちこの2項目の達成度を分析することによって、当該科目の「学修成果達成度」を把握することができる。分析結果を教務委員会・自己点検評価委員会と連携し、本教育プログラムの評価・改善に活用している。2022年度春学期の分析結果より、該当科目の授業評価アンケートは、5段階評価で「課題発見力」は3.96、「論理的思考」は4.08となった。
履修者は、目的とする学修成果を概ね習得したと考えられる。</t>
    <phoneticPr fontId="1"/>
  </si>
  <si>
    <t>放送大学が履修生に独自取得した理解度アンケート結果（5段階）では、「理解できた、おおむね理解できた」と回答したものは、【導入編：71％】、【基礎から応用編：67％】、【心得編：71％】となった。さらに、応用レベル講座を受講したいと回答した学生は、約71％と回答者の半数以上を占めた。
履修者は、授業内容を「概ね理解した」と考えられる。しかし、オンデマンド型補助教材に出てくる専門用語の補足説明が十分ではなかったと考えられる。オンデマンド教材のみで、理解を深めるための教材がないため、重要用語などについては、オンデマンド教材の他に補助教材を用意する必要がある。</t>
    <phoneticPr fontId="1"/>
  </si>
  <si>
    <t xml:space="preserve">シラバスは、科目担当の専任教員が主として記載している。
オンデマンド授業のため、授業内容の進捗は、教材である放送大学の数理・データサイエンス・AI講座（導入、心得、基礎）の視聴状況とともに内容が決まる。よって、視聴動画に対する内容理解度に応じて、授業を計画することが必要である。初年度のため、導入・心得を授業前半に、基礎を授業後半に配置して実施した。
履修者の授業評価アンケートによれば、教材の分量が多く、全てを閲覧するために非常に時間がかかるとの指摘があった。前述した補助教材がないため、復習するためにも動画を再閲覧する必要があった。オンデマンド教材の分量を減らし、補助教材を併用する必要があると考える。
</t>
    <phoneticPr fontId="1"/>
  </si>
  <si>
    <t>本教育プログラムを構成する科目「データサイエンスとAI」については、令和４年度から開講することが決まり、学生へオリエンテーションで周知し、履修者数、履修率の向上の取り組みをした。また、科目担当教員との連絡を定期的に実施し、数理・データサイエンス・AI教育の内容について各専門分野からの観点も取り入れ、見直し等を検討し、より学生の履修を推進している。
開講初年度のため、学生便覧専用ページや学生連絡網システムを使った推奨を行った。</t>
    <phoneticPr fontId="1"/>
  </si>
  <si>
    <t>科目オリエンテーション時の導入部において、身近なAI活用事例、AIロボットの動画事例、AIによるフェイク動画など、学生らが興味を持ちやすい教材を視聴させることにより、好奇心を促す内容としている。
さらにデータサイエンスやAIを学ぶことの意義について、現代のAI技術は「専門家の開発段階から、我々一般人が日常的に活用する段階にまで発展してきていること」、つまり、卒業後には「文系女子でもAI人材になれること」を理解させている。
産業界からの意見等を参考に、引き続き、学生らが興味を持ちそうな教材等を探索する。</t>
    <phoneticPr fontId="1"/>
  </si>
  <si>
    <t>情報システム委員会（AIリテラシー教育部会）にて、本プログラムの内容・水準を維持・向上させるための情報収集・共有を定期的・継続的に行っている。さらに、学生の授業評価アンケート及び企業人からの意見を参考に、学生の「分かりやすさ」の観点から講義内容・実施方法の改善を検討する。
本プログラムの内容・水準を維持・向上するため、定期的に情報収集・共有が計られている。</t>
    <phoneticPr fontId="1"/>
  </si>
  <si>
    <t xml:space="preserve">卒業生調査を実施し、本教育プログラムを修了した卒業生の進路先や活躍状況の把握が可能である。一方、本プログラムは、令和４年度が初年度であるため、実際の卒業生を輩出していない。今後、修了者が卒業してから、活躍状況、企業等の評価を実施していきたい。
</t>
    <phoneticPr fontId="1"/>
  </si>
  <si>
    <t xml:space="preserve">本学が毎年実施している「外部評価委員会」の企業人メンバーに対し、教育プログラムの内容及びデータ演習等の手法について意見を収集するとともに、情報システム委員会（AIリテラシー教育部会）においてプログラムの改善に活用している。
「清泉AIリテラシー講座」について学外委員からの主な意見は次のとおり。
・ AI分野の学修は当たり前の時代になってくるので避けては通れない。
・ AIだからといっても教育活動には「人間」が基本であると考えている。そのことを常に学生に伝えながら進めていただければと思う。
・ 何を大事にしていきたいのか、何を伝えていきたいのか、生徒にはITを操れるだけでなく、思考とか考え方を育成したり伝えていくことがデータサイエンスだと考える。
・ 先ほどデータが重要だと申し上げたが、私はデジタルに飲み込まれない人材を育てることが重要だと考えている。
・ デジタルは避けて通れないが、人が作ったモノ、AIに支配されるような時代にならぬよう、デジタル全権時代に対応できる人材の教育を期待している。
</t>
    <phoneticPr fontId="1"/>
  </si>
  <si>
    <t>清泉女学院大学・清泉女学院短期大学 情報システム委員会AIリテラシー教育部会　設置規則</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</si>
</sst>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Fill="1" applyBorder="1" applyAlignment="1">
      <alignment vertical="center" wrapText="1" shrinkToFit="1"/>
    </xf>
    <xf numFmtId="0" fontId="2" fillId="0" borderId="3" xfId="0" applyFont="1" applyFill="1" applyBorder="1" applyAlignment="1">
      <alignment vertical="center" shrinkToFit="1"/>
    </xf>
    <xf numFmtId="0" fontId="2" fillId="0" borderId="4" xfId="0" applyFont="1" applyFill="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64" zoomScaleNormal="100" zoomScaleSheetLayoutView="100" workbookViewId="0">
      <selection activeCell="F69" sqref="F69"/>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5" t="s">
        <v>12</v>
      </c>
      <c r="S1" s="135"/>
      <c r="T1" s="2" t="s">
        <v>110</v>
      </c>
    </row>
    <row r="2" spans="1:22" ht="18.75" customHeight="1" x14ac:dyDescent="0.15">
      <c r="B2" s="34" t="s">
        <v>109</v>
      </c>
      <c r="C2" s="88" t="s">
        <v>127</v>
      </c>
      <c r="D2" s="89"/>
      <c r="E2" s="89"/>
      <c r="F2" s="89"/>
      <c r="G2" s="89"/>
      <c r="H2" s="89"/>
      <c r="I2" s="90"/>
      <c r="J2" s="35"/>
      <c r="K2" s="6"/>
      <c r="L2" s="6"/>
      <c r="M2" s="6"/>
      <c r="N2" s="6"/>
      <c r="O2" s="6"/>
      <c r="P2" s="6"/>
      <c r="Q2" s="6"/>
      <c r="R2" s="6"/>
      <c r="S2" s="6"/>
    </row>
    <row r="3" spans="1:22" ht="18.75" customHeight="1" x14ac:dyDescent="0.15">
      <c r="B3" s="34" t="s">
        <v>103</v>
      </c>
      <c r="C3" s="88" t="s">
        <v>128</v>
      </c>
      <c r="D3" s="89"/>
      <c r="E3" s="89"/>
      <c r="F3" s="89"/>
      <c r="G3" s="89"/>
      <c r="H3" s="89"/>
      <c r="I3" s="90"/>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39" t="s">
        <v>39</v>
      </c>
      <c r="B5" s="139"/>
      <c r="C5" s="139"/>
      <c r="D5" s="139"/>
      <c r="E5" s="139"/>
      <c r="F5" s="139"/>
      <c r="G5" s="139"/>
      <c r="H5" s="139"/>
      <c r="I5" s="139"/>
      <c r="J5" s="139"/>
      <c r="K5" s="139"/>
      <c r="L5" s="139"/>
      <c r="M5" s="139"/>
      <c r="N5" s="139"/>
      <c r="O5" s="139"/>
      <c r="P5" s="139"/>
      <c r="Q5" s="139"/>
      <c r="R5" s="139"/>
      <c r="S5" s="139"/>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49" t="s">
        <v>129</v>
      </c>
      <c r="L7" s="150"/>
      <c r="M7" s="150"/>
      <c r="N7" s="150"/>
      <c r="O7" s="150"/>
      <c r="P7" s="150"/>
      <c r="Q7" s="150"/>
      <c r="R7" s="150"/>
      <c r="S7" s="15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52"/>
      <c r="C9" s="153"/>
      <c r="D9" s="153"/>
      <c r="E9" s="153"/>
      <c r="F9" s="153"/>
      <c r="G9" s="153"/>
      <c r="H9" s="153"/>
      <c r="I9" s="153"/>
      <c r="J9" s="153"/>
      <c r="K9" s="153"/>
      <c r="L9" s="153"/>
      <c r="M9" s="153"/>
      <c r="N9" s="153"/>
      <c r="O9" s="153"/>
      <c r="P9" s="153"/>
      <c r="Q9" s="153"/>
      <c r="R9" s="153"/>
      <c r="S9" s="154"/>
    </row>
    <row r="10" spans="1:22" ht="18" customHeight="1" x14ac:dyDescent="0.15">
      <c r="B10" s="155"/>
      <c r="C10" s="156"/>
      <c r="D10" s="156"/>
      <c r="E10" s="156"/>
      <c r="F10" s="156"/>
      <c r="G10" s="156"/>
      <c r="H10" s="156"/>
      <c r="I10" s="156"/>
      <c r="J10" s="156"/>
      <c r="K10" s="156"/>
      <c r="L10" s="156"/>
      <c r="M10" s="156"/>
      <c r="N10" s="156"/>
      <c r="O10" s="156"/>
      <c r="P10" s="156"/>
      <c r="Q10" s="156"/>
      <c r="R10" s="156"/>
      <c r="S10" s="15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40" t="s">
        <v>130</v>
      </c>
      <c r="C13" s="141"/>
      <c r="D13" s="141"/>
      <c r="E13" s="141"/>
      <c r="F13" s="141"/>
      <c r="G13" s="141"/>
      <c r="H13" s="141"/>
      <c r="I13" s="141"/>
      <c r="J13" s="141"/>
      <c r="K13" s="141"/>
      <c r="L13" s="141"/>
      <c r="M13" s="141"/>
      <c r="N13" s="141"/>
      <c r="O13" s="141"/>
      <c r="P13" s="141"/>
      <c r="Q13" s="141"/>
      <c r="R13" s="141"/>
      <c r="S13" s="142"/>
      <c r="V13" s="1" t="s">
        <v>104</v>
      </c>
    </row>
    <row r="14" spans="1:22" ht="18" customHeight="1" x14ac:dyDescent="0.15">
      <c r="B14" s="143"/>
      <c r="C14" s="144"/>
      <c r="D14" s="144"/>
      <c r="E14" s="144"/>
      <c r="F14" s="144"/>
      <c r="G14" s="144"/>
      <c r="H14" s="144"/>
      <c r="I14" s="144"/>
      <c r="J14" s="144"/>
      <c r="K14" s="144"/>
      <c r="L14" s="144"/>
      <c r="M14" s="144"/>
      <c r="N14" s="144"/>
      <c r="O14" s="144"/>
      <c r="P14" s="144"/>
      <c r="Q14" s="144"/>
      <c r="R14" s="144"/>
      <c r="S14" s="145"/>
      <c r="V14" s="1" t="s">
        <v>111</v>
      </c>
    </row>
    <row r="15" spans="1:22" ht="18" customHeight="1" x14ac:dyDescent="0.15">
      <c r="B15" s="143"/>
      <c r="C15" s="144"/>
      <c r="D15" s="144"/>
      <c r="E15" s="144"/>
      <c r="F15" s="144"/>
      <c r="G15" s="144"/>
      <c r="H15" s="144"/>
      <c r="I15" s="144"/>
      <c r="J15" s="144"/>
      <c r="K15" s="144"/>
      <c r="L15" s="144"/>
      <c r="M15" s="144"/>
      <c r="N15" s="144"/>
      <c r="O15" s="144"/>
      <c r="P15" s="144"/>
      <c r="Q15" s="144"/>
      <c r="R15" s="144"/>
      <c r="S15" s="145"/>
      <c r="V15" s="1" t="s">
        <v>124</v>
      </c>
    </row>
    <row r="16" spans="1:22" ht="18" customHeight="1" x14ac:dyDescent="0.15">
      <c r="B16" s="143"/>
      <c r="C16" s="144"/>
      <c r="D16" s="144"/>
      <c r="E16" s="144"/>
      <c r="F16" s="144"/>
      <c r="G16" s="144"/>
      <c r="H16" s="144"/>
      <c r="I16" s="144"/>
      <c r="J16" s="144"/>
      <c r="K16" s="144"/>
      <c r="L16" s="144"/>
      <c r="M16" s="144"/>
      <c r="N16" s="144"/>
      <c r="O16" s="144"/>
      <c r="P16" s="144"/>
      <c r="Q16" s="144"/>
      <c r="R16" s="144"/>
      <c r="S16" s="145"/>
      <c r="V16" s="1" t="s">
        <v>126</v>
      </c>
    </row>
    <row r="17" spans="1:19" ht="18" customHeight="1" x14ac:dyDescent="0.15">
      <c r="B17" s="143"/>
      <c r="C17" s="144"/>
      <c r="D17" s="144"/>
      <c r="E17" s="144"/>
      <c r="F17" s="144"/>
      <c r="G17" s="144"/>
      <c r="H17" s="144"/>
      <c r="I17" s="144"/>
      <c r="J17" s="144"/>
      <c r="K17" s="144"/>
      <c r="L17" s="144"/>
      <c r="M17" s="144"/>
      <c r="N17" s="144"/>
      <c r="O17" s="144"/>
      <c r="P17" s="144"/>
      <c r="Q17" s="144"/>
      <c r="R17" s="144"/>
      <c r="S17" s="145"/>
    </row>
    <row r="18" spans="1:19" ht="18" customHeight="1" x14ac:dyDescent="0.15">
      <c r="B18" s="146"/>
      <c r="C18" s="147"/>
      <c r="D18" s="147"/>
      <c r="E18" s="147"/>
      <c r="F18" s="147"/>
      <c r="G18" s="147"/>
      <c r="H18" s="147"/>
      <c r="I18" s="147"/>
      <c r="J18" s="147"/>
      <c r="K18" s="147"/>
      <c r="L18" s="147"/>
      <c r="M18" s="147"/>
      <c r="N18" s="147"/>
      <c r="O18" s="147"/>
      <c r="P18" s="147"/>
      <c r="Q18" s="147"/>
      <c r="R18" s="147"/>
      <c r="S18" s="148"/>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88">
        <v>2</v>
      </c>
      <c r="D20" s="90"/>
      <c r="E20" s="40" t="s">
        <v>96</v>
      </c>
      <c r="G20" s="10"/>
      <c r="H20" s="3"/>
      <c r="I20" s="3"/>
      <c r="J20" s="35" t="s">
        <v>122</v>
      </c>
      <c r="K20" s="136" t="s">
        <v>126</v>
      </c>
      <c r="L20" s="137"/>
      <c r="M20" s="137"/>
      <c r="N20" s="137"/>
      <c r="O20" s="137"/>
      <c r="P20" s="137"/>
      <c r="Q20" s="137"/>
      <c r="R20" s="137"/>
      <c r="S20" s="138"/>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4" t="s">
        <v>114</v>
      </c>
      <c r="B22" s="94"/>
      <c r="C22" s="94"/>
      <c r="D22" s="94"/>
      <c r="E22" s="94"/>
      <c r="F22" s="94"/>
      <c r="G22" s="94"/>
      <c r="H22" s="94"/>
      <c r="I22" s="94"/>
      <c r="J22" s="94"/>
      <c r="K22" s="94"/>
      <c r="L22" s="94"/>
      <c r="M22" s="94"/>
      <c r="N22" s="94"/>
      <c r="O22" s="94"/>
      <c r="P22" s="94"/>
      <c r="Q22" s="94"/>
      <c r="R22" s="94"/>
      <c r="S22" s="94"/>
    </row>
    <row r="23" spans="1:19" ht="18" customHeight="1" x14ac:dyDescent="0.15">
      <c r="A23" s="94"/>
      <c r="B23" s="94"/>
      <c r="C23" s="94"/>
      <c r="D23" s="94"/>
      <c r="E23" s="94"/>
      <c r="F23" s="94"/>
      <c r="G23" s="94"/>
      <c r="H23" s="94"/>
      <c r="I23" s="94"/>
      <c r="J23" s="94"/>
      <c r="K23" s="94"/>
      <c r="L23" s="94"/>
      <c r="M23" s="94"/>
      <c r="N23" s="94"/>
      <c r="O23" s="94"/>
      <c r="P23" s="94"/>
      <c r="Q23" s="94"/>
      <c r="R23" s="94"/>
      <c r="S23" s="94"/>
    </row>
    <row r="24" spans="1:19" ht="18" customHeight="1" x14ac:dyDescent="0.15">
      <c r="B24" s="88" t="s">
        <v>54</v>
      </c>
      <c r="C24" s="89"/>
      <c r="D24" s="89"/>
      <c r="E24" s="90"/>
      <c r="F24" s="61" t="s">
        <v>81</v>
      </c>
      <c r="G24" s="60" t="s">
        <v>85</v>
      </c>
      <c r="H24" s="22" t="s">
        <v>57</v>
      </c>
      <c r="I24" s="22" t="s">
        <v>60</v>
      </c>
      <c r="J24" s="88" t="s">
        <v>54</v>
      </c>
      <c r="K24" s="89"/>
      <c r="L24" s="89"/>
      <c r="M24" s="89"/>
      <c r="N24" s="89"/>
      <c r="O24" s="90"/>
      <c r="P24" s="61" t="s">
        <v>81</v>
      </c>
      <c r="Q24" s="60" t="s">
        <v>85</v>
      </c>
      <c r="R24" s="22" t="s">
        <v>57</v>
      </c>
      <c r="S24" s="22" t="s">
        <v>60</v>
      </c>
    </row>
    <row r="25" spans="1:19" ht="18" customHeight="1" x14ac:dyDescent="0.15">
      <c r="B25" s="82" t="s">
        <v>131</v>
      </c>
      <c r="C25" s="83"/>
      <c r="D25" s="83"/>
      <c r="E25" s="84"/>
      <c r="F25" s="23">
        <v>2</v>
      </c>
      <c r="G25" s="23" t="s">
        <v>134</v>
      </c>
      <c r="H25" s="23" t="s">
        <v>134</v>
      </c>
      <c r="I25" s="23" t="s">
        <v>134</v>
      </c>
      <c r="J25" s="82"/>
      <c r="K25" s="83"/>
      <c r="L25" s="83"/>
      <c r="M25" s="83"/>
      <c r="N25" s="83"/>
      <c r="O25" s="84"/>
      <c r="P25" s="23"/>
      <c r="Q25" s="23"/>
      <c r="R25" s="23"/>
      <c r="S25" s="23"/>
    </row>
    <row r="26" spans="1:19" ht="18" customHeight="1" x14ac:dyDescent="0.15">
      <c r="B26" s="85"/>
      <c r="C26" s="86"/>
      <c r="D26" s="86"/>
      <c r="E26" s="87"/>
      <c r="F26" s="24"/>
      <c r="G26" s="24"/>
      <c r="H26" s="24"/>
      <c r="I26" s="24"/>
      <c r="J26" s="85"/>
      <c r="K26" s="86"/>
      <c r="L26" s="86"/>
      <c r="M26" s="86"/>
      <c r="N26" s="86"/>
      <c r="O26" s="87"/>
      <c r="P26" s="24"/>
      <c r="Q26" s="24"/>
      <c r="R26" s="24"/>
      <c r="S26" s="24"/>
    </row>
    <row r="27" spans="1:19" ht="18" customHeight="1" x14ac:dyDescent="0.15">
      <c r="B27" s="85"/>
      <c r="C27" s="86"/>
      <c r="D27" s="86"/>
      <c r="E27" s="87"/>
      <c r="F27" s="24"/>
      <c r="G27" s="24"/>
      <c r="H27" s="24"/>
      <c r="I27" s="24"/>
      <c r="J27" s="85"/>
      <c r="K27" s="86"/>
      <c r="L27" s="86"/>
      <c r="M27" s="86"/>
      <c r="N27" s="86"/>
      <c r="O27" s="87"/>
      <c r="P27" s="24"/>
      <c r="Q27" s="24"/>
      <c r="R27" s="24"/>
      <c r="S27" s="24"/>
    </row>
    <row r="28" spans="1:19" ht="18" customHeight="1" x14ac:dyDescent="0.15">
      <c r="B28" s="85"/>
      <c r="C28" s="86"/>
      <c r="D28" s="86"/>
      <c r="E28" s="87"/>
      <c r="F28" s="24"/>
      <c r="G28" s="24"/>
      <c r="H28" s="24"/>
      <c r="I28" s="24"/>
      <c r="J28" s="85"/>
      <c r="K28" s="86"/>
      <c r="L28" s="86"/>
      <c r="M28" s="86"/>
      <c r="N28" s="86"/>
      <c r="O28" s="87"/>
      <c r="P28" s="24"/>
      <c r="Q28" s="24"/>
      <c r="R28" s="24"/>
      <c r="S28" s="24"/>
    </row>
    <row r="29" spans="1:19" ht="18" customHeight="1" x14ac:dyDescent="0.15">
      <c r="B29" s="85"/>
      <c r="C29" s="86"/>
      <c r="D29" s="86"/>
      <c r="E29" s="87"/>
      <c r="F29" s="24"/>
      <c r="G29" s="24"/>
      <c r="H29" s="24"/>
      <c r="I29" s="24"/>
      <c r="J29" s="85"/>
      <c r="K29" s="86"/>
      <c r="L29" s="86"/>
      <c r="M29" s="86"/>
      <c r="N29" s="86"/>
      <c r="O29" s="87"/>
      <c r="P29" s="24"/>
      <c r="Q29" s="24"/>
      <c r="R29" s="24"/>
      <c r="S29" s="24"/>
    </row>
    <row r="30" spans="1:19" ht="18" customHeight="1" x14ac:dyDescent="0.15">
      <c r="A30" s="3"/>
      <c r="B30" s="85"/>
      <c r="C30" s="86"/>
      <c r="D30" s="86"/>
      <c r="E30" s="87"/>
      <c r="F30" s="24"/>
      <c r="G30" s="24"/>
      <c r="H30" s="24"/>
      <c r="I30" s="24"/>
      <c r="J30" s="85"/>
      <c r="K30" s="86"/>
      <c r="L30" s="86"/>
      <c r="M30" s="86"/>
      <c r="N30" s="86"/>
      <c r="O30" s="87"/>
      <c r="P30" s="24"/>
      <c r="Q30" s="24"/>
      <c r="R30" s="24"/>
      <c r="S30" s="24"/>
    </row>
    <row r="31" spans="1:19" ht="18" customHeight="1" x14ac:dyDescent="0.15">
      <c r="A31" s="3"/>
      <c r="B31" s="91"/>
      <c r="C31" s="92"/>
      <c r="D31" s="92"/>
      <c r="E31" s="93"/>
      <c r="F31" s="25"/>
      <c r="G31" s="25"/>
      <c r="H31" s="26"/>
      <c r="I31" s="26"/>
      <c r="J31" s="91"/>
      <c r="K31" s="92"/>
      <c r="L31" s="92"/>
      <c r="M31" s="92"/>
      <c r="N31" s="92"/>
      <c r="O31" s="93"/>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4" t="s">
        <v>115</v>
      </c>
      <c r="B33" s="94"/>
      <c r="C33" s="94"/>
      <c r="D33" s="94"/>
      <c r="E33" s="94"/>
      <c r="F33" s="94"/>
      <c r="G33" s="94"/>
      <c r="H33" s="94"/>
      <c r="I33" s="94"/>
      <c r="J33" s="94"/>
      <c r="K33" s="94"/>
      <c r="L33" s="94"/>
      <c r="M33" s="94"/>
      <c r="N33" s="94"/>
      <c r="O33" s="94"/>
      <c r="P33" s="94"/>
      <c r="Q33" s="94"/>
      <c r="R33" s="94"/>
      <c r="S33" s="94"/>
    </row>
    <row r="34" spans="1:19" ht="18" customHeight="1" x14ac:dyDescent="0.15">
      <c r="A34" s="94"/>
      <c r="B34" s="94"/>
      <c r="C34" s="94"/>
      <c r="D34" s="94"/>
      <c r="E34" s="94"/>
      <c r="F34" s="94"/>
      <c r="G34" s="94"/>
      <c r="H34" s="94"/>
      <c r="I34" s="94"/>
      <c r="J34" s="94"/>
      <c r="K34" s="94"/>
      <c r="L34" s="94"/>
      <c r="M34" s="94"/>
      <c r="N34" s="94"/>
      <c r="O34" s="94"/>
      <c r="P34" s="94"/>
      <c r="Q34" s="94"/>
      <c r="R34" s="94"/>
      <c r="S34" s="94"/>
    </row>
    <row r="35" spans="1:19" ht="18" customHeight="1" x14ac:dyDescent="0.15">
      <c r="B35" s="88" t="s">
        <v>54</v>
      </c>
      <c r="C35" s="89"/>
      <c r="D35" s="89"/>
      <c r="E35" s="90"/>
      <c r="F35" s="61" t="s">
        <v>81</v>
      </c>
      <c r="G35" s="60" t="s">
        <v>85</v>
      </c>
      <c r="H35" s="22" t="s">
        <v>72</v>
      </c>
      <c r="I35" s="22" t="s">
        <v>73</v>
      </c>
      <c r="J35" s="88" t="s">
        <v>54</v>
      </c>
      <c r="K35" s="89"/>
      <c r="L35" s="89"/>
      <c r="M35" s="89"/>
      <c r="N35" s="89"/>
      <c r="O35" s="90"/>
      <c r="P35" s="61" t="s">
        <v>81</v>
      </c>
      <c r="Q35" s="60" t="s">
        <v>85</v>
      </c>
      <c r="R35" s="22" t="s">
        <v>72</v>
      </c>
      <c r="S35" s="22" t="s">
        <v>73</v>
      </c>
    </row>
    <row r="36" spans="1:19" ht="18" customHeight="1" x14ac:dyDescent="0.15">
      <c r="B36" s="82" t="s">
        <v>131</v>
      </c>
      <c r="C36" s="83"/>
      <c r="D36" s="83"/>
      <c r="E36" s="84"/>
      <c r="F36" s="23">
        <v>2</v>
      </c>
      <c r="G36" s="23" t="s">
        <v>134</v>
      </c>
      <c r="H36" s="23" t="s">
        <v>134</v>
      </c>
      <c r="I36" s="23" t="s">
        <v>134</v>
      </c>
      <c r="J36" s="82"/>
      <c r="K36" s="83"/>
      <c r="L36" s="83"/>
      <c r="M36" s="83"/>
      <c r="N36" s="83"/>
      <c r="O36" s="84"/>
      <c r="P36" s="23"/>
      <c r="Q36" s="23"/>
      <c r="R36" s="23"/>
      <c r="S36" s="23"/>
    </row>
    <row r="37" spans="1:19" ht="18" customHeight="1" x14ac:dyDescent="0.15">
      <c r="B37" s="85"/>
      <c r="C37" s="86"/>
      <c r="D37" s="86"/>
      <c r="E37" s="87"/>
      <c r="F37" s="24"/>
      <c r="G37" s="24"/>
      <c r="H37" s="24"/>
      <c r="I37" s="24"/>
      <c r="J37" s="85"/>
      <c r="K37" s="86"/>
      <c r="L37" s="86"/>
      <c r="M37" s="86"/>
      <c r="N37" s="86"/>
      <c r="O37" s="87"/>
      <c r="P37" s="24"/>
      <c r="Q37" s="24"/>
      <c r="R37" s="24"/>
      <c r="S37" s="24"/>
    </row>
    <row r="38" spans="1:19" ht="18" customHeight="1" x14ac:dyDescent="0.15">
      <c r="B38" s="85"/>
      <c r="C38" s="86"/>
      <c r="D38" s="86"/>
      <c r="E38" s="87"/>
      <c r="F38" s="24"/>
      <c r="G38" s="24"/>
      <c r="H38" s="24"/>
      <c r="I38" s="24"/>
      <c r="J38" s="85"/>
      <c r="K38" s="86"/>
      <c r="L38" s="86"/>
      <c r="M38" s="86"/>
      <c r="N38" s="86"/>
      <c r="O38" s="87"/>
      <c r="P38" s="24"/>
      <c r="Q38" s="24"/>
      <c r="R38" s="24"/>
      <c r="S38" s="24"/>
    </row>
    <row r="39" spans="1:19" ht="18" customHeight="1" x14ac:dyDescent="0.15">
      <c r="B39" s="85"/>
      <c r="C39" s="86"/>
      <c r="D39" s="86"/>
      <c r="E39" s="87"/>
      <c r="F39" s="24"/>
      <c r="G39" s="24"/>
      <c r="H39" s="24"/>
      <c r="I39" s="24"/>
      <c r="J39" s="85"/>
      <c r="K39" s="86"/>
      <c r="L39" s="86"/>
      <c r="M39" s="86"/>
      <c r="N39" s="86"/>
      <c r="O39" s="87"/>
      <c r="P39" s="24"/>
      <c r="Q39" s="24"/>
      <c r="R39" s="24"/>
      <c r="S39" s="24"/>
    </row>
    <row r="40" spans="1:19" ht="18" customHeight="1" x14ac:dyDescent="0.15">
      <c r="B40" s="85"/>
      <c r="C40" s="86"/>
      <c r="D40" s="86"/>
      <c r="E40" s="87"/>
      <c r="F40" s="24"/>
      <c r="G40" s="24"/>
      <c r="H40" s="24"/>
      <c r="I40" s="24"/>
      <c r="J40" s="85"/>
      <c r="K40" s="86"/>
      <c r="L40" s="86"/>
      <c r="M40" s="86"/>
      <c r="N40" s="86"/>
      <c r="O40" s="87"/>
      <c r="P40" s="24"/>
      <c r="Q40" s="24"/>
      <c r="R40" s="24"/>
      <c r="S40" s="24"/>
    </row>
    <row r="41" spans="1:19" ht="18" customHeight="1" x14ac:dyDescent="0.15">
      <c r="B41" s="85"/>
      <c r="C41" s="86"/>
      <c r="D41" s="86"/>
      <c r="E41" s="87"/>
      <c r="F41" s="24"/>
      <c r="G41" s="24"/>
      <c r="H41" s="24"/>
      <c r="I41" s="24"/>
      <c r="J41" s="85"/>
      <c r="K41" s="86"/>
      <c r="L41" s="86"/>
      <c r="M41" s="86"/>
      <c r="N41" s="86"/>
      <c r="O41" s="87"/>
      <c r="P41" s="24"/>
      <c r="Q41" s="24"/>
      <c r="R41" s="24"/>
      <c r="S41" s="24"/>
    </row>
    <row r="42" spans="1:19" ht="18" customHeight="1" x14ac:dyDescent="0.15">
      <c r="B42" s="91"/>
      <c r="C42" s="92"/>
      <c r="D42" s="92"/>
      <c r="E42" s="93"/>
      <c r="F42" s="25"/>
      <c r="G42" s="25"/>
      <c r="H42" s="26"/>
      <c r="I42" s="26"/>
      <c r="J42" s="91"/>
      <c r="K42" s="92"/>
      <c r="L42" s="92"/>
      <c r="M42" s="92"/>
      <c r="N42" s="92"/>
      <c r="O42" s="93"/>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4" t="s">
        <v>116</v>
      </c>
      <c r="B44" s="94"/>
      <c r="C44" s="94"/>
      <c r="D44" s="94"/>
      <c r="E44" s="94"/>
      <c r="F44" s="94"/>
      <c r="G44" s="94"/>
      <c r="H44" s="94"/>
      <c r="I44" s="94"/>
      <c r="J44" s="94"/>
      <c r="K44" s="94"/>
      <c r="L44" s="94"/>
      <c r="M44" s="94"/>
      <c r="N44" s="94"/>
      <c r="O44" s="94"/>
      <c r="P44" s="94"/>
      <c r="Q44" s="94"/>
      <c r="R44" s="94"/>
      <c r="S44" s="94"/>
    </row>
    <row r="45" spans="1:19" ht="18" customHeight="1" x14ac:dyDescent="0.15">
      <c r="A45" s="94"/>
      <c r="B45" s="94"/>
      <c r="C45" s="94"/>
      <c r="D45" s="94"/>
      <c r="E45" s="94"/>
      <c r="F45" s="94"/>
      <c r="G45" s="94"/>
      <c r="H45" s="94"/>
      <c r="I45" s="94"/>
      <c r="J45" s="94"/>
      <c r="K45" s="94"/>
      <c r="L45" s="94"/>
      <c r="M45" s="94"/>
      <c r="N45" s="94"/>
      <c r="O45" s="94"/>
      <c r="P45" s="94"/>
      <c r="Q45" s="94"/>
      <c r="R45" s="94"/>
      <c r="S45" s="94"/>
    </row>
    <row r="46" spans="1:19" ht="18" customHeight="1" x14ac:dyDescent="0.15">
      <c r="B46" s="88" t="s">
        <v>54</v>
      </c>
      <c r="C46" s="89"/>
      <c r="D46" s="89"/>
      <c r="E46" s="90"/>
      <c r="F46" s="61" t="s">
        <v>81</v>
      </c>
      <c r="G46" s="60" t="s">
        <v>85</v>
      </c>
      <c r="H46" s="22" t="s">
        <v>74</v>
      </c>
      <c r="I46" s="22" t="s">
        <v>75</v>
      </c>
      <c r="J46" s="88" t="s">
        <v>54</v>
      </c>
      <c r="K46" s="89"/>
      <c r="L46" s="89"/>
      <c r="M46" s="89"/>
      <c r="N46" s="89"/>
      <c r="O46" s="90"/>
      <c r="P46" s="61" t="s">
        <v>81</v>
      </c>
      <c r="Q46" s="60" t="s">
        <v>85</v>
      </c>
      <c r="R46" s="22" t="s">
        <v>74</v>
      </c>
      <c r="S46" s="22" t="s">
        <v>75</v>
      </c>
    </row>
    <row r="47" spans="1:19" ht="18" customHeight="1" x14ac:dyDescent="0.15">
      <c r="A47" s="3"/>
      <c r="B47" s="82" t="s">
        <v>131</v>
      </c>
      <c r="C47" s="83"/>
      <c r="D47" s="83"/>
      <c r="E47" s="84"/>
      <c r="F47" s="23">
        <v>2</v>
      </c>
      <c r="G47" s="23" t="s">
        <v>134</v>
      </c>
      <c r="H47" s="23" t="s">
        <v>134</v>
      </c>
      <c r="I47" s="23" t="s">
        <v>134</v>
      </c>
      <c r="J47" s="82"/>
      <c r="K47" s="83"/>
      <c r="L47" s="83"/>
      <c r="M47" s="83"/>
      <c r="N47" s="83"/>
      <c r="O47" s="84"/>
      <c r="P47" s="23"/>
      <c r="Q47" s="23"/>
      <c r="R47" s="23"/>
      <c r="S47" s="23"/>
    </row>
    <row r="48" spans="1:19" ht="18" customHeight="1" x14ac:dyDescent="0.15">
      <c r="A48" s="3"/>
      <c r="B48" s="85"/>
      <c r="C48" s="86"/>
      <c r="D48" s="86"/>
      <c r="E48" s="87"/>
      <c r="F48" s="24"/>
      <c r="G48" s="24"/>
      <c r="H48" s="24"/>
      <c r="I48" s="24"/>
      <c r="J48" s="85"/>
      <c r="K48" s="86"/>
      <c r="L48" s="86"/>
      <c r="M48" s="86"/>
      <c r="N48" s="86"/>
      <c r="O48" s="87"/>
      <c r="P48" s="24"/>
      <c r="Q48" s="24"/>
      <c r="R48" s="24"/>
      <c r="S48" s="24"/>
    </row>
    <row r="49" spans="1:19" ht="18" customHeight="1" x14ac:dyDescent="0.15">
      <c r="A49" s="3"/>
      <c r="B49" s="85"/>
      <c r="C49" s="86"/>
      <c r="D49" s="86"/>
      <c r="E49" s="87"/>
      <c r="F49" s="24"/>
      <c r="G49" s="24"/>
      <c r="H49" s="24"/>
      <c r="I49" s="24"/>
      <c r="J49" s="85"/>
      <c r="K49" s="86"/>
      <c r="L49" s="86"/>
      <c r="M49" s="86"/>
      <c r="N49" s="86"/>
      <c r="O49" s="87"/>
      <c r="P49" s="24"/>
      <c r="Q49" s="24"/>
      <c r="R49" s="24"/>
      <c r="S49" s="24"/>
    </row>
    <row r="50" spans="1:19" ht="18" customHeight="1" x14ac:dyDescent="0.15">
      <c r="A50" s="3"/>
      <c r="B50" s="85"/>
      <c r="C50" s="86"/>
      <c r="D50" s="86"/>
      <c r="E50" s="87"/>
      <c r="F50" s="24"/>
      <c r="G50" s="24"/>
      <c r="H50" s="24"/>
      <c r="I50" s="24"/>
      <c r="J50" s="85"/>
      <c r="K50" s="86"/>
      <c r="L50" s="86"/>
      <c r="M50" s="86"/>
      <c r="N50" s="86"/>
      <c r="O50" s="87"/>
      <c r="P50" s="24"/>
      <c r="Q50" s="24"/>
      <c r="R50" s="24"/>
      <c r="S50" s="24"/>
    </row>
    <row r="51" spans="1:19" ht="18" customHeight="1" x14ac:dyDescent="0.15">
      <c r="A51" s="3"/>
      <c r="B51" s="85"/>
      <c r="C51" s="86"/>
      <c r="D51" s="86"/>
      <c r="E51" s="87"/>
      <c r="F51" s="24"/>
      <c r="G51" s="24"/>
      <c r="H51" s="24"/>
      <c r="I51" s="24"/>
      <c r="J51" s="85"/>
      <c r="K51" s="86"/>
      <c r="L51" s="86"/>
      <c r="M51" s="86"/>
      <c r="N51" s="86"/>
      <c r="O51" s="87"/>
      <c r="P51" s="24"/>
      <c r="Q51" s="24"/>
      <c r="R51" s="24"/>
      <c r="S51" s="24"/>
    </row>
    <row r="52" spans="1:19" ht="18" customHeight="1" x14ac:dyDescent="0.15">
      <c r="A52" s="3"/>
      <c r="B52" s="85"/>
      <c r="C52" s="86"/>
      <c r="D52" s="86"/>
      <c r="E52" s="87"/>
      <c r="F52" s="24"/>
      <c r="G52" s="24"/>
      <c r="H52" s="24"/>
      <c r="I52" s="24"/>
      <c r="J52" s="85"/>
      <c r="K52" s="86"/>
      <c r="L52" s="86"/>
      <c r="M52" s="86"/>
      <c r="N52" s="86"/>
      <c r="O52" s="87"/>
      <c r="P52" s="24"/>
      <c r="Q52" s="24"/>
      <c r="R52" s="24"/>
      <c r="S52" s="24"/>
    </row>
    <row r="53" spans="1:19" ht="18" customHeight="1" x14ac:dyDescent="0.15">
      <c r="A53" s="3"/>
      <c r="B53" s="91"/>
      <c r="C53" s="92"/>
      <c r="D53" s="92"/>
      <c r="E53" s="93"/>
      <c r="F53" s="25"/>
      <c r="G53" s="25"/>
      <c r="H53" s="26"/>
      <c r="I53" s="26"/>
      <c r="J53" s="91"/>
      <c r="K53" s="92"/>
      <c r="L53" s="92"/>
      <c r="M53" s="92"/>
      <c r="N53" s="92"/>
      <c r="O53" s="93"/>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4" t="s">
        <v>117</v>
      </c>
      <c r="B55" s="94"/>
      <c r="C55" s="94"/>
      <c r="D55" s="94"/>
      <c r="E55" s="94"/>
      <c r="F55" s="94"/>
      <c r="G55" s="94"/>
      <c r="H55" s="94"/>
      <c r="I55" s="94"/>
      <c r="J55" s="94"/>
      <c r="K55" s="94"/>
      <c r="L55" s="94"/>
      <c r="M55" s="94"/>
      <c r="N55" s="94"/>
      <c r="O55" s="94"/>
      <c r="P55" s="94"/>
      <c r="Q55" s="94"/>
      <c r="R55" s="94"/>
      <c r="S55" s="94"/>
    </row>
    <row r="56" spans="1:19" ht="18" customHeight="1" x14ac:dyDescent="0.15">
      <c r="A56" s="94"/>
      <c r="B56" s="94"/>
      <c r="C56" s="94"/>
      <c r="D56" s="94"/>
      <c r="E56" s="94"/>
      <c r="F56" s="94"/>
      <c r="G56" s="94"/>
      <c r="H56" s="94"/>
      <c r="I56" s="94"/>
      <c r="J56" s="94"/>
      <c r="K56" s="94"/>
      <c r="L56" s="94"/>
      <c r="M56" s="94"/>
      <c r="N56" s="94"/>
      <c r="O56" s="94"/>
      <c r="P56" s="94"/>
      <c r="Q56" s="94"/>
      <c r="R56" s="94"/>
      <c r="S56" s="94"/>
    </row>
    <row r="57" spans="1:19" ht="18" customHeight="1" x14ac:dyDescent="0.15">
      <c r="B57" s="88" t="s">
        <v>54</v>
      </c>
      <c r="C57" s="89"/>
      <c r="D57" s="89"/>
      <c r="E57" s="90"/>
      <c r="F57" s="61" t="s">
        <v>81</v>
      </c>
      <c r="G57" s="60" t="s">
        <v>85</v>
      </c>
      <c r="H57" s="22" t="s">
        <v>59</v>
      </c>
      <c r="I57" s="22" t="s">
        <v>61</v>
      </c>
      <c r="J57" s="88" t="s">
        <v>54</v>
      </c>
      <c r="K57" s="89"/>
      <c r="L57" s="89"/>
      <c r="M57" s="89"/>
      <c r="N57" s="89"/>
      <c r="O57" s="90"/>
      <c r="P57" s="61" t="s">
        <v>81</v>
      </c>
      <c r="Q57" s="60" t="s">
        <v>85</v>
      </c>
      <c r="R57" s="22" t="s">
        <v>59</v>
      </c>
      <c r="S57" s="22" t="s">
        <v>61</v>
      </c>
    </row>
    <row r="58" spans="1:19" ht="18" customHeight="1" x14ac:dyDescent="0.15">
      <c r="A58" s="3"/>
      <c r="B58" s="82" t="s">
        <v>131</v>
      </c>
      <c r="C58" s="83"/>
      <c r="D58" s="83"/>
      <c r="E58" s="84"/>
      <c r="F58" s="23">
        <v>2</v>
      </c>
      <c r="G58" s="23" t="s">
        <v>134</v>
      </c>
      <c r="H58" s="23" t="s">
        <v>134</v>
      </c>
      <c r="I58" s="23" t="s">
        <v>134</v>
      </c>
      <c r="J58" s="82"/>
      <c r="K58" s="83"/>
      <c r="L58" s="83"/>
      <c r="M58" s="83"/>
      <c r="N58" s="83"/>
      <c r="O58" s="84"/>
      <c r="P58" s="23"/>
      <c r="Q58" s="23"/>
      <c r="R58" s="23"/>
      <c r="S58" s="23"/>
    </row>
    <row r="59" spans="1:19" ht="18" customHeight="1" x14ac:dyDescent="0.15">
      <c r="A59" s="3"/>
      <c r="B59" s="85"/>
      <c r="C59" s="86"/>
      <c r="D59" s="86"/>
      <c r="E59" s="87"/>
      <c r="F59" s="24"/>
      <c r="G59" s="24"/>
      <c r="H59" s="24"/>
      <c r="I59" s="24"/>
      <c r="J59" s="85"/>
      <c r="K59" s="86"/>
      <c r="L59" s="86"/>
      <c r="M59" s="86"/>
      <c r="N59" s="86"/>
      <c r="O59" s="87"/>
      <c r="P59" s="24"/>
      <c r="Q59" s="24"/>
      <c r="R59" s="24"/>
      <c r="S59" s="24"/>
    </row>
    <row r="60" spans="1:19" ht="18" customHeight="1" x14ac:dyDescent="0.15">
      <c r="A60" s="3"/>
      <c r="B60" s="85"/>
      <c r="C60" s="86"/>
      <c r="D60" s="86"/>
      <c r="E60" s="87"/>
      <c r="F60" s="24"/>
      <c r="G60" s="24"/>
      <c r="H60" s="24"/>
      <c r="I60" s="24"/>
      <c r="J60" s="85"/>
      <c r="K60" s="86"/>
      <c r="L60" s="86"/>
      <c r="M60" s="86"/>
      <c r="N60" s="86"/>
      <c r="O60" s="87"/>
      <c r="P60" s="24"/>
      <c r="Q60" s="24"/>
      <c r="R60" s="24"/>
      <c r="S60" s="24"/>
    </row>
    <row r="61" spans="1:19" ht="18" customHeight="1" x14ac:dyDescent="0.15">
      <c r="A61" s="3"/>
      <c r="B61" s="85"/>
      <c r="C61" s="86"/>
      <c r="D61" s="86"/>
      <c r="E61" s="87"/>
      <c r="F61" s="24"/>
      <c r="G61" s="24"/>
      <c r="H61" s="24"/>
      <c r="I61" s="24"/>
      <c r="J61" s="85"/>
      <c r="K61" s="86"/>
      <c r="L61" s="86"/>
      <c r="M61" s="86"/>
      <c r="N61" s="86"/>
      <c r="O61" s="87"/>
      <c r="P61" s="24"/>
      <c r="Q61" s="24"/>
      <c r="R61" s="24"/>
      <c r="S61" s="24"/>
    </row>
    <row r="62" spans="1:19" ht="18" customHeight="1" x14ac:dyDescent="0.15">
      <c r="A62" s="3"/>
      <c r="B62" s="85"/>
      <c r="C62" s="86"/>
      <c r="D62" s="86"/>
      <c r="E62" s="87"/>
      <c r="F62" s="24"/>
      <c r="G62" s="24"/>
      <c r="H62" s="24"/>
      <c r="I62" s="24"/>
      <c r="J62" s="85"/>
      <c r="K62" s="86"/>
      <c r="L62" s="86"/>
      <c r="M62" s="86"/>
      <c r="N62" s="86"/>
      <c r="O62" s="87"/>
      <c r="P62" s="24"/>
      <c r="Q62" s="24"/>
      <c r="R62" s="24"/>
      <c r="S62" s="24"/>
    </row>
    <row r="63" spans="1:19" ht="18" customHeight="1" x14ac:dyDescent="0.15">
      <c r="A63" s="3"/>
      <c r="B63" s="85"/>
      <c r="C63" s="86"/>
      <c r="D63" s="86"/>
      <c r="E63" s="87"/>
      <c r="F63" s="24"/>
      <c r="G63" s="24"/>
      <c r="H63" s="24"/>
      <c r="I63" s="24"/>
      <c r="J63" s="85"/>
      <c r="K63" s="86"/>
      <c r="L63" s="86"/>
      <c r="M63" s="86"/>
      <c r="N63" s="86"/>
      <c r="O63" s="87"/>
      <c r="P63" s="24"/>
      <c r="Q63" s="24"/>
      <c r="R63" s="24"/>
      <c r="S63" s="24"/>
    </row>
    <row r="64" spans="1:19" ht="18" customHeight="1" x14ac:dyDescent="0.15">
      <c r="A64" s="3"/>
      <c r="B64" s="91"/>
      <c r="C64" s="92"/>
      <c r="D64" s="92"/>
      <c r="E64" s="93"/>
      <c r="F64" s="25"/>
      <c r="G64" s="25"/>
      <c r="H64" s="26"/>
      <c r="I64" s="26"/>
      <c r="J64" s="91"/>
      <c r="K64" s="92"/>
      <c r="L64" s="92"/>
      <c r="M64" s="92"/>
      <c r="N64" s="92"/>
      <c r="O64" s="93"/>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4" t="s">
        <v>118</v>
      </c>
      <c r="B66" s="94"/>
      <c r="C66" s="94"/>
      <c r="D66" s="94"/>
      <c r="E66" s="94"/>
      <c r="F66" s="94"/>
      <c r="G66" s="94"/>
      <c r="H66" s="94"/>
      <c r="I66" s="94"/>
      <c r="J66" s="94"/>
      <c r="K66" s="94"/>
      <c r="L66" s="94"/>
      <c r="M66" s="94"/>
      <c r="N66" s="94"/>
      <c r="O66" s="94"/>
      <c r="P66" s="94"/>
      <c r="Q66" s="94"/>
      <c r="R66" s="94"/>
      <c r="S66" s="94"/>
    </row>
    <row r="67" spans="1:19" ht="18" customHeight="1" x14ac:dyDescent="0.15">
      <c r="A67" s="94"/>
      <c r="B67" s="94"/>
      <c r="C67" s="94"/>
      <c r="D67" s="94"/>
      <c r="E67" s="94"/>
      <c r="F67" s="94"/>
      <c r="G67" s="94"/>
      <c r="H67" s="94"/>
      <c r="I67" s="94"/>
      <c r="J67" s="94"/>
      <c r="K67" s="94"/>
      <c r="L67" s="94"/>
      <c r="M67" s="94"/>
      <c r="N67" s="94"/>
      <c r="O67" s="94"/>
      <c r="P67" s="94"/>
      <c r="Q67" s="94"/>
      <c r="R67" s="94"/>
      <c r="S67" s="94"/>
    </row>
    <row r="68" spans="1:19" ht="18" customHeight="1" x14ac:dyDescent="0.15">
      <c r="B68" s="88" t="s">
        <v>54</v>
      </c>
      <c r="C68" s="89"/>
      <c r="D68" s="89"/>
      <c r="E68" s="61" t="s">
        <v>81</v>
      </c>
      <c r="F68" s="60" t="s">
        <v>85</v>
      </c>
      <c r="G68" s="22" t="s">
        <v>102</v>
      </c>
      <c r="H68" s="22" t="s">
        <v>76</v>
      </c>
      <c r="I68" s="22" t="s">
        <v>77</v>
      </c>
      <c r="J68" s="88" t="s">
        <v>54</v>
      </c>
      <c r="K68" s="89"/>
      <c r="L68" s="89"/>
      <c r="M68" s="89"/>
      <c r="N68" s="90"/>
      <c r="O68" s="61" t="s">
        <v>81</v>
      </c>
      <c r="P68" s="60" t="s">
        <v>85</v>
      </c>
      <c r="Q68" s="22" t="s">
        <v>102</v>
      </c>
      <c r="R68" s="22" t="s">
        <v>76</v>
      </c>
      <c r="S68" s="22" t="s">
        <v>77</v>
      </c>
    </row>
    <row r="69" spans="1:19" ht="18" customHeight="1" x14ac:dyDescent="0.15">
      <c r="A69" s="3"/>
      <c r="B69" s="82" t="s">
        <v>131</v>
      </c>
      <c r="C69" s="83"/>
      <c r="D69" s="83"/>
      <c r="E69" s="23">
        <v>2</v>
      </c>
      <c r="F69" s="23" t="s">
        <v>134</v>
      </c>
      <c r="G69" s="23" t="s">
        <v>134</v>
      </c>
      <c r="H69" s="23" t="s">
        <v>134</v>
      </c>
      <c r="I69" s="23" t="s">
        <v>134</v>
      </c>
      <c r="J69" s="82"/>
      <c r="K69" s="83"/>
      <c r="L69" s="83"/>
      <c r="M69" s="83"/>
      <c r="N69" s="84"/>
      <c r="O69" s="23"/>
      <c r="P69" s="23"/>
      <c r="Q69" s="23"/>
      <c r="R69" s="23"/>
      <c r="S69" s="23"/>
    </row>
    <row r="70" spans="1:19" ht="18" customHeight="1" x14ac:dyDescent="0.15">
      <c r="A70" s="3"/>
      <c r="B70" s="85"/>
      <c r="C70" s="86"/>
      <c r="D70" s="86"/>
      <c r="E70" s="24"/>
      <c r="F70" s="24"/>
      <c r="G70" s="24"/>
      <c r="H70" s="24"/>
      <c r="I70" s="24"/>
      <c r="J70" s="85"/>
      <c r="K70" s="86"/>
      <c r="L70" s="86"/>
      <c r="M70" s="86"/>
      <c r="N70" s="87"/>
      <c r="O70" s="24"/>
      <c r="P70" s="24"/>
      <c r="Q70" s="24"/>
      <c r="R70" s="24"/>
      <c r="S70" s="24"/>
    </row>
    <row r="71" spans="1:19" ht="18" customHeight="1" x14ac:dyDescent="0.15">
      <c r="A71" s="3"/>
      <c r="B71" s="85"/>
      <c r="C71" s="86"/>
      <c r="D71" s="86"/>
      <c r="E71" s="24"/>
      <c r="F71" s="24"/>
      <c r="G71" s="24"/>
      <c r="H71" s="24"/>
      <c r="I71" s="24"/>
      <c r="J71" s="85"/>
      <c r="K71" s="86"/>
      <c r="L71" s="86"/>
      <c r="M71" s="86"/>
      <c r="N71" s="87"/>
      <c r="O71" s="24"/>
      <c r="P71" s="24"/>
      <c r="Q71" s="24"/>
      <c r="R71" s="24"/>
      <c r="S71" s="24"/>
    </row>
    <row r="72" spans="1:19" ht="18" customHeight="1" x14ac:dyDescent="0.15">
      <c r="A72" s="3"/>
      <c r="B72" s="85"/>
      <c r="C72" s="86"/>
      <c r="D72" s="86"/>
      <c r="E72" s="24"/>
      <c r="F72" s="24"/>
      <c r="G72" s="24"/>
      <c r="H72" s="24"/>
      <c r="I72" s="24"/>
      <c r="J72" s="85"/>
      <c r="K72" s="86"/>
      <c r="L72" s="86"/>
      <c r="M72" s="86"/>
      <c r="N72" s="87"/>
      <c r="O72" s="24"/>
      <c r="P72" s="24"/>
      <c r="Q72" s="24"/>
      <c r="R72" s="24"/>
      <c r="S72" s="24"/>
    </row>
    <row r="73" spans="1:19" ht="18" customHeight="1" x14ac:dyDescent="0.15">
      <c r="A73" s="3"/>
      <c r="B73" s="85"/>
      <c r="C73" s="86"/>
      <c r="D73" s="86"/>
      <c r="E73" s="24"/>
      <c r="F73" s="24"/>
      <c r="G73" s="24"/>
      <c r="H73" s="24"/>
      <c r="I73" s="24"/>
      <c r="J73" s="85"/>
      <c r="K73" s="86"/>
      <c r="L73" s="86"/>
      <c r="M73" s="86"/>
      <c r="N73" s="87"/>
      <c r="O73" s="24"/>
      <c r="P73" s="24"/>
      <c r="Q73" s="24"/>
      <c r="R73" s="24"/>
      <c r="S73" s="24"/>
    </row>
    <row r="74" spans="1:19" ht="18" customHeight="1" x14ac:dyDescent="0.15">
      <c r="A74" s="3"/>
      <c r="B74" s="85"/>
      <c r="C74" s="86"/>
      <c r="D74" s="86"/>
      <c r="E74" s="24"/>
      <c r="F74" s="24"/>
      <c r="G74" s="24"/>
      <c r="H74" s="24"/>
      <c r="I74" s="24"/>
      <c r="J74" s="85"/>
      <c r="K74" s="86"/>
      <c r="L74" s="86"/>
      <c r="M74" s="86"/>
      <c r="N74" s="87"/>
      <c r="O74" s="24"/>
      <c r="P74" s="24"/>
      <c r="Q74" s="24"/>
      <c r="R74" s="24"/>
      <c r="S74" s="24"/>
    </row>
    <row r="75" spans="1:19" ht="18" customHeight="1" x14ac:dyDescent="0.15">
      <c r="A75" s="3"/>
      <c r="B75" s="91"/>
      <c r="C75" s="92"/>
      <c r="D75" s="92"/>
      <c r="E75" s="25"/>
      <c r="F75" s="25"/>
      <c r="G75" s="26"/>
      <c r="H75" s="26"/>
      <c r="I75" s="26"/>
      <c r="J75" s="91"/>
      <c r="K75" s="92"/>
      <c r="L75" s="92"/>
      <c r="M75" s="92"/>
      <c r="N75" s="93"/>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88" t="s">
        <v>54</v>
      </c>
      <c r="C78" s="89"/>
      <c r="D78" s="89"/>
      <c r="E78" s="90"/>
      <c r="F78" s="88" t="s">
        <v>83</v>
      </c>
      <c r="G78" s="89"/>
      <c r="H78" s="89"/>
      <c r="I78" s="90"/>
      <c r="J78" s="113" t="s">
        <v>54</v>
      </c>
      <c r="K78" s="114"/>
      <c r="L78" s="114"/>
      <c r="M78" s="114"/>
      <c r="N78" s="114"/>
      <c r="O78" s="115"/>
      <c r="P78" s="88" t="s">
        <v>83</v>
      </c>
      <c r="Q78" s="89"/>
      <c r="R78" s="89"/>
      <c r="S78" s="90"/>
    </row>
    <row r="79" spans="1:19" ht="18" customHeight="1" x14ac:dyDescent="0.15">
      <c r="A79" s="3"/>
      <c r="B79" s="82"/>
      <c r="C79" s="83"/>
      <c r="D79" s="83"/>
      <c r="E79" s="84"/>
      <c r="F79" s="107"/>
      <c r="G79" s="108"/>
      <c r="H79" s="108"/>
      <c r="I79" s="109"/>
      <c r="J79" s="82"/>
      <c r="K79" s="83"/>
      <c r="L79" s="83"/>
      <c r="M79" s="83"/>
      <c r="N79" s="83"/>
      <c r="O79" s="84"/>
      <c r="P79" s="107"/>
      <c r="Q79" s="108"/>
      <c r="R79" s="108"/>
      <c r="S79" s="109"/>
    </row>
    <row r="80" spans="1:19" ht="18" customHeight="1" x14ac:dyDescent="0.15">
      <c r="A80" s="3"/>
      <c r="B80" s="85"/>
      <c r="C80" s="86"/>
      <c r="D80" s="86"/>
      <c r="E80" s="87"/>
      <c r="F80" s="110"/>
      <c r="G80" s="111"/>
      <c r="H80" s="111"/>
      <c r="I80" s="112"/>
      <c r="J80" s="85"/>
      <c r="K80" s="86"/>
      <c r="L80" s="86"/>
      <c r="M80" s="86"/>
      <c r="N80" s="86"/>
      <c r="O80" s="87"/>
      <c r="P80" s="110"/>
      <c r="Q80" s="111"/>
      <c r="R80" s="111"/>
      <c r="S80" s="112"/>
    </row>
    <row r="81" spans="1:19" ht="18" customHeight="1" x14ac:dyDescent="0.15">
      <c r="A81" s="3"/>
      <c r="B81" s="85"/>
      <c r="C81" s="86"/>
      <c r="D81" s="86"/>
      <c r="E81" s="87"/>
      <c r="F81" s="110"/>
      <c r="G81" s="111"/>
      <c r="H81" s="111"/>
      <c r="I81" s="112"/>
      <c r="J81" s="85"/>
      <c r="K81" s="86"/>
      <c r="L81" s="86"/>
      <c r="M81" s="86"/>
      <c r="N81" s="86"/>
      <c r="O81" s="87"/>
      <c r="P81" s="110"/>
      <c r="Q81" s="111"/>
      <c r="R81" s="111"/>
      <c r="S81" s="112"/>
    </row>
    <row r="82" spans="1:19" ht="18" customHeight="1" x14ac:dyDescent="0.15">
      <c r="A82" s="3"/>
      <c r="B82" s="85"/>
      <c r="C82" s="86"/>
      <c r="D82" s="86"/>
      <c r="E82" s="87"/>
      <c r="F82" s="110"/>
      <c r="G82" s="111"/>
      <c r="H82" s="111"/>
      <c r="I82" s="112"/>
      <c r="J82" s="85"/>
      <c r="K82" s="86"/>
      <c r="L82" s="86"/>
      <c r="M82" s="86"/>
      <c r="N82" s="86"/>
      <c r="O82" s="87"/>
      <c r="P82" s="110"/>
      <c r="Q82" s="111"/>
      <c r="R82" s="111"/>
      <c r="S82" s="112"/>
    </row>
    <row r="83" spans="1:19" ht="18" customHeight="1" x14ac:dyDescent="0.15">
      <c r="A83" s="3"/>
      <c r="B83" s="85"/>
      <c r="C83" s="86"/>
      <c r="D83" s="86"/>
      <c r="E83" s="87"/>
      <c r="F83" s="110"/>
      <c r="G83" s="111"/>
      <c r="H83" s="111"/>
      <c r="I83" s="112"/>
      <c r="J83" s="85"/>
      <c r="K83" s="86"/>
      <c r="L83" s="86"/>
      <c r="M83" s="86"/>
      <c r="N83" s="86"/>
      <c r="O83" s="87"/>
      <c r="P83" s="110"/>
      <c r="Q83" s="111"/>
      <c r="R83" s="111"/>
      <c r="S83" s="112"/>
    </row>
    <row r="84" spans="1:19" ht="18" customHeight="1" x14ac:dyDescent="0.15">
      <c r="A84" s="3"/>
      <c r="B84" s="85"/>
      <c r="C84" s="86"/>
      <c r="D84" s="86"/>
      <c r="E84" s="87"/>
      <c r="F84" s="110"/>
      <c r="G84" s="111"/>
      <c r="H84" s="111"/>
      <c r="I84" s="112"/>
      <c r="J84" s="85"/>
      <c r="K84" s="86"/>
      <c r="L84" s="86"/>
      <c r="M84" s="86"/>
      <c r="N84" s="86"/>
      <c r="O84" s="87"/>
      <c r="P84" s="110"/>
      <c r="Q84" s="111"/>
      <c r="R84" s="111"/>
      <c r="S84" s="112"/>
    </row>
    <row r="85" spans="1:19" ht="18" customHeight="1" x14ac:dyDescent="0.15">
      <c r="A85" s="3"/>
      <c r="B85" s="91"/>
      <c r="C85" s="92"/>
      <c r="D85" s="92"/>
      <c r="E85" s="93"/>
      <c r="F85" s="119"/>
      <c r="G85" s="120"/>
      <c r="H85" s="120"/>
      <c r="I85" s="121"/>
      <c r="J85" s="91"/>
      <c r="K85" s="92"/>
      <c r="L85" s="92"/>
      <c r="M85" s="92"/>
      <c r="N85" s="92"/>
      <c r="O85" s="93"/>
      <c r="P85" s="119"/>
      <c r="Q85" s="120"/>
      <c r="R85" s="120"/>
      <c r="S85" s="121"/>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05" t="s">
        <v>55</v>
      </c>
      <c r="C88" s="106"/>
      <c r="D88" s="89" t="s">
        <v>56</v>
      </c>
      <c r="E88" s="89"/>
      <c r="F88" s="89"/>
      <c r="G88" s="89"/>
      <c r="H88" s="89"/>
      <c r="I88" s="89"/>
      <c r="J88" s="89"/>
      <c r="K88" s="89"/>
      <c r="L88" s="89"/>
      <c r="M88" s="89"/>
      <c r="N88" s="89"/>
      <c r="O88" s="89"/>
      <c r="P88" s="89"/>
      <c r="Q88" s="89"/>
      <c r="R88" s="89"/>
      <c r="S88" s="90"/>
    </row>
    <row r="89" spans="1:19" ht="97.5" customHeight="1" x14ac:dyDescent="0.15">
      <c r="B89" s="95" t="s">
        <v>62</v>
      </c>
      <c r="C89" s="28" t="s">
        <v>57</v>
      </c>
      <c r="D89" s="102" t="s">
        <v>135</v>
      </c>
      <c r="E89" s="103"/>
      <c r="F89" s="103"/>
      <c r="G89" s="103"/>
      <c r="H89" s="103"/>
      <c r="I89" s="103"/>
      <c r="J89" s="103"/>
      <c r="K89" s="103"/>
      <c r="L89" s="103"/>
      <c r="M89" s="103"/>
      <c r="N89" s="103"/>
      <c r="O89" s="103"/>
      <c r="P89" s="103"/>
      <c r="Q89" s="103"/>
      <c r="R89" s="103"/>
      <c r="S89" s="104"/>
    </row>
    <row r="90" spans="1:19" ht="97.5" customHeight="1" x14ac:dyDescent="0.15">
      <c r="B90" s="96"/>
      <c r="C90" s="29" t="s">
        <v>78</v>
      </c>
      <c r="D90" s="122" t="s">
        <v>136</v>
      </c>
      <c r="E90" s="123"/>
      <c r="F90" s="123"/>
      <c r="G90" s="123"/>
      <c r="H90" s="123"/>
      <c r="I90" s="123"/>
      <c r="J90" s="123"/>
      <c r="K90" s="123"/>
      <c r="L90" s="123"/>
      <c r="M90" s="123"/>
      <c r="N90" s="123"/>
      <c r="O90" s="123"/>
      <c r="P90" s="123"/>
      <c r="Q90" s="123"/>
      <c r="R90" s="123"/>
      <c r="S90" s="124"/>
    </row>
    <row r="91" spans="1:19" ht="97.5" customHeight="1" x14ac:dyDescent="0.15">
      <c r="B91" s="95" t="s">
        <v>63</v>
      </c>
      <c r="C91" s="30" t="s">
        <v>72</v>
      </c>
      <c r="D91" s="125" t="s">
        <v>137</v>
      </c>
      <c r="E91" s="126"/>
      <c r="F91" s="126"/>
      <c r="G91" s="126"/>
      <c r="H91" s="126"/>
      <c r="I91" s="126"/>
      <c r="J91" s="126"/>
      <c r="K91" s="126"/>
      <c r="L91" s="126"/>
      <c r="M91" s="126"/>
      <c r="N91" s="126"/>
      <c r="O91" s="126"/>
      <c r="P91" s="126"/>
      <c r="Q91" s="126"/>
      <c r="R91" s="126"/>
      <c r="S91" s="127"/>
    </row>
    <row r="92" spans="1:19" ht="97.5" customHeight="1" x14ac:dyDescent="0.15">
      <c r="B92" s="97"/>
      <c r="C92" s="31" t="s">
        <v>73</v>
      </c>
      <c r="D92" s="131" t="s">
        <v>138</v>
      </c>
      <c r="E92" s="132"/>
      <c r="F92" s="132"/>
      <c r="G92" s="132"/>
      <c r="H92" s="132"/>
      <c r="I92" s="132"/>
      <c r="J92" s="132"/>
      <c r="K92" s="132"/>
      <c r="L92" s="132"/>
      <c r="M92" s="132"/>
      <c r="N92" s="132"/>
      <c r="O92" s="132"/>
      <c r="P92" s="132"/>
      <c r="Q92" s="132"/>
      <c r="R92" s="132"/>
      <c r="S92" s="133"/>
    </row>
    <row r="93" spans="1:19" ht="97.5" customHeight="1" x14ac:dyDescent="0.15">
      <c r="B93" s="95" t="s">
        <v>64</v>
      </c>
      <c r="C93" s="30" t="s">
        <v>74</v>
      </c>
      <c r="D93" s="125" t="s">
        <v>139</v>
      </c>
      <c r="E93" s="126"/>
      <c r="F93" s="126"/>
      <c r="G93" s="126"/>
      <c r="H93" s="126"/>
      <c r="I93" s="126"/>
      <c r="J93" s="126"/>
      <c r="K93" s="126"/>
      <c r="L93" s="126"/>
      <c r="M93" s="126"/>
      <c r="N93" s="126"/>
      <c r="O93" s="126"/>
      <c r="P93" s="126"/>
      <c r="Q93" s="126"/>
      <c r="R93" s="126"/>
      <c r="S93" s="127"/>
    </row>
    <row r="94" spans="1:19" ht="97.5" customHeight="1" x14ac:dyDescent="0.15">
      <c r="B94" s="97"/>
      <c r="C94" s="32" t="s">
        <v>75</v>
      </c>
      <c r="D94" s="128" t="s">
        <v>140</v>
      </c>
      <c r="E94" s="129"/>
      <c r="F94" s="129"/>
      <c r="G94" s="129"/>
      <c r="H94" s="129"/>
      <c r="I94" s="129"/>
      <c r="J94" s="129"/>
      <c r="K94" s="129"/>
      <c r="L94" s="129"/>
      <c r="M94" s="129"/>
      <c r="N94" s="129"/>
      <c r="O94" s="129"/>
      <c r="P94" s="129"/>
      <c r="Q94" s="129"/>
      <c r="R94" s="129"/>
      <c r="S94" s="130"/>
    </row>
    <row r="95" spans="1:19" ht="97.5" customHeight="1" x14ac:dyDescent="0.15">
      <c r="B95" s="95" t="s">
        <v>79</v>
      </c>
      <c r="C95" s="28" t="s">
        <v>59</v>
      </c>
      <c r="D95" s="102" t="s">
        <v>141</v>
      </c>
      <c r="E95" s="103"/>
      <c r="F95" s="103"/>
      <c r="G95" s="103"/>
      <c r="H95" s="103"/>
      <c r="I95" s="103"/>
      <c r="J95" s="103"/>
      <c r="K95" s="103"/>
      <c r="L95" s="103"/>
      <c r="M95" s="103"/>
      <c r="N95" s="103"/>
      <c r="O95" s="103"/>
      <c r="P95" s="103"/>
      <c r="Q95" s="103"/>
      <c r="R95" s="103"/>
      <c r="S95" s="104"/>
    </row>
    <row r="96" spans="1:19" ht="97.5" customHeight="1" x14ac:dyDescent="0.15">
      <c r="B96" s="97"/>
      <c r="C96" s="31" t="s">
        <v>61</v>
      </c>
      <c r="D96" s="131" t="s">
        <v>144</v>
      </c>
      <c r="E96" s="132"/>
      <c r="F96" s="132"/>
      <c r="G96" s="132"/>
      <c r="H96" s="132"/>
      <c r="I96" s="132"/>
      <c r="J96" s="132"/>
      <c r="K96" s="132"/>
      <c r="L96" s="132"/>
      <c r="M96" s="132"/>
      <c r="N96" s="132"/>
      <c r="O96" s="132"/>
      <c r="P96" s="132"/>
      <c r="Q96" s="132"/>
      <c r="R96" s="132"/>
      <c r="S96" s="133"/>
    </row>
    <row r="97" spans="1:19" ht="97.5" customHeight="1" x14ac:dyDescent="0.15">
      <c r="B97" s="95" t="s">
        <v>80</v>
      </c>
      <c r="C97" s="30" t="s">
        <v>58</v>
      </c>
      <c r="D97" s="98" t="s">
        <v>143</v>
      </c>
      <c r="E97" s="83"/>
      <c r="F97" s="83"/>
      <c r="G97" s="83"/>
      <c r="H97" s="83"/>
      <c r="I97" s="83"/>
      <c r="J97" s="83"/>
      <c r="K97" s="83"/>
      <c r="L97" s="83"/>
      <c r="M97" s="83"/>
      <c r="N97" s="83"/>
      <c r="O97" s="83"/>
      <c r="P97" s="83"/>
      <c r="Q97" s="83"/>
      <c r="R97" s="83"/>
      <c r="S97" s="84"/>
    </row>
    <row r="98" spans="1:19" ht="97.5" customHeight="1" x14ac:dyDescent="0.15">
      <c r="B98" s="96"/>
      <c r="C98" s="33" t="s">
        <v>76</v>
      </c>
      <c r="D98" s="134" t="s">
        <v>142</v>
      </c>
      <c r="E98" s="86"/>
      <c r="F98" s="86"/>
      <c r="G98" s="86"/>
      <c r="H98" s="86"/>
      <c r="I98" s="86"/>
      <c r="J98" s="86"/>
      <c r="K98" s="86"/>
      <c r="L98" s="86"/>
      <c r="M98" s="86"/>
      <c r="N98" s="86"/>
      <c r="O98" s="86"/>
      <c r="P98" s="86"/>
      <c r="Q98" s="86"/>
      <c r="R98" s="86"/>
      <c r="S98" s="87"/>
    </row>
    <row r="99" spans="1:19" ht="97.5" customHeight="1" x14ac:dyDescent="0.15">
      <c r="B99" s="97"/>
      <c r="C99" s="32" t="s">
        <v>77</v>
      </c>
      <c r="D99" s="99" t="s">
        <v>145</v>
      </c>
      <c r="E99" s="100"/>
      <c r="F99" s="100"/>
      <c r="G99" s="100"/>
      <c r="H99" s="100"/>
      <c r="I99" s="100"/>
      <c r="J99" s="100"/>
      <c r="K99" s="100"/>
      <c r="L99" s="100"/>
      <c r="M99" s="100"/>
      <c r="N99" s="100"/>
      <c r="O99" s="100"/>
      <c r="P99" s="100"/>
      <c r="Q99" s="100"/>
      <c r="R99" s="100"/>
      <c r="S99" s="101"/>
    </row>
    <row r="100" spans="1:19" ht="6" customHeight="1" x14ac:dyDescent="0.15"/>
    <row r="101" spans="1:19" ht="18.75" customHeight="1" x14ac:dyDescent="0.15">
      <c r="A101" s="1" t="s">
        <v>121</v>
      </c>
    </row>
    <row r="102" spans="1:19" ht="81.75" customHeight="1" x14ac:dyDescent="0.15">
      <c r="B102" s="116" t="s">
        <v>132</v>
      </c>
      <c r="C102" s="117"/>
      <c r="D102" s="117"/>
      <c r="E102" s="117"/>
      <c r="F102" s="117"/>
      <c r="G102" s="117"/>
      <c r="H102" s="117"/>
      <c r="I102" s="117"/>
      <c r="J102" s="117"/>
      <c r="K102" s="117"/>
      <c r="L102" s="117"/>
      <c r="M102" s="117"/>
      <c r="N102" s="117"/>
      <c r="O102" s="117"/>
      <c r="P102" s="117"/>
      <c r="Q102" s="117"/>
      <c r="R102" s="117"/>
      <c r="S102" s="118"/>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F24" sqref="F24"/>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1" t="str">
        <f>'様式１　プログラムを構成する授業科目'!C2</f>
        <v>清泉女学院大学</v>
      </c>
      <c r="AN2" s="161"/>
      <c r="AO2" s="161"/>
      <c r="AP2" s="161"/>
      <c r="AQ2" s="161"/>
    </row>
    <row r="3" spans="1:45" ht="18" customHeight="1" x14ac:dyDescent="0.15">
      <c r="A3" s="139" t="s">
        <v>48</v>
      </c>
      <c r="B3" s="139"/>
      <c r="C3" s="139"/>
      <c r="D3" s="139"/>
      <c r="E3" s="139"/>
      <c r="F3" s="139"/>
      <c r="G3" s="139"/>
      <c r="H3" s="139"/>
      <c r="I3" s="139"/>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39"/>
      <c r="AK3" s="139"/>
      <c r="AL3" s="139"/>
      <c r="AM3" s="139"/>
      <c r="AN3" s="139"/>
      <c r="AO3" s="139"/>
      <c r="AP3" s="139"/>
      <c r="AQ3" s="13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62" t="s">
        <v>133</v>
      </c>
      <c r="D5" s="163"/>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4" t="s">
        <v>45</v>
      </c>
      <c r="C9" s="179" t="s">
        <v>87</v>
      </c>
      <c r="D9" s="167" t="s">
        <v>47</v>
      </c>
      <c r="E9" s="170" t="s">
        <v>40</v>
      </c>
      <c r="F9" s="158" t="s">
        <v>86</v>
      </c>
      <c r="G9" s="158"/>
      <c r="H9" s="158"/>
      <c r="I9" s="158"/>
      <c r="J9" s="158"/>
      <c r="K9" s="158"/>
      <c r="L9" s="158" t="s">
        <v>49</v>
      </c>
      <c r="M9" s="158"/>
      <c r="N9" s="158"/>
      <c r="O9" s="158"/>
      <c r="P9" s="158"/>
      <c r="Q9" s="158"/>
      <c r="R9" s="158" t="s">
        <v>50</v>
      </c>
      <c r="S9" s="158"/>
      <c r="T9" s="158"/>
      <c r="U9" s="158"/>
      <c r="V9" s="158"/>
      <c r="W9" s="158"/>
      <c r="X9" s="158" t="s">
        <v>101</v>
      </c>
      <c r="Y9" s="158"/>
      <c r="Z9" s="158"/>
      <c r="AA9" s="158"/>
      <c r="AB9" s="158"/>
      <c r="AC9" s="158"/>
      <c r="AD9" s="158" t="s">
        <v>51</v>
      </c>
      <c r="AE9" s="158"/>
      <c r="AF9" s="158"/>
      <c r="AG9" s="158"/>
      <c r="AH9" s="158"/>
      <c r="AI9" s="158"/>
      <c r="AJ9" s="158" t="s">
        <v>52</v>
      </c>
      <c r="AK9" s="158"/>
      <c r="AL9" s="158"/>
      <c r="AM9" s="158"/>
      <c r="AN9" s="158"/>
      <c r="AO9" s="158"/>
      <c r="AP9" s="173" t="s">
        <v>35</v>
      </c>
      <c r="AQ9" s="176" t="s">
        <v>32</v>
      </c>
      <c r="AS9" s="2"/>
    </row>
    <row r="10" spans="1:45" ht="16.899999999999999" customHeight="1" x14ac:dyDescent="0.15">
      <c r="B10" s="165"/>
      <c r="C10" s="180"/>
      <c r="D10" s="168"/>
      <c r="E10" s="171"/>
      <c r="F10" s="159" t="s">
        <v>97</v>
      </c>
      <c r="G10" s="160"/>
      <c r="H10" s="160"/>
      <c r="I10" s="159" t="s">
        <v>29</v>
      </c>
      <c r="J10" s="160"/>
      <c r="K10" s="160"/>
      <c r="L10" s="159" t="s">
        <v>97</v>
      </c>
      <c r="M10" s="160"/>
      <c r="N10" s="160"/>
      <c r="O10" s="159" t="s">
        <v>29</v>
      </c>
      <c r="P10" s="160"/>
      <c r="Q10" s="160"/>
      <c r="R10" s="159" t="s">
        <v>97</v>
      </c>
      <c r="S10" s="160"/>
      <c r="T10" s="160"/>
      <c r="U10" s="159" t="s">
        <v>29</v>
      </c>
      <c r="V10" s="160"/>
      <c r="W10" s="160"/>
      <c r="X10" s="159" t="s">
        <v>97</v>
      </c>
      <c r="Y10" s="160"/>
      <c r="Z10" s="160"/>
      <c r="AA10" s="159" t="s">
        <v>29</v>
      </c>
      <c r="AB10" s="160"/>
      <c r="AC10" s="160"/>
      <c r="AD10" s="159" t="s">
        <v>97</v>
      </c>
      <c r="AE10" s="160"/>
      <c r="AF10" s="160"/>
      <c r="AG10" s="159" t="s">
        <v>29</v>
      </c>
      <c r="AH10" s="160"/>
      <c r="AI10" s="160"/>
      <c r="AJ10" s="159" t="s">
        <v>97</v>
      </c>
      <c r="AK10" s="160"/>
      <c r="AL10" s="160"/>
      <c r="AM10" s="159" t="s">
        <v>29</v>
      </c>
      <c r="AN10" s="160"/>
      <c r="AO10" s="160"/>
      <c r="AP10" s="174"/>
      <c r="AQ10" s="177"/>
      <c r="AS10" s="2"/>
    </row>
    <row r="11" spans="1:45" ht="18" customHeight="1" x14ac:dyDescent="0.15">
      <c r="B11" s="166"/>
      <c r="C11" s="181"/>
      <c r="D11" s="169"/>
      <c r="E11" s="17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5"/>
      <c r="AQ11" s="178"/>
      <c r="AS11" s="2"/>
    </row>
    <row r="12" spans="1:45" ht="18" customHeight="1" x14ac:dyDescent="0.15">
      <c r="A12" s="6"/>
      <c r="B12" s="11" t="s">
        <v>146</v>
      </c>
      <c r="C12" s="62">
        <v>387</v>
      </c>
      <c r="D12" s="63">
        <v>100</v>
      </c>
      <c r="E12" s="64">
        <v>360</v>
      </c>
      <c r="F12" s="64">
        <f>G12+H12</f>
        <v>25</v>
      </c>
      <c r="G12" s="65"/>
      <c r="H12" s="66">
        <v>25</v>
      </c>
      <c r="I12" s="64">
        <f>J12+K12</f>
        <v>22</v>
      </c>
      <c r="J12" s="65"/>
      <c r="K12" s="66">
        <v>22</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25</v>
      </c>
      <c r="AQ12" s="21">
        <f t="shared" ref="AQ12:AQ32" si="0">AP12/E12</f>
        <v>6.9444444444444448E-2</v>
      </c>
    </row>
    <row r="13" spans="1:45" ht="18" customHeight="1" x14ac:dyDescent="0.15">
      <c r="A13" s="6"/>
      <c r="B13" s="12" t="s">
        <v>147</v>
      </c>
      <c r="C13" s="67">
        <v>282</v>
      </c>
      <c r="D13" s="68">
        <v>76</v>
      </c>
      <c r="E13" s="69">
        <v>304</v>
      </c>
      <c r="F13" s="70">
        <f t="shared" ref="F13:F31" si="1">G13+H13</f>
        <v>1</v>
      </c>
      <c r="G13" s="71"/>
      <c r="H13" s="72">
        <v>1</v>
      </c>
      <c r="I13" s="70">
        <f t="shared" ref="I13:I31" si="2">J13+K13</f>
        <v>1</v>
      </c>
      <c r="J13" s="71"/>
      <c r="K13" s="72">
        <v>1</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1</v>
      </c>
      <c r="AQ13" s="20">
        <f t="shared" si="0"/>
        <v>3.2894736842105261E-3</v>
      </c>
    </row>
    <row r="14" spans="1:45" ht="18" customHeight="1" x14ac:dyDescent="0.15">
      <c r="A14" s="6"/>
      <c r="B14" s="12"/>
      <c r="C14" s="67"/>
      <c r="D14" s="68"/>
      <c r="E14" s="69"/>
      <c r="F14" s="70">
        <f t="shared" si="1"/>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x14ac:dyDescent="0.15">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669</v>
      </c>
      <c r="D32" s="78">
        <f t="shared" ref="D32:AP32" si="15">SUM(D12:D31)</f>
        <v>176</v>
      </c>
      <c r="E32" s="79">
        <f t="shared" si="15"/>
        <v>664</v>
      </c>
      <c r="F32" s="79">
        <f t="shared" si="15"/>
        <v>26</v>
      </c>
      <c r="G32" s="80">
        <f t="shared" si="15"/>
        <v>0</v>
      </c>
      <c r="H32" s="81">
        <f t="shared" si="15"/>
        <v>26</v>
      </c>
      <c r="I32" s="79">
        <f t="shared" ref="I32:N32" si="16">SUM(I12:I31)</f>
        <v>23</v>
      </c>
      <c r="J32" s="80">
        <f t="shared" si="16"/>
        <v>0</v>
      </c>
      <c r="K32" s="81">
        <f t="shared" si="16"/>
        <v>23</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26</v>
      </c>
      <c r="AQ32" s="9">
        <f t="shared" si="0"/>
        <v>3.9156626506024098E-2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B19" sqref="B19:I19"/>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88" t="str">
        <f>'様式１　プログラムを構成する授業科目'!C2</f>
        <v>清泉女学院大学</v>
      </c>
      <c r="I2" s="90"/>
    </row>
    <row r="3" spans="1:9" ht="18.75" customHeight="1" x14ac:dyDescent="0.15">
      <c r="G3" s="35"/>
      <c r="H3" s="10"/>
      <c r="I3" s="10"/>
    </row>
    <row r="4" spans="1:9" ht="18.600000000000001" customHeight="1" x14ac:dyDescent="0.15">
      <c r="A4" s="139" t="s">
        <v>36</v>
      </c>
      <c r="B4" s="139"/>
      <c r="C4" s="139"/>
      <c r="D4" s="139"/>
      <c r="E4" s="139"/>
      <c r="F4" s="139"/>
      <c r="G4" s="139"/>
      <c r="H4" s="139"/>
      <c r="I4" s="139"/>
    </row>
    <row r="5" spans="1:9" ht="13.15" customHeight="1" x14ac:dyDescent="0.15">
      <c r="B5" s="3"/>
      <c r="C5" s="3"/>
      <c r="D5" s="3"/>
      <c r="E5" s="3"/>
      <c r="F5" s="3"/>
      <c r="G5" s="3"/>
      <c r="H5" s="3"/>
      <c r="I5" s="3"/>
    </row>
    <row r="6" spans="1:9" ht="18" customHeight="1" x14ac:dyDescent="0.15">
      <c r="A6" s="1" t="s">
        <v>0</v>
      </c>
      <c r="B6" s="10" t="s">
        <v>91</v>
      </c>
      <c r="C6" s="205" t="s">
        <v>92</v>
      </c>
      <c r="D6" s="205"/>
      <c r="E6" s="34">
        <v>49</v>
      </c>
      <c r="F6" s="3" t="s">
        <v>1</v>
      </c>
      <c r="G6" s="3" t="s">
        <v>2</v>
      </c>
      <c r="H6" s="34">
        <v>93</v>
      </c>
      <c r="I6" s="10" t="s">
        <v>1</v>
      </c>
    </row>
    <row r="7" spans="1:9" ht="12" customHeight="1" x14ac:dyDescent="0.15">
      <c r="C7" s="2"/>
      <c r="D7" s="2"/>
      <c r="E7" s="2"/>
      <c r="F7" s="2"/>
      <c r="G7" s="2"/>
      <c r="H7" s="2"/>
      <c r="I7" s="42"/>
    </row>
    <row r="8" spans="1:9" ht="18" customHeight="1" x14ac:dyDescent="0.15">
      <c r="A8" s="1" t="s">
        <v>3</v>
      </c>
      <c r="B8" s="10" t="s">
        <v>93</v>
      </c>
      <c r="E8" s="3"/>
      <c r="F8" s="3"/>
      <c r="G8" s="3"/>
      <c r="H8" s="34">
        <v>1</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00" t="s">
        <v>148</v>
      </c>
      <c r="D11" s="203"/>
      <c r="E11" s="204"/>
      <c r="F11" s="42"/>
      <c r="G11" s="35" t="s">
        <v>10</v>
      </c>
      <c r="H11" s="200" t="s">
        <v>149</v>
      </c>
      <c r="I11" s="204"/>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00" t="s">
        <v>150</v>
      </c>
      <c r="C14" s="201"/>
      <c r="D14" s="201"/>
      <c r="E14" s="201"/>
      <c r="F14" s="201"/>
      <c r="G14" s="201"/>
      <c r="H14" s="201"/>
      <c r="I14" s="202"/>
    </row>
    <row r="15" spans="1:9" ht="9" customHeight="1" x14ac:dyDescent="0.15">
      <c r="B15" s="3"/>
      <c r="C15" s="3"/>
      <c r="D15" s="3"/>
      <c r="E15" s="3"/>
      <c r="F15" s="3"/>
      <c r="G15" s="3"/>
      <c r="H15" s="3"/>
      <c r="I15" s="3"/>
    </row>
    <row r="16" spans="1:9" ht="18" customHeight="1" x14ac:dyDescent="0.15">
      <c r="B16" s="35" t="s">
        <v>43</v>
      </c>
      <c r="C16" s="200" t="s">
        <v>151</v>
      </c>
      <c r="D16" s="203"/>
      <c r="E16" s="204"/>
      <c r="F16" s="42"/>
      <c r="G16" s="35" t="s">
        <v>10</v>
      </c>
      <c r="H16" s="200" t="s">
        <v>152</v>
      </c>
      <c r="I16" s="204"/>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92" t="s">
        <v>172</v>
      </c>
      <c r="C19" s="193"/>
      <c r="D19" s="193"/>
      <c r="E19" s="193"/>
      <c r="F19" s="193"/>
      <c r="G19" s="193"/>
      <c r="H19" s="193"/>
      <c r="I19" s="19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82" t="s">
        <v>154</v>
      </c>
      <c r="C22" s="183"/>
      <c r="D22" s="183"/>
      <c r="E22" s="183"/>
      <c r="F22" s="183"/>
      <c r="G22" s="183"/>
      <c r="H22" s="183"/>
      <c r="I22" s="184"/>
    </row>
    <row r="23" spans="1:9" ht="18.75" customHeight="1" x14ac:dyDescent="0.15">
      <c r="A23" s="15"/>
      <c r="B23" s="195"/>
      <c r="C23" s="196"/>
      <c r="D23" s="196"/>
      <c r="E23" s="196"/>
      <c r="F23" s="196"/>
      <c r="G23" s="196"/>
      <c r="H23" s="196"/>
      <c r="I23" s="187"/>
    </row>
    <row r="24" spans="1:9" ht="18.75" customHeight="1" x14ac:dyDescent="0.15">
      <c r="A24" s="15"/>
      <c r="B24" s="195"/>
      <c r="C24" s="196"/>
      <c r="D24" s="196"/>
      <c r="E24" s="196"/>
      <c r="F24" s="196"/>
      <c r="G24" s="196"/>
      <c r="H24" s="196"/>
      <c r="I24" s="187"/>
    </row>
    <row r="25" spans="1:9" ht="18.75" customHeight="1" x14ac:dyDescent="0.15">
      <c r="A25" s="15"/>
      <c r="B25" s="195"/>
      <c r="C25" s="196"/>
      <c r="D25" s="196"/>
      <c r="E25" s="196"/>
      <c r="F25" s="196"/>
      <c r="G25" s="196"/>
      <c r="H25" s="196"/>
      <c r="I25" s="187"/>
    </row>
    <row r="26" spans="1:9" ht="18.75" customHeight="1" x14ac:dyDescent="0.15">
      <c r="A26" s="15"/>
      <c r="B26" s="195"/>
      <c r="C26" s="196"/>
      <c r="D26" s="196"/>
      <c r="E26" s="196"/>
      <c r="F26" s="196"/>
      <c r="G26" s="196"/>
      <c r="H26" s="196"/>
      <c r="I26" s="187"/>
    </row>
    <row r="27" spans="1:9" ht="18.75" customHeight="1" x14ac:dyDescent="0.15">
      <c r="A27" s="15"/>
      <c r="B27" s="195"/>
      <c r="C27" s="196"/>
      <c r="D27" s="196"/>
      <c r="E27" s="196"/>
      <c r="F27" s="196"/>
      <c r="G27" s="196"/>
      <c r="H27" s="196"/>
      <c r="I27" s="187"/>
    </row>
    <row r="28" spans="1:9" ht="18.75" customHeight="1" x14ac:dyDescent="0.15">
      <c r="A28" s="15"/>
      <c r="B28" s="195"/>
      <c r="C28" s="196"/>
      <c r="D28" s="196"/>
      <c r="E28" s="196"/>
      <c r="F28" s="196"/>
      <c r="G28" s="196"/>
      <c r="H28" s="196"/>
      <c r="I28" s="187"/>
    </row>
    <row r="29" spans="1:9" ht="18.75" customHeight="1" x14ac:dyDescent="0.15">
      <c r="A29" s="15"/>
      <c r="B29" s="195"/>
      <c r="C29" s="196"/>
      <c r="D29" s="196"/>
      <c r="E29" s="196"/>
      <c r="F29" s="196"/>
      <c r="G29" s="196"/>
      <c r="H29" s="196"/>
      <c r="I29" s="187"/>
    </row>
    <row r="30" spans="1:9" ht="18.75" customHeight="1" x14ac:dyDescent="0.15">
      <c r="A30" s="15"/>
      <c r="B30" s="185"/>
      <c r="C30" s="186"/>
      <c r="D30" s="186"/>
      <c r="E30" s="186"/>
      <c r="F30" s="186"/>
      <c r="G30" s="186"/>
      <c r="H30" s="186"/>
      <c r="I30" s="187"/>
    </row>
    <row r="31" spans="1:9" ht="18.75" customHeight="1" x14ac:dyDescent="0.15">
      <c r="A31" s="15"/>
      <c r="B31" s="185"/>
      <c r="C31" s="186"/>
      <c r="D31" s="186"/>
      <c r="E31" s="186"/>
      <c r="F31" s="186"/>
      <c r="G31" s="186"/>
      <c r="H31" s="186"/>
      <c r="I31" s="187"/>
    </row>
    <row r="32" spans="1:9" ht="18.75" customHeight="1" x14ac:dyDescent="0.15">
      <c r="A32" s="15"/>
      <c r="B32" s="188"/>
      <c r="C32" s="189"/>
      <c r="D32" s="189"/>
      <c r="E32" s="189"/>
      <c r="F32" s="189"/>
      <c r="G32" s="189"/>
      <c r="H32" s="189"/>
      <c r="I32" s="190"/>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82" t="s">
        <v>153</v>
      </c>
      <c r="C35" s="183"/>
      <c r="D35" s="183"/>
      <c r="E35" s="183"/>
      <c r="F35" s="183"/>
      <c r="G35" s="183"/>
      <c r="H35" s="183"/>
      <c r="I35" s="184"/>
    </row>
    <row r="36" spans="1:9" ht="18.75" customHeight="1" x14ac:dyDescent="0.15">
      <c r="A36" s="15"/>
      <c r="B36" s="185"/>
      <c r="C36" s="186"/>
      <c r="D36" s="186"/>
      <c r="E36" s="186"/>
      <c r="F36" s="186"/>
      <c r="G36" s="186"/>
      <c r="H36" s="186"/>
      <c r="I36" s="187"/>
    </row>
    <row r="37" spans="1:9" ht="18.75" customHeight="1" x14ac:dyDescent="0.15">
      <c r="A37" s="15"/>
      <c r="B37" s="185"/>
      <c r="C37" s="186"/>
      <c r="D37" s="186"/>
      <c r="E37" s="186"/>
      <c r="F37" s="186"/>
      <c r="G37" s="186"/>
      <c r="H37" s="186"/>
      <c r="I37" s="187"/>
    </row>
    <row r="38" spans="1:9" ht="18.75" customHeight="1" x14ac:dyDescent="0.15">
      <c r="A38" s="15"/>
      <c r="B38" s="185"/>
      <c r="C38" s="186"/>
      <c r="D38" s="186"/>
      <c r="E38" s="186"/>
      <c r="F38" s="186"/>
      <c r="G38" s="186"/>
      <c r="H38" s="186"/>
      <c r="I38" s="187"/>
    </row>
    <row r="39" spans="1:9" ht="18.75" customHeight="1" x14ac:dyDescent="0.15">
      <c r="A39" s="15"/>
      <c r="B39" s="185"/>
      <c r="C39" s="186"/>
      <c r="D39" s="186"/>
      <c r="E39" s="186"/>
      <c r="F39" s="186"/>
      <c r="G39" s="186"/>
      <c r="H39" s="186"/>
      <c r="I39" s="187"/>
    </row>
    <row r="40" spans="1:9" ht="18.75" customHeight="1" x14ac:dyDescent="0.15">
      <c r="A40" s="15"/>
      <c r="B40" s="185"/>
      <c r="C40" s="186"/>
      <c r="D40" s="186"/>
      <c r="E40" s="186"/>
      <c r="F40" s="186"/>
      <c r="G40" s="186"/>
      <c r="H40" s="186"/>
      <c r="I40" s="187"/>
    </row>
    <row r="41" spans="1:9" ht="18.75" customHeight="1" x14ac:dyDescent="0.15">
      <c r="A41" s="15"/>
      <c r="B41" s="185"/>
      <c r="C41" s="186"/>
      <c r="D41" s="186"/>
      <c r="E41" s="186"/>
      <c r="F41" s="186"/>
      <c r="G41" s="186"/>
      <c r="H41" s="186"/>
      <c r="I41" s="187"/>
    </row>
    <row r="42" spans="1:9" ht="18.75" customHeight="1" x14ac:dyDescent="0.15">
      <c r="A42" s="15"/>
      <c r="B42" s="185"/>
      <c r="C42" s="186"/>
      <c r="D42" s="186"/>
      <c r="E42" s="186"/>
      <c r="F42" s="186"/>
      <c r="G42" s="186"/>
      <c r="H42" s="186"/>
      <c r="I42" s="187"/>
    </row>
    <row r="43" spans="1:9" ht="18.75" customHeight="1" x14ac:dyDescent="0.15">
      <c r="A43" s="15"/>
      <c r="B43" s="185"/>
      <c r="C43" s="186"/>
      <c r="D43" s="186"/>
      <c r="E43" s="186"/>
      <c r="F43" s="186"/>
      <c r="G43" s="186"/>
      <c r="H43" s="186"/>
      <c r="I43" s="187"/>
    </row>
    <row r="44" spans="1:9" ht="18.75" customHeight="1" x14ac:dyDescent="0.15">
      <c r="A44" s="15"/>
      <c r="B44" s="185"/>
      <c r="C44" s="186"/>
      <c r="D44" s="186"/>
      <c r="E44" s="186"/>
      <c r="F44" s="186"/>
      <c r="G44" s="186"/>
      <c r="H44" s="186"/>
      <c r="I44" s="187"/>
    </row>
    <row r="45" spans="1:9" ht="18.75" customHeight="1" x14ac:dyDescent="0.15">
      <c r="A45" s="15"/>
      <c r="B45" s="185"/>
      <c r="C45" s="186"/>
      <c r="D45" s="186"/>
      <c r="E45" s="186"/>
      <c r="F45" s="186"/>
      <c r="G45" s="186"/>
      <c r="H45" s="186"/>
      <c r="I45" s="187"/>
    </row>
    <row r="46" spans="1:9" ht="18.75" customHeight="1" x14ac:dyDescent="0.15">
      <c r="A46" s="15"/>
      <c r="B46" s="188"/>
      <c r="C46" s="189"/>
      <c r="D46" s="189"/>
      <c r="E46" s="189"/>
      <c r="F46" s="189"/>
      <c r="G46" s="189"/>
      <c r="H46" s="189"/>
      <c r="I46" s="190"/>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23">
        <f>'様式２ 履修者等数の実績'!AQ32</f>
        <v>3.9156626506024098E-2</v>
      </c>
      <c r="D49" s="223"/>
      <c r="E49" s="43" t="s">
        <v>66</v>
      </c>
      <c r="F49" s="223">
        <v>0.25</v>
      </c>
      <c r="G49" s="223"/>
      <c r="H49" s="43" t="s">
        <v>67</v>
      </c>
      <c r="I49" s="44">
        <v>0.4</v>
      </c>
      <c r="J49" s="1"/>
      <c r="M49" s="1"/>
      <c r="N49" s="45"/>
    </row>
    <row r="50" spans="1:15" s="3" customFormat="1" ht="18.75" customHeight="1" x14ac:dyDescent="0.15">
      <c r="B50" s="46" t="s">
        <v>68</v>
      </c>
      <c r="C50" s="206">
        <v>0.6</v>
      </c>
      <c r="D50" s="206"/>
      <c r="E50" s="46" t="s">
        <v>90</v>
      </c>
      <c r="F50" s="206">
        <v>0.8</v>
      </c>
      <c r="G50" s="206"/>
      <c r="H50" s="46" t="s">
        <v>69</v>
      </c>
      <c r="I50" s="47">
        <f>'様式２ 履修者等数の実績'!E32</f>
        <v>664</v>
      </c>
      <c r="J50" s="1"/>
      <c r="M50" s="1"/>
      <c r="N50" s="45"/>
    </row>
    <row r="51" spans="1:15" ht="18.75" customHeight="1" x14ac:dyDescent="0.15">
      <c r="A51" s="1"/>
      <c r="B51" s="197" t="s">
        <v>70</v>
      </c>
      <c r="C51" s="198"/>
      <c r="D51" s="198"/>
      <c r="E51" s="198"/>
      <c r="F51" s="198"/>
      <c r="G51" s="198"/>
      <c r="H51" s="198"/>
      <c r="I51" s="199"/>
      <c r="N51" s="45"/>
      <c r="O51" s="3"/>
    </row>
    <row r="52" spans="1:15" ht="18.75" customHeight="1" x14ac:dyDescent="0.15">
      <c r="A52" s="1"/>
      <c r="B52" s="224" t="s">
        <v>155</v>
      </c>
      <c r="C52" s="225"/>
      <c r="D52" s="225"/>
      <c r="E52" s="225"/>
      <c r="F52" s="225"/>
      <c r="G52" s="225"/>
      <c r="H52" s="225"/>
      <c r="I52" s="226"/>
      <c r="N52" s="45"/>
      <c r="O52" s="3"/>
    </row>
    <row r="53" spans="1:15" ht="18.75" customHeight="1" x14ac:dyDescent="0.15">
      <c r="A53" s="1"/>
      <c r="B53" s="227"/>
      <c r="C53" s="228"/>
      <c r="D53" s="228"/>
      <c r="E53" s="228"/>
      <c r="F53" s="228"/>
      <c r="G53" s="228"/>
      <c r="H53" s="228"/>
      <c r="I53" s="229"/>
      <c r="N53" s="45"/>
      <c r="O53" s="3"/>
    </row>
    <row r="54" spans="1:15" ht="18.75" customHeight="1" x14ac:dyDescent="0.15">
      <c r="A54" s="1"/>
      <c r="B54" s="227"/>
      <c r="C54" s="228"/>
      <c r="D54" s="228"/>
      <c r="E54" s="228"/>
      <c r="F54" s="228"/>
      <c r="G54" s="228"/>
      <c r="H54" s="228"/>
      <c r="I54" s="229"/>
    </row>
    <row r="55" spans="1:15" ht="18.75" customHeight="1" x14ac:dyDescent="0.15">
      <c r="A55" s="1"/>
      <c r="B55" s="227"/>
      <c r="C55" s="228"/>
      <c r="D55" s="228"/>
      <c r="E55" s="228"/>
      <c r="F55" s="228"/>
      <c r="G55" s="228"/>
      <c r="H55" s="228"/>
      <c r="I55" s="229"/>
    </row>
    <row r="56" spans="1:15" ht="18.75" customHeight="1" x14ac:dyDescent="0.15">
      <c r="A56" s="1"/>
      <c r="B56" s="227"/>
      <c r="C56" s="228"/>
      <c r="D56" s="228"/>
      <c r="E56" s="228"/>
      <c r="F56" s="228"/>
      <c r="G56" s="228"/>
      <c r="H56" s="228"/>
      <c r="I56" s="229"/>
    </row>
    <row r="57" spans="1:15" ht="18.75" customHeight="1" x14ac:dyDescent="0.15">
      <c r="A57" s="1"/>
      <c r="B57" s="227"/>
      <c r="C57" s="228"/>
      <c r="D57" s="228"/>
      <c r="E57" s="228"/>
      <c r="F57" s="228"/>
      <c r="G57" s="228"/>
      <c r="H57" s="228"/>
      <c r="I57" s="229"/>
    </row>
    <row r="58" spans="1:15" ht="18.75" customHeight="1" x14ac:dyDescent="0.15">
      <c r="A58" s="1"/>
      <c r="B58" s="227"/>
      <c r="C58" s="228"/>
      <c r="D58" s="228"/>
      <c r="E58" s="228"/>
      <c r="F58" s="228"/>
      <c r="G58" s="228"/>
      <c r="H58" s="228"/>
      <c r="I58" s="229"/>
    </row>
    <row r="59" spans="1:15" ht="18.75" customHeight="1" x14ac:dyDescent="0.15">
      <c r="A59" s="1"/>
      <c r="B59" s="227"/>
      <c r="C59" s="228"/>
      <c r="D59" s="228"/>
      <c r="E59" s="228"/>
      <c r="F59" s="228"/>
      <c r="G59" s="228"/>
      <c r="H59" s="228"/>
      <c r="I59" s="229"/>
    </row>
    <row r="60" spans="1:15" ht="18.75" customHeight="1" x14ac:dyDescent="0.15">
      <c r="A60" s="1"/>
      <c r="B60" s="227"/>
      <c r="C60" s="228"/>
      <c r="D60" s="228"/>
      <c r="E60" s="228"/>
      <c r="F60" s="228"/>
      <c r="G60" s="228"/>
      <c r="H60" s="228"/>
      <c r="I60" s="229"/>
    </row>
    <row r="61" spans="1:15" ht="18.75" customHeight="1" x14ac:dyDescent="0.15">
      <c r="A61" s="1"/>
      <c r="B61" s="227"/>
      <c r="C61" s="228"/>
      <c r="D61" s="228"/>
      <c r="E61" s="228"/>
      <c r="F61" s="228"/>
      <c r="G61" s="228"/>
      <c r="H61" s="228"/>
      <c r="I61" s="229"/>
    </row>
    <row r="62" spans="1:15" ht="18.75" customHeight="1" x14ac:dyDescent="0.15">
      <c r="A62" s="1"/>
      <c r="B62" s="227"/>
      <c r="C62" s="228"/>
      <c r="D62" s="228"/>
      <c r="E62" s="228"/>
      <c r="F62" s="228"/>
      <c r="G62" s="228"/>
      <c r="H62" s="228"/>
      <c r="I62" s="229"/>
    </row>
    <row r="63" spans="1:15" ht="18.75" customHeight="1" x14ac:dyDescent="0.15">
      <c r="A63" s="1"/>
      <c r="B63" s="230"/>
      <c r="C63" s="231"/>
      <c r="D63" s="231"/>
      <c r="E63" s="231"/>
      <c r="F63" s="231"/>
      <c r="G63" s="231"/>
      <c r="H63" s="231"/>
      <c r="I63" s="232"/>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07" t="s">
        <v>156</v>
      </c>
      <c r="C66" s="208"/>
      <c r="D66" s="208"/>
      <c r="E66" s="208"/>
      <c r="F66" s="208"/>
      <c r="G66" s="208"/>
      <c r="H66" s="208"/>
      <c r="I66" s="209"/>
    </row>
    <row r="67" spans="1:9" ht="18.75" customHeight="1" x14ac:dyDescent="0.15">
      <c r="A67" s="4"/>
      <c r="B67" s="210"/>
      <c r="C67" s="211"/>
      <c r="D67" s="211"/>
      <c r="E67" s="211"/>
      <c r="F67" s="211"/>
      <c r="G67" s="211"/>
      <c r="H67" s="211"/>
      <c r="I67" s="212"/>
    </row>
    <row r="68" spans="1:9" ht="18.75" customHeight="1" x14ac:dyDescent="0.15">
      <c r="A68" s="4"/>
      <c r="B68" s="210"/>
      <c r="C68" s="211"/>
      <c r="D68" s="211"/>
      <c r="E68" s="211"/>
      <c r="F68" s="211"/>
      <c r="G68" s="211"/>
      <c r="H68" s="211"/>
      <c r="I68" s="212"/>
    </row>
    <row r="69" spans="1:9" ht="18.75" customHeight="1" x14ac:dyDescent="0.15">
      <c r="A69" s="4"/>
      <c r="B69" s="210"/>
      <c r="C69" s="211"/>
      <c r="D69" s="211"/>
      <c r="E69" s="211"/>
      <c r="F69" s="211"/>
      <c r="G69" s="211"/>
      <c r="H69" s="211"/>
      <c r="I69" s="212"/>
    </row>
    <row r="70" spans="1:9" ht="18.75" customHeight="1" x14ac:dyDescent="0.15">
      <c r="A70" s="4"/>
      <c r="B70" s="210"/>
      <c r="C70" s="211"/>
      <c r="D70" s="211"/>
      <c r="E70" s="211"/>
      <c r="F70" s="211"/>
      <c r="G70" s="211"/>
      <c r="H70" s="211"/>
      <c r="I70" s="212"/>
    </row>
    <row r="71" spans="1:9" ht="18.75" customHeight="1" x14ac:dyDescent="0.15">
      <c r="A71" s="4"/>
      <c r="B71" s="210"/>
      <c r="C71" s="211"/>
      <c r="D71" s="211"/>
      <c r="E71" s="211"/>
      <c r="F71" s="211"/>
      <c r="G71" s="211"/>
      <c r="H71" s="211"/>
      <c r="I71" s="212"/>
    </row>
    <row r="72" spans="1:9" ht="18.75" customHeight="1" x14ac:dyDescent="0.15">
      <c r="A72" s="4"/>
      <c r="B72" s="210"/>
      <c r="C72" s="211"/>
      <c r="D72" s="211"/>
      <c r="E72" s="211"/>
      <c r="F72" s="211"/>
      <c r="G72" s="211"/>
      <c r="H72" s="211"/>
      <c r="I72" s="212"/>
    </row>
    <row r="73" spans="1:9" ht="18.75" customHeight="1" x14ac:dyDescent="0.15">
      <c r="A73" s="4"/>
      <c r="B73" s="210"/>
      <c r="C73" s="211"/>
      <c r="D73" s="211"/>
      <c r="E73" s="211"/>
      <c r="F73" s="211"/>
      <c r="G73" s="211"/>
      <c r="H73" s="211"/>
      <c r="I73" s="212"/>
    </row>
    <row r="74" spans="1:9" ht="18.75" customHeight="1" x14ac:dyDescent="0.15">
      <c r="A74" s="4"/>
      <c r="B74" s="210"/>
      <c r="C74" s="211"/>
      <c r="D74" s="211"/>
      <c r="E74" s="211"/>
      <c r="F74" s="211"/>
      <c r="G74" s="211"/>
      <c r="H74" s="211"/>
      <c r="I74" s="212"/>
    </row>
    <row r="75" spans="1:9" ht="18.75" customHeight="1" x14ac:dyDescent="0.15">
      <c r="A75" s="4"/>
      <c r="B75" s="210"/>
      <c r="C75" s="211"/>
      <c r="D75" s="211"/>
      <c r="E75" s="211"/>
      <c r="F75" s="211"/>
      <c r="G75" s="211"/>
      <c r="H75" s="211"/>
      <c r="I75" s="212"/>
    </row>
    <row r="76" spans="1:9" ht="18.75" customHeight="1" x14ac:dyDescent="0.15">
      <c r="A76" s="4"/>
      <c r="B76" s="210"/>
      <c r="C76" s="211"/>
      <c r="D76" s="211"/>
      <c r="E76" s="211"/>
      <c r="F76" s="211"/>
      <c r="G76" s="211"/>
      <c r="H76" s="211"/>
      <c r="I76" s="212"/>
    </row>
    <row r="77" spans="1:9" ht="18.75" customHeight="1" x14ac:dyDescent="0.15">
      <c r="A77" s="4"/>
      <c r="B77" s="213"/>
      <c r="C77" s="214"/>
      <c r="D77" s="214"/>
      <c r="E77" s="214"/>
      <c r="F77" s="214"/>
      <c r="G77" s="214"/>
      <c r="H77" s="214"/>
      <c r="I77" s="215"/>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07" t="s">
        <v>157</v>
      </c>
      <c r="C80" s="208"/>
      <c r="D80" s="208"/>
      <c r="E80" s="208"/>
      <c r="F80" s="208"/>
      <c r="G80" s="208"/>
      <c r="H80" s="208"/>
      <c r="I80" s="216"/>
    </row>
    <row r="81" spans="1:9" ht="18.75" customHeight="1" x14ac:dyDescent="0.15">
      <c r="A81" s="1"/>
      <c r="B81" s="217"/>
      <c r="C81" s="218"/>
      <c r="D81" s="218"/>
      <c r="E81" s="218"/>
      <c r="F81" s="218"/>
      <c r="G81" s="218"/>
      <c r="H81" s="218"/>
      <c r="I81" s="219"/>
    </row>
    <row r="82" spans="1:9" ht="18.75" customHeight="1" x14ac:dyDescent="0.15">
      <c r="A82" s="1"/>
      <c r="B82" s="217"/>
      <c r="C82" s="218"/>
      <c r="D82" s="218"/>
      <c r="E82" s="218"/>
      <c r="F82" s="218"/>
      <c r="G82" s="218"/>
      <c r="H82" s="218"/>
      <c r="I82" s="219"/>
    </row>
    <row r="83" spans="1:9" ht="18.75" customHeight="1" x14ac:dyDescent="0.15">
      <c r="A83" s="1"/>
      <c r="B83" s="217"/>
      <c r="C83" s="218"/>
      <c r="D83" s="218"/>
      <c r="E83" s="218"/>
      <c r="F83" s="218"/>
      <c r="G83" s="218"/>
      <c r="H83" s="218"/>
      <c r="I83" s="219"/>
    </row>
    <row r="84" spans="1:9" ht="18.75" customHeight="1" x14ac:dyDescent="0.15">
      <c r="A84" s="1"/>
      <c r="B84" s="217"/>
      <c r="C84" s="218"/>
      <c r="D84" s="218"/>
      <c r="E84" s="218"/>
      <c r="F84" s="218"/>
      <c r="G84" s="218"/>
      <c r="H84" s="218"/>
      <c r="I84" s="219"/>
    </row>
    <row r="85" spans="1:9" ht="18.75" customHeight="1" x14ac:dyDescent="0.15">
      <c r="A85" s="1"/>
      <c r="B85" s="217"/>
      <c r="C85" s="218"/>
      <c r="D85" s="218"/>
      <c r="E85" s="218"/>
      <c r="F85" s="218"/>
      <c r="G85" s="218"/>
      <c r="H85" s="218"/>
      <c r="I85" s="219"/>
    </row>
    <row r="86" spans="1:9" ht="18.75" customHeight="1" x14ac:dyDescent="0.15">
      <c r="A86" s="1"/>
      <c r="B86" s="217"/>
      <c r="C86" s="218"/>
      <c r="D86" s="218"/>
      <c r="E86" s="218"/>
      <c r="F86" s="218"/>
      <c r="G86" s="218"/>
      <c r="H86" s="218"/>
      <c r="I86" s="219"/>
    </row>
    <row r="87" spans="1:9" ht="18.75" customHeight="1" x14ac:dyDescent="0.15">
      <c r="A87" s="1"/>
      <c r="B87" s="217"/>
      <c r="C87" s="218"/>
      <c r="D87" s="218"/>
      <c r="E87" s="218"/>
      <c r="F87" s="218"/>
      <c r="G87" s="218"/>
      <c r="H87" s="218"/>
      <c r="I87" s="219"/>
    </row>
    <row r="88" spans="1:9" ht="18.75" customHeight="1" x14ac:dyDescent="0.15">
      <c r="A88" s="1"/>
      <c r="B88" s="217"/>
      <c r="C88" s="218"/>
      <c r="D88" s="218"/>
      <c r="E88" s="218"/>
      <c r="F88" s="218"/>
      <c r="G88" s="218"/>
      <c r="H88" s="218"/>
      <c r="I88" s="219"/>
    </row>
    <row r="89" spans="1:9" ht="18.75" customHeight="1" x14ac:dyDescent="0.15">
      <c r="A89" s="1"/>
      <c r="B89" s="217"/>
      <c r="C89" s="218"/>
      <c r="D89" s="218"/>
      <c r="E89" s="218"/>
      <c r="F89" s="218"/>
      <c r="G89" s="218"/>
      <c r="H89" s="218"/>
      <c r="I89" s="219"/>
    </row>
    <row r="90" spans="1:9" ht="18.75" customHeight="1" x14ac:dyDescent="0.15">
      <c r="A90" s="4"/>
      <c r="B90" s="217"/>
      <c r="C90" s="218"/>
      <c r="D90" s="218"/>
      <c r="E90" s="218"/>
      <c r="F90" s="218"/>
      <c r="G90" s="218"/>
      <c r="H90" s="218"/>
      <c r="I90" s="219"/>
    </row>
    <row r="91" spans="1:9" ht="18.75" customHeight="1" x14ac:dyDescent="0.15">
      <c r="A91" s="4"/>
      <c r="B91" s="220"/>
      <c r="C91" s="221"/>
      <c r="D91" s="221"/>
      <c r="E91" s="221"/>
      <c r="F91" s="221"/>
      <c r="G91" s="221"/>
      <c r="H91" s="221"/>
      <c r="I91" s="222"/>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82" t="s">
        <v>158</v>
      </c>
      <c r="C94" s="183"/>
      <c r="D94" s="183"/>
      <c r="E94" s="183"/>
      <c r="F94" s="183"/>
      <c r="G94" s="183"/>
      <c r="H94" s="183"/>
      <c r="I94" s="184"/>
    </row>
    <row r="95" spans="1:9" ht="18.75" customHeight="1" x14ac:dyDescent="0.15">
      <c r="A95" s="1"/>
      <c r="B95" s="185"/>
      <c r="C95" s="186"/>
      <c r="D95" s="186"/>
      <c r="E95" s="186"/>
      <c r="F95" s="186"/>
      <c r="G95" s="186"/>
      <c r="H95" s="186"/>
      <c r="I95" s="187"/>
    </row>
    <row r="96" spans="1:9" ht="18.75" customHeight="1" x14ac:dyDescent="0.15">
      <c r="A96" s="1"/>
      <c r="B96" s="185"/>
      <c r="C96" s="186"/>
      <c r="D96" s="186"/>
      <c r="E96" s="186"/>
      <c r="F96" s="186"/>
      <c r="G96" s="186"/>
      <c r="H96" s="186"/>
      <c r="I96" s="187"/>
    </row>
    <row r="97" spans="1:9" ht="18.75" customHeight="1" x14ac:dyDescent="0.15">
      <c r="A97" s="1"/>
      <c r="B97" s="185"/>
      <c r="C97" s="186"/>
      <c r="D97" s="186"/>
      <c r="E97" s="186"/>
      <c r="F97" s="186"/>
      <c r="G97" s="186"/>
      <c r="H97" s="186"/>
      <c r="I97" s="187"/>
    </row>
    <row r="98" spans="1:9" ht="18.75" customHeight="1" x14ac:dyDescent="0.15">
      <c r="A98" s="1"/>
      <c r="B98" s="185"/>
      <c r="C98" s="186"/>
      <c r="D98" s="186"/>
      <c r="E98" s="186"/>
      <c r="F98" s="186"/>
      <c r="G98" s="186"/>
      <c r="H98" s="186"/>
      <c r="I98" s="187"/>
    </row>
    <row r="99" spans="1:9" ht="18.75" customHeight="1" x14ac:dyDescent="0.15">
      <c r="A99" s="1"/>
      <c r="B99" s="185"/>
      <c r="C99" s="186"/>
      <c r="D99" s="186"/>
      <c r="E99" s="186"/>
      <c r="F99" s="186"/>
      <c r="G99" s="186"/>
      <c r="H99" s="186"/>
      <c r="I99" s="187"/>
    </row>
    <row r="100" spans="1:9" ht="18.75" customHeight="1" x14ac:dyDescent="0.15">
      <c r="A100" s="1"/>
      <c r="B100" s="185"/>
      <c r="C100" s="186"/>
      <c r="D100" s="186"/>
      <c r="E100" s="186"/>
      <c r="F100" s="186"/>
      <c r="G100" s="186"/>
      <c r="H100" s="186"/>
      <c r="I100" s="187"/>
    </row>
    <row r="101" spans="1:9" ht="18.75" customHeight="1" x14ac:dyDescent="0.15">
      <c r="A101" s="1"/>
      <c r="B101" s="185"/>
      <c r="C101" s="186"/>
      <c r="D101" s="186"/>
      <c r="E101" s="186"/>
      <c r="F101" s="186"/>
      <c r="G101" s="186"/>
      <c r="H101" s="186"/>
      <c r="I101" s="187"/>
    </row>
    <row r="102" spans="1:9" ht="18.75" customHeight="1" x14ac:dyDescent="0.15">
      <c r="A102" s="1"/>
      <c r="B102" s="185"/>
      <c r="C102" s="186"/>
      <c r="D102" s="186"/>
      <c r="E102" s="186"/>
      <c r="F102" s="186"/>
      <c r="G102" s="186"/>
      <c r="H102" s="186"/>
      <c r="I102" s="187"/>
    </row>
    <row r="103" spans="1:9" ht="18.75" customHeight="1" x14ac:dyDescent="0.15">
      <c r="A103" s="1"/>
      <c r="B103" s="185"/>
      <c r="C103" s="186"/>
      <c r="D103" s="186"/>
      <c r="E103" s="186"/>
      <c r="F103" s="186"/>
      <c r="G103" s="186"/>
      <c r="H103" s="186"/>
      <c r="I103" s="187"/>
    </row>
    <row r="104" spans="1:9" ht="18.75" customHeight="1" x14ac:dyDescent="0.15">
      <c r="A104" s="1"/>
      <c r="B104" s="185"/>
      <c r="C104" s="186"/>
      <c r="D104" s="186"/>
      <c r="E104" s="186"/>
      <c r="F104" s="186"/>
      <c r="G104" s="186"/>
      <c r="H104" s="186"/>
      <c r="I104" s="187"/>
    </row>
    <row r="105" spans="1:9" ht="18.75" customHeight="1" x14ac:dyDescent="0.15">
      <c r="A105" s="4"/>
      <c r="B105" s="188"/>
      <c r="C105" s="189"/>
      <c r="D105" s="189"/>
      <c r="E105" s="189"/>
      <c r="F105" s="189"/>
      <c r="G105" s="189"/>
      <c r="H105" s="189"/>
      <c r="I105" s="190"/>
    </row>
    <row r="106" spans="1:9" ht="7.5" customHeight="1" x14ac:dyDescent="0.15">
      <c r="A106" s="4"/>
      <c r="B106" s="4"/>
      <c r="C106" s="4"/>
      <c r="D106" s="4"/>
      <c r="E106" s="4"/>
      <c r="F106" s="4"/>
      <c r="G106" s="4"/>
      <c r="H106" s="4"/>
      <c r="I106" s="4"/>
    </row>
    <row r="107" spans="1:9" ht="18.75" customHeight="1" x14ac:dyDescent="0.15">
      <c r="A107" s="1" t="s">
        <v>30</v>
      </c>
      <c r="B107" s="191" t="s">
        <v>46</v>
      </c>
      <c r="C107" s="191"/>
      <c r="D107" s="191"/>
      <c r="E107" s="191"/>
      <c r="F107" s="191"/>
      <c r="G107" s="191"/>
      <c r="H107" s="191"/>
      <c r="I107" s="191"/>
    </row>
    <row r="108" spans="1:9" ht="18.75" customHeight="1" x14ac:dyDescent="0.15">
      <c r="A108" s="4"/>
      <c r="B108" s="182" t="s">
        <v>159</v>
      </c>
      <c r="C108" s="183"/>
      <c r="D108" s="183"/>
      <c r="E108" s="183"/>
      <c r="F108" s="183"/>
      <c r="G108" s="183"/>
      <c r="H108" s="183"/>
      <c r="I108" s="184"/>
    </row>
    <row r="109" spans="1:9" ht="18.75" customHeight="1" x14ac:dyDescent="0.15">
      <c r="A109" s="4"/>
      <c r="B109" s="185"/>
      <c r="C109" s="186"/>
      <c r="D109" s="186"/>
      <c r="E109" s="186"/>
      <c r="F109" s="186"/>
      <c r="G109" s="186"/>
      <c r="H109" s="186"/>
      <c r="I109" s="187"/>
    </row>
    <row r="110" spans="1:9" ht="18.75" customHeight="1" x14ac:dyDescent="0.15">
      <c r="A110" s="4"/>
      <c r="B110" s="185"/>
      <c r="C110" s="186"/>
      <c r="D110" s="186"/>
      <c r="E110" s="186"/>
      <c r="F110" s="186"/>
      <c r="G110" s="186"/>
      <c r="H110" s="186"/>
      <c r="I110" s="187"/>
    </row>
    <row r="111" spans="1:9" ht="18.75" customHeight="1" x14ac:dyDescent="0.15">
      <c r="A111" s="4"/>
      <c r="B111" s="185"/>
      <c r="C111" s="186"/>
      <c r="D111" s="186"/>
      <c r="E111" s="186"/>
      <c r="F111" s="186"/>
      <c r="G111" s="186"/>
      <c r="H111" s="186"/>
      <c r="I111" s="187"/>
    </row>
    <row r="112" spans="1:9" ht="18.75" customHeight="1" x14ac:dyDescent="0.15">
      <c r="A112" s="4"/>
      <c r="B112" s="185"/>
      <c r="C112" s="186"/>
      <c r="D112" s="186"/>
      <c r="E112" s="186"/>
      <c r="F112" s="186"/>
      <c r="G112" s="186"/>
      <c r="H112" s="186"/>
      <c r="I112" s="187"/>
    </row>
    <row r="113" spans="1:9" ht="18.75" customHeight="1" x14ac:dyDescent="0.15">
      <c r="A113" s="4"/>
      <c r="B113" s="185"/>
      <c r="C113" s="186"/>
      <c r="D113" s="186"/>
      <c r="E113" s="186"/>
      <c r="F113" s="186"/>
      <c r="G113" s="186"/>
      <c r="H113" s="186"/>
      <c r="I113" s="187"/>
    </row>
    <row r="114" spans="1:9" ht="18.75" customHeight="1" x14ac:dyDescent="0.15">
      <c r="A114" s="4"/>
      <c r="B114" s="185"/>
      <c r="C114" s="186"/>
      <c r="D114" s="186"/>
      <c r="E114" s="186"/>
      <c r="F114" s="186"/>
      <c r="G114" s="186"/>
      <c r="H114" s="186"/>
      <c r="I114" s="187"/>
    </row>
    <row r="115" spans="1:9" ht="18.75" customHeight="1" x14ac:dyDescent="0.15">
      <c r="A115" s="4"/>
      <c r="B115" s="185"/>
      <c r="C115" s="186"/>
      <c r="D115" s="186"/>
      <c r="E115" s="186"/>
      <c r="F115" s="186"/>
      <c r="G115" s="186"/>
      <c r="H115" s="186"/>
      <c r="I115" s="187"/>
    </row>
    <row r="116" spans="1:9" ht="18.75" customHeight="1" x14ac:dyDescent="0.15">
      <c r="A116" s="4"/>
      <c r="B116" s="185"/>
      <c r="C116" s="186"/>
      <c r="D116" s="186"/>
      <c r="E116" s="186"/>
      <c r="F116" s="186"/>
      <c r="G116" s="186"/>
      <c r="H116" s="186"/>
      <c r="I116" s="187"/>
    </row>
    <row r="117" spans="1:9" ht="18.75" customHeight="1" x14ac:dyDescent="0.15">
      <c r="A117" s="4"/>
      <c r="B117" s="185"/>
      <c r="C117" s="186"/>
      <c r="D117" s="186"/>
      <c r="E117" s="186"/>
      <c r="F117" s="186"/>
      <c r="G117" s="186"/>
      <c r="H117" s="186"/>
      <c r="I117" s="187"/>
    </row>
    <row r="118" spans="1:9" ht="18.75" customHeight="1" x14ac:dyDescent="0.15">
      <c r="A118" s="4"/>
      <c r="B118" s="185"/>
      <c r="C118" s="186"/>
      <c r="D118" s="186"/>
      <c r="E118" s="186"/>
      <c r="F118" s="186"/>
      <c r="G118" s="186"/>
      <c r="H118" s="186"/>
      <c r="I118" s="187"/>
    </row>
    <row r="119" spans="1:9" ht="18.75" customHeight="1" x14ac:dyDescent="0.15">
      <c r="A119" s="4"/>
      <c r="B119" s="188"/>
      <c r="C119" s="189"/>
      <c r="D119" s="189"/>
      <c r="E119" s="189"/>
      <c r="F119" s="189"/>
      <c r="G119" s="189"/>
      <c r="H119" s="189"/>
      <c r="I119" s="190"/>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清泉女学院大学</v>
      </c>
    </row>
    <row r="3" spans="1:9" ht="18.75" customHeight="1" x14ac:dyDescent="0.15">
      <c r="A3" s="139" t="s">
        <v>28</v>
      </c>
      <c r="B3" s="139"/>
      <c r="C3" s="139"/>
      <c r="D3" s="139"/>
      <c r="E3" s="139"/>
      <c r="F3" s="139"/>
      <c r="G3" s="139"/>
      <c r="H3" s="139"/>
      <c r="I3" s="139"/>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00" t="s">
        <v>160</v>
      </c>
      <c r="C6" s="240"/>
      <c r="D6" s="240"/>
      <c r="E6" s="240"/>
      <c r="F6" s="240"/>
      <c r="G6" s="240"/>
      <c r="H6" s="241"/>
      <c r="I6" s="3"/>
    </row>
    <row r="7" spans="1:9" ht="9" customHeight="1" x14ac:dyDescent="0.15">
      <c r="A7" s="5"/>
      <c r="B7" s="10"/>
      <c r="C7" s="10"/>
      <c r="D7" s="10"/>
      <c r="E7" s="10"/>
      <c r="F7" s="10"/>
      <c r="G7" s="10"/>
      <c r="H7" s="10"/>
      <c r="I7" s="3"/>
    </row>
    <row r="8" spans="1:9" ht="18.75" customHeight="1" x14ac:dyDescent="0.15">
      <c r="A8" s="5"/>
      <c r="B8" s="3"/>
      <c r="C8" s="3"/>
      <c r="D8" s="35" t="s">
        <v>43</v>
      </c>
      <c r="E8" s="36" t="s">
        <v>161</v>
      </c>
      <c r="F8" s="3"/>
      <c r="G8" s="35" t="s">
        <v>10</v>
      </c>
      <c r="H8" s="36" t="s">
        <v>162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8" t="s">
        <v>24</v>
      </c>
      <c r="C11" s="89"/>
      <c r="D11" s="90"/>
      <c r="E11" s="89" t="s">
        <v>26</v>
      </c>
      <c r="F11" s="89"/>
      <c r="G11" s="89"/>
      <c r="H11" s="89"/>
      <c r="I11" s="90"/>
    </row>
    <row r="12" spans="1:9" ht="26.25" customHeight="1" x14ac:dyDescent="0.15">
      <c r="B12" s="50" t="s">
        <v>14</v>
      </c>
      <c r="C12" s="57"/>
      <c r="D12" s="51"/>
      <c r="E12" s="58"/>
      <c r="F12" s="58"/>
      <c r="G12" s="58"/>
      <c r="H12" s="58"/>
      <c r="I12" s="51"/>
    </row>
    <row r="13" spans="1:9" ht="210.75" customHeight="1" x14ac:dyDescent="0.15">
      <c r="B13" s="52"/>
      <c r="C13" s="238" t="s">
        <v>15</v>
      </c>
      <c r="D13" s="239"/>
      <c r="E13" s="235" t="s">
        <v>163</v>
      </c>
      <c r="F13" s="236"/>
      <c r="G13" s="236"/>
      <c r="H13" s="236"/>
      <c r="I13" s="237"/>
    </row>
    <row r="14" spans="1:9" ht="210.75" customHeight="1" x14ac:dyDescent="0.15">
      <c r="B14" s="52"/>
      <c r="C14" s="233" t="s">
        <v>16</v>
      </c>
      <c r="D14" s="234"/>
      <c r="E14" s="235" t="s">
        <v>164</v>
      </c>
      <c r="F14" s="236"/>
      <c r="G14" s="236"/>
      <c r="H14" s="236"/>
      <c r="I14" s="237"/>
    </row>
    <row r="15" spans="1:9" ht="210.75" customHeight="1" x14ac:dyDescent="0.15">
      <c r="B15" s="52"/>
      <c r="C15" s="238" t="s">
        <v>17</v>
      </c>
      <c r="D15" s="239"/>
      <c r="E15" s="235" t="s">
        <v>165</v>
      </c>
      <c r="F15" s="236"/>
      <c r="G15" s="236"/>
      <c r="H15" s="236"/>
      <c r="I15" s="237"/>
    </row>
    <row r="16" spans="1:9" ht="210.75" customHeight="1" x14ac:dyDescent="0.15">
      <c r="B16" s="52"/>
      <c r="C16" s="238" t="s">
        <v>18</v>
      </c>
      <c r="D16" s="239"/>
      <c r="E16" s="235" t="s">
        <v>166</v>
      </c>
      <c r="F16" s="236"/>
      <c r="G16" s="236"/>
      <c r="H16" s="236"/>
      <c r="I16" s="237"/>
    </row>
    <row r="17" spans="2:9" ht="210.75" customHeight="1" x14ac:dyDescent="0.15">
      <c r="B17" s="53"/>
      <c r="C17" s="242" t="s">
        <v>19</v>
      </c>
      <c r="D17" s="243"/>
      <c r="E17" s="244" t="s">
        <v>167</v>
      </c>
      <c r="F17" s="245"/>
      <c r="G17" s="245"/>
      <c r="H17" s="245"/>
      <c r="I17" s="246"/>
    </row>
    <row r="18" spans="2:9" ht="24" customHeight="1" x14ac:dyDescent="0.15">
      <c r="B18" s="50" t="s">
        <v>20</v>
      </c>
      <c r="C18" s="54"/>
      <c r="D18" s="55"/>
      <c r="E18" s="56"/>
      <c r="F18" s="56"/>
      <c r="G18" s="56"/>
      <c r="H18" s="56"/>
      <c r="I18" s="59"/>
    </row>
    <row r="19" spans="2:9" ht="218.25" customHeight="1" x14ac:dyDescent="0.15">
      <c r="B19" s="52"/>
      <c r="C19" s="238" t="s">
        <v>21</v>
      </c>
      <c r="D19" s="239"/>
      <c r="E19" s="236" t="s">
        <v>170</v>
      </c>
      <c r="F19" s="236"/>
      <c r="G19" s="236"/>
      <c r="H19" s="236"/>
      <c r="I19" s="237"/>
    </row>
    <row r="20" spans="2:9" ht="218.25" customHeight="1" x14ac:dyDescent="0.15">
      <c r="B20" s="53"/>
      <c r="C20" s="242" t="s">
        <v>22</v>
      </c>
      <c r="D20" s="243"/>
      <c r="E20" s="245" t="s">
        <v>171</v>
      </c>
      <c r="F20" s="245"/>
      <c r="G20" s="245"/>
      <c r="H20" s="245"/>
      <c r="I20" s="246"/>
    </row>
    <row r="21" spans="2:9" ht="218.25" customHeight="1" x14ac:dyDescent="0.15">
      <c r="B21" s="252" t="s">
        <v>23</v>
      </c>
      <c r="C21" s="253"/>
      <c r="D21" s="254"/>
      <c r="E21" s="255" t="s">
        <v>168</v>
      </c>
      <c r="F21" s="255"/>
      <c r="G21" s="255"/>
      <c r="H21" s="255"/>
      <c r="I21" s="256"/>
    </row>
    <row r="22" spans="2:9" ht="218.25" customHeight="1" x14ac:dyDescent="0.15">
      <c r="B22" s="247" t="s">
        <v>38</v>
      </c>
      <c r="C22" s="248"/>
      <c r="D22" s="249"/>
      <c r="E22" s="250" t="s">
        <v>169</v>
      </c>
      <c r="F22" s="250"/>
      <c r="G22" s="250"/>
      <c r="H22" s="250"/>
      <c r="I22" s="25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広沢 友美</cp:lastModifiedBy>
  <cp:lastPrinted>2023-04-20T06:49:24Z</cp:lastPrinted>
  <dcterms:created xsi:type="dcterms:W3CDTF">2011-06-14T05:32:50Z</dcterms:created>
  <dcterms:modified xsi:type="dcterms:W3CDTF">2023-07-14T00:58:35Z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